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_de_trabalho"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xmlns:r="http://schemas.openxmlformats.org/officeDocument/2006/relationships" name="Lote" sheetId="1" state="visible" r:id="rId1"/>
    <sheet xmlns:r="http://schemas.openxmlformats.org/officeDocument/2006/relationships" name="Empresas" sheetId="2" state="visible" r:id="rId2"/>
    <sheet xmlns:r="http://schemas.openxmlformats.org/officeDocument/2006/relationships" name="DE-PARA CONTAS" sheetId="3" state="visible" r:id="rId3"/>
  </sheets>
  <definedNames>
    <definedName name="Empresas">Empresas!$A$3:$A$112</definedName>
    <definedName name="DEPARA_CONTAS">'DE-PARA CONTAS'!$A$5:$B$35</definedName>
    <definedName name="_xlnm._FilterDatabase" localSheetId="0" hidden="1">'Lote'!$A$7:$AH$921</definedName>
    <definedName name="_xlnm.Print_Titles" localSheetId="0">'Lote'!$1:$7</definedName>
    <definedName name="_xlnm.Print_Area" localSheetId="0">'Lote'!$A$1:$H$919</definedName>
  </definedNames>
  <calcPr calcId="191029" fullCalcOnLoad="1" fullPrecision="0"/>
</workbook>
</file>

<file path=xl/styles.xml><?xml version="1.0" encoding="utf-8"?>
<styleSheet xmlns="http://schemas.openxmlformats.org/spreadsheetml/2006/main">
  <numFmts count="4">
    <numFmt numFmtId="164" formatCode="#,##0.00_ ;[Red]\-#,##0.00\ "/>
    <numFmt numFmtId="165" formatCode="00"/>
    <numFmt numFmtId="166" formatCode="0.00;[Red]0.00"/>
    <numFmt numFmtId="167" formatCode="_-* #,##0.00_-;\-* #,##0.00_-;_-* &quot;-&quot;??_-;_-@_-"/>
  </numFmts>
  <fonts count="45">
    <font>
      <name val="Calibri"/>
      <family val="2"/>
      <color theme="1"/>
      <sz val="11"/>
      <scheme val="minor"/>
    </font>
    <font>
      <name val="Times New Roman"/>
      <family val="1"/>
      <sz val="10"/>
    </font>
    <font>
      <name val="Times New Roman"/>
      <family val="1"/>
      <b val="1"/>
      <color indexed="8"/>
      <sz val="10"/>
    </font>
    <font>
      <name val="Times New Roman"/>
      <family val="1"/>
      <b val="1"/>
      <color indexed="8"/>
      <sz val="11"/>
    </font>
    <font>
      <name val="Calibri"/>
      <family val="2"/>
      <b val="1"/>
      <i val="1"/>
      <color theme="1"/>
      <sz val="12"/>
      <scheme val="minor"/>
    </font>
    <font>
      <name val="Calibri"/>
      <family val="2"/>
      <i val="1"/>
      <color theme="0"/>
      <sz val="11"/>
      <scheme val="minor"/>
    </font>
    <font>
      <name val="Stencil"/>
      <family val="5"/>
      <color theme="3" tint="-0.499984740745262"/>
      <sz val="11"/>
    </font>
    <font>
      <name val="Calibri"/>
      <family val="2"/>
      <color theme="0"/>
      <sz val="11"/>
      <scheme val="minor"/>
    </font>
    <font>
      <name val="Calibri"/>
      <family val="2"/>
      <color theme="1"/>
      <sz val="11"/>
      <scheme val="minor"/>
    </font>
    <font>
      <name val="Courier New"/>
      <family val="3"/>
      <sz val="8"/>
    </font>
    <font>
      <name val="Arial"/>
      <family val="2"/>
      <sz val="10"/>
    </font>
    <font>
      <name val="Times New Roman"/>
      <family val="1"/>
      <b val="1"/>
      <color rgb="FFFF0000"/>
      <sz val="11"/>
    </font>
    <font>
      <name val="Calibri"/>
      <family val="2"/>
      <b val="1"/>
      <i val="1"/>
      <color theme="1"/>
      <sz val="16"/>
      <scheme val="minor"/>
    </font>
    <font>
      <name val="Calibri"/>
      <family val="2"/>
      <i val="1"/>
      <color theme="0" tint="-0.0499893185216834"/>
      <sz val="11"/>
      <scheme val="minor"/>
    </font>
    <font>
      <name val="Courier New"/>
      <family val="3"/>
      <color theme="0"/>
      <sz val="10"/>
    </font>
    <font>
      <name val="Calibri"/>
      <family val="2"/>
      <b val="1"/>
      <sz val="11"/>
      <scheme val="minor"/>
    </font>
    <font>
      <name val="Calibri"/>
      <family val="2"/>
      <i val="1"/>
      <color theme="0"/>
      <sz val="12"/>
      <scheme val="minor"/>
    </font>
    <font>
      <name val="Trebuchet MS"/>
      <family val="2"/>
      <color rgb="FF3A3A3A"/>
      <sz val="9"/>
    </font>
    <font>
      <name val="Cambria"/>
      <family val="2"/>
      <b val="1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Trebuchet MS"/>
      <family val="2"/>
      <sz val="9"/>
    </font>
    <font>
      <name val="Calibri"/>
      <family val="2"/>
      <i val="1"/>
      <sz val="11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i val="1"/>
      <color rgb="FF000000"/>
      <sz val="10"/>
    </font>
    <font>
      <name val="Arial"/>
      <family val="2"/>
      <color indexed="8"/>
      <sz val="9"/>
    </font>
    <font>
      <name val="Arial"/>
      <family val="2"/>
      <sz val="9"/>
    </font>
    <font>
      <name val="Arial"/>
      <b val="1"/>
      <color rgb="007030A0"/>
      <sz val="9"/>
    </font>
    <font>
      <name val="Arial"/>
      <color rgb="007030A0"/>
      <sz val="9"/>
    </font>
    <font>
      <name val="Arial"/>
      <b val="1"/>
      <color rgb="001F4E78"/>
      <sz val="12"/>
    </font>
    <font>
      <name val="Arial"/>
      <i val="1"/>
      <color rgb="00B45309"/>
      <sz val="9"/>
    </font>
    <font>
      <name val="Arial"/>
      <b val="1"/>
      <color rgb="00FFFFFF"/>
      <sz val="10"/>
    </font>
    <font>
      <name val="Arial"/>
      <sz val="10"/>
    </font>
  </fonts>
  <fills count="4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8" tint="0.5999938962981048"/>
        </stop>
      </gradientFill>
    </fill>
    <fill>
      <patternFill patternType="solid">
        <fgColor rgb="FFE4C928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2" tint="-0.2509842219306009"/>
        </stop>
      </gradientFill>
    </fill>
    <fill>
      <patternFill patternType="solid">
        <fgColor theme="2" tint="-0.24994659260841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001F4E78"/>
      </patternFill>
    </fill>
    <fill>
      <patternFill patternType="solid">
        <fgColor rgb="00FFF2CC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theme="2" tint="-0.749961851863155"/>
      </right>
      <top style="thick">
        <color theme="2" tint="-0.749961851863155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63">
    <xf numFmtId="0" fontId="8" fillId="0" borderId="0"/>
    <xf numFmtId="0" fontId="1" fillId="0" borderId="0"/>
    <xf numFmtId="43" fontId="1" fillId="0" borderId="0"/>
    <xf numFmtId="0" fontId="8" fillId="0" borderId="0"/>
    <xf numFmtId="0" fontId="9" fillId="0" borderId="0"/>
    <xf numFmtId="0" fontId="8" fillId="6" borderId="0"/>
    <xf numFmtId="0" fontId="8" fillId="8" borderId="0"/>
    <xf numFmtId="0" fontId="8" fillId="10" borderId="0"/>
    <xf numFmtId="0" fontId="8" fillId="12" borderId="0"/>
    <xf numFmtId="0" fontId="8" fillId="14" borderId="0"/>
    <xf numFmtId="0" fontId="8" fillId="16" borderId="0"/>
    <xf numFmtId="0" fontId="8" fillId="7" borderId="0"/>
    <xf numFmtId="0" fontId="8" fillId="9" borderId="0"/>
    <xf numFmtId="0" fontId="8" fillId="11" borderId="0"/>
    <xf numFmtId="0" fontId="8" fillId="13" borderId="0"/>
    <xf numFmtId="0" fontId="8" fillId="15" borderId="0"/>
    <xf numFmtId="0" fontId="8" fillId="17" borderId="0"/>
    <xf numFmtId="0" fontId="8" fillId="0" borderId="0"/>
    <xf numFmtId="0" fontId="10" fillId="0" borderId="0"/>
    <xf numFmtId="0" fontId="8" fillId="5" borderId="3"/>
    <xf numFmtId="0" fontId="18" fillId="0" borderId="0"/>
    <xf numFmtId="0" fontId="19" fillId="0" borderId="14"/>
    <xf numFmtId="0" fontId="20" fillId="0" borderId="15"/>
    <xf numFmtId="0" fontId="21" fillId="0" borderId="16"/>
    <xf numFmtId="0" fontId="21" fillId="0" borderId="0"/>
    <xf numFmtId="0" fontId="22" fillId="26" borderId="0"/>
    <xf numFmtId="0" fontId="23" fillId="27" borderId="0"/>
    <xf numFmtId="0" fontId="24" fillId="28" borderId="0"/>
    <xf numFmtId="0" fontId="25" fillId="29" borderId="17"/>
    <xf numFmtId="0" fontId="26" fillId="30" borderId="18"/>
    <xf numFmtId="0" fontId="27" fillId="30" borderId="17"/>
    <xf numFmtId="0" fontId="28" fillId="0" borderId="19"/>
    <xf numFmtId="0" fontId="29" fillId="31" borderId="20"/>
    <xf numFmtId="0" fontId="30" fillId="0" borderId="0"/>
    <xf numFmtId="0" fontId="8" fillId="5" borderId="3"/>
    <xf numFmtId="0" fontId="31" fillId="0" borderId="0"/>
    <xf numFmtId="0" fontId="32" fillId="0" borderId="21"/>
    <xf numFmtId="0" fontId="7" fillId="32" borderId="0"/>
    <xf numFmtId="0" fontId="8" fillId="6" borderId="0"/>
    <xf numFmtId="0" fontId="8" fillId="7" borderId="0"/>
    <xf numFmtId="0" fontId="7" fillId="33" borderId="0"/>
    <xf numFmtId="0" fontId="7" fillId="34" borderId="0"/>
    <xf numFmtId="0" fontId="8" fillId="8" borderId="0"/>
    <xf numFmtId="0" fontId="8" fillId="9" borderId="0"/>
    <xf numFmtId="0" fontId="7" fillId="35" borderId="0"/>
    <xf numFmtId="0" fontId="7" fillId="36" borderId="0"/>
    <xf numFmtId="0" fontId="8" fillId="10" borderId="0"/>
    <xf numFmtId="0" fontId="8" fillId="11" borderId="0"/>
    <xf numFmtId="0" fontId="7" fillId="37" borderId="0"/>
    <xf numFmtId="0" fontId="7" fillId="38" borderId="0"/>
    <xf numFmtId="0" fontId="8" fillId="12" borderId="0"/>
    <xf numFmtId="0" fontId="8" fillId="13" borderId="0"/>
    <xf numFmtId="0" fontId="7" fillId="39" borderId="0"/>
    <xf numFmtId="0" fontId="7" fillId="40" borderId="0"/>
    <xf numFmtId="0" fontId="8" fillId="14" borderId="0"/>
    <xf numFmtId="0" fontId="8" fillId="15" borderId="0"/>
    <xf numFmtId="0" fontId="7" fillId="41" borderId="0"/>
    <xf numFmtId="0" fontId="7" fillId="42" borderId="0"/>
    <xf numFmtId="0" fontId="8" fillId="16" borderId="0"/>
    <xf numFmtId="0" fontId="8" fillId="17" borderId="0"/>
    <xf numFmtId="0" fontId="7" fillId="43" borderId="0"/>
    <xf numFmtId="43" fontId="10" fillId="0" borderId="0"/>
    <xf numFmtId="43" fontId="8" fillId="0" borderId="0"/>
  </cellStyleXfs>
  <cellXfs count="95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0" fontId="0" fillId="0" borderId="2" pivotButton="0" quotePrefix="0" xfId="0"/>
    <xf numFmtId="0" fontId="0" fillId="0" borderId="2" applyAlignment="1" pivotButton="0" quotePrefix="0" xfId="0">
      <alignment horizontal="center"/>
    </xf>
    <xf numFmtId="0" fontId="0" fillId="0" borderId="0" applyAlignment="1" pivotButton="0" quotePrefix="0" xfId="0">
      <alignment horizontal="left" indent="1"/>
    </xf>
    <xf numFmtId="0" fontId="6" fillId="4" borderId="2" applyAlignment="1" pivotButton="0" quotePrefix="0" xfId="0">
      <alignment horizontal="left" vertical="center" indent="1"/>
    </xf>
    <xf numFmtId="0" fontId="6" fillId="4" borderId="2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wrapText="1" indent="1"/>
    </xf>
    <xf numFmtId="40" fontId="0" fillId="18" borderId="1" pivotButton="0" quotePrefix="0" xfId="0"/>
    <xf numFmtId="0" fontId="7" fillId="22" borderId="0" applyAlignment="1" pivotButton="0" quotePrefix="0" xfId="0">
      <alignment horizontal="center"/>
    </xf>
    <xf numFmtId="0" fontId="7" fillId="22" borderId="0" pivotButton="0" quotePrefix="0" xfId="0"/>
    <xf numFmtId="0" fontId="7" fillId="22" borderId="0" applyAlignment="1" pivotButton="0" quotePrefix="0" xfId="0">
      <alignment horizontal="center" vertical="center"/>
    </xf>
    <xf numFmtId="0" fontId="14" fillId="22" borderId="0" applyAlignment="1" pivotButton="0" quotePrefix="0" xfId="0">
      <alignment horizontal="center"/>
    </xf>
    <xf numFmtId="0" fontId="14" fillId="22" borderId="0" pivotButton="0" quotePrefix="0" xfId="0"/>
    <xf numFmtId="0" fontId="15" fillId="19" borderId="0" pivotButton="0" quotePrefix="0" xfId="0"/>
    <xf numFmtId="0" fontId="0" fillId="23" borderId="0" pivotButton="0" quotePrefix="0" xfId="0"/>
    <xf numFmtId="40" fontId="11" fillId="23" borderId="0" applyAlignment="1" pivotButton="0" quotePrefix="0" xfId="1">
      <alignment horizontal="left" indent="1"/>
    </xf>
    <xf numFmtId="0" fontId="13" fillId="23" borderId="0" applyAlignment="1" pivotButton="0" quotePrefix="0" xfId="0">
      <alignment horizontal="left" wrapText="1" indent="1"/>
    </xf>
    <xf numFmtId="0" fontId="5" fillId="23" borderId="0" applyAlignment="1" pivotButton="0" quotePrefix="0" xfId="0">
      <alignment horizontal="right" wrapText="1" indent="1"/>
    </xf>
    <xf numFmtId="40" fontId="2" fillId="23" borderId="4" applyAlignment="1" pivotButton="0" quotePrefix="0" xfId="2">
      <alignment horizontal="center"/>
    </xf>
    <xf numFmtId="17" fontId="0" fillId="23" borderId="0" applyAlignment="1" pivotButton="0" quotePrefix="0" xfId="0">
      <alignment horizontal="left" wrapText="1" indent="1"/>
    </xf>
    <xf numFmtId="0" fontId="0" fillId="23" borderId="0" applyAlignment="1" pivotButton="0" quotePrefix="0" xfId="0">
      <alignment horizontal="left" wrapText="1" indent="1"/>
    </xf>
    <xf numFmtId="14" fontId="4" fillId="20" borderId="11" applyAlignment="1" pivotButton="0" quotePrefix="0" xfId="0">
      <alignment horizontal="center" vertical="center"/>
    </xf>
    <xf numFmtId="0" fontId="0" fillId="24" borderId="7" pivotButton="0" quotePrefix="0" xfId="0"/>
    <xf numFmtId="40" fontId="11" fillId="24" borderId="8" applyAlignment="1" pivotButton="0" quotePrefix="0" xfId="1">
      <alignment horizontal="left" indent="1"/>
    </xf>
    <xf numFmtId="0" fontId="5" fillId="24" borderId="10" applyAlignment="1" pivotButton="0" quotePrefix="0" xfId="0">
      <alignment horizontal="right" wrapText="1" indent="1"/>
    </xf>
    <xf numFmtId="0" fontId="0" fillId="24" borderId="6" pivotButton="0" quotePrefix="0" xfId="0"/>
    <xf numFmtId="0" fontId="0" fillId="24" borderId="4" pivotButton="0" quotePrefix="0" xfId="0"/>
    <xf numFmtId="0" fontId="0" fillId="24" borderId="0" pivotButton="0" quotePrefix="0" xfId="0"/>
    <xf numFmtId="40" fontId="11" fillId="24" borderId="0" applyAlignment="1" pivotButton="0" quotePrefix="0" xfId="1">
      <alignment horizontal="left" indent="1"/>
    </xf>
    <xf numFmtId="0" fontId="0" fillId="24" borderId="9" pivotButton="0" quotePrefix="0" xfId="0"/>
    <xf numFmtId="0" fontId="7" fillId="24" borderId="2" pivotButton="0" quotePrefix="0" xfId="0"/>
    <xf numFmtId="0" fontId="5" fillId="24" borderId="2" pivotButton="0" quotePrefix="0" xfId="0"/>
    <xf numFmtId="0" fontId="16" fillId="24" borderId="5" applyAlignment="1" pivotButton="0" quotePrefix="0" xfId="0">
      <alignment horizontal="left" vertical="center" indent="1"/>
    </xf>
    <xf numFmtId="0" fontId="2" fillId="21" borderId="13" applyAlignment="1" pivotButton="0" quotePrefix="0" xfId="1">
      <alignment horizontal="center"/>
    </xf>
    <xf numFmtId="0" fontId="2" fillId="21" borderId="13" applyAlignment="1" pivotButton="0" quotePrefix="1" xfId="1">
      <alignment horizontal="center"/>
    </xf>
    <xf numFmtId="40" fontId="2" fillId="21" borderId="13" applyAlignment="1" pivotButton="0" quotePrefix="0" xfId="2">
      <alignment horizontal="center"/>
    </xf>
    <xf numFmtId="0" fontId="17" fillId="25" borderId="12" applyAlignment="1" pivotButton="0" quotePrefix="0" xfId="0">
      <alignment horizontal="left" wrapText="1"/>
    </xf>
    <xf numFmtId="0" fontId="17" fillId="25" borderId="12" applyAlignment="1" pivotButton="0" quotePrefix="0" xfId="0">
      <alignment horizontal="center" wrapText="1"/>
    </xf>
    <xf numFmtId="164" fontId="32" fillId="18" borderId="1" pivotButton="0" quotePrefix="0" xfId="0"/>
    <xf numFmtId="164" fontId="33" fillId="0" borderId="12" applyAlignment="1" pivotButton="0" quotePrefix="0" xfId="0">
      <alignment horizontal="right" wrapText="1"/>
    </xf>
    <xf numFmtId="0" fontId="3" fillId="0" borderId="12" applyAlignment="1" pivotButton="0" quotePrefix="0" xfId="1">
      <alignment horizontal="center"/>
    </xf>
    <xf numFmtId="0" fontId="34" fillId="23" borderId="0" applyAlignment="1" pivotButton="0" quotePrefix="0" xfId="0">
      <alignment horizontal="right" wrapText="1" indent="1"/>
    </xf>
    <xf numFmtId="165" fontId="5" fillId="24" borderId="0" applyAlignment="1" pivotButton="0" quotePrefix="0" xfId="0">
      <alignment horizontal="center"/>
    </xf>
    <xf numFmtId="0" fontId="35" fillId="22" borderId="0" pivotButton="0" quotePrefix="0" xfId="0"/>
    <xf numFmtId="0" fontId="35" fillId="22" borderId="0" pivotButton="0" quotePrefix="1" xfId="0"/>
    <xf numFmtId="0" fontId="3" fillId="44" borderId="12" applyAlignment="1" pivotButton="0" quotePrefix="0" xfId="1">
      <alignment horizontal="center"/>
    </xf>
    <xf numFmtId="166" fontId="0" fillId="24" borderId="6" pivotButton="0" quotePrefix="0" xfId="0"/>
    <xf numFmtId="166" fontId="0" fillId="24" borderId="0" pivotButton="0" quotePrefix="0" xfId="0"/>
    <xf numFmtId="166" fontId="13" fillId="24" borderId="8" applyAlignment="1" pivotButton="0" quotePrefix="0" xfId="0">
      <alignment horizontal="right" vertical="center" indent="1"/>
    </xf>
    <xf numFmtId="166" fontId="0" fillId="24" borderId="2" pivotButton="0" quotePrefix="0" xfId="0"/>
    <xf numFmtId="166" fontId="2" fillId="21" borderId="13" applyAlignment="1" pivotButton="0" quotePrefix="0" xfId="1">
      <alignment horizontal="center"/>
    </xf>
    <xf numFmtId="166" fontId="17" fillId="25" borderId="12" applyAlignment="1" pivotButton="0" quotePrefix="0" xfId="0">
      <alignment horizontal="center" wrapText="1"/>
    </xf>
    <xf numFmtId="166" fontId="0" fillId="0" borderId="0" pivotButton="0" quotePrefix="0" xfId="0"/>
    <xf numFmtId="0" fontId="7" fillId="22" borderId="0" applyAlignment="1" pivotButton="0" quotePrefix="0" xfId="0">
      <alignment horizontal="right"/>
    </xf>
    <xf numFmtId="0" fontId="15" fillId="19" borderId="0" applyAlignment="1" pivotButton="0" quotePrefix="0" xfId="0">
      <alignment wrapText="1"/>
    </xf>
    <xf numFmtId="0" fontId="35" fillId="19" borderId="0" applyAlignment="1" pivotButton="0" quotePrefix="0" xfId="0">
      <alignment wrapText="1"/>
    </xf>
    <xf numFmtId="0" fontId="35" fillId="22" borderId="0" applyAlignment="1" pivotButton="0" quotePrefix="0" xfId="0">
      <alignment horizontal="right"/>
    </xf>
    <xf numFmtId="0" fontId="7" fillId="22" borderId="0" applyAlignment="1" pivotButton="0" quotePrefix="0" xfId="0">
      <alignment horizontal="right" vertical="center"/>
    </xf>
    <xf numFmtId="0" fontId="15" fillId="19" borderId="0" applyAlignment="1" pivotButton="0" quotePrefix="0" xfId="0">
      <alignment horizontal="right"/>
    </xf>
    <xf numFmtId="166" fontId="2" fillId="21" borderId="13" applyAlignment="1" pivotButton="0" quotePrefix="0" xfId="1">
      <alignment horizontal="center" wrapText="1"/>
    </xf>
    <xf numFmtId="14" fontId="0" fillId="0" borderId="0" pivotButton="0" quotePrefix="0" xfId="0"/>
    <xf numFmtId="14" fontId="0" fillId="0" borderId="0" pivotButton="0" quotePrefix="1" xfId="0"/>
    <xf numFmtId="0" fontId="0" fillId="0" borderId="0" applyAlignment="1" pivotButton="0" quotePrefix="1" xfId="0">
      <alignment horizontal="center"/>
    </xf>
    <xf numFmtId="49" fontId="0" fillId="0" borderId="0" pivotButton="0" quotePrefix="1" xfId="0"/>
    <xf numFmtId="167" fontId="0" fillId="0" borderId="0" applyAlignment="1" pivotButton="0" quotePrefix="0" xfId="62">
      <alignment horizontal="right"/>
    </xf>
    <xf numFmtId="0" fontId="37" fillId="0" borderId="0" pivotButton="0" quotePrefix="0" xfId="0"/>
    <xf numFmtId="0" fontId="37" fillId="0" borderId="0" pivotButton="0" quotePrefix="1" xfId="0"/>
    <xf numFmtId="167" fontId="38" fillId="0" borderId="0" applyAlignment="1" pivotButton="0" quotePrefix="0" xfId="62">
      <alignment horizontal="right"/>
    </xf>
    <xf numFmtId="165" fontId="5" fillId="24" borderId="0" applyAlignment="1" pivotButton="0" quotePrefix="1" xfId="0">
      <alignment horizontal="center"/>
    </xf>
    <xf numFmtId="0" fontId="12" fillId="3" borderId="4" applyAlignment="1" pivotButton="0" quotePrefix="0" xfId="0">
      <alignment horizontal="center" vertical="center" shrinkToFit="1"/>
    </xf>
    <xf numFmtId="0" fontId="12" fillId="3" borderId="0" applyAlignment="1" pivotButton="0" quotePrefix="0" xfId="0">
      <alignment horizontal="center" vertical="center" shrinkToFit="1"/>
    </xf>
    <xf numFmtId="0" fontId="13" fillId="24" borderId="8" applyAlignment="1" pivotButton="0" quotePrefix="0" xfId="0">
      <alignment horizontal="left" wrapText="1" indent="1"/>
    </xf>
    <xf numFmtId="40" fontId="2" fillId="2" borderId="0" applyAlignment="1" pivotButton="0" quotePrefix="0" xfId="2">
      <alignment horizontal="center" vertical="center" wrapText="1"/>
    </xf>
    <xf numFmtId="40" fontId="2" fillId="2" borderId="0" applyAlignment="1" pivotButton="0" quotePrefix="0" xfId="2">
      <alignment horizontal="center" wrapText="1"/>
    </xf>
    <xf numFmtId="166" fontId="0" fillId="0" borderId="0" pivotButton="0" quotePrefix="0" xfId="0"/>
    <xf numFmtId="166" fontId="0" fillId="24" borderId="6" pivotButton="0" quotePrefix="0" xfId="0"/>
    <xf numFmtId="166" fontId="0" fillId="24" borderId="0" pivotButton="0" quotePrefix="0" xfId="0"/>
    <xf numFmtId="166" fontId="13" fillId="24" borderId="8" applyAlignment="1" pivotButton="0" quotePrefix="0" xfId="0">
      <alignment horizontal="right" vertical="center" indent="1"/>
    </xf>
    <xf numFmtId="164" fontId="32" fillId="18" borderId="1" pivotButton="0" quotePrefix="0" xfId="0"/>
    <xf numFmtId="0" fontId="0" fillId="0" borderId="8" pivotButton="0" quotePrefix="0" xfId="0"/>
    <xf numFmtId="166" fontId="0" fillId="24" borderId="2" pivotButton="0" quotePrefix="0" xfId="0"/>
    <xf numFmtId="166" fontId="2" fillId="21" borderId="13" applyAlignment="1" pivotButton="0" quotePrefix="0" xfId="1">
      <alignment horizontal="center" wrapText="1"/>
    </xf>
    <xf numFmtId="166" fontId="2" fillId="21" borderId="13" applyAlignment="1" pivotButton="0" quotePrefix="0" xfId="1">
      <alignment horizontal="center"/>
    </xf>
    <xf numFmtId="40" fontId="39" fillId="23" borderId="4" applyAlignment="1" pivotButton="0" quotePrefix="0" xfId="2">
      <alignment horizontal="center"/>
    </xf>
    <xf numFmtId="167" fontId="38" fillId="0" borderId="0" applyAlignment="1" pivotButton="0" quotePrefix="0" xfId="62">
      <alignment horizontal="right"/>
    </xf>
    <xf numFmtId="0" fontId="40" fillId="23" borderId="0" applyAlignment="1" pivotButton="0" quotePrefix="0" xfId="0">
      <alignment horizontal="right" wrapText="1" indent="1"/>
    </xf>
    <xf numFmtId="167" fontId="0" fillId="0" borderId="0" applyAlignment="1" pivotButton="0" quotePrefix="0" xfId="62">
      <alignment horizontal="right"/>
    </xf>
    <xf numFmtId="166" fontId="17" fillId="25" borderId="12" applyAlignment="1" pivotButton="0" quotePrefix="0" xfId="0">
      <alignment horizontal="center" wrapText="1"/>
    </xf>
    <xf numFmtId="164" fontId="33" fillId="0" borderId="12" applyAlignment="1" pivotButton="0" quotePrefix="0" xfId="0">
      <alignment horizontal="right" wrapText="1"/>
    </xf>
    <xf numFmtId="0" fontId="41" fillId="0" borderId="0" pivotButton="0" quotePrefix="0" xfId="0"/>
    <xf numFmtId="0" fontId="42" fillId="0" borderId="0" pivotButton="0" quotePrefix="0" xfId="0"/>
    <xf numFmtId="0" fontId="43" fillId="45" borderId="22" applyAlignment="1" pivotButton="0" quotePrefix="0" xfId="0">
      <alignment horizontal="center"/>
    </xf>
    <xf numFmtId="0" fontId="44" fillId="0" borderId="22" pivotButton="0" quotePrefix="0" xfId="0"/>
    <xf numFmtId="0" fontId="0" fillId="46" borderId="22" pivotButton="0" quotePrefix="0" xfId="0"/>
  </cellXfs>
  <cellStyles count="63">
    <cellStyle name="Normal" xfId="0" builtinId="0"/>
    <cellStyle name="Normal 2" xfId="1"/>
    <cellStyle name="Separador de milhares 2" xfId="2"/>
    <cellStyle name="Normal 5" xfId="3"/>
    <cellStyle name="Normal 3 2" xfId="4"/>
    <cellStyle name="20% - Ênfase1 2" xfId="5"/>
    <cellStyle name="20% - Ênfase2 2" xfId="6"/>
    <cellStyle name="20% - Ênfase3 2" xfId="7"/>
    <cellStyle name="20% - Ênfase4 2" xfId="8"/>
    <cellStyle name="20% - Ênfase5 2" xfId="9"/>
    <cellStyle name="20% - Ênfase6 2" xfId="10"/>
    <cellStyle name="40% - Ênfase1 2" xfId="11"/>
    <cellStyle name="40% - Ênfase2 2" xfId="12"/>
    <cellStyle name="40% - Ênfase3 2" xfId="13"/>
    <cellStyle name="40% - Ênfase4 2" xfId="14"/>
    <cellStyle name="40% - Ênfase5 2" xfId="15"/>
    <cellStyle name="40% - Ênfase6 2" xfId="16"/>
    <cellStyle name="Normal 3" xfId="17"/>
    <cellStyle name="Normal 4" xfId="18"/>
    <cellStyle name="Nota 2" xfId="19"/>
    <cellStyle name="Título" xfId="20" builtinId="15"/>
    <cellStyle name="Título 1" xfId="21" builtinId="16"/>
    <cellStyle name="Título 2" xfId="22" builtinId="17"/>
    <cellStyle name="Título 3" xfId="23" builtinId="18"/>
    <cellStyle name="Título 4" xfId="24" builtinId="19"/>
    <cellStyle name="Bom" xfId="25" builtinId="26"/>
    <cellStyle name="Ruim" xfId="26" builtinId="27"/>
    <cellStyle name="Neutro" xfId="27" builtinId="28"/>
    <cellStyle name="Entrada" xfId="28" builtinId="20"/>
    <cellStyle name="Saída" xfId="29" builtinId="21"/>
    <cellStyle name="Cálculo" xfId="30" builtinId="22"/>
    <cellStyle name="Célula Vinculada" xfId="31" builtinId="24"/>
    <cellStyle name="Célula de Verificação" xfId="32" builtinId="23"/>
    <cellStyle name="Texto de Aviso" xfId="33" builtinId="11"/>
    <cellStyle name="Nota" xfId="34" builtinId="10"/>
    <cellStyle name="Texto Explicativo" xfId="35" builtinId="53"/>
    <cellStyle name="Total" xfId="36" builtinId="25"/>
    <cellStyle name="Ênfase1" xfId="37" builtinId="29"/>
    <cellStyle name="20% - Ênfase1" xfId="38" builtinId="30"/>
    <cellStyle name="40% - Ênfase1" xfId="39" builtinId="31"/>
    <cellStyle name="60% - Ênfase1" xfId="40" builtinId="32"/>
    <cellStyle name="Ênfase2" xfId="41" builtinId="33"/>
    <cellStyle name="20% - Ênfase2" xfId="42" builtinId="34"/>
    <cellStyle name="40% - Ênfase2" xfId="43" builtinId="35"/>
    <cellStyle name="60% - Ênfase2" xfId="44" builtinId="36"/>
    <cellStyle name="Ênfase3" xfId="45" builtinId="37"/>
    <cellStyle name="20% - Ênfase3" xfId="46" builtinId="38"/>
    <cellStyle name="40% - Ênfase3" xfId="47" builtinId="39"/>
    <cellStyle name="60% - Ênfase3" xfId="48" builtinId="40"/>
    <cellStyle name="Ênfase4" xfId="49" builtinId="41"/>
    <cellStyle name="20% - Ênfase4" xfId="50" builtinId="42"/>
    <cellStyle name="40% - Ênfase4" xfId="51" builtinId="43"/>
    <cellStyle name="60% - Ênfase4" xfId="52" builtinId="44"/>
    <cellStyle name="Ênfase5" xfId="53" builtinId="45"/>
    <cellStyle name="20% - Ênfase5" xfId="54" builtinId="46"/>
    <cellStyle name="40% - Ênfase5" xfId="55" builtinId="47"/>
    <cellStyle name="60% - Ênfase5" xfId="56" builtinId="48"/>
    <cellStyle name="Ênfase6" xfId="57" builtinId="49"/>
    <cellStyle name="20% - Ênfase6" xfId="58" builtinId="50"/>
    <cellStyle name="40% - Ênfase6" xfId="59" builtinId="51"/>
    <cellStyle name="60% - Ênfase6" xfId="60" builtinId="52"/>
    <cellStyle name="Separador de milhares 3" xfId="61"/>
    <cellStyle name="Vírgula" xfId="62" builtinId="3"/>
  </cellStyles>
  <dxfs count="3">
    <dxf>
      <font>
        <b val="1"/>
        <i val="1"/>
        <color theme="2"/>
      </font>
      <fill>
        <patternFill>
          <bgColor rgb="FFC00000"/>
        </patternFill>
      </fill>
    </dxf>
    <dxf>
      <font>
        <b val="1"/>
        <i val="1"/>
        <color theme="2"/>
      </font>
      <fill>
        <patternFill>
          <bgColor rgb="FFC00000"/>
        </patternFill>
      </fill>
    </dxf>
    <dxf>
      <font>
        <b val="1"/>
        <i val="1"/>
        <color theme="2"/>
      </font>
      <fill>
        <patternFill>
          <bgColor rgb="FFC0000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Plan2">
    <outlinePr summaryBelow="1" summaryRight="1"/>
    <pageSetUpPr/>
  </sheetPr>
  <dimension ref="A1:AL3916"/>
  <sheetViews>
    <sheetView zoomScale="85" zoomScaleNormal="85" workbookViewId="0">
      <pane ySplit="7" topLeftCell="A8" activePane="bottomLeft" state="frozen"/>
      <selection pane="bottomLeft" activeCell="H9" sqref="H9"/>
    </sheetView>
  </sheetViews>
  <sheetFormatPr baseColWidth="8" defaultColWidth="9.109375" defaultRowHeight="14.4"/>
  <cols>
    <col width="9.6640625" customWidth="1" min="1" max="1"/>
    <col width="13.44140625" customWidth="1" min="2" max="2"/>
    <col width="9.109375" customWidth="1" min="3" max="3"/>
    <col width="7.44140625" customWidth="1" min="4" max="4"/>
    <col width="11.5546875" customWidth="1" min="5" max="5"/>
    <col width="13.6640625" customWidth="1" style="75" min="6" max="6"/>
    <col width="14" customWidth="1" min="7" max="7"/>
    <col width="55.6640625" customWidth="1" style="7" min="8" max="8"/>
    <col width="5.88671875" customWidth="1" style="21" min="9" max="9"/>
    <col width="22.44140625" bestFit="1" customWidth="1" style="9" min="10" max="10"/>
    <col width="1.6640625" customWidth="1" style="21" min="11" max="11"/>
    <col width="14.6640625" customWidth="1" style="10" min="12" max="12"/>
    <col width="1.88671875" customWidth="1" style="21" min="13" max="13"/>
    <col width="9.109375" customWidth="1" style="10" min="14" max="14"/>
    <col width="11.6640625" customWidth="1" style="10" min="15" max="15"/>
    <col width="8" customWidth="1" style="10" min="16" max="16"/>
    <col width="9.109375" customWidth="1" style="10" min="17" max="17"/>
    <col width="15.5546875" customWidth="1" style="10" min="18" max="18"/>
    <col width="9.109375" customWidth="1" style="10" min="19" max="22"/>
    <col width="15.5546875" customWidth="1" style="10" min="23" max="23"/>
    <col width="9.109375" customWidth="1" style="10" min="24" max="26"/>
    <col width="9.88671875" customWidth="1" style="10" min="27" max="27"/>
    <col width="9.109375" customWidth="1" style="10" min="28" max="28"/>
    <col width="17.6640625" customWidth="1" style="10" min="29" max="29"/>
    <col width="10.88671875" customWidth="1" style="10" min="30" max="32"/>
    <col width="19.5546875" customWidth="1" style="54" min="33" max="33"/>
    <col width="9.109375" customWidth="1" style="10" min="34" max="16384"/>
  </cols>
  <sheetData>
    <row r="1" ht="19.5" customHeight="1" thickBot="1">
      <c r="A1" s="33" t="inlineStr">
        <is>
          <t>VOUCHER PARA CONTABILIZAÇÕES</t>
        </is>
      </c>
      <c r="B1" s="26" t="n"/>
      <c r="C1" s="26" t="n"/>
      <c r="D1" s="26" t="n"/>
      <c r="E1" s="26" t="n"/>
      <c r="F1" s="76" t="n"/>
      <c r="G1" s="26" t="n"/>
      <c r="H1" s="23" t="n"/>
      <c r="I1" s="15" t="n"/>
      <c r="K1" s="10" t="n"/>
      <c r="M1" s="10" t="n"/>
    </row>
    <row r="2" ht="30" customFormat="1" customHeight="1" s="11" thickTop="1">
      <c r="A2" s="70" t="inlineStr">
        <is>
          <t>BRAGA VEICULOS LTDA</t>
        </is>
      </c>
      <c r="G2" s="22" t="n">
        <v>46142</v>
      </c>
      <c r="H2" s="24" t="n"/>
      <c r="I2" s="16" t="n"/>
      <c r="K2" s="10" t="n"/>
      <c r="L2" s="10" t="n"/>
      <c r="M2" s="10" t="n"/>
      <c r="AG2" s="58" t="n"/>
    </row>
    <row r="3" ht="8.1" customHeight="1" thickBot="1">
      <c r="A3" s="27" t="n"/>
      <c r="B3" s="28" t="n"/>
      <c r="C3" s="28" t="n"/>
      <c r="D3" s="28" t="n"/>
      <c r="E3" s="28" t="n"/>
      <c r="F3" s="77" t="n"/>
      <c r="G3" s="29" t="n"/>
      <c r="H3" s="24" t="n"/>
      <c r="I3" s="16" t="n"/>
      <c r="K3" s="10" t="n"/>
      <c r="M3" s="10" t="n"/>
    </row>
    <row r="4" ht="19.5" customHeight="1" thickBot="1">
      <c r="A4" s="27" t="inlineStr">
        <is>
          <t>Empresa:</t>
        </is>
      </c>
      <c r="B4" s="69" t="inlineStr">
        <is>
          <t>07</t>
        </is>
      </c>
      <c r="C4" s="28" t="n"/>
      <c r="D4" s="28" t="n"/>
      <c r="E4" s="28" t="n"/>
      <c r="F4" s="78" t="inlineStr">
        <is>
          <t xml:space="preserve">Total Débitos = </t>
        </is>
      </c>
      <c r="G4" s="8">
        <f>SUMIF(A:A,"D",F:F)</f>
        <v/>
      </c>
      <c r="H4" s="72" t="inlineStr">
        <is>
          <t>VALOR MAXIMO POR LANCAMENTO 
= R$ 9.999.999,99</t>
        </is>
      </c>
      <c r="I4" s="17" t="n"/>
      <c r="K4" s="10" t="n"/>
      <c r="M4" s="10" t="n"/>
      <c r="N4" s="9" t="n">
        <v>2</v>
      </c>
      <c r="O4" s="9" t="n">
        <v>8</v>
      </c>
      <c r="P4" s="9" t="n">
        <v>2</v>
      </c>
      <c r="Q4" s="9" t="n">
        <v>3</v>
      </c>
      <c r="R4" s="9" t="n">
        <v>20</v>
      </c>
      <c r="S4" s="9" t="n">
        <v>10</v>
      </c>
      <c r="T4" s="9" t="n">
        <v>2</v>
      </c>
      <c r="U4" s="9" t="n">
        <v>15</v>
      </c>
      <c r="V4" s="9" t="n"/>
      <c r="W4" s="9" t="n">
        <v>20</v>
      </c>
      <c r="X4" s="9" t="n">
        <v>10</v>
      </c>
      <c r="Y4" s="9" t="n"/>
      <c r="Z4" s="9" t="n"/>
      <c r="AA4" s="9" t="n">
        <v>8</v>
      </c>
      <c r="AB4" s="9" t="n"/>
      <c r="AC4" s="9" t="n"/>
      <c r="AD4" s="9" t="n"/>
      <c r="AE4" s="9" t="n"/>
      <c r="AF4" s="9" t="n"/>
      <c r="AH4" s="9" t="n"/>
      <c r="AI4" s="9" t="n"/>
      <c r="AJ4" s="9" t="n"/>
    </row>
    <row r="5" ht="19.5" customHeight="1" thickBot="1">
      <c r="A5" s="27" t="inlineStr">
        <is>
          <t>Filial     :</t>
        </is>
      </c>
      <c r="B5" s="69" t="inlineStr">
        <is>
          <t>001</t>
        </is>
      </c>
      <c r="C5" s="79">
        <f>G4-G5</f>
        <v/>
      </c>
      <c r="D5" s="28" t="n"/>
      <c r="E5" s="28" t="n"/>
      <c r="F5" s="78" t="inlineStr">
        <is>
          <t xml:space="preserve">Total Créditos = </t>
        </is>
      </c>
      <c r="G5" s="8">
        <f>SUMIF(A:A,"C",F:F)</f>
        <v/>
      </c>
      <c r="H5" s="80" t="n"/>
      <c r="I5" s="17" t="n"/>
      <c r="J5" s="73" t="inlineStr">
        <is>
          <t>FILTRO P/ TXT = LANÇAR:</t>
        </is>
      </c>
      <c r="K5" s="17" t="n"/>
      <c r="L5" s="74" t="inlineStr">
        <is>
          <t>COPIAR P/ ARQUIVO TEXTO</t>
        </is>
      </c>
      <c r="M5" s="17" t="n"/>
      <c r="N5" s="44" t="inlineStr">
        <is>
          <t>FP</t>
        </is>
      </c>
      <c r="O5" s="45" t="inlineStr">
        <is>
          <t>00000000</t>
        </is>
      </c>
      <c r="P5" s="45" t="inlineStr">
        <is>
          <t>01</t>
        </is>
      </c>
      <c r="Q5" s="45" t="inlineStr">
        <is>
          <t>001</t>
        </is>
      </c>
      <c r="R5" s="45" t="inlineStr">
        <is>
          <t>658</t>
        </is>
      </c>
      <c r="S5" s="45" t="inlineStr">
        <is>
          <t>001000</t>
        </is>
      </c>
      <c r="T5" s="45" t="n"/>
      <c r="U5" s="45" t="n"/>
      <c r="V5" s="45" t="n"/>
      <c r="W5" s="45" t="inlineStr">
        <is>
          <t>658</t>
        </is>
      </c>
      <c r="X5" s="45" t="inlineStr">
        <is>
          <t>001000</t>
        </is>
      </c>
      <c r="Y5" s="45" t="n"/>
      <c r="Z5" s="45" t="n"/>
      <c r="AA5" s="45" t="inlineStr">
        <is>
          <t>08201600</t>
        </is>
      </c>
      <c r="AB5" s="44" t="n"/>
      <c r="AC5" s="44" t="n"/>
      <c r="AD5" s="44" t="n"/>
      <c r="AE5" s="44" t="n"/>
      <c r="AF5" s="44" t="n"/>
      <c r="AG5" s="57" t="n"/>
      <c r="AH5" s="44" t="n"/>
      <c r="AI5" s="44" t="n"/>
      <c r="AJ5" s="44" t="n"/>
      <c r="AK5" s="44" t="n"/>
      <c r="AL5" s="44" t="n"/>
    </row>
    <row r="6" ht="15" customHeight="1" thickBot="1">
      <c r="A6" s="30" t="inlineStr">
        <is>
          <t>Tipo Lote:</t>
        </is>
      </c>
      <c r="B6" s="43" t="inlineStr">
        <is>
          <t>FP</t>
        </is>
      </c>
      <c r="C6" s="31" t="n"/>
      <c r="D6" s="31" t="n"/>
      <c r="E6" s="31" t="n"/>
      <c r="F6" s="81" t="n"/>
      <c r="G6" s="32" t="n"/>
      <c r="H6" s="25" t="n"/>
      <c r="I6" s="18" t="n"/>
      <c r="K6" s="18" t="n"/>
      <c r="M6" s="18" t="n"/>
    </row>
    <row r="7" ht="48" customHeight="1">
      <c r="A7" s="35" t="inlineStr">
        <is>
          <t xml:space="preserve">  D/C </t>
        </is>
      </c>
      <c r="B7" s="34" t="inlineStr">
        <is>
          <t xml:space="preserve">CONTA </t>
        </is>
      </c>
      <c r="C7" s="34" t="inlineStr">
        <is>
          <t>C.CUSTO</t>
        </is>
      </c>
      <c r="D7" s="82" t="inlineStr">
        <is>
          <t>TP. SUB. CTA</t>
        </is>
      </c>
      <c r="E7" s="82" t="inlineStr">
        <is>
          <t>SUB. CONTA</t>
        </is>
      </c>
      <c r="F7" s="83" t="inlineStr">
        <is>
          <t>VALOR</t>
        </is>
      </c>
      <c r="G7" s="36" t="inlineStr">
        <is>
          <t>HIST.</t>
        </is>
      </c>
      <c r="H7" s="36" t="inlineStr">
        <is>
          <t>COMPLEMENTO HISTORICO</t>
        </is>
      </c>
      <c r="I7" s="84" t="inlineStr">
        <is>
          <t>CONTA RCO005 (ref.)</t>
        </is>
      </c>
      <c r="K7" s="19" t="n"/>
      <c r="M7" s="19" t="n"/>
      <c r="N7" s="14" t="inlineStr">
        <is>
          <t>Tipo</t>
        </is>
      </c>
      <c r="O7" s="14" t="inlineStr">
        <is>
          <t>NR.LOTE</t>
        </is>
      </c>
      <c r="P7" s="14" t="inlineStr">
        <is>
          <t>empresa</t>
        </is>
      </c>
      <c r="Q7" s="14" t="inlineStr">
        <is>
          <t>filial</t>
        </is>
      </c>
      <c r="R7" s="14" t="inlineStr">
        <is>
          <t>conta debito</t>
        </is>
      </c>
      <c r="S7" s="14" t="inlineStr">
        <is>
          <t>c.custo</t>
        </is>
      </c>
      <c r="T7" s="55" t="inlineStr">
        <is>
          <t>Tipo Sub.conta Debito</t>
        </is>
      </c>
      <c r="U7" s="55" t="inlineStr">
        <is>
          <t>Código Sub.conta Debito</t>
        </is>
      </c>
      <c r="V7" s="56" t="inlineStr">
        <is>
          <t>Espaço</t>
        </is>
      </c>
      <c r="W7" s="14" t="inlineStr">
        <is>
          <t>conta credito</t>
        </is>
      </c>
      <c r="X7" s="14" t="inlineStr">
        <is>
          <t>c.custo</t>
        </is>
      </c>
      <c r="Y7" s="55" t="inlineStr">
        <is>
          <t>Tipo Sub.conta Credito</t>
        </is>
      </c>
      <c r="Z7" s="55" t="inlineStr">
        <is>
          <t>Código Sub.conta Credito</t>
        </is>
      </c>
      <c r="AA7" s="14" t="inlineStr">
        <is>
          <t>nr.doc</t>
        </is>
      </c>
      <c r="AB7" s="14" t="inlineStr">
        <is>
          <t>hist.padrao</t>
        </is>
      </c>
      <c r="AC7" s="14" t="inlineStr">
        <is>
          <t>complemento</t>
        </is>
      </c>
      <c r="AD7" s="14" t="inlineStr">
        <is>
          <t>data</t>
        </is>
      </c>
      <c r="AE7" s="14" t="inlineStr">
        <is>
          <t>data 2</t>
        </is>
      </c>
      <c r="AF7" s="14" t="inlineStr">
        <is>
          <t>Contrapartida</t>
        </is>
      </c>
      <c r="AG7" s="59" t="inlineStr">
        <is>
          <t>valor</t>
        </is>
      </c>
      <c r="AH7" s="14" t="inlineStr">
        <is>
          <t>CARACTERES</t>
        </is>
      </c>
      <c r="AI7" s="14" t="inlineStr">
        <is>
          <t>TEM QUE SER 152</t>
        </is>
      </c>
    </row>
    <row r="8">
      <c r="A8" s="66" t="inlineStr">
        <is>
          <t>D</t>
        </is>
      </c>
      <c r="B8" s="67">
        <f>IFERROR(IF(VLOOKUP(I8,DEPARA_CONTAS,2,0)="","CONTA PENDENTE",VLOOKUP(I8,DEPARA_CONTAS,2,0)),"SEM DE-PARA")</f>
        <v/>
      </c>
      <c r="C8" s="67" t="inlineStr">
        <is>
          <t>001000</t>
        </is>
      </c>
      <c r="D8" s="66" t="n"/>
      <c r="E8" s="66" t="n"/>
      <c r="F8" s="85" t="n">
        <v>32020.93</v>
      </c>
      <c r="G8" s="66" t="n"/>
      <c r="H8" s="67" t="inlineStr">
        <is>
          <t>FOLHA DE PAGAMENTO REF 04/2026</t>
        </is>
      </c>
      <c r="I8" s="86" t="inlineStr">
        <is>
          <t>6.1.1.01.002</t>
        </is>
      </c>
      <c r="J8" s="12">
        <f>IF(F8&lt;&gt;0,"LANÇAR","")</f>
        <v/>
      </c>
      <c r="K8" s="20" t="n"/>
      <c r="L8" s="13">
        <f>N8&amp;O8&amp;P8&amp;Q8&amp;R8&amp;S8&amp;T8&amp;U8&amp;V8&amp;W8&amp;X8&amp;Y8&amp;Z8&amp;AA8&amp;AB8&amp;AC8&amp;AD8&amp;AE8&amp;AF8&amp;AG8</f>
        <v/>
      </c>
      <c r="M8" s="20" t="n"/>
      <c r="N8" s="10">
        <f>TEXT($B$6,"00")</f>
        <v/>
      </c>
      <c r="O8" s="10">
        <f>REPT(" ",8)</f>
        <v/>
      </c>
      <c r="P8" s="10">
        <f>RIGHT($B$4,2)</f>
        <v/>
      </c>
      <c r="Q8" s="10">
        <f>RIGHT($B$5,3)</f>
        <v/>
      </c>
      <c r="R8" s="10">
        <f>IF(A8="D",LEFT(UPPER(B8)&amp;REPT(" ",20),20),REPT(" ",20))</f>
        <v/>
      </c>
      <c r="S8" s="10">
        <f>IF(A8="D",LEFT(UPPER(C8)&amp;REPT(" ",10),10)," ")</f>
        <v/>
      </c>
      <c r="T8" s="10">
        <f>IF(A8="D",LEFT(UPPER(D8)&amp;REPT(" ",2),2)," ")</f>
        <v/>
      </c>
      <c r="U8" s="10">
        <f>IF(A8="D",LEFT(UPPER(E8)&amp;REPT(" ",15),15)," ")</f>
        <v/>
      </c>
      <c r="V8" s="10">
        <f>REPT(" ",24)</f>
        <v/>
      </c>
      <c r="W8" s="10">
        <f>IF(A8="c",LEFT(UPPER(B8)&amp;REPT(" ",20),20),REPT(" ",20))</f>
        <v/>
      </c>
      <c r="X8" s="10">
        <f>IF(A8="C",LEFT(UPPER(C8)&amp;REPT(" ",10),10)," ")</f>
        <v/>
      </c>
      <c r="Y8" s="10">
        <f>IF(A8="C",LEFT(UPPER(D8)&amp;REPT(" ",2),2)," ")</f>
        <v/>
      </c>
      <c r="Z8" s="10">
        <f>IF(A8="C",LEFT(UPPER(E8)&amp;REPT(" ",15),15)," ")</f>
        <v/>
      </c>
      <c r="AA8" s="10">
        <f>REPT(" ",8)</f>
        <v/>
      </c>
      <c r="AB8" s="10">
        <f>REPT(" ",4)</f>
        <v/>
      </c>
      <c r="AC8" s="10">
        <f>LEFT(UPPER(H8)&amp;REPT(" ",250),250)</f>
        <v/>
      </c>
      <c r="AD8" s="10">
        <f>TEXT($G$2,"dd/mm/aaaa")</f>
        <v/>
      </c>
      <c r="AE8" s="10">
        <f>REPT(" ",10)</f>
        <v/>
      </c>
      <c r="AF8" s="10">
        <f>REPT(" ",20)</f>
        <v/>
      </c>
      <c r="AG8" s="54">
        <f>REPT(" ",18-LEN(FIXED(F8,2,TRUE)))&amp;FIXED(F8,2,TRUE)</f>
        <v/>
      </c>
      <c r="AH8" s="10">
        <f>LEN(AC8)+LEN(AG8)</f>
        <v/>
      </c>
      <c r="AI8" s="10">
        <f>LEN(L8)</f>
        <v/>
      </c>
    </row>
    <row r="9">
      <c r="A9" s="66" t="inlineStr">
        <is>
          <t>D</t>
        </is>
      </c>
      <c r="B9" s="67">
        <f>IFERROR(IF(VLOOKUP(I9,DEPARA_CONTAS,2,0)="","CONTA PENDENTE",VLOOKUP(I9,DEPARA_CONTAS,2,0)),"SEM DE-PARA")</f>
        <v/>
      </c>
      <c r="C9" s="67" t="inlineStr">
        <is>
          <t>001000</t>
        </is>
      </c>
      <c r="D9" s="66" t="inlineStr">
        <is>
          <t>CG</t>
        </is>
      </c>
      <c r="E9" s="66" t="n">
        <v>30201</v>
      </c>
      <c r="F9" s="85" t="n">
        <v>37937.22</v>
      </c>
      <c r="G9" s="66" t="n"/>
      <c r="H9" s="67" t="inlineStr">
        <is>
          <t>FOLHA DE PAGAMENTO REF 04/2026</t>
        </is>
      </c>
      <c r="I9" s="86" t="inlineStr">
        <is>
          <t>6.1.1.01.003</t>
        </is>
      </c>
      <c r="J9" s="12">
        <f>IF(F9&lt;&gt;0,"LANÇAR","")</f>
        <v/>
      </c>
      <c r="K9" s="20" t="n"/>
      <c r="L9" s="13">
        <f>N9&amp;O9&amp;P9&amp;Q9&amp;R9&amp;S9&amp;T9&amp;U9&amp;V9&amp;W9&amp;X9&amp;Y9&amp;Z9&amp;AA9&amp;AB9&amp;AC9&amp;AD9&amp;AE9&amp;AF9&amp;AG9</f>
        <v/>
      </c>
      <c r="M9" s="20" t="n"/>
      <c r="N9" s="10">
        <f>TEXT($B$6,"00")</f>
        <v/>
      </c>
      <c r="O9" s="10">
        <f>REPT(" ",8)</f>
        <v/>
      </c>
      <c r="P9" s="10">
        <f>RIGHT($B$4,2)</f>
        <v/>
      </c>
      <c r="Q9" s="10">
        <f>RIGHT($B$5,3)</f>
        <v/>
      </c>
      <c r="R9" s="10">
        <f>IF(A9="D",LEFT(UPPER(B9)&amp;REPT(" ",20),20),REPT(" ",20))</f>
        <v/>
      </c>
      <c r="S9" s="10">
        <f>IF(A9="D",LEFT(UPPER(C9)&amp;REPT(" ",10),10)," ")</f>
        <v/>
      </c>
      <c r="T9" s="10">
        <f>IF(A9="D",LEFT(UPPER(D9)&amp;REPT(" ",2),2)," ")</f>
        <v/>
      </c>
      <c r="U9" s="10">
        <f>IF(A9="D",LEFT(UPPER(E9)&amp;REPT(" ",15),15)," ")</f>
        <v/>
      </c>
      <c r="V9" s="10">
        <f>REPT(" ",24)</f>
        <v/>
      </c>
      <c r="W9" s="10">
        <f>IF(A9="c",LEFT(UPPER(B9)&amp;REPT(" ",20),20),REPT(" ",20))</f>
        <v/>
      </c>
      <c r="X9" s="10">
        <f>IF(A9="C",LEFT(UPPER(C9)&amp;REPT(" ",10),10)," ")</f>
        <v/>
      </c>
      <c r="Y9" s="10">
        <f>IF(A9="C",LEFT(UPPER(D9)&amp;REPT(" ",2),2)," ")</f>
        <v/>
      </c>
      <c r="Z9" s="10">
        <f>IF(A9="C",LEFT(UPPER(E9)&amp;REPT(" ",15),15)," ")</f>
        <v/>
      </c>
      <c r="AA9" s="10">
        <f>REPT(" ",8)</f>
        <v/>
      </c>
      <c r="AB9" s="10">
        <f>REPT(" ",4)</f>
        <v/>
      </c>
      <c r="AC9" s="10">
        <f>LEFT(UPPER(H9)&amp;REPT(" ",250),250)</f>
        <v/>
      </c>
      <c r="AD9" s="10">
        <f>TEXT($G$2,"dd/mm/aaaa")</f>
        <v/>
      </c>
      <c r="AE9" s="10">
        <f>REPT(" ",10)</f>
        <v/>
      </c>
      <c r="AF9" s="10">
        <f>REPT(" ",20)</f>
        <v/>
      </c>
      <c r="AG9" s="54">
        <f>REPT(" ",18-LEN(FIXED(F9,2,TRUE)))&amp;FIXED(F9,2,TRUE)</f>
        <v/>
      </c>
      <c r="AH9" s="10">
        <f>LEN(AC9)+LEN(AG9)</f>
        <v/>
      </c>
      <c r="AI9" s="10">
        <f>LEN(L9)</f>
        <v/>
      </c>
    </row>
    <row r="10">
      <c r="A10" s="66" t="inlineStr">
        <is>
          <t>D</t>
        </is>
      </c>
      <c r="B10" s="67">
        <f>IFERROR(IF(VLOOKUP(I10,DEPARA_CONTAS,2,0)="","CONTA PENDENTE",VLOOKUP(I10,DEPARA_CONTAS,2,0)),"SEM DE-PARA")</f>
        <v/>
      </c>
      <c r="C10" s="67" t="inlineStr">
        <is>
          <t>001000</t>
        </is>
      </c>
      <c r="D10" s="66" t="n"/>
      <c r="E10" s="66" t="n"/>
      <c r="F10" s="85" t="n">
        <v>84283</v>
      </c>
      <c r="G10" s="66" t="n"/>
      <c r="H10" s="67" t="inlineStr">
        <is>
          <t>FOLHA DE PAGAMENTO REF 04/2026</t>
        </is>
      </c>
      <c r="I10" s="86" t="inlineStr">
        <is>
          <t>6.1.1.01.005</t>
        </is>
      </c>
      <c r="J10" s="12">
        <f>IF(F10&lt;&gt;0,"LANÇAR","")</f>
        <v/>
      </c>
      <c r="K10" s="20" t="n"/>
      <c r="L10" s="13">
        <f>N10&amp;O10&amp;P10&amp;Q10&amp;R10&amp;S10&amp;T10&amp;U10&amp;V10&amp;W10&amp;X10&amp;Y10&amp;Z10&amp;AA10&amp;AB10&amp;AC10&amp;AD10&amp;AE10&amp;AF10&amp;AG10</f>
        <v/>
      </c>
      <c r="M10" s="20" t="n"/>
      <c r="N10" s="10">
        <f>TEXT($B$6,"00")</f>
        <v/>
      </c>
      <c r="O10" s="10">
        <f>REPT(" ",8)</f>
        <v/>
      </c>
      <c r="P10" s="10">
        <f>RIGHT($B$4,2)</f>
        <v/>
      </c>
      <c r="Q10" s="10">
        <f>RIGHT($B$5,3)</f>
        <v/>
      </c>
      <c r="R10" s="10">
        <f>IF(A10="D",LEFT(UPPER(B10)&amp;REPT(" ",20),20),REPT(" ",20))</f>
        <v/>
      </c>
      <c r="S10" s="10">
        <f>IF(A10="D",LEFT(UPPER(C10)&amp;REPT(" ",10),10)," ")</f>
        <v/>
      </c>
      <c r="T10" s="10">
        <f>IF(A10="D",LEFT(UPPER(D10)&amp;REPT(" ",2),2)," ")</f>
        <v/>
      </c>
      <c r="U10" s="10">
        <f>IF(A10="D",LEFT(UPPER(E10)&amp;REPT(" ",15),15)," ")</f>
        <v/>
      </c>
      <c r="V10" s="10">
        <f>REPT(" ",24)</f>
        <v/>
      </c>
      <c r="W10" s="10">
        <f>IF(A10="c",LEFT(UPPER(B10)&amp;REPT(" ",20),20),REPT(" ",20))</f>
        <v/>
      </c>
      <c r="X10" s="10">
        <f>IF(A10="C",LEFT(UPPER(C10)&amp;REPT(" ",10),10)," ")</f>
        <v/>
      </c>
      <c r="Y10" s="10">
        <f>IF(A10="C",LEFT(UPPER(D10)&amp;REPT(" ",2),2)," ")</f>
        <v/>
      </c>
      <c r="Z10" s="10">
        <f>IF(A10="C",LEFT(UPPER(E10)&amp;REPT(" ",15),15)," ")</f>
        <v/>
      </c>
      <c r="AA10" s="10">
        <f>REPT(" ",8)</f>
        <v/>
      </c>
      <c r="AB10" s="10">
        <f>REPT(" ",4)</f>
        <v/>
      </c>
      <c r="AC10" s="10">
        <f>LEFT(UPPER(H10)&amp;REPT(" ",250),250)</f>
        <v/>
      </c>
      <c r="AD10" s="10">
        <f>TEXT($G$2,"dd/mm/aaaa")</f>
        <v/>
      </c>
      <c r="AE10" s="10">
        <f>REPT(" ",10)</f>
        <v/>
      </c>
      <c r="AF10" s="10">
        <f>REPT(" ",20)</f>
        <v/>
      </c>
      <c r="AG10" s="54">
        <f>REPT(" ",18-LEN(FIXED(F10,2,TRUE)))&amp;FIXED(F10,2,TRUE)</f>
        <v/>
      </c>
      <c r="AH10" s="10">
        <f>LEN(AC10)+LEN(AG10)</f>
        <v/>
      </c>
      <c r="AI10" s="10">
        <f>LEN(L10)</f>
        <v/>
      </c>
    </row>
    <row r="11">
      <c r="A11" s="66" t="inlineStr">
        <is>
          <t>D</t>
        </is>
      </c>
      <c r="B11" s="64">
        <f>IFERROR(IF(VLOOKUP(I11,DEPARA_CONTAS,2,0)="","CONTA PENDENTE",VLOOKUP(I11,DEPARA_CONTAS,2,0)),"SEM DE-PARA")</f>
        <v/>
      </c>
      <c r="C11" s="64" t="inlineStr">
        <is>
          <t>001000</t>
        </is>
      </c>
      <c r="D11" s="66" t="n"/>
      <c r="E11" s="62" t="n"/>
      <c r="F11" s="87" t="n">
        <v>2000</v>
      </c>
      <c r="H11" s="61" t="inlineStr">
        <is>
          <t>FOLHA DE PAGAMENTO REF 04/2026</t>
        </is>
      </c>
      <c r="I11" s="86" t="inlineStr">
        <is>
          <t>6.1.1.01.013</t>
        </is>
      </c>
      <c r="J11" s="12">
        <f>IF(F11&lt;&gt;0,"LANÇAR","")</f>
        <v/>
      </c>
      <c r="K11" s="20" t="n"/>
      <c r="L11" s="13">
        <f>N11&amp;O11&amp;P11&amp;Q11&amp;R11&amp;S11&amp;T11&amp;U11&amp;V11&amp;W11&amp;X11&amp;Y11&amp;Z11&amp;AA11&amp;AB11&amp;AC11&amp;AD11&amp;AE11&amp;AF11&amp;AG11</f>
        <v/>
      </c>
      <c r="M11" s="20" t="n"/>
      <c r="N11" s="10">
        <f>TEXT($B$6,"00")</f>
        <v/>
      </c>
      <c r="O11" s="10">
        <f>REPT(" ",8)</f>
        <v/>
      </c>
      <c r="P11" s="10">
        <f>RIGHT($B$4,2)</f>
        <v/>
      </c>
      <c r="Q11" s="10">
        <f>RIGHT($B$5,3)</f>
        <v/>
      </c>
      <c r="R11" s="10">
        <f>IF(A11="D",LEFT(UPPER(B11)&amp;REPT(" ",20),20),REPT(" ",20))</f>
        <v/>
      </c>
      <c r="S11" s="10">
        <f>IF(A11="D",LEFT(UPPER(C11)&amp;REPT(" ",10),10)," ")</f>
        <v/>
      </c>
      <c r="T11" s="10">
        <f>IF(A11="D",LEFT(UPPER(D11)&amp;REPT(" ",2),2)," ")</f>
        <v/>
      </c>
      <c r="U11" s="10">
        <f>IF(A11="D",LEFT(UPPER(E11)&amp;REPT(" ",15),15)," ")</f>
        <v/>
      </c>
      <c r="V11" s="10">
        <f>REPT(" ",24)</f>
        <v/>
      </c>
      <c r="W11" s="10">
        <f>IF(A11="c",LEFT(UPPER(B11)&amp;REPT(" ",20),20),REPT(" ",20))</f>
        <v/>
      </c>
      <c r="X11" s="10">
        <f>IF(A11="C",LEFT(UPPER(C11)&amp;REPT(" ",10),10)," ")</f>
        <v/>
      </c>
      <c r="Y11" s="10">
        <f>IF(A11="C",LEFT(UPPER(D11)&amp;REPT(" ",2),2)," ")</f>
        <v/>
      </c>
      <c r="Z11" s="10">
        <f>IF(A11="C",LEFT(UPPER(E11)&amp;REPT(" ",15),15)," ")</f>
        <v/>
      </c>
      <c r="AA11" s="10">
        <f>REPT(" ",8)</f>
        <v/>
      </c>
      <c r="AB11" s="10">
        <f>REPT(" ",4)</f>
        <v/>
      </c>
      <c r="AC11" s="10">
        <f>LEFT(UPPER(H11)&amp;REPT(" ",250),250)</f>
        <v/>
      </c>
      <c r="AD11" s="10">
        <f>TEXT($G$2,"dd/mm/aaaa")</f>
        <v/>
      </c>
      <c r="AE11" s="10">
        <f>REPT(" ",10)</f>
        <v/>
      </c>
      <c r="AF11" s="10">
        <f>REPT(" ",20)</f>
        <v/>
      </c>
      <c r="AG11" s="54">
        <f>REPT(" ",18-LEN(FIXED(F11,2,TRUE)))&amp;FIXED(F11,2,TRUE)</f>
        <v/>
      </c>
      <c r="AH11" s="10">
        <f>LEN(AC11)+LEN(AG11)</f>
        <v/>
      </c>
      <c r="AI11" s="10">
        <f>LEN(L11)</f>
        <v/>
      </c>
    </row>
    <row r="12">
      <c r="A12" s="61" t="inlineStr">
        <is>
          <t>C</t>
        </is>
      </c>
      <c r="B12" s="64">
        <f>IFERROR(IF(VLOOKUP(I12,DEPARA_CONTAS,2,0)="","CONTA PENDENTE",VLOOKUP(I12,DEPARA_CONTAS,2,0)),"SEM DE-PARA")</f>
        <v/>
      </c>
      <c r="C12" s="64" t="inlineStr">
        <is>
          <t>001000</t>
        </is>
      </c>
      <c r="D12" s="62" t="n"/>
      <c r="E12" s="62" t="n"/>
      <c r="F12" s="87" t="n">
        <v>3471.77</v>
      </c>
      <c r="H12" s="61" t="inlineStr">
        <is>
          <t>FOLHA DE PAGAMENTO REF 04/2026</t>
        </is>
      </c>
      <c r="I12" s="86" t="inlineStr">
        <is>
          <t>6.1.1.04.001</t>
        </is>
      </c>
      <c r="J12" s="12">
        <f>IF(F12&lt;&gt;0,"LANÇAR","")</f>
        <v/>
      </c>
      <c r="K12" s="20" t="n"/>
      <c r="L12" s="13">
        <f>N12&amp;O12&amp;P12&amp;Q12&amp;R12&amp;S12&amp;T12&amp;U12&amp;V12&amp;W12&amp;X12&amp;Y12&amp;Z12&amp;AA12&amp;AB12&amp;AC12&amp;AD12&amp;AE12&amp;AF12&amp;AG12</f>
        <v/>
      </c>
      <c r="M12" s="20" t="n"/>
      <c r="N12" s="10">
        <f>TEXT($B$6,"00")</f>
        <v/>
      </c>
      <c r="O12" s="10">
        <f>REPT(" ",8)</f>
        <v/>
      </c>
      <c r="P12" s="10">
        <f>RIGHT($B$4,2)</f>
        <v/>
      </c>
      <c r="Q12" s="10">
        <f>RIGHT($B$5,3)</f>
        <v/>
      </c>
      <c r="R12" s="10">
        <f>IF(A12="D",LEFT(UPPER(B12)&amp;REPT(" ",20),20),REPT(" ",20))</f>
        <v/>
      </c>
      <c r="S12" s="10">
        <f>IF(A12="D",LEFT(UPPER(C12)&amp;REPT(" ",10),10)," ")</f>
        <v/>
      </c>
      <c r="T12" s="10">
        <f>IF(A12="D",LEFT(UPPER(D12)&amp;REPT(" ",2),2)," ")</f>
        <v/>
      </c>
      <c r="U12" s="10">
        <f>IF(A12="D",LEFT(UPPER(E12)&amp;REPT(" ",15),15)," ")</f>
        <v/>
      </c>
      <c r="V12" s="10">
        <f>REPT(" ",24)</f>
        <v/>
      </c>
      <c r="W12" s="10">
        <f>IF(A12="c",LEFT(UPPER(B12)&amp;REPT(" ",20),20),REPT(" ",20))</f>
        <v/>
      </c>
      <c r="X12" s="10">
        <f>IF(A12="C",LEFT(UPPER(C12)&amp;REPT(" ",10),10)," ")</f>
        <v/>
      </c>
      <c r="Y12" s="10">
        <f>IF(A12="C",LEFT(UPPER(D12)&amp;REPT(" ",2),2)," ")</f>
        <v/>
      </c>
      <c r="Z12" s="10">
        <f>IF(A12="C",LEFT(UPPER(E12)&amp;REPT(" ",15),15)," ")</f>
        <v/>
      </c>
      <c r="AA12" s="10">
        <f>REPT(" ",8)</f>
        <v/>
      </c>
      <c r="AB12" s="10">
        <f>REPT(" ",4)</f>
        <v/>
      </c>
      <c r="AC12" s="10">
        <f>LEFT(UPPER(H12)&amp;REPT(" ",250),250)</f>
        <v/>
      </c>
      <c r="AD12" s="10">
        <f>TEXT($G$2,"dd/mm/aaaa")</f>
        <v/>
      </c>
      <c r="AE12" s="10">
        <f>REPT(" ",10)</f>
        <v/>
      </c>
      <c r="AF12" s="10">
        <f>REPT(" ",20)</f>
        <v/>
      </c>
      <c r="AG12" s="54">
        <f>REPT(" ",18-LEN(FIXED(F12,2,TRUE)))&amp;FIXED(F12,2,TRUE)</f>
        <v/>
      </c>
      <c r="AH12" s="10">
        <f>LEN(AC12)+LEN(AG12)</f>
        <v/>
      </c>
      <c r="AI12" s="10">
        <f>LEN(L12)</f>
        <v/>
      </c>
    </row>
    <row r="13">
      <c r="A13" s="61" t="inlineStr">
        <is>
          <t>C</t>
        </is>
      </c>
      <c r="B13" s="64">
        <f>IFERROR(IF(VLOOKUP(I13,DEPARA_CONTAS,2,0)="","CONTA PENDENTE",VLOOKUP(I13,DEPARA_CONTAS,2,0)),"SEM DE-PARA")</f>
        <v/>
      </c>
      <c r="C13" s="64" t="inlineStr">
        <is>
          <t>001000</t>
        </is>
      </c>
      <c r="D13" s="62" t="n"/>
      <c r="E13" s="62" t="n"/>
      <c r="F13" s="87" t="n">
        <v>359.33</v>
      </c>
      <c r="H13" s="61" t="inlineStr">
        <is>
          <t>FOLHA DE PAGAMENTO REF 04/2026</t>
        </is>
      </c>
      <c r="I13" s="86" t="inlineStr">
        <is>
          <t>6.1.1.04.003</t>
        </is>
      </c>
      <c r="J13" s="12">
        <f>IF(F13&lt;&gt;0,"LANÇAR","")</f>
        <v/>
      </c>
      <c r="K13" s="20" t="n"/>
      <c r="L13" s="13">
        <f>N13&amp;O13&amp;P13&amp;Q13&amp;R13&amp;S13&amp;T13&amp;U13&amp;V13&amp;W13&amp;X13&amp;Y13&amp;Z13&amp;AA13&amp;AB13&amp;AC13&amp;AD13&amp;AE13&amp;AF13&amp;AG13</f>
        <v/>
      </c>
      <c r="M13" s="20" t="n"/>
      <c r="N13" s="10">
        <f>TEXT($B$6,"00")</f>
        <v/>
      </c>
      <c r="O13" s="10">
        <f>REPT(" ",8)</f>
        <v/>
      </c>
      <c r="P13" s="10">
        <f>RIGHT($B$4,2)</f>
        <v/>
      </c>
      <c r="Q13" s="10">
        <f>RIGHT($B$5,3)</f>
        <v/>
      </c>
      <c r="R13" s="10">
        <f>IF(A13="D",LEFT(UPPER(B13)&amp;REPT(" ",20),20),REPT(" ",20))</f>
        <v/>
      </c>
      <c r="S13" s="10">
        <f>IF(A13="D",LEFT(UPPER(C13)&amp;REPT(" ",10),10)," ")</f>
        <v/>
      </c>
      <c r="T13" s="10">
        <f>IF(A13="D",LEFT(UPPER(D13)&amp;REPT(" ",2),2)," ")</f>
        <v/>
      </c>
      <c r="U13" s="10">
        <f>IF(A13="D",LEFT(UPPER(E13)&amp;REPT(" ",15),15)," ")</f>
        <v/>
      </c>
      <c r="V13" s="10">
        <f>REPT(" ",24)</f>
        <v/>
      </c>
      <c r="W13" s="10">
        <f>IF(A13="c",LEFT(UPPER(B13)&amp;REPT(" ",20),20),REPT(" ",20))</f>
        <v/>
      </c>
      <c r="X13" s="10">
        <f>IF(A13="C",LEFT(UPPER(C13)&amp;REPT(" ",10),10)," ")</f>
        <v/>
      </c>
      <c r="Y13" s="10">
        <f>IF(A13="C",LEFT(UPPER(D13)&amp;REPT(" ",2),2)," ")</f>
        <v/>
      </c>
      <c r="Z13" s="10">
        <f>IF(A13="C",LEFT(UPPER(E13)&amp;REPT(" ",15),15)," ")</f>
        <v/>
      </c>
      <c r="AA13" s="10">
        <f>REPT(" ",8)</f>
        <v/>
      </c>
      <c r="AB13" s="10">
        <f>REPT(" ",4)</f>
        <v/>
      </c>
      <c r="AC13" s="10">
        <f>LEFT(UPPER(H13)&amp;REPT(" ",250),250)</f>
        <v/>
      </c>
      <c r="AD13" s="10">
        <f>TEXT($G$2,"dd/mm/aaaa")</f>
        <v/>
      </c>
      <c r="AE13" s="10">
        <f>REPT(" ",10)</f>
        <v/>
      </c>
      <c r="AF13" s="10">
        <f>REPT(" ",20)</f>
        <v/>
      </c>
      <c r="AG13" s="54">
        <f>REPT(" ",18-LEN(FIXED(F13,2,TRUE)))&amp;FIXED(F13,2,TRUE)</f>
        <v/>
      </c>
      <c r="AH13" s="10">
        <f>LEN(AC13)+LEN(AG13)</f>
        <v/>
      </c>
      <c r="AI13" s="10">
        <f>LEN(L13)</f>
        <v/>
      </c>
    </row>
    <row r="14">
      <c r="A14" s="61" t="inlineStr">
        <is>
          <t>C</t>
        </is>
      </c>
      <c r="B14" s="64">
        <f>IFERROR(IF(VLOOKUP(I14,DEPARA_CONTAS,2,0)="","CONTA PENDENTE",VLOOKUP(I14,DEPARA_CONTAS,2,0)),"SEM DE-PARA")</f>
        <v/>
      </c>
      <c r="C14" s="64" t="inlineStr">
        <is>
          <t>001000</t>
        </is>
      </c>
      <c r="D14" s="62" t="n"/>
      <c r="E14" s="62" t="n"/>
      <c r="F14" s="87" t="n">
        <v>1377.14</v>
      </c>
      <c r="H14" s="61" t="inlineStr">
        <is>
          <t>FOLHA DE PAGAMENTO REF 04/2026</t>
        </is>
      </c>
      <c r="I14" s="86" t="inlineStr">
        <is>
          <t>6.1.1.04.006</t>
        </is>
      </c>
      <c r="J14" s="12">
        <f>IF(F14&lt;&gt;0,"LANÇAR","")</f>
        <v/>
      </c>
      <c r="K14" s="20" t="n"/>
      <c r="L14" s="13">
        <f>N14&amp;O14&amp;P14&amp;Q14&amp;R14&amp;S14&amp;T14&amp;U14&amp;V14&amp;W14&amp;X14&amp;Y14&amp;Z14&amp;AA14&amp;AB14&amp;AC14&amp;AD14&amp;AE14&amp;AF14&amp;AG14</f>
        <v/>
      </c>
      <c r="M14" s="20" t="n"/>
      <c r="N14" s="10">
        <f>TEXT($B$6,"00")</f>
        <v/>
      </c>
      <c r="O14" s="10">
        <f>REPT(" ",8)</f>
        <v/>
      </c>
      <c r="P14" s="10">
        <f>RIGHT($B$4,2)</f>
        <v/>
      </c>
      <c r="Q14" s="10">
        <f>RIGHT($B$5,3)</f>
        <v/>
      </c>
      <c r="R14" s="10">
        <f>IF(A14="D",LEFT(UPPER(B14)&amp;REPT(" ",20),20),REPT(" ",20))</f>
        <v/>
      </c>
      <c r="S14" s="10">
        <f>IF(A14="D",LEFT(UPPER(C14)&amp;REPT(" ",10),10)," ")</f>
        <v/>
      </c>
      <c r="T14" s="10">
        <f>IF(A14="D",LEFT(UPPER(D14)&amp;REPT(" ",2),2)," ")</f>
        <v/>
      </c>
      <c r="U14" s="10">
        <f>IF(A14="D",LEFT(UPPER(E14)&amp;REPT(" ",15),15)," ")</f>
        <v/>
      </c>
      <c r="V14" s="10">
        <f>REPT(" ",24)</f>
        <v/>
      </c>
      <c r="W14" s="10">
        <f>IF(A14="c",LEFT(UPPER(B14)&amp;REPT(" ",20),20),REPT(" ",20))</f>
        <v/>
      </c>
      <c r="X14" s="10">
        <f>IF(A14="C",LEFT(UPPER(C14)&amp;REPT(" ",10),10)," ")</f>
        <v/>
      </c>
      <c r="Y14" s="10">
        <f>IF(A14="C",LEFT(UPPER(D14)&amp;REPT(" ",2),2)," ")</f>
        <v/>
      </c>
      <c r="Z14" s="10">
        <f>IF(A14="C",LEFT(UPPER(E14)&amp;REPT(" ",15),15)," ")</f>
        <v/>
      </c>
      <c r="AA14" s="10">
        <f>REPT(" ",8)</f>
        <v/>
      </c>
      <c r="AB14" s="10">
        <f>REPT(" ",4)</f>
        <v/>
      </c>
      <c r="AC14" s="10">
        <f>LEFT(UPPER(H14)&amp;REPT(" ",250),250)</f>
        <v/>
      </c>
      <c r="AD14" s="10">
        <f>TEXT($G$2,"dd/mm/aaaa")</f>
        <v/>
      </c>
      <c r="AE14" s="10">
        <f>REPT(" ",10)</f>
        <v/>
      </c>
      <c r="AF14" s="10">
        <f>REPT(" ",20)</f>
        <v/>
      </c>
      <c r="AG14" s="54">
        <f>REPT(" ",18-LEN(FIXED(F14,2,TRUE)))&amp;FIXED(F14,2,TRUE)</f>
        <v/>
      </c>
      <c r="AH14" s="10">
        <f>LEN(AC14)+LEN(AG14)</f>
        <v/>
      </c>
      <c r="AI14" s="10">
        <f>LEN(L14)</f>
        <v/>
      </c>
    </row>
    <row r="15">
      <c r="A15" s="61" t="inlineStr">
        <is>
          <t>D</t>
        </is>
      </c>
      <c r="B15" s="64">
        <f>IFERROR(IF(VLOOKUP(I15,DEPARA_CONTAS,2,0)="","CONTA PENDENTE",VLOOKUP(I15,DEPARA_CONTAS,2,0)),"SEM DE-PARA")</f>
        <v/>
      </c>
      <c r="C15" s="64" t="inlineStr">
        <is>
          <t>001000</t>
        </is>
      </c>
      <c r="D15" s="62" t="n"/>
      <c r="E15" s="62" t="n"/>
      <c r="F15" s="87" t="n">
        <v>26110.97</v>
      </c>
      <c r="H15" s="61" t="inlineStr">
        <is>
          <t>FOLHA DE PAGAMENTO REF 04/2026</t>
        </is>
      </c>
      <c r="I15" s="86" t="inlineStr">
        <is>
          <t>6.1.1.02.001</t>
        </is>
      </c>
      <c r="J15" s="12">
        <f>IF(F15&lt;&gt;0,"LANÇAR","")</f>
        <v/>
      </c>
      <c r="K15" s="20" t="n"/>
      <c r="L15" s="13">
        <f>N15&amp;O15&amp;P15&amp;Q15&amp;R15&amp;S15&amp;T15&amp;U15&amp;V15&amp;W15&amp;X15&amp;Y15&amp;Z15&amp;AA15&amp;AB15&amp;AC15&amp;AD15&amp;AE15&amp;AF15&amp;AG15</f>
        <v/>
      </c>
      <c r="M15" s="20" t="n"/>
      <c r="N15" s="10">
        <f>TEXT($B$6,"00")</f>
        <v/>
      </c>
      <c r="O15" s="10">
        <f>REPT(" ",8)</f>
        <v/>
      </c>
      <c r="P15" s="10">
        <f>RIGHT($B$4,2)</f>
        <v/>
      </c>
      <c r="Q15" s="10">
        <f>RIGHT($B$5,3)</f>
        <v/>
      </c>
      <c r="R15" s="10">
        <f>IF(A15="D",LEFT(UPPER(B15)&amp;REPT(" ",20),20),REPT(" ",20))</f>
        <v/>
      </c>
      <c r="S15" s="10">
        <f>IF(A15="D",LEFT(UPPER(C15)&amp;REPT(" ",10),10)," ")</f>
        <v/>
      </c>
      <c r="T15" s="10">
        <f>IF(A15="D",LEFT(UPPER(D15)&amp;REPT(" ",2),2)," ")</f>
        <v/>
      </c>
      <c r="U15" s="10">
        <f>IF(A15="D",LEFT(UPPER(E15)&amp;REPT(" ",15),15)," ")</f>
        <v/>
      </c>
      <c r="V15" s="10">
        <f>REPT(" ",24)</f>
        <v/>
      </c>
      <c r="W15" s="10">
        <f>IF(A15="c",LEFT(UPPER(B15)&amp;REPT(" ",20),20),REPT(" ",20))</f>
        <v/>
      </c>
      <c r="X15" s="10">
        <f>IF(A15="C",LEFT(UPPER(C15)&amp;REPT(" ",10),10)," ")</f>
        <v/>
      </c>
      <c r="Y15" s="10">
        <f>IF(A15="C",LEFT(UPPER(D15)&amp;REPT(" ",2),2)," ")</f>
        <v/>
      </c>
      <c r="Z15" s="10">
        <f>IF(A15="C",LEFT(UPPER(E15)&amp;REPT(" ",15),15)," ")</f>
        <v/>
      </c>
      <c r="AA15" s="10">
        <f>REPT(" ",8)</f>
        <v/>
      </c>
      <c r="AB15" s="10">
        <f>REPT(" ",4)</f>
        <v/>
      </c>
      <c r="AC15" s="10">
        <f>LEFT(UPPER(H15)&amp;REPT(" ",250),250)</f>
        <v/>
      </c>
      <c r="AD15" s="10">
        <f>TEXT($G$2,"dd/mm/aaaa")</f>
        <v/>
      </c>
      <c r="AE15" s="10">
        <f>REPT(" ",10)</f>
        <v/>
      </c>
      <c r="AF15" s="10">
        <f>REPT(" ",20)</f>
        <v/>
      </c>
      <c r="AG15" s="54">
        <f>REPT(" ",18-LEN(FIXED(F15,2,TRUE)))&amp;FIXED(F15,2,TRUE)</f>
        <v/>
      </c>
      <c r="AH15" s="10">
        <f>LEN(AC15)+LEN(AG15)</f>
        <v/>
      </c>
      <c r="AI15" s="10">
        <f>LEN(L15)</f>
        <v/>
      </c>
    </row>
    <row r="16">
      <c r="A16" s="61" t="inlineStr">
        <is>
          <t>D</t>
        </is>
      </c>
      <c r="B16" s="64">
        <f>IFERROR(IF(VLOOKUP(I16,DEPARA_CONTAS,2,0)="","CONTA PENDENTE",VLOOKUP(I16,DEPARA_CONTAS,2,0)),"SEM DE-PARA")</f>
        <v/>
      </c>
      <c r="C16" s="64" t="inlineStr">
        <is>
          <t>001000</t>
        </is>
      </c>
      <c r="D16" s="62" t="n"/>
      <c r="E16" s="62" t="n"/>
      <c r="F16" s="87" t="n">
        <v>9494.9</v>
      </c>
      <c r="H16" s="61" t="inlineStr">
        <is>
          <t>FOLHA DE PAGAMENTO REF 04/2026</t>
        </is>
      </c>
      <c r="I16" s="86" t="inlineStr">
        <is>
          <t>6.1.1.02.002</t>
        </is>
      </c>
      <c r="J16" s="12">
        <f>IF(F16&lt;&gt;0,"LANÇAR","")</f>
        <v/>
      </c>
      <c r="K16" s="20" t="n"/>
      <c r="L16" s="13">
        <f>N16&amp;O16&amp;P16&amp;Q16&amp;R16&amp;S16&amp;T16&amp;U16&amp;V16&amp;W16&amp;X16&amp;Y16&amp;Z16&amp;AA16&amp;AB16&amp;AC16&amp;AD16&amp;AE16&amp;AF16&amp;AG16</f>
        <v/>
      </c>
      <c r="M16" s="20" t="n"/>
      <c r="N16" s="10">
        <f>TEXT($B$6,"00")</f>
        <v/>
      </c>
      <c r="O16" s="10">
        <f>REPT(" ",8)</f>
        <v/>
      </c>
      <c r="P16" s="10">
        <f>RIGHT($B$4,2)</f>
        <v/>
      </c>
      <c r="Q16" s="10">
        <f>RIGHT($B$5,3)</f>
        <v/>
      </c>
      <c r="R16" s="10">
        <f>IF(A16="D",LEFT(UPPER(B16)&amp;REPT(" ",20),20),REPT(" ",20))</f>
        <v/>
      </c>
      <c r="S16" s="10">
        <f>IF(A16="D",LEFT(UPPER(C16)&amp;REPT(" ",10),10)," ")</f>
        <v/>
      </c>
      <c r="T16" s="10">
        <f>IF(A16="D",LEFT(UPPER(D16)&amp;REPT(" ",2),2)," ")</f>
        <v/>
      </c>
      <c r="U16" s="10">
        <f>IF(A16="D",LEFT(UPPER(E16)&amp;REPT(" ",15),15)," ")</f>
        <v/>
      </c>
      <c r="V16" s="10">
        <f>REPT(" ",24)</f>
        <v/>
      </c>
      <c r="W16" s="10">
        <f>IF(A16="c",LEFT(UPPER(B16)&amp;REPT(" ",20),20),REPT(" ",20))</f>
        <v/>
      </c>
      <c r="X16" s="10">
        <f>IF(A16="C",LEFT(UPPER(C16)&amp;REPT(" ",10),10)," ")</f>
        <v/>
      </c>
      <c r="Y16" s="10">
        <f>IF(A16="C",LEFT(UPPER(D16)&amp;REPT(" ",2),2)," ")</f>
        <v/>
      </c>
      <c r="Z16" s="10">
        <f>IF(A16="C",LEFT(UPPER(E16)&amp;REPT(" ",15),15)," ")</f>
        <v/>
      </c>
      <c r="AA16" s="10">
        <f>REPT(" ",8)</f>
        <v/>
      </c>
      <c r="AB16" s="10">
        <f>REPT(" ",4)</f>
        <v/>
      </c>
      <c r="AC16" s="10">
        <f>LEFT(UPPER(H16)&amp;REPT(" ",250),250)</f>
        <v/>
      </c>
      <c r="AD16" s="10">
        <f>TEXT($G$2,"dd/mm/aaaa")</f>
        <v/>
      </c>
      <c r="AE16" s="10">
        <f>REPT(" ",10)</f>
        <v/>
      </c>
      <c r="AF16" s="10">
        <f>REPT(" ",20)</f>
        <v/>
      </c>
      <c r="AG16" s="54">
        <f>REPT(" ",18-LEN(FIXED(F16,2,TRUE)))&amp;FIXED(F16,2,TRUE)</f>
        <v/>
      </c>
      <c r="AH16" s="10">
        <f>LEN(AC16)+LEN(AG16)</f>
        <v/>
      </c>
      <c r="AI16" s="10">
        <f>LEN(L16)</f>
        <v/>
      </c>
    </row>
    <row r="17">
      <c r="A17" s="61" t="inlineStr">
        <is>
          <t>D</t>
        </is>
      </c>
      <c r="B17" s="64">
        <f>IFERROR(IF(VLOOKUP(I17,DEPARA_CONTAS,2,0)="","CONTA PENDENTE",VLOOKUP(I17,DEPARA_CONTAS,2,0)),"SEM DE-PARA")</f>
        <v/>
      </c>
      <c r="C17" s="64" t="inlineStr">
        <is>
          <t>001000</t>
        </is>
      </c>
      <c r="D17" s="62" t="n"/>
      <c r="E17" s="62" t="n"/>
      <c r="F17" s="87" t="n">
        <v>6883.8</v>
      </c>
      <c r="H17" s="61" t="inlineStr">
        <is>
          <t>FOLHA DE PAGAMENTO REF 04/2026</t>
        </is>
      </c>
      <c r="I17" s="86" t="inlineStr">
        <is>
          <t>6.1.1.02.005</t>
        </is>
      </c>
      <c r="J17" s="12">
        <f>IF(F17&lt;&gt;0,"LANÇAR","")</f>
        <v/>
      </c>
      <c r="K17" s="20" t="n"/>
      <c r="L17" s="13">
        <f>N17&amp;O17&amp;P17&amp;Q17&amp;R17&amp;S17&amp;T17&amp;U17&amp;V17&amp;W17&amp;X17&amp;Y17&amp;Z17&amp;AA17&amp;AB17&amp;AC17&amp;AD17&amp;AE17&amp;AF17&amp;AG17</f>
        <v/>
      </c>
      <c r="M17" s="20" t="n"/>
      <c r="N17" s="10">
        <f>TEXT($B$6,"00")</f>
        <v/>
      </c>
      <c r="O17" s="10">
        <f>REPT(" ",8)</f>
        <v/>
      </c>
      <c r="P17" s="10">
        <f>RIGHT($B$4,2)</f>
        <v/>
      </c>
      <c r="Q17" s="10">
        <f>RIGHT($B$5,3)</f>
        <v/>
      </c>
      <c r="R17" s="10">
        <f>IF(A17="D",LEFT(UPPER(B17)&amp;REPT(" ",20),20),REPT(" ",20))</f>
        <v/>
      </c>
      <c r="S17" s="10">
        <f>IF(A17="D",LEFT(UPPER(C17)&amp;REPT(" ",10),10)," ")</f>
        <v/>
      </c>
      <c r="T17" s="10">
        <f>IF(A17="D",LEFT(UPPER(D17)&amp;REPT(" ",2),2)," ")</f>
        <v/>
      </c>
      <c r="U17" s="10">
        <f>IF(A17="D",LEFT(UPPER(E17)&amp;REPT(" ",15),15)," ")</f>
        <v/>
      </c>
      <c r="V17" s="10">
        <f>REPT(" ",24)</f>
        <v/>
      </c>
      <c r="W17" s="10">
        <f>IF(A17="c",LEFT(UPPER(B17)&amp;REPT(" ",20),20),REPT(" ",20))</f>
        <v/>
      </c>
      <c r="X17" s="10">
        <f>IF(A17="C",LEFT(UPPER(C17)&amp;REPT(" ",10),10)," ")</f>
        <v/>
      </c>
      <c r="Y17" s="10">
        <f>IF(A17="C",LEFT(UPPER(D17)&amp;REPT(" ",2),2)," ")</f>
        <v/>
      </c>
      <c r="Z17" s="10">
        <f>IF(A17="C",LEFT(UPPER(E17)&amp;REPT(" ",15),15)," ")</f>
        <v/>
      </c>
      <c r="AA17" s="10">
        <f>REPT(" ",8)</f>
        <v/>
      </c>
      <c r="AB17" s="10">
        <f>REPT(" ",4)</f>
        <v/>
      </c>
      <c r="AC17" s="10">
        <f>LEFT(UPPER(H17)&amp;REPT(" ",250),250)</f>
        <v/>
      </c>
      <c r="AD17" s="10">
        <f>TEXT($G$2,"dd/mm/aaaa")</f>
        <v/>
      </c>
      <c r="AE17" s="10">
        <f>REPT(" ",10)</f>
        <v/>
      </c>
      <c r="AF17" s="10">
        <f>REPT(" ",20)</f>
        <v/>
      </c>
      <c r="AG17" s="54">
        <f>REPT(" ",18-LEN(FIXED(F17,2,TRUE)))&amp;FIXED(F17,2,TRUE)</f>
        <v/>
      </c>
      <c r="AH17" s="10">
        <f>LEN(AC17)+LEN(AG17)</f>
        <v/>
      </c>
      <c r="AI17" s="10">
        <f>LEN(L17)</f>
        <v/>
      </c>
    </row>
    <row r="18">
      <c r="A18" s="61" t="inlineStr">
        <is>
          <t>D</t>
        </is>
      </c>
      <c r="B18" s="64">
        <f>IFERROR(IF(VLOOKUP(I18,DEPARA_CONTAS,2,0)="","CONTA PENDENTE",VLOOKUP(I18,DEPARA_CONTAS,2,0)),"SEM DE-PARA")</f>
        <v/>
      </c>
      <c r="C18" s="64" t="inlineStr">
        <is>
          <t>001000</t>
        </is>
      </c>
      <c r="D18" s="62" t="n"/>
      <c r="E18" s="62" t="n"/>
      <c r="F18" s="87" t="n">
        <v>14386.21</v>
      </c>
      <c r="H18" s="61" t="inlineStr">
        <is>
          <t>FOLHA DE PAGAMENTO REF 04/2026</t>
        </is>
      </c>
      <c r="I18" s="86" t="inlineStr">
        <is>
          <t>6.1.1.03.001</t>
        </is>
      </c>
      <c r="J18" s="12">
        <f>IF(F18&lt;&gt;0,"LANÇAR","")</f>
        <v/>
      </c>
      <c r="K18" s="20" t="n"/>
      <c r="L18" s="13">
        <f>N18&amp;O18&amp;P18&amp;Q18&amp;R18&amp;S18&amp;T18&amp;U18&amp;V18&amp;W18&amp;X18&amp;Y18&amp;Z18&amp;AA18&amp;AB18&amp;AC18&amp;AD18&amp;AE18&amp;AF18&amp;AG18</f>
        <v/>
      </c>
      <c r="M18" s="20" t="n"/>
      <c r="N18" s="10">
        <f>TEXT($B$6,"00")</f>
        <v/>
      </c>
      <c r="O18" s="10">
        <f>REPT(" ",8)</f>
        <v/>
      </c>
      <c r="P18" s="10">
        <f>RIGHT($B$4,2)</f>
        <v/>
      </c>
      <c r="Q18" s="10">
        <f>RIGHT($B$5,3)</f>
        <v/>
      </c>
      <c r="R18" s="10">
        <f>IF(A18="D",LEFT(UPPER(B18)&amp;REPT(" ",20),20),REPT(" ",20))</f>
        <v/>
      </c>
      <c r="S18" s="10">
        <f>IF(A18="D",LEFT(UPPER(C18)&amp;REPT(" ",10),10)," ")</f>
        <v/>
      </c>
      <c r="T18" s="10">
        <f>IF(A18="D",LEFT(UPPER(D18)&amp;REPT(" ",2),2)," ")</f>
        <v/>
      </c>
      <c r="U18" s="10">
        <f>IF(A18="D",LEFT(UPPER(E18)&amp;REPT(" ",15),15)," ")</f>
        <v/>
      </c>
      <c r="V18" s="10">
        <f>REPT(" ",24)</f>
        <v/>
      </c>
      <c r="W18" s="10">
        <f>IF(A18="c",LEFT(UPPER(B18)&amp;REPT(" ",20),20),REPT(" ",20))</f>
        <v/>
      </c>
      <c r="X18" s="10">
        <f>IF(A18="C",LEFT(UPPER(C18)&amp;REPT(" ",10),10)," ")</f>
        <v/>
      </c>
      <c r="Y18" s="10">
        <f>IF(A18="C",LEFT(UPPER(D18)&amp;REPT(" ",2),2)," ")</f>
        <v/>
      </c>
      <c r="Z18" s="10">
        <f>IF(A18="C",LEFT(UPPER(E18)&amp;REPT(" ",15),15)," ")</f>
        <v/>
      </c>
      <c r="AA18" s="10">
        <f>REPT(" ",8)</f>
        <v/>
      </c>
      <c r="AB18" s="10">
        <f>REPT(" ",4)</f>
        <v/>
      </c>
      <c r="AC18" s="10">
        <f>LEFT(UPPER(H18)&amp;REPT(" ",250),250)</f>
        <v/>
      </c>
      <c r="AD18" s="10">
        <f>TEXT($G$2,"dd/mm/aaaa")</f>
        <v/>
      </c>
      <c r="AE18" s="10">
        <f>REPT(" ",10)</f>
        <v/>
      </c>
      <c r="AF18" s="10">
        <f>REPT(" ",20)</f>
        <v/>
      </c>
      <c r="AG18" s="54">
        <f>REPT(" ",18-LEN(FIXED(F18,2,TRUE)))&amp;FIXED(F18,2,TRUE)</f>
        <v/>
      </c>
      <c r="AH18" s="10">
        <f>LEN(AC18)+LEN(AG18)</f>
        <v/>
      </c>
      <c r="AI18" s="10">
        <f>LEN(L18)</f>
        <v/>
      </c>
    </row>
    <row r="19">
      <c r="A19" s="61" t="inlineStr">
        <is>
          <t>D</t>
        </is>
      </c>
      <c r="B19" s="64">
        <f>IFERROR(IF(VLOOKUP(I19,DEPARA_CONTAS,2,0)="","CONTA PENDENTE",VLOOKUP(I19,DEPARA_CONTAS,2,0)),"SEM DE-PARA")</f>
        <v/>
      </c>
      <c r="C19" s="64" t="inlineStr">
        <is>
          <t>001000</t>
        </is>
      </c>
      <c r="D19" s="62" t="n"/>
      <c r="E19" s="62" t="n"/>
      <c r="F19" s="87" t="n">
        <v>9890.52</v>
      </c>
      <c r="H19" s="61" t="inlineStr">
        <is>
          <t>FOLHA DE PAGAMENTO REF 04/2026</t>
        </is>
      </c>
      <c r="I19" s="86" t="inlineStr">
        <is>
          <t>6.1.1.03.002</t>
        </is>
      </c>
      <c r="J19" s="12">
        <f>IF(F19&lt;&gt;0,"LANÇAR","")</f>
        <v/>
      </c>
      <c r="K19" s="20" t="n"/>
      <c r="L19" s="13">
        <f>N19&amp;O19&amp;P19&amp;Q19&amp;R19&amp;S19&amp;T19&amp;U19&amp;V19&amp;W19&amp;X19&amp;Y19&amp;Z19&amp;AA19&amp;AB19&amp;AC19&amp;AD19&amp;AE19&amp;AF19&amp;AG19</f>
        <v/>
      </c>
      <c r="M19" s="20" t="n"/>
      <c r="N19" s="10">
        <f>TEXT($B$6,"00")</f>
        <v/>
      </c>
      <c r="O19" s="10">
        <f>REPT(" ",8)</f>
        <v/>
      </c>
      <c r="P19" s="10">
        <f>RIGHT($B$4,2)</f>
        <v/>
      </c>
      <c r="Q19" s="10">
        <f>RIGHT($B$5,3)</f>
        <v/>
      </c>
      <c r="R19" s="10">
        <f>IF(A19="D",LEFT(UPPER(B19)&amp;REPT(" ",20),20),REPT(" ",20))</f>
        <v/>
      </c>
      <c r="S19" s="10">
        <f>IF(A19="D",LEFT(UPPER(C19)&amp;REPT(" ",10),10)," ")</f>
        <v/>
      </c>
      <c r="T19" s="10">
        <f>IF(A19="D",LEFT(UPPER(D19)&amp;REPT(" ",2),2)," ")</f>
        <v/>
      </c>
      <c r="U19" s="10">
        <f>IF(A19="D",LEFT(UPPER(E19)&amp;REPT(" ",15),15)," ")</f>
        <v/>
      </c>
      <c r="V19" s="10">
        <f>REPT(" ",24)</f>
        <v/>
      </c>
      <c r="W19" s="10">
        <f>IF(A19="c",LEFT(UPPER(B19)&amp;REPT(" ",20),20),REPT(" ",20))</f>
        <v/>
      </c>
      <c r="X19" s="10">
        <f>IF(A19="C",LEFT(UPPER(C19)&amp;REPT(" ",10),10)," ")</f>
        <v/>
      </c>
      <c r="Y19" s="10">
        <f>IF(A19="C",LEFT(UPPER(D19)&amp;REPT(" ",2),2)," ")</f>
        <v/>
      </c>
      <c r="Z19" s="10">
        <f>IF(A19="C",LEFT(UPPER(E19)&amp;REPT(" ",15),15)," ")</f>
        <v/>
      </c>
      <c r="AA19" s="10">
        <f>REPT(" ",8)</f>
        <v/>
      </c>
      <c r="AB19" s="10">
        <f>REPT(" ",4)</f>
        <v/>
      </c>
      <c r="AC19" s="10">
        <f>LEFT(UPPER(H19)&amp;REPT(" ",250),250)</f>
        <v/>
      </c>
      <c r="AD19" s="10">
        <f>TEXT($G$2,"dd/mm/aaaa")</f>
        <v/>
      </c>
      <c r="AE19" s="10">
        <f>REPT(" ",10)</f>
        <v/>
      </c>
      <c r="AF19" s="10">
        <f>REPT(" ",20)</f>
        <v/>
      </c>
      <c r="AG19" s="54">
        <f>REPT(" ",18-LEN(FIXED(F19,2,TRUE)))&amp;FIXED(F19,2,TRUE)</f>
        <v/>
      </c>
      <c r="AH19" s="10">
        <f>LEN(AC19)+LEN(AG19)</f>
        <v/>
      </c>
      <c r="AI19" s="10">
        <f>LEN(L19)</f>
        <v/>
      </c>
    </row>
    <row r="20">
      <c r="A20" s="61" t="inlineStr">
        <is>
          <t>D</t>
        </is>
      </c>
      <c r="B20" s="64">
        <f>IFERROR(IF(VLOOKUP(I20,DEPARA_CONTAS,2,0)="","CONTA PENDENTE",VLOOKUP(I20,DEPARA_CONTAS,2,0)),"SEM DE-PARA")</f>
        <v/>
      </c>
      <c r="C20" s="64" t="inlineStr">
        <is>
          <t>001000</t>
        </is>
      </c>
      <c r="D20" s="62" t="n"/>
      <c r="E20" s="62" t="n"/>
      <c r="F20" s="87" t="n">
        <v>3999.37</v>
      </c>
      <c r="H20" s="61" t="inlineStr">
        <is>
          <t>FOLHA DE PAGAMENTO REF 04/2026</t>
        </is>
      </c>
      <c r="I20" s="86" t="inlineStr">
        <is>
          <t>6.1.1.03.003</t>
        </is>
      </c>
      <c r="J20" s="12">
        <f>IF(F20&lt;&gt;0,"LANÇAR","")</f>
        <v/>
      </c>
      <c r="K20" s="20" t="n"/>
      <c r="L20" s="13">
        <f>N20&amp;O20&amp;P20&amp;Q20&amp;R20&amp;S20&amp;T20&amp;U20&amp;V20&amp;W20&amp;X20&amp;Y20&amp;Z20&amp;AA20&amp;AB20&amp;AC20&amp;AD20&amp;AE20&amp;AF20&amp;AG20</f>
        <v/>
      </c>
      <c r="M20" s="20" t="n"/>
      <c r="N20" s="10">
        <f>TEXT($B$6,"00")</f>
        <v/>
      </c>
      <c r="O20" s="10">
        <f>REPT(" ",8)</f>
        <v/>
      </c>
      <c r="P20" s="10">
        <f>RIGHT($B$4,2)</f>
        <v/>
      </c>
      <c r="Q20" s="10">
        <f>RIGHT($B$5,3)</f>
        <v/>
      </c>
      <c r="R20" s="10">
        <f>IF(A20="D",LEFT(UPPER(B20)&amp;REPT(" ",20),20),REPT(" ",20))</f>
        <v/>
      </c>
      <c r="S20" s="10">
        <f>IF(A20="D",LEFT(UPPER(C20)&amp;REPT(" ",10),10)," ")</f>
        <v/>
      </c>
      <c r="T20" s="10">
        <f>IF(A20="D",LEFT(UPPER(D20)&amp;REPT(" ",2),2)," ")</f>
        <v/>
      </c>
      <c r="U20" s="10">
        <f>IF(A20="D",LEFT(UPPER(E20)&amp;REPT(" ",15),15)," ")</f>
        <v/>
      </c>
      <c r="V20" s="10">
        <f>REPT(" ",24)</f>
        <v/>
      </c>
      <c r="W20" s="10">
        <f>IF(A20="c",LEFT(UPPER(B20)&amp;REPT(" ",20),20),REPT(" ",20))</f>
        <v/>
      </c>
      <c r="X20" s="10">
        <f>IF(A20="C",LEFT(UPPER(C20)&amp;REPT(" ",10),10)," ")</f>
        <v/>
      </c>
      <c r="Y20" s="10">
        <f>IF(A20="C",LEFT(UPPER(D20)&amp;REPT(" ",2),2)," ")</f>
        <v/>
      </c>
      <c r="Z20" s="10">
        <f>IF(A20="C",LEFT(UPPER(E20)&amp;REPT(" ",15),15)," ")</f>
        <v/>
      </c>
      <c r="AA20" s="10">
        <f>REPT(" ",8)</f>
        <v/>
      </c>
      <c r="AB20" s="10">
        <f>REPT(" ",4)</f>
        <v/>
      </c>
      <c r="AC20" s="10">
        <f>LEFT(UPPER(H20)&amp;REPT(" ",250),250)</f>
        <v/>
      </c>
      <c r="AD20" s="10">
        <f>TEXT($G$2,"dd/mm/aaaa")</f>
        <v/>
      </c>
      <c r="AE20" s="10">
        <f>REPT(" ",10)</f>
        <v/>
      </c>
      <c r="AF20" s="10">
        <f>REPT(" ",20)</f>
        <v/>
      </c>
      <c r="AG20" s="54">
        <f>REPT(" ",18-LEN(FIXED(F20,2,TRUE)))&amp;FIXED(F20,2,TRUE)</f>
        <v/>
      </c>
      <c r="AH20" s="10">
        <f>LEN(AC20)+LEN(AG20)</f>
        <v/>
      </c>
      <c r="AI20" s="10">
        <f>LEN(L20)</f>
        <v/>
      </c>
    </row>
    <row r="21">
      <c r="A21" s="61" t="inlineStr">
        <is>
          <t>D</t>
        </is>
      </c>
      <c r="B21" s="64">
        <f>IFERROR(IF(VLOOKUP(I21,DEPARA_CONTAS,2,0)="","CONTA PENDENTE",VLOOKUP(I21,DEPARA_CONTAS,2,0)),"SEM DE-PARA")</f>
        <v/>
      </c>
      <c r="C21" s="64" t="inlineStr">
        <is>
          <t>001000</t>
        </is>
      </c>
      <c r="D21" s="62" t="n"/>
      <c r="E21" s="62" t="n"/>
      <c r="F21" s="87" t="n">
        <v>2749.56</v>
      </c>
      <c r="H21" s="61" t="inlineStr">
        <is>
          <t>FOLHA DE PAGAMENTO REF 04/2026</t>
        </is>
      </c>
      <c r="I21" s="86" t="inlineStr">
        <is>
          <t>6.1.1.03.004</t>
        </is>
      </c>
      <c r="J21" s="12">
        <f>IF(F21&lt;&gt;0,"LANÇAR","")</f>
        <v/>
      </c>
      <c r="K21" s="20" t="n"/>
      <c r="L21" s="13">
        <f>N21&amp;O21&amp;P21&amp;Q21&amp;R21&amp;S21&amp;T21&amp;U21&amp;V21&amp;W21&amp;X21&amp;Y21&amp;Z21&amp;AA21&amp;AB21&amp;AC21&amp;AD21&amp;AE21&amp;AF21&amp;AG21</f>
        <v/>
      </c>
      <c r="M21" s="20" t="n"/>
      <c r="N21" s="10">
        <f>TEXT($B$6,"00")</f>
        <v/>
      </c>
      <c r="O21" s="10">
        <f>REPT(" ",8)</f>
        <v/>
      </c>
      <c r="P21" s="10">
        <f>RIGHT($B$4,2)</f>
        <v/>
      </c>
      <c r="Q21" s="10">
        <f>RIGHT($B$5,3)</f>
        <v/>
      </c>
      <c r="R21" s="10">
        <f>IF(A21="D",LEFT(UPPER(B21)&amp;REPT(" ",20),20),REPT(" ",20))</f>
        <v/>
      </c>
      <c r="S21" s="10">
        <f>IF(A21="D",LEFT(UPPER(C21)&amp;REPT(" ",10),10)," ")</f>
        <v/>
      </c>
      <c r="T21" s="10">
        <f>IF(A21="D",LEFT(UPPER(D21)&amp;REPT(" ",2),2)," ")</f>
        <v/>
      </c>
      <c r="U21" s="10">
        <f>IF(A21="D",LEFT(UPPER(E21)&amp;REPT(" ",15),15)," ")</f>
        <v/>
      </c>
      <c r="V21" s="10">
        <f>REPT(" ",24)</f>
        <v/>
      </c>
      <c r="W21" s="10">
        <f>IF(A21="c",LEFT(UPPER(B21)&amp;REPT(" ",20),20),REPT(" ",20))</f>
        <v/>
      </c>
      <c r="X21" s="10">
        <f>IF(A21="C",LEFT(UPPER(C21)&amp;REPT(" ",10),10)," ")</f>
        <v/>
      </c>
      <c r="Y21" s="10">
        <f>IF(A21="C",LEFT(UPPER(D21)&amp;REPT(" ",2),2)," ")</f>
        <v/>
      </c>
      <c r="Z21" s="10">
        <f>IF(A21="C",LEFT(UPPER(E21)&amp;REPT(" ",15),15)," ")</f>
        <v/>
      </c>
      <c r="AA21" s="10">
        <f>REPT(" ",8)</f>
        <v/>
      </c>
      <c r="AB21" s="10">
        <f>REPT(" ",4)</f>
        <v/>
      </c>
      <c r="AC21" s="10">
        <f>LEFT(UPPER(H21)&amp;REPT(" ",250),250)</f>
        <v/>
      </c>
      <c r="AD21" s="10">
        <f>TEXT($G$2,"dd/mm/aaaa")</f>
        <v/>
      </c>
      <c r="AE21" s="10">
        <f>REPT(" ",10)</f>
        <v/>
      </c>
      <c r="AF21" s="10">
        <f>REPT(" ",20)</f>
        <v/>
      </c>
      <c r="AG21" s="54">
        <f>REPT(" ",18-LEN(FIXED(F21,2,TRUE)))&amp;FIXED(F21,2,TRUE)</f>
        <v/>
      </c>
      <c r="AH21" s="10">
        <f>LEN(AC21)+LEN(AG21)</f>
        <v/>
      </c>
      <c r="AI21" s="10">
        <f>LEN(L21)</f>
        <v/>
      </c>
    </row>
    <row r="22">
      <c r="A22" s="61" t="inlineStr">
        <is>
          <t>D</t>
        </is>
      </c>
      <c r="B22" s="64">
        <f>IFERROR(IF(VLOOKUP(I22,DEPARA_CONTAS,2,0)="","CONTA PENDENTE",VLOOKUP(I22,DEPARA_CONTAS,2,0)),"SEM DE-PARA")</f>
        <v/>
      </c>
      <c r="C22" s="64" t="inlineStr">
        <is>
          <t>001000</t>
        </is>
      </c>
      <c r="D22" s="62" t="n"/>
      <c r="E22" s="62" t="n"/>
      <c r="F22" s="87" t="n">
        <v>1150.9</v>
      </c>
      <c r="H22" s="61" t="inlineStr">
        <is>
          <t>FOLHA DE PAGAMENTO REF 04/2026</t>
        </is>
      </c>
      <c r="I22" s="86" t="inlineStr">
        <is>
          <t>6.1.1.03.005</t>
        </is>
      </c>
      <c r="J22" s="12">
        <f>IF(F22&lt;&gt;0,"LANÇAR","")</f>
        <v/>
      </c>
      <c r="K22" s="20" t="n"/>
      <c r="L22" s="13">
        <f>N22&amp;O22&amp;P22&amp;Q22&amp;R22&amp;S22&amp;T22&amp;U22&amp;V22&amp;W22&amp;X22&amp;Y22&amp;Z22&amp;AA22&amp;AB22&amp;AC22&amp;AD22&amp;AE22&amp;AF22&amp;AG22</f>
        <v/>
      </c>
      <c r="M22" s="20" t="n"/>
      <c r="N22" s="10">
        <f>TEXT($B$6,"00")</f>
        <v/>
      </c>
      <c r="O22" s="10">
        <f>REPT(" ",8)</f>
        <v/>
      </c>
      <c r="P22" s="10">
        <f>RIGHT($B$4,2)</f>
        <v/>
      </c>
      <c r="Q22" s="10">
        <f>RIGHT($B$5,3)</f>
        <v/>
      </c>
      <c r="R22" s="10">
        <f>IF(A22="D",LEFT(UPPER(B22)&amp;REPT(" ",20),20),REPT(" ",20))</f>
        <v/>
      </c>
      <c r="S22" s="10">
        <f>IF(A22="D",LEFT(UPPER(C22)&amp;REPT(" ",10),10)," ")</f>
        <v/>
      </c>
      <c r="T22" s="10">
        <f>IF(A22="D",LEFT(UPPER(D22)&amp;REPT(" ",2),2)," ")</f>
        <v/>
      </c>
      <c r="U22" s="10">
        <f>IF(A22="D",LEFT(UPPER(E22)&amp;REPT(" ",15),15)," ")</f>
        <v/>
      </c>
      <c r="V22" s="10">
        <f>REPT(" ",24)</f>
        <v/>
      </c>
      <c r="W22" s="10">
        <f>IF(A22="c",LEFT(UPPER(B22)&amp;REPT(" ",20),20),REPT(" ",20))</f>
        <v/>
      </c>
      <c r="X22" s="10">
        <f>IF(A22="C",LEFT(UPPER(C22)&amp;REPT(" ",10),10)," ")</f>
        <v/>
      </c>
      <c r="Y22" s="10">
        <f>IF(A22="C",LEFT(UPPER(D22)&amp;REPT(" ",2),2)," ")</f>
        <v/>
      </c>
      <c r="Z22" s="10">
        <f>IF(A22="C",LEFT(UPPER(E22)&amp;REPT(" ",15),15)," ")</f>
        <v/>
      </c>
      <c r="AA22" s="10">
        <f>REPT(" ",8)</f>
        <v/>
      </c>
      <c r="AB22" s="10">
        <f>REPT(" ",4)</f>
        <v/>
      </c>
      <c r="AC22" s="10">
        <f>LEFT(UPPER(H22)&amp;REPT(" ",250),250)</f>
        <v/>
      </c>
      <c r="AD22" s="10">
        <f>TEXT($G$2,"dd/mm/aaaa")</f>
        <v/>
      </c>
      <c r="AE22" s="10">
        <f>REPT(" ",10)</f>
        <v/>
      </c>
      <c r="AF22" s="10">
        <f>REPT(" ",20)</f>
        <v/>
      </c>
      <c r="AG22" s="54">
        <f>REPT(" ",18-LEN(FIXED(F22,2,TRUE)))&amp;FIXED(F22,2,TRUE)</f>
        <v/>
      </c>
      <c r="AH22" s="10">
        <f>LEN(AC22)+LEN(AG22)</f>
        <v/>
      </c>
      <c r="AI22" s="10">
        <f>LEN(L22)</f>
        <v/>
      </c>
    </row>
    <row r="23">
      <c r="A23" s="61" t="inlineStr">
        <is>
          <t>D</t>
        </is>
      </c>
      <c r="B23" s="64">
        <f>IFERROR(IF(VLOOKUP(I23,DEPARA_CONTAS,2,0)="","CONTA PENDENTE",VLOOKUP(I23,DEPARA_CONTAS,2,0)),"SEM DE-PARA")</f>
        <v/>
      </c>
      <c r="C23" s="64" t="inlineStr">
        <is>
          <t>001000</t>
        </is>
      </c>
      <c r="D23" s="62" t="n"/>
      <c r="E23" s="62" t="n"/>
      <c r="F23" s="87" t="n">
        <v>791.24</v>
      </c>
      <c r="H23" s="61" t="inlineStr">
        <is>
          <t>FOLHA DE PAGAMENTO REF 04/2026</t>
        </is>
      </c>
      <c r="I23" s="86" t="inlineStr">
        <is>
          <t>6.1.1.03.006</t>
        </is>
      </c>
      <c r="J23" s="12">
        <f>IF(F23&lt;&gt;0,"LANÇAR","")</f>
        <v/>
      </c>
      <c r="K23" s="20" t="n"/>
      <c r="L23" s="13">
        <f>N23&amp;O23&amp;P23&amp;Q23&amp;R23&amp;S23&amp;T23&amp;U23&amp;V23&amp;W23&amp;X23&amp;Y23&amp;Z23&amp;AA23&amp;AB23&amp;AC23&amp;AD23&amp;AE23&amp;AF23&amp;AG23</f>
        <v/>
      </c>
      <c r="M23" s="20" t="n"/>
      <c r="N23" s="10">
        <f>TEXT($B$6,"00")</f>
        <v/>
      </c>
      <c r="O23" s="10">
        <f>REPT(" ",8)</f>
        <v/>
      </c>
      <c r="P23" s="10">
        <f>RIGHT($B$4,2)</f>
        <v/>
      </c>
      <c r="Q23" s="10">
        <f>RIGHT($B$5,3)</f>
        <v/>
      </c>
      <c r="R23" s="10">
        <f>IF(A23="D",LEFT(UPPER(B23)&amp;REPT(" ",20),20),REPT(" ",20))</f>
        <v/>
      </c>
      <c r="S23" s="10">
        <f>IF(A23="D",LEFT(UPPER(C23)&amp;REPT(" ",10),10)," ")</f>
        <v/>
      </c>
      <c r="T23" s="10">
        <f>IF(A23="D",LEFT(UPPER(D23)&amp;REPT(" ",2),2)," ")</f>
        <v/>
      </c>
      <c r="U23" s="10">
        <f>IF(A23="D",LEFT(UPPER(E23)&amp;REPT(" ",15),15)," ")</f>
        <v/>
      </c>
      <c r="V23" s="10">
        <f>REPT(" ",24)</f>
        <v/>
      </c>
      <c r="W23" s="10">
        <f>IF(A23="c",LEFT(UPPER(B23)&amp;REPT(" ",20),20),REPT(" ",20))</f>
        <v/>
      </c>
      <c r="X23" s="10">
        <f>IF(A23="C",LEFT(UPPER(C23)&amp;REPT(" ",10),10)," ")</f>
        <v/>
      </c>
      <c r="Y23" s="10">
        <f>IF(A23="C",LEFT(UPPER(D23)&amp;REPT(" ",2),2)," ")</f>
        <v/>
      </c>
      <c r="Z23" s="10">
        <f>IF(A23="C",LEFT(UPPER(E23)&amp;REPT(" ",15),15)," ")</f>
        <v/>
      </c>
      <c r="AA23" s="10">
        <f>REPT(" ",8)</f>
        <v/>
      </c>
      <c r="AB23" s="10">
        <f>REPT(" ",4)</f>
        <v/>
      </c>
      <c r="AC23" s="10">
        <f>LEFT(UPPER(H23)&amp;REPT(" ",250),250)</f>
        <v/>
      </c>
      <c r="AD23" s="10">
        <f>TEXT($G$2,"dd/mm/aaaa")</f>
        <v/>
      </c>
      <c r="AE23" s="10">
        <f>REPT(" ",10)</f>
        <v/>
      </c>
      <c r="AF23" s="10">
        <f>REPT(" ",20)</f>
        <v/>
      </c>
      <c r="AG23" s="54">
        <f>REPT(" ",18-LEN(FIXED(F23,2,TRUE)))&amp;FIXED(F23,2,TRUE)</f>
        <v/>
      </c>
      <c r="AH23" s="10">
        <f>LEN(AC23)+LEN(AG23)</f>
        <v/>
      </c>
      <c r="AI23" s="10">
        <f>LEN(L23)</f>
        <v/>
      </c>
    </row>
    <row r="24">
      <c r="A24" s="61" t="inlineStr">
        <is>
          <t>D</t>
        </is>
      </c>
      <c r="B24" s="64">
        <f>IFERROR(IF(VLOOKUP(I24,DEPARA_CONTAS,2,0)="","CONTA PENDENTE",VLOOKUP(I24,DEPARA_CONTAS,2,0)),"SEM DE-PARA")</f>
        <v/>
      </c>
      <c r="C24" s="64" t="inlineStr">
        <is>
          <t>000101</t>
        </is>
      </c>
      <c r="D24" s="62" t="n"/>
      <c r="E24" s="62" t="n"/>
      <c r="F24" s="87" t="n">
        <v>9405.049999999999</v>
      </c>
      <c r="H24" s="61" t="inlineStr">
        <is>
          <t>FOLHA DE PAGAMENTO REF 04/2026</t>
        </is>
      </c>
      <c r="I24" s="86" t="inlineStr">
        <is>
          <t>6.1.1.01.002</t>
        </is>
      </c>
      <c r="J24" s="12">
        <f>IF(F24&lt;&gt;0,"LANÇAR","")</f>
        <v/>
      </c>
      <c r="K24" s="20" t="n"/>
      <c r="L24" s="13">
        <f>N24&amp;O24&amp;P24&amp;Q24&amp;R24&amp;S24&amp;T24&amp;U24&amp;V24&amp;W24&amp;X24&amp;Y24&amp;Z24&amp;AA24&amp;AB24&amp;AC24&amp;AD24&amp;AE24&amp;AF24&amp;AG24</f>
        <v/>
      </c>
      <c r="M24" s="20" t="n"/>
      <c r="N24" s="10">
        <f>TEXT($B$6,"00")</f>
        <v/>
      </c>
      <c r="O24" s="10">
        <f>REPT(" ",8)</f>
        <v/>
      </c>
      <c r="P24" s="10">
        <f>RIGHT($B$4,2)</f>
        <v/>
      </c>
      <c r="Q24" s="10">
        <f>RIGHT($B$5,3)</f>
        <v/>
      </c>
      <c r="R24" s="10">
        <f>IF(A24="D",LEFT(UPPER(B24)&amp;REPT(" ",20),20),REPT(" ",20))</f>
        <v/>
      </c>
      <c r="S24" s="10">
        <f>IF(A24="D",LEFT(UPPER(C24)&amp;REPT(" ",10),10)," ")</f>
        <v/>
      </c>
      <c r="T24" s="10">
        <f>IF(A24="D",LEFT(UPPER(D24)&amp;REPT(" ",2),2)," ")</f>
        <v/>
      </c>
      <c r="U24" s="10">
        <f>IF(A24="D",LEFT(UPPER(E24)&amp;REPT(" ",15),15)," ")</f>
        <v/>
      </c>
      <c r="V24" s="10">
        <f>REPT(" ",24)</f>
        <v/>
      </c>
      <c r="W24" s="10">
        <f>IF(A24="c",LEFT(UPPER(B24)&amp;REPT(" ",20),20),REPT(" ",20))</f>
        <v/>
      </c>
      <c r="X24" s="10">
        <f>IF(A24="C",LEFT(UPPER(C24)&amp;REPT(" ",10),10)," ")</f>
        <v/>
      </c>
      <c r="Y24" s="10">
        <f>IF(A24="C",LEFT(UPPER(D24)&amp;REPT(" ",2),2)," ")</f>
        <v/>
      </c>
      <c r="Z24" s="10">
        <f>IF(A24="C",LEFT(UPPER(E24)&amp;REPT(" ",15),15)," ")</f>
        <v/>
      </c>
      <c r="AA24" s="10">
        <f>REPT(" ",8)</f>
        <v/>
      </c>
      <c r="AB24" s="10">
        <f>REPT(" ",4)</f>
        <v/>
      </c>
      <c r="AC24" s="10">
        <f>LEFT(UPPER(H24)&amp;REPT(" ",250),250)</f>
        <v/>
      </c>
      <c r="AD24" s="10">
        <f>TEXT($G$2,"dd/mm/aaaa")</f>
        <v/>
      </c>
      <c r="AE24" s="10">
        <f>REPT(" ",10)</f>
        <v/>
      </c>
      <c r="AF24" s="10">
        <f>REPT(" ",20)</f>
        <v/>
      </c>
      <c r="AG24" s="54">
        <f>REPT(" ",18-LEN(FIXED(F24,2,TRUE)))&amp;FIXED(F24,2,TRUE)</f>
        <v/>
      </c>
      <c r="AH24" s="10">
        <f>LEN(AC24)+LEN(AG24)</f>
        <v/>
      </c>
      <c r="AI24" s="10">
        <f>LEN(L24)</f>
        <v/>
      </c>
    </row>
    <row r="25">
      <c r="A25" s="61" t="inlineStr">
        <is>
          <t>D</t>
        </is>
      </c>
      <c r="B25" s="64">
        <f>IFERROR(IF(VLOOKUP(I25,DEPARA_CONTAS,2,0)="","CONTA PENDENTE",VLOOKUP(I25,DEPARA_CONTAS,2,0)),"SEM DE-PARA")</f>
        <v/>
      </c>
      <c r="C25" s="64" t="inlineStr">
        <is>
          <t>000101</t>
        </is>
      </c>
      <c r="D25" s="62" t="n"/>
      <c r="E25" s="62" t="n"/>
      <c r="F25" s="87" t="n">
        <v>8403.889999999999</v>
      </c>
      <c r="H25" s="61" t="inlineStr">
        <is>
          <t>FOLHA DE PAGAMENTO REF 04/2026</t>
        </is>
      </c>
      <c r="I25" s="86" t="inlineStr">
        <is>
          <t>6.1.1.01.003</t>
        </is>
      </c>
      <c r="J25" s="12">
        <f>IF(F25&lt;&gt;0,"LANÇAR","")</f>
        <v/>
      </c>
      <c r="K25" s="20" t="n"/>
      <c r="L25" s="13">
        <f>N25&amp;O25&amp;P25&amp;Q25&amp;R25&amp;S25&amp;T25&amp;U25&amp;V25&amp;W25&amp;X25&amp;Y25&amp;Z25&amp;AA25&amp;AB25&amp;AC25&amp;AD25&amp;AE25&amp;AF25&amp;AG25</f>
        <v/>
      </c>
      <c r="M25" s="20" t="n"/>
      <c r="N25" s="10">
        <f>TEXT($B$6,"00")</f>
        <v/>
      </c>
      <c r="O25" s="10">
        <f>REPT(" ",8)</f>
        <v/>
      </c>
      <c r="P25" s="10">
        <f>RIGHT($B$4,2)</f>
        <v/>
      </c>
      <c r="Q25" s="10">
        <f>RIGHT($B$5,3)</f>
        <v/>
      </c>
      <c r="R25" s="10">
        <f>IF(A25="D",LEFT(UPPER(B25)&amp;REPT(" ",20),20),REPT(" ",20))</f>
        <v/>
      </c>
      <c r="S25" s="10">
        <f>IF(A25="D",LEFT(UPPER(C25)&amp;REPT(" ",10),10)," ")</f>
        <v/>
      </c>
      <c r="T25" s="10">
        <f>IF(A25="D",LEFT(UPPER(D25)&amp;REPT(" ",2),2)," ")</f>
        <v/>
      </c>
      <c r="U25" s="10">
        <f>IF(A25="D",LEFT(UPPER(E25)&amp;REPT(" ",15),15)," ")</f>
        <v/>
      </c>
      <c r="V25" s="10">
        <f>REPT(" ",24)</f>
        <v/>
      </c>
      <c r="W25" s="10">
        <f>IF(A25="c",LEFT(UPPER(B25)&amp;REPT(" ",20),20),REPT(" ",20))</f>
        <v/>
      </c>
      <c r="X25" s="10">
        <f>IF(A25="C",LEFT(UPPER(C25)&amp;REPT(" ",10),10)," ")</f>
        <v/>
      </c>
      <c r="Y25" s="10">
        <f>IF(A25="C",LEFT(UPPER(D25)&amp;REPT(" ",2),2)," ")</f>
        <v/>
      </c>
      <c r="Z25" s="10">
        <f>IF(A25="C",LEFT(UPPER(E25)&amp;REPT(" ",15),15)," ")</f>
        <v/>
      </c>
      <c r="AA25" s="10">
        <f>REPT(" ",8)</f>
        <v/>
      </c>
      <c r="AB25" s="10">
        <f>REPT(" ",4)</f>
        <v/>
      </c>
      <c r="AC25" s="10">
        <f>LEFT(UPPER(H25)&amp;REPT(" ",250),250)</f>
        <v/>
      </c>
      <c r="AD25" s="10">
        <f>TEXT($G$2,"dd/mm/aaaa")</f>
        <v/>
      </c>
      <c r="AE25" s="10">
        <f>REPT(" ",10)</f>
        <v/>
      </c>
      <c r="AF25" s="10">
        <f>REPT(" ",20)</f>
        <v/>
      </c>
      <c r="AG25" s="54">
        <f>REPT(" ",18-LEN(FIXED(F25,2,TRUE)))&amp;FIXED(F25,2,TRUE)</f>
        <v/>
      </c>
      <c r="AH25" s="10">
        <f>LEN(AC25)+LEN(AG25)</f>
        <v/>
      </c>
      <c r="AI25" s="10">
        <f>LEN(L25)</f>
        <v/>
      </c>
    </row>
    <row r="26">
      <c r="A26" s="61" t="inlineStr">
        <is>
          <t>D</t>
        </is>
      </c>
      <c r="B26" s="64">
        <f>IFERROR(IF(VLOOKUP(I26,DEPARA_CONTAS,2,0)="","CONTA PENDENTE",VLOOKUP(I26,DEPARA_CONTAS,2,0)),"SEM DE-PARA")</f>
        <v/>
      </c>
      <c r="C26" s="64" t="inlineStr">
        <is>
          <t>000101</t>
        </is>
      </c>
      <c r="D26" s="62" t="n"/>
      <c r="E26" s="62" t="n"/>
      <c r="F26" s="87" t="n">
        <v>50701.01</v>
      </c>
      <c r="H26" s="61" t="inlineStr">
        <is>
          <t>FOLHA DE PAGAMENTO REF 04/2026</t>
        </is>
      </c>
      <c r="I26" s="86" t="inlineStr">
        <is>
          <t>6.1.1.01.005</t>
        </is>
      </c>
      <c r="J26" s="12">
        <f>IF(F26&lt;&gt;0,"LANÇAR","")</f>
        <v/>
      </c>
      <c r="K26" s="20" t="n"/>
      <c r="L26" s="13">
        <f>N26&amp;O26&amp;P26&amp;Q26&amp;R26&amp;S26&amp;T26&amp;U26&amp;V26&amp;W26&amp;X26&amp;Y26&amp;Z26&amp;AA26&amp;AB26&amp;AC26&amp;AD26&amp;AE26&amp;AF26&amp;AG26</f>
        <v/>
      </c>
      <c r="M26" s="20" t="n"/>
      <c r="N26" s="10">
        <f>TEXT($B$6,"00")</f>
        <v/>
      </c>
      <c r="O26" s="10">
        <f>REPT(" ",8)</f>
        <v/>
      </c>
      <c r="P26" s="10">
        <f>RIGHT($B$4,2)</f>
        <v/>
      </c>
      <c r="Q26" s="10">
        <f>RIGHT($B$5,3)</f>
        <v/>
      </c>
      <c r="R26" s="10">
        <f>IF(A26="D",LEFT(UPPER(B26)&amp;REPT(" ",20),20),REPT(" ",20))</f>
        <v/>
      </c>
      <c r="S26" s="10">
        <f>IF(A26="D",LEFT(UPPER(C26)&amp;REPT(" ",10),10)," ")</f>
        <v/>
      </c>
      <c r="T26" s="10">
        <f>IF(A26="D",LEFT(UPPER(D26)&amp;REPT(" ",2),2)," ")</f>
        <v/>
      </c>
      <c r="U26" s="10">
        <f>IF(A26="D",LEFT(UPPER(E26)&amp;REPT(" ",15),15)," ")</f>
        <v/>
      </c>
      <c r="V26" s="10">
        <f>REPT(" ",24)</f>
        <v/>
      </c>
      <c r="W26" s="10">
        <f>IF(A26="c",LEFT(UPPER(B26)&amp;REPT(" ",20),20),REPT(" ",20))</f>
        <v/>
      </c>
      <c r="X26" s="10">
        <f>IF(A26="C",LEFT(UPPER(C26)&amp;REPT(" ",10),10)," ")</f>
        <v/>
      </c>
      <c r="Y26" s="10">
        <f>IF(A26="C",LEFT(UPPER(D26)&amp;REPT(" ",2),2)," ")</f>
        <v/>
      </c>
      <c r="Z26" s="10">
        <f>IF(A26="C",LEFT(UPPER(E26)&amp;REPT(" ",15),15)," ")</f>
        <v/>
      </c>
      <c r="AA26" s="10">
        <f>REPT(" ",8)</f>
        <v/>
      </c>
      <c r="AB26" s="10">
        <f>REPT(" ",4)</f>
        <v/>
      </c>
      <c r="AC26" s="10">
        <f>LEFT(UPPER(H26)&amp;REPT(" ",250),250)</f>
        <v/>
      </c>
      <c r="AD26" s="10">
        <f>TEXT($G$2,"dd/mm/aaaa")</f>
        <v/>
      </c>
      <c r="AE26" s="10">
        <f>REPT(" ",10)</f>
        <v/>
      </c>
      <c r="AF26" s="10">
        <f>REPT(" ",20)</f>
        <v/>
      </c>
      <c r="AG26" s="54">
        <f>REPT(" ",18-LEN(FIXED(F26,2,TRUE)))&amp;FIXED(F26,2,TRUE)</f>
        <v/>
      </c>
      <c r="AH26" s="10">
        <f>LEN(AC26)+LEN(AG26)</f>
        <v/>
      </c>
      <c r="AI26" s="10">
        <f>LEN(L26)</f>
        <v/>
      </c>
    </row>
    <row r="27">
      <c r="A27" s="61" t="inlineStr">
        <is>
          <t>C</t>
        </is>
      </c>
      <c r="B27" s="64">
        <f>IFERROR(IF(VLOOKUP(I27,DEPARA_CONTAS,2,0)="","CONTA PENDENTE",VLOOKUP(I27,DEPARA_CONTAS,2,0)),"SEM DE-PARA")</f>
        <v/>
      </c>
      <c r="C27" s="64" t="inlineStr">
        <is>
          <t>000101</t>
        </is>
      </c>
      <c r="D27" s="62" t="n"/>
      <c r="E27" s="62" t="n"/>
      <c r="F27" s="87" t="n">
        <v>3001.34</v>
      </c>
      <c r="H27" s="61" t="inlineStr">
        <is>
          <t>FOLHA DE PAGAMENTO REF 04/2026</t>
        </is>
      </c>
      <c r="I27" s="86" t="inlineStr">
        <is>
          <t>6.1.1.04.001</t>
        </is>
      </c>
      <c r="J27" s="12">
        <f>IF(F27&lt;&gt;0,"LANÇAR","")</f>
        <v/>
      </c>
      <c r="K27" s="20" t="n"/>
      <c r="L27" s="13">
        <f>N27&amp;O27&amp;P27&amp;Q27&amp;R27&amp;S27&amp;T27&amp;U27&amp;V27&amp;W27&amp;X27&amp;Y27&amp;Z27&amp;AA27&amp;AB27&amp;AC27&amp;AD27&amp;AE27&amp;AF27&amp;AG27</f>
        <v/>
      </c>
      <c r="M27" s="20" t="n"/>
      <c r="N27" s="10">
        <f>TEXT($B$6,"00")</f>
        <v/>
      </c>
      <c r="O27" s="10">
        <f>REPT(" ",8)</f>
        <v/>
      </c>
      <c r="P27" s="10">
        <f>RIGHT($B$4,2)</f>
        <v/>
      </c>
      <c r="Q27" s="10">
        <f>RIGHT($B$5,3)</f>
        <v/>
      </c>
      <c r="R27" s="10">
        <f>IF(A27="D",LEFT(UPPER(B27)&amp;REPT(" ",20),20),REPT(" ",20))</f>
        <v/>
      </c>
      <c r="S27" s="10">
        <f>IF(A27="D",LEFT(UPPER(C27)&amp;REPT(" ",10),10)," ")</f>
        <v/>
      </c>
      <c r="T27" s="10">
        <f>IF(A27="D",LEFT(UPPER(D27)&amp;REPT(" ",2),2)," ")</f>
        <v/>
      </c>
      <c r="U27" s="10">
        <f>IF(A27="D",LEFT(UPPER(E27)&amp;REPT(" ",15),15)," ")</f>
        <v/>
      </c>
      <c r="V27" s="10">
        <f>REPT(" ",24)</f>
        <v/>
      </c>
      <c r="W27" s="10">
        <f>IF(A27="c",LEFT(UPPER(B27)&amp;REPT(" ",20),20),REPT(" ",20))</f>
        <v/>
      </c>
      <c r="X27" s="10">
        <f>IF(A27="C",LEFT(UPPER(C27)&amp;REPT(" ",10),10)," ")</f>
        <v/>
      </c>
      <c r="Y27" s="10">
        <f>IF(A27="C",LEFT(UPPER(D27)&amp;REPT(" ",2),2)," ")</f>
        <v/>
      </c>
      <c r="Z27" s="10">
        <f>IF(A27="C",LEFT(UPPER(E27)&amp;REPT(" ",15),15)," ")</f>
        <v/>
      </c>
      <c r="AA27" s="10">
        <f>REPT(" ",8)</f>
        <v/>
      </c>
      <c r="AB27" s="10">
        <f>REPT(" ",4)</f>
        <v/>
      </c>
      <c r="AC27" s="10">
        <f>LEFT(UPPER(H27)&amp;REPT(" ",250),250)</f>
        <v/>
      </c>
      <c r="AD27" s="10">
        <f>TEXT($G$2,"dd/mm/aaaa")</f>
        <v/>
      </c>
      <c r="AE27" s="10">
        <f>REPT(" ",10)</f>
        <v/>
      </c>
      <c r="AF27" s="10">
        <f>REPT(" ",20)</f>
        <v/>
      </c>
      <c r="AG27" s="54">
        <f>REPT(" ",18-LEN(FIXED(F27,2,TRUE)))&amp;FIXED(F27,2,TRUE)</f>
        <v/>
      </c>
      <c r="AH27" s="10">
        <f>LEN(AC27)+LEN(AG27)</f>
        <v/>
      </c>
      <c r="AI27" s="10">
        <f>LEN(L27)</f>
        <v/>
      </c>
    </row>
    <row r="28">
      <c r="A28" s="61" t="inlineStr">
        <is>
          <t>C</t>
        </is>
      </c>
      <c r="B28" s="64">
        <f>IFERROR(IF(VLOOKUP(I28,DEPARA_CONTAS,2,0)="","CONTA PENDENTE",VLOOKUP(I28,DEPARA_CONTAS,2,0)),"SEM DE-PARA")</f>
        <v/>
      </c>
      <c r="C28" s="64" t="inlineStr">
        <is>
          <t>000101</t>
        </is>
      </c>
      <c r="D28" s="62" t="n"/>
      <c r="E28" s="62" t="n"/>
      <c r="F28" s="87" t="n">
        <v>130</v>
      </c>
      <c r="H28" s="61" t="inlineStr">
        <is>
          <t>FOLHA DE PAGAMENTO REF 04/2026</t>
        </is>
      </c>
      <c r="I28" s="86" t="inlineStr">
        <is>
          <t>6.1.1.04.003</t>
        </is>
      </c>
      <c r="J28" s="12">
        <f>IF(F28&lt;&gt;0,"LANÇAR","")</f>
        <v/>
      </c>
      <c r="K28" s="20" t="n"/>
      <c r="L28" s="13">
        <f>N28&amp;O28&amp;P28&amp;Q28&amp;R28&amp;S28&amp;T28&amp;U28&amp;V28&amp;W28&amp;X28&amp;Y28&amp;Z28&amp;AA28&amp;AB28&amp;AC28&amp;AD28&amp;AE28&amp;AF28&amp;AG28</f>
        <v/>
      </c>
      <c r="M28" s="20" t="n"/>
      <c r="N28" s="10">
        <f>TEXT($B$6,"00")</f>
        <v/>
      </c>
      <c r="O28" s="10">
        <f>REPT(" ",8)</f>
        <v/>
      </c>
      <c r="P28" s="10">
        <f>RIGHT($B$4,2)</f>
        <v/>
      </c>
      <c r="Q28" s="10">
        <f>RIGHT($B$5,3)</f>
        <v/>
      </c>
      <c r="R28" s="10">
        <f>IF(A28="D",LEFT(UPPER(B28)&amp;REPT(" ",20),20),REPT(" ",20))</f>
        <v/>
      </c>
      <c r="S28" s="10">
        <f>IF(A28="D",LEFT(UPPER(C28)&amp;REPT(" ",10),10)," ")</f>
        <v/>
      </c>
      <c r="T28" s="10">
        <f>IF(A28="D",LEFT(UPPER(D28)&amp;REPT(" ",2),2)," ")</f>
        <v/>
      </c>
      <c r="U28" s="10">
        <f>IF(A28="D",LEFT(UPPER(E28)&amp;REPT(" ",15),15)," ")</f>
        <v/>
      </c>
      <c r="V28" s="10">
        <f>REPT(" ",24)</f>
        <v/>
      </c>
      <c r="W28" s="10">
        <f>IF(A28="c",LEFT(UPPER(B28)&amp;REPT(" ",20),20),REPT(" ",20))</f>
        <v/>
      </c>
      <c r="X28" s="10">
        <f>IF(A28="C",LEFT(UPPER(C28)&amp;REPT(" ",10),10)," ")</f>
        <v/>
      </c>
      <c r="Y28" s="10">
        <f>IF(A28="C",LEFT(UPPER(D28)&amp;REPT(" ",2),2)," ")</f>
        <v/>
      </c>
      <c r="Z28" s="10">
        <f>IF(A28="C",LEFT(UPPER(E28)&amp;REPT(" ",15),15)," ")</f>
        <v/>
      </c>
      <c r="AA28" s="10">
        <f>REPT(" ",8)</f>
        <v/>
      </c>
      <c r="AB28" s="10">
        <f>REPT(" ",4)</f>
        <v/>
      </c>
      <c r="AC28" s="10">
        <f>LEFT(UPPER(H28)&amp;REPT(" ",250),250)</f>
        <v/>
      </c>
      <c r="AD28" s="10">
        <f>TEXT($G$2,"dd/mm/aaaa")</f>
        <v/>
      </c>
      <c r="AE28" s="10">
        <f>REPT(" ",10)</f>
        <v/>
      </c>
      <c r="AF28" s="10">
        <f>REPT(" ",20)</f>
        <v/>
      </c>
      <c r="AG28" s="54">
        <f>REPT(" ",18-LEN(FIXED(F28,2,TRUE)))&amp;FIXED(F28,2,TRUE)</f>
        <v/>
      </c>
      <c r="AH28" s="10">
        <f>LEN(AC28)+LEN(AG28)</f>
        <v/>
      </c>
      <c r="AI28" s="10">
        <f>LEN(L28)</f>
        <v/>
      </c>
    </row>
    <row r="29">
      <c r="A29" s="61" t="inlineStr">
        <is>
          <t>C</t>
        </is>
      </c>
      <c r="B29" s="64">
        <f>IFERROR(IF(VLOOKUP(I29,DEPARA_CONTAS,2,0)="","CONTA PENDENTE",VLOOKUP(I29,DEPARA_CONTAS,2,0)),"SEM DE-PARA")</f>
        <v/>
      </c>
      <c r="C29" s="64" t="inlineStr">
        <is>
          <t>000101</t>
        </is>
      </c>
      <c r="D29" s="62" t="n"/>
      <c r="E29" s="62" t="n"/>
      <c r="F29" s="87" t="n">
        <v>356.4</v>
      </c>
      <c r="H29" s="61" t="inlineStr">
        <is>
          <t>FOLHA DE PAGAMENTO REF 04/2026</t>
        </is>
      </c>
      <c r="I29" s="86" t="inlineStr">
        <is>
          <t>6.1.1.04.006</t>
        </is>
      </c>
      <c r="J29" s="12">
        <f>IF(F29&lt;&gt;0,"LANÇAR","")</f>
        <v/>
      </c>
      <c r="K29" s="20" t="n"/>
      <c r="L29" s="13">
        <f>N29&amp;O29&amp;P29&amp;Q29&amp;R29&amp;S29&amp;T29&amp;U29&amp;V29&amp;W29&amp;X29&amp;Y29&amp;Z29&amp;AA29&amp;AB29&amp;AC29&amp;AD29&amp;AE29&amp;AF29&amp;AG29</f>
        <v/>
      </c>
      <c r="M29" s="20" t="n"/>
      <c r="N29" s="10">
        <f>TEXT($B$6,"00")</f>
        <v/>
      </c>
      <c r="O29" s="10">
        <f>REPT(" ",8)</f>
        <v/>
      </c>
      <c r="P29" s="10">
        <f>RIGHT($B$4,2)</f>
        <v/>
      </c>
      <c r="Q29" s="10">
        <f>RIGHT($B$5,3)</f>
        <v/>
      </c>
      <c r="R29" s="10">
        <f>IF(A29="D",LEFT(UPPER(B29)&amp;REPT(" ",20),20),REPT(" ",20))</f>
        <v/>
      </c>
      <c r="S29" s="10">
        <f>IF(A29="D",LEFT(UPPER(C29)&amp;REPT(" ",10),10)," ")</f>
        <v/>
      </c>
      <c r="T29" s="10">
        <f>IF(A29="D",LEFT(UPPER(D29)&amp;REPT(" ",2),2)," ")</f>
        <v/>
      </c>
      <c r="U29" s="10">
        <f>IF(A29="D",LEFT(UPPER(E29)&amp;REPT(" ",15),15)," ")</f>
        <v/>
      </c>
      <c r="V29" s="10">
        <f>REPT(" ",24)</f>
        <v/>
      </c>
      <c r="W29" s="10">
        <f>IF(A29="c",LEFT(UPPER(B29)&amp;REPT(" ",20),20),REPT(" ",20))</f>
        <v/>
      </c>
      <c r="X29" s="10">
        <f>IF(A29="C",LEFT(UPPER(C29)&amp;REPT(" ",10),10)," ")</f>
        <v/>
      </c>
      <c r="Y29" s="10">
        <f>IF(A29="C",LEFT(UPPER(D29)&amp;REPT(" ",2),2)," ")</f>
        <v/>
      </c>
      <c r="Z29" s="10">
        <f>IF(A29="C",LEFT(UPPER(E29)&amp;REPT(" ",15),15)," ")</f>
        <v/>
      </c>
      <c r="AA29" s="10">
        <f>REPT(" ",8)</f>
        <v/>
      </c>
      <c r="AB29" s="10">
        <f>REPT(" ",4)</f>
        <v/>
      </c>
      <c r="AC29" s="10">
        <f>LEFT(UPPER(H29)&amp;REPT(" ",250),250)</f>
        <v/>
      </c>
      <c r="AD29" s="10">
        <f>TEXT($G$2,"dd/mm/aaaa")</f>
        <v/>
      </c>
      <c r="AE29" s="10">
        <f>REPT(" ",10)</f>
        <v/>
      </c>
      <c r="AF29" s="10">
        <f>REPT(" ",20)</f>
        <v/>
      </c>
      <c r="AG29" s="54">
        <f>REPT(" ",18-LEN(FIXED(F29,2,TRUE)))&amp;FIXED(F29,2,TRUE)</f>
        <v/>
      </c>
      <c r="AH29" s="10">
        <f>LEN(AC29)+LEN(AG29)</f>
        <v/>
      </c>
      <c r="AI29" s="10">
        <f>LEN(L29)</f>
        <v/>
      </c>
    </row>
    <row r="30">
      <c r="A30" s="61" t="inlineStr">
        <is>
          <t>D</t>
        </is>
      </c>
      <c r="B30" s="64">
        <f>IFERROR(IF(VLOOKUP(I30,DEPARA_CONTAS,2,0)="","CONTA PENDENTE",VLOOKUP(I30,DEPARA_CONTAS,2,0)),"SEM DE-PARA")</f>
        <v/>
      </c>
      <c r="C30" s="64" t="inlineStr">
        <is>
          <t>000101</t>
        </is>
      </c>
      <c r="D30" s="62" t="n"/>
      <c r="E30" s="62" t="n"/>
      <c r="F30" s="87" t="n">
        <v>13223.33</v>
      </c>
      <c r="H30" s="61" t="inlineStr">
        <is>
          <t>FOLHA DE PAGAMENTO REF 04/2026</t>
        </is>
      </c>
      <c r="I30" s="86" t="inlineStr">
        <is>
          <t>6.1.1.02.001</t>
        </is>
      </c>
      <c r="J30" s="12">
        <f>IF(F30&lt;&gt;0,"LANÇAR","")</f>
        <v/>
      </c>
      <c r="K30" s="20" t="n"/>
      <c r="L30" s="13">
        <f>N30&amp;O30&amp;P30&amp;Q30&amp;R30&amp;S30&amp;T30&amp;U30&amp;V30&amp;W30&amp;X30&amp;Y30&amp;Z30&amp;AA30&amp;AB30&amp;AC30&amp;AD30&amp;AE30&amp;AF30&amp;AG30</f>
        <v/>
      </c>
      <c r="M30" s="20" t="n"/>
      <c r="N30" s="10">
        <f>TEXT($B$6,"00")</f>
        <v/>
      </c>
      <c r="O30" s="10">
        <f>REPT(" ",8)</f>
        <v/>
      </c>
      <c r="P30" s="10">
        <f>RIGHT($B$4,2)</f>
        <v/>
      </c>
      <c r="Q30" s="10">
        <f>RIGHT($B$5,3)</f>
        <v/>
      </c>
      <c r="R30" s="10">
        <f>IF(A30="D",LEFT(UPPER(B30)&amp;REPT(" ",20),20),REPT(" ",20))</f>
        <v/>
      </c>
      <c r="S30" s="10">
        <f>IF(A30="D",LEFT(UPPER(C30)&amp;REPT(" ",10),10)," ")</f>
        <v/>
      </c>
      <c r="T30" s="10">
        <f>IF(A30="D",LEFT(UPPER(D30)&amp;REPT(" ",2),2)," ")</f>
        <v/>
      </c>
      <c r="U30" s="10">
        <f>IF(A30="D",LEFT(UPPER(E30)&amp;REPT(" ",15),15)," ")</f>
        <v/>
      </c>
      <c r="V30" s="10">
        <f>REPT(" ",24)</f>
        <v/>
      </c>
      <c r="W30" s="10">
        <f>IF(A30="c",LEFT(UPPER(B30)&amp;REPT(" ",20),20),REPT(" ",20))</f>
        <v/>
      </c>
      <c r="X30" s="10">
        <f>IF(A30="C",LEFT(UPPER(C30)&amp;REPT(" ",10),10)," ")</f>
        <v/>
      </c>
      <c r="Y30" s="10">
        <f>IF(A30="C",LEFT(UPPER(D30)&amp;REPT(" ",2),2)," ")</f>
        <v/>
      </c>
      <c r="Z30" s="10">
        <f>IF(A30="C",LEFT(UPPER(E30)&amp;REPT(" ",15),15)," ")</f>
        <v/>
      </c>
      <c r="AA30" s="10">
        <f>REPT(" ",8)</f>
        <v/>
      </c>
      <c r="AB30" s="10">
        <f>REPT(" ",4)</f>
        <v/>
      </c>
      <c r="AC30" s="10">
        <f>LEFT(UPPER(H30)&amp;REPT(" ",250),250)</f>
        <v/>
      </c>
      <c r="AD30" s="10">
        <f>TEXT($G$2,"dd/mm/aaaa")</f>
        <v/>
      </c>
      <c r="AE30" s="10">
        <f>REPT(" ",10)</f>
        <v/>
      </c>
      <c r="AF30" s="10">
        <f>REPT(" ",20)</f>
        <v/>
      </c>
      <c r="AG30" s="54">
        <f>REPT(" ",18-LEN(FIXED(F30,2,TRUE)))&amp;FIXED(F30,2,TRUE)</f>
        <v/>
      </c>
      <c r="AH30" s="10">
        <f>LEN(AC30)+LEN(AG30)</f>
        <v/>
      </c>
      <c r="AI30" s="10">
        <f>LEN(L30)</f>
        <v/>
      </c>
    </row>
    <row r="31">
      <c r="A31" s="61" t="inlineStr">
        <is>
          <t>D</t>
        </is>
      </c>
      <c r="B31" s="64">
        <f>IFERROR(IF(VLOOKUP(I31,DEPARA_CONTAS,2,0)="","CONTA PENDENTE",VLOOKUP(I31,DEPARA_CONTAS,2,0)),"SEM DE-PARA")</f>
        <v/>
      </c>
      <c r="C31" s="64" t="inlineStr">
        <is>
          <t>000101</t>
        </is>
      </c>
      <c r="D31" s="62" t="n"/>
      <c r="E31" s="62" t="n"/>
      <c r="F31" s="87" t="n">
        <v>4808.48</v>
      </c>
      <c r="H31" s="61" t="inlineStr">
        <is>
          <t>FOLHA DE PAGAMENTO REF 04/2026</t>
        </is>
      </c>
      <c r="I31" s="86" t="inlineStr">
        <is>
          <t>6.1.1.02.002</t>
        </is>
      </c>
      <c r="J31" s="12">
        <f>IF(F31&lt;&gt;0,"LANÇAR","")</f>
        <v/>
      </c>
      <c r="K31" s="20" t="n"/>
      <c r="L31" s="13">
        <f>N31&amp;O31&amp;P31&amp;Q31&amp;R31&amp;S31&amp;T31&amp;U31&amp;V31&amp;W31&amp;X31&amp;Y31&amp;Z31&amp;AA31&amp;AB31&amp;AC31&amp;AD31&amp;AE31&amp;AF31&amp;AG31</f>
        <v/>
      </c>
      <c r="M31" s="20" t="n"/>
      <c r="N31" s="10">
        <f>TEXT($B$6,"00")</f>
        <v/>
      </c>
      <c r="O31" s="10">
        <f>REPT(" ",8)</f>
        <v/>
      </c>
      <c r="P31" s="10">
        <f>RIGHT($B$4,2)</f>
        <v/>
      </c>
      <c r="Q31" s="10">
        <f>RIGHT($B$5,3)</f>
        <v/>
      </c>
      <c r="R31" s="10">
        <f>IF(A31="D",LEFT(UPPER(B31)&amp;REPT(" ",20),20),REPT(" ",20))</f>
        <v/>
      </c>
      <c r="S31" s="10">
        <f>IF(A31="D",LEFT(UPPER(C31)&amp;REPT(" ",10),10)," ")</f>
        <v/>
      </c>
      <c r="T31" s="10">
        <f>IF(A31="D",LEFT(UPPER(D31)&amp;REPT(" ",2),2)," ")</f>
        <v/>
      </c>
      <c r="U31" s="10">
        <f>IF(A31="D",LEFT(UPPER(E31)&amp;REPT(" ",15),15)," ")</f>
        <v/>
      </c>
      <c r="V31" s="10">
        <f>REPT(" ",24)</f>
        <v/>
      </c>
      <c r="W31" s="10">
        <f>IF(A31="c",LEFT(UPPER(B31)&amp;REPT(" ",20),20),REPT(" ",20))</f>
        <v/>
      </c>
      <c r="X31" s="10">
        <f>IF(A31="C",LEFT(UPPER(C31)&amp;REPT(" ",10),10)," ")</f>
        <v/>
      </c>
      <c r="Y31" s="10">
        <f>IF(A31="C",LEFT(UPPER(D31)&amp;REPT(" ",2),2)," ")</f>
        <v/>
      </c>
      <c r="Z31" s="10">
        <f>IF(A31="C",LEFT(UPPER(E31)&amp;REPT(" ",15),15)," ")</f>
        <v/>
      </c>
      <c r="AA31" s="10">
        <f>REPT(" ",8)</f>
        <v/>
      </c>
      <c r="AB31" s="10">
        <f>REPT(" ",4)</f>
        <v/>
      </c>
      <c r="AC31" s="10">
        <f>LEFT(UPPER(H31)&amp;REPT(" ",250),250)</f>
        <v/>
      </c>
      <c r="AD31" s="10">
        <f>TEXT($G$2,"dd/mm/aaaa")</f>
        <v/>
      </c>
      <c r="AE31" s="10">
        <f>REPT(" ",10)</f>
        <v/>
      </c>
      <c r="AF31" s="10">
        <f>REPT(" ",20)</f>
        <v/>
      </c>
      <c r="AG31" s="54">
        <f>REPT(" ",18-LEN(FIXED(F31,2,TRUE)))&amp;FIXED(F31,2,TRUE)</f>
        <v/>
      </c>
      <c r="AH31" s="10">
        <f>LEN(AC31)+LEN(AG31)</f>
        <v/>
      </c>
      <c r="AI31" s="10">
        <f>LEN(L31)</f>
        <v/>
      </c>
    </row>
    <row r="32">
      <c r="A32" s="61" t="inlineStr">
        <is>
          <t>D</t>
        </is>
      </c>
      <c r="B32" s="64">
        <f>IFERROR(IF(VLOOKUP(I32,DEPARA_CONTAS,2,0)="","CONTA PENDENTE",VLOOKUP(I32,DEPARA_CONTAS,2,0)),"SEM DE-PARA")</f>
        <v/>
      </c>
      <c r="C32" s="64" t="inlineStr">
        <is>
          <t>000101</t>
        </is>
      </c>
      <c r="D32" s="62" t="n"/>
      <c r="E32" s="62" t="n"/>
      <c r="F32" s="87" t="n">
        <v>3486.15</v>
      </c>
      <c r="H32" s="61" t="inlineStr">
        <is>
          <t>FOLHA DE PAGAMENTO REF 04/2026</t>
        </is>
      </c>
      <c r="I32" s="86" t="inlineStr">
        <is>
          <t>6.1.1.02.005</t>
        </is>
      </c>
      <c r="J32" s="12">
        <f>IF(F32&lt;&gt;0,"LANÇAR","")</f>
        <v/>
      </c>
      <c r="K32" s="20" t="n"/>
      <c r="L32" s="13">
        <f>N32&amp;O32&amp;P32&amp;Q32&amp;R32&amp;S32&amp;T32&amp;U32&amp;V32&amp;W32&amp;X32&amp;Y32&amp;Z32&amp;AA32&amp;AB32&amp;AC32&amp;AD32&amp;AE32&amp;AF32&amp;AG32</f>
        <v/>
      </c>
      <c r="M32" s="20" t="n"/>
      <c r="N32" s="10">
        <f>TEXT($B$6,"00")</f>
        <v/>
      </c>
      <c r="O32" s="10">
        <f>REPT(" ",8)</f>
        <v/>
      </c>
      <c r="P32" s="10">
        <f>RIGHT($B$4,2)</f>
        <v/>
      </c>
      <c r="Q32" s="10">
        <f>RIGHT($B$5,3)</f>
        <v/>
      </c>
      <c r="R32" s="10">
        <f>IF(A32="D",LEFT(UPPER(B32)&amp;REPT(" ",20),20),REPT(" ",20))</f>
        <v/>
      </c>
      <c r="S32" s="10">
        <f>IF(A32="D",LEFT(UPPER(C32)&amp;REPT(" ",10),10)," ")</f>
        <v/>
      </c>
      <c r="T32" s="10">
        <f>IF(A32="D",LEFT(UPPER(D32)&amp;REPT(" ",2),2)," ")</f>
        <v/>
      </c>
      <c r="U32" s="10">
        <f>IF(A32="D",LEFT(UPPER(E32)&amp;REPT(" ",15),15)," ")</f>
        <v/>
      </c>
      <c r="V32" s="10">
        <f>REPT(" ",24)</f>
        <v/>
      </c>
      <c r="W32" s="10">
        <f>IF(A32="c",LEFT(UPPER(B32)&amp;REPT(" ",20),20),REPT(" ",20))</f>
        <v/>
      </c>
      <c r="X32" s="10">
        <f>IF(A32="C",LEFT(UPPER(C32)&amp;REPT(" ",10),10)," ")</f>
        <v/>
      </c>
      <c r="Y32" s="10">
        <f>IF(A32="C",LEFT(UPPER(D32)&amp;REPT(" ",2),2)," ")</f>
        <v/>
      </c>
      <c r="Z32" s="10">
        <f>IF(A32="C",LEFT(UPPER(E32)&amp;REPT(" ",15),15)," ")</f>
        <v/>
      </c>
      <c r="AA32" s="10">
        <f>REPT(" ",8)</f>
        <v/>
      </c>
      <c r="AB32" s="10">
        <f>REPT(" ",4)</f>
        <v/>
      </c>
      <c r="AC32" s="10">
        <f>LEFT(UPPER(H32)&amp;REPT(" ",250),250)</f>
        <v/>
      </c>
      <c r="AD32" s="10">
        <f>TEXT($G$2,"dd/mm/aaaa")</f>
        <v/>
      </c>
      <c r="AE32" s="10">
        <f>REPT(" ",10)</f>
        <v/>
      </c>
      <c r="AF32" s="10">
        <f>REPT(" ",20)</f>
        <v/>
      </c>
      <c r="AG32" s="54">
        <f>REPT(" ",18-LEN(FIXED(F32,2,TRUE)))&amp;FIXED(F32,2,TRUE)</f>
        <v/>
      </c>
      <c r="AH32" s="10">
        <f>LEN(AC32)+LEN(AG32)</f>
        <v/>
      </c>
      <c r="AI32" s="10">
        <f>LEN(L32)</f>
        <v/>
      </c>
    </row>
    <row r="33">
      <c r="A33" s="61" t="inlineStr">
        <is>
          <t>D</t>
        </is>
      </c>
      <c r="B33" s="64">
        <f>IFERROR(IF(VLOOKUP(I33,DEPARA_CONTAS,2,0)="","CONTA PENDENTE",VLOOKUP(I33,DEPARA_CONTAS,2,0)),"SEM DE-PARA")</f>
        <v/>
      </c>
      <c r="C33" s="64" t="inlineStr">
        <is>
          <t>000101</t>
        </is>
      </c>
      <c r="D33" s="62" t="n"/>
      <c r="E33" s="62" t="n"/>
      <c r="F33" s="87" t="n">
        <v>7285.58</v>
      </c>
      <c r="H33" s="61" t="inlineStr">
        <is>
          <t>FOLHA DE PAGAMENTO REF 04/2026</t>
        </is>
      </c>
      <c r="I33" s="86" t="inlineStr">
        <is>
          <t>6.1.1.03.001</t>
        </is>
      </c>
      <c r="J33" s="12">
        <f>IF(F33&lt;&gt;0,"LANÇAR","")</f>
        <v/>
      </c>
      <c r="K33" s="20" t="n"/>
      <c r="L33" s="13">
        <f>N33&amp;O33&amp;P33&amp;Q33&amp;R33&amp;S33&amp;T33&amp;U33&amp;V33&amp;W33&amp;X33&amp;Y33&amp;Z33&amp;AA33&amp;AB33&amp;AC33&amp;AD33&amp;AE33&amp;AF33&amp;AG33</f>
        <v/>
      </c>
      <c r="M33" s="20" t="n"/>
      <c r="N33" s="10">
        <f>TEXT($B$6,"00")</f>
        <v/>
      </c>
      <c r="O33" s="10">
        <f>REPT(" ",8)</f>
        <v/>
      </c>
      <c r="P33" s="10">
        <f>RIGHT($B$4,2)</f>
        <v/>
      </c>
      <c r="Q33" s="10">
        <f>RIGHT($B$5,3)</f>
        <v/>
      </c>
      <c r="R33" s="10">
        <f>IF(A33="D",LEFT(UPPER(B33)&amp;REPT(" ",20),20),REPT(" ",20))</f>
        <v/>
      </c>
      <c r="S33" s="10">
        <f>IF(A33="D",LEFT(UPPER(C33)&amp;REPT(" ",10),10)," ")</f>
        <v/>
      </c>
      <c r="T33" s="10">
        <f>IF(A33="D",LEFT(UPPER(D33)&amp;REPT(" ",2),2)," ")</f>
        <v/>
      </c>
      <c r="U33" s="10">
        <f>IF(A33="D",LEFT(UPPER(E33)&amp;REPT(" ",15),15)," ")</f>
        <v/>
      </c>
      <c r="V33" s="10">
        <f>REPT(" ",24)</f>
        <v/>
      </c>
      <c r="W33" s="10">
        <f>IF(A33="c",LEFT(UPPER(B33)&amp;REPT(" ",20),20),REPT(" ",20))</f>
        <v/>
      </c>
      <c r="X33" s="10">
        <f>IF(A33="C",LEFT(UPPER(C33)&amp;REPT(" ",10),10)," ")</f>
        <v/>
      </c>
      <c r="Y33" s="10">
        <f>IF(A33="C",LEFT(UPPER(D33)&amp;REPT(" ",2),2)," ")</f>
        <v/>
      </c>
      <c r="Z33" s="10">
        <f>IF(A33="C",LEFT(UPPER(E33)&amp;REPT(" ",15),15)," ")</f>
        <v/>
      </c>
      <c r="AA33" s="10">
        <f>REPT(" ",8)</f>
        <v/>
      </c>
      <c r="AB33" s="10">
        <f>REPT(" ",4)</f>
        <v/>
      </c>
      <c r="AC33" s="10">
        <f>LEFT(UPPER(H33)&amp;REPT(" ",250),250)</f>
        <v/>
      </c>
      <c r="AD33" s="10">
        <f>TEXT($G$2,"dd/mm/aaaa")</f>
        <v/>
      </c>
      <c r="AE33" s="10">
        <f>REPT(" ",10)</f>
        <v/>
      </c>
      <c r="AF33" s="10">
        <f>REPT(" ",20)</f>
        <v/>
      </c>
      <c r="AG33" s="54">
        <f>REPT(" ",18-LEN(FIXED(F33,2,TRUE)))&amp;FIXED(F33,2,TRUE)</f>
        <v/>
      </c>
      <c r="AH33" s="10">
        <f>LEN(AC33)+LEN(AG33)</f>
        <v/>
      </c>
      <c r="AI33" s="10">
        <f>LEN(L33)</f>
        <v/>
      </c>
    </row>
    <row r="34">
      <c r="A34" s="61" t="inlineStr">
        <is>
          <t>D</t>
        </is>
      </c>
      <c r="B34" s="64">
        <f>IFERROR(IF(VLOOKUP(I34,DEPARA_CONTAS,2,0)="","CONTA PENDENTE",VLOOKUP(I34,DEPARA_CONTAS,2,0)),"SEM DE-PARA")</f>
        <v/>
      </c>
      <c r="C34" s="64" t="inlineStr">
        <is>
          <t>000101</t>
        </is>
      </c>
      <c r="D34" s="62" t="n"/>
      <c r="E34" s="62" t="n"/>
      <c r="F34" s="87" t="n">
        <v>5008.84</v>
      </c>
      <c r="H34" s="61" t="inlineStr">
        <is>
          <t>FOLHA DE PAGAMENTO REF 04/2026</t>
        </is>
      </c>
      <c r="I34" s="86" t="inlineStr">
        <is>
          <t>6.1.1.03.002</t>
        </is>
      </c>
      <c r="J34" s="12">
        <f>IF(F34&lt;&gt;0,"LANÇAR","")</f>
        <v/>
      </c>
      <c r="K34" s="20" t="n"/>
      <c r="L34" s="13">
        <f>N34&amp;O34&amp;P34&amp;Q34&amp;R34&amp;S34&amp;T34&amp;U34&amp;V34&amp;W34&amp;X34&amp;Y34&amp;Z34&amp;AA34&amp;AB34&amp;AC34&amp;AD34&amp;AE34&amp;AF34&amp;AG34</f>
        <v/>
      </c>
      <c r="M34" s="20" t="n"/>
      <c r="N34" s="10">
        <f>TEXT($B$6,"00")</f>
        <v/>
      </c>
      <c r="O34" s="10">
        <f>REPT(" ",8)</f>
        <v/>
      </c>
      <c r="P34" s="10">
        <f>RIGHT($B$4,2)</f>
        <v/>
      </c>
      <c r="Q34" s="10">
        <f>RIGHT($B$5,3)</f>
        <v/>
      </c>
      <c r="R34" s="10">
        <f>IF(A34="D",LEFT(UPPER(B34)&amp;REPT(" ",20),20),REPT(" ",20))</f>
        <v/>
      </c>
      <c r="S34" s="10">
        <f>IF(A34="D",LEFT(UPPER(C34)&amp;REPT(" ",10),10)," ")</f>
        <v/>
      </c>
      <c r="T34" s="10">
        <f>IF(A34="D",LEFT(UPPER(D34)&amp;REPT(" ",2),2)," ")</f>
        <v/>
      </c>
      <c r="U34" s="10">
        <f>IF(A34="D",LEFT(UPPER(E34)&amp;REPT(" ",15),15)," ")</f>
        <v/>
      </c>
      <c r="V34" s="10">
        <f>REPT(" ",24)</f>
        <v/>
      </c>
      <c r="W34" s="10">
        <f>IF(A34="c",LEFT(UPPER(B34)&amp;REPT(" ",20),20),REPT(" ",20))</f>
        <v/>
      </c>
      <c r="X34" s="10">
        <f>IF(A34="C",LEFT(UPPER(C34)&amp;REPT(" ",10),10)," ")</f>
        <v/>
      </c>
      <c r="Y34" s="10">
        <f>IF(A34="C",LEFT(UPPER(D34)&amp;REPT(" ",2),2)," ")</f>
        <v/>
      </c>
      <c r="Z34" s="10">
        <f>IF(A34="C",LEFT(UPPER(E34)&amp;REPT(" ",15),15)," ")</f>
        <v/>
      </c>
      <c r="AA34" s="10">
        <f>REPT(" ",8)</f>
        <v/>
      </c>
      <c r="AB34" s="10">
        <f>REPT(" ",4)</f>
        <v/>
      </c>
      <c r="AC34" s="10">
        <f>LEFT(UPPER(H34)&amp;REPT(" ",250),250)</f>
        <v/>
      </c>
      <c r="AD34" s="10">
        <f>TEXT($G$2,"dd/mm/aaaa")</f>
        <v/>
      </c>
      <c r="AE34" s="10">
        <f>REPT(" ",10)</f>
        <v/>
      </c>
      <c r="AF34" s="10">
        <f>REPT(" ",20)</f>
        <v/>
      </c>
      <c r="AG34" s="54">
        <f>REPT(" ",18-LEN(FIXED(F34,2,TRUE)))&amp;FIXED(F34,2,TRUE)</f>
        <v/>
      </c>
      <c r="AH34" s="10">
        <f>LEN(AC34)+LEN(AG34)</f>
        <v/>
      </c>
      <c r="AI34" s="10">
        <f>LEN(L34)</f>
        <v/>
      </c>
    </row>
    <row r="35">
      <c r="A35" s="61" t="inlineStr">
        <is>
          <t>D</t>
        </is>
      </c>
      <c r="B35" s="64">
        <f>IFERROR(IF(VLOOKUP(I35,DEPARA_CONTAS,2,0)="","CONTA PENDENTE",VLOOKUP(I35,DEPARA_CONTAS,2,0)),"SEM DE-PARA")</f>
        <v/>
      </c>
      <c r="C35" s="64" t="inlineStr">
        <is>
          <t>000101</t>
        </is>
      </c>
      <c r="D35" s="62" t="n"/>
      <c r="E35" s="62" t="n"/>
      <c r="F35" s="87" t="n">
        <v>2025.39</v>
      </c>
      <c r="H35" s="61" t="inlineStr">
        <is>
          <t>FOLHA DE PAGAMENTO REF 04/2026</t>
        </is>
      </c>
      <c r="I35" s="86" t="inlineStr">
        <is>
          <t>6.1.1.03.003</t>
        </is>
      </c>
      <c r="J35" s="12">
        <f>IF(F35&lt;&gt;0,"LANÇAR","")</f>
        <v/>
      </c>
      <c r="K35" s="20" t="n"/>
      <c r="L35" s="13">
        <f>N35&amp;O35&amp;P35&amp;Q35&amp;R35&amp;S35&amp;T35&amp;U35&amp;V35&amp;W35&amp;X35&amp;Y35&amp;Z35&amp;AA35&amp;AB35&amp;AC35&amp;AD35&amp;AE35&amp;AF35&amp;AG35</f>
        <v/>
      </c>
      <c r="M35" s="20" t="n"/>
      <c r="N35" s="10">
        <f>TEXT($B$6,"00")</f>
        <v/>
      </c>
      <c r="O35" s="10">
        <f>REPT(" ",8)</f>
        <v/>
      </c>
      <c r="P35" s="10">
        <f>RIGHT($B$4,2)</f>
        <v/>
      </c>
      <c r="Q35" s="10">
        <f>RIGHT($B$5,3)</f>
        <v/>
      </c>
      <c r="R35" s="10">
        <f>IF(A35="D",LEFT(UPPER(B35)&amp;REPT(" ",20),20),REPT(" ",20))</f>
        <v/>
      </c>
      <c r="S35" s="10">
        <f>IF(A35="D",LEFT(UPPER(C35)&amp;REPT(" ",10),10)," ")</f>
        <v/>
      </c>
      <c r="T35" s="10">
        <f>IF(A35="D",LEFT(UPPER(D35)&amp;REPT(" ",2),2)," ")</f>
        <v/>
      </c>
      <c r="U35" s="10">
        <f>IF(A35="D",LEFT(UPPER(E35)&amp;REPT(" ",15),15)," ")</f>
        <v/>
      </c>
      <c r="V35" s="10">
        <f>REPT(" ",24)</f>
        <v/>
      </c>
      <c r="W35" s="10">
        <f>IF(A35="c",LEFT(UPPER(B35)&amp;REPT(" ",20),20),REPT(" ",20))</f>
        <v/>
      </c>
      <c r="X35" s="10">
        <f>IF(A35="C",LEFT(UPPER(C35)&amp;REPT(" ",10),10)," ")</f>
        <v/>
      </c>
      <c r="Y35" s="10">
        <f>IF(A35="C",LEFT(UPPER(D35)&amp;REPT(" ",2),2)," ")</f>
        <v/>
      </c>
      <c r="Z35" s="10">
        <f>IF(A35="C",LEFT(UPPER(E35)&amp;REPT(" ",15),15)," ")</f>
        <v/>
      </c>
      <c r="AA35" s="10">
        <f>REPT(" ",8)</f>
        <v/>
      </c>
      <c r="AB35" s="10">
        <f>REPT(" ",4)</f>
        <v/>
      </c>
      <c r="AC35" s="10">
        <f>LEFT(UPPER(H35)&amp;REPT(" ",250),250)</f>
        <v/>
      </c>
      <c r="AD35" s="10">
        <f>TEXT($G$2,"dd/mm/aaaa")</f>
        <v/>
      </c>
      <c r="AE35" s="10">
        <f>REPT(" ",10)</f>
        <v/>
      </c>
      <c r="AF35" s="10">
        <f>REPT(" ",20)</f>
        <v/>
      </c>
      <c r="AG35" s="54">
        <f>REPT(" ",18-LEN(FIXED(F35,2,TRUE)))&amp;FIXED(F35,2,TRUE)</f>
        <v/>
      </c>
      <c r="AH35" s="10">
        <f>LEN(AC35)+LEN(AG35)</f>
        <v/>
      </c>
      <c r="AI35" s="10">
        <f>LEN(L35)</f>
        <v/>
      </c>
    </row>
    <row r="36">
      <c r="A36" s="61" t="inlineStr">
        <is>
          <t>D</t>
        </is>
      </c>
      <c r="B36" s="64">
        <f>IFERROR(IF(VLOOKUP(I36,DEPARA_CONTAS,2,0)="","CONTA PENDENTE",VLOOKUP(I36,DEPARA_CONTAS,2,0)),"SEM DE-PARA")</f>
        <v/>
      </c>
      <c r="C36" s="64" t="inlineStr">
        <is>
          <t>000101</t>
        </is>
      </c>
      <c r="D36" s="62" t="n"/>
      <c r="E36" s="62" t="n"/>
      <c r="F36" s="87" t="n">
        <v>1392.46</v>
      </c>
      <c r="H36" s="61" t="inlineStr">
        <is>
          <t>FOLHA DE PAGAMENTO REF 04/2026</t>
        </is>
      </c>
      <c r="I36" s="86" t="inlineStr">
        <is>
          <t>6.1.1.03.004</t>
        </is>
      </c>
      <c r="J36" s="12">
        <f>IF(F36&lt;&gt;0,"LANÇAR","")</f>
        <v/>
      </c>
      <c r="K36" s="20" t="n"/>
      <c r="L36" s="13">
        <f>N36&amp;O36&amp;P36&amp;Q36&amp;R36&amp;S36&amp;T36&amp;U36&amp;V36&amp;W36&amp;X36&amp;Y36&amp;Z36&amp;AA36&amp;AB36&amp;AC36&amp;AD36&amp;AE36&amp;AF36&amp;AG36</f>
        <v/>
      </c>
      <c r="M36" s="20" t="n"/>
      <c r="N36" s="10">
        <f>TEXT($B$6,"00")</f>
        <v/>
      </c>
      <c r="O36" s="10">
        <f>REPT(" ",8)</f>
        <v/>
      </c>
      <c r="P36" s="10">
        <f>RIGHT($B$4,2)</f>
        <v/>
      </c>
      <c r="Q36" s="10">
        <f>RIGHT($B$5,3)</f>
        <v/>
      </c>
      <c r="R36" s="10">
        <f>IF(A36="D",LEFT(UPPER(B36)&amp;REPT(" ",20),20),REPT(" ",20))</f>
        <v/>
      </c>
      <c r="S36" s="10">
        <f>IF(A36="D",LEFT(UPPER(C36)&amp;REPT(" ",10),10)," ")</f>
        <v/>
      </c>
      <c r="T36" s="10">
        <f>IF(A36="D",LEFT(UPPER(D36)&amp;REPT(" ",2),2)," ")</f>
        <v/>
      </c>
      <c r="U36" s="10">
        <f>IF(A36="D",LEFT(UPPER(E36)&amp;REPT(" ",15),15)," ")</f>
        <v/>
      </c>
      <c r="V36" s="10">
        <f>REPT(" ",24)</f>
        <v/>
      </c>
      <c r="W36" s="10">
        <f>IF(A36="c",LEFT(UPPER(B36)&amp;REPT(" ",20),20),REPT(" ",20))</f>
        <v/>
      </c>
      <c r="X36" s="10">
        <f>IF(A36="C",LEFT(UPPER(C36)&amp;REPT(" ",10),10)," ")</f>
        <v/>
      </c>
      <c r="Y36" s="10">
        <f>IF(A36="C",LEFT(UPPER(D36)&amp;REPT(" ",2),2)," ")</f>
        <v/>
      </c>
      <c r="Z36" s="10">
        <f>IF(A36="C",LEFT(UPPER(E36)&amp;REPT(" ",15),15)," ")</f>
        <v/>
      </c>
      <c r="AA36" s="10">
        <f>REPT(" ",8)</f>
        <v/>
      </c>
      <c r="AB36" s="10">
        <f>REPT(" ",4)</f>
        <v/>
      </c>
      <c r="AC36" s="10">
        <f>LEFT(UPPER(H36)&amp;REPT(" ",250),250)</f>
        <v/>
      </c>
      <c r="AD36" s="10">
        <f>TEXT($G$2,"dd/mm/aaaa")</f>
        <v/>
      </c>
      <c r="AE36" s="10">
        <f>REPT(" ",10)</f>
        <v/>
      </c>
      <c r="AF36" s="10">
        <f>REPT(" ",20)</f>
        <v/>
      </c>
      <c r="AG36" s="54">
        <f>REPT(" ",18-LEN(FIXED(F36,2,TRUE)))&amp;FIXED(F36,2,TRUE)</f>
        <v/>
      </c>
      <c r="AH36" s="10">
        <f>LEN(AC36)+LEN(AG36)</f>
        <v/>
      </c>
      <c r="AI36" s="10">
        <f>LEN(L36)</f>
        <v/>
      </c>
    </row>
    <row r="37">
      <c r="A37" s="61" t="inlineStr">
        <is>
          <t>D</t>
        </is>
      </c>
      <c r="B37" s="64">
        <f>IFERROR(IF(VLOOKUP(I37,DEPARA_CONTAS,2,0)="","CONTA PENDENTE",VLOOKUP(I37,DEPARA_CONTAS,2,0)),"SEM DE-PARA")</f>
        <v/>
      </c>
      <c r="C37" s="64" t="inlineStr">
        <is>
          <t>000101</t>
        </is>
      </c>
      <c r="D37" s="62" t="n"/>
      <c r="E37" s="62" t="n"/>
      <c r="F37" s="87" t="n">
        <v>582.85</v>
      </c>
      <c r="H37" s="61" t="inlineStr">
        <is>
          <t>FOLHA DE PAGAMENTO REF 04/2026</t>
        </is>
      </c>
      <c r="I37" s="86" t="inlineStr">
        <is>
          <t>6.1.1.03.005</t>
        </is>
      </c>
      <c r="J37" s="12">
        <f>IF(F37&lt;&gt;0,"LANÇAR","")</f>
        <v/>
      </c>
      <c r="K37" s="20" t="n"/>
      <c r="L37" s="13">
        <f>N37&amp;O37&amp;P37&amp;Q37&amp;R37&amp;S37&amp;T37&amp;U37&amp;V37&amp;W37&amp;X37&amp;Y37&amp;Z37&amp;AA37&amp;AB37&amp;AC37&amp;AD37&amp;AE37&amp;AF37&amp;AG37</f>
        <v/>
      </c>
      <c r="M37" s="20" t="n"/>
      <c r="N37" s="10">
        <f>TEXT($B$6,"00")</f>
        <v/>
      </c>
      <c r="O37" s="10">
        <f>REPT(" ",8)</f>
        <v/>
      </c>
      <c r="P37" s="10">
        <f>RIGHT($B$4,2)</f>
        <v/>
      </c>
      <c r="Q37" s="10">
        <f>RIGHT($B$5,3)</f>
        <v/>
      </c>
      <c r="R37" s="10">
        <f>IF(A37="D",LEFT(UPPER(B37)&amp;REPT(" ",20),20),REPT(" ",20))</f>
        <v/>
      </c>
      <c r="S37" s="10">
        <f>IF(A37="D",LEFT(UPPER(C37)&amp;REPT(" ",10),10)," ")</f>
        <v/>
      </c>
      <c r="T37" s="10">
        <f>IF(A37="D",LEFT(UPPER(D37)&amp;REPT(" ",2),2)," ")</f>
        <v/>
      </c>
      <c r="U37" s="10">
        <f>IF(A37="D",LEFT(UPPER(E37)&amp;REPT(" ",15),15)," ")</f>
        <v/>
      </c>
      <c r="V37" s="10">
        <f>REPT(" ",24)</f>
        <v/>
      </c>
      <c r="W37" s="10">
        <f>IF(A37="c",LEFT(UPPER(B37)&amp;REPT(" ",20),20),REPT(" ",20))</f>
        <v/>
      </c>
      <c r="X37" s="10">
        <f>IF(A37="C",LEFT(UPPER(C37)&amp;REPT(" ",10),10)," ")</f>
        <v/>
      </c>
      <c r="Y37" s="10">
        <f>IF(A37="C",LEFT(UPPER(D37)&amp;REPT(" ",2),2)," ")</f>
        <v/>
      </c>
      <c r="Z37" s="10">
        <f>IF(A37="C",LEFT(UPPER(E37)&amp;REPT(" ",15),15)," ")</f>
        <v/>
      </c>
      <c r="AA37" s="10">
        <f>REPT(" ",8)</f>
        <v/>
      </c>
      <c r="AB37" s="10">
        <f>REPT(" ",4)</f>
        <v/>
      </c>
      <c r="AC37" s="10">
        <f>LEFT(UPPER(H37)&amp;REPT(" ",250),250)</f>
        <v/>
      </c>
      <c r="AD37" s="10">
        <f>TEXT($G$2,"dd/mm/aaaa")</f>
        <v/>
      </c>
      <c r="AE37" s="10">
        <f>REPT(" ",10)</f>
        <v/>
      </c>
      <c r="AF37" s="10">
        <f>REPT(" ",20)</f>
        <v/>
      </c>
      <c r="AG37" s="54">
        <f>REPT(" ",18-LEN(FIXED(F37,2,TRUE)))&amp;FIXED(F37,2,TRUE)</f>
        <v/>
      </c>
      <c r="AH37" s="10">
        <f>LEN(AC37)+LEN(AG37)</f>
        <v/>
      </c>
      <c r="AI37" s="10">
        <f>LEN(L37)</f>
        <v/>
      </c>
    </row>
    <row r="38">
      <c r="A38" s="61" t="inlineStr">
        <is>
          <t>D</t>
        </is>
      </c>
      <c r="B38" s="64">
        <f>IFERROR(IF(VLOOKUP(I38,DEPARA_CONTAS,2,0)="","CONTA PENDENTE",VLOOKUP(I38,DEPARA_CONTAS,2,0)),"SEM DE-PARA")</f>
        <v/>
      </c>
      <c r="C38" s="64" t="inlineStr">
        <is>
          <t>000101</t>
        </is>
      </c>
      <c r="D38" s="62" t="n"/>
      <c r="E38" s="62" t="n"/>
      <c r="F38" s="87" t="n">
        <v>400.71</v>
      </c>
      <c r="H38" s="61" t="inlineStr">
        <is>
          <t>FOLHA DE PAGAMENTO REF 04/2026</t>
        </is>
      </c>
      <c r="I38" s="86" t="inlineStr">
        <is>
          <t>6.1.1.03.006</t>
        </is>
      </c>
      <c r="J38" s="12">
        <f>IF(F38&lt;&gt;0,"LANÇAR","")</f>
        <v/>
      </c>
      <c r="K38" s="20" t="n"/>
      <c r="L38" s="13">
        <f>N38&amp;O38&amp;P38&amp;Q38&amp;R38&amp;S38&amp;T38&amp;U38&amp;V38&amp;W38&amp;X38&amp;Y38&amp;Z38&amp;AA38&amp;AB38&amp;AC38&amp;AD38&amp;AE38&amp;AF38&amp;AG38</f>
        <v/>
      </c>
      <c r="M38" s="20" t="n"/>
      <c r="N38" s="10">
        <f>TEXT($B$6,"00")</f>
        <v/>
      </c>
      <c r="O38" s="10">
        <f>REPT(" ",8)</f>
        <v/>
      </c>
      <c r="P38" s="10">
        <f>RIGHT($B$4,2)</f>
        <v/>
      </c>
      <c r="Q38" s="10">
        <f>RIGHT($B$5,3)</f>
        <v/>
      </c>
      <c r="R38" s="10">
        <f>IF(A38="D",LEFT(UPPER(B38)&amp;REPT(" ",20),20),REPT(" ",20))</f>
        <v/>
      </c>
      <c r="S38" s="10">
        <f>IF(A38="D",LEFT(UPPER(C38)&amp;REPT(" ",10),10)," ")</f>
        <v/>
      </c>
      <c r="T38" s="10">
        <f>IF(A38="D",LEFT(UPPER(D38)&amp;REPT(" ",2),2)," ")</f>
        <v/>
      </c>
      <c r="U38" s="10">
        <f>IF(A38="D",LEFT(UPPER(E38)&amp;REPT(" ",15),15)," ")</f>
        <v/>
      </c>
      <c r="V38" s="10">
        <f>REPT(" ",24)</f>
        <v/>
      </c>
      <c r="W38" s="10">
        <f>IF(A38="c",LEFT(UPPER(B38)&amp;REPT(" ",20),20),REPT(" ",20))</f>
        <v/>
      </c>
      <c r="X38" s="10">
        <f>IF(A38="C",LEFT(UPPER(C38)&amp;REPT(" ",10),10)," ")</f>
        <v/>
      </c>
      <c r="Y38" s="10">
        <f>IF(A38="C",LEFT(UPPER(D38)&amp;REPT(" ",2),2)," ")</f>
        <v/>
      </c>
      <c r="Z38" s="10">
        <f>IF(A38="C",LEFT(UPPER(E38)&amp;REPT(" ",15),15)," ")</f>
        <v/>
      </c>
      <c r="AA38" s="10">
        <f>REPT(" ",8)</f>
        <v/>
      </c>
      <c r="AB38" s="10">
        <f>REPT(" ",4)</f>
        <v/>
      </c>
      <c r="AC38" s="10">
        <f>LEFT(UPPER(H38)&amp;REPT(" ",250),250)</f>
        <v/>
      </c>
      <c r="AD38" s="10">
        <f>TEXT($G$2,"dd/mm/aaaa")</f>
        <v/>
      </c>
      <c r="AE38" s="10">
        <f>REPT(" ",10)</f>
        <v/>
      </c>
      <c r="AF38" s="10">
        <f>REPT(" ",20)</f>
        <v/>
      </c>
      <c r="AG38" s="54">
        <f>REPT(" ",18-LEN(FIXED(F38,2,TRUE)))&amp;FIXED(F38,2,TRUE)</f>
        <v/>
      </c>
      <c r="AH38" s="10">
        <f>LEN(AC38)+LEN(AG38)</f>
        <v/>
      </c>
      <c r="AI38" s="10">
        <f>LEN(L38)</f>
        <v/>
      </c>
    </row>
    <row r="39">
      <c r="A39" s="61" t="inlineStr">
        <is>
          <t>D</t>
        </is>
      </c>
      <c r="B39" s="64">
        <f>IFERROR(IF(VLOOKUP(I39,DEPARA_CONTAS,2,0)="","CONTA PENDENTE",VLOOKUP(I39,DEPARA_CONTAS,2,0)),"SEM DE-PARA")</f>
        <v/>
      </c>
      <c r="C39" s="64" t="inlineStr">
        <is>
          <t>002000</t>
        </is>
      </c>
      <c r="D39" s="62" t="n"/>
      <c r="E39" s="62" t="n"/>
      <c r="F39" s="87" t="n">
        <v>9123.65</v>
      </c>
      <c r="H39" s="61" t="inlineStr">
        <is>
          <t>FOLHA DE PAGAMENTO REF 04/2026</t>
        </is>
      </c>
      <c r="I39" s="86" t="inlineStr">
        <is>
          <t>6.1.1.01.002</t>
        </is>
      </c>
      <c r="J39" s="12">
        <f>IF(F39&lt;&gt;0,"LANÇAR","")</f>
        <v/>
      </c>
      <c r="K39" s="20" t="n"/>
      <c r="L39" s="13">
        <f>N39&amp;O39&amp;P39&amp;Q39&amp;R39&amp;S39&amp;T39&amp;U39&amp;V39&amp;W39&amp;X39&amp;Y39&amp;Z39&amp;AA39&amp;AB39&amp;AC39&amp;AD39&amp;AE39&amp;AF39&amp;AG39</f>
        <v/>
      </c>
      <c r="M39" s="20" t="n"/>
      <c r="N39" s="10">
        <f>TEXT($B$6,"00")</f>
        <v/>
      </c>
      <c r="O39" s="10">
        <f>REPT(" ",8)</f>
        <v/>
      </c>
      <c r="P39" s="10">
        <f>RIGHT($B$4,2)</f>
        <v/>
      </c>
      <c r="Q39" s="10">
        <f>RIGHT($B$5,3)</f>
        <v/>
      </c>
      <c r="R39" s="10">
        <f>IF(A39="D",LEFT(UPPER(B39)&amp;REPT(" ",20),20),REPT(" ",20))</f>
        <v/>
      </c>
      <c r="S39" s="10">
        <f>IF(A39="D",LEFT(UPPER(C39)&amp;REPT(" ",10),10)," ")</f>
        <v/>
      </c>
      <c r="T39" s="10">
        <f>IF(A39="D",LEFT(UPPER(D39)&amp;REPT(" ",2),2)," ")</f>
        <v/>
      </c>
      <c r="U39" s="10">
        <f>IF(A39="D",LEFT(UPPER(E39)&amp;REPT(" ",15),15)," ")</f>
        <v/>
      </c>
      <c r="V39" s="10">
        <f>REPT(" ",24)</f>
        <v/>
      </c>
      <c r="W39" s="10">
        <f>IF(A39="c",LEFT(UPPER(B39)&amp;REPT(" ",20),20),REPT(" ",20))</f>
        <v/>
      </c>
      <c r="X39" s="10">
        <f>IF(A39="C",LEFT(UPPER(C39)&amp;REPT(" ",10),10)," ")</f>
        <v/>
      </c>
      <c r="Y39" s="10">
        <f>IF(A39="C",LEFT(UPPER(D39)&amp;REPT(" ",2),2)," ")</f>
        <v/>
      </c>
      <c r="Z39" s="10">
        <f>IF(A39="C",LEFT(UPPER(E39)&amp;REPT(" ",15),15)," ")</f>
        <v/>
      </c>
      <c r="AA39" s="10">
        <f>REPT(" ",8)</f>
        <v/>
      </c>
      <c r="AB39" s="10">
        <f>REPT(" ",4)</f>
        <v/>
      </c>
      <c r="AC39" s="10">
        <f>LEFT(UPPER(H39)&amp;REPT(" ",250),250)</f>
        <v/>
      </c>
      <c r="AD39" s="10">
        <f>TEXT($G$2,"dd/mm/aaaa")</f>
        <v/>
      </c>
      <c r="AE39" s="10">
        <f>REPT(" ",10)</f>
        <v/>
      </c>
      <c r="AF39" s="10">
        <f>REPT(" ",20)</f>
        <v/>
      </c>
      <c r="AG39" s="54">
        <f>REPT(" ",18-LEN(FIXED(F39,2,TRUE)))&amp;FIXED(F39,2,TRUE)</f>
        <v/>
      </c>
      <c r="AH39" s="10">
        <f>LEN(AC39)+LEN(AG39)</f>
        <v/>
      </c>
      <c r="AI39" s="10">
        <f>LEN(L39)</f>
        <v/>
      </c>
    </row>
    <row r="40">
      <c r="A40" s="61" t="inlineStr">
        <is>
          <t>D</t>
        </is>
      </c>
      <c r="B40" s="64">
        <f>IFERROR(IF(VLOOKUP(I40,DEPARA_CONTAS,2,0)="","CONTA PENDENTE",VLOOKUP(I40,DEPARA_CONTAS,2,0)),"SEM DE-PARA")</f>
        <v/>
      </c>
      <c r="C40" s="64" t="inlineStr">
        <is>
          <t>002000</t>
        </is>
      </c>
      <c r="D40" s="62" t="n"/>
      <c r="E40" s="62" t="n"/>
      <c r="F40" s="87" t="n">
        <v>3838.84</v>
      </c>
      <c r="H40" s="61" t="inlineStr">
        <is>
          <t>FOLHA DE PAGAMENTO REF 04/2026</t>
        </is>
      </c>
      <c r="I40" s="86" t="inlineStr">
        <is>
          <t>6.1.1.01.003</t>
        </is>
      </c>
      <c r="J40" s="12">
        <f>IF(F40&lt;&gt;0,"LANÇAR","")</f>
        <v/>
      </c>
      <c r="K40" s="20" t="n"/>
      <c r="L40" s="13">
        <f>N40&amp;O40&amp;P40&amp;Q40&amp;R40&amp;S40&amp;T40&amp;U40&amp;V40&amp;W40&amp;X40&amp;Y40&amp;Z40&amp;AA40&amp;AB40&amp;AC40&amp;AD40&amp;AE40&amp;AF40&amp;AG40</f>
        <v/>
      </c>
      <c r="M40" s="20" t="n"/>
      <c r="N40" s="10">
        <f>TEXT($B$6,"00")</f>
        <v/>
      </c>
      <c r="O40" s="10">
        <f>REPT(" ",8)</f>
        <v/>
      </c>
      <c r="P40" s="10">
        <f>RIGHT($B$4,2)</f>
        <v/>
      </c>
      <c r="Q40" s="10">
        <f>RIGHT($B$5,3)</f>
        <v/>
      </c>
      <c r="R40" s="10">
        <f>IF(A40="D",LEFT(UPPER(B40)&amp;REPT(" ",20),20),REPT(" ",20))</f>
        <v/>
      </c>
      <c r="S40" s="10">
        <f>IF(A40="D",LEFT(UPPER(C40)&amp;REPT(" ",10),10)," ")</f>
        <v/>
      </c>
      <c r="T40" s="10">
        <f>IF(A40="D",LEFT(UPPER(D40)&amp;REPT(" ",2),2)," ")</f>
        <v/>
      </c>
      <c r="U40" s="10">
        <f>IF(A40="D",LEFT(UPPER(E40)&amp;REPT(" ",15),15)," ")</f>
        <v/>
      </c>
      <c r="V40" s="10">
        <f>REPT(" ",24)</f>
        <v/>
      </c>
      <c r="W40" s="10">
        <f>IF(A40="c",LEFT(UPPER(B40)&amp;REPT(" ",20),20),REPT(" ",20))</f>
        <v/>
      </c>
      <c r="X40" s="10">
        <f>IF(A40="C",LEFT(UPPER(C40)&amp;REPT(" ",10),10)," ")</f>
        <v/>
      </c>
      <c r="Y40" s="10">
        <f>IF(A40="C",LEFT(UPPER(D40)&amp;REPT(" ",2),2)," ")</f>
        <v/>
      </c>
      <c r="Z40" s="10">
        <f>IF(A40="C",LEFT(UPPER(E40)&amp;REPT(" ",15),15)," ")</f>
        <v/>
      </c>
      <c r="AA40" s="10">
        <f>REPT(" ",8)</f>
        <v/>
      </c>
      <c r="AB40" s="10">
        <f>REPT(" ",4)</f>
        <v/>
      </c>
      <c r="AC40" s="10">
        <f>LEFT(UPPER(H40)&amp;REPT(" ",250),250)</f>
        <v/>
      </c>
      <c r="AD40" s="10">
        <f>TEXT($G$2,"dd/mm/aaaa")</f>
        <v/>
      </c>
      <c r="AE40" s="10">
        <f>REPT(" ",10)</f>
        <v/>
      </c>
      <c r="AF40" s="10">
        <f>REPT(" ",20)</f>
        <v/>
      </c>
      <c r="AG40" s="54">
        <f>REPT(" ",18-LEN(FIXED(F40,2,TRUE)))&amp;FIXED(F40,2,TRUE)</f>
        <v/>
      </c>
      <c r="AH40" s="10">
        <f>LEN(AC40)+LEN(AG40)</f>
        <v/>
      </c>
      <c r="AI40" s="10">
        <f>LEN(L40)</f>
        <v/>
      </c>
    </row>
    <row r="41">
      <c r="A41" s="61" t="inlineStr">
        <is>
          <t>D</t>
        </is>
      </c>
      <c r="B41" s="64">
        <f>IFERROR(IF(VLOOKUP(I41,DEPARA_CONTAS,2,0)="","CONTA PENDENTE",VLOOKUP(I41,DEPARA_CONTAS,2,0)),"SEM DE-PARA")</f>
        <v/>
      </c>
      <c r="C41" s="64" t="inlineStr">
        <is>
          <t>002000</t>
        </is>
      </c>
      <c r="D41" s="62" t="n"/>
      <c r="E41" s="62" t="n"/>
      <c r="F41" s="87" t="n">
        <v>22956.22</v>
      </c>
      <c r="H41" s="61" t="inlineStr">
        <is>
          <t>FOLHA DE PAGAMENTO REF 04/2026</t>
        </is>
      </c>
      <c r="I41" s="86" t="inlineStr">
        <is>
          <t>6.1.1.01.005</t>
        </is>
      </c>
      <c r="J41" s="12">
        <f>IF(F41&lt;&gt;0,"LANÇAR","")</f>
        <v/>
      </c>
      <c r="K41" s="20" t="n"/>
      <c r="L41" s="13">
        <f>N41&amp;O41&amp;P41&amp;Q41&amp;R41&amp;S41&amp;T41&amp;U41&amp;V41&amp;W41&amp;X41&amp;Y41&amp;Z41&amp;AA41&amp;AB41&amp;AC41&amp;AD41&amp;AE41&amp;AF41&amp;AG41</f>
        <v/>
      </c>
      <c r="M41" s="20" t="n"/>
      <c r="N41" s="10">
        <f>TEXT($B$6,"00")</f>
        <v/>
      </c>
      <c r="O41" s="10">
        <f>REPT(" ",8)</f>
        <v/>
      </c>
      <c r="P41" s="10">
        <f>RIGHT($B$4,2)</f>
        <v/>
      </c>
      <c r="Q41" s="10">
        <f>RIGHT($B$5,3)</f>
        <v/>
      </c>
      <c r="R41" s="10">
        <f>IF(A41="D",LEFT(UPPER(B41)&amp;REPT(" ",20),20),REPT(" ",20))</f>
        <v/>
      </c>
      <c r="S41" s="10">
        <f>IF(A41="D",LEFT(UPPER(C41)&amp;REPT(" ",10),10)," ")</f>
        <v/>
      </c>
      <c r="T41" s="10">
        <f>IF(A41="D",LEFT(UPPER(D41)&amp;REPT(" ",2),2)," ")</f>
        <v/>
      </c>
      <c r="U41" s="10">
        <f>IF(A41="D",LEFT(UPPER(E41)&amp;REPT(" ",15),15)," ")</f>
        <v/>
      </c>
      <c r="V41" s="10">
        <f>REPT(" ",24)</f>
        <v/>
      </c>
      <c r="W41" s="10">
        <f>IF(A41="c",LEFT(UPPER(B41)&amp;REPT(" ",20),20),REPT(" ",20))</f>
        <v/>
      </c>
      <c r="X41" s="10">
        <f>IF(A41="C",LEFT(UPPER(C41)&amp;REPT(" ",10),10)," ")</f>
        <v/>
      </c>
      <c r="Y41" s="10">
        <f>IF(A41="C",LEFT(UPPER(D41)&amp;REPT(" ",2),2)," ")</f>
        <v/>
      </c>
      <c r="Z41" s="10">
        <f>IF(A41="C",LEFT(UPPER(E41)&amp;REPT(" ",15),15)," ")</f>
        <v/>
      </c>
      <c r="AA41" s="10">
        <f>REPT(" ",8)</f>
        <v/>
      </c>
      <c r="AB41" s="10">
        <f>REPT(" ",4)</f>
        <v/>
      </c>
      <c r="AC41" s="10">
        <f>LEFT(UPPER(H41)&amp;REPT(" ",250),250)</f>
        <v/>
      </c>
      <c r="AD41" s="10">
        <f>TEXT($G$2,"dd/mm/aaaa")</f>
        <v/>
      </c>
      <c r="AE41" s="10">
        <f>REPT(" ",10)</f>
        <v/>
      </c>
      <c r="AF41" s="10">
        <f>REPT(" ",20)</f>
        <v/>
      </c>
      <c r="AG41" s="54">
        <f>REPT(" ",18-LEN(FIXED(F41,2,TRUE)))&amp;FIXED(F41,2,TRUE)</f>
        <v/>
      </c>
      <c r="AH41" s="10">
        <f>LEN(AC41)+LEN(AG41)</f>
        <v/>
      </c>
      <c r="AI41" s="10">
        <f>LEN(L41)</f>
        <v/>
      </c>
    </row>
    <row r="42">
      <c r="A42" s="61" t="inlineStr">
        <is>
          <t>D</t>
        </is>
      </c>
      <c r="B42" s="64">
        <f>IFERROR(IF(VLOOKUP(I42,DEPARA_CONTAS,2,0)="","CONTA PENDENTE",VLOOKUP(I42,DEPARA_CONTAS,2,0)),"SEM DE-PARA")</f>
        <v/>
      </c>
      <c r="C42" s="64" t="inlineStr">
        <is>
          <t>002000</t>
        </is>
      </c>
      <c r="D42" s="62" t="n"/>
      <c r="E42" s="62" t="n"/>
      <c r="F42" s="87" t="n">
        <v>2150</v>
      </c>
      <c r="H42" s="61" t="inlineStr">
        <is>
          <t>FOLHA DE PAGAMENTO REF 04/2026</t>
        </is>
      </c>
      <c r="I42" s="86" t="inlineStr">
        <is>
          <t>6.1.1.01.013</t>
        </is>
      </c>
      <c r="J42" s="12">
        <f>IF(F42&lt;&gt;0,"LANÇAR","")</f>
        <v/>
      </c>
      <c r="K42" s="20" t="n"/>
      <c r="L42" s="13">
        <f>N42&amp;O42&amp;P42&amp;Q42&amp;R42&amp;S42&amp;T42&amp;U42&amp;V42&amp;W42&amp;X42&amp;Y42&amp;Z42&amp;AA42&amp;AB42&amp;AC42&amp;AD42&amp;AE42&amp;AF42&amp;AG42</f>
        <v/>
      </c>
      <c r="M42" s="20" t="n"/>
      <c r="N42" s="10">
        <f>TEXT($B$6,"00")</f>
        <v/>
      </c>
      <c r="O42" s="10">
        <f>REPT(" ",8)</f>
        <v/>
      </c>
      <c r="P42" s="10">
        <f>RIGHT($B$4,2)</f>
        <v/>
      </c>
      <c r="Q42" s="10">
        <f>RIGHT($B$5,3)</f>
        <v/>
      </c>
      <c r="R42" s="10">
        <f>IF(A42="D",LEFT(UPPER(B42)&amp;REPT(" ",20),20),REPT(" ",20))</f>
        <v/>
      </c>
      <c r="S42" s="10">
        <f>IF(A42="D",LEFT(UPPER(C42)&amp;REPT(" ",10),10)," ")</f>
        <v/>
      </c>
      <c r="T42" s="10">
        <f>IF(A42="D",LEFT(UPPER(D42)&amp;REPT(" ",2),2)," ")</f>
        <v/>
      </c>
      <c r="U42" s="10">
        <f>IF(A42="D",LEFT(UPPER(E42)&amp;REPT(" ",15),15)," ")</f>
        <v/>
      </c>
      <c r="V42" s="10">
        <f>REPT(" ",24)</f>
        <v/>
      </c>
      <c r="W42" s="10">
        <f>IF(A42="c",LEFT(UPPER(B42)&amp;REPT(" ",20),20),REPT(" ",20))</f>
        <v/>
      </c>
      <c r="X42" s="10">
        <f>IF(A42="C",LEFT(UPPER(C42)&amp;REPT(" ",10),10)," ")</f>
        <v/>
      </c>
      <c r="Y42" s="10">
        <f>IF(A42="C",LEFT(UPPER(D42)&amp;REPT(" ",2),2)," ")</f>
        <v/>
      </c>
      <c r="Z42" s="10">
        <f>IF(A42="C",LEFT(UPPER(E42)&amp;REPT(" ",15),15)," ")</f>
        <v/>
      </c>
      <c r="AA42" s="10">
        <f>REPT(" ",8)</f>
        <v/>
      </c>
      <c r="AB42" s="10">
        <f>REPT(" ",4)</f>
        <v/>
      </c>
      <c r="AC42" s="10">
        <f>LEFT(UPPER(H42)&amp;REPT(" ",250),250)</f>
        <v/>
      </c>
      <c r="AD42" s="10">
        <f>TEXT($G$2,"dd/mm/aaaa")</f>
        <v/>
      </c>
      <c r="AE42" s="10">
        <f>REPT(" ",10)</f>
        <v/>
      </c>
      <c r="AF42" s="10">
        <f>REPT(" ",20)</f>
        <v/>
      </c>
      <c r="AG42" s="54">
        <f>REPT(" ",18-LEN(FIXED(F42,2,TRUE)))&amp;FIXED(F42,2,TRUE)</f>
        <v/>
      </c>
      <c r="AH42" s="10">
        <f>LEN(AC42)+LEN(AG42)</f>
        <v/>
      </c>
      <c r="AI42" s="10">
        <f>LEN(L42)</f>
        <v/>
      </c>
    </row>
    <row r="43">
      <c r="A43" s="61" t="inlineStr">
        <is>
          <t>C</t>
        </is>
      </c>
      <c r="B43" s="64">
        <f>IFERROR(IF(VLOOKUP(I43,DEPARA_CONTAS,2,0)="","CONTA PENDENTE",VLOOKUP(I43,DEPARA_CONTAS,2,0)),"SEM DE-PARA")</f>
        <v/>
      </c>
      <c r="C43" s="64" t="inlineStr">
        <is>
          <t>002000</t>
        </is>
      </c>
      <c r="D43" s="62" t="n"/>
      <c r="E43" s="62" t="n"/>
      <c r="F43" s="87" t="n">
        <v>848.1900000000001</v>
      </c>
      <c r="H43" s="61" t="inlineStr">
        <is>
          <t>FOLHA DE PAGAMENTO REF 04/2026</t>
        </is>
      </c>
      <c r="I43" s="86" t="inlineStr">
        <is>
          <t>6.1.1.04.001</t>
        </is>
      </c>
      <c r="J43" s="12">
        <f>IF(F43&lt;&gt;0,"LANÇAR","")</f>
        <v/>
      </c>
      <c r="K43" s="20" t="n"/>
      <c r="L43" s="13">
        <f>N43&amp;O43&amp;P43&amp;Q43&amp;R43&amp;S43&amp;T43&amp;U43&amp;V43&amp;W43&amp;X43&amp;Y43&amp;Z43&amp;AA43&amp;AB43&amp;AC43&amp;AD43&amp;AE43&amp;AF43&amp;AG43</f>
        <v/>
      </c>
      <c r="M43" s="20" t="n"/>
      <c r="N43" s="10">
        <f>TEXT($B$6,"00")</f>
        <v/>
      </c>
      <c r="O43" s="10">
        <f>REPT(" ",8)</f>
        <v/>
      </c>
      <c r="P43" s="10">
        <f>RIGHT($B$4,2)</f>
        <v/>
      </c>
      <c r="Q43" s="10">
        <f>RIGHT($B$5,3)</f>
        <v/>
      </c>
      <c r="R43" s="10">
        <f>IF(A43="D",LEFT(UPPER(B43)&amp;REPT(" ",20),20),REPT(" ",20))</f>
        <v/>
      </c>
      <c r="S43" s="10">
        <f>IF(A43="D",LEFT(UPPER(C43)&amp;REPT(" ",10),10)," ")</f>
        <v/>
      </c>
      <c r="T43" s="10">
        <f>IF(A43="D",LEFT(UPPER(D43)&amp;REPT(" ",2),2)," ")</f>
        <v/>
      </c>
      <c r="U43" s="10">
        <f>IF(A43="D",LEFT(UPPER(E43)&amp;REPT(" ",15),15)," ")</f>
        <v/>
      </c>
      <c r="V43" s="10">
        <f>REPT(" ",24)</f>
        <v/>
      </c>
      <c r="W43" s="10">
        <f>IF(A43="c",LEFT(UPPER(B43)&amp;REPT(" ",20),20),REPT(" ",20))</f>
        <v/>
      </c>
      <c r="X43" s="10">
        <f>IF(A43="C",LEFT(UPPER(C43)&amp;REPT(" ",10),10)," ")</f>
        <v/>
      </c>
      <c r="Y43" s="10">
        <f>IF(A43="C",LEFT(UPPER(D43)&amp;REPT(" ",2),2)," ")</f>
        <v/>
      </c>
      <c r="Z43" s="10">
        <f>IF(A43="C",LEFT(UPPER(E43)&amp;REPT(" ",15),15)," ")</f>
        <v/>
      </c>
      <c r="AA43" s="10">
        <f>REPT(" ",8)</f>
        <v/>
      </c>
      <c r="AB43" s="10">
        <f>REPT(" ",4)</f>
        <v/>
      </c>
      <c r="AC43" s="10">
        <f>LEFT(UPPER(H43)&amp;REPT(" ",250),250)</f>
        <v/>
      </c>
      <c r="AD43" s="10">
        <f>TEXT($G$2,"dd/mm/aaaa")</f>
        <v/>
      </c>
      <c r="AE43" s="10">
        <f>REPT(" ",10)</f>
        <v/>
      </c>
      <c r="AF43" s="10">
        <f>REPT(" ",20)</f>
        <v/>
      </c>
      <c r="AG43" s="54">
        <f>REPT(" ",18-LEN(FIXED(F43,2,TRUE)))&amp;FIXED(F43,2,TRUE)</f>
        <v/>
      </c>
      <c r="AH43" s="10">
        <f>LEN(AC43)+LEN(AG43)</f>
        <v/>
      </c>
      <c r="AI43" s="10">
        <f>LEN(L43)</f>
        <v/>
      </c>
    </row>
    <row r="44">
      <c r="A44" s="61" t="inlineStr">
        <is>
          <t>C</t>
        </is>
      </c>
      <c r="B44" s="64">
        <f>IFERROR(IF(VLOOKUP(I44,DEPARA_CONTAS,2,0)="","CONTA PENDENTE",VLOOKUP(I44,DEPARA_CONTAS,2,0)),"SEM DE-PARA")</f>
        <v/>
      </c>
      <c r="C44" s="64" t="inlineStr">
        <is>
          <t>002000</t>
        </is>
      </c>
      <c r="D44" s="62" t="n"/>
      <c r="E44" s="62" t="n"/>
      <c r="F44" s="87" t="n">
        <v>110</v>
      </c>
      <c r="H44" s="61" t="inlineStr">
        <is>
          <t>FOLHA DE PAGAMENTO REF 04/2026</t>
        </is>
      </c>
      <c r="I44" s="86" t="inlineStr">
        <is>
          <t>6.1.1.04.003</t>
        </is>
      </c>
      <c r="J44" s="12">
        <f>IF(F44&lt;&gt;0,"LANÇAR","")</f>
        <v/>
      </c>
      <c r="K44" s="20" t="n"/>
      <c r="L44" s="13">
        <f>N44&amp;O44&amp;P44&amp;Q44&amp;R44&amp;S44&amp;T44&amp;U44&amp;V44&amp;W44&amp;X44&amp;Y44&amp;Z44&amp;AA44&amp;AB44&amp;AC44&amp;AD44&amp;AE44&amp;AF44&amp;AG44</f>
        <v/>
      </c>
      <c r="M44" s="20" t="n"/>
      <c r="N44" s="10">
        <f>TEXT($B$6,"00")</f>
        <v/>
      </c>
      <c r="O44" s="10">
        <f>REPT(" ",8)</f>
        <v/>
      </c>
      <c r="P44" s="10">
        <f>RIGHT($B$4,2)</f>
        <v/>
      </c>
      <c r="Q44" s="10">
        <f>RIGHT($B$5,3)</f>
        <v/>
      </c>
      <c r="R44" s="10">
        <f>IF(A44="D",LEFT(UPPER(B44)&amp;REPT(" ",20),20),REPT(" ",20))</f>
        <v/>
      </c>
      <c r="S44" s="10">
        <f>IF(A44="D",LEFT(UPPER(C44)&amp;REPT(" ",10),10)," ")</f>
        <v/>
      </c>
      <c r="T44" s="10">
        <f>IF(A44="D",LEFT(UPPER(D44)&amp;REPT(" ",2),2)," ")</f>
        <v/>
      </c>
      <c r="U44" s="10">
        <f>IF(A44="D",LEFT(UPPER(E44)&amp;REPT(" ",15),15)," ")</f>
        <v/>
      </c>
      <c r="V44" s="10">
        <f>REPT(" ",24)</f>
        <v/>
      </c>
      <c r="W44" s="10">
        <f>IF(A44="c",LEFT(UPPER(B44)&amp;REPT(" ",20),20),REPT(" ",20))</f>
        <v/>
      </c>
      <c r="X44" s="10">
        <f>IF(A44="C",LEFT(UPPER(C44)&amp;REPT(" ",10),10)," ")</f>
        <v/>
      </c>
      <c r="Y44" s="10">
        <f>IF(A44="C",LEFT(UPPER(D44)&amp;REPT(" ",2),2)," ")</f>
        <v/>
      </c>
      <c r="Z44" s="10">
        <f>IF(A44="C",LEFT(UPPER(E44)&amp;REPT(" ",15),15)," ")</f>
        <v/>
      </c>
      <c r="AA44" s="10">
        <f>REPT(" ",8)</f>
        <v/>
      </c>
      <c r="AB44" s="10">
        <f>REPT(" ",4)</f>
        <v/>
      </c>
      <c r="AC44" s="10">
        <f>LEFT(UPPER(H44)&amp;REPT(" ",250),250)</f>
        <v/>
      </c>
      <c r="AD44" s="10">
        <f>TEXT($G$2,"dd/mm/aaaa")</f>
        <v/>
      </c>
      <c r="AE44" s="10">
        <f>REPT(" ",10)</f>
        <v/>
      </c>
      <c r="AF44" s="10">
        <f>REPT(" ",20)</f>
        <v/>
      </c>
      <c r="AG44" s="54">
        <f>REPT(" ",18-LEN(FIXED(F44,2,TRUE)))&amp;FIXED(F44,2,TRUE)</f>
        <v/>
      </c>
      <c r="AH44" s="10">
        <f>LEN(AC44)+LEN(AG44)</f>
        <v/>
      </c>
      <c r="AI44" s="10">
        <f>LEN(L44)</f>
        <v/>
      </c>
    </row>
    <row r="45">
      <c r="A45" s="61" t="inlineStr">
        <is>
          <t>C</t>
        </is>
      </c>
      <c r="B45" s="64">
        <f>IFERROR(IF(VLOOKUP(I45,DEPARA_CONTAS,2,0)="","CONTA PENDENTE",VLOOKUP(I45,DEPARA_CONTAS,2,0)),"SEM DE-PARA")</f>
        <v/>
      </c>
      <c r="C45" s="64" t="inlineStr">
        <is>
          <t>002000</t>
        </is>
      </c>
      <c r="D45" s="62" t="n"/>
      <c r="E45" s="62" t="n"/>
      <c r="F45" s="87" t="n">
        <v>99</v>
      </c>
      <c r="H45" s="61" t="inlineStr">
        <is>
          <t>FOLHA DE PAGAMENTO REF 04/2026</t>
        </is>
      </c>
      <c r="I45" s="86" t="inlineStr">
        <is>
          <t>6.1.1.04.006</t>
        </is>
      </c>
      <c r="J45" s="12">
        <f>IF(F45&lt;&gt;0,"LANÇAR","")</f>
        <v/>
      </c>
      <c r="K45" s="20" t="n"/>
      <c r="L45" s="13">
        <f>N45&amp;O45&amp;P45&amp;Q45&amp;R45&amp;S45&amp;T45&amp;U45&amp;V45&amp;W45&amp;X45&amp;Y45&amp;Z45&amp;AA45&amp;AB45&amp;AC45&amp;AD45&amp;AE45&amp;AF45&amp;AG45</f>
        <v/>
      </c>
      <c r="M45" s="20" t="n"/>
      <c r="N45" s="10">
        <f>TEXT($B$6,"00")</f>
        <v/>
      </c>
      <c r="O45" s="10">
        <f>REPT(" ",8)</f>
        <v/>
      </c>
      <c r="P45" s="10">
        <f>RIGHT($B$4,2)</f>
        <v/>
      </c>
      <c r="Q45" s="10">
        <f>RIGHT($B$5,3)</f>
        <v/>
      </c>
      <c r="R45" s="10">
        <f>IF(A45="D",LEFT(UPPER(B45)&amp;REPT(" ",20),20),REPT(" ",20))</f>
        <v/>
      </c>
      <c r="S45" s="10">
        <f>IF(A45="D",LEFT(UPPER(C45)&amp;REPT(" ",10),10)," ")</f>
        <v/>
      </c>
      <c r="T45" s="10">
        <f>IF(A45="D",LEFT(UPPER(D45)&amp;REPT(" ",2),2)," ")</f>
        <v/>
      </c>
      <c r="U45" s="10">
        <f>IF(A45="D",LEFT(UPPER(E45)&amp;REPT(" ",15),15)," ")</f>
        <v/>
      </c>
      <c r="V45" s="10">
        <f>REPT(" ",24)</f>
        <v/>
      </c>
      <c r="W45" s="10">
        <f>IF(A45="c",LEFT(UPPER(B45)&amp;REPT(" ",20),20),REPT(" ",20))</f>
        <v/>
      </c>
      <c r="X45" s="10">
        <f>IF(A45="C",LEFT(UPPER(C45)&amp;REPT(" ",10),10)," ")</f>
        <v/>
      </c>
      <c r="Y45" s="10">
        <f>IF(A45="C",LEFT(UPPER(D45)&amp;REPT(" ",2),2)," ")</f>
        <v/>
      </c>
      <c r="Z45" s="10">
        <f>IF(A45="C",LEFT(UPPER(E45)&amp;REPT(" ",15),15)," ")</f>
        <v/>
      </c>
      <c r="AA45" s="10">
        <f>REPT(" ",8)</f>
        <v/>
      </c>
      <c r="AB45" s="10">
        <f>REPT(" ",4)</f>
        <v/>
      </c>
      <c r="AC45" s="10">
        <f>LEFT(UPPER(H45)&amp;REPT(" ",250),250)</f>
        <v/>
      </c>
      <c r="AD45" s="10">
        <f>TEXT($G$2,"dd/mm/aaaa")</f>
        <v/>
      </c>
      <c r="AE45" s="10">
        <f>REPT(" ",10)</f>
        <v/>
      </c>
      <c r="AF45" s="10">
        <f>REPT(" ",20)</f>
        <v/>
      </c>
      <c r="AG45" s="54">
        <f>REPT(" ",18-LEN(FIXED(F45,2,TRUE)))&amp;FIXED(F45,2,TRUE)</f>
        <v/>
      </c>
      <c r="AH45" s="10">
        <f>LEN(AC45)+LEN(AG45)</f>
        <v/>
      </c>
      <c r="AI45" s="10">
        <f>LEN(L45)</f>
        <v/>
      </c>
    </row>
    <row r="46">
      <c r="A46" s="61" t="inlineStr">
        <is>
          <t>D</t>
        </is>
      </c>
      <c r="B46" s="64">
        <f>IFERROR(IF(VLOOKUP(I46,DEPARA_CONTAS,2,0)="","CONTA PENDENTE",VLOOKUP(I46,DEPARA_CONTAS,2,0)),"SEM DE-PARA")</f>
        <v/>
      </c>
      <c r="C46" s="64" t="inlineStr">
        <is>
          <t>002000</t>
        </is>
      </c>
      <c r="D46" s="62" t="n"/>
      <c r="E46" s="62" t="n"/>
      <c r="F46" s="87" t="n">
        <v>7530.57</v>
      </c>
      <c r="H46" s="61" t="inlineStr">
        <is>
          <t>FOLHA DE PAGAMENTO REF 04/2026</t>
        </is>
      </c>
      <c r="I46" s="86" t="inlineStr">
        <is>
          <t>6.1.1.02.001</t>
        </is>
      </c>
      <c r="J46" s="12">
        <f>IF(F46&lt;&gt;0,"LANÇAR","")</f>
        <v/>
      </c>
      <c r="K46" s="20" t="n"/>
      <c r="L46" s="13">
        <f>N46&amp;O46&amp;P46&amp;Q46&amp;R46&amp;S46&amp;T46&amp;U46&amp;V46&amp;W46&amp;X46&amp;Y46&amp;Z46&amp;AA46&amp;AB46&amp;AC46&amp;AD46&amp;AE46&amp;AF46&amp;AG46</f>
        <v/>
      </c>
      <c r="M46" s="20" t="n"/>
      <c r="N46" s="10">
        <f>TEXT($B$6,"00")</f>
        <v/>
      </c>
      <c r="O46" s="10">
        <f>REPT(" ",8)</f>
        <v/>
      </c>
      <c r="P46" s="10">
        <f>RIGHT($B$4,2)</f>
        <v/>
      </c>
      <c r="Q46" s="10">
        <f>RIGHT($B$5,3)</f>
        <v/>
      </c>
      <c r="R46" s="10">
        <f>IF(A46="D",LEFT(UPPER(B46)&amp;REPT(" ",20),20),REPT(" ",20))</f>
        <v/>
      </c>
      <c r="S46" s="10">
        <f>IF(A46="D",LEFT(UPPER(C46)&amp;REPT(" ",10),10)," ")</f>
        <v/>
      </c>
      <c r="T46" s="10">
        <f>IF(A46="D",LEFT(UPPER(D46)&amp;REPT(" ",2),2)," ")</f>
        <v/>
      </c>
      <c r="U46" s="10">
        <f>IF(A46="D",LEFT(UPPER(E46)&amp;REPT(" ",15),15)," ")</f>
        <v/>
      </c>
      <c r="V46" s="10">
        <f>REPT(" ",24)</f>
        <v/>
      </c>
      <c r="W46" s="10">
        <f>IF(A46="c",LEFT(UPPER(B46)&amp;REPT(" ",20),20),REPT(" ",20))</f>
        <v/>
      </c>
      <c r="X46" s="10">
        <f>IF(A46="C",LEFT(UPPER(C46)&amp;REPT(" ",10),10)," ")</f>
        <v/>
      </c>
      <c r="Y46" s="10">
        <f>IF(A46="C",LEFT(UPPER(D46)&amp;REPT(" ",2),2)," ")</f>
        <v/>
      </c>
      <c r="Z46" s="10">
        <f>IF(A46="C",LEFT(UPPER(E46)&amp;REPT(" ",15),15)," ")</f>
        <v/>
      </c>
      <c r="AA46" s="10">
        <f>REPT(" ",8)</f>
        <v/>
      </c>
      <c r="AB46" s="10">
        <f>REPT(" ",4)</f>
        <v/>
      </c>
      <c r="AC46" s="10">
        <f>LEFT(UPPER(H46)&amp;REPT(" ",250),250)</f>
        <v/>
      </c>
      <c r="AD46" s="10">
        <f>TEXT($G$2,"dd/mm/aaaa")</f>
        <v/>
      </c>
      <c r="AE46" s="10">
        <f>REPT(" ",10)</f>
        <v/>
      </c>
      <c r="AF46" s="10">
        <f>REPT(" ",20)</f>
        <v/>
      </c>
      <c r="AG46" s="54">
        <f>REPT(" ",18-LEN(FIXED(F46,2,TRUE)))&amp;FIXED(F46,2,TRUE)</f>
        <v/>
      </c>
      <c r="AH46" s="10">
        <f>LEN(AC46)+LEN(AG46)</f>
        <v/>
      </c>
      <c r="AI46" s="10">
        <f>LEN(L46)</f>
        <v/>
      </c>
    </row>
    <row r="47">
      <c r="A47" s="61" t="inlineStr">
        <is>
          <t>D</t>
        </is>
      </c>
      <c r="B47" s="64">
        <f>IFERROR(IF(VLOOKUP(I47,DEPARA_CONTAS,2,0)="","CONTA PENDENTE",VLOOKUP(I47,DEPARA_CONTAS,2,0)),"SEM DE-PARA")</f>
        <v/>
      </c>
      <c r="C47" s="64" t="inlineStr">
        <is>
          <t>002000</t>
        </is>
      </c>
      <c r="D47" s="62" t="n"/>
      <c r="E47" s="62" t="n"/>
      <c r="F47" s="87" t="n">
        <v>2738.39</v>
      </c>
      <c r="H47" s="61" t="inlineStr">
        <is>
          <t>FOLHA DE PAGAMENTO REF 04/2026</t>
        </is>
      </c>
      <c r="I47" s="86" t="inlineStr">
        <is>
          <t>6.1.1.02.002</t>
        </is>
      </c>
      <c r="J47" s="12">
        <f>IF(F47&lt;&gt;0,"LANÇAR","")</f>
        <v/>
      </c>
      <c r="K47" s="20" t="n"/>
      <c r="L47" s="13">
        <f>N47&amp;O47&amp;P47&amp;Q47&amp;R47&amp;S47&amp;T47&amp;U47&amp;V47&amp;W47&amp;X47&amp;Y47&amp;Z47&amp;AA47&amp;AB47&amp;AC47&amp;AD47&amp;AE47&amp;AF47&amp;AG47</f>
        <v/>
      </c>
      <c r="M47" s="20" t="n"/>
      <c r="N47" s="10">
        <f>TEXT($B$6,"00")</f>
        <v/>
      </c>
      <c r="O47" s="10">
        <f>REPT(" ",8)</f>
        <v/>
      </c>
      <c r="P47" s="10">
        <f>RIGHT($B$4,2)</f>
        <v/>
      </c>
      <c r="Q47" s="10">
        <f>RIGHT($B$5,3)</f>
        <v/>
      </c>
      <c r="R47" s="10">
        <f>IF(A47="D",LEFT(UPPER(B47)&amp;REPT(" ",20),20),REPT(" ",20))</f>
        <v/>
      </c>
      <c r="S47" s="10">
        <f>IF(A47="D",LEFT(UPPER(C47)&amp;REPT(" ",10),10)," ")</f>
        <v/>
      </c>
      <c r="T47" s="10">
        <f>IF(A47="D",LEFT(UPPER(D47)&amp;REPT(" ",2),2)," ")</f>
        <v/>
      </c>
      <c r="U47" s="10">
        <f>IF(A47="D",LEFT(UPPER(E47)&amp;REPT(" ",15),15)," ")</f>
        <v/>
      </c>
      <c r="V47" s="10">
        <f>REPT(" ",24)</f>
        <v/>
      </c>
      <c r="W47" s="10">
        <f>IF(A47="c",LEFT(UPPER(B47)&amp;REPT(" ",20),20),REPT(" ",20))</f>
        <v/>
      </c>
      <c r="X47" s="10">
        <f>IF(A47="C",LEFT(UPPER(C47)&amp;REPT(" ",10),10)," ")</f>
        <v/>
      </c>
      <c r="Y47" s="10">
        <f>IF(A47="C",LEFT(UPPER(D47)&amp;REPT(" ",2),2)," ")</f>
        <v/>
      </c>
      <c r="Z47" s="10">
        <f>IF(A47="C",LEFT(UPPER(E47)&amp;REPT(" ",15),15)," ")</f>
        <v/>
      </c>
      <c r="AA47" s="10">
        <f>REPT(" ",8)</f>
        <v/>
      </c>
      <c r="AB47" s="10">
        <f>REPT(" ",4)</f>
        <v/>
      </c>
      <c r="AC47" s="10">
        <f>LEFT(UPPER(H47)&amp;REPT(" ",250),250)</f>
        <v/>
      </c>
      <c r="AD47" s="10">
        <f>TEXT($G$2,"dd/mm/aaaa")</f>
        <v/>
      </c>
      <c r="AE47" s="10">
        <f>REPT(" ",10)</f>
        <v/>
      </c>
      <c r="AF47" s="10">
        <f>REPT(" ",20)</f>
        <v/>
      </c>
      <c r="AG47" s="54">
        <f>REPT(" ",18-LEN(FIXED(F47,2,TRUE)))&amp;FIXED(F47,2,TRUE)</f>
        <v/>
      </c>
      <c r="AH47" s="10">
        <f>LEN(AC47)+LEN(AG47)</f>
        <v/>
      </c>
      <c r="AI47" s="10">
        <f>LEN(L47)</f>
        <v/>
      </c>
    </row>
    <row r="48" ht="16.5" customHeight="1">
      <c r="A48" s="61" t="inlineStr">
        <is>
          <t>D</t>
        </is>
      </c>
      <c r="B48" s="64">
        <f>IFERROR(IF(VLOOKUP(I48,DEPARA_CONTAS,2,0)="","CONTA PENDENTE",VLOOKUP(I48,DEPARA_CONTAS,2,0)),"SEM DE-PARA")</f>
        <v/>
      </c>
      <c r="C48" s="64" t="inlineStr">
        <is>
          <t>002000</t>
        </is>
      </c>
      <c r="D48" s="62" t="n"/>
      <c r="E48" s="62" t="n"/>
      <c r="F48" s="87" t="n">
        <v>1985.33</v>
      </c>
      <c r="H48" s="61" t="inlineStr">
        <is>
          <t>FOLHA DE PAGAMENTO REF 04/2026</t>
        </is>
      </c>
      <c r="I48" s="86" t="inlineStr">
        <is>
          <t>6.1.1.02.005</t>
        </is>
      </c>
      <c r="J48" s="12">
        <f>IF(F48&lt;&gt;0,"LANÇAR","")</f>
        <v/>
      </c>
      <c r="K48" s="20" t="n"/>
      <c r="L48" s="13">
        <f>N48&amp;O48&amp;P48&amp;Q48&amp;R48&amp;S48&amp;T48&amp;U48&amp;V48&amp;W48&amp;X48&amp;Y48&amp;Z48&amp;AA48&amp;AB48&amp;AC48&amp;AD48&amp;AE48&amp;AF48&amp;AG48</f>
        <v/>
      </c>
      <c r="M48" s="20" t="n"/>
      <c r="N48" s="10">
        <f>TEXT($B$6,"00")</f>
        <v/>
      </c>
      <c r="O48" s="10">
        <f>REPT(" ",8)</f>
        <v/>
      </c>
      <c r="P48" s="10">
        <f>RIGHT($B$4,2)</f>
        <v/>
      </c>
      <c r="Q48" s="10">
        <f>RIGHT($B$5,3)</f>
        <v/>
      </c>
      <c r="R48" s="10">
        <f>IF(A48="D",LEFT(UPPER(B48)&amp;REPT(" ",20),20),REPT(" ",20))</f>
        <v/>
      </c>
      <c r="S48" s="10">
        <f>IF(A48="D",LEFT(UPPER(C48)&amp;REPT(" ",10),10)," ")</f>
        <v/>
      </c>
      <c r="T48" s="10">
        <f>IF(A48="D",LEFT(UPPER(D48)&amp;REPT(" ",2),2)," ")</f>
        <v/>
      </c>
      <c r="U48" s="10">
        <f>IF(A48="D",LEFT(UPPER(E48)&amp;REPT(" ",15),15)," ")</f>
        <v/>
      </c>
      <c r="V48" s="10">
        <f>REPT(" ",24)</f>
        <v/>
      </c>
      <c r="W48" s="10">
        <f>IF(A48="c",LEFT(UPPER(B48)&amp;REPT(" ",20),20),REPT(" ",20))</f>
        <v/>
      </c>
      <c r="X48" s="10">
        <f>IF(A48="C",LEFT(UPPER(C48)&amp;REPT(" ",10),10)," ")</f>
        <v/>
      </c>
      <c r="Y48" s="10">
        <f>IF(A48="C",LEFT(UPPER(D48)&amp;REPT(" ",2),2)," ")</f>
        <v/>
      </c>
      <c r="Z48" s="10">
        <f>IF(A48="C",LEFT(UPPER(E48)&amp;REPT(" ",15),15)," ")</f>
        <v/>
      </c>
      <c r="AA48" s="10">
        <f>REPT(" ",8)</f>
        <v/>
      </c>
      <c r="AB48" s="10">
        <f>REPT(" ",4)</f>
        <v/>
      </c>
      <c r="AC48" s="10">
        <f>LEFT(UPPER(H48)&amp;REPT(" ",250),250)</f>
        <v/>
      </c>
      <c r="AD48" s="10">
        <f>TEXT($G$2,"dd/mm/aaaa")</f>
        <v/>
      </c>
      <c r="AE48" s="10">
        <f>REPT(" ",10)</f>
        <v/>
      </c>
      <c r="AF48" s="10">
        <f>REPT(" ",20)</f>
        <v/>
      </c>
      <c r="AG48" s="54">
        <f>REPT(" ",18-LEN(FIXED(F48,2,TRUE)))&amp;FIXED(F48,2,TRUE)</f>
        <v/>
      </c>
      <c r="AH48" s="10">
        <f>LEN(AC48)+LEN(AG48)</f>
        <v/>
      </c>
      <c r="AI48" s="10">
        <f>LEN(L48)</f>
        <v/>
      </c>
    </row>
    <row r="49" ht="16.5" customHeight="1">
      <c r="A49" s="61" t="inlineStr">
        <is>
          <t>D</t>
        </is>
      </c>
      <c r="B49" s="64">
        <f>IFERROR(IF(VLOOKUP(I49,DEPARA_CONTAS,2,0)="","CONTA PENDENTE",VLOOKUP(I49,DEPARA_CONTAS,2,0)),"SEM DE-PARA")</f>
        <v/>
      </c>
      <c r="C49" s="64" t="inlineStr">
        <is>
          <t>002000</t>
        </is>
      </c>
      <c r="D49" s="62" t="n"/>
      <c r="E49" s="62" t="n"/>
      <c r="F49" s="87" t="n">
        <v>4149.08</v>
      </c>
      <c r="H49" s="61" t="inlineStr">
        <is>
          <t>FOLHA DE PAGAMENTO REF 04/2026</t>
        </is>
      </c>
      <c r="I49" s="86" t="inlineStr">
        <is>
          <t>6.1.1.03.001</t>
        </is>
      </c>
      <c r="J49" s="12">
        <f>IF(F49&lt;&gt;0,"LANÇAR","")</f>
        <v/>
      </c>
      <c r="K49" s="20" t="n"/>
      <c r="L49" s="13">
        <f>N49&amp;O49&amp;P49&amp;Q49&amp;R49&amp;S49&amp;T49&amp;U49&amp;V49&amp;W49&amp;X49&amp;Y49&amp;Z49&amp;AA49&amp;AB49&amp;AC49&amp;AD49&amp;AE49&amp;AF49&amp;AG49</f>
        <v/>
      </c>
      <c r="M49" s="20" t="n"/>
      <c r="N49" s="10">
        <f>TEXT($B$6,"00")</f>
        <v/>
      </c>
      <c r="O49" s="10">
        <f>REPT(" ",8)</f>
        <v/>
      </c>
      <c r="P49" s="10">
        <f>RIGHT($B$4,2)</f>
        <v/>
      </c>
      <c r="Q49" s="10">
        <f>RIGHT($B$5,3)</f>
        <v/>
      </c>
      <c r="R49" s="10">
        <f>IF(A49="D",LEFT(UPPER(B49)&amp;REPT(" ",20),20),REPT(" ",20))</f>
        <v/>
      </c>
      <c r="S49" s="10">
        <f>IF(A49="D",LEFT(UPPER(C49)&amp;REPT(" ",10),10)," ")</f>
        <v/>
      </c>
      <c r="T49" s="10">
        <f>IF(A49="D",LEFT(UPPER(D49)&amp;REPT(" ",2),2)," ")</f>
        <v/>
      </c>
      <c r="U49" s="10">
        <f>IF(A49="D",LEFT(UPPER(E49)&amp;REPT(" ",15),15)," ")</f>
        <v/>
      </c>
      <c r="V49" s="10">
        <f>REPT(" ",24)</f>
        <v/>
      </c>
      <c r="W49" s="10">
        <f>IF(A49="c",LEFT(UPPER(B49)&amp;REPT(" ",20),20),REPT(" ",20))</f>
        <v/>
      </c>
      <c r="X49" s="10">
        <f>IF(A49="C",LEFT(UPPER(C49)&amp;REPT(" ",10),10)," ")</f>
        <v/>
      </c>
      <c r="Y49" s="10">
        <f>IF(A49="C",LEFT(UPPER(D49)&amp;REPT(" ",2),2)," ")</f>
        <v/>
      </c>
      <c r="Z49" s="10">
        <f>IF(A49="C",LEFT(UPPER(E49)&amp;REPT(" ",15),15)," ")</f>
        <v/>
      </c>
      <c r="AA49" s="10">
        <f>REPT(" ",8)</f>
        <v/>
      </c>
      <c r="AB49" s="10">
        <f>REPT(" ",4)</f>
        <v/>
      </c>
      <c r="AC49" s="10">
        <f>LEFT(UPPER(H49)&amp;REPT(" ",250),250)</f>
        <v/>
      </c>
      <c r="AD49" s="10">
        <f>TEXT($G$2,"dd/mm/aaaa")</f>
        <v/>
      </c>
      <c r="AE49" s="10">
        <f>REPT(" ",10)</f>
        <v/>
      </c>
      <c r="AF49" s="10">
        <f>REPT(" ",20)</f>
        <v/>
      </c>
      <c r="AG49" s="54">
        <f>REPT(" ",18-LEN(FIXED(F49,2,TRUE)))&amp;FIXED(F49,2,TRUE)</f>
        <v/>
      </c>
      <c r="AH49" s="10">
        <f>LEN(AC49)+LEN(AG49)</f>
        <v/>
      </c>
      <c r="AI49" s="10">
        <f>LEN(L49)</f>
        <v/>
      </c>
    </row>
    <row r="50" ht="16.5" customHeight="1">
      <c r="A50" s="61" t="inlineStr">
        <is>
          <t>D</t>
        </is>
      </c>
      <c r="B50" s="64">
        <f>IFERROR(IF(VLOOKUP(I50,DEPARA_CONTAS,2,0)="","CONTA PENDENTE",VLOOKUP(I50,DEPARA_CONTAS,2,0)),"SEM DE-PARA")</f>
        <v/>
      </c>
      <c r="C50" s="64" t="inlineStr">
        <is>
          <t>002000</t>
        </is>
      </c>
      <c r="D50" s="62" t="n"/>
      <c r="E50" s="62" t="n"/>
      <c r="F50" s="87" t="n">
        <v>2852.49</v>
      </c>
      <c r="H50" s="61" t="inlineStr">
        <is>
          <t>FOLHA DE PAGAMENTO REF 04/2026</t>
        </is>
      </c>
      <c r="I50" s="86" t="inlineStr">
        <is>
          <t>6.1.1.03.002</t>
        </is>
      </c>
      <c r="J50" s="12">
        <f>IF(F50&lt;&gt;0,"LANÇAR","")</f>
        <v/>
      </c>
      <c r="K50" s="20" t="n"/>
      <c r="L50" s="13">
        <f>N50&amp;O50&amp;P50&amp;Q50&amp;R50&amp;S50&amp;T50&amp;U50&amp;V50&amp;W50&amp;X50&amp;Y50&amp;Z50&amp;AA50&amp;AB50&amp;AC50&amp;AD50&amp;AE50&amp;AF50&amp;AG50</f>
        <v/>
      </c>
      <c r="M50" s="20" t="n"/>
      <c r="N50" s="10">
        <f>TEXT($B$6,"00")</f>
        <v/>
      </c>
      <c r="O50" s="10">
        <f>REPT(" ",8)</f>
        <v/>
      </c>
      <c r="P50" s="10">
        <f>RIGHT($B$4,2)</f>
        <v/>
      </c>
      <c r="Q50" s="10">
        <f>RIGHT($B$5,3)</f>
        <v/>
      </c>
      <c r="R50" s="10">
        <f>IF(A50="D",LEFT(UPPER(B50)&amp;REPT(" ",20),20),REPT(" ",20))</f>
        <v/>
      </c>
      <c r="S50" s="10">
        <f>IF(A50="D",LEFT(UPPER(C50)&amp;REPT(" ",10),10)," ")</f>
        <v/>
      </c>
      <c r="T50" s="10">
        <f>IF(A50="D",LEFT(UPPER(D50)&amp;REPT(" ",2),2)," ")</f>
        <v/>
      </c>
      <c r="U50" s="10">
        <f>IF(A50="D",LEFT(UPPER(E50)&amp;REPT(" ",15),15)," ")</f>
        <v/>
      </c>
      <c r="V50" s="10">
        <f>REPT(" ",24)</f>
        <v/>
      </c>
      <c r="W50" s="10">
        <f>IF(A50="c",LEFT(UPPER(B50)&amp;REPT(" ",20),20),REPT(" ",20))</f>
        <v/>
      </c>
      <c r="X50" s="10">
        <f>IF(A50="C",LEFT(UPPER(C50)&amp;REPT(" ",10),10)," ")</f>
        <v/>
      </c>
      <c r="Y50" s="10">
        <f>IF(A50="C",LEFT(UPPER(D50)&amp;REPT(" ",2),2)," ")</f>
        <v/>
      </c>
      <c r="Z50" s="10">
        <f>IF(A50="C",LEFT(UPPER(E50)&amp;REPT(" ",15),15)," ")</f>
        <v/>
      </c>
      <c r="AA50" s="10">
        <f>REPT(" ",8)</f>
        <v/>
      </c>
      <c r="AB50" s="10">
        <f>REPT(" ",4)</f>
        <v/>
      </c>
      <c r="AC50" s="10">
        <f>LEFT(UPPER(H50)&amp;REPT(" ",250),250)</f>
        <v/>
      </c>
      <c r="AD50" s="10">
        <f>TEXT($G$2,"dd/mm/aaaa")</f>
        <v/>
      </c>
      <c r="AE50" s="10">
        <f>REPT(" ",10)</f>
        <v/>
      </c>
      <c r="AF50" s="10">
        <f>REPT(" ",20)</f>
        <v/>
      </c>
      <c r="AG50" s="54">
        <f>REPT(" ",18-LEN(FIXED(F50,2,TRUE)))&amp;FIXED(F50,2,TRUE)</f>
        <v/>
      </c>
      <c r="AH50" s="10">
        <f>LEN(AC50)+LEN(AG50)</f>
        <v/>
      </c>
      <c r="AI50" s="10">
        <f>LEN(L50)</f>
        <v/>
      </c>
    </row>
    <row r="51" ht="16.5" customHeight="1">
      <c r="A51" s="61" t="inlineStr">
        <is>
          <t>D</t>
        </is>
      </c>
      <c r="B51" s="64">
        <f>IFERROR(IF(VLOOKUP(I51,DEPARA_CONTAS,2,0)="","CONTA PENDENTE",VLOOKUP(I51,DEPARA_CONTAS,2,0)),"SEM DE-PARA")</f>
        <v/>
      </c>
      <c r="C51" s="64" t="inlineStr">
        <is>
          <t>002000</t>
        </is>
      </c>
      <c r="D51" s="62" t="n"/>
      <c r="E51" s="62" t="n"/>
      <c r="F51" s="87" t="n">
        <v>1153.44</v>
      </c>
      <c r="H51" s="61" t="inlineStr">
        <is>
          <t>FOLHA DE PAGAMENTO REF 04/2026</t>
        </is>
      </c>
      <c r="I51" s="86" t="inlineStr">
        <is>
          <t>6.1.1.03.003</t>
        </is>
      </c>
      <c r="J51" s="12">
        <f>IF(F51&lt;&gt;0,"LANÇAR","")</f>
        <v/>
      </c>
      <c r="K51" s="20" t="n"/>
      <c r="L51" s="13">
        <f>N51&amp;O51&amp;P51&amp;Q51&amp;R51&amp;S51&amp;T51&amp;U51&amp;V51&amp;W51&amp;X51&amp;Y51&amp;Z51&amp;AA51&amp;AB51&amp;AC51&amp;AD51&amp;AE51&amp;AF51&amp;AG51</f>
        <v/>
      </c>
      <c r="M51" s="20" t="n"/>
      <c r="N51" s="10">
        <f>TEXT($B$6,"00")</f>
        <v/>
      </c>
      <c r="O51" s="10">
        <f>REPT(" ",8)</f>
        <v/>
      </c>
      <c r="P51" s="10">
        <f>RIGHT($B$4,2)</f>
        <v/>
      </c>
      <c r="Q51" s="10">
        <f>RIGHT($B$5,3)</f>
        <v/>
      </c>
      <c r="R51" s="10">
        <f>IF(A51="D",LEFT(UPPER(B51)&amp;REPT(" ",20),20),REPT(" ",20))</f>
        <v/>
      </c>
      <c r="S51" s="10">
        <f>IF(A51="D",LEFT(UPPER(C51)&amp;REPT(" ",10),10)," ")</f>
        <v/>
      </c>
      <c r="T51" s="10">
        <f>IF(A51="D",LEFT(UPPER(D51)&amp;REPT(" ",2),2)," ")</f>
        <v/>
      </c>
      <c r="U51" s="10">
        <f>IF(A51="D",LEFT(UPPER(E51)&amp;REPT(" ",15),15)," ")</f>
        <v/>
      </c>
      <c r="V51" s="10">
        <f>REPT(" ",24)</f>
        <v/>
      </c>
      <c r="W51" s="10">
        <f>IF(A51="c",LEFT(UPPER(B51)&amp;REPT(" ",20),20),REPT(" ",20))</f>
        <v/>
      </c>
      <c r="X51" s="10">
        <f>IF(A51="C",LEFT(UPPER(C51)&amp;REPT(" ",10),10)," ")</f>
        <v/>
      </c>
      <c r="Y51" s="10">
        <f>IF(A51="C",LEFT(UPPER(D51)&amp;REPT(" ",2),2)," ")</f>
        <v/>
      </c>
      <c r="Z51" s="10">
        <f>IF(A51="C",LEFT(UPPER(E51)&amp;REPT(" ",15),15)," ")</f>
        <v/>
      </c>
      <c r="AA51" s="10">
        <f>REPT(" ",8)</f>
        <v/>
      </c>
      <c r="AB51" s="10">
        <f>REPT(" ",4)</f>
        <v/>
      </c>
      <c r="AC51" s="10">
        <f>LEFT(UPPER(H51)&amp;REPT(" ",250),250)</f>
        <v/>
      </c>
      <c r="AD51" s="10">
        <f>TEXT($G$2,"dd/mm/aaaa")</f>
        <v/>
      </c>
      <c r="AE51" s="10">
        <f>REPT(" ",10)</f>
        <v/>
      </c>
      <c r="AF51" s="10">
        <f>REPT(" ",20)</f>
        <v/>
      </c>
      <c r="AG51" s="54">
        <f>REPT(" ",18-LEN(FIXED(F51,2,TRUE)))&amp;FIXED(F51,2,TRUE)</f>
        <v/>
      </c>
      <c r="AH51" s="10">
        <f>LEN(AC51)+LEN(AG51)</f>
        <v/>
      </c>
      <c r="AI51" s="10">
        <f>LEN(L51)</f>
        <v/>
      </c>
    </row>
    <row r="52" ht="16.5" customHeight="1">
      <c r="A52" s="61" t="inlineStr">
        <is>
          <t>D</t>
        </is>
      </c>
      <c r="B52" s="64">
        <f>IFERROR(IF(VLOOKUP(I52,DEPARA_CONTAS,2,0)="","CONTA PENDENTE",VLOOKUP(I52,DEPARA_CONTAS,2,0)),"SEM DE-PARA")</f>
        <v/>
      </c>
      <c r="C52" s="64" t="inlineStr">
        <is>
          <t>002000</t>
        </is>
      </c>
      <c r="D52" s="62" t="n"/>
      <c r="E52" s="62" t="n"/>
      <c r="F52" s="87" t="n">
        <v>792.99</v>
      </c>
      <c r="H52" s="61" t="inlineStr">
        <is>
          <t>FOLHA DE PAGAMENTO REF 04/2026</t>
        </is>
      </c>
      <c r="I52" s="86" t="inlineStr">
        <is>
          <t>6.1.1.03.004</t>
        </is>
      </c>
      <c r="J52" s="12">
        <f>IF(F52&lt;&gt;0,"LANÇAR","")</f>
        <v/>
      </c>
      <c r="K52" s="20" t="n"/>
      <c r="L52" s="13">
        <f>N52&amp;O52&amp;P52&amp;Q52&amp;R52&amp;S52&amp;T52&amp;U52&amp;V52&amp;W52&amp;X52&amp;Y52&amp;Z52&amp;AA52&amp;AB52&amp;AC52&amp;AD52&amp;AE52&amp;AF52&amp;AG52</f>
        <v/>
      </c>
      <c r="M52" s="20" t="n"/>
      <c r="N52" s="10">
        <f>TEXT($B$6,"00")</f>
        <v/>
      </c>
      <c r="O52" s="10">
        <f>REPT(" ",8)</f>
        <v/>
      </c>
      <c r="P52" s="10">
        <f>RIGHT($B$4,2)</f>
        <v/>
      </c>
      <c r="Q52" s="10">
        <f>RIGHT($B$5,3)</f>
        <v/>
      </c>
      <c r="R52" s="10">
        <f>IF(A52="D",LEFT(UPPER(B52)&amp;REPT(" ",20),20),REPT(" ",20))</f>
        <v/>
      </c>
      <c r="S52" s="10">
        <f>IF(A52="D",LEFT(UPPER(C52)&amp;REPT(" ",10),10)," ")</f>
        <v/>
      </c>
      <c r="T52" s="10">
        <f>IF(A52="D",LEFT(UPPER(D52)&amp;REPT(" ",2),2)," ")</f>
        <v/>
      </c>
      <c r="U52" s="10">
        <f>IF(A52="D",LEFT(UPPER(E52)&amp;REPT(" ",15),15)," ")</f>
        <v/>
      </c>
      <c r="V52" s="10">
        <f>REPT(" ",24)</f>
        <v/>
      </c>
      <c r="W52" s="10">
        <f>IF(A52="c",LEFT(UPPER(B52)&amp;REPT(" ",20),20),REPT(" ",20))</f>
        <v/>
      </c>
      <c r="X52" s="10">
        <f>IF(A52="C",LEFT(UPPER(C52)&amp;REPT(" ",10),10)," ")</f>
        <v/>
      </c>
      <c r="Y52" s="10">
        <f>IF(A52="C",LEFT(UPPER(D52)&amp;REPT(" ",2),2)," ")</f>
        <v/>
      </c>
      <c r="Z52" s="10">
        <f>IF(A52="C",LEFT(UPPER(E52)&amp;REPT(" ",15),15)," ")</f>
        <v/>
      </c>
      <c r="AA52" s="10">
        <f>REPT(" ",8)</f>
        <v/>
      </c>
      <c r="AB52" s="10">
        <f>REPT(" ",4)</f>
        <v/>
      </c>
      <c r="AC52" s="10">
        <f>LEFT(UPPER(H52)&amp;REPT(" ",250),250)</f>
        <v/>
      </c>
      <c r="AD52" s="10">
        <f>TEXT($G$2,"dd/mm/aaaa")</f>
        <v/>
      </c>
      <c r="AE52" s="10">
        <f>REPT(" ",10)</f>
        <v/>
      </c>
      <c r="AF52" s="10">
        <f>REPT(" ",20)</f>
        <v/>
      </c>
      <c r="AG52" s="54">
        <f>REPT(" ",18-LEN(FIXED(F52,2,TRUE)))&amp;FIXED(F52,2,TRUE)</f>
        <v/>
      </c>
      <c r="AH52" s="10">
        <f>LEN(AC52)+LEN(AG52)</f>
        <v/>
      </c>
      <c r="AI52" s="10">
        <f>LEN(L52)</f>
        <v/>
      </c>
    </row>
    <row r="53" ht="16.5" customHeight="1">
      <c r="A53" s="61" t="inlineStr">
        <is>
          <t>D</t>
        </is>
      </c>
      <c r="B53" s="64">
        <f>IFERROR(IF(VLOOKUP(I53,DEPARA_CONTAS,2,0)="","CONTA PENDENTE",VLOOKUP(I53,DEPARA_CONTAS,2,0)),"SEM DE-PARA")</f>
        <v/>
      </c>
      <c r="C53" s="64" t="inlineStr">
        <is>
          <t>002000</t>
        </is>
      </c>
      <c r="D53" s="62" t="n"/>
      <c r="E53" s="62" t="n"/>
      <c r="F53" s="87" t="n">
        <v>331.93</v>
      </c>
      <c r="H53" s="61" t="inlineStr">
        <is>
          <t>FOLHA DE PAGAMENTO REF 04/2026</t>
        </is>
      </c>
      <c r="I53" s="86" t="inlineStr">
        <is>
          <t>6.1.1.03.005</t>
        </is>
      </c>
      <c r="J53" s="12">
        <f>IF(F53&lt;&gt;0,"LANÇAR","")</f>
        <v/>
      </c>
      <c r="K53" s="20" t="n"/>
      <c r="L53" s="13">
        <f>N53&amp;O53&amp;P53&amp;Q53&amp;R53&amp;S53&amp;T53&amp;U53&amp;V53&amp;W53&amp;X53&amp;Y53&amp;Z53&amp;AA53&amp;AB53&amp;AC53&amp;AD53&amp;AE53&amp;AF53&amp;AG53</f>
        <v/>
      </c>
      <c r="M53" s="20" t="n"/>
      <c r="N53" s="10">
        <f>TEXT($B$6,"00")</f>
        <v/>
      </c>
      <c r="O53" s="10">
        <f>REPT(" ",8)</f>
        <v/>
      </c>
      <c r="P53" s="10">
        <f>RIGHT($B$4,2)</f>
        <v/>
      </c>
      <c r="Q53" s="10">
        <f>RIGHT($B$5,3)</f>
        <v/>
      </c>
      <c r="R53" s="10">
        <f>IF(A53="D",LEFT(UPPER(B53)&amp;REPT(" ",20),20),REPT(" ",20))</f>
        <v/>
      </c>
      <c r="S53" s="10">
        <f>IF(A53="D",LEFT(UPPER(C53)&amp;REPT(" ",10),10)," ")</f>
        <v/>
      </c>
      <c r="T53" s="10">
        <f>IF(A53="D",LEFT(UPPER(D53)&amp;REPT(" ",2),2)," ")</f>
        <v/>
      </c>
      <c r="U53" s="10">
        <f>IF(A53="D",LEFT(UPPER(E53)&amp;REPT(" ",15),15)," ")</f>
        <v/>
      </c>
      <c r="V53" s="10">
        <f>REPT(" ",24)</f>
        <v/>
      </c>
      <c r="W53" s="10">
        <f>IF(A53="c",LEFT(UPPER(B53)&amp;REPT(" ",20),20),REPT(" ",20))</f>
        <v/>
      </c>
      <c r="X53" s="10">
        <f>IF(A53="C",LEFT(UPPER(C53)&amp;REPT(" ",10),10)," ")</f>
        <v/>
      </c>
      <c r="Y53" s="10">
        <f>IF(A53="C",LEFT(UPPER(D53)&amp;REPT(" ",2),2)," ")</f>
        <v/>
      </c>
      <c r="Z53" s="10">
        <f>IF(A53="C",LEFT(UPPER(E53)&amp;REPT(" ",15),15)," ")</f>
        <v/>
      </c>
      <c r="AA53" s="10">
        <f>REPT(" ",8)</f>
        <v/>
      </c>
      <c r="AB53" s="10">
        <f>REPT(" ",4)</f>
        <v/>
      </c>
      <c r="AC53" s="10">
        <f>LEFT(UPPER(H53)&amp;REPT(" ",250),250)</f>
        <v/>
      </c>
      <c r="AD53" s="10">
        <f>TEXT($G$2,"dd/mm/aaaa")</f>
        <v/>
      </c>
      <c r="AE53" s="10">
        <f>REPT(" ",10)</f>
        <v/>
      </c>
      <c r="AF53" s="10">
        <f>REPT(" ",20)</f>
        <v/>
      </c>
      <c r="AG53" s="54">
        <f>REPT(" ",18-LEN(FIXED(F53,2,TRUE)))&amp;FIXED(F53,2,TRUE)</f>
        <v/>
      </c>
      <c r="AH53" s="10">
        <f>LEN(AC53)+LEN(AG53)</f>
        <v/>
      </c>
      <c r="AI53" s="10">
        <f>LEN(L53)</f>
        <v/>
      </c>
    </row>
    <row r="54" ht="16.5" customHeight="1">
      <c r="A54" s="61" t="inlineStr">
        <is>
          <t>D</t>
        </is>
      </c>
      <c r="B54" s="64">
        <f>IFERROR(IF(VLOOKUP(I54,DEPARA_CONTAS,2,0)="","CONTA PENDENTE",VLOOKUP(I54,DEPARA_CONTAS,2,0)),"SEM DE-PARA")</f>
        <v/>
      </c>
      <c r="C54" s="64" t="inlineStr">
        <is>
          <t>002000</t>
        </is>
      </c>
      <c r="D54" s="62" t="n"/>
      <c r="E54" s="62" t="n"/>
      <c r="F54" s="87" t="n">
        <v>228.2</v>
      </c>
      <c r="H54" s="61" t="inlineStr">
        <is>
          <t>FOLHA DE PAGAMENTO REF 04/2026</t>
        </is>
      </c>
      <c r="I54" s="86" t="inlineStr">
        <is>
          <t>6.1.1.03.006</t>
        </is>
      </c>
      <c r="J54" s="12">
        <f>IF(F54&lt;&gt;0,"LANÇAR","")</f>
        <v/>
      </c>
      <c r="K54" s="20" t="n"/>
      <c r="L54" s="13">
        <f>N54&amp;O54&amp;P54&amp;Q54&amp;R54&amp;S54&amp;T54&amp;U54&amp;V54&amp;W54&amp;X54&amp;Y54&amp;Z54&amp;AA54&amp;AB54&amp;AC54&amp;AD54&amp;AE54&amp;AF54&amp;AG54</f>
        <v/>
      </c>
      <c r="M54" s="20" t="n"/>
      <c r="N54" s="10">
        <f>TEXT($B$6,"00")</f>
        <v/>
      </c>
      <c r="O54" s="10">
        <f>REPT(" ",8)</f>
        <v/>
      </c>
      <c r="P54" s="10">
        <f>RIGHT($B$4,2)</f>
        <v/>
      </c>
      <c r="Q54" s="10">
        <f>RIGHT($B$5,3)</f>
        <v/>
      </c>
      <c r="R54" s="10">
        <f>IF(A54="D",LEFT(UPPER(B54)&amp;REPT(" ",20),20),REPT(" ",20))</f>
        <v/>
      </c>
      <c r="S54" s="10">
        <f>IF(A54="D",LEFT(UPPER(C54)&amp;REPT(" ",10),10)," ")</f>
        <v/>
      </c>
      <c r="T54" s="10">
        <f>IF(A54="D",LEFT(UPPER(D54)&amp;REPT(" ",2),2)," ")</f>
        <v/>
      </c>
      <c r="U54" s="10">
        <f>IF(A54="D",LEFT(UPPER(E54)&amp;REPT(" ",15),15)," ")</f>
        <v/>
      </c>
      <c r="V54" s="10">
        <f>REPT(" ",24)</f>
        <v/>
      </c>
      <c r="W54" s="10">
        <f>IF(A54="c",LEFT(UPPER(B54)&amp;REPT(" ",20),20),REPT(" ",20))</f>
        <v/>
      </c>
      <c r="X54" s="10">
        <f>IF(A54="C",LEFT(UPPER(C54)&amp;REPT(" ",10),10)," ")</f>
        <v/>
      </c>
      <c r="Y54" s="10">
        <f>IF(A54="C",LEFT(UPPER(D54)&amp;REPT(" ",2),2)," ")</f>
        <v/>
      </c>
      <c r="Z54" s="10">
        <f>IF(A54="C",LEFT(UPPER(E54)&amp;REPT(" ",15),15)," ")</f>
        <v/>
      </c>
      <c r="AA54" s="10">
        <f>REPT(" ",8)</f>
        <v/>
      </c>
      <c r="AB54" s="10">
        <f>REPT(" ",4)</f>
        <v/>
      </c>
      <c r="AC54" s="10">
        <f>LEFT(UPPER(H54)&amp;REPT(" ",250),250)</f>
        <v/>
      </c>
      <c r="AD54" s="10">
        <f>TEXT($G$2,"dd/mm/aaaa")</f>
        <v/>
      </c>
      <c r="AE54" s="10">
        <f>REPT(" ",10)</f>
        <v/>
      </c>
      <c r="AF54" s="10">
        <f>REPT(" ",20)</f>
        <v/>
      </c>
      <c r="AG54" s="54">
        <f>REPT(" ",18-LEN(FIXED(F54,2,TRUE)))&amp;FIXED(F54,2,TRUE)</f>
        <v/>
      </c>
      <c r="AH54" s="10">
        <f>LEN(AC54)+LEN(AG54)</f>
        <v/>
      </c>
      <c r="AI54" s="10">
        <f>LEN(L54)</f>
        <v/>
      </c>
    </row>
    <row r="55" ht="16.5" customHeight="1">
      <c r="A55" s="61" t="inlineStr">
        <is>
          <t>D</t>
        </is>
      </c>
      <c r="B55" s="64">
        <f>IFERROR(IF(VLOOKUP(I55,DEPARA_CONTAS,2,0)="","CONTA PENDENTE",VLOOKUP(I55,DEPARA_CONTAS,2,0)),"SEM DE-PARA")</f>
        <v/>
      </c>
      <c r="C55" s="64" t="inlineStr">
        <is>
          <t>000300</t>
        </is>
      </c>
      <c r="D55" s="62" t="n"/>
      <c r="E55" s="62" t="n"/>
      <c r="F55" s="87" t="n">
        <v>50823.95</v>
      </c>
      <c r="H55" s="61" t="inlineStr">
        <is>
          <t>FOLHA DE PAGAMENTO REF 04/2026</t>
        </is>
      </c>
      <c r="I55" s="86" t="inlineStr">
        <is>
          <t>6.1.1.01.002</t>
        </is>
      </c>
      <c r="J55" s="12">
        <f>IF(F55&lt;&gt;0,"LANÇAR","")</f>
        <v/>
      </c>
      <c r="K55" s="20" t="n"/>
      <c r="L55" s="13">
        <f>N55&amp;O55&amp;P55&amp;Q55&amp;R55&amp;S55&amp;T55&amp;U55&amp;V55&amp;W55&amp;X55&amp;Y55&amp;Z55&amp;AA55&amp;AB55&amp;AC55&amp;AD55&amp;AE55&amp;AF55&amp;AG55</f>
        <v/>
      </c>
      <c r="M55" s="20" t="n"/>
      <c r="N55" s="10">
        <f>TEXT($B$6,"00")</f>
        <v/>
      </c>
      <c r="O55" s="10">
        <f>REPT(" ",8)</f>
        <v/>
      </c>
      <c r="P55" s="10">
        <f>RIGHT($B$4,2)</f>
        <v/>
      </c>
      <c r="Q55" s="10">
        <f>RIGHT($B$5,3)</f>
        <v/>
      </c>
      <c r="R55" s="10">
        <f>IF(A55="D",LEFT(UPPER(B55)&amp;REPT(" ",20),20),REPT(" ",20))</f>
        <v/>
      </c>
      <c r="S55" s="10">
        <f>IF(A55="D",LEFT(UPPER(C55)&amp;REPT(" ",10),10)," ")</f>
        <v/>
      </c>
      <c r="T55" s="10">
        <f>IF(A55="D",LEFT(UPPER(D55)&amp;REPT(" ",2),2)," ")</f>
        <v/>
      </c>
      <c r="U55" s="10">
        <f>IF(A55="D",LEFT(UPPER(E55)&amp;REPT(" ",15),15)," ")</f>
        <v/>
      </c>
      <c r="V55" s="10">
        <f>REPT(" ",24)</f>
        <v/>
      </c>
      <c r="W55" s="10">
        <f>IF(A55="c",LEFT(UPPER(B55)&amp;REPT(" ",20),20),REPT(" ",20))</f>
        <v/>
      </c>
      <c r="X55" s="10">
        <f>IF(A55="C",LEFT(UPPER(C55)&amp;REPT(" ",10),10)," ")</f>
        <v/>
      </c>
      <c r="Y55" s="10">
        <f>IF(A55="C",LEFT(UPPER(D55)&amp;REPT(" ",2),2)," ")</f>
        <v/>
      </c>
      <c r="Z55" s="10">
        <f>IF(A55="C",LEFT(UPPER(E55)&amp;REPT(" ",15),15)," ")</f>
        <v/>
      </c>
      <c r="AA55" s="10">
        <f>REPT(" ",8)</f>
        <v/>
      </c>
      <c r="AB55" s="10">
        <f>REPT(" ",4)</f>
        <v/>
      </c>
      <c r="AC55" s="10">
        <f>LEFT(UPPER(H55)&amp;REPT(" ",250),250)</f>
        <v/>
      </c>
      <c r="AD55" s="10">
        <f>TEXT($G$2,"dd/mm/aaaa")</f>
        <v/>
      </c>
      <c r="AE55" s="10">
        <f>REPT(" ",10)</f>
        <v/>
      </c>
      <c r="AF55" s="10">
        <f>REPT(" ",20)</f>
        <v/>
      </c>
      <c r="AG55" s="54">
        <f>REPT(" ",18-LEN(FIXED(F55,2,TRUE)))&amp;FIXED(F55,2,TRUE)</f>
        <v/>
      </c>
      <c r="AH55" s="10">
        <f>LEN(AC55)+LEN(AG55)</f>
        <v/>
      </c>
      <c r="AI55" s="10">
        <f>LEN(L55)</f>
        <v/>
      </c>
    </row>
    <row r="56" ht="16.5" customHeight="1">
      <c r="A56" s="61" t="inlineStr">
        <is>
          <t>D</t>
        </is>
      </c>
      <c r="B56" s="64">
        <f>IFERROR(IF(VLOOKUP(I56,DEPARA_CONTAS,2,0)="","CONTA PENDENTE",VLOOKUP(I56,DEPARA_CONTAS,2,0)),"SEM DE-PARA")</f>
        <v/>
      </c>
      <c r="C56" s="64" t="inlineStr">
        <is>
          <t>000300</t>
        </is>
      </c>
      <c r="D56" s="62" t="n"/>
      <c r="E56" s="62" t="n"/>
      <c r="F56" s="87" t="n">
        <v>2550</v>
      </c>
      <c r="H56" s="61" t="inlineStr">
        <is>
          <t>FOLHA DE PAGAMENTO REF 04/2026</t>
        </is>
      </c>
      <c r="I56" s="86" t="inlineStr">
        <is>
          <t>6.1.1.01.003</t>
        </is>
      </c>
      <c r="J56" s="12">
        <f>IF(F56&lt;&gt;0,"LANÇAR","")</f>
        <v/>
      </c>
      <c r="K56" s="20" t="n"/>
      <c r="L56" s="13">
        <f>N56&amp;O56&amp;P56&amp;Q56&amp;R56&amp;S56&amp;T56&amp;U56&amp;V56&amp;W56&amp;X56&amp;Y56&amp;Z56&amp;AA56&amp;AB56&amp;AC56&amp;AD56&amp;AE56&amp;AF56&amp;AG56</f>
        <v/>
      </c>
      <c r="M56" s="20" t="n"/>
      <c r="N56" s="10">
        <f>TEXT($B$6,"00")</f>
        <v/>
      </c>
      <c r="O56" s="10">
        <f>REPT(" ",8)</f>
        <v/>
      </c>
      <c r="P56" s="10">
        <f>RIGHT($B$4,2)</f>
        <v/>
      </c>
      <c r="Q56" s="10">
        <f>RIGHT($B$5,3)</f>
        <v/>
      </c>
      <c r="R56" s="10">
        <f>IF(A56="D",LEFT(UPPER(B56)&amp;REPT(" ",20),20),REPT(" ",20))</f>
        <v/>
      </c>
      <c r="S56" s="10">
        <f>IF(A56="D",LEFT(UPPER(C56)&amp;REPT(" ",10),10)," ")</f>
        <v/>
      </c>
      <c r="T56" s="10">
        <f>IF(A56="D",LEFT(UPPER(D56)&amp;REPT(" ",2),2)," ")</f>
        <v/>
      </c>
      <c r="U56" s="10">
        <f>IF(A56="D",LEFT(UPPER(E56)&amp;REPT(" ",15),15)," ")</f>
        <v/>
      </c>
      <c r="V56" s="10">
        <f>REPT(" ",24)</f>
        <v/>
      </c>
      <c r="W56" s="10">
        <f>IF(A56="c",LEFT(UPPER(B56)&amp;REPT(" ",20),20),REPT(" ",20))</f>
        <v/>
      </c>
      <c r="X56" s="10">
        <f>IF(A56="C",LEFT(UPPER(C56)&amp;REPT(" ",10),10)," ")</f>
        <v/>
      </c>
      <c r="Y56" s="10">
        <f>IF(A56="C",LEFT(UPPER(D56)&amp;REPT(" ",2),2)," ")</f>
        <v/>
      </c>
      <c r="Z56" s="10">
        <f>IF(A56="C",LEFT(UPPER(E56)&amp;REPT(" ",15),15)," ")</f>
        <v/>
      </c>
      <c r="AA56" s="10">
        <f>REPT(" ",8)</f>
        <v/>
      </c>
      <c r="AB56" s="10">
        <f>REPT(" ",4)</f>
        <v/>
      </c>
      <c r="AC56" s="10">
        <f>LEFT(UPPER(H56)&amp;REPT(" ",250),250)</f>
        <v/>
      </c>
      <c r="AD56" s="10">
        <f>TEXT($G$2,"dd/mm/aaaa")</f>
        <v/>
      </c>
      <c r="AE56" s="10">
        <f>REPT(" ",10)</f>
        <v/>
      </c>
      <c r="AF56" s="10">
        <f>REPT(" ",20)</f>
        <v/>
      </c>
      <c r="AG56" s="54">
        <f>REPT(" ",18-LEN(FIXED(F56,2,TRUE)))&amp;FIXED(F56,2,TRUE)</f>
        <v/>
      </c>
      <c r="AH56" s="10">
        <f>LEN(AC56)+LEN(AG56)</f>
        <v/>
      </c>
      <c r="AI56" s="10">
        <f>LEN(L56)</f>
        <v/>
      </c>
    </row>
    <row r="57" ht="16.5" customHeight="1">
      <c r="A57" s="61" t="inlineStr">
        <is>
          <t>D</t>
        </is>
      </c>
      <c r="B57" s="64">
        <f>IFERROR(IF(VLOOKUP(I57,DEPARA_CONTAS,2,0)="","CONTA PENDENTE",VLOOKUP(I57,DEPARA_CONTAS,2,0)),"SEM DE-PARA")</f>
        <v/>
      </c>
      <c r="C57" s="64" t="inlineStr">
        <is>
          <t>000300</t>
        </is>
      </c>
      <c r="D57" s="62" t="n"/>
      <c r="E57" s="62" t="n"/>
      <c r="F57" s="87" t="n">
        <v>95689.97</v>
      </c>
      <c r="H57" s="61" t="inlineStr">
        <is>
          <t>FOLHA DE PAGAMENTO REF 04/2026</t>
        </is>
      </c>
      <c r="I57" s="86" t="inlineStr">
        <is>
          <t>6.1.1.01.005</t>
        </is>
      </c>
      <c r="J57" s="12">
        <f>IF(F57&lt;&gt;0,"LANÇAR","")</f>
        <v/>
      </c>
      <c r="K57" s="20" t="n"/>
      <c r="L57" s="13">
        <f>N57&amp;O57&amp;P57&amp;Q57&amp;R57&amp;S57&amp;T57&amp;U57&amp;V57&amp;W57&amp;X57&amp;Y57&amp;Z57&amp;AA57&amp;AB57&amp;AC57&amp;AD57&amp;AE57&amp;AF57&amp;AG57</f>
        <v/>
      </c>
      <c r="M57" s="20" t="n"/>
      <c r="N57" s="10">
        <f>TEXT($B$6,"00")</f>
        <v/>
      </c>
      <c r="O57" s="10">
        <f>REPT(" ",8)</f>
        <v/>
      </c>
      <c r="P57" s="10">
        <f>RIGHT($B$4,2)</f>
        <v/>
      </c>
      <c r="Q57" s="10">
        <f>RIGHT($B$5,3)</f>
        <v/>
      </c>
      <c r="R57" s="10">
        <f>IF(A57="D",LEFT(UPPER(B57)&amp;REPT(" ",20),20),REPT(" ",20))</f>
        <v/>
      </c>
      <c r="S57" s="10">
        <f>IF(A57="D",LEFT(UPPER(C57)&amp;REPT(" ",10),10)," ")</f>
        <v/>
      </c>
      <c r="T57" s="10">
        <f>IF(A57="D",LEFT(UPPER(D57)&amp;REPT(" ",2),2)," ")</f>
        <v/>
      </c>
      <c r="U57" s="10">
        <f>IF(A57="D",LEFT(UPPER(E57)&amp;REPT(" ",15),15)," ")</f>
        <v/>
      </c>
      <c r="V57" s="10">
        <f>REPT(" ",24)</f>
        <v/>
      </c>
      <c r="W57" s="10">
        <f>IF(A57="c",LEFT(UPPER(B57)&amp;REPT(" ",20),20),REPT(" ",20))</f>
        <v/>
      </c>
      <c r="X57" s="10">
        <f>IF(A57="C",LEFT(UPPER(C57)&amp;REPT(" ",10),10)," ")</f>
        <v/>
      </c>
      <c r="Y57" s="10">
        <f>IF(A57="C",LEFT(UPPER(D57)&amp;REPT(" ",2),2)," ")</f>
        <v/>
      </c>
      <c r="Z57" s="10">
        <f>IF(A57="C",LEFT(UPPER(E57)&amp;REPT(" ",15),15)," ")</f>
        <v/>
      </c>
      <c r="AA57" s="10">
        <f>REPT(" ",8)</f>
        <v/>
      </c>
      <c r="AB57" s="10">
        <f>REPT(" ",4)</f>
        <v/>
      </c>
      <c r="AC57" s="10">
        <f>LEFT(UPPER(H57)&amp;REPT(" ",250),250)</f>
        <v/>
      </c>
      <c r="AD57" s="10">
        <f>TEXT($G$2,"dd/mm/aaaa")</f>
        <v/>
      </c>
      <c r="AE57" s="10">
        <f>REPT(" ",10)</f>
        <v/>
      </c>
      <c r="AF57" s="10">
        <f>REPT(" ",20)</f>
        <v/>
      </c>
      <c r="AG57" s="54">
        <f>REPT(" ",18-LEN(FIXED(F57,2,TRUE)))&amp;FIXED(F57,2,TRUE)</f>
        <v/>
      </c>
      <c r="AH57" s="10">
        <f>LEN(AC57)+LEN(AG57)</f>
        <v/>
      </c>
      <c r="AI57" s="10">
        <f>LEN(L57)</f>
        <v/>
      </c>
    </row>
    <row r="58" ht="16.5" customHeight="1">
      <c r="A58" s="61" t="inlineStr">
        <is>
          <t>D</t>
        </is>
      </c>
      <c r="B58" s="64">
        <f>IFERROR(IF(VLOOKUP(I58,DEPARA_CONTAS,2,0)="","CONTA PENDENTE",VLOOKUP(I58,DEPARA_CONTAS,2,0)),"SEM DE-PARA")</f>
        <v/>
      </c>
      <c r="C58" s="64" t="inlineStr">
        <is>
          <t>000300</t>
        </is>
      </c>
      <c r="D58" s="62" t="n"/>
      <c r="E58" s="62" t="n"/>
      <c r="F58" s="87" t="n">
        <v>3934.75</v>
      </c>
      <c r="H58" s="61" t="inlineStr">
        <is>
          <t>FOLHA DE PAGAMENTO REF 04/2026</t>
        </is>
      </c>
      <c r="I58" s="86" t="inlineStr">
        <is>
          <t>6.1.1.01.013</t>
        </is>
      </c>
      <c r="J58" s="12">
        <f>IF(F58&lt;&gt;0,"LANÇAR","")</f>
        <v/>
      </c>
      <c r="K58" s="20" t="n"/>
      <c r="L58" s="13">
        <f>N58&amp;O58&amp;P58&amp;Q58&amp;R58&amp;S58&amp;T58&amp;U58&amp;V58&amp;W58&amp;X58&amp;Y58&amp;Z58&amp;AA58&amp;AB58&amp;AC58&amp;AD58&amp;AE58&amp;AF58&amp;AG58</f>
        <v/>
      </c>
      <c r="M58" s="20" t="n"/>
      <c r="N58" s="10">
        <f>TEXT($B$6,"00")</f>
        <v/>
      </c>
      <c r="O58" s="10">
        <f>REPT(" ",8)</f>
        <v/>
      </c>
      <c r="P58" s="10">
        <f>RIGHT($B$4,2)</f>
        <v/>
      </c>
      <c r="Q58" s="10">
        <f>RIGHT($B$5,3)</f>
        <v/>
      </c>
      <c r="R58" s="10">
        <f>IF(A58="D",LEFT(UPPER(B58)&amp;REPT(" ",20),20),REPT(" ",20))</f>
        <v/>
      </c>
      <c r="S58" s="10">
        <f>IF(A58="D",LEFT(UPPER(C58)&amp;REPT(" ",10),10)," ")</f>
        <v/>
      </c>
      <c r="T58" s="10">
        <f>IF(A58="D",LEFT(UPPER(D58)&amp;REPT(" ",2),2)," ")</f>
        <v/>
      </c>
      <c r="U58" s="10">
        <f>IF(A58="D",LEFT(UPPER(E58)&amp;REPT(" ",15),15)," ")</f>
        <v/>
      </c>
      <c r="V58" s="10">
        <f>REPT(" ",24)</f>
        <v/>
      </c>
      <c r="W58" s="10">
        <f>IF(A58="c",LEFT(UPPER(B58)&amp;REPT(" ",20),20),REPT(" ",20))</f>
        <v/>
      </c>
      <c r="X58" s="10">
        <f>IF(A58="C",LEFT(UPPER(C58)&amp;REPT(" ",10),10)," ")</f>
        <v/>
      </c>
      <c r="Y58" s="10">
        <f>IF(A58="C",LEFT(UPPER(D58)&amp;REPT(" ",2),2)," ")</f>
        <v/>
      </c>
      <c r="Z58" s="10">
        <f>IF(A58="C",LEFT(UPPER(E58)&amp;REPT(" ",15),15)," ")</f>
        <v/>
      </c>
      <c r="AA58" s="10">
        <f>REPT(" ",8)</f>
        <v/>
      </c>
      <c r="AB58" s="10">
        <f>REPT(" ",4)</f>
        <v/>
      </c>
      <c r="AC58" s="10">
        <f>LEFT(UPPER(H58)&amp;REPT(" ",250),250)</f>
        <v/>
      </c>
      <c r="AD58" s="10">
        <f>TEXT($G$2,"dd/mm/aaaa")</f>
        <v/>
      </c>
      <c r="AE58" s="10">
        <f>REPT(" ",10)</f>
        <v/>
      </c>
      <c r="AF58" s="10">
        <f>REPT(" ",20)</f>
        <v/>
      </c>
      <c r="AG58" s="54">
        <f>REPT(" ",18-LEN(FIXED(F58,2,TRUE)))&amp;FIXED(F58,2,TRUE)</f>
        <v/>
      </c>
      <c r="AH58" s="10">
        <f>LEN(AC58)+LEN(AG58)</f>
        <v/>
      </c>
      <c r="AI58" s="10">
        <f>LEN(L58)</f>
        <v/>
      </c>
    </row>
    <row r="59" ht="16.5" customHeight="1">
      <c r="A59" s="61" t="inlineStr">
        <is>
          <t>C</t>
        </is>
      </c>
      <c r="B59" s="64">
        <f>IFERROR(IF(VLOOKUP(I59,DEPARA_CONTAS,2,0)="","CONTA PENDENTE",VLOOKUP(I59,DEPARA_CONTAS,2,0)),"SEM DE-PARA")</f>
        <v/>
      </c>
      <c r="C59" s="64" t="inlineStr">
        <is>
          <t>000300</t>
        </is>
      </c>
      <c r="D59" s="62" t="n"/>
      <c r="E59" s="62" t="n"/>
      <c r="F59" s="87" t="n">
        <v>3764.64</v>
      </c>
      <c r="H59" s="61" t="inlineStr">
        <is>
          <t>FOLHA DE PAGAMENTO REF 04/2026</t>
        </is>
      </c>
      <c r="I59" s="86" t="inlineStr">
        <is>
          <t>6.1.1.04.001</t>
        </is>
      </c>
      <c r="J59" s="12">
        <f>IF(F59&lt;&gt;0,"LANÇAR","")</f>
        <v/>
      </c>
      <c r="K59" s="20" t="n"/>
      <c r="L59" s="13">
        <f>N59&amp;O59&amp;P59&amp;Q59&amp;R59&amp;S59&amp;T59&amp;U59&amp;V59&amp;W59&amp;X59&amp;Y59&amp;Z59&amp;AA59&amp;AB59&amp;AC59&amp;AD59&amp;AE59&amp;AF59&amp;AG59</f>
        <v/>
      </c>
      <c r="M59" s="20" t="n"/>
      <c r="N59" s="10">
        <f>TEXT($B$6,"00")</f>
        <v/>
      </c>
      <c r="O59" s="10">
        <f>REPT(" ",8)</f>
        <v/>
      </c>
      <c r="P59" s="10">
        <f>RIGHT($B$4,2)</f>
        <v/>
      </c>
      <c r="Q59" s="10">
        <f>RIGHT($B$5,3)</f>
        <v/>
      </c>
      <c r="R59" s="10">
        <f>IF(A59="D",LEFT(UPPER(B59)&amp;REPT(" ",20),20),REPT(" ",20))</f>
        <v/>
      </c>
      <c r="S59" s="10">
        <f>IF(A59="D",LEFT(UPPER(C59)&amp;REPT(" ",10),10)," ")</f>
        <v/>
      </c>
      <c r="T59" s="10">
        <f>IF(A59="D",LEFT(UPPER(D59)&amp;REPT(" ",2),2)," ")</f>
        <v/>
      </c>
      <c r="U59" s="10">
        <f>IF(A59="D",LEFT(UPPER(E59)&amp;REPT(" ",15),15)," ")</f>
        <v/>
      </c>
      <c r="V59" s="10">
        <f>REPT(" ",24)</f>
        <v/>
      </c>
      <c r="W59" s="10">
        <f>IF(A59="c",LEFT(UPPER(B59)&amp;REPT(" ",20),20),REPT(" ",20))</f>
        <v/>
      </c>
      <c r="X59" s="10">
        <f>IF(A59="C",LEFT(UPPER(C59)&amp;REPT(" ",10),10)," ")</f>
        <v/>
      </c>
      <c r="Y59" s="10">
        <f>IF(A59="C",LEFT(UPPER(D59)&amp;REPT(" ",2),2)," ")</f>
        <v/>
      </c>
      <c r="Z59" s="10">
        <f>IF(A59="C",LEFT(UPPER(E59)&amp;REPT(" ",15),15)," ")</f>
        <v/>
      </c>
      <c r="AA59" s="10">
        <f>REPT(" ",8)</f>
        <v/>
      </c>
      <c r="AB59" s="10">
        <f>REPT(" ",4)</f>
        <v/>
      </c>
      <c r="AC59" s="10">
        <f>LEFT(UPPER(H59)&amp;REPT(" ",250),250)</f>
        <v/>
      </c>
      <c r="AD59" s="10">
        <f>TEXT($G$2,"dd/mm/aaaa")</f>
        <v/>
      </c>
      <c r="AE59" s="10">
        <f>REPT(" ",10)</f>
        <v/>
      </c>
      <c r="AF59" s="10">
        <f>REPT(" ",20)</f>
        <v/>
      </c>
      <c r="AG59" s="54">
        <f>REPT(" ",18-LEN(FIXED(F59,2,TRUE)))&amp;FIXED(F59,2,TRUE)</f>
        <v/>
      </c>
      <c r="AH59" s="10">
        <f>LEN(AC59)+LEN(AG59)</f>
        <v/>
      </c>
      <c r="AI59" s="10">
        <f>LEN(L59)</f>
        <v/>
      </c>
    </row>
    <row r="60" ht="16.5" customHeight="1">
      <c r="A60" s="61" t="inlineStr">
        <is>
          <t>C</t>
        </is>
      </c>
      <c r="B60" s="64">
        <f>IFERROR(IF(VLOOKUP(I60,DEPARA_CONTAS,2,0)="","CONTA PENDENTE",VLOOKUP(I60,DEPARA_CONTAS,2,0)),"SEM DE-PARA")</f>
        <v/>
      </c>
      <c r="C60" s="64" t="inlineStr">
        <is>
          <t>000300</t>
        </is>
      </c>
      <c r="D60" s="62" t="n"/>
      <c r="E60" s="62" t="n"/>
      <c r="F60" s="87" t="n">
        <v>281.65</v>
      </c>
      <c r="H60" s="61" t="inlineStr">
        <is>
          <t>FOLHA DE PAGAMENTO REF 04/2026</t>
        </is>
      </c>
      <c r="I60" s="86" t="inlineStr">
        <is>
          <t>6.1.1.04.003</t>
        </is>
      </c>
      <c r="J60" s="12">
        <f>IF(F60&lt;&gt;0,"LANÇAR","")</f>
        <v/>
      </c>
      <c r="K60" s="20" t="n"/>
      <c r="L60" s="13">
        <f>N60&amp;O60&amp;P60&amp;Q60&amp;R60&amp;S60&amp;T60&amp;U60&amp;V60&amp;W60&amp;X60&amp;Y60&amp;Z60&amp;AA60&amp;AB60&amp;AC60&amp;AD60&amp;AE60&amp;AF60&amp;AG60</f>
        <v/>
      </c>
      <c r="M60" s="20" t="n"/>
      <c r="N60" s="10">
        <f>TEXT($B$6,"00")</f>
        <v/>
      </c>
      <c r="O60" s="10">
        <f>REPT(" ",8)</f>
        <v/>
      </c>
      <c r="P60" s="10">
        <f>RIGHT($B$4,2)</f>
        <v/>
      </c>
      <c r="Q60" s="10">
        <f>RIGHT($B$5,3)</f>
        <v/>
      </c>
      <c r="R60" s="10">
        <f>IF(A60="D",LEFT(UPPER(B60)&amp;REPT(" ",20),20),REPT(" ",20))</f>
        <v/>
      </c>
      <c r="S60" s="10">
        <f>IF(A60="D",LEFT(UPPER(C60)&amp;REPT(" ",10),10)," ")</f>
        <v/>
      </c>
      <c r="T60" s="10">
        <f>IF(A60="D",LEFT(UPPER(D60)&amp;REPT(" ",2),2)," ")</f>
        <v/>
      </c>
      <c r="U60" s="10">
        <f>IF(A60="D",LEFT(UPPER(E60)&amp;REPT(" ",15),15)," ")</f>
        <v/>
      </c>
      <c r="V60" s="10">
        <f>REPT(" ",24)</f>
        <v/>
      </c>
      <c r="W60" s="10">
        <f>IF(A60="c",LEFT(UPPER(B60)&amp;REPT(" ",20),20),REPT(" ",20))</f>
        <v/>
      </c>
      <c r="X60" s="10">
        <f>IF(A60="C",LEFT(UPPER(C60)&amp;REPT(" ",10),10)," ")</f>
        <v/>
      </c>
      <c r="Y60" s="10">
        <f>IF(A60="C",LEFT(UPPER(D60)&amp;REPT(" ",2),2)," ")</f>
        <v/>
      </c>
      <c r="Z60" s="10">
        <f>IF(A60="C",LEFT(UPPER(E60)&amp;REPT(" ",15),15)," ")</f>
        <v/>
      </c>
      <c r="AA60" s="10">
        <f>REPT(" ",8)</f>
        <v/>
      </c>
      <c r="AB60" s="10">
        <f>REPT(" ",4)</f>
        <v/>
      </c>
      <c r="AC60" s="10">
        <f>LEFT(UPPER(H60)&amp;REPT(" ",250),250)</f>
        <v/>
      </c>
      <c r="AD60" s="10">
        <f>TEXT($G$2,"dd/mm/aaaa")</f>
        <v/>
      </c>
      <c r="AE60" s="10">
        <f>REPT(" ",10)</f>
        <v/>
      </c>
      <c r="AF60" s="10">
        <f>REPT(" ",20)</f>
        <v/>
      </c>
      <c r="AG60" s="54">
        <f>REPT(" ",18-LEN(FIXED(F60,2,TRUE)))&amp;FIXED(F60,2,TRUE)</f>
        <v/>
      </c>
      <c r="AH60" s="10">
        <f>LEN(AC60)+LEN(AG60)</f>
        <v/>
      </c>
      <c r="AI60" s="10">
        <f>LEN(L60)</f>
        <v/>
      </c>
    </row>
    <row r="61" ht="16.5" customHeight="1">
      <c r="A61" s="61" t="inlineStr">
        <is>
          <t>C</t>
        </is>
      </c>
      <c r="B61" s="64">
        <f>IFERROR(IF(VLOOKUP(I61,DEPARA_CONTAS,2,0)="","CONTA PENDENTE",VLOOKUP(I61,DEPARA_CONTAS,2,0)),"SEM DE-PARA")</f>
        <v/>
      </c>
      <c r="C61" s="64" t="inlineStr">
        <is>
          <t>000300</t>
        </is>
      </c>
      <c r="D61" s="62" t="n"/>
      <c r="E61" s="62" t="n"/>
      <c r="F61" s="87" t="n">
        <v>1485.75</v>
      </c>
      <c r="H61" s="61" t="inlineStr">
        <is>
          <t>FOLHA DE PAGAMENTO REF 04/2026</t>
        </is>
      </c>
      <c r="I61" s="86" t="inlineStr">
        <is>
          <t>6.1.1.04.006</t>
        </is>
      </c>
      <c r="J61" s="12">
        <f>IF(F61&lt;&gt;0,"LANÇAR","")</f>
        <v/>
      </c>
      <c r="K61" s="20" t="n"/>
      <c r="L61" s="13">
        <f>N61&amp;O61&amp;P61&amp;Q61&amp;R61&amp;S61&amp;T61&amp;U61&amp;V61&amp;W61&amp;X61&amp;Y61&amp;Z61&amp;AA61&amp;AB61&amp;AC61&amp;AD61&amp;AE61&amp;AF61&amp;AG61</f>
        <v/>
      </c>
      <c r="M61" s="20" t="n"/>
      <c r="N61" s="10">
        <f>TEXT($B$6,"00")</f>
        <v/>
      </c>
      <c r="O61" s="10">
        <f>REPT(" ",8)</f>
        <v/>
      </c>
      <c r="P61" s="10">
        <f>RIGHT($B$4,2)</f>
        <v/>
      </c>
      <c r="Q61" s="10">
        <f>RIGHT($B$5,3)</f>
        <v/>
      </c>
      <c r="R61" s="10">
        <f>IF(A61="D",LEFT(UPPER(B61)&amp;REPT(" ",20),20),REPT(" ",20))</f>
        <v/>
      </c>
      <c r="S61" s="10">
        <f>IF(A61="D",LEFT(UPPER(C61)&amp;REPT(" ",10),10)," ")</f>
        <v/>
      </c>
      <c r="T61" s="10">
        <f>IF(A61="D",LEFT(UPPER(D61)&amp;REPT(" ",2),2)," ")</f>
        <v/>
      </c>
      <c r="U61" s="10">
        <f>IF(A61="D",LEFT(UPPER(E61)&amp;REPT(" ",15),15)," ")</f>
        <v/>
      </c>
      <c r="V61" s="10">
        <f>REPT(" ",24)</f>
        <v/>
      </c>
      <c r="W61" s="10">
        <f>IF(A61="c",LEFT(UPPER(B61)&amp;REPT(" ",20),20),REPT(" ",20))</f>
        <v/>
      </c>
      <c r="X61" s="10">
        <f>IF(A61="C",LEFT(UPPER(C61)&amp;REPT(" ",10),10)," ")</f>
        <v/>
      </c>
      <c r="Y61" s="10">
        <f>IF(A61="C",LEFT(UPPER(D61)&amp;REPT(" ",2),2)," ")</f>
        <v/>
      </c>
      <c r="Z61" s="10">
        <f>IF(A61="C",LEFT(UPPER(E61)&amp;REPT(" ",15),15)," ")</f>
        <v/>
      </c>
      <c r="AA61" s="10">
        <f>REPT(" ",8)</f>
        <v/>
      </c>
      <c r="AB61" s="10">
        <f>REPT(" ",4)</f>
        <v/>
      </c>
      <c r="AC61" s="10">
        <f>LEFT(UPPER(H61)&amp;REPT(" ",250),250)</f>
        <v/>
      </c>
      <c r="AD61" s="10">
        <f>TEXT($G$2,"dd/mm/aaaa")</f>
        <v/>
      </c>
      <c r="AE61" s="10">
        <f>REPT(" ",10)</f>
        <v/>
      </c>
      <c r="AF61" s="10">
        <f>REPT(" ",20)</f>
        <v/>
      </c>
      <c r="AG61" s="54">
        <f>REPT(" ",18-LEN(FIXED(F61,2,TRUE)))&amp;FIXED(F61,2,TRUE)</f>
        <v/>
      </c>
      <c r="AH61" s="10">
        <f>LEN(AC61)+LEN(AG61)</f>
        <v/>
      </c>
      <c r="AI61" s="10">
        <f>LEN(L61)</f>
        <v/>
      </c>
    </row>
    <row r="62" ht="16.5" customHeight="1">
      <c r="A62" s="61" t="inlineStr">
        <is>
          <t>D</t>
        </is>
      </c>
      <c r="B62" s="64">
        <f>IFERROR(IF(VLOOKUP(I62,DEPARA_CONTAS,2,0)="","CONTA PENDENTE",VLOOKUP(I62,DEPARA_CONTAS,2,0)),"SEM DE-PARA")</f>
        <v/>
      </c>
      <c r="C62" s="64" t="inlineStr">
        <is>
          <t>000300</t>
        </is>
      </c>
      <c r="D62" s="62" t="n"/>
      <c r="E62" s="62" t="n"/>
      <c r="F62" s="87" t="n">
        <v>33151.74</v>
      </c>
      <c r="H62" s="61" t="inlineStr">
        <is>
          <t>FOLHA DE PAGAMENTO REF 04/2026</t>
        </is>
      </c>
      <c r="I62" s="86" t="inlineStr">
        <is>
          <t>6.1.1.02.001</t>
        </is>
      </c>
      <c r="J62" s="12">
        <f>IF(F62&lt;&gt;0,"LANÇAR","")</f>
        <v/>
      </c>
      <c r="K62" s="20" t="n"/>
      <c r="L62" s="13">
        <f>N62&amp;O62&amp;P62&amp;Q62&amp;R62&amp;S62&amp;T62&amp;U62&amp;V62&amp;W62&amp;X62&amp;Y62&amp;Z62&amp;AA62&amp;AB62&amp;AC62&amp;AD62&amp;AE62&amp;AF62&amp;AG62</f>
        <v/>
      </c>
      <c r="M62" s="20" t="n"/>
      <c r="N62" s="10">
        <f>TEXT($B$6,"00")</f>
        <v/>
      </c>
      <c r="O62" s="10">
        <f>REPT(" ",8)</f>
        <v/>
      </c>
      <c r="P62" s="10">
        <f>RIGHT($B$4,2)</f>
        <v/>
      </c>
      <c r="Q62" s="10">
        <f>RIGHT($B$5,3)</f>
        <v/>
      </c>
      <c r="R62" s="10">
        <f>IF(A62="D",LEFT(UPPER(B62)&amp;REPT(" ",20),20),REPT(" ",20))</f>
        <v/>
      </c>
      <c r="S62" s="10">
        <f>IF(A62="D",LEFT(UPPER(C62)&amp;REPT(" ",10),10)," ")</f>
        <v/>
      </c>
      <c r="T62" s="10">
        <f>IF(A62="D",LEFT(UPPER(D62)&amp;REPT(" ",2),2)," ")</f>
        <v/>
      </c>
      <c r="U62" s="10">
        <f>IF(A62="D",LEFT(UPPER(E62)&amp;REPT(" ",15),15)," ")</f>
        <v/>
      </c>
      <c r="V62" s="10">
        <f>REPT(" ",24)</f>
        <v/>
      </c>
      <c r="W62" s="10">
        <f>IF(A62="c",LEFT(UPPER(B62)&amp;REPT(" ",20),20),REPT(" ",20))</f>
        <v/>
      </c>
      <c r="X62" s="10">
        <f>IF(A62="C",LEFT(UPPER(C62)&amp;REPT(" ",10),10)," ")</f>
        <v/>
      </c>
      <c r="Y62" s="10">
        <f>IF(A62="C",LEFT(UPPER(D62)&amp;REPT(" ",2),2)," ")</f>
        <v/>
      </c>
      <c r="Z62" s="10">
        <f>IF(A62="C",LEFT(UPPER(E62)&amp;REPT(" ",15),15)," ")</f>
        <v/>
      </c>
      <c r="AA62" s="10">
        <f>REPT(" ",8)</f>
        <v/>
      </c>
      <c r="AB62" s="10">
        <f>REPT(" ",4)</f>
        <v/>
      </c>
      <c r="AC62" s="10">
        <f>LEFT(UPPER(H62)&amp;REPT(" ",250),250)</f>
        <v/>
      </c>
      <c r="AD62" s="10">
        <f>TEXT($G$2,"dd/mm/aaaa")</f>
        <v/>
      </c>
      <c r="AE62" s="10">
        <f>REPT(" ",10)</f>
        <v/>
      </c>
      <c r="AF62" s="10">
        <f>REPT(" ",20)</f>
        <v/>
      </c>
      <c r="AG62" s="54">
        <f>REPT(" ",18-LEN(FIXED(F62,2,TRUE)))&amp;FIXED(F62,2,TRUE)</f>
        <v/>
      </c>
      <c r="AH62" s="10">
        <f>LEN(AC62)+LEN(AG62)</f>
        <v/>
      </c>
      <c r="AI62" s="10">
        <f>LEN(L62)</f>
        <v/>
      </c>
    </row>
    <row r="63" ht="16.5" customHeight="1">
      <c r="A63" s="61" t="inlineStr">
        <is>
          <t>D</t>
        </is>
      </c>
      <c r="B63" s="64">
        <f>IFERROR(IF(VLOOKUP(I63,DEPARA_CONTAS,2,0)="","CONTA PENDENTE",VLOOKUP(I63,DEPARA_CONTAS,2,0)),"SEM DE-PARA")</f>
        <v/>
      </c>
      <c r="C63" s="64" t="inlineStr">
        <is>
          <t>000300</t>
        </is>
      </c>
      <c r="D63" s="62" t="n"/>
      <c r="E63" s="62" t="n"/>
      <c r="F63" s="87" t="n">
        <v>12055.18</v>
      </c>
      <c r="H63" s="61" t="inlineStr">
        <is>
          <t>FOLHA DE PAGAMENTO REF 04/2026</t>
        </is>
      </c>
      <c r="I63" s="86" t="inlineStr">
        <is>
          <t>6.1.1.02.002</t>
        </is>
      </c>
      <c r="J63" s="12">
        <f>IF(F63&lt;&gt;0,"LANÇAR","")</f>
        <v/>
      </c>
      <c r="K63" s="20" t="n"/>
      <c r="L63" s="13">
        <f>N63&amp;O63&amp;P63&amp;Q63&amp;R63&amp;S63&amp;T63&amp;U63&amp;V63&amp;W63&amp;X63&amp;Y63&amp;Z63&amp;AA63&amp;AB63&amp;AC63&amp;AD63&amp;AE63&amp;AF63&amp;AG63</f>
        <v/>
      </c>
      <c r="M63" s="20" t="n"/>
      <c r="N63" s="10">
        <f>TEXT($B$6,"00")</f>
        <v/>
      </c>
      <c r="O63" s="10">
        <f>REPT(" ",8)</f>
        <v/>
      </c>
      <c r="P63" s="10">
        <f>RIGHT($B$4,2)</f>
        <v/>
      </c>
      <c r="Q63" s="10">
        <f>RIGHT($B$5,3)</f>
        <v/>
      </c>
      <c r="R63" s="10">
        <f>IF(A63="D",LEFT(UPPER(B63)&amp;REPT(" ",20),20),REPT(" ",20))</f>
        <v/>
      </c>
      <c r="S63" s="10">
        <f>IF(A63="D",LEFT(UPPER(C63)&amp;REPT(" ",10),10)," ")</f>
        <v/>
      </c>
      <c r="T63" s="10">
        <f>IF(A63="D",LEFT(UPPER(D63)&amp;REPT(" ",2),2)," ")</f>
        <v/>
      </c>
      <c r="U63" s="10">
        <f>IF(A63="D",LEFT(UPPER(E63)&amp;REPT(" ",15),15)," ")</f>
        <v/>
      </c>
      <c r="V63" s="10">
        <f>REPT(" ",24)</f>
        <v/>
      </c>
      <c r="W63" s="10">
        <f>IF(A63="c",LEFT(UPPER(B63)&amp;REPT(" ",20),20),REPT(" ",20))</f>
        <v/>
      </c>
      <c r="X63" s="10">
        <f>IF(A63="C",LEFT(UPPER(C63)&amp;REPT(" ",10),10)," ")</f>
        <v/>
      </c>
      <c r="Y63" s="10">
        <f>IF(A63="C",LEFT(UPPER(D63)&amp;REPT(" ",2),2)," ")</f>
        <v/>
      </c>
      <c r="Z63" s="10">
        <f>IF(A63="C",LEFT(UPPER(E63)&amp;REPT(" ",15),15)," ")</f>
        <v/>
      </c>
      <c r="AA63" s="10">
        <f>REPT(" ",8)</f>
        <v/>
      </c>
      <c r="AB63" s="10">
        <f>REPT(" ",4)</f>
        <v/>
      </c>
      <c r="AC63" s="10">
        <f>LEFT(UPPER(H63)&amp;REPT(" ",250),250)</f>
        <v/>
      </c>
      <c r="AD63" s="10">
        <f>TEXT($G$2,"dd/mm/aaaa")</f>
        <v/>
      </c>
      <c r="AE63" s="10">
        <f>REPT(" ",10)</f>
        <v/>
      </c>
      <c r="AF63" s="10">
        <f>REPT(" ",20)</f>
        <v/>
      </c>
      <c r="AG63" s="54">
        <f>REPT(" ",18-LEN(FIXED(F63,2,TRUE)))&amp;FIXED(F63,2,TRUE)</f>
        <v/>
      </c>
      <c r="AH63" s="10">
        <f>LEN(AC63)+LEN(AG63)</f>
        <v/>
      </c>
      <c r="AI63" s="10">
        <f>LEN(L63)</f>
        <v/>
      </c>
    </row>
    <row r="64" ht="16.5" customHeight="1">
      <c r="A64" s="61" t="inlineStr">
        <is>
          <t>D</t>
        </is>
      </c>
      <c r="B64" s="64">
        <f>IFERROR(IF(VLOOKUP(I64,DEPARA_CONTAS,2,0)="","CONTA PENDENTE",VLOOKUP(I64,DEPARA_CONTAS,2,0)),"SEM DE-PARA")</f>
        <v/>
      </c>
      <c r="C64" s="64" t="inlineStr">
        <is>
          <t>000300</t>
        </is>
      </c>
      <c r="D64" s="62" t="n"/>
      <c r="E64" s="62" t="n"/>
      <c r="F64" s="87" t="n">
        <v>8740</v>
      </c>
      <c r="H64" s="61" t="inlineStr">
        <is>
          <t>FOLHA DE PAGAMENTO REF 04/2026</t>
        </is>
      </c>
      <c r="I64" s="86" t="inlineStr">
        <is>
          <t>6.1.1.02.005</t>
        </is>
      </c>
      <c r="J64" s="12">
        <f>IF(F64&lt;&gt;0,"LANÇAR","")</f>
        <v/>
      </c>
      <c r="K64" s="20" t="n"/>
      <c r="L64" s="13">
        <f>N64&amp;O64&amp;P64&amp;Q64&amp;R64&amp;S64&amp;T64&amp;U64&amp;V64&amp;W64&amp;X64&amp;Y64&amp;Z64&amp;AA64&amp;AB64&amp;AC64&amp;AD64&amp;AE64&amp;AF64&amp;AG64</f>
        <v/>
      </c>
      <c r="M64" s="20" t="n"/>
      <c r="N64" s="10">
        <f>TEXT($B$6,"00")</f>
        <v/>
      </c>
      <c r="O64" s="10">
        <f>REPT(" ",8)</f>
        <v/>
      </c>
      <c r="P64" s="10">
        <f>RIGHT($B$4,2)</f>
        <v/>
      </c>
      <c r="Q64" s="10">
        <f>RIGHT($B$5,3)</f>
        <v/>
      </c>
      <c r="R64" s="10">
        <f>IF(A64="D",LEFT(UPPER(B64)&amp;REPT(" ",20),20),REPT(" ",20))</f>
        <v/>
      </c>
      <c r="S64" s="10">
        <f>IF(A64="D",LEFT(UPPER(C64)&amp;REPT(" ",10),10)," ")</f>
        <v/>
      </c>
      <c r="T64" s="10">
        <f>IF(A64="D",LEFT(UPPER(D64)&amp;REPT(" ",2),2)," ")</f>
        <v/>
      </c>
      <c r="U64" s="10">
        <f>IF(A64="D",LEFT(UPPER(E64)&amp;REPT(" ",15),15)," ")</f>
        <v/>
      </c>
      <c r="V64" s="10">
        <f>REPT(" ",24)</f>
        <v/>
      </c>
      <c r="W64" s="10">
        <f>IF(A64="c",LEFT(UPPER(B64)&amp;REPT(" ",20),20),REPT(" ",20))</f>
        <v/>
      </c>
      <c r="X64" s="10">
        <f>IF(A64="C",LEFT(UPPER(C64)&amp;REPT(" ",10),10)," ")</f>
        <v/>
      </c>
      <c r="Y64" s="10">
        <f>IF(A64="C",LEFT(UPPER(D64)&amp;REPT(" ",2),2)," ")</f>
        <v/>
      </c>
      <c r="Z64" s="10">
        <f>IF(A64="C",LEFT(UPPER(E64)&amp;REPT(" ",15),15)," ")</f>
        <v/>
      </c>
      <c r="AA64" s="10">
        <f>REPT(" ",8)</f>
        <v/>
      </c>
      <c r="AB64" s="10">
        <f>REPT(" ",4)</f>
        <v/>
      </c>
      <c r="AC64" s="10">
        <f>LEFT(UPPER(H64)&amp;REPT(" ",250),250)</f>
        <v/>
      </c>
      <c r="AD64" s="10">
        <f>TEXT($G$2,"dd/mm/aaaa")</f>
        <v/>
      </c>
      <c r="AE64" s="10">
        <f>REPT(" ",10)</f>
        <v/>
      </c>
      <c r="AF64" s="10">
        <f>REPT(" ",20)</f>
        <v/>
      </c>
      <c r="AG64" s="54">
        <f>REPT(" ",18-LEN(FIXED(F64,2,TRUE)))&amp;FIXED(F64,2,TRUE)</f>
        <v/>
      </c>
      <c r="AH64" s="10">
        <f>LEN(AC64)+LEN(AG64)</f>
        <v/>
      </c>
      <c r="AI64" s="10">
        <f>LEN(L64)</f>
        <v/>
      </c>
    </row>
    <row r="65" ht="16.5" customHeight="1">
      <c r="A65" s="61" t="inlineStr">
        <is>
          <t>D</t>
        </is>
      </c>
      <c r="B65" s="64">
        <f>IFERROR(IF(VLOOKUP(I65,DEPARA_CONTAS,2,0)="","CONTA PENDENTE",VLOOKUP(I65,DEPARA_CONTAS,2,0)),"SEM DE-PARA")</f>
        <v/>
      </c>
      <c r="C65" s="64" t="inlineStr">
        <is>
          <t>000300</t>
        </is>
      </c>
      <c r="D65" s="62" t="n"/>
      <c r="E65" s="62" t="n"/>
      <c r="F65" s="87" t="n">
        <v>18265.42</v>
      </c>
      <c r="H65" s="61" t="inlineStr">
        <is>
          <t>FOLHA DE PAGAMENTO REF 04/2026</t>
        </is>
      </c>
      <c r="I65" s="86" t="inlineStr">
        <is>
          <t>6.1.1.03.001</t>
        </is>
      </c>
      <c r="J65" s="12">
        <f>IF(F65&lt;&gt;0,"LANÇAR","")</f>
        <v/>
      </c>
      <c r="K65" s="20" t="n"/>
      <c r="L65" s="13">
        <f>N65&amp;O65&amp;P65&amp;Q65&amp;R65&amp;S65&amp;T65&amp;U65&amp;V65&amp;W65&amp;X65&amp;Y65&amp;Z65&amp;AA65&amp;AB65&amp;AC65&amp;AD65&amp;AE65&amp;AF65&amp;AG65</f>
        <v/>
      </c>
      <c r="M65" s="20" t="n"/>
      <c r="N65" s="10">
        <f>TEXT($B$6,"00")</f>
        <v/>
      </c>
      <c r="O65" s="10">
        <f>REPT(" ",8)</f>
        <v/>
      </c>
      <c r="P65" s="10">
        <f>RIGHT($B$4,2)</f>
        <v/>
      </c>
      <c r="Q65" s="10">
        <f>RIGHT($B$5,3)</f>
        <v/>
      </c>
      <c r="R65" s="10">
        <f>IF(A65="D",LEFT(UPPER(B65)&amp;REPT(" ",20),20),REPT(" ",20))</f>
        <v/>
      </c>
      <c r="S65" s="10">
        <f>IF(A65="D",LEFT(UPPER(C65)&amp;REPT(" ",10),10)," ")</f>
        <v/>
      </c>
      <c r="T65" s="10">
        <f>IF(A65="D",LEFT(UPPER(D65)&amp;REPT(" ",2),2)," ")</f>
        <v/>
      </c>
      <c r="U65" s="10">
        <f>IF(A65="D",LEFT(UPPER(E65)&amp;REPT(" ",15),15)," ")</f>
        <v/>
      </c>
      <c r="V65" s="10">
        <f>REPT(" ",24)</f>
        <v/>
      </c>
      <c r="W65" s="10">
        <f>IF(A65="c",LEFT(UPPER(B65)&amp;REPT(" ",20),20),REPT(" ",20))</f>
        <v/>
      </c>
      <c r="X65" s="10">
        <f>IF(A65="C",LEFT(UPPER(C65)&amp;REPT(" ",10),10)," ")</f>
        <v/>
      </c>
      <c r="Y65" s="10">
        <f>IF(A65="C",LEFT(UPPER(D65)&amp;REPT(" ",2),2)," ")</f>
        <v/>
      </c>
      <c r="Z65" s="10">
        <f>IF(A65="C",LEFT(UPPER(E65)&amp;REPT(" ",15),15)," ")</f>
        <v/>
      </c>
      <c r="AA65" s="10">
        <f>REPT(" ",8)</f>
        <v/>
      </c>
      <c r="AB65" s="10">
        <f>REPT(" ",4)</f>
        <v/>
      </c>
      <c r="AC65" s="10">
        <f>LEFT(UPPER(H65)&amp;REPT(" ",250),250)</f>
        <v/>
      </c>
      <c r="AD65" s="10">
        <f>TEXT($G$2,"dd/mm/aaaa")</f>
        <v/>
      </c>
      <c r="AE65" s="10">
        <f>REPT(" ",10)</f>
        <v/>
      </c>
      <c r="AF65" s="10">
        <f>REPT(" ",20)</f>
        <v/>
      </c>
      <c r="AG65" s="54">
        <f>REPT(" ",18-LEN(FIXED(F65,2,TRUE)))&amp;FIXED(F65,2,TRUE)</f>
        <v/>
      </c>
      <c r="AH65" s="10">
        <f>LEN(AC65)+LEN(AG65)</f>
        <v/>
      </c>
      <c r="AI65" s="10">
        <f>LEN(L65)</f>
        <v/>
      </c>
    </row>
    <row r="66" ht="16.5" customHeight="1">
      <c r="A66" s="61" t="inlineStr">
        <is>
          <t>D</t>
        </is>
      </c>
      <c r="B66" s="64">
        <f>IFERROR(IF(VLOOKUP(I66,DEPARA_CONTAS,2,0)="","CONTA PENDENTE",VLOOKUP(I66,DEPARA_CONTAS,2,0)),"SEM DE-PARA")</f>
        <v/>
      </c>
      <c r="C66" s="64" t="inlineStr">
        <is>
          <t>000300</t>
        </is>
      </c>
      <c r="D66" s="62" t="n"/>
      <c r="E66" s="62" t="n"/>
      <c r="F66" s="87" t="n">
        <v>12557.48</v>
      </c>
      <c r="H66" s="61" t="inlineStr">
        <is>
          <t>FOLHA DE PAGAMENTO REF 04/2026</t>
        </is>
      </c>
      <c r="I66" s="86" t="inlineStr">
        <is>
          <t>6.1.1.03.002</t>
        </is>
      </c>
      <c r="J66" s="12">
        <f>IF(F66&lt;&gt;0,"LANÇAR","")</f>
        <v/>
      </c>
      <c r="K66" s="20" t="n"/>
      <c r="L66" s="13">
        <f>N66&amp;O66&amp;P66&amp;Q66&amp;R66&amp;S66&amp;T66&amp;U66&amp;V66&amp;W66&amp;X66&amp;Y66&amp;Z66&amp;AA66&amp;AB66&amp;AC66&amp;AD66&amp;AE66&amp;AF66&amp;AG66</f>
        <v/>
      </c>
      <c r="M66" s="20" t="n"/>
      <c r="N66" s="10">
        <f>TEXT($B$6,"00")</f>
        <v/>
      </c>
      <c r="O66" s="10">
        <f>REPT(" ",8)</f>
        <v/>
      </c>
      <c r="P66" s="10">
        <f>RIGHT($B$4,2)</f>
        <v/>
      </c>
      <c r="Q66" s="10">
        <f>RIGHT($B$5,3)</f>
        <v/>
      </c>
      <c r="R66" s="10">
        <f>IF(A66="D",LEFT(UPPER(B66)&amp;REPT(" ",20),20),REPT(" ",20))</f>
        <v/>
      </c>
      <c r="S66" s="10">
        <f>IF(A66="D",LEFT(UPPER(C66)&amp;REPT(" ",10),10)," ")</f>
        <v/>
      </c>
      <c r="T66" s="10">
        <f>IF(A66="D",LEFT(UPPER(D66)&amp;REPT(" ",2),2)," ")</f>
        <v/>
      </c>
      <c r="U66" s="10">
        <f>IF(A66="D",LEFT(UPPER(E66)&amp;REPT(" ",15),15)," ")</f>
        <v/>
      </c>
      <c r="V66" s="10">
        <f>REPT(" ",24)</f>
        <v/>
      </c>
      <c r="W66" s="10">
        <f>IF(A66="c",LEFT(UPPER(B66)&amp;REPT(" ",20),20),REPT(" ",20))</f>
        <v/>
      </c>
      <c r="X66" s="10">
        <f>IF(A66="C",LEFT(UPPER(C66)&amp;REPT(" ",10),10)," ")</f>
        <v/>
      </c>
      <c r="Y66" s="10">
        <f>IF(A66="C",LEFT(UPPER(D66)&amp;REPT(" ",2),2)," ")</f>
        <v/>
      </c>
      <c r="Z66" s="10">
        <f>IF(A66="C",LEFT(UPPER(E66)&amp;REPT(" ",15),15)," ")</f>
        <v/>
      </c>
      <c r="AA66" s="10">
        <f>REPT(" ",8)</f>
        <v/>
      </c>
      <c r="AB66" s="10">
        <f>REPT(" ",4)</f>
        <v/>
      </c>
      <c r="AC66" s="10">
        <f>LEFT(UPPER(H66)&amp;REPT(" ",250),250)</f>
        <v/>
      </c>
      <c r="AD66" s="10">
        <f>TEXT($G$2,"dd/mm/aaaa")</f>
        <v/>
      </c>
      <c r="AE66" s="10">
        <f>REPT(" ",10)</f>
        <v/>
      </c>
      <c r="AF66" s="10">
        <f>REPT(" ",20)</f>
        <v/>
      </c>
      <c r="AG66" s="54">
        <f>REPT(" ",18-LEN(FIXED(F66,2,TRUE)))&amp;FIXED(F66,2,TRUE)</f>
        <v/>
      </c>
      <c r="AH66" s="10">
        <f>LEN(AC66)+LEN(AG66)</f>
        <v/>
      </c>
      <c r="AI66" s="10">
        <f>LEN(L66)</f>
        <v/>
      </c>
    </row>
    <row r="67" ht="16.5" customHeight="1">
      <c r="A67" s="61" t="inlineStr">
        <is>
          <t>D</t>
        </is>
      </c>
      <c r="B67" s="64">
        <f>IFERROR(IF(VLOOKUP(I67,DEPARA_CONTAS,2,0)="","CONTA PENDENTE",VLOOKUP(I67,DEPARA_CONTAS,2,0)),"SEM DE-PARA")</f>
        <v/>
      </c>
      <c r="C67" s="64" t="inlineStr">
        <is>
          <t>000300</t>
        </is>
      </c>
      <c r="D67" s="62" t="n"/>
      <c r="E67" s="62" t="n"/>
      <c r="F67" s="87" t="n">
        <v>5077.79</v>
      </c>
      <c r="H67" s="61" t="inlineStr">
        <is>
          <t>FOLHA DE PAGAMENTO REF 04/2026</t>
        </is>
      </c>
      <c r="I67" s="86" t="inlineStr">
        <is>
          <t>6.1.1.03.003</t>
        </is>
      </c>
      <c r="J67" s="12">
        <f>IF(F67&lt;&gt;0,"LANÇAR","")</f>
        <v/>
      </c>
      <c r="K67" s="20" t="n"/>
      <c r="L67" s="13">
        <f>N67&amp;O67&amp;P67&amp;Q67&amp;R67&amp;S67&amp;T67&amp;U67&amp;V67&amp;W67&amp;X67&amp;Y67&amp;Z67&amp;AA67&amp;AB67&amp;AC67&amp;AD67&amp;AE67&amp;AF67&amp;AG67</f>
        <v/>
      </c>
      <c r="M67" s="20" t="n"/>
      <c r="N67" s="10">
        <f>TEXT($B$6,"00")</f>
        <v/>
      </c>
      <c r="O67" s="10">
        <f>REPT(" ",8)</f>
        <v/>
      </c>
      <c r="P67" s="10">
        <f>RIGHT($B$4,2)</f>
        <v/>
      </c>
      <c r="Q67" s="10">
        <f>RIGHT($B$5,3)</f>
        <v/>
      </c>
      <c r="R67" s="10">
        <f>IF(A67="D",LEFT(UPPER(B67)&amp;REPT(" ",20),20),REPT(" ",20))</f>
        <v/>
      </c>
      <c r="S67" s="10">
        <f>IF(A67="D",LEFT(UPPER(C67)&amp;REPT(" ",10),10)," ")</f>
        <v/>
      </c>
      <c r="T67" s="10">
        <f>IF(A67="D",LEFT(UPPER(D67)&amp;REPT(" ",2),2)," ")</f>
        <v/>
      </c>
      <c r="U67" s="10">
        <f>IF(A67="D",LEFT(UPPER(E67)&amp;REPT(" ",15),15)," ")</f>
        <v/>
      </c>
      <c r="V67" s="10">
        <f>REPT(" ",24)</f>
        <v/>
      </c>
      <c r="W67" s="10">
        <f>IF(A67="c",LEFT(UPPER(B67)&amp;REPT(" ",20),20),REPT(" ",20))</f>
        <v/>
      </c>
      <c r="X67" s="10">
        <f>IF(A67="C",LEFT(UPPER(C67)&amp;REPT(" ",10),10)," ")</f>
        <v/>
      </c>
      <c r="Y67" s="10">
        <f>IF(A67="C",LEFT(UPPER(D67)&amp;REPT(" ",2),2)," ")</f>
        <v/>
      </c>
      <c r="Z67" s="10">
        <f>IF(A67="C",LEFT(UPPER(E67)&amp;REPT(" ",15),15)," ")</f>
        <v/>
      </c>
      <c r="AA67" s="10">
        <f>REPT(" ",8)</f>
        <v/>
      </c>
      <c r="AB67" s="10">
        <f>REPT(" ",4)</f>
        <v/>
      </c>
      <c r="AC67" s="10">
        <f>LEFT(UPPER(H67)&amp;REPT(" ",250),250)</f>
        <v/>
      </c>
      <c r="AD67" s="10">
        <f>TEXT($G$2,"dd/mm/aaaa")</f>
        <v/>
      </c>
      <c r="AE67" s="10">
        <f>REPT(" ",10)</f>
        <v/>
      </c>
      <c r="AF67" s="10">
        <f>REPT(" ",20)</f>
        <v/>
      </c>
      <c r="AG67" s="54">
        <f>REPT(" ",18-LEN(FIXED(F67,2,TRUE)))&amp;FIXED(F67,2,TRUE)</f>
        <v/>
      </c>
      <c r="AH67" s="10">
        <f>LEN(AC67)+LEN(AG67)</f>
        <v/>
      </c>
      <c r="AI67" s="10">
        <f>LEN(L67)</f>
        <v/>
      </c>
    </row>
    <row r="68" ht="16.5" customHeight="1">
      <c r="A68" s="61" t="inlineStr">
        <is>
          <t>D</t>
        </is>
      </c>
      <c r="B68" s="64">
        <f>IFERROR(IF(VLOOKUP(I68,DEPARA_CONTAS,2,0)="","CONTA PENDENTE",VLOOKUP(I68,DEPARA_CONTAS,2,0)),"SEM DE-PARA")</f>
        <v/>
      </c>
      <c r="C68" s="64" t="inlineStr">
        <is>
          <t>000300</t>
        </is>
      </c>
      <c r="D68" s="62" t="n"/>
      <c r="E68" s="62" t="n"/>
      <c r="F68" s="87" t="n">
        <v>3490.98</v>
      </c>
      <c r="H68" s="61" t="inlineStr">
        <is>
          <t>FOLHA DE PAGAMENTO REF 04/2026</t>
        </is>
      </c>
      <c r="I68" s="86" t="inlineStr">
        <is>
          <t>6.1.1.03.004</t>
        </is>
      </c>
      <c r="J68" s="12">
        <f>IF(F68&lt;&gt;0,"LANÇAR","")</f>
        <v/>
      </c>
      <c r="K68" s="20" t="n"/>
      <c r="L68" s="13">
        <f>N68&amp;O68&amp;P68&amp;Q68&amp;R68&amp;S68&amp;T68&amp;U68&amp;V68&amp;W68&amp;X68&amp;Y68&amp;Z68&amp;AA68&amp;AB68&amp;AC68&amp;AD68&amp;AE68&amp;AF68&amp;AG68</f>
        <v/>
      </c>
      <c r="M68" s="20" t="n"/>
      <c r="N68" s="10">
        <f>TEXT($B$6,"00")</f>
        <v/>
      </c>
      <c r="O68" s="10">
        <f>REPT(" ",8)</f>
        <v/>
      </c>
      <c r="P68" s="10">
        <f>RIGHT($B$4,2)</f>
        <v/>
      </c>
      <c r="Q68" s="10">
        <f>RIGHT($B$5,3)</f>
        <v/>
      </c>
      <c r="R68" s="10">
        <f>IF(A68="D",LEFT(UPPER(B68)&amp;REPT(" ",20),20),REPT(" ",20))</f>
        <v/>
      </c>
      <c r="S68" s="10">
        <f>IF(A68="D",LEFT(UPPER(C68)&amp;REPT(" ",10),10)," ")</f>
        <v/>
      </c>
      <c r="T68" s="10">
        <f>IF(A68="D",LEFT(UPPER(D68)&amp;REPT(" ",2),2)," ")</f>
        <v/>
      </c>
      <c r="U68" s="10">
        <f>IF(A68="D",LEFT(UPPER(E68)&amp;REPT(" ",15),15)," ")</f>
        <v/>
      </c>
      <c r="V68" s="10">
        <f>REPT(" ",24)</f>
        <v/>
      </c>
      <c r="W68" s="10">
        <f>IF(A68="c",LEFT(UPPER(B68)&amp;REPT(" ",20),20),REPT(" ",20))</f>
        <v/>
      </c>
      <c r="X68" s="10">
        <f>IF(A68="C",LEFT(UPPER(C68)&amp;REPT(" ",10),10)," ")</f>
        <v/>
      </c>
      <c r="Y68" s="10">
        <f>IF(A68="C",LEFT(UPPER(D68)&amp;REPT(" ",2),2)," ")</f>
        <v/>
      </c>
      <c r="Z68" s="10">
        <f>IF(A68="C",LEFT(UPPER(E68)&amp;REPT(" ",15),15)," ")</f>
        <v/>
      </c>
      <c r="AA68" s="10">
        <f>REPT(" ",8)</f>
        <v/>
      </c>
      <c r="AB68" s="10">
        <f>REPT(" ",4)</f>
        <v/>
      </c>
      <c r="AC68" s="10">
        <f>LEFT(UPPER(H68)&amp;REPT(" ",250),250)</f>
        <v/>
      </c>
      <c r="AD68" s="10">
        <f>TEXT($G$2,"dd/mm/aaaa")</f>
        <v/>
      </c>
      <c r="AE68" s="10">
        <f>REPT(" ",10)</f>
        <v/>
      </c>
      <c r="AF68" s="10">
        <f>REPT(" ",20)</f>
        <v/>
      </c>
      <c r="AG68" s="54">
        <f>REPT(" ",18-LEN(FIXED(F68,2,TRUE)))&amp;FIXED(F68,2,TRUE)</f>
        <v/>
      </c>
      <c r="AH68" s="10">
        <f>LEN(AC68)+LEN(AG68)</f>
        <v/>
      </c>
      <c r="AI68" s="10">
        <f>LEN(L68)</f>
        <v/>
      </c>
    </row>
    <row r="69" ht="16.5" customHeight="1">
      <c r="A69" s="61" t="inlineStr">
        <is>
          <t>D</t>
        </is>
      </c>
      <c r="B69" s="64">
        <f>IFERROR(IF(VLOOKUP(I69,DEPARA_CONTAS,2,0)="","CONTA PENDENTE",VLOOKUP(I69,DEPARA_CONTAS,2,0)),"SEM DE-PARA")</f>
        <v/>
      </c>
      <c r="C69" s="64" t="inlineStr">
        <is>
          <t>000300</t>
        </is>
      </c>
      <c r="D69" s="62" t="n"/>
      <c r="E69" s="62" t="n"/>
      <c r="F69" s="87" t="n">
        <v>1461.23</v>
      </c>
      <c r="H69" s="61" t="inlineStr">
        <is>
          <t>FOLHA DE PAGAMENTO REF 04/2026</t>
        </is>
      </c>
      <c r="I69" s="86" t="inlineStr">
        <is>
          <t>6.1.1.03.005</t>
        </is>
      </c>
      <c r="J69" s="12">
        <f>IF(F69&lt;&gt;0,"LANÇAR","")</f>
        <v/>
      </c>
      <c r="K69" s="20" t="n"/>
      <c r="L69" s="13">
        <f>N69&amp;O69&amp;P69&amp;Q69&amp;R69&amp;S69&amp;T69&amp;U69&amp;V69&amp;W69&amp;X69&amp;Y69&amp;Z69&amp;AA69&amp;AB69&amp;AC69&amp;AD69&amp;AE69&amp;AF69&amp;AG69</f>
        <v/>
      </c>
      <c r="M69" s="20" t="n"/>
      <c r="N69" s="10">
        <f>TEXT($B$6,"00")</f>
        <v/>
      </c>
      <c r="O69" s="10">
        <f>REPT(" ",8)</f>
        <v/>
      </c>
      <c r="P69" s="10">
        <f>RIGHT($B$4,2)</f>
        <v/>
      </c>
      <c r="Q69" s="10">
        <f>RIGHT($B$5,3)</f>
        <v/>
      </c>
      <c r="R69" s="10">
        <f>IF(A69="D",LEFT(UPPER(B69)&amp;REPT(" ",20),20),REPT(" ",20))</f>
        <v/>
      </c>
      <c r="S69" s="10">
        <f>IF(A69="D",LEFT(UPPER(C69)&amp;REPT(" ",10),10)," ")</f>
        <v/>
      </c>
      <c r="T69" s="10">
        <f>IF(A69="D",LEFT(UPPER(D69)&amp;REPT(" ",2),2)," ")</f>
        <v/>
      </c>
      <c r="U69" s="10">
        <f>IF(A69="D",LEFT(UPPER(E69)&amp;REPT(" ",15),15)," ")</f>
        <v/>
      </c>
      <c r="V69" s="10">
        <f>REPT(" ",24)</f>
        <v/>
      </c>
      <c r="W69" s="10">
        <f>IF(A69="c",LEFT(UPPER(B69)&amp;REPT(" ",20),20),REPT(" ",20))</f>
        <v/>
      </c>
      <c r="X69" s="10">
        <f>IF(A69="C",LEFT(UPPER(C69)&amp;REPT(" ",10),10)," ")</f>
        <v/>
      </c>
      <c r="Y69" s="10">
        <f>IF(A69="C",LEFT(UPPER(D69)&amp;REPT(" ",2),2)," ")</f>
        <v/>
      </c>
      <c r="Z69" s="10">
        <f>IF(A69="C",LEFT(UPPER(E69)&amp;REPT(" ",15),15)," ")</f>
        <v/>
      </c>
      <c r="AA69" s="10">
        <f>REPT(" ",8)</f>
        <v/>
      </c>
      <c r="AB69" s="10">
        <f>REPT(" ",4)</f>
        <v/>
      </c>
      <c r="AC69" s="10">
        <f>LEFT(UPPER(H69)&amp;REPT(" ",250),250)</f>
        <v/>
      </c>
      <c r="AD69" s="10">
        <f>TEXT($G$2,"dd/mm/aaaa")</f>
        <v/>
      </c>
      <c r="AE69" s="10">
        <f>REPT(" ",10)</f>
        <v/>
      </c>
      <c r="AF69" s="10">
        <f>REPT(" ",20)</f>
        <v/>
      </c>
      <c r="AG69" s="54">
        <f>REPT(" ",18-LEN(FIXED(F69,2,TRUE)))&amp;FIXED(F69,2,TRUE)</f>
        <v/>
      </c>
      <c r="AH69" s="10">
        <f>LEN(AC69)+LEN(AG69)</f>
        <v/>
      </c>
      <c r="AI69" s="10">
        <f>LEN(L69)</f>
        <v/>
      </c>
    </row>
    <row r="70" ht="16.5" customHeight="1">
      <c r="A70" s="61" t="inlineStr">
        <is>
          <t>D</t>
        </is>
      </c>
      <c r="B70" s="64">
        <f>IFERROR(IF(VLOOKUP(I70,DEPARA_CONTAS,2,0)="","CONTA PENDENTE",VLOOKUP(I70,DEPARA_CONTAS,2,0)),"SEM DE-PARA")</f>
        <v/>
      </c>
      <c r="C70" s="64" t="inlineStr">
        <is>
          <t>000300</t>
        </is>
      </c>
      <c r="D70" s="62" t="n"/>
      <c r="E70" s="62" t="n"/>
      <c r="F70" s="87" t="n">
        <v>1004.6</v>
      </c>
      <c r="H70" s="61" t="inlineStr">
        <is>
          <t>FOLHA DE PAGAMENTO REF 04/2026</t>
        </is>
      </c>
      <c r="I70" s="86" t="inlineStr">
        <is>
          <t>6.1.1.03.006</t>
        </is>
      </c>
      <c r="J70" s="12">
        <f>IF(F70&lt;&gt;0,"LANÇAR","")</f>
        <v/>
      </c>
      <c r="K70" s="20" t="n"/>
      <c r="L70" s="13">
        <f>N70&amp;O70&amp;P70&amp;Q70&amp;R70&amp;S70&amp;T70&amp;U70&amp;V70&amp;W70&amp;X70&amp;Y70&amp;Z70&amp;AA70&amp;AB70&amp;AC70&amp;AD70&amp;AE70&amp;AF70&amp;AG70</f>
        <v/>
      </c>
      <c r="M70" s="20" t="n"/>
      <c r="N70" s="10">
        <f>TEXT($B$6,"00")</f>
        <v/>
      </c>
      <c r="O70" s="10">
        <f>REPT(" ",8)</f>
        <v/>
      </c>
      <c r="P70" s="10">
        <f>RIGHT($B$4,2)</f>
        <v/>
      </c>
      <c r="Q70" s="10">
        <f>RIGHT($B$5,3)</f>
        <v/>
      </c>
      <c r="R70" s="10">
        <f>IF(A70="D",LEFT(UPPER(B70)&amp;REPT(" ",20),20),REPT(" ",20))</f>
        <v/>
      </c>
      <c r="S70" s="10">
        <f>IF(A70="D",LEFT(UPPER(C70)&amp;REPT(" ",10),10)," ")</f>
        <v/>
      </c>
      <c r="T70" s="10">
        <f>IF(A70="D",LEFT(UPPER(D70)&amp;REPT(" ",2),2)," ")</f>
        <v/>
      </c>
      <c r="U70" s="10">
        <f>IF(A70="D",LEFT(UPPER(E70)&amp;REPT(" ",15),15)," ")</f>
        <v/>
      </c>
      <c r="V70" s="10">
        <f>REPT(" ",24)</f>
        <v/>
      </c>
      <c r="W70" s="10">
        <f>IF(A70="c",LEFT(UPPER(B70)&amp;REPT(" ",20),20),REPT(" ",20))</f>
        <v/>
      </c>
      <c r="X70" s="10">
        <f>IF(A70="C",LEFT(UPPER(C70)&amp;REPT(" ",10),10)," ")</f>
        <v/>
      </c>
      <c r="Y70" s="10">
        <f>IF(A70="C",LEFT(UPPER(D70)&amp;REPT(" ",2),2)," ")</f>
        <v/>
      </c>
      <c r="Z70" s="10">
        <f>IF(A70="C",LEFT(UPPER(E70)&amp;REPT(" ",15),15)," ")</f>
        <v/>
      </c>
      <c r="AA70" s="10">
        <f>REPT(" ",8)</f>
        <v/>
      </c>
      <c r="AB70" s="10">
        <f>REPT(" ",4)</f>
        <v/>
      </c>
      <c r="AC70" s="10">
        <f>LEFT(UPPER(H70)&amp;REPT(" ",250),250)</f>
        <v/>
      </c>
      <c r="AD70" s="10">
        <f>TEXT($G$2,"dd/mm/aaaa")</f>
        <v/>
      </c>
      <c r="AE70" s="10">
        <f>REPT(" ",10)</f>
        <v/>
      </c>
      <c r="AF70" s="10">
        <f>REPT(" ",20)</f>
        <v/>
      </c>
      <c r="AG70" s="54">
        <f>REPT(" ",18-LEN(FIXED(F70,2,TRUE)))&amp;FIXED(F70,2,TRUE)</f>
        <v/>
      </c>
      <c r="AH70" s="10">
        <f>LEN(AC70)+LEN(AG70)</f>
        <v/>
      </c>
      <c r="AI70" s="10">
        <f>LEN(L70)</f>
        <v/>
      </c>
    </row>
    <row r="71" ht="16.5" customHeight="1">
      <c r="A71" s="61" t="inlineStr">
        <is>
          <t>D</t>
        </is>
      </c>
      <c r="B71" s="64">
        <f>IFERROR(IF(VLOOKUP(I71,DEPARA_CONTAS,2,0)="","CONTA PENDENTE",VLOOKUP(I71,DEPARA_CONTAS,2,0)),"SEM DE-PARA")</f>
        <v/>
      </c>
      <c r="C71" s="64" t="inlineStr">
        <is>
          <t>000500</t>
        </is>
      </c>
      <c r="D71" s="62" t="n"/>
      <c r="E71" s="62" t="n"/>
      <c r="F71" s="87" t="n">
        <v>23707.08</v>
      </c>
      <c r="H71" s="61" t="inlineStr">
        <is>
          <t>FOLHA DE PAGAMENTO REF 04/2026</t>
        </is>
      </c>
      <c r="I71" s="86" t="inlineStr">
        <is>
          <t>6.1.1.01.002</t>
        </is>
      </c>
      <c r="J71" s="12">
        <f>IF(F71&lt;&gt;0,"LANÇAR","")</f>
        <v/>
      </c>
      <c r="K71" s="20" t="n"/>
      <c r="L71" s="13">
        <f>N71&amp;O71&amp;P71&amp;Q71&amp;R71&amp;S71&amp;T71&amp;U71&amp;V71&amp;W71&amp;X71&amp;Y71&amp;Z71&amp;AA71&amp;AB71&amp;AC71&amp;AD71&amp;AE71&amp;AF71&amp;AG71</f>
        <v/>
      </c>
      <c r="M71" s="20" t="n"/>
      <c r="N71" s="10">
        <f>TEXT($B$6,"00")</f>
        <v/>
      </c>
      <c r="O71" s="10">
        <f>REPT(" ",8)</f>
        <v/>
      </c>
      <c r="P71" s="10">
        <f>RIGHT($B$4,2)</f>
        <v/>
      </c>
      <c r="Q71" s="10">
        <f>RIGHT($B$5,3)</f>
        <v/>
      </c>
      <c r="R71" s="10">
        <f>IF(A71="D",LEFT(UPPER(B71)&amp;REPT(" ",20),20),REPT(" ",20))</f>
        <v/>
      </c>
      <c r="S71" s="10">
        <f>IF(A71="D",LEFT(UPPER(C71)&amp;REPT(" ",10),10)," ")</f>
        <v/>
      </c>
      <c r="T71" s="10">
        <f>IF(A71="D",LEFT(UPPER(D71)&amp;REPT(" ",2),2)," ")</f>
        <v/>
      </c>
      <c r="U71" s="10">
        <f>IF(A71="D",LEFT(UPPER(E71)&amp;REPT(" ",15),15)," ")</f>
        <v/>
      </c>
      <c r="V71" s="10">
        <f>REPT(" ",24)</f>
        <v/>
      </c>
      <c r="W71" s="10">
        <f>IF(A71="c",LEFT(UPPER(B71)&amp;REPT(" ",20),20),REPT(" ",20))</f>
        <v/>
      </c>
      <c r="X71" s="10">
        <f>IF(A71="C",LEFT(UPPER(C71)&amp;REPT(" ",10),10)," ")</f>
        <v/>
      </c>
      <c r="Y71" s="10">
        <f>IF(A71="C",LEFT(UPPER(D71)&amp;REPT(" ",2),2)," ")</f>
        <v/>
      </c>
      <c r="Z71" s="10">
        <f>IF(A71="C",LEFT(UPPER(E71)&amp;REPT(" ",15),15)," ")</f>
        <v/>
      </c>
      <c r="AA71" s="10">
        <f>REPT(" ",8)</f>
        <v/>
      </c>
      <c r="AB71" s="10">
        <f>REPT(" ",4)</f>
        <v/>
      </c>
      <c r="AC71" s="10">
        <f>LEFT(UPPER(H71)&amp;REPT(" ",250),250)</f>
        <v/>
      </c>
      <c r="AD71" s="10">
        <f>TEXT($G$2,"dd/mm/aaaa")</f>
        <v/>
      </c>
      <c r="AE71" s="10">
        <f>REPT(" ",10)</f>
        <v/>
      </c>
      <c r="AF71" s="10">
        <f>REPT(" ",20)</f>
        <v/>
      </c>
      <c r="AG71" s="54">
        <f>REPT(" ",18-LEN(FIXED(F71,2,TRUE)))&amp;FIXED(F71,2,TRUE)</f>
        <v/>
      </c>
      <c r="AH71" s="10">
        <f>LEN(AC71)+LEN(AG71)</f>
        <v/>
      </c>
      <c r="AI71" s="10">
        <f>LEN(L71)</f>
        <v/>
      </c>
    </row>
    <row r="72" ht="16.5" customHeight="1">
      <c r="A72" s="61" t="inlineStr">
        <is>
          <t>D</t>
        </is>
      </c>
      <c r="B72" s="64">
        <f>IFERROR(IF(VLOOKUP(I72,DEPARA_CONTAS,2,0)="","CONTA PENDENTE",VLOOKUP(I72,DEPARA_CONTAS,2,0)),"SEM DE-PARA")</f>
        <v/>
      </c>
      <c r="C72" s="64" t="inlineStr">
        <is>
          <t>000500</t>
        </is>
      </c>
      <c r="D72" s="62" t="n"/>
      <c r="E72" s="62" t="n"/>
      <c r="F72" s="87" t="n">
        <v>2762.06</v>
      </c>
      <c r="H72" s="61" t="inlineStr">
        <is>
          <t>FOLHA DE PAGAMENTO REF 04/2026</t>
        </is>
      </c>
      <c r="I72" s="86" t="inlineStr">
        <is>
          <t>6.1.1.01.003</t>
        </is>
      </c>
      <c r="J72" s="12">
        <f>IF(F72&lt;&gt;0,"LANÇAR","")</f>
        <v/>
      </c>
      <c r="K72" s="20" t="n"/>
      <c r="L72" s="13">
        <f>N72&amp;O72&amp;P72&amp;Q72&amp;R72&amp;S72&amp;T72&amp;U72&amp;V72&amp;W72&amp;X72&amp;Y72&amp;Z72&amp;AA72&amp;AB72&amp;AC72&amp;AD72&amp;AE72&amp;AF72&amp;AG72</f>
        <v/>
      </c>
      <c r="M72" s="20" t="n"/>
      <c r="N72" s="10">
        <f>TEXT($B$6,"00")</f>
        <v/>
      </c>
      <c r="O72" s="10">
        <f>REPT(" ",8)</f>
        <v/>
      </c>
      <c r="P72" s="10">
        <f>RIGHT($B$4,2)</f>
        <v/>
      </c>
      <c r="Q72" s="10">
        <f>RIGHT($B$5,3)</f>
        <v/>
      </c>
      <c r="R72" s="10">
        <f>IF(A72="D",LEFT(UPPER(B72)&amp;REPT(" ",20),20),REPT(" ",20))</f>
        <v/>
      </c>
      <c r="S72" s="10">
        <f>IF(A72="D",LEFT(UPPER(C72)&amp;REPT(" ",10),10)," ")</f>
        <v/>
      </c>
      <c r="T72" s="10">
        <f>IF(A72="D",LEFT(UPPER(D72)&amp;REPT(" ",2),2)," ")</f>
        <v/>
      </c>
      <c r="U72" s="10">
        <f>IF(A72="D",LEFT(UPPER(E72)&amp;REPT(" ",15),15)," ")</f>
        <v/>
      </c>
      <c r="V72" s="10">
        <f>REPT(" ",24)</f>
        <v/>
      </c>
      <c r="W72" s="10">
        <f>IF(A72="c",LEFT(UPPER(B72)&amp;REPT(" ",20),20),REPT(" ",20))</f>
        <v/>
      </c>
      <c r="X72" s="10">
        <f>IF(A72="C",LEFT(UPPER(C72)&amp;REPT(" ",10),10)," ")</f>
        <v/>
      </c>
      <c r="Y72" s="10">
        <f>IF(A72="C",LEFT(UPPER(D72)&amp;REPT(" ",2),2)," ")</f>
        <v/>
      </c>
      <c r="Z72" s="10">
        <f>IF(A72="C",LEFT(UPPER(E72)&amp;REPT(" ",15),15)," ")</f>
        <v/>
      </c>
      <c r="AA72" s="10">
        <f>REPT(" ",8)</f>
        <v/>
      </c>
      <c r="AB72" s="10">
        <f>REPT(" ",4)</f>
        <v/>
      </c>
      <c r="AC72" s="10">
        <f>LEFT(UPPER(H72)&amp;REPT(" ",250),250)</f>
        <v/>
      </c>
      <c r="AD72" s="10">
        <f>TEXT($G$2,"dd/mm/aaaa")</f>
        <v/>
      </c>
      <c r="AE72" s="10">
        <f>REPT(" ",10)</f>
        <v/>
      </c>
      <c r="AF72" s="10">
        <f>REPT(" ",20)</f>
        <v/>
      </c>
      <c r="AG72" s="54">
        <f>REPT(" ",18-LEN(FIXED(F72,2,TRUE)))&amp;FIXED(F72,2,TRUE)</f>
        <v/>
      </c>
      <c r="AH72" s="10">
        <f>LEN(AC72)+LEN(AG72)</f>
        <v/>
      </c>
      <c r="AI72" s="10">
        <f>LEN(L72)</f>
        <v/>
      </c>
    </row>
    <row r="73" ht="16.5" customHeight="1">
      <c r="A73" s="61" t="inlineStr">
        <is>
          <t>D</t>
        </is>
      </c>
      <c r="B73" s="64">
        <f>IFERROR(IF(VLOOKUP(I73,DEPARA_CONTAS,2,0)="","CONTA PENDENTE",VLOOKUP(I73,DEPARA_CONTAS,2,0)),"SEM DE-PARA")</f>
        <v/>
      </c>
      <c r="C73" s="64" t="inlineStr">
        <is>
          <t>000500</t>
        </is>
      </c>
      <c r="D73" s="62" t="n"/>
      <c r="E73" s="62" t="n"/>
      <c r="F73" s="87" t="n">
        <v>5926.76</v>
      </c>
      <c r="H73" s="61" t="inlineStr">
        <is>
          <t>FOLHA DE PAGAMENTO REF 04/2026</t>
        </is>
      </c>
      <c r="I73" s="86" t="inlineStr">
        <is>
          <t>6.1.1.01.005</t>
        </is>
      </c>
      <c r="J73" s="12">
        <f>IF(F73&lt;&gt;0,"LANÇAR","")</f>
        <v/>
      </c>
      <c r="K73" s="20" t="n"/>
      <c r="L73" s="13">
        <f>N73&amp;O73&amp;P73&amp;Q73&amp;R73&amp;S73&amp;T73&amp;U73&amp;V73&amp;W73&amp;X73&amp;Y73&amp;Z73&amp;AA73&amp;AB73&amp;AC73&amp;AD73&amp;AE73&amp;AF73&amp;AG73</f>
        <v/>
      </c>
      <c r="M73" s="20" t="n"/>
      <c r="N73" s="10">
        <f>TEXT($B$6,"00")</f>
        <v/>
      </c>
      <c r="O73" s="10">
        <f>REPT(" ",8)</f>
        <v/>
      </c>
      <c r="P73" s="10">
        <f>RIGHT($B$4,2)</f>
        <v/>
      </c>
      <c r="Q73" s="10">
        <f>RIGHT($B$5,3)</f>
        <v/>
      </c>
      <c r="R73" s="10">
        <f>IF(A73="D",LEFT(UPPER(B73)&amp;REPT(" ",20),20),REPT(" ",20))</f>
        <v/>
      </c>
      <c r="S73" s="10">
        <f>IF(A73="D",LEFT(UPPER(C73)&amp;REPT(" ",10),10)," ")</f>
        <v/>
      </c>
      <c r="T73" s="10">
        <f>IF(A73="D",LEFT(UPPER(D73)&amp;REPT(" ",2),2)," ")</f>
        <v/>
      </c>
      <c r="U73" s="10">
        <f>IF(A73="D",LEFT(UPPER(E73)&amp;REPT(" ",15),15)," ")</f>
        <v/>
      </c>
      <c r="V73" s="10">
        <f>REPT(" ",24)</f>
        <v/>
      </c>
      <c r="W73" s="10">
        <f>IF(A73="c",LEFT(UPPER(B73)&amp;REPT(" ",20),20),REPT(" ",20))</f>
        <v/>
      </c>
      <c r="X73" s="10">
        <f>IF(A73="C",LEFT(UPPER(C73)&amp;REPT(" ",10),10)," ")</f>
        <v/>
      </c>
      <c r="Y73" s="10">
        <f>IF(A73="C",LEFT(UPPER(D73)&amp;REPT(" ",2),2)," ")</f>
        <v/>
      </c>
      <c r="Z73" s="10">
        <f>IF(A73="C",LEFT(UPPER(E73)&amp;REPT(" ",15),15)," ")</f>
        <v/>
      </c>
      <c r="AA73" s="10">
        <f>REPT(" ",8)</f>
        <v/>
      </c>
      <c r="AB73" s="10">
        <f>REPT(" ",4)</f>
        <v/>
      </c>
      <c r="AC73" s="10">
        <f>LEFT(UPPER(H73)&amp;REPT(" ",250),250)</f>
        <v/>
      </c>
      <c r="AD73" s="10">
        <f>TEXT($G$2,"dd/mm/aaaa")</f>
        <v/>
      </c>
      <c r="AE73" s="10">
        <f>REPT(" ",10)</f>
        <v/>
      </c>
      <c r="AF73" s="10">
        <f>REPT(" ",20)</f>
        <v/>
      </c>
      <c r="AG73" s="54">
        <f>REPT(" ",18-LEN(FIXED(F73,2,TRUE)))&amp;FIXED(F73,2,TRUE)</f>
        <v/>
      </c>
      <c r="AH73" s="10">
        <f>LEN(AC73)+LEN(AG73)</f>
        <v/>
      </c>
      <c r="AI73" s="10">
        <f>LEN(L73)</f>
        <v/>
      </c>
    </row>
    <row r="74" ht="16.5" customHeight="1">
      <c r="A74" s="61" t="inlineStr">
        <is>
          <t>C</t>
        </is>
      </c>
      <c r="B74" s="64">
        <f>IFERROR(IF(VLOOKUP(I74,DEPARA_CONTAS,2,0)="","CONTA PENDENTE",VLOOKUP(I74,DEPARA_CONTAS,2,0)),"SEM DE-PARA")</f>
        <v/>
      </c>
      <c r="C74" s="64" t="inlineStr">
        <is>
          <t>000500</t>
        </is>
      </c>
      <c r="D74" s="62" t="n"/>
      <c r="E74" s="62" t="n"/>
      <c r="F74" s="87" t="n">
        <v>80.94</v>
      </c>
      <c r="H74" s="61" t="inlineStr">
        <is>
          <t>FOLHA DE PAGAMENTO REF 04/2026</t>
        </is>
      </c>
      <c r="I74" s="86" t="inlineStr">
        <is>
          <t>6.1.1.04.001</t>
        </is>
      </c>
      <c r="J74" s="12">
        <f>IF(F74&lt;&gt;0,"LANÇAR","")</f>
        <v/>
      </c>
      <c r="K74" s="20" t="n"/>
      <c r="L74" s="13">
        <f>N74&amp;O74&amp;P74&amp;Q74&amp;R74&amp;S74&amp;T74&amp;U74&amp;V74&amp;W74&amp;X74&amp;Y74&amp;Z74&amp;AA74&amp;AB74&amp;AC74&amp;AD74&amp;AE74&amp;AF74&amp;AG74</f>
        <v/>
      </c>
      <c r="M74" s="20" t="n"/>
      <c r="N74" s="10">
        <f>TEXT($B$6,"00")</f>
        <v/>
      </c>
      <c r="O74" s="10">
        <f>REPT(" ",8)</f>
        <v/>
      </c>
      <c r="P74" s="10">
        <f>RIGHT($B$4,2)</f>
        <v/>
      </c>
      <c r="Q74" s="10">
        <f>RIGHT($B$5,3)</f>
        <v/>
      </c>
      <c r="R74" s="10">
        <f>IF(A74="D",LEFT(UPPER(B74)&amp;REPT(" ",20),20),REPT(" ",20))</f>
        <v/>
      </c>
      <c r="S74" s="10">
        <f>IF(A74="D",LEFT(UPPER(C74)&amp;REPT(" ",10),10)," ")</f>
        <v/>
      </c>
      <c r="T74" s="10">
        <f>IF(A74="D",LEFT(UPPER(D74)&amp;REPT(" ",2),2)," ")</f>
        <v/>
      </c>
      <c r="U74" s="10">
        <f>IF(A74="D",LEFT(UPPER(E74)&amp;REPT(" ",15),15)," ")</f>
        <v/>
      </c>
      <c r="V74" s="10">
        <f>REPT(" ",24)</f>
        <v/>
      </c>
      <c r="W74" s="10">
        <f>IF(A74="c",LEFT(UPPER(B74)&amp;REPT(" ",20),20),REPT(" ",20))</f>
        <v/>
      </c>
      <c r="X74" s="10">
        <f>IF(A74="C",LEFT(UPPER(C74)&amp;REPT(" ",10),10)," ")</f>
        <v/>
      </c>
      <c r="Y74" s="10">
        <f>IF(A74="C",LEFT(UPPER(D74)&amp;REPT(" ",2),2)," ")</f>
        <v/>
      </c>
      <c r="Z74" s="10">
        <f>IF(A74="C",LEFT(UPPER(E74)&amp;REPT(" ",15),15)," ")</f>
        <v/>
      </c>
      <c r="AA74" s="10">
        <f>REPT(" ",8)</f>
        <v/>
      </c>
      <c r="AB74" s="10">
        <f>REPT(" ",4)</f>
        <v/>
      </c>
      <c r="AC74" s="10">
        <f>LEFT(UPPER(H74)&amp;REPT(" ",250),250)</f>
        <v/>
      </c>
      <c r="AD74" s="10">
        <f>TEXT($G$2,"dd/mm/aaaa")</f>
        <v/>
      </c>
      <c r="AE74" s="10">
        <f>REPT(" ",10)</f>
        <v/>
      </c>
      <c r="AF74" s="10">
        <f>REPT(" ",20)</f>
        <v/>
      </c>
      <c r="AG74" s="54">
        <f>REPT(" ",18-LEN(FIXED(F74,2,TRUE)))&amp;FIXED(F74,2,TRUE)</f>
        <v/>
      </c>
      <c r="AH74" s="10">
        <f>LEN(AC74)+LEN(AG74)</f>
        <v/>
      </c>
      <c r="AI74" s="10">
        <f>LEN(L74)</f>
        <v/>
      </c>
    </row>
    <row r="75" ht="16.5" customHeight="1">
      <c r="A75" s="61" t="inlineStr">
        <is>
          <t>C</t>
        </is>
      </c>
      <c r="B75" s="64">
        <f>IFERROR(IF(VLOOKUP(I75,DEPARA_CONTAS,2,0)="","CONTA PENDENTE",VLOOKUP(I75,DEPARA_CONTAS,2,0)),"SEM DE-PARA")</f>
        <v/>
      </c>
      <c r="C75" s="64" t="inlineStr">
        <is>
          <t>000500</t>
        </is>
      </c>
      <c r="D75" s="62" t="n"/>
      <c r="E75" s="62" t="n"/>
      <c r="F75" s="87" t="n">
        <v>110</v>
      </c>
      <c r="H75" s="61" t="inlineStr">
        <is>
          <t>FOLHA DE PAGAMENTO REF 04/2026</t>
        </is>
      </c>
      <c r="I75" s="86" t="inlineStr">
        <is>
          <t>6.1.1.04.003</t>
        </is>
      </c>
      <c r="J75" s="12">
        <f>IF(F75&lt;&gt;0,"LANÇAR","")</f>
        <v/>
      </c>
      <c r="K75" s="20" t="n"/>
      <c r="L75" s="13">
        <f>N75&amp;O75&amp;P75&amp;Q75&amp;R75&amp;S75&amp;T75&amp;U75&amp;V75&amp;W75&amp;X75&amp;Y75&amp;Z75&amp;AA75&amp;AB75&amp;AC75&amp;AD75&amp;AE75&amp;AF75&amp;AG75</f>
        <v/>
      </c>
      <c r="M75" s="20" t="n"/>
      <c r="N75" s="10">
        <f>TEXT($B$6,"00")</f>
        <v/>
      </c>
      <c r="O75" s="10">
        <f>REPT(" ",8)</f>
        <v/>
      </c>
      <c r="P75" s="10">
        <f>RIGHT($B$4,2)</f>
        <v/>
      </c>
      <c r="Q75" s="10">
        <f>RIGHT($B$5,3)</f>
        <v/>
      </c>
      <c r="R75" s="10">
        <f>IF(A75="D",LEFT(UPPER(B75)&amp;REPT(" ",20),20),REPT(" ",20))</f>
        <v/>
      </c>
      <c r="S75" s="10">
        <f>IF(A75="D",LEFT(UPPER(C75)&amp;REPT(" ",10),10)," ")</f>
        <v/>
      </c>
      <c r="T75" s="10">
        <f>IF(A75="D",LEFT(UPPER(D75)&amp;REPT(" ",2),2)," ")</f>
        <v/>
      </c>
      <c r="U75" s="10">
        <f>IF(A75="D",LEFT(UPPER(E75)&amp;REPT(" ",15),15)," ")</f>
        <v/>
      </c>
      <c r="V75" s="10">
        <f>REPT(" ",24)</f>
        <v/>
      </c>
      <c r="W75" s="10">
        <f>IF(A75="c",LEFT(UPPER(B75)&amp;REPT(" ",20),20),REPT(" ",20))</f>
        <v/>
      </c>
      <c r="X75" s="10">
        <f>IF(A75="C",LEFT(UPPER(C75)&amp;REPT(" ",10),10)," ")</f>
        <v/>
      </c>
      <c r="Y75" s="10">
        <f>IF(A75="C",LEFT(UPPER(D75)&amp;REPT(" ",2),2)," ")</f>
        <v/>
      </c>
      <c r="Z75" s="10">
        <f>IF(A75="C",LEFT(UPPER(E75)&amp;REPT(" ",15),15)," ")</f>
        <v/>
      </c>
      <c r="AA75" s="10">
        <f>REPT(" ",8)</f>
        <v/>
      </c>
      <c r="AB75" s="10">
        <f>REPT(" ",4)</f>
        <v/>
      </c>
      <c r="AC75" s="10">
        <f>LEFT(UPPER(H75)&amp;REPT(" ",250),250)</f>
        <v/>
      </c>
      <c r="AD75" s="10">
        <f>TEXT($G$2,"dd/mm/aaaa")</f>
        <v/>
      </c>
      <c r="AE75" s="10">
        <f>REPT(" ",10)</f>
        <v/>
      </c>
      <c r="AF75" s="10">
        <f>REPT(" ",20)</f>
        <v/>
      </c>
      <c r="AG75" s="54">
        <f>REPT(" ",18-LEN(FIXED(F75,2,TRUE)))&amp;FIXED(F75,2,TRUE)</f>
        <v/>
      </c>
      <c r="AH75" s="10">
        <f>LEN(AC75)+LEN(AG75)</f>
        <v/>
      </c>
      <c r="AI75" s="10">
        <f>LEN(L75)</f>
        <v/>
      </c>
    </row>
    <row r="76" ht="16.5" customHeight="1">
      <c r="A76" s="61" t="inlineStr">
        <is>
          <t>C</t>
        </is>
      </c>
      <c r="B76" s="64">
        <f>IFERROR(IF(VLOOKUP(I76,DEPARA_CONTAS,2,0)="","CONTA PENDENTE",VLOOKUP(I76,DEPARA_CONTAS,2,0)),"SEM DE-PARA")</f>
        <v/>
      </c>
      <c r="C76" s="64" t="inlineStr">
        <is>
          <t>000500</t>
        </is>
      </c>
      <c r="D76" s="62" t="n"/>
      <c r="E76" s="62" t="n"/>
      <c r="F76" s="87" t="n">
        <v>619.03</v>
      </c>
      <c r="H76" s="61" t="inlineStr">
        <is>
          <t>FOLHA DE PAGAMENTO REF 04/2026</t>
        </is>
      </c>
      <c r="I76" s="86" t="inlineStr">
        <is>
          <t>6.1.1.04.006</t>
        </is>
      </c>
      <c r="J76" s="12">
        <f>IF(F76&lt;&gt;0,"LANÇAR","")</f>
        <v/>
      </c>
      <c r="K76" s="20" t="n"/>
      <c r="L76" s="13">
        <f>N76&amp;O76&amp;P76&amp;Q76&amp;R76&amp;S76&amp;T76&amp;U76&amp;V76&amp;W76&amp;X76&amp;Y76&amp;Z76&amp;AA76&amp;AB76&amp;AC76&amp;AD76&amp;AE76&amp;AF76&amp;AG76</f>
        <v/>
      </c>
      <c r="M76" s="20" t="n"/>
      <c r="N76" s="10">
        <f>TEXT($B$6,"00")</f>
        <v/>
      </c>
      <c r="O76" s="10">
        <f>REPT(" ",8)</f>
        <v/>
      </c>
      <c r="P76" s="10">
        <f>RIGHT($B$4,2)</f>
        <v/>
      </c>
      <c r="Q76" s="10">
        <f>RIGHT($B$5,3)</f>
        <v/>
      </c>
      <c r="R76" s="10">
        <f>IF(A76="D",LEFT(UPPER(B76)&amp;REPT(" ",20),20),REPT(" ",20))</f>
        <v/>
      </c>
      <c r="S76" s="10">
        <f>IF(A76="D",LEFT(UPPER(C76)&amp;REPT(" ",10),10)," ")</f>
        <v/>
      </c>
      <c r="T76" s="10">
        <f>IF(A76="D",LEFT(UPPER(D76)&amp;REPT(" ",2),2)," ")</f>
        <v/>
      </c>
      <c r="U76" s="10">
        <f>IF(A76="D",LEFT(UPPER(E76)&amp;REPT(" ",15),15)," ")</f>
        <v/>
      </c>
      <c r="V76" s="10">
        <f>REPT(" ",24)</f>
        <v/>
      </c>
      <c r="W76" s="10">
        <f>IF(A76="c",LEFT(UPPER(B76)&amp;REPT(" ",20),20),REPT(" ",20))</f>
        <v/>
      </c>
      <c r="X76" s="10">
        <f>IF(A76="C",LEFT(UPPER(C76)&amp;REPT(" ",10),10)," ")</f>
        <v/>
      </c>
      <c r="Y76" s="10">
        <f>IF(A76="C",LEFT(UPPER(D76)&amp;REPT(" ",2),2)," ")</f>
        <v/>
      </c>
      <c r="Z76" s="10">
        <f>IF(A76="C",LEFT(UPPER(E76)&amp;REPT(" ",15),15)," ")</f>
        <v/>
      </c>
      <c r="AA76" s="10">
        <f>REPT(" ",8)</f>
        <v/>
      </c>
      <c r="AB76" s="10">
        <f>REPT(" ",4)</f>
        <v/>
      </c>
      <c r="AC76" s="10">
        <f>LEFT(UPPER(H76)&amp;REPT(" ",250),250)</f>
        <v/>
      </c>
      <c r="AD76" s="10">
        <f>TEXT($G$2,"dd/mm/aaaa")</f>
        <v/>
      </c>
      <c r="AE76" s="10">
        <f>REPT(" ",10)</f>
        <v/>
      </c>
      <c r="AF76" s="10">
        <f>REPT(" ",20)</f>
        <v/>
      </c>
      <c r="AG76" s="54">
        <f>REPT(" ",18-LEN(FIXED(F76,2,TRUE)))&amp;FIXED(F76,2,TRUE)</f>
        <v/>
      </c>
      <c r="AH76" s="10">
        <f>LEN(AC76)+LEN(AG76)</f>
        <v/>
      </c>
      <c r="AI76" s="10">
        <f>LEN(L76)</f>
        <v/>
      </c>
    </row>
    <row r="77" ht="16.5" customHeight="1">
      <c r="A77" s="61" t="inlineStr">
        <is>
          <t>D</t>
        </is>
      </c>
      <c r="B77" s="64">
        <f>IFERROR(IF(VLOOKUP(I77,DEPARA_CONTAS,2,0)="","CONTA PENDENTE",VLOOKUP(I77,DEPARA_CONTAS,2,0)),"SEM DE-PARA")</f>
        <v/>
      </c>
      <c r="C77" s="64" t="inlineStr">
        <is>
          <t>000500</t>
        </is>
      </c>
      <c r="D77" s="62" t="n"/>
      <c r="E77" s="62" t="n"/>
      <c r="F77" s="87" t="n">
        <v>6519.44</v>
      </c>
      <c r="H77" s="61" t="inlineStr">
        <is>
          <t>FOLHA DE PAGAMENTO REF 04/2026</t>
        </is>
      </c>
      <c r="I77" s="86" t="inlineStr">
        <is>
          <t>6.1.1.02.001</t>
        </is>
      </c>
      <c r="J77" s="12">
        <f>IF(F77&lt;&gt;0,"LANÇAR","")</f>
        <v/>
      </c>
      <c r="K77" s="20" t="n"/>
      <c r="L77" s="13">
        <f>N77&amp;O77&amp;P77&amp;Q77&amp;R77&amp;S77&amp;T77&amp;U77&amp;V77&amp;W77&amp;X77&amp;Y77&amp;Z77&amp;AA77&amp;AB77&amp;AC77&amp;AD77&amp;AE77&amp;AF77&amp;AG77</f>
        <v/>
      </c>
      <c r="M77" s="20" t="n"/>
      <c r="N77" s="10">
        <f>TEXT($B$6,"00")</f>
        <v/>
      </c>
      <c r="O77" s="10">
        <f>REPT(" ",8)</f>
        <v/>
      </c>
      <c r="P77" s="10">
        <f>RIGHT($B$4,2)</f>
        <v/>
      </c>
      <c r="Q77" s="10">
        <f>RIGHT($B$5,3)</f>
        <v/>
      </c>
      <c r="R77" s="10">
        <f>IF(A77="D",LEFT(UPPER(B77)&amp;REPT(" ",20),20),REPT(" ",20))</f>
        <v/>
      </c>
      <c r="S77" s="10">
        <f>IF(A77="D",LEFT(UPPER(C77)&amp;REPT(" ",10),10)," ")</f>
        <v/>
      </c>
      <c r="T77" s="10">
        <f>IF(A77="D",LEFT(UPPER(D77)&amp;REPT(" ",2),2)," ")</f>
        <v/>
      </c>
      <c r="U77" s="10">
        <f>IF(A77="D",LEFT(UPPER(E77)&amp;REPT(" ",15),15)," ")</f>
        <v/>
      </c>
      <c r="V77" s="10">
        <f>REPT(" ",24)</f>
        <v/>
      </c>
      <c r="W77" s="10">
        <f>IF(A77="c",LEFT(UPPER(B77)&amp;REPT(" ",20),20),REPT(" ",20))</f>
        <v/>
      </c>
      <c r="X77" s="10">
        <f>IF(A77="C",LEFT(UPPER(C77)&amp;REPT(" ",10),10)," ")</f>
        <v/>
      </c>
      <c r="Y77" s="10">
        <f>IF(A77="C",LEFT(UPPER(D77)&amp;REPT(" ",2),2)," ")</f>
        <v/>
      </c>
      <c r="Z77" s="10">
        <f>IF(A77="C",LEFT(UPPER(E77)&amp;REPT(" ",15),15)," ")</f>
        <v/>
      </c>
      <c r="AA77" s="10">
        <f>REPT(" ",8)</f>
        <v/>
      </c>
      <c r="AB77" s="10">
        <f>REPT(" ",4)</f>
        <v/>
      </c>
      <c r="AC77" s="10">
        <f>LEFT(UPPER(H77)&amp;REPT(" ",250),250)</f>
        <v/>
      </c>
      <c r="AD77" s="10">
        <f>TEXT($G$2,"dd/mm/aaaa")</f>
        <v/>
      </c>
      <c r="AE77" s="10">
        <f>REPT(" ",10)</f>
        <v/>
      </c>
      <c r="AF77" s="10">
        <f>REPT(" ",20)</f>
        <v/>
      </c>
      <c r="AG77" s="54">
        <f>REPT(" ",18-LEN(FIXED(F77,2,TRUE)))&amp;FIXED(F77,2,TRUE)</f>
        <v/>
      </c>
      <c r="AH77" s="10">
        <f>LEN(AC77)+LEN(AG77)</f>
        <v/>
      </c>
      <c r="AI77" s="10">
        <f>LEN(L77)</f>
        <v/>
      </c>
    </row>
    <row r="78" ht="16.5" customHeight="1">
      <c r="A78" s="61" t="inlineStr">
        <is>
          <t>D</t>
        </is>
      </c>
      <c r="B78" s="64">
        <f>IFERROR(IF(VLOOKUP(I78,DEPARA_CONTAS,2,0)="","CONTA PENDENTE",VLOOKUP(I78,DEPARA_CONTAS,2,0)),"SEM DE-PARA")</f>
        <v/>
      </c>
      <c r="C78" s="64" t="inlineStr">
        <is>
          <t>000500</t>
        </is>
      </c>
      <c r="D78" s="62" t="n"/>
      <c r="E78" s="62" t="n"/>
      <c r="F78" s="87" t="n">
        <v>2370.71</v>
      </c>
      <c r="H78" s="61" t="inlineStr">
        <is>
          <t>FOLHA DE PAGAMENTO REF 04/2026</t>
        </is>
      </c>
      <c r="I78" s="86" t="inlineStr">
        <is>
          <t>6.1.1.02.002</t>
        </is>
      </c>
      <c r="J78" s="12">
        <f>IF(F78&lt;&gt;0,"LANÇAR","")</f>
        <v/>
      </c>
      <c r="K78" s="20" t="n"/>
      <c r="L78" s="13">
        <f>N78&amp;O78&amp;P78&amp;Q78&amp;R78&amp;S78&amp;T78&amp;U78&amp;V78&amp;W78&amp;X78&amp;Y78&amp;Z78&amp;AA78&amp;AB78&amp;AC78&amp;AD78&amp;AE78&amp;AF78&amp;AG78</f>
        <v/>
      </c>
      <c r="M78" s="20" t="n"/>
      <c r="N78" s="10">
        <f>TEXT($B$6,"00")</f>
        <v/>
      </c>
      <c r="O78" s="10">
        <f>REPT(" ",8)</f>
        <v/>
      </c>
      <c r="P78" s="10">
        <f>RIGHT($B$4,2)</f>
        <v/>
      </c>
      <c r="Q78" s="10">
        <f>RIGHT($B$5,3)</f>
        <v/>
      </c>
      <c r="R78" s="10">
        <f>IF(A78="D",LEFT(UPPER(B78)&amp;REPT(" ",20),20),REPT(" ",20))</f>
        <v/>
      </c>
      <c r="S78" s="10">
        <f>IF(A78="D",LEFT(UPPER(C78)&amp;REPT(" ",10),10)," ")</f>
        <v/>
      </c>
      <c r="T78" s="10">
        <f>IF(A78="D",LEFT(UPPER(D78)&amp;REPT(" ",2),2)," ")</f>
        <v/>
      </c>
      <c r="U78" s="10">
        <f>IF(A78="D",LEFT(UPPER(E78)&amp;REPT(" ",15),15)," ")</f>
        <v/>
      </c>
      <c r="V78" s="10">
        <f>REPT(" ",24)</f>
        <v/>
      </c>
      <c r="W78" s="10">
        <f>IF(A78="c",LEFT(UPPER(B78)&amp;REPT(" ",20),20),REPT(" ",20))</f>
        <v/>
      </c>
      <c r="X78" s="10">
        <f>IF(A78="C",LEFT(UPPER(C78)&amp;REPT(" ",10),10)," ")</f>
        <v/>
      </c>
      <c r="Y78" s="10">
        <f>IF(A78="C",LEFT(UPPER(D78)&amp;REPT(" ",2),2)," ")</f>
        <v/>
      </c>
      <c r="Z78" s="10">
        <f>IF(A78="C",LEFT(UPPER(E78)&amp;REPT(" ",15),15)," ")</f>
        <v/>
      </c>
      <c r="AA78" s="10">
        <f>REPT(" ",8)</f>
        <v/>
      </c>
      <c r="AB78" s="10">
        <f>REPT(" ",4)</f>
        <v/>
      </c>
      <c r="AC78" s="10">
        <f>LEFT(UPPER(H78)&amp;REPT(" ",250),250)</f>
        <v/>
      </c>
      <c r="AD78" s="10">
        <f>TEXT($G$2,"dd/mm/aaaa")</f>
        <v/>
      </c>
      <c r="AE78" s="10">
        <f>REPT(" ",10)</f>
        <v/>
      </c>
      <c r="AF78" s="10">
        <f>REPT(" ",20)</f>
        <v/>
      </c>
      <c r="AG78" s="54">
        <f>REPT(" ",18-LEN(FIXED(F78,2,TRUE)))&amp;FIXED(F78,2,TRUE)</f>
        <v/>
      </c>
      <c r="AH78" s="10">
        <f>LEN(AC78)+LEN(AG78)</f>
        <v/>
      </c>
      <c r="AI78" s="10">
        <f>LEN(L78)</f>
        <v/>
      </c>
    </row>
    <row r="79" ht="16.5" customHeight="1">
      <c r="A79" s="61" t="inlineStr">
        <is>
          <t>D</t>
        </is>
      </c>
      <c r="B79" s="64">
        <f>IFERROR(IF(VLOOKUP(I79,DEPARA_CONTAS,2,0)="","CONTA PENDENTE",VLOOKUP(I79,DEPARA_CONTAS,2,0)),"SEM DE-PARA")</f>
        <v/>
      </c>
      <c r="C79" s="64" t="inlineStr">
        <is>
          <t>000500</t>
        </is>
      </c>
      <c r="D79" s="62" t="n"/>
      <c r="E79" s="62" t="n"/>
      <c r="F79" s="87" t="n">
        <v>1718.76</v>
      </c>
      <c r="H79" s="61" t="inlineStr">
        <is>
          <t>FOLHA DE PAGAMENTO REF 04/2026</t>
        </is>
      </c>
      <c r="I79" s="86" t="inlineStr">
        <is>
          <t>6.1.1.02.005</t>
        </is>
      </c>
      <c r="J79" s="12">
        <f>IF(F79&lt;&gt;0,"LANÇAR","")</f>
        <v/>
      </c>
      <c r="K79" s="20" t="n"/>
      <c r="L79" s="13">
        <f>N79&amp;O79&amp;P79&amp;Q79&amp;R79&amp;S79&amp;T79&amp;U79&amp;V79&amp;W79&amp;X79&amp;Y79&amp;Z79&amp;AA79&amp;AB79&amp;AC79&amp;AD79&amp;AE79&amp;AF79&amp;AG79</f>
        <v/>
      </c>
      <c r="M79" s="20" t="n"/>
      <c r="N79" s="10">
        <f>TEXT($B$6,"00")</f>
        <v/>
      </c>
      <c r="O79" s="10">
        <f>REPT(" ",8)</f>
        <v/>
      </c>
      <c r="P79" s="10">
        <f>RIGHT($B$4,2)</f>
        <v/>
      </c>
      <c r="Q79" s="10">
        <f>RIGHT($B$5,3)</f>
        <v/>
      </c>
      <c r="R79" s="10">
        <f>IF(A79="D",LEFT(UPPER(B79)&amp;REPT(" ",20),20),REPT(" ",20))</f>
        <v/>
      </c>
      <c r="S79" s="10">
        <f>IF(A79="D",LEFT(UPPER(C79)&amp;REPT(" ",10),10)," ")</f>
        <v/>
      </c>
      <c r="T79" s="10">
        <f>IF(A79="D",LEFT(UPPER(D79)&amp;REPT(" ",2),2)," ")</f>
        <v/>
      </c>
      <c r="U79" s="10">
        <f>IF(A79="D",LEFT(UPPER(E79)&amp;REPT(" ",15),15)," ")</f>
        <v/>
      </c>
      <c r="V79" s="10">
        <f>REPT(" ",24)</f>
        <v/>
      </c>
      <c r="W79" s="10">
        <f>IF(A79="c",LEFT(UPPER(B79)&amp;REPT(" ",20),20),REPT(" ",20))</f>
        <v/>
      </c>
      <c r="X79" s="10">
        <f>IF(A79="C",LEFT(UPPER(C79)&amp;REPT(" ",10),10)," ")</f>
        <v/>
      </c>
      <c r="Y79" s="10">
        <f>IF(A79="C",LEFT(UPPER(D79)&amp;REPT(" ",2),2)," ")</f>
        <v/>
      </c>
      <c r="Z79" s="10">
        <f>IF(A79="C",LEFT(UPPER(E79)&amp;REPT(" ",15),15)," ")</f>
        <v/>
      </c>
      <c r="AA79" s="10">
        <f>REPT(" ",8)</f>
        <v/>
      </c>
      <c r="AB79" s="10">
        <f>REPT(" ",4)</f>
        <v/>
      </c>
      <c r="AC79" s="10">
        <f>LEFT(UPPER(H79)&amp;REPT(" ",250),250)</f>
        <v/>
      </c>
      <c r="AD79" s="10">
        <f>TEXT($G$2,"dd/mm/aaaa")</f>
        <v/>
      </c>
      <c r="AE79" s="10">
        <f>REPT(" ",10)</f>
        <v/>
      </c>
      <c r="AF79" s="10">
        <f>REPT(" ",20)</f>
        <v/>
      </c>
      <c r="AG79" s="54">
        <f>REPT(" ",18-LEN(FIXED(F79,2,TRUE)))&amp;FIXED(F79,2,TRUE)</f>
        <v/>
      </c>
      <c r="AH79" s="10">
        <f>LEN(AC79)+LEN(AG79)</f>
        <v/>
      </c>
      <c r="AI79" s="10">
        <f>LEN(L79)</f>
        <v/>
      </c>
    </row>
    <row r="80">
      <c r="A80" s="61" t="inlineStr">
        <is>
          <t>D</t>
        </is>
      </c>
      <c r="B80" s="64">
        <f>IFERROR(IF(VLOOKUP(I80,DEPARA_CONTAS,2,0)="","CONTA PENDENTE",VLOOKUP(I80,DEPARA_CONTAS,2,0)),"SEM DE-PARA")</f>
        <v/>
      </c>
      <c r="C80" s="64" t="inlineStr">
        <is>
          <t>000500</t>
        </is>
      </c>
      <c r="D80" s="62" t="n"/>
      <c r="E80" s="62" t="n"/>
      <c r="F80" s="87" t="n">
        <v>3591.98</v>
      </c>
      <c r="H80" s="61" t="inlineStr">
        <is>
          <t>FOLHA DE PAGAMENTO REF 04/2026</t>
        </is>
      </c>
      <c r="I80" s="86" t="inlineStr">
        <is>
          <t>6.1.1.03.001</t>
        </is>
      </c>
      <c r="J80" s="12">
        <f>IF(F80&lt;&gt;0,"LANÇAR","")</f>
        <v/>
      </c>
      <c r="K80" s="20" t="n"/>
      <c r="L80" s="13">
        <f>N80&amp;O80&amp;P80&amp;Q80&amp;R80&amp;S80&amp;T80&amp;U80&amp;V80&amp;W80&amp;X80&amp;Y80&amp;Z80&amp;AA80&amp;AB80&amp;AC80&amp;AD80&amp;AE80&amp;AF80&amp;AG80</f>
        <v/>
      </c>
      <c r="M80" s="20" t="n"/>
      <c r="N80" s="10">
        <f>TEXT($B$6,"00")</f>
        <v/>
      </c>
      <c r="O80" s="10">
        <f>REPT(" ",8)</f>
        <v/>
      </c>
      <c r="P80" s="10">
        <f>RIGHT($B$4,2)</f>
        <v/>
      </c>
      <c r="Q80" s="10">
        <f>RIGHT($B$5,3)</f>
        <v/>
      </c>
      <c r="R80" s="10">
        <f>IF(A80="D",LEFT(UPPER(B80)&amp;REPT(" ",20),20),REPT(" ",20))</f>
        <v/>
      </c>
      <c r="S80" s="10">
        <f>IF(A80="D",LEFT(UPPER(C80)&amp;REPT(" ",10),10)," ")</f>
        <v/>
      </c>
      <c r="T80" s="10">
        <f>IF(A80="D",LEFT(UPPER(D80)&amp;REPT(" ",2),2)," ")</f>
        <v/>
      </c>
      <c r="U80" s="10">
        <f>IF(A80="D",LEFT(UPPER(E80)&amp;REPT(" ",15),15)," ")</f>
        <v/>
      </c>
      <c r="V80" s="10">
        <f>REPT(" ",24)</f>
        <v/>
      </c>
      <c r="W80" s="10">
        <f>IF(A80="c",LEFT(UPPER(B80)&amp;REPT(" ",20),20),REPT(" ",20))</f>
        <v/>
      </c>
      <c r="X80" s="10">
        <f>IF(A80="C",LEFT(UPPER(C80)&amp;REPT(" ",10),10)," ")</f>
        <v/>
      </c>
      <c r="Y80" s="10">
        <f>IF(A80="C",LEFT(UPPER(D80)&amp;REPT(" ",2),2)," ")</f>
        <v/>
      </c>
      <c r="Z80" s="10">
        <f>IF(A80="C",LEFT(UPPER(E80)&amp;REPT(" ",15),15)," ")</f>
        <v/>
      </c>
      <c r="AA80" s="10">
        <f>REPT(" ",8)</f>
        <v/>
      </c>
      <c r="AB80" s="10">
        <f>REPT(" ",4)</f>
        <v/>
      </c>
      <c r="AC80" s="10">
        <f>LEFT(UPPER(H80)&amp;REPT(" ",250),250)</f>
        <v/>
      </c>
      <c r="AD80" s="10">
        <f>TEXT($G$2,"dd/mm/aaaa")</f>
        <v/>
      </c>
      <c r="AE80" s="10">
        <f>REPT(" ",10)</f>
        <v/>
      </c>
      <c r="AF80" s="10">
        <f>REPT(" ",20)</f>
        <v/>
      </c>
      <c r="AG80" s="54">
        <f>REPT(" ",18-LEN(FIXED(F80,2,TRUE)))&amp;FIXED(F80,2,TRUE)</f>
        <v/>
      </c>
      <c r="AH80" s="10">
        <f>LEN(AC80)+LEN(AG80)</f>
        <v/>
      </c>
      <c r="AI80" s="10">
        <f>LEN(L80)</f>
        <v/>
      </c>
    </row>
    <row r="81">
      <c r="A81" s="61" t="inlineStr">
        <is>
          <t>D</t>
        </is>
      </c>
      <c r="B81" s="64">
        <f>IFERROR(IF(VLOOKUP(I81,DEPARA_CONTAS,2,0)="","CONTA PENDENTE",VLOOKUP(I81,DEPARA_CONTAS,2,0)),"SEM DE-PARA")</f>
        <v/>
      </c>
      <c r="C81" s="64" t="inlineStr">
        <is>
          <t>000500</t>
        </is>
      </c>
      <c r="D81" s="62" t="n"/>
      <c r="E81" s="62" t="n"/>
      <c r="F81" s="87" t="n">
        <v>2469.49</v>
      </c>
      <c r="H81" s="61" t="inlineStr">
        <is>
          <t>FOLHA DE PAGAMENTO REF 04/2026</t>
        </is>
      </c>
      <c r="I81" s="86" t="inlineStr">
        <is>
          <t>6.1.1.03.002</t>
        </is>
      </c>
      <c r="J81" s="12">
        <f>IF(F81&lt;&gt;0,"LANÇAR","")</f>
        <v/>
      </c>
      <c r="K81" s="20" t="n"/>
      <c r="L81" s="13">
        <f>N81&amp;O81&amp;P81&amp;Q81&amp;R81&amp;S81&amp;T81&amp;U81&amp;V81&amp;W81&amp;X81&amp;Y81&amp;Z81&amp;AA81&amp;AB81&amp;AC81&amp;AD81&amp;AE81&amp;AF81&amp;AG81</f>
        <v/>
      </c>
      <c r="M81" s="20" t="n"/>
      <c r="N81" s="10">
        <f>TEXT($B$6,"00")</f>
        <v/>
      </c>
      <c r="O81" s="10">
        <f>REPT(" ",8)</f>
        <v/>
      </c>
      <c r="P81" s="10">
        <f>RIGHT($B$4,2)</f>
        <v/>
      </c>
      <c r="Q81" s="10">
        <f>RIGHT($B$5,3)</f>
        <v/>
      </c>
      <c r="R81" s="10">
        <f>IF(A81="D",LEFT(UPPER(B81)&amp;REPT(" ",20),20),REPT(" ",20))</f>
        <v/>
      </c>
      <c r="S81" s="10">
        <f>IF(A81="D",LEFT(UPPER(C81)&amp;REPT(" ",10),10)," ")</f>
        <v/>
      </c>
      <c r="T81" s="10">
        <f>IF(A81="D",LEFT(UPPER(D81)&amp;REPT(" ",2),2)," ")</f>
        <v/>
      </c>
      <c r="U81" s="10">
        <f>IF(A81="D",LEFT(UPPER(E81)&amp;REPT(" ",15),15)," ")</f>
        <v/>
      </c>
      <c r="V81" s="10">
        <f>REPT(" ",24)</f>
        <v/>
      </c>
      <c r="W81" s="10">
        <f>IF(A81="c",LEFT(UPPER(B81)&amp;REPT(" ",20),20),REPT(" ",20))</f>
        <v/>
      </c>
      <c r="X81" s="10">
        <f>IF(A81="C",LEFT(UPPER(C81)&amp;REPT(" ",10),10)," ")</f>
        <v/>
      </c>
      <c r="Y81" s="10">
        <f>IF(A81="C",LEFT(UPPER(D81)&amp;REPT(" ",2),2)," ")</f>
        <v/>
      </c>
      <c r="Z81" s="10">
        <f>IF(A81="C",LEFT(UPPER(E81)&amp;REPT(" ",15),15)," ")</f>
        <v/>
      </c>
      <c r="AA81" s="10">
        <f>REPT(" ",8)</f>
        <v/>
      </c>
      <c r="AB81" s="10">
        <f>REPT(" ",4)</f>
        <v/>
      </c>
      <c r="AC81" s="10">
        <f>LEFT(UPPER(H81)&amp;REPT(" ",250),250)</f>
        <v/>
      </c>
      <c r="AD81" s="10">
        <f>TEXT($G$2,"dd/mm/aaaa")</f>
        <v/>
      </c>
      <c r="AE81" s="10">
        <f>REPT(" ",10)</f>
        <v/>
      </c>
      <c r="AF81" s="10">
        <f>REPT(" ",20)</f>
        <v/>
      </c>
      <c r="AG81" s="54">
        <f>REPT(" ",18-LEN(FIXED(F81,2,TRUE)))&amp;FIXED(F81,2,TRUE)</f>
        <v/>
      </c>
      <c r="AH81" s="10">
        <f>LEN(AC81)+LEN(AG81)</f>
        <v/>
      </c>
      <c r="AI81" s="10">
        <f>LEN(L81)</f>
        <v/>
      </c>
    </row>
    <row r="82">
      <c r="A82" s="61" t="inlineStr">
        <is>
          <t>D</t>
        </is>
      </c>
      <c r="B82" s="64">
        <f>IFERROR(IF(VLOOKUP(I82,DEPARA_CONTAS,2,0)="","CONTA PENDENTE",VLOOKUP(I82,DEPARA_CONTAS,2,0)),"SEM DE-PARA")</f>
        <v/>
      </c>
      <c r="C82" s="64" t="inlineStr">
        <is>
          <t>000500</t>
        </is>
      </c>
      <c r="D82" s="62" t="n"/>
      <c r="E82" s="62" t="n"/>
      <c r="F82" s="87" t="n">
        <v>998.5700000000001</v>
      </c>
      <c r="H82" s="61" t="inlineStr">
        <is>
          <t>FOLHA DE PAGAMENTO REF 04/2026</t>
        </is>
      </c>
      <c r="I82" s="86" t="inlineStr">
        <is>
          <t>6.1.1.03.003</t>
        </is>
      </c>
      <c r="J82" s="12">
        <f>IF(F82&lt;&gt;0,"LANÇAR","")</f>
        <v/>
      </c>
      <c r="K82" s="20" t="n"/>
      <c r="L82" s="13">
        <f>N82&amp;O82&amp;P82&amp;Q82&amp;R82&amp;S82&amp;T82&amp;U82&amp;V82&amp;W82&amp;X82&amp;Y82&amp;Z82&amp;AA82&amp;AB82&amp;AC82&amp;AD82&amp;AE82&amp;AF82&amp;AG82</f>
        <v/>
      </c>
      <c r="M82" s="20" t="n"/>
      <c r="N82" s="10">
        <f>TEXT($B$6,"00")</f>
        <v/>
      </c>
      <c r="O82" s="10">
        <f>REPT(" ",8)</f>
        <v/>
      </c>
      <c r="P82" s="10">
        <f>RIGHT($B$4,2)</f>
        <v/>
      </c>
      <c r="Q82" s="10">
        <f>RIGHT($B$5,3)</f>
        <v/>
      </c>
      <c r="R82" s="10">
        <f>IF(A82="D",LEFT(UPPER(B82)&amp;REPT(" ",20),20),REPT(" ",20))</f>
        <v/>
      </c>
      <c r="S82" s="10">
        <f>IF(A82="D",LEFT(UPPER(C82)&amp;REPT(" ",10),10)," ")</f>
        <v/>
      </c>
      <c r="T82" s="10">
        <f>IF(A82="D",LEFT(UPPER(D82)&amp;REPT(" ",2),2)," ")</f>
        <v/>
      </c>
      <c r="U82" s="10">
        <f>IF(A82="D",LEFT(UPPER(E82)&amp;REPT(" ",15),15)," ")</f>
        <v/>
      </c>
      <c r="V82" s="10">
        <f>REPT(" ",24)</f>
        <v/>
      </c>
      <c r="W82" s="10">
        <f>IF(A82="c",LEFT(UPPER(B82)&amp;REPT(" ",20),20),REPT(" ",20))</f>
        <v/>
      </c>
      <c r="X82" s="10">
        <f>IF(A82="C",LEFT(UPPER(C82)&amp;REPT(" ",10),10)," ")</f>
        <v/>
      </c>
      <c r="Y82" s="10">
        <f>IF(A82="C",LEFT(UPPER(D82)&amp;REPT(" ",2),2)," ")</f>
        <v/>
      </c>
      <c r="Z82" s="10">
        <f>IF(A82="C",LEFT(UPPER(E82)&amp;REPT(" ",15),15)," ")</f>
        <v/>
      </c>
      <c r="AA82" s="10">
        <f>REPT(" ",8)</f>
        <v/>
      </c>
      <c r="AB82" s="10">
        <f>REPT(" ",4)</f>
        <v/>
      </c>
      <c r="AC82" s="10">
        <f>LEFT(UPPER(H82)&amp;REPT(" ",250),250)</f>
        <v/>
      </c>
      <c r="AD82" s="10">
        <f>TEXT($G$2,"dd/mm/aaaa")</f>
        <v/>
      </c>
      <c r="AE82" s="10">
        <f>REPT(" ",10)</f>
        <v/>
      </c>
      <c r="AF82" s="10">
        <f>REPT(" ",20)</f>
        <v/>
      </c>
      <c r="AG82" s="54">
        <f>REPT(" ",18-LEN(FIXED(F82,2,TRUE)))&amp;FIXED(F82,2,TRUE)</f>
        <v/>
      </c>
      <c r="AH82" s="10">
        <f>LEN(AC82)+LEN(AG82)</f>
        <v/>
      </c>
      <c r="AI82" s="10">
        <f>LEN(L82)</f>
        <v/>
      </c>
    </row>
    <row r="83">
      <c r="A83" s="61" t="inlineStr">
        <is>
          <t>D</t>
        </is>
      </c>
      <c r="B83" s="64">
        <f>IFERROR(IF(VLOOKUP(I83,DEPARA_CONTAS,2,0)="","CONTA PENDENTE",VLOOKUP(I83,DEPARA_CONTAS,2,0)),"SEM DE-PARA")</f>
        <v/>
      </c>
      <c r="C83" s="64" t="inlineStr">
        <is>
          <t>000500</t>
        </is>
      </c>
      <c r="D83" s="62" t="n"/>
      <c r="E83" s="62" t="n"/>
      <c r="F83" s="87" t="n">
        <v>686.52</v>
      </c>
      <c r="H83" s="61" t="inlineStr">
        <is>
          <t>FOLHA DE PAGAMENTO REF 04/2026</t>
        </is>
      </c>
      <c r="I83" s="86" t="inlineStr">
        <is>
          <t>6.1.1.03.004</t>
        </is>
      </c>
      <c r="J83" s="12">
        <f>IF(F83&lt;&gt;0,"LANÇAR","")</f>
        <v/>
      </c>
      <c r="K83" s="20" t="n"/>
      <c r="L83" s="13">
        <f>N83&amp;O83&amp;P83&amp;Q83&amp;R83&amp;S83&amp;T83&amp;U83&amp;V83&amp;W83&amp;X83&amp;Y83&amp;Z83&amp;AA83&amp;AB83&amp;AC83&amp;AD83&amp;AE83&amp;AF83&amp;AG83</f>
        <v/>
      </c>
      <c r="M83" s="20" t="n"/>
      <c r="N83" s="10">
        <f>TEXT($B$6,"00")</f>
        <v/>
      </c>
      <c r="O83" s="10">
        <f>REPT(" ",8)</f>
        <v/>
      </c>
      <c r="P83" s="10">
        <f>RIGHT($B$4,2)</f>
        <v/>
      </c>
      <c r="Q83" s="10">
        <f>RIGHT($B$5,3)</f>
        <v/>
      </c>
      <c r="R83" s="10">
        <f>IF(A83="D",LEFT(UPPER(B83)&amp;REPT(" ",20),20),REPT(" ",20))</f>
        <v/>
      </c>
      <c r="S83" s="10">
        <f>IF(A83="D",LEFT(UPPER(C83)&amp;REPT(" ",10),10)," ")</f>
        <v/>
      </c>
      <c r="T83" s="10">
        <f>IF(A83="D",LEFT(UPPER(D83)&amp;REPT(" ",2),2)," ")</f>
        <v/>
      </c>
      <c r="U83" s="10">
        <f>IF(A83="D",LEFT(UPPER(E83)&amp;REPT(" ",15),15)," ")</f>
        <v/>
      </c>
      <c r="V83" s="10">
        <f>REPT(" ",24)</f>
        <v/>
      </c>
      <c r="W83" s="10">
        <f>IF(A83="c",LEFT(UPPER(B83)&amp;REPT(" ",20),20),REPT(" ",20))</f>
        <v/>
      </c>
      <c r="X83" s="10">
        <f>IF(A83="C",LEFT(UPPER(C83)&amp;REPT(" ",10),10)," ")</f>
        <v/>
      </c>
      <c r="Y83" s="10">
        <f>IF(A83="C",LEFT(UPPER(D83)&amp;REPT(" ",2),2)," ")</f>
        <v/>
      </c>
      <c r="Z83" s="10">
        <f>IF(A83="C",LEFT(UPPER(E83)&amp;REPT(" ",15),15)," ")</f>
        <v/>
      </c>
      <c r="AA83" s="10">
        <f>REPT(" ",8)</f>
        <v/>
      </c>
      <c r="AB83" s="10">
        <f>REPT(" ",4)</f>
        <v/>
      </c>
      <c r="AC83" s="10">
        <f>LEFT(UPPER(H83)&amp;REPT(" ",250),250)</f>
        <v/>
      </c>
      <c r="AD83" s="10">
        <f>TEXT($G$2,"dd/mm/aaaa")</f>
        <v/>
      </c>
      <c r="AE83" s="10">
        <f>REPT(" ",10)</f>
        <v/>
      </c>
      <c r="AF83" s="10">
        <f>REPT(" ",20)</f>
        <v/>
      </c>
      <c r="AG83" s="54">
        <f>REPT(" ",18-LEN(FIXED(F83,2,TRUE)))&amp;FIXED(F83,2,TRUE)</f>
        <v/>
      </c>
      <c r="AH83" s="10">
        <f>LEN(AC83)+LEN(AG83)</f>
        <v/>
      </c>
      <c r="AI83" s="10">
        <f>LEN(L83)</f>
        <v/>
      </c>
    </row>
    <row r="84">
      <c r="A84" s="61" t="inlineStr">
        <is>
          <t>D</t>
        </is>
      </c>
      <c r="B84" s="64">
        <f>IFERROR(IF(VLOOKUP(I84,DEPARA_CONTAS,2,0)="","CONTA PENDENTE",VLOOKUP(I84,DEPARA_CONTAS,2,0)),"SEM DE-PARA")</f>
        <v/>
      </c>
      <c r="C84" s="64" t="inlineStr">
        <is>
          <t>000500</t>
        </is>
      </c>
      <c r="D84" s="62" t="n"/>
      <c r="E84" s="62" t="n"/>
      <c r="F84" s="87" t="n">
        <v>287.36</v>
      </c>
      <c r="H84" s="61" t="inlineStr">
        <is>
          <t>FOLHA DE PAGAMENTO REF 04/2026</t>
        </is>
      </c>
      <c r="I84" s="86" t="inlineStr">
        <is>
          <t>6.1.1.03.005</t>
        </is>
      </c>
      <c r="J84" s="12">
        <f>IF(F84&lt;&gt;0,"LANÇAR","")</f>
        <v/>
      </c>
      <c r="K84" s="20" t="n"/>
      <c r="L84" s="13">
        <f>N84&amp;O84&amp;P84&amp;Q84&amp;R84&amp;S84&amp;T84&amp;U84&amp;V84&amp;W84&amp;X84&amp;Y84&amp;Z84&amp;AA84&amp;AB84&amp;AC84&amp;AD84&amp;AE84&amp;AF84&amp;AG84</f>
        <v/>
      </c>
      <c r="M84" s="20" t="n"/>
      <c r="N84" s="10">
        <f>TEXT($B$6,"00")</f>
        <v/>
      </c>
      <c r="O84" s="10">
        <f>REPT(" ",8)</f>
        <v/>
      </c>
      <c r="P84" s="10">
        <f>RIGHT($B$4,2)</f>
        <v/>
      </c>
      <c r="Q84" s="10">
        <f>RIGHT($B$5,3)</f>
        <v/>
      </c>
      <c r="R84" s="10">
        <f>IF(A84="D",LEFT(UPPER(B84)&amp;REPT(" ",20),20),REPT(" ",20))</f>
        <v/>
      </c>
      <c r="S84" s="10">
        <f>IF(A84="D",LEFT(UPPER(C84)&amp;REPT(" ",10),10)," ")</f>
        <v/>
      </c>
      <c r="T84" s="10">
        <f>IF(A84="D",LEFT(UPPER(D84)&amp;REPT(" ",2),2)," ")</f>
        <v/>
      </c>
      <c r="U84" s="10">
        <f>IF(A84="D",LEFT(UPPER(E84)&amp;REPT(" ",15),15)," ")</f>
        <v/>
      </c>
      <c r="V84" s="10">
        <f>REPT(" ",24)</f>
        <v/>
      </c>
      <c r="W84" s="10">
        <f>IF(A84="c",LEFT(UPPER(B84)&amp;REPT(" ",20),20),REPT(" ",20))</f>
        <v/>
      </c>
      <c r="X84" s="10">
        <f>IF(A84="C",LEFT(UPPER(C84)&amp;REPT(" ",10),10)," ")</f>
        <v/>
      </c>
      <c r="Y84" s="10">
        <f>IF(A84="C",LEFT(UPPER(D84)&amp;REPT(" ",2),2)," ")</f>
        <v/>
      </c>
      <c r="Z84" s="10">
        <f>IF(A84="C",LEFT(UPPER(E84)&amp;REPT(" ",15),15)," ")</f>
        <v/>
      </c>
      <c r="AA84" s="10">
        <f>REPT(" ",8)</f>
        <v/>
      </c>
      <c r="AB84" s="10">
        <f>REPT(" ",4)</f>
        <v/>
      </c>
      <c r="AC84" s="10">
        <f>LEFT(UPPER(H84)&amp;REPT(" ",250),250)</f>
        <v/>
      </c>
      <c r="AD84" s="10">
        <f>TEXT($G$2,"dd/mm/aaaa")</f>
        <v/>
      </c>
      <c r="AE84" s="10">
        <f>REPT(" ",10)</f>
        <v/>
      </c>
      <c r="AF84" s="10">
        <f>REPT(" ",20)</f>
        <v/>
      </c>
      <c r="AG84" s="54">
        <f>REPT(" ",18-LEN(FIXED(F84,2,TRUE)))&amp;FIXED(F84,2,TRUE)</f>
        <v/>
      </c>
      <c r="AH84" s="10">
        <f>LEN(AC84)+LEN(AG84)</f>
        <v/>
      </c>
      <c r="AI84" s="10">
        <f>LEN(L84)</f>
        <v/>
      </c>
    </row>
    <row r="85">
      <c r="A85" s="61" t="inlineStr">
        <is>
          <t>D</t>
        </is>
      </c>
      <c r="B85" s="64">
        <f>IFERROR(IF(VLOOKUP(I85,DEPARA_CONTAS,2,0)="","CONTA PENDENTE",VLOOKUP(I85,DEPARA_CONTAS,2,0)),"SEM DE-PARA")</f>
        <v/>
      </c>
      <c r="C85" s="64" t="inlineStr">
        <is>
          <t>000500</t>
        </is>
      </c>
      <c r="D85" s="62" t="n"/>
      <c r="E85" s="62" t="n"/>
      <c r="F85" s="87" t="n">
        <v>197.56</v>
      </c>
      <c r="H85" s="61" t="inlineStr">
        <is>
          <t>FOLHA DE PAGAMENTO REF 04/2026</t>
        </is>
      </c>
      <c r="I85" s="86" t="inlineStr">
        <is>
          <t>6.1.1.03.006</t>
        </is>
      </c>
      <c r="J85" s="12">
        <f>IF(F85&lt;&gt;0,"LANÇAR","")</f>
        <v/>
      </c>
      <c r="K85" s="20" t="n"/>
      <c r="L85" s="13">
        <f>N85&amp;O85&amp;P85&amp;Q85&amp;R85&amp;S85&amp;T85&amp;U85&amp;V85&amp;W85&amp;X85&amp;Y85&amp;Z85&amp;AA85&amp;AB85&amp;AC85&amp;AD85&amp;AE85&amp;AF85&amp;AG85</f>
        <v/>
      </c>
      <c r="M85" s="20" t="n"/>
      <c r="N85" s="10">
        <f>TEXT($B$6,"00")</f>
        <v/>
      </c>
      <c r="O85" s="10">
        <f>REPT(" ",8)</f>
        <v/>
      </c>
      <c r="P85" s="10">
        <f>RIGHT($B$4,2)</f>
        <v/>
      </c>
      <c r="Q85" s="10">
        <f>RIGHT($B$5,3)</f>
        <v/>
      </c>
      <c r="R85" s="10">
        <f>IF(A85="D",LEFT(UPPER(B85)&amp;REPT(" ",20),20),REPT(" ",20))</f>
        <v/>
      </c>
      <c r="S85" s="10">
        <f>IF(A85="D",LEFT(UPPER(C85)&amp;REPT(" ",10),10)," ")</f>
        <v/>
      </c>
      <c r="T85" s="10">
        <f>IF(A85="D",LEFT(UPPER(D85)&amp;REPT(" ",2),2)," ")</f>
        <v/>
      </c>
      <c r="U85" s="10">
        <f>IF(A85="D",LEFT(UPPER(E85)&amp;REPT(" ",15),15)," ")</f>
        <v/>
      </c>
      <c r="V85" s="10">
        <f>REPT(" ",24)</f>
        <v/>
      </c>
      <c r="W85" s="10">
        <f>IF(A85="c",LEFT(UPPER(B85)&amp;REPT(" ",20),20),REPT(" ",20))</f>
        <v/>
      </c>
      <c r="X85" s="10">
        <f>IF(A85="C",LEFT(UPPER(C85)&amp;REPT(" ",10),10)," ")</f>
        <v/>
      </c>
      <c r="Y85" s="10">
        <f>IF(A85="C",LEFT(UPPER(D85)&amp;REPT(" ",2),2)," ")</f>
        <v/>
      </c>
      <c r="Z85" s="10">
        <f>IF(A85="C",LEFT(UPPER(E85)&amp;REPT(" ",15),15)," ")</f>
        <v/>
      </c>
      <c r="AA85" s="10">
        <f>REPT(" ",8)</f>
        <v/>
      </c>
      <c r="AB85" s="10">
        <f>REPT(" ",4)</f>
        <v/>
      </c>
      <c r="AC85" s="10">
        <f>LEFT(UPPER(H85)&amp;REPT(" ",250),250)</f>
        <v/>
      </c>
      <c r="AD85" s="10">
        <f>TEXT($G$2,"dd/mm/aaaa")</f>
        <v/>
      </c>
      <c r="AE85" s="10">
        <f>REPT(" ",10)</f>
        <v/>
      </c>
      <c r="AF85" s="10">
        <f>REPT(" ",20)</f>
        <v/>
      </c>
      <c r="AG85" s="54">
        <f>REPT(" ",18-LEN(FIXED(F85,2,TRUE)))&amp;FIXED(F85,2,TRUE)</f>
        <v/>
      </c>
      <c r="AH85" s="10">
        <f>LEN(AC85)+LEN(AG85)</f>
        <v/>
      </c>
      <c r="AI85" s="10">
        <f>LEN(L85)</f>
        <v/>
      </c>
    </row>
    <row r="86">
      <c r="A86" s="61" t="inlineStr">
        <is>
          <t>D</t>
        </is>
      </c>
      <c r="B86" s="64">
        <f>IFERROR(IF(VLOOKUP(I86,DEPARA_CONTAS,2,0)="","CONTA PENDENTE",VLOOKUP(I86,DEPARA_CONTAS,2,0)),"SEM DE-PARA")</f>
        <v/>
      </c>
      <c r="C86" s="64" t="inlineStr">
        <is>
          <t>000600</t>
        </is>
      </c>
      <c r="D86" s="62" t="n"/>
      <c r="E86" s="62" t="n"/>
      <c r="F86" s="87" t="n">
        <v>54097.87</v>
      </c>
      <c r="H86" s="61" t="inlineStr">
        <is>
          <t>FOLHA DE PAGAMENTO REF 04/2026</t>
        </is>
      </c>
      <c r="I86" s="86" t="inlineStr">
        <is>
          <t>6.1.1.01.002</t>
        </is>
      </c>
      <c r="J86" s="12">
        <f>IF(F86&lt;&gt;0,"LANÇAR","")</f>
        <v/>
      </c>
      <c r="K86" s="20" t="n"/>
      <c r="L86" s="13">
        <f>N86&amp;O86&amp;P86&amp;Q86&amp;R86&amp;S86&amp;T86&amp;U86&amp;V86&amp;W86&amp;X86&amp;Y86&amp;Z86&amp;AA86&amp;AB86&amp;AC86&amp;AD86&amp;AE86&amp;AF86&amp;AG86</f>
        <v/>
      </c>
      <c r="M86" s="20" t="n"/>
      <c r="N86" s="10">
        <f>TEXT($B$6,"00")</f>
        <v/>
      </c>
      <c r="O86" s="10">
        <f>REPT(" ",8)</f>
        <v/>
      </c>
      <c r="P86" s="10">
        <f>RIGHT($B$4,2)</f>
        <v/>
      </c>
      <c r="Q86" s="10">
        <f>RIGHT($B$5,3)</f>
        <v/>
      </c>
      <c r="R86" s="10">
        <f>IF(A86="D",LEFT(UPPER(B86)&amp;REPT(" ",20),20),REPT(" ",20))</f>
        <v/>
      </c>
      <c r="S86" s="10">
        <f>IF(A86="D",LEFT(UPPER(C86)&amp;REPT(" ",10),10)," ")</f>
        <v/>
      </c>
      <c r="T86" s="10">
        <f>IF(A86="D",LEFT(UPPER(D86)&amp;REPT(" ",2),2)," ")</f>
        <v/>
      </c>
      <c r="U86" s="10">
        <f>IF(A86="D",LEFT(UPPER(E86)&amp;REPT(" ",15),15)," ")</f>
        <v/>
      </c>
      <c r="V86" s="10">
        <f>REPT(" ",24)</f>
        <v/>
      </c>
      <c r="W86" s="10">
        <f>IF(A86="c",LEFT(UPPER(B86)&amp;REPT(" ",20),20),REPT(" ",20))</f>
        <v/>
      </c>
      <c r="X86" s="10">
        <f>IF(A86="C",LEFT(UPPER(C86)&amp;REPT(" ",10),10)," ")</f>
        <v/>
      </c>
      <c r="Y86" s="10">
        <f>IF(A86="C",LEFT(UPPER(D86)&amp;REPT(" ",2),2)," ")</f>
        <v/>
      </c>
      <c r="Z86" s="10">
        <f>IF(A86="C",LEFT(UPPER(E86)&amp;REPT(" ",15),15)," ")</f>
        <v/>
      </c>
      <c r="AA86" s="10">
        <f>REPT(" ",8)</f>
        <v/>
      </c>
      <c r="AB86" s="10">
        <f>REPT(" ",4)</f>
        <v/>
      </c>
      <c r="AC86" s="10">
        <f>LEFT(UPPER(H86)&amp;REPT(" ",250),250)</f>
        <v/>
      </c>
      <c r="AD86" s="10">
        <f>TEXT($G$2,"dd/mm/aaaa")</f>
        <v/>
      </c>
      <c r="AE86" s="10">
        <f>REPT(" ",10)</f>
        <v/>
      </c>
      <c r="AF86" s="10">
        <f>REPT(" ",20)</f>
        <v/>
      </c>
      <c r="AG86" s="54">
        <f>REPT(" ",18-LEN(FIXED(F86,2,TRUE)))&amp;FIXED(F86,2,TRUE)</f>
        <v/>
      </c>
      <c r="AH86" s="10">
        <f>LEN(AC86)+LEN(AG86)</f>
        <v/>
      </c>
      <c r="AI86" s="10">
        <f>LEN(L86)</f>
        <v/>
      </c>
    </row>
    <row r="87">
      <c r="A87" s="61" t="inlineStr">
        <is>
          <t>D</t>
        </is>
      </c>
      <c r="B87" s="64">
        <f>IFERROR(IF(VLOOKUP(I87,DEPARA_CONTAS,2,0)="","CONTA PENDENTE",VLOOKUP(I87,DEPARA_CONTAS,2,0)),"SEM DE-PARA")</f>
        <v/>
      </c>
      <c r="C87" s="64" t="inlineStr">
        <is>
          <t>000600</t>
        </is>
      </c>
      <c r="D87" s="62" t="n"/>
      <c r="E87" s="62" t="n"/>
      <c r="F87" s="87" t="n">
        <v>11074.57</v>
      </c>
      <c r="H87" s="61" t="inlineStr">
        <is>
          <t>FOLHA DE PAGAMENTO REF 04/2026</t>
        </is>
      </c>
      <c r="I87" s="86" t="inlineStr">
        <is>
          <t>6.1.1.01.003</t>
        </is>
      </c>
      <c r="J87" s="12">
        <f>IF(F87&lt;&gt;0,"LANÇAR","")</f>
        <v/>
      </c>
      <c r="K87" s="20" t="n"/>
      <c r="L87" s="13">
        <f>N87&amp;O87&amp;P87&amp;Q87&amp;R87&amp;S87&amp;T87&amp;U87&amp;V87&amp;W87&amp;X87&amp;Y87&amp;Z87&amp;AA87&amp;AB87&amp;AC87&amp;AD87&amp;AE87&amp;AF87&amp;AG87</f>
        <v/>
      </c>
      <c r="M87" s="20" t="n"/>
      <c r="N87" s="10">
        <f>TEXT($B$6,"00")</f>
        <v/>
      </c>
      <c r="O87" s="10">
        <f>REPT(" ",8)</f>
        <v/>
      </c>
      <c r="P87" s="10">
        <f>RIGHT($B$4,2)</f>
        <v/>
      </c>
      <c r="Q87" s="10">
        <f>RIGHT($B$5,3)</f>
        <v/>
      </c>
      <c r="R87" s="10">
        <f>IF(A87="D",LEFT(UPPER(B87)&amp;REPT(" ",20),20),REPT(" ",20))</f>
        <v/>
      </c>
      <c r="S87" s="10">
        <f>IF(A87="D",LEFT(UPPER(C87)&amp;REPT(" ",10),10)," ")</f>
        <v/>
      </c>
      <c r="T87" s="10">
        <f>IF(A87="D",LEFT(UPPER(D87)&amp;REPT(" ",2),2)," ")</f>
        <v/>
      </c>
      <c r="U87" s="10">
        <f>IF(A87="D",LEFT(UPPER(E87)&amp;REPT(" ",15),15)," ")</f>
        <v/>
      </c>
      <c r="V87" s="10">
        <f>REPT(" ",24)</f>
        <v/>
      </c>
      <c r="W87" s="10">
        <f>IF(A87="c",LEFT(UPPER(B87)&amp;REPT(" ",20),20),REPT(" ",20))</f>
        <v/>
      </c>
      <c r="X87" s="10">
        <f>IF(A87="C",LEFT(UPPER(C87)&amp;REPT(" ",10),10)," ")</f>
        <v/>
      </c>
      <c r="Y87" s="10">
        <f>IF(A87="C",LEFT(UPPER(D87)&amp;REPT(" ",2),2)," ")</f>
        <v/>
      </c>
      <c r="Z87" s="10">
        <f>IF(A87="C",LEFT(UPPER(E87)&amp;REPT(" ",15),15)," ")</f>
        <v/>
      </c>
      <c r="AA87" s="10">
        <f>REPT(" ",8)</f>
        <v/>
      </c>
      <c r="AB87" s="10">
        <f>REPT(" ",4)</f>
        <v/>
      </c>
      <c r="AC87" s="10">
        <f>LEFT(UPPER(H87)&amp;REPT(" ",250),250)</f>
        <v/>
      </c>
      <c r="AD87" s="10">
        <f>TEXT($G$2,"dd/mm/aaaa")</f>
        <v/>
      </c>
      <c r="AE87" s="10">
        <f>REPT(" ",10)</f>
        <v/>
      </c>
      <c r="AF87" s="10">
        <f>REPT(" ",20)</f>
        <v/>
      </c>
      <c r="AG87" s="54">
        <f>REPT(" ",18-LEN(FIXED(F87,2,TRUE)))&amp;FIXED(F87,2,TRUE)</f>
        <v/>
      </c>
      <c r="AH87" s="10">
        <f>LEN(AC87)+LEN(AG87)</f>
        <v/>
      </c>
      <c r="AI87" s="10">
        <f>LEN(L87)</f>
        <v/>
      </c>
    </row>
    <row r="88">
      <c r="A88" s="61" t="inlineStr">
        <is>
          <t>C</t>
        </is>
      </c>
      <c r="B88" s="64">
        <f>IFERROR(IF(VLOOKUP(I88,DEPARA_CONTAS,2,0)="","CONTA PENDENTE",VLOOKUP(I88,DEPARA_CONTAS,2,0)),"SEM DE-PARA")</f>
        <v/>
      </c>
      <c r="C88" s="64" t="inlineStr">
        <is>
          <t>000600</t>
        </is>
      </c>
      <c r="D88" s="62" t="n"/>
      <c r="E88" s="62" t="n"/>
      <c r="F88" s="87" t="n">
        <v>4097.74</v>
      </c>
      <c r="H88" s="61" t="inlineStr">
        <is>
          <t>FOLHA DE PAGAMENTO REF 04/2026</t>
        </is>
      </c>
      <c r="I88" s="86" t="inlineStr">
        <is>
          <t>6.1.1.04.001</t>
        </is>
      </c>
      <c r="J88" s="12">
        <f>IF(F88&lt;&gt;0,"LANÇAR","")</f>
        <v/>
      </c>
      <c r="K88" s="20" t="n"/>
      <c r="L88" s="13">
        <f>N88&amp;O88&amp;P88&amp;Q88&amp;R88&amp;S88&amp;T88&amp;U88&amp;V88&amp;W88&amp;X88&amp;Y88&amp;Z88&amp;AA88&amp;AB88&amp;AC88&amp;AD88&amp;AE88&amp;AF88&amp;AG88</f>
        <v/>
      </c>
      <c r="M88" s="20" t="n"/>
      <c r="N88" s="10">
        <f>TEXT($B$6,"00")</f>
        <v/>
      </c>
      <c r="O88" s="10">
        <f>REPT(" ",8)</f>
        <v/>
      </c>
      <c r="P88" s="10">
        <f>RIGHT($B$4,2)</f>
        <v/>
      </c>
      <c r="Q88" s="10">
        <f>RIGHT($B$5,3)</f>
        <v/>
      </c>
      <c r="R88" s="10">
        <f>IF(A88="D",LEFT(UPPER(B88)&amp;REPT(" ",20),20),REPT(" ",20))</f>
        <v/>
      </c>
      <c r="S88" s="10">
        <f>IF(A88="D",LEFT(UPPER(C88)&amp;REPT(" ",10),10)," ")</f>
        <v/>
      </c>
      <c r="T88" s="10">
        <f>IF(A88="D",LEFT(UPPER(D88)&amp;REPT(" ",2),2)," ")</f>
        <v/>
      </c>
      <c r="U88" s="10">
        <f>IF(A88="D",LEFT(UPPER(E88)&amp;REPT(" ",15),15)," ")</f>
        <v/>
      </c>
      <c r="V88" s="10">
        <f>REPT(" ",24)</f>
        <v/>
      </c>
      <c r="W88" s="10">
        <f>IF(A88="c",LEFT(UPPER(B88)&amp;REPT(" ",20),20),REPT(" ",20))</f>
        <v/>
      </c>
      <c r="X88" s="10">
        <f>IF(A88="C",LEFT(UPPER(C88)&amp;REPT(" ",10),10)," ")</f>
        <v/>
      </c>
      <c r="Y88" s="10">
        <f>IF(A88="C",LEFT(UPPER(D88)&amp;REPT(" ",2),2)," ")</f>
        <v/>
      </c>
      <c r="Z88" s="10">
        <f>IF(A88="C",LEFT(UPPER(E88)&amp;REPT(" ",15),15)," ")</f>
        <v/>
      </c>
      <c r="AA88" s="10">
        <f>REPT(" ",8)</f>
        <v/>
      </c>
      <c r="AB88" s="10">
        <f>REPT(" ",4)</f>
        <v/>
      </c>
      <c r="AC88" s="10">
        <f>LEFT(UPPER(H88)&amp;REPT(" ",250),250)</f>
        <v/>
      </c>
      <c r="AD88" s="10">
        <f>TEXT($G$2,"dd/mm/aaaa")</f>
        <v/>
      </c>
      <c r="AE88" s="10">
        <f>REPT(" ",10)</f>
        <v/>
      </c>
      <c r="AF88" s="10">
        <f>REPT(" ",20)</f>
        <v/>
      </c>
      <c r="AG88" s="54">
        <f>REPT(" ",18-LEN(FIXED(F88,2,TRUE)))&amp;FIXED(F88,2,TRUE)</f>
        <v/>
      </c>
      <c r="AH88" s="10">
        <f>LEN(AC88)+LEN(AG88)</f>
        <v/>
      </c>
      <c r="AI88" s="10">
        <f>LEN(L88)</f>
        <v/>
      </c>
    </row>
    <row r="89">
      <c r="A89" s="61" t="inlineStr">
        <is>
          <t>C</t>
        </is>
      </c>
      <c r="B89" s="64">
        <f>IFERROR(IF(VLOOKUP(I89,DEPARA_CONTAS,2,0)="","CONTA PENDENTE",VLOOKUP(I89,DEPARA_CONTAS,2,0)),"SEM DE-PARA")</f>
        <v/>
      </c>
      <c r="C89" s="64" t="inlineStr">
        <is>
          <t>000600</t>
        </is>
      </c>
      <c r="D89" s="62" t="n"/>
      <c r="E89" s="62" t="n"/>
      <c r="F89" s="87" t="n">
        <v>161</v>
      </c>
      <c r="H89" s="61" t="inlineStr">
        <is>
          <t>FOLHA DE PAGAMENTO REF 04/2026</t>
        </is>
      </c>
      <c r="I89" s="86" t="inlineStr">
        <is>
          <t>6.1.1.04.003</t>
        </is>
      </c>
      <c r="J89" s="12">
        <f>IF(F89&lt;&gt;0,"LANÇAR","")</f>
        <v/>
      </c>
      <c r="K89" s="20" t="n"/>
      <c r="L89" s="13">
        <f>N89&amp;O89&amp;P89&amp;Q89&amp;R89&amp;S89&amp;T89&amp;U89&amp;V89&amp;W89&amp;X89&amp;Y89&amp;Z89&amp;AA89&amp;AB89&amp;AC89&amp;AD89&amp;AE89&amp;AF89&amp;AG89</f>
        <v/>
      </c>
      <c r="M89" s="20" t="n"/>
      <c r="N89" s="10">
        <f>TEXT($B$6,"00")</f>
        <v/>
      </c>
      <c r="O89" s="10">
        <f>REPT(" ",8)</f>
        <v/>
      </c>
      <c r="P89" s="10">
        <f>RIGHT($B$4,2)</f>
        <v/>
      </c>
      <c r="Q89" s="10">
        <f>RIGHT($B$5,3)</f>
        <v/>
      </c>
      <c r="R89" s="10">
        <f>IF(A89="D",LEFT(UPPER(B89)&amp;REPT(" ",20),20),REPT(" ",20))</f>
        <v/>
      </c>
      <c r="S89" s="10">
        <f>IF(A89="D",LEFT(UPPER(C89)&amp;REPT(" ",10),10)," ")</f>
        <v/>
      </c>
      <c r="T89" s="10">
        <f>IF(A89="D",LEFT(UPPER(D89)&amp;REPT(" ",2),2)," ")</f>
        <v/>
      </c>
      <c r="U89" s="10">
        <f>IF(A89="D",LEFT(UPPER(E89)&amp;REPT(" ",15),15)," ")</f>
        <v/>
      </c>
      <c r="V89" s="10">
        <f>REPT(" ",24)</f>
        <v/>
      </c>
      <c r="W89" s="10">
        <f>IF(A89="c",LEFT(UPPER(B89)&amp;REPT(" ",20),20),REPT(" ",20))</f>
        <v/>
      </c>
      <c r="X89" s="10">
        <f>IF(A89="C",LEFT(UPPER(C89)&amp;REPT(" ",10),10)," ")</f>
        <v/>
      </c>
      <c r="Y89" s="10">
        <f>IF(A89="C",LEFT(UPPER(D89)&amp;REPT(" ",2),2)," ")</f>
        <v/>
      </c>
      <c r="Z89" s="10">
        <f>IF(A89="C",LEFT(UPPER(E89)&amp;REPT(" ",15),15)," ")</f>
        <v/>
      </c>
      <c r="AA89" s="10">
        <f>REPT(" ",8)</f>
        <v/>
      </c>
      <c r="AB89" s="10">
        <f>REPT(" ",4)</f>
        <v/>
      </c>
      <c r="AC89" s="10">
        <f>LEFT(UPPER(H89)&amp;REPT(" ",250),250)</f>
        <v/>
      </c>
      <c r="AD89" s="10">
        <f>TEXT($G$2,"dd/mm/aaaa")</f>
        <v/>
      </c>
      <c r="AE89" s="10">
        <f>REPT(" ",10)</f>
        <v/>
      </c>
      <c r="AF89" s="10">
        <f>REPT(" ",20)</f>
        <v/>
      </c>
      <c r="AG89" s="54">
        <f>REPT(" ",18-LEN(FIXED(F89,2,TRUE)))&amp;FIXED(F89,2,TRUE)</f>
        <v/>
      </c>
      <c r="AH89" s="10">
        <f>LEN(AC89)+LEN(AG89)</f>
        <v/>
      </c>
      <c r="AI89" s="10">
        <f>LEN(L89)</f>
        <v/>
      </c>
    </row>
    <row r="90">
      <c r="A90" s="61" t="inlineStr">
        <is>
          <t>C</t>
        </is>
      </c>
      <c r="B90" s="64">
        <f>IFERROR(IF(VLOOKUP(I90,DEPARA_CONTAS,2,0)="","CONTA PENDENTE",VLOOKUP(I90,DEPARA_CONTAS,2,0)),"SEM DE-PARA")</f>
        <v/>
      </c>
      <c r="C90" s="64" t="inlineStr">
        <is>
          <t>000600</t>
        </is>
      </c>
      <c r="D90" s="62" t="n"/>
      <c r="E90" s="62" t="n"/>
      <c r="F90" s="87" t="n">
        <v>580.3</v>
      </c>
      <c r="H90" s="61" t="inlineStr">
        <is>
          <t>FOLHA DE PAGAMENTO REF 04/2026</t>
        </is>
      </c>
      <c r="I90" s="86" t="inlineStr">
        <is>
          <t>6.1.1.04.006</t>
        </is>
      </c>
      <c r="J90" s="12">
        <f>IF(F90&lt;&gt;0,"LANÇAR","")</f>
        <v/>
      </c>
      <c r="K90" s="20" t="n"/>
      <c r="L90" s="13">
        <f>N90&amp;O90&amp;P90&amp;Q90&amp;R90&amp;S90&amp;T90&amp;U90&amp;V90&amp;W90&amp;X90&amp;Y90&amp;Z90&amp;AA90&amp;AB90&amp;AC90&amp;AD90&amp;AE90&amp;AF90&amp;AG90</f>
        <v/>
      </c>
      <c r="M90" s="20" t="n"/>
      <c r="N90" s="10">
        <f>TEXT($B$6,"00")</f>
        <v/>
      </c>
      <c r="O90" s="10">
        <f>REPT(" ",8)</f>
        <v/>
      </c>
      <c r="P90" s="10">
        <f>RIGHT($B$4,2)</f>
        <v/>
      </c>
      <c r="Q90" s="10">
        <f>RIGHT($B$5,3)</f>
        <v/>
      </c>
      <c r="R90" s="10">
        <f>IF(A90="D",LEFT(UPPER(B90)&amp;REPT(" ",20),20),REPT(" ",20))</f>
        <v/>
      </c>
      <c r="S90" s="10">
        <f>IF(A90="D",LEFT(UPPER(C90)&amp;REPT(" ",10),10)," ")</f>
        <v/>
      </c>
      <c r="T90" s="10">
        <f>IF(A90="D",LEFT(UPPER(D90)&amp;REPT(" ",2),2)," ")</f>
        <v/>
      </c>
      <c r="U90" s="10">
        <f>IF(A90="D",LEFT(UPPER(E90)&amp;REPT(" ",15),15)," ")</f>
        <v/>
      </c>
      <c r="V90" s="10">
        <f>REPT(" ",24)</f>
        <v/>
      </c>
      <c r="W90" s="10">
        <f>IF(A90="c",LEFT(UPPER(B90)&amp;REPT(" ",20),20),REPT(" ",20))</f>
        <v/>
      </c>
      <c r="X90" s="10">
        <f>IF(A90="C",LEFT(UPPER(C90)&amp;REPT(" ",10),10)," ")</f>
        <v/>
      </c>
      <c r="Y90" s="10">
        <f>IF(A90="C",LEFT(UPPER(D90)&amp;REPT(" ",2),2)," ")</f>
        <v/>
      </c>
      <c r="Z90" s="10">
        <f>IF(A90="C",LEFT(UPPER(E90)&amp;REPT(" ",15),15)," ")</f>
        <v/>
      </c>
      <c r="AA90" s="10">
        <f>REPT(" ",8)</f>
        <v/>
      </c>
      <c r="AB90" s="10">
        <f>REPT(" ",4)</f>
        <v/>
      </c>
      <c r="AC90" s="10">
        <f>LEFT(UPPER(H90)&amp;REPT(" ",250),250)</f>
        <v/>
      </c>
      <c r="AD90" s="10">
        <f>TEXT($G$2,"dd/mm/aaaa")</f>
        <v/>
      </c>
      <c r="AE90" s="10">
        <f>REPT(" ",10)</f>
        <v/>
      </c>
      <c r="AF90" s="10">
        <f>REPT(" ",20)</f>
        <v/>
      </c>
      <c r="AG90" s="54">
        <f>REPT(" ",18-LEN(FIXED(F90,2,TRUE)))&amp;FIXED(F90,2,TRUE)</f>
        <v/>
      </c>
      <c r="AH90" s="10">
        <f>LEN(AC90)+LEN(AG90)</f>
        <v/>
      </c>
      <c r="AI90" s="10">
        <f>LEN(L90)</f>
        <v/>
      </c>
    </row>
    <row r="91">
      <c r="A91" s="61" t="inlineStr">
        <is>
          <t>D</t>
        </is>
      </c>
      <c r="B91" s="64">
        <f>IFERROR(IF(VLOOKUP(I91,DEPARA_CONTAS,2,0)="","CONTA PENDENTE",VLOOKUP(I91,DEPARA_CONTAS,2,0)),"SEM DE-PARA")</f>
        <v/>
      </c>
      <c r="C91" s="64" t="inlineStr">
        <is>
          <t>000600</t>
        </is>
      </c>
      <c r="D91" s="62" t="n"/>
      <c r="E91" s="62" t="n"/>
      <c r="F91" s="87" t="n">
        <v>11901.53</v>
      </c>
      <c r="H91" s="61" t="inlineStr">
        <is>
          <t>FOLHA DE PAGAMENTO REF 04/2026</t>
        </is>
      </c>
      <c r="I91" s="86" t="inlineStr">
        <is>
          <t>6.1.1.02.001</t>
        </is>
      </c>
      <c r="J91" s="12">
        <f>IF(F91&lt;&gt;0,"LANÇAR","")</f>
        <v/>
      </c>
      <c r="K91" s="20" t="n"/>
      <c r="L91" s="13">
        <f>N91&amp;O91&amp;P91&amp;Q91&amp;R91&amp;S91&amp;T91&amp;U91&amp;V91&amp;W91&amp;X91&amp;Y91&amp;Z91&amp;AA91&amp;AB91&amp;AC91&amp;AD91&amp;AE91&amp;AF91&amp;AG91</f>
        <v/>
      </c>
      <c r="M91" s="20" t="n"/>
      <c r="N91" s="10">
        <f>TEXT($B$6,"00")</f>
        <v/>
      </c>
      <c r="O91" s="10">
        <f>REPT(" ",8)</f>
        <v/>
      </c>
      <c r="P91" s="10">
        <f>RIGHT($B$4,2)</f>
        <v/>
      </c>
      <c r="Q91" s="10">
        <f>RIGHT($B$5,3)</f>
        <v/>
      </c>
      <c r="R91" s="10">
        <f>IF(A91="D",LEFT(UPPER(B91)&amp;REPT(" ",20),20),REPT(" ",20))</f>
        <v/>
      </c>
      <c r="S91" s="10">
        <f>IF(A91="D",LEFT(UPPER(C91)&amp;REPT(" ",10),10)," ")</f>
        <v/>
      </c>
      <c r="T91" s="10">
        <f>IF(A91="D",LEFT(UPPER(D91)&amp;REPT(" ",2),2)," ")</f>
        <v/>
      </c>
      <c r="U91" s="10">
        <f>IF(A91="D",LEFT(UPPER(E91)&amp;REPT(" ",15),15)," ")</f>
        <v/>
      </c>
      <c r="V91" s="10">
        <f>REPT(" ",24)</f>
        <v/>
      </c>
      <c r="W91" s="10">
        <f>IF(A91="c",LEFT(UPPER(B91)&amp;REPT(" ",20),20),REPT(" ",20))</f>
        <v/>
      </c>
      <c r="X91" s="10">
        <f>IF(A91="C",LEFT(UPPER(C91)&amp;REPT(" ",10),10)," ")</f>
        <v/>
      </c>
      <c r="Y91" s="10">
        <f>IF(A91="C",LEFT(UPPER(D91)&amp;REPT(" ",2),2)," ")</f>
        <v/>
      </c>
      <c r="Z91" s="10">
        <f>IF(A91="C",LEFT(UPPER(E91)&amp;REPT(" ",15),15)," ")</f>
        <v/>
      </c>
      <c r="AA91" s="10">
        <f>REPT(" ",8)</f>
        <v/>
      </c>
      <c r="AB91" s="10">
        <f>REPT(" ",4)</f>
        <v/>
      </c>
      <c r="AC91" s="10">
        <f>LEFT(UPPER(H91)&amp;REPT(" ",250),250)</f>
        <v/>
      </c>
      <c r="AD91" s="10">
        <f>TEXT($G$2,"dd/mm/aaaa")</f>
        <v/>
      </c>
      <c r="AE91" s="10">
        <f>REPT(" ",10)</f>
        <v/>
      </c>
      <c r="AF91" s="10">
        <f>REPT(" ",20)</f>
        <v/>
      </c>
      <c r="AG91" s="54">
        <f>REPT(" ",18-LEN(FIXED(F91,2,TRUE)))&amp;FIXED(F91,2,TRUE)</f>
        <v/>
      </c>
      <c r="AH91" s="10">
        <f>LEN(AC91)+LEN(AG91)</f>
        <v/>
      </c>
      <c r="AI91" s="10">
        <f>LEN(L91)</f>
        <v/>
      </c>
    </row>
    <row r="92">
      <c r="A92" s="61" t="inlineStr">
        <is>
          <t>D</t>
        </is>
      </c>
      <c r="B92" s="64">
        <f>IFERROR(IF(VLOOKUP(I92,DEPARA_CONTAS,2,0)="","CONTA PENDENTE",VLOOKUP(I92,DEPARA_CONTAS,2,0)),"SEM DE-PARA")</f>
        <v/>
      </c>
      <c r="C92" s="64" t="inlineStr">
        <is>
          <t>000600</t>
        </is>
      </c>
      <c r="D92" s="62" t="n"/>
      <c r="E92" s="62" t="n"/>
      <c r="F92" s="87" t="n">
        <v>4327.83</v>
      </c>
      <c r="H92" s="61" t="inlineStr">
        <is>
          <t>FOLHA DE PAGAMENTO REF 04/2026</t>
        </is>
      </c>
      <c r="I92" s="86" t="inlineStr">
        <is>
          <t>6.1.1.02.002</t>
        </is>
      </c>
      <c r="J92" s="12">
        <f>IF(F92&lt;&gt;0,"LANÇAR","")</f>
        <v/>
      </c>
      <c r="K92" s="20" t="n"/>
      <c r="L92" s="13">
        <f>N92&amp;O92&amp;P92&amp;Q92&amp;R92&amp;S92&amp;T92&amp;U92&amp;V92&amp;W92&amp;X92&amp;Y92&amp;Z92&amp;AA92&amp;AB92&amp;AC92&amp;AD92&amp;AE92&amp;AF92&amp;AG92</f>
        <v/>
      </c>
      <c r="M92" s="20" t="n"/>
      <c r="N92" s="10">
        <f>TEXT($B$6,"00")</f>
        <v/>
      </c>
      <c r="O92" s="10">
        <f>REPT(" ",8)</f>
        <v/>
      </c>
      <c r="P92" s="10">
        <f>RIGHT($B$4,2)</f>
        <v/>
      </c>
      <c r="Q92" s="10">
        <f>RIGHT($B$5,3)</f>
        <v/>
      </c>
      <c r="R92" s="10">
        <f>IF(A92="D",LEFT(UPPER(B92)&amp;REPT(" ",20),20),REPT(" ",20))</f>
        <v/>
      </c>
      <c r="S92" s="10">
        <f>IF(A92="D",LEFT(UPPER(C92)&amp;REPT(" ",10),10)," ")</f>
        <v/>
      </c>
      <c r="T92" s="10">
        <f>IF(A92="D",LEFT(UPPER(D92)&amp;REPT(" ",2),2)," ")</f>
        <v/>
      </c>
      <c r="U92" s="10">
        <f>IF(A92="D",LEFT(UPPER(E92)&amp;REPT(" ",15),15)," ")</f>
        <v/>
      </c>
      <c r="V92" s="10">
        <f>REPT(" ",24)</f>
        <v/>
      </c>
      <c r="W92" s="10">
        <f>IF(A92="c",LEFT(UPPER(B92)&amp;REPT(" ",20),20),REPT(" ",20))</f>
        <v/>
      </c>
      <c r="X92" s="10">
        <f>IF(A92="C",LEFT(UPPER(C92)&amp;REPT(" ",10),10)," ")</f>
        <v/>
      </c>
      <c r="Y92" s="10">
        <f>IF(A92="C",LEFT(UPPER(D92)&amp;REPT(" ",2),2)," ")</f>
        <v/>
      </c>
      <c r="Z92" s="10">
        <f>IF(A92="C",LEFT(UPPER(E92)&amp;REPT(" ",15),15)," ")</f>
        <v/>
      </c>
      <c r="AA92" s="10">
        <f>REPT(" ",8)</f>
        <v/>
      </c>
      <c r="AB92" s="10">
        <f>REPT(" ",4)</f>
        <v/>
      </c>
      <c r="AC92" s="10">
        <f>LEFT(UPPER(H92)&amp;REPT(" ",250),250)</f>
        <v/>
      </c>
      <c r="AD92" s="10">
        <f>TEXT($G$2,"dd/mm/aaaa")</f>
        <v/>
      </c>
      <c r="AE92" s="10">
        <f>REPT(" ",10)</f>
        <v/>
      </c>
      <c r="AF92" s="10">
        <f>REPT(" ",20)</f>
        <v/>
      </c>
      <c r="AG92" s="54">
        <f>REPT(" ",18-LEN(FIXED(F92,2,TRUE)))&amp;FIXED(F92,2,TRUE)</f>
        <v/>
      </c>
      <c r="AH92" s="10">
        <f>LEN(AC92)+LEN(AG92)</f>
        <v/>
      </c>
      <c r="AI92" s="10">
        <f>LEN(L92)</f>
        <v/>
      </c>
    </row>
    <row r="93">
      <c r="A93" s="61" t="inlineStr">
        <is>
          <t>D</t>
        </is>
      </c>
      <c r="B93" s="64">
        <f>IFERROR(IF(VLOOKUP(I93,DEPARA_CONTAS,2,0)="","CONTA PENDENTE",VLOOKUP(I93,DEPARA_CONTAS,2,0)),"SEM DE-PARA")</f>
        <v/>
      </c>
      <c r="C93" s="64" t="inlineStr">
        <is>
          <t>000600</t>
        </is>
      </c>
      <c r="D93" s="62" t="n"/>
      <c r="E93" s="62" t="n"/>
      <c r="F93" s="87" t="n">
        <v>3137.68</v>
      </c>
      <c r="H93" s="61" t="inlineStr">
        <is>
          <t>FOLHA DE PAGAMENTO REF 04/2026</t>
        </is>
      </c>
      <c r="I93" s="86" t="inlineStr">
        <is>
          <t>6.1.1.02.005</t>
        </is>
      </c>
      <c r="J93" s="12">
        <f>IF(F93&lt;&gt;0,"LANÇAR","")</f>
        <v/>
      </c>
      <c r="K93" s="20" t="n"/>
      <c r="L93" s="13">
        <f>N93&amp;O93&amp;P93&amp;Q93&amp;R93&amp;S93&amp;T93&amp;U93&amp;V93&amp;W93&amp;X93&amp;Y93&amp;Z93&amp;AA93&amp;AB93&amp;AC93&amp;AD93&amp;AE93&amp;AF93&amp;AG93</f>
        <v/>
      </c>
      <c r="M93" s="20" t="n"/>
      <c r="N93" s="10">
        <f>TEXT($B$6,"00")</f>
        <v/>
      </c>
      <c r="O93" s="10">
        <f>REPT(" ",8)</f>
        <v/>
      </c>
      <c r="P93" s="10">
        <f>RIGHT($B$4,2)</f>
        <v/>
      </c>
      <c r="Q93" s="10">
        <f>RIGHT($B$5,3)</f>
        <v/>
      </c>
      <c r="R93" s="10">
        <f>IF(A93="D",LEFT(UPPER(B93)&amp;REPT(" ",20),20),REPT(" ",20))</f>
        <v/>
      </c>
      <c r="S93" s="10">
        <f>IF(A93="D",LEFT(UPPER(C93)&amp;REPT(" ",10),10)," ")</f>
        <v/>
      </c>
      <c r="T93" s="10">
        <f>IF(A93="D",LEFT(UPPER(D93)&amp;REPT(" ",2),2)," ")</f>
        <v/>
      </c>
      <c r="U93" s="10">
        <f>IF(A93="D",LEFT(UPPER(E93)&amp;REPT(" ",15),15)," ")</f>
        <v/>
      </c>
      <c r="V93" s="10">
        <f>REPT(" ",24)</f>
        <v/>
      </c>
      <c r="W93" s="10">
        <f>IF(A93="c",LEFT(UPPER(B93)&amp;REPT(" ",20),20),REPT(" ",20))</f>
        <v/>
      </c>
      <c r="X93" s="10">
        <f>IF(A93="C",LEFT(UPPER(C93)&amp;REPT(" ",10),10)," ")</f>
        <v/>
      </c>
      <c r="Y93" s="10">
        <f>IF(A93="C",LEFT(UPPER(D93)&amp;REPT(" ",2),2)," ")</f>
        <v/>
      </c>
      <c r="Z93" s="10">
        <f>IF(A93="C",LEFT(UPPER(E93)&amp;REPT(" ",15),15)," ")</f>
        <v/>
      </c>
      <c r="AA93" s="10">
        <f>REPT(" ",8)</f>
        <v/>
      </c>
      <c r="AB93" s="10">
        <f>REPT(" ",4)</f>
        <v/>
      </c>
      <c r="AC93" s="10">
        <f>LEFT(UPPER(H93)&amp;REPT(" ",250),250)</f>
        <v/>
      </c>
      <c r="AD93" s="10">
        <f>TEXT($G$2,"dd/mm/aaaa")</f>
        <v/>
      </c>
      <c r="AE93" s="10">
        <f>REPT(" ",10)</f>
        <v/>
      </c>
      <c r="AF93" s="10">
        <f>REPT(" ",20)</f>
        <v/>
      </c>
      <c r="AG93" s="54">
        <f>REPT(" ",18-LEN(FIXED(F93,2,TRUE)))&amp;FIXED(F93,2,TRUE)</f>
        <v/>
      </c>
      <c r="AH93" s="10">
        <f>LEN(AC93)+LEN(AG93)</f>
        <v/>
      </c>
      <c r="AI93" s="10">
        <f>LEN(L93)</f>
        <v/>
      </c>
    </row>
    <row r="94">
      <c r="A94" s="61" t="inlineStr">
        <is>
          <t>D</t>
        </is>
      </c>
      <c r="B94" s="64">
        <f>IFERROR(IF(VLOOKUP(I94,DEPARA_CONTAS,2,0)="","CONTA PENDENTE",VLOOKUP(I94,DEPARA_CONTAS,2,0)),"SEM DE-PARA")</f>
        <v/>
      </c>
      <c r="C94" s="64" t="inlineStr">
        <is>
          <t>000600</t>
        </is>
      </c>
      <c r="D94" s="62" t="n"/>
      <c r="E94" s="62" t="n"/>
      <c r="F94" s="87" t="n">
        <v>6557.32</v>
      </c>
      <c r="H94" s="61" t="inlineStr">
        <is>
          <t>FOLHA DE PAGAMENTO REF 04/2026</t>
        </is>
      </c>
      <c r="I94" s="86" t="inlineStr">
        <is>
          <t>6.1.1.03.001</t>
        </is>
      </c>
      <c r="J94" s="12">
        <f>IF(F94&lt;&gt;0,"LANÇAR","")</f>
        <v/>
      </c>
      <c r="K94" s="20" t="n"/>
      <c r="L94" s="13">
        <f>N94&amp;O94&amp;P94&amp;Q94&amp;R94&amp;S94&amp;T94&amp;U94&amp;V94&amp;W94&amp;X94&amp;Y94&amp;Z94&amp;AA94&amp;AB94&amp;AC94&amp;AD94&amp;AE94&amp;AF94&amp;AG94</f>
        <v/>
      </c>
      <c r="M94" s="20" t="n"/>
      <c r="N94" s="10">
        <f>TEXT($B$6,"00")</f>
        <v/>
      </c>
      <c r="O94" s="10">
        <f>REPT(" ",8)</f>
        <v/>
      </c>
      <c r="P94" s="10">
        <f>RIGHT($B$4,2)</f>
        <v/>
      </c>
      <c r="Q94" s="10">
        <f>RIGHT($B$5,3)</f>
        <v/>
      </c>
      <c r="R94" s="10">
        <f>IF(A94="D",LEFT(UPPER(B94)&amp;REPT(" ",20),20),REPT(" ",20))</f>
        <v/>
      </c>
      <c r="S94" s="10">
        <f>IF(A94="D",LEFT(UPPER(C94)&amp;REPT(" ",10),10)," ")</f>
        <v/>
      </c>
      <c r="T94" s="10">
        <f>IF(A94="D",LEFT(UPPER(D94)&amp;REPT(" ",2),2)," ")</f>
        <v/>
      </c>
      <c r="U94" s="10">
        <f>IF(A94="D",LEFT(UPPER(E94)&amp;REPT(" ",15),15)," ")</f>
        <v/>
      </c>
      <c r="V94" s="10">
        <f>REPT(" ",24)</f>
        <v/>
      </c>
      <c r="W94" s="10">
        <f>IF(A94="c",LEFT(UPPER(B94)&amp;REPT(" ",20),20),REPT(" ",20))</f>
        <v/>
      </c>
      <c r="X94" s="10">
        <f>IF(A94="C",LEFT(UPPER(C94)&amp;REPT(" ",10),10)," ")</f>
        <v/>
      </c>
      <c r="Y94" s="10">
        <f>IF(A94="C",LEFT(UPPER(D94)&amp;REPT(" ",2),2)," ")</f>
        <v/>
      </c>
      <c r="Z94" s="10">
        <f>IF(A94="C",LEFT(UPPER(E94)&amp;REPT(" ",15),15)," ")</f>
        <v/>
      </c>
      <c r="AA94" s="10">
        <f>REPT(" ",8)</f>
        <v/>
      </c>
      <c r="AB94" s="10">
        <f>REPT(" ",4)</f>
        <v/>
      </c>
      <c r="AC94" s="10">
        <f>LEFT(UPPER(H94)&amp;REPT(" ",250),250)</f>
        <v/>
      </c>
      <c r="AD94" s="10">
        <f>TEXT($G$2,"dd/mm/aaaa")</f>
        <v/>
      </c>
      <c r="AE94" s="10">
        <f>REPT(" ",10)</f>
        <v/>
      </c>
      <c r="AF94" s="10">
        <f>REPT(" ",20)</f>
        <v/>
      </c>
      <c r="AG94" s="54">
        <f>REPT(" ",18-LEN(FIXED(F94,2,TRUE)))&amp;FIXED(F94,2,TRUE)</f>
        <v/>
      </c>
      <c r="AH94" s="10">
        <f>LEN(AC94)+LEN(AG94)</f>
        <v/>
      </c>
      <c r="AI94" s="10">
        <f>LEN(L94)</f>
        <v/>
      </c>
    </row>
    <row r="95">
      <c r="A95" s="61" t="inlineStr">
        <is>
          <t>D</t>
        </is>
      </c>
      <c r="B95" s="64">
        <f>IFERROR(IF(VLOOKUP(I95,DEPARA_CONTAS,2,0)="","CONTA PENDENTE",VLOOKUP(I95,DEPARA_CONTAS,2,0)),"SEM DE-PARA")</f>
        <v/>
      </c>
      <c r="C95" s="64" t="inlineStr">
        <is>
          <t>000600</t>
        </is>
      </c>
      <c r="D95" s="62" t="n"/>
      <c r="E95" s="62" t="n"/>
      <c r="F95" s="87" t="n">
        <v>4508.16</v>
      </c>
      <c r="H95" s="61" t="inlineStr">
        <is>
          <t>FOLHA DE PAGAMENTO REF 04/2026</t>
        </is>
      </c>
      <c r="I95" s="86" t="inlineStr">
        <is>
          <t>6.1.1.03.002</t>
        </is>
      </c>
      <c r="J95" s="12">
        <f>IF(F95&lt;&gt;0,"LANÇAR","")</f>
        <v/>
      </c>
      <c r="K95" s="20" t="n"/>
      <c r="L95" s="13">
        <f>N95&amp;O95&amp;P95&amp;Q95&amp;R95&amp;S95&amp;T95&amp;U95&amp;V95&amp;W95&amp;X95&amp;Y95&amp;Z95&amp;AA95&amp;AB95&amp;AC95&amp;AD95&amp;AE95&amp;AF95&amp;AG95</f>
        <v/>
      </c>
      <c r="M95" s="20" t="n"/>
      <c r="N95" s="10">
        <f>TEXT($B$6,"00")</f>
        <v/>
      </c>
      <c r="O95" s="10">
        <f>REPT(" ",8)</f>
        <v/>
      </c>
      <c r="P95" s="10">
        <f>RIGHT($B$4,2)</f>
        <v/>
      </c>
      <c r="Q95" s="10">
        <f>RIGHT($B$5,3)</f>
        <v/>
      </c>
      <c r="R95" s="10">
        <f>IF(A95="D",LEFT(UPPER(B95)&amp;REPT(" ",20),20),REPT(" ",20))</f>
        <v/>
      </c>
      <c r="S95" s="10">
        <f>IF(A95="D",LEFT(UPPER(C95)&amp;REPT(" ",10),10)," ")</f>
        <v/>
      </c>
      <c r="T95" s="10">
        <f>IF(A95="D",LEFT(UPPER(D95)&amp;REPT(" ",2),2)," ")</f>
        <v/>
      </c>
      <c r="U95" s="10">
        <f>IF(A95="D",LEFT(UPPER(E95)&amp;REPT(" ",15),15)," ")</f>
        <v/>
      </c>
      <c r="V95" s="10">
        <f>REPT(" ",24)</f>
        <v/>
      </c>
      <c r="W95" s="10">
        <f>IF(A95="c",LEFT(UPPER(B95)&amp;REPT(" ",20),20),REPT(" ",20))</f>
        <v/>
      </c>
      <c r="X95" s="10">
        <f>IF(A95="C",LEFT(UPPER(C95)&amp;REPT(" ",10),10)," ")</f>
        <v/>
      </c>
      <c r="Y95" s="10">
        <f>IF(A95="C",LEFT(UPPER(D95)&amp;REPT(" ",2),2)," ")</f>
        <v/>
      </c>
      <c r="Z95" s="10">
        <f>IF(A95="C",LEFT(UPPER(E95)&amp;REPT(" ",15),15)," ")</f>
        <v/>
      </c>
      <c r="AA95" s="10">
        <f>REPT(" ",8)</f>
        <v/>
      </c>
      <c r="AB95" s="10">
        <f>REPT(" ",4)</f>
        <v/>
      </c>
      <c r="AC95" s="10">
        <f>LEFT(UPPER(H95)&amp;REPT(" ",250),250)</f>
        <v/>
      </c>
      <c r="AD95" s="10">
        <f>TEXT($G$2,"dd/mm/aaaa")</f>
        <v/>
      </c>
      <c r="AE95" s="10">
        <f>REPT(" ",10)</f>
        <v/>
      </c>
      <c r="AF95" s="10">
        <f>REPT(" ",20)</f>
        <v/>
      </c>
      <c r="AG95" s="54">
        <f>REPT(" ",18-LEN(FIXED(F95,2,TRUE)))&amp;FIXED(F95,2,TRUE)</f>
        <v/>
      </c>
      <c r="AH95" s="10">
        <f>LEN(AC95)+LEN(AG95)</f>
        <v/>
      </c>
      <c r="AI95" s="10">
        <f>LEN(L95)</f>
        <v/>
      </c>
    </row>
    <row r="96">
      <c r="A96" s="61" t="inlineStr">
        <is>
          <t>D</t>
        </is>
      </c>
      <c r="B96" s="64">
        <f>IFERROR(IF(VLOOKUP(I96,DEPARA_CONTAS,2,0)="","CONTA PENDENTE",VLOOKUP(I96,DEPARA_CONTAS,2,0)),"SEM DE-PARA")</f>
        <v/>
      </c>
      <c r="C96" s="64" t="inlineStr">
        <is>
          <t>000600</t>
        </is>
      </c>
      <c r="D96" s="62" t="n"/>
      <c r="E96" s="62" t="n"/>
      <c r="F96" s="87" t="n">
        <v>1822.93</v>
      </c>
      <c r="H96" s="61" t="inlineStr">
        <is>
          <t>FOLHA DE PAGAMENTO REF 04/2026</t>
        </is>
      </c>
      <c r="I96" s="86" t="inlineStr">
        <is>
          <t>6.1.1.03.003</t>
        </is>
      </c>
      <c r="J96" s="12">
        <f>IF(F96&lt;&gt;0,"LANÇAR","")</f>
        <v/>
      </c>
      <c r="K96" s="20" t="n"/>
      <c r="L96" s="13">
        <f>N96&amp;O96&amp;P96&amp;Q96&amp;R96&amp;S96&amp;T96&amp;U96&amp;V96&amp;W96&amp;X96&amp;Y96&amp;Z96&amp;AA96&amp;AB96&amp;AC96&amp;AD96&amp;AE96&amp;AF96&amp;AG96</f>
        <v/>
      </c>
      <c r="M96" s="20" t="n"/>
      <c r="N96" s="10">
        <f>TEXT($B$6,"00")</f>
        <v/>
      </c>
      <c r="O96" s="10">
        <f>REPT(" ",8)</f>
        <v/>
      </c>
      <c r="P96" s="10">
        <f>RIGHT($B$4,2)</f>
        <v/>
      </c>
      <c r="Q96" s="10">
        <f>RIGHT($B$5,3)</f>
        <v/>
      </c>
      <c r="R96" s="10">
        <f>IF(A96="D",LEFT(UPPER(B96)&amp;REPT(" ",20),20),REPT(" ",20))</f>
        <v/>
      </c>
      <c r="S96" s="10">
        <f>IF(A96="D",LEFT(UPPER(C96)&amp;REPT(" ",10),10)," ")</f>
        <v/>
      </c>
      <c r="T96" s="10">
        <f>IF(A96="D",LEFT(UPPER(D96)&amp;REPT(" ",2),2)," ")</f>
        <v/>
      </c>
      <c r="U96" s="10">
        <f>IF(A96="D",LEFT(UPPER(E96)&amp;REPT(" ",15),15)," ")</f>
        <v/>
      </c>
      <c r="V96" s="10">
        <f>REPT(" ",24)</f>
        <v/>
      </c>
      <c r="W96" s="10">
        <f>IF(A96="c",LEFT(UPPER(B96)&amp;REPT(" ",20),20),REPT(" ",20))</f>
        <v/>
      </c>
      <c r="X96" s="10">
        <f>IF(A96="C",LEFT(UPPER(C96)&amp;REPT(" ",10),10)," ")</f>
        <v/>
      </c>
      <c r="Y96" s="10">
        <f>IF(A96="C",LEFT(UPPER(D96)&amp;REPT(" ",2),2)," ")</f>
        <v/>
      </c>
      <c r="Z96" s="10">
        <f>IF(A96="C",LEFT(UPPER(E96)&amp;REPT(" ",15),15)," ")</f>
        <v/>
      </c>
      <c r="AA96" s="10">
        <f>REPT(" ",8)</f>
        <v/>
      </c>
      <c r="AB96" s="10">
        <f>REPT(" ",4)</f>
        <v/>
      </c>
      <c r="AC96" s="10">
        <f>LEFT(UPPER(H96)&amp;REPT(" ",250),250)</f>
        <v/>
      </c>
      <c r="AD96" s="10">
        <f>TEXT($G$2,"dd/mm/aaaa")</f>
        <v/>
      </c>
      <c r="AE96" s="10">
        <f>REPT(" ",10)</f>
        <v/>
      </c>
      <c r="AF96" s="10">
        <f>REPT(" ",20)</f>
        <v/>
      </c>
      <c r="AG96" s="54">
        <f>REPT(" ",18-LEN(FIXED(F96,2,TRUE)))&amp;FIXED(F96,2,TRUE)</f>
        <v/>
      </c>
      <c r="AH96" s="10">
        <f>LEN(AC96)+LEN(AG96)</f>
        <v/>
      </c>
      <c r="AI96" s="10">
        <f>LEN(L96)</f>
        <v/>
      </c>
    </row>
    <row r="97">
      <c r="A97" s="61" t="inlineStr">
        <is>
          <t>D</t>
        </is>
      </c>
      <c r="B97" s="64">
        <f>IFERROR(IF(VLOOKUP(I97,DEPARA_CONTAS,2,0)="","CONTA PENDENTE",VLOOKUP(I97,DEPARA_CONTAS,2,0)),"SEM DE-PARA")</f>
        <v/>
      </c>
      <c r="C97" s="64" t="inlineStr">
        <is>
          <t>000600</t>
        </is>
      </c>
      <c r="D97" s="62" t="n"/>
      <c r="E97" s="62" t="n"/>
      <c r="F97" s="87" t="n">
        <v>1253.27</v>
      </c>
      <c r="H97" s="61" t="inlineStr">
        <is>
          <t>FOLHA DE PAGAMENTO REF 04/2026</t>
        </is>
      </c>
      <c r="I97" s="86" t="inlineStr">
        <is>
          <t>6.1.1.03.004</t>
        </is>
      </c>
      <c r="J97" s="12">
        <f>IF(F97&lt;&gt;0,"LANÇAR","")</f>
        <v/>
      </c>
      <c r="K97" s="20" t="n"/>
      <c r="L97" s="13">
        <f>N97&amp;O97&amp;P97&amp;Q97&amp;R97&amp;S97&amp;T97&amp;U97&amp;V97&amp;W97&amp;X97&amp;Y97&amp;Z97&amp;AA97&amp;AB97&amp;AC97&amp;AD97&amp;AE97&amp;AF97&amp;AG97</f>
        <v/>
      </c>
      <c r="M97" s="20" t="n"/>
      <c r="N97" s="10">
        <f>TEXT($B$6,"00")</f>
        <v/>
      </c>
      <c r="O97" s="10">
        <f>REPT(" ",8)</f>
        <v/>
      </c>
      <c r="P97" s="10">
        <f>RIGHT($B$4,2)</f>
        <v/>
      </c>
      <c r="Q97" s="10">
        <f>RIGHT($B$5,3)</f>
        <v/>
      </c>
      <c r="R97" s="10">
        <f>IF(A97="D",LEFT(UPPER(B97)&amp;REPT(" ",20),20),REPT(" ",20))</f>
        <v/>
      </c>
      <c r="S97" s="10">
        <f>IF(A97="D",LEFT(UPPER(C97)&amp;REPT(" ",10),10)," ")</f>
        <v/>
      </c>
      <c r="T97" s="10">
        <f>IF(A97="D",LEFT(UPPER(D97)&amp;REPT(" ",2),2)," ")</f>
        <v/>
      </c>
      <c r="U97" s="10">
        <f>IF(A97="D",LEFT(UPPER(E97)&amp;REPT(" ",15),15)," ")</f>
        <v/>
      </c>
      <c r="V97" s="10">
        <f>REPT(" ",24)</f>
        <v/>
      </c>
      <c r="W97" s="10">
        <f>IF(A97="c",LEFT(UPPER(B97)&amp;REPT(" ",20),20),REPT(" ",20))</f>
        <v/>
      </c>
      <c r="X97" s="10">
        <f>IF(A97="C",LEFT(UPPER(C97)&amp;REPT(" ",10),10)," ")</f>
        <v/>
      </c>
      <c r="Y97" s="10">
        <f>IF(A97="C",LEFT(UPPER(D97)&amp;REPT(" ",2),2)," ")</f>
        <v/>
      </c>
      <c r="Z97" s="10">
        <f>IF(A97="C",LEFT(UPPER(E97)&amp;REPT(" ",15),15)," ")</f>
        <v/>
      </c>
      <c r="AA97" s="10">
        <f>REPT(" ",8)</f>
        <v/>
      </c>
      <c r="AB97" s="10">
        <f>REPT(" ",4)</f>
        <v/>
      </c>
      <c r="AC97" s="10">
        <f>LEFT(UPPER(H97)&amp;REPT(" ",250),250)</f>
        <v/>
      </c>
      <c r="AD97" s="10">
        <f>TEXT($G$2,"dd/mm/aaaa")</f>
        <v/>
      </c>
      <c r="AE97" s="10">
        <f>REPT(" ",10)</f>
        <v/>
      </c>
      <c r="AF97" s="10">
        <f>REPT(" ",20)</f>
        <v/>
      </c>
      <c r="AG97" s="54">
        <f>REPT(" ",18-LEN(FIXED(F97,2,TRUE)))&amp;FIXED(F97,2,TRUE)</f>
        <v/>
      </c>
      <c r="AH97" s="10">
        <f>LEN(AC97)+LEN(AG97)</f>
        <v/>
      </c>
      <c r="AI97" s="10">
        <f>LEN(L97)</f>
        <v/>
      </c>
    </row>
    <row r="98">
      <c r="A98" s="61" t="inlineStr">
        <is>
          <t>D</t>
        </is>
      </c>
      <c r="B98" s="64">
        <f>IFERROR(IF(VLOOKUP(I98,DEPARA_CONTAS,2,0)="","CONTA PENDENTE",VLOOKUP(I98,DEPARA_CONTAS,2,0)),"SEM DE-PARA")</f>
        <v/>
      </c>
      <c r="C98" s="64" t="inlineStr">
        <is>
          <t>000600</t>
        </is>
      </c>
      <c r="D98" s="62" t="n"/>
      <c r="E98" s="62" t="n"/>
      <c r="F98" s="87" t="n">
        <v>524.59</v>
      </c>
      <c r="H98" s="61" t="inlineStr">
        <is>
          <t>FOLHA DE PAGAMENTO REF 04/2026</t>
        </is>
      </c>
      <c r="I98" s="86" t="inlineStr">
        <is>
          <t>6.1.1.03.005</t>
        </is>
      </c>
      <c r="J98" s="12">
        <f>IF(F98&lt;&gt;0,"LANÇAR","")</f>
        <v/>
      </c>
      <c r="K98" s="20" t="n"/>
      <c r="L98" s="13">
        <f>N98&amp;O98&amp;P98&amp;Q98&amp;R98&amp;S98&amp;T98&amp;U98&amp;V98&amp;W98&amp;X98&amp;Y98&amp;Z98&amp;AA98&amp;AB98&amp;AC98&amp;AD98&amp;AE98&amp;AF98&amp;AG98</f>
        <v/>
      </c>
      <c r="M98" s="20" t="n"/>
      <c r="N98" s="10">
        <f>TEXT($B$6,"00")</f>
        <v/>
      </c>
      <c r="O98" s="10">
        <f>REPT(" ",8)</f>
        <v/>
      </c>
      <c r="P98" s="10">
        <f>RIGHT($B$4,2)</f>
        <v/>
      </c>
      <c r="Q98" s="10">
        <f>RIGHT($B$5,3)</f>
        <v/>
      </c>
      <c r="R98" s="10">
        <f>IF(A98="D",LEFT(UPPER(B98)&amp;REPT(" ",20),20),REPT(" ",20))</f>
        <v/>
      </c>
      <c r="S98" s="10">
        <f>IF(A98="D",LEFT(UPPER(C98)&amp;REPT(" ",10),10)," ")</f>
        <v/>
      </c>
      <c r="T98" s="10">
        <f>IF(A98="D",LEFT(UPPER(D98)&amp;REPT(" ",2),2)," ")</f>
        <v/>
      </c>
      <c r="U98" s="10">
        <f>IF(A98="D",LEFT(UPPER(E98)&amp;REPT(" ",15),15)," ")</f>
        <v/>
      </c>
      <c r="V98" s="10">
        <f>REPT(" ",24)</f>
        <v/>
      </c>
      <c r="W98" s="10">
        <f>IF(A98="c",LEFT(UPPER(B98)&amp;REPT(" ",20),20),REPT(" ",20))</f>
        <v/>
      </c>
      <c r="X98" s="10">
        <f>IF(A98="C",LEFT(UPPER(C98)&amp;REPT(" ",10),10)," ")</f>
        <v/>
      </c>
      <c r="Y98" s="10">
        <f>IF(A98="C",LEFT(UPPER(D98)&amp;REPT(" ",2),2)," ")</f>
        <v/>
      </c>
      <c r="Z98" s="10">
        <f>IF(A98="C",LEFT(UPPER(E98)&amp;REPT(" ",15),15)," ")</f>
        <v/>
      </c>
      <c r="AA98" s="10">
        <f>REPT(" ",8)</f>
        <v/>
      </c>
      <c r="AB98" s="10">
        <f>REPT(" ",4)</f>
        <v/>
      </c>
      <c r="AC98" s="10">
        <f>LEFT(UPPER(H98)&amp;REPT(" ",250),250)</f>
        <v/>
      </c>
      <c r="AD98" s="10">
        <f>TEXT($G$2,"dd/mm/aaaa")</f>
        <v/>
      </c>
      <c r="AE98" s="10">
        <f>REPT(" ",10)</f>
        <v/>
      </c>
      <c r="AF98" s="10">
        <f>REPT(" ",20)</f>
        <v/>
      </c>
      <c r="AG98" s="54">
        <f>REPT(" ",18-LEN(FIXED(F98,2,TRUE)))&amp;FIXED(F98,2,TRUE)</f>
        <v/>
      </c>
      <c r="AH98" s="10">
        <f>LEN(AC98)+LEN(AG98)</f>
        <v/>
      </c>
      <c r="AI98" s="10">
        <f>LEN(L98)</f>
        <v/>
      </c>
    </row>
    <row r="99">
      <c r="A99" s="61" t="inlineStr">
        <is>
          <t>D</t>
        </is>
      </c>
      <c r="B99" s="64">
        <f>IFERROR(IF(VLOOKUP(I99,DEPARA_CONTAS,2,0)="","CONTA PENDENTE",VLOOKUP(I99,DEPARA_CONTAS,2,0)),"SEM DE-PARA")</f>
        <v/>
      </c>
      <c r="C99" s="64" t="inlineStr">
        <is>
          <t>000600</t>
        </is>
      </c>
      <c r="D99" s="62" t="n"/>
      <c r="E99" s="62" t="n"/>
      <c r="F99" s="87" t="n">
        <v>360.65</v>
      </c>
      <c r="H99" s="61" t="inlineStr">
        <is>
          <t>FOLHA DE PAGAMENTO REF 04/2026</t>
        </is>
      </c>
      <c r="I99" s="86" t="inlineStr">
        <is>
          <t>6.1.1.03.006</t>
        </is>
      </c>
      <c r="J99" s="12">
        <f>IF(F99&lt;&gt;0,"LANÇAR","")</f>
        <v/>
      </c>
      <c r="K99" s="20" t="n"/>
      <c r="L99" s="13">
        <f>N99&amp;O99&amp;P99&amp;Q99&amp;R99&amp;S99&amp;T99&amp;U99&amp;V99&amp;W99&amp;X99&amp;Y99&amp;Z99&amp;AA99&amp;AB99&amp;AC99&amp;AD99&amp;AE99&amp;AF99&amp;AG99</f>
        <v/>
      </c>
      <c r="M99" s="20" t="n"/>
      <c r="N99" s="10">
        <f>TEXT($B$6,"00")</f>
        <v/>
      </c>
      <c r="O99" s="10">
        <f>REPT(" ",8)</f>
        <v/>
      </c>
      <c r="P99" s="10">
        <f>RIGHT($B$4,2)</f>
        <v/>
      </c>
      <c r="Q99" s="10">
        <f>RIGHT($B$5,3)</f>
        <v/>
      </c>
      <c r="R99" s="10">
        <f>IF(A99="D",LEFT(UPPER(B99)&amp;REPT(" ",20),20),REPT(" ",20))</f>
        <v/>
      </c>
      <c r="S99" s="10">
        <f>IF(A99="D",LEFT(UPPER(C99)&amp;REPT(" ",10),10)," ")</f>
        <v/>
      </c>
      <c r="T99" s="10">
        <f>IF(A99="D",LEFT(UPPER(D99)&amp;REPT(" ",2),2)," ")</f>
        <v/>
      </c>
      <c r="U99" s="10">
        <f>IF(A99="D",LEFT(UPPER(E99)&amp;REPT(" ",15),15)," ")</f>
        <v/>
      </c>
      <c r="V99" s="10">
        <f>REPT(" ",24)</f>
        <v/>
      </c>
      <c r="W99" s="10">
        <f>IF(A99="c",LEFT(UPPER(B99)&amp;REPT(" ",20),20),REPT(" ",20))</f>
        <v/>
      </c>
      <c r="X99" s="10">
        <f>IF(A99="C",LEFT(UPPER(C99)&amp;REPT(" ",10),10)," ")</f>
        <v/>
      </c>
      <c r="Y99" s="10">
        <f>IF(A99="C",LEFT(UPPER(D99)&amp;REPT(" ",2),2)," ")</f>
        <v/>
      </c>
      <c r="Z99" s="10">
        <f>IF(A99="C",LEFT(UPPER(E99)&amp;REPT(" ",15),15)," ")</f>
        <v/>
      </c>
      <c r="AA99" s="10">
        <f>REPT(" ",8)</f>
        <v/>
      </c>
      <c r="AB99" s="10">
        <f>REPT(" ",4)</f>
        <v/>
      </c>
      <c r="AC99" s="10">
        <f>LEFT(UPPER(H99)&amp;REPT(" ",250),250)</f>
        <v/>
      </c>
      <c r="AD99" s="10">
        <f>TEXT($G$2,"dd/mm/aaaa")</f>
        <v/>
      </c>
      <c r="AE99" s="10">
        <f>REPT(" ",10)</f>
        <v/>
      </c>
      <c r="AF99" s="10">
        <f>REPT(" ",20)</f>
        <v/>
      </c>
      <c r="AG99" s="54">
        <f>REPT(" ",18-LEN(FIXED(F99,2,TRUE)))&amp;FIXED(F99,2,TRUE)</f>
        <v/>
      </c>
      <c r="AH99" s="10">
        <f>LEN(AC99)+LEN(AG99)</f>
        <v/>
      </c>
      <c r="AI99" s="10">
        <f>LEN(L99)</f>
        <v/>
      </c>
    </row>
    <row r="100">
      <c r="A100" s="61" t="inlineStr">
        <is>
          <t>D</t>
        </is>
      </c>
      <c r="B100" s="64">
        <f>IFERROR(IF(VLOOKUP(I100,DEPARA_CONTAS,2,0)="","CONTA PENDENTE",VLOOKUP(I100,DEPARA_CONTAS,2,0)),"SEM DE-PARA")</f>
        <v/>
      </c>
      <c r="C100" s="64" t="inlineStr">
        <is>
          <t>008000</t>
        </is>
      </c>
      <c r="D100" s="62" t="n"/>
      <c r="E100" s="62" t="n"/>
      <c r="F100" s="87" t="n">
        <v>2259.2</v>
      </c>
      <c r="H100" s="61" t="inlineStr">
        <is>
          <t>FOLHA DE PAGAMENTO REF 04/2026</t>
        </is>
      </c>
      <c r="I100" s="86" t="inlineStr">
        <is>
          <t>6.1.1.05.002</t>
        </is>
      </c>
      <c r="J100" s="12">
        <f>IF(F100&lt;&gt;0,"LANÇAR","")</f>
        <v/>
      </c>
      <c r="K100" s="20" t="n"/>
      <c r="L100" s="13">
        <f>N100&amp;O100&amp;P100&amp;Q100&amp;R100&amp;S100&amp;T100&amp;U100&amp;V100&amp;W100&amp;X100&amp;Y100&amp;Z100&amp;AA100&amp;AB100&amp;AC100&amp;AD100&amp;AE100&amp;AF100&amp;AG100</f>
        <v/>
      </c>
      <c r="M100" s="20" t="n"/>
      <c r="N100" s="10">
        <f>TEXT($B$6,"00")</f>
        <v/>
      </c>
      <c r="O100" s="10">
        <f>REPT(" ",8)</f>
        <v/>
      </c>
      <c r="P100" s="10">
        <f>RIGHT($B$4,2)</f>
        <v/>
      </c>
      <c r="Q100" s="10">
        <f>RIGHT($B$5,3)</f>
        <v/>
      </c>
      <c r="R100" s="10">
        <f>IF(A100="D",LEFT(UPPER(B100)&amp;REPT(" ",20),20),REPT(" ",20))</f>
        <v/>
      </c>
      <c r="S100" s="10">
        <f>IF(A100="D",LEFT(UPPER(C100)&amp;REPT(" ",10),10)," ")</f>
        <v/>
      </c>
      <c r="T100" s="10">
        <f>IF(A100="D",LEFT(UPPER(D100)&amp;REPT(" ",2),2)," ")</f>
        <v/>
      </c>
      <c r="U100" s="10">
        <f>IF(A100="D",LEFT(UPPER(E100)&amp;REPT(" ",15),15)," ")</f>
        <v/>
      </c>
      <c r="V100" s="10">
        <f>REPT(" ",24)</f>
        <v/>
      </c>
      <c r="W100" s="10">
        <f>IF(A100="c",LEFT(UPPER(B100)&amp;REPT(" ",20),20),REPT(" ",20))</f>
        <v/>
      </c>
      <c r="X100" s="10">
        <f>IF(A100="C",LEFT(UPPER(C100)&amp;REPT(" ",10),10)," ")</f>
        <v/>
      </c>
      <c r="Y100" s="10">
        <f>IF(A100="C",LEFT(UPPER(D100)&amp;REPT(" ",2),2)," ")</f>
        <v/>
      </c>
      <c r="Z100" s="10">
        <f>IF(A100="C",LEFT(UPPER(E100)&amp;REPT(" ",15),15)," ")</f>
        <v/>
      </c>
      <c r="AA100" s="10">
        <f>REPT(" ",8)</f>
        <v/>
      </c>
      <c r="AB100" s="10">
        <f>REPT(" ",4)</f>
        <v/>
      </c>
      <c r="AC100" s="10">
        <f>LEFT(UPPER(H100)&amp;REPT(" ",250),250)</f>
        <v/>
      </c>
      <c r="AD100" s="10">
        <f>TEXT($G$2,"dd/mm/aaaa")</f>
        <v/>
      </c>
      <c r="AE100" s="10">
        <f>REPT(" ",10)</f>
        <v/>
      </c>
      <c r="AF100" s="10">
        <f>REPT(" ",20)</f>
        <v/>
      </c>
      <c r="AG100" s="54">
        <f>REPT(" ",18-LEN(FIXED(F100,2,TRUE)))&amp;FIXED(F100,2,TRUE)</f>
        <v/>
      </c>
      <c r="AH100" s="10">
        <f>LEN(AC100)+LEN(AG100)</f>
        <v/>
      </c>
      <c r="AI100" s="10">
        <f>LEN(L100)</f>
        <v/>
      </c>
    </row>
    <row r="101">
      <c r="A101" s="61" t="inlineStr">
        <is>
          <t>D</t>
        </is>
      </c>
      <c r="B101" s="64">
        <f>IFERROR(IF(VLOOKUP(I101,DEPARA_CONTAS,2,0)="","CONTA PENDENTE",VLOOKUP(I101,DEPARA_CONTAS,2,0)),"SEM DE-PARA")</f>
        <v/>
      </c>
      <c r="C101" s="64" t="inlineStr">
        <is>
          <t>008000</t>
        </is>
      </c>
      <c r="D101" s="62" t="n"/>
      <c r="E101" s="62" t="n"/>
      <c r="F101" s="87" t="n">
        <v>2686.72</v>
      </c>
      <c r="H101" s="61" t="inlineStr">
        <is>
          <t>FOLHA DE PAGAMENTO REF 04/2026</t>
        </is>
      </c>
      <c r="I101" s="86" t="inlineStr">
        <is>
          <t>6.1.1.01.002</t>
        </is>
      </c>
      <c r="J101" s="12">
        <f>IF(F101&lt;&gt;0,"LANÇAR","")</f>
        <v/>
      </c>
      <c r="K101" s="20" t="n"/>
      <c r="L101" s="13">
        <f>N101&amp;O101&amp;P101&amp;Q101&amp;R101&amp;S101&amp;T101&amp;U101&amp;V101&amp;W101&amp;X101&amp;Y101&amp;Z101&amp;AA101&amp;AB101&amp;AC101&amp;AD101&amp;AE101&amp;AF101&amp;AG101</f>
        <v/>
      </c>
      <c r="M101" s="20" t="n"/>
      <c r="N101" s="10">
        <f>TEXT($B$6,"00")</f>
        <v/>
      </c>
      <c r="O101" s="10">
        <f>REPT(" ",8)</f>
        <v/>
      </c>
      <c r="P101" s="10">
        <f>RIGHT($B$4,2)</f>
        <v/>
      </c>
      <c r="Q101" s="10">
        <f>RIGHT($B$5,3)</f>
        <v/>
      </c>
      <c r="R101" s="10">
        <f>IF(A101="D",LEFT(UPPER(B101)&amp;REPT(" ",20),20),REPT(" ",20))</f>
        <v/>
      </c>
      <c r="S101" s="10">
        <f>IF(A101="D",LEFT(UPPER(C101)&amp;REPT(" ",10),10)," ")</f>
        <v/>
      </c>
      <c r="T101" s="10">
        <f>IF(A101="D",LEFT(UPPER(D101)&amp;REPT(" ",2),2)," ")</f>
        <v/>
      </c>
      <c r="U101" s="10">
        <f>IF(A101="D",LEFT(UPPER(E101)&amp;REPT(" ",15),15)," ")</f>
        <v/>
      </c>
      <c r="V101" s="10">
        <f>REPT(" ",24)</f>
        <v/>
      </c>
      <c r="W101" s="10">
        <f>IF(A101="c",LEFT(UPPER(B101)&amp;REPT(" ",20),20),REPT(" ",20))</f>
        <v/>
      </c>
      <c r="X101" s="10">
        <f>IF(A101="C",LEFT(UPPER(C101)&amp;REPT(" ",10),10)," ")</f>
        <v/>
      </c>
      <c r="Y101" s="10">
        <f>IF(A101="C",LEFT(UPPER(D101)&amp;REPT(" ",2),2)," ")</f>
        <v/>
      </c>
      <c r="Z101" s="10">
        <f>IF(A101="C",LEFT(UPPER(E101)&amp;REPT(" ",15),15)," ")</f>
        <v/>
      </c>
      <c r="AA101" s="10">
        <f>REPT(" ",8)</f>
        <v/>
      </c>
      <c r="AB101" s="10">
        <f>REPT(" ",4)</f>
        <v/>
      </c>
      <c r="AC101" s="10">
        <f>LEFT(UPPER(H101)&amp;REPT(" ",250),250)</f>
        <v/>
      </c>
      <c r="AD101" s="10">
        <f>TEXT($G$2,"dd/mm/aaaa")</f>
        <v/>
      </c>
      <c r="AE101" s="10">
        <f>REPT(" ",10)</f>
        <v/>
      </c>
      <c r="AF101" s="10">
        <f>REPT(" ",20)</f>
        <v/>
      </c>
      <c r="AG101" s="54">
        <f>REPT(" ",18-LEN(FIXED(F101,2,TRUE)))&amp;FIXED(F101,2,TRUE)</f>
        <v/>
      </c>
      <c r="AH101" s="10">
        <f>LEN(AC101)+LEN(AG101)</f>
        <v/>
      </c>
      <c r="AI101" s="10">
        <f>LEN(L101)</f>
        <v/>
      </c>
    </row>
    <row r="102">
      <c r="A102" s="61" t="inlineStr">
        <is>
          <t>C</t>
        </is>
      </c>
      <c r="B102" s="64">
        <f>IFERROR(IF(VLOOKUP(I102,DEPARA_CONTAS,2,0)="","CONTA PENDENTE",VLOOKUP(I102,DEPARA_CONTAS,2,0)),"SEM DE-PARA")</f>
        <v/>
      </c>
      <c r="C102" s="64" t="inlineStr">
        <is>
          <t>008000</t>
        </is>
      </c>
      <c r="D102" s="62" t="n"/>
      <c r="E102" s="62" t="n"/>
      <c r="F102" s="87" t="n">
        <v>10</v>
      </c>
      <c r="H102" s="61" t="inlineStr">
        <is>
          <t>FOLHA DE PAGAMENTO REF 04/2026</t>
        </is>
      </c>
      <c r="I102" s="86" t="inlineStr">
        <is>
          <t>6.1.1.04.003</t>
        </is>
      </c>
      <c r="J102" s="12">
        <f>IF(F102&lt;&gt;0,"LANÇAR","")</f>
        <v/>
      </c>
      <c r="K102" s="20" t="n"/>
      <c r="L102" s="13">
        <f>N102&amp;O102&amp;P102&amp;Q102&amp;R102&amp;S102&amp;T102&amp;U102&amp;V102&amp;W102&amp;X102&amp;Y102&amp;Z102&amp;AA102&amp;AB102&amp;AC102&amp;AD102&amp;AE102&amp;AF102&amp;AG102</f>
        <v/>
      </c>
      <c r="M102" s="20" t="n"/>
      <c r="N102" s="10">
        <f>TEXT($B$6,"00")</f>
        <v/>
      </c>
      <c r="O102" s="10">
        <f>REPT(" ",8)</f>
        <v/>
      </c>
      <c r="P102" s="10">
        <f>RIGHT($B$4,2)</f>
        <v/>
      </c>
      <c r="Q102" s="10">
        <f>RIGHT($B$5,3)</f>
        <v/>
      </c>
      <c r="R102" s="10">
        <f>IF(A102="D",LEFT(UPPER(B102)&amp;REPT(" ",20),20),REPT(" ",20))</f>
        <v/>
      </c>
      <c r="S102" s="10">
        <f>IF(A102="D",LEFT(UPPER(C102)&amp;REPT(" ",10),10)," ")</f>
        <v/>
      </c>
      <c r="T102" s="10">
        <f>IF(A102="D",LEFT(UPPER(D102)&amp;REPT(" ",2),2)," ")</f>
        <v/>
      </c>
      <c r="U102" s="10">
        <f>IF(A102="D",LEFT(UPPER(E102)&amp;REPT(" ",15),15)," ")</f>
        <v/>
      </c>
      <c r="V102" s="10">
        <f>REPT(" ",24)</f>
        <v/>
      </c>
      <c r="W102" s="10">
        <f>IF(A102="c",LEFT(UPPER(B102)&amp;REPT(" ",20),20),REPT(" ",20))</f>
        <v/>
      </c>
      <c r="X102" s="10">
        <f>IF(A102="C",LEFT(UPPER(C102)&amp;REPT(" ",10),10)," ")</f>
        <v/>
      </c>
      <c r="Y102" s="10">
        <f>IF(A102="C",LEFT(UPPER(D102)&amp;REPT(" ",2),2)," ")</f>
        <v/>
      </c>
      <c r="Z102" s="10">
        <f>IF(A102="C",LEFT(UPPER(E102)&amp;REPT(" ",15),15)," ")</f>
        <v/>
      </c>
      <c r="AA102" s="10">
        <f>REPT(" ",8)</f>
        <v/>
      </c>
      <c r="AB102" s="10">
        <f>REPT(" ",4)</f>
        <v/>
      </c>
      <c r="AC102" s="10">
        <f>LEFT(UPPER(H102)&amp;REPT(" ",250),250)</f>
        <v/>
      </c>
      <c r="AD102" s="10">
        <f>TEXT($G$2,"dd/mm/aaaa")</f>
        <v/>
      </c>
      <c r="AE102" s="10">
        <f>REPT(" ",10)</f>
        <v/>
      </c>
      <c r="AF102" s="10">
        <f>REPT(" ",20)</f>
        <v/>
      </c>
      <c r="AG102" s="54">
        <f>REPT(" ",18-LEN(FIXED(F102,2,TRUE)))&amp;FIXED(F102,2,TRUE)</f>
        <v/>
      </c>
      <c r="AH102" s="10">
        <f>LEN(AC102)+LEN(AG102)</f>
        <v/>
      </c>
      <c r="AI102" s="10">
        <f>LEN(L102)</f>
        <v/>
      </c>
    </row>
    <row r="103">
      <c r="A103" s="61" t="inlineStr">
        <is>
          <t>C</t>
        </is>
      </c>
      <c r="B103" s="64">
        <f>IFERROR(IF(VLOOKUP(I103,DEPARA_CONTAS,2,0)="","CONTA PENDENTE",VLOOKUP(I103,DEPARA_CONTAS,2,0)),"SEM DE-PARA")</f>
        <v/>
      </c>
      <c r="C103" s="64" t="inlineStr">
        <is>
          <t>008000</t>
        </is>
      </c>
      <c r="D103" s="62" t="n"/>
      <c r="E103" s="62" t="n"/>
      <c r="F103" s="87" t="n">
        <v>126</v>
      </c>
      <c r="H103" s="61" t="inlineStr">
        <is>
          <t>FOLHA DE PAGAMENTO REF 04/2026</t>
        </is>
      </c>
      <c r="I103" s="86" t="inlineStr">
        <is>
          <t>6.1.1.04.006</t>
        </is>
      </c>
      <c r="J103" s="12">
        <f>IF(F103&lt;&gt;0,"LANÇAR","")</f>
        <v/>
      </c>
      <c r="K103" s="20" t="n"/>
      <c r="L103" s="13">
        <f>N103&amp;O103&amp;P103&amp;Q103&amp;R103&amp;S103&amp;T103&amp;U103&amp;V103&amp;W103&amp;X103&amp;Y103&amp;Z103&amp;AA103&amp;AB103&amp;AC103&amp;AD103&amp;AE103&amp;AF103&amp;AG103</f>
        <v/>
      </c>
      <c r="M103" s="20" t="n"/>
      <c r="N103" s="10">
        <f>TEXT($B$6,"00")</f>
        <v/>
      </c>
      <c r="O103" s="10">
        <f>REPT(" ",8)</f>
        <v/>
      </c>
      <c r="P103" s="10">
        <f>RIGHT($B$4,2)</f>
        <v/>
      </c>
      <c r="Q103" s="10">
        <f>RIGHT($B$5,3)</f>
        <v/>
      </c>
      <c r="R103" s="10">
        <f>IF(A103="D",LEFT(UPPER(B103)&amp;REPT(" ",20),20),REPT(" ",20))</f>
        <v/>
      </c>
      <c r="S103" s="10">
        <f>IF(A103="D",LEFT(UPPER(C103)&amp;REPT(" ",10),10)," ")</f>
        <v/>
      </c>
      <c r="T103" s="10">
        <f>IF(A103="D",LEFT(UPPER(D103)&amp;REPT(" ",2),2)," ")</f>
        <v/>
      </c>
      <c r="U103" s="10">
        <f>IF(A103="D",LEFT(UPPER(E103)&amp;REPT(" ",15),15)," ")</f>
        <v/>
      </c>
      <c r="V103" s="10">
        <f>REPT(" ",24)</f>
        <v/>
      </c>
      <c r="W103" s="10">
        <f>IF(A103="c",LEFT(UPPER(B103)&amp;REPT(" ",20),20),REPT(" ",20))</f>
        <v/>
      </c>
      <c r="X103" s="10">
        <f>IF(A103="C",LEFT(UPPER(C103)&amp;REPT(" ",10),10)," ")</f>
        <v/>
      </c>
      <c r="Y103" s="10">
        <f>IF(A103="C",LEFT(UPPER(D103)&amp;REPT(" ",2),2)," ")</f>
        <v/>
      </c>
      <c r="Z103" s="10">
        <f>IF(A103="C",LEFT(UPPER(E103)&amp;REPT(" ",15),15)," ")</f>
        <v/>
      </c>
      <c r="AA103" s="10">
        <f>REPT(" ",8)</f>
        <v/>
      </c>
      <c r="AB103" s="10">
        <f>REPT(" ",4)</f>
        <v/>
      </c>
      <c r="AC103" s="10">
        <f>LEFT(UPPER(H103)&amp;REPT(" ",250),250)</f>
        <v/>
      </c>
      <c r="AD103" s="10">
        <f>TEXT($G$2,"dd/mm/aaaa")</f>
        <v/>
      </c>
      <c r="AE103" s="10">
        <f>REPT(" ",10)</f>
        <v/>
      </c>
      <c r="AF103" s="10">
        <f>REPT(" ",20)</f>
        <v/>
      </c>
      <c r="AG103" s="54">
        <f>REPT(" ",18-LEN(FIXED(F103,2,TRUE)))&amp;FIXED(F103,2,TRUE)</f>
        <v/>
      </c>
      <c r="AH103" s="10">
        <f>LEN(AC103)+LEN(AG103)</f>
        <v/>
      </c>
      <c r="AI103" s="10">
        <f>LEN(L103)</f>
        <v/>
      </c>
    </row>
    <row r="104">
      <c r="A104" s="61" t="inlineStr">
        <is>
          <t>D</t>
        </is>
      </c>
      <c r="B104" s="64">
        <f>IFERROR(IF(VLOOKUP(I104,DEPARA_CONTAS,2,0)="","CONTA PENDENTE",VLOOKUP(I104,DEPARA_CONTAS,2,0)),"SEM DE-PARA")</f>
        <v/>
      </c>
      <c r="C104" s="64" t="inlineStr">
        <is>
          <t>008000</t>
        </is>
      </c>
      <c r="D104" s="62" t="n"/>
      <c r="E104" s="62" t="n"/>
      <c r="F104" s="87" t="n">
        <v>1042.92</v>
      </c>
      <c r="H104" s="61" t="inlineStr">
        <is>
          <t>FOLHA DE PAGAMENTO REF 04/2026</t>
        </is>
      </c>
      <c r="I104" s="86" t="inlineStr">
        <is>
          <t>6.1.1.02.001</t>
        </is>
      </c>
      <c r="J104" s="12">
        <f>IF(F104&lt;&gt;0,"LANÇAR","")</f>
        <v/>
      </c>
      <c r="K104" s="20" t="n"/>
      <c r="L104" s="13">
        <f>N104&amp;O104&amp;P104&amp;Q104&amp;R104&amp;S104&amp;T104&amp;U104&amp;V104&amp;W104&amp;X104&amp;Y104&amp;Z104&amp;AA104&amp;AB104&amp;AC104&amp;AD104&amp;AE104&amp;AF104&amp;AG104</f>
        <v/>
      </c>
      <c r="M104" s="20" t="n"/>
      <c r="N104" s="10">
        <f>TEXT($B$6,"00")</f>
        <v/>
      </c>
      <c r="O104" s="10">
        <f>REPT(" ",8)</f>
        <v/>
      </c>
      <c r="P104" s="10">
        <f>RIGHT($B$4,2)</f>
        <v/>
      </c>
      <c r="Q104" s="10">
        <f>RIGHT($B$5,3)</f>
        <v/>
      </c>
      <c r="R104" s="10">
        <f>IF(A104="D",LEFT(UPPER(B104)&amp;REPT(" ",20),20),REPT(" ",20))</f>
        <v/>
      </c>
      <c r="S104" s="10">
        <f>IF(A104="D",LEFT(UPPER(C104)&amp;REPT(" ",10),10)," ")</f>
        <v/>
      </c>
      <c r="T104" s="10">
        <f>IF(A104="D",LEFT(UPPER(D104)&amp;REPT(" ",2),2)," ")</f>
        <v/>
      </c>
      <c r="U104" s="10">
        <f>IF(A104="D",LEFT(UPPER(E104)&amp;REPT(" ",15),15)," ")</f>
        <v/>
      </c>
      <c r="V104" s="10">
        <f>REPT(" ",24)</f>
        <v/>
      </c>
      <c r="W104" s="10">
        <f>IF(A104="c",LEFT(UPPER(B104)&amp;REPT(" ",20),20),REPT(" ",20))</f>
        <v/>
      </c>
      <c r="X104" s="10">
        <f>IF(A104="C",LEFT(UPPER(C104)&amp;REPT(" ",10),10)," ")</f>
        <v/>
      </c>
      <c r="Y104" s="10">
        <f>IF(A104="C",LEFT(UPPER(D104)&amp;REPT(" ",2),2)," ")</f>
        <v/>
      </c>
      <c r="Z104" s="10">
        <f>IF(A104="C",LEFT(UPPER(E104)&amp;REPT(" ",15),15)," ")</f>
        <v/>
      </c>
      <c r="AA104" s="10">
        <f>REPT(" ",8)</f>
        <v/>
      </c>
      <c r="AB104" s="10">
        <f>REPT(" ",4)</f>
        <v/>
      </c>
      <c r="AC104" s="10">
        <f>LEFT(UPPER(H104)&amp;REPT(" ",250),250)</f>
        <v/>
      </c>
      <c r="AD104" s="10">
        <f>TEXT($G$2,"dd/mm/aaaa")</f>
        <v/>
      </c>
      <c r="AE104" s="10">
        <f>REPT(" ",10)</f>
        <v/>
      </c>
      <c r="AF104" s="10">
        <f>REPT(" ",20)</f>
        <v/>
      </c>
      <c r="AG104" s="54">
        <f>REPT(" ",18-LEN(FIXED(F104,2,TRUE)))&amp;FIXED(F104,2,TRUE)</f>
        <v/>
      </c>
      <c r="AH104" s="10">
        <f>LEN(AC104)+LEN(AG104)</f>
        <v/>
      </c>
      <c r="AI104" s="10">
        <f>LEN(L104)</f>
        <v/>
      </c>
    </row>
    <row r="105">
      <c r="A105" s="61" t="inlineStr">
        <is>
          <t>D</t>
        </is>
      </c>
      <c r="B105" s="64">
        <f>IFERROR(IF(VLOOKUP(I105,DEPARA_CONTAS,2,0)="","CONTA PENDENTE",VLOOKUP(I105,DEPARA_CONTAS,2,0)),"SEM DE-PARA")</f>
        <v/>
      </c>
      <c r="C105" s="64" t="inlineStr">
        <is>
          <t>008000</t>
        </is>
      </c>
      <c r="D105" s="62" t="n"/>
      <c r="E105" s="62" t="n"/>
      <c r="F105" s="87" t="n">
        <v>214.94</v>
      </c>
      <c r="H105" s="61" t="inlineStr">
        <is>
          <t>FOLHA DE PAGAMENTO REF 04/2026</t>
        </is>
      </c>
      <c r="I105" s="86" t="inlineStr">
        <is>
          <t>6.1.1.02.002</t>
        </is>
      </c>
      <c r="J105" s="12">
        <f>IF(F105&lt;&gt;0,"LANÇAR","")</f>
        <v/>
      </c>
      <c r="K105" s="20" t="n"/>
      <c r="L105" s="13">
        <f>N105&amp;O105&amp;P105&amp;Q105&amp;R105&amp;S105&amp;T105&amp;U105&amp;V105&amp;W105&amp;X105&amp;Y105&amp;Z105&amp;AA105&amp;AB105&amp;AC105&amp;AD105&amp;AE105&amp;AF105&amp;AG105</f>
        <v/>
      </c>
      <c r="M105" s="20" t="n"/>
      <c r="N105" s="10">
        <f>TEXT($B$6,"00")</f>
        <v/>
      </c>
      <c r="O105" s="10">
        <f>REPT(" ",8)</f>
        <v/>
      </c>
      <c r="P105" s="10">
        <f>RIGHT($B$4,2)</f>
        <v/>
      </c>
      <c r="Q105" s="10">
        <f>RIGHT($B$5,3)</f>
        <v/>
      </c>
      <c r="R105" s="10">
        <f>IF(A105="D",LEFT(UPPER(B105)&amp;REPT(" ",20),20),REPT(" ",20))</f>
        <v/>
      </c>
      <c r="S105" s="10">
        <f>IF(A105="D",LEFT(UPPER(C105)&amp;REPT(" ",10),10)," ")</f>
        <v/>
      </c>
      <c r="T105" s="10">
        <f>IF(A105="D",LEFT(UPPER(D105)&amp;REPT(" ",2),2)," ")</f>
        <v/>
      </c>
      <c r="U105" s="10">
        <f>IF(A105="D",LEFT(UPPER(E105)&amp;REPT(" ",15),15)," ")</f>
        <v/>
      </c>
      <c r="V105" s="10">
        <f>REPT(" ",24)</f>
        <v/>
      </c>
      <c r="W105" s="10">
        <f>IF(A105="c",LEFT(UPPER(B105)&amp;REPT(" ",20),20),REPT(" ",20))</f>
        <v/>
      </c>
      <c r="X105" s="10">
        <f>IF(A105="C",LEFT(UPPER(C105)&amp;REPT(" ",10),10)," ")</f>
        <v/>
      </c>
      <c r="Y105" s="10">
        <f>IF(A105="C",LEFT(UPPER(D105)&amp;REPT(" ",2),2)," ")</f>
        <v/>
      </c>
      <c r="Z105" s="10">
        <f>IF(A105="C",LEFT(UPPER(E105)&amp;REPT(" ",15),15)," ")</f>
        <v/>
      </c>
      <c r="AA105" s="10">
        <f>REPT(" ",8)</f>
        <v/>
      </c>
      <c r="AB105" s="10">
        <f>REPT(" ",4)</f>
        <v/>
      </c>
      <c r="AC105" s="10">
        <f>LEFT(UPPER(H105)&amp;REPT(" ",250),250)</f>
        <v/>
      </c>
      <c r="AD105" s="10">
        <f>TEXT($G$2,"dd/mm/aaaa")</f>
        <v/>
      </c>
      <c r="AE105" s="10">
        <f>REPT(" ",10)</f>
        <v/>
      </c>
      <c r="AF105" s="10">
        <f>REPT(" ",20)</f>
        <v/>
      </c>
      <c r="AG105" s="54">
        <f>REPT(" ",18-LEN(FIXED(F105,2,TRUE)))&amp;FIXED(F105,2,TRUE)</f>
        <v/>
      </c>
      <c r="AH105" s="10">
        <f>LEN(AC105)+LEN(AG105)</f>
        <v/>
      </c>
      <c r="AI105" s="10">
        <f>LEN(L105)</f>
        <v/>
      </c>
    </row>
    <row r="106">
      <c r="A106" s="61" t="inlineStr">
        <is>
          <t>D</t>
        </is>
      </c>
      <c r="B106" s="64">
        <f>IFERROR(IF(VLOOKUP(I106,DEPARA_CONTAS,2,0)="","CONTA PENDENTE",VLOOKUP(I106,DEPARA_CONTAS,2,0)),"SEM DE-PARA")</f>
        <v/>
      </c>
      <c r="C106" s="64" t="inlineStr">
        <is>
          <t>008000</t>
        </is>
      </c>
      <c r="D106" s="62" t="n"/>
      <c r="E106" s="62" t="n"/>
      <c r="F106" s="87" t="n">
        <v>155.83</v>
      </c>
      <c r="H106" s="61" t="inlineStr">
        <is>
          <t>FOLHA DE PAGAMENTO REF 04/2026</t>
        </is>
      </c>
      <c r="I106" s="86" t="inlineStr">
        <is>
          <t>6.1.1.02.005</t>
        </is>
      </c>
      <c r="J106" s="12">
        <f>IF(F106&lt;&gt;0,"LANÇAR","")</f>
        <v/>
      </c>
      <c r="K106" s="20" t="n"/>
      <c r="L106" s="13">
        <f>N106&amp;O106&amp;P106&amp;Q106&amp;R106&amp;S106&amp;T106&amp;U106&amp;V106&amp;W106&amp;X106&amp;Y106&amp;Z106&amp;AA106&amp;AB106&amp;AC106&amp;AD106&amp;AE106&amp;AF106&amp;AG106</f>
        <v/>
      </c>
      <c r="M106" s="20" t="n"/>
      <c r="N106" s="10">
        <f>TEXT($B$6,"00")</f>
        <v/>
      </c>
      <c r="O106" s="10">
        <f>REPT(" ",8)</f>
        <v/>
      </c>
      <c r="P106" s="10">
        <f>RIGHT($B$4,2)</f>
        <v/>
      </c>
      <c r="Q106" s="10">
        <f>RIGHT($B$5,3)</f>
        <v/>
      </c>
      <c r="R106" s="10">
        <f>IF(A106="D",LEFT(UPPER(B106)&amp;REPT(" ",20),20),REPT(" ",20))</f>
        <v/>
      </c>
      <c r="S106" s="10">
        <f>IF(A106="D",LEFT(UPPER(C106)&amp;REPT(" ",10),10)," ")</f>
        <v/>
      </c>
      <c r="T106" s="10">
        <f>IF(A106="D",LEFT(UPPER(D106)&amp;REPT(" ",2),2)," ")</f>
        <v/>
      </c>
      <c r="U106" s="10">
        <f>IF(A106="D",LEFT(UPPER(E106)&amp;REPT(" ",15),15)," ")</f>
        <v/>
      </c>
      <c r="V106" s="10">
        <f>REPT(" ",24)</f>
        <v/>
      </c>
      <c r="W106" s="10">
        <f>IF(A106="c",LEFT(UPPER(B106)&amp;REPT(" ",20),20),REPT(" ",20))</f>
        <v/>
      </c>
      <c r="X106" s="10">
        <f>IF(A106="C",LEFT(UPPER(C106)&amp;REPT(" ",10),10)," ")</f>
        <v/>
      </c>
      <c r="Y106" s="10">
        <f>IF(A106="C",LEFT(UPPER(D106)&amp;REPT(" ",2),2)," ")</f>
        <v/>
      </c>
      <c r="Z106" s="10">
        <f>IF(A106="C",LEFT(UPPER(E106)&amp;REPT(" ",15),15)," ")</f>
        <v/>
      </c>
      <c r="AA106" s="10">
        <f>REPT(" ",8)</f>
        <v/>
      </c>
      <c r="AB106" s="10">
        <f>REPT(" ",4)</f>
        <v/>
      </c>
      <c r="AC106" s="10">
        <f>LEFT(UPPER(H106)&amp;REPT(" ",250),250)</f>
        <v/>
      </c>
      <c r="AD106" s="10">
        <f>TEXT($G$2,"dd/mm/aaaa")</f>
        <v/>
      </c>
      <c r="AE106" s="10">
        <f>REPT(" ",10)</f>
        <v/>
      </c>
      <c r="AF106" s="10">
        <f>REPT(" ",20)</f>
        <v/>
      </c>
      <c r="AG106" s="54">
        <f>REPT(" ",18-LEN(FIXED(F106,2,TRUE)))&amp;FIXED(F106,2,TRUE)</f>
        <v/>
      </c>
      <c r="AH106" s="10">
        <f>LEN(AC106)+LEN(AG106)</f>
        <v/>
      </c>
      <c r="AI106" s="10">
        <f>LEN(L106)</f>
        <v/>
      </c>
    </row>
    <row r="107">
      <c r="A107" s="61" t="inlineStr">
        <is>
          <t>D</t>
        </is>
      </c>
      <c r="B107" s="64">
        <f>IFERROR(IF(VLOOKUP(I107,DEPARA_CONTAS,2,0)="","CONTA PENDENTE",VLOOKUP(I107,DEPARA_CONTAS,2,0)),"SEM DE-PARA")</f>
        <v/>
      </c>
      <c r="C107" s="64" t="inlineStr">
        <is>
          <t>008000</t>
        </is>
      </c>
      <c r="D107" s="62" t="n"/>
      <c r="E107" s="62" t="n"/>
      <c r="F107" s="87" t="n">
        <v>325.66</v>
      </c>
      <c r="H107" s="61" t="inlineStr">
        <is>
          <t>FOLHA DE PAGAMENTO REF 04/2026</t>
        </is>
      </c>
      <c r="I107" s="86" t="inlineStr">
        <is>
          <t>6.1.1.03.001</t>
        </is>
      </c>
      <c r="J107" s="12">
        <f>IF(F107&lt;&gt;0,"LANÇAR","")</f>
        <v/>
      </c>
      <c r="K107" s="20" t="n"/>
      <c r="L107" s="13">
        <f>N107&amp;O107&amp;P107&amp;Q107&amp;R107&amp;S107&amp;T107&amp;U107&amp;V107&amp;W107&amp;X107&amp;Y107&amp;Z107&amp;AA107&amp;AB107&amp;AC107&amp;AD107&amp;AE107&amp;AF107&amp;AG107</f>
        <v/>
      </c>
      <c r="M107" s="20" t="n"/>
      <c r="N107" s="10">
        <f>TEXT($B$6,"00")</f>
        <v/>
      </c>
      <c r="O107" s="10">
        <f>REPT(" ",8)</f>
        <v/>
      </c>
      <c r="P107" s="10">
        <f>RIGHT($B$4,2)</f>
        <v/>
      </c>
      <c r="Q107" s="10">
        <f>RIGHT($B$5,3)</f>
        <v/>
      </c>
      <c r="R107" s="10">
        <f>IF(A107="D",LEFT(UPPER(B107)&amp;REPT(" ",20),20),REPT(" ",20))</f>
        <v/>
      </c>
      <c r="S107" s="10">
        <f>IF(A107="D",LEFT(UPPER(C107)&amp;REPT(" ",10),10)," ")</f>
        <v/>
      </c>
      <c r="T107" s="10">
        <f>IF(A107="D",LEFT(UPPER(D107)&amp;REPT(" ",2),2)," ")</f>
        <v/>
      </c>
      <c r="U107" s="10">
        <f>IF(A107="D",LEFT(UPPER(E107)&amp;REPT(" ",15),15)," ")</f>
        <v/>
      </c>
      <c r="V107" s="10">
        <f>REPT(" ",24)</f>
        <v/>
      </c>
      <c r="W107" s="10">
        <f>IF(A107="c",LEFT(UPPER(B107)&amp;REPT(" ",20),20),REPT(" ",20))</f>
        <v/>
      </c>
      <c r="X107" s="10">
        <f>IF(A107="C",LEFT(UPPER(C107)&amp;REPT(" ",10),10)," ")</f>
        <v/>
      </c>
      <c r="Y107" s="10">
        <f>IF(A107="C",LEFT(UPPER(D107)&amp;REPT(" ",2),2)," ")</f>
        <v/>
      </c>
      <c r="Z107" s="10">
        <f>IF(A107="C",LEFT(UPPER(E107)&amp;REPT(" ",15),15)," ")</f>
        <v/>
      </c>
      <c r="AA107" s="10">
        <f>REPT(" ",8)</f>
        <v/>
      </c>
      <c r="AB107" s="10">
        <f>REPT(" ",4)</f>
        <v/>
      </c>
      <c r="AC107" s="10">
        <f>LEFT(UPPER(H107)&amp;REPT(" ",250),250)</f>
        <v/>
      </c>
      <c r="AD107" s="10">
        <f>TEXT($G$2,"dd/mm/aaaa")</f>
        <v/>
      </c>
      <c r="AE107" s="10">
        <f>REPT(" ",10)</f>
        <v/>
      </c>
      <c r="AF107" s="10">
        <f>REPT(" ",20)</f>
        <v/>
      </c>
      <c r="AG107" s="54">
        <f>REPT(" ",18-LEN(FIXED(F107,2,TRUE)))&amp;FIXED(F107,2,TRUE)</f>
        <v/>
      </c>
      <c r="AH107" s="10">
        <f>LEN(AC107)+LEN(AG107)</f>
        <v/>
      </c>
      <c r="AI107" s="10">
        <f>LEN(L107)</f>
        <v/>
      </c>
    </row>
    <row r="108">
      <c r="A108" s="61" t="inlineStr">
        <is>
          <t>D</t>
        </is>
      </c>
      <c r="B108" s="64">
        <f>IFERROR(IF(VLOOKUP(I108,DEPARA_CONTAS,2,0)="","CONTA PENDENTE",VLOOKUP(I108,DEPARA_CONTAS,2,0)),"SEM DE-PARA")</f>
        <v/>
      </c>
      <c r="C108" s="64" t="inlineStr">
        <is>
          <t>008000</t>
        </is>
      </c>
      <c r="D108" s="62" t="n"/>
      <c r="E108" s="62" t="n"/>
      <c r="F108" s="87" t="n">
        <v>223.89</v>
      </c>
      <c r="H108" s="61" t="inlineStr">
        <is>
          <t>FOLHA DE PAGAMENTO REF 04/2026</t>
        </is>
      </c>
      <c r="I108" s="86" t="inlineStr">
        <is>
          <t>6.1.1.03.002</t>
        </is>
      </c>
      <c r="J108" s="12">
        <f>IF(F108&lt;&gt;0,"LANÇAR","")</f>
        <v/>
      </c>
      <c r="K108" s="20" t="n"/>
      <c r="L108" s="13">
        <f>N108&amp;O108&amp;P108&amp;Q108&amp;R108&amp;S108&amp;T108&amp;U108&amp;V108&amp;W108&amp;X108&amp;Y108&amp;Z108&amp;AA108&amp;AB108&amp;AC108&amp;AD108&amp;AE108&amp;AF108&amp;AG108</f>
        <v/>
      </c>
      <c r="M108" s="20" t="n"/>
      <c r="N108" s="10">
        <f>TEXT($B$6,"00")</f>
        <v/>
      </c>
      <c r="O108" s="10">
        <f>REPT(" ",8)</f>
        <v/>
      </c>
      <c r="P108" s="10">
        <f>RIGHT($B$4,2)</f>
        <v/>
      </c>
      <c r="Q108" s="10">
        <f>RIGHT($B$5,3)</f>
        <v/>
      </c>
      <c r="R108" s="10">
        <f>IF(A108="D",LEFT(UPPER(B108)&amp;REPT(" ",20),20),REPT(" ",20))</f>
        <v/>
      </c>
      <c r="S108" s="10">
        <f>IF(A108="D",LEFT(UPPER(C108)&amp;REPT(" ",10),10)," ")</f>
        <v/>
      </c>
      <c r="T108" s="10">
        <f>IF(A108="D",LEFT(UPPER(D108)&amp;REPT(" ",2),2)," ")</f>
        <v/>
      </c>
      <c r="U108" s="10">
        <f>IF(A108="D",LEFT(UPPER(E108)&amp;REPT(" ",15),15)," ")</f>
        <v/>
      </c>
      <c r="V108" s="10">
        <f>REPT(" ",24)</f>
        <v/>
      </c>
      <c r="W108" s="10">
        <f>IF(A108="c",LEFT(UPPER(B108)&amp;REPT(" ",20),20),REPT(" ",20))</f>
        <v/>
      </c>
      <c r="X108" s="10">
        <f>IF(A108="C",LEFT(UPPER(C108)&amp;REPT(" ",10),10)," ")</f>
        <v/>
      </c>
      <c r="Y108" s="10">
        <f>IF(A108="C",LEFT(UPPER(D108)&amp;REPT(" ",2),2)," ")</f>
        <v/>
      </c>
      <c r="Z108" s="10">
        <f>IF(A108="C",LEFT(UPPER(E108)&amp;REPT(" ",15),15)," ")</f>
        <v/>
      </c>
      <c r="AA108" s="10">
        <f>REPT(" ",8)</f>
        <v/>
      </c>
      <c r="AB108" s="10">
        <f>REPT(" ",4)</f>
        <v/>
      </c>
      <c r="AC108" s="10">
        <f>LEFT(UPPER(H108)&amp;REPT(" ",250),250)</f>
        <v/>
      </c>
      <c r="AD108" s="10">
        <f>TEXT($G$2,"dd/mm/aaaa")</f>
        <v/>
      </c>
      <c r="AE108" s="10">
        <f>REPT(" ",10)</f>
        <v/>
      </c>
      <c r="AF108" s="10">
        <f>REPT(" ",20)</f>
        <v/>
      </c>
      <c r="AG108" s="54">
        <f>REPT(" ",18-LEN(FIXED(F108,2,TRUE)))&amp;FIXED(F108,2,TRUE)</f>
        <v/>
      </c>
      <c r="AH108" s="10">
        <f>LEN(AC108)+LEN(AG108)</f>
        <v/>
      </c>
      <c r="AI108" s="10">
        <f>LEN(L108)</f>
        <v/>
      </c>
    </row>
    <row r="109">
      <c r="A109" s="61" t="inlineStr">
        <is>
          <t>D</t>
        </is>
      </c>
      <c r="B109" s="64">
        <f>IFERROR(IF(VLOOKUP(I109,DEPARA_CONTAS,2,0)="","CONTA PENDENTE",VLOOKUP(I109,DEPARA_CONTAS,2,0)),"SEM DE-PARA")</f>
        <v/>
      </c>
      <c r="C109" s="64" t="inlineStr">
        <is>
          <t>008000</t>
        </is>
      </c>
      <c r="D109" s="62" t="n"/>
      <c r="E109" s="62" t="n"/>
      <c r="F109" s="87" t="n">
        <v>90.53</v>
      </c>
      <c r="H109" s="61" t="inlineStr">
        <is>
          <t>FOLHA DE PAGAMENTO REF 04/2026</t>
        </is>
      </c>
      <c r="I109" s="86" t="inlineStr">
        <is>
          <t>6.1.1.03.003</t>
        </is>
      </c>
      <c r="J109" s="12">
        <f>IF(F109&lt;&gt;0,"LANÇAR","")</f>
        <v/>
      </c>
      <c r="K109" s="20" t="n"/>
      <c r="L109" s="13">
        <f>N109&amp;O109&amp;P109&amp;Q109&amp;R109&amp;S109&amp;T109&amp;U109&amp;V109&amp;W109&amp;X109&amp;Y109&amp;Z109&amp;AA109&amp;AB109&amp;AC109&amp;AD109&amp;AE109&amp;AF109&amp;AG109</f>
        <v/>
      </c>
      <c r="M109" s="20" t="n"/>
      <c r="N109" s="10">
        <f>TEXT($B$6,"00")</f>
        <v/>
      </c>
      <c r="O109" s="10">
        <f>REPT(" ",8)</f>
        <v/>
      </c>
      <c r="P109" s="10">
        <f>RIGHT($B$4,2)</f>
        <v/>
      </c>
      <c r="Q109" s="10">
        <f>RIGHT($B$5,3)</f>
        <v/>
      </c>
      <c r="R109" s="10">
        <f>IF(A109="D",LEFT(UPPER(B109)&amp;REPT(" ",20),20),REPT(" ",20))</f>
        <v/>
      </c>
      <c r="S109" s="10">
        <f>IF(A109="D",LEFT(UPPER(C109)&amp;REPT(" ",10),10)," ")</f>
        <v/>
      </c>
      <c r="T109" s="10">
        <f>IF(A109="D",LEFT(UPPER(D109)&amp;REPT(" ",2),2)," ")</f>
        <v/>
      </c>
      <c r="U109" s="10">
        <f>IF(A109="D",LEFT(UPPER(E109)&amp;REPT(" ",15),15)," ")</f>
        <v/>
      </c>
      <c r="V109" s="10">
        <f>REPT(" ",24)</f>
        <v/>
      </c>
      <c r="W109" s="10">
        <f>IF(A109="c",LEFT(UPPER(B109)&amp;REPT(" ",20),20),REPT(" ",20))</f>
        <v/>
      </c>
      <c r="X109" s="10">
        <f>IF(A109="C",LEFT(UPPER(C109)&amp;REPT(" ",10),10)," ")</f>
        <v/>
      </c>
      <c r="Y109" s="10">
        <f>IF(A109="C",LEFT(UPPER(D109)&amp;REPT(" ",2),2)," ")</f>
        <v/>
      </c>
      <c r="Z109" s="10">
        <f>IF(A109="C",LEFT(UPPER(E109)&amp;REPT(" ",15),15)," ")</f>
        <v/>
      </c>
      <c r="AA109" s="10">
        <f>REPT(" ",8)</f>
        <v/>
      </c>
      <c r="AB109" s="10">
        <f>REPT(" ",4)</f>
        <v/>
      </c>
      <c r="AC109" s="10">
        <f>LEFT(UPPER(H109)&amp;REPT(" ",250),250)</f>
        <v/>
      </c>
      <c r="AD109" s="10">
        <f>TEXT($G$2,"dd/mm/aaaa")</f>
        <v/>
      </c>
      <c r="AE109" s="10">
        <f>REPT(" ",10)</f>
        <v/>
      </c>
      <c r="AF109" s="10">
        <f>REPT(" ",20)</f>
        <v/>
      </c>
      <c r="AG109" s="54">
        <f>REPT(" ",18-LEN(FIXED(F109,2,TRUE)))&amp;FIXED(F109,2,TRUE)</f>
        <v/>
      </c>
      <c r="AH109" s="10">
        <f>LEN(AC109)+LEN(AG109)</f>
        <v/>
      </c>
      <c r="AI109" s="10">
        <f>LEN(L109)</f>
        <v/>
      </c>
    </row>
    <row r="110">
      <c r="A110" s="61" t="inlineStr">
        <is>
          <t>D</t>
        </is>
      </c>
      <c r="B110" s="64">
        <f>IFERROR(IF(VLOOKUP(I110,DEPARA_CONTAS,2,0)="","CONTA PENDENTE",VLOOKUP(I110,DEPARA_CONTAS,2,0)),"SEM DE-PARA")</f>
        <v/>
      </c>
      <c r="C110" s="64" t="inlineStr">
        <is>
          <t>008000</t>
        </is>
      </c>
      <c r="D110" s="62" t="n"/>
      <c r="E110" s="62" t="n"/>
      <c r="F110" s="87" t="n">
        <v>62.24</v>
      </c>
      <c r="H110" s="61" t="inlineStr">
        <is>
          <t>FOLHA DE PAGAMENTO REF 04/2026</t>
        </is>
      </c>
      <c r="I110" s="86" t="inlineStr">
        <is>
          <t>6.1.1.03.004</t>
        </is>
      </c>
      <c r="J110" s="12">
        <f>IF(F110&lt;&gt;0,"LANÇAR","")</f>
        <v/>
      </c>
      <c r="K110" s="20" t="n"/>
      <c r="L110" s="13">
        <f>N110&amp;O110&amp;P110&amp;Q110&amp;R110&amp;S110&amp;T110&amp;U110&amp;V110&amp;W110&amp;X110&amp;Y110&amp;Z110&amp;AA110&amp;AB110&amp;AC110&amp;AD110&amp;AE110&amp;AF110&amp;AG110</f>
        <v/>
      </c>
      <c r="M110" s="20" t="n"/>
      <c r="N110" s="10">
        <f>TEXT($B$6,"00")</f>
        <v/>
      </c>
      <c r="O110" s="10">
        <f>REPT(" ",8)</f>
        <v/>
      </c>
      <c r="P110" s="10">
        <f>RIGHT($B$4,2)</f>
        <v/>
      </c>
      <c r="Q110" s="10">
        <f>RIGHT($B$5,3)</f>
        <v/>
      </c>
      <c r="R110" s="10">
        <f>IF(A110="D",LEFT(UPPER(B110)&amp;REPT(" ",20),20),REPT(" ",20))</f>
        <v/>
      </c>
      <c r="S110" s="10">
        <f>IF(A110="D",LEFT(UPPER(C110)&amp;REPT(" ",10),10)," ")</f>
        <v/>
      </c>
      <c r="T110" s="10">
        <f>IF(A110="D",LEFT(UPPER(D110)&amp;REPT(" ",2),2)," ")</f>
        <v/>
      </c>
      <c r="U110" s="10">
        <f>IF(A110="D",LEFT(UPPER(E110)&amp;REPT(" ",15),15)," ")</f>
        <v/>
      </c>
      <c r="V110" s="10">
        <f>REPT(" ",24)</f>
        <v/>
      </c>
      <c r="W110" s="10">
        <f>IF(A110="c",LEFT(UPPER(B110)&amp;REPT(" ",20),20),REPT(" ",20))</f>
        <v/>
      </c>
      <c r="X110" s="10">
        <f>IF(A110="C",LEFT(UPPER(C110)&amp;REPT(" ",10),10)," ")</f>
        <v/>
      </c>
      <c r="Y110" s="10">
        <f>IF(A110="C",LEFT(UPPER(D110)&amp;REPT(" ",2),2)," ")</f>
        <v/>
      </c>
      <c r="Z110" s="10">
        <f>IF(A110="C",LEFT(UPPER(E110)&amp;REPT(" ",15),15)," ")</f>
        <v/>
      </c>
      <c r="AA110" s="10">
        <f>REPT(" ",8)</f>
        <v/>
      </c>
      <c r="AB110" s="10">
        <f>REPT(" ",4)</f>
        <v/>
      </c>
      <c r="AC110" s="10">
        <f>LEFT(UPPER(H110)&amp;REPT(" ",250),250)</f>
        <v/>
      </c>
      <c r="AD110" s="10">
        <f>TEXT($G$2,"dd/mm/aaaa")</f>
        <v/>
      </c>
      <c r="AE110" s="10">
        <f>REPT(" ",10)</f>
        <v/>
      </c>
      <c r="AF110" s="10">
        <f>REPT(" ",20)</f>
        <v/>
      </c>
      <c r="AG110" s="54">
        <f>REPT(" ",18-LEN(FIXED(F110,2,TRUE)))&amp;FIXED(F110,2,TRUE)</f>
        <v/>
      </c>
      <c r="AH110" s="10">
        <f>LEN(AC110)+LEN(AG110)</f>
        <v/>
      </c>
      <c r="AI110" s="10">
        <f>LEN(L110)</f>
        <v/>
      </c>
    </row>
    <row r="111">
      <c r="A111" s="61" t="inlineStr">
        <is>
          <t>D</t>
        </is>
      </c>
      <c r="B111" s="64">
        <f>IFERROR(IF(VLOOKUP(I111,DEPARA_CONTAS,2,0)="","CONTA PENDENTE",VLOOKUP(I111,DEPARA_CONTAS,2,0)),"SEM DE-PARA")</f>
        <v/>
      </c>
      <c r="C111" s="64" t="inlineStr">
        <is>
          <t>008000</t>
        </is>
      </c>
      <c r="D111" s="62" t="n"/>
      <c r="E111" s="62" t="n"/>
      <c r="F111" s="87" t="n">
        <v>26.05</v>
      </c>
      <c r="H111" s="61" t="inlineStr">
        <is>
          <t>FOLHA DE PAGAMENTO REF 04/2026</t>
        </is>
      </c>
      <c r="I111" s="86" t="inlineStr">
        <is>
          <t>6.1.1.03.005</t>
        </is>
      </c>
      <c r="J111" s="12">
        <f>IF(F111&lt;&gt;0,"LANÇAR","")</f>
        <v/>
      </c>
      <c r="K111" s="20" t="n"/>
      <c r="L111" s="13">
        <f>N111&amp;O111&amp;P111&amp;Q111&amp;R111&amp;S111&amp;T111&amp;U111&amp;V111&amp;W111&amp;X111&amp;Y111&amp;Z111&amp;AA111&amp;AB111&amp;AC111&amp;AD111&amp;AE111&amp;AF111&amp;AG111</f>
        <v/>
      </c>
      <c r="M111" s="20" t="n"/>
      <c r="N111" s="10">
        <f>TEXT($B$6,"00")</f>
        <v/>
      </c>
      <c r="O111" s="10">
        <f>REPT(" ",8)</f>
        <v/>
      </c>
      <c r="P111" s="10">
        <f>RIGHT($B$4,2)</f>
        <v/>
      </c>
      <c r="Q111" s="10">
        <f>RIGHT($B$5,3)</f>
        <v/>
      </c>
      <c r="R111" s="10">
        <f>IF(A111="D",LEFT(UPPER(B111)&amp;REPT(" ",20),20),REPT(" ",20))</f>
        <v/>
      </c>
      <c r="S111" s="10">
        <f>IF(A111="D",LEFT(UPPER(C111)&amp;REPT(" ",10),10)," ")</f>
        <v/>
      </c>
      <c r="T111" s="10">
        <f>IF(A111="D",LEFT(UPPER(D111)&amp;REPT(" ",2),2)," ")</f>
        <v/>
      </c>
      <c r="U111" s="10">
        <f>IF(A111="D",LEFT(UPPER(E111)&amp;REPT(" ",15),15)," ")</f>
        <v/>
      </c>
      <c r="V111" s="10">
        <f>REPT(" ",24)</f>
        <v/>
      </c>
      <c r="W111" s="10">
        <f>IF(A111="c",LEFT(UPPER(B111)&amp;REPT(" ",20),20),REPT(" ",20))</f>
        <v/>
      </c>
      <c r="X111" s="10">
        <f>IF(A111="C",LEFT(UPPER(C111)&amp;REPT(" ",10),10)," ")</f>
        <v/>
      </c>
      <c r="Y111" s="10">
        <f>IF(A111="C",LEFT(UPPER(D111)&amp;REPT(" ",2),2)," ")</f>
        <v/>
      </c>
      <c r="Z111" s="10">
        <f>IF(A111="C",LEFT(UPPER(E111)&amp;REPT(" ",15),15)," ")</f>
        <v/>
      </c>
      <c r="AA111" s="10">
        <f>REPT(" ",8)</f>
        <v/>
      </c>
      <c r="AB111" s="10">
        <f>REPT(" ",4)</f>
        <v/>
      </c>
      <c r="AC111" s="10">
        <f>LEFT(UPPER(H111)&amp;REPT(" ",250),250)</f>
        <v/>
      </c>
      <c r="AD111" s="10">
        <f>TEXT($G$2,"dd/mm/aaaa")</f>
        <v/>
      </c>
      <c r="AE111" s="10">
        <f>REPT(" ",10)</f>
        <v/>
      </c>
      <c r="AF111" s="10">
        <f>REPT(" ",20)</f>
        <v/>
      </c>
      <c r="AG111" s="54">
        <f>REPT(" ",18-LEN(FIXED(F111,2,TRUE)))&amp;FIXED(F111,2,TRUE)</f>
        <v/>
      </c>
      <c r="AH111" s="10">
        <f>LEN(AC111)+LEN(AG111)</f>
        <v/>
      </c>
      <c r="AI111" s="10">
        <f>LEN(L111)</f>
        <v/>
      </c>
    </row>
    <row r="112">
      <c r="A112" s="61" t="inlineStr">
        <is>
          <t>D</t>
        </is>
      </c>
      <c r="B112" s="64">
        <f>IFERROR(IF(VLOOKUP(I112,DEPARA_CONTAS,2,0)="","CONTA PENDENTE",VLOOKUP(I112,DEPARA_CONTAS,2,0)),"SEM DE-PARA")</f>
        <v/>
      </c>
      <c r="C112" s="64" t="inlineStr">
        <is>
          <t>008000</t>
        </is>
      </c>
      <c r="D112" s="62" t="n"/>
      <c r="E112" s="62" t="n"/>
      <c r="F112" s="87" t="n">
        <v>17.91</v>
      </c>
      <c r="H112" s="61" t="inlineStr">
        <is>
          <t>FOLHA DE PAGAMENTO REF 04/2026</t>
        </is>
      </c>
      <c r="I112" s="86" t="inlineStr">
        <is>
          <t>6.1.1.03.006</t>
        </is>
      </c>
      <c r="J112" s="12">
        <f>IF(F112&lt;&gt;0,"LANÇAR","")</f>
        <v/>
      </c>
      <c r="K112" s="20" t="n"/>
      <c r="L112" s="13">
        <f>N112&amp;O112&amp;P112&amp;Q112&amp;R112&amp;S112&amp;T112&amp;U112&amp;V112&amp;W112&amp;X112&amp;Y112&amp;Z112&amp;AA112&amp;AB112&amp;AC112&amp;AD112&amp;AE112&amp;AF112&amp;AG112</f>
        <v/>
      </c>
      <c r="M112" s="20" t="n"/>
      <c r="N112" s="10">
        <f>TEXT($B$6,"00")</f>
        <v/>
      </c>
      <c r="O112" s="10">
        <f>REPT(" ",8)</f>
        <v/>
      </c>
      <c r="P112" s="10">
        <f>RIGHT($B$4,2)</f>
        <v/>
      </c>
      <c r="Q112" s="10">
        <f>RIGHT($B$5,3)</f>
        <v/>
      </c>
      <c r="R112" s="10">
        <f>IF(A112="D",LEFT(UPPER(B112)&amp;REPT(" ",20),20),REPT(" ",20))</f>
        <v/>
      </c>
      <c r="S112" s="10">
        <f>IF(A112="D",LEFT(UPPER(C112)&amp;REPT(" ",10),10)," ")</f>
        <v/>
      </c>
      <c r="T112" s="10">
        <f>IF(A112="D",LEFT(UPPER(D112)&amp;REPT(" ",2),2)," ")</f>
        <v/>
      </c>
      <c r="U112" s="10">
        <f>IF(A112="D",LEFT(UPPER(E112)&amp;REPT(" ",15),15)," ")</f>
        <v/>
      </c>
      <c r="V112" s="10">
        <f>REPT(" ",24)</f>
        <v/>
      </c>
      <c r="W112" s="10">
        <f>IF(A112="c",LEFT(UPPER(B112)&amp;REPT(" ",20),20),REPT(" ",20))</f>
        <v/>
      </c>
      <c r="X112" s="10">
        <f>IF(A112="C",LEFT(UPPER(C112)&amp;REPT(" ",10),10)," ")</f>
        <v/>
      </c>
      <c r="Y112" s="10">
        <f>IF(A112="C",LEFT(UPPER(D112)&amp;REPT(" ",2),2)," ")</f>
        <v/>
      </c>
      <c r="Z112" s="10">
        <f>IF(A112="C",LEFT(UPPER(E112)&amp;REPT(" ",15),15)," ")</f>
        <v/>
      </c>
      <c r="AA112" s="10">
        <f>REPT(" ",8)</f>
        <v/>
      </c>
      <c r="AB112" s="10">
        <f>REPT(" ",4)</f>
        <v/>
      </c>
      <c r="AC112" s="10">
        <f>LEFT(UPPER(H112)&amp;REPT(" ",250),250)</f>
        <v/>
      </c>
      <c r="AD112" s="10">
        <f>TEXT($G$2,"dd/mm/aaaa")</f>
        <v/>
      </c>
      <c r="AE112" s="10">
        <f>REPT(" ",10)</f>
        <v/>
      </c>
      <c r="AF112" s="10">
        <f>REPT(" ",20)</f>
        <v/>
      </c>
      <c r="AG112" s="54">
        <f>REPT(" ",18-LEN(FIXED(F112,2,TRUE)))&amp;FIXED(F112,2,TRUE)</f>
        <v/>
      </c>
      <c r="AH112" s="10">
        <f>LEN(AC112)+LEN(AG112)</f>
        <v/>
      </c>
      <c r="AI112" s="10">
        <f>LEN(L112)</f>
        <v/>
      </c>
    </row>
    <row r="113">
      <c r="A113" s="61" t="inlineStr">
        <is>
          <t>D</t>
        </is>
      </c>
      <c r="B113" s="64">
        <f>IFERROR(IF(VLOOKUP(I113,DEPARA_CONTAS,2,0)="","CONTA PENDENTE",VLOOKUP(I113,DEPARA_CONTAS,2,0)),"SEM DE-PARA")</f>
        <v/>
      </c>
      <c r="C113" s="64" t="inlineStr">
        <is>
          <t>001100</t>
        </is>
      </c>
      <c r="D113" s="62" t="n"/>
      <c r="E113" s="62" t="n"/>
      <c r="F113" s="87" t="n">
        <v>13872.53</v>
      </c>
      <c r="H113" s="61" t="inlineStr">
        <is>
          <t>FOLHA DE PAGAMENTO REF 04/2026</t>
        </is>
      </c>
      <c r="I113" s="86" t="inlineStr">
        <is>
          <t>6.1.1.01.002</t>
        </is>
      </c>
      <c r="J113" s="12">
        <f>IF(F113&lt;&gt;0,"LANÇAR","")</f>
        <v/>
      </c>
      <c r="K113" s="20" t="n"/>
      <c r="L113" s="13">
        <f>N113&amp;O113&amp;P113&amp;Q113&amp;R113&amp;S113&amp;T113&amp;U113&amp;V113&amp;W113&amp;X113&amp;Y113&amp;Z113&amp;AA113&amp;AB113&amp;AC113&amp;AD113&amp;AE113&amp;AF113&amp;AG113</f>
        <v/>
      </c>
      <c r="M113" s="20" t="n"/>
      <c r="N113" s="10">
        <f>TEXT($B$6,"00")</f>
        <v/>
      </c>
      <c r="O113" s="10">
        <f>REPT(" ",8)</f>
        <v/>
      </c>
      <c r="P113" s="10">
        <f>RIGHT($B$4,2)</f>
        <v/>
      </c>
      <c r="Q113" s="10">
        <f>RIGHT($B$5,3)</f>
        <v/>
      </c>
      <c r="R113" s="10">
        <f>IF(A113="D",LEFT(UPPER(B113)&amp;REPT(" ",20),20),REPT(" ",20))</f>
        <v/>
      </c>
      <c r="S113" s="10">
        <f>IF(A113="D",LEFT(UPPER(C113)&amp;REPT(" ",10),10)," ")</f>
        <v/>
      </c>
      <c r="T113" s="10">
        <f>IF(A113="D",LEFT(UPPER(D113)&amp;REPT(" ",2),2)," ")</f>
        <v/>
      </c>
      <c r="U113" s="10">
        <f>IF(A113="D",LEFT(UPPER(E113)&amp;REPT(" ",15),15)," ")</f>
        <v/>
      </c>
      <c r="V113" s="10">
        <f>REPT(" ",24)</f>
        <v/>
      </c>
      <c r="W113" s="10">
        <f>IF(A113="c",LEFT(UPPER(B113)&amp;REPT(" ",20),20),REPT(" ",20))</f>
        <v/>
      </c>
      <c r="X113" s="10">
        <f>IF(A113="C",LEFT(UPPER(C113)&amp;REPT(" ",10),10)," ")</f>
        <v/>
      </c>
      <c r="Y113" s="10">
        <f>IF(A113="C",LEFT(UPPER(D113)&amp;REPT(" ",2),2)," ")</f>
        <v/>
      </c>
      <c r="Z113" s="10">
        <f>IF(A113="C",LEFT(UPPER(E113)&amp;REPT(" ",15),15)," ")</f>
        <v/>
      </c>
      <c r="AA113" s="10">
        <f>REPT(" ",8)</f>
        <v/>
      </c>
      <c r="AB113" s="10">
        <f>REPT(" ",4)</f>
        <v/>
      </c>
      <c r="AC113" s="10">
        <f>LEFT(UPPER(H113)&amp;REPT(" ",250),250)</f>
        <v/>
      </c>
      <c r="AD113" s="10">
        <f>TEXT($G$2,"dd/mm/aaaa")</f>
        <v/>
      </c>
      <c r="AE113" s="10">
        <f>REPT(" ",10)</f>
        <v/>
      </c>
      <c r="AF113" s="10">
        <f>REPT(" ",20)</f>
        <v/>
      </c>
      <c r="AG113" s="54">
        <f>REPT(" ",18-LEN(FIXED(F113,2,TRUE)))&amp;FIXED(F113,2,TRUE)</f>
        <v/>
      </c>
      <c r="AH113" s="10">
        <f>LEN(AC113)+LEN(AG113)</f>
        <v/>
      </c>
      <c r="AI113" s="10">
        <f>LEN(L113)</f>
        <v/>
      </c>
    </row>
    <row r="114">
      <c r="A114" s="61" t="inlineStr">
        <is>
          <t>D</t>
        </is>
      </c>
      <c r="B114" s="64">
        <f>IFERROR(IF(VLOOKUP(I114,DEPARA_CONTAS,2,0)="","CONTA PENDENTE",VLOOKUP(I114,DEPARA_CONTAS,2,0)),"SEM DE-PARA")</f>
        <v/>
      </c>
      <c r="C114" s="64" t="inlineStr">
        <is>
          <t>001100</t>
        </is>
      </c>
      <c r="D114" s="62" t="n"/>
      <c r="E114" s="62" t="n"/>
      <c r="F114" s="87" t="n">
        <v>17321.16</v>
      </c>
      <c r="H114" s="61" t="inlineStr">
        <is>
          <t>FOLHA DE PAGAMENTO REF 04/2026</t>
        </is>
      </c>
      <c r="I114" s="86" t="inlineStr">
        <is>
          <t>6.1.1.01.003</t>
        </is>
      </c>
      <c r="J114" s="12">
        <f>IF(F114&lt;&gt;0,"LANÇAR","")</f>
        <v/>
      </c>
      <c r="K114" s="20" t="n"/>
      <c r="L114" s="13">
        <f>N114&amp;O114&amp;P114&amp;Q114&amp;R114&amp;S114&amp;T114&amp;U114&amp;V114&amp;W114&amp;X114&amp;Y114&amp;Z114&amp;AA114&amp;AB114&amp;AC114&amp;AD114&amp;AE114&amp;AF114&amp;AG114</f>
        <v/>
      </c>
      <c r="M114" s="20" t="n"/>
      <c r="N114" s="10">
        <f>TEXT($B$6,"00")</f>
        <v/>
      </c>
      <c r="O114" s="10">
        <f>REPT(" ",8)</f>
        <v/>
      </c>
      <c r="P114" s="10">
        <f>RIGHT($B$4,2)</f>
        <v/>
      </c>
      <c r="Q114" s="10">
        <f>RIGHT($B$5,3)</f>
        <v/>
      </c>
      <c r="R114" s="10">
        <f>IF(A114="D",LEFT(UPPER(B114)&amp;REPT(" ",20),20),REPT(" ",20))</f>
        <v/>
      </c>
      <c r="S114" s="10">
        <f>IF(A114="D",LEFT(UPPER(C114)&amp;REPT(" ",10),10)," ")</f>
        <v/>
      </c>
      <c r="T114" s="10">
        <f>IF(A114="D",LEFT(UPPER(D114)&amp;REPT(" ",2),2)," ")</f>
        <v/>
      </c>
      <c r="U114" s="10">
        <f>IF(A114="D",LEFT(UPPER(E114)&amp;REPT(" ",15),15)," ")</f>
        <v/>
      </c>
      <c r="V114" s="10">
        <f>REPT(" ",24)</f>
        <v/>
      </c>
      <c r="W114" s="10">
        <f>IF(A114="c",LEFT(UPPER(B114)&amp;REPT(" ",20),20),REPT(" ",20))</f>
        <v/>
      </c>
      <c r="X114" s="10">
        <f>IF(A114="C",LEFT(UPPER(C114)&amp;REPT(" ",10),10)," ")</f>
        <v/>
      </c>
      <c r="Y114" s="10">
        <f>IF(A114="C",LEFT(UPPER(D114)&amp;REPT(" ",2),2)," ")</f>
        <v/>
      </c>
      <c r="Z114" s="10">
        <f>IF(A114="C",LEFT(UPPER(E114)&amp;REPT(" ",15),15)," ")</f>
        <v/>
      </c>
      <c r="AA114" s="10">
        <f>REPT(" ",8)</f>
        <v/>
      </c>
      <c r="AB114" s="10">
        <f>REPT(" ",4)</f>
        <v/>
      </c>
      <c r="AC114" s="10">
        <f>LEFT(UPPER(H114)&amp;REPT(" ",250),250)</f>
        <v/>
      </c>
      <c r="AD114" s="10">
        <f>TEXT($G$2,"dd/mm/aaaa")</f>
        <v/>
      </c>
      <c r="AE114" s="10">
        <f>REPT(" ",10)</f>
        <v/>
      </c>
      <c r="AF114" s="10">
        <f>REPT(" ",20)</f>
        <v/>
      </c>
      <c r="AG114" s="54">
        <f>REPT(" ",18-LEN(FIXED(F114,2,TRUE)))&amp;FIXED(F114,2,TRUE)</f>
        <v/>
      </c>
      <c r="AH114" s="10">
        <f>LEN(AC114)+LEN(AG114)</f>
        <v/>
      </c>
      <c r="AI114" s="10">
        <f>LEN(L114)</f>
        <v/>
      </c>
    </row>
    <row r="115">
      <c r="A115" s="61" t="inlineStr">
        <is>
          <t>D</t>
        </is>
      </c>
      <c r="B115" s="64">
        <f>IFERROR(IF(VLOOKUP(I115,DEPARA_CONTAS,2,0)="","CONTA PENDENTE",VLOOKUP(I115,DEPARA_CONTAS,2,0)),"SEM DE-PARA")</f>
        <v/>
      </c>
      <c r="C115" s="64" t="inlineStr">
        <is>
          <t>001100</t>
        </is>
      </c>
      <c r="D115" s="62" t="n"/>
      <c r="E115" s="62" t="n"/>
      <c r="F115" s="87" t="n">
        <v>58469.85</v>
      </c>
      <c r="H115" s="61" t="inlineStr">
        <is>
          <t>FOLHA DE PAGAMENTO REF 04/2026</t>
        </is>
      </c>
      <c r="I115" s="86" t="inlineStr">
        <is>
          <t>6.1.1.01.005</t>
        </is>
      </c>
      <c r="J115" s="12">
        <f>IF(F115&lt;&gt;0,"LANÇAR","")</f>
        <v/>
      </c>
      <c r="K115" s="20" t="n"/>
      <c r="L115" s="13">
        <f>N115&amp;O115&amp;P115&amp;Q115&amp;R115&amp;S115&amp;T115&amp;U115&amp;V115&amp;W115&amp;X115&amp;Y115&amp;Z115&amp;AA115&amp;AB115&amp;AC115&amp;AD115&amp;AE115&amp;AF115&amp;AG115</f>
        <v/>
      </c>
      <c r="M115" s="20" t="n"/>
      <c r="N115" s="10">
        <f>TEXT($B$6,"00")</f>
        <v/>
      </c>
      <c r="O115" s="10">
        <f>REPT(" ",8)</f>
        <v/>
      </c>
      <c r="P115" s="10">
        <f>RIGHT($B$4,2)</f>
        <v/>
      </c>
      <c r="Q115" s="10">
        <f>RIGHT($B$5,3)</f>
        <v/>
      </c>
      <c r="R115" s="10">
        <f>IF(A115="D",LEFT(UPPER(B115)&amp;REPT(" ",20),20),REPT(" ",20))</f>
        <v/>
      </c>
      <c r="S115" s="10">
        <f>IF(A115="D",LEFT(UPPER(C115)&amp;REPT(" ",10),10)," ")</f>
        <v/>
      </c>
      <c r="T115" s="10">
        <f>IF(A115="D",LEFT(UPPER(D115)&amp;REPT(" ",2),2)," ")</f>
        <v/>
      </c>
      <c r="U115" s="10">
        <f>IF(A115="D",LEFT(UPPER(E115)&amp;REPT(" ",15),15)," ")</f>
        <v/>
      </c>
      <c r="V115" s="10">
        <f>REPT(" ",24)</f>
        <v/>
      </c>
      <c r="W115" s="10">
        <f>IF(A115="c",LEFT(UPPER(B115)&amp;REPT(" ",20),20),REPT(" ",20))</f>
        <v/>
      </c>
      <c r="X115" s="10">
        <f>IF(A115="C",LEFT(UPPER(C115)&amp;REPT(" ",10),10)," ")</f>
        <v/>
      </c>
      <c r="Y115" s="10">
        <f>IF(A115="C",LEFT(UPPER(D115)&amp;REPT(" ",2),2)," ")</f>
        <v/>
      </c>
      <c r="Z115" s="10">
        <f>IF(A115="C",LEFT(UPPER(E115)&amp;REPT(" ",15),15)," ")</f>
        <v/>
      </c>
      <c r="AA115" s="10">
        <f>REPT(" ",8)</f>
        <v/>
      </c>
      <c r="AB115" s="10">
        <f>REPT(" ",4)</f>
        <v/>
      </c>
      <c r="AC115" s="10">
        <f>LEFT(UPPER(H115)&amp;REPT(" ",250),250)</f>
        <v/>
      </c>
      <c r="AD115" s="10">
        <f>TEXT($G$2,"dd/mm/aaaa")</f>
        <v/>
      </c>
      <c r="AE115" s="10">
        <f>REPT(" ",10)</f>
        <v/>
      </c>
      <c r="AF115" s="10">
        <f>REPT(" ",20)</f>
        <v/>
      </c>
      <c r="AG115" s="54">
        <f>REPT(" ",18-LEN(FIXED(F115,2,TRUE)))&amp;FIXED(F115,2,TRUE)</f>
        <v/>
      </c>
      <c r="AH115" s="10">
        <f>LEN(AC115)+LEN(AG115)</f>
        <v/>
      </c>
      <c r="AI115" s="10">
        <f>LEN(L115)</f>
        <v/>
      </c>
    </row>
    <row r="116">
      <c r="A116" s="61" t="inlineStr">
        <is>
          <t>C</t>
        </is>
      </c>
      <c r="B116" s="64">
        <f>IFERROR(IF(VLOOKUP(I116,DEPARA_CONTAS,2,0)="","CONTA PENDENTE",VLOOKUP(I116,DEPARA_CONTAS,2,0)),"SEM DE-PARA")</f>
        <v/>
      </c>
      <c r="C116" s="64" t="inlineStr">
        <is>
          <t>001100</t>
        </is>
      </c>
      <c r="D116" s="62" t="n"/>
      <c r="E116" s="62" t="n"/>
      <c r="F116" s="87" t="n">
        <v>849.46</v>
      </c>
      <c r="H116" s="61" t="inlineStr">
        <is>
          <t>FOLHA DE PAGAMENTO REF 04/2026</t>
        </is>
      </c>
      <c r="I116" s="86" t="inlineStr">
        <is>
          <t>6.1.1.04.001</t>
        </is>
      </c>
      <c r="J116" s="12">
        <f>IF(F116&lt;&gt;0,"LANÇAR","")</f>
        <v/>
      </c>
      <c r="K116" s="20" t="n"/>
      <c r="L116" s="13">
        <f>N116&amp;O116&amp;P116&amp;Q116&amp;R116&amp;S116&amp;T116&amp;U116&amp;V116&amp;W116&amp;X116&amp;Y116&amp;Z116&amp;AA116&amp;AB116&amp;AC116&amp;AD116&amp;AE116&amp;AF116&amp;AG116</f>
        <v/>
      </c>
      <c r="M116" s="20" t="n"/>
      <c r="N116" s="10">
        <f>TEXT($B$6,"00")</f>
        <v/>
      </c>
      <c r="O116" s="10">
        <f>REPT(" ",8)</f>
        <v/>
      </c>
      <c r="P116" s="10">
        <f>RIGHT($B$4,2)</f>
        <v/>
      </c>
      <c r="Q116" s="10">
        <f>RIGHT($B$5,3)</f>
        <v/>
      </c>
      <c r="R116" s="10">
        <f>IF(A116="D",LEFT(UPPER(B116)&amp;REPT(" ",20),20),REPT(" ",20))</f>
        <v/>
      </c>
      <c r="S116" s="10">
        <f>IF(A116="D",LEFT(UPPER(C116)&amp;REPT(" ",10),10)," ")</f>
        <v/>
      </c>
      <c r="T116" s="10">
        <f>IF(A116="D",LEFT(UPPER(D116)&amp;REPT(" ",2),2)," ")</f>
        <v/>
      </c>
      <c r="U116" s="10">
        <f>IF(A116="D",LEFT(UPPER(E116)&amp;REPT(" ",15),15)," ")</f>
        <v/>
      </c>
      <c r="V116" s="10">
        <f>REPT(" ",24)</f>
        <v/>
      </c>
      <c r="W116" s="10">
        <f>IF(A116="c",LEFT(UPPER(B116)&amp;REPT(" ",20),20),REPT(" ",20))</f>
        <v/>
      </c>
      <c r="X116" s="10">
        <f>IF(A116="C",LEFT(UPPER(C116)&amp;REPT(" ",10),10)," ")</f>
        <v/>
      </c>
      <c r="Y116" s="10">
        <f>IF(A116="C",LEFT(UPPER(D116)&amp;REPT(" ",2),2)," ")</f>
        <v/>
      </c>
      <c r="Z116" s="10">
        <f>IF(A116="C",LEFT(UPPER(E116)&amp;REPT(" ",15),15)," ")</f>
        <v/>
      </c>
      <c r="AA116" s="10">
        <f>REPT(" ",8)</f>
        <v/>
      </c>
      <c r="AB116" s="10">
        <f>REPT(" ",4)</f>
        <v/>
      </c>
      <c r="AC116" s="10">
        <f>LEFT(UPPER(H116)&amp;REPT(" ",250),250)</f>
        <v/>
      </c>
      <c r="AD116" s="10">
        <f>TEXT($G$2,"dd/mm/aaaa")</f>
        <v/>
      </c>
      <c r="AE116" s="10">
        <f>REPT(" ",10)</f>
        <v/>
      </c>
      <c r="AF116" s="10">
        <f>REPT(" ",20)</f>
        <v/>
      </c>
      <c r="AG116" s="54">
        <f>REPT(" ",18-LEN(FIXED(F116,2,TRUE)))&amp;FIXED(F116,2,TRUE)</f>
        <v/>
      </c>
      <c r="AH116" s="10">
        <f>LEN(AC116)+LEN(AG116)</f>
        <v/>
      </c>
      <c r="AI116" s="10">
        <f>LEN(L116)</f>
        <v/>
      </c>
    </row>
    <row r="117">
      <c r="A117" s="61" t="inlineStr">
        <is>
          <t>C</t>
        </is>
      </c>
      <c r="B117" s="64">
        <f>IFERROR(IF(VLOOKUP(I117,DEPARA_CONTAS,2,0)="","CONTA PENDENTE",VLOOKUP(I117,DEPARA_CONTAS,2,0)),"SEM DE-PARA")</f>
        <v/>
      </c>
      <c r="C117" s="64" t="inlineStr">
        <is>
          <t>001100</t>
        </is>
      </c>
      <c r="D117" s="62" t="n"/>
      <c r="E117" s="62" t="n"/>
      <c r="F117" s="87" t="n">
        <v>200</v>
      </c>
      <c r="H117" s="61" t="inlineStr">
        <is>
          <t>FOLHA DE PAGAMENTO REF 04/2026</t>
        </is>
      </c>
      <c r="I117" s="86" t="inlineStr">
        <is>
          <t>6.1.1.04.003</t>
        </is>
      </c>
      <c r="J117" s="12">
        <f>IF(F117&lt;&gt;0,"LANÇAR","")</f>
        <v/>
      </c>
      <c r="K117" s="20" t="n"/>
      <c r="L117" s="13">
        <f>N117&amp;O117&amp;P117&amp;Q117&amp;R117&amp;S117&amp;T117&amp;U117&amp;V117&amp;W117&amp;X117&amp;Y117&amp;Z117&amp;AA117&amp;AB117&amp;AC117&amp;AD117&amp;AE117&amp;AF117&amp;AG117</f>
        <v/>
      </c>
      <c r="M117" s="20" t="n"/>
      <c r="N117" s="10">
        <f>TEXT($B$6,"00")</f>
        <v/>
      </c>
      <c r="O117" s="10">
        <f>REPT(" ",8)</f>
        <v/>
      </c>
      <c r="P117" s="10">
        <f>RIGHT($B$4,2)</f>
        <v/>
      </c>
      <c r="Q117" s="10">
        <f>RIGHT($B$5,3)</f>
        <v/>
      </c>
      <c r="R117" s="10">
        <f>IF(A117="D",LEFT(UPPER(B117)&amp;REPT(" ",20),20),REPT(" ",20))</f>
        <v/>
      </c>
      <c r="S117" s="10">
        <f>IF(A117="D",LEFT(UPPER(C117)&amp;REPT(" ",10),10)," ")</f>
        <v/>
      </c>
      <c r="T117" s="10">
        <f>IF(A117="D",LEFT(UPPER(D117)&amp;REPT(" ",2),2)," ")</f>
        <v/>
      </c>
      <c r="U117" s="10">
        <f>IF(A117="D",LEFT(UPPER(E117)&amp;REPT(" ",15),15)," ")</f>
        <v/>
      </c>
      <c r="V117" s="10">
        <f>REPT(" ",24)</f>
        <v/>
      </c>
      <c r="W117" s="10">
        <f>IF(A117="c",LEFT(UPPER(B117)&amp;REPT(" ",20),20),REPT(" ",20))</f>
        <v/>
      </c>
      <c r="X117" s="10">
        <f>IF(A117="C",LEFT(UPPER(C117)&amp;REPT(" ",10),10)," ")</f>
        <v/>
      </c>
      <c r="Y117" s="10">
        <f>IF(A117="C",LEFT(UPPER(D117)&amp;REPT(" ",2),2)," ")</f>
        <v/>
      </c>
      <c r="Z117" s="10">
        <f>IF(A117="C",LEFT(UPPER(E117)&amp;REPT(" ",15),15)," ")</f>
        <v/>
      </c>
      <c r="AA117" s="10">
        <f>REPT(" ",8)</f>
        <v/>
      </c>
      <c r="AB117" s="10">
        <f>REPT(" ",4)</f>
        <v/>
      </c>
      <c r="AC117" s="10">
        <f>LEFT(UPPER(H117)&amp;REPT(" ",250),250)</f>
        <v/>
      </c>
      <c r="AD117" s="10">
        <f>TEXT($G$2,"dd/mm/aaaa")</f>
        <v/>
      </c>
      <c r="AE117" s="10">
        <f>REPT(" ",10)</f>
        <v/>
      </c>
      <c r="AF117" s="10">
        <f>REPT(" ",20)</f>
        <v/>
      </c>
      <c r="AG117" s="54">
        <f>REPT(" ",18-LEN(FIXED(F117,2,TRUE)))&amp;FIXED(F117,2,TRUE)</f>
        <v/>
      </c>
      <c r="AH117" s="10">
        <f>LEN(AC117)+LEN(AG117)</f>
        <v/>
      </c>
      <c r="AI117" s="10">
        <f>LEN(L117)</f>
        <v/>
      </c>
    </row>
    <row r="118">
      <c r="A118" s="61" t="inlineStr">
        <is>
          <t>C</t>
        </is>
      </c>
      <c r="B118" s="64">
        <f>IFERROR(IF(VLOOKUP(I118,DEPARA_CONTAS,2,0)="","CONTA PENDENTE",VLOOKUP(I118,DEPARA_CONTAS,2,0)),"SEM DE-PARA")</f>
        <v/>
      </c>
      <c r="C118" s="64" t="inlineStr">
        <is>
          <t>001100</t>
        </is>
      </c>
      <c r="D118" s="62" t="n"/>
      <c r="E118" s="62" t="n"/>
      <c r="F118" s="87" t="n">
        <v>198</v>
      </c>
      <c r="H118" s="61" t="inlineStr">
        <is>
          <t>FOLHA DE PAGAMENTO REF 04/2026</t>
        </is>
      </c>
      <c r="I118" s="86" t="inlineStr">
        <is>
          <t>6.1.1.04.006</t>
        </is>
      </c>
      <c r="J118" s="12">
        <f>IF(F118&lt;&gt;0,"LANÇAR","")</f>
        <v/>
      </c>
      <c r="K118" s="20" t="n"/>
      <c r="L118" s="13">
        <f>N118&amp;O118&amp;P118&amp;Q118&amp;R118&amp;S118&amp;T118&amp;U118&amp;V118&amp;W118&amp;X118&amp;Y118&amp;Z118&amp;AA118&amp;AB118&amp;AC118&amp;AD118&amp;AE118&amp;AF118&amp;AG118</f>
        <v/>
      </c>
      <c r="M118" s="20" t="n"/>
      <c r="N118" s="10">
        <f>TEXT($B$6,"00")</f>
        <v/>
      </c>
      <c r="O118" s="10">
        <f>REPT(" ",8)</f>
        <v/>
      </c>
      <c r="P118" s="10">
        <f>RIGHT($B$4,2)</f>
        <v/>
      </c>
      <c r="Q118" s="10">
        <f>RIGHT($B$5,3)</f>
        <v/>
      </c>
      <c r="R118" s="10">
        <f>IF(A118="D",LEFT(UPPER(B118)&amp;REPT(" ",20),20),REPT(" ",20))</f>
        <v/>
      </c>
      <c r="S118" s="10">
        <f>IF(A118="D",LEFT(UPPER(C118)&amp;REPT(" ",10),10)," ")</f>
        <v/>
      </c>
      <c r="T118" s="10">
        <f>IF(A118="D",LEFT(UPPER(D118)&amp;REPT(" ",2),2)," ")</f>
        <v/>
      </c>
      <c r="U118" s="10">
        <f>IF(A118="D",LEFT(UPPER(E118)&amp;REPT(" ",15),15)," ")</f>
        <v/>
      </c>
      <c r="V118" s="10">
        <f>REPT(" ",24)</f>
        <v/>
      </c>
      <c r="W118" s="10">
        <f>IF(A118="c",LEFT(UPPER(B118)&amp;REPT(" ",20),20),REPT(" ",20))</f>
        <v/>
      </c>
      <c r="X118" s="10">
        <f>IF(A118="C",LEFT(UPPER(C118)&amp;REPT(" ",10),10)," ")</f>
        <v/>
      </c>
      <c r="Y118" s="10">
        <f>IF(A118="C",LEFT(UPPER(D118)&amp;REPT(" ",2),2)," ")</f>
        <v/>
      </c>
      <c r="Z118" s="10">
        <f>IF(A118="C",LEFT(UPPER(E118)&amp;REPT(" ",15),15)," ")</f>
        <v/>
      </c>
      <c r="AA118" s="10">
        <f>REPT(" ",8)</f>
        <v/>
      </c>
      <c r="AB118" s="10">
        <f>REPT(" ",4)</f>
        <v/>
      </c>
      <c r="AC118" s="10">
        <f>LEFT(UPPER(H118)&amp;REPT(" ",250),250)</f>
        <v/>
      </c>
      <c r="AD118" s="10">
        <f>TEXT($G$2,"dd/mm/aaaa")</f>
        <v/>
      </c>
      <c r="AE118" s="10">
        <f>REPT(" ",10)</f>
        <v/>
      </c>
      <c r="AF118" s="10">
        <f>REPT(" ",20)</f>
        <v/>
      </c>
      <c r="AG118" s="54">
        <f>REPT(" ",18-LEN(FIXED(F118,2,TRUE)))&amp;FIXED(F118,2,TRUE)</f>
        <v/>
      </c>
      <c r="AH118" s="10">
        <f>LEN(AC118)+LEN(AG118)</f>
        <v/>
      </c>
      <c r="AI118" s="10">
        <f>LEN(L118)</f>
        <v/>
      </c>
    </row>
    <row r="119">
      <c r="A119" s="61" t="inlineStr">
        <is>
          <t>D</t>
        </is>
      </c>
      <c r="B119" s="64">
        <f>IFERROR(IF(VLOOKUP(I119,DEPARA_CONTAS,2,0)="","CONTA PENDENTE",VLOOKUP(I119,DEPARA_CONTAS,2,0)),"SEM DE-PARA")</f>
        <v/>
      </c>
      <c r="C119" s="64" t="inlineStr">
        <is>
          <t>001100</t>
        </is>
      </c>
      <c r="D119" s="62" t="n"/>
      <c r="E119" s="62" t="n"/>
      <c r="F119" s="87" t="n">
        <v>15915.32</v>
      </c>
      <c r="H119" s="61" t="inlineStr">
        <is>
          <t>FOLHA DE PAGAMENTO REF 04/2026</t>
        </is>
      </c>
      <c r="I119" s="86" t="inlineStr">
        <is>
          <t>6.1.1.02.001</t>
        </is>
      </c>
      <c r="J119" s="12">
        <f>IF(F119&lt;&gt;0,"LANÇAR","")</f>
        <v/>
      </c>
      <c r="K119" s="20" t="n"/>
      <c r="L119" s="13">
        <f>N119&amp;O119&amp;P119&amp;Q119&amp;R119&amp;S119&amp;T119&amp;U119&amp;V119&amp;W119&amp;X119&amp;Y119&amp;Z119&amp;AA119&amp;AB119&amp;AC119&amp;AD119&amp;AE119&amp;AF119&amp;AG119</f>
        <v/>
      </c>
      <c r="M119" s="20" t="n"/>
      <c r="N119" s="10">
        <f>TEXT($B$6,"00")</f>
        <v/>
      </c>
      <c r="O119" s="10">
        <f>REPT(" ",8)</f>
        <v/>
      </c>
      <c r="P119" s="10">
        <f>RIGHT($B$4,2)</f>
        <v/>
      </c>
      <c r="Q119" s="10">
        <f>RIGHT($B$5,3)</f>
        <v/>
      </c>
      <c r="R119" s="10">
        <f>IF(A119="D",LEFT(UPPER(B119)&amp;REPT(" ",20),20),REPT(" ",20))</f>
        <v/>
      </c>
      <c r="S119" s="10">
        <f>IF(A119="D",LEFT(UPPER(C119)&amp;REPT(" ",10),10)," ")</f>
        <v/>
      </c>
      <c r="T119" s="10">
        <f>IF(A119="D",LEFT(UPPER(D119)&amp;REPT(" ",2),2)," ")</f>
        <v/>
      </c>
      <c r="U119" s="10">
        <f>IF(A119="D",LEFT(UPPER(E119)&amp;REPT(" ",15),15)," ")</f>
        <v/>
      </c>
      <c r="V119" s="10">
        <f>REPT(" ",24)</f>
        <v/>
      </c>
      <c r="W119" s="10">
        <f>IF(A119="c",LEFT(UPPER(B119)&amp;REPT(" ",20),20),REPT(" ",20))</f>
        <v/>
      </c>
      <c r="X119" s="10">
        <f>IF(A119="C",LEFT(UPPER(C119)&amp;REPT(" ",10),10)," ")</f>
        <v/>
      </c>
      <c r="Y119" s="10">
        <f>IF(A119="C",LEFT(UPPER(D119)&amp;REPT(" ",2),2)," ")</f>
        <v/>
      </c>
      <c r="Z119" s="10">
        <f>IF(A119="C",LEFT(UPPER(E119)&amp;REPT(" ",15),15)," ")</f>
        <v/>
      </c>
      <c r="AA119" s="10">
        <f>REPT(" ",8)</f>
        <v/>
      </c>
      <c r="AB119" s="10">
        <f>REPT(" ",4)</f>
        <v/>
      </c>
      <c r="AC119" s="10">
        <f>LEFT(UPPER(H119)&amp;REPT(" ",250),250)</f>
        <v/>
      </c>
      <c r="AD119" s="10">
        <f>TEXT($G$2,"dd/mm/aaaa")</f>
        <v/>
      </c>
      <c r="AE119" s="10">
        <f>REPT(" ",10)</f>
        <v/>
      </c>
      <c r="AF119" s="10">
        <f>REPT(" ",20)</f>
        <v/>
      </c>
      <c r="AG119" s="54">
        <f>REPT(" ",18-LEN(FIXED(F119,2,TRUE)))&amp;FIXED(F119,2,TRUE)</f>
        <v/>
      </c>
      <c r="AH119" s="10">
        <f>LEN(AC119)+LEN(AG119)</f>
        <v/>
      </c>
      <c r="AI119" s="10">
        <f>LEN(L119)</f>
        <v/>
      </c>
    </row>
    <row r="120">
      <c r="A120" s="61" t="inlineStr">
        <is>
          <t>D</t>
        </is>
      </c>
      <c r="B120" s="64">
        <f>IFERROR(IF(VLOOKUP(I120,DEPARA_CONTAS,2,0)="","CONTA PENDENTE",VLOOKUP(I120,DEPARA_CONTAS,2,0)),"SEM DE-PARA")</f>
        <v/>
      </c>
      <c r="C120" s="64" t="inlineStr">
        <is>
          <t>001100</t>
        </is>
      </c>
      <c r="D120" s="62" t="n"/>
      <c r="E120" s="62" t="n"/>
      <c r="F120" s="87" t="n">
        <v>5787.39</v>
      </c>
      <c r="H120" s="61" t="inlineStr">
        <is>
          <t>FOLHA DE PAGAMENTO REF 04/2026</t>
        </is>
      </c>
      <c r="I120" s="86" t="inlineStr">
        <is>
          <t>6.1.1.02.002</t>
        </is>
      </c>
      <c r="J120" s="12">
        <f>IF(F120&lt;&gt;0,"LANÇAR","")</f>
        <v/>
      </c>
      <c r="K120" s="20" t="n"/>
      <c r="L120" s="13">
        <f>N120&amp;O120&amp;P120&amp;Q120&amp;R120&amp;S120&amp;T120&amp;U120&amp;V120&amp;W120&amp;X120&amp;Y120&amp;Z120&amp;AA120&amp;AB120&amp;AC120&amp;AD120&amp;AE120&amp;AF120&amp;AG120</f>
        <v/>
      </c>
      <c r="M120" s="20" t="n"/>
      <c r="N120" s="10">
        <f>TEXT($B$6,"00")</f>
        <v/>
      </c>
      <c r="O120" s="10">
        <f>REPT(" ",8)</f>
        <v/>
      </c>
      <c r="P120" s="10">
        <f>RIGHT($B$4,2)</f>
        <v/>
      </c>
      <c r="Q120" s="10">
        <f>RIGHT($B$5,3)</f>
        <v/>
      </c>
      <c r="R120" s="10">
        <f>IF(A120="D",LEFT(UPPER(B120)&amp;REPT(" ",20),20),REPT(" ",20))</f>
        <v/>
      </c>
      <c r="S120" s="10">
        <f>IF(A120="D",LEFT(UPPER(C120)&amp;REPT(" ",10),10)," ")</f>
        <v/>
      </c>
      <c r="T120" s="10">
        <f>IF(A120="D",LEFT(UPPER(D120)&amp;REPT(" ",2),2)," ")</f>
        <v/>
      </c>
      <c r="U120" s="10">
        <f>IF(A120="D",LEFT(UPPER(E120)&amp;REPT(" ",15),15)," ")</f>
        <v/>
      </c>
      <c r="V120" s="10">
        <f>REPT(" ",24)</f>
        <v/>
      </c>
      <c r="W120" s="10">
        <f>IF(A120="c",LEFT(UPPER(B120)&amp;REPT(" ",20),20),REPT(" ",20))</f>
        <v/>
      </c>
      <c r="X120" s="10">
        <f>IF(A120="C",LEFT(UPPER(C120)&amp;REPT(" ",10),10)," ")</f>
        <v/>
      </c>
      <c r="Y120" s="10">
        <f>IF(A120="C",LEFT(UPPER(D120)&amp;REPT(" ",2),2)," ")</f>
        <v/>
      </c>
      <c r="Z120" s="10">
        <f>IF(A120="C",LEFT(UPPER(E120)&amp;REPT(" ",15),15)," ")</f>
        <v/>
      </c>
      <c r="AA120" s="10">
        <f>REPT(" ",8)</f>
        <v/>
      </c>
      <c r="AB120" s="10">
        <f>REPT(" ",4)</f>
        <v/>
      </c>
      <c r="AC120" s="10">
        <f>LEFT(UPPER(H120)&amp;REPT(" ",250),250)</f>
        <v/>
      </c>
      <c r="AD120" s="10">
        <f>TEXT($G$2,"dd/mm/aaaa")</f>
        <v/>
      </c>
      <c r="AE120" s="10">
        <f>REPT(" ",10)</f>
        <v/>
      </c>
      <c r="AF120" s="10">
        <f>REPT(" ",20)</f>
        <v/>
      </c>
      <c r="AG120" s="54">
        <f>REPT(" ",18-LEN(FIXED(F120,2,TRUE)))&amp;FIXED(F120,2,TRUE)</f>
        <v/>
      </c>
      <c r="AH120" s="10">
        <f>LEN(AC120)+LEN(AG120)</f>
        <v/>
      </c>
      <c r="AI120" s="10">
        <f>LEN(L120)</f>
        <v/>
      </c>
    </row>
    <row r="121">
      <c r="A121" s="61" t="inlineStr">
        <is>
          <t>D</t>
        </is>
      </c>
      <c r="B121" s="64">
        <f>IFERROR(IF(VLOOKUP(I121,DEPARA_CONTAS,2,0)="","CONTA PENDENTE",VLOOKUP(I121,DEPARA_CONTAS,2,0)),"SEM DE-PARA")</f>
        <v/>
      </c>
      <c r="C121" s="64" t="inlineStr">
        <is>
          <t>001100</t>
        </is>
      </c>
      <c r="D121" s="62" t="n"/>
      <c r="E121" s="62" t="n"/>
      <c r="F121" s="87" t="n">
        <v>4195.86</v>
      </c>
      <c r="H121" s="61" t="inlineStr">
        <is>
          <t>FOLHA DE PAGAMENTO REF 04/2026</t>
        </is>
      </c>
      <c r="I121" s="86" t="inlineStr">
        <is>
          <t>6.1.1.02.005</t>
        </is>
      </c>
      <c r="J121" s="12">
        <f>IF(F121&lt;&gt;0,"LANÇAR","")</f>
        <v/>
      </c>
      <c r="K121" s="20" t="n"/>
      <c r="L121" s="13">
        <f>N121&amp;O121&amp;P121&amp;Q121&amp;R121&amp;S121&amp;T121&amp;U121&amp;V121&amp;W121&amp;X121&amp;Y121&amp;Z121&amp;AA121&amp;AB121&amp;AC121&amp;AD121&amp;AE121&amp;AF121&amp;AG121</f>
        <v/>
      </c>
      <c r="M121" s="20" t="n"/>
      <c r="N121" s="10">
        <f>TEXT($B$6,"00")</f>
        <v/>
      </c>
      <c r="O121" s="10">
        <f>REPT(" ",8)</f>
        <v/>
      </c>
      <c r="P121" s="10">
        <f>RIGHT($B$4,2)</f>
        <v/>
      </c>
      <c r="Q121" s="10">
        <f>RIGHT($B$5,3)</f>
        <v/>
      </c>
      <c r="R121" s="10">
        <f>IF(A121="D",LEFT(UPPER(B121)&amp;REPT(" ",20),20),REPT(" ",20))</f>
        <v/>
      </c>
      <c r="S121" s="10">
        <f>IF(A121="D",LEFT(UPPER(C121)&amp;REPT(" ",10),10)," ")</f>
        <v/>
      </c>
      <c r="T121" s="10">
        <f>IF(A121="D",LEFT(UPPER(D121)&amp;REPT(" ",2),2)," ")</f>
        <v/>
      </c>
      <c r="U121" s="10">
        <f>IF(A121="D",LEFT(UPPER(E121)&amp;REPT(" ",15),15)," ")</f>
        <v/>
      </c>
      <c r="V121" s="10">
        <f>REPT(" ",24)</f>
        <v/>
      </c>
      <c r="W121" s="10">
        <f>IF(A121="c",LEFT(UPPER(B121)&amp;REPT(" ",20),20),REPT(" ",20))</f>
        <v/>
      </c>
      <c r="X121" s="10">
        <f>IF(A121="C",LEFT(UPPER(C121)&amp;REPT(" ",10),10)," ")</f>
        <v/>
      </c>
      <c r="Y121" s="10">
        <f>IF(A121="C",LEFT(UPPER(D121)&amp;REPT(" ",2),2)," ")</f>
        <v/>
      </c>
      <c r="Z121" s="10">
        <f>IF(A121="C",LEFT(UPPER(E121)&amp;REPT(" ",15),15)," ")</f>
        <v/>
      </c>
      <c r="AA121" s="10">
        <f>REPT(" ",8)</f>
        <v/>
      </c>
      <c r="AB121" s="10">
        <f>REPT(" ",4)</f>
        <v/>
      </c>
      <c r="AC121" s="10">
        <f>LEFT(UPPER(H121)&amp;REPT(" ",250),250)</f>
        <v/>
      </c>
      <c r="AD121" s="10">
        <f>TEXT($G$2,"dd/mm/aaaa")</f>
        <v/>
      </c>
      <c r="AE121" s="10">
        <f>REPT(" ",10)</f>
        <v/>
      </c>
      <c r="AF121" s="10">
        <f>REPT(" ",20)</f>
        <v/>
      </c>
      <c r="AG121" s="54">
        <f>REPT(" ",18-LEN(FIXED(F121,2,TRUE)))&amp;FIXED(F121,2,TRUE)</f>
        <v/>
      </c>
      <c r="AH121" s="10">
        <f>LEN(AC121)+LEN(AG121)</f>
        <v/>
      </c>
      <c r="AI121" s="10">
        <f>LEN(L121)</f>
        <v/>
      </c>
    </row>
    <row r="122">
      <c r="A122" s="61" t="inlineStr">
        <is>
          <t>D</t>
        </is>
      </c>
      <c r="B122" s="64">
        <f>IFERROR(IF(VLOOKUP(I122,DEPARA_CONTAS,2,0)="","CONTA PENDENTE",VLOOKUP(I122,DEPARA_CONTAS,2,0)),"SEM DE-PARA")</f>
        <v/>
      </c>
      <c r="C122" s="64" t="inlineStr">
        <is>
          <t>001100</t>
        </is>
      </c>
      <c r="D122" s="62" t="n"/>
      <c r="E122" s="62" t="n"/>
      <c r="F122" s="87" t="n">
        <v>8768.77</v>
      </c>
      <c r="H122" s="61" t="inlineStr">
        <is>
          <t>FOLHA DE PAGAMENTO REF 04/2026</t>
        </is>
      </c>
      <c r="I122" s="86" t="inlineStr">
        <is>
          <t>6.1.1.03.001</t>
        </is>
      </c>
      <c r="J122" s="12">
        <f>IF(F122&lt;&gt;0,"LANÇAR","")</f>
        <v/>
      </c>
      <c r="K122" s="20" t="n"/>
      <c r="L122" s="13">
        <f>N122&amp;O122&amp;P122&amp;Q122&amp;R122&amp;S122&amp;T122&amp;U122&amp;V122&amp;W122&amp;X122&amp;Y122&amp;Z122&amp;AA122&amp;AB122&amp;AC122&amp;AD122&amp;AE122&amp;AF122&amp;AG122</f>
        <v/>
      </c>
      <c r="M122" s="20" t="n"/>
      <c r="N122" s="10">
        <f>TEXT($B$6,"00")</f>
        <v/>
      </c>
      <c r="O122" s="10">
        <f>REPT(" ",8)</f>
        <v/>
      </c>
      <c r="P122" s="10">
        <f>RIGHT($B$4,2)</f>
        <v/>
      </c>
      <c r="Q122" s="10">
        <f>RIGHT($B$5,3)</f>
        <v/>
      </c>
      <c r="R122" s="10">
        <f>IF(A122="D",LEFT(UPPER(B122)&amp;REPT(" ",20),20),REPT(" ",20))</f>
        <v/>
      </c>
      <c r="S122" s="10">
        <f>IF(A122="D",LEFT(UPPER(C122)&amp;REPT(" ",10),10)," ")</f>
        <v/>
      </c>
      <c r="T122" s="10">
        <f>IF(A122="D",LEFT(UPPER(D122)&amp;REPT(" ",2),2)," ")</f>
        <v/>
      </c>
      <c r="U122" s="10">
        <f>IF(A122="D",LEFT(UPPER(E122)&amp;REPT(" ",15),15)," ")</f>
        <v/>
      </c>
      <c r="V122" s="10">
        <f>REPT(" ",24)</f>
        <v/>
      </c>
      <c r="W122" s="10">
        <f>IF(A122="c",LEFT(UPPER(B122)&amp;REPT(" ",20),20),REPT(" ",20))</f>
        <v/>
      </c>
      <c r="X122" s="10">
        <f>IF(A122="C",LEFT(UPPER(C122)&amp;REPT(" ",10),10)," ")</f>
        <v/>
      </c>
      <c r="Y122" s="10">
        <f>IF(A122="C",LEFT(UPPER(D122)&amp;REPT(" ",2),2)," ")</f>
        <v/>
      </c>
      <c r="Z122" s="10">
        <f>IF(A122="C",LEFT(UPPER(E122)&amp;REPT(" ",15),15)," ")</f>
        <v/>
      </c>
      <c r="AA122" s="10">
        <f>REPT(" ",8)</f>
        <v/>
      </c>
      <c r="AB122" s="10">
        <f>REPT(" ",4)</f>
        <v/>
      </c>
      <c r="AC122" s="10">
        <f>LEFT(UPPER(H122)&amp;REPT(" ",250),250)</f>
        <v/>
      </c>
      <c r="AD122" s="10">
        <f>TEXT($G$2,"dd/mm/aaaa")</f>
        <v/>
      </c>
      <c r="AE122" s="10">
        <f>REPT(" ",10)</f>
        <v/>
      </c>
      <c r="AF122" s="10">
        <f>REPT(" ",20)</f>
        <v/>
      </c>
      <c r="AG122" s="54">
        <f>REPT(" ",18-LEN(FIXED(F122,2,TRUE)))&amp;FIXED(F122,2,TRUE)</f>
        <v/>
      </c>
      <c r="AH122" s="10">
        <f>LEN(AC122)+LEN(AG122)</f>
        <v/>
      </c>
      <c r="AI122" s="10">
        <f>LEN(L122)</f>
        <v/>
      </c>
    </row>
    <row r="123">
      <c r="A123" s="61" t="inlineStr">
        <is>
          <t>D</t>
        </is>
      </c>
      <c r="B123" s="64">
        <f>IFERROR(IF(VLOOKUP(I123,DEPARA_CONTAS,2,0)="","CONTA PENDENTE",VLOOKUP(I123,DEPARA_CONTAS,2,0)),"SEM DE-PARA")</f>
        <v/>
      </c>
      <c r="C123" s="64" t="inlineStr">
        <is>
          <t>001100</t>
        </is>
      </c>
      <c r="D123" s="62" t="n"/>
      <c r="E123" s="62" t="n"/>
      <c r="F123" s="87" t="n">
        <v>6028.53</v>
      </c>
      <c r="H123" s="61" t="inlineStr">
        <is>
          <t>FOLHA DE PAGAMENTO REF 04/2026</t>
        </is>
      </c>
      <c r="I123" s="86" t="inlineStr">
        <is>
          <t>6.1.1.03.002</t>
        </is>
      </c>
      <c r="J123" s="12">
        <f>IF(F123&lt;&gt;0,"LANÇAR","")</f>
        <v/>
      </c>
      <c r="K123" s="20" t="n"/>
      <c r="L123" s="13">
        <f>N123&amp;O123&amp;P123&amp;Q123&amp;R123&amp;S123&amp;T123&amp;U123&amp;V123&amp;W123&amp;X123&amp;Y123&amp;Z123&amp;AA123&amp;AB123&amp;AC123&amp;AD123&amp;AE123&amp;AF123&amp;AG123</f>
        <v/>
      </c>
      <c r="M123" s="20" t="n"/>
      <c r="N123" s="10">
        <f>TEXT($B$6,"00")</f>
        <v/>
      </c>
      <c r="O123" s="10">
        <f>REPT(" ",8)</f>
        <v/>
      </c>
      <c r="P123" s="10">
        <f>RIGHT($B$4,2)</f>
        <v/>
      </c>
      <c r="Q123" s="10">
        <f>RIGHT($B$5,3)</f>
        <v/>
      </c>
      <c r="R123" s="10">
        <f>IF(A123="D",LEFT(UPPER(B123)&amp;REPT(" ",20),20),REPT(" ",20))</f>
        <v/>
      </c>
      <c r="S123" s="10">
        <f>IF(A123="D",LEFT(UPPER(C123)&amp;REPT(" ",10),10)," ")</f>
        <v/>
      </c>
      <c r="T123" s="10">
        <f>IF(A123="D",LEFT(UPPER(D123)&amp;REPT(" ",2),2)," ")</f>
        <v/>
      </c>
      <c r="U123" s="10">
        <f>IF(A123="D",LEFT(UPPER(E123)&amp;REPT(" ",15),15)," ")</f>
        <v/>
      </c>
      <c r="V123" s="10">
        <f>REPT(" ",24)</f>
        <v/>
      </c>
      <c r="W123" s="10">
        <f>IF(A123="c",LEFT(UPPER(B123)&amp;REPT(" ",20),20),REPT(" ",20))</f>
        <v/>
      </c>
      <c r="X123" s="10">
        <f>IF(A123="C",LEFT(UPPER(C123)&amp;REPT(" ",10),10)," ")</f>
        <v/>
      </c>
      <c r="Y123" s="10">
        <f>IF(A123="C",LEFT(UPPER(D123)&amp;REPT(" ",2),2)," ")</f>
        <v/>
      </c>
      <c r="Z123" s="10">
        <f>IF(A123="C",LEFT(UPPER(E123)&amp;REPT(" ",15),15)," ")</f>
        <v/>
      </c>
      <c r="AA123" s="10">
        <f>REPT(" ",8)</f>
        <v/>
      </c>
      <c r="AB123" s="10">
        <f>REPT(" ",4)</f>
        <v/>
      </c>
      <c r="AC123" s="10">
        <f>LEFT(UPPER(H123)&amp;REPT(" ",250),250)</f>
        <v/>
      </c>
      <c r="AD123" s="10">
        <f>TEXT($G$2,"dd/mm/aaaa")</f>
        <v/>
      </c>
      <c r="AE123" s="10">
        <f>REPT(" ",10)</f>
        <v/>
      </c>
      <c r="AF123" s="10">
        <f>REPT(" ",20)</f>
        <v/>
      </c>
      <c r="AG123" s="54">
        <f>REPT(" ",18-LEN(FIXED(F123,2,TRUE)))&amp;FIXED(F123,2,TRUE)</f>
        <v/>
      </c>
      <c r="AH123" s="10">
        <f>LEN(AC123)+LEN(AG123)</f>
        <v/>
      </c>
      <c r="AI123" s="10">
        <f>LEN(L123)</f>
        <v/>
      </c>
    </row>
    <row r="124">
      <c r="A124" s="61" t="inlineStr">
        <is>
          <t>D</t>
        </is>
      </c>
      <c r="B124" s="64">
        <f>IFERROR(IF(VLOOKUP(I124,DEPARA_CONTAS,2,0)="","CONTA PENDENTE",VLOOKUP(I124,DEPARA_CONTAS,2,0)),"SEM DE-PARA")</f>
        <v/>
      </c>
      <c r="C124" s="64" t="inlineStr">
        <is>
          <t>001100</t>
        </is>
      </c>
      <c r="D124" s="62" t="n"/>
      <c r="E124" s="62" t="n"/>
      <c r="F124" s="87" t="n">
        <v>2437.72</v>
      </c>
      <c r="H124" s="61" t="inlineStr">
        <is>
          <t>FOLHA DE PAGAMENTO REF 04/2026</t>
        </is>
      </c>
      <c r="I124" s="86" t="inlineStr">
        <is>
          <t>6.1.1.03.003</t>
        </is>
      </c>
      <c r="J124" s="12">
        <f>IF(F124&lt;&gt;0,"LANÇAR","")</f>
        <v/>
      </c>
      <c r="K124" s="20" t="n"/>
      <c r="L124" s="13">
        <f>N124&amp;O124&amp;P124&amp;Q124&amp;R124&amp;S124&amp;T124&amp;U124&amp;V124&amp;W124&amp;X124&amp;Y124&amp;Z124&amp;AA124&amp;AB124&amp;AC124&amp;AD124&amp;AE124&amp;AF124&amp;AG124</f>
        <v/>
      </c>
      <c r="M124" s="20" t="n"/>
      <c r="N124" s="10">
        <f>TEXT($B$6,"00")</f>
        <v/>
      </c>
      <c r="O124" s="10">
        <f>REPT(" ",8)</f>
        <v/>
      </c>
      <c r="P124" s="10">
        <f>RIGHT($B$4,2)</f>
        <v/>
      </c>
      <c r="Q124" s="10">
        <f>RIGHT($B$5,3)</f>
        <v/>
      </c>
      <c r="R124" s="10">
        <f>IF(A124="D",LEFT(UPPER(B124)&amp;REPT(" ",20),20),REPT(" ",20))</f>
        <v/>
      </c>
      <c r="S124" s="10">
        <f>IF(A124="D",LEFT(UPPER(C124)&amp;REPT(" ",10),10)," ")</f>
        <v/>
      </c>
      <c r="T124" s="10">
        <f>IF(A124="D",LEFT(UPPER(D124)&amp;REPT(" ",2),2)," ")</f>
        <v/>
      </c>
      <c r="U124" s="10">
        <f>IF(A124="D",LEFT(UPPER(E124)&amp;REPT(" ",15),15)," ")</f>
        <v/>
      </c>
      <c r="V124" s="10">
        <f>REPT(" ",24)</f>
        <v/>
      </c>
      <c r="W124" s="10">
        <f>IF(A124="c",LEFT(UPPER(B124)&amp;REPT(" ",20),20),REPT(" ",20))</f>
        <v/>
      </c>
      <c r="X124" s="10">
        <f>IF(A124="C",LEFT(UPPER(C124)&amp;REPT(" ",10),10)," ")</f>
        <v/>
      </c>
      <c r="Y124" s="10">
        <f>IF(A124="C",LEFT(UPPER(D124)&amp;REPT(" ",2),2)," ")</f>
        <v/>
      </c>
      <c r="Z124" s="10">
        <f>IF(A124="C",LEFT(UPPER(E124)&amp;REPT(" ",15),15)," ")</f>
        <v/>
      </c>
      <c r="AA124" s="10">
        <f>REPT(" ",8)</f>
        <v/>
      </c>
      <c r="AB124" s="10">
        <f>REPT(" ",4)</f>
        <v/>
      </c>
      <c r="AC124" s="10">
        <f>LEFT(UPPER(H124)&amp;REPT(" ",250),250)</f>
        <v/>
      </c>
      <c r="AD124" s="10">
        <f>TEXT($G$2,"dd/mm/aaaa")</f>
        <v/>
      </c>
      <c r="AE124" s="10">
        <f>REPT(" ",10)</f>
        <v/>
      </c>
      <c r="AF124" s="10">
        <f>REPT(" ",20)</f>
        <v/>
      </c>
      <c r="AG124" s="54">
        <f>REPT(" ",18-LEN(FIXED(F124,2,TRUE)))&amp;FIXED(F124,2,TRUE)</f>
        <v/>
      </c>
      <c r="AH124" s="10">
        <f>LEN(AC124)+LEN(AG124)</f>
        <v/>
      </c>
      <c r="AI124" s="10">
        <f>LEN(L124)</f>
        <v/>
      </c>
    </row>
    <row r="125">
      <c r="A125" s="61" t="inlineStr">
        <is>
          <t>D</t>
        </is>
      </c>
      <c r="B125" s="64">
        <f>IFERROR(IF(VLOOKUP(I125,DEPARA_CONTAS,2,0)="","CONTA PENDENTE",VLOOKUP(I125,DEPARA_CONTAS,2,0)),"SEM DE-PARA")</f>
        <v/>
      </c>
      <c r="C125" s="64" t="inlineStr">
        <is>
          <t>001100</t>
        </is>
      </c>
      <c r="D125" s="62" t="n"/>
      <c r="E125" s="62" t="n"/>
      <c r="F125" s="87" t="n">
        <v>1675.93</v>
      </c>
      <c r="H125" s="61" t="inlineStr">
        <is>
          <t>FOLHA DE PAGAMENTO REF 04/2026</t>
        </is>
      </c>
      <c r="I125" s="86" t="inlineStr">
        <is>
          <t>6.1.1.03.004</t>
        </is>
      </c>
      <c r="J125" s="12">
        <f>IF(F125&lt;&gt;0,"LANÇAR","")</f>
        <v/>
      </c>
      <c r="K125" s="20" t="n"/>
      <c r="L125" s="13">
        <f>N125&amp;O125&amp;P125&amp;Q125&amp;R125&amp;S125&amp;T125&amp;U125&amp;V125&amp;W125&amp;X125&amp;Y125&amp;Z125&amp;AA125&amp;AB125&amp;AC125&amp;AD125&amp;AE125&amp;AF125&amp;AG125</f>
        <v/>
      </c>
      <c r="M125" s="20" t="n"/>
      <c r="N125" s="10">
        <f>TEXT($B$6,"00")</f>
        <v/>
      </c>
      <c r="O125" s="10">
        <f>REPT(" ",8)</f>
        <v/>
      </c>
      <c r="P125" s="10">
        <f>RIGHT($B$4,2)</f>
        <v/>
      </c>
      <c r="Q125" s="10">
        <f>RIGHT($B$5,3)</f>
        <v/>
      </c>
      <c r="R125" s="10">
        <f>IF(A125="D",LEFT(UPPER(B125)&amp;REPT(" ",20),20),REPT(" ",20))</f>
        <v/>
      </c>
      <c r="S125" s="10">
        <f>IF(A125="D",LEFT(UPPER(C125)&amp;REPT(" ",10),10)," ")</f>
        <v/>
      </c>
      <c r="T125" s="10">
        <f>IF(A125="D",LEFT(UPPER(D125)&amp;REPT(" ",2),2)," ")</f>
        <v/>
      </c>
      <c r="U125" s="10">
        <f>IF(A125="D",LEFT(UPPER(E125)&amp;REPT(" ",15),15)," ")</f>
        <v/>
      </c>
      <c r="V125" s="10">
        <f>REPT(" ",24)</f>
        <v/>
      </c>
      <c r="W125" s="10">
        <f>IF(A125="c",LEFT(UPPER(B125)&amp;REPT(" ",20),20),REPT(" ",20))</f>
        <v/>
      </c>
      <c r="X125" s="10">
        <f>IF(A125="C",LEFT(UPPER(C125)&amp;REPT(" ",10),10)," ")</f>
        <v/>
      </c>
      <c r="Y125" s="10">
        <f>IF(A125="C",LEFT(UPPER(D125)&amp;REPT(" ",2),2)," ")</f>
        <v/>
      </c>
      <c r="Z125" s="10">
        <f>IF(A125="C",LEFT(UPPER(E125)&amp;REPT(" ",15),15)," ")</f>
        <v/>
      </c>
      <c r="AA125" s="10">
        <f>REPT(" ",8)</f>
        <v/>
      </c>
      <c r="AB125" s="10">
        <f>REPT(" ",4)</f>
        <v/>
      </c>
      <c r="AC125" s="10">
        <f>LEFT(UPPER(H125)&amp;REPT(" ",250),250)</f>
        <v/>
      </c>
      <c r="AD125" s="10">
        <f>TEXT($G$2,"dd/mm/aaaa")</f>
        <v/>
      </c>
      <c r="AE125" s="10">
        <f>REPT(" ",10)</f>
        <v/>
      </c>
      <c r="AF125" s="10">
        <f>REPT(" ",20)</f>
        <v/>
      </c>
      <c r="AG125" s="54">
        <f>REPT(" ",18-LEN(FIXED(F125,2,TRUE)))&amp;FIXED(F125,2,TRUE)</f>
        <v/>
      </c>
      <c r="AH125" s="10">
        <f>LEN(AC125)+LEN(AG125)</f>
        <v/>
      </c>
      <c r="AI125" s="10">
        <f>LEN(L125)</f>
        <v/>
      </c>
    </row>
    <row r="126">
      <c r="A126" s="61" t="inlineStr">
        <is>
          <t>D</t>
        </is>
      </c>
      <c r="B126" s="64">
        <f>IFERROR(IF(VLOOKUP(I126,DEPARA_CONTAS,2,0)="","CONTA PENDENTE",VLOOKUP(I126,DEPARA_CONTAS,2,0)),"SEM DE-PARA")</f>
        <v/>
      </c>
      <c r="C126" s="64" t="inlineStr">
        <is>
          <t>001100</t>
        </is>
      </c>
      <c r="D126" s="62" t="n"/>
      <c r="E126" s="62" t="n"/>
      <c r="F126" s="87" t="n">
        <v>701.5</v>
      </c>
      <c r="H126" s="61" t="inlineStr">
        <is>
          <t>FOLHA DE PAGAMENTO REF 04/2026</t>
        </is>
      </c>
      <c r="I126" s="86" t="inlineStr">
        <is>
          <t>6.1.1.03.005</t>
        </is>
      </c>
      <c r="J126" s="12">
        <f>IF(F126&lt;&gt;0,"LANÇAR","")</f>
        <v/>
      </c>
      <c r="K126" s="20" t="n"/>
      <c r="L126" s="13">
        <f>N126&amp;O126&amp;P126&amp;Q126&amp;R126&amp;S126&amp;T126&amp;U126&amp;V126&amp;W126&amp;X126&amp;Y126&amp;Z126&amp;AA126&amp;AB126&amp;AC126&amp;AD126&amp;AE126&amp;AF126&amp;AG126</f>
        <v/>
      </c>
      <c r="M126" s="20" t="n"/>
      <c r="N126" s="10">
        <f>TEXT($B$6,"00")</f>
        <v/>
      </c>
      <c r="O126" s="10">
        <f>REPT(" ",8)</f>
        <v/>
      </c>
      <c r="P126" s="10">
        <f>RIGHT($B$4,2)</f>
        <v/>
      </c>
      <c r="Q126" s="10">
        <f>RIGHT($B$5,3)</f>
        <v/>
      </c>
      <c r="R126" s="10">
        <f>IF(A126="D",LEFT(UPPER(B126)&amp;REPT(" ",20),20),REPT(" ",20))</f>
        <v/>
      </c>
      <c r="S126" s="10">
        <f>IF(A126="D",LEFT(UPPER(C126)&amp;REPT(" ",10),10)," ")</f>
        <v/>
      </c>
      <c r="T126" s="10">
        <f>IF(A126="D",LEFT(UPPER(D126)&amp;REPT(" ",2),2)," ")</f>
        <v/>
      </c>
      <c r="U126" s="10">
        <f>IF(A126="D",LEFT(UPPER(E126)&amp;REPT(" ",15),15)," ")</f>
        <v/>
      </c>
      <c r="V126" s="10">
        <f>REPT(" ",24)</f>
        <v/>
      </c>
      <c r="W126" s="10">
        <f>IF(A126="c",LEFT(UPPER(B126)&amp;REPT(" ",20),20),REPT(" ",20))</f>
        <v/>
      </c>
      <c r="X126" s="10">
        <f>IF(A126="C",LEFT(UPPER(C126)&amp;REPT(" ",10),10)," ")</f>
        <v/>
      </c>
      <c r="Y126" s="10">
        <f>IF(A126="C",LEFT(UPPER(D126)&amp;REPT(" ",2),2)," ")</f>
        <v/>
      </c>
      <c r="Z126" s="10">
        <f>IF(A126="C",LEFT(UPPER(E126)&amp;REPT(" ",15),15)," ")</f>
        <v/>
      </c>
      <c r="AA126" s="10">
        <f>REPT(" ",8)</f>
        <v/>
      </c>
      <c r="AB126" s="10">
        <f>REPT(" ",4)</f>
        <v/>
      </c>
      <c r="AC126" s="10">
        <f>LEFT(UPPER(H126)&amp;REPT(" ",250),250)</f>
        <v/>
      </c>
      <c r="AD126" s="10">
        <f>TEXT($G$2,"dd/mm/aaaa")</f>
        <v/>
      </c>
      <c r="AE126" s="10">
        <f>REPT(" ",10)</f>
        <v/>
      </c>
      <c r="AF126" s="10">
        <f>REPT(" ",20)</f>
        <v/>
      </c>
      <c r="AG126" s="54">
        <f>REPT(" ",18-LEN(FIXED(F126,2,TRUE)))&amp;FIXED(F126,2,TRUE)</f>
        <v/>
      </c>
      <c r="AH126" s="10">
        <f>LEN(AC126)+LEN(AG126)</f>
        <v/>
      </c>
      <c r="AI126" s="10">
        <f>LEN(L126)</f>
        <v/>
      </c>
    </row>
    <row r="127">
      <c r="A127" s="61" t="inlineStr">
        <is>
          <t>D</t>
        </is>
      </c>
      <c r="B127" s="64">
        <f>IFERROR(IF(VLOOKUP(I127,DEPARA_CONTAS,2,0)="","CONTA PENDENTE",VLOOKUP(I127,DEPARA_CONTAS,2,0)),"SEM DE-PARA")</f>
        <v/>
      </c>
      <c r="C127" s="64" t="inlineStr">
        <is>
          <t>001100</t>
        </is>
      </c>
      <c r="D127" s="62" t="n"/>
      <c r="E127" s="62" t="n"/>
      <c r="F127" s="87" t="n">
        <v>482.28</v>
      </c>
      <c r="H127" s="61" t="inlineStr">
        <is>
          <t>FOLHA DE PAGAMENTO REF 04/2026</t>
        </is>
      </c>
      <c r="I127" s="86" t="inlineStr">
        <is>
          <t>6.1.1.03.006</t>
        </is>
      </c>
      <c r="J127" s="12">
        <f>IF(F127&lt;&gt;0,"LANÇAR","")</f>
        <v/>
      </c>
      <c r="K127" s="20" t="n"/>
      <c r="L127" s="13">
        <f>N127&amp;O127&amp;P127&amp;Q127&amp;R127&amp;S127&amp;T127&amp;U127&amp;V127&amp;W127&amp;X127&amp;Y127&amp;Z127&amp;AA127&amp;AB127&amp;AC127&amp;AD127&amp;AE127&amp;AF127&amp;AG127</f>
        <v/>
      </c>
      <c r="M127" s="20" t="n"/>
      <c r="N127" s="10">
        <f>TEXT($B$6,"00")</f>
        <v/>
      </c>
      <c r="O127" s="10">
        <f>REPT(" ",8)</f>
        <v/>
      </c>
      <c r="P127" s="10">
        <f>RIGHT($B$4,2)</f>
        <v/>
      </c>
      <c r="Q127" s="10">
        <f>RIGHT($B$5,3)</f>
        <v/>
      </c>
      <c r="R127" s="10">
        <f>IF(A127="D",LEFT(UPPER(B127)&amp;REPT(" ",20),20),REPT(" ",20))</f>
        <v/>
      </c>
      <c r="S127" s="10">
        <f>IF(A127="D",LEFT(UPPER(C127)&amp;REPT(" ",10),10)," ")</f>
        <v/>
      </c>
      <c r="T127" s="10">
        <f>IF(A127="D",LEFT(UPPER(D127)&amp;REPT(" ",2),2)," ")</f>
        <v/>
      </c>
      <c r="U127" s="10">
        <f>IF(A127="D",LEFT(UPPER(E127)&amp;REPT(" ",15),15)," ")</f>
        <v/>
      </c>
      <c r="V127" s="10">
        <f>REPT(" ",24)</f>
        <v/>
      </c>
      <c r="W127" s="10">
        <f>IF(A127="c",LEFT(UPPER(B127)&amp;REPT(" ",20),20),REPT(" ",20))</f>
        <v/>
      </c>
      <c r="X127" s="10">
        <f>IF(A127="C",LEFT(UPPER(C127)&amp;REPT(" ",10),10)," ")</f>
        <v/>
      </c>
      <c r="Y127" s="10">
        <f>IF(A127="C",LEFT(UPPER(D127)&amp;REPT(" ",2),2)," ")</f>
        <v/>
      </c>
      <c r="Z127" s="10">
        <f>IF(A127="C",LEFT(UPPER(E127)&amp;REPT(" ",15),15)," ")</f>
        <v/>
      </c>
      <c r="AA127" s="10">
        <f>REPT(" ",8)</f>
        <v/>
      </c>
      <c r="AB127" s="10">
        <f>REPT(" ",4)</f>
        <v/>
      </c>
      <c r="AC127" s="10">
        <f>LEFT(UPPER(H127)&amp;REPT(" ",250),250)</f>
        <v/>
      </c>
      <c r="AD127" s="10">
        <f>TEXT($G$2,"dd/mm/aaaa")</f>
        <v/>
      </c>
      <c r="AE127" s="10">
        <f>REPT(" ",10)</f>
        <v/>
      </c>
      <c r="AF127" s="10">
        <f>REPT(" ",20)</f>
        <v/>
      </c>
      <c r="AG127" s="54">
        <f>REPT(" ",18-LEN(FIXED(F127,2,TRUE)))&amp;FIXED(F127,2,TRUE)</f>
        <v/>
      </c>
      <c r="AH127" s="10">
        <f>LEN(AC127)+LEN(AG127)</f>
        <v/>
      </c>
      <c r="AI127" s="10">
        <f>LEN(L127)</f>
        <v/>
      </c>
    </row>
    <row r="128">
      <c r="A128" s="61" t="inlineStr">
        <is>
          <t>D</t>
        </is>
      </c>
      <c r="B128" s="64">
        <f>IFERROR(IF(VLOOKUP(I128,DEPARA_CONTAS,2,0)="","CONTA PENDENTE",VLOOKUP(I128,DEPARA_CONTAS,2,0)),"SEM DE-PARA")</f>
        <v/>
      </c>
      <c r="C128" s="64" t="inlineStr">
        <is>
          <t>003100</t>
        </is>
      </c>
      <c r="D128" s="62" t="n"/>
      <c r="E128" s="62" t="n"/>
      <c r="F128" s="87" t="n">
        <v>4727.5</v>
      </c>
      <c r="H128" s="61" t="inlineStr">
        <is>
          <t>FOLHA DE PAGAMENTO REF 04/2026</t>
        </is>
      </c>
      <c r="I128" s="86" t="inlineStr">
        <is>
          <t>6.1.1.01.002</t>
        </is>
      </c>
      <c r="J128" s="12">
        <f>IF(F128&lt;&gt;0,"LANÇAR","")</f>
        <v/>
      </c>
      <c r="K128" s="20" t="n"/>
      <c r="L128" s="13">
        <f>N128&amp;O128&amp;P128&amp;Q128&amp;R128&amp;S128&amp;T128&amp;U128&amp;V128&amp;W128&amp;X128&amp;Y128&amp;Z128&amp;AA128&amp;AB128&amp;AC128&amp;AD128&amp;AE128&amp;AF128&amp;AG128</f>
        <v/>
      </c>
      <c r="M128" s="20" t="n"/>
      <c r="N128" s="10">
        <f>TEXT($B$6,"00")</f>
        <v/>
      </c>
      <c r="O128" s="10">
        <f>REPT(" ",8)</f>
        <v/>
      </c>
      <c r="P128" s="10">
        <f>RIGHT($B$4,2)</f>
        <v/>
      </c>
      <c r="Q128" s="10">
        <f>RIGHT($B$5,3)</f>
        <v/>
      </c>
      <c r="R128" s="10">
        <f>IF(A128="D",LEFT(UPPER(B128)&amp;REPT(" ",20),20),REPT(" ",20))</f>
        <v/>
      </c>
      <c r="S128" s="10">
        <f>IF(A128="D",LEFT(UPPER(C128)&amp;REPT(" ",10),10)," ")</f>
        <v/>
      </c>
      <c r="T128" s="10">
        <f>IF(A128="D",LEFT(UPPER(D128)&amp;REPT(" ",2),2)," ")</f>
        <v/>
      </c>
      <c r="U128" s="10">
        <f>IF(A128="D",LEFT(UPPER(E128)&amp;REPT(" ",15),15)," ")</f>
        <v/>
      </c>
      <c r="V128" s="10">
        <f>REPT(" ",24)</f>
        <v/>
      </c>
      <c r="W128" s="10">
        <f>IF(A128="c",LEFT(UPPER(B128)&amp;REPT(" ",20),20),REPT(" ",20))</f>
        <v/>
      </c>
      <c r="X128" s="10">
        <f>IF(A128="C",LEFT(UPPER(C128)&amp;REPT(" ",10),10)," ")</f>
        <v/>
      </c>
      <c r="Y128" s="10">
        <f>IF(A128="C",LEFT(UPPER(D128)&amp;REPT(" ",2),2)," ")</f>
        <v/>
      </c>
      <c r="Z128" s="10">
        <f>IF(A128="C",LEFT(UPPER(E128)&amp;REPT(" ",15),15)," ")</f>
        <v/>
      </c>
      <c r="AA128" s="10">
        <f>REPT(" ",8)</f>
        <v/>
      </c>
      <c r="AB128" s="10">
        <f>REPT(" ",4)</f>
        <v/>
      </c>
      <c r="AC128" s="10">
        <f>LEFT(UPPER(H128)&amp;REPT(" ",250),250)</f>
        <v/>
      </c>
      <c r="AD128" s="10">
        <f>TEXT($G$2,"dd/mm/aaaa")</f>
        <v/>
      </c>
      <c r="AE128" s="10">
        <f>REPT(" ",10)</f>
        <v/>
      </c>
      <c r="AF128" s="10">
        <f>REPT(" ",20)</f>
        <v/>
      </c>
      <c r="AG128" s="54">
        <f>REPT(" ",18-LEN(FIXED(F128,2,TRUE)))&amp;FIXED(F128,2,TRUE)</f>
        <v/>
      </c>
      <c r="AH128" s="10">
        <f>LEN(AC128)+LEN(AG128)</f>
        <v/>
      </c>
      <c r="AI128" s="10">
        <f>LEN(L128)</f>
        <v/>
      </c>
    </row>
    <row r="129">
      <c r="A129" s="61" t="inlineStr">
        <is>
          <t>D</t>
        </is>
      </c>
      <c r="B129" s="64">
        <f>IFERROR(IF(VLOOKUP(I129,DEPARA_CONTAS,2,0)="","CONTA PENDENTE",VLOOKUP(I129,DEPARA_CONTAS,2,0)),"SEM DE-PARA")</f>
        <v/>
      </c>
      <c r="C129" s="64" t="inlineStr">
        <is>
          <t>003100</t>
        </is>
      </c>
      <c r="D129" s="62" t="n"/>
      <c r="E129" s="62" t="n"/>
      <c r="F129" s="87" t="n">
        <v>2605.16</v>
      </c>
      <c r="H129" s="61" t="inlineStr">
        <is>
          <t>FOLHA DE PAGAMENTO REF 04/2026</t>
        </is>
      </c>
      <c r="I129" s="86" t="inlineStr">
        <is>
          <t>6.1.1.01.005</t>
        </is>
      </c>
      <c r="J129" s="12">
        <f>IF(F129&lt;&gt;0,"LANÇAR","")</f>
        <v/>
      </c>
      <c r="K129" s="20" t="n"/>
      <c r="L129" s="13">
        <f>N129&amp;O129&amp;P129&amp;Q129&amp;R129&amp;S129&amp;T129&amp;U129&amp;V129&amp;W129&amp;X129&amp;Y129&amp;Z129&amp;AA129&amp;AB129&amp;AC129&amp;AD129&amp;AE129&amp;AF129&amp;AG129</f>
        <v/>
      </c>
      <c r="M129" s="20" t="n"/>
      <c r="N129" s="10">
        <f>TEXT($B$6,"00")</f>
        <v/>
      </c>
      <c r="O129" s="10">
        <f>REPT(" ",8)</f>
        <v/>
      </c>
      <c r="P129" s="10">
        <f>RIGHT($B$4,2)</f>
        <v/>
      </c>
      <c r="Q129" s="10">
        <f>RIGHT($B$5,3)</f>
        <v/>
      </c>
      <c r="R129" s="10">
        <f>IF(A129="D",LEFT(UPPER(B129)&amp;REPT(" ",20),20),REPT(" ",20))</f>
        <v/>
      </c>
      <c r="S129" s="10">
        <f>IF(A129="D",LEFT(UPPER(C129)&amp;REPT(" ",10),10)," ")</f>
        <v/>
      </c>
      <c r="T129" s="10">
        <f>IF(A129="D",LEFT(UPPER(D129)&amp;REPT(" ",2),2)," ")</f>
        <v/>
      </c>
      <c r="U129" s="10">
        <f>IF(A129="D",LEFT(UPPER(E129)&amp;REPT(" ",15),15)," ")</f>
        <v/>
      </c>
      <c r="V129" s="10">
        <f>REPT(" ",24)</f>
        <v/>
      </c>
      <c r="W129" s="10">
        <f>IF(A129="c",LEFT(UPPER(B129)&amp;REPT(" ",20),20),REPT(" ",20))</f>
        <v/>
      </c>
      <c r="X129" s="10">
        <f>IF(A129="C",LEFT(UPPER(C129)&amp;REPT(" ",10),10)," ")</f>
        <v/>
      </c>
      <c r="Y129" s="10">
        <f>IF(A129="C",LEFT(UPPER(D129)&amp;REPT(" ",2),2)," ")</f>
        <v/>
      </c>
      <c r="Z129" s="10">
        <f>IF(A129="C",LEFT(UPPER(E129)&amp;REPT(" ",15),15)," ")</f>
        <v/>
      </c>
      <c r="AA129" s="10">
        <f>REPT(" ",8)</f>
        <v/>
      </c>
      <c r="AB129" s="10">
        <f>REPT(" ",4)</f>
        <v/>
      </c>
      <c r="AC129" s="10">
        <f>LEFT(UPPER(H129)&amp;REPT(" ",250),250)</f>
        <v/>
      </c>
      <c r="AD129" s="10">
        <f>TEXT($G$2,"dd/mm/aaaa")</f>
        <v/>
      </c>
      <c r="AE129" s="10">
        <f>REPT(" ",10)</f>
        <v/>
      </c>
      <c r="AF129" s="10">
        <f>REPT(" ",20)</f>
        <v/>
      </c>
      <c r="AG129" s="54">
        <f>REPT(" ",18-LEN(FIXED(F129,2,TRUE)))&amp;FIXED(F129,2,TRUE)</f>
        <v/>
      </c>
      <c r="AH129" s="10">
        <f>LEN(AC129)+LEN(AG129)</f>
        <v/>
      </c>
      <c r="AI129" s="10">
        <f>LEN(L129)</f>
        <v/>
      </c>
    </row>
    <row r="130">
      <c r="A130" s="61" t="inlineStr">
        <is>
          <t>C</t>
        </is>
      </c>
      <c r="B130" s="64">
        <f>IFERROR(IF(VLOOKUP(I130,DEPARA_CONTAS,2,0)="","CONTA PENDENTE",VLOOKUP(I130,DEPARA_CONTAS,2,0)),"SEM DE-PARA")</f>
        <v/>
      </c>
      <c r="C130" s="64" t="inlineStr">
        <is>
          <t>003100</t>
        </is>
      </c>
      <c r="D130" s="62" t="n"/>
      <c r="E130" s="62" t="n"/>
      <c r="F130" s="87" t="n">
        <v>472.02</v>
      </c>
      <c r="H130" s="61" t="inlineStr">
        <is>
          <t>FOLHA DE PAGAMENTO REF 04/2026</t>
        </is>
      </c>
      <c r="I130" s="86" t="inlineStr">
        <is>
          <t>6.1.1.04.001</t>
        </is>
      </c>
      <c r="J130" s="12">
        <f>IF(F130&lt;&gt;0,"LANÇAR","")</f>
        <v/>
      </c>
      <c r="K130" s="20" t="n"/>
      <c r="L130" s="13">
        <f>N130&amp;O130&amp;P130&amp;Q130&amp;R130&amp;S130&amp;T130&amp;U130&amp;V130&amp;W130&amp;X130&amp;Y130&amp;Z130&amp;AA130&amp;AB130&amp;AC130&amp;AD130&amp;AE130&amp;AF130&amp;AG130</f>
        <v/>
      </c>
      <c r="M130" s="20" t="n"/>
      <c r="N130" s="10">
        <f>TEXT($B$6,"00")</f>
        <v/>
      </c>
      <c r="O130" s="10">
        <f>REPT(" ",8)</f>
        <v/>
      </c>
      <c r="P130" s="10">
        <f>RIGHT($B$4,2)</f>
        <v/>
      </c>
      <c r="Q130" s="10">
        <f>RIGHT($B$5,3)</f>
        <v/>
      </c>
      <c r="R130" s="10">
        <f>IF(A130="D",LEFT(UPPER(B130)&amp;REPT(" ",20),20),REPT(" ",20))</f>
        <v/>
      </c>
      <c r="S130" s="10">
        <f>IF(A130="D",LEFT(UPPER(C130)&amp;REPT(" ",10),10)," ")</f>
        <v/>
      </c>
      <c r="T130" s="10">
        <f>IF(A130="D",LEFT(UPPER(D130)&amp;REPT(" ",2),2)," ")</f>
        <v/>
      </c>
      <c r="U130" s="10">
        <f>IF(A130="D",LEFT(UPPER(E130)&amp;REPT(" ",15),15)," ")</f>
        <v/>
      </c>
      <c r="V130" s="10">
        <f>REPT(" ",24)</f>
        <v/>
      </c>
      <c r="W130" s="10">
        <f>IF(A130="c",LEFT(UPPER(B130)&amp;REPT(" ",20),20),REPT(" ",20))</f>
        <v/>
      </c>
      <c r="X130" s="10">
        <f>IF(A130="C",LEFT(UPPER(C130)&amp;REPT(" ",10),10)," ")</f>
        <v/>
      </c>
      <c r="Y130" s="10">
        <f>IF(A130="C",LEFT(UPPER(D130)&amp;REPT(" ",2),2)," ")</f>
        <v/>
      </c>
      <c r="Z130" s="10">
        <f>IF(A130="C",LEFT(UPPER(E130)&amp;REPT(" ",15),15)," ")</f>
        <v/>
      </c>
      <c r="AA130" s="10">
        <f>REPT(" ",8)</f>
        <v/>
      </c>
      <c r="AB130" s="10">
        <f>REPT(" ",4)</f>
        <v/>
      </c>
      <c r="AC130" s="10">
        <f>LEFT(UPPER(H130)&amp;REPT(" ",250),250)</f>
        <v/>
      </c>
      <c r="AD130" s="10">
        <f>TEXT($G$2,"dd/mm/aaaa")</f>
        <v/>
      </c>
      <c r="AE130" s="10">
        <f>REPT(" ",10)</f>
        <v/>
      </c>
      <c r="AF130" s="10">
        <f>REPT(" ",20)</f>
        <v/>
      </c>
      <c r="AG130" s="54">
        <f>REPT(" ",18-LEN(FIXED(F130,2,TRUE)))&amp;FIXED(F130,2,TRUE)</f>
        <v/>
      </c>
      <c r="AH130" s="10">
        <f>LEN(AC130)+LEN(AG130)</f>
        <v/>
      </c>
      <c r="AI130" s="10">
        <f>LEN(L130)</f>
        <v/>
      </c>
    </row>
    <row r="131">
      <c r="A131" s="61" t="inlineStr">
        <is>
          <t>C</t>
        </is>
      </c>
      <c r="B131" s="64">
        <f>IFERROR(IF(VLOOKUP(I131,DEPARA_CONTAS,2,0)="","CONTA PENDENTE",VLOOKUP(I131,DEPARA_CONTAS,2,0)),"SEM DE-PARA")</f>
        <v/>
      </c>
      <c r="C131" s="64" t="inlineStr">
        <is>
          <t>003100</t>
        </is>
      </c>
      <c r="D131" s="62" t="n"/>
      <c r="E131" s="62" t="n"/>
      <c r="F131" s="87" t="n">
        <v>30</v>
      </c>
      <c r="H131" s="61" t="inlineStr">
        <is>
          <t>FOLHA DE PAGAMENTO REF 04/2026</t>
        </is>
      </c>
      <c r="I131" s="86" t="inlineStr">
        <is>
          <t>6.1.1.04.003</t>
        </is>
      </c>
      <c r="J131" s="12">
        <f>IF(F131&lt;&gt;0,"LANÇAR","")</f>
        <v/>
      </c>
      <c r="K131" s="20" t="n"/>
      <c r="L131" s="13">
        <f>N131&amp;O131&amp;P131&amp;Q131&amp;R131&amp;S131&amp;T131&amp;U131&amp;V131&amp;W131&amp;X131&amp;Y131&amp;Z131&amp;AA131&amp;AB131&amp;AC131&amp;AD131&amp;AE131&amp;AF131&amp;AG131</f>
        <v/>
      </c>
      <c r="M131" s="20" t="n"/>
      <c r="N131" s="10">
        <f>TEXT($B$6,"00")</f>
        <v/>
      </c>
      <c r="O131" s="10">
        <f>REPT(" ",8)</f>
        <v/>
      </c>
      <c r="P131" s="10">
        <f>RIGHT($B$4,2)</f>
        <v/>
      </c>
      <c r="Q131" s="10">
        <f>RIGHT($B$5,3)</f>
        <v/>
      </c>
      <c r="R131" s="10">
        <f>IF(A131="D",LEFT(UPPER(B131)&amp;REPT(" ",20),20),REPT(" ",20))</f>
        <v/>
      </c>
      <c r="S131" s="10">
        <f>IF(A131="D",LEFT(UPPER(C131)&amp;REPT(" ",10),10)," ")</f>
        <v/>
      </c>
      <c r="T131" s="10">
        <f>IF(A131="D",LEFT(UPPER(D131)&amp;REPT(" ",2),2)," ")</f>
        <v/>
      </c>
      <c r="U131" s="10">
        <f>IF(A131="D",LEFT(UPPER(E131)&amp;REPT(" ",15),15)," ")</f>
        <v/>
      </c>
      <c r="V131" s="10">
        <f>REPT(" ",24)</f>
        <v/>
      </c>
      <c r="W131" s="10">
        <f>IF(A131="c",LEFT(UPPER(B131)&amp;REPT(" ",20),20),REPT(" ",20))</f>
        <v/>
      </c>
      <c r="X131" s="10">
        <f>IF(A131="C",LEFT(UPPER(C131)&amp;REPT(" ",10),10)," ")</f>
        <v/>
      </c>
      <c r="Y131" s="10">
        <f>IF(A131="C",LEFT(UPPER(D131)&amp;REPT(" ",2),2)," ")</f>
        <v/>
      </c>
      <c r="Z131" s="10">
        <f>IF(A131="C",LEFT(UPPER(E131)&amp;REPT(" ",15),15)," ")</f>
        <v/>
      </c>
      <c r="AA131" s="10">
        <f>REPT(" ",8)</f>
        <v/>
      </c>
      <c r="AB131" s="10">
        <f>REPT(" ",4)</f>
        <v/>
      </c>
      <c r="AC131" s="10">
        <f>LEFT(UPPER(H131)&amp;REPT(" ",250),250)</f>
        <v/>
      </c>
      <c r="AD131" s="10">
        <f>TEXT($G$2,"dd/mm/aaaa")</f>
        <v/>
      </c>
      <c r="AE131" s="10">
        <f>REPT(" ",10)</f>
        <v/>
      </c>
      <c r="AF131" s="10">
        <f>REPT(" ",20)</f>
        <v/>
      </c>
      <c r="AG131" s="54">
        <f>REPT(" ",18-LEN(FIXED(F131,2,TRUE)))&amp;FIXED(F131,2,TRUE)</f>
        <v/>
      </c>
      <c r="AH131" s="10">
        <f>LEN(AC131)+LEN(AG131)</f>
        <v/>
      </c>
      <c r="AI131" s="10">
        <f>LEN(L131)</f>
        <v/>
      </c>
    </row>
    <row r="132">
      <c r="A132" s="61" t="inlineStr">
        <is>
          <t>C</t>
        </is>
      </c>
      <c r="B132" s="64">
        <f>IFERROR(IF(VLOOKUP(I132,DEPARA_CONTAS,2,0)="","CONTA PENDENTE",VLOOKUP(I132,DEPARA_CONTAS,2,0)),"SEM DE-PARA")</f>
        <v/>
      </c>
      <c r="C132" s="64" t="inlineStr">
        <is>
          <t>003100</t>
        </is>
      </c>
      <c r="D132" s="62" t="n"/>
      <c r="E132" s="62" t="n"/>
      <c r="F132" s="87" t="n">
        <v>99</v>
      </c>
      <c r="H132" s="61" t="inlineStr">
        <is>
          <t>FOLHA DE PAGAMENTO REF 04/2026</t>
        </is>
      </c>
      <c r="I132" s="86" t="inlineStr">
        <is>
          <t>6.1.1.04.006</t>
        </is>
      </c>
      <c r="J132" s="12">
        <f>IF(F132&lt;&gt;0,"LANÇAR","")</f>
        <v/>
      </c>
      <c r="K132" s="20" t="n"/>
      <c r="L132" s="13">
        <f>N132&amp;O132&amp;P132&amp;Q132&amp;R132&amp;S132&amp;T132&amp;U132&amp;V132&amp;W132&amp;X132&amp;Y132&amp;Z132&amp;AA132&amp;AB132&amp;AC132&amp;AD132&amp;AE132&amp;AF132&amp;AG132</f>
        <v/>
      </c>
      <c r="M132" s="20" t="n"/>
      <c r="N132" s="10">
        <f>TEXT($B$6,"00")</f>
        <v/>
      </c>
      <c r="O132" s="10">
        <f>REPT(" ",8)</f>
        <v/>
      </c>
      <c r="P132" s="10">
        <f>RIGHT($B$4,2)</f>
        <v/>
      </c>
      <c r="Q132" s="10">
        <f>RIGHT($B$5,3)</f>
        <v/>
      </c>
      <c r="R132" s="10">
        <f>IF(A132="D",LEFT(UPPER(B132)&amp;REPT(" ",20),20),REPT(" ",20))</f>
        <v/>
      </c>
      <c r="S132" s="10">
        <f>IF(A132="D",LEFT(UPPER(C132)&amp;REPT(" ",10),10)," ")</f>
        <v/>
      </c>
      <c r="T132" s="10">
        <f>IF(A132="D",LEFT(UPPER(D132)&amp;REPT(" ",2),2)," ")</f>
        <v/>
      </c>
      <c r="U132" s="10">
        <f>IF(A132="D",LEFT(UPPER(E132)&amp;REPT(" ",15),15)," ")</f>
        <v/>
      </c>
      <c r="V132" s="10">
        <f>REPT(" ",24)</f>
        <v/>
      </c>
      <c r="W132" s="10">
        <f>IF(A132="c",LEFT(UPPER(B132)&amp;REPT(" ",20),20),REPT(" ",20))</f>
        <v/>
      </c>
      <c r="X132" s="10">
        <f>IF(A132="C",LEFT(UPPER(C132)&amp;REPT(" ",10),10)," ")</f>
        <v/>
      </c>
      <c r="Y132" s="10">
        <f>IF(A132="C",LEFT(UPPER(D132)&amp;REPT(" ",2),2)," ")</f>
        <v/>
      </c>
      <c r="Z132" s="10">
        <f>IF(A132="C",LEFT(UPPER(E132)&amp;REPT(" ",15),15)," ")</f>
        <v/>
      </c>
      <c r="AA132" s="10">
        <f>REPT(" ",8)</f>
        <v/>
      </c>
      <c r="AB132" s="10">
        <f>REPT(" ",4)</f>
        <v/>
      </c>
      <c r="AC132" s="10">
        <f>LEFT(UPPER(H132)&amp;REPT(" ",250),250)</f>
        <v/>
      </c>
      <c r="AD132" s="10">
        <f>TEXT($G$2,"dd/mm/aaaa")</f>
        <v/>
      </c>
      <c r="AE132" s="10">
        <f>REPT(" ",10)</f>
        <v/>
      </c>
      <c r="AF132" s="10">
        <f>REPT(" ",20)</f>
        <v/>
      </c>
      <c r="AG132" s="54">
        <f>REPT(" ",18-LEN(FIXED(F132,2,TRUE)))&amp;FIXED(F132,2,TRUE)</f>
        <v/>
      </c>
      <c r="AH132" s="10">
        <f>LEN(AC132)+LEN(AG132)</f>
        <v/>
      </c>
      <c r="AI132" s="10">
        <f>LEN(L132)</f>
        <v/>
      </c>
    </row>
    <row r="133">
      <c r="A133" s="61" t="inlineStr">
        <is>
          <t>D</t>
        </is>
      </c>
      <c r="B133" s="64">
        <f>IFERROR(IF(VLOOKUP(I133,DEPARA_CONTAS,2,0)="","CONTA PENDENTE",VLOOKUP(I133,DEPARA_CONTAS,2,0)),"SEM DE-PARA")</f>
        <v/>
      </c>
      <c r="C133" s="64" t="inlineStr">
        <is>
          <t>003100</t>
        </is>
      </c>
      <c r="D133" s="62" t="n"/>
      <c r="E133" s="62" t="n"/>
      <c r="F133" s="87" t="n">
        <v>1613.19</v>
      </c>
      <c r="H133" s="61" t="inlineStr">
        <is>
          <t>FOLHA DE PAGAMENTO REF 04/2026</t>
        </is>
      </c>
      <c r="I133" s="86" t="inlineStr">
        <is>
          <t>6.1.1.02.001</t>
        </is>
      </c>
      <c r="J133" s="12">
        <f>IF(F133&lt;&gt;0,"LANÇAR","")</f>
        <v/>
      </c>
      <c r="K133" s="20" t="n"/>
      <c r="L133" s="13">
        <f>N133&amp;O133&amp;P133&amp;Q133&amp;R133&amp;S133&amp;T133&amp;U133&amp;V133&amp;W133&amp;X133&amp;Y133&amp;Z133&amp;AA133&amp;AB133&amp;AC133&amp;AD133&amp;AE133&amp;AF133&amp;AG133</f>
        <v/>
      </c>
      <c r="M133" s="20" t="n"/>
      <c r="N133" s="10">
        <f>TEXT($B$6,"00")</f>
        <v/>
      </c>
      <c r="O133" s="10">
        <f>REPT(" ",8)</f>
        <v/>
      </c>
      <c r="P133" s="10">
        <f>RIGHT($B$4,2)</f>
        <v/>
      </c>
      <c r="Q133" s="10">
        <f>RIGHT($B$5,3)</f>
        <v/>
      </c>
      <c r="R133" s="10">
        <f>IF(A133="D",LEFT(UPPER(B133)&amp;REPT(" ",20),20),REPT(" ",20))</f>
        <v/>
      </c>
      <c r="S133" s="10">
        <f>IF(A133="D",LEFT(UPPER(C133)&amp;REPT(" ",10),10)," ")</f>
        <v/>
      </c>
      <c r="T133" s="10">
        <f>IF(A133="D",LEFT(UPPER(D133)&amp;REPT(" ",2),2)," ")</f>
        <v/>
      </c>
      <c r="U133" s="10">
        <f>IF(A133="D",LEFT(UPPER(E133)&amp;REPT(" ",15),15)," ")</f>
        <v/>
      </c>
      <c r="V133" s="10">
        <f>REPT(" ",24)</f>
        <v/>
      </c>
      <c r="W133" s="10">
        <f>IF(A133="c",LEFT(UPPER(B133)&amp;REPT(" ",20),20),REPT(" ",20))</f>
        <v/>
      </c>
      <c r="X133" s="10">
        <f>IF(A133="C",LEFT(UPPER(C133)&amp;REPT(" ",10),10)," ")</f>
        <v/>
      </c>
      <c r="Y133" s="10">
        <f>IF(A133="C",LEFT(UPPER(D133)&amp;REPT(" ",2),2)," ")</f>
        <v/>
      </c>
      <c r="Z133" s="10">
        <f>IF(A133="C",LEFT(UPPER(E133)&amp;REPT(" ",15),15)," ")</f>
        <v/>
      </c>
      <c r="AA133" s="10">
        <f>REPT(" ",8)</f>
        <v/>
      </c>
      <c r="AB133" s="10">
        <f>REPT(" ",4)</f>
        <v/>
      </c>
      <c r="AC133" s="10">
        <f>LEFT(UPPER(H133)&amp;REPT(" ",250),250)</f>
        <v/>
      </c>
      <c r="AD133" s="10">
        <f>TEXT($G$2,"dd/mm/aaaa")</f>
        <v/>
      </c>
      <c r="AE133" s="10">
        <f>REPT(" ",10)</f>
        <v/>
      </c>
      <c r="AF133" s="10">
        <f>REPT(" ",20)</f>
        <v/>
      </c>
      <c r="AG133" s="54">
        <f>REPT(" ",18-LEN(FIXED(F133,2,TRUE)))&amp;FIXED(F133,2,TRUE)</f>
        <v/>
      </c>
      <c r="AH133" s="10">
        <f>LEN(AC133)+LEN(AG133)</f>
        <v/>
      </c>
      <c r="AI133" s="10">
        <f>LEN(L133)</f>
        <v/>
      </c>
    </row>
    <row r="134">
      <c r="A134" s="61" t="inlineStr">
        <is>
          <t>D</t>
        </is>
      </c>
      <c r="B134" s="64">
        <f>IFERROR(IF(VLOOKUP(I134,DEPARA_CONTAS,2,0)="","CONTA PENDENTE",VLOOKUP(I134,DEPARA_CONTAS,2,0)),"SEM DE-PARA")</f>
        <v/>
      </c>
      <c r="C134" s="64" t="inlineStr">
        <is>
          <t>003100</t>
        </is>
      </c>
      <c r="D134" s="62" t="n"/>
      <c r="E134" s="62" t="n"/>
      <c r="F134" s="87" t="n">
        <v>586.61</v>
      </c>
      <c r="H134" s="61" t="inlineStr">
        <is>
          <t>FOLHA DE PAGAMENTO REF 04/2026</t>
        </is>
      </c>
      <c r="I134" s="86" t="inlineStr">
        <is>
          <t>6.1.1.02.002</t>
        </is>
      </c>
      <c r="J134" s="12">
        <f>IF(F134&lt;&gt;0,"LANÇAR","")</f>
        <v/>
      </c>
      <c r="K134" s="20" t="n"/>
      <c r="L134" s="13">
        <f>N134&amp;O134&amp;P134&amp;Q134&amp;R134&amp;S134&amp;T134&amp;U134&amp;V134&amp;W134&amp;X134&amp;Y134&amp;Z134&amp;AA134&amp;AB134&amp;AC134&amp;AD134&amp;AE134&amp;AF134&amp;AG134</f>
        <v/>
      </c>
      <c r="M134" s="20" t="n"/>
      <c r="N134" s="10">
        <f>TEXT($B$6,"00")</f>
        <v/>
      </c>
      <c r="O134" s="10">
        <f>REPT(" ",8)</f>
        <v/>
      </c>
      <c r="P134" s="10">
        <f>RIGHT($B$4,2)</f>
        <v/>
      </c>
      <c r="Q134" s="10">
        <f>RIGHT($B$5,3)</f>
        <v/>
      </c>
      <c r="R134" s="10">
        <f>IF(A134="D",LEFT(UPPER(B134)&amp;REPT(" ",20),20),REPT(" ",20))</f>
        <v/>
      </c>
      <c r="S134" s="10">
        <f>IF(A134="D",LEFT(UPPER(C134)&amp;REPT(" ",10),10)," ")</f>
        <v/>
      </c>
      <c r="T134" s="10">
        <f>IF(A134="D",LEFT(UPPER(D134)&amp;REPT(" ",2),2)," ")</f>
        <v/>
      </c>
      <c r="U134" s="10">
        <f>IF(A134="D",LEFT(UPPER(E134)&amp;REPT(" ",15),15)," ")</f>
        <v/>
      </c>
      <c r="V134" s="10">
        <f>REPT(" ",24)</f>
        <v/>
      </c>
      <c r="W134" s="10">
        <f>IF(A134="c",LEFT(UPPER(B134)&amp;REPT(" ",20),20),REPT(" ",20))</f>
        <v/>
      </c>
      <c r="X134" s="10">
        <f>IF(A134="C",LEFT(UPPER(C134)&amp;REPT(" ",10),10)," ")</f>
        <v/>
      </c>
      <c r="Y134" s="10">
        <f>IF(A134="C",LEFT(UPPER(D134)&amp;REPT(" ",2),2)," ")</f>
        <v/>
      </c>
      <c r="Z134" s="10">
        <f>IF(A134="C",LEFT(UPPER(E134)&amp;REPT(" ",15),15)," ")</f>
        <v/>
      </c>
      <c r="AA134" s="10">
        <f>REPT(" ",8)</f>
        <v/>
      </c>
      <c r="AB134" s="10">
        <f>REPT(" ",4)</f>
        <v/>
      </c>
      <c r="AC134" s="10">
        <f>LEFT(UPPER(H134)&amp;REPT(" ",250),250)</f>
        <v/>
      </c>
      <c r="AD134" s="10">
        <f>TEXT($G$2,"dd/mm/aaaa")</f>
        <v/>
      </c>
      <c r="AE134" s="10">
        <f>REPT(" ",10)</f>
        <v/>
      </c>
      <c r="AF134" s="10">
        <f>REPT(" ",20)</f>
        <v/>
      </c>
      <c r="AG134" s="54">
        <f>REPT(" ",18-LEN(FIXED(F134,2,TRUE)))&amp;FIXED(F134,2,TRUE)</f>
        <v/>
      </c>
      <c r="AH134" s="10">
        <f>LEN(AC134)+LEN(AG134)</f>
        <v/>
      </c>
      <c r="AI134" s="10">
        <f>LEN(L134)</f>
        <v/>
      </c>
    </row>
    <row r="135">
      <c r="A135" s="61" t="inlineStr">
        <is>
          <t>D</t>
        </is>
      </c>
      <c r="B135" s="64">
        <f>IFERROR(IF(VLOOKUP(I135,DEPARA_CONTAS,2,0)="","CONTA PENDENTE",VLOOKUP(I135,DEPARA_CONTAS,2,0)),"SEM DE-PARA")</f>
        <v/>
      </c>
      <c r="C135" s="64" t="inlineStr">
        <is>
          <t>003100</t>
        </is>
      </c>
      <c r="D135" s="62" t="n"/>
      <c r="E135" s="62" t="n"/>
      <c r="F135" s="87" t="n">
        <v>425.29</v>
      </c>
      <c r="H135" s="61" t="inlineStr">
        <is>
          <t>FOLHA DE PAGAMENTO REF 04/2026</t>
        </is>
      </c>
      <c r="I135" s="86" t="inlineStr">
        <is>
          <t>6.1.1.02.005</t>
        </is>
      </c>
      <c r="J135" s="12">
        <f>IF(F135&lt;&gt;0,"LANÇAR","")</f>
        <v/>
      </c>
      <c r="K135" s="20" t="n"/>
      <c r="L135" s="13">
        <f>N135&amp;O135&amp;P135&amp;Q135&amp;R135&amp;S135&amp;T135&amp;U135&amp;V135&amp;W135&amp;X135&amp;Y135&amp;Z135&amp;AA135&amp;AB135&amp;AC135&amp;AD135&amp;AE135&amp;AF135&amp;AG135</f>
        <v/>
      </c>
      <c r="M135" s="20" t="n"/>
      <c r="N135" s="10">
        <f>TEXT($B$6,"00")</f>
        <v/>
      </c>
      <c r="O135" s="10">
        <f>REPT(" ",8)</f>
        <v/>
      </c>
      <c r="P135" s="10">
        <f>RIGHT($B$4,2)</f>
        <v/>
      </c>
      <c r="Q135" s="10">
        <f>RIGHT($B$5,3)</f>
        <v/>
      </c>
      <c r="R135" s="10">
        <f>IF(A135="D",LEFT(UPPER(B135)&amp;REPT(" ",20),20),REPT(" ",20))</f>
        <v/>
      </c>
      <c r="S135" s="10">
        <f>IF(A135="D",LEFT(UPPER(C135)&amp;REPT(" ",10),10)," ")</f>
        <v/>
      </c>
      <c r="T135" s="10">
        <f>IF(A135="D",LEFT(UPPER(D135)&amp;REPT(" ",2),2)," ")</f>
        <v/>
      </c>
      <c r="U135" s="10">
        <f>IF(A135="D",LEFT(UPPER(E135)&amp;REPT(" ",15),15)," ")</f>
        <v/>
      </c>
      <c r="V135" s="10">
        <f>REPT(" ",24)</f>
        <v/>
      </c>
      <c r="W135" s="10">
        <f>IF(A135="c",LEFT(UPPER(B135)&amp;REPT(" ",20),20),REPT(" ",20))</f>
        <v/>
      </c>
      <c r="X135" s="10">
        <f>IF(A135="C",LEFT(UPPER(C135)&amp;REPT(" ",10),10)," ")</f>
        <v/>
      </c>
      <c r="Y135" s="10">
        <f>IF(A135="C",LEFT(UPPER(D135)&amp;REPT(" ",2),2)," ")</f>
        <v/>
      </c>
      <c r="Z135" s="10">
        <f>IF(A135="C",LEFT(UPPER(E135)&amp;REPT(" ",15),15)," ")</f>
        <v/>
      </c>
      <c r="AA135" s="10">
        <f>REPT(" ",8)</f>
        <v/>
      </c>
      <c r="AB135" s="10">
        <f>REPT(" ",4)</f>
        <v/>
      </c>
      <c r="AC135" s="10">
        <f>LEFT(UPPER(H135)&amp;REPT(" ",250),250)</f>
        <v/>
      </c>
      <c r="AD135" s="10">
        <f>TEXT($G$2,"dd/mm/aaaa")</f>
        <v/>
      </c>
      <c r="AE135" s="10">
        <f>REPT(" ",10)</f>
        <v/>
      </c>
      <c r="AF135" s="10">
        <f>REPT(" ",20)</f>
        <v/>
      </c>
      <c r="AG135" s="54">
        <f>REPT(" ",18-LEN(FIXED(F135,2,TRUE)))&amp;FIXED(F135,2,TRUE)</f>
        <v/>
      </c>
      <c r="AH135" s="10">
        <f>LEN(AC135)+LEN(AG135)</f>
        <v/>
      </c>
      <c r="AI135" s="10">
        <f>LEN(L135)</f>
        <v/>
      </c>
    </row>
    <row r="136">
      <c r="A136" s="61" t="inlineStr">
        <is>
          <t>D</t>
        </is>
      </c>
      <c r="B136" s="64">
        <f>IFERROR(IF(VLOOKUP(I136,DEPARA_CONTAS,2,0)="","CONTA PENDENTE",VLOOKUP(I136,DEPARA_CONTAS,2,0)),"SEM DE-PARA")</f>
        <v/>
      </c>
      <c r="C136" s="64" t="inlineStr">
        <is>
          <t>003100</t>
        </is>
      </c>
      <c r="D136" s="62" t="n"/>
      <c r="E136" s="62" t="n"/>
      <c r="F136" s="87" t="n">
        <v>888.8099999999999</v>
      </c>
      <c r="H136" s="61" t="inlineStr">
        <is>
          <t>FOLHA DE PAGAMENTO REF 04/2026</t>
        </is>
      </c>
      <c r="I136" s="86" t="inlineStr">
        <is>
          <t>6.1.1.03.001</t>
        </is>
      </c>
      <c r="J136" s="12">
        <f>IF(F136&lt;&gt;0,"LANÇAR","")</f>
        <v/>
      </c>
      <c r="K136" s="20" t="n"/>
      <c r="L136" s="13">
        <f>N136&amp;O136&amp;P136&amp;Q136&amp;R136&amp;S136&amp;T136&amp;U136&amp;V136&amp;W136&amp;X136&amp;Y136&amp;Z136&amp;AA136&amp;AB136&amp;AC136&amp;AD136&amp;AE136&amp;AF136&amp;AG136</f>
        <v/>
      </c>
      <c r="M136" s="20" t="n"/>
      <c r="N136" s="10">
        <f>TEXT($B$6,"00")</f>
        <v/>
      </c>
      <c r="O136" s="10">
        <f>REPT(" ",8)</f>
        <v/>
      </c>
      <c r="P136" s="10">
        <f>RIGHT($B$4,2)</f>
        <v/>
      </c>
      <c r="Q136" s="10">
        <f>RIGHT($B$5,3)</f>
        <v/>
      </c>
      <c r="R136" s="10">
        <f>IF(A136="D",LEFT(UPPER(B136)&amp;REPT(" ",20),20),REPT(" ",20))</f>
        <v/>
      </c>
      <c r="S136" s="10">
        <f>IF(A136="D",LEFT(UPPER(C136)&amp;REPT(" ",10),10)," ")</f>
        <v/>
      </c>
      <c r="T136" s="10">
        <f>IF(A136="D",LEFT(UPPER(D136)&amp;REPT(" ",2),2)," ")</f>
        <v/>
      </c>
      <c r="U136" s="10">
        <f>IF(A136="D",LEFT(UPPER(E136)&amp;REPT(" ",15),15)," ")</f>
        <v/>
      </c>
      <c r="V136" s="10">
        <f>REPT(" ",24)</f>
        <v/>
      </c>
      <c r="W136" s="10">
        <f>IF(A136="c",LEFT(UPPER(B136)&amp;REPT(" ",20),20),REPT(" ",20))</f>
        <v/>
      </c>
      <c r="X136" s="10">
        <f>IF(A136="C",LEFT(UPPER(C136)&amp;REPT(" ",10),10)," ")</f>
        <v/>
      </c>
      <c r="Y136" s="10">
        <f>IF(A136="C",LEFT(UPPER(D136)&amp;REPT(" ",2),2)," ")</f>
        <v/>
      </c>
      <c r="Z136" s="10">
        <f>IF(A136="C",LEFT(UPPER(E136)&amp;REPT(" ",15),15)," ")</f>
        <v/>
      </c>
      <c r="AA136" s="10">
        <f>REPT(" ",8)</f>
        <v/>
      </c>
      <c r="AB136" s="10">
        <f>REPT(" ",4)</f>
        <v/>
      </c>
      <c r="AC136" s="10">
        <f>LEFT(UPPER(H136)&amp;REPT(" ",250),250)</f>
        <v/>
      </c>
      <c r="AD136" s="10">
        <f>TEXT($G$2,"dd/mm/aaaa")</f>
        <v/>
      </c>
      <c r="AE136" s="10">
        <f>REPT(" ",10)</f>
        <v/>
      </c>
      <c r="AF136" s="10">
        <f>REPT(" ",20)</f>
        <v/>
      </c>
      <c r="AG136" s="54">
        <f>REPT(" ",18-LEN(FIXED(F136,2,TRUE)))&amp;FIXED(F136,2,TRUE)</f>
        <v/>
      </c>
      <c r="AH136" s="10">
        <f>LEN(AC136)+LEN(AG136)</f>
        <v/>
      </c>
      <c r="AI136" s="10">
        <f>LEN(L136)</f>
        <v/>
      </c>
    </row>
    <row r="137">
      <c r="A137" s="61" t="inlineStr">
        <is>
          <t>D</t>
        </is>
      </c>
      <c r="B137" s="64">
        <f>IFERROR(IF(VLOOKUP(I137,DEPARA_CONTAS,2,0)="","CONTA PENDENTE",VLOOKUP(I137,DEPARA_CONTAS,2,0)),"SEM DE-PARA")</f>
        <v/>
      </c>
      <c r="C137" s="64" t="inlineStr">
        <is>
          <t>003100</t>
        </is>
      </c>
      <c r="D137" s="62" t="n"/>
      <c r="E137" s="62" t="n"/>
      <c r="F137" s="87" t="n">
        <v>611.05</v>
      </c>
      <c r="H137" s="61" t="inlineStr">
        <is>
          <t>FOLHA DE PAGAMENTO REF 04/2026</t>
        </is>
      </c>
      <c r="I137" s="86" t="inlineStr">
        <is>
          <t>6.1.1.03.002</t>
        </is>
      </c>
      <c r="J137" s="12">
        <f>IF(F137&lt;&gt;0,"LANÇAR","")</f>
        <v/>
      </c>
      <c r="K137" s="20" t="n"/>
      <c r="L137" s="13">
        <f>N137&amp;O137&amp;P137&amp;Q137&amp;R137&amp;S137&amp;T137&amp;U137&amp;V137&amp;W137&amp;X137&amp;Y137&amp;Z137&amp;AA137&amp;AB137&amp;AC137&amp;AD137&amp;AE137&amp;AF137&amp;AG137</f>
        <v/>
      </c>
      <c r="M137" s="20" t="n"/>
      <c r="N137" s="10">
        <f>TEXT($B$6,"00")</f>
        <v/>
      </c>
      <c r="O137" s="10">
        <f>REPT(" ",8)</f>
        <v/>
      </c>
      <c r="P137" s="10">
        <f>RIGHT($B$4,2)</f>
        <v/>
      </c>
      <c r="Q137" s="10">
        <f>RIGHT($B$5,3)</f>
        <v/>
      </c>
      <c r="R137" s="10">
        <f>IF(A137="D",LEFT(UPPER(B137)&amp;REPT(" ",20),20),REPT(" ",20))</f>
        <v/>
      </c>
      <c r="S137" s="10">
        <f>IF(A137="D",LEFT(UPPER(C137)&amp;REPT(" ",10),10)," ")</f>
        <v/>
      </c>
      <c r="T137" s="10">
        <f>IF(A137="D",LEFT(UPPER(D137)&amp;REPT(" ",2),2)," ")</f>
        <v/>
      </c>
      <c r="U137" s="10">
        <f>IF(A137="D",LEFT(UPPER(E137)&amp;REPT(" ",15),15)," ")</f>
        <v/>
      </c>
      <c r="V137" s="10">
        <f>REPT(" ",24)</f>
        <v/>
      </c>
      <c r="W137" s="10">
        <f>IF(A137="c",LEFT(UPPER(B137)&amp;REPT(" ",20),20),REPT(" ",20))</f>
        <v/>
      </c>
      <c r="X137" s="10">
        <f>IF(A137="C",LEFT(UPPER(C137)&amp;REPT(" ",10),10)," ")</f>
        <v/>
      </c>
      <c r="Y137" s="10">
        <f>IF(A137="C",LEFT(UPPER(D137)&amp;REPT(" ",2),2)," ")</f>
        <v/>
      </c>
      <c r="Z137" s="10">
        <f>IF(A137="C",LEFT(UPPER(E137)&amp;REPT(" ",15),15)," ")</f>
        <v/>
      </c>
      <c r="AA137" s="10">
        <f>REPT(" ",8)</f>
        <v/>
      </c>
      <c r="AB137" s="10">
        <f>REPT(" ",4)</f>
        <v/>
      </c>
      <c r="AC137" s="10">
        <f>LEFT(UPPER(H137)&amp;REPT(" ",250),250)</f>
        <v/>
      </c>
      <c r="AD137" s="10">
        <f>TEXT($G$2,"dd/mm/aaaa")</f>
        <v/>
      </c>
      <c r="AE137" s="10">
        <f>REPT(" ",10)</f>
        <v/>
      </c>
      <c r="AF137" s="10">
        <f>REPT(" ",20)</f>
        <v/>
      </c>
      <c r="AG137" s="54">
        <f>REPT(" ",18-LEN(FIXED(F137,2,TRUE)))&amp;FIXED(F137,2,TRUE)</f>
        <v/>
      </c>
      <c r="AH137" s="10">
        <f>LEN(AC137)+LEN(AG137)</f>
        <v/>
      </c>
      <c r="AI137" s="10">
        <f>LEN(L137)</f>
        <v/>
      </c>
    </row>
    <row r="138">
      <c r="A138" s="61" t="inlineStr">
        <is>
          <t>D</t>
        </is>
      </c>
      <c r="B138" s="64">
        <f>IFERROR(IF(VLOOKUP(I138,DEPARA_CONTAS,2,0)="","CONTA PENDENTE",VLOOKUP(I138,DEPARA_CONTAS,2,0)),"SEM DE-PARA")</f>
        <v/>
      </c>
      <c r="C138" s="64" t="inlineStr">
        <is>
          <t>003100</t>
        </is>
      </c>
      <c r="D138" s="62" t="n"/>
      <c r="E138" s="62" t="n"/>
      <c r="F138" s="87" t="n">
        <v>247.09</v>
      </c>
      <c r="H138" s="61" t="inlineStr">
        <is>
          <t>FOLHA DE PAGAMENTO REF 04/2026</t>
        </is>
      </c>
      <c r="I138" s="86" t="inlineStr">
        <is>
          <t>6.1.1.03.003</t>
        </is>
      </c>
      <c r="J138" s="12">
        <f>IF(F138&lt;&gt;0,"LANÇAR","")</f>
        <v/>
      </c>
      <c r="K138" s="20" t="n"/>
      <c r="L138" s="13">
        <f>N138&amp;O138&amp;P138&amp;Q138&amp;R138&amp;S138&amp;T138&amp;U138&amp;V138&amp;W138&amp;X138&amp;Y138&amp;Z138&amp;AA138&amp;AB138&amp;AC138&amp;AD138&amp;AE138&amp;AF138&amp;AG138</f>
        <v/>
      </c>
      <c r="M138" s="20" t="n"/>
      <c r="N138" s="10">
        <f>TEXT($B$6,"00")</f>
        <v/>
      </c>
      <c r="O138" s="10">
        <f>REPT(" ",8)</f>
        <v/>
      </c>
      <c r="P138" s="10">
        <f>RIGHT($B$4,2)</f>
        <v/>
      </c>
      <c r="Q138" s="10">
        <f>RIGHT($B$5,3)</f>
        <v/>
      </c>
      <c r="R138" s="10">
        <f>IF(A138="D",LEFT(UPPER(B138)&amp;REPT(" ",20),20),REPT(" ",20))</f>
        <v/>
      </c>
      <c r="S138" s="10">
        <f>IF(A138="D",LEFT(UPPER(C138)&amp;REPT(" ",10),10)," ")</f>
        <v/>
      </c>
      <c r="T138" s="10">
        <f>IF(A138="D",LEFT(UPPER(D138)&amp;REPT(" ",2),2)," ")</f>
        <v/>
      </c>
      <c r="U138" s="10">
        <f>IF(A138="D",LEFT(UPPER(E138)&amp;REPT(" ",15),15)," ")</f>
        <v/>
      </c>
      <c r="V138" s="10">
        <f>REPT(" ",24)</f>
        <v/>
      </c>
      <c r="W138" s="10">
        <f>IF(A138="c",LEFT(UPPER(B138)&amp;REPT(" ",20),20),REPT(" ",20))</f>
        <v/>
      </c>
      <c r="X138" s="10">
        <f>IF(A138="C",LEFT(UPPER(C138)&amp;REPT(" ",10),10)," ")</f>
        <v/>
      </c>
      <c r="Y138" s="10">
        <f>IF(A138="C",LEFT(UPPER(D138)&amp;REPT(" ",2),2)," ")</f>
        <v/>
      </c>
      <c r="Z138" s="10">
        <f>IF(A138="C",LEFT(UPPER(E138)&amp;REPT(" ",15),15)," ")</f>
        <v/>
      </c>
      <c r="AA138" s="10">
        <f>REPT(" ",8)</f>
        <v/>
      </c>
      <c r="AB138" s="10">
        <f>REPT(" ",4)</f>
        <v/>
      </c>
      <c r="AC138" s="10">
        <f>LEFT(UPPER(H138)&amp;REPT(" ",250),250)</f>
        <v/>
      </c>
      <c r="AD138" s="10">
        <f>TEXT($G$2,"dd/mm/aaaa")</f>
        <v/>
      </c>
      <c r="AE138" s="10">
        <f>REPT(" ",10)</f>
        <v/>
      </c>
      <c r="AF138" s="10">
        <f>REPT(" ",20)</f>
        <v/>
      </c>
      <c r="AG138" s="54">
        <f>REPT(" ",18-LEN(FIXED(F138,2,TRUE)))&amp;FIXED(F138,2,TRUE)</f>
        <v/>
      </c>
      <c r="AH138" s="10">
        <f>LEN(AC138)+LEN(AG138)</f>
        <v/>
      </c>
      <c r="AI138" s="10">
        <f>LEN(L138)</f>
        <v/>
      </c>
    </row>
    <row r="139">
      <c r="A139" s="61" t="inlineStr">
        <is>
          <t>D</t>
        </is>
      </c>
      <c r="B139" s="64">
        <f>IFERROR(IF(VLOOKUP(I139,DEPARA_CONTAS,2,0)="","CONTA PENDENTE",VLOOKUP(I139,DEPARA_CONTAS,2,0)),"SEM DE-PARA")</f>
        <v/>
      </c>
      <c r="C139" s="64" t="inlineStr">
        <is>
          <t>003100</t>
        </is>
      </c>
      <c r="D139" s="62" t="n"/>
      <c r="E139" s="62" t="n"/>
      <c r="F139" s="87" t="n">
        <v>169.87</v>
      </c>
      <c r="H139" s="61" t="inlineStr">
        <is>
          <t>FOLHA DE PAGAMENTO REF 04/2026</t>
        </is>
      </c>
      <c r="I139" s="86" t="inlineStr">
        <is>
          <t>6.1.1.03.004</t>
        </is>
      </c>
      <c r="J139" s="12">
        <f>IF(F139&lt;&gt;0,"LANÇAR","")</f>
        <v/>
      </c>
      <c r="K139" s="20" t="n"/>
      <c r="L139" s="13">
        <f>N139&amp;O139&amp;P139&amp;Q139&amp;R139&amp;S139&amp;T139&amp;U139&amp;V139&amp;W139&amp;X139&amp;Y139&amp;Z139&amp;AA139&amp;AB139&amp;AC139&amp;AD139&amp;AE139&amp;AF139&amp;AG139</f>
        <v/>
      </c>
      <c r="M139" s="20" t="n"/>
      <c r="N139" s="10">
        <f>TEXT($B$6,"00")</f>
        <v/>
      </c>
      <c r="O139" s="10">
        <f>REPT(" ",8)</f>
        <v/>
      </c>
      <c r="P139" s="10">
        <f>RIGHT($B$4,2)</f>
        <v/>
      </c>
      <c r="Q139" s="10">
        <f>RIGHT($B$5,3)</f>
        <v/>
      </c>
      <c r="R139" s="10">
        <f>IF(A139="D",LEFT(UPPER(B139)&amp;REPT(" ",20),20),REPT(" ",20))</f>
        <v/>
      </c>
      <c r="S139" s="10">
        <f>IF(A139="D",LEFT(UPPER(C139)&amp;REPT(" ",10),10)," ")</f>
        <v/>
      </c>
      <c r="T139" s="10">
        <f>IF(A139="D",LEFT(UPPER(D139)&amp;REPT(" ",2),2)," ")</f>
        <v/>
      </c>
      <c r="U139" s="10">
        <f>IF(A139="D",LEFT(UPPER(E139)&amp;REPT(" ",15),15)," ")</f>
        <v/>
      </c>
      <c r="V139" s="10">
        <f>REPT(" ",24)</f>
        <v/>
      </c>
      <c r="W139" s="10">
        <f>IF(A139="c",LEFT(UPPER(B139)&amp;REPT(" ",20),20),REPT(" ",20))</f>
        <v/>
      </c>
      <c r="X139" s="10">
        <f>IF(A139="C",LEFT(UPPER(C139)&amp;REPT(" ",10),10)," ")</f>
        <v/>
      </c>
      <c r="Y139" s="10">
        <f>IF(A139="C",LEFT(UPPER(D139)&amp;REPT(" ",2),2)," ")</f>
        <v/>
      </c>
      <c r="Z139" s="10">
        <f>IF(A139="C",LEFT(UPPER(E139)&amp;REPT(" ",15),15)," ")</f>
        <v/>
      </c>
      <c r="AA139" s="10">
        <f>REPT(" ",8)</f>
        <v/>
      </c>
      <c r="AB139" s="10">
        <f>REPT(" ",4)</f>
        <v/>
      </c>
      <c r="AC139" s="10">
        <f>LEFT(UPPER(H139)&amp;REPT(" ",250),250)</f>
        <v/>
      </c>
      <c r="AD139" s="10">
        <f>TEXT($G$2,"dd/mm/aaaa")</f>
        <v/>
      </c>
      <c r="AE139" s="10">
        <f>REPT(" ",10)</f>
        <v/>
      </c>
      <c r="AF139" s="10">
        <f>REPT(" ",20)</f>
        <v/>
      </c>
      <c r="AG139" s="54">
        <f>REPT(" ",18-LEN(FIXED(F139,2,TRUE)))&amp;FIXED(F139,2,TRUE)</f>
        <v/>
      </c>
      <c r="AH139" s="10">
        <f>LEN(AC139)+LEN(AG139)</f>
        <v/>
      </c>
      <c r="AI139" s="10">
        <f>LEN(L139)</f>
        <v/>
      </c>
    </row>
    <row r="140">
      <c r="A140" s="61" t="inlineStr">
        <is>
          <t>D</t>
        </is>
      </c>
      <c r="B140" s="64">
        <f>IFERROR(IF(VLOOKUP(I140,DEPARA_CONTAS,2,0)="","CONTA PENDENTE",VLOOKUP(I140,DEPARA_CONTAS,2,0)),"SEM DE-PARA")</f>
        <v/>
      </c>
      <c r="C140" s="64" t="inlineStr">
        <is>
          <t>003100</t>
        </is>
      </c>
      <c r="D140" s="62" t="n"/>
      <c r="E140" s="62" t="n"/>
      <c r="F140" s="87" t="n">
        <v>71.09999999999999</v>
      </c>
      <c r="H140" s="61" t="inlineStr">
        <is>
          <t>FOLHA DE PAGAMENTO REF 04/2026</t>
        </is>
      </c>
      <c r="I140" s="86" t="inlineStr">
        <is>
          <t>6.1.1.03.005</t>
        </is>
      </c>
      <c r="J140" s="12">
        <f>IF(F140&lt;&gt;0,"LANÇAR","")</f>
        <v/>
      </c>
      <c r="K140" s="20" t="n"/>
      <c r="L140" s="13">
        <f>N140&amp;O140&amp;P140&amp;Q140&amp;R140&amp;S140&amp;T140&amp;U140&amp;V140&amp;W140&amp;X140&amp;Y140&amp;Z140&amp;AA140&amp;AB140&amp;AC140&amp;AD140&amp;AE140&amp;AF140&amp;AG140</f>
        <v/>
      </c>
      <c r="M140" s="20" t="n"/>
      <c r="N140" s="10">
        <f>TEXT($B$6,"00")</f>
        <v/>
      </c>
      <c r="O140" s="10">
        <f>REPT(" ",8)</f>
        <v/>
      </c>
      <c r="P140" s="10">
        <f>RIGHT($B$4,2)</f>
        <v/>
      </c>
      <c r="Q140" s="10">
        <f>RIGHT($B$5,3)</f>
        <v/>
      </c>
      <c r="R140" s="10">
        <f>IF(A140="D",LEFT(UPPER(B140)&amp;REPT(" ",20),20),REPT(" ",20))</f>
        <v/>
      </c>
      <c r="S140" s="10">
        <f>IF(A140="D",LEFT(UPPER(C140)&amp;REPT(" ",10),10)," ")</f>
        <v/>
      </c>
      <c r="T140" s="10">
        <f>IF(A140="D",LEFT(UPPER(D140)&amp;REPT(" ",2),2)," ")</f>
        <v/>
      </c>
      <c r="U140" s="10">
        <f>IF(A140="D",LEFT(UPPER(E140)&amp;REPT(" ",15),15)," ")</f>
        <v/>
      </c>
      <c r="V140" s="10">
        <f>REPT(" ",24)</f>
        <v/>
      </c>
      <c r="W140" s="10">
        <f>IF(A140="c",LEFT(UPPER(B140)&amp;REPT(" ",20),20),REPT(" ",20))</f>
        <v/>
      </c>
      <c r="X140" s="10">
        <f>IF(A140="C",LEFT(UPPER(C140)&amp;REPT(" ",10),10)," ")</f>
        <v/>
      </c>
      <c r="Y140" s="10">
        <f>IF(A140="C",LEFT(UPPER(D140)&amp;REPT(" ",2),2)," ")</f>
        <v/>
      </c>
      <c r="Z140" s="10">
        <f>IF(A140="C",LEFT(UPPER(E140)&amp;REPT(" ",15),15)," ")</f>
        <v/>
      </c>
      <c r="AA140" s="10">
        <f>REPT(" ",8)</f>
        <v/>
      </c>
      <c r="AB140" s="10">
        <f>REPT(" ",4)</f>
        <v/>
      </c>
      <c r="AC140" s="10">
        <f>LEFT(UPPER(H140)&amp;REPT(" ",250),250)</f>
        <v/>
      </c>
      <c r="AD140" s="10">
        <f>TEXT($G$2,"dd/mm/aaaa")</f>
        <v/>
      </c>
      <c r="AE140" s="10">
        <f>REPT(" ",10)</f>
        <v/>
      </c>
      <c r="AF140" s="10">
        <f>REPT(" ",20)</f>
        <v/>
      </c>
      <c r="AG140" s="54">
        <f>REPT(" ",18-LEN(FIXED(F140,2,TRUE)))&amp;FIXED(F140,2,TRUE)</f>
        <v/>
      </c>
      <c r="AH140" s="10">
        <f>LEN(AC140)+LEN(AG140)</f>
        <v/>
      </c>
      <c r="AI140" s="10">
        <f>LEN(L140)</f>
        <v/>
      </c>
    </row>
    <row r="141">
      <c r="A141" s="61" t="inlineStr">
        <is>
          <t>D</t>
        </is>
      </c>
      <c r="B141" s="64">
        <f>IFERROR(IF(VLOOKUP(I141,DEPARA_CONTAS,2,0)="","CONTA PENDENTE",VLOOKUP(I141,DEPARA_CONTAS,2,0)),"SEM DE-PARA")</f>
        <v/>
      </c>
      <c r="C141" s="64" t="inlineStr">
        <is>
          <t>003100</t>
        </is>
      </c>
      <c r="D141" s="62" t="n"/>
      <c r="E141" s="62" t="n"/>
      <c r="F141" s="87" t="n">
        <v>48.88</v>
      </c>
      <c r="H141" s="61" t="inlineStr">
        <is>
          <t>FOLHA DE PAGAMENTO REF 04/2026</t>
        </is>
      </c>
      <c r="I141" s="86" t="inlineStr">
        <is>
          <t>6.1.1.03.006</t>
        </is>
      </c>
      <c r="J141" s="12">
        <f>IF(F141&lt;&gt;0,"LANÇAR","")</f>
        <v/>
      </c>
      <c r="K141" s="20" t="n"/>
      <c r="L141" s="13">
        <f>N141&amp;O141&amp;P141&amp;Q141&amp;R141&amp;S141&amp;T141&amp;U141&amp;V141&amp;W141&amp;X141&amp;Y141&amp;Z141&amp;AA141&amp;AB141&amp;AC141&amp;AD141&amp;AE141&amp;AF141&amp;AG141</f>
        <v/>
      </c>
      <c r="M141" s="20" t="n"/>
      <c r="N141" s="10">
        <f>TEXT($B$6,"00")</f>
        <v/>
      </c>
      <c r="O141" s="10">
        <f>REPT(" ",8)</f>
        <v/>
      </c>
      <c r="P141" s="10">
        <f>RIGHT($B$4,2)</f>
        <v/>
      </c>
      <c r="Q141" s="10">
        <f>RIGHT($B$5,3)</f>
        <v/>
      </c>
      <c r="R141" s="10">
        <f>IF(A141="D",LEFT(UPPER(B141)&amp;REPT(" ",20),20),REPT(" ",20))</f>
        <v/>
      </c>
      <c r="S141" s="10">
        <f>IF(A141="D",LEFT(UPPER(C141)&amp;REPT(" ",10),10)," ")</f>
        <v/>
      </c>
      <c r="T141" s="10">
        <f>IF(A141="D",LEFT(UPPER(D141)&amp;REPT(" ",2),2)," ")</f>
        <v/>
      </c>
      <c r="U141" s="10">
        <f>IF(A141="D",LEFT(UPPER(E141)&amp;REPT(" ",15),15)," ")</f>
        <v/>
      </c>
      <c r="V141" s="10">
        <f>REPT(" ",24)</f>
        <v/>
      </c>
      <c r="W141" s="10">
        <f>IF(A141="c",LEFT(UPPER(B141)&amp;REPT(" ",20),20),REPT(" ",20))</f>
        <v/>
      </c>
      <c r="X141" s="10">
        <f>IF(A141="C",LEFT(UPPER(C141)&amp;REPT(" ",10),10)," ")</f>
        <v/>
      </c>
      <c r="Y141" s="10">
        <f>IF(A141="C",LEFT(UPPER(D141)&amp;REPT(" ",2),2)," ")</f>
        <v/>
      </c>
      <c r="Z141" s="10">
        <f>IF(A141="C",LEFT(UPPER(E141)&amp;REPT(" ",15),15)," ")</f>
        <v/>
      </c>
      <c r="AA141" s="10">
        <f>REPT(" ",8)</f>
        <v/>
      </c>
      <c r="AB141" s="10">
        <f>REPT(" ",4)</f>
        <v/>
      </c>
      <c r="AC141" s="10">
        <f>LEFT(UPPER(H141)&amp;REPT(" ",250),250)</f>
        <v/>
      </c>
      <c r="AD141" s="10">
        <f>TEXT($G$2,"dd/mm/aaaa")</f>
        <v/>
      </c>
      <c r="AE141" s="10">
        <f>REPT(" ",10)</f>
        <v/>
      </c>
      <c r="AF141" s="10">
        <f>REPT(" ",20)</f>
        <v/>
      </c>
      <c r="AG141" s="54">
        <f>REPT(" ",18-LEN(FIXED(F141,2,TRUE)))&amp;FIXED(F141,2,TRUE)</f>
        <v/>
      </c>
      <c r="AH141" s="10">
        <f>LEN(AC141)+LEN(AG141)</f>
        <v/>
      </c>
      <c r="AI141" s="10">
        <f>LEN(L141)</f>
        <v/>
      </c>
    </row>
    <row r="142">
      <c r="A142" s="61" t="inlineStr">
        <is>
          <t>C</t>
        </is>
      </c>
      <c r="B142" s="64">
        <f>IFERROR(IF(VLOOKUP(I142,DEPARA_CONTAS,2,0)="","CONTA PENDENTE",VLOOKUP(I142,DEPARA_CONTAS,2,0)),"SEM DE-PARA")</f>
        <v/>
      </c>
      <c r="C142" s="64" t="n"/>
      <c r="D142" s="62" t="n"/>
      <c r="E142" s="62" t="n"/>
      <c r="F142" s="87" t="n">
        <v>160626.46</v>
      </c>
      <c r="H142" s="61" t="inlineStr">
        <is>
          <t>FOLHA DE PAGAMENTO REF 04/2026</t>
        </is>
      </c>
      <c r="I142" s="86" t="inlineStr">
        <is>
          <t>2.1.1.02.001</t>
        </is>
      </c>
      <c r="J142" s="12">
        <f>IF(F142&lt;&gt;0,"LANÇAR","")</f>
        <v/>
      </c>
      <c r="K142" s="20" t="n"/>
      <c r="L142" s="13">
        <f>N142&amp;O142&amp;P142&amp;Q142&amp;R142&amp;S142&amp;T142&amp;U142&amp;V142&amp;W142&amp;X142&amp;Y142&amp;Z142&amp;AA142&amp;AB142&amp;AC142&amp;AD142&amp;AE142&amp;AF142&amp;AG142</f>
        <v/>
      </c>
      <c r="M142" s="20" t="n"/>
      <c r="N142" s="10">
        <f>TEXT($B$6,"00")</f>
        <v/>
      </c>
      <c r="O142" s="10">
        <f>REPT(" ",8)</f>
        <v/>
      </c>
      <c r="P142" s="10">
        <f>RIGHT($B$4,2)</f>
        <v/>
      </c>
      <c r="Q142" s="10">
        <f>RIGHT($B$5,3)</f>
        <v/>
      </c>
      <c r="R142" s="10">
        <f>IF(A142="D",LEFT(UPPER(B142)&amp;REPT(" ",20),20),REPT(" ",20))</f>
        <v/>
      </c>
      <c r="S142" s="10">
        <f>IF(A142="D",LEFT(UPPER(C142)&amp;REPT(" ",10),10)," ")</f>
        <v/>
      </c>
      <c r="T142" s="10">
        <f>IF(A142="D",LEFT(UPPER(D142)&amp;REPT(" ",2),2)," ")</f>
        <v/>
      </c>
      <c r="U142" s="10">
        <f>IF(A142="D",LEFT(UPPER(E142)&amp;REPT(" ",15),15)," ")</f>
        <v/>
      </c>
      <c r="V142" s="10">
        <f>REPT(" ",24)</f>
        <v/>
      </c>
      <c r="W142" s="10">
        <f>IF(A142="c",LEFT(UPPER(B142)&amp;REPT(" ",20),20),REPT(" ",20))</f>
        <v/>
      </c>
      <c r="X142" s="10">
        <f>IF(A142="C",LEFT(UPPER(C142)&amp;REPT(" ",10),10)," ")</f>
        <v/>
      </c>
      <c r="Y142" s="10">
        <f>IF(A142="C",LEFT(UPPER(D142)&amp;REPT(" ",2),2)," ")</f>
        <v/>
      </c>
      <c r="Z142" s="10">
        <f>IF(A142="C",LEFT(UPPER(E142)&amp;REPT(" ",15),15)," ")</f>
        <v/>
      </c>
      <c r="AA142" s="10">
        <f>REPT(" ",8)</f>
        <v/>
      </c>
      <c r="AB142" s="10">
        <f>REPT(" ",4)</f>
        <v/>
      </c>
      <c r="AC142" s="10">
        <f>LEFT(UPPER(H142)&amp;REPT(" ",250),250)</f>
        <v/>
      </c>
      <c r="AD142" s="10">
        <f>TEXT($G$2,"dd/mm/aaaa")</f>
        <v/>
      </c>
      <c r="AE142" s="10">
        <f>REPT(" ",10)</f>
        <v/>
      </c>
      <c r="AF142" s="10">
        <f>REPT(" ",20)</f>
        <v/>
      </c>
      <c r="AG142" s="54">
        <f>REPT(" ",18-LEN(FIXED(F142,2,TRUE)))&amp;FIXED(F142,2,TRUE)</f>
        <v/>
      </c>
      <c r="AH142" s="10">
        <f>LEN(AC142)+LEN(AG142)</f>
        <v/>
      </c>
      <c r="AI142" s="10">
        <f>LEN(L142)</f>
        <v/>
      </c>
    </row>
    <row r="143">
      <c r="A143" s="61" t="inlineStr">
        <is>
          <t>C</t>
        </is>
      </c>
      <c r="B143" s="64">
        <f>IFERROR(IF(VLOOKUP(I143,DEPARA_CONTAS,2,0)="","CONTA PENDENTE",VLOOKUP(I143,DEPARA_CONTAS,2,0)),"SEM DE-PARA")</f>
        <v/>
      </c>
      <c r="C143" s="64" t="n"/>
      <c r="D143" s="62" t="n"/>
      <c r="E143" s="62" t="n"/>
      <c r="F143" s="87" t="n">
        <v>29191.61</v>
      </c>
      <c r="H143" s="61" t="inlineStr">
        <is>
          <t>FOLHA DE PAGAMENTO REF 04/2026</t>
        </is>
      </c>
      <c r="I143" s="86" t="inlineStr">
        <is>
          <t>2.1.3.02.001</t>
        </is>
      </c>
      <c r="J143" s="12">
        <f>IF(F143&lt;&gt;0,"LANÇAR","")</f>
        <v/>
      </c>
      <c r="K143" s="20" t="n"/>
      <c r="L143" s="13">
        <f>N143&amp;O143&amp;P143&amp;Q143&amp;R143&amp;S143&amp;T143&amp;U143&amp;V143&amp;W143&amp;X143&amp;Y143&amp;Z143&amp;AA143&amp;AB143&amp;AC143&amp;AD143&amp;AE143&amp;AF143&amp;AG143</f>
        <v/>
      </c>
      <c r="M143" s="20" t="n"/>
      <c r="N143" s="10">
        <f>TEXT($B$6,"00")</f>
        <v/>
      </c>
      <c r="O143" s="10">
        <f>REPT(" ",8)</f>
        <v/>
      </c>
      <c r="P143" s="10">
        <f>RIGHT($B$4,2)</f>
        <v/>
      </c>
      <c r="Q143" s="10">
        <f>RIGHT($B$5,3)</f>
        <v/>
      </c>
      <c r="R143" s="10">
        <f>IF(A143="D",LEFT(UPPER(B143)&amp;REPT(" ",20),20),REPT(" ",20))</f>
        <v/>
      </c>
      <c r="S143" s="10">
        <f>IF(A143="D",LEFT(UPPER(C143)&amp;REPT(" ",10),10)," ")</f>
        <v/>
      </c>
      <c r="T143" s="10">
        <f>IF(A143="D",LEFT(UPPER(D143)&amp;REPT(" ",2),2)," ")</f>
        <v/>
      </c>
      <c r="U143" s="10">
        <f>IF(A143="D",LEFT(UPPER(E143)&amp;REPT(" ",15),15)," ")</f>
        <v/>
      </c>
      <c r="V143" s="10">
        <f>REPT(" ",24)</f>
        <v/>
      </c>
      <c r="W143" s="10">
        <f>IF(A143="c",LEFT(UPPER(B143)&amp;REPT(" ",20),20),REPT(" ",20))</f>
        <v/>
      </c>
      <c r="X143" s="10">
        <f>IF(A143="C",LEFT(UPPER(C143)&amp;REPT(" ",10),10)," ")</f>
        <v/>
      </c>
      <c r="Y143" s="10">
        <f>IF(A143="C",LEFT(UPPER(D143)&amp;REPT(" ",2),2)," ")</f>
        <v/>
      </c>
      <c r="Z143" s="10">
        <f>IF(A143="C",LEFT(UPPER(E143)&amp;REPT(" ",15),15)," ")</f>
        <v/>
      </c>
      <c r="AA143" s="10">
        <f>REPT(" ",8)</f>
        <v/>
      </c>
      <c r="AB143" s="10">
        <f>REPT(" ",4)</f>
        <v/>
      </c>
      <c r="AC143" s="10">
        <f>LEFT(UPPER(H143)&amp;REPT(" ",250),250)</f>
        <v/>
      </c>
      <c r="AD143" s="10">
        <f>TEXT($G$2,"dd/mm/aaaa")</f>
        <v/>
      </c>
      <c r="AE143" s="10">
        <f>REPT(" ",10)</f>
        <v/>
      </c>
      <c r="AF143" s="10">
        <f>REPT(" ",20)</f>
        <v/>
      </c>
      <c r="AG143" s="54">
        <f>REPT(" ",18-LEN(FIXED(F143,2,TRUE)))&amp;FIXED(F143,2,TRUE)</f>
        <v/>
      </c>
      <c r="AH143" s="10">
        <f>LEN(AC143)+LEN(AG143)</f>
        <v/>
      </c>
      <c r="AI143" s="10">
        <f>LEN(L143)</f>
        <v/>
      </c>
    </row>
    <row r="144">
      <c r="A144" s="61" t="inlineStr">
        <is>
          <t>C</t>
        </is>
      </c>
      <c r="B144" s="64">
        <f>IFERROR(IF(VLOOKUP(I144,DEPARA_CONTAS,2,0)="","CONTA PENDENTE",VLOOKUP(I144,DEPARA_CONTAS,2,0)),"SEM DE-PARA")</f>
        <v/>
      </c>
      <c r="C144" s="64" t="n"/>
      <c r="D144" s="62" t="n"/>
      <c r="E144" s="62" t="n"/>
      <c r="F144" s="87" t="n">
        <v>2090.29</v>
      </c>
      <c r="H144" s="61" t="inlineStr">
        <is>
          <t>FOLHA DE PAGAMENTO REF 04/2026</t>
        </is>
      </c>
      <c r="I144" s="86" t="inlineStr">
        <is>
          <t>2.1.1.02.006</t>
        </is>
      </c>
      <c r="J144" s="12">
        <f>IF(F144&lt;&gt;0,"LANÇAR","")</f>
        <v/>
      </c>
      <c r="K144" s="20" t="n"/>
      <c r="L144" s="13">
        <f>N144&amp;O144&amp;P144&amp;Q144&amp;R144&amp;S144&amp;T144&amp;U144&amp;V144&amp;W144&amp;X144&amp;Y144&amp;Z144&amp;AA144&amp;AB144&amp;AC144&amp;AD144&amp;AE144&amp;AF144&amp;AG144</f>
        <v/>
      </c>
      <c r="M144" s="20" t="n"/>
      <c r="N144" s="10">
        <f>TEXT($B$6,"00")</f>
        <v/>
      </c>
      <c r="O144" s="10">
        <f>REPT(" ",8)</f>
        <v/>
      </c>
      <c r="P144" s="10">
        <f>RIGHT($B$4,2)</f>
        <v/>
      </c>
      <c r="Q144" s="10">
        <f>RIGHT($B$5,3)</f>
        <v/>
      </c>
      <c r="R144" s="10">
        <f>IF(A144="D",LEFT(UPPER(B144)&amp;REPT(" ",20),20),REPT(" ",20))</f>
        <v/>
      </c>
      <c r="S144" s="10">
        <f>IF(A144="D",LEFT(UPPER(C144)&amp;REPT(" ",10),10)," ")</f>
        <v/>
      </c>
      <c r="T144" s="10">
        <f>IF(A144="D",LEFT(UPPER(D144)&amp;REPT(" ",2),2)," ")</f>
        <v/>
      </c>
      <c r="U144" s="10">
        <f>IF(A144="D",LEFT(UPPER(E144)&amp;REPT(" ",15),15)," ")</f>
        <v/>
      </c>
      <c r="V144" s="10">
        <f>REPT(" ",24)</f>
        <v/>
      </c>
      <c r="W144" s="10">
        <f>IF(A144="c",LEFT(UPPER(B144)&amp;REPT(" ",20),20),REPT(" ",20))</f>
        <v/>
      </c>
      <c r="X144" s="10">
        <f>IF(A144="C",LEFT(UPPER(C144)&amp;REPT(" ",10),10)," ")</f>
        <v/>
      </c>
      <c r="Y144" s="10">
        <f>IF(A144="C",LEFT(UPPER(D144)&amp;REPT(" ",2),2)," ")</f>
        <v/>
      </c>
      <c r="Z144" s="10">
        <f>IF(A144="C",LEFT(UPPER(E144)&amp;REPT(" ",15),15)," ")</f>
        <v/>
      </c>
      <c r="AA144" s="10">
        <f>REPT(" ",8)</f>
        <v/>
      </c>
      <c r="AB144" s="10">
        <f>REPT(" ",4)</f>
        <v/>
      </c>
      <c r="AC144" s="10">
        <f>LEFT(UPPER(H144)&amp;REPT(" ",250),250)</f>
        <v/>
      </c>
      <c r="AD144" s="10">
        <f>TEXT($G$2,"dd/mm/aaaa")</f>
        <v/>
      </c>
      <c r="AE144" s="10">
        <f>REPT(" ",10)</f>
        <v/>
      </c>
      <c r="AF144" s="10">
        <f>REPT(" ",20)</f>
        <v/>
      </c>
      <c r="AG144" s="54">
        <f>REPT(" ",18-LEN(FIXED(F144,2,TRUE)))&amp;FIXED(F144,2,TRUE)</f>
        <v/>
      </c>
      <c r="AH144" s="10">
        <f>LEN(AC144)+LEN(AG144)</f>
        <v/>
      </c>
      <c r="AI144" s="10">
        <f>LEN(L144)</f>
        <v/>
      </c>
    </row>
    <row r="145">
      <c r="A145" s="61" t="inlineStr">
        <is>
          <t>C</t>
        </is>
      </c>
      <c r="B145" s="64">
        <f>IFERROR(IF(VLOOKUP(I145,DEPARA_CONTAS,2,0)="","CONTA PENDENTE",VLOOKUP(I145,DEPARA_CONTAS,2,0)),"SEM DE-PARA")</f>
        <v/>
      </c>
      <c r="C145" s="64" t="n"/>
      <c r="D145" s="62" t="n"/>
      <c r="E145" s="62" t="n"/>
      <c r="F145" s="87" t="n">
        <v>25229.2</v>
      </c>
      <c r="H145" s="61" t="inlineStr">
        <is>
          <t>FOLHA DE PAGAMENTO REF 04/2026</t>
        </is>
      </c>
      <c r="I145" s="86" t="inlineStr">
        <is>
          <t>2.1.1.02.007</t>
        </is>
      </c>
      <c r="J145" s="12">
        <f>IF(F145&lt;&gt;0,"LANÇAR","")</f>
        <v/>
      </c>
      <c r="K145" s="20" t="n"/>
      <c r="L145" s="13">
        <f>N145&amp;O145&amp;P145&amp;Q145&amp;R145&amp;S145&amp;T145&amp;U145&amp;V145&amp;W145&amp;X145&amp;Y145&amp;Z145&amp;AA145&amp;AB145&amp;AC145&amp;AD145&amp;AE145&amp;AF145&amp;AG145</f>
        <v/>
      </c>
      <c r="M145" s="20" t="n"/>
      <c r="N145" s="10">
        <f>TEXT($B$6,"00")</f>
        <v/>
      </c>
      <c r="O145" s="10">
        <f>REPT(" ",8)</f>
        <v/>
      </c>
      <c r="P145" s="10">
        <f>RIGHT($B$4,2)</f>
        <v/>
      </c>
      <c r="Q145" s="10">
        <f>RIGHT($B$5,3)</f>
        <v/>
      </c>
      <c r="R145" s="10">
        <f>IF(A145="D",LEFT(UPPER(B145)&amp;REPT(" ",20),20),REPT(" ",20))</f>
        <v/>
      </c>
      <c r="S145" s="10">
        <f>IF(A145="D",LEFT(UPPER(C145)&amp;REPT(" ",10),10)," ")</f>
        <v/>
      </c>
      <c r="T145" s="10">
        <f>IF(A145="D",LEFT(UPPER(D145)&amp;REPT(" ",2),2)," ")</f>
        <v/>
      </c>
      <c r="U145" s="10">
        <f>IF(A145="D",LEFT(UPPER(E145)&amp;REPT(" ",15),15)," ")</f>
        <v/>
      </c>
      <c r="V145" s="10">
        <f>REPT(" ",24)</f>
        <v/>
      </c>
      <c r="W145" s="10">
        <f>IF(A145="c",LEFT(UPPER(B145)&amp;REPT(" ",20),20),REPT(" ",20))</f>
        <v/>
      </c>
      <c r="X145" s="10">
        <f>IF(A145="C",LEFT(UPPER(C145)&amp;REPT(" ",10),10)," ")</f>
        <v/>
      </c>
      <c r="Y145" s="10">
        <f>IF(A145="C",LEFT(UPPER(D145)&amp;REPT(" ",2),2)," ")</f>
        <v/>
      </c>
      <c r="Z145" s="10">
        <f>IF(A145="C",LEFT(UPPER(E145)&amp;REPT(" ",15),15)," ")</f>
        <v/>
      </c>
      <c r="AA145" s="10">
        <f>REPT(" ",8)</f>
        <v/>
      </c>
      <c r="AB145" s="10">
        <f>REPT(" ",4)</f>
        <v/>
      </c>
      <c r="AC145" s="10">
        <f>LEFT(UPPER(H145)&amp;REPT(" ",250),250)</f>
        <v/>
      </c>
      <c r="AD145" s="10">
        <f>TEXT($G$2,"dd/mm/aaaa")</f>
        <v/>
      </c>
      <c r="AE145" s="10">
        <f>REPT(" ",10)</f>
        <v/>
      </c>
      <c r="AF145" s="10">
        <f>REPT(" ",20)</f>
        <v/>
      </c>
      <c r="AG145" s="54">
        <f>REPT(" ",18-LEN(FIXED(F145,2,TRUE)))&amp;FIXED(F145,2,TRUE)</f>
        <v/>
      </c>
      <c r="AH145" s="10">
        <f>LEN(AC145)+LEN(AG145)</f>
        <v/>
      </c>
      <c r="AI145" s="10">
        <f>LEN(L145)</f>
        <v/>
      </c>
    </row>
    <row r="146">
      <c r="A146" s="61" t="inlineStr">
        <is>
          <t>C</t>
        </is>
      </c>
      <c r="B146" s="64">
        <f>IFERROR(IF(VLOOKUP(I146,DEPARA_CONTAS,2,0)="","CONTA PENDENTE",VLOOKUP(I146,DEPARA_CONTAS,2,0)),"SEM DE-PARA")</f>
        <v/>
      </c>
      <c r="C146" s="64" t="n"/>
      <c r="D146" s="62" t="n"/>
      <c r="E146" s="62" t="n"/>
      <c r="F146" s="87" t="n">
        <v>2034.72</v>
      </c>
      <c r="H146" s="61" t="inlineStr">
        <is>
          <t>FOLHA DE PAGAMENTO REF 04/2026</t>
        </is>
      </c>
      <c r="I146" s="86" t="inlineStr">
        <is>
          <t>1.1.4.01.004</t>
        </is>
      </c>
      <c r="J146" s="12">
        <f>IF(F146&lt;&gt;0,"LANÇAR","")</f>
        <v/>
      </c>
      <c r="K146" s="20" t="n"/>
      <c r="L146" s="13">
        <f>N146&amp;O146&amp;P146&amp;Q146&amp;R146&amp;S146&amp;T146&amp;U146&amp;V146&amp;W146&amp;X146&amp;Y146&amp;Z146&amp;AA146&amp;AB146&amp;AC146&amp;AD146&amp;AE146&amp;AF146&amp;AG146</f>
        <v/>
      </c>
      <c r="M146" s="20" t="n"/>
      <c r="N146" s="10">
        <f>TEXT($B$6,"00")</f>
        <v/>
      </c>
      <c r="O146" s="10">
        <f>REPT(" ",8)</f>
        <v/>
      </c>
      <c r="P146" s="10">
        <f>RIGHT($B$4,2)</f>
        <v/>
      </c>
      <c r="Q146" s="10">
        <f>RIGHT($B$5,3)</f>
        <v/>
      </c>
      <c r="R146" s="10">
        <f>IF(A146="D",LEFT(UPPER(B146)&amp;REPT(" ",20),20),REPT(" ",20))</f>
        <v/>
      </c>
      <c r="S146" s="10">
        <f>IF(A146="D",LEFT(UPPER(C146)&amp;REPT(" ",10),10)," ")</f>
        <v/>
      </c>
      <c r="T146" s="10">
        <f>IF(A146="D",LEFT(UPPER(D146)&amp;REPT(" ",2),2)," ")</f>
        <v/>
      </c>
      <c r="U146" s="10">
        <f>IF(A146="D",LEFT(UPPER(E146)&amp;REPT(" ",15),15)," ")</f>
        <v/>
      </c>
      <c r="V146" s="10">
        <f>REPT(" ",24)</f>
        <v/>
      </c>
      <c r="W146" s="10">
        <f>IF(A146="c",LEFT(UPPER(B146)&amp;REPT(" ",20),20),REPT(" ",20))</f>
        <v/>
      </c>
      <c r="X146" s="10">
        <f>IF(A146="C",LEFT(UPPER(C146)&amp;REPT(" ",10),10)," ")</f>
        <v/>
      </c>
      <c r="Y146" s="10">
        <f>IF(A146="C",LEFT(UPPER(D146)&amp;REPT(" ",2),2)," ")</f>
        <v/>
      </c>
      <c r="Z146" s="10">
        <f>IF(A146="C",LEFT(UPPER(E146)&amp;REPT(" ",15),15)," ")</f>
        <v/>
      </c>
      <c r="AA146" s="10">
        <f>REPT(" ",8)</f>
        <v/>
      </c>
      <c r="AB146" s="10">
        <f>REPT(" ",4)</f>
        <v/>
      </c>
      <c r="AC146" s="10">
        <f>LEFT(UPPER(H146)&amp;REPT(" ",250),250)</f>
        <v/>
      </c>
      <c r="AD146" s="10">
        <f>TEXT($G$2,"dd/mm/aaaa")</f>
        <v/>
      </c>
      <c r="AE146" s="10">
        <f>REPT(" ",10)</f>
        <v/>
      </c>
      <c r="AF146" s="10">
        <f>REPT(" ",20)</f>
        <v/>
      </c>
      <c r="AG146" s="54">
        <f>REPT(" ",18-LEN(FIXED(F146,2,TRUE)))&amp;FIXED(F146,2,TRUE)</f>
        <v/>
      </c>
      <c r="AH146" s="10">
        <f>LEN(AC146)+LEN(AG146)</f>
        <v/>
      </c>
      <c r="AI146" s="10">
        <f>LEN(L146)</f>
        <v/>
      </c>
    </row>
    <row r="147">
      <c r="A147" s="61" t="inlineStr">
        <is>
          <t>C</t>
        </is>
      </c>
      <c r="B147" s="64">
        <f>IFERROR(IF(VLOOKUP(I147,DEPARA_CONTAS,2,0)="","CONTA PENDENTE",VLOOKUP(I147,DEPARA_CONTAS,2,0)),"SEM DE-PARA")</f>
        <v/>
      </c>
      <c r="C147" s="64" t="n"/>
      <c r="D147" s="62" t="n"/>
      <c r="E147" s="62" t="n"/>
      <c r="F147" s="87" t="n">
        <v>30728.7</v>
      </c>
      <c r="H147" s="61" t="inlineStr">
        <is>
          <t>FOLHA DE PAGAMENTO REF 04/2026</t>
        </is>
      </c>
      <c r="I147" s="86" t="inlineStr">
        <is>
          <t>2.1.1.02.003</t>
        </is>
      </c>
      <c r="J147" s="12">
        <f>IF(F147&lt;&gt;0,"LANÇAR","")</f>
        <v/>
      </c>
      <c r="K147" s="20" t="n"/>
      <c r="L147" s="13">
        <f>N147&amp;O147&amp;P147&amp;Q147&amp;R147&amp;S147&amp;T147&amp;U147&amp;V147&amp;W147&amp;X147&amp;Y147&amp;Z147&amp;AA147&amp;AB147&amp;AC147&amp;AD147&amp;AE147&amp;AF147&amp;AG147</f>
        <v/>
      </c>
      <c r="M147" s="20" t="n"/>
      <c r="N147" s="10">
        <f>TEXT($B$6,"00")</f>
        <v/>
      </c>
      <c r="O147" s="10">
        <f>REPT(" ",8)</f>
        <v/>
      </c>
      <c r="P147" s="10">
        <f>RIGHT($B$4,2)</f>
        <v/>
      </c>
      <c r="Q147" s="10">
        <f>RIGHT($B$5,3)</f>
        <v/>
      </c>
      <c r="R147" s="10">
        <f>IF(A147="D",LEFT(UPPER(B147)&amp;REPT(" ",20),20),REPT(" ",20))</f>
        <v/>
      </c>
      <c r="S147" s="10">
        <f>IF(A147="D",LEFT(UPPER(C147)&amp;REPT(" ",10),10)," ")</f>
        <v/>
      </c>
      <c r="T147" s="10">
        <f>IF(A147="D",LEFT(UPPER(D147)&amp;REPT(" ",2),2)," ")</f>
        <v/>
      </c>
      <c r="U147" s="10">
        <f>IF(A147="D",LEFT(UPPER(E147)&amp;REPT(" ",15),15)," ")</f>
        <v/>
      </c>
      <c r="V147" s="10">
        <f>REPT(" ",24)</f>
        <v/>
      </c>
      <c r="W147" s="10">
        <f>IF(A147="c",LEFT(UPPER(B147)&amp;REPT(" ",20),20),REPT(" ",20))</f>
        <v/>
      </c>
      <c r="X147" s="10">
        <f>IF(A147="C",LEFT(UPPER(C147)&amp;REPT(" ",10),10)," ")</f>
        <v/>
      </c>
      <c r="Y147" s="10">
        <f>IF(A147="C",LEFT(UPPER(D147)&amp;REPT(" ",2),2)," ")</f>
        <v/>
      </c>
      <c r="Z147" s="10">
        <f>IF(A147="C",LEFT(UPPER(E147)&amp;REPT(" ",15),15)," ")</f>
        <v/>
      </c>
      <c r="AA147" s="10">
        <f>REPT(" ",8)</f>
        <v/>
      </c>
      <c r="AB147" s="10">
        <f>REPT(" ",4)</f>
        <v/>
      </c>
      <c r="AC147" s="10">
        <f>LEFT(UPPER(H147)&amp;REPT(" ",250),250)</f>
        <v/>
      </c>
      <c r="AD147" s="10">
        <f>TEXT($G$2,"dd/mm/aaaa")</f>
        <v/>
      </c>
      <c r="AE147" s="10">
        <f>REPT(" ",10)</f>
        <v/>
      </c>
      <c r="AF147" s="10">
        <f>REPT(" ",20)</f>
        <v/>
      </c>
      <c r="AG147" s="54">
        <f>REPT(" ",18-LEN(FIXED(F147,2,TRUE)))&amp;FIXED(F147,2,TRUE)</f>
        <v/>
      </c>
      <c r="AH147" s="10">
        <f>LEN(AC147)+LEN(AG147)</f>
        <v/>
      </c>
      <c r="AI147" s="10">
        <f>LEN(L147)</f>
        <v/>
      </c>
    </row>
    <row r="148">
      <c r="A148" s="61" t="inlineStr">
        <is>
          <t>C</t>
        </is>
      </c>
      <c r="B148" s="64">
        <f>IFERROR(IF(VLOOKUP(I148,DEPARA_CONTAS,2,0)="","CONTA PENDENTE",VLOOKUP(I148,DEPARA_CONTAS,2,0)),"SEM DE-PARA")</f>
        <v/>
      </c>
      <c r="C148" s="64" t="n"/>
      <c r="D148" s="62" t="n"/>
      <c r="E148" s="62" t="n"/>
      <c r="F148" s="87" t="n">
        <v>42384.43</v>
      </c>
      <c r="H148" s="61" t="inlineStr">
        <is>
          <t>FOLHA DE PAGAMENTO REF 04/2026</t>
        </is>
      </c>
      <c r="I148" s="86" t="inlineStr">
        <is>
          <t>2.1.1.02.002</t>
        </is>
      </c>
      <c r="J148" s="12">
        <f>IF(F148&lt;&gt;0,"LANÇAR","")</f>
        <v/>
      </c>
      <c r="K148" s="20" t="n"/>
      <c r="L148" s="13">
        <f>N148&amp;O148&amp;P148&amp;Q148&amp;R148&amp;S148&amp;T148&amp;U148&amp;V148&amp;W148&amp;X148&amp;Y148&amp;Z148&amp;AA148&amp;AB148&amp;AC148&amp;AD148&amp;AE148&amp;AF148&amp;AG148</f>
        <v/>
      </c>
      <c r="M148" s="20" t="n"/>
      <c r="N148" s="10">
        <f>TEXT($B$6,"00")</f>
        <v/>
      </c>
      <c r="O148" s="10">
        <f>REPT(" ",8)</f>
        <v/>
      </c>
      <c r="P148" s="10">
        <f>RIGHT($B$4,2)</f>
        <v/>
      </c>
      <c r="Q148" s="10">
        <f>RIGHT($B$5,3)</f>
        <v/>
      </c>
      <c r="R148" s="10">
        <f>IF(A148="D",LEFT(UPPER(B148)&amp;REPT(" ",20),20),REPT(" ",20))</f>
        <v/>
      </c>
      <c r="S148" s="10">
        <f>IF(A148="D",LEFT(UPPER(C148)&amp;REPT(" ",10),10)," ")</f>
        <v/>
      </c>
      <c r="T148" s="10">
        <f>IF(A148="D",LEFT(UPPER(D148)&amp;REPT(" ",2),2)," ")</f>
        <v/>
      </c>
      <c r="U148" s="10">
        <f>IF(A148="D",LEFT(UPPER(E148)&amp;REPT(" ",15),15)," ")</f>
        <v/>
      </c>
      <c r="V148" s="10">
        <f>REPT(" ",24)</f>
        <v/>
      </c>
      <c r="W148" s="10">
        <f>IF(A148="c",LEFT(UPPER(B148)&amp;REPT(" ",20),20),REPT(" ",20))</f>
        <v/>
      </c>
      <c r="X148" s="10">
        <f>IF(A148="C",LEFT(UPPER(C148)&amp;REPT(" ",10),10)," ")</f>
        <v/>
      </c>
      <c r="Y148" s="10">
        <f>IF(A148="C",LEFT(UPPER(D148)&amp;REPT(" ",2),2)," ")</f>
        <v/>
      </c>
      <c r="Z148" s="10">
        <f>IF(A148="C",LEFT(UPPER(E148)&amp;REPT(" ",15),15)," ")</f>
        <v/>
      </c>
      <c r="AA148" s="10">
        <f>REPT(" ",8)</f>
        <v/>
      </c>
      <c r="AB148" s="10">
        <f>REPT(" ",4)</f>
        <v/>
      </c>
      <c r="AC148" s="10">
        <f>LEFT(UPPER(H148)&amp;REPT(" ",250),250)</f>
        <v/>
      </c>
      <c r="AD148" s="10">
        <f>TEXT($G$2,"dd/mm/aaaa")</f>
        <v/>
      </c>
      <c r="AE148" s="10">
        <f>REPT(" ",10)</f>
        <v/>
      </c>
      <c r="AF148" s="10">
        <f>REPT(" ",20)</f>
        <v/>
      </c>
      <c r="AG148" s="54">
        <f>REPT(" ",18-LEN(FIXED(F148,2,TRUE)))&amp;FIXED(F148,2,TRUE)</f>
        <v/>
      </c>
      <c r="AH148" s="10">
        <f>LEN(AC148)+LEN(AG148)</f>
        <v/>
      </c>
      <c r="AI148" s="10">
        <f>LEN(L148)</f>
        <v/>
      </c>
    </row>
    <row r="149">
      <c r="A149" s="61" t="inlineStr">
        <is>
          <t>C</t>
        </is>
      </c>
      <c r="B149" s="64">
        <f>IFERROR(IF(VLOOKUP(I149,DEPARA_CONTAS,2,0)="","CONTA PENDENTE",VLOOKUP(I149,DEPARA_CONTAS,2,0)),"SEM DE-PARA")</f>
        <v/>
      </c>
      <c r="C149" s="64" t="n"/>
      <c r="D149" s="62" t="n"/>
      <c r="E149" s="62" t="n"/>
      <c r="F149" s="87" t="n">
        <v>44150.45</v>
      </c>
      <c r="H149" s="61" t="inlineStr">
        <is>
          <t>FOLHA DE PAGAMENTO REF 04/2026</t>
        </is>
      </c>
      <c r="I149" s="86" t="inlineStr">
        <is>
          <t>2.1.1.03.004</t>
        </is>
      </c>
      <c r="J149" s="12">
        <f>IF(F149&lt;&gt;0,"LANÇAR","")</f>
        <v/>
      </c>
      <c r="K149" s="20" t="n"/>
      <c r="L149" s="13">
        <f>N149&amp;O149&amp;P149&amp;Q149&amp;R149&amp;S149&amp;T149&amp;U149&amp;V149&amp;W149&amp;X149&amp;Y149&amp;Z149&amp;AA149&amp;AB149&amp;AC149&amp;AD149&amp;AE149&amp;AF149&amp;AG149</f>
        <v/>
      </c>
      <c r="M149" s="20" t="n"/>
      <c r="N149" s="10">
        <f>TEXT($B$6,"00")</f>
        <v/>
      </c>
      <c r="O149" s="10">
        <f>REPT(" ",8)</f>
        <v/>
      </c>
      <c r="P149" s="10">
        <f>RIGHT($B$4,2)</f>
        <v/>
      </c>
      <c r="Q149" s="10">
        <f>RIGHT($B$5,3)</f>
        <v/>
      </c>
      <c r="R149" s="10">
        <f>IF(A149="D",LEFT(UPPER(B149)&amp;REPT(" ",20),20),REPT(" ",20))</f>
        <v/>
      </c>
      <c r="S149" s="10">
        <f>IF(A149="D",LEFT(UPPER(C149)&amp;REPT(" ",10),10)," ")</f>
        <v/>
      </c>
      <c r="T149" s="10">
        <f>IF(A149="D",LEFT(UPPER(D149)&amp;REPT(" ",2),2)," ")</f>
        <v/>
      </c>
      <c r="U149" s="10">
        <f>IF(A149="D",LEFT(UPPER(E149)&amp;REPT(" ",15),15)," ")</f>
        <v/>
      </c>
      <c r="V149" s="10">
        <f>REPT(" ",24)</f>
        <v/>
      </c>
      <c r="W149" s="10">
        <f>IF(A149="c",LEFT(UPPER(B149)&amp;REPT(" ",20),20),REPT(" ",20))</f>
        <v/>
      </c>
      <c r="X149" s="10">
        <f>IF(A149="C",LEFT(UPPER(C149)&amp;REPT(" ",10),10)," ")</f>
        <v/>
      </c>
      <c r="Y149" s="10">
        <f>IF(A149="C",LEFT(UPPER(D149)&amp;REPT(" ",2),2)," ")</f>
        <v/>
      </c>
      <c r="Z149" s="10">
        <f>IF(A149="C",LEFT(UPPER(E149)&amp;REPT(" ",15),15)," ")</f>
        <v/>
      </c>
      <c r="AA149" s="10">
        <f>REPT(" ",8)</f>
        <v/>
      </c>
      <c r="AB149" s="10">
        <f>REPT(" ",4)</f>
        <v/>
      </c>
      <c r="AC149" s="10">
        <f>LEFT(UPPER(H149)&amp;REPT(" ",250),250)</f>
        <v/>
      </c>
      <c r="AD149" s="10">
        <f>TEXT($G$2,"dd/mm/aaaa")</f>
        <v/>
      </c>
      <c r="AE149" s="10">
        <f>REPT(" ",10)</f>
        <v/>
      </c>
      <c r="AF149" s="10">
        <f>REPT(" ",20)</f>
        <v/>
      </c>
      <c r="AG149" s="54">
        <f>REPT(" ",18-LEN(FIXED(F149,2,TRUE)))&amp;FIXED(F149,2,TRUE)</f>
        <v/>
      </c>
      <c r="AH149" s="10">
        <f>LEN(AC149)+LEN(AG149)</f>
        <v/>
      </c>
      <c r="AI149" s="10">
        <f>LEN(L149)</f>
        <v/>
      </c>
    </row>
    <row r="150">
      <c r="A150" s="61" t="inlineStr">
        <is>
          <t>C</t>
        </is>
      </c>
      <c r="B150" s="64">
        <f>IFERROR(IF(VLOOKUP(I150,DEPARA_CONTAS,2,0)="","CONTA PENDENTE",VLOOKUP(I150,DEPARA_CONTAS,2,0)),"SEM DE-PARA")</f>
        <v/>
      </c>
      <c r="C150" s="64" t="n"/>
      <c r="D150" s="62" t="n"/>
      <c r="E150" s="62" t="n"/>
      <c r="F150" s="87" t="n">
        <v>63410.48</v>
      </c>
      <c r="H150" s="61" t="inlineStr">
        <is>
          <t>FOLHA DE PAGAMENTO REF 04/2026</t>
        </is>
      </c>
      <c r="I150" s="86" t="inlineStr">
        <is>
          <t>2.1.1.03.001</t>
        </is>
      </c>
      <c r="J150" s="12">
        <f>IF(F150&lt;&gt;0,"LANÇAR","")</f>
        <v/>
      </c>
      <c r="K150" s="20" t="n"/>
      <c r="L150" s="13">
        <f>N150&amp;O150&amp;P150&amp;Q150&amp;R150&amp;S150&amp;T150&amp;U150&amp;V150&amp;W150&amp;X150&amp;Y150&amp;Z150&amp;AA150&amp;AB150&amp;AC150&amp;AD150&amp;AE150&amp;AF150&amp;AG150</f>
        <v/>
      </c>
      <c r="M150" s="20" t="n"/>
      <c r="N150" s="10">
        <f>TEXT($B$6,"00")</f>
        <v/>
      </c>
      <c r="O150" s="10">
        <f>REPT(" ",8)</f>
        <v/>
      </c>
      <c r="P150" s="10">
        <f>RIGHT($B$4,2)</f>
        <v/>
      </c>
      <c r="Q150" s="10">
        <f>RIGHT($B$5,3)</f>
        <v/>
      </c>
      <c r="R150" s="10">
        <f>IF(A150="D",LEFT(UPPER(B150)&amp;REPT(" ",20),20),REPT(" ",20))</f>
        <v/>
      </c>
      <c r="S150" s="10">
        <f>IF(A150="D",LEFT(UPPER(C150)&amp;REPT(" ",10),10)," ")</f>
        <v/>
      </c>
      <c r="T150" s="10">
        <f>IF(A150="D",LEFT(UPPER(D150)&amp;REPT(" ",2),2)," ")</f>
        <v/>
      </c>
      <c r="U150" s="10">
        <f>IF(A150="D",LEFT(UPPER(E150)&amp;REPT(" ",15),15)," ")</f>
        <v/>
      </c>
      <c r="V150" s="10">
        <f>REPT(" ",24)</f>
        <v/>
      </c>
      <c r="W150" s="10">
        <f>IF(A150="c",LEFT(UPPER(B150)&amp;REPT(" ",20),20),REPT(" ",20))</f>
        <v/>
      </c>
      <c r="X150" s="10">
        <f>IF(A150="C",LEFT(UPPER(C150)&amp;REPT(" ",10),10)," ")</f>
        <v/>
      </c>
      <c r="Y150" s="10">
        <f>IF(A150="C",LEFT(UPPER(D150)&amp;REPT(" ",2),2)," ")</f>
        <v/>
      </c>
      <c r="Z150" s="10">
        <f>IF(A150="C",LEFT(UPPER(E150)&amp;REPT(" ",15),15)," ")</f>
        <v/>
      </c>
      <c r="AA150" s="10">
        <f>REPT(" ",8)</f>
        <v/>
      </c>
      <c r="AB150" s="10">
        <f>REPT(" ",4)</f>
        <v/>
      </c>
      <c r="AC150" s="10">
        <f>LEFT(UPPER(H150)&amp;REPT(" ",250),250)</f>
        <v/>
      </c>
      <c r="AD150" s="10">
        <f>TEXT($G$2,"dd/mm/aaaa")</f>
        <v/>
      </c>
      <c r="AE150" s="10">
        <f>REPT(" ",10)</f>
        <v/>
      </c>
      <c r="AF150" s="10">
        <f>REPT(" ",20)</f>
        <v/>
      </c>
      <c r="AG150" s="54">
        <f>REPT(" ",18-LEN(FIXED(F150,2,TRUE)))&amp;FIXED(F150,2,TRUE)</f>
        <v/>
      </c>
      <c r="AH150" s="10">
        <f>LEN(AC150)+LEN(AG150)</f>
        <v/>
      </c>
      <c r="AI150" s="10">
        <f>LEN(L150)</f>
        <v/>
      </c>
    </row>
    <row r="151">
      <c r="A151" s="61" t="inlineStr">
        <is>
          <t>C</t>
        </is>
      </c>
      <c r="B151" s="64">
        <f>IFERROR(IF(VLOOKUP(I151,DEPARA_CONTAS,2,0)="","CONTA PENDENTE",VLOOKUP(I151,DEPARA_CONTAS,2,0)),"SEM DE-PARA")</f>
        <v/>
      </c>
      <c r="C151" s="64" t="n"/>
      <c r="D151" s="62" t="n"/>
      <c r="E151" s="62" t="n"/>
      <c r="F151" s="87" t="n">
        <v>12273.82</v>
      </c>
      <c r="H151" s="61" t="inlineStr">
        <is>
          <t>FOLHA DE PAGAMENTO REF 04/2026</t>
        </is>
      </c>
      <c r="I151" s="86" t="inlineStr">
        <is>
          <t>2.1.1.03.005</t>
        </is>
      </c>
      <c r="J151" s="12">
        <f>IF(F151&lt;&gt;0,"LANÇAR","")</f>
        <v/>
      </c>
      <c r="K151" s="20" t="n"/>
      <c r="L151" s="13">
        <f>N151&amp;O151&amp;P151&amp;Q151&amp;R151&amp;S151&amp;T151&amp;U151&amp;V151&amp;W151&amp;X151&amp;Y151&amp;Z151&amp;AA151&amp;AB151&amp;AC151&amp;AD151&amp;AE151&amp;AF151&amp;AG151</f>
        <v/>
      </c>
      <c r="M151" s="20" t="n"/>
      <c r="N151" s="10">
        <f>TEXT($B$6,"00")</f>
        <v/>
      </c>
      <c r="O151" s="10">
        <f>REPT(" ",8)</f>
        <v/>
      </c>
      <c r="P151" s="10">
        <f>RIGHT($B$4,2)</f>
        <v/>
      </c>
      <c r="Q151" s="10">
        <f>RIGHT($B$5,3)</f>
        <v/>
      </c>
      <c r="R151" s="10">
        <f>IF(A151="D",LEFT(UPPER(B151)&amp;REPT(" ",20),20),REPT(" ",20))</f>
        <v/>
      </c>
      <c r="S151" s="10">
        <f>IF(A151="D",LEFT(UPPER(C151)&amp;REPT(" ",10),10)," ")</f>
        <v/>
      </c>
      <c r="T151" s="10">
        <f>IF(A151="D",LEFT(UPPER(D151)&amp;REPT(" ",2),2)," ")</f>
        <v/>
      </c>
      <c r="U151" s="10">
        <f>IF(A151="D",LEFT(UPPER(E151)&amp;REPT(" ",15),15)," ")</f>
        <v/>
      </c>
      <c r="V151" s="10">
        <f>REPT(" ",24)</f>
        <v/>
      </c>
      <c r="W151" s="10">
        <f>IF(A151="c",LEFT(UPPER(B151)&amp;REPT(" ",20),20),REPT(" ",20))</f>
        <v/>
      </c>
      <c r="X151" s="10">
        <f>IF(A151="C",LEFT(UPPER(C151)&amp;REPT(" ",10),10)," ")</f>
        <v/>
      </c>
      <c r="Y151" s="10">
        <f>IF(A151="C",LEFT(UPPER(D151)&amp;REPT(" ",2),2)," ")</f>
        <v/>
      </c>
      <c r="Z151" s="10">
        <f>IF(A151="C",LEFT(UPPER(E151)&amp;REPT(" ",15),15)," ")</f>
        <v/>
      </c>
      <c r="AA151" s="10">
        <f>REPT(" ",8)</f>
        <v/>
      </c>
      <c r="AB151" s="10">
        <f>REPT(" ",4)</f>
        <v/>
      </c>
      <c r="AC151" s="10">
        <f>LEFT(UPPER(H151)&amp;REPT(" ",250),250)</f>
        <v/>
      </c>
      <c r="AD151" s="10">
        <f>TEXT($G$2,"dd/mm/aaaa")</f>
        <v/>
      </c>
      <c r="AE151" s="10">
        <f>REPT(" ",10)</f>
        <v/>
      </c>
      <c r="AF151" s="10">
        <f>REPT(" ",20)</f>
        <v/>
      </c>
      <c r="AG151" s="54">
        <f>REPT(" ",18-LEN(FIXED(F151,2,TRUE)))&amp;FIXED(F151,2,TRUE)</f>
        <v/>
      </c>
      <c r="AH151" s="10">
        <f>LEN(AC151)+LEN(AG151)</f>
        <v/>
      </c>
      <c r="AI151" s="10">
        <f>LEN(L151)</f>
        <v/>
      </c>
    </row>
    <row r="152">
      <c r="A152" s="61" t="inlineStr">
        <is>
          <t>C</t>
        </is>
      </c>
      <c r="B152" s="64">
        <f>IFERROR(IF(VLOOKUP(I152,DEPARA_CONTAS,2,0)="","CONTA PENDENTE",VLOOKUP(I152,DEPARA_CONTAS,2,0)),"SEM DE-PARA")</f>
        <v/>
      </c>
      <c r="C152" s="64" t="n"/>
      <c r="D152" s="62" t="n"/>
      <c r="E152" s="62" t="n"/>
      <c r="F152" s="87" t="n">
        <v>17852.83</v>
      </c>
      <c r="H152" s="61" t="inlineStr">
        <is>
          <t>FOLHA DE PAGAMENTO REF 04/2026</t>
        </is>
      </c>
      <c r="I152" s="86" t="inlineStr">
        <is>
          <t>2.1.1.03.002</t>
        </is>
      </c>
      <c r="J152" s="12">
        <f>IF(F152&lt;&gt;0,"LANÇAR","")</f>
        <v/>
      </c>
      <c r="K152" s="20" t="n"/>
      <c r="L152" s="13">
        <f>N152&amp;O152&amp;P152&amp;Q152&amp;R152&amp;S152&amp;T152&amp;U152&amp;V152&amp;W152&amp;X152&amp;Y152&amp;Z152&amp;AA152&amp;AB152&amp;AC152&amp;AD152&amp;AE152&amp;AF152&amp;AG152</f>
        <v/>
      </c>
      <c r="M152" s="20" t="n"/>
      <c r="N152" s="10">
        <f>TEXT($B$6,"00")</f>
        <v/>
      </c>
      <c r="O152" s="10">
        <f>REPT(" ",8)</f>
        <v/>
      </c>
      <c r="P152" s="10">
        <f>RIGHT($B$4,2)</f>
        <v/>
      </c>
      <c r="Q152" s="10">
        <f>RIGHT($B$5,3)</f>
        <v/>
      </c>
      <c r="R152" s="10">
        <f>IF(A152="D",LEFT(UPPER(B152)&amp;REPT(" ",20),20),REPT(" ",20))</f>
        <v/>
      </c>
      <c r="S152" s="10">
        <f>IF(A152="D",LEFT(UPPER(C152)&amp;REPT(" ",10),10)," ")</f>
        <v/>
      </c>
      <c r="T152" s="10">
        <f>IF(A152="D",LEFT(UPPER(D152)&amp;REPT(" ",2),2)," ")</f>
        <v/>
      </c>
      <c r="U152" s="10">
        <f>IF(A152="D",LEFT(UPPER(E152)&amp;REPT(" ",15),15)," ")</f>
        <v/>
      </c>
      <c r="V152" s="10">
        <f>REPT(" ",24)</f>
        <v/>
      </c>
      <c r="W152" s="10">
        <f>IF(A152="c",LEFT(UPPER(B152)&amp;REPT(" ",20),20),REPT(" ",20))</f>
        <v/>
      </c>
      <c r="X152" s="10">
        <f>IF(A152="C",LEFT(UPPER(C152)&amp;REPT(" ",10),10)," ")</f>
        <v/>
      </c>
      <c r="Y152" s="10">
        <f>IF(A152="C",LEFT(UPPER(D152)&amp;REPT(" ",2),2)," ")</f>
        <v/>
      </c>
      <c r="Z152" s="10">
        <f>IF(A152="C",LEFT(UPPER(E152)&amp;REPT(" ",15),15)," ")</f>
        <v/>
      </c>
      <c r="AA152" s="10">
        <f>REPT(" ",8)</f>
        <v/>
      </c>
      <c r="AB152" s="10">
        <f>REPT(" ",4)</f>
        <v/>
      </c>
      <c r="AC152" s="10">
        <f>LEFT(UPPER(H152)&amp;REPT(" ",250),250)</f>
        <v/>
      </c>
      <c r="AD152" s="10">
        <f>TEXT($G$2,"dd/mm/aaaa")</f>
        <v/>
      </c>
      <c r="AE152" s="10">
        <f>REPT(" ",10)</f>
        <v/>
      </c>
      <c r="AF152" s="10">
        <f>REPT(" ",20)</f>
        <v/>
      </c>
      <c r="AG152" s="54">
        <f>REPT(" ",18-LEN(FIXED(F152,2,TRUE)))&amp;FIXED(F152,2,TRUE)</f>
        <v/>
      </c>
      <c r="AH152" s="10">
        <f>LEN(AC152)+LEN(AG152)</f>
        <v/>
      </c>
      <c r="AI152" s="10">
        <f>LEN(L152)</f>
        <v/>
      </c>
    </row>
    <row r="153">
      <c r="A153" s="61" t="inlineStr">
        <is>
          <t>C</t>
        </is>
      </c>
      <c r="B153" s="64">
        <f>IFERROR(IF(VLOOKUP(I153,DEPARA_CONTAS,2,0)="","CONTA PENDENTE",VLOOKUP(I153,DEPARA_CONTAS,2,0)),"SEM DE-PARA")</f>
        <v/>
      </c>
      <c r="C153" s="64" t="n"/>
      <c r="D153" s="62" t="n"/>
      <c r="E153" s="62" t="n"/>
      <c r="F153" s="87" t="n">
        <v>3532.03</v>
      </c>
      <c r="H153" s="61" t="inlineStr">
        <is>
          <t>FOLHA DE PAGAMENTO REF 04/2026</t>
        </is>
      </c>
      <c r="I153" s="86" t="inlineStr">
        <is>
          <t>2.1.1.03.006</t>
        </is>
      </c>
      <c r="J153" s="12">
        <f>IF(F153&lt;&gt;0,"LANÇAR","")</f>
        <v/>
      </c>
      <c r="K153" s="20" t="n"/>
      <c r="L153" s="13">
        <f>N153&amp;O153&amp;P153&amp;Q153&amp;R153&amp;S153&amp;T153&amp;U153&amp;V153&amp;W153&amp;X153&amp;Y153&amp;Z153&amp;AA153&amp;AB153&amp;AC153&amp;AD153&amp;AE153&amp;AF153&amp;AG153</f>
        <v/>
      </c>
      <c r="M153" s="20" t="n"/>
      <c r="N153" s="10">
        <f>TEXT($B$6,"00")</f>
        <v/>
      </c>
      <c r="O153" s="10">
        <f>REPT(" ",8)</f>
        <v/>
      </c>
      <c r="P153" s="10">
        <f>RIGHT($B$4,2)</f>
        <v/>
      </c>
      <c r="Q153" s="10">
        <f>RIGHT($B$5,3)</f>
        <v/>
      </c>
      <c r="R153" s="10">
        <f>IF(A153="D",LEFT(UPPER(B153)&amp;REPT(" ",20),20),REPT(" ",20))</f>
        <v/>
      </c>
      <c r="S153" s="10">
        <f>IF(A153="D",LEFT(UPPER(C153)&amp;REPT(" ",10),10)," ")</f>
        <v/>
      </c>
      <c r="T153" s="10">
        <f>IF(A153="D",LEFT(UPPER(D153)&amp;REPT(" ",2),2)," ")</f>
        <v/>
      </c>
      <c r="U153" s="10">
        <f>IF(A153="D",LEFT(UPPER(E153)&amp;REPT(" ",15),15)," ")</f>
        <v/>
      </c>
      <c r="V153" s="10">
        <f>REPT(" ",24)</f>
        <v/>
      </c>
      <c r="W153" s="10">
        <f>IF(A153="c",LEFT(UPPER(B153)&amp;REPT(" ",20),20),REPT(" ",20))</f>
        <v/>
      </c>
      <c r="X153" s="10">
        <f>IF(A153="C",LEFT(UPPER(C153)&amp;REPT(" ",10),10)," ")</f>
        <v/>
      </c>
      <c r="Y153" s="10">
        <f>IF(A153="C",LEFT(UPPER(D153)&amp;REPT(" ",2),2)," ")</f>
        <v/>
      </c>
      <c r="Z153" s="10">
        <f>IF(A153="C",LEFT(UPPER(E153)&amp;REPT(" ",15),15)," ")</f>
        <v/>
      </c>
      <c r="AA153" s="10">
        <f>REPT(" ",8)</f>
        <v/>
      </c>
      <c r="AB153" s="10">
        <f>REPT(" ",4)</f>
        <v/>
      </c>
      <c r="AC153" s="10">
        <f>LEFT(UPPER(H153)&amp;REPT(" ",250),250)</f>
        <v/>
      </c>
      <c r="AD153" s="10">
        <f>TEXT($G$2,"dd/mm/aaaa")</f>
        <v/>
      </c>
      <c r="AE153" s="10">
        <f>REPT(" ",10)</f>
        <v/>
      </c>
      <c r="AF153" s="10">
        <f>REPT(" ",20)</f>
        <v/>
      </c>
      <c r="AG153" s="54">
        <f>REPT(" ",18-LEN(FIXED(F153,2,TRUE)))&amp;FIXED(F153,2,TRUE)</f>
        <v/>
      </c>
      <c r="AH153" s="10">
        <f>LEN(AC153)+LEN(AG153)</f>
        <v/>
      </c>
      <c r="AI153" s="10">
        <f>LEN(L153)</f>
        <v/>
      </c>
    </row>
    <row r="154">
      <c r="A154" s="61" t="inlineStr">
        <is>
          <t>C</t>
        </is>
      </c>
      <c r="B154" s="64">
        <f>IFERROR(IF(VLOOKUP(I154,DEPARA_CONTAS,2,0)="","CONTA PENDENTE",VLOOKUP(I154,DEPARA_CONTAS,2,0)),"SEM DE-PARA")</f>
        <v/>
      </c>
      <c r="C154" s="64" t="n"/>
      <c r="D154" s="62" t="n"/>
      <c r="E154" s="62" t="n"/>
      <c r="F154" s="87" t="n">
        <v>5137.51</v>
      </c>
      <c r="H154" s="61" t="inlineStr">
        <is>
          <t>FOLHA DE PAGAMENTO REF 04/2026</t>
        </is>
      </c>
      <c r="I154" s="86" t="inlineStr">
        <is>
          <t>2.1.1.03.003</t>
        </is>
      </c>
      <c r="J154" s="12">
        <f>IF(F154&lt;&gt;0,"LANÇAR","")</f>
        <v/>
      </c>
      <c r="K154" s="20" t="n"/>
      <c r="L154" s="13">
        <f>N154&amp;O154&amp;P154&amp;Q154&amp;R154&amp;S154&amp;T154&amp;U154&amp;V154&amp;W154&amp;X154&amp;Y154&amp;Z154&amp;AA154&amp;AB154&amp;AC154&amp;AD154&amp;AE154&amp;AF154&amp;AG154</f>
        <v/>
      </c>
      <c r="M154" s="20" t="n"/>
      <c r="N154" s="10">
        <f>TEXT($B$6,"00")</f>
        <v/>
      </c>
      <c r="O154" s="10">
        <f>REPT(" ",8)</f>
        <v/>
      </c>
      <c r="P154" s="10">
        <f>RIGHT($B$4,2)</f>
        <v/>
      </c>
      <c r="Q154" s="10">
        <f>RIGHT($B$5,3)</f>
        <v/>
      </c>
      <c r="R154" s="10">
        <f>IF(A154="D",LEFT(UPPER(B154)&amp;REPT(" ",20),20),REPT(" ",20))</f>
        <v/>
      </c>
      <c r="S154" s="10">
        <f>IF(A154="D",LEFT(UPPER(C154)&amp;REPT(" ",10),10)," ")</f>
        <v/>
      </c>
      <c r="T154" s="10">
        <f>IF(A154="D",LEFT(UPPER(D154)&amp;REPT(" ",2),2)," ")</f>
        <v/>
      </c>
      <c r="U154" s="10">
        <f>IF(A154="D",LEFT(UPPER(E154)&amp;REPT(" ",15),15)," ")</f>
        <v/>
      </c>
      <c r="V154" s="10">
        <f>REPT(" ",24)</f>
        <v/>
      </c>
      <c r="W154" s="10">
        <f>IF(A154="c",LEFT(UPPER(B154)&amp;REPT(" ",20),20),REPT(" ",20))</f>
        <v/>
      </c>
      <c r="X154" s="10">
        <f>IF(A154="C",LEFT(UPPER(C154)&amp;REPT(" ",10),10)," ")</f>
        <v/>
      </c>
      <c r="Y154" s="10">
        <f>IF(A154="C",LEFT(UPPER(D154)&amp;REPT(" ",2),2)," ")</f>
        <v/>
      </c>
      <c r="Z154" s="10">
        <f>IF(A154="C",LEFT(UPPER(E154)&amp;REPT(" ",15),15)," ")</f>
        <v/>
      </c>
      <c r="AA154" s="10">
        <f>REPT(" ",8)</f>
        <v/>
      </c>
      <c r="AB154" s="10">
        <f>REPT(" ",4)</f>
        <v/>
      </c>
      <c r="AC154" s="10">
        <f>LEFT(UPPER(H154)&amp;REPT(" ",250),250)</f>
        <v/>
      </c>
      <c r="AD154" s="10">
        <f>TEXT($G$2,"dd/mm/aaaa")</f>
        <v/>
      </c>
      <c r="AE154" s="10">
        <f>REPT(" ",10)</f>
        <v/>
      </c>
      <c r="AF154" s="10">
        <f>REPT(" ",20)</f>
        <v/>
      </c>
      <c r="AG154" s="54">
        <f>REPT(" ",18-LEN(FIXED(F154,2,TRUE)))&amp;FIXED(F154,2,TRUE)</f>
        <v/>
      </c>
      <c r="AH154" s="10">
        <f>LEN(AC154)+LEN(AG154)</f>
        <v/>
      </c>
      <c r="AI154" s="10">
        <f>LEN(L154)</f>
        <v/>
      </c>
    </row>
    <row r="155">
      <c r="A155" s="61" t="inlineStr">
        <is>
          <t>C</t>
        </is>
      </c>
      <c r="B155" s="64">
        <f>IFERROR(IF(VLOOKUP(I155,DEPARA_CONTAS,2,0)="","CONTA PENDENTE",VLOOKUP(I155,DEPARA_CONTAS,2,0)),"SEM DE-PARA")</f>
        <v/>
      </c>
      <c r="C155" s="64" t="n"/>
      <c r="D155" s="62" t="n"/>
      <c r="E155" s="62" t="n"/>
      <c r="F155" s="87" t="n">
        <v>491055.32</v>
      </c>
      <c r="H155" s="61" t="inlineStr">
        <is>
          <t>FOLHA DE PAGAMENTO REF 04/2026</t>
        </is>
      </c>
      <c r="I155" s="86" t="inlineStr">
        <is>
          <t>2.1.1.01.001</t>
        </is>
      </c>
      <c r="J155" s="12">
        <f>IF(F155&lt;&gt;0,"LANÇAR","")</f>
        <v/>
      </c>
      <c r="K155" s="20" t="n"/>
      <c r="L155" s="13">
        <f>N155&amp;O155&amp;P155&amp;Q155&amp;R155&amp;S155&amp;T155&amp;U155&amp;V155&amp;W155&amp;X155&amp;Y155&amp;Z155&amp;AA155&amp;AB155&amp;AC155&amp;AD155&amp;AE155&amp;AF155&amp;AG155</f>
        <v/>
      </c>
      <c r="M155" s="20" t="n"/>
      <c r="N155" s="10">
        <f>TEXT($B$6,"00")</f>
        <v/>
      </c>
      <c r="O155" s="10">
        <f>REPT(" ",8)</f>
        <v/>
      </c>
      <c r="P155" s="10">
        <f>RIGHT($B$4,2)</f>
        <v/>
      </c>
      <c r="Q155" s="10">
        <f>RIGHT($B$5,3)</f>
        <v/>
      </c>
      <c r="R155" s="10">
        <f>IF(A155="D",LEFT(UPPER(B155)&amp;REPT(" ",20),20),REPT(" ",20))</f>
        <v/>
      </c>
      <c r="S155" s="10">
        <f>IF(A155="D",LEFT(UPPER(C155)&amp;REPT(" ",10),10)," ")</f>
        <v/>
      </c>
      <c r="T155" s="10">
        <f>IF(A155="D",LEFT(UPPER(D155)&amp;REPT(" ",2),2)," ")</f>
        <v/>
      </c>
      <c r="U155" s="10">
        <f>IF(A155="D",LEFT(UPPER(E155)&amp;REPT(" ",15),15)," ")</f>
        <v/>
      </c>
      <c r="V155" s="10">
        <f>REPT(" ",24)</f>
        <v/>
      </c>
      <c r="W155" s="10">
        <f>IF(A155="c",LEFT(UPPER(B155)&amp;REPT(" ",20),20),REPT(" ",20))</f>
        <v/>
      </c>
      <c r="X155" s="10">
        <f>IF(A155="C",LEFT(UPPER(C155)&amp;REPT(" ",10),10)," ")</f>
        <v/>
      </c>
      <c r="Y155" s="10">
        <f>IF(A155="C",LEFT(UPPER(D155)&amp;REPT(" ",2),2)," ")</f>
        <v/>
      </c>
      <c r="Z155" s="10">
        <f>IF(A155="C",LEFT(UPPER(E155)&amp;REPT(" ",15),15)," ")</f>
        <v/>
      </c>
      <c r="AA155" s="10">
        <f>REPT(" ",8)</f>
        <v/>
      </c>
      <c r="AB155" s="10">
        <f>REPT(" ",4)</f>
        <v/>
      </c>
      <c r="AC155" s="10">
        <f>LEFT(UPPER(H155)&amp;REPT(" ",250),250)</f>
        <v/>
      </c>
      <c r="AD155" s="10">
        <f>TEXT($G$2,"dd/mm/aaaa")</f>
        <v/>
      </c>
      <c r="AE155" s="10">
        <f>REPT(" ",10)</f>
        <v/>
      </c>
      <c r="AF155" s="10">
        <f>REPT(" ",20)</f>
        <v/>
      </c>
      <c r="AG155" s="54">
        <f>REPT(" ",18-LEN(FIXED(F155,2,TRUE)))&amp;FIXED(F155,2,TRUE)</f>
        <v/>
      </c>
      <c r="AH155" s="10">
        <f>LEN(AC155)+LEN(AG155)</f>
        <v/>
      </c>
      <c r="AI155" s="10">
        <f>LEN(L155)</f>
        <v/>
      </c>
    </row>
    <row r="156">
      <c r="A156" s="61" t="n"/>
      <c r="B156" s="64" t="n"/>
      <c r="C156" s="64" t="n"/>
      <c r="D156" s="62" t="n"/>
      <c r="E156" s="62" t="n"/>
      <c r="F156" s="87" t="n"/>
      <c r="H156" s="61" t="n"/>
      <c r="I156" s="42" t="n"/>
      <c r="J156" s="12">
        <f>IF(F156&lt;&gt;0,"LANÇAR","")</f>
        <v/>
      </c>
      <c r="K156" s="20" t="n"/>
      <c r="L156" s="13">
        <f>N156&amp;O156&amp;P156&amp;Q156&amp;R156&amp;S156&amp;T156&amp;U156&amp;V156&amp;W156&amp;X156&amp;Y156&amp;Z156&amp;AA156&amp;AB156&amp;AC156&amp;AD156&amp;AE156&amp;AF156&amp;AG156</f>
        <v/>
      </c>
      <c r="M156" s="20" t="n"/>
      <c r="N156" s="10">
        <f>TEXT($B$6,"00")</f>
        <v/>
      </c>
      <c r="O156" s="10">
        <f>REPT(" ",8)</f>
        <v/>
      </c>
      <c r="P156" s="10">
        <f>RIGHT($B$4,2)</f>
        <v/>
      </c>
      <c r="Q156" s="10">
        <f>RIGHT($B$5,3)</f>
        <v/>
      </c>
      <c r="R156" s="10">
        <f>IF(A156="D",LEFT(UPPER(B156)&amp;REPT(" ",20),20),REPT(" ",20))</f>
        <v/>
      </c>
      <c r="S156" s="10">
        <f>IF(A156="D",LEFT(UPPER(C156)&amp;REPT(" ",10),10)," ")</f>
        <v/>
      </c>
      <c r="T156" s="10">
        <f>IF(A156="D",LEFT(UPPER(D156)&amp;REPT(" ",2),2)," ")</f>
        <v/>
      </c>
      <c r="U156" s="10">
        <f>IF(A156="D",LEFT(UPPER(E156)&amp;REPT(" ",15),15)," ")</f>
        <v/>
      </c>
      <c r="V156" s="10">
        <f>REPT(" ",24)</f>
        <v/>
      </c>
      <c r="W156" s="10">
        <f>IF(A156="c",LEFT(UPPER(B156)&amp;REPT(" ",20),20),REPT(" ",20))</f>
        <v/>
      </c>
      <c r="X156" s="10">
        <f>IF(A156="C",LEFT(UPPER(C156)&amp;REPT(" ",10),10)," ")</f>
        <v/>
      </c>
      <c r="Y156" s="10">
        <f>IF(A156="C",LEFT(UPPER(D156)&amp;REPT(" ",2),2)," ")</f>
        <v/>
      </c>
      <c r="Z156" s="10">
        <f>IF(A156="C",LEFT(UPPER(E156)&amp;REPT(" ",15),15)," ")</f>
        <v/>
      </c>
      <c r="AA156" s="10">
        <f>REPT(" ",8)</f>
        <v/>
      </c>
      <c r="AB156" s="10">
        <f>REPT(" ",4)</f>
        <v/>
      </c>
      <c r="AC156" s="10">
        <f>LEFT(UPPER(H156)&amp;REPT(" ",250),250)</f>
        <v/>
      </c>
      <c r="AD156" s="10">
        <f>TEXT($G$2,"dd/mm/aaaa")</f>
        <v/>
      </c>
      <c r="AE156" s="10">
        <f>REPT(" ",10)</f>
        <v/>
      </c>
      <c r="AF156" s="10">
        <f>REPT(" ",20)</f>
        <v/>
      </c>
      <c r="AG156" s="54">
        <f>REPT(" ",18-LEN(FIXED(F156,2,TRUE)))&amp;FIXED(F156,2,TRUE)</f>
        <v/>
      </c>
      <c r="AH156" s="10">
        <f>LEN(AC156)+LEN(AG156)</f>
        <v/>
      </c>
      <c r="AI156" s="10">
        <f>LEN(L156)</f>
        <v/>
      </c>
    </row>
    <row r="157">
      <c r="A157" s="61" t="n"/>
      <c r="B157" s="64" t="n"/>
      <c r="C157" s="64" t="n"/>
      <c r="D157" s="62" t="n"/>
      <c r="E157" s="62" t="n"/>
      <c r="F157" s="87" t="n"/>
      <c r="H157" s="61" t="n"/>
      <c r="I157" s="42" t="n"/>
      <c r="J157" s="12">
        <f>IF(F157&lt;&gt;0,"LANÇAR","")</f>
        <v/>
      </c>
      <c r="K157" s="20" t="n"/>
      <c r="L157" s="13">
        <f>N157&amp;O157&amp;P157&amp;Q157&amp;R157&amp;S157&amp;T157&amp;U157&amp;V157&amp;W157&amp;X157&amp;Y157&amp;Z157&amp;AA157&amp;AB157&amp;AC157&amp;AD157&amp;AE157&amp;AF157&amp;AG157</f>
        <v/>
      </c>
      <c r="M157" s="20" t="n"/>
      <c r="N157" s="10">
        <f>TEXT($B$6,"00")</f>
        <v/>
      </c>
      <c r="O157" s="10">
        <f>REPT(" ",8)</f>
        <v/>
      </c>
      <c r="P157" s="10">
        <f>RIGHT($B$4,2)</f>
        <v/>
      </c>
      <c r="Q157" s="10">
        <f>RIGHT($B$5,3)</f>
        <v/>
      </c>
      <c r="R157" s="10">
        <f>IF(A157="D",LEFT(UPPER(B157)&amp;REPT(" ",20),20),REPT(" ",20))</f>
        <v/>
      </c>
      <c r="S157" s="10">
        <f>IF(A157="D",LEFT(UPPER(C157)&amp;REPT(" ",10),10)," ")</f>
        <v/>
      </c>
      <c r="T157" s="10">
        <f>IF(A157="D",LEFT(UPPER(D157)&amp;REPT(" ",2),2)," ")</f>
        <v/>
      </c>
      <c r="U157" s="10">
        <f>IF(A157="D",LEFT(UPPER(E157)&amp;REPT(" ",15),15)," ")</f>
        <v/>
      </c>
      <c r="V157" s="10">
        <f>REPT(" ",24)</f>
        <v/>
      </c>
      <c r="W157" s="10">
        <f>IF(A157="c",LEFT(UPPER(B157)&amp;REPT(" ",20),20),REPT(" ",20))</f>
        <v/>
      </c>
      <c r="X157" s="10">
        <f>IF(A157="C",LEFT(UPPER(C157)&amp;REPT(" ",10),10)," ")</f>
        <v/>
      </c>
      <c r="Y157" s="10">
        <f>IF(A157="C",LEFT(UPPER(D157)&amp;REPT(" ",2),2)," ")</f>
        <v/>
      </c>
      <c r="Z157" s="10">
        <f>IF(A157="C",LEFT(UPPER(E157)&amp;REPT(" ",15),15)," ")</f>
        <v/>
      </c>
      <c r="AA157" s="10">
        <f>REPT(" ",8)</f>
        <v/>
      </c>
      <c r="AB157" s="10">
        <f>REPT(" ",4)</f>
        <v/>
      </c>
      <c r="AC157" s="10">
        <f>LEFT(UPPER(H157)&amp;REPT(" ",250),250)</f>
        <v/>
      </c>
      <c r="AD157" s="10">
        <f>TEXT($G$2,"dd/mm/aaaa")</f>
        <v/>
      </c>
      <c r="AE157" s="10">
        <f>REPT(" ",10)</f>
        <v/>
      </c>
      <c r="AF157" s="10">
        <f>REPT(" ",20)</f>
        <v/>
      </c>
      <c r="AG157" s="54">
        <f>REPT(" ",18-LEN(FIXED(F157,2,TRUE)))&amp;FIXED(F157,2,TRUE)</f>
        <v/>
      </c>
      <c r="AH157" s="10">
        <f>LEN(AC157)+LEN(AG157)</f>
        <v/>
      </c>
      <c r="AI157" s="10">
        <f>LEN(L157)</f>
        <v/>
      </c>
    </row>
    <row r="158">
      <c r="A158" s="61" t="n"/>
      <c r="B158" s="64" t="n"/>
      <c r="C158" s="64" t="n"/>
      <c r="D158" s="62" t="n"/>
      <c r="E158" s="62" t="n"/>
      <c r="F158" s="87" t="n"/>
      <c r="H158" s="61" t="n"/>
      <c r="I158" s="42" t="n"/>
      <c r="J158" s="12">
        <f>IF(F158&lt;&gt;0,"LANÇAR","")</f>
        <v/>
      </c>
      <c r="K158" s="20" t="n"/>
      <c r="L158" s="13">
        <f>N158&amp;O158&amp;P158&amp;Q158&amp;R158&amp;S158&amp;T158&amp;U158&amp;V158&amp;W158&amp;X158&amp;Y158&amp;Z158&amp;AA158&amp;AB158&amp;AC158&amp;AD158&amp;AE158&amp;AF158&amp;AG158</f>
        <v/>
      </c>
      <c r="M158" s="20" t="n"/>
      <c r="N158" s="10">
        <f>TEXT($B$6,"00")</f>
        <v/>
      </c>
      <c r="O158" s="10">
        <f>REPT(" ",8)</f>
        <v/>
      </c>
      <c r="P158" s="10">
        <f>RIGHT($B$4,2)</f>
        <v/>
      </c>
      <c r="Q158" s="10">
        <f>RIGHT($B$5,3)</f>
        <v/>
      </c>
      <c r="R158" s="10">
        <f>IF(A158="D",LEFT(UPPER(B158)&amp;REPT(" ",20),20),REPT(" ",20))</f>
        <v/>
      </c>
      <c r="S158" s="10">
        <f>IF(A158="D",LEFT(UPPER(C158)&amp;REPT(" ",10),10)," ")</f>
        <v/>
      </c>
      <c r="T158" s="10">
        <f>IF(A158="D",LEFT(UPPER(D158)&amp;REPT(" ",2),2)," ")</f>
        <v/>
      </c>
      <c r="U158" s="10">
        <f>IF(A158="D",LEFT(UPPER(E158)&amp;REPT(" ",15),15)," ")</f>
        <v/>
      </c>
      <c r="V158" s="10">
        <f>REPT(" ",24)</f>
        <v/>
      </c>
      <c r="W158" s="10">
        <f>IF(A158="c",LEFT(UPPER(B158)&amp;REPT(" ",20),20),REPT(" ",20))</f>
        <v/>
      </c>
      <c r="X158" s="10">
        <f>IF(A158="C",LEFT(UPPER(C158)&amp;REPT(" ",10),10)," ")</f>
        <v/>
      </c>
      <c r="Y158" s="10">
        <f>IF(A158="C",LEFT(UPPER(D158)&amp;REPT(" ",2),2)," ")</f>
        <v/>
      </c>
      <c r="Z158" s="10">
        <f>IF(A158="C",LEFT(UPPER(E158)&amp;REPT(" ",15),15)," ")</f>
        <v/>
      </c>
      <c r="AA158" s="10">
        <f>REPT(" ",8)</f>
        <v/>
      </c>
      <c r="AB158" s="10">
        <f>REPT(" ",4)</f>
        <v/>
      </c>
      <c r="AC158" s="10">
        <f>LEFT(UPPER(H158)&amp;REPT(" ",250),250)</f>
        <v/>
      </c>
      <c r="AD158" s="10">
        <f>TEXT($G$2,"dd/mm/aaaa")</f>
        <v/>
      </c>
      <c r="AE158" s="10">
        <f>REPT(" ",10)</f>
        <v/>
      </c>
      <c r="AF158" s="10">
        <f>REPT(" ",20)</f>
        <v/>
      </c>
      <c r="AG158" s="54">
        <f>REPT(" ",18-LEN(FIXED(F158,2,TRUE)))&amp;FIXED(F158,2,TRUE)</f>
        <v/>
      </c>
      <c r="AH158" s="10">
        <f>LEN(AC158)+LEN(AG158)</f>
        <v/>
      </c>
      <c r="AI158" s="10">
        <f>LEN(L158)</f>
        <v/>
      </c>
    </row>
    <row r="159">
      <c r="A159" s="61" t="n"/>
      <c r="B159" s="64" t="n"/>
      <c r="C159" s="64" t="n"/>
      <c r="D159" s="62" t="n"/>
      <c r="E159" s="62" t="n"/>
      <c r="F159" s="87" t="n"/>
      <c r="H159" s="61" t="n"/>
      <c r="I159" s="42" t="n"/>
      <c r="J159" s="12">
        <f>IF(F159&lt;&gt;0,"LANÇAR","")</f>
        <v/>
      </c>
      <c r="K159" s="20" t="n"/>
      <c r="L159" s="13">
        <f>N159&amp;O159&amp;P159&amp;Q159&amp;R159&amp;S159&amp;T159&amp;U159&amp;V159&amp;W159&amp;X159&amp;Y159&amp;Z159&amp;AA159&amp;AB159&amp;AC159&amp;AD159&amp;AE159&amp;AF159&amp;AG159</f>
        <v/>
      </c>
      <c r="M159" s="20" t="n"/>
      <c r="N159" s="10">
        <f>TEXT($B$6,"00")</f>
        <v/>
      </c>
      <c r="O159" s="10">
        <f>REPT(" ",8)</f>
        <v/>
      </c>
      <c r="P159" s="10">
        <f>RIGHT($B$4,2)</f>
        <v/>
      </c>
      <c r="Q159" s="10">
        <f>RIGHT($B$5,3)</f>
        <v/>
      </c>
      <c r="R159" s="10">
        <f>IF(A159="D",LEFT(UPPER(B159)&amp;REPT(" ",20),20),REPT(" ",20))</f>
        <v/>
      </c>
      <c r="S159" s="10">
        <f>IF(A159="D",LEFT(UPPER(C159)&amp;REPT(" ",10),10)," ")</f>
        <v/>
      </c>
      <c r="T159" s="10">
        <f>IF(A159="D",LEFT(UPPER(D159)&amp;REPT(" ",2),2)," ")</f>
        <v/>
      </c>
      <c r="U159" s="10">
        <f>IF(A159="D",LEFT(UPPER(E159)&amp;REPT(" ",15),15)," ")</f>
        <v/>
      </c>
      <c r="V159" s="10">
        <f>REPT(" ",24)</f>
        <v/>
      </c>
      <c r="W159" s="10">
        <f>IF(A159="c",LEFT(UPPER(B159)&amp;REPT(" ",20),20),REPT(" ",20))</f>
        <v/>
      </c>
      <c r="X159" s="10">
        <f>IF(A159="C",LEFT(UPPER(C159)&amp;REPT(" ",10),10)," ")</f>
        <v/>
      </c>
      <c r="Y159" s="10">
        <f>IF(A159="C",LEFT(UPPER(D159)&amp;REPT(" ",2),2)," ")</f>
        <v/>
      </c>
      <c r="Z159" s="10">
        <f>IF(A159="C",LEFT(UPPER(E159)&amp;REPT(" ",15),15)," ")</f>
        <v/>
      </c>
      <c r="AA159" s="10">
        <f>REPT(" ",8)</f>
        <v/>
      </c>
      <c r="AB159" s="10">
        <f>REPT(" ",4)</f>
        <v/>
      </c>
      <c r="AC159" s="10">
        <f>LEFT(UPPER(H159)&amp;REPT(" ",250),250)</f>
        <v/>
      </c>
      <c r="AD159" s="10">
        <f>TEXT($G$2,"dd/mm/aaaa")</f>
        <v/>
      </c>
      <c r="AE159" s="10">
        <f>REPT(" ",10)</f>
        <v/>
      </c>
      <c r="AF159" s="10">
        <f>REPT(" ",20)</f>
        <v/>
      </c>
      <c r="AG159" s="54">
        <f>REPT(" ",18-LEN(FIXED(F159,2,TRUE)))&amp;FIXED(F159,2,TRUE)</f>
        <v/>
      </c>
      <c r="AH159" s="10">
        <f>LEN(AC159)+LEN(AG159)</f>
        <v/>
      </c>
      <c r="AI159" s="10">
        <f>LEN(L159)</f>
        <v/>
      </c>
    </row>
    <row r="160">
      <c r="A160" s="61" t="n"/>
      <c r="B160" s="64" t="n"/>
      <c r="C160" s="64" t="n"/>
      <c r="D160" s="62" t="n"/>
      <c r="E160" s="62" t="n"/>
      <c r="F160" s="87" t="n"/>
      <c r="H160" s="61" t="n"/>
      <c r="I160" s="42" t="n"/>
      <c r="J160" s="12">
        <f>IF(F160&lt;&gt;0,"LANÇAR","")</f>
        <v/>
      </c>
      <c r="K160" s="20" t="n"/>
      <c r="L160" s="13">
        <f>N160&amp;O160&amp;P160&amp;Q160&amp;R160&amp;S160&amp;T160&amp;U160&amp;V160&amp;W160&amp;X160&amp;Y160&amp;Z160&amp;AA160&amp;AB160&amp;AC160&amp;AD160&amp;AE160&amp;AF160&amp;AG160</f>
        <v/>
      </c>
      <c r="M160" s="20" t="n"/>
      <c r="N160" s="10">
        <f>TEXT($B$6,"00")</f>
        <v/>
      </c>
      <c r="O160" s="10">
        <f>REPT(" ",8)</f>
        <v/>
      </c>
      <c r="P160" s="10">
        <f>RIGHT($B$4,2)</f>
        <v/>
      </c>
      <c r="Q160" s="10">
        <f>RIGHT($B$5,3)</f>
        <v/>
      </c>
      <c r="R160" s="10">
        <f>IF(A160="D",LEFT(UPPER(B160)&amp;REPT(" ",20),20),REPT(" ",20))</f>
        <v/>
      </c>
      <c r="S160" s="10">
        <f>IF(A160="D",LEFT(UPPER(C160)&amp;REPT(" ",10),10)," ")</f>
        <v/>
      </c>
      <c r="T160" s="10">
        <f>IF(A160="D",LEFT(UPPER(D160)&amp;REPT(" ",2),2)," ")</f>
        <v/>
      </c>
      <c r="U160" s="10">
        <f>IF(A160="D",LEFT(UPPER(E160)&amp;REPT(" ",15),15)," ")</f>
        <v/>
      </c>
      <c r="V160" s="10">
        <f>REPT(" ",24)</f>
        <v/>
      </c>
      <c r="W160" s="10">
        <f>IF(A160="c",LEFT(UPPER(B160)&amp;REPT(" ",20),20),REPT(" ",20))</f>
        <v/>
      </c>
      <c r="X160" s="10">
        <f>IF(A160="C",LEFT(UPPER(C160)&amp;REPT(" ",10),10)," ")</f>
        <v/>
      </c>
      <c r="Y160" s="10">
        <f>IF(A160="C",LEFT(UPPER(D160)&amp;REPT(" ",2),2)," ")</f>
        <v/>
      </c>
      <c r="Z160" s="10">
        <f>IF(A160="C",LEFT(UPPER(E160)&amp;REPT(" ",15),15)," ")</f>
        <v/>
      </c>
      <c r="AA160" s="10">
        <f>REPT(" ",8)</f>
        <v/>
      </c>
      <c r="AB160" s="10">
        <f>REPT(" ",4)</f>
        <v/>
      </c>
      <c r="AC160" s="10">
        <f>LEFT(UPPER(H160)&amp;REPT(" ",250),250)</f>
        <v/>
      </c>
      <c r="AD160" s="10">
        <f>TEXT($G$2,"dd/mm/aaaa")</f>
        <v/>
      </c>
      <c r="AE160" s="10">
        <f>REPT(" ",10)</f>
        <v/>
      </c>
      <c r="AF160" s="10">
        <f>REPT(" ",20)</f>
        <v/>
      </c>
      <c r="AG160" s="54">
        <f>REPT(" ",18-LEN(FIXED(F160,2,TRUE)))&amp;FIXED(F160,2,TRUE)</f>
        <v/>
      </c>
      <c r="AH160" s="10">
        <f>LEN(AC160)+LEN(AG160)</f>
        <v/>
      </c>
      <c r="AI160" s="10">
        <f>LEN(L160)</f>
        <v/>
      </c>
    </row>
    <row r="161">
      <c r="A161" s="61" t="n"/>
      <c r="B161" s="64" t="n"/>
      <c r="C161" s="64" t="n"/>
      <c r="D161" s="62" t="n"/>
      <c r="E161" s="62" t="n"/>
      <c r="F161" s="87" t="n"/>
      <c r="H161" s="61" t="n"/>
      <c r="I161" s="42" t="n"/>
      <c r="J161" s="12">
        <f>IF(F161&lt;&gt;0,"LANÇAR","")</f>
        <v/>
      </c>
      <c r="K161" s="20" t="n"/>
      <c r="L161" s="13">
        <f>N161&amp;O161&amp;P161&amp;Q161&amp;R161&amp;S161&amp;T161&amp;U161&amp;V161&amp;W161&amp;X161&amp;Y161&amp;Z161&amp;AA161&amp;AB161&amp;AC161&amp;AD161&amp;AE161&amp;AF161&amp;AG161</f>
        <v/>
      </c>
      <c r="M161" s="20" t="n"/>
      <c r="N161" s="10">
        <f>TEXT($B$6,"00")</f>
        <v/>
      </c>
      <c r="O161" s="10">
        <f>REPT(" ",8)</f>
        <v/>
      </c>
      <c r="P161" s="10">
        <f>RIGHT($B$4,2)</f>
        <v/>
      </c>
      <c r="Q161" s="10">
        <f>RIGHT($B$5,3)</f>
        <v/>
      </c>
      <c r="R161" s="10">
        <f>IF(A161="D",LEFT(UPPER(B161)&amp;REPT(" ",20),20),REPT(" ",20))</f>
        <v/>
      </c>
      <c r="S161" s="10">
        <f>IF(A161="D",LEFT(UPPER(C161)&amp;REPT(" ",10),10)," ")</f>
        <v/>
      </c>
      <c r="T161" s="10">
        <f>IF(A161="D",LEFT(UPPER(D161)&amp;REPT(" ",2),2)," ")</f>
        <v/>
      </c>
      <c r="U161" s="10">
        <f>IF(A161="D",LEFT(UPPER(E161)&amp;REPT(" ",15),15)," ")</f>
        <v/>
      </c>
      <c r="V161" s="10">
        <f>REPT(" ",24)</f>
        <v/>
      </c>
      <c r="W161" s="10">
        <f>IF(A161="c",LEFT(UPPER(B161)&amp;REPT(" ",20),20),REPT(" ",20))</f>
        <v/>
      </c>
      <c r="X161" s="10">
        <f>IF(A161="C",LEFT(UPPER(C161)&amp;REPT(" ",10),10)," ")</f>
        <v/>
      </c>
      <c r="Y161" s="10">
        <f>IF(A161="C",LEFT(UPPER(D161)&amp;REPT(" ",2),2)," ")</f>
        <v/>
      </c>
      <c r="Z161" s="10">
        <f>IF(A161="C",LEFT(UPPER(E161)&amp;REPT(" ",15),15)," ")</f>
        <v/>
      </c>
      <c r="AA161" s="10">
        <f>REPT(" ",8)</f>
        <v/>
      </c>
      <c r="AB161" s="10">
        <f>REPT(" ",4)</f>
        <v/>
      </c>
      <c r="AC161" s="10">
        <f>LEFT(UPPER(H161)&amp;REPT(" ",250),250)</f>
        <v/>
      </c>
      <c r="AD161" s="10">
        <f>TEXT($G$2,"dd/mm/aaaa")</f>
        <v/>
      </c>
      <c r="AE161" s="10">
        <f>REPT(" ",10)</f>
        <v/>
      </c>
      <c r="AF161" s="10">
        <f>REPT(" ",20)</f>
        <v/>
      </c>
      <c r="AG161" s="54">
        <f>REPT(" ",18-LEN(FIXED(F161,2,TRUE)))&amp;FIXED(F161,2,TRUE)</f>
        <v/>
      </c>
      <c r="AH161" s="10">
        <f>LEN(AC161)+LEN(AG161)</f>
        <v/>
      </c>
      <c r="AI161" s="10">
        <f>LEN(L161)</f>
        <v/>
      </c>
    </row>
    <row r="162">
      <c r="A162" s="61" t="n"/>
      <c r="B162" s="64" t="n"/>
      <c r="C162" s="64" t="n"/>
      <c r="D162" s="62" t="n"/>
      <c r="E162" s="62" t="n"/>
      <c r="F162" s="87" t="n"/>
      <c r="H162" s="61" t="n"/>
      <c r="I162" s="42" t="n"/>
      <c r="J162" s="12">
        <f>IF(F162&lt;&gt;0,"LANÇAR","")</f>
        <v/>
      </c>
      <c r="K162" s="20" t="n"/>
      <c r="L162" s="13">
        <f>N162&amp;O162&amp;P162&amp;Q162&amp;R162&amp;S162&amp;T162&amp;U162&amp;V162&amp;W162&amp;X162&amp;Y162&amp;Z162&amp;AA162&amp;AB162&amp;AC162&amp;AD162&amp;AE162&amp;AF162&amp;AG162</f>
        <v/>
      </c>
      <c r="M162" s="20" t="n"/>
      <c r="N162" s="10">
        <f>TEXT($B$6,"00")</f>
        <v/>
      </c>
      <c r="O162" s="10">
        <f>REPT(" ",8)</f>
        <v/>
      </c>
      <c r="P162" s="10">
        <f>RIGHT($B$4,2)</f>
        <v/>
      </c>
      <c r="Q162" s="10">
        <f>RIGHT($B$5,3)</f>
        <v/>
      </c>
      <c r="R162" s="10">
        <f>IF(A162="D",LEFT(UPPER(B162)&amp;REPT(" ",20),20),REPT(" ",20))</f>
        <v/>
      </c>
      <c r="S162" s="10">
        <f>IF(A162="D",LEFT(UPPER(C162)&amp;REPT(" ",10),10)," ")</f>
        <v/>
      </c>
      <c r="T162" s="10">
        <f>IF(A162="D",LEFT(UPPER(D162)&amp;REPT(" ",2),2)," ")</f>
        <v/>
      </c>
      <c r="U162" s="10">
        <f>IF(A162="D",LEFT(UPPER(E162)&amp;REPT(" ",15),15)," ")</f>
        <v/>
      </c>
      <c r="V162" s="10">
        <f>REPT(" ",24)</f>
        <v/>
      </c>
      <c r="W162" s="10">
        <f>IF(A162="c",LEFT(UPPER(B162)&amp;REPT(" ",20),20),REPT(" ",20))</f>
        <v/>
      </c>
      <c r="X162" s="10">
        <f>IF(A162="C",LEFT(UPPER(C162)&amp;REPT(" ",10),10)," ")</f>
        <v/>
      </c>
      <c r="Y162" s="10">
        <f>IF(A162="C",LEFT(UPPER(D162)&amp;REPT(" ",2),2)," ")</f>
        <v/>
      </c>
      <c r="Z162" s="10">
        <f>IF(A162="C",LEFT(UPPER(E162)&amp;REPT(" ",15),15)," ")</f>
        <v/>
      </c>
      <c r="AA162" s="10">
        <f>REPT(" ",8)</f>
        <v/>
      </c>
      <c r="AB162" s="10">
        <f>REPT(" ",4)</f>
        <v/>
      </c>
      <c r="AC162" s="10">
        <f>LEFT(UPPER(H162)&amp;REPT(" ",250),250)</f>
        <v/>
      </c>
      <c r="AD162" s="10">
        <f>TEXT($G$2,"dd/mm/aaaa")</f>
        <v/>
      </c>
      <c r="AE162" s="10">
        <f>REPT(" ",10)</f>
        <v/>
      </c>
      <c r="AF162" s="10">
        <f>REPT(" ",20)</f>
        <v/>
      </c>
      <c r="AG162" s="54">
        <f>REPT(" ",18-LEN(FIXED(F162,2,TRUE)))&amp;FIXED(F162,2,TRUE)</f>
        <v/>
      </c>
      <c r="AH162" s="10">
        <f>LEN(AC162)+LEN(AG162)</f>
        <v/>
      </c>
      <c r="AI162" s="10">
        <f>LEN(L162)</f>
        <v/>
      </c>
    </row>
    <row r="163">
      <c r="A163" s="61" t="n"/>
      <c r="B163" s="64" t="n"/>
      <c r="C163" s="64" t="n"/>
      <c r="D163" s="62" t="n"/>
      <c r="E163" s="62" t="n"/>
      <c r="F163" s="87" t="n"/>
      <c r="H163" s="61" t="n"/>
      <c r="I163" s="42" t="n"/>
      <c r="J163" s="12">
        <f>IF(F163&lt;&gt;0,"LANÇAR","")</f>
        <v/>
      </c>
      <c r="K163" s="20" t="n"/>
      <c r="L163" s="13">
        <f>N163&amp;O163&amp;P163&amp;Q163&amp;R163&amp;S163&amp;T163&amp;U163&amp;V163&amp;W163&amp;X163&amp;Y163&amp;Z163&amp;AA163&amp;AB163&amp;AC163&amp;AD163&amp;AE163&amp;AF163&amp;AG163</f>
        <v/>
      </c>
      <c r="M163" s="20" t="n"/>
      <c r="N163" s="10">
        <f>TEXT($B$6,"00")</f>
        <v/>
      </c>
      <c r="O163" s="10">
        <f>REPT(" ",8)</f>
        <v/>
      </c>
      <c r="P163" s="10">
        <f>RIGHT($B$4,2)</f>
        <v/>
      </c>
      <c r="Q163" s="10">
        <f>RIGHT($B$5,3)</f>
        <v/>
      </c>
      <c r="R163" s="10">
        <f>IF(A163="D",LEFT(UPPER(B163)&amp;REPT(" ",20),20),REPT(" ",20))</f>
        <v/>
      </c>
      <c r="S163" s="10">
        <f>IF(A163="D",LEFT(UPPER(C163)&amp;REPT(" ",10),10)," ")</f>
        <v/>
      </c>
      <c r="T163" s="10">
        <f>IF(A163="D",LEFT(UPPER(D163)&amp;REPT(" ",2),2)," ")</f>
        <v/>
      </c>
      <c r="U163" s="10">
        <f>IF(A163="D",LEFT(UPPER(E163)&amp;REPT(" ",15),15)," ")</f>
        <v/>
      </c>
      <c r="V163" s="10">
        <f>REPT(" ",24)</f>
        <v/>
      </c>
      <c r="W163" s="10">
        <f>IF(A163="c",LEFT(UPPER(B163)&amp;REPT(" ",20),20),REPT(" ",20))</f>
        <v/>
      </c>
      <c r="X163" s="10">
        <f>IF(A163="C",LEFT(UPPER(C163)&amp;REPT(" ",10),10)," ")</f>
        <v/>
      </c>
      <c r="Y163" s="10">
        <f>IF(A163="C",LEFT(UPPER(D163)&amp;REPT(" ",2),2)," ")</f>
        <v/>
      </c>
      <c r="Z163" s="10">
        <f>IF(A163="C",LEFT(UPPER(E163)&amp;REPT(" ",15),15)," ")</f>
        <v/>
      </c>
      <c r="AA163" s="10">
        <f>REPT(" ",8)</f>
        <v/>
      </c>
      <c r="AB163" s="10">
        <f>REPT(" ",4)</f>
        <v/>
      </c>
      <c r="AC163" s="10">
        <f>LEFT(UPPER(H163)&amp;REPT(" ",250),250)</f>
        <v/>
      </c>
      <c r="AD163" s="10">
        <f>TEXT($G$2,"dd/mm/aaaa")</f>
        <v/>
      </c>
      <c r="AE163" s="10">
        <f>REPT(" ",10)</f>
        <v/>
      </c>
      <c r="AF163" s="10">
        <f>REPT(" ",20)</f>
        <v/>
      </c>
      <c r="AG163" s="54">
        <f>REPT(" ",18-LEN(FIXED(F163,2,TRUE)))&amp;FIXED(F163,2,TRUE)</f>
        <v/>
      </c>
      <c r="AH163" s="10">
        <f>LEN(AC163)+LEN(AG163)</f>
        <v/>
      </c>
      <c r="AI163" s="10">
        <f>LEN(L163)</f>
        <v/>
      </c>
    </row>
    <row r="164">
      <c r="A164" s="61" t="n"/>
      <c r="B164" s="64" t="n"/>
      <c r="C164" s="64" t="n"/>
      <c r="D164" s="62" t="n"/>
      <c r="E164" s="62" t="n"/>
      <c r="F164" s="87" t="n"/>
      <c r="H164" s="61" t="n"/>
      <c r="I164" s="42" t="n"/>
      <c r="J164" s="12">
        <f>IF(F164&lt;&gt;0,"LANÇAR","")</f>
        <v/>
      </c>
      <c r="K164" s="20" t="n"/>
      <c r="L164" s="13">
        <f>N164&amp;O164&amp;P164&amp;Q164&amp;R164&amp;S164&amp;T164&amp;U164&amp;V164&amp;W164&amp;X164&amp;Y164&amp;Z164&amp;AA164&amp;AB164&amp;AC164&amp;AD164&amp;AE164&amp;AF164&amp;AG164</f>
        <v/>
      </c>
      <c r="M164" s="20" t="n"/>
      <c r="N164" s="10">
        <f>TEXT($B$6,"00")</f>
        <v/>
      </c>
      <c r="O164" s="10">
        <f>REPT(" ",8)</f>
        <v/>
      </c>
      <c r="P164" s="10">
        <f>RIGHT($B$4,2)</f>
        <v/>
      </c>
      <c r="Q164" s="10">
        <f>RIGHT($B$5,3)</f>
        <v/>
      </c>
      <c r="R164" s="10">
        <f>IF(A164="D",LEFT(UPPER(B164)&amp;REPT(" ",20),20),REPT(" ",20))</f>
        <v/>
      </c>
      <c r="S164" s="10">
        <f>IF(A164="D",LEFT(UPPER(C164)&amp;REPT(" ",10),10)," ")</f>
        <v/>
      </c>
      <c r="T164" s="10">
        <f>IF(A164="D",LEFT(UPPER(D164)&amp;REPT(" ",2),2)," ")</f>
        <v/>
      </c>
      <c r="U164" s="10">
        <f>IF(A164="D",LEFT(UPPER(E164)&amp;REPT(" ",15),15)," ")</f>
        <v/>
      </c>
      <c r="V164" s="10">
        <f>REPT(" ",24)</f>
        <v/>
      </c>
      <c r="W164" s="10">
        <f>IF(A164="c",LEFT(UPPER(B164)&amp;REPT(" ",20),20),REPT(" ",20))</f>
        <v/>
      </c>
      <c r="X164" s="10">
        <f>IF(A164="C",LEFT(UPPER(C164)&amp;REPT(" ",10),10)," ")</f>
        <v/>
      </c>
      <c r="Y164" s="10">
        <f>IF(A164="C",LEFT(UPPER(D164)&amp;REPT(" ",2),2)," ")</f>
        <v/>
      </c>
      <c r="Z164" s="10">
        <f>IF(A164="C",LEFT(UPPER(E164)&amp;REPT(" ",15),15)," ")</f>
        <v/>
      </c>
      <c r="AA164" s="10">
        <f>REPT(" ",8)</f>
        <v/>
      </c>
      <c r="AB164" s="10">
        <f>REPT(" ",4)</f>
        <v/>
      </c>
      <c r="AC164" s="10">
        <f>LEFT(UPPER(H164)&amp;REPT(" ",250),250)</f>
        <v/>
      </c>
      <c r="AD164" s="10">
        <f>TEXT($G$2,"dd/mm/aaaa")</f>
        <v/>
      </c>
      <c r="AE164" s="10">
        <f>REPT(" ",10)</f>
        <v/>
      </c>
      <c r="AF164" s="10">
        <f>REPT(" ",20)</f>
        <v/>
      </c>
      <c r="AG164" s="54">
        <f>REPT(" ",18-LEN(FIXED(F164,2,TRUE)))&amp;FIXED(F164,2,TRUE)</f>
        <v/>
      </c>
      <c r="AH164" s="10">
        <f>LEN(AC164)+LEN(AG164)</f>
        <v/>
      </c>
      <c r="AI164" s="10">
        <f>LEN(L164)</f>
        <v/>
      </c>
    </row>
    <row r="165">
      <c r="A165" s="61" t="n"/>
      <c r="B165" s="64" t="n"/>
      <c r="C165" s="64" t="n"/>
      <c r="D165" s="62" t="n"/>
      <c r="E165" s="62" t="n"/>
      <c r="F165" s="87" t="n"/>
      <c r="H165" s="61" t="n"/>
      <c r="I165" s="42" t="n"/>
      <c r="J165" s="12">
        <f>IF(F165&lt;&gt;0,"LANÇAR","")</f>
        <v/>
      </c>
      <c r="K165" s="20" t="n"/>
      <c r="L165" s="13">
        <f>N165&amp;O165&amp;P165&amp;Q165&amp;R165&amp;S165&amp;T165&amp;U165&amp;V165&amp;W165&amp;X165&amp;Y165&amp;Z165&amp;AA165&amp;AB165&amp;AC165&amp;AD165&amp;AE165&amp;AF165&amp;AG165</f>
        <v/>
      </c>
      <c r="M165" s="20" t="n"/>
      <c r="N165" s="10">
        <f>TEXT($B$6,"00")</f>
        <v/>
      </c>
      <c r="O165" s="10">
        <f>REPT(" ",8)</f>
        <v/>
      </c>
      <c r="P165" s="10">
        <f>RIGHT($B$4,2)</f>
        <v/>
      </c>
      <c r="Q165" s="10">
        <f>RIGHT($B$5,3)</f>
        <v/>
      </c>
      <c r="R165" s="10">
        <f>IF(A165="D",LEFT(UPPER(B165)&amp;REPT(" ",20),20),REPT(" ",20))</f>
        <v/>
      </c>
      <c r="S165" s="10">
        <f>IF(A165="D",LEFT(UPPER(C165)&amp;REPT(" ",10),10)," ")</f>
        <v/>
      </c>
      <c r="T165" s="10">
        <f>IF(A165="D",LEFT(UPPER(D165)&amp;REPT(" ",2),2)," ")</f>
        <v/>
      </c>
      <c r="U165" s="10">
        <f>IF(A165="D",LEFT(UPPER(E165)&amp;REPT(" ",15),15)," ")</f>
        <v/>
      </c>
      <c r="V165" s="10">
        <f>REPT(" ",24)</f>
        <v/>
      </c>
      <c r="W165" s="10">
        <f>IF(A165="c",LEFT(UPPER(B165)&amp;REPT(" ",20),20),REPT(" ",20))</f>
        <v/>
      </c>
      <c r="X165" s="10">
        <f>IF(A165="C",LEFT(UPPER(C165)&amp;REPT(" ",10),10)," ")</f>
        <v/>
      </c>
      <c r="Y165" s="10">
        <f>IF(A165="C",LEFT(UPPER(D165)&amp;REPT(" ",2),2)," ")</f>
        <v/>
      </c>
      <c r="Z165" s="10">
        <f>IF(A165="C",LEFT(UPPER(E165)&amp;REPT(" ",15),15)," ")</f>
        <v/>
      </c>
      <c r="AA165" s="10">
        <f>REPT(" ",8)</f>
        <v/>
      </c>
      <c r="AB165" s="10">
        <f>REPT(" ",4)</f>
        <v/>
      </c>
      <c r="AC165" s="10">
        <f>LEFT(UPPER(H165)&amp;REPT(" ",250),250)</f>
        <v/>
      </c>
      <c r="AD165" s="10">
        <f>TEXT($G$2,"dd/mm/aaaa")</f>
        <v/>
      </c>
      <c r="AE165" s="10">
        <f>REPT(" ",10)</f>
        <v/>
      </c>
      <c r="AF165" s="10">
        <f>REPT(" ",20)</f>
        <v/>
      </c>
      <c r="AG165" s="54">
        <f>REPT(" ",18-LEN(FIXED(F165,2,TRUE)))&amp;FIXED(F165,2,TRUE)</f>
        <v/>
      </c>
      <c r="AH165" s="10">
        <f>LEN(AC165)+LEN(AG165)</f>
        <v/>
      </c>
      <c r="AI165" s="10">
        <f>LEN(L165)</f>
        <v/>
      </c>
    </row>
    <row r="166">
      <c r="A166" s="61" t="n"/>
      <c r="B166" s="64" t="n"/>
      <c r="C166" s="64" t="n"/>
      <c r="D166" s="62" t="n"/>
      <c r="E166" s="62" t="n"/>
      <c r="F166" s="87" t="n"/>
      <c r="H166" s="61" t="n"/>
      <c r="I166" s="42" t="n"/>
      <c r="J166" s="12">
        <f>IF(F166&lt;&gt;0,"LANÇAR","")</f>
        <v/>
      </c>
      <c r="K166" s="20" t="n"/>
      <c r="L166" s="13">
        <f>N166&amp;O166&amp;P166&amp;Q166&amp;R166&amp;S166&amp;T166&amp;U166&amp;V166&amp;W166&amp;X166&amp;Y166&amp;Z166&amp;AA166&amp;AB166&amp;AC166&amp;AD166&amp;AE166&amp;AF166&amp;AG166</f>
        <v/>
      </c>
      <c r="M166" s="20" t="n"/>
      <c r="N166" s="10">
        <f>TEXT($B$6,"00")</f>
        <v/>
      </c>
      <c r="O166" s="10">
        <f>REPT(" ",8)</f>
        <v/>
      </c>
      <c r="P166" s="10">
        <f>RIGHT($B$4,2)</f>
        <v/>
      </c>
      <c r="Q166" s="10">
        <f>RIGHT($B$5,3)</f>
        <v/>
      </c>
      <c r="R166" s="10">
        <f>IF(A166="D",LEFT(UPPER(B166)&amp;REPT(" ",20),20),REPT(" ",20))</f>
        <v/>
      </c>
      <c r="S166" s="10">
        <f>IF(A166="D",LEFT(UPPER(C166)&amp;REPT(" ",10),10)," ")</f>
        <v/>
      </c>
      <c r="T166" s="10">
        <f>IF(A166="D",LEFT(UPPER(D166)&amp;REPT(" ",2),2)," ")</f>
        <v/>
      </c>
      <c r="U166" s="10">
        <f>IF(A166="D",LEFT(UPPER(E166)&amp;REPT(" ",15),15)," ")</f>
        <v/>
      </c>
      <c r="V166" s="10">
        <f>REPT(" ",24)</f>
        <v/>
      </c>
      <c r="W166" s="10">
        <f>IF(A166="c",LEFT(UPPER(B166)&amp;REPT(" ",20),20),REPT(" ",20))</f>
        <v/>
      </c>
      <c r="X166" s="10">
        <f>IF(A166="C",LEFT(UPPER(C166)&amp;REPT(" ",10),10)," ")</f>
        <v/>
      </c>
      <c r="Y166" s="10">
        <f>IF(A166="C",LEFT(UPPER(D166)&amp;REPT(" ",2),2)," ")</f>
        <v/>
      </c>
      <c r="Z166" s="10">
        <f>IF(A166="C",LEFT(UPPER(E166)&amp;REPT(" ",15),15)," ")</f>
        <v/>
      </c>
      <c r="AA166" s="10">
        <f>REPT(" ",8)</f>
        <v/>
      </c>
      <c r="AB166" s="10">
        <f>REPT(" ",4)</f>
        <v/>
      </c>
      <c r="AC166" s="10">
        <f>LEFT(UPPER(H166)&amp;REPT(" ",250),250)</f>
        <v/>
      </c>
      <c r="AD166" s="10">
        <f>TEXT($G$2,"dd/mm/aaaa")</f>
        <v/>
      </c>
      <c r="AE166" s="10">
        <f>REPT(" ",10)</f>
        <v/>
      </c>
      <c r="AF166" s="10">
        <f>REPT(" ",20)</f>
        <v/>
      </c>
      <c r="AG166" s="54">
        <f>REPT(" ",18-LEN(FIXED(F166,2,TRUE)))&amp;FIXED(F166,2,TRUE)</f>
        <v/>
      </c>
      <c r="AH166" s="10">
        <f>LEN(AC166)+LEN(AG166)</f>
        <v/>
      </c>
      <c r="AI166" s="10">
        <f>LEN(L166)</f>
        <v/>
      </c>
    </row>
    <row r="167">
      <c r="A167" s="61" t="n"/>
      <c r="B167" s="64" t="n"/>
      <c r="C167" s="64" t="n"/>
      <c r="D167" s="62" t="n"/>
      <c r="E167" s="62" t="n"/>
      <c r="F167" s="87" t="n"/>
      <c r="H167" s="61" t="n"/>
      <c r="I167" s="42" t="n"/>
      <c r="J167" s="12">
        <f>IF(F167&lt;&gt;0,"LANÇAR","")</f>
        <v/>
      </c>
      <c r="K167" s="20" t="n"/>
      <c r="L167" s="13">
        <f>N167&amp;O167&amp;P167&amp;Q167&amp;R167&amp;S167&amp;T167&amp;U167&amp;V167&amp;W167&amp;X167&amp;Y167&amp;Z167&amp;AA167&amp;AB167&amp;AC167&amp;AD167&amp;AE167&amp;AF167&amp;AG167</f>
        <v/>
      </c>
      <c r="M167" s="20" t="n"/>
      <c r="N167" s="10">
        <f>TEXT($B$6,"00")</f>
        <v/>
      </c>
      <c r="O167" s="10">
        <f>REPT(" ",8)</f>
        <v/>
      </c>
      <c r="P167" s="10">
        <f>RIGHT($B$4,2)</f>
        <v/>
      </c>
      <c r="Q167" s="10">
        <f>RIGHT($B$5,3)</f>
        <v/>
      </c>
      <c r="R167" s="10">
        <f>IF(A167="D",LEFT(UPPER(B167)&amp;REPT(" ",20),20),REPT(" ",20))</f>
        <v/>
      </c>
      <c r="S167" s="10">
        <f>IF(A167="D",LEFT(UPPER(C167)&amp;REPT(" ",10),10)," ")</f>
        <v/>
      </c>
      <c r="T167" s="10">
        <f>IF(A167="D",LEFT(UPPER(D167)&amp;REPT(" ",2),2)," ")</f>
        <v/>
      </c>
      <c r="U167" s="10">
        <f>IF(A167="D",LEFT(UPPER(E167)&amp;REPT(" ",15),15)," ")</f>
        <v/>
      </c>
      <c r="V167" s="10">
        <f>REPT(" ",24)</f>
        <v/>
      </c>
      <c r="W167" s="10">
        <f>IF(A167="c",LEFT(UPPER(B167)&amp;REPT(" ",20),20),REPT(" ",20))</f>
        <v/>
      </c>
      <c r="X167" s="10">
        <f>IF(A167="C",LEFT(UPPER(C167)&amp;REPT(" ",10),10)," ")</f>
        <v/>
      </c>
      <c r="Y167" s="10">
        <f>IF(A167="C",LEFT(UPPER(D167)&amp;REPT(" ",2),2)," ")</f>
        <v/>
      </c>
      <c r="Z167" s="10">
        <f>IF(A167="C",LEFT(UPPER(E167)&amp;REPT(" ",15),15)," ")</f>
        <v/>
      </c>
      <c r="AA167" s="10">
        <f>REPT(" ",8)</f>
        <v/>
      </c>
      <c r="AB167" s="10">
        <f>REPT(" ",4)</f>
        <v/>
      </c>
      <c r="AC167" s="10">
        <f>LEFT(UPPER(H167)&amp;REPT(" ",250),250)</f>
        <v/>
      </c>
      <c r="AD167" s="10">
        <f>TEXT($G$2,"dd/mm/aaaa")</f>
        <v/>
      </c>
      <c r="AE167" s="10">
        <f>REPT(" ",10)</f>
        <v/>
      </c>
      <c r="AF167" s="10">
        <f>REPT(" ",20)</f>
        <v/>
      </c>
      <c r="AG167" s="54">
        <f>REPT(" ",18-LEN(FIXED(F167,2,TRUE)))&amp;FIXED(F167,2,TRUE)</f>
        <v/>
      </c>
      <c r="AH167" s="10">
        <f>LEN(AC167)+LEN(AG167)</f>
        <v/>
      </c>
      <c r="AI167" s="10">
        <f>LEN(L167)</f>
        <v/>
      </c>
    </row>
    <row r="168">
      <c r="A168" s="61" t="n"/>
      <c r="B168" s="64" t="n"/>
      <c r="C168" s="64" t="n"/>
      <c r="D168" s="62" t="n"/>
      <c r="E168" s="62" t="n"/>
      <c r="F168" s="87" t="n"/>
      <c r="H168" s="61" t="n"/>
      <c r="I168" s="42" t="n"/>
      <c r="J168" s="12">
        <f>IF(F168&lt;&gt;0,"LANÇAR","")</f>
        <v/>
      </c>
      <c r="K168" s="20" t="n"/>
      <c r="L168" s="13">
        <f>N168&amp;O168&amp;P168&amp;Q168&amp;R168&amp;S168&amp;T168&amp;U168&amp;V168&amp;W168&amp;X168&amp;Y168&amp;Z168&amp;AA168&amp;AB168&amp;AC168&amp;AD168&amp;AE168&amp;AF168&amp;AG168</f>
        <v/>
      </c>
      <c r="M168" s="20" t="n"/>
      <c r="N168" s="10">
        <f>TEXT($B$6,"00")</f>
        <v/>
      </c>
      <c r="O168" s="10">
        <f>REPT(" ",8)</f>
        <v/>
      </c>
      <c r="P168" s="10">
        <f>RIGHT($B$4,2)</f>
        <v/>
      </c>
      <c r="Q168" s="10">
        <f>RIGHT($B$5,3)</f>
        <v/>
      </c>
      <c r="R168" s="10">
        <f>IF(A168="D",LEFT(UPPER(B168)&amp;REPT(" ",20),20),REPT(" ",20))</f>
        <v/>
      </c>
      <c r="S168" s="10">
        <f>IF(A168="D",LEFT(UPPER(C168)&amp;REPT(" ",10),10)," ")</f>
        <v/>
      </c>
      <c r="T168" s="10">
        <f>IF(A168="D",LEFT(UPPER(D168)&amp;REPT(" ",2),2)," ")</f>
        <v/>
      </c>
      <c r="U168" s="10">
        <f>IF(A168="D",LEFT(UPPER(E168)&amp;REPT(" ",15),15)," ")</f>
        <v/>
      </c>
      <c r="V168" s="10">
        <f>REPT(" ",24)</f>
        <v/>
      </c>
      <c r="W168" s="10">
        <f>IF(A168="c",LEFT(UPPER(B168)&amp;REPT(" ",20),20),REPT(" ",20))</f>
        <v/>
      </c>
      <c r="X168" s="10">
        <f>IF(A168="C",LEFT(UPPER(C168)&amp;REPT(" ",10),10)," ")</f>
        <v/>
      </c>
      <c r="Y168" s="10">
        <f>IF(A168="C",LEFT(UPPER(D168)&amp;REPT(" ",2),2)," ")</f>
        <v/>
      </c>
      <c r="Z168" s="10">
        <f>IF(A168="C",LEFT(UPPER(E168)&amp;REPT(" ",15),15)," ")</f>
        <v/>
      </c>
      <c r="AA168" s="10">
        <f>REPT(" ",8)</f>
        <v/>
      </c>
      <c r="AB168" s="10">
        <f>REPT(" ",4)</f>
        <v/>
      </c>
      <c r="AC168" s="10">
        <f>LEFT(UPPER(H168)&amp;REPT(" ",250),250)</f>
        <v/>
      </c>
      <c r="AD168" s="10">
        <f>TEXT($G$2,"dd/mm/aaaa")</f>
        <v/>
      </c>
      <c r="AE168" s="10">
        <f>REPT(" ",10)</f>
        <v/>
      </c>
      <c r="AF168" s="10">
        <f>REPT(" ",20)</f>
        <v/>
      </c>
      <c r="AG168" s="54">
        <f>REPT(" ",18-LEN(FIXED(F168,2,TRUE)))&amp;FIXED(F168,2,TRUE)</f>
        <v/>
      </c>
      <c r="AH168" s="10">
        <f>LEN(AC168)+LEN(AG168)</f>
        <v/>
      </c>
      <c r="AI168" s="10">
        <f>LEN(L168)</f>
        <v/>
      </c>
    </row>
    <row r="169">
      <c r="A169" s="61" t="n"/>
      <c r="B169" s="64" t="n"/>
      <c r="C169" s="64" t="n"/>
      <c r="D169" s="62" t="n"/>
      <c r="E169" s="62" t="n"/>
      <c r="F169" s="87" t="n"/>
      <c r="H169" s="61" t="n"/>
      <c r="I169" s="42" t="n"/>
      <c r="J169" s="12">
        <f>IF(F169&lt;&gt;0,"LANÇAR","")</f>
        <v/>
      </c>
      <c r="K169" s="20" t="n"/>
      <c r="L169" s="13">
        <f>N169&amp;O169&amp;P169&amp;Q169&amp;R169&amp;S169&amp;T169&amp;U169&amp;V169&amp;W169&amp;X169&amp;Y169&amp;Z169&amp;AA169&amp;AB169&amp;AC169&amp;AD169&amp;AE169&amp;AF169&amp;AG169</f>
        <v/>
      </c>
      <c r="M169" s="20" t="n"/>
      <c r="N169" s="10">
        <f>TEXT($B$6,"00")</f>
        <v/>
      </c>
      <c r="O169" s="10">
        <f>REPT(" ",8)</f>
        <v/>
      </c>
      <c r="P169" s="10">
        <f>RIGHT($B$4,2)</f>
        <v/>
      </c>
      <c r="Q169" s="10">
        <f>RIGHT($B$5,3)</f>
        <v/>
      </c>
      <c r="R169" s="10">
        <f>IF(A169="D",LEFT(UPPER(B169)&amp;REPT(" ",20),20),REPT(" ",20))</f>
        <v/>
      </c>
      <c r="S169" s="10">
        <f>IF(A169="D",LEFT(UPPER(C169)&amp;REPT(" ",10),10)," ")</f>
        <v/>
      </c>
      <c r="T169" s="10">
        <f>IF(A169="D",LEFT(UPPER(D169)&amp;REPT(" ",2),2)," ")</f>
        <v/>
      </c>
      <c r="U169" s="10">
        <f>IF(A169="D",LEFT(UPPER(E169)&amp;REPT(" ",15),15)," ")</f>
        <v/>
      </c>
      <c r="V169" s="10">
        <f>REPT(" ",24)</f>
        <v/>
      </c>
      <c r="W169" s="10">
        <f>IF(A169="c",LEFT(UPPER(B169)&amp;REPT(" ",20),20),REPT(" ",20))</f>
        <v/>
      </c>
      <c r="X169" s="10">
        <f>IF(A169="C",LEFT(UPPER(C169)&amp;REPT(" ",10),10)," ")</f>
        <v/>
      </c>
      <c r="Y169" s="10">
        <f>IF(A169="C",LEFT(UPPER(D169)&amp;REPT(" ",2),2)," ")</f>
        <v/>
      </c>
      <c r="Z169" s="10">
        <f>IF(A169="C",LEFT(UPPER(E169)&amp;REPT(" ",15),15)," ")</f>
        <v/>
      </c>
      <c r="AA169" s="10">
        <f>REPT(" ",8)</f>
        <v/>
      </c>
      <c r="AB169" s="10">
        <f>REPT(" ",4)</f>
        <v/>
      </c>
      <c r="AC169" s="10">
        <f>LEFT(UPPER(H169)&amp;REPT(" ",250),250)</f>
        <v/>
      </c>
      <c r="AD169" s="10">
        <f>TEXT($G$2,"dd/mm/aaaa")</f>
        <v/>
      </c>
      <c r="AE169" s="10">
        <f>REPT(" ",10)</f>
        <v/>
      </c>
      <c r="AF169" s="10">
        <f>REPT(" ",20)</f>
        <v/>
      </c>
      <c r="AG169" s="54">
        <f>REPT(" ",18-LEN(FIXED(F169,2,TRUE)))&amp;FIXED(F169,2,TRUE)</f>
        <v/>
      </c>
      <c r="AH169" s="10">
        <f>LEN(AC169)+LEN(AG169)</f>
        <v/>
      </c>
      <c r="AI169" s="10">
        <f>LEN(L169)</f>
        <v/>
      </c>
    </row>
    <row r="170">
      <c r="A170" s="61" t="n"/>
      <c r="B170" s="64" t="n"/>
      <c r="C170" s="64" t="n"/>
      <c r="D170" s="62" t="n"/>
      <c r="E170" s="62" t="n"/>
      <c r="F170" s="87" t="n"/>
      <c r="H170" s="61" t="n"/>
      <c r="I170" s="42" t="n"/>
      <c r="J170" s="12">
        <f>IF(F170&lt;&gt;0,"LANÇAR","")</f>
        <v/>
      </c>
      <c r="K170" s="20" t="n"/>
      <c r="L170" s="13">
        <f>N170&amp;O170&amp;P170&amp;Q170&amp;R170&amp;S170&amp;T170&amp;U170&amp;V170&amp;W170&amp;X170&amp;Y170&amp;Z170&amp;AA170&amp;AB170&amp;AC170&amp;AD170&amp;AE170&amp;AF170&amp;AG170</f>
        <v/>
      </c>
      <c r="M170" s="20" t="n"/>
      <c r="N170" s="10">
        <f>TEXT($B$6,"00")</f>
        <v/>
      </c>
      <c r="O170" s="10">
        <f>REPT(" ",8)</f>
        <v/>
      </c>
      <c r="P170" s="10">
        <f>RIGHT($B$4,2)</f>
        <v/>
      </c>
      <c r="Q170" s="10">
        <f>RIGHT($B$5,3)</f>
        <v/>
      </c>
      <c r="R170" s="10">
        <f>IF(A170="D",LEFT(UPPER(B170)&amp;REPT(" ",20),20),REPT(" ",20))</f>
        <v/>
      </c>
      <c r="S170" s="10">
        <f>IF(A170="D",LEFT(UPPER(C170)&amp;REPT(" ",10),10)," ")</f>
        <v/>
      </c>
      <c r="T170" s="10">
        <f>IF(A170="D",LEFT(UPPER(D170)&amp;REPT(" ",2),2)," ")</f>
        <v/>
      </c>
      <c r="U170" s="10">
        <f>IF(A170="D",LEFT(UPPER(E170)&amp;REPT(" ",15),15)," ")</f>
        <v/>
      </c>
      <c r="V170" s="10">
        <f>REPT(" ",24)</f>
        <v/>
      </c>
      <c r="W170" s="10">
        <f>IF(A170="c",LEFT(UPPER(B170)&amp;REPT(" ",20),20),REPT(" ",20))</f>
        <v/>
      </c>
      <c r="X170" s="10">
        <f>IF(A170="C",LEFT(UPPER(C170)&amp;REPT(" ",10),10)," ")</f>
        <v/>
      </c>
      <c r="Y170" s="10">
        <f>IF(A170="C",LEFT(UPPER(D170)&amp;REPT(" ",2),2)," ")</f>
        <v/>
      </c>
      <c r="Z170" s="10">
        <f>IF(A170="C",LEFT(UPPER(E170)&amp;REPT(" ",15),15)," ")</f>
        <v/>
      </c>
      <c r="AA170" s="10">
        <f>REPT(" ",8)</f>
        <v/>
      </c>
      <c r="AB170" s="10">
        <f>REPT(" ",4)</f>
        <v/>
      </c>
      <c r="AC170" s="10">
        <f>LEFT(UPPER(H170)&amp;REPT(" ",250),250)</f>
        <v/>
      </c>
      <c r="AD170" s="10">
        <f>TEXT($G$2,"dd/mm/aaaa")</f>
        <v/>
      </c>
      <c r="AE170" s="10">
        <f>REPT(" ",10)</f>
        <v/>
      </c>
      <c r="AF170" s="10">
        <f>REPT(" ",20)</f>
        <v/>
      </c>
      <c r="AG170" s="54">
        <f>REPT(" ",18-LEN(FIXED(F170,2,TRUE)))&amp;FIXED(F170,2,TRUE)</f>
        <v/>
      </c>
      <c r="AH170" s="10">
        <f>LEN(AC170)+LEN(AG170)</f>
        <v/>
      </c>
      <c r="AI170" s="10">
        <f>LEN(L170)</f>
        <v/>
      </c>
    </row>
    <row r="171">
      <c r="A171" s="61" t="n"/>
      <c r="B171" s="64" t="n"/>
      <c r="C171" s="64" t="n"/>
      <c r="D171" s="62" t="n"/>
      <c r="E171" s="62" t="n"/>
      <c r="F171" s="87" t="n"/>
      <c r="H171" s="61" t="n"/>
      <c r="I171" s="42" t="n"/>
      <c r="J171" s="12">
        <f>IF(F171&lt;&gt;0,"LANÇAR","")</f>
        <v/>
      </c>
      <c r="K171" s="20" t="n"/>
      <c r="L171" s="13">
        <f>N171&amp;O171&amp;P171&amp;Q171&amp;R171&amp;S171&amp;T171&amp;U171&amp;V171&amp;W171&amp;X171&amp;Y171&amp;Z171&amp;AA171&amp;AB171&amp;AC171&amp;AD171&amp;AE171&amp;AF171&amp;AG171</f>
        <v/>
      </c>
      <c r="M171" s="20" t="n"/>
      <c r="N171" s="10">
        <f>TEXT($B$6,"00")</f>
        <v/>
      </c>
      <c r="O171" s="10">
        <f>REPT(" ",8)</f>
        <v/>
      </c>
      <c r="P171" s="10">
        <f>RIGHT($B$4,2)</f>
        <v/>
      </c>
      <c r="Q171" s="10">
        <f>RIGHT($B$5,3)</f>
        <v/>
      </c>
      <c r="R171" s="10">
        <f>IF(A171="D",LEFT(UPPER(B171)&amp;REPT(" ",20),20),REPT(" ",20))</f>
        <v/>
      </c>
      <c r="S171" s="10">
        <f>IF(A171="D",LEFT(UPPER(C171)&amp;REPT(" ",10),10)," ")</f>
        <v/>
      </c>
      <c r="T171" s="10">
        <f>IF(A171="D",LEFT(UPPER(D171)&amp;REPT(" ",2),2)," ")</f>
        <v/>
      </c>
      <c r="U171" s="10">
        <f>IF(A171="D",LEFT(UPPER(E171)&amp;REPT(" ",15),15)," ")</f>
        <v/>
      </c>
      <c r="V171" s="10">
        <f>REPT(" ",24)</f>
        <v/>
      </c>
      <c r="W171" s="10">
        <f>IF(A171="c",LEFT(UPPER(B171)&amp;REPT(" ",20),20),REPT(" ",20))</f>
        <v/>
      </c>
      <c r="X171" s="10">
        <f>IF(A171="C",LEFT(UPPER(C171)&amp;REPT(" ",10),10)," ")</f>
        <v/>
      </c>
      <c r="Y171" s="10">
        <f>IF(A171="C",LEFT(UPPER(D171)&amp;REPT(" ",2),2)," ")</f>
        <v/>
      </c>
      <c r="Z171" s="10">
        <f>IF(A171="C",LEFT(UPPER(E171)&amp;REPT(" ",15),15)," ")</f>
        <v/>
      </c>
      <c r="AA171" s="10">
        <f>REPT(" ",8)</f>
        <v/>
      </c>
      <c r="AB171" s="10">
        <f>REPT(" ",4)</f>
        <v/>
      </c>
      <c r="AC171" s="10">
        <f>LEFT(UPPER(H171)&amp;REPT(" ",250),250)</f>
        <v/>
      </c>
      <c r="AD171" s="10">
        <f>TEXT($G$2,"dd/mm/aaaa")</f>
        <v/>
      </c>
      <c r="AE171" s="10">
        <f>REPT(" ",10)</f>
        <v/>
      </c>
      <c r="AF171" s="10">
        <f>REPT(" ",20)</f>
        <v/>
      </c>
      <c r="AG171" s="54">
        <f>REPT(" ",18-LEN(FIXED(F171,2,TRUE)))&amp;FIXED(F171,2,TRUE)</f>
        <v/>
      </c>
      <c r="AH171" s="10">
        <f>LEN(AC171)+LEN(AG171)</f>
        <v/>
      </c>
      <c r="AI171" s="10">
        <f>LEN(L171)</f>
        <v/>
      </c>
    </row>
    <row r="172">
      <c r="A172" s="61" t="n"/>
      <c r="B172" s="64" t="n"/>
      <c r="C172" s="64" t="n"/>
      <c r="D172" s="62" t="n"/>
      <c r="E172" s="62" t="n"/>
      <c r="F172" s="87" t="n"/>
      <c r="H172" s="61" t="n"/>
      <c r="I172" s="42" t="n"/>
      <c r="J172" s="12">
        <f>IF(F172&lt;&gt;0,"LANÇAR","")</f>
        <v/>
      </c>
      <c r="K172" s="20" t="n"/>
      <c r="L172" s="13">
        <f>N172&amp;O172&amp;P172&amp;Q172&amp;R172&amp;S172&amp;T172&amp;U172&amp;V172&amp;W172&amp;X172&amp;Y172&amp;Z172&amp;AA172&amp;AB172&amp;AC172&amp;AD172&amp;AE172&amp;AF172&amp;AG172</f>
        <v/>
      </c>
      <c r="M172" s="20" t="n"/>
      <c r="N172" s="10">
        <f>TEXT($B$6,"00")</f>
        <v/>
      </c>
      <c r="O172" s="10">
        <f>REPT(" ",8)</f>
        <v/>
      </c>
      <c r="P172" s="10">
        <f>RIGHT($B$4,2)</f>
        <v/>
      </c>
      <c r="Q172" s="10">
        <f>RIGHT($B$5,3)</f>
        <v/>
      </c>
      <c r="R172" s="10">
        <f>IF(A172="D",LEFT(UPPER(B172)&amp;REPT(" ",20),20),REPT(" ",20))</f>
        <v/>
      </c>
      <c r="S172" s="10">
        <f>IF(A172="D",LEFT(UPPER(C172)&amp;REPT(" ",10),10)," ")</f>
        <v/>
      </c>
      <c r="T172" s="10">
        <f>IF(A172="D",LEFT(UPPER(D172)&amp;REPT(" ",2),2)," ")</f>
        <v/>
      </c>
      <c r="U172" s="10">
        <f>IF(A172="D",LEFT(UPPER(E172)&amp;REPT(" ",15),15)," ")</f>
        <v/>
      </c>
      <c r="V172" s="10">
        <f>REPT(" ",24)</f>
        <v/>
      </c>
      <c r="W172" s="10">
        <f>IF(A172="c",LEFT(UPPER(B172)&amp;REPT(" ",20),20),REPT(" ",20))</f>
        <v/>
      </c>
      <c r="X172" s="10">
        <f>IF(A172="C",LEFT(UPPER(C172)&amp;REPT(" ",10),10)," ")</f>
        <v/>
      </c>
      <c r="Y172" s="10">
        <f>IF(A172="C",LEFT(UPPER(D172)&amp;REPT(" ",2),2)," ")</f>
        <v/>
      </c>
      <c r="Z172" s="10">
        <f>IF(A172="C",LEFT(UPPER(E172)&amp;REPT(" ",15),15)," ")</f>
        <v/>
      </c>
      <c r="AA172" s="10">
        <f>REPT(" ",8)</f>
        <v/>
      </c>
      <c r="AB172" s="10">
        <f>REPT(" ",4)</f>
        <v/>
      </c>
      <c r="AC172" s="10">
        <f>LEFT(UPPER(H172)&amp;REPT(" ",250),250)</f>
        <v/>
      </c>
      <c r="AD172" s="10">
        <f>TEXT($G$2,"dd/mm/aaaa")</f>
        <v/>
      </c>
      <c r="AE172" s="10">
        <f>REPT(" ",10)</f>
        <v/>
      </c>
      <c r="AF172" s="10">
        <f>REPT(" ",20)</f>
        <v/>
      </c>
      <c r="AG172" s="54">
        <f>REPT(" ",18-LEN(FIXED(F172,2,TRUE)))&amp;FIXED(F172,2,TRUE)</f>
        <v/>
      </c>
      <c r="AH172" s="10">
        <f>LEN(AC172)+LEN(AG172)</f>
        <v/>
      </c>
      <c r="AI172" s="10">
        <f>LEN(L172)</f>
        <v/>
      </c>
    </row>
    <row r="173">
      <c r="A173" s="61" t="n"/>
      <c r="B173" s="64" t="n"/>
      <c r="C173" s="64" t="n"/>
      <c r="D173" s="62" t="n"/>
      <c r="E173" s="62" t="n"/>
      <c r="F173" s="87" t="n"/>
      <c r="H173" s="61" t="n"/>
      <c r="I173" s="42" t="n"/>
      <c r="J173" s="12">
        <f>IF(F173&lt;&gt;0,"LANÇAR","")</f>
        <v/>
      </c>
      <c r="K173" s="20" t="n"/>
      <c r="L173" s="13">
        <f>N173&amp;O173&amp;P173&amp;Q173&amp;R173&amp;S173&amp;T173&amp;U173&amp;V173&amp;W173&amp;X173&amp;Y173&amp;Z173&amp;AA173&amp;AB173&amp;AC173&amp;AD173&amp;AE173&amp;AF173&amp;AG173</f>
        <v/>
      </c>
      <c r="M173" s="20" t="n"/>
      <c r="N173" s="10">
        <f>TEXT($B$6,"00")</f>
        <v/>
      </c>
      <c r="O173" s="10">
        <f>REPT(" ",8)</f>
        <v/>
      </c>
      <c r="P173" s="10">
        <f>RIGHT($B$4,2)</f>
        <v/>
      </c>
      <c r="Q173" s="10">
        <f>RIGHT($B$5,3)</f>
        <v/>
      </c>
      <c r="R173" s="10">
        <f>IF(A173="D",LEFT(UPPER(B173)&amp;REPT(" ",20),20),REPT(" ",20))</f>
        <v/>
      </c>
      <c r="S173" s="10">
        <f>IF(A173="D",LEFT(UPPER(C173)&amp;REPT(" ",10),10)," ")</f>
        <v/>
      </c>
      <c r="T173" s="10">
        <f>IF(A173="D",LEFT(UPPER(D173)&amp;REPT(" ",2),2)," ")</f>
        <v/>
      </c>
      <c r="U173" s="10">
        <f>IF(A173="D",LEFT(UPPER(E173)&amp;REPT(" ",15),15)," ")</f>
        <v/>
      </c>
      <c r="V173" s="10">
        <f>REPT(" ",24)</f>
        <v/>
      </c>
      <c r="W173" s="10">
        <f>IF(A173="c",LEFT(UPPER(B173)&amp;REPT(" ",20),20),REPT(" ",20))</f>
        <v/>
      </c>
      <c r="X173" s="10">
        <f>IF(A173="C",LEFT(UPPER(C173)&amp;REPT(" ",10),10)," ")</f>
        <v/>
      </c>
      <c r="Y173" s="10">
        <f>IF(A173="C",LEFT(UPPER(D173)&amp;REPT(" ",2),2)," ")</f>
        <v/>
      </c>
      <c r="Z173" s="10">
        <f>IF(A173="C",LEFT(UPPER(E173)&amp;REPT(" ",15),15)," ")</f>
        <v/>
      </c>
      <c r="AA173" s="10">
        <f>REPT(" ",8)</f>
        <v/>
      </c>
      <c r="AB173" s="10">
        <f>REPT(" ",4)</f>
        <v/>
      </c>
      <c r="AC173" s="10">
        <f>LEFT(UPPER(H173)&amp;REPT(" ",250),250)</f>
        <v/>
      </c>
      <c r="AD173" s="10">
        <f>TEXT($G$2,"dd/mm/aaaa")</f>
        <v/>
      </c>
      <c r="AE173" s="10">
        <f>REPT(" ",10)</f>
        <v/>
      </c>
      <c r="AF173" s="10">
        <f>REPT(" ",20)</f>
        <v/>
      </c>
      <c r="AG173" s="54">
        <f>REPT(" ",18-LEN(FIXED(F173,2,TRUE)))&amp;FIXED(F173,2,TRUE)</f>
        <v/>
      </c>
      <c r="AH173" s="10">
        <f>LEN(AC173)+LEN(AG173)</f>
        <v/>
      </c>
      <c r="AI173" s="10">
        <f>LEN(L173)</f>
        <v/>
      </c>
    </row>
    <row r="174">
      <c r="A174" s="61" t="n"/>
      <c r="B174" s="64" t="n"/>
      <c r="C174" s="64" t="n"/>
      <c r="D174" s="62" t="n"/>
      <c r="E174" s="62" t="n"/>
      <c r="F174" s="87" t="n"/>
      <c r="H174" s="61" t="n"/>
      <c r="I174" s="42" t="n"/>
      <c r="J174" s="12">
        <f>IF(F174&lt;&gt;0,"LANÇAR","")</f>
        <v/>
      </c>
      <c r="K174" s="20" t="n"/>
      <c r="L174" s="13">
        <f>N174&amp;O174&amp;P174&amp;Q174&amp;R174&amp;S174&amp;T174&amp;U174&amp;V174&amp;W174&amp;X174&amp;Y174&amp;Z174&amp;AA174&amp;AB174&amp;AC174&amp;AD174&amp;AE174&amp;AF174&amp;AG174</f>
        <v/>
      </c>
      <c r="M174" s="20" t="n"/>
      <c r="N174" s="10">
        <f>TEXT($B$6,"00")</f>
        <v/>
      </c>
      <c r="O174" s="10">
        <f>REPT(" ",8)</f>
        <v/>
      </c>
      <c r="P174" s="10">
        <f>RIGHT($B$4,2)</f>
        <v/>
      </c>
      <c r="Q174" s="10">
        <f>RIGHT($B$5,3)</f>
        <v/>
      </c>
      <c r="R174" s="10">
        <f>IF(A174="D",LEFT(UPPER(B174)&amp;REPT(" ",20),20),REPT(" ",20))</f>
        <v/>
      </c>
      <c r="S174" s="10">
        <f>IF(A174="D",LEFT(UPPER(C174)&amp;REPT(" ",10),10)," ")</f>
        <v/>
      </c>
      <c r="T174" s="10">
        <f>IF(A174="D",LEFT(UPPER(D174)&amp;REPT(" ",2),2)," ")</f>
        <v/>
      </c>
      <c r="U174" s="10">
        <f>IF(A174="D",LEFT(UPPER(E174)&amp;REPT(" ",15),15)," ")</f>
        <v/>
      </c>
      <c r="V174" s="10">
        <f>REPT(" ",24)</f>
        <v/>
      </c>
      <c r="W174" s="10">
        <f>IF(A174="c",LEFT(UPPER(B174)&amp;REPT(" ",20),20),REPT(" ",20))</f>
        <v/>
      </c>
      <c r="X174" s="10">
        <f>IF(A174="C",LEFT(UPPER(C174)&amp;REPT(" ",10),10)," ")</f>
        <v/>
      </c>
      <c r="Y174" s="10">
        <f>IF(A174="C",LEFT(UPPER(D174)&amp;REPT(" ",2),2)," ")</f>
        <v/>
      </c>
      <c r="Z174" s="10">
        <f>IF(A174="C",LEFT(UPPER(E174)&amp;REPT(" ",15),15)," ")</f>
        <v/>
      </c>
      <c r="AA174" s="10">
        <f>REPT(" ",8)</f>
        <v/>
      </c>
      <c r="AB174" s="10">
        <f>REPT(" ",4)</f>
        <v/>
      </c>
      <c r="AC174" s="10">
        <f>LEFT(UPPER(H174)&amp;REPT(" ",250),250)</f>
        <v/>
      </c>
      <c r="AD174" s="10">
        <f>TEXT($G$2,"dd/mm/aaaa")</f>
        <v/>
      </c>
      <c r="AE174" s="10">
        <f>REPT(" ",10)</f>
        <v/>
      </c>
      <c r="AF174" s="10">
        <f>REPT(" ",20)</f>
        <v/>
      </c>
      <c r="AG174" s="54">
        <f>REPT(" ",18-LEN(FIXED(F174,2,TRUE)))&amp;FIXED(F174,2,TRUE)</f>
        <v/>
      </c>
      <c r="AH174" s="10">
        <f>LEN(AC174)+LEN(AG174)</f>
        <v/>
      </c>
      <c r="AI174" s="10">
        <f>LEN(L174)</f>
        <v/>
      </c>
    </row>
    <row r="175">
      <c r="A175" s="61" t="n"/>
      <c r="B175" s="64" t="n"/>
      <c r="C175" s="64" t="n"/>
      <c r="D175" s="62" t="n"/>
      <c r="E175" s="62" t="n"/>
      <c r="F175" s="87" t="n"/>
      <c r="H175" s="61" t="n"/>
      <c r="I175" s="42" t="n"/>
      <c r="J175" s="12">
        <f>IF(F175&lt;&gt;0,"LANÇAR","")</f>
        <v/>
      </c>
      <c r="K175" s="20" t="n"/>
      <c r="L175" s="13">
        <f>N175&amp;O175&amp;P175&amp;Q175&amp;R175&amp;S175&amp;T175&amp;U175&amp;V175&amp;W175&amp;X175&amp;Y175&amp;Z175&amp;AA175&amp;AB175&amp;AC175&amp;AD175&amp;AE175&amp;AF175&amp;AG175</f>
        <v/>
      </c>
      <c r="M175" s="20" t="n"/>
      <c r="N175" s="10">
        <f>TEXT($B$6,"00")</f>
        <v/>
      </c>
      <c r="O175" s="10">
        <f>REPT(" ",8)</f>
        <v/>
      </c>
      <c r="P175" s="10">
        <f>RIGHT($B$4,2)</f>
        <v/>
      </c>
      <c r="Q175" s="10">
        <f>RIGHT($B$5,3)</f>
        <v/>
      </c>
      <c r="R175" s="10">
        <f>IF(A175="D",LEFT(UPPER(B175)&amp;REPT(" ",20),20),REPT(" ",20))</f>
        <v/>
      </c>
      <c r="S175" s="10">
        <f>IF(A175="D",LEFT(UPPER(C175)&amp;REPT(" ",10),10)," ")</f>
        <v/>
      </c>
      <c r="T175" s="10">
        <f>IF(A175="D",LEFT(UPPER(D175)&amp;REPT(" ",2),2)," ")</f>
        <v/>
      </c>
      <c r="U175" s="10">
        <f>IF(A175="D",LEFT(UPPER(E175)&amp;REPT(" ",15),15)," ")</f>
        <v/>
      </c>
      <c r="V175" s="10">
        <f>REPT(" ",24)</f>
        <v/>
      </c>
      <c r="W175" s="10">
        <f>IF(A175="c",LEFT(UPPER(B175)&amp;REPT(" ",20),20),REPT(" ",20))</f>
        <v/>
      </c>
      <c r="X175" s="10">
        <f>IF(A175="C",LEFT(UPPER(C175)&amp;REPT(" ",10),10)," ")</f>
        <v/>
      </c>
      <c r="Y175" s="10">
        <f>IF(A175="C",LEFT(UPPER(D175)&amp;REPT(" ",2),2)," ")</f>
        <v/>
      </c>
      <c r="Z175" s="10">
        <f>IF(A175="C",LEFT(UPPER(E175)&amp;REPT(" ",15),15)," ")</f>
        <v/>
      </c>
      <c r="AA175" s="10">
        <f>REPT(" ",8)</f>
        <v/>
      </c>
      <c r="AB175" s="10">
        <f>REPT(" ",4)</f>
        <v/>
      </c>
      <c r="AC175" s="10">
        <f>LEFT(UPPER(H175)&amp;REPT(" ",250),250)</f>
        <v/>
      </c>
      <c r="AD175" s="10">
        <f>TEXT($G$2,"dd/mm/aaaa")</f>
        <v/>
      </c>
      <c r="AE175" s="10">
        <f>REPT(" ",10)</f>
        <v/>
      </c>
      <c r="AF175" s="10">
        <f>REPT(" ",20)</f>
        <v/>
      </c>
      <c r="AG175" s="54">
        <f>REPT(" ",18-LEN(FIXED(F175,2,TRUE)))&amp;FIXED(F175,2,TRUE)</f>
        <v/>
      </c>
      <c r="AH175" s="10">
        <f>LEN(AC175)+LEN(AG175)</f>
        <v/>
      </c>
      <c r="AI175" s="10">
        <f>LEN(L175)</f>
        <v/>
      </c>
    </row>
    <row r="176">
      <c r="A176" s="61" t="n"/>
      <c r="B176" s="64" t="n"/>
      <c r="C176" s="64" t="n"/>
      <c r="D176" s="62" t="n"/>
      <c r="E176" s="62" t="n"/>
      <c r="F176" s="87" t="n"/>
      <c r="H176" s="61" t="n"/>
      <c r="I176" s="42" t="n"/>
      <c r="J176" s="12">
        <f>IF(F176&lt;&gt;0,"LANÇAR","")</f>
        <v/>
      </c>
      <c r="K176" s="20" t="n"/>
      <c r="L176" s="13">
        <f>N176&amp;O176&amp;P176&amp;Q176&amp;R176&amp;S176&amp;T176&amp;U176&amp;V176&amp;W176&amp;X176&amp;Y176&amp;Z176&amp;AA176&amp;AB176&amp;AC176&amp;AD176&amp;AE176&amp;AF176&amp;AG176</f>
        <v/>
      </c>
      <c r="M176" s="20" t="n"/>
      <c r="N176" s="10">
        <f>TEXT($B$6,"00")</f>
        <v/>
      </c>
      <c r="O176" s="10">
        <f>REPT(" ",8)</f>
        <v/>
      </c>
      <c r="P176" s="10">
        <f>RIGHT($B$4,2)</f>
        <v/>
      </c>
      <c r="Q176" s="10">
        <f>RIGHT($B$5,3)</f>
        <v/>
      </c>
      <c r="R176" s="10">
        <f>IF(A176="D",LEFT(UPPER(B176)&amp;REPT(" ",20),20),REPT(" ",20))</f>
        <v/>
      </c>
      <c r="S176" s="10">
        <f>IF(A176="D",LEFT(UPPER(C176)&amp;REPT(" ",10),10)," ")</f>
        <v/>
      </c>
      <c r="T176" s="10">
        <f>IF(A176="D",LEFT(UPPER(D176)&amp;REPT(" ",2),2)," ")</f>
        <v/>
      </c>
      <c r="U176" s="10">
        <f>IF(A176="D",LEFT(UPPER(E176)&amp;REPT(" ",15),15)," ")</f>
        <v/>
      </c>
      <c r="V176" s="10">
        <f>REPT(" ",24)</f>
        <v/>
      </c>
      <c r="W176" s="10">
        <f>IF(A176="c",LEFT(UPPER(B176)&amp;REPT(" ",20),20),REPT(" ",20))</f>
        <v/>
      </c>
      <c r="X176" s="10">
        <f>IF(A176="C",LEFT(UPPER(C176)&amp;REPT(" ",10),10)," ")</f>
        <v/>
      </c>
      <c r="Y176" s="10">
        <f>IF(A176="C",LEFT(UPPER(D176)&amp;REPT(" ",2),2)," ")</f>
        <v/>
      </c>
      <c r="Z176" s="10">
        <f>IF(A176="C",LEFT(UPPER(E176)&amp;REPT(" ",15),15)," ")</f>
        <v/>
      </c>
      <c r="AA176" s="10">
        <f>REPT(" ",8)</f>
        <v/>
      </c>
      <c r="AB176" s="10">
        <f>REPT(" ",4)</f>
        <v/>
      </c>
      <c r="AC176" s="10">
        <f>LEFT(UPPER(H176)&amp;REPT(" ",250),250)</f>
        <v/>
      </c>
      <c r="AD176" s="10">
        <f>TEXT($G$2,"dd/mm/aaaa")</f>
        <v/>
      </c>
      <c r="AE176" s="10">
        <f>REPT(" ",10)</f>
        <v/>
      </c>
      <c r="AF176" s="10">
        <f>REPT(" ",20)</f>
        <v/>
      </c>
      <c r="AG176" s="54">
        <f>REPT(" ",18-LEN(FIXED(F176,2,TRUE)))&amp;FIXED(F176,2,TRUE)</f>
        <v/>
      </c>
      <c r="AH176" s="10">
        <f>LEN(AC176)+LEN(AG176)</f>
        <v/>
      </c>
      <c r="AI176" s="10">
        <f>LEN(L176)</f>
        <v/>
      </c>
    </row>
    <row r="177">
      <c r="A177" s="61" t="n"/>
      <c r="B177" s="64" t="n"/>
      <c r="C177" s="64" t="n"/>
      <c r="D177" s="62" t="n"/>
      <c r="E177" s="62" t="n"/>
      <c r="F177" s="87" t="n"/>
      <c r="H177" s="61" t="n"/>
      <c r="I177" s="42" t="n"/>
      <c r="J177" s="12">
        <f>IF(F177&lt;&gt;0,"LANÇAR","")</f>
        <v/>
      </c>
      <c r="K177" s="20" t="n"/>
      <c r="L177" s="13">
        <f>N177&amp;O177&amp;P177&amp;Q177&amp;R177&amp;S177&amp;T177&amp;U177&amp;V177&amp;W177&amp;X177&amp;Y177&amp;Z177&amp;AA177&amp;AB177&amp;AC177&amp;AD177&amp;AE177&amp;AF177&amp;AG177</f>
        <v/>
      </c>
      <c r="M177" s="20" t="n"/>
      <c r="N177" s="10">
        <f>TEXT($B$6,"00")</f>
        <v/>
      </c>
      <c r="O177" s="10">
        <f>REPT(" ",8)</f>
        <v/>
      </c>
      <c r="P177" s="10">
        <f>RIGHT($B$4,2)</f>
        <v/>
      </c>
      <c r="Q177" s="10">
        <f>RIGHT($B$5,3)</f>
        <v/>
      </c>
      <c r="R177" s="10">
        <f>IF(A177="D",LEFT(UPPER(B177)&amp;REPT(" ",20),20),REPT(" ",20))</f>
        <v/>
      </c>
      <c r="S177" s="10">
        <f>IF(A177="D",LEFT(UPPER(C177)&amp;REPT(" ",10),10)," ")</f>
        <v/>
      </c>
      <c r="T177" s="10">
        <f>IF(A177="D",LEFT(UPPER(D177)&amp;REPT(" ",2),2)," ")</f>
        <v/>
      </c>
      <c r="U177" s="10">
        <f>IF(A177="D",LEFT(UPPER(E177)&amp;REPT(" ",15),15)," ")</f>
        <v/>
      </c>
      <c r="V177" s="10">
        <f>REPT(" ",24)</f>
        <v/>
      </c>
      <c r="W177" s="10">
        <f>IF(A177="c",LEFT(UPPER(B177)&amp;REPT(" ",20),20),REPT(" ",20))</f>
        <v/>
      </c>
      <c r="X177" s="10">
        <f>IF(A177="C",LEFT(UPPER(C177)&amp;REPT(" ",10),10)," ")</f>
        <v/>
      </c>
      <c r="Y177" s="10">
        <f>IF(A177="C",LEFT(UPPER(D177)&amp;REPT(" ",2),2)," ")</f>
        <v/>
      </c>
      <c r="Z177" s="10">
        <f>IF(A177="C",LEFT(UPPER(E177)&amp;REPT(" ",15),15)," ")</f>
        <v/>
      </c>
      <c r="AA177" s="10">
        <f>REPT(" ",8)</f>
        <v/>
      </c>
      <c r="AB177" s="10">
        <f>REPT(" ",4)</f>
        <v/>
      </c>
      <c r="AC177" s="10">
        <f>LEFT(UPPER(H177)&amp;REPT(" ",250),250)</f>
        <v/>
      </c>
      <c r="AD177" s="10">
        <f>TEXT($G$2,"dd/mm/aaaa")</f>
        <v/>
      </c>
      <c r="AE177" s="10">
        <f>REPT(" ",10)</f>
        <v/>
      </c>
      <c r="AF177" s="10">
        <f>REPT(" ",20)</f>
        <v/>
      </c>
      <c r="AG177" s="54">
        <f>REPT(" ",18-LEN(FIXED(F177,2,TRUE)))&amp;FIXED(F177,2,TRUE)</f>
        <v/>
      </c>
      <c r="AH177" s="10">
        <f>LEN(AC177)+LEN(AG177)</f>
        <v/>
      </c>
      <c r="AI177" s="10">
        <f>LEN(L177)</f>
        <v/>
      </c>
    </row>
    <row r="178">
      <c r="A178" s="61" t="n"/>
      <c r="B178" s="64" t="n"/>
      <c r="C178" s="64" t="n"/>
      <c r="D178" s="62" t="n"/>
      <c r="E178" s="62" t="n"/>
      <c r="F178" s="87" t="n"/>
      <c r="H178" s="61" t="n"/>
      <c r="I178" s="42" t="n"/>
      <c r="J178" s="12">
        <f>IF(F178&lt;&gt;0,"LANÇAR","")</f>
        <v/>
      </c>
      <c r="K178" s="20" t="n"/>
      <c r="L178" s="13">
        <f>N178&amp;O178&amp;P178&amp;Q178&amp;R178&amp;S178&amp;T178&amp;U178&amp;V178&amp;W178&amp;X178&amp;Y178&amp;Z178&amp;AA178&amp;AB178&amp;AC178&amp;AD178&amp;AE178&amp;AF178&amp;AG178</f>
        <v/>
      </c>
      <c r="M178" s="20" t="n"/>
      <c r="N178" s="10">
        <f>TEXT($B$6,"00")</f>
        <v/>
      </c>
      <c r="O178" s="10">
        <f>REPT(" ",8)</f>
        <v/>
      </c>
      <c r="P178" s="10">
        <f>RIGHT($B$4,2)</f>
        <v/>
      </c>
      <c r="Q178" s="10">
        <f>RIGHT($B$5,3)</f>
        <v/>
      </c>
      <c r="R178" s="10">
        <f>IF(A178="D",LEFT(UPPER(B178)&amp;REPT(" ",20),20),REPT(" ",20))</f>
        <v/>
      </c>
      <c r="S178" s="10">
        <f>IF(A178="D",LEFT(UPPER(C178)&amp;REPT(" ",10),10)," ")</f>
        <v/>
      </c>
      <c r="T178" s="10">
        <f>IF(A178="D",LEFT(UPPER(D178)&amp;REPT(" ",2),2)," ")</f>
        <v/>
      </c>
      <c r="U178" s="10">
        <f>IF(A178="D",LEFT(UPPER(E178)&amp;REPT(" ",15),15)," ")</f>
        <v/>
      </c>
      <c r="V178" s="10">
        <f>REPT(" ",24)</f>
        <v/>
      </c>
      <c r="W178" s="10">
        <f>IF(A178="c",LEFT(UPPER(B178)&amp;REPT(" ",20),20),REPT(" ",20))</f>
        <v/>
      </c>
      <c r="X178" s="10">
        <f>IF(A178="C",LEFT(UPPER(C178)&amp;REPT(" ",10),10)," ")</f>
        <v/>
      </c>
      <c r="Y178" s="10">
        <f>IF(A178="C",LEFT(UPPER(D178)&amp;REPT(" ",2),2)," ")</f>
        <v/>
      </c>
      <c r="Z178" s="10">
        <f>IF(A178="C",LEFT(UPPER(E178)&amp;REPT(" ",15),15)," ")</f>
        <v/>
      </c>
      <c r="AA178" s="10">
        <f>REPT(" ",8)</f>
        <v/>
      </c>
      <c r="AB178" s="10">
        <f>REPT(" ",4)</f>
        <v/>
      </c>
      <c r="AC178" s="10">
        <f>LEFT(UPPER(H178)&amp;REPT(" ",250),250)</f>
        <v/>
      </c>
      <c r="AD178" s="10">
        <f>TEXT($G$2,"dd/mm/aaaa")</f>
        <v/>
      </c>
      <c r="AE178" s="10">
        <f>REPT(" ",10)</f>
        <v/>
      </c>
      <c r="AF178" s="10">
        <f>REPT(" ",20)</f>
        <v/>
      </c>
      <c r="AG178" s="54">
        <f>REPT(" ",18-LEN(FIXED(F178,2,TRUE)))&amp;FIXED(F178,2,TRUE)</f>
        <v/>
      </c>
      <c r="AH178" s="10">
        <f>LEN(AC178)+LEN(AG178)</f>
        <v/>
      </c>
      <c r="AI178" s="10">
        <f>LEN(L178)</f>
        <v/>
      </c>
    </row>
    <row r="179">
      <c r="A179" s="61" t="n"/>
      <c r="B179" s="64" t="n"/>
      <c r="C179" s="64" t="n"/>
      <c r="D179" s="62" t="n"/>
      <c r="E179" s="62" t="n"/>
      <c r="F179" s="87" t="n"/>
      <c r="H179" s="61" t="n"/>
      <c r="I179" s="42" t="n"/>
      <c r="J179" s="12">
        <f>IF(F179&lt;&gt;0,"LANÇAR","")</f>
        <v/>
      </c>
      <c r="K179" s="20" t="n"/>
      <c r="L179" s="13">
        <f>N179&amp;O179&amp;P179&amp;Q179&amp;R179&amp;S179&amp;T179&amp;U179&amp;V179&amp;W179&amp;X179&amp;Y179&amp;Z179&amp;AA179&amp;AB179&amp;AC179&amp;AD179&amp;AE179&amp;AF179&amp;AG179</f>
        <v/>
      </c>
      <c r="M179" s="20" t="n"/>
      <c r="N179" s="10">
        <f>TEXT($B$6,"00")</f>
        <v/>
      </c>
      <c r="O179" s="10">
        <f>REPT(" ",8)</f>
        <v/>
      </c>
      <c r="P179" s="10">
        <f>RIGHT($B$4,2)</f>
        <v/>
      </c>
      <c r="Q179" s="10">
        <f>RIGHT($B$5,3)</f>
        <v/>
      </c>
      <c r="R179" s="10">
        <f>IF(A179="D",LEFT(UPPER(B179)&amp;REPT(" ",20),20),REPT(" ",20))</f>
        <v/>
      </c>
      <c r="S179" s="10">
        <f>IF(A179="D",LEFT(UPPER(C179)&amp;REPT(" ",10),10)," ")</f>
        <v/>
      </c>
      <c r="T179" s="10">
        <f>IF(A179="D",LEFT(UPPER(D179)&amp;REPT(" ",2),2)," ")</f>
        <v/>
      </c>
      <c r="U179" s="10">
        <f>IF(A179="D",LEFT(UPPER(E179)&amp;REPT(" ",15),15)," ")</f>
        <v/>
      </c>
      <c r="V179" s="10">
        <f>REPT(" ",24)</f>
        <v/>
      </c>
      <c r="W179" s="10">
        <f>IF(A179="c",LEFT(UPPER(B179)&amp;REPT(" ",20),20),REPT(" ",20))</f>
        <v/>
      </c>
      <c r="X179" s="10">
        <f>IF(A179="C",LEFT(UPPER(C179)&amp;REPT(" ",10),10)," ")</f>
        <v/>
      </c>
      <c r="Y179" s="10">
        <f>IF(A179="C",LEFT(UPPER(D179)&amp;REPT(" ",2),2)," ")</f>
        <v/>
      </c>
      <c r="Z179" s="10">
        <f>IF(A179="C",LEFT(UPPER(E179)&amp;REPT(" ",15),15)," ")</f>
        <v/>
      </c>
      <c r="AA179" s="10">
        <f>REPT(" ",8)</f>
        <v/>
      </c>
      <c r="AB179" s="10">
        <f>REPT(" ",4)</f>
        <v/>
      </c>
      <c r="AC179" s="10">
        <f>LEFT(UPPER(H179)&amp;REPT(" ",250),250)</f>
        <v/>
      </c>
      <c r="AD179" s="10">
        <f>TEXT($G$2,"dd/mm/aaaa")</f>
        <v/>
      </c>
      <c r="AE179" s="10">
        <f>REPT(" ",10)</f>
        <v/>
      </c>
      <c r="AF179" s="10">
        <f>REPT(" ",20)</f>
        <v/>
      </c>
      <c r="AG179" s="54">
        <f>REPT(" ",18-LEN(FIXED(F179,2,TRUE)))&amp;FIXED(F179,2,TRUE)</f>
        <v/>
      </c>
      <c r="AH179" s="10">
        <f>LEN(AC179)+LEN(AG179)</f>
        <v/>
      </c>
      <c r="AI179" s="10">
        <f>LEN(L179)</f>
        <v/>
      </c>
    </row>
    <row r="180">
      <c r="A180" s="61" t="n"/>
      <c r="B180" s="64" t="n"/>
      <c r="C180" s="64" t="n"/>
      <c r="D180" s="62" t="n"/>
      <c r="E180" s="62" t="n"/>
      <c r="F180" s="87" t="n"/>
      <c r="H180" s="61" t="n"/>
      <c r="I180" s="42" t="n"/>
      <c r="J180" s="12">
        <f>IF(F180&lt;&gt;0,"LANÇAR","")</f>
        <v/>
      </c>
      <c r="K180" s="20" t="n"/>
      <c r="L180" s="13">
        <f>N180&amp;O180&amp;P180&amp;Q180&amp;R180&amp;S180&amp;T180&amp;U180&amp;V180&amp;W180&amp;X180&amp;Y180&amp;Z180&amp;AA180&amp;AB180&amp;AC180&amp;AD180&amp;AE180&amp;AF180&amp;AG180</f>
        <v/>
      </c>
      <c r="M180" s="20" t="n"/>
      <c r="N180" s="10">
        <f>TEXT($B$6,"00")</f>
        <v/>
      </c>
      <c r="O180" s="10">
        <f>REPT(" ",8)</f>
        <v/>
      </c>
      <c r="P180" s="10">
        <f>RIGHT($B$4,2)</f>
        <v/>
      </c>
      <c r="Q180" s="10">
        <f>RIGHT($B$5,3)</f>
        <v/>
      </c>
      <c r="R180" s="10">
        <f>IF(A180="D",LEFT(UPPER(B180)&amp;REPT(" ",20),20),REPT(" ",20))</f>
        <v/>
      </c>
      <c r="S180" s="10">
        <f>IF(A180="D",LEFT(UPPER(C180)&amp;REPT(" ",10),10)," ")</f>
        <v/>
      </c>
      <c r="T180" s="10">
        <f>IF(A180="D",LEFT(UPPER(D180)&amp;REPT(" ",2),2)," ")</f>
        <v/>
      </c>
      <c r="U180" s="10">
        <f>IF(A180="D",LEFT(UPPER(E180)&amp;REPT(" ",15),15)," ")</f>
        <v/>
      </c>
      <c r="V180" s="10">
        <f>REPT(" ",24)</f>
        <v/>
      </c>
      <c r="W180" s="10">
        <f>IF(A180="c",LEFT(UPPER(B180)&amp;REPT(" ",20),20),REPT(" ",20))</f>
        <v/>
      </c>
      <c r="X180" s="10">
        <f>IF(A180="C",LEFT(UPPER(C180)&amp;REPT(" ",10),10)," ")</f>
        <v/>
      </c>
      <c r="Y180" s="10">
        <f>IF(A180="C",LEFT(UPPER(D180)&amp;REPT(" ",2),2)," ")</f>
        <v/>
      </c>
      <c r="Z180" s="10">
        <f>IF(A180="C",LEFT(UPPER(E180)&amp;REPT(" ",15),15)," ")</f>
        <v/>
      </c>
      <c r="AA180" s="10">
        <f>REPT(" ",8)</f>
        <v/>
      </c>
      <c r="AB180" s="10">
        <f>REPT(" ",4)</f>
        <v/>
      </c>
      <c r="AC180" s="10">
        <f>LEFT(UPPER(H180)&amp;REPT(" ",250),250)</f>
        <v/>
      </c>
      <c r="AD180" s="10">
        <f>TEXT($G$2,"dd/mm/aaaa")</f>
        <v/>
      </c>
      <c r="AE180" s="10">
        <f>REPT(" ",10)</f>
        <v/>
      </c>
      <c r="AF180" s="10">
        <f>REPT(" ",20)</f>
        <v/>
      </c>
      <c r="AG180" s="54">
        <f>REPT(" ",18-LEN(FIXED(F180,2,TRUE)))&amp;FIXED(F180,2,TRUE)</f>
        <v/>
      </c>
      <c r="AH180" s="10">
        <f>LEN(AC180)+LEN(AG180)</f>
        <v/>
      </c>
      <c r="AI180" s="10">
        <f>LEN(L180)</f>
        <v/>
      </c>
    </row>
    <row r="181">
      <c r="A181" s="61" t="n"/>
      <c r="B181" s="64" t="n"/>
      <c r="C181" s="64" t="n"/>
      <c r="D181" s="62" t="n"/>
      <c r="E181" s="62" t="n"/>
      <c r="F181" s="87" t="n"/>
      <c r="H181" s="61" t="n"/>
      <c r="I181" s="42" t="n"/>
      <c r="J181" s="12">
        <f>IF(F181&lt;&gt;0,"LANÇAR","")</f>
        <v/>
      </c>
      <c r="K181" s="20" t="n"/>
      <c r="L181" s="13">
        <f>N181&amp;O181&amp;P181&amp;Q181&amp;R181&amp;S181&amp;T181&amp;U181&amp;V181&amp;W181&amp;X181&amp;Y181&amp;Z181&amp;AA181&amp;AB181&amp;AC181&amp;AD181&amp;AE181&amp;AF181&amp;AG181</f>
        <v/>
      </c>
      <c r="M181" s="20" t="n"/>
      <c r="N181" s="10">
        <f>TEXT($B$6,"00")</f>
        <v/>
      </c>
      <c r="O181" s="10">
        <f>REPT(" ",8)</f>
        <v/>
      </c>
      <c r="P181" s="10">
        <f>RIGHT($B$4,2)</f>
        <v/>
      </c>
      <c r="Q181" s="10">
        <f>RIGHT($B$5,3)</f>
        <v/>
      </c>
      <c r="R181" s="10">
        <f>IF(A181="D",LEFT(UPPER(B181)&amp;REPT(" ",20),20),REPT(" ",20))</f>
        <v/>
      </c>
      <c r="S181" s="10">
        <f>IF(A181="D",LEFT(UPPER(C181)&amp;REPT(" ",10),10)," ")</f>
        <v/>
      </c>
      <c r="T181" s="10">
        <f>IF(A181="D",LEFT(UPPER(D181)&amp;REPT(" ",2),2)," ")</f>
        <v/>
      </c>
      <c r="U181" s="10">
        <f>IF(A181="D",LEFT(UPPER(E181)&amp;REPT(" ",15),15)," ")</f>
        <v/>
      </c>
      <c r="V181" s="10">
        <f>REPT(" ",24)</f>
        <v/>
      </c>
      <c r="W181" s="10">
        <f>IF(A181="c",LEFT(UPPER(B181)&amp;REPT(" ",20),20),REPT(" ",20))</f>
        <v/>
      </c>
      <c r="X181" s="10">
        <f>IF(A181="C",LEFT(UPPER(C181)&amp;REPT(" ",10),10)," ")</f>
        <v/>
      </c>
      <c r="Y181" s="10">
        <f>IF(A181="C",LEFT(UPPER(D181)&amp;REPT(" ",2),2)," ")</f>
        <v/>
      </c>
      <c r="Z181" s="10">
        <f>IF(A181="C",LEFT(UPPER(E181)&amp;REPT(" ",15),15)," ")</f>
        <v/>
      </c>
      <c r="AA181" s="10">
        <f>REPT(" ",8)</f>
        <v/>
      </c>
      <c r="AB181" s="10">
        <f>REPT(" ",4)</f>
        <v/>
      </c>
      <c r="AC181" s="10">
        <f>LEFT(UPPER(H181)&amp;REPT(" ",250),250)</f>
        <v/>
      </c>
      <c r="AD181" s="10">
        <f>TEXT($G$2,"dd/mm/aaaa")</f>
        <v/>
      </c>
      <c r="AE181" s="10">
        <f>REPT(" ",10)</f>
        <v/>
      </c>
      <c r="AF181" s="10">
        <f>REPT(" ",20)</f>
        <v/>
      </c>
      <c r="AG181" s="54">
        <f>REPT(" ",18-LEN(FIXED(F181,2,TRUE)))&amp;FIXED(F181,2,TRUE)</f>
        <v/>
      </c>
      <c r="AH181" s="10">
        <f>LEN(AC181)+LEN(AG181)</f>
        <v/>
      </c>
      <c r="AI181" s="10">
        <f>LEN(L181)</f>
        <v/>
      </c>
    </row>
    <row r="182">
      <c r="A182" s="61" t="n"/>
      <c r="B182" s="64" t="n"/>
      <c r="C182" s="64" t="n"/>
      <c r="D182" s="62" t="n"/>
      <c r="E182" s="62" t="n"/>
      <c r="F182" s="87" t="n"/>
      <c r="H182" s="61" t="n"/>
      <c r="I182" s="42" t="n"/>
      <c r="J182" s="12">
        <f>IF(F182&lt;&gt;0,"LANÇAR","")</f>
        <v/>
      </c>
      <c r="K182" s="20" t="n"/>
      <c r="L182" s="13">
        <f>N182&amp;O182&amp;P182&amp;Q182&amp;R182&amp;S182&amp;T182&amp;U182&amp;V182&amp;W182&amp;X182&amp;Y182&amp;Z182&amp;AA182&amp;AB182&amp;AC182&amp;AD182&amp;AE182&amp;AF182&amp;AG182</f>
        <v/>
      </c>
      <c r="M182" s="20" t="n"/>
      <c r="N182" s="10">
        <f>TEXT($B$6,"00")</f>
        <v/>
      </c>
      <c r="O182" s="10">
        <f>REPT(" ",8)</f>
        <v/>
      </c>
      <c r="P182" s="10">
        <f>RIGHT($B$4,2)</f>
        <v/>
      </c>
      <c r="Q182" s="10">
        <f>RIGHT($B$5,3)</f>
        <v/>
      </c>
      <c r="R182" s="10">
        <f>IF(A182="D",LEFT(UPPER(B182)&amp;REPT(" ",20),20),REPT(" ",20))</f>
        <v/>
      </c>
      <c r="S182" s="10">
        <f>IF(A182="D",LEFT(UPPER(C182)&amp;REPT(" ",10),10)," ")</f>
        <v/>
      </c>
      <c r="T182" s="10">
        <f>IF(A182="D",LEFT(UPPER(D182)&amp;REPT(" ",2),2)," ")</f>
        <v/>
      </c>
      <c r="U182" s="10">
        <f>IF(A182="D",LEFT(UPPER(E182)&amp;REPT(" ",15),15)," ")</f>
        <v/>
      </c>
      <c r="V182" s="10">
        <f>REPT(" ",24)</f>
        <v/>
      </c>
      <c r="W182" s="10">
        <f>IF(A182="c",LEFT(UPPER(B182)&amp;REPT(" ",20),20),REPT(" ",20))</f>
        <v/>
      </c>
      <c r="X182" s="10">
        <f>IF(A182="C",LEFT(UPPER(C182)&amp;REPT(" ",10),10)," ")</f>
        <v/>
      </c>
      <c r="Y182" s="10">
        <f>IF(A182="C",LEFT(UPPER(D182)&amp;REPT(" ",2),2)," ")</f>
        <v/>
      </c>
      <c r="Z182" s="10">
        <f>IF(A182="C",LEFT(UPPER(E182)&amp;REPT(" ",15),15)," ")</f>
        <v/>
      </c>
      <c r="AA182" s="10">
        <f>REPT(" ",8)</f>
        <v/>
      </c>
      <c r="AB182" s="10">
        <f>REPT(" ",4)</f>
        <v/>
      </c>
      <c r="AC182" s="10">
        <f>LEFT(UPPER(H182)&amp;REPT(" ",250),250)</f>
        <v/>
      </c>
      <c r="AD182" s="10">
        <f>TEXT($G$2,"dd/mm/aaaa")</f>
        <v/>
      </c>
      <c r="AE182" s="10">
        <f>REPT(" ",10)</f>
        <v/>
      </c>
      <c r="AF182" s="10">
        <f>REPT(" ",20)</f>
        <v/>
      </c>
      <c r="AG182" s="54">
        <f>REPT(" ",18-LEN(FIXED(F182,2,TRUE)))&amp;FIXED(F182,2,TRUE)</f>
        <v/>
      </c>
      <c r="AH182" s="10">
        <f>LEN(AC182)+LEN(AG182)</f>
        <v/>
      </c>
      <c r="AI182" s="10">
        <f>LEN(L182)</f>
        <v/>
      </c>
    </row>
    <row r="183">
      <c r="A183" s="61" t="n"/>
      <c r="B183" s="64" t="n"/>
      <c r="C183" s="64" t="n"/>
      <c r="D183" s="62" t="n"/>
      <c r="E183" s="62" t="n"/>
      <c r="F183" s="87" t="n"/>
      <c r="H183" s="61" t="n"/>
      <c r="I183" s="42" t="n"/>
      <c r="J183" s="12">
        <f>IF(F183&lt;&gt;0,"LANÇAR","")</f>
        <v/>
      </c>
      <c r="K183" s="20" t="n"/>
      <c r="L183" s="13">
        <f>N183&amp;O183&amp;P183&amp;Q183&amp;R183&amp;S183&amp;T183&amp;U183&amp;V183&amp;W183&amp;X183&amp;Y183&amp;Z183&amp;AA183&amp;AB183&amp;AC183&amp;AD183&amp;AE183&amp;AF183&amp;AG183</f>
        <v/>
      </c>
      <c r="M183" s="20" t="n"/>
      <c r="N183" s="10">
        <f>TEXT($B$6,"00")</f>
        <v/>
      </c>
      <c r="O183" s="10">
        <f>REPT(" ",8)</f>
        <v/>
      </c>
      <c r="P183" s="10">
        <f>RIGHT($B$4,2)</f>
        <v/>
      </c>
      <c r="Q183" s="10">
        <f>RIGHT($B$5,3)</f>
        <v/>
      </c>
      <c r="R183" s="10">
        <f>IF(A183="D",LEFT(UPPER(B183)&amp;REPT(" ",20),20),REPT(" ",20))</f>
        <v/>
      </c>
      <c r="S183" s="10">
        <f>IF(A183="D",LEFT(UPPER(C183)&amp;REPT(" ",10),10)," ")</f>
        <v/>
      </c>
      <c r="T183" s="10">
        <f>IF(A183="D",LEFT(UPPER(D183)&amp;REPT(" ",2),2)," ")</f>
        <v/>
      </c>
      <c r="U183" s="10">
        <f>IF(A183="D",LEFT(UPPER(E183)&amp;REPT(" ",15),15)," ")</f>
        <v/>
      </c>
      <c r="V183" s="10">
        <f>REPT(" ",24)</f>
        <v/>
      </c>
      <c r="W183" s="10">
        <f>IF(A183="c",LEFT(UPPER(B183)&amp;REPT(" ",20),20),REPT(" ",20))</f>
        <v/>
      </c>
      <c r="X183" s="10">
        <f>IF(A183="C",LEFT(UPPER(C183)&amp;REPT(" ",10),10)," ")</f>
        <v/>
      </c>
      <c r="Y183" s="10">
        <f>IF(A183="C",LEFT(UPPER(D183)&amp;REPT(" ",2),2)," ")</f>
        <v/>
      </c>
      <c r="Z183" s="10">
        <f>IF(A183="C",LEFT(UPPER(E183)&amp;REPT(" ",15),15)," ")</f>
        <v/>
      </c>
      <c r="AA183" s="10">
        <f>REPT(" ",8)</f>
        <v/>
      </c>
      <c r="AB183" s="10">
        <f>REPT(" ",4)</f>
        <v/>
      </c>
      <c r="AC183" s="10">
        <f>LEFT(UPPER(H183)&amp;REPT(" ",250),250)</f>
        <v/>
      </c>
      <c r="AD183" s="10">
        <f>TEXT($G$2,"dd/mm/aaaa")</f>
        <v/>
      </c>
      <c r="AE183" s="10">
        <f>REPT(" ",10)</f>
        <v/>
      </c>
      <c r="AF183" s="10">
        <f>REPT(" ",20)</f>
        <v/>
      </c>
      <c r="AG183" s="54">
        <f>REPT(" ",18-LEN(FIXED(F183,2,TRUE)))&amp;FIXED(F183,2,TRUE)</f>
        <v/>
      </c>
      <c r="AH183" s="10">
        <f>LEN(AC183)+LEN(AG183)</f>
        <v/>
      </c>
      <c r="AI183" s="10">
        <f>LEN(L183)</f>
        <v/>
      </c>
    </row>
    <row r="184">
      <c r="A184" s="61" t="n"/>
      <c r="B184" s="64" t="n"/>
      <c r="C184" s="64" t="n"/>
      <c r="D184" s="62" t="n"/>
      <c r="E184" s="62" t="n"/>
      <c r="F184" s="87" t="n"/>
      <c r="H184" s="61" t="n"/>
      <c r="I184" s="42" t="n"/>
      <c r="J184" s="12">
        <f>IF(F184&lt;&gt;0,"LANÇAR","")</f>
        <v/>
      </c>
      <c r="K184" s="20" t="n"/>
      <c r="L184" s="13">
        <f>N184&amp;O184&amp;P184&amp;Q184&amp;R184&amp;S184&amp;T184&amp;U184&amp;V184&amp;W184&amp;X184&amp;Y184&amp;Z184&amp;AA184&amp;AB184&amp;AC184&amp;AD184&amp;AE184&amp;AF184&amp;AG184</f>
        <v/>
      </c>
      <c r="M184" s="20" t="n"/>
      <c r="N184" s="10">
        <f>TEXT($B$6,"00")</f>
        <v/>
      </c>
      <c r="O184" s="10">
        <f>REPT(" ",8)</f>
        <v/>
      </c>
      <c r="P184" s="10">
        <f>RIGHT($B$4,2)</f>
        <v/>
      </c>
      <c r="Q184" s="10">
        <f>RIGHT($B$5,3)</f>
        <v/>
      </c>
      <c r="R184" s="10">
        <f>IF(A184="D",LEFT(UPPER(B184)&amp;REPT(" ",20),20),REPT(" ",20))</f>
        <v/>
      </c>
      <c r="S184" s="10">
        <f>IF(A184="D",LEFT(UPPER(C184)&amp;REPT(" ",10),10)," ")</f>
        <v/>
      </c>
      <c r="T184" s="10">
        <f>IF(A184="D",LEFT(UPPER(D184)&amp;REPT(" ",2),2)," ")</f>
        <v/>
      </c>
      <c r="U184" s="10">
        <f>IF(A184="D",LEFT(UPPER(E184)&amp;REPT(" ",15),15)," ")</f>
        <v/>
      </c>
      <c r="V184" s="10">
        <f>REPT(" ",24)</f>
        <v/>
      </c>
      <c r="W184" s="10">
        <f>IF(A184="c",LEFT(UPPER(B184)&amp;REPT(" ",20),20),REPT(" ",20))</f>
        <v/>
      </c>
      <c r="X184" s="10">
        <f>IF(A184="C",LEFT(UPPER(C184)&amp;REPT(" ",10),10)," ")</f>
        <v/>
      </c>
      <c r="Y184" s="10">
        <f>IF(A184="C",LEFT(UPPER(D184)&amp;REPT(" ",2),2)," ")</f>
        <v/>
      </c>
      <c r="Z184" s="10">
        <f>IF(A184="C",LEFT(UPPER(E184)&amp;REPT(" ",15),15)," ")</f>
        <v/>
      </c>
      <c r="AA184" s="10">
        <f>REPT(" ",8)</f>
        <v/>
      </c>
      <c r="AB184" s="10">
        <f>REPT(" ",4)</f>
        <v/>
      </c>
      <c r="AC184" s="10">
        <f>LEFT(UPPER(H184)&amp;REPT(" ",250),250)</f>
        <v/>
      </c>
      <c r="AD184" s="10">
        <f>TEXT($G$2,"dd/mm/aaaa")</f>
        <v/>
      </c>
      <c r="AE184" s="10">
        <f>REPT(" ",10)</f>
        <v/>
      </c>
      <c r="AF184" s="10">
        <f>REPT(" ",20)</f>
        <v/>
      </c>
      <c r="AG184" s="54">
        <f>REPT(" ",18-LEN(FIXED(F184,2,TRUE)))&amp;FIXED(F184,2,TRUE)</f>
        <v/>
      </c>
      <c r="AH184" s="10">
        <f>LEN(AC184)+LEN(AG184)</f>
        <v/>
      </c>
      <c r="AI184" s="10">
        <f>LEN(L184)</f>
        <v/>
      </c>
    </row>
    <row r="185">
      <c r="A185" s="61" t="n"/>
      <c r="B185" s="64" t="n"/>
      <c r="C185" s="64" t="n"/>
      <c r="D185" s="62" t="n"/>
      <c r="E185" s="62" t="n"/>
      <c r="F185" s="87" t="n"/>
      <c r="H185" s="61" t="n"/>
      <c r="I185" s="42" t="n"/>
      <c r="J185" s="12">
        <f>IF(F185&lt;&gt;0,"LANÇAR","")</f>
        <v/>
      </c>
      <c r="K185" s="20" t="n"/>
      <c r="L185" s="13">
        <f>N185&amp;O185&amp;P185&amp;Q185&amp;R185&amp;S185&amp;T185&amp;U185&amp;V185&amp;W185&amp;X185&amp;Y185&amp;Z185&amp;AA185&amp;AB185&amp;AC185&amp;AD185&amp;AE185&amp;AF185&amp;AG185</f>
        <v/>
      </c>
      <c r="M185" s="20" t="n"/>
      <c r="N185" s="10">
        <f>TEXT($B$6,"00")</f>
        <v/>
      </c>
      <c r="O185" s="10">
        <f>REPT(" ",8)</f>
        <v/>
      </c>
      <c r="P185" s="10">
        <f>RIGHT($B$4,2)</f>
        <v/>
      </c>
      <c r="Q185" s="10">
        <f>RIGHT($B$5,3)</f>
        <v/>
      </c>
      <c r="R185" s="10">
        <f>IF(A185="D",LEFT(UPPER(B185)&amp;REPT(" ",20),20),REPT(" ",20))</f>
        <v/>
      </c>
      <c r="S185" s="10">
        <f>IF(A185="D",LEFT(UPPER(C185)&amp;REPT(" ",10),10)," ")</f>
        <v/>
      </c>
      <c r="T185" s="10">
        <f>IF(A185="D",LEFT(UPPER(D185)&amp;REPT(" ",2),2)," ")</f>
        <v/>
      </c>
      <c r="U185" s="10">
        <f>IF(A185="D",LEFT(UPPER(E185)&amp;REPT(" ",15),15)," ")</f>
        <v/>
      </c>
      <c r="V185" s="10">
        <f>REPT(" ",24)</f>
        <v/>
      </c>
      <c r="W185" s="10">
        <f>IF(A185="c",LEFT(UPPER(B185)&amp;REPT(" ",20),20),REPT(" ",20))</f>
        <v/>
      </c>
      <c r="X185" s="10">
        <f>IF(A185="C",LEFT(UPPER(C185)&amp;REPT(" ",10),10)," ")</f>
        <v/>
      </c>
      <c r="Y185" s="10">
        <f>IF(A185="C",LEFT(UPPER(D185)&amp;REPT(" ",2),2)," ")</f>
        <v/>
      </c>
      <c r="Z185" s="10">
        <f>IF(A185="C",LEFT(UPPER(E185)&amp;REPT(" ",15),15)," ")</f>
        <v/>
      </c>
      <c r="AA185" s="10">
        <f>REPT(" ",8)</f>
        <v/>
      </c>
      <c r="AB185" s="10">
        <f>REPT(" ",4)</f>
        <v/>
      </c>
      <c r="AC185" s="10">
        <f>LEFT(UPPER(H185)&amp;REPT(" ",250),250)</f>
        <v/>
      </c>
      <c r="AD185" s="10">
        <f>TEXT($G$2,"dd/mm/aaaa")</f>
        <v/>
      </c>
      <c r="AE185" s="10">
        <f>REPT(" ",10)</f>
        <v/>
      </c>
      <c r="AF185" s="10">
        <f>REPT(" ",20)</f>
        <v/>
      </c>
      <c r="AG185" s="54">
        <f>REPT(" ",18-LEN(FIXED(F185,2,TRUE)))&amp;FIXED(F185,2,TRUE)</f>
        <v/>
      </c>
      <c r="AH185" s="10">
        <f>LEN(AC185)+LEN(AG185)</f>
        <v/>
      </c>
      <c r="AI185" s="10">
        <f>LEN(L185)</f>
        <v/>
      </c>
    </row>
    <row r="186">
      <c r="A186" s="61" t="n"/>
      <c r="B186" s="64" t="n"/>
      <c r="C186" s="64" t="n"/>
      <c r="D186" s="62" t="n"/>
      <c r="E186" s="62" t="n"/>
      <c r="F186" s="87" t="n"/>
      <c r="H186" s="61" t="n"/>
      <c r="I186" s="42" t="n"/>
      <c r="J186" s="12">
        <f>IF(F186&lt;&gt;0,"LANÇAR","")</f>
        <v/>
      </c>
      <c r="K186" s="20" t="n"/>
      <c r="L186" s="13">
        <f>N186&amp;O186&amp;P186&amp;Q186&amp;R186&amp;S186&amp;T186&amp;U186&amp;V186&amp;W186&amp;X186&amp;Y186&amp;Z186&amp;AA186&amp;AB186&amp;AC186&amp;AD186&amp;AE186&amp;AF186&amp;AG186</f>
        <v/>
      </c>
      <c r="M186" s="20" t="n"/>
      <c r="N186" s="10">
        <f>TEXT($B$6,"00")</f>
        <v/>
      </c>
      <c r="O186" s="10">
        <f>REPT(" ",8)</f>
        <v/>
      </c>
      <c r="P186" s="10">
        <f>RIGHT($B$4,2)</f>
        <v/>
      </c>
      <c r="Q186" s="10">
        <f>RIGHT($B$5,3)</f>
        <v/>
      </c>
      <c r="R186" s="10">
        <f>IF(A186="D",LEFT(UPPER(B186)&amp;REPT(" ",20),20),REPT(" ",20))</f>
        <v/>
      </c>
      <c r="S186" s="10">
        <f>IF(A186="D",LEFT(UPPER(C186)&amp;REPT(" ",10),10)," ")</f>
        <v/>
      </c>
      <c r="T186" s="10">
        <f>IF(A186="D",LEFT(UPPER(D186)&amp;REPT(" ",2),2)," ")</f>
        <v/>
      </c>
      <c r="U186" s="10">
        <f>IF(A186="D",LEFT(UPPER(E186)&amp;REPT(" ",15),15)," ")</f>
        <v/>
      </c>
      <c r="V186" s="10">
        <f>REPT(" ",24)</f>
        <v/>
      </c>
      <c r="W186" s="10">
        <f>IF(A186="c",LEFT(UPPER(B186)&amp;REPT(" ",20),20),REPT(" ",20))</f>
        <v/>
      </c>
      <c r="X186" s="10">
        <f>IF(A186="C",LEFT(UPPER(C186)&amp;REPT(" ",10),10)," ")</f>
        <v/>
      </c>
      <c r="Y186" s="10">
        <f>IF(A186="C",LEFT(UPPER(D186)&amp;REPT(" ",2),2)," ")</f>
        <v/>
      </c>
      <c r="Z186" s="10">
        <f>IF(A186="C",LEFT(UPPER(E186)&amp;REPT(" ",15),15)," ")</f>
        <v/>
      </c>
      <c r="AA186" s="10">
        <f>REPT(" ",8)</f>
        <v/>
      </c>
      <c r="AB186" s="10">
        <f>REPT(" ",4)</f>
        <v/>
      </c>
      <c r="AC186" s="10">
        <f>LEFT(UPPER(H186)&amp;REPT(" ",250),250)</f>
        <v/>
      </c>
      <c r="AD186" s="10">
        <f>TEXT($G$2,"dd/mm/aaaa")</f>
        <v/>
      </c>
      <c r="AE186" s="10">
        <f>REPT(" ",10)</f>
        <v/>
      </c>
      <c r="AF186" s="10">
        <f>REPT(" ",20)</f>
        <v/>
      </c>
      <c r="AG186" s="54">
        <f>REPT(" ",18-LEN(FIXED(F186,2,TRUE)))&amp;FIXED(F186,2,TRUE)</f>
        <v/>
      </c>
      <c r="AH186" s="10">
        <f>LEN(AC186)+LEN(AG186)</f>
        <v/>
      </c>
      <c r="AI186" s="10">
        <f>LEN(L186)</f>
        <v/>
      </c>
    </row>
    <row r="187">
      <c r="A187" s="61" t="n"/>
      <c r="B187" s="64" t="n"/>
      <c r="C187" s="64" t="n"/>
      <c r="D187" s="62" t="n"/>
      <c r="E187" s="62" t="n"/>
      <c r="F187" s="87" t="n"/>
      <c r="H187" s="61" t="n"/>
      <c r="I187" s="42" t="n"/>
      <c r="J187" s="12">
        <f>IF(F187&lt;&gt;0,"LANÇAR","")</f>
        <v/>
      </c>
      <c r="K187" s="20" t="n"/>
      <c r="L187" s="13">
        <f>N187&amp;O187&amp;P187&amp;Q187&amp;R187&amp;S187&amp;T187&amp;U187&amp;V187&amp;W187&amp;X187&amp;Y187&amp;Z187&amp;AA187&amp;AB187&amp;AC187&amp;AD187&amp;AE187&amp;AF187&amp;AG187</f>
        <v/>
      </c>
      <c r="M187" s="20" t="n"/>
      <c r="N187" s="10">
        <f>TEXT($B$6,"00")</f>
        <v/>
      </c>
      <c r="O187" s="10">
        <f>REPT(" ",8)</f>
        <v/>
      </c>
      <c r="P187" s="10">
        <f>RIGHT($B$4,2)</f>
        <v/>
      </c>
      <c r="Q187" s="10">
        <f>RIGHT($B$5,3)</f>
        <v/>
      </c>
      <c r="R187" s="10">
        <f>IF(A187="D",LEFT(UPPER(B187)&amp;REPT(" ",20),20),REPT(" ",20))</f>
        <v/>
      </c>
      <c r="S187" s="10">
        <f>IF(A187="D",LEFT(UPPER(C187)&amp;REPT(" ",10),10)," ")</f>
        <v/>
      </c>
      <c r="T187" s="10">
        <f>IF(A187="D",LEFT(UPPER(D187)&amp;REPT(" ",2),2)," ")</f>
        <v/>
      </c>
      <c r="U187" s="10">
        <f>IF(A187="D",LEFT(UPPER(E187)&amp;REPT(" ",15),15)," ")</f>
        <v/>
      </c>
      <c r="V187" s="10">
        <f>REPT(" ",24)</f>
        <v/>
      </c>
      <c r="W187" s="10">
        <f>IF(A187="c",LEFT(UPPER(B187)&amp;REPT(" ",20),20),REPT(" ",20))</f>
        <v/>
      </c>
      <c r="X187" s="10">
        <f>IF(A187="C",LEFT(UPPER(C187)&amp;REPT(" ",10),10)," ")</f>
        <v/>
      </c>
      <c r="Y187" s="10">
        <f>IF(A187="C",LEFT(UPPER(D187)&amp;REPT(" ",2),2)," ")</f>
        <v/>
      </c>
      <c r="Z187" s="10">
        <f>IF(A187="C",LEFT(UPPER(E187)&amp;REPT(" ",15),15)," ")</f>
        <v/>
      </c>
      <c r="AA187" s="10">
        <f>REPT(" ",8)</f>
        <v/>
      </c>
      <c r="AB187" s="10">
        <f>REPT(" ",4)</f>
        <v/>
      </c>
      <c r="AC187" s="10">
        <f>LEFT(UPPER(H187)&amp;REPT(" ",250),250)</f>
        <v/>
      </c>
      <c r="AD187" s="10">
        <f>TEXT($G$2,"dd/mm/aaaa")</f>
        <v/>
      </c>
      <c r="AE187" s="10">
        <f>REPT(" ",10)</f>
        <v/>
      </c>
      <c r="AF187" s="10">
        <f>REPT(" ",20)</f>
        <v/>
      </c>
      <c r="AG187" s="54">
        <f>REPT(" ",18-LEN(FIXED(F187,2,TRUE)))&amp;FIXED(F187,2,TRUE)</f>
        <v/>
      </c>
      <c r="AH187" s="10">
        <f>LEN(AC187)+LEN(AG187)</f>
        <v/>
      </c>
      <c r="AI187" s="10">
        <f>LEN(L187)</f>
        <v/>
      </c>
    </row>
    <row r="188">
      <c r="A188" s="61" t="n"/>
      <c r="B188" s="64" t="n"/>
      <c r="C188" s="64" t="n"/>
      <c r="D188" s="62" t="n"/>
      <c r="E188" s="62" t="n"/>
      <c r="F188" s="87" t="n"/>
      <c r="H188" s="61" t="n"/>
      <c r="I188" s="42" t="n"/>
      <c r="J188" s="12">
        <f>IF(F188&lt;&gt;0,"LANÇAR","")</f>
        <v/>
      </c>
      <c r="K188" s="20" t="n"/>
      <c r="L188" s="13">
        <f>N188&amp;O188&amp;P188&amp;Q188&amp;R188&amp;S188&amp;T188&amp;U188&amp;V188&amp;W188&amp;X188&amp;Y188&amp;Z188&amp;AA188&amp;AB188&amp;AC188&amp;AD188&amp;AE188&amp;AF188&amp;AG188</f>
        <v/>
      </c>
      <c r="M188" s="20" t="n"/>
      <c r="N188" s="10">
        <f>TEXT($B$6,"00")</f>
        <v/>
      </c>
      <c r="O188" s="10">
        <f>REPT(" ",8)</f>
        <v/>
      </c>
      <c r="P188" s="10">
        <f>RIGHT($B$4,2)</f>
        <v/>
      </c>
      <c r="Q188" s="10">
        <f>RIGHT($B$5,3)</f>
        <v/>
      </c>
      <c r="R188" s="10">
        <f>IF(A188="D",LEFT(UPPER(B188)&amp;REPT(" ",20),20),REPT(" ",20))</f>
        <v/>
      </c>
      <c r="S188" s="10">
        <f>IF(A188="D",LEFT(UPPER(C188)&amp;REPT(" ",10),10)," ")</f>
        <v/>
      </c>
      <c r="T188" s="10">
        <f>IF(A188="D",LEFT(UPPER(D188)&amp;REPT(" ",2),2)," ")</f>
        <v/>
      </c>
      <c r="U188" s="10">
        <f>IF(A188="D",LEFT(UPPER(E188)&amp;REPT(" ",15),15)," ")</f>
        <v/>
      </c>
      <c r="V188" s="10">
        <f>REPT(" ",24)</f>
        <v/>
      </c>
      <c r="W188" s="10">
        <f>IF(A188="c",LEFT(UPPER(B188)&amp;REPT(" ",20),20),REPT(" ",20))</f>
        <v/>
      </c>
      <c r="X188" s="10">
        <f>IF(A188="C",LEFT(UPPER(C188)&amp;REPT(" ",10),10)," ")</f>
        <v/>
      </c>
      <c r="Y188" s="10">
        <f>IF(A188="C",LEFT(UPPER(D188)&amp;REPT(" ",2),2)," ")</f>
        <v/>
      </c>
      <c r="Z188" s="10">
        <f>IF(A188="C",LEFT(UPPER(E188)&amp;REPT(" ",15),15)," ")</f>
        <v/>
      </c>
      <c r="AA188" s="10">
        <f>REPT(" ",8)</f>
        <v/>
      </c>
      <c r="AB188" s="10">
        <f>REPT(" ",4)</f>
        <v/>
      </c>
      <c r="AC188" s="10">
        <f>LEFT(UPPER(H188)&amp;REPT(" ",250),250)</f>
        <v/>
      </c>
      <c r="AD188" s="10">
        <f>TEXT($G$2,"dd/mm/aaaa")</f>
        <v/>
      </c>
      <c r="AE188" s="10">
        <f>REPT(" ",10)</f>
        <v/>
      </c>
      <c r="AF188" s="10">
        <f>REPT(" ",20)</f>
        <v/>
      </c>
      <c r="AG188" s="54">
        <f>REPT(" ",18-LEN(FIXED(F188,2,TRUE)))&amp;FIXED(F188,2,TRUE)</f>
        <v/>
      </c>
      <c r="AH188" s="10">
        <f>LEN(AC188)+LEN(AG188)</f>
        <v/>
      </c>
      <c r="AI188" s="10">
        <f>LEN(L188)</f>
        <v/>
      </c>
    </row>
    <row r="189">
      <c r="A189" s="61" t="n"/>
      <c r="B189" s="64" t="n"/>
      <c r="C189" s="64" t="n"/>
      <c r="D189" s="62" t="n"/>
      <c r="E189" s="62" t="n"/>
      <c r="F189" s="87" t="n"/>
      <c r="H189" s="61" t="n"/>
      <c r="I189" s="42" t="n"/>
      <c r="J189" s="12">
        <f>IF(F189&lt;&gt;0,"LANÇAR","")</f>
        <v/>
      </c>
      <c r="K189" s="20" t="n"/>
      <c r="L189" s="13">
        <f>N189&amp;O189&amp;P189&amp;Q189&amp;R189&amp;S189&amp;T189&amp;U189&amp;V189&amp;W189&amp;X189&amp;Y189&amp;Z189&amp;AA189&amp;AB189&amp;AC189&amp;AD189&amp;AE189&amp;AF189&amp;AG189</f>
        <v/>
      </c>
      <c r="M189" s="20" t="n"/>
      <c r="N189" s="10">
        <f>TEXT($B$6,"00")</f>
        <v/>
      </c>
      <c r="O189" s="10">
        <f>REPT(" ",8)</f>
        <v/>
      </c>
      <c r="P189" s="10">
        <f>RIGHT($B$4,2)</f>
        <v/>
      </c>
      <c r="Q189" s="10">
        <f>RIGHT($B$5,3)</f>
        <v/>
      </c>
      <c r="R189" s="10">
        <f>IF(A189="D",LEFT(UPPER(B189)&amp;REPT(" ",20),20),REPT(" ",20))</f>
        <v/>
      </c>
      <c r="S189" s="10">
        <f>IF(A189="D",LEFT(UPPER(C189)&amp;REPT(" ",10),10)," ")</f>
        <v/>
      </c>
      <c r="T189" s="10">
        <f>IF(A189="D",LEFT(UPPER(D189)&amp;REPT(" ",2),2)," ")</f>
        <v/>
      </c>
      <c r="U189" s="10">
        <f>IF(A189="D",LEFT(UPPER(E189)&amp;REPT(" ",15),15)," ")</f>
        <v/>
      </c>
      <c r="V189" s="10">
        <f>REPT(" ",24)</f>
        <v/>
      </c>
      <c r="W189" s="10">
        <f>IF(A189="c",LEFT(UPPER(B189)&amp;REPT(" ",20),20),REPT(" ",20))</f>
        <v/>
      </c>
      <c r="X189" s="10">
        <f>IF(A189="C",LEFT(UPPER(C189)&amp;REPT(" ",10),10)," ")</f>
        <v/>
      </c>
      <c r="Y189" s="10">
        <f>IF(A189="C",LEFT(UPPER(D189)&amp;REPT(" ",2),2)," ")</f>
        <v/>
      </c>
      <c r="Z189" s="10">
        <f>IF(A189="C",LEFT(UPPER(E189)&amp;REPT(" ",15),15)," ")</f>
        <v/>
      </c>
      <c r="AA189" s="10">
        <f>REPT(" ",8)</f>
        <v/>
      </c>
      <c r="AB189" s="10">
        <f>REPT(" ",4)</f>
        <v/>
      </c>
      <c r="AC189" s="10">
        <f>LEFT(UPPER(H189)&amp;REPT(" ",250),250)</f>
        <v/>
      </c>
      <c r="AD189" s="10">
        <f>TEXT($G$2,"dd/mm/aaaa")</f>
        <v/>
      </c>
      <c r="AE189" s="10">
        <f>REPT(" ",10)</f>
        <v/>
      </c>
      <c r="AF189" s="10">
        <f>REPT(" ",20)</f>
        <v/>
      </c>
      <c r="AG189" s="54">
        <f>REPT(" ",18-LEN(FIXED(F189,2,TRUE)))&amp;FIXED(F189,2,TRUE)</f>
        <v/>
      </c>
      <c r="AH189" s="10">
        <f>LEN(AC189)+LEN(AG189)</f>
        <v/>
      </c>
      <c r="AI189" s="10">
        <f>LEN(L189)</f>
        <v/>
      </c>
    </row>
    <row r="190">
      <c r="A190" s="61" t="n"/>
      <c r="B190" s="64" t="n"/>
      <c r="C190" s="64" t="n"/>
      <c r="D190" s="62" t="n"/>
      <c r="E190" s="62" t="n"/>
      <c r="F190" s="87" t="n"/>
      <c r="H190" s="61" t="n"/>
      <c r="I190" s="42" t="n"/>
      <c r="J190" s="12">
        <f>IF(F190&lt;&gt;0,"LANÇAR","")</f>
        <v/>
      </c>
      <c r="K190" s="20" t="n"/>
      <c r="L190" s="13">
        <f>N190&amp;O190&amp;P190&amp;Q190&amp;R190&amp;S190&amp;T190&amp;U190&amp;V190&amp;W190&amp;X190&amp;Y190&amp;Z190&amp;AA190&amp;AB190&amp;AC190&amp;AD190&amp;AE190&amp;AF190&amp;AG190</f>
        <v/>
      </c>
      <c r="M190" s="20" t="n"/>
      <c r="N190" s="10">
        <f>TEXT($B$6,"00")</f>
        <v/>
      </c>
      <c r="O190" s="10">
        <f>REPT(" ",8)</f>
        <v/>
      </c>
      <c r="P190" s="10">
        <f>RIGHT($B$4,2)</f>
        <v/>
      </c>
      <c r="Q190" s="10">
        <f>RIGHT($B$5,3)</f>
        <v/>
      </c>
      <c r="R190" s="10">
        <f>IF(A190="D",LEFT(UPPER(B190)&amp;REPT(" ",20),20),REPT(" ",20))</f>
        <v/>
      </c>
      <c r="S190" s="10">
        <f>IF(A190="D",LEFT(UPPER(C190)&amp;REPT(" ",10),10)," ")</f>
        <v/>
      </c>
      <c r="T190" s="10">
        <f>IF(A190="D",LEFT(UPPER(D190)&amp;REPT(" ",2),2)," ")</f>
        <v/>
      </c>
      <c r="U190" s="10">
        <f>IF(A190="D",LEFT(UPPER(E190)&amp;REPT(" ",15),15)," ")</f>
        <v/>
      </c>
      <c r="V190" s="10">
        <f>REPT(" ",24)</f>
        <v/>
      </c>
      <c r="W190" s="10">
        <f>IF(A190="c",LEFT(UPPER(B190)&amp;REPT(" ",20),20),REPT(" ",20))</f>
        <v/>
      </c>
      <c r="X190" s="10">
        <f>IF(A190="C",LEFT(UPPER(C190)&amp;REPT(" ",10),10)," ")</f>
        <v/>
      </c>
      <c r="Y190" s="10">
        <f>IF(A190="C",LEFT(UPPER(D190)&amp;REPT(" ",2),2)," ")</f>
        <v/>
      </c>
      <c r="Z190" s="10">
        <f>IF(A190="C",LEFT(UPPER(E190)&amp;REPT(" ",15),15)," ")</f>
        <v/>
      </c>
      <c r="AA190" s="10">
        <f>REPT(" ",8)</f>
        <v/>
      </c>
      <c r="AB190" s="10">
        <f>REPT(" ",4)</f>
        <v/>
      </c>
      <c r="AC190" s="10">
        <f>LEFT(UPPER(H190)&amp;REPT(" ",250),250)</f>
        <v/>
      </c>
      <c r="AD190" s="10">
        <f>TEXT($G$2,"dd/mm/aaaa")</f>
        <v/>
      </c>
      <c r="AE190" s="10">
        <f>REPT(" ",10)</f>
        <v/>
      </c>
      <c r="AF190" s="10">
        <f>REPT(" ",20)</f>
        <v/>
      </c>
      <c r="AG190" s="54">
        <f>REPT(" ",18-LEN(FIXED(F190,2,TRUE)))&amp;FIXED(F190,2,TRUE)</f>
        <v/>
      </c>
      <c r="AH190" s="10">
        <f>LEN(AC190)+LEN(AG190)</f>
        <v/>
      </c>
      <c r="AI190" s="10">
        <f>LEN(L190)</f>
        <v/>
      </c>
    </row>
    <row r="191">
      <c r="A191" s="61" t="n"/>
      <c r="B191" s="64" t="n"/>
      <c r="C191" s="64" t="n"/>
      <c r="D191" s="62" t="n"/>
      <c r="E191" s="62" t="n"/>
      <c r="F191" s="87" t="n"/>
      <c r="H191" s="61" t="n"/>
      <c r="I191" s="42" t="n"/>
      <c r="J191" s="12">
        <f>IF(F191&lt;&gt;0,"LANÇAR","")</f>
        <v/>
      </c>
      <c r="K191" s="20" t="n"/>
      <c r="L191" s="13">
        <f>N191&amp;O191&amp;P191&amp;Q191&amp;R191&amp;S191&amp;T191&amp;U191&amp;V191&amp;W191&amp;X191&amp;Y191&amp;Z191&amp;AA191&amp;AB191&amp;AC191&amp;AD191&amp;AE191&amp;AF191&amp;AG191</f>
        <v/>
      </c>
      <c r="M191" s="20" t="n"/>
      <c r="N191" s="10">
        <f>TEXT($B$6,"00")</f>
        <v/>
      </c>
      <c r="O191" s="10">
        <f>REPT(" ",8)</f>
        <v/>
      </c>
      <c r="P191" s="10">
        <f>RIGHT($B$4,2)</f>
        <v/>
      </c>
      <c r="Q191" s="10">
        <f>RIGHT($B$5,3)</f>
        <v/>
      </c>
      <c r="R191" s="10">
        <f>IF(A191="D",LEFT(UPPER(B191)&amp;REPT(" ",20),20),REPT(" ",20))</f>
        <v/>
      </c>
      <c r="S191" s="10">
        <f>IF(A191="D",LEFT(UPPER(C191)&amp;REPT(" ",10),10)," ")</f>
        <v/>
      </c>
      <c r="T191" s="10">
        <f>IF(A191="D",LEFT(UPPER(D191)&amp;REPT(" ",2),2)," ")</f>
        <v/>
      </c>
      <c r="U191" s="10">
        <f>IF(A191="D",LEFT(UPPER(E191)&amp;REPT(" ",15),15)," ")</f>
        <v/>
      </c>
      <c r="V191" s="10">
        <f>REPT(" ",24)</f>
        <v/>
      </c>
      <c r="W191" s="10">
        <f>IF(A191="c",LEFT(UPPER(B191)&amp;REPT(" ",20),20),REPT(" ",20))</f>
        <v/>
      </c>
      <c r="X191" s="10">
        <f>IF(A191="C",LEFT(UPPER(C191)&amp;REPT(" ",10),10)," ")</f>
        <v/>
      </c>
      <c r="Y191" s="10">
        <f>IF(A191="C",LEFT(UPPER(D191)&amp;REPT(" ",2),2)," ")</f>
        <v/>
      </c>
      <c r="Z191" s="10">
        <f>IF(A191="C",LEFT(UPPER(E191)&amp;REPT(" ",15),15)," ")</f>
        <v/>
      </c>
      <c r="AA191" s="10">
        <f>REPT(" ",8)</f>
        <v/>
      </c>
      <c r="AB191" s="10">
        <f>REPT(" ",4)</f>
        <v/>
      </c>
      <c r="AC191" s="10">
        <f>LEFT(UPPER(H191)&amp;REPT(" ",250),250)</f>
        <v/>
      </c>
      <c r="AD191" s="10">
        <f>TEXT($G$2,"dd/mm/aaaa")</f>
        <v/>
      </c>
      <c r="AE191" s="10">
        <f>REPT(" ",10)</f>
        <v/>
      </c>
      <c r="AF191" s="10">
        <f>REPT(" ",20)</f>
        <v/>
      </c>
      <c r="AG191" s="54">
        <f>REPT(" ",18-LEN(FIXED(F191,2,TRUE)))&amp;FIXED(F191,2,TRUE)</f>
        <v/>
      </c>
      <c r="AH191" s="10">
        <f>LEN(AC191)+LEN(AG191)</f>
        <v/>
      </c>
      <c r="AI191" s="10">
        <f>LEN(L191)</f>
        <v/>
      </c>
    </row>
    <row r="192">
      <c r="A192" s="61" t="n"/>
      <c r="B192" s="64" t="n"/>
      <c r="C192" s="64" t="n"/>
      <c r="D192" s="62" t="n"/>
      <c r="E192" s="62" t="n"/>
      <c r="F192" s="87" t="n"/>
      <c r="H192" s="61" t="n"/>
      <c r="I192" s="42" t="n"/>
      <c r="J192" s="12">
        <f>IF(F192&lt;&gt;0,"LANÇAR","")</f>
        <v/>
      </c>
      <c r="K192" s="20" t="n"/>
      <c r="L192" s="13">
        <f>N192&amp;O192&amp;P192&amp;Q192&amp;R192&amp;S192&amp;T192&amp;U192&amp;V192&amp;W192&amp;X192&amp;Y192&amp;Z192&amp;AA192&amp;AB192&amp;AC192&amp;AD192&amp;AE192&amp;AF192&amp;AG192</f>
        <v/>
      </c>
      <c r="M192" s="20" t="n"/>
      <c r="N192" s="10">
        <f>TEXT($B$6,"00")</f>
        <v/>
      </c>
      <c r="O192" s="10">
        <f>REPT(" ",8)</f>
        <v/>
      </c>
      <c r="P192" s="10">
        <f>RIGHT($B$4,2)</f>
        <v/>
      </c>
      <c r="Q192" s="10">
        <f>RIGHT($B$5,3)</f>
        <v/>
      </c>
      <c r="R192" s="10">
        <f>IF(A192="D",LEFT(UPPER(B192)&amp;REPT(" ",20),20),REPT(" ",20))</f>
        <v/>
      </c>
      <c r="S192" s="10">
        <f>IF(A192="D",LEFT(UPPER(C192)&amp;REPT(" ",10),10)," ")</f>
        <v/>
      </c>
      <c r="T192" s="10">
        <f>IF(A192="D",LEFT(UPPER(D192)&amp;REPT(" ",2),2)," ")</f>
        <v/>
      </c>
      <c r="U192" s="10">
        <f>IF(A192="D",LEFT(UPPER(E192)&amp;REPT(" ",15),15)," ")</f>
        <v/>
      </c>
      <c r="V192" s="10">
        <f>REPT(" ",24)</f>
        <v/>
      </c>
      <c r="W192" s="10">
        <f>IF(A192="c",LEFT(UPPER(B192)&amp;REPT(" ",20),20),REPT(" ",20))</f>
        <v/>
      </c>
      <c r="X192" s="10">
        <f>IF(A192="C",LEFT(UPPER(C192)&amp;REPT(" ",10),10)," ")</f>
        <v/>
      </c>
      <c r="Y192" s="10">
        <f>IF(A192="C",LEFT(UPPER(D192)&amp;REPT(" ",2),2)," ")</f>
        <v/>
      </c>
      <c r="Z192" s="10">
        <f>IF(A192="C",LEFT(UPPER(E192)&amp;REPT(" ",15),15)," ")</f>
        <v/>
      </c>
      <c r="AA192" s="10">
        <f>REPT(" ",8)</f>
        <v/>
      </c>
      <c r="AB192" s="10">
        <f>REPT(" ",4)</f>
        <v/>
      </c>
      <c r="AC192" s="10">
        <f>LEFT(UPPER(H192)&amp;REPT(" ",250),250)</f>
        <v/>
      </c>
      <c r="AD192" s="10">
        <f>TEXT($G$2,"dd/mm/aaaa")</f>
        <v/>
      </c>
      <c r="AE192" s="10">
        <f>REPT(" ",10)</f>
        <v/>
      </c>
      <c r="AF192" s="10">
        <f>REPT(" ",20)</f>
        <v/>
      </c>
      <c r="AG192" s="54">
        <f>REPT(" ",18-LEN(FIXED(F192,2,TRUE)))&amp;FIXED(F192,2,TRUE)</f>
        <v/>
      </c>
      <c r="AH192" s="10">
        <f>LEN(AC192)+LEN(AG192)</f>
        <v/>
      </c>
      <c r="AI192" s="10">
        <f>LEN(L192)</f>
        <v/>
      </c>
    </row>
    <row r="193">
      <c r="A193" s="61" t="n"/>
      <c r="B193" s="64" t="n"/>
      <c r="C193" s="64" t="n"/>
      <c r="D193" s="62" t="n"/>
      <c r="E193" s="62" t="n"/>
      <c r="F193" s="87" t="n"/>
      <c r="H193" s="61" t="n"/>
      <c r="I193" s="42" t="n"/>
      <c r="J193" s="12">
        <f>IF(F193&lt;&gt;0,"LANÇAR","")</f>
        <v/>
      </c>
      <c r="K193" s="20" t="n"/>
      <c r="L193" s="13">
        <f>N193&amp;O193&amp;P193&amp;Q193&amp;R193&amp;S193&amp;T193&amp;U193&amp;V193&amp;W193&amp;X193&amp;Y193&amp;Z193&amp;AA193&amp;AB193&amp;AC193&amp;AD193&amp;AE193&amp;AF193&amp;AG193</f>
        <v/>
      </c>
      <c r="M193" s="20" t="n"/>
      <c r="N193" s="10">
        <f>TEXT($B$6,"00")</f>
        <v/>
      </c>
      <c r="O193" s="10">
        <f>REPT(" ",8)</f>
        <v/>
      </c>
      <c r="P193" s="10">
        <f>RIGHT($B$4,2)</f>
        <v/>
      </c>
      <c r="Q193" s="10">
        <f>RIGHT($B$5,3)</f>
        <v/>
      </c>
      <c r="R193" s="10">
        <f>IF(A193="D",LEFT(UPPER(B193)&amp;REPT(" ",20),20),REPT(" ",20))</f>
        <v/>
      </c>
      <c r="S193" s="10">
        <f>IF(A193="D",LEFT(UPPER(C193)&amp;REPT(" ",10),10)," ")</f>
        <v/>
      </c>
      <c r="T193" s="10">
        <f>IF(A193="D",LEFT(UPPER(D193)&amp;REPT(" ",2),2)," ")</f>
        <v/>
      </c>
      <c r="U193" s="10">
        <f>IF(A193="D",LEFT(UPPER(E193)&amp;REPT(" ",15),15)," ")</f>
        <v/>
      </c>
      <c r="V193" s="10">
        <f>REPT(" ",24)</f>
        <v/>
      </c>
      <c r="W193" s="10">
        <f>IF(A193="c",LEFT(UPPER(B193)&amp;REPT(" ",20),20),REPT(" ",20))</f>
        <v/>
      </c>
      <c r="X193" s="10">
        <f>IF(A193="C",LEFT(UPPER(C193)&amp;REPT(" ",10),10)," ")</f>
        <v/>
      </c>
      <c r="Y193" s="10">
        <f>IF(A193="C",LEFT(UPPER(D193)&amp;REPT(" ",2),2)," ")</f>
        <v/>
      </c>
      <c r="Z193" s="10">
        <f>IF(A193="C",LEFT(UPPER(E193)&amp;REPT(" ",15),15)," ")</f>
        <v/>
      </c>
      <c r="AA193" s="10">
        <f>REPT(" ",8)</f>
        <v/>
      </c>
      <c r="AB193" s="10">
        <f>REPT(" ",4)</f>
        <v/>
      </c>
      <c r="AC193" s="10">
        <f>LEFT(UPPER(H193)&amp;REPT(" ",250),250)</f>
        <v/>
      </c>
      <c r="AD193" s="10">
        <f>TEXT($G$2,"dd/mm/aaaa")</f>
        <v/>
      </c>
      <c r="AE193" s="10">
        <f>REPT(" ",10)</f>
        <v/>
      </c>
      <c r="AF193" s="10">
        <f>REPT(" ",20)</f>
        <v/>
      </c>
      <c r="AG193" s="54">
        <f>REPT(" ",18-LEN(FIXED(F193,2,TRUE)))&amp;FIXED(F193,2,TRUE)</f>
        <v/>
      </c>
      <c r="AH193" s="10">
        <f>LEN(AC193)+LEN(AG193)</f>
        <v/>
      </c>
      <c r="AI193" s="10">
        <f>LEN(L193)</f>
        <v/>
      </c>
    </row>
    <row r="194">
      <c r="A194" s="61" t="n"/>
      <c r="B194" s="64" t="n"/>
      <c r="C194" s="64" t="n"/>
      <c r="D194" s="62" t="n"/>
      <c r="E194" s="62" t="n"/>
      <c r="F194" s="87" t="n"/>
      <c r="H194" s="61" t="n"/>
      <c r="I194" s="42" t="n"/>
      <c r="J194" s="12">
        <f>IF(F194&lt;&gt;0,"LANÇAR","")</f>
        <v/>
      </c>
      <c r="K194" s="20" t="n"/>
      <c r="L194" s="13">
        <f>N194&amp;O194&amp;P194&amp;Q194&amp;R194&amp;S194&amp;T194&amp;U194&amp;V194&amp;W194&amp;X194&amp;Y194&amp;Z194&amp;AA194&amp;AB194&amp;AC194&amp;AD194&amp;AE194&amp;AF194&amp;AG194</f>
        <v/>
      </c>
      <c r="M194" s="20" t="n"/>
      <c r="N194" s="10">
        <f>TEXT($B$6,"00")</f>
        <v/>
      </c>
      <c r="O194" s="10">
        <f>REPT(" ",8)</f>
        <v/>
      </c>
      <c r="P194" s="10">
        <f>RIGHT($B$4,2)</f>
        <v/>
      </c>
      <c r="Q194" s="10">
        <f>RIGHT($B$5,3)</f>
        <v/>
      </c>
      <c r="R194" s="10">
        <f>IF(A194="D",LEFT(UPPER(B194)&amp;REPT(" ",20),20),REPT(" ",20))</f>
        <v/>
      </c>
      <c r="S194" s="10">
        <f>IF(A194="D",LEFT(UPPER(C194)&amp;REPT(" ",10),10)," ")</f>
        <v/>
      </c>
      <c r="T194" s="10">
        <f>IF(A194="D",LEFT(UPPER(D194)&amp;REPT(" ",2),2)," ")</f>
        <v/>
      </c>
      <c r="U194" s="10">
        <f>IF(A194="D",LEFT(UPPER(E194)&amp;REPT(" ",15),15)," ")</f>
        <v/>
      </c>
      <c r="V194" s="10">
        <f>REPT(" ",24)</f>
        <v/>
      </c>
      <c r="W194" s="10">
        <f>IF(A194="c",LEFT(UPPER(B194)&amp;REPT(" ",20),20),REPT(" ",20))</f>
        <v/>
      </c>
      <c r="X194" s="10">
        <f>IF(A194="C",LEFT(UPPER(C194)&amp;REPT(" ",10),10)," ")</f>
        <v/>
      </c>
      <c r="Y194" s="10">
        <f>IF(A194="C",LEFT(UPPER(D194)&amp;REPT(" ",2),2)," ")</f>
        <v/>
      </c>
      <c r="Z194" s="10">
        <f>IF(A194="C",LEFT(UPPER(E194)&amp;REPT(" ",15),15)," ")</f>
        <v/>
      </c>
      <c r="AA194" s="10">
        <f>REPT(" ",8)</f>
        <v/>
      </c>
      <c r="AB194" s="10">
        <f>REPT(" ",4)</f>
        <v/>
      </c>
      <c r="AC194" s="10">
        <f>LEFT(UPPER(H194)&amp;REPT(" ",250),250)</f>
        <v/>
      </c>
      <c r="AD194" s="10">
        <f>TEXT($G$2,"dd/mm/aaaa")</f>
        <v/>
      </c>
      <c r="AE194" s="10">
        <f>REPT(" ",10)</f>
        <v/>
      </c>
      <c r="AF194" s="10">
        <f>REPT(" ",20)</f>
        <v/>
      </c>
      <c r="AG194" s="54">
        <f>REPT(" ",18-LEN(FIXED(F194,2,TRUE)))&amp;FIXED(F194,2,TRUE)</f>
        <v/>
      </c>
      <c r="AH194" s="10">
        <f>LEN(AC194)+LEN(AG194)</f>
        <v/>
      </c>
      <c r="AI194" s="10">
        <f>LEN(L194)</f>
        <v/>
      </c>
    </row>
    <row r="195">
      <c r="A195" s="61" t="n"/>
      <c r="B195" s="64" t="n"/>
      <c r="C195" s="64" t="n"/>
      <c r="D195" s="62" t="n"/>
      <c r="E195" s="62" t="n"/>
      <c r="F195" s="87" t="n"/>
      <c r="H195" s="61" t="n"/>
      <c r="I195" s="42" t="n"/>
      <c r="J195" s="12">
        <f>IF(F195&lt;&gt;0,"LANÇAR","")</f>
        <v/>
      </c>
      <c r="K195" s="20" t="n"/>
      <c r="L195" s="13">
        <f>N195&amp;O195&amp;P195&amp;Q195&amp;R195&amp;S195&amp;T195&amp;U195&amp;V195&amp;W195&amp;X195&amp;Y195&amp;Z195&amp;AA195&amp;AB195&amp;AC195&amp;AD195&amp;AE195&amp;AF195&amp;AG195</f>
        <v/>
      </c>
      <c r="M195" s="20" t="n"/>
      <c r="N195" s="10">
        <f>TEXT($B$6,"00")</f>
        <v/>
      </c>
      <c r="O195" s="10">
        <f>REPT(" ",8)</f>
        <v/>
      </c>
      <c r="P195" s="10">
        <f>RIGHT($B$4,2)</f>
        <v/>
      </c>
      <c r="Q195" s="10">
        <f>RIGHT($B$5,3)</f>
        <v/>
      </c>
      <c r="R195" s="10">
        <f>IF(A195="D",LEFT(UPPER(B195)&amp;REPT(" ",20),20),REPT(" ",20))</f>
        <v/>
      </c>
      <c r="S195" s="10">
        <f>IF(A195="D",LEFT(UPPER(C195)&amp;REPT(" ",10),10)," ")</f>
        <v/>
      </c>
      <c r="T195" s="10">
        <f>IF(A195="D",LEFT(UPPER(D195)&amp;REPT(" ",2),2)," ")</f>
        <v/>
      </c>
      <c r="U195" s="10">
        <f>IF(A195="D",LEFT(UPPER(E195)&amp;REPT(" ",15),15)," ")</f>
        <v/>
      </c>
      <c r="V195" s="10">
        <f>REPT(" ",24)</f>
        <v/>
      </c>
      <c r="W195" s="10">
        <f>IF(A195="c",LEFT(UPPER(B195)&amp;REPT(" ",20),20),REPT(" ",20))</f>
        <v/>
      </c>
      <c r="X195" s="10">
        <f>IF(A195="C",LEFT(UPPER(C195)&amp;REPT(" ",10),10)," ")</f>
        <v/>
      </c>
      <c r="Y195" s="10">
        <f>IF(A195="C",LEFT(UPPER(D195)&amp;REPT(" ",2),2)," ")</f>
        <v/>
      </c>
      <c r="Z195" s="10">
        <f>IF(A195="C",LEFT(UPPER(E195)&amp;REPT(" ",15),15)," ")</f>
        <v/>
      </c>
      <c r="AA195" s="10">
        <f>REPT(" ",8)</f>
        <v/>
      </c>
      <c r="AB195" s="10">
        <f>REPT(" ",4)</f>
        <v/>
      </c>
      <c r="AC195" s="10">
        <f>LEFT(UPPER(H195)&amp;REPT(" ",250),250)</f>
        <v/>
      </c>
      <c r="AD195" s="10">
        <f>TEXT($G$2,"dd/mm/aaaa")</f>
        <v/>
      </c>
      <c r="AE195" s="10">
        <f>REPT(" ",10)</f>
        <v/>
      </c>
      <c r="AF195" s="10">
        <f>REPT(" ",20)</f>
        <v/>
      </c>
      <c r="AG195" s="54">
        <f>REPT(" ",18-LEN(FIXED(F195,2,TRUE)))&amp;FIXED(F195,2,TRUE)</f>
        <v/>
      </c>
      <c r="AH195" s="10">
        <f>LEN(AC195)+LEN(AG195)</f>
        <v/>
      </c>
      <c r="AI195" s="10">
        <f>LEN(L195)</f>
        <v/>
      </c>
    </row>
    <row r="196">
      <c r="A196" s="61" t="n"/>
      <c r="B196" s="64" t="n"/>
      <c r="C196" s="64" t="n"/>
      <c r="D196" s="62" t="n"/>
      <c r="E196" s="62" t="n"/>
      <c r="F196" s="87" t="n"/>
      <c r="H196" s="61" t="n"/>
      <c r="I196" s="42" t="n"/>
      <c r="J196" s="12">
        <f>IF(F196&lt;&gt;0,"LANÇAR","")</f>
        <v/>
      </c>
      <c r="K196" s="20" t="n"/>
      <c r="L196" s="13">
        <f>N196&amp;O196&amp;P196&amp;Q196&amp;R196&amp;S196&amp;T196&amp;U196&amp;V196&amp;W196&amp;X196&amp;Y196&amp;Z196&amp;AA196&amp;AB196&amp;AC196&amp;AD196&amp;AE196&amp;AF196&amp;AG196</f>
        <v/>
      </c>
      <c r="M196" s="20" t="n"/>
      <c r="N196" s="10">
        <f>TEXT($B$6,"00")</f>
        <v/>
      </c>
      <c r="O196" s="10">
        <f>REPT(" ",8)</f>
        <v/>
      </c>
      <c r="P196" s="10">
        <f>RIGHT($B$4,2)</f>
        <v/>
      </c>
      <c r="Q196" s="10">
        <f>RIGHT($B$5,3)</f>
        <v/>
      </c>
      <c r="R196" s="10">
        <f>IF(A196="D",LEFT(UPPER(B196)&amp;REPT(" ",20),20),REPT(" ",20))</f>
        <v/>
      </c>
      <c r="S196" s="10">
        <f>IF(A196="D",LEFT(UPPER(C196)&amp;REPT(" ",10),10)," ")</f>
        <v/>
      </c>
      <c r="T196" s="10">
        <f>IF(A196="D",LEFT(UPPER(D196)&amp;REPT(" ",2),2)," ")</f>
        <v/>
      </c>
      <c r="U196" s="10">
        <f>IF(A196="D",LEFT(UPPER(E196)&amp;REPT(" ",15),15)," ")</f>
        <v/>
      </c>
      <c r="V196" s="10">
        <f>REPT(" ",24)</f>
        <v/>
      </c>
      <c r="W196" s="10">
        <f>IF(A196="c",LEFT(UPPER(B196)&amp;REPT(" ",20),20),REPT(" ",20))</f>
        <v/>
      </c>
      <c r="X196" s="10">
        <f>IF(A196="C",LEFT(UPPER(C196)&amp;REPT(" ",10),10)," ")</f>
        <v/>
      </c>
      <c r="Y196" s="10">
        <f>IF(A196="C",LEFT(UPPER(D196)&amp;REPT(" ",2),2)," ")</f>
        <v/>
      </c>
      <c r="Z196" s="10">
        <f>IF(A196="C",LEFT(UPPER(E196)&amp;REPT(" ",15),15)," ")</f>
        <v/>
      </c>
      <c r="AA196" s="10">
        <f>REPT(" ",8)</f>
        <v/>
      </c>
      <c r="AB196" s="10">
        <f>REPT(" ",4)</f>
        <v/>
      </c>
      <c r="AC196" s="10">
        <f>LEFT(UPPER(H196)&amp;REPT(" ",250),250)</f>
        <v/>
      </c>
      <c r="AD196" s="10">
        <f>TEXT($G$2,"dd/mm/aaaa")</f>
        <v/>
      </c>
      <c r="AE196" s="10">
        <f>REPT(" ",10)</f>
        <v/>
      </c>
      <c r="AF196" s="10">
        <f>REPT(" ",20)</f>
        <v/>
      </c>
      <c r="AG196" s="54">
        <f>REPT(" ",18-LEN(FIXED(F196,2,TRUE)))&amp;FIXED(F196,2,TRUE)</f>
        <v/>
      </c>
      <c r="AH196" s="10">
        <f>LEN(AC196)+LEN(AG196)</f>
        <v/>
      </c>
      <c r="AI196" s="10">
        <f>LEN(L196)</f>
        <v/>
      </c>
    </row>
    <row r="197">
      <c r="A197" s="61" t="n"/>
      <c r="B197" s="64" t="n"/>
      <c r="C197" s="64" t="n"/>
      <c r="D197" s="62" t="n"/>
      <c r="E197" s="62" t="n"/>
      <c r="F197" s="87" t="n"/>
      <c r="H197" s="61" t="n"/>
      <c r="I197" s="42" t="n"/>
      <c r="J197" s="12">
        <f>IF(F197&lt;&gt;0,"LANÇAR","")</f>
        <v/>
      </c>
      <c r="K197" s="20" t="n"/>
      <c r="L197" s="13">
        <f>N197&amp;O197&amp;P197&amp;Q197&amp;R197&amp;S197&amp;T197&amp;U197&amp;V197&amp;W197&amp;X197&amp;Y197&amp;Z197&amp;AA197&amp;AB197&amp;AC197&amp;AD197&amp;AE197&amp;AF197&amp;AG197</f>
        <v/>
      </c>
      <c r="M197" s="20" t="n"/>
      <c r="N197" s="10">
        <f>TEXT($B$6,"00")</f>
        <v/>
      </c>
      <c r="O197" s="10">
        <f>REPT(" ",8)</f>
        <v/>
      </c>
      <c r="P197" s="10">
        <f>RIGHT($B$4,2)</f>
        <v/>
      </c>
      <c r="Q197" s="10">
        <f>RIGHT($B$5,3)</f>
        <v/>
      </c>
      <c r="R197" s="10">
        <f>IF(A197="D",LEFT(UPPER(B197)&amp;REPT(" ",20),20),REPT(" ",20))</f>
        <v/>
      </c>
      <c r="S197" s="10">
        <f>IF(A197="D",LEFT(UPPER(C197)&amp;REPT(" ",10),10)," ")</f>
        <v/>
      </c>
      <c r="T197" s="10">
        <f>IF(A197="D",LEFT(UPPER(D197)&amp;REPT(" ",2),2)," ")</f>
        <v/>
      </c>
      <c r="U197" s="10">
        <f>IF(A197="D",LEFT(UPPER(E197)&amp;REPT(" ",15),15)," ")</f>
        <v/>
      </c>
      <c r="V197" s="10">
        <f>REPT(" ",24)</f>
        <v/>
      </c>
      <c r="W197" s="10">
        <f>IF(A197="c",LEFT(UPPER(B197)&amp;REPT(" ",20),20),REPT(" ",20))</f>
        <v/>
      </c>
      <c r="X197" s="10">
        <f>IF(A197="C",LEFT(UPPER(C197)&amp;REPT(" ",10),10)," ")</f>
        <v/>
      </c>
      <c r="Y197" s="10">
        <f>IF(A197="C",LEFT(UPPER(D197)&amp;REPT(" ",2),2)," ")</f>
        <v/>
      </c>
      <c r="Z197" s="10">
        <f>IF(A197="C",LEFT(UPPER(E197)&amp;REPT(" ",15),15)," ")</f>
        <v/>
      </c>
      <c r="AA197" s="10">
        <f>REPT(" ",8)</f>
        <v/>
      </c>
      <c r="AB197" s="10">
        <f>REPT(" ",4)</f>
        <v/>
      </c>
      <c r="AC197" s="10">
        <f>LEFT(UPPER(H197)&amp;REPT(" ",250),250)</f>
        <v/>
      </c>
      <c r="AD197" s="10">
        <f>TEXT($G$2,"dd/mm/aaaa")</f>
        <v/>
      </c>
      <c r="AE197" s="10">
        <f>REPT(" ",10)</f>
        <v/>
      </c>
      <c r="AF197" s="10">
        <f>REPT(" ",20)</f>
        <v/>
      </c>
      <c r="AG197" s="54">
        <f>REPT(" ",18-LEN(FIXED(F197,2,TRUE)))&amp;FIXED(F197,2,TRUE)</f>
        <v/>
      </c>
      <c r="AH197" s="10">
        <f>LEN(AC197)+LEN(AG197)</f>
        <v/>
      </c>
      <c r="AI197" s="10">
        <f>LEN(L197)</f>
        <v/>
      </c>
    </row>
    <row r="198">
      <c r="A198" s="61" t="n"/>
      <c r="B198" s="64" t="n"/>
      <c r="C198" s="64" t="n"/>
      <c r="D198" s="62" t="n"/>
      <c r="E198" s="62" t="n"/>
      <c r="F198" s="87" t="n"/>
      <c r="H198" s="61" t="n"/>
      <c r="I198" s="42" t="n"/>
      <c r="J198" s="12">
        <f>IF(F198&lt;&gt;0,"LANÇAR","")</f>
        <v/>
      </c>
      <c r="K198" s="20" t="n"/>
      <c r="L198" s="13">
        <f>N198&amp;O198&amp;P198&amp;Q198&amp;R198&amp;S198&amp;T198&amp;U198&amp;V198&amp;W198&amp;X198&amp;Y198&amp;Z198&amp;AA198&amp;AB198&amp;AC198&amp;AD198&amp;AE198&amp;AF198&amp;AG198</f>
        <v/>
      </c>
      <c r="M198" s="20" t="n"/>
      <c r="N198" s="10">
        <f>TEXT($B$6,"00")</f>
        <v/>
      </c>
      <c r="O198" s="10">
        <f>REPT(" ",8)</f>
        <v/>
      </c>
      <c r="P198" s="10">
        <f>RIGHT($B$4,2)</f>
        <v/>
      </c>
      <c r="Q198" s="10">
        <f>RIGHT($B$5,3)</f>
        <v/>
      </c>
      <c r="R198" s="10">
        <f>IF(A198="D",LEFT(UPPER(B198)&amp;REPT(" ",20),20),REPT(" ",20))</f>
        <v/>
      </c>
      <c r="S198" s="10">
        <f>IF(A198="D",LEFT(UPPER(C198)&amp;REPT(" ",10),10)," ")</f>
        <v/>
      </c>
      <c r="T198" s="10">
        <f>IF(A198="D",LEFT(UPPER(D198)&amp;REPT(" ",2),2)," ")</f>
        <v/>
      </c>
      <c r="U198" s="10">
        <f>IF(A198="D",LEFT(UPPER(E198)&amp;REPT(" ",15),15)," ")</f>
        <v/>
      </c>
      <c r="V198" s="10">
        <f>REPT(" ",24)</f>
        <v/>
      </c>
      <c r="W198" s="10">
        <f>IF(A198="c",LEFT(UPPER(B198)&amp;REPT(" ",20),20),REPT(" ",20))</f>
        <v/>
      </c>
      <c r="X198" s="10">
        <f>IF(A198="C",LEFT(UPPER(C198)&amp;REPT(" ",10),10)," ")</f>
        <v/>
      </c>
      <c r="Y198" s="10">
        <f>IF(A198="C",LEFT(UPPER(D198)&amp;REPT(" ",2),2)," ")</f>
        <v/>
      </c>
      <c r="Z198" s="10">
        <f>IF(A198="C",LEFT(UPPER(E198)&amp;REPT(" ",15),15)," ")</f>
        <v/>
      </c>
      <c r="AA198" s="10">
        <f>REPT(" ",8)</f>
        <v/>
      </c>
      <c r="AB198" s="10">
        <f>REPT(" ",4)</f>
        <v/>
      </c>
      <c r="AC198" s="10">
        <f>LEFT(UPPER(H198)&amp;REPT(" ",250),250)</f>
        <v/>
      </c>
      <c r="AD198" s="10">
        <f>TEXT($G$2,"dd/mm/aaaa")</f>
        <v/>
      </c>
      <c r="AE198" s="10">
        <f>REPT(" ",10)</f>
        <v/>
      </c>
      <c r="AF198" s="10">
        <f>REPT(" ",20)</f>
        <v/>
      </c>
      <c r="AG198" s="54">
        <f>REPT(" ",18-LEN(FIXED(F198,2,TRUE)))&amp;FIXED(F198,2,TRUE)</f>
        <v/>
      </c>
      <c r="AH198" s="10">
        <f>LEN(AC198)+LEN(AG198)</f>
        <v/>
      </c>
      <c r="AI198" s="10">
        <f>LEN(L198)</f>
        <v/>
      </c>
    </row>
    <row r="199">
      <c r="A199" s="61" t="n"/>
      <c r="B199" s="64" t="n"/>
      <c r="C199" s="64" t="n"/>
      <c r="D199" s="62" t="n"/>
      <c r="E199" s="62" t="n"/>
      <c r="F199" s="87" t="n"/>
      <c r="H199" s="61" t="n"/>
      <c r="I199" s="42" t="n"/>
      <c r="J199" s="12">
        <f>IF(F199&lt;&gt;0,"LANÇAR","")</f>
        <v/>
      </c>
      <c r="K199" s="20" t="n"/>
      <c r="L199" s="13">
        <f>N199&amp;O199&amp;P199&amp;Q199&amp;R199&amp;S199&amp;T199&amp;U199&amp;V199&amp;W199&amp;X199&amp;Y199&amp;Z199&amp;AA199&amp;AB199&amp;AC199&amp;AD199&amp;AE199&amp;AF199&amp;AG199</f>
        <v/>
      </c>
      <c r="M199" s="20" t="n"/>
      <c r="N199" s="10">
        <f>TEXT($B$6,"00")</f>
        <v/>
      </c>
      <c r="O199" s="10">
        <f>REPT(" ",8)</f>
        <v/>
      </c>
      <c r="P199" s="10">
        <f>RIGHT($B$4,2)</f>
        <v/>
      </c>
      <c r="Q199" s="10">
        <f>RIGHT($B$5,3)</f>
        <v/>
      </c>
      <c r="R199" s="10">
        <f>IF(A199="D",LEFT(UPPER(B199)&amp;REPT(" ",20),20),REPT(" ",20))</f>
        <v/>
      </c>
      <c r="S199" s="10">
        <f>IF(A199="D",LEFT(UPPER(C199)&amp;REPT(" ",10),10)," ")</f>
        <v/>
      </c>
      <c r="T199" s="10">
        <f>IF(A199="D",LEFT(UPPER(D199)&amp;REPT(" ",2),2)," ")</f>
        <v/>
      </c>
      <c r="U199" s="10">
        <f>IF(A199="D",LEFT(UPPER(E199)&amp;REPT(" ",15),15)," ")</f>
        <v/>
      </c>
      <c r="V199" s="10">
        <f>REPT(" ",24)</f>
        <v/>
      </c>
      <c r="W199" s="10">
        <f>IF(A199="c",LEFT(UPPER(B199)&amp;REPT(" ",20),20),REPT(" ",20))</f>
        <v/>
      </c>
      <c r="X199" s="10">
        <f>IF(A199="C",LEFT(UPPER(C199)&amp;REPT(" ",10),10)," ")</f>
        <v/>
      </c>
      <c r="Y199" s="10">
        <f>IF(A199="C",LEFT(UPPER(D199)&amp;REPT(" ",2),2)," ")</f>
        <v/>
      </c>
      <c r="Z199" s="10">
        <f>IF(A199="C",LEFT(UPPER(E199)&amp;REPT(" ",15),15)," ")</f>
        <v/>
      </c>
      <c r="AA199" s="10">
        <f>REPT(" ",8)</f>
        <v/>
      </c>
      <c r="AB199" s="10">
        <f>REPT(" ",4)</f>
        <v/>
      </c>
      <c r="AC199" s="10">
        <f>LEFT(UPPER(H199)&amp;REPT(" ",250),250)</f>
        <v/>
      </c>
      <c r="AD199" s="10">
        <f>TEXT($G$2,"dd/mm/aaaa")</f>
        <v/>
      </c>
      <c r="AE199" s="10">
        <f>REPT(" ",10)</f>
        <v/>
      </c>
      <c r="AF199" s="10">
        <f>REPT(" ",20)</f>
        <v/>
      </c>
      <c r="AG199" s="54">
        <f>REPT(" ",18-LEN(FIXED(F199,2,TRUE)))&amp;FIXED(F199,2,TRUE)</f>
        <v/>
      </c>
      <c r="AH199" s="10">
        <f>LEN(AC199)+LEN(AG199)</f>
        <v/>
      </c>
      <c r="AI199" s="10">
        <f>LEN(L199)</f>
        <v/>
      </c>
    </row>
    <row r="200">
      <c r="A200" s="61" t="n"/>
      <c r="B200" s="64" t="n"/>
      <c r="C200" s="64" t="n"/>
      <c r="D200" s="62" t="n"/>
      <c r="E200" s="62" t="n"/>
      <c r="F200" s="87" t="n"/>
      <c r="H200" s="61" t="n"/>
      <c r="I200" s="42" t="n"/>
      <c r="J200" s="12">
        <f>IF(F200&lt;&gt;0,"LANÇAR","")</f>
        <v/>
      </c>
      <c r="K200" s="20" t="n"/>
      <c r="L200" s="13">
        <f>N200&amp;O200&amp;P200&amp;Q200&amp;R200&amp;S200&amp;T200&amp;U200&amp;V200&amp;W200&amp;X200&amp;Y200&amp;Z200&amp;AA200&amp;AB200&amp;AC200&amp;AD200&amp;AE200&amp;AF200&amp;AG200</f>
        <v/>
      </c>
      <c r="M200" s="20" t="n"/>
      <c r="N200" s="10">
        <f>TEXT($B$6,"00")</f>
        <v/>
      </c>
      <c r="O200" s="10">
        <f>REPT(" ",8)</f>
        <v/>
      </c>
      <c r="P200" s="10">
        <f>RIGHT($B$4,2)</f>
        <v/>
      </c>
      <c r="Q200" s="10">
        <f>RIGHT($B$5,3)</f>
        <v/>
      </c>
      <c r="R200" s="10">
        <f>IF(A200="D",LEFT(UPPER(B200)&amp;REPT(" ",20),20),REPT(" ",20))</f>
        <v/>
      </c>
      <c r="S200" s="10">
        <f>IF(A200="D",LEFT(UPPER(C200)&amp;REPT(" ",10),10)," ")</f>
        <v/>
      </c>
      <c r="T200" s="10">
        <f>IF(A200="D",LEFT(UPPER(D200)&amp;REPT(" ",2),2)," ")</f>
        <v/>
      </c>
      <c r="U200" s="10">
        <f>IF(A200="D",LEFT(UPPER(E200)&amp;REPT(" ",15),15)," ")</f>
        <v/>
      </c>
      <c r="V200" s="10">
        <f>REPT(" ",24)</f>
        <v/>
      </c>
      <c r="W200" s="10">
        <f>IF(A200="c",LEFT(UPPER(B200)&amp;REPT(" ",20),20),REPT(" ",20))</f>
        <v/>
      </c>
      <c r="X200" s="10">
        <f>IF(A200="C",LEFT(UPPER(C200)&amp;REPT(" ",10),10)," ")</f>
        <v/>
      </c>
      <c r="Y200" s="10">
        <f>IF(A200="C",LEFT(UPPER(D200)&amp;REPT(" ",2),2)," ")</f>
        <v/>
      </c>
      <c r="Z200" s="10">
        <f>IF(A200="C",LEFT(UPPER(E200)&amp;REPT(" ",15),15)," ")</f>
        <v/>
      </c>
      <c r="AA200" s="10">
        <f>REPT(" ",8)</f>
        <v/>
      </c>
      <c r="AB200" s="10">
        <f>REPT(" ",4)</f>
        <v/>
      </c>
      <c r="AC200" s="10">
        <f>LEFT(UPPER(H200)&amp;REPT(" ",250),250)</f>
        <v/>
      </c>
      <c r="AD200" s="10">
        <f>TEXT($G$2,"dd/mm/aaaa")</f>
        <v/>
      </c>
      <c r="AE200" s="10">
        <f>REPT(" ",10)</f>
        <v/>
      </c>
      <c r="AF200" s="10">
        <f>REPT(" ",20)</f>
        <v/>
      </c>
      <c r="AG200" s="54">
        <f>REPT(" ",18-LEN(FIXED(F200,2,TRUE)))&amp;FIXED(F200,2,TRUE)</f>
        <v/>
      </c>
      <c r="AH200" s="10">
        <f>LEN(AC200)+LEN(AG200)</f>
        <v/>
      </c>
      <c r="AI200" s="10">
        <f>LEN(L200)</f>
        <v/>
      </c>
    </row>
    <row r="201">
      <c r="A201" s="61" t="n"/>
      <c r="B201" s="62" t="n"/>
      <c r="C201" s="62" t="n"/>
      <c r="D201" s="62" t="n"/>
      <c r="E201" s="62" t="n"/>
      <c r="H201" s="61" t="n"/>
      <c r="I201" s="42" t="n"/>
      <c r="J201" s="12">
        <f>IF(F201&lt;&gt;0,"LANÇAR","")</f>
        <v/>
      </c>
      <c r="K201" s="20" t="n"/>
      <c r="L201" s="13">
        <f>N201&amp;O201&amp;P201&amp;Q201&amp;R201&amp;S201&amp;T201&amp;U201&amp;V201&amp;W201&amp;X201&amp;Y201&amp;Z201&amp;AA201&amp;AB201&amp;AC201&amp;AD201&amp;AE201&amp;AF201&amp;AG201</f>
        <v/>
      </c>
      <c r="M201" s="20" t="n"/>
      <c r="N201" s="10">
        <f>TEXT($B$6,"00")</f>
        <v/>
      </c>
      <c r="O201" s="10">
        <f>REPT(" ",8)</f>
        <v/>
      </c>
      <c r="P201" s="10">
        <f>RIGHT($B$4,2)</f>
        <v/>
      </c>
      <c r="Q201" s="10">
        <f>RIGHT($B$5,3)</f>
        <v/>
      </c>
      <c r="R201" s="10">
        <f>IF(A201="D",LEFT(UPPER(B201)&amp;REPT(" ",20),20),REPT(" ",20))</f>
        <v/>
      </c>
      <c r="S201" s="10">
        <f>IF(A201="D",LEFT(UPPER(C201)&amp;REPT(" ",10),10)," ")</f>
        <v/>
      </c>
      <c r="T201" s="10">
        <f>IF(A201="D",LEFT(UPPER(D201)&amp;REPT(" ",2),2)," ")</f>
        <v/>
      </c>
      <c r="U201" s="10">
        <f>IF(A201="D",LEFT(UPPER(E201)&amp;REPT(" ",15),15)," ")</f>
        <v/>
      </c>
      <c r="V201" s="10">
        <f>REPT(" ",24)</f>
        <v/>
      </c>
      <c r="W201" s="10">
        <f>IF(A201="c",LEFT(UPPER(B201)&amp;REPT(" ",20),20),REPT(" ",20))</f>
        <v/>
      </c>
      <c r="X201" s="10">
        <f>IF(A201="C",LEFT(UPPER(C201)&amp;REPT(" ",10),10)," ")</f>
        <v/>
      </c>
      <c r="Y201" s="10">
        <f>IF(A201="C",LEFT(UPPER(D201)&amp;REPT(" ",2),2)," ")</f>
        <v/>
      </c>
      <c r="Z201" s="10">
        <f>IF(A201="C",LEFT(UPPER(E201)&amp;REPT(" ",15),15)," ")</f>
        <v/>
      </c>
      <c r="AA201" s="10">
        <f>REPT(" ",8)</f>
        <v/>
      </c>
      <c r="AB201" s="10">
        <f>REPT(" ",4)</f>
        <v/>
      </c>
      <c r="AC201" s="10">
        <f>LEFT(UPPER(H201)&amp;REPT(" ",250),250)</f>
        <v/>
      </c>
      <c r="AD201" s="10">
        <f>TEXT($G$2,"dd/mm/aaaa")</f>
        <v/>
      </c>
      <c r="AE201" s="10">
        <f>REPT(" ",10)</f>
        <v/>
      </c>
      <c r="AF201" s="10">
        <f>REPT(" ",20)</f>
        <v/>
      </c>
      <c r="AG201" s="54">
        <f>REPT(" ",18-LEN(FIXED(F201,2,TRUE)))&amp;FIXED(F201,2,TRUE)</f>
        <v/>
      </c>
      <c r="AH201" s="10">
        <f>LEN(AC201)+LEN(AG201)</f>
        <v/>
      </c>
      <c r="AI201" s="10">
        <f>LEN(L201)</f>
        <v/>
      </c>
    </row>
    <row r="202">
      <c r="A202" s="61" t="n"/>
      <c r="B202" s="62" t="n"/>
      <c r="C202" s="62" t="n"/>
      <c r="D202" s="62" t="n"/>
      <c r="E202" s="62" t="n"/>
      <c r="H202" s="61" t="n"/>
      <c r="I202" s="42" t="n"/>
      <c r="J202" s="12">
        <f>IF(F202&lt;&gt;0,"LANÇAR","")</f>
        <v/>
      </c>
      <c r="K202" s="20" t="n"/>
      <c r="L202" s="13">
        <f>N202&amp;O202&amp;P202&amp;Q202&amp;R202&amp;S202&amp;T202&amp;U202&amp;V202&amp;W202&amp;X202&amp;Y202&amp;Z202&amp;AA202&amp;AB202&amp;AC202&amp;AD202&amp;AE202&amp;AF202&amp;AG202</f>
        <v/>
      </c>
      <c r="M202" s="20" t="n"/>
      <c r="N202" s="10">
        <f>TEXT($B$6,"00")</f>
        <v/>
      </c>
      <c r="O202" s="10">
        <f>REPT(" ",8)</f>
        <v/>
      </c>
      <c r="P202" s="10">
        <f>RIGHT($B$4,2)</f>
        <v/>
      </c>
      <c r="Q202" s="10">
        <f>RIGHT($B$5,3)</f>
        <v/>
      </c>
      <c r="R202" s="10">
        <f>IF(A202="D",LEFT(UPPER(B202)&amp;REPT(" ",20),20),REPT(" ",20))</f>
        <v/>
      </c>
      <c r="S202" s="10">
        <f>IF(A202="D",LEFT(UPPER(C202)&amp;REPT(" ",10),10)," ")</f>
        <v/>
      </c>
      <c r="T202" s="10">
        <f>IF(A202="D",LEFT(UPPER(D202)&amp;REPT(" ",2),2)," ")</f>
        <v/>
      </c>
      <c r="U202" s="10">
        <f>IF(A202="D",LEFT(UPPER(E202)&amp;REPT(" ",15),15)," ")</f>
        <v/>
      </c>
      <c r="V202" s="10">
        <f>REPT(" ",24)</f>
        <v/>
      </c>
      <c r="W202" s="10">
        <f>IF(A202="c",LEFT(UPPER(B202)&amp;REPT(" ",20),20),REPT(" ",20))</f>
        <v/>
      </c>
      <c r="X202" s="10">
        <f>IF(A202="C",LEFT(UPPER(C202)&amp;REPT(" ",10),10)," ")</f>
        <v/>
      </c>
      <c r="Y202" s="10">
        <f>IF(A202="C",LEFT(UPPER(D202)&amp;REPT(" ",2),2)," ")</f>
        <v/>
      </c>
      <c r="Z202" s="10">
        <f>IF(A202="C",LEFT(UPPER(E202)&amp;REPT(" ",15),15)," ")</f>
        <v/>
      </c>
      <c r="AA202" s="10">
        <f>REPT(" ",8)</f>
        <v/>
      </c>
      <c r="AB202" s="10">
        <f>REPT(" ",4)</f>
        <v/>
      </c>
      <c r="AC202" s="10">
        <f>LEFT(UPPER(H202)&amp;REPT(" ",250),250)</f>
        <v/>
      </c>
      <c r="AD202" s="10">
        <f>TEXT($G$2,"dd/mm/aaaa")</f>
        <v/>
      </c>
      <c r="AE202" s="10">
        <f>REPT(" ",10)</f>
        <v/>
      </c>
      <c r="AF202" s="10">
        <f>REPT(" ",20)</f>
        <v/>
      </c>
      <c r="AG202" s="54">
        <f>REPT(" ",18-LEN(FIXED(F202,2,TRUE)))&amp;FIXED(F202,2,TRUE)</f>
        <v/>
      </c>
      <c r="AH202" s="10">
        <f>LEN(AC202)+LEN(AG202)</f>
        <v/>
      </c>
      <c r="AI202" s="10">
        <f>LEN(L202)</f>
        <v/>
      </c>
    </row>
    <row r="203">
      <c r="A203" s="61" t="n"/>
      <c r="B203" s="62" t="n"/>
      <c r="C203" s="62" t="n"/>
      <c r="D203" s="62" t="n"/>
      <c r="E203" s="62" t="n"/>
      <c r="H203" s="61" t="n"/>
      <c r="I203" s="42" t="n"/>
      <c r="J203" s="12">
        <f>IF(F203&lt;&gt;0,"LANÇAR","")</f>
        <v/>
      </c>
      <c r="K203" s="20" t="n"/>
      <c r="L203" s="13">
        <f>N203&amp;O203&amp;P203&amp;Q203&amp;R203&amp;S203&amp;T203&amp;U203&amp;V203&amp;W203&amp;X203&amp;Y203&amp;Z203&amp;AA203&amp;AB203&amp;AC203&amp;AD203&amp;AE203&amp;AF203&amp;AG203</f>
        <v/>
      </c>
      <c r="M203" s="20" t="n"/>
      <c r="N203" s="10">
        <f>TEXT($B$6,"00")</f>
        <v/>
      </c>
      <c r="O203" s="10">
        <f>REPT(" ",8)</f>
        <v/>
      </c>
      <c r="P203" s="10">
        <f>RIGHT($B$4,2)</f>
        <v/>
      </c>
      <c r="Q203" s="10">
        <f>RIGHT($B$5,3)</f>
        <v/>
      </c>
      <c r="R203" s="10">
        <f>IF(A203="D",LEFT(UPPER(B203)&amp;REPT(" ",20),20),REPT(" ",20))</f>
        <v/>
      </c>
      <c r="S203" s="10">
        <f>IF(A203="D",LEFT(UPPER(C203)&amp;REPT(" ",10),10)," ")</f>
        <v/>
      </c>
      <c r="T203" s="10">
        <f>IF(A203="D",LEFT(UPPER(D203)&amp;REPT(" ",2),2)," ")</f>
        <v/>
      </c>
      <c r="U203" s="10">
        <f>IF(A203="D",LEFT(UPPER(E203)&amp;REPT(" ",15),15)," ")</f>
        <v/>
      </c>
      <c r="V203" s="10">
        <f>REPT(" ",24)</f>
        <v/>
      </c>
      <c r="W203" s="10">
        <f>IF(A203="c",LEFT(UPPER(B203)&amp;REPT(" ",20),20),REPT(" ",20))</f>
        <v/>
      </c>
      <c r="X203" s="10">
        <f>IF(A203="C",LEFT(UPPER(C203)&amp;REPT(" ",10),10)," ")</f>
        <v/>
      </c>
      <c r="Y203" s="10">
        <f>IF(A203="C",LEFT(UPPER(D203)&amp;REPT(" ",2),2)," ")</f>
        <v/>
      </c>
      <c r="Z203" s="10">
        <f>IF(A203="C",LEFT(UPPER(E203)&amp;REPT(" ",15),15)," ")</f>
        <v/>
      </c>
      <c r="AA203" s="10">
        <f>REPT(" ",8)</f>
        <v/>
      </c>
      <c r="AB203" s="10">
        <f>REPT(" ",4)</f>
        <v/>
      </c>
      <c r="AC203" s="10">
        <f>LEFT(UPPER(H203)&amp;REPT(" ",250),250)</f>
        <v/>
      </c>
      <c r="AD203" s="10">
        <f>TEXT($G$2,"dd/mm/aaaa")</f>
        <v/>
      </c>
      <c r="AE203" s="10">
        <f>REPT(" ",10)</f>
        <v/>
      </c>
      <c r="AF203" s="10">
        <f>REPT(" ",20)</f>
        <v/>
      </c>
      <c r="AG203" s="54">
        <f>REPT(" ",18-LEN(FIXED(F203,2,TRUE)))&amp;FIXED(F203,2,TRUE)</f>
        <v/>
      </c>
      <c r="AH203" s="10">
        <f>LEN(AC203)+LEN(AG203)</f>
        <v/>
      </c>
      <c r="AI203" s="10">
        <f>LEN(L203)</f>
        <v/>
      </c>
    </row>
    <row r="204">
      <c r="A204" s="61" t="n"/>
      <c r="B204" s="62" t="n"/>
      <c r="C204" s="62" t="n"/>
      <c r="D204" s="62" t="n"/>
      <c r="E204" s="62" t="n"/>
      <c r="H204" s="61" t="n"/>
      <c r="I204" s="42" t="n"/>
      <c r="J204" s="12">
        <f>IF(F204&lt;&gt;0,"LANÇAR","")</f>
        <v/>
      </c>
      <c r="K204" s="20" t="n"/>
      <c r="L204" s="13">
        <f>N204&amp;O204&amp;P204&amp;Q204&amp;R204&amp;S204&amp;T204&amp;U204&amp;V204&amp;W204&amp;X204&amp;Y204&amp;Z204&amp;AA204&amp;AB204&amp;AC204&amp;AD204&amp;AE204&amp;AF204&amp;AG204</f>
        <v/>
      </c>
      <c r="M204" s="20" t="n"/>
      <c r="N204" s="10">
        <f>TEXT($B$6,"00")</f>
        <v/>
      </c>
      <c r="O204" s="10">
        <f>REPT(" ",8)</f>
        <v/>
      </c>
      <c r="P204" s="10">
        <f>RIGHT($B$4,2)</f>
        <v/>
      </c>
      <c r="Q204" s="10">
        <f>RIGHT($B$5,3)</f>
        <v/>
      </c>
      <c r="R204" s="10">
        <f>IF(A204="D",LEFT(UPPER(B204)&amp;REPT(" ",20),20),REPT(" ",20))</f>
        <v/>
      </c>
      <c r="S204" s="10">
        <f>IF(A204="D",LEFT(UPPER(C204)&amp;REPT(" ",10),10)," ")</f>
        <v/>
      </c>
      <c r="T204" s="10">
        <f>IF(A204="D",LEFT(UPPER(D204)&amp;REPT(" ",2),2)," ")</f>
        <v/>
      </c>
      <c r="U204" s="10">
        <f>IF(A204="D",LEFT(UPPER(E204)&amp;REPT(" ",15),15)," ")</f>
        <v/>
      </c>
      <c r="V204" s="10">
        <f>REPT(" ",24)</f>
        <v/>
      </c>
      <c r="W204" s="10">
        <f>IF(A204="c",LEFT(UPPER(B204)&amp;REPT(" ",20),20),REPT(" ",20))</f>
        <v/>
      </c>
      <c r="X204" s="10">
        <f>IF(A204="C",LEFT(UPPER(C204)&amp;REPT(" ",10),10)," ")</f>
        <v/>
      </c>
      <c r="Y204" s="10">
        <f>IF(A204="C",LEFT(UPPER(D204)&amp;REPT(" ",2),2)," ")</f>
        <v/>
      </c>
      <c r="Z204" s="10">
        <f>IF(A204="C",LEFT(UPPER(E204)&amp;REPT(" ",15),15)," ")</f>
        <v/>
      </c>
      <c r="AA204" s="10">
        <f>REPT(" ",8)</f>
        <v/>
      </c>
      <c r="AB204" s="10">
        <f>REPT(" ",4)</f>
        <v/>
      </c>
      <c r="AC204" s="10">
        <f>LEFT(UPPER(H204)&amp;REPT(" ",250),250)</f>
        <v/>
      </c>
      <c r="AD204" s="10">
        <f>TEXT($G$2,"dd/mm/aaaa")</f>
        <v/>
      </c>
      <c r="AE204" s="10">
        <f>REPT(" ",10)</f>
        <v/>
      </c>
      <c r="AF204" s="10">
        <f>REPT(" ",20)</f>
        <v/>
      </c>
      <c r="AG204" s="54">
        <f>REPT(" ",18-LEN(FIXED(F204,2,TRUE)))&amp;FIXED(F204,2,TRUE)</f>
        <v/>
      </c>
      <c r="AH204" s="10">
        <f>LEN(AC204)+LEN(AG204)</f>
        <v/>
      </c>
      <c r="AI204" s="10">
        <f>LEN(L204)</f>
        <v/>
      </c>
    </row>
    <row r="205">
      <c r="A205" s="61" t="n"/>
      <c r="B205" s="62" t="n"/>
      <c r="C205" s="62" t="n"/>
      <c r="D205" s="62" t="n"/>
      <c r="E205" s="62" t="n"/>
      <c r="H205" s="61" t="n"/>
      <c r="I205" s="42" t="n"/>
      <c r="J205" s="12">
        <f>IF(F205&lt;&gt;0,"LANÇAR","")</f>
        <v/>
      </c>
      <c r="K205" s="20" t="n"/>
      <c r="L205" s="13">
        <f>N205&amp;O205&amp;P205&amp;Q205&amp;R205&amp;S205&amp;T205&amp;U205&amp;V205&amp;W205&amp;X205&amp;Y205&amp;Z205&amp;AA205&amp;AB205&amp;AC205&amp;AD205&amp;AE205&amp;AF205&amp;AG205</f>
        <v/>
      </c>
      <c r="M205" s="20" t="n"/>
      <c r="N205" s="10">
        <f>TEXT($B$6,"00")</f>
        <v/>
      </c>
      <c r="O205" s="10">
        <f>REPT(" ",8)</f>
        <v/>
      </c>
      <c r="P205" s="10">
        <f>RIGHT($B$4,2)</f>
        <v/>
      </c>
      <c r="Q205" s="10">
        <f>RIGHT($B$5,3)</f>
        <v/>
      </c>
      <c r="R205" s="10">
        <f>IF(A205="D",LEFT(UPPER(B205)&amp;REPT(" ",20),20),REPT(" ",20))</f>
        <v/>
      </c>
      <c r="S205" s="10">
        <f>IF(A205="D",LEFT(UPPER(C205)&amp;REPT(" ",10),10)," ")</f>
        <v/>
      </c>
      <c r="T205" s="10">
        <f>IF(A205="D",LEFT(UPPER(D205)&amp;REPT(" ",2),2)," ")</f>
        <v/>
      </c>
      <c r="U205" s="10">
        <f>IF(A205="D",LEFT(UPPER(E205)&amp;REPT(" ",15),15)," ")</f>
        <v/>
      </c>
      <c r="V205" s="10">
        <f>REPT(" ",24)</f>
        <v/>
      </c>
      <c r="W205" s="10">
        <f>IF(A205="c",LEFT(UPPER(B205)&amp;REPT(" ",20),20),REPT(" ",20))</f>
        <v/>
      </c>
      <c r="X205" s="10">
        <f>IF(A205="C",LEFT(UPPER(C205)&amp;REPT(" ",10),10)," ")</f>
        <v/>
      </c>
      <c r="Y205" s="10">
        <f>IF(A205="C",LEFT(UPPER(D205)&amp;REPT(" ",2),2)," ")</f>
        <v/>
      </c>
      <c r="Z205" s="10">
        <f>IF(A205="C",LEFT(UPPER(E205)&amp;REPT(" ",15),15)," ")</f>
        <v/>
      </c>
      <c r="AA205" s="10">
        <f>REPT(" ",8)</f>
        <v/>
      </c>
      <c r="AB205" s="10">
        <f>REPT(" ",4)</f>
        <v/>
      </c>
      <c r="AC205" s="10">
        <f>LEFT(UPPER(H205)&amp;REPT(" ",250),250)</f>
        <v/>
      </c>
      <c r="AD205" s="10">
        <f>TEXT($G$2,"dd/mm/aaaa")</f>
        <v/>
      </c>
      <c r="AE205" s="10">
        <f>REPT(" ",10)</f>
        <v/>
      </c>
      <c r="AF205" s="10">
        <f>REPT(" ",20)</f>
        <v/>
      </c>
      <c r="AG205" s="54">
        <f>REPT(" ",18-LEN(FIXED(F205,2,TRUE)))&amp;FIXED(F205,2,TRUE)</f>
        <v/>
      </c>
      <c r="AH205" s="10">
        <f>LEN(AC205)+LEN(AG205)</f>
        <v/>
      </c>
      <c r="AI205" s="10">
        <f>LEN(L205)</f>
        <v/>
      </c>
    </row>
    <row r="206">
      <c r="A206" s="61" t="n"/>
      <c r="B206" s="62" t="n"/>
      <c r="C206" s="62" t="n"/>
      <c r="D206" s="62" t="n"/>
      <c r="E206" s="62" t="n"/>
      <c r="H206" s="61" t="n"/>
      <c r="I206" s="42" t="n"/>
      <c r="J206" s="12">
        <f>IF(F206&lt;&gt;0,"LANÇAR","")</f>
        <v/>
      </c>
      <c r="K206" s="20" t="n"/>
      <c r="L206" s="13">
        <f>N206&amp;O206&amp;P206&amp;Q206&amp;R206&amp;S206&amp;T206&amp;U206&amp;V206&amp;W206&amp;X206&amp;Y206&amp;Z206&amp;AA206&amp;AB206&amp;AC206&amp;AD206&amp;AE206&amp;AF206&amp;AG206</f>
        <v/>
      </c>
      <c r="M206" s="20" t="n"/>
      <c r="N206" s="10">
        <f>TEXT($B$6,"00")</f>
        <v/>
      </c>
      <c r="O206" s="10">
        <f>REPT(" ",8)</f>
        <v/>
      </c>
      <c r="P206" s="10">
        <f>RIGHT($B$4,2)</f>
        <v/>
      </c>
      <c r="Q206" s="10">
        <f>RIGHT($B$5,3)</f>
        <v/>
      </c>
      <c r="R206" s="10">
        <f>IF(A206="D",LEFT(UPPER(B206)&amp;REPT(" ",20),20),REPT(" ",20))</f>
        <v/>
      </c>
      <c r="S206" s="10">
        <f>IF(A206="D",LEFT(UPPER(C206)&amp;REPT(" ",10),10)," ")</f>
        <v/>
      </c>
      <c r="T206" s="10">
        <f>IF(A206="D",LEFT(UPPER(D206)&amp;REPT(" ",2),2)," ")</f>
        <v/>
      </c>
      <c r="U206" s="10">
        <f>IF(A206="D",LEFT(UPPER(E206)&amp;REPT(" ",15),15)," ")</f>
        <v/>
      </c>
      <c r="V206" s="10">
        <f>REPT(" ",24)</f>
        <v/>
      </c>
      <c r="W206" s="10">
        <f>IF(A206="c",LEFT(UPPER(B206)&amp;REPT(" ",20),20),REPT(" ",20))</f>
        <v/>
      </c>
      <c r="X206" s="10">
        <f>IF(A206="C",LEFT(UPPER(C206)&amp;REPT(" ",10),10)," ")</f>
        <v/>
      </c>
      <c r="Y206" s="10">
        <f>IF(A206="C",LEFT(UPPER(D206)&amp;REPT(" ",2),2)," ")</f>
        <v/>
      </c>
      <c r="Z206" s="10">
        <f>IF(A206="C",LEFT(UPPER(E206)&amp;REPT(" ",15),15)," ")</f>
        <v/>
      </c>
      <c r="AA206" s="10">
        <f>REPT(" ",8)</f>
        <v/>
      </c>
      <c r="AB206" s="10">
        <f>REPT(" ",4)</f>
        <v/>
      </c>
      <c r="AC206" s="10">
        <f>LEFT(UPPER(H206)&amp;REPT(" ",250),250)</f>
        <v/>
      </c>
      <c r="AD206" s="10">
        <f>TEXT($G$2,"dd/mm/aaaa")</f>
        <v/>
      </c>
      <c r="AE206" s="10">
        <f>REPT(" ",10)</f>
        <v/>
      </c>
      <c r="AF206" s="10">
        <f>REPT(" ",20)</f>
        <v/>
      </c>
      <c r="AG206" s="54">
        <f>REPT(" ",18-LEN(FIXED(F206,2,TRUE)))&amp;FIXED(F206,2,TRUE)</f>
        <v/>
      </c>
      <c r="AH206" s="10">
        <f>LEN(AC206)+LEN(AG206)</f>
        <v/>
      </c>
      <c r="AI206" s="10">
        <f>LEN(L206)</f>
        <v/>
      </c>
    </row>
    <row r="207">
      <c r="A207" s="61" t="n"/>
      <c r="B207" s="62" t="n"/>
      <c r="C207" s="62" t="n"/>
      <c r="D207" s="62" t="n"/>
      <c r="E207" s="62" t="n"/>
      <c r="H207" s="61" t="n"/>
      <c r="I207" s="42" t="n"/>
      <c r="J207" s="12">
        <f>IF(F207&lt;&gt;0,"LANÇAR","")</f>
        <v/>
      </c>
      <c r="K207" s="20" t="n"/>
      <c r="L207" s="13">
        <f>N207&amp;O207&amp;P207&amp;Q207&amp;R207&amp;S207&amp;T207&amp;U207&amp;V207&amp;W207&amp;X207&amp;Y207&amp;Z207&amp;AA207&amp;AB207&amp;AC207&amp;AD207&amp;AE207&amp;AF207&amp;AG207</f>
        <v/>
      </c>
      <c r="M207" s="20" t="n"/>
      <c r="N207" s="10">
        <f>TEXT($B$6,"00")</f>
        <v/>
      </c>
      <c r="O207" s="10">
        <f>REPT(" ",8)</f>
        <v/>
      </c>
      <c r="P207" s="10">
        <f>RIGHT($B$4,2)</f>
        <v/>
      </c>
      <c r="Q207" s="10">
        <f>RIGHT($B$5,3)</f>
        <v/>
      </c>
      <c r="R207" s="10">
        <f>IF(A207="D",LEFT(UPPER(B207)&amp;REPT(" ",20),20),REPT(" ",20))</f>
        <v/>
      </c>
      <c r="S207" s="10">
        <f>IF(A207="D",LEFT(UPPER(C207)&amp;REPT(" ",10),10)," ")</f>
        <v/>
      </c>
      <c r="T207" s="10">
        <f>IF(A207="D",LEFT(UPPER(D207)&amp;REPT(" ",2),2)," ")</f>
        <v/>
      </c>
      <c r="U207" s="10">
        <f>IF(A207="D",LEFT(UPPER(E207)&amp;REPT(" ",15),15)," ")</f>
        <v/>
      </c>
      <c r="V207" s="10">
        <f>REPT(" ",24)</f>
        <v/>
      </c>
      <c r="W207" s="10">
        <f>IF(A207="c",LEFT(UPPER(B207)&amp;REPT(" ",20),20),REPT(" ",20))</f>
        <v/>
      </c>
      <c r="X207" s="10">
        <f>IF(A207="C",LEFT(UPPER(C207)&amp;REPT(" ",10),10)," ")</f>
        <v/>
      </c>
      <c r="Y207" s="10">
        <f>IF(A207="C",LEFT(UPPER(D207)&amp;REPT(" ",2),2)," ")</f>
        <v/>
      </c>
      <c r="Z207" s="10">
        <f>IF(A207="C",LEFT(UPPER(E207)&amp;REPT(" ",15),15)," ")</f>
        <v/>
      </c>
      <c r="AA207" s="10">
        <f>REPT(" ",8)</f>
        <v/>
      </c>
      <c r="AB207" s="10">
        <f>REPT(" ",4)</f>
        <v/>
      </c>
      <c r="AC207" s="10">
        <f>LEFT(UPPER(H207)&amp;REPT(" ",250),250)</f>
        <v/>
      </c>
      <c r="AD207" s="10">
        <f>TEXT($G$2,"dd/mm/aaaa")</f>
        <v/>
      </c>
      <c r="AE207" s="10">
        <f>REPT(" ",10)</f>
        <v/>
      </c>
      <c r="AF207" s="10">
        <f>REPT(" ",20)</f>
        <v/>
      </c>
      <c r="AG207" s="54">
        <f>REPT(" ",18-LEN(FIXED(F207,2,TRUE)))&amp;FIXED(F207,2,TRUE)</f>
        <v/>
      </c>
      <c r="AH207" s="10">
        <f>LEN(AC207)+LEN(AG207)</f>
        <v/>
      </c>
      <c r="AI207" s="10">
        <f>LEN(L207)</f>
        <v/>
      </c>
    </row>
    <row r="208">
      <c r="A208" s="61" t="n"/>
      <c r="B208" s="62" t="n"/>
      <c r="C208" s="62" t="n"/>
      <c r="D208" s="62" t="n"/>
      <c r="E208" s="62" t="n"/>
      <c r="H208" s="61" t="n"/>
      <c r="I208" s="42" t="n"/>
      <c r="J208" s="12">
        <f>IF(F208&lt;&gt;0,"LANÇAR","")</f>
        <v/>
      </c>
      <c r="K208" s="20" t="n"/>
      <c r="L208" s="13">
        <f>N208&amp;O208&amp;P208&amp;Q208&amp;R208&amp;S208&amp;T208&amp;U208&amp;V208&amp;W208&amp;X208&amp;Y208&amp;Z208&amp;AA208&amp;AB208&amp;AC208&amp;AD208&amp;AE208&amp;AF208&amp;AG208</f>
        <v/>
      </c>
      <c r="M208" s="20" t="n"/>
      <c r="N208" s="10">
        <f>TEXT($B$6,"00")</f>
        <v/>
      </c>
      <c r="O208" s="10">
        <f>REPT(" ",8)</f>
        <v/>
      </c>
      <c r="P208" s="10">
        <f>RIGHT($B$4,2)</f>
        <v/>
      </c>
      <c r="Q208" s="10">
        <f>RIGHT($B$5,3)</f>
        <v/>
      </c>
      <c r="R208" s="10">
        <f>IF(A208="D",LEFT(UPPER(B208)&amp;REPT(" ",20),20),REPT(" ",20))</f>
        <v/>
      </c>
      <c r="S208" s="10">
        <f>IF(A208="D",LEFT(UPPER(C208)&amp;REPT(" ",10),10)," ")</f>
        <v/>
      </c>
      <c r="T208" s="10">
        <f>IF(A208="D",LEFT(UPPER(D208)&amp;REPT(" ",2),2)," ")</f>
        <v/>
      </c>
      <c r="U208" s="10">
        <f>IF(A208="D",LEFT(UPPER(E208)&amp;REPT(" ",15),15)," ")</f>
        <v/>
      </c>
      <c r="V208" s="10">
        <f>REPT(" ",24)</f>
        <v/>
      </c>
      <c r="W208" s="10">
        <f>IF(A208="c",LEFT(UPPER(B208)&amp;REPT(" ",20),20),REPT(" ",20))</f>
        <v/>
      </c>
      <c r="X208" s="10">
        <f>IF(A208="C",LEFT(UPPER(C208)&amp;REPT(" ",10),10)," ")</f>
        <v/>
      </c>
      <c r="Y208" s="10">
        <f>IF(A208="C",LEFT(UPPER(D208)&amp;REPT(" ",2),2)," ")</f>
        <v/>
      </c>
      <c r="Z208" s="10">
        <f>IF(A208="C",LEFT(UPPER(E208)&amp;REPT(" ",15),15)," ")</f>
        <v/>
      </c>
      <c r="AA208" s="10">
        <f>REPT(" ",8)</f>
        <v/>
      </c>
      <c r="AB208" s="10">
        <f>REPT(" ",4)</f>
        <v/>
      </c>
      <c r="AC208" s="10">
        <f>LEFT(UPPER(H208)&amp;REPT(" ",250),250)</f>
        <v/>
      </c>
      <c r="AD208" s="10">
        <f>TEXT($G$2,"dd/mm/aaaa")</f>
        <v/>
      </c>
      <c r="AE208" s="10">
        <f>REPT(" ",10)</f>
        <v/>
      </c>
      <c r="AF208" s="10">
        <f>REPT(" ",20)</f>
        <v/>
      </c>
      <c r="AG208" s="54">
        <f>REPT(" ",18-LEN(FIXED(F208,2,TRUE)))&amp;FIXED(F208,2,TRUE)</f>
        <v/>
      </c>
      <c r="AH208" s="10">
        <f>LEN(AC208)+LEN(AG208)</f>
        <v/>
      </c>
      <c r="AI208" s="10">
        <f>LEN(L208)</f>
        <v/>
      </c>
    </row>
    <row r="209">
      <c r="A209" s="61" t="n"/>
      <c r="B209" s="62" t="n"/>
      <c r="C209" s="62" t="n"/>
      <c r="D209" s="62" t="n"/>
      <c r="E209" s="62" t="n"/>
      <c r="H209" s="61" t="n"/>
      <c r="I209" s="42" t="n"/>
      <c r="J209" s="12">
        <f>IF(F209&lt;&gt;0,"LANÇAR","")</f>
        <v/>
      </c>
      <c r="K209" s="20" t="n"/>
      <c r="L209" s="13">
        <f>N209&amp;O209&amp;P209&amp;Q209&amp;R209&amp;S209&amp;T209&amp;U209&amp;V209&amp;W209&amp;X209&amp;Y209&amp;Z209&amp;AA209&amp;AB209&amp;AC209&amp;AD209&amp;AE209&amp;AF209&amp;AG209</f>
        <v/>
      </c>
      <c r="M209" s="20" t="n"/>
      <c r="N209" s="10">
        <f>TEXT($B$6,"00")</f>
        <v/>
      </c>
      <c r="O209" s="10">
        <f>REPT(" ",8)</f>
        <v/>
      </c>
      <c r="P209" s="10">
        <f>RIGHT($B$4,2)</f>
        <v/>
      </c>
      <c r="Q209" s="10">
        <f>RIGHT($B$5,3)</f>
        <v/>
      </c>
      <c r="R209" s="10">
        <f>IF(A209="D",LEFT(UPPER(B209)&amp;REPT(" ",20),20),REPT(" ",20))</f>
        <v/>
      </c>
      <c r="S209" s="10">
        <f>IF(A209="D",LEFT(UPPER(C209)&amp;REPT(" ",10),10)," ")</f>
        <v/>
      </c>
      <c r="T209" s="10">
        <f>IF(A209="D",LEFT(UPPER(D209)&amp;REPT(" ",2),2)," ")</f>
        <v/>
      </c>
      <c r="U209" s="10">
        <f>IF(A209="D",LEFT(UPPER(E209)&amp;REPT(" ",15),15)," ")</f>
        <v/>
      </c>
      <c r="V209" s="10">
        <f>REPT(" ",24)</f>
        <v/>
      </c>
      <c r="W209" s="10">
        <f>IF(A209="c",LEFT(UPPER(B209)&amp;REPT(" ",20),20),REPT(" ",20))</f>
        <v/>
      </c>
      <c r="X209" s="10">
        <f>IF(A209="C",LEFT(UPPER(C209)&amp;REPT(" ",10),10)," ")</f>
        <v/>
      </c>
      <c r="Y209" s="10">
        <f>IF(A209="C",LEFT(UPPER(D209)&amp;REPT(" ",2),2)," ")</f>
        <v/>
      </c>
      <c r="Z209" s="10">
        <f>IF(A209="C",LEFT(UPPER(E209)&amp;REPT(" ",15),15)," ")</f>
        <v/>
      </c>
      <c r="AA209" s="10">
        <f>REPT(" ",8)</f>
        <v/>
      </c>
      <c r="AB209" s="10">
        <f>REPT(" ",4)</f>
        <v/>
      </c>
      <c r="AC209" s="10">
        <f>LEFT(UPPER(H209)&amp;REPT(" ",250),250)</f>
        <v/>
      </c>
      <c r="AD209" s="10">
        <f>TEXT($G$2,"dd/mm/aaaa")</f>
        <v/>
      </c>
      <c r="AE209" s="10">
        <f>REPT(" ",10)</f>
        <v/>
      </c>
      <c r="AF209" s="10">
        <f>REPT(" ",20)</f>
        <v/>
      </c>
      <c r="AG209" s="54">
        <f>REPT(" ",18-LEN(FIXED(F209,2,TRUE)))&amp;FIXED(F209,2,TRUE)</f>
        <v/>
      </c>
      <c r="AH209" s="10">
        <f>LEN(AC209)+LEN(AG209)</f>
        <v/>
      </c>
      <c r="AI209" s="10">
        <f>LEN(L209)</f>
        <v/>
      </c>
    </row>
    <row r="210">
      <c r="A210" s="61" t="n"/>
      <c r="B210" s="62" t="n"/>
      <c r="C210" s="62" t="n"/>
      <c r="D210" s="62" t="n"/>
      <c r="E210" s="62" t="n"/>
      <c r="H210" s="61" t="n"/>
      <c r="I210" s="42" t="n"/>
      <c r="J210" s="12">
        <f>IF(F210&lt;&gt;0,"LANÇAR","")</f>
        <v/>
      </c>
      <c r="K210" s="20" t="n"/>
      <c r="L210" s="13">
        <f>N210&amp;O210&amp;P210&amp;Q210&amp;R210&amp;S210&amp;T210&amp;U210&amp;V210&amp;W210&amp;X210&amp;Y210&amp;Z210&amp;AA210&amp;AB210&amp;AC210&amp;AD210&amp;AE210&amp;AF210&amp;AG210</f>
        <v/>
      </c>
      <c r="M210" s="20" t="n"/>
      <c r="N210" s="10">
        <f>TEXT($B$6,"00")</f>
        <v/>
      </c>
      <c r="O210" s="10">
        <f>REPT(" ",8)</f>
        <v/>
      </c>
      <c r="P210" s="10">
        <f>RIGHT($B$4,2)</f>
        <v/>
      </c>
      <c r="Q210" s="10">
        <f>RIGHT($B$5,3)</f>
        <v/>
      </c>
      <c r="R210" s="10">
        <f>IF(A210="D",LEFT(UPPER(B210)&amp;REPT(" ",20),20),REPT(" ",20))</f>
        <v/>
      </c>
      <c r="S210" s="10">
        <f>IF(A210="D",LEFT(UPPER(C210)&amp;REPT(" ",10),10)," ")</f>
        <v/>
      </c>
      <c r="T210" s="10">
        <f>IF(A210="D",LEFT(UPPER(D210)&amp;REPT(" ",2),2)," ")</f>
        <v/>
      </c>
      <c r="U210" s="10">
        <f>IF(A210="D",LEFT(UPPER(E210)&amp;REPT(" ",15),15)," ")</f>
        <v/>
      </c>
      <c r="V210" s="10">
        <f>REPT(" ",24)</f>
        <v/>
      </c>
      <c r="W210" s="10">
        <f>IF(A210="c",LEFT(UPPER(B210)&amp;REPT(" ",20),20),REPT(" ",20))</f>
        <v/>
      </c>
      <c r="X210" s="10">
        <f>IF(A210="C",LEFT(UPPER(C210)&amp;REPT(" ",10),10)," ")</f>
        <v/>
      </c>
      <c r="Y210" s="10">
        <f>IF(A210="C",LEFT(UPPER(D210)&amp;REPT(" ",2),2)," ")</f>
        <v/>
      </c>
      <c r="Z210" s="10">
        <f>IF(A210="C",LEFT(UPPER(E210)&amp;REPT(" ",15),15)," ")</f>
        <v/>
      </c>
      <c r="AA210" s="10">
        <f>REPT(" ",8)</f>
        <v/>
      </c>
      <c r="AB210" s="10">
        <f>REPT(" ",4)</f>
        <v/>
      </c>
      <c r="AC210" s="10">
        <f>LEFT(UPPER(H210)&amp;REPT(" ",250),250)</f>
        <v/>
      </c>
      <c r="AD210" s="10">
        <f>TEXT($G$2,"dd/mm/aaaa")</f>
        <v/>
      </c>
      <c r="AE210" s="10">
        <f>REPT(" ",10)</f>
        <v/>
      </c>
      <c r="AF210" s="10">
        <f>REPT(" ",20)</f>
        <v/>
      </c>
      <c r="AG210" s="54">
        <f>REPT(" ",18-LEN(FIXED(F210,2,TRUE)))&amp;FIXED(F210,2,TRUE)</f>
        <v/>
      </c>
      <c r="AH210" s="10">
        <f>LEN(AC210)+LEN(AG210)</f>
        <v/>
      </c>
      <c r="AI210" s="10">
        <f>LEN(L210)</f>
        <v/>
      </c>
    </row>
    <row r="211">
      <c r="A211" s="61" t="n"/>
      <c r="B211" s="62" t="n"/>
      <c r="C211" s="62" t="n"/>
      <c r="D211" s="62" t="n"/>
      <c r="E211" s="62" t="n"/>
      <c r="H211" s="61" t="n"/>
      <c r="I211" s="42" t="n"/>
      <c r="J211" s="12">
        <f>IF(F211&lt;&gt;0,"LANÇAR","")</f>
        <v/>
      </c>
      <c r="K211" s="20" t="n"/>
      <c r="L211" s="13">
        <f>N211&amp;O211&amp;P211&amp;Q211&amp;R211&amp;S211&amp;T211&amp;U211&amp;V211&amp;W211&amp;X211&amp;Y211&amp;Z211&amp;AA211&amp;AB211&amp;AC211&amp;AD211&amp;AE211&amp;AF211&amp;AG211</f>
        <v/>
      </c>
      <c r="M211" s="20" t="n"/>
      <c r="N211" s="10">
        <f>TEXT($B$6,"00")</f>
        <v/>
      </c>
      <c r="O211" s="10">
        <f>REPT(" ",8)</f>
        <v/>
      </c>
      <c r="P211" s="10">
        <f>RIGHT($B$4,2)</f>
        <v/>
      </c>
      <c r="Q211" s="10">
        <f>RIGHT($B$5,3)</f>
        <v/>
      </c>
      <c r="R211" s="10">
        <f>IF(A211="D",LEFT(UPPER(B211)&amp;REPT(" ",20),20),REPT(" ",20))</f>
        <v/>
      </c>
      <c r="S211" s="10">
        <f>IF(A211="D",LEFT(UPPER(C211)&amp;REPT(" ",10),10)," ")</f>
        <v/>
      </c>
      <c r="T211" s="10">
        <f>IF(A211="D",LEFT(UPPER(D211)&amp;REPT(" ",2),2)," ")</f>
        <v/>
      </c>
      <c r="U211" s="10">
        <f>IF(A211="D",LEFT(UPPER(E211)&amp;REPT(" ",15),15)," ")</f>
        <v/>
      </c>
      <c r="V211" s="10">
        <f>REPT(" ",24)</f>
        <v/>
      </c>
      <c r="W211" s="10">
        <f>IF(A211="c",LEFT(UPPER(B211)&amp;REPT(" ",20),20),REPT(" ",20))</f>
        <v/>
      </c>
      <c r="X211" s="10">
        <f>IF(A211="C",LEFT(UPPER(C211)&amp;REPT(" ",10),10)," ")</f>
        <v/>
      </c>
      <c r="Y211" s="10">
        <f>IF(A211="C",LEFT(UPPER(D211)&amp;REPT(" ",2),2)," ")</f>
        <v/>
      </c>
      <c r="Z211" s="10">
        <f>IF(A211="C",LEFT(UPPER(E211)&amp;REPT(" ",15),15)," ")</f>
        <v/>
      </c>
      <c r="AA211" s="10">
        <f>REPT(" ",8)</f>
        <v/>
      </c>
      <c r="AB211" s="10">
        <f>REPT(" ",4)</f>
        <v/>
      </c>
      <c r="AC211" s="10">
        <f>LEFT(UPPER(H211)&amp;REPT(" ",250),250)</f>
        <v/>
      </c>
      <c r="AD211" s="10">
        <f>TEXT($G$2,"dd/mm/aaaa")</f>
        <v/>
      </c>
      <c r="AE211" s="10">
        <f>REPT(" ",10)</f>
        <v/>
      </c>
      <c r="AF211" s="10">
        <f>REPT(" ",20)</f>
        <v/>
      </c>
      <c r="AG211" s="54">
        <f>REPT(" ",18-LEN(FIXED(F211,2,TRUE)))&amp;FIXED(F211,2,TRUE)</f>
        <v/>
      </c>
      <c r="AH211" s="10">
        <f>LEN(AC211)+LEN(AG211)</f>
        <v/>
      </c>
      <c r="AI211" s="10">
        <f>LEN(L211)</f>
        <v/>
      </c>
    </row>
    <row r="212">
      <c r="A212" s="61" t="n"/>
      <c r="B212" s="62" t="n"/>
      <c r="C212" s="62" t="n"/>
      <c r="D212" s="62" t="n"/>
      <c r="E212" s="62" t="n"/>
      <c r="H212" s="61" t="n"/>
      <c r="I212" s="42" t="n"/>
      <c r="J212" s="12">
        <f>IF(F212&lt;&gt;0,"LANÇAR","")</f>
        <v/>
      </c>
      <c r="K212" s="20" t="n"/>
      <c r="L212" s="13">
        <f>N212&amp;O212&amp;P212&amp;Q212&amp;R212&amp;S212&amp;T212&amp;U212&amp;V212&amp;W212&amp;X212&amp;Y212&amp;Z212&amp;AA212&amp;AB212&amp;AC212&amp;AD212&amp;AE212&amp;AF212&amp;AG212</f>
        <v/>
      </c>
      <c r="M212" s="20" t="n"/>
      <c r="N212" s="10">
        <f>TEXT($B$6,"00")</f>
        <v/>
      </c>
      <c r="O212" s="10">
        <f>REPT(" ",8)</f>
        <v/>
      </c>
      <c r="P212" s="10">
        <f>RIGHT($B$4,2)</f>
        <v/>
      </c>
      <c r="Q212" s="10">
        <f>RIGHT($B$5,3)</f>
        <v/>
      </c>
      <c r="R212" s="10">
        <f>IF(A212="D",LEFT(UPPER(B212)&amp;REPT(" ",20),20),REPT(" ",20))</f>
        <v/>
      </c>
      <c r="S212" s="10">
        <f>IF(A212="D",LEFT(UPPER(C212)&amp;REPT(" ",10),10)," ")</f>
        <v/>
      </c>
      <c r="T212" s="10">
        <f>IF(A212="D",LEFT(UPPER(D212)&amp;REPT(" ",2),2)," ")</f>
        <v/>
      </c>
      <c r="U212" s="10">
        <f>IF(A212="D",LEFT(UPPER(E212)&amp;REPT(" ",15),15)," ")</f>
        <v/>
      </c>
      <c r="V212" s="10">
        <f>REPT(" ",24)</f>
        <v/>
      </c>
      <c r="W212" s="10">
        <f>IF(A212="c",LEFT(UPPER(B212)&amp;REPT(" ",20),20),REPT(" ",20))</f>
        <v/>
      </c>
      <c r="X212" s="10">
        <f>IF(A212="C",LEFT(UPPER(C212)&amp;REPT(" ",10),10)," ")</f>
        <v/>
      </c>
      <c r="Y212" s="10">
        <f>IF(A212="C",LEFT(UPPER(D212)&amp;REPT(" ",2),2)," ")</f>
        <v/>
      </c>
      <c r="Z212" s="10">
        <f>IF(A212="C",LEFT(UPPER(E212)&amp;REPT(" ",15),15)," ")</f>
        <v/>
      </c>
      <c r="AA212" s="10">
        <f>REPT(" ",8)</f>
        <v/>
      </c>
      <c r="AB212" s="10">
        <f>REPT(" ",4)</f>
        <v/>
      </c>
      <c r="AC212" s="10">
        <f>LEFT(UPPER(H212)&amp;REPT(" ",250),250)</f>
        <v/>
      </c>
      <c r="AD212" s="10">
        <f>TEXT($G$2,"dd/mm/aaaa")</f>
        <v/>
      </c>
      <c r="AE212" s="10">
        <f>REPT(" ",10)</f>
        <v/>
      </c>
      <c r="AF212" s="10">
        <f>REPT(" ",20)</f>
        <v/>
      </c>
      <c r="AG212" s="54">
        <f>REPT(" ",18-LEN(FIXED(F212,2,TRUE)))&amp;FIXED(F212,2,TRUE)</f>
        <v/>
      </c>
      <c r="AH212" s="10">
        <f>LEN(AC212)+LEN(AG212)</f>
        <v/>
      </c>
      <c r="AI212" s="10">
        <f>LEN(L212)</f>
        <v/>
      </c>
    </row>
    <row r="213">
      <c r="A213" s="61" t="n"/>
      <c r="B213" s="62" t="n"/>
      <c r="C213" s="62" t="n"/>
      <c r="D213" s="62" t="n"/>
      <c r="E213" s="62" t="n"/>
      <c r="H213" s="61" t="n"/>
      <c r="I213" s="42" t="n"/>
      <c r="J213" s="12">
        <f>IF(F213&lt;&gt;0,"LANÇAR","")</f>
        <v/>
      </c>
      <c r="K213" s="20" t="n"/>
      <c r="L213" s="13">
        <f>N213&amp;O213&amp;P213&amp;Q213&amp;R213&amp;S213&amp;T213&amp;U213&amp;V213&amp;W213&amp;X213&amp;Y213&amp;Z213&amp;AA213&amp;AB213&amp;AC213&amp;AD213&amp;AE213&amp;AF213&amp;AG213</f>
        <v/>
      </c>
      <c r="M213" s="20" t="n"/>
      <c r="N213" s="10">
        <f>TEXT($B$6,"00")</f>
        <v/>
      </c>
      <c r="O213" s="10">
        <f>REPT(" ",8)</f>
        <v/>
      </c>
      <c r="P213" s="10">
        <f>RIGHT($B$4,2)</f>
        <v/>
      </c>
      <c r="Q213" s="10">
        <f>RIGHT($B$5,3)</f>
        <v/>
      </c>
      <c r="R213" s="10">
        <f>IF(A213="D",LEFT(UPPER(B213)&amp;REPT(" ",20),20),REPT(" ",20))</f>
        <v/>
      </c>
      <c r="S213" s="10">
        <f>IF(A213="D",LEFT(UPPER(C213)&amp;REPT(" ",10),10)," ")</f>
        <v/>
      </c>
      <c r="T213" s="10">
        <f>IF(A213="D",LEFT(UPPER(D213)&amp;REPT(" ",2),2)," ")</f>
        <v/>
      </c>
      <c r="U213" s="10">
        <f>IF(A213="D",LEFT(UPPER(E213)&amp;REPT(" ",15),15)," ")</f>
        <v/>
      </c>
      <c r="V213" s="10">
        <f>REPT(" ",24)</f>
        <v/>
      </c>
      <c r="W213" s="10">
        <f>IF(A213="c",LEFT(UPPER(B213)&amp;REPT(" ",20),20),REPT(" ",20))</f>
        <v/>
      </c>
      <c r="X213" s="10">
        <f>IF(A213="C",LEFT(UPPER(C213)&amp;REPT(" ",10),10)," ")</f>
        <v/>
      </c>
      <c r="Y213" s="10">
        <f>IF(A213="C",LEFT(UPPER(D213)&amp;REPT(" ",2),2)," ")</f>
        <v/>
      </c>
      <c r="Z213" s="10">
        <f>IF(A213="C",LEFT(UPPER(E213)&amp;REPT(" ",15),15)," ")</f>
        <v/>
      </c>
      <c r="AA213" s="10">
        <f>REPT(" ",8)</f>
        <v/>
      </c>
      <c r="AB213" s="10">
        <f>REPT(" ",4)</f>
        <v/>
      </c>
      <c r="AC213" s="10">
        <f>LEFT(UPPER(H213)&amp;REPT(" ",250),250)</f>
        <v/>
      </c>
      <c r="AD213" s="10">
        <f>TEXT($G$2,"dd/mm/aaaa")</f>
        <v/>
      </c>
      <c r="AE213" s="10">
        <f>REPT(" ",10)</f>
        <v/>
      </c>
      <c r="AF213" s="10">
        <f>REPT(" ",20)</f>
        <v/>
      </c>
      <c r="AG213" s="54">
        <f>REPT(" ",18-LEN(FIXED(F213,2,TRUE)))&amp;FIXED(F213,2,TRUE)</f>
        <v/>
      </c>
      <c r="AH213" s="10">
        <f>LEN(AC213)+LEN(AG213)</f>
        <v/>
      </c>
      <c r="AI213" s="10">
        <f>LEN(L213)</f>
        <v/>
      </c>
    </row>
    <row r="214">
      <c r="A214" s="61" t="n"/>
      <c r="B214" s="62" t="n"/>
      <c r="C214" s="62" t="n"/>
      <c r="D214" s="62" t="n"/>
      <c r="E214" s="62" t="n"/>
      <c r="H214" s="61" t="n"/>
      <c r="I214" s="42" t="n"/>
      <c r="J214" s="12">
        <f>IF(F214&lt;&gt;0,"LANÇAR","")</f>
        <v/>
      </c>
      <c r="K214" s="20" t="n"/>
      <c r="L214" s="13">
        <f>N214&amp;O214&amp;P214&amp;Q214&amp;R214&amp;S214&amp;T214&amp;U214&amp;V214&amp;W214&amp;X214&amp;Y214&amp;Z214&amp;AA214&amp;AB214&amp;AC214&amp;AD214&amp;AE214&amp;AF214&amp;AG214</f>
        <v/>
      </c>
      <c r="M214" s="20" t="n"/>
      <c r="N214" s="10">
        <f>TEXT($B$6,"00")</f>
        <v/>
      </c>
      <c r="O214" s="10">
        <f>REPT(" ",8)</f>
        <v/>
      </c>
      <c r="P214" s="10">
        <f>RIGHT($B$4,2)</f>
        <v/>
      </c>
      <c r="Q214" s="10">
        <f>RIGHT($B$5,3)</f>
        <v/>
      </c>
      <c r="R214" s="10">
        <f>IF(A214="D",LEFT(UPPER(B214)&amp;REPT(" ",20),20),REPT(" ",20))</f>
        <v/>
      </c>
      <c r="S214" s="10">
        <f>IF(A214="D",LEFT(UPPER(C214)&amp;REPT(" ",10),10)," ")</f>
        <v/>
      </c>
      <c r="T214" s="10">
        <f>IF(A214="D",LEFT(UPPER(D214)&amp;REPT(" ",2),2)," ")</f>
        <v/>
      </c>
      <c r="U214" s="10">
        <f>IF(A214="D",LEFT(UPPER(E214)&amp;REPT(" ",15),15)," ")</f>
        <v/>
      </c>
      <c r="V214" s="10">
        <f>REPT(" ",24)</f>
        <v/>
      </c>
      <c r="W214" s="10">
        <f>IF(A214="c",LEFT(UPPER(B214)&amp;REPT(" ",20),20),REPT(" ",20))</f>
        <v/>
      </c>
      <c r="X214" s="10">
        <f>IF(A214="C",LEFT(UPPER(C214)&amp;REPT(" ",10),10)," ")</f>
        <v/>
      </c>
      <c r="Y214" s="10">
        <f>IF(A214="C",LEFT(UPPER(D214)&amp;REPT(" ",2),2)," ")</f>
        <v/>
      </c>
      <c r="Z214" s="10">
        <f>IF(A214="C",LEFT(UPPER(E214)&amp;REPT(" ",15),15)," ")</f>
        <v/>
      </c>
      <c r="AA214" s="10">
        <f>REPT(" ",8)</f>
        <v/>
      </c>
      <c r="AB214" s="10">
        <f>REPT(" ",4)</f>
        <v/>
      </c>
      <c r="AC214" s="10">
        <f>LEFT(UPPER(H214)&amp;REPT(" ",250),250)</f>
        <v/>
      </c>
      <c r="AD214" s="10">
        <f>TEXT($G$2,"dd/mm/aaaa")</f>
        <v/>
      </c>
      <c r="AE214" s="10">
        <f>REPT(" ",10)</f>
        <v/>
      </c>
      <c r="AF214" s="10">
        <f>REPT(" ",20)</f>
        <v/>
      </c>
      <c r="AG214" s="54">
        <f>REPT(" ",18-LEN(FIXED(F214,2,TRUE)))&amp;FIXED(F214,2,TRUE)</f>
        <v/>
      </c>
      <c r="AH214" s="10">
        <f>LEN(AC214)+LEN(AG214)</f>
        <v/>
      </c>
      <c r="AI214" s="10">
        <f>LEN(L214)</f>
        <v/>
      </c>
    </row>
    <row r="215">
      <c r="A215" s="61" t="n"/>
      <c r="B215" s="62" t="n"/>
      <c r="C215" s="62" t="n"/>
      <c r="D215" s="62" t="n"/>
      <c r="E215" s="62" t="n"/>
      <c r="H215" s="61" t="n"/>
      <c r="I215" s="42" t="n"/>
      <c r="J215" s="12">
        <f>IF(F215&lt;&gt;0,"LANÇAR","")</f>
        <v/>
      </c>
      <c r="K215" s="20" t="n"/>
      <c r="L215" s="13">
        <f>N215&amp;O215&amp;P215&amp;Q215&amp;R215&amp;S215&amp;T215&amp;U215&amp;V215&amp;W215&amp;X215&amp;Y215&amp;Z215&amp;AA215&amp;AB215&amp;AC215&amp;AD215&amp;AE215&amp;AF215&amp;AG215</f>
        <v/>
      </c>
      <c r="M215" s="20" t="n"/>
      <c r="N215" s="10">
        <f>TEXT($B$6,"00")</f>
        <v/>
      </c>
      <c r="O215" s="10">
        <f>REPT(" ",8)</f>
        <v/>
      </c>
      <c r="P215" s="10">
        <f>RIGHT($B$4,2)</f>
        <v/>
      </c>
      <c r="Q215" s="10">
        <f>RIGHT($B$5,3)</f>
        <v/>
      </c>
      <c r="R215" s="10">
        <f>IF(A215="D",LEFT(UPPER(B215)&amp;REPT(" ",20),20),REPT(" ",20))</f>
        <v/>
      </c>
      <c r="S215" s="10">
        <f>IF(A215="D",LEFT(UPPER(C215)&amp;REPT(" ",10),10)," ")</f>
        <v/>
      </c>
      <c r="T215" s="10">
        <f>IF(A215="D",LEFT(UPPER(D215)&amp;REPT(" ",2),2)," ")</f>
        <v/>
      </c>
      <c r="U215" s="10">
        <f>IF(A215="D",LEFT(UPPER(E215)&amp;REPT(" ",15),15)," ")</f>
        <v/>
      </c>
      <c r="V215" s="10">
        <f>REPT(" ",24)</f>
        <v/>
      </c>
      <c r="W215" s="10">
        <f>IF(A215="c",LEFT(UPPER(B215)&amp;REPT(" ",20),20),REPT(" ",20))</f>
        <v/>
      </c>
      <c r="X215" s="10">
        <f>IF(A215="C",LEFT(UPPER(C215)&amp;REPT(" ",10),10)," ")</f>
        <v/>
      </c>
      <c r="Y215" s="10">
        <f>IF(A215="C",LEFT(UPPER(D215)&amp;REPT(" ",2),2)," ")</f>
        <v/>
      </c>
      <c r="Z215" s="10">
        <f>IF(A215="C",LEFT(UPPER(E215)&amp;REPT(" ",15),15)," ")</f>
        <v/>
      </c>
      <c r="AA215" s="10">
        <f>REPT(" ",8)</f>
        <v/>
      </c>
      <c r="AB215" s="10">
        <f>REPT(" ",4)</f>
        <v/>
      </c>
      <c r="AC215" s="10">
        <f>LEFT(UPPER(H215)&amp;REPT(" ",250),250)</f>
        <v/>
      </c>
      <c r="AD215" s="10">
        <f>TEXT($G$2,"dd/mm/aaaa")</f>
        <v/>
      </c>
      <c r="AE215" s="10">
        <f>REPT(" ",10)</f>
        <v/>
      </c>
      <c r="AF215" s="10">
        <f>REPT(" ",20)</f>
        <v/>
      </c>
      <c r="AG215" s="54">
        <f>REPT(" ",18-LEN(FIXED(F215,2,TRUE)))&amp;FIXED(F215,2,TRUE)</f>
        <v/>
      </c>
      <c r="AH215" s="10">
        <f>LEN(AC215)+LEN(AG215)</f>
        <v/>
      </c>
      <c r="AI215" s="10">
        <f>LEN(L215)</f>
        <v/>
      </c>
    </row>
    <row r="216">
      <c r="A216" s="61" t="n"/>
      <c r="B216" s="62" t="n"/>
      <c r="C216" s="62" t="n"/>
      <c r="D216" s="62" t="n"/>
      <c r="E216" s="62" t="n"/>
      <c r="H216" s="61" t="n"/>
      <c r="I216" s="42" t="n"/>
      <c r="J216" s="12">
        <f>IF(F216&lt;&gt;0,"LANÇAR","")</f>
        <v/>
      </c>
      <c r="K216" s="20" t="n"/>
      <c r="L216" s="13">
        <f>N216&amp;O216&amp;P216&amp;Q216&amp;R216&amp;S216&amp;T216&amp;U216&amp;V216&amp;W216&amp;X216&amp;Y216&amp;Z216&amp;AA216&amp;AB216&amp;AC216&amp;AD216&amp;AE216&amp;AF216&amp;AG216</f>
        <v/>
      </c>
      <c r="M216" s="20" t="n"/>
      <c r="N216" s="10">
        <f>TEXT($B$6,"00")</f>
        <v/>
      </c>
      <c r="O216" s="10">
        <f>REPT(" ",8)</f>
        <v/>
      </c>
      <c r="P216" s="10">
        <f>RIGHT($B$4,2)</f>
        <v/>
      </c>
      <c r="Q216" s="10">
        <f>RIGHT($B$5,3)</f>
        <v/>
      </c>
      <c r="R216" s="10">
        <f>IF(A216="D",LEFT(UPPER(B216)&amp;REPT(" ",20),20),REPT(" ",20))</f>
        <v/>
      </c>
      <c r="S216" s="10">
        <f>IF(A216="D",LEFT(UPPER(C216)&amp;REPT(" ",10),10)," ")</f>
        <v/>
      </c>
      <c r="T216" s="10">
        <f>IF(A216="D",LEFT(UPPER(D216)&amp;REPT(" ",2),2)," ")</f>
        <v/>
      </c>
      <c r="U216" s="10">
        <f>IF(A216="D",LEFT(UPPER(E216)&amp;REPT(" ",15),15)," ")</f>
        <v/>
      </c>
      <c r="V216" s="10">
        <f>REPT(" ",24)</f>
        <v/>
      </c>
      <c r="W216" s="10">
        <f>IF(A216="c",LEFT(UPPER(B216)&amp;REPT(" ",20),20),REPT(" ",20))</f>
        <v/>
      </c>
      <c r="X216" s="10">
        <f>IF(A216="C",LEFT(UPPER(C216)&amp;REPT(" ",10),10)," ")</f>
        <v/>
      </c>
      <c r="Y216" s="10">
        <f>IF(A216="C",LEFT(UPPER(D216)&amp;REPT(" ",2),2)," ")</f>
        <v/>
      </c>
      <c r="Z216" s="10">
        <f>IF(A216="C",LEFT(UPPER(E216)&amp;REPT(" ",15),15)," ")</f>
        <v/>
      </c>
      <c r="AA216" s="10">
        <f>REPT(" ",8)</f>
        <v/>
      </c>
      <c r="AB216" s="10">
        <f>REPT(" ",4)</f>
        <v/>
      </c>
      <c r="AC216" s="10">
        <f>LEFT(UPPER(H216)&amp;REPT(" ",250),250)</f>
        <v/>
      </c>
      <c r="AD216" s="10">
        <f>TEXT($G$2,"dd/mm/aaaa")</f>
        <v/>
      </c>
      <c r="AE216" s="10">
        <f>REPT(" ",10)</f>
        <v/>
      </c>
      <c r="AF216" s="10">
        <f>REPT(" ",20)</f>
        <v/>
      </c>
      <c r="AG216" s="54">
        <f>REPT(" ",18-LEN(FIXED(F216,2,TRUE)))&amp;FIXED(F216,2,TRUE)</f>
        <v/>
      </c>
      <c r="AH216" s="10">
        <f>LEN(AC216)+LEN(AG216)</f>
        <v/>
      </c>
      <c r="AI216" s="10">
        <f>LEN(L216)</f>
        <v/>
      </c>
    </row>
    <row r="217">
      <c r="A217" s="61" t="n"/>
      <c r="B217" s="62" t="n"/>
      <c r="C217" s="62" t="n"/>
      <c r="D217" s="62" t="n"/>
      <c r="E217" s="62" t="n"/>
      <c r="H217" s="61" t="n"/>
      <c r="I217" s="42" t="n"/>
      <c r="J217" s="12">
        <f>IF(F217&lt;&gt;0,"LANÇAR","")</f>
        <v/>
      </c>
      <c r="K217" s="20" t="n"/>
      <c r="L217" s="13">
        <f>N217&amp;O217&amp;P217&amp;Q217&amp;R217&amp;S217&amp;T217&amp;U217&amp;V217&amp;W217&amp;X217&amp;Y217&amp;Z217&amp;AA217&amp;AB217&amp;AC217&amp;AD217&amp;AE217&amp;AF217&amp;AG217</f>
        <v/>
      </c>
      <c r="M217" s="20" t="n"/>
      <c r="N217" s="10">
        <f>TEXT($B$6,"00")</f>
        <v/>
      </c>
      <c r="O217" s="10">
        <f>REPT(" ",8)</f>
        <v/>
      </c>
      <c r="P217" s="10">
        <f>RIGHT($B$4,2)</f>
        <v/>
      </c>
      <c r="Q217" s="10">
        <f>RIGHT($B$5,3)</f>
        <v/>
      </c>
      <c r="R217" s="10">
        <f>IF(A217="D",LEFT(UPPER(B217)&amp;REPT(" ",20),20),REPT(" ",20))</f>
        <v/>
      </c>
      <c r="S217" s="10">
        <f>IF(A217="D",LEFT(UPPER(C217)&amp;REPT(" ",10),10)," ")</f>
        <v/>
      </c>
      <c r="T217" s="10">
        <f>IF(A217="D",LEFT(UPPER(D217)&amp;REPT(" ",2),2)," ")</f>
        <v/>
      </c>
      <c r="U217" s="10">
        <f>IF(A217="D",LEFT(UPPER(E217)&amp;REPT(" ",15),15)," ")</f>
        <v/>
      </c>
      <c r="V217" s="10">
        <f>REPT(" ",24)</f>
        <v/>
      </c>
      <c r="W217" s="10">
        <f>IF(A217="c",LEFT(UPPER(B217)&amp;REPT(" ",20),20),REPT(" ",20))</f>
        <v/>
      </c>
      <c r="X217" s="10">
        <f>IF(A217="C",LEFT(UPPER(C217)&amp;REPT(" ",10),10)," ")</f>
        <v/>
      </c>
      <c r="Y217" s="10">
        <f>IF(A217="C",LEFT(UPPER(D217)&amp;REPT(" ",2),2)," ")</f>
        <v/>
      </c>
      <c r="Z217" s="10">
        <f>IF(A217="C",LEFT(UPPER(E217)&amp;REPT(" ",15),15)," ")</f>
        <v/>
      </c>
      <c r="AA217" s="10">
        <f>REPT(" ",8)</f>
        <v/>
      </c>
      <c r="AB217" s="10">
        <f>REPT(" ",4)</f>
        <v/>
      </c>
      <c r="AC217" s="10">
        <f>LEFT(UPPER(H217)&amp;REPT(" ",250),250)</f>
        <v/>
      </c>
      <c r="AD217" s="10">
        <f>TEXT($G$2,"dd/mm/aaaa")</f>
        <v/>
      </c>
      <c r="AE217" s="10">
        <f>REPT(" ",10)</f>
        <v/>
      </c>
      <c r="AF217" s="10">
        <f>REPT(" ",20)</f>
        <v/>
      </c>
      <c r="AG217" s="54">
        <f>REPT(" ",18-LEN(FIXED(F217,2,TRUE)))&amp;FIXED(F217,2,TRUE)</f>
        <v/>
      </c>
      <c r="AH217" s="10">
        <f>LEN(AC217)+LEN(AG217)</f>
        <v/>
      </c>
      <c r="AI217" s="10">
        <f>LEN(L217)</f>
        <v/>
      </c>
    </row>
    <row r="218">
      <c r="A218" s="61" t="n"/>
      <c r="B218" s="62" t="n"/>
      <c r="C218" s="62" t="n"/>
      <c r="D218" s="62" t="n"/>
      <c r="E218" s="62" t="n"/>
      <c r="H218" s="61" t="n"/>
      <c r="I218" s="42" t="n"/>
      <c r="J218" s="12">
        <f>IF(F218&lt;&gt;0,"LANÇAR","")</f>
        <v/>
      </c>
      <c r="K218" s="20" t="n"/>
      <c r="L218" s="13">
        <f>N218&amp;O218&amp;P218&amp;Q218&amp;R218&amp;S218&amp;T218&amp;U218&amp;V218&amp;W218&amp;X218&amp;Y218&amp;Z218&amp;AA218&amp;AB218&amp;AC218&amp;AD218&amp;AE218&amp;AF218&amp;AG218</f>
        <v/>
      </c>
      <c r="M218" s="20" t="n"/>
      <c r="N218" s="10">
        <f>TEXT($B$6,"00")</f>
        <v/>
      </c>
      <c r="O218" s="10">
        <f>REPT(" ",8)</f>
        <v/>
      </c>
      <c r="P218" s="10">
        <f>RIGHT($B$4,2)</f>
        <v/>
      </c>
      <c r="Q218" s="10">
        <f>RIGHT($B$5,3)</f>
        <v/>
      </c>
      <c r="R218" s="10">
        <f>IF(A218="D",LEFT(UPPER(B218)&amp;REPT(" ",20),20),REPT(" ",20))</f>
        <v/>
      </c>
      <c r="S218" s="10">
        <f>IF(A218="D",LEFT(UPPER(C218)&amp;REPT(" ",10),10)," ")</f>
        <v/>
      </c>
      <c r="T218" s="10">
        <f>IF(A218="D",LEFT(UPPER(D218)&amp;REPT(" ",2),2)," ")</f>
        <v/>
      </c>
      <c r="U218" s="10">
        <f>IF(A218="D",LEFT(UPPER(E218)&amp;REPT(" ",15),15)," ")</f>
        <v/>
      </c>
      <c r="V218" s="10">
        <f>REPT(" ",24)</f>
        <v/>
      </c>
      <c r="W218" s="10">
        <f>IF(A218="c",LEFT(UPPER(B218)&amp;REPT(" ",20),20),REPT(" ",20))</f>
        <v/>
      </c>
      <c r="X218" s="10">
        <f>IF(A218="C",LEFT(UPPER(C218)&amp;REPT(" ",10),10)," ")</f>
        <v/>
      </c>
      <c r="Y218" s="10">
        <f>IF(A218="C",LEFT(UPPER(D218)&amp;REPT(" ",2),2)," ")</f>
        <v/>
      </c>
      <c r="Z218" s="10">
        <f>IF(A218="C",LEFT(UPPER(E218)&amp;REPT(" ",15),15)," ")</f>
        <v/>
      </c>
      <c r="AA218" s="10">
        <f>REPT(" ",8)</f>
        <v/>
      </c>
      <c r="AB218" s="10">
        <f>REPT(" ",4)</f>
        <v/>
      </c>
      <c r="AC218" s="10">
        <f>LEFT(UPPER(H218)&amp;REPT(" ",250),250)</f>
        <v/>
      </c>
      <c r="AD218" s="10">
        <f>TEXT($G$2,"dd/mm/aaaa")</f>
        <v/>
      </c>
      <c r="AE218" s="10">
        <f>REPT(" ",10)</f>
        <v/>
      </c>
      <c r="AF218" s="10">
        <f>REPT(" ",20)</f>
        <v/>
      </c>
      <c r="AG218" s="54">
        <f>REPT(" ",18-LEN(FIXED(F218,2,TRUE)))&amp;FIXED(F218,2,TRUE)</f>
        <v/>
      </c>
      <c r="AH218" s="10">
        <f>LEN(AC218)+LEN(AG218)</f>
        <v/>
      </c>
      <c r="AI218" s="10">
        <f>LEN(L218)</f>
        <v/>
      </c>
    </row>
    <row r="219">
      <c r="A219" s="61" t="n"/>
      <c r="B219" s="62" t="n"/>
      <c r="C219" s="62" t="n"/>
      <c r="D219" s="62" t="n"/>
      <c r="E219" s="62" t="n"/>
      <c r="H219" s="61" t="n"/>
      <c r="I219" s="42" t="n"/>
      <c r="J219" s="12">
        <f>IF(F219&lt;&gt;0,"LANÇAR","")</f>
        <v/>
      </c>
      <c r="K219" s="20" t="n"/>
      <c r="L219" s="13">
        <f>N219&amp;O219&amp;P219&amp;Q219&amp;R219&amp;S219&amp;T219&amp;U219&amp;V219&amp;W219&amp;X219&amp;Y219&amp;Z219&amp;AA219&amp;AB219&amp;AC219&amp;AD219&amp;AE219&amp;AF219&amp;AG219</f>
        <v/>
      </c>
      <c r="M219" s="20" t="n"/>
      <c r="N219" s="10">
        <f>TEXT($B$6,"00")</f>
        <v/>
      </c>
      <c r="O219" s="10">
        <f>REPT(" ",8)</f>
        <v/>
      </c>
      <c r="P219" s="10">
        <f>RIGHT($B$4,2)</f>
        <v/>
      </c>
      <c r="Q219" s="10">
        <f>RIGHT($B$5,3)</f>
        <v/>
      </c>
      <c r="R219" s="10">
        <f>IF(A219="D",LEFT(UPPER(B219)&amp;REPT(" ",20),20),REPT(" ",20))</f>
        <v/>
      </c>
      <c r="S219" s="10">
        <f>IF(A219="D",LEFT(UPPER(C219)&amp;REPT(" ",10),10)," ")</f>
        <v/>
      </c>
      <c r="T219" s="10">
        <f>IF(A219="D",LEFT(UPPER(D219)&amp;REPT(" ",2),2)," ")</f>
        <v/>
      </c>
      <c r="U219" s="10">
        <f>IF(A219="D",LEFT(UPPER(E219)&amp;REPT(" ",15),15)," ")</f>
        <v/>
      </c>
      <c r="V219" s="10">
        <f>REPT(" ",24)</f>
        <v/>
      </c>
      <c r="W219" s="10">
        <f>IF(A219="c",LEFT(UPPER(B219)&amp;REPT(" ",20),20),REPT(" ",20))</f>
        <v/>
      </c>
      <c r="X219" s="10">
        <f>IF(A219="C",LEFT(UPPER(C219)&amp;REPT(" ",10),10)," ")</f>
        <v/>
      </c>
      <c r="Y219" s="10">
        <f>IF(A219="C",LEFT(UPPER(D219)&amp;REPT(" ",2),2)," ")</f>
        <v/>
      </c>
      <c r="Z219" s="10">
        <f>IF(A219="C",LEFT(UPPER(E219)&amp;REPT(" ",15),15)," ")</f>
        <v/>
      </c>
      <c r="AA219" s="10">
        <f>REPT(" ",8)</f>
        <v/>
      </c>
      <c r="AB219" s="10">
        <f>REPT(" ",4)</f>
        <v/>
      </c>
      <c r="AC219" s="10">
        <f>LEFT(UPPER(H219)&amp;REPT(" ",250),250)</f>
        <v/>
      </c>
      <c r="AD219" s="10">
        <f>TEXT($G$2,"dd/mm/aaaa")</f>
        <v/>
      </c>
      <c r="AE219" s="10">
        <f>REPT(" ",10)</f>
        <v/>
      </c>
      <c r="AF219" s="10">
        <f>REPT(" ",20)</f>
        <v/>
      </c>
      <c r="AG219" s="54">
        <f>REPT(" ",18-LEN(FIXED(F219,2,TRUE)))&amp;FIXED(F219,2,TRUE)</f>
        <v/>
      </c>
      <c r="AH219" s="10">
        <f>LEN(AC219)+LEN(AG219)</f>
        <v/>
      </c>
      <c r="AI219" s="10">
        <f>LEN(L219)</f>
        <v/>
      </c>
    </row>
    <row r="220">
      <c r="A220" s="61" t="n"/>
      <c r="B220" s="62" t="n"/>
      <c r="C220" s="62" t="n"/>
      <c r="D220" s="62" t="n"/>
      <c r="E220" s="62" t="n"/>
      <c r="H220" s="61" t="n"/>
      <c r="I220" s="42" t="n"/>
      <c r="J220" s="12">
        <f>IF(F220&lt;&gt;0,"LANÇAR","")</f>
        <v/>
      </c>
      <c r="K220" s="20" t="n"/>
      <c r="L220" s="13">
        <f>N220&amp;O220&amp;P220&amp;Q220&amp;R220&amp;S220&amp;T220&amp;U220&amp;V220&amp;W220&amp;X220&amp;Y220&amp;Z220&amp;AA220&amp;AB220&amp;AC220&amp;AD220&amp;AE220&amp;AF220&amp;AG220</f>
        <v/>
      </c>
      <c r="M220" s="20" t="n"/>
      <c r="N220" s="10">
        <f>TEXT($B$6,"00")</f>
        <v/>
      </c>
      <c r="O220" s="10">
        <f>REPT(" ",8)</f>
        <v/>
      </c>
      <c r="P220" s="10">
        <f>RIGHT($B$4,2)</f>
        <v/>
      </c>
      <c r="Q220" s="10">
        <f>RIGHT($B$5,3)</f>
        <v/>
      </c>
      <c r="R220" s="10">
        <f>IF(A220="D",LEFT(UPPER(B220)&amp;REPT(" ",20),20),REPT(" ",20))</f>
        <v/>
      </c>
      <c r="S220" s="10">
        <f>IF(A220="D",LEFT(UPPER(C220)&amp;REPT(" ",10),10)," ")</f>
        <v/>
      </c>
      <c r="T220" s="10">
        <f>IF(A220="D",LEFT(UPPER(D220)&amp;REPT(" ",2),2)," ")</f>
        <v/>
      </c>
      <c r="U220" s="10">
        <f>IF(A220="D",LEFT(UPPER(E220)&amp;REPT(" ",15),15)," ")</f>
        <v/>
      </c>
      <c r="V220" s="10">
        <f>REPT(" ",24)</f>
        <v/>
      </c>
      <c r="W220" s="10">
        <f>IF(A220="c",LEFT(UPPER(B220)&amp;REPT(" ",20),20),REPT(" ",20))</f>
        <v/>
      </c>
      <c r="X220" s="10">
        <f>IF(A220="C",LEFT(UPPER(C220)&amp;REPT(" ",10),10)," ")</f>
        <v/>
      </c>
      <c r="Y220" s="10">
        <f>IF(A220="C",LEFT(UPPER(D220)&amp;REPT(" ",2),2)," ")</f>
        <v/>
      </c>
      <c r="Z220" s="10">
        <f>IF(A220="C",LEFT(UPPER(E220)&amp;REPT(" ",15),15)," ")</f>
        <v/>
      </c>
      <c r="AA220" s="10">
        <f>REPT(" ",8)</f>
        <v/>
      </c>
      <c r="AB220" s="10">
        <f>REPT(" ",4)</f>
        <v/>
      </c>
      <c r="AC220" s="10">
        <f>LEFT(UPPER(H220)&amp;REPT(" ",250),250)</f>
        <v/>
      </c>
      <c r="AD220" s="10">
        <f>TEXT($G$2,"dd/mm/aaaa")</f>
        <v/>
      </c>
      <c r="AE220" s="10">
        <f>REPT(" ",10)</f>
        <v/>
      </c>
      <c r="AF220" s="10">
        <f>REPT(" ",20)</f>
        <v/>
      </c>
      <c r="AG220" s="54">
        <f>REPT(" ",18-LEN(FIXED(F220,2,TRUE)))&amp;FIXED(F220,2,TRUE)</f>
        <v/>
      </c>
      <c r="AH220" s="10">
        <f>LEN(AC220)+LEN(AG220)</f>
        <v/>
      </c>
      <c r="AI220" s="10">
        <f>LEN(L220)</f>
        <v/>
      </c>
    </row>
    <row r="221">
      <c r="A221" s="61" t="n"/>
      <c r="B221" s="62" t="n"/>
      <c r="C221" s="62" t="n"/>
      <c r="D221" s="62" t="n"/>
      <c r="E221" s="62" t="n"/>
      <c r="H221" s="61" t="n"/>
      <c r="I221" s="42" t="n"/>
      <c r="J221" s="12">
        <f>IF(F221&lt;&gt;0,"LANÇAR","")</f>
        <v/>
      </c>
      <c r="K221" s="20" t="n"/>
      <c r="L221" s="13">
        <f>N221&amp;O221&amp;P221&amp;Q221&amp;R221&amp;S221&amp;T221&amp;U221&amp;V221&amp;W221&amp;X221&amp;Y221&amp;Z221&amp;AA221&amp;AB221&amp;AC221&amp;AD221&amp;AE221&amp;AF221&amp;AG221</f>
        <v/>
      </c>
      <c r="M221" s="20" t="n"/>
      <c r="N221" s="10">
        <f>TEXT($B$6,"00")</f>
        <v/>
      </c>
      <c r="O221" s="10">
        <f>REPT(" ",8)</f>
        <v/>
      </c>
      <c r="P221" s="10">
        <f>RIGHT($B$4,2)</f>
        <v/>
      </c>
      <c r="Q221" s="10">
        <f>RIGHT($B$5,3)</f>
        <v/>
      </c>
      <c r="R221" s="10">
        <f>IF(A221="D",LEFT(UPPER(B221)&amp;REPT(" ",20),20),REPT(" ",20))</f>
        <v/>
      </c>
      <c r="S221" s="10">
        <f>IF(A221="D",LEFT(UPPER(C221)&amp;REPT(" ",10),10)," ")</f>
        <v/>
      </c>
      <c r="T221" s="10">
        <f>IF(A221="D",LEFT(UPPER(D221)&amp;REPT(" ",2),2)," ")</f>
        <v/>
      </c>
      <c r="U221" s="10">
        <f>IF(A221="D",LEFT(UPPER(E221)&amp;REPT(" ",15),15)," ")</f>
        <v/>
      </c>
      <c r="V221" s="10">
        <f>REPT(" ",24)</f>
        <v/>
      </c>
      <c r="W221" s="10">
        <f>IF(A221="c",LEFT(UPPER(B221)&amp;REPT(" ",20),20),REPT(" ",20))</f>
        <v/>
      </c>
      <c r="X221" s="10">
        <f>IF(A221="C",LEFT(UPPER(C221)&amp;REPT(" ",10),10)," ")</f>
        <v/>
      </c>
      <c r="Y221" s="10">
        <f>IF(A221="C",LEFT(UPPER(D221)&amp;REPT(" ",2),2)," ")</f>
        <v/>
      </c>
      <c r="Z221" s="10">
        <f>IF(A221="C",LEFT(UPPER(E221)&amp;REPT(" ",15),15)," ")</f>
        <v/>
      </c>
      <c r="AA221" s="10">
        <f>REPT(" ",8)</f>
        <v/>
      </c>
      <c r="AB221" s="10">
        <f>REPT(" ",4)</f>
        <v/>
      </c>
      <c r="AC221" s="10">
        <f>LEFT(UPPER(H221)&amp;REPT(" ",250),250)</f>
        <v/>
      </c>
      <c r="AD221" s="10">
        <f>TEXT($G$2,"dd/mm/aaaa")</f>
        <v/>
      </c>
      <c r="AE221" s="10">
        <f>REPT(" ",10)</f>
        <v/>
      </c>
      <c r="AF221" s="10">
        <f>REPT(" ",20)</f>
        <v/>
      </c>
      <c r="AG221" s="54">
        <f>REPT(" ",18-LEN(FIXED(F221,2,TRUE)))&amp;FIXED(F221,2,TRUE)</f>
        <v/>
      </c>
      <c r="AH221" s="10">
        <f>LEN(AC221)+LEN(AG221)</f>
        <v/>
      </c>
      <c r="AI221" s="10">
        <f>LEN(L221)</f>
        <v/>
      </c>
    </row>
    <row r="222">
      <c r="A222" s="61" t="n"/>
      <c r="B222" s="62" t="n"/>
      <c r="C222" s="62" t="n"/>
      <c r="D222" s="62" t="n"/>
      <c r="E222" s="62" t="n"/>
      <c r="H222" s="61" t="n"/>
      <c r="I222" s="42" t="n"/>
      <c r="J222" s="12">
        <f>IF(F222&lt;&gt;0,"LANÇAR","")</f>
        <v/>
      </c>
      <c r="K222" s="20" t="n"/>
      <c r="L222" s="13">
        <f>N222&amp;O222&amp;P222&amp;Q222&amp;R222&amp;S222&amp;T222&amp;U222&amp;V222&amp;W222&amp;X222&amp;Y222&amp;Z222&amp;AA222&amp;AB222&amp;AC222&amp;AD222&amp;AE222&amp;AF222&amp;AG222</f>
        <v/>
      </c>
      <c r="M222" s="20" t="n"/>
      <c r="N222" s="10">
        <f>TEXT($B$6,"00")</f>
        <v/>
      </c>
      <c r="O222" s="10">
        <f>REPT(" ",8)</f>
        <v/>
      </c>
      <c r="P222" s="10">
        <f>RIGHT($B$4,2)</f>
        <v/>
      </c>
      <c r="Q222" s="10">
        <f>RIGHT($B$5,3)</f>
        <v/>
      </c>
      <c r="R222" s="10">
        <f>IF(A222="D",LEFT(UPPER(B222)&amp;REPT(" ",20),20),REPT(" ",20))</f>
        <v/>
      </c>
      <c r="S222" s="10">
        <f>IF(A222="D",LEFT(UPPER(C222)&amp;REPT(" ",10),10)," ")</f>
        <v/>
      </c>
      <c r="T222" s="10">
        <f>IF(A222="D",LEFT(UPPER(D222)&amp;REPT(" ",2),2)," ")</f>
        <v/>
      </c>
      <c r="U222" s="10">
        <f>IF(A222="D",LEFT(UPPER(E222)&amp;REPT(" ",15),15)," ")</f>
        <v/>
      </c>
      <c r="V222" s="10">
        <f>REPT(" ",24)</f>
        <v/>
      </c>
      <c r="W222" s="10">
        <f>IF(A222="c",LEFT(UPPER(B222)&amp;REPT(" ",20),20),REPT(" ",20))</f>
        <v/>
      </c>
      <c r="X222" s="10">
        <f>IF(A222="C",LEFT(UPPER(C222)&amp;REPT(" ",10),10)," ")</f>
        <v/>
      </c>
      <c r="Y222" s="10">
        <f>IF(A222="C",LEFT(UPPER(D222)&amp;REPT(" ",2),2)," ")</f>
        <v/>
      </c>
      <c r="Z222" s="10">
        <f>IF(A222="C",LEFT(UPPER(E222)&amp;REPT(" ",15),15)," ")</f>
        <v/>
      </c>
      <c r="AA222" s="10">
        <f>REPT(" ",8)</f>
        <v/>
      </c>
      <c r="AB222" s="10">
        <f>REPT(" ",4)</f>
        <v/>
      </c>
      <c r="AC222" s="10">
        <f>LEFT(UPPER(H222)&amp;REPT(" ",250),250)</f>
        <v/>
      </c>
      <c r="AD222" s="10">
        <f>TEXT($G$2,"dd/mm/aaaa")</f>
        <v/>
      </c>
      <c r="AE222" s="10">
        <f>REPT(" ",10)</f>
        <v/>
      </c>
      <c r="AF222" s="10">
        <f>REPT(" ",20)</f>
        <v/>
      </c>
      <c r="AG222" s="54">
        <f>REPT(" ",18-LEN(FIXED(F222,2,TRUE)))&amp;FIXED(F222,2,TRUE)</f>
        <v/>
      </c>
      <c r="AH222" s="10">
        <f>LEN(AC222)+LEN(AG222)</f>
        <v/>
      </c>
      <c r="AI222" s="10">
        <f>LEN(L222)</f>
        <v/>
      </c>
    </row>
    <row r="223">
      <c r="A223" s="61" t="n"/>
      <c r="B223" s="62" t="n"/>
      <c r="C223" s="62" t="n"/>
      <c r="D223" s="62" t="n"/>
      <c r="E223" s="62" t="n"/>
      <c r="H223" s="61" t="n"/>
      <c r="I223" s="42" t="n"/>
      <c r="J223" s="12">
        <f>IF(F223&lt;&gt;0,"LANÇAR","")</f>
        <v/>
      </c>
      <c r="K223" s="20" t="n"/>
      <c r="L223" s="13">
        <f>N223&amp;O223&amp;P223&amp;Q223&amp;R223&amp;S223&amp;T223&amp;U223&amp;V223&amp;W223&amp;X223&amp;Y223&amp;Z223&amp;AA223&amp;AB223&amp;AC223&amp;AD223&amp;AE223&amp;AF223&amp;AG223</f>
        <v/>
      </c>
      <c r="M223" s="20" t="n"/>
      <c r="N223" s="10">
        <f>TEXT($B$6,"00")</f>
        <v/>
      </c>
      <c r="O223" s="10">
        <f>REPT(" ",8)</f>
        <v/>
      </c>
      <c r="P223" s="10">
        <f>RIGHT($B$4,2)</f>
        <v/>
      </c>
      <c r="Q223" s="10">
        <f>RIGHT($B$5,3)</f>
        <v/>
      </c>
      <c r="R223" s="10">
        <f>IF(A223="D",LEFT(UPPER(B223)&amp;REPT(" ",20),20),REPT(" ",20))</f>
        <v/>
      </c>
      <c r="S223" s="10">
        <f>IF(A223="D",LEFT(UPPER(C223)&amp;REPT(" ",10),10)," ")</f>
        <v/>
      </c>
      <c r="T223" s="10">
        <f>IF(A223="D",LEFT(UPPER(D223)&amp;REPT(" ",2),2)," ")</f>
        <v/>
      </c>
      <c r="U223" s="10">
        <f>IF(A223="D",LEFT(UPPER(E223)&amp;REPT(" ",15),15)," ")</f>
        <v/>
      </c>
      <c r="V223" s="10">
        <f>REPT(" ",24)</f>
        <v/>
      </c>
      <c r="W223" s="10">
        <f>IF(A223="c",LEFT(UPPER(B223)&amp;REPT(" ",20),20),REPT(" ",20))</f>
        <v/>
      </c>
      <c r="X223" s="10">
        <f>IF(A223="C",LEFT(UPPER(C223)&amp;REPT(" ",10),10)," ")</f>
        <v/>
      </c>
      <c r="Y223" s="10">
        <f>IF(A223="C",LEFT(UPPER(D223)&amp;REPT(" ",2),2)," ")</f>
        <v/>
      </c>
      <c r="Z223" s="10">
        <f>IF(A223="C",LEFT(UPPER(E223)&amp;REPT(" ",15),15)," ")</f>
        <v/>
      </c>
      <c r="AA223" s="10">
        <f>REPT(" ",8)</f>
        <v/>
      </c>
      <c r="AB223" s="10">
        <f>REPT(" ",4)</f>
        <v/>
      </c>
      <c r="AC223" s="10">
        <f>LEFT(UPPER(H223)&amp;REPT(" ",250),250)</f>
        <v/>
      </c>
      <c r="AD223" s="10">
        <f>TEXT($G$2,"dd/mm/aaaa")</f>
        <v/>
      </c>
      <c r="AE223" s="10">
        <f>REPT(" ",10)</f>
        <v/>
      </c>
      <c r="AF223" s="10">
        <f>REPT(" ",20)</f>
        <v/>
      </c>
      <c r="AG223" s="54">
        <f>REPT(" ",18-LEN(FIXED(F223,2,TRUE)))&amp;FIXED(F223,2,TRUE)</f>
        <v/>
      </c>
      <c r="AH223" s="10">
        <f>LEN(AC223)+LEN(AG223)</f>
        <v/>
      </c>
      <c r="AI223" s="10">
        <f>LEN(L223)</f>
        <v/>
      </c>
    </row>
    <row r="224">
      <c r="A224" s="61" t="n"/>
      <c r="B224" s="62" t="n"/>
      <c r="C224" s="62" t="n"/>
      <c r="D224" s="62" t="n"/>
      <c r="E224" s="62" t="n"/>
      <c r="H224" s="61" t="n"/>
      <c r="I224" s="42" t="n"/>
      <c r="J224" s="12">
        <f>IF(F224&lt;&gt;0,"LANÇAR","")</f>
        <v/>
      </c>
      <c r="K224" s="20" t="n"/>
      <c r="L224" s="13">
        <f>N224&amp;O224&amp;P224&amp;Q224&amp;R224&amp;S224&amp;T224&amp;U224&amp;V224&amp;W224&amp;X224&amp;Y224&amp;Z224&amp;AA224&amp;AB224&amp;AC224&amp;AD224&amp;AE224&amp;AF224&amp;AG224</f>
        <v/>
      </c>
      <c r="M224" s="20" t="n"/>
      <c r="N224" s="10">
        <f>TEXT($B$6,"00")</f>
        <v/>
      </c>
      <c r="O224" s="10">
        <f>REPT(" ",8)</f>
        <v/>
      </c>
      <c r="P224" s="10">
        <f>RIGHT($B$4,2)</f>
        <v/>
      </c>
      <c r="Q224" s="10">
        <f>RIGHT($B$5,3)</f>
        <v/>
      </c>
      <c r="R224" s="10">
        <f>IF(A224="D",LEFT(UPPER(B224)&amp;REPT(" ",20),20),REPT(" ",20))</f>
        <v/>
      </c>
      <c r="S224" s="10">
        <f>IF(A224="D",LEFT(UPPER(C224)&amp;REPT(" ",10),10)," ")</f>
        <v/>
      </c>
      <c r="T224" s="10">
        <f>IF(A224="D",LEFT(UPPER(D224)&amp;REPT(" ",2),2)," ")</f>
        <v/>
      </c>
      <c r="U224" s="10">
        <f>IF(A224="D",LEFT(UPPER(E224)&amp;REPT(" ",15),15)," ")</f>
        <v/>
      </c>
      <c r="V224" s="10">
        <f>REPT(" ",24)</f>
        <v/>
      </c>
      <c r="W224" s="10">
        <f>IF(A224="c",LEFT(UPPER(B224)&amp;REPT(" ",20),20),REPT(" ",20))</f>
        <v/>
      </c>
      <c r="X224" s="10">
        <f>IF(A224="C",LEFT(UPPER(C224)&amp;REPT(" ",10),10)," ")</f>
        <v/>
      </c>
      <c r="Y224" s="10">
        <f>IF(A224="C",LEFT(UPPER(D224)&amp;REPT(" ",2),2)," ")</f>
        <v/>
      </c>
      <c r="Z224" s="10">
        <f>IF(A224="C",LEFT(UPPER(E224)&amp;REPT(" ",15),15)," ")</f>
        <v/>
      </c>
      <c r="AA224" s="10">
        <f>REPT(" ",8)</f>
        <v/>
      </c>
      <c r="AB224" s="10">
        <f>REPT(" ",4)</f>
        <v/>
      </c>
      <c r="AC224" s="10">
        <f>LEFT(UPPER(H224)&amp;REPT(" ",250),250)</f>
        <v/>
      </c>
      <c r="AD224" s="10">
        <f>TEXT($G$2,"dd/mm/aaaa")</f>
        <v/>
      </c>
      <c r="AE224" s="10">
        <f>REPT(" ",10)</f>
        <v/>
      </c>
      <c r="AF224" s="10">
        <f>REPT(" ",20)</f>
        <v/>
      </c>
      <c r="AG224" s="54">
        <f>REPT(" ",18-LEN(FIXED(F224,2,TRUE)))&amp;FIXED(F224,2,TRUE)</f>
        <v/>
      </c>
      <c r="AH224" s="10">
        <f>LEN(AC224)+LEN(AG224)</f>
        <v/>
      </c>
      <c r="AI224" s="10">
        <f>LEN(L224)</f>
        <v/>
      </c>
    </row>
    <row r="225">
      <c r="A225" s="61" t="n"/>
      <c r="B225" s="62" t="n"/>
      <c r="C225" s="62" t="n"/>
      <c r="D225" s="62" t="n"/>
      <c r="E225" s="62" t="n"/>
      <c r="H225" s="61" t="n"/>
      <c r="I225" s="42" t="n"/>
      <c r="J225" s="12">
        <f>IF(F225&lt;&gt;0,"LANÇAR","")</f>
        <v/>
      </c>
      <c r="K225" s="20" t="n"/>
      <c r="L225" s="13">
        <f>N225&amp;O225&amp;P225&amp;Q225&amp;R225&amp;S225&amp;T225&amp;U225&amp;V225&amp;W225&amp;X225&amp;Y225&amp;Z225&amp;AA225&amp;AB225&amp;AC225&amp;AD225&amp;AE225&amp;AF225&amp;AG225</f>
        <v/>
      </c>
      <c r="M225" s="20" t="n"/>
      <c r="N225" s="10">
        <f>TEXT($B$6,"00")</f>
        <v/>
      </c>
      <c r="O225" s="10">
        <f>REPT(" ",8)</f>
        <v/>
      </c>
      <c r="P225" s="10">
        <f>RIGHT($B$4,2)</f>
        <v/>
      </c>
      <c r="Q225" s="10">
        <f>RIGHT($B$5,3)</f>
        <v/>
      </c>
      <c r="R225" s="10">
        <f>IF(A225="D",LEFT(UPPER(B225)&amp;REPT(" ",20),20),REPT(" ",20))</f>
        <v/>
      </c>
      <c r="S225" s="10">
        <f>IF(A225="D",LEFT(UPPER(C225)&amp;REPT(" ",10),10)," ")</f>
        <v/>
      </c>
      <c r="T225" s="10">
        <f>IF(A225="D",LEFT(UPPER(D225)&amp;REPT(" ",2),2)," ")</f>
        <v/>
      </c>
      <c r="U225" s="10">
        <f>IF(A225="D",LEFT(UPPER(E225)&amp;REPT(" ",15),15)," ")</f>
        <v/>
      </c>
      <c r="V225" s="10">
        <f>REPT(" ",24)</f>
        <v/>
      </c>
      <c r="W225" s="10">
        <f>IF(A225="c",LEFT(UPPER(B225)&amp;REPT(" ",20),20),REPT(" ",20))</f>
        <v/>
      </c>
      <c r="X225" s="10">
        <f>IF(A225="C",LEFT(UPPER(C225)&amp;REPT(" ",10),10)," ")</f>
        <v/>
      </c>
      <c r="Y225" s="10">
        <f>IF(A225="C",LEFT(UPPER(D225)&amp;REPT(" ",2),2)," ")</f>
        <v/>
      </c>
      <c r="Z225" s="10">
        <f>IF(A225="C",LEFT(UPPER(E225)&amp;REPT(" ",15),15)," ")</f>
        <v/>
      </c>
      <c r="AA225" s="10">
        <f>REPT(" ",8)</f>
        <v/>
      </c>
      <c r="AB225" s="10">
        <f>REPT(" ",4)</f>
        <v/>
      </c>
      <c r="AC225" s="10">
        <f>LEFT(UPPER(H225)&amp;REPT(" ",250),250)</f>
        <v/>
      </c>
      <c r="AD225" s="10">
        <f>TEXT($G$2,"dd/mm/aaaa")</f>
        <v/>
      </c>
      <c r="AE225" s="10">
        <f>REPT(" ",10)</f>
        <v/>
      </c>
      <c r="AF225" s="10">
        <f>REPT(" ",20)</f>
        <v/>
      </c>
      <c r="AG225" s="54">
        <f>REPT(" ",18-LEN(FIXED(F225,2,TRUE)))&amp;FIXED(F225,2,TRUE)</f>
        <v/>
      </c>
      <c r="AH225" s="10">
        <f>LEN(AC225)+LEN(AG225)</f>
        <v/>
      </c>
      <c r="AI225" s="10">
        <f>LEN(L225)</f>
        <v/>
      </c>
    </row>
    <row r="226">
      <c r="A226" s="61" t="n"/>
      <c r="B226" s="62" t="n"/>
      <c r="C226" s="62" t="n"/>
      <c r="D226" s="62" t="n"/>
      <c r="E226" s="62" t="n"/>
      <c r="H226" s="61" t="n"/>
      <c r="I226" s="42" t="n"/>
      <c r="J226" s="12">
        <f>IF(F226&lt;&gt;0,"LANÇAR","")</f>
        <v/>
      </c>
      <c r="K226" s="20" t="n"/>
      <c r="L226" s="13">
        <f>N226&amp;O226&amp;P226&amp;Q226&amp;R226&amp;S226&amp;T226&amp;U226&amp;V226&amp;W226&amp;X226&amp;Y226&amp;Z226&amp;AA226&amp;AB226&amp;AC226&amp;AD226&amp;AE226&amp;AF226&amp;AG226</f>
        <v/>
      </c>
      <c r="M226" s="20" t="n"/>
      <c r="N226" s="10">
        <f>TEXT($B$6,"00")</f>
        <v/>
      </c>
      <c r="O226" s="10">
        <f>REPT(" ",8)</f>
        <v/>
      </c>
      <c r="P226" s="10">
        <f>RIGHT($B$4,2)</f>
        <v/>
      </c>
      <c r="Q226" s="10">
        <f>RIGHT($B$5,3)</f>
        <v/>
      </c>
      <c r="R226" s="10">
        <f>IF(A226="D",LEFT(UPPER(B226)&amp;REPT(" ",20),20),REPT(" ",20))</f>
        <v/>
      </c>
      <c r="S226" s="10">
        <f>IF(A226="D",LEFT(UPPER(C226)&amp;REPT(" ",10),10)," ")</f>
        <v/>
      </c>
      <c r="T226" s="10">
        <f>IF(A226="D",LEFT(UPPER(D226)&amp;REPT(" ",2),2)," ")</f>
        <v/>
      </c>
      <c r="U226" s="10">
        <f>IF(A226="D",LEFT(UPPER(E226)&amp;REPT(" ",15),15)," ")</f>
        <v/>
      </c>
      <c r="V226" s="10">
        <f>REPT(" ",24)</f>
        <v/>
      </c>
      <c r="W226" s="10">
        <f>IF(A226="c",LEFT(UPPER(B226)&amp;REPT(" ",20),20),REPT(" ",20))</f>
        <v/>
      </c>
      <c r="X226" s="10">
        <f>IF(A226="C",LEFT(UPPER(C226)&amp;REPT(" ",10),10)," ")</f>
        <v/>
      </c>
      <c r="Y226" s="10">
        <f>IF(A226="C",LEFT(UPPER(D226)&amp;REPT(" ",2),2)," ")</f>
        <v/>
      </c>
      <c r="Z226" s="10">
        <f>IF(A226="C",LEFT(UPPER(E226)&amp;REPT(" ",15),15)," ")</f>
        <v/>
      </c>
      <c r="AA226" s="10">
        <f>REPT(" ",8)</f>
        <v/>
      </c>
      <c r="AB226" s="10">
        <f>REPT(" ",4)</f>
        <v/>
      </c>
      <c r="AC226" s="10">
        <f>LEFT(UPPER(H226)&amp;REPT(" ",250),250)</f>
        <v/>
      </c>
      <c r="AD226" s="10">
        <f>TEXT($G$2,"dd/mm/aaaa")</f>
        <v/>
      </c>
      <c r="AE226" s="10">
        <f>REPT(" ",10)</f>
        <v/>
      </c>
      <c r="AF226" s="10">
        <f>REPT(" ",20)</f>
        <v/>
      </c>
      <c r="AG226" s="54">
        <f>REPT(" ",18-LEN(FIXED(F226,2,TRUE)))&amp;FIXED(F226,2,TRUE)</f>
        <v/>
      </c>
      <c r="AH226" s="10">
        <f>LEN(AC226)+LEN(AG226)</f>
        <v/>
      </c>
      <c r="AI226" s="10">
        <f>LEN(L226)</f>
        <v/>
      </c>
    </row>
    <row r="227">
      <c r="A227" s="61" t="n"/>
      <c r="B227" s="62" t="n"/>
      <c r="C227" s="62" t="n"/>
      <c r="D227" s="62" t="n"/>
      <c r="E227" s="62" t="n"/>
      <c r="H227" s="61" t="n"/>
      <c r="I227" s="42" t="n"/>
      <c r="J227" s="12">
        <f>IF(F227&lt;&gt;0,"LANÇAR","")</f>
        <v/>
      </c>
      <c r="K227" s="20" t="n"/>
      <c r="L227" s="13">
        <f>N227&amp;O227&amp;P227&amp;Q227&amp;R227&amp;S227&amp;T227&amp;U227&amp;V227&amp;W227&amp;X227&amp;Y227&amp;Z227&amp;AA227&amp;AB227&amp;AC227&amp;AD227&amp;AE227&amp;AF227&amp;AG227</f>
        <v/>
      </c>
      <c r="M227" s="20" t="n"/>
      <c r="N227" s="10">
        <f>TEXT($B$6,"00")</f>
        <v/>
      </c>
      <c r="O227" s="10">
        <f>REPT(" ",8)</f>
        <v/>
      </c>
      <c r="P227" s="10">
        <f>RIGHT($B$4,2)</f>
        <v/>
      </c>
      <c r="Q227" s="10">
        <f>RIGHT($B$5,3)</f>
        <v/>
      </c>
      <c r="R227" s="10">
        <f>IF(A227="D",LEFT(UPPER(B227)&amp;REPT(" ",20),20),REPT(" ",20))</f>
        <v/>
      </c>
      <c r="S227" s="10">
        <f>IF(A227="D",LEFT(UPPER(C227)&amp;REPT(" ",10),10)," ")</f>
        <v/>
      </c>
      <c r="T227" s="10">
        <f>IF(A227="D",LEFT(UPPER(D227)&amp;REPT(" ",2),2)," ")</f>
        <v/>
      </c>
      <c r="U227" s="10">
        <f>IF(A227="D",LEFT(UPPER(E227)&amp;REPT(" ",15),15)," ")</f>
        <v/>
      </c>
      <c r="V227" s="10">
        <f>REPT(" ",24)</f>
        <v/>
      </c>
      <c r="W227" s="10">
        <f>IF(A227="c",LEFT(UPPER(B227)&amp;REPT(" ",20),20),REPT(" ",20))</f>
        <v/>
      </c>
      <c r="X227" s="10">
        <f>IF(A227="C",LEFT(UPPER(C227)&amp;REPT(" ",10),10)," ")</f>
        <v/>
      </c>
      <c r="Y227" s="10">
        <f>IF(A227="C",LEFT(UPPER(D227)&amp;REPT(" ",2),2)," ")</f>
        <v/>
      </c>
      <c r="Z227" s="10">
        <f>IF(A227="C",LEFT(UPPER(E227)&amp;REPT(" ",15),15)," ")</f>
        <v/>
      </c>
      <c r="AA227" s="10">
        <f>REPT(" ",8)</f>
        <v/>
      </c>
      <c r="AB227" s="10">
        <f>REPT(" ",4)</f>
        <v/>
      </c>
      <c r="AC227" s="10">
        <f>LEFT(UPPER(H227)&amp;REPT(" ",250),250)</f>
        <v/>
      </c>
      <c r="AD227" s="10">
        <f>TEXT($G$2,"dd/mm/aaaa")</f>
        <v/>
      </c>
      <c r="AE227" s="10">
        <f>REPT(" ",10)</f>
        <v/>
      </c>
      <c r="AF227" s="10">
        <f>REPT(" ",20)</f>
        <v/>
      </c>
      <c r="AG227" s="54">
        <f>REPT(" ",18-LEN(FIXED(F227,2,TRUE)))&amp;FIXED(F227,2,TRUE)</f>
        <v/>
      </c>
      <c r="AH227" s="10">
        <f>LEN(AC227)+LEN(AG227)</f>
        <v/>
      </c>
      <c r="AI227" s="10">
        <f>LEN(L227)</f>
        <v/>
      </c>
    </row>
    <row r="228">
      <c r="A228" s="61" t="n"/>
      <c r="B228" s="62" t="n"/>
      <c r="C228" s="62" t="n"/>
      <c r="D228" s="62" t="n"/>
      <c r="E228" s="62" t="n"/>
      <c r="H228" s="61" t="n"/>
      <c r="I228" s="42" t="n"/>
      <c r="J228" s="12">
        <f>IF(F228&lt;&gt;0,"LANÇAR","")</f>
        <v/>
      </c>
      <c r="K228" s="20" t="n"/>
      <c r="L228" s="13">
        <f>N228&amp;O228&amp;P228&amp;Q228&amp;R228&amp;S228&amp;T228&amp;U228&amp;V228&amp;W228&amp;X228&amp;Y228&amp;Z228&amp;AA228&amp;AB228&amp;AC228&amp;AD228&amp;AE228&amp;AF228&amp;AG228</f>
        <v/>
      </c>
      <c r="M228" s="20" t="n"/>
      <c r="N228" s="10">
        <f>TEXT($B$6,"00")</f>
        <v/>
      </c>
      <c r="O228" s="10">
        <f>REPT(" ",8)</f>
        <v/>
      </c>
      <c r="P228" s="10">
        <f>RIGHT($B$4,2)</f>
        <v/>
      </c>
      <c r="Q228" s="10">
        <f>RIGHT($B$5,3)</f>
        <v/>
      </c>
      <c r="R228" s="10">
        <f>IF(A228="D",LEFT(UPPER(B228)&amp;REPT(" ",20),20),REPT(" ",20))</f>
        <v/>
      </c>
      <c r="S228" s="10">
        <f>IF(A228="D",LEFT(UPPER(C228)&amp;REPT(" ",10),10)," ")</f>
        <v/>
      </c>
      <c r="T228" s="10">
        <f>IF(A228="D",LEFT(UPPER(D228)&amp;REPT(" ",2),2)," ")</f>
        <v/>
      </c>
      <c r="U228" s="10">
        <f>IF(A228="D",LEFT(UPPER(E228)&amp;REPT(" ",15),15)," ")</f>
        <v/>
      </c>
      <c r="V228" s="10">
        <f>REPT(" ",24)</f>
        <v/>
      </c>
      <c r="W228" s="10">
        <f>IF(A228="c",LEFT(UPPER(B228)&amp;REPT(" ",20),20),REPT(" ",20))</f>
        <v/>
      </c>
      <c r="X228" s="10">
        <f>IF(A228="C",LEFT(UPPER(C228)&amp;REPT(" ",10),10)," ")</f>
        <v/>
      </c>
      <c r="Y228" s="10">
        <f>IF(A228="C",LEFT(UPPER(D228)&amp;REPT(" ",2),2)," ")</f>
        <v/>
      </c>
      <c r="Z228" s="10">
        <f>IF(A228="C",LEFT(UPPER(E228)&amp;REPT(" ",15),15)," ")</f>
        <v/>
      </c>
      <c r="AA228" s="10">
        <f>REPT(" ",8)</f>
        <v/>
      </c>
      <c r="AB228" s="10">
        <f>REPT(" ",4)</f>
        <v/>
      </c>
      <c r="AC228" s="10">
        <f>LEFT(UPPER(H228)&amp;REPT(" ",250),250)</f>
        <v/>
      </c>
      <c r="AD228" s="10">
        <f>TEXT($G$2,"dd/mm/aaaa")</f>
        <v/>
      </c>
      <c r="AE228" s="10">
        <f>REPT(" ",10)</f>
        <v/>
      </c>
      <c r="AF228" s="10">
        <f>REPT(" ",20)</f>
        <v/>
      </c>
      <c r="AG228" s="54">
        <f>REPT(" ",18-LEN(FIXED(F228,2,TRUE)))&amp;FIXED(F228,2,TRUE)</f>
        <v/>
      </c>
      <c r="AH228" s="10">
        <f>LEN(AC228)+LEN(AG228)</f>
        <v/>
      </c>
      <c r="AI228" s="10">
        <f>LEN(L228)</f>
        <v/>
      </c>
    </row>
    <row r="229">
      <c r="A229" s="61" t="n"/>
      <c r="B229" s="62" t="n"/>
      <c r="C229" s="62" t="n"/>
      <c r="D229" s="62" t="n"/>
      <c r="E229" s="62" t="n"/>
      <c r="H229" s="61" t="n"/>
      <c r="I229" s="42" t="n"/>
      <c r="J229" s="12">
        <f>IF(F229&lt;&gt;0,"LANÇAR","")</f>
        <v/>
      </c>
      <c r="K229" s="20" t="n"/>
      <c r="L229" s="13">
        <f>N229&amp;O229&amp;P229&amp;Q229&amp;R229&amp;S229&amp;T229&amp;U229&amp;V229&amp;W229&amp;X229&amp;Y229&amp;Z229&amp;AA229&amp;AB229&amp;AC229&amp;AD229&amp;AE229&amp;AF229&amp;AG229</f>
        <v/>
      </c>
      <c r="M229" s="20" t="n"/>
      <c r="N229" s="10">
        <f>TEXT($B$6,"00")</f>
        <v/>
      </c>
      <c r="O229" s="10">
        <f>REPT(" ",8)</f>
        <v/>
      </c>
      <c r="P229" s="10">
        <f>RIGHT($B$4,2)</f>
        <v/>
      </c>
      <c r="Q229" s="10">
        <f>RIGHT($B$5,3)</f>
        <v/>
      </c>
      <c r="R229" s="10">
        <f>IF(A229="D",LEFT(UPPER(B229)&amp;REPT(" ",20),20),REPT(" ",20))</f>
        <v/>
      </c>
      <c r="S229" s="10">
        <f>IF(A229="D",LEFT(UPPER(C229)&amp;REPT(" ",10),10)," ")</f>
        <v/>
      </c>
      <c r="T229" s="10">
        <f>IF(A229="D",LEFT(UPPER(D229)&amp;REPT(" ",2),2)," ")</f>
        <v/>
      </c>
      <c r="U229" s="10">
        <f>IF(A229="D",LEFT(UPPER(E229)&amp;REPT(" ",15),15)," ")</f>
        <v/>
      </c>
      <c r="V229" s="10">
        <f>REPT(" ",24)</f>
        <v/>
      </c>
      <c r="W229" s="10">
        <f>IF(A229="c",LEFT(UPPER(B229)&amp;REPT(" ",20),20),REPT(" ",20))</f>
        <v/>
      </c>
      <c r="X229" s="10">
        <f>IF(A229="C",LEFT(UPPER(C229)&amp;REPT(" ",10),10)," ")</f>
        <v/>
      </c>
      <c r="Y229" s="10">
        <f>IF(A229="C",LEFT(UPPER(D229)&amp;REPT(" ",2),2)," ")</f>
        <v/>
      </c>
      <c r="Z229" s="10">
        <f>IF(A229="C",LEFT(UPPER(E229)&amp;REPT(" ",15),15)," ")</f>
        <v/>
      </c>
      <c r="AA229" s="10">
        <f>REPT(" ",8)</f>
        <v/>
      </c>
      <c r="AB229" s="10">
        <f>REPT(" ",4)</f>
        <v/>
      </c>
      <c r="AC229" s="10">
        <f>LEFT(UPPER(H229)&amp;REPT(" ",250),250)</f>
        <v/>
      </c>
      <c r="AD229" s="10">
        <f>TEXT($G$2,"dd/mm/aaaa")</f>
        <v/>
      </c>
      <c r="AE229" s="10">
        <f>REPT(" ",10)</f>
        <v/>
      </c>
      <c r="AF229" s="10">
        <f>REPT(" ",20)</f>
        <v/>
      </c>
      <c r="AG229" s="54">
        <f>REPT(" ",18-LEN(FIXED(F229,2,TRUE)))&amp;FIXED(F229,2,TRUE)</f>
        <v/>
      </c>
      <c r="AH229" s="10">
        <f>LEN(AC229)+LEN(AG229)</f>
        <v/>
      </c>
      <c r="AI229" s="10">
        <f>LEN(L229)</f>
        <v/>
      </c>
    </row>
    <row r="230">
      <c r="A230" s="61" t="n"/>
      <c r="B230" s="62" t="n"/>
      <c r="C230" s="62" t="n"/>
      <c r="D230" s="62" t="n"/>
      <c r="E230" s="62" t="n"/>
      <c r="H230" s="61" t="n"/>
      <c r="I230" s="42" t="n"/>
      <c r="J230" s="12">
        <f>IF(F230&lt;&gt;0,"LANÇAR","")</f>
        <v/>
      </c>
      <c r="K230" s="20" t="n"/>
      <c r="L230" s="13">
        <f>N230&amp;O230&amp;P230&amp;Q230&amp;R230&amp;S230&amp;T230&amp;U230&amp;V230&amp;W230&amp;X230&amp;Y230&amp;Z230&amp;AA230&amp;AB230&amp;AC230&amp;AD230&amp;AE230&amp;AF230&amp;AG230</f>
        <v/>
      </c>
      <c r="M230" s="20" t="n"/>
      <c r="N230" s="10">
        <f>TEXT($B$6,"00")</f>
        <v/>
      </c>
      <c r="O230" s="10">
        <f>REPT(" ",8)</f>
        <v/>
      </c>
      <c r="P230" s="10">
        <f>RIGHT($B$4,2)</f>
        <v/>
      </c>
      <c r="Q230" s="10">
        <f>RIGHT($B$5,3)</f>
        <v/>
      </c>
      <c r="R230" s="10">
        <f>IF(A230="D",LEFT(UPPER(B230)&amp;REPT(" ",20),20),REPT(" ",20))</f>
        <v/>
      </c>
      <c r="S230" s="10">
        <f>IF(A230="D",LEFT(UPPER(C230)&amp;REPT(" ",10),10)," ")</f>
        <v/>
      </c>
      <c r="T230" s="10">
        <f>IF(A230="D",LEFT(UPPER(D230)&amp;REPT(" ",2),2)," ")</f>
        <v/>
      </c>
      <c r="U230" s="10">
        <f>IF(A230="D",LEFT(UPPER(E230)&amp;REPT(" ",15),15)," ")</f>
        <v/>
      </c>
      <c r="V230" s="10">
        <f>REPT(" ",24)</f>
        <v/>
      </c>
      <c r="W230" s="10">
        <f>IF(A230="c",LEFT(UPPER(B230)&amp;REPT(" ",20),20),REPT(" ",20))</f>
        <v/>
      </c>
      <c r="X230" s="10">
        <f>IF(A230="C",LEFT(UPPER(C230)&amp;REPT(" ",10),10)," ")</f>
        <v/>
      </c>
      <c r="Y230" s="10">
        <f>IF(A230="C",LEFT(UPPER(D230)&amp;REPT(" ",2),2)," ")</f>
        <v/>
      </c>
      <c r="Z230" s="10">
        <f>IF(A230="C",LEFT(UPPER(E230)&amp;REPT(" ",15),15)," ")</f>
        <v/>
      </c>
      <c r="AA230" s="10">
        <f>REPT(" ",8)</f>
        <v/>
      </c>
      <c r="AB230" s="10">
        <f>REPT(" ",4)</f>
        <v/>
      </c>
      <c r="AC230" s="10">
        <f>LEFT(UPPER(H230)&amp;REPT(" ",250),250)</f>
        <v/>
      </c>
      <c r="AD230" s="10">
        <f>TEXT($G$2,"dd/mm/aaaa")</f>
        <v/>
      </c>
      <c r="AE230" s="10">
        <f>REPT(" ",10)</f>
        <v/>
      </c>
      <c r="AF230" s="10">
        <f>REPT(" ",20)</f>
        <v/>
      </c>
      <c r="AG230" s="54">
        <f>REPT(" ",18-LEN(FIXED(F230,2,TRUE)))&amp;FIXED(F230,2,TRUE)</f>
        <v/>
      </c>
      <c r="AH230" s="10">
        <f>LEN(AC230)+LEN(AG230)</f>
        <v/>
      </c>
      <c r="AI230" s="10">
        <f>LEN(L230)</f>
        <v/>
      </c>
    </row>
    <row r="231">
      <c r="A231" s="61" t="n"/>
      <c r="B231" s="62" t="n"/>
      <c r="C231" s="62" t="n"/>
      <c r="D231" s="62" t="n"/>
      <c r="E231" s="62" t="n"/>
      <c r="H231" s="61" t="n"/>
      <c r="I231" s="42" t="n"/>
      <c r="J231" s="12">
        <f>IF(F231&lt;&gt;0,"LANÇAR","")</f>
        <v/>
      </c>
      <c r="K231" s="20" t="n"/>
      <c r="L231" s="13">
        <f>N231&amp;O231&amp;P231&amp;Q231&amp;R231&amp;S231&amp;T231&amp;U231&amp;V231&amp;W231&amp;X231&amp;Y231&amp;Z231&amp;AA231&amp;AB231&amp;AC231&amp;AD231&amp;AE231&amp;AF231&amp;AG231</f>
        <v/>
      </c>
      <c r="M231" s="20" t="n"/>
      <c r="N231" s="10">
        <f>TEXT($B$6,"00")</f>
        <v/>
      </c>
      <c r="O231" s="10">
        <f>REPT(" ",8)</f>
        <v/>
      </c>
      <c r="P231" s="10">
        <f>RIGHT($B$4,2)</f>
        <v/>
      </c>
      <c r="Q231" s="10">
        <f>RIGHT($B$5,3)</f>
        <v/>
      </c>
      <c r="R231" s="10">
        <f>IF(A231="D",LEFT(UPPER(B231)&amp;REPT(" ",20),20),REPT(" ",20))</f>
        <v/>
      </c>
      <c r="S231" s="10">
        <f>IF(A231="D",LEFT(UPPER(C231)&amp;REPT(" ",10),10)," ")</f>
        <v/>
      </c>
      <c r="T231" s="10">
        <f>IF(A231="D",LEFT(UPPER(D231)&amp;REPT(" ",2),2)," ")</f>
        <v/>
      </c>
      <c r="U231" s="10">
        <f>IF(A231="D",LEFT(UPPER(E231)&amp;REPT(" ",15),15)," ")</f>
        <v/>
      </c>
      <c r="V231" s="10">
        <f>REPT(" ",24)</f>
        <v/>
      </c>
      <c r="W231" s="10">
        <f>IF(A231="c",LEFT(UPPER(B231)&amp;REPT(" ",20),20),REPT(" ",20))</f>
        <v/>
      </c>
      <c r="X231" s="10">
        <f>IF(A231="C",LEFT(UPPER(C231)&amp;REPT(" ",10),10)," ")</f>
        <v/>
      </c>
      <c r="Y231" s="10">
        <f>IF(A231="C",LEFT(UPPER(D231)&amp;REPT(" ",2),2)," ")</f>
        <v/>
      </c>
      <c r="Z231" s="10">
        <f>IF(A231="C",LEFT(UPPER(E231)&amp;REPT(" ",15),15)," ")</f>
        <v/>
      </c>
      <c r="AA231" s="10">
        <f>REPT(" ",8)</f>
        <v/>
      </c>
      <c r="AB231" s="10">
        <f>REPT(" ",4)</f>
        <v/>
      </c>
      <c r="AC231" s="10">
        <f>LEFT(UPPER(H231)&amp;REPT(" ",250),250)</f>
        <v/>
      </c>
      <c r="AD231" s="10">
        <f>TEXT($G$2,"dd/mm/aaaa")</f>
        <v/>
      </c>
      <c r="AE231" s="10">
        <f>REPT(" ",10)</f>
        <v/>
      </c>
      <c r="AF231" s="10">
        <f>REPT(" ",20)</f>
        <v/>
      </c>
      <c r="AG231" s="54">
        <f>REPT(" ",18-LEN(FIXED(F231,2,TRUE)))&amp;FIXED(F231,2,TRUE)</f>
        <v/>
      </c>
      <c r="AH231" s="10">
        <f>LEN(AC231)+LEN(AG231)</f>
        <v/>
      </c>
      <c r="AI231" s="10">
        <f>LEN(L231)</f>
        <v/>
      </c>
    </row>
    <row r="232">
      <c r="A232" s="61" t="n"/>
      <c r="B232" s="62" t="n"/>
      <c r="C232" s="62" t="n"/>
      <c r="D232" s="62" t="n"/>
      <c r="E232" s="62" t="n"/>
      <c r="H232" s="61" t="n"/>
      <c r="I232" s="42" t="n"/>
      <c r="J232" s="12">
        <f>IF(F232&lt;&gt;0,"LANÇAR","")</f>
        <v/>
      </c>
      <c r="K232" s="20" t="n"/>
      <c r="L232" s="13">
        <f>N232&amp;O232&amp;P232&amp;Q232&amp;R232&amp;S232&amp;T232&amp;U232&amp;V232&amp;W232&amp;X232&amp;Y232&amp;Z232&amp;AA232&amp;AB232&amp;AC232&amp;AD232&amp;AE232&amp;AF232&amp;AG232</f>
        <v/>
      </c>
      <c r="M232" s="20" t="n"/>
      <c r="N232" s="10">
        <f>TEXT($B$6,"00")</f>
        <v/>
      </c>
      <c r="O232" s="10">
        <f>REPT(" ",8)</f>
        <v/>
      </c>
      <c r="P232" s="10">
        <f>RIGHT($B$4,2)</f>
        <v/>
      </c>
      <c r="Q232" s="10">
        <f>RIGHT($B$5,3)</f>
        <v/>
      </c>
      <c r="R232" s="10">
        <f>IF(A232="D",LEFT(UPPER(B232)&amp;REPT(" ",20),20),REPT(" ",20))</f>
        <v/>
      </c>
      <c r="S232" s="10">
        <f>IF(A232="D",LEFT(UPPER(C232)&amp;REPT(" ",10),10)," ")</f>
        <v/>
      </c>
      <c r="T232" s="10">
        <f>IF(A232="D",LEFT(UPPER(D232)&amp;REPT(" ",2),2)," ")</f>
        <v/>
      </c>
      <c r="U232" s="10">
        <f>IF(A232="D",LEFT(UPPER(E232)&amp;REPT(" ",15),15)," ")</f>
        <v/>
      </c>
      <c r="V232" s="10">
        <f>REPT(" ",24)</f>
        <v/>
      </c>
      <c r="W232" s="10">
        <f>IF(A232="c",LEFT(UPPER(B232)&amp;REPT(" ",20),20),REPT(" ",20))</f>
        <v/>
      </c>
      <c r="X232" s="10">
        <f>IF(A232="C",LEFT(UPPER(C232)&amp;REPT(" ",10),10)," ")</f>
        <v/>
      </c>
      <c r="Y232" s="10">
        <f>IF(A232="C",LEFT(UPPER(D232)&amp;REPT(" ",2),2)," ")</f>
        <v/>
      </c>
      <c r="Z232" s="10">
        <f>IF(A232="C",LEFT(UPPER(E232)&amp;REPT(" ",15),15)," ")</f>
        <v/>
      </c>
      <c r="AA232" s="10">
        <f>REPT(" ",8)</f>
        <v/>
      </c>
      <c r="AB232" s="10">
        <f>REPT(" ",4)</f>
        <v/>
      </c>
      <c r="AC232" s="10">
        <f>LEFT(UPPER(H232)&amp;REPT(" ",250),250)</f>
        <v/>
      </c>
      <c r="AD232" s="10">
        <f>TEXT($G$2,"dd/mm/aaaa")</f>
        <v/>
      </c>
      <c r="AE232" s="10">
        <f>REPT(" ",10)</f>
        <v/>
      </c>
      <c r="AF232" s="10">
        <f>REPT(" ",20)</f>
        <v/>
      </c>
      <c r="AG232" s="54">
        <f>REPT(" ",18-LEN(FIXED(F232,2,TRUE)))&amp;FIXED(F232,2,TRUE)</f>
        <v/>
      </c>
      <c r="AH232" s="10">
        <f>LEN(AC232)+LEN(AG232)</f>
        <v/>
      </c>
      <c r="AI232" s="10">
        <f>LEN(L232)</f>
        <v/>
      </c>
    </row>
    <row r="233">
      <c r="A233" s="61" t="n"/>
      <c r="B233" s="62" t="n"/>
      <c r="C233" s="62" t="n"/>
      <c r="D233" s="62" t="n"/>
      <c r="E233" s="62" t="n"/>
      <c r="H233" s="61" t="n"/>
      <c r="I233" s="42" t="n"/>
      <c r="J233" s="12">
        <f>IF(F233&lt;&gt;0,"LANÇAR","")</f>
        <v/>
      </c>
      <c r="K233" s="20" t="n"/>
      <c r="L233" s="13">
        <f>N233&amp;O233&amp;P233&amp;Q233&amp;R233&amp;S233&amp;T233&amp;U233&amp;V233&amp;W233&amp;X233&amp;Y233&amp;Z233&amp;AA233&amp;AB233&amp;AC233&amp;AD233&amp;AE233&amp;AF233&amp;AG233</f>
        <v/>
      </c>
      <c r="M233" s="20" t="n"/>
      <c r="N233" s="10">
        <f>TEXT($B$6,"00")</f>
        <v/>
      </c>
      <c r="O233" s="10">
        <f>REPT(" ",8)</f>
        <v/>
      </c>
      <c r="P233" s="10">
        <f>RIGHT($B$4,2)</f>
        <v/>
      </c>
      <c r="Q233" s="10">
        <f>RIGHT($B$5,3)</f>
        <v/>
      </c>
      <c r="R233" s="10">
        <f>IF(A233="D",LEFT(UPPER(B233)&amp;REPT(" ",20),20),REPT(" ",20))</f>
        <v/>
      </c>
      <c r="S233" s="10">
        <f>IF(A233="D",LEFT(UPPER(C233)&amp;REPT(" ",10),10)," ")</f>
        <v/>
      </c>
      <c r="T233" s="10">
        <f>IF(A233="D",LEFT(UPPER(D233)&amp;REPT(" ",2),2)," ")</f>
        <v/>
      </c>
      <c r="U233" s="10">
        <f>IF(A233="D",LEFT(UPPER(E233)&amp;REPT(" ",15),15)," ")</f>
        <v/>
      </c>
      <c r="V233" s="10">
        <f>REPT(" ",24)</f>
        <v/>
      </c>
      <c r="W233" s="10">
        <f>IF(A233="c",LEFT(UPPER(B233)&amp;REPT(" ",20),20),REPT(" ",20))</f>
        <v/>
      </c>
      <c r="X233" s="10">
        <f>IF(A233="C",LEFT(UPPER(C233)&amp;REPT(" ",10),10)," ")</f>
        <v/>
      </c>
      <c r="Y233" s="10">
        <f>IF(A233="C",LEFT(UPPER(D233)&amp;REPT(" ",2),2)," ")</f>
        <v/>
      </c>
      <c r="Z233" s="10">
        <f>IF(A233="C",LEFT(UPPER(E233)&amp;REPT(" ",15),15)," ")</f>
        <v/>
      </c>
      <c r="AA233" s="10">
        <f>REPT(" ",8)</f>
        <v/>
      </c>
      <c r="AB233" s="10">
        <f>REPT(" ",4)</f>
        <v/>
      </c>
      <c r="AC233" s="10">
        <f>LEFT(UPPER(H233)&amp;REPT(" ",250),250)</f>
        <v/>
      </c>
      <c r="AD233" s="10">
        <f>TEXT($G$2,"dd/mm/aaaa")</f>
        <v/>
      </c>
      <c r="AE233" s="10">
        <f>REPT(" ",10)</f>
        <v/>
      </c>
      <c r="AF233" s="10">
        <f>REPT(" ",20)</f>
        <v/>
      </c>
      <c r="AG233" s="54">
        <f>REPT(" ",18-LEN(FIXED(F233,2,TRUE)))&amp;FIXED(F233,2,TRUE)</f>
        <v/>
      </c>
      <c r="AH233" s="10">
        <f>LEN(AC233)+LEN(AG233)</f>
        <v/>
      </c>
      <c r="AI233" s="10">
        <f>LEN(L233)</f>
        <v/>
      </c>
    </row>
    <row r="234">
      <c r="A234" s="61" t="n"/>
      <c r="B234" s="62" t="n"/>
      <c r="C234" s="62" t="n"/>
      <c r="D234" s="62" t="n"/>
      <c r="E234" s="62" t="n"/>
      <c r="H234" s="61" t="n"/>
      <c r="I234" s="42" t="n"/>
      <c r="J234" s="12">
        <f>IF(F234&lt;&gt;0,"LANÇAR","")</f>
        <v/>
      </c>
      <c r="K234" s="20" t="n"/>
      <c r="L234" s="13">
        <f>N234&amp;O234&amp;P234&amp;Q234&amp;R234&amp;S234&amp;T234&amp;U234&amp;V234&amp;W234&amp;X234&amp;Y234&amp;Z234&amp;AA234&amp;AB234&amp;AC234&amp;AD234&amp;AE234&amp;AF234&amp;AG234</f>
        <v/>
      </c>
      <c r="M234" s="20" t="n"/>
      <c r="N234" s="10">
        <f>TEXT($B$6,"00")</f>
        <v/>
      </c>
      <c r="O234" s="10">
        <f>REPT(" ",8)</f>
        <v/>
      </c>
      <c r="P234" s="10">
        <f>RIGHT($B$4,2)</f>
        <v/>
      </c>
      <c r="Q234" s="10">
        <f>RIGHT($B$5,3)</f>
        <v/>
      </c>
      <c r="R234" s="10">
        <f>IF(A234="D",LEFT(UPPER(B234)&amp;REPT(" ",20),20),REPT(" ",20))</f>
        <v/>
      </c>
      <c r="S234" s="10">
        <f>IF(A234="D",LEFT(UPPER(C234)&amp;REPT(" ",10),10)," ")</f>
        <v/>
      </c>
      <c r="T234" s="10">
        <f>IF(A234="D",LEFT(UPPER(D234)&amp;REPT(" ",2),2)," ")</f>
        <v/>
      </c>
      <c r="U234" s="10">
        <f>IF(A234="D",LEFT(UPPER(E234)&amp;REPT(" ",15),15)," ")</f>
        <v/>
      </c>
      <c r="V234" s="10">
        <f>REPT(" ",24)</f>
        <v/>
      </c>
      <c r="W234" s="10">
        <f>IF(A234="c",LEFT(UPPER(B234)&amp;REPT(" ",20),20),REPT(" ",20))</f>
        <v/>
      </c>
      <c r="X234" s="10">
        <f>IF(A234="C",LEFT(UPPER(C234)&amp;REPT(" ",10),10)," ")</f>
        <v/>
      </c>
      <c r="Y234" s="10">
        <f>IF(A234="C",LEFT(UPPER(D234)&amp;REPT(" ",2),2)," ")</f>
        <v/>
      </c>
      <c r="Z234" s="10">
        <f>IF(A234="C",LEFT(UPPER(E234)&amp;REPT(" ",15),15)," ")</f>
        <v/>
      </c>
      <c r="AA234" s="10">
        <f>REPT(" ",8)</f>
        <v/>
      </c>
      <c r="AB234" s="10">
        <f>REPT(" ",4)</f>
        <v/>
      </c>
      <c r="AC234" s="10">
        <f>LEFT(UPPER(H234)&amp;REPT(" ",250),250)</f>
        <v/>
      </c>
      <c r="AD234" s="10">
        <f>TEXT($G$2,"dd/mm/aaaa")</f>
        <v/>
      </c>
      <c r="AE234" s="10">
        <f>REPT(" ",10)</f>
        <v/>
      </c>
      <c r="AF234" s="10">
        <f>REPT(" ",20)</f>
        <v/>
      </c>
      <c r="AG234" s="54">
        <f>REPT(" ",18-LEN(FIXED(F234,2,TRUE)))&amp;FIXED(F234,2,TRUE)</f>
        <v/>
      </c>
      <c r="AH234" s="10">
        <f>LEN(AC234)+LEN(AG234)</f>
        <v/>
      </c>
      <c r="AI234" s="10">
        <f>LEN(L234)</f>
        <v/>
      </c>
    </row>
    <row r="235">
      <c r="A235" s="61" t="n"/>
      <c r="B235" s="62" t="n"/>
      <c r="C235" s="62" t="n"/>
      <c r="D235" s="62" t="n"/>
      <c r="E235" s="62" t="n"/>
      <c r="H235" s="61" t="n"/>
      <c r="I235" s="42" t="n"/>
      <c r="J235" s="12">
        <f>IF(F235&lt;&gt;0,"LANÇAR","")</f>
        <v/>
      </c>
      <c r="K235" s="20" t="n"/>
      <c r="L235" s="13">
        <f>N235&amp;O235&amp;P235&amp;Q235&amp;R235&amp;S235&amp;T235&amp;U235&amp;V235&amp;W235&amp;X235&amp;Y235&amp;Z235&amp;AA235&amp;AB235&amp;AC235&amp;AD235&amp;AE235&amp;AF235&amp;AG235</f>
        <v/>
      </c>
      <c r="M235" s="20" t="n"/>
      <c r="N235" s="10">
        <f>TEXT($B$6,"00")</f>
        <v/>
      </c>
      <c r="O235" s="10">
        <f>REPT(" ",8)</f>
        <v/>
      </c>
      <c r="P235" s="10">
        <f>RIGHT($B$4,2)</f>
        <v/>
      </c>
      <c r="Q235" s="10">
        <f>RIGHT($B$5,3)</f>
        <v/>
      </c>
      <c r="R235" s="10">
        <f>IF(A235="D",LEFT(UPPER(B235)&amp;REPT(" ",20),20),REPT(" ",20))</f>
        <v/>
      </c>
      <c r="S235" s="10">
        <f>IF(A235="D",LEFT(UPPER(C235)&amp;REPT(" ",10),10)," ")</f>
        <v/>
      </c>
      <c r="T235" s="10">
        <f>IF(A235="D",LEFT(UPPER(D235)&amp;REPT(" ",2),2)," ")</f>
        <v/>
      </c>
      <c r="U235" s="10">
        <f>IF(A235="D",LEFT(UPPER(E235)&amp;REPT(" ",15),15)," ")</f>
        <v/>
      </c>
      <c r="V235" s="10">
        <f>REPT(" ",24)</f>
        <v/>
      </c>
      <c r="W235" s="10">
        <f>IF(A235="c",LEFT(UPPER(B235)&amp;REPT(" ",20),20),REPT(" ",20))</f>
        <v/>
      </c>
      <c r="X235" s="10">
        <f>IF(A235="C",LEFT(UPPER(C235)&amp;REPT(" ",10),10)," ")</f>
        <v/>
      </c>
      <c r="Y235" s="10">
        <f>IF(A235="C",LEFT(UPPER(D235)&amp;REPT(" ",2),2)," ")</f>
        <v/>
      </c>
      <c r="Z235" s="10">
        <f>IF(A235="C",LEFT(UPPER(E235)&amp;REPT(" ",15),15)," ")</f>
        <v/>
      </c>
      <c r="AA235" s="10">
        <f>REPT(" ",8)</f>
        <v/>
      </c>
      <c r="AB235" s="10">
        <f>REPT(" ",4)</f>
        <v/>
      </c>
      <c r="AC235" s="10">
        <f>LEFT(UPPER(H235)&amp;REPT(" ",250),250)</f>
        <v/>
      </c>
      <c r="AD235" s="10">
        <f>TEXT($G$2,"dd/mm/aaaa")</f>
        <v/>
      </c>
      <c r="AE235" s="10">
        <f>REPT(" ",10)</f>
        <v/>
      </c>
      <c r="AF235" s="10">
        <f>REPT(" ",20)</f>
        <v/>
      </c>
      <c r="AG235" s="54">
        <f>REPT(" ",18-LEN(FIXED(F235,2,TRUE)))&amp;FIXED(F235,2,TRUE)</f>
        <v/>
      </c>
      <c r="AH235" s="10">
        <f>LEN(AC235)+LEN(AG235)</f>
        <v/>
      </c>
      <c r="AI235" s="10">
        <f>LEN(L235)</f>
        <v/>
      </c>
    </row>
    <row r="236">
      <c r="A236" s="61" t="n"/>
      <c r="B236" s="62" t="n"/>
      <c r="C236" s="62" t="n"/>
      <c r="D236" s="62" t="n"/>
      <c r="E236" s="62" t="n"/>
      <c r="H236" s="61" t="n"/>
      <c r="I236" s="42" t="n"/>
      <c r="J236" s="12">
        <f>IF(F236&lt;&gt;0,"LANÇAR","")</f>
        <v/>
      </c>
      <c r="K236" s="20" t="n"/>
      <c r="L236" s="13">
        <f>N236&amp;O236&amp;P236&amp;Q236&amp;R236&amp;S236&amp;T236&amp;U236&amp;V236&amp;W236&amp;X236&amp;Y236&amp;Z236&amp;AA236&amp;AB236&amp;AC236&amp;AD236&amp;AE236&amp;AF236&amp;AG236</f>
        <v/>
      </c>
      <c r="M236" s="20" t="n"/>
      <c r="N236" s="10">
        <f>TEXT($B$6,"00")</f>
        <v/>
      </c>
      <c r="O236" s="10">
        <f>REPT(" ",8)</f>
        <v/>
      </c>
      <c r="P236" s="10">
        <f>RIGHT($B$4,2)</f>
        <v/>
      </c>
      <c r="Q236" s="10">
        <f>RIGHT($B$5,3)</f>
        <v/>
      </c>
      <c r="R236" s="10">
        <f>IF(A236="D",LEFT(UPPER(B236)&amp;REPT(" ",20),20),REPT(" ",20))</f>
        <v/>
      </c>
      <c r="S236" s="10">
        <f>IF(A236="D",LEFT(UPPER(C236)&amp;REPT(" ",10),10)," ")</f>
        <v/>
      </c>
      <c r="T236" s="10">
        <f>IF(A236="D",LEFT(UPPER(D236)&amp;REPT(" ",2),2)," ")</f>
        <v/>
      </c>
      <c r="U236" s="10">
        <f>IF(A236="D",LEFT(UPPER(E236)&amp;REPT(" ",15),15)," ")</f>
        <v/>
      </c>
      <c r="V236" s="10">
        <f>REPT(" ",24)</f>
        <v/>
      </c>
      <c r="W236" s="10">
        <f>IF(A236="c",LEFT(UPPER(B236)&amp;REPT(" ",20),20),REPT(" ",20))</f>
        <v/>
      </c>
      <c r="X236" s="10">
        <f>IF(A236="C",LEFT(UPPER(C236)&amp;REPT(" ",10),10)," ")</f>
        <v/>
      </c>
      <c r="Y236" s="10">
        <f>IF(A236="C",LEFT(UPPER(D236)&amp;REPT(" ",2),2)," ")</f>
        <v/>
      </c>
      <c r="Z236" s="10">
        <f>IF(A236="C",LEFT(UPPER(E236)&amp;REPT(" ",15),15)," ")</f>
        <v/>
      </c>
      <c r="AA236" s="10">
        <f>REPT(" ",8)</f>
        <v/>
      </c>
      <c r="AB236" s="10">
        <f>REPT(" ",4)</f>
        <v/>
      </c>
      <c r="AC236" s="10">
        <f>LEFT(UPPER(H236)&amp;REPT(" ",250),250)</f>
        <v/>
      </c>
      <c r="AD236" s="10">
        <f>TEXT($G$2,"dd/mm/aaaa")</f>
        <v/>
      </c>
      <c r="AE236" s="10">
        <f>REPT(" ",10)</f>
        <v/>
      </c>
      <c r="AF236" s="10">
        <f>REPT(" ",20)</f>
        <v/>
      </c>
      <c r="AG236" s="54">
        <f>REPT(" ",18-LEN(FIXED(F236,2,TRUE)))&amp;FIXED(F236,2,TRUE)</f>
        <v/>
      </c>
      <c r="AH236" s="10">
        <f>LEN(AC236)+LEN(AG236)</f>
        <v/>
      </c>
      <c r="AI236" s="10">
        <f>LEN(L236)</f>
        <v/>
      </c>
    </row>
    <row r="237">
      <c r="A237" s="61" t="n"/>
      <c r="B237" s="62" t="n"/>
      <c r="C237" s="62" t="n"/>
      <c r="D237" s="62" t="n"/>
      <c r="E237" s="62" t="n"/>
      <c r="H237" s="61" t="n"/>
      <c r="I237" s="42" t="n"/>
      <c r="J237" s="12">
        <f>IF(F237&lt;&gt;0,"LANÇAR","")</f>
        <v/>
      </c>
      <c r="K237" s="20" t="n"/>
      <c r="L237" s="13">
        <f>N237&amp;O237&amp;P237&amp;Q237&amp;R237&amp;S237&amp;T237&amp;U237&amp;V237&amp;W237&amp;X237&amp;Y237&amp;Z237&amp;AA237&amp;AB237&amp;AC237&amp;AD237&amp;AE237&amp;AF237&amp;AG237</f>
        <v/>
      </c>
      <c r="M237" s="20" t="n"/>
      <c r="N237" s="10">
        <f>TEXT($B$6,"00")</f>
        <v/>
      </c>
      <c r="O237" s="10">
        <f>REPT(" ",8)</f>
        <v/>
      </c>
      <c r="P237" s="10">
        <f>RIGHT($B$4,2)</f>
        <v/>
      </c>
      <c r="Q237" s="10">
        <f>RIGHT($B$5,3)</f>
        <v/>
      </c>
      <c r="R237" s="10">
        <f>IF(A237="D",LEFT(UPPER(B237)&amp;REPT(" ",20),20),REPT(" ",20))</f>
        <v/>
      </c>
      <c r="S237" s="10">
        <f>IF(A237="D",LEFT(UPPER(C237)&amp;REPT(" ",10),10)," ")</f>
        <v/>
      </c>
      <c r="T237" s="10">
        <f>IF(A237="D",LEFT(UPPER(D237)&amp;REPT(" ",2),2)," ")</f>
        <v/>
      </c>
      <c r="U237" s="10">
        <f>IF(A237="D",LEFT(UPPER(E237)&amp;REPT(" ",15),15)," ")</f>
        <v/>
      </c>
      <c r="V237" s="10">
        <f>REPT(" ",24)</f>
        <v/>
      </c>
      <c r="W237" s="10">
        <f>IF(A237="c",LEFT(UPPER(B237)&amp;REPT(" ",20),20),REPT(" ",20))</f>
        <v/>
      </c>
      <c r="X237" s="10">
        <f>IF(A237="C",LEFT(UPPER(C237)&amp;REPT(" ",10),10)," ")</f>
        <v/>
      </c>
      <c r="Y237" s="10">
        <f>IF(A237="C",LEFT(UPPER(D237)&amp;REPT(" ",2),2)," ")</f>
        <v/>
      </c>
      <c r="Z237" s="10">
        <f>IF(A237="C",LEFT(UPPER(E237)&amp;REPT(" ",15),15)," ")</f>
        <v/>
      </c>
      <c r="AA237" s="10">
        <f>REPT(" ",8)</f>
        <v/>
      </c>
      <c r="AB237" s="10">
        <f>REPT(" ",4)</f>
        <v/>
      </c>
      <c r="AC237" s="10">
        <f>LEFT(UPPER(H237)&amp;REPT(" ",250),250)</f>
        <v/>
      </c>
      <c r="AD237" s="10">
        <f>TEXT($G$2,"dd/mm/aaaa")</f>
        <v/>
      </c>
      <c r="AE237" s="10">
        <f>REPT(" ",10)</f>
        <v/>
      </c>
      <c r="AF237" s="10">
        <f>REPT(" ",20)</f>
        <v/>
      </c>
      <c r="AG237" s="54">
        <f>REPT(" ",18-LEN(FIXED(F237,2,TRUE)))&amp;FIXED(F237,2,TRUE)</f>
        <v/>
      </c>
      <c r="AH237" s="10">
        <f>LEN(AC237)+LEN(AG237)</f>
        <v/>
      </c>
      <c r="AI237" s="10">
        <f>LEN(L237)</f>
        <v/>
      </c>
    </row>
    <row r="238">
      <c r="A238" s="61" t="n"/>
      <c r="B238" s="62" t="n"/>
      <c r="C238" s="62" t="n"/>
      <c r="D238" s="62" t="n"/>
      <c r="E238" s="62" t="n"/>
      <c r="H238" s="61" t="n"/>
      <c r="I238" s="42" t="n"/>
      <c r="J238" s="12">
        <f>IF(F238&lt;&gt;0,"LANÇAR","")</f>
        <v/>
      </c>
      <c r="K238" s="20" t="n"/>
      <c r="L238" s="13">
        <f>N238&amp;O238&amp;P238&amp;Q238&amp;R238&amp;S238&amp;T238&amp;U238&amp;V238&amp;W238&amp;X238&amp;Y238&amp;Z238&amp;AA238&amp;AB238&amp;AC238&amp;AD238&amp;AE238&amp;AF238&amp;AG238</f>
        <v/>
      </c>
      <c r="M238" s="20" t="n"/>
      <c r="N238" s="10">
        <f>TEXT($B$6,"00")</f>
        <v/>
      </c>
      <c r="O238" s="10">
        <f>REPT(" ",8)</f>
        <v/>
      </c>
      <c r="P238" s="10">
        <f>RIGHT($B$4,2)</f>
        <v/>
      </c>
      <c r="Q238" s="10">
        <f>RIGHT($B$5,3)</f>
        <v/>
      </c>
      <c r="R238" s="10">
        <f>IF(A238="D",LEFT(UPPER(B238)&amp;REPT(" ",20),20),REPT(" ",20))</f>
        <v/>
      </c>
      <c r="S238" s="10">
        <f>IF(A238="D",LEFT(UPPER(C238)&amp;REPT(" ",10),10)," ")</f>
        <v/>
      </c>
      <c r="T238" s="10">
        <f>IF(A238="D",LEFT(UPPER(D238)&amp;REPT(" ",2),2)," ")</f>
        <v/>
      </c>
      <c r="U238" s="10">
        <f>IF(A238="D",LEFT(UPPER(E238)&amp;REPT(" ",15),15)," ")</f>
        <v/>
      </c>
      <c r="V238" s="10">
        <f>REPT(" ",24)</f>
        <v/>
      </c>
      <c r="W238" s="10">
        <f>IF(A238="c",LEFT(UPPER(B238)&amp;REPT(" ",20),20),REPT(" ",20))</f>
        <v/>
      </c>
      <c r="X238" s="10">
        <f>IF(A238="C",LEFT(UPPER(C238)&amp;REPT(" ",10),10)," ")</f>
        <v/>
      </c>
      <c r="Y238" s="10">
        <f>IF(A238="C",LEFT(UPPER(D238)&amp;REPT(" ",2),2)," ")</f>
        <v/>
      </c>
      <c r="Z238" s="10">
        <f>IF(A238="C",LEFT(UPPER(E238)&amp;REPT(" ",15),15)," ")</f>
        <v/>
      </c>
      <c r="AA238" s="10">
        <f>REPT(" ",8)</f>
        <v/>
      </c>
      <c r="AB238" s="10">
        <f>REPT(" ",4)</f>
        <v/>
      </c>
      <c r="AC238" s="10">
        <f>LEFT(UPPER(H238)&amp;REPT(" ",250),250)</f>
        <v/>
      </c>
      <c r="AD238" s="10">
        <f>TEXT($G$2,"dd/mm/aaaa")</f>
        <v/>
      </c>
      <c r="AE238" s="10">
        <f>REPT(" ",10)</f>
        <v/>
      </c>
      <c r="AF238" s="10">
        <f>REPT(" ",20)</f>
        <v/>
      </c>
      <c r="AG238" s="54">
        <f>REPT(" ",18-LEN(FIXED(F238,2,TRUE)))&amp;FIXED(F238,2,TRUE)</f>
        <v/>
      </c>
      <c r="AH238" s="10">
        <f>LEN(AC238)+LEN(AG238)</f>
        <v/>
      </c>
      <c r="AI238" s="10">
        <f>LEN(L238)</f>
        <v/>
      </c>
    </row>
    <row r="239">
      <c r="A239" s="61" t="n"/>
      <c r="B239" s="62" t="n"/>
      <c r="C239" s="62" t="n"/>
      <c r="D239" s="62" t="n"/>
      <c r="E239" s="62" t="n"/>
      <c r="H239" s="61" t="n"/>
      <c r="I239" s="42" t="n"/>
      <c r="J239" s="12">
        <f>IF(F239&lt;&gt;0,"LANÇAR","")</f>
        <v/>
      </c>
      <c r="K239" s="20" t="n"/>
      <c r="L239" s="13">
        <f>N239&amp;O239&amp;P239&amp;Q239&amp;R239&amp;S239&amp;T239&amp;U239&amp;V239&amp;W239&amp;X239&amp;Y239&amp;Z239&amp;AA239&amp;AB239&amp;AC239&amp;AD239&amp;AE239&amp;AF239&amp;AG239</f>
        <v/>
      </c>
      <c r="M239" s="20" t="n"/>
      <c r="N239" s="10">
        <f>TEXT($B$6,"00")</f>
        <v/>
      </c>
      <c r="O239" s="10">
        <f>REPT(" ",8)</f>
        <v/>
      </c>
      <c r="P239" s="10">
        <f>RIGHT($B$4,2)</f>
        <v/>
      </c>
      <c r="Q239" s="10">
        <f>RIGHT($B$5,3)</f>
        <v/>
      </c>
      <c r="R239" s="10">
        <f>IF(A239="D",LEFT(UPPER(B239)&amp;REPT(" ",20),20),REPT(" ",20))</f>
        <v/>
      </c>
      <c r="S239" s="10">
        <f>IF(A239="D",LEFT(UPPER(C239)&amp;REPT(" ",10),10)," ")</f>
        <v/>
      </c>
      <c r="T239" s="10">
        <f>IF(A239="D",LEFT(UPPER(D239)&amp;REPT(" ",2),2)," ")</f>
        <v/>
      </c>
      <c r="U239" s="10">
        <f>IF(A239="D",LEFT(UPPER(E239)&amp;REPT(" ",15),15)," ")</f>
        <v/>
      </c>
      <c r="V239" s="10">
        <f>REPT(" ",24)</f>
        <v/>
      </c>
      <c r="W239" s="10">
        <f>IF(A239="c",LEFT(UPPER(B239)&amp;REPT(" ",20),20),REPT(" ",20))</f>
        <v/>
      </c>
      <c r="X239" s="10">
        <f>IF(A239="C",LEFT(UPPER(C239)&amp;REPT(" ",10),10)," ")</f>
        <v/>
      </c>
      <c r="Y239" s="10">
        <f>IF(A239="C",LEFT(UPPER(D239)&amp;REPT(" ",2),2)," ")</f>
        <v/>
      </c>
      <c r="Z239" s="10">
        <f>IF(A239="C",LEFT(UPPER(E239)&amp;REPT(" ",15),15)," ")</f>
        <v/>
      </c>
      <c r="AA239" s="10">
        <f>REPT(" ",8)</f>
        <v/>
      </c>
      <c r="AB239" s="10">
        <f>REPT(" ",4)</f>
        <v/>
      </c>
      <c r="AC239" s="10">
        <f>LEFT(UPPER(H239)&amp;REPT(" ",250),250)</f>
        <v/>
      </c>
      <c r="AD239" s="10">
        <f>TEXT($G$2,"dd/mm/aaaa")</f>
        <v/>
      </c>
      <c r="AE239" s="10">
        <f>REPT(" ",10)</f>
        <v/>
      </c>
      <c r="AF239" s="10">
        <f>REPT(" ",20)</f>
        <v/>
      </c>
      <c r="AG239" s="54">
        <f>REPT(" ",18-LEN(FIXED(F239,2,TRUE)))&amp;FIXED(F239,2,TRUE)</f>
        <v/>
      </c>
      <c r="AH239" s="10">
        <f>LEN(AC239)+LEN(AG239)</f>
        <v/>
      </c>
      <c r="AI239" s="10">
        <f>LEN(L239)</f>
        <v/>
      </c>
    </row>
    <row r="240">
      <c r="A240" s="61" t="n"/>
      <c r="B240" s="62" t="n"/>
      <c r="C240" s="62" t="n"/>
      <c r="D240" s="62" t="n"/>
      <c r="E240" s="62" t="n"/>
      <c r="H240" s="61" t="n"/>
      <c r="I240" s="42" t="n"/>
      <c r="J240" s="12">
        <f>IF(F240&lt;&gt;0,"LANÇAR","")</f>
        <v/>
      </c>
      <c r="K240" s="20" t="n"/>
      <c r="L240" s="13">
        <f>N240&amp;O240&amp;P240&amp;Q240&amp;R240&amp;S240&amp;T240&amp;U240&amp;V240&amp;W240&amp;X240&amp;Y240&amp;Z240&amp;AA240&amp;AB240&amp;AC240&amp;AD240&amp;AE240&amp;AF240&amp;AG240</f>
        <v/>
      </c>
      <c r="M240" s="20" t="n"/>
      <c r="N240" s="10">
        <f>TEXT($B$6,"00")</f>
        <v/>
      </c>
      <c r="O240" s="10">
        <f>REPT(" ",8)</f>
        <v/>
      </c>
      <c r="P240" s="10">
        <f>RIGHT($B$4,2)</f>
        <v/>
      </c>
      <c r="Q240" s="10">
        <f>RIGHT($B$5,3)</f>
        <v/>
      </c>
      <c r="R240" s="10">
        <f>IF(A240="D",LEFT(UPPER(B240)&amp;REPT(" ",20),20),REPT(" ",20))</f>
        <v/>
      </c>
      <c r="S240" s="10">
        <f>IF(A240="D",LEFT(UPPER(C240)&amp;REPT(" ",10),10)," ")</f>
        <v/>
      </c>
      <c r="T240" s="10">
        <f>IF(A240="D",LEFT(UPPER(D240)&amp;REPT(" ",2),2)," ")</f>
        <v/>
      </c>
      <c r="U240" s="10">
        <f>IF(A240="D",LEFT(UPPER(E240)&amp;REPT(" ",15),15)," ")</f>
        <v/>
      </c>
      <c r="V240" s="10">
        <f>REPT(" ",24)</f>
        <v/>
      </c>
      <c r="W240" s="10">
        <f>IF(A240="c",LEFT(UPPER(B240)&amp;REPT(" ",20),20),REPT(" ",20))</f>
        <v/>
      </c>
      <c r="X240" s="10">
        <f>IF(A240="C",LEFT(UPPER(C240)&amp;REPT(" ",10),10)," ")</f>
        <v/>
      </c>
      <c r="Y240" s="10">
        <f>IF(A240="C",LEFT(UPPER(D240)&amp;REPT(" ",2),2)," ")</f>
        <v/>
      </c>
      <c r="Z240" s="10">
        <f>IF(A240="C",LEFT(UPPER(E240)&amp;REPT(" ",15),15)," ")</f>
        <v/>
      </c>
      <c r="AA240" s="10">
        <f>REPT(" ",8)</f>
        <v/>
      </c>
      <c r="AB240" s="10">
        <f>REPT(" ",4)</f>
        <v/>
      </c>
      <c r="AC240" s="10">
        <f>LEFT(UPPER(H240)&amp;REPT(" ",250),250)</f>
        <v/>
      </c>
      <c r="AD240" s="10">
        <f>TEXT($G$2,"dd/mm/aaaa")</f>
        <v/>
      </c>
      <c r="AE240" s="10">
        <f>REPT(" ",10)</f>
        <v/>
      </c>
      <c r="AF240" s="10">
        <f>REPT(" ",20)</f>
        <v/>
      </c>
      <c r="AG240" s="54">
        <f>REPT(" ",18-LEN(FIXED(F240,2,TRUE)))&amp;FIXED(F240,2,TRUE)</f>
        <v/>
      </c>
      <c r="AH240" s="10">
        <f>LEN(AC240)+LEN(AG240)</f>
        <v/>
      </c>
      <c r="AI240" s="10">
        <f>LEN(L240)</f>
        <v/>
      </c>
    </row>
    <row r="241">
      <c r="A241" s="61" t="n"/>
      <c r="B241" s="62" t="n"/>
      <c r="C241" s="62" t="n"/>
      <c r="D241" s="62" t="n"/>
      <c r="E241" s="62" t="n"/>
      <c r="H241" s="61" t="n"/>
      <c r="I241" s="42" t="n"/>
      <c r="J241" s="12">
        <f>IF(F241&lt;&gt;0,"LANÇAR","")</f>
        <v/>
      </c>
      <c r="K241" s="20" t="n"/>
      <c r="L241" s="13">
        <f>N241&amp;O241&amp;P241&amp;Q241&amp;R241&amp;S241&amp;T241&amp;U241&amp;V241&amp;W241&amp;X241&amp;Y241&amp;Z241&amp;AA241&amp;AB241&amp;AC241&amp;AD241&amp;AE241&amp;AF241&amp;AG241</f>
        <v/>
      </c>
      <c r="M241" s="20" t="n"/>
      <c r="N241" s="10">
        <f>TEXT($B$6,"00")</f>
        <v/>
      </c>
      <c r="O241" s="10">
        <f>REPT(" ",8)</f>
        <v/>
      </c>
      <c r="P241" s="10">
        <f>RIGHT($B$4,2)</f>
        <v/>
      </c>
      <c r="Q241" s="10">
        <f>RIGHT($B$5,3)</f>
        <v/>
      </c>
      <c r="R241" s="10">
        <f>IF(A241="D",LEFT(UPPER(B241)&amp;REPT(" ",20),20),REPT(" ",20))</f>
        <v/>
      </c>
      <c r="S241" s="10">
        <f>IF(A241="D",LEFT(UPPER(C241)&amp;REPT(" ",10),10)," ")</f>
        <v/>
      </c>
      <c r="T241" s="10">
        <f>IF(A241="D",LEFT(UPPER(D241)&amp;REPT(" ",2),2)," ")</f>
        <v/>
      </c>
      <c r="U241" s="10">
        <f>IF(A241="D",LEFT(UPPER(E241)&amp;REPT(" ",15),15)," ")</f>
        <v/>
      </c>
      <c r="V241" s="10">
        <f>REPT(" ",24)</f>
        <v/>
      </c>
      <c r="W241" s="10">
        <f>IF(A241="c",LEFT(UPPER(B241)&amp;REPT(" ",20),20),REPT(" ",20))</f>
        <v/>
      </c>
      <c r="X241" s="10">
        <f>IF(A241="C",LEFT(UPPER(C241)&amp;REPT(" ",10),10)," ")</f>
        <v/>
      </c>
      <c r="Y241" s="10">
        <f>IF(A241="C",LEFT(UPPER(D241)&amp;REPT(" ",2),2)," ")</f>
        <v/>
      </c>
      <c r="Z241" s="10">
        <f>IF(A241="C",LEFT(UPPER(E241)&amp;REPT(" ",15),15)," ")</f>
        <v/>
      </c>
      <c r="AA241" s="10">
        <f>REPT(" ",8)</f>
        <v/>
      </c>
      <c r="AB241" s="10">
        <f>REPT(" ",4)</f>
        <v/>
      </c>
      <c r="AC241" s="10">
        <f>LEFT(UPPER(H241)&amp;REPT(" ",250),250)</f>
        <v/>
      </c>
      <c r="AD241" s="10">
        <f>TEXT($G$2,"dd/mm/aaaa")</f>
        <v/>
      </c>
      <c r="AE241" s="10">
        <f>REPT(" ",10)</f>
        <v/>
      </c>
      <c r="AF241" s="10">
        <f>REPT(" ",20)</f>
        <v/>
      </c>
      <c r="AG241" s="54">
        <f>REPT(" ",18-LEN(FIXED(F241,2,TRUE)))&amp;FIXED(F241,2,TRUE)</f>
        <v/>
      </c>
      <c r="AH241" s="10">
        <f>LEN(AC241)+LEN(AG241)</f>
        <v/>
      </c>
      <c r="AI241" s="10">
        <f>LEN(L241)</f>
        <v/>
      </c>
    </row>
    <row r="242">
      <c r="A242" s="61" t="n"/>
      <c r="B242" s="62" t="n"/>
      <c r="C242" s="62" t="n"/>
      <c r="D242" s="62" t="n"/>
      <c r="E242" s="62" t="n"/>
      <c r="H242" s="61" t="n"/>
      <c r="I242" s="42" t="n"/>
      <c r="J242" s="12">
        <f>IF(F242&lt;&gt;0,"LANÇAR","")</f>
        <v/>
      </c>
      <c r="K242" s="20" t="n"/>
      <c r="L242" s="13">
        <f>N242&amp;O242&amp;P242&amp;Q242&amp;R242&amp;S242&amp;T242&amp;U242&amp;V242&amp;W242&amp;X242&amp;Y242&amp;Z242&amp;AA242&amp;AB242&amp;AC242&amp;AD242&amp;AE242&amp;AF242&amp;AG242</f>
        <v/>
      </c>
      <c r="M242" s="20" t="n"/>
      <c r="N242" s="10">
        <f>TEXT($B$6,"00")</f>
        <v/>
      </c>
      <c r="O242" s="10">
        <f>REPT(" ",8)</f>
        <v/>
      </c>
      <c r="P242" s="10">
        <f>RIGHT($B$4,2)</f>
        <v/>
      </c>
      <c r="Q242" s="10">
        <f>RIGHT($B$5,3)</f>
        <v/>
      </c>
      <c r="R242" s="10">
        <f>IF(A242="D",LEFT(UPPER(B242)&amp;REPT(" ",20),20),REPT(" ",20))</f>
        <v/>
      </c>
      <c r="S242" s="10">
        <f>IF(A242="D",LEFT(UPPER(C242)&amp;REPT(" ",10),10)," ")</f>
        <v/>
      </c>
      <c r="T242" s="10">
        <f>IF(A242="D",LEFT(UPPER(D242)&amp;REPT(" ",2),2)," ")</f>
        <v/>
      </c>
      <c r="U242" s="10">
        <f>IF(A242="D",LEFT(UPPER(E242)&amp;REPT(" ",15),15)," ")</f>
        <v/>
      </c>
      <c r="V242" s="10">
        <f>REPT(" ",24)</f>
        <v/>
      </c>
      <c r="W242" s="10">
        <f>IF(A242="c",LEFT(UPPER(B242)&amp;REPT(" ",20),20),REPT(" ",20))</f>
        <v/>
      </c>
      <c r="X242" s="10">
        <f>IF(A242="C",LEFT(UPPER(C242)&amp;REPT(" ",10),10)," ")</f>
        <v/>
      </c>
      <c r="Y242" s="10">
        <f>IF(A242="C",LEFT(UPPER(D242)&amp;REPT(" ",2),2)," ")</f>
        <v/>
      </c>
      <c r="Z242" s="10">
        <f>IF(A242="C",LEFT(UPPER(E242)&amp;REPT(" ",15),15)," ")</f>
        <v/>
      </c>
      <c r="AA242" s="10">
        <f>REPT(" ",8)</f>
        <v/>
      </c>
      <c r="AB242" s="10">
        <f>REPT(" ",4)</f>
        <v/>
      </c>
      <c r="AC242" s="10">
        <f>LEFT(UPPER(H242)&amp;REPT(" ",250),250)</f>
        <v/>
      </c>
      <c r="AD242" s="10">
        <f>TEXT($G$2,"dd/mm/aaaa")</f>
        <v/>
      </c>
      <c r="AE242" s="10">
        <f>REPT(" ",10)</f>
        <v/>
      </c>
      <c r="AF242" s="10">
        <f>REPT(" ",20)</f>
        <v/>
      </c>
      <c r="AG242" s="54">
        <f>REPT(" ",18-LEN(FIXED(F242,2,TRUE)))&amp;FIXED(F242,2,TRUE)</f>
        <v/>
      </c>
      <c r="AH242" s="10">
        <f>LEN(AC242)+LEN(AG242)</f>
        <v/>
      </c>
      <c r="AI242" s="10">
        <f>LEN(L242)</f>
        <v/>
      </c>
    </row>
    <row r="243">
      <c r="A243" s="61" t="n"/>
      <c r="B243" s="62" t="n"/>
      <c r="C243" s="62" t="n"/>
      <c r="D243" s="62" t="n"/>
      <c r="E243" s="62" t="n"/>
      <c r="H243" s="61" t="n"/>
      <c r="I243" s="42" t="n"/>
      <c r="J243" s="12">
        <f>IF(F243&lt;&gt;0,"LANÇAR","")</f>
        <v/>
      </c>
      <c r="K243" s="20" t="n"/>
      <c r="L243" s="13">
        <f>N243&amp;O243&amp;P243&amp;Q243&amp;R243&amp;S243&amp;T243&amp;U243&amp;V243&amp;W243&amp;X243&amp;Y243&amp;Z243&amp;AA243&amp;AB243&amp;AC243&amp;AD243&amp;AE243&amp;AF243&amp;AG243</f>
        <v/>
      </c>
      <c r="M243" s="20" t="n"/>
      <c r="N243" s="10">
        <f>TEXT($B$6,"00")</f>
        <v/>
      </c>
      <c r="O243" s="10">
        <f>REPT(" ",8)</f>
        <v/>
      </c>
      <c r="P243" s="10">
        <f>RIGHT($B$4,2)</f>
        <v/>
      </c>
      <c r="Q243" s="10">
        <f>RIGHT($B$5,3)</f>
        <v/>
      </c>
      <c r="R243" s="10">
        <f>IF(A243="D",LEFT(UPPER(B243)&amp;REPT(" ",20),20),REPT(" ",20))</f>
        <v/>
      </c>
      <c r="S243" s="10">
        <f>IF(A243="D",LEFT(UPPER(C243)&amp;REPT(" ",10),10)," ")</f>
        <v/>
      </c>
      <c r="T243" s="10">
        <f>IF(A243="D",LEFT(UPPER(D243)&amp;REPT(" ",2),2)," ")</f>
        <v/>
      </c>
      <c r="U243" s="10">
        <f>IF(A243="D",LEFT(UPPER(E243)&amp;REPT(" ",15),15)," ")</f>
        <v/>
      </c>
      <c r="V243" s="10">
        <f>REPT(" ",24)</f>
        <v/>
      </c>
      <c r="W243" s="10">
        <f>IF(A243="c",LEFT(UPPER(B243)&amp;REPT(" ",20),20),REPT(" ",20))</f>
        <v/>
      </c>
      <c r="X243" s="10">
        <f>IF(A243="C",LEFT(UPPER(C243)&amp;REPT(" ",10),10)," ")</f>
        <v/>
      </c>
      <c r="Y243" s="10">
        <f>IF(A243="C",LEFT(UPPER(D243)&amp;REPT(" ",2),2)," ")</f>
        <v/>
      </c>
      <c r="Z243" s="10">
        <f>IF(A243="C",LEFT(UPPER(E243)&amp;REPT(" ",15),15)," ")</f>
        <v/>
      </c>
      <c r="AA243" s="10">
        <f>REPT(" ",8)</f>
        <v/>
      </c>
      <c r="AB243" s="10">
        <f>REPT(" ",4)</f>
        <v/>
      </c>
      <c r="AC243" s="10">
        <f>LEFT(UPPER(H243)&amp;REPT(" ",250),250)</f>
        <v/>
      </c>
      <c r="AD243" s="10">
        <f>TEXT($G$2,"dd/mm/aaaa")</f>
        <v/>
      </c>
      <c r="AE243" s="10">
        <f>REPT(" ",10)</f>
        <v/>
      </c>
      <c r="AF243" s="10">
        <f>REPT(" ",20)</f>
        <v/>
      </c>
      <c r="AG243" s="54">
        <f>REPT(" ",18-LEN(FIXED(F243,2,TRUE)))&amp;FIXED(F243,2,TRUE)</f>
        <v/>
      </c>
      <c r="AH243" s="10">
        <f>LEN(AC243)+LEN(AG243)</f>
        <v/>
      </c>
      <c r="AI243" s="10">
        <f>LEN(L243)</f>
        <v/>
      </c>
    </row>
    <row r="244">
      <c r="A244" s="61" t="n"/>
      <c r="B244" s="62" t="n"/>
      <c r="C244" s="62" t="n"/>
      <c r="D244" s="62" t="n"/>
      <c r="E244" s="62" t="n"/>
      <c r="H244" s="61" t="n"/>
      <c r="I244" s="42" t="n"/>
      <c r="J244" s="12">
        <f>IF(F244&lt;&gt;0,"LANÇAR","")</f>
        <v/>
      </c>
      <c r="K244" s="20" t="n"/>
      <c r="L244" s="13">
        <f>N244&amp;O244&amp;P244&amp;Q244&amp;R244&amp;S244&amp;T244&amp;U244&amp;V244&amp;W244&amp;X244&amp;Y244&amp;Z244&amp;AA244&amp;AB244&amp;AC244&amp;AD244&amp;AE244&amp;AF244&amp;AG244</f>
        <v/>
      </c>
      <c r="M244" s="20" t="n"/>
      <c r="N244" s="10">
        <f>TEXT($B$6,"00")</f>
        <v/>
      </c>
      <c r="O244" s="10">
        <f>REPT(" ",8)</f>
        <v/>
      </c>
      <c r="P244" s="10">
        <f>RIGHT($B$4,2)</f>
        <v/>
      </c>
      <c r="Q244" s="10">
        <f>RIGHT($B$5,3)</f>
        <v/>
      </c>
      <c r="R244" s="10">
        <f>IF(A244="D",LEFT(UPPER(B244)&amp;REPT(" ",20),20),REPT(" ",20))</f>
        <v/>
      </c>
      <c r="S244" s="10">
        <f>IF(A244="D",LEFT(UPPER(C244)&amp;REPT(" ",10),10)," ")</f>
        <v/>
      </c>
      <c r="T244" s="10">
        <f>IF(A244="D",LEFT(UPPER(D244)&amp;REPT(" ",2),2)," ")</f>
        <v/>
      </c>
      <c r="U244" s="10">
        <f>IF(A244="D",LEFT(UPPER(E244)&amp;REPT(" ",15),15)," ")</f>
        <v/>
      </c>
      <c r="V244" s="10">
        <f>REPT(" ",24)</f>
        <v/>
      </c>
      <c r="W244" s="10">
        <f>IF(A244="c",LEFT(UPPER(B244)&amp;REPT(" ",20),20),REPT(" ",20))</f>
        <v/>
      </c>
      <c r="X244" s="10">
        <f>IF(A244="C",LEFT(UPPER(C244)&amp;REPT(" ",10),10)," ")</f>
        <v/>
      </c>
      <c r="Y244" s="10">
        <f>IF(A244="C",LEFT(UPPER(D244)&amp;REPT(" ",2),2)," ")</f>
        <v/>
      </c>
      <c r="Z244" s="10">
        <f>IF(A244="C",LEFT(UPPER(E244)&amp;REPT(" ",15),15)," ")</f>
        <v/>
      </c>
      <c r="AA244" s="10">
        <f>REPT(" ",8)</f>
        <v/>
      </c>
      <c r="AB244" s="10">
        <f>REPT(" ",4)</f>
        <v/>
      </c>
      <c r="AC244" s="10">
        <f>LEFT(UPPER(H244)&amp;REPT(" ",250),250)</f>
        <v/>
      </c>
      <c r="AD244" s="10">
        <f>TEXT($G$2,"dd/mm/aaaa")</f>
        <v/>
      </c>
      <c r="AE244" s="10">
        <f>REPT(" ",10)</f>
        <v/>
      </c>
      <c r="AF244" s="10">
        <f>REPT(" ",20)</f>
        <v/>
      </c>
      <c r="AG244" s="54">
        <f>REPT(" ",18-LEN(FIXED(F244,2,TRUE)))&amp;FIXED(F244,2,TRUE)</f>
        <v/>
      </c>
      <c r="AH244" s="10">
        <f>LEN(AC244)+LEN(AG244)</f>
        <v/>
      </c>
      <c r="AI244" s="10">
        <f>LEN(L244)</f>
        <v/>
      </c>
    </row>
    <row r="245">
      <c r="A245" s="61" t="n"/>
      <c r="B245" s="62" t="n"/>
      <c r="C245" s="62" t="n"/>
      <c r="D245" s="62" t="n"/>
      <c r="E245" s="62" t="n"/>
      <c r="H245" s="61" t="n"/>
      <c r="I245" s="42" t="n"/>
      <c r="J245" s="12">
        <f>IF(F245&lt;&gt;0,"LANÇAR","")</f>
        <v/>
      </c>
      <c r="K245" s="20" t="n"/>
      <c r="L245" s="13">
        <f>N245&amp;O245&amp;P245&amp;Q245&amp;R245&amp;S245&amp;T245&amp;U245&amp;V245&amp;W245&amp;X245&amp;Y245&amp;Z245&amp;AA245&amp;AB245&amp;AC245&amp;AD245&amp;AE245&amp;AF245&amp;AG245</f>
        <v/>
      </c>
      <c r="M245" s="20" t="n"/>
      <c r="N245" s="10">
        <f>TEXT($B$6,"00")</f>
        <v/>
      </c>
      <c r="O245" s="10">
        <f>REPT(" ",8)</f>
        <v/>
      </c>
      <c r="P245" s="10">
        <f>RIGHT($B$4,2)</f>
        <v/>
      </c>
      <c r="Q245" s="10">
        <f>RIGHT($B$5,3)</f>
        <v/>
      </c>
      <c r="R245" s="10">
        <f>IF(A245="D",LEFT(UPPER(B245)&amp;REPT(" ",20),20),REPT(" ",20))</f>
        <v/>
      </c>
      <c r="S245" s="10">
        <f>IF(A245="D",LEFT(UPPER(C245)&amp;REPT(" ",10),10)," ")</f>
        <v/>
      </c>
      <c r="T245" s="10">
        <f>IF(A245="D",LEFT(UPPER(D245)&amp;REPT(" ",2),2)," ")</f>
        <v/>
      </c>
      <c r="U245" s="10">
        <f>IF(A245="D",LEFT(UPPER(E245)&amp;REPT(" ",15),15)," ")</f>
        <v/>
      </c>
      <c r="V245" s="10">
        <f>REPT(" ",24)</f>
        <v/>
      </c>
      <c r="W245" s="10">
        <f>IF(A245="c",LEFT(UPPER(B245)&amp;REPT(" ",20),20),REPT(" ",20))</f>
        <v/>
      </c>
      <c r="X245" s="10">
        <f>IF(A245="C",LEFT(UPPER(C245)&amp;REPT(" ",10),10)," ")</f>
        <v/>
      </c>
      <c r="Y245" s="10">
        <f>IF(A245="C",LEFT(UPPER(D245)&amp;REPT(" ",2),2)," ")</f>
        <v/>
      </c>
      <c r="Z245" s="10">
        <f>IF(A245="C",LEFT(UPPER(E245)&amp;REPT(" ",15),15)," ")</f>
        <v/>
      </c>
      <c r="AA245" s="10">
        <f>REPT(" ",8)</f>
        <v/>
      </c>
      <c r="AB245" s="10">
        <f>REPT(" ",4)</f>
        <v/>
      </c>
      <c r="AC245" s="10">
        <f>LEFT(UPPER(H245)&amp;REPT(" ",250),250)</f>
        <v/>
      </c>
      <c r="AD245" s="10">
        <f>TEXT($G$2,"dd/mm/aaaa")</f>
        <v/>
      </c>
      <c r="AE245" s="10">
        <f>REPT(" ",10)</f>
        <v/>
      </c>
      <c r="AF245" s="10">
        <f>REPT(" ",20)</f>
        <v/>
      </c>
      <c r="AG245" s="54">
        <f>REPT(" ",18-LEN(FIXED(F245,2,TRUE)))&amp;FIXED(F245,2,TRUE)</f>
        <v/>
      </c>
      <c r="AH245" s="10">
        <f>LEN(AC245)+LEN(AG245)</f>
        <v/>
      </c>
      <c r="AI245" s="10">
        <f>LEN(L245)</f>
        <v/>
      </c>
    </row>
    <row r="246">
      <c r="A246" s="61" t="n"/>
      <c r="B246" s="62" t="n"/>
      <c r="C246" s="62" t="n"/>
      <c r="D246" s="62" t="n"/>
      <c r="E246" s="62" t="n"/>
      <c r="H246" s="61" t="n"/>
      <c r="I246" s="42" t="n"/>
      <c r="J246" s="12">
        <f>IF(F246&lt;&gt;0,"LANÇAR","")</f>
        <v/>
      </c>
      <c r="K246" s="20" t="n"/>
      <c r="L246" s="13">
        <f>N246&amp;O246&amp;P246&amp;Q246&amp;R246&amp;S246&amp;T246&amp;U246&amp;V246&amp;W246&amp;X246&amp;Y246&amp;Z246&amp;AA246&amp;AB246&amp;AC246&amp;AD246&amp;AE246&amp;AF246&amp;AG246</f>
        <v/>
      </c>
      <c r="M246" s="20" t="n"/>
      <c r="N246" s="10">
        <f>TEXT($B$6,"00")</f>
        <v/>
      </c>
      <c r="O246" s="10">
        <f>REPT(" ",8)</f>
        <v/>
      </c>
      <c r="P246" s="10">
        <f>RIGHT($B$4,2)</f>
        <v/>
      </c>
      <c r="Q246" s="10">
        <f>RIGHT($B$5,3)</f>
        <v/>
      </c>
      <c r="R246" s="10">
        <f>IF(A246="D",LEFT(UPPER(B246)&amp;REPT(" ",20),20),REPT(" ",20))</f>
        <v/>
      </c>
      <c r="S246" s="10">
        <f>IF(A246="D",LEFT(UPPER(C246)&amp;REPT(" ",10),10)," ")</f>
        <v/>
      </c>
      <c r="T246" s="10">
        <f>IF(A246="D",LEFT(UPPER(D246)&amp;REPT(" ",2),2)," ")</f>
        <v/>
      </c>
      <c r="U246" s="10">
        <f>IF(A246="D",LEFT(UPPER(E246)&amp;REPT(" ",15),15)," ")</f>
        <v/>
      </c>
      <c r="V246" s="10">
        <f>REPT(" ",24)</f>
        <v/>
      </c>
      <c r="W246" s="10">
        <f>IF(A246="c",LEFT(UPPER(B246)&amp;REPT(" ",20),20),REPT(" ",20))</f>
        <v/>
      </c>
      <c r="X246" s="10">
        <f>IF(A246="C",LEFT(UPPER(C246)&amp;REPT(" ",10),10)," ")</f>
        <v/>
      </c>
      <c r="Y246" s="10">
        <f>IF(A246="C",LEFT(UPPER(D246)&amp;REPT(" ",2),2)," ")</f>
        <v/>
      </c>
      <c r="Z246" s="10">
        <f>IF(A246="C",LEFT(UPPER(E246)&amp;REPT(" ",15),15)," ")</f>
        <v/>
      </c>
      <c r="AA246" s="10">
        <f>REPT(" ",8)</f>
        <v/>
      </c>
      <c r="AB246" s="10">
        <f>REPT(" ",4)</f>
        <v/>
      </c>
      <c r="AC246" s="10">
        <f>LEFT(UPPER(H246)&amp;REPT(" ",250),250)</f>
        <v/>
      </c>
      <c r="AD246" s="10">
        <f>TEXT($G$2,"dd/mm/aaaa")</f>
        <v/>
      </c>
      <c r="AE246" s="10">
        <f>REPT(" ",10)</f>
        <v/>
      </c>
      <c r="AF246" s="10">
        <f>REPT(" ",20)</f>
        <v/>
      </c>
      <c r="AG246" s="54">
        <f>REPT(" ",18-LEN(FIXED(F246,2,TRUE)))&amp;FIXED(F246,2,TRUE)</f>
        <v/>
      </c>
      <c r="AH246" s="10">
        <f>LEN(AC246)+LEN(AG246)</f>
        <v/>
      </c>
      <c r="AI246" s="10">
        <f>LEN(L246)</f>
        <v/>
      </c>
    </row>
    <row r="247">
      <c r="A247" s="61" t="n"/>
      <c r="B247" s="62" t="n"/>
      <c r="C247" s="62" t="n"/>
      <c r="D247" s="62" t="n"/>
      <c r="E247" s="62" t="n"/>
      <c r="H247" s="61" t="n"/>
      <c r="I247" s="42" t="n"/>
      <c r="J247" s="12">
        <f>IF(F247&lt;&gt;0,"LANÇAR","")</f>
        <v/>
      </c>
      <c r="K247" s="20" t="n"/>
      <c r="L247" s="13">
        <f>N247&amp;O247&amp;P247&amp;Q247&amp;R247&amp;S247&amp;T247&amp;U247&amp;V247&amp;W247&amp;X247&amp;Y247&amp;Z247&amp;AA247&amp;AB247&amp;AC247&amp;AD247&amp;AE247&amp;AF247&amp;AG247</f>
        <v/>
      </c>
      <c r="M247" s="20" t="n"/>
      <c r="N247" s="10">
        <f>TEXT($B$6,"00")</f>
        <v/>
      </c>
      <c r="O247" s="10">
        <f>REPT(" ",8)</f>
        <v/>
      </c>
      <c r="P247" s="10">
        <f>RIGHT($B$4,2)</f>
        <v/>
      </c>
      <c r="Q247" s="10">
        <f>RIGHT($B$5,3)</f>
        <v/>
      </c>
      <c r="R247" s="10">
        <f>IF(A247="D",LEFT(UPPER(B247)&amp;REPT(" ",20),20),REPT(" ",20))</f>
        <v/>
      </c>
      <c r="S247" s="10">
        <f>IF(A247="D",LEFT(UPPER(C247)&amp;REPT(" ",10),10)," ")</f>
        <v/>
      </c>
      <c r="T247" s="10">
        <f>IF(A247="D",LEFT(UPPER(D247)&amp;REPT(" ",2),2)," ")</f>
        <v/>
      </c>
      <c r="U247" s="10">
        <f>IF(A247="D",LEFT(UPPER(E247)&amp;REPT(" ",15),15)," ")</f>
        <v/>
      </c>
      <c r="V247" s="10">
        <f>REPT(" ",24)</f>
        <v/>
      </c>
      <c r="W247" s="10">
        <f>IF(A247="c",LEFT(UPPER(B247)&amp;REPT(" ",20),20),REPT(" ",20))</f>
        <v/>
      </c>
      <c r="X247" s="10">
        <f>IF(A247="C",LEFT(UPPER(C247)&amp;REPT(" ",10),10)," ")</f>
        <v/>
      </c>
      <c r="Y247" s="10">
        <f>IF(A247="C",LEFT(UPPER(D247)&amp;REPT(" ",2),2)," ")</f>
        <v/>
      </c>
      <c r="Z247" s="10">
        <f>IF(A247="C",LEFT(UPPER(E247)&amp;REPT(" ",15),15)," ")</f>
        <v/>
      </c>
      <c r="AA247" s="10">
        <f>REPT(" ",8)</f>
        <v/>
      </c>
      <c r="AB247" s="10">
        <f>REPT(" ",4)</f>
        <v/>
      </c>
      <c r="AC247" s="10">
        <f>LEFT(UPPER(H247)&amp;REPT(" ",250),250)</f>
        <v/>
      </c>
      <c r="AD247" s="10">
        <f>TEXT($G$2,"dd/mm/aaaa")</f>
        <v/>
      </c>
      <c r="AE247" s="10">
        <f>REPT(" ",10)</f>
        <v/>
      </c>
      <c r="AF247" s="10">
        <f>REPT(" ",20)</f>
        <v/>
      </c>
      <c r="AG247" s="54">
        <f>REPT(" ",18-LEN(FIXED(F247,2,TRUE)))&amp;FIXED(F247,2,TRUE)</f>
        <v/>
      </c>
      <c r="AH247" s="10">
        <f>LEN(AC247)+LEN(AG247)</f>
        <v/>
      </c>
      <c r="AI247" s="10">
        <f>LEN(L247)</f>
        <v/>
      </c>
    </row>
    <row r="248">
      <c r="A248" s="61" t="n"/>
      <c r="B248" s="62" t="n"/>
      <c r="C248" s="62" t="n"/>
      <c r="D248" s="62" t="n"/>
      <c r="E248" s="62" t="n"/>
      <c r="H248" s="61" t="n"/>
      <c r="I248" s="42" t="n"/>
      <c r="J248" s="12">
        <f>IF(F248&lt;&gt;0,"LANÇAR","")</f>
        <v/>
      </c>
      <c r="K248" s="20" t="n"/>
      <c r="L248" s="13">
        <f>N248&amp;O248&amp;P248&amp;Q248&amp;R248&amp;S248&amp;T248&amp;U248&amp;V248&amp;W248&amp;X248&amp;Y248&amp;Z248&amp;AA248&amp;AB248&amp;AC248&amp;AD248&amp;AE248&amp;AF248&amp;AG248</f>
        <v/>
      </c>
      <c r="M248" s="20" t="n"/>
      <c r="N248" s="10">
        <f>TEXT($B$6,"00")</f>
        <v/>
      </c>
      <c r="O248" s="10">
        <f>REPT(" ",8)</f>
        <v/>
      </c>
      <c r="P248" s="10">
        <f>RIGHT($B$4,2)</f>
        <v/>
      </c>
      <c r="Q248" s="10">
        <f>RIGHT($B$5,3)</f>
        <v/>
      </c>
      <c r="R248" s="10">
        <f>IF(A248="D",LEFT(UPPER(B248)&amp;REPT(" ",20),20),REPT(" ",20))</f>
        <v/>
      </c>
      <c r="S248" s="10">
        <f>IF(A248="D",LEFT(UPPER(C248)&amp;REPT(" ",10),10)," ")</f>
        <v/>
      </c>
      <c r="T248" s="10">
        <f>IF(A248="D",LEFT(UPPER(D248)&amp;REPT(" ",2),2)," ")</f>
        <v/>
      </c>
      <c r="U248" s="10">
        <f>IF(A248="D",LEFT(UPPER(E248)&amp;REPT(" ",15),15)," ")</f>
        <v/>
      </c>
      <c r="V248" s="10">
        <f>REPT(" ",24)</f>
        <v/>
      </c>
      <c r="W248" s="10">
        <f>IF(A248="c",LEFT(UPPER(B248)&amp;REPT(" ",20),20),REPT(" ",20))</f>
        <v/>
      </c>
      <c r="X248" s="10">
        <f>IF(A248="C",LEFT(UPPER(C248)&amp;REPT(" ",10),10)," ")</f>
        <v/>
      </c>
      <c r="Y248" s="10">
        <f>IF(A248="C",LEFT(UPPER(D248)&amp;REPT(" ",2),2)," ")</f>
        <v/>
      </c>
      <c r="Z248" s="10">
        <f>IF(A248="C",LEFT(UPPER(E248)&amp;REPT(" ",15),15)," ")</f>
        <v/>
      </c>
      <c r="AA248" s="10">
        <f>REPT(" ",8)</f>
        <v/>
      </c>
      <c r="AB248" s="10">
        <f>REPT(" ",4)</f>
        <v/>
      </c>
      <c r="AC248" s="10">
        <f>LEFT(UPPER(H248)&amp;REPT(" ",250),250)</f>
        <v/>
      </c>
      <c r="AD248" s="10">
        <f>TEXT($G$2,"dd/mm/aaaa")</f>
        <v/>
      </c>
      <c r="AE248" s="10">
        <f>REPT(" ",10)</f>
        <v/>
      </c>
      <c r="AF248" s="10">
        <f>REPT(" ",20)</f>
        <v/>
      </c>
      <c r="AG248" s="54">
        <f>REPT(" ",18-LEN(FIXED(F248,2,TRUE)))&amp;FIXED(F248,2,TRUE)</f>
        <v/>
      </c>
      <c r="AH248" s="10">
        <f>LEN(AC248)+LEN(AG248)</f>
        <v/>
      </c>
      <c r="AI248" s="10">
        <f>LEN(L248)</f>
        <v/>
      </c>
    </row>
    <row r="249">
      <c r="A249" s="61" t="n"/>
      <c r="B249" s="62" t="n"/>
      <c r="C249" s="62" t="n"/>
      <c r="D249" s="62" t="n"/>
      <c r="E249" s="62" t="n"/>
      <c r="H249" s="61" t="n"/>
      <c r="I249" s="42" t="n"/>
      <c r="J249" s="12">
        <f>IF(F249&lt;&gt;0,"LANÇAR","")</f>
        <v/>
      </c>
      <c r="K249" s="20" t="n"/>
      <c r="L249" s="13">
        <f>N249&amp;O249&amp;P249&amp;Q249&amp;R249&amp;S249&amp;T249&amp;U249&amp;V249&amp;W249&amp;X249&amp;Y249&amp;Z249&amp;AA249&amp;AB249&amp;AC249&amp;AD249&amp;AE249&amp;AF249&amp;AG249</f>
        <v/>
      </c>
      <c r="M249" s="20" t="n"/>
      <c r="N249" s="10">
        <f>TEXT($B$6,"00")</f>
        <v/>
      </c>
      <c r="O249" s="10">
        <f>REPT(" ",8)</f>
        <v/>
      </c>
      <c r="P249" s="10">
        <f>RIGHT($B$4,2)</f>
        <v/>
      </c>
      <c r="Q249" s="10">
        <f>RIGHT($B$5,3)</f>
        <v/>
      </c>
      <c r="R249" s="10">
        <f>IF(A249="D",LEFT(UPPER(B249)&amp;REPT(" ",20),20),REPT(" ",20))</f>
        <v/>
      </c>
      <c r="S249" s="10">
        <f>IF(A249="D",LEFT(UPPER(C249)&amp;REPT(" ",10),10)," ")</f>
        <v/>
      </c>
      <c r="T249" s="10">
        <f>IF(A249="D",LEFT(UPPER(D249)&amp;REPT(" ",2),2)," ")</f>
        <v/>
      </c>
      <c r="U249" s="10">
        <f>IF(A249="D",LEFT(UPPER(E249)&amp;REPT(" ",15),15)," ")</f>
        <v/>
      </c>
      <c r="V249" s="10">
        <f>REPT(" ",24)</f>
        <v/>
      </c>
      <c r="W249" s="10">
        <f>IF(A249="c",LEFT(UPPER(B249)&amp;REPT(" ",20),20),REPT(" ",20))</f>
        <v/>
      </c>
      <c r="X249" s="10">
        <f>IF(A249="C",LEFT(UPPER(C249)&amp;REPT(" ",10),10)," ")</f>
        <v/>
      </c>
      <c r="Y249" s="10">
        <f>IF(A249="C",LEFT(UPPER(D249)&amp;REPT(" ",2),2)," ")</f>
        <v/>
      </c>
      <c r="Z249" s="10">
        <f>IF(A249="C",LEFT(UPPER(E249)&amp;REPT(" ",15),15)," ")</f>
        <v/>
      </c>
      <c r="AA249" s="10">
        <f>REPT(" ",8)</f>
        <v/>
      </c>
      <c r="AB249" s="10">
        <f>REPT(" ",4)</f>
        <v/>
      </c>
      <c r="AC249" s="10">
        <f>LEFT(UPPER(H249)&amp;REPT(" ",250),250)</f>
        <v/>
      </c>
      <c r="AD249" s="10">
        <f>TEXT($G$2,"dd/mm/aaaa")</f>
        <v/>
      </c>
      <c r="AE249" s="10">
        <f>REPT(" ",10)</f>
        <v/>
      </c>
      <c r="AF249" s="10">
        <f>REPT(" ",20)</f>
        <v/>
      </c>
      <c r="AG249" s="54">
        <f>REPT(" ",18-LEN(FIXED(F249,2,TRUE)))&amp;FIXED(F249,2,TRUE)</f>
        <v/>
      </c>
      <c r="AH249" s="10">
        <f>LEN(AC249)+LEN(AG249)</f>
        <v/>
      </c>
      <c r="AI249" s="10">
        <f>LEN(L249)</f>
        <v/>
      </c>
    </row>
    <row r="250">
      <c r="A250" s="61" t="n"/>
      <c r="B250" s="62" t="n"/>
      <c r="C250" s="62" t="n"/>
      <c r="D250" s="62" t="n"/>
      <c r="E250" s="62" t="n"/>
      <c r="H250" s="61" t="n"/>
      <c r="I250" s="42" t="n"/>
      <c r="J250" s="12">
        <f>IF(F250&lt;&gt;0,"LANÇAR","")</f>
        <v/>
      </c>
      <c r="K250" s="20" t="n"/>
      <c r="L250" s="13">
        <f>N250&amp;O250&amp;P250&amp;Q250&amp;R250&amp;S250&amp;T250&amp;U250&amp;V250&amp;W250&amp;X250&amp;Y250&amp;Z250&amp;AA250&amp;AB250&amp;AC250&amp;AD250&amp;AE250&amp;AF250&amp;AG250</f>
        <v/>
      </c>
      <c r="M250" s="20" t="n"/>
      <c r="N250" s="10">
        <f>TEXT($B$6,"00")</f>
        <v/>
      </c>
      <c r="O250" s="10">
        <f>REPT(" ",8)</f>
        <v/>
      </c>
      <c r="P250" s="10">
        <f>RIGHT($B$4,2)</f>
        <v/>
      </c>
      <c r="Q250" s="10">
        <f>RIGHT($B$5,3)</f>
        <v/>
      </c>
      <c r="R250" s="10">
        <f>IF(A250="D",LEFT(UPPER(B250)&amp;REPT(" ",20),20),REPT(" ",20))</f>
        <v/>
      </c>
      <c r="S250" s="10">
        <f>IF(A250="D",LEFT(UPPER(C250)&amp;REPT(" ",10),10)," ")</f>
        <v/>
      </c>
      <c r="T250" s="10">
        <f>IF(A250="D",LEFT(UPPER(D250)&amp;REPT(" ",2),2)," ")</f>
        <v/>
      </c>
      <c r="U250" s="10">
        <f>IF(A250="D",LEFT(UPPER(E250)&amp;REPT(" ",15),15)," ")</f>
        <v/>
      </c>
      <c r="V250" s="10">
        <f>REPT(" ",24)</f>
        <v/>
      </c>
      <c r="W250" s="10">
        <f>IF(A250="c",LEFT(UPPER(B250)&amp;REPT(" ",20),20),REPT(" ",20))</f>
        <v/>
      </c>
      <c r="X250" s="10">
        <f>IF(A250="C",LEFT(UPPER(C250)&amp;REPT(" ",10),10)," ")</f>
        <v/>
      </c>
      <c r="Y250" s="10">
        <f>IF(A250="C",LEFT(UPPER(D250)&amp;REPT(" ",2),2)," ")</f>
        <v/>
      </c>
      <c r="Z250" s="10">
        <f>IF(A250="C",LEFT(UPPER(E250)&amp;REPT(" ",15),15)," ")</f>
        <v/>
      </c>
      <c r="AA250" s="10">
        <f>REPT(" ",8)</f>
        <v/>
      </c>
      <c r="AB250" s="10">
        <f>REPT(" ",4)</f>
        <v/>
      </c>
      <c r="AC250" s="10">
        <f>LEFT(UPPER(H250)&amp;REPT(" ",250),250)</f>
        <v/>
      </c>
      <c r="AD250" s="10">
        <f>TEXT($G$2,"dd/mm/aaaa")</f>
        <v/>
      </c>
      <c r="AE250" s="10">
        <f>REPT(" ",10)</f>
        <v/>
      </c>
      <c r="AF250" s="10">
        <f>REPT(" ",20)</f>
        <v/>
      </c>
      <c r="AG250" s="54">
        <f>REPT(" ",18-LEN(FIXED(F250,2,TRUE)))&amp;FIXED(F250,2,TRUE)</f>
        <v/>
      </c>
      <c r="AH250" s="10">
        <f>LEN(AC250)+LEN(AG250)</f>
        <v/>
      </c>
      <c r="AI250" s="10">
        <f>LEN(L250)</f>
        <v/>
      </c>
    </row>
    <row r="251">
      <c r="A251" s="61" t="n"/>
      <c r="B251" s="62" t="n"/>
      <c r="C251" s="62" t="n"/>
      <c r="D251" s="62" t="n"/>
      <c r="E251" s="62" t="n"/>
      <c r="H251" s="61" t="n"/>
      <c r="I251" s="42" t="n"/>
      <c r="J251" s="12">
        <f>IF(F251&lt;&gt;0,"LANÇAR","")</f>
        <v/>
      </c>
      <c r="K251" s="20" t="n"/>
      <c r="L251" s="13">
        <f>N251&amp;O251&amp;P251&amp;Q251&amp;R251&amp;S251&amp;T251&amp;U251&amp;V251&amp;W251&amp;X251&amp;Y251&amp;Z251&amp;AA251&amp;AB251&amp;AC251&amp;AD251&amp;AE251&amp;AF251&amp;AG251</f>
        <v/>
      </c>
      <c r="M251" s="20" t="n"/>
      <c r="N251" s="10">
        <f>TEXT($B$6,"00")</f>
        <v/>
      </c>
      <c r="O251" s="10">
        <f>REPT(" ",8)</f>
        <v/>
      </c>
      <c r="P251" s="10">
        <f>RIGHT($B$4,2)</f>
        <v/>
      </c>
      <c r="Q251" s="10">
        <f>RIGHT($B$5,3)</f>
        <v/>
      </c>
      <c r="R251" s="10">
        <f>IF(A251="D",LEFT(UPPER(B251)&amp;REPT(" ",20),20),REPT(" ",20))</f>
        <v/>
      </c>
      <c r="S251" s="10">
        <f>IF(A251="D",LEFT(UPPER(C251)&amp;REPT(" ",10),10)," ")</f>
        <v/>
      </c>
      <c r="T251" s="10">
        <f>IF(A251="D",LEFT(UPPER(D251)&amp;REPT(" ",2),2)," ")</f>
        <v/>
      </c>
      <c r="U251" s="10">
        <f>IF(A251="D",LEFT(UPPER(E251)&amp;REPT(" ",15),15)," ")</f>
        <v/>
      </c>
      <c r="V251" s="10">
        <f>REPT(" ",24)</f>
        <v/>
      </c>
      <c r="W251" s="10">
        <f>IF(A251="c",LEFT(UPPER(B251)&amp;REPT(" ",20),20),REPT(" ",20))</f>
        <v/>
      </c>
      <c r="X251" s="10">
        <f>IF(A251="C",LEFT(UPPER(C251)&amp;REPT(" ",10),10)," ")</f>
        <v/>
      </c>
      <c r="Y251" s="10">
        <f>IF(A251="C",LEFT(UPPER(D251)&amp;REPT(" ",2),2)," ")</f>
        <v/>
      </c>
      <c r="Z251" s="10">
        <f>IF(A251="C",LEFT(UPPER(E251)&amp;REPT(" ",15),15)," ")</f>
        <v/>
      </c>
      <c r="AA251" s="10">
        <f>REPT(" ",8)</f>
        <v/>
      </c>
      <c r="AB251" s="10">
        <f>REPT(" ",4)</f>
        <v/>
      </c>
      <c r="AC251" s="10">
        <f>LEFT(UPPER(H251)&amp;REPT(" ",250),250)</f>
        <v/>
      </c>
      <c r="AD251" s="10">
        <f>TEXT($G$2,"dd/mm/aaaa")</f>
        <v/>
      </c>
      <c r="AE251" s="10">
        <f>REPT(" ",10)</f>
        <v/>
      </c>
      <c r="AF251" s="10">
        <f>REPT(" ",20)</f>
        <v/>
      </c>
      <c r="AG251" s="54">
        <f>REPT(" ",18-LEN(FIXED(F251,2,TRUE)))&amp;FIXED(F251,2,TRUE)</f>
        <v/>
      </c>
      <c r="AH251" s="10">
        <f>LEN(AC251)+LEN(AG251)</f>
        <v/>
      </c>
      <c r="AI251" s="10">
        <f>LEN(L251)</f>
        <v/>
      </c>
    </row>
    <row r="252">
      <c r="A252" s="61" t="n"/>
      <c r="B252" s="62" t="n"/>
      <c r="C252" s="62" t="n"/>
      <c r="D252" s="62" t="n"/>
      <c r="E252" s="62" t="n"/>
      <c r="H252" s="61" t="n"/>
      <c r="I252" s="42" t="n"/>
      <c r="J252" s="12">
        <f>IF(F252&lt;&gt;0,"LANÇAR","")</f>
        <v/>
      </c>
      <c r="K252" s="20" t="n"/>
      <c r="L252" s="13">
        <f>N252&amp;O252&amp;P252&amp;Q252&amp;R252&amp;S252&amp;T252&amp;U252&amp;V252&amp;W252&amp;X252&amp;Y252&amp;Z252&amp;AA252&amp;AB252&amp;AC252&amp;AD252&amp;AE252&amp;AF252&amp;AG252</f>
        <v/>
      </c>
      <c r="M252" s="20" t="n"/>
      <c r="N252" s="10">
        <f>TEXT($B$6,"00")</f>
        <v/>
      </c>
      <c r="O252" s="10">
        <f>REPT(" ",8)</f>
        <v/>
      </c>
      <c r="P252" s="10">
        <f>RIGHT($B$4,2)</f>
        <v/>
      </c>
      <c r="Q252" s="10">
        <f>RIGHT($B$5,3)</f>
        <v/>
      </c>
      <c r="R252" s="10">
        <f>IF(A252="D",LEFT(UPPER(B252)&amp;REPT(" ",20),20),REPT(" ",20))</f>
        <v/>
      </c>
      <c r="S252" s="10">
        <f>IF(A252="D",LEFT(UPPER(C252)&amp;REPT(" ",10),10)," ")</f>
        <v/>
      </c>
      <c r="T252" s="10">
        <f>IF(A252="D",LEFT(UPPER(D252)&amp;REPT(" ",2),2)," ")</f>
        <v/>
      </c>
      <c r="U252" s="10">
        <f>IF(A252="D",LEFT(UPPER(E252)&amp;REPT(" ",15),15)," ")</f>
        <v/>
      </c>
      <c r="V252" s="10">
        <f>REPT(" ",24)</f>
        <v/>
      </c>
      <c r="W252" s="10">
        <f>IF(A252="c",LEFT(UPPER(B252)&amp;REPT(" ",20),20),REPT(" ",20))</f>
        <v/>
      </c>
      <c r="X252" s="10">
        <f>IF(A252="C",LEFT(UPPER(C252)&amp;REPT(" ",10),10)," ")</f>
        <v/>
      </c>
      <c r="Y252" s="10">
        <f>IF(A252="C",LEFT(UPPER(D252)&amp;REPT(" ",2),2)," ")</f>
        <v/>
      </c>
      <c r="Z252" s="10">
        <f>IF(A252="C",LEFT(UPPER(E252)&amp;REPT(" ",15),15)," ")</f>
        <v/>
      </c>
      <c r="AA252" s="10">
        <f>REPT(" ",8)</f>
        <v/>
      </c>
      <c r="AB252" s="10">
        <f>REPT(" ",4)</f>
        <v/>
      </c>
      <c r="AC252" s="10">
        <f>LEFT(UPPER(H252)&amp;REPT(" ",250),250)</f>
        <v/>
      </c>
      <c r="AD252" s="10">
        <f>TEXT($G$2,"dd/mm/aaaa")</f>
        <v/>
      </c>
      <c r="AE252" s="10">
        <f>REPT(" ",10)</f>
        <v/>
      </c>
      <c r="AF252" s="10">
        <f>REPT(" ",20)</f>
        <v/>
      </c>
      <c r="AG252" s="54">
        <f>REPT(" ",18-LEN(FIXED(F252,2,TRUE)))&amp;FIXED(F252,2,TRUE)</f>
        <v/>
      </c>
      <c r="AH252" s="10">
        <f>LEN(AC252)+LEN(AG252)</f>
        <v/>
      </c>
      <c r="AI252" s="10">
        <f>LEN(L252)</f>
        <v/>
      </c>
    </row>
    <row r="253">
      <c r="A253" s="61" t="n"/>
      <c r="B253" s="62" t="n"/>
      <c r="C253" s="62" t="n"/>
      <c r="D253" s="62" t="n"/>
      <c r="E253" s="62" t="n"/>
      <c r="H253" s="61" t="n"/>
      <c r="I253" s="42" t="n"/>
      <c r="J253" s="12">
        <f>IF(F253&lt;&gt;0,"LANÇAR","")</f>
        <v/>
      </c>
      <c r="K253" s="20" t="n"/>
      <c r="L253" s="13">
        <f>N253&amp;O253&amp;P253&amp;Q253&amp;R253&amp;S253&amp;T253&amp;U253&amp;V253&amp;W253&amp;X253&amp;Y253&amp;Z253&amp;AA253&amp;AB253&amp;AC253&amp;AD253&amp;AE253&amp;AF253&amp;AG253</f>
        <v/>
      </c>
      <c r="M253" s="20" t="n"/>
      <c r="N253" s="10">
        <f>TEXT($B$6,"00")</f>
        <v/>
      </c>
      <c r="O253" s="10">
        <f>REPT(" ",8)</f>
        <v/>
      </c>
      <c r="P253" s="10">
        <f>RIGHT($B$4,2)</f>
        <v/>
      </c>
      <c r="Q253" s="10">
        <f>RIGHT($B$5,3)</f>
        <v/>
      </c>
      <c r="R253" s="10">
        <f>IF(A253="D",LEFT(UPPER(B253)&amp;REPT(" ",20),20),REPT(" ",20))</f>
        <v/>
      </c>
      <c r="S253" s="10">
        <f>IF(A253="D",LEFT(UPPER(C253)&amp;REPT(" ",10),10)," ")</f>
        <v/>
      </c>
      <c r="T253" s="10">
        <f>IF(A253="D",LEFT(UPPER(D253)&amp;REPT(" ",2),2)," ")</f>
        <v/>
      </c>
      <c r="U253" s="10">
        <f>IF(A253="D",LEFT(UPPER(E253)&amp;REPT(" ",15),15)," ")</f>
        <v/>
      </c>
      <c r="V253" s="10">
        <f>REPT(" ",24)</f>
        <v/>
      </c>
      <c r="W253" s="10">
        <f>IF(A253="c",LEFT(UPPER(B253)&amp;REPT(" ",20),20),REPT(" ",20))</f>
        <v/>
      </c>
      <c r="X253" s="10">
        <f>IF(A253="C",LEFT(UPPER(C253)&amp;REPT(" ",10),10)," ")</f>
        <v/>
      </c>
      <c r="Y253" s="10">
        <f>IF(A253="C",LEFT(UPPER(D253)&amp;REPT(" ",2),2)," ")</f>
        <v/>
      </c>
      <c r="Z253" s="10">
        <f>IF(A253="C",LEFT(UPPER(E253)&amp;REPT(" ",15),15)," ")</f>
        <v/>
      </c>
      <c r="AA253" s="10">
        <f>REPT(" ",8)</f>
        <v/>
      </c>
      <c r="AB253" s="10">
        <f>REPT(" ",4)</f>
        <v/>
      </c>
      <c r="AC253" s="10">
        <f>LEFT(UPPER(H253)&amp;REPT(" ",250),250)</f>
        <v/>
      </c>
      <c r="AD253" s="10">
        <f>TEXT($G$2,"dd/mm/aaaa")</f>
        <v/>
      </c>
      <c r="AE253" s="10">
        <f>REPT(" ",10)</f>
        <v/>
      </c>
      <c r="AF253" s="10">
        <f>REPT(" ",20)</f>
        <v/>
      </c>
      <c r="AG253" s="54">
        <f>REPT(" ",18-LEN(FIXED(F253,2,TRUE)))&amp;FIXED(F253,2,TRUE)</f>
        <v/>
      </c>
      <c r="AH253" s="10">
        <f>LEN(AC253)+LEN(AG253)</f>
        <v/>
      </c>
      <c r="AI253" s="10">
        <f>LEN(L253)</f>
        <v/>
      </c>
    </row>
    <row r="254">
      <c r="A254" s="61" t="n"/>
      <c r="B254" s="62" t="n"/>
      <c r="C254" s="62" t="n"/>
      <c r="D254" s="62" t="n"/>
      <c r="E254" s="62" t="n"/>
      <c r="H254" s="61" t="n"/>
      <c r="I254" s="42" t="n"/>
      <c r="J254" s="12">
        <f>IF(F254&lt;&gt;0,"LANÇAR","")</f>
        <v/>
      </c>
      <c r="K254" s="20" t="n"/>
      <c r="L254" s="13">
        <f>N254&amp;O254&amp;P254&amp;Q254&amp;R254&amp;S254&amp;T254&amp;U254&amp;V254&amp;W254&amp;X254&amp;Y254&amp;Z254&amp;AA254&amp;AB254&amp;AC254&amp;AD254&amp;AE254&amp;AF254&amp;AG254</f>
        <v/>
      </c>
      <c r="M254" s="20" t="n"/>
      <c r="N254" s="10">
        <f>TEXT($B$6,"00")</f>
        <v/>
      </c>
      <c r="O254" s="10">
        <f>REPT(" ",8)</f>
        <v/>
      </c>
      <c r="P254" s="10">
        <f>RIGHT($B$4,2)</f>
        <v/>
      </c>
      <c r="Q254" s="10">
        <f>RIGHT($B$5,3)</f>
        <v/>
      </c>
      <c r="R254" s="10">
        <f>IF(A254="D",LEFT(UPPER(B254)&amp;REPT(" ",20),20),REPT(" ",20))</f>
        <v/>
      </c>
      <c r="S254" s="10">
        <f>IF(A254="D",LEFT(UPPER(C254)&amp;REPT(" ",10),10)," ")</f>
        <v/>
      </c>
      <c r="T254" s="10">
        <f>IF(A254="D",LEFT(UPPER(D254)&amp;REPT(" ",2),2)," ")</f>
        <v/>
      </c>
      <c r="U254" s="10">
        <f>IF(A254="D",LEFT(UPPER(E254)&amp;REPT(" ",15),15)," ")</f>
        <v/>
      </c>
      <c r="V254" s="10">
        <f>REPT(" ",24)</f>
        <v/>
      </c>
      <c r="W254" s="10">
        <f>IF(A254="c",LEFT(UPPER(B254)&amp;REPT(" ",20),20),REPT(" ",20))</f>
        <v/>
      </c>
      <c r="X254" s="10">
        <f>IF(A254="C",LEFT(UPPER(C254)&amp;REPT(" ",10),10)," ")</f>
        <v/>
      </c>
      <c r="Y254" s="10">
        <f>IF(A254="C",LEFT(UPPER(D254)&amp;REPT(" ",2),2)," ")</f>
        <v/>
      </c>
      <c r="Z254" s="10">
        <f>IF(A254="C",LEFT(UPPER(E254)&amp;REPT(" ",15),15)," ")</f>
        <v/>
      </c>
      <c r="AA254" s="10">
        <f>REPT(" ",8)</f>
        <v/>
      </c>
      <c r="AB254" s="10">
        <f>REPT(" ",4)</f>
        <v/>
      </c>
      <c r="AC254" s="10">
        <f>LEFT(UPPER(H254)&amp;REPT(" ",250),250)</f>
        <v/>
      </c>
      <c r="AD254" s="10">
        <f>TEXT($G$2,"dd/mm/aaaa")</f>
        <v/>
      </c>
      <c r="AE254" s="10">
        <f>REPT(" ",10)</f>
        <v/>
      </c>
      <c r="AF254" s="10">
        <f>REPT(" ",20)</f>
        <v/>
      </c>
      <c r="AG254" s="54">
        <f>REPT(" ",18-LEN(FIXED(F254,2,TRUE)))&amp;FIXED(F254,2,TRUE)</f>
        <v/>
      </c>
      <c r="AH254" s="10">
        <f>LEN(AC254)+LEN(AG254)</f>
        <v/>
      </c>
      <c r="AI254" s="10">
        <f>LEN(L254)</f>
        <v/>
      </c>
    </row>
    <row r="255">
      <c r="A255" s="61" t="n"/>
      <c r="B255" s="62" t="n"/>
      <c r="C255" s="62" t="n"/>
      <c r="D255" s="62" t="n"/>
      <c r="E255" s="62" t="n"/>
      <c r="H255" s="61" t="n"/>
      <c r="I255" s="42" t="n"/>
      <c r="J255" s="12">
        <f>IF(F255&lt;&gt;0,"LANÇAR","")</f>
        <v/>
      </c>
      <c r="K255" s="20" t="n"/>
      <c r="L255" s="13">
        <f>N255&amp;O255&amp;P255&amp;Q255&amp;R255&amp;S255&amp;T255&amp;U255&amp;V255&amp;W255&amp;X255&amp;Y255&amp;Z255&amp;AA255&amp;AB255&amp;AC255&amp;AD255&amp;AE255&amp;AF255&amp;AG255</f>
        <v/>
      </c>
      <c r="M255" s="20" t="n"/>
      <c r="N255" s="10">
        <f>TEXT($B$6,"00")</f>
        <v/>
      </c>
      <c r="O255" s="10">
        <f>REPT(" ",8)</f>
        <v/>
      </c>
      <c r="P255" s="10">
        <f>RIGHT($B$4,2)</f>
        <v/>
      </c>
      <c r="Q255" s="10">
        <f>RIGHT($B$5,3)</f>
        <v/>
      </c>
      <c r="R255" s="10">
        <f>IF(A255="D",LEFT(UPPER(B255)&amp;REPT(" ",20),20),REPT(" ",20))</f>
        <v/>
      </c>
      <c r="S255" s="10">
        <f>IF(A255="D",LEFT(UPPER(C255)&amp;REPT(" ",10),10)," ")</f>
        <v/>
      </c>
      <c r="T255" s="10">
        <f>IF(A255="D",LEFT(UPPER(D255)&amp;REPT(" ",2),2)," ")</f>
        <v/>
      </c>
      <c r="U255" s="10">
        <f>IF(A255="D",LEFT(UPPER(E255)&amp;REPT(" ",15),15)," ")</f>
        <v/>
      </c>
      <c r="V255" s="10">
        <f>REPT(" ",24)</f>
        <v/>
      </c>
      <c r="W255" s="10">
        <f>IF(A255="c",LEFT(UPPER(B255)&amp;REPT(" ",20),20),REPT(" ",20))</f>
        <v/>
      </c>
      <c r="X255" s="10">
        <f>IF(A255="C",LEFT(UPPER(C255)&amp;REPT(" ",10),10)," ")</f>
        <v/>
      </c>
      <c r="Y255" s="10">
        <f>IF(A255="C",LEFT(UPPER(D255)&amp;REPT(" ",2),2)," ")</f>
        <v/>
      </c>
      <c r="Z255" s="10">
        <f>IF(A255="C",LEFT(UPPER(E255)&amp;REPT(" ",15),15)," ")</f>
        <v/>
      </c>
      <c r="AA255" s="10">
        <f>REPT(" ",8)</f>
        <v/>
      </c>
      <c r="AB255" s="10">
        <f>REPT(" ",4)</f>
        <v/>
      </c>
      <c r="AC255" s="10">
        <f>LEFT(UPPER(H255)&amp;REPT(" ",250),250)</f>
        <v/>
      </c>
      <c r="AD255" s="10">
        <f>TEXT($G$2,"dd/mm/aaaa")</f>
        <v/>
      </c>
      <c r="AE255" s="10">
        <f>REPT(" ",10)</f>
        <v/>
      </c>
      <c r="AF255" s="10">
        <f>REPT(" ",20)</f>
        <v/>
      </c>
      <c r="AG255" s="54">
        <f>REPT(" ",18-LEN(FIXED(F255,2,TRUE)))&amp;FIXED(F255,2,TRUE)</f>
        <v/>
      </c>
      <c r="AH255" s="10">
        <f>LEN(AC255)+LEN(AG255)</f>
        <v/>
      </c>
      <c r="AI255" s="10">
        <f>LEN(L255)</f>
        <v/>
      </c>
    </row>
    <row r="256">
      <c r="A256" s="61" t="n"/>
      <c r="B256" s="62" t="n"/>
      <c r="C256" s="62" t="n"/>
      <c r="D256" s="62" t="n"/>
      <c r="E256" s="62" t="n"/>
      <c r="H256" s="61" t="n"/>
      <c r="I256" s="42" t="n"/>
      <c r="J256" s="12">
        <f>IF(F256&lt;&gt;0,"LANÇAR","")</f>
        <v/>
      </c>
      <c r="K256" s="20" t="n"/>
      <c r="L256" s="13">
        <f>N256&amp;O256&amp;P256&amp;Q256&amp;R256&amp;S256&amp;T256&amp;U256&amp;V256&amp;W256&amp;X256&amp;Y256&amp;Z256&amp;AA256&amp;AB256&amp;AC256&amp;AD256&amp;AE256&amp;AF256&amp;AG256</f>
        <v/>
      </c>
      <c r="M256" s="20" t="n"/>
      <c r="N256" s="10">
        <f>TEXT($B$6,"00")</f>
        <v/>
      </c>
      <c r="O256" s="10">
        <f>REPT(" ",8)</f>
        <v/>
      </c>
      <c r="P256" s="10">
        <f>RIGHT($B$4,2)</f>
        <v/>
      </c>
      <c r="Q256" s="10">
        <f>RIGHT($B$5,3)</f>
        <v/>
      </c>
      <c r="R256" s="10">
        <f>IF(A256="D",LEFT(UPPER(B256)&amp;REPT(" ",20),20),REPT(" ",20))</f>
        <v/>
      </c>
      <c r="S256" s="10">
        <f>IF(A256="D",LEFT(UPPER(C256)&amp;REPT(" ",10),10)," ")</f>
        <v/>
      </c>
      <c r="T256" s="10">
        <f>IF(A256="D",LEFT(UPPER(D256)&amp;REPT(" ",2),2)," ")</f>
        <v/>
      </c>
      <c r="U256" s="10">
        <f>IF(A256="D",LEFT(UPPER(E256)&amp;REPT(" ",15),15)," ")</f>
        <v/>
      </c>
      <c r="V256" s="10">
        <f>REPT(" ",24)</f>
        <v/>
      </c>
      <c r="W256" s="10">
        <f>IF(A256="c",LEFT(UPPER(B256)&amp;REPT(" ",20),20),REPT(" ",20))</f>
        <v/>
      </c>
      <c r="X256" s="10">
        <f>IF(A256="C",LEFT(UPPER(C256)&amp;REPT(" ",10),10)," ")</f>
        <v/>
      </c>
      <c r="Y256" s="10">
        <f>IF(A256="C",LEFT(UPPER(D256)&amp;REPT(" ",2),2)," ")</f>
        <v/>
      </c>
      <c r="Z256" s="10">
        <f>IF(A256="C",LEFT(UPPER(E256)&amp;REPT(" ",15),15)," ")</f>
        <v/>
      </c>
      <c r="AA256" s="10">
        <f>REPT(" ",8)</f>
        <v/>
      </c>
      <c r="AB256" s="10">
        <f>REPT(" ",4)</f>
        <v/>
      </c>
      <c r="AC256" s="10">
        <f>LEFT(UPPER(H256)&amp;REPT(" ",250),250)</f>
        <v/>
      </c>
      <c r="AD256" s="10">
        <f>TEXT($G$2,"dd/mm/aaaa")</f>
        <v/>
      </c>
      <c r="AE256" s="10">
        <f>REPT(" ",10)</f>
        <v/>
      </c>
      <c r="AF256" s="10">
        <f>REPT(" ",20)</f>
        <v/>
      </c>
      <c r="AG256" s="54">
        <f>REPT(" ",18-LEN(FIXED(F256,2,TRUE)))&amp;FIXED(F256,2,TRUE)</f>
        <v/>
      </c>
      <c r="AH256" s="10">
        <f>LEN(AC256)+LEN(AG256)</f>
        <v/>
      </c>
      <c r="AI256" s="10">
        <f>LEN(L256)</f>
        <v/>
      </c>
    </row>
    <row r="257">
      <c r="A257" s="61" t="n"/>
      <c r="B257" s="62" t="n"/>
      <c r="C257" s="62" t="n"/>
      <c r="D257" s="62" t="n"/>
      <c r="E257" s="62" t="n"/>
      <c r="H257" s="61" t="n"/>
      <c r="I257" s="42" t="n"/>
      <c r="J257" s="12">
        <f>IF(F257&lt;&gt;0,"LANÇAR","")</f>
        <v/>
      </c>
      <c r="K257" s="20" t="n"/>
      <c r="L257" s="13">
        <f>N257&amp;O257&amp;P257&amp;Q257&amp;R257&amp;S257&amp;T257&amp;U257&amp;V257&amp;W257&amp;X257&amp;Y257&amp;Z257&amp;AA257&amp;AB257&amp;AC257&amp;AD257&amp;AE257&amp;AF257&amp;AG257</f>
        <v/>
      </c>
      <c r="M257" s="20" t="n"/>
      <c r="N257" s="10">
        <f>TEXT($B$6,"00")</f>
        <v/>
      </c>
      <c r="O257" s="10">
        <f>REPT(" ",8)</f>
        <v/>
      </c>
      <c r="P257" s="10">
        <f>RIGHT($B$4,2)</f>
        <v/>
      </c>
      <c r="Q257" s="10">
        <f>RIGHT($B$5,3)</f>
        <v/>
      </c>
      <c r="R257" s="10">
        <f>IF(A257="D",LEFT(UPPER(B257)&amp;REPT(" ",20),20),REPT(" ",20))</f>
        <v/>
      </c>
      <c r="S257" s="10">
        <f>IF(A257="D",LEFT(UPPER(C257)&amp;REPT(" ",10),10)," ")</f>
        <v/>
      </c>
      <c r="T257" s="10">
        <f>IF(A257="D",LEFT(UPPER(D257)&amp;REPT(" ",2),2)," ")</f>
        <v/>
      </c>
      <c r="U257" s="10">
        <f>IF(A257="D",LEFT(UPPER(E257)&amp;REPT(" ",15),15)," ")</f>
        <v/>
      </c>
      <c r="V257" s="10">
        <f>REPT(" ",24)</f>
        <v/>
      </c>
      <c r="W257" s="10">
        <f>IF(A257="c",LEFT(UPPER(B257)&amp;REPT(" ",20),20),REPT(" ",20))</f>
        <v/>
      </c>
      <c r="X257" s="10">
        <f>IF(A257="C",LEFT(UPPER(C257)&amp;REPT(" ",10),10)," ")</f>
        <v/>
      </c>
      <c r="Y257" s="10">
        <f>IF(A257="C",LEFT(UPPER(D257)&amp;REPT(" ",2),2)," ")</f>
        <v/>
      </c>
      <c r="Z257" s="10">
        <f>IF(A257="C",LEFT(UPPER(E257)&amp;REPT(" ",15),15)," ")</f>
        <v/>
      </c>
      <c r="AA257" s="10">
        <f>REPT(" ",8)</f>
        <v/>
      </c>
      <c r="AB257" s="10">
        <f>REPT(" ",4)</f>
        <v/>
      </c>
      <c r="AC257" s="10">
        <f>LEFT(UPPER(H257)&amp;REPT(" ",250),250)</f>
        <v/>
      </c>
      <c r="AD257" s="10">
        <f>TEXT($G$2,"dd/mm/aaaa")</f>
        <v/>
      </c>
      <c r="AE257" s="10">
        <f>REPT(" ",10)</f>
        <v/>
      </c>
      <c r="AF257" s="10">
        <f>REPT(" ",20)</f>
        <v/>
      </c>
      <c r="AG257" s="54">
        <f>REPT(" ",18-LEN(FIXED(F257,2,TRUE)))&amp;FIXED(F257,2,TRUE)</f>
        <v/>
      </c>
      <c r="AH257" s="10">
        <f>LEN(AC257)+LEN(AG257)</f>
        <v/>
      </c>
      <c r="AI257" s="10">
        <f>LEN(L257)</f>
        <v/>
      </c>
    </row>
    <row r="258">
      <c r="A258" s="61" t="n"/>
      <c r="B258" s="62" t="n"/>
      <c r="C258" s="62" t="n"/>
      <c r="D258" s="62" t="n"/>
      <c r="E258" s="62" t="n"/>
      <c r="H258" s="61" t="n"/>
      <c r="I258" s="42" t="n"/>
      <c r="J258" s="12">
        <f>IF(F258&lt;&gt;0,"LANÇAR","")</f>
        <v/>
      </c>
      <c r="K258" s="20" t="n"/>
      <c r="L258" s="13">
        <f>N258&amp;O258&amp;P258&amp;Q258&amp;R258&amp;S258&amp;T258&amp;U258&amp;V258&amp;W258&amp;X258&amp;Y258&amp;Z258&amp;AA258&amp;AB258&amp;AC258&amp;AD258&amp;AE258&amp;AF258&amp;AG258</f>
        <v/>
      </c>
      <c r="M258" s="20" t="n"/>
      <c r="N258" s="10">
        <f>TEXT($B$6,"00")</f>
        <v/>
      </c>
      <c r="O258" s="10">
        <f>REPT(" ",8)</f>
        <v/>
      </c>
      <c r="P258" s="10">
        <f>RIGHT($B$4,2)</f>
        <v/>
      </c>
      <c r="Q258" s="10">
        <f>RIGHT($B$5,3)</f>
        <v/>
      </c>
      <c r="R258" s="10">
        <f>IF(A258="D",LEFT(UPPER(B258)&amp;REPT(" ",20),20),REPT(" ",20))</f>
        <v/>
      </c>
      <c r="S258" s="10">
        <f>IF(A258="D",LEFT(UPPER(C258)&amp;REPT(" ",10),10)," ")</f>
        <v/>
      </c>
      <c r="T258" s="10">
        <f>IF(A258="D",LEFT(UPPER(D258)&amp;REPT(" ",2),2)," ")</f>
        <v/>
      </c>
      <c r="U258" s="10">
        <f>IF(A258="D",LEFT(UPPER(E258)&amp;REPT(" ",15),15)," ")</f>
        <v/>
      </c>
      <c r="V258" s="10">
        <f>REPT(" ",24)</f>
        <v/>
      </c>
      <c r="W258" s="10">
        <f>IF(A258="c",LEFT(UPPER(B258)&amp;REPT(" ",20),20),REPT(" ",20))</f>
        <v/>
      </c>
      <c r="X258" s="10">
        <f>IF(A258="C",LEFT(UPPER(C258)&amp;REPT(" ",10),10)," ")</f>
        <v/>
      </c>
      <c r="Y258" s="10">
        <f>IF(A258="C",LEFT(UPPER(D258)&amp;REPT(" ",2),2)," ")</f>
        <v/>
      </c>
      <c r="Z258" s="10">
        <f>IF(A258="C",LEFT(UPPER(E258)&amp;REPT(" ",15),15)," ")</f>
        <v/>
      </c>
      <c r="AA258" s="10">
        <f>REPT(" ",8)</f>
        <v/>
      </c>
      <c r="AB258" s="10">
        <f>REPT(" ",4)</f>
        <v/>
      </c>
      <c r="AC258" s="10">
        <f>LEFT(UPPER(H258)&amp;REPT(" ",250),250)</f>
        <v/>
      </c>
      <c r="AD258" s="10">
        <f>TEXT($G$2,"dd/mm/aaaa")</f>
        <v/>
      </c>
      <c r="AE258" s="10">
        <f>REPT(" ",10)</f>
        <v/>
      </c>
      <c r="AF258" s="10">
        <f>REPT(" ",20)</f>
        <v/>
      </c>
      <c r="AG258" s="54">
        <f>REPT(" ",18-LEN(FIXED(F258,2,TRUE)))&amp;FIXED(F258,2,TRUE)</f>
        <v/>
      </c>
      <c r="AH258" s="10">
        <f>LEN(AC258)+LEN(AG258)</f>
        <v/>
      </c>
      <c r="AI258" s="10">
        <f>LEN(L258)</f>
        <v/>
      </c>
    </row>
    <row r="259">
      <c r="A259" s="61" t="n"/>
      <c r="B259" s="62" t="n"/>
      <c r="C259" s="62" t="n"/>
      <c r="D259" s="62" t="n"/>
      <c r="E259" s="62" t="n"/>
      <c r="H259" s="61" t="n"/>
      <c r="I259" s="42" t="n"/>
      <c r="J259" s="12">
        <f>IF(F259&lt;&gt;0,"LANÇAR","")</f>
        <v/>
      </c>
      <c r="K259" s="20" t="n"/>
      <c r="L259" s="13">
        <f>N259&amp;O259&amp;P259&amp;Q259&amp;R259&amp;S259&amp;T259&amp;U259&amp;V259&amp;W259&amp;X259&amp;Y259&amp;Z259&amp;AA259&amp;AB259&amp;AC259&amp;AD259&amp;AE259&amp;AF259&amp;AG259</f>
        <v/>
      </c>
      <c r="M259" s="20" t="n"/>
      <c r="N259" s="10">
        <f>TEXT($B$6,"00")</f>
        <v/>
      </c>
      <c r="O259" s="10">
        <f>REPT(" ",8)</f>
        <v/>
      </c>
      <c r="P259" s="10">
        <f>RIGHT($B$4,2)</f>
        <v/>
      </c>
      <c r="Q259" s="10">
        <f>RIGHT($B$5,3)</f>
        <v/>
      </c>
      <c r="R259" s="10">
        <f>IF(A259="D",LEFT(UPPER(B259)&amp;REPT(" ",20),20),REPT(" ",20))</f>
        <v/>
      </c>
      <c r="S259" s="10">
        <f>IF(A259="D",LEFT(UPPER(C259)&amp;REPT(" ",10),10)," ")</f>
        <v/>
      </c>
      <c r="T259" s="10">
        <f>IF(A259="D",LEFT(UPPER(D259)&amp;REPT(" ",2),2)," ")</f>
        <v/>
      </c>
      <c r="U259" s="10">
        <f>IF(A259="D",LEFT(UPPER(E259)&amp;REPT(" ",15),15)," ")</f>
        <v/>
      </c>
      <c r="V259" s="10">
        <f>REPT(" ",24)</f>
        <v/>
      </c>
      <c r="W259" s="10">
        <f>IF(A259="c",LEFT(UPPER(B259)&amp;REPT(" ",20),20),REPT(" ",20))</f>
        <v/>
      </c>
      <c r="X259" s="10">
        <f>IF(A259="C",LEFT(UPPER(C259)&amp;REPT(" ",10),10)," ")</f>
        <v/>
      </c>
      <c r="Y259" s="10">
        <f>IF(A259="C",LEFT(UPPER(D259)&amp;REPT(" ",2),2)," ")</f>
        <v/>
      </c>
      <c r="Z259" s="10">
        <f>IF(A259="C",LEFT(UPPER(E259)&amp;REPT(" ",15),15)," ")</f>
        <v/>
      </c>
      <c r="AA259" s="10">
        <f>REPT(" ",8)</f>
        <v/>
      </c>
      <c r="AB259" s="10">
        <f>REPT(" ",4)</f>
        <v/>
      </c>
      <c r="AC259" s="10">
        <f>LEFT(UPPER(H259)&amp;REPT(" ",250),250)</f>
        <v/>
      </c>
      <c r="AD259" s="10">
        <f>TEXT($G$2,"dd/mm/aaaa")</f>
        <v/>
      </c>
      <c r="AE259" s="10">
        <f>REPT(" ",10)</f>
        <v/>
      </c>
      <c r="AF259" s="10">
        <f>REPT(" ",20)</f>
        <v/>
      </c>
      <c r="AG259" s="54">
        <f>REPT(" ",18-LEN(FIXED(F259,2,TRUE)))&amp;FIXED(F259,2,TRUE)</f>
        <v/>
      </c>
      <c r="AH259" s="10">
        <f>LEN(AC259)+LEN(AG259)</f>
        <v/>
      </c>
      <c r="AI259" s="10">
        <f>LEN(L259)</f>
        <v/>
      </c>
    </row>
    <row r="260">
      <c r="A260" s="61" t="n"/>
      <c r="B260" s="62" t="n"/>
      <c r="C260" s="62" t="n"/>
      <c r="D260" s="62" t="n"/>
      <c r="E260" s="62" t="n"/>
      <c r="H260" s="61" t="n"/>
      <c r="I260" s="42" t="n"/>
      <c r="J260" s="12">
        <f>IF(F260&lt;&gt;0,"LANÇAR","")</f>
        <v/>
      </c>
      <c r="K260" s="20" t="n"/>
      <c r="L260" s="13">
        <f>N260&amp;O260&amp;P260&amp;Q260&amp;R260&amp;S260&amp;T260&amp;U260&amp;V260&amp;W260&amp;X260&amp;Y260&amp;Z260&amp;AA260&amp;AB260&amp;AC260&amp;AD260&amp;AE260&amp;AF260&amp;AG260</f>
        <v/>
      </c>
      <c r="M260" s="20" t="n"/>
      <c r="N260" s="10">
        <f>TEXT($B$6,"00")</f>
        <v/>
      </c>
      <c r="O260" s="10">
        <f>REPT(" ",8)</f>
        <v/>
      </c>
      <c r="P260" s="10">
        <f>RIGHT($B$4,2)</f>
        <v/>
      </c>
      <c r="Q260" s="10">
        <f>RIGHT($B$5,3)</f>
        <v/>
      </c>
      <c r="R260" s="10">
        <f>IF(A260="D",LEFT(UPPER(B260)&amp;REPT(" ",20),20),REPT(" ",20))</f>
        <v/>
      </c>
      <c r="S260" s="10">
        <f>IF(A260="D",LEFT(UPPER(C260)&amp;REPT(" ",10),10)," ")</f>
        <v/>
      </c>
      <c r="T260" s="10">
        <f>IF(A260="D",LEFT(UPPER(D260)&amp;REPT(" ",2),2)," ")</f>
        <v/>
      </c>
      <c r="U260" s="10">
        <f>IF(A260="D",LEFT(UPPER(E260)&amp;REPT(" ",15),15)," ")</f>
        <v/>
      </c>
      <c r="V260" s="10">
        <f>REPT(" ",24)</f>
        <v/>
      </c>
      <c r="W260" s="10">
        <f>IF(A260="c",LEFT(UPPER(B260)&amp;REPT(" ",20),20),REPT(" ",20))</f>
        <v/>
      </c>
      <c r="X260" s="10">
        <f>IF(A260="C",LEFT(UPPER(C260)&amp;REPT(" ",10),10)," ")</f>
        <v/>
      </c>
      <c r="Y260" s="10">
        <f>IF(A260="C",LEFT(UPPER(D260)&amp;REPT(" ",2),2)," ")</f>
        <v/>
      </c>
      <c r="Z260" s="10">
        <f>IF(A260="C",LEFT(UPPER(E260)&amp;REPT(" ",15),15)," ")</f>
        <v/>
      </c>
      <c r="AA260" s="10">
        <f>REPT(" ",8)</f>
        <v/>
      </c>
      <c r="AB260" s="10">
        <f>REPT(" ",4)</f>
        <v/>
      </c>
      <c r="AC260" s="10">
        <f>LEFT(UPPER(H260)&amp;REPT(" ",250),250)</f>
        <v/>
      </c>
      <c r="AD260" s="10">
        <f>TEXT($G$2,"dd/mm/aaaa")</f>
        <v/>
      </c>
      <c r="AE260" s="10">
        <f>REPT(" ",10)</f>
        <v/>
      </c>
      <c r="AF260" s="10">
        <f>REPT(" ",20)</f>
        <v/>
      </c>
      <c r="AG260" s="54">
        <f>REPT(" ",18-LEN(FIXED(F260,2,TRUE)))&amp;FIXED(F260,2,TRUE)</f>
        <v/>
      </c>
      <c r="AH260" s="10">
        <f>LEN(AC260)+LEN(AG260)</f>
        <v/>
      </c>
      <c r="AI260" s="10">
        <f>LEN(L260)</f>
        <v/>
      </c>
    </row>
    <row r="261">
      <c r="A261" s="61" t="n"/>
      <c r="B261" s="62" t="n"/>
      <c r="C261" s="62" t="n"/>
      <c r="D261" s="62" t="n"/>
      <c r="E261" s="62" t="n"/>
      <c r="H261" s="61" t="n"/>
      <c r="I261" s="42" t="n"/>
      <c r="J261" s="12">
        <f>IF(F261&lt;&gt;0,"LANÇAR","")</f>
        <v/>
      </c>
      <c r="K261" s="20" t="n"/>
      <c r="L261" s="13">
        <f>N261&amp;O261&amp;P261&amp;Q261&amp;R261&amp;S261&amp;T261&amp;U261&amp;V261&amp;W261&amp;X261&amp;Y261&amp;Z261&amp;AA261&amp;AB261&amp;AC261&amp;AD261&amp;AE261&amp;AF261&amp;AG261</f>
        <v/>
      </c>
      <c r="M261" s="20" t="n"/>
      <c r="N261" s="10">
        <f>TEXT($B$6,"00")</f>
        <v/>
      </c>
      <c r="O261" s="10">
        <f>REPT(" ",8)</f>
        <v/>
      </c>
      <c r="P261" s="10">
        <f>RIGHT($B$4,2)</f>
        <v/>
      </c>
      <c r="Q261" s="10">
        <f>RIGHT($B$5,3)</f>
        <v/>
      </c>
      <c r="R261" s="10">
        <f>IF(A261="D",LEFT(UPPER(B261)&amp;REPT(" ",20),20),REPT(" ",20))</f>
        <v/>
      </c>
      <c r="S261" s="10">
        <f>IF(A261="D",LEFT(UPPER(C261)&amp;REPT(" ",10),10)," ")</f>
        <v/>
      </c>
      <c r="T261" s="10">
        <f>IF(A261="D",LEFT(UPPER(D261)&amp;REPT(" ",2),2)," ")</f>
        <v/>
      </c>
      <c r="U261" s="10">
        <f>IF(A261="D",LEFT(UPPER(E261)&amp;REPT(" ",15),15)," ")</f>
        <v/>
      </c>
      <c r="V261" s="10">
        <f>REPT(" ",24)</f>
        <v/>
      </c>
      <c r="W261" s="10">
        <f>IF(A261="c",LEFT(UPPER(B261)&amp;REPT(" ",20),20),REPT(" ",20))</f>
        <v/>
      </c>
      <c r="X261" s="10">
        <f>IF(A261="C",LEFT(UPPER(C261)&amp;REPT(" ",10),10)," ")</f>
        <v/>
      </c>
      <c r="Y261" s="10">
        <f>IF(A261="C",LEFT(UPPER(D261)&amp;REPT(" ",2),2)," ")</f>
        <v/>
      </c>
      <c r="Z261" s="10">
        <f>IF(A261="C",LEFT(UPPER(E261)&amp;REPT(" ",15),15)," ")</f>
        <v/>
      </c>
      <c r="AA261" s="10">
        <f>REPT(" ",8)</f>
        <v/>
      </c>
      <c r="AB261" s="10">
        <f>REPT(" ",4)</f>
        <v/>
      </c>
      <c r="AC261" s="10">
        <f>LEFT(UPPER(H261)&amp;REPT(" ",250),250)</f>
        <v/>
      </c>
      <c r="AD261" s="10">
        <f>TEXT($G$2,"dd/mm/aaaa")</f>
        <v/>
      </c>
      <c r="AE261" s="10">
        <f>REPT(" ",10)</f>
        <v/>
      </c>
      <c r="AF261" s="10">
        <f>REPT(" ",20)</f>
        <v/>
      </c>
      <c r="AG261" s="54">
        <f>REPT(" ",18-LEN(FIXED(F261,2,TRUE)))&amp;FIXED(F261,2,TRUE)</f>
        <v/>
      </c>
      <c r="AH261" s="10">
        <f>LEN(AC261)+LEN(AG261)</f>
        <v/>
      </c>
      <c r="AI261" s="10">
        <f>LEN(L261)</f>
        <v/>
      </c>
    </row>
    <row r="262">
      <c r="A262" s="61" t="n"/>
      <c r="B262" s="62" t="n"/>
      <c r="C262" s="62" t="n"/>
      <c r="D262" s="62" t="n"/>
      <c r="E262" s="62" t="n"/>
      <c r="H262" s="61" t="n"/>
      <c r="I262" s="42" t="n"/>
      <c r="J262" s="12">
        <f>IF(F262&lt;&gt;0,"LANÇAR","")</f>
        <v/>
      </c>
      <c r="K262" s="20" t="n"/>
      <c r="L262" s="13">
        <f>N262&amp;O262&amp;P262&amp;Q262&amp;R262&amp;S262&amp;T262&amp;U262&amp;V262&amp;W262&amp;X262&amp;Y262&amp;Z262&amp;AA262&amp;AB262&amp;AC262&amp;AD262&amp;AE262&amp;AF262&amp;AG262</f>
        <v/>
      </c>
      <c r="M262" s="20" t="n"/>
      <c r="N262" s="10">
        <f>TEXT($B$6,"00")</f>
        <v/>
      </c>
      <c r="O262" s="10">
        <f>REPT(" ",8)</f>
        <v/>
      </c>
      <c r="P262" s="10">
        <f>RIGHT($B$4,2)</f>
        <v/>
      </c>
      <c r="Q262" s="10">
        <f>RIGHT($B$5,3)</f>
        <v/>
      </c>
      <c r="R262" s="10">
        <f>IF(A262="D",LEFT(UPPER(B262)&amp;REPT(" ",20),20),REPT(" ",20))</f>
        <v/>
      </c>
      <c r="S262" s="10">
        <f>IF(A262="D",LEFT(UPPER(C262)&amp;REPT(" ",10),10)," ")</f>
        <v/>
      </c>
      <c r="T262" s="10">
        <f>IF(A262="D",LEFT(UPPER(D262)&amp;REPT(" ",2),2)," ")</f>
        <v/>
      </c>
      <c r="U262" s="10">
        <f>IF(A262="D",LEFT(UPPER(E262)&amp;REPT(" ",15),15)," ")</f>
        <v/>
      </c>
      <c r="V262" s="10">
        <f>REPT(" ",24)</f>
        <v/>
      </c>
      <c r="W262" s="10">
        <f>IF(A262="c",LEFT(UPPER(B262)&amp;REPT(" ",20),20),REPT(" ",20))</f>
        <v/>
      </c>
      <c r="X262" s="10">
        <f>IF(A262="C",LEFT(UPPER(C262)&amp;REPT(" ",10),10)," ")</f>
        <v/>
      </c>
      <c r="Y262" s="10">
        <f>IF(A262="C",LEFT(UPPER(D262)&amp;REPT(" ",2),2)," ")</f>
        <v/>
      </c>
      <c r="Z262" s="10">
        <f>IF(A262="C",LEFT(UPPER(E262)&amp;REPT(" ",15),15)," ")</f>
        <v/>
      </c>
      <c r="AA262" s="10">
        <f>REPT(" ",8)</f>
        <v/>
      </c>
      <c r="AB262" s="10">
        <f>REPT(" ",4)</f>
        <v/>
      </c>
      <c r="AC262" s="10">
        <f>LEFT(UPPER(H262)&amp;REPT(" ",250),250)</f>
        <v/>
      </c>
      <c r="AD262" s="10">
        <f>TEXT($G$2,"dd/mm/aaaa")</f>
        <v/>
      </c>
      <c r="AE262" s="10">
        <f>REPT(" ",10)</f>
        <v/>
      </c>
      <c r="AF262" s="10">
        <f>REPT(" ",20)</f>
        <v/>
      </c>
      <c r="AG262" s="54">
        <f>REPT(" ",18-LEN(FIXED(F262,2,TRUE)))&amp;FIXED(F262,2,TRUE)</f>
        <v/>
      </c>
      <c r="AH262" s="10">
        <f>LEN(AC262)+LEN(AG262)</f>
        <v/>
      </c>
      <c r="AI262" s="10">
        <f>LEN(L262)</f>
        <v/>
      </c>
    </row>
    <row r="263">
      <c r="A263" s="61" t="n"/>
      <c r="B263" s="62" t="n"/>
      <c r="C263" s="62" t="n"/>
      <c r="D263" s="62" t="n"/>
      <c r="E263" s="62" t="n"/>
      <c r="H263" s="61" t="n"/>
      <c r="I263" s="42" t="n"/>
      <c r="J263" s="12">
        <f>IF(F263&lt;&gt;0,"LANÇAR","")</f>
        <v/>
      </c>
      <c r="K263" s="20" t="n"/>
      <c r="L263" s="13">
        <f>N263&amp;O263&amp;P263&amp;Q263&amp;R263&amp;S263&amp;T263&amp;U263&amp;V263&amp;W263&amp;X263&amp;Y263&amp;Z263&amp;AA263&amp;AB263&amp;AC263&amp;AD263&amp;AE263&amp;AF263&amp;AG263</f>
        <v/>
      </c>
      <c r="M263" s="20" t="n"/>
      <c r="N263" s="10">
        <f>TEXT($B$6,"00")</f>
        <v/>
      </c>
      <c r="O263" s="10">
        <f>REPT(" ",8)</f>
        <v/>
      </c>
      <c r="P263" s="10">
        <f>RIGHT($B$4,2)</f>
        <v/>
      </c>
      <c r="Q263" s="10">
        <f>RIGHT($B$5,3)</f>
        <v/>
      </c>
      <c r="R263" s="10">
        <f>IF(A263="D",LEFT(UPPER(B263)&amp;REPT(" ",20),20),REPT(" ",20))</f>
        <v/>
      </c>
      <c r="S263" s="10">
        <f>IF(A263="D",LEFT(UPPER(C263)&amp;REPT(" ",10),10)," ")</f>
        <v/>
      </c>
      <c r="T263" s="10">
        <f>IF(A263="D",LEFT(UPPER(D263)&amp;REPT(" ",2),2)," ")</f>
        <v/>
      </c>
      <c r="U263" s="10">
        <f>IF(A263="D",LEFT(UPPER(E263)&amp;REPT(" ",15),15)," ")</f>
        <v/>
      </c>
      <c r="V263" s="10">
        <f>REPT(" ",24)</f>
        <v/>
      </c>
      <c r="W263" s="10">
        <f>IF(A263="c",LEFT(UPPER(B263)&amp;REPT(" ",20),20),REPT(" ",20))</f>
        <v/>
      </c>
      <c r="X263" s="10">
        <f>IF(A263="C",LEFT(UPPER(C263)&amp;REPT(" ",10),10)," ")</f>
        <v/>
      </c>
      <c r="Y263" s="10">
        <f>IF(A263="C",LEFT(UPPER(D263)&amp;REPT(" ",2),2)," ")</f>
        <v/>
      </c>
      <c r="Z263" s="10">
        <f>IF(A263="C",LEFT(UPPER(E263)&amp;REPT(" ",15),15)," ")</f>
        <v/>
      </c>
      <c r="AA263" s="10">
        <f>REPT(" ",8)</f>
        <v/>
      </c>
      <c r="AB263" s="10">
        <f>REPT(" ",4)</f>
        <v/>
      </c>
      <c r="AC263" s="10">
        <f>LEFT(UPPER(H263)&amp;REPT(" ",250),250)</f>
        <v/>
      </c>
      <c r="AD263" s="10">
        <f>TEXT($G$2,"dd/mm/aaaa")</f>
        <v/>
      </c>
      <c r="AE263" s="10">
        <f>REPT(" ",10)</f>
        <v/>
      </c>
      <c r="AF263" s="10">
        <f>REPT(" ",20)</f>
        <v/>
      </c>
      <c r="AG263" s="54">
        <f>REPT(" ",18-LEN(FIXED(F263,2,TRUE)))&amp;FIXED(F263,2,TRUE)</f>
        <v/>
      </c>
      <c r="AH263" s="10">
        <f>LEN(AC263)+LEN(AG263)</f>
        <v/>
      </c>
      <c r="AI263" s="10">
        <f>LEN(L263)</f>
        <v/>
      </c>
    </row>
    <row r="264">
      <c r="A264" s="61" t="n"/>
      <c r="B264" s="62" t="n"/>
      <c r="C264" s="62" t="n"/>
      <c r="D264" s="62" t="n"/>
      <c r="E264" s="62" t="n"/>
      <c r="H264" s="61" t="n"/>
      <c r="I264" s="42" t="n"/>
      <c r="J264" s="12">
        <f>IF(F264&lt;&gt;0,"LANÇAR","")</f>
        <v/>
      </c>
      <c r="K264" s="20" t="n"/>
      <c r="L264" s="13">
        <f>N264&amp;O264&amp;P264&amp;Q264&amp;R264&amp;S264&amp;T264&amp;U264&amp;V264&amp;W264&amp;X264&amp;Y264&amp;Z264&amp;AA264&amp;AB264&amp;AC264&amp;AD264&amp;AE264&amp;AF264&amp;AG264</f>
        <v/>
      </c>
      <c r="M264" s="20" t="n"/>
      <c r="N264" s="10">
        <f>TEXT($B$6,"00")</f>
        <v/>
      </c>
      <c r="O264" s="10">
        <f>REPT(" ",8)</f>
        <v/>
      </c>
      <c r="P264" s="10">
        <f>RIGHT($B$4,2)</f>
        <v/>
      </c>
      <c r="Q264" s="10">
        <f>RIGHT($B$5,3)</f>
        <v/>
      </c>
      <c r="R264" s="10">
        <f>IF(A264="D",LEFT(UPPER(B264)&amp;REPT(" ",20),20),REPT(" ",20))</f>
        <v/>
      </c>
      <c r="S264" s="10">
        <f>IF(A264="D",LEFT(UPPER(C264)&amp;REPT(" ",10),10)," ")</f>
        <v/>
      </c>
      <c r="T264" s="10">
        <f>IF(A264="D",LEFT(UPPER(D264)&amp;REPT(" ",2),2)," ")</f>
        <v/>
      </c>
      <c r="U264" s="10">
        <f>IF(A264="D",LEFT(UPPER(E264)&amp;REPT(" ",15),15)," ")</f>
        <v/>
      </c>
      <c r="V264" s="10">
        <f>REPT(" ",24)</f>
        <v/>
      </c>
      <c r="W264" s="10">
        <f>IF(A264="c",LEFT(UPPER(B264)&amp;REPT(" ",20),20),REPT(" ",20))</f>
        <v/>
      </c>
      <c r="X264" s="10">
        <f>IF(A264="C",LEFT(UPPER(C264)&amp;REPT(" ",10),10)," ")</f>
        <v/>
      </c>
      <c r="Y264" s="10">
        <f>IF(A264="C",LEFT(UPPER(D264)&amp;REPT(" ",2),2)," ")</f>
        <v/>
      </c>
      <c r="Z264" s="10">
        <f>IF(A264="C",LEFT(UPPER(E264)&amp;REPT(" ",15),15)," ")</f>
        <v/>
      </c>
      <c r="AA264" s="10">
        <f>REPT(" ",8)</f>
        <v/>
      </c>
      <c r="AB264" s="10">
        <f>REPT(" ",4)</f>
        <v/>
      </c>
      <c r="AC264" s="10">
        <f>LEFT(UPPER(H264)&amp;REPT(" ",250),250)</f>
        <v/>
      </c>
      <c r="AD264" s="10">
        <f>TEXT($G$2,"dd/mm/aaaa")</f>
        <v/>
      </c>
      <c r="AE264" s="10">
        <f>REPT(" ",10)</f>
        <v/>
      </c>
      <c r="AF264" s="10">
        <f>REPT(" ",20)</f>
        <v/>
      </c>
      <c r="AG264" s="54">
        <f>REPT(" ",18-LEN(FIXED(F264,2,TRUE)))&amp;FIXED(F264,2,TRUE)</f>
        <v/>
      </c>
      <c r="AH264" s="10">
        <f>LEN(AC264)+LEN(AG264)</f>
        <v/>
      </c>
      <c r="AI264" s="10">
        <f>LEN(L264)</f>
        <v/>
      </c>
    </row>
    <row r="265">
      <c r="A265" s="61" t="n"/>
      <c r="B265" s="62" t="n"/>
      <c r="C265" s="62" t="n"/>
      <c r="D265" s="62" t="n"/>
      <c r="E265" s="62" t="n"/>
      <c r="H265" s="61" t="n"/>
      <c r="I265" s="42" t="n"/>
      <c r="J265" s="12">
        <f>IF(F265&lt;&gt;0,"LANÇAR","")</f>
        <v/>
      </c>
      <c r="K265" s="20" t="n"/>
      <c r="L265" s="13">
        <f>N265&amp;O265&amp;P265&amp;Q265&amp;R265&amp;S265&amp;T265&amp;U265&amp;V265&amp;W265&amp;X265&amp;Y265&amp;Z265&amp;AA265&amp;AB265&amp;AC265&amp;AD265&amp;AE265&amp;AF265&amp;AG265</f>
        <v/>
      </c>
      <c r="M265" s="20" t="n"/>
      <c r="N265" s="10">
        <f>TEXT($B$6,"00")</f>
        <v/>
      </c>
      <c r="O265" s="10">
        <f>REPT(" ",8)</f>
        <v/>
      </c>
      <c r="P265" s="10">
        <f>RIGHT($B$4,2)</f>
        <v/>
      </c>
      <c r="Q265" s="10">
        <f>RIGHT($B$5,3)</f>
        <v/>
      </c>
      <c r="R265" s="10">
        <f>IF(A265="D",LEFT(UPPER(B265)&amp;REPT(" ",20),20),REPT(" ",20))</f>
        <v/>
      </c>
      <c r="S265" s="10">
        <f>IF(A265="D",LEFT(UPPER(C265)&amp;REPT(" ",10),10)," ")</f>
        <v/>
      </c>
      <c r="T265" s="10">
        <f>IF(A265="D",LEFT(UPPER(D265)&amp;REPT(" ",2),2)," ")</f>
        <v/>
      </c>
      <c r="U265" s="10">
        <f>IF(A265="D",LEFT(UPPER(E265)&amp;REPT(" ",15),15)," ")</f>
        <v/>
      </c>
      <c r="V265" s="10">
        <f>REPT(" ",24)</f>
        <v/>
      </c>
      <c r="W265" s="10">
        <f>IF(A265="c",LEFT(UPPER(B265)&amp;REPT(" ",20),20),REPT(" ",20))</f>
        <v/>
      </c>
      <c r="X265" s="10">
        <f>IF(A265="C",LEFT(UPPER(C265)&amp;REPT(" ",10),10)," ")</f>
        <v/>
      </c>
      <c r="Y265" s="10">
        <f>IF(A265="C",LEFT(UPPER(D265)&amp;REPT(" ",2),2)," ")</f>
        <v/>
      </c>
      <c r="Z265" s="10">
        <f>IF(A265="C",LEFT(UPPER(E265)&amp;REPT(" ",15),15)," ")</f>
        <v/>
      </c>
      <c r="AA265" s="10">
        <f>REPT(" ",8)</f>
        <v/>
      </c>
      <c r="AB265" s="10">
        <f>REPT(" ",4)</f>
        <v/>
      </c>
      <c r="AC265" s="10">
        <f>LEFT(UPPER(H265)&amp;REPT(" ",250),250)</f>
        <v/>
      </c>
      <c r="AD265" s="10">
        <f>TEXT($G$2,"dd/mm/aaaa")</f>
        <v/>
      </c>
      <c r="AE265" s="10">
        <f>REPT(" ",10)</f>
        <v/>
      </c>
      <c r="AF265" s="10">
        <f>REPT(" ",20)</f>
        <v/>
      </c>
      <c r="AG265" s="54">
        <f>REPT(" ",18-LEN(FIXED(F265,2,TRUE)))&amp;FIXED(F265,2,TRUE)</f>
        <v/>
      </c>
      <c r="AH265" s="10">
        <f>LEN(AC265)+LEN(AG265)</f>
        <v/>
      </c>
      <c r="AI265" s="10">
        <f>LEN(L265)</f>
        <v/>
      </c>
    </row>
    <row r="266">
      <c r="A266" s="61" t="n"/>
      <c r="B266" s="62" t="n"/>
      <c r="C266" s="62" t="n"/>
      <c r="D266" s="62" t="n"/>
      <c r="E266" s="62" t="n"/>
      <c r="H266" s="61" t="n"/>
      <c r="I266" s="42" t="n"/>
      <c r="J266" s="12">
        <f>IF(F266&lt;&gt;0,"LANÇAR","")</f>
        <v/>
      </c>
      <c r="K266" s="20" t="n"/>
      <c r="L266" s="13">
        <f>N266&amp;O266&amp;P266&amp;Q266&amp;R266&amp;S266&amp;T266&amp;U266&amp;V266&amp;W266&amp;X266&amp;Y266&amp;Z266&amp;AA266&amp;AB266&amp;AC266&amp;AD266&amp;AE266&amp;AF266&amp;AG266</f>
        <v/>
      </c>
      <c r="M266" s="20" t="n"/>
      <c r="N266" s="10">
        <f>TEXT($B$6,"00")</f>
        <v/>
      </c>
      <c r="O266" s="10">
        <f>REPT(" ",8)</f>
        <v/>
      </c>
      <c r="P266" s="10">
        <f>RIGHT($B$4,2)</f>
        <v/>
      </c>
      <c r="Q266" s="10">
        <f>RIGHT($B$5,3)</f>
        <v/>
      </c>
      <c r="R266" s="10">
        <f>IF(A266="D",LEFT(UPPER(B266)&amp;REPT(" ",20),20),REPT(" ",20))</f>
        <v/>
      </c>
      <c r="S266" s="10">
        <f>IF(A266="D",LEFT(UPPER(C266)&amp;REPT(" ",10),10)," ")</f>
        <v/>
      </c>
      <c r="T266" s="10">
        <f>IF(A266="D",LEFT(UPPER(D266)&amp;REPT(" ",2),2)," ")</f>
        <v/>
      </c>
      <c r="U266" s="10">
        <f>IF(A266="D",LEFT(UPPER(E266)&amp;REPT(" ",15),15)," ")</f>
        <v/>
      </c>
      <c r="V266" s="10">
        <f>REPT(" ",24)</f>
        <v/>
      </c>
      <c r="W266" s="10">
        <f>IF(A266="c",LEFT(UPPER(B266)&amp;REPT(" ",20),20),REPT(" ",20))</f>
        <v/>
      </c>
      <c r="X266" s="10">
        <f>IF(A266="C",LEFT(UPPER(C266)&amp;REPT(" ",10),10)," ")</f>
        <v/>
      </c>
      <c r="Y266" s="10">
        <f>IF(A266="C",LEFT(UPPER(D266)&amp;REPT(" ",2),2)," ")</f>
        <v/>
      </c>
      <c r="Z266" s="10">
        <f>IF(A266="C",LEFT(UPPER(E266)&amp;REPT(" ",15),15)," ")</f>
        <v/>
      </c>
      <c r="AA266" s="10">
        <f>REPT(" ",8)</f>
        <v/>
      </c>
      <c r="AB266" s="10">
        <f>REPT(" ",4)</f>
        <v/>
      </c>
      <c r="AC266" s="10">
        <f>LEFT(UPPER(H266)&amp;REPT(" ",250),250)</f>
        <v/>
      </c>
      <c r="AD266" s="10">
        <f>TEXT($G$2,"dd/mm/aaaa")</f>
        <v/>
      </c>
      <c r="AE266" s="10">
        <f>REPT(" ",10)</f>
        <v/>
      </c>
      <c r="AF266" s="10">
        <f>REPT(" ",20)</f>
        <v/>
      </c>
      <c r="AG266" s="54">
        <f>REPT(" ",18-LEN(FIXED(F266,2,TRUE)))&amp;FIXED(F266,2,TRUE)</f>
        <v/>
      </c>
      <c r="AH266" s="10">
        <f>LEN(AC266)+LEN(AG266)</f>
        <v/>
      </c>
      <c r="AI266" s="10">
        <f>LEN(L266)</f>
        <v/>
      </c>
    </row>
    <row r="267">
      <c r="A267" s="61" t="n"/>
      <c r="B267" s="62" t="n"/>
      <c r="C267" s="62" t="n"/>
      <c r="D267" s="62" t="n"/>
      <c r="E267" s="62" t="n"/>
      <c r="H267" s="61" t="n"/>
      <c r="I267" s="42" t="n"/>
      <c r="J267" s="12">
        <f>IF(F267&lt;&gt;0,"LANÇAR","")</f>
        <v/>
      </c>
      <c r="K267" s="20" t="n"/>
      <c r="L267" s="13">
        <f>N267&amp;O267&amp;P267&amp;Q267&amp;R267&amp;S267&amp;T267&amp;U267&amp;V267&amp;W267&amp;X267&amp;Y267&amp;Z267&amp;AA267&amp;AB267&amp;AC267&amp;AD267&amp;AE267&amp;AF267&amp;AG267</f>
        <v/>
      </c>
      <c r="M267" s="20" t="n"/>
      <c r="N267" s="10">
        <f>TEXT($B$6,"00")</f>
        <v/>
      </c>
      <c r="O267" s="10">
        <f>REPT(" ",8)</f>
        <v/>
      </c>
      <c r="P267" s="10">
        <f>RIGHT($B$4,2)</f>
        <v/>
      </c>
      <c r="Q267" s="10">
        <f>RIGHT($B$5,3)</f>
        <v/>
      </c>
      <c r="R267" s="10">
        <f>IF(A267="D",LEFT(UPPER(B267)&amp;REPT(" ",20),20),REPT(" ",20))</f>
        <v/>
      </c>
      <c r="S267" s="10">
        <f>IF(A267="D",LEFT(UPPER(C267)&amp;REPT(" ",10),10)," ")</f>
        <v/>
      </c>
      <c r="T267" s="10">
        <f>IF(A267="D",LEFT(UPPER(D267)&amp;REPT(" ",2),2)," ")</f>
        <v/>
      </c>
      <c r="U267" s="10">
        <f>IF(A267="D",LEFT(UPPER(E267)&amp;REPT(" ",15),15)," ")</f>
        <v/>
      </c>
      <c r="V267" s="10">
        <f>REPT(" ",24)</f>
        <v/>
      </c>
      <c r="W267" s="10">
        <f>IF(A267="c",LEFT(UPPER(B267)&amp;REPT(" ",20),20),REPT(" ",20))</f>
        <v/>
      </c>
      <c r="X267" s="10">
        <f>IF(A267="C",LEFT(UPPER(C267)&amp;REPT(" ",10),10)," ")</f>
        <v/>
      </c>
      <c r="Y267" s="10">
        <f>IF(A267="C",LEFT(UPPER(D267)&amp;REPT(" ",2),2)," ")</f>
        <v/>
      </c>
      <c r="Z267" s="10">
        <f>IF(A267="C",LEFT(UPPER(E267)&amp;REPT(" ",15),15)," ")</f>
        <v/>
      </c>
      <c r="AA267" s="10">
        <f>REPT(" ",8)</f>
        <v/>
      </c>
      <c r="AB267" s="10">
        <f>REPT(" ",4)</f>
        <v/>
      </c>
      <c r="AC267" s="10">
        <f>LEFT(UPPER(H267)&amp;REPT(" ",250),250)</f>
        <v/>
      </c>
      <c r="AD267" s="10">
        <f>TEXT($G$2,"dd/mm/aaaa")</f>
        <v/>
      </c>
      <c r="AE267" s="10">
        <f>REPT(" ",10)</f>
        <v/>
      </c>
      <c r="AF267" s="10">
        <f>REPT(" ",20)</f>
        <v/>
      </c>
      <c r="AG267" s="54">
        <f>REPT(" ",18-LEN(FIXED(F267,2,TRUE)))&amp;FIXED(F267,2,TRUE)</f>
        <v/>
      </c>
      <c r="AH267" s="10">
        <f>LEN(AC267)+LEN(AG267)</f>
        <v/>
      </c>
      <c r="AI267" s="10">
        <f>LEN(L267)</f>
        <v/>
      </c>
    </row>
    <row r="268">
      <c r="A268" s="61" t="n"/>
      <c r="B268" s="62" t="n"/>
      <c r="C268" s="62" t="n"/>
      <c r="D268" s="62" t="n"/>
      <c r="E268" s="62" t="n"/>
      <c r="H268" s="61" t="n"/>
      <c r="I268" s="42" t="n"/>
      <c r="J268" s="12">
        <f>IF(F268&lt;&gt;0,"LANÇAR","")</f>
        <v/>
      </c>
      <c r="K268" s="20" t="n"/>
      <c r="L268" s="13">
        <f>N268&amp;O268&amp;P268&amp;Q268&amp;R268&amp;S268&amp;T268&amp;U268&amp;V268&amp;W268&amp;X268&amp;Y268&amp;Z268&amp;AA268&amp;AB268&amp;AC268&amp;AD268&amp;AE268&amp;AF268&amp;AG268</f>
        <v/>
      </c>
      <c r="M268" s="20" t="n"/>
      <c r="N268" s="10">
        <f>TEXT($B$6,"00")</f>
        <v/>
      </c>
      <c r="O268" s="10">
        <f>REPT(" ",8)</f>
        <v/>
      </c>
      <c r="P268" s="10">
        <f>RIGHT($B$4,2)</f>
        <v/>
      </c>
      <c r="Q268" s="10">
        <f>RIGHT($B$5,3)</f>
        <v/>
      </c>
      <c r="R268" s="10">
        <f>IF(A268="D",LEFT(UPPER(B268)&amp;REPT(" ",20),20),REPT(" ",20))</f>
        <v/>
      </c>
      <c r="S268" s="10">
        <f>IF(A268="D",LEFT(UPPER(C268)&amp;REPT(" ",10),10)," ")</f>
        <v/>
      </c>
      <c r="T268" s="10">
        <f>IF(A268="D",LEFT(UPPER(D268)&amp;REPT(" ",2),2)," ")</f>
        <v/>
      </c>
      <c r="U268" s="10">
        <f>IF(A268="D",LEFT(UPPER(E268)&amp;REPT(" ",15),15)," ")</f>
        <v/>
      </c>
      <c r="V268" s="10">
        <f>REPT(" ",24)</f>
        <v/>
      </c>
      <c r="W268" s="10">
        <f>IF(A268="c",LEFT(UPPER(B268)&amp;REPT(" ",20),20),REPT(" ",20))</f>
        <v/>
      </c>
      <c r="X268" s="10">
        <f>IF(A268="C",LEFT(UPPER(C268)&amp;REPT(" ",10),10)," ")</f>
        <v/>
      </c>
      <c r="Y268" s="10">
        <f>IF(A268="C",LEFT(UPPER(D268)&amp;REPT(" ",2),2)," ")</f>
        <v/>
      </c>
      <c r="Z268" s="10">
        <f>IF(A268="C",LEFT(UPPER(E268)&amp;REPT(" ",15),15)," ")</f>
        <v/>
      </c>
      <c r="AA268" s="10">
        <f>REPT(" ",8)</f>
        <v/>
      </c>
      <c r="AB268" s="10">
        <f>REPT(" ",4)</f>
        <v/>
      </c>
      <c r="AC268" s="10">
        <f>LEFT(UPPER(H268)&amp;REPT(" ",250),250)</f>
        <v/>
      </c>
      <c r="AD268" s="10">
        <f>TEXT($G$2,"dd/mm/aaaa")</f>
        <v/>
      </c>
      <c r="AE268" s="10">
        <f>REPT(" ",10)</f>
        <v/>
      </c>
      <c r="AF268" s="10">
        <f>REPT(" ",20)</f>
        <v/>
      </c>
      <c r="AG268" s="54">
        <f>REPT(" ",18-LEN(FIXED(F268,2,TRUE)))&amp;FIXED(F268,2,TRUE)</f>
        <v/>
      </c>
      <c r="AH268" s="10">
        <f>LEN(AC268)+LEN(AG268)</f>
        <v/>
      </c>
      <c r="AI268" s="10">
        <f>LEN(L268)</f>
        <v/>
      </c>
    </row>
    <row r="269">
      <c r="A269" s="61" t="n"/>
      <c r="B269" s="62" t="n"/>
      <c r="C269" s="62" t="n"/>
      <c r="D269" s="62" t="n"/>
      <c r="E269" s="62" t="n"/>
      <c r="H269" s="61" t="n"/>
      <c r="I269" s="42" t="n"/>
      <c r="J269" s="12">
        <f>IF(F269&lt;&gt;0,"LANÇAR","")</f>
        <v/>
      </c>
      <c r="K269" s="20" t="n"/>
      <c r="L269" s="13">
        <f>N269&amp;O269&amp;P269&amp;Q269&amp;R269&amp;S269&amp;T269&amp;U269&amp;V269&amp;W269&amp;X269&amp;Y269&amp;Z269&amp;AA269&amp;AB269&amp;AC269&amp;AD269&amp;AE269&amp;AF269&amp;AG269</f>
        <v/>
      </c>
      <c r="M269" s="20" t="n"/>
      <c r="N269" s="10">
        <f>TEXT($B$6,"00")</f>
        <v/>
      </c>
      <c r="O269" s="10">
        <f>REPT(" ",8)</f>
        <v/>
      </c>
      <c r="P269" s="10">
        <f>RIGHT($B$4,2)</f>
        <v/>
      </c>
      <c r="Q269" s="10">
        <f>RIGHT($B$5,3)</f>
        <v/>
      </c>
      <c r="R269" s="10">
        <f>IF(A269="D",LEFT(UPPER(B269)&amp;REPT(" ",20),20),REPT(" ",20))</f>
        <v/>
      </c>
      <c r="S269" s="10">
        <f>IF(A269="D",LEFT(UPPER(C269)&amp;REPT(" ",10),10)," ")</f>
        <v/>
      </c>
      <c r="T269" s="10">
        <f>IF(A269="D",LEFT(UPPER(D269)&amp;REPT(" ",2),2)," ")</f>
        <v/>
      </c>
      <c r="U269" s="10">
        <f>IF(A269="D",LEFT(UPPER(E269)&amp;REPT(" ",15),15)," ")</f>
        <v/>
      </c>
      <c r="V269" s="10">
        <f>REPT(" ",24)</f>
        <v/>
      </c>
      <c r="W269" s="10">
        <f>IF(A269="c",LEFT(UPPER(B269)&amp;REPT(" ",20),20),REPT(" ",20))</f>
        <v/>
      </c>
      <c r="X269" s="10">
        <f>IF(A269="C",LEFT(UPPER(C269)&amp;REPT(" ",10),10)," ")</f>
        <v/>
      </c>
      <c r="Y269" s="10">
        <f>IF(A269="C",LEFT(UPPER(D269)&amp;REPT(" ",2),2)," ")</f>
        <v/>
      </c>
      <c r="Z269" s="10">
        <f>IF(A269="C",LEFT(UPPER(E269)&amp;REPT(" ",15),15)," ")</f>
        <v/>
      </c>
      <c r="AA269" s="10">
        <f>REPT(" ",8)</f>
        <v/>
      </c>
      <c r="AB269" s="10">
        <f>REPT(" ",4)</f>
        <v/>
      </c>
      <c r="AC269" s="10">
        <f>LEFT(UPPER(H269)&amp;REPT(" ",250),250)</f>
        <v/>
      </c>
      <c r="AD269" s="10">
        <f>TEXT($G$2,"dd/mm/aaaa")</f>
        <v/>
      </c>
      <c r="AE269" s="10">
        <f>REPT(" ",10)</f>
        <v/>
      </c>
      <c r="AF269" s="10">
        <f>REPT(" ",20)</f>
        <v/>
      </c>
      <c r="AG269" s="54">
        <f>REPT(" ",18-LEN(FIXED(F269,2,TRUE)))&amp;FIXED(F269,2,TRUE)</f>
        <v/>
      </c>
      <c r="AH269" s="10">
        <f>LEN(AC269)+LEN(AG269)</f>
        <v/>
      </c>
      <c r="AI269" s="10">
        <f>LEN(L269)</f>
        <v/>
      </c>
    </row>
    <row r="270">
      <c r="A270" s="61" t="n"/>
      <c r="B270" s="62" t="n"/>
      <c r="C270" s="62" t="n"/>
      <c r="D270" s="62" t="n"/>
      <c r="E270" s="62" t="n"/>
      <c r="H270" s="61" t="n"/>
      <c r="I270" s="42" t="n"/>
      <c r="J270" s="12">
        <f>IF(F270&lt;&gt;0,"LANÇAR","")</f>
        <v/>
      </c>
      <c r="K270" s="20" t="n"/>
      <c r="L270" s="13">
        <f>N270&amp;O270&amp;P270&amp;Q270&amp;R270&amp;S270&amp;T270&amp;U270&amp;V270&amp;W270&amp;X270&amp;Y270&amp;Z270&amp;AA270&amp;AB270&amp;AC270&amp;AD270&amp;AE270&amp;AF270&amp;AG270</f>
        <v/>
      </c>
      <c r="M270" s="20" t="n"/>
      <c r="N270" s="10">
        <f>TEXT($B$6,"00")</f>
        <v/>
      </c>
      <c r="O270" s="10">
        <f>REPT(" ",8)</f>
        <v/>
      </c>
      <c r="P270" s="10">
        <f>RIGHT($B$4,2)</f>
        <v/>
      </c>
      <c r="Q270" s="10">
        <f>RIGHT($B$5,3)</f>
        <v/>
      </c>
      <c r="R270" s="10">
        <f>IF(A270="D",LEFT(UPPER(B270)&amp;REPT(" ",20),20),REPT(" ",20))</f>
        <v/>
      </c>
      <c r="S270" s="10">
        <f>IF(A270="D",LEFT(UPPER(C270)&amp;REPT(" ",10),10)," ")</f>
        <v/>
      </c>
      <c r="T270" s="10">
        <f>IF(A270="D",LEFT(UPPER(D270)&amp;REPT(" ",2),2)," ")</f>
        <v/>
      </c>
      <c r="U270" s="10">
        <f>IF(A270="D",LEFT(UPPER(E270)&amp;REPT(" ",15),15)," ")</f>
        <v/>
      </c>
      <c r="V270" s="10">
        <f>REPT(" ",24)</f>
        <v/>
      </c>
      <c r="W270" s="10">
        <f>IF(A270="c",LEFT(UPPER(B270)&amp;REPT(" ",20),20),REPT(" ",20))</f>
        <v/>
      </c>
      <c r="X270" s="10">
        <f>IF(A270="C",LEFT(UPPER(C270)&amp;REPT(" ",10),10)," ")</f>
        <v/>
      </c>
      <c r="Y270" s="10">
        <f>IF(A270="C",LEFT(UPPER(D270)&amp;REPT(" ",2),2)," ")</f>
        <v/>
      </c>
      <c r="Z270" s="10">
        <f>IF(A270="C",LEFT(UPPER(E270)&amp;REPT(" ",15),15)," ")</f>
        <v/>
      </c>
      <c r="AA270" s="10">
        <f>REPT(" ",8)</f>
        <v/>
      </c>
      <c r="AB270" s="10">
        <f>REPT(" ",4)</f>
        <v/>
      </c>
      <c r="AC270" s="10">
        <f>LEFT(UPPER(H270)&amp;REPT(" ",250),250)</f>
        <v/>
      </c>
      <c r="AD270" s="10">
        <f>TEXT($G$2,"dd/mm/aaaa")</f>
        <v/>
      </c>
      <c r="AE270" s="10">
        <f>REPT(" ",10)</f>
        <v/>
      </c>
      <c r="AF270" s="10">
        <f>REPT(" ",20)</f>
        <v/>
      </c>
      <c r="AG270" s="54">
        <f>REPT(" ",18-LEN(FIXED(F270,2,TRUE)))&amp;FIXED(F270,2,TRUE)</f>
        <v/>
      </c>
      <c r="AH270" s="10">
        <f>LEN(AC270)+LEN(AG270)</f>
        <v/>
      </c>
      <c r="AI270" s="10">
        <f>LEN(L270)</f>
        <v/>
      </c>
    </row>
    <row r="271">
      <c r="A271" s="61" t="n"/>
      <c r="B271" s="62" t="n"/>
      <c r="C271" s="62" t="n"/>
      <c r="D271" s="62" t="n"/>
      <c r="E271" s="62" t="n"/>
      <c r="H271" s="61" t="n"/>
      <c r="I271" s="42" t="n"/>
      <c r="J271" s="12">
        <f>IF(F271&lt;&gt;0,"LANÇAR","")</f>
        <v/>
      </c>
      <c r="K271" s="20" t="n"/>
      <c r="L271" s="13">
        <f>N271&amp;O271&amp;P271&amp;Q271&amp;R271&amp;S271&amp;T271&amp;U271&amp;V271&amp;W271&amp;X271&amp;Y271&amp;Z271&amp;AA271&amp;AB271&amp;AC271&amp;AD271&amp;AE271&amp;AF271&amp;AG271</f>
        <v/>
      </c>
      <c r="M271" s="20" t="n"/>
      <c r="N271" s="10">
        <f>TEXT($B$6,"00")</f>
        <v/>
      </c>
      <c r="O271" s="10">
        <f>REPT(" ",8)</f>
        <v/>
      </c>
      <c r="P271" s="10">
        <f>RIGHT($B$4,2)</f>
        <v/>
      </c>
      <c r="Q271" s="10">
        <f>RIGHT($B$5,3)</f>
        <v/>
      </c>
      <c r="R271" s="10">
        <f>IF(A271="D",LEFT(UPPER(B271)&amp;REPT(" ",20),20),REPT(" ",20))</f>
        <v/>
      </c>
      <c r="S271" s="10">
        <f>IF(A271="D",LEFT(UPPER(C271)&amp;REPT(" ",10),10)," ")</f>
        <v/>
      </c>
      <c r="T271" s="10">
        <f>IF(A271="D",LEFT(UPPER(D271)&amp;REPT(" ",2),2)," ")</f>
        <v/>
      </c>
      <c r="U271" s="10">
        <f>IF(A271="D",LEFT(UPPER(E271)&amp;REPT(" ",15),15)," ")</f>
        <v/>
      </c>
      <c r="V271" s="10">
        <f>REPT(" ",24)</f>
        <v/>
      </c>
      <c r="W271" s="10">
        <f>IF(A271="c",LEFT(UPPER(B271)&amp;REPT(" ",20),20),REPT(" ",20))</f>
        <v/>
      </c>
      <c r="X271" s="10">
        <f>IF(A271="C",LEFT(UPPER(C271)&amp;REPT(" ",10),10)," ")</f>
        <v/>
      </c>
      <c r="Y271" s="10">
        <f>IF(A271="C",LEFT(UPPER(D271)&amp;REPT(" ",2),2)," ")</f>
        <v/>
      </c>
      <c r="Z271" s="10">
        <f>IF(A271="C",LEFT(UPPER(E271)&amp;REPT(" ",15),15)," ")</f>
        <v/>
      </c>
      <c r="AA271" s="10">
        <f>REPT(" ",8)</f>
        <v/>
      </c>
      <c r="AB271" s="10">
        <f>REPT(" ",4)</f>
        <v/>
      </c>
      <c r="AC271" s="10">
        <f>LEFT(UPPER(H271)&amp;REPT(" ",250),250)</f>
        <v/>
      </c>
      <c r="AD271" s="10">
        <f>TEXT($G$2,"dd/mm/aaaa")</f>
        <v/>
      </c>
      <c r="AE271" s="10">
        <f>REPT(" ",10)</f>
        <v/>
      </c>
      <c r="AF271" s="10">
        <f>REPT(" ",20)</f>
        <v/>
      </c>
      <c r="AG271" s="54">
        <f>REPT(" ",18-LEN(FIXED(F271,2,TRUE)))&amp;FIXED(F271,2,TRUE)</f>
        <v/>
      </c>
      <c r="AH271" s="10">
        <f>LEN(AC271)+LEN(AG271)</f>
        <v/>
      </c>
      <c r="AI271" s="10">
        <f>LEN(L271)</f>
        <v/>
      </c>
    </row>
    <row r="272">
      <c r="A272" s="61" t="n"/>
      <c r="B272" s="62" t="n"/>
      <c r="C272" s="62" t="n"/>
      <c r="D272" s="62" t="n"/>
      <c r="E272" s="62" t="n"/>
      <c r="H272" s="61" t="n"/>
      <c r="I272" s="42" t="n"/>
      <c r="J272" s="12">
        <f>IF(F272&lt;&gt;0,"LANÇAR","")</f>
        <v/>
      </c>
      <c r="K272" s="20" t="n"/>
      <c r="L272" s="13">
        <f>N272&amp;O272&amp;P272&amp;Q272&amp;R272&amp;S272&amp;T272&amp;U272&amp;V272&amp;W272&amp;X272&amp;Y272&amp;Z272&amp;AA272&amp;AB272&amp;AC272&amp;AD272&amp;AE272&amp;AF272&amp;AG272</f>
        <v/>
      </c>
      <c r="M272" s="20" t="n"/>
      <c r="N272" s="10">
        <f>TEXT($B$6,"00")</f>
        <v/>
      </c>
      <c r="O272" s="10">
        <f>REPT(" ",8)</f>
        <v/>
      </c>
      <c r="P272" s="10">
        <f>RIGHT($B$4,2)</f>
        <v/>
      </c>
      <c r="Q272" s="10">
        <f>RIGHT($B$5,3)</f>
        <v/>
      </c>
      <c r="R272" s="10">
        <f>IF(A272="D",LEFT(UPPER(B272)&amp;REPT(" ",20),20),REPT(" ",20))</f>
        <v/>
      </c>
      <c r="S272" s="10">
        <f>IF(A272="D",LEFT(UPPER(C272)&amp;REPT(" ",10),10)," ")</f>
        <v/>
      </c>
      <c r="T272" s="10">
        <f>IF(A272="D",LEFT(UPPER(D272)&amp;REPT(" ",2),2)," ")</f>
        <v/>
      </c>
      <c r="U272" s="10">
        <f>IF(A272="D",LEFT(UPPER(E272)&amp;REPT(" ",15),15)," ")</f>
        <v/>
      </c>
      <c r="V272" s="10">
        <f>REPT(" ",24)</f>
        <v/>
      </c>
      <c r="W272" s="10">
        <f>IF(A272="c",LEFT(UPPER(B272)&amp;REPT(" ",20),20),REPT(" ",20))</f>
        <v/>
      </c>
      <c r="X272" s="10">
        <f>IF(A272="C",LEFT(UPPER(C272)&amp;REPT(" ",10),10)," ")</f>
        <v/>
      </c>
      <c r="Y272" s="10">
        <f>IF(A272="C",LEFT(UPPER(D272)&amp;REPT(" ",2),2)," ")</f>
        <v/>
      </c>
      <c r="Z272" s="10">
        <f>IF(A272="C",LEFT(UPPER(E272)&amp;REPT(" ",15),15)," ")</f>
        <v/>
      </c>
      <c r="AA272" s="10">
        <f>REPT(" ",8)</f>
        <v/>
      </c>
      <c r="AB272" s="10">
        <f>REPT(" ",4)</f>
        <v/>
      </c>
      <c r="AC272" s="10">
        <f>LEFT(UPPER(H272)&amp;REPT(" ",250),250)</f>
        <v/>
      </c>
      <c r="AD272" s="10">
        <f>TEXT($G$2,"dd/mm/aaaa")</f>
        <v/>
      </c>
      <c r="AE272" s="10">
        <f>REPT(" ",10)</f>
        <v/>
      </c>
      <c r="AF272" s="10">
        <f>REPT(" ",20)</f>
        <v/>
      </c>
      <c r="AG272" s="54">
        <f>REPT(" ",18-LEN(FIXED(F272,2,TRUE)))&amp;FIXED(F272,2,TRUE)</f>
        <v/>
      </c>
      <c r="AH272" s="10">
        <f>LEN(AC272)+LEN(AG272)</f>
        <v/>
      </c>
      <c r="AI272" s="10">
        <f>LEN(L272)</f>
        <v/>
      </c>
    </row>
    <row r="273">
      <c r="A273" s="61" t="n"/>
      <c r="B273" s="62" t="n"/>
      <c r="C273" s="62" t="n"/>
      <c r="D273" s="62" t="n"/>
      <c r="E273" s="62" t="n"/>
      <c r="H273" s="61" t="n"/>
      <c r="I273" s="42" t="n"/>
      <c r="J273" s="12">
        <f>IF(F273&lt;&gt;0,"LANÇAR","")</f>
        <v/>
      </c>
      <c r="K273" s="20" t="n"/>
      <c r="L273" s="13">
        <f>N273&amp;O273&amp;P273&amp;Q273&amp;R273&amp;S273&amp;T273&amp;U273&amp;V273&amp;W273&amp;X273&amp;Y273&amp;Z273&amp;AA273&amp;AB273&amp;AC273&amp;AD273&amp;AE273&amp;AF273&amp;AG273</f>
        <v/>
      </c>
      <c r="M273" s="20" t="n"/>
      <c r="N273" s="10">
        <f>TEXT($B$6,"00")</f>
        <v/>
      </c>
      <c r="O273" s="10">
        <f>REPT(" ",8)</f>
        <v/>
      </c>
      <c r="P273" s="10">
        <f>RIGHT($B$4,2)</f>
        <v/>
      </c>
      <c r="Q273" s="10">
        <f>RIGHT($B$5,3)</f>
        <v/>
      </c>
      <c r="R273" s="10">
        <f>IF(A273="D",LEFT(UPPER(B273)&amp;REPT(" ",20),20),REPT(" ",20))</f>
        <v/>
      </c>
      <c r="S273" s="10">
        <f>IF(A273="D",LEFT(UPPER(C273)&amp;REPT(" ",10),10)," ")</f>
        <v/>
      </c>
      <c r="T273" s="10">
        <f>IF(A273="D",LEFT(UPPER(D273)&amp;REPT(" ",2),2)," ")</f>
        <v/>
      </c>
      <c r="U273" s="10">
        <f>IF(A273="D",LEFT(UPPER(E273)&amp;REPT(" ",15),15)," ")</f>
        <v/>
      </c>
      <c r="V273" s="10">
        <f>REPT(" ",24)</f>
        <v/>
      </c>
      <c r="W273" s="10">
        <f>IF(A273="c",LEFT(UPPER(B273)&amp;REPT(" ",20),20),REPT(" ",20))</f>
        <v/>
      </c>
      <c r="X273" s="10">
        <f>IF(A273="C",LEFT(UPPER(C273)&amp;REPT(" ",10),10)," ")</f>
        <v/>
      </c>
      <c r="Y273" s="10">
        <f>IF(A273="C",LEFT(UPPER(D273)&amp;REPT(" ",2),2)," ")</f>
        <v/>
      </c>
      <c r="Z273" s="10">
        <f>IF(A273="C",LEFT(UPPER(E273)&amp;REPT(" ",15),15)," ")</f>
        <v/>
      </c>
      <c r="AA273" s="10">
        <f>REPT(" ",8)</f>
        <v/>
      </c>
      <c r="AB273" s="10">
        <f>REPT(" ",4)</f>
        <v/>
      </c>
      <c r="AC273" s="10">
        <f>LEFT(UPPER(H273)&amp;REPT(" ",250),250)</f>
        <v/>
      </c>
      <c r="AD273" s="10">
        <f>TEXT($G$2,"dd/mm/aaaa")</f>
        <v/>
      </c>
      <c r="AE273" s="10">
        <f>REPT(" ",10)</f>
        <v/>
      </c>
      <c r="AF273" s="10">
        <f>REPT(" ",20)</f>
        <v/>
      </c>
      <c r="AG273" s="54">
        <f>REPT(" ",18-LEN(FIXED(F273,2,TRUE)))&amp;FIXED(F273,2,TRUE)</f>
        <v/>
      </c>
      <c r="AH273" s="10">
        <f>LEN(AC273)+LEN(AG273)</f>
        <v/>
      </c>
      <c r="AI273" s="10">
        <f>LEN(L273)</f>
        <v/>
      </c>
    </row>
    <row r="274">
      <c r="A274" s="61" t="n"/>
      <c r="B274" s="62" t="n"/>
      <c r="C274" s="62" t="n"/>
      <c r="D274" s="62" t="n"/>
      <c r="E274" s="62" t="n"/>
      <c r="H274" s="61" t="n"/>
      <c r="I274" s="42" t="n"/>
      <c r="J274" s="12">
        <f>IF(F274&lt;&gt;0,"LANÇAR","")</f>
        <v/>
      </c>
      <c r="K274" s="20" t="n"/>
      <c r="L274" s="13">
        <f>N274&amp;O274&amp;P274&amp;Q274&amp;R274&amp;S274&amp;T274&amp;U274&amp;V274&amp;W274&amp;X274&amp;Y274&amp;Z274&amp;AA274&amp;AB274&amp;AC274&amp;AD274&amp;AE274&amp;AF274&amp;AG274</f>
        <v/>
      </c>
      <c r="M274" s="20" t="n"/>
      <c r="N274" s="10">
        <f>TEXT($B$6,"00")</f>
        <v/>
      </c>
      <c r="O274" s="10">
        <f>REPT(" ",8)</f>
        <v/>
      </c>
      <c r="P274" s="10">
        <f>RIGHT($B$4,2)</f>
        <v/>
      </c>
      <c r="Q274" s="10">
        <f>RIGHT($B$5,3)</f>
        <v/>
      </c>
      <c r="R274" s="10">
        <f>IF(A274="D",LEFT(UPPER(B274)&amp;REPT(" ",20),20),REPT(" ",20))</f>
        <v/>
      </c>
      <c r="S274" s="10">
        <f>IF(A274="D",LEFT(UPPER(C274)&amp;REPT(" ",10),10)," ")</f>
        <v/>
      </c>
      <c r="T274" s="10">
        <f>IF(A274="D",LEFT(UPPER(D274)&amp;REPT(" ",2),2)," ")</f>
        <v/>
      </c>
      <c r="U274" s="10">
        <f>IF(A274="D",LEFT(UPPER(E274)&amp;REPT(" ",15),15)," ")</f>
        <v/>
      </c>
      <c r="V274" s="10">
        <f>REPT(" ",24)</f>
        <v/>
      </c>
      <c r="W274" s="10">
        <f>IF(A274="c",LEFT(UPPER(B274)&amp;REPT(" ",20),20),REPT(" ",20))</f>
        <v/>
      </c>
      <c r="X274" s="10">
        <f>IF(A274="C",LEFT(UPPER(C274)&amp;REPT(" ",10),10)," ")</f>
        <v/>
      </c>
      <c r="Y274" s="10">
        <f>IF(A274="C",LEFT(UPPER(D274)&amp;REPT(" ",2),2)," ")</f>
        <v/>
      </c>
      <c r="Z274" s="10">
        <f>IF(A274="C",LEFT(UPPER(E274)&amp;REPT(" ",15),15)," ")</f>
        <v/>
      </c>
      <c r="AA274" s="10">
        <f>REPT(" ",8)</f>
        <v/>
      </c>
      <c r="AB274" s="10">
        <f>REPT(" ",4)</f>
        <v/>
      </c>
      <c r="AC274" s="10">
        <f>LEFT(UPPER(H274)&amp;REPT(" ",250),250)</f>
        <v/>
      </c>
      <c r="AD274" s="10">
        <f>TEXT($G$2,"dd/mm/aaaa")</f>
        <v/>
      </c>
      <c r="AE274" s="10">
        <f>REPT(" ",10)</f>
        <v/>
      </c>
      <c r="AF274" s="10">
        <f>REPT(" ",20)</f>
        <v/>
      </c>
      <c r="AG274" s="54">
        <f>REPT(" ",18-LEN(FIXED(F274,2,TRUE)))&amp;FIXED(F274,2,TRUE)</f>
        <v/>
      </c>
      <c r="AH274" s="10">
        <f>LEN(AC274)+LEN(AG274)</f>
        <v/>
      </c>
      <c r="AI274" s="10">
        <f>LEN(L274)</f>
        <v/>
      </c>
    </row>
    <row r="275">
      <c r="A275" s="61" t="n"/>
      <c r="B275" s="62" t="n"/>
      <c r="C275" s="62" t="n"/>
      <c r="D275" s="62" t="n"/>
      <c r="E275" s="62" t="n"/>
      <c r="H275" s="61" t="n"/>
      <c r="I275" s="42" t="n"/>
      <c r="J275" s="12">
        <f>IF(F275&lt;&gt;0,"LANÇAR","")</f>
        <v/>
      </c>
      <c r="K275" s="20" t="n"/>
      <c r="L275" s="13">
        <f>N275&amp;O275&amp;P275&amp;Q275&amp;R275&amp;S275&amp;T275&amp;U275&amp;V275&amp;W275&amp;X275&amp;Y275&amp;Z275&amp;AA275&amp;AB275&amp;AC275&amp;AD275&amp;AE275&amp;AF275&amp;AG275</f>
        <v/>
      </c>
      <c r="M275" s="20" t="n"/>
      <c r="N275" s="10">
        <f>TEXT($B$6,"00")</f>
        <v/>
      </c>
      <c r="O275" s="10">
        <f>REPT(" ",8)</f>
        <v/>
      </c>
      <c r="P275" s="10">
        <f>RIGHT($B$4,2)</f>
        <v/>
      </c>
      <c r="Q275" s="10">
        <f>RIGHT($B$5,3)</f>
        <v/>
      </c>
      <c r="R275" s="10">
        <f>IF(A275="D",LEFT(UPPER(B275)&amp;REPT(" ",20),20),REPT(" ",20))</f>
        <v/>
      </c>
      <c r="S275" s="10">
        <f>IF(A275="D",LEFT(UPPER(C275)&amp;REPT(" ",10),10)," ")</f>
        <v/>
      </c>
      <c r="T275" s="10">
        <f>IF(A275="D",LEFT(UPPER(D275)&amp;REPT(" ",2),2)," ")</f>
        <v/>
      </c>
      <c r="U275" s="10">
        <f>IF(A275="D",LEFT(UPPER(E275)&amp;REPT(" ",15),15)," ")</f>
        <v/>
      </c>
      <c r="V275" s="10">
        <f>REPT(" ",24)</f>
        <v/>
      </c>
      <c r="W275" s="10">
        <f>IF(A275="c",LEFT(UPPER(B275)&amp;REPT(" ",20),20),REPT(" ",20))</f>
        <v/>
      </c>
      <c r="X275" s="10">
        <f>IF(A275="C",LEFT(UPPER(C275)&amp;REPT(" ",10),10)," ")</f>
        <v/>
      </c>
      <c r="Y275" s="10">
        <f>IF(A275="C",LEFT(UPPER(D275)&amp;REPT(" ",2),2)," ")</f>
        <v/>
      </c>
      <c r="Z275" s="10">
        <f>IF(A275="C",LEFT(UPPER(E275)&amp;REPT(" ",15),15)," ")</f>
        <v/>
      </c>
      <c r="AA275" s="10">
        <f>REPT(" ",8)</f>
        <v/>
      </c>
      <c r="AB275" s="10">
        <f>REPT(" ",4)</f>
        <v/>
      </c>
      <c r="AC275" s="10">
        <f>LEFT(UPPER(H275)&amp;REPT(" ",250),250)</f>
        <v/>
      </c>
      <c r="AD275" s="10">
        <f>TEXT($G$2,"dd/mm/aaaa")</f>
        <v/>
      </c>
      <c r="AE275" s="10">
        <f>REPT(" ",10)</f>
        <v/>
      </c>
      <c r="AF275" s="10">
        <f>REPT(" ",20)</f>
        <v/>
      </c>
      <c r="AG275" s="54">
        <f>REPT(" ",18-LEN(FIXED(F275,2,TRUE)))&amp;FIXED(F275,2,TRUE)</f>
        <v/>
      </c>
      <c r="AH275" s="10">
        <f>LEN(AC275)+LEN(AG275)</f>
        <v/>
      </c>
      <c r="AI275" s="10">
        <f>LEN(L275)</f>
        <v/>
      </c>
    </row>
    <row r="276">
      <c r="A276" s="61" t="n"/>
      <c r="B276" s="62" t="n"/>
      <c r="C276" s="62" t="n"/>
      <c r="D276" s="62" t="n"/>
      <c r="E276" s="62" t="n"/>
      <c r="H276" s="61" t="n"/>
      <c r="I276" s="42" t="n"/>
      <c r="J276" s="12">
        <f>IF(F276&lt;&gt;0,"LANÇAR","")</f>
        <v/>
      </c>
      <c r="K276" s="20" t="n"/>
      <c r="L276" s="13">
        <f>N276&amp;O276&amp;P276&amp;Q276&amp;R276&amp;S276&amp;T276&amp;U276&amp;V276&amp;W276&amp;X276&amp;Y276&amp;Z276&amp;AA276&amp;AB276&amp;AC276&amp;AD276&amp;AE276&amp;AF276&amp;AG276</f>
        <v/>
      </c>
      <c r="M276" s="20" t="n"/>
      <c r="N276" s="10">
        <f>TEXT($B$6,"00")</f>
        <v/>
      </c>
      <c r="O276" s="10">
        <f>REPT(" ",8)</f>
        <v/>
      </c>
      <c r="P276" s="10">
        <f>RIGHT($B$4,2)</f>
        <v/>
      </c>
      <c r="Q276" s="10">
        <f>RIGHT($B$5,3)</f>
        <v/>
      </c>
      <c r="R276" s="10">
        <f>IF(A276="D",LEFT(UPPER(B276)&amp;REPT(" ",20),20),REPT(" ",20))</f>
        <v/>
      </c>
      <c r="S276" s="10">
        <f>IF(A276="D",LEFT(UPPER(C276)&amp;REPT(" ",10),10)," ")</f>
        <v/>
      </c>
      <c r="T276" s="10">
        <f>IF(A276="D",LEFT(UPPER(D276)&amp;REPT(" ",2),2)," ")</f>
        <v/>
      </c>
      <c r="U276" s="10">
        <f>IF(A276="D",LEFT(UPPER(E276)&amp;REPT(" ",15),15)," ")</f>
        <v/>
      </c>
      <c r="V276" s="10">
        <f>REPT(" ",24)</f>
        <v/>
      </c>
      <c r="W276" s="10">
        <f>IF(A276="c",LEFT(UPPER(B276)&amp;REPT(" ",20),20),REPT(" ",20))</f>
        <v/>
      </c>
      <c r="X276" s="10">
        <f>IF(A276="C",LEFT(UPPER(C276)&amp;REPT(" ",10),10)," ")</f>
        <v/>
      </c>
      <c r="Y276" s="10">
        <f>IF(A276="C",LEFT(UPPER(D276)&amp;REPT(" ",2),2)," ")</f>
        <v/>
      </c>
      <c r="Z276" s="10">
        <f>IF(A276="C",LEFT(UPPER(E276)&amp;REPT(" ",15),15)," ")</f>
        <v/>
      </c>
      <c r="AA276" s="10">
        <f>REPT(" ",8)</f>
        <v/>
      </c>
      <c r="AB276" s="10">
        <f>REPT(" ",4)</f>
        <v/>
      </c>
      <c r="AC276" s="10">
        <f>LEFT(UPPER(H276)&amp;REPT(" ",250),250)</f>
        <v/>
      </c>
      <c r="AD276" s="10">
        <f>TEXT($G$2,"dd/mm/aaaa")</f>
        <v/>
      </c>
      <c r="AE276" s="10">
        <f>REPT(" ",10)</f>
        <v/>
      </c>
      <c r="AF276" s="10">
        <f>REPT(" ",20)</f>
        <v/>
      </c>
      <c r="AG276" s="54">
        <f>REPT(" ",18-LEN(FIXED(F276,2,TRUE)))&amp;FIXED(F276,2,TRUE)</f>
        <v/>
      </c>
      <c r="AH276" s="10">
        <f>LEN(AC276)+LEN(AG276)</f>
        <v/>
      </c>
      <c r="AI276" s="10">
        <f>LEN(L276)</f>
        <v/>
      </c>
    </row>
    <row r="277">
      <c r="A277" s="61" t="n"/>
      <c r="B277" s="62" t="n"/>
      <c r="C277" s="62" t="n"/>
      <c r="D277" s="62" t="n"/>
      <c r="E277" s="62" t="n"/>
      <c r="H277" s="61" t="n"/>
      <c r="I277" s="42" t="n"/>
      <c r="J277" s="12">
        <f>IF(F277&lt;&gt;0,"LANÇAR","")</f>
        <v/>
      </c>
      <c r="K277" s="20" t="n"/>
      <c r="L277" s="13">
        <f>N277&amp;O277&amp;P277&amp;Q277&amp;R277&amp;S277&amp;T277&amp;U277&amp;V277&amp;W277&amp;X277&amp;Y277&amp;Z277&amp;AA277&amp;AB277&amp;AC277&amp;AD277&amp;AE277&amp;AF277&amp;AG277</f>
        <v/>
      </c>
      <c r="M277" s="20" t="n"/>
      <c r="N277" s="10">
        <f>TEXT($B$6,"00")</f>
        <v/>
      </c>
      <c r="O277" s="10">
        <f>REPT(" ",8)</f>
        <v/>
      </c>
      <c r="P277" s="10">
        <f>RIGHT($B$4,2)</f>
        <v/>
      </c>
      <c r="Q277" s="10">
        <f>RIGHT($B$5,3)</f>
        <v/>
      </c>
      <c r="R277" s="10">
        <f>IF(A277="D",LEFT(UPPER(B277)&amp;REPT(" ",20),20),REPT(" ",20))</f>
        <v/>
      </c>
      <c r="S277" s="10">
        <f>IF(A277="D",LEFT(UPPER(C277)&amp;REPT(" ",10),10)," ")</f>
        <v/>
      </c>
      <c r="T277" s="10">
        <f>IF(A277="D",LEFT(UPPER(D277)&amp;REPT(" ",2),2)," ")</f>
        <v/>
      </c>
      <c r="U277" s="10">
        <f>IF(A277="D",LEFT(UPPER(E277)&amp;REPT(" ",15),15)," ")</f>
        <v/>
      </c>
      <c r="V277" s="10">
        <f>REPT(" ",24)</f>
        <v/>
      </c>
      <c r="W277" s="10">
        <f>IF(A277="c",LEFT(UPPER(B277)&amp;REPT(" ",20),20),REPT(" ",20))</f>
        <v/>
      </c>
      <c r="X277" s="10">
        <f>IF(A277="C",LEFT(UPPER(C277)&amp;REPT(" ",10),10)," ")</f>
        <v/>
      </c>
      <c r="Y277" s="10">
        <f>IF(A277="C",LEFT(UPPER(D277)&amp;REPT(" ",2),2)," ")</f>
        <v/>
      </c>
      <c r="Z277" s="10">
        <f>IF(A277="C",LEFT(UPPER(E277)&amp;REPT(" ",15),15)," ")</f>
        <v/>
      </c>
      <c r="AA277" s="10">
        <f>REPT(" ",8)</f>
        <v/>
      </c>
      <c r="AB277" s="10">
        <f>REPT(" ",4)</f>
        <v/>
      </c>
      <c r="AC277" s="10">
        <f>LEFT(UPPER(H277)&amp;REPT(" ",250),250)</f>
        <v/>
      </c>
      <c r="AD277" s="10">
        <f>TEXT($G$2,"dd/mm/aaaa")</f>
        <v/>
      </c>
      <c r="AE277" s="10">
        <f>REPT(" ",10)</f>
        <v/>
      </c>
      <c r="AF277" s="10">
        <f>REPT(" ",20)</f>
        <v/>
      </c>
      <c r="AG277" s="54">
        <f>REPT(" ",18-LEN(FIXED(F277,2,TRUE)))&amp;FIXED(F277,2,TRUE)</f>
        <v/>
      </c>
      <c r="AH277" s="10">
        <f>LEN(AC277)+LEN(AG277)</f>
        <v/>
      </c>
      <c r="AI277" s="10">
        <f>LEN(L277)</f>
        <v/>
      </c>
    </row>
    <row r="278">
      <c r="A278" s="61" t="n"/>
      <c r="B278" s="62" t="n"/>
      <c r="C278" s="62" t="n"/>
      <c r="D278" s="62" t="n"/>
      <c r="E278" s="62" t="n"/>
      <c r="H278" s="61" t="n"/>
      <c r="I278" s="42" t="n"/>
      <c r="J278" s="12">
        <f>IF(F278&lt;&gt;0,"LANÇAR","")</f>
        <v/>
      </c>
      <c r="K278" s="20" t="n"/>
      <c r="L278" s="13">
        <f>N278&amp;O278&amp;P278&amp;Q278&amp;R278&amp;S278&amp;T278&amp;U278&amp;V278&amp;W278&amp;X278&amp;Y278&amp;Z278&amp;AA278&amp;AB278&amp;AC278&amp;AD278&amp;AE278&amp;AF278&amp;AG278</f>
        <v/>
      </c>
      <c r="M278" s="20" t="n"/>
      <c r="N278" s="10">
        <f>TEXT($B$6,"00")</f>
        <v/>
      </c>
      <c r="O278" s="10">
        <f>REPT(" ",8)</f>
        <v/>
      </c>
      <c r="P278" s="10">
        <f>RIGHT($B$4,2)</f>
        <v/>
      </c>
      <c r="Q278" s="10">
        <f>RIGHT($B$5,3)</f>
        <v/>
      </c>
      <c r="R278" s="10">
        <f>IF(A278="D",LEFT(UPPER(B278)&amp;REPT(" ",20),20),REPT(" ",20))</f>
        <v/>
      </c>
      <c r="S278" s="10">
        <f>IF(A278="D",LEFT(UPPER(C278)&amp;REPT(" ",10),10)," ")</f>
        <v/>
      </c>
      <c r="T278" s="10">
        <f>IF(A278="D",LEFT(UPPER(D278)&amp;REPT(" ",2),2)," ")</f>
        <v/>
      </c>
      <c r="U278" s="10">
        <f>IF(A278="D",LEFT(UPPER(E278)&amp;REPT(" ",15),15)," ")</f>
        <v/>
      </c>
      <c r="V278" s="10">
        <f>REPT(" ",24)</f>
        <v/>
      </c>
      <c r="W278" s="10">
        <f>IF(A278="c",LEFT(UPPER(B278)&amp;REPT(" ",20),20),REPT(" ",20))</f>
        <v/>
      </c>
      <c r="X278" s="10">
        <f>IF(A278="C",LEFT(UPPER(C278)&amp;REPT(" ",10),10)," ")</f>
        <v/>
      </c>
      <c r="Y278" s="10">
        <f>IF(A278="C",LEFT(UPPER(D278)&amp;REPT(" ",2),2)," ")</f>
        <v/>
      </c>
      <c r="Z278" s="10">
        <f>IF(A278="C",LEFT(UPPER(E278)&amp;REPT(" ",15),15)," ")</f>
        <v/>
      </c>
      <c r="AA278" s="10">
        <f>REPT(" ",8)</f>
        <v/>
      </c>
      <c r="AB278" s="10">
        <f>REPT(" ",4)</f>
        <v/>
      </c>
      <c r="AC278" s="10">
        <f>LEFT(UPPER(H278)&amp;REPT(" ",250),250)</f>
        <v/>
      </c>
      <c r="AD278" s="10">
        <f>TEXT($G$2,"dd/mm/aaaa")</f>
        <v/>
      </c>
      <c r="AE278" s="10">
        <f>REPT(" ",10)</f>
        <v/>
      </c>
      <c r="AF278" s="10">
        <f>REPT(" ",20)</f>
        <v/>
      </c>
      <c r="AG278" s="54">
        <f>REPT(" ",18-LEN(FIXED(F278,2,TRUE)))&amp;FIXED(F278,2,TRUE)</f>
        <v/>
      </c>
      <c r="AH278" s="10">
        <f>LEN(AC278)+LEN(AG278)</f>
        <v/>
      </c>
      <c r="AI278" s="10">
        <f>LEN(L278)</f>
        <v/>
      </c>
    </row>
    <row r="279">
      <c r="A279" s="61" t="n"/>
      <c r="B279" s="62" t="n"/>
      <c r="C279" s="62" t="n"/>
      <c r="D279" s="62" t="n"/>
      <c r="E279" s="62" t="n"/>
      <c r="H279" s="61" t="n"/>
      <c r="I279" s="42" t="n"/>
      <c r="J279" s="12">
        <f>IF(F279&lt;&gt;0,"LANÇAR","")</f>
        <v/>
      </c>
      <c r="K279" s="20" t="n"/>
      <c r="L279" s="13">
        <f>N279&amp;O279&amp;P279&amp;Q279&amp;R279&amp;S279&amp;T279&amp;U279&amp;V279&amp;W279&amp;X279&amp;Y279&amp;Z279&amp;AA279&amp;AB279&amp;AC279&amp;AD279&amp;AE279&amp;AF279&amp;AG279</f>
        <v/>
      </c>
      <c r="M279" s="20" t="n"/>
      <c r="N279" s="10">
        <f>TEXT($B$6,"00")</f>
        <v/>
      </c>
      <c r="O279" s="10">
        <f>REPT(" ",8)</f>
        <v/>
      </c>
      <c r="P279" s="10">
        <f>RIGHT($B$4,2)</f>
        <v/>
      </c>
      <c r="Q279" s="10">
        <f>RIGHT($B$5,3)</f>
        <v/>
      </c>
      <c r="R279" s="10">
        <f>IF(A279="D",LEFT(UPPER(B279)&amp;REPT(" ",20),20),REPT(" ",20))</f>
        <v/>
      </c>
      <c r="S279" s="10">
        <f>IF(A279="D",LEFT(UPPER(C279)&amp;REPT(" ",10),10)," ")</f>
        <v/>
      </c>
      <c r="T279" s="10">
        <f>IF(A279="D",LEFT(UPPER(D279)&amp;REPT(" ",2),2)," ")</f>
        <v/>
      </c>
      <c r="U279" s="10">
        <f>IF(A279="D",LEFT(UPPER(E279)&amp;REPT(" ",15),15)," ")</f>
        <v/>
      </c>
      <c r="V279" s="10">
        <f>REPT(" ",24)</f>
        <v/>
      </c>
      <c r="W279" s="10">
        <f>IF(A279="c",LEFT(UPPER(B279)&amp;REPT(" ",20),20),REPT(" ",20))</f>
        <v/>
      </c>
      <c r="X279" s="10">
        <f>IF(A279="C",LEFT(UPPER(C279)&amp;REPT(" ",10),10)," ")</f>
        <v/>
      </c>
      <c r="Y279" s="10">
        <f>IF(A279="C",LEFT(UPPER(D279)&amp;REPT(" ",2),2)," ")</f>
        <v/>
      </c>
      <c r="Z279" s="10">
        <f>IF(A279="C",LEFT(UPPER(E279)&amp;REPT(" ",15),15)," ")</f>
        <v/>
      </c>
      <c r="AA279" s="10">
        <f>REPT(" ",8)</f>
        <v/>
      </c>
      <c r="AB279" s="10">
        <f>REPT(" ",4)</f>
        <v/>
      </c>
      <c r="AC279" s="10">
        <f>LEFT(UPPER(H279)&amp;REPT(" ",250),250)</f>
        <v/>
      </c>
      <c r="AD279" s="10">
        <f>TEXT($G$2,"dd/mm/aaaa")</f>
        <v/>
      </c>
      <c r="AE279" s="10">
        <f>REPT(" ",10)</f>
        <v/>
      </c>
      <c r="AF279" s="10">
        <f>REPT(" ",20)</f>
        <v/>
      </c>
      <c r="AG279" s="54">
        <f>REPT(" ",18-LEN(FIXED(F279,2,TRUE)))&amp;FIXED(F279,2,TRUE)</f>
        <v/>
      </c>
      <c r="AH279" s="10">
        <f>LEN(AC279)+LEN(AG279)</f>
        <v/>
      </c>
      <c r="AI279" s="10">
        <f>LEN(L279)</f>
        <v/>
      </c>
    </row>
    <row r="280">
      <c r="A280" s="61" t="n"/>
      <c r="B280" s="62" t="n"/>
      <c r="C280" s="62" t="n"/>
      <c r="D280" s="62" t="n"/>
      <c r="E280" s="62" t="n"/>
      <c r="H280" s="61" t="n"/>
      <c r="I280" s="42" t="n"/>
      <c r="J280" s="12">
        <f>IF(F280&lt;&gt;0,"LANÇAR","")</f>
        <v/>
      </c>
      <c r="K280" s="20" t="n"/>
      <c r="L280" s="13">
        <f>N280&amp;O280&amp;P280&amp;Q280&amp;R280&amp;S280&amp;T280&amp;U280&amp;V280&amp;W280&amp;X280&amp;Y280&amp;Z280&amp;AA280&amp;AB280&amp;AC280&amp;AD280&amp;AE280&amp;AF280&amp;AG280</f>
        <v/>
      </c>
      <c r="M280" s="20" t="n"/>
      <c r="N280" s="10">
        <f>TEXT($B$6,"00")</f>
        <v/>
      </c>
      <c r="O280" s="10">
        <f>REPT(" ",8)</f>
        <v/>
      </c>
      <c r="P280" s="10">
        <f>RIGHT($B$4,2)</f>
        <v/>
      </c>
      <c r="Q280" s="10">
        <f>RIGHT($B$5,3)</f>
        <v/>
      </c>
      <c r="R280" s="10">
        <f>IF(A280="D",LEFT(UPPER(B280)&amp;REPT(" ",20),20),REPT(" ",20))</f>
        <v/>
      </c>
      <c r="S280" s="10">
        <f>IF(A280="D",LEFT(UPPER(C280)&amp;REPT(" ",10),10)," ")</f>
        <v/>
      </c>
      <c r="T280" s="10">
        <f>IF(A280="D",LEFT(UPPER(D280)&amp;REPT(" ",2),2)," ")</f>
        <v/>
      </c>
      <c r="U280" s="10">
        <f>IF(A280="D",LEFT(UPPER(E280)&amp;REPT(" ",15),15)," ")</f>
        <v/>
      </c>
      <c r="V280" s="10">
        <f>REPT(" ",24)</f>
        <v/>
      </c>
      <c r="W280" s="10">
        <f>IF(A280="c",LEFT(UPPER(B280)&amp;REPT(" ",20),20),REPT(" ",20))</f>
        <v/>
      </c>
      <c r="X280" s="10">
        <f>IF(A280="C",LEFT(UPPER(C280)&amp;REPT(" ",10),10)," ")</f>
        <v/>
      </c>
      <c r="Y280" s="10">
        <f>IF(A280="C",LEFT(UPPER(D280)&amp;REPT(" ",2),2)," ")</f>
        <v/>
      </c>
      <c r="Z280" s="10">
        <f>IF(A280="C",LEFT(UPPER(E280)&amp;REPT(" ",15),15)," ")</f>
        <v/>
      </c>
      <c r="AA280" s="10">
        <f>REPT(" ",8)</f>
        <v/>
      </c>
      <c r="AB280" s="10">
        <f>REPT(" ",4)</f>
        <v/>
      </c>
      <c r="AC280" s="10">
        <f>LEFT(UPPER(H280)&amp;REPT(" ",250),250)</f>
        <v/>
      </c>
      <c r="AD280" s="10">
        <f>TEXT($G$2,"dd/mm/aaaa")</f>
        <v/>
      </c>
      <c r="AE280" s="10">
        <f>REPT(" ",10)</f>
        <v/>
      </c>
      <c r="AF280" s="10">
        <f>REPT(" ",20)</f>
        <v/>
      </c>
      <c r="AG280" s="54">
        <f>REPT(" ",18-LEN(FIXED(F280,2,TRUE)))&amp;FIXED(F280,2,TRUE)</f>
        <v/>
      </c>
      <c r="AH280" s="10">
        <f>LEN(AC280)+LEN(AG280)</f>
        <v/>
      </c>
      <c r="AI280" s="10">
        <f>LEN(L280)</f>
        <v/>
      </c>
    </row>
    <row r="281">
      <c r="A281" s="61" t="n"/>
      <c r="B281" s="62" t="n"/>
      <c r="C281" s="62" t="n"/>
      <c r="D281" s="62" t="n"/>
      <c r="E281" s="62" t="n"/>
      <c r="H281" s="61" t="n"/>
      <c r="I281" s="42" t="n"/>
      <c r="J281" s="12">
        <f>IF(F281&lt;&gt;0,"LANÇAR","")</f>
        <v/>
      </c>
      <c r="K281" s="20" t="n"/>
      <c r="L281" s="13">
        <f>N281&amp;O281&amp;P281&amp;Q281&amp;R281&amp;S281&amp;T281&amp;U281&amp;V281&amp;W281&amp;X281&amp;Y281&amp;Z281&amp;AA281&amp;AB281&amp;AC281&amp;AD281&amp;AE281&amp;AF281&amp;AG281</f>
        <v/>
      </c>
      <c r="M281" s="20" t="n"/>
      <c r="N281" s="10">
        <f>TEXT($B$6,"00")</f>
        <v/>
      </c>
      <c r="O281" s="10">
        <f>REPT(" ",8)</f>
        <v/>
      </c>
      <c r="P281" s="10">
        <f>RIGHT($B$4,2)</f>
        <v/>
      </c>
      <c r="Q281" s="10">
        <f>RIGHT($B$5,3)</f>
        <v/>
      </c>
      <c r="R281" s="10">
        <f>IF(A281="D",LEFT(UPPER(B281)&amp;REPT(" ",20),20),REPT(" ",20))</f>
        <v/>
      </c>
      <c r="S281" s="10">
        <f>IF(A281="D",LEFT(UPPER(C281)&amp;REPT(" ",10),10)," ")</f>
        <v/>
      </c>
      <c r="T281" s="10">
        <f>IF(A281="D",LEFT(UPPER(D281)&amp;REPT(" ",2),2)," ")</f>
        <v/>
      </c>
      <c r="U281" s="10">
        <f>IF(A281="D",LEFT(UPPER(E281)&amp;REPT(" ",15),15)," ")</f>
        <v/>
      </c>
      <c r="V281" s="10">
        <f>REPT(" ",24)</f>
        <v/>
      </c>
      <c r="W281" s="10">
        <f>IF(A281="c",LEFT(UPPER(B281)&amp;REPT(" ",20),20),REPT(" ",20))</f>
        <v/>
      </c>
      <c r="X281" s="10">
        <f>IF(A281="C",LEFT(UPPER(C281)&amp;REPT(" ",10),10)," ")</f>
        <v/>
      </c>
      <c r="Y281" s="10">
        <f>IF(A281="C",LEFT(UPPER(D281)&amp;REPT(" ",2),2)," ")</f>
        <v/>
      </c>
      <c r="Z281" s="10">
        <f>IF(A281="C",LEFT(UPPER(E281)&amp;REPT(" ",15),15)," ")</f>
        <v/>
      </c>
      <c r="AA281" s="10">
        <f>REPT(" ",8)</f>
        <v/>
      </c>
      <c r="AB281" s="10">
        <f>REPT(" ",4)</f>
        <v/>
      </c>
      <c r="AC281" s="10">
        <f>LEFT(UPPER(H281)&amp;REPT(" ",250),250)</f>
        <v/>
      </c>
      <c r="AD281" s="10">
        <f>TEXT($G$2,"dd/mm/aaaa")</f>
        <v/>
      </c>
      <c r="AE281" s="10">
        <f>REPT(" ",10)</f>
        <v/>
      </c>
      <c r="AF281" s="10">
        <f>REPT(" ",20)</f>
        <v/>
      </c>
      <c r="AG281" s="54">
        <f>REPT(" ",18-LEN(FIXED(F281,2,TRUE)))&amp;FIXED(F281,2,TRUE)</f>
        <v/>
      </c>
      <c r="AH281" s="10">
        <f>LEN(AC281)+LEN(AG281)</f>
        <v/>
      </c>
      <c r="AI281" s="10">
        <f>LEN(L281)</f>
        <v/>
      </c>
    </row>
    <row r="282">
      <c r="A282" s="61" t="n"/>
      <c r="B282" s="62" t="n"/>
      <c r="C282" s="62" t="n"/>
      <c r="D282" s="62" t="n"/>
      <c r="E282" s="62" t="n"/>
      <c r="H282" s="61" t="n"/>
      <c r="I282" s="42" t="n"/>
      <c r="J282" s="12">
        <f>IF(F282&lt;&gt;0,"LANÇAR","")</f>
        <v/>
      </c>
      <c r="K282" s="20" t="n"/>
      <c r="L282" s="13">
        <f>N282&amp;O282&amp;P282&amp;Q282&amp;R282&amp;S282&amp;T282&amp;U282&amp;V282&amp;W282&amp;X282&amp;Y282&amp;Z282&amp;AA282&amp;AB282&amp;AC282&amp;AD282&amp;AE282&amp;AF282&amp;AG282</f>
        <v/>
      </c>
      <c r="M282" s="20" t="n"/>
      <c r="N282" s="10">
        <f>TEXT($B$6,"00")</f>
        <v/>
      </c>
      <c r="O282" s="10">
        <f>REPT(" ",8)</f>
        <v/>
      </c>
      <c r="P282" s="10">
        <f>RIGHT($B$4,2)</f>
        <v/>
      </c>
      <c r="Q282" s="10">
        <f>RIGHT($B$5,3)</f>
        <v/>
      </c>
      <c r="R282" s="10">
        <f>IF(A282="D",LEFT(UPPER(B282)&amp;REPT(" ",20),20),REPT(" ",20))</f>
        <v/>
      </c>
      <c r="S282" s="10">
        <f>IF(A282="D",LEFT(UPPER(C282)&amp;REPT(" ",10),10)," ")</f>
        <v/>
      </c>
      <c r="T282" s="10">
        <f>IF(A282="D",LEFT(UPPER(D282)&amp;REPT(" ",2),2)," ")</f>
        <v/>
      </c>
      <c r="U282" s="10">
        <f>IF(A282="D",LEFT(UPPER(E282)&amp;REPT(" ",15),15)," ")</f>
        <v/>
      </c>
      <c r="V282" s="10">
        <f>REPT(" ",24)</f>
        <v/>
      </c>
      <c r="W282" s="10">
        <f>IF(A282="c",LEFT(UPPER(B282)&amp;REPT(" ",20),20),REPT(" ",20))</f>
        <v/>
      </c>
      <c r="X282" s="10">
        <f>IF(A282="C",LEFT(UPPER(C282)&amp;REPT(" ",10),10)," ")</f>
        <v/>
      </c>
      <c r="Y282" s="10">
        <f>IF(A282="C",LEFT(UPPER(D282)&amp;REPT(" ",2),2)," ")</f>
        <v/>
      </c>
      <c r="Z282" s="10">
        <f>IF(A282="C",LEFT(UPPER(E282)&amp;REPT(" ",15),15)," ")</f>
        <v/>
      </c>
      <c r="AA282" s="10">
        <f>REPT(" ",8)</f>
        <v/>
      </c>
      <c r="AB282" s="10">
        <f>REPT(" ",4)</f>
        <v/>
      </c>
      <c r="AC282" s="10">
        <f>LEFT(UPPER(H282)&amp;REPT(" ",250),250)</f>
        <v/>
      </c>
      <c r="AD282" s="10">
        <f>TEXT($G$2,"dd/mm/aaaa")</f>
        <v/>
      </c>
      <c r="AE282" s="10">
        <f>REPT(" ",10)</f>
        <v/>
      </c>
      <c r="AF282" s="10">
        <f>REPT(" ",20)</f>
        <v/>
      </c>
      <c r="AG282" s="54">
        <f>REPT(" ",18-LEN(FIXED(F282,2,TRUE)))&amp;FIXED(F282,2,TRUE)</f>
        <v/>
      </c>
      <c r="AH282" s="10">
        <f>LEN(AC282)+LEN(AG282)</f>
        <v/>
      </c>
      <c r="AI282" s="10">
        <f>LEN(L282)</f>
        <v/>
      </c>
    </row>
    <row r="283">
      <c r="A283" s="61" t="n"/>
      <c r="B283" s="62" t="n"/>
      <c r="C283" s="62" t="n"/>
      <c r="D283" s="62" t="n"/>
      <c r="E283" s="62" t="n"/>
      <c r="H283" s="61" t="n"/>
      <c r="I283" s="42" t="n"/>
      <c r="J283" s="12">
        <f>IF(F283&lt;&gt;0,"LANÇAR","")</f>
        <v/>
      </c>
      <c r="K283" s="20" t="n"/>
      <c r="L283" s="13">
        <f>N283&amp;O283&amp;P283&amp;Q283&amp;R283&amp;S283&amp;T283&amp;U283&amp;V283&amp;W283&amp;X283&amp;Y283&amp;Z283&amp;AA283&amp;AB283&amp;AC283&amp;AD283&amp;AE283&amp;AF283&amp;AG283</f>
        <v/>
      </c>
      <c r="M283" s="20" t="n"/>
      <c r="N283" s="10">
        <f>TEXT($B$6,"00")</f>
        <v/>
      </c>
      <c r="O283" s="10">
        <f>REPT(" ",8)</f>
        <v/>
      </c>
      <c r="P283" s="10">
        <f>RIGHT($B$4,2)</f>
        <v/>
      </c>
      <c r="Q283" s="10">
        <f>RIGHT($B$5,3)</f>
        <v/>
      </c>
      <c r="R283" s="10">
        <f>IF(A283="D",LEFT(UPPER(B283)&amp;REPT(" ",20),20),REPT(" ",20))</f>
        <v/>
      </c>
      <c r="S283" s="10">
        <f>IF(A283="D",LEFT(UPPER(C283)&amp;REPT(" ",10),10)," ")</f>
        <v/>
      </c>
      <c r="T283" s="10">
        <f>IF(A283="D",LEFT(UPPER(D283)&amp;REPT(" ",2),2)," ")</f>
        <v/>
      </c>
      <c r="U283" s="10">
        <f>IF(A283="D",LEFT(UPPER(E283)&amp;REPT(" ",15),15)," ")</f>
        <v/>
      </c>
      <c r="V283" s="10">
        <f>REPT(" ",24)</f>
        <v/>
      </c>
      <c r="W283" s="10">
        <f>IF(A283="c",LEFT(UPPER(B283)&amp;REPT(" ",20),20),REPT(" ",20))</f>
        <v/>
      </c>
      <c r="X283" s="10">
        <f>IF(A283="C",LEFT(UPPER(C283)&amp;REPT(" ",10),10)," ")</f>
        <v/>
      </c>
      <c r="Y283" s="10">
        <f>IF(A283="C",LEFT(UPPER(D283)&amp;REPT(" ",2),2)," ")</f>
        <v/>
      </c>
      <c r="Z283" s="10">
        <f>IF(A283="C",LEFT(UPPER(E283)&amp;REPT(" ",15),15)," ")</f>
        <v/>
      </c>
      <c r="AA283" s="10">
        <f>REPT(" ",8)</f>
        <v/>
      </c>
      <c r="AB283" s="10">
        <f>REPT(" ",4)</f>
        <v/>
      </c>
      <c r="AC283" s="10">
        <f>LEFT(UPPER(H283)&amp;REPT(" ",250),250)</f>
        <v/>
      </c>
      <c r="AD283" s="10">
        <f>TEXT($G$2,"dd/mm/aaaa")</f>
        <v/>
      </c>
      <c r="AE283" s="10">
        <f>REPT(" ",10)</f>
        <v/>
      </c>
      <c r="AF283" s="10">
        <f>REPT(" ",20)</f>
        <v/>
      </c>
      <c r="AG283" s="54">
        <f>REPT(" ",18-LEN(FIXED(F283,2,TRUE)))&amp;FIXED(F283,2,TRUE)</f>
        <v/>
      </c>
      <c r="AH283" s="10">
        <f>LEN(AC283)+LEN(AG283)</f>
        <v/>
      </c>
      <c r="AI283" s="10">
        <f>LEN(L283)</f>
        <v/>
      </c>
    </row>
    <row r="284">
      <c r="A284" s="61" t="n"/>
      <c r="B284" s="62" t="n"/>
      <c r="C284" s="62" t="n"/>
      <c r="D284" s="62" t="n"/>
      <c r="E284" s="62" t="n"/>
      <c r="H284" s="61" t="n"/>
      <c r="I284" s="42" t="n"/>
      <c r="J284" s="12">
        <f>IF(F284&lt;&gt;0,"LANÇAR","")</f>
        <v/>
      </c>
      <c r="K284" s="20" t="n"/>
      <c r="L284" s="13">
        <f>N284&amp;O284&amp;P284&amp;Q284&amp;R284&amp;S284&amp;T284&amp;U284&amp;V284&amp;W284&amp;X284&amp;Y284&amp;Z284&amp;AA284&amp;AB284&amp;AC284&amp;AD284&amp;AE284&amp;AF284&amp;AG284</f>
        <v/>
      </c>
      <c r="M284" s="20" t="n"/>
      <c r="N284" s="10">
        <f>TEXT($B$6,"00")</f>
        <v/>
      </c>
      <c r="O284" s="10">
        <f>REPT(" ",8)</f>
        <v/>
      </c>
      <c r="P284" s="10">
        <f>RIGHT($B$4,2)</f>
        <v/>
      </c>
      <c r="Q284" s="10">
        <f>RIGHT($B$5,3)</f>
        <v/>
      </c>
      <c r="R284" s="10">
        <f>IF(A284="D",LEFT(UPPER(B284)&amp;REPT(" ",20),20),REPT(" ",20))</f>
        <v/>
      </c>
      <c r="S284" s="10">
        <f>IF(A284="D",LEFT(UPPER(C284)&amp;REPT(" ",10),10)," ")</f>
        <v/>
      </c>
      <c r="T284" s="10">
        <f>IF(A284="D",LEFT(UPPER(D284)&amp;REPT(" ",2),2)," ")</f>
        <v/>
      </c>
      <c r="U284" s="10">
        <f>IF(A284="D",LEFT(UPPER(E284)&amp;REPT(" ",15),15)," ")</f>
        <v/>
      </c>
      <c r="V284" s="10">
        <f>REPT(" ",24)</f>
        <v/>
      </c>
      <c r="W284" s="10">
        <f>IF(A284="c",LEFT(UPPER(B284)&amp;REPT(" ",20),20),REPT(" ",20))</f>
        <v/>
      </c>
      <c r="X284" s="10">
        <f>IF(A284="C",LEFT(UPPER(C284)&amp;REPT(" ",10),10)," ")</f>
        <v/>
      </c>
      <c r="Y284" s="10">
        <f>IF(A284="C",LEFT(UPPER(D284)&amp;REPT(" ",2),2)," ")</f>
        <v/>
      </c>
      <c r="Z284" s="10">
        <f>IF(A284="C",LEFT(UPPER(E284)&amp;REPT(" ",15),15)," ")</f>
        <v/>
      </c>
      <c r="AA284" s="10">
        <f>REPT(" ",8)</f>
        <v/>
      </c>
      <c r="AB284" s="10">
        <f>REPT(" ",4)</f>
        <v/>
      </c>
      <c r="AC284" s="10">
        <f>LEFT(UPPER(H284)&amp;REPT(" ",250),250)</f>
        <v/>
      </c>
      <c r="AD284" s="10">
        <f>TEXT($G$2,"dd/mm/aaaa")</f>
        <v/>
      </c>
      <c r="AE284" s="10">
        <f>REPT(" ",10)</f>
        <v/>
      </c>
      <c r="AF284" s="10">
        <f>REPT(" ",20)</f>
        <v/>
      </c>
      <c r="AG284" s="54">
        <f>REPT(" ",18-LEN(FIXED(F284,2,TRUE)))&amp;FIXED(F284,2,TRUE)</f>
        <v/>
      </c>
      <c r="AH284" s="10">
        <f>LEN(AC284)+LEN(AG284)</f>
        <v/>
      </c>
      <c r="AI284" s="10">
        <f>LEN(L284)</f>
        <v/>
      </c>
    </row>
    <row r="285">
      <c r="A285" s="61" t="n"/>
      <c r="B285" s="62" t="n"/>
      <c r="C285" s="62" t="n"/>
      <c r="D285" s="62" t="n"/>
      <c r="E285" s="62" t="n"/>
      <c r="H285" s="61" t="n"/>
      <c r="I285" s="42" t="n"/>
      <c r="J285" s="12">
        <f>IF(F285&lt;&gt;0,"LANÇAR","")</f>
        <v/>
      </c>
      <c r="K285" s="20" t="n"/>
      <c r="L285" s="13">
        <f>N285&amp;O285&amp;P285&amp;Q285&amp;R285&amp;S285&amp;T285&amp;U285&amp;V285&amp;W285&amp;X285&amp;Y285&amp;Z285&amp;AA285&amp;AB285&amp;AC285&amp;AD285&amp;AE285&amp;AF285&amp;AG285</f>
        <v/>
      </c>
      <c r="M285" s="20" t="n"/>
      <c r="N285" s="10">
        <f>TEXT($B$6,"00")</f>
        <v/>
      </c>
      <c r="O285" s="10">
        <f>REPT(" ",8)</f>
        <v/>
      </c>
      <c r="P285" s="10">
        <f>RIGHT($B$4,2)</f>
        <v/>
      </c>
      <c r="Q285" s="10">
        <f>RIGHT($B$5,3)</f>
        <v/>
      </c>
      <c r="R285" s="10">
        <f>IF(A285="D",LEFT(UPPER(B285)&amp;REPT(" ",20),20),REPT(" ",20))</f>
        <v/>
      </c>
      <c r="S285" s="10">
        <f>IF(A285="D",LEFT(UPPER(C285)&amp;REPT(" ",10),10)," ")</f>
        <v/>
      </c>
      <c r="T285" s="10">
        <f>IF(A285="D",LEFT(UPPER(D285)&amp;REPT(" ",2),2)," ")</f>
        <v/>
      </c>
      <c r="U285" s="10">
        <f>IF(A285="D",LEFT(UPPER(E285)&amp;REPT(" ",15),15)," ")</f>
        <v/>
      </c>
      <c r="V285" s="10">
        <f>REPT(" ",24)</f>
        <v/>
      </c>
      <c r="W285" s="10">
        <f>IF(A285="c",LEFT(UPPER(B285)&amp;REPT(" ",20),20),REPT(" ",20))</f>
        <v/>
      </c>
      <c r="X285" s="10">
        <f>IF(A285="C",LEFT(UPPER(C285)&amp;REPT(" ",10),10)," ")</f>
        <v/>
      </c>
      <c r="Y285" s="10">
        <f>IF(A285="C",LEFT(UPPER(D285)&amp;REPT(" ",2),2)," ")</f>
        <v/>
      </c>
      <c r="Z285" s="10">
        <f>IF(A285="C",LEFT(UPPER(E285)&amp;REPT(" ",15),15)," ")</f>
        <v/>
      </c>
      <c r="AA285" s="10">
        <f>REPT(" ",8)</f>
        <v/>
      </c>
      <c r="AB285" s="10">
        <f>REPT(" ",4)</f>
        <v/>
      </c>
      <c r="AC285" s="10">
        <f>LEFT(UPPER(H285)&amp;REPT(" ",250),250)</f>
        <v/>
      </c>
      <c r="AD285" s="10">
        <f>TEXT($G$2,"dd/mm/aaaa")</f>
        <v/>
      </c>
      <c r="AE285" s="10">
        <f>REPT(" ",10)</f>
        <v/>
      </c>
      <c r="AF285" s="10">
        <f>REPT(" ",20)</f>
        <v/>
      </c>
      <c r="AG285" s="54">
        <f>REPT(" ",18-LEN(FIXED(F285,2,TRUE)))&amp;FIXED(F285,2,TRUE)</f>
        <v/>
      </c>
      <c r="AH285" s="10">
        <f>LEN(AC285)+LEN(AG285)</f>
        <v/>
      </c>
      <c r="AI285" s="10">
        <f>LEN(L285)</f>
        <v/>
      </c>
    </row>
    <row r="286">
      <c r="A286" s="61" t="n"/>
      <c r="B286" s="62" t="n"/>
      <c r="C286" s="62" t="n"/>
      <c r="D286" s="62" t="n"/>
      <c r="E286" s="62" t="n"/>
      <c r="H286" s="61" t="n"/>
      <c r="I286" s="42" t="n"/>
      <c r="J286" s="12">
        <f>IF(F286&lt;&gt;0,"LANÇAR","")</f>
        <v/>
      </c>
      <c r="K286" s="20" t="n"/>
      <c r="L286" s="13">
        <f>N286&amp;O286&amp;P286&amp;Q286&amp;R286&amp;S286&amp;T286&amp;U286&amp;V286&amp;W286&amp;X286&amp;Y286&amp;Z286&amp;AA286&amp;AB286&amp;AC286&amp;AD286&amp;AE286&amp;AF286&amp;AG286</f>
        <v/>
      </c>
      <c r="M286" s="20" t="n"/>
      <c r="N286" s="10">
        <f>TEXT($B$6,"00")</f>
        <v/>
      </c>
      <c r="O286" s="10">
        <f>REPT(" ",8)</f>
        <v/>
      </c>
      <c r="P286" s="10">
        <f>RIGHT($B$4,2)</f>
        <v/>
      </c>
      <c r="Q286" s="10">
        <f>RIGHT($B$5,3)</f>
        <v/>
      </c>
      <c r="R286" s="10">
        <f>IF(A286="D",LEFT(UPPER(B286)&amp;REPT(" ",20),20),REPT(" ",20))</f>
        <v/>
      </c>
      <c r="S286" s="10">
        <f>IF(A286="D",LEFT(UPPER(C286)&amp;REPT(" ",10),10)," ")</f>
        <v/>
      </c>
      <c r="T286" s="10">
        <f>IF(A286="D",LEFT(UPPER(D286)&amp;REPT(" ",2),2)," ")</f>
        <v/>
      </c>
      <c r="U286" s="10">
        <f>IF(A286="D",LEFT(UPPER(E286)&amp;REPT(" ",15),15)," ")</f>
        <v/>
      </c>
      <c r="V286" s="10">
        <f>REPT(" ",24)</f>
        <v/>
      </c>
      <c r="W286" s="10">
        <f>IF(A286="c",LEFT(UPPER(B286)&amp;REPT(" ",20),20),REPT(" ",20))</f>
        <v/>
      </c>
      <c r="X286" s="10">
        <f>IF(A286="C",LEFT(UPPER(C286)&amp;REPT(" ",10),10)," ")</f>
        <v/>
      </c>
      <c r="Y286" s="10">
        <f>IF(A286="C",LEFT(UPPER(D286)&amp;REPT(" ",2),2)," ")</f>
        <v/>
      </c>
      <c r="Z286" s="10">
        <f>IF(A286="C",LEFT(UPPER(E286)&amp;REPT(" ",15),15)," ")</f>
        <v/>
      </c>
      <c r="AA286" s="10">
        <f>REPT(" ",8)</f>
        <v/>
      </c>
      <c r="AB286" s="10">
        <f>REPT(" ",4)</f>
        <v/>
      </c>
      <c r="AC286" s="10">
        <f>LEFT(UPPER(H286)&amp;REPT(" ",250),250)</f>
        <v/>
      </c>
      <c r="AD286" s="10">
        <f>TEXT($G$2,"dd/mm/aaaa")</f>
        <v/>
      </c>
      <c r="AE286" s="10">
        <f>REPT(" ",10)</f>
        <v/>
      </c>
      <c r="AF286" s="10">
        <f>REPT(" ",20)</f>
        <v/>
      </c>
      <c r="AG286" s="54">
        <f>REPT(" ",18-LEN(FIXED(F286,2,TRUE)))&amp;FIXED(F286,2,TRUE)</f>
        <v/>
      </c>
      <c r="AH286" s="10">
        <f>LEN(AC286)+LEN(AG286)</f>
        <v/>
      </c>
      <c r="AI286" s="10">
        <f>LEN(L286)</f>
        <v/>
      </c>
    </row>
    <row r="287">
      <c r="A287" s="61" t="n"/>
      <c r="B287" s="62" t="n"/>
      <c r="C287" s="62" t="n"/>
      <c r="D287" s="62" t="n"/>
      <c r="E287" s="62" t="n"/>
      <c r="H287" s="61" t="n"/>
      <c r="I287" s="42" t="n"/>
      <c r="J287" s="12">
        <f>IF(F287&lt;&gt;0,"LANÇAR","")</f>
        <v/>
      </c>
      <c r="K287" s="20" t="n"/>
      <c r="L287" s="13">
        <f>N287&amp;O287&amp;P287&amp;Q287&amp;R287&amp;S287&amp;T287&amp;U287&amp;V287&amp;W287&amp;X287&amp;Y287&amp;Z287&amp;AA287&amp;AB287&amp;AC287&amp;AD287&amp;AE287&amp;AF287&amp;AG287</f>
        <v/>
      </c>
      <c r="M287" s="20" t="n"/>
      <c r="N287" s="10">
        <f>TEXT($B$6,"00")</f>
        <v/>
      </c>
      <c r="O287" s="10">
        <f>REPT(" ",8)</f>
        <v/>
      </c>
      <c r="P287" s="10">
        <f>RIGHT($B$4,2)</f>
        <v/>
      </c>
      <c r="Q287" s="10">
        <f>RIGHT($B$5,3)</f>
        <v/>
      </c>
      <c r="R287" s="10">
        <f>IF(A287="D",LEFT(UPPER(B287)&amp;REPT(" ",20),20),REPT(" ",20))</f>
        <v/>
      </c>
      <c r="S287" s="10">
        <f>IF(A287="D",LEFT(UPPER(C287)&amp;REPT(" ",10),10)," ")</f>
        <v/>
      </c>
      <c r="T287" s="10">
        <f>IF(A287="D",LEFT(UPPER(D287)&amp;REPT(" ",2),2)," ")</f>
        <v/>
      </c>
      <c r="U287" s="10">
        <f>IF(A287="D",LEFT(UPPER(E287)&amp;REPT(" ",15),15)," ")</f>
        <v/>
      </c>
      <c r="V287" s="10">
        <f>REPT(" ",24)</f>
        <v/>
      </c>
      <c r="W287" s="10">
        <f>IF(A287="c",LEFT(UPPER(B287)&amp;REPT(" ",20),20),REPT(" ",20))</f>
        <v/>
      </c>
      <c r="X287" s="10">
        <f>IF(A287="C",LEFT(UPPER(C287)&amp;REPT(" ",10),10)," ")</f>
        <v/>
      </c>
      <c r="Y287" s="10">
        <f>IF(A287="C",LEFT(UPPER(D287)&amp;REPT(" ",2),2)," ")</f>
        <v/>
      </c>
      <c r="Z287" s="10">
        <f>IF(A287="C",LEFT(UPPER(E287)&amp;REPT(" ",15),15)," ")</f>
        <v/>
      </c>
      <c r="AA287" s="10">
        <f>REPT(" ",8)</f>
        <v/>
      </c>
      <c r="AB287" s="10">
        <f>REPT(" ",4)</f>
        <v/>
      </c>
      <c r="AC287" s="10">
        <f>LEFT(UPPER(H287)&amp;REPT(" ",250),250)</f>
        <v/>
      </c>
      <c r="AD287" s="10">
        <f>TEXT($G$2,"dd/mm/aaaa")</f>
        <v/>
      </c>
      <c r="AE287" s="10">
        <f>REPT(" ",10)</f>
        <v/>
      </c>
      <c r="AF287" s="10">
        <f>REPT(" ",20)</f>
        <v/>
      </c>
      <c r="AG287" s="54">
        <f>REPT(" ",18-LEN(FIXED(F287,2,TRUE)))&amp;FIXED(F287,2,TRUE)</f>
        <v/>
      </c>
      <c r="AH287" s="10">
        <f>LEN(AC287)+LEN(AG287)</f>
        <v/>
      </c>
      <c r="AI287" s="10">
        <f>LEN(L287)</f>
        <v/>
      </c>
    </row>
    <row r="288">
      <c r="A288" s="61" t="n"/>
      <c r="B288" s="62" t="n"/>
      <c r="C288" s="62" t="n"/>
      <c r="D288" s="62" t="n"/>
      <c r="E288" s="62" t="n"/>
      <c r="H288" s="61" t="n"/>
      <c r="I288" s="42" t="n"/>
      <c r="J288" s="12">
        <f>IF(F288&lt;&gt;0,"LANÇAR","")</f>
        <v/>
      </c>
      <c r="K288" s="20" t="n"/>
      <c r="L288" s="13">
        <f>N288&amp;O288&amp;P288&amp;Q288&amp;R288&amp;S288&amp;T288&amp;U288&amp;V288&amp;W288&amp;X288&amp;Y288&amp;Z288&amp;AA288&amp;AB288&amp;AC288&amp;AD288&amp;AE288&amp;AF288&amp;AG288</f>
        <v/>
      </c>
      <c r="M288" s="20" t="n"/>
      <c r="N288" s="10">
        <f>TEXT($B$6,"00")</f>
        <v/>
      </c>
      <c r="O288" s="10">
        <f>REPT(" ",8)</f>
        <v/>
      </c>
      <c r="P288" s="10">
        <f>RIGHT($B$4,2)</f>
        <v/>
      </c>
      <c r="Q288" s="10">
        <f>RIGHT($B$5,3)</f>
        <v/>
      </c>
      <c r="R288" s="10">
        <f>IF(A288="D",LEFT(UPPER(B288)&amp;REPT(" ",20),20),REPT(" ",20))</f>
        <v/>
      </c>
      <c r="S288" s="10">
        <f>IF(A288="D",LEFT(UPPER(C288)&amp;REPT(" ",10),10)," ")</f>
        <v/>
      </c>
      <c r="T288" s="10">
        <f>IF(A288="D",LEFT(UPPER(D288)&amp;REPT(" ",2),2)," ")</f>
        <v/>
      </c>
      <c r="U288" s="10">
        <f>IF(A288="D",LEFT(UPPER(E288)&amp;REPT(" ",15),15)," ")</f>
        <v/>
      </c>
      <c r="V288" s="10">
        <f>REPT(" ",24)</f>
        <v/>
      </c>
      <c r="W288" s="10">
        <f>IF(A288="c",LEFT(UPPER(B288)&amp;REPT(" ",20),20),REPT(" ",20))</f>
        <v/>
      </c>
      <c r="X288" s="10">
        <f>IF(A288="C",LEFT(UPPER(C288)&amp;REPT(" ",10),10)," ")</f>
        <v/>
      </c>
      <c r="Y288" s="10">
        <f>IF(A288="C",LEFT(UPPER(D288)&amp;REPT(" ",2),2)," ")</f>
        <v/>
      </c>
      <c r="Z288" s="10">
        <f>IF(A288="C",LEFT(UPPER(E288)&amp;REPT(" ",15),15)," ")</f>
        <v/>
      </c>
      <c r="AA288" s="10">
        <f>REPT(" ",8)</f>
        <v/>
      </c>
      <c r="AB288" s="10">
        <f>REPT(" ",4)</f>
        <v/>
      </c>
      <c r="AC288" s="10">
        <f>LEFT(UPPER(H288)&amp;REPT(" ",250),250)</f>
        <v/>
      </c>
      <c r="AD288" s="10">
        <f>TEXT($G$2,"dd/mm/aaaa")</f>
        <v/>
      </c>
      <c r="AE288" s="10">
        <f>REPT(" ",10)</f>
        <v/>
      </c>
      <c r="AF288" s="10">
        <f>REPT(" ",20)</f>
        <v/>
      </c>
      <c r="AG288" s="54">
        <f>REPT(" ",18-LEN(FIXED(F288,2,TRUE)))&amp;FIXED(F288,2,TRUE)</f>
        <v/>
      </c>
      <c r="AH288" s="10">
        <f>LEN(AC288)+LEN(AG288)</f>
        <v/>
      </c>
      <c r="AI288" s="10">
        <f>LEN(L288)</f>
        <v/>
      </c>
    </row>
    <row r="289">
      <c r="A289" s="61" t="n"/>
      <c r="B289" s="62" t="n"/>
      <c r="C289" s="62" t="n"/>
      <c r="D289" s="62" t="n"/>
      <c r="E289" s="62" t="n"/>
      <c r="H289" s="61" t="n"/>
      <c r="I289" s="42" t="n"/>
      <c r="J289" s="12">
        <f>IF(F289&lt;&gt;0,"LANÇAR","")</f>
        <v/>
      </c>
      <c r="K289" s="20" t="n"/>
      <c r="L289" s="13">
        <f>N289&amp;O289&amp;P289&amp;Q289&amp;R289&amp;S289&amp;T289&amp;U289&amp;V289&amp;W289&amp;X289&amp;Y289&amp;Z289&amp;AA289&amp;AB289&amp;AC289&amp;AD289&amp;AE289&amp;AF289&amp;AG289</f>
        <v/>
      </c>
      <c r="M289" s="20" t="n"/>
      <c r="N289" s="10">
        <f>TEXT($B$6,"00")</f>
        <v/>
      </c>
      <c r="O289" s="10">
        <f>REPT(" ",8)</f>
        <v/>
      </c>
      <c r="P289" s="10">
        <f>RIGHT($B$4,2)</f>
        <v/>
      </c>
      <c r="Q289" s="10">
        <f>RIGHT($B$5,3)</f>
        <v/>
      </c>
      <c r="R289" s="10">
        <f>IF(A289="D",LEFT(UPPER(B289)&amp;REPT(" ",20),20),REPT(" ",20))</f>
        <v/>
      </c>
      <c r="S289" s="10">
        <f>IF(A289="D",LEFT(UPPER(C289)&amp;REPT(" ",10),10)," ")</f>
        <v/>
      </c>
      <c r="T289" s="10">
        <f>IF(A289="D",LEFT(UPPER(D289)&amp;REPT(" ",2),2)," ")</f>
        <v/>
      </c>
      <c r="U289" s="10">
        <f>IF(A289="D",LEFT(UPPER(E289)&amp;REPT(" ",15),15)," ")</f>
        <v/>
      </c>
      <c r="V289" s="10">
        <f>REPT(" ",24)</f>
        <v/>
      </c>
      <c r="W289" s="10">
        <f>IF(A289="c",LEFT(UPPER(B289)&amp;REPT(" ",20),20),REPT(" ",20))</f>
        <v/>
      </c>
      <c r="X289" s="10">
        <f>IF(A289="C",LEFT(UPPER(C289)&amp;REPT(" ",10),10)," ")</f>
        <v/>
      </c>
      <c r="Y289" s="10">
        <f>IF(A289="C",LEFT(UPPER(D289)&amp;REPT(" ",2),2)," ")</f>
        <v/>
      </c>
      <c r="Z289" s="10">
        <f>IF(A289="C",LEFT(UPPER(E289)&amp;REPT(" ",15),15)," ")</f>
        <v/>
      </c>
      <c r="AA289" s="10">
        <f>REPT(" ",8)</f>
        <v/>
      </c>
      <c r="AB289" s="10">
        <f>REPT(" ",4)</f>
        <v/>
      </c>
      <c r="AC289" s="10">
        <f>LEFT(UPPER(H289)&amp;REPT(" ",250),250)</f>
        <v/>
      </c>
      <c r="AD289" s="10">
        <f>TEXT($G$2,"dd/mm/aaaa")</f>
        <v/>
      </c>
      <c r="AE289" s="10">
        <f>REPT(" ",10)</f>
        <v/>
      </c>
      <c r="AF289" s="10">
        <f>REPT(" ",20)</f>
        <v/>
      </c>
      <c r="AG289" s="54">
        <f>REPT(" ",18-LEN(FIXED(F289,2,TRUE)))&amp;FIXED(F289,2,TRUE)</f>
        <v/>
      </c>
      <c r="AH289" s="10">
        <f>LEN(AC289)+LEN(AG289)</f>
        <v/>
      </c>
      <c r="AI289" s="10">
        <f>LEN(L289)</f>
        <v/>
      </c>
    </row>
    <row r="290">
      <c r="A290" s="61" t="n"/>
      <c r="B290" s="62" t="n"/>
      <c r="C290" s="62" t="n"/>
      <c r="D290" s="62" t="n"/>
      <c r="E290" s="62" t="n"/>
      <c r="H290" s="61" t="n"/>
      <c r="I290" s="42" t="n"/>
      <c r="J290" s="12">
        <f>IF(F290&lt;&gt;0,"LANÇAR","")</f>
        <v/>
      </c>
      <c r="K290" s="20" t="n"/>
      <c r="L290" s="13">
        <f>N290&amp;O290&amp;P290&amp;Q290&amp;R290&amp;S290&amp;T290&amp;U290&amp;V290&amp;W290&amp;X290&amp;Y290&amp;Z290&amp;AA290&amp;AB290&amp;AC290&amp;AD290&amp;AE290&amp;AF290&amp;AG290</f>
        <v/>
      </c>
      <c r="M290" s="20" t="n"/>
      <c r="N290" s="10">
        <f>TEXT($B$6,"00")</f>
        <v/>
      </c>
      <c r="O290" s="10">
        <f>REPT(" ",8)</f>
        <v/>
      </c>
      <c r="P290" s="10">
        <f>RIGHT($B$4,2)</f>
        <v/>
      </c>
      <c r="Q290" s="10">
        <f>RIGHT($B$5,3)</f>
        <v/>
      </c>
      <c r="R290" s="10">
        <f>IF(A290="D",LEFT(UPPER(B290)&amp;REPT(" ",20),20),REPT(" ",20))</f>
        <v/>
      </c>
      <c r="S290" s="10">
        <f>IF(A290="D",LEFT(UPPER(C290)&amp;REPT(" ",10),10)," ")</f>
        <v/>
      </c>
      <c r="T290" s="10">
        <f>IF(A290="D",LEFT(UPPER(D290)&amp;REPT(" ",2),2)," ")</f>
        <v/>
      </c>
      <c r="U290" s="10">
        <f>IF(A290="D",LEFT(UPPER(E290)&amp;REPT(" ",15),15)," ")</f>
        <v/>
      </c>
      <c r="V290" s="10">
        <f>REPT(" ",24)</f>
        <v/>
      </c>
      <c r="W290" s="10">
        <f>IF(A290="c",LEFT(UPPER(B290)&amp;REPT(" ",20),20),REPT(" ",20))</f>
        <v/>
      </c>
      <c r="X290" s="10">
        <f>IF(A290="C",LEFT(UPPER(C290)&amp;REPT(" ",10),10)," ")</f>
        <v/>
      </c>
      <c r="Y290" s="10">
        <f>IF(A290="C",LEFT(UPPER(D290)&amp;REPT(" ",2),2)," ")</f>
        <v/>
      </c>
      <c r="Z290" s="10">
        <f>IF(A290="C",LEFT(UPPER(E290)&amp;REPT(" ",15),15)," ")</f>
        <v/>
      </c>
      <c r="AA290" s="10">
        <f>REPT(" ",8)</f>
        <v/>
      </c>
      <c r="AB290" s="10">
        <f>REPT(" ",4)</f>
        <v/>
      </c>
      <c r="AC290" s="10">
        <f>LEFT(UPPER(H290)&amp;REPT(" ",250),250)</f>
        <v/>
      </c>
      <c r="AD290" s="10">
        <f>TEXT($G$2,"dd/mm/aaaa")</f>
        <v/>
      </c>
      <c r="AE290" s="10">
        <f>REPT(" ",10)</f>
        <v/>
      </c>
      <c r="AF290" s="10">
        <f>REPT(" ",20)</f>
        <v/>
      </c>
      <c r="AG290" s="54">
        <f>REPT(" ",18-LEN(FIXED(F290,2,TRUE)))&amp;FIXED(F290,2,TRUE)</f>
        <v/>
      </c>
      <c r="AH290" s="10">
        <f>LEN(AC290)+LEN(AG290)</f>
        <v/>
      </c>
      <c r="AI290" s="10">
        <f>LEN(L290)</f>
        <v/>
      </c>
    </row>
    <row r="291">
      <c r="A291" s="61" t="n"/>
      <c r="B291" s="62" t="n"/>
      <c r="C291" s="62" t="n"/>
      <c r="D291" s="62" t="n"/>
      <c r="E291" s="62" t="n"/>
      <c r="H291" s="61" t="n"/>
      <c r="I291" s="42" t="n"/>
      <c r="J291" s="12">
        <f>IF(F291&lt;&gt;0,"LANÇAR","")</f>
        <v/>
      </c>
      <c r="K291" s="20" t="n"/>
      <c r="L291" s="13">
        <f>N291&amp;O291&amp;P291&amp;Q291&amp;R291&amp;S291&amp;T291&amp;U291&amp;V291&amp;W291&amp;X291&amp;Y291&amp;Z291&amp;AA291&amp;AB291&amp;AC291&amp;AD291&amp;AE291&amp;AF291&amp;AG291</f>
        <v/>
      </c>
      <c r="M291" s="20" t="n"/>
      <c r="N291" s="10">
        <f>TEXT($B$6,"00")</f>
        <v/>
      </c>
      <c r="O291" s="10">
        <f>REPT(" ",8)</f>
        <v/>
      </c>
      <c r="P291" s="10">
        <f>RIGHT($B$4,2)</f>
        <v/>
      </c>
      <c r="Q291" s="10">
        <f>RIGHT($B$5,3)</f>
        <v/>
      </c>
      <c r="R291" s="10">
        <f>IF(A291="D",LEFT(UPPER(B291)&amp;REPT(" ",20),20),REPT(" ",20))</f>
        <v/>
      </c>
      <c r="S291" s="10">
        <f>IF(A291="D",LEFT(UPPER(C291)&amp;REPT(" ",10),10)," ")</f>
        <v/>
      </c>
      <c r="T291" s="10">
        <f>IF(A291="D",LEFT(UPPER(D291)&amp;REPT(" ",2),2)," ")</f>
        <v/>
      </c>
      <c r="U291" s="10">
        <f>IF(A291="D",LEFT(UPPER(E291)&amp;REPT(" ",15),15)," ")</f>
        <v/>
      </c>
      <c r="V291" s="10">
        <f>REPT(" ",24)</f>
        <v/>
      </c>
      <c r="W291" s="10">
        <f>IF(A291="c",LEFT(UPPER(B291)&amp;REPT(" ",20),20),REPT(" ",20))</f>
        <v/>
      </c>
      <c r="X291" s="10">
        <f>IF(A291="C",LEFT(UPPER(C291)&amp;REPT(" ",10),10)," ")</f>
        <v/>
      </c>
      <c r="Y291" s="10">
        <f>IF(A291="C",LEFT(UPPER(D291)&amp;REPT(" ",2),2)," ")</f>
        <v/>
      </c>
      <c r="Z291" s="10">
        <f>IF(A291="C",LEFT(UPPER(E291)&amp;REPT(" ",15),15)," ")</f>
        <v/>
      </c>
      <c r="AA291" s="10">
        <f>REPT(" ",8)</f>
        <v/>
      </c>
      <c r="AB291" s="10">
        <f>REPT(" ",4)</f>
        <v/>
      </c>
      <c r="AC291" s="10">
        <f>LEFT(UPPER(H291)&amp;REPT(" ",250),250)</f>
        <v/>
      </c>
      <c r="AD291" s="10">
        <f>TEXT($G$2,"dd/mm/aaaa")</f>
        <v/>
      </c>
      <c r="AE291" s="10">
        <f>REPT(" ",10)</f>
        <v/>
      </c>
      <c r="AF291" s="10">
        <f>REPT(" ",20)</f>
        <v/>
      </c>
      <c r="AG291" s="54">
        <f>REPT(" ",18-LEN(FIXED(F291,2,TRUE)))&amp;FIXED(F291,2,TRUE)</f>
        <v/>
      </c>
      <c r="AH291" s="10">
        <f>LEN(AC291)+LEN(AG291)</f>
        <v/>
      </c>
      <c r="AI291" s="10">
        <f>LEN(L291)</f>
        <v/>
      </c>
    </row>
    <row r="292">
      <c r="A292" s="61" t="n"/>
      <c r="B292" s="62" t="n"/>
      <c r="C292" s="62" t="n"/>
      <c r="D292" s="62" t="n"/>
      <c r="E292" s="62" t="n"/>
      <c r="H292" s="61" t="n"/>
      <c r="I292" s="42" t="n"/>
      <c r="J292" s="12">
        <f>IF(F292&lt;&gt;0,"LANÇAR","")</f>
        <v/>
      </c>
      <c r="K292" s="20" t="n"/>
      <c r="L292" s="13">
        <f>N292&amp;O292&amp;P292&amp;Q292&amp;R292&amp;S292&amp;T292&amp;U292&amp;V292&amp;W292&amp;X292&amp;Y292&amp;Z292&amp;AA292&amp;AB292&amp;AC292&amp;AD292&amp;AE292&amp;AF292&amp;AG292</f>
        <v/>
      </c>
      <c r="M292" s="20" t="n"/>
      <c r="N292" s="10">
        <f>TEXT($B$6,"00")</f>
        <v/>
      </c>
      <c r="O292" s="10">
        <f>REPT(" ",8)</f>
        <v/>
      </c>
      <c r="P292" s="10">
        <f>RIGHT($B$4,2)</f>
        <v/>
      </c>
      <c r="Q292" s="10">
        <f>RIGHT($B$5,3)</f>
        <v/>
      </c>
      <c r="R292" s="10">
        <f>IF(A292="D",LEFT(UPPER(B292)&amp;REPT(" ",20),20),REPT(" ",20))</f>
        <v/>
      </c>
      <c r="S292" s="10">
        <f>IF(A292="D",LEFT(UPPER(C292)&amp;REPT(" ",10),10)," ")</f>
        <v/>
      </c>
      <c r="T292" s="10">
        <f>IF(A292="D",LEFT(UPPER(D292)&amp;REPT(" ",2),2)," ")</f>
        <v/>
      </c>
      <c r="U292" s="10">
        <f>IF(A292="D",LEFT(UPPER(E292)&amp;REPT(" ",15),15)," ")</f>
        <v/>
      </c>
      <c r="V292" s="10">
        <f>REPT(" ",24)</f>
        <v/>
      </c>
      <c r="W292" s="10">
        <f>IF(A292="c",LEFT(UPPER(B292)&amp;REPT(" ",20),20),REPT(" ",20))</f>
        <v/>
      </c>
      <c r="X292" s="10">
        <f>IF(A292="C",LEFT(UPPER(C292)&amp;REPT(" ",10),10)," ")</f>
        <v/>
      </c>
      <c r="Y292" s="10">
        <f>IF(A292="C",LEFT(UPPER(D292)&amp;REPT(" ",2),2)," ")</f>
        <v/>
      </c>
      <c r="Z292" s="10">
        <f>IF(A292="C",LEFT(UPPER(E292)&amp;REPT(" ",15),15)," ")</f>
        <v/>
      </c>
      <c r="AA292" s="10">
        <f>REPT(" ",8)</f>
        <v/>
      </c>
      <c r="AB292" s="10">
        <f>REPT(" ",4)</f>
        <v/>
      </c>
      <c r="AC292" s="10">
        <f>LEFT(UPPER(H292)&amp;REPT(" ",250),250)</f>
        <v/>
      </c>
      <c r="AD292" s="10">
        <f>TEXT($G$2,"dd/mm/aaaa")</f>
        <v/>
      </c>
      <c r="AE292" s="10">
        <f>REPT(" ",10)</f>
        <v/>
      </c>
      <c r="AF292" s="10">
        <f>REPT(" ",20)</f>
        <v/>
      </c>
      <c r="AG292" s="54">
        <f>REPT(" ",18-LEN(FIXED(F292,2,TRUE)))&amp;FIXED(F292,2,TRUE)</f>
        <v/>
      </c>
      <c r="AH292" s="10">
        <f>LEN(AC292)+LEN(AG292)</f>
        <v/>
      </c>
      <c r="AI292" s="10">
        <f>LEN(L292)</f>
        <v/>
      </c>
    </row>
    <row r="293">
      <c r="A293" s="61" t="n"/>
      <c r="B293" s="62" t="n"/>
      <c r="C293" s="62" t="n"/>
      <c r="D293" s="62" t="n"/>
      <c r="E293" s="62" t="n"/>
      <c r="H293" s="61" t="n"/>
      <c r="I293" s="42" t="n"/>
      <c r="J293" s="12">
        <f>IF(F293&lt;&gt;0,"LANÇAR","")</f>
        <v/>
      </c>
      <c r="K293" s="20" t="n"/>
      <c r="L293" s="13">
        <f>N293&amp;O293&amp;P293&amp;Q293&amp;R293&amp;S293&amp;T293&amp;U293&amp;V293&amp;W293&amp;X293&amp;Y293&amp;Z293&amp;AA293&amp;AB293&amp;AC293&amp;AD293&amp;AE293&amp;AF293&amp;AG293</f>
        <v/>
      </c>
      <c r="M293" s="20" t="n"/>
      <c r="N293" s="10">
        <f>TEXT($B$6,"00")</f>
        <v/>
      </c>
      <c r="O293" s="10">
        <f>REPT(" ",8)</f>
        <v/>
      </c>
      <c r="P293" s="10">
        <f>RIGHT($B$4,2)</f>
        <v/>
      </c>
      <c r="Q293" s="10">
        <f>RIGHT($B$5,3)</f>
        <v/>
      </c>
      <c r="R293" s="10">
        <f>IF(A293="D",LEFT(UPPER(B293)&amp;REPT(" ",20),20),REPT(" ",20))</f>
        <v/>
      </c>
      <c r="S293" s="10">
        <f>IF(A293="D",LEFT(UPPER(C293)&amp;REPT(" ",10),10)," ")</f>
        <v/>
      </c>
      <c r="T293" s="10">
        <f>IF(A293="D",LEFT(UPPER(D293)&amp;REPT(" ",2),2)," ")</f>
        <v/>
      </c>
      <c r="U293" s="10">
        <f>IF(A293="D",LEFT(UPPER(E293)&amp;REPT(" ",15),15)," ")</f>
        <v/>
      </c>
      <c r="V293" s="10">
        <f>REPT(" ",24)</f>
        <v/>
      </c>
      <c r="W293" s="10">
        <f>IF(A293="c",LEFT(UPPER(B293)&amp;REPT(" ",20),20),REPT(" ",20))</f>
        <v/>
      </c>
      <c r="X293" s="10">
        <f>IF(A293="C",LEFT(UPPER(C293)&amp;REPT(" ",10),10)," ")</f>
        <v/>
      </c>
      <c r="Y293" s="10">
        <f>IF(A293="C",LEFT(UPPER(D293)&amp;REPT(" ",2),2)," ")</f>
        <v/>
      </c>
      <c r="Z293" s="10">
        <f>IF(A293="C",LEFT(UPPER(E293)&amp;REPT(" ",15),15)," ")</f>
        <v/>
      </c>
      <c r="AA293" s="10">
        <f>REPT(" ",8)</f>
        <v/>
      </c>
      <c r="AB293" s="10">
        <f>REPT(" ",4)</f>
        <v/>
      </c>
      <c r="AC293" s="10">
        <f>LEFT(UPPER(H293)&amp;REPT(" ",250),250)</f>
        <v/>
      </c>
      <c r="AD293" s="10">
        <f>TEXT($G$2,"dd/mm/aaaa")</f>
        <v/>
      </c>
      <c r="AE293" s="10">
        <f>REPT(" ",10)</f>
        <v/>
      </c>
      <c r="AF293" s="10">
        <f>REPT(" ",20)</f>
        <v/>
      </c>
      <c r="AG293" s="54">
        <f>REPT(" ",18-LEN(FIXED(F293,2,TRUE)))&amp;FIXED(F293,2,TRUE)</f>
        <v/>
      </c>
      <c r="AH293" s="10">
        <f>LEN(AC293)+LEN(AG293)</f>
        <v/>
      </c>
      <c r="AI293" s="10">
        <f>LEN(L293)</f>
        <v/>
      </c>
    </row>
    <row r="294">
      <c r="A294" s="61" t="n"/>
      <c r="B294" s="62" t="n"/>
      <c r="C294" s="62" t="n"/>
      <c r="D294" s="62" t="n"/>
      <c r="E294" s="62" t="n"/>
      <c r="H294" s="61" t="n"/>
      <c r="I294" s="42" t="n"/>
      <c r="J294" s="12">
        <f>IF(F294&lt;&gt;0,"LANÇAR","")</f>
        <v/>
      </c>
      <c r="K294" s="20" t="n"/>
      <c r="L294" s="13">
        <f>N294&amp;O294&amp;P294&amp;Q294&amp;R294&amp;S294&amp;T294&amp;U294&amp;V294&amp;W294&amp;X294&amp;Y294&amp;Z294&amp;AA294&amp;AB294&amp;AC294&amp;AD294&amp;AE294&amp;AF294&amp;AG294</f>
        <v/>
      </c>
      <c r="M294" s="20" t="n"/>
      <c r="N294" s="10">
        <f>TEXT($B$6,"00")</f>
        <v/>
      </c>
      <c r="O294" s="10">
        <f>REPT(" ",8)</f>
        <v/>
      </c>
      <c r="P294" s="10">
        <f>RIGHT($B$4,2)</f>
        <v/>
      </c>
      <c r="Q294" s="10">
        <f>RIGHT($B$5,3)</f>
        <v/>
      </c>
      <c r="R294" s="10">
        <f>IF(A294="D",LEFT(UPPER(B294)&amp;REPT(" ",20),20),REPT(" ",20))</f>
        <v/>
      </c>
      <c r="S294" s="10">
        <f>IF(A294="D",LEFT(UPPER(C294)&amp;REPT(" ",10),10)," ")</f>
        <v/>
      </c>
      <c r="T294" s="10">
        <f>IF(A294="D",LEFT(UPPER(D294)&amp;REPT(" ",2),2)," ")</f>
        <v/>
      </c>
      <c r="U294" s="10">
        <f>IF(A294="D",LEFT(UPPER(E294)&amp;REPT(" ",15),15)," ")</f>
        <v/>
      </c>
      <c r="V294" s="10">
        <f>REPT(" ",24)</f>
        <v/>
      </c>
      <c r="W294" s="10">
        <f>IF(A294="c",LEFT(UPPER(B294)&amp;REPT(" ",20),20),REPT(" ",20))</f>
        <v/>
      </c>
      <c r="X294" s="10">
        <f>IF(A294="C",LEFT(UPPER(C294)&amp;REPT(" ",10),10)," ")</f>
        <v/>
      </c>
      <c r="Y294" s="10">
        <f>IF(A294="C",LEFT(UPPER(D294)&amp;REPT(" ",2),2)," ")</f>
        <v/>
      </c>
      <c r="Z294" s="10">
        <f>IF(A294="C",LEFT(UPPER(E294)&amp;REPT(" ",15),15)," ")</f>
        <v/>
      </c>
      <c r="AA294" s="10">
        <f>REPT(" ",8)</f>
        <v/>
      </c>
      <c r="AB294" s="10">
        <f>REPT(" ",4)</f>
        <v/>
      </c>
      <c r="AC294" s="10">
        <f>LEFT(UPPER(H294)&amp;REPT(" ",250),250)</f>
        <v/>
      </c>
      <c r="AD294" s="10">
        <f>TEXT($G$2,"dd/mm/aaaa")</f>
        <v/>
      </c>
      <c r="AE294" s="10">
        <f>REPT(" ",10)</f>
        <v/>
      </c>
      <c r="AF294" s="10">
        <f>REPT(" ",20)</f>
        <v/>
      </c>
      <c r="AG294" s="54">
        <f>REPT(" ",18-LEN(FIXED(F294,2,TRUE)))&amp;FIXED(F294,2,TRUE)</f>
        <v/>
      </c>
      <c r="AH294" s="10">
        <f>LEN(AC294)+LEN(AG294)</f>
        <v/>
      </c>
      <c r="AI294" s="10">
        <f>LEN(L294)</f>
        <v/>
      </c>
    </row>
    <row r="295">
      <c r="A295" s="61" t="n"/>
      <c r="B295" s="62" t="n"/>
      <c r="C295" s="62" t="n"/>
      <c r="D295" s="62" t="n"/>
      <c r="E295" s="62" t="n"/>
      <c r="H295" s="61" t="n"/>
      <c r="I295" s="42" t="n"/>
      <c r="J295" s="12">
        <f>IF(F295&lt;&gt;0,"LANÇAR","")</f>
        <v/>
      </c>
      <c r="K295" s="20" t="n"/>
      <c r="L295" s="13">
        <f>N295&amp;O295&amp;P295&amp;Q295&amp;R295&amp;S295&amp;T295&amp;U295&amp;V295&amp;W295&amp;X295&amp;Y295&amp;Z295&amp;AA295&amp;AB295&amp;AC295&amp;AD295&amp;AE295&amp;AF295&amp;AG295</f>
        <v/>
      </c>
      <c r="M295" s="20" t="n"/>
      <c r="N295" s="10">
        <f>TEXT($B$6,"00")</f>
        <v/>
      </c>
      <c r="O295" s="10">
        <f>REPT(" ",8)</f>
        <v/>
      </c>
      <c r="P295" s="10">
        <f>RIGHT($B$4,2)</f>
        <v/>
      </c>
      <c r="Q295" s="10">
        <f>RIGHT($B$5,3)</f>
        <v/>
      </c>
      <c r="R295" s="10">
        <f>IF(A295="D",LEFT(UPPER(B295)&amp;REPT(" ",20),20),REPT(" ",20))</f>
        <v/>
      </c>
      <c r="S295" s="10">
        <f>IF(A295="D",LEFT(UPPER(C295)&amp;REPT(" ",10),10)," ")</f>
        <v/>
      </c>
      <c r="T295" s="10">
        <f>IF(A295="D",LEFT(UPPER(D295)&amp;REPT(" ",2),2)," ")</f>
        <v/>
      </c>
      <c r="U295" s="10">
        <f>IF(A295="D",LEFT(UPPER(E295)&amp;REPT(" ",15),15)," ")</f>
        <v/>
      </c>
      <c r="V295" s="10">
        <f>REPT(" ",24)</f>
        <v/>
      </c>
      <c r="W295" s="10">
        <f>IF(A295="c",LEFT(UPPER(B295)&amp;REPT(" ",20),20),REPT(" ",20))</f>
        <v/>
      </c>
      <c r="X295" s="10">
        <f>IF(A295="C",LEFT(UPPER(C295)&amp;REPT(" ",10),10)," ")</f>
        <v/>
      </c>
      <c r="Y295" s="10">
        <f>IF(A295="C",LEFT(UPPER(D295)&amp;REPT(" ",2),2)," ")</f>
        <v/>
      </c>
      <c r="Z295" s="10">
        <f>IF(A295="C",LEFT(UPPER(E295)&amp;REPT(" ",15),15)," ")</f>
        <v/>
      </c>
      <c r="AA295" s="10">
        <f>REPT(" ",8)</f>
        <v/>
      </c>
      <c r="AB295" s="10">
        <f>REPT(" ",4)</f>
        <v/>
      </c>
      <c r="AC295" s="10">
        <f>LEFT(UPPER(H295)&amp;REPT(" ",250),250)</f>
        <v/>
      </c>
      <c r="AD295" s="10">
        <f>TEXT($G$2,"dd/mm/aaaa")</f>
        <v/>
      </c>
      <c r="AE295" s="10">
        <f>REPT(" ",10)</f>
        <v/>
      </c>
      <c r="AF295" s="10">
        <f>REPT(" ",20)</f>
        <v/>
      </c>
      <c r="AG295" s="54">
        <f>REPT(" ",18-LEN(FIXED(F295,2,TRUE)))&amp;FIXED(F295,2,TRUE)</f>
        <v/>
      </c>
      <c r="AH295" s="10">
        <f>LEN(AC295)+LEN(AG295)</f>
        <v/>
      </c>
      <c r="AI295" s="10">
        <f>LEN(L295)</f>
        <v/>
      </c>
    </row>
    <row r="296">
      <c r="A296" s="61" t="n"/>
      <c r="B296" s="62" t="n"/>
      <c r="C296" s="62" t="n"/>
      <c r="D296" s="62" t="n"/>
      <c r="E296" s="62" t="n"/>
      <c r="H296" s="61" t="n"/>
      <c r="I296" s="42" t="n"/>
      <c r="J296" s="12">
        <f>IF(F296&lt;&gt;0,"LANÇAR","")</f>
        <v/>
      </c>
      <c r="K296" s="20" t="n"/>
      <c r="L296" s="13">
        <f>N296&amp;O296&amp;P296&amp;Q296&amp;R296&amp;S296&amp;T296&amp;U296&amp;V296&amp;W296&amp;X296&amp;Y296&amp;Z296&amp;AA296&amp;AB296&amp;AC296&amp;AD296&amp;AE296&amp;AF296&amp;AG296</f>
        <v/>
      </c>
      <c r="M296" s="20" t="n"/>
      <c r="N296" s="10">
        <f>TEXT($B$6,"00")</f>
        <v/>
      </c>
      <c r="O296" s="10">
        <f>REPT(" ",8)</f>
        <v/>
      </c>
      <c r="P296" s="10">
        <f>RIGHT($B$4,2)</f>
        <v/>
      </c>
      <c r="Q296" s="10">
        <f>RIGHT($B$5,3)</f>
        <v/>
      </c>
      <c r="R296" s="10">
        <f>IF(A296="D",LEFT(UPPER(B296)&amp;REPT(" ",20),20),REPT(" ",20))</f>
        <v/>
      </c>
      <c r="S296" s="10">
        <f>IF(A296="D",LEFT(UPPER(C296)&amp;REPT(" ",10),10)," ")</f>
        <v/>
      </c>
      <c r="T296" s="10">
        <f>IF(A296="D",LEFT(UPPER(D296)&amp;REPT(" ",2),2)," ")</f>
        <v/>
      </c>
      <c r="U296" s="10">
        <f>IF(A296="D",LEFT(UPPER(E296)&amp;REPT(" ",15),15)," ")</f>
        <v/>
      </c>
      <c r="V296" s="10">
        <f>REPT(" ",24)</f>
        <v/>
      </c>
      <c r="W296" s="10">
        <f>IF(A296="c",LEFT(UPPER(B296)&amp;REPT(" ",20),20),REPT(" ",20))</f>
        <v/>
      </c>
      <c r="X296" s="10">
        <f>IF(A296="C",LEFT(UPPER(C296)&amp;REPT(" ",10),10)," ")</f>
        <v/>
      </c>
      <c r="Y296" s="10">
        <f>IF(A296="C",LEFT(UPPER(D296)&amp;REPT(" ",2),2)," ")</f>
        <v/>
      </c>
      <c r="Z296" s="10">
        <f>IF(A296="C",LEFT(UPPER(E296)&amp;REPT(" ",15),15)," ")</f>
        <v/>
      </c>
      <c r="AA296" s="10">
        <f>REPT(" ",8)</f>
        <v/>
      </c>
      <c r="AB296" s="10">
        <f>REPT(" ",4)</f>
        <v/>
      </c>
      <c r="AC296" s="10">
        <f>LEFT(UPPER(H296)&amp;REPT(" ",250),250)</f>
        <v/>
      </c>
      <c r="AD296" s="10">
        <f>TEXT($G$2,"dd/mm/aaaa")</f>
        <v/>
      </c>
      <c r="AE296" s="10">
        <f>REPT(" ",10)</f>
        <v/>
      </c>
      <c r="AF296" s="10">
        <f>REPT(" ",20)</f>
        <v/>
      </c>
      <c r="AG296" s="54">
        <f>REPT(" ",18-LEN(FIXED(F296,2,TRUE)))&amp;FIXED(F296,2,TRUE)</f>
        <v/>
      </c>
      <c r="AH296" s="10">
        <f>LEN(AC296)+LEN(AG296)</f>
        <v/>
      </c>
      <c r="AI296" s="10">
        <f>LEN(L296)</f>
        <v/>
      </c>
    </row>
    <row r="297">
      <c r="A297" s="61" t="n"/>
      <c r="B297" s="62" t="n"/>
      <c r="C297" s="62" t="n"/>
      <c r="D297" s="62" t="n"/>
      <c r="E297" s="62" t="n"/>
      <c r="H297" s="61" t="n"/>
      <c r="I297" s="42" t="n"/>
      <c r="J297" s="12">
        <f>IF(F297&lt;&gt;0,"LANÇAR","")</f>
        <v/>
      </c>
      <c r="K297" s="20" t="n"/>
      <c r="L297" s="13">
        <f>N297&amp;O297&amp;P297&amp;Q297&amp;R297&amp;S297&amp;T297&amp;U297&amp;V297&amp;W297&amp;X297&amp;Y297&amp;Z297&amp;AA297&amp;AB297&amp;AC297&amp;AD297&amp;AE297&amp;AF297&amp;AG297</f>
        <v/>
      </c>
      <c r="M297" s="20" t="n"/>
      <c r="N297" s="10">
        <f>TEXT($B$6,"00")</f>
        <v/>
      </c>
      <c r="O297" s="10">
        <f>REPT(" ",8)</f>
        <v/>
      </c>
      <c r="P297" s="10">
        <f>RIGHT($B$4,2)</f>
        <v/>
      </c>
      <c r="Q297" s="10">
        <f>RIGHT($B$5,3)</f>
        <v/>
      </c>
      <c r="R297" s="10">
        <f>IF(A297="D",LEFT(UPPER(B297)&amp;REPT(" ",20),20),REPT(" ",20))</f>
        <v/>
      </c>
      <c r="S297" s="10">
        <f>IF(A297="D",LEFT(UPPER(C297)&amp;REPT(" ",10),10)," ")</f>
        <v/>
      </c>
      <c r="T297" s="10">
        <f>IF(A297="D",LEFT(UPPER(D297)&amp;REPT(" ",2),2)," ")</f>
        <v/>
      </c>
      <c r="U297" s="10">
        <f>IF(A297="D",LEFT(UPPER(E297)&amp;REPT(" ",15),15)," ")</f>
        <v/>
      </c>
      <c r="V297" s="10">
        <f>REPT(" ",24)</f>
        <v/>
      </c>
      <c r="W297" s="10">
        <f>IF(A297="c",LEFT(UPPER(B297)&amp;REPT(" ",20),20),REPT(" ",20))</f>
        <v/>
      </c>
      <c r="X297" s="10">
        <f>IF(A297="C",LEFT(UPPER(C297)&amp;REPT(" ",10),10)," ")</f>
        <v/>
      </c>
      <c r="Y297" s="10">
        <f>IF(A297="C",LEFT(UPPER(D297)&amp;REPT(" ",2),2)," ")</f>
        <v/>
      </c>
      <c r="Z297" s="10">
        <f>IF(A297="C",LEFT(UPPER(E297)&amp;REPT(" ",15),15)," ")</f>
        <v/>
      </c>
      <c r="AA297" s="10">
        <f>REPT(" ",8)</f>
        <v/>
      </c>
      <c r="AB297" s="10">
        <f>REPT(" ",4)</f>
        <v/>
      </c>
      <c r="AC297" s="10">
        <f>LEFT(UPPER(H297)&amp;REPT(" ",250),250)</f>
        <v/>
      </c>
      <c r="AD297" s="10">
        <f>TEXT($G$2,"dd/mm/aaaa")</f>
        <v/>
      </c>
      <c r="AE297" s="10">
        <f>REPT(" ",10)</f>
        <v/>
      </c>
      <c r="AF297" s="10">
        <f>REPT(" ",20)</f>
        <v/>
      </c>
      <c r="AG297" s="54">
        <f>REPT(" ",18-LEN(FIXED(F297,2,TRUE)))&amp;FIXED(F297,2,TRUE)</f>
        <v/>
      </c>
      <c r="AH297" s="10">
        <f>LEN(AC297)+LEN(AG297)</f>
        <v/>
      </c>
      <c r="AI297" s="10">
        <f>LEN(L297)</f>
        <v/>
      </c>
    </row>
    <row r="298">
      <c r="A298" s="61" t="n"/>
      <c r="B298" s="62" t="n"/>
      <c r="C298" s="62" t="n"/>
      <c r="D298" s="62" t="n"/>
      <c r="E298" s="62" t="n"/>
      <c r="H298" s="61" t="n"/>
      <c r="I298" s="42" t="n"/>
      <c r="J298" s="12">
        <f>IF(F298&lt;&gt;0,"LANÇAR","")</f>
        <v/>
      </c>
      <c r="K298" s="20" t="n"/>
      <c r="L298" s="13">
        <f>N298&amp;O298&amp;P298&amp;Q298&amp;R298&amp;S298&amp;T298&amp;U298&amp;V298&amp;W298&amp;X298&amp;Y298&amp;Z298&amp;AA298&amp;AB298&amp;AC298&amp;AD298&amp;AE298&amp;AF298&amp;AG298</f>
        <v/>
      </c>
      <c r="M298" s="20" t="n"/>
      <c r="N298" s="10">
        <f>TEXT($B$6,"00")</f>
        <v/>
      </c>
      <c r="O298" s="10">
        <f>REPT(" ",8)</f>
        <v/>
      </c>
      <c r="P298" s="10">
        <f>RIGHT($B$4,2)</f>
        <v/>
      </c>
      <c r="Q298" s="10">
        <f>RIGHT($B$5,3)</f>
        <v/>
      </c>
      <c r="R298" s="10">
        <f>IF(A298="D",LEFT(UPPER(B298)&amp;REPT(" ",20),20),REPT(" ",20))</f>
        <v/>
      </c>
      <c r="S298" s="10">
        <f>IF(A298="D",LEFT(UPPER(C298)&amp;REPT(" ",10),10)," ")</f>
        <v/>
      </c>
      <c r="T298" s="10">
        <f>IF(A298="D",LEFT(UPPER(D298)&amp;REPT(" ",2),2)," ")</f>
        <v/>
      </c>
      <c r="U298" s="10">
        <f>IF(A298="D",LEFT(UPPER(E298)&amp;REPT(" ",15),15)," ")</f>
        <v/>
      </c>
      <c r="V298" s="10">
        <f>REPT(" ",24)</f>
        <v/>
      </c>
      <c r="W298" s="10">
        <f>IF(A298="c",LEFT(UPPER(B298)&amp;REPT(" ",20),20),REPT(" ",20))</f>
        <v/>
      </c>
      <c r="X298" s="10">
        <f>IF(A298="C",LEFT(UPPER(C298)&amp;REPT(" ",10),10)," ")</f>
        <v/>
      </c>
      <c r="Y298" s="10">
        <f>IF(A298="C",LEFT(UPPER(D298)&amp;REPT(" ",2),2)," ")</f>
        <v/>
      </c>
      <c r="Z298" s="10">
        <f>IF(A298="C",LEFT(UPPER(E298)&amp;REPT(" ",15),15)," ")</f>
        <v/>
      </c>
      <c r="AA298" s="10">
        <f>REPT(" ",8)</f>
        <v/>
      </c>
      <c r="AB298" s="10">
        <f>REPT(" ",4)</f>
        <v/>
      </c>
      <c r="AC298" s="10">
        <f>LEFT(UPPER(H298)&amp;REPT(" ",250),250)</f>
        <v/>
      </c>
      <c r="AD298" s="10">
        <f>TEXT($G$2,"dd/mm/aaaa")</f>
        <v/>
      </c>
      <c r="AE298" s="10">
        <f>REPT(" ",10)</f>
        <v/>
      </c>
      <c r="AF298" s="10">
        <f>REPT(" ",20)</f>
        <v/>
      </c>
      <c r="AG298" s="54">
        <f>REPT(" ",18-LEN(FIXED(F298,2,TRUE)))&amp;FIXED(F298,2,TRUE)</f>
        <v/>
      </c>
      <c r="AH298" s="10">
        <f>LEN(AC298)+LEN(AG298)</f>
        <v/>
      </c>
      <c r="AI298" s="10">
        <f>LEN(L298)</f>
        <v/>
      </c>
    </row>
    <row r="299">
      <c r="A299" s="61" t="n"/>
      <c r="B299" s="62" t="n"/>
      <c r="C299" s="62" t="n"/>
      <c r="D299" s="62" t="n"/>
      <c r="E299" s="62" t="n"/>
      <c r="H299" s="61" t="n"/>
      <c r="I299" s="42" t="n"/>
      <c r="J299" s="12">
        <f>IF(F299&lt;&gt;0,"LANÇAR","")</f>
        <v/>
      </c>
      <c r="K299" s="20" t="n"/>
      <c r="L299" s="13">
        <f>N299&amp;O299&amp;P299&amp;Q299&amp;R299&amp;S299&amp;T299&amp;U299&amp;V299&amp;W299&amp;X299&amp;Y299&amp;Z299&amp;AA299&amp;AB299&amp;AC299&amp;AD299&amp;AE299&amp;AF299&amp;AG299</f>
        <v/>
      </c>
      <c r="M299" s="20" t="n"/>
      <c r="N299" s="10">
        <f>TEXT($B$6,"00")</f>
        <v/>
      </c>
      <c r="O299" s="10">
        <f>REPT(" ",8)</f>
        <v/>
      </c>
      <c r="P299" s="10">
        <f>RIGHT($B$4,2)</f>
        <v/>
      </c>
      <c r="Q299" s="10">
        <f>RIGHT($B$5,3)</f>
        <v/>
      </c>
      <c r="R299" s="10">
        <f>IF(A299="D",LEFT(UPPER(B299)&amp;REPT(" ",20),20),REPT(" ",20))</f>
        <v/>
      </c>
      <c r="S299" s="10">
        <f>IF(A299="D",LEFT(UPPER(C299)&amp;REPT(" ",10),10)," ")</f>
        <v/>
      </c>
      <c r="T299" s="10">
        <f>IF(A299="D",LEFT(UPPER(D299)&amp;REPT(" ",2),2)," ")</f>
        <v/>
      </c>
      <c r="U299" s="10">
        <f>IF(A299="D",LEFT(UPPER(E299)&amp;REPT(" ",15),15)," ")</f>
        <v/>
      </c>
      <c r="V299" s="10">
        <f>REPT(" ",24)</f>
        <v/>
      </c>
      <c r="W299" s="10">
        <f>IF(A299="c",LEFT(UPPER(B299)&amp;REPT(" ",20),20),REPT(" ",20))</f>
        <v/>
      </c>
      <c r="X299" s="10">
        <f>IF(A299="C",LEFT(UPPER(C299)&amp;REPT(" ",10),10)," ")</f>
        <v/>
      </c>
      <c r="Y299" s="10">
        <f>IF(A299="C",LEFT(UPPER(D299)&amp;REPT(" ",2),2)," ")</f>
        <v/>
      </c>
      <c r="Z299" s="10">
        <f>IF(A299="C",LEFT(UPPER(E299)&amp;REPT(" ",15),15)," ")</f>
        <v/>
      </c>
      <c r="AA299" s="10">
        <f>REPT(" ",8)</f>
        <v/>
      </c>
      <c r="AB299" s="10">
        <f>REPT(" ",4)</f>
        <v/>
      </c>
      <c r="AC299" s="10">
        <f>LEFT(UPPER(H299)&amp;REPT(" ",250),250)</f>
        <v/>
      </c>
      <c r="AD299" s="10">
        <f>TEXT($G$2,"dd/mm/aaaa")</f>
        <v/>
      </c>
      <c r="AE299" s="10">
        <f>REPT(" ",10)</f>
        <v/>
      </c>
      <c r="AF299" s="10">
        <f>REPT(" ",20)</f>
        <v/>
      </c>
      <c r="AG299" s="54">
        <f>REPT(" ",18-LEN(FIXED(F299,2,TRUE)))&amp;FIXED(F299,2,TRUE)</f>
        <v/>
      </c>
      <c r="AH299" s="10">
        <f>LEN(AC299)+LEN(AG299)</f>
        <v/>
      </c>
      <c r="AI299" s="10">
        <f>LEN(L299)</f>
        <v/>
      </c>
    </row>
    <row r="300">
      <c r="A300" s="61" t="n"/>
      <c r="B300" s="62" t="n"/>
      <c r="C300" s="62" t="n"/>
      <c r="D300" s="62" t="n"/>
      <c r="E300" s="62" t="n"/>
      <c r="H300" s="61" t="n"/>
      <c r="I300" s="42" t="n"/>
      <c r="J300" s="12">
        <f>IF(F300&lt;&gt;0,"LANÇAR","")</f>
        <v/>
      </c>
      <c r="K300" s="20" t="n"/>
      <c r="L300" s="13">
        <f>N300&amp;O300&amp;P300&amp;Q300&amp;R300&amp;S300&amp;T300&amp;U300&amp;V300&amp;W300&amp;X300&amp;Y300&amp;Z300&amp;AA300&amp;AB300&amp;AC300&amp;AD300&amp;AE300&amp;AF300&amp;AG300</f>
        <v/>
      </c>
      <c r="M300" s="20" t="n"/>
      <c r="N300" s="10">
        <f>TEXT($B$6,"00")</f>
        <v/>
      </c>
      <c r="O300" s="10">
        <f>REPT(" ",8)</f>
        <v/>
      </c>
      <c r="P300" s="10">
        <f>RIGHT($B$4,2)</f>
        <v/>
      </c>
      <c r="Q300" s="10">
        <f>RIGHT($B$5,3)</f>
        <v/>
      </c>
      <c r="R300" s="10">
        <f>IF(A300="D",LEFT(UPPER(B300)&amp;REPT(" ",20),20),REPT(" ",20))</f>
        <v/>
      </c>
      <c r="S300" s="10">
        <f>IF(A300="D",LEFT(UPPER(C300)&amp;REPT(" ",10),10)," ")</f>
        <v/>
      </c>
      <c r="T300" s="10">
        <f>IF(A300="D",LEFT(UPPER(D300)&amp;REPT(" ",2),2)," ")</f>
        <v/>
      </c>
      <c r="U300" s="10">
        <f>IF(A300="D",LEFT(UPPER(E300)&amp;REPT(" ",15),15)," ")</f>
        <v/>
      </c>
      <c r="V300" s="10">
        <f>REPT(" ",24)</f>
        <v/>
      </c>
      <c r="W300" s="10">
        <f>IF(A300="c",LEFT(UPPER(B300)&amp;REPT(" ",20),20),REPT(" ",20))</f>
        <v/>
      </c>
      <c r="X300" s="10">
        <f>IF(A300="C",LEFT(UPPER(C300)&amp;REPT(" ",10),10)," ")</f>
        <v/>
      </c>
      <c r="Y300" s="10">
        <f>IF(A300="C",LEFT(UPPER(D300)&amp;REPT(" ",2),2)," ")</f>
        <v/>
      </c>
      <c r="Z300" s="10">
        <f>IF(A300="C",LEFT(UPPER(E300)&amp;REPT(" ",15),15)," ")</f>
        <v/>
      </c>
      <c r="AA300" s="10">
        <f>REPT(" ",8)</f>
        <v/>
      </c>
      <c r="AB300" s="10">
        <f>REPT(" ",4)</f>
        <v/>
      </c>
      <c r="AC300" s="10">
        <f>LEFT(UPPER(H300)&amp;REPT(" ",250),250)</f>
        <v/>
      </c>
      <c r="AD300" s="10">
        <f>TEXT($G$2,"dd/mm/aaaa")</f>
        <v/>
      </c>
      <c r="AE300" s="10">
        <f>REPT(" ",10)</f>
        <v/>
      </c>
      <c r="AF300" s="10">
        <f>REPT(" ",20)</f>
        <v/>
      </c>
      <c r="AG300" s="54">
        <f>REPT(" ",18-LEN(FIXED(F300,2,TRUE)))&amp;FIXED(F300,2,TRUE)</f>
        <v/>
      </c>
      <c r="AH300" s="10">
        <f>LEN(AC300)+LEN(AG300)</f>
        <v/>
      </c>
      <c r="AI300" s="10">
        <f>LEN(L300)</f>
        <v/>
      </c>
    </row>
    <row r="301">
      <c r="A301" s="61" t="n"/>
      <c r="B301" s="62" t="n"/>
      <c r="C301" s="62" t="n"/>
      <c r="D301" s="62" t="n"/>
      <c r="E301" s="62" t="n"/>
      <c r="H301" s="61" t="n"/>
      <c r="I301" s="42" t="n"/>
      <c r="J301" s="12">
        <f>IF(F301&lt;&gt;0,"LANÇAR","")</f>
        <v/>
      </c>
      <c r="K301" s="20" t="n"/>
      <c r="L301" s="13">
        <f>N301&amp;O301&amp;P301&amp;Q301&amp;R301&amp;S301&amp;T301&amp;U301&amp;V301&amp;W301&amp;X301&amp;Y301&amp;Z301&amp;AA301&amp;AB301&amp;AC301&amp;AD301&amp;AE301&amp;AF301&amp;AG301</f>
        <v/>
      </c>
      <c r="M301" s="20" t="n"/>
      <c r="N301" s="10">
        <f>TEXT($B$6,"00")</f>
        <v/>
      </c>
      <c r="O301" s="10">
        <f>REPT(" ",8)</f>
        <v/>
      </c>
      <c r="P301" s="10">
        <f>RIGHT($B$4,2)</f>
        <v/>
      </c>
      <c r="Q301" s="10">
        <f>RIGHT($B$5,3)</f>
        <v/>
      </c>
      <c r="R301" s="10">
        <f>IF(A301="D",LEFT(UPPER(B301)&amp;REPT(" ",20),20),REPT(" ",20))</f>
        <v/>
      </c>
      <c r="S301" s="10">
        <f>IF(A301="D",LEFT(UPPER(C301)&amp;REPT(" ",10),10)," ")</f>
        <v/>
      </c>
      <c r="T301" s="10">
        <f>IF(A301="D",LEFT(UPPER(D301)&amp;REPT(" ",2),2)," ")</f>
        <v/>
      </c>
      <c r="U301" s="10">
        <f>IF(A301="D",LEFT(UPPER(E301)&amp;REPT(" ",15),15)," ")</f>
        <v/>
      </c>
      <c r="V301" s="10">
        <f>REPT(" ",24)</f>
        <v/>
      </c>
      <c r="W301" s="10">
        <f>IF(A301="c",LEFT(UPPER(B301)&amp;REPT(" ",20),20),REPT(" ",20))</f>
        <v/>
      </c>
      <c r="X301" s="10">
        <f>IF(A301="C",LEFT(UPPER(C301)&amp;REPT(" ",10),10)," ")</f>
        <v/>
      </c>
      <c r="Y301" s="10">
        <f>IF(A301="C",LEFT(UPPER(D301)&amp;REPT(" ",2),2)," ")</f>
        <v/>
      </c>
      <c r="Z301" s="10">
        <f>IF(A301="C",LEFT(UPPER(E301)&amp;REPT(" ",15),15)," ")</f>
        <v/>
      </c>
      <c r="AA301" s="10">
        <f>REPT(" ",8)</f>
        <v/>
      </c>
      <c r="AB301" s="10">
        <f>REPT(" ",4)</f>
        <v/>
      </c>
      <c r="AC301" s="10">
        <f>LEFT(UPPER(H301)&amp;REPT(" ",250),250)</f>
        <v/>
      </c>
      <c r="AD301" s="10">
        <f>TEXT($G$2,"dd/mm/aaaa")</f>
        <v/>
      </c>
      <c r="AE301" s="10">
        <f>REPT(" ",10)</f>
        <v/>
      </c>
      <c r="AF301" s="10">
        <f>REPT(" ",20)</f>
        <v/>
      </c>
      <c r="AG301" s="54">
        <f>REPT(" ",18-LEN(FIXED(F301,2,TRUE)))&amp;FIXED(F301,2,TRUE)</f>
        <v/>
      </c>
      <c r="AH301" s="10">
        <f>LEN(AC301)+LEN(AG301)</f>
        <v/>
      </c>
      <c r="AI301" s="10">
        <f>LEN(L301)</f>
        <v/>
      </c>
    </row>
    <row r="302">
      <c r="A302" s="61" t="n"/>
      <c r="B302" s="62" t="n"/>
      <c r="C302" s="62" t="n"/>
      <c r="D302" s="62" t="n"/>
      <c r="E302" s="62" t="n"/>
      <c r="H302" s="61" t="n"/>
      <c r="I302" s="42" t="n"/>
      <c r="J302" s="12">
        <f>IF(F302&lt;&gt;0,"LANÇAR","")</f>
        <v/>
      </c>
      <c r="K302" s="20" t="n"/>
      <c r="L302" s="13">
        <f>N302&amp;O302&amp;P302&amp;Q302&amp;R302&amp;S302&amp;T302&amp;U302&amp;V302&amp;W302&amp;X302&amp;Y302&amp;Z302&amp;AA302&amp;AB302&amp;AC302&amp;AD302&amp;AE302&amp;AF302&amp;AG302</f>
        <v/>
      </c>
      <c r="M302" s="20" t="n"/>
      <c r="N302" s="10">
        <f>TEXT($B$6,"00")</f>
        <v/>
      </c>
      <c r="O302" s="10">
        <f>REPT(" ",8)</f>
        <v/>
      </c>
      <c r="P302" s="10">
        <f>RIGHT($B$4,2)</f>
        <v/>
      </c>
      <c r="Q302" s="10">
        <f>RIGHT($B$5,3)</f>
        <v/>
      </c>
      <c r="R302" s="10">
        <f>IF(A302="D",LEFT(UPPER(B302)&amp;REPT(" ",20),20),REPT(" ",20))</f>
        <v/>
      </c>
      <c r="S302" s="10">
        <f>IF(A302="D",LEFT(UPPER(C302)&amp;REPT(" ",10),10)," ")</f>
        <v/>
      </c>
      <c r="T302" s="10">
        <f>IF(A302="D",LEFT(UPPER(D302)&amp;REPT(" ",2),2)," ")</f>
        <v/>
      </c>
      <c r="U302" s="10">
        <f>IF(A302="D",LEFT(UPPER(E302)&amp;REPT(" ",15),15)," ")</f>
        <v/>
      </c>
      <c r="V302" s="10">
        <f>REPT(" ",24)</f>
        <v/>
      </c>
      <c r="W302" s="10">
        <f>IF(A302="c",LEFT(UPPER(B302)&amp;REPT(" ",20),20),REPT(" ",20))</f>
        <v/>
      </c>
      <c r="X302" s="10">
        <f>IF(A302="C",LEFT(UPPER(C302)&amp;REPT(" ",10),10)," ")</f>
        <v/>
      </c>
      <c r="Y302" s="10">
        <f>IF(A302="C",LEFT(UPPER(D302)&amp;REPT(" ",2),2)," ")</f>
        <v/>
      </c>
      <c r="Z302" s="10">
        <f>IF(A302="C",LEFT(UPPER(E302)&amp;REPT(" ",15),15)," ")</f>
        <v/>
      </c>
      <c r="AA302" s="10">
        <f>REPT(" ",8)</f>
        <v/>
      </c>
      <c r="AB302" s="10">
        <f>REPT(" ",4)</f>
        <v/>
      </c>
      <c r="AC302" s="10">
        <f>LEFT(UPPER(H302)&amp;REPT(" ",250),250)</f>
        <v/>
      </c>
      <c r="AD302" s="10">
        <f>TEXT($G$2,"dd/mm/aaaa")</f>
        <v/>
      </c>
      <c r="AE302" s="10">
        <f>REPT(" ",10)</f>
        <v/>
      </c>
      <c r="AF302" s="10">
        <f>REPT(" ",20)</f>
        <v/>
      </c>
      <c r="AG302" s="54">
        <f>REPT(" ",18-LEN(FIXED(F302,2,TRUE)))&amp;FIXED(F302,2,TRUE)</f>
        <v/>
      </c>
      <c r="AH302" s="10">
        <f>LEN(AC302)+LEN(AG302)</f>
        <v/>
      </c>
      <c r="AI302" s="10">
        <f>LEN(L302)</f>
        <v/>
      </c>
    </row>
    <row r="303">
      <c r="A303" s="61" t="n"/>
      <c r="B303" s="62" t="n"/>
      <c r="C303" s="62" t="n"/>
      <c r="D303" s="62" t="n"/>
      <c r="E303" s="62" t="n"/>
      <c r="H303" s="61" t="n"/>
      <c r="I303" s="42" t="n"/>
      <c r="J303" s="12">
        <f>IF(F303&lt;&gt;0,"LANÇAR","")</f>
        <v/>
      </c>
      <c r="K303" s="20" t="n"/>
      <c r="L303" s="13">
        <f>N303&amp;O303&amp;P303&amp;Q303&amp;R303&amp;S303&amp;T303&amp;U303&amp;V303&amp;W303&amp;X303&amp;Y303&amp;Z303&amp;AA303&amp;AB303&amp;AC303&amp;AD303&amp;AE303&amp;AF303&amp;AG303</f>
        <v/>
      </c>
      <c r="M303" s="20" t="n"/>
      <c r="N303" s="10">
        <f>TEXT($B$6,"00")</f>
        <v/>
      </c>
      <c r="O303" s="10">
        <f>REPT(" ",8)</f>
        <v/>
      </c>
      <c r="P303" s="10">
        <f>RIGHT($B$4,2)</f>
        <v/>
      </c>
      <c r="Q303" s="10">
        <f>RIGHT($B$5,3)</f>
        <v/>
      </c>
      <c r="R303" s="10">
        <f>IF(A303="D",LEFT(UPPER(B303)&amp;REPT(" ",20),20),REPT(" ",20))</f>
        <v/>
      </c>
      <c r="S303" s="10">
        <f>IF(A303="D",LEFT(UPPER(C303)&amp;REPT(" ",10),10)," ")</f>
        <v/>
      </c>
      <c r="T303" s="10">
        <f>IF(A303="D",LEFT(UPPER(D303)&amp;REPT(" ",2),2)," ")</f>
        <v/>
      </c>
      <c r="U303" s="10">
        <f>IF(A303="D",LEFT(UPPER(E303)&amp;REPT(" ",15),15)," ")</f>
        <v/>
      </c>
      <c r="V303" s="10">
        <f>REPT(" ",24)</f>
        <v/>
      </c>
      <c r="W303" s="10">
        <f>IF(A303="c",LEFT(UPPER(B303)&amp;REPT(" ",20),20),REPT(" ",20))</f>
        <v/>
      </c>
      <c r="X303" s="10">
        <f>IF(A303="C",LEFT(UPPER(C303)&amp;REPT(" ",10),10)," ")</f>
        <v/>
      </c>
      <c r="Y303" s="10">
        <f>IF(A303="C",LEFT(UPPER(D303)&amp;REPT(" ",2),2)," ")</f>
        <v/>
      </c>
      <c r="Z303" s="10">
        <f>IF(A303="C",LEFT(UPPER(E303)&amp;REPT(" ",15),15)," ")</f>
        <v/>
      </c>
      <c r="AA303" s="10">
        <f>REPT(" ",8)</f>
        <v/>
      </c>
      <c r="AB303" s="10">
        <f>REPT(" ",4)</f>
        <v/>
      </c>
      <c r="AC303" s="10">
        <f>LEFT(UPPER(H303)&amp;REPT(" ",250),250)</f>
        <v/>
      </c>
      <c r="AD303" s="10">
        <f>TEXT($G$2,"dd/mm/aaaa")</f>
        <v/>
      </c>
      <c r="AE303" s="10">
        <f>REPT(" ",10)</f>
        <v/>
      </c>
      <c r="AF303" s="10">
        <f>REPT(" ",20)</f>
        <v/>
      </c>
      <c r="AG303" s="54">
        <f>REPT(" ",18-LEN(FIXED(F303,2,TRUE)))&amp;FIXED(F303,2,TRUE)</f>
        <v/>
      </c>
      <c r="AH303" s="10">
        <f>LEN(AC303)+LEN(AG303)</f>
        <v/>
      </c>
      <c r="AI303" s="10">
        <f>LEN(L303)</f>
        <v/>
      </c>
    </row>
    <row r="304">
      <c r="A304" s="61" t="n"/>
      <c r="B304" s="62" t="n"/>
      <c r="C304" s="62" t="n"/>
      <c r="D304" s="62" t="n"/>
      <c r="E304" s="62" t="n"/>
      <c r="H304" s="61" t="n"/>
      <c r="I304" s="42" t="n"/>
      <c r="J304" s="12">
        <f>IF(F304&lt;&gt;0,"LANÇAR","")</f>
        <v/>
      </c>
      <c r="K304" s="20" t="n"/>
      <c r="L304" s="13">
        <f>N304&amp;O304&amp;P304&amp;Q304&amp;R304&amp;S304&amp;T304&amp;U304&amp;V304&amp;W304&amp;X304&amp;Y304&amp;Z304&amp;AA304&amp;AB304&amp;AC304&amp;AD304&amp;AE304&amp;AF304&amp;AG304</f>
        <v/>
      </c>
      <c r="M304" s="20" t="n"/>
      <c r="N304" s="10">
        <f>TEXT($B$6,"00")</f>
        <v/>
      </c>
      <c r="O304" s="10">
        <f>REPT(" ",8)</f>
        <v/>
      </c>
      <c r="P304" s="10">
        <f>RIGHT($B$4,2)</f>
        <v/>
      </c>
      <c r="Q304" s="10">
        <f>RIGHT($B$5,3)</f>
        <v/>
      </c>
      <c r="R304" s="10">
        <f>IF(A304="D",LEFT(UPPER(B304)&amp;REPT(" ",20),20),REPT(" ",20))</f>
        <v/>
      </c>
      <c r="S304" s="10">
        <f>IF(A304="D",LEFT(UPPER(C304)&amp;REPT(" ",10),10)," ")</f>
        <v/>
      </c>
      <c r="T304" s="10">
        <f>IF(A304="D",LEFT(UPPER(D304)&amp;REPT(" ",2),2)," ")</f>
        <v/>
      </c>
      <c r="U304" s="10">
        <f>IF(A304="D",LEFT(UPPER(E304)&amp;REPT(" ",15),15)," ")</f>
        <v/>
      </c>
      <c r="V304" s="10">
        <f>REPT(" ",24)</f>
        <v/>
      </c>
      <c r="W304" s="10">
        <f>IF(A304="c",LEFT(UPPER(B304)&amp;REPT(" ",20),20),REPT(" ",20))</f>
        <v/>
      </c>
      <c r="X304" s="10">
        <f>IF(A304="C",LEFT(UPPER(C304)&amp;REPT(" ",10),10)," ")</f>
        <v/>
      </c>
      <c r="Y304" s="10">
        <f>IF(A304="C",LEFT(UPPER(D304)&amp;REPT(" ",2),2)," ")</f>
        <v/>
      </c>
      <c r="Z304" s="10">
        <f>IF(A304="C",LEFT(UPPER(E304)&amp;REPT(" ",15),15)," ")</f>
        <v/>
      </c>
      <c r="AA304" s="10">
        <f>REPT(" ",8)</f>
        <v/>
      </c>
      <c r="AB304" s="10">
        <f>REPT(" ",4)</f>
        <v/>
      </c>
      <c r="AC304" s="10">
        <f>LEFT(UPPER(H304)&amp;REPT(" ",250),250)</f>
        <v/>
      </c>
      <c r="AD304" s="10">
        <f>TEXT($G$2,"dd/mm/aaaa")</f>
        <v/>
      </c>
      <c r="AE304" s="10">
        <f>REPT(" ",10)</f>
        <v/>
      </c>
      <c r="AF304" s="10">
        <f>REPT(" ",20)</f>
        <v/>
      </c>
      <c r="AG304" s="54">
        <f>REPT(" ",18-LEN(FIXED(F304,2,TRUE)))&amp;FIXED(F304,2,TRUE)</f>
        <v/>
      </c>
      <c r="AH304" s="10">
        <f>LEN(AC304)+LEN(AG304)</f>
        <v/>
      </c>
      <c r="AI304" s="10">
        <f>LEN(L304)</f>
        <v/>
      </c>
    </row>
    <row r="305">
      <c r="A305" s="61" t="n"/>
      <c r="B305" s="62" t="n"/>
      <c r="C305" s="62" t="n"/>
      <c r="D305" s="62" t="n"/>
      <c r="E305" s="62" t="n"/>
      <c r="H305" s="61" t="n"/>
      <c r="I305" s="42" t="n"/>
      <c r="J305" s="12">
        <f>IF(F305&lt;&gt;0,"LANÇAR","")</f>
        <v/>
      </c>
      <c r="K305" s="20" t="n"/>
      <c r="L305" s="13">
        <f>N305&amp;O305&amp;P305&amp;Q305&amp;R305&amp;S305&amp;T305&amp;U305&amp;V305&amp;W305&amp;X305&amp;Y305&amp;Z305&amp;AA305&amp;AB305&amp;AC305&amp;AD305&amp;AE305&amp;AF305&amp;AG305</f>
        <v/>
      </c>
      <c r="M305" s="20" t="n"/>
      <c r="N305" s="10">
        <f>TEXT($B$6,"00")</f>
        <v/>
      </c>
      <c r="O305" s="10">
        <f>REPT(" ",8)</f>
        <v/>
      </c>
      <c r="P305" s="10">
        <f>RIGHT($B$4,2)</f>
        <v/>
      </c>
      <c r="Q305" s="10">
        <f>RIGHT($B$5,3)</f>
        <v/>
      </c>
      <c r="R305" s="10">
        <f>IF(A305="D",LEFT(UPPER(B305)&amp;REPT(" ",20),20),REPT(" ",20))</f>
        <v/>
      </c>
      <c r="S305" s="10">
        <f>IF(A305="D",LEFT(UPPER(C305)&amp;REPT(" ",10),10)," ")</f>
        <v/>
      </c>
      <c r="T305" s="10">
        <f>IF(A305="D",LEFT(UPPER(D305)&amp;REPT(" ",2),2)," ")</f>
        <v/>
      </c>
      <c r="U305" s="10">
        <f>IF(A305="D",LEFT(UPPER(E305)&amp;REPT(" ",15),15)," ")</f>
        <v/>
      </c>
      <c r="V305" s="10">
        <f>REPT(" ",24)</f>
        <v/>
      </c>
      <c r="W305" s="10">
        <f>IF(A305="c",LEFT(UPPER(B305)&amp;REPT(" ",20),20),REPT(" ",20))</f>
        <v/>
      </c>
      <c r="X305" s="10">
        <f>IF(A305="C",LEFT(UPPER(C305)&amp;REPT(" ",10),10)," ")</f>
        <v/>
      </c>
      <c r="Y305" s="10">
        <f>IF(A305="C",LEFT(UPPER(D305)&amp;REPT(" ",2),2)," ")</f>
        <v/>
      </c>
      <c r="Z305" s="10">
        <f>IF(A305="C",LEFT(UPPER(E305)&amp;REPT(" ",15),15)," ")</f>
        <v/>
      </c>
      <c r="AA305" s="10">
        <f>REPT(" ",8)</f>
        <v/>
      </c>
      <c r="AB305" s="10">
        <f>REPT(" ",4)</f>
        <v/>
      </c>
      <c r="AC305" s="10">
        <f>LEFT(UPPER(H305)&amp;REPT(" ",250),250)</f>
        <v/>
      </c>
      <c r="AD305" s="10">
        <f>TEXT($G$2,"dd/mm/aaaa")</f>
        <v/>
      </c>
      <c r="AE305" s="10">
        <f>REPT(" ",10)</f>
        <v/>
      </c>
      <c r="AF305" s="10">
        <f>REPT(" ",20)</f>
        <v/>
      </c>
      <c r="AG305" s="54">
        <f>REPT(" ",18-LEN(FIXED(F305,2,TRUE)))&amp;FIXED(F305,2,TRUE)</f>
        <v/>
      </c>
      <c r="AH305" s="10">
        <f>LEN(AC305)+LEN(AG305)</f>
        <v/>
      </c>
      <c r="AI305" s="10">
        <f>LEN(L305)</f>
        <v/>
      </c>
    </row>
    <row r="306">
      <c r="A306" s="61" t="n"/>
      <c r="B306" s="62" t="n"/>
      <c r="C306" s="62" t="n"/>
      <c r="D306" s="62" t="n"/>
      <c r="E306" s="62" t="n"/>
      <c r="H306" s="61" t="n"/>
      <c r="I306" s="42" t="n"/>
      <c r="J306" s="12">
        <f>IF(F306&lt;&gt;0,"LANÇAR","")</f>
        <v/>
      </c>
      <c r="K306" s="20" t="n"/>
      <c r="L306" s="13">
        <f>N306&amp;O306&amp;P306&amp;Q306&amp;R306&amp;S306&amp;T306&amp;U306&amp;V306&amp;W306&amp;X306&amp;Y306&amp;Z306&amp;AA306&amp;AB306&amp;AC306&amp;AD306&amp;AE306&amp;AF306&amp;AG306</f>
        <v/>
      </c>
      <c r="M306" s="20" t="n"/>
      <c r="N306" s="10">
        <f>TEXT($B$6,"00")</f>
        <v/>
      </c>
      <c r="O306" s="10">
        <f>REPT(" ",8)</f>
        <v/>
      </c>
      <c r="P306" s="10">
        <f>RIGHT($B$4,2)</f>
        <v/>
      </c>
      <c r="Q306" s="10">
        <f>RIGHT($B$5,3)</f>
        <v/>
      </c>
      <c r="R306" s="10">
        <f>IF(A306="D",LEFT(UPPER(B306)&amp;REPT(" ",20),20),REPT(" ",20))</f>
        <v/>
      </c>
      <c r="S306" s="10">
        <f>IF(A306="D",LEFT(UPPER(C306)&amp;REPT(" ",10),10)," ")</f>
        <v/>
      </c>
      <c r="T306" s="10">
        <f>IF(A306="D",LEFT(UPPER(D306)&amp;REPT(" ",2),2)," ")</f>
        <v/>
      </c>
      <c r="U306" s="10">
        <f>IF(A306="D",LEFT(UPPER(E306)&amp;REPT(" ",15),15)," ")</f>
        <v/>
      </c>
      <c r="V306" s="10">
        <f>REPT(" ",24)</f>
        <v/>
      </c>
      <c r="W306" s="10">
        <f>IF(A306="c",LEFT(UPPER(B306)&amp;REPT(" ",20),20),REPT(" ",20))</f>
        <v/>
      </c>
      <c r="X306" s="10">
        <f>IF(A306="C",LEFT(UPPER(C306)&amp;REPT(" ",10),10)," ")</f>
        <v/>
      </c>
      <c r="Y306" s="10">
        <f>IF(A306="C",LEFT(UPPER(D306)&amp;REPT(" ",2),2)," ")</f>
        <v/>
      </c>
      <c r="Z306" s="10">
        <f>IF(A306="C",LEFT(UPPER(E306)&amp;REPT(" ",15),15)," ")</f>
        <v/>
      </c>
      <c r="AA306" s="10">
        <f>REPT(" ",8)</f>
        <v/>
      </c>
      <c r="AB306" s="10">
        <f>REPT(" ",4)</f>
        <v/>
      </c>
      <c r="AC306" s="10">
        <f>LEFT(UPPER(H306)&amp;REPT(" ",250),250)</f>
        <v/>
      </c>
      <c r="AD306" s="10">
        <f>TEXT($G$2,"dd/mm/aaaa")</f>
        <v/>
      </c>
      <c r="AE306" s="10">
        <f>REPT(" ",10)</f>
        <v/>
      </c>
      <c r="AF306" s="10">
        <f>REPT(" ",20)</f>
        <v/>
      </c>
      <c r="AG306" s="54">
        <f>REPT(" ",18-LEN(FIXED(F306,2,TRUE)))&amp;FIXED(F306,2,TRUE)</f>
        <v/>
      </c>
      <c r="AH306" s="10">
        <f>LEN(AC306)+LEN(AG306)</f>
        <v/>
      </c>
      <c r="AI306" s="10">
        <f>LEN(L306)</f>
        <v/>
      </c>
    </row>
    <row r="307">
      <c r="A307" s="61" t="n"/>
      <c r="B307" s="62" t="n"/>
      <c r="C307" s="62" t="n"/>
      <c r="D307" s="62" t="n"/>
      <c r="E307" s="62" t="n"/>
      <c r="H307" s="61" t="n"/>
      <c r="I307" s="42" t="n"/>
      <c r="J307" s="12">
        <f>IF(F307&lt;&gt;0,"LANÇAR","")</f>
        <v/>
      </c>
      <c r="K307" s="20" t="n"/>
      <c r="L307" s="13">
        <f>N307&amp;O307&amp;P307&amp;Q307&amp;R307&amp;S307&amp;T307&amp;U307&amp;V307&amp;W307&amp;X307&amp;Y307&amp;Z307&amp;AA307&amp;AB307&amp;AC307&amp;AD307&amp;AE307&amp;AF307&amp;AG307</f>
        <v/>
      </c>
      <c r="M307" s="20" t="n"/>
      <c r="N307" s="10">
        <f>TEXT($B$6,"00")</f>
        <v/>
      </c>
      <c r="O307" s="10">
        <f>REPT(" ",8)</f>
        <v/>
      </c>
      <c r="P307" s="10">
        <f>RIGHT($B$4,2)</f>
        <v/>
      </c>
      <c r="Q307" s="10">
        <f>RIGHT($B$5,3)</f>
        <v/>
      </c>
      <c r="R307" s="10">
        <f>IF(A307="D",LEFT(UPPER(B307)&amp;REPT(" ",20),20),REPT(" ",20))</f>
        <v/>
      </c>
      <c r="S307" s="10">
        <f>IF(A307="D",LEFT(UPPER(C307)&amp;REPT(" ",10),10)," ")</f>
        <v/>
      </c>
      <c r="T307" s="10">
        <f>IF(A307="D",LEFT(UPPER(D307)&amp;REPT(" ",2),2)," ")</f>
        <v/>
      </c>
      <c r="U307" s="10">
        <f>IF(A307="D",LEFT(UPPER(E307)&amp;REPT(" ",15),15)," ")</f>
        <v/>
      </c>
      <c r="V307" s="10">
        <f>REPT(" ",24)</f>
        <v/>
      </c>
      <c r="W307" s="10">
        <f>IF(A307="c",LEFT(UPPER(B307)&amp;REPT(" ",20),20),REPT(" ",20))</f>
        <v/>
      </c>
      <c r="X307" s="10">
        <f>IF(A307="C",LEFT(UPPER(C307)&amp;REPT(" ",10),10)," ")</f>
        <v/>
      </c>
      <c r="Y307" s="10">
        <f>IF(A307="C",LEFT(UPPER(D307)&amp;REPT(" ",2),2)," ")</f>
        <v/>
      </c>
      <c r="Z307" s="10">
        <f>IF(A307="C",LEFT(UPPER(E307)&amp;REPT(" ",15),15)," ")</f>
        <v/>
      </c>
      <c r="AA307" s="10">
        <f>REPT(" ",8)</f>
        <v/>
      </c>
      <c r="AB307" s="10">
        <f>REPT(" ",4)</f>
        <v/>
      </c>
      <c r="AC307" s="10">
        <f>LEFT(UPPER(H307)&amp;REPT(" ",250),250)</f>
        <v/>
      </c>
      <c r="AD307" s="10">
        <f>TEXT($G$2,"dd/mm/aaaa")</f>
        <v/>
      </c>
      <c r="AE307" s="10">
        <f>REPT(" ",10)</f>
        <v/>
      </c>
      <c r="AF307" s="10">
        <f>REPT(" ",20)</f>
        <v/>
      </c>
      <c r="AG307" s="54">
        <f>REPT(" ",18-LEN(FIXED(F307,2,TRUE)))&amp;FIXED(F307,2,TRUE)</f>
        <v/>
      </c>
      <c r="AH307" s="10">
        <f>LEN(AC307)+LEN(AG307)</f>
        <v/>
      </c>
      <c r="AI307" s="10">
        <f>LEN(L307)</f>
        <v/>
      </c>
    </row>
    <row r="308">
      <c r="A308" s="61" t="n"/>
      <c r="B308" s="62" t="n"/>
      <c r="C308" s="62" t="n"/>
      <c r="D308" s="62" t="n"/>
      <c r="E308" s="62" t="n"/>
      <c r="H308" s="61" t="n"/>
      <c r="I308" s="42" t="n"/>
      <c r="J308" s="12">
        <f>IF(F308&lt;&gt;0,"LANÇAR","")</f>
        <v/>
      </c>
      <c r="K308" s="20" t="n"/>
      <c r="L308" s="13">
        <f>N308&amp;O308&amp;P308&amp;Q308&amp;R308&amp;S308&amp;T308&amp;U308&amp;V308&amp;W308&amp;X308&amp;Y308&amp;Z308&amp;AA308&amp;AB308&amp;AC308&amp;AD308&amp;AE308&amp;AF308&amp;AG308</f>
        <v/>
      </c>
      <c r="M308" s="20" t="n"/>
      <c r="N308" s="10">
        <f>TEXT($B$6,"00")</f>
        <v/>
      </c>
      <c r="O308" s="10">
        <f>REPT(" ",8)</f>
        <v/>
      </c>
      <c r="P308" s="10">
        <f>RIGHT($B$4,2)</f>
        <v/>
      </c>
      <c r="Q308" s="10">
        <f>RIGHT($B$5,3)</f>
        <v/>
      </c>
      <c r="R308" s="10">
        <f>IF(A308="D",LEFT(UPPER(B308)&amp;REPT(" ",20),20),REPT(" ",20))</f>
        <v/>
      </c>
      <c r="S308" s="10">
        <f>IF(A308="D",LEFT(UPPER(C308)&amp;REPT(" ",10),10)," ")</f>
        <v/>
      </c>
      <c r="T308" s="10">
        <f>IF(A308="D",LEFT(UPPER(D308)&amp;REPT(" ",2),2)," ")</f>
        <v/>
      </c>
      <c r="U308" s="10">
        <f>IF(A308="D",LEFT(UPPER(E308)&amp;REPT(" ",15),15)," ")</f>
        <v/>
      </c>
      <c r="V308" s="10">
        <f>REPT(" ",24)</f>
        <v/>
      </c>
      <c r="W308" s="10">
        <f>IF(A308="c",LEFT(UPPER(B308)&amp;REPT(" ",20),20),REPT(" ",20))</f>
        <v/>
      </c>
      <c r="X308" s="10">
        <f>IF(A308="C",LEFT(UPPER(C308)&amp;REPT(" ",10),10)," ")</f>
        <v/>
      </c>
      <c r="Y308" s="10">
        <f>IF(A308="C",LEFT(UPPER(D308)&amp;REPT(" ",2),2)," ")</f>
        <v/>
      </c>
      <c r="Z308" s="10">
        <f>IF(A308="C",LEFT(UPPER(E308)&amp;REPT(" ",15),15)," ")</f>
        <v/>
      </c>
      <c r="AA308" s="10">
        <f>REPT(" ",8)</f>
        <v/>
      </c>
      <c r="AB308" s="10">
        <f>REPT(" ",4)</f>
        <v/>
      </c>
      <c r="AC308" s="10">
        <f>LEFT(UPPER(H308)&amp;REPT(" ",250),250)</f>
        <v/>
      </c>
      <c r="AD308" s="10">
        <f>TEXT($G$2,"dd/mm/aaaa")</f>
        <v/>
      </c>
      <c r="AE308" s="10">
        <f>REPT(" ",10)</f>
        <v/>
      </c>
      <c r="AF308" s="10">
        <f>REPT(" ",20)</f>
        <v/>
      </c>
      <c r="AG308" s="54">
        <f>REPT(" ",18-LEN(FIXED(F308,2,TRUE)))&amp;FIXED(F308,2,TRUE)</f>
        <v/>
      </c>
      <c r="AH308" s="10">
        <f>LEN(AC308)+LEN(AG308)</f>
        <v/>
      </c>
      <c r="AI308" s="10">
        <f>LEN(L308)</f>
        <v/>
      </c>
    </row>
    <row r="309">
      <c r="A309" s="61" t="n"/>
      <c r="B309" s="62" t="n"/>
      <c r="C309" s="62" t="n"/>
      <c r="D309" s="62" t="n"/>
      <c r="E309" s="62" t="n"/>
      <c r="H309" s="61" t="n"/>
      <c r="I309" s="42" t="n"/>
      <c r="J309" s="12">
        <f>IF(F309&lt;&gt;0,"LANÇAR","")</f>
        <v/>
      </c>
      <c r="K309" s="20" t="n"/>
      <c r="L309" s="13">
        <f>N309&amp;O309&amp;P309&amp;Q309&amp;R309&amp;S309&amp;T309&amp;U309&amp;V309&amp;W309&amp;X309&amp;Y309&amp;Z309&amp;AA309&amp;AB309&amp;AC309&amp;AD309&amp;AE309&amp;AF309&amp;AG309</f>
        <v/>
      </c>
      <c r="M309" s="20" t="n"/>
      <c r="N309" s="10">
        <f>TEXT($B$6,"00")</f>
        <v/>
      </c>
      <c r="O309" s="10">
        <f>REPT(" ",8)</f>
        <v/>
      </c>
      <c r="P309" s="10">
        <f>RIGHT($B$4,2)</f>
        <v/>
      </c>
      <c r="Q309" s="10">
        <f>RIGHT($B$5,3)</f>
        <v/>
      </c>
      <c r="R309" s="10">
        <f>IF(A309="D",LEFT(UPPER(B309)&amp;REPT(" ",20),20),REPT(" ",20))</f>
        <v/>
      </c>
      <c r="S309" s="10">
        <f>IF(A309="D",LEFT(UPPER(C309)&amp;REPT(" ",10),10)," ")</f>
        <v/>
      </c>
      <c r="T309" s="10">
        <f>IF(A309="D",LEFT(UPPER(D309)&amp;REPT(" ",2),2)," ")</f>
        <v/>
      </c>
      <c r="U309" s="10">
        <f>IF(A309="D",LEFT(UPPER(E309)&amp;REPT(" ",15),15)," ")</f>
        <v/>
      </c>
      <c r="V309" s="10">
        <f>REPT(" ",24)</f>
        <v/>
      </c>
      <c r="W309" s="10">
        <f>IF(A309="c",LEFT(UPPER(B309)&amp;REPT(" ",20),20),REPT(" ",20))</f>
        <v/>
      </c>
      <c r="X309" s="10">
        <f>IF(A309="C",LEFT(UPPER(C309)&amp;REPT(" ",10),10)," ")</f>
        <v/>
      </c>
      <c r="Y309" s="10">
        <f>IF(A309="C",LEFT(UPPER(D309)&amp;REPT(" ",2),2)," ")</f>
        <v/>
      </c>
      <c r="Z309" s="10">
        <f>IF(A309="C",LEFT(UPPER(E309)&amp;REPT(" ",15),15)," ")</f>
        <v/>
      </c>
      <c r="AA309" s="10">
        <f>REPT(" ",8)</f>
        <v/>
      </c>
      <c r="AB309" s="10">
        <f>REPT(" ",4)</f>
        <v/>
      </c>
      <c r="AC309" s="10">
        <f>LEFT(UPPER(H309)&amp;REPT(" ",250),250)</f>
        <v/>
      </c>
      <c r="AD309" s="10">
        <f>TEXT($G$2,"dd/mm/aaaa")</f>
        <v/>
      </c>
      <c r="AE309" s="10">
        <f>REPT(" ",10)</f>
        <v/>
      </c>
      <c r="AF309" s="10">
        <f>REPT(" ",20)</f>
        <v/>
      </c>
      <c r="AG309" s="54">
        <f>REPT(" ",18-LEN(FIXED(F309,2,TRUE)))&amp;FIXED(F309,2,TRUE)</f>
        <v/>
      </c>
      <c r="AH309" s="10">
        <f>LEN(AC309)+LEN(AG309)</f>
        <v/>
      </c>
      <c r="AI309" s="10">
        <f>LEN(L309)</f>
        <v/>
      </c>
    </row>
    <row r="310">
      <c r="A310" s="61" t="n"/>
      <c r="B310" s="62" t="n"/>
      <c r="C310" s="62" t="n"/>
      <c r="D310" s="62" t="n"/>
      <c r="E310" s="62" t="n"/>
      <c r="H310" s="61" t="n"/>
      <c r="I310" s="42" t="n"/>
      <c r="J310" s="12">
        <f>IF(F310&lt;&gt;0,"LANÇAR","")</f>
        <v/>
      </c>
      <c r="K310" s="20" t="n"/>
      <c r="L310" s="13">
        <f>N310&amp;O310&amp;P310&amp;Q310&amp;R310&amp;S310&amp;T310&amp;U310&amp;V310&amp;W310&amp;X310&amp;Y310&amp;Z310&amp;AA310&amp;AB310&amp;AC310&amp;AD310&amp;AE310&amp;AF310&amp;AG310</f>
        <v/>
      </c>
      <c r="M310" s="20" t="n"/>
      <c r="N310" s="10">
        <f>TEXT($B$6,"00")</f>
        <v/>
      </c>
      <c r="O310" s="10">
        <f>REPT(" ",8)</f>
        <v/>
      </c>
      <c r="P310" s="10">
        <f>RIGHT($B$4,2)</f>
        <v/>
      </c>
      <c r="Q310" s="10">
        <f>RIGHT($B$5,3)</f>
        <v/>
      </c>
      <c r="R310" s="10">
        <f>IF(A310="D",LEFT(UPPER(B310)&amp;REPT(" ",20),20),REPT(" ",20))</f>
        <v/>
      </c>
      <c r="S310" s="10">
        <f>IF(A310="D",LEFT(UPPER(C310)&amp;REPT(" ",10),10)," ")</f>
        <v/>
      </c>
      <c r="T310" s="10">
        <f>IF(A310="D",LEFT(UPPER(D310)&amp;REPT(" ",2),2)," ")</f>
        <v/>
      </c>
      <c r="U310" s="10">
        <f>IF(A310="D",LEFT(UPPER(E310)&amp;REPT(" ",15),15)," ")</f>
        <v/>
      </c>
      <c r="V310" s="10">
        <f>REPT(" ",24)</f>
        <v/>
      </c>
      <c r="W310" s="10">
        <f>IF(A310="c",LEFT(UPPER(B310)&amp;REPT(" ",20),20),REPT(" ",20))</f>
        <v/>
      </c>
      <c r="X310" s="10">
        <f>IF(A310="C",LEFT(UPPER(C310)&amp;REPT(" ",10),10)," ")</f>
        <v/>
      </c>
      <c r="Y310" s="10">
        <f>IF(A310="C",LEFT(UPPER(D310)&amp;REPT(" ",2),2)," ")</f>
        <v/>
      </c>
      <c r="Z310" s="10">
        <f>IF(A310="C",LEFT(UPPER(E310)&amp;REPT(" ",15),15)," ")</f>
        <v/>
      </c>
      <c r="AA310" s="10">
        <f>REPT(" ",8)</f>
        <v/>
      </c>
      <c r="AB310" s="10">
        <f>REPT(" ",4)</f>
        <v/>
      </c>
      <c r="AC310" s="10">
        <f>LEFT(UPPER(H310)&amp;REPT(" ",250),250)</f>
        <v/>
      </c>
      <c r="AD310" s="10">
        <f>TEXT($G$2,"dd/mm/aaaa")</f>
        <v/>
      </c>
      <c r="AE310" s="10">
        <f>REPT(" ",10)</f>
        <v/>
      </c>
      <c r="AF310" s="10">
        <f>REPT(" ",20)</f>
        <v/>
      </c>
      <c r="AG310" s="54">
        <f>REPT(" ",18-LEN(FIXED(F310,2,TRUE)))&amp;FIXED(F310,2,TRUE)</f>
        <v/>
      </c>
      <c r="AH310" s="10">
        <f>LEN(AC310)+LEN(AG310)</f>
        <v/>
      </c>
      <c r="AI310" s="10">
        <f>LEN(L310)</f>
        <v/>
      </c>
    </row>
    <row r="311">
      <c r="A311" s="61" t="n"/>
      <c r="B311" s="62" t="n"/>
      <c r="C311" s="62" t="n"/>
      <c r="D311" s="62" t="n"/>
      <c r="E311" s="62" t="n"/>
      <c r="H311" s="61" t="n"/>
      <c r="I311" s="42" t="n"/>
      <c r="J311" s="12">
        <f>IF(F311&lt;&gt;0,"LANÇAR","")</f>
        <v/>
      </c>
      <c r="K311" s="20" t="n"/>
      <c r="L311" s="13">
        <f>N311&amp;O311&amp;P311&amp;Q311&amp;R311&amp;S311&amp;T311&amp;U311&amp;V311&amp;W311&amp;X311&amp;Y311&amp;Z311&amp;AA311&amp;AB311&amp;AC311&amp;AD311&amp;AE311&amp;AF311&amp;AG311</f>
        <v/>
      </c>
      <c r="M311" s="20" t="n"/>
      <c r="N311" s="10">
        <f>TEXT($B$6,"00")</f>
        <v/>
      </c>
      <c r="O311" s="10">
        <f>REPT(" ",8)</f>
        <v/>
      </c>
      <c r="P311" s="10">
        <f>RIGHT($B$4,2)</f>
        <v/>
      </c>
      <c r="Q311" s="10">
        <f>RIGHT($B$5,3)</f>
        <v/>
      </c>
      <c r="R311" s="10">
        <f>IF(A311="D",LEFT(UPPER(B311)&amp;REPT(" ",20),20),REPT(" ",20))</f>
        <v/>
      </c>
      <c r="S311" s="10">
        <f>IF(A311="D",LEFT(UPPER(C311)&amp;REPT(" ",10),10)," ")</f>
        <v/>
      </c>
      <c r="T311" s="10">
        <f>IF(A311="D",LEFT(UPPER(D311)&amp;REPT(" ",2),2)," ")</f>
        <v/>
      </c>
      <c r="U311" s="10">
        <f>IF(A311="D",LEFT(UPPER(E311)&amp;REPT(" ",15),15)," ")</f>
        <v/>
      </c>
      <c r="V311" s="10">
        <f>REPT(" ",24)</f>
        <v/>
      </c>
      <c r="W311" s="10">
        <f>IF(A311="c",LEFT(UPPER(B311)&amp;REPT(" ",20),20),REPT(" ",20))</f>
        <v/>
      </c>
      <c r="X311" s="10">
        <f>IF(A311="C",LEFT(UPPER(C311)&amp;REPT(" ",10),10)," ")</f>
        <v/>
      </c>
      <c r="Y311" s="10">
        <f>IF(A311="C",LEFT(UPPER(D311)&amp;REPT(" ",2),2)," ")</f>
        <v/>
      </c>
      <c r="Z311" s="10">
        <f>IF(A311="C",LEFT(UPPER(E311)&amp;REPT(" ",15),15)," ")</f>
        <v/>
      </c>
      <c r="AA311" s="10">
        <f>REPT(" ",8)</f>
        <v/>
      </c>
      <c r="AB311" s="10">
        <f>REPT(" ",4)</f>
        <v/>
      </c>
      <c r="AC311" s="10">
        <f>LEFT(UPPER(H311)&amp;REPT(" ",250),250)</f>
        <v/>
      </c>
      <c r="AD311" s="10">
        <f>TEXT($G$2,"dd/mm/aaaa")</f>
        <v/>
      </c>
      <c r="AE311" s="10">
        <f>REPT(" ",10)</f>
        <v/>
      </c>
      <c r="AF311" s="10">
        <f>REPT(" ",20)</f>
        <v/>
      </c>
      <c r="AG311" s="54">
        <f>REPT(" ",18-LEN(FIXED(F311,2,TRUE)))&amp;FIXED(F311,2,TRUE)</f>
        <v/>
      </c>
      <c r="AH311" s="10">
        <f>LEN(AC311)+LEN(AG311)</f>
        <v/>
      </c>
      <c r="AI311" s="10">
        <f>LEN(L311)</f>
        <v/>
      </c>
    </row>
    <row r="312">
      <c r="A312" s="61" t="n"/>
      <c r="B312" s="62" t="n"/>
      <c r="C312" s="62" t="n"/>
      <c r="D312" s="62" t="n"/>
      <c r="E312" s="62" t="n"/>
      <c r="H312" s="61" t="n"/>
      <c r="I312" s="42" t="n"/>
      <c r="J312" s="12">
        <f>IF(F312&lt;&gt;0,"LANÇAR","")</f>
        <v/>
      </c>
      <c r="K312" s="20" t="n"/>
      <c r="L312" s="13">
        <f>N312&amp;O312&amp;P312&amp;Q312&amp;R312&amp;S312&amp;T312&amp;U312&amp;V312&amp;W312&amp;X312&amp;Y312&amp;Z312&amp;AA312&amp;AB312&amp;AC312&amp;AD312&amp;AE312&amp;AF312&amp;AG312</f>
        <v/>
      </c>
      <c r="M312" s="20" t="n"/>
      <c r="N312" s="10">
        <f>TEXT($B$6,"00")</f>
        <v/>
      </c>
      <c r="O312" s="10">
        <f>REPT(" ",8)</f>
        <v/>
      </c>
      <c r="P312" s="10">
        <f>RIGHT($B$4,2)</f>
        <v/>
      </c>
      <c r="Q312" s="10">
        <f>RIGHT($B$5,3)</f>
        <v/>
      </c>
      <c r="R312" s="10">
        <f>IF(A312="D",LEFT(UPPER(B312)&amp;REPT(" ",20),20),REPT(" ",20))</f>
        <v/>
      </c>
      <c r="S312" s="10">
        <f>IF(A312="D",LEFT(UPPER(C312)&amp;REPT(" ",10),10)," ")</f>
        <v/>
      </c>
      <c r="T312" s="10">
        <f>IF(A312="D",LEFT(UPPER(D312)&amp;REPT(" ",2),2)," ")</f>
        <v/>
      </c>
      <c r="U312" s="10">
        <f>IF(A312="D",LEFT(UPPER(E312)&amp;REPT(" ",15),15)," ")</f>
        <v/>
      </c>
      <c r="V312" s="10">
        <f>REPT(" ",24)</f>
        <v/>
      </c>
      <c r="W312" s="10">
        <f>IF(A312="c",LEFT(UPPER(B312)&amp;REPT(" ",20),20),REPT(" ",20))</f>
        <v/>
      </c>
      <c r="X312" s="10">
        <f>IF(A312="C",LEFT(UPPER(C312)&amp;REPT(" ",10),10)," ")</f>
        <v/>
      </c>
      <c r="Y312" s="10">
        <f>IF(A312="C",LEFT(UPPER(D312)&amp;REPT(" ",2),2)," ")</f>
        <v/>
      </c>
      <c r="Z312" s="10">
        <f>IF(A312="C",LEFT(UPPER(E312)&amp;REPT(" ",15),15)," ")</f>
        <v/>
      </c>
      <c r="AA312" s="10">
        <f>REPT(" ",8)</f>
        <v/>
      </c>
      <c r="AB312" s="10">
        <f>REPT(" ",4)</f>
        <v/>
      </c>
      <c r="AC312" s="10">
        <f>LEFT(UPPER(H312)&amp;REPT(" ",250),250)</f>
        <v/>
      </c>
      <c r="AD312" s="10">
        <f>TEXT($G$2,"dd/mm/aaaa")</f>
        <v/>
      </c>
      <c r="AE312" s="10">
        <f>REPT(" ",10)</f>
        <v/>
      </c>
      <c r="AF312" s="10">
        <f>REPT(" ",20)</f>
        <v/>
      </c>
      <c r="AG312" s="54">
        <f>REPT(" ",18-LEN(FIXED(F312,2,TRUE)))&amp;FIXED(F312,2,TRUE)</f>
        <v/>
      </c>
      <c r="AH312" s="10">
        <f>LEN(AC312)+LEN(AG312)</f>
        <v/>
      </c>
      <c r="AI312" s="10">
        <f>LEN(L312)</f>
        <v/>
      </c>
    </row>
    <row r="313">
      <c r="A313" s="61" t="n"/>
      <c r="B313" s="62" t="n"/>
      <c r="C313" s="62" t="n"/>
      <c r="D313" s="62" t="n"/>
      <c r="E313" s="62" t="n"/>
      <c r="H313" s="61" t="n"/>
      <c r="I313" s="42" t="n"/>
      <c r="J313" s="12">
        <f>IF(F313&lt;&gt;0,"LANÇAR","")</f>
        <v/>
      </c>
      <c r="K313" s="20" t="n"/>
      <c r="L313" s="13">
        <f>N313&amp;O313&amp;P313&amp;Q313&amp;R313&amp;S313&amp;T313&amp;U313&amp;V313&amp;W313&amp;X313&amp;Y313&amp;Z313&amp;AA313&amp;AB313&amp;AC313&amp;AD313&amp;AE313&amp;AF313&amp;AG313</f>
        <v/>
      </c>
      <c r="M313" s="20" t="n"/>
      <c r="N313" s="10">
        <f>TEXT($B$6,"00")</f>
        <v/>
      </c>
      <c r="O313" s="10">
        <f>REPT(" ",8)</f>
        <v/>
      </c>
      <c r="P313" s="10">
        <f>RIGHT($B$4,2)</f>
        <v/>
      </c>
      <c r="Q313" s="10">
        <f>RIGHT($B$5,3)</f>
        <v/>
      </c>
      <c r="R313" s="10">
        <f>IF(A313="D",LEFT(UPPER(B313)&amp;REPT(" ",20),20),REPT(" ",20))</f>
        <v/>
      </c>
      <c r="S313" s="10">
        <f>IF(A313="D",LEFT(UPPER(C313)&amp;REPT(" ",10),10)," ")</f>
        <v/>
      </c>
      <c r="T313" s="10">
        <f>IF(A313="D",LEFT(UPPER(D313)&amp;REPT(" ",2),2)," ")</f>
        <v/>
      </c>
      <c r="U313" s="10">
        <f>IF(A313="D",LEFT(UPPER(E313)&amp;REPT(" ",15),15)," ")</f>
        <v/>
      </c>
      <c r="V313" s="10">
        <f>REPT(" ",24)</f>
        <v/>
      </c>
      <c r="W313" s="10">
        <f>IF(A313="c",LEFT(UPPER(B313)&amp;REPT(" ",20),20),REPT(" ",20))</f>
        <v/>
      </c>
      <c r="X313" s="10">
        <f>IF(A313="C",LEFT(UPPER(C313)&amp;REPT(" ",10),10)," ")</f>
        <v/>
      </c>
      <c r="Y313" s="10">
        <f>IF(A313="C",LEFT(UPPER(D313)&amp;REPT(" ",2),2)," ")</f>
        <v/>
      </c>
      <c r="Z313" s="10">
        <f>IF(A313="C",LEFT(UPPER(E313)&amp;REPT(" ",15),15)," ")</f>
        <v/>
      </c>
      <c r="AA313" s="10">
        <f>REPT(" ",8)</f>
        <v/>
      </c>
      <c r="AB313" s="10">
        <f>REPT(" ",4)</f>
        <v/>
      </c>
      <c r="AC313" s="10">
        <f>LEFT(UPPER(H313)&amp;REPT(" ",250),250)</f>
        <v/>
      </c>
      <c r="AD313" s="10">
        <f>TEXT($G$2,"dd/mm/aaaa")</f>
        <v/>
      </c>
      <c r="AE313" s="10">
        <f>REPT(" ",10)</f>
        <v/>
      </c>
      <c r="AF313" s="10">
        <f>REPT(" ",20)</f>
        <v/>
      </c>
      <c r="AG313" s="54">
        <f>REPT(" ",18-LEN(FIXED(F313,2,TRUE)))&amp;FIXED(F313,2,TRUE)</f>
        <v/>
      </c>
      <c r="AH313" s="10">
        <f>LEN(AC313)+LEN(AG313)</f>
        <v/>
      </c>
      <c r="AI313" s="10">
        <f>LEN(L313)</f>
        <v/>
      </c>
    </row>
    <row r="314">
      <c r="A314" s="61" t="n"/>
      <c r="B314" s="62" t="n"/>
      <c r="C314" s="62" t="n"/>
      <c r="D314" s="62" t="n"/>
      <c r="E314" s="62" t="n"/>
      <c r="H314" s="61" t="n"/>
      <c r="I314" s="42" t="n"/>
      <c r="J314" s="12">
        <f>IF(F314&lt;&gt;0,"LANÇAR","")</f>
        <v/>
      </c>
      <c r="K314" s="20" t="n"/>
      <c r="L314" s="13">
        <f>N314&amp;O314&amp;P314&amp;Q314&amp;R314&amp;S314&amp;T314&amp;U314&amp;V314&amp;W314&amp;X314&amp;Y314&amp;Z314&amp;AA314&amp;AB314&amp;AC314&amp;AD314&amp;AE314&amp;AF314&amp;AG314</f>
        <v/>
      </c>
      <c r="M314" s="20" t="n"/>
      <c r="N314" s="10">
        <f>TEXT($B$6,"00")</f>
        <v/>
      </c>
      <c r="O314" s="10">
        <f>REPT(" ",8)</f>
        <v/>
      </c>
      <c r="P314" s="10">
        <f>RIGHT($B$4,2)</f>
        <v/>
      </c>
      <c r="Q314" s="10">
        <f>RIGHT($B$5,3)</f>
        <v/>
      </c>
      <c r="R314" s="10">
        <f>IF(A314="D",LEFT(UPPER(B314)&amp;REPT(" ",20),20),REPT(" ",20))</f>
        <v/>
      </c>
      <c r="S314" s="10">
        <f>IF(A314="D",LEFT(UPPER(C314)&amp;REPT(" ",10),10)," ")</f>
        <v/>
      </c>
      <c r="T314" s="10">
        <f>IF(A314="D",LEFT(UPPER(D314)&amp;REPT(" ",2),2)," ")</f>
        <v/>
      </c>
      <c r="U314" s="10">
        <f>IF(A314="D",LEFT(UPPER(E314)&amp;REPT(" ",15),15)," ")</f>
        <v/>
      </c>
      <c r="V314" s="10">
        <f>REPT(" ",24)</f>
        <v/>
      </c>
      <c r="W314" s="10">
        <f>IF(A314="c",LEFT(UPPER(B314)&amp;REPT(" ",20),20),REPT(" ",20))</f>
        <v/>
      </c>
      <c r="X314" s="10">
        <f>IF(A314="C",LEFT(UPPER(C314)&amp;REPT(" ",10),10)," ")</f>
        <v/>
      </c>
      <c r="Y314" s="10">
        <f>IF(A314="C",LEFT(UPPER(D314)&amp;REPT(" ",2),2)," ")</f>
        <v/>
      </c>
      <c r="Z314" s="10">
        <f>IF(A314="C",LEFT(UPPER(E314)&amp;REPT(" ",15),15)," ")</f>
        <v/>
      </c>
      <c r="AA314" s="10">
        <f>REPT(" ",8)</f>
        <v/>
      </c>
      <c r="AB314" s="10">
        <f>REPT(" ",4)</f>
        <v/>
      </c>
      <c r="AC314" s="10">
        <f>LEFT(UPPER(H314)&amp;REPT(" ",250),250)</f>
        <v/>
      </c>
      <c r="AD314" s="10">
        <f>TEXT($G$2,"dd/mm/aaaa")</f>
        <v/>
      </c>
      <c r="AE314" s="10">
        <f>REPT(" ",10)</f>
        <v/>
      </c>
      <c r="AF314" s="10">
        <f>REPT(" ",20)</f>
        <v/>
      </c>
      <c r="AG314" s="54">
        <f>REPT(" ",18-LEN(FIXED(F314,2,TRUE)))&amp;FIXED(F314,2,TRUE)</f>
        <v/>
      </c>
      <c r="AH314" s="10">
        <f>LEN(AC314)+LEN(AG314)</f>
        <v/>
      </c>
      <c r="AI314" s="10">
        <f>LEN(L314)</f>
        <v/>
      </c>
    </row>
    <row r="315">
      <c r="A315" s="61" t="n"/>
      <c r="B315" s="62" t="n"/>
      <c r="C315" s="62" t="n"/>
      <c r="D315" s="62" t="n"/>
      <c r="E315" s="62" t="n"/>
      <c r="H315" s="61" t="n"/>
      <c r="I315" s="42" t="n"/>
      <c r="J315" s="12">
        <f>IF(F315&lt;&gt;0,"LANÇAR","")</f>
        <v/>
      </c>
      <c r="K315" s="20" t="n"/>
      <c r="L315" s="13">
        <f>N315&amp;O315&amp;P315&amp;Q315&amp;R315&amp;S315&amp;T315&amp;U315&amp;V315&amp;W315&amp;X315&amp;Y315&amp;Z315&amp;AA315&amp;AB315&amp;AC315&amp;AD315&amp;AE315&amp;AF315&amp;AG315</f>
        <v/>
      </c>
      <c r="M315" s="20" t="n"/>
      <c r="N315" s="10">
        <f>TEXT($B$6,"00")</f>
        <v/>
      </c>
      <c r="O315" s="10">
        <f>REPT(" ",8)</f>
        <v/>
      </c>
      <c r="P315" s="10">
        <f>RIGHT($B$4,2)</f>
        <v/>
      </c>
      <c r="Q315" s="10">
        <f>RIGHT($B$5,3)</f>
        <v/>
      </c>
      <c r="R315" s="10">
        <f>IF(A315="D",LEFT(UPPER(B315)&amp;REPT(" ",20),20),REPT(" ",20))</f>
        <v/>
      </c>
      <c r="S315" s="10">
        <f>IF(A315="D",LEFT(UPPER(C315)&amp;REPT(" ",10),10)," ")</f>
        <v/>
      </c>
      <c r="T315" s="10">
        <f>IF(A315="D",LEFT(UPPER(D315)&amp;REPT(" ",2),2)," ")</f>
        <v/>
      </c>
      <c r="U315" s="10">
        <f>IF(A315="D",LEFT(UPPER(E315)&amp;REPT(" ",15),15)," ")</f>
        <v/>
      </c>
      <c r="V315" s="10">
        <f>REPT(" ",24)</f>
        <v/>
      </c>
      <c r="W315" s="10">
        <f>IF(A315="c",LEFT(UPPER(B315)&amp;REPT(" ",20),20),REPT(" ",20))</f>
        <v/>
      </c>
      <c r="X315" s="10">
        <f>IF(A315="C",LEFT(UPPER(C315)&amp;REPT(" ",10),10)," ")</f>
        <v/>
      </c>
      <c r="Y315" s="10">
        <f>IF(A315="C",LEFT(UPPER(D315)&amp;REPT(" ",2),2)," ")</f>
        <v/>
      </c>
      <c r="Z315" s="10">
        <f>IF(A315="C",LEFT(UPPER(E315)&amp;REPT(" ",15),15)," ")</f>
        <v/>
      </c>
      <c r="AA315" s="10">
        <f>REPT(" ",8)</f>
        <v/>
      </c>
      <c r="AB315" s="10">
        <f>REPT(" ",4)</f>
        <v/>
      </c>
      <c r="AC315" s="10">
        <f>LEFT(UPPER(H315)&amp;REPT(" ",250),250)</f>
        <v/>
      </c>
      <c r="AD315" s="10">
        <f>TEXT($G$2,"dd/mm/aaaa")</f>
        <v/>
      </c>
      <c r="AE315" s="10">
        <f>REPT(" ",10)</f>
        <v/>
      </c>
      <c r="AF315" s="10">
        <f>REPT(" ",20)</f>
        <v/>
      </c>
      <c r="AG315" s="54">
        <f>REPT(" ",18-LEN(FIXED(F315,2,TRUE)))&amp;FIXED(F315,2,TRUE)</f>
        <v/>
      </c>
      <c r="AH315" s="10">
        <f>LEN(AC315)+LEN(AG315)</f>
        <v/>
      </c>
      <c r="AI315" s="10">
        <f>LEN(L315)</f>
        <v/>
      </c>
    </row>
    <row r="316">
      <c r="A316" s="61" t="n"/>
      <c r="B316" s="62" t="n"/>
      <c r="C316" s="62" t="n"/>
      <c r="D316" s="62" t="n"/>
      <c r="E316" s="62" t="n"/>
      <c r="H316" s="61" t="n"/>
      <c r="I316" s="42" t="n"/>
      <c r="J316" s="12">
        <f>IF(F316&lt;&gt;0,"LANÇAR","")</f>
        <v/>
      </c>
      <c r="K316" s="20" t="n"/>
      <c r="L316" s="13">
        <f>N316&amp;O316&amp;P316&amp;Q316&amp;R316&amp;S316&amp;T316&amp;U316&amp;V316&amp;W316&amp;X316&amp;Y316&amp;Z316&amp;AA316&amp;AB316&amp;AC316&amp;AD316&amp;AE316&amp;AF316&amp;AG316</f>
        <v/>
      </c>
      <c r="M316" s="20" t="n"/>
      <c r="N316" s="10">
        <f>TEXT($B$6,"00")</f>
        <v/>
      </c>
      <c r="O316" s="10">
        <f>REPT(" ",8)</f>
        <v/>
      </c>
      <c r="P316" s="10">
        <f>RIGHT($B$4,2)</f>
        <v/>
      </c>
      <c r="Q316" s="10">
        <f>RIGHT($B$5,3)</f>
        <v/>
      </c>
      <c r="R316" s="10">
        <f>IF(A316="D",LEFT(UPPER(B316)&amp;REPT(" ",20),20),REPT(" ",20))</f>
        <v/>
      </c>
      <c r="S316" s="10">
        <f>IF(A316="D",LEFT(UPPER(C316)&amp;REPT(" ",10),10)," ")</f>
        <v/>
      </c>
      <c r="T316" s="10">
        <f>IF(A316="D",LEFT(UPPER(D316)&amp;REPT(" ",2),2)," ")</f>
        <v/>
      </c>
      <c r="U316" s="10">
        <f>IF(A316="D",LEFT(UPPER(E316)&amp;REPT(" ",15),15)," ")</f>
        <v/>
      </c>
      <c r="V316" s="10">
        <f>REPT(" ",24)</f>
        <v/>
      </c>
      <c r="W316" s="10">
        <f>IF(A316="c",LEFT(UPPER(B316)&amp;REPT(" ",20),20),REPT(" ",20))</f>
        <v/>
      </c>
      <c r="X316" s="10">
        <f>IF(A316="C",LEFT(UPPER(C316)&amp;REPT(" ",10),10)," ")</f>
        <v/>
      </c>
      <c r="Y316" s="10">
        <f>IF(A316="C",LEFT(UPPER(D316)&amp;REPT(" ",2),2)," ")</f>
        <v/>
      </c>
      <c r="Z316" s="10">
        <f>IF(A316="C",LEFT(UPPER(E316)&amp;REPT(" ",15),15)," ")</f>
        <v/>
      </c>
      <c r="AA316" s="10">
        <f>REPT(" ",8)</f>
        <v/>
      </c>
      <c r="AB316" s="10">
        <f>REPT(" ",4)</f>
        <v/>
      </c>
      <c r="AC316" s="10">
        <f>LEFT(UPPER(H316)&amp;REPT(" ",250),250)</f>
        <v/>
      </c>
      <c r="AD316" s="10">
        <f>TEXT($G$2,"dd/mm/aaaa")</f>
        <v/>
      </c>
      <c r="AE316" s="10">
        <f>REPT(" ",10)</f>
        <v/>
      </c>
      <c r="AF316" s="10">
        <f>REPT(" ",20)</f>
        <v/>
      </c>
      <c r="AG316" s="54">
        <f>REPT(" ",18-LEN(FIXED(F316,2,TRUE)))&amp;FIXED(F316,2,TRUE)</f>
        <v/>
      </c>
      <c r="AH316" s="10">
        <f>LEN(AC316)+LEN(AG316)</f>
        <v/>
      </c>
      <c r="AI316" s="10">
        <f>LEN(L316)</f>
        <v/>
      </c>
    </row>
    <row r="317">
      <c r="A317" s="61" t="n"/>
      <c r="B317" s="62" t="n"/>
      <c r="C317" s="62" t="n"/>
      <c r="D317" s="62" t="n"/>
      <c r="E317" s="62" t="n"/>
      <c r="H317" s="61" t="n"/>
      <c r="I317" s="42" t="n"/>
      <c r="J317" s="12">
        <f>IF(F317&lt;&gt;0,"LANÇAR","")</f>
        <v/>
      </c>
      <c r="K317" s="20" t="n"/>
      <c r="L317" s="13">
        <f>N317&amp;O317&amp;P317&amp;Q317&amp;R317&amp;S317&amp;T317&amp;U317&amp;V317&amp;W317&amp;X317&amp;Y317&amp;Z317&amp;AA317&amp;AB317&amp;AC317&amp;AD317&amp;AE317&amp;AF317&amp;AG317</f>
        <v/>
      </c>
      <c r="M317" s="20" t="n"/>
      <c r="N317" s="10">
        <f>TEXT($B$6,"00")</f>
        <v/>
      </c>
      <c r="O317" s="10">
        <f>REPT(" ",8)</f>
        <v/>
      </c>
      <c r="P317" s="10">
        <f>RIGHT($B$4,2)</f>
        <v/>
      </c>
      <c r="Q317" s="10">
        <f>RIGHT($B$5,3)</f>
        <v/>
      </c>
      <c r="R317" s="10">
        <f>IF(A317="D",LEFT(UPPER(B317)&amp;REPT(" ",20),20),REPT(" ",20))</f>
        <v/>
      </c>
      <c r="S317" s="10">
        <f>IF(A317="D",LEFT(UPPER(C317)&amp;REPT(" ",10),10)," ")</f>
        <v/>
      </c>
      <c r="T317" s="10">
        <f>IF(A317="D",LEFT(UPPER(D317)&amp;REPT(" ",2),2)," ")</f>
        <v/>
      </c>
      <c r="U317" s="10">
        <f>IF(A317="D",LEFT(UPPER(E317)&amp;REPT(" ",15),15)," ")</f>
        <v/>
      </c>
      <c r="V317" s="10">
        <f>REPT(" ",24)</f>
        <v/>
      </c>
      <c r="W317" s="10">
        <f>IF(A317="c",LEFT(UPPER(B317)&amp;REPT(" ",20),20),REPT(" ",20))</f>
        <v/>
      </c>
      <c r="X317" s="10">
        <f>IF(A317="C",LEFT(UPPER(C317)&amp;REPT(" ",10),10)," ")</f>
        <v/>
      </c>
      <c r="Y317" s="10">
        <f>IF(A317="C",LEFT(UPPER(D317)&amp;REPT(" ",2),2)," ")</f>
        <v/>
      </c>
      <c r="Z317" s="10">
        <f>IF(A317="C",LEFT(UPPER(E317)&amp;REPT(" ",15),15)," ")</f>
        <v/>
      </c>
      <c r="AA317" s="10">
        <f>REPT(" ",8)</f>
        <v/>
      </c>
      <c r="AB317" s="10">
        <f>REPT(" ",4)</f>
        <v/>
      </c>
      <c r="AC317" s="10">
        <f>LEFT(UPPER(H317)&amp;REPT(" ",250),250)</f>
        <v/>
      </c>
      <c r="AD317" s="10">
        <f>TEXT($G$2,"dd/mm/aaaa")</f>
        <v/>
      </c>
      <c r="AE317" s="10">
        <f>REPT(" ",10)</f>
        <v/>
      </c>
      <c r="AF317" s="10">
        <f>REPT(" ",20)</f>
        <v/>
      </c>
      <c r="AG317" s="54">
        <f>REPT(" ",18-LEN(FIXED(F317,2,TRUE)))&amp;FIXED(F317,2,TRUE)</f>
        <v/>
      </c>
      <c r="AH317" s="10">
        <f>LEN(AC317)+LEN(AG317)</f>
        <v/>
      </c>
      <c r="AI317" s="10">
        <f>LEN(L317)</f>
        <v/>
      </c>
    </row>
    <row r="318">
      <c r="A318" s="61" t="n"/>
      <c r="B318" s="62" t="n"/>
      <c r="C318" s="62" t="n"/>
      <c r="D318" s="62" t="n"/>
      <c r="E318" s="62" t="n"/>
      <c r="H318" s="61" t="n"/>
      <c r="I318" s="42" t="n"/>
      <c r="J318" s="12">
        <f>IF(F318&lt;&gt;0,"LANÇAR","")</f>
        <v/>
      </c>
      <c r="K318" s="20" t="n"/>
      <c r="L318" s="13">
        <f>N318&amp;O318&amp;P318&amp;Q318&amp;R318&amp;S318&amp;T318&amp;U318&amp;V318&amp;W318&amp;X318&amp;Y318&amp;Z318&amp;AA318&amp;AB318&amp;AC318&amp;AD318&amp;AE318&amp;AF318&amp;AG318</f>
        <v/>
      </c>
      <c r="M318" s="20" t="n"/>
      <c r="N318" s="10">
        <f>TEXT($B$6,"00")</f>
        <v/>
      </c>
      <c r="O318" s="10">
        <f>REPT(" ",8)</f>
        <v/>
      </c>
      <c r="P318" s="10">
        <f>RIGHT($B$4,2)</f>
        <v/>
      </c>
      <c r="Q318" s="10">
        <f>RIGHT($B$5,3)</f>
        <v/>
      </c>
      <c r="R318" s="10">
        <f>IF(A318="D",LEFT(UPPER(B318)&amp;REPT(" ",20),20),REPT(" ",20))</f>
        <v/>
      </c>
      <c r="S318" s="10">
        <f>IF(A318="D",LEFT(UPPER(C318)&amp;REPT(" ",10),10)," ")</f>
        <v/>
      </c>
      <c r="T318" s="10">
        <f>IF(A318="D",LEFT(UPPER(D318)&amp;REPT(" ",2),2)," ")</f>
        <v/>
      </c>
      <c r="U318" s="10">
        <f>IF(A318="D",LEFT(UPPER(E318)&amp;REPT(" ",15),15)," ")</f>
        <v/>
      </c>
      <c r="V318" s="10">
        <f>REPT(" ",24)</f>
        <v/>
      </c>
      <c r="W318" s="10">
        <f>IF(A318="c",LEFT(UPPER(B318)&amp;REPT(" ",20),20),REPT(" ",20))</f>
        <v/>
      </c>
      <c r="X318" s="10">
        <f>IF(A318="C",LEFT(UPPER(C318)&amp;REPT(" ",10),10)," ")</f>
        <v/>
      </c>
      <c r="Y318" s="10">
        <f>IF(A318="C",LEFT(UPPER(D318)&amp;REPT(" ",2),2)," ")</f>
        <v/>
      </c>
      <c r="Z318" s="10">
        <f>IF(A318="C",LEFT(UPPER(E318)&amp;REPT(" ",15),15)," ")</f>
        <v/>
      </c>
      <c r="AA318" s="10">
        <f>REPT(" ",8)</f>
        <v/>
      </c>
      <c r="AB318" s="10">
        <f>REPT(" ",4)</f>
        <v/>
      </c>
      <c r="AC318" s="10">
        <f>LEFT(UPPER(H318)&amp;REPT(" ",250),250)</f>
        <v/>
      </c>
      <c r="AD318" s="10">
        <f>TEXT($G$2,"dd/mm/aaaa")</f>
        <v/>
      </c>
      <c r="AE318" s="10">
        <f>REPT(" ",10)</f>
        <v/>
      </c>
      <c r="AF318" s="10">
        <f>REPT(" ",20)</f>
        <v/>
      </c>
      <c r="AG318" s="54">
        <f>REPT(" ",18-LEN(FIXED(F318,2,TRUE)))&amp;FIXED(F318,2,TRUE)</f>
        <v/>
      </c>
      <c r="AH318" s="10">
        <f>LEN(AC318)+LEN(AG318)</f>
        <v/>
      </c>
      <c r="AI318" s="10">
        <f>LEN(L318)</f>
        <v/>
      </c>
    </row>
    <row r="319">
      <c r="A319" s="61" t="n"/>
      <c r="B319" s="62" t="n"/>
      <c r="C319" s="62" t="n"/>
      <c r="D319" s="62" t="n"/>
      <c r="E319" s="62" t="n"/>
      <c r="H319" s="61" t="n"/>
      <c r="I319" s="42" t="n"/>
      <c r="J319" s="12">
        <f>IF(F319&lt;&gt;0,"LANÇAR","")</f>
        <v/>
      </c>
      <c r="K319" s="20" t="n"/>
      <c r="L319" s="13">
        <f>N319&amp;O319&amp;P319&amp;Q319&amp;R319&amp;S319&amp;T319&amp;U319&amp;V319&amp;W319&amp;X319&amp;Y319&amp;Z319&amp;AA319&amp;AB319&amp;AC319&amp;AD319&amp;AE319&amp;AF319&amp;AG319</f>
        <v/>
      </c>
      <c r="M319" s="20" t="n"/>
      <c r="N319" s="10">
        <f>TEXT($B$6,"00")</f>
        <v/>
      </c>
      <c r="O319" s="10">
        <f>REPT(" ",8)</f>
        <v/>
      </c>
      <c r="P319" s="10">
        <f>RIGHT($B$4,2)</f>
        <v/>
      </c>
      <c r="Q319" s="10">
        <f>RIGHT($B$5,3)</f>
        <v/>
      </c>
      <c r="R319" s="10">
        <f>IF(A319="D",LEFT(UPPER(B319)&amp;REPT(" ",20),20),REPT(" ",20))</f>
        <v/>
      </c>
      <c r="S319" s="10">
        <f>IF(A319="D",LEFT(UPPER(C319)&amp;REPT(" ",10),10)," ")</f>
        <v/>
      </c>
      <c r="T319" s="10">
        <f>IF(A319="D",LEFT(UPPER(D319)&amp;REPT(" ",2),2)," ")</f>
        <v/>
      </c>
      <c r="U319" s="10">
        <f>IF(A319="D",LEFT(UPPER(E319)&amp;REPT(" ",15),15)," ")</f>
        <v/>
      </c>
      <c r="V319" s="10">
        <f>REPT(" ",24)</f>
        <v/>
      </c>
      <c r="W319" s="10">
        <f>IF(A319="c",LEFT(UPPER(B319)&amp;REPT(" ",20),20),REPT(" ",20))</f>
        <v/>
      </c>
      <c r="X319" s="10">
        <f>IF(A319="C",LEFT(UPPER(C319)&amp;REPT(" ",10),10)," ")</f>
        <v/>
      </c>
      <c r="Y319" s="10">
        <f>IF(A319="C",LEFT(UPPER(D319)&amp;REPT(" ",2),2)," ")</f>
        <v/>
      </c>
      <c r="Z319" s="10">
        <f>IF(A319="C",LEFT(UPPER(E319)&amp;REPT(" ",15),15)," ")</f>
        <v/>
      </c>
      <c r="AA319" s="10">
        <f>REPT(" ",8)</f>
        <v/>
      </c>
      <c r="AB319" s="10">
        <f>REPT(" ",4)</f>
        <v/>
      </c>
      <c r="AC319" s="10">
        <f>LEFT(UPPER(H319)&amp;REPT(" ",250),250)</f>
        <v/>
      </c>
      <c r="AD319" s="10">
        <f>TEXT($G$2,"dd/mm/aaaa")</f>
        <v/>
      </c>
      <c r="AE319" s="10">
        <f>REPT(" ",10)</f>
        <v/>
      </c>
      <c r="AF319" s="10">
        <f>REPT(" ",20)</f>
        <v/>
      </c>
      <c r="AG319" s="54">
        <f>REPT(" ",18-LEN(FIXED(F319,2,TRUE)))&amp;FIXED(F319,2,TRUE)</f>
        <v/>
      </c>
      <c r="AH319" s="10">
        <f>LEN(AC319)+LEN(AG319)</f>
        <v/>
      </c>
      <c r="AI319" s="10">
        <f>LEN(L319)</f>
        <v/>
      </c>
    </row>
    <row r="320">
      <c r="A320" s="61" t="n"/>
      <c r="B320" s="62" t="n"/>
      <c r="C320" s="62" t="n"/>
      <c r="D320" s="62" t="n"/>
      <c r="E320" s="62" t="n"/>
      <c r="H320" s="61" t="n"/>
      <c r="I320" s="42" t="n"/>
      <c r="J320" s="12">
        <f>IF(F320&lt;&gt;0,"LANÇAR","")</f>
        <v/>
      </c>
      <c r="K320" s="20" t="n"/>
      <c r="L320" s="13">
        <f>N320&amp;O320&amp;P320&amp;Q320&amp;R320&amp;S320&amp;T320&amp;U320&amp;V320&amp;W320&amp;X320&amp;Y320&amp;Z320&amp;AA320&amp;AB320&amp;AC320&amp;AD320&amp;AE320&amp;AF320&amp;AG320</f>
        <v/>
      </c>
      <c r="M320" s="20" t="n"/>
      <c r="N320" s="10">
        <f>TEXT($B$6,"00")</f>
        <v/>
      </c>
      <c r="O320" s="10">
        <f>REPT(" ",8)</f>
        <v/>
      </c>
      <c r="P320" s="10">
        <f>RIGHT($B$4,2)</f>
        <v/>
      </c>
      <c r="Q320" s="10">
        <f>RIGHT($B$5,3)</f>
        <v/>
      </c>
      <c r="R320" s="10">
        <f>IF(A320="D",LEFT(UPPER(B320)&amp;REPT(" ",20),20),REPT(" ",20))</f>
        <v/>
      </c>
      <c r="S320" s="10">
        <f>IF(A320="D",LEFT(UPPER(C320)&amp;REPT(" ",10),10)," ")</f>
        <v/>
      </c>
      <c r="T320" s="10">
        <f>IF(A320="D",LEFT(UPPER(D320)&amp;REPT(" ",2),2)," ")</f>
        <v/>
      </c>
      <c r="U320" s="10">
        <f>IF(A320="D",LEFT(UPPER(E320)&amp;REPT(" ",15),15)," ")</f>
        <v/>
      </c>
      <c r="V320" s="10">
        <f>REPT(" ",24)</f>
        <v/>
      </c>
      <c r="W320" s="10">
        <f>IF(A320="c",LEFT(UPPER(B320)&amp;REPT(" ",20),20),REPT(" ",20))</f>
        <v/>
      </c>
      <c r="X320" s="10">
        <f>IF(A320="C",LEFT(UPPER(C320)&amp;REPT(" ",10),10)," ")</f>
        <v/>
      </c>
      <c r="Y320" s="10">
        <f>IF(A320="C",LEFT(UPPER(D320)&amp;REPT(" ",2),2)," ")</f>
        <v/>
      </c>
      <c r="Z320" s="10">
        <f>IF(A320="C",LEFT(UPPER(E320)&amp;REPT(" ",15),15)," ")</f>
        <v/>
      </c>
      <c r="AA320" s="10">
        <f>REPT(" ",8)</f>
        <v/>
      </c>
      <c r="AB320" s="10">
        <f>REPT(" ",4)</f>
        <v/>
      </c>
      <c r="AC320" s="10">
        <f>LEFT(UPPER(H320)&amp;REPT(" ",250),250)</f>
        <v/>
      </c>
      <c r="AD320" s="10">
        <f>TEXT($G$2,"dd/mm/aaaa")</f>
        <v/>
      </c>
      <c r="AE320" s="10">
        <f>REPT(" ",10)</f>
        <v/>
      </c>
      <c r="AF320" s="10">
        <f>REPT(" ",20)</f>
        <v/>
      </c>
      <c r="AG320" s="54">
        <f>REPT(" ",18-LEN(FIXED(F320,2,TRUE)))&amp;FIXED(F320,2,TRUE)</f>
        <v/>
      </c>
      <c r="AH320" s="10">
        <f>LEN(AC320)+LEN(AG320)</f>
        <v/>
      </c>
      <c r="AI320" s="10">
        <f>LEN(L320)</f>
        <v/>
      </c>
    </row>
    <row r="321">
      <c r="A321" s="61" t="n"/>
      <c r="B321" s="62" t="n"/>
      <c r="C321" s="62" t="n"/>
      <c r="D321" s="62" t="n"/>
      <c r="E321" s="62" t="n"/>
      <c r="H321" s="61" t="n"/>
      <c r="I321" s="42" t="n"/>
      <c r="J321" s="12">
        <f>IF(F321&lt;&gt;0,"LANÇAR","")</f>
        <v/>
      </c>
      <c r="K321" s="20" t="n"/>
      <c r="L321" s="13">
        <f>N321&amp;O321&amp;P321&amp;Q321&amp;R321&amp;S321&amp;T321&amp;U321&amp;V321&amp;W321&amp;X321&amp;Y321&amp;Z321&amp;AA321&amp;AB321&amp;AC321&amp;AD321&amp;AE321&amp;AF321&amp;AG321</f>
        <v/>
      </c>
      <c r="M321" s="20" t="n"/>
      <c r="N321" s="10">
        <f>TEXT($B$6,"00")</f>
        <v/>
      </c>
      <c r="O321" s="10">
        <f>REPT(" ",8)</f>
        <v/>
      </c>
      <c r="P321" s="10">
        <f>RIGHT($B$4,2)</f>
        <v/>
      </c>
      <c r="Q321" s="10">
        <f>RIGHT($B$5,3)</f>
        <v/>
      </c>
      <c r="R321" s="10">
        <f>IF(A321="D",LEFT(UPPER(B321)&amp;REPT(" ",20),20),REPT(" ",20))</f>
        <v/>
      </c>
      <c r="S321" s="10">
        <f>IF(A321="D",LEFT(UPPER(C321)&amp;REPT(" ",10),10)," ")</f>
        <v/>
      </c>
      <c r="T321" s="10">
        <f>IF(A321="D",LEFT(UPPER(D321)&amp;REPT(" ",2),2)," ")</f>
        <v/>
      </c>
      <c r="U321" s="10">
        <f>IF(A321="D",LEFT(UPPER(E321)&amp;REPT(" ",15),15)," ")</f>
        <v/>
      </c>
      <c r="V321" s="10">
        <f>REPT(" ",24)</f>
        <v/>
      </c>
      <c r="W321" s="10">
        <f>IF(A321="c",LEFT(UPPER(B321)&amp;REPT(" ",20),20),REPT(" ",20))</f>
        <v/>
      </c>
      <c r="X321" s="10">
        <f>IF(A321="C",LEFT(UPPER(C321)&amp;REPT(" ",10),10)," ")</f>
        <v/>
      </c>
      <c r="Y321" s="10">
        <f>IF(A321="C",LEFT(UPPER(D321)&amp;REPT(" ",2),2)," ")</f>
        <v/>
      </c>
      <c r="Z321" s="10">
        <f>IF(A321="C",LEFT(UPPER(E321)&amp;REPT(" ",15),15)," ")</f>
        <v/>
      </c>
      <c r="AA321" s="10">
        <f>REPT(" ",8)</f>
        <v/>
      </c>
      <c r="AB321" s="10">
        <f>REPT(" ",4)</f>
        <v/>
      </c>
      <c r="AC321" s="10">
        <f>LEFT(UPPER(H321)&amp;REPT(" ",250),250)</f>
        <v/>
      </c>
      <c r="AD321" s="10">
        <f>TEXT($G$2,"dd/mm/aaaa")</f>
        <v/>
      </c>
      <c r="AE321" s="10">
        <f>REPT(" ",10)</f>
        <v/>
      </c>
      <c r="AF321" s="10">
        <f>REPT(" ",20)</f>
        <v/>
      </c>
      <c r="AG321" s="54">
        <f>REPT(" ",18-LEN(FIXED(F321,2,TRUE)))&amp;FIXED(F321,2,TRUE)</f>
        <v/>
      </c>
      <c r="AH321" s="10">
        <f>LEN(AC321)+LEN(AG321)</f>
        <v/>
      </c>
      <c r="AI321" s="10">
        <f>LEN(L321)</f>
        <v/>
      </c>
    </row>
    <row r="322">
      <c r="A322" s="61" t="n"/>
      <c r="B322" s="62" t="n"/>
      <c r="C322" s="62" t="n"/>
      <c r="D322" s="62" t="n"/>
      <c r="E322" s="62" t="n"/>
      <c r="H322" s="61" t="n"/>
      <c r="I322" s="42" t="n"/>
      <c r="J322" s="12">
        <f>IF(F322&lt;&gt;0,"LANÇAR","")</f>
        <v/>
      </c>
      <c r="K322" s="20" t="n"/>
      <c r="L322" s="13">
        <f>N322&amp;O322&amp;P322&amp;Q322&amp;R322&amp;S322&amp;T322&amp;U322&amp;V322&amp;W322&amp;X322&amp;Y322&amp;Z322&amp;AA322&amp;AB322&amp;AC322&amp;AD322&amp;AE322&amp;AF322&amp;AG322</f>
        <v/>
      </c>
      <c r="M322" s="20" t="n"/>
      <c r="N322" s="10">
        <f>TEXT($B$6,"00")</f>
        <v/>
      </c>
      <c r="O322" s="10">
        <f>REPT(" ",8)</f>
        <v/>
      </c>
      <c r="P322" s="10">
        <f>RIGHT($B$4,2)</f>
        <v/>
      </c>
      <c r="Q322" s="10">
        <f>RIGHT($B$5,3)</f>
        <v/>
      </c>
      <c r="R322" s="10">
        <f>IF(A322="D",LEFT(UPPER(B322)&amp;REPT(" ",20),20),REPT(" ",20))</f>
        <v/>
      </c>
      <c r="S322" s="10">
        <f>IF(A322="D",LEFT(UPPER(C322)&amp;REPT(" ",10),10)," ")</f>
        <v/>
      </c>
      <c r="T322" s="10">
        <f>IF(A322="D",LEFT(UPPER(D322)&amp;REPT(" ",2),2)," ")</f>
        <v/>
      </c>
      <c r="U322" s="10">
        <f>IF(A322="D",LEFT(UPPER(E322)&amp;REPT(" ",15),15)," ")</f>
        <v/>
      </c>
      <c r="V322" s="10">
        <f>REPT(" ",24)</f>
        <v/>
      </c>
      <c r="W322" s="10">
        <f>IF(A322="c",LEFT(UPPER(B322)&amp;REPT(" ",20),20),REPT(" ",20))</f>
        <v/>
      </c>
      <c r="X322" s="10">
        <f>IF(A322="C",LEFT(UPPER(C322)&amp;REPT(" ",10),10)," ")</f>
        <v/>
      </c>
      <c r="Y322" s="10">
        <f>IF(A322="C",LEFT(UPPER(D322)&amp;REPT(" ",2),2)," ")</f>
        <v/>
      </c>
      <c r="Z322" s="10">
        <f>IF(A322="C",LEFT(UPPER(E322)&amp;REPT(" ",15),15)," ")</f>
        <v/>
      </c>
      <c r="AA322" s="10">
        <f>REPT(" ",8)</f>
        <v/>
      </c>
      <c r="AB322" s="10">
        <f>REPT(" ",4)</f>
        <v/>
      </c>
      <c r="AC322" s="10">
        <f>LEFT(UPPER(H322)&amp;REPT(" ",250),250)</f>
        <v/>
      </c>
      <c r="AD322" s="10">
        <f>TEXT($G$2,"dd/mm/aaaa")</f>
        <v/>
      </c>
      <c r="AE322" s="10">
        <f>REPT(" ",10)</f>
        <v/>
      </c>
      <c r="AF322" s="10">
        <f>REPT(" ",20)</f>
        <v/>
      </c>
      <c r="AG322" s="54">
        <f>REPT(" ",18-LEN(FIXED(F322,2,TRUE)))&amp;FIXED(F322,2,TRUE)</f>
        <v/>
      </c>
      <c r="AH322" s="10">
        <f>LEN(AC322)+LEN(AG322)</f>
        <v/>
      </c>
      <c r="AI322" s="10">
        <f>LEN(L322)</f>
        <v/>
      </c>
    </row>
    <row r="323">
      <c r="A323" s="61" t="n"/>
      <c r="B323" s="62" t="n"/>
      <c r="C323" s="62" t="n"/>
      <c r="D323" s="62" t="n"/>
      <c r="E323" s="62" t="n"/>
      <c r="H323" s="61" t="n"/>
      <c r="I323" s="42" t="n"/>
      <c r="J323" s="12">
        <f>IF(F323&lt;&gt;0,"LANÇAR","")</f>
        <v/>
      </c>
      <c r="K323" s="20" t="n"/>
      <c r="L323" s="13">
        <f>N323&amp;O323&amp;P323&amp;Q323&amp;R323&amp;S323&amp;T323&amp;U323&amp;V323&amp;W323&amp;X323&amp;Y323&amp;Z323&amp;AA323&amp;AB323&amp;AC323&amp;AD323&amp;AE323&amp;AF323&amp;AG323</f>
        <v/>
      </c>
      <c r="M323" s="20" t="n"/>
      <c r="N323" s="10">
        <f>TEXT($B$6,"00")</f>
        <v/>
      </c>
      <c r="O323" s="10">
        <f>REPT(" ",8)</f>
        <v/>
      </c>
      <c r="P323" s="10">
        <f>RIGHT($B$4,2)</f>
        <v/>
      </c>
      <c r="Q323" s="10">
        <f>RIGHT($B$5,3)</f>
        <v/>
      </c>
      <c r="R323" s="10">
        <f>IF(A323="D",LEFT(UPPER(B323)&amp;REPT(" ",20),20),REPT(" ",20))</f>
        <v/>
      </c>
      <c r="S323" s="10">
        <f>IF(A323="D",LEFT(UPPER(C323)&amp;REPT(" ",10),10)," ")</f>
        <v/>
      </c>
      <c r="T323" s="10">
        <f>IF(A323="D",LEFT(UPPER(D323)&amp;REPT(" ",2),2)," ")</f>
        <v/>
      </c>
      <c r="U323" s="10">
        <f>IF(A323="D",LEFT(UPPER(E323)&amp;REPT(" ",15),15)," ")</f>
        <v/>
      </c>
      <c r="V323" s="10">
        <f>REPT(" ",24)</f>
        <v/>
      </c>
      <c r="W323" s="10">
        <f>IF(A323="c",LEFT(UPPER(B323)&amp;REPT(" ",20),20),REPT(" ",20))</f>
        <v/>
      </c>
      <c r="X323" s="10">
        <f>IF(A323="C",LEFT(UPPER(C323)&amp;REPT(" ",10),10)," ")</f>
        <v/>
      </c>
      <c r="Y323" s="10">
        <f>IF(A323="C",LEFT(UPPER(D323)&amp;REPT(" ",2),2)," ")</f>
        <v/>
      </c>
      <c r="Z323" s="10">
        <f>IF(A323="C",LEFT(UPPER(E323)&amp;REPT(" ",15),15)," ")</f>
        <v/>
      </c>
      <c r="AA323" s="10">
        <f>REPT(" ",8)</f>
        <v/>
      </c>
      <c r="AB323" s="10">
        <f>REPT(" ",4)</f>
        <v/>
      </c>
      <c r="AC323" s="10">
        <f>LEFT(UPPER(H323)&amp;REPT(" ",250),250)</f>
        <v/>
      </c>
      <c r="AD323" s="10">
        <f>TEXT($G$2,"dd/mm/aaaa")</f>
        <v/>
      </c>
      <c r="AE323" s="10">
        <f>REPT(" ",10)</f>
        <v/>
      </c>
      <c r="AF323" s="10">
        <f>REPT(" ",20)</f>
        <v/>
      </c>
      <c r="AG323" s="54">
        <f>REPT(" ",18-LEN(FIXED(F323,2,TRUE)))&amp;FIXED(F323,2,TRUE)</f>
        <v/>
      </c>
      <c r="AH323" s="10">
        <f>LEN(AC323)+LEN(AG323)</f>
        <v/>
      </c>
      <c r="AI323" s="10">
        <f>LEN(L323)</f>
        <v/>
      </c>
    </row>
    <row r="324">
      <c r="I324" s="42" t="n"/>
      <c r="J324" s="12">
        <f>IF(F324&lt;&gt;0,"LANÇAR","")</f>
        <v/>
      </c>
      <c r="K324" s="20" t="n"/>
      <c r="L324" s="13">
        <f>N324&amp;O324&amp;P324&amp;Q324&amp;R324&amp;S324&amp;T324&amp;U324&amp;V324&amp;W324&amp;X324&amp;Y324&amp;Z324&amp;AA324&amp;AB324&amp;AC324&amp;AD324&amp;AE324&amp;AF324&amp;AG324</f>
        <v/>
      </c>
      <c r="M324" s="20" t="n"/>
      <c r="N324" s="10">
        <f>TEXT($B$6,"00")</f>
        <v/>
      </c>
      <c r="O324" s="10">
        <f>REPT(" ",8)</f>
        <v/>
      </c>
      <c r="P324" s="10">
        <f>RIGHT($B$4,2)</f>
        <v/>
      </c>
      <c r="Q324" s="10">
        <f>RIGHT($B$5,3)</f>
        <v/>
      </c>
      <c r="R324" s="10">
        <f>IF(A324="D",LEFT(UPPER(B324)&amp;REPT(" ",20),20),REPT(" ",20))</f>
        <v/>
      </c>
      <c r="S324" s="10">
        <f>IF(A324="D",LEFT(UPPER(C324)&amp;REPT(" ",10),10)," ")</f>
        <v/>
      </c>
      <c r="T324" s="10">
        <f>IF(A324="D",LEFT(UPPER(D324)&amp;REPT(" ",2),2)," ")</f>
        <v/>
      </c>
      <c r="U324" s="10">
        <f>IF(A324="D",LEFT(UPPER(E324)&amp;REPT(" ",15),15)," ")</f>
        <v/>
      </c>
      <c r="V324" s="10">
        <f>REPT(" ",24)</f>
        <v/>
      </c>
      <c r="W324" s="10">
        <f>IF(A324="c",LEFT(UPPER(B324)&amp;REPT(" ",20),20),REPT(" ",20))</f>
        <v/>
      </c>
      <c r="X324" s="10">
        <f>IF(A324="C",LEFT(UPPER(C324)&amp;REPT(" ",10),10)," ")</f>
        <v/>
      </c>
      <c r="Y324" s="10">
        <f>IF(A324="C",LEFT(UPPER(D324)&amp;REPT(" ",2),2)," ")</f>
        <v/>
      </c>
      <c r="Z324" s="10">
        <f>IF(A324="C",LEFT(UPPER(E324)&amp;REPT(" ",15),15)," ")</f>
        <v/>
      </c>
      <c r="AA324" s="10">
        <f>REPT(" ",8)</f>
        <v/>
      </c>
      <c r="AB324" s="10">
        <f>REPT(" ",4)</f>
        <v/>
      </c>
      <c r="AC324" s="10">
        <f>LEFT(UPPER(H324)&amp;REPT(" ",250),250)</f>
        <v/>
      </c>
      <c r="AD324" s="10">
        <f>TEXT($G$2,"dd/mm/aaaa")</f>
        <v/>
      </c>
      <c r="AE324" s="10">
        <f>REPT(" ",10)</f>
        <v/>
      </c>
      <c r="AF324" s="10">
        <f>REPT(" ",20)</f>
        <v/>
      </c>
      <c r="AG324" s="54">
        <f>REPT(" ",18-LEN(FIXED(F324,2,TRUE)))&amp;FIXED(F324,2,TRUE)</f>
        <v/>
      </c>
      <c r="AH324" s="10">
        <f>LEN(AC324)+LEN(AG324)</f>
        <v/>
      </c>
      <c r="AI324" s="10">
        <f>LEN(L324)</f>
        <v/>
      </c>
    </row>
    <row r="325">
      <c r="I325" s="42" t="n"/>
      <c r="J325" s="12">
        <f>IF(F325&lt;&gt;0,"LANÇAR","")</f>
        <v/>
      </c>
      <c r="K325" s="20" t="n"/>
      <c r="L325" s="13">
        <f>N325&amp;O325&amp;P325&amp;Q325&amp;R325&amp;S325&amp;T325&amp;U325&amp;V325&amp;W325&amp;X325&amp;Y325&amp;Z325&amp;AA325&amp;AB325&amp;AC325&amp;AD325&amp;AE325&amp;AF325&amp;AG325</f>
        <v/>
      </c>
      <c r="M325" s="20" t="n"/>
      <c r="N325" s="10">
        <f>TEXT($B$6,"00")</f>
        <v/>
      </c>
      <c r="O325" s="10">
        <f>REPT(" ",8)</f>
        <v/>
      </c>
      <c r="P325" s="10">
        <f>RIGHT($B$4,2)</f>
        <v/>
      </c>
      <c r="Q325" s="10">
        <f>RIGHT($B$5,3)</f>
        <v/>
      </c>
      <c r="R325" s="10">
        <f>IF(A325="D",LEFT(UPPER(B325)&amp;REPT(" ",20),20),REPT(" ",20))</f>
        <v/>
      </c>
      <c r="S325" s="10">
        <f>IF(A325="D",LEFT(UPPER(C325)&amp;REPT(" ",10),10)," ")</f>
        <v/>
      </c>
      <c r="T325" s="10">
        <f>IF(A325="D",LEFT(UPPER(D325)&amp;REPT(" ",2),2)," ")</f>
        <v/>
      </c>
      <c r="U325" s="10">
        <f>IF(A325="D",LEFT(UPPER(E325)&amp;REPT(" ",15),15)," ")</f>
        <v/>
      </c>
      <c r="V325" s="10">
        <f>REPT(" ",24)</f>
        <v/>
      </c>
      <c r="W325" s="10">
        <f>IF(A325="c",LEFT(UPPER(B325)&amp;REPT(" ",20),20),REPT(" ",20))</f>
        <v/>
      </c>
      <c r="X325" s="10">
        <f>IF(A325="C",LEFT(UPPER(C325)&amp;REPT(" ",10),10)," ")</f>
        <v/>
      </c>
      <c r="Y325" s="10">
        <f>IF(A325="C",LEFT(UPPER(D325)&amp;REPT(" ",2),2)," ")</f>
        <v/>
      </c>
      <c r="Z325" s="10">
        <f>IF(A325="C",LEFT(UPPER(E325)&amp;REPT(" ",15),15)," ")</f>
        <v/>
      </c>
      <c r="AA325" s="10">
        <f>REPT(" ",8)</f>
        <v/>
      </c>
      <c r="AB325" s="10">
        <f>REPT(" ",4)</f>
        <v/>
      </c>
      <c r="AC325" s="10">
        <f>LEFT(UPPER(H325)&amp;REPT(" ",250),250)</f>
        <v/>
      </c>
      <c r="AD325" s="10">
        <f>TEXT($G$2,"dd/mm/aaaa")</f>
        <v/>
      </c>
      <c r="AE325" s="10">
        <f>REPT(" ",10)</f>
        <v/>
      </c>
      <c r="AF325" s="10">
        <f>REPT(" ",20)</f>
        <v/>
      </c>
      <c r="AG325" s="54">
        <f>REPT(" ",18-LEN(FIXED(F325,2,TRUE)))&amp;FIXED(F325,2,TRUE)</f>
        <v/>
      </c>
      <c r="AH325" s="10">
        <f>LEN(AC325)+LEN(AG325)</f>
        <v/>
      </c>
      <c r="AI325" s="10">
        <f>LEN(L325)</f>
        <v/>
      </c>
    </row>
    <row r="326">
      <c r="I326" s="42" t="n"/>
      <c r="J326" s="12">
        <f>IF(F326&lt;&gt;0,"LANÇAR","")</f>
        <v/>
      </c>
      <c r="K326" s="20" t="n"/>
      <c r="L326" s="13">
        <f>N326&amp;O326&amp;P326&amp;Q326&amp;R326&amp;S326&amp;T326&amp;U326&amp;V326&amp;W326&amp;X326&amp;Y326&amp;Z326&amp;AA326&amp;AB326&amp;AC326&amp;AD326&amp;AE326&amp;AF326&amp;AG326</f>
        <v/>
      </c>
      <c r="M326" s="20" t="n"/>
      <c r="N326" s="10">
        <f>TEXT($B$6,"00")</f>
        <v/>
      </c>
      <c r="O326" s="10">
        <f>REPT(" ",8)</f>
        <v/>
      </c>
      <c r="P326" s="10">
        <f>RIGHT($B$4,2)</f>
        <v/>
      </c>
      <c r="Q326" s="10">
        <f>RIGHT($B$5,3)</f>
        <v/>
      </c>
      <c r="R326" s="10">
        <f>IF(A326="D",LEFT(UPPER(B326)&amp;REPT(" ",20),20),REPT(" ",20))</f>
        <v/>
      </c>
      <c r="S326" s="10">
        <f>IF(A326="D",LEFT(UPPER(C326)&amp;REPT(" ",10),10)," ")</f>
        <v/>
      </c>
      <c r="T326" s="10">
        <f>IF(A326="D",LEFT(UPPER(D326)&amp;REPT(" ",2),2)," ")</f>
        <v/>
      </c>
      <c r="U326" s="10">
        <f>IF(A326="D",LEFT(UPPER(E326)&amp;REPT(" ",15),15)," ")</f>
        <v/>
      </c>
      <c r="V326" s="10">
        <f>REPT(" ",24)</f>
        <v/>
      </c>
      <c r="W326" s="10">
        <f>IF(A326="c",LEFT(UPPER(B326)&amp;REPT(" ",20),20),REPT(" ",20))</f>
        <v/>
      </c>
      <c r="X326" s="10">
        <f>IF(A326="C",LEFT(UPPER(C326)&amp;REPT(" ",10),10)," ")</f>
        <v/>
      </c>
      <c r="Y326" s="10">
        <f>IF(A326="C",LEFT(UPPER(D326)&amp;REPT(" ",2),2)," ")</f>
        <v/>
      </c>
      <c r="Z326" s="10">
        <f>IF(A326="C",LEFT(UPPER(E326)&amp;REPT(" ",15),15)," ")</f>
        <v/>
      </c>
      <c r="AA326" s="10">
        <f>REPT(" ",8)</f>
        <v/>
      </c>
      <c r="AB326" s="10">
        <f>REPT(" ",4)</f>
        <v/>
      </c>
      <c r="AC326" s="10">
        <f>LEFT(UPPER(H326)&amp;REPT(" ",250),250)</f>
        <v/>
      </c>
      <c r="AD326" s="10">
        <f>TEXT($G$2,"dd/mm/aaaa")</f>
        <v/>
      </c>
      <c r="AE326" s="10">
        <f>REPT(" ",10)</f>
        <v/>
      </c>
      <c r="AF326" s="10">
        <f>REPT(" ",20)</f>
        <v/>
      </c>
      <c r="AG326" s="54">
        <f>REPT(" ",18-LEN(FIXED(F326,2,TRUE)))&amp;FIXED(F326,2,TRUE)</f>
        <v/>
      </c>
      <c r="AH326" s="10">
        <f>LEN(AC326)+LEN(AG326)</f>
        <v/>
      </c>
      <c r="AI326" s="10">
        <f>LEN(L326)</f>
        <v/>
      </c>
    </row>
    <row r="327">
      <c r="I327" s="42" t="n"/>
      <c r="J327" s="12">
        <f>IF(F327&lt;&gt;0,"LANÇAR","")</f>
        <v/>
      </c>
      <c r="K327" s="20" t="n"/>
      <c r="L327" s="13">
        <f>N327&amp;O327&amp;P327&amp;Q327&amp;R327&amp;S327&amp;T327&amp;U327&amp;V327&amp;W327&amp;X327&amp;Y327&amp;Z327&amp;AA327&amp;AB327&amp;AC327&amp;AD327&amp;AE327&amp;AF327&amp;AG327</f>
        <v/>
      </c>
      <c r="M327" s="20" t="n"/>
      <c r="N327" s="10">
        <f>TEXT($B$6,"00")</f>
        <v/>
      </c>
      <c r="O327" s="10">
        <f>REPT(" ",8)</f>
        <v/>
      </c>
      <c r="P327" s="10">
        <f>RIGHT($B$4,2)</f>
        <v/>
      </c>
      <c r="Q327" s="10">
        <f>RIGHT($B$5,3)</f>
        <v/>
      </c>
      <c r="R327" s="10">
        <f>IF(A327="D",LEFT(UPPER(B327)&amp;REPT(" ",20),20),REPT(" ",20))</f>
        <v/>
      </c>
      <c r="S327" s="10">
        <f>IF(A327="D",LEFT(UPPER(C327)&amp;REPT(" ",10),10)," ")</f>
        <v/>
      </c>
      <c r="T327" s="10">
        <f>IF(A327="D",LEFT(UPPER(D327)&amp;REPT(" ",2),2)," ")</f>
        <v/>
      </c>
      <c r="U327" s="10">
        <f>IF(A327="D",LEFT(UPPER(E327)&amp;REPT(" ",15),15)," ")</f>
        <v/>
      </c>
      <c r="V327" s="10">
        <f>REPT(" ",24)</f>
        <v/>
      </c>
      <c r="W327" s="10">
        <f>IF(A327="c",LEFT(UPPER(B327)&amp;REPT(" ",20),20),REPT(" ",20))</f>
        <v/>
      </c>
      <c r="X327" s="10">
        <f>IF(A327="C",LEFT(UPPER(C327)&amp;REPT(" ",10),10)," ")</f>
        <v/>
      </c>
      <c r="Y327" s="10">
        <f>IF(A327="C",LEFT(UPPER(D327)&amp;REPT(" ",2),2)," ")</f>
        <v/>
      </c>
      <c r="Z327" s="10">
        <f>IF(A327="C",LEFT(UPPER(E327)&amp;REPT(" ",15),15)," ")</f>
        <v/>
      </c>
      <c r="AA327" s="10">
        <f>REPT(" ",8)</f>
        <v/>
      </c>
      <c r="AB327" s="10">
        <f>REPT(" ",4)</f>
        <v/>
      </c>
      <c r="AC327" s="10">
        <f>LEFT(UPPER(H327)&amp;REPT(" ",250),250)</f>
        <v/>
      </c>
      <c r="AD327" s="10">
        <f>TEXT($G$2,"dd/mm/aaaa")</f>
        <v/>
      </c>
      <c r="AE327" s="10">
        <f>REPT(" ",10)</f>
        <v/>
      </c>
      <c r="AF327" s="10">
        <f>REPT(" ",20)</f>
        <v/>
      </c>
      <c r="AG327" s="54">
        <f>REPT(" ",18-LEN(FIXED(F327,2,TRUE)))&amp;FIXED(F327,2,TRUE)</f>
        <v/>
      </c>
      <c r="AH327" s="10">
        <f>LEN(AC327)+LEN(AG327)</f>
        <v/>
      </c>
      <c r="AI327" s="10">
        <f>LEN(L327)</f>
        <v/>
      </c>
    </row>
    <row r="328">
      <c r="I328" s="42" t="n"/>
      <c r="J328" s="12">
        <f>IF(F328&lt;&gt;0,"LANÇAR","")</f>
        <v/>
      </c>
      <c r="K328" s="20" t="n"/>
      <c r="L328" s="13">
        <f>N328&amp;O328&amp;P328&amp;Q328&amp;R328&amp;S328&amp;T328&amp;U328&amp;V328&amp;W328&amp;X328&amp;Y328&amp;Z328&amp;AA328&amp;AB328&amp;AC328&amp;AD328&amp;AE328&amp;AF328&amp;AG328</f>
        <v/>
      </c>
      <c r="M328" s="20" t="n"/>
      <c r="N328" s="10">
        <f>TEXT($B$6,"00")</f>
        <v/>
      </c>
      <c r="O328" s="10">
        <f>REPT(" ",8)</f>
        <v/>
      </c>
      <c r="P328" s="10">
        <f>RIGHT($B$4,2)</f>
        <v/>
      </c>
      <c r="Q328" s="10">
        <f>RIGHT($B$5,3)</f>
        <v/>
      </c>
      <c r="R328" s="10">
        <f>IF(A328="D",LEFT(UPPER(B328)&amp;REPT(" ",20),20),REPT(" ",20))</f>
        <v/>
      </c>
      <c r="S328" s="10">
        <f>IF(A328="D",LEFT(UPPER(C328)&amp;REPT(" ",10),10)," ")</f>
        <v/>
      </c>
      <c r="T328" s="10">
        <f>IF(A328="D",LEFT(UPPER(D328)&amp;REPT(" ",2),2)," ")</f>
        <v/>
      </c>
      <c r="U328" s="10">
        <f>IF(A328="D",LEFT(UPPER(E328)&amp;REPT(" ",15),15)," ")</f>
        <v/>
      </c>
      <c r="V328" s="10">
        <f>REPT(" ",24)</f>
        <v/>
      </c>
      <c r="W328" s="10">
        <f>IF(A328="c",LEFT(UPPER(B328)&amp;REPT(" ",20),20),REPT(" ",20))</f>
        <v/>
      </c>
      <c r="X328" s="10">
        <f>IF(A328="C",LEFT(UPPER(C328)&amp;REPT(" ",10),10)," ")</f>
        <v/>
      </c>
      <c r="Y328" s="10">
        <f>IF(A328="C",LEFT(UPPER(D328)&amp;REPT(" ",2),2)," ")</f>
        <v/>
      </c>
      <c r="Z328" s="10">
        <f>IF(A328="C",LEFT(UPPER(E328)&amp;REPT(" ",15),15)," ")</f>
        <v/>
      </c>
      <c r="AA328" s="10">
        <f>REPT(" ",8)</f>
        <v/>
      </c>
      <c r="AB328" s="10">
        <f>REPT(" ",4)</f>
        <v/>
      </c>
      <c r="AC328" s="10">
        <f>LEFT(UPPER(H328)&amp;REPT(" ",250),250)</f>
        <v/>
      </c>
      <c r="AD328" s="10">
        <f>TEXT($G$2,"dd/mm/aaaa")</f>
        <v/>
      </c>
      <c r="AE328" s="10">
        <f>REPT(" ",10)</f>
        <v/>
      </c>
      <c r="AF328" s="10">
        <f>REPT(" ",20)</f>
        <v/>
      </c>
      <c r="AG328" s="54">
        <f>REPT(" ",18-LEN(FIXED(F328,2,TRUE)))&amp;FIXED(F328,2,TRUE)</f>
        <v/>
      </c>
      <c r="AH328" s="10">
        <f>LEN(AC328)+LEN(AG328)</f>
        <v/>
      </c>
      <c r="AI328" s="10">
        <f>LEN(L328)</f>
        <v/>
      </c>
    </row>
    <row r="329">
      <c r="I329" s="42" t="n"/>
      <c r="J329" s="12">
        <f>IF(F329&lt;&gt;0,"LANÇAR","")</f>
        <v/>
      </c>
      <c r="K329" s="20" t="n"/>
      <c r="L329" s="13">
        <f>N329&amp;O329&amp;P329&amp;Q329&amp;R329&amp;S329&amp;T329&amp;U329&amp;V329&amp;W329&amp;X329&amp;Y329&amp;Z329&amp;AA329&amp;AB329&amp;AC329&amp;AD329&amp;AE329&amp;AF329&amp;AG329</f>
        <v/>
      </c>
      <c r="M329" s="20" t="n"/>
      <c r="N329" s="10">
        <f>TEXT($B$6,"00")</f>
        <v/>
      </c>
      <c r="O329" s="10">
        <f>REPT(" ",8)</f>
        <v/>
      </c>
      <c r="P329" s="10">
        <f>RIGHT($B$4,2)</f>
        <v/>
      </c>
      <c r="Q329" s="10">
        <f>RIGHT($B$5,3)</f>
        <v/>
      </c>
      <c r="R329" s="10">
        <f>IF(A329="D",LEFT(UPPER(B329)&amp;REPT(" ",20),20),REPT(" ",20))</f>
        <v/>
      </c>
      <c r="S329" s="10">
        <f>IF(A329="D",LEFT(UPPER(C329)&amp;REPT(" ",10),10)," ")</f>
        <v/>
      </c>
      <c r="T329" s="10">
        <f>IF(A329="D",LEFT(UPPER(D329)&amp;REPT(" ",2),2)," ")</f>
        <v/>
      </c>
      <c r="U329" s="10">
        <f>IF(A329="D",LEFT(UPPER(E329)&amp;REPT(" ",15),15)," ")</f>
        <v/>
      </c>
      <c r="V329" s="10">
        <f>REPT(" ",24)</f>
        <v/>
      </c>
      <c r="W329" s="10">
        <f>IF(A329="c",LEFT(UPPER(B329)&amp;REPT(" ",20),20),REPT(" ",20))</f>
        <v/>
      </c>
      <c r="X329" s="10">
        <f>IF(A329="C",LEFT(UPPER(C329)&amp;REPT(" ",10),10)," ")</f>
        <v/>
      </c>
      <c r="Y329" s="10">
        <f>IF(A329="C",LEFT(UPPER(D329)&amp;REPT(" ",2),2)," ")</f>
        <v/>
      </c>
      <c r="Z329" s="10">
        <f>IF(A329="C",LEFT(UPPER(E329)&amp;REPT(" ",15),15)," ")</f>
        <v/>
      </c>
      <c r="AA329" s="10">
        <f>REPT(" ",8)</f>
        <v/>
      </c>
      <c r="AB329" s="10">
        <f>REPT(" ",4)</f>
        <v/>
      </c>
      <c r="AC329" s="10">
        <f>LEFT(UPPER(H329)&amp;REPT(" ",250),250)</f>
        <v/>
      </c>
      <c r="AD329" s="10">
        <f>TEXT($G$2,"dd/mm/aaaa")</f>
        <v/>
      </c>
      <c r="AE329" s="10">
        <f>REPT(" ",10)</f>
        <v/>
      </c>
      <c r="AF329" s="10">
        <f>REPT(" ",20)</f>
        <v/>
      </c>
      <c r="AG329" s="54">
        <f>REPT(" ",18-LEN(FIXED(F329,2,TRUE)))&amp;FIXED(F329,2,TRUE)</f>
        <v/>
      </c>
      <c r="AH329" s="10">
        <f>LEN(AC329)+LEN(AG329)</f>
        <v/>
      </c>
      <c r="AI329" s="10">
        <f>LEN(L329)</f>
        <v/>
      </c>
    </row>
    <row r="330">
      <c r="I330" s="42" t="n"/>
      <c r="J330" s="12">
        <f>IF(F330&lt;&gt;0,"LANÇAR","")</f>
        <v/>
      </c>
      <c r="K330" s="20" t="n"/>
      <c r="L330" s="13">
        <f>N330&amp;O330&amp;P330&amp;Q330&amp;R330&amp;S330&amp;T330&amp;U330&amp;V330&amp;W330&amp;X330&amp;Y330&amp;Z330&amp;AA330&amp;AB330&amp;AC330&amp;AD330&amp;AE330&amp;AF330&amp;AG330</f>
        <v/>
      </c>
      <c r="M330" s="20" t="n"/>
      <c r="N330" s="10">
        <f>TEXT($B$6,"00")</f>
        <v/>
      </c>
      <c r="O330" s="10">
        <f>REPT(" ",8)</f>
        <v/>
      </c>
      <c r="P330" s="10">
        <f>RIGHT($B$4,2)</f>
        <v/>
      </c>
      <c r="Q330" s="10">
        <f>RIGHT($B$5,3)</f>
        <v/>
      </c>
      <c r="R330" s="10">
        <f>IF(A330="D",LEFT(UPPER(B330)&amp;REPT(" ",20),20),REPT(" ",20))</f>
        <v/>
      </c>
      <c r="S330" s="10">
        <f>IF(A330="D",LEFT(UPPER(C330)&amp;REPT(" ",10),10)," ")</f>
        <v/>
      </c>
      <c r="T330" s="10">
        <f>IF(A330="D",LEFT(UPPER(D330)&amp;REPT(" ",2),2)," ")</f>
        <v/>
      </c>
      <c r="U330" s="10">
        <f>IF(A330="D",LEFT(UPPER(E330)&amp;REPT(" ",15),15)," ")</f>
        <v/>
      </c>
      <c r="V330" s="10">
        <f>REPT(" ",24)</f>
        <v/>
      </c>
      <c r="W330" s="10">
        <f>IF(A330="c",LEFT(UPPER(B330)&amp;REPT(" ",20),20),REPT(" ",20))</f>
        <v/>
      </c>
      <c r="X330" s="10">
        <f>IF(A330="C",LEFT(UPPER(C330)&amp;REPT(" ",10),10)," ")</f>
        <v/>
      </c>
      <c r="Y330" s="10">
        <f>IF(A330="C",LEFT(UPPER(D330)&amp;REPT(" ",2),2)," ")</f>
        <v/>
      </c>
      <c r="Z330" s="10">
        <f>IF(A330="C",LEFT(UPPER(E330)&amp;REPT(" ",15),15)," ")</f>
        <v/>
      </c>
      <c r="AA330" s="10">
        <f>REPT(" ",8)</f>
        <v/>
      </c>
      <c r="AB330" s="10">
        <f>REPT(" ",4)</f>
        <v/>
      </c>
      <c r="AC330" s="10">
        <f>LEFT(UPPER(H330)&amp;REPT(" ",250),250)</f>
        <v/>
      </c>
      <c r="AD330" s="10">
        <f>TEXT($G$2,"dd/mm/aaaa")</f>
        <v/>
      </c>
      <c r="AE330" s="10">
        <f>REPT(" ",10)</f>
        <v/>
      </c>
      <c r="AF330" s="10">
        <f>REPT(" ",20)</f>
        <v/>
      </c>
      <c r="AG330" s="54">
        <f>REPT(" ",18-LEN(FIXED(F330,2,TRUE)))&amp;FIXED(F330,2,TRUE)</f>
        <v/>
      </c>
      <c r="AH330" s="10">
        <f>LEN(AC330)+LEN(AG330)</f>
        <v/>
      </c>
      <c r="AI330" s="10">
        <f>LEN(L330)</f>
        <v/>
      </c>
    </row>
    <row r="331">
      <c r="I331" s="42" t="n"/>
      <c r="J331" s="12">
        <f>IF(F331&lt;&gt;0,"LANÇAR","")</f>
        <v/>
      </c>
      <c r="K331" s="20" t="n"/>
      <c r="L331" s="13">
        <f>N331&amp;O331&amp;P331&amp;Q331&amp;R331&amp;S331&amp;T331&amp;U331&amp;V331&amp;W331&amp;X331&amp;Y331&amp;Z331&amp;AA331&amp;AB331&amp;AC331&amp;AD331&amp;AE331&amp;AF331&amp;AG331</f>
        <v/>
      </c>
      <c r="M331" s="20" t="n"/>
      <c r="N331" s="10">
        <f>TEXT($B$6,"00")</f>
        <v/>
      </c>
      <c r="O331" s="10">
        <f>REPT(" ",8)</f>
        <v/>
      </c>
      <c r="P331" s="10">
        <f>RIGHT($B$4,2)</f>
        <v/>
      </c>
      <c r="Q331" s="10">
        <f>RIGHT($B$5,3)</f>
        <v/>
      </c>
      <c r="R331" s="10">
        <f>IF(A331="D",LEFT(UPPER(B331)&amp;REPT(" ",20),20),REPT(" ",20))</f>
        <v/>
      </c>
      <c r="S331" s="10">
        <f>IF(A331="D",LEFT(UPPER(C331)&amp;REPT(" ",10),10)," ")</f>
        <v/>
      </c>
      <c r="T331" s="10">
        <f>IF(A331="D",LEFT(UPPER(D331)&amp;REPT(" ",2),2)," ")</f>
        <v/>
      </c>
      <c r="U331" s="10">
        <f>IF(A331="D",LEFT(UPPER(E331)&amp;REPT(" ",15),15)," ")</f>
        <v/>
      </c>
      <c r="V331" s="10">
        <f>REPT(" ",24)</f>
        <v/>
      </c>
      <c r="W331" s="10">
        <f>IF(A331="c",LEFT(UPPER(B331)&amp;REPT(" ",20),20),REPT(" ",20))</f>
        <v/>
      </c>
      <c r="X331" s="10">
        <f>IF(A331="C",LEFT(UPPER(C331)&amp;REPT(" ",10),10)," ")</f>
        <v/>
      </c>
      <c r="Y331" s="10">
        <f>IF(A331="C",LEFT(UPPER(D331)&amp;REPT(" ",2),2)," ")</f>
        <v/>
      </c>
      <c r="Z331" s="10">
        <f>IF(A331="C",LEFT(UPPER(E331)&amp;REPT(" ",15),15)," ")</f>
        <v/>
      </c>
      <c r="AA331" s="10">
        <f>REPT(" ",8)</f>
        <v/>
      </c>
      <c r="AB331" s="10">
        <f>REPT(" ",4)</f>
        <v/>
      </c>
      <c r="AC331" s="10">
        <f>LEFT(UPPER(H331)&amp;REPT(" ",250),250)</f>
        <v/>
      </c>
      <c r="AD331" s="10">
        <f>TEXT($G$2,"dd/mm/aaaa")</f>
        <v/>
      </c>
      <c r="AE331" s="10">
        <f>REPT(" ",10)</f>
        <v/>
      </c>
      <c r="AF331" s="10">
        <f>REPT(" ",20)</f>
        <v/>
      </c>
      <c r="AG331" s="54">
        <f>REPT(" ",18-LEN(FIXED(F331,2,TRUE)))&amp;FIXED(F331,2,TRUE)</f>
        <v/>
      </c>
      <c r="AH331" s="10">
        <f>LEN(AC331)+LEN(AG331)</f>
        <v/>
      </c>
      <c r="AI331" s="10">
        <f>LEN(L331)</f>
        <v/>
      </c>
    </row>
    <row r="332">
      <c r="I332" s="42" t="n"/>
      <c r="J332" s="12">
        <f>IF(F332&lt;&gt;0,"LANÇAR","")</f>
        <v/>
      </c>
      <c r="K332" s="20" t="n"/>
      <c r="L332" s="13">
        <f>N332&amp;O332&amp;P332&amp;Q332&amp;R332&amp;S332&amp;T332&amp;U332&amp;V332&amp;W332&amp;X332&amp;Y332&amp;Z332&amp;AA332&amp;AB332&amp;AC332&amp;AD332&amp;AE332&amp;AF332&amp;AG332</f>
        <v/>
      </c>
      <c r="M332" s="20" t="n"/>
      <c r="N332" s="10">
        <f>TEXT($B$6,"00")</f>
        <v/>
      </c>
      <c r="O332" s="10">
        <f>REPT(" ",8)</f>
        <v/>
      </c>
      <c r="P332" s="10">
        <f>RIGHT($B$4,2)</f>
        <v/>
      </c>
      <c r="Q332" s="10">
        <f>RIGHT($B$5,3)</f>
        <v/>
      </c>
      <c r="R332" s="10">
        <f>IF(A332="D",LEFT(UPPER(B332)&amp;REPT(" ",20),20),REPT(" ",20))</f>
        <v/>
      </c>
      <c r="S332" s="10">
        <f>IF(A332="D",LEFT(UPPER(C332)&amp;REPT(" ",10),10)," ")</f>
        <v/>
      </c>
      <c r="T332" s="10">
        <f>IF(A332="D",LEFT(UPPER(D332)&amp;REPT(" ",2),2)," ")</f>
        <v/>
      </c>
      <c r="U332" s="10">
        <f>IF(A332="D",LEFT(UPPER(E332)&amp;REPT(" ",15),15)," ")</f>
        <v/>
      </c>
      <c r="V332" s="10">
        <f>REPT(" ",24)</f>
        <v/>
      </c>
      <c r="W332" s="10">
        <f>IF(A332="c",LEFT(UPPER(B332)&amp;REPT(" ",20),20),REPT(" ",20))</f>
        <v/>
      </c>
      <c r="X332" s="10">
        <f>IF(A332="C",LEFT(UPPER(C332)&amp;REPT(" ",10),10)," ")</f>
        <v/>
      </c>
      <c r="Y332" s="10">
        <f>IF(A332="C",LEFT(UPPER(D332)&amp;REPT(" ",2),2)," ")</f>
        <v/>
      </c>
      <c r="Z332" s="10">
        <f>IF(A332="C",LEFT(UPPER(E332)&amp;REPT(" ",15),15)," ")</f>
        <v/>
      </c>
      <c r="AA332" s="10">
        <f>REPT(" ",8)</f>
        <v/>
      </c>
      <c r="AB332" s="10">
        <f>REPT(" ",4)</f>
        <v/>
      </c>
      <c r="AC332" s="10">
        <f>LEFT(UPPER(H332)&amp;REPT(" ",250),250)</f>
        <v/>
      </c>
      <c r="AD332" s="10">
        <f>TEXT($G$2,"dd/mm/aaaa")</f>
        <v/>
      </c>
      <c r="AE332" s="10">
        <f>REPT(" ",10)</f>
        <v/>
      </c>
      <c r="AF332" s="10">
        <f>REPT(" ",20)</f>
        <v/>
      </c>
      <c r="AG332" s="54">
        <f>REPT(" ",18-LEN(FIXED(F332,2,TRUE)))&amp;FIXED(F332,2,TRUE)</f>
        <v/>
      </c>
      <c r="AH332" s="10">
        <f>LEN(AC332)+LEN(AG332)</f>
        <v/>
      </c>
      <c r="AI332" s="10">
        <f>LEN(L332)</f>
        <v/>
      </c>
    </row>
    <row r="333">
      <c r="I333" s="42" t="n"/>
      <c r="J333" s="12">
        <f>IF(F333&lt;&gt;0,"LANÇAR","")</f>
        <v/>
      </c>
      <c r="K333" s="20" t="n"/>
      <c r="L333" s="13">
        <f>N333&amp;O333&amp;P333&amp;Q333&amp;R333&amp;S333&amp;T333&amp;U333&amp;V333&amp;W333&amp;X333&amp;Y333&amp;Z333&amp;AA333&amp;AB333&amp;AC333&amp;AD333&amp;AE333&amp;AF333&amp;AG333</f>
        <v/>
      </c>
      <c r="M333" s="20" t="n"/>
      <c r="N333" s="10">
        <f>TEXT($B$6,"00")</f>
        <v/>
      </c>
      <c r="O333" s="10">
        <f>REPT(" ",8)</f>
        <v/>
      </c>
      <c r="P333" s="10">
        <f>RIGHT($B$4,2)</f>
        <v/>
      </c>
      <c r="Q333" s="10">
        <f>RIGHT($B$5,3)</f>
        <v/>
      </c>
      <c r="R333" s="10">
        <f>IF(A333="D",LEFT(UPPER(B333)&amp;REPT(" ",20),20),REPT(" ",20))</f>
        <v/>
      </c>
      <c r="S333" s="10">
        <f>IF(A333="D",LEFT(UPPER(C333)&amp;REPT(" ",10),10)," ")</f>
        <v/>
      </c>
      <c r="T333" s="10">
        <f>IF(A333="D",LEFT(UPPER(D333)&amp;REPT(" ",2),2)," ")</f>
        <v/>
      </c>
      <c r="U333" s="10">
        <f>IF(A333="D",LEFT(UPPER(E333)&amp;REPT(" ",15),15)," ")</f>
        <v/>
      </c>
      <c r="V333" s="10">
        <f>REPT(" ",24)</f>
        <v/>
      </c>
      <c r="W333" s="10">
        <f>IF(A333="c",LEFT(UPPER(B333)&amp;REPT(" ",20),20),REPT(" ",20))</f>
        <v/>
      </c>
      <c r="X333" s="10">
        <f>IF(A333="C",LEFT(UPPER(C333)&amp;REPT(" ",10),10)," ")</f>
        <v/>
      </c>
      <c r="Y333" s="10">
        <f>IF(A333="C",LEFT(UPPER(D333)&amp;REPT(" ",2),2)," ")</f>
        <v/>
      </c>
      <c r="Z333" s="10">
        <f>IF(A333="C",LEFT(UPPER(E333)&amp;REPT(" ",15),15)," ")</f>
        <v/>
      </c>
      <c r="AA333" s="10">
        <f>REPT(" ",8)</f>
        <v/>
      </c>
      <c r="AB333" s="10">
        <f>REPT(" ",4)</f>
        <v/>
      </c>
      <c r="AC333" s="10">
        <f>LEFT(UPPER(H333)&amp;REPT(" ",250),250)</f>
        <v/>
      </c>
      <c r="AD333" s="10">
        <f>TEXT($G$2,"dd/mm/aaaa")</f>
        <v/>
      </c>
      <c r="AE333" s="10">
        <f>REPT(" ",10)</f>
        <v/>
      </c>
      <c r="AF333" s="10">
        <f>REPT(" ",20)</f>
        <v/>
      </c>
      <c r="AG333" s="54">
        <f>REPT(" ",18-LEN(FIXED(F333,2,TRUE)))&amp;FIXED(F333,2,TRUE)</f>
        <v/>
      </c>
      <c r="AH333" s="10">
        <f>LEN(AC333)+LEN(AG333)</f>
        <v/>
      </c>
      <c r="AI333" s="10">
        <f>LEN(L333)</f>
        <v/>
      </c>
    </row>
    <row r="334">
      <c r="I334" s="42" t="n"/>
      <c r="J334" s="12">
        <f>IF(F334&lt;&gt;0,"LANÇAR","")</f>
        <v/>
      </c>
      <c r="K334" s="20" t="n"/>
      <c r="L334" s="13">
        <f>N334&amp;O334&amp;P334&amp;Q334&amp;R334&amp;S334&amp;T334&amp;U334&amp;V334&amp;W334&amp;X334&amp;Y334&amp;Z334&amp;AA334&amp;AB334&amp;AC334&amp;AD334&amp;AE334&amp;AF334&amp;AG334</f>
        <v/>
      </c>
      <c r="M334" s="20" t="n"/>
      <c r="N334" s="10">
        <f>TEXT($B$6,"00")</f>
        <v/>
      </c>
      <c r="O334" s="10">
        <f>REPT(" ",8)</f>
        <v/>
      </c>
      <c r="P334" s="10">
        <f>RIGHT($B$4,2)</f>
        <v/>
      </c>
      <c r="Q334" s="10">
        <f>RIGHT($B$5,3)</f>
        <v/>
      </c>
      <c r="R334" s="10">
        <f>IF(A334="D",LEFT(UPPER(B334)&amp;REPT(" ",20),20),REPT(" ",20))</f>
        <v/>
      </c>
      <c r="S334" s="10">
        <f>IF(A334="D",LEFT(UPPER(C334)&amp;REPT(" ",10),10)," ")</f>
        <v/>
      </c>
      <c r="T334" s="10">
        <f>IF(A334="D",LEFT(UPPER(D334)&amp;REPT(" ",2),2)," ")</f>
        <v/>
      </c>
      <c r="U334" s="10">
        <f>IF(A334="D",LEFT(UPPER(E334)&amp;REPT(" ",15),15)," ")</f>
        <v/>
      </c>
      <c r="V334" s="10">
        <f>REPT(" ",24)</f>
        <v/>
      </c>
      <c r="W334" s="10">
        <f>IF(A334="c",LEFT(UPPER(B334)&amp;REPT(" ",20),20),REPT(" ",20))</f>
        <v/>
      </c>
      <c r="X334" s="10">
        <f>IF(A334="C",LEFT(UPPER(C334)&amp;REPT(" ",10),10)," ")</f>
        <v/>
      </c>
      <c r="Y334" s="10">
        <f>IF(A334="C",LEFT(UPPER(D334)&amp;REPT(" ",2),2)," ")</f>
        <v/>
      </c>
      <c r="Z334" s="10">
        <f>IF(A334="C",LEFT(UPPER(E334)&amp;REPT(" ",15),15)," ")</f>
        <v/>
      </c>
      <c r="AA334" s="10">
        <f>REPT(" ",8)</f>
        <v/>
      </c>
      <c r="AB334" s="10">
        <f>REPT(" ",4)</f>
        <v/>
      </c>
      <c r="AC334" s="10">
        <f>LEFT(UPPER(H334)&amp;REPT(" ",250),250)</f>
        <v/>
      </c>
      <c r="AD334" s="10">
        <f>TEXT($G$2,"dd/mm/aaaa")</f>
        <v/>
      </c>
      <c r="AE334" s="10">
        <f>REPT(" ",10)</f>
        <v/>
      </c>
      <c r="AF334" s="10">
        <f>REPT(" ",20)</f>
        <v/>
      </c>
      <c r="AG334" s="54">
        <f>REPT(" ",18-LEN(FIXED(F334,2,TRUE)))&amp;FIXED(F334,2,TRUE)</f>
        <v/>
      </c>
      <c r="AH334" s="10">
        <f>LEN(AC334)+LEN(AG334)</f>
        <v/>
      </c>
      <c r="AI334" s="10">
        <f>LEN(L334)</f>
        <v/>
      </c>
    </row>
    <row r="335">
      <c r="I335" s="42" t="n"/>
      <c r="J335" s="12">
        <f>IF(F335&lt;&gt;0,"LANÇAR","")</f>
        <v/>
      </c>
      <c r="K335" s="20" t="n"/>
      <c r="L335" s="13">
        <f>N335&amp;O335&amp;P335&amp;Q335&amp;R335&amp;S335&amp;T335&amp;U335&amp;V335&amp;W335&amp;X335&amp;Y335&amp;Z335&amp;AA335&amp;AB335&amp;AC335&amp;AD335&amp;AE335&amp;AF335&amp;AG335</f>
        <v/>
      </c>
      <c r="M335" s="20" t="n"/>
      <c r="N335" s="10">
        <f>TEXT($B$6,"00")</f>
        <v/>
      </c>
      <c r="O335" s="10">
        <f>REPT(" ",8)</f>
        <v/>
      </c>
      <c r="P335" s="10">
        <f>RIGHT($B$4,2)</f>
        <v/>
      </c>
      <c r="Q335" s="10">
        <f>RIGHT($B$5,3)</f>
        <v/>
      </c>
      <c r="R335" s="10">
        <f>IF(A335="D",LEFT(UPPER(B335)&amp;REPT(" ",20),20),REPT(" ",20))</f>
        <v/>
      </c>
      <c r="S335" s="10">
        <f>IF(A335="D",LEFT(UPPER(C335)&amp;REPT(" ",10),10)," ")</f>
        <v/>
      </c>
      <c r="T335" s="10">
        <f>IF(A335="D",LEFT(UPPER(D335)&amp;REPT(" ",2),2)," ")</f>
        <v/>
      </c>
      <c r="U335" s="10">
        <f>IF(A335="D",LEFT(UPPER(E335)&amp;REPT(" ",15),15)," ")</f>
        <v/>
      </c>
      <c r="V335" s="10">
        <f>REPT(" ",24)</f>
        <v/>
      </c>
      <c r="W335" s="10">
        <f>IF(A335="c",LEFT(UPPER(B335)&amp;REPT(" ",20),20),REPT(" ",20))</f>
        <v/>
      </c>
      <c r="X335" s="10">
        <f>IF(A335="C",LEFT(UPPER(C335)&amp;REPT(" ",10),10)," ")</f>
        <v/>
      </c>
      <c r="Y335" s="10">
        <f>IF(A335="C",LEFT(UPPER(D335)&amp;REPT(" ",2),2)," ")</f>
        <v/>
      </c>
      <c r="Z335" s="10">
        <f>IF(A335="C",LEFT(UPPER(E335)&amp;REPT(" ",15),15)," ")</f>
        <v/>
      </c>
      <c r="AA335" s="10">
        <f>REPT(" ",8)</f>
        <v/>
      </c>
      <c r="AB335" s="10">
        <f>REPT(" ",4)</f>
        <v/>
      </c>
      <c r="AC335" s="10">
        <f>LEFT(UPPER(H335)&amp;REPT(" ",250),250)</f>
        <v/>
      </c>
      <c r="AD335" s="10">
        <f>TEXT($G$2,"dd/mm/aaaa")</f>
        <v/>
      </c>
      <c r="AE335" s="10">
        <f>REPT(" ",10)</f>
        <v/>
      </c>
      <c r="AF335" s="10">
        <f>REPT(" ",20)</f>
        <v/>
      </c>
      <c r="AG335" s="54">
        <f>REPT(" ",18-LEN(FIXED(F335,2,TRUE)))&amp;FIXED(F335,2,TRUE)</f>
        <v/>
      </c>
      <c r="AH335" s="10">
        <f>LEN(AC335)+LEN(AG335)</f>
        <v/>
      </c>
      <c r="AI335" s="10">
        <f>LEN(L335)</f>
        <v/>
      </c>
    </row>
    <row r="336">
      <c r="I336" s="42" t="n"/>
      <c r="J336" s="12">
        <f>IF(F336&lt;&gt;0,"LANÇAR","")</f>
        <v/>
      </c>
      <c r="K336" s="20" t="n"/>
      <c r="L336" s="13">
        <f>N336&amp;O336&amp;P336&amp;Q336&amp;R336&amp;S336&amp;T336&amp;U336&amp;V336&amp;W336&amp;X336&amp;Y336&amp;Z336&amp;AA336&amp;AB336&amp;AC336&amp;AD336&amp;AE336&amp;AF336&amp;AG336</f>
        <v/>
      </c>
      <c r="M336" s="20" t="n"/>
      <c r="N336" s="10">
        <f>TEXT($B$6,"00")</f>
        <v/>
      </c>
      <c r="O336" s="10">
        <f>REPT(" ",8)</f>
        <v/>
      </c>
      <c r="P336" s="10">
        <f>RIGHT($B$4,2)</f>
        <v/>
      </c>
      <c r="Q336" s="10">
        <f>RIGHT($B$5,3)</f>
        <v/>
      </c>
      <c r="R336" s="10">
        <f>IF(A336="D",LEFT(UPPER(B336)&amp;REPT(" ",20),20),REPT(" ",20))</f>
        <v/>
      </c>
      <c r="S336" s="10">
        <f>IF(A336="D",LEFT(UPPER(C336)&amp;REPT(" ",10),10)," ")</f>
        <v/>
      </c>
      <c r="T336" s="10">
        <f>IF(A336="D",LEFT(UPPER(D336)&amp;REPT(" ",2),2)," ")</f>
        <v/>
      </c>
      <c r="U336" s="10">
        <f>IF(A336="D",LEFT(UPPER(E336)&amp;REPT(" ",15),15)," ")</f>
        <v/>
      </c>
      <c r="V336" s="10">
        <f>REPT(" ",24)</f>
        <v/>
      </c>
      <c r="W336" s="10">
        <f>IF(A336="c",LEFT(UPPER(B336)&amp;REPT(" ",20),20),REPT(" ",20))</f>
        <v/>
      </c>
      <c r="X336" s="10">
        <f>IF(A336="C",LEFT(UPPER(C336)&amp;REPT(" ",10),10)," ")</f>
        <v/>
      </c>
      <c r="Y336" s="10">
        <f>IF(A336="C",LEFT(UPPER(D336)&amp;REPT(" ",2),2)," ")</f>
        <v/>
      </c>
      <c r="Z336" s="10">
        <f>IF(A336="C",LEFT(UPPER(E336)&amp;REPT(" ",15),15)," ")</f>
        <v/>
      </c>
      <c r="AA336" s="10">
        <f>REPT(" ",8)</f>
        <v/>
      </c>
      <c r="AB336" s="10">
        <f>REPT(" ",4)</f>
        <v/>
      </c>
      <c r="AC336" s="10">
        <f>LEFT(UPPER(H336)&amp;REPT(" ",250),250)</f>
        <v/>
      </c>
      <c r="AD336" s="10">
        <f>TEXT($G$2,"dd/mm/aaaa")</f>
        <v/>
      </c>
      <c r="AE336" s="10">
        <f>REPT(" ",10)</f>
        <v/>
      </c>
      <c r="AF336" s="10">
        <f>REPT(" ",20)</f>
        <v/>
      </c>
      <c r="AG336" s="54">
        <f>REPT(" ",18-LEN(FIXED(F336,2,TRUE)))&amp;FIXED(F336,2,TRUE)</f>
        <v/>
      </c>
      <c r="AH336" s="10">
        <f>LEN(AC336)+LEN(AG336)</f>
        <v/>
      </c>
      <c r="AI336" s="10">
        <f>LEN(L336)</f>
        <v/>
      </c>
    </row>
    <row r="337">
      <c r="I337" s="42" t="n"/>
      <c r="J337" s="12">
        <f>IF(F337&lt;&gt;0,"LANÇAR","")</f>
        <v/>
      </c>
      <c r="K337" s="20" t="n"/>
      <c r="L337" s="13">
        <f>N337&amp;O337&amp;P337&amp;Q337&amp;R337&amp;S337&amp;T337&amp;U337&amp;V337&amp;W337&amp;X337&amp;Y337&amp;Z337&amp;AA337&amp;AB337&amp;AC337&amp;AD337&amp;AE337&amp;AF337&amp;AG337</f>
        <v/>
      </c>
      <c r="M337" s="20" t="n"/>
      <c r="N337" s="10">
        <f>TEXT($B$6,"00")</f>
        <v/>
      </c>
      <c r="O337" s="10">
        <f>REPT(" ",8)</f>
        <v/>
      </c>
      <c r="P337" s="10">
        <f>RIGHT($B$4,2)</f>
        <v/>
      </c>
      <c r="Q337" s="10">
        <f>RIGHT($B$5,3)</f>
        <v/>
      </c>
      <c r="R337" s="10">
        <f>IF(A337="D",LEFT(UPPER(B337)&amp;REPT(" ",20),20),REPT(" ",20))</f>
        <v/>
      </c>
      <c r="S337" s="10">
        <f>IF(A337="D",LEFT(UPPER(C337)&amp;REPT(" ",10),10)," ")</f>
        <v/>
      </c>
      <c r="T337" s="10">
        <f>IF(A337="D",LEFT(UPPER(D337)&amp;REPT(" ",2),2)," ")</f>
        <v/>
      </c>
      <c r="U337" s="10">
        <f>IF(A337="D",LEFT(UPPER(E337)&amp;REPT(" ",15),15)," ")</f>
        <v/>
      </c>
      <c r="V337" s="10">
        <f>REPT(" ",24)</f>
        <v/>
      </c>
      <c r="W337" s="10">
        <f>IF(A337="c",LEFT(UPPER(B337)&amp;REPT(" ",20),20),REPT(" ",20))</f>
        <v/>
      </c>
      <c r="X337" s="10">
        <f>IF(A337="C",LEFT(UPPER(C337)&amp;REPT(" ",10),10)," ")</f>
        <v/>
      </c>
      <c r="Y337" s="10">
        <f>IF(A337="C",LEFT(UPPER(D337)&amp;REPT(" ",2),2)," ")</f>
        <v/>
      </c>
      <c r="Z337" s="10">
        <f>IF(A337="C",LEFT(UPPER(E337)&amp;REPT(" ",15),15)," ")</f>
        <v/>
      </c>
      <c r="AA337" s="10">
        <f>REPT(" ",8)</f>
        <v/>
      </c>
      <c r="AB337" s="10">
        <f>REPT(" ",4)</f>
        <v/>
      </c>
      <c r="AC337" s="10">
        <f>LEFT(UPPER(H337)&amp;REPT(" ",250),250)</f>
        <v/>
      </c>
      <c r="AD337" s="10">
        <f>TEXT($G$2,"dd/mm/aaaa")</f>
        <v/>
      </c>
      <c r="AE337" s="10">
        <f>REPT(" ",10)</f>
        <v/>
      </c>
      <c r="AF337" s="10">
        <f>REPT(" ",20)</f>
        <v/>
      </c>
      <c r="AG337" s="54">
        <f>REPT(" ",18-LEN(FIXED(F337,2,TRUE)))&amp;FIXED(F337,2,TRUE)</f>
        <v/>
      </c>
      <c r="AH337" s="10">
        <f>LEN(AC337)+LEN(AG337)</f>
        <v/>
      </c>
      <c r="AI337" s="10">
        <f>LEN(L337)</f>
        <v/>
      </c>
    </row>
    <row r="338">
      <c r="I338" s="42" t="n"/>
      <c r="J338" s="12">
        <f>IF(F338&lt;&gt;0,"LANÇAR","")</f>
        <v/>
      </c>
      <c r="K338" s="20" t="n"/>
      <c r="L338" s="13">
        <f>N338&amp;O338&amp;P338&amp;Q338&amp;R338&amp;S338&amp;T338&amp;U338&amp;V338&amp;W338&amp;X338&amp;Y338&amp;Z338&amp;AA338&amp;AB338&amp;AC338&amp;AD338&amp;AE338&amp;AF338&amp;AG338</f>
        <v/>
      </c>
      <c r="M338" s="20" t="n"/>
      <c r="N338" s="10">
        <f>TEXT($B$6,"00")</f>
        <v/>
      </c>
      <c r="O338" s="10">
        <f>REPT(" ",8)</f>
        <v/>
      </c>
      <c r="P338" s="10">
        <f>RIGHT($B$4,2)</f>
        <v/>
      </c>
      <c r="Q338" s="10">
        <f>RIGHT($B$5,3)</f>
        <v/>
      </c>
      <c r="R338" s="10">
        <f>IF(A338="D",LEFT(UPPER(B338)&amp;REPT(" ",20),20),REPT(" ",20))</f>
        <v/>
      </c>
      <c r="S338" s="10">
        <f>IF(A338="D",LEFT(UPPER(C338)&amp;REPT(" ",10),10)," ")</f>
        <v/>
      </c>
      <c r="T338" s="10">
        <f>IF(A338="D",LEFT(UPPER(D338)&amp;REPT(" ",2),2)," ")</f>
        <v/>
      </c>
      <c r="U338" s="10">
        <f>IF(A338="D",LEFT(UPPER(E338)&amp;REPT(" ",15),15)," ")</f>
        <v/>
      </c>
      <c r="V338" s="10">
        <f>REPT(" ",24)</f>
        <v/>
      </c>
      <c r="W338" s="10">
        <f>IF(A338="c",LEFT(UPPER(B338)&amp;REPT(" ",20),20),REPT(" ",20))</f>
        <v/>
      </c>
      <c r="X338" s="10">
        <f>IF(A338="C",LEFT(UPPER(C338)&amp;REPT(" ",10),10)," ")</f>
        <v/>
      </c>
      <c r="Y338" s="10">
        <f>IF(A338="C",LEFT(UPPER(D338)&amp;REPT(" ",2),2)," ")</f>
        <v/>
      </c>
      <c r="Z338" s="10">
        <f>IF(A338="C",LEFT(UPPER(E338)&amp;REPT(" ",15),15)," ")</f>
        <v/>
      </c>
      <c r="AA338" s="10">
        <f>REPT(" ",8)</f>
        <v/>
      </c>
      <c r="AB338" s="10">
        <f>REPT(" ",4)</f>
        <v/>
      </c>
      <c r="AC338" s="10">
        <f>LEFT(UPPER(H338)&amp;REPT(" ",250),250)</f>
        <v/>
      </c>
      <c r="AD338" s="10">
        <f>TEXT($G$2,"dd/mm/aaaa")</f>
        <v/>
      </c>
      <c r="AE338" s="10">
        <f>REPT(" ",10)</f>
        <v/>
      </c>
      <c r="AF338" s="10">
        <f>REPT(" ",20)</f>
        <v/>
      </c>
      <c r="AG338" s="54">
        <f>REPT(" ",18-LEN(FIXED(F338,2,TRUE)))&amp;FIXED(F338,2,TRUE)</f>
        <v/>
      </c>
      <c r="AH338" s="10">
        <f>LEN(AC338)+LEN(AG338)</f>
        <v/>
      </c>
      <c r="AI338" s="10">
        <f>LEN(L338)</f>
        <v/>
      </c>
    </row>
    <row r="339">
      <c r="I339" s="42" t="n"/>
      <c r="J339" s="12">
        <f>IF(F339&lt;&gt;0,"LANÇAR","")</f>
        <v/>
      </c>
      <c r="K339" s="20" t="n"/>
      <c r="L339" s="13">
        <f>N339&amp;O339&amp;P339&amp;Q339&amp;R339&amp;S339&amp;T339&amp;U339&amp;V339&amp;W339&amp;X339&amp;Y339&amp;Z339&amp;AA339&amp;AB339&amp;AC339&amp;AD339&amp;AE339&amp;AF339&amp;AG339</f>
        <v/>
      </c>
      <c r="M339" s="20" t="n"/>
      <c r="N339" s="10">
        <f>TEXT($B$6,"00")</f>
        <v/>
      </c>
      <c r="O339" s="10">
        <f>REPT(" ",8)</f>
        <v/>
      </c>
      <c r="P339" s="10">
        <f>RIGHT($B$4,2)</f>
        <v/>
      </c>
      <c r="Q339" s="10">
        <f>RIGHT($B$5,3)</f>
        <v/>
      </c>
      <c r="R339" s="10">
        <f>IF(A339="D",LEFT(UPPER(B339)&amp;REPT(" ",20),20),REPT(" ",20))</f>
        <v/>
      </c>
      <c r="S339" s="10">
        <f>IF(A339="D",LEFT(UPPER(C339)&amp;REPT(" ",10),10)," ")</f>
        <v/>
      </c>
      <c r="T339" s="10">
        <f>IF(A339="D",LEFT(UPPER(D339)&amp;REPT(" ",2),2)," ")</f>
        <v/>
      </c>
      <c r="U339" s="10">
        <f>IF(A339="D",LEFT(UPPER(E339)&amp;REPT(" ",15),15)," ")</f>
        <v/>
      </c>
      <c r="V339" s="10">
        <f>REPT(" ",24)</f>
        <v/>
      </c>
      <c r="W339" s="10">
        <f>IF(A339="c",LEFT(UPPER(B339)&amp;REPT(" ",20),20),REPT(" ",20))</f>
        <v/>
      </c>
      <c r="X339" s="10">
        <f>IF(A339="C",LEFT(UPPER(C339)&amp;REPT(" ",10),10)," ")</f>
        <v/>
      </c>
      <c r="Y339" s="10">
        <f>IF(A339="C",LEFT(UPPER(D339)&amp;REPT(" ",2),2)," ")</f>
        <v/>
      </c>
      <c r="Z339" s="10">
        <f>IF(A339="C",LEFT(UPPER(E339)&amp;REPT(" ",15),15)," ")</f>
        <v/>
      </c>
      <c r="AA339" s="10">
        <f>REPT(" ",8)</f>
        <v/>
      </c>
      <c r="AB339" s="10">
        <f>REPT(" ",4)</f>
        <v/>
      </c>
      <c r="AC339" s="10">
        <f>LEFT(UPPER(H339)&amp;REPT(" ",250),250)</f>
        <v/>
      </c>
      <c r="AD339" s="10">
        <f>TEXT($G$2,"dd/mm/aaaa")</f>
        <v/>
      </c>
      <c r="AE339" s="10">
        <f>REPT(" ",10)</f>
        <v/>
      </c>
      <c r="AF339" s="10">
        <f>REPT(" ",20)</f>
        <v/>
      </c>
      <c r="AG339" s="54">
        <f>REPT(" ",18-LEN(FIXED(F339,2,TRUE)))&amp;FIXED(F339,2,TRUE)</f>
        <v/>
      </c>
      <c r="AH339" s="10">
        <f>LEN(AC339)+LEN(AG339)</f>
        <v/>
      </c>
      <c r="AI339" s="10">
        <f>LEN(L339)</f>
        <v/>
      </c>
    </row>
    <row r="340">
      <c r="I340" s="42" t="n"/>
      <c r="J340" s="12">
        <f>IF(F340&lt;&gt;0,"LANÇAR","")</f>
        <v/>
      </c>
      <c r="K340" s="20" t="n"/>
      <c r="L340" s="13">
        <f>N340&amp;O340&amp;P340&amp;Q340&amp;R340&amp;S340&amp;T340&amp;U340&amp;V340&amp;W340&amp;X340&amp;Y340&amp;Z340&amp;AA340&amp;AB340&amp;AC340&amp;AD340&amp;AE340&amp;AF340&amp;AG340</f>
        <v/>
      </c>
      <c r="M340" s="20" t="n"/>
      <c r="N340" s="10">
        <f>TEXT($B$6,"00")</f>
        <v/>
      </c>
      <c r="O340" s="10">
        <f>REPT(" ",8)</f>
        <v/>
      </c>
      <c r="P340" s="10">
        <f>RIGHT($B$4,2)</f>
        <v/>
      </c>
      <c r="Q340" s="10">
        <f>RIGHT($B$5,3)</f>
        <v/>
      </c>
      <c r="R340" s="10">
        <f>IF(A340="D",LEFT(UPPER(B340)&amp;REPT(" ",20),20),REPT(" ",20))</f>
        <v/>
      </c>
      <c r="S340" s="10">
        <f>IF(A340="D",LEFT(UPPER(C340)&amp;REPT(" ",10),10)," ")</f>
        <v/>
      </c>
      <c r="T340" s="10">
        <f>IF(A340="D",LEFT(UPPER(D340)&amp;REPT(" ",2),2)," ")</f>
        <v/>
      </c>
      <c r="U340" s="10">
        <f>IF(A340="D",LEFT(UPPER(E340)&amp;REPT(" ",15),15)," ")</f>
        <v/>
      </c>
      <c r="V340" s="10">
        <f>REPT(" ",24)</f>
        <v/>
      </c>
      <c r="W340" s="10">
        <f>IF(A340="c",LEFT(UPPER(B340)&amp;REPT(" ",20),20),REPT(" ",20))</f>
        <v/>
      </c>
      <c r="X340" s="10">
        <f>IF(A340="C",LEFT(UPPER(C340)&amp;REPT(" ",10),10)," ")</f>
        <v/>
      </c>
      <c r="Y340" s="10">
        <f>IF(A340="C",LEFT(UPPER(D340)&amp;REPT(" ",2),2)," ")</f>
        <v/>
      </c>
      <c r="Z340" s="10">
        <f>IF(A340="C",LEFT(UPPER(E340)&amp;REPT(" ",15),15)," ")</f>
        <v/>
      </c>
      <c r="AA340" s="10">
        <f>REPT(" ",8)</f>
        <v/>
      </c>
      <c r="AB340" s="10">
        <f>REPT(" ",4)</f>
        <v/>
      </c>
      <c r="AC340" s="10">
        <f>LEFT(UPPER(H340)&amp;REPT(" ",250),250)</f>
        <v/>
      </c>
      <c r="AD340" s="10">
        <f>TEXT($G$2,"dd/mm/aaaa")</f>
        <v/>
      </c>
      <c r="AE340" s="10">
        <f>REPT(" ",10)</f>
        <v/>
      </c>
      <c r="AF340" s="10">
        <f>REPT(" ",20)</f>
        <v/>
      </c>
      <c r="AG340" s="54">
        <f>REPT(" ",18-LEN(FIXED(F340,2,TRUE)))&amp;FIXED(F340,2,TRUE)</f>
        <v/>
      </c>
      <c r="AH340" s="10">
        <f>LEN(AC340)+LEN(AG340)</f>
        <v/>
      </c>
      <c r="AI340" s="10">
        <f>LEN(L340)</f>
        <v/>
      </c>
    </row>
    <row r="341">
      <c r="I341" s="42" t="n"/>
      <c r="J341" s="12">
        <f>IF(F341&lt;&gt;0,"LANÇAR","")</f>
        <v/>
      </c>
      <c r="K341" s="20" t="n"/>
      <c r="L341" s="13">
        <f>N341&amp;O341&amp;P341&amp;Q341&amp;R341&amp;S341&amp;T341&amp;U341&amp;V341&amp;W341&amp;X341&amp;Y341&amp;Z341&amp;AA341&amp;AB341&amp;AC341&amp;AD341&amp;AE341&amp;AF341&amp;AG341</f>
        <v/>
      </c>
      <c r="M341" s="20" t="n"/>
      <c r="N341" s="10">
        <f>TEXT($B$6,"00")</f>
        <v/>
      </c>
      <c r="O341" s="10">
        <f>REPT(" ",8)</f>
        <v/>
      </c>
      <c r="P341" s="10">
        <f>RIGHT($B$4,2)</f>
        <v/>
      </c>
      <c r="Q341" s="10">
        <f>RIGHT($B$5,3)</f>
        <v/>
      </c>
      <c r="R341" s="10">
        <f>IF(A341="D",LEFT(UPPER(B341)&amp;REPT(" ",20),20),REPT(" ",20))</f>
        <v/>
      </c>
      <c r="S341" s="10">
        <f>IF(A341="D",LEFT(UPPER(C341)&amp;REPT(" ",10),10)," ")</f>
        <v/>
      </c>
      <c r="T341" s="10">
        <f>IF(A341="D",LEFT(UPPER(D341)&amp;REPT(" ",2),2)," ")</f>
        <v/>
      </c>
      <c r="U341" s="10">
        <f>IF(A341="D",LEFT(UPPER(E341)&amp;REPT(" ",15),15)," ")</f>
        <v/>
      </c>
      <c r="V341" s="10">
        <f>REPT(" ",24)</f>
        <v/>
      </c>
      <c r="W341" s="10">
        <f>IF(A341="c",LEFT(UPPER(B341)&amp;REPT(" ",20),20),REPT(" ",20))</f>
        <v/>
      </c>
      <c r="X341" s="10">
        <f>IF(A341="C",LEFT(UPPER(C341)&amp;REPT(" ",10),10)," ")</f>
        <v/>
      </c>
      <c r="Y341" s="10">
        <f>IF(A341="C",LEFT(UPPER(D341)&amp;REPT(" ",2),2)," ")</f>
        <v/>
      </c>
      <c r="Z341" s="10">
        <f>IF(A341="C",LEFT(UPPER(E341)&amp;REPT(" ",15),15)," ")</f>
        <v/>
      </c>
      <c r="AA341" s="10">
        <f>REPT(" ",8)</f>
        <v/>
      </c>
      <c r="AB341" s="10">
        <f>REPT(" ",4)</f>
        <v/>
      </c>
      <c r="AC341" s="10">
        <f>LEFT(UPPER(H341)&amp;REPT(" ",250),250)</f>
        <v/>
      </c>
      <c r="AD341" s="10">
        <f>TEXT($G$2,"dd/mm/aaaa")</f>
        <v/>
      </c>
      <c r="AE341" s="10">
        <f>REPT(" ",10)</f>
        <v/>
      </c>
      <c r="AF341" s="10">
        <f>REPT(" ",20)</f>
        <v/>
      </c>
      <c r="AG341" s="54">
        <f>REPT(" ",18-LEN(FIXED(F341,2,TRUE)))&amp;FIXED(F341,2,TRUE)</f>
        <v/>
      </c>
      <c r="AH341" s="10">
        <f>LEN(AC341)+LEN(AG341)</f>
        <v/>
      </c>
      <c r="AI341" s="10">
        <f>LEN(L341)</f>
        <v/>
      </c>
    </row>
    <row r="342">
      <c r="I342" s="42" t="n"/>
      <c r="J342" s="12">
        <f>IF(F342&lt;&gt;0,"LANÇAR","")</f>
        <v/>
      </c>
      <c r="K342" s="20" t="n"/>
      <c r="L342" s="13">
        <f>N342&amp;O342&amp;P342&amp;Q342&amp;R342&amp;S342&amp;T342&amp;U342&amp;V342&amp;W342&amp;X342&amp;Y342&amp;Z342&amp;AA342&amp;AB342&amp;AC342&amp;AD342&amp;AE342&amp;AF342&amp;AG342</f>
        <v/>
      </c>
      <c r="M342" s="20" t="n"/>
      <c r="N342" s="10">
        <f>TEXT($B$6,"00")</f>
        <v/>
      </c>
      <c r="O342" s="10">
        <f>REPT(" ",8)</f>
        <v/>
      </c>
      <c r="P342" s="10">
        <f>RIGHT($B$4,2)</f>
        <v/>
      </c>
      <c r="Q342" s="10">
        <f>RIGHT($B$5,3)</f>
        <v/>
      </c>
      <c r="R342" s="10">
        <f>IF(A342="D",LEFT(UPPER(B342)&amp;REPT(" ",20),20),REPT(" ",20))</f>
        <v/>
      </c>
      <c r="S342" s="10">
        <f>IF(A342="D",LEFT(UPPER(C342)&amp;REPT(" ",10),10)," ")</f>
        <v/>
      </c>
      <c r="T342" s="10">
        <f>IF(A342="D",LEFT(UPPER(D342)&amp;REPT(" ",2),2)," ")</f>
        <v/>
      </c>
      <c r="U342" s="10">
        <f>IF(A342="D",LEFT(UPPER(E342)&amp;REPT(" ",15),15)," ")</f>
        <v/>
      </c>
      <c r="V342" s="10">
        <f>REPT(" ",24)</f>
        <v/>
      </c>
      <c r="W342" s="10">
        <f>IF(A342="c",LEFT(UPPER(B342)&amp;REPT(" ",20),20),REPT(" ",20))</f>
        <v/>
      </c>
      <c r="X342" s="10">
        <f>IF(A342="C",LEFT(UPPER(C342)&amp;REPT(" ",10),10)," ")</f>
        <v/>
      </c>
      <c r="Y342" s="10">
        <f>IF(A342="C",LEFT(UPPER(D342)&amp;REPT(" ",2),2)," ")</f>
        <v/>
      </c>
      <c r="Z342" s="10">
        <f>IF(A342="C",LEFT(UPPER(E342)&amp;REPT(" ",15),15)," ")</f>
        <v/>
      </c>
      <c r="AA342" s="10">
        <f>REPT(" ",8)</f>
        <v/>
      </c>
      <c r="AB342" s="10">
        <f>REPT(" ",4)</f>
        <v/>
      </c>
      <c r="AC342" s="10">
        <f>LEFT(UPPER(H342)&amp;REPT(" ",250),250)</f>
        <v/>
      </c>
      <c r="AD342" s="10">
        <f>TEXT($G$2,"dd/mm/aaaa")</f>
        <v/>
      </c>
      <c r="AE342" s="10">
        <f>REPT(" ",10)</f>
        <v/>
      </c>
      <c r="AF342" s="10">
        <f>REPT(" ",20)</f>
        <v/>
      </c>
      <c r="AG342" s="54">
        <f>REPT(" ",18-LEN(FIXED(F342,2,TRUE)))&amp;FIXED(F342,2,TRUE)</f>
        <v/>
      </c>
      <c r="AH342" s="10">
        <f>LEN(AC342)+LEN(AG342)</f>
        <v/>
      </c>
      <c r="AI342" s="10">
        <f>LEN(L342)</f>
        <v/>
      </c>
    </row>
    <row r="343">
      <c r="I343" s="42" t="n"/>
      <c r="J343" s="12">
        <f>IF(F343&lt;&gt;0,"LANÇAR","")</f>
        <v/>
      </c>
      <c r="K343" s="20" t="n"/>
      <c r="L343" s="13">
        <f>N343&amp;O343&amp;P343&amp;Q343&amp;R343&amp;S343&amp;T343&amp;U343&amp;V343&amp;W343&amp;X343&amp;Y343&amp;Z343&amp;AA343&amp;AB343&amp;AC343&amp;AD343&amp;AE343&amp;AF343&amp;AG343</f>
        <v/>
      </c>
      <c r="M343" s="20" t="n"/>
      <c r="N343" s="10">
        <f>TEXT($B$6,"00")</f>
        <v/>
      </c>
      <c r="O343" s="10">
        <f>REPT(" ",8)</f>
        <v/>
      </c>
      <c r="P343" s="10">
        <f>RIGHT($B$4,2)</f>
        <v/>
      </c>
      <c r="Q343" s="10">
        <f>RIGHT($B$5,3)</f>
        <v/>
      </c>
      <c r="R343" s="10">
        <f>IF(A343="D",LEFT(UPPER(B343)&amp;REPT(" ",20),20),REPT(" ",20))</f>
        <v/>
      </c>
      <c r="S343" s="10">
        <f>IF(A343="D",LEFT(UPPER(C343)&amp;REPT(" ",10),10)," ")</f>
        <v/>
      </c>
      <c r="T343" s="10">
        <f>IF(A343="D",LEFT(UPPER(D343)&amp;REPT(" ",2),2)," ")</f>
        <v/>
      </c>
      <c r="U343" s="10">
        <f>IF(A343="D",LEFT(UPPER(E343)&amp;REPT(" ",15),15)," ")</f>
        <v/>
      </c>
      <c r="V343" s="10">
        <f>REPT(" ",24)</f>
        <v/>
      </c>
      <c r="W343" s="10">
        <f>IF(A343="c",LEFT(UPPER(B343)&amp;REPT(" ",20),20),REPT(" ",20))</f>
        <v/>
      </c>
      <c r="X343" s="10">
        <f>IF(A343="C",LEFT(UPPER(C343)&amp;REPT(" ",10),10)," ")</f>
        <v/>
      </c>
      <c r="Y343" s="10">
        <f>IF(A343="C",LEFT(UPPER(D343)&amp;REPT(" ",2),2)," ")</f>
        <v/>
      </c>
      <c r="Z343" s="10">
        <f>IF(A343="C",LEFT(UPPER(E343)&amp;REPT(" ",15),15)," ")</f>
        <v/>
      </c>
      <c r="AA343" s="10">
        <f>REPT(" ",8)</f>
        <v/>
      </c>
      <c r="AB343" s="10">
        <f>REPT(" ",4)</f>
        <v/>
      </c>
      <c r="AC343" s="10">
        <f>LEFT(UPPER(H343)&amp;REPT(" ",250),250)</f>
        <v/>
      </c>
      <c r="AD343" s="10">
        <f>TEXT($G$2,"dd/mm/aaaa")</f>
        <v/>
      </c>
      <c r="AE343" s="10">
        <f>REPT(" ",10)</f>
        <v/>
      </c>
      <c r="AF343" s="10">
        <f>REPT(" ",20)</f>
        <v/>
      </c>
      <c r="AG343" s="54">
        <f>REPT(" ",18-LEN(FIXED(F343,2,TRUE)))&amp;FIXED(F343,2,TRUE)</f>
        <v/>
      </c>
      <c r="AH343" s="10">
        <f>LEN(AC343)+LEN(AG343)</f>
        <v/>
      </c>
      <c r="AI343" s="10">
        <f>LEN(L343)</f>
        <v/>
      </c>
    </row>
    <row r="344">
      <c r="I344" s="42" t="n"/>
      <c r="J344" s="12">
        <f>IF(F344&lt;&gt;0,"LANÇAR","")</f>
        <v/>
      </c>
      <c r="K344" s="20" t="n"/>
      <c r="L344" s="13">
        <f>N344&amp;O344&amp;P344&amp;Q344&amp;R344&amp;S344&amp;T344&amp;U344&amp;V344&amp;W344&amp;X344&amp;Y344&amp;Z344&amp;AA344&amp;AB344&amp;AC344&amp;AD344&amp;AE344&amp;AF344&amp;AG344</f>
        <v/>
      </c>
      <c r="M344" s="20" t="n"/>
      <c r="N344" s="10">
        <f>TEXT($B$6,"00")</f>
        <v/>
      </c>
      <c r="O344" s="10">
        <f>REPT(" ",8)</f>
        <v/>
      </c>
      <c r="P344" s="10">
        <f>RIGHT($B$4,2)</f>
        <v/>
      </c>
      <c r="Q344" s="10">
        <f>RIGHT($B$5,3)</f>
        <v/>
      </c>
      <c r="R344" s="10">
        <f>IF(A344="D",LEFT(UPPER(B344)&amp;REPT(" ",20),20),REPT(" ",20))</f>
        <v/>
      </c>
      <c r="S344" s="10">
        <f>IF(A344="D",LEFT(UPPER(C344)&amp;REPT(" ",10),10)," ")</f>
        <v/>
      </c>
      <c r="T344" s="10">
        <f>IF(A344="D",LEFT(UPPER(D344)&amp;REPT(" ",2),2)," ")</f>
        <v/>
      </c>
      <c r="U344" s="10">
        <f>IF(A344="D",LEFT(UPPER(E344)&amp;REPT(" ",15),15)," ")</f>
        <v/>
      </c>
      <c r="V344" s="10">
        <f>REPT(" ",24)</f>
        <v/>
      </c>
      <c r="W344" s="10">
        <f>IF(A344="c",LEFT(UPPER(B344)&amp;REPT(" ",20),20),REPT(" ",20))</f>
        <v/>
      </c>
      <c r="X344" s="10">
        <f>IF(A344="C",LEFT(UPPER(C344)&amp;REPT(" ",10),10)," ")</f>
        <v/>
      </c>
      <c r="Y344" s="10">
        <f>IF(A344="C",LEFT(UPPER(D344)&amp;REPT(" ",2),2)," ")</f>
        <v/>
      </c>
      <c r="Z344" s="10">
        <f>IF(A344="C",LEFT(UPPER(E344)&amp;REPT(" ",15),15)," ")</f>
        <v/>
      </c>
      <c r="AA344" s="10">
        <f>REPT(" ",8)</f>
        <v/>
      </c>
      <c r="AB344" s="10">
        <f>REPT(" ",4)</f>
        <v/>
      </c>
      <c r="AC344" s="10">
        <f>LEFT(UPPER(H344)&amp;REPT(" ",250),250)</f>
        <v/>
      </c>
      <c r="AD344" s="10">
        <f>TEXT($G$2,"dd/mm/aaaa")</f>
        <v/>
      </c>
      <c r="AE344" s="10">
        <f>REPT(" ",10)</f>
        <v/>
      </c>
      <c r="AF344" s="10">
        <f>REPT(" ",20)</f>
        <v/>
      </c>
      <c r="AG344" s="54">
        <f>REPT(" ",18-LEN(FIXED(F344,2,TRUE)))&amp;FIXED(F344,2,TRUE)</f>
        <v/>
      </c>
      <c r="AH344" s="10">
        <f>LEN(AC344)+LEN(AG344)</f>
        <v/>
      </c>
      <c r="AI344" s="10">
        <f>LEN(L344)</f>
        <v/>
      </c>
    </row>
    <row r="345">
      <c r="I345" s="42" t="n"/>
      <c r="J345" s="12">
        <f>IF(F345&lt;&gt;0,"LANÇAR","")</f>
        <v/>
      </c>
      <c r="K345" s="20" t="n"/>
      <c r="L345" s="13">
        <f>N345&amp;O345&amp;P345&amp;Q345&amp;R345&amp;S345&amp;T345&amp;U345&amp;V345&amp;W345&amp;X345&amp;Y345&amp;Z345&amp;AA345&amp;AB345&amp;AC345&amp;AD345&amp;AE345&amp;AF345&amp;AG345</f>
        <v/>
      </c>
      <c r="M345" s="20" t="n"/>
      <c r="N345" s="10">
        <f>TEXT($B$6,"00")</f>
        <v/>
      </c>
      <c r="O345" s="10">
        <f>REPT(" ",8)</f>
        <v/>
      </c>
      <c r="P345" s="10">
        <f>RIGHT($B$4,2)</f>
        <v/>
      </c>
      <c r="Q345" s="10">
        <f>RIGHT($B$5,3)</f>
        <v/>
      </c>
      <c r="R345" s="10">
        <f>IF(A345="D",LEFT(UPPER(B345)&amp;REPT(" ",20),20),REPT(" ",20))</f>
        <v/>
      </c>
      <c r="S345" s="10">
        <f>IF(A345="D",LEFT(UPPER(C345)&amp;REPT(" ",10),10)," ")</f>
        <v/>
      </c>
      <c r="T345" s="10">
        <f>IF(A345="D",LEFT(UPPER(D345)&amp;REPT(" ",2),2)," ")</f>
        <v/>
      </c>
      <c r="U345" s="10">
        <f>IF(A345="D",LEFT(UPPER(E345)&amp;REPT(" ",15),15)," ")</f>
        <v/>
      </c>
      <c r="V345" s="10">
        <f>REPT(" ",24)</f>
        <v/>
      </c>
      <c r="W345" s="10">
        <f>IF(A345="c",LEFT(UPPER(B345)&amp;REPT(" ",20),20),REPT(" ",20))</f>
        <v/>
      </c>
      <c r="X345" s="10">
        <f>IF(A345="C",LEFT(UPPER(C345)&amp;REPT(" ",10),10)," ")</f>
        <v/>
      </c>
      <c r="Y345" s="10">
        <f>IF(A345="C",LEFT(UPPER(D345)&amp;REPT(" ",2),2)," ")</f>
        <v/>
      </c>
      <c r="Z345" s="10">
        <f>IF(A345="C",LEFT(UPPER(E345)&amp;REPT(" ",15),15)," ")</f>
        <v/>
      </c>
      <c r="AA345" s="10">
        <f>REPT(" ",8)</f>
        <v/>
      </c>
      <c r="AB345" s="10">
        <f>REPT(" ",4)</f>
        <v/>
      </c>
      <c r="AC345" s="10">
        <f>LEFT(UPPER(H345)&amp;REPT(" ",250),250)</f>
        <v/>
      </c>
      <c r="AD345" s="10">
        <f>TEXT($G$2,"dd/mm/aaaa")</f>
        <v/>
      </c>
      <c r="AE345" s="10">
        <f>REPT(" ",10)</f>
        <v/>
      </c>
      <c r="AF345" s="10">
        <f>REPT(" ",20)</f>
        <v/>
      </c>
      <c r="AG345" s="54">
        <f>REPT(" ",18-LEN(FIXED(F345,2,TRUE)))&amp;FIXED(F345,2,TRUE)</f>
        <v/>
      </c>
      <c r="AH345" s="10">
        <f>LEN(AC345)+LEN(AG345)</f>
        <v/>
      </c>
      <c r="AI345" s="10">
        <f>LEN(L345)</f>
        <v/>
      </c>
    </row>
    <row r="346">
      <c r="I346" s="42" t="n"/>
      <c r="J346" s="12">
        <f>IF(F346&lt;&gt;0,"LANÇAR","")</f>
        <v/>
      </c>
      <c r="K346" s="20" t="n"/>
      <c r="L346" s="13">
        <f>N346&amp;O346&amp;P346&amp;Q346&amp;R346&amp;S346&amp;T346&amp;U346&amp;V346&amp;W346&amp;X346&amp;Y346&amp;Z346&amp;AA346&amp;AB346&amp;AC346&amp;AD346&amp;AE346&amp;AF346&amp;AG346</f>
        <v/>
      </c>
      <c r="M346" s="20" t="n"/>
      <c r="N346" s="10">
        <f>TEXT($B$6,"00")</f>
        <v/>
      </c>
      <c r="O346" s="10">
        <f>REPT(" ",8)</f>
        <v/>
      </c>
      <c r="P346" s="10">
        <f>RIGHT($B$4,2)</f>
        <v/>
      </c>
      <c r="Q346" s="10">
        <f>RIGHT($B$5,3)</f>
        <v/>
      </c>
      <c r="R346" s="10">
        <f>IF(A346="D",LEFT(UPPER(B346)&amp;REPT(" ",20),20),REPT(" ",20))</f>
        <v/>
      </c>
      <c r="S346" s="10">
        <f>IF(A346="D",LEFT(UPPER(C346)&amp;REPT(" ",10),10)," ")</f>
        <v/>
      </c>
      <c r="T346" s="10">
        <f>IF(A346="D",LEFT(UPPER(D346)&amp;REPT(" ",2),2)," ")</f>
        <v/>
      </c>
      <c r="U346" s="10">
        <f>IF(A346="D",LEFT(UPPER(E346)&amp;REPT(" ",15),15)," ")</f>
        <v/>
      </c>
      <c r="V346" s="10">
        <f>REPT(" ",24)</f>
        <v/>
      </c>
      <c r="W346" s="10">
        <f>IF(A346="c",LEFT(UPPER(B346)&amp;REPT(" ",20),20),REPT(" ",20))</f>
        <v/>
      </c>
      <c r="X346" s="10">
        <f>IF(A346="C",LEFT(UPPER(C346)&amp;REPT(" ",10),10)," ")</f>
        <v/>
      </c>
      <c r="Y346" s="10">
        <f>IF(A346="C",LEFT(UPPER(D346)&amp;REPT(" ",2),2)," ")</f>
        <v/>
      </c>
      <c r="Z346" s="10">
        <f>IF(A346="C",LEFT(UPPER(E346)&amp;REPT(" ",15),15)," ")</f>
        <v/>
      </c>
      <c r="AA346" s="10">
        <f>REPT(" ",8)</f>
        <v/>
      </c>
      <c r="AB346" s="10">
        <f>REPT(" ",4)</f>
        <v/>
      </c>
      <c r="AC346" s="10">
        <f>LEFT(UPPER(H346)&amp;REPT(" ",250),250)</f>
        <v/>
      </c>
      <c r="AD346" s="10">
        <f>TEXT($G$2,"dd/mm/aaaa")</f>
        <v/>
      </c>
      <c r="AE346" s="10">
        <f>REPT(" ",10)</f>
        <v/>
      </c>
      <c r="AF346" s="10">
        <f>REPT(" ",20)</f>
        <v/>
      </c>
      <c r="AG346" s="54">
        <f>REPT(" ",18-LEN(FIXED(F346,2,TRUE)))&amp;FIXED(F346,2,TRUE)</f>
        <v/>
      </c>
      <c r="AH346" s="10">
        <f>LEN(AC346)+LEN(AG346)</f>
        <v/>
      </c>
      <c r="AI346" s="10">
        <f>LEN(L346)</f>
        <v/>
      </c>
    </row>
    <row r="347">
      <c r="I347" s="42" t="n"/>
      <c r="J347" s="12">
        <f>IF(F347&lt;&gt;0,"LANÇAR","")</f>
        <v/>
      </c>
      <c r="K347" s="20" t="n"/>
      <c r="L347" s="13">
        <f>N347&amp;O347&amp;P347&amp;Q347&amp;R347&amp;S347&amp;T347&amp;U347&amp;V347&amp;W347&amp;X347&amp;Y347&amp;Z347&amp;AA347&amp;AB347&amp;AC347&amp;AD347&amp;AE347&amp;AF347&amp;AG347</f>
        <v/>
      </c>
      <c r="M347" s="20" t="n"/>
      <c r="N347" s="10">
        <f>TEXT($B$6,"00")</f>
        <v/>
      </c>
      <c r="O347" s="10">
        <f>REPT(" ",8)</f>
        <v/>
      </c>
      <c r="P347" s="10">
        <f>RIGHT($B$4,2)</f>
        <v/>
      </c>
      <c r="Q347" s="10">
        <f>RIGHT($B$5,3)</f>
        <v/>
      </c>
      <c r="R347" s="10">
        <f>IF(A347="D",LEFT(UPPER(B347)&amp;REPT(" ",20),20),REPT(" ",20))</f>
        <v/>
      </c>
      <c r="S347" s="10">
        <f>IF(A347="D",LEFT(UPPER(C347)&amp;REPT(" ",10),10)," ")</f>
        <v/>
      </c>
      <c r="T347" s="10">
        <f>IF(A347="D",LEFT(UPPER(D347)&amp;REPT(" ",2),2)," ")</f>
        <v/>
      </c>
      <c r="U347" s="10">
        <f>IF(A347="D",LEFT(UPPER(E347)&amp;REPT(" ",15),15)," ")</f>
        <v/>
      </c>
      <c r="V347" s="10">
        <f>REPT(" ",24)</f>
        <v/>
      </c>
      <c r="W347" s="10">
        <f>IF(A347="c",LEFT(UPPER(B347)&amp;REPT(" ",20),20),REPT(" ",20))</f>
        <v/>
      </c>
      <c r="X347" s="10">
        <f>IF(A347="C",LEFT(UPPER(C347)&amp;REPT(" ",10),10)," ")</f>
        <v/>
      </c>
      <c r="Y347" s="10">
        <f>IF(A347="C",LEFT(UPPER(D347)&amp;REPT(" ",2),2)," ")</f>
        <v/>
      </c>
      <c r="Z347" s="10">
        <f>IF(A347="C",LEFT(UPPER(E347)&amp;REPT(" ",15),15)," ")</f>
        <v/>
      </c>
      <c r="AA347" s="10">
        <f>REPT(" ",8)</f>
        <v/>
      </c>
      <c r="AB347" s="10">
        <f>REPT(" ",4)</f>
        <v/>
      </c>
      <c r="AC347" s="10">
        <f>LEFT(UPPER(H347)&amp;REPT(" ",250),250)</f>
        <v/>
      </c>
      <c r="AD347" s="10">
        <f>TEXT($G$2,"dd/mm/aaaa")</f>
        <v/>
      </c>
      <c r="AE347" s="10">
        <f>REPT(" ",10)</f>
        <v/>
      </c>
      <c r="AF347" s="10">
        <f>REPT(" ",20)</f>
        <v/>
      </c>
      <c r="AG347" s="54">
        <f>REPT(" ",18-LEN(FIXED(F347,2,TRUE)))&amp;FIXED(F347,2,TRUE)</f>
        <v/>
      </c>
      <c r="AH347" s="10">
        <f>LEN(AC347)+LEN(AG347)</f>
        <v/>
      </c>
      <c r="AI347" s="10">
        <f>LEN(L347)</f>
        <v/>
      </c>
    </row>
    <row r="348">
      <c r="I348" s="42" t="n"/>
      <c r="J348" s="12">
        <f>IF(F348&lt;&gt;0,"LANÇAR","")</f>
        <v/>
      </c>
      <c r="K348" s="20" t="n"/>
      <c r="L348" s="13">
        <f>N348&amp;O348&amp;P348&amp;Q348&amp;R348&amp;S348&amp;T348&amp;U348&amp;V348&amp;W348&amp;X348&amp;Y348&amp;Z348&amp;AA348&amp;AB348&amp;AC348&amp;AD348&amp;AE348&amp;AF348&amp;AG348</f>
        <v/>
      </c>
      <c r="M348" s="20" t="n"/>
      <c r="N348" s="10">
        <f>TEXT($B$6,"00")</f>
        <v/>
      </c>
      <c r="O348" s="10">
        <f>REPT(" ",8)</f>
        <v/>
      </c>
      <c r="P348" s="10">
        <f>RIGHT($B$4,2)</f>
        <v/>
      </c>
      <c r="Q348" s="10">
        <f>RIGHT($B$5,3)</f>
        <v/>
      </c>
      <c r="R348" s="10">
        <f>IF(A348="D",LEFT(UPPER(B348)&amp;REPT(" ",20),20),REPT(" ",20))</f>
        <v/>
      </c>
      <c r="S348" s="10">
        <f>IF(A348="D",LEFT(UPPER(C348)&amp;REPT(" ",10),10)," ")</f>
        <v/>
      </c>
      <c r="T348" s="10">
        <f>IF(A348="D",LEFT(UPPER(D348)&amp;REPT(" ",2),2)," ")</f>
        <v/>
      </c>
      <c r="U348" s="10">
        <f>IF(A348="D",LEFT(UPPER(E348)&amp;REPT(" ",15),15)," ")</f>
        <v/>
      </c>
      <c r="V348" s="10">
        <f>REPT(" ",24)</f>
        <v/>
      </c>
      <c r="W348" s="10">
        <f>IF(A348="c",LEFT(UPPER(B348)&amp;REPT(" ",20),20),REPT(" ",20))</f>
        <v/>
      </c>
      <c r="X348" s="10">
        <f>IF(A348="C",LEFT(UPPER(C348)&amp;REPT(" ",10),10)," ")</f>
        <v/>
      </c>
      <c r="Y348" s="10">
        <f>IF(A348="C",LEFT(UPPER(D348)&amp;REPT(" ",2),2)," ")</f>
        <v/>
      </c>
      <c r="Z348" s="10">
        <f>IF(A348="C",LEFT(UPPER(E348)&amp;REPT(" ",15),15)," ")</f>
        <v/>
      </c>
      <c r="AA348" s="10">
        <f>REPT(" ",8)</f>
        <v/>
      </c>
      <c r="AB348" s="10">
        <f>REPT(" ",4)</f>
        <v/>
      </c>
      <c r="AC348" s="10">
        <f>LEFT(UPPER(H348)&amp;REPT(" ",250),250)</f>
        <v/>
      </c>
      <c r="AD348" s="10">
        <f>TEXT($G$2,"dd/mm/aaaa")</f>
        <v/>
      </c>
      <c r="AE348" s="10">
        <f>REPT(" ",10)</f>
        <v/>
      </c>
      <c r="AF348" s="10">
        <f>REPT(" ",20)</f>
        <v/>
      </c>
      <c r="AG348" s="54">
        <f>REPT(" ",18-LEN(FIXED(F348,2,TRUE)))&amp;FIXED(F348,2,TRUE)</f>
        <v/>
      </c>
      <c r="AH348" s="10">
        <f>LEN(AC348)+LEN(AG348)</f>
        <v/>
      </c>
      <c r="AI348" s="10">
        <f>LEN(L348)</f>
        <v/>
      </c>
    </row>
    <row r="349">
      <c r="I349" s="42" t="n"/>
      <c r="J349" s="12">
        <f>IF(F349&lt;&gt;0,"LANÇAR","")</f>
        <v/>
      </c>
      <c r="K349" s="20" t="n"/>
      <c r="L349" s="13">
        <f>N349&amp;O349&amp;P349&amp;Q349&amp;R349&amp;S349&amp;T349&amp;U349&amp;V349&amp;W349&amp;X349&amp;Y349&amp;Z349&amp;AA349&amp;AB349&amp;AC349&amp;AD349&amp;AE349&amp;AF349&amp;AG349</f>
        <v/>
      </c>
      <c r="M349" s="20" t="n"/>
      <c r="N349" s="10">
        <f>TEXT($B$6,"00")</f>
        <v/>
      </c>
      <c r="O349" s="10">
        <f>REPT(" ",8)</f>
        <v/>
      </c>
      <c r="P349" s="10">
        <f>RIGHT($B$4,2)</f>
        <v/>
      </c>
      <c r="Q349" s="10">
        <f>RIGHT($B$5,3)</f>
        <v/>
      </c>
      <c r="R349" s="10">
        <f>IF(A349="D",LEFT(UPPER(B349)&amp;REPT(" ",20),20),REPT(" ",20))</f>
        <v/>
      </c>
      <c r="S349" s="10">
        <f>IF(A349="D",LEFT(UPPER(C349)&amp;REPT(" ",10),10)," ")</f>
        <v/>
      </c>
      <c r="T349" s="10">
        <f>IF(A349="D",LEFT(UPPER(D349)&amp;REPT(" ",2),2)," ")</f>
        <v/>
      </c>
      <c r="U349" s="10">
        <f>IF(A349="D",LEFT(UPPER(E349)&amp;REPT(" ",15),15)," ")</f>
        <v/>
      </c>
      <c r="V349" s="10">
        <f>REPT(" ",24)</f>
        <v/>
      </c>
      <c r="W349" s="10">
        <f>IF(A349="c",LEFT(UPPER(B349)&amp;REPT(" ",20),20),REPT(" ",20))</f>
        <v/>
      </c>
      <c r="X349" s="10">
        <f>IF(A349="C",LEFT(UPPER(C349)&amp;REPT(" ",10),10)," ")</f>
        <v/>
      </c>
      <c r="Y349" s="10">
        <f>IF(A349="C",LEFT(UPPER(D349)&amp;REPT(" ",2),2)," ")</f>
        <v/>
      </c>
      <c r="Z349" s="10">
        <f>IF(A349="C",LEFT(UPPER(E349)&amp;REPT(" ",15),15)," ")</f>
        <v/>
      </c>
      <c r="AA349" s="10">
        <f>REPT(" ",8)</f>
        <v/>
      </c>
      <c r="AB349" s="10">
        <f>REPT(" ",4)</f>
        <v/>
      </c>
      <c r="AC349" s="10">
        <f>LEFT(UPPER(H349)&amp;REPT(" ",250),250)</f>
        <v/>
      </c>
      <c r="AD349" s="10">
        <f>TEXT($G$2,"dd/mm/aaaa")</f>
        <v/>
      </c>
      <c r="AE349" s="10">
        <f>REPT(" ",10)</f>
        <v/>
      </c>
      <c r="AF349" s="10">
        <f>REPT(" ",20)</f>
        <v/>
      </c>
      <c r="AG349" s="54">
        <f>REPT(" ",18-LEN(FIXED(F349,2,TRUE)))&amp;FIXED(F349,2,TRUE)</f>
        <v/>
      </c>
      <c r="AH349" s="10">
        <f>LEN(AC349)+LEN(AG349)</f>
        <v/>
      </c>
      <c r="AI349" s="10">
        <f>LEN(L349)</f>
        <v/>
      </c>
    </row>
    <row r="350">
      <c r="I350" s="42" t="n"/>
      <c r="J350" s="12">
        <f>IF(F350&lt;&gt;0,"LANÇAR","")</f>
        <v/>
      </c>
      <c r="K350" s="20" t="n"/>
      <c r="L350" s="13">
        <f>N350&amp;O350&amp;P350&amp;Q350&amp;R350&amp;S350&amp;T350&amp;U350&amp;V350&amp;W350&amp;X350&amp;Y350&amp;Z350&amp;AA350&amp;AB350&amp;AC350&amp;AD350&amp;AE350&amp;AF350&amp;AG350</f>
        <v/>
      </c>
      <c r="M350" s="20" t="n"/>
      <c r="N350" s="10">
        <f>TEXT($B$6,"00")</f>
        <v/>
      </c>
      <c r="O350" s="10">
        <f>REPT(" ",8)</f>
        <v/>
      </c>
      <c r="P350" s="10">
        <f>RIGHT($B$4,2)</f>
        <v/>
      </c>
      <c r="Q350" s="10">
        <f>RIGHT($B$5,3)</f>
        <v/>
      </c>
      <c r="R350" s="10">
        <f>IF(A350="D",LEFT(UPPER(B350)&amp;REPT(" ",20),20),REPT(" ",20))</f>
        <v/>
      </c>
      <c r="S350" s="10">
        <f>IF(A350="D",LEFT(UPPER(C350)&amp;REPT(" ",10),10)," ")</f>
        <v/>
      </c>
      <c r="T350" s="10">
        <f>IF(A350="D",LEFT(UPPER(D350)&amp;REPT(" ",2),2)," ")</f>
        <v/>
      </c>
      <c r="U350" s="10">
        <f>IF(A350="D",LEFT(UPPER(E350)&amp;REPT(" ",15),15)," ")</f>
        <v/>
      </c>
      <c r="V350" s="10">
        <f>REPT(" ",24)</f>
        <v/>
      </c>
      <c r="W350" s="10">
        <f>IF(A350="c",LEFT(UPPER(B350)&amp;REPT(" ",20),20),REPT(" ",20))</f>
        <v/>
      </c>
      <c r="X350" s="10">
        <f>IF(A350="C",LEFT(UPPER(C350)&amp;REPT(" ",10),10)," ")</f>
        <v/>
      </c>
      <c r="Y350" s="10">
        <f>IF(A350="C",LEFT(UPPER(D350)&amp;REPT(" ",2),2)," ")</f>
        <v/>
      </c>
      <c r="Z350" s="10">
        <f>IF(A350="C",LEFT(UPPER(E350)&amp;REPT(" ",15),15)," ")</f>
        <v/>
      </c>
      <c r="AA350" s="10">
        <f>REPT(" ",8)</f>
        <v/>
      </c>
      <c r="AB350" s="10">
        <f>REPT(" ",4)</f>
        <v/>
      </c>
      <c r="AC350" s="10">
        <f>LEFT(UPPER(H350)&amp;REPT(" ",250),250)</f>
        <v/>
      </c>
      <c r="AD350" s="10">
        <f>TEXT($G$2,"dd/mm/aaaa")</f>
        <v/>
      </c>
      <c r="AE350" s="10">
        <f>REPT(" ",10)</f>
        <v/>
      </c>
      <c r="AF350" s="10">
        <f>REPT(" ",20)</f>
        <v/>
      </c>
      <c r="AG350" s="54">
        <f>REPT(" ",18-LEN(FIXED(F350,2,TRUE)))&amp;FIXED(F350,2,TRUE)</f>
        <v/>
      </c>
      <c r="AH350" s="10">
        <f>LEN(AC350)+LEN(AG350)</f>
        <v/>
      </c>
      <c r="AI350" s="10">
        <f>LEN(L350)</f>
        <v/>
      </c>
    </row>
    <row r="351">
      <c r="I351" s="42" t="n"/>
      <c r="J351" s="12">
        <f>IF(F351&lt;&gt;0,"LANÇAR","")</f>
        <v/>
      </c>
      <c r="K351" s="20" t="n"/>
      <c r="L351" s="13">
        <f>N351&amp;O351&amp;P351&amp;Q351&amp;R351&amp;S351&amp;T351&amp;U351&amp;V351&amp;W351&amp;X351&amp;Y351&amp;Z351&amp;AA351&amp;AB351&amp;AC351&amp;AD351&amp;AE351&amp;AF351&amp;AG351</f>
        <v/>
      </c>
      <c r="M351" s="20" t="n"/>
      <c r="N351" s="10">
        <f>TEXT($B$6,"00")</f>
        <v/>
      </c>
      <c r="O351" s="10">
        <f>REPT(" ",8)</f>
        <v/>
      </c>
      <c r="P351" s="10">
        <f>RIGHT($B$4,2)</f>
        <v/>
      </c>
      <c r="Q351" s="10">
        <f>RIGHT($B$5,3)</f>
        <v/>
      </c>
      <c r="R351" s="10">
        <f>IF(A351="D",LEFT(UPPER(B351)&amp;REPT(" ",20),20),REPT(" ",20))</f>
        <v/>
      </c>
      <c r="S351" s="10">
        <f>IF(A351="D",LEFT(UPPER(C351)&amp;REPT(" ",10),10)," ")</f>
        <v/>
      </c>
      <c r="T351" s="10">
        <f>IF(A351="D",LEFT(UPPER(D351)&amp;REPT(" ",2),2)," ")</f>
        <v/>
      </c>
      <c r="U351" s="10">
        <f>IF(A351="D",LEFT(UPPER(E351)&amp;REPT(" ",15),15)," ")</f>
        <v/>
      </c>
      <c r="V351" s="10">
        <f>REPT(" ",24)</f>
        <v/>
      </c>
      <c r="W351" s="10">
        <f>IF(A351="c",LEFT(UPPER(B351)&amp;REPT(" ",20),20),REPT(" ",20))</f>
        <v/>
      </c>
      <c r="X351" s="10">
        <f>IF(A351="C",LEFT(UPPER(C351)&amp;REPT(" ",10),10)," ")</f>
        <v/>
      </c>
      <c r="Y351" s="10">
        <f>IF(A351="C",LEFT(UPPER(D351)&amp;REPT(" ",2),2)," ")</f>
        <v/>
      </c>
      <c r="Z351" s="10">
        <f>IF(A351="C",LEFT(UPPER(E351)&amp;REPT(" ",15),15)," ")</f>
        <v/>
      </c>
      <c r="AA351" s="10">
        <f>REPT(" ",8)</f>
        <v/>
      </c>
      <c r="AB351" s="10">
        <f>REPT(" ",4)</f>
        <v/>
      </c>
      <c r="AC351" s="10">
        <f>LEFT(UPPER(H351)&amp;REPT(" ",250),250)</f>
        <v/>
      </c>
      <c r="AD351" s="10">
        <f>TEXT($G$2,"dd/mm/aaaa")</f>
        <v/>
      </c>
      <c r="AE351" s="10">
        <f>REPT(" ",10)</f>
        <v/>
      </c>
      <c r="AF351" s="10">
        <f>REPT(" ",20)</f>
        <v/>
      </c>
      <c r="AG351" s="54">
        <f>REPT(" ",18-LEN(FIXED(F351,2,TRUE)))&amp;FIXED(F351,2,TRUE)</f>
        <v/>
      </c>
      <c r="AH351" s="10">
        <f>LEN(AC351)+LEN(AG351)</f>
        <v/>
      </c>
      <c r="AI351" s="10">
        <f>LEN(L351)</f>
        <v/>
      </c>
    </row>
    <row r="352">
      <c r="I352" s="42" t="n"/>
      <c r="J352" s="12">
        <f>IF(F352&lt;&gt;0,"LANÇAR","")</f>
        <v/>
      </c>
      <c r="K352" s="20" t="n"/>
      <c r="L352" s="13">
        <f>N352&amp;O352&amp;P352&amp;Q352&amp;R352&amp;S352&amp;T352&amp;U352&amp;V352&amp;W352&amp;X352&amp;Y352&amp;Z352&amp;AA352&amp;AB352&amp;AC352&amp;AD352&amp;AE352&amp;AF352&amp;AG352</f>
        <v/>
      </c>
      <c r="M352" s="20" t="n"/>
      <c r="N352" s="10">
        <f>TEXT($B$6,"00")</f>
        <v/>
      </c>
      <c r="O352" s="10">
        <f>REPT(" ",8)</f>
        <v/>
      </c>
      <c r="P352" s="10">
        <f>RIGHT($B$4,2)</f>
        <v/>
      </c>
      <c r="Q352" s="10">
        <f>RIGHT($B$5,3)</f>
        <v/>
      </c>
      <c r="R352" s="10">
        <f>IF(A352="D",LEFT(UPPER(B352)&amp;REPT(" ",20),20),REPT(" ",20))</f>
        <v/>
      </c>
      <c r="S352" s="10">
        <f>IF(A352="D",LEFT(UPPER(C352)&amp;REPT(" ",10),10)," ")</f>
        <v/>
      </c>
      <c r="T352" s="10">
        <f>IF(A352="D",LEFT(UPPER(D352)&amp;REPT(" ",2),2)," ")</f>
        <v/>
      </c>
      <c r="U352" s="10">
        <f>IF(A352="D",LEFT(UPPER(E352)&amp;REPT(" ",15),15)," ")</f>
        <v/>
      </c>
      <c r="V352" s="10">
        <f>REPT(" ",24)</f>
        <v/>
      </c>
      <c r="W352" s="10">
        <f>IF(A352="c",LEFT(UPPER(B352)&amp;REPT(" ",20),20),REPT(" ",20))</f>
        <v/>
      </c>
      <c r="X352" s="10">
        <f>IF(A352="C",LEFT(UPPER(C352)&amp;REPT(" ",10),10)," ")</f>
        <v/>
      </c>
      <c r="Y352" s="10">
        <f>IF(A352="C",LEFT(UPPER(D352)&amp;REPT(" ",2),2)," ")</f>
        <v/>
      </c>
      <c r="Z352" s="10">
        <f>IF(A352="C",LEFT(UPPER(E352)&amp;REPT(" ",15),15)," ")</f>
        <v/>
      </c>
      <c r="AA352" s="10">
        <f>REPT(" ",8)</f>
        <v/>
      </c>
      <c r="AB352" s="10">
        <f>REPT(" ",4)</f>
        <v/>
      </c>
      <c r="AC352" s="10">
        <f>LEFT(UPPER(H352)&amp;REPT(" ",250),250)</f>
        <v/>
      </c>
      <c r="AD352" s="10">
        <f>TEXT($G$2,"dd/mm/aaaa")</f>
        <v/>
      </c>
      <c r="AE352" s="10">
        <f>REPT(" ",10)</f>
        <v/>
      </c>
      <c r="AF352" s="10">
        <f>REPT(" ",20)</f>
        <v/>
      </c>
      <c r="AG352" s="54">
        <f>REPT(" ",18-LEN(FIXED(F352,2,TRUE)))&amp;FIXED(F352,2,TRUE)</f>
        <v/>
      </c>
      <c r="AH352" s="10">
        <f>LEN(AC352)+LEN(AG352)</f>
        <v/>
      </c>
      <c r="AI352" s="10">
        <f>LEN(L352)</f>
        <v/>
      </c>
    </row>
    <row r="353">
      <c r="I353" s="42" t="n"/>
      <c r="J353" s="12">
        <f>IF(F353&lt;&gt;0,"LANÇAR","")</f>
        <v/>
      </c>
      <c r="K353" s="20" t="n"/>
      <c r="L353" s="13">
        <f>N353&amp;O353&amp;P353&amp;Q353&amp;R353&amp;S353&amp;T353&amp;U353&amp;V353&amp;W353&amp;X353&amp;Y353&amp;Z353&amp;AA353&amp;AB353&amp;AC353&amp;AD353&amp;AE353&amp;AF353&amp;AG353</f>
        <v/>
      </c>
      <c r="M353" s="20" t="n"/>
      <c r="N353" s="10">
        <f>TEXT($B$6,"00")</f>
        <v/>
      </c>
      <c r="O353" s="10">
        <f>REPT(" ",8)</f>
        <v/>
      </c>
      <c r="P353" s="10">
        <f>RIGHT($B$4,2)</f>
        <v/>
      </c>
      <c r="Q353" s="10">
        <f>RIGHT($B$5,3)</f>
        <v/>
      </c>
      <c r="R353" s="10">
        <f>IF(A353="D",LEFT(UPPER(B353)&amp;REPT(" ",20),20),REPT(" ",20))</f>
        <v/>
      </c>
      <c r="S353" s="10">
        <f>IF(A353="D",LEFT(UPPER(C353)&amp;REPT(" ",10),10)," ")</f>
        <v/>
      </c>
      <c r="T353" s="10">
        <f>IF(A353="D",LEFT(UPPER(D353)&amp;REPT(" ",2),2)," ")</f>
        <v/>
      </c>
      <c r="U353" s="10">
        <f>IF(A353="D",LEFT(UPPER(E353)&amp;REPT(" ",15),15)," ")</f>
        <v/>
      </c>
      <c r="V353" s="10">
        <f>REPT(" ",24)</f>
        <v/>
      </c>
      <c r="W353" s="10">
        <f>IF(A353="c",LEFT(UPPER(B353)&amp;REPT(" ",20),20),REPT(" ",20))</f>
        <v/>
      </c>
      <c r="X353" s="10">
        <f>IF(A353="C",LEFT(UPPER(C353)&amp;REPT(" ",10),10)," ")</f>
        <v/>
      </c>
      <c r="Y353" s="10">
        <f>IF(A353="C",LEFT(UPPER(D353)&amp;REPT(" ",2),2)," ")</f>
        <v/>
      </c>
      <c r="Z353" s="10">
        <f>IF(A353="C",LEFT(UPPER(E353)&amp;REPT(" ",15),15)," ")</f>
        <v/>
      </c>
      <c r="AA353" s="10">
        <f>REPT(" ",8)</f>
        <v/>
      </c>
      <c r="AB353" s="10">
        <f>REPT(" ",4)</f>
        <v/>
      </c>
      <c r="AC353" s="10">
        <f>LEFT(UPPER(H353)&amp;REPT(" ",250),250)</f>
        <v/>
      </c>
      <c r="AD353" s="10">
        <f>TEXT($G$2,"dd/mm/aaaa")</f>
        <v/>
      </c>
      <c r="AE353" s="10">
        <f>REPT(" ",10)</f>
        <v/>
      </c>
      <c r="AF353" s="10">
        <f>REPT(" ",20)</f>
        <v/>
      </c>
      <c r="AG353" s="54">
        <f>REPT(" ",18-LEN(FIXED(F353,2,TRUE)))&amp;FIXED(F353,2,TRUE)</f>
        <v/>
      </c>
      <c r="AH353" s="10">
        <f>LEN(AC353)+LEN(AG353)</f>
        <v/>
      </c>
      <c r="AI353" s="10">
        <f>LEN(L353)</f>
        <v/>
      </c>
    </row>
    <row r="354">
      <c r="I354" s="42" t="n"/>
      <c r="J354" s="12">
        <f>IF(F354&lt;&gt;0,"LANÇAR","")</f>
        <v/>
      </c>
      <c r="K354" s="20" t="n"/>
      <c r="L354" s="13">
        <f>N354&amp;O354&amp;P354&amp;Q354&amp;R354&amp;S354&amp;T354&amp;U354&amp;V354&amp;W354&amp;X354&amp;Y354&amp;Z354&amp;AA354&amp;AB354&amp;AC354&amp;AD354&amp;AE354&amp;AF354&amp;AG354</f>
        <v/>
      </c>
      <c r="M354" s="20" t="n"/>
      <c r="N354" s="10">
        <f>TEXT($B$6,"00")</f>
        <v/>
      </c>
      <c r="O354" s="10">
        <f>REPT(" ",8)</f>
        <v/>
      </c>
      <c r="P354" s="10">
        <f>RIGHT($B$4,2)</f>
        <v/>
      </c>
      <c r="Q354" s="10">
        <f>RIGHT($B$5,3)</f>
        <v/>
      </c>
      <c r="R354" s="10">
        <f>IF(A354="D",LEFT(UPPER(B354)&amp;REPT(" ",20),20),REPT(" ",20))</f>
        <v/>
      </c>
      <c r="S354" s="10">
        <f>IF(A354="D",LEFT(UPPER(C354)&amp;REPT(" ",10),10)," ")</f>
        <v/>
      </c>
      <c r="T354" s="10">
        <f>IF(A354="D",LEFT(UPPER(D354)&amp;REPT(" ",2),2)," ")</f>
        <v/>
      </c>
      <c r="U354" s="10">
        <f>IF(A354="D",LEFT(UPPER(E354)&amp;REPT(" ",15),15)," ")</f>
        <v/>
      </c>
      <c r="V354" s="10">
        <f>REPT(" ",24)</f>
        <v/>
      </c>
      <c r="W354" s="10">
        <f>IF(A354="c",LEFT(UPPER(B354)&amp;REPT(" ",20),20),REPT(" ",20))</f>
        <v/>
      </c>
      <c r="X354" s="10">
        <f>IF(A354="C",LEFT(UPPER(C354)&amp;REPT(" ",10),10)," ")</f>
        <v/>
      </c>
      <c r="Y354" s="10">
        <f>IF(A354="C",LEFT(UPPER(D354)&amp;REPT(" ",2),2)," ")</f>
        <v/>
      </c>
      <c r="Z354" s="10">
        <f>IF(A354="C",LEFT(UPPER(E354)&amp;REPT(" ",15),15)," ")</f>
        <v/>
      </c>
      <c r="AA354" s="10">
        <f>REPT(" ",8)</f>
        <v/>
      </c>
      <c r="AB354" s="10">
        <f>REPT(" ",4)</f>
        <v/>
      </c>
      <c r="AC354" s="10">
        <f>LEFT(UPPER(H354)&amp;REPT(" ",250),250)</f>
        <v/>
      </c>
      <c r="AD354" s="10">
        <f>TEXT($G$2,"dd/mm/aaaa")</f>
        <v/>
      </c>
      <c r="AE354" s="10">
        <f>REPT(" ",10)</f>
        <v/>
      </c>
      <c r="AF354" s="10">
        <f>REPT(" ",20)</f>
        <v/>
      </c>
      <c r="AG354" s="54">
        <f>REPT(" ",18-LEN(FIXED(F354,2,TRUE)))&amp;FIXED(F354,2,TRUE)</f>
        <v/>
      </c>
      <c r="AH354" s="10">
        <f>LEN(AC354)+LEN(AG354)</f>
        <v/>
      </c>
      <c r="AI354" s="10">
        <f>LEN(L354)</f>
        <v/>
      </c>
    </row>
    <row r="355">
      <c r="I355" s="42" t="n"/>
      <c r="J355" s="12">
        <f>IF(F355&lt;&gt;0,"LANÇAR","")</f>
        <v/>
      </c>
      <c r="K355" s="20" t="n"/>
      <c r="L355" s="13">
        <f>N355&amp;O355&amp;P355&amp;Q355&amp;R355&amp;S355&amp;T355&amp;U355&amp;V355&amp;W355&amp;X355&amp;Y355&amp;Z355&amp;AA355&amp;AB355&amp;AC355&amp;AD355&amp;AE355&amp;AF355&amp;AG355</f>
        <v/>
      </c>
      <c r="M355" s="20" t="n"/>
      <c r="N355" s="10">
        <f>TEXT($B$6,"00")</f>
        <v/>
      </c>
      <c r="O355" s="10">
        <f>REPT(" ",8)</f>
        <v/>
      </c>
      <c r="P355" s="10">
        <f>RIGHT($B$4,2)</f>
        <v/>
      </c>
      <c r="Q355" s="10">
        <f>RIGHT($B$5,3)</f>
        <v/>
      </c>
      <c r="R355" s="10">
        <f>IF(A355="D",LEFT(UPPER(B355)&amp;REPT(" ",20),20),REPT(" ",20))</f>
        <v/>
      </c>
      <c r="S355" s="10">
        <f>IF(A355="D",LEFT(UPPER(C355)&amp;REPT(" ",10),10)," ")</f>
        <v/>
      </c>
      <c r="T355" s="10">
        <f>IF(A355="D",LEFT(UPPER(D355)&amp;REPT(" ",2),2)," ")</f>
        <v/>
      </c>
      <c r="U355" s="10">
        <f>IF(A355="D",LEFT(UPPER(E355)&amp;REPT(" ",15),15)," ")</f>
        <v/>
      </c>
      <c r="V355" s="10">
        <f>REPT(" ",24)</f>
        <v/>
      </c>
      <c r="W355" s="10">
        <f>IF(A355="c",LEFT(UPPER(B355)&amp;REPT(" ",20),20),REPT(" ",20))</f>
        <v/>
      </c>
      <c r="X355" s="10">
        <f>IF(A355="C",LEFT(UPPER(C355)&amp;REPT(" ",10),10)," ")</f>
        <v/>
      </c>
      <c r="Y355" s="10">
        <f>IF(A355="C",LEFT(UPPER(D355)&amp;REPT(" ",2),2)," ")</f>
        <v/>
      </c>
      <c r="Z355" s="10">
        <f>IF(A355="C",LEFT(UPPER(E355)&amp;REPT(" ",15),15)," ")</f>
        <v/>
      </c>
      <c r="AA355" s="10">
        <f>REPT(" ",8)</f>
        <v/>
      </c>
      <c r="AB355" s="10">
        <f>REPT(" ",4)</f>
        <v/>
      </c>
      <c r="AC355" s="10">
        <f>LEFT(UPPER(H355)&amp;REPT(" ",250),250)</f>
        <v/>
      </c>
      <c r="AD355" s="10">
        <f>TEXT($G$2,"dd/mm/aaaa")</f>
        <v/>
      </c>
      <c r="AE355" s="10">
        <f>REPT(" ",10)</f>
        <v/>
      </c>
      <c r="AF355" s="10">
        <f>REPT(" ",20)</f>
        <v/>
      </c>
      <c r="AG355" s="54">
        <f>REPT(" ",18-LEN(FIXED(F355,2,TRUE)))&amp;FIXED(F355,2,TRUE)</f>
        <v/>
      </c>
      <c r="AH355" s="10">
        <f>LEN(AC355)+LEN(AG355)</f>
        <v/>
      </c>
      <c r="AI355" s="10">
        <f>LEN(L355)</f>
        <v/>
      </c>
    </row>
    <row r="356">
      <c r="I356" s="42" t="n"/>
      <c r="J356" s="12">
        <f>IF(F356&lt;&gt;0,"LANÇAR","")</f>
        <v/>
      </c>
      <c r="K356" s="20" t="n"/>
      <c r="L356" s="13">
        <f>N356&amp;O356&amp;P356&amp;Q356&amp;R356&amp;S356&amp;T356&amp;U356&amp;V356&amp;W356&amp;X356&amp;Y356&amp;Z356&amp;AA356&amp;AB356&amp;AC356&amp;AD356&amp;AE356&amp;AF356&amp;AG356</f>
        <v/>
      </c>
      <c r="M356" s="20" t="n"/>
      <c r="N356" s="10">
        <f>TEXT($B$6,"00")</f>
        <v/>
      </c>
      <c r="O356" s="10">
        <f>REPT(" ",8)</f>
        <v/>
      </c>
      <c r="P356" s="10">
        <f>RIGHT($B$4,2)</f>
        <v/>
      </c>
      <c r="Q356" s="10">
        <f>RIGHT($B$5,3)</f>
        <v/>
      </c>
      <c r="R356" s="10">
        <f>IF(A356="D",LEFT(UPPER(B356)&amp;REPT(" ",20),20),REPT(" ",20))</f>
        <v/>
      </c>
      <c r="S356" s="10">
        <f>IF(A356="D",LEFT(UPPER(C356)&amp;REPT(" ",10),10)," ")</f>
        <v/>
      </c>
      <c r="T356" s="10">
        <f>IF(A356="D",LEFT(UPPER(D356)&amp;REPT(" ",2),2)," ")</f>
        <v/>
      </c>
      <c r="U356" s="10">
        <f>IF(A356="D",LEFT(UPPER(E356)&amp;REPT(" ",15),15)," ")</f>
        <v/>
      </c>
      <c r="V356" s="10">
        <f>REPT(" ",24)</f>
        <v/>
      </c>
      <c r="W356" s="10">
        <f>IF(A356="c",LEFT(UPPER(B356)&amp;REPT(" ",20),20),REPT(" ",20))</f>
        <v/>
      </c>
      <c r="X356" s="10">
        <f>IF(A356="C",LEFT(UPPER(C356)&amp;REPT(" ",10),10)," ")</f>
        <v/>
      </c>
      <c r="Y356" s="10">
        <f>IF(A356="C",LEFT(UPPER(D356)&amp;REPT(" ",2),2)," ")</f>
        <v/>
      </c>
      <c r="Z356" s="10">
        <f>IF(A356="C",LEFT(UPPER(E356)&amp;REPT(" ",15),15)," ")</f>
        <v/>
      </c>
      <c r="AA356" s="10">
        <f>REPT(" ",8)</f>
        <v/>
      </c>
      <c r="AB356" s="10">
        <f>REPT(" ",4)</f>
        <v/>
      </c>
      <c r="AC356" s="10">
        <f>LEFT(UPPER(H356)&amp;REPT(" ",250),250)</f>
        <v/>
      </c>
      <c r="AD356" s="10">
        <f>TEXT($G$2,"dd/mm/aaaa")</f>
        <v/>
      </c>
      <c r="AE356" s="10">
        <f>REPT(" ",10)</f>
        <v/>
      </c>
      <c r="AF356" s="10">
        <f>REPT(" ",20)</f>
        <v/>
      </c>
      <c r="AG356" s="54">
        <f>REPT(" ",18-LEN(FIXED(F356,2,TRUE)))&amp;FIXED(F356,2,TRUE)</f>
        <v/>
      </c>
      <c r="AH356" s="10">
        <f>LEN(AC356)+LEN(AG356)</f>
        <v/>
      </c>
      <c r="AI356" s="10">
        <f>LEN(L356)</f>
        <v/>
      </c>
    </row>
    <row r="357">
      <c r="I357" s="42" t="n"/>
      <c r="J357" s="12">
        <f>IF(F357&lt;&gt;0,"LANÇAR","")</f>
        <v/>
      </c>
      <c r="K357" s="20" t="n"/>
      <c r="L357" s="13">
        <f>N357&amp;O357&amp;P357&amp;Q357&amp;R357&amp;S357&amp;T357&amp;U357&amp;V357&amp;W357&amp;X357&amp;Y357&amp;Z357&amp;AA357&amp;AB357&amp;AC357&amp;AD357&amp;AE357&amp;AF357&amp;AG357</f>
        <v/>
      </c>
      <c r="M357" s="20" t="n"/>
      <c r="N357" s="10">
        <f>TEXT($B$6,"00")</f>
        <v/>
      </c>
      <c r="O357" s="10">
        <f>REPT(" ",8)</f>
        <v/>
      </c>
      <c r="P357" s="10">
        <f>RIGHT($B$4,2)</f>
        <v/>
      </c>
      <c r="Q357" s="10">
        <f>RIGHT($B$5,3)</f>
        <v/>
      </c>
      <c r="R357" s="10">
        <f>IF(A357="D",LEFT(UPPER(B357)&amp;REPT(" ",20),20),REPT(" ",20))</f>
        <v/>
      </c>
      <c r="S357" s="10">
        <f>IF(A357="D",LEFT(UPPER(C357)&amp;REPT(" ",10),10)," ")</f>
        <v/>
      </c>
      <c r="T357" s="10">
        <f>IF(A357="D",LEFT(UPPER(D357)&amp;REPT(" ",2),2)," ")</f>
        <v/>
      </c>
      <c r="U357" s="10">
        <f>IF(A357="D",LEFT(UPPER(E357)&amp;REPT(" ",15),15)," ")</f>
        <v/>
      </c>
      <c r="V357" s="10">
        <f>REPT(" ",24)</f>
        <v/>
      </c>
      <c r="W357" s="10">
        <f>IF(A357="c",LEFT(UPPER(B357)&amp;REPT(" ",20),20),REPT(" ",20))</f>
        <v/>
      </c>
      <c r="X357" s="10">
        <f>IF(A357="C",LEFT(UPPER(C357)&amp;REPT(" ",10),10)," ")</f>
        <v/>
      </c>
      <c r="Y357" s="10">
        <f>IF(A357="C",LEFT(UPPER(D357)&amp;REPT(" ",2),2)," ")</f>
        <v/>
      </c>
      <c r="Z357" s="10">
        <f>IF(A357="C",LEFT(UPPER(E357)&amp;REPT(" ",15),15)," ")</f>
        <v/>
      </c>
      <c r="AA357" s="10">
        <f>REPT(" ",8)</f>
        <v/>
      </c>
      <c r="AB357" s="10">
        <f>REPT(" ",4)</f>
        <v/>
      </c>
      <c r="AC357" s="10">
        <f>LEFT(UPPER(H357)&amp;REPT(" ",250),250)</f>
        <v/>
      </c>
      <c r="AD357" s="10">
        <f>TEXT($G$2,"dd/mm/aaaa")</f>
        <v/>
      </c>
      <c r="AE357" s="10">
        <f>REPT(" ",10)</f>
        <v/>
      </c>
      <c r="AF357" s="10">
        <f>REPT(" ",20)</f>
        <v/>
      </c>
      <c r="AG357" s="54">
        <f>REPT(" ",18-LEN(FIXED(F357,2,TRUE)))&amp;FIXED(F357,2,TRUE)</f>
        <v/>
      </c>
      <c r="AH357" s="10">
        <f>LEN(AC357)+LEN(AG357)</f>
        <v/>
      </c>
      <c r="AI357" s="10">
        <f>LEN(L357)</f>
        <v/>
      </c>
    </row>
    <row r="358">
      <c r="I358" s="42" t="n"/>
      <c r="J358" s="12">
        <f>IF(F358&lt;&gt;0,"LANÇAR","")</f>
        <v/>
      </c>
      <c r="K358" s="20" t="n"/>
      <c r="L358" s="13">
        <f>N358&amp;O358&amp;P358&amp;Q358&amp;R358&amp;S358&amp;T358&amp;U358&amp;V358&amp;W358&amp;X358&amp;Y358&amp;Z358&amp;AA358&amp;AB358&amp;AC358&amp;AD358&amp;AE358&amp;AF358&amp;AG358</f>
        <v/>
      </c>
      <c r="M358" s="20" t="n"/>
      <c r="N358" s="10">
        <f>TEXT($B$6,"00")</f>
        <v/>
      </c>
      <c r="O358" s="10">
        <f>REPT(" ",8)</f>
        <v/>
      </c>
      <c r="P358" s="10">
        <f>RIGHT($B$4,2)</f>
        <v/>
      </c>
      <c r="Q358" s="10">
        <f>RIGHT($B$5,3)</f>
        <v/>
      </c>
      <c r="R358" s="10">
        <f>IF(A358="D",LEFT(UPPER(B358)&amp;REPT(" ",20),20),REPT(" ",20))</f>
        <v/>
      </c>
      <c r="S358" s="10">
        <f>IF(A358="D",LEFT(UPPER(C358)&amp;REPT(" ",10),10)," ")</f>
        <v/>
      </c>
      <c r="T358" s="10">
        <f>IF(A358="D",LEFT(UPPER(D358)&amp;REPT(" ",2),2)," ")</f>
        <v/>
      </c>
      <c r="U358" s="10">
        <f>IF(A358="D",LEFT(UPPER(E358)&amp;REPT(" ",15),15)," ")</f>
        <v/>
      </c>
      <c r="V358" s="10">
        <f>REPT(" ",24)</f>
        <v/>
      </c>
      <c r="W358" s="10">
        <f>IF(A358="c",LEFT(UPPER(B358)&amp;REPT(" ",20),20),REPT(" ",20))</f>
        <v/>
      </c>
      <c r="X358" s="10">
        <f>IF(A358="C",LEFT(UPPER(C358)&amp;REPT(" ",10),10)," ")</f>
        <v/>
      </c>
      <c r="Y358" s="10">
        <f>IF(A358="C",LEFT(UPPER(D358)&amp;REPT(" ",2),2)," ")</f>
        <v/>
      </c>
      <c r="Z358" s="10">
        <f>IF(A358="C",LEFT(UPPER(E358)&amp;REPT(" ",15),15)," ")</f>
        <v/>
      </c>
      <c r="AA358" s="10">
        <f>REPT(" ",8)</f>
        <v/>
      </c>
      <c r="AB358" s="10">
        <f>REPT(" ",4)</f>
        <v/>
      </c>
      <c r="AC358" s="10">
        <f>LEFT(UPPER(H358)&amp;REPT(" ",250),250)</f>
        <v/>
      </c>
      <c r="AD358" s="10">
        <f>TEXT($G$2,"dd/mm/aaaa")</f>
        <v/>
      </c>
      <c r="AE358" s="10">
        <f>REPT(" ",10)</f>
        <v/>
      </c>
      <c r="AF358" s="10">
        <f>REPT(" ",20)</f>
        <v/>
      </c>
      <c r="AG358" s="54">
        <f>REPT(" ",18-LEN(FIXED(F358,2,TRUE)))&amp;FIXED(F358,2,TRUE)</f>
        <v/>
      </c>
      <c r="AH358" s="10">
        <f>LEN(AC358)+LEN(AG358)</f>
        <v/>
      </c>
      <c r="AI358" s="10">
        <f>LEN(L358)</f>
        <v/>
      </c>
    </row>
    <row r="359">
      <c r="I359" s="42" t="n"/>
      <c r="J359" s="12">
        <f>IF(F359&lt;&gt;0,"LANÇAR","")</f>
        <v/>
      </c>
      <c r="K359" s="20" t="n"/>
      <c r="L359" s="13">
        <f>N359&amp;O359&amp;P359&amp;Q359&amp;R359&amp;S359&amp;T359&amp;U359&amp;V359&amp;W359&amp;X359&amp;Y359&amp;Z359&amp;AA359&amp;AB359&amp;AC359&amp;AD359&amp;AE359&amp;AF359&amp;AG359</f>
        <v/>
      </c>
      <c r="M359" s="20" t="n"/>
      <c r="N359" s="10">
        <f>TEXT($B$6,"00")</f>
        <v/>
      </c>
      <c r="O359" s="10">
        <f>REPT(" ",8)</f>
        <v/>
      </c>
      <c r="P359" s="10">
        <f>RIGHT($B$4,2)</f>
        <v/>
      </c>
      <c r="Q359" s="10">
        <f>RIGHT($B$5,3)</f>
        <v/>
      </c>
      <c r="R359" s="10">
        <f>IF(A359="D",LEFT(UPPER(B359)&amp;REPT(" ",20),20),REPT(" ",20))</f>
        <v/>
      </c>
      <c r="S359" s="10">
        <f>IF(A359="D",LEFT(UPPER(C359)&amp;REPT(" ",10),10)," ")</f>
        <v/>
      </c>
      <c r="T359" s="10">
        <f>IF(A359="D",LEFT(UPPER(D359)&amp;REPT(" ",2),2)," ")</f>
        <v/>
      </c>
      <c r="U359" s="10">
        <f>IF(A359="D",LEFT(UPPER(E359)&amp;REPT(" ",15),15)," ")</f>
        <v/>
      </c>
      <c r="V359" s="10">
        <f>REPT(" ",24)</f>
        <v/>
      </c>
      <c r="W359" s="10">
        <f>IF(A359="c",LEFT(UPPER(B359)&amp;REPT(" ",20),20),REPT(" ",20))</f>
        <v/>
      </c>
      <c r="X359" s="10">
        <f>IF(A359="C",LEFT(UPPER(C359)&amp;REPT(" ",10),10)," ")</f>
        <v/>
      </c>
      <c r="Y359" s="10">
        <f>IF(A359="C",LEFT(UPPER(D359)&amp;REPT(" ",2),2)," ")</f>
        <v/>
      </c>
      <c r="Z359" s="10">
        <f>IF(A359="C",LEFT(UPPER(E359)&amp;REPT(" ",15),15)," ")</f>
        <v/>
      </c>
      <c r="AA359" s="10">
        <f>REPT(" ",8)</f>
        <v/>
      </c>
      <c r="AB359" s="10">
        <f>REPT(" ",4)</f>
        <v/>
      </c>
      <c r="AC359" s="10">
        <f>LEFT(UPPER(H359)&amp;REPT(" ",250),250)</f>
        <v/>
      </c>
      <c r="AD359" s="10">
        <f>TEXT($G$2,"dd/mm/aaaa")</f>
        <v/>
      </c>
      <c r="AE359" s="10">
        <f>REPT(" ",10)</f>
        <v/>
      </c>
      <c r="AF359" s="10">
        <f>REPT(" ",20)</f>
        <v/>
      </c>
      <c r="AG359" s="54">
        <f>REPT(" ",18-LEN(FIXED(F359,2,TRUE)))&amp;FIXED(F359,2,TRUE)</f>
        <v/>
      </c>
      <c r="AH359" s="10">
        <f>LEN(AC359)+LEN(AG359)</f>
        <v/>
      </c>
      <c r="AI359" s="10">
        <f>LEN(L359)</f>
        <v/>
      </c>
    </row>
    <row r="360">
      <c r="I360" s="42" t="n"/>
      <c r="J360" s="12">
        <f>IF(F360&lt;&gt;0,"LANÇAR","")</f>
        <v/>
      </c>
      <c r="K360" s="20" t="n"/>
      <c r="L360" s="13">
        <f>N360&amp;O360&amp;P360&amp;Q360&amp;R360&amp;S360&amp;T360&amp;U360&amp;V360&amp;W360&amp;X360&amp;Y360&amp;Z360&amp;AA360&amp;AB360&amp;AC360&amp;AD360&amp;AE360&amp;AF360&amp;AG360</f>
        <v/>
      </c>
      <c r="M360" s="20" t="n"/>
      <c r="N360" s="10">
        <f>TEXT($B$6,"00")</f>
        <v/>
      </c>
      <c r="O360" s="10">
        <f>REPT(" ",8)</f>
        <v/>
      </c>
      <c r="P360" s="10">
        <f>RIGHT($B$4,2)</f>
        <v/>
      </c>
      <c r="Q360" s="10">
        <f>RIGHT($B$5,3)</f>
        <v/>
      </c>
      <c r="R360" s="10">
        <f>IF(A360="D",LEFT(UPPER(B360)&amp;REPT(" ",20),20),REPT(" ",20))</f>
        <v/>
      </c>
      <c r="S360" s="10">
        <f>IF(A360="D",LEFT(UPPER(C360)&amp;REPT(" ",10),10)," ")</f>
        <v/>
      </c>
      <c r="T360" s="10">
        <f>IF(A360="D",LEFT(UPPER(D360)&amp;REPT(" ",2),2)," ")</f>
        <v/>
      </c>
      <c r="U360" s="10">
        <f>IF(A360="D",LEFT(UPPER(E360)&amp;REPT(" ",15),15)," ")</f>
        <v/>
      </c>
      <c r="V360" s="10">
        <f>REPT(" ",24)</f>
        <v/>
      </c>
      <c r="W360" s="10">
        <f>IF(A360="c",LEFT(UPPER(B360)&amp;REPT(" ",20),20),REPT(" ",20))</f>
        <v/>
      </c>
      <c r="X360" s="10">
        <f>IF(A360="C",LEFT(UPPER(C360)&amp;REPT(" ",10),10)," ")</f>
        <v/>
      </c>
      <c r="Y360" s="10">
        <f>IF(A360="C",LEFT(UPPER(D360)&amp;REPT(" ",2),2)," ")</f>
        <v/>
      </c>
      <c r="Z360" s="10">
        <f>IF(A360="C",LEFT(UPPER(E360)&amp;REPT(" ",15),15)," ")</f>
        <v/>
      </c>
      <c r="AA360" s="10">
        <f>REPT(" ",8)</f>
        <v/>
      </c>
      <c r="AB360" s="10">
        <f>REPT(" ",4)</f>
        <v/>
      </c>
      <c r="AC360" s="10">
        <f>LEFT(UPPER(H360)&amp;REPT(" ",250),250)</f>
        <v/>
      </c>
      <c r="AD360" s="10">
        <f>TEXT($G$2,"dd/mm/aaaa")</f>
        <v/>
      </c>
      <c r="AE360" s="10">
        <f>REPT(" ",10)</f>
        <v/>
      </c>
      <c r="AF360" s="10">
        <f>REPT(" ",20)</f>
        <v/>
      </c>
      <c r="AG360" s="54">
        <f>REPT(" ",18-LEN(FIXED(F360,2,TRUE)))&amp;FIXED(F360,2,TRUE)</f>
        <v/>
      </c>
      <c r="AH360" s="10">
        <f>LEN(AC360)+LEN(AG360)</f>
        <v/>
      </c>
      <c r="AI360" s="10">
        <f>LEN(L360)</f>
        <v/>
      </c>
    </row>
    <row r="361">
      <c r="I361" s="42" t="n"/>
      <c r="J361" s="12">
        <f>IF(F361&lt;&gt;0,"LANÇAR","")</f>
        <v/>
      </c>
      <c r="K361" s="20" t="n"/>
      <c r="L361" s="13">
        <f>N361&amp;O361&amp;P361&amp;Q361&amp;R361&amp;S361&amp;T361&amp;U361&amp;V361&amp;W361&amp;X361&amp;Y361&amp;Z361&amp;AA361&amp;AB361&amp;AC361&amp;AD361&amp;AE361&amp;AF361&amp;AG361</f>
        <v/>
      </c>
      <c r="M361" s="20" t="n"/>
      <c r="N361" s="10">
        <f>TEXT($B$6,"00")</f>
        <v/>
      </c>
      <c r="O361" s="10">
        <f>REPT(" ",8)</f>
        <v/>
      </c>
      <c r="P361" s="10">
        <f>RIGHT($B$4,2)</f>
        <v/>
      </c>
      <c r="Q361" s="10">
        <f>RIGHT($B$5,3)</f>
        <v/>
      </c>
      <c r="R361" s="10">
        <f>IF(A361="D",LEFT(UPPER(B361)&amp;REPT(" ",20),20),REPT(" ",20))</f>
        <v/>
      </c>
      <c r="S361" s="10">
        <f>IF(A361="D",LEFT(UPPER(C361)&amp;REPT(" ",10),10)," ")</f>
        <v/>
      </c>
      <c r="T361" s="10">
        <f>IF(A361="D",LEFT(UPPER(D361)&amp;REPT(" ",2),2)," ")</f>
        <v/>
      </c>
      <c r="U361" s="10">
        <f>IF(A361="D",LEFT(UPPER(E361)&amp;REPT(" ",15),15)," ")</f>
        <v/>
      </c>
      <c r="V361" s="10">
        <f>REPT(" ",24)</f>
        <v/>
      </c>
      <c r="W361" s="10">
        <f>IF(A361="c",LEFT(UPPER(B361)&amp;REPT(" ",20),20),REPT(" ",20))</f>
        <v/>
      </c>
      <c r="X361" s="10">
        <f>IF(A361="C",LEFT(UPPER(C361)&amp;REPT(" ",10),10)," ")</f>
        <v/>
      </c>
      <c r="Y361" s="10">
        <f>IF(A361="C",LEFT(UPPER(D361)&amp;REPT(" ",2),2)," ")</f>
        <v/>
      </c>
      <c r="Z361" s="10">
        <f>IF(A361="C",LEFT(UPPER(E361)&amp;REPT(" ",15),15)," ")</f>
        <v/>
      </c>
      <c r="AA361" s="10">
        <f>REPT(" ",8)</f>
        <v/>
      </c>
      <c r="AB361" s="10">
        <f>REPT(" ",4)</f>
        <v/>
      </c>
      <c r="AC361" s="10">
        <f>LEFT(UPPER(H361)&amp;REPT(" ",250),250)</f>
        <v/>
      </c>
      <c r="AD361" s="10">
        <f>TEXT($G$2,"dd/mm/aaaa")</f>
        <v/>
      </c>
      <c r="AE361" s="10">
        <f>REPT(" ",10)</f>
        <v/>
      </c>
      <c r="AF361" s="10">
        <f>REPT(" ",20)</f>
        <v/>
      </c>
      <c r="AG361" s="54">
        <f>REPT(" ",18-LEN(FIXED(F361,2,TRUE)))&amp;FIXED(F361,2,TRUE)</f>
        <v/>
      </c>
      <c r="AH361" s="10">
        <f>LEN(AC361)+LEN(AG361)</f>
        <v/>
      </c>
      <c r="AI361" s="10">
        <f>LEN(L361)</f>
        <v/>
      </c>
    </row>
    <row r="362">
      <c r="I362" s="42" t="n"/>
      <c r="J362" s="12">
        <f>IF(F362&lt;&gt;0,"LANÇAR","")</f>
        <v/>
      </c>
      <c r="K362" s="20" t="n"/>
      <c r="L362" s="13">
        <f>N362&amp;O362&amp;P362&amp;Q362&amp;R362&amp;S362&amp;T362&amp;U362&amp;V362&amp;W362&amp;X362&amp;Y362&amp;Z362&amp;AA362&amp;AB362&amp;AC362&amp;AD362&amp;AE362&amp;AF362&amp;AG362</f>
        <v/>
      </c>
      <c r="M362" s="20" t="n"/>
      <c r="N362" s="10">
        <f>TEXT($B$6,"00")</f>
        <v/>
      </c>
      <c r="O362" s="10">
        <f>REPT(" ",8)</f>
        <v/>
      </c>
      <c r="P362" s="10">
        <f>RIGHT($B$4,2)</f>
        <v/>
      </c>
      <c r="Q362" s="10">
        <f>RIGHT($B$5,3)</f>
        <v/>
      </c>
      <c r="R362" s="10">
        <f>IF(A362="D",LEFT(UPPER(B362)&amp;REPT(" ",20),20),REPT(" ",20))</f>
        <v/>
      </c>
      <c r="S362" s="10">
        <f>IF(A362="D",LEFT(UPPER(C362)&amp;REPT(" ",10),10)," ")</f>
        <v/>
      </c>
      <c r="T362" s="10">
        <f>IF(A362="D",LEFT(UPPER(D362)&amp;REPT(" ",2),2)," ")</f>
        <v/>
      </c>
      <c r="U362" s="10">
        <f>IF(A362="D",LEFT(UPPER(E362)&amp;REPT(" ",15),15)," ")</f>
        <v/>
      </c>
      <c r="V362" s="10">
        <f>REPT(" ",24)</f>
        <v/>
      </c>
      <c r="W362" s="10">
        <f>IF(A362="c",LEFT(UPPER(B362)&amp;REPT(" ",20),20),REPT(" ",20))</f>
        <v/>
      </c>
      <c r="X362" s="10">
        <f>IF(A362="C",LEFT(UPPER(C362)&amp;REPT(" ",10),10)," ")</f>
        <v/>
      </c>
      <c r="Y362" s="10">
        <f>IF(A362="C",LEFT(UPPER(D362)&amp;REPT(" ",2),2)," ")</f>
        <v/>
      </c>
      <c r="Z362" s="10">
        <f>IF(A362="C",LEFT(UPPER(E362)&amp;REPT(" ",15),15)," ")</f>
        <v/>
      </c>
      <c r="AA362" s="10">
        <f>REPT(" ",8)</f>
        <v/>
      </c>
      <c r="AB362" s="10">
        <f>REPT(" ",4)</f>
        <v/>
      </c>
      <c r="AC362" s="10">
        <f>LEFT(UPPER(H362)&amp;REPT(" ",250),250)</f>
        <v/>
      </c>
      <c r="AD362" s="10">
        <f>TEXT($G$2,"dd/mm/aaaa")</f>
        <v/>
      </c>
      <c r="AE362" s="10">
        <f>REPT(" ",10)</f>
        <v/>
      </c>
      <c r="AF362" s="10">
        <f>REPT(" ",20)</f>
        <v/>
      </c>
      <c r="AG362" s="54">
        <f>REPT(" ",18-LEN(FIXED(F362,2,TRUE)))&amp;FIXED(F362,2,TRUE)</f>
        <v/>
      </c>
      <c r="AH362" s="10">
        <f>LEN(AC362)+LEN(AG362)</f>
        <v/>
      </c>
      <c r="AI362" s="10">
        <f>LEN(L362)</f>
        <v/>
      </c>
    </row>
    <row r="363">
      <c r="I363" s="42" t="n"/>
      <c r="J363" s="12">
        <f>IF(F363&lt;&gt;0,"LANÇAR","")</f>
        <v/>
      </c>
      <c r="K363" s="20" t="n"/>
      <c r="L363" s="13">
        <f>N363&amp;O363&amp;P363&amp;Q363&amp;R363&amp;S363&amp;T363&amp;U363&amp;V363&amp;W363&amp;X363&amp;Y363&amp;Z363&amp;AA363&amp;AB363&amp;AC363&amp;AD363&amp;AE363&amp;AF363&amp;AG363</f>
        <v/>
      </c>
      <c r="M363" s="20" t="n"/>
      <c r="N363" s="10">
        <f>TEXT($B$6,"00")</f>
        <v/>
      </c>
      <c r="O363" s="10">
        <f>REPT(" ",8)</f>
        <v/>
      </c>
      <c r="P363" s="10">
        <f>RIGHT($B$4,2)</f>
        <v/>
      </c>
      <c r="Q363" s="10">
        <f>RIGHT($B$5,3)</f>
        <v/>
      </c>
      <c r="R363" s="10">
        <f>IF(A363="D",LEFT(UPPER(B363)&amp;REPT(" ",20),20),REPT(" ",20))</f>
        <v/>
      </c>
      <c r="S363" s="10">
        <f>IF(A363="D",LEFT(UPPER(C363)&amp;REPT(" ",10),10)," ")</f>
        <v/>
      </c>
      <c r="T363" s="10">
        <f>IF(A363="D",LEFT(UPPER(D363)&amp;REPT(" ",2),2)," ")</f>
        <v/>
      </c>
      <c r="U363" s="10">
        <f>IF(A363="D",LEFT(UPPER(E363)&amp;REPT(" ",15),15)," ")</f>
        <v/>
      </c>
      <c r="V363" s="10">
        <f>REPT(" ",24)</f>
        <v/>
      </c>
      <c r="W363" s="10">
        <f>IF(A363="c",LEFT(UPPER(B363)&amp;REPT(" ",20),20),REPT(" ",20))</f>
        <v/>
      </c>
      <c r="X363" s="10">
        <f>IF(A363="C",LEFT(UPPER(C363)&amp;REPT(" ",10),10)," ")</f>
        <v/>
      </c>
      <c r="Y363" s="10">
        <f>IF(A363="C",LEFT(UPPER(D363)&amp;REPT(" ",2),2)," ")</f>
        <v/>
      </c>
      <c r="Z363" s="10">
        <f>IF(A363="C",LEFT(UPPER(E363)&amp;REPT(" ",15),15)," ")</f>
        <v/>
      </c>
      <c r="AA363" s="10">
        <f>REPT(" ",8)</f>
        <v/>
      </c>
      <c r="AB363" s="10">
        <f>REPT(" ",4)</f>
        <v/>
      </c>
      <c r="AC363" s="10">
        <f>LEFT(UPPER(H363)&amp;REPT(" ",250),250)</f>
        <v/>
      </c>
      <c r="AD363" s="10">
        <f>TEXT($G$2,"dd/mm/aaaa")</f>
        <v/>
      </c>
      <c r="AE363" s="10">
        <f>REPT(" ",10)</f>
        <v/>
      </c>
      <c r="AF363" s="10">
        <f>REPT(" ",20)</f>
        <v/>
      </c>
      <c r="AG363" s="54">
        <f>REPT(" ",18-LEN(FIXED(F363,2,TRUE)))&amp;FIXED(F363,2,TRUE)</f>
        <v/>
      </c>
      <c r="AH363" s="10">
        <f>LEN(AC363)+LEN(AG363)</f>
        <v/>
      </c>
      <c r="AI363" s="10">
        <f>LEN(L363)</f>
        <v/>
      </c>
    </row>
    <row r="364">
      <c r="I364" s="42" t="n"/>
      <c r="J364" s="12">
        <f>IF(F364&lt;&gt;0,"LANÇAR","")</f>
        <v/>
      </c>
      <c r="K364" s="20" t="n"/>
      <c r="L364" s="13">
        <f>N364&amp;O364&amp;P364&amp;Q364&amp;R364&amp;S364&amp;T364&amp;U364&amp;V364&amp;W364&amp;X364&amp;Y364&amp;Z364&amp;AA364&amp;AB364&amp;AC364&amp;AD364&amp;AE364&amp;AF364&amp;AG364</f>
        <v/>
      </c>
      <c r="M364" s="20" t="n"/>
      <c r="N364" s="10">
        <f>TEXT($B$6,"00")</f>
        <v/>
      </c>
      <c r="O364" s="10">
        <f>REPT(" ",8)</f>
        <v/>
      </c>
      <c r="P364" s="10">
        <f>RIGHT($B$4,2)</f>
        <v/>
      </c>
      <c r="Q364" s="10">
        <f>RIGHT($B$5,3)</f>
        <v/>
      </c>
      <c r="R364" s="10">
        <f>IF(A364="D",LEFT(UPPER(B364)&amp;REPT(" ",20),20),REPT(" ",20))</f>
        <v/>
      </c>
      <c r="S364" s="10">
        <f>IF(A364="D",LEFT(UPPER(C364)&amp;REPT(" ",10),10)," ")</f>
        <v/>
      </c>
      <c r="T364" s="10">
        <f>IF(A364="D",LEFT(UPPER(D364)&amp;REPT(" ",2),2)," ")</f>
        <v/>
      </c>
      <c r="U364" s="10">
        <f>IF(A364="D",LEFT(UPPER(E364)&amp;REPT(" ",15),15)," ")</f>
        <v/>
      </c>
      <c r="V364" s="10">
        <f>REPT(" ",24)</f>
        <v/>
      </c>
      <c r="W364" s="10">
        <f>IF(A364="c",LEFT(UPPER(B364)&amp;REPT(" ",20),20),REPT(" ",20))</f>
        <v/>
      </c>
      <c r="X364" s="10">
        <f>IF(A364="C",LEFT(UPPER(C364)&amp;REPT(" ",10),10)," ")</f>
        <v/>
      </c>
      <c r="Y364" s="10">
        <f>IF(A364="C",LEFT(UPPER(D364)&amp;REPT(" ",2),2)," ")</f>
        <v/>
      </c>
      <c r="Z364" s="10">
        <f>IF(A364="C",LEFT(UPPER(E364)&amp;REPT(" ",15),15)," ")</f>
        <v/>
      </c>
      <c r="AA364" s="10">
        <f>REPT(" ",8)</f>
        <v/>
      </c>
      <c r="AB364" s="10">
        <f>REPT(" ",4)</f>
        <v/>
      </c>
      <c r="AC364" s="10">
        <f>LEFT(UPPER(H364)&amp;REPT(" ",250),250)</f>
        <v/>
      </c>
      <c r="AD364" s="10">
        <f>TEXT($G$2,"dd/mm/aaaa")</f>
        <v/>
      </c>
      <c r="AE364" s="10">
        <f>REPT(" ",10)</f>
        <v/>
      </c>
      <c r="AF364" s="10">
        <f>REPT(" ",20)</f>
        <v/>
      </c>
      <c r="AG364" s="54">
        <f>REPT(" ",18-LEN(FIXED(F364,2,TRUE)))&amp;FIXED(F364,2,TRUE)</f>
        <v/>
      </c>
      <c r="AH364" s="10">
        <f>LEN(AC364)+LEN(AG364)</f>
        <v/>
      </c>
      <c r="AI364" s="10">
        <f>LEN(L364)</f>
        <v/>
      </c>
    </row>
    <row r="365">
      <c r="I365" s="42" t="n"/>
      <c r="J365" s="12">
        <f>IF(F365&lt;&gt;0,"LANÇAR","")</f>
        <v/>
      </c>
      <c r="K365" s="20" t="n"/>
      <c r="L365" s="13">
        <f>N365&amp;O365&amp;P365&amp;Q365&amp;R365&amp;S365&amp;T365&amp;U365&amp;V365&amp;W365&amp;X365&amp;Y365&amp;Z365&amp;AA365&amp;AB365&amp;AC365&amp;AD365&amp;AE365&amp;AF365&amp;AG365</f>
        <v/>
      </c>
      <c r="M365" s="20" t="n"/>
      <c r="N365" s="10">
        <f>TEXT($B$6,"00")</f>
        <v/>
      </c>
      <c r="O365" s="10">
        <f>REPT(" ",8)</f>
        <v/>
      </c>
      <c r="P365" s="10">
        <f>RIGHT($B$4,2)</f>
        <v/>
      </c>
      <c r="Q365" s="10">
        <f>RIGHT($B$5,3)</f>
        <v/>
      </c>
      <c r="R365" s="10">
        <f>IF(A365="D",LEFT(UPPER(B365)&amp;REPT(" ",20),20),REPT(" ",20))</f>
        <v/>
      </c>
      <c r="S365" s="10">
        <f>IF(A365="D",LEFT(UPPER(C365)&amp;REPT(" ",10),10)," ")</f>
        <v/>
      </c>
      <c r="T365" s="10">
        <f>IF(A365="D",LEFT(UPPER(D365)&amp;REPT(" ",2),2)," ")</f>
        <v/>
      </c>
      <c r="U365" s="10">
        <f>IF(A365="D",LEFT(UPPER(E365)&amp;REPT(" ",15),15)," ")</f>
        <v/>
      </c>
      <c r="V365" s="10">
        <f>REPT(" ",24)</f>
        <v/>
      </c>
      <c r="W365" s="10">
        <f>IF(A365="c",LEFT(UPPER(B365)&amp;REPT(" ",20),20),REPT(" ",20))</f>
        <v/>
      </c>
      <c r="X365" s="10">
        <f>IF(A365="C",LEFT(UPPER(C365)&amp;REPT(" ",10),10)," ")</f>
        <v/>
      </c>
      <c r="Y365" s="10">
        <f>IF(A365="C",LEFT(UPPER(D365)&amp;REPT(" ",2),2)," ")</f>
        <v/>
      </c>
      <c r="Z365" s="10">
        <f>IF(A365="C",LEFT(UPPER(E365)&amp;REPT(" ",15),15)," ")</f>
        <v/>
      </c>
      <c r="AA365" s="10">
        <f>REPT(" ",8)</f>
        <v/>
      </c>
      <c r="AB365" s="10">
        <f>REPT(" ",4)</f>
        <v/>
      </c>
      <c r="AC365" s="10">
        <f>LEFT(UPPER(H365)&amp;REPT(" ",250),250)</f>
        <v/>
      </c>
      <c r="AD365" s="10">
        <f>TEXT($G$2,"dd/mm/aaaa")</f>
        <v/>
      </c>
      <c r="AE365" s="10">
        <f>REPT(" ",10)</f>
        <v/>
      </c>
      <c r="AF365" s="10">
        <f>REPT(" ",20)</f>
        <v/>
      </c>
      <c r="AG365" s="54">
        <f>REPT(" ",18-LEN(FIXED(F365,2,TRUE)))&amp;FIXED(F365,2,TRUE)</f>
        <v/>
      </c>
      <c r="AH365" s="10">
        <f>LEN(AC365)+LEN(AG365)</f>
        <v/>
      </c>
      <c r="AI365" s="10">
        <f>LEN(L365)</f>
        <v/>
      </c>
    </row>
    <row r="366">
      <c r="I366" s="42" t="n"/>
      <c r="J366" s="12">
        <f>IF(F366&lt;&gt;0,"LANÇAR","")</f>
        <v/>
      </c>
      <c r="K366" s="20" t="n"/>
      <c r="L366" s="13">
        <f>N366&amp;O366&amp;P366&amp;Q366&amp;R366&amp;S366&amp;T366&amp;U366&amp;V366&amp;W366&amp;X366&amp;Y366&amp;Z366&amp;AA366&amp;AB366&amp;AC366&amp;AD366&amp;AE366&amp;AF366&amp;AG366</f>
        <v/>
      </c>
      <c r="M366" s="20" t="n"/>
      <c r="N366" s="10">
        <f>TEXT($B$6,"00")</f>
        <v/>
      </c>
      <c r="O366" s="10">
        <f>REPT(" ",8)</f>
        <v/>
      </c>
      <c r="P366" s="10">
        <f>RIGHT($B$4,2)</f>
        <v/>
      </c>
      <c r="Q366" s="10">
        <f>RIGHT($B$5,3)</f>
        <v/>
      </c>
      <c r="R366" s="10">
        <f>IF(A366="D",LEFT(UPPER(B366)&amp;REPT(" ",20),20),REPT(" ",20))</f>
        <v/>
      </c>
      <c r="S366" s="10">
        <f>IF(A366="D",LEFT(UPPER(C366)&amp;REPT(" ",10),10)," ")</f>
        <v/>
      </c>
      <c r="T366" s="10">
        <f>IF(A366="D",LEFT(UPPER(D366)&amp;REPT(" ",2),2)," ")</f>
        <v/>
      </c>
      <c r="U366" s="10">
        <f>IF(A366="D",LEFT(UPPER(E366)&amp;REPT(" ",15),15)," ")</f>
        <v/>
      </c>
      <c r="V366" s="10">
        <f>REPT(" ",24)</f>
        <v/>
      </c>
      <c r="W366" s="10">
        <f>IF(A366="c",LEFT(UPPER(B366)&amp;REPT(" ",20),20),REPT(" ",20))</f>
        <v/>
      </c>
      <c r="X366" s="10">
        <f>IF(A366="C",LEFT(UPPER(C366)&amp;REPT(" ",10),10)," ")</f>
        <v/>
      </c>
      <c r="Y366" s="10">
        <f>IF(A366="C",LEFT(UPPER(D366)&amp;REPT(" ",2),2)," ")</f>
        <v/>
      </c>
      <c r="Z366" s="10">
        <f>IF(A366="C",LEFT(UPPER(E366)&amp;REPT(" ",15),15)," ")</f>
        <v/>
      </c>
      <c r="AA366" s="10">
        <f>REPT(" ",8)</f>
        <v/>
      </c>
      <c r="AB366" s="10">
        <f>REPT(" ",4)</f>
        <v/>
      </c>
      <c r="AC366" s="10">
        <f>LEFT(UPPER(H366)&amp;REPT(" ",250),250)</f>
        <v/>
      </c>
      <c r="AD366" s="10">
        <f>TEXT($G$2,"dd/mm/aaaa")</f>
        <v/>
      </c>
      <c r="AE366" s="10">
        <f>REPT(" ",10)</f>
        <v/>
      </c>
      <c r="AF366" s="10">
        <f>REPT(" ",20)</f>
        <v/>
      </c>
      <c r="AG366" s="54">
        <f>REPT(" ",18-LEN(FIXED(F366,2,TRUE)))&amp;FIXED(F366,2,TRUE)</f>
        <v/>
      </c>
      <c r="AH366" s="10">
        <f>LEN(AC366)+LEN(AG366)</f>
        <v/>
      </c>
      <c r="AI366" s="10">
        <f>LEN(L366)</f>
        <v/>
      </c>
    </row>
    <row r="367">
      <c r="I367" s="42" t="n"/>
      <c r="J367" s="12">
        <f>IF(F367&lt;&gt;0,"LANÇAR","")</f>
        <v/>
      </c>
      <c r="K367" s="20" t="n"/>
      <c r="L367" s="13">
        <f>N367&amp;O367&amp;P367&amp;Q367&amp;R367&amp;S367&amp;T367&amp;U367&amp;V367&amp;W367&amp;X367&amp;Y367&amp;Z367&amp;AA367&amp;AB367&amp;AC367&amp;AD367&amp;AE367&amp;AF367&amp;AG367</f>
        <v/>
      </c>
      <c r="M367" s="20" t="n"/>
      <c r="N367" s="10">
        <f>TEXT($B$6,"00")</f>
        <v/>
      </c>
      <c r="O367" s="10">
        <f>REPT(" ",8)</f>
        <v/>
      </c>
      <c r="P367" s="10">
        <f>RIGHT($B$4,2)</f>
        <v/>
      </c>
      <c r="Q367" s="10">
        <f>RIGHT($B$5,3)</f>
        <v/>
      </c>
      <c r="R367" s="10">
        <f>IF(A367="D",LEFT(UPPER(B367)&amp;REPT(" ",20),20),REPT(" ",20))</f>
        <v/>
      </c>
      <c r="S367" s="10">
        <f>IF(A367="D",LEFT(UPPER(C367)&amp;REPT(" ",10),10)," ")</f>
        <v/>
      </c>
      <c r="T367" s="10">
        <f>IF(A367="D",LEFT(UPPER(D367)&amp;REPT(" ",2),2)," ")</f>
        <v/>
      </c>
      <c r="U367" s="10">
        <f>IF(A367="D",LEFT(UPPER(E367)&amp;REPT(" ",15),15)," ")</f>
        <v/>
      </c>
      <c r="V367" s="10">
        <f>REPT(" ",24)</f>
        <v/>
      </c>
      <c r="W367" s="10">
        <f>IF(A367="c",LEFT(UPPER(B367)&amp;REPT(" ",20),20),REPT(" ",20))</f>
        <v/>
      </c>
      <c r="X367" s="10">
        <f>IF(A367="C",LEFT(UPPER(C367)&amp;REPT(" ",10),10)," ")</f>
        <v/>
      </c>
      <c r="Y367" s="10">
        <f>IF(A367="C",LEFT(UPPER(D367)&amp;REPT(" ",2),2)," ")</f>
        <v/>
      </c>
      <c r="Z367" s="10">
        <f>IF(A367="C",LEFT(UPPER(E367)&amp;REPT(" ",15),15)," ")</f>
        <v/>
      </c>
      <c r="AA367" s="10">
        <f>REPT(" ",8)</f>
        <v/>
      </c>
      <c r="AB367" s="10">
        <f>REPT(" ",4)</f>
        <v/>
      </c>
      <c r="AC367" s="10">
        <f>LEFT(UPPER(H367)&amp;REPT(" ",250),250)</f>
        <v/>
      </c>
      <c r="AD367" s="10">
        <f>TEXT($G$2,"dd/mm/aaaa")</f>
        <v/>
      </c>
      <c r="AE367" s="10">
        <f>REPT(" ",10)</f>
        <v/>
      </c>
      <c r="AF367" s="10">
        <f>REPT(" ",20)</f>
        <v/>
      </c>
      <c r="AG367" s="54">
        <f>REPT(" ",18-LEN(FIXED(F367,2,TRUE)))&amp;FIXED(F367,2,TRUE)</f>
        <v/>
      </c>
      <c r="AH367" s="10">
        <f>LEN(AC367)+LEN(AG367)</f>
        <v/>
      </c>
      <c r="AI367" s="10">
        <f>LEN(L367)</f>
        <v/>
      </c>
    </row>
    <row r="368">
      <c r="I368" s="42" t="n"/>
      <c r="J368" s="12">
        <f>IF(F368&lt;&gt;0,"LANÇAR","")</f>
        <v/>
      </c>
      <c r="K368" s="20" t="n"/>
      <c r="L368" s="13">
        <f>N368&amp;O368&amp;P368&amp;Q368&amp;R368&amp;S368&amp;T368&amp;U368&amp;V368&amp;W368&amp;X368&amp;Y368&amp;Z368&amp;AA368&amp;AB368&amp;AC368&amp;AD368&amp;AE368&amp;AF368&amp;AG368</f>
        <v/>
      </c>
      <c r="M368" s="20" t="n"/>
      <c r="N368" s="10">
        <f>TEXT($B$6,"00")</f>
        <v/>
      </c>
      <c r="O368" s="10">
        <f>REPT(" ",8)</f>
        <v/>
      </c>
      <c r="P368" s="10">
        <f>RIGHT($B$4,2)</f>
        <v/>
      </c>
      <c r="Q368" s="10">
        <f>RIGHT($B$5,3)</f>
        <v/>
      </c>
      <c r="R368" s="10">
        <f>IF(A368="D",LEFT(UPPER(B368)&amp;REPT(" ",20),20),REPT(" ",20))</f>
        <v/>
      </c>
      <c r="S368" s="10">
        <f>IF(A368="D",LEFT(UPPER(C368)&amp;REPT(" ",10),10)," ")</f>
        <v/>
      </c>
      <c r="T368" s="10">
        <f>IF(A368="D",LEFT(UPPER(D368)&amp;REPT(" ",2),2)," ")</f>
        <v/>
      </c>
      <c r="U368" s="10">
        <f>IF(A368="D",LEFT(UPPER(E368)&amp;REPT(" ",15),15)," ")</f>
        <v/>
      </c>
      <c r="V368" s="10">
        <f>REPT(" ",24)</f>
        <v/>
      </c>
      <c r="W368" s="10">
        <f>IF(A368="c",LEFT(UPPER(B368)&amp;REPT(" ",20),20),REPT(" ",20))</f>
        <v/>
      </c>
      <c r="X368" s="10">
        <f>IF(A368="C",LEFT(UPPER(C368)&amp;REPT(" ",10),10)," ")</f>
        <v/>
      </c>
      <c r="Y368" s="10">
        <f>IF(A368="C",LEFT(UPPER(D368)&amp;REPT(" ",2),2)," ")</f>
        <v/>
      </c>
      <c r="Z368" s="10">
        <f>IF(A368="C",LEFT(UPPER(E368)&amp;REPT(" ",15),15)," ")</f>
        <v/>
      </c>
      <c r="AA368" s="10">
        <f>REPT(" ",8)</f>
        <v/>
      </c>
      <c r="AB368" s="10">
        <f>REPT(" ",4)</f>
        <v/>
      </c>
      <c r="AC368" s="10">
        <f>LEFT(UPPER(H368)&amp;REPT(" ",250),250)</f>
        <v/>
      </c>
      <c r="AD368" s="10">
        <f>TEXT($G$2,"dd/mm/aaaa")</f>
        <v/>
      </c>
      <c r="AE368" s="10">
        <f>REPT(" ",10)</f>
        <v/>
      </c>
      <c r="AF368" s="10">
        <f>REPT(" ",20)</f>
        <v/>
      </c>
      <c r="AG368" s="54">
        <f>REPT(" ",18-LEN(FIXED(F368,2,TRUE)))&amp;FIXED(F368,2,TRUE)</f>
        <v/>
      </c>
      <c r="AH368" s="10">
        <f>LEN(AC368)+LEN(AG368)</f>
        <v/>
      </c>
      <c r="AI368" s="10">
        <f>LEN(L368)</f>
        <v/>
      </c>
    </row>
    <row r="369">
      <c r="I369" s="42" t="n"/>
      <c r="J369" s="12">
        <f>IF(F369&lt;&gt;0,"LANÇAR","")</f>
        <v/>
      </c>
      <c r="K369" s="20" t="n"/>
      <c r="L369" s="13">
        <f>N369&amp;O369&amp;P369&amp;Q369&amp;R369&amp;S369&amp;T369&amp;U369&amp;V369&amp;W369&amp;X369&amp;Y369&amp;Z369&amp;AA369&amp;AB369&amp;AC369&amp;AD369&amp;AE369&amp;AF369&amp;AG369</f>
        <v/>
      </c>
      <c r="M369" s="20" t="n"/>
      <c r="N369" s="10">
        <f>TEXT($B$6,"00")</f>
        <v/>
      </c>
      <c r="O369" s="10">
        <f>REPT(" ",8)</f>
        <v/>
      </c>
      <c r="P369" s="10">
        <f>RIGHT($B$4,2)</f>
        <v/>
      </c>
      <c r="Q369" s="10">
        <f>RIGHT($B$5,3)</f>
        <v/>
      </c>
      <c r="R369" s="10">
        <f>IF(A369="D",LEFT(UPPER(B369)&amp;REPT(" ",20),20),REPT(" ",20))</f>
        <v/>
      </c>
      <c r="S369" s="10">
        <f>IF(A369="D",LEFT(UPPER(C369)&amp;REPT(" ",10),10)," ")</f>
        <v/>
      </c>
      <c r="T369" s="10">
        <f>IF(A369="D",LEFT(UPPER(D369)&amp;REPT(" ",2),2)," ")</f>
        <v/>
      </c>
      <c r="U369" s="10">
        <f>IF(A369="D",LEFT(UPPER(E369)&amp;REPT(" ",15),15)," ")</f>
        <v/>
      </c>
      <c r="V369" s="10">
        <f>REPT(" ",24)</f>
        <v/>
      </c>
      <c r="W369" s="10">
        <f>IF(A369="c",LEFT(UPPER(B369)&amp;REPT(" ",20),20),REPT(" ",20))</f>
        <v/>
      </c>
      <c r="X369" s="10">
        <f>IF(A369="C",LEFT(UPPER(C369)&amp;REPT(" ",10),10)," ")</f>
        <v/>
      </c>
      <c r="Y369" s="10">
        <f>IF(A369="C",LEFT(UPPER(D369)&amp;REPT(" ",2),2)," ")</f>
        <v/>
      </c>
      <c r="Z369" s="10">
        <f>IF(A369="C",LEFT(UPPER(E369)&amp;REPT(" ",15),15)," ")</f>
        <v/>
      </c>
      <c r="AA369" s="10">
        <f>REPT(" ",8)</f>
        <v/>
      </c>
      <c r="AB369" s="10">
        <f>REPT(" ",4)</f>
        <v/>
      </c>
      <c r="AC369" s="10">
        <f>LEFT(UPPER(H369)&amp;REPT(" ",250),250)</f>
        <v/>
      </c>
      <c r="AD369" s="10">
        <f>TEXT($G$2,"dd/mm/aaaa")</f>
        <v/>
      </c>
      <c r="AE369" s="10">
        <f>REPT(" ",10)</f>
        <v/>
      </c>
      <c r="AF369" s="10">
        <f>REPT(" ",20)</f>
        <v/>
      </c>
      <c r="AG369" s="54">
        <f>REPT(" ",18-LEN(FIXED(F369,2,TRUE)))&amp;FIXED(F369,2,TRUE)</f>
        <v/>
      </c>
      <c r="AH369" s="10">
        <f>LEN(AC369)+LEN(AG369)</f>
        <v/>
      </c>
      <c r="AI369" s="10">
        <f>LEN(L369)</f>
        <v/>
      </c>
    </row>
    <row r="370">
      <c r="I370" s="42" t="n"/>
      <c r="J370" s="12">
        <f>IF(F370&lt;&gt;0,"LANÇAR","")</f>
        <v/>
      </c>
      <c r="K370" s="20" t="n"/>
      <c r="L370" s="13">
        <f>N370&amp;O370&amp;P370&amp;Q370&amp;R370&amp;S370&amp;T370&amp;U370&amp;V370&amp;W370&amp;X370&amp;Y370&amp;Z370&amp;AA370&amp;AB370&amp;AC370&amp;AD370&amp;AE370&amp;AF370&amp;AG370</f>
        <v/>
      </c>
      <c r="M370" s="20" t="n"/>
      <c r="N370" s="10">
        <f>TEXT($B$6,"00")</f>
        <v/>
      </c>
      <c r="O370" s="10">
        <f>REPT(" ",8)</f>
        <v/>
      </c>
      <c r="P370" s="10">
        <f>RIGHT($B$4,2)</f>
        <v/>
      </c>
      <c r="Q370" s="10">
        <f>RIGHT($B$5,3)</f>
        <v/>
      </c>
      <c r="R370" s="10">
        <f>IF(A370="D",LEFT(UPPER(B370)&amp;REPT(" ",20),20),REPT(" ",20))</f>
        <v/>
      </c>
      <c r="S370" s="10">
        <f>IF(A370="D",LEFT(UPPER(C370)&amp;REPT(" ",10),10)," ")</f>
        <v/>
      </c>
      <c r="T370" s="10">
        <f>IF(A370="D",LEFT(UPPER(D370)&amp;REPT(" ",2),2)," ")</f>
        <v/>
      </c>
      <c r="U370" s="10">
        <f>IF(A370="D",LEFT(UPPER(E370)&amp;REPT(" ",15),15)," ")</f>
        <v/>
      </c>
      <c r="V370" s="10">
        <f>REPT(" ",24)</f>
        <v/>
      </c>
      <c r="W370" s="10">
        <f>IF(A370="c",LEFT(UPPER(B370)&amp;REPT(" ",20),20),REPT(" ",20))</f>
        <v/>
      </c>
      <c r="X370" s="10">
        <f>IF(A370="C",LEFT(UPPER(C370)&amp;REPT(" ",10),10)," ")</f>
        <v/>
      </c>
      <c r="Y370" s="10">
        <f>IF(A370="C",LEFT(UPPER(D370)&amp;REPT(" ",2),2)," ")</f>
        <v/>
      </c>
      <c r="Z370" s="10">
        <f>IF(A370="C",LEFT(UPPER(E370)&amp;REPT(" ",15),15)," ")</f>
        <v/>
      </c>
      <c r="AA370" s="10">
        <f>REPT(" ",8)</f>
        <v/>
      </c>
      <c r="AB370" s="10">
        <f>REPT(" ",4)</f>
        <v/>
      </c>
      <c r="AC370" s="10">
        <f>LEFT(UPPER(H370)&amp;REPT(" ",250),250)</f>
        <v/>
      </c>
      <c r="AD370" s="10">
        <f>TEXT($G$2,"dd/mm/aaaa")</f>
        <v/>
      </c>
      <c r="AE370" s="10">
        <f>REPT(" ",10)</f>
        <v/>
      </c>
      <c r="AF370" s="10">
        <f>REPT(" ",20)</f>
        <v/>
      </c>
      <c r="AG370" s="54">
        <f>REPT(" ",18-LEN(FIXED(F370,2,TRUE)))&amp;FIXED(F370,2,TRUE)</f>
        <v/>
      </c>
      <c r="AH370" s="10">
        <f>LEN(AC370)+LEN(AG370)</f>
        <v/>
      </c>
      <c r="AI370" s="10">
        <f>LEN(L370)</f>
        <v/>
      </c>
    </row>
    <row r="371">
      <c r="I371" s="42" t="n"/>
      <c r="J371" s="12">
        <f>IF(F371&lt;&gt;0,"LANÇAR","")</f>
        <v/>
      </c>
      <c r="K371" s="20" t="n"/>
      <c r="L371" s="13">
        <f>N371&amp;O371&amp;P371&amp;Q371&amp;R371&amp;S371&amp;T371&amp;U371&amp;V371&amp;W371&amp;X371&amp;Y371&amp;Z371&amp;AA371&amp;AB371&amp;AC371&amp;AD371&amp;AE371&amp;AF371&amp;AG371</f>
        <v/>
      </c>
      <c r="M371" s="20" t="n"/>
      <c r="N371" s="10">
        <f>TEXT($B$6,"00")</f>
        <v/>
      </c>
      <c r="O371" s="10">
        <f>REPT(" ",8)</f>
        <v/>
      </c>
      <c r="P371" s="10">
        <f>RIGHT($B$4,2)</f>
        <v/>
      </c>
      <c r="Q371" s="10">
        <f>RIGHT($B$5,3)</f>
        <v/>
      </c>
      <c r="R371" s="10">
        <f>IF(A371="D",LEFT(UPPER(B371)&amp;REPT(" ",20),20),REPT(" ",20))</f>
        <v/>
      </c>
      <c r="S371" s="10">
        <f>IF(A371="D",LEFT(UPPER(C371)&amp;REPT(" ",10),10)," ")</f>
        <v/>
      </c>
      <c r="T371" s="10">
        <f>IF(A371="D",LEFT(UPPER(D371)&amp;REPT(" ",2),2)," ")</f>
        <v/>
      </c>
      <c r="U371" s="10">
        <f>IF(A371="D",LEFT(UPPER(E371)&amp;REPT(" ",15),15)," ")</f>
        <v/>
      </c>
      <c r="V371" s="10">
        <f>REPT(" ",24)</f>
        <v/>
      </c>
      <c r="W371" s="10">
        <f>IF(A371="c",LEFT(UPPER(B371)&amp;REPT(" ",20),20),REPT(" ",20))</f>
        <v/>
      </c>
      <c r="X371" s="10">
        <f>IF(A371="C",LEFT(UPPER(C371)&amp;REPT(" ",10),10)," ")</f>
        <v/>
      </c>
      <c r="Y371" s="10">
        <f>IF(A371="C",LEFT(UPPER(D371)&amp;REPT(" ",2),2)," ")</f>
        <v/>
      </c>
      <c r="Z371" s="10">
        <f>IF(A371="C",LEFT(UPPER(E371)&amp;REPT(" ",15),15)," ")</f>
        <v/>
      </c>
      <c r="AA371" s="10">
        <f>REPT(" ",8)</f>
        <v/>
      </c>
      <c r="AB371" s="10">
        <f>REPT(" ",4)</f>
        <v/>
      </c>
      <c r="AC371" s="10">
        <f>LEFT(UPPER(H371)&amp;REPT(" ",250),250)</f>
        <v/>
      </c>
      <c r="AD371" s="10">
        <f>TEXT($G$2,"dd/mm/aaaa")</f>
        <v/>
      </c>
      <c r="AE371" s="10">
        <f>REPT(" ",10)</f>
        <v/>
      </c>
      <c r="AF371" s="10">
        <f>REPT(" ",20)</f>
        <v/>
      </c>
      <c r="AG371" s="54">
        <f>REPT(" ",18-LEN(FIXED(F371,2,TRUE)))&amp;FIXED(F371,2,TRUE)</f>
        <v/>
      </c>
      <c r="AH371" s="10">
        <f>LEN(AC371)+LEN(AG371)</f>
        <v/>
      </c>
      <c r="AI371" s="10">
        <f>LEN(L371)</f>
        <v/>
      </c>
    </row>
    <row r="372">
      <c r="I372" s="42" t="n"/>
      <c r="J372" s="12">
        <f>IF(F372&lt;&gt;0,"LANÇAR","")</f>
        <v/>
      </c>
      <c r="K372" s="20" t="n"/>
      <c r="L372" s="13">
        <f>N372&amp;O372&amp;P372&amp;Q372&amp;R372&amp;S372&amp;T372&amp;U372&amp;V372&amp;W372&amp;X372&amp;Y372&amp;Z372&amp;AA372&amp;AB372&amp;AC372&amp;AD372&amp;AE372&amp;AF372&amp;AG372</f>
        <v/>
      </c>
      <c r="M372" s="20" t="n"/>
      <c r="N372" s="10">
        <f>TEXT($B$6,"00")</f>
        <v/>
      </c>
      <c r="O372" s="10">
        <f>REPT(" ",8)</f>
        <v/>
      </c>
      <c r="P372" s="10">
        <f>RIGHT($B$4,2)</f>
        <v/>
      </c>
      <c r="Q372" s="10">
        <f>RIGHT($B$5,3)</f>
        <v/>
      </c>
      <c r="R372" s="10">
        <f>IF(A372="D",LEFT(UPPER(B372)&amp;REPT(" ",20),20),REPT(" ",20))</f>
        <v/>
      </c>
      <c r="S372" s="10">
        <f>IF(A372="D",LEFT(UPPER(C372)&amp;REPT(" ",10),10)," ")</f>
        <v/>
      </c>
      <c r="T372" s="10">
        <f>IF(A372="D",LEFT(UPPER(D372)&amp;REPT(" ",2),2)," ")</f>
        <v/>
      </c>
      <c r="U372" s="10">
        <f>IF(A372="D",LEFT(UPPER(E372)&amp;REPT(" ",15),15)," ")</f>
        <v/>
      </c>
      <c r="V372" s="10">
        <f>REPT(" ",24)</f>
        <v/>
      </c>
      <c r="W372" s="10">
        <f>IF(A372="c",LEFT(UPPER(B372)&amp;REPT(" ",20),20),REPT(" ",20))</f>
        <v/>
      </c>
      <c r="X372" s="10">
        <f>IF(A372="C",LEFT(UPPER(C372)&amp;REPT(" ",10),10)," ")</f>
        <v/>
      </c>
      <c r="Y372" s="10">
        <f>IF(A372="C",LEFT(UPPER(D372)&amp;REPT(" ",2),2)," ")</f>
        <v/>
      </c>
      <c r="Z372" s="10">
        <f>IF(A372="C",LEFT(UPPER(E372)&amp;REPT(" ",15),15)," ")</f>
        <v/>
      </c>
      <c r="AA372" s="10">
        <f>REPT(" ",8)</f>
        <v/>
      </c>
      <c r="AB372" s="10">
        <f>REPT(" ",4)</f>
        <v/>
      </c>
      <c r="AC372" s="10">
        <f>LEFT(UPPER(H372)&amp;REPT(" ",250),250)</f>
        <v/>
      </c>
      <c r="AD372" s="10">
        <f>TEXT($G$2,"dd/mm/aaaa")</f>
        <v/>
      </c>
      <c r="AE372" s="10">
        <f>REPT(" ",10)</f>
        <v/>
      </c>
      <c r="AF372" s="10">
        <f>REPT(" ",20)</f>
        <v/>
      </c>
      <c r="AG372" s="54">
        <f>REPT(" ",18-LEN(FIXED(F372,2,TRUE)))&amp;FIXED(F372,2,TRUE)</f>
        <v/>
      </c>
      <c r="AH372" s="10">
        <f>LEN(AC372)+LEN(AG372)</f>
        <v/>
      </c>
      <c r="AI372" s="10">
        <f>LEN(L372)</f>
        <v/>
      </c>
    </row>
    <row r="373">
      <c r="I373" s="42" t="n"/>
      <c r="J373" s="12">
        <f>IF(F373&lt;&gt;0,"LANÇAR","")</f>
        <v/>
      </c>
      <c r="K373" s="20" t="n"/>
      <c r="L373" s="13">
        <f>N373&amp;O373&amp;P373&amp;Q373&amp;R373&amp;S373&amp;T373&amp;U373&amp;V373&amp;W373&amp;X373&amp;Y373&amp;Z373&amp;AA373&amp;AB373&amp;AC373&amp;AD373&amp;AE373&amp;AF373&amp;AG373</f>
        <v/>
      </c>
      <c r="M373" s="20" t="n"/>
      <c r="N373" s="10">
        <f>TEXT($B$6,"00")</f>
        <v/>
      </c>
      <c r="O373" s="10">
        <f>REPT(" ",8)</f>
        <v/>
      </c>
      <c r="P373" s="10">
        <f>RIGHT($B$4,2)</f>
        <v/>
      </c>
      <c r="Q373" s="10">
        <f>RIGHT($B$5,3)</f>
        <v/>
      </c>
      <c r="R373" s="10">
        <f>IF(A373="D",LEFT(UPPER(B373)&amp;REPT(" ",20),20),REPT(" ",20))</f>
        <v/>
      </c>
      <c r="S373" s="10">
        <f>IF(A373="D",LEFT(UPPER(C373)&amp;REPT(" ",10),10)," ")</f>
        <v/>
      </c>
      <c r="T373" s="10">
        <f>IF(A373="D",LEFT(UPPER(D373)&amp;REPT(" ",2),2)," ")</f>
        <v/>
      </c>
      <c r="U373" s="10">
        <f>IF(A373="D",LEFT(UPPER(E373)&amp;REPT(" ",15),15)," ")</f>
        <v/>
      </c>
      <c r="V373" s="10">
        <f>REPT(" ",24)</f>
        <v/>
      </c>
      <c r="W373" s="10">
        <f>IF(A373="c",LEFT(UPPER(B373)&amp;REPT(" ",20),20),REPT(" ",20))</f>
        <v/>
      </c>
      <c r="X373" s="10">
        <f>IF(A373="C",LEFT(UPPER(C373)&amp;REPT(" ",10),10)," ")</f>
        <v/>
      </c>
      <c r="Y373" s="10">
        <f>IF(A373="C",LEFT(UPPER(D373)&amp;REPT(" ",2),2)," ")</f>
        <v/>
      </c>
      <c r="Z373" s="10">
        <f>IF(A373="C",LEFT(UPPER(E373)&amp;REPT(" ",15),15)," ")</f>
        <v/>
      </c>
      <c r="AA373" s="10">
        <f>REPT(" ",8)</f>
        <v/>
      </c>
      <c r="AB373" s="10">
        <f>REPT(" ",4)</f>
        <v/>
      </c>
      <c r="AC373" s="10">
        <f>LEFT(UPPER(H373)&amp;REPT(" ",250),250)</f>
        <v/>
      </c>
      <c r="AD373" s="10">
        <f>TEXT($G$2,"dd/mm/aaaa")</f>
        <v/>
      </c>
      <c r="AE373" s="10">
        <f>REPT(" ",10)</f>
        <v/>
      </c>
      <c r="AF373" s="10">
        <f>REPT(" ",20)</f>
        <v/>
      </c>
      <c r="AG373" s="54">
        <f>REPT(" ",18-LEN(FIXED(F373,2,TRUE)))&amp;FIXED(F373,2,TRUE)</f>
        <v/>
      </c>
      <c r="AH373" s="10">
        <f>LEN(AC373)+LEN(AG373)</f>
        <v/>
      </c>
      <c r="AI373" s="10">
        <f>LEN(L373)</f>
        <v/>
      </c>
    </row>
    <row r="374">
      <c r="I374" s="42" t="n"/>
      <c r="J374" s="12">
        <f>IF(F374&lt;&gt;0,"LANÇAR","")</f>
        <v/>
      </c>
      <c r="K374" s="20" t="n"/>
      <c r="L374" s="13">
        <f>N374&amp;O374&amp;P374&amp;Q374&amp;R374&amp;S374&amp;T374&amp;U374&amp;V374&amp;W374&amp;X374&amp;Y374&amp;Z374&amp;AA374&amp;AB374&amp;AC374&amp;AD374&amp;AE374&amp;AF374&amp;AG374</f>
        <v/>
      </c>
      <c r="M374" s="20" t="n"/>
      <c r="N374" s="10">
        <f>TEXT($B$6,"00")</f>
        <v/>
      </c>
      <c r="O374" s="10">
        <f>REPT(" ",8)</f>
        <v/>
      </c>
      <c r="P374" s="10">
        <f>RIGHT($B$4,2)</f>
        <v/>
      </c>
      <c r="Q374" s="10">
        <f>RIGHT($B$5,3)</f>
        <v/>
      </c>
      <c r="R374" s="10">
        <f>IF(A374="D",LEFT(UPPER(B374)&amp;REPT(" ",20),20),REPT(" ",20))</f>
        <v/>
      </c>
      <c r="S374" s="10">
        <f>IF(A374="D",LEFT(UPPER(C374)&amp;REPT(" ",10),10)," ")</f>
        <v/>
      </c>
      <c r="T374" s="10">
        <f>IF(A374="D",LEFT(UPPER(D374)&amp;REPT(" ",2),2)," ")</f>
        <v/>
      </c>
      <c r="U374" s="10">
        <f>IF(A374="D",LEFT(UPPER(E374)&amp;REPT(" ",15),15)," ")</f>
        <v/>
      </c>
      <c r="V374" s="10">
        <f>REPT(" ",24)</f>
        <v/>
      </c>
      <c r="W374" s="10">
        <f>IF(A374="c",LEFT(UPPER(B374)&amp;REPT(" ",20),20),REPT(" ",20))</f>
        <v/>
      </c>
      <c r="X374" s="10">
        <f>IF(A374="C",LEFT(UPPER(C374)&amp;REPT(" ",10),10)," ")</f>
        <v/>
      </c>
      <c r="Y374" s="10">
        <f>IF(A374="C",LEFT(UPPER(D374)&amp;REPT(" ",2),2)," ")</f>
        <v/>
      </c>
      <c r="Z374" s="10">
        <f>IF(A374="C",LEFT(UPPER(E374)&amp;REPT(" ",15),15)," ")</f>
        <v/>
      </c>
      <c r="AA374" s="10">
        <f>REPT(" ",8)</f>
        <v/>
      </c>
      <c r="AB374" s="10">
        <f>REPT(" ",4)</f>
        <v/>
      </c>
      <c r="AC374" s="10">
        <f>LEFT(UPPER(H374)&amp;REPT(" ",250),250)</f>
        <v/>
      </c>
      <c r="AD374" s="10">
        <f>TEXT($G$2,"dd/mm/aaaa")</f>
        <v/>
      </c>
      <c r="AE374" s="10">
        <f>REPT(" ",10)</f>
        <v/>
      </c>
      <c r="AF374" s="10">
        <f>REPT(" ",20)</f>
        <v/>
      </c>
      <c r="AG374" s="54">
        <f>REPT(" ",18-LEN(FIXED(F374,2,TRUE)))&amp;FIXED(F374,2,TRUE)</f>
        <v/>
      </c>
      <c r="AH374" s="10">
        <f>LEN(AC374)+LEN(AG374)</f>
        <v/>
      </c>
      <c r="AI374" s="10">
        <f>LEN(L374)</f>
        <v/>
      </c>
    </row>
    <row r="375">
      <c r="I375" s="42" t="n"/>
      <c r="J375" s="12">
        <f>IF(F375&lt;&gt;0,"LANÇAR","")</f>
        <v/>
      </c>
      <c r="K375" s="20" t="n"/>
      <c r="L375" s="13">
        <f>N375&amp;O375&amp;P375&amp;Q375&amp;R375&amp;S375&amp;T375&amp;U375&amp;V375&amp;W375&amp;X375&amp;Y375&amp;Z375&amp;AA375&amp;AB375&amp;AC375&amp;AD375&amp;AE375&amp;AF375&amp;AG375</f>
        <v/>
      </c>
      <c r="M375" s="20" t="n"/>
      <c r="N375" s="10">
        <f>TEXT($B$6,"00")</f>
        <v/>
      </c>
      <c r="O375" s="10">
        <f>REPT(" ",8)</f>
        <v/>
      </c>
      <c r="P375" s="10">
        <f>RIGHT($B$4,2)</f>
        <v/>
      </c>
      <c r="Q375" s="10">
        <f>RIGHT($B$5,3)</f>
        <v/>
      </c>
      <c r="R375" s="10">
        <f>IF(A375="D",LEFT(UPPER(B375)&amp;REPT(" ",20),20),REPT(" ",20))</f>
        <v/>
      </c>
      <c r="S375" s="10">
        <f>IF(A375="D",LEFT(UPPER(C375)&amp;REPT(" ",10),10)," ")</f>
        <v/>
      </c>
      <c r="T375" s="10">
        <f>IF(A375="D",LEFT(UPPER(D375)&amp;REPT(" ",2),2)," ")</f>
        <v/>
      </c>
      <c r="U375" s="10">
        <f>IF(A375="D",LEFT(UPPER(E375)&amp;REPT(" ",15),15)," ")</f>
        <v/>
      </c>
      <c r="V375" s="10">
        <f>REPT(" ",24)</f>
        <v/>
      </c>
      <c r="W375" s="10">
        <f>IF(A375="c",LEFT(UPPER(B375)&amp;REPT(" ",20),20),REPT(" ",20))</f>
        <v/>
      </c>
      <c r="X375" s="10">
        <f>IF(A375="C",LEFT(UPPER(C375)&amp;REPT(" ",10),10)," ")</f>
        <v/>
      </c>
      <c r="Y375" s="10">
        <f>IF(A375="C",LEFT(UPPER(D375)&amp;REPT(" ",2),2)," ")</f>
        <v/>
      </c>
      <c r="Z375" s="10">
        <f>IF(A375="C",LEFT(UPPER(E375)&amp;REPT(" ",15),15)," ")</f>
        <v/>
      </c>
      <c r="AA375" s="10">
        <f>REPT(" ",8)</f>
        <v/>
      </c>
      <c r="AB375" s="10">
        <f>REPT(" ",4)</f>
        <v/>
      </c>
      <c r="AC375" s="10">
        <f>LEFT(UPPER(H375)&amp;REPT(" ",250),250)</f>
        <v/>
      </c>
      <c r="AD375" s="10">
        <f>TEXT($G$2,"dd/mm/aaaa")</f>
        <v/>
      </c>
      <c r="AE375" s="10">
        <f>REPT(" ",10)</f>
        <v/>
      </c>
      <c r="AF375" s="10">
        <f>REPT(" ",20)</f>
        <v/>
      </c>
      <c r="AG375" s="54">
        <f>REPT(" ",18-LEN(FIXED(F375,2,TRUE)))&amp;FIXED(F375,2,TRUE)</f>
        <v/>
      </c>
      <c r="AH375" s="10">
        <f>LEN(AC375)+LEN(AG375)</f>
        <v/>
      </c>
      <c r="AI375" s="10">
        <f>LEN(L375)</f>
        <v/>
      </c>
    </row>
    <row r="376">
      <c r="I376" s="42" t="n"/>
      <c r="J376" s="12">
        <f>IF(F376&lt;&gt;0,"LANÇAR","")</f>
        <v/>
      </c>
      <c r="K376" s="20" t="n"/>
      <c r="L376" s="13">
        <f>N376&amp;O376&amp;P376&amp;Q376&amp;R376&amp;S376&amp;T376&amp;U376&amp;V376&amp;W376&amp;X376&amp;Y376&amp;Z376&amp;AA376&amp;AB376&amp;AC376&amp;AD376&amp;AE376&amp;AF376&amp;AG376</f>
        <v/>
      </c>
      <c r="M376" s="20" t="n"/>
      <c r="N376" s="10">
        <f>TEXT($B$6,"00")</f>
        <v/>
      </c>
      <c r="O376" s="10">
        <f>REPT(" ",8)</f>
        <v/>
      </c>
      <c r="P376" s="10">
        <f>RIGHT($B$4,2)</f>
        <v/>
      </c>
      <c r="Q376" s="10">
        <f>RIGHT($B$5,3)</f>
        <v/>
      </c>
      <c r="R376" s="10">
        <f>IF(A376="D",LEFT(UPPER(B376)&amp;REPT(" ",20),20),REPT(" ",20))</f>
        <v/>
      </c>
      <c r="S376" s="10">
        <f>IF(A376="D",LEFT(UPPER(C376)&amp;REPT(" ",10),10)," ")</f>
        <v/>
      </c>
      <c r="T376" s="10">
        <f>IF(A376="D",LEFT(UPPER(D376)&amp;REPT(" ",2),2)," ")</f>
        <v/>
      </c>
      <c r="U376" s="10">
        <f>IF(A376="D",LEFT(UPPER(E376)&amp;REPT(" ",15),15)," ")</f>
        <v/>
      </c>
      <c r="V376" s="10">
        <f>REPT(" ",24)</f>
        <v/>
      </c>
      <c r="W376" s="10">
        <f>IF(A376="c",LEFT(UPPER(B376)&amp;REPT(" ",20),20),REPT(" ",20))</f>
        <v/>
      </c>
      <c r="X376" s="10">
        <f>IF(A376="C",LEFT(UPPER(C376)&amp;REPT(" ",10),10)," ")</f>
        <v/>
      </c>
      <c r="Y376" s="10">
        <f>IF(A376="C",LEFT(UPPER(D376)&amp;REPT(" ",2),2)," ")</f>
        <v/>
      </c>
      <c r="Z376" s="10">
        <f>IF(A376="C",LEFT(UPPER(E376)&amp;REPT(" ",15),15)," ")</f>
        <v/>
      </c>
      <c r="AA376" s="10">
        <f>REPT(" ",8)</f>
        <v/>
      </c>
      <c r="AB376" s="10">
        <f>REPT(" ",4)</f>
        <v/>
      </c>
      <c r="AC376" s="10">
        <f>LEFT(UPPER(H376)&amp;REPT(" ",250),250)</f>
        <v/>
      </c>
      <c r="AD376" s="10">
        <f>TEXT($G$2,"dd/mm/aaaa")</f>
        <v/>
      </c>
      <c r="AE376" s="10">
        <f>REPT(" ",10)</f>
        <v/>
      </c>
      <c r="AF376" s="10">
        <f>REPT(" ",20)</f>
        <v/>
      </c>
      <c r="AG376" s="54">
        <f>REPT(" ",18-LEN(FIXED(F376,2,TRUE)))&amp;FIXED(F376,2,TRUE)</f>
        <v/>
      </c>
      <c r="AH376" s="10">
        <f>LEN(AC376)+LEN(AG376)</f>
        <v/>
      </c>
      <c r="AI376" s="10">
        <f>LEN(L376)</f>
        <v/>
      </c>
    </row>
    <row r="377">
      <c r="I377" s="42" t="n"/>
      <c r="J377" s="12">
        <f>IF(F377&lt;&gt;0,"LANÇAR","")</f>
        <v/>
      </c>
      <c r="K377" s="20" t="n"/>
      <c r="L377" s="13">
        <f>N377&amp;O377&amp;P377&amp;Q377&amp;R377&amp;S377&amp;T377&amp;U377&amp;V377&amp;W377&amp;X377&amp;Y377&amp;Z377&amp;AA377&amp;AB377&amp;AC377&amp;AD377&amp;AE377&amp;AF377&amp;AG377</f>
        <v/>
      </c>
      <c r="M377" s="20" t="n"/>
      <c r="N377" s="10">
        <f>TEXT($B$6,"00")</f>
        <v/>
      </c>
      <c r="O377" s="10">
        <f>REPT(" ",8)</f>
        <v/>
      </c>
      <c r="P377" s="10">
        <f>RIGHT($B$4,2)</f>
        <v/>
      </c>
      <c r="Q377" s="10">
        <f>RIGHT($B$5,3)</f>
        <v/>
      </c>
      <c r="R377" s="10">
        <f>IF(A377="D",LEFT(UPPER(B377)&amp;REPT(" ",20),20),REPT(" ",20))</f>
        <v/>
      </c>
      <c r="S377" s="10">
        <f>IF(A377="D",LEFT(UPPER(C377)&amp;REPT(" ",10),10)," ")</f>
        <v/>
      </c>
      <c r="T377" s="10">
        <f>IF(A377="D",LEFT(UPPER(D377)&amp;REPT(" ",2),2)," ")</f>
        <v/>
      </c>
      <c r="U377" s="10">
        <f>IF(A377="D",LEFT(UPPER(E377)&amp;REPT(" ",15),15)," ")</f>
        <v/>
      </c>
      <c r="V377" s="10">
        <f>REPT(" ",24)</f>
        <v/>
      </c>
      <c r="W377" s="10">
        <f>IF(A377="c",LEFT(UPPER(B377)&amp;REPT(" ",20),20),REPT(" ",20))</f>
        <v/>
      </c>
      <c r="X377" s="10">
        <f>IF(A377="C",LEFT(UPPER(C377)&amp;REPT(" ",10),10)," ")</f>
        <v/>
      </c>
      <c r="Y377" s="10">
        <f>IF(A377="C",LEFT(UPPER(D377)&amp;REPT(" ",2),2)," ")</f>
        <v/>
      </c>
      <c r="Z377" s="10">
        <f>IF(A377="C",LEFT(UPPER(E377)&amp;REPT(" ",15),15)," ")</f>
        <v/>
      </c>
      <c r="AA377" s="10">
        <f>REPT(" ",8)</f>
        <v/>
      </c>
      <c r="AB377" s="10">
        <f>REPT(" ",4)</f>
        <v/>
      </c>
      <c r="AC377" s="10">
        <f>LEFT(UPPER(H377)&amp;REPT(" ",250),250)</f>
        <v/>
      </c>
      <c r="AD377" s="10">
        <f>TEXT($G$2,"dd/mm/aaaa")</f>
        <v/>
      </c>
      <c r="AE377" s="10">
        <f>REPT(" ",10)</f>
        <v/>
      </c>
      <c r="AF377" s="10">
        <f>REPT(" ",20)</f>
        <v/>
      </c>
      <c r="AG377" s="54">
        <f>REPT(" ",18-LEN(FIXED(F377,2,TRUE)))&amp;FIXED(F377,2,TRUE)</f>
        <v/>
      </c>
      <c r="AH377" s="10">
        <f>LEN(AC377)+LEN(AG377)</f>
        <v/>
      </c>
      <c r="AI377" s="10">
        <f>LEN(L377)</f>
        <v/>
      </c>
    </row>
    <row r="378">
      <c r="I378" s="42" t="n"/>
      <c r="J378" s="12">
        <f>IF(F378&lt;&gt;0,"LANÇAR","")</f>
        <v/>
      </c>
      <c r="K378" s="20" t="n"/>
      <c r="L378" s="13">
        <f>N378&amp;O378&amp;P378&amp;Q378&amp;R378&amp;S378&amp;T378&amp;U378&amp;V378&amp;W378&amp;X378&amp;Y378&amp;Z378&amp;AA378&amp;AB378&amp;AC378&amp;AD378&amp;AE378&amp;AF378&amp;AG378</f>
        <v/>
      </c>
      <c r="M378" s="20" t="n"/>
      <c r="N378" s="10">
        <f>TEXT($B$6,"00")</f>
        <v/>
      </c>
      <c r="O378" s="10">
        <f>REPT(" ",8)</f>
        <v/>
      </c>
      <c r="P378" s="10">
        <f>RIGHT($B$4,2)</f>
        <v/>
      </c>
      <c r="Q378" s="10">
        <f>RIGHT($B$5,3)</f>
        <v/>
      </c>
      <c r="R378" s="10">
        <f>IF(A378="D",LEFT(UPPER(B378)&amp;REPT(" ",20),20),REPT(" ",20))</f>
        <v/>
      </c>
      <c r="S378" s="10">
        <f>IF(A378="D",LEFT(UPPER(C378)&amp;REPT(" ",10),10)," ")</f>
        <v/>
      </c>
      <c r="T378" s="10">
        <f>IF(A378="D",LEFT(UPPER(D378)&amp;REPT(" ",2),2)," ")</f>
        <v/>
      </c>
      <c r="U378" s="10">
        <f>IF(A378="D",LEFT(UPPER(E378)&amp;REPT(" ",15),15)," ")</f>
        <v/>
      </c>
      <c r="V378" s="10">
        <f>REPT(" ",24)</f>
        <v/>
      </c>
      <c r="W378" s="10">
        <f>IF(A378="c",LEFT(UPPER(B378)&amp;REPT(" ",20),20),REPT(" ",20))</f>
        <v/>
      </c>
      <c r="X378" s="10">
        <f>IF(A378="C",LEFT(UPPER(C378)&amp;REPT(" ",10),10)," ")</f>
        <v/>
      </c>
      <c r="Y378" s="10">
        <f>IF(A378="C",LEFT(UPPER(D378)&amp;REPT(" ",2),2)," ")</f>
        <v/>
      </c>
      <c r="Z378" s="10">
        <f>IF(A378="C",LEFT(UPPER(E378)&amp;REPT(" ",15),15)," ")</f>
        <v/>
      </c>
      <c r="AA378" s="10">
        <f>REPT(" ",8)</f>
        <v/>
      </c>
      <c r="AB378" s="10">
        <f>REPT(" ",4)</f>
        <v/>
      </c>
      <c r="AC378" s="10">
        <f>LEFT(UPPER(H378)&amp;REPT(" ",250),250)</f>
        <v/>
      </c>
      <c r="AD378" s="10">
        <f>TEXT($G$2,"dd/mm/aaaa")</f>
        <v/>
      </c>
      <c r="AE378" s="10">
        <f>REPT(" ",10)</f>
        <v/>
      </c>
      <c r="AF378" s="10">
        <f>REPT(" ",20)</f>
        <v/>
      </c>
      <c r="AG378" s="54">
        <f>REPT(" ",18-LEN(FIXED(F378,2,TRUE)))&amp;FIXED(F378,2,TRUE)</f>
        <v/>
      </c>
      <c r="AH378" s="10">
        <f>LEN(AC378)+LEN(AG378)</f>
        <v/>
      </c>
      <c r="AI378" s="10">
        <f>LEN(L378)</f>
        <v/>
      </c>
    </row>
    <row r="379">
      <c r="I379" s="42" t="n"/>
      <c r="J379" s="12">
        <f>IF(F379&lt;&gt;0,"LANÇAR","")</f>
        <v/>
      </c>
      <c r="K379" s="20" t="n"/>
      <c r="L379" s="13">
        <f>N379&amp;O379&amp;P379&amp;Q379&amp;R379&amp;S379&amp;T379&amp;U379&amp;V379&amp;W379&amp;X379&amp;Y379&amp;Z379&amp;AA379&amp;AB379&amp;AC379&amp;AD379&amp;AE379&amp;AF379&amp;AG379</f>
        <v/>
      </c>
      <c r="M379" s="20" t="n"/>
      <c r="N379" s="10">
        <f>TEXT($B$6,"00")</f>
        <v/>
      </c>
      <c r="O379" s="10">
        <f>REPT(" ",8)</f>
        <v/>
      </c>
      <c r="P379" s="10">
        <f>RIGHT($B$4,2)</f>
        <v/>
      </c>
      <c r="Q379" s="10">
        <f>RIGHT($B$5,3)</f>
        <v/>
      </c>
      <c r="R379" s="10">
        <f>IF(A379="D",LEFT(UPPER(B379)&amp;REPT(" ",20),20),REPT(" ",20))</f>
        <v/>
      </c>
      <c r="S379" s="10">
        <f>IF(A379="D",LEFT(UPPER(C379)&amp;REPT(" ",10),10)," ")</f>
        <v/>
      </c>
      <c r="T379" s="10">
        <f>IF(A379="D",LEFT(UPPER(D379)&amp;REPT(" ",2),2)," ")</f>
        <v/>
      </c>
      <c r="U379" s="10">
        <f>IF(A379="D",LEFT(UPPER(E379)&amp;REPT(" ",15),15)," ")</f>
        <v/>
      </c>
      <c r="V379" s="10">
        <f>REPT(" ",24)</f>
        <v/>
      </c>
      <c r="W379" s="10">
        <f>IF(A379="c",LEFT(UPPER(B379)&amp;REPT(" ",20),20),REPT(" ",20))</f>
        <v/>
      </c>
      <c r="X379" s="10">
        <f>IF(A379="C",LEFT(UPPER(C379)&amp;REPT(" ",10),10)," ")</f>
        <v/>
      </c>
      <c r="Y379" s="10">
        <f>IF(A379="C",LEFT(UPPER(D379)&amp;REPT(" ",2),2)," ")</f>
        <v/>
      </c>
      <c r="Z379" s="10">
        <f>IF(A379="C",LEFT(UPPER(E379)&amp;REPT(" ",15),15)," ")</f>
        <v/>
      </c>
      <c r="AA379" s="10">
        <f>REPT(" ",8)</f>
        <v/>
      </c>
      <c r="AB379" s="10">
        <f>REPT(" ",4)</f>
        <v/>
      </c>
      <c r="AC379" s="10">
        <f>LEFT(UPPER(H379)&amp;REPT(" ",250),250)</f>
        <v/>
      </c>
      <c r="AD379" s="10">
        <f>TEXT($G$2,"dd/mm/aaaa")</f>
        <v/>
      </c>
      <c r="AE379" s="10">
        <f>REPT(" ",10)</f>
        <v/>
      </c>
      <c r="AF379" s="10">
        <f>REPT(" ",20)</f>
        <v/>
      </c>
      <c r="AG379" s="54">
        <f>REPT(" ",18-LEN(FIXED(F379,2,TRUE)))&amp;FIXED(F379,2,TRUE)</f>
        <v/>
      </c>
      <c r="AH379" s="10">
        <f>LEN(AC379)+LEN(AG379)</f>
        <v/>
      </c>
      <c r="AI379" s="10">
        <f>LEN(L379)</f>
        <v/>
      </c>
    </row>
    <row r="380">
      <c r="I380" s="42" t="n"/>
      <c r="J380" s="12">
        <f>IF(F380&lt;&gt;0,"LANÇAR","")</f>
        <v/>
      </c>
      <c r="K380" s="20" t="n"/>
      <c r="L380" s="13">
        <f>N380&amp;O380&amp;P380&amp;Q380&amp;R380&amp;S380&amp;T380&amp;U380&amp;V380&amp;W380&amp;X380&amp;Y380&amp;Z380&amp;AA380&amp;AB380&amp;AC380&amp;AD380&amp;AE380&amp;AF380&amp;AG380</f>
        <v/>
      </c>
      <c r="M380" s="20" t="n"/>
      <c r="N380" s="10">
        <f>TEXT($B$6,"00")</f>
        <v/>
      </c>
      <c r="O380" s="10">
        <f>REPT(" ",8)</f>
        <v/>
      </c>
      <c r="P380" s="10">
        <f>RIGHT($B$4,2)</f>
        <v/>
      </c>
      <c r="Q380" s="10">
        <f>RIGHT($B$5,3)</f>
        <v/>
      </c>
      <c r="R380" s="10">
        <f>IF(A380="D",LEFT(UPPER(B380)&amp;REPT(" ",20),20),REPT(" ",20))</f>
        <v/>
      </c>
      <c r="S380" s="10">
        <f>IF(A380="D",LEFT(UPPER(C380)&amp;REPT(" ",10),10)," ")</f>
        <v/>
      </c>
      <c r="T380" s="10">
        <f>IF(A380="D",LEFT(UPPER(D380)&amp;REPT(" ",2),2)," ")</f>
        <v/>
      </c>
      <c r="U380" s="10">
        <f>IF(A380="D",LEFT(UPPER(E380)&amp;REPT(" ",15),15)," ")</f>
        <v/>
      </c>
      <c r="V380" s="10">
        <f>REPT(" ",24)</f>
        <v/>
      </c>
      <c r="W380" s="10">
        <f>IF(A380="c",LEFT(UPPER(B380)&amp;REPT(" ",20),20),REPT(" ",20))</f>
        <v/>
      </c>
      <c r="X380" s="10">
        <f>IF(A380="C",LEFT(UPPER(C380)&amp;REPT(" ",10),10)," ")</f>
        <v/>
      </c>
      <c r="Y380" s="10">
        <f>IF(A380="C",LEFT(UPPER(D380)&amp;REPT(" ",2),2)," ")</f>
        <v/>
      </c>
      <c r="Z380" s="10">
        <f>IF(A380="C",LEFT(UPPER(E380)&amp;REPT(" ",15),15)," ")</f>
        <v/>
      </c>
      <c r="AA380" s="10">
        <f>REPT(" ",8)</f>
        <v/>
      </c>
      <c r="AB380" s="10">
        <f>REPT(" ",4)</f>
        <v/>
      </c>
      <c r="AC380" s="10">
        <f>LEFT(UPPER(H380)&amp;REPT(" ",250),250)</f>
        <v/>
      </c>
      <c r="AD380" s="10">
        <f>TEXT($G$2,"dd/mm/aaaa")</f>
        <v/>
      </c>
      <c r="AE380" s="10">
        <f>REPT(" ",10)</f>
        <v/>
      </c>
      <c r="AF380" s="10">
        <f>REPT(" ",20)</f>
        <v/>
      </c>
      <c r="AG380" s="54">
        <f>REPT(" ",18-LEN(FIXED(F380,2,TRUE)))&amp;FIXED(F380,2,TRUE)</f>
        <v/>
      </c>
      <c r="AH380" s="10">
        <f>LEN(AC380)+LEN(AG380)</f>
        <v/>
      </c>
      <c r="AI380" s="10">
        <f>LEN(L380)</f>
        <v/>
      </c>
    </row>
    <row r="381">
      <c r="I381" s="42" t="n"/>
      <c r="J381" s="12">
        <f>IF(F381&lt;&gt;0,"LANÇAR","")</f>
        <v/>
      </c>
      <c r="K381" s="20" t="n"/>
      <c r="L381" s="13">
        <f>N381&amp;O381&amp;P381&amp;Q381&amp;R381&amp;S381&amp;T381&amp;U381&amp;V381&amp;W381&amp;X381&amp;Y381&amp;Z381&amp;AA381&amp;AB381&amp;AC381&amp;AD381&amp;AE381&amp;AF381&amp;AG381</f>
        <v/>
      </c>
      <c r="M381" s="20" t="n"/>
      <c r="N381" s="10">
        <f>TEXT($B$6,"00")</f>
        <v/>
      </c>
      <c r="O381" s="10">
        <f>REPT(" ",8)</f>
        <v/>
      </c>
      <c r="P381" s="10">
        <f>RIGHT($B$4,2)</f>
        <v/>
      </c>
      <c r="Q381" s="10">
        <f>RIGHT($B$5,3)</f>
        <v/>
      </c>
      <c r="R381" s="10">
        <f>IF(A381="D",LEFT(UPPER(B381)&amp;REPT(" ",20),20),REPT(" ",20))</f>
        <v/>
      </c>
      <c r="S381" s="10">
        <f>IF(A381="D",LEFT(UPPER(C381)&amp;REPT(" ",10),10)," ")</f>
        <v/>
      </c>
      <c r="T381" s="10">
        <f>IF(A381="D",LEFT(UPPER(D381)&amp;REPT(" ",2),2)," ")</f>
        <v/>
      </c>
      <c r="U381" s="10">
        <f>IF(A381="D",LEFT(UPPER(E381)&amp;REPT(" ",15),15)," ")</f>
        <v/>
      </c>
      <c r="V381" s="10">
        <f>REPT(" ",24)</f>
        <v/>
      </c>
      <c r="W381" s="10">
        <f>IF(A381="c",LEFT(UPPER(B381)&amp;REPT(" ",20),20),REPT(" ",20))</f>
        <v/>
      </c>
      <c r="X381" s="10">
        <f>IF(A381="C",LEFT(UPPER(C381)&amp;REPT(" ",10),10)," ")</f>
        <v/>
      </c>
      <c r="Y381" s="10">
        <f>IF(A381="C",LEFT(UPPER(D381)&amp;REPT(" ",2),2)," ")</f>
        <v/>
      </c>
      <c r="Z381" s="10">
        <f>IF(A381="C",LEFT(UPPER(E381)&amp;REPT(" ",15),15)," ")</f>
        <v/>
      </c>
      <c r="AA381" s="10">
        <f>REPT(" ",8)</f>
        <v/>
      </c>
      <c r="AB381" s="10">
        <f>REPT(" ",4)</f>
        <v/>
      </c>
      <c r="AC381" s="10">
        <f>LEFT(UPPER(H381)&amp;REPT(" ",250),250)</f>
        <v/>
      </c>
      <c r="AD381" s="10">
        <f>TEXT($G$2,"dd/mm/aaaa")</f>
        <v/>
      </c>
      <c r="AE381" s="10">
        <f>REPT(" ",10)</f>
        <v/>
      </c>
      <c r="AF381" s="10">
        <f>REPT(" ",20)</f>
        <v/>
      </c>
      <c r="AG381" s="54">
        <f>REPT(" ",18-LEN(FIXED(F381,2,TRUE)))&amp;FIXED(F381,2,TRUE)</f>
        <v/>
      </c>
      <c r="AH381" s="10">
        <f>LEN(AC381)+LEN(AG381)</f>
        <v/>
      </c>
      <c r="AI381" s="10">
        <f>LEN(L381)</f>
        <v/>
      </c>
    </row>
    <row r="382">
      <c r="I382" s="42" t="n"/>
      <c r="J382" s="12">
        <f>IF(F382&lt;&gt;0,"LANÇAR","")</f>
        <v/>
      </c>
      <c r="K382" s="20" t="n"/>
      <c r="L382" s="13">
        <f>N382&amp;O382&amp;P382&amp;Q382&amp;R382&amp;S382&amp;T382&amp;U382&amp;V382&amp;W382&amp;X382&amp;Y382&amp;Z382&amp;AA382&amp;AB382&amp;AC382&amp;AD382&amp;AE382&amp;AF382&amp;AG382</f>
        <v/>
      </c>
      <c r="M382" s="20" t="n"/>
      <c r="N382" s="10">
        <f>TEXT($B$6,"00")</f>
        <v/>
      </c>
      <c r="O382" s="10">
        <f>REPT(" ",8)</f>
        <v/>
      </c>
      <c r="P382" s="10">
        <f>RIGHT($B$4,2)</f>
        <v/>
      </c>
      <c r="Q382" s="10">
        <f>RIGHT($B$5,3)</f>
        <v/>
      </c>
      <c r="R382" s="10">
        <f>IF(A382="D",LEFT(UPPER(B382)&amp;REPT(" ",20),20),REPT(" ",20))</f>
        <v/>
      </c>
      <c r="S382" s="10">
        <f>IF(A382="D",LEFT(UPPER(C382)&amp;REPT(" ",10),10)," ")</f>
        <v/>
      </c>
      <c r="T382" s="10">
        <f>IF(A382="D",LEFT(UPPER(D382)&amp;REPT(" ",2),2)," ")</f>
        <v/>
      </c>
      <c r="U382" s="10">
        <f>IF(A382="D",LEFT(UPPER(E382)&amp;REPT(" ",15),15)," ")</f>
        <v/>
      </c>
      <c r="V382" s="10">
        <f>REPT(" ",24)</f>
        <v/>
      </c>
      <c r="W382" s="10">
        <f>IF(A382="c",LEFT(UPPER(B382)&amp;REPT(" ",20),20),REPT(" ",20))</f>
        <v/>
      </c>
      <c r="X382" s="10">
        <f>IF(A382="C",LEFT(UPPER(C382)&amp;REPT(" ",10),10)," ")</f>
        <v/>
      </c>
      <c r="Y382" s="10">
        <f>IF(A382="C",LEFT(UPPER(D382)&amp;REPT(" ",2),2)," ")</f>
        <v/>
      </c>
      <c r="Z382" s="10">
        <f>IF(A382="C",LEFT(UPPER(E382)&amp;REPT(" ",15),15)," ")</f>
        <v/>
      </c>
      <c r="AA382" s="10">
        <f>REPT(" ",8)</f>
        <v/>
      </c>
      <c r="AB382" s="10">
        <f>REPT(" ",4)</f>
        <v/>
      </c>
      <c r="AC382" s="10">
        <f>LEFT(UPPER(H382)&amp;REPT(" ",250),250)</f>
        <v/>
      </c>
      <c r="AD382" s="10">
        <f>TEXT($G$2,"dd/mm/aaaa")</f>
        <v/>
      </c>
      <c r="AE382" s="10">
        <f>REPT(" ",10)</f>
        <v/>
      </c>
      <c r="AF382" s="10">
        <f>REPT(" ",20)</f>
        <v/>
      </c>
      <c r="AG382" s="54">
        <f>REPT(" ",18-LEN(FIXED(F382,2,TRUE)))&amp;FIXED(F382,2,TRUE)</f>
        <v/>
      </c>
      <c r="AH382" s="10">
        <f>LEN(AC382)+LEN(AG382)</f>
        <v/>
      </c>
      <c r="AI382" s="10">
        <f>LEN(L382)</f>
        <v/>
      </c>
    </row>
    <row r="383">
      <c r="I383" s="42" t="n"/>
      <c r="J383" s="12">
        <f>IF(F383&lt;&gt;0,"LANÇAR","")</f>
        <v/>
      </c>
      <c r="K383" s="20" t="n"/>
      <c r="L383" s="13">
        <f>N383&amp;O383&amp;P383&amp;Q383&amp;R383&amp;S383&amp;T383&amp;U383&amp;V383&amp;W383&amp;X383&amp;Y383&amp;Z383&amp;AA383&amp;AB383&amp;AC383&amp;AD383&amp;AE383&amp;AF383&amp;AG383</f>
        <v/>
      </c>
      <c r="M383" s="20" t="n"/>
      <c r="N383" s="10">
        <f>TEXT($B$6,"00")</f>
        <v/>
      </c>
      <c r="O383" s="10">
        <f>REPT(" ",8)</f>
        <v/>
      </c>
      <c r="P383" s="10">
        <f>RIGHT($B$4,2)</f>
        <v/>
      </c>
      <c r="Q383" s="10">
        <f>RIGHT($B$5,3)</f>
        <v/>
      </c>
      <c r="R383" s="10">
        <f>IF(A383="D",LEFT(UPPER(B383)&amp;REPT(" ",20),20),REPT(" ",20))</f>
        <v/>
      </c>
      <c r="S383" s="10">
        <f>IF(A383="D",LEFT(UPPER(C383)&amp;REPT(" ",10),10)," ")</f>
        <v/>
      </c>
      <c r="T383" s="10">
        <f>IF(A383="D",LEFT(UPPER(D383)&amp;REPT(" ",2),2)," ")</f>
        <v/>
      </c>
      <c r="U383" s="10">
        <f>IF(A383="D",LEFT(UPPER(E383)&amp;REPT(" ",15),15)," ")</f>
        <v/>
      </c>
      <c r="V383" s="10">
        <f>REPT(" ",24)</f>
        <v/>
      </c>
      <c r="W383" s="10">
        <f>IF(A383="c",LEFT(UPPER(B383)&amp;REPT(" ",20),20),REPT(" ",20))</f>
        <v/>
      </c>
      <c r="X383" s="10">
        <f>IF(A383="C",LEFT(UPPER(C383)&amp;REPT(" ",10),10)," ")</f>
        <v/>
      </c>
      <c r="Y383" s="10">
        <f>IF(A383="C",LEFT(UPPER(D383)&amp;REPT(" ",2),2)," ")</f>
        <v/>
      </c>
      <c r="Z383" s="10">
        <f>IF(A383="C",LEFT(UPPER(E383)&amp;REPT(" ",15),15)," ")</f>
        <v/>
      </c>
      <c r="AA383" s="10">
        <f>REPT(" ",8)</f>
        <v/>
      </c>
      <c r="AB383" s="10">
        <f>REPT(" ",4)</f>
        <v/>
      </c>
      <c r="AC383" s="10">
        <f>LEFT(UPPER(H383)&amp;REPT(" ",250),250)</f>
        <v/>
      </c>
      <c r="AD383" s="10">
        <f>TEXT($G$2,"dd/mm/aaaa")</f>
        <v/>
      </c>
      <c r="AE383" s="10">
        <f>REPT(" ",10)</f>
        <v/>
      </c>
      <c r="AF383" s="10">
        <f>REPT(" ",20)</f>
        <v/>
      </c>
      <c r="AG383" s="54">
        <f>REPT(" ",18-LEN(FIXED(F383,2,TRUE)))&amp;FIXED(F383,2,TRUE)</f>
        <v/>
      </c>
      <c r="AH383" s="10">
        <f>LEN(AC383)+LEN(AG383)</f>
        <v/>
      </c>
      <c r="AI383" s="10">
        <f>LEN(L383)</f>
        <v/>
      </c>
    </row>
    <row r="384">
      <c r="I384" s="42" t="n"/>
      <c r="J384" s="12">
        <f>IF(F384&lt;&gt;0,"LANÇAR","")</f>
        <v/>
      </c>
      <c r="K384" s="20" t="n"/>
      <c r="L384" s="13">
        <f>N384&amp;O384&amp;P384&amp;Q384&amp;R384&amp;S384&amp;T384&amp;U384&amp;V384&amp;W384&amp;X384&amp;Y384&amp;Z384&amp;AA384&amp;AB384&amp;AC384&amp;AD384&amp;AE384&amp;AF384&amp;AG384</f>
        <v/>
      </c>
      <c r="M384" s="20" t="n"/>
      <c r="N384" s="10">
        <f>TEXT($B$6,"00")</f>
        <v/>
      </c>
      <c r="O384" s="10">
        <f>REPT(" ",8)</f>
        <v/>
      </c>
      <c r="P384" s="10">
        <f>RIGHT($B$4,2)</f>
        <v/>
      </c>
      <c r="Q384" s="10">
        <f>RIGHT($B$5,3)</f>
        <v/>
      </c>
      <c r="R384" s="10">
        <f>IF(A384="D",LEFT(UPPER(B384)&amp;REPT(" ",20),20),REPT(" ",20))</f>
        <v/>
      </c>
      <c r="S384" s="10">
        <f>IF(A384="D",LEFT(UPPER(C384)&amp;REPT(" ",10),10)," ")</f>
        <v/>
      </c>
      <c r="T384" s="10">
        <f>IF(A384="D",LEFT(UPPER(D384)&amp;REPT(" ",2),2)," ")</f>
        <v/>
      </c>
      <c r="U384" s="10">
        <f>IF(A384="D",LEFT(UPPER(E384)&amp;REPT(" ",15),15)," ")</f>
        <v/>
      </c>
      <c r="V384" s="10">
        <f>REPT(" ",24)</f>
        <v/>
      </c>
      <c r="W384" s="10">
        <f>IF(A384="c",LEFT(UPPER(B384)&amp;REPT(" ",20),20),REPT(" ",20))</f>
        <v/>
      </c>
      <c r="X384" s="10">
        <f>IF(A384="C",LEFT(UPPER(C384)&amp;REPT(" ",10),10)," ")</f>
        <v/>
      </c>
      <c r="Y384" s="10">
        <f>IF(A384="C",LEFT(UPPER(D384)&amp;REPT(" ",2),2)," ")</f>
        <v/>
      </c>
      <c r="Z384" s="10">
        <f>IF(A384="C",LEFT(UPPER(E384)&amp;REPT(" ",15),15)," ")</f>
        <v/>
      </c>
      <c r="AA384" s="10">
        <f>REPT(" ",8)</f>
        <v/>
      </c>
      <c r="AB384" s="10">
        <f>REPT(" ",4)</f>
        <v/>
      </c>
      <c r="AC384" s="10">
        <f>LEFT(UPPER(H384)&amp;REPT(" ",250),250)</f>
        <v/>
      </c>
      <c r="AD384" s="10">
        <f>TEXT($G$2,"dd/mm/aaaa")</f>
        <v/>
      </c>
      <c r="AE384" s="10">
        <f>REPT(" ",10)</f>
        <v/>
      </c>
      <c r="AF384" s="10">
        <f>REPT(" ",20)</f>
        <v/>
      </c>
      <c r="AG384" s="54">
        <f>REPT(" ",18-LEN(FIXED(F384,2,TRUE)))&amp;FIXED(F384,2,TRUE)</f>
        <v/>
      </c>
      <c r="AH384" s="10">
        <f>LEN(AC384)+LEN(AG384)</f>
        <v/>
      </c>
      <c r="AI384" s="10">
        <f>LEN(L384)</f>
        <v/>
      </c>
    </row>
    <row r="385">
      <c r="I385" s="42" t="n"/>
      <c r="J385" s="12">
        <f>IF(F385&lt;&gt;0,"LANÇAR","")</f>
        <v/>
      </c>
      <c r="K385" s="20" t="n"/>
      <c r="L385" s="13">
        <f>N385&amp;O385&amp;P385&amp;Q385&amp;R385&amp;S385&amp;T385&amp;U385&amp;V385&amp;W385&amp;X385&amp;Y385&amp;Z385&amp;AA385&amp;AB385&amp;AC385&amp;AD385&amp;AE385&amp;AF385&amp;AG385</f>
        <v/>
      </c>
      <c r="M385" s="20" t="n"/>
      <c r="N385" s="10">
        <f>TEXT($B$6,"00")</f>
        <v/>
      </c>
      <c r="O385" s="10">
        <f>REPT(" ",8)</f>
        <v/>
      </c>
      <c r="P385" s="10">
        <f>RIGHT($B$4,2)</f>
        <v/>
      </c>
      <c r="Q385" s="10">
        <f>RIGHT($B$5,3)</f>
        <v/>
      </c>
      <c r="R385" s="10">
        <f>IF(A385="D",LEFT(UPPER(B385)&amp;REPT(" ",20),20),REPT(" ",20))</f>
        <v/>
      </c>
      <c r="S385" s="10">
        <f>IF(A385="D",LEFT(UPPER(C385)&amp;REPT(" ",10),10)," ")</f>
        <v/>
      </c>
      <c r="T385" s="10">
        <f>IF(A385="D",LEFT(UPPER(D385)&amp;REPT(" ",2),2)," ")</f>
        <v/>
      </c>
      <c r="U385" s="10">
        <f>IF(A385="D",LEFT(UPPER(E385)&amp;REPT(" ",15),15)," ")</f>
        <v/>
      </c>
      <c r="V385" s="10">
        <f>REPT(" ",24)</f>
        <v/>
      </c>
      <c r="W385" s="10">
        <f>IF(A385="c",LEFT(UPPER(B385)&amp;REPT(" ",20),20),REPT(" ",20))</f>
        <v/>
      </c>
      <c r="X385" s="10">
        <f>IF(A385="C",LEFT(UPPER(C385)&amp;REPT(" ",10),10)," ")</f>
        <v/>
      </c>
      <c r="Y385" s="10">
        <f>IF(A385="C",LEFT(UPPER(D385)&amp;REPT(" ",2),2)," ")</f>
        <v/>
      </c>
      <c r="Z385" s="10">
        <f>IF(A385="C",LEFT(UPPER(E385)&amp;REPT(" ",15),15)," ")</f>
        <v/>
      </c>
      <c r="AA385" s="10">
        <f>REPT(" ",8)</f>
        <v/>
      </c>
      <c r="AB385" s="10">
        <f>REPT(" ",4)</f>
        <v/>
      </c>
      <c r="AC385" s="10">
        <f>LEFT(UPPER(H385)&amp;REPT(" ",250),250)</f>
        <v/>
      </c>
      <c r="AD385" s="10">
        <f>TEXT($G$2,"dd/mm/aaaa")</f>
        <v/>
      </c>
      <c r="AE385" s="10">
        <f>REPT(" ",10)</f>
        <v/>
      </c>
      <c r="AF385" s="10">
        <f>REPT(" ",20)</f>
        <v/>
      </c>
      <c r="AG385" s="54">
        <f>REPT(" ",18-LEN(FIXED(F385,2,TRUE)))&amp;FIXED(F385,2,TRUE)</f>
        <v/>
      </c>
      <c r="AH385" s="10">
        <f>LEN(AC385)+LEN(AG385)</f>
        <v/>
      </c>
      <c r="AI385" s="10">
        <f>LEN(L385)</f>
        <v/>
      </c>
    </row>
    <row r="386">
      <c r="I386" s="42" t="n"/>
      <c r="J386" s="12">
        <f>IF(F386&lt;&gt;0,"LANÇAR","")</f>
        <v/>
      </c>
      <c r="K386" s="20" t="n"/>
      <c r="L386" s="13">
        <f>N386&amp;O386&amp;P386&amp;Q386&amp;R386&amp;S386&amp;T386&amp;U386&amp;V386&amp;W386&amp;X386&amp;Y386&amp;Z386&amp;AA386&amp;AB386&amp;AC386&amp;AD386&amp;AE386&amp;AF386&amp;AG386</f>
        <v/>
      </c>
      <c r="M386" s="20" t="n"/>
      <c r="N386" s="10">
        <f>TEXT($B$6,"00")</f>
        <v/>
      </c>
      <c r="O386" s="10">
        <f>REPT(" ",8)</f>
        <v/>
      </c>
      <c r="P386" s="10">
        <f>RIGHT($B$4,2)</f>
        <v/>
      </c>
      <c r="Q386" s="10">
        <f>RIGHT($B$5,3)</f>
        <v/>
      </c>
      <c r="R386" s="10">
        <f>IF(A386="D",LEFT(UPPER(B386)&amp;REPT(" ",20),20),REPT(" ",20))</f>
        <v/>
      </c>
      <c r="S386" s="10">
        <f>IF(A386="D",LEFT(UPPER(C386)&amp;REPT(" ",10),10)," ")</f>
        <v/>
      </c>
      <c r="T386" s="10">
        <f>IF(A386="D",LEFT(UPPER(D386)&amp;REPT(" ",2),2)," ")</f>
        <v/>
      </c>
      <c r="U386" s="10">
        <f>IF(A386="D",LEFT(UPPER(E386)&amp;REPT(" ",15),15)," ")</f>
        <v/>
      </c>
      <c r="V386" s="10">
        <f>REPT(" ",24)</f>
        <v/>
      </c>
      <c r="W386" s="10">
        <f>IF(A386="c",LEFT(UPPER(B386)&amp;REPT(" ",20),20),REPT(" ",20))</f>
        <v/>
      </c>
      <c r="X386" s="10">
        <f>IF(A386="C",LEFT(UPPER(C386)&amp;REPT(" ",10),10)," ")</f>
        <v/>
      </c>
      <c r="Y386" s="10">
        <f>IF(A386="C",LEFT(UPPER(D386)&amp;REPT(" ",2),2)," ")</f>
        <v/>
      </c>
      <c r="Z386" s="10">
        <f>IF(A386="C",LEFT(UPPER(E386)&amp;REPT(" ",15),15)," ")</f>
        <v/>
      </c>
      <c r="AA386" s="10">
        <f>REPT(" ",8)</f>
        <v/>
      </c>
      <c r="AB386" s="10">
        <f>REPT(" ",4)</f>
        <v/>
      </c>
      <c r="AC386" s="10">
        <f>LEFT(UPPER(H386)&amp;REPT(" ",250),250)</f>
        <v/>
      </c>
      <c r="AD386" s="10">
        <f>TEXT($G$2,"dd/mm/aaaa")</f>
        <v/>
      </c>
      <c r="AE386" s="10">
        <f>REPT(" ",10)</f>
        <v/>
      </c>
      <c r="AF386" s="10">
        <f>REPT(" ",20)</f>
        <v/>
      </c>
      <c r="AG386" s="54">
        <f>REPT(" ",18-LEN(FIXED(F386,2,TRUE)))&amp;FIXED(F386,2,TRUE)</f>
        <v/>
      </c>
      <c r="AH386" s="10">
        <f>LEN(AC386)+LEN(AG386)</f>
        <v/>
      </c>
      <c r="AI386" s="10">
        <f>LEN(L386)</f>
        <v/>
      </c>
    </row>
    <row r="387">
      <c r="I387" s="42" t="n"/>
      <c r="J387" s="12">
        <f>IF(F387&lt;&gt;0,"LANÇAR","")</f>
        <v/>
      </c>
      <c r="K387" s="20" t="n"/>
      <c r="L387" s="13">
        <f>N387&amp;O387&amp;P387&amp;Q387&amp;R387&amp;S387&amp;T387&amp;U387&amp;V387&amp;W387&amp;X387&amp;Y387&amp;Z387&amp;AA387&amp;AB387&amp;AC387&amp;AD387&amp;AE387&amp;AF387&amp;AG387</f>
        <v/>
      </c>
      <c r="M387" s="20" t="n"/>
      <c r="N387" s="10">
        <f>TEXT($B$6,"00")</f>
        <v/>
      </c>
      <c r="O387" s="10">
        <f>REPT(" ",8)</f>
        <v/>
      </c>
      <c r="P387" s="10">
        <f>RIGHT($B$4,2)</f>
        <v/>
      </c>
      <c r="Q387" s="10">
        <f>RIGHT($B$5,3)</f>
        <v/>
      </c>
      <c r="R387" s="10">
        <f>IF(A387="D",LEFT(UPPER(B387)&amp;REPT(" ",20),20),REPT(" ",20))</f>
        <v/>
      </c>
      <c r="S387" s="10">
        <f>IF(A387="D",LEFT(UPPER(C387)&amp;REPT(" ",10),10)," ")</f>
        <v/>
      </c>
      <c r="T387" s="10">
        <f>IF(A387="D",LEFT(UPPER(D387)&amp;REPT(" ",2),2)," ")</f>
        <v/>
      </c>
      <c r="U387" s="10">
        <f>IF(A387="D",LEFT(UPPER(E387)&amp;REPT(" ",15),15)," ")</f>
        <v/>
      </c>
      <c r="V387" s="10">
        <f>REPT(" ",24)</f>
        <v/>
      </c>
      <c r="W387" s="10">
        <f>IF(A387="c",LEFT(UPPER(B387)&amp;REPT(" ",20),20),REPT(" ",20))</f>
        <v/>
      </c>
      <c r="X387" s="10">
        <f>IF(A387="C",LEFT(UPPER(C387)&amp;REPT(" ",10),10)," ")</f>
        <v/>
      </c>
      <c r="Y387" s="10">
        <f>IF(A387="C",LEFT(UPPER(D387)&amp;REPT(" ",2),2)," ")</f>
        <v/>
      </c>
      <c r="Z387" s="10">
        <f>IF(A387="C",LEFT(UPPER(E387)&amp;REPT(" ",15),15)," ")</f>
        <v/>
      </c>
      <c r="AA387" s="10">
        <f>REPT(" ",8)</f>
        <v/>
      </c>
      <c r="AB387" s="10">
        <f>REPT(" ",4)</f>
        <v/>
      </c>
      <c r="AC387" s="10">
        <f>LEFT(UPPER(H387)&amp;REPT(" ",250),250)</f>
        <v/>
      </c>
      <c r="AD387" s="10">
        <f>TEXT($G$2,"dd/mm/aaaa")</f>
        <v/>
      </c>
      <c r="AE387" s="10">
        <f>REPT(" ",10)</f>
        <v/>
      </c>
      <c r="AF387" s="10">
        <f>REPT(" ",20)</f>
        <v/>
      </c>
      <c r="AG387" s="54">
        <f>REPT(" ",18-LEN(FIXED(F387,2,TRUE)))&amp;FIXED(F387,2,TRUE)</f>
        <v/>
      </c>
      <c r="AH387" s="10">
        <f>LEN(AC387)+LEN(AG387)</f>
        <v/>
      </c>
      <c r="AI387" s="10">
        <f>LEN(L387)</f>
        <v/>
      </c>
    </row>
    <row r="388">
      <c r="I388" s="42" t="n"/>
      <c r="J388" s="12">
        <f>IF(F388&lt;&gt;0,"LANÇAR","")</f>
        <v/>
      </c>
      <c r="K388" s="20" t="n"/>
      <c r="L388" s="13">
        <f>N388&amp;O388&amp;P388&amp;Q388&amp;R388&amp;S388&amp;T388&amp;U388&amp;V388&amp;W388&amp;X388&amp;Y388&amp;Z388&amp;AA388&amp;AB388&amp;AC388&amp;AD388&amp;AE388&amp;AF388&amp;AG388</f>
        <v/>
      </c>
      <c r="M388" s="20" t="n"/>
      <c r="N388" s="10">
        <f>TEXT($B$6,"00")</f>
        <v/>
      </c>
      <c r="O388" s="10">
        <f>REPT(" ",8)</f>
        <v/>
      </c>
      <c r="P388" s="10">
        <f>RIGHT($B$4,2)</f>
        <v/>
      </c>
      <c r="Q388" s="10">
        <f>RIGHT($B$5,3)</f>
        <v/>
      </c>
      <c r="R388" s="10">
        <f>IF(A388="D",LEFT(UPPER(B388)&amp;REPT(" ",20),20),REPT(" ",20))</f>
        <v/>
      </c>
      <c r="S388" s="10">
        <f>IF(A388="D",LEFT(UPPER(C388)&amp;REPT(" ",10),10)," ")</f>
        <v/>
      </c>
      <c r="T388" s="10">
        <f>IF(A388="D",LEFT(UPPER(D388)&amp;REPT(" ",2),2)," ")</f>
        <v/>
      </c>
      <c r="U388" s="10">
        <f>IF(A388="D",LEFT(UPPER(E388)&amp;REPT(" ",15),15)," ")</f>
        <v/>
      </c>
      <c r="V388" s="10">
        <f>REPT(" ",24)</f>
        <v/>
      </c>
      <c r="W388" s="10">
        <f>IF(A388="c",LEFT(UPPER(B388)&amp;REPT(" ",20),20),REPT(" ",20))</f>
        <v/>
      </c>
      <c r="X388" s="10">
        <f>IF(A388="C",LEFT(UPPER(C388)&amp;REPT(" ",10),10)," ")</f>
        <v/>
      </c>
      <c r="Y388" s="10">
        <f>IF(A388="C",LEFT(UPPER(D388)&amp;REPT(" ",2),2)," ")</f>
        <v/>
      </c>
      <c r="Z388" s="10">
        <f>IF(A388="C",LEFT(UPPER(E388)&amp;REPT(" ",15),15)," ")</f>
        <v/>
      </c>
      <c r="AA388" s="10">
        <f>REPT(" ",8)</f>
        <v/>
      </c>
      <c r="AB388" s="10">
        <f>REPT(" ",4)</f>
        <v/>
      </c>
      <c r="AC388" s="10">
        <f>LEFT(UPPER(H388)&amp;REPT(" ",250),250)</f>
        <v/>
      </c>
      <c r="AD388" s="10">
        <f>TEXT($G$2,"dd/mm/aaaa")</f>
        <v/>
      </c>
      <c r="AE388" s="10">
        <f>REPT(" ",10)</f>
        <v/>
      </c>
      <c r="AF388" s="10">
        <f>REPT(" ",20)</f>
        <v/>
      </c>
      <c r="AG388" s="54">
        <f>REPT(" ",18-LEN(FIXED(F388,2,TRUE)))&amp;FIXED(F388,2,TRUE)</f>
        <v/>
      </c>
      <c r="AH388" s="10">
        <f>LEN(AC388)+LEN(AG388)</f>
        <v/>
      </c>
      <c r="AI388" s="10">
        <f>LEN(L388)</f>
        <v/>
      </c>
    </row>
    <row r="389">
      <c r="I389" s="42" t="n"/>
      <c r="J389" s="12">
        <f>IF(F389&lt;&gt;0,"LANÇAR","")</f>
        <v/>
      </c>
      <c r="K389" s="20" t="n"/>
      <c r="L389" s="13">
        <f>N389&amp;O389&amp;P389&amp;Q389&amp;R389&amp;S389&amp;T389&amp;U389&amp;V389&amp;W389&amp;X389&amp;Y389&amp;Z389&amp;AA389&amp;AB389&amp;AC389&amp;AD389&amp;AE389&amp;AF389&amp;AG389</f>
        <v/>
      </c>
      <c r="M389" s="20" t="n"/>
      <c r="N389" s="10">
        <f>TEXT($B$6,"00")</f>
        <v/>
      </c>
      <c r="O389" s="10">
        <f>REPT(" ",8)</f>
        <v/>
      </c>
      <c r="P389" s="10">
        <f>RIGHT($B$4,2)</f>
        <v/>
      </c>
      <c r="Q389" s="10">
        <f>RIGHT($B$5,3)</f>
        <v/>
      </c>
      <c r="R389" s="10">
        <f>IF(A389="D",LEFT(UPPER(B389)&amp;REPT(" ",20),20),REPT(" ",20))</f>
        <v/>
      </c>
      <c r="S389" s="10">
        <f>IF(A389="D",LEFT(UPPER(C389)&amp;REPT(" ",10),10)," ")</f>
        <v/>
      </c>
      <c r="T389" s="10">
        <f>IF(A389="D",LEFT(UPPER(D389)&amp;REPT(" ",2),2)," ")</f>
        <v/>
      </c>
      <c r="U389" s="10">
        <f>IF(A389="D",LEFT(UPPER(E389)&amp;REPT(" ",15),15)," ")</f>
        <v/>
      </c>
      <c r="V389" s="10">
        <f>REPT(" ",24)</f>
        <v/>
      </c>
      <c r="W389" s="10">
        <f>IF(A389="c",LEFT(UPPER(B389)&amp;REPT(" ",20),20),REPT(" ",20))</f>
        <v/>
      </c>
      <c r="X389" s="10">
        <f>IF(A389="C",LEFT(UPPER(C389)&amp;REPT(" ",10),10)," ")</f>
        <v/>
      </c>
      <c r="Y389" s="10">
        <f>IF(A389="C",LEFT(UPPER(D389)&amp;REPT(" ",2),2)," ")</f>
        <v/>
      </c>
      <c r="Z389" s="10">
        <f>IF(A389="C",LEFT(UPPER(E389)&amp;REPT(" ",15),15)," ")</f>
        <v/>
      </c>
      <c r="AA389" s="10">
        <f>REPT(" ",8)</f>
        <v/>
      </c>
      <c r="AB389" s="10">
        <f>REPT(" ",4)</f>
        <v/>
      </c>
      <c r="AC389" s="10">
        <f>LEFT(UPPER(H389)&amp;REPT(" ",250),250)</f>
        <v/>
      </c>
      <c r="AD389" s="10">
        <f>TEXT($G$2,"dd/mm/aaaa")</f>
        <v/>
      </c>
      <c r="AE389" s="10">
        <f>REPT(" ",10)</f>
        <v/>
      </c>
      <c r="AF389" s="10">
        <f>REPT(" ",20)</f>
        <v/>
      </c>
      <c r="AG389" s="54">
        <f>REPT(" ",18-LEN(FIXED(F389,2,TRUE)))&amp;FIXED(F389,2,TRUE)</f>
        <v/>
      </c>
      <c r="AH389" s="10">
        <f>LEN(AC389)+LEN(AG389)</f>
        <v/>
      </c>
      <c r="AI389" s="10">
        <f>LEN(L389)</f>
        <v/>
      </c>
    </row>
    <row r="390">
      <c r="I390" s="42" t="n"/>
      <c r="J390" s="12">
        <f>IF(F390&lt;&gt;0,"LANÇAR","")</f>
        <v/>
      </c>
      <c r="K390" s="20" t="n"/>
      <c r="L390" s="13">
        <f>N390&amp;O390&amp;P390&amp;Q390&amp;R390&amp;S390&amp;T390&amp;U390&amp;V390&amp;W390&amp;X390&amp;Y390&amp;Z390&amp;AA390&amp;AB390&amp;AC390&amp;AD390&amp;AE390&amp;AF390&amp;AG390</f>
        <v/>
      </c>
      <c r="M390" s="20" t="n"/>
      <c r="N390" s="10">
        <f>TEXT($B$6,"00")</f>
        <v/>
      </c>
      <c r="O390" s="10">
        <f>REPT(" ",8)</f>
        <v/>
      </c>
      <c r="P390" s="10">
        <f>RIGHT($B$4,2)</f>
        <v/>
      </c>
      <c r="Q390" s="10">
        <f>RIGHT($B$5,3)</f>
        <v/>
      </c>
      <c r="R390" s="10">
        <f>IF(A390="D",LEFT(UPPER(B390)&amp;REPT(" ",20),20),REPT(" ",20))</f>
        <v/>
      </c>
      <c r="S390" s="10">
        <f>IF(A390="D",LEFT(UPPER(C390)&amp;REPT(" ",10),10)," ")</f>
        <v/>
      </c>
      <c r="T390" s="10">
        <f>IF(A390="D",LEFT(UPPER(D390)&amp;REPT(" ",2),2)," ")</f>
        <v/>
      </c>
      <c r="U390" s="10">
        <f>IF(A390="D",LEFT(UPPER(E390)&amp;REPT(" ",15),15)," ")</f>
        <v/>
      </c>
      <c r="V390" s="10">
        <f>REPT(" ",24)</f>
        <v/>
      </c>
      <c r="W390" s="10">
        <f>IF(A390="c",LEFT(UPPER(B390)&amp;REPT(" ",20),20),REPT(" ",20))</f>
        <v/>
      </c>
      <c r="X390" s="10">
        <f>IF(A390="C",LEFT(UPPER(C390)&amp;REPT(" ",10),10)," ")</f>
        <v/>
      </c>
      <c r="Y390" s="10">
        <f>IF(A390="C",LEFT(UPPER(D390)&amp;REPT(" ",2),2)," ")</f>
        <v/>
      </c>
      <c r="Z390" s="10">
        <f>IF(A390="C",LEFT(UPPER(E390)&amp;REPT(" ",15),15)," ")</f>
        <v/>
      </c>
      <c r="AA390" s="10">
        <f>REPT(" ",8)</f>
        <v/>
      </c>
      <c r="AB390" s="10">
        <f>REPT(" ",4)</f>
        <v/>
      </c>
      <c r="AC390" s="10">
        <f>LEFT(UPPER(H390)&amp;REPT(" ",250),250)</f>
        <v/>
      </c>
      <c r="AD390" s="10">
        <f>TEXT($G$2,"dd/mm/aaaa")</f>
        <v/>
      </c>
      <c r="AE390" s="10">
        <f>REPT(" ",10)</f>
        <v/>
      </c>
      <c r="AF390" s="10">
        <f>REPT(" ",20)</f>
        <v/>
      </c>
      <c r="AG390" s="54">
        <f>REPT(" ",18-LEN(FIXED(F390,2,TRUE)))&amp;FIXED(F390,2,TRUE)</f>
        <v/>
      </c>
      <c r="AH390" s="10">
        <f>LEN(AC390)+LEN(AG390)</f>
        <v/>
      </c>
      <c r="AI390" s="10">
        <f>LEN(L390)</f>
        <v/>
      </c>
    </row>
    <row r="391">
      <c r="I391" s="42" t="n"/>
      <c r="J391" s="12">
        <f>IF(F391&lt;&gt;0,"LANÇAR","")</f>
        <v/>
      </c>
      <c r="K391" s="20" t="n"/>
      <c r="L391" s="13">
        <f>N391&amp;O391&amp;P391&amp;Q391&amp;R391&amp;S391&amp;T391&amp;U391&amp;V391&amp;W391&amp;X391&amp;Y391&amp;Z391&amp;AA391&amp;AB391&amp;AC391&amp;AD391&amp;AE391&amp;AF391&amp;AG391</f>
        <v/>
      </c>
      <c r="M391" s="20" t="n"/>
      <c r="N391" s="10">
        <f>TEXT($B$6,"00")</f>
        <v/>
      </c>
      <c r="O391" s="10">
        <f>REPT(" ",8)</f>
        <v/>
      </c>
      <c r="P391" s="10">
        <f>RIGHT($B$4,2)</f>
        <v/>
      </c>
      <c r="Q391" s="10">
        <f>RIGHT($B$5,3)</f>
        <v/>
      </c>
      <c r="R391" s="10">
        <f>IF(A391="D",LEFT(UPPER(B391)&amp;REPT(" ",20),20),REPT(" ",20))</f>
        <v/>
      </c>
      <c r="S391" s="10">
        <f>IF(A391="D",LEFT(UPPER(C391)&amp;REPT(" ",10),10)," ")</f>
        <v/>
      </c>
      <c r="T391" s="10">
        <f>IF(A391="D",LEFT(UPPER(D391)&amp;REPT(" ",2),2)," ")</f>
        <v/>
      </c>
      <c r="U391" s="10">
        <f>IF(A391="D",LEFT(UPPER(E391)&amp;REPT(" ",15),15)," ")</f>
        <v/>
      </c>
      <c r="V391" s="10">
        <f>REPT(" ",24)</f>
        <v/>
      </c>
      <c r="W391" s="10">
        <f>IF(A391="c",LEFT(UPPER(B391)&amp;REPT(" ",20),20),REPT(" ",20))</f>
        <v/>
      </c>
      <c r="X391" s="10">
        <f>IF(A391="C",LEFT(UPPER(C391)&amp;REPT(" ",10),10)," ")</f>
        <v/>
      </c>
      <c r="Y391" s="10">
        <f>IF(A391="C",LEFT(UPPER(D391)&amp;REPT(" ",2),2)," ")</f>
        <v/>
      </c>
      <c r="Z391" s="10">
        <f>IF(A391="C",LEFT(UPPER(E391)&amp;REPT(" ",15),15)," ")</f>
        <v/>
      </c>
      <c r="AA391" s="10">
        <f>REPT(" ",8)</f>
        <v/>
      </c>
      <c r="AB391" s="10">
        <f>REPT(" ",4)</f>
        <v/>
      </c>
      <c r="AC391" s="10">
        <f>LEFT(UPPER(H391)&amp;REPT(" ",250),250)</f>
        <v/>
      </c>
      <c r="AD391" s="10">
        <f>TEXT($G$2,"dd/mm/aaaa")</f>
        <v/>
      </c>
      <c r="AE391" s="10">
        <f>REPT(" ",10)</f>
        <v/>
      </c>
      <c r="AF391" s="10">
        <f>REPT(" ",20)</f>
        <v/>
      </c>
      <c r="AG391" s="54">
        <f>REPT(" ",18-LEN(FIXED(F391,2,TRUE)))&amp;FIXED(F391,2,TRUE)</f>
        <v/>
      </c>
      <c r="AH391" s="10">
        <f>LEN(AC391)+LEN(AG391)</f>
        <v/>
      </c>
      <c r="AI391" s="10">
        <f>LEN(L391)</f>
        <v/>
      </c>
    </row>
    <row r="392">
      <c r="I392" s="42" t="n"/>
      <c r="J392" s="12">
        <f>IF(F392&lt;&gt;0,"LANÇAR","")</f>
        <v/>
      </c>
      <c r="K392" s="20" t="n"/>
      <c r="L392" s="13">
        <f>N392&amp;O392&amp;P392&amp;Q392&amp;R392&amp;S392&amp;T392&amp;U392&amp;V392&amp;W392&amp;X392&amp;Y392&amp;Z392&amp;AA392&amp;AB392&amp;AC392&amp;AD392&amp;AE392&amp;AF392&amp;AG392</f>
        <v/>
      </c>
      <c r="M392" s="20" t="n"/>
      <c r="N392" s="10">
        <f>TEXT($B$6,"00")</f>
        <v/>
      </c>
      <c r="O392" s="10">
        <f>REPT(" ",8)</f>
        <v/>
      </c>
      <c r="P392" s="10">
        <f>RIGHT($B$4,2)</f>
        <v/>
      </c>
      <c r="Q392" s="10">
        <f>RIGHT($B$5,3)</f>
        <v/>
      </c>
      <c r="R392" s="10">
        <f>IF(A392="D",LEFT(UPPER(B392)&amp;REPT(" ",20),20),REPT(" ",20))</f>
        <v/>
      </c>
      <c r="S392" s="10">
        <f>IF(A392="D",LEFT(UPPER(C392)&amp;REPT(" ",10),10)," ")</f>
        <v/>
      </c>
      <c r="T392" s="10">
        <f>IF(A392="D",LEFT(UPPER(D392)&amp;REPT(" ",2),2)," ")</f>
        <v/>
      </c>
      <c r="U392" s="10">
        <f>IF(A392="D",LEFT(UPPER(E392)&amp;REPT(" ",15),15)," ")</f>
        <v/>
      </c>
      <c r="V392" s="10">
        <f>REPT(" ",24)</f>
        <v/>
      </c>
      <c r="W392" s="10">
        <f>IF(A392="c",LEFT(UPPER(B392)&amp;REPT(" ",20),20),REPT(" ",20))</f>
        <v/>
      </c>
      <c r="X392" s="10">
        <f>IF(A392="C",LEFT(UPPER(C392)&amp;REPT(" ",10),10)," ")</f>
        <v/>
      </c>
      <c r="Y392" s="10">
        <f>IF(A392="C",LEFT(UPPER(D392)&amp;REPT(" ",2),2)," ")</f>
        <v/>
      </c>
      <c r="Z392" s="10">
        <f>IF(A392="C",LEFT(UPPER(E392)&amp;REPT(" ",15),15)," ")</f>
        <v/>
      </c>
      <c r="AA392" s="10">
        <f>REPT(" ",8)</f>
        <v/>
      </c>
      <c r="AB392" s="10">
        <f>REPT(" ",4)</f>
        <v/>
      </c>
      <c r="AC392" s="10">
        <f>LEFT(UPPER(H392)&amp;REPT(" ",250),250)</f>
        <v/>
      </c>
      <c r="AD392" s="10">
        <f>TEXT($G$2,"dd/mm/aaaa")</f>
        <v/>
      </c>
      <c r="AE392" s="10">
        <f>REPT(" ",10)</f>
        <v/>
      </c>
      <c r="AF392" s="10">
        <f>REPT(" ",20)</f>
        <v/>
      </c>
      <c r="AG392" s="54">
        <f>REPT(" ",18-LEN(FIXED(F392,2,TRUE)))&amp;FIXED(F392,2,TRUE)</f>
        <v/>
      </c>
      <c r="AH392" s="10">
        <f>LEN(AC392)+LEN(AG392)</f>
        <v/>
      </c>
      <c r="AI392" s="10">
        <f>LEN(L392)</f>
        <v/>
      </c>
    </row>
    <row r="393">
      <c r="I393" s="42" t="n"/>
      <c r="J393" s="12">
        <f>IF(F393&lt;&gt;0,"LANÇAR","")</f>
        <v/>
      </c>
      <c r="K393" s="20" t="n"/>
      <c r="L393" s="13">
        <f>N393&amp;O393&amp;P393&amp;Q393&amp;R393&amp;S393&amp;T393&amp;U393&amp;V393&amp;W393&amp;X393&amp;Y393&amp;Z393&amp;AA393&amp;AB393&amp;AC393&amp;AD393&amp;AE393&amp;AF393&amp;AG393</f>
        <v/>
      </c>
      <c r="M393" s="20" t="n"/>
      <c r="N393" s="10">
        <f>TEXT($B$6,"00")</f>
        <v/>
      </c>
      <c r="O393" s="10">
        <f>REPT(" ",8)</f>
        <v/>
      </c>
      <c r="P393" s="10">
        <f>RIGHT($B$4,2)</f>
        <v/>
      </c>
      <c r="Q393" s="10">
        <f>RIGHT($B$5,3)</f>
        <v/>
      </c>
      <c r="R393" s="10">
        <f>IF(A393="D",LEFT(UPPER(B393)&amp;REPT(" ",20),20),REPT(" ",20))</f>
        <v/>
      </c>
      <c r="S393" s="10">
        <f>IF(A393="D",LEFT(UPPER(C393)&amp;REPT(" ",10),10)," ")</f>
        <v/>
      </c>
      <c r="T393" s="10">
        <f>IF(A393="D",LEFT(UPPER(D393)&amp;REPT(" ",2),2)," ")</f>
        <v/>
      </c>
      <c r="U393" s="10">
        <f>IF(A393="D",LEFT(UPPER(E393)&amp;REPT(" ",15),15)," ")</f>
        <v/>
      </c>
      <c r="V393" s="10">
        <f>REPT(" ",24)</f>
        <v/>
      </c>
      <c r="W393" s="10">
        <f>IF(A393="c",LEFT(UPPER(B393)&amp;REPT(" ",20),20),REPT(" ",20))</f>
        <v/>
      </c>
      <c r="X393" s="10">
        <f>IF(A393="C",LEFT(UPPER(C393)&amp;REPT(" ",10),10)," ")</f>
        <v/>
      </c>
      <c r="Y393" s="10">
        <f>IF(A393="C",LEFT(UPPER(D393)&amp;REPT(" ",2),2)," ")</f>
        <v/>
      </c>
      <c r="Z393" s="10">
        <f>IF(A393="C",LEFT(UPPER(E393)&amp;REPT(" ",15),15)," ")</f>
        <v/>
      </c>
      <c r="AA393" s="10">
        <f>REPT(" ",8)</f>
        <v/>
      </c>
      <c r="AB393" s="10">
        <f>REPT(" ",4)</f>
        <v/>
      </c>
      <c r="AC393" s="10">
        <f>LEFT(UPPER(H393)&amp;REPT(" ",250),250)</f>
        <v/>
      </c>
      <c r="AD393" s="10">
        <f>TEXT($G$2,"dd/mm/aaaa")</f>
        <v/>
      </c>
      <c r="AE393" s="10">
        <f>REPT(" ",10)</f>
        <v/>
      </c>
      <c r="AF393" s="10">
        <f>REPT(" ",20)</f>
        <v/>
      </c>
      <c r="AG393" s="54">
        <f>REPT(" ",18-LEN(FIXED(F393,2,TRUE)))&amp;FIXED(F393,2,TRUE)</f>
        <v/>
      </c>
      <c r="AH393" s="10">
        <f>LEN(AC393)+LEN(AG393)</f>
        <v/>
      </c>
      <c r="AI393" s="10">
        <f>LEN(L393)</f>
        <v/>
      </c>
    </row>
    <row r="394">
      <c r="I394" s="42" t="n"/>
      <c r="J394" s="12">
        <f>IF(F394&lt;&gt;0,"LANÇAR","")</f>
        <v/>
      </c>
      <c r="K394" s="20" t="n"/>
      <c r="L394" s="13">
        <f>N394&amp;O394&amp;P394&amp;Q394&amp;R394&amp;S394&amp;T394&amp;U394&amp;V394&amp;W394&amp;X394&amp;Y394&amp;Z394&amp;AA394&amp;AB394&amp;AC394&amp;AD394&amp;AE394&amp;AF394&amp;AG394</f>
        <v/>
      </c>
      <c r="M394" s="20" t="n"/>
      <c r="N394" s="10">
        <f>TEXT($B$6,"00")</f>
        <v/>
      </c>
      <c r="O394" s="10">
        <f>REPT(" ",8)</f>
        <v/>
      </c>
      <c r="P394" s="10">
        <f>RIGHT($B$4,2)</f>
        <v/>
      </c>
      <c r="Q394" s="10">
        <f>RIGHT($B$5,3)</f>
        <v/>
      </c>
      <c r="R394" s="10">
        <f>IF(A394="D",LEFT(UPPER(B394)&amp;REPT(" ",20),20),REPT(" ",20))</f>
        <v/>
      </c>
      <c r="S394" s="10">
        <f>IF(A394="D",LEFT(UPPER(C394)&amp;REPT(" ",10),10)," ")</f>
        <v/>
      </c>
      <c r="T394" s="10">
        <f>IF(A394="D",LEFT(UPPER(D394)&amp;REPT(" ",2),2)," ")</f>
        <v/>
      </c>
      <c r="U394" s="10">
        <f>IF(A394="D",LEFT(UPPER(E394)&amp;REPT(" ",15),15)," ")</f>
        <v/>
      </c>
      <c r="V394" s="10">
        <f>REPT(" ",24)</f>
        <v/>
      </c>
      <c r="W394" s="10">
        <f>IF(A394="c",LEFT(UPPER(B394)&amp;REPT(" ",20),20),REPT(" ",20))</f>
        <v/>
      </c>
      <c r="X394" s="10">
        <f>IF(A394="C",LEFT(UPPER(C394)&amp;REPT(" ",10),10)," ")</f>
        <v/>
      </c>
      <c r="Y394" s="10">
        <f>IF(A394="C",LEFT(UPPER(D394)&amp;REPT(" ",2),2)," ")</f>
        <v/>
      </c>
      <c r="Z394" s="10">
        <f>IF(A394="C",LEFT(UPPER(E394)&amp;REPT(" ",15),15)," ")</f>
        <v/>
      </c>
      <c r="AA394" s="10">
        <f>REPT(" ",8)</f>
        <v/>
      </c>
      <c r="AB394" s="10">
        <f>REPT(" ",4)</f>
        <v/>
      </c>
      <c r="AC394" s="10">
        <f>LEFT(UPPER(H394)&amp;REPT(" ",250),250)</f>
        <v/>
      </c>
      <c r="AD394" s="10">
        <f>TEXT($G$2,"dd/mm/aaaa")</f>
        <v/>
      </c>
      <c r="AE394" s="10">
        <f>REPT(" ",10)</f>
        <v/>
      </c>
      <c r="AF394" s="10">
        <f>REPT(" ",20)</f>
        <v/>
      </c>
      <c r="AG394" s="54">
        <f>REPT(" ",18-LEN(FIXED(F394,2,TRUE)))&amp;FIXED(F394,2,TRUE)</f>
        <v/>
      </c>
      <c r="AH394" s="10">
        <f>LEN(AC394)+LEN(AG394)</f>
        <v/>
      </c>
      <c r="AI394" s="10">
        <f>LEN(L394)</f>
        <v/>
      </c>
    </row>
    <row r="395">
      <c r="I395" s="42" t="n"/>
      <c r="J395" s="12">
        <f>IF(F395&lt;&gt;0,"LANÇAR","")</f>
        <v/>
      </c>
      <c r="K395" s="20" t="n"/>
      <c r="L395" s="13">
        <f>N395&amp;O395&amp;P395&amp;Q395&amp;R395&amp;S395&amp;T395&amp;U395&amp;V395&amp;W395&amp;X395&amp;Y395&amp;Z395&amp;AA395&amp;AB395&amp;AC395&amp;AD395&amp;AE395&amp;AF395&amp;AG395</f>
        <v/>
      </c>
      <c r="M395" s="20" t="n"/>
      <c r="N395" s="10">
        <f>TEXT($B$6,"00")</f>
        <v/>
      </c>
      <c r="O395" s="10">
        <f>REPT(" ",8)</f>
        <v/>
      </c>
      <c r="P395" s="10">
        <f>RIGHT($B$4,2)</f>
        <v/>
      </c>
      <c r="Q395" s="10">
        <f>RIGHT($B$5,3)</f>
        <v/>
      </c>
      <c r="R395" s="10">
        <f>IF(A395="D",LEFT(UPPER(B395)&amp;REPT(" ",20),20),REPT(" ",20))</f>
        <v/>
      </c>
      <c r="S395" s="10">
        <f>IF(A395="D",LEFT(UPPER(C395)&amp;REPT(" ",10),10)," ")</f>
        <v/>
      </c>
      <c r="T395" s="10">
        <f>IF(A395="D",LEFT(UPPER(D395)&amp;REPT(" ",2),2)," ")</f>
        <v/>
      </c>
      <c r="U395" s="10">
        <f>IF(A395="D",LEFT(UPPER(E395)&amp;REPT(" ",15),15)," ")</f>
        <v/>
      </c>
      <c r="V395" s="10">
        <f>REPT(" ",24)</f>
        <v/>
      </c>
      <c r="W395" s="10">
        <f>IF(A395="c",LEFT(UPPER(B395)&amp;REPT(" ",20),20),REPT(" ",20))</f>
        <v/>
      </c>
      <c r="X395" s="10">
        <f>IF(A395="C",LEFT(UPPER(C395)&amp;REPT(" ",10),10)," ")</f>
        <v/>
      </c>
      <c r="Y395" s="10">
        <f>IF(A395="C",LEFT(UPPER(D395)&amp;REPT(" ",2),2)," ")</f>
        <v/>
      </c>
      <c r="Z395" s="10">
        <f>IF(A395="C",LEFT(UPPER(E395)&amp;REPT(" ",15),15)," ")</f>
        <v/>
      </c>
      <c r="AA395" s="10">
        <f>REPT(" ",8)</f>
        <v/>
      </c>
      <c r="AB395" s="10">
        <f>REPT(" ",4)</f>
        <v/>
      </c>
      <c r="AC395" s="10">
        <f>LEFT(UPPER(H395)&amp;REPT(" ",250),250)</f>
        <v/>
      </c>
      <c r="AD395" s="10">
        <f>TEXT($G$2,"dd/mm/aaaa")</f>
        <v/>
      </c>
      <c r="AE395" s="10">
        <f>REPT(" ",10)</f>
        <v/>
      </c>
      <c r="AF395" s="10">
        <f>REPT(" ",20)</f>
        <v/>
      </c>
      <c r="AG395" s="54">
        <f>REPT(" ",18-LEN(FIXED(F395,2,TRUE)))&amp;FIXED(F395,2,TRUE)</f>
        <v/>
      </c>
      <c r="AH395" s="10">
        <f>LEN(AC395)+LEN(AG395)</f>
        <v/>
      </c>
      <c r="AI395" s="10">
        <f>LEN(L395)</f>
        <v/>
      </c>
    </row>
    <row r="396">
      <c r="I396" s="42" t="n"/>
      <c r="J396" s="12">
        <f>IF(F396&lt;&gt;0,"LANÇAR","")</f>
        <v/>
      </c>
      <c r="K396" s="20" t="n"/>
      <c r="L396" s="13">
        <f>N396&amp;O396&amp;P396&amp;Q396&amp;R396&amp;S396&amp;T396&amp;U396&amp;V396&amp;W396&amp;X396&amp;Y396&amp;Z396&amp;AA396&amp;AB396&amp;AC396&amp;AD396&amp;AE396&amp;AF396&amp;AG396</f>
        <v/>
      </c>
      <c r="M396" s="20" t="n"/>
      <c r="N396" s="10">
        <f>TEXT($B$6,"00")</f>
        <v/>
      </c>
      <c r="O396" s="10">
        <f>REPT(" ",8)</f>
        <v/>
      </c>
      <c r="P396" s="10">
        <f>RIGHT($B$4,2)</f>
        <v/>
      </c>
      <c r="Q396" s="10">
        <f>RIGHT($B$5,3)</f>
        <v/>
      </c>
      <c r="R396" s="10">
        <f>IF(A396="D",LEFT(UPPER(B396)&amp;REPT(" ",20),20),REPT(" ",20))</f>
        <v/>
      </c>
      <c r="S396" s="10">
        <f>IF(A396="D",LEFT(UPPER(C396)&amp;REPT(" ",10),10)," ")</f>
        <v/>
      </c>
      <c r="T396" s="10">
        <f>IF(A396="D",LEFT(UPPER(D396)&amp;REPT(" ",2),2)," ")</f>
        <v/>
      </c>
      <c r="U396" s="10">
        <f>IF(A396="D",LEFT(UPPER(E396)&amp;REPT(" ",15),15)," ")</f>
        <v/>
      </c>
      <c r="V396" s="10">
        <f>REPT(" ",24)</f>
        <v/>
      </c>
      <c r="W396" s="10">
        <f>IF(A396="c",LEFT(UPPER(B396)&amp;REPT(" ",20),20),REPT(" ",20))</f>
        <v/>
      </c>
      <c r="X396" s="10">
        <f>IF(A396="C",LEFT(UPPER(C396)&amp;REPT(" ",10),10)," ")</f>
        <v/>
      </c>
      <c r="Y396" s="10">
        <f>IF(A396="C",LEFT(UPPER(D396)&amp;REPT(" ",2),2)," ")</f>
        <v/>
      </c>
      <c r="Z396" s="10">
        <f>IF(A396="C",LEFT(UPPER(E396)&amp;REPT(" ",15),15)," ")</f>
        <v/>
      </c>
      <c r="AA396" s="10">
        <f>REPT(" ",8)</f>
        <v/>
      </c>
      <c r="AB396" s="10">
        <f>REPT(" ",4)</f>
        <v/>
      </c>
      <c r="AC396" s="10">
        <f>LEFT(UPPER(H396)&amp;REPT(" ",250),250)</f>
        <v/>
      </c>
      <c r="AD396" s="10">
        <f>TEXT($G$2,"dd/mm/aaaa")</f>
        <v/>
      </c>
      <c r="AE396" s="10">
        <f>REPT(" ",10)</f>
        <v/>
      </c>
      <c r="AF396" s="10">
        <f>REPT(" ",20)</f>
        <v/>
      </c>
      <c r="AG396" s="54">
        <f>REPT(" ",18-LEN(FIXED(F396,2,TRUE)))&amp;FIXED(F396,2,TRUE)</f>
        <v/>
      </c>
      <c r="AH396" s="10">
        <f>LEN(AC396)+LEN(AG396)</f>
        <v/>
      </c>
      <c r="AI396" s="10">
        <f>LEN(L396)</f>
        <v/>
      </c>
    </row>
    <row r="397">
      <c r="I397" s="42" t="n"/>
      <c r="J397" s="12">
        <f>IF(F397&lt;&gt;0,"LANÇAR","")</f>
        <v/>
      </c>
      <c r="K397" s="20" t="n"/>
      <c r="L397" s="13">
        <f>N397&amp;O397&amp;P397&amp;Q397&amp;R397&amp;S397&amp;T397&amp;U397&amp;V397&amp;W397&amp;X397&amp;Y397&amp;Z397&amp;AA397&amp;AB397&amp;AC397&amp;AD397&amp;AE397&amp;AF397&amp;AG397</f>
        <v/>
      </c>
      <c r="M397" s="20" t="n"/>
      <c r="N397" s="10">
        <f>TEXT($B$6,"00")</f>
        <v/>
      </c>
      <c r="O397" s="10">
        <f>REPT(" ",8)</f>
        <v/>
      </c>
      <c r="P397" s="10">
        <f>RIGHT($B$4,2)</f>
        <v/>
      </c>
      <c r="Q397" s="10">
        <f>RIGHT($B$5,3)</f>
        <v/>
      </c>
      <c r="R397" s="10">
        <f>IF(A397="D",LEFT(UPPER(B397)&amp;REPT(" ",20),20),REPT(" ",20))</f>
        <v/>
      </c>
      <c r="S397" s="10">
        <f>IF(A397="D",LEFT(UPPER(C397)&amp;REPT(" ",10),10)," ")</f>
        <v/>
      </c>
      <c r="T397" s="10">
        <f>IF(A397="D",LEFT(UPPER(D397)&amp;REPT(" ",2),2)," ")</f>
        <v/>
      </c>
      <c r="U397" s="10">
        <f>IF(A397="D",LEFT(UPPER(E397)&amp;REPT(" ",15),15)," ")</f>
        <v/>
      </c>
      <c r="V397" s="10">
        <f>REPT(" ",24)</f>
        <v/>
      </c>
      <c r="W397" s="10">
        <f>IF(A397="c",LEFT(UPPER(B397)&amp;REPT(" ",20),20),REPT(" ",20))</f>
        <v/>
      </c>
      <c r="X397" s="10">
        <f>IF(A397="C",LEFT(UPPER(C397)&amp;REPT(" ",10),10)," ")</f>
        <v/>
      </c>
      <c r="Y397" s="10">
        <f>IF(A397="C",LEFT(UPPER(D397)&amp;REPT(" ",2),2)," ")</f>
        <v/>
      </c>
      <c r="Z397" s="10">
        <f>IF(A397="C",LEFT(UPPER(E397)&amp;REPT(" ",15),15)," ")</f>
        <v/>
      </c>
      <c r="AA397" s="10">
        <f>REPT(" ",8)</f>
        <v/>
      </c>
      <c r="AB397" s="10">
        <f>REPT(" ",4)</f>
        <v/>
      </c>
      <c r="AC397" s="10">
        <f>LEFT(UPPER(H397)&amp;REPT(" ",250),250)</f>
        <v/>
      </c>
      <c r="AD397" s="10">
        <f>TEXT($G$2,"dd/mm/aaaa")</f>
        <v/>
      </c>
      <c r="AE397" s="10">
        <f>REPT(" ",10)</f>
        <v/>
      </c>
      <c r="AF397" s="10">
        <f>REPT(" ",20)</f>
        <v/>
      </c>
      <c r="AG397" s="54">
        <f>REPT(" ",18-LEN(FIXED(F397,2,TRUE)))&amp;FIXED(F397,2,TRUE)</f>
        <v/>
      </c>
      <c r="AH397" s="10">
        <f>LEN(AC397)+LEN(AG397)</f>
        <v/>
      </c>
      <c r="AI397" s="10">
        <f>LEN(L397)</f>
        <v/>
      </c>
    </row>
    <row r="398">
      <c r="I398" s="42" t="n"/>
      <c r="J398" s="12">
        <f>IF(F398&lt;&gt;0,"LANÇAR","")</f>
        <v/>
      </c>
      <c r="K398" s="20" t="n"/>
      <c r="L398" s="13">
        <f>N398&amp;O398&amp;P398&amp;Q398&amp;R398&amp;S398&amp;T398&amp;U398&amp;V398&amp;W398&amp;X398&amp;Y398&amp;Z398&amp;AA398&amp;AB398&amp;AC398&amp;AD398&amp;AE398&amp;AF398&amp;AG398</f>
        <v/>
      </c>
      <c r="M398" s="20" t="n"/>
      <c r="N398" s="10">
        <f>TEXT($B$6,"00")</f>
        <v/>
      </c>
      <c r="O398" s="10">
        <f>REPT(" ",8)</f>
        <v/>
      </c>
      <c r="P398" s="10">
        <f>RIGHT($B$4,2)</f>
        <v/>
      </c>
      <c r="Q398" s="10">
        <f>RIGHT($B$5,3)</f>
        <v/>
      </c>
      <c r="R398" s="10">
        <f>IF(A398="D",LEFT(UPPER(B398)&amp;REPT(" ",20),20),REPT(" ",20))</f>
        <v/>
      </c>
      <c r="S398" s="10">
        <f>IF(A398="D",LEFT(UPPER(C398)&amp;REPT(" ",10),10)," ")</f>
        <v/>
      </c>
      <c r="T398" s="10">
        <f>IF(A398="D",LEFT(UPPER(D398)&amp;REPT(" ",2),2)," ")</f>
        <v/>
      </c>
      <c r="U398" s="10">
        <f>IF(A398="D",LEFT(UPPER(E398)&amp;REPT(" ",15),15)," ")</f>
        <v/>
      </c>
      <c r="V398" s="10">
        <f>REPT(" ",24)</f>
        <v/>
      </c>
      <c r="W398" s="10">
        <f>IF(A398="c",LEFT(UPPER(B398)&amp;REPT(" ",20),20),REPT(" ",20))</f>
        <v/>
      </c>
      <c r="X398" s="10">
        <f>IF(A398="C",LEFT(UPPER(C398)&amp;REPT(" ",10),10)," ")</f>
        <v/>
      </c>
      <c r="Y398" s="10">
        <f>IF(A398="C",LEFT(UPPER(D398)&amp;REPT(" ",2),2)," ")</f>
        <v/>
      </c>
      <c r="Z398" s="10">
        <f>IF(A398="C",LEFT(UPPER(E398)&amp;REPT(" ",15),15)," ")</f>
        <v/>
      </c>
      <c r="AA398" s="10">
        <f>REPT(" ",8)</f>
        <v/>
      </c>
      <c r="AB398" s="10">
        <f>REPT(" ",4)</f>
        <v/>
      </c>
      <c r="AC398" s="10">
        <f>LEFT(UPPER(H398)&amp;REPT(" ",250),250)</f>
        <v/>
      </c>
      <c r="AD398" s="10">
        <f>TEXT($G$2,"dd/mm/aaaa")</f>
        <v/>
      </c>
      <c r="AE398" s="10">
        <f>REPT(" ",10)</f>
        <v/>
      </c>
      <c r="AF398" s="10">
        <f>REPT(" ",20)</f>
        <v/>
      </c>
      <c r="AG398" s="54">
        <f>REPT(" ",18-LEN(FIXED(F398,2,TRUE)))&amp;FIXED(F398,2,TRUE)</f>
        <v/>
      </c>
      <c r="AH398" s="10">
        <f>LEN(AC398)+LEN(AG398)</f>
        <v/>
      </c>
      <c r="AI398" s="10">
        <f>LEN(L398)</f>
        <v/>
      </c>
    </row>
    <row r="399">
      <c r="I399" s="42" t="n"/>
      <c r="J399" s="12">
        <f>IF(F399&lt;&gt;0,"LANÇAR","")</f>
        <v/>
      </c>
      <c r="K399" s="20" t="n"/>
      <c r="L399" s="13">
        <f>N399&amp;O399&amp;P399&amp;Q399&amp;R399&amp;S399&amp;T399&amp;U399&amp;V399&amp;W399&amp;X399&amp;Y399&amp;Z399&amp;AA399&amp;AB399&amp;AC399&amp;AD399&amp;AE399&amp;AF399&amp;AG399</f>
        <v/>
      </c>
      <c r="M399" s="20" t="n"/>
      <c r="N399" s="10">
        <f>TEXT($B$6,"00")</f>
        <v/>
      </c>
      <c r="O399" s="10">
        <f>REPT(" ",8)</f>
        <v/>
      </c>
      <c r="P399" s="10">
        <f>RIGHT($B$4,2)</f>
        <v/>
      </c>
      <c r="Q399" s="10">
        <f>RIGHT($B$5,3)</f>
        <v/>
      </c>
      <c r="R399" s="10">
        <f>IF(A399="D",LEFT(UPPER(B399)&amp;REPT(" ",20),20),REPT(" ",20))</f>
        <v/>
      </c>
      <c r="S399" s="10">
        <f>IF(A399="D",LEFT(UPPER(C399)&amp;REPT(" ",10),10)," ")</f>
        <v/>
      </c>
      <c r="T399" s="10">
        <f>IF(A399="D",LEFT(UPPER(D399)&amp;REPT(" ",2),2)," ")</f>
        <v/>
      </c>
      <c r="U399" s="10">
        <f>IF(A399="D",LEFT(UPPER(E399)&amp;REPT(" ",15),15)," ")</f>
        <v/>
      </c>
      <c r="V399" s="10">
        <f>REPT(" ",24)</f>
        <v/>
      </c>
      <c r="W399" s="10">
        <f>IF(A399="c",LEFT(UPPER(B399)&amp;REPT(" ",20),20),REPT(" ",20))</f>
        <v/>
      </c>
      <c r="X399" s="10">
        <f>IF(A399="C",LEFT(UPPER(C399)&amp;REPT(" ",10),10)," ")</f>
        <v/>
      </c>
      <c r="Y399" s="10">
        <f>IF(A399="C",LEFT(UPPER(D399)&amp;REPT(" ",2),2)," ")</f>
        <v/>
      </c>
      <c r="Z399" s="10">
        <f>IF(A399="C",LEFT(UPPER(E399)&amp;REPT(" ",15),15)," ")</f>
        <v/>
      </c>
      <c r="AA399" s="10">
        <f>REPT(" ",8)</f>
        <v/>
      </c>
      <c r="AB399" s="10">
        <f>REPT(" ",4)</f>
        <v/>
      </c>
      <c r="AC399" s="10">
        <f>LEFT(UPPER(H399)&amp;REPT(" ",250),250)</f>
        <v/>
      </c>
      <c r="AD399" s="10">
        <f>TEXT($G$2,"dd/mm/aaaa")</f>
        <v/>
      </c>
      <c r="AE399" s="10">
        <f>REPT(" ",10)</f>
        <v/>
      </c>
      <c r="AF399" s="10">
        <f>REPT(" ",20)</f>
        <v/>
      </c>
      <c r="AG399" s="54">
        <f>REPT(" ",18-LEN(FIXED(F399,2,TRUE)))&amp;FIXED(F399,2,TRUE)</f>
        <v/>
      </c>
      <c r="AH399" s="10">
        <f>LEN(AC399)+LEN(AG399)</f>
        <v/>
      </c>
      <c r="AI399" s="10">
        <f>LEN(L399)</f>
        <v/>
      </c>
    </row>
    <row r="400">
      <c r="I400" s="42" t="n"/>
      <c r="J400" s="12">
        <f>IF(F400&lt;&gt;0,"LANÇAR","")</f>
        <v/>
      </c>
      <c r="K400" s="20" t="n"/>
      <c r="L400" s="13">
        <f>N400&amp;O400&amp;P400&amp;Q400&amp;R400&amp;S400&amp;T400&amp;U400&amp;V400&amp;W400&amp;X400&amp;Y400&amp;Z400&amp;AA400&amp;AB400&amp;AC400&amp;AD400&amp;AE400&amp;AF400&amp;AG400</f>
        <v/>
      </c>
      <c r="M400" s="20" t="n"/>
      <c r="N400" s="10">
        <f>TEXT($B$6,"00")</f>
        <v/>
      </c>
      <c r="O400" s="10">
        <f>REPT(" ",8)</f>
        <v/>
      </c>
      <c r="P400" s="10">
        <f>RIGHT($B$4,2)</f>
        <v/>
      </c>
      <c r="Q400" s="10">
        <f>RIGHT($B$5,3)</f>
        <v/>
      </c>
      <c r="R400" s="10">
        <f>IF(A400="D",LEFT(UPPER(B400)&amp;REPT(" ",20),20),REPT(" ",20))</f>
        <v/>
      </c>
      <c r="S400" s="10">
        <f>IF(A400="D",LEFT(UPPER(C400)&amp;REPT(" ",10),10)," ")</f>
        <v/>
      </c>
      <c r="T400" s="10">
        <f>IF(A400="D",LEFT(UPPER(D400)&amp;REPT(" ",2),2)," ")</f>
        <v/>
      </c>
      <c r="U400" s="10">
        <f>IF(A400="D",LEFT(UPPER(E400)&amp;REPT(" ",15),15)," ")</f>
        <v/>
      </c>
      <c r="V400" s="10">
        <f>REPT(" ",24)</f>
        <v/>
      </c>
      <c r="W400" s="10">
        <f>IF(A400="c",LEFT(UPPER(B400)&amp;REPT(" ",20),20),REPT(" ",20))</f>
        <v/>
      </c>
      <c r="X400" s="10">
        <f>IF(A400="C",LEFT(UPPER(C400)&amp;REPT(" ",10),10)," ")</f>
        <v/>
      </c>
      <c r="Y400" s="10">
        <f>IF(A400="C",LEFT(UPPER(D400)&amp;REPT(" ",2),2)," ")</f>
        <v/>
      </c>
      <c r="Z400" s="10">
        <f>IF(A400="C",LEFT(UPPER(E400)&amp;REPT(" ",15),15)," ")</f>
        <v/>
      </c>
      <c r="AA400" s="10">
        <f>REPT(" ",8)</f>
        <v/>
      </c>
      <c r="AB400" s="10">
        <f>REPT(" ",4)</f>
        <v/>
      </c>
      <c r="AC400" s="10">
        <f>LEFT(UPPER(H400)&amp;REPT(" ",250),250)</f>
        <v/>
      </c>
      <c r="AD400" s="10">
        <f>TEXT($G$2,"dd/mm/aaaa")</f>
        <v/>
      </c>
      <c r="AE400" s="10">
        <f>REPT(" ",10)</f>
        <v/>
      </c>
      <c r="AF400" s="10">
        <f>REPT(" ",20)</f>
        <v/>
      </c>
      <c r="AG400" s="54">
        <f>REPT(" ",18-LEN(FIXED(F400,2,TRUE)))&amp;FIXED(F400,2,TRUE)</f>
        <v/>
      </c>
      <c r="AH400" s="10">
        <f>LEN(AC400)+LEN(AG400)</f>
        <v/>
      </c>
      <c r="AI400" s="10">
        <f>LEN(L400)</f>
        <v/>
      </c>
    </row>
    <row r="401">
      <c r="I401" s="42" t="n"/>
      <c r="J401" s="12">
        <f>IF(F401&lt;&gt;0,"LANÇAR","")</f>
        <v/>
      </c>
      <c r="K401" s="20" t="n"/>
      <c r="L401" s="13">
        <f>N401&amp;O401&amp;P401&amp;Q401&amp;R401&amp;S401&amp;T401&amp;U401&amp;V401&amp;W401&amp;X401&amp;Y401&amp;Z401&amp;AA401&amp;AB401&amp;AC401&amp;AD401&amp;AE401&amp;AF401&amp;AG401</f>
        <v/>
      </c>
      <c r="M401" s="20" t="n"/>
      <c r="N401" s="10">
        <f>TEXT($B$6,"00")</f>
        <v/>
      </c>
      <c r="O401" s="10">
        <f>REPT(" ",8)</f>
        <v/>
      </c>
      <c r="P401" s="10">
        <f>RIGHT($B$4,2)</f>
        <v/>
      </c>
      <c r="Q401" s="10">
        <f>RIGHT($B$5,3)</f>
        <v/>
      </c>
      <c r="R401" s="10">
        <f>IF(A401="D",LEFT(UPPER(B401)&amp;REPT(" ",20),20),REPT(" ",20))</f>
        <v/>
      </c>
      <c r="S401" s="10">
        <f>IF(A401="D",LEFT(UPPER(C401)&amp;REPT(" ",10),10)," ")</f>
        <v/>
      </c>
      <c r="T401" s="10">
        <f>IF(A401="D",LEFT(UPPER(D401)&amp;REPT(" ",2),2)," ")</f>
        <v/>
      </c>
      <c r="U401" s="10">
        <f>IF(A401="D",LEFT(UPPER(E401)&amp;REPT(" ",15),15)," ")</f>
        <v/>
      </c>
      <c r="V401" s="10">
        <f>REPT(" ",24)</f>
        <v/>
      </c>
      <c r="W401" s="10">
        <f>IF(A401="c",LEFT(UPPER(B401)&amp;REPT(" ",20),20),REPT(" ",20))</f>
        <v/>
      </c>
      <c r="X401" s="10">
        <f>IF(A401="C",LEFT(UPPER(C401)&amp;REPT(" ",10),10)," ")</f>
        <v/>
      </c>
      <c r="Y401" s="10">
        <f>IF(A401="C",LEFT(UPPER(D401)&amp;REPT(" ",2),2)," ")</f>
        <v/>
      </c>
      <c r="Z401" s="10">
        <f>IF(A401="C",LEFT(UPPER(E401)&amp;REPT(" ",15),15)," ")</f>
        <v/>
      </c>
      <c r="AA401" s="10">
        <f>REPT(" ",8)</f>
        <v/>
      </c>
      <c r="AB401" s="10">
        <f>REPT(" ",4)</f>
        <v/>
      </c>
      <c r="AC401" s="10">
        <f>LEFT(UPPER(H401)&amp;REPT(" ",250),250)</f>
        <v/>
      </c>
      <c r="AD401" s="10">
        <f>TEXT($G$2,"dd/mm/aaaa")</f>
        <v/>
      </c>
      <c r="AE401" s="10">
        <f>REPT(" ",10)</f>
        <v/>
      </c>
      <c r="AF401" s="10">
        <f>REPT(" ",20)</f>
        <v/>
      </c>
      <c r="AG401" s="54">
        <f>REPT(" ",18-LEN(FIXED(F401,2,TRUE)))&amp;FIXED(F401,2,TRUE)</f>
        <v/>
      </c>
      <c r="AH401" s="10">
        <f>LEN(AC401)+LEN(AG401)</f>
        <v/>
      </c>
      <c r="AI401" s="10">
        <f>LEN(L401)</f>
        <v/>
      </c>
    </row>
    <row r="402">
      <c r="I402" s="42" t="n"/>
      <c r="J402" s="12">
        <f>IF(F402&lt;&gt;0,"LANÇAR","")</f>
        <v/>
      </c>
      <c r="K402" s="20" t="n"/>
      <c r="L402" s="13">
        <f>N402&amp;O402&amp;P402&amp;Q402&amp;R402&amp;S402&amp;T402&amp;U402&amp;V402&amp;W402&amp;X402&amp;Y402&amp;Z402&amp;AA402&amp;AB402&amp;AC402&amp;AD402&amp;AE402&amp;AF402&amp;AG402</f>
        <v/>
      </c>
      <c r="M402" s="20" t="n"/>
      <c r="N402" s="10">
        <f>TEXT($B$6,"00")</f>
        <v/>
      </c>
      <c r="O402" s="10">
        <f>REPT(" ",8)</f>
        <v/>
      </c>
      <c r="P402" s="10">
        <f>RIGHT($B$4,2)</f>
        <v/>
      </c>
      <c r="Q402" s="10">
        <f>RIGHT($B$5,3)</f>
        <v/>
      </c>
      <c r="R402" s="10">
        <f>IF(A402="D",LEFT(UPPER(B402)&amp;REPT(" ",20),20),REPT(" ",20))</f>
        <v/>
      </c>
      <c r="S402" s="10">
        <f>IF(A402="D",LEFT(UPPER(C402)&amp;REPT(" ",10),10)," ")</f>
        <v/>
      </c>
      <c r="T402" s="10">
        <f>IF(A402="D",LEFT(UPPER(D402)&amp;REPT(" ",2),2)," ")</f>
        <v/>
      </c>
      <c r="U402" s="10">
        <f>IF(A402="D",LEFT(UPPER(E402)&amp;REPT(" ",15),15)," ")</f>
        <v/>
      </c>
      <c r="V402" s="10">
        <f>REPT(" ",24)</f>
        <v/>
      </c>
      <c r="W402" s="10">
        <f>IF(A402="c",LEFT(UPPER(B402)&amp;REPT(" ",20),20),REPT(" ",20))</f>
        <v/>
      </c>
      <c r="X402" s="10">
        <f>IF(A402="C",LEFT(UPPER(C402)&amp;REPT(" ",10),10)," ")</f>
        <v/>
      </c>
      <c r="Y402" s="10">
        <f>IF(A402="C",LEFT(UPPER(D402)&amp;REPT(" ",2),2)," ")</f>
        <v/>
      </c>
      <c r="Z402" s="10">
        <f>IF(A402="C",LEFT(UPPER(E402)&amp;REPT(" ",15),15)," ")</f>
        <v/>
      </c>
      <c r="AA402" s="10">
        <f>REPT(" ",8)</f>
        <v/>
      </c>
      <c r="AB402" s="10">
        <f>REPT(" ",4)</f>
        <v/>
      </c>
      <c r="AC402" s="10">
        <f>LEFT(UPPER(H402)&amp;REPT(" ",250),250)</f>
        <v/>
      </c>
      <c r="AD402" s="10">
        <f>TEXT($G$2,"dd/mm/aaaa")</f>
        <v/>
      </c>
      <c r="AE402" s="10">
        <f>REPT(" ",10)</f>
        <v/>
      </c>
      <c r="AF402" s="10">
        <f>REPT(" ",20)</f>
        <v/>
      </c>
      <c r="AG402" s="54">
        <f>REPT(" ",18-LEN(FIXED(F402,2,TRUE)))&amp;FIXED(F402,2,TRUE)</f>
        <v/>
      </c>
      <c r="AH402" s="10">
        <f>LEN(AC402)+LEN(AG402)</f>
        <v/>
      </c>
      <c r="AI402" s="10">
        <f>LEN(L402)</f>
        <v/>
      </c>
    </row>
    <row r="403">
      <c r="I403" s="42" t="n"/>
      <c r="J403" s="12">
        <f>IF(F403&lt;&gt;0,"LANÇAR","")</f>
        <v/>
      </c>
      <c r="K403" s="20" t="n"/>
      <c r="L403" s="13">
        <f>N403&amp;O403&amp;P403&amp;Q403&amp;R403&amp;S403&amp;T403&amp;U403&amp;V403&amp;W403&amp;X403&amp;Y403&amp;Z403&amp;AA403&amp;AB403&amp;AC403&amp;AD403&amp;AE403&amp;AF403&amp;AG403</f>
        <v/>
      </c>
      <c r="M403" s="20" t="n"/>
      <c r="N403" s="10">
        <f>TEXT($B$6,"00")</f>
        <v/>
      </c>
      <c r="O403" s="10">
        <f>REPT(" ",8)</f>
        <v/>
      </c>
      <c r="P403" s="10">
        <f>RIGHT($B$4,2)</f>
        <v/>
      </c>
      <c r="Q403" s="10">
        <f>RIGHT($B$5,3)</f>
        <v/>
      </c>
      <c r="R403" s="10">
        <f>IF(A403="D",LEFT(UPPER(B403)&amp;REPT(" ",20),20),REPT(" ",20))</f>
        <v/>
      </c>
      <c r="S403" s="10">
        <f>IF(A403="D",LEFT(UPPER(C403)&amp;REPT(" ",10),10)," ")</f>
        <v/>
      </c>
      <c r="T403" s="10">
        <f>IF(A403="D",LEFT(UPPER(D403)&amp;REPT(" ",2),2)," ")</f>
        <v/>
      </c>
      <c r="U403" s="10">
        <f>IF(A403="D",LEFT(UPPER(E403)&amp;REPT(" ",15),15)," ")</f>
        <v/>
      </c>
      <c r="V403" s="10">
        <f>REPT(" ",24)</f>
        <v/>
      </c>
      <c r="W403" s="10">
        <f>IF(A403="c",LEFT(UPPER(B403)&amp;REPT(" ",20),20),REPT(" ",20))</f>
        <v/>
      </c>
      <c r="X403" s="10">
        <f>IF(A403="C",LEFT(UPPER(C403)&amp;REPT(" ",10),10)," ")</f>
        <v/>
      </c>
      <c r="Y403" s="10">
        <f>IF(A403="C",LEFT(UPPER(D403)&amp;REPT(" ",2),2)," ")</f>
        <v/>
      </c>
      <c r="Z403" s="10">
        <f>IF(A403="C",LEFT(UPPER(E403)&amp;REPT(" ",15),15)," ")</f>
        <v/>
      </c>
      <c r="AA403" s="10">
        <f>REPT(" ",8)</f>
        <v/>
      </c>
      <c r="AB403" s="10">
        <f>REPT(" ",4)</f>
        <v/>
      </c>
      <c r="AC403" s="10">
        <f>LEFT(UPPER(H403)&amp;REPT(" ",250),250)</f>
        <v/>
      </c>
      <c r="AD403" s="10">
        <f>TEXT($G$2,"dd/mm/aaaa")</f>
        <v/>
      </c>
      <c r="AE403" s="10">
        <f>REPT(" ",10)</f>
        <v/>
      </c>
      <c r="AF403" s="10">
        <f>REPT(" ",20)</f>
        <v/>
      </c>
      <c r="AG403" s="54">
        <f>REPT(" ",18-LEN(FIXED(F403,2,TRUE)))&amp;FIXED(F403,2,TRUE)</f>
        <v/>
      </c>
      <c r="AH403" s="10">
        <f>LEN(AC403)+LEN(AG403)</f>
        <v/>
      </c>
      <c r="AI403" s="10">
        <f>LEN(L403)</f>
        <v/>
      </c>
    </row>
    <row r="404">
      <c r="I404" s="42" t="n"/>
      <c r="J404" s="12">
        <f>IF(F404&lt;&gt;0,"LANÇAR","")</f>
        <v/>
      </c>
      <c r="K404" s="20" t="n"/>
      <c r="L404" s="13">
        <f>N404&amp;O404&amp;P404&amp;Q404&amp;R404&amp;S404&amp;T404&amp;U404&amp;V404&amp;W404&amp;X404&amp;Y404&amp;Z404&amp;AA404&amp;AB404&amp;AC404&amp;AD404&amp;AE404&amp;AF404&amp;AG404</f>
        <v/>
      </c>
      <c r="M404" s="20" t="n"/>
      <c r="N404" s="10">
        <f>TEXT($B$6,"00")</f>
        <v/>
      </c>
      <c r="O404" s="10">
        <f>REPT(" ",8)</f>
        <v/>
      </c>
      <c r="P404" s="10">
        <f>RIGHT($B$4,2)</f>
        <v/>
      </c>
      <c r="Q404" s="10">
        <f>RIGHT($B$5,3)</f>
        <v/>
      </c>
      <c r="R404" s="10">
        <f>IF(A404="D",LEFT(UPPER(B404)&amp;REPT(" ",20),20),REPT(" ",20))</f>
        <v/>
      </c>
      <c r="S404" s="10">
        <f>IF(A404="D",LEFT(UPPER(C404)&amp;REPT(" ",10),10)," ")</f>
        <v/>
      </c>
      <c r="T404" s="10">
        <f>IF(A404="D",LEFT(UPPER(D404)&amp;REPT(" ",2),2)," ")</f>
        <v/>
      </c>
      <c r="U404" s="10">
        <f>IF(A404="D",LEFT(UPPER(E404)&amp;REPT(" ",15),15)," ")</f>
        <v/>
      </c>
      <c r="V404" s="10">
        <f>REPT(" ",24)</f>
        <v/>
      </c>
      <c r="W404" s="10">
        <f>IF(A404="c",LEFT(UPPER(B404)&amp;REPT(" ",20),20),REPT(" ",20))</f>
        <v/>
      </c>
      <c r="X404" s="10">
        <f>IF(A404="C",LEFT(UPPER(C404)&amp;REPT(" ",10),10)," ")</f>
        <v/>
      </c>
      <c r="Y404" s="10">
        <f>IF(A404="C",LEFT(UPPER(D404)&amp;REPT(" ",2),2)," ")</f>
        <v/>
      </c>
      <c r="Z404" s="10">
        <f>IF(A404="C",LEFT(UPPER(E404)&amp;REPT(" ",15),15)," ")</f>
        <v/>
      </c>
      <c r="AA404" s="10">
        <f>REPT(" ",8)</f>
        <v/>
      </c>
      <c r="AB404" s="10">
        <f>REPT(" ",4)</f>
        <v/>
      </c>
      <c r="AC404" s="10">
        <f>LEFT(UPPER(H404)&amp;REPT(" ",250),250)</f>
        <v/>
      </c>
      <c r="AD404" s="10">
        <f>TEXT($G$2,"dd/mm/aaaa")</f>
        <v/>
      </c>
      <c r="AE404" s="10">
        <f>REPT(" ",10)</f>
        <v/>
      </c>
      <c r="AF404" s="10">
        <f>REPT(" ",20)</f>
        <v/>
      </c>
      <c r="AG404" s="54">
        <f>REPT(" ",18-LEN(FIXED(F404,2,TRUE)))&amp;FIXED(F404,2,TRUE)</f>
        <v/>
      </c>
      <c r="AH404" s="10">
        <f>LEN(AC404)+LEN(AG404)</f>
        <v/>
      </c>
      <c r="AI404" s="10">
        <f>LEN(L404)</f>
        <v/>
      </c>
    </row>
    <row r="405">
      <c r="I405" s="42" t="n"/>
      <c r="J405" s="12">
        <f>IF(F405&lt;&gt;0,"LANÇAR","")</f>
        <v/>
      </c>
      <c r="K405" s="20" t="n"/>
      <c r="L405" s="13">
        <f>N405&amp;O405&amp;P405&amp;Q405&amp;R405&amp;S405&amp;T405&amp;U405&amp;V405&amp;W405&amp;X405&amp;Y405&amp;Z405&amp;AA405&amp;AB405&amp;AC405&amp;AD405&amp;AE405&amp;AF405&amp;AG405</f>
        <v/>
      </c>
      <c r="M405" s="20" t="n"/>
      <c r="N405" s="10">
        <f>TEXT($B$6,"00")</f>
        <v/>
      </c>
      <c r="O405" s="10">
        <f>REPT(" ",8)</f>
        <v/>
      </c>
      <c r="P405" s="10">
        <f>RIGHT($B$4,2)</f>
        <v/>
      </c>
      <c r="Q405" s="10">
        <f>RIGHT($B$5,3)</f>
        <v/>
      </c>
      <c r="R405" s="10">
        <f>IF(A405="D",LEFT(UPPER(B405)&amp;REPT(" ",20),20),REPT(" ",20))</f>
        <v/>
      </c>
      <c r="S405" s="10">
        <f>IF(A405="D",LEFT(UPPER(C405)&amp;REPT(" ",10),10)," ")</f>
        <v/>
      </c>
      <c r="T405" s="10">
        <f>IF(A405="D",LEFT(UPPER(D405)&amp;REPT(" ",2),2)," ")</f>
        <v/>
      </c>
      <c r="U405" s="10">
        <f>IF(A405="D",LEFT(UPPER(E405)&amp;REPT(" ",15),15)," ")</f>
        <v/>
      </c>
      <c r="V405" s="10">
        <f>REPT(" ",24)</f>
        <v/>
      </c>
      <c r="W405" s="10">
        <f>IF(A405="c",LEFT(UPPER(B405)&amp;REPT(" ",20),20),REPT(" ",20))</f>
        <v/>
      </c>
      <c r="X405" s="10">
        <f>IF(A405="C",LEFT(UPPER(C405)&amp;REPT(" ",10),10)," ")</f>
        <v/>
      </c>
      <c r="Y405" s="10">
        <f>IF(A405="C",LEFT(UPPER(D405)&amp;REPT(" ",2),2)," ")</f>
        <v/>
      </c>
      <c r="Z405" s="10">
        <f>IF(A405="C",LEFT(UPPER(E405)&amp;REPT(" ",15),15)," ")</f>
        <v/>
      </c>
      <c r="AA405" s="10">
        <f>REPT(" ",8)</f>
        <v/>
      </c>
      <c r="AB405" s="10">
        <f>REPT(" ",4)</f>
        <v/>
      </c>
      <c r="AC405" s="10">
        <f>LEFT(UPPER(H405)&amp;REPT(" ",250),250)</f>
        <v/>
      </c>
      <c r="AD405" s="10">
        <f>TEXT($G$2,"dd/mm/aaaa")</f>
        <v/>
      </c>
      <c r="AE405" s="10">
        <f>REPT(" ",10)</f>
        <v/>
      </c>
      <c r="AF405" s="10">
        <f>REPT(" ",20)</f>
        <v/>
      </c>
      <c r="AG405" s="54">
        <f>REPT(" ",18-LEN(FIXED(F405,2,TRUE)))&amp;FIXED(F405,2,TRUE)</f>
        <v/>
      </c>
      <c r="AH405" s="10">
        <f>LEN(AC405)+LEN(AG405)</f>
        <v/>
      </c>
      <c r="AI405" s="10">
        <f>LEN(L405)</f>
        <v/>
      </c>
    </row>
    <row r="406">
      <c r="I406" s="42" t="n"/>
      <c r="J406" s="12">
        <f>IF(F406&lt;&gt;0,"LANÇAR","")</f>
        <v/>
      </c>
      <c r="K406" s="20" t="n"/>
      <c r="L406" s="13">
        <f>N406&amp;O406&amp;P406&amp;Q406&amp;R406&amp;S406&amp;T406&amp;U406&amp;V406&amp;W406&amp;X406&amp;Y406&amp;Z406&amp;AA406&amp;AB406&amp;AC406&amp;AD406&amp;AE406&amp;AF406&amp;AG406</f>
        <v/>
      </c>
      <c r="M406" s="20" t="n"/>
      <c r="N406" s="10">
        <f>TEXT($B$6,"00")</f>
        <v/>
      </c>
      <c r="O406" s="10">
        <f>REPT(" ",8)</f>
        <v/>
      </c>
      <c r="P406" s="10">
        <f>RIGHT($B$4,2)</f>
        <v/>
      </c>
      <c r="Q406" s="10">
        <f>RIGHT($B$5,3)</f>
        <v/>
      </c>
      <c r="R406" s="10">
        <f>IF(A406="D",LEFT(UPPER(B406)&amp;REPT(" ",20),20),REPT(" ",20))</f>
        <v/>
      </c>
      <c r="S406" s="10">
        <f>IF(A406="D",LEFT(UPPER(C406)&amp;REPT(" ",10),10)," ")</f>
        <v/>
      </c>
      <c r="T406" s="10">
        <f>IF(A406="D",LEFT(UPPER(D406)&amp;REPT(" ",2),2)," ")</f>
        <v/>
      </c>
      <c r="U406" s="10">
        <f>IF(A406="D",LEFT(UPPER(E406)&amp;REPT(" ",15),15)," ")</f>
        <v/>
      </c>
      <c r="V406" s="10">
        <f>REPT(" ",24)</f>
        <v/>
      </c>
      <c r="W406" s="10">
        <f>IF(A406="c",LEFT(UPPER(B406)&amp;REPT(" ",20),20),REPT(" ",20))</f>
        <v/>
      </c>
      <c r="X406" s="10">
        <f>IF(A406="C",LEFT(UPPER(C406)&amp;REPT(" ",10),10)," ")</f>
        <v/>
      </c>
      <c r="Y406" s="10">
        <f>IF(A406="C",LEFT(UPPER(D406)&amp;REPT(" ",2),2)," ")</f>
        <v/>
      </c>
      <c r="Z406" s="10">
        <f>IF(A406="C",LEFT(UPPER(E406)&amp;REPT(" ",15),15)," ")</f>
        <v/>
      </c>
      <c r="AA406" s="10">
        <f>REPT(" ",8)</f>
        <v/>
      </c>
      <c r="AB406" s="10">
        <f>REPT(" ",4)</f>
        <v/>
      </c>
      <c r="AC406" s="10">
        <f>LEFT(UPPER(H406)&amp;REPT(" ",250),250)</f>
        <v/>
      </c>
      <c r="AD406" s="10">
        <f>TEXT($G$2,"dd/mm/aaaa")</f>
        <v/>
      </c>
      <c r="AE406" s="10">
        <f>REPT(" ",10)</f>
        <v/>
      </c>
      <c r="AF406" s="10">
        <f>REPT(" ",20)</f>
        <v/>
      </c>
      <c r="AG406" s="54">
        <f>REPT(" ",18-LEN(FIXED(F406,2,TRUE)))&amp;FIXED(F406,2,TRUE)</f>
        <v/>
      </c>
      <c r="AH406" s="10">
        <f>LEN(AC406)+LEN(AG406)</f>
        <v/>
      </c>
      <c r="AI406" s="10">
        <f>LEN(L406)</f>
        <v/>
      </c>
    </row>
    <row r="407">
      <c r="I407" s="42" t="n"/>
      <c r="J407" s="12">
        <f>IF(F407&lt;&gt;0,"LANÇAR","")</f>
        <v/>
      </c>
      <c r="K407" s="20" t="n"/>
      <c r="L407" s="13">
        <f>N407&amp;O407&amp;P407&amp;Q407&amp;R407&amp;S407&amp;T407&amp;U407&amp;V407&amp;W407&amp;X407&amp;Y407&amp;Z407&amp;AA407&amp;AB407&amp;AC407&amp;AD407&amp;AE407&amp;AF407&amp;AG407</f>
        <v/>
      </c>
      <c r="M407" s="20" t="n"/>
      <c r="N407" s="10">
        <f>TEXT($B$6,"00")</f>
        <v/>
      </c>
      <c r="O407" s="10">
        <f>REPT(" ",8)</f>
        <v/>
      </c>
      <c r="P407" s="10">
        <f>RIGHT($B$4,2)</f>
        <v/>
      </c>
      <c r="Q407" s="10">
        <f>RIGHT($B$5,3)</f>
        <v/>
      </c>
      <c r="R407" s="10">
        <f>IF(A407="D",LEFT(UPPER(B407)&amp;REPT(" ",20),20),REPT(" ",20))</f>
        <v/>
      </c>
      <c r="S407" s="10">
        <f>IF(A407="D",LEFT(UPPER(C407)&amp;REPT(" ",10),10)," ")</f>
        <v/>
      </c>
      <c r="T407" s="10">
        <f>IF(A407="D",LEFT(UPPER(D407)&amp;REPT(" ",2),2)," ")</f>
        <v/>
      </c>
      <c r="U407" s="10">
        <f>IF(A407="D",LEFT(UPPER(E407)&amp;REPT(" ",15),15)," ")</f>
        <v/>
      </c>
      <c r="V407" s="10">
        <f>REPT(" ",24)</f>
        <v/>
      </c>
      <c r="W407" s="10">
        <f>IF(A407="c",LEFT(UPPER(B407)&amp;REPT(" ",20),20),REPT(" ",20))</f>
        <v/>
      </c>
      <c r="X407" s="10">
        <f>IF(A407="C",LEFT(UPPER(C407)&amp;REPT(" ",10),10)," ")</f>
        <v/>
      </c>
      <c r="Y407" s="10">
        <f>IF(A407="C",LEFT(UPPER(D407)&amp;REPT(" ",2),2)," ")</f>
        <v/>
      </c>
      <c r="Z407" s="10">
        <f>IF(A407="C",LEFT(UPPER(E407)&amp;REPT(" ",15),15)," ")</f>
        <v/>
      </c>
      <c r="AA407" s="10">
        <f>REPT(" ",8)</f>
        <v/>
      </c>
      <c r="AB407" s="10">
        <f>REPT(" ",4)</f>
        <v/>
      </c>
      <c r="AC407" s="10">
        <f>LEFT(UPPER(H407)&amp;REPT(" ",250),250)</f>
        <v/>
      </c>
      <c r="AD407" s="10">
        <f>TEXT($G$2,"dd/mm/aaaa")</f>
        <v/>
      </c>
      <c r="AE407" s="10">
        <f>REPT(" ",10)</f>
        <v/>
      </c>
      <c r="AF407" s="10">
        <f>REPT(" ",20)</f>
        <v/>
      </c>
      <c r="AG407" s="54">
        <f>REPT(" ",18-LEN(FIXED(F407,2,TRUE)))&amp;FIXED(F407,2,TRUE)</f>
        <v/>
      </c>
      <c r="AH407" s="10">
        <f>LEN(AC407)+LEN(AG407)</f>
        <v/>
      </c>
      <c r="AI407" s="10">
        <f>LEN(L407)</f>
        <v/>
      </c>
    </row>
    <row r="408">
      <c r="I408" s="42" t="n"/>
      <c r="J408" s="12">
        <f>IF(F408&lt;&gt;0,"LANÇAR","")</f>
        <v/>
      </c>
      <c r="K408" s="20" t="n"/>
      <c r="L408" s="13">
        <f>N408&amp;O408&amp;P408&amp;Q408&amp;R408&amp;S408&amp;T408&amp;U408&amp;V408&amp;W408&amp;X408&amp;Y408&amp;Z408&amp;AA408&amp;AB408&amp;AC408&amp;AD408&amp;AE408&amp;AF408&amp;AG408</f>
        <v/>
      </c>
      <c r="M408" s="20" t="n"/>
      <c r="N408" s="10">
        <f>TEXT($B$6,"00")</f>
        <v/>
      </c>
      <c r="O408" s="10">
        <f>REPT(" ",8)</f>
        <v/>
      </c>
      <c r="P408" s="10">
        <f>RIGHT($B$4,2)</f>
        <v/>
      </c>
      <c r="Q408" s="10">
        <f>RIGHT($B$5,3)</f>
        <v/>
      </c>
      <c r="R408" s="10">
        <f>IF(A408="D",LEFT(UPPER(B408)&amp;REPT(" ",20),20),REPT(" ",20))</f>
        <v/>
      </c>
      <c r="S408" s="10">
        <f>IF(A408="D",LEFT(UPPER(C408)&amp;REPT(" ",10),10)," ")</f>
        <v/>
      </c>
      <c r="T408" s="10">
        <f>IF(A408="D",LEFT(UPPER(D408)&amp;REPT(" ",2),2)," ")</f>
        <v/>
      </c>
      <c r="U408" s="10">
        <f>IF(A408="D",LEFT(UPPER(E408)&amp;REPT(" ",15),15)," ")</f>
        <v/>
      </c>
      <c r="V408" s="10">
        <f>REPT(" ",24)</f>
        <v/>
      </c>
      <c r="W408" s="10">
        <f>IF(A408="c",LEFT(UPPER(B408)&amp;REPT(" ",20),20),REPT(" ",20))</f>
        <v/>
      </c>
      <c r="X408" s="10">
        <f>IF(A408="C",LEFT(UPPER(C408)&amp;REPT(" ",10),10)," ")</f>
        <v/>
      </c>
      <c r="Y408" s="10">
        <f>IF(A408="C",LEFT(UPPER(D408)&amp;REPT(" ",2),2)," ")</f>
        <v/>
      </c>
      <c r="Z408" s="10">
        <f>IF(A408="C",LEFT(UPPER(E408)&amp;REPT(" ",15),15)," ")</f>
        <v/>
      </c>
      <c r="AA408" s="10">
        <f>REPT(" ",8)</f>
        <v/>
      </c>
      <c r="AB408" s="10">
        <f>REPT(" ",4)</f>
        <v/>
      </c>
      <c r="AC408" s="10">
        <f>LEFT(UPPER(H408)&amp;REPT(" ",250),250)</f>
        <v/>
      </c>
      <c r="AD408" s="10">
        <f>TEXT($G$2,"dd/mm/aaaa")</f>
        <v/>
      </c>
      <c r="AE408" s="10">
        <f>REPT(" ",10)</f>
        <v/>
      </c>
      <c r="AF408" s="10">
        <f>REPT(" ",20)</f>
        <v/>
      </c>
      <c r="AG408" s="54">
        <f>REPT(" ",18-LEN(FIXED(F408,2,TRUE)))&amp;FIXED(F408,2,TRUE)</f>
        <v/>
      </c>
      <c r="AH408" s="10">
        <f>LEN(AC408)+LEN(AG408)</f>
        <v/>
      </c>
      <c r="AI408" s="10">
        <f>LEN(L408)</f>
        <v/>
      </c>
    </row>
    <row r="409">
      <c r="I409" s="42" t="n"/>
      <c r="J409" s="12">
        <f>IF(F409&lt;&gt;0,"LANÇAR","")</f>
        <v/>
      </c>
      <c r="K409" s="20" t="n"/>
      <c r="L409" s="13">
        <f>N409&amp;O409&amp;P409&amp;Q409&amp;R409&amp;S409&amp;T409&amp;U409&amp;V409&amp;W409&amp;X409&amp;Y409&amp;Z409&amp;AA409&amp;AB409&amp;AC409&amp;AD409&amp;AE409&amp;AF409&amp;AG409</f>
        <v/>
      </c>
      <c r="M409" s="20" t="n"/>
      <c r="N409" s="10">
        <f>TEXT($B$6,"00")</f>
        <v/>
      </c>
      <c r="O409" s="10">
        <f>REPT(" ",8)</f>
        <v/>
      </c>
      <c r="P409" s="10">
        <f>RIGHT($B$4,2)</f>
        <v/>
      </c>
      <c r="Q409" s="10">
        <f>RIGHT($B$5,3)</f>
        <v/>
      </c>
      <c r="R409" s="10">
        <f>IF(A409="D",LEFT(UPPER(B409)&amp;REPT(" ",20),20),REPT(" ",20))</f>
        <v/>
      </c>
      <c r="S409" s="10">
        <f>IF(A409="D",LEFT(UPPER(C409)&amp;REPT(" ",10),10)," ")</f>
        <v/>
      </c>
      <c r="T409" s="10">
        <f>IF(A409="D",LEFT(UPPER(D409)&amp;REPT(" ",2),2)," ")</f>
        <v/>
      </c>
      <c r="U409" s="10">
        <f>IF(A409="D",LEFT(UPPER(E409)&amp;REPT(" ",15),15)," ")</f>
        <v/>
      </c>
      <c r="V409" s="10">
        <f>REPT(" ",24)</f>
        <v/>
      </c>
      <c r="W409" s="10">
        <f>IF(A409="c",LEFT(UPPER(B409)&amp;REPT(" ",20),20),REPT(" ",20))</f>
        <v/>
      </c>
      <c r="X409" s="10">
        <f>IF(A409="C",LEFT(UPPER(C409)&amp;REPT(" ",10),10)," ")</f>
        <v/>
      </c>
      <c r="Y409" s="10">
        <f>IF(A409="C",LEFT(UPPER(D409)&amp;REPT(" ",2),2)," ")</f>
        <v/>
      </c>
      <c r="Z409" s="10">
        <f>IF(A409="C",LEFT(UPPER(E409)&amp;REPT(" ",15),15)," ")</f>
        <v/>
      </c>
      <c r="AA409" s="10">
        <f>REPT(" ",8)</f>
        <v/>
      </c>
      <c r="AB409" s="10">
        <f>REPT(" ",4)</f>
        <v/>
      </c>
      <c r="AC409" s="10">
        <f>LEFT(UPPER(H409)&amp;REPT(" ",250),250)</f>
        <v/>
      </c>
      <c r="AD409" s="10">
        <f>TEXT($G$2,"dd/mm/aaaa")</f>
        <v/>
      </c>
      <c r="AE409" s="10">
        <f>REPT(" ",10)</f>
        <v/>
      </c>
      <c r="AF409" s="10">
        <f>REPT(" ",20)</f>
        <v/>
      </c>
      <c r="AG409" s="54">
        <f>REPT(" ",18-LEN(FIXED(F409,2,TRUE)))&amp;FIXED(F409,2,TRUE)</f>
        <v/>
      </c>
      <c r="AH409" s="10">
        <f>LEN(AC409)+LEN(AG409)</f>
        <v/>
      </c>
      <c r="AI409" s="10">
        <f>LEN(L409)</f>
        <v/>
      </c>
    </row>
    <row r="410">
      <c r="I410" s="42" t="n"/>
      <c r="J410" s="12">
        <f>IF(F410&lt;&gt;0,"LANÇAR","")</f>
        <v/>
      </c>
      <c r="K410" s="20" t="n"/>
      <c r="L410" s="13">
        <f>N410&amp;O410&amp;P410&amp;Q410&amp;R410&amp;S410&amp;T410&amp;U410&amp;V410&amp;W410&amp;X410&amp;Y410&amp;Z410&amp;AA410&amp;AB410&amp;AC410&amp;AD410&amp;AE410&amp;AF410&amp;AG410</f>
        <v/>
      </c>
      <c r="M410" s="20" t="n"/>
      <c r="N410" s="10">
        <f>TEXT($B$6,"00")</f>
        <v/>
      </c>
      <c r="O410" s="10">
        <f>REPT(" ",8)</f>
        <v/>
      </c>
      <c r="P410" s="10">
        <f>RIGHT($B$4,2)</f>
        <v/>
      </c>
      <c r="Q410" s="10">
        <f>RIGHT($B$5,3)</f>
        <v/>
      </c>
      <c r="R410" s="10">
        <f>IF(A410="D",LEFT(UPPER(B410)&amp;REPT(" ",20),20),REPT(" ",20))</f>
        <v/>
      </c>
      <c r="S410" s="10">
        <f>IF(A410="D",LEFT(UPPER(C410)&amp;REPT(" ",10),10)," ")</f>
        <v/>
      </c>
      <c r="T410" s="10">
        <f>IF(A410="D",LEFT(UPPER(D410)&amp;REPT(" ",2),2)," ")</f>
        <v/>
      </c>
      <c r="U410" s="10">
        <f>IF(A410="D",LEFT(UPPER(E410)&amp;REPT(" ",15),15)," ")</f>
        <v/>
      </c>
      <c r="V410" s="10">
        <f>REPT(" ",24)</f>
        <v/>
      </c>
      <c r="W410" s="10">
        <f>IF(A410="c",LEFT(UPPER(B410)&amp;REPT(" ",20),20),REPT(" ",20))</f>
        <v/>
      </c>
      <c r="X410" s="10">
        <f>IF(A410="C",LEFT(UPPER(C410)&amp;REPT(" ",10),10)," ")</f>
        <v/>
      </c>
      <c r="Y410" s="10">
        <f>IF(A410="C",LEFT(UPPER(D410)&amp;REPT(" ",2),2)," ")</f>
        <v/>
      </c>
      <c r="Z410" s="10">
        <f>IF(A410="C",LEFT(UPPER(E410)&amp;REPT(" ",15),15)," ")</f>
        <v/>
      </c>
      <c r="AA410" s="10">
        <f>REPT(" ",8)</f>
        <v/>
      </c>
      <c r="AB410" s="10">
        <f>REPT(" ",4)</f>
        <v/>
      </c>
      <c r="AC410" s="10">
        <f>LEFT(UPPER(H410)&amp;REPT(" ",250),250)</f>
        <v/>
      </c>
      <c r="AD410" s="10">
        <f>TEXT($G$2,"dd/mm/aaaa")</f>
        <v/>
      </c>
      <c r="AE410" s="10">
        <f>REPT(" ",10)</f>
        <v/>
      </c>
      <c r="AF410" s="10">
        <f>REPT(" ",20)</f>
        <v/>
      </c>
      <c r="AG410" s="54">
        <f>REPT(" ",18-LEN(FIXED(F410,2,TRUE)))&amp;FIXED(F410,2,TRUE)</f>
        <v/>
      </c>
      <c r="AH410" s="10">
        <f>LEN(AC410)+LEN(AG410)</f>
        <v/>
      </c>
      <c r="AI410" s="10">
        <f>LEN(L410)</f>
        <v/>
      </c>
    </row>
    <row r="411">
      <c r="I411" s="42" t="n"/>
      <c r="J411" s="12">
        <f>IF(F411&lt;&gt;0,"LANÇAR","")</f>
        <v/>
      </c>
      <c r="K411" s="20" t="n"/>
      <c r="L411" s="13">
        <f>N411&amp;O411&amp;P411&amp;Q411&amp;R411&amp;S411&amp;T411&amp;U411&amp;V411&amp;W411&amp;X411&amp;Y411&amp;Z411&amp;AA411&amp;AB411&amp;AC411&amp;AD411&amp;AE411&amp;AF411&amp;AG411</f>
        <v/>
      </c>
      <c r="M411" s="20" t="n"/>
      <c r="N411" s="10">
        <f>TEXT($B$6,"00")</f>
        <v/>
      </c>
      <c r="O411" s="10">
        <f>REPT(" ",8)</f>
        <v/>
      </c>
      <c r="P411" s="10">
        <f>RIGHT($B$4,2)</f>
        <v/>
      </c>
      <c r="Q411" s="10">
        <f>RIGHT($B$5,3)</f>
        <v/>
      </c>
      <c r="R411" s="10">
        <f>IF(A411="D",LEFT(UPPER(B411)&amp;REPT(" ",20),20),REPT(" ",20))</f>
        <v/>
      </c>
      <c r="S411" s="10">
        <f>IF(A411="D",LEFT(UPPER(C411)&amp;REPT(" ",10),10)," ")</f>
        <v/>
      </c>
      <c r="T411" s="10">
        <f>IF(A411="D",LEFT(UPPER(D411)&amp;REPT(" ",2),2)," ")</f>
        <v/>
      </c>
      <c r="U411" s="10">
        <f>IF(A411="D",LEFT(UPPER(E411)&amp;REPT(" ",15),15)," ")</f>
        <v/>
      </c>
      <c r="V411" s="10">
        <f>REPT(" ",24)</f>
        <v/>
      </c>
      <c r="W411" s="10">
        <f>IF(A411="c",LEFT(UPPER(B411)&amp;REPT(" ",20),20),REPT(" ",20))</f>
        <v/>
      </c>
      <c r="X411" s="10">
        <f>IF(A411="C",LEFT(UPPER(C411)&amp;REPT(" ",10),10)," ")</f>
        <v/>
      </c>
      <c r="Y411" s="10">
        <f>IF(A411="C",LEFT(UPPER(D411)&amp;REPT(" ",2),2)," ")</f>
        <v/>
      </c>
      <c r="Z411" s="10">
        <f>IF(A411="C",LEFT(UPPER(E411)&amp;REPT(" ",15),15)," ")</f>
        <v/>
      </c>
      <c r="AA411" s="10">
        <f>REPT(" ",8)</f>
        <v/>
      </c>
      <c r="AB411" s="10">
        <f>REPT(" ",4)</f>
        <v/>
      </c>
      <c r="AC411" s="10">
        <f>LEFT(UPPER(H411)&amp;REPT(" ",250),250)</f>
        <v/>
      </c>
      <c r="AD411" s="10">
        <f>TEXT($G$2,"dd/mm/aaaa")</f>
        <v/>
      </c>
      <c r="AE411" s="10">
        <f>REPT(" ",10)</f>
        <v/>
      </c>
      <c r="AF411" s="10">
        <f>REPT(" ",20)</f>
        <v/>
      </c>
      <c r="AG411" s="54">
        <f>REPT(" ",18-LEN(FIXED(F411,2,TRUE)))&amp;FIXED(F411,2,TRUE)</f>
        <v/>
      </c>
      <c r="AH411" s="10">
        <f>LEN(AC411)+LEN(AG411)</f>
        <v/>
      </c>
      <c r="AI411" s="10">
        <f>LEN(L411)</f>
        <v/>
      </c>
    </row>
    <row r="412">
      <c r="I412" s="42" t="n"/>
      <c r="J412" s="12">
        <f>IF(F412&lt;&gt;0,"LANÇAR","")</f>
        <v/>
      </c>
      <c r="K412" s="20" t="n"/>
      <c r="L412" s="13">
        <f>N412&amp;O412&amp;P412&amp;Q412&amp;R412&amp;S412&amp;T412&amp;U412&amp;V412&amp;W412&amp;X412&amp;Y412&amp;Z412&amp;AA412&amp;AB412&amp;AC412&amp;AD412&amp;AE412&amp;AF412&amp;AG412</f>
        <v/>
      </c>
      <c r="M412" s="20" t="n"/>
      <c r="N412" s="10">
        <f>TEXT($B$6,"00")</f>
        <v/>
      </c>
      <c r="O412" s="10">
        <f>REPT(" ",8)</f>
        <v/>
      </c>
      <c r="P412" s="10">
        <f>RIGHT($B$4,2)</f>
        <v/>
      </c>
      <c r="Q412" s="10">
        <f>RIGHT($B$5,3)</f>
        <v/>
      </c>
      <c r="R412" s="10">
        <f>IF(A412="D",LEFT(UPPER(B412)&amp;REPT(" ",20),20),REPT(" ",20))</f>
        <v/>
      </c>
      <c r="S412" s="10">
        <f>IF(A412="D",LEFT(UPPER(C412)&amp;REPT(" ",10),10)," ")</f>
        <v/>
      </c>
      <c r="T412" s="10">
        <f>IF(A412="D",LEFT(UPPER(D412)&amp;REPT(" ",2),2)," ")</f>
        <v/>
      </c>
      <c r="U412" s="10">
        <f>IF(A412="D",LEFT(UPPER(E412)&amp;REPT(" ",15),15)," ")</f>
        <v/>
      </c>
      <c r="V412" s="10">
        <f>REPT(" ",24)</f>
        <v/>
      </c>
      <c r="W412" s="10">
        <f>IF(A412="c",LEFT(UPPER(B412)&amp;REPT(" ",20),20),REPT(" ",20))</f>
        <v/>
      </c>
      <c r="X412" s="10">
        <f>IF(A412="C",LEFT(UPPER(C412)&amp;REPT(" ",10),10)," ")</f>
        <v/>
      </c>
      <c r="Y412" s="10">
        <f>IF(A412="C",LEFT(UPPER(D412)&amp;REPT(" ",2),2)," ")</f>
        <v/>
      </c>
      <c r="Z412" s="10">
        <f>IF(A412="C",LEFT(UPPER(E412)&amp;REPT(" ",15),15)," ")</f>
        <v/>
      </c>
      <c r="AA412" s="10">
        <f>REPT(" ",8)</f>
        <v/>
      </c>
      <c r="AB412" s="10">
        <f>REPT(" ",4)</f>
        <v/>
      </c>
      <c r="AC412" s="10">
        <f>LEFT(UPPER(H412)&amp;REPT(" ",250),250)</f>
        <v/>
      </c>
      <c r="AD412" s="10">
        <f>TEXT($G$2,"dd/mm/aaaa")</f>
        <v/>
      </c>
      <c r="AE412" s="10">
        <f>REPT(" ",10)</f>
        <v/>
      </c>
      <c r="AF412" s="10">
        <f>REPT(" ",20)</f>
        <v/>
      </c>
      <c r="AG412" s="54">
        <f>REPT(" ",18-LEN(FIXED(F412,2,TRUE)))&amp;FIXED(F412,2,TRUE)</f>
        <v/>
      </c>
      <c r="AH412" s="10">
        <f>LEN(AC412)+LEN(AG412)</f>
        <v/>
      </c>
      <c r="AI412" s="10">
        <f>LEN(L412)</f>
        <v/>
      </c>
    </row>
    <row r="413">
      <c r="I413" s="42" t="n"/>
      <c r="J413" s="12">
        <f>IF(F413&lt;&gt;0,"LANÇAR","")</f>
        <v/>
      </c>
      <c r="K413" s="20" t="n"/>
      <c r="L413" s="13">
        <f>N413&amp;O413&amp;P413&amp;Q413&amp;R413&amp;S413&amp;T413&amp;U413&amp;V413&amp;W413&amp;X413&amp;Y413&amp;Z413&amp;AA413&amp;AB413&amp;AC413&amp;AD413&amp;AE413&amp;AF413&amp;AG413</f>
        <v/>
      </c>
      <c r="M413" s="20" t="n"/>
      <c r="N413" s="10">
        <f>TEXT($B$6,"00")</f>
        <v/>
      </c>
      <c r="O413" s="10">
        <f>REPT(" ",8)</f>
        <v/>
      </c>
      <c r="P413" s="10">
        <f>RIGHT($B$4,2)</f>
        <v/>
      </c>
      <c r="Q413" s="10">
        <f>RIGHT($B$5,3)</f>
        <v/>
      </c>
      <c r="R413" s="10">
        <f>IF(A413="D",LEFT(UPPER(B413)&amp;REPT(" ",20),20),REPT(" ",20))</f>
        <v/>
      </c>
      <c r="S413" s="10">
        <f>IF(A413="D",LEFT(UPPER(C413)&amp;REPT(" ",10),10)," ")</f>
        <v/>
      </c>
      <c r="T413" s="10">
        <f>IF(A413="D",LEFT(UPPER(D413)&amp;REPT(" ",2),2)," ")</f>
        <v/>
      </c>
      <c r="U413" s="10">
        <f>IF(A413="D",LEFT(UPPER(E413)&amp;REPT(" ",15),15)," ")</f>
        <v/>
      </c>
      <c r="V413" s="10">
        <f>REPT(" ",24)</f>
        <v/>
      </c>
      <c r="W413" s="10">
        <f>IF(A413="c",LEFT(UPPER(B413)&amp;REPT(" ",20),20),REPT(" ",20))</f>
        <v/>
      </c>
      <c r="X413" s="10">
        <f>IF(A413="C",LEFT(UPPER(C413)&amp;REPT(" ",10),10)," ")</f>
        <v/>
      </c>
      <c r="Y413" s="10">
        <f>IF(A413="C",LEFT(UPPER(D413)&amp;REPT(" ",2),2)," ")</f>
        <v/>
      </c>
      <c r="Z413" s="10">
        <f>IF(A413="C",LEFT(UPPER(E413)&amp;REPT(" ",15),15)," ")</f>
        <v/>
      </c>
      <c r="AA413" s="10">
        <f>REPT(" ",8)</f>
        <v/>
      </c>
      <c r="AB413" s="10">
        <f>REPT(" ",4)</f>
        <v/>
      </c>
      <c r="AC413" s="10">
        <f>LEFT(UPPER(H413)&amp;REPT(" ",250),250)</f>
        <v/>
      </c>
      <c r="AD413" s="10">
        <f>TEXT($G$2,"dd/mm/aaaa")</f>
        <v/>
      </c>
      <c r="AE413" s="10">
        <f>REPT(" ",10)</f>
        <v/>
      </c>
      <c r="AF413" s="10">
        <f>REPT(" ",20)</f>
        <v/>
      </c>
      <c r="AG413" s="54">
        <f>REPT(" ",18-LEN(FIXED(F413,2,TRUE)))&amp;FIXED(F413,2,TRUE)</f>
        <v/>
      </c>
      <c r="AH413" s="10">
        <f>LEN(AC413)+LEN(AG413)</f>
        <v/>
      </c>
      <c r="AI413" s="10">
        <f>LEN(L413)</f>
        <v/>
      </c>
    </row>
    <row r="414">
      <c r="I414" s="42" t="n"/>
      <c r="J414" s="12">
        <f>IF(F414&lt;&gt;0,"LANÇAR","")</f>
        <v/>
      </c>
      <c r="K414" s="20" t="n"/>
      <c r="L414" s="13">
        <f>N414&amp;O414&amp;P414&amp;Q414&amp;R414&amp;S414&amp;T414&amp;U414&amp;V414&amp;W414&amp;X414&amp;Y414&amp;Z414&amp;AA414&amp;AB414&amp;AC414&amp;AD414&amp;AE414&amp;AF414&amp;AG414</f>
        <v/>
      </c>
      <c r="M414" s="20" t="n"/>
      <c r="N414" s="10">
        <f>TEXT($B$6,"00")</f>
        <v/>
      </c>
      <c r="O414" s="10">
        <f>REPT(" ",8)</f>
        <v/>
      </c>
      <c r="P414" s="10">
        <f>RIGHT($B$4,2)</f>
        <v/>
      </c>
      <c r="Q414" s="10">
        <f>RIGHT($B$5,3)</f>
        <v/>
      </c>
      <c r="R414" s="10">
        <f>IF(A414="D",LEFT(UPPER(B414)&amp;REPT(" ",20),20),REPT(" ",20))</f>
        <v/>
      </c>
      <c r="S414" s="10">
        <f>IF(A414="D",LEFT(UPPER(C414)&amp;REPT(" ",10),10)," ")</f>
        <v/>
      </c>
      <c r="T414" s="10">
        <f>IF(A414="D",LEFT(UPPER(D414)&amp;REPT(" ",2),2)," ")</f>
        <v/>
      </c>
      <c r="U414" s="10">
        <f>IF(A414="D",LEFT(UPPER(E414)&amp;REPT(" ",15),15)," ")</f>
        <v/>
      </c>
      <c r="V414" s="10">
        <f>REPT(" ",24)</f>
        <v/>
      </c>
      <c r="W414" s="10">
        <f>IF(A414="c",LEFT(UPPER(B414)&amp;REPT(" ",20),20),REPT(" ",20))</f>
        <v/>
      </c>
      <c r="X414" s="10">
        <f>IF(A414="C",LEFT(UPPER(C414)&amp;REPT(" ",10),10)," ")</f>
        <v/>
      </c>
      <c r="Y414" s="10">
        <f>IF(A414="C",LEFT(UPPER(D414)&amp;REPT(" ",2),2)," ")</f>
        <v/>
      </c>
      <c r="Z414" s="10">
        <f>IF(A414="C",LEFT(UPPER(E414)&amp;REPT(" ",15),15)," ")</f>
        <v/>
      </c>
      <c r="AA414" s="10">
        <f>REPT(" ",8)</f>
        <v/>
      </c>
      <c r="AB414" s="10">
        <f>REPT(" ",4)</f>
        <v/>
      </c>
      <c r="AC414" s="10">
        <f>LEFT(UPPER(H414)&amp;REPT(" ",250),250)</f>
        <v/>
      </c>
      <c r="AD414" s="10">
        <f>TEXT($G$2,"dd/mm/aaaa")</f>
        <v/>
      </c>
      <c r="AE414" s="10">
        <f>REPT(" ",10)</f>
        <v/>
      </c>
      <c r="AF414" s="10">
        <f>REPT(" ",20)</f>
        <v/>
      </c>
      <c r="AG414" s="54">
        <f>REPT(" ",18-LEN(FIXED(F414,2,TRUE)))&amp;FIXED(F414,2,TRUE)</f>
        <v/>
      </c>
      <c r="AH414" s="10">
        <f>LEN(AC414)+LEN(AG414)</f>
        <v/>
      </c>
      <c r="AI414" s="10">
        <f>LEN(L414)</f>
        <v/>
      </c>
    </row>
    <row r="415">
      <c r="I415" s="42" t="n"/>
      <c r="J415" s="12">
        <f>IF(F415&lt;&gt;0,"LANÇAR","")</f>
        <v/>
      </c>
      <c r="K415" s="20" t="n"/>
      <c r="L415" s="13">
        <f>N415&amp;O415&amp;P415&amp;Q415&amp;R415&amp;S415&amp;T415&amp;U415&amp;V415&amp;W415&amp;X415&amp;Y415&amp;Z415&amp;AA415&amp;AB415&amp;AC415&amp;AD415&amp;AE415&amp;AF415&amp;AG415</f>
        <v/>
      </c>
      <c r="M415" s="20" t="n"/>
      <c r="N415" s="10">
        <f>TEXT($B$6,"00")</f>
        <v/>
      </c>
      <c r="O415" s="10">
        <f>REPT(" ",8)</f>
        <v/>
      </c>
      <c r="P415" s="10">
        <f>RIGHT($B$4,2)</f>
        <v/>
      </c>
      <c r="Q415" s="10">
        <f>RIGHT($B$5,3)</f>
        <v/>
      </c>
      <c r="R415" s="10">
        <f>IF(A415="D",LEFT(UPPER(B415)&amp;REPT(" ",20),20),REPT(" ",20))</f>
        <v/>
      </c>
      <c r="S415" s="10">
        <f>IF(A415="D",LEFT(UPPER(C415)&amp;REPT(" ",10),10)," ")</f>
        <v/>
      </c>
      <c r="T415" s="10">
        <f>IF(A415="D",LEFT(UPPER(D415)&amp;REPT(" ",2),2)," ")</f>
        <v/>
      </c>
      <c r="U415" s="10">
        <f>IF(A415="D",LEFT(UPPER(E415)&amp;REPT(" ",15),15)," ")</f>
        <v/>
      </c>
      <c r="V415" s="10">
        <f>REPT(" ",24)</f>
        <v/>
      </c>
      <c r="W415" s="10">
        <f>IF(A415="c",LEFT(UPPER(B415)&amp;REPT(" ",20),20),REPT(" ",20))</f>
        <v/>
      </c>
      <c r="X415" s="10">
        <f>IF(A415="C",LEFT(UPPER(C415)&amp;REPT(" ",10),10)," ")</f>
        <v/>
      </c>
      <c r="Y415" s="10">
        <f>IF(A415="C",LEFT(UPPER(D415)&amp;REPT(" ",2),2)," ")</f>
        <v/>
      </c>
      <c r="Z415" s="10">
        <f>IF(A415="C",LEFT(UPPER(E415)&amp;REPT(" ",15),15)," ")</f>
        <v/>
      </c>
      <c r="AA415" s="10">
        <f>REPT(" ",8)</f>
        <v/>
      </c>
      <c r="AB415" s="10">
        <f>REPT(" ",4)</f>
        <v/>
      </c>
      <c r="AC415" s="10">
        <f>LEFT(UPPER(H415)&amp;REPT(" ",250),250)</f>
        <v/>
      </c>
      <c r="AD415" s="10">
        <f>TEXT($G$2,"dd/mm/aaaa")</f>
        <v/>
      </c>
      <c r="AE415" s="10">
        <f>REPT(" ",10)</f>
        <v/>
      </c>
      <c r="AF415" s="10">
        <f>REPT(" ",20)</f>
        <v/>
      </c>
      <c r="AG415" s="54">
        <f>REPT(" ",18-LEN(FIXED(F415,2,TRUE)))&amp;FIXED(F415,2,TRUE)</f>
        <v/>
      </c>
      <c r="AH415" s="10">
        <f>LEN(AC415)+LEN(AG415)</f>
        <v/>
      </c>
      <c r="AI415" s="10">
        <f>LEN(L415)</f>
        <v/>
      </c>
    </row>
    <row r="416">
      <c r="I416" s="42" t="n"/>
      <c r="J416" s="12">
        <f>IF(F416&lt;&gt;0,"LANÇAR","")</f>
        <v/>
      </c>
      <c r="K416" s="20" t="n"/>
      <c r="L416" s="13">
        <f>N416&amp;O416&amp;P416&amp;Q416&amp;R416&amp;S416&amp;T416&amp;U416&amp;V416&amp;W416&amp;X416&amp;Y416&amp;Z416&amp;AA416&amp;AB416&amp;AC416&amp;AD416&amp;AE416&amp;AF416&amp;AG416</f>
        <v/>
      </c>
      <c r="M416" s="20" t="n"/>
      <c r="N416" s="10">
        <f>TEXT($B$6,"00")</f>
        <v/>
      </c>
      <c r="O416" s="10">
        <f>REPT(" ",8)</f>
        <v/>
      </c>
      <c r="P416" s="10">
        <f>RIGHT($B$4,2)</f>
        <v/>
      </c>
      <c r="Q416" s="10">
        <f>RIGHT($B$5,3)</f>
        <v/>
      </c>
      <c r="R416" s="10">
        <f>IF(A416="D",LEFT(UPPER(B416)&amp;REPT(" ",20),20),REPT(" ",20))</f>
        <v/>
      </c>
      <c r="S416" s="10">
        <f>IF(A416="D",LEFT(UPPER(C416)&amp;REPT(" ",10),10)," ")</f>
        <v/>
      </c>
      <c r="T416" s="10">
        <f>IF(A416="D",LEFT(UPPER(D416)&amp;REPT(" ",2),2)," ")</f>
        <v/>
      </c>
      <c r="U416" s="10">
        <f>IF(A416="D",LEFT(UPPER(E416)&amp;REPT(" ",15),15)," ")</f>
        <v/>
      </c>
      <c r="V416" s="10">
        <f>REPT(" ",24)</f>
        <v/>
      </c>
      <c r="W416" s="10">
        <f>IF(A416="c",LEFT(UPPER(B416)&amp;REPT(" ",20),20),REPT(" ",20))</f>
        <v/>
      </c>
      <c r="X416" s="10">
        <f>IF(A416="C",LEFT(UPPER(C416)&amp;REPT(" ",10),10)," ")</f>
        <v/>
      </c>
      <c r="Y416" s="10">
        <f>IF(A416="C",LEFT(UPPER(D416)&amp;REPT(" ",2),2)," ")</f>
        <v/>
      </c>
      <c r="Z416" s="10">
        <f>IF(A416="C",LEFT(UPPER(E416)&amp;REPT(" ",15),15)," ")</f>
        <v/>
      </c>
      <c r="AA416" s="10">
        <f>REPT(" ",8)</f>
        <v/>
      </c>
      <c r="AB416" s="10">
        <f>REPT(" ",4)</f>
        <v/>
      </c>
      <c r="AC416" s="10">
        <f>LEFT(UPPER(H416)&amp;REPT(" ",250),250)</f>
        <v/>
      </c>
      <c r="AD416" s="10">
        <f>TEXT($G$2,"dd/mm/aaaa")</f>
        <v/>
      </c>
      <c r="AE416" s="10">
        <f>REPT(" ",10)</f>
        <v/>
      </c>
      <c r="AF416" s="10">
        <f>REPT(" ",20)</f>
        <v/>
      </c>
      <c r="AG416" s="54">
        <f>REPT(" ",18-LEN(FIXED(F416,2,TRUE)))&amp;FIXED(F416,2,TRUE)</f>
        <v/>
      </c>
      <c r="AH416" s="10">
        <f>LEN(AC416)+LEN(AG416)</f>
        <v/>
      </c>
      <c r="AI416" s="10">
        <f>LEN(L416)</f>
        <v/>
      </c>
    </row>
    <row r="417">
      <c r="I417" s="42" t="n"/>
      <c r="J417" s="12">
        <f>IF(F417&lt;&gt;0,"LANÇAR","")</f>
        <v/>
      </c>
      <c r="K417" s="20" t="n"/>
      <c r="L417" s="13">
        <f>N417&amp;O417&amp;P417&amp;Q417&amp;R417&amp;S417&amp;T417&amp;U417&amp;V417&amp;W417&amp;X417&amp;Y417&amp;Z417&amp;AA417&amp;AB417&amp;AC417&amp;AD417&amp;AE417&amp;AF417&amp;AG417</f>
        <v/>
      </c>
      <c r="M417" s="20" t="n"/>
      <c r="N417" s="10">
        <f>TEXT($B$6,"00")</f>
        <v/>
      </c>
      <c r="O417" s="10">
        <f>REPT(" ",8)</f>
        <v/>
      </c>
      <c r="P417" s="10">
        <f>RIGHT($B$4,2)</f>
        <v/>
      </c>
      <c r="Q417" s="10">
        <f>RIGHT($B$5,3)</f>
        <v/>
      </c>
      <c r="R417" s="10">
        <f>IF(A417="D",LEFT(UPPER(B417)&amp;REPT(" ",20),20),REPT(" ",20))</f>
        <v/>
      </c>
      <c r="S417" s="10">
        <f>IF(A417="D",LEFT(UPPER(C417)&amp;REPT(" ",10),10)," ")</f>
        <v/>
      </c>
      <c r="T417" s="10">
        <f>IF(A417="D",LEFT(UPPER(D417)&amp;REPT(" ",2),2)," ")</f>
        <v/>
      </c>
      <c r="U417" s="10">
        <f>IF(A417="D",LEFT(UPPER(E417)&amp;REPT(" ",15),15)," ")</f>
        <v/>
      </c>
      <c r="V417" s="10">
        <f>REPT(" ",24)</f>
        <v/>
      </c>
      <c r="W417" s="10">
        <f>IF(A417="c",LEFT(UPPER(B417)&amp;REPT(" ",20),20),REPT(" ",20))</f>
        <v/>
      </c>
      <c r="X417" s="10">
        <f>IF(A417="C",LEFT(UPPER(C417)&amp;REPT(" ",10),10)," ")</f>
        <v/>
      </c>
      <c r="Y417" s="10">
        <f>IF(A417="C",LEFT(UPPER(D417)&amp;REPT(" ",2),2)," ")</f>
        <v/>
      </c>
      <c r="Z417" s="10">
        <f>IF(A417="C",LEFT(UPPER(E417)&amp;REPT(" ",15),15)," ")</f>
        <v/>
      </c>
      <c r="AA417" s="10">
        <f>REPT(" ",8)</f>
        <v/>
      </c>
      <c r="AB417" s="10">
        <f>REPT(" ",4)</f>
        <v/>
      </c>
      <c r="AC417" s="10">
        <f>LEFT(UPPER(H417)&amp;REPT(" ",250),250)</f>
        <v/>
      </c>
      <c r="AD417" s="10">
        <f>TEXT($G$2,"dd/mm/aaaa")</f>
        <v/>
      </c>
      <c r="AE417" s="10">
        <f>REPT(" ",10)</f>
        <v/>
      </c>
      <c r="AF417" s="10">
        <f>REPT(" ",20)</f>
        <v/>
      </c>
      <c r="AG417" s="54">
        <f>REPT(" ",18-LEN(FIXED(F417,2,TRUE)))&amp;FIXED(F417,2,TRUE)</f>
        <v/>
      </c>
      <c r="AH417" s="10">
        <f>LEN(AC417)+LEN(AG417)</f>
        <v/>
      </c>
      <c r="AI417" s="10">
        <f>LEN(L417)</f>
        <v/>
      </c>
    </row>
    <row r="418">
      <c r="I418" s="42" t="n"/>
      <c r="J418" s="12">
        <f>IF(F418&lt;&gt;0,"LANÇAR","")</f>
        <v/>
      </c>
      <c r="K418" s="20" t="n"/>
      <c r="L418" s="13">
        <f>N418&amp;O418&amp;P418&amp;Q418&amp;R418&amp;S418&amp;T418&amp;U418&amp;V418&amp;W418&amp;X418&amp;Y418&amp;Z418&amp;AA418&amp;AB418&amp;AC418&amp;AD418&amp;AE418&amp;AF418&amp;AG418</f>
        <v/>
      </c>
      <c r="M418" s="20" t="n"/>
      <c r="N418" s="10">
        <f>TEXT($B$6,"00")</f>
        <v/>
      </c>
      <c r="O418" s="10">
        <f>REPT(" ",8)</f>
        <v/>
      </c>
      <c r="P418" s="10">
        <f>RIGHT($B$4,2)</f>
        <v/>
      </c>
      <c r="Q418" s="10">
        <f>RIGHT($B$5,3)</f>
        <v/>
      </c>
      <c r="R418" s="10">
        <f>IF(A418="D",LEFT(UPPER(B418)&amp;REPT(" ",20),20),REPT(" ",20))</f>
        <v/>
      </c>
      <c r="S418" s="10">
        <f>IF(A418="D",LEFT(UPPER(C418)&amp;REPT(" ",10),10)," ")</f>
        <v/>
      </c>
      <c r="T418" s="10">
        <f>IF(A418="D",LEFT(UPPER(D418)&amp;REPT(" ",2),2)," ")</f>
        <v/>
      </c>
      <c r="U418" s="10">
        <f>IF(A418="D",LEFT(UPPER(E418)&amp;REPT(" ",15),15)," ")</f>
        <v/>
      </c>
      <c r="V418" s="10">
        <f>REPT(" ",24)</f>
        <v/>
      </c>
      <c r="W418" s="10">
        <f>IF(A418="c",LEFT(UPPER(B418)&amp;REPT(" ",20),20),REPT(" ",20))</f>
        <v/>
      </c>
      <c r="X418" s="10">
        <f>IF(A418="C",LEFT(UPPER(C418)&amp;REPT(" ",10),10)," ")</f>
        <v/>
      </c>
      <c r="Y418" s="10">
        <f>IF(A418="C",LEFT(UPPER(D418)&amp;REPT(" ",2),2)," ")</f>
        <v/>
      </c>
      <c r="Z418" s="10">
        <f>IF(A418="C",LEFT(UPPER(E418)&amp;REPT(" ",15),15)," ")</f>
        <v/>
      </c>
      <c r="AA418" s="10">
        <f>REPT(" ",8)</f>
        <v/>
      </c>
      <c r="AB418" s="10">
        <f>REPT(" ",4)</f>
        <v/>
      </c>
      <c r="AC418" s="10">
        <f>LEFT(UPPER(H418)&amp;REPT(" ",250),250)</f>
        <v/>
      </c>
      <c r="AD418" s="10">
        <f>TEXT($G$2,"dd/mm/aaaa")</f>
        <v/>
      </c>
      <c r="AE418" s="10">
        <f>REPT(" ",10)</f>
        <v/>
      </c>
      <c r="AF418" s="10">
        <f>REPT(" ",20)</f>
        <v/>
      </c>
      <c r="AG418" s="54">
        <f>REPT(" ",18-LEN(FIXED(F418,2,TRUE)))&amp;FIXED(F418,2,TRUE)</f>
        <v/>
      </c>
      <c r="AH418" s="10">
        <f>LEN(AC418)+LEN(AG418)</f>
        <v/>
      </c>
      <c r="AI418" s="10">
        <f>LEN(L418)</f>
        <v/>
      </c>
    </row>
    <row r="419">
      <c r="I419" s="42" t="n"/>
      <c r="J419" s="12">
        <f>IF(F419&lt;&gt;0,"LANÇAR","")</f>
        <v/>
      </c>
      <c r="K419" s="20" t="n"/>
      <c r="L419" s="13">
        <f>N419&amp;O419&amp;P419&amp;Q419&amp;R419&amp;S419&amp;T419&amp;U419&amp;V419&amp;W419&amp;X419&amp;Y419&amp;Z419&amp;AA419&amp;AB419&amp;AC419&amp;AD419&amp;AE419&amp;AF419&amp;AG419</f>
        <v/>
      </c>
      <c r="M419" s="20" t="n"/>
      <c r="N419" s="10">
        <f>TEXT($B$6,"00")</f>
        <v/>
      </c>
      <c r="O419" s="10">
        <f>REPT(" ",8)</f>
        <v/>
      </c>
      <c r="P419" s="10">
        <f>RIGHT($B$4,2)</f>
        <v/>
      </c>
      <c r="Q419" s="10">
        <f>RIGHT($B$5,3)</f>
        <v/>
      </c>
      <c r="R419" s="10">
        <f>IF(A419="D",LEFT(UPPER(B419)&amp;REPT(" ",20),20),REPT(" ",20))</f>
        <v/>
      </c>
      <c r="S419" s="10">
        <f>IF(A419="D",LEFT(UPPER(C419)&amp;REPT(" ",10),10)," ")</f>
        <v/>
      </c>
      <c r="T419" s="10">
        <f>IF(A419="D",LEFT(UPPER(D419)&amp;REPT(" ",2),2)," ")</f>
        <v/>
      </c>
      <c r="U419" s="10">
        <f>IF(A419="D",LEFT(UPPER(E419)&amp;REPT(" ",15),15)," ")</f>
        <v/>
      </c>
      <c r="V419" s="10">
        <f>REPT(" ",24)</f>
        <v/>
      </c>
      <c r="W419" s="10">
        <f>IF(A419="c",LEFT(UPPER(B419)&amp;REPT(" ",20),20),REPT(" ",20))</f>
        <v/>
      </c>
      <c r="X419" s="10">
        <f>IF(A419="C",LEFT(UPPER(C419)&amp;REPT(" ",10),10)," ")</f>
        <v/>
      </c>
      <c r="Y419" s="10">
        <f>IF(A419="C",LEFT(UPPER(D419)&amp;REPT(" ",2),2)," ")</f>
        <v/>
      </c>
      <c r="Z419" s="10">
        <f>IF(A419="C",LEFT(UPPER(E419)&amp;REPT(" ",15),15)," ")</f>
        <v/>
      </c>
      <c r="AA419" s="10">
        <f>REPT(" ",8)</f>
        <v/>
      </c>
      <c r="AB419" s="10">
        <f>REPT(" ",4)</f>
        <v/>
      </c>
      <c r="AC419" s="10">
        <f>LEFT(UPPER(H419)&amp;REPT(" ",250),250)</f>
        <v/>
      </c>
      <c r="AD419" s="10">
        <f>TEXT($G$2,"dd/mm/aaaa")</f>
        <v/>
      </c>
      <c r="AE419" s="10">
        <f>REPT(" ",10)</f>
        <v/>
      </c>
      <c r="AF419" s="10">
        <f>REPT(" ",20)</f>
        <v/>
      </c>
      <c r="AG419" s="54">
        <f>REPT(" ",18-LEN(FIXED(F419,2,TRUE)))&amp;FIXED(F419,2,TRUE)</f>
        <v/>
      </c>
      <c r="AH419" s="10">
        <f>LEN(AC419)+LEN(AG419)</f>
        <v/>
      </c>
      <c r="AI419" s="10">
        <f>LEN(L419)</f>
        <v/>
      </c>
    </row>
    <row r="420">
      <c r="I420" s="42" t="n"/>
      <c r="J420" s="12">
        <f>IF(F420&lt;&gt;0,"LANÇAR","")</f>
        <v/>
      </c>
      <c r="K420" s="20" t="n"/>
      <c r="L420" s="13">
        <f>N420&amp;O420&amp;P420&amp;Q420&amp;R420&amp;S420&amp;T420&amp;U420&amp;V420&amp;W420&amp;X420&amp;Y420&amp;Z420&amp;AA420&amp;AB420&amp;AC420&amp;AD420&amp;AE420&amp;AF420&amp;AG420</f>
        <v/>
      </c>
      <c r="M420" s="20" t="n"/>
      <c r="N420" s="10">
        <f>TEXT($B$6,"00")</f>
        <v/>
      </c>
      <c r="O420" s="10">
        <f>REPT(" ",8)</f>
        <v/>
      </c>
      <c r="P420" s="10">
        <f>RIGHT($B$4,2)</f>
        <v/>
      </c>
      <c r="Q420" s="10">
        <f>RIGHT($B$5,3)</f>
        <v/>
      </c>
      <c r="R420" s="10">
        <f>IF(A420="D",LEFT(UPPER(B420)&amp;REPT(" ",20),20),REPT(" ",20))</f>
        <v/>
      </c>
      <c r="S420" s="10">
        <f>IF(A420="D",LEFT(UPPER(C420)&amp;REPT(" ",10),10)," ")</f>
        <v/>
      </c>
      <c r="T420" s="10">
        <f>IF(A420="D",LEFT(UPPER(D420)&amp;REPT(" ",2),2)," ")</f>
        <v/>
      </c>
      <c r="U420" s="10">
        <f>IF(A420="D",LEFT(UPPER(E420)&amp;REPT(" ",15),15)," ")</f>
        <v/>
      </c>
      <c r="V420" s="10">
        <f>REPT(" ",24)</f>
        <v/>
      </c>
      <c r="W420" s="10">
        <f>IF(A420="c",LEFT(UPPER(B420)&amp;REPT(" ",20),20),REPT(" ",20))</f>
        <v/>
      </c>
      <c r="X420" s="10">
        <f>IF(A420="C",LEFT(UPPER(C420)&amp;REPT(" ",10),10)," ")</f>
        <v/>
      </c>
      <c r="Y420" s="10">
        <f>IF(A420="C",LEFT(UPPER(D420)&amp;REPT(" ",2),2)," ")</f>
        <v/>
      </c>
      <c r="Z420" s="10">
        <f>IF(A420="C",LEFT(UPPER(E420)&amp;REPT(" ",15),15)," ")</f>
        <v/>
      </c>
      <c r="AA420" s="10">
        <f>REPT(" ",8)</f>
        <v/>
      </c>
      <c r="AB420" s="10">
        <f>REPT(" ",4)</f>
        <v/>
      </c>
      <c r="AC420" s="10">
        <f>LEFT(UPPER(H420)&amp;REPT(" ",250),250)</f>
        <v/>
      </c>
      <c r="AD420" s="10">
        <f>TEXT($G$2,"dd/mm/aaaa")</f>
        <v/>
      </c>
      <c r="AE420" s="10">
        <f>REPT(" ",10)</f>
        <v/>
      </c>
      <c r="AF420" s="10">
        <f>REPT(" ",20)</f>
        <v/>
      </c>
      <c r="AG420" s="54">
        <f>REPT(" ",18-LEN(FIXED(F420,2,TRUE)))&amp;FIXED(F420,2,TRUE)</f>
        <v/>
      </c>
      <c r="AH420" s="10">
        <f>LEN(AC420)+LEN(AG420)</f>
        <v/>
      </c>
      <c r="AI420" s="10">
        <f>LEN(L420)</f>
        <v/>
      </c>
    </row>
    <row r="421">
      <c r="I421" s="42" t="n"/>
      <c r="J421" s="12">
        <f>IF(F421&lt;&gt;0,"LANÇAR","")</f>
        <v/>
      </c>
      <c r="K421" s="20" t="n"/>
      <c r="L421" s="13">
        <f>N421&amp;O421&amp;P421&amp;Q421&amp;R421&amp;S421&amp;T421&amp;U421&amp;V421&amp;W421&amp;X421&amp;Y421&amp;Z421&amp;AA421&amp;AB421&amp;AC421&amp;AD421&amp;AE421&amp;AF421&amp;AG421</f>
        <v/>
      </c>
      <c r="M421" s="20" t="n"/>
      <c r="N421" s="10">
        <f>TEXT($B$6,"00")</f>
        <v/>
      </c>
      <c r="O421" s="10">
        <f>REPT(" ",8)</f>
        <v/>
      </c>
      <c r="P421" s="10">
        <f>RIGHT($B$4,2)</f>
        <v/>
      </c>
      <c r="Q421" s="10">
        <f>RIGHT($B$5,3)</f>
        <v/>
      </c>
      <c r="R421" s="10">
        <f>IF(A421="D",LEFT(UPPER(B421)&amp;REPT(" ",20),20),REPT(" ",20))</f>
        <v/>
      </c>
      <c r="S421" s="10">
        <f>IF(A421="D",LEFT(UPPER(C421)&amp;REPT(" ",10),10)," ")</f>
        <v/>
      </c>
      <c r="T421" s="10">
        <f>IF(A421="D",LEFT(UPPER(D421)&amp;REPT(" ",2),2)," ")</f>
        <v/>
      </c>
      <c r="U421" s="10">
        <f>IF(A421="D",LEFT(UPPER(E421)&amp;REPT(" ",15),15)," ")</f>
        <v/>
      </c>
      <c r="V421" s="10">
        <f>REPT(" ",24)</f>
        <v/>
      </c>
      <c r="W421" s="10">
        <f>IF(A421="c",LEFT(UPPER(B421)&amp;REPT(" ",20),20),REPT(" ",20))</f>
        <v/>
      </c>
      <c r="X421" s="10">
        <f>IF(A421="C",LEFT(UPPER(C421)&amp;REPT(" ",10),10)," ")</f>
        <v/>
      </c>
      <c r="Y421" s="10">
        <f>IF(A421="C",LEFT(UPPER(D421)&amp;REPT(" ",2),2)," ")</f>
        <v/>
      </c>
      <c r="Z421" s="10">
        <f>IF(A421="C",LEFT(UPPER(E421)&amp;REPT(" ",15),15)," ")</f>
        <v/>
      </c>
      <c r="AA421" s="10">
        <f>REPT(" ",8)</f>
        <v/>
      </c>
      <c r="AB421" s="10">
        <f>REPT(" ",4)</f>
        <v/>
      </c>
      <c r="AC421" s="10">
        <f>LEFT(UPPER(H421)&amp;REPT(" ",250),250)</f>
        <v/>
      </c>
      <c r="AD421" s="10">
        <f>TEXT($G$2,"dd/mm/aaaa")</f>
        <v/>
      </c>
      <c r="AE421" s="10">
        <f>REPT(" ",10)</f>
        <v/>
      </c>
      <c r="AF421" s="10">
        <f>REPT(" ",20)</f>
        <v/>
      </c>
      <c r="AG421" s="54">
        <f>REPT(" ",18-LEN(FIXED(F421,2,TRUE)))&amp;FIXED(F421,2,TRUE)</f>
        <v/>
      </c>
      <c r="AH421" s="10">
        <f>LEN(AC421)+LEN(AG421)</f>
        <v/>
      </c>
      <c r="AI421" s="10">
        <f>LEN(L421)</f>
        <v/>
      </c>
    </row>
    <row r="422">
      <c r="I422" s="42" t="n"/>
      <c r="J422" s="12">
        <f>IF(F422&lt;&gt;0,"LANÇAR","")</f>
        <v/>
      </c>
      <c r="K422" s="20" t="n"/>
      <c r="L422" s="13">
        <f>N422&amp;O422&amp;P422&amp;Q422&amp;R422&amp;S422&amp;T422&amp;U422&amp;V422&amp;W422&amp;X422&amp;Y422&amp;Z422&amp;AA422&amp;AB422&amp;AC422&amp;AD422&amp;AE422&amp;AF422&amp;AG422</f>
        <v/>
      </c>
      <c r="M422" s="20" t="n"/>
      <c r="N422" s="10">
        <f>TEXT($B$6,"00")</f>
        <v/>
      </c>
      <c r="O422" s="10">
        <f>REPT(" ",8)</f>
        <v/>
      </c>
      <c r="P422" s="10">
        <f>RIGHT($B$4,2)</f>
        <v/>
      </c>
      <c r="Q422" s="10">
        <f>RIGHT($B$5,3)</f>
        <v/>
      </c>
      <c r="R422" s="10">
        <f>IF(A422="D",LEFT(UPPER(B422)&amp;REPT(" ",20),20),REPT(" ",20))</f>
        <v/>
      </c>
      <c r="S422" s="10">
        <f>IF(A422="D",LEFT(UPPER(C422)&amp;REPT(" ",10),10)," ")</f>
        <v/>
      </c>
      <c r="T422" s="10">
        <f>IF(A422="D",LEFT(UPPER(D422)&amp;REPT(" ",2),2)," ")</f>
        <v/>
      </c>
      <c r="U422" s="10">
        <f>IF(A422="D",LEFT(UPPER(E422)&amp;REPT(" ",15),15)," ")</f>
        <v/>
      </c>
      <c r="V422" s="10">
        <f>REPT(" ",24)</f>
        <v/>
      </c>
      <c r="W422" s="10">
        <f>IF(A422="c",LEFT(UPPER(B422)&amp;REPT(" ",20),20),REPT(" ",20))</f>
        <v/>
      </c>
      <c r="X422" s="10">
        <f>IF(A422="C",LEFT(UPPER(C422)&amp;REPT(" ",10),10)," ")</f>
        <v/>
      </c>
      <c r="Y422" s="10">
        <f>IF(A422="C",LEFT(UPPER(D422)&amp;REPT(" ",2),2)," ")</f>
        <v/>
      </c>
      <c r="Z422" s="10">
        <f>IF(A422="C",LEFT(UPPER(E422)&amp;REPT(" ",15),15)," ")</f>
        <v/>
      </c>
      <c r="AA422" s="10">
        <f>REPT(" ",8)</f>
        <v/>
      </c>
      <c r="AB422" s="10">
        <f>REPT(" ",4)</f>
        <v/>
      </c>
      <c r="AC422" s="10">
        <f>LEFT(UPPER(H422)&amp;REPT(" ",250),250)</f>
        <v/>
      </c>
      <c r="AD422" s="10">
        <f>TEXT($G$2,"dd/mm/aaaa")</f>
        <v/>
      </c>
      <c r="AE422" s="10">
        <f>REPT(" ",10)</f>
        <v/>
      </c>
      <c r="AF422" s="10">
        <f>REPT(" ",20)</f>
        <v/>
      </c>
      <c r="AG422" s="54">
        <f>REPT(" ",18-LEN(FIXED(F422,2,TRUE)))&amp;FIXED(F422,2,TRUE)</f>
        <v/>
      </c>
      <c r="AH422" s="10">
        <f>LEN(AC422)+LEN(AG422)</f>
        <v/>
      </c>
      <c r="AI422" s="10">
        <f>LEN(L422)</f>
        <v/>
      </c>
    </row>
    <row r="423">
      <c r="I423" s="42" t="n"/>
      <c r="J423" s="12">
        <f>IF(F423&lt;&gt;0,"LANÇAR","")</f>
        <v/>
      </c>
      <c r="K423" s="20" t="n"/>
      <c r="L423" s="13">
        <f>N423&amp;O423&amp;P423&amp;Q423&amp;R423&amp;S423&amp;T423&amp;U423&amp;V423&amp;W423&amp;X423&amp;Y423&amp;Z423&amp;AA423&amp;AB423&amp;AC423&amp;AD423&amp;AE423&amp;AF423&amp;AG423</f>
        <v/>
      </c>
      <c r="M423" s="20" t="n"/>
      <c r="N423" s="10">
        <f>TEXT($B$6,"00")</f>
        <v/>
      </c>
      <c r="O423" s="10">
        <f>REPT(" ",8)</f>
        <v/>
      </c>
      <c r="P423" s="10">
        <f>RIGHT($B$4,2)</f>
        <v/>
      </c>
      <c r="Q423" s="10">
        <f>RIGHT($B$5,3)</f>
        <v/>
      </c>
      <c r="R423" s="10">
        <f>IF(A423="D",LEFT(UPPER(B423)&amp;REPT(" ",20),20),REPT(" ",20))</f>
        <v/>
      </c>
      <c r="S423" s="10">
        <f>IF(A423="D",LEFT(UPPER(C423)&amp;REPT(" ",10),10)," ")</f>
        <v/>
      </c>
      <c r="T423" s="10">
        <f>IF(A423="D",LEFT(UPPER(D423)&amp;REPT(" ",2),2)," ")</f>
        <v/>
      </c>
      <c r="U423" s="10">
        <f>IF(A423="D",LEFT(UPPER(E423)&amp;REPT(" ",15),15)," ")</f>
        <v/>
      </c>
      <c r="V423" s="10">
        <f>REPT(" ",24)</f>
        <v/>
      </c>
      <c r="W423" s="10">
        <f>IF(A423="c",LEFT(UPPER(B423)&amp;REPT(" ",20),20),REPT(" ",20))</f>
        <v/>
      </c>
      <c r="X423" s="10">
        <f>IF(A423="C",LEFT(UPPER(C423)&amp;REPT(" ",10),10)," ")</f>
        <v/>
      </c>
      <c r="Y423" s="10">
        <f>IF(A423="C",LEFT(UPPER(D423)&amp;REPT(" ",2),2)," ")</f>
        <v/>
      </c>
      <c r="Z423" s="10">
        <f>IF(A423="C",LEFT(UPPER(E423)&amp;REPT(" ",15),15)," ")</f>
        <v/>
      </c>
      <c r="AA423" s="10">
        <f>REPT(" ",8)</f>
        <v/>
      </c>
      <c r="AB423" s="10">
        <f>REPT(" ",4)</f>
        <v/>
      </c>
      <c r="AC423" s="10">
        <f>LEFT(UPPER(H423)&amp;REPT(" ",250),250)</f>
        <v/>
      </c>
      <c r="AD423" s="10">
        <f>TEXT($G$2,"dd/mm/aaaa")</f>
        <v/>
      </c>
      <c r="AE423" s="10">
        <f>REPT(" ",10)</f>
        <v/>
      </c>
      <c r="AF423" s="10">
        <f>REPT(" ",20)</f>
        <v/>
      </c>
      <c r="AG423" s="54">
        <f>REPT(" ",18-LEN(FIXED(F423,2,TRUE)))&amp;FIXED(F423,2,TRUE)</f>
        <v/>
      </c>
      <c r="AH423" s="10">
        <f>LEN(AC423)+LEN(AG423)</f>
        <v/>
      </c>
      <c r="AI423" s="10">
        <f>LEN(L423)</f>
        <v/>
      </c>
    </row>
    <row r="424">
      <c r="I424" s="42" t="n"/>
      <c r="J424" s="12">
        <f>IF(F424&lt;&gt;0,"LANÇAR","")</f>
        <v/>
      </c>
      <c r="K424" s="20" t="n"/>
      <c r="L424" s="13">
        <f>N424&amp;O424&amp;P424&amp;Q424&amp;R424&amp;S424&amp;T424&amp;U424&amp;V424&amp;W424&amp;X424&amp;Y424&amp;Z424&amp;AA424&amp;AB424&amp;AC424&amp;AD424&amp;AE424&amp;AF424&amp;AG424</f>
        <v/>
      </c>
      <c r="M424" s="20" t="n"/>
      <c r="N424" s="10">
        <f>TEXT($B$6,"00")</f>
        <v/>
      </c>
      <c r="O424" s="10">
        <f>REPT(" ",8)</f>
        <v/>
      </c>
      <c r="P424" s="10">
        <f>RIGHT($B$4,2)</f>
        <v/>
      </c>
      <c r="Q424" s="10">
        <f>RIGHT($B$5,3)</f>
        <v/>
      </c>
      <c r="R424" s="10">
        <f>IF(A424="D",LEFT(UPPER(B424)&amp;REPT(" ",20),20),REPT(" ",20))</f>
        <v/>
      </c>
      <c r="S424" s="10">
        <f>IF(A424="D",LEFT(UPPER(C424)&amp;REPT(" ",10),10)," ")</f>
        <v/>
      </c>
      <c r="T424" s="10">
        <f>IF(A424="D",LEFT(UPPER(D424)&amp;REPT(" ",2),2)," ")</f>
        <v/>
      </c>
      <c r="U424" s="10">
        <f>IF(A424="D",LEFT(UPPER(E424)&amp;REPT(" ",15),15)," ")</f>
        <v/>
      </c>
      <c r="V424" s="10">
        <f>REPT(" ",24)</f>
        <v/>
      </c>
      <c r="W424" s="10">
        <f>IF(A424="c",LEFT(UPPER(B424)&amp;REPT(" ",20),20),REPT(" ",20))</f>
        <v/>
      </c>
      <c r="X424" s="10">
        <f>IF(A424="C",LEFT(UPPER(C424)&amp;REPT(" ",10),10)," ")</f>
        <v/>
      </c>
      <c r="Y424" s="10">
        <f>IF(A424="C",LEFT(UPPER(D424)&amp;REPT(" ",2),2)," ")</f>
        <v/>
      </c>
      <c r="Z424" s="10">
        <f>IF(A424="C",LEFT(UPPER(E424)&amp;REPT(" ",15),15)," ")</f>
        <v/>
      </c>
      <c r="AA424" s="10">
        <f>REPT(" ",8)</f>
        <v/>
      </c>
      <c r="AB424" s="10">
        <f>REPT(" ",4)</f>
        <v/>
      </c>
      <c r="AC424" s="10">
        <f>LEFT(UPPER(H424)&amp;REPT(" ",250),250)</f>
        <v/>
      </c>
      <c r="AD424" s="10">
        <f>TEXT($G$2,"dd/mm/aaaa")</f>
        <v/>
      </c>
      <c r="AE424" s="10">
        <f>REPT(" ",10)</f>
        <v/>
      </c>
      <c r="AF424" s="10">
        <f>REPT(" ",20)</f>
        <v/>
      </c>
      <c r="AG424" s="54">
        <f>REPT(" ",18-LEN(FIXED(F424,2,TRUE)))&amp;FIXED(F424,2,TRUE)</f>
        <v/>
      </c>
      <c r="AH424" s="10">
        <f>LEN(AC424)+LEN(AG424)</f>
        <v/>
      </c>
      <c r="AI424" s="10">
        <f>LEN(L424)</f>
        <v/>
      </c>
    </row>
    <row r="425">
      <c r="I425" s="42" t="n"/>
      <c r="J425" s="12">
        <f>IF(F425&lt;&gt;0,"LANÇAR","")</f>
        <v/>
      </c>
      <c r="K425" s="20" t="n"/>
      <c r="L425" s="13">
        <f>N425&amp;O425&amp;P425&amp;Q425&amp;R425&amp;S425&amp;T425&amp;U425&amp;V425&amp;W425&amp;X425&amp;Y425&amp;Z425&amp;AA425&amp;AB425&amp;AC425&amp;AD425&amp;AE425&amp;AF425&amp;AG425</f>
        <v/>
      </c>
      <c r="M425" s="20" t="n"/>
      <c r="N425" s="10">
        <f>TEXT($B$6,"00")</f>
        <v/>
      </c>
      <c r="O425" s="10">
        <f>REPT(" ",8)</f>
        <v/>
      </c>
      <c r="P425" s="10">
        <f>RIGHT($B$4,2)</f>
        <v/>
      </c>
      <c r="Q425" s="10">
        <f>RIGHT($B$5,3)</f>
        <v/>
      </c>
      <c r="R425" s="10">
        <f>IF(A425="D",LEFT(UPPER(B425)&amp;REPT(" ",20),20),REPT(" ",20))</f>
        <v/>
      </c>
      <c r="S425" s="10">
        <f>IF(A425="D",LEFT(UPPER(C425)&amp;REPT(" ",10),10)," ")</f>
        <v/>
      </c>
      <c r="T425" s="10">
        <f>IF(A425="D",LEFT(UPPER(D425)&amp;REPT(" ",2),2)," ")</f>
        <v/>
      </c>
      <c r="U425" s="10">
        <f>IF(A425="D",LEFT(UPPER(E425)&amp;REPT(" ",15),15)," ")</f>
        <v/>
      </c>
      <c r="V425" s="10">
        <f>REPT(" ",24)</f>
        <v/>
      </c>
      <c r="W425" s="10">
        <f>IF(A425="c",LEFT(UPPER(B425)&amp;REPT(" ",20),20),REPT(" ",20))</f>
        <v/>
      </c>
      <c r="X425" s="10">
        <f>IF(A425="C",LEFT(UPPER(C425)&amp;REPT(" ",10),10)," ")</f>
        <v/>
      </c>
      <c r="Y425" s="10">
        <f>IF(A425="C",LEFT(UPPER(D425)&amp;REPT(" ",2),2)," ")</f>
        <v/>
      </c>
      <c r="Z425" s="10">
        <f>IF(A425="C",LEFT(UPPER(E425)&amp;REPT(" ",15),15)," ")</f>
        <v/>
      </c>
      <c r="AA425" s="10">
        <f>REPT(" ",8)</f>
        <v/>
      </c>
      <c r="AB425" s="10">
        <f>REPT(" ",4)</f>
        <v/>
      </c>
      <c r="AC425" s="10">
        <f>LEFT(UPPER(H425)&amp;REPT(" ",250),250)</f>
        <v/>
      </c>
      <c r="AD425" s="10">
        <f>TEXT($G$2,"dd/mm/aaaa")</f>
        <v/>
      </c>
      <c r="AE425" s="10">
        <f>REPT(" ",10)</f>
        <v/>
      </c>
      <c r="AF425" s="10">
        <f>REPT(" ",20)</f>
        <v/>
      </c>
      <c r="AG425" s="54">
        <f>REPT(" ",18-LEN(FIXED(F425,2,TRUE)))&amp;FIXED(F425,2,TRUE)</f>
        <v/>
      </c>
      <c r="AH425" s="10">
        <f>LEN(AC425)+LEN(AG425)</f>
        <v/>
      </c>
      <c r="AI425" s="10">
        <f>LEN(L425)</f>
        <v/>
      </c>
    </row>
    <row r="426">
      <c r="I426" s="42" t="n"/>
      <c r="J426" s="12">
        <f>IF(F426&lt;&gt;0,"LANÇAR","")</f>
        <v/>
      </c>
      <c r="K426" s="20" t="n"/>
      <c r="L426" s="13">
        <f>N426&amp;O426&amp;P426&amp;Q426&amp;R426&amp;S426&amp;T426&amp;U426&amp;V426&amp;W426&amp;X426&amp;Y426&amp;Z426&amp;AA426&amp;AB426&amp;AC426&amp;AD426&amp;AE426&amp;AF426&amp;AG426</f>
        <v/>
      </c>
      <c r="M426" s="20" t="n"/>
      <c r="N426" s="10">
        <f>TEXT($B$6,"00")</f>
        <v/>
      </c>
      <c r="O426" s="10">
        <f>REPT(" ",8)</f>
        <v/>
      </c>
      <c r="P426" s="10">
        <f>RIGHT($B$4,2)</f>
        <v/>
      </c>
      <c r="Q426" s="10">
        <f>RIGHT($B$5,3)</f>
        <v/>
      </c>
      <c r="R426" s="10">
        <f>IF(A426="D",LEFT(UPPER(B426)&amp;REPT(" ",20),20),REPT(" ",20))</f>
        <v/>
      </c>
      <c r="S426" s="10">
        <f>IF(A426="D",LEFT(UPPER(C426)&amp;REPT(" ",10),10)," ")</f>
        <v/>
      </c>
      <c r="T426" s="10">
        <f>IF(A426="D",LEFT(UPPER(D426)&amp;REPT(" ",2),2)," ")</f>
        <v/>
      </c>
      <c r="U426" s="10">
        <f>IF(A426="D",LEFT(UPPER(E426)&amp;REPT(" ",15),15)," ")</f>
        <v/>
      </c>
      <c r="V426" s="10">
        <f>REPT(" ",24)</f>
        <v/>
      </c>
      <c r="W426" s="10">
        <f>IF(A426="c",LEFT(UPPER(B426)&amp;REPT(" ",20),20),REPT(" ",20))</f>
        <v/>
      </c>
      <c r="X426" s="10">
        <f>IF(A426="C",LEFT(UPPER(C426)&amp;REPT(" ",10),10)," ")</f>
        <v/>
      </c>
      <c r="Y426" s="10">
        <f>IF(A426="C",LEFT(UPPER(D426)&amp;REPT(" ",2),2)," ")</f>
        <v/>
      </c>
      <c r="Z426" s="10">
        <f>IF(A426="C",LEFT(UPPER(E426)&amp;REPT(" ",15),15)," ")</f>
        <v/>
      </c>
      <c r="AA426" s="10">
        <f>REPT(" ",8)</f>
        <v/>
      </c>
      <c r="AB426" s="10">
        <f>REPT(" ",4)</f>
        <v/>
      </c>
      <c r="AC426" s="10">
        <f>LEFT(UPPER(H426)&amp;REPT(" ",250),250)</f>
        <v/>
      </c>
      <c r="AD426" s="10">
        <f>TEXT($G$2,"dd/mm/aaaa")</f>
        <v/>
      </c>
      <c r="AE426" s="10">
        <f>REPT(" ",10)</f>
        <v/>
      </c>
      <c r="AF426" s="10">
        <f>REPT(" ",20)</f>
        <v/>
      </c>
      <c r="AG426" s="54">
        <f>REPT(" ",18-LEN(FIXED(F426,2,TRUE)))&amp;FIXED(F426,2,TRUE)</f>
        <v/>
      </c>
      <c r="AH426" s="10">
        <f>LEN(AC426)+LEN(AG426)</f>
        <v/>
      </c>
      <c r="AI426" s="10">
        <f>LEN(L426)</f>
        <v/>
      </c>
    </row>
    <row r="427">
      <c r="I427" s="42" t="n"/>
      <c r="J427" s="12">
        <f>IF(F427&lt;&gt;0,"LANÇAR","")</f>
        <v/>
      </c>
      <c r="K427" s="20" t="n"/>
      <c r="L427" s="13">
        <f>N427&amp;O427&amp;P427&amp;Q427&amp;R427&amp;S427&amp;T427&amp;U427&amp;V427&amp;W427&amp;X427&amp;Y427&amp;Z427&amp;AA427&amp;AB427&amp;AC427&amp;AD427&amp;AE427&amp;AF427&amp;AG427</f>
        <v/>
      </c>
      <c r="M427" s="20" t="n"/>
      <c r="N427" s="10">
        <f>TEXT($B$6,"00")</f>
        <v/>
      </c>
      <c r="O427" s="10">
        <f>REPT(" ",8)</f>
        <v/>
      </c>
      <c r="P427" s="10">
        <f>RIGHT($B$4,2)</f>
        <v/>
      </c>
      <c r="Q427" s="10">
        <f>RIGHT($B$5,3)</f>
        <v/>
      </c>
      <c r="R427" s="10">
        <f>IF(A427="D",LEFT(UPPER(B427)&amp;REPT(" ",20),20),REPT(" ",20))</f>
        <v/>
      </c>
      <c r="S427" s="10">
        <f>IF(A427="D",LEFT(UPPER(C427)&amp;REPT(" ",10),10)," ")</f>
        <v/>
      </c>
      <c r="T427" s="10">
        <f>IF(A427="D",LEFT(UPPER(D427)&amp;REPT(" ",2),2)," ")</f>
        <v/>
      </c>
      <c r="U427" s="10">
        <f>IF(A427="D",LEFT(UPPER(E427)&amp;REPT(" ",15),15)," ")</f>
        <v/>
      </c>
      <c r="V427" s="10">
        <f>REPT(" ",24)</f>
        <v/>
      </c>
      <c r="W427" s="10">
        <f>IF(A427="c",LEFT(UPPER(B427)&amp;REPT(" ",20),20),REPT(" ",20))</f>
        <v/>
      </c>
      <c r="X427" s="10">
        <f>IF(A427="C",LEFT(UPPER(C427)&amp;REPT(" ",10),10)," ")</f>
        <v/>
      </c>
      <c r="Y427" s="10">
        <f>IF(A427="C",LEFT(UPPER(D427)&amp;REPT(" ",2),2)," ")</f>
        <v/>
      </c>
      <c r="Z427" s="10">
        <f>IF(A427="C",LEFT(UPPER(E427)&amp;REPT(" ",15),15)," ")</f>
        <v/>
      </c>
      <c r="AA427" s="10">
        <f>REPT(" ",8)</f>
        <v/>
      </c>
      <c r="AB427" s="10">
        <f>REPT(" ",4)</f>
        <v/>
      </c>
      <c r="AC427" s="10">
        <f>LEFT(UPPER(H427)&amp;REPT(" ",250),250)</f>
        <v/>
      </c>
      <c r="AD427" s="10">
        <f>TEXT($G$2,"dd/mm/aaaa")</f>
        <v/>
      </c>
      <c r="AE427" s="10">
        <f>REPT(" ",10)</f>
        <v/>
      </c>
      <c r="AF427" s="10">
        <f>REPT(" ",20)</f>
        <v/>
      </c>
      <c r="AG427" s="54">
        <f>REPT(" ",18-LEN(FIXED(F427,2,TRUE)))&amp;FIXED(F427,2,TRUE)</f>
        <v/>
      </c>
      <c r="AH427" s="10">
        <f>LEN(AC427)+LEN(AG427)</f>
        <v/>
      </c>
      <c r="AI427" s="10">
        <f>LEN(L427)</f>
        <v/>
      </c>
    </row>
    <row r="428">
      <c r="I428" s="42" t="n"/>
      <c r="J428" s="12">
        <f>IF(F428&lt;&gt;0,"LANÇAR","")</f>
        <v/>
      </c>
      <c r="K428" s="20" t="n"/>
      <c r="L428" s="13">
        <f>N428&amp;O428&amp;P428&amp;Q428&amp;R428&amp;S428&amp;T428&amp;U428&amp;V428&amp;W428&amp;X428&amp;Y428&amp;Z428&amp;AA428&amp;AB428&amp;AC428&amp;AD428&amp;AE428&amp;AF428&amp;AG428</f>
        <v/>
      </c>
      <c r="M428" s="20" t="n"/>
      <c r="N428" s="10">
        <f>TEXT($B$6,"00")</f>
        <v/>
      </c>
      <c r="O428" s="10">
        <f>REPT(" ",8)</f>
        <v/>
      </c>
      <c r="P428" s="10">
        <f>RIGHT($B$4,2)</f>
        <v/>
      </c>
      <c r="Q428" s="10">
        <f>RIGHT($B$5,3)</f>
        <v/>
      </c>
      <c r="R428" s="10">
        <f>IF(A428="D",LEFT(UPPER(B428)&amp;REPT(" ",20),20),REPT(" ",20))</f>
        <v/>
      </c>
      <c r="S428" s="10">
        <f>IF(A428="D",LEFT(UPPER(C428)&amp;REPT(" ",10),10)," ")</f>
        <v/>
      </c>
      <c r="T428" s="10">
        <f>IF(A428="D",LEFT(UPPER(D428)&amp;REPT(" ",2),2)," ")</f>
        <v/>
      </c>
      <c r="U428" s="10">
        <f>IF(A428="D",LEFT(UPPER(E428)&amp;REPT(" ",15),15)," ")</f>
        <v/>
      </c>
      <c r="V428" s="10">
        <f>REPT(" ",24)</f>
        <v/>
      </c>
      <c r="W428" s="10">
        <f>IF(A428="c",LEFT(UPPER(B428)&amp;REPT(" ",20),20),REPT(" ",20))</f>
        <v/>
      </c>
      <c r="X428" s="10">
        <f>IF(A428="C",LEFT(UPPER(C428)&amp;REPT(" ",10),10)," ")</f>
        <v/>
      </c>
      <c r="Y428" s="10">
        <f>IF(A428="C",LEFT(UPPER(D428)&amp;REPT(" ",2),2)," ")</f>
        <v/>
      </c>
      <c r="Z428" s="10">
        <f>IF(A428="C",LEFT(UPPER(E428)&amp;REPT(" ",15),15)," ")</f>
        <v/>
      </c>
      <c r="AA428" s="10">
        <f>REPT(" ",8)</f>
        <v/>
      </c>
      <c r="AB428" s="10">
        <f>REPT(" ",4)</f>
        <v/>
      </c>
      <c r="AC428" s="10">
        <f>LEFT(UPPER(H428)&amp;REPT(" ",250),250)</f>
        <v/>
      </c>
      <c r="AD428" s="10">
        <f>TEXT($G$2,"dd/mm/aaaa")</f>
        <v/>
      </c>
      <c r="AE428" s="10">
        <f>REPT(" ",10)</f>
        <v/>
      </c>
      <c r="AF428" s="10">
        <f>REPT(" ",20)</f>
        <v/>
      </c>
      <c r="AG428" s="54">
        <f>REPT(" ",18-LEN(FIXED(F428,2,TRUE)))&amp;FIXED(F428,2,TRUE)</f>
        <v/>
      </c>
      <c r="AH428" s="10">
        <f>LEN(AC428)+LEN(AG428)</f>
        <v/>
      </c>
      <c r="AI428" s="10">
        <f>LEN(L428)</f>
        <v/>
      </c>
    </row>
    <row r="429">
      <c r="I429" s="42" t="n"/>
      <c r="J429" s="12">
        <f>IF(F429&lt;&gt;0,"LANÇAR","")</f>
        <v/>
      </c>
      <c r="K429" s="20" t="n"/>
      <c r="L429" s="13">
        <f>N429&amp;O429&amp;P429&amp;Q429&amp;R429&amp;S429&amp;T429&amp;U429&amp;V429&amp;W429&amp;X429&amp;Y429&amp;Z429&amp;AA429&amp;AB429&amp;AC429&amp;AD429&amp;AE429&amp;AF429&amp;AG429</f>
        <v/>
      </c>
      <c r="M429" s="20" t="n"/>
      <c r="N429" s="10">
        <f>TEXT($B$6,"00")</f>
        <v/>
      </c>
      <c r="O429" s="10">
        <f>REPT(" ",8)</f>
        <v/>
      </c>
      <c r="P429" s="10">
        <f>RIGHT($B$4,2)</f>
        <v/>
      </c>
      <c r="Q429" s="10">
        <f>RIGHT($B$5,3)</f>
        <v/>
      </c>
      <c r="R429" s="10">
        <f>IF(A429="D",LEFT(UPPER(B429)&amp;REPT(" ",20),20),REPT(" ",20))</f>
        <v/>
      </c>
      <c r="S429" s="10">
        <f>IF(A429="D",LEFT(UPPER(C429)&amp;REPT(" ",10),10)," ")</f>
        <v/>
      </c>
      <c r="T429" s="10">
        <f>IF(A429="D",LEFT(UPPER(D429)&amp;REPT(" ",2),2)," ")</f>
        <v/>
      </c>
      <c r="U429" s="10">
        <f>IF(A429="D",LEFT(UPPER(E429)&amp;REPT(" ",15),15)," ")</f>
        <v/>
      </c>
      <c r="V429" s="10">
        <f>REPT(" ",24)</f>
        <v/>
      </c>
      <c r="W429" s="10">
        <f>IF(A429="c",LEFT(UPPER(B429)&amp;REPT(" ",20),20),REPT(" ",20))</f>
        <v/>
      </c>
      <c r="X429" s="10">
        <f>IF(A429="C",LEFT(UPPER(C429)&amp;REPT(" ",10),10)," ")</f>
        <v/>
      </c>
      <c r="Y429" s="10">
        <f>IF(A429="C",LEFT(UPPER(D429)&amp;REPT(" ",2),2)," ")</f>
        <v/>
      </c>
      <c r="Z429" s="10">
        <f>IF(A429="C",LEFT(UPPER(E429)&amp;REPT(" ",15),15)," ")</f>
        <v/>
      </c>
      <c r="AA429" s="10">
        <f>REPT(" ",8)</f>
        <v/>
      </c>
      <c r="AB429" s="10">
        <f>REPT(" ",4)</f>
        <v/>
      </c>
      <c r="AC429" s="10">
        <f>LEFT(UPPER(H429)&amp;REPT(" ",250),250)</f>
        <v/>
      </c>
      <c r="AD429" s="10">
        <f>TEXT($G$2,"dd/mm/aaaa")</f>
        <v/>
      </c>
      <c r="AE429" s="10">
        <f>REPT(" ",10)</f>
        <v/>
      </c>
      <c r="AF429" s="10">
        <f>REPT(" ",20)</f>
        <v/>
      </c>
      <c r="AG429" s="54">
        <f>REPT(" ",18-LEN(FIXED(F429,2,TRUE)))&amp;FIXED(F429,2,TRUE)</f>
        <v/>
      </c>
      <c r="AH429" s="10">
        <f>LEN(AC429)+LEN(AG429)</f>
        <v/>
      </c>
      <c r="AI429" s="10">
        <f>LEN(L429)</f>
        <v/>
      </c>
    </row>
    <row r="430">
      <c r="I430" s="42" t="n"/>
      <c r="J430" s="12">
        <f>IF(F430&lt;&gt;0,"LANÇAR","")</f>
        <v/>
      </c>
      <c r="K430" s="20" t="n"/>
      <c r="L430" s="13">
        <f>N430&amp;O430&amp;P430&amp;Q430&amp;R430&amp;S430&amp;T430&amp;U430&amp;V430&amp;W430&amp;X430&amp;Y430&amp;Z430&amp;AA430&amp;AB430&amp;AC430&amp;AD430&amp;AE430&amp;AF430&amp;AG430</f>
        <v/>
      </c>
      <c r="M430" s="20" t="n"/>
      <c r="N430" s="10">
        <f>TEXT($B$6,"00")</f>
        <v/>
      </c>
      <c r="O430" s="10">
        <f>REPT(" ",8)</f>
        <v/>
      </c>
      <c r="P430" s="10">
        <f>RIGHT($B$4,2)</f>
        <v/>
      </c>
      <c r="Q430" s="10">
        <f>RIGHT($B$5,3)</f>
        <v/>
      </c>
      <c r="R430" s="10">
        <f>IF(A430="D",LEFT(UPPER(B430)&amp;REPT(" ",20),20),REPT(" ",20))</f>
        <v/>
      </c>
      <c r="S430" s="10">
        <f>IF(A430="D",LEFT(UPPER(C430)&amp;REPT(" ",10),10)," ")</f>
        <v/>
      </c>
      <c r="T430" s="10">
        <f>IF(A430="D",LEFT(UPPER(D430)&amp;REPT(" ",2),2)," ")</f>
        <v/>
      </c>
      <c r="U430" s="10">
        <f>IF(A430="D",LEFT(UPPER(E430)&amp;REPT(" ",15),15)," ")</f>
        <v/>
      </c>
      <c r="V430" s="10">
        <f>REPT(" ",24)</f>
        <v/>
      </c>
      <c r="W430" s="10">
        <f>IF(A430="c",LEFT(UPPER(B430)&amp;REPT(" ",20),20),REPT(" ",20))</f>
        <v/>
      </c>
      <c r="X430" s="10">
        <f>IF(A430="C",LEFT(UPPER(C430)&amp;REPT(" ",10),10)," ")</f>
        <v/>
      </c>
      <c r="Y430" s="10">
        <f>IF(A430="C",LEFT(UPPER(D430)&amp;REPT(" ",2),2)," ")</f>
        <v/>
      </c>
      <c r="Z430" s="10">
        <f>IF(A430="C",LEFT(UPPER(E430)&amp;REPT(" ",15),15)," ")</f>
        <v/>
      </c>
      <c r="AA430" s="10">
        <f>REPT(" ",8)</f>
        <v/>
      </c>
      <c r="AB430" s="10">
        <f>REPT(" ",4)</f>
        <v/>
      </c>
      <c r="AC430" s="10">
        <f>LEFT(UPPER(H430)&amp;REPT(" ",250),250)</f>
        <v/>
      </c>
      <c r="AD430" s="10">
        <f>TEXT($G$2,"dd/mm/aaaa")</f>
        <v/>
      </c>
      <c r="AE430" s="10">
        <f>REPT(" ",10)</f>
        <v/>
      </c>
      <c r="AF430" s="10">
        <f>REPT(" ",20)</f>
        <v/>
      </c>
      <c r="AG430" s="54">
        <f>REPT(" ",18-LEN(FIXED(F430,2,TRUE)))&amp;FIXED(F430,2,TRUE)</f>
        <v/>
      </c>
      <c r="AH430" s="10">
        <f>LEN(AC430)+LEN(AG430)</f>
        <v/>
      </c>
      <c r="AI430" s="10">
        <f>LEN(L430)</f>
        <v/>
      </c>
    </row>
    <row r="431">
      <c r="I431" s="42" t="n"/>
      <c r="J431" s="12">
        <f>IF(F431&lt;&gt;0,"LANÇAR","")</f>
        <v/>
      </c>
      <c r="K431" s="20" t="n"/>
      <c r="L431" s="13">
        <f>N431&amp;O431&amp;P431&amp;Q431&amp;R431&amp;S431&amp;T431&amp;U431&amp;V431&amp;W431&amp;X431&amp;Y431&amp;Z431&amp;AA431&amp;AB431&amp;AC431&amp;AD431&amp;AE431&amp;AF431&amp;AG431</f>
        <v/>
      </c>
      <c r="M431" s="20" t="n"/>
      <c r="N431" s="10">
        <f>TEXT($B$6,"00")</f>
        <v/>
      </c>
      <c r="O431" s="10">
        <f>REPT(" ",8)</f>
        <v/>
      </c>
      <c r="P431" s="10">
        <f>RIGHT($B$4,2)</f>
        <v/>
      </c>
      <c r="Q431" s="10">
        <f>RIGHT($B$5,3)</f>
        <v/>
      </c>
      <c r="R431" s="10">
        <f>IF(A431="D",LEFT(UPPER(B431)&amp;REPT(" ",20),20),REPT(" ",20))</f>
        <v/>
      </c>
      <c r="S431" s="10">
        <f>IF(A431="D",LEFT(UPPER(C431)&amp;REPT(" ",10),10)," ")</f>
        <v/>
      </c>
      <c r="T431" s="10">
        <f>IF(A431="D",LEFT(UPPER(D431)&amp;REPT(" ",2),2)," ")</f>
        <v/>
      </c>
      <c r="U431" s="10">
        <f>IF(A431="D",LEFT(UPPER(E431)&amp;REPT(" ",15),15)," ")</f>
        <v/>
      </c>
      <c r="V431" s="10">
        <f>REPT(" ",24)</f>
        <v/>
      </c>
      <c r="W431" s="10">
        <f>IF(A431="c",LEFT(UPPER(B431)&amp;REPT(" ",20),20),REPT(" ",20))</f>
        <v/>
      </c>
      <c r="X431" s="10">
        <f>IF(A431="C",LEFT(UPPER(C431)&amp;REPT(" ",10),10)," ")</f>
        <v/>
      </c>
      <c r="Y431" s="10">
        <f>IF(A431="C",LEFT(UPPER(D431)&amp;REPT(" ",2),2)," ")</f>
        <v/>
      </c>
      <c r="Z431" s="10">
        <f>IF(A431="C",LEFT(UPPER(E431)&amp;REPT(" ",15),15)," ")</f>
        <v/>
      </c>
      <c r="AA431" s="10">
        <f>REPT(" ",8)</f>
        <v/>
      </c>
      <c r="AB431" s="10">
        <f>REPT(" ",4)</f>
        <v/>
      </c>
      <c r="AC431" s="10">
        <f>LEFT(UPPER(H431)&amp;REPT(" ",250),250)</f>
        <v/>
      </c>
      <c r="AD431" s="10">
        <f>TEXT($G$2,"dd/mm/aaaa")</f>
        <v/>
      </c>
      <c r="AE431" s="10">
        <f>REPT(" ",10)</f>
        <v/>
      </c>
      <c r="AF431" s="10">
        <f>REPT(" ",20)</f>
        <v/>
      </c>
      <c r="AG431" s="54">
        <f>REPT(" ",18-LEN(FIXED(F431,2,TRUE)))&amp;FIXED(F431,2,TRUE)</f>
        <v/>
      </c>
      <c r="AH431" s="10">
        <f>LEN(AC431)+LEN(AG431)</f>
        <v/>
      </c>
      <c r="AI431" s="10">
        <f>LEN(L431)</f>
        <v/>
      </c>
    </row>
    <row r="432">
      <c r="I432" s="42" t="n"/>
      <c r="J432" s="12">
        <f>IF(F432&lt;&gt;0,"LANÇAR","")</f>
        <v/>
      </c>
      <c r="K432" s="20" t="n"/>
      <c r="L432" s="13">
        <f>N432&amp;O432&amp;P432&amp;Q432&amp;R432&amp;S432&amp;T432&amp;U432&amp;V432&amp;W432&amp;X432&amp;Y432&amp;Z432&amp;AA432&amp;AB432&amp;AC432&amp;AD432&amp;AE432&amp;AF432&amp;AG432</f>
        <v/>
      </c>
      <c r="M432" s="20" t="n"/>
      <c r="N432" s="10">
        <f>TEXT($B$6,"00")</f>
        <v/>
      </c>
      <c r="O432" s="10">
        <f>REPT(" ",8)</f>
        <v/>
      </c>
      <c r="P432" s="10">
        <f>RIGHT($B$4,2)</f>
        <v/>
      </c>
      <c r="Q432" s="10">
        <f>RIGHT($B$5,3)</f>
        <v/>
      </c>
      <c r="R432" s="10">
        <f>IF(A432="D",LEFT(UPPER(B432)&amp;REPT(" ",20),20),REPT(" ",20))</f>
        <v/>
      </c>
      <c r="S432" s="10">
        <f>IF(A432="D",LEFT(UPPER(C432)&amp;REPT(" ",10),10)," ")</f>
        <v/>
      </c>
      <c r="T432" s="10">
        <f>IF(A432="D",LEFT(UPPER(D432)&amp;REPT(" ",2),2)," ")</f>
        <v/>
      </c>
      <c r="U432" s="10">
        <f>IF(A432="D",LEFT(UPPER(E432)&amp;REPT(" ",15),15)," ")</f>
        <v/>
      </c>
      <c r="V432" s="10">
        <f>REPT(" ",24)</f>
        <v/>
      </c>
      <c r="W432" s="10">
        <f>IF(A432="c",LEFT(UPPER(B432)&amp;REPT(" ",20),20),REPT(" ",20))</f>
        <v/>
      </c>
      <c r="X432" s="10">
        <f>IF(A432="C",LEFT(UPPER(C432)&amp;REPT(" ",10),10)," ")</f>
        <v/>
      </c>
      <c r="Y432" s="10">
        <f>IF(A432="C",LEFT(UPPER(D432)&amp;REPT(" ",2),2)," ")</f>
        <v/>
      </c>
      <c r="Z432" s="10">
        <f>IF(A432="C",LEFT(UPPER(E432)&amp;REPT(" ",15),15)," ")</f>
        <v/>
      </c>
      <c r="AA432" s="10">
        <f>REPT(" ",8)</f>
        <v/>
      </c>
      <c r="AB432" s="10">
        <f>REPT(" ",4)</f>
        <v/>
      </c>
      <c r="AC432" s="10">
        <f>LEFT(UPPER(H432)&amp;REPT(" ",250),250)</f>
        <v/>
      </c>
      <c r="AD432" s="10">
        <f>TEXT($G$2,"dd/mm/aaaa")</f>
        <v/>
      </c>
      <c r="AE432" s="10">
        <f>REPT(" ",10)</f>
        <v/>
      </c>
      <c r="AF432" s="10">
        <f>REPT(" ",20)</f>
        <v/>
      </c>
      <c r="AG432" s="54">
        <f>REPT(" ",18-LEN(FIXED(F432,2,TRUE)))&amp;FIXED(F432,2,TRUE)</f>
        <v/>
      </c>
      <c r="AH432" s="10">
        <f>LEN(AC432)+LEN(AG432)</f>
        <v/>
      </c>
      <c r="AI432" s="10">
        <f>LEN(L432)</f>
        <v/>
      </c>
    </row>
    <row r="433">
      <c r="I433" s="42" t="n"/>
      <c r="J433" s="12">
        <f>IF(F433&lt;&gt;0,"LANÇAR","")</f>
        <v/>
      </c>
      <c r="K433" s="20" t="n"/>
      <c r="L433" s="13">
        <f>N433&amp;O433&amp;P433&amp;Q433&amp;R433&amp;S433&amp;T433&amp;U433&amp;V433&amp;W433&amp;X433&amp;Y433&amp;Z433&amp;AA433&amp;AB433&amp;AC433&amp;AD433&amp;AE433&amp;AF433&amp;AG433</f>
        <v/>
      </c>
      <c r="M433" s="20" t="n"/>
      <c r="N433" s="10">
        <f>TEXT($B$6,"00")</f>
        <v/>
      </c>
      <c r="O433" s="10">
        <f>REPT(" ",8)</f>
        <v/>
      </c>
      <c r="P433" s="10">
        <f>RIGHT($B$4,2)</f>
        <v/>
      </c>
      <c r="Q433" s="10">
        <f>RIGHT($B$5,3)</f>
        <v/>
      </c>
      <c r="R433" s="10">
        <f>IF(A433="D",LEFT(UPPER(B433)&amp;REPT(" ",20),20),REPT(" ",20))</f>
        <v/>
      </c>
      <c r="S433" s="10">
        <f>IF(A433="D",LEFT(UPPER(C433)&amp;REPT(" ",10),10)," ")</f>
        <v/>
      </c>
      <c r="T433" s="10">
        <f>IF(A433="D",LEFT(UPPER(D433)&amp;REPT(" ",2),2)," ")</f>
        <v/>
      </c>
      <c r="U433" s="10">
        <f>IF(A433="D",LEFT(UPPER(E433)&amp;REPT(" ",15),15)," ")</f>
        <v/>
      </c>
      <c r="V433" s="10">
        <f>REPT(" ",24)</f>
        <v/>
      </c>
      <c r="W433" s="10">
        <f>IF(A433="c",LEFT(UPPER(B433)&amp;REPT(" ",20),20),REPT(" ",20))</f>
        <v/>
      </c>
      <c r="X433" s="10">
        <f>IF(A433="C",LEFT(UPPER(C433)&amp;REPT(" ",10),10)," ")</f>
        <v/>
      </c>
      <c r="Y433" s="10">
        <f>IF(A433="C",LEFT(UPPER(D433)&amp;REPT(" ",2),2)," ")</f>
        <v/>
      </c>
      <c r="Z433" s="10">
        <f>IF(A433="C",LEFT(UPPER(E433)&amp;REPT(" ",15),15)," ")</f>
        <v/>
      </c>
      <c r="AA433" s="10">
        <f>REPT(" ",8)</f>
        <v/>
      </c>
      <c r="AB433" s="10">
        <f>REPT(" ",4)</f>
        <v/>
      </c>
      <c r="AC433" s="10">
        <f>LEFT(UPPER(H433)&amp;REPT(" ",250),250)</f>
        <v/>
      </c>
      <c r="AD433" s="10">
        <f>TEXT($G$2,"dd/mm/aaaa")</f>
        <v/>
      </c>
      <c r="AE433" s="10">
        <f>REPT(" ",10)</f>
        <v/>
      </c>
      <c r="AF433" s="10">
        <f>REPT(" ",20)</f>
        <v/>
      </c>
      <c r="AG433" s="54">
        <f>REPT(" ",18-LEN(FIXED(F433,2,TRUE)))&amp;FIXED(F433,2,TRUE)</f>
        <v/>
      </c>
      <c r="AH433" s="10">
        <f>LEN(AC433)+LEN(AG433)</f>
        <v/>
      </c>
      <c r="AI433" s="10">
        <f>LEN(L433)</f>
        <v/>
      </c>
    </row>
    <row r="434">
      <c r="I434" s="42" t="n"/>
      <c r="J434" s="12">
        <f>IF(F434&lt;&gt;0,"LANÇAR","")</f>
        <v/>
      </c>
      <c r="K434" s="20" t="n"/>
      <c r="L434" s="13">
        <f>N434&amp;O434&amp;P434&amp;Q434&amp;R434&amp;S434&amp;T434&amp;U434&amp;V434&amp;W434&amp;X434&amp;Y434&amp;Z434&amp;AA434&amp;AB434&amp;AC434&amp;AD434&amp;AE434&amp;AF434&amp;AG434</f>
        <v/>
      </c>
      <c r="M434" s="20" t="n"/>
      <c r="N434" s="10">
        <f>TEXT($B$6,"00")</f>
        <v/>
      </c>
      <c r="O434" s="10">
        <f>REPT(" ",8)</f>
        <v/>
      </c>
      <c r="P434" s="10">
        <f>RIGHT($B$4,2)</f>
        <v/>
      </c>
      <c r="Q434" s="10">
        <f>RIGHT($B$5,3)</f>
        <v/>
      </c>
      <c r="R434" s="10">
        <f>IF(A434="D",LEFT(UPPER(B434)&amp;REPT(" ",20),20),REPT(" ",20))</f>
        <v/>
      </c>
      <c r="S434" s="10">
        <f>IF(A434="D",LEFT(UPPER(C434)&amp;REPT(" ",10),10)," ")</f>
        <v/>
      </c>
      <c r="T434" s="10">
        <f>IF(A434="D",LEFT(UPPER(D434)&amp;REPT(" ",2),2)," ")</f>
        <v/>
      </c>
      <c r="U434" s="10">
        <f>IF(A434="D",LEFT(UPPER(E434)&amp;REPT(" ",15),15)," ")</f>
        <v/>
      </c>
      <c r="V434" s="10">
        <f>REPT(" ",24)</f>
        <v/>
      </c>
      <c r="W434" s="10">
        <f>IF(A434="c",LEFT(UPPER(B434)&amp;REPT(" ",20),20),REPT(" ",20))</f>
        <v/>
      </c>
      <c r="X434" s="10">
        <f>IF(A434="C",LEFT(UPPER(C434)&amp;REPT(" ",10),10)," ")</f>
        <v/>
      </c>
      <c r="Y434" s="10">
        <f>IF(A434="C",LEFT(UPPER(D434)&amp;REPT(" ",2),2)," ")</f>
        <v/>
      </c>
      <c r="Z434" s="10">
        <f>IF(A434="C",LEFT(UPPER(E434)&amp;REPT(" ",15),15)," ")</f>
        <v/>
      </c>
      <c r="AA434" s="10">
        <f>REPT(" ",8)</f>
        <v/>
      </c>
      <c r="AB434" s="10">
        <f>REPT(" ",4)</f>
        <v/>
      </c>
      <c r="AC434" s="10">
        <f>LEFT(UPPER(H434)&amp;REPT(" ",250),250)</f>
        <v/>
      </c>
      <c r="AD434" s="10">
        <f>TEXT($G$2,"dd/mm/aaaa")</f>
        <v/>
      </c>
      <c r="AE434" s="10">
        <f>REPT(" ",10)</f>
        <v/>
      </c>
      <c r="AF434" s="10">
        <f>REPT(" ",20)</f>
        <v/>
      </c>
      <c r="AG434" s="54">
        <f>REPT(" ",18-LEN(FIXED(F434,2,TRUE)))&amp;FIXED(F434,2,TRUE)</f>
        <v/>
      </c>
      <c r="AH434" s="10">
        <f>LEN(AC434)+LEN(AG434)</f>
        <v/>
      </c>
      <c r="AI434" s="10">
        <f>LEN(L434)</f>
        <v/>
      </c>
    </row>
    <row r="435">
      <c r="I435" s="42" t="n"/>
      <c r="J435" s="12">
        <f>IF(F435&lt;&gt;0,"LANÇAR","")</f>
        <v/>
      </c>
      <c r="K435" s="20" t="n"/>
      <c r="L435" s="13">
        <f>N435&amp;O435&amp;P435&amp;Q435&amp;R435&amp;S435&amp;T435&amp;U435&amp;V435&amp;W435&amp;X435&amp;Y435&amp;Z435&amp;AA435&amp;AB435&amp;AC435&amp;AD435&amp;AE435&amp;AF435&amp;AG435</f>
        <v/>
      </c>
      <c r="M435" s="20" t="n"/>
      <c r="N435" s="10">
        <f>TEXT($B$6,"00")</f>
        <v/>
      </c>
      <c r="O435" s="10">
        <f>REPT(" ",8)</f>
        <v/>
      </c>
      <c r="P435" s="10">
        <f>RIGHT($B$4,2)</f>
        <v/>
      </c>
      <c r="Q435" s="10">
        <f>RIGHT($B$5,3)</f>
        <v/>
      </c>
      <c r="R435" s="10">
        <f>IF(A435="D",LEFT(UPPER(B435)&amp;REPT(" ",20),20),REPT(" ",20))</f>
        <v/>
      </c>
      <c r="S435" s="10">
        <f>IF(A435="D",LEFT(UPPER(C435)&amp;REPT(" ",10),10)," ")</f>
        <v/>
      </c>
      <c r="T435" s="10">
        <f>IF(A435="D",LEFT(UPPER(D435)&amp;REPT(" ",2),2)," ")</f>
        <v/>
      </c>
      <c r="U435" s="10">
        <f>IF(A435="D",LEFT(UPPER(E435)&amp;REPT(" ",15),15)," ")</f>
        <v/>
      </c>
      <c r="V435" s="10">
        <f>REPT(" ",24)</f>
        <v/>
      </c>
      <c r="W435" s="10">
        <f>IF(A435="c",LEFT(UPPER(B435)&amp;REPT(" ",20),20),REPT(" ",20))</f>
        <v/>
      </c>
      <c r="X435" s="10">
        <f>IF(A435="C",LEFT(UPPER(C435)&amp;REPT(" ",10),10)," ")</f>
        <v/>
      </c>
      <c r="Y435" s="10">
        <f>IF(A435="C",LEFT(UPPER(D435)&amp;REPT(" ",2),2)," ")</f>
        <v/>
      </c>
      <c r="Z435" s="10">
        <f>IF(A435="C",LEFT(UPPER(E435)&amp;REPT(" ",15),15)," ")</f>
        <v/>
      </c>
      <c r="AA435" s="10">
        <f>REPT(" ",8)</f>
        <v/>
      </c>
      <c r="AB435" s="10">
        <f>REPT(" ",4)</f>
        <v/>
      </c>
      <c r="AC435" s="10">
        <f>LEFT(UPPER(H435)&amp;REPT(" ",250),250)</f>
        <v/>
      </c>
      <c r="AD435" s="10">
        <f>TEXT($G$2,"dd/mm/aaaa")</f>
        <v/>
      </c>
      <c r="AE435" s="10">
        <f>REPT(" ",10)</f>
        <v/>
      </c>
      <c r="AF435" s="10">
        <f>REPT(" ",20)</f>
        <v/>
      </c>
      <c r="AG435" s="54">
        <f>REPT(" ",18-LEN(FIXED(F435,2,TRUE)))&amp;FIXED(F435,2,TRUE)</f>
        <v/>
      </c>
      <c r="AH435" s="10">
        <f>LEN(AC435)+LEN(AG435)</f>
        <v/>
      </c>
      <c r="AI435" s="10">
        <f>LEN(L435)</f>
        <v/>
      </c>
    </row>
    <row r="436">
      <c r="I436" s="42" t="n"/>
      <c r="J436" s="12">
        <f>IF(F436&lt;&gt;0,"LANÇAR","")</f>
        <v/>
      </c>
      <c r="K436" s="20" t="n"/>
      <c r="L436" s="13">
        <f>N436&amp;O436&amp;P436&amp;Q436&amp;R436&amp;S436&amp;T436&amp;U436&amp;V436&amp;W436&amp;X436&amp;Y436&amp;Z436&amp;AA436&amp;AB436&amp;AC436&amp;AD436&amp;AE436&amp;AF436&amp;AG436</f>
        <v/>
      </c>
      <c r="M436" s="20" t="n"/>
      <c r="N436" s="10">
        <f>TEXT($B$6,"00")</f>
        <v/>
      </c>
      <c r="O436" s="10">
        <f>REPT(" ",8)</f>
        <v/>
      </c>
      <c r="P436" s="10">
        <f>RIGHT($B$4,2)</f>
        <v/>
      </c>
      <c r="Q436" s="10">
        <f>RIGHT($B$5,3)</f>
        <v/>
      </c>
      <c r="R436" s="10">
        <f>IF(A436="D",LEFT(UPPER(B436)&amp;REPT(" ",20),20),REPT(" ",20))</f>
        <v/>
      </c>
      <c r="S436" s="10">
        <f>IF(A436="D",LEFT(UPPER(C436)&amp;REPT(" ",10),10)," ")</f>
        <v/>
      </c>
      <c r="T436" s="10">
        <f>IF(A436="D",LEFT(UPPER(D436)&amp;REPT(" ",2),2)," ")</f>
        <v/>
      </c>
      <c r="U436" s="10">
        <f>IF(A436="D",LEFT(UPPER(E436)&amp;REPT(" ",15),15)," ")</f>
        <v/>
      </c>
      <c r="V436" s="10">
        <f>REPT(" ",24)</f>
        <v/>
      </c>
      <c r="W436" s="10">
        <f>IF(A436="c",LEFT(UPPER(B436)&amp;REPT(" ",20),20),REPT(" ",20))</f>
        <v/>
      </c>
      <c r="X436" s="10">
        <f>IF(A436="C",LEFT(UPPER(C436)&amp;REPT(" ",10),10)," ")</f>
        <v/>
      </c>
      <c r="Y436" s="10">
        <f>IF(A436="C",LEFT(UPPER(D436)&amp;REPT(" ",2),2)," ")</f>
        <v/>
      </c>
      <c r="Z436" s="10">
        <f>IF(A436="C",LEFT(UPPER(E436)&amp;REPT(" ",15),15)," ")</f>
        <v/>
      </c>
      <c r="AA436" s="10">
        <f>REPT(" ",8)</f>
        <v/>
      </c>
      <c r="AB436" s="10">
        <f>REPT(" ",4)</f>
        <v/>
      </c>
      <c r="AC436" s="10">
        <f>LEFT(UPPER(H436)&amp;REPT(" ",250),250)</f>
        <v/>
      </c>
      <c r="AD436" s="10">
        <f>TEXT($G$2,"dd/mm/aaaa")</f>
        <v/>
      </c>
      <c r="AE436" s="10">
        <f>REPT(" ",10)</f>
        <v/>
      </c>
      <c r="AF436" s="10">
        <f>REPT(" ",20)</f>
        <v/>
      </c>
      <c r="AG436" s="54">
        <f>REPT(" ",18-LEN(FIXED(F436,2,TRUE)))&amp;FIXED(F436,2,TRUE)</f>
        <v/>
      </c>
      <c r="AH436" s="10">
        <f>LEN(AC436)+LEN(AG436)</f>
        <v/>
      </c>
      <c r="AI436" s="10">
        <f>LEN(L436)</f>
        <v/>
      </c>
    </row>
    <row r="437">
      <c r="I437" s="42" t="n"/>
      <c r="J437" s="12">
        <f>IF(F437&lt;&gt;0,"LANÇAR","")</f>
        <v/>
      </c>
      <c r="K437" s="20" t="n"/>
      <c r="L437" s="13">
        <f>N437&amp;O437&amp;P437&amp;Q437&amp;R437&amp;S437&amp;T437&amp;U437&amp;V437&amp;W437&amp;X437&amp;Y437&amp;Z437&amp;AA437&amp;AB437&amp;AC437&amp;AD437&amp;AE437&amp;AF437&amp;AG437</f>
        <v/>
      </c>
      <c r="M437" s="20" t="n"/>
      <c r="N437" s="10">
        <f>TEXT($B$6,"00")</f>
        <v/>
      </c>
      <c r="O437" s="10">
        <f>REPT(" ",8)</f>
        <v/>
      </c>
      <c r="P437" s="10">
        <f>RIGHT($B$4,2)</f>
        <v/>
      </c>
      <c r="Q437" s="10">
        <f>RIGHT($B$5,3)</f>
        <v/>
      </c>
      <c r="R437" s="10">
        <f>IF(A437="D",LEFT(UPPER(B437)&amp;REPT(" ",20),20),REPT(" ",20))</f>
        <v/>
      </c>
      <c r="S437" s="10">
        <f>IF(A437="D",LEFT(UPPER(C437)&amp;REPT(" ",10),10)," ")</f>
        <v/>
      </c>
      <c r="T437" s="10">
        <f>IF(A437="D",LEFT(UPPER(D437)&amp;REPT(" ",2),2)," ")</f>
        <v/>
      </c>
      <c r="U437" s="10">
        <f>IF(A437="D",LEFT(UPPER(E437)&amp;REPT(" ",15),15)," ")</f>
        <v/>
      </c>
      <c r="V437" s="10">
        <f>REPT(" ",24)</f>
        <v/>
      </c>
      <c r="W437" s="10">
        <f>IF(A437="c",LEFT(UPPER(B437)&amp;REPT(" ",20),20),REPT(" ",20))</f>
        <v/>
      </c>
      <c r="X437" s="10">
        <f>IF(A437="C",LEFT(UPPER(C437)&amp;REPT(" ",10),10)," ")</f>
        <v/>
      </c>
      <c r="Y437" s="10">
        <f>IF(A437="C",LEFT(UPPER(D437)&amp;REPT(" ",2),2)," ")</f>
        <v/>
      </c>
      <c r="Z437" s="10">
        <f>IF(A437="C",LEFT(UPPER(E437)&amp;REPT(" ",15),15)," ")</f>
        <v/>
      </c>
      <c r="AA437" s="10">
        <f>REPT(" ",8)</f>
        <v/>
      </c>
      <c r="AB437" s="10">
        <f>REPT(" ",4)</f>
        <v/>
      </c>
      <c r="AC437" s="10">
        <f>LEFT(UPPER(H437)&amp;REPT(" ",250),250)</f>
        <v/>
      </c>
      <c r="AD437" s="10">
        <f>TEXT($G$2,"dd/mm/aaaa")</f>
        <v/>
      </c>
      <c r="AE437" s="10">
        <f>REPT(" ",10)</f>
        <v/>
      </c>
      <c r="AF437" s="10">
        <f>REPT(" ",20)</f>
        <v/>
      </c>
      <c r="AG437" s="54">
        <f>REPT(" ",18-LEN(FIXED(F437,2,TRUE)))&amp;FIXED(F437,2,TRUE)</f>
        <v/>
      </c>
      <c r="AH437" s="10">
        <f>LEN(AC437)+LEN(AG437)</f>
        <v/>
      </c>
      <c r="AI437" s="10">
        <f>LEN(L437)</f>
        <v/>
      </c>
    </row>
    <row r="438">
      <c r="I438" s="42" t="n"/>
      <c r="J438" s="12">
        <f>IF(F438&lt;&gt;0,"LANÇAR","")</f>
        <v/>
      </c>
      <c r="K438" s="20" t="n"/>
      <c r="L438" s="13">
        <f>N438&amp;O438&amp;P438&amp;Q438&amp;R438&amp;S438&amp;T438&amp;U438&amp;V438&amp;W438&amp;X438&amp;Y438&amp;Z438&amp;AA438&amp;AB438&amp;AC438&amp;AD438&amp;AE438&amp;AF438&amp;AG438</f>
        <v/>
      </c>
      <c r="M438" s="20" t="n"/>
      <c r="N438" s="10">
        <f>TEXT($B$6,"00")</f>
        <v/>
      </c>
      <c r="O438" s="10">
        <f>REPT(" ",8)</f>
        <v/>
      </c>
      <c r="P438" s="10">
        <f>RIGHT($B$4,2)</f>
        <v/>
      </c>
      <c r="Q438" s="10">
        <f>RIGHT($B$5,3)</f>
        <v/>
      </c>
      <c r="R438" s="10">
        <f>IF(A438="D",LEFT(UPPER(B438)&amp;REPT(" ",20),20),REPT(" ",20))</f>
        <v/>
      </c>
      <c r="S438" s="10">
        <f>IF(A438="D",LEFT(UPPER(C438)&amp;REPT(" ",10),10)," ")</f>
        <v/>
      </c>
      <c r="T438" s="10">
        <f>IF(A438="D",LEFT(UPPER(D438)&amp;REPT(" ",2),2)," ")</f>
        <v/>
      </c>
      <c r="U438" s="10">
        <f>IF(A438="D",LEFT(UPPER(E438)&amp;REPT(" ",15),15)," ")</f>
        <v/>
      </c>
      <c r="V438" s="10">
        <f>REPT(" ",24)</f>
        <v/>
      </c>
      <c r="W438" s="10">
        <f>IF(A438="c",LEFT(UPPER(B438)&amp;REPT(" ",20),20),REPT(" ",20))</f>
        <v/>
      </c>
      <c r="X438" s="10">
        <f>IF(A438="C",LEFT(UPPER(C438)&amp;REPT(" ",10),10)," ")</f>
        <v/>
      </c>
      <c r="Y438" s="10">
        <f>IF(A438="C",LEFT(UPPER(D438)&amp;REPT(" ",2),2)," ")</f>
        <v/>
      </c>
      <c r="Z438" s="10">
        <f>IF(A438="C",LEFT(UPPER(E438)&amp;REPT(" ",15),15)," ")</f>
        <v/>
      </c>
      <c r="AA438" s="10">
        <f>REPT(" ",8)</f>
        <v/>
      </c>
      <c r="AB438" s="10">
        <f>REPT(" ",4)</f>
        <v/>
      </c>
      <c r="AC438" s="10">
        <f>LEFT(UPPER(H438)&amp;REPT(" ",250),250)</f>
        <v/>
      </c>
      <c r="AD438" s="10">
        <f>TEXT($G$2,"dd/mm/aaaa")</f>
        <v/>
      </c>
      <c r="AE438" s="10">
        <f>REPT(" ",10)</f>
        <v/>
      </c>
      <c r="AF438" s="10">
        <f>REPT(" ",20)</f>
        <v/>
      </c>
      <c r="AG438" s="54">
        <f>REPT(" ",18-LEN(FIXED(F438,2,TRUE)))&amp;FIXED(F438,2,TRUE)</f>
        <v/>
      </c>
      <c r="AH438" s="10">
        <f>LEN(AC438)+LEN(AG438)</f>
        <v/>
      </c>
      <c r="AI438" s="10">
        <f>LEN(L438)</f>
        <v/>
      </c>
    </row>
    <row r="439">
      <c r="I439" s="42" t="n"/>
      <c r="J439" s="12">
        <f>IF(F439&lt;&gt;0,"LANÇAR","")</f>
        <v/>
      </c>
      <c r="K439" s="20" t="n"/>
      <c r="L439" s="13">
        <f>N439&amp;O439&amp;P439&amp;Q439&amp;R439&amp;S439&amp;T439&amp;U439&amp;V439&amp;W439&amp;X439&amp;Y439&amp;Z439&amp;AA439&amp;AB439&amp;AC439&amp;AD439&amp;AE439&amp;AF439&amp;AG439</f>
        <v/>
      </c>
      <c r="M439" s="20" t="n"/>
      <c r="N439" s="10">
        <f>TEXT($B$6,"00")</f>
        <v/>
      </c>
      <c r="O439" s="10">
        <f>REPT(" ",8)</f>
        <v/>
      </c>
      <c r="P439" s="10">
        <f>RIGHT($B$4,2)</f>
        <v/>
      </c>
      <c r="Q439" s="10">
        <f>RIGHT($B$5,3)</f>
        <v/>
      </c>
      <c r="R439" s="10">
        <f>IF(A439="D",LEFT(UPPER(B439)&amp;REPT(" ",20),20),REPT(" ",20))</f>
        <v/>
      </c>
      <c r="S439" s="10">
        <f>IF(A439="D",LEFT(UPPER(C439)&amp;REPT(" ",10),10)," ")</f>
        <v/>
      </c>
      <c r="T439" s="10">
        <f>IF(A439="D",LEFT(UPPER(D439)&amp;REPT(" ",2),2)," ")</f>
        <v/>
      </c>
      <c r="U439" s="10">
        <f>IF(A439="D",LEFT(UPPER(E439)&amp;REPT(" ",15),15)," ")</f>
        <v/>
      </c>
      <c r="V439" s="10">
        <f>REPT(" ",24)</f>
        <v/>
      </c>
      <c r="W439" s="10">
        <f>IF(A439="c",LEFT(UPPER(B439)&amp;REPT(" ",20),20),REPT(" ",20))</f>
        <v/>
      </c>
      <c r="X439" s="10">
        <f>IF(A439="C",LEFT(UPPER(C439)&amp;REPT(" ",10),10)," ")</f>
        <v/>
      </c>
      <c r="Y439" s="10">
        <f>IF(A439="C",LEFT(UPPER(D439)&amp;REPT(" ",2),2)," ")</f>
        <v/>
      </c>
      <c r="Z439" s="10">
        <f>IF(A439="C",LEFT(UPPER(E439)&amp;REPT(" ",15),15)," ")</f>
        <v/>
      </c>
      <c r="AA439" s="10">
        <f>REPT(" ",8)</f>
        <v/>
      </c>
      <c r="AB439" s="10">
        <f>REPT(" ",4)</f>
        <v/>
      </c>
      <c r="AC439" s="10">
        <f>LEFT(UPPER(H439)&amp;REPT(" ",250),250)</f>
        <v/>
      </c>
      <c r="AD439" s="10">
        <f>TEXT($G$2,"dd/mm/aaaa")</f>
        <v/>
      </c>
      <c r="AE439" s="10">
        <f>REPT(" ",10)</f>
        <v/>
      </c>
      <c r="AF439" s="10">
        <f>REPT(" ",20)</f>
        <v/>
      </c>
      <c r="AG439" s="54">
        <f>REPT(" ",18-LEN(FIXED(F439,2,TRUE)))&amp;FIXED(F439,2,TRUE)</f>
        <v/>
      </c>
      <c r="AH439" s="10">
        <f>LEN(AC439)+LEN(AG439)</f>
        <v/>
      </c>
      <c r="AI439" s="10">
        <f>LEN(L439)</f>
        <v/>
      </c>
    </row>
    <row r="440">
      <c r="I440" s="42" t="n"/>
      <c r="J440" s="12">
        <f>IF(F440&lt;&gt;0,"LANÇAR","")</f>
        <v/>
      </c>
      <c r="K440" s="20" t="n"/>
      <c r="L440" s="13">
        <f>N440&amp;O440&amp;P440&amp;Q440&amp;R440&amp;S440&amp;T440&amp;U440&amp;V440&amp;W440&amp;X440&amp;Y440&amp;Z440&amp;AA440&amp;AB440&amp;AC440&amp;AD440&amp;AE440&amp;AF440&amp;AG440</f>
        <v/>
      </c>
      <c r="M440" s="20" t="n"/>
      <c r="N440" s="10">
        <f>TEXT($B$6,"00")</f>
        <v/>
      </c>
      <c r="O440" s="10">
        <f>REPT(" ",8)</f>
        <v/>
      </c>
      <c r="P440" s="10">
        <f>RIGHT($B$4,2)</f>
        <v/>
      </c>
      <c r="Q440" s="10">
        <f>RIGHT($B$5,3)</f>
        <v/>
      </c>
      <c r="R440" s="10">
        <f>IF(A440="D",LEFT(UPPER(B440)&amp;REPT(" ",20),20),REPT(" ",20))</f>
        <v/>
      </c>
      <c r="S440" s="10">
        <f>IF(A440="D",LEFT(UPPER(C440)&amp;REPT(" ",10),10)," ")</f>
        <v/>
      </c>
      <c r="T440" s="10">
        <f>IF(A440="D",LEFT(UPPER(D440)&amp;REPT(" ",2),2)," ")</f>
        <v/>
      </c>
      <c r="U440" s="10">
        <f>IF(A440="D",LEFT(UPPER(E440)&amp;REPT(" ",15),15)," ")</f>
        <v/>
      </c>
      <c r="V440" s="10">
        <f>REPT(" ",24)</f>
        <v/>
      </c>
      <c r="W440" s="10">
        <f>IF(A440="c",LEFT(UPPER(B440)&amp;REPT(" ",20),20),REPT(" ",20))</f>
        <v/>
      </c>
      <c r="X440" s="10">
        <f>IF(A440="C",LEFT(UPPER(C440)&amp;REPT(" ",10),10)," ")</f>
        <v/>
      </c>
      <c r="Y440" s="10">
        <f>IF(A440="C",LEFT(UPPER(D440)&amp;REPT(" ",2),2)," ")</f>
        <v/>
      </c>
      <c r="Z440" s="10">
        <f>IF(A440="C",LEFT(UPPER(E440)&amp;REPT(" ",15),15)," ")</f>
        <v/>
      </c>
      <c r="AA440" s="10">
        <f>REPT(" ",8)</f>
        <v/>
      </c>
      <c r="AB440" s="10">
        <f>REPT(" ",4)</f>
        <v/>
      </c>
      <c r="AC440" s="10">
        <f>LEFT(UPPER(H440)&amp;REPT(" ",250),250)</f>
        <v/>
      </c>
      <c r="AD440" s="10">
        <f>TEXT($G$2,"dd/mm/aaaa")</f>
        <v/>
      </c>
      <c r="AE440" s="10">
        <f>REPT(" ",10)</f>
        <v/>
      </c>
      <c r="AF440" s="10">
        <f>REPT(" ",20)</f>
        <v/>
      </c>
      <c r="AG440" s="54">
        <f>REPT(" ",18-LEN(FIXED(F440,2,TRUE)))&amp;FIXED(F440,2,TRUE)</f>
        <v/>
      </c>
      <c r="AH440" s="10">
        <f>LEN(AC440)+LEN(AG440)</f>
        <v/>
      </c>
      <c r="AI440" s="10">
        <f>LEN(L440)</f>
        <v/>
      </c>
    </row>
    <row r="441">
      <c r="I441" s="42" t="n"/>
      <c r="J441" s="12">
        <f>IF(F441&lt;&gt;0,"LANÇAR","")</f>
        <v/>
      </c>
      <c r="K441" s="20" t="n"/>
      <c r="L441" s="13">
        <f>N441&amp;O441&amp;P441&amp;Q441&amp;R441&amp;S441&amp;T441&amp;U441&amp;V441&amp;W441&amp;X441&amp;Y441&amp;Z441&amp;AA441&amp;AB441&amp;AC441&amp;AD441&amp;AE441&amp;AF441&amp;AG441</f>
        <v/>
      </c>
      <c r="M441" s="20" t="n"/>
      <c r="N441" s="10">
        <f>TEXT($B$6,"00")</f>
        <v/>
      </c>
      <c r="O441" s="10">
        <f>REPT(" ",8)</f>
        <v/>
      </c>
      <c r="P441" s="10">
        <f>RIGHT($B$4,2)</f>
        <v/>
      </c>
      <c r="Q441" s="10">
        <f>RIGHT($B$5,3)</f>
        <v/>
      </c>
      <c r="R441" s="10">
        <f>IF(A441="D",LEFT(UPPER(B441)&amp;REPT(" ",20),20),REPT(" ",20))</f>
        <v/>
      </c>
      <c r="S441" s="10">
        <f>IF(A441="D",LEFT(UPPER(C441)&amp;REPT(" ",10),10)," ")</f>
        <v/>
      </c>
      <c r="T441" s="10">
        <f>IF(A441="D",LEFT(UPPER(D441)&amp;REPT(" ",2),2)," ")</f>
        <v/>
      </c>
      <c r="U441" s="10">
        <f>IF(A441="D",LEFT(UPPER(E441)&amp;REPT(" ",15),15)," ")</f>
        <v/>
      </c>
      <c r="V441" s="10">
        <f>REPT(" ",24)</f>
        <v/>
      </c>
      <c r="W441" s="10">
        <f>IF(A441="c",LEFT(UPPER(B441)&amp;REPT(" ",20),20),REPT(" ",20))</f>
        <v/>
      </c>
      <c r="X441" s="10">
        <f>IF(A441="C",LEFT(UPPER(C441)&amp;REPT(" ",10),10)," ")</f>
        <v/>
      </c>
      <c r="Y441" s="10">
        <f>IF(A441="C",LEFT(UPPER(D441)&amp;REPT(" ",2),2)," ")</f>
        <v/>
      </c>
      <c r="Z441" s="10">
        <f>IF(A441="C",LEFT(UPPER(E441)&amp;REPT(" ",15),15)," ")</f>
        <v/>
      </c>
      <c r="AA441" s="10">
        <f>REPT(" ",8)</f>
        <v/>
      </c>
      <c r="AB441" s="10">
        <f>REPT(" ",4)</f>
        <v/>
      </c>
      <c r="AC441" s="10">
        <f>LEFT(UPPER(H441)&amp;REPT(" ",250),250)</f>
        <v/>
      </c>
      <c r="AD441" s="10">
        <f>TEXT($G$2,"dd/mm/aaaa")</f>
        <v/>
      </c>
      <c r="AE441" s="10">
        <f>REPT(" ",10)</f>
        <v/>
      </c>
      <c r="AF441" s="10">
        <f>REPT(" ",20)</f>
        <v/>
      </c>
      <c r="AG441" s="54">
        <f>REPT(" ",18-LEN(FIXED(F441,2,TRUE)))&amp;FIXED(F441,2,TRUE)</f>
        <v/>
      </c>
      <c r="AH441" s="10">
        <f>LEN(AC441)+LEN(AG441)</f>
        <v/>
      </c>
      <c r="AI441" s="10">
        <f>LEN(L441)</f>
        <v/>
      </c>
    </row>
    <row r="442">
      <c r="I442" s="42" t="n"/>
      <c r="J442" s="12">
        <f>IF(F442&lt;&gt;0,"LANÇAR","")</f>
        <v/>
      </c>
      <c r="K442" s="20" t="n"/>
      <c r="L442" s="13">
        <f>N442&amp;O442&amp;P442&amp;Q442&amp;R442&amp;S442&amp;T442&amp;U442&amp;V442&amp;W442&amp;X442&amp;Y442&amp;Z442&amp;AA442&amp;AB442&amp;AC442&amp;AD442&amp;AE442&amp;AF442&amp;AG442</f>
        <v/>
      </c>
      <c r="M442" s="20" t="n"/>
      <c r="N442" s="10">
        <f>TEXT($B$6,"00")</f>
        <v/>
      </c>
      <c r="O442" s="10">
        <f>REPT(" ",8)</f>
        <v/>
      </c>
      <c r="P442" s="10">
        <f>RIGHT($B$4,2)</f>
        <v/>
      </c>
      <c r="Q442" s="10">
        <f>RIGHT($B$5,3)</f>
        <v/>
      </c>
      <c r="R442" s="10">
        <f>IF(A442="D",LEFT(UPPER(B442)&amp;REPT(" ",20),20),REPT(" ",20))</f>
        <v/>
      </c>
      <c r="S442" s="10">
        <f>IF(A442="D",LEFT(UPPER(C442)&amp;REPT(" ",10),10)," ")</f>
        <v/>
      </c>
      <c r="T442" s="10">
        <f>IF(A442="D",LEFT(UPPER(D442)&amp;REPT(" ",2),2)," ")</f>
        <v/>
      </c>
      <c r="U442" s="10">
        <f>IF(A442="D",LEFT(UPPER(E442)&amp;REPT(" ",15),15)," ")</f>
        <v/>
      </c>
      <c r="V442" s="10">
        <f>REPT(" ",24)</f>
        <v/>
      </c>
      <c r="W442" s="10">
        <f>IF(A442="c",LEFT(UPPER(B442)&amp;REPT(" ",20),20),REPT(" ",20))</f>
        <v/>
      </c>
      <c r="X442" s="10">
        <f>IF(A442="C",LEFT(UPPER(C442)&amp;REPT(" ",10),10)," ")</f>
        <v/>
      </c>
      <c r="Y442" s="10">
        <f>IF(A442="C",LEFT(UPPER(D442)&amp;REPT(" ",2),2)," ")</f>
        <v/>
      </c>
      <c r="Z442" s="10">
        <f>IF(A442="C",LEFT(UPPER(E442)&amp;REPT(" ",15),15)," ")</f>
        <v/>
      </c>
      <c r="AA442" s="10">
        <f>REPT(" ",8)</f>
        <v/>
      </c>
      <c r="AB442" s="10">
        <f>REPT(" ",4)</f>
        <v/>
      </c>
      <c r="AC442" s="10">
        <f>LEFT(UPPER(H442)&amp;REPT(" ",250),250)</f>
        <v/>
      </c>
      <c r="AD442" s="10">
        <f>TEXT($G$2,"dd/mm/aaaa")</f>
        <v/>
      </c>
      <c r="AE442" s="10">
        <f>REPT(" ",10)</f>
        <v/>
      </c>
      <c r="AF442" s="10">
        <f>REPT(" ",20)</f>
        <v/>
      </c>
      <c r="AG442" s="54">
        <f>REPT(" ",18-LEN(FIXED(F442,2,TRUE)))&amp;FIXED(F442,2,TRUE)</f>
        <v/>
      </c>
      <c r="AH442" s="10">
        <f>LEN(AC442)+LEN(AG442)</f>
        <v/>
      </c>
      <c r="AI442" s="10">
        <f>LEN(L442)</f>
        <v/>
      </c>
    </row>
    <row r="443">
      <c r="I443" s="42" t="n"/>
      <c r="J443" s="12">
        <f>IF(F443&lt;&gt;0,"LANÇAR","")</f>
        <v/>
      </c>
      <c r="K443" s="20" t="n"/>
      <c r="L443" s="13">
        <f>N443&amp;O443&amp;P443&amp;Q443&amp;R443&amp;S443&amp;T443&amp;U443&amp;V443&amp;W443&amp;X443&amp;Y443&amp;Z443&amp;AA443&amp;AB443&amp;AC443&amp;AD443&amp;AE443&amp;AF443&amp;AG443</f>
        <v/>
      </c>
      <c r="M443" s="20" t="n"/>
      <c r="N443" s="10">
        <f>TEXT($B$6,"00")</f>
        <v/>
      </c>
      <c r="O443" s="10">
        <f>REPT(" ",8)</f>
        <v/>
      </c>
      <c r="P443" s="10">
        <f>RIGHT($B$4,2)</f>
        <v/>
      </c>
      <c r="Q443" s="10">
        <f>RIGHT($B$5,3)</f>
        <v/>
      </c>
      <c r="R443" s="10">
        <f>IF(A443="D",LEFT(UPPER(B443)&amp;REPT(" ",20),20),REPT(" ",20))</f>
        <v/>
      </c>
      <c r="S443" s="10">
        <f>IF(A443="D",LEFT(UPPER(C443)&amp;REPT(" ",10),10)," ")</f>
        <v/>
      </c>
      <c r="T443" s="10">
        <f>IF(A443="D",LEFT(UPPER(D443)&amp;REPT(" ",2),2)," ")</f>
        <v/>
      </c>
      <c r="U443" s="10">
        <f>IF(A443="D",LEFT(UPPER(E443)&amp;REPT(" ",15),15)," ")</f>
        <v/>
      </c>
      <c r="V443" s="10">
        <f>REPT(" ",24)</f>
        <v/>
      </c>
      <c r="W443" s="10">
        <f>IF(A443="c",LEFT(UPPER(B443)&amp;REPT(" ",20),20),REPT(" ",20))</f>
        <v/>
      </c>
      <c r="X443" s="10">
        <f>IF(A443="C",LEFT(UPPER(C443)&amp;REPT(" ",10),10)," ")</f>
        <v/>
      </c>
      <c r="Y443" s="10">
        <f>IF(A443="C",LEFT(UPPER(D443)&amp;REPT(" ",2),2)," ")</f>
        <v/>
      </c>
      <c r="Z443" s="10">
        <f>IF(A443="C",LEFT(UPPER(E443)&amp;REPT(" ",15),15)," ")</f>
        <v/>
      </c>
      <c r="AA443" s="10">
        <f>REPT(" ",8)</f>
        <v/>
      </c>
      <c r="AB443" s="10">
        <f>REPT(" ",4)</f>
        <v/>
      </c>
      <c r="AC443" s="10">
        <f>LEFT(UPPER(H443)&amp;REPT(" ",250),250)</f>
        <v/>
      </c>
      <c r="AD443" s="10">
        <f>TEXT($G$2,"dd/mm/aaaa")</f>
        <v/>
      </c>
      <c r="AE443" s="10">
        <f>REPT(" ",10)</f>
        <v/>
      </c>
      <c r="AF443" s="10">
        <f>REPT(" ",20)</f>
        <v/>
      </c>
      <c r="AG443" s="54">
        <f>REPT(" ",18-LEN(FIXED(F443,2,TRUE)))&amp;FIXED(F443,2,TRUE)</f>
        <v/>
      </c>
      <c r="AH443" s="10">
        <f>LEN(AC443)+LEN(AG443)</f>
        <v/>
      </c>
      <c r="AI443" s="10">
        <f>LEN(L443)</f>
        <v/>
      </c>
    </row>
    <row r="444">
      <c r="I444" s="42" t="n"/>
      <c r="J444" s="12">
        <f>IF(F444&lt;&gt;0,"LANÇAR","")</f>
        <v/>
      </c>
      <c r="K444" s="20" t="n"/>
      <c r="L444" s="13">
        <f>N444&amp;O444&amp;P444&amp;Q444&amp;R444&amp;S444&amp;T444&amp;U444&amp;V444&amp;W444&amp;X444&amp;Y444&amp;Z444&amp;AA444&amp;AB444&amp;AC444&amp;AD444&amp;AE444&amp;AF444&amp;AG444</f>
        <v/>
      </c>
      <c r="M444" s="20" t="n"/>
      <c r="N444" s="10">
        <f>TEXT($B$6,"00")</f>
        <v/>
      </c>
      <c r="O444" s="10">
        <f>REPT(" ",8)</f>
        <v/>
      </c>
      <c r="P444" s="10">
        <f>RIGHT($B$4,2)</f>
        <v/>
      </c>
      <c r="Q444" s="10">
        <f>RIGHT($B$5,3)</f>
        <v/>
      </c>
      <c r="R444" s="10">
        <f>IF(A444="D",LEFT(UPPER(B444)&amp;REPT(" ",20),20),REPT(" ",20))</f>
        <v/>
      </c>
      <c r="S444" s="10">
        <f>IF(A444="D",LEFT(UPPER(C444)&amp;REPT(" ",10),10)," ")</f>
        <v/>
      </c>
      <c r="T444" s="10">
        <f>IF(A444="D",LEFT(UPPER(D444)&amp;REPT(" ",2),2)," ")</f>
        <v/>
      </c>
      <c r="U444" s="10">
        <f>IF(A444="D",LEFT(UPPER(E444)&amp;REPT(" ",15),15)," ")</f>
        <v/>
      </c>
      <c r="V444" s="10">
        <f>REPT(" ",24)</f>
        <v/>
      </c>
      <c r="W444" s="10">
        <f>IF(A444="c",LEFT(UPPER(B444)&amp;REPT(" ",20),20),REPT(" ",20))</f>
        <v/>
      </c>
      <c r="X444" s="10">
        <f>IF(A444="C",LEFT(UPPER(C444)&amp;REPT(" ",10),10)," ")</f>
        <v/>
      </c>
      <c r="Y444" s="10">
        <f>IF(A444="C",LEFT(UPPER(D444)&amp;REPT(" ",2),2)," ")</f>
        <v/>
      </c>
      <c r="Z444" s="10">
        <f>IF(A444="C",LEFT(UPPER(E444)&amp;REPT(" ",15),15)," ")</f>
        <v/>
      </c>
      <c r="AA444" s="10">
        <f>REPT(" ",8)</f>
        <v/>
      </c>
      <c r="AB444" s="10">
        <f>REPT(" ",4)</f>
        <v/>
      </c>
      <c r="AC444" s="10">
        <f>LEFT(UPPER(H444)&amp;REPT(" ",250),250)</f>
        <v/>
      </c>
      <c r="AD444" s="10">
        <f>TEXT($G$2,"dd/mm/aaaa")</f>
        <v/>
      </c>
      <c r="AE444" s="10">
        <f>REPT(" ",10)</f>
        <v/>
      </c>
      <c r="AF444" s="10">
        <f>REPT(" ",20)</f>
        <v/>
      </c>
      <c r="AG444" s="54">
        <f>REPT(" ",18-LEN(FIXED(F444,2,TRUE)))&amp;FIXED(F444,2,TRUE)</f>
        <v/>
      </c>
      <c r="AH444" s="10">
        <f>LEN(AC444)+LEN(AG444)</f>
        <v/>
      </c>
      <c r="AI444" s="10">
        <f>LEN(L444)</f>
        <v/>
      </c>
    </row>
    <row r="445">
      <c r="I445" s="42" t="n"/>
      <c r="J445" s="12">
        <f>IF(F445&lt;&gt;0,"LANÇAR","")</f>
        <v/>
      </c>
      <c r="K445" s="20" t="n"/>
      <c r="L445" s="13">
        <f>N445&amp;O445&amp;P445&amp;Q445&amp;R445&amp;S445&amp;T445&amp;U445&amp;V445&amp;W445&amp;X445&amp;Y445&amp;Z445&amp;AA445&amp;AB445&amp;AC445&amp;AD445&amp;AE445&amp;AF445&amp;AG445</f>
        <v/>
      </c>
      <c r="M445" s="20" t="n"/>
      <c r="N445" s="10">
        <f>TEXT($B$6,"00")</f>
        <v/>
      </c>
      <c r="O445" s="10">
        <f>REPT(" ",8)</f>
        <v/>
      </c>
      <c r="P445" s="10">
        <f>RIGHT($B$4,2)</f>
        <v/>
      </c>
      <c r="Q445" s="10">
        <f>RIGHT($B$5,3)</f>
        <v/>
      </c>
      <c r="R445" s="10">
        <f>IF(A445="D",LEFT(UPPER(B445)&amp;REPT(" ",20),20),REPT(" ",20))</f>
        <v/>
      </c>
      <c r="S445" s="10">
        <f>IF(A445="D",LEFT(UPPER(C445)&amp;REPT(" ",10),10)," ")</f>
        <v/>
      </c>
      <c r="T445" s="10">
        <f>IF(A445="D",LEFT(UPPER(D445)&amp;REPT(" ",2),2)," ")</f>
        <v/>
      </c>
      <c r="U445" s="10">
        <f>IF(A445="D",LEFT(UPPER(E445)&amp;REPT(" ",15),15)," ")</f>
        <v/>
      </c>
      <c r="V445" s="10">
        <f>REPT(" ",24)</f>
        <v/>
      </c>
      <c r="W445" s="10">
        <f>IF(A445="c",LEFT(UPPER(B445)&amp;REPT(" ",20),20),REPT(" ",20))</f>
        <v/>
      </c>
      <c r="X445" s="10">
        <f>IF(A445="C",LEFT(UPPER(C445)&amp;REPT(" ",10),10)," ")</f>
        <v/>
      </c>
      <c r="Y445" s="10">
        <f>IF(A445="C",LEFT(UPPER(D445)&amp;REPT(" ",2),2)," ")</f>
        <v/>
      </c>
      <c r="Z445" s="10">
        <f>IF(A445="C",LEFT(UPPER(E445)&amp;REPT(" ",15),15)," ")</f>
        <v/>
      </c>
      <c r="AA445" s="10">
        <f>REPT(" ",8)</f>
        <v/>
      </c>
      <c r="AB445" s="10">
        <f>REPT(" ",4)</f>
        <v/>
      </c>
      <c r="AC445" s="10">
        <f>LEFT(UPPER(H445)&amp;REPT(" ",250),250)</f>
        <v/>
      </c>
      <c r="AD445" s="10">
        <f>TEXT($G$2,"dd/mm/aaaa")</f>
        <v/>
      </c>
      <c r="AE445" s="10">
        <f>REPT(" ",10)</f>
        <v/>
      </c>
      <c r="AF445" s="10">
        <f>REPT(" ",20)</f>
        <v/>
      </c>
      <c r="AG445" s="54">
        <f>REPT(" ",18-LEN(FIXED(F445,2,TRUE)))&amp;FIXED(F445,2,TRUE)</f>
        <v/>
      </c>
      <c r="AH445" s="10">
        <f>LEN(AC445)+LEN(AG445)</f>
        <v/>
      </c>
      <c r="AI445" s="10">
        <f>LEN(L445)</f>
        <v/>
      </c>
    </row>
    <row r="446">
      <c r="I446" s="42" t="n"/>
      <c r="J446" s="12">
        <f>IF(F446&lt;&gt;0,"LANÇAR","")</f>
        <v/>
      </c>
      <c r="K446" s="20" t="n"/>
      <c r="L446" s="13">
        <f>N446&amp;O446&amp;P446&amp;Q446&amp;R446&amp;S446&amp;T446&amp;U446&amp;V446&amp;W446&amp;X446&amp;Y446&amp;Z446&amp;AA446&amp;AB446&amp;AC446&amp;AD446&amp;AE446&amp;AF446&amp;AG446</f>
        <v/>
      </c>
      <c r="M446" s="20" t="n"/>
      <c r="N446" s="10">
        <f>TEXT($B$6,"00")</f>
        <v/>
      </c>
      <c r="O446" s="10">
        <f>REPT(" ",8)</f>
        <v/>
      </c>
      <c r="P446" s="10">
        <f>RIGHT($B$4,2)</f>
        <v/>
      </c>
      <c r="Q446" s="10">
        <f>RIGHT($B$5,3)</f>
        <v/>
      </c>
      <c r="R446" s="10">
        <f>IF(A446="D",LEFT(UPPER(B446)&amp;REPT(" ",20),20),REPT(" ",20))</f>
        <v/>
      </c>
      <c r="S446" s="10">
        <f>IF(A446="D",LEFT(UPPER(C446)&amp;REPT(" ",10),10)," ")</f>
        <v/>
      </c>
      <c r="T446" s="10">
        <f>IF(A446="D",LEFT(UPPER(D446)&amp;REPT(" ",2),2)," ")</f>
        <v/>
      </c>
      <c r="U446" s="10">
        <f>IF(A446="D",LEFT(UPPER(E446)&amp;REPT(" ",15),15)," ")</f>
        <v/>
      </c>
      <c r="V446" s="10">
        <f>REPT(" ",24)</f>
        <v/>
      </c>
      <c r="W446" s="10">
        <f>IF(A446="c",LEFT(UPPER(B446)&amp;REPT(" ",20),20),REPT(" ",20))</f>
        <v/>
      </c>
      <c r="X446" s="10">
        <f>IF(A446="C",LEFT(UPPER(C446)&amp;REPT(" ",10),10)," ")</f>
        <v/>
      </c>
      <c r="Y446" s="10">
        <f>IF(A446="C",LEFT(UPPER(D446)&amp;REPT(" ",2),2)," ")</f>
        <v/>
      </c>
      <c r="Z446" s="10">
        <f>IF(A446="C",LEFT(UPPER(E446)&amp;REPT(" ",15),15)," ")</f>
        <v/>
      </c>
      <c r="AA446" s="10">
        <f>REPT(" ",8)</f>
        <v/>
      </c>
      <c r="AB446" s="10">
        <f>REPT(" ",4)</f>
        <v/>
      </c>
      <c r="AC446" s="10">
        <f>LEFT(UPPER(H446)&amp;REPT(" ",250),250)</f>
        <v/>
      </c>
      <c r="AD446" s="10">
        <f>TEXT($G$2,"dd/mm/aaaa")</f>
        <v/>
      </c>
      <c r="AE446" s="10">
        <f>REPT(" ",10)</f>
        <v/>
      </c>
      <c r="AF446" s="10">
        <f>REPT(" ",20)</f>
        <v/>
      </c>
      <c r="AG446" s="54">
        <f>REPT(" ",18-LEN(FIXED(F446,2,TRUE)))&amp;FIXED(F446,2,TRUE)</f>
        <v/>
      </c>
      <c r="AH446" s="10">
        <f>LEN(AC446)+LEN(AG446)</f>
        <v/>
      </c>
      <c r="AI446" s="10">
        <f>LEN(L446)</f>
        <v/>
      </c>
    </row>
    <row r="447">
      <c r="I447" s="42" t="n"/>
      <c r="J447" s="12">
        <f>IF(F447&lt;&gt;0,"LANÇAR","")</f>
        <v/>
      </c>
      <c r="K447" s="20" t="n"/>
      <c r="L447" s="13">
        <f>N447&amp;O447&amp;P447&amp;Q447&amp;R447&amp;S447&amp;T447&amp;U447&amp;V447&amp;W447&amp;X447&amp;Y447&amp;Z447&amp;AA447&amp;AB447&amp;AC447&amp;AD447&amp;AE447&amp;AF447&amp;AG447</f>
        <v/>
      </c>
      <c r="M447" s="20" t="n"/>
      <c r="N447" s="10">
        <f>TEXT($B$6,"00")</f>
        <v/>
      </c>
      <c r="O447" s="10">
        <f>REPT(" ",8)</f>
        <v/>
      </c>
      <c r="P447" s="10">
        <f>RIGHT($B$4,2)</f>
        <v/>
      </c>
      <c r="Q447" s="10">
        <f>RIGHT($B$5,3)</f>
        <v/>
      </c>
      <c r="R447" s="10">
        <f>IF(A447="D",LEFT(UPPER(B447)&amp;REPT(" ",20),20),REPT(" ",20))</f>
        <v/>
      </c>
      <c r="S447" s="10">
        <f>IF(A447="D",LEFT(UPPER(C447)&amp;REPT(" ",10),10)," ")</f>
        <v/>
      </c>
      <c r="T447" s="10">
        <f>IF(A447="D",LEFT(UPPER(D447)&amp;REPT(" ",2),2)," ")</f>
        <v/>
      </c>
      <c r="U447" s="10">
        <f>IF(A447="D",LEFT(UPPER(E447)&amp;REPT(" ",15),15)," ")</f>
        <v/>
      </c>
      <c r="V447" s="10">
        <f>REPT(" ",24)</f>
        <v/>
      </c>
      <c r="W447" s="10">
        <f>IF(A447="c",LEFT(UPPER(B447)&amp;REPT(" ",20),20),REPT(" ",20))</f>
        <v/>
      </c>
      <c r="X447" s="10">
        <f>IF(A447="C",LEFT(UPPER(C447)&amp;REPT(" ",10),10)," ")</f>
        <v/>
      </c>
      <c r="Y447" s="10">
        <f>IF(A447="C",LEFT(UPPER(D447)&amp;REPT(" ",2),2)," ")</f>
        <v/>
      </c>
      <c r="Z447" s="10">
        <f>IF(A447="C",LEFT(UPPER(E447)&amp;REPT(" ",15),15)," ")</f>
        <v/>
      </c>
      <c r="AA447" s="10">
        <f>REPT(" ",8)</f>
        <v/>
      </c>
      <c r="AB447" s="10">
        <f>REPT(" ",4)</f>
        <v/>
      </c>
      <c r="AC447" s="10">
        <f>LEFT(UPPER(H447)&amp;REPT(" ",250),250)</f>
        <v/>
      </c>
      <c r="AD447" s="10">
        <f>TEXT($G$2,"dd/mm/aaaa")</f>
        <v/>
      </c>
      <c r="AE447" s="10">
        <f>REPT(" ",10)</f>
        <v/>
      </c>
      <c r="AF447" s="10">
        <f>REPT(" ",20)</f>
        <v/>
      </c>
      <c r="AG447" s="54">
        <f>REPT(" ",18-LEN(FIXED(F447,2,TRUE)))&amp;FIXED(F447,2,TRUE)</f>
        <v/>
      </c>
      <c r="AH447" s="10">
        <f>LEN(AC447)+LEN(AG447)</f>
        <v/>
      </c>
      <c r="AI447" s="10">
        <f>LEN(L447)</f>
        <v/>
      </c>
    </row>
    <row r="448">
      <c r="I448" s="42" t="n"/>
      <c r="J448" s="12">
        <f>IF(F448&lt;&gt;0,"LANÇAR","")</f>
        <v/>
      </c>
      <c r="K448" s="20" t="n"/>
      <c r="L448" s="13">
        <f>N448&amp;O448&amp;P448&amp;Q448&amp;R448&amp;S448&amp;T448&amp;U448&amp;V448&amp;W448&amp;X448&amp;Y448&amp;Z448&amp;AA448&amp;AB448&amp;AC448&amp;AD448&amp;AE448&amp;AF448&amp;AG448</f>
        <v/>
      </c>
      <c r="M448" s="20" t="n"/>
      <c r="N448" s="10">
        <f>TEXT($B$6,"00")</f>
        <v/>
      </c>
      <c r="O448" s="10">
        <f>REPT(" ",8)</f>
        <v/>
      </c>
      <c r="P448" s="10">
        <f>RIGHT($B$4,2)</f>
        <v/>
      </c>
      <c r="Q448" s="10">
        <f>RIGHT($B$5,3)</f>
        <v/>
      </c>
      <c r="R448" s="10">
        <f>IF(A448="D",LEFT(UPPER(B448)&amp;REPT(" ",20),20),REPT(" ",20))</f>
        <v/>
      </c>
      <c r="S448" s="10">
        <f>IF(A448="D",LEFT(UPPER(C448)&amp;REPT(" ",10),10)," ")</f>
        <v/>
      </c>
      <c r="T448" s="10">
        <f>IF(A448="D",LEFT(UPPER(D448)&amp;REPT(" ",2),2)," ")</f>
        <v/>
      </c>
      <c r="U448" s="10">
        <f>IF(A448="D",LEFT(UPPER(E448)&amp;REPT(" ",15),15)," ")</f>
        <v/>
      </c>
      <c r="V448" s="10">
        <f>REPT(" ",24)</f>
        <v/>
      </c>
      <c r="W448" s="10">
        <f>IF(A448="c",LEFT(UPPER(B448)&amp;REPT(" ",20),20),REPT(" ",20))</f>
        <v/>
      </c>
      <c r="X448" s="10">
        <f>IF(A448="C",LEFT(UPPER(C448)&amp;REPT(" ",10),10)," ")</f>
        <v/>
      </c>
      <c r="Y448" s="10">
        <f>IF(A448="C",LEFT(UPPER(D448)&amp;REPT(" ",2),2)," ")</f>
        <v/>
      </c>
      <c r="Z448" s="10">
        <f>IF(A448="C",LEFT(UPPER(E448)&amp;REPT(" ",15),15)," ")</f>
        <v/>
      </c>
      <c r="AA448" s="10">
        <f>REPT(" ",8)</f>
        <v/>
      </c>
      <c r="AB448" s="10">
        <f>REPT(" ",4)</f>
        <v/>
      </c>
      <c r="AC448" s="10">
        <f>LEFT(UPPER(H448)&amp;REPT(" ",250),250)</f>
        <v/>
      </c>
      <c r="AD448" s="10">
        <f>TEXT($G$2,"dd/mm/aaaa")</f>
        <v/>
      </c>
      <c r="AE448" s="10">
        <f>REPT(" ",10)</f>
        <v/>
      </c>
      <c r="AF448" s="10">
        <f>REPT(" ",20)</f>
        <v/>
      </c>
      <c r="AG448" s="54">
        <f>REPT(" ",18-LEN(FIXED(F448,2,TRUE)))&amp;FIXED(F448,2,TRUE)</f>
        <v/>
      </c>
      <c r="AH448" s="10">
        <f>LEN(AC448)+LEN(AG448)</f>
        <v/>
      </c>
      <c r="AI448" s="10">
        <f>LEN(L448)</f>
        <v/>
      </c>
    </row>
    <row r="449">
      <c r="I449" s="42" t="n"/>
      <c r="J449" s="12">
        <f>IF(F449&lt;&gt;0,"LANÇAR","")</f>
        <v/>
      </c>
      <c r="K449" s="20" t="n"/>
      <c r="L449" s="13">
        <f>N449&amp;O449&amp;P449&amp;Q449&amp;R449&amp;S449&amp;T449&amp;U449&amp;V449&amp;W449&amp;X449&amp;Y449&amp;Z449&amp;AA449&amp;AB449&amp;AC449&amp;AD449&amp;AE449&amp;AF449&amp;AG449</f>
        <v/>
      </c>
      <c r="M449" s="20" t="n"/>
      <c r="N449" s="10">
        <f>TEXT($B$6,"00")</f>
        <v/>
      </c>
      <c r="O449" s="10">
        <f>REPT(" ",8)</f>
        <v/>
      </c>
      <c r="P449" s="10">
        <f>RIGHT($B$4,2)</f>
        <v/>
      </c>
      <c r="Q449" s="10">
        <f>RIGHT($B$5,3)</f>
        <v/>
      </c>
      <c r="R449" s="10">
        <f>IF(A449="D",LEFT(UPPER(B449)&amp;REPT(" ",20),20),REPT(" ",20))</f>
        <v/>
      </c>
      <c r="S449" s="10">
        <f>IF(A449="D",LEFT(UPPER(C449)&amp;REPT(" ",10),10)," ")</f>
        <v/>
      </c>
      <c r="T449" s="10">
        <f>IF(A449="D",LEFT(UPPER(D449)&amp;REPT(" ",2),2)," ")</f>
        <v/>
      </c>
      <c r="U449" s="10">
        <f>IF(A449="D",LEFT(UPPER(E449)&amp;REPT(" ",15),15)," ")</f>
        <v/>
      </c>
      <c r="V449" s="10">
        <f>REPT(" ",24)</f>
        <v/>
      </c>
      <c r="W449" s="10">
        <f>IF(A449="c",LEFT(UPPER(B449)&amp;REPT(" ",20),20),REPT(" ",20))</f>
        <v/>
      </c>
      <c r="X449" s="10">
        <f>IF(A449="C",LEFT(UPPER(C449)&amp;REPT(" ",10),10)," ")</f>
        <v/>
      </c>
      <c r="Y449" s="10">
        <f>IF(A449="C",LEFT(UPPER(D449)&amp;REPT(" ",2),2)," ")</f>
        <v/>
      </c>
      <c r="Z449" s="10">
        <f>IF(A449="C",LEFT(UPPER(E449)&amp;REPT(" ",15),15)," ")</f>
        <v/>
      </c>
      <c r="AA449" s="10">
        <f>REPT(" ",8)</f>
        <v/>
      </c>
      <c r="AB449" s="10">
        <f>REPT(" ",4)</f>
        <v/>
      </c>
      <c r="AC449" s="10">
        <f>LEFT(UPPER(H449)&amp;REPT(" ",250),250)</f>
        <v/>
      </c>
      <c r="AD449" s="10">
        <f>TEXT($G$2,"dd/mm/aaaa")</f>
        <v/>
      </c>
      <c r="AE449" s="10">
        <f>REPT(" ",10)</f>
        <v/>
      </c>
      <c r="AF449" s="10">
        <f>REPT(" ",20)</f>
        <v/>
      </c>
      <c r="AG449" s="54">
        <f>REPT(" ",18-LEN(FIXED(F449,2,TRUE)))&amp;FIXED(F449,2,TRUE)</f>
        <v/>
      </c>
      <c r="AH449" s="10">
        <f>LEN(AC449)+LEN(AG449)</f>
        <v/>
      </c>
      <c r="AI449" s="10">
        <f>LEN(L449)</f>
        <v/>
      </c>
    </row>
    <row r="450">
      <c r="I450" s="42" t="n"/>
      <c r="J450" s="12">
        <f>IF(F450&lt;&gt;0,"LANÇAR","")</f>
        <v/>
      </c>
      <c r="K450" s="20" t="n"/>
      <c r="L450" s="13">
        <f>N450&amp;O450&amp;P450&amp;Q450&amp;R450&amp;S450&amp;T450&amp;U450&amp;V450&amp;W450&amp;X450&amp;Y450&amp;Z450&amp;AA450&amp;AB450&amp;AC450&amp;AD450&amp;AE450&amp;AF450&amp;AG450</f>
        <v/>
      </c>
      <c r="M450" s="20" t="n"/>
      <c r="N450" s="10">
        <f>TEXT($B$6,"00")</f>
        <v/>
      </c>
      <c r="O450" s="10">
        <f>REPT(" ",8)</f>
        <v/>
      </c>
      <c r="P450" s="10">
        <f>RIGHT($B$4,2)</f>
        <v/>
      </c>
      <c r="Q450" s="10">
        <f>RIGHT($B$5,3)</f>
        <v/>
      </c>
      <c r="R450" s="10">
        <f>IF(A450="D",LEFT(UPPER(B450)&amp;REPT(" ",20),20),REPT(" ",20))</f>
        <v/>
      </c>
      <c r="S450" s="10">
        <f>IF(A450="D",LEFT(UPPER(C450)&amp;REPT(" ",10),10)," ")</f>
        <v/>
      </c>
      <c r="T450" s="10">
        <f>IF(A450="D",LEFT(UPPER(D450)&amp;REPT(" ",2),2)," ")</f>
        <v/>
      </c>
      <c r="U450" s="10">
        <f>IF(A450="D",LEFT(UPPER(E450)&amp;REPT(" ",15),15)," ")</f>
        <v/>
      </c>
      <c r="V450" s="10">
        <f>REPT(" ",24)</f>
        <v/>
      </c>
      <c r="W450" s="10">
        <f>IF(A450="c",LEFT(UPPER(B450)&amp;REPT(" ",20),20),REPT(" ",20))</f>
        <v/>
      </c>
      <c r="X450" s="10">
        <f>IF(A450="C",LEFT(UPPER(C450)&amp;REPT(" ",10),10)," ")</f>
        <v/>
      </c>
      <c r="Y450" s="10">
        <f>IF(A450="C",LEFT(UPPER(D450)&amp;REPT(" ",2),2)," ")</f>
        <v/>
      </c>
      <c r="Z450" s="10">
        <f>IF(A450="C",LEFT(UPPER(E450)&amp;REPT(" ",15),15)," ")</f>
        <v/>
      </c>
      <c r="AA450" s="10">
        <f>REPT(" ",8)</f>
        <v/>
      </c>
      <c r="AB450" s="10">
        <f>REPT(" ",4)</f>
        <v/>
      </c>
      <c r="AC450" s="10">
        <f>LEFT(UPPER(H450)&amp;REPT(" ",250),250)</f>
        <v/>
      </c>
      <c r="AD450" s="10">
        <f>TEXT($G$2,"dd/mm/aaaa")</f>
        <v/>
      </c>
      <c r="AE450" s="10">
        <f>REPT(" ",10)</f>
        <v/>
      </c>
      <c r="AF450" s="10">
        <f>REPT(" ",20)</f>
        <v/>
      </c>
      <c r="AG450" s="54">
        <f>REPT(" ",18-LEN(FIXED(F450,2,TRUE)))&amp;FIXED(F450,2,TRUE)</f>
        <v/>
      </c>
      <c r="AH450" s="10">
        <f>LEN(AC450)+LEN(AG450)</f>
        <v/>
      </c>
      <c r="AI450" s="10">
        <f>LEN(L450)</f>
        <v/>
      </c>
    </row>
    <row r="451">
      <c r="I451" s="42" t="n"/>
      <c r="J451" s="12">
        <f>IF(F451&lt;&gt;0,"LANÇAR","")</f>
        <v/>
      </c>
      <c r="K451" s="20" t="n"/>
      <c r="L451" s="13">
        <f>N451&amp;O451&amp;P451&amp;Q451&amp;R451&amp;S451&amp;T451&amp;U451&amp;V451&amp;W451&amp;X451&amp;Y451&amp;Z451&amp;AA451&amp;AB451&amp;AC451&amp;AD451&amp;AE451&amp;AF451&amp;AG451</f>
        <v/>
      </c>
      <c r="M451" s="20" t="n"/>
      <c r="N451" s="10">
        <f>TEXT($B$6,"00")</f>
        <v/>
      </c>
      <c r="O451" s="10">
        <f>REPT(" ",8)</f>
        <v/>
      </c>
      <c r="P451" s="10">
        <f>RIGHT($B$4,2)</f>
        <v/>
      </c>
      <c r="Q451" s="10">
        <f>RIGHT($B$5,3)</f>
        <v/>
      </c>
      <c r="R451" s="10">
        <f>IF(A451="D",LEFT(UPPER(B451)&amp;REPT(" ",20),20),REPT(" ",20))</f>
        <v/>
      </c>
      <c r="S451" s="10">
        <f>IF(A451="D",LEFT(UPPER(C451)&amp;REPT(" ",10),10)," ")</f>
        <v/>
      </c>
      <c r="T451" s="10">
        <f>IF(A451="D",LEFT(UPPER(D451)&amp;REPT(" ",2),2)," ")</f>
        <v/>
      </c>
      <c r="U451" s="10">
        <f>IF(A451="D",LEFT(UPPER(E451)&amp;REPT(" ",15),15)," ")</f>
        <v/>
      </c>
      <c r="V451" s="10">
        <f>REPT(" ",24)</f>
        <v/>
      </c>
      <c r="W451" s="10">
        <f>IF(A451="c",LEFT(UPPER(B451)&amp;REPT(" ",20),20),REPT(" ",20))</f>
        <v/>
      </c>
      <c r="X451" s="10">
        <f>IF(A451="C",LEFT(UPPER(C451)&amp;REPT(" ",10),10)," ")</f>
        <v/>
      </c>
      <c r="Y451" s="10">
        <f>IF(A451="C",LEFT(UPPER(D451)&amp;REPT(" ",2),2)," ")</f>
        <v/>
      </c>
      <c r="Z451" s="10">
        <f>IF(A451="C",LEFT(UPPER(E451)&amp;REPT(" ",15),15)," ")</f>
        <v/>
      </c>
      <c r="AA451" s="10">
        <f>REPT(" ",8)</f>
        <v/>
      </c>
      <c r="AB451" s="10">
        <f>REPT(" ",4)</f>
        <v/>
      </c>
      <c r="AC451" s="10">
        <f>LEFT(UPPER(H451)&amp;REPT(" ",250),250)</f>
        <v/>
      </c>
      <c r="AD451" s="10">
        <f>TEXT($G$2,"dd/mm/aaaa")</f>
        <v/>
      </c>
      <c r="AE451" s="10">
        <f>REPT(" ",10)</f>
        <v/>
      </c>
      <c r="AF451" s="10">
        <f>REPT(" ",20)</f>
        <v/>
      </c>
      <c r="AG451" s="54">
        <f>REPT(" ",18-LEN(FIXED(F451,2,TRUE)))&amp;FIXED(F451,2,TRUE)</f>
        <v/>
      </c>
      <c r="AH451" s="10">
        <f>LEN(AC451)+LEN(AG451)</f>
        <v/>
      </c>
      <c r="AI451" s="10">
        <f>LEN(L451)</f>
        <v/>
      </c>
    </row>
    <row r="452">
      <c r="I452" s="42" t="n"/>
      <c r="J452" s="12">
        <f>IF(F452&lt;&gt;0,"LANÇAR","")</f>
        <v/>
      </c>
      <c r="K452" s="20" t="n"/>
      <c r="L452" s="13">
        <f>N452&amp;O452&amp;P452&amp;Q452&amp;R452&amp;S452&amp;T452&amp;U452&amp;V452&amp;W452&amp;X452&amp;Y452&amp;Z452&amp;AA452&amp;AB452&amp;AC452&amp;AD452&amp;AE452&amp;AF452&amp;AG452</f>
        <v/>
      </c>
      <c r="M452" s="20" t="n"/>
      <c r="N452" s="10">
        <f>TEXT($B$6,"00")</f>
        <v/>
      </c>
      <c r="O452" s="10">
        <f>REPT(" ",8)</f>
        <v/>
      </c>
      <c r="P452" s="10">
        <f>RIGHT($B$4,2)</f>
        <v/>
      </c>
      <c r="Q452" s="10">
        <f>RIGHT($B$5,3)</f>
        <v/>
      </c>
      <c r="R452" s="10">
        <f>IF(A452="D",LEFT(UPPER(B452)&amp;REPT(" ",20),20),REPT(" ",20))</f>
        <v/>
      </c>
      <c r="S452" s="10">
        <f>IF(A452="D",LEFT(UPPER(C452)&amp;REPT(" ",10),10)," ")</f>
        <v/>
      </c>
      <c r="T452" s="10">
        <f>IF(A452="D",LEFT(UPPER(D452)&amp;REPT(" ",2),2)," ")</f>
        <v/>
      </c>
      <c r="U452" s="10">
        <f>IF(A452="D",LEFT(UPPER(E452)&amp;REPT(" ",15),15)," ")</f>
        <v/>
      </c>
      <c r="V452" s="10">
        <f>REPT(" ",24)</f>
        <v/>
      </c>
      <c r="W452" s="10">
        <f>IF(A452="c",LEFT(UPPER(B452)&amp;REPT(" ",20),20),REPT(" ",20))</f>
        <v/>
      </c>
      <c r="X452" s="10">
        <f>IF(A452="C",LEFT(UPPER(C452)&amp;REPT(" ",10),10)," ")</f>
        <v/>
      </c>
      <c r="Y452" s="10">
        <f>IF(A452="C",LEFT(UPPER(D452)&amp;REPT(" ",2),2)," ")</f>
        <v/>
      </c>
      <c r="Z452" s="10">
        <f>IF(A452="C",LEFT(UPPER(E452)&amp;REPT(" ",15),15)," ")</f>
        <v/>
      </c>
      <c r="AA452" s="10">
        <f>REPT(" ",8)</f>
        <v/>
      </c>
      <c r="AB452" s="10">
        <f>REPT(" ",4)</f>
        <v/>
      </c>
      <c r="AC452" s="10">
        <f>LEFT(UPPER(H452)&amp;REPT(" ",250),250)</f>
        <v/>
      </c>
      <c r="AD452" s="10">
        <f>TEXT($G$2,"dd/mm/aaaa")</f>
        <v/>
      </c>
      <c r="AE452" s="10">
        <f>REPT(" ",10)</f>
        <v/>
      </c>
      <c r="AF452" s="10">
        <f>REPT(" ",20)</f>
        <v/>
      </c>
      <c r="AG452" s="54">
        <f>REPT(" ",18-LEN(FIXED(F452,2,TRUE)))&amp;FIXED(F452,2,TRUE)</f>
        <v/>
      </c>
      <c r="AH452" s="10">
        <f>LEN(AC452)+LEN(AG452)</f>
        <v/>
      </c>
      <c r="AI452" s="10">
        <f>LEN(L452)</f>
        <v/>
      </c>
    </row>
    <row r="453">
      <c r="I453" s="42" t="n"/>
      <c r="J453" s="12">
        <f>IF(F453&lt;&gt;0,"LANÇAR","")</f>
        <v/>
      </c>
      <c r="K453" s="20" t="n"/>
      <c r="L453" s="13">
        <f>N453&amp;O453&amp;P453&amp;Q453&amp;R453&amp;S453&amp;T453&amp;U453&amp;V453&amp;W453&amp;X453&amp;Y453&amp;Z453&amp;AA453&amp;AB453&amp;AC453&amp;AD453&amp;AE453&amp;AF453&amp;AG453</f>
        <v/>
      </c>
      <c r="M453" s="20" t="n"/>
      <c r="N453" s="10">
        <f>TEXT($B$6,"00")</f>
        <v/>
      </c>
      <c r="O453" s="10">
        <f>REPT(" ",8)</f>
        <v/>
      </c>
      <c r="P453" s="10">
        <f>RIGHT($B$4,2)</f>
        <v/>
      </c>
      <c r="Q453" s="10">
        <f>RIGHT($B$5,3)</f>
        <v/>
      </c>
      <c r="R453" s="10">
        <f>IF(A453="D",LEFT(UPPER(B453)&amp;REPT(" ",20),20),REPT(" ",20))</f>
        <v/>
      </c>
      <c r="S453" s="10">
        <f>IF(A453="D",LEFT(UPPER(C453)&amp;REPT(" ",10),10)," ")</f>
        <v/>
      </c>
      <c r="T453" s="10">
        <f>IF(A453="D",LEFT(UPPER(D453)&amp;REPT(" ",2),2)," ")</f>
        <v/>
      </c>
      <c r="U453" s="10">
        <f>IF(A453="D",LEFT(UPPER(E453)&amp;REPT(" ",15),15)," ")</f>
        <v/>
      </c>
      <c r="V453" s="10">
        <f>REPT(" ",24)</f>
        <v/>
      </c>
      <c r="W453" s="10">
        <f>IF(A453="c",LEFT(UPPER(B453)&amp;REPT(" ",20),20),REPT(" ",20))</f>
        <v/>
      </c>
      <c r="X453" s="10">
        <f>IF(A453="C",LEFT(UPPER(C453)&amp;REPT(" ",10),10)," ")</f>
        <v/>
      </c>
      <c r="Y453" s="10">
        <f>IF(A453="C",LEFT(UPPER(D453)&amp;REPT(" ",2),2)," ")</f>
        <v/>
      </c>
      <c r="Z453" s="10">
        <f>IF(A453="C",LEFT(UPPER(E453)&amp;REPT(" ",15),15)," ")</f>
        <v/>
      </c>
      <c r="AA453" s="10">
        <f>REPT(" ",8)</f>
        <v/>
      </c>
      <c r="AB453" s="10">
        <f>REPT(" ",4)</f>
        <v/>
      </c>
      <c r="AC453" s="10">
        <f>LEFT(UPPER(H453)&amp;REPT(" ",250),250)</f>
        <v/>
      </c>
      <c r="AD453" s="10">
        <f>TEXT($G$2,"dd/mm/aaaa")</f>
        <v/>
      </c>
      <c r="AE453" s="10">
        <f>REPT(" ",10)</f>
        <v/>
      </c>
      <c r="AF453" s="10">
        <f>REPT(" ",20)</f>
        <v/>
      </c>
      <c r="AG453" s="54">
        <f>REPT(" ",18-LEN(FIXED(F453,2,TRUE)))&amp;FIXED(F453,2,TRUE)</f>
        <v/>
      </c>
      <c r="AH453" s="10">
        <f>LEN(AC453)+LEN(AG453)</f>
        <v/>
      </c>
      <c r="AI453" s="10">
        <f>LEN(L453)</f>
        <v/>
      </c>
    </row>
    <row r="454">
      <c r="I454" s="42" t="n"/>
      <c r="J454" s="12">
        <f>IF(F454&lt;&gt;0,"LANÇAR","")</f>
        <v/>
      </c>
      <c r="K454" s="20" t="n"/>
      <c r="L454" s="13">
        <f>N454&amp;O454&amp;P454&amp;Q454&amp;R454&amp;S454&amp;T454&amp;U454&amp;V454&amp;W454&amp;X454&amp;Y454&amp;Z454&amp;AA454&amp;AB454&amp;AC454&amp;AD454&amp;AE454&amp;AF454&amp;AG454</f>
        <v/>
      </c>
      <c r="M454" s="20" t="n"/>
      <c r="N454" s="10">
        <f>TEXT($B$6,"00")</f>
        <v/>
      </c>
      <c r="O454" s="10">
        <f>REPT(" ",8)</f>
        <v/>
      </c>
      <c r="P454" s="10">
        <f>RIGHT($B$4,2)</f>
        <v/>
      </c>
      <c r="Q454" s="10">
        <f>RIGHT($B$5,3)</f>
        <v/>
      </c>
      <c r="R454" s="10">
        <f>IF(A454="D",LEFT(UPPER(B454)&amp;REPT(" ",20),20),REPT(" ",20))</f>
        <v/>
      </c>
      <c r="S454" s="10">
        <f>IF(A454="D",LEFT(UPPER(C454)&amp;REPT(" ",10),10)," ")</f>
        <v/>
      </c>
      <c r="T454" s="10">
        <f>IF(A454="D",LEFT(UPPER(D454)&amp;REPT(" ",2),2)," ")</f>
        <v/>
      </c>
      <c r="U454" s="10">
        <f>IF(A454="D",LEFT(UPPER(E454)&amp;REPT(" ",15),15)," ")</f>
        <v/>
      </c>
      <c r="V454" s="10">
        <f>REPT(" ",24)</f>
        <v/>
      </c>
      <c r="W454" s="10">
        <f>IF(A454="c",LEFT(UPPER(B454)&amp;REPT(" ",20),20),REPT(" ",20))</f>
        <v/>
      </c>
      <c r="X454" s="10">
        <f>IF(A454="C",LEFT(UPPER(C454)&amp;REPT(" ",10),10)," ")</f>
        <v/>
      </c>
      <c r="Y454" s="10">
        <f>IF(A454="C",LEFT(UPPER(D454)&amp;REPT(" ",2),2)," ")</f>
        <v/>
      </c>
      <c r="Z454" s="10">
        <f>IF(A454="C",LEFT(UPPER(E454)&amp;REPT(" ",15),15)," ")</f>
        <v/>
      </c>
      <c r="AA454" s="10">
        <f>REPT(" ",8)</f>
        <v/>
      </c>
      <c r="AB454" s="10">
        <f>REPT(" ",4)</f>
        <v/>
      </c>
      <c r="AC454" s="10">
        <f>LEFT(UPPER(H454)&amp;REPT(" ",250),250)</f>
        <v/>
      </c>
      <c r="AD454" s="10">
        <f>TEXT($G$2,"dd/mm/aaaa")</f>
        <v/>
      </c>
      <c r="AE454" s="10">
        <f>REPT(" ",10)</f>
        <v/>
      </c>
      <c r="AF454" s="10">
        <f>REPT(" ",20)</f>
        <v/>
      </c>
      <c r="AG454" s="54">
        <f>REPT(" ",18-LEN(FIXED(F454,2,TRUE)))&amp;FIXED(F454,2,TRUE)</f>
        <v/>
      </c>
      <c r="AH454" s="10">
        <f>LEN(AC454)+LEN(AG454)</f>
        <v/>
      </c>
      <c r="AI454" s="10">
        <f>LEN(L454)</f>
        <v/>
      </c>
    </row>
    <row r="455">
      <c r="I455" s="42" t="n"/>
      <c r="J455" s="12">
        <f>IF(F455&lt;&gt;0,"LANÇAR","")</f>
        <v/>
      </c>
      <c r="K455" s="20" t="n"/>
      <c r="L455" s="13">
        <f>N455&amp;O455&amp;P455&amp;Q455&amp;R455&amp;S455&amp;T455&amp;U455&amp;V455&amp;W455&amp;X455&amp;Y455&amp;Z455&amp;AA455&amp;AB455&amp;AC455&amp;AD455&amp;AE455&amp;AF455&amp;AG455</f>
        <v/>
      </c>
      <c r="M455" s="20" t="n"/>
      <c r="N455" s="10">
        <f>TEXT($B$6,"00")</f>
        <v/>
      </c>
      <c r="O455" s="10">
        <f>REPT(" ",8)</f>
        <v/>
      </c>
      <c r="P455" s="10">
        <f>RIGHT($B$4,2)</f>
        <v/>
      </c>
      <c r="Q455" s="10">
        <f>RIGHT($B$5,3)</f>
        <v/>
      </c>
      <c r="R455" s="10">
        <f>IF(A455="D",LEFT(UPPER(B455)&amp;REPT(" ",20),20),REPT(" ",20))</f>
        <v/>
      </c>
      <c r="S455" s="10">
        <f>IF(A455="D",LEFT(UPPER(C455)&amp;REPT(" ",10),10)," ")</f>
        <v/>
      </c>
      <c r="T455" s="10">
        <f>IF(A455="D",LEFT(UPPER(D455)&amp;REPT(" ",2),2)," ")</f>
        <v/>
      </c>
      <c r="U455" s="10">
        <f>IF(A455="D",LEFT(UPPER(E455)&amp;REPT(" ",15),15)," ")</f>
        <v/>
      </c>
      <c r="V455" s="10">
        <f>REPT(" ",24)</f>
        <v/>
      </c>
      <c r="W455" s="10">
        <f>IF(A455="c",LEFT(UPPER(B455)&amp;REPT(" ",20),20),REPT(" ",20))</f>
        <v/>
      </c>
      <c r="X455" s="10">
        <f>IF(A455="C",LEFT(UPPER(C455)&amp;REPT(" ",10),10)," ")</f>
        <v/>
      </c>
      <c r="Y455" s="10">
        <f>IF(A455="C",LEFT(UPPER(D455)&amp;REPT(" ",2),2)," ")</f>
        <v/>
      </c>
      <c r="Z455" s="10">
        <f>IF(A455="C",LEFT(UPPER(E455)&amp;REPT(" ",15),15)," ")</f>
        <v/>
      </c>
      <c r="AA455" s="10">
        <f>REPT(" ",8)</f>
        <v/>
      </c>
      <c r="AB455" s="10">
        <f>REPT(" ",4)</f>
        <v/>
      </c>
      <c r="AC455" s="10">
        <f>LEFT(UPPER(H455)&amp;REPT(" ",250),250)</f>
        <v/>
      </c>
      <c r="AD455" s="10">
        <f>TEXT($G$2,"dd/mm/aaaa")</f>
        <v/>
      </c>
      <c r="AE455" s="10">
        <f>REPT(" ",10)</f>
        <v/>
      </c>
      <c r="AF455" s="10">
        <f>REPT(" ",20)</f>
        <v/>
      </c>
      <c r="AG455" s="54">
        <f>REPT(" ",18-LEN(FIXED(F455,2,TRUE)))&amp;FIXED(F455,2,TRUE)</f>
        <v/>
      </c>
      <c r="AH455" s="10">
        <f>LEN(AC455)+LEN(AG455)</f>
        <v/>
      </c>
      <c r="AI455" s="10">
        <f>LEN(L455)</f>
        <v/>
      </c>
    </row>
    <row r="456">
      <c r="I456" s="42" t="n"/>
      <c r="J456" s="12">
        <f>IF(F456&lt;&gt;0,"LANÇAR","")</f>
        <v/>
      </c>
      <c r="K456" s="20" t="n"/>
      <c r="L456" s="13">
        <f>N456&amp;O456&amp;P456&amp;Q456&amp;R456&amp;S456&amp;T456&amp;U456&amp;V456&amp;W456&amp;X456&amp;Y456&amp;Z456&amp;AA456&amp;AB456&amp;AC456&amp;AD456&amp;AE456&amp;AF456&amp;AG456</f>
        <v/>
      </c>
      <c r="M456" s="20" t="n"/>
      <c r="N456" s="10">
        <f>TEXT($B$6,"00")</f>
        <v/>
      </c>
      <c r="O456" s="10">
        <f>REPT(" ",8)</f>
        <v/>
      </c>
      <c r="P456" s="10">
        <f>RIGHT($B$4,2)</f>
        <v/>
      </c>
      <c r="Q456" s="10">
        <f>RIGHT($B$5,3)</f>
        <v/>
      </c>
      <c r="R456" s="10">
        <f>IF(A456="D",LEFT(UPPER(B456)&amp;REPT(" ",20),20),REPT(" ",20))</f>
        <v/>
      </c>
      <c r="S456" s="10">
        <f>IF(A456="D",LEFT(UPPER(C456)&amp;REPT(" ",10),10)," ")</f>
        <v/>
      </c>
      <c r="T456" s="10">
        <f>IF(A456="D",LEFT(UPPER(D456)&amp;REPT(" ",2),2)," ")</f>
        <v/>
      </c>
      <c r="U456" s="10">
        <f>IF(A456="D",LEFT(UPPER(E456)&amp;REPT(" ",15),15)," ")</f>
        <v/>
      </c>
      <c r="V456" s="10">
        <f>REPT(" ",24)</f>
        <v/>
      </c>
      <c r="W456" s="10">
        <f>IF(A456="c",LEFT(UPPER(B456)&amp;REPT(" ",20),20),REPT(" ",20))</f>
        <v/>
      </c>
      <c r="X456" s="10">
        <f>IF(A456="C",LEFT(UPPER(C456)&amp;REPT(" ",10),10)," ")</f>
        <v/>
      </c>
      <c r="Y456" s="10">
        <f>IF(A456="C",LEFT(UPPER(D456)&amp;REPT(" ",2),2)," ")</f>
        <v/>
      </c>
      <c r="Z456" s="10">
        <f>IF(A456="C",LEFT(UPPER(E456)&amp;REPT(" ",15),15)," ")</f>
        <v/>
      </c>
      <c r="AA456" s="10">
        <f>REPT(" ",8)</f>
        <v/>
      </c>
      <c r="AB456" s="10">
        <f>REPT(" ",4)</f>
        <v/>
      </c>
      <c r="AC456" s="10">
        <f>LEFT(UPPER(H456)&amp;REPT(" ",250),250)</f>
        <v/>
      </c>
      <c r="AD456" s="10">
        <f>TEXT($G$2,"dd/mm/aaaa")</f>
        <v/>
      </c>
      <c r="AE456" s="10">
        <f>REPT(" ",10)</f>
        <v/>
      </c>
      <c r="AF456" s="10">
        <f>REPT(" ",20)</f>
        <v/>
      </c>
      <c r="AG456" s="54">
        <f>REPT(" ",18-LEN(FIXED(F456,2,TRUE)))&amp;FIXED(F456,2,TRUE)</f>
        <v/>
      </c>
      <c r="AH456" s="10">
        <f>LEN(AC456)+LEN(AG456)</f>
        <v/>
      </c>
      <c r="AI456" s="10">
        <f>LEN(L456)</f>
        <v/>
      </c>
    </row>
    <row r="457">
      <c r="I457" s="42" t="n"/>
      <c r="J457" s="12">
        <f>IF(F457&lt;&gt;0,"LANÇAR","")</f>
        <v/>
      </c>
      <c r="K457" s="20" t="n"/>
      <c r="L457" s="13">
        <f>N457&amp;O457&amp;P457&amp;Q457&amp;R457&amp;S457&amp;T457&amp;U457&amp;V457&amp;W457&amp;X457&amp;Y457&amp;Z457&amp;AA457&amp;AB457&amp;AC457&amp;AD457&amp;AE457&amp;AF457&amp;AG457</f>
        <v/>
      </c>
      <c r="M457" s="20" t="n"/>
      <c r="N457" s="10">
        <f>TEXT($B$6,"00")</f>
        <v/>
      </c>
      <c r="O457" s="10">
        <f>REPT(" ",8)</f>
        <v/>
      </c>
      <c r="P457" s="10">
        <f>RIGHT($B$4,2)</f>
        <v/>
      </c>
      <c r="Q457" s="10">
        <f>RIGHT($B$5,3)</f>
        <v/>
      </c>
      <c r="R457" s="10">
        <f>IF(A457="D",LEFT(UPPER(B457)&amp;REPT(" ",20),20),REPT(" ",20))</f>
        <v/>
      </c>
      <c r="S457" s="10">
        <f>IF(A457="D",LEFT(UPPER(C457)&amp;REPT(" ",10),10)," ")</f>
        <v/>
      </c>
      <c r="T457" s="10">
        <f>IF(A457="D",LEFT(UPPER(D457)&amp;REPT(" ",2),2)," ")</f>
        <v/>
      </c>
      <c r="U457" s="10">
        <f>IF(A457="D",LEFT(UPPER(E457)&amp;REPT(" ",15),15)," ")</f>
        <v/>
      </c>
      <c r="V457" s="10">
        <f>REPT(" ",24)</f>
        <v/>
      </c>
      <c r="W457" s="10">
        <f>IF(A457="c",LEFT(UPPER(B457)&amp;REPT(" ",20),20),REPT(" ",20))</f>
        <v/>
      </c>
      <c r="X457" s="10">
        <f>IF(A457="C",LEFT(UPPER(C457)&amp;REPT(" ",10),10)," ")</f>
        <v/>
      </c>
      <c r="Y457" s="10">
        <f>IF(A457="C",LEFT(UPPER(D457)&amp;REPT(" ",2),2)," ")</f>
        <v/>
      </c>
      <c r="Z457" s="10">
        <f>IF(A457="C",LEFT(UPPER(E457)&amp;REPT(" ",15),15)," ")</f>
        <v/>
      </c>
      <c r="AA457" s="10">
        <f>REPT(" ",8)</f>
        <v/>
      </c>
      <c r="AB457" s="10">
        <f>REPT(" ",4)</f>
        <v/>
      </c>
      <c r="AC457" s="10">
        <f>LEFT(UPPER(H457)&amp;REPT(" ",250),250)</f>
        <v/>
      </c>
      <c r="AD457" s="10">
        <f>TEXT($G$2,"dd/mm/aaaa")</f>
        <v/>
      </c>
      <c r="AE457" s="10">
        <f>REPT(" ",10)</f>
        <v/>
      </c>
      <c r="AF457" s="10">
        <f>REPT(" ",20)</f>
        <v/>
      </c>
      <c r="AG457" s="54">
        <f>REPT(" ",18-LEN(FIXED(F457,2,TRUE)))&amp;FIXED(F457,2,TRUE)</f>
        <v/>
      </c>
      <c r="AH457" s="10">
        <f>LEN(AC457)+LEN(AG457)</f>
        <v/>
      </c>
      <c r="AI457" s="10">
        <f>LEN(L457)</f>
        <v/>
      </c>
    </row>
    <row r="458">
      <c r="I458" s="42" t="n"/>
      <c r="J458" s="12">
        <f>IF(F458&lt;&gt;0,"LANÇAR","")</f>
        <v/>
      </c>
      <c r="K458" s="20" t="n"/>
      <c r="L458" s="13">
        <f>N458&amp;O458&amp;P458&amp;Q458&amp;R458&amp;S458&amp;T458&amp;U458&amp;V458&amp;W458&amp;X458&amp;Y458&amp;Z458&amp;AA458&amp;AB458&amp;AC458&amp;AD458&amp;AE458&amp;AF458&amp;AG458</f>
        <v/>
      </c>
      <c r="M458" s="20" t="n"/>
      <c r="N458" s="10">
        <f>TEXT($B$6,"00")</f>
        <v/>
      </c>
      <c r="O458" s="10">
        <f>REPT(" ",8)</f>
        <v/>
      </c>
      <c r="P458" s="10">
        <f>RIGHT($B$4,2)</f>
        <v/>
      </c>
      <c r="Q458" s="10">
        <f>RIGHT($B$5,3)</f>
        <v/>
      </c>
      <c r="R458" s="10">
        <f>IF(A458="D",LEFT(UPPER(B458)&amp;REPT(" ",20),20),REPT(" ",20))</f>
        <v/>
      </c>
      <c r="S458" s="10">
        <f>IF(A458="D",LEFT(UPPER(C458)&amp;REPT(" ",10),10)," ")</f>
        <v/>
      </c>
      <c r="T458" s="10">
        <f>IF(A458="D",LEFT(UPPER(D458)&amp;REPT(" ",2),2)," ")</f>
        <v/>
      </c>
      <c r="U458" s="10">
        <f>IF(A458="D",LEFT(UPPER(E458)&amp;REPT(" ",15),15)," ")</f>
        <v/>
      </c>
      <c r="V458" s="10">
        <f>REPT(" ",24)</f>
        <v/>
      </c>
      <c r="W458" s="10">
        <f>IF(A458="c",LEFT(UPPER(B458)&amp;REPT(" ",20),20),REPT(" ",20))</f>
        <v/>
      </c>
      <c r="X458" s="10">
        <f>IF(A458="C",LEFT(UPPER(C458)&amp;REPT(" ",10),10)," ")</f>
        <v/>
      </c>
      <c r="Y458" s="10">
        <f>IF(A458="C",LEFT(UPPER(D458)&amp;REPT(" ",2),2)," ")</f>
        <v/>
      </c>
      <c r="Z458" s="10">
        <f>IF(A458="C",LEFT(UPPER(E458)&amp;REPT(" ",15),15)," ")</f>
        <v/>
      </c>
      <c r="AA458" s="10">
        <f>REPT(" ",8)</f>
        <v/>
      </c>
      <c r="AB458" s="10">
        <f>REPT(" ",4)</f>
        <v/>
      </c>
      <c r="AC458" s="10">
        <f>LEFT(UPPER(H458)&amp;REPT(" ",250),250)</f>
        <v/>
      </c>
      <c r="AD458" s="10">
        <f>TEXT($G$2,"dd/mm/aaaa")</f>
        <v/>
      </c>
      <c r="AE458" s="10">
        <f>REPT(" ",10)</f>
        <v/>
      </c>
      <c r="AF458" s="10">
        <f>REPT(" ",20)</f>
        <v/>
      </c>
      <c r="AG458" s="54">
        <f>REPT(" ",18-LEN(FIXED(F458,2,TRUE)))&amp;FIXED(F458,2,TRUE)</f>
        <v/>
      </c>
      <c r="AH458" s="10">
        <f>LEN(AC458)+LEN(AG458)</f>
        <v/>
      </c>
      <c r="AI458" s="10">
        <f>LEN(L458)</f>
        <v/>
      </c>
    </row>
    <row r="459">
      <c r="I459" s="42" t="n"/>
      <c r="J459" s="12">
        <f>IF(F459&lt;&gt;0,"LANÇAR","")</f>
        <v/>
      </c>
      <c r="K459" s="20" t="n"/>
      <c r="L459" s="13">
        <f>N459&amp;O459&amp;P459&amp;Q459&amp;R459&amp;S459&amp;T459&amp;U459&amp;V459&amp;W459&amp;X459&amp;Y459&amp;Z459&amp;AA459&amp;AB459&amp;AC459&amp;AD459&amp;AE459&amp;AF459&amp;AG459</f>
        <v/>
      </c>
      <c r="M459" s="20" t="n"/>
      <c r="N459" s="10">
        <f>TEXT($B$6,"00")</f>
        <v/>
      </c>
      <c r="O459" s="10">
        <f>REPT(" ",8)</f>
        <v/>
      </c>
      <c r="P459" s="10">
        <f>RIGHT($B$4,2)</f>
        <v/>
      </c>
      <c r="Q459" s="10">
        <f>RIGHT($B$5,3)</f>
        <v/>
      </c>
      <c r="R459" s="10">
        <f>IF(A459="D",LEFT(UPPER(B459)&amp;REPT(" ",20),20),REPT(" ",20))</f>
        <v/>
      </c>
      <c r="S459" s="10">
        <f>IF(A459="D",LEFT(UPPER(C459)&amp;REPT(" ",10),10)," ")</f>
        <v/>
      </c>
      <c r="T459" s="10">
        <f>IF(A459="D",LEFT(UPPER(D459)&amp;REPT(" ",2),2)," ")</f>
        <v/>
      </c>
      <c r="U459" s="10">
        <f>IF(A459="D",LEFT(UPPER(E459)&amp;REPT(" ",15),15)," ")</f>
        <v/>
      </c>
      <c r="V459" s="10">
        <f>REPT(" ",24)</f>
        <v/>
      </c>
      <c r="W459" s="10">
        <f>IF(A459="c",LEFT(UPPER(B459)&amp;REPT(" ",20),20),REPT(" ",20))</f>
        <v/>
      </c>
      <c r="X459" s="10">
        <f>IF(A459="C",LEFT(UPPER(C459)&amp;REPT(" ",10),10)," ")</f>
        <v/>
      </c>
      <c r="Y459" s="10">
        <f>IF(A459="C",LEFT(UPPER(D459)&amp;REPT(" ",2),2)," ")</f>
        <v/>
      </c>
      <c r="Z459" s="10">
        <f>IF(A459="C",LEFT(UPPER(E459)&amp;REPT(" ",15),15)," ")</f>
        <v/>
      </c>
      <c r="AA459" s="10">
        <f>REPT(" ",8)</f>
        <v/>
      </c>
      <c r="AB459" s="10">
        <f>REPT(" ",4)</f>
        <v/>
      </c>
      <c r="AC459" s="10">
        <f>LEFT(UPPER(H459)&amp;REPT(" ",250),250)</f>
        <v/>
      </c>
      <c r="AD459" s="10">
        <f>TEXT($G$2,"dd/mm/aaaa")</f>
        <v/>
      </c>
      <c r="AE459" s="10">
        <f>REPT(" ",10)</f>
        <v/>
      </c>
      <c r="AF459" s="10">
        <f>REPT(" ",20)</f>
        <v/>
      </c>
      <c r="AG459" s="54">
        <f>REPT(" ",18-LEN(FIXED(F459,2,TRUE)))&amp;FIXED(F459,2,TRUE)</f>
        <v/>
      </c>
      <c r="AH459" s="10">
        <f>LEN(AC459)+LEN(AG459)</f>
        <v/>
      </c>
      <c r="AI459" s="10">
        <f>LEN(L459)</f>
        <v/>
      </c>
    </row>
    <row r="460">
      <c r="I460" s="42" t="n"/>
      <c r="J460" s="12">
        <f>IF(F460&lt;&gt;0,"LANÇAR","")</f>
        <v/>
      </c>
      <c r="K460" s="20" t="n"/>
      <c r="L460" s="13">
        <f>N460&amp;O460&amp;P460&amp;Q460&amp;R460&amp;S460&amp;T460&amp;U460&amp;V460&amp;W460&amp;X460&amp;Y460&amp;Z460&amp;AA460&amp;AB460&amp;AC460&amp;AD460&amp;AE460&amp;AF460&amp;AG460</f>
        <v/>
      </c>
      <c r="M460" s="20" t="n"/>
      <c r="N460" s="10">
        <f>TEXT($B$6,"00")</f>
        <v/>
      </c>
      <c r="O460" s="10">
        <f>REPT(" ",8)</f>
        <v/>
      </c>
      <c r="P460" s="10">
        <f>RIGHT($B$4,2)</f>
        <v/>
      </c>
      <c r="Q460" s="10">
        <f>RIGHT($B$5,3)</f>
        <v/>
      </c>
      <c r="R460" s="10">
        <f>IF(A460="D",LEFT(UPPER(B460)&amp;REPT(" ",20),20),REPT(" ",20))</f>
        <v/>
      </c>
      <c r="S460" s="10">
        <f>IF(A460="D",LEFT(UPPER(C460)&amp;REPT(" ",10),10)," ")</f>
        <v/>
      </c>
      <c r="T460" s="10">
        <f>IF(A460="D",LEFT(UPPER(D460)&amp;REPT(" ",2),2)," ")</f>
        <v/>
      </c>
      <c r="U460" s="10">
        <f>IF(A460="D",LEFT(UPPER(E460)&amp;REPT(" ",15),15)," ")</f>
        <v/>
      </c>
      <c r="V460" s="10">
        <f>REPT(" ",24)</f>
        <v/>
      </c>
      <c r="W460" s="10">
        <f>IF(A460="c",LEFT(UPPER(B460)&amp;REPT(" ",20),20),REPT(" ",20))</f>
        <v/>
      </c>
      <c r="X460" s="10">
        <f>IF(A460="C",LEFT(UPPER(C460)&amp;REPT(" ",10),10)," ")</f>
        <v/>
      </c>
      <c r="Y460" s="10">
        <f>IF(A460="C",LEFT(UPPER(D460)&amp;REPT(" ",2),2)," ")</f>
        <v/>
      </c>
      <c r="Z460" s="10">
        <f>IF(A460="C",LEFT(UPPER(E460)&amp;REPT(" ",15),15)," ")</f>
        <v/>
      </c>
      <c r="AA460" s="10">
        <f>REPT(" ",8)</f>
        <v/>
      </c>
      <c r="AB460" s="10">
        <f>REPT(" ",4)</f>
        <v/>
      </c>
      <c r="AC460" s="10">
        <f>LEFT(UPPER(H460)&amp;REPT(" ",250),250)</f>
        <v/>
      </c>
      <c r="AD460" s="10">
        <f>TEXT($G$2,"dd/mm/aaaa")</f>
        <v/>
      </c>
      <c r="AE460" s="10">
        <f>REPT(" ",10)</f>
        <v/>
      </c>
      <c r="AF460" s="10">
        <f>REPT(" ",20)</f>
        <v/>
      </c>
      <c r="AG460" s="54">
        <f>REPT(" ",18-LEN(FIXED(F460,2,TRUE)))&amp;FIXED(F460,2,TRUE)</f>
        <v/>
      </c>
      <c r="AH460" s="10">
        <f>LEN(AC460)+LEN(AG460)</f>
        <v/>
      </c>
      <c r="AI460" s="10">
        <f>LEN(L460)</f>
        <v/>
      </c>
    </row>
    <row r="461">
      <c r="I461" s="42" t="n"/>
      <c r="J461" s="12">
        <f>IF(F461&lt;&gt;0,"LANÇAR","")</f>
        <v/>
      </c>
      <c r="K461" s="20" t="n"/>
      <c r="L461" s="13">
        <f>N461&amp;O461&amp;P461&amp;Q461&amp;R461&amp;S461&amp;T461&amp;U461&amp;V461&amp;W461&amp;X461&amp;Y461&amp;Z461&amp;AA461&amp;AB461&amp;AC461&amp;AD461&amp;AE461&amp;AF461&amp;AG461</f>
        <v/>
      </c>
      <c r="M461" s="20" t="n"/>
      <c r="N461" s="10">
        <f>TEXT($B$6,"00")</f>
        <v/>
      </c>
      <c r="O461" s="10">
        <f>REPT(" ",8)</f>
        <v/>
      </c>
      <c r="P461" s="10">
        <f>RIGHT($B$4,2)</f>
        <v/>
      </c>
      <c r="Q461" s="10">
        <f>RIGHT($B$5,3)</f>
        <v/>
      </c>
      <c r="R461" s="10">
        <f>IF(A461="D",LEFT(UPPER(B461)&amp;REPT(" ",20),20),REPT(" ",20))</f>
        <v/>
      </c>
      <c r="S461" s="10">
        <f>IF(A461="D",LEFT(UPPER(C461)&amp;REPT(" ",10),10)," ")</f>
        <v/>
      </c>
      <c r="T461" s="10">
        <f>IF(A461="D",LEFT(UPPER(D461)&amp;REPT(" ",2),2)," ")</f>
        <v/>
      </c>
      <c r="U461" s="10">
        <f>IF(A461="D",LEFT(UPPER(E461)&amp;REPT(" ",15),15)," ")</f>
        <v/>
      </c>
      <c r="V461" s="10">
        <f>REPT(" ",24)</f>
        <v/>
      </c>
      <c r="W461" s="10">
        <f>IF(A461="c",LEFT(UPPER(B461)&amp;REPT(" ",20),20),REPT(" ",20))</f>
        <v/>
      </c>
      <c r="X461" s="10">
        <f>IF(A461="C",LEFT(UPPER(C461)&amp;REPT(" ",10),10)," ")</f>
        <v/>
      </c>
      <c r="Y461" s="10">
        <f>IF(A461="C",LEFT(UPPER(D461)&amp;REPT(" ",2),2)," ")</f>
        <v/>
      </c>
      <c r="Z461" s="10">
        <f>IF(A461="C",LEFT(UPPER(E461)&amp;REPT(" ",15),15)," ")</f>
        <v/>
      </c>
      <c r="AA461" s="10">
        <f>REPT(" ",8)</f>
        <v/>
      </c>
      <c r="AB461" s="10">
        <f>REPT(" ",4)</f>
        <v/>
      </c>
      <c r="AC461" s="10">
        <f>LEFT(UPPER(H461)&amp;REPT(" ",250),250)</f>
        <v/>
      </c>
      <c r="AD461" s="10">
        <f>TEXT($G$2,"dd/mm/aaaa")</f>
        <v/>
      </c>
      <c r="AE461" s="10">
        <f>REPT(" ",10)</f>
        <v/>
      </c>
      <c r="AF461" s="10">
        <f>REPT(" ",20)</f>
        <v/>
      </c>
      <c r="AG461" s="54">
        <f>REPT(" ",18-LEN(FIXED(F461,2,TRUE)))&amp;FIXED(F461,2,TRUE)</f>
        <v/>
      </c>
      <c r="AH461" s="10">
        <f>LEN(AC461)+LEN(AG461)</f>
        <v/>
      </c>
      <c r="AI461" s="10">
        <f>LEN(L461)</f>
        <v/>
      </c>
    </row>
    <row r="462">
      <c r="I462" s="42" t="n"/>
      <c r="J462" s="12">
        <f>IF(F462&lt;&gt;0,"LANÇAR","")</f>
        <v/>
      </c>
      <c r="K462" s="20" t="n"/>
      <c r="L462" s="13">
        <f>N462&amp;O462&amp;P462&amp;Q462&amp;R462&amp;S462&amp;T462&amp;U462&amp;V462&amp;W462&amp;X462&amp;Y462&amp;Z462&amp;AA462&amp;AB462&amp;AC462&amp;AD462&amp;AE462&amp;AF462&amp;AG462</f>
        <v/>
      </c>
      <c r="M462" s="20" t="n"/>
      <c r="N462" s="10">
        <f>TEXT($B$6,"00")</f>
        <v/>
      </c>
      <c r="O462" s="10">
        <f>REPT(" ",8)</f>
        <v/>
      </c>
      <c r="P462" s="10">
        <f>RIGHT($B$4,2)</f>
        <v/>
      </c>
      <c r="Q462" s="10">
        <f>RIGHT($B$5,3)</f>
        <v/>
      </c>
      <c r="R462" s="10">
        <f>IF(A462="D",LEFT(UPPER(B462)&amp;REPT(" ",20),20),REPT(" ",20))</f>
        <v/>
      </c>
      <c r="S462" s="10">
        <f>IF(A462="D",LEFT(UPPER(C462)&amp;REPT(" ",10),10)," ")</f>
        <v/>
      </c>
      <c r="T462" s="10">
        <f>IF(A462="D",LEFT(UPPER(D462)&amp;REPT(" ",2),2)," ")</f>
        <v/>
      </c>
      <c r="U462" s="10">
        <f>IF(A462="D",LEFT(UPPER(E462)&amp;REPT(" ",15),15)," ")</f>
        <v/>
      </c>
      <c r="V462" s="10">
        <f>REPT(" ",24)</f>
        <v/>
      </c>
      <c r="W462" s="10">
        <f>IF(A462="c",LEFT(UPPER(B462)&amp;REPT(" ",20),20),REPT(" ",20))</f>
        <v/>
      </c>
      <c r="X462" s="10">
        <f>IF(A462="C",LEFT(UPPER(C462)&amp;REPT(" ",10),10)," ")</f>
        <v/>
      </c>
      <c r="Y462" s="10">
        <f>IF(A462="C",LEFT(UPPER(D462)&amp;REPT(" ",2),2)," ")</f>
        <v/>
      </c>
      <c r="Z462" s="10">
        <f>IF(A462="C",LEFT(UPPER(E462)&amp;REPT(" ",15),15)," ")</f>
        <v/>
      </c>
      <c r="AA462" s="10">
        <f>REPT(" ",8)</f>
        <v/>
      </c>
      <c r="AB462" s="10">
        <f>REPT(" ",4)</f>
        <v/>
      </c>
      <c r="AC462" s="10">
        <f>LEFT(UPPER(H462)&amp;REPT(" ",250),250)</f>
        <v/>
      </c>
      <c r="AD462" s="10">
        <f>TEXT($G$2,"dd/mm/aaaa")</f>
        <v/>
      </c>
      <c r="AE462" s="10">
        <f>REPT(" ",10)</f>
        <v/>
      </c>
      <c r="AF462" s="10">
        <f>REPT(" ",20)</f>
        <v/>
      </c>
      <c r="AG462" s="54">
        <f>REPT(" ",18-LEN(FIXED(F462,2,TRUE)))&amp;FIXED(F462,2,TRUE)</f>
        <v/>
      </c>
      <c r="AH462" s="10">
        <f>LEN(AC462)+LEN(AG462)</f>
        <v/>
      </c>
      <c r="AI462" s="10">
        <f>LEN(L462)</f>
        <v/>
      </c>
    </row>
    <row r="463">
      <c r="I463" s="42" t="n"/>
      <c r="J463" s="12">
        <f>IF(F463&lt;&gt;0,"LANÇAR","")</f>
        <v/>
      </c>
      <c r="K463" s="20" t="n"/>
      <c r="L463" s="13">
        <f>N463&amp;O463&amp;P463&amp;Q463&amp;R463&amp;S463&amp;T463&amp;U463&amp;V463&amp;W463&amp;X463&amp;Y463&amp;Z463&amp;AA463&amp;AB463&amp;AC463&amp;AD463&amp;AE463&amp;AF463&amp;AG463</f>
        <v/>
      </c>
      <c r="M463" s="20" t="n"/>
      <c r="N463" s="10">
        <f>TEXT($B$6,"00")</f>
        <v/>
      </c>
      <c r="O463" s="10">
        <f>REPT(" ",8)</f>
        <v/>
      </c>
      <c r="P463" s="10">
        <f>RIGHT($B$4,2)</f>
        <v/>
      </c>
      <c r="Q463" s="10">
        <f>RIGHT($B$5,3)</f>
        <v/>
      </c>
      <c r="R463" s="10">
        <f>IF(A463="D",LEFT(UPPER(B463)&amp;REPT(" ",20),20),REPT(" ",20))</f>
        <v/>
      </c>
      <c r="S463" s="10">
        <f>IF(A463="D",LEFT(UPPER(C463)&amp;REPT(" ",10),10)," ")</f>
        <v/>
      </c>
      <c r="T463" s="10">
        <f>IF(A463="D",LEFT(UPPER(D463)&amp;REPT(" ",2),2)," ")</f>
        <v/>
      </c>
      <c r="U463" s="10">
        <f>IF(A463="D",LEFT(UPPER(E463)&amp;REPT(" ",15),15)," ")</f>
        <v/>
      </c>
      <c r="V463" s="10">
        <f>REPT(" ",24)</f>
        <v/>
      </c>
      <c r="W463" s="10">
        <f>IF(A463="c",LEFT(UPPER(B463)&amp;REPT(" ",20),20),REPT(" ",20))</f>
        <v/>
      </c>
      <c r="X463" s="10">
        <f>IF(A463="C",LEFT(UPPER(C463)&amp;REPT(" ",10),10)," ")</f>
        <v/>
      </c>
      <c r="Y463" s="10">
        <f>IF(A463="C",LEFT(UPPER(D463)&amp;REPT(" ",2),2)," ")</f>
        <v/>
      </c>
      <c r="Z463" s="10">
        <f>IF(A463="C",LEFT(UPPER(E463)&amp;REPT(" ",15),15)," ")</f>
        <v/>
      </c>
      <c r="AA463" s="10">
        <f>REPT(" ",8)</f>
        <v/>
      </c>
      <c r="AB463" s="10">
        <f>REPT(" ",4)</f>
        <v/>
      </c>
      <c r="AC463" s="10">
        <f>LEFT(UPPER(H463)&amp;REPT(" ",250),250)</f>
        <v/>
      </c>
      <c r="AD463" s="10">
        <f>TEXT($G$2,"dd/mm/aaaa")</f>
        <v/>
      </c>
      <c r="AE463" s="10">
        <f>REPT(" ",10)</f>
        <v/>
      </c>
      <c r="AF463" s="10">
        <f>REPT(" ",20)</f>
        <v/>
      </c>
      <c r="AG463" s="54">
        <f>REPT(" ",18-LEN(FIXED(F463,2,TRUE)))&amp;FIXED(F463,2,TRUE)</f>
        <v/>
      </c>
      <c r="AH463" s="10">
        <f>LEN(AC463)+LEN(AG463)</f>
        <v/>
      </c>
      <c r="AI463" s="10">
        <f>LEN(L463)</f>
        <v/>
      </c>
    </row>
    <row r="464">
      <c r="I464" s="42" t="n"/>
      <c r="J464" s="12">
        <f>IF(F464&lt;&gt;0,"LANÇAR","")</f>
        <v/>
      </c>
      <c r="K464" s="20" t="n"/>
      <c r="L464" s="13">
        <f>N464&amp;O464&amp;P464&amp;Q464&amp;R464&amp;S464&amp;T464&amp;U464&amp;V464&amp;W464&amp;X464&amp;Y464&amp;Z464&amp;AA464&amp;AB464&amp;AC464&amp;AD464&amp;AE464&amp;AF464&amp;AG464</f>
        <v/>
      </c>
      <c r="M464" s="20" t="n"/>
      <c r="N464" s="10">
        <f>TEXT($B$6,"00")</f>
        <v/>
      </c>
      <c r="O464" s="10">
        <f>REPT(" ",8)</f>
        <v/>
      </c>
      <c r="P464" s="10">
        <f>RIGHT($B$4,2)</f>
        <v/>
      </c>
      <c r="Q464" s="10">
        <f>RIGHT($B$5,3)</f>
        <v/>
      </c>
      <c r="R464" s="10">
        <f>IF(A464="D",LEFT(UPPER(B464)&amp;REPT(" ",20),20),REPT(" ",20))</f>
        <v/>
      </c>
      <c r="S464" s="10">
        <f>IF(A464="D",LEFT(UPPER(C464)&amp;REPT(" ",10),10)," ")</f>
        <v/>
      </c>
      <c r="T464" s="10">
        <f>IF(A464="D",LEFT(UPPER(D464)&amp;REPT(" ",2),2)," ")</f>
        <v/>
      </c>
      <c r="U464" s="10">
        <f>IF(A464="D",LEFT(UPPER(E464)&amp;REPT(" ",15),15)," ")</f>
        <v/>
      </c>
      <c r="V464" s="10">
        <f>REPT(" ",24)</f>
        <v/>
      </c>
      <c r="W464" s="10">
        <f>IF(A464="c",LEFT(UPPER(B464)&amp;REPT(" ",20),20),REPT(" ",20))</f>
        <v/>
      </c>
      <c r="X464" s="10">
        <f>IF(A464="C",LEFT(UPPER(C464)&amp;REPT(" ",10),10)," ")</f>
        <v/>
      </c>
      <c r="Y464" s="10">
        <f>IF(A464="C",LEFT(UPPER(D464)&amp;REPT(" ",2),2)," ")</f>
        <v/>
      </c>
      <c r="Z464" s="10">
        <f>IF(A464="C",LEFT(UPPER(E464)&amp;REPT(" ",15),15)," ")</f>
        <v/>
      </c>
      <c r="AA464" s="10">
        <f>REPT(" ",8)</f>
        <v/>
      </c>
      <c r="AB464" s="10">
        <f>REPT(" ",4)</f>
        <v/>
      </c>
      <c r="AC464" s="10">
        <f>LEFT(UPPER(H464)&amp;REPT(" ",250),250)</f>
        <v/>
      </c>
      <c r="AD464" s="10">
        <f>TEXT($G$2,"dd/mm/aaaa")</f>
        <v/>
      </c>
      <c r="AE464" s="10">
        <f>REPT(" ",10)</f>
        <v/>
      </c>
      <c r="AF464" s="10">
        <f>REPT(" ",20)</f>
        <v/>
      </c>
      <c r="AG464" s="54">
        <f>REPT(" ",18-LEN(FIXED(F464,2,TRUE)))&amp;FIXED(F464,2,TRUE)</f>
        <v/>
      </c>
      <c r="AH464" s="10">
        <f>LEN(AC464)+LEN(AG464)</f>
        <v/>
      </c>
      <c r="AI464" s="10">
        <f>LEN(L464)</f>
        <v/>
      </c>
    </row>
    <row r="465">
      <c r="I465" s="42" t="n"/>
      <c r="J465" s="12">
        <f>IF(F465&lt;&gt;0,"LANÇAR","")</f>
        <v/>
      </c>
      <c r="K465" s="20" t="n"/>
      <c r="L465" s="13">
        <f>N465&amp;O465&amp;P465&amp;Q465&amp;R465&amp;S465&amp;T465&amp;U465&amp;V465&amp;W465&amp;X465&amp;Y465&amp;Z465&amp;AA465&amp;AB465&amp;AC465&amp;AD465&amp;AE465&amp;AF465&amp;AG465</f>
        <v/>
      </c>
      <c r="M465" s="20" t="n"/>
      <c r="N465" s="10">
        <f>TEXT($B$6,"00")</f>
        <v/>
      </c>
      <c r="O465" s="10">
        <f>REPT(" ",8)</f>
        <v/>
      </c>
      <c r="P465" s="10">
        <f>RIGHT($B$4,2)</f>
        <v/>
      </c>
      <c r="Q465" s="10">
        <f>RIGHT($B$5,3)</f>
        <v/>
      </c>
      <c r="R465" s="10">
        <f>IF(A465="D",LEFT(UPPER(B465)&amp;REPT(" ",20),20),REPT(" ",20))</f>
        <v/>
      </c>
      <c r="S465" s="10">
        <f>IF(A465="D",LEFT(UPPER(C465)&amp;REPT(" ",10),10)," ")</f>
        <v/>
      </c>
      <c r="T465" s="10">
        <f>IF(A465="D",LEFT(UPPER(D465)&amp;REPT(" ",2),2)," ")</f>
        <v/>
      </c>
      <c r="U465" s="10">
        <f>IF(A465="D",LEFT(UPPER(E465)&amp;REPT(" ",15),15)," ")</f>
        <v/>
      </c>
      <c r="V465" s="10">
        <f>REPT(" ",24)</f>
        <v/>
      </c>
      <c r="W465" s="10">
        <f>IF(A465="c",LEFT(UPPER(B465)&amp;REPT(" ",20),20),REPT(" ",20))</f>
        <v/>
      </c>
      <c r="X465" s="10">
        <f>IF(A465="C",LEFT(UPPER(C465)&amp;REPT(" ",10),10)," ")</f>
        <v/>
      </c>
      <c r="Y465" s="10">
        <f>IF(A465="C",LEFT(UPPER(D465)&amp;REPT(" ",2),2)," ")</f>
        <v/>
      </c>
      <c r="Z465" s="10">
        <f>IF(A465="C",LEFT(UPPER(E465)&amp;REPT(" ",15),15)," ")</f>
        <v/>
      </c>
      <c r="AA465" s="10">
        <f>REPT(" ",8)</f>
        <v/>
      </c>
      <c r="AB465" s="10">
        <f>REPT(" ",4)</f>
        <v/>
      </c>
      <c r="AC465" s="10">
        <f>LEFT(UPPER(H465)&amp;REPT(" ",250),250)</f>
        <v/>
      </c>
      <c r="AD465" s="10">
        <f>TEXT($G$2,"dd/mm/aaaa")</f>
        <v/>
      </c>
      <c r="AE465" s="10">
        <f>REPT(" ",10)</f>
        <v/>
      </c>
      <c r="AF465" s="10">
        <f>REPT(" ",20)</f>
        <v/>
      </c>
      <c r="AG465" s="54">
        <f>REPT(" ",18-LEN(FIXED(F465,2,TRUE)))&amp;FIXED(F465,2,TRUE)</f>
        <v/>
      </c>
      <c r="AH465" s="10">
        <f>LEN(AC465)+LEN(AG465)</f>
        <v/>
      </c>
      <c r="AI465" s="10">
        <f>LEN(L465)</f>
        <v/>
      </c>
    </row>
    <row r="466">
      <c r="I466" s="42" t="n"/>
      <c r="J466" s="12">
        <f>IF(F466&lt;&gt;0,"LANÇAR","")</f>
        <v/>
      </c>
      <c r="K466" s="20" t="n"/>
      <c r="L466" s="13">
        <f>N466&amp;O466&amp;P466&amp;Q466&amp;R466&amp;S466&amp;T466&amp;U466&amp;V466&amp;W466&amp;X466&amp;Y466&amp;Z466&amp;AA466&amp;AB466&amp;AC466&amp;AD466&amp;AE466&amp;AF466&amp;AG466</f>
        <v/>
      </c>
      <c r="M466" s="20" t="n"/>
      <c r="N466" s="10">
        <f>TEXT($B$6,"00")</f>
        <v/>
      </c>
      <c r="O466" s="10">
        <f>REPT(" ",8)</f>
        <v/>
      </c>
      <c r="P466" s="10">
        <f>RIGHT($B$4,2)</f>
        <v/>
      </c>
      <c r="Q466" s="10">
        <f>RIGHT($B$5,3)</f>
        <v/>
      </c>
      <c r="R466" s="10">
        <f>IF(A466="D",LEFT(UPPER(B466)&amp;REPT(" ",20),20),REPT(" ",20))</f>
        <v/>
      </c>
      <c r="S466" s="10">
        <f>IF(A466="D",LEFT(UPPER(C466)&amp;REPT(" ",10),10)," ")</f>
        <v/>
      </c>
      <c r="T466" s="10">
        <f>IF(A466="D",LEFT(UPPER(D466)&amp;REPT(" ",2),2)," ")</f>
        <v/>
      </c>
      <c r="U466" s="10">
        <f>IF(A466="D",LEFT(UPPER(E466)&amp;REPT(" ",15),15)," ")</f>
        <v/>
      </c>
      <c r="V466" s="10">
        <f>REPT(" ",24)</f>
        <v/>
      </c>
      <c r="W466" s="10">
        <f>IF(A466="c",LEFT(UPPER(B466)&amp;REPT(" ",20),20),REPT(" ",20))</f>
        <v/>
      </c>
      <c r="X466" s="10">
        <f>IF(A466="C",LEFT(UPPER(C466)&amp;REPT(" ",10),10)," ")</f>
        <v/>
      </c>
      <c r="Y466" s="10">
        <f>IF(A466="C",LEFT(UPPER(D466)&amp;REPT(" ",2),2)," ")</f>
        <v/>
      </c>
      <c r="Z466" s="10">
        <f>IF(A466="C",LEFT(UPPER(E466)&amp;REPT(" ",15),15)," ")</f>
        <v/>
      </c>
      <c r="AA466" s="10">
        <f>REPT(" ",8)</f>
        <v/>
      </c>
      <c r="AB466" s="10">
        <f>REPT(" ",4)</f>
        <v/>
      </c>
      <c r="AC466" s="10">
        <f>LEFT(UPPER(H466)&amp;REPT(" ",250),250)</f>
        <v/>
      </c>
      <c r="AD466" s="10">
        <f>TEXT($G$2,"dd/mm/aaaa")</f>
        <v/>
      </c>
      <c r="AE466" s="10">
        <f>REPT(" ",10)</f>
        <v/>
      </c>
      <c r="AF466" s="10">
        <f>REPT(" ",20)</f>
        <v/>
      </c>
      <c r="AG466" s="54">
        <f>REPT(" ",18-LEN(FIXED(F466,2,TRUE)))&amp;FIXED(F466,2,TRUE)</f>
        <v/>
      </c>
      <c r="AH466" s="10">
        <f>LEN(AC466)+LEN(AG466)</f>
        <v/>
      </c>
      <c r="AI466" s="10">
        <f>LEN(L466)</f>
        <v/>
      </c>
    </row>
    <row r="467">
      <c r="I467" s="42" t="n"/>
      <c r="J467" s="12">
        <f>IF(F467&lt;&gt;0,"LANÇAR","")</f>
        <v/>
      </c>
      <c r="K467" s="20" t="n"/>
      <c r="L467" s="13">
        <f>N467&amp;O467&amp;P467&amp;Q467&amp;R467&amp;S467&amp;T467&amp;U467&amp;V467&amp;W467&amp;X467&amp;Y467&amp;Z467&amp;AA467&amp;AB467&amp;AC467&amp;AD467&amp;AE467&amp;AF467&amp;AG467</f>
        <v/>
      </c>
      <c r="M467" s="20" t="n"/>
      <c r="N467" s="10">
        <f>TEXT($B$6,"00")</f>
        <v/>
      </c>
      <c r="O467" s="10">
        <f>REPT(" ",8)</f>
        <v/>
      </c>
      <c r="P467" s="10">
        <f>RIGHT($B$4,2)</f>
        <v/>
      </c>
      <c r="Q467" s="10">
        <f>RIGHT($B$5,3)</f>
        <v/>
      </c>
      <c r="R467" s="10">
        <f>IF(A467="D",LEFT(UPPER(B467)&amp;REPT(" ",20),20),REPT(" ",20))</f>
        <v/>
      </c>
      <c r="S467" s="10">
        <f>IF(A467="D",LEFT(UPPER(C467)&amp;REPT(" ",10),10)," ")</f>
        <v/>
      </c>
      <c r="T467" s="10">
        <f>IF(A467="D",LEFT(UPPER(D467)&amp;REPT(" ",2),2)," ")</f>
        <v/>
      </c>
      <c r="U467" s="10">
        <f>IF(A467="D",LEFT(UPPER(E467)&amp;REPT(" ",15),15)," ")</f>
        <v/>
      </c>
      <c r="V467" s="10">
        <f>REPT(" ",24)</f>
        <v/>
      </c>
      <c r="W467" s="10">
        <f>IF(A467="c",LEFT(UPPER(B467)&amp;REPT(" ",20),20),REPT(" ",20))</f>
        <v/>
      </c>
      <c r="X467" s="10">
        <f>IF(A467="C",LEFT(UPPER(C467)&amp;REPT(" ",10),10)," ")</f>
        <v/>
      </c>
      <c r="Y467" s="10">
        <f>IF(A467="C",LEFT(UPPER(D467)&amp;REPT(" ",2),2)," ")</f>
        <v/>
      </c>
      <c r="Z467" s="10">
        <f>IF(A467="C",LEFT(UPPER(E467)&amp;REPT(" ",15),15)," ")</f>
        <v/>
      </c>
      <c r="AA467" s="10">
        <f>REPT(" ",8)</f>
        <v/>
      </c>
      <c r="AB467" s="10">
        <f>REPT(" ",4)</f>
        <v/>
      </c>
      <c r="AC467" s="10">
        <f>LEFT(UPPER(H467)&amp;REPT(" ",250),250)</f>
        <v/>
      </c>
      <c r="AD467" s="10">
        <f>TEXT($G$2,"dd/mm/aaaa")</f>
        <v/>
      </c>
      <c r="AE467" s="10">
        <f>REPT(" ",10)</f>
        <v/>
      </c>
      <c r="AF467" s="10">
        <f>REPT(" ",20)</f>
        <v/>
      </c>
      <c r="AG467" s="54">
        <f>REPT(" ",18-LEN(FIXED(F467,2,TRUE)))&amp;FIXED(F467,2,TRUE)</f>
        <v/>
      </c>
      <c r="AH467" s="10">
        <f>LEN(AC467)+LEN(AG467)</f>
        <v/>
      </c>
      <c r="AI467" s="10">
        <f>LEN(L467)</f>
        <v/>
      </c>
    </row>
    <row r="468">
      <c r="I468" s="42" t="n"/>
      <c r="J468" s="12">
        <f>IF(F468&lt;&gt;0,"LANÇAR","")</f>
        <v/>
      </c>
      <c r="K468" s="20" t="n"/>
      <c r="L468" s="13">
        <f>N468&amp;O468&amp;P468&amp;Q468&amp;R468&amp;S468&amp;T468&amp;U468&amp;V468&amp;W468&amp;X468&amp;Y468&amp;Z468&amp;AA468&amp;AB468&amp;AC468&amp;AD468&amp;AE468&amp;AF468&amp;AG468</f>
        <v/>
      </c>
      <c r="M468" s="20" t="n"/>
      <c r="N468" s="10">
        <f>TEXT($B$6,"00")</f>
        <v/>
      </c>
      <c r="O468" s="10">
        <f>REPT(" ",8)</f>
        <v/>
      </c>
      <c r="P468" s="10">
        <f>RIGHT($B$4,2)</f>
        <v/>
      </c>
      <c r="Q468" s="10">
        <f>RIGHT($B$5,3)</f>
        <v/>
      </c>
      <c r="R468" s="10">
        <f>IF(A468="D",LEFT(UPPER(B468)&amp;REPT(" ",20),20),REPT(" ",20))</f>
        <v/>
      </c>
      <c r="S468" s="10">
        <f>IF(A468="D",LEFT(UPPER(C468)&amp;REPT(" ",10),10)," ")</f>
        <v/>
      </c>
      <c r="T468" s="10">
        <f>IF(A468="D",LEFT(UPPER(D468)&amp;REPT(" ",2),2)," ")</f>
        <v/>
      </c>
      <c r="U468" s="10">
        <f>IF(A468="D",LEFT(UPPER(E468)&amp;REPT(" ",15),15)," ")</f>
        <v/>
      </c>
      <c r="V468" s="10">
        <f>REPT(" ",24)</f>
        <v/>
      </c>
      <c r="W468" s="10">
        <f>IF(A468="c",LEFT(UPPER(B468)&amp;REPT(" ",20),20),REPT(" ",20))</f>
        <v/>
      </c>
      <c r="X468" s="10">
        <f>IF(A468="C",LEFT(UPPER(C468)&amp;REPT(" ",10),10)," ")</f>
        <v/>
      </c>
      <c r="Y468" s="10">
        <f>IF(A468="C",LEFT(UPPER(D468)&amp;REPT(" ",2),2)," ")</f>
        <v/>
      </c>
      <c r="Z468" s="10">
        <f>IF(A468="C",LEFT(UPPER(E468)&amp;REPT(" ",15),15)," ")</f>
        <v/>
      </c>
      <c r="AA468" s="10">
        <f>REPT(" ",8)</f>
        <v/>
      </c>
      <c r="AB468" s="10">
        <f>REPT(" ",4)</f>
        <v/>
      </c>
      <c r="AC468" s="10">
        <f>LEFT(UPPER(H468)&amp;REPT(" ",250),250)</f>
        <v/>
      </c>
      <c r="AD468" s="10">
        <f>TEXT($G$2,"dd/mm/aaaa")</f>
        <v/>
      </c>
      <c r="AE468" s="10">
        <f>REPT(" ",10)</f>
        <v/>
      </c>
      <c r="AF468" s="10">
        <f>REPT(" ",20)</f>
        <v/>
      </c>
      <c r="AG468" s="54">
        <f>REPT(" ",18-LEN(FIXED(F468,2,TRUE)))&amp;FIXED(F468,2,TRUE)</f>
        <v/>
      </c>
      <c r="AH468" s="10">
        <f>LEN(AC468)+LEN(AG468)</f>
        <v/>
      </c>
      <c r="AI468" s="10">
        <f>LEN(L468)</f>
        <v/>
      </c>
    </row>
    <row r="469">
      <c r="I469" s="42" t="n"/>
      <c r="J469" s="12">
        <f>IF(F469&lt;&gt;0,"LANÇAR","")</f>
        <v/>
      </c>
      <c r="K469" s="20" t="n"/>
      <c r="L469" s="13">
        <f>N469&amp;O469&amp;P469&amp;Q469&amp;R469&amp;S469&amp;T469&amp;U469&amp;V469&amp;W469&amp;X469&amp;Y469&amp;Z469&amp;AA469&amp;AB469&amp;AC469&amp;AD469&amp;AE469&amp;AF469&amp;AG469</f>
        <v/>
      </c>
      <c r="M469" s="20" t="n"/>
      <c r="N469" s="10">
        <f>TEXT($B$6,"00")</f>
        <v/>
      </c>
      <c r="O469" s="10">
        <f>REPT(" ",8)</f>
        <v/>
      </c>
      <c r="P469" s="10">
        <f>RIGHT($B$4,2)</f>
        <v/>
      </c>
      <c r="Q469" s="10">
        <f>RIGHT($B$5,3)</f>
        <v/>
      </c>
      <c r="R469" s="10">
        <f>IF(A469="D",LEFT(UPPER(B469)&amp;REPT(" ",20),20),REPT(" ",20))</f>
        <v/>
      </c>
      <c r="S469" s="10">
        <f>IF(A469="D",LEFT(UPPER(C469)&amp;REPT(" ",10),10)," ")</f>
        <v/>
      </c>
      <c r="T469" s="10">
        <f>IF(A469="D",LEFT(UPPER(D469)&amp;REPT(" ",2),2)," ")</f>
        <v/>
      </c>
      <c r="U469" s="10">
        <f>IF(A469="D",LEFT(UPPER(E469)&amp;REPT(" ",15),15)," ")</f>
        <v/>
      </c>
      <c r="V469" s="10">
        <f>REPT(" ",24)</f>
        <v/>
      </c>
      <c r="W469" s="10">
        <f>IF(A469="c",LEFT(UPPER(B469)&amp;REPT(" ",20),20),REPT(" ",20))</f>
        <v/>
      </c>
      <c r="X469" s="10">
        <f>IF(A469="C",LEFT(UPPER(C469)&amp;REPT(" ",10),10)," ")</f>
        <v/>
      </c>
      <c r="Y469" s="10">
        <f>IF(A469="C",LEFT(UPPER(D469)&amp;REPT(" ",2),2)," ")</f>
        <v/>
      </c>
      <c r="Z469" s="10">
        <f>IF(A469="C",LEFT(UPPER(E469)&amp;REPT(" ",15),15)," ")</f>
        <v/>
      </c>
      <c r="AA469" s="10">
        <f>REPT(" ",8)</f>
        <v/>
      </c>
      <c r="AB469" s="10">
        <f>REPT(" ",4)</f>
        <v/>
      </c>
      <c r="AC469" s="10">
        <f>LEFT(UPPER(H469)&amp;REPT(" ",250),250)</f>
        <v/>
      </c>
      <c r="AD469" s="10">
        <f>TEXT($G$2,"dd/mm/aaaa")</f>
        <v/>
      </c>
      <c r="AE469" s="10">
        <f>REPT(" ",10)</f>
        <v/>
      </c>
      <c r="AF469" s="10">
        <f>REPT(" ",20)</f>
        <v/>
      </c>
      <c r="AG469" s="54">
        <f>REPT(" ",18-LEN(FIXED(F469,2,TRUE)))&amp;FIXED(F469,2,TRUE)</f>
        <v/>
      </c>
      <c r="AH469" s="10">
        <f>LEN(AC469)+LEN(AG469)</f>
        <v/>
      </c>
      <c r="AI469" s="10">
        <f>LEN(L469)</f>
        <v/>
      </c>
    </row>
    <row r="470">
      <c r="I470" s="42" t="n"/>
      <c r="J470" s="12">
        <f>IF(F470&lt;&gt;0,"LANÇAR","")</f>
        <v/>
      </c>
      <c r="K470" s="20" t="n"/>
      <c r="L470" s="13">
        <f>N470&amp;O470&amp;P470&amp;Q470&amp;R470&amp;S470&amp;T470&amp;U470&amp;V470&amp;W470&amp;X470&amp;Y470&amp;Z470&amp;AA470&amp;AB470&amp;AC470&amp;AD470&amp;AE470&amp;AF470&amp;AG470</f>
        <v/>
      </c>
      <c r="M470" s="20" t="n"/>
      <c r="N470" s="10">
        <f>TEXT($B$6,"00")</f>
        <v/>
      </c>
      <c r="O470" s="10">
        <f>REPT(" ",8)</f>
        <v/>
      </c>
      <c r="P470" s="10">
        <f>RIGHT($B$4,2)</f>
        <v/>
      </c>
      <c r="Q470" s="10">
        <f>RIGHT($B$5,3)</f>
        <v/>
      </c>
      <c r="R470" s="10">
        <f>IF(A470="D",LEFT(UPPER(B470)&amp;REPT(" ",20),20),REPT(" ",20))</f>
        <v/>
      </c>
      <c r="S470" s="10">
        <f>IF(A470="D",LEFT(UPPER(C470)&amp;REPT(" ",10),10)," ")</f>
        <v/>
      </c>
      <c r="T470" s="10">
        <f>IF(A470="D",LEFT(UPPER(D470)&amp;REPT(" ",2),2)," ")</f>
        <v/>
      </c>
      <c r="U470" s="10">
        <f>IF(A470="D",LEFT(UPPER(E470)&amp;REPT(" ",15),15)," ")</f>
        <v/>
      </c>
      <c r="V470" s="10">
        <f>REPT(" ",24)</f>
        <v/>
      </c>
      <c r="W470" s="10">
        <f>IF(A470="c",LEFT(UPPER(B470)&amp;REPT(" ",20),20),REPT(" ",20))</f>
        <v/>
      </c>
      <c r="X470" s="10">
        <f>IF(A470="C",LEFT(UPPER(C470)&amp;REPT(" ",10),10)," ")</f>
        <v/>
      </c>
      <c r="Y470" s="10">
        <f>IF(A470="C",LEFT(UPPER(D470)&amp;REPT(" ",2),2)," ")</f>
        <v/>
      </c>
      <c r="Z470" s="10">
        <f>IF(A470="C",LEFT(UPPER(E470)&amp;REPT(" ",15),15)," ")</f>
        <v/>
      </c>
      <c r="AA470" s="10">
        <f>REPT(" ",8)</f>
        <v/>
      </c>
      <c r="AB470" s="10">
        <f>REPT(" ",4)</f>
        <v/>
      </c>
      <c r="AC470" s="10">
        <f>LEFT(UPPER(H470)&amp;REPT(" ",250),250)</f>
        <v/>
      </c>
      <c r="AD470" s="10">
        <f>TEXT($G$2,"dd/mm/aaaa")</f>
        <v/>
      </c>
      <c r="AE470" s="10">
        <f>REPT(" ",10)</f>
        <v/>
      </c>
      <c r="AF470" s="10">
        <f>REPT(" ",20)</f>
        <v/>
      </c>
      <c r="AG470" s="54">
        <f>REPT(" ",18-LEN(FIXED(F470,2,TRUE)))&amp;FIXED(F470,2,TRUE)</f>
        <v/>
      </c>
      <c r="AH470" s="10">
        <f>LEN(AC470)+LEN(AG470)</f>
        <v/>
      </c>
      <c r="AI470" s="10">
        <f>LEN(L470)</f>
        <v/>
      </c>
    </row>
    <row r="471">
      <c r="I471" s="42" t="n"/>
      <c r="J471" s="12">
        <f>IF(F471&lt;&gt;0,"LANÇAR","")</f>
        <v/>
      </c>
      <c r="K471" s="20" t="n"/>
      <c r="L471" s="13">
        <f>N471&amp;O471&amp;P471&amp;Q471&amp;R471&amp;S471&amp;T471&amp;U471&amp;V471&amp;W471&amp;X471&amp;Y471&amp;Z471&amp;AA471&amp;AB471&amp;AC471&amp;AD471&amp;AE471&amp;AF471&amp;AG471</f>
        <v/>
      </c>
      <c r="M471" s="20" t="n"/>
      <c r="N471" s="10">
        <f>TEXT($B$6,"00")</f>
        <v/>
      </c>
      <c r="O471" s="10">
        <f>REPT(" ",8)</f>
        <v/>
      </c>
      <c r="P471" s="10">
        <f>RIGHT($B$4,2)</f>
        <v/>
      </c>
      <c r="Q471" s="10">
        <f>RIGHT($B$5,3)</f>
        <v/>
      </c>
      <c r="R471" s="10">
        <f>IF(A471="D",LEFT(UPPER(B471)&amp;REPT(" ",20),20),REPT(" ",20))</f>
        <v/>
      </c>
      <c r="S471" s="10">
        <f>IF(A471="D",LEFT(UPPER(C471)&amp;REPT(" ",10),10)," ")</f>
        <v/>
      </c>
      <c r="T471" s="10">
        <f>IF(A471="D",LEFT(UPPER(D471)&amp;REPT(" ",2),2)," ")</f>
        <v/>
      </c>
      <c r="U471" s="10">
        <f>IF(A471="D",LEFT(UPPER(E471)&amp;REPT(" ",15),15)," ")</f>
        <v/>
      </c>
      <c r="V471" s="10">
        <f>REPT(" ",24)</f>
        <v/>
      </c>
      <c r="W471" s="10">
        <f>IF(A471="c",LEFT(UPPER(B471)&amp;REPT(" ",20),20),REPT(" ",20))</f>
        <v/>
      </c>
      <c r="X471" s="10">
        <f>IF(A471="C",LEFT(UPPER(C471)&amp;REPT(" ",10),10)," ")</f>
        <v/>
      </c>
      <c r="Y471" s="10">
        <f>IF(A471="C",LEFT(UPPER(D471)&amp;REPT(" ",2),2)," ")</f>
        <v/>
      </c>
      <c r="Z471" s="10">
        <f>IF(A471="C",LEFT(UPPER(E471)&amp;REPT(" ",15),15)," ")</f>
        <v/>
      </c>
      <c r="AA471" s="10">
        <f>REPT(" ",8)</f>
        <v/>
      </c>
      <c r="AB471" s="10">
        <f>REPT(" ",4)</f>
        <v/>
      </c>
      <c r="AC471" s="10">
        <f>LEFT(UPPER(H471)&amp;REPT(" ",250),250)</f>
        <v/>
      </c>
      <c r="AD471" s="10">
        <f>TEXT($G$2,"dd/mm/aaaa")</f>
        <v/>
      </c>
      <c r="AE471" s="10">
        <f>REPT(" ",10)</f>
        <v/>
      </c>
      <c r="AF471" s="10">
        <f>REPT(" ",20)</f>
        <v/>
      </c>
      <c r="AG471" s="54">
        <f>REPT(" ",18-LEN(FIXED(F471,2,TRUE)))&amp;FIXED(F471,2,TRUE)</f>
        <v/>
      </c>
      <c r="AH471" s="10">
        <f>LEN(AC471)+LEN(AG471)</f>
        <v/>
      </c>
      <c r="AI471" s="10">
        <f>LEN(L471)</f>
        <v/>
      </c>
    </row>
    <row r="472">
      <c r="I472" s="42" t="n"/>
      <c r="J472" s="12">
        <f>IF(F472&lt;&gt;0,"LANÇAR","")</f>
        <v/>
      </c>
      <c r="K472" s="20" t="n"/>
      <c r="L472" s="13">
        <f>N472&amp;O472&amp;P472&amp;Q472&amp;R472&amp;S472&amp;T472&amp;U472&amp;V472&amp;W472&amp;X472&amp;Y472&amp;Z472&amp;AA472&amp;AB472&amp;AC472&amp;AD472&amp;AE472&amp;AF472&amp;AG472</f>
        <v/>
      </c>
      <c r="M472" s="20" t="n"/>
      <c r="N472" s="10">
        <f>TEXT($B$6,"00")</f>
        <v/>
      </c>
      <c r="O472" s="10">
        <f>REPT(" ",8)</f>
        <v/>
      </c>
      <c r="P472" s="10">
        <f>RIGHT($B$4,2)</f>
        <v/>
      </c>
      <c r="Q472" s="10">
        <f>RIGHT($B$5,3)</f>
        <v/>
      </c>
      <c r="R472" s="10">
        <f>IF(A472="D",LEFT(UPPER(B472)&amp;REPT(" ",20),20),REPT(" ",20))</f>
        <v/>
      </c>
      <c r="S472" s="10">
        <f>IF(A472="D",LEFT(UPPER(C472)&amp;REPT(" ",10),10)," ")</f>
        <v/>
      </c>
      <c r="T472" s="10">
        <f>IF(A472="D",LEFT(UPPER(D472)&amp;REPT(" ",2),2)," ")</f>
        <v/>
      </c>
      <c r="U472" s="10">
        <f>IF(A472="D",LEFT(UPPER(E472)&amp;REPT(" ",15),15)," ")</f>
        <v/>
      </c>
      <c r="V472" s="10">
        <f>REPT(" ",24)</f>
        <v/>
      </c>
      <c r="W472" s="10">
        <f>IF(A472="c",LEFT(UPPER(B472)&amp;REPT(" ",20),20),REPT(" ",20))</f>
        <v/>
      </c>
      <c r="X472" s="10">
        <f>IF(A472="C",LEFT(UPPER(C472)&amp;REPT(" ",10),10)," ")</f>
        <v/>
      </c>
      <c r="Y472" s="10">
        <f>IF(A472="C",LEFT(UPPER(D472)&amp;REPT(" ",2),2)," ")</f>
        <v/>
      </c>
      <c r="Z472" s="10">
        <f>IF(A472="C",LEFT(UPPER(E472)&amp;REPT(" ",15),15)," ")</f>
        <v/>
      </c>
      <c r="AA472" s="10">
        <f>REPT(" ",8)</f>
        <v/>
      </c>
      <c r="AB472" s="10">
        <f>REPT(" ",4)</f>
        <v/>
      </c>
      <c r="AC472" s="10">
        <f>LEFT(UPPER(H472)&amp;REPT(" ",250),250)</f>
        <v/>
      </c>
      <c r="AD472" s="10">
        <f>TEXT($G$2,"dd/mm/aaaa")</f>
        <v/>
      </c>
      <c r="AE472" s="10">
        <f>REPT(" ",10)</f>
        <v/>
      </c>
      <c r="AF472" s="10">
        <f>REPT(" ",20)</f>
        <v/>
      </c>
      <c r="AG472" s="54">
        <f>REPT(" ",18-LEN(FIXED(F472,2,TRUE)))&amp;FIXED(F472,2,TRUE)</f>
        <v/>
      </c>
      <c r="AH472" s="10">
        <f>LEN(AC472)+LEN(AG472)</f>
        <v/>
      </c>
      <c r="AI472" s="10">
        <f>LEN(L472)</f>
        <v/>
      </c>
    </row>
    <row r="473">
      <c r="I473" s="42" t="n"/>
      <c r="J473" s="12">
        <f>IF(F473&lt;&gt;0,"LANÇAR","")</f>
        <v/>
      </c>
      <c r="K473" s="20" t="n"/>
      <c r="L473" s="13">
        <f>N473&amp;O473&amp;P473&amp;Q473&amp;R473&amp;S473&amp;T473&amp;U473&amp;V473&amp;W473&amp;X473&amp;Y473&amp;Z473&amp;AA473&amp;AB473&amp;AC473&amp;AD473&amp;AE473&amp;AF473&amp;AG473</f>
        <v/>
      </c>
      <c r="M473" s="20" t="n"/>
      <c r="N473" s="10">
        <f>TEXT($B$6,"00")</f>
        <v/>
      </c>
      <c r="O473" s="10">
        <f>REPT(" ",8)</f>
        <v/>
      </c>
      <c r="P473" s="10">
        <f>RIGHT($B$4,2)</f>
        <v/>
      </c>
      <c r="Q473" s="10">
        <f>RIGHT($B$5,3)</f>
        <v/>
      </c>
      <c r="R473" s="10">
        <f>IF(A473="D",LEFT(UPPER(B473)&amp;REPT(" ",20),20),REPT(" ",20))</f>
        <v/>
      </c>
      <c r="S473" s="10">
        <f>IF(A473="D",LEFT(UPPER(C473)&amp;REPT(" ",10),10)," ")</f>
        <v/>
      </c>
      <c r="T473" s="10">
        <f>IF(A473="D",LEFT(UPPER(D473)&amp;REPT(" ",2),2)," ")</f>
        <v/>
      </c>
      <c r="U473" s="10">
        <f>IF(A473="D",LEFT(UPPER(E473)&amp;REPT(" ",15),15)," ")</f>
        <v/>
      </c>
      <c r="V473" s="10">
        <f>REPT(" ",24)</f>
        <v/>
      </c>
      <c r="W473" s="10">
        <f>IF(A473="c",LEFT(UPPER(B473)&amp;REPT(" ",20),20),REPT(" ",20))</f>
        <v/>
      </c>
      <c r="X473" s="10">
        <f>IF(A473="C",LEFT(UPPER(C473)&amp;REPT(" ",10),10)," ")</f>
        <v/>
      </c>
      <c r="Y473" s="10">
        <f>IF(A473="C",LEFT(UPPER(D473)&amp;REPT(" ",2),2)," ")</f>
        <v/>
      </c>
      <c r="Z473" s="10">
        <f>IF(A473="C",LEFT(UPPER(E473)&amp;REPT(" ",15),15)," ")</f>
        <v/>
      </c>
      <c r="AA473" s="10">
        <f>REPT(" ",8)</f>
        <v/>
      </c>
      <c r="AB473" s="10">
        <f>REPT(" ",4)</f>
        <v/>
      </c>
      <c r="AC473" s="10">
        <f>LEFT(UPPER(H473)&amp;REPT(" ",250),250)</f>
        <v/>
      </c>
      <c r="AD473" s="10">
        <f>TEXT($G$2,"dd/mm/aaaa")</f>
        <v/>
      </c>
      <c r="AE473" s="10">
        <f>REPT(" ",10)</f>
        <v/>
      </c>
      <c r="AF473" s="10">
        <f>REPT(" ",20)</f>
        <v/>
      </c>
      <c r="AG473" s="54">
        <f>REPT(" ",18-LEN(FIXED(F473,2,TRUE)))&amp;FIXED(F473,2,TRUE)</f>
        <v/>
      </c>
      <c r="AH473" s="10">
        <f>LEN(AC473)+LEN(AG473)</f>
        <v/>
      </c>
      <c r="AI473" s="10">
        <f>LEN(L473)</f>
        <v/>
      </c>
    </row>
    <row r="474">
      <c r="I474" s="42" t="n"/>
      <c r="J474" s="12">
        <f>IF(F474&lt;&gt;0,"LANÇAR","")</f>
        <v/>
      </c>
      <c r="K474" s="20" t="n"/>
      <c r="L474" s="13">
        <f>N474&amp;O474&amp;P474&amp;Q474&amp;R474&amp;S474&amp;T474&amp;U474&amp;V474&amp;W474&amp;X474&amp;Y474&amp;Z474&amp;AA474&amp;AB474&amp;AC474&amp;AD474&amp;AE474&amp;AF474&amp;AG474</f>
        <v/>
      </c>
      <c r="M474" s="20" t="n"/>
      <c r="N474" s="10">
        <f>TEXT($B$6,"00")</f>
        <v/>
      </c>
      <c r="O474" s="10">
        <f>REPT(" ",8)</f>
        <v/>
      </c>
      <c r="P474" s="10">
        <f>RIGHT($B$4,2)</f>
        <v/>
      </c>
      <c r="Q474" s="10">
        <f>RIGHT($B$5,3)</f>
        <v/>
      </c>
      <c r="R474" s="10">
        <f>IF(A474="D",LEFT(UPPER(B474)&amp;REPT(" ",20),20),REPT(" ",20))</f>
        <v/>
      </c>
      <c r="S474" s="10">
        <f>IF(A474="D",LEFT(UPPER(C474)&amp;REPT(" ",10),10)," ")</f>
        <v/>
      </c>
      <c r="T474" s="10">
        <f>IF(A474="D",LEFT(UPPER(D474)&amp;REPT(" ",2),2)," ")</f>
        <v/>
      </c>
      <c r="U474" s="10">
        <f>IF(A474="D",LEFT(UPPER(E474)&amp;REPT(" ",15),15)," ")</f>
        <v/>
      </c>
      <c r="V474" s="10">
        <f>REPT(" ",24)</f>
        <v/>
      </c>
      <c r="W474" s="10">
        <f>IF(A474="c",LEFT(UPPER(B474)&amp;REPT(" ",20),20),REPT(" ",20))</f>
        <v/>
      </c>
      <c r="X474" s="10">
        <f>IF(A474="C",LEFT(UPPER(C474)&amp;REPT(" ",10),10)," ")</f>
        <v/>
      </c>
      <c r="Y474" s="10">
        <f>IF(A474="C",LEFT(UPPER(D474)&amp;REPT(" ",2),2)," ")</f>
        <v/>
      </c>
      <c r="Z474" s="10">
        <f>IF(A474="C",LEFT(UPPER(E474)&amp;REPT(" ",15),15)," ")</f>
        <v/>
      </c>
      <c r="AA474" s="10">
        <f>REPT(" ",8)</f>
        <v/>
      </c>
      <c r="AB474" s="10">
        <f>REPT(" ",4)</f>
        <v/>
      </c>
      <c r="AC474" s="10">
        <f>LEFT(UPPER(H474)&amp;REPT(" ",250),250)</f>
        <v/>
      </c>
      <c r="AD474" s="10">
        <f>TEXT($G$2,"dd/mm/aaaa")</f>
        <v/>
      </c>
      <c r="AE474" s="10">
        <f>REPT(" ",10)</f>
        <v/>
      </c>
      <c r="AF474" s="10">
        <f>REPT(" ",20)</f>
        <v/>
      </c>
      <c r="AG474" s="54">
        <f>REPT(" ",18-LEN(FIXED(F474,2,TRUE)))&amp;FIXED(F474,2,TRUE)</f>
        <v/>
      </c>
      <c r="AH474" s="10">
        <f>LEN(AC474)+LEN(AG474)</f>
        <v/>
      </c>
      <c r="AI474" s="10">
        <f>LEN(L474)</f>
        <v/>
      </c>
    </row>
    <row r="475">
      <c r="I475" s="42" t="n"/>
      <c r="J475" s="12">
        <f>IF(F475&lt;&gt;0,"LANÇAR","")</f>
        <v/>
      </c>
      <c r="K475" s="20" t="n"/>
      <c r="L475" s="13">
        <f>N475&amp;O475&amp;P475&amp;Q475&amp;R475&amp;S475&amp;T475&amp;U475&amp;V475&amp;W475&amp;X475&amp;Y475&amp;Z475&amp;AA475&amp;AB475&amp;AC475&amp;AD475&amp;AE475&amp;AF475&amp;AG475</f>
        <v/>
      </c>
      <c r="M475" s="20" t="n"/>
      <c r="N475" s="10">
        <f>TEXT($B$6,"00")</f>
        <v/>
      </c>
      <c r="O475" s="10">
        <f>REPT(" ",8)</f>
        <v/>
      </c>
      <c r="P475" s="10">
        <f>RIGHT($B$4,2)</f>
        <v/>
      </c>
      <c r="Q475" s="10">
        <f>RIGHT($B$5,3)</f>
        <v/>
      </c>
      <c r="R475" s="10">
        <f>IF(A475="D",LEFT(UPPER(B475)&amp;REPT(" ",20),20),REPT(" ",20))</f>
        <v/>
      </c>
      <c r="S475" s="10">
        <f>IF(A475="D",LEFT(UPPER(C475)&amp;REPT(" ",10),10)," ")</f>
        <v/>
      </c>
      <c r="T475" s="10">
        <f>IF(A475="D",LEFT(UPPER(D475)&amp;REPT(" ",2),2)," ")</f>
        <v/>
      </c>
      <c r="U475" s="10">
        <f>IF(A475="D",LEFT(UPPER(E475)&amp;REPT(" ",15),15)," ")</f>
        <v/>
      </c>
      <c r="V475" s="10">
        <f>REPT(" ",24)</f>
        <v/>
      </c>
      <c r="W475" s="10">
        <f>IF(A475="c",LEFT(UPPER(B475)&amp;REPT(" ",20),20),REPT(" ",20))</f>
        <v/>
      </c>
      <c r="X475" s="10">
        <f>IF(A475="C",LEFT(UPPER(C475)&amp;REPT(" ",10),10)," ")</f>
        <v/>
      </c>
      <c r="Y475" s="10">
        <f>IF(A475="C",LEFT(UPPER(D475)&amp;REPT(" ",2),2)," ")</f>
        <v/>
      </c>
      <c r="Z475" s="10">
        <f>IF(A475="C",LEFT(UPPER(E475)&amp;REPT(" ",15),15)," ")</f>
        <v/>
      </c>
      <c r="AA475" s="10">
        <f>REPT(" ",8)</f>
        <v/>
      </c>
      <c r="AB475" s="10">
        <f>REPT(" ",4)</f>
        <v/>
      </c>
      <c r="AC475" s="10">
        <f>LEFT(UPPER(H475)&amp;REPT(" ",250),250)</f>
        <v/>
      </c>
      <c r="AD475" s="10">
        <f>TEXT($G$2,"dd/mm/aaaa")</f>
        <v/>
      </c>
      <c r="AE475" s="10">
        <f>REPT(" ",10)</f>
        <v/>
      </c>
      <c r="AF475" s="10">
        <f>REPT(" ",20)</f>
        <v/>
      </c>
      <c r="AG475" s="54">
        <f>REPT(" ",18-LEN(FIXED(F475,2,TRUE)))&amp;FIXED(F475,2,TRUE)</f>
        <v/>
      </c>
      <c r="AH475" s="10">
        <f>LEN(AC475)+LEN(AG475)</f>
        <v/>
      </c>
      <c r="AI475" s="10">
        <f>LEN(L475)</f>
        <v/>
      </c>
    </row>
    <row r="476">
      <c r="I476" s="42" t="n"/>
      <c r="J476" s="12">
        <f>IF(F476&lt;&gt;0,"LANÇAR","")</f>
        <v/>
      </c>
      <c r="K476" s="20" t="n"/>
      <c r="L476" s="13">
        <f>N476&amp;O476&amp;P476&amp;Q476&amp;R476&amp;S476&amp;T476&amp;U476&amp;V476&amp;W476&amp;X476&amp;Y476&amp;Z476&amp;AA476&amp;AB476&amp;AC476&amp;AD476&amp;AE476&amp;AF476&amp;AG476</f>
        <v/>
      </c>
      <c r="M476" s="20" t="n"/>
      <c r="N476" s="10">
        <f>TEXT($B$6,"00")</f>
        <v/>
      </c>
      <c r="O476" s="10">
        <f>REPT(" ",8)</f>
        <v/>
      </c>
      <c r="P476" s="10">
        <f>RIGHT($B$4,2)</f>
        <v/>
      </c>
      <c r="Q476" s="10">
        <f>RIGHT($B$5,3)</f>
        <v/>
      </c>
      <c r="R476" s="10">
        <f>IF(A476="D",LEFT(UPPER(B476)&amp;REPT(" ",20),20),REPT(" ",20))</f>
        <v/>
      </c>
      <c r="S476" s="10">
        <f>IF(A476="D",LEFT(UPPER(C476)&amp;REPT(" ",10),10)," ")</f>
        <v/>
      </c>
      <c r="T476" s="10">
        <f>IF(A476="D",LEFT(UPPER(D476)&amp;REPT(" ",2),2)," ")</f>
        <v/>
      </c>
      <c r="U476" s="10">
        <f>IF(A476="D",LEFT(UPPER(E476)&amp;REPT(" ",15),15)," ")</f>
        <v/>
      </c>
      <c r="V476" s="10">
        <f>REPT(" ",24)</f>
        <v/>
      </c>
      <c r="W476" s="10">
        <f>IF(A476="c",LEFT(UPPER(B476)&amp;REPT(" ",20),20),REPT(" ",20))</f>
        <v/>
      </c>
      <c r="X476" s="10">
        <f>IF(A476="C",LEFT(UPPER(C476)&amp;REPT(" ",10),10)," ")</f>
        <v/>
      </c>
      <c r="Y476" s="10">
        <f>IF(A476="C",LEFT(UPPER(D476)&amp;REPT(" ",2),2)," ")</f>
        <v/>
      </c>
      <c r="Z476" s="10">
        <f>IF(A476="C",LEFT(UPPER(E476)&amp;REPT(" ",15),15)," ")</f>
        <v/>
      </c>
      <c r="AA476" s="10">
        <f>REPT(" ",8)</f>
        <v/>
      </c>
      <c r="AB476" s="10">
        <f>REPT(" ",4)</f>
        <v/>
      </c>
      <c r="AC476" s="10">
        <f>LEFT(UPPER(H476)&amp;REPT(" ",250),250)</f>
        <v/>
      </c>
      <c r="AD476" s="10">
        <f>TEXT($G$2,"dd/mm/aaaa")</f>
        <v/>
      </c>
      <c r="AE476" s="10">
        <f>REPT(" ",10)</f>
        <v/>
      </c>
      <c r="AF476" s="10">
        <f>REPT(" ",20)</f>
        <v/>
      </c>
      <c r="AG476" s="54">
        <f>REPT(" ",18-LEN(FIXED(F476,2,TRUE)))&amp;FIXED(F476,2,TRUE)</f>
        <v/>
      </c>
      <c r="AH476" s="10">
        <f>LEN(AC476)+LEN(AG476)</f>
        <v/>
      </c>
      <c r="AI476" s="10">
        <f>LEN(L476)</f>
        <v/>
      </c>
    </row>
    <row r="477">
      <c r="I477" s="42" t="n"/>
      <c r="J477" s="12">
        <f>IF(F477&lt;&gt;0,"LANÇAR","")</f>
        <v/>
      </c>
      <c r="K477" s="20" t="n"/>
      <c r="L477" s="13">
        <f>N477&amp;O477&amp;P477&amp;Q477&amp;R477&amp;S477&amp;T477&amp;U477&amp;V477&amp;W477&amp;X477&amp;Y477&amp;Z477&amp;AA477&amp;AB477&amp;AC477&amp;AD477&amp;AE477&amp;AF477&amp;AG477</f>
        <v/>
      </c>
      <c r="M477" s="20" t="n"/>
      <c r="N477" s="10">
        <f>TEXT($B$6,"00")</f>
        <v/>
      </c>
      <c r="O477" s="10">
        <f>REPT(" ",8)</f>
        <v/>
      </c>
      <c r="P477" s="10">
        <f>RIGHT($B$4,2)</f>
        <v/>
      </c>
      <c r="Q477" s="10">
        <f>RIGHT($B$5,3)</f>
        <v/>
      </c>
      <c r="R477" s="10">
        <f>IF(A477="D",LEFT(UPPER(B477)&amp;REPT(" ",20),20),REPT(" ",20))</f>
        <v/>
      </c>
      <c r="S477" s="10">
        <f>IF(A477="D",LEFT(UPPER(C477)&amp;REPT(" ",10),10)," ")</f>
        <v/>
      </c>
      <c r="T477" s="10">
        <f>IF(A477="D",LEFT(UPPER(D477)&amp;REPT(" ",2),2)," ")</f>
        <v/>
      </c>
      <c r="U477" s="10">
        <f>IF(A477="D",LEFT(UPPER(E477)&amp;REPT(" ",15),15)," ")</f>
        <v/>
      </c>
      <c r="V477" s="10">
        <f>REPT(" ",24)</f>
        <v/>
      </c>
      <c r="W477" s="10">
        <f>IF(A477="c",LEFT(UPPER(B477)&amp;REPT(" ",20),20),REPT(" ",20))</f>
        <v/>
      </c>
      <c r="X477" s="10">
        <f>IF(A477="C",LEFT(UPPER(C477)&amp;REPT(" ",10),10)," ")</f>
        <v/>
      </c>
      <c r="Y477" s="10">
        <f>IF(A477="C",LEFT(UPPER(D477)&amp;REPT(" ",2),2)," ")</f>
        <v/>
      </c>
      <c r="Z477" s="10">
        <f>IF(A477="C",LEFT(UPPER(E477)&amp;REPT(" ",15),15)," ")</f>
        <v/>
      </c>
      <c r="AA477" s="10">
        <f>REPT(" ",8)</f>
        <v/>
      </c>
      <c r="AB477" s="10">
        <f>REPT(" ",4)</f>
        <v/>
      </c>
      <c r="AC477" s="10">
        <f>LEFT(UPPER(H477)&amp;REPT(" ",250),250)</f>
        <v/>
      </c>
      <c r="AD477" s="10">
        <f>TEXT($G$2,"dd/mm/aaaa")</f>
        <v/>
      </c>
      <c r="AE477" s="10">
        <f>REPT(" ",10)</f>
        <v/>
      </c>
      <c r="AF477" s="10">
        <f>REPT(" ",20)</f>
        <v/>
      </c>
      <c r="AG477" s="54">
        <f>REPT(" ",18-LEN(FIXED(F477,2,TRUE)))&amp;FIXED(F477,2,TRUE)</f>
        <v/>
      </c>
      <c r="AH477" s="10">
        <f>LEN(AC477)+LEN(AG477)</f>
        <v/>
      </c>
      <c r="AI477" s="10">
        <f>LEN(L477)</f>
        <v/>
      </c>
    </row>
    <row r="478">
      <c r="I478" s="42" t="n"/>
      <c r="J478" s="12">
        <f>IF(F478&lt;&gt;0,"LANÇAR","")</f>
        <v/>
      </c>
      <c r="K478" s="20" t="n"/>
      <c r="L478" s="13">
        <f>N478&amp;O478&amp;P478&amp;Q478&amp;R478&amp;S478&amp;T478&amp;U478&amp;V478&amp;W478&amp;X478&amp;Y478&amp;Z478&amp;AA478&amp;AB478&amp;AC478&amp;AD478&amp;AE478&amp;AF478&amp;AG478</f>
        <v/>
      </c>
      <c r="M478" s="20" t="n"/>
      <c r="N478" s="10">
        <f>TEXT($B$6,"00")</f>
        <v/>
      </c>
      <c r="O478" s="10">
        <f>REPT(" ",8)</f>
        <v/>
      </c>
      <c r="P478" s="10">
        <f>RIGHT($B$4,2)</f>
        <v/>
      </c>
      <c r="Q478" s="10">
        <f>RIGHT($B$5,3)</f>
        <v/>
      </c>
      <c r="R478" s="10">
        <f>IF(A478="D",LEFT(UPPER(B478)&amp;REPT(" ",20),20),REPT(" ",20))</f>
        <v/>
      </c>
      <c r="S478" s="10">
        <f>IF(A478="D",LEFT(UPPER(C478)&amp;REPT(" ",10),10)," ")</f>
        <v/>
      </c>
      <c r="T478" s="10">
        <f>IF(A478="D",LEFT(UPPER(D478)&amp;REPT(" ",2),2)," ")</f>
        <v/>
      </c>
      <c r="U478" s="10">
        <f>IF(A478="D",LEFT(UPPER(E478)&amp;REPT(" ",15),15)," ")</f>
        <v/>
      </c>
      <c r="V478" s="10">
        <f>REPT(" ",24)</f>
        <v/>
      </c>
      <c r="W478" s="10">
        <f>IF(A478="c",LEFT(UPPER(B478)&amp;REPT(" ",20),20),REPT(" ",20))</f>
        <v/>
      </c>
      <c r="X478" s="10">
        <f>IF(A478="C",LEFT(UPPER(C478)&amp;REPT(" ",10),10)," ")</f>
        <v/>
      </c>
      <c r="Y478" s="10">
        <f>IF(A478="C",LEFT(UPPER(D478)&amp;REPT(" ",2),2)," ")</f>
        <v/>
      </c>
      <c r="Z478" s="10">
        <f>IF(A478="C",LEFT(UPPER(E478)&amp;REPT(" ",15),15)," ")</f>
        <v/>
      </c>
      <c r="AA478" s="10">
        <f>REPT(" ",8)</f>
        <v/>
      </c>
      <c r="AB478" s="10">
        <f>REPT(" ",4)</f>
        <v/>
      </c>
      <c r="AC478" s="10">
        <f>LEFT(UPPER(H478)&amp;REPT(" ",250),250)</f>
        <v/>
      </c>
      <c r="AD478" s="10">
        <f>TEXT($G$2,"dd/mm/aaaa")</f>
        <v/>
      </c>
      <c r="AE478" s="10">
        <f>REPT(" ",10)</f>
        <v/>
      </c>
      <c r="AF478" s="10">
        <f>REPT(" ",20)</f>
        <v/>
      </c>
      <c r="AG478" s="54">
        <f>REPT(" ",18-LEN(FIXED(F478,2,TRUE)))&amp;FIXED(F478,2,TRUE)</f>
        <v/>
      </c>
      <c r="AH478" s="10">
        <f>LEN(AC478)+LEN(AG478)</f>
        <v/>
      </c>
      <c r="AI478" s="10">
        <f>LEN(L478)</f>
        <v/>
      </c>
    </row>
    <row r="479">
      <c r="I479" s="42" t="n"/>
      <c r="J479" s="12">
        <f>IF(F479&lt;&gt;0,"LANÇAR","")</f>
        <v/>
      </c>
      <c r="K479" s="20" t="n"/>
      <c r="L479" s="13">
        <f>N479&amp;O479&amp;P479&amp;Q479&amp;R479&amp;S479&amp;T479&amp;U479&amp;V479&amp;W479&amp;X479&amp;Y479&amp;Z479&amp;AA479&amp;AB479&amp;AC479&amp;AD479&amp;AE479&amp;AF479&amp;AG479</f>
        <v/>
      </c>
      <c r="M479" s="20" t="n"/>
      <c r="N479" s="10">
        <f>TEXT($B$6,"00")</f>
        <v/>
      </c>
      <c r="O479" s="10">
        <f>REPT(" ",8)</f>
        <v/>
      </c>
      <c r="P479" s="10">
        <f>RIGHT($B$4,2)</f>
        <v/>
      </c>
      <c r="Q479" s="10">
        <f>RIGHT($B$5,3)</f>
        <v/>
      </c>
      <c r="R479" s="10">
        <f>IF(A479="D",LEFT(UPPER(B479)&amp;REPT(" ",20),20),REPT(" ",20))</f>
        <v/>
      </c>
      <c r="S479" s="10">
        <f>IF(A479="D",LEFT(UPPER(C479)&amp;REPT(" ",10),10)," ")</f>
        <v/>
      </c>
      <c r="T479" s="10">
        <f>IF(A479="D",LEFT(UPPER(D479)&amp;REPT(" ",2),2)," ")</f>
        <v/>
      </c>
      <c r="U479" s="10">
        <f>IF(A479="D",LEFT(UPPER(E479)&amp;REPT(" ",15),15)," ")</f>
        <v/>
      </c>
      <c r="V479" s="10">
        <f>REPT(" ",24)</f>
        <v/>
      </c>
      <c r="W479" s="10">
        <f>IF(A479="c",LEFT(UPPER(B479)&amp;REPT(" ",20),20),REPT(" ",20))</f>
        <v/>
      </c>
      <c r="X479" s="10">
        <f>IF(A479="C",LEFT(UPPER(C479)&amp;REPT(" ",10),10)," ")</f>
        <v/>
      </c>
      <c r="Y479" s="10">
        <f>IF(A479="C",LEFT(UPPER(D479)&amp;REPT(" ",2),2)," ")</f>
        <v/>
      </c>
      <c r="Z479" s="10">
        <f>IF(A479="C",LEFT(UPPER(E479)&amp;REPT(" ",15),15)," ")</f>
        <v/>
      </c>
      <c r="AA479" s="10">
        <f>REPT(" ",8)</f>
        <v/>
      </c>
      <c r="AB479" s="10">
        <f>REPT(" ",4)</f>
        <v/>
      </c>
      <c r="AC479" s="10">
        <f>LEFT(UPPER(H479)&amp;REPT(" ",250),250)</f>
        <v/>
      </c>
      <c r="AD479" s="10">
        <f>TEXT($G$2,"dd/mm/aaaa")</f>
        <v/>
      </c>
      <c r="AE479" s="10">
        <f>REPT(" ",10)</f>
        <v/>
      </c>
      <c r="AF479" s="10">
        <f>REPT(" ",20)</f>
        <v/>
      </c>
      <c r="AG479" s="54">
        <f>REPT(" ",18-LEN(FIXED(F479,2,TRUE)))&amp;FIXED(F479,2,TRUE)</f>
        <v/>
      </c>
      <c r="AH479" s="10">
        <f>LEN(AC479)+LEN(AG479)</f>
        <v/>
      </c>
      <c r="AI479" s="10">
        <f>LEN(L479)</f>
        <v/>
      </c>
    </row>
    <row r="480">
      <c r="I480" s="42" t="n"/>
      <c r="J480" s="12">
        <f>IF(F480&lt;&gt;0,"LANÇAR","")</f>
        <v/>
      </c>
      <c r="K480" s="20" t="n"/>
      <c r="L480" s="13">
        <f>N480&amp;O480&amp;P480&amp;Q480&amp;R480&amp;S480&amp;T480&amp;U480&amp;V480&amp;W480&amp;X480&amp;Y480&amp;Z480&amp;AA480&amp;AB480&amp;AC480&amp;AD480&amp;AE480&amp;AF480&amp;AG480</f>
        <v/>
      </c>
      <c r="M480" s="20" t="n"/>
      <c r="N480" s="10">
        <f>TEXT($B$6,"00")</f>
        <v/>
      </c>
      <c r="O480" s="10">
        <f>REPT(" ",8)</f>
        <v/>
      </c>
      <c r="P480" s="10">
        <f>RIGHT($B$4,2)</f>
        <v/>
      </c>
      <c r="Q480" s="10">
        <f>RIGHT($B$5,3)</f>
        <v/>
      </c>
      <c r="R480" s="10">
        <f>IF(A480="D",LEFT(UPPER(B480)&amp;REPT(" ",20),20),REPT(" ",20))</f>
        <v/>
      </c>
      <c r="S480" s="10">
        <f>IF(A480="D",LEFT(UPPER(C480)&amp;REPT(" ",10),10)," ")</f>
        <v/>
      </c>
      <c r="T480" s="10">
        <f>IF(A480="D",LEFT(UPPER(D480)&amp;REPT(" ",2),2)," ")</f>
        <v/>
      </c>
      <c r="U480" s="10">
        <f>IF(A480="D",LEFT(UPPER(E480)&amp;REPT(" ",15),15)," ")</f>
        <v/>
      </c>
      <c r="V480" s="10">
        <f>REPT(" ",24)</f>
        <v/>
      </c>
      <c r="W480" s="10">
        <f>IF(A480="c",LEFT(UPPER(B480)&amp;REPT(" ",20),20),REPT(" ",20))</f>
        <v/>
      </c>
      <c r="X480" s="10">
        <f>IF(A480="C",LEFT(UPPER(C480)&amp;REPT(" ",10),10)," ")</f>
        <v/>
      </c>
      <c r="Y480" s="10">
        <f>IF(A480="C",LEFT(UPPER(D480)&amp;REPT(" ",2),2)," ")</f>
        <v/>
      </c>
      <c r="Z480" s="10">
        <f>IF(A480="C",LEFT(UPPER(E480)&amp;REPT(" ",15),15)," ")</f>
        <v/>
      </c>
      <c r="AA480" s="10">
        <f>REPT(" ",8)</f>
        <v/>
      </c>
      <c r="AB480" s="10">
        <f>REPT(" ",4)</f>
        <v/>
      </c>
      <c r="AC480" s="10">
        <f>LEFT(UPPER(H480)&amp;REPT(" ",250),250)</f>
        <v/>
      </c>
      <c r="AD480" s="10">
        <f>TEXT($G$2,"dd/mm/aaaa")</f>
        <v/>
      </c>
      <c r="AE480" s="10">
        <f>REPT(" ",10)</f>
        <v/>
      </c>
      <c r="AF480" s="10">
        <f>REPT(" ",20)</f>
        <v/>
      </c>
      <c r="AG480" s="54">
        <f>REPT(" ",18-LEN(FIXED(F480,2,TRUE)))&amp;FIXED(F480,2,TRUE)</f>
        <v/>
      </c>
      <c r="AH480" s="10">
        <f>LEN(AC480)+LEN(AG480)</f>
        <v/>
      </c>
      <c r="AI480" s="10">
        <f>LEN(L480)</f>
        <v/>
      </c>
    </row>
    <row r="481">
      <c r="I481" s="42" t="n"/>
      <c r="J481" s="12">
        <f>IF(F481&lt;&gt;0,"LANÇAR","")</f>
        <v/>
      </c>
      <c r="K481" s="20" t="n"/>
      <c r="L481" s="13">
        <f>N481&amp;O481&amp;P481&amp;Q481&amp;R481&amp;S481&amp;T481&amp;U481&amp;V481&amp;W481&amp;X481&amp;Y481&amp;Z481&amp;AA481&amp;AB481&amp;AC481&amp;AD481&amp;AE481&amp;AF481&amp;AG481</f>
        <v/>
      </c>
      <c r="M481" s="20" t="n"/>
      <c r="N481" s="10">
        <f>TEXT($B$6,"00")</f>
        <v/>
      </c>
      <c r="O481" s="10">
        <f>REPT(" ",8)</f>
        <v/>
      </c>
      <c r="P481" s="10">
        <f>RIGHT($B$4,2)</f>
        <v/>
      </c>
      <c r="Q481" s="10">
        <f>RIGHT($B$5,3)</f>
        <v/>
      </c>
      <c r="R481" s="10">
        <f>IF(A481="D",LEFT(UPPER(B481)&amp;REPT(" ",20),20),REPT(" ",20))</f>
        <v/>
      </c>
      <c r="S481" s="10">
        <f>IF(A481="D",LEFT(UPPER(C481)&amp;REPT(" ",10),10)," ")</f>
        <v/>
      </c>
      <c r="T481" s="10">
        <f>IF(A481="D",LEFT(UPPER(D481)&amp;REPT(" ",2),2)," ")</f>
        <v/>
      </c>
      <c r="U481" s="10">
        <f>IF(A481="D",LEFT(UPPER(E481)&amp;REPT(" ",15),15)," ")</f>
        <v/>
      </c>
      <c r="V481" s="10">
        <f>REPT(" ",24)</f>
        <v/>
      </c>
      <c r="W481" s="10">
        <f>IF(A481="c",LEFT(UPPER(B481)&amp;REPT(" ",20),20),REPT(" ",20))</f>
        <v/>
      </c>
      <c r="X481" s="10">
        <f>IF(A481="C",LEFT(UPPER(C481)&amp;REPT(" ",10),10)," ")</f>
        <v/>
      </c>
      <c r="Y481" s="10">
        <f>IF(A481="C",LEFT(UPPER(D481)&amp;REPT(" ",2),2)," ")</f>
        <v/>
      </c>
      <c r="Z481" s="10">
        <f>IF(A481="C",LEFT(UPPER(E481)&amp;REPT(" ",15),15)," ")</f>
        <v/>
      </c>
      <c r="AA481" s="10">
        <f>REPT(" ",8)</f>
        <v/>
      </c>
      <c r="AB481" s="10">
        <f>REPT(" ",4)</f>
        <v/>
      </c>
      <c r="AC481" s="10">
        <f>LEFT(UPPER(H481)&amp;REPT(" ",250),250)</f>
        <v/>
      </c>
      <c r="AD481" s="10">
        <f>TEXT($G$2,"dd/mm/aaaa")</f>
        <v/>
      </c>
      <c r="AE481" s="10">
        <f>REPT(" ",10)</f>
        <v/>
      </c>
      <c r="AF481" s="10">
        <f>REPT(" ",20)</f>
        <v/>
      </c>
      <c r="AG481" s="54">
        <f>REPT(" ",18-LEN(FIXED(F481,2,TRUE)))&amp;FIXED(F481,2,TRUE)</f>
        <v/>
      </c>
      <c r="AH481" s="10">
        <f>LEN(AC481)+LEN(AG481)</f>
        <v/>
      </c>
      <c r="AI481" s="10">
        <f>LEN(L481)</f>
        <v/>
      </c>
    </row>
    <row r="482">
      <c r="I482" s="42" t="n"/>
      <c r="J482" s="12">
        <f>IF(F482&lt;&gt;0,"LANÇAR","")</f>
        <v/>
      </c>
      <c r="K482" s="20" t="n"/>
      <c r="L482" s="13">
        <f>N482&amp;O482&amp;P482&amp;Q482&amp;R482&amp;S482&amp;T482&amp;U482&amp;V482&amp;W482&amp;X482&amp;Y482&amp;Z482&amp;AA482&amp;AB482&amp;AC482&amp;AD482&amp;AE482&amp;AF482&amp;AG482</f>
        <v/>
      </c>
      <c r="M482" s="20" t="n"/>
      <c r="N482" s="10">
        <f>TEXT($B$6,"00")</f>
        <v/>
      </c>
      <c r="O482" s="10">
        <f>REPT(" ",8)</f>
        <v/>
      </c>
      <c r="P482" s="10">
        <f>RIGHT($B$4,2)</f>
        <v/>
      </c>
      <c r="Q482" s="10">
        <f>RIGHT($B$5,3)</f>
        <v/>
      </c>
      <c r="R482" s="10">
        <f>IF(A482="D",LEFT(UPPER(B482)&amp;REPT(" ",20),20),REPT(" ",20))</f>
        <v/>
      </c>
      <c r="S482" s="10">
        <f>IF(A482="D",LEFT(UPPER(C482)&amp;REPT(" ",10),10)," ")</f>
        <v/>
      </c>
      <c r="T482" s="10">
        <f>IF(A482="D",LEFT(UPPER(D482)&amp;REPT(" ",2),2)," ")</f>
        <v/>
      </c>
      <c r="U482" s="10">
        <f>IF(A482="D",LEFT(UPPER(E482)&amp;REPT(" ",15),15)," ")</f>
        <v/>
      </c>
      <c r="V482" s="10">
        <f>REPT(" ",24)</f>
        <v/>
      </c>
      <c r="W482" s="10">
        <f>IF(A482="c",LEFT(UPPER(B482)&amp;REPT(" ",20),20),REPT(" ",20))</f>
        <v/>
      </c>
      <c r="X482" s="10">
        <f>IF(A482="C",LEFT(UPPER(C482)&amp;REPT(" ",10),10)," ")</f>
        <v/>
      </c>
      <c r="Y482" s="10">
        <f>IF(A482="C",LEFT(UPPER(D482)&amp;REPT(" ",2),2)," ")</f>
        <v/>
      </c>
      <c r="Z482" s="10">
        <f>IF(A482="C",LEFT(UPPER(E482)&amp;REPT(" ",15),15)," ")</f>
        <v/>
      </c>
      <c r="AA482" s="10">
        <f>REPT(" ",8)</f>
        <v/>
      </c>
      <c r="AB482" s="10">
        <f>REPT(" ",4)</f>
        <v/>
      </c>
      <c r="AC482" s="10">
        <f>LEFT(UPPER(H482)&amp;REPT(" ",250),250)</f>
        <v/>
      </c>
      <c r="AD482" s="10">
        <f>TEXT($G$2,"dd/mm/aaaa")</f>
        <v/>
      </c>
      <c r="AE482" s="10">
        <f>REPT(" ",10)</f>
        <v/>
      </c>
      <c r="AF482" s="10">
        <f>REPT(" ",20)</f>
        <v/>
      </c>
      <c r="AG482" s="54">
        <f>REPT(" ",18-LEN(FIXED(F482,2,TRUE)))&amp;FIXED(F482,2,TRUE)</f>
        <v/>
      </c>
      <c r="AH482" s="10">
        <f>LEN(AC482)+LEN(AG482)</f>
        <v/>
      </c>
      <c r="AI482" s="10">
        <f>LEN(L482)</f>
        <v/>
      </c>
    </row>
    <row r="483">
      <c r="I483" s="42" t="n"/>
      <c r="J483" s="12">
        <f>IF(F483&lt;&gt;0,"LANÇAR","")</f>
        <v/>
      </c>
      <c r="K483" s="20" t="n"/>
      <c r="L483" s="13">
        <f>N483&amp;O483&amp;P483&amp;Q483&amp;R483&amp;S483&amp;T483&amp;U483&amp;V483&amp;W483&amp;X483&amp;Y483&amp;Z483&amp;AA483&amp;AB483&amp;AC483&amp;AD483&amp;AE483&amp;AF483&amp;AG483</f>
        <v/>
      </c>
      <c r="M483" s="20" t="n"/>
      <c r="N483" s="10">
        <f>TEXT($B$6,"00")</f>
        <v/>
      </c>
      <c r="O483" s="10">
        <f>REPT(" ",8)</f>
        <v/>
      </c>
      <c r="P483" s="10">
        <f>RIGHT($B$4,2)</f>
        <v/>
      </c>
      <c r="Q483" s="10">
        <f>RIGHT($B$5,3)</f>
        <v/>
      </c>
      <c r="R483" s="10">
        <f>IF(A483="D",LEFT(UPPER(B483)&amp;REPT(" ",20),20),REPT(" ",20))</f>
        <v/>
      </c>
      <c r="S483" s="10">
        <f>IF(A483="D",LEFT(UPPER(C483)&amp;REPT(" ",10),10)," ")</f>
        <v/>
      </c>
      <c r="T483" s="10">
        <f>IF(A483="D",LEFT(UPPER(D483)&amp;REPT(" ",2),2)," ")</f>
        <v/>
      </c>
      <c r="U483" s="10">
        <f>IF(A483="D",LEFT(UPPER(E483)&amp;REPT(" ",15),15)," ")</f>
        <v/>
      </c>
      <c r="V483" s="10">
        <f>REPT(" ",24)</f>
        <v/>
      </c>
      <c r="W483" s="10">
        <f>IF(A483="c",LEFT(UPPER(B483)&amp;REPT(" ",20),20),REPT(" ",20))</f>
        <v/>
      </c>
      <c r="X483" s="10">
        <f>IF(A483="C",LEFT(UPPER(C483)&amp;REPT(" ",10),10)," ")</f>
        <v/>
      </c>
      <c r="Y483" s="10">
        <f>IF(A483="C",LEFT(UPPER(D483)&amp;REPT(" ",2),2)," ")</f>
        <v/>
      </c>
      <c r="Z483" s="10">
        <f>IF(A483="C",LEFT(UPPER(E483)&amp;REPT(" ",15),15)," ")</f>
        <v/>
      </c>
      <c r="AA483" s="10">
        <f>REPT(" ",8)</f>
        <v/>
      </c>
      <c r="AB483" s="10">
        <f>REPT(" ",4)</f>
        <v/>
      </c>
      <c r="AC483" s="10">
        <f>LEFT(UPPER(H483)&amp;REPT(" ",250),250)</f>
        <v/>
      </c>
      <c r="AD483" s="10">
        <f>TEXT($G$2,"dd/mm/aaaa")</f>
        <v/>
      </c>
      <c r="AE483" s="10">
        <f>REPT(" ",10)</f>
        <v/>
      </c>
      <c r="AF483" s="10">
        <f>REPT(" ",20)</f>
        <v/>
      </c>
      <c r="AG483" s="54">
        <f>REPT(" ",18-LEN(FIXED(F483,2,TRUE)))&amp;FIXED(F483,2,TRUE)</f>
        <v/>
      </c>
      <c r="AH483" s="10">
        <f>LEN(AC483)+LEN(AG483)</f>
        <v/>
      </c>
      <c r="AI483" s="10">
        <f>LEN(L483)</f>
        <v/>
      </c>
    </row>
    <row r="484">
      <c r="I484" s="42" t="n"/>
      <c r="J484" s="12">
        <f>IF(F484&lt;&gt;0,"LANÇAR","")</f>
        <v/>
      </c>
      <c r="K484" s="20" t="n"/>
      <c r="L484" s="13">
        <f>N484&amp;O484&amp;P484&amp;Q484&amp;R484&amp;S484&amp;T484&amp;U484&amp;V484&amp;W484&amp;X484&amp;Y484&amp;Z484&amp;AA484&amp;AB484&amp;AC484&amp;AD484&amp;AE484&amp;AF484&amp;AG484</f>
        <v/>
      </c>
      <c r="M484" s="20" t="n"/>
      <c r="N484" s="10">
        <f>TEXT($B$6,"00")</f>
        <v/>
      </c>
      <c r="O484" s="10">
        <f>REPT(" ",8)</f>
        <v/>
      </c>
      <c r="P484" s="10">
        <f>RIGHT($B$4,2)</f>
        <v/>
      </c>
      <c r="Q484" s="10">
        <f>RIGHT($B$5,3)</f>
        <v/>
      </c>
      <c r="R484" s="10">
        <f>IF(A484="D",LEFT(UPPER(B484)&amp;REPT(" ",20),20),REPT(" ",20))</f>
        <v/>
      </c>
      <c r="S484" s="10">
        <f>IF(A484="D",LEFT(UPPER(C484)&amp;REPT(" ",10),10)," ")</f>
        <v/>
      </c>
      <c r="T484" s="10">
        <f>IF(A484="D",LEFT(UPPER(D484)&amp;REPT(" ",2),2)," ")</f>
        <v/>
      </c>
      <c r="U484" s="10">
        <f>IF(A484="D",LEFT(UPPER(E484)&amp;REPT(" ",15),15)," ")</f>
        <v/>
      </c>
      <c r="V484" s="10">
        <f>REPT(" ",24)</f>
        <v/>
      </c>
      <c r="W484" s="10">
        <f>IF(A484="c",LEFT(UPPER(B484)&amp;REPT(" ",20),20),REPT(" ",20))</f>
        <v/>
      </c>
      <c r="X484" s="10">
        <f>IF(A484="C",LEFT(UPPER(C484)&amp;REPT(" ",10),10)," ")</f>
        <v/>
      </c>
      <c r="Y484" s="10">
        <f>IF(A484="C",LEFT(UPPER(D484)&amp;REPT(" ",2),2)," ")</f>
        <v/>
      </c>
      <c r="Z484" s="10">
        <f>IF(A484="C",LEFT(UPPER(E484)&amp;REPT(" ",15),15)," ")</f>
        <v/>
      </c>
      <c r="AA484" s="10">
        <f>REPT(" ",8)</f>
        <v/>
      </c>
      <c r="AB484" s="10">
        <f>REPT(" ",4)</f>
        <v/>
      </c>
      <c r="AC484" s="10">
        <f>LEFT(UPPER(H484)&amp;REPT(" ",250),250)</f>
        <v/>
      </c>
      <c r="AD484" s="10">
        <f>TEXT($G$2,"dd/mm/aaaa")</f>
        <v/>
      </c>
      <c r="AE484" s="10">
        <f>REPT(" ",10)</f>
        <v/>
      </c>
      <c r="AF484" s="10">
        <f>REPT(" ",20)</f>
        <v/>
      </c>
      <c r="AG484" s="54">
        <f>REPT(" ",18-LEN(FIXED(F484,2,TRUE)))&amp;FIXED(F484,2,TRUE)</f>
        <v/>
      </c>
      <c r="AH484" s="10">
        <f>LEN(AC484)+LEN(AG484)</f>
        <v/>
      </c>
      <c r="AI484" s="10">
        <f>LEN(L484)</f>
        <v/>
      </c>
    </row>
    <row r="485">
      <c r="I485" s="42" t="n"/>
      <c r="J485" s="12">
        <f>IF(F485&lt;&gt;0,"LANÇAR","")</f>
        <v/>
      </c>
      <c r="K485" s="20" t="n"/>
      <c r="L485" s="13">
        <f>N485&amp;O485&amp;P485&amp;Q485&amp;R485&amp;S485&amp;T485&amp;U485&amp;V485&amp;W485&amp;X485&amp;Y485&amp;Z485&amp;AA485&amp;AB485&amp;AC485&amp;AD485&amp;AE485&amp;AF485&amp;AG485</f>
        <v/>
      </c>
      <c r="M485" s="20" t="n"/>
      <c r="N485" s="10">
        <f>TEXT($B$6,"00")</f>
        <v/>
      </c>
      <c r="O485" s="10">
        <f>REPT(" ",8)</f>
        <v/>
      </c>
      <c r="P485" s="10">
        <f>RIGHT($B$4,2)</f>
        <v/>
      </c>
      <c r="Q485" s="10">
        <f>RIGHT($B$5,3)</f>
        <v/>
      </c>
      <c r="R485" s="10">
        <f>IF(A485="D",LEFT(UPPER(B485)&amp;REPT(" ",20),20),REPT(" ",20))</f>
        <v/>
      </c>
      <c r="S485" s="10">
        <f>IF(A485="D",LEFT(UPPER(C485)&amp;REPT(" ",10),10)," ")</f>
        <v/>
      </c>
      <c r="T485" s="10">
        <f>IF(A485="D",LEFT(UPPER(D485)&amp;REPT(" ",2),2)," ")</f>
        <v/>
      </c>
      <c r="U485" s="10">
        <f>IF(A485="D",LEFT(UPPER(E485)&amp;REPT(" ",15),15)," ")</f>
        <v/>
      </c>
      <c r="V485" s="10">
        <f>REPT(" ",24)</f>
        <v/>
      </c>
      <c r="W485" s="10">
        <f>IF(A485="c",LEFT(UPPER(B485)&amp;REPT(" ",20),20),REPT(" ",20))</f>
        <v/>
      </c>
      <c r="X485" s="10">
        <f>IF(A485="C",LEFT(UPPER(C485)&amp;REPT(" ",10),10)," ")</f>
        <v/>
      </c>
      <c r="Y485" s="10">
        <f>IF(A485="C",LEFT(UPPER(D485)&amp;REPT(" ",2),2)," ")</f>
        <v/>
      </c>
      <c r="Z485" s="10">
        <f>IF(A485="C",LEFT(UPPER(E485)&amp;REPT(" ",15),15)," ")</f>
        <v/>
      </c>
      <c r="AA485" s="10">
        <f>REPT(" ",8)</f>
        <v/>
      </c>
      <c r="AB485" s="10">
        <f>REPT(" ",4)</f>
        <v/>
      </c>
      <c r="AC485" s="10">
        <f>LEFT(UPPER(H485)&amp;REPT(" ",250),250)</f>
        <v/>
      </c>
      <c r="AD485" s="10">
        <f>TEXT($G$2,"dd/mm/aaaa")</f>
        <v/>
      </c>
      <c r="AE485" s="10">
        <f>REPT(" ",10)</f>
        <v/>
      </c>
      <c r="AF485" s="10">
        <f>REPT(" ",20)</f>
        <v/>
      </c>
      <c r="AG485" s="54">
        <f>REPT(" ",18-LEN(FIXED(F485,2,TRUE)))&amp;FIXED(F485,2,TRUE)</f>
        <v/>
      </c>
      <c r="AH485" s="10">
        <f>LEN(AC485)+LEN(AG485)</f>
        <v/>
      </c>
      <c r="AI485" s="10">
        <f>LEN(L485)</f>
        <v/>
      </c>
    </row>
    <row r="486">
      <c r="I486" s="42" t="n"/>
      <c r="J486" s="12">
        <f>IF(F486&lt;&gt;0,"LANÇAR","")</f>
        <v/>
      </c>
      <c r="K486" s="20" t="n"/>
      <c r="L486" s="13">
        <f>N486&amp;O486&amp;P486&amp;Q486&amp;R486&amp;S486&amp;T486&amp;U486&amp;V486&amp;W486&amp;X486&amp;Y486&amp;Z486&amp;AA486&amp;AB486&amp;AC486&amp;AD486&amp;AE486&amp;AF486&amp;AG486</f>
        <v/>
      </c>
      <c r="M486" s="20" t="n"/>
      <c r="N486" s="10">
        <f>TEXT($B$6,"00")</f>
        <v/>
      </c>
      <c r="O486" s="10">
        <f>REPT(" ",8)</f>
        <v/>
      </c>
      <c r="P486" s="10">
        <f>RIGHT($B$4,2)</f>
        <v/>
      </c>
      <c r="Q486" s="10">
        <f>RIGHT($B$5,3)</f>
        <v/>
      </c>
      <c r="R486" s="10">
        <f>IF(A486="D",LEFT(UPPER(B486)&amp;REPT(" ",20),20),REPT(" ",20))</f>
        <v/>
      </c>
      <c r="S486" s="10">
        <f>IF(A486="D",LEFT(UPPER(C486)&amp;REPT(" ",10),10)," ")</f>
        <v/>
      </c>
      <c r="T486" s="10">
        <f>IF(A486="D",LEFT(UPPER(D486)&amp;REPT(" ",2),2)," ")</f>
        <v/>
      </c>
      <c r="U486" s="10">
        <f>IF(A486="D",LEFT(UPPER(E486)&amp;REPT(" ",15),15)," ")</f>
        <v/>
      </c>
      <c r="V486" s="10">
        <f>REPT(" ",24)</f>
        <v/>
      </c>
      <c r="W486" s="10">
        <f>IF(A486="c",LEFT(UPPER(B486)&amp;REPT(" ",20),20),REPT(" ",20))</f>
        <v/>
      </c>
      <c r="X486" s="10">
        <f>IF(A486="C",LEFT(UPPER(C486)&amp;REPT(" ",10),10)," ")</f>
        <v/>
      </c>
      <c r="Y486" s="10">
        <f>IF(A486="C",LEFT(UPPER(D486)&amp;REPT(" ",2),2)," ")</f>
        <v/>
      </c>
      <c r="Z486" s="10">
        <f>IF(A486="C",LEFT(UPPER(E486)&amp;REPT(" ",15),15)," ")</f>
        <v/>
      </c>
      <c r="AA486" s="10">
        <f>REPT(" ",8)</f>
        <v/>
      </c>
      <c r="AB486" s="10">
        <f>REPT(" ",4)</f>
        <v/>
      </c>
      <c r="AC486" s="10">
        <f>LEFT(UPPER(H486)&amp;REPT(" ",250),250)</f>
        <v/>
      </c>
      <c r="AD486" s="10">
        <f>TEXT($G$2,"dd/mm/aaaa")</f>
        <v/>
      </c>
      <c r="AE486" s="10">
        <f>REPT(" ",10)</f>
        <v/>
      </c>
      <c r="AF486" s="10">
        <f>REPT(" ",20)</f>
        <v/>
      </c>
      <c r="AG486" s="54">
        <f>REPT(" ",18-LEN(FIXED(F486,2,TRUE)))&amp;FIXED(F486,2,TRUE)</f>
        <v/>
      </c>
      <c r="AH486" s="10">
        <f>LEN(AC486)+LEN(AG486)</f>
        <v/>
      </c>
      <c r="AI486" s="10">
        <f>LEN(L486)</f>
        <v/>
      </c>
    </row>
    <row r="487">
      <c r="I487" s="42" t="n"/>
      <c r="J487" s="12">
        <f>IF(F487&lt;&gt;0,"LANÇAR","")</f>
        <v/>
      </c>
      <c r="K487" s="20" t="n"/>
      <c r="L487" s="13">
        <f>N487&amp;O487&amp;P487&amp;Q487&amp;R487&amp;S487&amp;T487&amp;U487&amp;V487&amp;W487&amp;X487&amp;Y487&amp;Z487&amp;AA487&amp;AB487&amp;AC487&amp;AD487&amp;AE487&amp;AF487&amp;AG487</f>
        <v/>
      </c>
      <c r="M487" s="20" t="n"/>
      <c r="N487" s="10">
        <f>TEXT($B$6,"00")</f>
        <v/>
      </c>
      <c r="O487" s="10">
        <f>REPT(" ",8)</f>
        <v/>
      </c>
      <c r="P487" s="10">
        <f>RIGHT($B$4,2)</f>
        <v/>
      </c>
      <c r="Q487" s="10">
        <f>RIGHT($B$5,3)</f>
        <v/>
      </c>
      <c r="R487" s="10">
        <f>IF(A487="D",LEFT(UPPER(B487)&amp;REPT(" ",20),20),REPT(" ",20))</f>
        <v/>
      </c>
      <c r="S487" s="10">
        <f>IF(A487="D",LEFT(UPPER(C487)&amp;REPT(" ",10),10)," ")</f>
        <v/>
      </c>
      <c r="T487" s="10">
        <f>IF(A487="D",LEFT(UPPER(D487)&amp;REPT(" ",2),2)," ")</f>
        <v/>
      </c>
      <c r="U487" s="10">
        <f>IF(A487="D",LEFT(UPPER(E487)&amp;REPT(" ",15),15)," ")</f>
        <v/>
      </c>
      <c r="V487" s="10">
        <f>REPT(" ",24)</f>
        <v/>
      </c>
      <c r="W487" s="10">
        <f>IF(A487="c",LEFT(UPPER(B487)&amp;REPT(" ",20),20),REPT(" ",20))</f>
        <v/>
      </c>
      <c r="X487" s="10">
        <f>IF(A487="C",LEFT(UPPER(C487)&amp;REPT(" ",10),10)," ")</f>
        <v/>
      </c>
      <c r="Y487" s="10">
        <f>IF(A487="C",LEFT(UPPER(D487)&amp;REPT(" ",2),2)," ")</f>
        <v/>
      </c>
      <c r="Z487" s="10">
        <f>IF(A487="C",LEFT(UPPER(E487)&amp;REPT(" ",15),15)," ")</f>
        <v/>
      </c>
      <c r="AA487" s="10">
        <f>REPT(" ",8)</f>
        <v/>
      </c>
      <c r="AB487" s="10">
        <f>REPT(" ",4)</f>
        <v/>
      </c>
      <c r="AC487" s="10">
        <f>LEFT(UPPER(H487)&amp;REPT(" ",250),250)</f>
        <v/>
      </c>
      <c r="AD487" s="10">
        <f>TEXT($G$2,"dd/mm/aaaa")</f>
        <v/>
      </c>
      <c r="AE487" s="10">
        <f>REPT(" ",10)</f>
        <v/>
      </c>
      <c r="AF487" s="10">
        <f>REPT(" ",20)</f>
        <v/>
      </c>
      <c r="AG487" s="54">
        <f>REPT(" ",18-LEN(FIXED(F487,2,TRUE)))&amp;FIXED(F487,2,TRUE)</f>
        <v/>
      </c>
      <c r="AH487" s="10">
        <f>LEN(AC487)+LEN(AG487)</f>
        <v/>
      </c>
      <c r="AI487" s="10">
        <f>LEN(L487)</f>
        <v/>
      </c>
    </row>
    <row r="488">
      <c r="I488" s="42" t="n"/>
      <c r="J488" s="12">
        <f>IF(F488&lt;&gt;0,"LANÇAR","")</f>
        <v/>
      </c>
      <c r="K488" s="20" t="n"/>
      <c r="L488" s="13">
        <f>N488&amp;O488&amp;P488&amp;Q488&amp;R488&amp;S488&amp;T488&amp;U488&amp;V488&amp;W488&amp;X488&amp;Y488&amp;Z488&amp;AA488&amp;AB488&amp;AC488&amp;AD488&amp;AE488&amp;AF488&amp;AG488</f>
        <v/>
      </c>
      <c r="M488" s="20" t="n"/>
      <c r="N488" s="10">
        <f>TEXT($B$6,"00")</f>
        <v/>
      </c>
      <c r="O488" s="10">
        <f>REPT(" ",8)</f>
        <v/>
      </c>
      <c r="P488" s="10">
        <f>RIGHT($B$4,2)</f>
        <v/>
      </c>
      <c r="Q488" s="10">
        <f>RIGHT($B$5,3)</f>
        <v/>
      </c>
      <c r="R488" s="10">
        <f>IF(A488="D",LEFT(UPPER(B488)&amp;REPT(" ",20),20),REPT(" ",20))</f>
        <v/>
      </c>
      <c r="S488" s="10">
        <f>IF(A488="D",LEFT(UPPER(C488)&amp;REPT(" ",10),10)," ")</f>
        <v/>
      </c>
      <c r="T488" s="10">
        <f>IF(A488="D",LEFT(UPPER(D488)&amp;REPT(" ",2),2)," ")</f>
        <v/>
      </c>
      <c r="U488" s="10">
        <f>IF(A488="D",LEFT(UPPER(E488)&amp;REPT(" ",15),15)," ")</f>
        <v/>
      </c>
      <c r="V488" s="10">
        <f>REPT(" ",24)</f>
        <v/>
      </c>
      <c r="W488" s="10">
        <f>IF(A488="c",LEFT(UPPER(B488)&amp;REPT(" ",20),20),REPT(" ",20))</f>
        <v/>
      </c>
      <c r="X488" s="10">
        <f>IF(A488="C",LEFT(UPPER(C488)&amp;REPT(" ",10),10)," ")</f>
        <v/>
      </c>
      <c r="Y488" s="10">
        <f>IF(A488="C",LEFT(UPPER(D488)&amp;REPT(" ",2),2)," ")</f>
        <v/>
      </c>
      <c r="Z488" s="10">
        <f>IF(A488="C",LEFT(UPPER(E488)&amp;REPT(" ",15),15)," ")</f>
        <v/>
      </c>
      <c r="AA488" s="10">
        <f>REPT(" ",8)</f>
        <v/>
      </c>
      <c r="AB488" s="10">
        <f>REPT(" ",4)</f>
        <v/>
      </c>
      <c r="AC488" s="10">
        <f>LEFT(UPPER(H488)&amp;REPT(" ",250),250)</f>
        <v/>
      </c>
      <c r="AD488" s="10">
        <f>TEXT($G$2,"dd/mm/aaaa")</f>
        <v/>
      </c>
      <c r="AE488" s="10">
        <f>REPT(" ",10)</f>
        <v/>
      </c>
      <c r="AF488" s="10">
        <f>REPT(" ",20)</f>
        <v/>
      </c>
      <c r="AG488" s="54">
        <f>REPT(" ",18-LEN(FIXED(F488,2,TRUE)))&amp;FIXED(F488,2,TRUE)</f>
        <v/>
      </c>
      <c r="AH488" s="10">
        <f>LEN(AC488)+LEN(AG488)</f>
        <v/>
      </c>
      <c r="AI488" s="10">
        <f>LEN(L488)</f>
        <v/>
      </c>
    </row>
    <row r="489">
      <c r="I489" s="42" t="n"/>
      <c r="J489" s="12">
        <f>IF(F489&lt;&gt;0,"LANÇAR","")</f>
        <v/>
      </c>
      <c r="K489" s="20" t="n"/>
      <c r="L489" s="13">
        <f>N489&amp;O489&amp;P489&amp;Q489&amp;R489&amp;S489&amp;T489&amp;U489&amp;V489&amp;W489&amp;X489&amp;Y489&amp;Z489&amp;AA489&amp;AB489&amp;AC489&amp;AD489&amp;AE489&amp;AF489&amp;AG489</f>
        <v/>
      </c>
      <c r="M489" s="20" t="n"/>
      <c r="N489" s="10">
        <f>TEXT($B$6,"00")</f>
        <v/>
      </c>
      <c r="O489" s="10">
        <f>REPT(" ",8)</f>
        <v/>
      </c>
      <c r="P489" s="10">
        <f>RIGHT($B$4,2)</f>
        <v/>
      </c>
      <c r="Q489" s="10">
        <f>RIGHT($B$5,3)</f>
        <v/>
      </c>
      <c r="R489" s="10">
        <f>IF(A489="D",LEFT(UPPER(B489)&amp;REPT(" ",20),20),REPT(" ",20))</f>
        <v/>
      </c>
      <c r="S489" s="10">
        <f>IF(A489="D",LEFT(UPPER(C489)&amp;REPT(" ",10),10)," ")</f>
        <v/>
      </c>
      <c r="T489" s="10">
        <f>IF(A489="D",LEFT(UPPER(D489)&amp;REPT(" ",2),2)," ")</f>
        <v/>
      </c>
      <c r="U489" s="10">
        <f>IF(A489="D",LEFT(UPPER(E489)&amp;REPT(" ",15),15)," ")</f>
        <v/>
      </c>
      <c r="V489" s="10">
        <f>REPT(" ",24)</f>
        <v/>
      </c>
      <c r="W489" s="10">
        <f>IF(A489="c",LEFT(UPPER(B489)&amp;REPT(" ",20),20),REPT(" ",20))</f>
        <v/>
      </c>
      <c r="X489" s="10">
        <f>IF(A489="C",LEFT(UPPER(C489)&amp;REPT(" ",10),10)," ")</f>
        <v/>
      </c>
      <c r="Y489" s="10">
        <f>IF(A489="C",LEFT(UPPER(D489)&amp;REPT(" ",2),2)," ")</f>
        <v/>
      </c>
      <c r="Z489" s="10">
        <f>IF(A489="C",LEFT(UPPER(E489)&amp;REPT(" ",15),15)," ")</f>
        <v/>
      </c>
      <c r="AA489" s="10">
        <f>REPT(" ",8)</f>
        <v/>
      </c>
      <c r="AB489" s="10">
        <f>REPT(" ",4)</f>
        <v/>
      </c>
      <c r="AC489" s="10">
        <f>LEFT(UPPER(H489)&amp;REPT(" ",250),250)</f>
        <v/>
      </c>
      <c r="AD489" s="10">
        <f>TEXT($G$2,"dd/mm/aaaa")</f>
        <v/>
      </c>
      <c r="AE489" s="10">
        <f>REPT(" ",10)</f>
        <v/>
      </c>
      <c r="AF489" s="10">
        <f>REPT(" ",20)</f>
        <v/>
      </c>
      <c r="AG489" s="54">
        <f>REPT(" ",18-LEN(FIXED(F489,2,TRUE)))&amp;FIXED(F489,2,TRUE)</f>
        <v/>
      </c>
      <c r="AH489" s="10">
        <f>LEN(AC489)+LEN(AG489)</f>
        <v/>
      </c>
      <c r="AI489" s="10">
        <f>LEN(L489)</f>
        <v/>
      </c>
    </row>
    <row r="490">
      <c r="I490" s="42" t="n"/>
      <c r="J490" s="12">
        <f>IF(F490&lt;&gt;0,"LANÇAR","")</f>
        <v/>
      </c>
      <c r="K490" s="20" t="n"/>
      <c r="L490" s="13">
        <f>N490&amp;O490&amp;P490&amp;Q490&amp;R490&amp;S490&amp;T490&amp;U490&amp;V490&amp;W490&amp;X490&amp;Y490&amp;Z490&amp;AA490&amp;AB490&amp;AC490&amp;AD490&amp;AE490&amp;AF490&amp;AG490</f>
        <v/>
      </c>
      <c r="M490" s="20" t="n"/>
      <c r="N490" s="10">
        <f>TEXT($B$6,"00")</f>
        <v/>
      </c>
      <c r="O490" s="10">
        <f>REPT(" ",8)</f>
        <v/>
      </c>
      <c r="P490" s="10">
        <f>RIGHT($B$4,2)</f>
        <v/>
      </c>
      <c r="Q490" s="10">
        <f>RIGHT($B$5,3)</f>
        <v/>
      </c>
      <c r="R490" s="10">
        <f>IF(A490="D",LEFT(UPPER(B490)&amp;REPT(" ",20),20),REPT(" ",20))</f>
        <v/>
      </c>
      <c r="S490" s="10">
        <f>IF(A490="D",LEFT(UPPER(C490)&amp;REPT(" ",10),10)," ")</f>
        <v/>
      </c>
      <c r="T490" s="10">
        <f>IF(A490="D",LEFT(UPPER(D490)&amp;REPT(" ",2),2)," ")</f>
        <v/>
      </c>
      <c r="U490" s="10">
        <f>IF(A490="D",LEFT(UPPER(E490)&amp;REPT(" ",15),15)," ")</f>
        <v/>
      </c>
      <c r="V490" s="10">
        <f>REPT(" ",24)</f>
        <v/>
      </c>
      <c r="W490" s="10">
        <f>IF(A490="c",LEFT(UPPER(B490)&amp;REPT(" ",20),20),REPT(" ",20))</f>
        <v/>
      </c>
      <c r="X490" s="10">
        <f>IF(A490="C",LEFT(UPPER(C490)&amp;REPT(" ",10),10)," ")</f>
        <v/>
      </c>
      <c r="Y490" s="10">
        <f>IF(A490="C",LEFT(UPPER(D490)&amp;REPT(" ",2),2)," ")</f>
        <v/>
      </c>
      <c r="Z490" s="10">
        <f>IF(A490="C",LEFT(UPPER(E490)&amp;REPT(" ",15),15)," ")</f>
        <v/>
      </c>
      <c r="AA490" s="10">
        <f>REPT(" ",8)</f>
        <v/>
      </c>
      <c r="AB490" s="10">
        <f>REPT(" ",4)</f>
        <v/>
      </c>
      <c r="AC490" s="10">
        <f>LEFT(UPPER(H490)&amp;REPT(" ",250),250)</f>
        <v/>
      </c>
      <c r="AD490" s="10">
        <f>TEXT($G$2,"dd/mm/aaaa")</f>
        <v/>
      </c>
      <c r="AE490" s="10">
        <f>REPT(" ",10)</f>
        <v/>
      </c>
      <c r="AF490" s="10">
        <f>REPT(" ",20)</f>
        <v/>
      </c>
      <c r="AG490" s="54">
        <f>REPT(" ",18-LEN(FIXED(F490,2,TRUE)))&amp;FIXED(F490,2,TRUE)</f>
        <v/>
      </c>
      <c r="AH490" s="10">
        <f>LEN(AC490)+LEN(AG490)</f>
        <v/>
      </c>
      <c r="AI490" s="10">
        <f>LEN(L490)</f>
        <v/>
      </c>
    </row>
    <row r="491">
      <c r="I491" s="42" t="n"/>
      <c r="J491" s="12">
        <f>IF(F491&lt;&gt;0,"LANÇAR","")</f>
        <v/>
      </c>
      <c r="K491" s="20" t="n"/>
      <c r="L491" s="13">
        <f>N491&amp;O491&amp;P491&amp;Q491&amp;R491&amp;S491&amp;T491&amp;U491&amp;V491&amp;W491&amp;X491&amp;Y491&amp;Z491&amp;AA491&amp;AB491&amp;AC491&amp;AD491&amp;AE491&amp;AF491&amp;AG491</f>
        <v/>
      </c>
      <c r="M491" s="20" t="n"/>
      <c r="N491" s="10">
        <f>TEXT($B$6,"00")</f>
        <v/>
      </c>
      <c r="O491" s="10">
        <f>REPT(" ",8)</f>
        <v/>
      </c>
      <c r="P491" s="10">
        <f>RIGHT($B$4,2)</f>
        <v/>
      </c>
      <c r="Q491" s="10">
        <f>RIGHT($B$5,3)</f>
        <v/>
      </c>
      <c r="R491" s="10">
        <f>IF(A491="D",LEFT(UPPER(B491)&amp;REPT(" ",20),20),REPT(" ",20))</f>
        <v/>
      </c>
      <c r="S491" s="10">
        <f>IF(A491="D",LEFT(UPPER(C491)&amp;REPT(" ",10),10)," ")</f>
        <v/>
      </c>
      <c r="T491" s="10">
        <f>IF(A491="D",LEFT(UPPER(D491)&amp;REPT(" ",2),2)," ")</f>
        <v/>
      </c>
      <c r="U491" s="10">
        <f>IF(A491="D",LEFT(UPPER(E491)&amp;REPT(" ",15),15)," ")</f>
        <v/>
      </c>
      <c r="V491" s="10">
        <f>REPT(" ",24)</f>
        <v/>
      </c>
      <c r="W491" s="10">
        <f>IF(A491="c",LEFT(UPPER(B491)&amp;REPT(" ",20),20),REPT(" ",20))</f>
        <v/>
      </c>
      <c r="X491" s="10">
        <f>IF(A491="C",LEFT(UPPER(C491)&amp;REPT(" ",10),10)," ")</f>
        <v/>
      </c>
      <c r="Y491" s="10">
        <f>IF(A491="C",LEFT(UPPER(D491)&amp;REPT(" ",2),2)," ")</f>
        <v/>
      </c>
      <c r="Z491" s="10">
        <f>IF(A491="C",LEFT(UPPER(E491)&amp;REPT(" ",15),15)," ")</f>
        <v/>
      </c>
      <c r="AA491" s="10">
        <f>REPT(" ",8)</f>
        <v/>
      </c>
      <c r="AB491" s="10">
        <f>REPT(" ",4)</f>
        <v/>
      </c>
      <c r="AC491" s="10">
        <f>LEFT(UPPER(H491)&amp;REPT(" ",250),250)</f>
        <v/>
      </c>
      <c r="AD491" s="10">
        <f>TEXT($G$2,"dd/mm/aaaa")</f>
        <v/>
      </c>
      <c r="AE491" s="10">
        <f>REPT(" ",10)</f>
        <v/>
      </c>
      <c r="AF491" s="10">
        <f>REPT(" ",20)</f>
        <v/>
      </c>
      <c r="AG491" s="54">
        <f>REPT(" ",18-LEN(FIXED(F491,2,TRUE)))&amp;FIXED(F491,2,TRUE)</f>
        <v/>
      </c>
      <c r="AH491" s="10">
        <f>LEN(AC491)+LEN(AG491)</f>
        <v/>
      </c>
      <c r="AI491" s="10">
        <f>LEN(L491)</f>
        <v/>
      </c>
    </row>
    <row r="492">
      <c r="I492" s="42" t="n"/>
      <c r="J492" s="12">
        <f>IF(F492&lt;&gt;0,"LANÇAR","")</f>
        <v/>
      </c>
      <c r="K492" s="20" t="n"/>
      <c r="L492" s="13">
        <f>N492&amp;O492&amp;P492&amp;Q492&amp;R492&amp;S492&amp;T492&amp;U492&amp;V492&amp;W492&amp;X492&amp;Y492&amp;Z492&amp;AA492&amp;AB492&amp;AC492&amp;AD492&amp;AE492&amp;AF492&amp;AG492</f>
        <v/>
      </c>
      <c r="M492" s="20" t="n"/>
      <c r="N492" s="10">
        <f>TEXT($B$6,"00")</f>
        <v/>
      </c>
      <c r="O492" s="10">
        <f>REPT(" ",8)</f>
        <v/>
      </c>
      <c r="P492" s="10">
        <f>RIGHT($B$4,2)</f>
        <v/>
      </c>
      <c r="Q492" s="10">
        <f>RIGHT($B$5,3)</f>
        <v/>
      </c>
      <c r="R492" s="10">
        <f>IF(A492="D",LEFT(UPPER(B492)&amp;REPT(" ",20),20),REPT(" ",20))</f>
        <v/>
      </c>
      <c r="S492" s="10">
        <f>IF(A492="D",LEFT(UPPER(C492)&amp;REPT(" ",10),10)," ")</f>
        <v/>
      </c>
      <c r="T492" s="10">
        <f>IF(A492="D",LEFT(UPPER(D492)&amp;REPT(" ",2),2)," ")</f>
        <v/>
      </c>
      <c r="U492" s="10">
        <f>IF(A492="D",LEFT(UPPER(E492)&amp;REPT(" ",15),15)," ")</f>
        <v/>
      </c>
      <c r="V492" s="10">
        <f>REPT(" ",24)</f>
        <v/>
      </c>
      <c r="W492" s="10">
        <f>IF(A492="c",LEFT(UPPER(B492)&amp;REPT(" ",20),20),REPT(" ",20))</f>
        <v/>
      </c>
      <c r="X492" s="10">
        <f>IF(A492="C",LEFT(UPPER(C492)&amp;REPT(" ",10),10)," ")</f>
        <v/>
      </c>
      <c r="Y492" s="10">
        <f>IF(A492="C",LEFT(UPPER(D492)&amp;REPT(" ",2),2)," ")</f>
        <v/>
      </c>
      <c r="Z492" s="10">
        <f>IF(A492="C",LEFT(UPPER(E492)&amp;REPT(" ",15),15)," ")</f>
        <v/>
      </c>
      <c r="AA492" s="10">
        <f>REPT(" ",8)</f>
        <v/>
      </c>
      <c r="AB492" s="10">
        <f>REPT(" ",4)</f>
        <v/>
      </c>
      <c r="AC492" s="10">
        <f>LEFT(UPPER(H492)&amp;REPT(" ",250),250)</f>
        <v/>
      </c>
      <c r="AD492" s="10">
        <f>TEXT($G$2,"dd/mm/aaaa")</f>
        <v/>
      </c>
      <c r="AE492" s="10">
        <f>REPT(" ",10)</f>
        <v/>
      </c>
      <c r="AF492" s="10">
        <f>REPT(" ",20)</f>
        <v/>
      </c>
      <c r="AG492" s="54">
        <f>REPT(" ",18-LEN(FIXED(F492,2,TRUE)))&amp;FIXED(F492,2,TRUE)</f>
        <v/>
      </c>
      <c r="AH492" s="10">
        <f>LEN(AC492)+LEN(AG492)</f>
        <v/>
      </c>
      <c r="AI492" s="10">
        <f>LEN(L492)</f>
        <v/>
      </c>
    </row>
    <row r="493">
      <c r="I493" s="42" t="n"/>
      <c r="J493" s="12">
        <f>IF(F493&lt;&gt;0,"LANÇAR","")</f>
        <v/>
      </c>
      <c r="K493" s="20" t="n"/>
      <c r="L493" s="13">
        <f>N493&amp;O493&amp;P493&amp;Q493&amp;R493&amp;S493&amp;T493&amp;U493&amp;V493&amp;W493&amp;X493&amp;Y493&amp;Z493&amp;AA493&amp;AB493&amp;AC493&amp;AD493&amp;AE493&amp;AF493&amp;AG493</f>
        <v/>
      </c>
      <c r="M493" s="20" t="n"/>
      <c r="N493" s="10">
        <f>TEXT($B$6,"00")</f>
        <v/>
      </c>
      <c r="O493" s="10">
        <f>REPT(" ",8)</f>
        <v/>
      </c>
      <c r="P493" s="10">
        <f>RIGHT($B$4,2)</f>
        <v/>
      </c>
      <c r="Q493" s="10">
        <f>RIGHT($B$5,3)</f>
        <v/>
      </c>
      <c r="R493" s="10">
        <f>IF(A493="D",LEFT(UPPER(B493)&amp;REPT(" ",20),20),REPT(" ",20))</f>
        <v/>
      </c>
      <c r="S493" s="10">
        <f>IF(A493="D",LEFT(UPPER(C493)&amp;REPT(" ",10),10)," ")</f>
        <v/>
      </c>
      <c r="T493" s="10">
        <f>IF(A493="D",LEFT(UPPER(D493)&amp;REPT(" ",2),2)," ")</f>
        <v/>
      </c>
      <c r="U493" s="10">
        <f>IF(A493="D",LEFT(UPPER(E493)&amp;REPT(" ",15),15)," ")</f>
        <v/>
      </c>
      <c r="V493" s="10">
        <f>REPT(" ",24)</f>
        <v/>
      </c>
      <c r="W493" s="10">
        <f>IF(A493="c",LEFT(UPPER(B493)&amp;REPT(" ",20),20),REPT(" ",20))</f>
        <v/>
      </c>
      <c r="X493" s="10">
        <f>IF(A493="C",LEFT(UPPER(C493)&amp;REPT(" ",10),10)," ")</f>
        <v/>
      </c>
      <c r="Y493" s="10">
        <f>IF(A493="C",LEFT(UPPER(D493)&amp;REPT(" ",2),2)," ")</f>
        <v/>
      </c>
      <c r="Z493" s="10">
        <f>IF(A493="C",LEFT(UPPER(E493)&amp;REPT(" ",15),15)," ")</f>
        <v/>
      </c>
      <c r="AA493" s="10">
        <f>REPT(" ",8)</f>
        <v/>
      </c>
      <c r="AB493" s="10">
        <f>REPT(" ",4)</f>
        <v/>
      </c>
      <c r="AC493" s="10">
        <f>LEFT(UPPER(H493)&amp;REPT(" ",250),250)</f>
        <v/>
      </c>
      <c r="AD493" s="10">
        <f>TEXT($G$2,"dd/mm/aaaa")</f>
        <v/>
      </c>
      <c r="AE493" s="10">
        <f>REPT(" ",10)</f>
        <v/>
      </c>
      <c r="AF493" s="10">
        <f>REPT(" ",20)</f>
        <v/>
      </c>
      <c r="AG493" s="54">
        <f>REPT(" ",18-LEN(FIXED(F493,2,TRUE)))&amp;FIXED(F493,2,TRUE)</f>
        <v/>
      </c>
      <c r="AH493" s="10">
        <f>LEN(AC493)+LEN(AG493)</f>
        <v/>
      </c>
      <c r="AI493" s="10">
        <f>LEN(L493)</f>
        <v/>
      </c>
    </row>
    <row r="494">
      <c r="I494" s="42" t="n"/>
      <c r="J494" s="12">
        <f>IF(F494&lt;&gt;0,"LANÇAR","")</f>
        <v/>
      </c>
      <c r="K494" s="20" t="n"/>
      <c r="L494" s="13">
        <f>N494&amp;O494&amp;P494&amp;Q494&amp;R494&amp;S494&amp;T494&amp;U494&amp;V494&amp;W494&amp;X494&amp;Y494&amp;Z494&amp;AA494&amp;AB494&amp;AC494&amp;AD494&amp;AE494&amp;AF494&amp;AG494</f>
        <v/>
      </c>
      <c r="M494" s="20" t="n"/>
      <c r="N494" s="10">
        <f>TEXT($B$6,"00")</f>
        <v/>
      </c>
      <c r="O494" s="10">
        <f>REPT(" ",8)</f>
        <v/>
      </c>
      <c r="P494" s="10">
        <f>RIGHT($B$4,2)</f>
        <v/>
      </c>
      <c r="Q494" s="10">
        <f>RIGHT($B$5,3)</f>
        <v/>
      </c>
      <c r="R494" s="10">
        <f>IF(A494="D",LEFT(UPPER(B494)&amp;REPT(" ",20),20),REPT(" ",20))</f>
        <v/>
      </c>
      <c r="S494" s="10">
        <f>IF(A494="D",LEFT(UPPER(C494)&amp;REPT(" ",10),10)," ")</f>
        <v/>
      </c>
      <c r="T494" s="10">
        <f>IF(A494="D",LEFT(UPPER(D494)&amp;REPT(" ",2),2)," ")</f>
        <v/>
      </c>
      <c r="U494" s="10">
        <f>IF(A494="D",LEFT(UPPER(E494)&amp;REPT(" ",15),15)," ")</f>
        <v/>
      </c>
      <c r="V494" s="10">
        <f>REPT(" ",24)</f>
        <v/>
      </c>
      <c r="W494" s="10">
        <f>IF(A494="c",LEFT(UPPER(B494)&amp;REPT(" ",20),20),REPT(" ",20))</f>
        <v/>
      </c>
      <c r="X494" s="10">
        <f>IF(A494="C",LEFT(UPPER(C494)&amp;REPT(" ",10),10)," ")</f>
        <v/>
      </c>
      <c r="Y494" s="10">
        <f>IF(A494="C",LEFT(UPPER(D494)&amp;REPT(" ",2),2)," ")</f>
        <v/>
      </c>
      <c r="Z494" s="10">
        <f>IF(A494="C",LEFT(UPPER(E494)&amp;REPT(" ",15),15)," ")</f>
        <v/>
      </c>
      <c r="AA494" s="10">
        <f>REPT(" ",8)</f>
        <v/>
      </c>
      <c r="AB494" s="10">
        <f>REPT(" ",4)</f>
        <v/>
      </c>
      <c r="AC494" s="10">
        <f>LEFT(UPPER(H494)&amp;REPT(" ",250),250)</f>
        <v/>
      </c>
      <c r="AD494" s="10">
        <f>TEXT($G$2,"dd/mm/aaaa")</f>
        <v/>
      </c>
      <c r="AE494" s="10">
        <f>REPT(" ",10)</f>
        <v/>
      </c>
      <c r="AF494" s="10">
        <f>REPT(" ",20)</f>
        <v/>
      </c>
      <c r="AG494" s="54">
        <f>REPT(" ",18-LEN(FIXED(F494,2,TRUE)))&amp;FIXED(F494,2,TRUE)</f>
        <v/>
      </c>
      <c r="AH494" s="10">
        <f>LEN(AC494)+LEN(AG494)</f>
        <v/>
      </c>
      <c r="AI494" s="10">
        <f>LEN(L494)</f>
        <v/>
      </c>
    </row>
    <row r="495">
      <c r="I495" s="42" t="n"/>
      <c r="J495" s="12">
        <f>IF(F495&lt;&gt;0,"LANÇAR","")</f>
        <v/>
      </c>
      <c r="K495" s="20" t="n"/>
      <c r="L495" s="13">
        <f>N495&amp;O495&amp;P495&amp;Q495&amp;R495&amp;S495&amp;T495&amp;U495&amp;V495&amp;W495&amp;X495&amp;Y495&amp;Z495&amp;AA495&amp;AB495&amp;AC495&amp;AD495&amp;AE495&amp;AF495&amp;AG495</f>
        <v/>
      </c>
      <c r="M495" s="20" t="n"/>
      <c r="N495" s="10">
        <f>TEXT($B$6,"00")</f>
        <v/>
      </c>
      <c r="O495" s="10">
        <f>REPT(" ",8)</f>
        <v/>
      </c>
      <c r="P495" s="10">
        <f>RIGHT($B$4,2)</f>
        <v/>
      </c>
      <c r="Q495" s="10">
        <f>RIGHT($B$5,3)</f>
        <v/>
      </c>
      <c r="R495" s="10">
        <f>IF(A495="D",LEFT(UPPER(B495)&amp;REPT(" ",20),20),REPT(" ",20))</f>
        <v/>
      </c>
      <c r="S495" s="10">
        <f>IF(A495="D",LEFT(UPPER(C495)&amp;REPT(" ",10),10)," ")</f>
        <v/>
      </c>
      <c r="T495" s="10">
        <f>IF(A495="D",LEFT(UPPER(D495)&amp;REPT(" ",2),2)," ")</f>
        <v/>
      </c>
      <c r="U495" s="10">
        <f>IF(A495="D",LEFT(UPPER(E495)&amp;REPT(" ",15),15)," ")</f>
        <v/>
      </c>
      <c r="V495" s="10">
        <f>REPT(" ",24)</f>
        <v/>
      </c>
      <c r="W495" s="10">
        <f>IF(A495="c",LEFT(UPPER(B495)&amp;REPT(" ",20),20),REPT(" ",20))</f>
        <v/>
      </c>
      <c r="X495" s="10">
        <f>IF(A495="C",LEFT(UPPER(C495)&amp;REPT(" ",10),10)," ")</f>
        <v/>
      </c>
      <c r="Y495" s="10">
        <f>IF(A495="C",LEFT(UPPER(D495)&amp;REPT(" ",2),2)," ")</f>
        <v/>
      </c>
      <c r="Z495" s="10">
        <f>IF(A495="C",LEFT(UPPER(E495)&amp;REPT(" ",15),15)," ")</f>
        <v/>
      </c>
      <c r="AA495" s="10">
        <f>REPT(" ",8)</f>
        <v/>
      </c>
      <c r="AB495" s="10">
        <f>REPT(" ",4)</f>
        <v/>
      </c>
      <c r="AC495" s="10">
        <f>LEFT(UPPER(H495)&amp;REPT(" ",250),250)</f>
        <v/>
      </c>
      <c r="AD495" s="10">
        <f>TEXT($G$2,"dd/mm/aaaa")</f>
        <v/>
      </c>
      <c r="AE495" s="10">
        <f>REPT(" ",10)</f>
        <v/>
      </c>
      <c r="AF495" s="10">
        <f>REPT(" ",20)</f>
        <v/>
      </c>
      <c r="AG495" s="54">
        <f>REPT(" ",18-LEN(FIXED(F495,2,TRUE)))&amp;FIXED(F495,2,TRUE)</f>
        <v/>
      </c>
      <c r="AH495" s="10">
        <f>LEN(AC495)+LEN(AG495)</f>
        <v/>
      </c>
      <c r="AI495" s="10">
        <f>LEN(L495)</f>
        <v/>
      </c>
    </row>
    <row r="496">
      <c r="I496" s="42" t="n"/>
      <c r="J496" s="12">
        <f>IF(F496&lt;&gt;0,"LANÇAR","")</f>
        <v/>
      </c>
      <c r="K496" s="20" t="n"/>
      <c r="L496" s="13">
        <f>N496&amp;O496&amp;P496&amp;Q496&amp;R496&amp;S496&amp;T496&amp;U496&amp;V496&amp;W496&amp;X496&amp;Y496&amp;Z496&amp;AA496&amp;AB496&amp;AC496&amp;AD496&amp;AE496&amp;AF496&amp;AG496</f>
        <v/>
      </c>
      <c r="M496" s="20" t="n"/>
      <c r="N496" s="10">
        <f>TEXT($B$6,"00")</f>
        <v/>
      </c>
      <c r="O496" s="10">
        <f>REPT(" ",8)</f>
        <v/>
      </c>
      <c r="P496" s="10">
        <f>RIGHT($B$4,2)</f>
        <v/>
      </c>
      <c r="Q496" s="10">
        <f>RIGHT($B$5,3)</f>
        <v/>
      </c>
      <c r="R496" s="10">
        <f>IF(A496="D",LEFT(UPPER(B496)&amp;REPT(" ",20),20),REPT(" ",20))</f>
        <v/>
      </c>
      <c r="S496" s="10">
        <f>IF(A496="D",LEFT(UPPER(C496)&amp;REPT(" ",10),10)," ")</f>
        <v/>
      </c>
      <c r="T496" s="10">
        <f>IF(A496="D",LEFT(UPPER(D496)&amp;REPT(" ",2),2)," ")</f>
        <v/>
      </c>
      <c r="U496" s="10">
        <f>IF(A496="D",LEFT(UPPER(E496)&amp;REPT(" ",15),15)," ")</f>
        <v/>
      </c>
      <c r="V496" s="10">
        <f>REPT(" ",24)</f>
        <v/>
      </c>
      <c r="W496" s="10">
        <f>IF(A496="c",LEFT(UPPER(B496)&amp;REPT(" ",20),20),REPT(" ",20))</f>
        <v/>
      </c>
      <c r="X496" s="10">
        <f>IF(A496="C",LEFT(UPPER(C496)&amp;REPT(" ",10),10)," ")</f>
        <v/>
      </c>
      <c r="Y496" s="10">
        <f>IF(A496="C",LEFT(UPPER(D496)&amp;REPT(" ",2),2)," ")</f>
        <v/>
      </c>
      <c r="Z496" s="10">
        <f>IF(A496="C",LEFT(UPPER(E496)&amp;REPT(" ",15),15)," ")</f>
        <v/>
      </c>
      <c r="AA496" s="10">
        <f>REPT(" ",8)</f>
        <v/>
      </c>
      <c r="AB496" s="10">
        <f>REPT(" ",4)</f>
        <v/>
      </c>
      <c r="AC496" s="10">
        <f>LEFT(UPPER(H496)&amp;REPT(" ",250),250)</f>
        <v/>
      </c>
      <c r="AD496" s="10">
        <f>TEXT($G$2,"dd/mm/aaaa")</f>
        <v/>
      </c>
      <c r="AE496" s="10">
        <f>REPT(" ",10)</f>
        <v/>
      </c>
      <c r="AF496" s="10">
        <f>REPT(" ",20)</f>
        <v/>
      </c>
      <c r="AG496" s="54">
        <f>REPT(" ",18-LEN(FIXED(F496,2,TRUE)))&amp;FIXED(F496,2,TRUE)</f>
        <v/>
      </c>
      <c r="AH496" s="10">
        <f>LEN(AC496)+LEN(AG496)</f>
        <v/>
      </c>
      <c r="AI496" s="10">
        <f>LEN(L496)</f>
        <v/>
      </c>
    </row>
    <row r="497">
      <c r="I497" s="42" t="n"/>
      <c r="J497" s="12">
        <f>IF(F497&lt;&gt;0,"LANÇAR","")</f>
        <v/>
      </c>
      <c r="K497" s="20" t="n"/>
      <c r="L497" s="13">
        <f>N497&amp;O497&amp;P497&amp;Q497&amp;R497&amp;S497&amp;T497&amp;U497&amp;V497&amp;W497&amp;X497&amp;Y497&amp;Z497&amp;AA497&amp;AB497&amp;AC497&amp;AD497&amp;AE497&amp;AF497&amp;AG497</f>
        <v/>
      </c>
      <c r="M497" s="20" t="n"/>
      <c r="N497" s="10">
        <f>TEXT($B$6,"00")</f>
        <v/>
      </c>
      <c r="O497" s="10">
        <f>REPT(" ",8)</f>
        <v/>
      </c>
      <c r="P497" s="10">
        <f>RIGHT($B$4,2)</f>
        <v/>
      </c>
      <c r="Q497" s="10">
        <f>RIGHT($B$5,3)</f>
        <v/>
      </c>
      <c r="R497" s="10">
        <f>IF(A497="D",LEFT(UPPER(B497)&amp;REPT(" ",20),20),REPT(" ",20))</f>
        <v/>
      </c>
      <c r="S497" s="10">
        <f>IF(A497="D",LEFT(UPPER(C497)&amp;REPT(" ",10),10)," ")</f>
        <v/>
      </c>
      <c r="T497" s="10">
        <f>IF(A497="D",LEFT(UPPER(D497)&amp;REPT(" ",2),2)," ")</f>
        <v/>
      </c>
      <c r="U497" s="10">
        <f>IF(A497="D",LEFT(UPPER(E497)&amp;REPT(" ",15),15)," ")</f>
        <v/>
      </c>
      <c r="V497" s="10">
        <f>REPT(" ",24)</f>
        <v/>
      </c>
      <c r="W497" s="10">
        <f>IF(A497="c",LEFT(UPPER(B497)&amp;REPT(" ",20),20),REPT(" ",20))</f>
        <v/>
      </c>
      <c r="X497" s="10">
        <f>IF(A497="C",LEFT(UPPER(C497)&amp;REPT(" ",10),10)," ")</f>
        <v/>
      </c>
      <c r="Y497" s="10">
        <f>IF(A497="C",LEFT(UPPER(D497)&amp;REPT(" ",2),2)," ")</f>
        <v/>
      </c>
      <c r="Z497" s="10">
        <f>IF(A497="C",LEFT(UPPER(E497)&amp;REPT(" ",15),15)," ")</f>
        <v/>
      </c>
      <c r="AA497" s="10">
        <f>REPT(" ",8)</f>
        <v/>
      </c>
      <c r="AB497" s="10">
        <f>REPT(" ",4)</f>
        <v/>
      </c>
      <c r="AC497" s="10">
        <f>LEFT(UPPER(H497)&amp;REPT(" ",250),250)</f>
        <v/>
      </c>
      <c r="AD497" s="10">
        <f>TEXT($G$2,"dd/mm/aaaa")</f>
        <v/>
      </c>
      <c r="AE497" s="10">
        <f>REPT(" ",10)</f>
        <v/>
      </c>
      <c r="AF497" s="10">
        <f>REPT(" ",20)</f>
        <v/>
      </c>
      <c r="AG497" s="54">
        <f>REPT(" ",18-LEN(FIXED(F497,2,TRUE)))&amp;FIXED(F497,2,TRUE)</f>
        <v/>
      </c>
      <c r="AH497" s="10">
        <f>LEN(AC497)+LEN(AG497)</f>
        <v/>
      </c>
      <c r="AI497" s="10">
        <f>LEN(L497)</f>
        <v/>
      </c>
    </row>
    <row r="498">
      <c r="I498" s="42" t="n"/>
      <c r="J498" s="12">
        <f>IF(F498&lt;&gt;0,"LANÇAR","")</f>
        <v/>
      </c>
      <c r="K498" s="20" t="n"/>
      <c r="L498" s="13">
        <f>N498&amp;O498&amp;P498&amp;Q498&amp;R498&amp;S498&amp;T498&amp;U498&amp;V498&amp;W498&amp;X498&amp;Y498&amp;Z498&amp;AA498&amp;AB498&amp;AC498&amp;AD498&amp;AE498&amp;AF498&amp;AG498</f>
        <v/>
      </c>
      <c r="M498" s="20" t="n"/>
      <c r="N498" s="10">
        <f>TEXT($B$6,"00")</f>
        <v/>
      </c>
      <c r="O498" s="10">
        <f>REPT(" ",8)</f>
        <v/>
      </c>
      <c r="P498" s="10">
        <f>RIGHT($B$4,2)</f>
        <v/>
      </c>
      <c r="Q498" s="10">
        <f>RIGHT($B$5,3)</f>
        <v/>
      </c>
      <c r="R498" s="10">
        <f>IF(A498="D",LEFT(UPPER(B498)&amp;REPT(" ",20),20),REPT(" ",20))</f>
        <v/>
      </c>
      <c r="S498" s="10">
        <f>IF(A498="D",LEFT(UPPER(C498)&amp;REPT(" ",10),10)," ")</f>
        <v/>
      </c>
      <c r="T498" s="10">
        <f>IF(A498="D",LEFT(UPPER(D498)&amp;REPT(" ",2),2)," ")</f>
        <v/>
      </c>
      <c r="U498" s="10">
        <f>IF(A498="D",LEFT(UPPER(E498)&amp;REPT(" ",15),15)," ")</f>
        <v/>
      </c>
      <c r="V498" s="10">
        <f>REPT(" ",24)</f>
        <v/>
      </c>
      <c r="W498" s="10">
        <f>IF(A498="c",LEFT(UPPER(B498)&amp;REPT(" ",20),20),REPT(" ",20))</f>
        <v/>
      </c>
      <c r="X498" s="10">
        <f>IF(A498="C",LEFT(UPPER(C498)&amp;REPT(" ",10),10)," ")</f>
        <v/>
      </c>
      <c r="Y498" s="10">
        <f>IF(A498="C",LEFT(UPPER(D498)&amp;REPT(" ",2),2)," ")</f>
        <v/>
      </c>
      <c r="Z498" s="10">
        <f>IF(A498="C",LEFT(UPPER(E498)&amp;REPT(" ",15),15)," ")</f>
        <v/>
      </c>
      <c r="AA498" s="10">
        <f>REPT(" ",8)</f>
        <v/>
      </c>
      <c r="AB498" s="10">
        <f>REPT(" ",4)</f>
        <v/>
      </c>
      <c r="AC498" s="10">
        <f>LEFT(UPPER(H498)&amp;REPT(" ",250),250)</f>
        <v/>
      </c>
      <c r="AD498" s="10">
        <f>TEXT($G$2,"dd/mm/aaaa")</f>
        <v/>
      </c>
      <c r="AE498" s="10">
        <f>REPT(" ",10)</f>
        <v/>
      </c>
      <c r="AF498" s="10">
        <f>REPT(" ",20)</f>
        <v/>
      </c>
      <c r="AG498" s="54">
        <f>REPT(" ",18-LEN(FIXED(F498,2,TRUE)))&amp;FIXED(F498,2,TRUE)</f>
        <v/>
      </c>
      <c r="AH498" s="10">
        <f>LEN(AC498)+LEN(AG498)</f>
        <v/>
      </c>
      <c r="AI498" s="10">
        <f>LEN(L498)</f>
        <v/>
      </c>
    </row>
    <row r="499">
      <c r="I499" s="42" t="n"/>
      <c r="J499" s="12">
        <f>IF(F499&lt;&gt;0,"LANÇAR","")</f>
        <v/>
      </c>
      <c r="K499" s="20" t="n"/>
      <c r="L499" s="13">
        <f>N499&amp;O499&amp;P499&amp;Q499&amp;R499&amp;S499&amp;T499&amp;U499&amp;V499&amp;W499&amp;X499&amp;Y499&amp;Z499&amp;AA499&amp;AB499&amp;AC499&amp;AD499&amp;AE499&amp;AF499&amp;AG499</f>
        <v/>
      </c>
      <c r="M499" s="20" t="n"/>
      <c r="N499" s="10">
        <f>TEXT($B$6,"00")</f>
        <v/>
      </c>
      <c r="O499" s="10">
        <f>REPT(" ",8)</f>
        <v/>
      </c>
      <c r="P499" s="10">
        <f>RIGHT($B$4,2)</f>
        <v/>
      </c>
      <c r="Q499" s="10">
        <f>RIGHT($B$5,3)</f>
        <v/>
      </c>
      <c r="R499" s="10">
        <f>IF(A499="D",LEFT(UPPER(B499)&amp;REPT(" ",20),20),REPT(" ",20))</f>
        <v/>
      </c>
      <c r="S499" s="10">
        <f>IF(A499="D",LEFT(UPPER(C499)&amp;REPT(" ",10),10)," ")</f>
        <v/>
      </c>
      <c r="T499" s="10">
        <f>IF(A499="D",LEFT(UPPER(D499)&amp;REPT(" ",2),2)," ")</f>
        <v/>
      </c>
      <c r="U499" s="10">
        <f>IF(A499="D",LEFT(UPPER(E499)&amp;REPT(" ",15),15)," ")</f>
        <v/>
      </c>
      <c r="V499" s="10">
        <f>REPT(" ",24)</f>
        <v/>
      </c>
      <c r="W499" s="10">
        <f>IF(A499="c",LEFT(UPPER(B499)&amp;REPT(" ",20),20),REPT(" ",20))</f>
        <v/>
      </c>
      <c r="X499" s="10">
        <f>IF(A499="C",LEFT(UPPER(C499)&amp;REPT(" ",10),10)," ")</f>
        <v/>
      </c>
      <c r="Y499" s="10">
        <f>IF(A499="C",LEFT(UPPER(D499)&amp;REPT(" ",2),2)," ")</f>
        <v/>
      </c>
      <c r="Z499" s="10">
        <f>IF(A499="C",LEFT(UPPER(E499)&amp;REPT(" ",15),15)," ")</f>
        <v/>
      </c>
      <c r="AA499" s="10">
        <f>REPT(" ",8)</f>
        <v/>
      </c>
      <c r="AB499" s="10">
        <f>REPT(" ",4)</f>
        <v/>
      </c>
      <c r="AC499" s="10">
        <f>LEFT(UPPER(H499)&amp;REPT(" ",250),250)</f>
        <v/>
      </c>
      <c r="AD499" s="10">
        <f>TEXT($G$2,"dd/mm/aaaa")</f>
        <v/>
      </c>
      <c r="AE499" s="10">
        <f>REPT(" ",10)</f>
        <v/>
      </c>
      <c r="AF499" s="10">
        <f>REPT(" ",20)</f>
        <v/>
      </c>
      <c r="AG499" s="54">
        <f>REPT(" ",18-LEN(FIXED(F499,2,TRUE)))&amp;FIXED(F499,2,TRUE)</f>
        <v/>
      </c>
      <c r="AH499" s="10">
        <f>LEN(AC499)+LEN(AG499)</f>
        <v/>
      </c>
      <c r="AI499" s="10">
        <f>LEN(L499)</f>
        <v/>
      </c>
    </row>
    <row r="500">
      <c r="I500" s="42" t="n"/>
      <c r="J500" s="12">
        <f>IF(F500&lt;&gt;0,"LANÇAR","")</f>
        <v/>
      </c>
      <c r="K500" s="20" t="n"/>
      <c r="L500" s="13">
        <f>N500&amp;O500&amp;P500&amp;Q500&amp;R500&amp;S500&amp;T500&amp;U500&amp;V500&amp;W500&amp;X500&amp;Y500&amp;Z500&amp;AA500&amp;AB500&amp;AC500&amp;AD500&amp;AE500&amp;AF500&amp;AG500</f>
        <v/>
      </c>
      <c r="M500" s="20" t="n"/>
      <c r="N500" s="10">
        <f>TEXT($B$6,"00")</f>
        <v/>
      </c>
      <c r="O500" s="10">
        <f>REPT(" ",8)</f>
        <v/>
      </c>
      <c r="P500" s="10">
        <f>RIGHT($B$4,2)</f>
        <v/>
      </c>
      <c r="Q500" s="10">
        <f>RIGHT($B$5,3)</f>
        <v/>
      </c>
      <c r="R500" s="10">
        <f>IF(A500="D",LEFT(UPPER(B500)&amp;REPT(" ",20),20),REPT(" ",20))</f>
        <v/>
      </c>
      <c r="S500" s="10">
        <f>IF(A500="D",LEFT(UPPER(C500)&amp;REPT(" ",10),10)," ")</f>
        <v/>
      </c>
      <c r="T500" s="10">
        <f>IF(A500="D",LEFT(UPPER(D500)&amp;REPT(" ",2),2)," ")</f>
        <v/>
      </c>
      <c r="U500" s="10">
        <f>IF(A500="D",LEFT(UPPER(E500)&amp;REPT(" ",15),15)," ")</f>
        <v/>
      </c>
      <c r="V500" s="10">
        <f>REPT(" ",24)</f>
        <v/>
      </c>
      <c r="W500" s="10">
        <f>IF(A500="c",LEFT(UPPER(B500)&amp;REPT(" ",20),20),REPT(" ",20))</f>
        <v/>
      </c>
      <c r="X500" s="10">
        <f>IF(A500="C",LEFT(UPPER(C500)&amp;REPT(" ",10),10)," ")</f>
        <v/>
      </c>
      <c r="Y500" s="10">
        <f>IF(A500="C",LEFT(UPPER(D500)&amp;REPT(" ",2),2)," ")</f>
        <v/>
      </c>
      <c r="Z500" s="10">
        <f>IF(A500="C",LEFT(UPPER(E500)&amp;REPT(" ",15),15)," ")</f>
        <v/>
      </c>
      <c r="AA500" s="10">
        <f>REPT(" ",8)</f>
        <v/>
      </c>
      <c r="AB500" s="10">
        <f>REPT(" ",4)</f>
        <v/>
      </c>
      <c r="AC500" s="10">
        <f>LEFT(UPPER(H500)&amp;REPT(" ",250),250)</f>
        <v/>
      </c>
      <c r="AD500" s="10">
        <f>TEXT($G$2,"dd/mm/aaaa")</f>
        <v/>
      </c>
      <c r="AE500" s="10">
        <f>REPT(" ",10)</f>
        <v/>
      </c>
      <c r="AF500" s="10">
        <f>REPT(" ",20)</f>
        <v/>
      </c>
      <c r="AG500" s="54">
        <f>REPT(" ",18-LEN(FIXED(F500,2,TRUE)))&amp;FIXED(F500,2,TRUE)</f>
        <v/>
      </c>
      <c r="AH500" s="10">
        <f>LEN(AC500)+LEN(AG500)</f>
        <v/>
      </c>
      <c r="AI500" s="10">
        <f>LEN(L500)</f>
        <v/>
      </c>
    </row>
    <row r="501">
      <c r="I501" s="42" t="n"/>
      <c r="J501" s="12">
        <f>IF(F501&lt;&gt;0,"LANÇAR","")</f>
        <v/>
      </c>
      <c r="K501" s="20" t="n"/>
      <c r="L501" s="13">
        <f>N501&amp;O501&amp;P501&amp;Q501&amp;R501&amp;S501&amp;T501&amp;U501&amp;V501&amp;W501&amp;X501&amp;Y501&amp;Z501&amp;AA501&amp;AB501&amp;AC501&amp;AD501&amp;AE501&amp;AF501&amp;AG501</f>
        <v/>
      </c>
      <c r="M501" s="20" t="n"/>
      <c r="N501" s="10">
        <f>TEXT($B$6,"00")</f>
        <v/>
      </c>
      <c r="O501" s="10">
        <f>REPT(" ",8)</f>
        <v/>
      </c>
      <c r="P501" s="10">
        <f>RIGHT($B$4,2)</f>
        <v/>
      </c>
      <c r="Q501" s="10">
        <f>RIGHT($B$5,3)</f>
        <v/>
      </c>
      <c r="R501" s="10">
        <f>IF(A501="D",LEFT(UPPER(B501)&amp;REPT(" ",20),20),REPT(" ",20))</f>
        <v/>
      </c>
      <c r="S501" s="10">
        <f>IF(A501="D",LEFT(UPPER(C501)&amp;REPT(" ",10),10)," ")</f>
        <v/>
      </c>
      <c r="T501" s="10">
        <f>IF(A501="D",LEFT(UPPER(D501)&amp;REPT(" ",2),2)," ")</f>
        <v/>
      </c>
      <c r="U501" s="10">
        <f>IF(A501="D",LEFT(UPPER(E501)&amp;REPT(" ",15),15)," ")</f>
        <v/>
      </c>
      <c r="V501" s="10">
        <f>REPT(" ",24)</f>
        <v/>
      </c>
      <c r="W501" s="10">
        <f>IF(A501="c",LEFT(UPPER(B501)&amp;REPT(" ",20),20),REPT(" ",20))</f>
        <v/>
      </c>
      <c r="X501" s="10">
        <f>IF(A501="C",LEFT(UPPER(C501)&amp;REPT(" ",10),10)," ")</f>
        <v/>
      </c>
      <c r="Y501" s="10">
        <f>IF(A501="C",LEFT(UPPER(D501)&amp;REPT(" ",2),2)," ")</f>
        <v/>
      </c>
      <c r="Z501" s="10">
        <f>IF(A501="C",LEFT(UPPER(E501)&amp;REPT(" ",15),15)," ")</f>
        <v/>
      </c>
      <c r="AA501" s="10">
        <f>REPT(" ",8)</f>
        <v/>
      </c>
      <c r="AB501" s="10">
        <f>REPT(" ",4)</f>
        <v/>
      </c>
      <c r="AC501" s="10">
        <f>LEFT(UPPER(H501)&amp;REPT(" ",250),250)</f>
        <v/>
      </c>
      <c r="AD501" s="10">
        <f>TEXT($G$2,"dd/mm/aaaa")</f>
        <v/>
      </c>
      <c r="AE501" s="10">
        <f>REPT(" ",10)</f>
        <v/>
      </c>
      <c r="AF501" s="10">
        <f>REPT(" ",20)</f>
        <v/>
      </c>
      <c r="AG501" s="54">
        <f>REPT(" ",18-LEN(FIXED(F501,2,TRUE)))&amp;FIXED(F501,2,TRUE)</f>
        <v/>
      </c>
      <c r="AH501" s="10">
        <f>LEN(AC501)+LEN(AG501)</f>
        <v/>
      </c>
      <c r="AI501" s="10">
        <f>LEN(L501)</f>
        <v/>
      </c>
    </row>
    <row r="502">
      <c r="I502" s="42" t="n"/>
      <c r="J502" s="12">
        <f>IF(F502&lt;&gt;0,"LANÇAR","")</f>
        <v/>
      </c>
      <c r="K502" s="20" t="n"/>
      <c r="L502" s="13">
        <f>N502&amp;O502&amp;P502&amp;Q502&amp;R502&amp;S502&amp;T502&amp;U502&amp;V502&amp;W502&amp;X502&amp;Y502&amp;Z502&amp;AA502&amp;AB502&amp;AC502&amp;AD502&amp;AE502&amp;AF502&amp;AG502</f>
        <v/>
      </c>
      <c r="M502" s="20" t="n"/>
      <c r="N502" s="10">
        <f>TEXT($B$6,"00")</f>
        <v/>
      </c>
      <c r="O502" s="10">
        <f>REPT(" ",8)</f>
        <v/>
      </c>
      <c r="P502" s="10">
        <f>RIGHT($B$4,2)</f>
        <v/>
      </c>
      <c r="Q502" s="10">
        <f>RIGHT($B$5,3)</f>
        <v/>
      </c>
      <c r="R502" s="10">
        <f>IF(A502="D",LEFT(UPPER(B502)&amp;REPT(" ",20),20),REPT(" ",20))</f>
        <v/>
      </c>
      <c r="S502" s="10">
        <f>IF(A502="D",LEFT(UPPER(C502)&amp;REPT(" ",10),10)," ")</f>
        <v/>
      </c>
      <c r="T502" s="10">
        <f>IF(A502="D",LEFT(UPPER(D502)&amp;REPT(" ",2),2)," ")</f>
        <v/>
      </c>
      <c r="U502" s="10">
        <f>IF(A502="D",LEFT(UPPER(E502)&amp;REPT(" ",15),15)," ")</f>
        <v/>
      </c>
      <c r="V502" s="10">
        <f>REPT(" ",24)</f>
        <v/>
      </c>
      <c r="W502" s="10">
        <f>IF(A502="c",LEFT(UPPER(B502)&amp;REPT(" ",20),20),REPT(" ",20))</f>
        <v/>
      </c>
      <c r="X502" s="10">
        <f>IF(A502="C",LEFT(UPPER(C502)&amp;REPT(" ",10),10)," ")</f>
        <v/>
      </c>
      <c r="Y502" s="10">
        <f>IF(A502="C",LEFT(UPPER(D502)&amp;REPT(" ",2),2)," ")</f>
        <v/>
      </c>
      <c r="Z502" s="10">
        <f>IF(A502="C",LEFT(UPPER(E502)&amp;REPT(" ",15),15)," ")</f>
        <v/>
      </c>
      <c r="AA502" s="10">
        <f>REPT(" ",8)</f>
        <v/>
      </c>
      <c r="AB502" s="10">
        <f>REPT(" ",4)</f>
        <v/>
      </c>
      <c r="AC502" s="10">
        <f>LEFT(UPPER(H502)&amp;REPT(" ",250),250)</f>
        <v/>
      </c>
      <c r="AD502" s="10">
        <f>TEXT($G$2,"dd/mm/aaaa")</f>
        <v/>
      </c>
      <c r="AE502" s="10">
        <f>REPT(" ",10)</f>
        <v/>
      </c>
      <c r="AF502" s="10">
        <f>REPT(" ",20)</f>
        <v/>
      </c>
      <c r="AG502" s="54">
        <f>REPT(" ",18-LEN(FIXED(F502,2,TRUE)))&amp;FIXED(F502,2,TRUE)</f>
        <v/>
      </c>
      <c r="AH502" s="10">
        <f>LEN(AC502)+LEN(AG502)</f>
        <v/>
      </c>
      <c r="AI502" s="10">
        <f>LEN(L502)</f>
        <v/>
      </c>
    </row>
    <row r="503">
      <c r="I503" s="42" t="n"/>
      <c r="J503" s="12">
        <f>IF(F503&lt;&gt;0,"LANÇAR","")</f>
        <v/>
      </c>
      <c r="K503" s="20" t="n"/>
      <c r="L503" s="13">
        <f>N503&amp;O503&amp;P503&amp;Q503&amp;R503&amp;S503&amp;T503&amp;U503&amp;V503&amp;W503&amp;X503&amp;Y503&amp;Z503&amp;AA503&amp;AB503&amp;AC503&amp;AD503&amp;AE503&amp;AF503&amp;AG503</f>
        <v/>
      </c>
      <c r="M503" s="20" t="n"/>
      <c r="N503" s="10">
        <f>TEXT($B$6,"00")</f>
        <v/>
      </c>
      <c r="O503" s="10">
        <f>REPT(" ",8)</f>
        <v/>
      </c>
      <c r="P503" s="10">
        <f>RIGHT($B$4,2)</f>
        <v/>
      </c>
      <c r="Q503" s="10">
        <f>RIGHT($B$5,3)</f>
        <v/>
      </c>
      <c r="R503" s="10">
        <f>IF(A503="D",LEFT(UPPER(B503)&amp;REPT(" ",20),20),REPT(" ",20))</f>
        <v/>
      </c>
      <c r="S503" s="10">
        <f>IF(A503="D",LEFT(UPPER(C503)&amp;REPT(" ",10),10)," ")</f>
        <v/>
      </c>
      <c r="T503" s="10">
        <f>IF(A503="D",LEFT(UPPER(D503)&amp;REPT(" ",2),2)," ")</f>
        <v/>
      </c>
      <c r="U503" s="10">
        <f>IF(A503="D",LEFT(UPPER(E503)&amp;REPT(" ",15),15)," ")</f>
        <v/>
      </c>
      <c r="V503" s="10">
        <f>REPT(" ",24)</f>
        <v/>
      </c>
      <c r="W503" s="10">
        <f>IF(A503="c",LEFT(UPPER(B503)&amp;REPT(" ",20),20),REPT(" ",20))</f>
        <v/>
      </c>
      <c r="X503" s="10">
        <f>IF(A503="C",LEFT(UPPER(C503)&amp;REPT(" ",10),10)," ")</f>
        <v/>
      </c>
      <c r="Y503" s="10">
        <f>IF(A503="C",LEFT(UPPER(D503)&amp;REPT(" ",2),2)," ")</f>
        <v/>
      </c>
      <c r="Z503" s="10">
        <f>IF(A503="C",LEFT(UPPER(E503)&amp;REPT(" ",15),15)," ")</f>
        <v/>
      </c>
      <c r="AA503" s="10">
        <f>REPT(" ",8)</f>
        <v/>
      </c>
      <c r="AB503" s="10">
        <f>REPT(" ",4)</f>
        <v/>
      </c>
      <c r="AC503" s="10">
        <f>LEFT(UPPER(H503)&amp;REPT(" ",250),250)</f>
        <v/>
      </c>
      <c r="AD503" s="10">
        <f>TEXT($G$2,"dd/mm/aaaa")</f>
        <v/>
      </c>
      <c r="AE503" s="10">
        <f>REPT(" ",10)</f>
        <v/>
      </c>
      <c r="AF503" s="10">
        <f>REPT(" ",20)</f>
        <v/>
      </c>
      <c r="AG503" s="54">
        <f>REPT(" ",18-LEN(FIXED(F503,2,TRUE)))&amp;FIXED(F503,2,TRUE)</f>
        <v/>
      </c>
      <c r="AH503" s="10">
        <f>LEN(AC503)+LEN(AG503)</f>
        <v/>
      </c>
      <c r="AI503" s="10">
        <f>LEN(L503)</f>
        <v/>
      </c>
    </row>
    <row r="504">
      <c r="I504" s="42" t="n"/>
      <c r="J504" s="12">
        <f>IF(F504&lt;&gt;0,"LANÇAR","")</f>
        <v/>
      </c>
      <c r="K504" s="20" t="n"/>
      <c r="L504" s="13">
        <f>N504&amp;O504&amp;P504&amp;Q504&amp;R504&amp;S504&amp;T504&amp;U504&amp;V504&amp;W504&amp;X504&amp;Y504&amp;Z504&amp;AA504&amp;AB504&amp;AC504&amp;AD504&amp;AE504&amp;AF504&amp;AG504</f>
        <v/>
      </c>
      <c r="M504" s="20" t="n"/>
      <c r="N504" s="10">
        <f>TEXT($B$6,"00")</f>
        <v/>
      </c>
      <c r="O504" s="10">
        <f>REPT(" ",8)</f>
        <v/>
      </c>
      <c r="P504" s="10">
        <f>RIGHT($B$4,2)</f>
        <v/>
      </c>
      <c r="Q504" s="10">
        <f>RIGHT($B$5,3)</f>
        <v/>
      </c>
      <c r="R504" s="10">
        <f>IF(A504="D",LEFT(UPPER(B504)&amp;REPT(" ",20),20),REPT(" ",20))</f>
        <v/>
      </c>
      <c r="S504" s="10">
        <f>IF(A504="D",LEFT(UPPER(C504)&amp;REPT(" ",10),10)," ")</f>
        <v/>
      </c>
      <c r="T504" s="10">
        <f>IF(A504="D",LEFT(UPPER(D504)&amp;REPT(" ",2),2)," ")</f>
        <v/>
      </c>
      <c r="U504" s="10">
        <f>IF(A504="D",LEFT(UPPER(E504)&amp;REPT(" ",15),15)," ")</f>
        <v/>
      </c>
      <c r="V504" s="10">
        <f>REPT(" ",24)</f>
        <v/>
      </c>
      <c r="W504" s="10">
        <f>IF(A504="c",LEFT(UPPER(B504)&amp;REPT(" ",20),20),REPT(" ",20))</f>
        <v/>
      </c>
      <c r="X504" s="10">
        <f>IF(A504="C",LEFT(UPPER(C504)&amp;REPT(" ",10),10)," ")</f>
        <v/>
      </c>
      <c r="Y504" s="10">
        <f>IF(A504="C",LEFT(UPPER(D504)&amp;REPT(" ",2),2)," ")</f>
        <v/>
      </c>
      <c r="Z504" s="10">
        <f>IF(A504="C",LEFT(UPPER(E504)&amp;REPT(" ",15),15)," ")</f>
        <v/>
      </c>
      <c r="AA504" s="10">
        <f>REPT(" ",8)</f>
        <v/>
      </c>
      <c r="AB504" s="10">
        <f>REPT(" ",4)</f>
        <v/>
      </c>
      <c r="AC504" s="10">
        <f>LEFT(UPPER(H504)&amp;REPT(" ",250),250)</f>
        <v/>
      </c>
      <c r="AD504" s="10">
        <f>TEXT($G$2,"dd/mm/aaaa")</f>
        <v/>
      </c>
      <c r="AE504" s="10">
        <f>REPT(" ",10)</f>
        <v/>
      </c>
      <c r="AF504" s="10">
        <f>REPT(" ",20)</f>
        <v/>
      </c>
      <c r="AG504" s="54">
        <f>REPT(" ",18-LEN(FIXED(F504,2,TRUE)))&amp;FIXED(F504,2,TRUE)</f>
        <v/>
      </c>
      <c r="AH504" s="10">
        <f>LEN(AC504)+LEN(AG504)</f>
        <v/>
      </c>
      <c r="AI504" s="10">
        <f>LEN(L504)</f>
        <v/>
      </c>
    </row>
    <row r="505">
      <c r="I505" s="42" t="n"/>
      <c r="J505" s="12">
        <f>IF(F505&lt;&gt;0,"LANÇAR","")</f>
        <v/>
      </c>
      <c r="K505" s="20" t="n"/>
      <c r="L505" s="13">
        <f>N505&amp;O505&amp;P505&amp;Q505&amp;R505&amp;S505&amp;T505&amp;U505&amp;V505&amp;W505&amp;X505&amp;Y505&amp;Z505&amp;AA505&amp;AB505&amp;AC505&amp;AD505&amp;AE505&amp;AF505&amp;AG505</f>
        <v/>
      </c>
      <c r="M505" s="20" t="n"/>
      <c r="N505" s="10">
        <f>TEXT($B$6,"00")</f>
        <v/>
      </c>
      <c r="O505" s="10">
        <f>REPT(" ",8)</f>
        <v/>
      </c>
      <c r="P505" s="10">
        <f>RIGHT($B$4,2)</f>
        <v/>
      </c>
      <c r="Q505" s="10">
        <f>RIGHT($B$5,3)</f>
        <v/>
      </c>
      <c r="R505" s="10">
        <f>IF(A505="D",LEFT(UPPER(B505)&amp;REPT(" ",20),20),REPT(" ",20))</f>
        <v/>
      </c>
      <c r="S505" s="10">
        <f>IF(A505="D",LEFT(UPPER(C505)&amp;REPT(" ",10),10)," ")</f>
        <v/>
      </c>
      <c r="T505" s="10">
        <f>IF(A505="D",LEFT(UPPER(D505)&amp;REPT(" ",2),2)," ")</f>
        <v/>
      </c>
      <c r="U505" s="10">
        <f>IF(A505="D",LEFT(UPPER(E505)&amp;REPT(" ",15),15)," ")</f>
        <v/>
      </c>
      <c r="V505" s="10">
        <f>REPT(" ",24)</f>
        <v/>
      </c>
      <c r="W505" s="10">
        <f>IF(A505="c",LEFT(UPPER(B505)&amp;REPT(" ",20),20),REPT(" ",20))</f>
        <v/>
      </c>
      <c r="X505" s="10">
        <f>IF(A505="C",LEFT(UPPER(C505)&amp;REPT(" ",10),10)," ")</f>
        <v/>
      </c>
      <c r="Y505" s="10">
        <f>IF(A505="C",LEFT(UPPER(D505)&amp;REPT(" ",2),2)," ")</f>
        <v/>
      </c>
      <c r="Z505" s="10">
        <f>IF(A505="C",LEFT(UPPER(E505)&amp;REPT(" ",15),15)," ")</f>
        <v/>
      </c>
      <c r="AA505" s="10">
        <f>REPT(" ",8)</f>
        <v/>
      </c>
      <c r="AB505" s="10">
        <f>REPT(" ",4)</f>
        <v/>
      </c>
      <c r="AC505" s="10">
        <f>LEFT(UPPER(H505)&amp;REPT(" ",250),250)</f>
        <v/>
      </c>
      <c r="AD505" s="10">
        <f>TEXT($G$2,"dd/mm/aaaa")</f>
        <v/>
      </c>
      <c r="AE505" s="10">
        <f>REPT(" ",10)</f>
        <v/>
      </c>
      <c r="AF505" s="10">
        <f>REPT(" ",20)</f>
        <v/>
      </c>
      <c r="AG505" s="54">
        <f>REPT(" ",18-LEN(FIXED(F505,2,TRUE)))&amp;FIXED(F505,2,TRUE)</f>
        <v/>
      </c>
      <c r="AH505" s="10">
        <f>LEN(AC505)+LEN(AG505)</f>
        <v/>
      </c>
      <c r="AI505" s="10">
        <f>LEN(L505)</f>
        <v/>
      </c>
    </row>
    <row r="506">
      <c r="I506" s="42" t="n"/>
      <c r="J506" s="12">
        <f>IF(F506&lt;&gt;0,"LANÇAR","")</f>
        <v/>
      </c>
      <c r="K506" s="20" t="n"/>
      <c r="L506" s="13">
        <f>N506&amp;O506&amp;P506&amp;Q506&amp;R506&amp;S506&amp;T506&amp;U506&amp;V506&amp;W506&amp;X506&amp;Y506&amp;Z506&amp;AA506&amp;AB506&amp;AC506&amp;AD506&amp;AE506&amp;AF506&amp;AG506</f>
        <v/>
      </c>
      <c r="M506" s="20" t="n"/>
      <c r="N506" s="10">
        <f>TEXT($B$6,"00")</f>
        <v/>
      </c>
      <c r="O506" s="10">
        <f>REPT(" ",8)</f>
        <v/>
      </c>
      <c r="P506" s="10">
        <f>RIGHT($B$4,2)</f>
        <v/>
      </c>
      <c r="Q506" s="10">
        <f>RIGHT($B$5,3)</f>
        <v/>
      </c>
      <c r="R506" s="10">
        <f>IF(A506="D",LEFT(UPPER(B506)&amp;REPT(" ",20),20),REPT(" ",20))</f>
        <v/>
      </c>
      <c r="S506" s="10">
        <f>IF(A506="D",LEFT(UPPER(C506)&amp;REPT(" ",10),10)," ")</f>
        <v/>
      </c>
      <c r="T506" s="10">
        <f>IF(A506="D",LEFT(UPPER(D506)&amp;REPT(" ",2),2)," ")</f>
        <v/>
      </c>
      <c r="U506" s="10">
        <f>IF(A506="D",LEFT(UPPER(E506)&amp;REPT(" ",15),15)," ")</f>
        <v/>
      </c>
      <c r="V506" s="10">
        <f>REPT(" ",24)</f>
        <v/>
      </c>
      <c r="W506" s="10">
        <f>IF(A506="c",LEFT(UPPER(B506)&amp;REPT(" ",20),20),REPT(" ",20))</f>
        <v/>
      </c>
      <c r="X506" s="10">
        <f>IF(A506="C",LEFT(UPPER(C506)&amp;REPT(" ",10),10)," ")</f>
        <v/>
      </c>
      <c r="Y506" s="10">
        <f>IF(A506="C",LEFT(UPPER(D506)&amp;REPT(" ",2),2)," ")</f>
        <v/>
      </c>
      <c r="Z506" s="10">
        <f>IF(A506="C",LEFT(UPPER(E506)&amp;REPT(" ",15),15)," ")</f>
        <v/>
      </c>
      <c r="AA506" s="10">
        <f>REPT(" ",8)</f>
        <v/>
      </c>
      <c r="AB506" s="10">
        <f>REPT(" ",4)</f>
        <v/>
      </c>
      <c r="AC506" s="10">
        <f>LEFT(UPPER(H506)&amp;REPT(" ",250),250)</f>
        <v/>
      </c>
      <c r="AD506" s="10">
        <f>TEXT($G$2,"dd/mm/aaaa")</f>
        <v/>
      </c>
      <c r="AE506" s="10">
        <f>REPT(" ",10)</f>
        <v/>
      </c>
      <c r="AF506" s="10">
        <f>REPT(" ",20)</f>
        <v/>
      </c>
      <c r="AG506" s="54">
        <f>REPT(" ",18-LEN(FIXED(F506,2,TRUE)))&amp;FIXED(F506,2,TRUE)</f>
        <v/>
      </c>
      <c r="AH506" s="10">
        <f>LEN(AC506)+LEN(AG506)</f>
        <v/>
      </c>
      <c r="AI506" s="10">
        <f>LEN(L506)</f>
        <v/>
      </c>
    </row>
    <row r="507">
      <c r="I507" s="42" t="n"/>
      <c r="J507" s="12">
        <f>IF(F507&lt;&gt;0,"LANÇAR","")</f>
        <v/>
      </c>
      <c r="K507" s="20" t="n"/>
      <c r="L507" s="13">
        <f>N507&amp;O507&amp;P507&amp;Q507&amp;R507&amp;S507&amp;T507&amp;U507&amp;V507&amp;W507&amp;X507&amp;Y507&amp;Z507&amp;AA507&amp;AB507&amp;AC507&amp;AD507&amp;AE507&amp;AF507&amp;AG507</f>
        <v/>
      </c>
      <c r="M507" s="20" t="n"/>
      <c r="N507" s="10">
        <f>TEXT($B$6,"00")</f>
        <v/>
      </c>
      <c r="O507" s="10">
        <f>REPT(" ",8)</f>
        <v/>
      </c>
      <c r="P507" s="10">
        <f>RIGHT($B$4,2)</f>
        <v/>
      </c>
      <c r="Q507" s="10">
        <f>RIGHT($B$5,3)</f>
        <v/>
      </c>
      <c r="R507" s="10">
        <f>IF(A507="D",LEFT(UPPER(B507)&amp;REPT(" ",20),20),REPT(" ",20))</f>
        <v/>
      </c>
      <c r="S507" s="10">
        <f>IF(A507="D",LEFT(UPPER(C507)&amp;REPT(" ",10),10)," ")</f>
        <v/>
      </c>
      <c r="T507" s="10">
        <f>IF(A507="D",LEFT(UPPER(D507)&amp;REPT(" ",2),2)," ")</f>
        <v/>
      </c>
      <c r="U507" s="10">
        <f>IF(A507="D",LEFT(UPPER(E507)&amp;REPT(" ",15),15)," ")</f>
        <v/>
      </c>
      <c r="V507" s="10">
        <f>REPT(" ",24)</f>
        <v/>
      </c>
      <c r="W507" s="10">
        <f>IF(A507="c",LEFT(UPPER(B507)&amp;REPT(" ",20),20),REPT(" ",20))</f>
        <v/>
      </c>
      <c r="X507" s="10">
        <f>IF(A507="C",LEFT(UPPER(C507)&amp;REPT(" ",10),10)," ")</f>
        <v/>
      </c>
      <c r="Y507" s="10">
        <f>IF(A507="C",LEFT(UPPER(D507)&amp;REPT(" ",2),2)," ")</f>
        <v/>
      </c>
      <c r="Z507" s="10">
        <f>IF(A507="C",LEFT(UPPER(E507)&amp;REPT(" ",15),15)," ")</f>
        <v/>
      </c>
      <c r="AA507" s="10">
        <f>REPT(" ",8)</f>
        <v/>
      </c>
      <c r="AB507" s="10">
        <f>REPT(" ",4)</f>
        <v/>
      </c>
      <c r="AC507" s="10">
        <f>LEFT(UPPER(H507)&amp;REPT(" ",250),250)</f>
        <v/>
      </c>
      <c r="AD507" s="10">
        <f>TEXT($G$2,"dd/mm/aaaa")</f>
        <v/>
      </c>
      <c r="AE507" s="10">
        <f>REPT(" ",10)</f>
        <v/>
      </c>
      <c r="AF507" s="10">
        <f>REPT(" ",20)</f>
        <v/>
      </c>
      <c r="AG507" s="54">
        <f>REPT(" ",18-LEN(FIXED(F507,2,TRUE)))&amp;FIXED(F507,2,TRUE)</f>
        <v/>
      </c>
      <c r="AH507" s="10">
        <f>LEN(AC507)+LEN(AG507)</f>
        <v/>
      </c>
      <c r="AI507" s="10">
        <f>LEN(L507)</f>
        <v/>
      </c>
    </row>
    <row r="508">
      <c r="I508" s="42" t="n"/>
      <c r="J508" s="12">
        <f>IF(F508&lt;&gt;0,"LANÇAR","")</f>
        <v/>
      </c>
      <c r="K508" s="20" t="n"/>
      <c r="L508" s="13">
        <f>N508&amp;O508&amp;P508&amp;Q508&amp;R508&amp;S508&amp;T508&amp;U508&amp;V508&amp;W508&amp;X508&amp;Y508&amp;Z508&amp;AA508&amp;AB508&amp;AC508&amp;AD508&amp;AE508&amp;AF508&amp;AG508</f>
        <v/>
      </c>
      <c r="M508" s="20" t="n"/>
      <c r="N508" s="10">
        <f>TEXT($B$6,"00")</f>
        <v/>
      </c>
      <c r="O508" s="10">
        <f>REPT(" ",8)</f>
        <v/>
      </c>
      <c r="P508" s="10">
        <f>RIGHT($B$4,2)</f>
        <v/>
      </c>
      <c r="Q508" s="10">
        <f>RIGHT($B$5,3)</f>
        <v/>
      </c>
      <c r="R508" s="10">
        <f>IF(A508="D",LEFT(UPPER(B508)&amp;REPT(" ",20),20),REPT(" ",20))</f>
        <v/>
      </c>
      <c r="S508" s="10">
        <f>IF(A508="D",LEFT(UPPER(C508)&amp;REPT(" ",10),10)," ")</f>
        <v/>
      </c>
      <c r="T508" s="10">
        <f>IF(A508="D",LEFT(UPPER(D508)&amp;REPT(" ",2),2)," ")</f>
        <v/>
      </c>
      <c r="U508" s="10">
        <f>IF(A508="D",LEFT(UPPER(E508)&amp;REPT(" ",15),15)," ")</f>
        <v/>
      </c>
      <c r="V508" s="10">
        <f>REPT(" ",24)</f>
        <v/>
      </c>
      <c r="W508" s="10">
        <f>IF(A508="c",LEFT(UPPER(B508)&amp;REPT(" ",20),20),REPT(" ",20))</f>
        <v/>
      </c>
      <c r="X508" s="10">
        <f>IF(A508="C",LEFT(UPPER(C508)&amp;REPT(" ",10),10)," ")</f>
        <v/>
      </c>
      <c r="Y508" s="10">
        <f>IF(A508="C",LEFT(UPPER(D508)&amp;REPT(" ",2),2)," ")</f>
        <v/>
      </c>
      <c r="Z508" s="10">
        <f>IF(A508="C",LEFT(UPPER(E508)&amp;REPT(" ",15),15)," ")</f>
        <v/>
      </c>
      <c r="AA508" s="10">
        <f>REPT(" ",8)</f>
        <v/>
      </c>
      <c r="AB508" s="10">
        <f>REPT(" ",4)</f>
        <v/>
      </c>
      <c r="AC508" s="10">
        <f>LEFT(UPPER(H508)&amp;REPT(" ",250),250)</f>
        <v/>
      </c>
      <c r="AD508" s="10">
        <f>TEXT($G$2,"dd/mm/aaaa")</f>
        <v/>
      </c>
      <c r="AE508" s="10">
        <f>REPT(" ",10)</f>
        <v/>
      </c>
      <c r="AF508" s="10">
        <f>REPT(" ",20)</f>
        <v/>
      </c>
      <c r="AG508" s="54">
        <f>REPT(" ",18-LEN(FIXED(F508,2,TRUE)))&amp;FIXED(F508,2,TRUE)</f>
        <v/>
      </c>
      <c r="AH508" s="10">
        <f>LEN(AC508)+LEN(AG508)</f>
        <v/>
      </c>
      <c r="AI508" s="10">
        <f>LEN(L508)</f>
        <v/>
      </c>
    </row>
    <row r="509">
      <c r="I509" s="42" t="n"/>
      <c r="J509" s="12">
        <f>IF(F509&lt;&gt;0,"LANÇAR","")</f>
        <v/>
      </c>
      <c r="K509" s="20" t="n"/>
      <c r="L509" s="13">
        <f>N509&amp;O509&amp;P509&amp;Q509&amp;R509&amp;S509&amp;T509&amp;U509&amp;V509&amp;W509&amp;X509&amp;Y509&amp;Z509&amp;AA509&amp;AB509&amp;AC509&amp;AD509&amp;AE509&amp;AF509&amp;AG509</f>
        <v/>
      </c>
      <c r="M509" s="20" t="n"/>
      <c r="N509" s="10">
        <f>TEXT($B$6,"00")</f>
        <v/>
      </c>
      <c r="O509" s="10">
        <f>REPT(" ",8)</f>
        <v/>
      </c>
      <c r="P509" s="10">
        <f>RIGHT($B$4,2)</f>
        <v/>
      </c>
      <c r="Q509" s="10">
        <f>RIGHT($B$5,3)</f>
        <v/>
      </c>
      <c r="R509" s="10">
        <f>IF(A509="D",LEFT(UPPER(B509)&amp;REPT(" ",20),20),REPT(" ",20))</f>
        <v/>
      </c>
      <c r="S509" s="10">
        <f>IF(A509="D",LEFT(UPPER(C509)&amp;REPT(" ",10),10)," ")</f>
        <v/>
      </c>
      <c r="T509" s="10">
        <f>IF(A509="D",LEFT(UPPER(D509)&amp;REPT(" ",2),2)," ")</f>
        <v/>
      </c>
      <c r="U509" s="10">
        <f>IF(A509="D",LEFT(UPPER(E509)&amp;REPT(" ",15),15)," ")</f>
        <v/>
      </c>
      <c r="V509" s="10">
        <f>REPT(" ",24)</f>
        <v/>
      </c>
      <c r="W509" s="10">
        <f>IF(A509="c",LEFT(UPPER(B509)&amp;REPT(" ",20),20),REPT(" ",20))</f>
        <v/>
      </c>
      <c r="X509" s="10">
        <f>IF(A509="C",LEFT(UPPER(C509)&amp;REPT(" ",10),10)," ")</f>
        <v/>
      </c>
      <c r="Y509" s="10">
        <f>IF(A509="C",LEFT(UPPER(D509)&amp;REPT(" ",2),2)," ")</f>
        <v/>
      </c>
      <c r="Z509" s="10">
        <f>IF(A509="C",LEFT(UPPER(E509)&amp;REPT(" ",15),15)," ")</f>
        <v/>
      </c>
      <c r="AA509" s="10">
        <f>REPT(" ",8)</f>
        <v/>
      </c>
      <c r="AB509" s="10">
        <f>REPT(" ",4)</f>
        <v/>
      </c>
      <c r="AC509" s="10">
        <f>LEFT(UPPER(H509)&amp;REPT(" ",250),250)</f>
        <v/>
      </c>
      <c r="AD509" s="10">
        <f>TEXT($G$2,"dd/mm/aaaa")</f>
        <v/>
      </c>
      <c r="AE509" s="10">
        <f>REPT(" ",10)</f>
        <v/>
      </c>
      <c r="AF509" s="10">
        <f>REPT(" ",20)</f>
        <v/>
      </c>
      <c r="AG509" s="54">
        <f>REPT(" ",18-LEN(FIXED(F509,2,TRUE)))&amp;FIXED(F509,2,TRUE)</f>
        <v/>
      </c>
      <c r="AH509" s="10">
        <f>LEN(AC509)+LEN(AG509)</f>
        <v/>
      </c>
      <c r="AI509" s="10">
        <f>LEN(L509)</f>
        <v/>
      </c>
    </row>
    <row r="510">
      <c r="I510" s="42" t="n"/>
      <c r="J510" s="12">
        <f>IF(F510&lt;&gt;0,"LANÇAR","")</f>
        <v/>
      </c>
      <c r="K510" s="20" t="n"/>
      <c r="L510" s="13">
        <f>N510&amp;O510&amp;P510&amp;Q510&amp;R510&amp;S510&amp;T510&amp;U510&amp;V510&amp;W510&amp;X510&amp;Y510&amp;Z510&amp;AA510&amp;AB510&amp;AC510&amp;AD510&amp;AE510&amp;AF510&amp;AG510</f>
        <v/>
      </c>
      <c r="M510" s="20" t="n"/>
      <c r="N510" s="10">
        <f>TEXT($B$6,"00")</f>
        <v/>
      </c>
      <c r="O510" s="10">
        <f>REPT(" ",8)</f>
        <v/>
      </c>
      <c r="P510" s="10">
        <f>RIGHT($B$4,2)</f>
        <v/>
      </c>
      <c r="Q510" s="10">
        <f>RIGHT($B$5,3)</f>
        <v/>
      </c>
      <c r="R510" s="10">
        <f>IF(A510="D",LEFT(UPPER(B510)&amp;REPT(" ",20),20),REPT(" ",20))</f>
        <v/>
      </c>
      <c r="S510" s="10">
        <f>IF(A510="D",LEFT(UPPER(C510)&amp;REPT(" ",10),10)," ")</f>
        <v/>
      </c>
      <c r="T510" s="10">
        <f>IF(A510="D",LEFT(UPPER(D510)&amp;REPT(" ",2),2)," ")</f>
        <v/>
      </c>
      <c r="U510" s="10">
        <f>IF(A510="D",LEFT(UPPER(E510)&amp;REPT(" ",15),15)," ")</f>
        <v/>
      </c>
      <c r="V510" s="10">
        <f>REPT(" ",24)</f>
        <v/>
      </c>
      <c r="W510" s="10">
        <f>IF(A510="c",LEFT(UPPER(B510)&amp;REPT(" ",20),20),REPT(" ",20))</f>
        <v/>
      </c>
      <c r="X510" s="10">
        <f>IF(A510="C",LEFT(UPPER(C510)&amp;REPT(" ",10),10)," ")</f>
        <v/>
      </c>
      <c r="Y510" s="10">
        <f>IF(A510="C",LEFT(UPPER(D510)&amp;REPT(" ",2),2)," ")</f>
        <v/>
      </c>
      <c r="Z510" s="10">
        <f>IF(A510="C",LEFT(UPPER(E510)&amp;REPT(" ",15),15)," ")</f>
        <v/>
      </c>
      <c r="AA510" s="10">
        <f>REPT(" ",8)</f>
        <v/>
      </c>
      <c r="AB510" s="10">
        <f>REPT(" ",4)</f>
        <v/>
      </c>
      <c r="AC510" s="10">
        <f>LEFT(UPPER(H510)&amp;REPT(" ",250),250)</f>
        <v/>
      </c>
      <c r="AD510" s="10">
        <f>TEXT($G$2,"dd/mm/aaaa")</f>
        <v/>
      </c>
      <c r="AE510" s="10">
        <f>REPT(" ",10)</f>
        <v/>
      </c>
      <c r="AF510" s="10">
        <f>REPT(" ",20)</f>
        <v/>
      </c>
      <c r="AG510" s="54">
        <f>REPT(" ",18-LEN(FIXED(F510,2,TRUE)))&amp;FIXED(F510,2,TRUE)</f>
        <v/>
      </c>
      <c r="AH510" s="10">
        <f>LEN(AC510)+LEN(AG510)</f>
        <v/>
      </c>
      <c r="AI510" s="10">
        <f>LEN(L510)</f>
        <v/>
      </c>
    </row>
    <row r="511">
      <c r="I511" s="42" t="n"/>
      <c r="J511" s="12">
        <f>IF(F511&lt;&gt;0,"LANÇAR","")</f>
        <v/>
      </c>
      <c r="K511" s="20" t="n"/>
      <c r="L511" s="13">
        <f>N511&amp;O511&amp;P511&amp;Q511&amp;R511&amp;S511&amp;T511&amp;U511&amp;V511&amp;W511&amp;X511&amp;Y511&amp;Z511&amp;AA511&amp;AB511&amp;AC511&amp;AD511&amp;AE511&amp;AF511&amp;AG511</f>
        <v/>
      </c>
      <c r="M511" s="20" t="n"/>
      <c r="N511" s="10">
        <f>TEXT($B$6,"00")</f>
        <v/>
      </c>
      <c r="O511" s="10">
        <f>REPT(" ",8)</f>
        <v/>
      </c>
      <c r="P511" s="10">
        <f>RIGHT($B$4,2)</f>
        <v/>
      </c>
      <c r="Q511" s="10">
        <f>RIGHT($B$5,3)</f>
        <v/>
      </c>
      <c r="R511" s="10">
        <f>IF(A511="D",LEFT(UPPER(B511)&amp;REPT(" ",20),20),REPT(" ",20))</f>
        <v/>
      </c>
      <c r="S511" s="10">
        <f>IF(A511="D",LEFT(UPPER(C511)&amp;REPT(" ",10),10)," ")</f>
        <v/>
      </c>
      <c r="T511" s="10">
        <f>IF(A511="D",LEFT(UPPER(D511)&amp;REPT(" ",2),2)," ")</f>
        <v/>
      </c>
      <c r="U511" s="10">
        <f>IF(A511="D",LEFT(UPPER(E511)&amp;REPT(" ",15),15)," ")</f>
        <v/>
      </c>
      <c r="V511" s="10">
        <f>REPT(" ",24)</f>
        <v/>
      </c>
      <c r="W511" s="10">
        <f>IF(A511="c",LEFT(UPPER(B511)&amp;REPT(" ",20),20),REPT(" ",20))</f>
        <v/>
      </c>
      <c r="X511" s="10">
        <f>IF(A511="C",LEFT(UPPER(C511)&amp;REPT(" ",10),10)," ")</f>
        <v/>
      </c>
      <c r="Y511" s="10">
        <f>IF(A511="C",LEFT(UPPER(D511)&amp;REPT(" ",2),2)," ")</f>
        <v/>
      </c>
      <c r="Z511" s="10">
        <f>IF(A511="C",LEFT(UPPER(E511)&amp;REPT(" ",15),15)," ")</f>
        <v/>
      </c>
      <c r="AA511" s="10">
        <f>REPT(" ",8)</f>
        <v/>
      </c>
      <c r="AB511" s="10">
        <f>REPT(" ",4)</f>
        <v/>
      </c>
      <c r="AC511" s="10">
        <f>LEFT(UPPER(H511)&amp;REPT(" ",250),250)</f>
        <v/>
      </c>
      <c r="AD511" s="10">
        <f>TEXT($G$2,"dd/mm/aaaa")</f>
        <v/>
      </c>
      <c r="AE511" s="10">
        <f>REPT(" ",10)</f>
        <v/>
      </c>
      <c r="AF511" s="10">
        <f>REPT(" ",20)</f>
        <v/>
      </c>
      <c r="AG511" s="54">
        <f>REPT(" ",18-LEN(FIXED(F511,2,TRUE)))&amp;FIXED(F511,2,TRUE)</f>
        <v/>
      </c>
      <c r="AH511" s="10">
        <f>LEN(AC511)+LEN(AG511)</f>
        <v/>
      </c>
      <c r="AI511" s="10">
        <f>LEN(L511)</f>
        <v/>
      </c>
    </row>
    <row r="512">
      <c r="I512" s="42" t="n"/>
      <c r="J512" s="12">
        <f>IF(F512&lt;&gt;0,"LANÇAR","")</f>
        <v/>
      </c>
      <c r="K512" s="20" t="n"/>
      <c r="L512" s="13">
        <f>N512&amp;O512&amp;P512&amp;Q512&amp;R512&amp;S512&amp;T512&amp;U512&amp;V512&amp;W512&amp;X512&amp;Y512&amp;Z512&amp;AA512&amp;AB512&amp;AC512&amp;AD512&amp;AE512&amp;AF512&amp;AG512</f>
        <v/>
      </c>
      <c r="M512" s="20" t="n"/>
      <c r="N512" s="10">
        <f>TEXT($B$6,"00")</f>
        <v/>
      </c>
      <c r="O512" s="10">
        <f>REPT(" ",8)</f>
        <v/>
      </c>
      <c r="P512" s="10">
        <f>RIGHT($B$4,2)</f>
        <v/>
      </c>
      <c r="Q512" s="10">
        <f>RIGHT($B$5,3)</f>
        <v/>
      </c>
      <c r="R512" s="10">
        <f>IF(A512="D",LEFT(UPPER(B512)&amp;REPT(" ",20),20),REPT(" ",20))</f>
        <v/>
      </c>
      <c r="S512" s="10">
        <f>IF(A512="D",LEFT(UPPER(C512)&amp;REPT(" ",10),10)," ")</f>
        <v/>
      </c>
      <c r="T512" s="10">
        <f>IF(A512="D",LEFT(UPPER(D512)&amp;REPT(" ",2),2)," ")</f>
        <v/>
      </c>
      <c r="U512" s="10">
        <f>IF(A512="D",LEFT(UPPER(E512)&amp;REPT(" ",15),15)," ")</f>
        <v/>
      </c>
      <c r="V512" s="10">
        <f>REPT(" ",24)</f>
        <v/>
      </c>
      <c r="W512" s="10">
        <f>IF(A512="c",LEFT(UPPER(B512)&amp;REPT(" ",20),20),REPT(" ",20))</f>
        <v/>
      </c>
      <c r="X512" s="10">
        <f>IF(A512="C",LEFT(UPPER(C512)&amp;REPT(" ",10),10)," ")</f>
        <v/>
      </c>
      <c r="Y512" s="10">
        <f>IF(A512="C",LEFT(UPPER(D512)&amp;REPT(" ",2),2)," ")</f>
        <v/>
      </c>
      <c r="Z512" s="10">
        <f>IF(A512="C",LEFT(UPPER(E512)&amp;REPT(" ",15),15)," ")</f>
        <v/>
      </c>
      <c r="AA512" s="10">
        <f>REPT(" ",8)</f>
        <v/>
      </c>
      <c r="AB512" s="10">
        <f>REPT(" ",4)</f>
        <v/>
      </c>
      <c r="AC512" s="10">
        <f>LEFT(UPPER(H512)&amp;REPT(" ",250),250)</f>
        <v/>
      </c>
      <c r="AD512" s="10">
        <f>TEXT($G$2,"dd/mm/aaaa")</f>
        <v/>
      </c>
      <c r="AE512" s="10">
        <f>REPT(" ",10)</f>
        <v/>
      </c>
      <c r="AF512" s="10">
        <f>REPT(" ",20)</f>
        <v/>
      </c>
      <c r="AG512" s="54">
        <f>REPT(" ",18-LEN(FIXED(F512,2,TRUE)))&amp;FIXED(F512,2,TRUE)</f>
        <v/>
      </c>
      <c r="AH512" s="10">
        <f>LEN(AC512)+LEN(AG512)</f>
        <v/>
      </c>
      <c r="AI512" s="10">
        <f>LEN(L512)</f>
        <v/>
      </c>
    </row>
    <row r="513">
      <c r="I513" s="42" t="n"/>
      <c r="J513" s="12">
        <f>IF(F513&lt;&gt;0,"LANÇAR","")</f>
        <v/>
      </c>
      <c r="K513" s="20" t="n"/>
      <c r="L513" s="13">
        <f>N513&amp;O513&amp;P513&amp;Q513&amp;R513&amp;S513&amp;T513&amp;U513&amp;V513&amp;W513&amp;X513&amp;Y513&amp;Z513&amp;AA513&amp;AB513&amp;AC513&amp;AD513&amp;AE513&amp;AF513&amp;AG513</f>
        <v/>
      </c>
      <c r="M513" s="20" t="n"/>
      <c r="N513" s="10">
        <f>TEXT($B$6,"00")</f>
        <v/>
      </c>
      <c r="O513" s="10">
        <f>REPT(" ",8)</f>
        <v/>
      </c>
      <c r="P513" s="10">
        <f>RIGHT($B$4,2)</f>
        <v/>
      </c>
      <c r="Q513" s="10">
        <f>RIGHT($B$5,3)</f>
        <v/>
      </c>
      <c r="R513" s="10">
        <f>IF(A513="D",LEFT(UPPER(B513)&amp;REPT(" ",20),20),REPT(" ",20))</f>
        <v/>
      </c>
      <c r="S513" s="10">
        <f>IF(A513="D",LEFT(UPPER(C513)&amp;REPT(" ",10),10)," ")</f>
        <v/>
      </c>
      <c r="T513" s="10">
        <f>IF(A513="D",LEFT(UPPER(D513)&amp;REPT(" ",2),2)," ")</f>
        <v/>
      </c>
      <c r="U513" s="10">
        <f>IF(A513="D",LEFT(UPPER(E513)&amp;REPT(" ",15),15)," ")</f>
        <v/>
      </c>
      <c r="V513" s="10">
        <f>REPT(" ",24)</f>
        <v/>
      </c>
      <c r="W513" s="10">
        <f>IF(A513="c",LEFT(UPPER(B513)&amp;REPT(" ",20),20),REPT(" ",20))</f>
        <v/>
      </c>
      <c r="X513" s="10">
        <f>IF(A513="C",LEFT(UPPER(C513)&amp;REPT(" ",10),10)," ")</f>
        <v/>
      </c>
      <c r="Y513" s="10">
        <f>IF(A513="C",LEFT(UPPER(D513)&amp;REPT(" ",2),2)," ")</f>
        <v/>
      </c>
      <c r="Z513" s="10">
        <f>IF(A513="C",LEFT(UPPER(E513)&amp;REPT(" ",15),15)," ")</f>
        <v/>
      </c>
      <c r="AA513" s="10">
        <f>REPT(" ",8)</f>
        <v/>
      </c>
      <c r="AB513" s="10">
        <f>REPT(" ",4)</f>
        <v/>
      </c>
      <c r="AC513" s="10">
        <f>LEFT(UPPER(H513)&amp;REPT(" ",250),250)</f>
        <v/>
      </c>
      <c r="AD513" s="10">
        <f>TEXT($G$2,"dd/mm/aaaa")</f>
        <v/>
      </c>
      <c r="AE513" s="10">
        <f>REPT(" ",10)</f>
        <v/>
      </c>
      <c r="AF513" s="10">
        <f>REPT(" ",20)</f>
        <v/>
      </c>
      <c r="AG513" s="54">
        <f>REPT(" ",18-LEN(FIXED(F513,2,TRUE)))&amp;FIXED(F513,2,TRUE)</f>
        <v/>
      </c>
      <c r="AH513" s="10">
        <f>LEN(AC513)+LEN(AG513)</f>
        <v/>
      </c>
      <c r="AI513" s="10">
        <f>LEN(L513)</f>
        <v/>
      </c>
    </row>
    <row r="514">
      <c r="I514" s="42" t="n"/>
      <c r="J514" s="12">
        <f>IF(F514&lt;&gt;0,"LANÇAR","")</f>
        <v/>
      </c>
      <c r="K514" s="20" t="n"/>
      <c r="L514" s="13">
        <f>N514&amp;O514&amp;P514&amp;Q514&amp;R514&amp;S514&amp;T514&amp;U514&amp;V514&amp;W514&amp;X514&amp;Y514&amp;Z514&amp;AA514&amp;AB514&amp;AC514&amp;AD514&amp;AE514&amp;AF514&amp;AG514</f>
        <v/>
      </c>
      <c r="M514" s="20" t="n"/>
      <c r="N514" s="10">
        <f>TEXT($B$6,"00")</f>
        <v/>
      </c>
      <c r="O514" s="10">
        <f>REPT(" ",8)</f>
        <v/>
      </c>
      <c r="P514" s="10">
        <f>RIGHT($B$4,2)</f>
        <v/>
      </c>
      <c r="Q514" s="10">
        <f>RIGHT($B$5,3)</f>
        <v/>
      </c>
      <c r="R514" s="10">
        <f>IF(A514="D",LEFT(UPPER(B514)&amp;REPT(" ",20),20),REPT(" ",20))</f>
        <v/>
      </c>
      <c r="S514" s="10">
        <f>IF(A514="D",LEFT(UPPER(C514)&amp;REPT(" ",10),10)," ")</f>
        <v/>
      </c>
      <c r="T514" s="10">
        <f>IF(A514="D",LEFT(UPPER(D514)&amp;REPT(" ",2),2)," ")</f>
        <v/>
      </c>
      <c r="U514" s="10">
        <f>IF(A514="D",LEFT(UPPER(E514)&amp;REPT(" ",15),15)," ")</f>
        <v/>
      </c>
      <c r="V514" s="10">
        <f>REPT(" ",24)</f>
        <v/>
      </c>
      <c r="W514" s="10">
        <f>IF(A514="c",LEFT(UPPER(B514)&amp;REPT(" ",20),20),REPT(" ",20))</f>
        <v/>
      </c>
      <c r="X514" s="10">
        <f>IF(A514="C",LEFT(UPPER(C514)&amp;REPT(" ",10),10)," ")</f>
        <v/>
      </c>
      <c r="Y514" s="10">
        <f>IF(A514="C",LEFT(UPPER(D514)&amp;REPT(" ",2),2)," ")</f>
        <v/>
      </c>
      <c r="Z514" s="10">
        <f>IF(A514="C",LEFT(UPPER(E514)&amp;REPT(" ",15),15)," ")</f>
        <v/>
      </c>
      <c r="AA514" s="10">
        <f>REPT(" ",8)</f>
        <v/>
      </c>
      <c r="AB514" s="10">
        <f>REPT(" ",4)</f>
        <v/>
      </c>
      <c r="AC514" s="10">
        <f>LEFT(UPPER(H514)&amp;REPT(" ",250),250)</f>
        <v/>
      </c>
      <c r="AD514" s="10">
        <f>TEXT($G$2,"dd/mm/aaaa")</f>
        <v/>
      </c>
      <c r="AE514" s="10">
        <f>REPT(" ",10)</f>
        <v/>
      </c>
      <c r="AF514" s="10">
        <f>REPT(" ",20)</f>
        <v/>
      </c>
      <c r="AG514" s="54">
        <f>REPT(" ",18-LEN(FIXED(F514,2,TRUE)))&amp;FIXED(F514,2,TRUE)</f>
        <v/>
      </c>
      <c r="AH514" s="10">
        <f>LEN(AC514)+LEN(AG514)</f>
        <v/>
      </c>
      <c r="AI514" s="10">
        <f>LEN(L514)</f>
        <v/>
      </c>
    </row>
    <row r="515">
      <c r="I515" s="42" t="n"/>
      <c r="J515" s="12">
        <f>IF(F515&lt;&gt;0,"LANÇAR","")</f>
        <v/>
      </c>
      <c r="K515" s="20" t="n"/>
      <c r="L515" s="13">
        <f>N515&amp;O515&amp;P515&amp;Q515&amp;R515&amp;S515&amp;T515&amp;U515&amp;V515&amp;W515&amp;X515&amp;Y515&amp;Z515&amp;AA515&amp;AB515&amp;AC515&amp;AD515&amp;AE515&amp;AF515&amp;AG515</f>
        <v/>
      </c>
      <c r="M515" s="20" t="n"/>
      <c r="N515" s="10">
        <f>TEXT($B$6,"00")</f>
        <v/>
      </c>
      <c r="O515" s="10">
        <f>REPT(" ",8)</f>
        <v/>
      </c>
      <c r="P515" s="10">
        <f>RIGHT($B$4,2)</f>
        <v/>
      </c>
      <c r="Q515" s="10">
        <f>RIGHT($B$5,3)</f>
        <v/>
      </c>
      <c r="R515" s="10">
        <f>IF(A515="D",LEFT(UPPER(B515)&amp;REPT(" ",20),20),REPT(" ",20))</f>
        <v/>
      </c>
      <c r="S515" s="10">
        <f>IF(A515="D",LEFT(UPPER(C515)&amp;REPT(" ",10),10)," ")</f>
        <v/>
      </c>
      <c r="T515" s="10">
        <f>IF(A515="D",LEFT(UPPER(D515)&amp;REPT(" ",2),2)," ")</f>
        <v/>
      </c>
      <c r="U515" s="10">
        <f>IF(A515="D",LEFT(UPPER(E515)&amp;REPT(" ",15),15)," ")</f>
        <v/>
      </c>
      <c r="V515" s="10">
        <f>REPT(" ",24)</f>
        <v/>
      </c>
      <c r="W515" s="10">
        <f>IF(A515="c",LEFT(UPPER(B515)&amp;REPT(" ",20),20),REPT(" ",20))</f>
        <v/>
      </c>
      <c r="X515" s="10">
        <f>IF(A515="C",LEFT(UPPER(C515)&amp;REPT(" ",10),10)," ")</f>
        <v/>
      </c>
      <c r="Y515" s="10">
        <f>IF(A515="C",LEFT(UPPER(D515)&amp;REPT(" ",2),2)," ")</f>
        <v/>
      </c>
      <c r="Z515" s="10">
        <f>IF(A515="C",LEFT(UPPER(E515)&amp;REPT(" ",15),15)," ")</f>
        <v/>
      </c>
      <c r="AA515" s="10">
        <f>REPT(" ",8)</f>
        <v/>
      </c>
      <c r="AB515" s="10">
        <f>REPT(" ",4)</f>
        <v/>
      </c>
      <c r="AC515" s="10">
        <f>LEFT(UPPER(H515)&amp;REPT(" ",250),250)</f>
        <v/>
      </c>
      <c r="AD515" s="10">
        <f>TEXT($G$2,"dd/mm/aaaa")</f>
        <v/>
      </c>
      <c r="AE515" s="10">
        <f>REPT(" ",10)</f>
        <v/>
      </c>
      <c r="AF515" s="10">
        <f>REPT(" ",20)</f>
        <v/>
      </c>
      <c r="AG515" s="54">
        <f>REPT(" ",18-LEN(FIXED(F515,2,TRUE)))&amp;FIXED(F515,2,TRUE)</f>
        <v/>
      </c>
      <c r="AH515" s="10">
        <f>LEN(AC515)+LEN(AG515)</f>
        <v/>
      </c>
      <c r="AI515" s="10">
        <f>LEN(L515)</f>
        <v/>
      </c>
    </row>
    <row r="516">
      <c r="I516" s="42" t="n"/>
      <c r="J516" s="12">
        <f>IF(F516&lt;&gt;0,"LANÇAR","")</f>
        <v/>
      </c>
      <c r="K516" s="20" t="n"/>
      <c r="L516" s="13">
        <f>N516&amp;O516&amp;P516&amp;Q516&amp;R516&amp;S516&amp;T516&amp;U516&amp;V516&amp;W516&amp;X516&amp;Y516&amp;Z516&amp;AA516&amp;AB516&amp;AC516&amp;AD516&amp;AE516&amp;AF516&amp;AG516</f>
        <v/>
      </c>
      <c r="M516" s="20" t="n"/>
      <c r="N516" s="10">
        <f>TEXT($B$6,"00")</f>
        <v/>
      </c>
      <c r="O516" s="10">
        <f>REPT(" ",8)</f>
        <v/>
      </c>
      <c r="P516" s="10">
        <f>RIGHT($B$4,2)</f>
        <v/>
      </c>
      <c r="Q516" s="10">
        <f>RIGHT($B$5,3)</f>
        <v/>
      </c>
      <c r="R516" s="10">
        <f>IF(A516="D",LEFT(UPPER(B516)&amp;REPT(" ",20),20),REPT(" ",20))</f>
        <v/>
      </c>
      <c r="S516" s="10">
        <f>IF(A516="D",LEFT(UPPER(C516)&amp;REPT(" ",10),10)," ")</f>
        <v/>
      </c>
      <c r="T516" s="10">
        <f>IF(A516="D",LEFT(UPPER(D516)&amp;REPT(" ",2),2)," ")</f>
        <v/>
      </c>
      <c r="U516" s="10">
        <f>IF(A516="D",LEFT(UPPER(E516)&amp;REPT(" ",15),15)," ")</f>
        <v/>
      </c>
      <c r="V516" s="10">
        <f>REPT(" ",24)</f>
        <v/>
      </c>
      <c r="W516" s="10">
        <f>IF(A516="c",LEFT(UPPER(B516)&amp;REPT(" ",20),20),REPT(" ",20))</f>
        <v/>
      </c>
      <c r="X516" s="10">
        <f>IF(A516="C",LEFT(UPPER(C516)&amp;REPT(" ",10),10)," ")</f>
        <v/>
      </c>
      <c r="Y516" s="10">
        <f>IF(A516="C",LEFT(UPPER(D516)&amp;REPT(" ",2),2)," ")</f>
        <v/>
      </c>
      <c r="Z516" s="10">
        <f>IF(A516="C",LEFT(UPPER(E516)&amp;REPT(" ",15),15)," ")</f>
        <v/>
      </c>
      <c r="AA516" s="10">
        <f>REPT(" ",8)</f>
        <v/>
      </c>
      <c r="AB516" s="10">
        <f>REPT(" ",4)</f>
        <v/>
      </c>
      <c r="AC516" s="10">
        <f>LEFT(UPPER(H516)&amp;REPT(" ",250),250)</f>
        <v/>
      </c>
      <c r="AD516" s="10">
        <f>TEXT($G$2,"dd/mm/aaaa")</f>
        <v/>
      </c>
      <c r="AE516" s="10">
        <f>REPT(" ",10)</f>
        <v/>
      </c>
      <c r="AF516" s="10">
        <f>REPT(" ",20)</f>
        <v/>
      </c>
      <c r="AG516" s="54">
        <f>REPT(" ",18-LEN(FIXED(F516,2,TRUE)))&amp;FIXED(F516,2,TRUE)</f>
        <v/>
      </c>
      <c r="AH516" s="10">
        <f>LEN(AC516)+LEN(AG516)</f>
        <v/>
      </c>
      <c r="AI516" s="10">
        <f>LEN(L516)</f>
        <v/>
      </c>
    </row>
    <row r="517">
      <c r="I517" s="42" t="n"/>
      <c r="J517" s="12">
        <f>IF(F517&lt;&gt;0,"LANÇAR","")</f>
        <v/>
      </c>
      <c r="K517" s="20" t="n"/>
      <c r="L517" s="13">
        <f>N517&amp;O517&amp;P517&amp;Q517&amp;R517&amp;S517&amp;T517&amp;U517&amp;V517&amp;W517&amp;X517&amp;Y517&amp;Z517&amp;AA517&amp;AB517&amp;AC517&amp;AD517&amp;AE517&amp;AF517&amp;AG517</f>
        <v/>
      </c>
      <c r="M517" s="20" t="n"/>
      <c r="N517" s="10">
        <f>TEXT($B$6,"00")</f>
        <v/>
      </c>
      <c r="O517" s="10">
        <f>REPT(" ",8)</f>
        <v/>
      </c>
      <c r="P517" s="10">
        <f>RIGHT($B$4,2)</f>
        <v/>
      </c>
      <c r="Q517" s="10">
        <f>RIGHT($B$5,3)</f>
        <v/>
      </c>
      <c r="R517" s="10">
        <f>IF(A517="D",LEFT(UPPER(B517)&amp;REPT(" ",20),20),REPT(" ",20))</f>
        <v/>
      </c>
      <c r="S517" s="10">
        <f>IF(A517="D",LEFT(UPPER(C517)&amp;REPT(" ",10),10)," ")</f>
        <v/>
      </c>
      <c r="T517" s="10">
        <f>IF(A517="D",LEFT(UPPER(D517)&amp;REPT(" ",2),2)," ")</f>
        <v/>
      </c>
      <c r="U517" s="10">
        <f>IF(A517="D",LEFT(UPPER(E517)&amp;REPT(" ",15),15)," ")</f>
        <v/>
      </c>
      <c r="V517" s="10">
        <f>REPT(" ",24)</f>
        <v/>
      </c>
      <c r="W517" s="10">
        <f>IF(A517="c",LEFT(UPPER(B517)&amp;REPT(" ",20),20),REPT(" ",20))</f>
        <v/>
      </c>
      <c r="X517" s="10">
        <f>IF(A517="C",LEFT(UPPER(C517)&amp;REPT(" ",10),10)," ")</f>
        <v/>
      </c>
      <c r="Y517" s="10">
        <f>IF(A517="C",LEFT(UPPER(D517)&amp;REPT(" ",2),2)," ")</f>
        <v/>
      </c>
      <c r="Z517" s="10">
        <f>IF(A517="C",LEFT(UPPER(E517)&amp;REPT(" ",15),15)," ")</f>
        <v/>
      </c>
      <c r="AA517" s="10">
        <f>REPT(" ",8)</f>
        <v/>
      </c>
      <c r="AB517" s="10">
        <f>REPT(" ",4)</f>
        <v/>
      </c>
      <c r="AC517" s="10">
        <f>LEFT(UPPER(H517)&amp;REPT(" ",250),250)</f>
        <v/>
      </c>
      <c r="AD517" s="10">
        <f>TEXT($G$2,"dd/mm/aaaa")</f>
        <v/>
      </c>
      <c r="AE517" s="10">
        <f>REPT(" ",10)</f>
        <v/>
      </c>
      <c r="AF517" s="10">
        <f>REPT(" ",20)</f>
        <v/>
      </c>
      <c r="AG517" s="54">
        <f>REPT(" ",18-LEN(FIXED(F517,2,TRUE)))&amp;FIXED(F517,2,TRUE)</f>
        <v/>
      </c>
      <c r="AH517" s="10">
        <f>LEN(AC517)+LEN(AG517)</f>
        <v/>
      </c>
      <c r="AI517" s="10">
        <f>LEN(L517)</f>
        <v/>
      </c>
    </row>
    <row r="518">
      <c r="I518" s="42" t="n"/>
      <c r="J518" s="12">
        <f>IF(F518&lt;&gt;0,"LANÇAR","")</f>
        <v/>
      </c>
      <c r="K518" s="20" t="n"/>
      <c r="L518" s="13">
        <f>N518&amp;O518&amp;P518&amp;Q518&amp;R518&amp;S518&amp;T518&amp;U518&amp;V518&amp;W518&amp;X518&amp;Y518&amp;Z518&amp;AA518&amp;AB518&amp;AC518&amp;AD518&amp;AE518&amp;AF518&amp;AG518</f>
        <v/>
      </c>
      <c r="M518" s="20" t="n"/>
      <c r="N518" s="10">
        <f>TEXT($B$6,"00")</f>
        <v/>
      </c>
      <c r="O518" s="10">
        <f>REPT(" ",8)</f>
        <v/>
      </c>
      <c r="P518" s="10">
        <f>RIGHT($B$4,2)</f>
        <v/>
      </c>
      <c r="Q518" s="10">
        <f>RIGHT($B$5,3)</f>
        <v/>
      </c>
      <c r="R518" s="10">
        <f>IF(A518="D",LEFT(UPPER(B518)&amp;REPT(" ",20),20),REPT(" ",20))</f>
        <v/>
      </c>
      <c r="S518" s="10">
        <f>IF(A518="D",LEFT(UPPER(C518)&amp;REPT(" ",10),10)," ")</f>
        <v/>
      </c>
      <c r="T518" s="10">
        <f>IF(A518="D",LEFT(UPPER(D518)&amp;REPT(" ",2),2)," ")</f>
        <v/>
      </c>
      <c r="U518" s="10">
        <f>IF(A518="D",LEFT(UPPER(E518)&amp;REPT(" ",15),15)," ")</f>
        <v/>
      </c>
      <c r="V518" s="10">
        <f>REPT(" ",24)</f>
        <v/>
      </c>
      <c r="W518" s="10">
        <f>IF(A518="c",LEFT(UPPER(B518)&amp;REPT(" ",20),20),REPT(" ",20))</f>
        <v/>
      </c>
      <c r="X518" s="10">
        <f>IF(A518="C",LEFT(UPPER(C518)&amp;REPT(" ",10),10)," ")</f>
        <v/>
      </c>
      <c r="Y518" s="10">
        <f>IF(A518="C",LEFT(UPPER(D518)&amp;REPT(" ",2),2)," ")</f>
        <v/>
      </c>
      <c r="Z518" s="10">
        <f>IF(A518="C",LEFT(UPPER(E518)&amp;REPT(" ",15),15)," ")</f>
        <v/>
      </c>
      <c r="AA518" s="10">
        <f>REPT(" ",8)</f>
        <v/>
      </c>
      <c r="AB518" s="10">
        <f>REPT(" ",4)</f>
        <v/>
      </c>
      <c r="AC518" s="10">
        <f>LEFT(UPPER(H518)&amp;REPT(" ",250),250)</f>
        <v/>
      </c>
      <c r="AD518" s="10">
        <f>TEXT($G$2,"dd/mm/aaaa")</f>
        <v/>
      </c>
      <c r="AE518" s="10">
        <f>REPT(" ",10)</f>
        <v/>
      </c>
      <c r="AF518" s="10">
        <f>REPT(" ",20)</f>
        <v/>
      </c>
      <c r="AG518" s="54">
        <f>REPT(" ",18-LEN(FIXED(F518,2,TRUE)))&amp;FIXED(F518,2,TRUE)</f>
        <v/>
      </c>
      <c r="AH518" s="10">
        <f>LEN(AC518)+LEN(AG518)</f>
        <v/>
      </c>
      <c r="AI518" s="10">
        <f>LEN(L518)</f>
        <v/>
      </c>
    </row>
    <row r="519">
      <c r="I519" s="42" t="n"/>
      <c r="J519" s="12">
        <f>IF(F519&lt;&gt;0,"LANÇAR","")</f>
        <v/>
      </c>
      <c r="K519" s="20" t="n"/>
      <c r="L519" s="13">
        <f>N519&amp;O519&amp;P519&amp;Q519&amp;R519&amp;S519&amp;T519&amp;U519&amp;V519&amp;W519&amp;X519&amp;Y519&amp;Z519&amp;AA519&amp;AB519&amp;AC519&amp;AD519&amp;AE519&amp;AF519&amp;AG519</f>
        <v/>
      </c>
      <c r="M519" s="20" t="n"/>
      <c r="N519" s="10">
        <f>TEXT($B$6,"00")</f>
        <v/>
      </c>
      <c r="O519" s="10">
        <f>REPT(" ",8)</f>
        <v/>
      </c>
      <c r="P519" s="10">
        <f>RIGHT($B$4,2)</f>
        <v/>
      </c>
      <c r="Q519" s="10">
        <f>RIGHT($B$5,3)</f>
        <v/>
      </c>
      <c r="R519" s="10">
        <f>IF(A519="D",LEFT(UPPER(B519)&amp;REPT(" ",20),20),REPT(" ",20))</f>
        <v/>
      </c>
      <c r="S519" s="10">
        <f>IF(A519="D",LEFT(UPPER(C519)&amp;REPT(" ",10),10)," ")</f>
        <v/>
      </c>
      <c r="T519" s="10">
        <f>IF(A519="D",LEFT(UPPER(D519)&amp;REPT(" ",2),2)," ")</f>
        <v/>
      </c>
      <c r="U519" s="10">
        <f>IF(A519="D",LEFT(UPPER(E519)&amp;REPT(" ",15),15)," ")</f>
        <v/>
      </c>
      <c r="V519" s="10">
        <f>REPT(" ",24)</f>
        <v/>
      </c>
      <c r="W519" s="10">
        <f>IF(A519="c",LEFT(UPPER(B519)&amp;REPT(" ",20),20),REPT(" ",20))</f>
        <v/>
      </c>
      <c r="X519" s="10">
        <f>IF(A519="C",LEFT(UPPER(C519)&amp;REPT(" ",10),10)," ")</f>
        <v/>
      </c>
      <c r="Y519" s="10">
        <f>IF(A519="C",LEFT(UPPER(D519)&amp;REPT(" ",2),2)," ")</f>
        <v/>
      </c>
      <c r="Z519" s="10">
        <f>IF(A519="C",LEFT(UPPER(E519)&amp;REPT(" ",15),15)," ")</f>
        <v/>
      </c>
      <c r="AA519" s="10">
        <f>REPT(" ",8)</f>
        <v/>
      </c>
      <c r="AB519" s="10">
        <f>REPT(" ",4)</f>
        <v/>
      </c>
      <c r="AC519" s="10">
        <f>LEFT(UPPER(H519)&amp;REPT(" ",250),250)</f>
        <v/>
      </c>
      <c r="AD519" s="10">
        <f>TEXT($G$2,"dd/mm/aaaa")</f>
        <v/>
      </c>
      <c r="AE519" s="10">
        <f>REPT(" ",10)</f>
        <v/>
      </c>
      <c r="AF519" s="10">
        <f>REPT(" ",20)</f>
        <v/>
      </c>
      <c r="AG519" s="54">
        <f>REPT(" ",18-LEN(FIXED(F519,2,TRUE)))&amp;FIXED(F519,2,TRUE)</f>
        <v/>
      </c>
      <c r="AH519" s="10">
        <f>LEN(AC519)+LEN(AG519)</f>
        <v/>
      </c>
      <c r="AI519" s="10">
        <f>LEN(L519)</f>
        <v/>
      </c>
    </row>
    <row r="520">
      <c r="I520" s="42" t="n"/>
      <c r="J520" s="12">
        <f>IF(F520&lt;&gt;0,"LANÇAR","")</f>
        <v/>
      </c>
      <c r="K520" s="20" t="n"/>
      <c r="L520" s="13">
        <f>N520&amp;O520&amp;P520&amp;Q520&amp;R520&amp;S520&amp;T520&amp;U520&amp;V520&amp;W520&amp;X520&amp;Y520&amp;Z520&amp;AA520&amp;AB520&amp;AC520&amp;AD520&amp;AE520&amp;AF520&amp;AG520</f>
        <v/>
      </c>
      <c r="M520" s="20" t="n"/>
      <c r="N520" s="10">
        <f>TEXT($B$6,"00")</f>
        <v/>
      </c>
      <c r="O520" s="10">
        <f>REPT(" ",8)</f>
        <v/>
      </c>
      <c r="P520" s="10">
        <f>RIGHT($B$4,2)</f>
        <v/>
      </c>
      <c r="Q520" s="10">
        <f>RIGHT($B$5,3)</f>
        <v/>
      </c>
      <c r="R520" s="10">
        <f>IF(A520="D",LEFT(UPPER(B520)&amp;REPT(" ",20),20),REPT(" ",20))</f>
        <v/>
      </c>
      <c r="S520" s="10">
        <f>IF(A520="D",LEFT(UPPER(C520)&amp;REPT(" ",10),10)," ")</f>
        <v/>
      </c>
      <c r="T520" s="10">
        <f>IF(A520="D",LEFT(UPPER(D520)&amp;REPT(" ",2),2)," ")</f>
        <v/>
      </c>
      <c r="U520" s="10">
        <f>IF(A520="D",LEFT(UPPER(E520)&amp;REPT(" ",15),15)," ")</f>
        <v/>
      </c>
      <c r="V520" s="10">
        <f>REPT(" ",24)</f>
        <v/>
      </c>
      <c r="W520" s="10">
        <f>IF(A520="c",LEFT(UPPER(B520)&amp;REPT(" ",20),20),REPT(" ",20))</f>
        <v/>
      </c>
      <c r="X520" s="10">
        <f>IF(A520="C",LEFT(UPPER(C520)&amp;REPT(" ",10),10)," ")</f>
        <v/>
      </c>
      <c r="Y520" s="10">
        <f>IF(A520="C",LEFT(UPPER(D520)&amp;REPT(" ",2),2)," ")</f>
        <v/>
      </c>
      <c r="Z520" s="10">
        <f>IF(A520="C",LEFT(UPPER(E520)&amp;REPT(" ",15),15)," ")</f>
        <v/>
      </c>
      <c r="AA520" s="10">
        <f>REPT(" ",8)</f>
        <v/>
      </c>
      <c r="AB520" s="10">
        <f>REPT(" ",4)</f>
        <v/>
      </c>
      <c r="AC520" s="10">
        <f>LEFT(UPPER(H520)&amp;REPT(" ",250),250)</f>
        <v/>
      </c>
      <c r="AD520" s="10">
        <f>TEXT($G$2,"dd/mm/aaaa")</f>
        <v/>
      </c>
      <c r="AE520" s="10">
        <f>REPT(" ",10)</f>
        <v/>
      </c>
      <c r="AF520" s="10">
        <f>REPT(" ",20)</f>
        <v/>
      </c>
      <c r="AG520" s="54">
        <f>REPT(" ",18-LEN(FIXED(F520,2,TRUE)))&amp;FIXED(F520,2,TRUE)</f>
        <v/>
      </c>
      <c r="AH520" s="10">
        <f>LEN(AC520)+LEN(AG520)</f>
        <v/>
      </c>
      <c r="AI520" s="10">
        <f>LEN(L520)</f>
        <v/>
      </c>
    </row>
    <row r="521">
      <c r="I521" s="42" t="n"/>
      <c r="J521" s="12">
        <f>IF(F521&lt;&gt;0,"LANÇAR","")</f>
        <v/>
      </c>
      <c r="K521" s="20" t="n"/>
      <c r="L521" s="13">
        <f>N521&amp;O521&amp;P521&amp;Q521&amp;R521&amp;S521&amp;T521&amp;U521&amp;V521&amp;W521&amp;X521&amp;Y521&amp;Z521&amp;AA521&amp;AB521&amp;AC521&amp;AD521&amp;AE521&amp;AF521&amp;AG521</f>
        <v/>
      </c>
      <c r="M521" s="20" t="n"/>
      <c r="N521" s="10">
        <f>TEXT($B$6,"00")</f>
        <v/>
      </c>
      <c r="O521" s="10">
        <f>REPT(" ",8)</f>
        <v/>
      </c>
      <c r="P521" s="10">
        <f>RIGHT($B$4,2)</f>
        <v/>
      </c>
      <c r="Q521" s="10">
        <f>RIGHT($B$5,3)</f>
        <v/>
      </c>
      <c r="R521" s="10">
        <f>IF(A521="D",LEFT(UPPER(B521)&amp;REPT(" ",20),20),REPT(" ",20))</f>
        <v/>
      </c>
      <c r="S521" s="10">
        <f>IF(A521="D",LEFT(UPPER(C521)&amp;REPT(" ",10),10)," ")</f>
        <v/>
      </c>
      <c r="T521" s="10">
        <f>IF(A521="D",LEFT(UPPER(D521)&amp;REPT(" ",2),2)," ")</f>
        <v/>
      </c>
      <c r="U521" s="10">
        <f>IF(A521="D",LEFT(UPPER(E521)&amp;REPT(" ",15),15)," ")</f>
        <v/>
      </c>
      <c r="V521" s="10">
        <f>REPT(" ",24)</f>
        <v/>
      </c>
      <c r="W521" s="10">
        <f>IF(A521="c",LEFT(UPPER(B521)&amp;REPT(" ",20),20),REPT(" ",20))</f>
        <v/>
      </c>
      <c r="X521" s="10">
        <f>IF(A521="C",LEFT(UPPER(C521)&amp;REPT(" ",10),10)," ")</f>
        <v/>
      </c>
      <c r="Y521" s="10">
        <f>IF(A521="C",LEFT(UPPER(D521)&amp;REPT(" ",2),2)," ")</f>
        <v/>
      </c>
      <c r="Z521" s="10">
        <f>IF(A521="C",LEFT(UPPER(E521)&amp;REPT(" ",15),15)," ")</f>
        <v/>
      </c>
      <c r="AA521" s="10">
        <f>REPT(" ",8)</f>
        <v/>
      </c>
      <c r="AB521" s="10">
        <f>REPT(" ",4)</f>
        <v/>
      </c>
      <c r="AC521" s="10">
        <f>LEFT(UPPER(H521)&amp;REPT(" ",250),250)</f>
        <v/>
      </c>
      <c r="AD521" s="10">
        <f>TEXT($G$2,"dd/mm/aaaa")</f>
        <v/>
      </c>
      <c r="AE521" s="10">
        <f>REPT(" ",10)</f>
        <v/>
      </c>
      <c r="AF521" s="10">
        <f>REPT(" ",20)</f>
        <v/>
      </c>
      <c r="AG521" s="54">
        <f>REPT(" ",18-LEN(FIXED(F521,2,TRUE)))&amp;FIXED(F521,2,TRUE)</f>
        <v/>
      </c>
      <c r="AH521" s="10">
        <f>LEN(AC521)+LEN(AG521)</f>
        <v/>
      </c>
      <c r="AI521" s="10">
        <f>LEN(L521)</f>
        <v/>
      </c>
    </row>
    <row r="522">
      <c r="I522" s="42" t="n"/>
      <c r="J522" s="12">
        <f>IF(F522&lt;&gt;0,"LANÇAR","")</f>
        <v/>
      </c>
      <c r="K522" s="20" t="n"/>
      <c r="L522" s="13">
        <f>N522&amp;O522&amp;P522&amp;Q522&amp;R522&amp;S522&amp;T522&amp;U522&amp;V522&amp;W522&amp;X522&amp;Y522&amp;Z522&amp;AA522&amp;AB522&amp;AC522&amp;AD522&amp;AE522&amp;AF522&amp;AG522</f>
        <v/>
      </c>
      <c r="M522" s="20" t="n"/>
      <c r="N522" s="10">
        <f>TEXT($B$6,"00")</f>
        <v/>
      </c>
      <c r="O522" s="10">
        <f>REPT(" ",8)</f>
        <v/>
      </c>
      <c r="P522" s="10">
        <f>RIGHT($B$4,2)</f>
        <v/>
      </c>
      <c r="Q522" s="10">
        <f>RIGHT($B$5,3)</f>
        <v/>
      </c>
      <c r="R522" s="10">
        <f>IF(A522="D",LEFT(UPPER(B522)&amp;REPT(" ",20),20),REPT(" ",20))</f>
        <v/>
      </c>
      <c r="S522" s="10">
        <f>IF(A522="D",LEFT(UPPER(C522)&amp;REPT(" ",10),10)," ")</f>
        <v/>
      </c>
      <c r="T522" s="10">
        <f>IF(A522="D",LEFT(UPPER(D522)&amp;REPT(" ",2),2)," ")</f>
        <v/>
      </c>
      <c r="U522" s="10">
        <f>IF(A522="D",LEFT(UPPER(E522)&amp;REPT(" ",15),15)," ")</f>
        <v/>
      </c>
      <c r="V522" s="10">
        <f>REPT(" ",24)</f>
        <v/>
      </c>
      <c r="W522" s="10">
        <f>IF(A522="c",LEFT(UPPER(B522)&amp;REPT(" ",20),20),REPT(" ",20))</f>
        <v/>
      </c>
      <c r="X522" s="10">
        <f>IF(A522="C",LEFT(UPPER(C522)&amp;REPT(" ",10),10)," ")</f>
        <v/>
      </c>
      <c r="Y522" s="10">
        <f>IF(A522="C",LEFT(UPPER(D522)&amp;REPT(" ",2),2)," ")</f>
        <v/>
      </c>
      <c r="Z522" s="10">
        <f>IF(A522="C",LEFT(UPPER(E522)&amp;REPT(" ",15),15)," ")</f>
        <v/>
      </c>
      <c r="AA522" s="10">
        <f>REPT(" ",8)</f>
        <v/>
      </c>
      <c r="AB522" s="10">
        <f>REPT(" ",4)</f>
        <v/>
      </c>
      <c r="AC522" s="10">
        <f>LEFT(UPPER(H522)&amp;REPT(" ",250),250)</f>
        <v/>
      </c>
      <c r="AD522" s="10">
        <f>TEXT($G$2,"dd/mm/aaaa")</f>
        <v/>
      </c>
      <c r="AE522" s="10">
        <f>REPT(" ",10)</f>
        <v/>
      </c>
      <c r="AF522" s="10">
        <f>REPT(" ",20)</f>
        <v/>
      </c>
      <c r="AG522" s="54">
        <f>REPT(" ",18-LEN(FIXED(F522,2,TRUE)))&amp;FIXED(F522,2,TRUE)</f>
        <v/>
      </c>
      <c r="AH522" s="10">
        <f>LEN(AC522)+LEN(AG522)</f>
        <v/>
      </c>
      <c r="AI522" s="10">
        <f>LEN(L522)</f>
        <v/>
      </c>
    </row>
    <row r="523">
      <c r="I523" s="42" t="n"/>
      <c r="J523" s="12">
        <f>IF(F523&lt;&gt;0,"LANÇAR","")</f>
        <v/>
      </c>
      <c r="K523" s="20" t="n"/>
      <c r="L523" s="13">
        <f>N523&amp;O523&amp;P523&amp;Q523&amp;R523&amp;S523&amp;T523&amp;U523&amp;V523&amp;W523&amp;X523&amp;Y523&amp;Z523&amp;AA523&amp;AB523&amp;AC523&amp;AD523&amp;AE523&amp;AF523&amp;AG523</f>
        <v/>
      </c>
      <c r="M523" s="20" t="n"/>
      <c r="N523" s="10">
        <f>TEXT($B$6,"00")</f>
        <v/>
      </c>
      <c r="O523" s="10">
        <f>REPT(" ",8)</f>
        <v/>
      </c>
      <c r="P523" s="10">
        <f>RIGHT($B$4,2)</f>
        <v/>
      </c>
      <c r="Q523" s="10">
        <f>RIGHT($B$5,3)</f>
        <v/>
      </c>
      <c r="R523" s="10">
        <f>IF(A523="D",LEFT(UPPER(B523)&amp;REPT(" ",20),20),REPT(" ",20))</f>
        <v/>
      </c>
      <c r="S523" s="10">
        <f>IF(A523="D",LEFT(UPPER(C523)&amp;REPT(" ",10),10)," ")</f>
        <v/>
      </c>
      <c r="T523" s="10">
        <f>IF(A523="D",LEFT(UPPER(D523)&amp;REPT(" ",2),2)," ")</f>
        <v/>
      </c>
      <c r="U523" s="10">
        <f>IF(A523="D",LEFT(UPPER(E523)&amp;REPT(" ",15),15)," ")</f>
        <v/>
      </c>
      <c r="V523" s="10">
        <f>REPT(" ",24)</f>
        <v/>
      </c>
      <c r="W523" s="10">
        <f>IF(A523="c",LEFT(UPPER(B523)&amp;REPT(" ",20),20),REPT(" ",20))</f>
        <v/>
      </c>
      <c r="X523" s="10">
        <f>IF(A523="C",LEFT(UPPER(C523)&amp;REPT(" ",10),10)," ")</f>
        <v/>
      </c>
      <c r="Y523" s="10">
        <f>IF(A523="C",LEFT(UPPER(D523)&amp;REPT(" ",2),2)," ")</f>
        <v/>
      </c>
      <c r="Z523" s="10">
        <f>IF(A523="C",LEFT(UPPER(E523)&amp;REPT(" ",15),15)," ")</f>
        <v/>
      </c>
      <c r="AA523" s="10">
        <f>REPT(" ",8)</f>
        <v/>
      </c>
      <c r="AB523" s="10">
        <f>REPT(" ",4)</f>
        <v/>
      </c>
      <c r="AC523" s="10">
        <f>LEFT(UPPER(H523)&amp;REPT(" ",250),250)</f>
        <v/>
      </c>
      <c r="AD523" s="10">
        <f>TEXT($G$2,"dd/mm/aaaa")</f>
        <v/>
      </c>
      <c r="AE523" s="10">
        <f>REPT(" ",10)</f>
        <v/>
      </c>
      <c r="AF523" s="10">
        <f>REPT(" ",20)</f>
        <v/>
      </c>
      <c r="AG523" s="54">
        <f>REPT(" ",18-LEN(FIXED(F523,2,TRUE)))&amp;FIXED(F523,2,TRUE)</f>
        <v/>
      </c>
      <c r="AH523" s="10">
        <f>LEN(AC523)+LEN(AG523)</f>
        <v/>
      </c>
      <c r="AI523" s="10">
        <f>LEN(L523)</f>
        <v/>
      </c>
    </row>
    <row r="524">
      <c r="I524" s="42" t="n"/>
      <c r="J524" s="12">
        <f>IF(F524&lt;&gt;0,"LANÇAR","")</f>
        <v/>
      </c>
      <c r="K524" s="20" t="n"/>
      <c r="L524" s="13">
        <f>N524&amp;O524&amp;P524&amp;Q524&amp;R524&amp;S524&amp;T524&amp;U524&amp;V524&amp;W524&amp;X524&amp;Y524&amp;Z524&amp;AA524&amp;AB524&amp;AC524&amp;AD524&amp;AE524&amp;AF524&amp;AG524</f>
        <v/>
      </c>
      <c r="M524" s="20" t="n"/>
      <c r="N524" s="10">
        <f>TEXT($B$6,"00")</f>
        <v/>
      </c>
      <c r="O524" s="10">
        <f>REPT(" ",8)</f>
        <v/>
      </c>
      <c r="P524" s="10">
        <f>RIGHT($B$4,2)</f>
        <v/>
      </c>
      <c r="Q524" s="10">
        <f>RIGHT($B$5,3)</f>
        <v/>
      </c>
      <c r="R524" s="10">
        <f>IF(A524="D",LEFT(UPPER(B524)&amp;REPT(" ",20),20),REPT(" ",20))</f>
        <v/>
      </c>
      <c r="S524" s="10">
        <f>IF(A524="D",LEFT(UPPER(C524)&amp;REPT(" ",10),10)," ")</f>
        <v/>
      </c>
      <c r="T524" s="10">
        <f>IF(A524="D",LEFT(UPPER(D524)&amp;REPT(" ",2),2)," ")</f>
        <v/>
      </c>
      <c r="U524" s="10">
        <f>IF(A524="D",LEFT(UPPER(E524)&amp;REPT(" ",15),15)," ")</f>
        <v/>
      </c>
      <c r="V524" s="10">
        <f>REPT(" ",24)</f>
        <v/>
      </c>
      <c r="W524" s="10">
        <f>IF(A524="c",LEFT(UPPER(B524)&amp;REPT(" ",20),20),REPT(" ",20))</f>
        <v/>
      </c>
      <c r="X524" s="10">
        <f>IF(A524="C",LEFT(UPPER(C524)&amp;REPT(" ",10),10)," ")</f>
        <v/>
      </c>
      <c r="Y524" s="10">
        <f>IF(A524="C",LEFT(UPPER(D524)&amp;REPT(" ",2),2)," ")</f>
        <v/>
      </c>
      <c r="Z524" s="10">
        <f>IF(A524="C",LEFT(UPPER(E524)&amp;REPT(" ",15),15)," ")</f>
        <v/>
      </c>
      <c r="AA524" s="10">
        <f>REPT(" ",8)</f>
        <v/>
      </c>
      <c r="AB524" s="10">
        <f>REPT(" ",4)</f>
        <v/>
      </c>
      <c r="AC524" s="10">
        <f>LEFT(UPPER(H524)&amp;REPT(" ",250),250)</f>
        <v/>
      </c>
      <c r="AD524" s="10">
        <f>TEXT($G$2,"dd/mm/aaaa")</f>
        <v/>
      </c>
      <c r="AE524" s="10">
        <f>REPT(" ",10)</f>
        <v/>
      </c>
      <c r="AF524" s="10">
        <f>REPT(" ",20)</f>
        <v/>
      </c>
      <c r="AG524" s="54">
        <f>REPT(" ",18-LEN(FIXED(F524,2,TRUE)))&amp;FIXED(F524,2,TRUE)</f>
        <v/>
      </c>
      <c r="AH524" s="10">
        <f>LEN(AC524)+LEN(AG524)</f>
        <v/>
      </c>
      <c r="AI524" s="10">
        <f>LEN(L524)</f>
        <v/>
      </c>
    </row>
    <row r="525">
      <c r="I525" s="42" t="n"/>
      <c r="J525" s="12">
        <f>IF(F525&lt;&gt;0,"LANÇAR","")</f>
        <v/>
      </c>
      <c r="K525" s="20" t="n"/>
      <c r="L525" s="13">
        <f>N525&amp;O525&amp;P525&amp;Q525&amp;R525&amp;S525&amp;T525&amp;U525&amp;V525&amp;W525&amp;X525&amp;Y525&amp;Z525&amp;AA525&amp;AB525&amp;AC525&amp;AD525&amp;AE525&amp;AF525&amp;AG525</f>
        <v/>
      </c>
      <c r="M525" s="20" t="n"/>
      <c r="N525" s="10">
        <f>TEXT($B$6,"00")</f>
        <v/>
      </c>
      <c r="O525" s="10">
        <f>REPT(" ",8)</f>
        <v/>
      </c>
      <c r="P525" s="10">
        <f>RIGHT($B$4,2)</f>
        <v/>
      </c>
      <c r="Q525" s="10">
        <f>RIGHT($B$5,3)</f>
        <v/>
      </c>
      <c r="R525" s="10">
        <f>IF(A525="D",LEFT(UPPER(B525)&amp;REPT(" ",20),20),REPT(" ",20))</f>
        <v/>
      </c>
      <c r="S525" s="10">
        <f>IF(A525="D",LEFT(UPPER(C525)&amp;REPT(" ",10),10)," ")</f>
        <v/>
      </c>
      <c r="T525" s="10">
        <f>IF(A525="D",LEFT(UPPER(D525)&amp;REPT(" ",2),2)," ")</f>
        <v/>
      </c>
      <c r="U525" s="10">
        <f>IF(A525="D",LEFT(UPPER(E525)&amp;REPT(" ",15),15)," ")</f>
        <v/>
      </c>
      <c r="V525" s="10">
        <f>REPT(" ",24)</f>
        <v/>
      </c>
      <c r="W525" s="10">
        <f>IF(A525="c",LEFT(UPPER(B525)&amp;REPT(" ",20),20),REPT(" ",20))</f>
        <v/>
      </c>
      <c r="X525" s="10">
        <f>IF(A525="C",LEFT(UPPER(C525)&amp;REPT(" ",10),10)," ")</f>
        <v/>
      </c>
      <c r="Y525" s="10">
        <f>IF(A525="C",LEFT(UPPER(D525)&amp;REPT(" ",2),2)," ")</f>
        <v/>
      </c>
      <c r="Z525" s="10">
        <f>IF(A525="C",LEFT(UPPER(E525)&amp;REPT(" ",15),15)," ")</f>
        <v/>
      </c>
      <c r="AA525" s="10">
        <f>REPT(" ",8)</f>
        <v/>
      </c>
      <c r="AB525" s="10">
        <f>REPT(" ",4)</f>
        <v/>
      </c>
      <c r="AC525" s="10">
        <f>LEFT(UPPER(H525)&amp;REPT(" ",250),250)</f>
        <v/>
      </c>
      <c r="AD525" s="10">
        <f>TEXT($G$2,"dd/mm/aaaa")</f>
        <v/>
      </c>
      <c r="AE525" s="10">
        <f>REPT(" ",10)</f>
        <v/>
      </c>
      <c r="AF525" s="10">
        <f>REPT(" ",20)</f>
        <v/>
      </c>
      <c r="AG525" s="54">
        <f>REPT(" ",18-LEN(FIXED(F525,2,TRUE)))&amp;FIXED(F525,2,TRUE)</f>
        <v/>
      </c>
      <c r="AH525" s="10">
        <f>LEN(AC525)+LEN(AG525)</f>
        <v/>
      </c>
      <c r="AI525" s="10">
        <f>LEN(L525)</f>
        <v/>
      </c>
    </row>
    <row r="526">
      <c r="I526" s="42" t="n"/>
      <c r="J526" s="12">
        <f>IF(F526&lt;&gt;0,"LANÇAR","")</f>
        <v/>
      </c>
      <c r="K526" s="20" t="n"/>
      <c r="L526" s="13">
        <f>N526&amp;O526&amp;P526&amp;Q526&amp;R526&amp;S526&amp;T526&amp;U526&amp;V526&amp;W526&amp;X526&amp;Y526&amp;Z526&amp;AA526&amp;AB526&amp;AC526&amp;AD526&amp;AE526&amp;AF526&amp;AG526</f>
        <v/>
      </c>
      <c r="M526" s="20" t="n"/>
      <c r="N526" s="10">
        <f>TEXT($B$6,"00")</f>
        <v/>
      </c>
      <c r="O526" s="10">
        <f>REPT(" ",8)</f>
        <v/>
      </c>
      <c r="P526" s="10">
        <f>RIGHT($B$4,2)</f>
        <v/>
      </c>
      <c r="Q526" s="10">
        <f>RIGHT($B$5,3)</f>
        <v/>
      </c>
      <c r="R526" s="10">
        <f>IF(A526="D",LEFT(UPPER(B526)&amp;REPT(" ",20),20),REPT(" ",20))</f>
        <v/>
      </c>
      <c r="S526" s="10">
        <f>IF(A526="D",LEFT(UPPER(C526)&amp;REPT(" ",10),10)," ")</f>
        <v/>
      </c>
      <c r="T526" s="10">
        <f>IF(A526="D",LEFT(UPPER(D526)&amp;REPT(" ",2),2)," ")</f>
        <v/>
      </c>
      <c r="U526" s="10">
        <f>IF(A526="D",LEFT(UPPER(E526)&amp;REPT(" ",15),15)," ")</f>
        <v/>
      </c>
      <c r="V526" s="10">
        <f>REPT(" ",24)</f>
        <v/>
      </c>
      <c r="W526" s="10">
        <f>IF(A526="c",LEFT(UPPER(B526)&amp;REPT(" ",20),20),REPT(" ",20))</f>
        <v/>
      </c>
      <c r="X526" s="10">
        <f>IF(A526="C",LEFT(UPPER(C526)&amp;REPT(" ",10),10)," ")</f>
        <v/>
      </c>
      <c r="Y526" s="10">
        <f>IF(A526="C",LEFT(UPPER(D526)&amp;REPT(" ",2),2)," ")</f>
        <v/>
      </c>
      <c r="Z526" s="10">
        <f>IF(A526="C",LEFT(UPPER(E526)&amp;REPT(" ",15),15)," ")</f>
        <v/>
      </c>
      <c r="AA526" s="10">
        <f>REPT(" ",8)</f>
        <v/>
      </c>
      <c r="AB526" s="10">
        <f>REPT(" ",4)</f>
        <v/>
      </c>
      <c r="AC526" s="10">
        <f>LEFT(UPPER(H526)&amp;REPT(" ",250),250)</f>
        <v/>
      </c>
      <c r="AD526" s="10">
        <f>TEXT($G$2,"dd/mm/aaaa")</f>
        <v/>
      </c>
      <c r="AE526" s="10">
        <f>REPT(" ",10)</f>
        <v/>
      </c>
      <c r="AF526" s="10">
        <f>REPT(" ",20)</f>
        <v/>
      </c>
      <c r="AG526" s="54">
        <f>REPT(" ",18-LEN(FIXED(F526,2,TRUE)))&amp;FIXED(F526,2,TRUE)</f>
        <v/>
      </c>
      <c r="AH526" s="10">
        <f>LEN(AC526)+LEN(AG526)</f>
        <v/>
      </c>
      <c r="AI526" s="10">
        <f>LEN(L526)</f>
        <v/>
      </c>
    </row>
    <row r="527">
      <c r="I527" s="42" t="n"/>
      <c r="J527" s="12">
        <f>IF(F527&lt;&gt;0,"LANÇAR","")</f>
        <v/>
      </c>
      <c r="K527" s="20" t="n"/>
      <c r="L527" s="13">
        <f>N527&amp;O527&amp;P527&amp;Q527&amp;R527&amp;S527&amp;T527&amp;U527&amp;V527&amp;W527&amp;X527&amp;Y527&amp;Z527&amp;AA527&amp;AB527&amp;AC527&amp;AD527&amp;AE527&amp;AF527&amp;AG527</f>
        <v/>
      </c>
      <c r="M527" s="20" t="n"/>
      <c r="N527" s="10">
        <f>TEXT($B$6,"00")</f>
        <v/>
      </c>
      <c r="O527" s="10">
        <f>REPT(" ",8)</f>
        <v/>
      </c>
      <c r="P527" s="10">
        <f>RIGHT($B$4,2)</f>
        <v/>
      </c>
      <c r="Q527" s="10">
        <f>RIGHT($B$5,3)</f>
        <v/>
      </c>
      <c r="R527" s="10">
        <f>IF(A527="D",LEFT(UPPER(B527)&amp;REPT(" ",20),20),REPT(" ",20))</f>
        <v/>
      </c>
      <c r="S527" s="10">
        <f>IF(A527="D",LEFT(UPPER(C527)&amp;REPT(" ",10),10)," ")</f>
        <v/>
      </c>
      <c r="T527" s="10">
        <f>IF(A527="D",LEFT(UPPER(D527)&amp;REPT(" ",2),2)," ")</f>
        <v/>
      </c>
      <c r="U527" s="10">
        <f>IF(A527="D",LEFT(UPPER(E527)&amp;REPT(" ",15),15)," ")</f>
        <v/>
      </c>
      <c r="V527" s="10">
        <f>REPT(" ",24)</f>
        <v/>
      </c>
      <c r="W527" s="10">
        <f>IF(A527="c",LEFT(UPPER(B527)&amp;REPT(" ",20),20),REPT(" ",20))</f>
        <v/>
      </c>
      <c r="X527" s="10">
        <f>IF(A527="C",LEFT(UPPER(C527)&amp;REPT(" ",10),10)," ")</f>
        <v/>
      </c>
      <c r="Y527" s="10">
        <f>IF(A527="C",LEFT(UPPER(D527)&amp;REPT(" ",2),2)," ")</f>
        <v/>
      </c>
      <c r="Z527" s="10">
        <f>IF(A527="C",LEFT(UPPER(E527)&amp;REPT(" ",15),15)," ")</f>
        <v/>
      </c>
      <c r="AA527" s="10">
        <f>REPT(" ",8)</f>
        <v/>
      </c>
      <c r="AB527" s="10">
        <f>REPT(" ",4)</f>
        <v/>
      </c>
      <c r="AC527" s="10">
        <f>LEFT(UPPER(H527)&amp;REPT(" ",250),250)</f>
        <v/>
      </c>
      <c r="AD527" s="10">
        <f>TEXT($G$2,"dd/mm/aaaa")</f>
        <v/>
      </c>
      <c r="AE527" s="10">
        <f>REPT(" ",10)</f>
        <v/>
      </c>
      <c r="AF527" s="10">
        <f>REPT(" ",20)</f>
        <v/>
      </c>
      <c r="AG527" s="54">
        <f>REPT(" ",18-LEN(FIXED(F527,2,TRUE)))&amp;FIXED(F527,2,TRUE)</f>
        <v/>
      </c>
      <c r="AH527" s="10">
        <f>LEN(AC527)+LEN(AG527)</f>
        <v/>
      </c>
      <c r="AI527" s="10">
        <f>LEN(L527)</f>
        <v/>
      </c>
    </row>
    <row r="528">
      <c r="I528" s="42" t="n"/>
      <c r="J528" s="12">
        <f>IF(F528&lt;&gt;0,"LANÇAR","")</f>
        <v/>
      </c>
      <c r="K528" s="20" t="n"/>
      <c r="L528" s="13">
        <f>N528&amp;O528&amp;P528&amp;Q528&amp;R528&amp;S528&amp;T528&amp;U528&amp;V528&amp;W528&amp;X528&amp;Y528&amp;Z528&amp;AA528&amp;AB528&amp;AC528&amp;AD528&amp;AE528&amp;AF528&amp;AG528</f>
        <v/>
      </c>
      <c r="M528" s="20" t="n"/>
      <c r="N528" s="10">
        <f>TEXT($B$6,"00")</f>
        <v/>
      </c>
      <c r="O528" s="10">
        <f>REPT(" ",8)</f>
        <v/>
      </c>
      <c r="P528" s="10">
        <f>RIGHT($B$4,2)</f>
        <v/>
      </c>
      <c r="Q528" s="10">
        <f>RIGHT($B$5,3)</f>
        <v/>
      </c>
      <c r="R528" s="10">
        <f>IF(A528="D",LEFT(UPPER(B528)&amp;REPT(" ",20),20),REPT(" ",20))</f>
        <v/>
      </c>
      <c r="S528" s="10">
        <f>IF(A528="D",LEFT(UPPER(C528)&amp;REPT(" ",10),10)," ")</f>
        <v/>
      </c>
      <c r="T528" s="10">
        <f>IF(A528="D",LEFT(UPPER(D528)&amp;REPT(" ",2),2)," ")</f>
        <v/>
      </c>
      <c r="U528" s="10">
        <f>IF(A528="D",LEFT(UPPER(E528)&amp;REPT(" ",15),15)," ")</f>
        <v/>
      </c>
      <c r="V528" s="10">
        <f>REPT(" ",24)</f>
        <v/>
      </c>
      <c r="W528" s="10">
        <f>IF(A528="c",LEFT(UPPER(B528)&amp;REPT(" ",20),20),REPT(" ",20))</f>
        <v/>
      </c>
      <c r="X528" s="10">
        <f>IF(A528="C",LEFT(UPPER(C528)&amp;REPT(" ",10),10)," ")</f>
        <v/>
      </c>
      <c r="Y528" s="10">
        <f>IF(A528="C",LEFT(UPPER(D528)&amp;REPT(" ",2),2)," ")</f>
        <v/>
      </c>
      <c r="Z528" s="10">
        <f>IF(A528="C",LEFT(UPPER(E528)&amp;REPT(" ",15),15)," ")</f>
        <v/>
      </c>
      <c r="AA528" s="10">
        <f>REPT(" ",8)</f>
        <v/>
      </c>
      <c r="AB528" s="10">
        <f>REPT(" ",4)</f>
        <v/>
      </c>
      <c r="AC528" s="10">
        <f>LEFT(UPPER(H528)&amp;REPT(" ",250),250)</f>
        <v/>
      </c>
      <c r="AD528" s="10">
        <f>TEXT($G$2,"dd/mm/aaaa")</f>
        <v/>
      </c>
      <c r="AE528" s="10">
        <f>REPT(" ",10)</f>
        <v/>
      </c>
      <c r="AF528" s="10">
        <f>REPT(" ",20)</f>
        <v/>
      </c>
      <c r="AG528" s="54">
        <f>REPT(" ",18-LEN(FIXED(F528,2,TRUE)))&amp;FIXED(F528,2,TRUE)</f>
        <v/>
      </c>
      <c r="AH528" s="10">
        <f>LEN(AC528)+LEN(AG528)</f>
        <v/>
      </c>
      <c r="AI528" s="10">
        <f>LEN(L528)</f>
        <v/>
      </c>
    </row>
    <row r="529">
      <c r="I529" s="42" t="n"/>
      <c r="J529" s="12">
        <f>IF(F529&lt;&gt;0,"LANÇAR","")</f>
        <v/>
      </c>
      <c r="K529" s="20" t="n"/>
      <c r="L529" s="13">
        <f>N529&amp;O529&amp;P529&amp;Q529&amp;R529&amp;S529&amp;T529&amp;U529&amp;V529&amp;W529&amp;X529&amp;Y529&amp;Z529&amp;AA529&amp;AB529&amp;AC529&amp;AD529&amp;AE529&amp;AF529&amp;AG529</f>
        <v/>
      </c>
      <c r="M529" s="20" t="n"/>
      <c r="N529" s="10">
        <f>TEXT($B$6,"00")</f>
        <v/>
      </c>
      <c r="O529" s="10">
        <f>REPT(" ",8)</f>
        <v/>
      </c>
      <c r="P529" s="10">
        <f>RIGHT($B$4,2)</f>
        <v/>
      </c>
      <c r="Q529" s="10">
        <f>RIGHT($B$5,3)</f>
        <v/>
      </c>
      <c r="R529" s="10">
        <f>IF(A529="D",LEFT(UPPER(B529)&amp;REPT(" ",20),20),REPT(" ",20))</f>
        <v/>
      </c>
      <c r="S529" s="10">
        <f>IF(A529="D",LEFT(UPPER(C529)&amp;REPT(" ",10),10)," ")</f>
        <v/>
      </c>
      <c r="T529" s="10">
        <f>IF(A529="D",LEFT(UPPER(D529)&amp;REPT(" ",2),2)," ")</f>
        <v/>
      </c>
      <c r="U529" s="10">
        <f>IF(A529="D",LEFT(UPPER(E529)&amp;REPT(" ",15),15)," ")</f>
        <v/>
      </c>
      <c r="V529" s="10">
        <f>REPT(" ",24)</f>
        <v/>
      </c>
      <c r="W529" s="10">
        <f>IF(A529="c",LEFT(UPPER(B529)&amp;REPT(" ",20),20),REPT(" ",20))</f>
        <v/>
      </c>
      <c r="X529" s="10">
        <f>IF(A529="C",LEFT(UPPER(C529)&amp;REPT(" ",10),10)," ")</f>
        <v/>
      </c>
      <c r="Y529" s="10">
        <f>IF(A529="C",LEFT(UPPER(D529)&amp;REPT(" ",2),2)," ")</f>
        <v/>
      </c>
      <c r="Z529" s="10">
        <f>IF(A529="C",LEFT(UPPER(E529)&amp;REPT(" ",15),15)," ")</f>
        <v/>
      </c>
      <c r="AA529" s="10">
        <f>REPT(" ",8)</f>
        <v/>
      </c>
      <c r="AB529" s="10">
        <f>REPT(" ",4)</f>
        <v/>
      </c>
      <c r="AC529" s="10">
        <f>LEFT(UPPER(H529)&amp;REPT(" ",250),250)</f>
        <v/>
      </c>
      <c r="AD529" s="10">
        <f>TEXT($G$2,"dd/mm/aaaa")</f>
        <v/>
      </c>
      <c r="AE529" s="10">
        <f>REPT(" ",10)</f>
        <v/>
      </c>
      <c r="AF529" s="10">
        <f>REPT(" ",20)</f>
        <v/>
      </c>
      <c r="AG529" s="54">
        <f>REPT(" ",18-LEN(FIXED(F529,2,TRUE)))&amp;FIXED(F529,2,TRUE)</f>
        <v/>
      </c>
      <c r="AH529" s="10">
        <f>LEN(AC529)+LEN(AG529)</f>
        <v/>
      </c>
      <c r="AI529" s="10">
        <f>LEN(L529)</f>
        <v/>
      </c>
    </row>
    <row r="530">
      <c r="I530" s="42" t="n"/>
      <c r="J530" s="12">
        <f>IF(F530&lt;&gt;0,"LANÇAR","")</f>
        <v/>
      </c>
      <c r="K530" s="20" t="n"/>
      <c r="L530" s="13">
        <f>N530&amp;O530&amp;P530&amp;Q530&amp;R530&amp;S530&amp;T530&amp;U530&amp;V530&amp;W530&amp;X530&amp;Y530&amp;Z530&amp;AA530&amp;AB530&amp;AC530&amp;AD530&amp;AE530&amp;AF530&amp;AG530</f>
        <v/>
      </c>
      <c r="M530" s="20" t="n"/>
      <c r="N530" s="10">
        <f>TEXT($B$6,"00")</f>
        <v/>
      </c>
      <c r="O530" s="10">
        <f>REPT(" ",8)</f>
        <v/>
      </c>
      <c r="P530" s="10">
        <f>RIGHT($B$4,2)</f>
        <v/>
      </c>
      <c r="Q530" s="10">
        <f>RIGHT($B$5,3)</f>
        <v/>
      </c>
      <c r="R530" s="10">
        <f>IF(A530="D",LEFT(UPPER(B530)&amp;REPT(" ",20),20),REPT(" ",20))</f>
        <v/>
      </c>
      <c r="S530" s="10">
        <f>IF(A530="D",LEFT(UPPER(C530)&amp;REPT(" ",10),10)," ")</f>
        <v/>
      </c>
      <c r="T530" s="10">
        <f>IF(A530="D",LEFT(UPPER(D530)&amp;REPT(" ",2),2)," ")</f>
        <v/>
      </c>
      <c r="U530" s="10">
        <f>IF(A530="D",LEFT(UPPER(E530)&amp;REPT(" ",15),15)," ")</f>
        <v/>
      </c>
      <c r="V530" s="10">
        <f>REPT(" ",24)</f>
        <v/>
      </c>
      <c r="W530" s="10">
        <f>IF(A530="c",LEFT(UPPER(B530)&amp;REPT(" ",20),20),REPT(" ",20))</f>
        <v/>
      </c>
      <c r="X530" s="10">
        <f>IF(A530="C",LEFT(UPPER(C530)&amp;REPT(" ",10),10)," ")</f>
        <v/>
      </c>
      <c r="Y530" s="10">
        <f>IF(A530="C",LEFT(UPPER(D530)&amp;REPT(" ",2),2)," ")</f>
        <v/>
      </c>
      <c r="Z530" s="10">
        <f>IF(A530="C",LEFT(UPPER(E530)&amp;REPT(" ",15),15)," ")</f>
        <v/>
      </c>
      <c r="AA530" s="10">
        <f>REPT(" ",8)</f>
        <v/>
      </c>
      <c r="AB530" s="10">
        <f>REPT(" ",4)</f>
        <v/>
      </c>
      <c r="AC530" s="10">
        <f>LEFT(UPPER(H530)&amp;REPT(" ",250),250)</f>
        <v/>
      </c>
      <c r="AD530" s="10">
        <f>TEXT($G$2,"dd/mm/aaaa")</f>
        <v/>
      </c>
      <c r="AE530" s="10">
        <f>REPT(" ",10)</f>
        <v/>
      </c>
      <c r="AF530" s="10">
        <f>REPT(" ",20)</f>
        <v/>
      </c>
      <c r="AG530" s="54">
        <f>REPT(" ",18-LEN(FIXED(F530,2,TRUE)))&amp;FIXED(F530,2,TRUE)</f>
        <v/>
      </c>
      <c r="AH530" s="10">
        <f>LEN(AC530)+LEN(AG530)</f>
        <v/>
      </c>
      <c r="AI530" s="10">
        <f>LEN(L530)</f>
        <v/>
      </c>
    </row>
    <row r="531">
      <c r="I531" s="42" t="n"/>
      <c r="J531" s="12">
        <f>IF(F531&lt;&gt;0,"LANÇAR","")</f>
        <v/>
      </c>
      <c r="K531" s="20" t="n"/>
      <c r="L531" s="13">
        <f>N531&amp;O531&amp;P531&amp;Q531&amp;R531&amp;S531&amp;T531&amp;U531&amp;V531&amp;W531&amp;X531&amp;Y531&amp;Z531&amp;AA531&amp;AB531&amp;AC531&amp;AD531&amp;AE531&amp;AF531&amp;AG531</f>
        <v/>
      </c>
      <c r="M531" s="20" t="n"/>
      <c r="N531" s="10">
        <f>TEXT($B$6,"00")</f>
        <v/>
      </c>
      <c r="O531" s="10">
        <f>REPT(" ",8)</f>
        <v/>
      </c>
      <c r="P531" s="10">
        <f>RIGHT($B$4,2)</f>
        <v/>
      </c>
      <c r="Q531" s="10">
        <f>RIGHT($B$5,3)</f>
        <v/>
      </c>
      <c r="R531" s="10">
        <f>IF(A531="D",LEFT(UPPER(B531)&amp;REPT(" ",20),20),REPT(" ",20))</f>
        <v/>
      </c>
      <c r="S531" s="10">
        <f>IF(A531="D",LEFT(UPPER(C531)&amp;REPT(" ",10),10)," ")</f>
        <v/>
      </c>
      <c r="T531" s="10">
        <f>IF(A531="D",LEFT(UPPER(D531)&amp;REPT(" ",2),2)," ")</f>
        <v/>
      </c>
      <c r="U531" s="10">
        <f>IF(A531="D",LEFT(UPPER(E531)&amp;REPT(" ",15),15)," ")</f>
        <v/>
      </c>
      <c r="V531" s="10">
        <f>REPT(" ",24)</f>
        <v/>
      </c>
      <c r="W531" s="10">
        <f>IF(A531="c",LEFT(UPPER(B531)&amp;REPT(" ",20),20),REPT(" ",20))</f>
        <v/>
      </c>
      <c r="X531" s="10">
        <f>IF(A531="C",LEFT(UPPER(C531)&amp;REPT(" ",10),10)," ")</f>
        <v/>
      </c>
      <c r="Y531" s="10">
        <f>IF(A531="C",LEFT(UPPER(D531)&amp;REPT(" ",2),2)," ")</f>
        <v/>
      </c>
      <c r="Z531" s="10">
        <f>IF(A531="C",LEFT(UPPER(E531)&amp;REPT(" ",15),15)," ")</f>
        <v/>
      </c>
      <c r="AA531" s="10">
        <f>REPT(" ",8)</f>
        <v/>
      </c>
      <c r="AB531" s="10">
        <f>REPT(" ",4)</f>
        <v/>
      </c>
      <c r="AC531" s="10">
        <f>LEFT(UPPER(H531)&amp;REPT(" ",250),250)</f>
        <v/>
      </c>
      <c r="AD531" s="10">
        <f>TEXT($G$2,"dd/mm/aaaa")</f>
        <v/>
      </c>
      <c r="AE531" s="10">
        <f>REPT(" ",10)</f>
        <v/>
      </c>
      <c r="AF531" s="10">
        <f>REPT(" ",20)</f>
        <v/>
      </c>
      <c r="AG531" s="54">
        <f>REPT(" ",18-LEN(FIXED(F531,2,TRUE)))&amp;FIXED(F531,2,TRUE)</f>
        <v/>
      </c>
      <c r="AH531" s="10">
        <f>LEN(AC531)+LEN(AG531)</f>
        <v/>
      </c>
      <c r="AI531" s="10">
        <f>LEN(L531)</f>
        <v/>
      </c>
    </row>
    <row r="532">
      <c r="I532" s="42" t="n"/>
      <c r="J532" s="12">
        <f>IF(F532&lt;&gt;0,"LANÇAR","")</f>
        <v/>
      </c>
      <c r="K532" s="20" t="n"/>
      <c r="L532" s="13">
        <f>N532&amp;O532&amp;P532&amp;Q532&amp;R532&amp;S532&amp;T532&amp;U532&amp;V532&amp;W532&amp;X532&amp;Y532&amp;Z532&amp;AA532&amp;AB532&amp;AC532&amp;AD532&amp;AE532&amp;AF532&amp;AG532</f>
        <v/>
      </c>
      <c r="M532" s="20" t="n"/>
      <c r="N532" s="10">
        <f>TEXT($B$6,"00")</f>
        <v/>
      </c>
      <c r="O532" s="10">
        <f>REPT(" ",8)</f>
        <v/>
      </c>
      <c r="P532" s="10">
        <f>RIGHT($B$4,2)</f>
        <v/>
      </c>
      <c r="Q532" s="10">
        <f>RIGHT($B$5,3)</f>
        <v/>
      </c>
      <c r="R532" s="10">
        <f>IF(A532="D",LEFT(UPPER(B532)&amp;REPT(" ",20),20),REPT(" ",20))</f>
        <v/>
      </c>
      <c r="S532" s="10">
        <f>IF(A532="D",LEFT(UPPER(C532)&amp;REPT(" ",10),10)," ")</f>
        <v/>
      </c>
      <c r="T532" s="10">
        <f>IF(A532="D",LEFT(UPPER(D532)&amp;REPT(" ",2),2)," ")</f>
        <v/>
      </c>
      <c r="U532" s="10">
        <f>IF(A532="D",LEFT(UPPER(E532)&amp;REPT(" ",15),15)," ")</f>
        <v/>
      </c>
      <c r="V532" s="10">
        <f>REPT(" ",24)</f>
        <v/>
      </c>
      <c r="W532" s="10">
        <f>IF(A532="c",LEFT(UPPER(B532)&amp;REPT(" ",20),20),REPT(" ",20))</f>
        <v/>
      </c>
      <c r="X532" s="10">
        <f>IF(A532="C",LEFT(UPPER(C532)&amp;REPT(" ",10),10)," ")</f>
        <v/>
      </c>
      <c r="Y532" s="10">
        <f>IF(A532="C",LEFT(UPPER(D532)&amp;REPT(" ",2),2)," ")</f>
        <v/>
      </c>
      <c r="Z532" s="10">
        <f>IF(A532="C",LEFT(UPPER(E532)&amp;REPT(" ",15),15)," ")</f>
        <v/>
      </c>
      <c r="AA532" s="10">
        <f>REPT(" ",8)</f>
        <v/>
      </c>
      <c r="AB532" s="10">
        <f>REPT(" ",4)</f>
        <v/>
      </c>
      <c r="AC532" s="10">
        <f>LEFT(UPPER(H532)&amp;REPT(" ",250),250)</f>
        <v/>
      </c>
      <c r="AD532" s="10">
        <f>TEXT($G$2,"dd/mm/aaaa")</f>
        <v/>
      </c>
      <c r="AE532" s="10">
        <f>REPT(" ",10)</f>
        <v/>
      </c>
      <c r="AF532" s="10">
        <f>REPT(" ",20)</f>
        <v/>
      </c>
      <c r="AG532" s="54">
        <f>REPT(" ",18-LEN(FIXED(F532,2,TRUE)))&amp;FIXED(F532,2,TRUE)</f>
        <v/>
      </c>
      <c r="AH532" s="10">
        <f>LEN(AC532)+LEN(AG532)</f>
        <v/>
      </c>
      <c r="AI532" s="10">
        <f>LEN(L532)</f>
        <v/>
      </c>
    </row>
    <row r="533">
      <c r="I533" s="42" t="n"/>
      <c r="J533" s="12">
        <f>IF(F533&lt;&gt;0,"LANÇAR","")</f>
        <v/>
      </c>
      <c r="K533" s="20" t="n"/>
      <c r="L533" s="13">
        <f>N533&amp;O533&amp;P533&amp;Q533&amp;R533&amp;S533&amp;T533&amp;U533&amp;V533&amp;W533&amp;X533&amp;Y533&amp;Z533&amp;AA533&amp;AB533&amp;AC533&amp;AD533&amp;AE533&amp;AF533&amp;AG533</f>
        <v/>
      </c>
      <c r="M533" s="20" t="n"/>
      <c r="N533" s="10">
        <f>TEXT($B$6,"00")</f>
        <v/>
      </c>
      <c r="O533" s="10">
        <f>REPT(" ",8)</f>
        <v/>
      </c>
      <c r="P533" s="10">
        <f>RIGHT($B$4,2)</f>
        <v/>
      </c>
      <c r="Q533" s="10">
        <f>RIGHT($B$5,3)</f>
        <v/>
      </c>
      <c r="R533" s="10">
        <f>IF(A533="D",LEFT(UPPER(B533)&amp;REPT(" ",20),20),REPT(" ",20))</f>
        <v/>
      </c>
      <c r="S533" s="10">
        <f>IF(A533="D",LEFT(UPPER(C533)&amp;REPT(" ",10),10)," ")</f>
        <v/>
      </c>
      <c r="T533" s="10">
        <f>IF(A533="D",LEFT(UPPER(D533)&amp;REPT(" ",2),2)," ")</f>
        <v/>
      </c>
      <c r="U533" s="10">
        <f>IF(A533="D",LEFT(UPPER(E533)&amp;REPT(" ",15),15)," ")</f>
        <v/>
      </c>
      <c r="V533" s="10">
        <f>REPT(" ",24)</f>
        <v/>
      </c>
      <c r="W533" s="10">
        <f>IF(A533="c",LEFT(UPPER(B533)&amp;REPT(" ",20),20),REPT(" ",20))</f>
        <v/>
      </c>
      <c r="X533" s="10">
        <f>IF(A533="C",LEFT(UPPER(C533)&amp;REPT(" ",10),10)," ")</f>
        <v/>
      </c>
      <c r="Y533" s="10">
        <f>IF(A533="C",LEFT(UPPER(D533)&amp;REPT(" ",2),2)," ")</f>
        <v/>
      </c>
      <c r="Z533" s="10">
        <f>IF(A533="C",LEFT(UPPER(E533)&amp;REPT(" ",15),15)," ")</f>
        <v/>
      </c>
      <c r="AA533" s="10">
        <f>REPT(" ",8)</f>
        <v/>
      </c>
      <c r="AB533" s="10">
        <f>REPT(" ",4)</f>
        <v/>
      </c>
      <c r="AC533" s="10">
        <f>LEFT(UPPER(H533)&amp;REPT(" ",250),250)</f>
        <v/>
      </c>
      <c r="AD533" s="10">
        <f>TEXT($G$2,"dd/mm/aaaa")</f>
        <v/>
      </c>
      <c r="AE533" s="10">
        <f>REPT(" ",10)</f>
        <v/>
      </c>
      <c r="AF533" s="10">
        <f>REPT(" ",20)</f>
        <v/>
      </c>
      <c r="AG533" s="54">
        <f>REPT(" ",18-LEN(FIXED(F533,2,TRUE)))&amp;FIXED(F533,2,TRUE)</f>
        <v/>
      </c>
      <c r="AH533" s="10">
        <f>LEN(AC533)+LEN(AG533)</f>
        <v/>
      </c>
      <c r="AI533" s="10">
        <f>LEN(L533)</f>
        <v/>
      </c>
    </row>
    <row r="534">
      <c r="I534" s="42" t="n"/>
      <c r="J534" s="12">
        <f>IF(F534&lt;&gt;0,"LANÇAR","")</f>
        <v/>
      </c>
      <c r="K534" s="20" t="n"/>
      <c r="L534" s="13">
        <f>N534&amp;O534&amp;P534&amp;Q534&amp;R534&amp;S534&amp;T534&amp;U534&amp;V534&amp;W534&amp;X534&amp;Y534&amp;Z534&amp;AA534&amp;AB534&amp;AC534&amp;AD534&amp;AE534&amp;AF534&amp;AG534</f>
        <v/>
      </c>
      <c r="M534" s="20" t="n"/>
      <c r="N534" s="10">
        <f>TEXT($B$6,"00")</f>
        <v/>
      </c>
      <c r="O534" s="10">
        <f>REPT(" ",8)</f>
        <v/>
      </c>
      <c r="P534" s="10">
        <f>RIGHT($B$4,2)</f>
        <v/>
      </c>
      <c r="Q534" s="10">
        <f>RIGHT($B$5,3)</f>
        <v/>
      </c>
      <c r="R534" s="10">
        <f>IF(A534="D",LEFT(UPPER(B534)&amp;REPT(" ",20),20),REPT(" ",20))</f>
        <v/>
      </c>
      <c r="S534" s="10">
        <f>IF(A534="D",LEFT(UPPER(C534)&amp;REPT(" ",10),10)," ")</f>
        <v/>
      </c>
      <c r="T534" s="10">
        <f>IF(A534="D",LEFT(UPPER(D534)&amp;REPT(" ",2),2)," ")</f>
        <v/>
      </c>
      <c r="U534" s="10">
        <f>IF(A534="D",LEFT(UPPER(E534)&amp;REPT(" ",15),15)," ")</f>
        <v/>
      </c>
      <c r="V534" s="10">
        <f>REPT(" ",24)</f>
        <v/>
      </c>
      <c r="W534" s="10">
        <f>IF(A534="c",LEFT(UPPER(B534)&amp;REPT(" ",20),20),REPT(" ",20))</f>
        <v/>
      </c>
      <c r="X534" s="10">
        <f>IF(A534="C",LEFT(UPPER(C534)&amp;REPT(" ",10),10)," ")</f>
        <v/>
      </c>
      <c r="Y534" s="10">
        <f>IF(A534="C",LEFT(UPPER(D534)&amp;REPT(" ",2),2)," ")</f>
        <v/>
      </c>
      <c r="Z534" s="10">
        <f>IF(A534="C",LEFT(UPPER(E534)&amp;REPT(" ",15),15)," ")</f>
        <v/>
      </c>
      <c r="AA534" s="10">
        <f>REPT(" ",8)</f>
        <v/>
      </c>
      <c r="AB534" s="10">
        <f>REPT(" ",4)</f>
        <v/>
      </c>
      <c r="AC534" s="10">
        <f>LEFT(UPPER(H534)&amp;REPT(" ",250),250)</f>
        <v/>
      </c>
      <c r="AD534" s="10">
        <f>TEXT($G$2,"dd/mm/aaaa")</f>
        <v/>
      </c>
      <c r="AE534" s="10">
        <f>REPT(" ",10)</f>
        <v/>
      </c>
      <c r="AF534" s="10">
        <f>REPT(" ",20)</f>
        <v/>
      </c>
      <c r="AG534" s="54">
        <f>REPT(" ",18-LEN(FIXED(F534,2,TRUE)))&amp;FIXED(F534,2,TRUE)</f>
        <v/>
      </c>
      <c r="AH534" s="10">
        <f>LEN(AC534)+LEN(AG534)</f>
        <v/>
      </c>
      <c r="AI534" s="10">
        <f>LEN(L534)</f>
        <v/>
      </c>
    </row>
    <row r="535">
      <c r="I535" s="42" t="n"/>
      <c r="J535" s="12">
        <f>IF(F535&lt;&gt;0,"LANÇAR","")</f>
        <v/>
      </c>
      <c r="K535" s="20" t="n"/>
      <c r="L535" s="13">
        <f>N535&amp;O535&amp;P535&amp;Q535&amp;R535&amp;S535&amp;T535&amp;U535&amp;V535&amp;W535&amp;X535&amp;Y535&amp;Z535&amp;AA535&amp;AB535&amp;AC535&amp;AD535&amp;AE535&amp;AF535&amp;AG535</f>
        <v/>
      </c>
      <c r="M535" s="20" t="n"/>
      <c r="N535" s="10">
        <f>TEXT($B$6,"00")</f>
        <v/>
      </c>
      <c r="O535" s="10">
        <f>REPT(" ",8)</f>
        <v/>
      </c>
      <c r="P535" s="10">
        <f>RIGHT($B$4,2)</f>
        <v/>
      </c>
      <c r="Q535" s="10">
        <f>RIGHT($B$5,3)</f>
        <v/>
      </c>
      <c r="R535" s="10">
        <f>IF(A535="D",LEFT(UPPER(B535)&amp;REPT(" ",20),20),REPT(" ",20))</f>
        <v/>
      </c>
      <c r="S535" s="10">
        <f>IF(A535="D",LEFT(UPPER(C535)&amp;REPT(" ",10),10)," ")</f>
        <v/>
      </c>
      <c r="T535" s="10">
        <f>IF(A535="D",LEFT(UPPER(D535)&amp;REPT(" ",2),2)," ")</f>
        <v/>
      </c>
      <c r="U535" s="10">
        <f>IF(A535="D",LEFT(UPPER(E535)&amp;REPT(" ",15),15)," ")</f>
        <v/>
      </c>
      <c r="V535" s="10">
        <f>REPT(" ",24)</f>
        <v/>
      </c>
      <c r="W535" s="10">
        <f>IF(A535="c",LEFT(UPPER(B535)&amp;REPT(" ",20),20),REPT(" ",20))</f>
        <v/>
      </c>
      <c r="X535" s="10">
        <f>IF(A535="C",LEFT(UPPER(C535)&amp;REPT(" ",10),10)," ")</f>
        <v/>
      </c>
      <c r="Y535" s="10">
        <f>IF(A535="C",LEFT(UPPER(D535)&amp;REPT(" ",2),2)," ")</f>
        <v/>
      </c>
      <c r="Z535" s="10">
        <f>IF(A535="C",LEFT(UPPER(E535)&amp;REPT(" ",15),15)," ")</f>
        <v/>
      </c>
      <c r="AA535" s="10">
        <f>REPT(" ",8)</f>
        <v/>
      </c>
      <c r="AB535" s="10">
        <f>REPT(" ",4)</f>
        <v/>
      </c>
      <c r="AC535" s="10">
        <f>LEFT(UPPER(H535)&amp;REPT(" ",250),250)</f>
        <v/>
      </c>
      <c r="AD535" s="10">
        <f>TEXT($G$2,"dd/mm/aaaa")</f>
        <v/>
      </c>
      <c r="AE535" s="10">
        <f>REPT(" ",10)</f>
        <v/>
      </c>
      <c r="AF535" s="10">
        <f>REPT(" ",20)</f>
        <v/>
      </c>
      <c r="AG535" s="54">
        <f>REPT(" ",18-LEN(FIXED(F535,2,TRUE)))&amp;FIXED(F535,2,TRUE)</f>
        <v/>
      </c>
      <c r="AH535" s="10">
        <f>LEN(AC535)+LEN(AG535)</f>
        <v/>
      </c>
      <c r="AI535" s="10">
        <f>LEN(L535)</f>
        <v/>
      </c>
    </row>
    <row r="536">
      <c r="A536" s="46" t="n"/>
      <c r="B536" s="38" t="n"/>
      <c r="C536" s="41" t="n"/>
      <c r="D536" s="41" t="n"/>
      <c r="E536" s="41" t="n"/>
      <c r="F536" s="88" t="n"/>
      <c r="G536" s="89" t="n"/>
      <c r="H536" s="37" t="n"/>
      <c r="I536" s="42" t="n"/>
      <c r="J536" s="12">
        <f>IF(F536&lt;&gt;0,"LANÇAR","")</f>
        <v/>
      </c>
      <c r="K536" s="20" t="n"/>
      <c r="L536" s="13">
        <f>N536&amp;O536&amp;P536&amp;Q536&amp;R536&amp;S536&amp;T536&amp;U536&amp;V536&amp;W536&amp;X536&amp;Y536&amp;Z536&amp;AA536&amp;AB536&amp;AC536&amp;AD536&amp;AE536&amp;AF536&amp;AG536</f>
        <v/>
      </c>
      <c r="M536" s="20" t="n"/>
      <c r="N536" s="10">
        <f>TEXT($B$6,"00")</f>
        <v/>
      </c>
      <c r="O536" s="10">
        <f>REPT(" ",8)</f>
        <v/>
      </c>
      <c r="P536" s="10">
        <f>RIGHT($B$4,2)</f>
        <v/>
      </c>
      <c r="Q536" s="10">
        <f>RIGHT($B$5,3)</f>
        <v/>
      </c>
      <c r="R536" s="10">
        <f>IF(A536="D",LEFT(UPPER(B536)&amp;REPT(" ",20),20),REPT(" ",20))</f>
        <v/>
      </c>
      <c r="S536" s="10">
        <f>IF(A536="D",LEFT(UPPER(C536)&amp;REPT(" ",10),10)," ")</f>
        <v/>
      </c>
      <c r="T536" s="10">
        <f>IF(A536="D",LEFT(UPPER(D536)&amp;REPT(" ",2),2)," ")</f>
        <v/>
      </c>
      <c r="U536" s="10">
        <f>IF(A536="D",LEFT(UPPER(E536)&amp;REPT(" ",15),15)," ")</f>
        <v/>
      </c>
      <c r="V536" s="10">
        <f>REPT(" ",24)</f>
        <v/>
      </c>
      <c r="W536" s="10">
        <f>IF(A536="c",LEFT(UPPER(B536)&amp;REPT(" ",20),20),REPT(" ",20))</f>
        <v/>
      </c>
      <c r="X536" s="10">
        <f>IF(A536="C",LEFT(UPPER(C536)&amp;REPT(" ",10),10)," ")</f>
        <v/>
      </c>
      <c r="Y536" s="10">
        <f>IF(A536="C",LEFT(UPPER(D536)&amp;REPT(" ",2),2)," ")</f>
        <v/>
      </c>
      <c r="Z536" s="10">
        <f>IF(A536="C",LEFT(UPPER(E536)&amp;REPT(" ",15),15)," ")</f>
        <v/>
      </c>
      <c r="AA536" s="10">
        <f>REPT(" ",8)</f>
        <v/>
      </c>
      <c r="AB536" s="10">
        <f>REPT(" ",4)</f>
        <v/>
      </c>
      <c r="AC536" s="10">
        <f>LEFT(UPPER(H536)&amp;REPT(" ",250),250)</f>
        <v/>
      </c>
      <c r="AD536" s="10">
        <f>TEXT($G$2,"dd/mm/aaaa")</f>
        <v/>
      </c>
      <c r="AE536" s="10">
        <f>REPT(" ",10)</f>
        <v/>
      </c>
      <c r="AF536" s="10">
        <f>REPT(" ",20)</f>
        <v/>
      </c>
      <c r="AG536" s="54">
        <f>REPT(" ",18-LEN(FIXED(F536,2,TRUE)))&amp;FIXED(F536,2,TRUE)</f>
        <v/>
      </c>
      <c r="AH536" s="10">
        <f>LEN(AC536)+LEN(AG536)</f>
        <v/>
      </c>
      <c r="AI536" s="10">
        <f>LEN(L536)</f>
        <v/>
      </c>
    </row>
    <row r="537">
      <c r="A537" s="46" t="n"/>
      <c r="B537" s="38" t="n"/>
      <c r="C537" s="41" t="n"/>
      <c r="D537" s="41" t="n"/>
      <c r="E537" s="41" t="n"/>
      <c r="F537" s="88" t="n"/>
      <c r="G537" s="89" t="n"/>
      <c r="H537" s="37" t="n"/>
      <c r="I537" s="42" t="n"/>
      <c r="J537" s="12">
        <f>IF(F537&lt;&gt;0,"LANÇAR","")</f>
        <v/>
      </c>
      <c r="K537" s="20" t="n"/>
      <c r="L537" s="13">
        <f>N537&amp;O537&amp;P537&amp;Q537&amp;R537&amp;S537&amp;T537&amp;U537&amp;V537&amp;W537&amp;X537&amp;Y537&amp;Z537&amp;AA537&amp;AB537&amp;AC537&amp;AD537&amp;AE537&amp;AF537&amp;AG537</f>
        <v/>
      </c>
      <c r="M537" s="20" t="n"/>
      <c r="N537" s="10">
        <f>TEXT($B$6,"00")</f>
        <v/>
      </c>
      <c r="O537" s="10">
        <f>REPT(" ",8)</f>
        <v/>
      </c>
      <c r="P537" s="10">
        <f>RIGHT($B$4,2)</f>
        <v/>
      </c>
      <c r="Q537" s="10">
        <f>RIGHT($B$5,3)</f>
        <v/>
      </c>
      <c r="R537" s="10">
        <f>IF(A537="D",LEFT(UPPER(B537)&amp;REPT(" ",20),20),REPT(" ",20))</f>
        <v/>
      </c>
      <c r="S537" s="10">
        <f>IF(A537="D",LEFT(UPPER(C537)&amp;REPT(" ",10),10)," ")</f>
        <v/>
      </c>
      <c r="T537" s="10">
        <f>IF(A537="D",LEFT(UPPER(D537)&amp;REPT(" ",2),2)," ")</f>
        <v/>
      </c>
      <c r="U537" s="10">
        <f>IF(A537="D",LEFT(UPPER(E537)&amp;REPT(" ",15),15)," ")</f>
        <v/>
      </c>
      <c r="V537" s="10">
        <f>REPT(" ",24)</f>
        <v/>
      </c>
      <c r="W537" s="10">
        <f>IF(A537="c",LEFT(UPPER(B537)&amp;REPT(" ",20),20),REPT(" ",20))</f>
        <v/>
      </c>
      <c r="X537" s="10">
        <f>IF(A537="C",LEFT(UPPER(C537)&amp;REPT(" ",10),10)," ")</f>
        <v/>
      </c>
      <c r="Y537" s="10">
        <f>IF(A537="C",LEFT(UPPER(D537)&amp;REPT(" ",2),2)," ")</f>
        <v/>
      </c>
      <c r="Z537" s="10">
        <f>IF(A537="C",LEFT(UPPER(E537)&amp;REPT(" ",15),15)," ")</f>
        <v/>
      </c>
      <c r="AA537" s="10">
        <f>REPT(" ",8)</f>
        <v/>
      </c>
      <c r="AB537" s="10">
        <f>REPT(" ",4)</f>
        <v/>
      </c>
      <c r="AC537" s="10">
        <f>LEFT(UPPER(H537)&amp;REPT(" ",250),250)</f>
        <v/>
      </c>
      <c r="AD537" s="10">
        <f>TEXT($G$2,"dd/mm/aaaa")</f>
        <v/>
      </c>
      <c r="AE537" s="10">
        <f>REPT(" ",10)</f>
        <v/>
      </c>
      <c r="AF537" s="10">
        <f>REPT(" ",20)</f>
        <v/>
      </c>
      <c r="AG537" s="54">
        <f>REPT(" ",18-LEN(FIXED(F537,2,TRUE)))&amp;FIXED(F537,2,TRUE)</f>
        <v/>
      </c>
      <c r="AH537" s="10">
        <f>LEN(AC537)+LEN(AG537)</f>
        <v/>
      </c>
      <c r="AI537" s="10">
        <f>LEN(L537)</f>
        <v/>
      </c>
    </row>
    <row r="538">
      <c r="A538" s="46" t="n"/>
      <c r="B538" s="38" t="n"/>
      <c r="C538" s="41" t="n"/>
      <c r="D538" s="41" t="n"/>
      <c r="E538" s="41" t="n"/>
      <c r="F538" s="88" t="n"/>
      <c r="G538" s="89" t="n"/>
      <c r="H538" s="37" t="n"/>
      <c r="I538" s="42" t="n"/>
      <c r="J538" s="12">
        <f>IF(F538&lt;&gt;0,"LANÇAR","")</f>
        <v/>
      </c>
      <c r="K538" s="20" t="n"/>
      <c r="L538" s="13">
        <f>N538&amp;O538&amp;P538&amp;Q538&amp;R538&amp;S538&amp;T538&amp;U538&amp;V538&amp;W538&amp;X538&amp;Y538&amp;Z538&amp;AA538&amp;AB538&amp;AC538&amp;AD538&amp;AE538&amp;AF538&amp;AG538</f>
        <v/>
      </c>
      <c r="M538" s="20" t="n"/>
      <c r="N538" s="10">
        <f>TEXT($B$6,"00")</f>
        <v/>
      </c>
      <c r="O538" s="10">
        <f>REPT(" ",8)</f>
        <v/>
      </c>
      <c r="P538" s="10">
        <f>RIGHT($B$4,2)</f>
        <v/>
      </c>
      <c r="Q538" s="10">
        <f>RIGHT($B$5,3)</f>
        <v/>
      </c>
      <c r="R538" s="10">
        <f>IF(A538="D",LEFT(UPPER(B538)&amp;REPT(" ",20),20),REPT(" ",20))</f>
        <v/>
      </c>
      <c r="S538" s="10">
        <f>IF(A538="D",LEFT(UPPER(C538)&amp;REPT(" ",10),10)," ")</f>
        <v/>
      </c>
      <c r="T538" s="10">
        <f>IF(A538="D",LEFT(UPPER(D538)&amp;REPT(" ",2),2)," ")</f>
        <v/>
      </c>
      <c r="U538" s="10">
        <f>IF(A538="D",LEFT(UPPER(E538)&amp;REPT(" ",15),15)," ")</f>
        <v/>
      </c>
      <c r="V538" s="10">
        <f>REPT(" ",24)</f>
        <v/>
      </c>
      <c r="W538" s="10">
        <f>IF(A538="c",LEFT(UPPER(B538)&amp;REPT(" ",20),20),REPT(" ",20))</f>
        <v/>
      </c>
      <c r="X538" s="10">
        <f>IF(A538="C",LEFT(UPPER(C538)&amp;REPT(" ",10),10)," ")</f>
        <v/>
      </c>
      <c r="Y538" s="10">
        <f>IF(A538="C",LEFT(UPPER(D538)&amp;REPT(" ",2),2)," ")</f>
        <v/>
      </c>
      <c r="Z538" s="10">
        <f>IF(A538="C",LEFT(UPPER(E538)&amp;REPT(" ",15),15)," ")</f>
        <v/>
      </c>
      <c r="AA538" s="10">
        <f>REPT(" ",8)</f>
        <v/>
      </c>
      <c r="AB538" s="10">
        <f>REPT(" ",4)</f>
        <v/>
      </c>
      <c r="AC538" s="10">
        <f>LEFT(UPPER(H538)&amp;REPT(" ",250),250)</f>
        <v/>
      </c>
      <c r="AD538" s="10">
        <f>TEXT($G$2,"dd/mm/aaaa")</f>
        <v/>
      </c>
      <c r="AE538" s="10">
        <f>REPT(" ",10)</f>
        <v/>
      </c>
      <c r="AF538" s="10">
        <f>REPT(" ",20)</f>
        <v/>
      </c>
      <c r="AG538" s="54">
        <f>REPT(" ",18-LEN(FIXED(F538,2,TRUE)))&amp;FIXED(F538,2,TRUE)</f>
        <v/>
      </c>
      <c r="AH538" s="10">
        <f>LEN(AC538)+LEN(AG538)</f>
        <v/>
      </c>
      <c r="AI538" s="10">
        <f>LEN(L538)</f>
        <v/>
      </c>
    </row>
    <row r="539">
      <c r="A539" s="46" t="n"/>
      <c r="B539" s="38" t="n"/>
      <c r="C539" s="41" t="n"/>
      <c r="D539" s="41" t="n"/>
      <c r="E539" s="41" t="n"/>
      <c r="F539" s="88" t="n"/>
      <c r="G539" s="89" t="n"/>
      <c r="H539" s="37" t="n"/>
      <c r="I539" s="42" t="n"/>
      <c r="J539" s="12">
        <f>IF(F539&lt;&gt;0,"LANÇAR","")</f>
        <v/>
      </c>
      <c r="K539" s="20" t="n"/>
      <c r="L539" s="13">
        <f>N539&amp;O539&amp;P539&amp;Q539&amp;R539&amp;S539&amp;T539&amp;U539&amp;V539&amp;W539&amp;X539&amp;Y539&amp;Z539&amp;AA539&amp;AB539&amp;AC539&amp;AD539&amp;AE539&amp;AF539&amp;AG539</f>
        <v/>
      </c>
      <c r="M539" s="20" t="n"/>
      <c r="N539" s="10">
        <f>TEXT($B$6,"00")</f>
        <v/>
      </c>
      <c r="O539" s="10">
        <f>REPT(" ",8)</f>
        <v/>
      </c>
      <c r="P539" s="10">
        <f>RIGHT($B$4,2)</f>
        <v/>
      </c>
      <c r="Q539" s="10">
        <f>RIGHT($B$5,3)</f>
        <v/>
      </c>
      <c r="R539" s="10">
        <f>IF(A539="D",LEFT(UPPER(B539)&amp;REPT(" ",20),20),REPT(" ",20))</f>
        <v/>
      </c>
      <c r="S539" s="10">
        <f>IF(A539="D",LEFT(UPPER(C539)&amp;REPT(" ",10),10)," ")</f>
        <v/>
      </c>
      <c r="T539" s="10">
        <f>IF(A539="D",LEFT(UPPER(D539)&amp;REPT(" ",2),2)," ")</f>
        <v/>
      </c>
      <c r="U539" s="10">
        <f>IF(A539="D",LEFT(UPPER(E539)&amp;REPT(" ",15),15)," ")</f>
        <v/>
      </c>
      <c r="V539" s="10">
        <f>REPT(" ",24)</f>
        <v/>
      </c>
      <c r="W539" s="10">
        <f>IF(A539="c",LEFT(UPPER(B539)&amp;REPT(" ",20),20),REPT(" ",20))</f>
        <v/>
      </c>
      <c r="X539" s="10">
        <f>IF(A539="C",LEFT(UPPER(C539)&amp;REPT(" ",10),10)," ")</f>
        <v/>
      </c>
      <c r="Y539" s="10">
        <f>IF(A539="C",LEFT(UPPER(D539)&amp;REPT(" ",2),2)," ")</f>
        <v/>
      </c>
      <c r="Z539" s="10">
        <f>IF(A539="C",LEFT(UPPER(E539)&amp;REPT(" ",15),15)," ")</f>
        <v/>
      </c>
      <c r="AA539" s="10">
        <f>REPT(" ",8)</f>
        <v/>
      </c>
      <c r="AB539" s="10">
        <f>REPT(" ",4)</f>
        <v/>
      </c>
      <c r="AC539" s="10">
        <f>LEFT(UPPER(H539)&amp;REPT(" ",250),250)</f>
        <v/>
      </c>
      <c r="AD539" s="10">
        <f>TEXT($G$2,"dd/mm/aaaa")</f>
        <v/>
      </c>
      <c r="AE539" s="10">
        <f>REPT(" ",10)</f>
        <v/>
      </c>
      <c r="AF539" s="10">
        <f>REPT(" ",20)</f>
        <v/>
      </c>
      <c r="AG539" s="54">
        <f>REPT(" ",18-LEN(FIXED(F539,2,TRUE)))&amp;FIXED(F539,2,TRUE)</f>
        <v/>
      </c>
      <c r="AH539" s="10">
        <f>LEN(AC539)+LEN(AG539)</f>
        <v/>
      </c>
      <c r="AI539" s="10">
        <f>LEN(L539)</f>
        <v/>
      </c>
    </row>
    <row r="540">
      <c r="A540" s="46" t="n"/>
      <c r="B540" s="38" t="n"/>
      <c r="C540" s="41" t="n"/>
      <c r="D540" s="41" t="n"/>
      <c r="E540" s="41" t="n"/>
      <c r="F540" s="88" t="n"/>
      <c r="G540" s="89" t="n"/>
      <c r="H540" s="37" t="n"/>
      <c r="I540" s="42" t="n"/>
      <c r="J540" s="12">
        <f>IF(F540&lt;&gt;0,"LANÇAR","")</f>
        <v/>
      </c>
      <c r="K540" s="20" t="n"/>
      <c r="L540" s="13">
        <f>N540&amp;O540&amp;P540&amp;Q540&amp;R540&amp;S540&amp;T540&amp;U540&amp;V540&amp;W540&amp;X540&amp;Y540&amp;Z540&amp;AA540&amp;AB540&amp;AC540&amp;AD540&amp;AE540&amp;AF540&amp;AG540</f>
        <v/>
      </c>
      <c r="M540" s="20" t="n"/>
      <c r="N540" s="10">
        <f>TEXT($B$6,"00")</f>
        <v/>
      </c>
      <c r="O540" s="10">
        <f>REPT(" ",8)</f>
        <v/>
      </c>
      <c r="P540" s="10">
        <f>RIGHT($B$4,2)</f>
        <v/>
      </c>
      <c r="Q540" s="10">
        <f>RIGHT($B$5,3)</f>
        <v/>
      </c>
      <c r="R540" s="10">
        <f>IF(A540="D",LEFT(UPPER(B540)&amp;REPT(" ",20),20),REPT(" ",20))</f>
        <v/>
      </c>
      <c r="S540" s="10">
        <f>IF(A540="D",LEFT(UPPER(C540)&amp;REPT(" ",10),10)," ")</f>
        <v/>
      </c>
      <c r="T540" s="10">
        <f>IF(A540="D",LEFT(UPPER(D540)&amp;REPT(" ",2),2)," ")</f>
        <v/>
      </c>
      <c r="U540" s="10">
        <f>IF(A540="D",LEFT(UPPER(E540)&amp;REPT(" ",15),15)," ")</f>
        <v/>
      </c>
      <c r="V540" s="10">
        <f>REPT(" ",24)</f>
        <v/>
      </c>
      <c r="W540" s="10">
        <f>IF(A540="c",LEFT(UPPER(B540)&amp;REPT(" ",20),20),REPT(" ",20))</f>
        <v/>
      </c>
      <c r="X540" s="10">
        <f>IF(A540="C",LEFT(UPPER(C540)&amp;REPT(" ",10),10)," ")</f>
        <v/>
      </c>
      <c r="Y540" s="10">
        <f>IF(A540="C",LEFT(UPPER(D540)&amp;REPT(" ",2),2)," ")</f>
        <v/>
      </c>
      <c r="Z540" s="10">
        <f>IF(A540="C",LEFT(UPPER(E540)&amp;REPT(" ",15),15)," ")</f>
        <v/>
      </c>
      <c r="AA540" s="10">
        <f>REPT(" ",8)</f>
        <v/>
      </c>
      <c r="AB540" s="10">
        <f>REPT(" ",4)</f>
        <v/>
      </c>
      <c r="AC540" s="10">
        <f>LEFT(UPPER(H540)&amp;REPT(" ",250),250)</f>
        <v/>
      </c>
      <c r="AD540" s="10">
        <f>TEXT($G$2,"dd/mm/aaaa")</f>
        <v/>
      </c>
      <c r="AE540" s="10">
        <f>REPT(" ",10)</f>
        <v/>
      </c>
      <c r="AF540" s="10">
        <f>REPT(" ",20)</f>
        <v/>
      </c>
      <c r="AG540" s="54">
        <f>REPT(" ",18-LEN(FIXED(F540,2,TRUE)))&amp;FIXED(F540,2,TRUE)</f>
        <v/>
      </c>
      <c r="AH540" s="10">
        <f>LEN(AC540)+LEN(AG540)</f>
        <v/>
      </c>
      <c r="AI540" s="10">
        <f>LEN(L540)</f>
        <v/>
      </c>
    </row>
    <row r="541">
      <c r="A541" s="46" t="n"/>
      <c r="B541" s="38" t="n"/>
      <c r="C541" s="41" t="n"/>
      <c r="D541" s="41" t="n"/>
      <c r="E541" s="41" t="n"/>
      <c r="F541" s="88" t="n"/>
      <c r="G541" s="89" t="n"/>
      <c r="H541" s="37" t="n"/>
      <c r="I541" s="42" t="n"/>
      <c r="J541" s="12">
        <f>IF(F541&lt;&gt;0,"LANÇAR","")</f>
        <v/>
      </c>
      <c r="K541" s="20" t="n"/>
      <c r="L541" s="13">
        <f>N541&amp;O541&amp;P541&amp;Q541&amp;R541&amp;S541&amp;T541&amp;U541&amp;V541&amp;W541&amp;X541&amp;Y541&amp;Z541&amp;AA541&amp;AB541&amp;AC541&amp;AD541&amp;AE541&amp;AF541&amp;AG541</f>
        <v/>
      </c>
      <c r="M541" s="20" t="n"/>
      <c r="N541" s="10">
        <f>TEXT($B$6,"00")</f>
        <v/>
      </c>
      <c r="O541" s="10">
        <f>REPT(" ",8)</f>
        <v/>
      </c>
      <c r="P541" s="10">
        <f>RIGHT($B$4,2)</f>
        <v/>
      </c>
      <c r="Q541" s="10">
        <f>RIGHT($B$5,3)</f>
        <v/>
      </c>
      <c r="R541" s="10">
        <f>IF(A541="D",LEFT(UPPER(B541)&amp;REPT(" ",20),20),REPT(" ",20))</f>
        <v/>
      </c>
      <c r="S541" s="10">
        <f>IF(A541="D",LEFT(UPPER(C541)&amp;REPT(" ",10),10)," ")</f>
        <v/>
      </c>
      <c r="T541" s="10">
        <f>IF(A541="D",LEFT(UPPER(D541)&amp;REPT(" ",2),2)," ")</f>
        <v/>
      </c>
      <c r="U541" s="10">
        <f>IF(A541="D",LEFT(UPPER(E541)&amp;REPT(" ",15),15)," ")</f>
        <v/>
      </c>
      <c r="V541" s="10">
        <f>REPT(" ",24)</f>
        <v/>
      </c>
      <c r="W541" s="10">
        <f>IF(A541="c",LEFT(UPPER(B541)&amp;REPT(" ",20),20),REPT(" ",20))</f>
        <v/>
      </c>
      <c r="X541" s="10">
        <f>IF(A541="C",LEFT(UPPER(C541)&amp;REPT(" ",10),10)," ")</f>
        <v/>
      </c>
      <c r="Y541" s="10">
        <f>IF(A541="C",LEFT(UPPER(D541)&amp;REPT(" ",2),2)," ")</f>
        <v/>
      </c>
      <c r="Z541" s="10">
        <f>IF(A541="C",LEFT(UPPER(E541)&amp;REPT(" ",15),15)," ")</f>
        <v/>
      </c>
      <c r="AA541" s="10">
        <f>REPT(" ",8)</f>
        <v/>
      </c>
      <c r="AB541" s="10">
        <f>REPT(" ",4)</f>
        <v/>
      </c>
      <c r="AC541" s="10">
        <f>LEFT(UPPER(H541)&amp;REPT(" ",250),250)</f>
        <v/>
      </c>
      <c r="AD541" s="10">
        <f>TEXT($G$2,"dd/mm/aaaa")</f>
        <v/>
      </c>
      <c r="AE541" s="10">
        <f>REPT(" ",10)</f>
        <v/>
      </c>
      <c r="AF541" s="10">
        <f>REPT(" ",20)</f>
        <v/>
      </c>
      <c r="AG541" s="54">
        <f>REPT(" ",18-LEN(FIXED(F541,2,TRUE)))&amp;FIXED(F541,2,TRUE)</f>
        <v/>
      </c>
      <c r="AH541" s="10">
        <f>LEN(AC541)+LEN(AG541)</f>
        <v/>
      </c>
      <c r="AI541" s="10">
        <f>LEN(L541)</f>
        <v/>
      </c>
    </row>
    <row r="542">
      <c r="A542" s="46" t="n"/>
      <c r="B542" s="38" t="n"/>
      <c r="C542" s="41" t="n"/>
      <c r="D542" s="41" t="n"/>
      <c r="E542" s="41" t="n"/>
      <c r="F542" s="88" t="n"/>
      <c r="G542" s="89" t="n"/>
      <c r="H542" s="37" t="n"/>
      <c r="I542" s="42" t="n"/>
      <c r="J542" s="12">
        <f>IF(F542&lt;&gt;0,"LANÇAR","")</f>
        <v/>
      </c>
      <c r="K542" s="20" t="n"/>
      <c r="L542" s="13">
        <f>N542&amp;O542&amp;P542&amp;Q542&amp;R542&amp;S542&amp;T542&amp;U542&amp;V542&amp;W542&amp;X542&amp;Y542&amp;Z542&amp;AA542&amp;AB542&amp;AC542&amp;AD542&amp;AE542&amp;AF542&amp;AG542</f>
        <v/>
      </c>
      <c r="M542" s="20" t="n"/>
      <c r="N542" s="10">
        <f>TEXT($B$6,"00")</f>
        <v/>
      </c>
      <c r="O542" s="10">
        <f>REPT(" ",8)</f>
        <v/>
      </c>
      <c r="P542" s="10">
        <f>RIGHT($B$4,2)</f>
        <v/>
      </c>
      <c r="Q542" s="10">
        <f>RIGHT($B$5,3)</f>
        <v/>
      </c>
      <c r="R542" s="10">
        <f>IF(A542="D",LEFT(UPPER(B542)&amp;REPT(" ",20),20),REPT(" ",20))</f>
        <v/>
      </c>
      <c r="S542" s="10">
        <f>IF(A542="D",LEFT(UPPER(C542)&amp;REPT(" ",10),10)," ")</f>
        <v/>
      </c>
      <c r="T542" s="10">
        <f>IF(A542="D",LEFT(UPPER(D542)&amp;REPT(" ",2),2)," ")</f>
        <v/>
      </c>
      <c r="U542" s="10">
        <f>IF(A542="D",LEFT(UPPER(E542)&amp;REPT(" ",15),15)," ")</f>
        <v/>
      </c>
      <c r="V542" s="10">
        <f>REPT(" ",24)</f>
        <v/>
      </c>
      <c r="W542" s="10">
        <f>IF(A542="c",LEFT(UPPER(B542)&amp;REPT(" ",20),20),REPT(" ",20))</f>
        <v/>
      </c>
      <c r="X542" s="10">
        <f>IF(A542="C",LEFT(UPPER(C542)&amp;REPT(" ",10),10)," ")</f>
        <v/>
      </c>
      <c r="Y542" s="10">
        <f>IF(A542="C",LEFT(UPPER(D542)&amp;REPT(" ",2),2)," ")</f>
        <v/>
      </c>
      <c r="Z542" s="10">
        <f>IF(A542="C",LEFT(UPPER(E542)&amp;REPT(" ",15),15)," ")</f>
        <v/>
      </c>
      <c r="AA542" s="10">
        <f>REPT(" ",8)</f>
        <v/>
      </c>
      <c r="AB542" s="10">
        <f>REPT(" ",4)</f>
        <v/>
      </c>
      <c r="AC542" s="10">
        <f>LEFT(UPPER(H542)&amp;REPT(" ",250),250)</f>
        <v/>
      </c>
      <c r="AD542" s="10">
        <f>TEXT($G$2,"dd/mm/aaaa")</f>
        <v/>
      </c>
      <c r="AE542" s="10">
        <f>REPT(" ",10)</f>
        <v/>
      </c>
      <c r="AF542" s="10">
        <f>REPT(" ",20)</f>
        <v/>
      </c>
      <c r="AG542" s="54">
        <f>REPT(" ",18-LEN(FIXED(F542,2,TRUE)))&amp;FIXED(F542,2,TRUE)</f>
        <v/>
      </c>
      <c r="AH542" s="10">
        <f>LEN(AC542)+LEN(AG542)</f>
        <v/>
      </c>
      <c r="AI542" s="10">
        <f>LEN(L542)</f>
        <v/>
      </c>
    </row>
    <row r="543">
      <c r="A543" s="46" t="n"/>
      <c r="B543" s="38" t="n"/>
      <c r="C543" s="41" t="n"/>
      <c r="D543" s="41" t="n"/>
      <c r="E543" s="41" t="n"/>
      <c r="F543" s="88" t="n"/>
      <c r="G543" s="89" t="n"/>
      <c r="H543" s="37" t="n"/>
      <c r="I543" s="42" t="n"/>
      <c r="J543" s="12">
        <f>IF(F543&lt;&gt;0,"LANÇAR","")</f>
        <v/>
      </c>
      <c r="K543" s="20" t="n"/>
      <c r="L543" s="13">
        <f>N543&amp;O543&amp;P543&amp;Q543&amp;R543&amp;S543&amp;T543&amp;U543&amp;V543&amp;W543&amp;X543&amp;Y543&amp;Z543&amp;AA543&amp;AB543&amp;AC543&amp;AD543&amp;AE543&amp;AF543&amp;AG543</f>
        <v/>
      </c>
      <c r="M543" s="20" t="n"/>
      <c r="N543" s="10">
        <f>TEXT($B$6,"00")</f>
        <v/>
      </c>
      <c r="O543" s="10">
        <f>REPT(" ",8)</f>
        <v/>
      </c>
      <c r="P543" s="10">
        <f>RIGHT($B$4,2)</f>
        <v/>
      </c>
      <c r="Q543" s="10">
        <f>RIGHT($B$5,3)</f>
        <v/>
      </c>
      <c r="R543" s="10">
        <f>IF(A543="D",LEFT(UPPER(B543)&amp;REPT(" ",20),20),REPT(" ",20))</f>
        <v/>
      </c>
      <c r="S543" s="10">
        <f>IF(A543="D",LEFT(UPPER(C543)&amp;REPT(" ",10),10)," ")</f>
        <v/>
      </c>
      <c r="T543" s="10">
        <f>IF(A543="D",LEFT(UPPER(D543)&amp;REPT(" ",2),2)," ")</f>
        <v/>
      </c>
      <c r="U543" s="10">
        <f>IF(A543="D",LEFT(UPPER(E543)&amp;REPT(" ",15),15)," ")</f>
        <v/>
      </c>
      <c r="V543" s="10">
        <f>REPT(" ",24)</f>
        <v/>
      </c>
      <c r="W543" s="10">
        <f>IF(A543="c",LEFT(UPPER(B543)&amp;REPT(" ",20),20),REPT(" ",20))</f>
        <v/>
      </c>
      <c r="X543" s="10">
        <f>IF(A543="C",LEFT(UPPER(C543)&amp;REPT(" ",10),10)," ")</f>
        <v/>
      </c>
      <c r="Y543" s="10">
        <f>IF(A543="C",LEFT(UPPER(D543)&amp;REPT(" ",2),2)," ")</f>
        <v/>
      </c>
      <c r="Z543" s="10">
        <f>IF(A543="C",LEFT(UPPER(E543)&amp;REPT(" ",15),15)," ")</f>
        <v/>
      </c>
      <c r="AA543" s="10">
        <f>REPT(" ",8)</f>
        <v/>
      </c>
      <c r="AB543" s="10">
        <f>REPT(" ",4)</f>
        <v/>
      </c>
      <c r="AC543" s="10">
        <f>LEFT(UPPER(H543)&amp;REPT(" ",250),250)</f>
        <v/>
      </c>
      <c r="AD543" s="10">
        <f>TEXT($G$2,"dd/mm/aaaa")</f>
        <v/>
      </c>
      <c r="AE543" s="10">
        <f>REPT(" ",10)</f>
        <v/>
      </c>
      <c r="AF543" s="10">
        <f>REPT(" ",20)</f>
        <v/>
      </c>
      <c r="AG543" s="54">
        <f>REPT(" ",18-LEN(FIXED(F543,2,TRUE)))&amp;FIXED(F543,2,TRUE)</f>
        <v/>
      </c>
      <c r="AH543" s="10">
        <f>LEN(AC543)+LEN(AG543)</f>
        <v/>
      </c>
      <c r="AI543" s="10">
        <f>LEN(L543)</f>
        <v/>
      </c>
    </row>
    <row r="544">
      <c r="A544" s="46" t="n"/>
      <c r="B544" s="38" t="n"/>
      <c r="C544" s="41" t="n"/>
      <c r="D544" s="41" t="n"/>
      <c r="E544" s="41" t="n"/>
      <c r="F544" s="88" t="n"/>
      <c r="G544" s="89" t="n"/>
      <c r="H544" s="37" t="n"/>
      <c r="I544" s="42" t="n"/>
      <c r="J544" s="12">
        <f>IF(F544&lt;&gt;0,"LANÇAR","")</f>
        <v/>
      </c>
      <c r="K544" s="20" t="n"/>
      <c r="L544" s="13">
        <f>N544&amp;O544&amp;P544&amp;Q544&amp;R544&amp;S544&amp;T544&amp;U544&amp;V544&amp;W544&amp;X544&amp;Y544&amp;Z544&amp;AA544&amp;AB544&amp;AC544&amp;AD544&amp;AE544&amp;AF544&amp;AG544</f>
        <v/>
      </c>
      <c r="M544" s="20" t="n"/>
      <c r="N544" s="10">
        <f>TEXT($B$6,"00")</f>
        <v/>
      </c>
      <c r="O544" s="10">
        <f>REPT(" ",8)</f>
        <v/>
      </c>
      <c r="P544" s="10">
        <f>RIGHT($B$4,2)</f>
        <v/>
      </c>
      <c r="Q544" s="10">
        <f>RIGHT($B$5,3)</f>
        <v/>
      </c>
      <c r="R544" s="10">
        <f>IF(A544="D",LEFT(UPPER(B544)&amp;REPT(" ",20),20),REPT(" ",20))</f>
        <v/>
      </c>
      <c r="S544" s="10">
        <f>IF(A544="D",LEFT(UPPER(C544)&amp;REPT(" ",10),10)," ")</f>
        <v/>
      </c>
      <c r="T544" s="10">
        <f>IF(A544="D",LEFT(UPPER(D544)&amp;REPT(" ",2),2)," ")</f>
        <v/>
      </c>
      <c r="U544" s="10">
        <f>IF(A544="D",LEFT(UPPER(E544)&amp;REPT(" ",15),15)," ")</f>
        <v/>
      </c>
      <c r="V544" s="10">
        <f>REPT(" ",24)</f>
        <v/>
      </c>
      <c r="W544" s="10">
        <f>IF(A544="c",LEFT(UPPER(B544)&amp;REPT(" ",20),20),REPT(" ",20))</f>
        <v/>
      </c>
      <c r="X544" s="10">
        <f>IF(A544="C",LEFT(UPPER(C544)&amp;REPT(" ",10),10)," ")</f>
        <v/>
      </c>
      <c r="Y544" s="10">
        <f>IF(A544="C",LEFT(UPPER(D544)&amp;REPT(" ",2),2)," ")</f>
        <v/>
      </c>
      <c r="Z544" s="10">
        <f>IF(A544="C",LEFT(UPPER(E544)&amp;REPT(" ",15),15)," ")</f>
        <v/>
      </c>
      <c r="AA544" s="10">
        <f>REPT(" ",8)</f>
        <v/>
      </c>
      <c r="AB544" s="10">
        <f>REPT(" ",4)</f>
        <v/>
      </c>
      <c r="AC544" s="10">
        <f>LEFT(UPPER(H544)&amp;REPT(" ",250),250)</f>
        <v/>
      </c>
      <c r="AD544" s="10">
        <f>TEXT($G$2,"dd/mm/aaaa")</f>
        <v/>
      </c>
      <c r="AE544" s="10">
        <f>REPT(" ",10)</f>
        <v/>
      </c>
      <c r="AF544" s="10">
        <f>REPT(" ",20)</f>
        <v/>
      </c>
      <c r="AG544" s="54">
        <f>REPT(" ",18-LEN(FIXED(F544,2,TRUE)))&amp;FIXED(F544,2,TRUE)</f>
        <v/>
      </c>
      <c r="AH544" s="10">
        <f>LEN(AC544)+LEN(AG544)</f>
        <v/>
      </c>
      <c r="AI544" s="10">
        <f>LEN(L544)</f>
        <v/>
      </c>
    </row>
    <row r="545">
      <c r="A545" s="46" t="n"/>
      <c r="B545" s="38" t="n"/>
      <c r="C545" s="41" t="n"/>
      <c r="D545" s="41" t="n"/>
      <c r="E545" s="41" t="n"/>
      <c r="F545" s="88" t="n"/>
      <c r="G545" s="89" t="n"/>
      <c r="H545" s="37" t="n"/>
      <c r="I545" s="42" t="n"/>
      <c r="J545" s="12">
        <f>IF(F545&lt;&gt;0,"LANÇAR","")</f>
        <v/>
      </c>
      <c r="K545" s="20" t="n"/>
      <c r="L545" s="13">
        <f>N545&amp;O545&amp;P545&amp;Q545&amp;R545&amp;S545&amp;T545&amp;U545&amp;V545&amp;W545&amp;X545&amp;Y545&amp;Z545&amp;AA545&amp;AB545&amp;AC545&amp;AD545&amp;AE545&amp;AF545&amp;AG545</f>
        <v/>
      </c>
      <c r="M545" s="20" t="n"/>
      <c r="N545" s="10">
        <f>TEXT($B$6,"00")</f>
        <v/>
      </c>
      <c r="O545" s="10">
        <f>REPT(" ",8)</f>
        <v/>
      </c>
      <c r="P545" s="10">
        <f>RIGHT($B$4,2)</f>
        <v/>
      </c>
      <c r="Q545" s="10">
        <f>RIGHT($B$5,3)</f>
        <v/>
      </c>
      <c r="R545" s="10">
        <f>IF(A545="D",LEFT(UPPER(B545)&amp;REPT(" ",20),20),REPT(" ",20))</f>
        <v/>
      </c>
      <c r="S545" s="10">
        <f>IF(A545="D",LEFT(UPPER(C545)&amp;REPT(" ",10),10)," ")</f>
        <v/>
      </c>
      <c r="T545" s="10">
        <f>IF(A545="D",LEFT(UPPER(D545)&amp;REPT(" ",2),2)," ")</f>
        <v/>
      </c>
      <c r="U545" s="10">
        <f>IF(A545="D",LEFT(UPPER(E545)&amp;REPT(" ",15),15)," ")</f>
        <v/>
      </c>
      <c r="V545" s="10">
        <f>REPT(" ",24)</f>
        <v/>
      </c>
      <c r="W545" s="10">
        <f>IF(A545="c",LEFT(UPPER(B545)&amp;REPT(" ",20),20),REPT(" ",20))</f>
        <v/>
      </c>
      <c r="X545" s="10">
        <f>IF(A545="C",LEFT(UPPER(C545)&amp;REPT(" ",10),10)," ")</f>
        <v/>
      </c>
      <c r="Y545" s="10">
        <f>IF(A545="C",LEFT(UPPER(D545)&amp;REPT(" ",2),2)," ")</f>
        <v/>
      </c>
      <c r="Z545" s="10">
        <f>IF(A545="C",LEFT(UPPER(E545)&amp;REPT(" ",15),15)," ")</f>
        <v/>
      </c>
      <c r="AA545" s="10">
        <f>REPT(" ",8)</f>
        <v/>
      </c>
      <c r="AB545" s="10">
        <f>REPT(" ",4)</f>
        <v/>
      </c>
      <c r="AC545" s="10">
        <f>LEFT(UPPER(H545)&amp;REPT(" ",250),250)</f>
        <v/>
      </c>
      <c r="AD545" s="10">
        <f>TEXT($G$2,"dd/mm/aaaa")</f>
        <v/>
      </c>
      <c r="AE545" s="10">
        <f>REPT(" ",10)</f>
        <v/>
      </c>
      <c r="AF545" s="10">
        <f>REPT(" ",20)</f>
        <v/>
      </c>
      <c r="AG545" s="54">
        <f>REPT(" ",18-LEN(FIXED(F545,2,TRUE)))&amp;FIXED(F545,2,TRUE)</f>
        <v/>
      </c>
      <c r="AH545" s="10">
        <f>LEN(AC545)+LEN(AG545)</f>
        <v/>
      </c>
      <c r="AI545" s="10">
        <f>LEN(L545)</f>
        <v/>
      </c>
    </row>
    <row r="546">
      <c r="A546" s="46" t="n"/>
      <c r="B546" s="38" t="n"/>
      <c r="C546" s="41" t="n"/>
      <c r="D546" s="41" t="n"/>
      <c r="E546" s="41" t="n"/>
      <c r="F546" s="88" t="n"/>
      <c r="G546" s="89" t="n"/>
      <c r="H546" s="37" t="n"/>
      <c r="I546" s="42" t="n"/>
      <c r="J546" s="12">
        <f>IF(F546&lt;&gt;0,"LANÇAR","")</f>
        <v/>
      </c>
      <c r="K546" s="20" t="n"/>
      <c r="L546" s="13">
        <f>N546&amp;O546&amp;P546&amp;Q546&amp;R546&amp;S546&amp;T546&amp;U546&amp;V546&amp;W546&amp;X546&amp;Y546&amp;Z546&amp;AA546&amp;AB546&amp;AC546&amp;AD546&amp;AE546&amp;AF546&amp;AG546</f>
        <v/>
      </c>
      <c r="M546" s="20" t="n"/>
      <c r="N546" s="10">
        <f>TEXT($B$6,"00")</f>
        <v/>
      </c>
      <c r="O546" s="10">
        <f>REPT(" ",8)</f>
        <v/>
      </c>
      <c r="P546" s="10">
        <f>RIGHT($B$4,2)</f>
        <v/>
      </c>
      <c r="Q546" s="10">
        <f>RIGHT($B$5,3)</f>
        <v/>
      </c>
      <c r="R546" s="10">
        <f>IF(A546="D",LEFT(UPPER(B546)&amp;REPT(" ",20),20),REPT(" ",20))</f>
        <v/>
      </c>
      <c r="S546" s="10">
        <f>IF(A546="D",LEFT(UPPER(C546)&amp;REPT(" ",10),10)," ")</f>
        <v/>
      </c>
      <c r="T546" s="10">
        <f>IF(A546="D",LEFT(UPPER(D546)&amp;REPT(" ",2),2)," ")</f>
        <v/>
      </c>
      <c r="U546" s="10">
        <f>IF(A546="D",LEFT(UPPER(E546)&amp;REPT(" ",15),15)," ")</f>
        <v/>
      </c>
      <c r="V546" s="10">
        <f>REPT(" ",24)</f>
        <v/>
      </c>
      <c r="W546" s="10">
        <f>IF(A546="c",LEFT(UPPER(B546)&amp;REPT(" ",20),20),REPT(" ",20))</f>
        <v/>
      </c>
      <c r="X546" s="10">
        <f>IF(A546="C",LEFT(UPPER(C546)&amp;REPT(" ",10),10)," ")</f>
        <v/>
      </c>
      <c r="Y546" s="10">
        <f>IF(A546="C",LEFT(UPPER(D546)&amp;REPT(" ",2),2)," ")</f>
        <v/>
      </c>
      <c r="Z546" s="10">
        <f>IF(A546="C",LEFT(UPPER(E546)&amp;REPT(" ",15),15)," ")</f>
        <v/>
      </c>
      <c r="AA546" s="10">
        <f>REPT(" ",8)</f>
        <v/>
      </c>
      <c r="AB546" s="10">
        <f>REPT(" ",4)</f>
        <v/>
      </c>
      <c r="AC546" s="10">
        <f>LEFT(UPPER(H546)&amp;REPT(" ",250),250)</f>
        <v/>
      </c>
      <c r="AD546" s="10">
        <f>TEXT($G$2,"dd/mm/aaaa")</f>
        <v/>
      </c>
      <c r="AE546" s="10">
        <f>REPT(" ",10)</f>
        <v/>
      </c>
      <c r="AF546" s="10">
        <f>REPT(" ",20)</f>
        <v/>
      </c>
      <c r="AG546" s="54">
        <f>REPT(" ",18-LEN(FIXED(F546,2,TRUE)))&amp;FIXED(F546,2,TRUE)</f>
        <v/>
      </c>
      <c r="AH546" s="10">
        <f>LEN(AC546)+LEN(AG546)</f>
        <v/>
      </c>
      <c r="AI546" s="10">
        <f>LEN(L546)</f>
        <v/>
      </c>
    </row>
    <row r="547">
      <c r="A547" s="46" t="n"/>
      <c r="B547" s="38" t="n"/>
      <c r="C547" s="41" t="n"/>
      <c r="D547" s="41" t="n"/>
      <c r="E547" s="41" t="n"/>
      <c r="F547" s="88" t="n"/>
      <c r="G547" s="89" t="n"/>
      <c r="H547" s="37" t="n"/>
      <c r="I547" s="42" t="n"/>
      <c r="J547" s="12">
        <f>IF(F547&lt;&gt;0,"LANÇAR","")</f>
        <v/>
      </c>
      <c r="K547" s="20" t="n"/>
      <c r="L547" s="13">
        <f>N547&amp;O547&amp;P547&amp;Q547&amp;R547&amp;S547&amp;T547&amp;U547&amp;V547&amp;W547&amp;X547&amp;Y547&amp;Z547&amp;AA547&amp;AB547&amp;AC547&amp;AD547&amp;AE547&amp;AF547&amp;AG547</f>
        <v/>
      </c>
      <c r="M547" s="20" t="n"/>
      <c r="N547" s="10">
        <f>TEXT($B$6,"00")</f>
        <v/>
      </c>
      <c r="O547" s="10">
        <f>REPT(" ",8)</f>
        <v/>
      </c>
      <c r="P547" s="10">
        <f>RIGHT($B$4,2)</f>
        <v/>
      </c>
      <c r="Q547" s="10">
        <f>RIGHT($B$5,3)</f>
        <v/>
      </c>
      <c r="R547" s="10">
        <f>IF(A547="D",LEFT(UPPER(B547)&amp;REPT(" ",20),20),REPT(" ",20))</f>
        <v/>
      </c>
      <c r="S547" s="10">
        <f>IF(A547="D",LEFT(UPPER(C547)&amp;REPT(" ",10),10)," ")</f>
        <v/>
      </c>
      <c r="T547" s="10">
        <f>IF(A547="D",LEFT(UPPER(D547)&amp;REPT(" ",2),2)," ")</f>
        <v/>
      </c>
      <c r="U547" s="10">
        <f>IF(A547="D",LEFT(UPPER(E547)&amp;REPT(" ",15),15)," ")</f>
        <v/>
      </c>
      <c r="V547" s="10">
        <f>REPT(" ",24)</f>
        <v/>
      </c>
      <c r="W547" s="10">
        <f>IF(A547="c",LEFT(UPPER(B547)&amp;REPT(" ",20),20),REPT(" ",20))</f>
        <v/>
      </c>
      <c r="X547" s="10">
        <f>IF(A547="C",LEFT(UPPER(C547)&amp;REPT(" ",10),10)," ")</f>
        <v/>
      </c>
      <c r="Y547" s="10">
        <f>IF(A547="C",LEFT(UPPER(D547)&amp;REPT(" ",2),2)," ")</f>
        <v/>
      </c>
      <c r="Z547" s="10">
        <f>IF(A547="C",LEFT(UPPER(E547)&amp;REPT(" ",15),15)," ")</f>
        <v/>
      </c>
      <c r="AA547" s="10">
        <f>REPT(" ",8)</f>
        <v/>
      </c>
      <c r="AB547" s="10">
        <f>REPT(" ",4)</f>
        <v/>
      </c>
      <c r="AC547" s="10">
        <f>LEFT(UPPER(H547)&amp;REPT(" ",250),250)</f>
        <v/>
      </c>
      <c r="AD547" s="10">
        <f>TEXT($G$2,"dd/mm/aaaa")</f>
        <v/>
      </c>
      <c r="AE547" s="10">
        <f>REPT(" ",10)</f>
        <v/>
      </c>
      <c r="AF547" s="10">
        <f>REPT(" ",20)</f>
        <v/>
      </c>
      <c r="AG547" s="54">
        <f>REPT(" ",18-LEN(FIXED(F547,2,TRUE)))&amp;FIXED(F547,2,TRUE)</f>
        <v/>
      </c>
      <c r="AH547" s="10">
        <f>LEN(AC547)+LEN(AG547)</f>
        <v/>
      </c>
      <c r="AI547" s="10">
        <f>LEN(L547)</f>
        <v/>
      </c>
    </row>
    <row r="548">
      <c r="A548" s="46" t="n"/>
      <c r="B548" s="38" t="n"/>
      <c r="C548" s="41" t="n"/>
      <c r="D548" s="41" t="n"/>
      <c r="E548" s="41" t="n"/>
      <c r="F548" s="88" t="n"/>
      <c r="G548" s="89" t="n"/>
      <c r="H548" s="37" t="n"/>
      <c r="I548" s="42" t="n"/>
      <c r="J548" s="12">
        <f>IF(F548&lt;&gt;0,"LANÇAR","")</f>
        <v/>
      </c>
      <c r="K548" s="20" t="n"/>
      <c r="L548" s="13">
        <f>N548&amp;O548&amp;P548&amp;Q548&amp;R548&amp;S548&amp;T548&amp;U548&amp;V548&amp;W548&amp;X548&amp;Y548&amp;Z548&amp;AA548&amp;AB548&amp;AC548&amp;AD548&amp;AE548&amp;AF548&amp;AG548</f>
        <v/>
      </c>
      <c r="M548" s="20" t="n"/>
      <c r="N548" s="10">
        <f>TEXT($B$6,"00")</f>
        <v/>
      </c>
      <c r="O548" s="10">
        <f>REPT(" ",8)</f>
        <v/>
      </c>
      <c r="P548" s="10">
        <f>RIGHT($B$4,2)</f>
        <v/>
      </c>
      <c r="Q548" s="10">
        <f>RIGHT($B$5,3)</f>
        <v/>
      </c>
      <c r="R548" s="10">
        <f>IF(A548="D",LEFT(UPPER(B548)&amp;REPT(" ",20),20),REPT(" ",20))</f>
        <v/>
      </c>
      <c r="S548" s="10">
        <f>IF(A548="D",LEFT(UPPER(C548)&amp;REPT(" ",10),10)," ")</f>
        <v/>
      </c>
      <c r="T548" s="10">
        <f>IF(A548="D",LEFT(UPPER(D548)&amp;REPT(" ",2),2)," ")</f>
        <v/>
      </c>
      <c r="U548" s="10">
        <f>IF(A548="D",LEFT(UPPER(E548)&amp;REPT(" ",15),15)," ")</f>
        <v/>
      </c>
      <c r="V548" s="10">
        <f>REPT(" ",24)</f>
        <v/>
      </c>
      <c r="W548" s="10">
        <f>IF(A548="c",LEFT(UPPER(B548)&amp;REPT(" ",20),20),REPT(" ",20))</f>
        <v/>
      </c>
      <c r="X548" s="10">
        <f>IF(A548="C",LEFT(UPPER(C548)&amp;REPT(" ",10),10)," ")</f>
        <v/>
      </c>
      <c r="Y548" s="10">
        <f>IF(A548="C",LEFT(UPPER(D548)&amp;REPT(" ",2),2)," ")</f>
        <v/>
      </c>
      <c r="Z548" s="10">
        <f>IF(A548="C",LEFT(UPPER(E548)&amp;REPT(" ",15),15)," ")</f>
        <v/>
      </c>
      <c r="AA548" s="10">
        <f>REPT(" ",8)</f>
        <v/>
      </c>
      <c r="AB548" s="10">
        <f>REPT(" ",4)</f>
        <v/>
      </c>
      <c r="AC548" s="10">
        <f>LEFT(UPPER(H548)&amp;REPT(" ",250),250)</f>
        <v/>
      </c>
      <c r="AD548" s="10">
        <f>TEXT($G$2,"dd/mm/aaaa")</f>
        <v/>
      </c>
      <c r="AE548" s="10">
        <f>REPT(" ",10)</f>
        <v/>
      </c>
      <c r="AF548" s="10">
        <f>REPT(" ",20)</f>
        <v/>
      </c>
      <c r="AG548" s="54">
        <f>REPT(" ",18-LEN(FIXED(F548,2,TRUE)))&amp;FIXED(F548,2,TRUE)</f>
        <v/>
      </c>
      <c r="AH548" s="10">
        <f>LEN(AC548)+LEN(AG548)</f>
        <v/>
      </c>
      <c r="AI548" s="10">
        <f>LEN(L548)</f>
        <v/>
      </c>
    </row>
    <row r="549">
      <c r="A549" s="46" t="n"/>
      <c r="B549" s="38" t="n"/>
      <c r="C549" s="41" t="n"/>
      <c r="D549" s="41" t="n"/>
      <c r="E549" s="41" t="n"/>
      <c r="F549" s="88" t="n"/>
      <c r="G549" s="89" t="n"/>
      <c r="H549" s="37" t="n"/>
      <c r="I549" s="42" t="n"/>
      <c r="J549" s="12">
        <f>IF(F549&lt;&gt;0,"LANÇAR","")</f>
        <v/>
      </c>
      <c r="K549" s="20" t="n"/>
      <c r="L549" s="13">
        <f>N549&amp;O549&amp;P549&amp;Q549&amp;R549&amp;S549&amp;T549&amp;U549&amp;V549&amp;W549&amp;X549&amp;Y549&amp;Z549&amp;AA549&amp;AB549&amp;AC549&amp;AD549&amp;AE549&amp;AF549&amp;AG549</f>
        <v/>
      </c>
      <c r="M549" s="20" t="n"/>
      <c r="N549" s="10">
        <f>TEXT($B$6,"00")</f>
        <v/>
      </c>
      <c r="O549" s="10">
        <f>REPT(" ",8)</f>
        <v/>
      </c>
      <c r="P549" s="10">
        <f>RIGHT($B$4,2)</f>
        <v/>
      </c>
      <c r="Q549" s="10">
        <f>RIGHT($B$5,3)</f>
        <v/>
      </c>
      <c r="R549" s="10">
        <f>IF(A549="D",LEFT(UPPER(B549)&amp;REPT(" ",20),20),REPT(" ",20))</f>
        <v/>
      </c>
      <c r="S549" s="10">
        <f>IF(A549="D",LEFT(UPPER(C549)&amp;REPT(" ",10),10)," ")</f>
        <v/>
      </c>
      <c r="T549" s="10">
        <f>IF(A549="D",LEFT(UPPER(D549)&amp;REPT(" ",2),2)," ")</f>
        <v/>
      </c>
      <c r="U549" s="10">
        <f>IF(A549="D",LEFT(UPPER(E549)&amp;REPT(" ",15),15)," ")</f>
        <v/>
      </c>
      <c r="V549" s="10">
        <f>REPT(" ",24)</f>
        <v/>
      </c>
      <c r="W549" s="10">
        <f>IF(A549="c",LEFT(UPPER(B549)&amp;REPT(" ",20),20),REPT(" ",20))</f>
        <v/>
      </c>
      <c r="X549" s="10">
        <f>IF(A549="C",LEFT(UPPER(C549)&amp;REPT(" ",10),10)," ")</f>
        <v/>
      </c>
      <c r="Y549" s="10">
        <f>IF(A549="C",LEFT(UPPER(D549)&amp;REPT(" ",2),2)," ")</f>
        <v/>
      </c>
      <c r="Z549" s="10">
        <f>IF(A549="C",LEFT(UPPER(E549)&amp;REPT(" ",15),15)," ")</f>
        <v/>
      </c>
      <c r="AA549" s="10">
        <f>REPT(" ",8)</f>
        <v/>
      </c>
      <c r="AB549" s="10">
        <f>REPT(" ",4)</f>
        <v/>
      </c>
      <c r="AC549" s="10">
        <f>LEFT(UPPER(H549)&amp;REPT(" ",250),250)</f>
        <v/>
      </c>
      <c r="AD549" s="10">
        <f>TEXT($G$2,"dd/mm/aaaa")</f>
        <v/>
      </c>
      <c r="AE549" s="10">
        <f>REPT(" ",10)</f>
        <v/>
      </c>
      <c r="AF549" s="10">
        <f>REPT(" ",20)</f>
        <v/>
      </c>
      <c r="AG549" s="54">
        <f>REPT(" ",18-LEN(FIXED(F549,2,TRUE)))&amp;FIXED(F549,2,TRUE)</f>
        <v/>
      </c>
      <c r="AH549" s="10">
        <f>LEN(AC549)+LEN(AG549)</f>
        <v/>
      </c>
      <c r="AI549" s="10">
        <f>LEN(L549)</f>
        <v/>
      </c>
    </row>
    <row r="550">
      <c r="A550" s="46" t="n"/>
      <c r="B550" s="38" t="n"/>
      <c r="C550" s="41" t="n"/>
      <c r="D550" s="41" t="n"/>
      <c r="E550" s="41" t="n"/>
      <c r="F550" s="88" t="n"/>
      <c r="G550" s="89" t="n"/>
      <c r="H550" s="37" t="n"/>
      <c r="I550" s="42" t="n"/>
      <c r="J550" s="12">
        <f>IF(F550&lt;&gt;0,"LANÇAR","")</f>
        <v/>
      </c>
      <c r="K550" s="20" t="n"/>
      <c r="L550" s="13">
        <f>N550&amp;O550&amp;P550&amp;Q550&amp;R550&amp;S550&amp;T550&amp;U550&amp;V550&amp;W550&amp;X550&amp;Y550&amp;Z550&amp;AA550&amp;AB550&amp;AC550&amp;AD550&amp;AE550&amp;AF550&amp;AG550</f>
        <v/>
      </c>
      <c r="M550" s="20" t="n"/>
      <c r="N550" s="10">
        <f>TEXT($B$6,"00")</f>
        <v/>
      </c>
      <c r="O550" s="10">
        <f>REPT(" ",8)</f>
        <v/>
      </c>
      <c r="P550" s="10">
        <f>RIGHT($B$4,2)</f>
        <v/>
      </c>
      <c r="Q550" s="10">
        <f>RIGHT($B$5,3)</f>
        <v/>
      </c>
      <c r="R550" s="10">
        <f>IF(A550="D",LEFT(UPPER(B550)&amp;REPT(" ",20),20),REPT(" ",20))</f>
        <v/>
      </c>
      <c r="S550" s="10">
        <f>IF(A550="D",LEFT(UPPER(C550)&amp;REPT(" ",10),10)," ")</f>
        <v/>
      </c>
      <c r="T550" s="10">
        <f>IF(A550="D",LEFT(UPPER(D550)&amp;REPT(" ",2),2)," ")</f>
        <v/>
      </c>
      <c r="U550" s="10">
        <f>IF(A550="D",LEFT(UPPER(E550)&amp;REPT(" ",15),15)," ")</f>
        <v/>
      </c>
      <c r="V550" s="10">
        <f>REPT(" ",24)</f>
        <v/>
      </c>
      <c r="W550" s="10">
        <f>IF(A550="c",LEFT(UPPER(B550)&amp;REPT(" ",20),20),REPT(" ",20))</f>
        <v/>
      </c>
      <c r="X550" s="10">
        <f>IF(A550="C",LEFT(UPPER(C550)&amp;REPT(" ",10),10)," ")</f>
        <v/>
      </c>
      <c r="Y550" s="10">
        <f>IF(A550="C",LEFT(UPPER(D550)&amp;REPT(" ",2),2)," ")</f>
        <v/>
      </c>
      <c r="Z550" s="10">
        <f>IF(A550="C",LEFT(UPPER(E550)&amp;REPT(" ",15),15)," ")</f>
        <v/>
      </c>
      <c r="AA550" s="10">
        <f>REPT(" ",8)</f>
        <v/>
      </c>
      <c r="AB550" s="10">
        <f>REPT(" ",4)</f>
        <v/>
      </c>
      <c r="AC550" s="10">
        <f>LEFT(UPPER(H550)&amp;REPT(" ",250),250)</f>
        <v/>
      </c>
      <c r="AD550" s="10">
        <f>TEXT($G$2,"dd/mm/aaaa")</f>
        <v/>
      </c>
      <c r="AE550" s="10">
        <f>REPT(" ",10)</f>
        <v/>
      </c>
      <c r="AF550" s="10">
        <f>REPT(" ",20)</f>
        <v/>
      </c>
      <c r="AG550" s="54">
        <f>REPT(" ",18-LEN(FIXED(F550,2,TRUE)))&amp;FIXED(F550,2,TRUE)</f>
        <v/>
      </c>
      <c r="AH550" s="10">
        <f>LEN(AC550)+LEN(AG550)</f>
        <v/>
      </c>
      <c r="AI550" s="10">
        <f>LEN(L550)</f>
        <v/>
      </c>
    </row>
    <row r="551">
      <c r="A551" s="46" t="n"/>
      <c r="B551" s="38" t="n"/>
      <c r="C551" s="41" t="n"/>
      <c r="D551" s="41" t="n"/>
      <c r="E551" s="41" t="n"/>
      <c r="F551" s="88" t="n"/>
      <c r="G551" s="89" t="n"/>
      <c r="H551" s="37" t="n"/>
      <c r="I551" s="42" t="n"/>
      <c r="J551" s="12">
        <f>IF(F551&lt;&gt;0,"LANÇAR","")</f>
        <v/>
      </c>
      <c r="K551" s="20" t="n"/>
      <c r="L551" s="13">
        <f>N551&amp;O551&amp;P551&amp;Q551&amp;R551&amp;S551&amp;T551&amp;U551&amp;V551&amp;W551&amp;X551&amp;Y551&amp;Z551&amp;AA551&amp;AB551&amp;AC551&amp;AD551&amp;AE551&amp;AF551&amp;AG551</f>
        <v/>
      </c>
      <c r="M551" s="20" t="n"/>
      <c r="N551" s="10">
        <f>TEXT($B$6,"00")</f>
        <v/>
      </c>
      <c r="O551" s="10">
        <f>REPT(" ",8)</f>
        <v/>
      </c>
      <c r="P551" s="10">
        <f>RIGHT($B$4,2)</f>
        <v/>
      </c>
      <c r="Q551" s="10">
        <f>RIGHT($B$5,3)</f>
        <v/>
      </c>
      <c r="R551" s="10">
        <f>IF(A551="D",LEFT(UPPER(B551)&amp;REPT(" ",20),20),REPT(" ",20))</f>
        <v/>
      </c>
      <c r="S551" s="10">
        <f>IF(A551="D",LEFT(UPPER(C551)&amp;REPT(" ",10),10)," ")</f>
        <v/>
      </c>
      <c r="T551" s="10">
        <f>IF(A551="D",LEFT(UPPER(D551)&amp;REPT(" ",2),2)," ")</f>
        <v/>
      </c>
      <c r="U551" s="10">
        <f>IF(A551="D",LEFT(UPPER(E551)&amp;REPT(" ",15),15)," ")</f>
        <v/>
      </c>
      <c r="V551" s="10">
        <f>REPT(" ",24)</f>
        <v/>
      </c>
      <c r="W551" s="10">
        <f>IF(A551="c",LEFT(UPPER(B551)&amp;REPT(" ",20),20),REPT(" ",20))</f>
        <v/>
      </c>
      <c r="X551" s="10">
        <f>IF(A551="C",LEFT(UPPER(C551)&amp;REPT(" ",10),10)," ")</f>
        <v/>
      </c>
      <c r="Y551" s="10">
        <f>IF(A551="C",LEFT(UPPER(D551)&amp;REPT(" ",2),2)," ")</f>
        <v/>
      </c>
      <c r="Z551" s="10">
        <f>IF(A551="C",LEFT(UPPER(E551)&amp;REPT(" ",15),15)," ")</f>
        <v/>
      </c>
      <c r="AA551" s="10">
        <f>REPT(" ",8)</f>
        <v/>
      </c>
      <c r="AB551" s="10">
        <f>REPT(" ",4)</f>
        <v/>
      </c>
      <c r="AC551" s="10">
        <f>LEFT(UPPER(H551)&amp;REPT(" ",250),250)</f>
        <v/>
      </c>
      <c r="AD551" s="10">
        <f>TEXT($G$2,"dd/mm/aaaa")</f>
        <v/>
      </c>
      <c r="AE551" s="10">
        <f>REPT(" ",10)</f>
        <v/>
      </c>
      <c r="AF551" s="10">
        <f>REPT(" ",20)</f>
        <v/>
      </c>
      <c r="AG551" s="54">
        <f>REPT(" ",18-LEN(FIXED(F551,2,TRUE)))&amp;FIXED(F551,2,TRUE)</f>
        <v/>
      </c>
      <c r="AH551" s="10">
        <f>LEN(AC551)+LEN(AG551)</f>
        <v/>
      </c>
      <c r="AI551" s="10">
        <f>LEN(L551)</f>
        <v/>
      </c>
    </row>
    <row r="552">
      <c r="A552" s="46" t="n"/>
      <c r="B552" s="38" t="n"/>
      <c r="C552" s="41" t="n"/>
      <c r="D552" s="41" t="n"/>
      <c r="E552" s="41" t="n"/>
      <c r="F552" s="88" t="n"/>
      <c r="G552" s="89" t="n"/>
      <c r="H552" s="37" t="n"/>
      <c r="I552" s="42" t="n"/>
      <c r="J552" s="12">
        <f>IF(F552&lt;&gt;0,"LANÇAR","")</f>
        <v/>
      </c>
      <c r="K552" s="20" t="n"/>
      <c r="L552" s="13">
        <f>N552&amp;O552&amp;P552&amp;Q552&amp;R552&amp;S552&amp;T552&amp;U552&amp;V552&amp;W552&amp;X552&amp;Y552&amp;Z552&amp;AA552&amp;AB552&amp;AC552&amp;AD552&amp;AE552&amp;AF552&amp;AG552</f>
        <v/>
      </c>
      <c r="M552" s="20" t="n"/>
      <c r="N552" s="10">
        <f>TEXT($B$6,"00")</f>
        <v/>
      </c>
      <c r="O552" s="10">
        <f>REPT(" ",8)</f>
        <v/>
      </c>
      <c r="P552" s="10">
        <f>RIGHT($B$4,2)</f>
        <v/>
      </c>
      <c r="Q552" s="10">
        <f>RIGHT($B$5,3)</f>
        <v/>
      </c>
      <c r="R552" s="10">
        <f>IF(A552="D",LEFT(UPPER(B552)&amp;REPT(" ",20),20),REPT(" ",20))</f>
        <v/>
      </c>
      <c r="S552" s="10">
        <f>IF(A552="D",LEFT(UPPER(C552)&amp;REPT(" ",10),10)," ")</f>
        <v/>
      </c>
      <c r="T552" s="10">
        <f>IF(A552="D",LEFT(UPPER(D552)&amp;REPT(" ",2),2)," ")</f>
        <v/>
      </c>
      <c r="U552" s="10">
        <f>IF(A552="D",LEFT(UPPER(E552)&amp;REPT(" ",15),15)," ")</f>
        <v/>
      </c>
      <c r="V552" s="10">
        <f>REPT(" ",24)</f>
        <v/>
      </c>
      <c r="W552" s="10">
        <f>IF(A552="c",LEFT(UPPER(B552)&amp;REPT(" ",20),20),REPT(" ",20))</f>
        <v/>
      </c>
      <c r="X552" s="10">
        <f>IF(A552="C",LEFT(UPPER(C552)&amp;REPT(" ",10),10)," ")</f>
        <v/>
      </c>
      <c r="Y552" s="10">
        <f>IF(A552="C",LEFT(UPPER(D552)&amp;REPT(" ",2),2)," ")</f>
        <v/>
      </c>
      <c r="Z552" s="10">
        <f>IF(A552="C",LEFT(UPPER(E552)&amp;REPT(" ",15),15)," ")</f>
        <v/>
      </c>
      <c r="AA552" s="10">
        <f>REPT(" ",8)</f>
        <v/>
      </c>
      <c r="AB552" s="10">
        <f>REPT(" ",4)</f>
        <v/>
      </c>
      <c r="AC552" s="10">
        <f>LEFT(UPPER(H552)&amp;REPT(" ",250),250)</f>
        <v/>
      </c>
      <c r="AD552" s="10">
        <f>TEXT($G$2,"dd/mm/aaaa")</f>
        <v/>
      </c>
      <c r="AE552" s="10">
        <f>REPT(" ",10)</f>
        <v/>
      </c>
      <c r="AF552" s="10">
        <f>REPT(" ",20)</f>
        <v/>
      </c>
      <c r="AG552" s="54">
        <f>REPT(" ",18-LEN(FIXED(F552,2,TRUE)))&amp;FIXED(F552,2,TRUE)</f>
        <v/>
      </c>
      <c r="AH552" s="10">
        <f>LEN(AC552)+LEN(AG552)</f>
        <v/>
      </c>
      <c r="AI552" s="10">
        <f>LEN(L552)</f>
        <v/>
      </c>
    </row>
    <row r="553">
      <c r="A553" s="46" t="n"/>
      <c r="B553" s="38" t="n"/>
      <c r="C553" s="41" t="n"/>
      <c r="D553" s="41" t="n"/>
      <c r="E553" s="41" t="n"/>
      <c r="F553" s="88" t="n"/>
      <c r="G553" s="89" t="n"/>
      <c r="H553" s="37" t="n"/>
      <c r="I553" s="42" t="n"/>
      <c r="J553" s="12">
        <f>IF(F553&lt;&gt;0,"LANÇAR","")</f>
        <v/>
      </c>
      <c r="K553" s="20" t="n"/>
      <c r="L553" s="13">
        <f>N553&amp;O553&amp;P553&amp;Q553&amp;R553&amp;S553&amp;T553&amp;U553&amp;V553&amp;W553&amp;X553&amp;Y553&amp;Z553&amp;AA553&amp;AB553&amp;AC553&amp;AD553&amp;AE553&amp;AF553&amp;AG553</f>
        <v/>
      </c>
      <c r="M553" s="20" t="n"/>
      <c r="N553" s="10">
        <f>TEXT($B$6,"00")</f>
        <v/>
      </c>
      <c r="O553" s="10">
        <f>REPT(" ",8)</f>
        <v/>
      </c>
      <c r="P553" s="10">
        <f>RIGHT($B$4,2)</f>
        <v/>
      </c>
      <c r="Q553" s="10">
        <f>RIGHT($B$5,3)</f>
        <v/>
      </c>
      <c r="R553" s="10">
        <f>IF(A553="D",LEFT(UPPER(B553)&amp;REPT(" ",20),20),REPT(" ",20))</f>
        <v/>
      </c>
      <c r="S553" s="10">
        <f>IF(A553="D",LEFT(UPPER(C553)&amp;REPT(" ",10),10)," ")</f>
        <v/>
      </c>
      <c r="T553" s="10">
        <f>IF(A553="D",LEFT(UPPER(D553)&amp;REPT(" ",2),2)," ")</f>
        <v/>
      </c>
      <c r="U553" s="10">
        <f>IF(A553="D",LEFT(UPPER(E553)&amp;REPT(" ",15),15)," ")</f>
        <v/>
      </c>
      <c r="V553" s="10">
        <f>REPT(" ",24)</f>
        <v/>
      </c>
      <c r="W553" s="10">
        <f>IF(A553="c",LEFT(UPPER(B553)&amp;REPT(" ",20),20),REPT(" ",20))</f>
        <v/>
      </c>
      <c r="X553" s="10">
        <f>IF(A553="C",LEFT(UPPER(C553)&amp;REPT(" ",10),10)," ")</f>
        <v/>
      </c>
      <c r="Y553" s="10">
        <f>IF(A553="C",LEFT(UPPER(D553)&amp;REPT(" ",2),2)," ")</f>
        <v/>
      </c>
      <c r="Z553" s="10">
        <f>IF(A553="C",LEFT(UPPER(E553)&amp;REPT(" ",15),15)," ")</f>
        <v/>
      </c>
      <c r="AA553" s="10">
        <f>REPT(" ",8)</f>
        <v/>
      </c>
      <c r="AB553" s="10">
        <f>REPT(" ",4)</f>
        <v/>
      </c>
      <c r="AC553" s="10">
        <f>LEFT(UPPER(H553)&amp;REPT(" ",250),250)</f>
        <v/>
      </c>
      <c r="AD553" s="10">
        <f>TEXT($G$2,"dd/mm/aaaa")</f>
        <v/>
      </c>
      <c r="AE553" s="10">
        <f>REPT(" ",10)</f>
        <v/>
      </c>
      <c r="AF553" s="10">
        <f>REPT(" ",20)</f>
        <v/>
      </c>
      <c r="AG553" s="54">
        <f>REPT(" ",18-LEN(FIXED(F553,2,TRUE)))&amp;FIXED(F553,2,TRUE)</f>
        <v/>
      </c>
      <c r="AH553" s="10">
        <f>LEN(AC553)+LEN(AG553)</f>
        <v/>
      </c>
      <c r="AI553" s="10">
        <f>LEN(L553)</f>
        <v/>
      </c>
    </row>
    <row r="554">
      <c r="A554" s="46" t="n"/>
      <c r="B554" s="38" t="n"/>
      <c r="C554" s="41" t="n"/>
      <c r="D554" s="41" t="n"/>
      <c r="E554" s="41" t="n"/>
      <c r="F554" s="88" t="n"/>
      <c r="G554" s="89" t="n"/>
      <c r="H554" s="37" t="n"/>
      <c r="I554" s="42" t="n"/>
      <c r="J554" s="12">
        <f>IF(F554&lt;&gt;0,"LANÇAR","")</f>
        <v/>
      </c>
      <c r="K554" s="20" t="n"/>
      <c r="L554" s="13">
        <f>N554&amp;O554&amp;P554&amp;Q554&amp;R554&amp;S554&amp;T554&amp;U554&amp;V554&amp;W554&amp;X554&amp;Y554&amp;Z554&amp;AA554&amp;AB554&amp;AC554&amp;AD554&amp;AE554&amp;AF554&amp;AG554</f>
        <v/>
      </c>
      <c r="M554" s="20" t="n"/>
      <c r="N554" s="10">
        <f>TEXT($B$6,"00")</f>
        <v/>
      </c>
      <c r="O554" s="10">
        <f>REPT(" ",8)</f>
        <v/>
      </c>
      <c r="P554" s="10">
        <f>RIGHT($B$4,2)</f>
        <v/>
      </c>
      <c r="Q554" s="10">
        <f>RIGHT($B$5,3)</f>
        <v/>
      </c>
      <c r="R554" s="10">
        <f>IF(A554="D",LEFT(UPPER(B554)&amp;REPT(" ",20),20),REPT(" ",20))</f>
        <v/>
      </c>
      <c r="S554" s="10">
        <f>IF(A554="D",LEFT(UPPER(C554)&amp;REPT(" ",10),10)," ")</f>
        <v/>
      </c>
      <c r="T554" s="10">
        <f>IF(A554="D",LEFT(UPPER(D554)&amp;REPT(" ",2),2)," ")</f>
        <v/>
      </c>
      <c r="U554" s="10">
        <f>IF(A554="D",LEFT(UPPER(E554)&amp;REPT(" ",15),15)," ")</f>
        <v/>
      </c>
      <c r="V554" s="10">
        <f>REPT(" ",24)</f>
        <v/>
      </c>
      <c r="W554" s="10">
        <f>IF(A554="c",LEFT(UPPER(B554)&amp;REPT(" ",20),20),REPT(" ",20))</f>
        <v/>
      </c>
      <c r="X554" s="10">
        <f>IF(A554="C",LEFT(UPPER(C554)&amp;REPT(" ",10),10)," ")</f>
        <v/>
      </c>
      <c r="Y554" s="10">
        <f>IF(A554="C",LEFT(UPPER(D554)&amp;REPT(" ",2),2)," ")</f>
        <v/>
      </c>
      <c r="Z554" s="10">
        <f>IF(A554="C",LEFT(UPPER(E554)&amp;REPT(" ",15),15)," ")</f>
        <v/>
      </c>
      <c r="AA554" s="10">
        <f>REPT(" ",8)</f>
        <v/>
      </c>
      <c r="AB554" s="10">
        <f>REPT(" ",4)</f>
        <v/>
      </c>
      <c r="AC554" s="10">
        <f>LEFT(UPPER(H554)&amp;REPT(" ",250),250)</f>
        <v/>
      </c>
      <c r="AD554" s="10">
        <f>TEXT($G$2,"dd/mm/aaaa")</f>
        <v/>
      </c>
      <c r="AE554" s="10">
        <f>REPT(" ",10)</f>
        <v/>
      </c>
      <c r="AF554" s="10">
        <f>REPT(" ",20)</f>
        <v/>
      </c>
      <c r="AG554" s="54">
        <f>REPT(" ",18-LEN(FIXED(F554,2,TRUE)))&amp;FIXED(F554,2,TRUE)</f>
        <v/>
      </c>
      <c r="AH554" s="10">
        <f>LEN(AC554)+LEN(AG554)</f>
        <v/>
      </c>
      <c r="AI554" s="10">
        <f>LEN(L554)</f>
        <v/>
      </c>
    </row>
    <row r="555">
      <c r="A555" s="46" t="n"/>
      <c r="B555" s="38" t="n"/>
      <c r="C555" s="41" t="n"/>
      <c r="D555" s="41" t="n"/>
      <c r="E555" s="41" t="n"/>
      <c r="F555" s="88" t="n"/>
      <c r="G555" s="89" t="n"/>
      <c r="H555" s="37" t="n"/>
      <c r="I555" s="42" t="n"/>
      <c r="J555" s="12">
        <f>IF(F555&lt;&gt;0,"LANÇAR","")</f>
        <v/>
      </c>
      <c r="K555" s="20" t="n"/>
      <c r="L555" s="13">
        <f>N555&amp;O555&amp;P555&amp;Q555&amp;R555&amp;S555&amp;T555&amp;U555&amp;V555&amp;W555&amp;X555&amp;Y555&amp;Z555&amp;AA555&amp;AB555&amp;AC555&amp;AD555&amp;AE555&amp;AF555&amp;AG555</f>
        <v/>
      </c>
      <c r="M555" s="20" t="n"/>
      <c r="N555" s="10">
        <f>TEXT($B$6,"00")</f>
        <v/>
      </c>
      <c r="O555" s="10">
        <f>REPT(" ",8)</f>
        <v/>
      </c>
      <c r="P555" s="10">
        <f>RIGHT($B$4,2)</f>
        <v/>
      </c>
      <c r="Q555" s="10">
        <f>RIGHT($B$5,3)</f>
        <v/>
      </c>
      <c r="R555" s="10">
        <f>IF(A555="D",LEFT(UPPER(B555)&amp;REPT(" ",20),20),REPT(" ",20))</f>
        <v/>
      </c>
      <c r="S555" s="10">
        <f>IF(A555="D",LEFT(UPPER(C555)&amp;REPT(" ",10),10)," ")</f>
        <v/>
      </c>
      <c r="T555" s="10">
        <f>IF(A555="D",LEFT(UPPER(D555)&amp;REPT(" ",2),2)," ")</f>
        <v/>
      </c>
      <c r="U555" s="10">
        <f>IF(A555="D",LEFT(UPPER(E555)&amp;REPT(" ",15),15)," ")</f>
        <v/>
      </c>
      <c r="V555" s="10">
        <f>REPT(" ",24)</f>
        <v/>
      </c>
      <c r="W555" s="10">
        <f>IF(A555="c",LEFT(UPPER(B555)&amp;REPT(" ",20),20),REPT(" ",20))</f>
        <v/>
      </c>
      <c r="X555" s="10">
        <f>IF(A555="C",LEFT(UPPER(C555)&amp;REPT(" ",10),10)," ")</f>
        <v/>
      </c>
      <c r="Y555" s="10">
        <f>IF(A555="C",LEFT(UPPER(D555)&amp;REPT(" ",2),2)," ")</f>
        <v/>
      </c>
      <c r="Z555" s="10">
        <f>IF(A555="C",LEFT(UPPER(E555)&amp;REPT(" ",15),15)," ")</f>
        <v/>
      </c>
      <c r="AA555" s="10">
        <f>REPT(" ",8)</f>
        <v/>
      </c>
      <c r="AB555" s="10">
        <f>REPT(" ",4)</f>
        <v/>
      </c>
      <c r="AC555" s="10">
        <f>LEFT(UPPER(H555)&amp;REPT(" ",250),250)</f>
        <v/>
      </c>
      <c r="AD555" s="10">
        <f>TEXT($G$2,"dd/mm/aaaa")</f>
        <v/>
      </c>
      <c r="AE555" s="10">
        <f>REPT(" ",10)</f>
        <v/>
      </c>
      <c r="AF555" s="10">
        <f>REPT(" ",20)</f>
        <v/>
      </c>
      <c r="AG555" s="54">
        <f>REPT(" ",18-LEN(FIXED(F555,2,TRUE)))&amp;FIXED(F555,2,TRUE)</f>
        <v/>
      </c>
      <c r="AH555" s="10">
        <f>LEN(AC555)+LEN(AG555)</f>
        <v/>
      </c>
      <c r="AI555" s="10">
        <f>LEN(L555)</f>
        <v/>
      </c>
    </row>
    <row r="556">
      <c r="A556" s="46" t="n"/>
      <c r="B556" s="38" t="n"/>
      <c r="C556" s="41" t="n"/>
      <c r="D556" s="41" t="n"/>
      <c r="E556" s="41" t="n"/>
      <c r="F556" s="88" t="n"/>
      <c r="G556" s="89" t="n"/>
      <c r="H556" s="37" t="n"/>
      <c r="I556" s="42" t="n"/>
      <c r="J556" s="12">
        <f>IF(F556&lt;&gt;0,"LANÇAR","")</f>
        <v/>
      </c>
      <c r="K556" s="20" t="n"/>
      <c r="L556" s="13">
        <f>N556&amp;O556&amp;P556&amp;Q556&amp;R556&amp;S556&amp;T556&amp;U556&amp;V556&amp;W556&amp;X556&amp;Y556&amp;Z556&amp;AA556&amp;AB556&amp;AC556&amp;AD556&amp;AE556&amp;AF556&amp;AG556</f>
        <v/>
      </c>
      <c r="M556" s="20" t="n"/>
      <c r="N556" s="10">
        <f>TEXT($B$6,"00")</f>
        <v/>
      </c>
      <c r="O556" s="10">
        <f>REPT(" ",8)</f>
        <v/>
      </c>
      <c r="P556" s="10">
        <f>RIGHT($B$4,2)</f>
        <v/>
      </c>
      <c r="Q556" s="10">
        <f>RIGHT($B$5,3)</f>
        <v/>
      </c>
      <c r="R556" s="10">
        <f>IF(A556="D",LEFT(UPPER(B556)&amp;REPT(" ",20),20),REPT(" ",20))</f>
        <v/>
      </c>
      <c r="S556" s="10">
        <f>IF(A556="D",LEFT(UPPER(C556)&amp;REPT(" ",10),10)," ")</f>
        <v/>
      </c>
      <c r="T556" s="10">
        <f>IF(A556="D",LEFT(UPPER(D556)&amp;REPT(" ",2),2)," ")</f>
        <v/>
      </c>
      <c r="U556" s="10">
        <f>IF(A556="D",LEFT(UPPER(E556)&amp;REPT(" ",15),15)," ")</f>
        <v/>
      </c>
      <c r="V556" s="10">
        <f>REPT(" ",24)</f>
        <v/>
      </c>
      <c r="W556" s="10">
        <f>IF(A556="c",LEFT(UPPER(B556)&amp;REPT(" ",20),20),REPT(" ",20))</f>
        <v/>
      </c>
      <c r="X556" s="10">
        <f>IF(A556="C",LEFT(UPPER(C556)&amp;REPT(" ",10),10)," ")</f>
        <v/>
      </c>
      <c r="Y556" s="10">
        <f>IF(A556="C",LEFT(UPPER(D556)&amp;REPT(" ",2),2)," ")</f>
        <v/>
      </c>
      <c r="Z556" s="10">
        <f>IF(A556="C",LEFT(UPPER(E556)&amp;REPT(" ",15),15)," ")</f>
        <v/>
      </c>
      <c r="AA556" s="10">
        <f>REPT(" ",8)</f>
        <v/>
      </c>
      <c r="AB556" s="10">
        <f>REPT(" ",4)</f>
        <v/>
      </c>
      <c r="AC556" s="10">
        <f>LEFT(UPPER(H556)&amp;REPT(" ",250),250)</f>
        <v/>
      </c>
      <c r="AD556" s="10">
        <f>TEXT($G$2,"dd/mm/aaaa")</f>
        <v/>
      </c>
      <c r="AE556" s="10">
        <f>REPT(" ",10)</f>
        <v/>
      </c>
      <c r="AF556" s="10">
        <f>REPT(" ",20)</f>
        <v/>
      </c>
      <c r="AG556" s="54">
        <f>REPT(" ",18-LEN(FIXED(F556,2,TRUE)))&amp;FIXED(F556,2,TRUE)</f>
        <v/>
      </c>
      <c r="AH556" s="10">
        <f>LEN(AC556)+LEN(AG556)</f>
        <v/>
      </c>
      <c r="AI556" s="10">
        <f>LEN(L556)</f>
        <v/>
      </c>
    </row>
    <row r="557">
      <c r="A557" s="46" t="n"/>
      <c r="B557" s="38" t="n"/>
      <c r="C557" s="41" t="n"/>
      <c r="D557" s="41" t="n"/>
      <c r="E557" s="41" t="n"/>
      <c r="F557" s="88" t="n"/>
      <c r="G557" s="89" t="n"/>
      <c r="H557" s="37" t="n"/>
      <c r="I557" s="42" t="n"/>
      <c r="J557" s="12">
        <f>IF(F557&lt;&gt;0,"LANÇAR","")</f>
        <v/>
      </c>
      <c r="K557" s="20" t="n"/>
      <c r="L557" s="13">
        <f>N557&amp;O557&amp;P557&amp;Q557&amp;R557&amp;S557&amp;T557&amp;U557&amp;V557&amp;W557&amp;X557&amp;Y557&amp;Z557&amp;AA557&amp;AB557&amp;AC557&amp;AD557&amp;AE557&amp;AF557&amp;AG557</f>
        <v/>
      </c>
      <c r="M557" s="20" t="n"/>
      <c r="N557" s="10">
        <f>TEXT($B$6,"00")</f>
        <v/>
      </c>
      <c r="O557" s="10">
        <f>REPT(" ",8)</f>
        <v/>
      </c>
      <c r="P557" s="10">
        <f>RIGHT($B$4,2)</f>
        <v/>
      </c>
      <c r="Q557" s="10">
        <f>RIGHT($B$5,3)</f>
        <v/>
      </c>
      <c r="R557" s="10">
        <f>IF(A557="D",LEFT(UPPER(B557)&amp;REPT(" ",20),20),REPT(" ",20))</f>
        <v/>
      </c>
      <c r="S557" s="10">
        <f>IF(A557="D",LEFT(UPPER(C557)&amp;REPT(" ",10),10)," ")</f>
        <v/>
      </c>
      <c r="T557" s="10">
        <f>IF(A557="D",LEFT(UPPER(D557)&amp;REPT(" ",2),2)," ")</f>
        <v/>
      </c>
      <c r="U557" s="10">
        <f>IF(A557="D",LEFT(UPPER(E557)&amp;REPT(" ",15),15)," ")</f>
        <v/>
      </c>
      <c r="V557" s="10">
        <f>REPT(" ",24)</f>
        <v/>
      </c>
      <c r="W557" s="10">
        <f>IF(A557="c",LEFT(UPPER(B557)&amp;REPT(" ",20),20),REPT(" ",20))</f>
        <v/>
      </c>
      <c r="X557" s="10">
        <f>IF(A557="C",LEFT(UPPER(C557)&amp;REPT(" ",10),10)," ")</f>
        <v/>
      </c>
      <c r="Y557" s="10">
        <f>IF(A557="C",LEFT(UPPER(D557)&amp;REPT(" ",2),2)," ")</f>
        <v/>
      </c>
      <c r="Z557" s="10">
        <f>IF(A557="C",LEFT(UPPER(E557)&amp;REPT(" ",15),15)," ")</f>
        <v/>
      </c>
      <c r="AA557" s="10">
        <f>REPT(" ",8)</f>
        <v/>
      </c>
      <c r="AB557" s="10">
        <f>REPT(" ",4)</f>
        <v/>
      </c>
      <c r="AC557" s="10">
        <f>LEFT(UPPER(H557)&amp;REPT(" ",250),250)</f>
        <v/>
      </c>
      <c r="AD557" s="10">
        <f>TEXT($G$2,"dd/mm/aaaa")</f>
        <v/>
      </c>
      <c r="AE557" s="10">
        <f>REPT(" ",10)</f>
        <v/>
      </c>
      <c r="AF557" s="10">
        <f>REPT(" ",20)</f>
        <v/>
      </c>
      <c r="AG557" s="54">
        <f>REPT(" ",18-LEN(FIXED(F557,2,TRUE)))&amp;FIXED(F557,2,TRUE)</f>
        <v/>
      </c>
      <c r="AH557" s="10">
        <f>LEN(AC557)+LEN(AG557)</f>
        <v/>
      </c>
      <c r="AI557" s="10">
        <f>LEN(L557)</f>
        <v/>
      </c>
    </row>
    <row r="558">
      <c r="A558" s="46" t="n"/>
      <c r="B558" s="38" t="n"/>
      <c r="C558" s="41" t="n"/>
      <c r="D558" s="41" t="n"/>
      <c r="E558" s="41" t="n"/>
      <c r="F558" s="88" t="n"/>
      <c r="G558" s="89" t="n"/>
      <c r="H558" s="37" t="n"/>
      <c r="I558" s="42" t="n"/>
      <c r="J558" s="12">
        <f>IF(F558&lt;&gt;0,"LANÇAR","")</f>
        <v/>
      </c>
      <c r="K558" s="20" t="n"/>
      <c r="L558" s="13">
        <f>N558&amp;O558&amp;P558&amp;Q558&amp;R558&amp;S558&amp;T558&amp;U558&amp;V558&amp;W558&amp;X558&amp;Y558&amp;Z558&amp;AA558&amp;AB558&amp;AC558&amp;AD558&amp;AE558&amp;AF558&amp;AG558</f>
        <v/>
      </c>
      <c r="M558" s="20" t="n"/>
      <c r="N558" s="10">
        <f>TEXT($B$6,"00")</f>
        <v/>
      </c>
      <c r="O558" s="10">
        <f>REPT(" ",8)</f>
        <v/>
      </c>
      <c r="P558" s="10">
        <f>RIGHT($B$4,2)</f>
        <v/>
      </c>
      <c r="Q558" s="10">
        <f>RIGHT($B$5,3)</f>
        <v/>
      </c>
      <c r="R558" s="10">
        <f>IF(A558="D",LEFT(UPPER(B558)&amp;REPT(" ",20),20),REPT(" ",20))</f>
        <v/>
      </c>
      <c r="S558" s="10">
        <f>IF(A558="D",LEFT(UPPER(C558)&amp;REPT(" ",10),10)," ")</f>
        <v/>
      </c>
      <c r="T558" s="10">
        <f>IF(A558="D",LEFT(UPPER(D558)&amp;REPT(" ",2),2)," ")</f>
        <v/>
      </c>
      <c r="U558" s="10">
        <f>IF(A558="D",LEFT(UPPER(E558)&amp;REPT(" ",15),15)," ")</f>
        <v/>
      </c>
      <c r="V558" s="10">
        <f>REPT(" ",24)</f>
        <v/>
      </c>
      <c r="W558" s="10">
        <f>IF(A558="c",LEFT(UPPER(B558)&amp;REPT(" ",20),20),REPT(" ",20))</f>
        <v/>
      </c>
      <c r="X558" s="10">
        <f>IF(A558="C",LEFT(UPPER(C558)&amp;REPT(" ",10),10)," ")</f>
        <v/>
      </c>
      <c r="Y558" s="10">
        <f>IF(A558="C",LEFT(UPPER(D558)&amp;REPT(" ",2),2)," ")</f>
        <v/>
      </c>
      <c r="Z558" s="10">
        <f>IF(A558="C",LEFT(UPPER(E558)&amp;REPT(" ",15),15)," ")</f>
        <v/>
      </c>
      <c r="AA558" s="10">
        <f>REPT(" ",8)</f>
        <v/>
      </c>
      <c r="AB558" s="10">
        <f>REPT(" ",4)</f>
        <v/>
      </c>
      <c r="AC558" s="10">
        <f>LEFT(UPPER(H558)&amp;REPT(" ",250),250)</f>
        <v/>
      </c>
      <c r="AD558" s="10">
        <f>TEXT($G$2,"dd/mm/aaaa")</f>
        <v/>
      </c>
      <c r="AE558" s="10">
        <f>REPT(" ",10)</f>
        <v/>
      </c>
      <c r="AF558" s="10">
        <f>REPT(" ",20)</f>
        <v/>
      </c>
      <c r="AG558" s="54">
        <f>REPT(" ",18-LEN(FIXED(F558,2,TRUE)))&amp;FIXED(F558,2,TRUE)</f>
        <v/>
      </c>
      <c r="AH558" s="10">
        <f>LEN(AC558)+LEN(AG558)</f>
        <v/>
      </c>
      <c r="AI558" s="10">
        <f>LEN(L558)</f>
        <v/>
      </c>
    </row>
    <row r="559">
      <c r="A559" s="46" t="n"/>
      <c r="B559" s="38" t="n"/>
      <c r="C559" s="41" t="n"/>
      <c r="D559" s="41" t="n"/>
      <c r="E559" s="41" t="n"/>
      <c r="F559" s="88" t="n"/>
      <c r="G559" s="89" t="n"/>
      <c r="H559" s="37" t="n"/>
      <c r="I559" s="42" t="n"/>
      <c r="J559" s="12">
        <f>IF(F559&lt;&gt;0,"LANÇAR","")</f>
        <v/>
      </c>
      <c r="K559" s="20" t="n"/>
      <c r="L559" s="13">
        <f>N559&amp;O559&amp;P559&amp;Q559&amp;R559&amp;S559&amp;T559&amp;U559&amp;V559&amp;W559&amp;X559&amp;Y559&amp;Z559&amp;AA559&amp;AB559&amp;AC559&amp;AD559&amp;AE559&amp;AF559&amp;AG559</f>
        <v/>
      </c>
      <c r="M559" s="20" t="n"/>
      <c r="N559" s="10">
        <f>TEXT($B$6,"00")</f>
        <v/>
      </c>
      <c r="O559" s="10">
        <f>REPT(" ",8)</f>
        <v/>
      </c>
      <c r="P559" s="10">
        <f>RIGHT($B$4,2)</f>
        <v/>
      </c>
      <c r="Q559" s="10">
        <f>RIGHT($B$5,3)</f>
        <v/>
      </c>
      <c r="R559" s="10">
        <f>IF(A559="D",LEFT(UPPER(B559)&amp;REPT(" ",20),20),REPT(" ",20))</f>
        <v/>
      </c>
      <c r="S559" s="10">
        <f>IF(A559="D",LEFT(UPPER(C559)&amp;REPT(" ",10),10)," ")</f>
        <v/>
      </c>
      <c r="T559" s="10">
        <f>IF(A559="D",LEFT(UPPER(D559)&amp;REPT(" ",2),2)," ")</f>
        <v/>
      </c>
      <c r="U559" s="10">
        <f>IF(A559="D",LEFT(UPPER(E559)&amp;REPT(" ",15),15)," ")</f>
        <v/>
      </c>
      <c r="V559" s="10">
        <f>REPT(" ",24)</f>
        <v/>
      </c>
      <c r="W559" s="10">
        <f>IF(A559="c",LEFT(UPPER(B559)&amp;REPT(" ",20),20),REPT(" ",20))</f>
        <v/>
      </c>
      <c r="X559" s="10">
        <f>IF(A559="C",LEFT(UPPER(C559)&amp;REPT(" ",10),10)," ")</f>
        <v/>
      </c>
      <c r="Y559" s="10">
        <f>IF(A559="C",LEFT(UPPER(D559)&amp;REPT(" ",2),2)," ")</f>
        <v/>
      </c>
      <c r="Z559" s="10">
        <f>IF(A559="C",LEFT(UPPER(E559)&amp;REPT(" ",15),15)," ")</f>
        <v/>
      </c>
      <c r="AA559" s="10">
        <f>REPT(" ",8)</f>
        <v/>
      </c>
      <c r="AB559" s="10">
        <f>REPT(" ",4)</f>
        <v/>
      </c>
      <c r="AC559" s="10">
        <f>LEFT(UPPER(H559)&amp;REPT(" ",250),250)</f>
        <v/>
      </c>
      <c r="AD559" s="10">
        <f>TEXT($G$2,"dd/mm/aaaa")</f>
        <v/>
      </c>
      <c r="AE559" s="10">
        <f>REPT(" ",10)</f>
        <v/>
      </c>
      <c r="AF559" s="10">
        <f>REPT(" ",20)</f>
        <v/>
      </c>
      <c r="AG559" s="54">
        <f>REPT(" ",18-LEN(FIXED(F559,2,TRUE)))&amp;FIXED(F559,2,TRUE)</f>
        <v/>
      </c>
      <c r="AH559" s="10">
        <f>LEN(AC559)+LEN(AG559)</f>
        <v/>
      </c>
      <c r="AI559" s="10">
        <f>LEN(L559)</f>
        <v/>
      </c>
    </row>
    <row r="560">
      <c r="A560" s="46" t="n"/>
      <c r="B560" s="38" t="n"/>
      <c r="C560" s="41" t="n"/>
      <c r="D560" s="41" t="n"/>
      <c r="E560" s="41" t="n"/>
      <c r="F560" s="88" t="n"/>
      <c r="G560" s="89" t="n"/>
      <c r="H560" s="37" t="n"/>
      <c r="I560" s="42" t="n"/>
      <c r="J560" s="12">
        <f>IF(F560&lt;&gt;0,"LANÇAR","")</f>
        <v/>
      </c>
      <c r="K560" s="20" t="n"/>
      <c r="L560" s="13">
        <f>N560&amp;O560&amp;P560&amp;Q560&amp;R560&amp;S560&amp;T560&amp;U560&amp;V560&amp;W560&amp;X560&amp;Y560&amp;Z560&amp;AA560&amp;AB560&amp;AC560&amp;AD560&amp;AE560&amp;AF560&amp;AG560</f>
        <v/>
      </c>
      <c r="M560" s="20" t="n"/>
      <c r="N560" s="10">
        <f>TEXT($B$6,"00")</f>
        <v/>
      </c>
      <c r="O560" s="10">
        <f>REPT(" ",8)</f>
        <v/>
      </c>
      <c r="P560" s="10">
        <f>RIGHT($B$4,2)</f>
        <v/>
      </c>
      <c r="Q560" s="10">
        <f>RIGHT($B$5,3)</f>
        <v/>
      </c>
      <c r="R560" s="10">
        <f>IF(A560="D",LEFT(UPPER(B560)&amp;REPT(" ",20),20),REPT(" ",20))</f>
        <v/>
      </c>
      <c r="S560" s="10">
        <f>IF(A560="D",LEFT(UPPER(C560)&amp;REPT(" ",10),10)," ")</f>
        <v/>
      </c>
      <c r="T560" s="10">
        <f>IF(A560="D",LEFT(UPPER(D560)&amp;REPT(" ",2),2)," ")</f>
        <v/>
      </c>
      <c r="U560" s="10">
        <f>IF(A560="D",LEFT(UPPER(E560)&amp;REPT(" ",15),15)," ")</f>
        <v/>
      </c>
      <c r="V560" s="10">
        <f>REPT(" ",24)</f>
        <v/>
      </c>
      <c r="W560" s="10">
        <f>IF(A560="c",LEFT(UPPER(B560)&amp;REPT(" ",20),20),REPT(" ",20))</f>
        <v/>
      </c>
      <c r="X560" s="10">
        <f>IF(A560="C",LEFT(UPPER(C560)&amp;REPT(" ",10),10)," ")</f>
        <v/>
      </c>
      <c r="Y560" s="10">
        <f>IF(A560="C",LEFT(UPPER(D560)&amp;REPT(" ",2),2)," ")</f>
        <v/>
      </c>
      <c r="Z560" s="10">
        <f>IF(A560="C",LEFT(UPPER(E560)&amp;REPT(" ",15),15)," ")</f>
        <v/>
      </c>
      <c r="AA560" s="10">
        <f>REPT(" ",8)</f>
        <v/>
      </c>
      <c r="AB560" s="10">
        <f>REPT(" ",4)</f>
        <v/>
      </c>
      <c r="AC560" s="10">
        <f>LEFT(UPPER(H560)&amp;REPT(" ",250),250)</f>
        <v/>
      </c>
      <c r="AD560" s="10">
        <f>TEXT($G$2,"dd/mm/aaaa")</f>
        <v/>
      </c>
      <c r="AE560" s="10">
        <f>REPT(" ",10)</f>
        <v/>
      </c>
      <c r="AF560" s="10">
        <f>REPT(" ",20)</f>
        <v/>
      </c>
      <c r="AG560" s="54">
        <f>REPT(" ",18-LEN(FIXED(F560,2,TRUE)))&amp;FIXED(F560,2,TRUE)</f>
        <v/>
      </c>
      <c r="AH560" s="10">
        <f>LEN(AC560)+LEN(AG560)</f>
        <v/>
      </c>
      <c r="AI560" s="10">
        <f>LEN(L560)</f>
        <v/>
      </c>
    </row>
    <row r="561">
      <c r="A561" s="46" t="n"/>
      <c r="B561" s="38" t="n"/>
      <c r="C561" s="41" t="n"/>
      <c r="D561" s="41" t="n"/>
      <c r="E561" s="41" t="n"/>
      <c r="F561" s="88" t="n"/>
      <c r="G561" s="89" t="n"/>
      <c r="H561" s="37" t="n"/>
      <c r="I561" s="42" t="n"/>
      <c r="J561" s="12">
        <f>IF(F561&lt;&gt;0,"LANÇAR","")</f>
        <v/>
      </c>
      <c r="K561" s="20" t="n"/>
      <c r="L561" s="13">
        <f>N561&amp;O561&amp;P561&amp;Q561&amp;R561&amp;S561&amp;T561&amp;U561&amp;V561&amp;W561&amp;X561&amp;Y561&amp;Z561&amp;AA561&amp;AB561&amp;AC561&amp;AD561&amp;AE561&amp;AF561&amp;AG561</f>
        <v/>
      </c>
      <c r="M561" s="20" t="n"/>
      <c r="N561" s="10">
        <f>TEXT($B$6,"00")</f>
        <v/>
      </c>
      <c r="O561" s="10">
        <f>REPT(" ",8)</f>
        <v/>
      </c>
      <c r="P561" s="10">
        <f>RIGHT($B$4,2)</f>
        <v/>
      </c>
      <c r="Q561" s="10">
        <f>RIGHT($B$5,3)</f>
        <v/>
      </c>
      <c r="R561" s="10">
        <f>IF(A561="D",LEFT(UPPER(B561)&amp;REPT(" ",20),20),REPT(" ",20))</f>
        <v/>
      </c>
      <c r="S561" s="10">
        <f>IF(A561="D",LEFT(UPPER(C561)&amp;REPT(" ",10),10)," ")</f>
        <v/>
      </c>
      <c r="T561" s="10">
        <f>IF(A561="D",LEFT(UPPER(D561)&amp;REPT(" ",2),2)," ")</f>
        <v/>
      </c>
      <c r="U561" s="10">
        <f>IF(A561="D",LEFT(UPPER(E561)&amp;REPT(" ",15),15)," ")</f>
        <v/>
      </c>
      <c r="V561" s="10">
        <f>REPT(" ",24)</f>
        <v/>
      </c>
      <c r="W561" s="10">
        <f>IF(A561="c",LEFT(UPPER(B561)&amp;REPT(" ",20),20),REPT(" ",20))</f>
        <v/>
      </c>
      <c r="X561" s="10">
        <f>IF(A561="C",LEFT(UPPER(C561)&amp;REPT(" ",10),10)," ")</f>
        <v/>
      </c>
      <c r="Y561" s="10">
        <f>IF(A561="C",LEFT(UPPER(D561)&amp;REPT(" ",2),2)," ")</f>
        <v/>
      </c>
      <c r="Z561" s="10">
        <f>IF(A561="C",LEFT(UPPER(E561)&amp;REPT(" ",15),15)," ")</f>
        <v/>
      </c>
      <c r="AA561" s="10">
        <f>REPT(" ",8)</f>
        <v/>
      </c>
      <c r="AB561" s="10">
        <f>REPT(" ",4)</f>
        <v/>
      </c>
      <c r="AC561" s="10">
        <f>LEFT(UPPER(H561)&amp;REPT(" ",250),250)</f>
        <v/>
      </c>
      <c r="AD561" s="10">
        <f>TEXT($G$2,"dd/mm/aaaa")</f>
        <v/>
      </c>
      <c r="AE561" s="10">
        <f>REPT(" ",10)</f>
        <v/>
      </c>
      <c r="AF561" s="10">
        <f>REPT(" ",20)</f>
        <v/>
      </c>
      <c r="AG561" s="54">
        <f>REPT(" ",18-LEN(FIXED(F561,2,TRUE)))&amp;FIXED(F561,2,TRUE)</f>
        <v/>
      </c>
      <c r="AH561" s="10">
        <f>LEN(AC561)+LEN(AG561)</f>
        <v/>
      </c>
      <c r="AI561" s="10">
        <f>LEN(L561)</f>
        <v/>
      </c>
    </row>
    <row r="562">
      <c r="A562" s="46" t="n"/>
      <c r="B562" s="38" t="n"/>
      <c r="C562" s="41" t="n"/>
      <c r="D562" s="41" t="n"/>
      <c r="E562" s="41" t="n"/>
      <c r="F562" s="88" t="n"/>
      <c r="G562" s="89" t="n"/>
      <c r="H562" s="37" t="n"/>
      <c r="I562" s="42" t="n"/>
      <c r="J562" s="12">
        <f>IF(F562&lt;&gt;0,"LANÇAR","")</f>
        <v/>
      </c>
      <c r="K562" s="20" t="n"/>
      <c r="L562" s="13">
        <f>N562&amp;O562&amp;P562&amp;Q562&amp;R562&amp;S562&amp;T562&amp;U562&amp;V562&amp;W562&amp;X562&amp;Y562&amp;Z562&amp;AA562&amp;AB562&amp;AC562&amp;AD562&amp;AE562&amp;AF562&amp;AG562</f>
        <v/>
      </c>
      <c r="M562" s="20" t="n"/>
      <c r="N562" s="10">
        <f>TEXT($B$6,"00")</f>
        <v/>
      </c>
      <c r="O562" s="10">
        <f>REPT(" ",8)</f>
        <v/>
      </c>
      <c r="P562" s="10">
        <f>RIGHT($B$4,2)</f>
        <v/>
      </c>
      <c r="Q562" s="10">
        <f>RIGHT($B$5,3)</f>
        <v/>
      </c>
      <c r="R562" s="10">
        <f>IF(A562="D",LEFT(UPPER(B562)&amp;REPT(" ",20),20),REPT(" ",20))</f>
        <v/>
      </c>
      <c r="S562" s="10">
        <f>IF(A562="D",LEFT(UPPER(C562)&amp;REPT(" ",10),10)," ")</f>
        <v/>
      </c>
      <c r="T562" s="10">
        <f>IF(A562="D",LEFT(UPPER(D562)&amp;REPT(" ",2),2)," ")</f>
        <v/>
      </c>
      <c r="U562" s="10">
        <f>IF(A562="D",LEFT(UPPER(E562)&amp;REPT(" ",15),15)," ")</f>
        <v/>
      </c>
      <c r="V562" s="10">
        <f>REPT(" ",24)</f>
        <v/>
      </c>
      <c r="W562" s="10">
        <f>IF(A562="c",LEFT(UPPER(B562)&amp;REPT(" ",20),20),REPT(" ",20))</f>
        <v/>
      </c>
      <c r="X562" s="10">
        <f>IF(A562="C",LEFT(UPPER(C562)&amp;REPT(" ",10),10)," ")</f>
        <v/>
      </c>
      <c r="Y562" s="10">
        <f>IF(A562="C",LEFT(UPPER(D562)&amp;REPT(" ",2),2)," ")</f>
        <v/>
      </c>
      <c r="Z562" s="10">
        <f>IF(A562="C",LEFT(UPPER(E562)&amp;REPT(" ",15),15)," ")</f>
        <v/>
      </c>
      <c r="AA562" s="10">
        <f>REPT(" ",8)</f>
        <v/>
      </c>
      <c r="AB562" s="10">
        <f>REPT(" ",4)</f>
        <v/>
      </c>
      <c r="AC562" s="10">
        <f>LEFT(UPPER(H562)&amp;REPT(" ",250),250)</f>
        <v/>
      </c>
      <c r="AD562" s="10">
        <f>TEXT($G$2,"dd/mm/aaaa")</f>
        <v/>
      </c>
      <c r="AE562" s="10">
        <f>REPT(" ",10)</f>
        <v/>
      </c>
      <c r="AF562" s="10">
        <f>REPT(" ",20)</f>
        <v/>
      </c>
      <c r="AG562" s="54">
        <f>REPT(" ",18-LEN(FIXED(F562,2,TRUE)))&amp;FIXED(F562,2,TRUE)</f>
        <v/>
      </c>
      <c r="AH562" s="10">
        <f>LEN(AC562)+LEN(AG562)</f>
        <v/>
      </c>
      <c r="AI562" s="10">
        <f>LEN(L562)</f>
        <v/>
      </c>
    </row>
    <row r="563">
      <c r="A563" s="46" t="n"/>
      <c r="B563" s="38" t="n"/>
      <c r="C563" s="41" t="n"/>
      <c r="D563" s="41" t="n"/>
      <c r="E563" s="41" t="n"/>
      <c r="F563" s="88" t="n"/>
      <c r="G563" s="89" t="n"/>
      <c r="H563" s="37" t="n"/>
      <c r="I563" s="42" t="n"/>
      <c r="J563" s="12">
        <f>IF(F563&lt;&gt;0,"LANÇAR","")</f>
        <v/>
      </c>
      <c r="K563" s="20" t="n"/>
      <c r="L563" s="13">
        <f>N563&amp;O563&amp;P563&amp;Q563&amp;R563&amp;S563&amp;T563&amp;U563&amp;V563&amp;W563&amp;X563&amp;Y563&amp;Z563&amp;AA563&amp;AB563&amp;AC563&amp;AD563&amp;AE563&amp;AF563&amp;AG563</f>
        <v/>
      </c>
      <c r="M563" s="20" t="n"/>
      <c r="N563" s="10">
        <f>TEXT($B$6,"00")</f>
        <v/>
      </c>
      <c r="O563" s="10">
        <f>REPT(" ",8)</f>
        <v/>
      </c>
      <c r="P563" s="10">
        <f>RIGHT($B$4,2)</f>
        <v/>
      </c>
      <c r="Q563" s="10">
        <f>RIGHT($B$5,3)</f>
        <v/>
      </c>
      <c r="R563" s="10">
        <f>IF(A563="D",LEFT(UPPER(B563)&amp;REPT(" ",20),20),REPT(" ",20))</f>
        <v/>
      </c>
      <c r="S563" s="10">
        <f>IF(A563="D",LEFT(UPPER(C563)&amp;REPT(" ",10),10)," ")</f>
        <v/>
      </c>
      <c r="T563" s="10">
        <f>IF(A563="D",LEFT(UPPER(D563)&amp;REPT(" ",2),2)," ")</f>
        <v/>
      </c>
      <c r="U563" s="10">
        <f>IF(A563="D",LEFT(UPPER(E563)&amp;REPT(" ",15),15)," ")</f>
        <v/>
      </c>
      <c r="V563" s="10">
        <f>REPT(" ",24)</f>
        <v/>
      </c>
      <c r="W563" s="10">
        <f>IF(A563="c",LEFT(UPPER(B563)&amp;REPT(" ",20),20),REPT(" ",20))</f>
        <v/>
      </c>
      <c r="X563" s="10">
        <f>IF(A563="C",LEFT(UPPER(C563)&amp;REPT(" ",10),10)," ")</f>
        <v/>
      </c>
      <c r="Y563" s="10">
        <f>IF(A563="C",LEFT(UPPER(D563)&amp;REPT(" ",2),2)," ")</f>
        <v/>
      </c>
      <c r="Z563" s="10">
        <f>IF(A563="C",LEFT(UPPER(E563)&amp;REPT(" ",15),15)," ")</f>
        <v/>
      </c>
      <c r="AA563" s="10">
        <f>REPT(" ",8)</f>
        <v/>
      </c>
      <c r="AB563" s="10">
        <f>REPT(" ",4)</f>
        <v/>
      </c>
      <c r="AC563" s="10">
        <f>LEFT(UPPER(H563)&amp;REPT(" ",250),250)</f>
        <v/>
      </c>
      <c r="AD563" s="10">
        <f>TEXT($G$2,"dd/mm/aaaa")</f>
        <v/>
      </c>
      <c r="AE563" s="10">
        <f>REPT(" ",10)</f>
        <v/>
      </c>
      <c r="AF563" s="10">
        <f>REPT(" ",20)</f>
        <v/>
      </c>
      <c r="AG563" s="54">
        <f>REPT(" ",18-LEN(FIXED(F563,2,TRUE)))&amp;FIXED(F563,2,TRUE)</f>
        <v/>
      </c>
      <c r="AH563" s="10">
        <f>LEN(AC563)+LEN(AG563)</f>
        <v/>
      </c>
      <c r="AI563" s="10">
        <f>LEN(L563)</f>
        <v/>
      </c>
    </row>
    <row r="564">
      <c r="A564" s="46" t="n"/>
      <c r="B564" s="38" t="n"/>
      <c r="C564" s="41" t="n"/>
      <c r="D564" s="41" t="n"/>
      <c r="E564" s="41" t="n"/>
      <c r="F564" s="88" t="n"/>
      <c r="G564" s="89" t="n"/>
      <c r="H564" s="37" t="n"/>
      <c r="I564" s="42" t="n"/>
      <c r="J564" s="12">
        <f>IF(F564&lt;&gt;0,"LANÇAR","")</f>
        <v/>
      </c>
      <c r="K564" s="20" t="n"/>
      <c r="L564" s="13">
        <f>N564&amp;O564&amp;P564&amp;Q564&amp;R564&amp;S564&amp;T564&amp;U564&amp;V564&amp;W564&amp;X564&amp;Y564&amp;Z564&amp;AA564&amp;AB564&amp;AC564&amp;AD564&amp;AE564&amp;AF564&amp;AG564</f>
        <v/>
      </c>
      <c r="M564" s="20" t="n"/>
      <c r="N564" s="10">
        <f>TEXT($B$6,"00")</f>
        <v/>
      </c>
      <c r="O564" s="10">
        <f>REPT(" ",8)</f>
        <v/>
      </c>
      <c r="P564" s="10">
        <f>RIGHT($B$4,2)</f>
        <v/>
      </c>
      <c r="Q564" s="10">
        <f>RIGHT($B$5,3)</f>
        <v/>
      </c>
      <c r="R564" s="10">
        <f>IF(A564="D",LEFT(UPPER(B564)&amp;REPT(" ",20),20),REPT(" ",20))</f>
        <v/>
      </c>
      <c r="S564" s="10">
        <f>IF(A564="D",LEFT(UPPER(C564)&amp;REPT(" ",10),10)," ")</f>
        <v/>
      </c>
      <c r="T564" s="10">
        <f>IF(A564="D",LEFT(UPPER(D564)&amp;REPT(" ",2),2)," ")</f>
        <v/>
      </c>
      <c r="U564" s="10">
        <f>IF(A564="D",LEFT(UPPER(E564)&amp;REPT(" ",15),15)," ")</f>
        <v/>
      </c>
      <c r="V564" s="10">
        <f>REPT(" ",24)</f>
        <v/>
      </c>
      <c r="W564" s="10">
        <f>IF(A564="c",LEFT(UPPER(B564)&amp;REPT(" ",20),20),REPT(" ",20))</f>
        <v/>
      </c>
      <c r="X564" s="10">
        <f>IF(A564="C",LEFT(UPPER(C564)&amp;REPT(" ",10),10)," ")</f>
        <v/>
      </c>
      <c r="Y564" s="10">
        <f>IF(A564="C",LEFT(UPPER(D564)&amp;REPT(" ",2),2)," ")</f>
        <v/>
      </c>
      <c r="Z564" s="10">
        <f>IF(A564="C",LEFT(UPPER(E564)&amp;REPT(" ",15),15)," ")</f>
        <v/>
      </c>
      <c r="AA564" s="10">
        <f>REPT(" ",8)</f>
        <v/>
      </c>
      <c r="AB564" s="10">
        <f>REPT(" ",4)</f>
        <v/>
      </c>
      <c r="AC564" s="10">
        <f>LEFT(UPPER(H564)&amp;REPT(" ",250),250)</f>
        <v/>
      </c>
      <c r="AD564" s="10">
        <f>TEXT($G$2,"dd/mm/aaaa")</f>
        <v/>
      </c>
      <c r="AE564" s="10">
        <f>REPT(" ",10)</f>
        <v/>
      </c>
      <c r="AF564" s="10">
        <f>REPT(" ",20)</f>
        <v/>
      </c>
      <c r="AG564" s="54">
        <f>REPT(" ",18-LEN(FIXED(F564,2,TRUE)))&amp;FIXED(F564,2,TRUE)</f>
        <v/>
      </c>
      <c r="AH564" s="10">
        <f>LEN(AC564)+LEN(AG564)</f>
        <v/>
      </c>
      <c r="AI564" s="10">
        <f>LEN(L564)</f>
        <v/>
      </c>
    </row>
    <row r="565">
      <c r="A565" s="46" t="n"/>
      <c r="B565" s="38" t="n"/>
      <c r="C565" s="41" t="n"/>
      <c r="D565" s="41" t="n"/>
      <c r="E565" s="41" t="n"/>
      <c r="F565" s="88" t="n"/>
      <c r="G565" s="89" t="n"/>
      <c r="H565" s="37" t="n"/>
      <c r="I565" s="42" t="n"/>
      <c r="J565" s="12">
        <f>IF(F565&lt;&gt;0,"LANÇAR","")</f>
        <v/>
      </c>
      <c r="K565" s="20" t="n"/>
      <c r="L565" s="13">
        <f>N565&amp;O565&amp;P565&amp;Q565&amp;R565&amp;S565&amp;T565&amp;U565&amp;V565&amp;W565&amp;X565&amp;Y565&amp;Z565&amp;AA565&amp;AB565&amp;AC565&amp;AD565&amp;AE565&amp;AF565&amp;AG565</f>
        <v/>
      </c>
      <c r="M565" s="20" t="n"/>
      <c r="N565" s="10">
        <f>TEXT($B$6,"00")</f>
        <v/>
      </c>
      <c r="O565" s="10">
        <f>REPT(" ",8)</f>
        <v/>
      </c>
      <c r="P565" s="10">
        <f>RIGHT($B$4,2)</f>
        <v/>
      </c>
      <c r="Q565" s="10">
        <f>RIGHT($B$5,3)</f>
        <v/>
      </c>
      <c r="R565" s="10">
        <f>IF(A565="D",LEFT(UPPER(B565)&amp;REPT(" ",20),20),REPT(" ",20))</f>
        <v/>
      </c>
      <c r="S565" s="10">
        <f>IF(A565="D",LEFT(UPPER(C565)&amp;REPT(" ",10),10)," ")</f>
        <v/>
      </c>
      <c r="T565" s="10">
        <f>IF(A565="D",LEFT(UPPER(D565)&amp;REPT(" ",2),2)," ")</f>
        <v/>
      </c>
      <c r="U565" s="10">
        <f>IF(A565="D",LEFT(UPPER(E565)&amp;REPT(" ",15),15)," ")</f>
        <v/>
      </c>
      <c r="V565" s="10">
        <f>REPT(" ",24)</f>
        <v/>
      </c>
      <c r="W565" s="10">
        <f>IF(A565="c",LEFT(UPPER(B565)&amp;REPT(" ",20),20),REPT(" ",20))</f>
        <v/>
      </c>
      <c r="X565" s="10">
        <f>IF(A565="C",LEFT(UPPER(C565)&amp;REPT(" ",10),10)," ")</f>
        <v/>
      </c>
      <c r="Y565" s="10">
        <f>IF(A565="C",LEFT(UPPER(D565)&amp;REPT(" ",2),2)," ")</f>
        <v/>
      </c>
      <c r="Z565" s="10">
        <f>IF(A565="C",LEFT(UPPER(E565)&amp;REPT(" ",15),15)," ")</f>
        <v/>
      </c>
      <c r="AA565" s="10">
        <f>REPT(" ",8)</f>
        <v/>
      </c>
      <c r="AB565" s="10">
        <f>REPT(" ",4)</f>
        <v/>
      </c>
      <c r="AC565" s="10">
        <f>LEFT(UPPER(H565)&amp;REPT(" ",250),250)</f>
        <v/>
      </c>
      <c r="AD565" s="10">
        <f>TEXT($G$2,"dd/mm/aaaa")</f>
        <v/>
      </c>
      <c r="AE565" s="10">
        <f>REPT(" ",10)</f>
        <v/>
      </c>
      <c r="AF565" s="10">
        <f>REPT(" ",20)</f>
        <v/>
      </c>
      <c r="AG565" s="54">
        <f>REPT(" ",18-LEN(FIXED(F565,2,TRUE)))&amp;FIXED(F565,2,TRUE)</f>
        <v/>
      </c>
      <c r="AH565" s="10">
        <f>LEN(AC565)+LEN(AG565)</f>
        <v/>
      </c>
      <c r="AI565" s="10">
        <f>LEN(L565)</f>
        <v/>
      </c>
    </row>
    <row r="566">
      <c r="A566" s="46" t="n"/>
      <c r="B566" s="38" t="n"/>
      <c r="C566" s="41" t="n"/>
      <c r="D566" s="41" t="n"/>
      <c r="E566" s="41" t="n"/>
      <c r="F566" s="88" t="n"/>
      <c r="G566" s="89" t="n"/>
      <c r="H566" s="37" t="n"/>
      <c r="I566" s="42" t="n"/>
      <c r="J566" s="12">
        <f>IF(F566&lt;&gt;0,"LANÇAR","")</f>
        <v/>
      </c>
      <c r="K566" s="20" t="n"/>
      <c r="L566" s="13">
        <f>N566&amp;O566&amp;P566&amp;Q566&amp;R566&amp;S566&amp;T566&amp;U566&amp;V566&amp;W566&amp;X566&amp;Y566&amp;Z566&amp;AA566&amp;AB566&amp;AC566&amp;AD566&amp;AE566&amp;AF566&amp;AG566</f>
        <v/>
      </c>
      <c r="M566" s="20" t="n"/>
      <c r="N566" s="10">
        <f>TEXT($B$6,"00")</f>
        <v/>
      </c>
      <c r="O566" s="10">
        <f>REPT(" ",8)</f>
        <v/>
      </c>
      <c r="P566" s="10">
        <f>RIGHT($B$4,2)</f>
        <v/>
      </c>
      <c r="Q566" s="10">
        <f>RIGHT($B$5,3)</f>
        <v/>
      </c>
      <c r="R566" s="10">
        <f>IF(A566="D",LEFT(UPPER(B566)&amp;REPT(" ",20),20),REPT(" ",20))</f>
        <v/>
      </c>
      <c r="S566" s="10">
        <f>IF(A566="D",LEFT(UPPER(C566)&amp;REPT(" ",10),10)," ")</f>
        <v/>
      </c>
      <c r="T566" s="10">
        <f>IF(A566="D",LEFT(UPPER(D566)&amp;REPT(" ",2),2)," ")</f>
        <v/>
      </c>
      <c r="U566" s="10">
        <f>IF(A566="D",LEFT(UPPER(E566)&amp;REPT(" ",15),15)," ")</f>
        <v/>
      </c>
      <c r="V566" s="10">
        <f>REPT(" ",24)</f>
        <v/>
      </c>
      <c r="W566" s="10">
        <f>IF(A566="c",LEFT(UPPER(B566)&amp;REPT(" ",20),20),REPT(" ",20))</f>
        <v/>
      </c>
      <c r="X566" s="10">
        <f>IF(A566="C",LEFT(UPPER(C566)&amp;REPT(" ",10),10)," ")</f>
        <v/>
      </c>
      <c r="Y566" s="10">
        <f>IF(A566="C",LEFT(UPPER(D566)&amp;REPT(" ",2),2)," ")</f>
        <v/>
      </c>
      <c r="Z566" s="10">
        <f>IF(A566="C",LEFT(UPPER(E566)&amp;REPT(" ",15),15)," ")</f>
        <v/>
      </c>
      <c r="AA566" s="10">
        <f>REPT(" ",8)</f>
        <v/>
      </c>
      <c r="AB566" s="10">
        <f>REPT(" ",4)</f>
        <v/>
      </c>
      <c r="AC566" s="10">
        <f>LEFT(UPPER(H566)&amp;REPT(" ",250),250)</f>
        <v/>
      </c>
      <c r="AD566" s="10">
        <f>TEXT($G$2,"dd/mm/aaaa")</f>
        <v/>
      </c>
      <c r="AE566" s="10">
        <f>REPT(" ",10)</f>
        <v/>
      </c>
      <c r="AF566" s="10">
        <f>REPT(" ",20)</f>
        <v/>
      </c>
      <c r="AG566" s="54">
        <f>REPT(" ",18-LEN(FIXED(F566,2,TRUE)))&amp;FIXED(F566,2,TRUE)</f>
        <v/>
      </c>
      <c r="AH566" s="10">
        <f>LEN(AC566)+LEN(AG566)</f>
        <v/>
      </c>
      <c r="AI566" s="10">
        <f>LEN(L566)</f>
        <v/>
      </c>
    </row>
    <row r="567">
      <c r="A567" s="46" t="n"/>
      <c r="B567" s="38" t="n"/>
      <c r="C567" s="41" t="n"/>
      <c r="D567" s="41" t="n"/>
      <c r="E567" s="41" t="n"/>
      <c r="F567" s="88" t="n"/>
      <c r="G567" s="89" t="n"/>
      <c r="H567" s="37" t="n"/>
      <c r="I567" s="42" t="n"/>
      <c r="J567" s="12">
        <f>IF(F567&lt;&gt;0,"LANÇAR","")</f>
        <v/>
      </c>
      <c r="K567" s="20" t="n"/>
      <c r="L567" s="13">
        <f>N567&amp;O567&amp;P567&amp;Q567&amp;R567&amp;S567&amp;T567&amp;U567&amp;V567&amp;W567&amp;X567&amp;Y567&amp;Z567&amp;AA567&amp;AB567&amp;AC567&amp;AD567&amp;AE567&amp;AF567&amp;AG567</f>
        <v/>
      </c>
      <c r="M567" s="20" t="n"/>
      <c r="N567" s="10">
        <f>TEXT($B$6,"00")</f>
        <v/>
      </c>
      <c r="O567" s="10">
        <f>REPT(" ",8)</f>
        <v/>
      </c>
      <c r="P567" s="10">
        <f>RIGHT($B$4,2)</f>
        <v/>
      </c>
      <c r="Q567" s="10">
        <f>RIGHT($B$5,3)</f>
        <v/>
      </c>
      <c r="R567" s="10">
        <f>IF(A567="D",LEFT(UPPER(B567)&amp;REPT(" ",20),20),REPT(" ",20))</f>
        <v/>
      </c>
      <c r="S567" s="10">
        <f>IF(A567="D",LEFT(UPPER(C567)&amp;REPT(" ",10),10)," ")</f>
        <v/>
      </c>
      <c r="T567" s="10">
        <f>IF(A567="D",LEFT(UPPER(D567)&amp;REPT(" ",2),2)," ")</f>
        <v/>
      </c>
      <c r="U567" s="10">
        <f>IF(A567="D",LEFT(UPPER(E567)&amp;REPT(" ",15),15)," ")</f>
        <v/>
      </c>
      <c r="V567" s="10">
        <f>REPT(" ",24)</f>
        <v/>
      </c>
      <c r="W567" s="10">
        <f>IF(A567="c",LEFT(UPPER(B567)&amp;REPT(" ",20),20),REPT(" ",20))</f>
        <v/>
      </c>
      <c r="X567" s="10">
        <f>IF(A567="C",LEFT(UPPER(C567)&amp;REPT(" ",10),10)," ")</f>
        <v/>
      </c>
      <c r="Y567" s="10">
        <f>IF(A567="C",LEFT(UPPER(D567)&amp;REPT(" ",2),2)," ")</f>
        <v/>
      </c>
      <c r="Z567" s="10">
        <f>IF(A567="C",LEFT(UPPER(E567)&amp;REPT(" ",15),15)," ")</f>
        <v/>
      </c>
      <c r="AA567" s="10">
        <f>REPT(" ",8)</f>
        <v/>
      </c>
      <c r="AB567" s="10">
        <f>REPT(" ",4)</f>
        <v/>
      </c>
      <c r="AC567" s="10">
        <f>LEFT(UPPER(H567)&amp;REPT(" ",250),250)</f>
        <v/>
      </c>
      <c r="AD567" s="10">
        <f>TEXT($G$2,"dd/mm/aaaa")</f>
        <v/>
      </c>
      <c r="AE567" s="10">
        <f>REPT(" ",10)</f>
        <v/>
      </c>
      <c r="AF567" s="10">
        <f>REPT(" ",20)</f>
        <v/>
      </c>
      <c r="AG567" s="54">
        <f>REPT(" ",18-LEN(FIXED(F567,2,TRUE)))&amp;FIXED(F567,2,TRUE)</f>
        <v/>
      </c>
      <c r="AH567" s="10">
        <f>LEN(AC567)+LEN(AG567)</f>
        <v/>
      </c>
      <c r="AI567" s="10">
        <f>LEN(L567)</f>
        <v/>
      </c>
    </row>
    <row r="568">
      <c r="A568" s="46" t="n"/>
      <c r="B568" s="38" t="n"/>
      <c r="C568" s="41" t="n"/>
      <c r="D568" s="41" t="n"/>
      <c r="E568" s="41" t="n"/>
      <c r="F568" s="88" t="n"/>
      <c r="G568" s="89" t="n"/>
      <c r="H568" s="37" t="n"/>
      <c r="I568" s="42" t="n"/>
      <c r="J568" s="12">
        <f>IF(F568&lt;&gt;0,"LANÇAR","")</f>
        <v/>
      </c>
      <c r="K568" s="20" t="n"/>
      <c r="L568" s="13">
        <f>N568&amp;O568&amp;P568&amp;Q568&amp;R568&amp;S568&amp;T568&amp;U568&amp;V568&amp;W568&amp;X568&amp;Y568&amp;Z568&amp;AA568&amp;AB568&amp;AC568&amp;AD568&amp;AE568&amp;AF568&amp;AG568</f>
        <v/>
      </c>
      <c r="M568" s="20" t="n"/>
      <c r="N568" s="10">
        <f>TEXT($B$6,"00")</f>
        <v/>
      </c>
      <c r="O568" s="10">
        <f>REPT(" ",8)</f>
        <v/>
      </c>
      <c r="P568" s="10">
        <f>RIGHT($B$4,2)</f>
        <v/>
      </c>
      <c r="Q568" s="10">
        <f>RIGHT($B$5,3)</f>
        <v/>
      </c>
      <c r="R568" s="10">
        <f>IF(A568="D",LEFT(UPPER(B568)&amp;REPT(" ",20),20),REPT(" ",20))</f>
        <v/>
      </c>
      <c r="S568" s="10">
        <f>IF(A568="D",LEFT(UPPER(C568)&amp;REPT(" ",10),10)," ")</f>
        <v/>
      </c>
      <c r="T568" s="10">
        <f>IF(A568="D",LEFT(UPPER(D568)&amp;REPT(" ",2),2)," ")</f>
        <v/>
      </c>
      <c r="U568" s="10">
        <f>IF(A568="D",LEFT(UPPER(E568)&amp;REPT(" ",15),15)," ")</f>
        <v/>
      </c>
      <c r="V568" s="10">
        <f>REPT(" ",24)</f>
        <v/>
      </c>
      <c r="W568" s="10">
        <f>IF(A568="c",LEFT(UPPER(B568)&amp;REPT(" ",20),20),REPT(" ",20))</f>
        <v/>
      </c>
      <c r="X568" s="10">
        <f>IF(A568="C",LEFT(UPPER(C568)&amp;REPT(" ",10),10)," ")</f>
        <v/>
      </c>
      <c r="Y568" s="10">
        <f>IF(A568="C",LEFT(UPPER(D568)&amp;REPT(" ",2),2)," ")</f>
        <v/>
      </c>
      <c r="Z568" s="10">
        <f>IF(A568="C",LEFT(UPPER(E568)&amp;REPT(" ",15),15)," ")</f>
        <v/>
      </c>
      <c r="AA568" s="10">
        <f>REPT(" ",8)</f>
        <v/>
      </c>
      <c r="AB568" s="10">
        <f>REPT(" ",4)</f>
        <v/>
      </c>
      <c r="AC568" s="10">
        <f>LEFT(UPPER(H568)&amp;REPT(" ",250),250)</f>
        <v/>
      </c>
      <c r="AD568" s="10">
        <f>TEXT($G$2,"dd/mm/aaaa")</f>
        <v/>
      </c>
      <c r="AE568" s="10">
        <f>REPT(" ",10)</f>
        <v/>
      </c>
      <c r="AF568" s="10">
        <f>REPT(" ",20)</f>
        <v/>
      </c>
      <c r="AG568" s="54">
        <f>REPT(" ",18-LEN(FIXED(F568,2,TRUE)))&amp;FIXED(F568,2,TRUE)</f>
        <v/>
      </c>
      <c r="AH568" s="10">
        <f>LEN(AC568)+LEN(AG568)</f>
        <v/>
      </c>
      <c r="AI568" s="10">
        <f>LEN(L568)</f>
        <v/>
      </c>
    </row>
    <row r="569">
      <c r="A569" s="46" t="n"/>
      <c r="B569" s="38" t="n"/>
      <c r="C569" s="41" t="n"/>
      <c r="D569" s="41" t="n"/>
      <c r="E569" s="41" t="n"/>
      <c r="F569" s="88" t="n"/>
      <c r="G569" s="89" t="n"/>
      <c r="H569" s="37" t="n"/>
      <c r="I569" s="42" t="n"/>
      <c r="J569" s="12">
        <f>IF(F569&lt;&gt;0,"LANÇAR","")</f>
        <v/>
      </c>
      <c r="K569" s="20" t="n"/>
      <c r="L569" s="13">
        <f>N569&amp;O569&amp;P569&amp;Q569&amp;R569&amp;S569&amp;T569&amp;U569&amp;V569&amp;W569&amp;X569&amp;Y569&amp;Z569&amp;AA569&amp;AB569&amp;AC569&amp;AD569&amp;AE569&amp;AF569&amp;AG569</f>
        <v/>
      </c>
      <c r="M569" s="20" t="n"/>
      <c r="N569" s="10">
        <f>TEXT($B$6,"00")</f>
        <v/>
      </c>
      <c r="O569" s="10">
        <f>REPT(" ",8)</f>
        <v/>
      </c>
      <c r="P569" s="10">
        <f>RIGHT($B$4,2)</f>
        <v/>
      </c>
      <c r="Q569" s="10">
        <f>RIGHT($B$5,3)</f>
        <v/>
      </c>
      <c r="R569" s="10">
        <f>IF(A569="D",LEFT(UPPER(B569)&amp;REPT(" ",20),20),REPT(" ",20))</f>
        <v/>
      </c>
      <c r="S569" s="10">
        <f>IF(A569="D",LEFT(UPPER(C569)&amp;REPT(" ",10),10)," ")</f>
        <v/>
      </c>
      <c r="T569" s="10">
        <f>IF(A569="D",LEFT(UPPER(D569)&amp;REPT(" ",2),2)," ")</f>
        <v/>
      </c>
      <c r="U569" s="10">
        <f>IF(A569="D",LEFT(UPPER(E569)&amp;REPT(" ",15),15)," ")</f>
        <v/>
      </c>
      <c r="V569" s="10">
        <f>REPT(" ",24)</f>
        <v/>
      </c>
      <c r="W569" s="10">
        <f>IF(A569="c",LEFT(UPPER(B569)&amp;REPT(" ",20),20),REPT(" ",20))</f>
        <v/>
      </c>
      <c r="X569" s="10">
        <f>IF(A569="C",LEFT(UPPER(C569)&amp;REPT(" ",10),10)," ")</f>
        <v/>
      </c>
      <c r="Y569" s="10">
        <f>IF(A569="C",LEFT(UPPER(D569)&amp;REPT(" ",2),2)," ")</f>
        <v/>
      </c>
      <c r="Z569" s="10">
        <f>IF(A569="C",LEFT(UPPER(E569)&amp;REPT(" ",15),15)," ")</f>
        <v/>
      </c>
      <c r="AA569" s="10">
        <f>REPT(" ",8)</f>
        <v/>
      </c>
      <c r="AB569" s="10">
        <f>REPT(" ",4)</f>
        <v/>
      </c>
      <c r="AC569" s="10">
        <f>LEFT(UPPER(H569)&amp;REPT(" ",250),250)</f>
        <v/>
      </c>
      <c r="AD569" s="10">
        <f>TEXT($G$2,"dd/mm/aaaa")</f>
        <v/>
      </c>
      <c r="AE569" s="10">
        <f>REPT(" ",10)</f>
        <v/>
      </c>
      <c r="AF569" s="10">
        <f>REPT(" ",20)</f>
        <v/>
      </c>
      <c r="AG569" s="54">
        <f>REPT(" ",18-LEN(FIXED(F569,2,TRUE)))&amp;FIXED(F569,2,TRUE)</f>
        <v/>
      </c>
      <c r="AH569" s="10">
        <f>LEN(AC569)+LEN(AG569)</f>
        <v/>
      </c>
      <c r="AI569" s="10">
        <f>LEN(L569)</f>
        <v/>
      </c>
    </row>
    <row r="570">
      <c r="A570" s="46" t="n"/>
      <c r="B570" s="38" t="n"/>
      <c r="C570" s="41" t="n"/>
      <c r="D570" s="41" t="n"/>
      <c r="E570" s="41" t="n"/>
      <c r="F570" s="88" t="n"/>
      <c r="G570" s="89" t="n"/>
      <c r="H570" s="37" t="n"/>
      <c r="I570" s="42" t="n"/>
      <c r="J570" s="12">
        <f>IF(F570&lt;&gt;0,"LANÇAR","")</f>
        <v/>
      </c>
      <c r="K570" s="20" t="n"/>
      <c r="L570" s="13">
        <f>N570&amp;O570&amp;P570&amp;Q570&amp;R570&amp;S570&amp;T570&amp;U570&amp;V570&amp;W570&amp;X570&amp;Y570&amp;Z570&amp;AA570&amp;AB570&amp;AC570&amp;AD570&amp;AE570&amp;AF570&amp;AG570</f>
        <v/>
      </c>
      <c r="M570" s="20" t="n"/>
      <c r="N570" s="10">
        <f>TEXT($B$6,"00")</f>
        <v/>
      </c>
      <c r="O570" s="10">
        <f>REPT(" ",8)</f>
        <v/>
      </c>
      <c r="P570" s="10">
        <f>RIGHT($B$4,2)</f>
        <v/>
      </c>
      <c r="Q570" s="10">
        <f>RIGHT($B$5,3)</f>
        <v/>
      </c>
      <c r="R570" s="10">
        <f>IF(A570="D",LEFT(UPPER(B570)&amp;REPT(" ",20),20),REPT(" ",20))</f>
        <v/>
      </c>
      <c r="S570" s="10">
        <f>IF(A570="D",LEFT(UPPER(C570)&amp;REPT(" ",10),10)," ")</f>
        <v/>
      </c>
      <c r="T570" s="10">
        <f>IF(A570="D",LEFT(UPPER(D570)&amp;REPT(" ",2),2)," ")</f>
        <v/>
      </c>
      <c r="U570" s="10">
        <f>IF(A570="D",LEFT(UPPER(E570)&amp;REPT(" ",15),15)," ")</f>
        <v/>
      </c>
      <c r="V570" s="10">
        <f>REPT(" ",24)</f>
        <v/>
      </c>
      <c r="W570" s="10">
        <f>IF(A570="c",LEFT(UPPER(B570)&amp;REPT(" ",20),20),REPT(" ",20))</f>
        <v/>
      </c>
      <c r="X570" s="10">
        <f>IF(A570="C",LEFT(UPPER(C570)&amp;REPT(" ",10),10)," ")</f>
        <v/>
      </c>
      <c r="Y570" s="10">
        <f>IF(A570="C",LEFT(UPPER(D570)&amp;REPT(" ",2),2)," ")</f>
        <v/>
      </c>
      <c r="Z570" s="10">
        <f>IF(A570="C",LEFT(UPPER(E570)&amp;REPT(" ",15),15)," ")</f>
        <v/>
      </c>
      <c r="AA570" s="10">
        <f>REPT(" ",8)</f>
        <v/>
      </c>
      <c r="AB570" s="10">
        <f>REPT(" ",4)</f>
        <v/>
      </c>
      <c r="AC570" s="10">
        <f>LEFT(UPPER(H570)&amp;REPT(" ",250),250)</f>
        <v/>
      </c>
      <c r="AD570" s="10">
        <f>TEXT($G$2,"dd/mm/aaaa")</f>
        <v/>
      </c>
      <c r="AE570" s="10">
        <f>REPT(" ",10)</f>
        <v/>
      </c>
      <c r="AF570" s="10">
        <f>REPT(" ",20)</f>
        <v/>
      </c>
      <c r="AG570" s="54">
        <f>REPT(" ",18-LEN(FIXED(F570,2,TRUE)))&amp;FIXED(F570,2,TRUE)</f>
        <v/>
      </c>
      <c r="AH570" s="10">
        <f>LEN(AC570)+LEN(AG570)</f>
        <v/>
      </c>
      <c r="AI570" s="10">
        <f>LEN(L570)</f>
        <v/>
      </c>
    </row>
    <row r="571">
      <c r="A571" s="46" t="n"/>
      <c r="B571" s="38" t="n"/>
      <c r="C571" s="41" t="n"/>
      <c r="D571" s="41" t="n"/>
      <c r="E571" s="41" t="n"/>
      <c r="F571" s="88" t="n"/>
      <c r="G571" s="89" t="n"/>
      <c r="H571" s="37" t="n"/>
      <c r="I571" s="42" t="n"/>
      <c r="J571" s="12">
        <f>IF(F571&lt;&gt;0,"LANÇAR","")</f>
        <v/>
      </c>
      <c r="K571" s="20" t="n"/>
      <c r="L571" s="13">
        <f>N571&amp;O571&amp;P571&amp;Q571&amp;R571&amp;S571&amp;T571&amp;U571&amp;V571&amp;W571&amp;X571&amp;Y571&amp;Z571&amp;AA571&amp;AB571&amp;AC571&amp;AD571&amp;AE571&amp;AF571&amp;AG571</f>
        <v/>
      </c>
      <c r="M571" s="20" t="n"/>
      <c r="N571" s="10">
        <f>TEXT($B$6,"00")</f>
        <v/>
      </c>
      <c r="O571" s="10">
        <f>REPT(" ",8)</f>
        <v/>
      </c>
      <c r="P571" s="10">
        <f>RIGHT($B$4,2)</f>
        <v/>
      </c>
      <c r="Q571" s="10">
        <f>RIGHT($B$5,3)</f>
        <v/>
      </c>
      <c r="R571" s="10">
        <f>IF(A571="D",LEFT(UPPER(B571)&amp;REPT(" ",20),20),REPT(" ",20))</f>
        <v/>
      </c>
      <c r="S571" s="10">
        <f>IF(A571="D",LEFT(UPPER(C571)&amp;REPT(" ",10),10)," ")</f>
        <v/>
      </c>
      <c r="T571" s="10">
        <f>IF(A571="D",LEFT(UPPER(D571)&amp;REPT(" ",2),2)," ")</f>
        <v/>
      </c>
      <c r="U571" s="10">
        <f>IF(A571="D",LEFT(UPPER(E571)&amp;REPT(" ",15),15)," ")</f>
        <v/>
      </c>
      <c r="V571" s="10">
        <f>REPT(" ",24)</f>
        <v/>
      </c>
      <c r="W571" s="10">
        <f>IF(A571="c",LEFT(UPPER(B571)&amp;REPT(" ",20),20),REPT(" ",20))</f>
        <v/>
      </c>
      <c r="X571" s="10">
        <f>IF(A571="C",LEFT(UPPER(C571)&amp;REPT(" ",10),10)," ")</f>
        <v/>
      </c>
      <c r="Y571" s="10">
        <f>IF(A571="C",LEFT(UPPER(D571)&amp;REPT(" ",2),2)," ")</f>
        <v/>
      </c>
      <c r="Z571" s="10">
        <f>IF(A571="C",LEFT(UPPER(E571)&amp;REPT(" ",15),15)," ")</f>
        <v/>
      </c>
      <c r="AA571" s="10">
        <f>REPT(" ",8)</f>
        <v/>
      </c>
      <c r="AB571" s="10">
        <f>REPT(" ",4)</f>
        <v/>
      </c>
      <c r="AC571" s="10">
        <f>LEFT(UPPER(H571)&amp;REPT(" ",250),250)</f>
        <v/>
      </c>
      <c r="AD571" s="10">
        <f>TEXT($G$2,"dd/mm/aaaa")</f>
        <v/>
      </c>
      <c r="AE571" s="10">
        <f>REPT(" ",10)</f>
        <v/>
      </c>
      <c r="AF571" s="10">
        <f>REPT(" ",20)</f>
        <v/>
      </c>
      <c r="AG571" s="54">
        <f>REPT(" ",18-LEN(FIXED(F571,2,TRUE)))&amp;FIXED(F571,2,TRUE)</f>
        <v/>
      </c>
      <c r="AH571" s="10">
        <f>LEN(AC571)+LEN(AG571)</f>
        <v/>
      </c>
      <c r="AI571" s="10">
        <f>LEN(L571)</f>
        <v/>
      </c>
    </row>
    <row r="572">
      <c r="A572" s="46" t="n"/>
      <c r="B572" s="38" t="n"/>
      <c r="C572" s="41" t="n"/>
      <c r="D572" s="41" t="n"/>
      <c r="E572" s="41" t="n"/>
      <c r="F572" s="88" t="n"/>
      <c r="G572" s="89" t="n"/>
      <c r="H572" s="37" t="n"/>
      <c r="I572" s="42" t="n"/>
      <c r="J572" s="12">
        <f>IF(F572&lt;&gt;0,"LANÇAR","")</f>
        <v/>
      </c>
      <c r="K572" s="20" t="n"/>
      <c r="L572" s="13">
        <f>N572&amp;O572&amp;P572&amp;Q572&amp;R572&amp;S572&amp;T572&amp;U572&amp;V572&amp;W572&amp;X572&amp;Y572&amp;Z572&amp;AA572&amp;AB572&amp;AC572&amp;AD572&amp;AE572&amp;AF572&amp;AG572</f>
        <v/>
      </c>
      <c r="M572" s="20" t="n"/>
      <c r="N572" s="10">
        <f>TEXT($B$6,"00")</f>
        <v/>
      </c>
      <c r="O572" s="10">
        <f>REPT(" ",8)</f>
        <v/>
      </c>
      <c r="P572" s="10">
        <f>RIGHT($B$4,2)</f>
        <v/>
      </c>
      <c r="Q572" s="10">
        <f>RIGHT($B$5,3)</f>
        <v/>
      </c>
      <c r="R572" s="10">
        <f>IF(A572="D",LEFT(UPPER(B572)&amp;REPT(" ",20),20),REPT(" ",20))</f>
        <v/>
      </c>
      <c r="S572" s="10">
        <f>IF(A572="D",LEFT(UPPER(C572)&amp;REPT(" ",10),10)," ")</f>
        <v/>
      </c>
      <c r="T572" s="10">
        <f>IF(A572="D",LEFT(UPPER(D572)&amp;REPT(" ",2),2)," ")</f>
        <v/>
      </c>
      <c r="U572" s="10">
        <f>IF(A572="D",LEFT(UPPER(E572)&amp;REPT(" ",15),15)," ")</f>
        <v/>
      </c>
      <c r="V572" s="10">
        <f>REPT(" ",24)</f>
        <v/>
      </c>
      <c r="W572" s="10">
        <f>IF(A572="c",LEFT(UPPER(B572)&amp;REPT(" ",20),20),REPT(" ",20))</f>
        <v/>
      </c>
      <c r="X572" s="10">
        <f>IF(A572="C",LEFT(UPPER(C572)&amp;REPT(" ",10),10)," ")</f>
        <v/>
      </c>
      <c r="Y572" s="10">
        <f>IF(A572="C",LEFT(UPPER(D572)&amp;REPT(" ",2),2)," ")</f>
        <v/>
      </c>
      <c r="Z572" s="10">
        <f>IF(A572="C",LEFT(UPPER(E572)&amp;REPT(" ",15),15)," ")</f>
        <v/>
      </c>
      <c r="AA572" s="10">
        <f>REPT(" ",8)</f>
        <v/>
      </c>
      <c r="AB572" s="10">
        <f>REPT(" ",4)</f>
        <v/>
      </c>
      <c r="AC572" s="10">
        <f>LEFT(UPPER(H572)&amp;REPT(" ",250),250)</f>
        <v/>
      </c>
      <c r="AD572" s="10">
        <f>TEXT($G$2,"dd/mm/aaaa")</f>
        <v/>
      </c>
      <c r="AE572" s="10">
        <f>REPT(" ",10)</f>
        <v/>
      </c>
      <c r="AF572" s="10">
        <f>REPT(" ",20)</f>
        <v/>
      </c>
      <c r="AG572" s="54">
        <f>REPT(" ",18-LEN(FIXED(F572,2,TRUE)))&amp;FIXED(F572,2,TRUE)</f>
        <v/>
      </c>
      <c r="AH572" s="10">
        <f>LEN(AC572)+LEN(AG572)</f>
        <v/>
      </c>
      <c r="AI572" s="10">
        <f>LEN(L572)</f>
        <v/>
      </c>
    </row>
    <row r="573">
      <c r="A573" s="46" t="n"/>
      <c r="B573" s="38" t="n"/>
      <c r="C573" s="41" t="n"/>
      <c r="D573" s="41" t="n"/>
      <c r="E573" s="41" t="n"/>
      <c r="F573" s="88" t="n"/>
      <c r="G573" s="89" t="n"/>
      <c r="H573" s="37" t="n"/>
      <c r="I573" s="42" t="n"/>
      <c r="J573" s="12">
        <f>IF(F573&lt;&gt;0,"LANÇAR","")</f>
        <v/>
      </c>
      <c r="K573" s="20" t="n"/>
      <c r="L573" s="13">
        <f>N573&amp;O573&amp;P573&amp;Q573&amp;R573&amp;S573&amp;T573&amp;U573&amp;V573&amp;W573&amp;X573&amp;Y573&amp;Z573&amp;AA573&amp;AB573&amp;AC573&amp;AD573&amp;AE573&amp;AF573&amp;AG573</f>
        <v/>
      </c>
      <c r="M573" s="20" t="n"/>
      <c r="N573" s="10">
        <f>TEXT($B$6,"00")</f>
        <v/>
      </c>
      <c r="O573" s="10">
        <f>REPT(" ",8)</f>
        <v/>
      </c>
      <c r="P573" s="10">
        <f>RIGHT($B$4,2)</f>
        <v/>
      </c>
      <c r="Q573" s="10">
        <f>RIGHT($B$5,3)</f>
        <v/>
      </c>
      <c r="R573" s="10">
        <f>IF(A573="D",LEFT(UPPER(B573)&amp;REPT(" ",20),20),REPT(" ",20))</f>
        <v/>
      </c>
      <c r="S573" s="10">
        <f>IF(A573="D",LEFT(UPPER(C573)&amp;REPT(" ",10),10)," ")</f>
        <v/>
      </c>
      <c r="T573" s="10">
        <f>IF(A573="D",LEFT(UPPER(D573)&amp;REPT(" ",2),2)," ")</f>
        <v/>
      </c>
      <c r="U573" s="10">
        <f>IF(A573="D",LEFT(UPPER(E573)&amp;REPT(" ",15),15)," ")</f>
        <v/>
      </c>
      <c r="V573" s="10">
        <f>REPT(" ",24)</f>
        <v/>
      </c>
      <c r="W573" s="10">
        <f>IF(A573="c",LEFT(UPPER(B573)&amp;REPT(" ",20),20),REPT(" ",20))</f>
        <v/>
      </c>
      <c r="X573" s="10">
        <f>IF(A573="C",LEFT(UPPER(C573)&amp;REPT(" ",10),10)," ")</f>
        <v/>
      </c>
      <c r="Y573" s="10">
        <f>IF(A573="C",LEFT(UPPER(D573)&amp;REPT(" ",2),2)," ")</f>
        <v/>
      </c>
      <c r="Z573" s="10">
        <f>IF(A573="C",LEFT(UPPER(E573)&amp;REPT(" ",15),15)," ")</f>
        <v/>
      </c>
      <c r="AA573" s="10">
        <f>REPT(" ",8)</f>
        <v/>
      </c>
      <c r="AB573" s="10">
        <f>REPT(" ",4)</f>
        <v/>
      </c>
      <c r="AC573" s="10">
        <f>LEFT(UPPER(H573)&amp;REPT(" ",250),250)</f>
        <v/>
      </c>
      <c r="AD573" s="10">
        <f>TEXT($G$2,"dd/mm/aaaa")</f>
        <v/>
      </c>
      <c r="AE573" s="10">
        <f>REPT(" ",10)</f>
        <v/>
      </c>
      <c r="AF573" s="10">
        <f>REPT(" ",20)</f>
        <v/>
      </c>
      <c r="AG573" s="54">
        <f>REPT(" ",18-LEN(FIXED(F573,2,TRUE)))&amp;FIXED(F573,2,TRUE)</f>
        <v/>
      </c>
      <c r="AH573" s="10">
        <f>LEN(AC573)+LEN(AG573)</f>
        <v/>
      </c>
      <c r="AI573" s="10">
        <f>LEN(L573)</f>
        <v/>
      </c>
    </row>
    <row r="574">
      <c r="A574" s="46" t="n"/>
      <c r="B574" s="38" t="n"/>
      <c r="C574" s="41" t="n"/>
      <c r="D574" s="41" t="n"/>
      <c r="E574" s="41" t="n"/>
      <c r="F574" s="88" t="n"/>
      <c r="G574" s="89" t="n"/>
      <c r="H574" s="37" t="n"/>
      <c r="I574" s="42" t="n"/>
      <c r="J574" s="12">
        <f>IF(F574&lt;&gt;0,"LANÇAR","")</f>
        <v/>
      </c>
      <c r="K574" s="20" t="n"/>
      <c r="L574" s="13">
        <f>N574&amp;O574&amp;P574&amp;Q574&amp;R574&amp;S574&amp;T574&amp;U574&amp;V574&amp;W574&amp;X574&amp;Y574&amp;Z574&amp;AA574&amp;AB574&amp;AC574&amp;AD574&amp;AE574&amp;AF574&amp;AG574</f>
        <v/>
      </c>
      <c r="M574" s="20" t="n"/>
      <c r="N574" s="10">
        <f>TEXT($B$6,"00")</f>
        <v/>
      </c>
      <c r="O574" s="10">
        <f>REPT(" ",8)</f>
        <v/>
      </c>
      <c r="P574" s="10">
        <f>RIGHT($B$4,2)</f>
        <v/>
      </c>
      <c r="Q574" s="10">
        <f>RIGHT($B$5,3)</f>
        <v/>
      </c>
      <c r="R574" s="10">
        <f>IF(A574="D",LEFT(UPPER(B574)&amp;REPT(" ",20),20),REPT(" ",20))</f>
        <v/>
      </c>
      <c r="S574" s="10">
        <f>IF(A574="D",LEFT(UPPER(C574)&amp;REPT(" ",10),10)," ")</f>
        <v/>
      </c>
      <c r="T574" s="10">
        <f>IF(A574="D",LEFT(UPPER(D574)&amp;REPT(" ",2),2)," ")</f>
        <v/>
      </c>
      <c r="U574" s="10">
        <f>IF(A574="D",LEFT(UPPER(E574)&amp;REPT(" ",15),15)," ")</f>
        <v/>
      </c>
      <c r="V574" s="10">
        <f>REPT(" ",24)</f>
        <v/>
      </c>
      <c r="W574" s="10">
        <f>IF(A574="c",LEFT(UPPER(B574)&amp;REPT(" ",20),20),REPT(" ",20))</f>
        <v/>
      </c>
      <c r="X574" s="10">
        <f>IF(A574="C",LEFT(UPPER(C574)&amp;REPT(" ",10),10)," ")</f>
        <v/>
      </c>
      <c r="Y574" s="10">
        <f>IF(A574="C",LEFT(UPPER(D574)&amp;REPT(" ",2),2)," ")</f>
        <v/>
      </c>
      <c r="Z574" s="10">
        <f>IF(A574="C",LEFT(UPPER(E574)&amp;REPT(" ",15),15)," ")</f>
        <v/>
      </c>
      <c r="AA574" s="10">
        <f>REPT(" ",8)</f>
        <v/>
      </c>
      <c r="AB574" s="10">
        <f>REPT(" ",4)</f>
        <v/>
      </c>
      <c r="AC574" s="10">
        <f>LEFT(UPPER(H574)&amp;REPT(" ",250),250)</f>
        <v/>
      </c>
      <c r="AD574" s="10">
        <f>TEXT($G$2,"dd/mm/aaaa")</f>
        <v/>
      </c>
      <c r="AE574" s="10">
        <f>REPT(" ",10)</f>
        <v/>
      </c>
      <c r="AF574" s="10">
        <f>REPT(" ",20)</f>
        <v/>
      </c>
      <c r="AG574" s="54">
        <f>REPT(" ",18-LEN(FIXED(F574,2,TRUE)))&amp;FIXED(F574,2,TRUE)</f>
        <v/>
      </c>
      <c r="AH574" s="10">
        <f>LEN(AC574)+LEN(AG574)</f>
        <v/>
      </c>
      <c r="AI574" s="10">
        <f>LEN(L574)</f>
        <v/>
      </c>
    </row>
    <row r="575">
      <c r="A575" s="46" t="n"/>
      <c r="B575" s="38" t="n"/>
      <c r="C575" s="41" t="n"/>
      <c r="D575" s="41" t="n"/>
      <c r="E575" s="41" t="n"/>
      <c r="F575" s="88" t="n"/>
      <c r="G575" s="89" t="n"/>
      <c r="H575" s="37" t="n"/>
      <c r="I575" s="42" t="n"/>
      <c r="J575" s="12">
        <f>IF(F575&lt;&gt;0,"LANÇAR","")</f>
        <v/>
      </c>
      <c r="K575" s="20" t="n"/>
      <c r="L575" s="13">
        <f>N575&amp;O575&amp;P575&amp;Q575&amp;R575&amp;S575&amp;T575&amp;U575&amp;V575&amp;W575&amp;X575&amp;Y575&amp;Z575&amp;AA575&amp;AB575&amp;AC575&amp;AD575&amp;AE575&amp;AF575&amp;AG575</f>
        <v/>
      </c>
      <c r="M575" s="20" t="n"/>
      <c r="N575" s="10">
        <f>TEXT($B$6,"00")</f>
        <v/>
      </c>
      <c r="O575" s="10">
        <f>REPT(" ",8)</f>
        <v/>
      </c>
      <c r="P575" s="10">
        <f>RIGHT($B$4,2)</f>
        <v/>
      </c>
      <c r="Q575" s="10">
        <f>RIGHT($B$5,3)</f>
        <v/>
      </c>
      <c r="R575" s="10">
        <f>IF(A575="D",LEFT(UPPER(B575)&amp;REPT(" ",20),20),REPT(" ",20))</f>
        <v/>
      </c>
      <c r="S575" s="10">
        <f>IF(A575="D",LEFT(UPPER(C575)&amp;REPT(" ",10),10)," ")</f>
        <v/>
      </c>
      <c r="T575" s="10">
        <f>IF(A575="D",LEFT(UPPER(D575)&amp;REPT(" ",2),2)," ")</f>
        <v/>
      </c>
      <c r="U575" s="10">
        <f>IF(A575="D",LEFT(UPPER(E575)&amp;REPT(" ",15),15)," ")</f>
        <v/>
      </c>
      <c r="V575" s="10">
        <f>REPT(" ",24)</f>
        <v/>
      </c>
      <c r="W575" s="10">
        <f>IF(A575="c",LEFT(UPPER(B575)&amp;REPT(" ",20),20),REPT(" ",20))</f>
        <v/>
      </c>
      <c r="X575" s="10">
        <f>IF(A575="C",LEFT(UPPER(C575)&amp;REPT(" ",10),10)," ")</f>
        <v/>
      </c>
      <c r="Y575" s="10">
        <f>IF(A575="C",LEFT(UPPER(D575)&amp;REPT(" ",2),2)," ")</f>
        <v/>
      </c>
      <c r="Z575" s="10">
        <f>IF(A575="C",LEFT(UPPER(E575)&amp;REPT(" ",15),15)," ")</f>
        <v/>
      </c>
      <c r="AA575" s="10">
        <f>REPT(" ",8)</f>
        <v/>
      </c>
      <c r="AB575" s="10">
        <f>REPT(" ",4)</f>
        <v/>
      </c>
      <c r="AC575" s="10">
        <f>LEFT(UPPER(H575)&amp;REPT(" ",250),250)</f>
        <v/>
      </c>
      <c r="AD575" s="10">
        <f>TEXT($G$2,"dd/mm/aaaa")</f>
        <v/>
      </c>
      <c r="AE575" s="10">
        <f>REPT(" ",10)</f>
        <v/>
      </c>
      <c r="AF575" s="10">
        <f>REPT(" ",20)</f>
        <v/>
      </c>
      <c r="AG575" s="54">
        <f>REPT(" ",18-LEN(FIXED(F575,2,TRUE)))&amp;FIXED(F575,2,TRUE)</f>
        <v/>
      </c>
      <c r="AH575" s="10">
        <f>LEN(AC575)+LEN(AG575)</f>
        <v/>
      </c>
      <c r="AI575" s="10">
        <f>LEN(L575)</f>
        <v/>
      </c>
    </row>
    <row r="576">
      <c r="A576" s="46" t="n"/>
      <c r="B576" s="38" t="n"/>
      <c r="C576" s="41" t="n"/>
      <c r="D576" s="41" t="n"/>
      <c r="E576" s="41" t="n"/>
      <c r="F576" s="88" t="n"/>
      <c r="G576" s="89" t="n"/>
      <c r="H576" s="37" t="n"/>
      <c r="I576" s="42" t="n"/>
      <c r="J576" s="12">
        <f>IF(F576&lt;&gt;0,"LANÇAR","")</f>
        <v/>
      </c>
      <c r="K576" s="20" t="n"/>
      <c r="L576" s="13">
        <f>N576&amp;O576&amp;P576&amp;Q576&amp;R576&amp;S576&amp;T576&amp;U576&amp;V576&amp;W576&amp;X576&amp;Y576&amp;Z576&amp;AA576&amp;AB576&amp;AC576&amp;AD576&amp;AE576&amp;AF576&amp;AG576</f>
        <v/>
      </c>
      <c r="M576" s="20" t="n"/>
      <c r="N576" s="10">
        <f>TEXT($B$6,"00")</f>
        <v/>
      </c>
      <c r="O576" s="10">
        <f>REPT(" ",8)</f>
        <v/>
      </c>
      <c r="P576" s="10">
        <f>RIGHT($B$4,2)</f>
        <v/>
      </c>
      <c r="Q576" s="10">
        <f>RIGHT($B$5,3)</f>
        <v/>
      </c>
      <c r="R576" s="10">
        <f>IF(A576="D",LEFT(UPPER(B576)&amp;REPT(" ",20),20),REPT(" ",20))</f>
        <v/>
      </c>
      <c r="S576" s="10">
        <f>IF(A576="D",LEFT(UPPER(C576)&amp;REPT(" ",10),10)," ")</f>
        <v/>
      </c>
      <c r="T576" s="10">
        <f>IF(A576="D",LEFT(UPPER(D576)&amp;REPT(" ",2),2)," ")</f>
        <v/>
      </c>
      <c r="U576" s="10">
        <f>IF(A576="D",LEFT(UPPER(E576)&amp;REPT(" ",15),15)," ")</f>
        <v/>
      </c>
      <c r="V576" s="10">
        <f>REPT(" ",24)</f>
        <v/>
      </c>
      <c r="W576" s="10">
        <f>IF(A576="c",LEFT(UPPER(B576)&amp;REPT(" ",20),20),REPT(" ",20))</f>
        <v/>
      </c>
      <c r="X576" s="10">
        <f>IF(A576="C",LEFT(UPPER(C576)&amp;REPT(" ",10),10)," ")</f>
        <v/>
      </c>
      <c r="Y576" s="10">
        <f>IF(A576="C",LEFT(UPPER(D576)&amp;REPT(" ",2),2)," ")</f>
        <v/>
      </c>
      <c r="Z576" s="10">
        <f>IF(A576="C",LEFT(UPPER(E576)&amp;REPT(" ",15),15)," ")</f>
        <v/>
      </c>
      <c r="AA576" s="10">
        <f>REPT(" ",8)</f>
        <v/>
      </c>
      <c r="AB576" s="10">
        <f>REPT(" ",4)</f>
        <v/>
      </c>
      <c r="AC576" s="10">
        <f>LEFT(UPPER(H576)&amp;REPT(" ",250),250)</f>
        <v/>
      </c>
      <c r="AD576" s="10">
        <f>TEXT($G$2,"dd/mm/aaaa")</f>
        <v/>
      </c>
      <c r="AE576" s="10">
        <f>REPT(" ",10)</f>
        <v/>
      </c>
      <c r="AF576" s="10">
        <f>REPT(" ",20)</f>
        <v/>
      </c>
      <c r="AG576" s="54">
        <f>REPT(" ",18-LEN(FIXED(F576,2,TRUE)))&amp;FIXED(F576,2,TRUE)</f>
        <v/>
      </c>
      <c r="AH576" s="10">
        <f>LEN(AC576)+LEN(AG576)</f>
        <v/>
      </c>
      <c r="AI576" s="10">
        <f>LEN(L576)</f>
        <v/>
      </c>
    </row>
    <row r="577">
      <c r="A577" s="46" t="n"/>
      <c r="B577" s="38" t="n"/>
      <c r="C577" s="41" t="n"/>
      <c r="D577" s="41" t="n"/>
      <c r="E577" s="41" t="n"/>
      <c r="F577" s="88" t="n"/>
      <c r="G577" s="89" t="n"/>
      <c r="H577" s="37" t="n"/>
      <c r="I577" s="42" t="n"/>
      <c r="J577" s="12">
        <f>IF(F577&lt;&gt;0,"LANÇAR","")</f>
        <v/>
      </c>
      <c r="K577" s="20" t="n"/>
      <c r="L577" s="13">
        <f>N577&amp;O577&amp;P577&amp;Q577&amp;R577&amp;S577&amp;T577&amp;U577&amp;V577&amp;W577&amp;X577&amp;Y577&amp;Z577&amp;AA577&amp;AB577&amp;AC577&amp;AD577&amp;AE577&amp;AF577&amp;AG577</f>
        <v/>
      </c>
      <c r="M577" s="20" t="n"/>
      <c r="N577" s="10">
        <f>TEXT($B$6,"00")</f>
        <v/>
      </c>
      <c r="O577" s="10">
        <f>REPT(" ",8)</f>
        <v/>
      </c>
      <c r="P577" s="10">
        <f>RIGHT($B$4,2)</f>
        <v/>
      </c>
      <c r="Q577" s="10">
        <f>RIGHT($B$5,3)</f>
        <v/>
      </c>
      <c r="R577" s="10">
        <f>IF(A577="D",LEFT(UPPER(B577)&amp;REPT(" ",20),20),REPT(" ",20))</f>
        <v/>
      </c>
      <c r="S577" s="10">
        <f>IF(A577="D",LEFT(UPPER(C577)&amp;REPT(" ",10),10)," ")</f>
        <v/>
      </c>
      <c r="T577" s="10">
        <f>IF(A577="D",LEFT(UPPER(D577)&amp;REPT(" ",2),2)," ")</f>
        <v/>
      </c>
      <c r="U577" s="10">
        <f>IF(A577="D",LEFT(UPPER(E577)&amp;REPT(" ",15),15)," ")</f>
        <v/>
      </c>
      <c r="V577" s="10">
        <f>REPT(" ",24)</f>
        <v/>
      </c>
      <c r="W577" s="10">
        <f>IF(A577="c",LEFT(UPPER(B577)&amp;REPT(" ",20),20),REPT(" ",20))</f>
        <v/>
      </c>
      <c r="X577" s="10">
        <f>IF(A577="C",LEFT(UPPER(C577)&amp;REPT(" ",10),10)," ")</f>
        <v/>
      </c>
      <c r="Y577" s="10">
        <f>IF(A577="C",LEFT(UPPER(D577)&amp;REPT(" ",2),2)," ")</f>
        <v/>
      </c>
      <c r="Z577" s="10">
        <f>IF(A577="C",LEFT(UPPER(E577)&amp;REPT(" ",15),15)," ")</f>
        <v/>
      </c>
      <c r="AA577" s="10">
        <f>REPT(" ",8)</f>
        <v/>
      </c>
      <c r="AB577" s="10">
        <f>REPT(" ",4)</f>
        <v/>
      </c>
      <c r="AC577" s="10">
        <f>LEFT(UPPER(H577)&amp;REPT(" ",250),250)</f>
        <v/>
      </c>
      <c r="AD577" s="10">
        <f>TEXT($G$2,"dd/mm/aaaa")</f>
        <v/>
      </c>
      <c r="AE577" s="10">
        <f>REPT(" ",10)</f>
        <v/>
      </c>
      <c r="AF577" s="10">
        <f>REPT(" ",20)</f>
        <v/>
      </c>
      <c r="AG577" s="54">
        <f>REPT(" ",18-LEN(FIXED(F577,2,TRUE)))&amp;FIXED(F577,2,TRUE)</f>
        <v/>
      </c>
      <c r="AH577" s="10">
        <f>LEN(AC577)+LEN(AG577)</f>
        <v/>
      </c>
      <c r="AI577" s="10">
        <f>LEN(L577)</f>
        <v/>
      </c>
    </row>
    <row r="578">
      <c r="A578" s="46" t="n"/>
      <c r="B578" s="38" t="n"/>
      <c r="C578" s="41" t="n"/>
      <c r="D578" s="41" t="n"/>
      <c r="E578" s="41" t="n"/>
      <c r="F578" s="88" t="n"/>
      <c r="G578" s="89" t="n"/>
      <c r="H578" s="37" t="n"/>
      <c r="I578" s="42" t="n"/>
      <c r="J578" s="12">
        <f>IF(F578&lt;&gt;0,"LANÇAR","")</f>
        <v/>
      </c>
      <c r="K578" s="20" t="n"/>
      <c r="L578" s="13">
        <f>N578&amp;O578&amp;P578&amp;Q578&amp;R578&amp;S578&amp;T578&amp;U578&amp;V578&amp;W578&amp;X578&amp;Y578&amp;Z578&amp;AA578&amp;AB578&amp;AC578&amp;AD578&amp;AE578&amp;AF578&amp;AG578</f>
        <v/>
      </c>
      <c r="M578" s="20" t="n"/>
      <c r="N578" s="10">
        <f>TEXT($B$6,"00")</f>
        <v/>
      </c>
      <c r="O578" s="10">
        <f>REPT(" ",8)</f>
        <v/>
      </c>
      <c r="P578" s="10">
        <f>RIGHT($B$4,2)</f>
        <v/>
      </c>
      <c r="Q578" s="10">
        <f>RIGHT($B$5,3)</f>
        <v/>
      </c>
      <c r="R578" s="10">
        <f>IF(A578="D",LEFT(UPPER(B578)&amp;REPT(" ",20),20),REPT(" ",20))</f>
        <v/>
      </c>
      <c r="S578" s="10">
        <f>IF(A578="D",LEFT(UPPER(C578)&amp;REPT(" ",10),10)," ")</f>
        <v/>
      </c>
      <c r="T578" s="10">
        <f>IF(A578="D",LEFT(UPPER(D578)&amp;REPT(" ",2),2)," ")</f>
        <v/>
      </c>
      <c r="U578" s="10">
        <f>IF(A578="D",LEFT(UPPER(E578)&amp;REPT(" ",15),15)," ")</f>
        <v/>
      </c>
      <c r="V578" s="10">
        <f>REPT(" ",24)</f>
        <v/>
      </c>
      <c r="W578" s="10">
        <f>IF(A578="c",LEFT(UPPER(B578)&amp;REPT(" ",20),20),REPT(" ",20))</f>
        <v/>
      </c>
      <c r="X578" s="10">
        <f>IF(A578="C",LEFT(UPPER(C578)&amp;REPT(" ",10),10)," ")</f>
        <v/>
      </c>
      <c r="Y578" s="10">
        <f>IF(A578="C",LEFT(UPPER(D578)&amp;REPT(" ",2),2)," ")</f>
        <v/>
      </c>
      <c r="Z578" s="10">
        <f>IF(A578="C",LEFT(UPPER(E578)&amp;REPT(" ",15),15)," ")</f>
        <v/>
      </c>
      <c r="AA578" s="10">
        <f>REPT(" ",8)</f>
        <v/>
      </c>
      <c r="AB578" s="10">
        <f>REPT(" ",4)</f>
        <v/>
      </c>
      <c r="AC578" s="10">
        <f>LEFT(UPPER(H578)&amp;REPT(" ",250),250)</f>
        <v/>
      </c>
      <c r="AD578" s="10">
        <f>TEXT($G$2,"dd/mm/aaaa")</f>
        <v/>
      </c>
      <c r="AE578" s="10">
        <f>REPT(" ",10)</f>
        <v/>
      </c>
      <c r="AF578" s="10">
        <f>REPT(" ",20)</f>
        <v/>
      </c>
      <c r="AG578" s="54">
        <f>REPT(" ",18-LEN(FIXED(F578,2,TRUE)))&amp;FIXED(F578,2,TRUE)</f>
        <v/>
      </c>
      <c r="AH578" s="10">
        <f>LEN(AC578)+LEN(AG578)</f>
        <v/>
      </c>
      <c r="AI578" s="10">
        <f>LEN(L578)</f>
        <v/>
      </c>
    </row>
    <row r="579">
      <c r="A579" s="46" t="n"/>
      <c r="B579" s="38" t="n"/>
      <c r="C579" s="41" t="n"/>
      <c r="D579" s="41" t="n"/>
      <c r="E579" s="41" t="n"/>
      <c r="F579" s="88" t="n"/>
      <c r="G579" s="89" t="n"/>
      <c r="H579" s="37" t="n"/>
      <c r="I579" s="42" t="n"/>
      <c r="J579" s="12">
        <f>IF(F579&lt;&gt;0,"LANÇAR","")</f>
        <v/>
      </c>
      <c r="K579" s="20" t="n"/>
      <c r="L579" s="13">
        <f>N579&amp;O579&amp;P579&amp;Q579&amp;R579&amp;S579&amp;T579&amp;U579&amp;V579&amp;W579&amp;X579&amp;Y579&amp;Z579&amp;AA579&amp;AB579&amp;AC579&amp;AD579&amp;AE579&amp;AF579&amp;AG579</f>
        <v/>
      </c>
      <c r="M579" s="20" t="n"/>
      <c r="N579" s="10">
        <f>TEXT($B$6,"00")</f>
        <v/>
      </c>
      <c r="O579" s="10">
        <f>REPT(" ",8)</f>
        <v/>
      </c>
      <c r="P579" s="10">
        <f>RIGHT($B$4,2)</f>
        <v/>
      </c>
      <c r="Q579" s="10">
        <f>RIGHT($B$5,3)</f>
        <v/>
      </c>
      <c r="R579" s="10">
        <f>IF(A579="D",LEFT(UPPER(B579)&amp;REPT(" ",20),20),REPT(" ",20))</f>
        <v/>
      </c>
      <c r="S579" s="10">
        <f>IF(A579="D",LEFT(UPPER(C579)&amp;REPT(" ",10),10)," ")</f>
        <v/>
      </c>
      <c r="T579" s="10">
        <f>IF(A579="D",LEFT(UPPER(D579)&amp;REPT(" ",2),2)," ")</f>
        <v/>
      </c>
      <c r="U579" s="10">
        <f>IF(A579="D",LEFT(UPPER(E579)&amp;REPT(" ",15),15)," ")</f>
        <v/>
      </c>
      <c r="V579" s="10">
        <f>REPT(" ",24)</f>
        <v/>
      </c>
      <c r="W579" s="10">
        <f>IF(A579="c",LEFT(UPPER(B579)&amp;REPT(" ",20),20),REPT(" ",20))</f>
        <v/>
      </c>
      <c r="X579" s="10">
        <f>IF(A579="C",LEFT(UPPER(C579)&amp;REPT(" ",10),10)," ")</f>
        <v/>
      </c>
      <c r="Y579" s="10">
        <f>IF(A579="C",LEFT(UPPER(D579)&amp;REPT(" ",2),2)," ")</f>
        <v/>
      </c>
      <c r="Z579" s="10">
        <f>IF(A579="C",LEFT(UPPER(E579)&amp;REPT(" ",15),15)," ")</f>
        <v/>
      </c>
      <c r="AA579" s="10">
        <f>REPT(" ",8)</f>
        <v/>
      </c>
      <c r="AB579" s="10">
        <f>REPT(" ",4)</f>
        <v/>
      </c>
      <c r="AC579" s="10">
        <f>LEFT(UPPER(H579)&amp;REPT(" ",250),250)</f>
        <v/>
      </c>
      <c r="AD579" s="10">
        <f>TEXT($G$2,"dd/mm/aaaa")</f>
        <v/>
      </c>
      <c r="AE579" s="10">
        <f>REPT(" ",10)</f>
        <v/>
      </c>
      <c r="AF579" s="10">
        <f>REPT(" ",20)</f>
        <v/>
      </c>
      <c r="AG579" s="54">
        <f>REPT(" ",18-LEN(FIXED(F579,2,TRUE)))&amp;FIXED(F579,2,TRUE)</f>
        <v/>
      </c>
      <c r="AH579" s="10">
        <f>LEN(AC579)+LEN(AG579)</f>
        <v/>
      </c>
      <c r="AI579" s="10">
        <f>LEN(L579)</f>
        <v/>
      </c>
    </row>
    <row r="580">
      <c r="A580" s="46" t="n"/>
      <c r="B580" s="38" t="n"/>
      <c r="C580" s="41" t="n"/>
      <c r="D580" s="41" t="n"/>
      <c r="E580" s="41" t="n"/>
      <c r="F580" s="88" t="n"/>
      <c r="G580" s="89" t="n"/>
      <c r="H580" s="37" t="n"/>
      <c r="I580" s="42" t="n"/>
      <c r="J580" s="12">
        <f>IF(F580&lt;&gt;0,"LANÇAR","")</f>
        <v/>
      </c>
      <c r="K580" s="20" t="n"/>
      <c r="L580" s="13">
        <f>N580&amp;O580&amp;P580&amp;Q580&amp;R580&amp;S580&amp;T580&amp;U580&amp;V580&amp;W580&amp;X580&amp;Y580&amp;Z580&amp;AA580&amp;AB580&amp;AC580&amp;AD580&amp;AE580&amp;AF580&amp;AG580</f>
        <v/>
      </c>
      <c r="M580" s="20" t="n"/>
      <c r="N580" s="10">
        <f>TEXT($B$6,"00")</f>
        <v/>
      </c>
      <c r="O580" s="10">
        <f>REPT(" ",8)</f>
        <v/>
      </c>
      <c r="P580" s="10">
        <f>RIGHT($B$4,2)</f>
        <v/>
      </c>
      <c r="Q580" s="10">
        <f>RIGHT($B$5,3)</f>
        <v/>
      </c>
      <c r="R580" s="10">
        <f>IF(A580="D",LEFT(UPPER(B580)&amp;REPT(" ",20),20),REPT(" ",20))</f>
        <v/>
      </c>
      <c r="S580" s="10">
        <f>IF(A580="D",LEFT(UPPER(C580)&amp;REPT(" ",10),10)," ")</f>
        <v/>
      </c>
      <c r="T580" s="10">
        <f>IF(A580="D",LEFT(UPPER(D580)&amp;REPT(" ",2),2)," ")</f>
        <v/>
      </c>
      <c r="U580" s="10">
        <f>IF(A580="D",LEFT(UPPER(E580)&amp;REPT(" ",15),15)," ")</f>
        <v/>
      </c>
      <c r="V580" s="10">
        <f>REPT(" ",24)</f>
        <v/>
      </c>
      <c r="W580" s="10">
        <f>IF(A580="c",LEFT(UPPER(B580)&amp;REPT(" ",20),20),REPT(" ",20))</f>
        <v/>
      </c>
      <c r="X580" s="10">
        <f>IF(A580="C",LEFT(UPPER(C580)&amp;REPT(" ",10),10)," ")</f>
        <v/>
      </c>
      <c r="Y580" s="10">
        <f>IF(A580="C",LEFT(UPPER(D580)&amp;REPT(" ",2),2)," ")</f>
        <v/>
      </c>
      <c r="Z580" s="10">
        <f>IF(A580="C",LEFT(UPPER(E580)&amp;REPT(" ",15),15)," ")</f>
        <v/>
      </c>
      <c r="AA580" s="10">
        <f>REPT(" ",8)</f>
        <v/>
      </c>
      <c r="AB580" s="10">
        <f>REPT(" ",4)</f>
        <v/>
      </c>
      <c r="AC580" s="10">
        <f>LEFT(UPPER(H580)&amp;REPT(" ",250),250)</f>
        <v/>
      </c>
      <c r="AD580" s="10">
        <f>TEXT($G$2,"dd/mm/aaaa")</f>
        <v/>
      </c>
      <c r="AE580" s="10">
        <f>REPT(" ",10)</f>
        <v/>
      </c>
      <c r="AF580" s="10">
        <f>REPT(" ",20)</f>
        <v/>
      </c>
      <c r="AG580" s="54">
        <f>REPT(" ",18-LEN(FIXED(F580,2,TRUE)))&amp;FIXED(F580,2,TRUE)</f>
        <v/>
      </c>
      <c r="AH580" s="10">
        <f>LEN(AC580)+LEN(AG580)</f>
        <v/>
      </c>
      <c r="AI580" s="10">
        <f>LEN(L580)</f>
        <v/>
      </c>
    </row>
    <row r="581">
      <c r="A581" s="46" t="n"/>
      <c r="B581" s="38" t="n"/>
      <c r="C581" s="41" t="n"/>
      <c r="D581" s="41" t="n"/>
      <c r="E581" s="41" t="n"/>
      <c r="F581" s="88" t="n"/>
      <c r="G581" s="89" t="n"/>
      <c r="H581" s="37" t="n"/>
      <c r="I581" s="42" t="n"/>
      <c r="J581" s="12">
        <f>IF(F581&lt;&gt;0,"LANÇAR","")</f>
        <v/>
      </c>
      <c r="K581" s="20" t="n"/>
      <c r="L581" s="13">
        <f>N581&amp;O581&amp;P581&amp;Q581&amp;R581&amp;S581&amp;T581&amp;U581&amp;V581&amp;W581&amp;X581&amp;Y581&amp;Z581&amp;AA581&amp;AB581&amp;AC581&amp;AD581&amp;AE581&amp;AF581&amp;AG581</f>
        <v/>
      </c>
      <c r="M581" s="20" t="n"/>
      <c r="N581" s="10">
        <f>TEXT($B$6,"00")</f>
        <v/>
      </c>
      <c r="O581" s="10">
        <f>REPT(" ",8)</f>
        <v/>
      </c>
      <c r="P581" s="10">
        <f>RIGHT($B$4,2)</f>
        <v/>
      </c>
      <c r="Q581" s="10">
        <f>RIGHT($B$5,3)</f>
        <v/>
      </c>
      <c r="R581" s="10">
        <f>IF(A581="D",LEFT(UPPER(B581)&amp;REPT(" ",20),20),REPT(" ",20))</f>
        <v/>
      </c>
      <c r="S581" s="10">
        <f>IF(A581="D",LEFT(UPPER(C581)&amp;REPT(" ",10),10)," ")</f>
        <v/>
      </c>
      <c r="T581" s="10">
        <f>IF(A581="D",LEFT(UPPER(D581)&amp;REPT(" ",2),2)," ")</f>
        <v/>
      </c>
      <c r="U581" s="10">
        <f>IF(A581="D",LEFT(UPPER(E581)&amp;REPT(" ",15),15)," ")</f>
        <v/>
      </c>
      <c r="V581" s="10">
        <f>REPT(" ",24)</f>
        <v/>
      </c>
      <c r="W581" s="10">
        <f>IF(A581="c",LEFT(UPPER(B581)&amp;REPT(" ",20),20),REPT(" ",20))</f>
        <v/>
      </c>
      <c r="X581" s="10">
        <f>IF(A581="C",LEFT(UPPER(C581)&amp;REPT(" ",10),10)," ")</f>
        <v/>
      </c>
      <c r="Y581" s="10">
        <f>IF(A581="C",LEFT(UPPER(D581)&amp;REPT(" ",2),2)," ")</f>
        <v/>
      </c>
      <c r="Z581" s="10">
        <f>IF(A581="C",LEFT(UPPER(E581)&amp;REPT(" ",15),15)," ")</f>
        <v/>
      </c>
      <c r="AA581" s="10">
        <f>REPT(" ",8)</f>
        <v/>
      </c>
      <c r="AB581" s="10">
        <f>REPT(" ",4)</f>
        <v/>
      </c>
      <c r="AC581" s="10">
        <f>LEFT(UPPER(H581)&amp;REPT(" ",250),250)</f>
        <v/>
      </c>
      <c r="AD581" s="10">
        <f>TEXT($G$2,"dd/mm/aaaa")</f>
        <v/>
      </c>
      <c r="AE581" s="10">
        <f>REPT(" ",10)</f>
        <v/>
      </c>
      <c r="AF581" s="10">
        <f>REPT(" ",20)</f>
        <v/>
      </c>
      <c r="AG581" s="54">
        <f>REPT(" ",18-LEN(FIXED(F581,2,TRUE)))&amp;FIXED(F581,2,TRUE)</f>
        <v/>
      </c>
      <c r="AH581" s="10">
        <f>LEN(AC581)+LEN(AG581)</f>
        <v/>
      </c>
      <c r="AI581" s="10">
        <f>LEN(L581)</f>
        <v/>
      </c>
    </row>
    <row r="582">
      <c r="A582" s="46" t="n"/>
      <c r="B582" s="38" t="n"/>
      <c r="C582" s="41" t="n"/>
      <c r="D582" s="41" t="n"/>
      <c r="E582" s="41" t="n"/>
      <c r="F582" s="88" t="n"/>
      <c r="G582" s="89" t="n"/>
      <c r="H582" s="37" t="n"/>
      <c r="I582" s="42" t="n"/>
      <c r="J582" s="12">
        <f>IF(F582&lt;&gt;0,"LANÇAR","")</f>
        <v/>
      </c>
      <c r="K582" s="20" t="n"/>
      <c r="L582" s="13">
        <f>N582&amp;O582&amp;P582&amp;Q582&amp;R582&amp;S582&amp;T582&amp;U582&amp;V582&amp;W582&amp;X582&amp;Y582&amp;Z582&amp;AA582&amp;AB582&amp;AC582&amp;AD582&amp;AE582&amp;AF582&amp;AG582</f>
        <v/>
      </c>
      <c r="M582" s="20" t="n"/>
      <c r="N582" s="10">
        <f>TEXT($B$6,"00")</f>
        <v/>
      </c>
      <c r="O582" s="10">
        <f>REPT(" ",8)</f>
        <v/>
      </c>
      <c r="P582" s="10">
        <f>RIGHT($B$4,2)</f>
        <v/>
      </c>
      <c r="Q582" s="10">
        <f>RIGHT($B$5,3)</f>
        <v/>
      </c>
      <c r="R582" s="10">
        <f>IF(A582="D",LEFT(UPPER(B582)&amp;REPT(" ",20),20),REPT(" ",20))</f>
        <v/>
      </c>
      <c r="S582" s="10">
        <f>IF(A582="D",LEFT(UPPER(C582)&amp;REPT(" ",10),10)," ")</f>
        <v/>
      </c>
      <c r="T582" s="10">
        <f>IF(A582="D",LEFT(UPPER(D582)&amp;REPT(" ",2),2)," ")</f>
        <v/>
      </c>
      <c r="U582" s="10">
        <f>IF(A582="D",LEFT(UPPER(E582)&amp;REPT(" ",15),15)," ")</f>
        <v/>
      </c>
      <c r="V582" s="10">
        <f>REPT(" ",24)</f>
        <v/>
      </c>
      <c r="W582" s="10">
        <f>IF(A582="c",LEFT(UPPER(B582)&amp;REPT(" ",20),20),REPT(" ",20))</f>
        <v/>
      </c>
      <c r="X582" s="10">
        <f>IF(A582="C",LEFT(UPPER(C582)&amp;REPT(" ",10),10)," ")</f>
        <v/>
      </c>
      <c r="Y582" s="10">
        <f>IF(A582="C",LEFT(UPPER(D582)&amp;REPT(" ",2),2)," ")</f>
        <v/>
      </c>
      <c r="Z582" s="10">
        <f>IF(A582="C",LEFT(UPPER(E582)&amp;REPT(" ",15),15)," ")</f>
        <v/>
      </c>
      <c r="AA582" s="10">
        <f>REPT(" ",8)</f>
        <v/>
      </c>
      <c r="AB582" s="10">
        <f>REPT(" ",4)</f>
        <v/>
      </c>
      <c r="AC582" s="10">
        <f>LEFT(UPPER(H582)&amp;REPT(" ",250),250)</f>
        <v/>
      </c>
      <c r="AD582" s="10">
        <f>TEXT($G$2,"dd/mm/aaaa")</f>
        <v/>
      </c>
      <c r="AE582" s="10">
        <f>REPT(" ",10)</f>
        <v/>
      </c>
      <c r="AF582" s="10">
        <f>REPT(" ",20)</f>
        <v/>
      </c>
      <c r="AG582" s="54">
        <f>REPT(" ",18-LEN(FIXED(F582,2,TRUE)))&amp;FIXED(F582,2,TRUE)</f>
        <v/>
      </c>
      <c r="AH582" s="10">
        <f>LEN(AC582)+LEN(AG582)</f>
        <v/>
      </c>
      <c r="AI582" s="10">
        <f>LEN(L582)</f>
        <v/>
      </c>
    </row>
    <row r="583">
      <c r="A583" s="46" t="n"/>
      <c r="B583" s="38" t="n"/>
      <c r="C583" s="41" t="n"/>
      <c r="D583" s="41" t="n"/>
      <c r="E583" s="41" t="n"/>
      <c r="F583" s="88" t="n"/>
      <c r="G583" s="89" t="n"/>
      <c r="H583" s="37" t="n"/>
      <c r="I583" s="42" t="n"/>
      <c r="J583" s="12">
        <f>IF(F583&lt;&gt;0,"LANÇAR","")</f>
        <v/>
      </c>
      <c r="K583" s="20" t="n"/>
      <c r="L583" s="13">
        <f>N583&amp;O583&amp;P583&amp;Q583&amp;R583&amp;S583&amp;T583&amp;U583&amp;V583&amp;W583&amp;X583&amp;Y583&amp;Z583&amp;AA583&amp;AB583&amp;AC583&amp;AD583&amp;AE583&amp;AF583&amp;AG583</f>
        <v/>
      </c>
      <c r="M583" s="20" t="n"/>
      <c r="N583" s="10">
        <f>TEXT($B$6,"00")</f>
        <v/>
      </c>
      <c r="O583" s="10">
        <f>REPT(" ",8)</f>
        <v/>
      </c>
      <c r="P583" s="10">
        <f>RIGHT($B$4,2)</f>
        <v/>
      </c>
      <c r="Q583" s="10">
        <f>RIGHT($B$5,3)</f>
        <v/>
      </c>
      <c r="R583" s="10">
        <f>IF(A583="D",LEFT(UPPER(B583)&amp;REPT(" ",20),20),REPT(" ",20))</f>
        <v/>
      </c>
      <c r="S583" s="10">
        <f>IF(A583="D",LEFT(UPPER(C583)&amp;REPT(" ",10),10)," ")</f>
        <v/>
      </c>
      <c r="T583" s="10">
        <f>IF(A583="D",LEFT(UPPER(D583)&amp;REPT(" ",2),2)," ")</f>
        <v/>
      </c>
      <c r="U583" s="10">
        <f>IF(A583="D",LEFT(UPPER(E583)&amp;REPT(" ",15),15)," ")</f>
        <v/>
      </c>
      <c r="V583" s="10">
        <f>REPT(" ",24)</f>
        <v/>
      </c>
      <c r="W583" s="10">
        <f>IF(A583="c",LEFT(UPPER(B583)&amp;REPT(" ",20),20),REPT(" ",20))</f>
        <v/>
      </c>
      <c r="X583" s="10">
        <f>IF(A583="C",LEFT(UPPER(C583)&amp;REPT(" ",10),10)," ")</f>
        <v/>
      </c>
      <c r="Y583" s="10">
        <f>IF(A583="C",LEFT(UPPER(D583)&amp;REPT(" ",2),2)," ")</f>
        <v/>
      </c>
      <c r="Z583" s="10">
        <f>IF(A583="C",LEFT(UPPER(E583)&amp;REPT(" ",15),15)," ")</f>
        <v/>
      </c>
      <c r="AA583" s="10">
        <f>REPT(" ",8)</f>
        <v/>
      </c>
      <c r="AB583" s="10">
        <f>REPT(" ",4)</f>
        <v/>
      </c>
      <c r="AC583" s="10">
        <f>LEFT(UPPER(H583)&amp;REPT(" ",250),250)</f>
        <v/>
      </c>
      <c r="AD583" s="10">
        <f>TEXT($G$2,"dd/mm/aaaa")</f>
        <v/>
      </c>
      <c r="AE583" s="10">
        <f>REPT(" ",10)</f>
        <v/>
      </c>
      <c r="AF583" s="10">
        <f>REPT(" ",20)</f>
        <v/>
      </c>
      <c r="AG583" s="54">
        <f>REPT(" ",18-LEN(FIXED(F583,2,TRUE)))&amp;FIXED(F583,2,TRUE)</f>
        <v/>
      </c>
      <c r="AH583" s="10">
        <f>LEN(AC583)+LEN(AG583)</f>
        <v/>
      </c>
      <c r="AI583" s="10">
        <f>LEN(L583)</f>
        <v/>
      </c>
    </row>
    <row r="584">
      <c r="A584" s="46" t="n"/>
      <c r="B584" s="38" t="n"/>
      <c r="C584" s="41" t="n"/>
      <c r="D584" s="41" t="n"/>
      <c r="E584" s="41" t="n"/>
      <c r="F584" s="88" t="n"/>
      <c r="G584" s="89" t="n"/>
      <c r="H584" s="37" t="n"/>
      <c r="I584" s="42" t="n"/>
      <c r="J584" s="12">
        <f>IF(F584&lt;&gt;0,"LANÇAR","")</f>
        <v/>
      </c>
      <c r="K584" s="20" t="n"/>
      <c r="L584" s="13">
        <f>N584&amp;O584&amp;P584&amp;Q584&amp;R584&amp;S584&amp;T584&amp;U584&amp;V584&amp;W584&amp;X584&amp;Y584&amp;Z584&amp;AA584&amp;AB584&amp;AC584&amp;AD584&amp;AE584&amp;AF584&amp;AG584</f>
        <v/>
      </c>
      <c r="M584" s="20" t="n"/>
      <c r="N584" s="10">
        <f>TEXT($B$6,"00")</f>
        <v/>
      </c>
      <c r="O584" s="10">
        <f>REPT(" ",8)</f>
        <v/>
      </c>
      <c r="P584" s="10">
        <f>RIGHT($B$4,2)</f>
        <v/>
      </c>
      <c r="Q584" s="10">
        <f>RIGHT($B$5,3)</f>
        <v/>
      </c>
      <c r="R584" s="10">
        <f>IF(A584="D",LEFT(UPPER(B584)&amp;REPT(" ",20),20),REPT(" ",20))</f>
        <v/>
      </c>
      <c r="S584" s="10">
        <f>IF(A584="D",LEFT(UPPER(C584)&amp;REPT(" ",10),10)," ")</f>
        <v/>
      </c>
      <c r="T584" s="10">
        <f>IF(A584="D",LEFT(UPPER(D584)&amp;REPT(" ",2),2)," ")</f>
        <v/>
      </c>
      <c r="U584" s="10">
        <f>IF(A584="D",LEFT(UPPER(E584)&amp;REPT(" ",15),15)," ")</f>
        <v/>
      </c>
      <c r="V584" s="10">
        <f>REPT(" ",24)</f>
        <v/>
      </c>
      <c r="W584" s="10">
        <f>IF(A584="c",LEFT(UPPER(B584)&amp;REPT(" ",20),20),REPT(" ",20))</f>
        <v/>
      </c>
      <c r="X584" s="10">
        <f>IF(A584="C",LEFT(UPPER(C584)&amp;REPT(" ",10),10)," ")</f>
        <v/>
      </c>
      <c r="Y584" s="10">
        <f>IF(A584="C",LEFT(UPPER(D584)&amp;REPT(" ",2),2)," ")</f>
        <v/>
      </c>
      <c r="Z584" s="10">
        <f>IF(A584="C",LEFT(UPPER(E584)&amp;REPT(" ",15),15)," ")</f>
        <v/>
      </c>
      <c r="AA584" s="10">
        <f>REPT(" ",8)</f>
        <v/>
      </c>
      <c r="AB584" s="10">
        <f>REPT(" ",4)</f>
        <v/>
      </c>
      <c r="AC584" s="10">
        <f>LEFT(UPPER(H584)&amp;REPT(" ",250),250)</f>
        <v/>
      </c>
      <c r="AD584" s="10">
        <f>TEXT($G$2,"dd/mm/aaaa")</f>
        <v/>
      </c>
      <c r="AE584" s="10">
        <f>REPT(" ",10)</f>
        <v/>
      </c>
      <c r="AF584" s="10">
        <f>REPT(" ",20)</f>
        <v/>
      </c>
      <c r="AG584" s="54">
        <f>REPT(" ",18-LEN(FIXED(F584,2,TRUE)))&amp;FIXED(F584,2,TRUE)</f>
        <v/>
      </c>
      <c r="AH584" s="10">
        <f>LEN(AC584)+LEN(AG584)</f>
        <v/>
      </c>
      <c r="AI584" s="10">
        <f>LEN(L584)</f>
        <v/>
      </c>
    </row>
    <row r="585">
      <c r="A585" s="46" t="n"/>
      <c r="B585" s="38" t="n"/>
      <c r="C585" s="41" t="n"/>
      <c r="D585" s="41" t="n"/>
      <c r="E585" s="41" t="n"/>
      <c r="F585" s="88" t="n"/>
      <c r="G585" s="89" t="n"/>
      <c r="H585" s="37" t="n"/>
      <c r="I585" s="42" t="n"/>
      <c r="J585" s="12">
        <f>IF(F585&lt;&gt;0,"LANÇAR","")</f>
        <v/>
      </c>
      <c r="K585" s="20" t="n"/>
      <c r="L585" s="13">
        <f>N585&amp;O585&amp;P585&amp;Q585&amp;R585&amp;S585&amp;T585&amp;U585&amp;V585&amp;W585&amp;X585&amp;Y585&amp;Z585&amp;AA585&amp;AB585&amp;AC585&amp;AD585&amp;AE585&amp;AF585&amp;AG585</f>
        <v/>
      </c>
      <c r="M585" s="20" t="n"/>
      <c r="N585" s="10">
        <f>TEXT($B$6,"00")</f>
        <v/>
      </c>
      <c r="O585" s="10">
        <f>REPT(" ",8)</f>
        <v/>
      </c>
      <c r="P585" s="10">
        <f>RIGHT($B$4,2)</f>
        <v/>
      </c>
      <c r="Q585" s="10">
        <f>RIGHT($B$5,3)</f>
        <v/>
      </c>
      <c r="R585" s="10">
        <f>IF(A585="D",LEFT(UPPER(B585)&amp;REPT(" ",20),20),REPT(" ",20))</f>
        <v/>
      </c>
      <c r="S585" s="10">
        <f>IF(A585="D",LEFT(UPPER(C585)&amp;REPT(" ",10),10)," ")</f>
        <v/>
      </c>
      <c r="T585" s="10">
        <f>IF(A585="D",LEFT(UPPER(D585)&amp;REPT(" ",2),2)," ")</f>
        <v/>
      </c>
      <c r="U585" s="10">
        <f>IF(A585="D",LEFT(UPPER(E585)&amp;REPT(" ",15),15)," ")</f>
        <v/>
      </c>
      <c r="V585" s="10">
        <f>REPT(" ",24)</f>
        <v/>
      </c>
      <c r="W585" s="10">
        <f>IF(A585="c",LEFT(UPPER(B585)&amp;REPT(" ",20),20),REPT(" ",20))</f>
        <v/>
      </c>
      <c r="X585" s="10">
        <f>IF(A585="C",LEFT(UPPER(C585)&amp;REPT(" ",10),10)," ")</f>
        <v/>
      </c>
      <c r="Y585" s="10">
        <f>IF(A585="C",LEFT(UPPER(D585)&amp;REPT(" ",2),2)," ")</f>
        <v/>
      </c>
      <c r="Z585" s="10">
        <f>IF(A585="C",LEFT(UPPER(E585)&amp;REPT(" ",15),15)," ")</f>
        <v/>
      </c>
      <c r="AA585" s="10">
        <f>REPT(" ",8)</f>
        <v/>
      </c>
      <c r="AB585" s="10">
        <f>REPT(" ",4)</f>
        <v/>
      </c>
      <c r="AC585" s="10">
        <f>LEFT(UPPER(H585)&amp;REPT(" ",250),250)</f>
        <v/>
      </c>
      <c r="AD585" s="10">
        <f>TEXT($G$2,"dd/mm/aaaa")</f>
        <v/>
      </c>
      <c r="AE585" s="10">
        <f>REPT(" ",10)</f>
        <v/>
      </c>
      <c r="AF585" s="10">
        <f>REPT(" ",20)</f>
        <v/>
      </c>
      <c r="AG585" s="54">
        <f>REPT(" ",18-LEN(FIXED(F585,2,TRUE)))&amp;FIXED(F585,2,TRUE)</f>
        <v/>
      </c>
      <c r="AH585" s="10">
        <f>LEN(AC585)+LEN(AG585)</f>
        <v/>
      </c>
      <c r="AI585" s="10">
        <f>LEN(L585)</f>
        <v/>
      </c>
    </row>
    <row r="586">
      <c r="A586" s="46" t="n"/>
      <c r="B586" s="38" t="n"/>
      <c r="C586" s="41" t="n"/>
      <c r="D586" s="41" t="n"/>
      <c r="E586" s="41" t="n"/>
      <c r="F586" s="88" t="n"/>
      <c r="G586" s="89" t="n"/>
      <c r="H586" s="37" t="n"/>
      <c r="I586" s="42" t="n"/>
      <c r="J586" s="12">
        <f>IF(F586&lt;&gt;0,"LANÇAR","")</f>
        <v/>
      </c>
      <c r="K586" s="20" t="n"/>
      <c r="L586" s="13">
        <f>N586&amp;O586&amp;P586&amp;Q586&amp;R586&amp;S586&amp;T586&amp;U586&amp;V586&amp;W586&amp;X586&amp;Y586&amp;Z586&amp;AA586&amp;AB586&amp;AC586&amp;AD586&amp;AE586&amp;AF586&amp;AG586</f>
        <v/>
      </c>
      <c r="M586" s="20" t="n"/>
      <c r="N586" s="10">
        <f>TEXT($B$6,"00")</f>
        <v/>
      </c>
      <c r="O586" s="10">
        <f>REPT(" ",8)</f>
        <v/>
      </c>
      <c r="P586" s="10">
        <f>RIGHT($B$4,2)</f>
        <v/>
      </c>
      <c r="Q586" s="10">
        <f>RIGHT($B$5,3)</f>
        <v/>
      </c>
      <c r="R586" s="10">
        <f>IF(A586="D",LEFT(UPPER(B586)&amp;REPT(" ",20),20),REPT(" ",20))</f>
        <v/>
      </c>
      <c r="S586" s="10">
        <f>IF(A586="D",LEFT(UPPER(C586)&amp;REPT(" ",10),10)," ")</f>
        <v/>
      </c>
      <c r="T586" s="10">
        <f>IF(A586="D",LEFT(UPPER(D586)&amp;REPT(" ",2),2)," ")</f>
        <v/>
      </c>
      <c r="U586" s="10">
        <f>IF(A586="D",LEFT(UPPER(E586)&amp;REPT(" ",15),15)," ")</f>
        <v/>
      </c>
      <c r="V586" s="10">
        <f>REPT(" ",24)</f>
        <v/>
      </c>
      <c r="W586" s="10">
        <f>IF(A586="c",LEFT(UPPER(B586)&amp;REPT(" ",20),20),REPT(" ",20))</f>
        <v/>
      </c>
      <c r="X586" s="10">
        <f>IF(A586="C",LEFT(UPPER(C586)&amp;REPT(" ",10),10)," ")</f>
        <v/>
      </c>
      <c r="Y586" s="10">
        <f>IF(A586="C",LEFT(UPPER(D586)&amp;REPT(" ",2),2)," ")</f>
        <v/>
      </c>
      <c r="Z586" s="10">
        <f>IF(A586="C",LEFT(UPPER(E586)&amp;REPT(" ",15),15)," ")</f>
        <v/>
      </c>
      <c r="AA586" s="10">
        <f>REPT(" ",8)</f>
        <v/>
      </c>
      <c r="AB586" s="10">
        <f>REPT(" ",4)</f>
        <v/>
      </c>
      <c r="AC586" s="10">
        <f>LEFT(UPPER(H586)&amp;REPT(" ",250),250)</f>
        <v/>
      </c>
      <c r="AD586" s="10">
        <f>TEXT($G$2,"dd/mm/aaaa")</f>
        <v/>
      </c>
      <c r="AE586" s="10">
        <f>REPT(" ",10)</f>
        <v/>
      </c>
      <c r="AF586" s="10">
        <f>REPT(" ",20)</f>
        <v/>
      </c>
      <c r="AG586" s="54">
        <f>REPT(" ",18-LEN(FIXED(F586,2,TRUE)))&amp;FIXED(F586,2,TRUE)</f>
        <v/>
      </c>
      <c r="AH586" s="10">
        <f>LEN(AC586)+LEN(AG586)</f>
        <v/>
      </c>
      <c r="AI586" s="10">
        <f>LEN(L586)</f>
        <v/>
      </c>
    </row>
    <row r="587">
      <c r="A587" s="46" t="n"/>
      <c r="B587" s="38" t="n"/>
      <c r="C587" s="41" t="n"/>
      <c r="D587" s="41" t="n"/>
      <c r="E587" s="41" t="n"/>
      <c r="F587" s="88" t="n"/>
      <c r="G587" s="89" t="n"/>
      <c r="H587" s="37" t="n"/>
      <c r="I587" s="42" t="n"/>
      <c r="J587" s="12">
        <f>IF(F587&lt;&gt;0,"LANÇAR","")</f>
        <v/>
      </c>
      <c r="K587" s="20" t="n"/>
      <c r="L587" s="13">
        <f>N587&amp;O587&amp;P587&amp;Q587&amp;R587&amp;S587&amp;T587&amp;U587&amp;V587&amp;W587&amp;X587&amp;Y587&amp;Z587&amp;AA587&amp;AB587&amp;AC587&amp;AD587&amp;AE587&amp;AF587&amp;AG587</f>
        <v/>
      </c>
      <c r="M587" s="20" t="n"/>
      <c r="N587" s="10">
        <f>TEXT($B$6,"00")</f>
        <v/>
      </c>
      <c r="O587" s="10">
        <f>REPT(" ",8)</f>
        <v/>
      </c>
      <c r="P587" s="10">
        <f>RIGHT($B$4,2)</f>
        <v/>
      </c>
      <c r="Q587" s="10">
        <f>RIGHT($B$5,3)</f>
        <v/>
      </c>
      <c r="R587" s="10">
        <f>IF(A587="D",LEFT(UPPER(B587)&amp;REPT(" ",20),20),REPT(" ",20))</f>
        <v/>
      </c>
      <c r="S587" s="10">
        <f>IF(A587="D",LEFT(UPPER(C587)&amp;REPT(" ",10),10)," ")</f>
        <v/>
      </c>
      <c r="T587" s="10">
        <f>IF(A587="D",LEFT(UPPER(D587)&amp;REPT(" ",2),2)," ")</f>
        <v/>
      </c>
      <c r="U587" s="10">
        <f>IF(A587="D",LEFT(UPPER(E587)&amp;REPT(" ",15),15)," ")</f>
        <v/>
      </c>
      <c r="V587" s="10">
        <f>REPT(" ",24)</f>
        <v/>
      </c>
      <c r="W587" s="10">
        <f>IF(A587="c",LEFT(UPPER(B587)&amp;REPT(" ",20),20),REPT(" ",20))</f>
        <v/>
      </c>
      <c r="X587" s="10">
        <f>IF(A587="C",LEFT(UPPER(C587)&amp;REPT(" ",10),10)," ")</f>
        <v/>
      </c>
      <c r="Y587" s="10">
        <f>IF(A587="C",LEFT(UPPER(D587)&amp;REPT(" ",2),2)," ")</f>
        <v/>
      </c>
      <c r="Z587" s="10">
        <f>IF(A587="C",LEFT(UPPER(E587)&amp;REPT(" ",15),15)," ")</f>
        <v/>
      </c>
      <c r="AA587" s="10">
        <f>REPT(" ",8)</f>
        <v/>
      </c>
      <c r="AB587" s="10">
        <f>REPT(" ",4)</f>
        <v/>
      </c>
      <c r="AC587" s="10">
        <f>LEFT(UPPER(H587)&amp;REPT(" ",250),250)</f>
        <v/>
      </c>
      <c r="AD587" s="10">
        <f>TEXT($G$2,"dd/mm/aaaa")</f>
        <v/>
      </c>
      <c r="AE587" s="10">
        <f>REPT(" ",10)</f>
        <v/>
      </c>
      <c r="AF587" s="10">
        <f>REPT(" ",20)</f>
        <v/>
      </c>
      <c r="AG587" s="54">
        <f>REPT(" ",18-LEN(FIXED(F587,2,TRUE)))&amp;FIXED(F587,2,TRUE)</f>
        <v/>
      </c>
      <c r="AH587" s="10">
        <f>LEN(AC587)+LEN(AG587)</f>
        <v/>
      </c>
      <c r="AI587" s="10">
        <f>LEN(L587)</f>
        <v/>
      </c>
    </row>
    <row r="588">
      <c r="A588" s="46" t="n"/>
      <c r="B588" s="38" t="n"/>
      <c r="C588" s="41" t="n"/>
      <c r="D588" s="41" t="n"/>
      <c r="E588" s="41" t="n"/>
      <c r="F588" s="88" t="n"/>
      <c r="G588" s="89" t="n"/>
      <c r="H588" s="37" t="n"/>
      <c r="I588" s="42" t="n"/>
      <c r="J588" s="12">
        <f>IF(F588&lt;&gt;0,"LANÇAR","")</f>
        <v/>
      </c>
      <c r="K588" s="20" t="n"/>
      <c r="L588" s="13">
        <f>N588&amp;O588&amp;P588&amp;Q588&amp;R588&amp;S588&amp;T588&amp;U588&amp;V588&amp;W588&amp;X588&amp;Y588&amp;Z588&amp;AA588&amp;AB588&amp;AC588&amp;AD588&amp;AE588&amp;AF588&amp;AG588</f>
        <v/>
      </c>
      <c r="M588" s="20" t="n"/>
      <c r="N588" s="10">
        <f>TEXT($B$6,"00")</f>
        <v/>
      </c>
      <c r="O588" s="10">
        <f>REPT(" ",8)</f>
        <v/>
      </c>
      <c r="P588" s="10">
        <f>RIGHT($B$4,2)</f>
        <v/>
      </c>
      <c r="Q588" s="10">
        <f>RIGHT($B$5,3)</f>
        <v/>
      </c>
      <c r="R588" s="10">
        <f>IF(A588="D",LEFT(UPPER(B588)&amp;REPT(" ",20),20),REPT(" ",20))</f>
        <v/>
      </c>
      <c r="S588" s="10">
        <f>IF(A588="D",LEFT(UPPER(C588)&amp;REPT(" ",10),10)," ")</f>
        <v/>
      </c>
      <c r="T588" s="10">
        <f>IF(A588="D",LEFT(UPPER(D588)&amp;REPT(" ",2),2)," ")</f>
        <v/>
      </c>
      <c r="U588" s="10">
        <f>IF(A588="D",LEFT(UPPER(E588)&amp;REPT(" ",15),15)," ")</f>
        <v/>
      </c>
      <c r="V588" s="10">
        <f>REPT(" ",24)</f>
        <v/>
      </c>
      <c r="W588" s="10">
        <f>IF(A588="c",LEFT(UPPER(B588)&amp;REPT(" ",20),20),REPT(" ",20))</f>
        <v/>
      </c>
      <c r="X588" s="10">
        <f>IF(A588="C",LEFT(UPPER(C588)&amp;REPT(" ",10),10)," ")</f>
        <v/>
      </c>
      <c r="Y588" s="10">
        <f>IF(A588="C",LEFT(UPPER(D588)&amp;REPT(" ",2),2)," ")</f>
        <v/>
      </c>
      <c r="Z588" s="10">
        <f>IF(A588="C",LEFT(UPPER(E588)&amp;REPT(" ",15),15)," ")</f>
        <v/>
      </c>
      <c r="AA588" s="10">
        <f>REPT(" ",8)</f>
        <v/>
      </c>
      <c r="AB588" s="10">
        <f>REPT(" ",4)</f>
        <v/>
      </c>
      <c r="AC588" s="10">
        <f>LEFT(UPPER(H588)&amp;REPT(" ",250),250)</f>
        <v/>
      </c>
      <c r="AD588" s="10">
        <f>TEXT($G$2,"dd/mm/aaaa")</f>
        <v/>
      </c>
      <c r="AE588" s="10">
        <f>REPT(" ",10)</f>
        <v/>
      </c>
      <c r="AF588" s="10">
        <f>REPT(" ",20)</f>
        <v/>
      </c>
      <c r="AG588" s="54">
        <f>REPT(" ",18-LEN(FIXED(F588,2,TRUE)))&amp;FIXED(F588,2,TRUE)</f>
        <v/>
      </c>
      <c r="AH588" s="10">
        <f>LEN(AC588)+LEN(AG588)</f>
        <v/>
      </c>
      <c r="AI588" s="10">
        <f>LEN(L588)</f>
        <v/>
      </c>
    </row>
    <row r="589">
      <c r="A589" s="46" t="n"/>
      <c r="B589" s="38" t="n"/>
      <c r="C589" s="41" t="n"/>
      <c r="D589" s="41" t="n"/>
      <c r="E589" s="41" t="n"/>
      <c r="F589" s="88" t="n"/>
      <c r="G589" s="89" t="n"/>
      <c r="H589" s="37" t="n"/>
      <c r="I589" s="42" t="n"/>
      <c r="J589" s="12">
        <f>IF(F589&lt;&gt;0,"LANÇAR","")</f>
        <v/>
      </c>
      <c r="K589" s="20" t="n"/>
      <c r="L589" s="13">
        <f>N589&amp;O589&amp;P589&amp;Q589&amp;R589&amp;S589&amp;T589&amp;U589&amp;V589&amp;W589&amp;X589&amp;Y589&amp;Z589&amp;AA589&amp;AB589&amp;AC589&amp;AD589&amp;AE589&amp;AF589&amp;AG589</f>
        <v/>
      </c>
      <c r="M589" s="20" t="n"/>
      <c r="N589" s="10">
        <f>TEXT($B$6,"00")</f>
        <v/>
      </c>
      <c r="O589" s="10">
        <f>REPT(" ",8)</f>
        <v/>
      </c>
      <c r="P589" s="10">
        <f>RIGHT($B$4,2)</f>
        <v/>
      </c>
      <c r="Q589" s="10">
        <f>RIGHT($B$5,3)</f>
        <v/>
      </c>
      <c r="R589" s="10">
        <f>IF(A589="D",LEFT(UPPER(B589)&amp;REPT(" ",20),20),REPT(" ",20))</f>
        <v/>
      </c>
      <c r="S589" s="10">
        <f>IF(A589="D",LEFT(UPPER(C589)&amp;REPT(" ",10),10)," ")</f>
        <v/>
      </c>
      <c r="T589" s="10">
        <f>IF(A589="D",LEFT(UPPER(D589)&amp;REPT(" ",2),2)," ")</f>
        <v/>
      </c>
      <c r="U589" s="10">
        <f>IF(A589="D",LEFT(UPPER(E589)&amp;REPT(" ",15),15)," ")</f>
        <v/>
      </c>
      <c r="V589" s="10">
        <f>REPT(" ",24)</f>
        <v/>
      </c>
      <c r="W589" s="10">
        <f>IF(A589="c",LEFT(UPPER(B589)&amp;REPT(" ",20),20),REPT(" ",20))</f>
        <v/>
      </c>
      <c r="X589" s="10">
        <f>IF(A589="C",LEFT(UPPER(C589)&amp;REPT(" ",10),10)," ")</f>
        <v/>
      </c>
      <c r="Y589" s="10">
        <f>IF(A589="C",LEFT(UPPER(D589)&amp;REPT(" ",2),2)," ")</f>
        <v/>
      </c>
      <c r="Z589" s="10">
        <f>IF(A589="C",LEFT(UPPER(E589)&amp;REPT(" ",15),15)," ")</f>
        <v/>
      </c>
      <c r="AA589" s="10">
        <f>REPT(" ",8)</f>
        <v/>
      </c>
      <c r="AB589" s="10">
        <f>REPT(" ",4)</f>
        <v/>
      </c>
      <c r="AC589" s="10">
        <f>LEFT(UPPER(H589)&amp;REPT(" ",250),250)</f>
        <v/>
      </c>
      <c r="AD589" s="10">
        <f>TEXT($G$2,"dd/mm/aaaa")</f>
        <v/>
      </c>
      <c r="AE589" s="10">
        <f>REPT(" ",10)</f>
        <v/>
      </c>
      <c r="AF589" s="10">
        <f>REPT(" ",20)</f>
        <v/>
      </c>
      <c r="AG589" s="54">
        <f>REPT(" ",18-LEN(FIXED(F589,2,TRUE)))&amp;FIXED(F589,2,TRUE)</f>
        <v/>
      </c>
      <c r="AH589" s="10">
        <f>LEN(AC589)+LEN(AG589)</f>
        <v/>
      </c>
      <c r="AI589" s="10">
        <f>LEN(L589)</f>
        <v/>
      </c>
    </row>
    <row r="590">
      <c r="A590" s="46" t="n"/>
      <c r="B590" s="38" t="n"/>
      <c r="C590" s="41" t="n"/>
      <c r="D590" s="41" t="n"/>
      <c r="E590" s="41" t="n"/>
      <c r="F590" s="88" t="n"/>
      <c r="G590" s="89" t="n"/>
      <c r="H590" s="37" t="n"/>
      <c r="I590" s="42" t="n"/>
      <c r="J590" s="12">
        <f>IF(F590&lt;&gt;0,"LANÇAR","")</f>
        <v/>
      </c>
      <c r="K590" s="20" t="n"/>
      <c r="L590" s="13">
        <f>N590&amp;O590&amp;P590&amp;Q590&amp;R590&amp;S590&amp;T590&amp;U590&amp;V590&amp;W590&amp;X590&amp;Y590&amp;Z590&amp;AA590&amp;AB590&amp;AC590&amp;AD590&amp;AE590&amp;AF590&amp;AG590</f>
        <v/>
      </c>
      <c r="M590" s="20" t="n"/>
      <c r="N590" s="10">
        <f>TEXT($B$6,"00")</f>
        <v/>
      </c>
      <c r="O590" s="10">
        <f>REPT(" ",8)</f>
        <v/>
      </c>
      <c r="P590" s="10">
        <f>RIGHT($B$4,2)</f>
        <v/>
      </c>
      <c r="Q590" s="10">
        <f>RIGHT($B$5,3)</f>
        <v/>
      </c>
      <c r="R590" s="10">
        <f>IF(A590="D",LEFT(UPPER(B590)&amp;REPT(" ",20),20),REPT(" ",20))</f>
        <v/>
      </c>
      <c r="S590" s="10">
        <f>IF(A590="D",LEFT(UPPER(C590)&amp;REPT(" ",10),10)," ")</f>
        <v/>
      </c>
      <c r="T590" s="10">
        <f>IF(A590="D",LEFT(UPPER(D590)&amp;REPT(" ",2),2)," ")</f>
        <v/>
      </c>
      <c r="U590" s="10">
        <f>IF(A590="D",LEFT(UPPER(E590)&amp;REPT(" ",15),15)," ")</f>
        <v/>
      </c>
      <c r="V590" s="10">
        <f>REPT(" ",24)</f>
        <v/>
      </c>
      <c r="W590" s="10">
        <f>IF(A590="c",LEFT(UPPER(B590)&amp;REPT(" ",20),20),REPT(" ",20))</f>
        <v/>
      </c>
      <c r="X590" s="10">
        <f>IF(A590="C",LEFT(UPPER(C590)&amp;REPT(" ",10),10)," ")</f>
        <v/>
      </c>
      <c r="Y590" s="10">
        <f>IF(A590="C",LEFT(UPPER(D590)&amp;REPT(" ",2),2)," ")</f>
        <v/>
      </c>
      <c r="Z590" s="10">
        <f>IF(A590="C",LEFT(UPPER(E590)&amp;REPT(" ",15),15)," ")</f>
        <v/>
      </c>
      <c r="AA590" s="10">
        <f>REPT(" ",8)</f>
        <v/>
      </c>
      <c r="AB590" s="10">
        <f>REPT(" ",4)</f>
        <v/>
      </c>
      <c r="AC590" s="10">
        <f>LEFT(UPPER(H590)&amp;REPT(" ",250),250)</f>
        <v/>
      </c>
      <c r="AD590" s="10">
        <f>TEXT($G$2,"dd/mm/aaaa")</f>
        <v/>
      </c>
      <c r="AE590" s="10">
        <f>REPT(" ",10)</f>
        <v/>
      </c>
      <c r="AF590" s="10">
        <f>REPT(" ",20)</f>
        <v/>
      </c>
      <c r="AG590" s="54">
        <f>REPT(" ",18-LEN(FIXED(F590,2,TRUE)))&amp;FIXED(F590,2,TRUE)</f>
        <v/>
      </c>
      <c r="AH590" s="10">
        <f>LEN(AC590)+LEN(AG590)</f>
        <v/>
      </c>
      <c r="AI590" s="10">
        <f>LEN(L590)</f>
        <v/>
      </c>
    </row>
    <row r="591">
      <c r="A591" s="46" t="n"/>
      <c r="B591" s="38" t="n"/>
      <c r="C591" s="41" t="n"/>
      <c r="D591" s="41" t="n"/>
      <c r="E591" s="41" t="n"/>
      <c r="F591" s="88" t="n"/>
      <c r="G591" s="89" t="n"/>
      <c r="H591" s="37" t="n"/>
      <c r="I591" s="42" t="n"/>
      <c r="J591" s="12">
        <f>IF(F591&lt;&gt;0,"LANÇAR","")</f>
        <v/>
      </c>
      <c r="K591" s="20" t="n"/>
      <c r="L591" s="13">
        <f>N591&amp;O591&amp;P591&amp;Q591&amp;R591&amp;S591&amp;T591&amp;U591&amp;V591&amp;W591&amp;X591&amp;Y591&amp;Z591&amp;AA591&amp;AB591&amp;AC591&amp;AD591&amp;AE591&amp;AF591&amp;AG591</f>
        <v/>
      </c>
      <c r="M591" s="20" t="n"/>
      <c r="N591" s="10">
        <f>TEXT($B$6,"00")</f>
        <v/>
      </c>
      <c r="O591" s="10">
        <f>REPT(" ",8)</f>
        <v/>
      </c>
      <c r="P591" s="10">
        <f>RIGHT($B$4,2)</f>
        <v/>
      </c>
      <c r="Q591" s="10">
        <f>RIGHT($B$5,3)</f>
        <v/>
      </c>
      <c r="R591" s="10">
        <f>IF(A591="D",LEFT(UPPER(B591)&amp;REPT(" ",20),20),REPT(" ",20))</f>
        <v/>
      </c>
      <c r="S591" s="10">
        <f>IF(A591="D",LEFT(UPPER(C591)&amp;REPT(" ",10),10)," ")</f>
        <v/>
      </c>
      <c r="T591" s="10">
        <f>IF(A591="D",LEFT(UPPER(D591)&amp;REPT(" ",2),2)," ")</f>
        <v/>
      </c>
      <c r="U591" s="10">
        <f>IF(A591="D",LEFT(UPPER(E591)&amp;REPT(" ",15),15)," ")</f>
        <v/>
      </c>
      <c r="V591" s="10">
        <f>REPT(" ",24)</f>
        <v/>
      </c>
      <c r="W591" s="10">
        <f>IF(A591="c",LEFT(UPPER(B591)&amp;REPT(" ",20),20),REPT(" ",20))</f>
        <v/>
      </c>
      <c r="X591" s="10">
        <f>IF(A591="C",LEFT(UPPER(C591)&amp;REPT(" ",10),10)," ")</f>
        <v/>
      </c>
      <c r="Y591" s="10">
        <f>IF(A591="C",LEFT(UPPER(D591)&amp;REPT(" ",2),2)," ")</f>
        <v/>
      </c>
      <c r="Z591" s="10">
        <f>IF(A591="C",LEFT(UPPER(E591)&amp;REPT(" ",15),15)," ")</f>
        <v/>
      </c>
      <c r="AA591" s="10">
        <f>REPT(" ",8)</f>
        <v/>
      </c>
      <c r="AB591" s="10">
        <f>REPT(" ",4)</f>
        <v/>
      </c>
      <c r="AC591" s="10">
        <f>LEFT(UPPER(H591)&amp;REPT(" ",250),250)</f>
        <v/>
      </c>
      <c r="AD591" s="10">
        <f>TEXT($G$2,"dd/mm/aaaa")</f>
        <v/>
      </c>
      <c r="AE591" s="10">
        <f>REPT(" ",10)</f>
        <v/>
      </c>
      <c r="AF591" s="10">
        <f>REPT(" ",20)</f>
        <v/>
      </c>
      <c r="AG591" s="54">
        <f>REPT(" ",18-LEN(FIXED(F591,2,TRUE)))&amp;FIXED(F591,2,TRUE)</f>
        <v/>
      </c>
      <c r="AH591" s="10">
        <f>LEN(AC591)+LEN(AG591)</f>
        <v/>
      </c>
      <c r="AI591" s="10">
        <f>LEN(L591)</f>
        <v/>
      </c>
    </row>
    <row r="592">
      <c r="A592" s="46" t="n"/>
      <c r="B592" s="38" t="n"/>
      <c r="C592" s="41" t="n"/>
      <c r="D592" s="41" t="n"/>
      <c r="E592" s="41" t="n"/>
      <c r="F592" s="88" t="n"/>
      <c r="G592" s="89" t="n"/>
      <c r="H592" s="37" t="n"/>
      <c r="I592" s="42" t="n"/>
      <c r="J592" s="12">
        <f>IF(F592&lt;&gt;0,"LANÇAR","")</f>
        <v/>
      </c>
      <c r="K592" s="20" t="n"/>
      <c r="L592" s="13">
        <f>N592&amp;O592&amp;P592&amp;Q592&amp;R592&amp;S592&amp;T592&amp;U592&amp;V592&amp;W592&amp;X592&amp;Y592&amp;Z592&amp;AA592&amp;AB592&amp;AC592&amp;AD592&amp;AE592&amp;AF592&amp;AG592</f>
        <v/>
      </c>
      <c r="M592" s="20" t="n"/>
      <c r="N592" s="10">
        <f>TEXT($B$6,"00")</f>
        <v/>
      </c>
      <c r="O592" s="10">
        <f>REPT(" ",8)</f>
        <v/>
      </c>
      <c r="P592" s="10">
        <f>RIGHT($B$4,2)</f>
        <v/>
      </c>
      <c r="Q592" s="10">
        <f>RIGHT($B$5,3)</f>
        <v/>
      </c>
      <c r="R592" s="10">
        <f>IF(A592="D",LEFT(UPPER(B592)&amp;REPT(" ",20),20),REPT(" ",20))</f>
        <v/>
      </c>
      <c r="S592" s="10">
        <f>IF(A592="D",LEFT(UPPER(C592)&amp;REPT(" ",10),10)," ")</f>
        <v/>
      </c>
      <c r="T592" s="10">
        <f>IF(A592="D",LEFT(UPPER(D592)&amp;REPT(" ",2),2)," ")</f>
        <v/>
      </c>
      <c r="U592" s="10">
        <f>IF(A592="D",LEFT(UPPER(E592)&amp;REPT(" ",15),15)," ")</f>
        <v/>
      </c>
      <c r="V592" s="10">
        <f>REPT(" ",24)</f>
        <v/>
      </c>
      <c r="W592" s="10">
        <f>IF(A592="c",LEFT(UPPER(B592)&amp;REPT(" ",20),20),REPT(" ",20))</f>
        <v/>
      </c>
      <c r="X592" s="10">
        <f>IF(A592="C",LEFT(UPPER(C592)&amp;REPT(" ",10),10)," ")</f>
        <v/>
      </c>
      <c r="Y592" s="10">
        <f>IF(A592="C",LEFT(UPPER(D592)&amp;REPT(" ",2),2)," ")</f>
        <v/>
      </c>
      <c r="Z592" s="10">
        <f>IF(A592="C",LEFT(UPPER(E592)&amp;REPT(" ",15),15)," ")</f>
        <v/>
      </c>
      <c r="AA592" s="10">
        <f>REPT(" ",8)</f>
        <v/>
      </c>
      <c r="AB592" s="10">
        <f>REPT(" ",4)</f>
        <v/>
      </c>
      <c r="AC592" s="10">
        <f>LEFT(UPPER(H592)&amp;REPT(" ",250),250)</f>
        <v/>
      </c>
      <c r="AD592" s="10">
        <f>TEXT($G$2,"dd/mm/aaaa")</f>
        <v/>
      </c>
      <c r="AE592" s="10">
        <f>REPT(" ",10)</f>
        <v/>
      </c>
      <c r="AF592" s="10">
        <f>REPT(" ",20)</f>
        <v/>
      </c>
      <c r="AG592" s="54">
        <f>REPT(" ",18-LEN(FIXED(F592,2,TRUE)))&amp;FIXED(F592,2,TRUE)</f>
        <v/>
      </c>
      <c r="AH592" s="10">
        <f>LEN(AC592)+LEN(AG592)</f>
        <v/>
      </c>
      <c r="AI592" s="10">
        <f>LEN(L592)</f>
        <v/>
      </c>
    </row>
    <row r="593">
      <c r="A593" s="46" t="n"/>
      <c r="B593" s="38" t="n"/>
      <c r="C593" s="41" t="n"/>
      <c r="D593" s="41" t="n"/>
      <c r="E593" s="41" t="n"/>
      <c r="F593" s="88" t="n"/>
      <c r="G593" s="89" t="n"/>
      <c r="H593" s="37" t="n"/>
      <c r="I593" s="42" t="n"/>
      <c r="J593" s="12">
        <f>IF(F593&lt;&gt;0,"LANÇAR","")</f>
        <v/>
      </c>
      <c r="K593" s="20" t="n"/>
      <c r="L593" s="13">
        <f>N593&amp;O593&amp;P593&amp;Q593&amp;R593&amp;S593&amp;T593&amp;U593&amp;V593&amp;W593&amp;X593&amp;Y593&amp;Z593&amp;AA593&amp;AB593&amp;AC593&amp;AD593&amp;AE593&amp;AF593&amp;AG593</f>
        <v/>
      </c>
      <c r="M593" s="20" t="n"/>
      <c r="N593" s="10">
        <f>TEXT($B$6,"00")</f>
        <v/>
      </c>
      <c r="O593" s="10">
        <f>REPT(" ",8)</f>
        <v/>
      </c>
      <c r="P593" s="10">
        <f>RIGHT($B$4,2)</f>
        <v/>
      </c>
      <c r="Q593" s="10">
        <f>RIGHT($B$5,3)</f>
        <v/>
      </c>
      <c r="R593" s="10">
        <f>IF(A593="D",LEFT(UPPER(B593)&amp;REPT(" ",20),20),REPT(" ",20))</f>
        <v/>
      </c>
      <c r="S593" s="10">
        <f>IF(A593="D",LEFT(UPPER(C593)&amp;REPT(" ",10),10)," ")</f>
        <v/>
      </c>
      <c r="T593" s="10">
        <f>IF(A593="D",LEFT(UPPER(D593)&amp;REPT(" ",2),2)," ")</f>
        <v/>
      </c>
      <c r="U593" s="10">
        <f>IF(A593="D",LEFT(UPPER(E593)&amp;REPT(" ",15),15)," ")</f>
        <v/>
      </c>
      <c r="V593" s="10">
        <f>REPT(" ",24)</f>
        <v/>
      </c>
      <c r="W593" s="10">
        <f>IF(A593="c",LEFT(UPPER(B593)&amp;REPT(" ",20),20),REPT(" ",20))</f>
        <v/>
      </c>
      <c r="X593" s="10">
        <f>IF(A593="C",LEFT(UPPER(C593)&amp;REPT(" ",10),10)," ")</f>
        <v/>
      </c>
      <c r="Y593" s="10">
        <f>IF(A593="C",LEFT(UPPER(D593)&amp;REPT(" ",2),2)," ")</f>
        <v/>
      </c>
      <c r="Z593" s="10">
        <f>IF(A593="C",LEFT(UPPER(E593)&amp;REPT(" ",15),15)," ")</f>
        <v/>
      </c>
      <c r="AA593" s="10">
        <f>REPT(" ",8)</f>
        <v/>
      </c>
      <c r="AB593" s="10">
        <f>REPT(" ",4)</f>
        <v/>
      </c>
      <c r="AC593" s="10">
        <f>LEFT(UPPER(H593)&amp;REPT(" ",250),250)</f>
        <v/>
      </c>
      <c r="AD593" s="10">
        <f>TEXT($G$2,"dd/mm/aaaa")</f>
        <v/>
      </c>
      <c r="AE593" s="10">
        <f>REPT(" ",10)</f>
        <v/>
      </c>
      <c r="AF593" s="10">
        <f>REPT(" ",20)</f>
        <v/>
      </c>
      <c r="AG593" s="54">
        <f>REPT(" ",18-LEN(FIXED(F593,2,TRUE)))&amp;FIXED(F593,2,TRUE)</f>
        <v/>
      </c>
      <c r="AH593" s="10">
        <f>LEN(AC593)+LEN(AG593)</f>
        <v/>
      </c>
      <c r="AI593" s="10">
        <f>LEN(L593)</f>
        <v/>
      </c>
    </row>
    <row r="594">
      <c r="A594" s="46" t="n"/>
      <c r="B594" s="38" t="n"/>
      <c r="C594" s="41" t="n"/>
      <c r="D594" s="41" t="n"/>
      <c r="E594" s="41" t="n"/>
      <c r="F594" s="88" t="n"/>
      <c r="G594" s="89" t="n"/>
      <c r="H594" s="37" t="n"/>
      <c r="I594" s="42" t="n"/>
      <c r="J594" s="12">
        <f>IF(F594&lt;&gt;0,"LANÇAR","")</f>
        <v/>
      </c>
      <c r="K594" s="20" t="n"/>
      <c r="L594" s="13">
        <f>N594&amp;O594&amp;P594&amp;Q594&amp;R594&amp;S594&amp;T594&amp;U594&amp;V594&amp;W594&amp;X594&amp;Y594&amp;Z594&amp;AA594&amp;AB594&amp;AC594&amp;AD594&amp;AE594&amp;AF594&amp;AG594</f>
        <v/>
      </c>
      <c r="M594" s="20" t="n"/>
      <c r="N594" s="10">
        <f>TEXT($B$6,"00")</f>
        <v/>
      </c>
      <c r="O594" s="10">
        <f>REPT(" ",8)</f>
        <v/>
      </c>
      <c r="P594" s="10">
        <f>RIGHT($B$4,2)</f>
        <v/>
      </c>
      <c r="Q594" s="10">
        <f>RIGHT($B$5,3)</f>
        <v/>
      </c>
      <c r="R594" s="10">
        <f>IF(A594="D",LEFT(UPPER(B594)&amp;REPT(" ",20),20),REPT(" ",20))</f>
        <v/>
      </c>
      <c r="S594" s="10">
        <f>IF(A594="D",LEFT(UPPER(C594)&amp;REPT(" ",10),10)," ")</f>
        <v/>
      </c>
      <c r="T594" s="10">
        <f>IF(A594="D",LEFT(UPPER(D594)&amp;REPT(" ",2),2)," ")</f>
        <v/>
      </c>
      <c r="U594" s="10">
        <f>IF(A594="D",LEFT(UPPER(E594)&amp;REPT(" ",15),15)," ")</f>
        <v/>
      </c>
      <c r="V594" s="10">
        <f>REPT(" ",24)</f>
        <v/>
      </c>
      <c r="W594" s="10">
        <f>IF(A594="c",LEFT(UPPER(B594)&amp;REPT(" ",20),20),REPT(" ",20))</f>
        <v/>
      </c>
      <c r="X594" s="10">
        <f>IF(A594="C",LEFT(UPPER(C594)&amp;REPT(" ",10),10)," ")</f>
        <v/>
      </c>
      <c r="Y594" s="10">
        <f>IF(A594="C",LEFT(UPPER(D594)&amp;REPT(" ",2),2)," ")</f>
        <v/>
      </c>
      <c r="Z594" s="10">
        <f>IF(A594="C",LEFT(UPPER(E594)&amp;REPT(" ",15),15)," ")</f>
        <v/>
      </c>
      <c r="AA594" s="10">
        <f>REPT(" ",8)</f>
        <v/>
      </c>
      <c r="AB594" s="10">
        <f>REPT(" ",4)</f>
        <v/>
      </c>
      <c r="AC594" s="10">
        <f>LEFT(UPPER(H594)&amp;REPT(" ",250),250)</f>
        <v/>
      </c>
      <c r="AD594" s="10">
        <f>TEXT($G$2,"dd/mm/aaaa")</f>
        <v/>
      </c>
      <c r="AE594" s="10">
        <f>REPT(" ",10)</f>
        <v/>
      </c>
      <c r="AF594" s="10">
        <f>REPT(" ",20)</f>
        <v/>
      </c>
      <c r="AG594" s="54">
        <f>REPT(" ",18-LEN(FIXED(F594,2,TRUE)))&amp;FIXED(F594,2,TRUE)</f>
        <v/>
      </c>
      <c r="AH594" s="10">
        <f>LEN(AC594)+LEN(AG594)</f>
        <v/>
      </c>
      <c r="AI594" s="10">
        <f>LEN(L594)</f>
        <v/>
      </c>
    </row>
    <row r="595">
      <c r="A595" s="46" t="n"/>
      <c r="B595" s="38" t="n"/>
      <c r="C595" s="41" t="n"/>
      <c r="D595" s="41" t="n"/>
      <c r="E595" s="41" t="n"/>
      <c r="F595" s="88" t="n"/>
      <c r="G595" s="89" t="n"/>
      <c r="H595" s="37" t="n"/>
      <c r="I595" s="42" t="n"/>
      <c r="J595" s="12">
        <f>IF(F595&lt;&gt;0,"LANÇAR","")</f>
        <v/>
      </c>
      <c r="K595" s="20" t="n"/>
      <c r="L595" s="13">
        <f>N595&amp;O595&amp;P595&amp;Q595&amp;R595&amp;S595&amp;T595&amp;U595&amp;V595&amp;W595&amp;X595&amp;Y595&amp;Z595&amp;AA595&amp;AB595&amp;AC595&amp;AD595&amp;AE595&amp;AF595&amp;AG595</f>
        <v/>
      </c>
      <c r="M595" s="20" t="n"/>
      <c r="N595" s="10">
        <f>TEXT($B$6,"00")</f>
        <v/>
      </c>
      <c r="O595" s="10">
        <f>REPT(" ",8)</f>
        <v/>
      </c>
      <c r="P595" s="10">
        <f>RIGHT($B$4,2)</f>
        <v/>
      </c>
      <c r="Q595" s="10">
        <f>RIGHT($B$5,3)</f>
        <v/>
      </c>
      <c r="R595" s="10">
        <f>IF(A595="D",LEFT(UPPER(B595)&amp;REPT(" ",20),20),REPT(" ",20))</f>
        <v/>
      </c>
      <c r="S595" s="10">
        <f>IF(A595="D",LEFT(UPPER(C595)&amp;REPT(" ",10),10)," ")</f>
        <v/>
      </c>
      <c r="T595" s="10">
        <f>IF(A595="D",LEFT(UPPER(D595)&amp;REPT(" ",2),2)," ")</f>
        <v/>
      </c>
      <c r="U595" s="10">
        <f>IF(A595="D",LEFT(UPPER(E595)&amp;REPT(" ",15),15)," ")</f>
        <v/>
      </c>
      <c r="V595" s="10">
        <f>REPT(" ",24)</f>
        <v/>
      </c>
      <c r="W595" s="10">
        <f>IF(A595="c",LEFT(UPPER(B595)&amp;REPT(" ",20),20),REPT(" ",20))</f>
        <v/>
      </c>
      <c r="X595" s="10">
        <f>IF(A595="C",LEFT(UPPER(C595)&amp;REPT(" ",10),10)," ")</f>
        <v/>
      </c>
      <c r="Y595" s="10">
        <f>IF(A595="C",LEFT(UPPER(D595)&amp;REPT(" ",2),2)," ")</f>
        <v/>
      </c>
      <c r="Z595" s="10">
        <f>IF(A595="C",LEFT(UPPER(E595)&amp;REPT(" ",15),15)," ")</f>
        <v/>
      </c>
      <c r="AA595" s="10">
        <f>REPT(" ",8)</f>
        <v/>
      </c>
      <c r="AB595" s="10">
        <f>REPT(" ",4)</f>
        <v/>
      </c>
      <c r="AC595" s="10">
        <f>LEFT(UPPER(H595)&amp;REPT(" ",250),250)</f>
        <v/>
      </c>
      <c r="AD595" s="10">
        <f>TEXT($G$2,"dd/mm/aaaa")</f>
        <v/>
      </c>
      <c r="AE595" s="10">
        <f>REPT(" ",10)</f>
        <v/>
      </c>
      <c r="AF595" s="10">
        <f>REPT(" ",20)</f>
        <v/>
      </c>
      <c r="AG595" s="54">
        <f>REPT(" ",18-LEN(FIXED(F595,2,TRUE)))&amp;FIXED(F595,2,TRUE)</f>
        <v/>
      </c>
      <c r="AH595" s="10">
        <f>LEN(AC595)+LEN(AG595)</f>
        <v/>
      </c>
      <c r="AI595" s="10">
        <f>LEN(L595)</f>
        <v/>
      </c>
    </row>
    <row r="596">
      <c r="A596" s="46" t="n"/>
      <c r="B596" s="38" t="n"/>
      <c r="C596" s="41" t="n"/>
      <c r="D596" s="41" t="n"/>
      <c r="E596" s="41" t="n"/>
      <c r="F596" s="88" t="n"/>
      <c r="G596" s="89" t="n"/>
      <c r="H596" s="37" t="n"/>
      <c r="I596" s="42" t="n"/>
      <c r="J596" s="12">
        <f>IF(F596&lt;&gt;0,"LANÇAR","")</f>
        <v/>
      </c>
      <c r="K596" s="20" t="n"/>
      <c r="L596" s="13">
        <f>N596&amp;O596&amp;P596&amp;Q596&amp;R596&amp;S596&amp;T596&amp;U596&amp;V596&amp;W596&amp;X596&amp;Y596&amp;Z596&amp;AA596&amp;AB596&amp;AC596&amp;AD596&amp;AE596&amp;AF596&amp;AG596</f>
        <v/>
      </c>
      <c r="M596" s="20" t="n"/>
      <c r="N596" s="10">
        <f>TEXT($B$6,"00")</f>
        <v/>
      </c>
      <c r="O596" s="10">
        <f>REPT(" ",8)</f>
        <v/>
      </c>
      <c r="P596" s="10">
        <f>RIGHT($B$4,2)</f>
        <v/>
      </c>
      <c r="Q596" s="10">
        <f>RIGHT($B$5,3)</f>
        <v/>
      </c>
      <c r="R596" s="10">
        <f>IF(A596="D",LEFT(UPPER(B596)&amp;REPT(" ",20),20),REPT(" ",20))</f>
        <v/>
      </c>
      <c r="S596" s="10">
        <f>IF(A596="D",LEFT(UPPER(C596)&amp;REPT(" ",10),10)," ")</f>
        <v/>
      </c>
      <c r="T596" s="10">
        <f>IF(A596="D",LEFT(UPPER(D596)&amp;REPT(" ",2),2)," ")</f>
        <v/>
      </c>
      <c r="U596" s="10">
        <f>IF(A596="D",LEFT(UPPER(E596)&amp;REPT(" ",15),15)," ")</f>
        <v/>
      </c>
      <c r="V596" s="10">
        <f>REPT(" ",24)</f>
        <v/>
      </c>
      <c r="W596" s="10">
        <f>IF(A596="c",LEFT(UPPER(B596)&amp;REPT(" ",20),20),REPT(" ",20))</f>
        <v/>
      </c>
      <c r="X596" s="10">
        <f>IF(A596="C",LEFT(UPPER(C596)&amp;REPT(" ",10),10)," ")</f>
        <v/>
      </c>
      <c r="Y596" s="10">
        <f>IF(A596="C",LEFT(UPPER(D596)&amp;REPT(" ",2),2)," ")</f>
        <v/>
      </c>
      <c r="Z596" s="10">
        <f>IF(A596="C",LEFT(UPPER(E596)&amp;REPT(" ",15),15)," ")</f>
        <v/>
      </c>
      <c r="AA596" s="10">
        <f>REPT(" ",8)</f>
        <v/>
      </c>
      <c r="AB596" s="10">
        <f>REPT(" ",4)</f>
        <v/>
      </c>
      <c r="AC596" s="10">
        <f>LEFT(UPPER(H596)&amp;REPT(" ",250),250)</f>
        <v/>
      </c>
      <c r="AD596" s="10">
        <f>TEXT($G$2,"dd/mm/aaaa")</f>
        <v/>
      </c>
      <c r="AE596" s="10">
        <f>REPT(" ",10)</f>
        <v/>
      </c>
      <c r="AF596" s="10">
        <f>REPT(" ",20)</f>
        <v/>
      </c>
      <c r="AG596" s="54">
        <f>REPT(" ",18-LEN(FIXED(F596,2,TRUE)))&amp;FIXED(F596,2,TRUE)</f>
        <v/>
      </c>
      <c r="AH596" s="10">
        <f>LEN(AC596)+LEN(AG596)</f>
        <v/>
      </c>
      <c r="AI596" s="10">
        <f>LEN(L596)</f>
        <v/>
      </c>
    </row>
    <row r="597">
      <c r="A597" s="46" t="n"/>
      <c r="B597" s="38" t="n"/>
      <c r="C597" s="41" t="n"/>
      <c r="D597" s="41" t="n"/>
      <c r="E597" s="41" t="n"/>
      <c r="F597" s="88" t="n"/>
      <c r="G597" s="89" t="n"/>
      <c r="H597" s="37" t="n"/>
      <c r="I597" s="42" t="n"/>
      <c r="J597" s="12">
        <f>IF(F597&lt;&gt;0,"LANÇAR","")</f>
        <v/>
      </c>
      <c r="K597" s="20" t="n"/>
      <c r="L597" s="13">
        <f>N597&amp;O597&amp;P597&amp;Q597&amp;R597&amp;S597&amp;T597&amp;U597&amp;V597&amp;W597&amp;X597&amp;Y597&amp;Z597&amp;AA597&amp;AB597&amp;AC597&amp;AD597&amp;AE597&amp;AF597&amp;AG597</f>
        <v/>
      </c>
      <c r="M597" s="20" t="n"/>
      <c r="N597" s="10">
        <f>TEXT($B$6,"00")</f>
        <v/>
      </c>
      <c r="O597" s="10">
        <f>REPT(" ",8)</f>
        <v/>
      </c>
      <c r="P597" s="10">
        <f>RIGHT($B$4,2)</f>
        <v/>
      </c>
      <c r="Q597" s="10">
        <f>RIGHT($B$5,3)</f>
        <v/>
      </c>
      <c r="R597" s="10">
        <f>IF(A597="D",LEFT(UPPER(B597)&amp;REPT(" ",20),20),REPT(" ",20))</f>
        <v/>
      </c>
      <c r="S597" s="10">
        <f>IF(A597="D",LEFT(UPPER(C597)&amp;REPT(" ",10),10)," ")</f>
        <v/>
      </c>
      <c r="T597" s="10">
        <f>IF(A597="D",LEFT(UPPER(D597)&amp;REPT(" ",2),2)," ")</f>
        <v/>
      </c>
      <c r="U597" s="10">
        <f>IF(A597="D",LEFT(UPPER(E597)&amp;REPT(" ",15),15)," ")</f>
        <v/>
      </c>
      <c r="V597" s="10">
        <f>REPT(" ",24)</f>
        <v/>
      </c>
      <c r="W597" s="10">
        <f>IF(A597="c",LEFT(UPPER(B597)&amp;REPT(" ",20),20),REPT(" ",20))</f>
        <v/>
      </c>
      <c r="X597" s="10">
        <f>IF(A597="C",LEFT(UPPER(C597)&amp;REPT(" ",10),10)," ")</f>
        <v/>
      </c>
      <c r="Y597" s="10">
        <f>IF(A597="C",LEFT(UPPER(D597)&amp;REPT(" ",2),2)," ")</f>
        <v/>
      </c>
      <c r="Z597" s="10">
        <f>IF(A597="C",LEFT(UPPER(E597)&amp;REPT(" ",15),15)," ")</f>
        <v/>
      </c>
      <c r="AA597" s="10">
        <f>REPT(" ",8)</f>
        <v/>
      </c>
      <c r="AB597" s="10">
        <f>REPT(" ",4)</f>
        <v/>
      </c>
      <c r="AC597" s="10">
        <f>LEFT(UPPER(H597)&amp;REPT(" ",250),250)</f>
        <v/>
      </c>
      <c r="AD597" s="10">
        <f>TEXT($G$2,"dd/mm/aaaa")</f>
        <v/>
      </c>
      <c r="AE597" s="10">
        <f>REPT(" ",10)</f>
        <v/>
      </c>
      <c r="AF597" s="10">
        <f>REPT(" ",20)</f>
        <v/>
      </c>
      <c r="AG597" s="54">
        <f>REPT(" ",18-LEN(FIXED(F597,2,TRUE)))&amp;FIXED(F597,2,TRUE)</f>
        <v/>
      </c>
      <c r="AH597" s="10">
        <f>LEN(AC597)+LEN(AG597)</f>
        <v/>
      </c>
      <c r="AI597" s="10">
        <f>LEN(L597)</f>
        <v/>
      </c>
    </row>
    <row r="598">
      <c r="A598" s="46" t="n"/>
      <c r="B598" s="38" t="n"/>
      <c r="C598" s="41" t="n"/>
      <c r="D598" s="41" t="n"/>
      <c r="E598" s="41" t="n"/>
      <c r="F598" s="88" t="n"/>
      <c r="G598" s="89" t="n"/>
      <c r="H598" s="37" t="n"/>
      <c r="I598" s="42" t="n"/>
      <c r="J598" s="12">
        <f>IF(F598&lt;&gt;0,"LANÇAR","")</f>
        <v/>
      </c>
      <c r="K598" s="20" t="n"/>
      <c r="L598" s="13">
        <f>N598&amp;O598&amp;P598&amp;Q598&amp;R598&amp;S598&amp;T598&amp;U598&amp;V598&amp;W598&amp;X598&amp;Y598&amp;Z598&amp;AA598&amp;AB598&amp;AC598&amp;AD598&amp;AE598&amp;AF598&amp;AG598</f>
        <v/>
      </c>
      <c r="M598" s="20" t="n"/>
      <c r="N598" s="10">
        <f>TEXT($B$6,"00")</f>
        <v/>
      </c>
      <c r="O598" s="10">
        <f>REPT(" ",8)</f>
        <v/>
      </c>
      <c r="P598" s="10">
        <f>RIGHT($B$4,2)</f>
        <v/>
      </c>
      <c r="Q598" s="10">
        <f>RIGHT($B$5,3)</f>
        <v/>
      </c>
      <c r="R598" s="10">
        <f>IF(A598="D",LEFT(UPPER(B598)&amp;REPT(" ",20),20),REPT(" ",20))</f>
        <v/>
      </c>
      <c r="S598" s="10">
        <f>IF(A598="D",LEFT(UPPER(C598)&amp;REPT(" ",10),10)," ")</f>
        <v/>
      </c>
      <c r="T598" s="10">
        <f>IF(A598="D",LEFT(UPPER(D598)&amp;REPT(" ",2),2)," ")</f>
        <v/>
      </c>
      <c r="U598" s="10">
        <f>IF(A598="D",LEFT(UPPER(E598)&amp;REPT(" ",15),15)," ")</f>
        <v/>
      </c>
      <c r="V598" s="10">
        <f>REPT(" ",24)</f>
        <v/>
      </c>
      <c r="W598" s="10">
        <f>IF(A598="c",LEFT(UPPER(B598)&amp;REPT(" ",20),20),REPT(" ",20))</f>
        <v/>
      </c>
      <c r="X598" s="10">
        <f>IF(A598="C",LEFT(UPPER(C598)&amp;REPT(" ",10),10)," ")</f>
        <v/>
      </c>
      <c r="Y598" s="10">
        <f>IF(A598="C",LEFT(UPPER(D598)&amp;REPT(" ",2),2)," ")</f>
        <v/>
      </c>
      <c r="Z598" s="10">
        <f>IF(A598="C",LEFT(UPPER(E598)&amp;REPT(" ",15),15)," ")</f>
        <v/>
      </c>
      <c r="AA598" s="10">
        <f>REPT(" ",8)</f>
        <v/>
      </c>
      <c r="AB598" s="10">
        <f>REPT(" ",4)</f>
        <v/>
      </c>
      <c r="AC598" s="10">
        <f>LEFT(UPPER(H598)&amp;REPT(" ",250),250)</f>
        <v/>
      </c>
      <c r="AD598" s="10">
        <f>TEXT($G$2,"dd/mm/aaaa")</f>
        <v/>
      </c>
      <c r="AE598" s="10">
        <f>REPT(" ",10)</f>
        <v/>
      </c>
      <c r="AF598" s="10">
        <f>REPT(" ",20)</f>
        <v/>
      </c>
      <c r="AG598" s="54">
        <f>REPT(" ",18-LEN(FIXED(F598,2,TRUE)))&amp;FIXED(F598,2,TRUE)</f>
        <v/>
      </c>
      <c r="AH598" s="10">
        <f>LEN(AC598)+LEN(AG598)</f>
        <v/>
      </c>
      <c r="AI598" s="10">
        <f>LEN(L598)</f>
        <v/>
      </c>
    </row>
    <row r="599">
      <c r="A599" s="46" t="n"/>
      <c r="B599" s="38" t="n"/>
      <c r="C599" s="41" t="n"/>
      <c r="D599" s="41" t="n"/>
      <c r="E599" s="41" t="n"/>
      <c r="F599" s="88" t="n"/>
      <c r="G599" s="89" t="n"/>
      <c r="H599" s="37" t="n"/>
      <c r="I599" s="42" t="n"/>
      <c r="J599" s="12">
        <f>IF(F599&lt;&gt;0,"LANÇAR","")</f>
        <v/>
      </c>
      <c r="K599" s="20" t="n"/>
      <c r="L599" s="13">
        <f>N599&amp;O599&amp;P599&amp;Q599&amp;R599&amp;S599&amp;T599&amp;U599&amp;V599&amp;W599&amp;X599&amp;Y599&amp;Z599&amp;AA599&amp;AB599&amp;AC599&amp;AD599&amp;AE599&amp;AF599&amp;AG599</f>
        <v/>
      </c>
      <c r="M599" s="20" t="n"/>
      <c r="N599" s="10">
        <f>TEXT($B$6,"00")</f>
        <v/>
      </c>
      <c r="O599" s="10">
        <f>REPT(" ",8)</f>
        <v/>
      </c>
      <c r="P599" s="10">
        <f>RIGHT($B$4,2)</f>
        <v/>
      </c>
      <c r="Q599" s="10">
        <f>RIGHT($B$5,3)</f>
        <v/>
      </c>
      <c r="R599" s="10">
        <f>IF(A599="D",LEFT(UPPER(B599)&amp;REPT(" ",20),20),REPT(" ",20))</f>
        <v/>
      </c>
      <c r="S599" s="10">
        <f>IF(A599="D",LEFT(UPPER(C599)&amp;REPT(" ",10),10)," ")</f>
        <v/>
      </c>
      <c r="T599" s="10">
        <f>IF(A599="D",LEFT(UPPER(D599)&amp;REPT(" ",2),2)," ")</f>
        <v/>
      </c>
      <c r="U599" s="10">
        <f>IF(A599="D",LEFT(UPPER(E599)&amp;REPT(" ",15),15)," ")</f>
        <v/>
      </c>
      <c r="V599" s="10">
        <f>REPT(" ",24)</f>
        <v/>
      </c>
      <c r="W599" s="10">
        <f>IF(A599="c",LEFT(UPPER(B599)&amp;REPT(" ",20),20),REPT(" ",20))</f>
        <v/>
      </c>
      <c r="X599" s="10">
        <f>IF(A599="C",LEFT(UPPER(C599)&amp;REPT(" ",10),10)," ")</f>
        <v/>
      </c>
      <c r="Y599" s="10">
        <f>IF(A599="C",LEFT(UPPER(D599)&amp;REPT(" ",2),2)," ")</f>
        <v/>
      </c>
      <c r="Z599" s="10">
        <f>IF(A599="C",LEFT(UPPER(E599)&amp;REPT(" ",15),15)," ")</f>
        <v/>
      </c>
      <c r="AA599" s="10">
        <f>REPT(" ",8)</f>
        <v/>
      </c>
      <c r="AB599" s="10">
        <f>REPT(" ",4)</f>
        <v/>
      </c>
      <c r="AC599" s="10">
        <f>LEFT(UPPER(H599)&amp;REPT(" ",250),250)</f>
        <v/>
      </c>
      <c r="AD599" s="10">
        <f>TEXT($G$2,"dd/mm/aaaa")</f>
        <v/>
      </c>
      <c r="AE599" s="10">
        <f>REPT(" ",10)</f>
        <v/>
      </c>
      <c r="AF599" s="10">
        <f>REPT(" ",20)</f>
        <v/>
      </c>
      <c r="AG599" s="54">
        <f>REPT(" ",18-LEN(FIXED(F599,2,TRUE)))&amp;FIXED(F599,2,TRUE)</f>
        <v/>
      </c>
      <c r="AH599" s="10">
        <f>LEN(AC599)+LEN(AG599)</f>
        <v/>
      </c>
      <c r="AI599" s="10">
        <f>LEN(L599)</f>
        <v/>
      </c>
    </row>
    <row r="600">
      <c r="A600" s="46" t="n"/>
      <c r="B600" s="38" t="n"/>
      <c r="C600" s="41" t="n"/>
      <c r="D600" s="41" t="n"/>
      <c r="E600" s="41" t="n"/>
      <c r="F600" s="88" t="n"/>
      <c r="G600" s="89" t="n"/>
      <c r="H600" s="37" t="n"/>
      <c r="I600" s="42" t="n"/>
      <c r="J600" s="12">
        <f>IF(F600&lt;&gt;0,"LANÇAR","")</f>
        <v/>
      </c>
      <c r="K600" s="20" t="n"/>
      <c r="L600" s="13">
        <f>N600&amp;O600&amp;P600&amp;Q600&amp;R600&amp;S600&amp;T600&amp;U600&amp;V600&amp;W600&amp;X600&amp;Y600&amp;Z600&amp;AA600&amp;AB600&amp;AC600&amp;AD600&amp;AE600&amp;AF600&amp;AG600</f>
        <v/>
      </c>
      <c r="M600" s="20" t="n"/>
      <c r="N600" s="10">
        <f>TEXT($B$6,"00")</f>
        <v/>
      </c>
      <c r="O600" s="10">
        <f>REPT(" ",8)</f>
        <v/>
      </c>
      <c r="P600" s="10">
        <f>RIGHT($B$4,2)</f>
        <v/>
      </c>
      <c r="Q600" s="10">
        <f>RIGHT($B$5,3)</f>
        <v/>
      </c>
      <c r="R600" s="10">
        <f>IF(A600="D",LEFT(UPPER(B600)&amp;REPT(" ",20),20),REPT(" ",20))</f>
        <v/>
      </c>
      <c r="S600" s="10">
        <f>IF(A600="D",LEFT(UPPER(C600)&amp;REPT(" ",10),10)," ")</f>
        <v/>
      </c>
      <c r="T600" s="10">
        <f>IF(A600="D",LEFT(UPPER(D600)&amp;REPT(" ",2),2)," ")</f>
        <v/>
      </c>
      <c r="U600" s="10">
        <f>IF(A600="D",LEFT(UPPER(E600)&amp;REPT(" ",15),15)," ")</f>
        <v/>
      </c>
      <c r="V600" s="10">
        <f>REPT(" ",24)</f>
        <v/>
      </c>
      <c r="W600" s="10">
        <f>IF(A600="c",LEFT(UPPER(B600)&amp;REPT(" ",20),20),REPT(" ",20))</f>
        <v/>
      </c>
      <c r="X600" s="10">
        <f>IF(A600="C",LEFT(UPPER(C600)&amp;REPT(" ",10),10)," ")</f>
        <v/>
      </c>
      <c r="Y600" s="10">
        <f>IF(A600="C",LEFT(UPPER(D600)&amp;REPT(" ",2),2)," ")</f>
        <v/>
      </c>
      <c r="Z600" s="10">
        <f>IF(A600="C",LEFT(UPPER(E600)&amp;REPT(" ",15),15)," ")</f>
        <v/>
      </c>
      <c r="AA600" s="10">
        <f>REPT(" ",8)</f>
        <v/>
      </c>
      <c r="AB600" s="10">
        <f>REPT(" ",4)</f>
        <v/>
      </c>
      <c r="AC600" s="10">
        <f>LEFT(UPPER(H600)&amp;REPT(" ",250),250)</f>
        <v/>
      </c>
      <c r="AD600" s="10">
        <f>TEXT($G$2,"dd/mm/aaaa")</f>
        <v/>
      </c>
      <c r="AE600" s="10">
        <f>REPT(" ",10)</f>
        <v/>
      </c>
      <c r="AF600" s="10">
        <f>REPT(" ",20)</f>
        <v/>
      </c>
      <c r="AG600" s="54">
        <f>REPT(" ",18-LEN(FIXED(F600,2,TRUE)))&amp;FIXED(F600,2,TRUE)</f>
        <v/>
      </c>
      <c r="AH600" s="10">
        <f>LEN(AC600)+LEN(AG600)</f>
        <v/>
      </c>
      <c r="AI600" s="10">
        <f>LEN(L600)</f>
        <v/>
      </c>
    </row>
    <row r="601">
      <c r="A601" s="46" t="n"/>
      <c r="B601" s="38" t="n"/>
      <c r="C601" s="41" t="n"/>
      <c r="D601" s="41" t="n"/>
      <c r="E601" s="41" t="n"/>
      <c r="F601" s="88" t="n"/>
      <c r="G601" s="89" t="n"/>
      <c r="H601" s="37" t="n"/>
      <c r="I601" s="42" t="n"/>
      <c r="J601" s="12">
        <f>IF(F601&lt;&gt;0,"LANÇAR","")</f>
        <v/>
      </c>
      <c r="K601" s="20" t="n"/>
      <c r="L601" s="13">
        <f>N601&amp;O601&amp;P601&amp;Q601&amp;R601&amp;S601&amp;T601&amp;U601&amp;V601&amp;W601&amp;X601&amp;Y601&amp;Z601&amp;AA601&amp;AB601&amp;AC601&amp;AD601&amp;AE601&amp;AF601&amp;AG601</f>
        <v/>
      </c>
      <c r="M601" s="20" t="n"/>
      <c r="N601" s="10">
        <f>TEXT($B$6,"00")</f>
        <v/>
      </c>
      <c r="O601" s="10">
        <f>REPT(" ",8)</f>
        <v/>
      </c>
      <c r="P601" s="10">
        <f>RIGHT($B$4,2)</f>
        <v/>
      </c>
      <c r="Q601" s="10">
        <f>RIGHT($B$5,3)</f>
        <v/>
      </c>
      <c r="R601" s="10">
        <f>IF(A601="D",LEFT(UPPER(B601)&amp;REPT(" ",20),20),REPT(" ",20))</f>
        <v/>
      </c>
      <c r="S601" s="10">
        <f>IF(A601="D",LEFT(UPPER(C601)&amp;REPT(" ",10),10)," ")</f>
        <v/>
      </c>
      <c r="T601" s="10">
        <f>IF(A601="D",LEFT(UPPER(D601)&amp;REPT(" ",2),2)," ")</f>
        <v/>
      </c>
      <c r="U601" s="10">
        <f>IF(A601="D",LEFT(UPPER(E601)&amp;REPT(" ",15),15)," ")</f>
        <v/>
      </c>
      <c r="V601" s="10">
        <f>REPT(" ",24)</f>
        <v/>
      </c>
      <c r="W601" s="10">
        <f>IF(A601="c",LEFT(UPPER(B601)&amp;REPT(" ",20),20),REPT(" ",20))</f>
        <v/>
      </c>
      <c r="X601" s="10">
        <f>IF(A601="C",LEFT(UPPER(C601)&amp;REPT(" ",10),10)," ")</f>
        <v/>
      </c>
      <c r="Y601" s="10">
        <f>IF(A601="C",LEFT(UPPER(D601)&amp;REPT(" ",2),2)," ")</f>
        <v/>
      </c>
      <c r="Z601" s="10">
        <f>IF(A601="C",LEFT(UPPER(E601)&amp;REPT(" ",15),15)," ")</f>
        <v/>
      </c>
      <c r="AA601" s="10">
        <f>REPT(" ",8)</f>
        <v/>
      </c>
      <c r="AB601" s="10">
        <f>REPT(" ",4)</f>
        <v/>
      </c>
      <c r="AC601" s="10">
        <f>LEFT(UPPER(H601)&amp;REPT(" ",250),250)</f>
        <v/>
      </c>
      <c r="AD601" s="10">
        <f>TEXT($G$2,"dd/mm/aaaa")</f>
        <v/>
      </c>
      <c r="AE601" s="10">
        <f>REPT(" ",10)</f>
        <v/>
      </c>
      <c r="AF601" s="10">
        <f>REPT(" ",20)</f>
        <v/>
      </c>
      <c r="AG601" s="54">
        <f>REPT(" ",18-LEN(FIXED(F601,2,TRUE)))&amp;FIXED(F601,2,TRUE)</f>
        <v/>
      </c>
      <c r="AH601" s="10">
        <f>LEN(AC601)+LEN(AG601)</f>
        <v/>
      </c>
      <c r="AI601" s="10">
        <f>LEN(L601)</f>
        <v/>
      </c>
    </row>
    <row r="602">
      <c r="A602" s="46" t="n"/>
      <c r="B602" s="38" t="n"/>
      <c r="C602" s="41" t="n"/>
      <c r="D602" s="41" t="n"/>
      <c r="E602" s="41" t="n"/>
      <c r="F602" s="88" t="n"/>
      <c r="G602" s="89" t="n"/>
      <c r="H602" s="37" t="n"/>
      <c r="I602" s="42" t="n"/>
      <c r="J602" s="12">
        <f>IF(F602&lt;&gt;0,"LANÇAR","")</f>
        <v/>
      </c>
      <c r="K602" s="20" t="n"/>
      <c r="L602" s="13">
        <f>N602&amp;O602&amp;P602&amp;Q602&amp;R602&amp;S602&amp;T602&amp;U602&amp;V602&amp;W602&amp;X602&amp;Y602&amp;Z602&amp;AA602&amp;AB602&amp;AC602&amp;AD602&amp;AE602&amp;AF602&amp;AG602</f>
        <v/>
      </c>
      <c r="M602" s="20" t="n"/>
      <c r="N602" s="10">
        <f>TEXT($B$6,"00")</f>
        <v/>
      </c>
      <c r="O602" s="10">
        <f>REPT(" ",8)</f>
        <v/>
      </c>
      <c r="P602" s="10">
        <f>RIGHT($B$4,2)</f>
        <v/>
      </c>
      <c r="Q602" s="10">
        <f>RIGHT($B$5,3)</f>
        <v/>
      </c>
      <c r="R602" s="10">
        <f>IF(A602="D",LEFT(UPPER(B602)&amp;REPT(" ",20),20),REPT(" ",20))</f>
        <v/>
      </c>
      <c r="S602" s="10">
        <f>IF(A602="D",LEFT(UPPER(C602)&amp;REPT(" ",10),10)," ")</f>
        <v/>
      </c>
      <c r="T602" s="10">
        <f>IF(A602="D",LEFT(UPPER(D602)&amp;REPT(" ",2),2)," ")</f>
        <v/>
      </c>
      <c r="U602" s="10">
        <f>IF(A602="D",LEFT(UPPER(E602)&amp;REPT(" ",15),15)," ")</f>
        <v/>
      </c>
      <c r="V602" s="10">
        <f>REPT(" ",24)</f>
        <v/>
      </c>
      <c r="W602" s="10">
        <f>IF(A602="c",LEFT(UPPER(B602)&amp;REPT(" ",20),20),REPT(" ",20))</f>
        <v/>
      </c>
      <c r="X602" s="10">
        <f>IF(A602="C",LEFT(UPPER(C602)&amp;REPT(" ",10),10)," ")</f>
        <v/>
      </c>
      <c r="Y602" s="10">
        <f>IF(A602="C",LEFT(UPPER(D602)&amp;REPT(" ",2),2)," ")</f>
        <v/>
      </c>
      <c r="Z602" s="10">
        <f>IF(A602="C",LEFT(UPPER(E602)&amp;REPT(" ",15),15)," ")</f>
        <v/>
      </c>
      <c r="AA602" s="10">
        <f>REPT(" ",8)</f>
        <v/>
      </c>
      <c r="AB602" s="10">
        <f>REPT(" ",4)</f>
        <v/>
      </c>
      <c r="AC602" s="10">
        <f>LEFT(UPPER(H602)&amp;REPT(" ",250),250)</f>
        <v/>
      </c>
      <c r="AD602" s="10">
        <f>TEXT($G$2,"dd/mm/aaaa")</f>
        <v/>
      </c>
      <c r="AE602" s="10">
        <f>REPT(" ",10)</f>
        <v/>
      </c>
      <c r="AF602" s="10">
        <f>REPT(" ",20)</f>
        <v/>
      </c>
      <c r="AG602" s="54">
        <f>REPT(" ",18-LEN(FIXED(F602,2,TRUE)))&amp;FIXED(F602,2,TRUE)</f>
        <v/>
      </c>
      <c r="AH602" s="10">
        <f>LEN(AC602)+LEN(AG602)</f>
        <v/>
      </c>
      <c r="AI602" s="10">
        <f>LEN(L602)</f>
        <v/>
      </c>
    </row>
    <row r="603">
      <c r="A603" s="46" t="n"/>
      <c r="B603" s="38" t="n"/>
      <c r="C603" s="41" t="n"/>
      <c r="D603" s="41" t="n"/>
      <c r="E603" s="41" t="n"/>
      <c r="F603" s="88" t="n"/>
      <c r="G603" s="89" t="n"/>
      <c r="H603" s="37" t="n"/>
      <c r="I603" s="42" t="n"/>
      <c r="J603" s="12">
        <f>IF(F603&lt;&gt;0,"LANÇAR","")</f>
        <v/>
      </c>
      <c r="K603" s="20" t="n"/>
      <c r="L603" s="13">
        <f>N603&amp;O603&amp;P603&amp;Q603&amp;R603&amp;S603&amp;T603&amp;U603&amp;V603&amp;W603&amp;X603&amp;Y603&amp;Z603&amp;AA603&amp;AB603&amp;AC603&amp;AD603&amp;AE603&amp;AF603&amp;AG603</f>
        <v/>
      </c>
      <c r="M603" s="20" t="n"/>
      <c r="N603" s="10">
        <f>TEXT($B$6,"00")</f>
        <v/>
      </c>
      <c r="O603" s="10">
        <f>REPT(" ",8)</f>
        <v/>
      </c>
      <c r="P603" s="10">
        <f>RIGHT($B$4,2)</f>
        <v/>
      </c>
      <c r="Q603" s="10">
        <f>RIGHT($B$5,3)</f>
        <v/>
      </c>
      <c r="R603" s="10">
        <f>IF(A603="D",LEFT(UPPER(B603)&amp;REPT(" ",20),20),REPT(" ",20))</f>
        <v/>
      </c>
      <c r="S603" s="10">
        <f>IF(A603="D",LEFT(UPPER(C603)&amp;REPT(" ",10),10)," ")</f>
        <v/>
      </c>
      <c r="T603" s="10">
        <f>IF(A603="D",LEFT(UPPER(D603)&amp;REPT(" ",2),2)," ")</f>
        <v/>
      </c>
      <c r="U603" s="10">
        <f>IF(A603="D",LEFT(UPPER(E603)&amp;REPT(" ",15),15)," ")</f>
        <v/>
      </c>
      <c r="V603" s="10">
        <f>REPT(" ",24)</f>
        <v/>
      </c>
      <c r="W603" s="10">
        <f>IF(A603="c",LEFT(UPPER(B603)&amp;REPT(" ",20),20),REPT(" ",20))</f>
        <v/>
      </c>
      <c r="X603" s="10">
        <f>IF(A603="C",LEFT(UPPER(C603)&amp;REPT(" ",10),10)," ")</f>
        <v/>
      </c>
      <c r="Y603" s="10">
        <f>IF(A603="C",LEFT(UPPER(D603)&amp;REPT(" ",2),2)," ")</f>
        <v/>
      </c>
      <c r="Z603" s="10">
        <f>IF(A603="C",LEFT(UPPER(E603)&amp;REPT(" ",15),15)," ")</f>
        <v/>
      </c>
      <c r="AA603" s="10">
        <f>REPT(" ",8)</f>
        <v/>
      </c>
      <c r="AB603" s="10">
        <f>REPT(" ",4)</f>
        <v/>
      </c>
      <c r="AC603" s="10">
        <f>LEFT(UPPER(H603)&amp;REPT(" ",250),250)</f>
        <v/>
      </c>
      <c r="AD603" s="10">
        <f>TEXT($G$2,"dd/mm/aaaa")</f>
        <v/>
      </c>
      <c r="AE603" s="10">
        <f>REPT(" ",10)</f>
        <v/>
      </c>
      <c r="AF603" s="10">
        <f>REPT(" ",20)</f>
        <v/>
      </c>
      <c r="AG603" s="54">
        <f>REPT(" ",18-LEN(FIXED(F603,2,TRUE)))&amp;FIXED(F603,2,TRUE)</f>
        <v/>
      </c>
      <c r="AH603" s="10">
        <f>LEN(AC603)+LEN(AG603)</f>
        <v/>
      </c>
      <c r="AI603" s="10">
        <f>LEN(L603)</f>
        <v/>
      </c>
    </row>
    <row r="604">
      <c r="A604" s="46" t="n"/>
      <c r="B604" s="38" t="n"/>
      <c r="C604" s="41" t="n"/>
      <c r="D604" s="41" t="n"/>
      <c r="E604" s="41" t="n"/>
      <c r="F604" s="88" t="n"/>
      <c r="G604" s="89" t="n"/>
      <c r="H604" s="37" t="n"/>
      <c r="I604" s="42" t="n"/>
      <c r="J604" s="12">
        <f>IF(F604&lt;&gt;0,"LANÇAR","")</f>
        <v/>
      </c>
      <c r="K604" s="20" t="n"/>
      <c r="L604" s="13">
        <f>N604&amp;O604&amp;P604&amp;Q604&amp;R604&amp;S604&amp;T604&amp;U604&amp;V604&amp;W604&amp;X604&amp;Y604&amp;Z604&amp;AA604&amp;AB604&amp;AC604&amp;AD604&amp;AE604&amp;AF604&amp;AG604</f>
        <v/>
      </c>
      <c r="M604" s="20" t="n"/>
      <c r="N604" s="10">
        <f>TEXT($B$6,"00")</f>
        <v/>
      </c>
      <c r="O604" s="10">
        <f>REPT(" ",8)</f>
        <v/>
      </c>
      <c r="P604" s="10">
        <f>RIGHT($B$4,2)</f>
        <v/>
      </c>
      <c r="Q604" s="10">
        <f>RIGHT($B$5,3)</f>
        <v/>
      </c>
      <c r="R604" s="10">
        <f>IF(A604="D",LEFT(UPPER(B604)&amp;REPT(" ",20),20),REPT(" ",20))</f>
        <v/>
      </c>
      <c r="S604" s="10">
        <f>IF(A604="D",LEFT(UPPER(C604)&amp;REPT(" ",10),10)," ")</f>
        <v/>
      </c>
      <c r="T604" s="10">
        <f>IF(A604="D",LEFT(UPPER(D604)&amp;REPT(" ",2),2)," ")</f>
        <v/>
      </c>
      <c r="U604" s="10">
        <f>IF(A604="D",LEFT(UPPER(E604)&amp;REPT(" ",15),15)," ")</f>
        <v/>
      </c>
      <c r="V604" s="10">
        <f>REPT(" ",24)</f>
        <v/>
      </c>
      <c r="W604" s="10">
        <f>IF(A604="c",LEFT(UPPER(B604)&amp;REPT(" ",20),20),REPT(" ",20))</f>
        <v/>
      </c>
      <c r="X604" s="10">
        <f>IF(A604="C",LEFT(UPPER(C604)&amp;REPT(" ",10),10)," ")</f>
        <v/>
      </c>
      <c r="Y604" s="10">
        <f>IF(A604="C",LEFT(UPPER(D604)&amp;REPT(" ",2),2)," ")</f>
        <v/>
      </c>
      <c r="Z604" s="10">
        <f>IF(A604="C",LEFT(UPPER(E604)&amp;REPT(" ",15),15)," ")</f>
        <v/>
      </c>
      <c r="AA604" s="10">
        <f>REPT(" ",8)</f>
        <v/>
      </c>
      <c r="AB604" s="10">
        <f>REPT(" ",4)</f>
        <v/>
      </c>
      <c r="AC604" s="10">
        <f>LEFT(UPPER(H604)&amp;REPT(" ",250),250)</f>
        <v/>
      </c>
      <c r="AD604" s="10">
        <f>TEXT($G$2,"dd/mm/aaaa")</f>
        <v/>
      </c>
      <c r="AE604" s="10">
        <f>REPT(" ",10)</f>
        <v/>
      </c>
      <c r="AF604" s="10">
        <f>REPT(" ",20)</f>
        <v/>
      </c>
      <c r="AG604" s="54">
        <f>REPT(" ",18-LEN(FIXED(F604,2,TRUE)))&amp;FIXED(F604,2,TRUE)</f>
        <v/>
      </c>
      <c r="AH604" s="10">
        <f>LEN(AC604)+LEN(AG604)</f>
        <v/>
      </c>
      <c r="AI604" s="10">
        <f>LEN(L604)</f>
        <v/>
      </c>
    </row>
    <row r="605">
      <c r="A605" s="46" t="n"/>
      <c r="B605" s="38" t="n"/>
      <c r="C605" s="41" t="n"/>
      <c r="D605" s="41" t="n"/>
      <c r="E605" s="41" t="n"/>
      <c r="F605" s="88" t="n"/>
      <c r="G605" s="89" t="n"/>
      <c r="H605" s="37" t="n"/>
      <c r="I605" s="42" t="n"/>
      <c r="J605" s="12">
        <f>IF(F605&lt;&gt;0,"LANÇAR","")</f>
        <v/>
      </c>
      <c r="K605" s="20" t="n"/>
      <c r="L605" s="13">
        <f>N605&amp;O605&amp;P605&amp;Q605&amp;R605&amp;S605&amp;T605&amp;U605&amp;V605&amp;W605&amp;X605&amp;Y605&amp;Z605&amp;AA605&amp;AB605&amp;AC605&amp;AD605&amp;AE605&amp;AF605&amp;AG605</f>
        <v/>
      </c>
      <c r="M605" s="20" t="n"/>
      <c r="N605" s="10">
        <f>TEXT($B$6,"00")</f>
        <v/>
      </c>
      <c r="O605" s="10">
        <f>REPT(" ",8)</f>
        <v/>
      </c>
      <c r="P605" s="10">
        <f>RIGHT($B$4,2)</f>
        <v/>
      </c>
      <c r="Q605" s="10">
        <f>RIGHT($B$5,3)</f>
        <v/>
      </c>
      <c r="R605" s="10">
        <f>IF(A605="D",LEFT(UPPER(B605)&amp;REPT(" ",20),20),REPT(" ",20))</f>
        <v/>
      </c>
      <c r="S605" s="10">
        <f>IF(A605="D",LEFT(UPPER(C605)&amp;REPT(" ",10),10)," ")</f>
        <v/>
      </c>
      <c r="T605" s="10">
        <f>IF(A605="D",LEFT(UPPER(D605)&amp;REPT(" ",2),2)," ")</f>
        <v/>
      </c>
      <c r="U605" s="10">
        <f>IF(A605="D",LEFT(UPPER(E605)&amp;REPT(" ",15),15)," ")</f>
        <v/>
      </c>
      <c r="V605" s="10">
        <f>REPT(" ",24)</f>
        <v/>
      </c>
      <c r="W605" s="10">
        <f>IF(A605="c",LEFT(UPPER(B605)&amp;REPT(" ",20),20),REPT(" ",20))</f>
        <v/>
      </c>
      <c r="X605" s="10">
        <f>IF(A605="C",LEFT(UPPER(C605)&amp;REPT(" ",10),10)," ")</f>
        <v/>
      </c>
      <c r="Y605" s="10">
        <f>IF(A605="C",LEFT(UPPER(D605)&amp;REPT(" ",2),2)," ")</f>
        <v/>
      </c>
      <c r="Z605" s="10">
        <f>IF(A605="C",LEFT(UPPER(E605)&amp;REPT(" ",15),15)," ")</f>
        <v/>
      </c>
      <c r="AA605" s="10">
        <f>REPT(" ",8)</f>
        <v/>
      </c>
      <c r="AB605" s="10">
        <f>REPT(" ",4)</f>
        <v/>
      </c>
      <c r="AC605" s="10">
        <f>LEFT(UPPER(H605)&amp;REPT(" ",250),250)</f>
        <v/>
      </c>
      <c r="AD605" s="10">
        <f>TEXT($G$2,"dd/mm/aaaa")</f>
        <v/>
      </c>
      <c r="AE605" s="10">
        <f>REPT(" ",10)</f>
        <v/>
      </c>
      <c r="AF605" s="10">
        <f>REPT(" ",20)</f>
        <v/>
      </c>
      <c r="AG605" s="54">
        <f>REPT(" ",18-LEN(FIXED(F605,2,TRUE)))&amp;FIXED(F605,2,TRUE)</f>
        <v/>
      </c>
      <c r="AH605" s="10">
        <f>LEN(AC605)+LEN(AG605)</f>
        <v/>
      </c>
      <c r="AI605" s="10">
        <f>LEN(L605)</f>
        <v/>
      </c>
    </row>
    <row r="606">
      <c r="A606" s="46" t="n"/>
      <c r="B606" s="38" t="n"/>
      <c r="C606" s="41" t="n"/>
      <c r="D606" s="41" t="n"/>
      <c r="E606" s="41" t="n"/>
      <c r="F606" s="88" t="n"/>
      <c r="G606" s="89" t="n"/>
      <c r="H606" s="37" t="n"/>
      <c r="I606" s="42" t="n"/>
      <c r="J606" s="12">
        <f>IF(F606&lt;&gt;0,"LANÇAR","")</f>
        <v/>
      </c>
      <c r="K606" s="20" t="n"/>
      <c r="L606" s="13">
        <f>N606&amp;O606&amp;P606&amp;Q606&amp;R606&amp;S606&amp;T606&amp;U606&amp;V606&amp;W606&amp;X606&amp;Y606&amp;Z606&amp;AA606&amp;AB606&amp;AC606&amp;AD606&amp;AE606&amp;AF606&amp;AG606</f>
        <v/>
      </c>
      <c r="M606" s="20" t="n"/>
      <c r="N606" s="10">
        <f>TEXT($B$6,"00")</f>
        <v/>
      </c>
      <c r="O606" s="10">
        <f>REPT(" ",8)</f>
        <v/>
      </c>
      <c r="P606" s="10">
        <f>RIGHT($B$4,2)</f>
        <v/>
      </c>
      <c r="Q606" s="10">
        <f>RIGHT($B$5,3)</f>
        <v/>
      </c>
      <c r="R606" s="10">
        <f>IF(A606="D",LEFT(UPPER(B606)&amp;REPT(" ",20),20),REPT(" ",20))</f>
        <v/>
      </c>
      <c r="S606" s="10">
        <f>IF(A606="D",LEFT(UPPER(C606)&amp;REPT(" ",10),10)," ")</f>
        <v/>
      </c>
      <c r="T606" s="10">
        <f>IF(A606="D",LEFT(UPPER(D606)&amp;REPT(" ",2),2)," ")</f>
        <v/>
      </c>
      <c r="U606" s="10">
        <f>IF(A606="D",LEFT(UPPER(E606)&amp;REPT(" ",15),15)," ")</f>
        <v/>
      </c>
      <c r="V606" s="10">
        <f>REPT(" ",24)</f>
        <v/>
      </c>
      <c r="W606" s="10">
        <f>IF(A606="c",LEFT(UPPER(B606)&amp;REPT(" ",20),20),REPT(" ",20))</f>
        <v/>
      </c>
      <c r="X606" s="10">
        <f>IF(A606="C",LEFT(UPPER(C606)&amp;REPT(" ",10),10)," ")</f>
        <v/>
      </c>
      <c r="Y606" s="10">
        <f>IF(A606="C",LEFT(UPPER(D606)&amp;REPT(" ",2),2)," ")</f>
        <v/>
      </c>
      <c r="Z606" s="10">
        <f>IF(A606="C",LEFT(UPPER(E606)&amp;REPT(" ",15),15)," ")</f>
        <v/>
      </c>
      <c r="AA606" s="10">
        <f>REPT(" ",8)</f>
        <v/>
      </c>
      <c r="AB606" s="10">
        <f>REPT(" ",4)</f>
        <v/>
      </c>
      <c r="AC606" s="10">
        <f>LEFT(UPPER(H606)&amp;REPT(" ",250),250)</f>
        <v/>
      </c>
      <c r="AD606" s="10">
        <f>TEXT($G$2,"dd/mm/aaaa")</f>
        <v/>
      </c>
      <c r="AE606" s="10">
        <f>REPT(" ",10)</f>
        <v/>
      </c>
      <c r="AF606" s="10">
        <f>REPT(" ",20)</f>
        <v/>
      </c>
      <c r="AG606" s="54">
        <f>REPT(" ",18-LEN(FIXED(F606,2,TRUE)))&amp;FIXED(F606,2,TRUE)</f>
        <v/>
      </c>
      <c r="AH606" s="10">
        <f>LEN(AC606)+LEN(AG606)</f>
        <v/>
      </c>
      <c r="AI606" s="10">
        <f>LEN(L606)</f>
        <v/>
      </c>
    </row>
    <row r="607">
      <c r="A607" s="46" t="n"/>
      <c r="B607" s="38" t="n"/>
      <c r="C607" s="41" t="n"/>
      <c r="D607" s="41" t="n"/>
      <c r="E607" s="41" t="n"/>
      <c r="F607" s="88" t="n"/>
      <c r="G607" s="89" t="n"/>
      <c r="H607" s="37" t="n"/>
      <c r="I607" s="42" t="n"/>
      <c r="J607" s="12">
        <f>IF(F607&lt;&gt;0,"LANÇAR","")</f>
        <v/>
      </c>
      <c r="K607" s="20" t="n"/>
      <c r="L607" s="13">
        <f>N607&amp;O607&amp;P607&amp;Q607&amp;R607&amp;S607&amp;T607&amp;U607&amp;V607&amp;W607&amp;X607&amp;Y607&amp;Z607&amp;AA607&amp;AB607&amp;AC607&amp;AD607&amp;AE607&amp;AF607&amp;AG607</f>
        <v/>
      </c>
      <c r="M607" s="20" t="n"/>
      <c r="N607" s="10">
        <f>TEXT($B$6,"00")</f>
        <v/>
      </c>
      <c r="O607" s="10">
        <f>REPT(" ",8)</f>
        <v/>
      </c>
      <c r="P607" s="10">
        <f>RIGHT($B$4,2)</f>
        <v/>
      </c>
      <c r="Q607" s="10">
        <f>RIGHT($B$5,3)</f>
        <v/>
      </c>
      <c r="R607" s="10">
        <f>IF(A607="D",LEFT(UPPER(B607)&amp;REPT(" ",20),20),REPT(" ",20))</f>
        <v/>
      </c>
      <c r="S607" s="10">
        <f>IF(A607="D",LEFT(UPPER(C607)&amp;REPT(" ",10),10)," ")</f>
        <v/>
      </c>
      <c r="T607" s="10">
        <f>IF(A607="D",LEFT(UPPER(D607)&amp;REPT(" ",2),2)," ")</f>
        <v/>
      </c>
      <c r="U607" s="10">
        <f>IF(A607="D",LEFT(UPPER(E607)&amp;REPT(" ",15),15)," ")</f>
        <v/>
      </c>
      <c r="V607" s="10">
        <f>REPT(" ",24)</f>
        <v/>
      </c>
      <c r="W607" s="10">
        <f>IF(A607="c",LEFT(UPPER(B607)&amp;REPT(" ",20),20),REPT(" ",20))</f>
        <v/>
      </c>
      <c r="X607" s="10">
        <f>IF(A607="C",LEFT(UPPER(C607)&amp;REPT(" ",10),10)," ")</f>
        <v/>
      </c>
      <c r="Y607" s="10">
        <f>IF(A607="C",LEFT(UPPER(D607)&amp;REPT(" ",2),2)," ")</f>
        <v/>
      </c>
      <c r="Z607" s="10">
        <f>IF(A607="C",LEFT(UPPER(E607)&amp;REPT(" ",15),15)," ")</f>
        <v/>
      </c>
      <c r="AA607" s="10">
        <f>REPT(" ",8)</f>
        <v/>
      </c>
      <c r="AB607" s="10">
        <f>REPT(" ",4)</f>
        <v/>
      </c>
      <c r="AC607" s="10">
        <f>LEFT(UPPER(H607)&amp;REPT(" ",250),250)</f>
        <v/>
      </c>
      <c r="AD607" s="10">
        <f>TEXT($G$2,"dd/mm/aaaa")</f>
        <v/>
      </c>
      <c r="AE607" s="10">
        <f>REPT(" ",10)</f>
        <v/>
      </c>
      <c r="AF607" s="10">
        <f>REPT(" ",20)</f>
        <v/>
      </c>
      <c r="AG607" s="54">
        <f>REPT(" ",18-LEN(FIXED(F607,2,TRUE)))&amp;FIXED(F607,2,TRUE)</f>
        <v/>
      </c>
      <c r="AH607" s="10">
        <f>LEN(AC607)+LEN(AG607)</f>
        <v/>
      </c>
      <c r="AI607" s="10">
        <f>LEN(L607)</f>
        <v/>
      </c>
    </row>
    <row r="608">
      <c r="A608" s="46" t="n"/>
      <c r="B608" s="38" t="n"/>
      <c r="C608" s="41" t="n"/>
      <c r="D608" s="41" t="n"/>
      <c r="E608" s="41" t="n"/>
      <c r="F608" s="88" t="n"/>
      <c r="G608" s="89" t="n"/>
      <c r="H608" s="37" t="n"/>
      <c r="I608" s="42" t="n"/>
      <c r="J608" s="12">
        <f>IF(F608&lt;&gt;0,"LANÇAR","")</f>
        <v/>
      </c>
      <c r="K608" s="20" t="n"/>
      <c r="L608" s="13">
        <f>N608&amp;O608&amp;P608&amp;Q608&amp;R608&amp;S608&amp;T608&amp;U608&amp;V608&amp;W608&amp;X608&amp;Y608&amp;Z608&amp;AA608&amp;AB608&amp;AC608&amp;AD608&amp;AE608&amp;AF608&amp;AG608</f>
        <v/>
      </c>
      <c r="M608" s="20" t="n"/>
      <c r="N608" s="10">
        <f>TEXT($B$6,"00")</f>
        <v/>
      </c>
      <c r="O608" s="10">
        <f>REPT(" ",8)</f>
        <v/>
      </c>
      <c r="P608" s="10">
        <f>RIGHT($B$4,2)</f>
        <v/>
      </c>
      <c r="Q608" s="10">
        <f>RIGHT($B$5,3)</f>
        <v/>
      </c>
      <c r="R608" s="10">
        <f>IF(A608="D",LEFT(UPPER(B608)&amp;REPT(" ",20),20),REPT(" ",20))</f>
        <v/>
      </c>
      <c r="S608" s="10">
        <f>IF(A608="D",LEFT(UPPER(C608)&amp;REPT(" ",10),10)," ")</f>
        <v/>
      </c>
      <c r="T608" s="10">
        <f>IF(A608="D",LEFT(UPPER(D608)&amp;REPT(" ",2),2)," ")</f>
        <v/>
      </c>
      <c r="U608" s="10">
        <f>IF(A608="D",LEFT(UPPER(E608)&amp;REPT(" ",15),15)," ")</f>
        <v/>
      </c>
      <c r="V608" s="10">
        <f>REPT(" ",24)</f>
        <v/>
      </c>
      <c r="W608" s="10">
        <f>IF(A608="c",LEFT(UPPER(B608)&amp;REPT(" ",20),20),REPT(" ",20))</f>
        <v/>
      </c>
      <c r="X608" s="10">
        <f>IF(A608="C",LEFT(UPPER(C608)&amp;REPT(" ",10),10)," ")</f>
        <v/>
      </c>
      <c r="Y608" s="10">
        <f>IF(A608="C",LEFT(UPPER(D608)&amp;REPT(" ",2),2)," ")</f>
        <v/>
      </c>
      <c r="Z608" s="10">
        <f>IF(A608="C",LEFT(UPPER(E608)&amp;REPT(" ",15),15)," ")</f>
        <v/>
      </c>
      <c r="AA608" s="10">
        <f>REPT(" ",8)</f>
        <v/>
      </c>
      <c r="AB608" s="10">
        <f>REPT(" ",4)</f>
        <v/>
      </c>
      <c r="AC608" s="10">
        <f>LEFT(UPPER(H608)&amp;REPT(" ",250),250)</f>
        <v/>
      </c>
      <c r="AD608" s="10">
        <f>TEXT($G$2,"dd/mm/aaaa")</f>
        <v/>
      </c>
      <c r="AE608" s="10">
        <f>REPT(" ",10)</f>
        <v/>
      </c>
      <c r="AF608" s="10">
        <f>REPT(" ",20)</f>
        <v/>
      </c>
      <c r="AG608" s="54">
        <f>REPT(" ",18-LEN(FIXED(F608,2,TRUE)))&amp;FIXED(F608,2,TRUE)</f>
        <v/>
      </c>
      <c r="AH608" s="10">
        <f>LEN(AC608)+LEN(AG608)</f>
        <v/>
      </c>
      <c r="AI608" s="10">
        <f>LEN(L608)</f>
        <v/>
      </c>
    </row>
    <row r="609">
      <c r="A609" s="46" t="n"/>
      <c r="B609" s="38" t="n"/>
      <c r="C609" s="41" t="n"/>
      <c r="D609" s="41" t="n"/>
      <c r="E609" s="41" t="n"/>
      <c r="F609" s="88" t="n"/>
      <c r="G609" s="89" t="n"/>
      <c r="H609" s="37" t="n"/>
      <c r="I609" s="42" t="n"/>
      <c r="J609" s="12">
        <f>IF(F609&lt;&gt;0,"LANÇAR","")</f>
        <v/>
      </c>
      <c r="K609" s="20" t="n"/>
      <c r="L609" s="13">
        <f>N609&amp;O609&amp;P609&amp;Q609&amp;R609&amp;S609&amp;T609&amp;U609&amp;V609&amp;W609&amp;X609&amp;Y609&amp;Z609&amp;AA609&amp;AB609&amp;AC609&amp;AD609&amp;AE609&amp;AF609&amp;AG609</f>
        <v/>
      </c>
      <c r="M609" s="20" t="n"/>
      <c r="N609" s="10">
        <f>TEXT($B$6,"00")</f>
        <v/>
      </c>
      <c r="O609" s="10">
        <f>REPT(" ",8)</f>
        <v/>
      </c>
      <c r="P609" s="10">
        <f>RIGHT($B$4,2)</f>
        <v/>
      </c>
      <c r="Q609" s="10">
        <f>RIGHT($B$5,3)</f>
        <v/>
      </c>
      <c r="R609" s="10">
        <f>IF(A609="D",LEFT(UPPER(B609)&amp;REPT(" ",20),20),REPT(" ",20))</f>
        <v/>
      </c>
      <c r="S609" s="10">
        <f>IF(A609="D",LEFT(UPPER(C609)&amp;REPT(" ",10),10)," ")</f>
        <v/>
      </c>
      <c r="T609" s="10">
        <f>IF(A609="D",LEFT(UPPER(D609)&amp;REPT(" ",2),2)," ")</f>
        <v/>
      </c>
      <c r="U609" s="10">
        <f>IF(A609="D",LEFT(UPPER(E609)&amp;REPT(" ",15),15)," ")</f>
        <v/>
      </c>
      <c r="V609" s="10">
        <f>REPT(" ",24)</f>
        <v/>
      </c>
      <c r="W609" s="10">
        <f>IF(A609="c",LEFT(UPPER(B609)&amp;REPT(" ",20),20),REPT(" ",20))</f>
        <v/>
      </c>
      <c r="X609" s="10">
        <f>IF(A609="C",LEFT(UPPER(C609)&amp;REPT(" ",10),10)," ")</f>
        <v/>
      </c>
      <c r="Y609" s="10">
        <f>IF(A609="C",LEFT(UPPER(D609)&amp;REPT(" ",2),2)," ")</f>
        <v/>
      </c>
      <c r="Z609" s="10">
        <f>IF(A609="C",LEFT(UPPER(E609)&amp;REPT(" ",15),15)," ")</f>
        <v/>
      </c>
      <c r="AA609" s="10">
        <f>REPT(" ",8)</f>
        <v/>
      </c>
      <c r="AB609" s="10">
        <f>REPT(" ",4)</f>
        <v/>
      </c>
      <c r="AC609" s="10">
        <f>LEFT(UPPER(H609)&amp;REPT(" ",250),250)</f>
        <v/>
      </c>
      <c r="AD609" s="10">
        <f>TEXT($G$2,"dd/mm/aaaa")</f>
        <v/>
      </c>
      <c r="AE609" s="10">
        <f>REPT(" ",10)</f>
        <v/>
      </c>
      <c r="AF609" s="10">
        <f>REPT(" ",20)</f>
        <v/>
      </c>
      <c r="AG609" s="54">
        <f>REPT(" ",18-LEN(FIXED(F609,2,TRUE)))&amp;FIXED(F609,2,TRUE)</f>
        <v/>
      </c>
      <c r="AH609" s="10">
        <f>LEN(AC609)+LEN(AG609)</f>
        <v/>
      </c>
      <c r="AI609" s="10">
        <f>LEN(L609)</f>
        <v/>
      </c>
    </row>
    <row r="610">
      <c r="A610" s="46" t="n"/>
      <c r="B610" s="38" t="n"/>
      <c r="C610" s="41" t="n"/>
      <c r="D610" s="41" t="n"/>
      <c r="E610" s="41" t="n"/>
      <c r="F610" s="88" t="n"/>
      <c r="G610" s="89" t="n"/>
      <c r="H610" s="37" t="n"/>
      <c r="I610" s="42" t="n"/>
      <c r="J610" s="12">
        <f>IF(F610&lt;&gt;0,"LANÇAR","")</f>
        <v/>
      </c>
      <c r="K610" s="20" t="n"/>
      <c r="L610" s="13">
        <f>N610&amp;O610&amp;P610&amp;Q610&amp;R610&amp;S610&amp;T610&amp;U610&amp;V610&amp;W610&amp;X610&amp;Y610&amp;Z610&amp;AA610&amp;AB610&amp;AC610&amp;AD610&amp;AE610&amp;AF610&amp;AG610</f>
        <v/>
      </c>
      <c r="M610" s="20" t="n"/>
      <c r="N610" s="10">
        <f>TEXT($B$6,"00")</f>
        <v/>
      </c>
      <c r="O610" s="10">
        <f>REPT(" ",8)</f>
        <v/>
      </c>
      <c r="P610" s="10">
        <f>RIGHT($B$4,2)</f>
        <v/>
      </c>
      <c r="Q610" s="10">
        <f>RIGHT($B$5,3)</f>
        <v/>
      </c>
      <c r="R610" s="10">
        <f>IF(A610="D",LEFT(UPPER(B610)&amp;REPT(" ",20),20),REPT(" ",20))</f>
        <v/>
      </c>
      <c r="S610" s="10">
        <f>IF(A610="D",LEFT(UPPER(C610)&amp;REPT(" ",10),10)," ")</f>
        <v/>
      </c>
      <c r="T610" s="10">
        <f>IF(A610="D",LEFT(UPPER(D610)&amp;REPT(" ",2),2)," ")</f>
        <v/>
      </c>
      <c r="U610" s="10">
        <f>IF(A610="D",LEFT(UPPER(E610)&amp;REPT(" ",15),15)," ")</f>
        <v/>
      </c>
      <c r="V610" s="10">
        <f>REPT(" ",24)</f>
        <v/>
      </c>
      <c r="W610" s="10">
        <f>IF(A610="c",LEFT(UPPER(B610)&amp;REPT(" ",20),20),REPT(" ",20))</f>
        <v/>
      </c>
      <c r="X610" s="10">
        <f>IF(A610="C",LEFT(UPPER(C610)&amp;REPT(" ",10),10)," ")</f>
        <v/>
      </c>
      <c r="Y610" s="10">
        <f>IF(A610="C",LEFT(UPPER(D610)&amp;REPT(" ",2),2)," ")</f>
        <v/>
      </c>
      <c r="Z610" s="10">
        <f>IF(A610="C",LEFT(UPPER(E610)&amp;REPT(" ",15),15)," ")</f>
        <v/>
      </c>
      <c r="AA610" s="10">
        <f>REPT(" ",8)</f>
        <v/>
      </c>
      <c r="AB610" s="10">
        <f>REPT(" ",4)</f>
        <v/>
      </c>
      <c r="AC610" s="10">
        <f>LEFT(UPPER(H610)&amp;REPT(" ",250),250)</f>
        <v/>
      </c>
      <c r="AD610" s="10">
        <f>TEXT($G$2,"dd/mm/aaaa")</f>
        <v/>
      </c>
      <c r="AE610" s="10">
        <f>REPT(" ",10)</f>
        <v/>
      </c>
      <c r="AF610" s="10">
        <f>REPT(" ",20)</f>
        <v/>
      </c>
      <c r="AG610" s="54">
        <f>REPT(" ",18-LEN(FIXED(F610,2,TRUE)))&amp;FIXED(F610,2,TRUE)</f>
        <v/>
      </c>
      <c r="AH610" s="10">
        <f>LEN(AC610)+LEN(AG610)</f>
        <v/>
      </c>
      <c r="AI610" s="10">
        <f>LEN(L610)</f>
        <v/>
      </c>
    </row>
    <row r="611">
      <c r="A611" s="46" t="n"/>
      <c r="B611" s="38" t="n"/>
      <c r="C611" s="41" t="n"/>
      <c r="D611" s="41" t="n"/>
      <c r="E611" s="41" t="n"/>
      <c r="F611" s="88" t="n"/>
      <c r="G611" s="89" t="n"/>
      <c r="H611" s="37" t="n"/>
      <c r="I611" s="42" t="n"/>
      <c r="J611" s="12">
        <f>IF(F611&lt;&gt;0,"LANÇAR","")</f>
        <v/>
      </c>
      <c r="K611" s="20" t="n"/>
      <c r="L611" s="13">
        <f>N611&amp;O611&amp;P611&amp;Q611&amp;R611&amp;S611&amp;T611&amp;U611&amp;V611&amp;W611&amp;X611&amp;Y611&amp;Z611&amp;AA611&amp;AB611&amp;AC611&amp;AD611&amp;AE611&amp;AF611&amp;AG611</f>
        <v/>
      </c>
      <c r="M611" s="20" t="n"/>
      <c r="N611" s="10">
        <f>TEXT($B$6,"00")</f>
        <v/>
      </c>
      <c r="O611" s="10">
        <f>REPT(" ",8)</f>
        <v/>
      </c>
      <c r="P611" s="10">
        <f>RIGHT($B$4,2)</f>
        <v/>
      </c>
      <c r="Q611" s="10">
        <f>RIGHT($B$5,3)</f>
        <v/>
      </c>
      <c r="R611" s="10">
        <f>IF(A611="D",LEFT(UPPER(B611)&amp;REPT(" ",20),20),REPT(" ",20))</f>
        <v/>
      </c>
      <c r="S611" s="10">
        <f>IF(A611="D",LEFT(UPPER(C611)&amp;REPT(" ",10),10)," ")</f>
        <v/>
      </c>
      <c r="T611" s="10">
        <f>IF(A611="D",LEFT(UPPER(D611)&amp;REPT(" ",2),2)," ")</f>
        <v/>
      </c>
      <c r="U611" s="10">
        <f>IF(A611="D",LEFT(UPPER(E611)&amp;REPT(" ",15),15)," ")</f>
        <v/>
      </c>
      <c r="V611" s="10">
        <f>REPT(" ",24)</f>
        <v/>
      </c>
      <c r="W611" s="10">
        <f>IF(A611="c",LEFT(UPPER(B611)&amp;REPT(" ",20),20),REPT(" ",20))</f>
        <v/>
      </c>
      <c r="X611" s="10">
        <f>IF(A611="C",LEFT(UPPER(C611)&amp;REPT(" ",10),10)," ")</f>
        <v/>
      </c>
      <c r="Y611" s="10">
        <f>IF(A611="C",LEFT(UPPER(D611)&amp;REPT(" ",2),2)," ")</f>
        <v/>
      </c>
      <c r="Z611" s="10">
        <f>IF(A611="C",LEFT(UPPER(E611)&amp;REPT(" ",15),15)," ")</f>
        <v/>
      </c>
      <c r="AA611" s="10">
        <f>REPT(" ",8)</f>
        <v/>
      </c>
      <c r="AB611" s="10">
        <f>REPT(" ",4)</f>
        <v/>
      </c>
      <c r="AC611" s="10">
        <f>LEFT(UPPER(H611)&amp;REPT(" ",250),250)</f>
        <v/>
      </c>
      <c r="AD611" s="10">
        <f>TEXT($G$2,"dd/mm/aaaa")</f>
        <v/>
      </c>
      <c r="AE611" s="10">
        <f>REPT(" ",10)</f>
        <v/>
      </c>
      <c r="AF611" s="10">
        <f>REPT(" ",20)</f>
        <v/>
      </c>
      <c r="AG611" s="54">
        <f>REPT(" ",18-LEN(FIXED(F611,2,TRUE)))&amp;FIXED(F611,2,TRUE)</f>
        <v/>
      </c>
      <c r="AH611" s="10">
        <f>LEN(AC611)+LEN(AG611)</f>
        <v/>
      </c>
      <c r="AI611" s="10">
        <f>LEN(L611)</f>
        <v/>
      </c>
    </row>
    <row r="612">
      <c r="A612" s="46" t="n"/>
      <c r="B612" s="38" t="n"/>
      <c r="C612" s="41" t="n"/>
      <c r="D612" s="41" t="n"/>
      <c r="E612" s="41" t="n"/>
      <c r="F612" s="88" t="n"/>
      <c r="G612" s="89" t="n"/>
      <c r="H612" s="37" t="n"/>
      <c r="I612" s="42" t="n"/>
      <c r="J612" s="12">
        <f>IF(F612&lt;&gt;0,"LANÇAR","")</f>
        <v/>
      </c>
      <c r="K612" s="20" t="n"/>
      <c r="L612" s="13">
        <f>N612&amp;O612&amp;P612&amp;Q612&amp;R612&amp;S612&amp;T612&amp;U612&amp;V612&amp;W612&amp;X612&amp;Y612&amp;Z612&amp;AA612&amp;AB612&amp;AC612&amp;AD612&amp;AE612&amp;AF612&amp;AG612</f>
        <v/>
      </c>
      <c r="M612" s="20" t="n"/>
      <c r="N612" s="10">
        <f>TEXT($B$6,"00")</f>
        <v/>
      </c>
      <c r="O612" s="10">
        <f>REPT(" ",8)</f>
        <v/>
      </c>
      <c r="P612" s="10">
        <f>RIGHT($B$4,2)</f>
        <v/>
      </c>
      <c r="Q612" s="10">
        <f>RIGHT($B$5,3)</f>
        <v/>
      </c>
      <c r="R612" s="10">
        <f>IF(A612="D",LEFT(UPPER(B612)&amp;REPT(" ",20),20),REPT(" ",20))</f>
        <v/>
      </c>
      <c r="S612" s="10">
        <f>IF(A612="D",LEFT(UPPER(C612)&amp;REPT(" ",10),10)," ")</f>
        <v/>
      </c>
      <c r="T612" s="10">
        <f>IF(A612="D",LEFT(UPPER(D612)&amp;REPT(" ",2),2)," ")</f>
        <v/>
      </c>
      <c r="U612" s="10">
        <f>IF(A612="D",LEFT(UPPER(E612)&amp;REPT(" ",15),15)," ")</f>
        <v/>
      </c>
      <c r="V612" s="10">
        <f>REPT(" ",24)</f>
        <v/>
      </c>
      <c r="W612" s="10">
        <f>IF(A612="c",LEFT(UPPER(B612)&amp;REPT(" ",20),20),REPT(" ",20))</f>
        <v/>
      </c>
      <c r="X612" s="10">
        <f>IF(A612="C",LEFT(UPPER(C612)&amp;REPT(" ",10),10)," ")</f>
        <v/>
      </c>
      <c r="Y612" s="10">
        <f>IF(A612="C",LEFT(UPPER(D612)&amp;REPT(" ",2),2)," ")</f>
        <v/>
      </c>
      <c r="Z612" s="10">
        <f>IF(A612="C",LEFT(UPPER(E612)&amp;REPT(" ",15),15)," ")</f>
        <v/>
      </c>
      <c r="AA612" s="10">
        <f>REPT(" ",8)</f>
        <v/>
      </c>
      <c r="AB612" s="10">
        <f>REPT(" ",4)</f>
        <v/>
      </c>
      <c r="AC612" s="10">
        <f>LEFT(UPPER(H612)&amp;REPT(" ",250),250)</f>
        <v/>
      </c>
      <c r="AD612" s="10">
        <f>TEXT($G$2,"dd/mm/aaaa")</f>
        <v/>
      </c>
      <c r="AE612" s="10">
        <f>REPT(" ",10)</f>
        <v/>
      </c>
      <c r="AF612" s="10">
        <f>REPT(" ",20)</f>
        <v/>
      </c>
      <c r="AG612" s="54">
        <f>REPT(" ",18-LEN(FIXED(F612,2,TRUE)))&amp;FIXED(F612,2,TRUE)</f>
        <v/>
      </c>
      <c r="AH612" s="10">
        <f>LEN(AC612)+LEN(AG612)</f>
        <v/>
      </c>
      <c r="AI612" s="10">
        <f>LEN(L612)</f>
        <v/>
      </c>
    </row>
    <row r="613">
      <c r="A613" s="46" t="n"/>
      <c r="B613" s="38" t="n"/>
      <c r="C613" s="41" t="n"/>
      <c r="D613" s="41" t="n"/>
      <c r="E613" s="41" t="n"/>
      <c r="F613" s="88" t="n"/>
      <c r="G613" s="89" t="n"/>
      <c r="H613" s="37" t="n"/>
      <c r="I613" s="42" t="n"/>
      <c r="J613" s="12">
        <f>IF(F613&lt;&gt;0,"LANÇAR","")</f>
        <v/>
      </c>
      <c r="K613" s="20" t="n"/>
      <c r="L613" s="13">
        <f>N613&amp;O613&amp;P613&amp;Q613&amp;R613&amp;S613&amp;T613&amp;U613&amp;V613&amp;W613&amp;X613&amp;Y613&amp;Z613&amp;AA613&amp;AB613&amp;AC613&amp;AD613&amp;AE613&amp;AF613&amp;AG613</f>
        <v/>
      </c>
      <c r="M613" s="20" t="n"/>
      <c r="N613" s="10">
        <f>TEXT($B$6,"00")</f>
        <v/>
      </c>
      <c r="O613" s="10">
        <f>REPT(" ",8)</f>
        <v/>
      </c>
      <c r="P613" s="10">
        <f>RIGHT($B$4,2)</f>
        <v/>
      </c>
      <c r="Q613" s="10">
        <f>RIGHT($B$5,3)</f>
        <v/>
      </c>
      <c r="R613" s="10">
        <f>IF(A613="D",LEFT(UPPER(B613)&amp;REPT(" ",20),20),REPT(" ",20))</f>
        <v/>
      </c>
      <c r="S613" s="10">
        <f>IF(A613="D",LEFT(UPPER(C613)&amp;REPT(" ",10),10)," ")</f>
        <v/>
      </c>
      <c r="T613" s="10">
        <f>IF(A613="D",LEFT(UPPER(D613)&amp;REPT(" ",2),2)," ")</f>
        <v/>
      </c>
      <c r="U613" s="10">
        <f>IF(A613="D",LEFT(UPPER(E613)&amp;REPT(" ",15),15)," ")</f>
        <v/>
      </c>
      <c r="V613" s="10">
        <f>REPT(" ",24)</f>
        <v/>
      </c>
      <c r="W613" s="10">
        <f>IF(A613="c",LEFT(UPPER(B613)&amp;REPT(" ",20),20),REPT(" ",20))</f>
        <v/>
      </c>
      <c r="X613" s="10">
        <f>IF(A613="C",LEFT(UPPER(C613)&amp;REPT(" ",10),10)," ")</f>
        <v/>
      </c>
      <c r="Y613" s="10">
        <f>IF(A613="C",LEFT(UPPER(D613)&amp;REPT(" ",2),2)," ")</f>
        <v/>
      </c>
      <c r="Z613" s="10">
        <f>IF(A613="C",LEFT(UPPER(E613)&amp;REPT(" ",15),15)," ")</f>
        <v/>
      </c>
      <c r="AA613" s="10">
        <f>REPT(" ",8)</f>
        <v/>
      </c>
      <c r="AB613" s="10">
        <f>REPT(" ",4)</f>
        <v/>
      </c>
      <c r="AC613" s="10">
        <f>LEFT(UPPER(H613)&amp;REPT(" ",250),250)</f>
        <v/>
      </c>
      <c r="AD613" s="10">
        <f>TEXT($G$2,"dd/mm/aaaa")</f>
        <v/>
      </c>
      <c r="AE613" s="10">
        <f>REPT(" ",10)</f>
        <v/>
      </c>
      <c r="AF613" s="10">
        <f>REPT(" ",20)</f>
        <v/>
      </c>
      <c r="AG613" s="54">
        <f>REPT(" ",18-LEN(FIXED(F613,2,TRUE)))&amp;FIXED(F613,2,TRUE)</f>
        <v/>
      </c>
      <c r="AH613" s="10">
        <f>LEN(AC613)+LEN(AG613)</f>
        <v/>
      </c>
      <c r="AI613" s="10">
        <f>LEN(L613)</f>
        <v/>
      </c>
    </row>
    <row r="614">
      <c r="A614" s="46" t="n"/>
      <c r="B614" s="38" t="n"/>
      <c r="C614" s="41" t="n"/>
      <c r="D614" s="41" t="n"/>
      <c r="E614" s="41" t="n"/>
      <c r="F614" s="88" t="n"/>
      <c r="G614" s="89" t="n"/>
      <c r="H614" s="37" t="n"/>
      <c r="I614" s="42" t="n"/>
      <c r="J614" s="12">
        <f>IF(F614&lt;&gt;0,"LANÇAR","")</f>
        <v/>
      </c>
      <c r="K614" s="20" t="n"/>
      <c r="L614" s="13">
        <f>N614&amp;O614&amp;P614&amp;Q614&amp;R614&amp;S614&amp;T614&amp;U614&amp;V614&amp;W614&amp;X614&amp;Y614&amp;Z614&amp;AA614&amp;AB614&amp;AC614&amp;AD614&amp;AE614&amp;AF614&amp;AG614</f>
        <v/>
      </c>
      <c r="M614" s="20" t="n"/>
      <c r="N614" s="10">
        <f>TEXT($B$6,"00")</f>
        <v/>
      </c>
      <c r="O614" s="10">
        <f>REPT(" ",8)</f>
        <v/>
      </c>
      <c r="P614" s="10">
        <f>RIGHT($B$4,2)</f>
        <v/>
      </c>
      <c r="Q614" s="10">
        <f>RIGHT($B$5,3)</f>
        <v/>
      </c>
      <c r="R614" s="10">
        <f>IF(A614="D",LEFT(UPPER(B614)&amp;REPT(" ",20),20),REPT(" ",20))</f>
        <v/>
      </c>
      <c r="S614" s="10">
        <f>IF(A614="D",LEFT(UPPER(C614)&amp;REPT(" ",10),10)," ")</f>
        <v/>
      </c>
      <c r="T614" s="10">
        <f>IF(A614="D",LEFT(UPPER(D614)&amp;REPT(" ",2),2)," ")</f>
        <v/>
      </c>
      <c r="U614" s="10">
        <f>IF(A614="D",LEFT(UPPER(E614)&amp;REPT(" ",15),15)," ")</f>
        <v/>
      </c>
      <c r="V614" s="10">
        <f>REPT(" ",24)</f>
        <v/>
      </c>
      <c r="W614" s="10">
        <f>IF(A614="c",LEFT(UPPER(B614)&amp;REPT(" ",20),20),REPT(" ",20))</f>
        <v/>
      </c>
      <c r="X614" s="10">
        <f>IF(A614="C",LEFT(UPPER(C614)&amp;REPT(" ",10),10)," ")</f>
        <v/>
      </c>
      <c r="Y614" s="10">
        <f>IF(A614="C",LEFT(UPPER(D614)&amp;REPT(" ",2),2)," ")</f>
        <v/>
      </c>
      <c r="Z614" s="10">
        <f>IF(A614="C",LEFT(UPPER(E614)&amp;REPT(" ",15),15)," ")</f>
        <v/>
      </c>
      <c r="AA614" s="10">
        <f>REPT(" ",8)</f>
        <v/>
      </c>
      <c r="AB614" s="10">
        <f>REPT(" ",4)</f>
        <v/>
      </c>
      <c r="AC614" s="10">
        <f>LEFT(UPPER(H614)&amp;REPT(" ",250),250)</f>
        <v/>
      </c>
      <c r="AD614" s="10">
        <f>TEXT($G$2,"dd/mm/aaaa")</f>
        <v/>
      </c>
      <c r="AE614" s="10">
        <f>REPT(" ",10)</f>
        <v/>
      </c>
      <c r="AF614" s="10">
        <f>REPT(" ",20)</f>
        <v/>
      </c>
      <c r="AG614" s="54">
        <f>REPT(" ",18-LEN(FIXED(F614,2,TRUE)))&amp;FIXED(F614,2,TRUE)</f>
        <v/>
      </c>
      <c r="AH614" s="10">
        <f>LEN(AC614)+LEN(AG614)</f>
        <v/>
      </c>
      <c r="AI614" s="10">
        <f>LEN(L614)</f>
        <v/>
      </c>
    </row>
    <row r="615">
      <c r="A615" s="46" t="n"/>
      <c r="B615" s="38" t="n"/>
      <c r="C615" s="41" t="n"/>
      <c r="D615" s="41" t="n"/>
      <c r="E615" s="41" t="n"/>
      <c r="F615" s="88" t="n"/>
      <c r="G615" s="89" t="n"/>
      <c r="H615" s="37" t="n"/>
      <c r="I615" s="42" t="n"/>
      <c r="J615" s="12">
        <f>IF(F615&lt;&gt;0,"LANÇAR","")</f>
        <v/>
      </c>
      <c r="K615" s="20" t="n"/>
      <c r="L615" s="13">
        <f>N615&amp;O615&amp;P615&amp;Q615&amp;R615&amp;S615&amp;T615&amp;U615&amp;V615&amp;W615&amp;X615&amp;Y615&amp;Z615&amp;AA615&amp;AB615&amp;AC615&amp;AD615&amp;AE615&amp;AF615&amp;AG615</f>
        <v/>
      </c>
      <c r="M615" s="20" t="n"/>
      <c r="N615" s="10">
        <f>TEXT($B$6,"00")</f>
        <v/>
      </c>
      <c r="O615" s="10">
        <f>REPT(" ",8)</f>
        <v/>
      </c>
      <c r="P615" s="10">
        <f>RIGHT($B$4,2)</f>
        <v/>
      </c>
      <c r="Q615" s="10">
        <f>RIGHT($B$5,3)</f>
        <v/>
      </c>
      <c r="R615" s="10">
        <f>IF(A615="D",LEFT(UPPER(B615)&amp;REPT(" ",20),20),REPT(" ",20))</f>
        <v/>
      </c>
      <c r="S615" s="10">
        <f>IF(A615="D",LEFT(UPPER(C615)&amp;REPT(" ",10),10)," ")</f>
        <v/>
      </c>
      <c r="T615" s="10">
        <f>IF(A615="D",LEFT(UPPER(D615)&amp;REPT(" ",2),2)," ")</f>
        <v/>
      </c>
      <c r="U615" s="10">
        <f>IF(A615="D",LEFT(UPPER(E615)&amp;REPT(" ",15),15)," ")</f>
        <v/>
      </c>
      <c r="V615" s="10">
        <f>REPT(" ",24)</f>
        <v/>
      </c>
      <c r="W615" s="10">
        <f>IF(A615="c",LEFT(UPPER(B615)&amp;REPT(" ",20),20),REPT(" ",20))</f>
        <v/>
      </c>
      <c r="X615" s="10">
        <f>IF(A615="C",LEFT(UPPER(C615)&amp;REPT(" ",10),10)," ")</f>
        <v/>
      </c>
      <c r="Y615" s="10">
        <f>IF(A615="C",LEFT(UPPER(D615)&amp;REPT(" ",2),2)," ")</f>
        <v/>
      </c>
      <c r="Z615" s="10">
        <f>IF(A615="C",LEFT(UPPER(E615)&amp;REPT(" ",15),15)," ")</f>
        <v/>
      </c>
      <c r="AA615" s="10">
        <f>REPT(" ",8)</f>
        <v/>
      </c>
      <c r="AB615" s="10">
        <f>REPT(" ",4)</f>
        <v/>
      </c>
      <c r="AC615" s="10">
        <f>LEFT(UPPER(H615)&amp;REPT(" ",250),250)</f>
        <v/>
      </c>
      <c r="AD615" s="10">
        <f>TEXT($G$2,"dd/mm/aaaa")</f>
        <v/>
      </c>
      <c r="AE615" s="10">
        <f>REPT(" ",10)</f>
        <v/>
      </c>
      <c r="AF615" s="10">
        <f>REPT(" ",20)</f>
        <v/>
      </c>
      <c r="AG615" s="54">
        <f>REPT(" ",18-LEN(FIXED(F615,2,TRUE)))&amp;FIXED(F615,2,TRUE)</f>
        <v/>
      </c>
      <c r="AH615" s="10">
        <f>LEN(AC615)+LEN(AG615)</f>
        <v/>
      </c>
      <c r="AI615" s="10">
        <f>LEN(L615)</f>
        <v/>
      </c>
    </row>
    <row r="616">
      <c r="A616" s="46" t="n"/>
      <c r="B616" s="38" t="n"/>
      <c r="C616" s="41" t="n"/>
      <c r="D616" s="41" t="n"/>
      <c r="E616" s="41" t="n"/>
      <c r="F616" s="88" t="n"/>
      <c r="G616" s="89" t="n"/>
      <c r="H616" s="37" t="n"/>
      <c r="I616" s="42" t="n"/>
      <c r="J616" s="12">
        <f>IF(F616&lt;&gt;0,"LANÇAR","")</f>
        <v/>
      </c>
      <c r="K616" s="20" t="n"/>
      <c r="L616" s="13">
        <f>N616&amp;O616&amp;P616&amp;Q616&amp;R616&amp;S616&amp;T616&amp;U616&amp;V616&amp;W616&amp;X616&amp;Y616&amp;Z616&amp;AA616&amp;AB616&amp;AC616&amp;AD616&amp;AE616&amp;AF616&amp;AG616</f>
        <v/>
      </c>
      <c r="M616" s="20" t="n"/>
      <c r="N616" s="10">
        <f>TEXT($B$6,"00")</f>
        <v/>
      </c>
      <c r="O616" s="10">
        <f>REPT(" ",8)</f>
        <v/>
      </c>
      <c r="P616" s="10">
        <f>RIGHT($B$4,2)</f>
        <v/>
      </c>
      <c r="Q616" s="10">
        <f>RIGHT($B$5,3)</f>
        <v/>
      </c>
      <c r="R616" s="10">
        <f>IF(A616="D",LEFT(UPPER(B616)&amp;REPT(" ",20),20),REPT(" ",20))</f>
        <v/>
      </c>
      <c r="S616" s="10">
        <f>IF(A616="D",LEFT(UPPER(C616)&amp;REPT(" ",10),10)," ")</f>
        <v/>
      </c>
      <c r="T616" s="10">
        <f>IF(A616="D",LEFT(UPPER(D616)&amp;REPT(" ",2),2)," ")</f>
        <v/>
      </c>
      <c r="U616" s="10">
        <f>IF(A616="D",LEFT(UPPER(E616)&amp;REPT(" ",15),15)," ")</f>
        <v/>
      </c>
      <c r="V616" s="10">
        <f>REPT(" ",24)</f>
        <v/>
      </c>
      <c r="W616" s="10">
        <f>IF(A616="c",LEFT(UPPER(B616)&amp;REPT(" ",20),20),REPT(" ",20))</f>
        <v/>
      </c>
      <c r="X616" s="10">
        <f>IF(A616="C",LEFT(UPPER(C616)&amp;REPT(" ",10),10)," ")</f>
        <v/>
      </c>
      <c r="Y616" s="10">
        <f>IF(A616="C",LEFT(UPPER(D616)&amp;REPT(" ",2),2)," ")</f>
        <v/>
      </c>
      <c r="Z616" s="10">
        <f>IF(A616="C",LEFT(UPPER(E616)&amp;REPT(" ",15),15)," ")</f>
        <v/>
      </c>
      <c r="AA616" s="10">
        <f>REPT(" ",8)</f>
        <v/>
      </c>
      <c r="AB616" s="10">
        <f>REPT(" ",4)</f>
        <v/>
      </c>
      <c r="AC616" s="10">
        <f>LEFT(UPPER(H616)&amp;REPT(" ",250),250)</f>
        <v/>
      </c>
      <c r="AD616" s="10">
        <f>TEXT($G$2,"dd/mm/aaaa")</f>
        <v/>
      </c>
      <c r="AE616" s="10">
        <f>REPT(" ",10)</f>
        <v/>
      </c>
      <c r="AF616" s="10">
        <f>REPT(" ",20)</f>
        <v/>
      </c>
      <c r="AG616" s="54">
        <f>REPT(" ",18-LEN(FIXED(F616,2,TRUE)))&amp;FIXED(F616,2,TRUE)</f>
        <v/>
      </c>
      <c r="AH616" s="10">
        <f>LEN(AC616)+LEN(AG616)</f>
        <v/>
      </c>
      <c r="AI616" s="10">
        <f>LEN(L616)</f>
        <v/>
      </c>
    </row>
    <row r="617">
      <c r="A617" s="46" t="n"/>
      <c r="B617" s="38" t="n"/>
      <c r="C617" s="41" t="n"/>
      <c r="D617" s="41" t="n"/>
      <c r="E617" s="41" t="n"/>
      <c r="F617" s="88" t="n"/>
      <c r="G617" s="89" t="n"/>
      <c r="H617" s="37" t="n"/>
      <c r="I617" s="42" t="n"/>
      <c r="J617" s="12">
        <f>IF(F617&lt;&gt;0,"LANÇAR","")</f>
        <v/>
      </c>
      <c r="K617" s="20" t="n"/>
      <c r="L617" s="13">
        <f>N617&amp;O617&amp;P617&amp;Q617&amp;R617&amp;S617&amp;T617&amp;U617&amp;V617&amp;W617&amp;X617&amp;Y617&amp;Z617&amp;AA617&amp;AB617&amp;AC617&amp;AD617&amp;AE617&amp;AF617&amp;AG617</f>
        <v/>
      </c>
      <c r="M617" s="20" t="n"/>
      <c r="N617" s="10">
        <f>TEXT($B$6,"00")</f>
        <v/>
      </c>
      <c r="O617" s="10">
        <f>REPT(" ",8)</f>
        <v/>
      </c>
      <c r="P617" s="10">
        <f>RIGHT($B$4,2)</f>
        <v/>
      </c>
      <c r="Q617" s="10">
        <f>RIGHT($B$5,3)</f>
        <v/>
      </c>
      <c r="R617" s="10">
        <f>IF(A617="D",LEFT(UPPER(B617)&amp;REPT(" ",20),20),REPT(" ",20))</f>
        <v/>
      </c>
      <c r="S617" s="10">
        <f>IF(A617="D",LEFT(UPPER(C617)&amp;REPT(" ",10),10)," ")</f>
        <v/>
      </c>
      <c r="T617" s="10">
        <f>IF(A617="D",LEFT(UPPER(D617)&amp;REPT(" ",2),2)," ")</f>
        <v/>
      </c>
      <c r="U617" s="10">
        <f>IF(A617="D",LEFT(UPPER(E617)&amp;REPT(" ",15),15)," ")</f>
        <v/>
      </c>
      <c r="V617" s="10">
        <f>REPT(" ",24)</f>
        <v/>
      </c>
      <c r="W617" s="10">
        <f>IF(A617="c",LEFT(UPPER(B617)&amp;REPT(" ",20),20),REPT(" ",20))</f>
        <v/>
      </c>
      <c r="X617" s="10">
        <f>IF(A617="C",LEFT(UPPER(C617)&amp;REPT(" ",10),10)," ")</f>
        <v/>
      </c>
      <c r="Y617" s="10">
        <f>IF(A617="C",LEFT(UPPER(D617)&amp;REPT(" ",2),2)," ")</f>
        <v/>
      </c>
      <c r="Z617" s="10">
        <f>IF(A617="C",LEFT(UPPER(E617)&amp;REPT(" ",15),15)," ")</f>
        <v/>
      </c>
      <c r="AA617" s="10">
        <f>REPT(" ",8)</f>
        <v/>
      </c>
      <c r="AB617" s="10">
        <f>REPT(" ",4)</f>
        <v/>
      </c>
      <c r="AC617" s="10">
        <f>LEFT(UPPER(H617)&amp;REPT(" ",250),250)</f>
        <v/>
      </c>
      <c r="AD617" s="10">
        <f>TEXT($G$2,"dd/mm/aaaa")</f>
        <v/>
      </c>
      <c r="AE617" s="10">
        <f>REPT(" ",10)</f>
        <v/>
      </c>
      <c r="AF617" s="10">
        <f>REPT(" ",20)</f>
        <v/>
      </c>
      <c r="AG617" s="54">
        <f>REPT(" ",18-LEN(FIXED(F617,2,TRUE)))&amp;FIXED(F617,2,TRUE)</f>
        <v/>
      </c>
      <c r="AH617" s="10">
        <f>LEN(AC617)+LEN(AG617)</f>
        <v/>
      </c>
      <c r="AI617" s="10">
        <f>LEN(L617)</f>
        <v/>
      </c>
    </row>
    <row r="618">
      <c r="A618" s="46" t="n"/>
      <c r="B618" s="38" t="n"/>
      <c r="C618" s="41" t="n"/>
      <c r="D618" s="41" t="n"/>
      <c r="E618" s="41" t="n"/>
      <c r="F618" s="88" t="n"/>
      <c r="G618" s="89" t="n"/>
      <c r="H618" s="37" t="n"/>
      <c r="I618" s="42" t="n"/>
      <c r="J618" s="12">
        <f>IF(F618&lt;&gt;0,"LANÇAR","")</f>
        <v/>
      </c>
      <c r="K618" s="20" t="n"/>
      <c r="L618" s="13">
        <f>N618&amp;O618&amp;P618&amp;Q618&amp;R618&amp;S618&amp;T618&amp;U618&amp;V618&amp;W618&amp;X618&amp;Y618&amp;Z618&amp;AA618&amp;AB618&amp;AC618&amp;AD618&amp;AE618&amp;AF618&amp;AG618</f>
        <v/>
      </c>
      <c r="M618" s="20" t="n"/>
      <c r="N618" s="10">
        <f>TEXT($B$6,"00")</f>
        <v/>
      </c>
      <c r="O618" s="10">
        <f>REPT(" ",8)</f>
        <v/>
      </c>
      <c r="P618" s="10">
        <f>RIGHT($B$4,2)</f>
        <v/>
      </c>
      <c r="Q618" s="10">
        <f>RIGHT($B$5,3)</f>
        <v/>
      </c>
      <c r="R618" s="10">
        <f>IF(A618="D",LEFT(UPPER(B618)&amp;REPT(" ",20),20),REPT(" ",20))</f>
        <v/>
      </c>
      <c r="S618" s="10">
        <f>IF(A618="D",LEFT(UPPER(C618)&amp;REPT(" ",10),10)," ")</f>
        <v/>
      </c>
      <c r="T618" s="10">
        <f>IF(A618="D",LEFT(UPPER(D618)&amp;REPT(" ",2),2)," ")</f>
        <v/>
      </c>
      <c r="U618" s="10">
        <f>IF(A618="D",LEFT(UPPER(E618)&amp;REPT(" ",15),15)," ")</f>
        <v/>
      </c>
      <c r="V618" s="10">
        <f>REPT(" ",24)</f>
        <v/>
      </c>
      <c r="W618" s="10">
        <f>IF(A618="c",LEFT(UPPER(B618)&amp;REPT(" ",20),20),REPT(" ",20))</f>
        <v/>
      </c>
      <c r="X618" s="10">
        <f>IF(A618="C",LEFT(UPPER(C618)&amp;REPT(" ",10),10)," ")</f>
        <v/>
      </c>
      <c r="Y618" s="10">
        <f>IF(A618="C",LEFT(UPPER(D618)&amp;REPT(" ",2),2)," ")</f>
        <v/>
      </c>
      <c r="Z618" s="10">
        <f>IF(A618="C",LEFT(UPPER(E618)&amp;REPT(" ",15),15)," ")</f>
        <v/>
      </c>
      <c r="AA618" s="10">
        <f>REPT(" ",8)</f>
        <v/>
      </c>
      <c r="AB618" s="10">
        <f>REPT(" ",4)</f>
        <v/>
      </c>
      <c r="AC618" s="10">
        <f>LEFT(UPPER(H618)&amp;REPT(" ",250),250)</f>
        <v/>
      </c>
      <c r="AD618" s="10">
        <f>TEXT($G$2,"dd/mm/aaaa")</f>
        <v/>
      </c>
      <c r="AE618" s="10">
        <f>REPT(" ",10)</f>
        <v/>
      </c>
      <c r="AF618" s="10">
        <f>REPT(" ",20)</f>
        <v/>
      </c>
      <c r="AG618" s="54">
        <f>REPT(" ",18-LEN(FIXED(F618,2,TRUE)))&amp;FIXED(F618,2,TRUE)</f>
        <v/>
      </c>
      <c r="AH618" s="10">
        <f>LEN(AC618)+LEN(AG618)</f>
        <v/>
      </c>
      <c r="AI618" s="10">
        <f>LEN(L618)</f>
        <v/>
      </c>
    </row>
    <row r="619">
      <c r="A619" s="46" t="n"/>
      <c r="B619" s="38" t="n"/>
      <c r="C619" s="41" t="n"/>
      <c r="D619" s="41" t="n"/>
      <c r="E619" s="41" t="n"/>
      <c r="F619" s="88" t="n"/>
      <c r="G619" s="89" t="n"/>
      <c r="H619" s="37" t="n"/>
      <c r="I619" s="42" t="n"/>
      <c r="J619" s="12">
        <f>IF(F619&lt;&gt;0,"LANÇAR","")</f>
        <v/>
      </c>
      <c r="K619" s="20" t="n"/>
      <c r="L619" s="13">
        <f>N619&amp;O619&amp;P619&amp;Q619&amp;R619&amp;S619&amp;T619&amp;U619&amp;V619&amp;W619&amp;X619&amp;Y619&amp;Z619&amp;AA619&amp;AB619&amp;AC619&amp;AD619&amp;AE619&amp;AF619&amp;AG619</f>
        <v/>
      </c>
      <c r="M619" s="20" t="n"/>
      <c r="N619" s="10">
        <f>TEXT($B$6,"00")</f>
        <v/>
      </c>
      <c r="O619" s="10">
        <f>REPT(" ",8)</f>
        <v/>
      </c>
      <c r="P619" s="10">
        <f>RIGHT($B$4,2)</f>
        <v/>
      </c>
      <c r="Q619" s="10">
        <f>RIGHT($B$5,3)</f>
        <v/>
      </c>
      <c r="R619" s="10">
        <f>IF(A619="D",LEFT(UPPER(B619)&amp;REPT(" ",20),20),REPT(" ",20))</f>
        <v/>
      </c>
      <c r="S619" s="10">
        <f>IF(A619="D",LEFT(UPPER(C619)&amp;REPT(" ",10),10)," ")</f>
        <v/>
      </c>
      <c r="T619" s="10">
        <f>IF(A619="D",LEFT(UPPER(D619)&amp;REPT(" ",2),2)," ")</f>
        <v/>
      </c>
      <c r="U619" s="10">
        <f>IF(A619="D",LEFT(UPPER(E619)&amp;REPT(" ",15),15)," ")</f>
        <v/>
      </c>
      <c r="V619" s="10">
        <f>REPT(" ",24)</f>
        <v/>
      </c>
      <c r="W619" s="10">
        <f>IF(A619="c",LEFT(UPPER(B619)&amp;REPT(" ",20),20),REPT(" ",20))</f>
        <v/>
      </c>
      <c r="X619" s="10">
        <f>IF(A619="C",LEFT(UPPER(C619)&amp;REPT(" ",10),10)," ")</f>
        <v/>
      </c>
      <c r="Y619" s="10">
        <f>IF(A619="C",LEFT(UPPER(D619)&amp;REPT(" ",2),2)," ")</f>
        <v/>
      </c>
      <c r="Z619" s="10">
        <f>IF(A619="C",LEFT(UPPER(E619)&amp;REPT(" ",15),15)," ")</f>
        <v/>
      </c>
      <c r="AA619" s="10">
        <f>REPT(" ",8)</f>
        <v/>
      </c>
      <c r="AB619" s="10">
        <f>REPT(" ",4)</f>
        <v/>
      </c>
      <c r="AC619" s="10">
        <f>LEFT(UPPER(H619)&amp;REPT(" ",250),250)</f>
        <v/>
      </c>
      <c r="AD619" s="10">
        <f>TEXT($G$2,"dd/mm/aaaa")</f>
        <v/>
      </c>
      <c r="AE619" s="10">
        <f>REPT(" ",10)</f>
        <v/>
      </c>
      <c r="AF619" s="10">
        <f>REPT(" ",20)</f>
        <v/>
      </c>
      <c r="AG619" s="54">
        <f>REPT(" ",18-LEN(FIXED(F619,2,TRUE)))&amp;FIXED(F619,2,TRUE)</f>
        <v/>
      </c>
      <c r="AH619" s="10">
        <f>LEN(AC619)+LEN(AG619)</f>
        <v/>
      </c>
      <c r="AI619" s="10">
        <f>LEN(L619)</f>
        <v/>
      </c>
    </row>
    <row r="620">
      <c r="A620" s="46" t="n"/>
      <c r="B620" s="38" t="n"/>
      <c r="C620" s="41" t="n"/>
      <c r="D620" s="41" t="n"/>
      <c r="E620" s="41" t="n"/>
      <c r="F620" s="88" t="n"/>
      <c r="G620" s="89" t="n"/>
      <c r="H620" s="37" t="n"/>
      <c r="I620" s="42" t="n"/>
      <c r="J620" s="12">
        <f>IF(F620&lt;&gt;0,"LANÇAR","")</f>
        <v/>
      </c>
      <c r="K620" s="20" t="n"/>
      <c r="L620" s="13">
        <f>N620&amp;O620&amp;P620&amp;Q620&amp;R620&amp;S620&amp;T620&amp;U620&amp;V620&amp;W620&amp;X620&amp;Y620&amp;Z620&amp;AA620&amp;AB620&amp;AC620&amp;AD620&amp;AE620&amp;AF620&amp;AG620</f>
        <v/>
      </c>
      <c r="M620" s="20" t="n"/>
      <c r="N620" s="10">
        <f>TEXT($B$6,"00")</f>
        <v/>
      </c>
      <c r="O620" s="10">
        <f>REPT(" ",8)</f>
        <v/>
      </c>
      <c r="P620" s="10">
        <f>RIGHT($B$4,2)</f>
        <v/>
      </c>
      <c r="Q620" s="10">
        <f>RIGHT($B$5,3)</f>
        <v/>
      </c>
      <c r="R620" s="10">
        <f>IF(A620="D",LEFT(UPPER(B620)&amp;REPT(" ",20),20),REPT(" ",20))</f>
        <v/>
      </c>
      <c r="S620" s="10">
        <f>IF(A620="D",LEFT(UPPER(C620)&amp;REPT(" ",10),10)," ")</f>
        <v/>
      </c>
      <c r="T620" s="10">
        <f>IF(A620="D",LEFT(UPPER(D620)&amp;REPT(" ",2),2)," ")</f>
        <v/>
      </c>
      <c r="U620" s="10">
        <f>IF(A620="D",LEFT(UPPER(E620)&amp;REPT(" ",15),15)," ")</f>
        <v/>
      </c>
      <c r="V620" s="10">
        <f>REPT(" ",24)</f>
        <v/>
      </c>
      <c r="W620" s="10">
        <f>IF(A620="c",LEFT(UPPER(B620)&amp;REPT(" ",20),20),REPT(" ",20))</f>
        <v/>
      </c>
      <c r="X620" s="10">
        <f>IF(A620="C",LEFT(UPPER(C620)&amp;REPT(" ",10),10)," ")</f>
        <v/>
      </c>
      <c r="Y620" s="10">
        <f>IF(A620="C",LEFT(UPPER(D620)&amp;REPT(" ",2),2)," ")</f>
        <v/>
      </c>
      <c r="Z620" s="10">
        <f>IF(A620="C",LEFT(UPPER(E620)&amp;REPT(" ",15),15)," ")</f>
        <v/>
      </c>
      <c r="AA620" s="10">
        <f>REPT(" ",8)</f>
        <v/>
      </c>
      <c r="AB620" s="10">
        <f>REPT(" ",4)</f>
        <v/>
      </c>
      <c r="AC620" s="10">
        <f>LEFT(UPPER(H620)&amp;REPT(" ",250),250)</f>
        <v/>
      </c>
      <c r="AD620" s="10">
        <f>TEXT($G$2,"dd/mm/aaaa")</f>
        <v/>
      </c>
      <c r="AE620" s="10">
        <f>REPT(" ",10)</f>
        <v/>
      </c>
      <c r="AF620" s="10">
        <f>REPT(" ",20)</f>
        <v/>
      </c>
      <c r="AG620" s="54">
        <f>REPT(" ",18-LEN(FIXED(F620,2,TRUE)))&amp;FIXED(F620,2,TRUE)</f>
        <v/>
      </c>
      <c r="AH620" s="10">
        <f>LEN(AC620)+LEN(AG620)</f>
        <v/>
      </c>
      <c r="AI620" s="10">
        <f>LEN(L620)</f>
        <v/>
      </c>
    </row>
    <row r="621">
      <c r="A621" s="46" t="n"/>
      <c r="B621" s="38" t="n"/>
      <c r="C621" s="41" t="n"/>
      <c r="D621" s="41" t="n"/>
      <c r="E621" s="41" t="n"/>
      <c r="F621" s="88" t="n"/>
      <c r="G621" s="89" t="n"/>
      <c r="H621" s="37" t="n"/>
      <c r="I621" s="42" t="n"/>
      <c r="J621" s="12">
        <f>IF(F621&lt;&gt;0,"LANÇAR","")</f>
        <v/>
      </c>
      <c r="K621" s="20" t="n"/>
      <c r="L621" s="13">
        <f>N621&amp;O621&amp;P621&amp;Q621&amp;R621&amp;S621&amp;T621&amp;U621&amp;V621&amp;W621&amp;X621&amp;Y621&amp;Z621&amp;AA621&amp;AB621&amp;AC621&amp;AD621&amp;AE621&amp;AF621&amp;AG621</f>
        <v/>
      </c>
      <c r="M621" s="20" t="n"/>
      <c r="N621" s="10">
        <f>TEXT($B$6,"00")</f>
        <v/>
      </c>
      <c r="O621" s="10">
        <f>REPT(" ",8)</f>
        <v/>
      </c>
      <c r="P621" s="10">
        <f>RIGHT($B$4,2)</f>
        <v/>
      </c>
      <c r="Q621" s="10">
        <f>RIGHT($B$5,3)</f>
        <v/>
      </c>
      <c r="R621" s="10">
        <f>IF(A621="D",LEFT(UPPER(B621)&amp;REPT(" ",20),20),REPT(" ",20))</f>
        <v/>
      </c>
      <c r="S621" s="10">
        <f>IF(A621="D",LEFT(UPPER(C621)&amp;REPT(" ",10),10)," ")</f>
        <v/>
      </c>
      <c r="T621" s="10">
        <f>IF(A621="D",LEFT(UPPER(D621)&amp;REPT(" ",2),2)," ")</f>
        <v/>
      </c>
      <c r="U621" s="10">
        <f>IF(A621="D",LEFT(UPPER(E621)&amp;REPT(" ",15),15)," ")</f>
        <v/>
      </c>
      <c r="V621" s="10">
        <f>REPT(" ",24)</f>
        <v/>
      </c>
      <c r="W621" s="10">
        <f>IF(A621="c",LEFT(UPPER(B621)&amp;REPT(" ",20),20),REPT(" ",20))</f>
        <v/>
      </c>
      <c r="X621" s="10">
        <f>IF(A621="C",LEFT(UPPER(C621)&amp;REPT(" ",10),10)," ")</f>
        <v/>
      </c>
      <c r="Y621" s="10">
        <f>IF(A621="C",LEFT(UPPER(D621)&amp;REPT(" ",2),2)," ")</f>
        <v/>
      </c>
      <c r="Z621" s="10">
        <f>IF(A621="C",LEFT(UPPER(E621)&amp;REPT(" ",15),15)," ")</f>
        <v/>
      </c>
      <c r="AA621" s="10">
        <f>REPT(" ",8)</f>
        <v/>
      </c>
      <c r="AB621" s="10">
        <f>REPT(" ",4)</f>
        <v/>
      </c>
      <c r="AC621" s="10">
        <f>LEFT(UPPER(H621)&amp;REPT(" ",250),250)</f>
        <v/>
      </c>
      <c r="AD621" s="10">
        <f>TEXT($G$2,"dd/mm/aaaa")</f>
        <v/>
      </c>
      <c r="AE621" s="10">
        <f>REPT(" ",10)</f>
        <v/>
      </c>
      <c r="AF621" s="10">
        <f>REPT(" ",20)</f>
        <v/>
      </c>
      <c r="AG621" s="54">
        <f>REPT(" ",18-LEN(FIXED(F621,2,TRUE)))&amp;FIXED(F621,2,TRUE)</f>
        <v/>
      </c>
      <c r="AH621" s="10">
        <f>LEN(AC621)+LEN(AG621)</f>
        <v/>
      </c>
      <c r="AI621" s="10">
        <f>LEN(L621)</f>
        <v/>
      </c>
    </row>
    <row r="622">
      <c r="A622" s="46" t="n"/>
      <c r="B622" s="38" t="n"/>
      <c r="C622" s="41" t="n"/>
      <c r="D622" s="41" t="n"/>
      <c r="E622" s="41" t="n"/>
      <c r="F622" s="88" t="n"/>
      <c r="G622" s="89" t="n"/>
      <c r="H622" s="37" t="n"/>
      <c r="I622" s="42" t="n"/>
      <c r="J622" s="12">
        <f>IF(F622&lt;&gt;0,"LANÇAR","")</f>
        <v/>
      </c>
      <c r="K622" s="20" t="n"/>
      <c r="L622" s="13">
        <f>N622&amp;O622&amp;P622&amp;Q622&amp;R622&amp;S622&amp;T622&amp;U622&amp;V622&amp;W622&amp;X622&amp;Y622&amp;Z622&amp;AA622&amp;AB622&amp;AC622&amp;AD622&amp;AE622&amp;AF622&amp;AG622</f>
        <v/>
      </c>
      <c r="M622" s="20" t="n"/>
      <c r="N622" s="10">
        <f>TEXT($B$6,"00")</f>
        <v/>
      </c>
      <c r="O622" s="10">
        <f>REPT(" ",8)</f>
        <v/>
      </c>
      <c r="P622" s="10">
        <f>RIGHT($B$4,2)</f>
        <v/>
      </c>
      <c r="Q622" s="10">
        <f>RIGHT($B$5,3)</f>
        <v/>
      </c>
      <c r="R622" s="10">
        <f>IF(A622="D",LEFT(UPPER(B622)&amp;REPT(" ",20),20),REPT(" ",20))</f>
        <v/>
      </c>
      <c r="S622" s="10">
        <f>IF(A622="D",LEFT(UPPER(C622)&amp;REPT(" ",10),10)," ")</f>
        <v/>
      </c>
      <c r="T622" s="10">
        <f>IF(A622="D",LEFT(UPPER(D622)&amp;REPT(" ",2),2)," ")</f>
        <v/>
      </c>
      <c r="U622" s="10">
        <f>IF(A622="D",LEFT(UPPER(E622)&amp;REPT(" ",15),15)," ")</f>
        <v/>
      </c>
      <c r="V622" s="10">
        <f>REPT(" ",24)</f>
        <v/>
      </c>
      <c r="W622" s="10">
        <f>IF(A622="c",LEFT(UPPER(B622)&amp;REPT(" ",20),20),REPT(" ",20))</f>
        <v/>
      </c>
      <c r="X622" s="10">
        <f>IF(A622="C",LEFT(UPPER(C622)&amp;REPT(" ",10),10)," ")</f>
        <v/>
      </c>
      <c r="Y622" s="10">
        <f>IF(A622="C",LEFT(UPPER(D622)&amp;REPT(" ",2),2)," ")</f>
        <v/>
      </c>
      <c r="Z622" s="10">
        <f>IF(A622="C",LEFT(UPPER(E622)&amp;REPT(" ",15),15)," ")</f>
        <v/>
      </c>
      <c r="AA622" s="10">
        <f>REPT(" ",8)</f>
        <v/>
      </c>
      <c r="AB622" s="10">
        <f>REPT(" ",4)</f>
        <v/>
      </c>
      <c r="AC622" s="10">
        <f>LEFT(UPPER(H622)&amp;REPT(" ",250),250)</f>
        <v/>
      </c>
      <c r="AD622" s="10">
        <f>TEXT($G$2,"dd/mm/aaaa")</f>
        <v/>
      </c>
      <c r="AE622" s="10">
        <f>REPT(" ",10)</f>
        <v/>
      </c>
      <c r="AF622" s="10">
        <f>REPT(" ",20)</f>
        <v/>
      </c>
      <c r="AG622" s="54">
        <f>REPT(" ",18-LEN(FIXED(F622,2,TRUE)))&amp;FIXED(F622,2,TRUE)</f>
        <v/>
      </c>
      <c r="AH622" s="10">
        <f>LEN(AC622)+LEN(AG622)</f>
        <v/>
      </c>
      <c r="AI622" s="10">
        <f>LEN(L622)</f>
        <v/>
      </c>
    </row>
    <row r="623">
      <c r="A623" s="46" t="n"/>
      <c r="B623" s="38" t="n"/>
      <c r="C623" s="41" t="n"/>
      <c r="D623" s="41" t="n"/>
      <c r="E623" s="41" t="n"/>
      <c r="F623" s="88" t="n"/>
      <c r="G623" s="89" t="n"/>
      <c r="H623" s="37" t="n"/>
      <c r="I623" s="42" t="n"/>
      <c r="J623" s="12">
        <f>IF(F623&lt;&gt;0,"LANÇAR","")</f>
        <v/>
      </c>
      <c r="K623" s="20" t="n"/>
      <c r="L623" s="13">
        <f>N623&amp;O623&amp;P623&amp;Q623&amp;R623&amp;S623&amp;T623&amp;U623&amp;V623&amp;W623&amp;X623&amp;Y623&amp;Z623&amp;AA623&amp;AB623&amp;AC623&amp;AD623&amp;AE623&amp;AF623&amp;AG623</f>
        <v/>
      </c>
      <c r="M623" s="20" t="n"/>
      <c r="N623" s="10">
        <f>TEXT($B$6,"00")</f>
        <v/>
      </c>
      <c r="O623" s="10">
        <f>REPT(" ",8)</f>
        <v/>
      </c>
      <c r="P623" s="10">
        <f>RIGHT($B$4,2)</f>
        <v/>
      </c>
      <c r="Q623" s="10">
        <f>RIGHT($B$5,3)</f>
        <v/>
      </c>
      <c r="R623" s="10">
        <f>IF(A623="D",LEFT(UPPER(B623)&amp;REPT(" ",20),20),REPT(" ",20))</f>
        <v/>
      </c>
      <c r="S623" s="10">
        <f>IF(A623="D",LEFT(UPPER(C623)&amp;REPT(" ",10),10)," ")</f>
        <v/>
      </c>
      <c r="T623" s="10">
        <f>IF(A623="D",LEFT(UPPER(D623)&amp;REPT(" ",2),2)," ")</f>
        <v/>
      </c>
      <c r="U623" s="10">
        <f>IF(A623="D",LEFT(UPPER(E623)&amp;REPT(" ",15),15)," ")</f>
        <v/>
      </c>
      <c r="V623" s="10">
        <f>REPT(" ",24)</f>
        <v/>
      </c>
      <c r="W623" s="10">
        <f>IF(A623="c",LEFT(UPPER(B623)&amp;REPT(" ",20),20),REPT(" ",20))</f>
        <v/>
      </c>
      <c r="X623" s="10">
        <f>IF(A623="C",LEFT(UPPER(C623)&amp;REPT(" ",10),10)," ")</f>
        <v/>
      </c>
      <c r="Y623" s="10">
        <f>IF(A623="C",LEFT(UPPER(D623)&amp;REPT(" ",2),2)," ")</f>
        <v/>
      </c>
      <c r="Z623" s="10">
        <f>IF(A623="C",LEFT(UPPER(E623)&amp;REPT(" ",15),15)," ")</f>
        <v/>
      </c>
      <c r="AA623" s="10">
        <f>REPT(" ",8)</f>
        <v/>
      </c>
      <c r="AB623" s="10">
        <f>REPT(" ",4)</f>
        <v/>
      </c>
      <c r="AC623" s="10">
        <f>LEFT(UPPER(H623)&amp;REPT(" ",250),250)</f>
        <v/>
      </c>
      <c r="AD623" s="10">
        <f>TEXT($G$2,"dd/mm/aaaa")</f>
        <v/>
      </c>
      <c r="AE623" s="10">
        <f>REPT(" ",10)</f>
        <v/>
      </c>
      <c r="AF623" s="10">
        <f>REPT(" ",20)</f>
        <v/>
      </c>
      <c r="AG623" s="54">
        <f>REPT(" ",18-LEN(FIXED(F623,2,TRUE)))&amp;FIXED(F623,2,TRUE)</f>
        <v/>
      </c>
      <c r="AH623" s="10">
        <f>LEN(AC623)+LEN(AG623)</f>
        <v/>
      </c>
      <c r="AI623" s="10">
        <f>LEN(L623)</f>
        <v/>
      </c>
    </row>
    <row r="624">
      <c r="A624" s="46" t="n"/>
      <c r="B624" s="38" t="n"/>
      <c r="C624" s="41" t="n"/>
      <c r="D624" s="41" t="n"/>
      <c r="E624" s="41" t="n"/>
      <c r="F624" s="88" t="n"/>
      <c r="G624" s="89" t="n"/>
      <c r="H624" s="37" t="n"/>
      <c r="I624" s="42" t="n"/>
      <c r="J624" s="12">
        <f>IF(F624&lt;&gt;0,"LANÇAR","")</f>
        <v/>
      </c>
      <c r="K624" s="20" t="n"/>
      <c r="L624" s="13">
        <f>N624&amp;O624&amp;P624&amp;Q624&amp;R624&amp;S624&amp;T624&amp;U624&amp;V624&amp;W624&amp;X624&amp;Y624&amp;Z624&amp;AA624&amp;AB624&amp;AC624&amp;AD624&amp;AE624&amp;AF624&amp;AG624</f>
        <v/>
      </c>
      <c r="M624" s="20" t="n"/>
      <c r="N624" s="10">
        <f>TEXT($B$6,"00")</f>
        <v/>
      </c>
      <c r="O624" s="10">
        <f>REPT(" ",8)</f>
        <v/>
      </c>
      <c r="P624" s="10">
        <f>RIGHT($B$4,2)</f>
        <v/>
      </c>
      <c r="Q624" s="10">
        <f>RIGHT($B$5,3)</f>
        <v/>
      </c>
      <c r="R624" s="10">
        <f>IF(A624="D",LEFT(UPPER(B624)&amp;REPT(" ",20),20),REPT(" ",20))</f>
        <v/>
      </c>
      <c r="S624" s="10">
        <f>IF(A624="D",LEFT(UPPER(C624)&amp;REPT(" ",10),10)," ")</f>
        <v/>
      </c>
      <c r="T624" s="10">
        <f>IF(A624="D",LEFT(UPPER(D624)&amp;REPT(" ",2),2)," ")</f>
        <v/>
      </c>
      <c r="U624" s="10">
        <f>IF(A624="D",LEFT(UPPER(E624)&amp;REPT(" ",15),15)," ")</f>
        <v/>
      </c>
      <c r="V624" s="10">
        <f>REPT(" ",24)</f>
        <v/>
      </c>
      <c r="W624" s="10">
        <f>IF(A624="c",LEFT(UPPER(B624)&amp;REPT(" ",20),20),REPT(" ",20))</f>
        <v/>
      </c>
      <c r="X624" s="10">
        <f>IF(A624="C",LEFT(UPPER(C624)&amp;REPT(" ",10),10)," ")</f>
        <v/>
      </c>
      <c r="Y624" s="10">
        <f>IF(A624="C",LEFT(UPPER(D624)&amp;REPT(" ",2),2)," ")</f>
        <v/>
      </c>
      <c r="Z624" s="10">
        <f>IF(A624="C",LEFT(UPPER(E624)&amp;REPT(" ",15),15)," ")</f>
        <v/>
      </c>
      <c r="AA624" s="10">
        <f>REPT(" ",8)</f>
        <v/>
      </c>
      <c r="AB624" s="10">
        <f>REPT(" ",4)</f>
        <v/>
      </c>
      <c r="AC624" s="10">
        <f>LEFT(UPPER(H624)&amp;REPT(" ",250),250)</f>
        <v/>
      </c>
      <c r="AD624" s="10">
        <f>TEXT($G$2,"dd/mm/aaaa")</f>
        <v/>
      </c>
      <c r="AE624" s="10">
        <f>REPT(" ",10)</f>
        <v/>
      </c>
      <c r="AF624" s="10">
        <f>REPT(" ",20)</f>
        <v/>
      </c>
      <c r="AG624" s="54">
        <f>REPT(" ",18-LEN(FIXED(F624,2,TRUE)))&amp;FIXED(F624,2,TRUE)</f>
        <v/>
      </c>
      <c r="AH624" s="10">
        <f>LEN(AC624)+LEN(AG624)</f>
        <v/>
      </c>
      <c r="AI624" s="10">
        <f>LEN(L624)</f>
        <v/>
      </c>
    </row>
    <row r="625">
      <c r="A625" s="46" t="n"/>
      <c r="B625" s="38" t="n"/>
      <c r="C625" s="41" t="n"/>
      <c r="D625" s="41" t="n"/>
      <c r="E625" s="41" t="n"/>
      <c r="F625" s="88" t="n"/>
      <c r="G625" s="89" t="n"/>
      <c r="H625" s="37" t="n"/>
      <c r="I625" s="42" t="n"/>
      <c r="J625" s="12">
        <f>IF(F625&lt;&gt;0,"LANÇAR","")</f>
        <v/>
      </c>
      <c r="K625" s="20" t="n"/>
      <c r="L625" s="13">
        <f>N625&amp;O625&amp;P625&amp;Q625&amp;R625&amp;S625&amp;T625&amp;U625&amp;V625&amp;W625&amp;X625&amp;Y625&amp;Z625&amp;AA625&amp;AB625&amp;AC625&amp;AD625&amp;AE625&amp;AF625&amp;AG625</f>
        <v/>
      </c>
      <c r="M625" s="20" t="n"/>
      <c r="N625" s="10">
        <f>TEXT($B$6,"00")</f>
        <v/>
      </c>
      <c r="O625" s="10">
        <f>REPT(" ",8)</f>
        <v/>
      </c>
      <c r="P625" s="10">
        <f>RIGHT($B$4,2)</f>
        <v/>
      </c>
      <c r="Q625" s="10">
        <f>RIGHT($B$5,3)</f>
        <v/>
      </c>
      <c r="R625" s="10">
        <f>IF(A625="D",LEFT(UPPER(B625)&amp;REPT(" ",20),20),REPT(" ",20))</f>
        <v/>
      </c>
      <c r="S625" s="10">
        <f>IF(A625="D",LEFT(UPPER(C625)&amp;REPT(" ",10),10)," ")</f>
        <v/>
      </c>
      <c r="T625" s="10">
        <f>IF(A625="D",LEFT(UPPER(D625)&amp;REPT(" ",2),2)," ")</f>
        <v/>
      </c>
      <c r="U625" s="10">
        <f>IF(A625="D",LEFT(UPPER(E625)&amp;REPT(" ",15),15)," ")</f>
        <v/>
      </c>
      <c r="V625" s="10">
        <f>REPT(" ",24)</f>
        <v/>
      </c>
      <c r="W625" s="10">
        <f>IF(A625="c",LEFT(UPPER(B625)&amp;REPT(" ",20),20),REPT(" ",20))</f>
        <v/>
      </c>
      <c r="X625" s="10">
        <f>IF(A625="C",LEFT(UPPER(C625)&amp;REPT(" ",10),10)," ")</f>
        <v/>
      </c>
      <c r="Y625" s="10">
        <f>IF(A625="C",LEFT(UPPER(D625)&amp;REPT(" ",2),2)," ")</f>
        <v/>
      </c>
      <c r="Z625" s="10">
        <f>IF(A625="C",LEFT(UPPER(E625)&amp;REPT(" ",15),15)," ")</f>
        <v/>
      </c>
      <c r="AA625" s="10">
        <f>REPT(" ",8)</f>
        <v/>
      </c>
      <c r="AB625" s="10">
        <f>REPT(" ",4)</f>
        <v/>
      </c>
      <c r="AC625" s="10">
        <f>LEFT(UPPER(H625)&amp;REPT(" ",250),250)</f>
        <v/>
      </c>
      <c r="AD625" s="10">
        <f>TEXT($G$2,"dd/mm/aaaa")</f>
        <v/>
      </c>
      <c r="AE625" s="10">
        <f>REPT(" ",10)</f>
        <v/>
      </c>
      <c r="AF625" s="10">
        <f>REPT(" ",20)</f>
        <v/>
      </c>
      <c r="AG625" s="54">
        <f>REPT(" ",18-LEN(FIXED(F625,2,TRUE)))&amp;FIXED(F625,2,TRUE)</f>
        <v/>
      </c>
      <c r="AH625" s="10">
        <f>LEN(AC625)+LEN(AG625)</f>
        <v/>
      </c>
      <c r="AI625" s="10">
        <f>LEN(L625)</f>
        <v/>
      </c>
    </row>
    <row r="626">
      <c r="A626" s="46" t="n"/>
      <c r="B626" s="38" t="n"/>
      <c r="C626" s="41" t="n"/>
      <c r="D626" s="41" t="n"/>
      <c r="E626" s="41" t="n"/>
      <c r="F626" s="88" t="n"/>
      <c r="G626" s="89" t="n"/>
      <c r="H626" s="37" t="n"/>
      <c r="I626" s="42" t="n"/>
      <c r="J626" s="12">
        <f>IF(F626&lt;&gt;0,"LANÇAR","")</f>
        <v/>
      </c>
      <c r="K626" s="20" t="n"/>
      <c r="L626" s="13">
        <f>N626&amp;O626&amp;P626&amp;Q626&amp;R626&amp;S626&amp;T626&amp;U626&amp;V626&amp;W626&amp;X626&amp;Y626&amp;Z626&amp;AA626&amp;AB626&amp;AC626&amp;AD626&amp;AE626&amp;AF626&amp;AG626</f>
        <v/>
      </c>
      <c r="M626" s="20" t="n"/>
      <c r="N626" s="10">
        <f>TEXT($B$6,"00")</f>
        <v/>
      </c>
      <c r="O626" s="10">
        <f>REPT(" ",8)</f>
        <v/>
      </c>
      <c r="P626" s="10">
        <f>RIGHT($B$4,2)</f>
        <v/>
      </c>
      <c r="Q626" s="10">
        <f>RIGHT($B$5,3)</f>
        <v/>
      </c>
      <c r="R626" s="10">
        <f>IF(A626="D",LEFT(UPPER(B626)&amp;REPT(" ",20),20),REPT(" ",20))</f>
        <v/>
      </c>
      <c r="S626" s="10">
        <f>IF(A626="D",LEFT(UPPER(C626)&amp;REPT(" ",10),10)," ")</f>
        <v/>
      </c>
      <c r="T626" s="10">
        <f>IF(A626="D",LEFT(UPPER(D626)&amp;REPT(" ",2),2)," ")</f>
        <v/>
      </c>
      <c r="U626" s="10">
        <f>IF(A626="D",LEFT(UPPER(E626)&amp;REPT(" ",15),15)," ")</f>
        <v/>
      </c>
      <c r="V626" s="10">
        <f>REPT(" ",24)</f>
        <v/>
      </c>
      <c r="W626" s="10">
        <f>IF(A626="c",LEFT(UPPER(B626)&amp;REPT(" ",20),20),REPT(" ",20))</f>
        <v/>
      </c>
      <c r="X626" s="10">
        <f>IF(A626="C",LEFT(UPPER(C626)&amp;REPT(" ",10),10)," ")</f>
        <v/>
      </c>
      <c r="Y626" s="10">
        <f>IF(A626="C",LEFT(UPPER(D626)&amp;REPT(" ",2),2)," ")</f>
        <v/>
      </c>
      <c r="Z626" s="10">
        <f>IF(A626="C",LEFT(UPPER(E626)&amp;REPT(" ",15),15)," ")</f>
        <v/>
      </c>
      <c r="AA626" s="10">
        <f>REPT(" ",8)</f>
        <v/>
      </c>
      <c r="AB626" s="10">
        <f>REPT(" ",4)</f>
        <v/>
      </c>
      <c r="AC626" s="10">
        <f>LEFT(UPPER(H626)&amp;REPT(" ",250),250)</f>
        <v/>
      </c>
      <c r="AD626" s="10">
        <f>TEXT($G$2,"dd/mm/aaaa")</f>
        <v/>
      </c>
      <c r="AE626" s="10">
        <f>REPT(" ",10)</f>
        <v/>
      </c>
      <c r="AF626" s="10">
        <f>REPT(" ",20)</f>
        <v/>
      </c>
      <c r="AG626" s="54">
        <f>REPT(" ",18-LEN(FIXED(F626,2,TRUE)))&amp;FIXED(F626,2,TRUE)</f>
        <v/>
      </c>
      <c r="AH626" s="10">
        <f>LEN(AC626)+LEN(AG626)</f>
        <v/>
      </c>
      <c r="AI626" s="10">
        <f>LEN(L626)</f>
        <v/>
      </c>
    </row>
    <row r="627">
      <c r="A627" s="46" t="n"/>
      <c r="B627" s="38" t="n"/>
      <c r="C627" s="41" t="n"/>
      <c r="D627" s="41" t="n"/>
      <c r="E627" s="41" t="n"/>
      <c r="F627" s="88" t="n"/>
      <c r="G627" s="89" t="n"/>
      <c r="H627" s="37" t="n"/>
      <c r="I627" s="42" t="n"/>
      <c r="J627" s="12">
        <f>IF(F627&lt;&gt;0,"LANÇAR","")</f>
        <v/>
      </c>
      <c r="K627" s="20" t="n"/>
      <c r="L627" s="13">
        <f>N627&amp;O627&amp;P627&amp;Q627&amp;R627&amp;S627&amp;T627&amp;U627&amp;V627&amp;W627&amp;X627&amp;Y627&amp;Z627&amp;AA627&amp;AB627&amp;AC627&amp;AD627&amp;AE627&amp;AF627&amp;AG627</f>
        <v/>
      </c>
      <c r="M627" s="20" t="n"/>
      <c r="N627" s="10">
        <f>TEXT($B$6,"00")</f>
        <v/>
      </c>
      <c r="O627" s="10">
        <f>REPT(" ",8)</f>
        <v/>
      </c>
      <c r="P627" s="10">
        <f>RIGHT($B$4,2)</f>
        <v/>
      </c>
      <c r="Q627" s="10">
        <f>RIGHT($B$5,3)</f>
        <v/>
      </c>
      <c r="R627" s="10">
        <f>IF(A627="D",LEFT(UPPER(B627)&amp;REPT(" ",20),20),REPT(" ",20))</f>
        <v/>
      </c>
      <c r="S627" s="10">
        <f>IF(A627="D",LEFT(UPPER(C627)&amp;REPT(" ",10),10)," ")</f>
        <v/>
      </c>
      <c r="T627" s="10">
        <f>IF(A627="D",LEFT(UPPER(D627)&amp;REPT(" ",2),2)," ")</f>
        <v/>
      </c>
      <c r="U627" s="10">
        <f>IF(A627="D",LEFT(UPPER(E627)&amp;REPT(" ",15),15)," ")</f>
        <v/>
      </c>
      <c r="V627" s="10">
        <f>REPT(" ",24)</f>
        <v/>
      </c>
      <c r="W627" s="10">
        <f>IF(A627="c",LEFT(UPPER(B627)&amp;REPT(" ",20),20),REPT(" ",20))</f>
        <v/>
      </c>
      <c r="X627" s="10">
        <f>IF(A627="C",LEFT(UPPER(C627)&amp;REPT(" ",10),10)," ")</f>
        <v/>
      </c>
      <c r="Y627" s="10">
        <f>IF(A627="C",LEFT(UPPER(D627)&amp;REPT(" ",2),2)," ")</f>
        <v/>
      </c>
      <c r="Z627" s="10">
        <f>IF(A627="C",LEFT(UPPER(E627)&amp;REPT(" ",15),15)," ")</f>
        <v/>
      </c>
      <c r="AA627" s="10">
        <f>REPT(" ",8)</f>
        <v/>
      </c>
      <c r="AB627" s="10">
        <f>REPT(" ",4)</f>
        <v/>
      </c>
      <c r="AC627" s="10">
        <f>LEFT(UPPER(H627)&amp;REPT(" ",250),250)</f>
        <v/>
      </c>
      <c r="AD627" s="10">
        <f>TEXT($G$2,"dd/mm/aaaa")</f>
        <v/>
      </c>
      <c r="AE627" s="10">
        <f>REPT(" ",10)</f>
        <v/>
      </c>
      <c r="AF627" s="10">
        <f>REPT(" ",20)</f>
        <v/>
      </c>
      <c r="AG627" s="54">
        <f>REPT(" ",18-LEN(FIXED(F627,2,TRUE)))&amp;FIXED(F627,2,TRUE)</f>
        <v/>
      </c>
      <c r="AH627" s="10">
        <f>LEN(AC627)+LEN(AG627)</f>
        <v/>
      </c>
      <c r="AI627" s="10">
        <f>LEN(L627)</f>
        <v/>
      </c>
    </row>
    <row r="628">
      <c r="A628" s="46" t="n"/>
      <c r="B628" s="38" t="n"/>
      <c r="C628" s="41" t="n"/>
      <c r="D628" s="41" t="n"/>
      <c r="E628" s="41" t="n"/>
      <c r="F628" s="88" t="n"/>
      <c r="G628" s="89" t="n"/>
      <c r="H628" s="37" t="n"/>
      <c r="I628" s="42" t="n"/>
      <c r="J628" s="12">
        <f>IF(F628&lt;&gt;0,"LANÇAR","")</f>
        <v/>
      </c>
      <c r="K628" s="20" t="n"/>
      <c r="L628" s="13">
        <f>N628&amp;O628&amp;P628&amp;Q628&amp;R628&amp;S628&amp;T628&amp;U628&amp;V628&amp;W628&amp;X628&amp;Y628&amp;Z628&amp;AA628&amp;AB628&amp;AC628&amp;AD628&amp;AE628&amp;AF628&amp;AG628</f>
        <v/>
      </c>
      <c r="M628" s="20" t="n"/>
      <c r="N628" s="10">
        <f>TEXT($B$6,"00")</f>
        <v/>
      </c>
      <c r="O628" s="10">
        <f>REPT(" ",8)</f>
        <v/>
      </c>
      <c r="P628" s="10">
        <f>RIGHT($B$4,2)</f>
        <v/>
      </c>
      <c r="Q628" s="10">
        <f>RIGHT($B$5,3)</f>
        <v/>
      </c>
      <c r="R628" s="10">
        <f>IF(A628="D",LEFT(UPPER(B628)&amp;REPT(" ",20),20),REPT(" ",20))</f>
        <v/>
      </c>
      <c r="S628" s="10">
        <f>IF(A628="D",LEFT(UPPER(C628)&amp;REPT(" ",10),10)," ")</f>
        <v/>
      </c>
      <c r="T628" s="10">
        <f>IF(A628="D",LEFT(UPPER(D628)&amp;REPT(" ",2),2)," ")</f>
        <v/>
      </c>
      <c r="U628" s="10">
        <f>IF(A628="D",LEFT(UPPER(E628)&amp;REPT(" ",15),15)," ")</f>
        <v/>
      </c>
      <c r="V628" s="10">
        <f>REPT(" ",24)</f>
        <v/>
      </c>
      <c r="W628" s="10">
        <f>IF(A628="c",LEFT(UPPER(B628)&amp;REPT(" ",20),20),REPT(" ",20))</f>
        <v/>
      </c>
      <c r="X628" s="10">
        <f>IF(A628="C",LEFT(UPPER(C628)&amp;REPT(" ",10),10)," ")</f>
        <v/>
      </c>
      <c r="Y628" s="10">
        <f>IF(A628="C",LEFT(UPPER(D628)&amp;REPT(" ",2),2)," ")</f>
        <v/>
      </c>
      <c r="Z628" s="10">
        <f>IF(A628="C",LEFT(UPPER(E628)&amp;REPT(" ",15),15)," ")</f>
        <v/>
      </c>
      <c r="AA628" s="10">
        <f>REPT(" ",8)</f>
        <v/>
      </c>
      <c r="AB628" s="10">
        <f>REPT(" ",4)</f>
        <v/>
      </c>
      <c r="AC628" s="10">
        <f>LEFT(UPPER(H628)&amp;REPT(" ",250),250)</f>
        <v/>
      </c>
      <c r="AD628" s="10">
        <f>TEXT($G$2,"dd/mm/aaaa")</f>
        <v/>
      </c>
      <c r="AE628" s="10">
        <f>REPT(" ",10)</f>
        <v/>
      </c>
      <c r="AF628" s="10">
        <f>REPT(" ",20)</f>
        <v/>
      </c>
      <c r="AG628" s="54">
        <f>REPT(" ",18-LEN(FIXED(F628,2,TRUE)))&amp;FIXED(F628,2,TRUE)</f>
        <v/>
      </c>
      <c r="AH628" s="10">
        <f>LEN(AC628)+LEN(AG628)</f>
        <v/>
      </c>
      <c r="AI628" s="10">
        <f>LEN(L628)</f>
        <v/>
      </c>
    </row>
    <row r="629">
      <c r="A629" s="46" t="n"/>
      <c r="B629" s="38" t="n"/>
      <c r="C629" s="41" t="n"/>
      <c r="D629" s="41" t="n"/>
      <c r="E629" s="41" t="n"/>
      <c r="F629" s="88" t="n"/>
      <c r="G629" s="89" t="n"/>
      <c r="H629" s="37" t="n"/>
      <c r="I629" s="42" t="n"/>
      <c r="J629" s="12">
        <f>IF(F629&lt;&gt;0,"LANÇAR","")</f>
        <v/>
      </c>
      <c r="K629" s="20" t="n"/>
      <c r="L629" s="13">
        <f>N629&amp;O629&amp;P629&amp;Q629&amp;R629&amp;S629&amp;T629&amp;U629&amp;V629&amp;W629&amp;X629&amp;Y629&amp;Z629&amp;AA629&amp;AB629&amp;AC629&amp;AD629&amp;AE629&amp;AF629&amp;AG629</f>
        <v/>
      </c>
      <c r="M629" s="20" t="n"/>
      <c r="N629" s="10">
        <f>TEXT($B$6,"00")</f>
        <v/>
      </c>
      <c r="O629" s="10">
        <f>REPT(" ",8)</f>
        <v/>
      </c>
      <c r="P629" s="10">
        <f>RIGHT($B$4,2)</f>
        <v/>
      </c>
      <c r="Q629" s="10">
        <f>RIGHT($B$5,3)</f>
        <v/>
      </c>
      <c r="R629" s="10">
        <f>IF(A629="D",LEFT(UPPER(B629)&amp;REPT(" ",20),20),REPT(" ",20))</f>
        <v/>
      </c>
      <c r="S629" s="10">
        <f>IF(A629="D",LEFT(UPPER(C629)&amp;REPT(" ",10),10)," ")</f>
        <v/>
      </c>
      <c r="T629" s="10">
        <f>IF(A629="D",LEFT(UPPER(D629)&amp;REPT(" ",2),2)," ")</f>
        <v/>
      </c>
      <c r="U629" s="10">
        <f>IF(A629="D",LEFT(UPPER(E629)&amp;REPT(" ",15),15)," ")</f>
        <v/>
      </c>
      <c r="V629" s="10">
        <f>REPT(" ",24)</f>
        <v/>
      </c>
      <c r="W629" s="10">
        <f>IF(A629="c",LEFT(UPPER(B629)&amp;REPT(" ",20),20),REPT(" ",20))</f>
        <v/>
      </c>
      <c r="X629" s="10">
        <f>IF(A629="C",LEFT(UPPER(C629)&amp;REPT(" ",10),10)," ")</f>
        <v/>
      </c>
      <c r="Y629" s="10">
        <f>IF(A629="C",LEFT(UPPER(D629)&amp;REPT(" ",2),2)," ")</f>
        <v/>
      </c>
      <c r="Z629" s="10">
        <f>IF(A629="C",LEFT(UPPER(E629)&amp;REPT(" ",15),15)," ")</f>
        <v/>
      </c>
      <c r="AA629" s="10">
        <f>REPT(" ",8)</f>
        <v/>
      </c>
      <c r="AB629" s="10">
        <f>REPT(" ",4)</f>
        <v/>
      </c>
      <c r="AC629" s="10">
        <f>LEFT(UPPER(H629)&amp;REPT(" ",250),250)</f>
        <v/>
      </c>
      <c r="AD629" s="10">
        <f>TEXT($G$2,"dd/mm/aaaa")</f>
        <v/>
      </c>
      <c r="AE629" s="10">
        <f>REPT(" ",10)</f>
        <v/>
      </c>
      <c r="AF629" s="10">
        <f>REPT(" ",20)</f>
        <v/>
      </c>
      <c r="AG629" s="54">
        <f>REPT(" ",18-LEN(FIXED(F629,2,TRUE)))&amp;FIXED(F629,2,TRUE)</f>
        <v/>
      </c>
      <c r="AH629" s="10">
        <f>LEN(AC629)+LEN(AG629)</f>
        <v/>
      </c>
      <c r="AI629" s="10">
        <f>LEN(L629)</f>
        <v/>
      </c>
    </row>
    <row r="630">
      <c r="A630" s="46" t="n"/>
      <c r="B630" s="38" t="n"/>
      <c r="C630" s="41" t="n"/>
      <c r="D630" s="41" t="n"/>
      <c r="E630" s="41" t="n"/>
      <c r="F630" s="88" t="n"/>
      <c r="G630" s="89" t="n"/>
      <c r="H630" s="37" t="n"/>
      <c r="I630" s="42" t="n"/>
      <c r="J630" s="12">
        <f>IF(F630&lt;&gt;0,"LANÇAR","")</f>
        <v/>
      </c>
      <c r="K630" s="20" t="n"/>
      <c r="L630" s="13">
        <f>N630&amp;O630&amp;P630&amp;Q630&amp;R630&amp;S630&amp;T630&amp;U630&amp;V630&amp;W630&amp;X630&amp;Y630&amp;Z630&amp;AA630&amp;AB630&amp;AC630&amp;AD630&amp;AE630&amp;AF630&amp;AG630</f>
        <v/>
      </c>
      <c r="M630" s="20" t="n"/>
      <c r="N630" s="10">
        <f>TEXT($B$6,"00")</f>
        <v/>
      </c>
      <c r="O630" s="10">
        <f>REPT(" ",8)</f>
        <v/>
      </c>
      <c r="P630" s="10">
        <f>RIGHT($B$4,2)</f>
        <v/>
      </c>
      <c r="Q630" s="10">
        <f>RIGHT($B$5,3)</f>
        <v/>
      </c>
      <c r="R630" s="10">
        <f>IF(A630="D",LEFT(UPPER(B630)&amp;REPT(" ",20),20),REPT(" ",20))</f>
        <v/>
      </c>
      <c r="S630" s="10">
        <f>IF(A630="D",LEFT(UPPER(C630)&amp;REPT(" ",10),10)," ")</f>
        <v/>
      </c>
      <c r="T630" s="10">
        <f>IF(A630="D",LEFT(UPPER(D630)&amp;REPT(" ",2),2)," ")</f>
        <v/>
      </c>
      <c r="U630" s="10">
        <f>IF(A630="D",LEFT(UPPER(E630)&amp;REPT(" ",15),15)," ")</f>
        <v/>
      </c>
      <c r="V630" s="10">
        <f>REPT(" ",24)</f>
        <v/>
      </c>
      <c r="W630" s="10">
        <f>IF(A630="c",LEFT(UPPER(B630)&amp;REPT(" ",20),20),REPT(" ",20))</f>
        <v/>
      </c>
      <c r="X630" s="10">
        <f>IF(A630="C",LEFT(UPPER(C630)&amp;REPT(" ",10),10)," ")</f>
        <v/>
      </c>
      <c r="Y630" s="10">
        <f>IF(A630="C",LEFT(UPPER(D630)&amp;REPT(" ",2),2)," ")</f>
        <v/>
      </c>
      <c r="Z630" s="10">
        <f>IF(A630="C",LEFT(UPPER(E630)&amp;REPT(" ",15),15)," ")</f>
        <v/>
      </c>
      <c r="AA630" s="10">
        <f>REPT(" ",8)</f>
        <v/>
      </c>
      <c r="AB630" s="10">
        <f>REPT(" ",4)</f>
        <v/>
      </c>
      <c r="AC630" s="10">
        <f>LEFT(UPPER(H630)&amp;REPT(" ",250),250)</f>
        <v/>
      </c>
      <c r="AD630" s="10">
        <f>TEXT($G$2,"dd/mm/aaaa")</f>
        <v/>
      </c>
      <c r="AE630" s="10">
        <f>REPT(" ",10)</f>
        <v/>
      </c>
      <c r="AF630" s="10">
        <f>REPT(" ",20)</f>
        <v/>
      </c>
      <c r="AG630" s="54">
        <f>REPT(" ",18-LEN(FIXED(F630,2,TRUE)))&amp;FIXED(F630,2,TRUE)</f>
        <v/>
      </c>
      <c r="AH630" s="10">
        <f>LEN(AC630)+LEN(AG630)</f>
        <v/>
      </c>
      <c r="AI630" s="10">
        <f>LEN(L630)</f>
        <v/>
      </c>
    </row>
    <row r="631">
      <c r="A631" s="46" t="n"/>
      <c r="B631" s="38" t="n"/>
      <c r="C631" s="41" t="n"/>
      <c r="D631" s="41" t="n"/>
      <c r="E631" s="41" t="n"/>
      <c r="F631" s="88" t="n"/>
      <c r="G631" s="89" t="n"/>
      <c r="H631" s="37" t="n"/>
      <c r="I631" s="42" t="n"/>
      <c r="J631" s="12">
        <f>IF(F631&lt;&gt;0,"LANÇAR","")</f>
        <v/>
      </c>
      <c r="K631" s="20" t="n"/>
      <c r="L631" s="13">
        <f>N631&amp;O631&amp;P631&amp;Q631&amp;R631&amp;S631&amp;T631&amp;U631&amp;V631&amp;W631&amp;X631&amp;Y631&amp;Z631&amp;AA631&amp;AB631&amp;AC631&amp;AD631&amp;AE631&amp;AF631&amp;AG631</f>
        <v/>
      </c>
      <c r="M631" s="20" t="n"/>
      <c r="N631" s="10">
        <f>TEXT($B$6,"00")</f>
        <v/>
      </c>
      <c r="O631" s="10">
        <f>REPT(" ",8)</f>
        <v/>
      </c>
      <c r="P631" s="10">
        <f>RIGHT($B$4,2)</f>
        <v/>
      </c>
      <c r="Q631" s="10">
        <f>RIGHT($B$5,3)</f>
        <v/>
      </c>
      <c r="R631" s="10">
        <f>IF(A631="D",LEFT(UPPER(B631)&amp;REPT(" ",20),20),REPT(" ",20))</f>
        <v/>
      </c>
      <c r="S631" s="10">
        <f>IF(A631="D",LEFT(UPPER(C631)&amp;REPT(" ",10),10)," ")</f>
        <v/>
      </c>
      <c r="T631" s="10">
        <f>IF(A631="D",LEFT(UPPER(D631)&amp;REPT(" ",2),2)," ")</f>
        <v/>
      </c>
      <c r="U631" s="10">
        <f>IF(A631="D",LEFT(UPPER(E631)&amp;REPT(" ",15),15)," ")</f>
        <v/>
      </c>
      <c r="V631" s="10">
        <f>REPT(" ",24)</f>
        <v/>
      </c>
      <c r="W631" s="10">
        <f>IF(A631="c",LEFT(UPPER(B631)&amp;REPT(" ",20),20),REPT(" ",20))</f>
        <v/>
      </c>
      <c r="X631" s="10">
        <f>IF(A631="C",LEFT(UPPER(C631)&amp;REPT(" ",10),10)," ")</f>
        <v/>
      </c>
      <c r="Y631" s="10">
        <f>IF(A631="C",LEFT(UPPER(D631)&amp;REPT(" ",2),2)," ")</f>
        <v/>
      </c>
      <c r="Z631" s="10">
        <f>IF(A631="C",LEFT(UPPER(E631)&amp;REPT(" ",15),15)," ")</f>
        <v/>
      </c>
      <c r="AA631" s="10">
        <f>REPT(" ",8)</f>
        <v/>
      </c>
      <c r="AB631" s="10">
        <f>REPT(" ",4)</f>
        <v/>
      </c>
      <c r="AC631" s="10">
        <f>LEFT(UPPER(H631)&amp;REPT(" ",250),250)</f>
        <v/>
      </c>
      <c r="AD631" s="10">
        <f>TEXT($G$2,"dd/mm/aaaa")</f>
        <v/>
      </c>
      <c r="AE631" s="10">
        <f>REPT(" ",10)</f>
        <v/>
      </c>
      <c r="AF631" s="10">
        <f>REPT(" ",20)</f>
        <v/>
      </c>
      <c r="AG631" s="54">
        <f>REPT(" ",18-LEN(FIXED(F631,2,TRUE)))&amp;FIXED(F631,2,TRUE)</f>
        <v/>
      </c>
      <c r="AH631" s="10">
        <f>LEN(AC631)+LEN(AG631)</f>
        <v/>
      </c>
      <c r="AI631" s="10">
        <f>LEN(L631)</f>
        <v/>
      </c>
    </row>
    <row r="632">
      <c r="A632" s="46" t="n"/>
      <c r="B632" s="38" t="n"/>
      <c r="C632" s="41" t="n"/>
      <c r="D632" s="41" t="n"/>
      <c r="E632" s="41" t="n"/>
      <c r="F632" s="88" t="n"/>
      <c r="G632" s="89" t="n"/>
      <c r="H632" s="37" t="n"/>
      <c r="I632" s="42" t="n"/>
      <c r="J632" s="12">
        <f>IF(F632&lt;&gt;0,"LANÇAR","")</f>
        <v/>
      </c>
      <c r="K632" s="20" t="n"/>
      <c r="L632" s="13">
        <f>N632&amp;O632&amp;P632&amp;Q632&amp;R632&amp;S632&amp;T632&amp;U632&amp;V632&amp;W632&amp;X632&amp;Y632&amp;Z632&amp;AA632&amp;AB632&amp;AC632&amp;AD632&amp;AE632&amp;AF632&amp;AG632</f>
        <v/>
      </c>
      <c r="M632" s="20" t="n"/>
      <c r="N632" s="10">
        <f>TEXT($B$6,"00")</f>
        <v/>
      </c>
      <c r="O632" s="10">
        <f>REPT(" ",8)</f>
        <v/>
      </c>
      <c r="P632" s="10">
        <f>RIGHT($B$4,2)</f>
        <v/>
      </c>
      <c r="Q632" s="10">
        <f>RIGHT($B$5,3)</f>
        <v/>
      </c>
      <c r="R632" s="10">
        <f>IF(A632="D",LEFT(UPPER(B632)&amp;REPT(" ",20),20),REPT(" ",20))</f>
        <v/>
      </c>
      <c r="S632" s="10">
        <f>IF(A632="D",LEFT(UPPER(C632)&amp;REPT(" ",10),10)," ")</f>
        <v/>
      </c>
      <c r="T632" s="10">
        <f>IF(A632="D",LEFT(UPPER(D632)&amp;REPT(" ",2),2)," ")</f>
        <v/>
      </c>
      <c r="U632" s="10">
        <f>IF(A632="D",LEFT(UPPER(E632)&amp;REPT(" ",15),15)," ")</f>
        <v/>
      </c>
      <c r="V632" s="10">
        <f>REPT(" ",24)</f>
        <v/>
      </c>
      <c r="W632" s="10">
        <f>IF(A632="c",LEFT(UPPER(B632)&amp;REPT(" ",20),20),REPT(" ",20))</f>
        <v/>
      </c>
      <c r="X632" s="10">
        <f>IF(A632="C",LEFT(UPPER(C632)&amp;REPT(" ",10),10)," ")</f>
        <v/>
      </c>
      <c r="Y632" s="10">
        <f>IF(A632="C",LEFT(UPPER(D632)&amp;REPT(" ",2),2)," ")</f>
        <v/>
      </c>
      <c r="Z632" s="10">
        <f>IF(A632="C",LEFT(UPPER(E632)&amp;REPT(" ",15),15)," ")</f>
        <v/>
      </c>
      <c r="AA632" s="10">
        <f>REPT(" ",8)</f>
        <v/>
      </c>
      <c r="AB632" s="10">
        <f>REPT(" ",4)</f>
        <v/>
      </c>
      <c r="AC632" s="10">
        <f>LEFT(UPPER(H632)&amp;REPT(" ",250),250)</f>
        <v/>
      </c>
      <c r="AD632" s="10">
        <f>TEXT($G$2,"dd/mm/aaaa")</f>
        <v/>
      </c>
      <c r="AE632" s="10">
        <f>REPT(" ",10)</f>
        <v/>
      </c>
      <c r="AF632" s="10">
        <f>REPT(" ",20)</f>
        <v/>
      </c>
      <c r="AG632" s="54">
        <f>REPT(" ",18-LEN(FIXED(F632,2,TRUE)))&amp;FIXED(F632,2,TRUE)</f>
        <v/>
      </c>
      <c r="AH632" s="10">
        <f>LEN(AC632)+LEN(AG632)</f>
        <v/>
      </c>
      <c r="AI632" s="10">
        <f>LEN(L632)</f>
        <v/>
      </c>
    </row>
    <row r="633">
      <c r="A633" s="46" t="n"/>
      <c r="B633" s="38" t="n"/>
      <c r="C633" s="41" t="n"/>
      <c r="D633" s="41" t="n"/>
      <c r="E633" s="41" t="n"/>
      <c r="F633" s="88" t="n"/>
      <c r="G633" s="89" t="n"/>
      <c r="H633" s="37" t="n"/>
      <c r="I633" s="42" t="n"/>
      <c r="J633" s="12">
        <f>IF(F633&lt;&gt;0,"LANÇAR","")</f>
        <v/>
      </c>
      <c r="K633" s="20" t="n"/>
      <c r="L633" s="13">
        <f>N633&amp;O633&amp;P633&amp;Q633&amp;R633&amp;S633&amp;T633&amp;U633&amp;V633&amp;W633&amp;X633&amp;Y633&amp;Z633&amp;AA633&amp;AB633&amp;AC633&amp;AD633&amp;AE633&amp;AF633&amp;AG633</f>
        <v/>
      </c>
      <c r="M633" s="20" t="n"/>
      <c r="N633" s="10">
        <f>TEXT($B$6,"00")</f>
        <v/>
      </c>
      <c r="O633" s="10">
        <f>REPT(" ",8)</f>
        <v/>
      </c>
      <c r="P633" s="10">
        <f>RIGHT($B$4,2)</f>
        <v/>
      </c>
      <c r="Q633" s="10">
        <f>RIGHT($B$5,3)</f>
        <v/>
      </c>
      <c r="R633" s="10">
        <f>IF(A633="D",LEFT(UPPER(B633)&amp;REPT(" ",20),20),REPT(" ",20))</f>
        <v/>
      </c>
      <c r="S633" s="10">
        <f>IF(A633="D",LEFT(UPPER(C633)&amp;REPT(" ",10),10)," ")</f>
        <v/>
      </c>
      <c r="T633" s="10">
        <f>IF(A633="D",LEFT(UPPER(D633)&amp;REPT(" ",2),2)," ")</f>
        <v/>
      </c>
      <c r="U633" s="10">
        <f>IF(A633="D",LEFT(UPPER(E633)&amp;REPT(" ",15),15)," ")</f>
        <v/>
      </c>
      <c r="V633" s="10">
        <f>REPT(" ",24)</f>
        <v/>
      </c>
      <c r="W633" s="10">
        <f>IF(A633="c",LEFT(UPPER(B633)&amp;REPT(" ",20),20),REPT(" ",20))</f>
        <v/>
      </c>
      <c r="X633" s="10">
        <f>IF(A633="C",LEFT(UPPER(C633)&amp;REPT(" ",10),10)," ")</f>
        <v/>
      </c>
      <c r="Y633" s="10">
        <f>IF(A633="C",LEFT(UPPER(D633)&amp;REPT(" ",2),2)," ")</f>
        <v/>
      </c>
      <c r="Z633" s="10">
        <f>IF(A633="C",LEFT(UPPER(E633)&amp;REPT(" ",15),15)," ")</f>
        <v/>
      </c>
      <c r="AA633" s="10">
        <f>REPT(" ",8)</f>
        <v/>
      </c>
      <c r="AB633" s="10">
        <f>REPT(" ",4)</f>
        <v/>
      </c>
      <c r="AC633" s="10">
        <f>LEFT(UPPER(H633)&amp;REPT(" ",250),250)</f>
        <v/>
      </c>
      <c r="AD633" s="10">
        <f>TEXT($G$2,"dd/mm/aaaa")</f>
        <v/>
      </c>
      <c r="AE633" s="10">
        <f>REPT(" ",10)</f>
        <v/>
      </c>
      <c r="AF633" s="10">
        <f>REPT(" ",20)</f>
        <v/>
      </c>
      <c r="AG633" s="54">
        <f>REPT(" ",18-LEN(FIXED(F633,2,TRUE)))&amp;FIXED(F633,2,TRUE)</f>
        <v/>
      </c>
      <c r="AH633" s="10">
        <f>LEN(AC633)+LEN(AG633)</f>
        <v/>
      </c>
      <c r="AI633" s="10">
        <f>LEN(L633)</f>
        <v/>
      </c>
    </row>
    <row r="634">
      <c r="A634" s="46" t="n"/>
      <c r="B634" s="38" t="n"/>
      <c r="C634" s="41" t="n"/>
      <c r="D634" s="41" t="n"/>
      <c r="E634" s="41" t="n"/>
      <c r="F634" s="88" t="n"/>
      <c r="G634" s="89" t="n"/>
      <c r="H634" s="37" t="n"/>
      <c r="I634" s="42" t="n"/>
      <c r="J634" s="12">
        <f>IF(F634&lt;&gt;0,"LANÇAR","")</f>
        <v/>
      </c>
      <c r="K634" s="20" t="n"/>
      <c r="L634" s="13">
        <f>N634&amp;O634&amp;P634&amp;Q634&amp;R634&amp;S634&amp;T634&amp;U634&amp;V634&amp;W634&amp;X634&amp;Y634&amp;Z634&amp;AA634&amp;AB634&amp;AC634&amp;AD634&amp;AE634&amp;AF634&amp;AG634</f>
        <v/>
      </c>
      <c r="M634" s="20" t="n"/>
      <c r="N634" s="10">
        <f>TEXT($B$6,"00")</f>
        <v/>
      </c>
      <c r="O634" s="10">
        <f>REPT(" ",8)</f>
        <v/>
      </c>
      <c r="P634" s="10">
        <f>RIGHT($B$4,2)</f>
        <v/>
      </c>
      <c r="Q634" s="10">
        <f>RIGHT($B$5,3)</f>
        <v/>
      </c>
      <c r="R634" s="10">
        <f>IF(A634="D",LEFT(UPPER(B634)&amp;REPT(" ",20),20),REPT(" ",20))</f>
        <v/>
      </c>
      <c r="S634" s="10">
        <f>IF(A634="D",LEFT(UPPER(C634)&amp;REPT(" ",10),10)," ")</f>
        <v/>
      </c>
      <c r="T634" s="10">
        <f>IF(A634="D",LEFT(UPPER(D634)&amp;REPT(" ",2),2)," ")</f>
        <v/>
      </c>
      <c r="U634" s="10">
        <f>IF(A634="D",LEFT(UPPER(E634)&amp;REPT(" ",15),15)," ")</f>
        <v/>
      </c>
      <c r="V634" s="10">
        <f>REPT(" ",24)</f>
        <v/>
      </c>
      <c r="W634" s="10">
        <f>IF(A634="c",LEFT(UPPER(B634)&amp;REPT(" ",20),20),REPT(" ",20))</f>
        <v/>
      </c>
      <c r="X634" s="10">
        <f>IF(A634="C",LEFT(UPPER(C634)&amp;REPT(" ",10),10)," ")</f>
        <v/>
      </c>
      <c r="Y634" s="10">
        <f>IF(A634="C",LEFT(UPPER(D634)&amp;REPT(" ",2),2)," ")</f>
        <v/>
      </c>
      <c r="Z634" s="10">
        <f>IF(A634="C",LEFT(UPPER(E634)&amp;REPT(" ",15),15)," ")</f>
        <v/>
      </c>
      <c r="AA634" s="10">
        <f>REPT(" ",8)</f>
        <v/>
      </c>
      <c r="AB634" s="10">
        <f>REPT(" ",4)</f>
        <v/>
      </c>
      <c r="AC634" s="10">
        <f>LEFT(UPPER(H634)&amp;REPT(" ",250),250)</f>
        <v/>
      </c>
      <c r="AD634" s="10">
        <f>TEXT($G$2,"dd/mm/aaaa")</f>
        <v/>
      </c>
      <c r="AE634" s="10">
        <f>REPT(" ",10)</f>
        <v/>
      </c>
      <c r="AF634" s="10">
        <f>REPT(" ",20)</f>
        <v/>
      </c>
      <c r="AG634" s="54">
        <f>REPT(" ",18-LEN(FIXED(F634,2,TRUE)))&amp;FIXED(F634,2,TRUE)</f>
        <v/>
      </c>
      <c r="AH634" s="10">
        <f>LEN(AC634)+LEN(AG634)</f>
        <v/>
      </c>
      <c r="AI634" s="10">
        <f>LEN(L634)</f>
        <v/>
      </c>
    </row>
    <row r="635">
      <c r="A635" s="46" t="n"/>
      <c r="B635" s="38" t="n"/>
      <c r="C635" s="41" t="n"/>
      <c r="D635" s="41" t="n"/>
      <c r="E635" s="41" t="n"/>
      <c r="F635" s="88" t="n"/>
      <c r="G635" s="89" t="n"/>
      <c r="H635" s="37" t="n"/>
      <c r="I635" s="42" t="n"/>
      <c r="J635" s="12">
        <f>IF(F635&lt;&gt;0,"LANÇAR","")</f>
        <v/>
      </c>
      <c r="K635" s="20" t="n"/>
      <c r="L635" s="13">
        <f>N635&amp;O635&amp;P635&amp;Q635&amp;R635&amp;S635&amp;T635&amp;U635&amp;V635&amp;W635&amp;X635&amp;Y635&amp;Z635&amp;AA635&amp;AB635&amp;AC635&amp;AD635&amp;AE635&amp;AF635&amp;AG635</f>
        <v/>
      </c>
      <c r="M635" s="20" t="n"/>
      <c r="N635" s="10">
        <f>TEXT($B$6,"00")</f>
        <v/>
      </c>
      <c r="O635" s="10">
        <f>REPT(" ",8)</f>
        <v/>
      </c>
      <c r="P635" s="10">
        <f>RIGHT($B$4,2)</f>
        <v/>
      </c>
      <c r="Q635" s="10">
        <f>RIGHT($B$5,3)</f>
        <v/>
      </c>
      <c r="R635" s="10">
        <f>IF(A635="D",LEFT(UPPER(B635)&amp;REPT(" ",20),20),REPT(" ",20))</f>
        <v/>
      </c>
      <c r="S635" s="10">
        <f>IF(A635="D",LEFT(UPPER(C635)&amp;REPT(" ",10),10)," ")</f>
        <v/>
      </c>
      <c r="T635" s="10">
        <f>IF(A635="D",LEFT(UPPER(D635)&amp;REPT(" ",2),2)," ")</f>
        <v/>
      </c>
      <c r="U635" s="10">
        <f>IF(A635="D",LEFT(UPPER(E635)&amp;REPT(" ",15),15)," ")</f>
        <v/>
      </c>
      <c r="V635" s="10">
        <f>REPT(" ",24)</f>
        <v/>
      </c>
      <c r="W635" s="10">
        <f>IF(A635="c",LEFT(UPPER(B635)&amp;REPT(" ",20),20),REPT(" ",20))</f>
        <v/>
      </c>
      <c r="X635" s="10">
        <f>IF(A635="C",LEFT(UPPER(C635)&amp;REPT(" ",10),10)," ")</f>
        <v/>
      </c>
      <c r="Y635" s="10">
        <f>IF(A635="C",LEFT(UPPER(D635)&amp;REPT(" ",2),2)," ")</f>
        <v/>
      </c>
      <c r="Z635" s="10">
        <f>IF(A635="C",LEFT(UPPER(E635)&amp;REPT(" ",15),15)," ")</f>
        <v/>
      </c>
      <c r="AA635" s="10">
        <f>REPT(" ",8)</f>
        <v/>
      </c>
      <c r="AB635" s="10">
        <f>REPT(" ",4)</f>
        <v/>
      </c>
      <c r="AC635" s="10">
        <f>LEFT(UPPER(H635)&amp;REPT(" ",250),250)</f>
        <v/>
      </c>
      <c r="AD635" s="10">
        <f>TEXT($G$2,"dd/mm/aaaa")</f>
        <v/>
      </c>
      <c r="AE635" s="10">
        <f>REPT(" ",10)</f>
        <v/>
      </c>
      <c r="AF635" s="10">
        <f>REPT(" ",20)</f>
        <v/>
      </c>
      <c r="AG635" s="54">
        <f>REPT(" ",18-LEN(FIXED(F635,2,TRUE)))&amp;FIXED(F635,2,TRUE)</f>
        <v/>
      </c>
      <c r="AH635" s="10">
        <f>LEN(AC635)+LEN(AG635)</f>
        <v/>
      </c>
      <c r="AI635" s="10">
        <f>LEN(L635)</f>
        <v/>
      </c>
    </row>
    <row r="636">
      <c r="A636" s="46" t="n"/>
      <c r="B636" s="38" t="n"/>
      <c r="C636" s="41" t="n"/>
      <c r="D636" s="41" t="n"/>
      <c r="E636" s="41" t="n"/>
      <c r="F636" s="88" t="n"/>
      <c r="G636" s="89" t="n"/>
      <c r="H636" s="37" t="n"/>
      <c r="I636" s="42" t="n"/>
      <c r="J636" s="12">
        <f>IF(F636&lt;&gt;0,"LANÇAR","")</f>
        <v/>
      </c>
      <c r="K636" s="20" t="n"/>
      <c r="L636" s="13">
        <f>N636&amp;O636&amp;P636&amp;Q636&amp;R636&amp;S636&amp;T636&amp;U636&amp;V636&amp;W636&amp;X636&amp;Y636&amp;Z636&amp;AA636&amp;AB636&amp;AC636&amp;AD636&amp;AE636&amp;AF636&amp;AG636</f>
        <v/>
      </c>
      <c r="M636" s="20" t="n"/>
      <c r="N636" s="10">
        <f>TEXT($B$6,"00")</f>
        <v/>
      </c>
      <c r="O636" s="10">
        <f>REPT(" ",8)</f>
        <v/>
      </c>
      <c r="P636" s="10">
        <f>RIGHT($B$4,2)</f>
        <v/>
      </c>
      <c r="Q636" s="10">
        <f>RIGHT($B$5,3)</f>
        <v/>
      </c>
      <c r="R636" s="10">
        <f>IF(A636="D",LEFT(UPPER(B636)&amp;REPT(" ",20),20),REPT(" ",20))</f>
        <v/>
      </c>
      <c r="S636" s="10">
        <f>IF(A636="D",LEFT(UPPER(C636)&amp;REPT(" ",10),10)," ")</f>
        <v/>
      </c>
      <c r="T636" s="10">
        <f>IF(A636="D",LEFT(UPPER(D636)&amp;REPT(" ",2),2)," ")</f>
        <v/>
      </c>
      <c r="U636" s="10">
        <f>IF(A636="D",LEFT(UPPER(E636)&amp;REPT(" ",15),15)," ")</f>
        <v/>
      </c>
      <c r="V636" s="10">
        <f>REPT(" ",24)</f>
        <v/>
      </c>
      <c r="W636" s="10">
        <f>IF(A636="c",LEFT(UPPER(B636)&amp;REPT(" ",20),20),REPT(" ",20))</f>
        <v/>
      </c>
      <c r="X636" s="10">
        <f>IF(A636="C",LEFT(UPPER(C636)&amp;REPT(" ",10),10)," ")</f>
        <v/>
      </c>
      <c r="Y636" s="10">
        <f>IF(A636="C",LEFT(UPPER(D636)&amp;REPT(" ",2),2)," ")</f>
        <v/>
      </c>
      <c r="Z636" s="10">
        <f>IF(A636="C",LEFT(UPPER(E636)&amp;REPT(" ",15),15)," ")</f>
        <v/>
      </c>
      <c r="AA636" s="10">
        <f>REPT(" ",8)</f>
        <v/>
      </c>
      <c r="AB636" s="10">
        <f>REPT(" ",4)</f>
        <v/>
      </c>
      <c r="AC636" s="10">
        <f>LEFT(UPPER(H636)&amp;REPT(" ",250),250)</f>
        <v/>
      </c>
      <c r="AD636" s="10">
        <f>TEXT($G$2,"dd/mm/aaaa")</f>
        <v/>
      </c>
      <c r="AE636" s="10">
        <f>REPT(" ",10)</f>
        <v/>
      </c>
      <c r="AF636" s="10">
        <f>REPT(" ",20)</f>
        <v/>
      </c>
      <c r="AG636" s="54">
        <f>REPT(" ",18-LEN(FIXED(F636,2,TRUE)))&amp;FIXED(F636,2,TRUE)</f>
        <v/>
      </c>
      <c r="AH636" s="10">
        <f>LEN(AC636)+LEN(AG636)</f>
        <v/>
      </c>
      <c r="AI636" s="10">
        <f>LEN(L636)</f>
        <v/>
      </c>
    </row>
    <row r="637">
      <c r="A637" s="46" t="n"/>
      <c r="B637" s="38" t="n"/>
      <c r="C637" s="41" t="n"/>
      <c r="D637" s="41" t="n"/>
      <c r="E637" s="41" t="n"/>
      <c r="F637" s="88" t="n"/>
      <c r="G637" s="89" t="n"/>
      <c r="H637" s="37" t="n"/>
      <c r="I637" s="42" t="n"/>
      <c r="J637" s="12">
        <f>IF(F637&lt;&gt;0,"LANÇAR","")</f>
        <v/>
      </c>
      <c r="K637" s="20" t="n"/>
      <c r="L637" s="13">
        <f>N637&amp;O637&amp;P637&amp;Q637&amp;R637&amp;S637&amp;T637&amp;U637&amp;V637&amp;W637&amp;X637&amp;Y637&amp;Z637&amp;AA637&amp;AB637&amp;AC637&amp;AD637&amp;AE637&amp;AF637&amp;AG637</f>
        <v/>
      </c>
      <c r="M637" s="20" t="n"/>
      <c r="N637" s="10">
        <f>TEXT($B$6,"00")</f>
        <v/>
      </c>
      <c r="O637" s="10">
        <f>REPT(" ",8)</f>
        <v/>
      </c>
      <c r="P637" s="10">
        <f>RIGHT($B$4,2)</f>
        <v/>
      </c>
      <c r="Q637" s="10">
        <f>RIGHT($B$5,3)</f>
        <v/>
      </c>
      <c r="R637" s="10">
        <f>IF(A637="D",LEFT(UPPER(B637)&amp;REPT(" ",20),20),REPT(" ",20))</f>
        <v/>
      </c>
      <c r="S637" s="10">
        <f>IF(A637="D",LEFT(UPPER(C637)&amp;REPT(" ",10),10)," ")</f>
        <v/>
      </c>
      <c r="T637" s="10">
        <f>IF(A637="D",LEFT(UPPER(D637)&amp;REPT(" ",2),2)," ")</f>
        <v/>
      </c>
      <c r="U637" s="10">
        <f>IF(A637="D",LEFT(UPPER(E637)&amp;REPT(" ",15),15)," ")</f>
        <v/>
      </c>
      <c r="V637" s="10">
        <f>REPT(" ",24)</f>
        <v/>
      </c>
      <c r="W637" s="10">
        <f>IF(A637="c",LEFT(UPPER(B637)&amp;REPT(" ",20),20),REPT(" ",20))</f>
        <v/>
      </c>
      <c r="X637" s="10">
        <f>IF(A637="C",LEFT(UPPER(C637)&amp;REPT(" ",10),10)," ")</f>
        <v/>
      </c>
      <c r="Y637" s="10">
        <f>IF(A637="C",LEFT(UPPER(D637)&amp;REPT(" ",2),2)," ")</f>
        <v/>
      </c>
      <c r="Z637" s="10">
        <f>IF(A637="C",LEFT(UPPER(E637)&amp;REPT(" ",15),15)," ")</f>
        <v/>
      </c>
      <c r="AA637" s="10">
        <f>REPT(" ",8)</f>
        <v/>
      </c>
      <c r="AB637" s="10">
        <f>REPT(" ",4)</f>
        <v/>
      </c>
      <c r="AC637" s="10">
        <f>LEFT(UPPER(H637)&amp;REPT(" ",250),250)</f>
        <v/>
      </c>
      <c r="AD637" s="10">
        <f>TEXT($G$2,"dd/mm/aaaa")</f>
        <v/>
      </c>
      <c r="AE637" s="10">
        <f>REPT(" ",10)</f>
        <v/>
      </c>
      <c r="AF637" s="10">
        <f>REPT(" ",20)</f>
        <v/>
      </c>
      <c r="AG637" s="54">
        <f>REPT(" ",18-LEN(FIXED(F637,2,TRUE)))&amp;FIXED(F637,2,TRUE)</f>
        <v/>
      </c>
      <c r="AH637" s="10">
        <f>LEN(AC637)+LEN(AG637)</f>
        <v/>
      </c>
      <c r="AI637" s="10">
        <f>LEN(L637)</f>
        <v/>
      </c>
    </row>
    <row r="638">
      <c r="A638" s="46" t="n"/>
      <c r="B638" s="38" t="n"/>
      <c r="C638" s="41" t="n"/>
      <c r="D638" s="41" t="n"/>
      <c r="E638" s="41" t="n"/>
      <c r="F638" s="88" t="n"/>
      <c r="G638" s="89" t="n"/>
      <c r="H638" s="37" t="n"/>
      <c r="I638" s="42" t="n"/>
      <c r="J638" s="12">
        <f>IF(F638&lt;&gt;0,"LANÇAR","")</f>
        <v/>
      </c>
      <c r="K638" s="20" t="n"/>
      <c r="L638" s="13">
        <f>N638&amp;O638&amp;P638&amp;Q638&amp;R638&amp;S638&amp;T638&amp;U638&amp;V638&amp;W638&amp;X638&amp;Y638&amp;Z638&amp;AA638&amp;AB638&amp;AC638&amp;AD638&amp;AE638&amp;AF638&amp;AG638</f>
        <v/>
      </c>
      <c r="M638" s="20" t="n"/>
      <c r="N638" s="10">
        <f>TEXT($B$6,"00")</f>
        <v/>
      </c>
      <c r="O638" s="10">
        <f>REPT(" ",8)</f>
        <v/>
      </c>
      <c r="P638" s="10">
        <f>RIGHT($B$4,2)</f>
        <v/>
      </c>
      <c r="Q638" s="10">
        <f>RIGHT($B$5,3)</f>
        <v/>
      </c>
      <c r="R638" s="10">
        <f>IF(A638="D",LEFT(UPPER(B638)&amp;REPT(" ",20),20),REPT(" ",20))</f>
        <v/>
      </c>
      <c r="S638" s="10">
        <f>IF(A638="D",LEFT(UPPER(C638)&amp;REPT(" ",10),10)," ")</f>
        <v/>
      </c>
      <c r="T638" s="10">
        <f>IF(A638="D",LEFT(UPPER(D638)&amp;REPT(" ",2),2)," ")</f>
        <v/>
      </c>
      <c r="U638" s="10">
        <f>IF(A638="D",LEFT(UPPER(E638)&amp;REPT(" ",15),15)," ")</f>
        <v/>
      </c>
      <c r="V638" s="10">
        <f>REPT(" ",24)</f>
        <v/>
      </c>
      <c r="W638" s="10">
        <f>IF(A638="c",LEFT(UPPER(B638)&amp;REPT(" ",20),20),REPT(" ",20))</f>
        <v/>
      </c>
      <c r="X638" s="10">
        <f>IF(A638="C",LEFT(UPPER(C638)&amp;REPT(" ",10),10)," ")</f>
        <v/>
      </c>
      <c r="Y638" s="10">
        <f>IF(A638="C",LEFT(UPPER(D638)&amp;REPT(" ",2),2)," ")</f>
        <v/>
      </c>
      <c r="Z638" s="10">
        <f>IF(A638="C",LEFT(UPPER(E638)&amp;REPT(" ",15),15)," ")</f>
        <v/>
      </c>
      <c r="AA638" s="10">
        <f>REPT(" ",8)</f>
        <v/>
      </c>
      <c r="AB638" s="10">
        <f>REPT(" ",4)</f>
        <v/>
      </c>
      <c r="AC638" s="10">
        <f>LEFT(UPPER(H638)&amp;REPT(" ",250),250)</f>
        <v/>
      </c>
      <c r="AD638" s="10">
        <f>TEXT($G$2,"dd/mm/aaaa")</f>
        <v/>
      </c>
      <c r="AE638" s="10">
        <f>REPT(" ",10)</f>
        <v/>
      </c>
      <c r="AF638" s="10">
        <f>REPT(" ",20)</f>
        <v/>
      </c>
      <c r="AG638" s="54">
        <f>REPT(" ",18-LEN(FIXED(F638,2,TRUE)))&amp;FIXED(F638,2,TRUE)</f>
        <v/>
      </c>
      <c r="AH638" s="10">
        <f>LEN(AC638)+LEN(AG638)</f>
        <v/>
      </c>
      <c r="AI638" s="10">
        <f>LEN(L638)</f>
        <v/>
      </c>
    </row>
    <row r="639">
      <c r="A639" s="46" t="n"/>
      <c r="B639" s="38" t="n"/>
      <c r="C639" s="41" t="n"/>
      <c r="D639" s="41" t="n"/>
      <c r="E639" s="41" t="n"/>
      <c r="F639" s="88" t="n"/>
      <c r="G639" s="89" t="n"/>
      <c r="H639" s="37" t="n"/>
      <c r="I639" s="42" t="n"/>
      <c r="J639" s="12">
        <f>IF(F639&lt;&gt;0,"LANÇAR","")</f>
        <v/>
      </c>
      <c r="K639" s="20" t="n"/>
      <c r="L639" s="13">
        <f>N639&amp;O639&amp;P639&amp;Q639&amp;R639&amp;S639&amp;T639&amp;U639&amp;V639&amp;W639&amp;X639&amp;Y639&amp;Z639&amp;AA639&amp;AB639&amp;AC639&amp;AD639&amp;AE639&amp;AF639&amp;AG639</f>
        <v/>
      </c>
      <c r="M639" s="20" t="n"/>
      <c r="N639" s="10">
        <f>TEXT($B$6,"00")</f>
        <v/>
      </c>
      <c r="O639" s="10">
        <f>REPT(" ",8)</f>
        <v/>
      </c>
      <c r="P639" s="10">
        <f>RIGHT($B$4,2)</f>
        <v/>
      </c>
      <c r="Q639" s="10">
        <f>RIGHT($B$5,3)</f>
        <v/>
      </c>
      <c r="R639" s="10">
        <f>IF(A639="D",LEFT(UPPER(B639)&amp;REPT(" ",20),20),REPT(" ",20))</f>
        <v/>
      </c>
      <c r="S639" s="10">
        <f>IF(A639="D",LEFT(UPPER(C639)&amp;REPT(" ",10),10)," ")</f>
        <v/>
      </c>
      <c r="T639" s="10">
        <f>IF(A639="D",LEFT(UPPER(D639)&amp;REPT(" ",2),2)," ")</f>
        <v/>
      </c>
      <c r="U639" s="10">
        <f>IF(A639="D",LEFT(UPPER(E639)&amp;REPT(" ",15),15)," ")</f>
        <v/>
      </c>
      <c r="V639" s="10">
        <f>REPT(" ",24)</f>
        <v/>
      </c>
      <c r="W639" s="10">
        <f>IF(A639="c",LEFT(UPPER(B639)&amp;REPT(" ",20),20),REPT(" ",20))</f>
        <v/>
      </c>
      <c r="X639" s="10">
        <f>IF(A639="C",LEFT(UPPER(C639)&amp;REPT(" ",10),10)," ")</f>
        <v/>
      </c>
      <c r="Y639" s="10">
        <f>IF(A639="C",LEFT(UPPER(D639)&amp;REPT(" ",2),2)," ")</f>
        <v/>
      </c>
      <c r="Z639" s="10">
        <f>IF(A639="C",LEFT(UPPER(E639)&amp;REPT(" ",15),15)," ")</f>
        <v/>
      </c>
      <c r="AA639" s="10">
        <f>REPT(" ",8)</f>
        <v/>
      </c>
      <c r="AB639" s="10">
        <f>REPT(" ",4)</f>
        <v/>
      </c>
      <c r="AC639" s="10">
        <f>LEFT(UPPER(H639)&amp;REPT(" ",250),250)</f>
        <v/>
      </c>
      <c r="AD639" s="10">
        <f>TEXT($G$2,"dd/mm/aaaa")</f>
        <v/>
      </c>
      <c r="AE639" s="10">
        <f>REPT(" ",10)</f>
        <v/>
      </c>
      <c r="AF639" s="10">
        <f>REPT(" ",20)</f>
        <v/>
      </c>
      <c r="AG639" s="54">
        <f>REPT(" ",18-LEN(FIXED(F639,2,TRUE)))&amp;FIXED(F639,2,TRUE)</f>
        <v/>
      </c>
      <c r="AH639" s="10">
        <f>LEN(AC639)+LEN(AG639)</f>
        <v/>
      </c>
      <c r="AI639" s="10">
        <f>LEN(L639)</f>
        <v/>
      </c>
    </row>
    <row r="640">
      <c r="A640" s="46" t="n"/>
      <c r="B640" s="38" t="n"/>
      <c r="C640" s="41" t="n"/>
      <c r="D640" s="41" t="n"/>
      <c r="E640" s="41" t="n"/>
      <c r="F640" s="88" t="n"/>
      <c r="G640" s="89" t="n"/>
      <c r="H640" s="37" t="n"/>
      <c r="I640" s="42" t="n"/>
      <c r="J640" s="12">
        <f>IF(F640&lt;&gt;0,"LANÇAR","")</f>
        <v/>
      </c>
      <c r="K640" s="20" t="n"/>
      <c r="L640" s="13">
        <f>N640&amp;O640&amp;P640&amp;Q640&amp;R640&amp;S640&amp;T640&amp;U640&amp;V640&amp;W640&amp;X640&amp;Y640&amp;Z640&amp;AA640&amp;AB640&amp;AC640&amp;AD640&amp;AE640&amp;AF640&amp;AG640</f>
        <v/>
      </c>
      <c r="M640" s="20" t="n"/>
      <c r="N640" s="10">
        <f>TEXT($B$6,"00")</f>
        <v/>
      </c>
      <c r="O640" s="10">
        <f>REPT(" ",8)</f>
        <v/>
      </c>
      <c r="P640" s="10">
        <f>RIGHT($B$4,2)</f>
        <v/>
      </c>
      <c r="Q640" s="10">
        <f>RIGHT($B$5,3)</f>
        <v/>
      </c>
      <c r="R640" s="10">
        <f>IF(A640="D",LEFT(UPPER(B640)&amp;REPT(" ",20),20),REPT(" ",20))</f>
        <v/>
      </c>
      <c r="S640" s="10">
        <f>IF(A640="D",LEFT(UPPER(C640)&amp;REPT(" ",10),10)," ")</f>
        <v/>
      </c>
      <c r="T640" s="10">
        <f>IF(A640="D",LEFT(UPPER(D640)&amp;REPT(" ",2),2)," ")</f>
        <v/>
      </c>
      <c r="U640" s="10">
        <f>IF(A640="D",LEFT(UPPER(E640)&amp;REPT(" ",15),15)," ")</f>
        <v/>
      </c>
      <c r="V640" s="10">
        <f>REPT(" ",24)</f>
        <v/>
      </c>
      <c r="W640" s="10">
        <f>IF(A640="c",LEFT(UPPER(B640)&amp;REPT(" ",20),20),REPT(" ",20))</f>
        <v/>
      </c>
      <c r="X640" s="10">
        <f>IF(A640="C",LEFT(UPPER(C640)&amp;REPT(" ",10),10)," ")</f>
        <v/>
      </c>
      <c r="Y640" s="10">
        <f>IF(A640="C",LEFT(UPPER(D640)&amp;REPT(" ",2),2)," ")</f>
        <v/>
      </c>
      <c r="Z640" s="10">
        <f>IF(A640="C",LEFT(UPPER(E640)&amp;REPT(" ",15),15)," ")</f>
        <v/>
      </c>
      <c r="AA640" s="10">
        <f>REPT(" ",8)</f>
        <v/>
      </c>
      <c r="AB640" s="10">
        <f>REPT(" ",4)</f>
        <v/>
      </c>
      <c r="AC640" s="10">
        <f>LEFT(UPPER(H640)&amp;REPT(" ",250),250)</f>
        <v/>
      </c>
      <c r="AD640" s="10">
        <f>TEXT($G$2,"dd/mm/aaaa")</f>
        <v/>
      </c>
      <c r="AE640" s="10">
        <f>REPT(" ",10)</f>
        <v/>
      </c>
      <c r="AF640" s="10">
        <f>REPT(" ",20)</f>
        <v/>
      </c>
      <c r="AG640" s="54">
        <f>REPT(" ",18-LEN(FIXED(F640,2,TRUE)))&amp;FIXED(F640,2,TRUE)</f>
        <v/>
      </c>
      <c r="AH640" s="10">
        <f>LEN(AC640)+LEN(AG640)</f>
        <v/>
      </c>
      <c r="AI640" s="10">
        <f>LEN(L640)</f>
        <v/>
      </c>
    </row>
    <row r="641">
      <c r="A641" s="46" t="n"/>
      <c r="B641" s="38" t="n"/>
      <c r="C641" s="41" t="n"/>
      <c r="D641" s="41" t="n"/>
      <c r="E641" s="41" t="n"/>
      <c r="F641" s="88" t="n"/>
      <c r="G641" s="89" t="n"/>
      <c r="H641" s="37" t="n"/>
      <c r="I641" s="42" t="n"/>
      <c r="J641" s="12">
        <f>IF(F641&lt;&gt;0,"LANÇAR","")</f>
        <v/>
      </c>
      <c r="K641" s="20" t="n"/>
      <c r="L641" s="13">
        <f>N641&amp;O641&amp;P641&amp;Q641&amp;R641&amp;S641&amp;T641&amp;U641&amp;V641&amp;W641&amp;X641&amp;Y641&amp;Z641&amp;AA641&amp;AB641&amp;AC641&amp;AD641&amp;AE641&amp;AF641&amp;AG641</f>
        <v/>
      </c>
      <c r="M641" s="20" t="n"/>
      <c r="N641" s="10">
        <f>TEXT($B$6,"00")</f>
        <v/>
      </c>
      <c r="O641" s="10">
        <f>REPT(" ",8)</f>
        <v/>
      </c>
      <c r="P641" s="10">
        <f>RIGHT($B$4,2)</f>
        <v/>
      </c>
      <c r="Q641" s="10">
        <f>RIGHT($B$5,3)</f>
        <v/>
      </c>
      <c r="R641" s="10">
        <f>IF(A641="D",LEFT(UPPER(B641)&amp;REPT(" ",20),20),REPT(" ",20))</f>
        <v/>
      </c>
      <c r="S641" s="10">
        <f>IF(A641="D",LEFT(UPPER(C641)&amp;REPT(" ",10),10)," ")</f>
        <v/>
      </c>
      <c r="T641" s="10">
        <f>IF(A641="D",LEFT(UPPER(D641)&amp;REPT(" ",2),2)," ")</f>
        <v/>
      </c>
      <c r="U641" s="10">
        <f>IF(A641="D",LEFT(UPPER(E641)&amp;REPT(" ",15),15)," ")</f>
        <v/>
      </c>
      <c r="V641" s="10">
        <f>REPT(" ",24)</f>
        <v/>
      </c>
      <c r="W641" s="10">
        <f>IF(A641="c",LEFT(UPPER(B641)&amp;REPT(" ",20),20),REPT(" ",20))</f>
        <v/>
      </c>
      <c r="X641" s="10">
        <f>IF(A641="C",LEFT(UPPER(C641)&amp;REPT(" ",10),10)," ")</f>
        <v/>
      </c>
      <c r="Y641" s="10">
        <f>IF(A641="C",LEFT(UPPER(D641)&amp;REPT(" ",2),2)," ")</f>
        <v/>
      </c>
      <c r="Z641" s="10">
        <f>IF(A641="C",LEFT(UPPER(E641)&amp;REPT(" ",15),15)," ")</f>
        <v/>
      </c>
      <c r="AA641" s="10">
        <f>REPT(" ",8)</f>
        <v/>
      </c>
      <c r="AB641" s="10">
        <f>REPT(" ",4)</f>
        <v/>
      </c>
      <c r="AC641" s="10">
        <f>LEFT(UPPER(H641)&amp;REPT(" ",250),250)</f>
        <v/>
      </c>
      <c r="AD641" s="10">
        <f>TEXT($G$2,"dd/mm/aaaa")</f>
        <v/>
      </c>
      <c r="AE641" s="10">
        <f>REPT(" ",10)</f>
        <v/>
      </c>
      <c r="AF641" s="10">
        <f>REPT(" ",20)</f>
        <v/>
      </c>
      <c r="AG641" s="54">
        <f>REPT(" ",18-LEN(FIXED(F641,2,TRUE)))&amp;FIXED(F641,2,TRUE)</f>
        <v/>
      </c>
      <c r="AH641" s="10">
        <f>LEN(AC641)+LEN(AG641)</f>
        <v/>
      </c>
      <c r="AI641" s="10">
        <f>LEN(L641)</f>
        <v/>
      </c>
    </row>
    <row r="642">
      <c r="A642" s="46" t="n"/>
      <c r="B642" s="38" t="n"/>
      <c r="C642" s="41" t="n"/>
      <c r="D642" s="41" t="n"/>
      <c r="E642" s="41" t="n"/>
      <c r="F642" s="88" t="n"/>
      <c r="G642" s="89" t="n"/>
      <c r="H642" s="37" t="n"/>
      <c r="I642" s="42" t="n"/>
      <c r="J642" s="12">
        <f>IF(F642&lt;&gt;0,"LANÇAR","")</f>
        <v/>
      </c>
      <c r="K642" s="20" t="n"/>
      <c r="L642" s="13">
        <f>N642&amp;O642&amp;P642&amp;Q642&amp;R642&amp;S642&amp;T642&amp;U642&amp;V642&amp;W642&amp;X642&amp;Y642&amp;Z642&amp;AA642&amp;AB642&amp;AC642&amp;AD642&amp;AE642&amp;AF642&amp;AG642</f>
        <v/>
      </c>
      <c r="M642" s="20" t="n"/>
      <c r="N642" s="10">
        <f>TEXT($B$6,"00")</f>
        <v/>
      </c>
      <c r="O642" s="10">
        <f>REPT(" ",8)</f>
        <v/>
      </c>
      <c r="P642" s="10">
        <f>RIGHT($B$4,2)</f>
        <v/>
      </c>
      <c r="Q642" s="10">
        <f>RIGHT($B$5,3)</f>
        <v/>
      </c>
      <c r="R642" s="10">
        <f>IF(A642="D",LEFT(UPPER(B642)&amp;REPT(" ",20),20),REPT(" ",20))</f>
        <v/>
      </c>
      <c r="S642" s="10">
        <f>IF(A642="D",LEFT(UPPER(C642)&amp;REPT(" ",10),10)," ")</f>
        <v/>
      </c>
      <c r="T642" s="10">
        <f>IF(A642="D",LEFT(UPPER(D642)&amp;REPT(" ",2),2)," ")</f>
        <v/>
      </c>
      <c r="U642" s="10">
        <f>IF(A642="D",LEFT(UPPER(E642)&amp;REPT(" ",15),15)," ")</f>
        <v/>
      </c>
      <c r="V642" s="10">
        <f>REPT(" ",24)</f>
        <v/>
      </c>
      <c r="W642" s="10">
        <f>IF(A642="c",LEFT(UPPER(B642)&amp;REPT(" ",20),20),REPT(" ",20))</f>
        <v/>
      </c>
      <c r="X642" s="10">
        <f>IF(A642="C",LEFT(UPPER(C642)&amp;REPT(" ",10),10)," ")</f>
        <v/>
      </c>
      <c r="Y642" s="10">
        <f>IF(A642="C",LEFT(UPPER(D642)&amp;REPT(" ",2),2)," ")</f>
        <v/>
      </c>
      <c r="Z642" s="10">
        <f>IF(A642="C",LEFT(UPPER(E642)&amp;REPT(" ",15),15)," ")</f>
        <v/>
      </c>
      <c r="AA642" s="10">
        <f>REPT(" ",8)</f>
        <v/>
      </c>
      <c r="AB642" s="10">
        <f>REPT(" ",4)</f>
        <v/>
      </c>
      <c r="AC642" s="10">
        <f>LEFT(UPPER(H642)&amp;REPT(" ",250),250)</f>
        <v/>
      </c>
      <c r="AD642" s="10">
        <f>TEXT($G$2,"dd/mm/aaaa")</f>
        <v/>
      </c>
      <c r="AE642" s="10">
        <f>REPT(" ",10)</f>
        <v/>
      </c>
      <c r="AF642" s="10">
        <f>REPT(" ",20)</f>
        <v/>
      </c>
      <c r="AG642" s="54">
        <f>REPT(" ",18-LEN(FIXED(F642,2,TRUE)))&amp;FIXED(F642,2,TRUE)</f>
        <v/>
      </c>
      <c r="AH642" s="10">
        <f>LEN(AC642)+LEN(AG642)</f>
        <v/>
      </c>
      <c r="AI642" s="10">
        <f>LEN(L642)</f>
        <v/>
      </c>
    </row>
    <row r="643">
      <c r="A643" s="46" t="n"/>
      <c r="B643" s="38" t="n"/>
      <c r="C643" s="41" t="n"/>
      <c r="D643" s="41" t="n"/>
      <c r="E643" s="41" t="n"/>
      <c r="F643" s="88" t="n"/>
      <c r="G643" s="89" t="n"/>
      <c r="H643" s="37" t="n"/>
      <c r="I643" s="42" t="n"/>
      <c r="J643" s="12">
        <f>IF(F643&lt;&gt;0,"LANÇAR","")</f>
        <v/>
      </c>
      <c r="K643" s="20" t="n"/>
      <c r="L643" s="13">
        <f>N643&amp;O643&amp;P643&amp;Q643&amp;R643&amp;S643&amp;T643&amp;U643&amp;V643&amp;W643&amp;X643&amp;Y643&amp;Z643&amp;AA643&amp;AB643&amp;AC643&amp;AD643&amp;AE643&amp;AF643&amp;AG643</f>
        <v/>
      </c>
      <c r="M643" s="20" t="n"/>
      <c r="N643" s="10">
        <f>TEXT($B$6,"00")</f>
        <v/>
      </c>
      <c r="O643" s="10">
        <f>REPT(" ",8)</f>
        <v/>
      </c>
      <c r="P643" s="10">
        <f>RIGHT($B$4,2)</f>
        <v/>
      </c>
      <c r="Q643" s="10">
        <f>RIGHT($B$5,3)</f>
        <v/>
      </c>
      <c r="R643" s="10">
        <f>IF(A643="D",LEFT(UPPER(B643)&amp;REPT(" ",20),20),REPT(" ",20))</f>
        <v/>
      </c>
      <c r="S643" s="10">
        <f>IF(A643="D",LEFT(UPPER(C643)&amp;REPT(" ",10),10)," ")</f>
        <v/>
      </c>
      <c r="T643" s="10">
        <f>IF(A643="D",LEFT(UPPER(D643)&amp;REPT(" ",2),2)," ")</f>
        <v/>
      </c>
      <c r="U643" s="10">
        <f>IF(A643="D",LEFT(UPPER(E643)&amp;REPT(" ",15),15)," ")</f>
        <v/>
      </c>
      <c r="V643" s="10">
        <f>REPT(" ",24)</f>
        <v/>
      </c>
      <c r="W643" s="10">
        <f>IF(A643="c",LEFT(UPPER(B643)&amp;REPT(" ",20),20),REPT(" ",20))</f>
        <v/>
      </c>
      <c r="X643" s="10">
        <f>IF(A643="C",LEFT(UPPER(C643)&amp;REPT(" ",10),10)," ")</f>
        <v/>
      </c>
      <c r="Y643" s="10">
        <f>IF(A643="C",LEFT(UPPER(D643)&amp;REPT(" ",2),2)," ")</f>
        <v/>
      </c>
      <c r="Z643" s="10">
        <f>IF(A643="C",LEFT(UPPER(E643)&amp;REPT(" ",15),15)," ")</f>
        <v/>
      </c>
      <c r="AA643" s="10">
        <f>REPT(" ",8)</f>
        <v/>
      </c>
      <c r="AB643" s="10">
        <f>REPT(" ",4)</f>
        <v/>
      </c>
      <c r="AC643" s="10">
        <f>LEFT(UPPER(H643)&amp;REPT(" ",250),250)</f>
        <v/>
      </c>
      <c r="AD643" s="10">
        <f>TEXT($G$2,"dd/mm/aaaa")</f>
        <v/>
      </c>
      <c r="AE643" s="10">
        <f>REPT(" ",10)</f>
        <v/>
      </c>
      <c r="AF643" s="10">
        <f>REPT(" ",20)</f>
        <v/>
      </c>
      <c r="AG643" s="54">
        <f>REPT(" ",18-LEN(FIXED(F643,2,TRUE)))&amp;FIXED(F643,2,TRUE)</f>
        <v/>
      </c>
      <c r="AH643" s="10">
        <f>LEN(AC643)+LEN(AG643)</f>
        <v/>
      </c>
      <c r="AI643" s="10">
        <f>LEN(L643)</f>
        <v/>
      </c>
    </row>
    <row r="644">
      <c r="A644" s="46" t="n"/>
      <c r="B644" s="38" t="n"/>
      <c r="C644" s="41" t="n"/>
      <c r="D644" s="41" t="n"/>
      <c r="E644" s="41" t="n"/>
      <c r="F644" s="88" t="n"/>
      <c r="G644" s="89" t="n"/>
      <c r="H644" s="37" t="n"/>
      <c r="I644" s="42" t="n"/>
      <c r="J644" s="12">
        <f>IF(F644&lt;&gt;0,"LANÇAR","")</f>
        <v/>
      </c>
      <c r="K644" s="20" t="n"/>
      <c r="L644" s="13">
        <f>N644&amp;O644&amp;P644&amp;Q644&amp;R644&amp;S644&amp;T644&amp;U644&amp;V644&amp;W644&amp;X644&amp;Y644&amp;Z644&amp;AA644&amp;AB644&amp;AC644&amp;AD644&amp;AE644&amp;AF644&amp;AG644</f>
        <v/>
      </c>
      <c r="M644" s="20" t="n"/>
      <c r="N644" s="10">
        <f>TEXT($B$6,"00")</f>
        <v/>
      </c>
      <c r="O644" s="10">
        <f>REPT(" ",8)</f>
        <v/>
      </c>
      <c r="P644" s="10">
        <f>RIGHT($B$4,2)</f>
        <v/>
      </c>
      <c r="Q644" s="10">
        <f>RIGHT($B$5,3)</f>
        <v/>
      </c>
      <c r="R644" s="10">
        <f>IF(A644="D",LEFT(UPPER(B644)&amp;REPT(" ",20),20),REPT(" ",20))</f>
        <v/>
      </c>
      <c r="S644" s="10">
        <f>IF(A644="D",LEFT(UPPER(C644)&amp;REPT(" ",10),10)," ")</f>
        <v/>
      </c>
      <c r="T644" s="10">
        <f>IF(A644="D",LEFT(UPPER(D644)&amp;REPT(" ",2),2)," ")</f>
        <v/>
      </c>
      <c r="U644" s="10">
        <f>IF(A644="D",LEFT(UPPER(E644)&amp;REPT(" ",15),15)," ")</f>
        <v/>
      </c>
      <c r="V644" s="10">
        <f>REPT(" ",24)</f>
        <v/>
      </c>
      <c r="W644" s="10">
        <f>IF(A644="c",LEFT(UPPER(B644)&amp;REPT(" ",20),20),REPT(" ",20))</f>
        <v/>
      </c>
      <c r="X644" s="10">
        <f>IF(A644="C",LEFT(UPPER(C644)&amp;REPT(" ",10),10)," ")</f>
        <v/>
      </c>
      <c r="Y644" s="10">
        <f>IF(A644="C",LEFT(UPPER(D644)&amp;REPT(" ",2),2)," ")</f>
        <v/>
      </c>
      <c r="Z644" s="10">
        <f>IF(A644="C",LEFT(UPPER(E644)&amp;REPT(" ",15),15)," ")</f>
        <v/>
      </c>
      <c r="AA644" s="10">
        <f>REPT(" ",8)</f>
        <v/>
      </c>
      <c r="AB644" s="10">
        <f>REPT(" ",4)</f>
        <v/>
      </c>
      <c r="AC644" s="10">
        <f>LEFT(UPPER(H644)&amp;REPT(" ",250),250)</f>
        <v/>
      </c>
      <c r="AD644" s="10">
        <f>TEXT($G$2,"dd/mm/aaaa")</f>
        <v/>
      </c>
      <c r="AE644" s="10">
        <f>REPT(" ",10)</f>
        <v/>
      </c>
      <c r="AF644" s="10">
        <f>REPT(" ",20)</f>
        <v/>
      </c>
      <c r="AG644" s="54">
        <f>REPT(" ",18-LEN(FIXED(F644,2,TRUE)))&amp;FIXED(F644,2,TRUE)</f>
        <v/>
      </c>
      <c r="AH644" s="10">
        <f>LEN(AC644)+LEN(AG644)</f>
        <v/>
      </c>
      <c r="AI644" s="10">
        <f>LEN(L644)</f>
        <v/>
      </c>
    </row>
    <row r="645">
      <c r="A645" s="46" t="n"/>
      <c r="B645" s="38" t="n"/>
      <c r="C645" s="41" t="n"/>
      <c r="D645" s="41" t="n"/>
      <c r="E645" s="41" t="n"/>
      <c r="F645" s="88" t="n"/>
      <c r="G645" s="89" t="n"/>
      <c r="H645" s="37" t="n"/>
      <c r="I645" s="42" t="n"/>
      <c r="J645" s="12">
        <f>IF(F645&lt;&gt;0,"LANÇAR","")</f>
        <v/>
      </c>
      <c r="K645" s="20" t="n"/>
      <c r="L645" s="13">
        <f>N645&amp;O645&amp;P645&amp;Q645&amp;R645&amp;S645&amp;T645&amp;U645&amp;V645&amp;W645&amp;X645&amp;Y645&amp;Z645&amp;AA645&amp;AB645&amp;AC645&amp;AD645&amp;AE645&amp;AF645&amp;AG645</f>
        <v/>
      </c>
      <c r="M645" s="20" t="n"/>
      <c r="N645" s="10">
        <f>TEXT($B$6,"00")</f>
        <v/>
      </c>
      <c r="O645" s="10">
        <f>REPT(" ",8)</f>
        <v/>
      </c>
      <c r="P645" s="10">
        <f>RIGHT($B$4,2)</f>
        <v/>
      </c>
      <c r="Q645" s="10">
        <f>RIGHT($B$5,3)</f>
        <v/>
      </c>
      <c r="R645" s="10">
        <f>IF(A645="D",LEFT(UPPER(B645)&amp;REPT(" ",20),20),REPT(" ",20))</f>
        <v/>
      </c>
      <c r="S645" s="10">
        <f>IF(A645="D",LEFT(UPPER(C645)&amp;REPT(" ",10),10)," ")</f>
        <v/>
      </c>
      <c r="T645" s="10">
        <f>IF(A645="D",LEFT(UPPER(D645)&amp;REPT(" ",2),2)," ")</f>
        <v/>
      </c>
      <c r="U645" s="10">
        <f>IF(A645="D",LEFT(UPPER(E645)&amp;REPT(" ",15),15)," ")</f>
        <v/>
      </c>
      <c r="V645" s="10">
        <f>REPT(" ",24)</f>
        <v/>
      </c>
      <c r="W645" s="10">
        <f>IF(A645="c",LEFT(UPPER(B645)&amp;REPT(" ",20),20),REPT(" ",20))</f>
        <v/>
      </c>
      <c r="X645" s="10">
        <f>IF(A645="C",LEFT(UPPER(C645)&amp;REPT(" ",10),10)," ")</f>
        <v/>
      </c>
      <c r="Y645" s="10">
        <f>IF(A645="C",LEFT(UPPER(D645)&amp;REPT(" ",2),2)," ")</f>
        <v/>
      </c>
      <c r="Z645" s="10">
        <f>IF(A645="C",LEFT(UPPER(E645)&amp;REPT(" ",15),15)," ")</f>
        <v/>
      </c>
      <c r="AA645" s="10">
        <f>REPT(" ",8)</f>
        <v/>
      </c>
      <c r="AB645" s="10">
        <f>REPT(" ",4)</f>
        <v/>
      </c>
      <c r="AC645" s="10">
        <f>LEFT(UPPER(H645)&amp;REPT(" ",250),250)</f>
        <v/>
      </c>
      <c r="AD645" s="10">
        <f>TEXT($G$2,"dd/mm/aaaa")</f>
        <v/>
      </c>
      <c r="AE645" s="10">
        <f>REPT(" ",10)</f>
        <v/>
      </c>
      <c r="AF645" s="10">
        <f>REPT(" ",20)</f>
        <v/>
      </c>
      <c r="AG645" s="54">
        <f>REPT(" ",18-LEN(FIXED(F645,2,TRUE)))&amp;FIXED(F645,2,TRUE)</f>
        <v/>
      </c>
      <c r="AH645" s="10">
        <f>LEN(AC645)+LEN(AG645)</f>
        <v/>
      </c>
      <c r="AI645" s="10">
        <f>LEN(L645)</f>
        <v/>
      </c>
    </row>
    <row r="646">
      <c r="A646" s="46" t="n"/>
      <c r="B646" s="38" t="n"/>
      <c r="C646" s="41" t="n"/>
      <c r="D646" s="41" t="n"/>
      <c r="E646" s="41" t="n"/>
      <c r="F646" s="88" t="n"/>
      <c r="G646" s="89" t="n"/>
      <c r="H646" s="37" t="n"/>
      <c r="I646" s="42" t="n"/>
      <c r="J646" s="12">
        <f>IF(F646&lt;&gt;0,"LANÇAR","")</f>
        <v/>
      </c>
      <c r="K646" s="20" t="n"/>
      <c r="L646" s="13">
        <f>N646&amp;O646&amp;P646&amp;Q646&amp;R646&amp;S646&amp;T646&amp;U646&amp;V646&amp;W646&amp;X646&amp;Y646&amp;Z646&amp;AA646&amp;AB646&amp;AC646&amp;AD646&amp;AE646&amp;AF646&amp;AG646</f>
        <v/>
      </c>
      <c r="M646" s="20" t="n"/>
      <c r="N646" s="10">
        <f>TEXT($B$6,"00")</f>
        <v/>
      </c>
      <c r="O646" s="10">
        <f>REPT(" ",8)</f>
        <v/>
      </c>
      <c r="P646" s="10">
        <f>RIGHT($B$4,2)</f>
        <v/>
      </c>
      <c r="Q646" s="10">
        <f>RIGHT($B$5,3)</f>
        <v/>
      </c>
      <c r="R646" s="10">
        <f>IF(A646="D",LEFT(UPPER(B646)&amp;REPT(" ",20),20),REPT(" ",20))</f>
        <v/>
      </c>
      <c r="S646" s="10">
        <f>IF(A646="D",LEFT(UPPER(C646)&amp;REPT(" ",10),10)," ")</f>
        <v/>
      </c>
      <c r="T646" s="10">
        <f>IF(A646="D",LEFT(UPPER(D646)&amp;REPT(" ",2),2)," ")</f>
        <v/>
      </c>
      <c r="U646" s="10">
        <f>IF(A646="D",LEFT(UPPER(E646)&amp;REPT(" ",15),15)," ")</f>
        <v/>
      </c>
      <c r="V646" s="10">
        <f>REPT(" ",24)</f>
        <v/>
      </c>
      <c r="W646" s="10">
        <f>IF(A646="c",LEFT(UPPER(B646)&amp;REPT(" ",20),20),REPT(" ",20))</f>
        <v/>
      </c>
      <c r="X646" s="10">
        <f>IF(A646="C",LEFT(UPPER(C646)&amp;REPT(" ",10),10)," ")</f>
        <v/>
      </c>
      <c r="Y646" s="10">
        <f>IF(A646="C",LEFT(UPPER(D646)&amp;REPT(" ",2),2)," ")</f>
        <v/>
      </c>
      <c r="Z646" s="10">
        <f>IF(A646="C",LEFT(UPPER(E646)&amp;REPT(" ",15),15)," ")</f>
        <v/>
      </c>
      <c r="AA646" s="10">
        <f>REPT(" ",8)</f>
        <v/>
      </c>
      <c r="AB646" s="10">
        <f>REPT(" ",4)</f>
        <v/>
      </c>
      <c r="AC646" s="10">
        <f>LEFT(UPPER(H646)&amp;REPT(" ",250),250)</f>
        <v/>
      </c>
      <c r="AD646" s="10">
        <f>TEXT($G$2,"dd/mm/aaaa")</f>
        <v/>
      </c>
      <c r="AE646" s="10">
        <f>REPT(" ",10)</f>
        <v/>
      </c>
      <c r="AF646" s="10">
        <f>REPT(" ",20)</f>
        <v/>
      </c>
      <c r="AG646" s="54">
        <f>REPT(" ",18-LEN(FIXED(F646,2,TRUE)))&amp;FIXED(F646,2,TRUE)</f>
        <v/>
      </c>
      <c r="AH646" s="10">
        <f>LEN(AC646)+LEN(AG646)</f>
        <v/>
      </c>
      <c r="AI646" s="10">
        <f>LEN(L646)</f>
        <v/>
      </c>
    </row>
    <row r="647">
      <c r="A647" s="46" t="n"/>
      <c r="B647" s="38" t="n"/>
      <c r="C647" s="41" t="n"/>
      <c r="D647" s="41" t="n"/>
      <c r="E647" s="41" t="n"/>
      <c r="F647" s="88" t="n"/>
      <c r="G647" s="89" t="n"/>
      <c r="H647" s="37" t="n"/>
      <c r="I647" s="42" t="n"/>
      <c r="J647" s="12">
        <f>IF(F647&lt;&gt;0,"LANÇAR","")</f>
        <v/>
      </c>
      <c r="K647" s="20" t="n"/>
      <c r="L647" s="13">
        <f>N647&amp;O647&amp;P647&amp;Q647&amp;R647&amp;S647&amp;T647&amp;U647&amp;V647&amp;W647&amp;X647&amp;Y647&amp;Z647&amp;AA647&amp;AB647&amp;AC647&amp;AD647&amp;AE647&amp;AF647&amp;AG647</f>
        <v/>
      </c>
      <c r="M647" s="20" t="n"/>
      <c r="N647" s="10">
        <f>TEXT($B$6,"00")</f>
        <v/>
      </c>
      <c r="O647" s="10">
        <f>REPT(" ",8)</f>
        <v/>
      </c>
      <c r="P647" s="10">
        <f>RIGHT($B$4,2)</f>
        <v/>
      </c>
      <c r="Q647" s="10">
        <f>RIGHT($B$5,3)</f>
        <v/>
      </c>
      <c r="R647" s="10">
        <f>IF(A647="D",LEFT(UPPER(B647)&amp;REPT(" ",20),20),REPT(" ",20))</f>
        <v/>
      </c>
      <c r="S647" s="10">
        <f>IF(A647="D",LEFT(UPPER(C647)&amp;REPT(" ",10),10)," ")</f>
        <v/>
      </c>
      <c r="T647" s="10">
        <f>IF(A647="D",LEFT(UPPER(D647)&amp;REPT(" ",2),2)," ")</f>
        <v/>
      </c>
      <c r="U647" s="10">
        <f>IF(A647="D",LEFT(UPPER(E647)&amp;REPT(" ",15),15)," ")</f>
        <v/>
      </c>
      <c r="V647" s="10">
        <f>REPT(" ",24)</f>
        <v/>
      </c>
      <c r="W647" s="10">
        <f>IF(A647="c",LEFT(UPPER(B647)&amp;REPT(" ",20),20),REPT(" ",20))</f>
        <v/>
      </c>
      <c r="X647" s="10">
        <f>IF(A647="C",LEFT(UPPER(C647)&amp;REPT(" ",10),10)," ")</f>
        <v/>
      </c>
      <c r="Y647" s="10">
        <f>IF(A647="C",LEFT(UPPER(D647)&amp;REPT(" ",2),2)," ")</f>
        <v/>
      </c>
      <c r="Z647" s="10">
        <f>IF(A647="C",LEFT(UPPER(E647)&amp;REPT(" ",15),15)," ")</f>
        <v/>
      </c>
      <c r="AA647" s="10">
        <f>REPT(" ",8)</f>
        <v/>
      </c>
      <c r="AB647" s="10">
        <f>REPT(" ",4)</f>
        <v/>
      </c>
      <c r="AC647" s="10">
        <f>LEFT(UPPER(H647)&amp;REPT(" ",250),250)</f>
        <v/>
      </c>
      <c r="AD647" s="10">
        <f>TEXT($G$2,"dd/mm/aaaa")</f>
        <v/>
      </c>
      <c r="AE647" s="10">
        <f>REPT(" ",10)</f>
        <v/>
      </c>
      <c r="AF647" s="10">
        <f>REPT(" ",20)</f>
        <v/>
      </c>
      <c r="AG647" s="54">
        <f>REPT(" ",18-LEN(FIXED(F647,2,TRUE)))&amp;FIXED(F647,2,TRUE)</f>
        <v/>
      </c>
      <c r="AH647" s="10">
        <f>LEN(AC647)+LEN(AG647)</f>
        <v/>
      </c>
      <c r="AI647" s="10">
        <f>LEN(L647)</f>
        <v/>
      </c>
    </row>
    <row r="648">
      <c r="A648" s="46" t="n"/>
      <c r="B648" s="38" t="n"/>
      <c r="C648" s="41" t="n"/>
      <c r="D648" s="41" t="n"/>
      <c r="E648" s="41" t="n"/>
      <c r="F648" s="88" t="n"/>
      <c r="G648" s="89" t="n"/>
      <c r="H648" s="37" t="n"/>
      <c r="I648" s="42" t="n"/>
      <c r="J648" s="12">
        <f>IF(F648&lt;&gt;0,"LANÇAR","")</f>
        <v/>
      </c>
      <c r="K648" s="20" t="n"/>
      <c r="L648" s="13">
        <f>N648&amp;O648&amp;P648&amp;Q648&amp;R648&amp;S648&amp;T648&amp;U648&amp;V648&amp;W648&amp;X648&amp;Y648&amp;Z648&amp;AA648&amp;AB648&amp;AC648&amp;AD648&amp;AE648&amp;AF648&amp;AG648</f>
        <v/>
      </c>
      <c r="M648" s="20" t="n"/>
      <c r="N648" s="10">
        <f>TEXT($B$6,"00")</f>
        <v/>
      </c>
      <c r="O648" s="10">
        <f>REPT(" ",8)</f>
        <v/>
      </c>
      <c r="P648" s="10">
        <f>RIGHT($B$4,2)</f>
        <v/>
      </c>
      <c r="Q648" s="10">
        <f>RIGHT($B$5,3)</f>
        <v/>
      </c>
      <c r="R648" s="10">
        <f>IF(A648="D",LEFT(UPPER(B648)&amp;REPT(" ",20),20),REPT(" ",20))</f>
        <v/>
      </c>
      <c r="S648" s="10">
        <f>IF(A648="D",LEFT(UPPER(C648)&amp;REPT(" ",10),10)," ")</f>
        <v/>
      </c>
      <c r="T648" s="10">
        <f>IF(A648="D",LEFT(UPPER(D648)&amp;REPT(" ",2),2)," ")</f>
        <v/>
      </c>
      <c r="U648" s="10">
        <f>IF(A648="D",LEFT(UPPER(E648)&amp;REPT(" ",15),15)," ")</f>
        <v/>
      </c>
      <c r="V648" s="10">
        <f>REPT(" ",24)</f>
        <v/>
      </c>
      <c r="W648" s="10">
        <f>IF(A648="c",LEFT(UPPER(B648)&amp;REPT(" ",20),20),REPT(" ",20))</f>
        <v/>
      </c>
      <c r="X648" s="10">
        <f>IF(A648="C",LEFT(UPPER(C648)&amp;REPT(" ",10),10)," ")</f>
        <v/>
      </c>
      <c r="Y648" s="10">
        <f>IF(A648="C",LEFT(UPPER(D648)&amp;REPT(" ",2),2)," ")</f>
        <v/>
      </c>
      <c r="Z648" s="10">
        <f>IF(A648="C",LEFT(UPPER(E648)&amp;REPT(" ",15),15)," ")</f>
        <v/>
      </c>
      <c r="AA648" s="10">
        <f>REPT(" ",8)</f>
        <v/>
      </c>
      <c r="AB648" s="10">
        <f>REPT(" ",4)</f>
        <v/>
      </c>
      <c r="AC648" s="10">
        <f>LEFT(UPPER(H648)&amp;REPT(" ",250),250)</f>
        <v/>
      </c>
      <c r="AD648" s="10">
        <f>TEXT($G$2,"dd/mm/aaaa")</f>
        <v/>
      </c>
      <c r="AE648" s="10">
        <f>REPT(" ",10)</f>
        <v/>
      </c>
      <c r="AF648" s="10">
        <f>REPT(" ",20)</f>
        <v/>
      </c>
      <c r="AG648" s="54">
        <f>REPT(" ",18-LEN(FIXED(F648,2,TRUE)))&amp;FIXED(F648,2,TRUE)</f>
        <v/>
      </c>
      <c r="AH648" s="10">
        <f>LEN(AC648)+LEN(AG648)</f>
        <v/>
      </c>
      <c r="AI648" s="10">
        <f>LEN(L648)</f>
        <v/>
      </c>
    </row>
    <row r="649">
      <c r="A649" s="46" t="n"/>
      <c r="B649" s="38" t="n"/>
      <c r="C649" s="41" t="n"/>
      <c r="D649" s="41" t="n"/>
      <c r="E649" s="41" t="n"/>
      <c r="F649" s="88" t="n"/>
      <c r="G649" s="89" t="n"/>
      <c r="H649" s="37" t="n"/>
      <c r="I649" s="42" t="n"/>
      <c r="J649" s="12">
        <f>IF(F649&lt;&gt;0,"LANÇAR","")</f>
        <v/>
      </c>
      <c r="K649" s="20" t="n"/>
      <c r="L649" s="13">
        <f>N649&amp;O649&amp;P649&amp;Q649&amp;R649&amp;S649&amp;T649&amp;U649&amp;V649&amp;W649&amp;X649&amp;Y649&amp;Z649&amp;AA649&amp;AB649&amp;AC649&amp;AD649&amp;AE649&amp;AF649&amp;AG649</f>
        <v/>
      </c>
      <c r="M649" s="20" t="n"/>
      <c r="N649" s="10">
        <f>TEXT($B$6,"00")</f>
        <v/>
      </c>
      <c r="O649" s="10">
        <f>REPT(" ",8)</f>
        <v/>
      </c>
      <c r="P649" s="10">
        <f>RIGHT($B$4,2)</f>
        <v/>
      </c>
      <c r="Q649" s="10">
        <f>RIGHT($B$5,3)</f>
        <v/>
      </c>
      <c r="R649" s="10">
        <f>IF(A649="D",LEFT(UPPER(B649)&amp;REPT(" ",20),20),REPT(" ",20))</f>
        <v/>
      </c>
      <c r="S649" s="10">
        <f>IF(A649="D",LEFT(UPPER(C649)&amp;REPT(" ",10),10)," ")</f>
        <v/>
      </c>
      <c r="T649" s="10">
        <f>IF(A649="D",LEFT(UPPER(D649)&amp;REPT(" ",2),2)," ")</f>
        <v/>
      </c>
      <c r="U649" s="10">
        <f>IF(A649="D",LEFT(UPPER(E649)&amp;REPT(" ",15),15)," ")</f>
        <v/>
      </c>
      <c r="V649" s="10">
        <f>REPT(" ",24)</f>
        <v/>
      </c>
      <c r="W649" s="10">
        <f>IF(A649="c",LEFT(UPPER(B649)&amp;REPT(" ",20),20),REPT(" ",20))</f>
        <v/>
      </c>
      <c r="X649" s="10">
        <f>IF(A649="C",LEFT(UPPER(C649)&amp;REPT(" ",10),10)," ")</f>
        <v/>
      </c>
      <c r="Y649" s="10">
        <f>IF(A649="C",LEFT(UPPER(D649)&amp;REPT(" ",2),2)," ")</f>
        <v/>
      </c>
      <c r="Z649" s="10">
        <f>IF(A649="C",LEFT(UPPER(E649)&amp;REPT(" ",15),15)," ")</f>
        <v/>
      </c>
      <c r="AA649" s="10">
        <f>REPT(" ",8)</f>
        <v/>
      </c>
      <c r="AB649" s="10">
        <f>REPT(" ",4)</f>
        <v/>
      </c>
      <c r="AC649" s="10">
        <f>LEFT(UPPER(H649)&amp;REPT(" ",250),250)</f>
        <v/>
      </c>
      <c r="AD649" s="10">
        <f>TEXT($G$2,"dd/mm/aaaa")</f>
        <v/>
      </c>
      <c r="AE649" s="10">
        <f>REPT(" ",10)</f>
        <v/>
      </c>
      <c r="AF649" s="10">
        <f>REPT(" ",20)</f>
        <v/>
      </c>
      <c r="AG649" s="54">
        <f>REPT(" ",18-LEN(FIXED(F649,2,TRUE)))&amp;FIXED(F649,2,TRUE)</f>
        <v/>
      </c>
      <c r="AH649" s="10">
        <f>LEN(AC649)+LEN(AG649)</f>
        <v/>
      </c>
      <c r="AI649" s="10">
        <f>LEN(L649)</f>
        <v/>
      </c>
    </row>
    <row r="650">
      <c r="A650" s="46" t="n"/>
      <c r="B650" s="38" t="n"/>
      <c r="C650" s="41" t="n"/>
      <c r="D650" s="41" t="n"/>
      <c r="E650" s="41" t="n"/>
      <c r="F650" s="88" t="n"/>
      <c r="G650" s="89" t="n"/>
      <c r="H650" s="37" t="n"/>
      <c r="I650" s="42" t="n"/>
      <c r="J650" s="12">
        <f>IF(F650&lt;&gt;0,"LANÇAR","")</f>
        <v/>
      </c>
      <c r="K650" s="20" t="n"/>
      <c r="L650" s="13">
        <f>N650&amp;O650&amp;P650&amp;Q650&amp;R650&amp;S650&amp;T650&amp;U650&amp;V650&amp;W650&amp;X650&amp;Y650&amp;Z650&amp;AA650&amp;AB650&amp;AC650&amp;AD650&amp;AE650&amp;AF650&amp;AG650</f>
        <v/>
      </c>
      <c r="M650" s="20" t="n"/>
      <c r="N650" s="10">
        <f>TEXT($B$6,"00")</f>
        <v/>
      </c>
      <c r="O650" s="10">
        <f>REPT(" ",8)</f>
        <v/>
      </c>
      <c r="P650" s="10">
        <f>RIGHT($B$4,2)</f>
        <v/>
      </c>
      <c r="Q650" s="10">
        <f>RIGHT($B$5,3)</f>
        <v/>
      </c>
      <c r="R650" s="10">
        <f>IF(A650="D",LEFT(UPPER(B650)&amp;REPT(" ",20),20),REPT(" ",20))</f>
        <v/>
      </c>
      <c r="S650" s="10">
        <f>IF(A650="D",LEFT(UPPER(C650)&amp;REPT(" ",10),10)," ")</f>
        <v/>
      </c>
      <c r="T650" s="10">
        <f>IF(A650="D",LEFT(UPPER(D650)&amp;REPT(" ",2),2)," ")</f>
        <v/>
      </c>
      <c r="U650" s="10">
        <f>IF(A650="D",LEFT(UPPER(E650)&amp;REPT(" ",15),15)," ")</f>
        <v/>
      </c>
      <c r="V650" s="10">
        <f>REPT(" ",24)</f>
        <v/>
      </c>
      <c r="W650" s="10">
        <f>IF(A650="c",LEFT(UPPER(B650)&amp;REPT(" ",20),20),REPT(" ",20))</f>
        <v/>
      </c>
      <c r="X650" s="10">
        <f>IF(A650="C",LEFT(UPPER(C650)&amp;REPT(" ",10),10)," ")</f>
        <v/>
      </c>
      <c r="Y650" s="10">
        <f>IF(A650="C",LEFT(UPPER(D650)&amp;REPT(" ",2),2)," ")</f>
        <v/>
      </c>
      <c r="Z650" s="10">
        <f>IF(A650="C",LEFT(UPPER(E650)&amp;REPT(" ",15),15)," ")</f>
        <v/>
      </c>
      <c r="AA650" s="10">
        <f>REPT(" ",8)</f>
        <v/>
      </c>
      <c r="AB650" s="10">
        <f>REPT(" ",4)</f>
        <v/>
      </c>
      <c r="AC650" s="10">
        <f>LEFT(UPPER(H650)&amp;REPT(" ",250),250)</f>
        <v/>
      </c>
      <c r="AD650" s="10">
        <f>TEXT($G$2,"dd/mm/aaaa")</f>
        <v/>
      </c>
      <c r="AE650" s="10">
        <f>REPT(" ",10)</f>
        <v/>
      </c>
      <c r="AF650" s="10">
        <f>REPT(" ",20)</f>
        <v/>
      </c>
      <c r="AG650" s="54">
        <f>REPT(" ",18-LEN(FIXED(F650,2,TRUE)))&amp;FIXED(F650,2,TRUE)</f>
        <v/>
      </c>
      <c r="AH650" s="10">
        <f>LEN(AC650)+LEN(AG650)</f>
        <v/>
      </c>
      <c r="AI650" s="10">
        <f>LEN(L650)</f>
        <v/>
      </c>
    </row>
    <row r="651">
      <c r="A651" s="46" t="n"/>
      <c r="B651" s="38" t="n"/>
      <c r="C651" s="41" t="n"/>
      <c r="D651" s="41" t="n"/>
      <c r="E651" s="41" t="n"/>
      <c r="F651" s="88" t="n"/>
      <c r="G651" s="89" t="n"/>
      <c r="H651" s="37" t="n"/>
      <c r="I651" s="42" t="n"/>
      <c r="J651" s="12">
        <f>IF(F651&lt;&gt;0,"LANÇAR","")</f>
        <v/>
      </c>
      <c r="K651" s="20" t="n"/>
      <c r="L651" s="13">
        <f>N651&amp;O651&amp;P651&amp;Q651&amp;R651&amp;S651&amp;T651&amp;U651&amp;V651&amp;W651&amp;X651&amp;Y651&amp;Z651&amp;AA651&amp;AB651&amp;AC651&amp;AD651&amp;AE651&amp;AF651&amp;AG651</f>
        <v/>
      </c>
      <c r="M651" s="20" t="n"/>
      <c r="N651" s="10">
        <f>TEXT($B$6,"00")</f>
        <v/>
      </c>
      <c r="O651" s="10">
        <f>REPT(" ",8)</f>
        <v/>
      </c>
      <c r="P651" s="10">
        <f>RIGHT($B$4,2)</f>
        <v/>
      </c>
      <c r="Q651" s="10">
        <f>RIGHT($B$5,3)</f>
        <v/>
      </c>
      <c r="R651" s="10">
        <f>IF(A651="D",LEFT(UPPER(B651)&amp;REPT(" ",20),20),REPT(" ",20))</f>
        <v/>
      </c>
      <c r="S651" s="10">
        <f>IF(A651="D",LEFT(UPPER(C651)&amp;REPT(" ",10),10)," ")</f>
        <v/>
      </c>
      <c r="T651" s="10">
        <f>IF(A651="D",LEFT(UPPER(D651)&amp;REPT(" ",2),2)," ")</f>
        <v/>
      </c>
      <c r="U651" s="10">
        <f>IF(A651="D",LEFT(UPPER(E651)&amp;REPT(" ",15),15)," ")</f>
        <v/>
      </c>
      <c r="V651" s="10">
        <f>REPT(" ",24)</f>
        <v/>
      </c>
      <c r="W651" s="10">
        <f>IF(A651="c",LEFT(UPPER(B651)&amp;REPT(" ",20),20),REPT(" ",20))</f>
        <v/>
      </c>
      <c r="X651" s="10">
        <f>IF(A651="C",LEFT(UPPER(C651)&amp;REPT(" ",10),10)," ")</f>
        <v/>
      </c>
      <c r="Y651" s="10">
        <f>IF(A651="C",LEFT(UPPER(D651)&amp;REPT(" ",2),2)," ")</f>
        <v/>
      </c>
      <c r="Z651" s="10">
        <f>IF(A651="C",LEFT(UPPER(E651)&amp;REPT(" ",15),15)," ")</f>
        <v/>
      </c>
      <c r="AA651" s="10">
        <f>REPT(" ",8)</f>
        <v/>
      </c>
      <c r="AB651" s="10">
        <f>REPT(" ",4)</f>
        <v/>
      </c>
      <c r="AC651" s="10">
        <f>LEFT(UPPER(H651)&amp;REPT(" ",250),250)</f>
        <v/>
      </c>
      <c r="AD651" s="10">
        <f>TEXT($G$2,"dd/mm/aaaa")</f>
        <v/>
      </c>
      <c r="AE651" s="10">
        <f>REPT(" ",10)</f>
        <v/>
      </c>
      <c r="AF651" s="10">
        <f>REPT(" ",20)</f>
        <v/>
      </c>
      <c r="AG651" s="54">
        <f>REPT(" ",18-LEN(FIXED(F651,2,TRUE)))&amp;FIXED(F651,2,TRUE)</f>
        <v/>
      </c>
      <c r="AH651" s="10">
        <f>LEN(AC651)+LEN(AG651)</f>
        <v/>
      </c>
      <c r="AI651" s="10">
        <f>LEN(L651)</f>
        <v/>
      </c>
    </row>
    <row r="652">
      <c r="A652" s="46" t="n"/>
      <c r="B652" s="38" t="n"/>
      <c r="C652" s="41" t="n"/>
      <c r="D652" s="41" t="n"/>
      <c r="E652" s="41" t="n"/>
      <c r="F652" s="88" t="n"/>
      <c r="G652" s="89" t="n"/>
      <c r="H652" s="37" t="n"/>
      <c r="I652" s="42" t="n"/>
      <c r="J652" s="12">
        <f>IF(F652&lt;&gt;0,"LANÇAR","")</f>
        <v/>
      </c>
      <c r="K652" s="20" t="n"/>
      <c r="L652" s="13">
        <f>N652&amp;O652&amp;P652&amp;Q652&amp;R652&amp;S652&amp;T652&amp;U652&amp;V652&amp;W652&amp;X652&amp;Y652&amp;Z652&amp;AA652&amp;AB652&amp;AC652&amp;AD652&amp;AE652&amp;AF652&amp;AG652</f>
        <v/>
      </c>
      <c r="M652" s="20" t="n"/>
      <c r="N652" s="10">
        <f>TEXT($B$6,"00")</f>
        <v/>
      </c>
      <c r="O652" s="10">
        <f>REPT(" ",8)</f>
        <v/>
      </c>
      <c r="P652" s="10">
        <f>RIGHT($B$4,2)</f>
        <v/>
      </c>
      <c r="Q652" s="10">
        <f>RIGHT($B$5,3)</f>
        <v/>
      </c>
      <c r="R652" s="10">
        <f>IF(A652="D",LEFT(UPPER(B652)&amp;REPT(" ",20),20),REPT(" ",20))</f>
        <v/>
      </c>
      <c r="S652" s="10">
        <f>IF(A652="D",LEFT(UPPER(C652)&amp;REPT(" ",10),10)," ")</f>
        <v/>
      </c>
      <c r="T652" s="10">
        <f>IF(A652="D",LEFT(UPPER(D652)&amp;REPT(" ",2),2)," ")</f>
        <v/>
      </c>
      <c r="U652" s="10">
        <f>IF(A652="D",LEFT(UPPER(E652)&amp;REPT(" ",15),15)," ")</f>
        <v/>
      </c>
      <c r="V652" s="10">
        <f>REPT(" ",24)</f>
        <v/>
      </c>
      <c r="W652" s="10">
        <f>IF(A652="c",LEFT(UPPER(B652)&amp;REPT(" ",20),20),REPT(" ",20))</f>
        <v/>
      </c>
      <c r="X652" s="10">
        <f>IF(A652="C",LEFT(UPPER(C652)&amp;REPT(" ",10),10)," ")</f>
        <v/>
      </c>
      <c r="Y652" s="10">
        <f>IF(A652="C",LEFT(UPPER(D652)&amp;REPT(" ",2),2)," ")</f>
        <v/>
      </c>
      <c r="Z652" s="10">
        <f>IF(A652="C",LEFT(UPPER(E652)&amp;REPT(" ",15),15)," ")</f>
        <v/>
      </c>
      <c r="AA652" s="10">
        <f>REPT(" ",8)</f>
        <v/>
      </c>
      <c r="AB652" s="10">
        <f>REPT(" ",4)</f>
        <v/>
      </c>
      <c r="AC652" s="10">
        <f>LEFT(UPPER(H652)&amp;REPT(" ",250),250)</f>
        <v/>
      </c>
      <c r="AD652" s="10">
        <f>TEXT($G$2,"dd/mm/aaaa")</f>
        <v/>
      </c>
      <c r="AE652" s="10">
        <f>REPT(" ",10)</f>
        <v/>
      </c>
      <c r="AF652" s="10">
        <f>REPT(" ",20)</f>
        <v/>
      </c>
      <c r="AG652" s="54">
        <f>REPT(" ",18-LEN(FIXED(F652,2,TRUE)))&amp;FIXED(F652,2,TRUE)</f>
        <v/>
      </c>
      <c r="AH652" s="10">
        <f>LEN(AC652)+LEN(AG652)</f>
        <v/>
      </c>
      <c r="AI652" s="10">
        <f>LEN(L652)</f>
        <v/>
      </c>
    </row>
    <row r="653">
      <c r="A653" s="46" t="n"/>
      <c r="B653" s="38" t="n"/>
      <c r="C653" s="41" t="n"/>
      <c r="D653" s="41" t="n"/>
      <c r="E653" s="41" t="n"/>
      <c r="F653" s="88" t="n"/>
      <c r="G653" s="89" t="n"/>
      <c r="H653" s="37" t="n"/>
      <c r="I653" s="42" t="n"/>
      <c r="J653" s="12">
        <f>IF(F653&lt;&gt;0,"LANÇAR","")</f>
        <v/>
      </c>
      <c r="K653" s="20" t="n"/>
      <c r="L653" s="13">
        <f>N653&amp;O653&amp;P653&amp;Q653&amp;R653&amp;S653&amp;T653&amp;U653&amp;V653&amp;W653&amp;X653&amp;Y653&amp;Z653&amp;AA653&amp;AB653&amp;AC653&amp;AD653&amp;AE653&amp;AF653&amp;AG653</f>
        <v/>
      </c>
      <c r="M653" s="20" t="n"/>
      <c r="N653" s="10">
        <f>TEXT($B$6,"00")</f>
        <v/>
      </c>
      <c r="O653" s="10">
        <f>REPT(" ",8)</f>
        <v/>
      </c>
      <c r="P653" s="10">
        <f>RIGHT($B$4,2)</f>
        <v/>
      </c>
      <c r="Q653" s="10">
        <f>RIGHT($B$5,3)</f>
        <v/>
      </c>
      <c r="R653" s="10">
        <f>IF(A653="D",LEFT(UPPER(B653)&amp;REPT(" ",20),20),REPT(" ",20))</f>
        <v/>
      </c>
      <c r="S653" s="10">
        <f>IF(A653="D",LEFT(UPPER(C653)&amp;REPT(" ",10),10)," ")</f>
        <v/>
      </c>
      <c r="T653" s="10">
        <f>IF(A653="D",LEFT(UPPER(D653)&amp;REPT(" ",2),2)," ")</f>
        <v/>
      </c>
      <c r="U653" s="10">
        <f>IF(A653="D",LEFT(UPPER(E653)&amp;REPT(" ",15),15)," ")</f>
        <v/>
      </c>
      <c r="V653" s="10">
        <f>REPT(" ",24)</f>
        <v/>
      </c>
      <c r="W653" s="10">
        <f>IF(A653="c",LEFT(UPPER(B653)&amp;REPT(" ",20),20),REPT(" ",20))</f>
        <v/>
      </c>
      <c r="X653" s="10">
        <f>IF(A653="C",LEFT(UPPER(C653)&amp;REPT(" ",10),10)," ")</f>
        <v/>
      </c>
      <c r="Y653" s="10">
        <f>IF(A653="C",LEFT(UPPER(D653)&amp;REPT(" ",2),2)," ")</f>
        <v/>
      </c>
      <c r="Z653" s="10">
        <f>IF(A653="C",LEFT(UPPER(E653)&amp;REPT(" ",15),15)," ")</f>
        <v/>
      </c>
      <c r="AA653" s="10">
        <f>REPT(" ",8)</f>
        <v/>
      </c>
      <c r="AB653" s="10">
        <f>REPT(" ",4)</f>
        <v/>
      </c>
      <c r="AC653" s="10">
        <f>LEFT(UPPER(H653)&amp;REPT(" ",250),250)</f>
        <v/>
      </c>
      <c r="AD653" s="10">
        <f>TEXT($G$2,"dd/mm/aaaa")</f>
        <v/>
      </c>
      <c r="AE653" s="10">
        <f>REPT(" ",10)</f>
        <v/>
      </c>
      <c r="AF653" s="10">
        <f>REPT(" ",20)</f>
        <v/>
      </c>
      <c r="AG653" s="54">
        <f>REPT(" ",18-LEN(FIXED(F653,2,TRUE)))&amp;FIXED(F653,2,TRUE)</f>
        <v/>
      </c>
      <c r="AH653" s="10">
        <f>LEN(AC653)+LEN(AG653)</f>
        <v/>
      </c>
      <c r="AI653" s="10">
        <f>LEN(L653)</f>
        <v/>
      </c>
    </row>
    <row r="654">
      <c r="A654" s="46" t="n"/>
      <c r="B654" s="38" t="n"/>
      <c r="C654" s="41" t="n"/>
      <c r="D654" s="41" t="n"/>
      <c r="E654" s="41" t="n"/>
      <c r="F654" s="88" t="n"/>
      <c r="G654" s="89" t="n"/>
      <c r="H654" s="37" t="n"/>
      <c r="I654" s="42" t="n"/>
      <c r="J654" s="12">
        <f>IF(F654&lt;&gt;0,"LANÇAR","")</f>
        <v/>
      </c>
      <c r="K654" s="20" t="n"/>
      <c r="L654" s="13">
        <f>N654&amp;O654&amp;P654&amp;Q654&amp;R654&amp;S654&amp;T654&amp;U654&amp;V654&amp;W654&amp;X654&amp;Y654&amp;Z654&amp;AA654&amp;AB654&amp;AC654&amp;AD654&amp;AE654&amp;AF654&amp;AG654</f>
        <v/>
      </c>
      <c r="M654" s="20" t="n"/>
      <c r="N654" s="10">
        <f>TEXT($B$6,"00")</f>
        <v/>
      </c>
      <c r="O654" s="10">
        <f>REPT(" ",8)</f>
        <v/>
      </c>
      <c r="P654" s="10">
        <f>RIGHT($B$4,2)</f>
        <v/>
      </c>
      <c r="Q654" s="10">
        <f>RIGHT($B$5,3)</f>
        <v/>
      </c>
      <c r="R654" s="10">
        <f>IF(A654="D",LEFT(UPPER(B654)&amp;REPT(" ",20),20),REPT(" ",20))</f>
        <v/>
      </c>
      <c r="S654" s="10">
        <f>IF(A654="D",LEFT(UPPER(C654)&amp;REPT(" ",10),10)," ")</f>
        <v/>
      </c>
      <c r="T654" s="10">
        <f>IF(A654="D",LEFT(UPPER(D654)&amp;REPT(" ",2),2)," ")</f>
        <v/>
      </c>
      <c r="U654" s="10">
        <f>IF(A654="D",LEFT(UPPER(E654)&amp;REPT(" ",15),15)," ")</f>
        <v/>
      </c>
      <c r="V654" s="10">
        <f>REPT(" ",24)</f>
        <v/>
      </c>
      <c r="W654" s="10">
        <f>IF(A654="c",LEFT(UPPER(B654)&amp;REPT(" ",20),20),REPT(" ",20))</f>
        <v/>
      </c>
      <c r="X654" s="10">
        <f>IF(A654="C",LEFT(UPPER(C654)&amp;REPT(" ",10),10)," ")</f>
        <v/>
      </c>
      <c r="Y654" s="10">
        <f>IF(A654="C",LEFT(UPPER(D654)&amp;REPT(" ",2),2)," ")</f>
        <v/>
      </c>
      <c r="Z654" s="10">
        <f>IF(A654="C",LEFT(UPPER(E654)&amp;REPT(" ",15),15)," ")</f>
        <v/>
      </c>
      <c r="AA654" s="10">
        <f>REPT(" ",8)</f>
        <v/>
      </c>
      <c r="AB654" s="10">
        <f>REPT(" ",4)</f>
        <v/>
      </c>
      <c r="AC654" s="10">
        <f>LEFT(UPPER(H654)&amp;REPT(" ",250),250)</f>
        <v/>
      </c>
      <c r="AD654" s="10">
        <f>TEXT($G$2,"dd/mm/aaaa")</f>
        <v/>
      </c>
      <c r="AE654" s="10">
        <f>REPT(" ",10)</f>
        <v/>
      </c>
      <c r="AF654" s="10">
        <f>REPT(" ",20)</f>
        <v/>
      </c>
      <c r="AG654" s="54">
        <f>REPT(" ",18-LEN(FIXED(F654,2,TRUE)))&amp;FIXED(F654,2,TRUE)</f>
        <v/>
      </c>
      <c r="AH654" s="10">
        <f>LEN(AC654)+LEN(AG654)</f>
        <v/>
      </c>
      <c r="AI654" s="10">
        <f>LEN(L654)</f>
        <v/>
      </c>
    </row>
    <row r="655">
      <c r="A655" s="46" t="n"/>
      <c r="B655" s="38" t="n"/>
      <c r="C655" s="41" t="n"/>
      <c r="D655" s="41" t="n"/>
      <c r="E655" s="41" t="n"/>
      <c r="F655" s="88" t="n"/>
      <c r="G655" s="89" t="n"/>
      <c r="H655" s="37" t="n"/>
      <c r="I655" s="42" t="n"/>
      <c r="J655" s="12">
        <f>IF(F655&lt;&gt;0,"LANÇAR","")</f>
        <v/>
      </c>
      <c r="K655" s="20" t="n"/>
      <c r="L655" s="13">
        <f>N655&amp;O655&amp;P655&amp;Q655&amp;R655&amp;S655&amp;T655&amp;U655&amp;V655&amp;W655&amp;X655&amp;Y655&amp;Z655&amp;AA655&amp;AB655&amp;AC655&amp;AD655&amp;AE655&amp;AF655&amp;AG655</f>
        <v/>
      </c>
      <c r="M655" s="20" t="n"/>
      <c r="N655" s="10">
        <f>TEXT($B$6,"00")</f>
        <v/>
      </c>
      <c r="O655" s="10">
        <f>REPT(" ",8)</f>
        <v/>
      </c>
      <c r="P655" s="10">
        <f>RIGHT($B$4,2)</f>
        <v/>
      </c>
      <c r="Q655" s="10">
        <f>RIGHT($B$5,3)</f>
        <v/>
      </c>
      <c r="R655" s="10">
        <f>IF(A655="D",LEFT(UPPER(B655)&amp;REPT(" ",20),20),REPT(" ",20))</f>
        <v/>
      </c>
      <c r="S655" s="10">
        <f>IF(A655="D",LEFT(UPPER(C655)&amp;REPT(" ",10),10)," ")</f>
        <v/>
      </c>
      <c r="T655" s="10">
        <f>IF(A655="D",LEFT(UPPER(D655)&amp;REPT(" ",2),2)," ")</f>
        <v/>
      </c>
      <c r="U655" s="10">
        <f>IF(A655="D",LEFT(UPPER(E655)&amp;REPT(" ",15),15)," ")</f>
        <v/>
      </c>
      <c r="V655" s="10">
        <f>REPT(" ",24)</f>
        <v/>
      </c>
      <c r="W655" s="10">
        <f>IF(A655="c",LEFT(UPPER(B655)&amp;REPT(" ",20),20),REPT(" ",20))</f>
        <v/>
      </c>
      <c r="X655" s="10">
        <f>IF(A655="C",LEFT(UPPER(C655)&amp;REPT(" ",10),10)," ")</f>
        <v/>
      </c>
      <c r="Y655" s="10">
        <f>IF(A655="C",LEFT(UPPER(D655)&amp;REPT(" ",2),2)," ")</f>
        <v/>
      </c>
      <c r="Z655" s="10">
        <f>IF(A655="C",LEFT(UPPER(E655)&amp;REPT(" ",15),15)," ")</f>
        <v/>
      </c>
      <c r="AA655" s="10">
        <f>REPT(" ",8)</f>
        <v/>
      </c>
      <c r="AB655" s="10">
        <f>REPT(" ",4)</f>
        <v/>
      </c>
      <c r="AC655" s="10">
        <f>LEFT(UPPER(H655)&amp;REPT(" ",250),250)</f>
        <v/>
      </c>
      <c r="AD655" s="10">
        <f>TEXT($G$2,"dd/mm/aaaa")</f>
        <v/>
      </c>
      <c r="AE655" s="10">
        <f>REPT(" ",10)</f>
        <v/>
      </c>
      <c r="AF655" s="10">
        <f>REPT(" ",20)</f>
        <v/>
      </c>
      <c r="AG655" s="54">
        <f>REPT(" ",18-LEN(FIXED(F655,2,TRUE)))&amp;FIXED(F655,2,TRUE)</f>
        <v/>
      </c>
      <c r="AH655" s="10">
        <f>LEN(AC655)+LEN(AG655)</f>
        <v/>
      </c>
      <c r="AI655" s="10">
        <f>LEN(L655)</f>
        <v/>
      </c>
    </row>
    <row r="656">
      <c r="A656" s="46" t="n"/>
      <c r="B656" s="38" t="n"/>
      <c r="C656" s="41" t="n"/>
      <c r="D656" s="41" t="n"/>
      <c r="E656" s="41" t="n"/>
      <c r="F656" s="88" t="n"/>
      <c r="G656" s="89" t="n"/>
      <c r="H656" s="37" t="n"/>
      <c r="I656" s="42" t="n"/>
      <c r="J656" s="12">
        <f>IF(F656&lt;&gt;0,"LANÇAR","")</f>
        <v/>
      </c>
      <c r="K656" s="20" t="n"/>
      <c r="L656" s="13">
        <f>N656&amp;O656&amp;P656&amp;Q656&amp;R656&amp;S656&amp;T656&amp;U656&amp;V656&amp;W656&amp;X656&amp;Y656&amp;Z656&amp;AA656&amp;AB656&amp;AC656&amp;AD656&amp;AE656&amp;AF656&amp;AG656</f>
        <v/>
      </c>
      <c r="M656" s="20" t="n"/>
      <c r="N656" s="10">
        <f>TEXT($B$6,"00")</f>
        <v/>
      </c>
      <c r="O656" s="10">
        <f>REPT(" ",8)</f>
        <v/>
      </c>
      <c r="P656" s="10">
        <f>RIGHT($B$4,2)</f>
        <v/>
      </c>
      <c r="Q656" s="10">
        <f>RIGHT($B$5,3)</f>
        <v/>
      </c>
      <c r="R656" s="10">
        <f>IF(A656="D",LEFT(UPPER(B656)&amp;REPT(" ",20),20),REPT(" ",20))</f>
        <v/>
      </c>
      <c r="S656" s="10">
        <f>IF(A656="D",LEFT(UPPER(C656)&amp;REPT(" ",10),10)," ")</f>
        <v/>
      </c>
      <c r="T656" s="10">
        <f>IF(A656="D",LEFT(UPPER(D656)&amp;REPT(" ",2),2)," ")</f>
        <v/>
      </c>
      <c r="U656" s="10">
        <f>IF(A656="D",LEFT(UPPER(E656)&amp;REPT(" ",15),15)," ")</f>
        <v/>
      </c>
      <c r="V656" s="10">
        <f>REPT(" ",24)</f>
        <v/>
      </c>
      <c r="W656" s="10">
        <f>IF(A656="c",LEFT(UPPER(B656)&amp;REPT(" ",20),20),REPT(" ",20))</f>
        <v/>
      </c>
      <c r="X656" s="10">
        <f>IF(A656="C",LEFT(UPPER(C656)&amp;REPT(" ",10),10)," ")</f>
        <v/>
      </c>
      <c r="Y656" s="10">
        <f>IF(A656="C",LEFT(UPPER(D656)&amp;REPT(" ",2),2)," ")</f>
        <v/>
      </c>
      <c r="Z656" s="10">
        <f>IF(A656="C",LEFT(UPPER(E656)&amp;REPT(" ",15),15)," ")</f>
        <v/>
      </c>
      <c r="AA656" s="10">
        <f>REPT(" ",8)</f>
        <v/>
      </c>
      <c r="AB656" s="10">
        <f>REPT(" ",4)</f>
        <v/>
      </c>
      <c r="AC656" s="10">
        <f>LEFT(UPPER(H656)&amp;REPT(" ",250),250)</f>
        <v/>
      </c>
      <c r="AD656" s="10">
        <f>TEXT($G$2,"dd/mm/aaaa")</f>
        <v/>
      </c>
      <c r="AE656" s="10">
        <f>REPT(" ",10)</f>
        <v/>
      </c>
      <c r="AF656" s="10">
        <f>REPT(" ",20)</f>
        <v/>
      </c>
      <c r="AG656" s="54">
        <f>REPT(" ",18-LEN(FIXED(F656,2,TRUE)))&amp;FIXED(F656,2,TRUE)</f>
        <v/>
      </c>
      <c r="AH656" s="10">
        <f>LEN(AC656)+LEN(AG656)</f>
        <v/>
      </c>
      <c r="AI656" s="10">
        <f>LEN(L656)</f>
        <v/>
      </c>
    </row>
    <row r="657">
      <c r="A657" s="46" t="n"/>
      <c r="B657" s="38" t="n"/>
      <c r="C657" s="41" t="n"/>
      <c r="D657" s="41" t="n"/>
      <c r="E657" s="41" t="n"/>
      <c r="F657" s="88" t="n"/>
      <c r="G657" s="89" t="n"/>
      <c r="H657" s="37" t="n"/>
      <c r="I657" s="42" t="n"/>
      <c r="J657" s="12">
        <f>IF(F657&lt;&gt;0,"LANÇAR","")</f>
        <v/>
      </c>
      <c r="K657" s="20" t="n"/>
      <c r="L657" s="13">
        <f>N657&amp;O657&amp;P657&amp;Q657&amp;R657&amp;S657&amp;T657&amp;U657&amp;V657&amp;W657&amp;X657&amp;Y657&amp;Z657&amp;AA657&amp;AB657&amp;AC657&amp;AD657&amp;AE657&amp;AF657&amp;AG657</f>
        <v/>
      </c>
      <c r="M657" s="20" t="n"/>
      <c r="N657" s="10">
        <f>TEXT($B$6,"00")</f>
        <v/>
      </c>
      <c r="O657" s="10">
        <f>REPT(" ",8)</f>
        <v/>
      </c>
      <c r="P657" s="10">
        <f>RIGHT($B$4,2)</f>
        <v/>
      </c>
      <c r="Q657" s="10">
        <f>RIGHT($B$5,3)</f>
        <v/>
      </c>
      <c r="R657" s="10">
        <f>IF(A657="D",LEFT(UPPER(B657)&amp;REPT(" ",20),20),REPT(" ",20))</f>
        <v/>
      </c>
      <c r="S657" s="10">
        <f>IF(A657="D",LEFT(UPPER(C657)&amp;REPT(" ",10),10)," ")</f>
        <v/>
      </c>
      <c r="T657" s="10">
        <f>IF(A657="D",LEFT(UPPER(D657)&amp;REPT(" ",2),2)," ")</f>
        <v/>
      </c>
      <c r="U657" s="10">
        <f>IF(A657="D",LEFT(UPPER(E657)&amp;REPT(" ",15),15)," ")</f>
        <v/>
      </c>
      <c r="V657" s="10">
        <f>REPT(" ",24)</f>
        <v/>
      </c>
      <c r="W657" s="10">
        <f>IF(A657="c",LEFT(UPPER(B657)&amp;REPT(" ",20),20),REPT(" ",20))</f>
        <v/>
      </c>
      <c r="X657" s="10">
        <f>IF(A657="C",LEFT(UPPER(C657)&amp;REPT(" ",10),10)," ")</f>
        <v/>
      </c>
      <c r="Y657" s="10">
        <f>IF(A657="C",LEFT(UPPER(D657)&amp;REPT(" ",2),2)," ")</f>
        <v/>
      </c>
      <c r="Z657" s="10">
        <f>IF(A657="C",LEFT(UPPER(E657)&amp;REPT(" ",15),15)," ")</f>
        <v/>
      </c>
      <c r="AA657" s="10">
        <f>REPT(" ",8)</f>
        <v/>
      </c>
      <c r="AB657" s="10">
        <f>REPT(" ",4)</f>
        <v/>
      </c>
      <c r="AC657" s="10">
        <f>LEFT(UPPER(H657)&amp;REPT(" ",250),250)</f>
        <v/>
      </c>
      <c r="AD657" s="10">
        <f>TEXT($G$2,"dd/mm/aaaa")</f>
        <v/>
      </c>
      <c r="AE657" s="10">
        <f>REPT(" ",10)</f>
        <v/>
      </c>
      <c r="AF657" s="10">
        <f>REPT(" ",20)</f>
        <v/>
      </c>
      <c r="AG657" s="54">
        <f>REPT(" ",18-LEN(FIXED(F657,2,TRUE)))&amp;FIXED(F657,2,TRUE)</f>
        <v/>
      </c>
      <c r="AH657" s="10">
        <f>LEN(AC657)+LEN(AG657)</f>
        <v/>
      </c>
      <c r="AI657" s="10">
        <f>LEN(L657)</f>
        <v/>
      </c>
    </row>
    <row r="658">
      <c r="A658" s="46" t="n"/>
      <c r="B658" s="38" t="n"/>
      <c r="C658" s="41" t="n"/>
      <c r="D658" s="41" t="n"/>
      <c r="E658" s="41" t="n"/>
      <c r="F658" s="88" t="n"/>
      <c r="G658" s="89" t="n"/>
      <c r="H658" s="37" t="n"/>
      <c r="I658" s="42" t="n"/>
      <c r="J658" s="12">
        <f>IF(F658&lt;&gt;0,"LANÇAR","")</f>
        <v/>
      </c>
      <c r="K658" s="20" t="n"/>
      <c r="L658" s="13">
        <f>N658&amp;O658&amp;P658&amp;Q658&amp;R658&amp;S658&amp;T658&amp;U658&amp;V658&amp;W658&amp;X658&amp;Y658&amp;Z658&amp;AA658&amp;AB658&amp;AC658&amp;AD658&amp;AE658&amp;AF658&amp;AG658</f>
        <v/>
      </c>
      <c r="M658" s="20" t="n"/>
      <c r="N658" s="10">
        <f>TEXT($B$6,"00")</f>
        <v/>
      </c>
      <c r="O658" s="10">
        <f>REPT(" ",8)</f>
        <v/>
      </c>
      <c r="P658" s="10">
        <f>RIGHT($B$4,2)</f>
        <v/>
      </c>
      <c r="Q658" s="10">
        <f>RIGHT($B$5,3)</f>
        <v/>
      </c>
      <c r="R658" s="10">
        <f>IF(A658="D",LEFT(UPPER(B658)&amp;REPT(" ",20),20),REPT(" ",20))</f>
        <v/>
      </c>
      <c r="S658" s="10">
        <f>IF(A658="D",LEFT(UPPER(C658)&amp;REPT(" ",10),10)," ")</f>
        <v/>
      </c>
      <c r="T658" s="10">
        <f>IF(A658="D",LEFT(UPPER(D658)&amp;REPT(" ",2),2)," ")</f>
        <v/>
      </c>
      <c r="U658" s="10">
        <f>IF(A658="D",LEFT(UPPER(E658)&amp;REPT(" ",15),15)," ")</f>
        <v/>
      </c>
      <c r="V658" s="10">
        <f>REPT(" ",24)</f>
        <v/>
      </c>
      <c r="W658" s="10">
        <f>IF(A658="c",LEFT(UPPER(B658)&amp;REPT(" ",20),20),REPT(" ",20))</f>
        <v/>
      </c>
      <c r="X658" s="10">
        <f>IF(A658="C",LEFT(UPPER(C658)&amp;REPT(" ",10),10)," ")</f>
        <v/>
      </c>
      <c r="Y658" s="10">
        <f>IF(A658="C",LEFT(UPPER(D658)&amp;REPT(" ",2),2)," ")</f>
        <v/>
      </c>
      <c r="Z658" s="10">
        <f>IF(A658="C",LEFT(UPPER(E658)&amp;REPT(" ",15),15)," ")</f>
        <v/>
      </c>
      <c r="AA658" s="10">
        <f>REPT(" ",8)</f>
        <v/>
      </c>
      <c r="AB658" s="10">
        <f>REPT(" ",4)</f>
        <v/>
      </c>
      <c r="AC658" s="10">
        <f>LEFT(UPPER(H658)&amp;REPT(" ",250),250)</f>
        <v/>
      </c>
      <c r="AD658" s="10">
        <f>TEXT($G$2,"dd/mm/aaaa")</f>
        <v/>
      </c>
      <c r="AE658" s="10">
        <f>REPT(" ",10)</f>
        <v/>
      </c>
      <c r="AF658" s="10">
        <f>REPT(" ",20)</f>
        <v/>
      </c>
      <c r="AG658" s="54">
        <f>REPT(" ",18-LEN(FIXED(F658,2,TRUE)))&amp;FIXED(F658,2,TRUE)</f>
        <v/>
      </c>
      <c r="AH658" s="10">
        <f>LEN(AC658)+LEN(AG658)</f>
        <v/>
      </c>
      <c r="AI658" s="10">
        <f>LEN(L658)</f>
        <v/>
      </c>
    </row>
    <row r="659">
      <c r="A659" s="46" t="n"/>
      <c r="B659" s="38" t="n"/>
      <c r="C659" s="41" t="n"/>
      <c r="D659" s="41" t="n"/>
      <c r="E659" s="41" t="n"/>
      <c r="F659" s="88" t="n"/>
      <c r="G659" s="89" t="n"/>
      <c r="H659" s="37" t="n"/>
      <c r="I659" s="42" t="n"/>
      <c r="J659" s="12">
        <f>IF(F659&lt;&gt;0,"LANÇAR","")</f>
        <v/>
      </c>
      <c r="K659" s="20" t="n"/>
      <c r="L659" s="13">
        <f>N659&amp;O659&amp;P659&amp;Q659&amp;R659&amp;S659&amp;T659&amp;U659&amp;V659&amp;W659&amp;X659&amp;Y659&amp;Z659&amp;AA659&amp;AB659&amp;AC659&amp;AD659&amp;AE659&amp;AF659&amp;AG659</f>
        <v/>
      </c>
      <c r="M659" s="20" t="n"/>
      <c r="N659" s="10">
        <f>TEXT($B$6,"00")</f>
        <v/>
      </c>
      <c r="O659" s="10">
        <f>REPT(" ",8)</f>
        <v/>
      </c>
      <c r="P659" s="10">
        <f>RIGHT($B$4,2)</f>
        <v/>
      </c>
      <c r="Q659" s="10">
        <f>RIGHT($B$5,3)</f>
        <v/>
      </c>
      <c r="R659" s="10">
        <f>IF(A659="D",LEFT(UPPER(B659)&amp;REPT(" ",20),20),REPT(" ",20))</f>
        <v/>
      </c>
      <c r="S659" s="10">
        <f>IF(A659="D",LEFT(UPPER(C659)&amp;REPT(" ",10),10)," ")</f>
        <v/>
      </c>
      <c r="T659" s="10">
        <f>IF(A659="D",LEFT(UPPER(D659)&amp;REPT(" ",2),2)," ")</f>
        <v/>
      </c>
      <c r="U659" s="10">
        <f>IF(A659="D",LEFT(UPPER(E659)&amp;REPT(" ",15),15)," ")</f>
        <v/>
      </c>
      <c r="V659" s="10">
        <f>REPT(" ",24)</f>
        <v/>
      </c>
      <c r="W659" s="10">
        <f>IF(A659="c",LEFT(UPPER(B659)&amp;REPT(" ",20),20),REPT(" ",20))</f>
        <v/>
      </c>
      <c r="X659" s="10">
        <f>IF(A659="C",LEFT(UPPER(C659)&amp;REPT(" ",10),10)," ")</f>
        <v/>
      </c>
      <c r="Y659" s="10">
        <f>IF(A659="C",LEFT(UPPER(D659)&amp;REPT(" ",2),2)," ")</f>
        <v/>
      </c>
      <c r="Z659" s="10">
        <f>IF(A659="C",LEFT(UPPER(E659)&amp;REPT(" ",15),15)," ")</f>
        <v/>
      </c>
      <c r="AA659" s="10">
        <f>REPT(" ",8)</f>
        <v/>
      </c>
      <c r="AB659" s="10">
        <f>REPT(" ",4)</f>
        <v/>
      </c>
      <c r="AC659" s="10">
        <f>LEFT(UPPER(H659)&amp;REPT(" ",250),250)</f>
        <v/>
      </c>
      <c r="AD659" s="10">
        <f>TEXT($G$2,"dd/mm/aaaa")</f>
        <v/>
      </c>
      <c r="AE659" s="10">
        <f>REPT(" ",10)</f>
        <v/>
      </c>
      <c r="AF659" s="10">
        <f>REPT(" ",20)</f>
        <v/>
      </c>
      <c r="AG659" s="54">
        <f>REPT(" ",18-LEN(FIXED(F659,2,TRUE)))&amp;FIXED(F659,2,TRUE)</f>
        <v/>
      </c>
      <c r="AH659" s="10">
        <f>LEN(AC659)+LEN(AG659)</f>
        <v/>
      </c>
      <c r="AI659" s="10">
        <f>LEN(L659)</f>
        <v/>
      </c>
    </row>
    <row r="660">
      <c r="A660" s="46" t="n"/>
      <c r="B660" s="38" t="n"/>
      <c r="C660" s="41" t="n"/>
      <c r="D660" s="41" t="n"/>
      <c r="E660" s="41" t="n"/>
      <c r="F660" s="88" t="n"/>
      <c r="G660" s="89" t="n"/>
      <c r="H660" s="37" t="n"/>
      <c r="I660" s="42" t="n"/>
      <c r="J660" s="12">
        <f>IF(F660&lt;&gt;0,"LANÇAR","")</f>
        <v/>
      </c>
      <c r="K660" s="20" t="n"/>
      <c r="L660" s="13">
        <f>N660&amp;O660&amp;P660&amp;Q660&amp;R660&amp;S660&amp;T660&amp;U660&amp;V660&amp;W660&amp;X660&amp;Y660&amp;Z660&amp;AA660&amp;AB660&amp;AC660&amp;AD660&amp;AE660&amp;AF660&amp;AG660</f>
        <v/>
      </c>
      <c r="M660" s="20" t="n"/>
      <c r="N660" s="10">
        <f>TEXT($B$6,"00")</f>
        <v/>
      </c>
      <c r="O660" s="10">
        <f>REPT(" ",8)</f>
        <v/>
      </c>
      <c r="P660" s="10">
        <f>RIGHT($B$4,2)</f>
        <v/>
      </c>
      <c r="Q660" s="10">
        <f>RIGHT($B$5,3)</f>
        <v/>
      </c>
      <c r="R660" s="10">
        <f>IF(A660="D",LEFT(UPPER(B660)&amp;REPT(" ",20),20),REPT(" ",20))</f>
        <v/>
      </c>
      <c r="S660" s="10">
        <f>IF(A660="D",LEFT(UPPER(C660)&amp;REPT(" ",10),10)," ")</f>
        <v/>
      </c>
      <c r="T660" s="10">
        <f>IF(A660="D",LEFT(UPPER(D660)&amp;REPT(" ",2),2)," ")</f>
        <v/>
      </c>
      <c r="U660" s="10">
        <f>IF(A660="D",LEFT(UPPER(E660)&amp;REPT(" ",15),15)," ")</f>
        <v/>
      </c>
      <c r="V660" s="10">
        <f>REPT(" ",24)</f>
        <v/>
      </c>
      <c r="W660" s="10">
        <f>IF(A660="c",LEFT(UPPER(B660)&amp;REPT(" ",20),20),REPT(" ",20))</f>
        <v/>
      </c>
      <c r="X660" s="10">
        <f>IF(A660="C",LEFT(UPPER(C660)&amp;REPT(" ",10),10)," ")</f>
        <v/>
      </c>
      <c r="Y660" s="10">
        <f>IF(A660="C",LEFT(UPPER(D660)&amp;REPT(" ",2),2)," ")</f>
        <v/>
      </c>
      <c r="Z660" s="10">
        <f>IF(A660="C",LEFT(UPPER(E660)&amp;REPT(" ",15),15)," ")</f>
        <v/>
      </c>
      <c r="AA660" s="10">
        <f>REPT(" ",8)</f>
        <v/>
      </c>
      <c r="AB660" s="10">
        <f>REPT(" ",4)</f>
        <v/>
      </c>
      <c r="AC660" s="10">
        <f>LEFT(UPPER(H660)&amp;REPT(" ",250),250)</f>
        <v/>
      </c>
      <c r="AD660" s="10">
        <f>TEXT($G$2,"dd/mm/aaaa")</f>
        <v/>
      </c>
      <c r="AE660" s="10">
        <f>REPT(" ",10)</f>
        <v/>
      </c>
      <c r="AF660" s="10">
        <f>REPT(" ",20)</f>
        <v/>
      </c>
      <c r="AG660" s="54">
        <f>REPT(" ",18-LEN(FIXED(F660,2,TRUE)))&amp;FIXED(F660,2,TRUE)</f>
        <v/>
      </c>
      <c r="AH660" s="10">
        <f>LEN(AC660)+LEN(AG660)</f>
        <v/>
      </c>
      <c r="AI660" s="10">
        <f>LEN(L660)</f>
        <v/>
      </c>
    </row>
    <row r="661">
      <c r="A661" s="46" t="n"/>
      <c r="B661" s="38" t="n"/>
      <c r="C661" s="41" t="n"/>
      <c r="D661" s="41" t="n"/>
      <c r="E661" s="41" t="n"/>
      <c r="F661" s="88" t="n"/>
      <c r="G661" s="89" t="n"/>
      <c r="H661" s="37" t="n"/>
      <c r="I661" s="42" t="n"/>
      <c r="J661" s="12">
        <f>IF(F661&lt;&gt;0,"LANÇAR","")</f>
        <v/>
      </c>
      <c r="K661" s="20" t="n"/>
      <c r="L661" s="13">
        <f>N661&amp;O661&amp;P661&amp;Q661&amp;R661&amp;S661&amp;T661&amp;U661&amp;V661&amp;W661&amp;X661&amp;Y661&amp;Z661&amp;AA661&amp;AB661&amp;AC661&amp;AD661&amp;AE661&amp;AF661&amp;AG661</f>
        <v/>
      </c>
      <c r="M661" s="20" t="n"/>
      <c r="N661" s="10">
        <f>TEXT($B$6,"00")</f>
        <v/>
      </c>
      <c r="O661" s="10">
        <f>REPT(" ",8)</f>
        <v/>
      </c>
      <c r="P661" s="10">
        <f>RIGHT($B$4,2)</f>
        <v/>
      </c>
      <c r="Q661" s="10">
        <f>RIGHT($B$5,3)</f>
        <v/>
      </c>
      <c r="R661" s="10">
        <f>IF(A661="D",LEFT(UPPER(B661)&amp;REPT(" ",20),20),REPT(" ",20))</f>
        <v/>
      </c>
      <c r="S661" s="10">
        <f>IF(A661="D",LEFT(UPPER(C661)&amp;REPT(" ",10),10)," ")</f>
        <v/>
      </c>
      <c r="T661" s="10">
        <f>IF(A661="D",LEFT(UPPER(D661)&amp;REPT(" ",2),2)," ")</f>
        <v/>
      </c>
      <c r="U661" s="10">
        <f>IF(A661="D",LEFT(UPPER(E661)&amp;REPT(" ",15),15)," ")</f>
        <v/>
      </c>
      <c r="V661" s="10">
        <f>REPT(" ",24)</f>
        <v/>
      </c>
      <c r="W661" s="10">
        <f>IF(A661="c",LEFT(UPPER(B661)&amp;REPT(" ",20),20),REPT(" ",20))</f>
        <v/>
      </c>
      <c r="X661" s="10">
        <f>IF(A661="C",LEFT(UPPER(C661)&amp;REPT(" ",10),10)," ")</f>
        <v/>
      </c>
      <c r="Y661" s="10">
        <f>IF(A661="C",LEFT(UPPER(D661)&amp;REPT(" ",2),2)," ")</f>
        <v/>
      </c>
      <c r="Z661" s="10">
        <f>IF(A661="C",LEFT(UPPER(E661)&amp;REPT(" ",15),15)," ")</f>
        <v/>
      </c>
      <c r="AA661" s="10">
        <f>REPT(" ",8)</f>
        <v/>
      </c>
      <c r="AB661" s="10">
        <f>REPT(" ",4)</f>
        <v/>
      </c>
      <c r="AC661" s="10">
        <f>LEFT(UPPER(H661)&amp;REPT(" ",250),250)</f>
        <v/>
      </c>
      <c r="AD661" s="10">
        <f>TEXT($G$2,"dd/mm/aaaa")</f>
        <v/>
      </c>
      <c r="AE661" s="10">
        <f>REPT(" ",10)</f>
        <v/>
      </c>
      <c r="AF661" s="10">
        <f>REPT(" ",20)</f>
        <v/>
      </c>
      <c r="AG661" s="54">
        <f>REPT(" ",18-LEN(FIXED(F661,2,TRUE)))&amp;FIXED(F661,2,TRUE)</f>
        <v/>
      </c>
      <c r="AH661" s="10">
        <f>LEN(AC661)+LEN(AG661)</f>
        <v/>
      </c>
      <c r="AI661" s="10">
        <f>LEN(L661)</f>
        <v/>
      </c>
    </row>
    <row r="662">
      <c r="A662" s="46" t="n"/>
      <c r="B662" s="38" t="n"/>
      <c r="C662" s="41" t="n"/>
      <c r="D662" s="41" t="n"/>
      <c r="E662" s="41" t="n"/>
      <c r="F662" s="88" t="n"/>
      <c r="G662" s="89" t="n"/>
      <c r="H662" s="37" t="n"/>
      <c r="I662" s="42" t="n"/>
      <c r="J662" s="12">
        <f>IF(F662&lt;&gt;0,"LANÇAR","")</f>
        <v/>
      </c>
      <c r="K662" s="20" t="n"/>
      <c r="L662" s="13">
        <f>N662&amp;O662&amp;P662&amp;Q662&amp;R662&amp;S662&amp;T662&amp;U662&amp;V662&amp;W662&amp;X662&amp;Y662&amp;Z662&amp;AA662&amp;AB662&amp;AC662&amp;AD662&amp;AE662&amp;AF662&amp;AG662</f>
        <v/>
      </c>
      <c r="M662" s="20" t="n"/>
      <c r="N662" s="10">
        <f>TEXT($B$6,"00")</f>
        <v/>
      </c>
      <c r="O662" s="10">
        <f>REPT(" ",8)</f>
        <v/>
      </c>
      <c r="P662" s="10">
        <f>RIGHT($B$4,2)</f>
        <v/>
      </c>
      <c r="Q662" s="10">
        <f>RIGHT($B$5,3)</f>
        <v/>
      </c>
      <c r="R662" s="10">
        <f>IF(A662="D",LEFT(UPPER(B662)&amp;REPT(" ",20),20),REPT(" ",20))</f>
        <v/>
      </c>
      <c r="S662" s="10">
        <f>IF(A662="D",LEFT(UPPER(C662)&amp;REPT(" ",10),10)," ")</f>
        <v/>
      </c>
      <c r="T662" s="10">
        <f>IF(A662="D",LEFT(UPPER(D662)&amp;REPT(" ",2),2)," ")</f>
        <v/>
      </c>
      <c r="U662" s="10">
        <f>IF(A662="D",LEFT(UPPER(E662)&amp;REPT(" ",15),15)," ")</f>
        <v/>
      </c>
      <c r="V662" s="10">
        <f>REPT(" ",24)</f>
        <v/>
      </c>
      <c r="W662" s="10">
        <f>IF(A662="c",LEFT(UPPER(B662)&amp;REPT(" ",20),20),REPT(" ",20))</f>
        <v/>
      </c>
      <c r="X662" s="10">
        <f>IF(A662="C",LEFT(UPPER(C662)&amp;REPT(" ",10),10)," ")</f>
        <v/>
      </c>
      <c r="Y662" s="10">
        <f>IF(A662="C",LEFT(UPPER(D662)&amp;REPT(" ",2),2)," ")</f>
        <v/>
      </c>
      <c r="Z662" s="10">
        <f>IF(A662="C",LEFT(UPPER(E662)&amp;REPT(" ",15),15)," ")</f>
        <v/>
      </c>
      <c r="AA662" s="10">
        <f>REPT(" ",8)</f>
        <v/>
      </c>
      <c r="AB662" s="10">
        <f>REPT(" ",4)</f>
        <v/>
      </c>
      <c r="AC662" s="10">
        <f>LEFT(UPPER(H662)&amp;REPT(" ",250),250)</f>
        <v/>
      </c>
      <c r="AD662" s="10">
        <f>TEXT($G$2,"dd/mm/aaaa")</f>
        <v/>
      </c>
      <c r="AE662" s="10">
        <f>REPT(" ",10)</f>
        <v/>
      </c>
      <c r="AF662" s="10">
        <f>REPT(" ",20)</f>
        <v/>
      </c>
      <c r="AG662" s="54">
        <f>REPT(" ",18-LEN(FIXED(F662,2,TRUE)))&amp;FIXED(F662,2,TRUE)</f>
        <v/>
      </c>
      <c r="AH662" s="10">
        <f>LEN(AC662)+LEN(AG662)</f>
        <v/>
      </c>
      <c r="AI662" s="10">
        <f>LEN(L662)</f>
        <v/>
      </c>
    </row>
    <row r="663">
      <c r="A663" s="46" t="n"/>
      <c r="B663" s="38" t="n"/>
      <c r="C663" s="41" t="n"/>
      <c r="D663" s="41" t="n"/>
      <c r="E663" s="41" t="n"/>
      <c r="F663" s="88" t="n"/>
      <c r="G663" s="89" t="n"/>
      <c r="H663" s="37" t="n"/>
      <c r="I663" s="42" t="n"/>
      <c r="J663" s="12">
        <f>IF(F663&lt;&gt;0,"LANÇAR","")</f>
        <v/>
      </c>
      <c r="K663" s="20" t="n"/>
      <c r="L663" s="13">
        <f>N663&amp;O663&amp;P663&amp;Q663&amp;R663&amp;S663&amp;T663&amp;U663&amp;V663&amp;W663&amp;X663&amp;Y663&amp;Z663&amp;AA663&amp;AB663&amp;AC663&amp;AD663&amp;AE663&amp;AF663&amp;AG663</f>
        <v/>
      </c>
      <c r="M663" s="20" t="n"/>
      <c r="N663" s="10">
        <f>TEXT($B$6,"00")</f>
        <v/>
      </c>
      <c r="O663" s="10">
        <f>REPT(" ",8)</f>
        <v/>
      </c>
      <c r="P663" s="10">
        <f>RIGHT($B$4,2)</f>
        <v/>
      </c>
      <c r="Q663" s="10">
        <f>RIGHT($B$5,3)</f>
        <v/>
      </c>
      <c r="R663" s="10">
        <f>IF(A663="D",LEFT(UPPER(B663)&amp;REPT(" ",20),20),REPT(" ",20))</f>
        <v/>
      </c>
      <c r="S663" s="10">
        <f>IF(A663="D",LEFT(UPPER(C663)&amp;REPT(" ",10),10)," ")</f>
        <v/>
      </c>
      <c r="T663" s="10">
        <f>IF(A663="D",LEFT(UPPER(D663)&amp;REPT(" ",2),2)," ")</f>
        <v/>
      </c>
      <c r="U663" s="10">
        <f>IF(A663="D",LEFT(UPPER(E663)&amp;REPT(" ",15),15)," ")</f>
        <v/>
      </c>
      <c r="V663" s="10">
        <f>REPT(" ",24)</f>
        <v/>
      </c>
      <c r="W663" s="10">
        <f>IF(A663="c",LEFT(UPPER(B663)&amp;REPT(" ",20),20),REPT(" ",20))</f>
        <v/>
      </c>
      <c r="X663" s="10">
        <f>IF(A663="C",LEFT(UPPER(C663)&amp;REPT(" ",10),10)," ")</f>
        <v/>
      </c>
      <c r="Y663" s="10">
        <f>IF(A663="C",LEFT(UPPER(D663)&amp;REPT(" ",2),2)," ")</f>
        <v/>
      </c>
      <c r="Z663" s="10">
        <f>IF(A663="C",LEFT(UPPER(E663)&amp;REPT(" ",15),15)," ")</f>
        <v/>
      </c>
      <c r="AA663" s="10">
        <f>REPT(" ",8)</f>
        <v/>
      </c>
      <c r="AB663" s="10">
        <f>REPT(" ",4)</f>
        <v/>
      </c>
      <c r="AC663" s="10">
        <f>LEFT(UPPER(H663)&amp;REPT(" ",250),250)</f>
        <v/>
      </c>
      <c r="AD663" s="10">
        <f>TEXT($G$2,"dd/mm/aaaa")</f>
        <v/>
      </c>
      <c r="AE663" s="10">
        <f>REPT(" ",10)</f>
        <v/>
      </c>
      <c r="AF663" s="10">
        <f>REPT(" ",20)</f>
        <v/>
      </c>
      <c r="AG663" s="54">
        <f>REPT(" ",18-LEN(FIXED(F663,2,TRUE)))&amp;FIXED(F663,2,TRUE)</f>
        <v/>
      </c>
      <c r="AH663" s="10">
        <f>LEN(AC663)+LEN(AG663)</f>
        <v/>
      </c>
      <c r="AI663" s="10">
        <f>LEN(L663)</f>
        <v/>
      </c>
    </row>
    <row r="664">
      <c r="A664" s="46" t="n"/>
      <c r="B664" s="38" t="n"/>
      <c r="C664" s="41" t="n"/>
      <c r="D664" s="41" t="n"/>
      <c r="E664" s="41" t="n"/>
      <c r="F664" s="88" t="n"/>
      <c r="G664" s="89" t="n"/>
      <c r="H664" s="37" t="n"/>
      <c r="I664" s="42" t="n"/>
      <c r="J664" s="12">
        <f>IF(F664&lt;&gt;0,"LANÇAR","")</f>
        <v/>
      </c>
      <c r="K664" s="20" t="n"/>
      <c r="L664" s="13">
        <f>N664&amp;O664&amp;P664&amp;Q664&amp;R664&amp;S664&amp;T664&amp;U664&amp;V664&amp;W664&amp;X664&amp;Y664&amp;Z664&amp;AA664&amp;AB664&amp;AC664&amp;AD664&amp;AE664&amp;AF664&amp;AG664</f>
        <v/>
      </c>
      <c r="M664" s="20" t="n"/>
      <c r="N664" s="10">
        <f>TEXT($B$6,"00")</f>
        <v/>
      </c>
      <c r="O664" s="10">
        <f>REPT(" ",8)</f>
        <v/>
      </c>
      <c r="P664" s="10">
        <f>RIGHT($B$4,2)</f>
        <v/>
      </c>
      <c r="Q664" s="10">
        <f>RIGHT($B$5,3)</f>
        <v/>
      </c>
      <c r="R664" s="10">
        <f>IF(A664="D",LEFT(UPPER(B664)&amp;REPT(" ",20),20),REPT(" ",20))</f>
        <v/>
      </c>
      <c r="S664" s="10">
        <f>IF(A664="D",LEFT(UPPER(C664)&amp;REPT(" ",10),10)," ")</f>
        <v/>
      </c>
      <c r="T664" s="10">
        <f>IF(A664="D",LEFT(UPPER(D664)&amp;REPT(" ",2),2)," ")</f>
        <v/>
      </c>
      <c r="U664" s="10">
        <f>IF(A664="D",LEFT(UPPER(E664)&amp;REPT(" ",15),15)," ")</f>
        <v/>
      </c>
      <c r="V664" s="10">
        <f>REPT(" ",24)</f>
        <v/>
      </c>
      <c r="W664" s="10">
        <f>IF(A664="c",LEFT(UPPER(B664)&amp;REPT(" ",20),20),REPT(" ",20))</f>
        <v/>
      </c>
      <c r="X664" s="10">
        <f>IF(A664="C",LEFT(UPPER(C664)&amp;REPT(" ",10),10)," ")</f>
        <v/>
      </c>
      <c r="Y664" s="10">
        <f>IF(A664="C",LEFT(UPPER(D664)&amp;REPT(" ",2),2)," ")</f>
        <v/>
      </c>
      <c r="Z664" s="10">
        <f>IF(A664="C",LEFT(UPPER(E664)&amp;REPT(" ",15),15)," ")</f>
        <v/>
      </c>
      <c r="AA664" s="10">
        <f>REPT(" ",8)</f>
        <v/>
      </c>
      <c r="AB664" s="10">
        <f>REPT(" ",4)</f>
        <v/>
      </c>
      <c r="AC664" s="10">
        <f>LEFT(UPPER(H664)&amp;REPT(" ",250),250)</f>
        <v/>
      </c>
      <c r="AD664" s="10">
        <f>TEXT($G$2,"dd/mm/aaaa")</f>
        <v/>
      </c>
      <c r="AE664" s="10">
        <f>REPT(" ",10)</f>
        <v/>
      </c>
      <c r="AF664" s="10">
        <f>REPT(" ",20)</f>
        <v/>
      </c>
      <c r="AG664" s="54">
        <f>REPT(" ",18-LEN(FIXED(F664,2,TRUE)))&amp;FIXED(F664,2,TRUE)</f>
        <v/>
      </c>
      <c r="AH664" s="10">
        <f>LEN(AC664)+LEN(AG664)</f>
        <v/>
      </c>
      <c r="AI664" s="10">
        <f>LEN(L664)</f>
        <v/>
      </c>
    </row>
    <row r="665">
      <c r="A665" s="46" t="n"/>
      <c r="B665" s="38" t="n"/>
      <c r="C665" s="41" t="n"/>
      <c r="D665" s="41" t="n"/>
      <c r="E665" s="41" t="n"/>
      <c r="F665" s="88" t="n"/>
      <c r="G665" s="89" t="n"/>
      <c r="H665" s="37" t="n"/>
      <c r="I665" s="42" t="n"/>
      <c r="J665" s="12">
        <f>IF(F665&lt;&gt;0,"LANÇAR","")</f>
        <v/>
      </c>
      <c r="K665" s="20" t="n"/>
      <c r="L665" s="13">
        <f>N665&amp;O665&amp;P665&amp;Q665&amp;R665&amp;S665&amp;T665&amp;U665&amp;V665&amp;W665&amp;X665&amp;Y665&amp;Z665&amp;AA665&amp;AB665&amp;AC665&amp;AD665&amp;AE665&amp;AF665&amp;AG665</f>
        <v/>
      </c>
      <c r="M665" s="20" t="n"/>
      <c r="N665" s="10">
        <f>TEXT($B$6,"00")</f>
        <v/>
      </c>
      <c r="O665" s="10">
        <f>REPT(" ",8)</f>
        <v/>
      </c>
      <c r="P665" s="10">
        <f>RIGHT($B$4,2)</f>
        <v/>
      </c>
      <c r="Q665" s="10">
        <f>RIGHT($B$5,3)</f>
        <v/>
      </c>
      <c r="R665" s="10">
        <f>IF(A665="D",LEFT(UPPER(B665)&amp;REPT(" ",20),20),REPT(" ",20))</f>
        <v/>
      </c>
      <c r="S665" s="10">
        <f>IF(A665="D",LEFT(UPPER(C665)&amp;REPT(" ",10),10)," ")</f>
        <v/>
      </c>
      <c r="T665" s="10">
        <f>IF(A665="D",LEFT(UPPER(D665)&amp;REPT(" ",2),2)," ")</f>
        <v/>
      </c>
      <c r="U665" s="10">
        <f>IF(A665="D",LEFT(UPPER(E665)&amp;REPT(" ",15),15)," ")</f>
        <v/>
      </c>
      <c r="V665" s="10">
        <f>REPT(" ",24)</f>
        <v/>
      </c>
      <c r="W665" s="10">
        <f>IF(A665="c",LEFT(UPPER(B665)&amp;REPT(" ",20),20),REPT(" ",20))</f>
        <v/>
      </c>
      <c r="X665" s="10">
        <f>IF(A665="C",LEFT(UPPER(C665)&amp;REPT(" ",10),10)," ")</f>
        <v/>
      </c>
      <c r="Y665" s="10">
        <f>IF(A665="C",LEFT(UPPER(D665)&amp;REPT(" ",2),2)," ")</f>
        <v/>
      </c>
      <c r="Z665" s="10">
        <f>IF(A665="C",LEFT(UPPER(E665)&amp;REPT(" ",15),15)," ")</f>
        <v/>
      </c>
      <c r="AA665" s="10">
        <f>REPT(" ",8)</f>
        <v/>
      </c>
      <c r="AB665" s="10">
        <f>REPT(" ",4)</f>
        <v/>
      </c>
      <c r="AC665" s="10">
        <f>LEFT(UPPER(H665)&amp;REPT(" ",250),250)</f>
        <v/>
      </c>
      <c r="AD665" s="10">
        <f>TEXT($G$2,"dd/mm/aaaa")</f>
        <v/>
      </c>
      <c r="AE665" s="10">
        <f>REPT(" ",10)</f>
        <v/>
      </c>
      <c r="AF665" s="10">
        <f>REPT(" ",20)</f>
        <v/>
      </c>
      <c r="AG665" s="54">
        <f>REPT(" ",18-LEN(FIXED(F665,2,TRUE)))&amp;FIXED(F665,2,TRUE)</f>
        <v/>
      </c>
      <c r="AH665" s="10">
        <f>LEN(AC665)+LEN(AG665)</f>
        <v/>
      </c>
      <c r="AI665" s="10">
        <f>LEN(L665)</f>
        <v/>
      </c>
    </row>
    <row r="666">
      <c r="A666" s="46" t="n"/>
      <c r="B666" s="38" t="n"/>
      <c r="C666" s="41" t="n"/>
      <c r="D666" s="41" t="n"/>
      <c r="E666" s="41" t="n"/>
      <c r="F666" s="88" t="n"/>
      <c r="G666" s="89" t="n"/>
      <c r="H666" s="37" t="n"/>
      <c r="I666" s="42" t="n"/>
      <c r="J666" s="12">
        <f>IF(F666&lt;&gt;0,"LANÇAR","")</f>
        <v/>
      </c>
      <c r="K666" s="20" t="n"/>
      <c r="L666" s="13">
        <f>N666&amp;O666&amp;P666&amp;Q666&amp;R666&amp;S666&amp;T666&amp;U666&amp;V666&amp;W666&amp;X666&amp;Y666&amp;Z666&amp;AA666&amp;AB666&amp;AC666&amp;AD666&amp;AE666&amp;AF666&amp;AG666</f>
        <v/>
      </c>
      <c r="M666" s="20" t="n"/>
      <c r="N666" s="10">
        <f>TEXT($B$6,"00")</f>
        <v/>
      </c>
      <c r="O666" s="10">
        <f>REPT(" ",8)</f>
        <v/>
      </c>
      <c r="P666" s="10">
        <f>RIGHT($B$4,2)</f>
        <v/>
      </c>
      <c r="Q666" s="10">
        <f>RIGHT($B$5,3)</f>
        <v/>
      </c>
      <c r="R666" s="10">
        <f>IF(A666="D",LEFT(UPPER(B666)&amp;REPT(" ",20),20),REPT(" ",20))</f>
        <v/>
      </c>
      <c r="S666" s="10">
        <f>IF(A666="D",LEFT(UPPER(C666)&amp;REPT(" ",10),10)," ")</f>
        <v/>
      </c>
      <c r="T666" s="10">
        <f>IF(A666="D",LEFT(UPPER(D666)&amp;REPT(" ",2),2)," ")</f>
        <v/>
      </c>
      <c r="U666" s="10">
        <f>IF(A666="D",LEFT(UPPER(E666)&amp;REPT(" ",15),15)," ")</f>
        <v/>
      </c>
      <c r="V666" s="10">
        <f>REPT(" ",24)</f>
        <v/>
      </c>
      <c r="W666" s="10">
        <f>IF(A666="c",LEFT(UPPER(B666)&amp;REPT(" ",20),20),REPT(" ",20))</f>
        <v/>
      </c>
      <c r="X666" s="10">
        <f>IF(A666="C",LEFT(UPPER(C666)&amp;REPT(" ",10),10)," ")</f>
        <v/>
      </c>
      <c r="Y666" s="10">
        <f>IF(A666="C",LEFT(UPPER(D666)&amp;REPT(" ",2),2)," ")</f>
        <v/>
      </c>
      <c r="Z666" s="10">
        <f>IF(A666="C",LEFT(UPPER(E666)&amp;REPT(" ",15),15)," ")</f>
        <v/>
      </c>
      <c r="AA666" s="10">
        <f>REPT(" ",8)</f>
        <v/>
      </c>
      <c r="AB666" s="10">
        <f>REPT(" ",4)</f>
        <v/>
      </c>
      <c r="AC666" s="10">
        <f>LEFT(UPPER(H666)&amp;REPT(" ",250),250)</f>
        <v/>
      </c>
      <c r="AD666" s="10">
        <f>TEXT($G$2,"dd/mm/aaaa")</f>
        <v/>
      </c>
      <c r="AE666" s="10">
        <f>REPT(" ",10)</f>
        <v/>
      </c>
      <c r="AF666" s="10">
        <f>REPT(" ",20)</f>
        <v/>
      </c>
      <c r="AG666" s="54">
        <f>REPT(" ",18-LEN(FIXED(F666,2,TRUE)))&amp;FIXED(F666,2,TRUE)</f>
        <v/>
      </c>
      <c r="AH666" s="10">
        <f>LEN(AC666)+LEN(AG666)</f>
        <v/>
      </c>
      <c r="AI666" s="10">
        <f>LEN(L666)</f>
        <v/>
      </c>
    </row>
    <row r="667">
      <c r="A667" s="46" t="n"/>
      <c r="B667" s="38" t="n"/>
      <c r="C667" s="41" t="n"/>
      <c r="D667" s="41" t="n"/>
      <c r="E667" s="41" t="n"/>
      <c r="F667" s="88" t="n"/>
      <c r="G667" s="89" t="n"/>
      <c r="H667" s="37" t="n"/>
      <c r="I667" s="42" t="n"/>
      <c r="J667" s="12">
        <f>IF(F667&lt;&gt;0,"LANÇAR","")</f>
        <v/>
      </c>
      <c r="K667" s="20" t="n"/>
      <c r="L667" s="13">
        <f>N667&amp;O667&amp;P667&amp;Q667&amp;R667&amp;S667&amp;T667&amp;U667&amp;V667&amp;W667&amp;X667&amp;Y667&amp;Z667&amp;AA667&amp;AB667&amp;AC667&amp;AD667&amp;AE667&amp;AF667&amp;AG667</f>
        <v/>
      </c>
      <c r="M667" s="20" t="n"/>
      <c r="N667" s="10">
        <f>TEXT($B$6,"00")</f>
        <v/>
      </c>
      <c r="O667" s="10">
        <f>REPT(" ",8)</f>
        <v/>
      </c>
      <c r="P667" s="10">
        <f>RIGHT($B$4,2)</f>
        <v/>
      </c>
      <c r="Q667" s="10">
        <f>RIGHT($B$5,3)</f>
        <v/>
      </c>
      <c r="R667" s="10">
        <f>IF(A667="D",LEFT(UPPER(B667)&amp;REPT(" ",20),20),REPT(" ",20))</f>
        <v/>
      </c>
      <c r="S667" s="10">
        <f>IF(A667="D",LEFT(UPPER(C667)&amp;REPT(" ",10),10)," ")</f>
        <v/>
      </c>
      <c r="T667" s="10">
        <f>IF(A667="D",LEFT(UPPER(D667)&amp;REPT(" ",2),2)," ")</f>
        <v/>
      </c>
      <c r="U667" s="10">
        <f>IF(A667="D",LEFT(UPPER(E667)&amp;REPT(" ",15),15)," ")</f>
        <v/>
      </c>
      <c r="V667" s="10">
        <f>REPT(" ",24)</f>
        <v/>
      </c>
      <c r="W667" s="10">
        <f>IF(A667="c",LEFT(UPPER(B667)&amp;REPT(" ",20),20),REPT(" ",20))</f>
        <v/>
      </c>
      <c r="X667" s="10">
        <f>IF(A667="C",LEFT(UPPER(C667)&amp;REPT(" ",10),10)," ")</f>
        <v/>
      </c>
      <c r="Y667" s="10">
        <f>IF(A667="C",LEFT(UPPER(D667)&amp;REPT(" ",2),2)," ")</f>
        <v/>
      </c>
      <c r="Z667" s="10">
        <f>IF(A667="C",LEFT(UPPER(E667)&amp;REPT(" ",15),15)," ")</f>
        <v/>
      </c>
      <c r="AA667" s="10">
        <f>REPT(" ",8)</f>
        <v/>
      </c>
      <c r="AB667" s="10">
        <f>REPT(" ",4)</f>
        <v/>
      </c>
      <c r="AC667" s="10">
        <f>LEFT(UPPER(H667)&amp;REPT(" ",250),250)</f>
        <v/>
      </c>
      <c r="AD667" s="10">
        <f>TEXT($G$2,"dd/mm/aaaa")</f>
        <v/>
      </c>
      <c r="AE667" s="10">
        <f>REPT(" ",10)</f>
        <v/>
      </c>
      <c r="AF667" s="10">
        <f>REPT(" ",20)</f>
        <v/>
      </c>
      <c r="AG667" s="54">
        <f>REPT(" ",18-LEN(FIXED(F667,2,TRUE)))&amp;FIXED(F667,2,TRUE)</f>
        <v/>
      </c>
      <c r="AH667" s="10">
        <f>LEN(AC667)+LEN(AG667)</f>
        <v/>
      </c>
      <c r="AI667" s="10">
        <f>LEN(L667)</f>
        <v/>
      </c>
    </row>
    <row r="668">
      <c r="A668" s="46" t="n"/>
      <c r="B668" s="38" t="n"/>
      <c r="C668" s="41" t="n"/>
      <c r="D668" s="41" t="n"/>
      <c r="E668" s="41" t="n"/>
      <c r="F668" s="88" t="n"/>
      <c r="G668" s="89" t="n"/>
      <c r="H668" s="37" t="n"/>
      <c r="I668" s="42" t="n"/>
      <c r="J668" s="12">
        <f>IF(F668&lt;&gt;0,"LANÇAR","")</f>
        <v/>
      </c>
      <c r="K668" s="20" t="n"/>
      <c r="L668" s="13">
        <f>N668&amp;O668&amp;P668&amp;Q668&amp;R668&amp;S668&amp;T668&amp;U668&amp;V668&amp;W668&amp;X668&amp;Y668&amp;Z668&amp;AA668&amp;AB668&amp;AC668&amp;AD668&amp;AE668&amp;AF668&amp;AG668</f>
        <v/>
      </c>
      <c r="M668" s="20" t="n"/>
      <c r="N668" s="10">
        <f>TEXT($B$6,"00")</f>
        <v/>
      </c>
      <c r="O668" s="10">
        <f>REPT(" ",8)</f>
        <v/>
      </c>
      <c r="P668" s="10">
        <f>RIGHT($B$4,2)</f>
        <v/>
      </c>
      <c r="Q668" s="10">
        <f>RIGHT($B$5,3)</f>
        <v/>
      </c>
      <c r="R668" s="10">
        <f>IF(A668="D",LEFT(UPPER(B668)&amp;REPT(" ",20),20),REPT(" ",20))</f>
        <v/>
      </c>
      <c r="S668" s="10">
        <f>IF(A668="D",LEFT(UPPER(C668)&amp;REPT(" ",10),10)," ")</f>
        <v/>
      </c>
      <c r="T668" s="10">
        <f>IF(A668="D",LEFT(UPPER(D668)&amp;REPT(" ",2),2)," ")</f>
        <v/>
      </c>
      <c r="U668" s="10">
        <f>IF(A668="D",LEFT(UPPER(E668)&amp;REPT(" ",15),15)," ")</f>
        <v/>
      </c>
      <c r="V668" s="10">
        <f>REPT(" ",24)</f>
        <v/>
      </c>
      <c r="W668" s="10">
        <f>IF(A668="c",LEFT(UPPER(B668)&amp;REPT(" ",20),20),REPT(" ",20))</f>
        <v/>
      </c>
      <c r="X668" s="10">
        <f>IF(A668="C",LEFT(UPPER(C668)&amp;REPT(" ",10),10)," ")</f>
        <v/>
      </c>
      <c r="Y668" s="10">
        <f>IF(A668="C",LEFT(UPPER(D668)&amp;REPT(" ",2),2)," ")</f>
        <v/>
      </c>
      <c r="Z668" s="10">
        <f>IF(A668="C",LEFT(UPPER(E668)&amp;REPT(" ",15),15)," ")</f>
        <v/>
      </c>
      <c r="AA668" s="10">
        <f>REPT(" ",8)</f>
        <v/>
      </c>
      <c r="AB668" s="10">
        <f>REPT(" ",4)</f>
        <v/>
      </c>
      <c r="AC668" s="10">
        <f>LEFT(UPPER(H668)&amp;REPT(" ",250),250)</f>
        <v/>
      </c>
      <c r="AD668" s="10">
        <f>TEXT($G$2,"dd/mm/aaaa")</f>
        <v/>
      </c>
      <c r="AE668" s="10">
        <f>REPT(" ",10)</f>
        <v/>
      </c>
      <c r="AF668" s="10">
        <f>REPT(" ",20)</f>
        <v/>
      </c>
      <c r="AG668" s="54">
        <f>REPT(" ",18-LEN(FIXED(F668,2,TRUE)))&amp;FIXED(F668,2,TRUE)</f>
        <v/>
      </c>
      <c r="AH668" s="10">
        <f>LEN(AC668)+LEN(AG668)</f>
        <v/>
      </c>
      <c r="AI668" s="10">
        <f>LEN(L668)</f>
        <v/>
      </c>
    </row>
    <row r="669">
      <c r="A669" s="46" t="n"/>
      <c r="B669" s="38" t="n"/>
      <c r="C669" s="41" t="n"/>
      <c r="D669" s="41" t="n"/>
      <c r="E669" s="41" t="n"/>
      <c r="F669" s="88" t="n"/>
      <c r="G669" s="89" t="n"/>
      <c r="H669" s="37" t="n"/>
      <c r="I669" s="42" t="n"/>
      <c r="J669" s="12">
        <f>IF(F669&lt;&gt;0,"LANÇAR","")</f>
        <v/>
      </c>
      <c r="K669" s="20" t="n"/>
      <c r="L669" s="13">
        <f>N669&amp;O669&amp;P669&amp;Q669&amp;R669&amp;S669&amp;T669&amp;U669&amp;V669&amp;W669&amp;X669&amp;Y669&amp;Z669&amp;AA669&amp;AB669&amp;AC669&amp;AD669&amp;AE669&amp;AF669&amp;AG669</f>
        <v/>
      </c>
      <c r="M669" s="20" t="n"/>
      <c r="N669" s="10">
        <f>TEXT($B$6,"00")</f>
        <v/>
      </c>
      <c r="O669" s="10">
        <f>REPT(" ",8)</f>
        <v/>
      </c>
      <c r="P669" s="10">
        <f>RIGHT($B$4,2)</f>
        <v/>
      </c>
      <c r="Q669" s="10">
        <f>RIGHT($B$5,3)</f>
        <v/>
      </c>
      <c r="R669" s="10">
        <f>IF(A669="D",LEFT(UPPER(B669)&amp;REPT(" ",20),20),REPT(" ",20))</f>
        <v/>
      </c>
      <c r="S669" s="10">
        <f>IF(A669="D",LEFT(UPPER(C669)&amp;REPT(" ",10),10)," ")</f>
        <v/>
      </c>
      <c r="T669" s="10">
        <f>IF(A669="D",LEFT(UPPER(D669)&amp;REPT(" ",2),2)," ")</f>
        <v/>
      </c>
      <c r="U669" s="10">
        <f>IF(A669="D",LEFT(UPPER(E669)&amp;REPT(" ",15),15)," ")</f>
        <v/>
      </c>
      <c r="V669" s="10">
        <f>REPT(" ",24)</f>
        <v/>
      </c>
      <c r="W669" s="10">
        <f>IF(A669="c",LEFT(UPPER(B669)&amp;REPT(" ",20),20),REPT(" ",20))</f>
        <v/>
      </c>
      <c r="X669" s="10">
        <f>IF(A669="C",LEFT(UPPER(C669)&amp;REPT(" ",10),10)," ")</f>
        <v/>
      </c>
      <c r="Y669" s="10">
        <f>IF(A669="C",LEFT(UPPER(D669)&amp;REPT(" ",2),2)," ")</f>
        <v/>
      </c>
      <c r="Z669" s="10">
        <f>IF(A669="C",LEFT(UPPER(E669)&amp;REPT(" ",15),15)," ")</f>
        <v/>
      </c>
      <c r="AA669" s="10">
        <f>REPT(" ",8)</f>
        <v/>
      </c>
      <c r="AB669" s="10">
        <f>REPT(" ",4)</f>
        <v/>
      </c>
      <c r="AC669" s="10">
        <f>LEFT(UPPER(H669)&amp;REPT(" ",250),250)</f>
        <v/>
      </c>
      <c r="AD669" s="10">
        <f>TEXT($G$2,"dd/mm/aaaa")</f>
        <v/>
      </c>
      <c r="AE669" s="10">
        <f>REPT(" ",10)</f>
        <v/>
      </c>
      <c r="AF669" s="10">
        <f>REPT(" ",20)</f>
        <v/>
      </c>
      <c r="AG669" s="54">
        <f>REPT(" ",18-LEN(FIXED(F669,2,TRUE)))&amp;FIXED(F669,2,TRUE)</f>
        <v/>
      </c>
      <c r="AH669" s="10">
        <f>LEN(AC669)+LEN(AG669)</f>
        <v/>
      </c>
      <c r="AI669" s="10">
        <f>LEN(L669)</f>
        <v/>
      </c>
    </row>
    <row r="670">
      <c r="A670" s="46" t="n"/>
      <c r="B670" s="38" t="n"/>
      <c r="C670" s="41" t="n"/>
      <c r="D670" s="41" t="n"/>
      <c r="E670" s="41" t="n"/>
      <c r="F670" s="88" t="n"/>
      <c r="G670" s="89" t="n"/>
      <c r="H670" s="37" t="n"/>
      <c r="I670" s="42" t="n"/>
      <c r="J670" s="12">
        <f>IF(F670&lt;&gt;0,"LANÇAR","")</f>
        <v/>
      </c>
      <c r="K670" s="20" t="n"/>
      <c r="L670" s="13">
        <f>N670&amp;O670&amp;P670&amp;Q670&amp;R670&amp;S670&amp;T670&amp;U670&amp;V670&amp;W670&amp;X670&amp;Y670&amp;Z670&amp;AA670&amp;AB670&amp;AC670&amp;AD670&amp;AE670&amp;AF670&amp;AG670</f>
        <v/>
      </c>
      <c r="M670" s="20" t="n"/>
      <c r="N670" s="10">
        <f>TEXT($B$6,"00")</f>
        <v/>
      </c>
      <c r="O670" s="10">
        <f>REPT(" ",8)</f>
        <v/>
      </c>
      <c r="P670" s="10">
        <f>RIGHT($B$4,2)</f>
        <v/>
      </c>
      <c r="Q670" s="10">
        <f>RIGHT($B$5,3)</f>
        <v/>
      </c>
      <c r="R670" s="10">
        <f>IF(A670="D",LEFT(UPPER(B670)&amp;REPT(" ",20),20),REPT(" ",20))</f>
        <v/>
      </c>
      <c r="S670" s="10">
        <f>IF(A670="D",LEFT(UPPER(C670)&amp;REPT(" ",10),10)," ")</f>
        <v/>
      </c>
      <c r="T670" s="10">
        <f>IF(A670="D",LEFT(UPPER(D670)&amp;REPT(" ",2),2)," ")</f>
        <v/>
      </c>
      <c r="U670" s="10">
        <f>IF(A670="D",LEFT(UPPER(E670)&amp;REPT(" ",15),15)," ")</f>
        <v/>
      </c>
      <c r="V670" s="10">
        <f>REPT(" ",24)</f>
        <v/>
      </c>
      <c r="W670" s="10">
        <f>IF(A670="c",LEFT(UPPER(B670)&amp;REPT(" ",20),20),REPT(" ",20))</f>
        <v/>
      </c>
      <c r="X670" s="10">
        <f>IF(A670="C",LEFT(UPPER(C670)&amp;REPT(" ",10),10)," ")</f>
        <v/>
      </c>
      <c r="Y670" s="10">
        <f>IF(A670="C",LEFT(UPPER(D670)&amp;REPT(" ",2),2)," ")</f>
        <v/>
      </c>
      <c r="Z670" s="10">
        <f>IF(A670="C",LEFT(UPPER(E670)&amp;REPT(" ",15),15)," ")</f>
        <v/>
      </c>
      <c r="AA670" s="10">
        <f>REPT(" ",8)</f>
        <v/>
      </c>
      <c r="AB670" s="10">
        <f>REPT(" ",4)</f>
        <v/>
      </c>
      <c r="AC670" s="10">
        <f>LEFT(UPPER(H670)&amp;REPT(" ",250),250)</f>
        <v/>
      </c>
      <c r="AD670" s="10">
        <f>TEXT($G$2,"dd/mm/aaaa")</f>
        <v/>
      </c>
      <c r="AE670" s="10">
        <f>REPT(" ",10)</f>
        <v/>
      </c>
      <c r="AF670" s="10">
        <f>REPT(" ",20)</f>
        <v/>
      </c>
      <c r="AG670" s="54">
        <f>REPT(" ",18-LEN(FIXED(F670,2,TRUE)))&amp;FIXED(F670,2,TRUE)</f>
        <v/>
      </c>
      <c r="AH670" s="10">
        <f>LEN(AC670)+LEN(AG670)</f>
        <v/>
      </c>
      <c r="AI670" s="10">
        <f>LEN(L670)</f>
        <v/>
      </c>
    </row>
    <row r="671">
      <c r="A671" s="46" t="n"/>
      <c r="B671" s="38" t="n"/>
      <c r="C671" s="41" t="n"/>
      <c r="D671" s="41" t="n"/>
      <c r="E671" s="41" t="n"/>
      <c r="F671" s="88" t="n"/>
      <c r="G671" s="89" t="n"/>
      <c r="H671" s="37" t="n"/>
      <c r="I671" s="42" t="n"/>
      <c r="J671" s="12">
        <f>IF(F671&lt;&gt;0,"LANÇAR","")</f>
        <v/>
      </c>
      <c r="K671" s="20" t="n"/>
      <c r="L671" s="13">
        <f>N671&amp;O671&amp;P671&amp;Q671&amp;R671&amp;S671&amp;T671&amp;U671&amp;V671&amp;W671&amp;X671&amp;Y671&amp;Z671&amp;AA671&amp;AB671&amp;AC671&amp;AD671&amp;AE671&amp;AF671&amp;AG671</f>
        <v/>
      </c>
      <c r="M671" s="20" t="n"/>
      <c r="N671" s="10">
        <f>TEXT($B$6,"00")</f>
        <v/>
      </c>
      <c r="O671" s="10">
        <f>REPT(" ",8)</f>
        <v/>
      </c>
      <c r="P671" s="10">
        <f>RIGHT($B$4,2)</f>
        <v/>
      </c>
      <c r="Q671" s="10">
        <f>RIGHT($B$5,3)</f>
        <v/>
      </c>
      <c r="R671" s="10">
        <f>IF(A671="D",LEFT(UPPER(B671)&amp;REPT(" ",20),20),REPT(" ",20))</f>
        <v/>
      </c>
      <c r="S671" s="10">
        <f>IF(A671="D",LEFT(UPPER(C671)&amp;REPT(" ",10),10)," ")</f>
        <v/>
      </c>
      <c r="T671" s="10">
        <f>IF(A671="D",LEFT(UPPER(D671)&amp;REPT(" ",2),2)," ")</f>
        <v/>
      </c>
      <c r="U671" s="10">
        <f>IF(A671="D",LEFT(UPPER(E671)&amp;REPT(" ",15),15)," ")</f>
        <v/>
      </c>
      <c r="V671" s="10">
        <f>REPT(" ",24)</f>
        <v/>
      </c>
      <c r="W671" s="10">
        <f>IF(A671="c",LEFT(UPPER(B671)&amp;REPT(" ",20),20),REPT(" ",20))</f>
        <v/>
      </c>
      <c r="X671" s="10">
        <f>IF(A671="C",LEFT(UPPER(C671)&amp;REPT(" ",10),10)," ")</f>
        <v/>
      </c>
      <c r="Y671" s="10">
        <f>IF(A671="C",LEFT(UPPER(D671)&amp;REPT(" ",2),2)," ")</f>
        <v/>
      </c>
      <c r="Z671" s="10">
        <f>IF(A671="C",LEFT(UPPER(E671)&amp;REPT(" ",15),15)," ")</f>
        <v/>
      </c>
      <c r="AA671" s="10">
        <f>REPT(" ",8)</f>
        <v/>
      </c>
      <c r="AB671" s="10">
        <f>REPT(" ",4)</f>
        <v/>
      </c>
      <c r="AC671" s="10">
        <f>LEFT(UPPER(H671)&amp;REPT(" ",250),250)</f>
        <v/>
      </c>
      <c r="AD671" s="10">
        <f>TEXT($G$2,"dd/mm/aaaa")</f>
        <v/>
      </c>
      <c r="AE671" s="10">
        <f>REPT(" ",10)</f>
        <v/>
      </c>
      <c r="AF671" s="10">
        <f>REPT(" ",20)</f>
        <v/>
      </c>
      <c r="AG671" s="54">
        <f>REPT(" ",18-LEN(FIXED(F671,2,TRUE)))&amp;FIXED(F671,2,TRUE)</f>
        <v/>
      </c>
      <c r="AH671" s="10">
        <f>LEN(AC671)+LEN(AG671)</f>
        <v/>
      </c>
      <c r="AI671" s="10">
        <f>LEN(L671)</f>
        <v/>
      </c>
    </row>
    <row r="672">
      <c r="A672" s="46" t="n"/>
      <c r="B672" s="38" t="n"/>
      <c r="C672" s="41" t="n"/>
      <c r="D672" s="41" t="n"/>
      <c r="E672" s="41" t="n"/>
      <c r="F672" s="88" t="n"/>
      <c r="G672" s="89" t="n"/>
      <c r="H672" s="37" t="n"/>
      <c r="I672" s="42" t="n"/>
      <c r="J672" s="12">
        <f>IF(F672&lt;&gt;0,"LANÇAR","")</f>
        <v/>
      </c>
      <c r="K672" s="20" t="n"/>
      <c r="L672" s="13">
        <f>N672&amp;O672&amp;P672&amp;Q672&amp;R672&amp;S672&amp;T672&amp;U672&amp;V672&amp;W672&amp;X672&amp;Y672&amp;Z672&amp;AA672&amp;AB672&amp;AC672&amp;AD672&amp;AE672&amp;AF672&amp;AG672</f>
        <v/>
      </c>
      <c r="M672" s="20" t="n"/>
      <c r="N672" s="10">
        <f>TEXT($B$6,"00")</f>
        <v/>
      </c>
      <c r="O672" s="10">
        <f>REPT(" ",8)</f>
        <v/>
      </c>
      <c r="P672" s="10">
        <f>RIGHT($B$4,2)</f>
        <v/>
      </c>
      <c r="Q672" s="10">
        <f>RIGHT($B$5,3)</f>
        <v/>
      </c>
      <c r="R672" s="10">
        <f>IF(A672="D",LEFT(UPPER(B672)&amp;REPT(" ",20),20),REPT(" ",20))</f>
        <v/>
      </c>
      <c r="S672" s="10">
        <f>IF(A672="D",LEFT(UPPER(C672)&amp;REPT(" ",10),10)," ")</f>
        <v/>
      </c>
      <c r="T672" s="10">
        <f>IF(A672="D",LEFT(UPPER(D672)&amp;REPT(" ",2),2)," ")</f>
        <v/>
      </c>
      <c r="U672" s="10">
        <f>IF(A672="D",LEFT(UPPER(E672)&amp;REPT(" ",15),15)," ")</f>
        <v/>
      </c>
      <c r="V672" s="10">
        <f>REPT(" ",24)</f>
        <v/>
      </c>
      <c r="W672" s="10">
        <f>IF(A672="c",LEFT(UPPER(B672)&amp;REPT(" ",20),20),REPT(" ",20))</f>
        <v/>
      </c>
      <c r="X672" s="10">
        <f>IF(A672="C",LEFT(UPPER(C672)&amp;REPT(" ",10),10)," ")</f>
        <v/>
      </c>
      <c r="Y672" s="10">
        <f>IF(A672="C",LEFT(UPPER(D672)&amp;REPT(" ",2),2)," ")</f>
        <v/>
      </c>
      <c r="Z672" s="10">
        <f>IF(A672="C",LEFT(UPPER(E672)&amp;REPT(" ",15),15)," ")</f>
        <v/>
      </c>
      <c r="AA672" s="10">
        <f>REPT(" ",8)</f>
        <v/>
      </c>
      <c r="AB672" s="10">
        <f>REPT(" ",4)</f>
        <v/>
      </c>
      <c r="AC672" s="10">
        <f>LEFT(UPPER(H672)&amp;REPT(" ",250),250)</f>
        <v/>
      </c>
      <c r="AD672" s="10">
        <f>TEXT($G$2,"dd/mm/aaaa")</f>
        <v/>
      </c>
      <c r="AE672" s="10">
        <f>REPT(" ",10)</f>
        <v/>
      </c>
      <c r="AF672" s="10">
        <f>REPT(" ",20)</f>
        <v/>
      </c>
      <c r="AG672" s="54">
        <f>REPT(" ",18-LEN(FIXED(F672,2,TRUE)))&amp;FIXED(F672,2,TRUE)</f>
        <v/>
      </c>
      <c r="AH672" s="10">
        <f>LEN(AC672)+LEN(AG672)</f>
        <v/>
      </c>
      <c r="AI672" s="10">
        <f>LEN(L672)</f>
        <v/>
      </c>
    </row>
    <row r="673">
      <c r="A673" s="46" t="n"/>
      <c r="B673" s="38" t="n"/>
      <c r="C673" s="41" t="n"/>
      <c r="D673" s="41" t="n"/>
      <c r="E673" s="41" t="n"/>
      <c r="F673" s="88" t="n"/>
      <c r="G673" s="89" t="n"/>
      <c r="H673" s="37" t="n"/>
      <c r="I673" s="42" t="n"/>
      <c r="J673" s="12">
        <f>IF(F673&lt;&gt;0,"LANÇAR","")</f>
        <v/>
      </c>
      <c r="K673" s="20" t="n"/>
      <c r="L673" s="13">
        <f>N673&amp;O673&amp;P673&amp;Q673&amp;R673&amp;S673&amp;T673&amp;U673&amp;V673&amp;W673&amp;X673&amp;Y673&amp;Z673&amp;AA673&amp;AB673&amp;AC673&amp;AD673&amp;AE673&amp;AF673&amp;AG673</f>
        <v/>
      </c>
      <c r="M673" s="20" t="n"/>
      <c r="N673" s="10">
        <f>TEXT($B$6,"00")</f>
        <v/>
      </c>
      <c r="O673" s="10">
        <f>REPT(" ",8)</f>
        <v/>
      </c>
      <c r="P673" s="10">
        <f>RIGHT($B$4,2)</f>
        <v/>
      </c>
      <c r="Q673" s="10">
        <f>RIGHT($B$5,3)</f>
        <v/>
      </c>
      <c r="R673" s="10">
        <f>IF(A673="D",LEFT(UPPER(B673)&amp;REPT(" ",20),20),REPT(" ",20))</f>
        <v/>
      </c>
      <c r="S673" s="10">
        <f>IF(A673="D",LEFT(UPPER(C673)&amp;REPT(" ",10),10)," ")</f>
        <v/>
      </c>
      <c r="T673" s="10">
        <f>IF(A673="D",LEFT(UPPER(D673)&amp;REPT(" ",2),2)," ")</f>
        <v/>
      </c>
      <c r="U673" s="10">
        <f>IF(A673="D",LEFT(UPPER(E673)&amp;REPT(" ",15),15)," ")</f>
        <v/>
      </c>
      <c r="V673" s="10">
        <f>REPT(" ",24)</f>
        <v/>
      </c>
      <c r="W673" s="10">
        <f>IF(A673="c",LEFT(UPPER(B673)&amp;REPT(" ",20),20),REPT(" ",20))</f>
        <v/>
      </c>
      <c r="X673" s="10">
        <f>IF(A673="C",LEFT(UPPER(C673)&amp;REPT(" ",10),10)," ")</f>
        <v/>
      </c>
      <c r="Y673" s="10">
        <f>IF(A673="C",LEFT(UPPER(D673)&amp;REPT(" ",2),2)," ")</f>
        <v/>
      </c>
      <c r="Z673" s="10">
        <f>IF(A673="C",LEFT(UPPER(E673)&amp;REPT(" ",15),15)," ")</f>
        <v/>
      </c>
      <c r="AA673" s="10">
        <f>REPT(" ",8)</f>
        <v/>
      </c>
      <c r="AB673" s="10">
        <f>REPT(" ",4)</f>
        <v/>
      </c>
      <c r="AC673" s="10">
        <f>LEFT(UPPER(H673)&amp;REPT(" ",250),250)</f>
        <v/>
      </c>
      <c r="AD673" s="10">
        <f>TEXT($G$2,"dd/mm/aaaa")</f>
        <v/>
      </c>
      <c r="AE673" s="10">
        <f>REPT(" ",10)</f>
        <v/>
      </c>
      <c r="AF673" s="10">
        <f>REPT(" ",20)</f>
        <v/>
      </c>
      <c r="AG673" s="54">
        <f>REPT(" ",18-LEN(FIXED(F673,2,TRUE)))&amp;FIXED(F673,2,TRUE)</f>
        <v/>
      </c>
      <c r="AH673" s="10">
        <f>LEN(AC673)+LEN(AG673)</f>
        <v/>
      </c>
      <c r="AI673" s="10">
        <f>LEN(L673)</f>
        <v/>
      </c>
    </row>
    <row r="674">
      <c r="A674" s="46" t="n"/>
      <c r="B674" s="38" t="n"/>
      <c r="C674" s="41" t="n"/>
      <c r="D674" s="41" t="n"/>
      <c r="E674" s="41" t="n"/>
      <c r="F674" s="88" t="n"/>
      <c r="G674" s="89" t="n"/>
      <c r="H674" s="37" t="n"/>
      <c r="I674" s="42" t="n"/>
      <c r="J674" s="12">
        <f>IF(F674&lt;&gt;0,"LANÇAR","")</f>
        <v/>
      </c>
      <c r="K674" s="20" t="n"/>
      <c r="L674" s="13">
        <f>N674&amp;O674&amp;P674&amp;Q674&amp;R674&amp;S674&amp;T674&amp;U674&amp;V674&amp;W674&amp;X674&amp;Y674&amp;Z674&amp;AA674&amp;AB674&amp;AC674&amp;AD674&amp;AE674&amp;AF674&amp;AG674</f>
        <v/>
      </c>
      <c r="M674" s="20" t="n"/>
      <c r="N674" s="10">
        <f>TEXT($B$6,"00")</f>
        <v/>
      </c>
      <c r="O674" s="10">
        <f>REPT(" ",8)</f>
        <v/>
      </c>
      <c r="P674" s="10">
        <f>RIGHT($B$4,2)</f>
        <v/>
      </c>
      <c r="Q674" s="10">
        <f>RIGHT($B$5,3)</f>
        <v/>
      </c>
      <c r="R674" s="10">
        <f>IF(A674="D",LEFT(UPPER(B674)&amp;REPT(" ",20),20),REPT(" ",20))</f>
        <v/>
      </c>
      <c r="S674" s="10">
        <f>IF(A674="D",LEFT(UPPER(C674)&amp;REPT(" ",10),10)," ")</f>
        <v/>
      </c>
      <c r="T674" s="10">
        <f>IF(A674="D",LEFT(UPPER(D674)&amp;REPT(" ",2),2)," ")</f>
        <v/>
      </c>
      <c r="U674" s="10">
        <f>IF(A674="D",LEFT(UPPER(E674)&amp;REPT(" ",15),15)," ")</f>
        <v/>
      </c>
      <c r="V674" s="10">
        <f>REPT(" ",24)</f>
        <v/>
      </c>
      <c r="W674" s="10">
        <f>IF(A674="c",LEFT(UPPER(B674)&amp;REPT(" ",20),20),REPT(" ",20))</f>
        <v/>
      </c>
      <c r="X674" s="10">
        <f>IF(A674="C",LEFT(UPPER(C674)&amp;REPT(" ",10),10)," ")</f>
        <v/>
      </c>
      <c r="Y674" s="10">
        <f>IF(A674="C",LEFT(UPPER(D674)&amp;REPT(" ",2),2)," ")</f>
        <v/>
      </c>
      <c r="Z674" s="10">
        <f>IF(A674="C",LEFT(UPPER(E674)&amp;REPT(" ",15),15)," ")</f>
        <v/>
      </c>
      <c r="AA674" s="10">
        <f>REPT(" ",8)</f>
        <v/>
      </c>
      <c r="AB674" s="10">
        <f>REPT(" ",4)</f>
        <v/>
      </c>
      <c r="AC674" s="10">
        <f>LEFT(UPPER(H674)&amp;REPT(" ",250),250)</f>
        <v/>
      </c>
      <c r="AD674" s="10">
        <f>TEXT($G$2,"dd/mm/aaaa")</f>
        <v/>
      </c>
      <c r="AE674" s="10">
        <f>REPT(" ",10)</f>
        <v/>
      </c>
      <c r="AF674" s="10">
        <f>REPT(" ",20)</f>
        <v/>
      </c>
      <c r="AG674" s="54">
        <f>REPT(" ",18-LEN(FIXED(F674,2,TRUE)))&amp;FIXED(F674,2,TRUE)</f>
        <v/>
      </c>
      <c r="AH674" s="10">
        <f>LEN(AC674)+LEN(AG674)</f>
        <v/>
      </c>
      <c r="AI674" s="10">
        <f>LEN(L674)</f>
        <v/>
      </c>
    </row>
    <row r="675">
      <c r="A675" s="46" t="n"/>
      <c r="B675" s="38" t="n"/>
      <c r="C675" s="41" t="n"/>
      <c r="D675" s="41" t="n"/>
      <c r="E675" s="41" t="n"/>
      <c r="F675" s="88" t="n"/>
      <c r="G675" s="89" t="n"/>
      <c r="H675" s="37" t="n"/>
      <c r="I675" s="42" t="n"/>
      <c r="J675" s="12">
        <f>IF(F675&lt;&gt;0,"LANÇAR","")</f>
        <v/>
      </c>
      <c r="K675" s="20" t="n"/>
      <c r="L675" s="13">
        <f>N675&amp;O675&amp;P675&amp;Q675&amp;R675&amp;S675&amp;T675&amp;U675&amp;V675&amp;W675&amp;X675&amp;Y675&amp;Z675&amp;AA675&amp;AB675&amp;AC675&amp;AD675&amp;AE675&amp;AF675&amp;AG675</f>
        <v/>
      </c>
      <c r="M675" s="20" t="n"/>
      <c r="N675" s="10">
        <f>TEXT($B$6,"00")</f>
        <v/>
      </c>
      <c r="O675" s="10">
        <f>REPT(" ",8)</f>
        <v/>
      </c>
      <c r="P675" s="10">
        <f>RIGHT($B$4,2)</f>
        <v/>
      </c>
      <c r="Q675" s="10">
        <f>RIGHT($B$5,3)</f>
        <v/>
      </c>
      <c r="R675" s="10">
        <f>IF(A675="D",LEFT(UPPER(B675)&amp;REPT(" ",20),20),REPT(" ",20))</f>
        <v/>
      </c>
      <c r="S675" s="10">
        <f>IF(A675="D",LEFT(UPPER(C675)&amp;REPT(" ",10),10)," ")</f>
        <v/>
      </c>
      <c r="T675" s="10">
        <f>IF(A675="D",LEFT(UPPER(D675)&amp;REPT(" ",2),2)," ")</f>
        <v/>
      </c>
      <c r="U675" s="10">
        <f>IF(A675="D",LEFT(UPPER(E675)&amp;REPT(" ",15),15)," ")</f>
        <v/>
      </c>
      <c r="V675" s="10">
        <f>REPT(" ",24)</f>
        <v/>
      </c>
      <c r="W675" s="10">
        <f>IF(A675="c",LEFT(UPPER(B675)&amp;REPT(" ",20),20),REPT(" ",20))</f>
        <v/>
      </c>
      <c r="X675" s="10">
        <f>IF(A675="C",LEFT(UPPER(C675)&amp;REPT(" ",10),10)," ")</f>
        <v/>
      </c>
      <c r="Y675" s="10">
        <f>IF(A675="C",LEFT(UPPER(D675)&amp;REPT(" ",2),2)," ")</f>
        <v/>
      </c>
      <c r="Z675" s="10">
        <f>IF(A675="C",LEFT(UPPER(E675)&amp;REPT(" ",15),15)," ")</f>
        <v/>
      </c>
      <c r="AA675" s="10">
        <f>REPT(" ",8)</f>
        <v/>
      </c>
      <c r="AB675" s="10">
        <f>REPT(" ",4)</f>
        <v/>
      </c>
      <c r="AC675" s="10">
        <f>LEFT(UPPER(H675)&amp;REPT(" ",250),250)</f>
        <v/>
      </c>
      <c r="AD675" s="10">
        <f>TEXT($G$2,"dd/mm/aaaa")</f>
        <v/>
      </c>
      <c r="AE675" s="10">
        <f>REPT(" ",10)</f>
        <v/>
      </c>
      <c r="AF675" s="10">
        <f>REPT(" ",20)</f>
        <v/>
      </c>
      <c r="AG675" s="54">
        <f>REPT(" ",18-LEN(FIXED(F675,2,TRUE)))&amp;FIXED(F675,2,TRUE)</f>
        <v/>
      </c>
      <c r="AH675" s="10">
        <f>LEN(AC675)+LEN(AG675)</f>
        <v/>
      </c>
      <c r="AI675" s="10">
        <f>LEN(L675)</f>
        <v/>
      </c>
    </row>
    <row r="676">
      <c r="A676" s="46" t="n"/>
      <c r="B676" s="38" t="n"/>
      <c r="C676" s="41" t="n"/>
      <c r="D676" s="41" t="n"/>
      <c r="E676" s="41" t="n"/>
      <c r="F676" s="88" t="n"/>
      <c r="G676" s="89" t="n"/>
      <c r="H676" s="37" t="n"/>
      <c r="I676" s="42" t="n"/>
      <c r="J676" s="12">
        <f>IF(F676&lt;&gt;0,"LANÇAR","")</f>
        <v/>
      </c>
      <c r="K676" s="20" t="n"/>
      <c r="L676" s="13">
        <f>N676&amp;O676&amp;P676&amp;Q676&amp;R676&amp;S676&amp;T676&amp;U676&amp;V676&amp;W676&amp;X676&amp;Y676&amp;Z676&amp;AA676&amp;AB676&amp;AC676&amp;AD676&amp;AE676&amp;AF676&amp;AG676</f>
        <v/>
      </c>
      <c r="M676" s="20" t="n"/>
      <c r="N676" s="10">
        <f>TEXT($B$6,"00")</f>
        <v/>
      </c>
      <c r="O676" s="10">
        <f>REPT(" ",8)</f>
        <v/>
      </c>
      <c r="P676" s="10">
        <f>RIGHT($B$4,2)</f>
        <v/>
      </c>
      <c r="Q676" s="10">
        <f>RIGHT($B$5,3)</f>
        <v/>
      </c>
      <c r="R676" s="10">
        <f>IF(A676="D",LEFT(UPPER(B676)&amp;REPT(" ",20),20),REPT(" ",20))</f>
        <v/>
      </c>
      <c r="S676" s="10">
        <f>IF(A676="D",LEFT(UPPER(C676)&amp;REPT(" ",10),10)," ")</f>
        <v/>
      </c>
      <c r="T676" s="10">
        <f>IF(A676="D",LEFT(UPPER(D676)&amp;REPT(" ",2),2)," ")</f>
        <v/>
      </c>
      <c r="U676" s="10">
        <f>IF(A676="D",LEFT(UPPER(E676)&amp;REPT(" ",15),15)," ")</f>
        <v/>
      </c>
      <c r="V676" s="10">
        <f>REPT(" ",24)</f>
        <v/>
      </c>
      <c r="W676" s="10">
        <f>IF(A676="c",LEFT(UPPER(B676)&amp;REPT(" ",20),20),REPT(" ",20))</f>
        <v/>
      </c>
      <c r="X676" s="10">
        <f>IF(A676="C",LEFT(UPPER(C676)&amp;REPT(" ",10),10)," ")</f>
        <v/>
      </c>
      <c r="Y676" s="10">
        <f>IF(A676="C",LEFT(UPPER(D676)&amp;REPT(" ",2),2)," ")</f>
        <v/>
      </c>
      <c r="Z676" s="10">
        <f>IF(A676="C",LEFT(UPPER(E676)&amp;REPT(" ",15),15)," ")</f>
        <v/>
      </c>
      <c r="AA676" s="10">
        <f>REPT(" ",8)</f>
        <v/>
      </c>
      <c r="AB676" s="10">
        <f>REPT(" ",4)</f>
        <v/>
      </c>
      <c r="AC676" s="10">
        <f>LEFT(UPPER(H676)&amp;REPT(" ",250),250)</f>
        <v/>
      </c>
      <c r="AD676" s="10">
        <f>TEXT($G$2,"dd/mm/aaaa")</f>
        <v/>
      </c>
      <c r="AE676" s="10">
        <f>REPT(" ",10)</f>
        <v/>
      </c>
      <c r="AF676" s="10">
        <f>REPT(" ",20)</f>
        <v/>
      </c>
      <c r="AG676" s="54">
        <f>REPT(" ",18-LEN(FIXED(F676,2,TRUE)))&amp;FIXED(F676,2,TRUE)</f>
        <v/>
      </c>
      <c r="AH676" s="10">
        <f>LEN(AC676)+LEN(AG676)</f>
        <v/>
      </c>
      <c r="AI676" s="10">
        <f>LEN(L676)</f>
        <v/>
      </c>
    </row>
    <row r="677">
      <c r="A677" s="46" t="n"/>
      <c r="B677" s="38" t="n"/>
      <c r="C677" s="41" t="n"/>
      <c r="D677" s="41" t="n"/>
      <c r="E677" s="41" t="n"/>
      <c r="F677" s="88" t="n"/>
      <c r="G677" s="89" t="n"/>
      <c r="H677" s="37" t="n"/>
      <c r="I677" s="42" t="n"/>
      <c r="J677" s="12">
        <f>IF(F677&lt;&gt;0,"LANÇAR","")</f>
        <v/>
      </c>
      <c r="K677" s="20" t="n"/>
      <c r="L677" s="13">
        <f>N677&amp;O677&amp;P677&amp;Q677&amp;R677&amp;S677&amp;T677&amp;U677&amp;V677&amp;W677&amp;X677&amp;Y677&amp;Z677&amp;AA677&amp;AB677&amp;AC677&amp;AD677&amp;AE677&amp;AF677&amp;AG677</f>
        <v/>
      </c>
      <c r="M677" s="20" t="n"/>
      <c r="N677" s="10">
        <f>TEXT($B$6,"00")</f>
        <v/>
      </c>
      <c r="O677" s="10">
        <f>REPT(" ",8)</f>
        <v/>
      </c>
      <c r="P677" s="10">
        <f>RIGHT($B$4,2)</f>
        <v/>
      </c>
      <c r="Q677" s="10">
        <f>RIGHT($B$5,3)</f>
        <v/>
      </c>
      <c r="R677" s="10">
        <f>IF(A677="D",LEFT(UPPER(B677)&amp;REPT(" ",20),20),REPT(" ",20))</f>
        <v/>
      </c>
      <c r="S677" s="10">
        <f>IF(A677="D",LEFT(UPPER(C677)&amp;REPT(" ",10),10)," ")</f>
        <v/>
      </c>
      <c r="T677" s="10">
        <f>IF(A677="D",LEFT(UPPER(D677)&amp;REPT(" ",2),2)," ")</f>
        <v/>
      </c>
      <c r="U677" s="10">
        <f>IF(A677="D",LEFT(UPPER(E677)&amp;REPT(" ",15),15)," ")</f>
        <v/>
      </c>
      <c r="V677" s="10">
        <f>REPT(" ",24)</f>
        <v/>
      </c>
      <c r="W677" s="10">
        <f>IF(A677="c",LEFT(UPPER(B677)&amp;REPT(" ",20),20),REPT(" ",20))</f>
        <v/>
      </c>
      <c r="X677" s="10">
        <f>IF(A677="C",LEFT(UPPER(C677)&amp;REPT(" ",10),10)," ")</f>
        <v/>
      </c>
      <c r="Y677" s="10">
        <f>IF(A677="C",LEFT(UPPER(D677)&amp;REPT(" ",2),2)," ")</f>
        <v/>
      </c>
      <c r="Z677" s="10">
        <f>IF(A677="C",LEFT(UPPER(E677)&amp;REPT(" ",15),15)," ")</f>
        <v/>
      </c>
      <c r="AA677" s="10">
        <f>REPT(" ",8)</f>
        <v/>
      </c>
      <c r="AB677" s="10">
        <f>REPT(" ",4)</f>
        <v/>
      </c>
      <c r="AC677" s="10">
        <f>LEFT(UPPER(H677)&amp;REPT(" ",250),250)</f>
        <v/>
      </c>
      <c r="AD677" s="10">
        <f>TEXT($G$2,"dd/mm/aaaa")</f>
        <v/>
      </c>
      <c r="AE677" s="10">
        <f>REPT(" ",10)</f>
        <v/>
      </c>
      <c r="AF677" s="10">
        <f>REPT(" ",20)</f>
        <v/>
      </c>
      <c r="AG677" s="54">
        <f>REPT(" ",18-LEN(FIXED(F677,2,TRUE)))&amp;FIXED(F677,2,TRUE)</f>
        <v/>
      </c>
      <c r="AH677" s="10">
        <f>LEN(AC677)+LEN(AG677)</f>
        <v/>
      </c>
      <c r="AI677" s="10">
        <f>LEN(L677)</f>
        <v/>
      </c>
    </row>
    <row r="678">
      <c r="A678" s="46" t="n"/>
      <c r="B678" s="38" t="n"/>
      <c r="C678" s="41" t="n"/>
      <c r="D678" s="41" t="n"/>
      <c r="E678" s="41" t="n"/>
      <c r="F678" s="88" t="n"/>
      <c r="G678" s="89" t="n"/>
      <c r="H678" s="37" t="n"/>
      <c r="I678" s="42" t="n"/>
      <c r="J678" s="12">
        <f>IF(F678&lt;&gt;0,"LANÇAR","")</f>
        <v/>
      </c>
      <c r="K678" s="20" t="n"/>
      <c r="L678" s="13">
        <f>N678&amp;O678&amp;P678&amp;Q678&amp;R678&amp;S678&amp;T678&amp;U678&amp;V678&amp;W678&amp;X678&amp;Y678&amp;Z678&amp;AA678&amp;AB678&amp;AC678&amp;AD678&amp;AE678&amp;AF678&amp;AG678</f>
        <v/>
      </c>
      <c r="M678" s="20" t="n"/>
      <c r="N678" s="10">
        <f>TEXT($B$6,"00")</f>
        <v/>
      </c>
      <c r="O678" s="10">
        <f>REPT(" ",8)</f>
        <v/>
      </c>
      <c r="P678" s="10">
        <f>RIGHT($B$4,2)</f>
        <v/>
      </c>
      <c r="Q678" s="10">
        <f>RIGHT($B$5,3)</f>
        <v/>
      </c>
      <c r="R678" s="10">
        <f>IF(A678="D",LEFT(UPPER(B678)&amp;REPT(" ",20),20),REPT(" ",20))</f>
        <v/>
      </c>
      <c r="S678" s="10">
        <f>IF(A678="D",LEFT(UPPER(C678)&amp;REPT(" ",10),10)," ")</f>
        <v/>
      </c>
      <c r="T678" s="10">
        <f>IF(A678="D",LEFT(UPPER(D678)&amp;REPT(" ",2),2)," ")</f>
        <v/>
      </c>
      <c r="U678" s="10">
        <f>IF(A678="D",LEFT(UPPER(E678)&amp;REPT(" ",15),15)," ")</f>
        <v/>
      </c>
      <c r="V678" s="10">
        <f>REPT(" ",24)</f>
        <v/>
      </c>
      <c r="W678" s="10">
        <f>IF(A678="c",LEFT(UPPER(B678)&amp;REPT(" ",20),20),REPT(" ",20))</f>
        <v/>
      </c>
      <c r="X678" s="10">
        <f>IF(A678="C",LEFT(UPPER(C678)&amp;REPT(" ",10),10)," ")</f>
        <v/>
      </c>
      <c r="Y678" s="10">
        <f>IF(A678="C",LEFT(UPPER(D678)&amp;REPT(" ",2),2)," ")</f>
        <v/>
      </c>
      <c r="Z678" s="10">
        <f>IF(A678="C",LEFT(UPPER(E678)&amp;REPT(" ",15),15)," ")</f>
        <v/>
      </c>
      <c r="AA678" s="10">
        <f>REPT(" ",8)</f>
        <v/>
      </c>
      <c r="AB678" s="10">
        <f>REPT(" ",4)</f>
        <v/>
      </c>
      <c r="AC678" s="10">
        <f>LEFT(UPPER(H678)&amp;REPT(" ",250),250)</f>
        <v/>
      </c>
      <c r="AD678" s="10">
        <f>TEXT($G$2,"dd/mm/aaaa")</f>
        <v/>
      </c>
      <c r="AE678" s="10">
        <f>REPT(" ",10)</f>
        <v/>
      </c>
      <c r="AF678" s="10">
        <f>REPT(" ",20)</f>
        <v/>
      </c>
      <c r="AG678" s="54">
        <f>REPT(" ",18-LEN(FIXED(F678,2,TRUE)))&amp;FIXED(F678,2,TRUE)</f>
        <v/>
      </c>
      <c r="AH678" s="10">
        <f>LEN(AC678)+LEN(AG678)</f>
        <v/>
      </c>
      <c r="AI678" s="10">
        <f>LEN(L678)</f>
        <v/>
      </c>
    </row>
    <row r="679">
      <c r="A679" s="46" t="n"/>
      <c r="B679" s="38" t="n"/>
      <c r="C679" s="41" t="n"/>
      <c r="D679" s="41" t="n"/>
      <c r="E679" s="41" t="n"/>
      <c r="F679" s="88" t="n"/>
      <c r="G679" s="89" t="n"/>
      <c r="H679" s="37" t="n"/>
      <c r="I679" s="42" t="n"/>
      <c r="J679" s="12">
        <f>IF(F679&lt;&gt;0,"LANÇAR","")</f>
        <v/>
      </c>
      <c r="K679" s="20" t="n"/>
      <c r="L679" s="13">
        <f>N679&amp;O679&amp;P679&amp;Q679&amp;R679&amp;S679&amp;T679&amp;U679&amp;V679&amp;W679&amp;X679&amp;Y679&amp;Z679&amp;AA679&amp;AB679&amp;AC679&amp;AD679&amp;AE679&amp;AF679&amp;AG679</f>
        <v/>
      </c>
      <c r="M679" s="20" t="n"/>
      <c r="N679" s="10">
        <f>TEXT($B$6,"00")</f>
        <v/>
      </c>
      <c r="O679" s="10">
        <f>REPT(" ",8)</f>
        <v/>
      </c>
      <c r="P679" s="10">
        <f>RIGHT($B$4,2)</f>
        <v/>
      </c>
      <c r="Q679" s="10">
        <f>RIGHT($B$5,3)</f>
        <v/>
      </c>
      <c r="R679" s="10">
        <f>IF(A679="D",LEFT(UPPER(B679)&amp;REPT(" ",20),20),REPT(" ",20))</f>
        <v/>
      </c>
      <c r="S679" s="10">
        <f>IF(A679="D",LEFT(UPPER(C679)&amp;REPT(" ",10),10)," ")</f>
        <v/>
      </c>
      <c r="T679" s="10">
        <f>IF(A679="D",LEFT(UPPER(D679)&amp;REPT(" ",2),2)," ")</f>
        <v/>
      </c>
      <c r="U679" s="10">
        <f>IF(A679="D",LEFT(UPPER(E679)&amp;REPT(" ",15),15)," ")</f>
        <v/>
      </c>
      <c r="V679" s="10">
        <f>REPT(" ",24)</f>
        <v/>
      </c>
      <c r="W679" s="10">
        <f>IF(A679="c",LEFT(UPPER(B679)&amp;REPT(" ",20),20),REPT(" ",20))</f>
        <v/>
      </c>
      <c r="X679" s="10">
        <f>IF(A679="C",LEFT(UPPER(C679)&amp;REPT(" ",10),10)," ")</f>
        <v/>
      </c>
      <c r="Y679" s="10">
        <f>IF(A679="C",LEFT(UPPER(D679)&amp;REPT(" ",2),2)," ")</f>
        <v/>
      </c>
      <c r="Z679" s="10">
        <f>IF(A679="C",LEFT(UPPER(E679)&amp;REPT(" ",15),15)," ")</f>
        <v/>
      </c>
      <c r="AA679" s="10">
        <f>REPT(" ",8)</f>
        <v/>
      </c>
      <c r="AB679" s="10">
        <f>REPT(" ",4)</f>
        <v/>
      </c>
      <c r="AC679" s="10">
        <f>LEFT(UPPER(H679)&amp;REPT(" ",250),250)</f>
        <v/>
      </c>
      <c r="AD679" s="10">
        <f>TEXT($G$2,"dd/mm/aaaa")</f>
        <v/>
      </c>
      <c r="AE679" s="10">
        <f>REPT(" ",10)</f>
        <v/>
      </c>
      <c r="AF679" s="10">
        <f>REPT(" ",20)</f>
        <v/>
      </c>
      <c r="AG679" s="54">
        <f>REPT(" ",18-LEN(FIXED(F679,2,TRUE)))&amp;FIXED(F679,2,TRUE)</f>
        <v/>
      </c>
      <c r="AH679" s="10">
        <f>LEN(AC679)+LEN(AG679)</f>
        <v/>
      </c>
      <c r="AI679" s="10">
        <f>LEN(L679)</f>
        <v/>
      </c>
    </row>
    <row r="680">
      <c r="A680" s="46" t="n"/>
      <c r="B680" s="38" t="n"/>
      <c r="C680" s="41" t="n"/>
      <c r="D680" s="41" t="n"/>
      <c r="E680" s="41" t="n"/>
      <c r="F680" s="88" t="n"/>
      <c r="G680" s="89" t="n"/>
      <c r="H680" s="37" t="n"/>
      <c r="I680" s="42" t="n"/>
      <c r="J680" s="12">
        <f>IF(F680&lt;&gt;0,"LANÇAR","")</f>
        <v/>
      </c>
      <c r="K680" s="20" t="n"/>
      <c r="L680" s="13">
        <f>N680&amp;O680&amp;P680&amp;Q680&amp;R680&amp;S680&amp;T680&amp;U680&amp;V680&amp;W680&amp;X680&amp;Y680&amp;Z680&amp;AA680&amp;AB680&amp;AC680&amp;AD680&amp;AE680&amp;AF680&amp;AG680</f>
        <v/>
      </c>
      <c r="M680" s="20" t="n"/>
      <c r="N680" s="10">
        <f>TEXT($B$6,"00")</f>
        <v/>
      </c>
      <c r="O680" s="10">
        <f>REPT(" ",8)</f>
        <v/>
      </c>
      <c r="P680" s="10">
        <f>RIGHT($B$4,2)</f>
        <v/>
      </c>
      <c r="Q680" s="10">
        <f>RIGHT($B$5,3)</f>
        <v/>
      </c>
      <c r="R680" s="10">
        <f>IF(A680="D",LEFT(UPPER(B680)&amp;REPT(" ",20),20),REPT(" ",20))</f>
        <v/>
      </c>
      <c r="S680" s="10">
        <f>IF(A680="D",LEFT(UPPER(C680)&amp;REPT(" ",10),10)," ")</f>
        <v/>
      </c>
      <c r="T680" s="10">
        <f>IF(A680="D",LEFT(UPPER(D680)&amp;REPT(" ",2),2)," ")</f>
        <v/>
      </c>
      <c r="U680" s="10">
        <f>IF(A680="D",LEFT(UPPER(E680)&amp;REPT(" ",15),15)," ")</f>
        <v/>
      </c>
      <c r="V680" s="10">
        <f>REPT(" ",24)</f>
        <v/>
      </c>
      <c r="W680" s="10">
        <f>IF(A680="c",LEFT(UPPER(B680)&amp;REPT(" ",20),20),REPT(" ",20))</f>
        <v/>
      </c>
      <c r="X680" s="10">
        <f>IF(A680="C",LEFT(UPPER(C680)&amp;REPT(" ",10),10)," ")</f>
        <v/>
      </c>
      <c r="Y680" s="10">
        <f>IF(A680="C",LEFT(UPPER(D680)&amp;REPT(" ",2),2)," ")</f>
        <v/>
      </c>
      <c r="Z680" s="10">
        <f>IF(A680="C",LEFT(UPPER(E680)&amp;REPT(" ",15),15)," ")</f>
        <v/>
      </c>
      <c r="AA680" s="10">
        <f>REPT(" ",8)</f>
        <v/>
      </c>
      <c r="AB680" s="10">
        <f>REPT(" ",4)</f>
        <v/>
      </c>
      <c r="AC680" s="10">
        <f>LEFT(UPPER(H680)&amp;REPT(" ",250),250)</f>
        <v/>
      </c>
      <c r="AD680" s="10">
        <f>TEXT($G$2,"dd/mm/aaaa")</f>
        <v/>
      </c>
      <c r="AE680" s="10">
        <f>REPT(" ",10)</f>
        <v/>
      </c>
      <c r="AF680" s="10">
        <f>REPT(" ",20)</f>
        <v/>
      </c>
      <c r="AG680" s="54">
        <f>REPT(" ",18-LEN(FIXED(F680,2,TRUE)))&amp;FIXED(F680,2,TRUE)</f>
        <v/>
      </c>
      <c r="AH680" s="10">
        <f>LEN(AC680)+LEN(AG680)</f>
        <v/>
      </c>
      <c r="AI680" s="10">
        <f>LEN(L680)</f>
        <v/>
      </c>
    </row>
    <row r="681">
      <c r="A681" s="46" t="n"/>
      <c r="B681" s="38" t="n"/>
      <c r="C681" s="41" t="n"/>
      <c r="D681" s="41" t="n"/>
      <c r="E681" s="41" t="n"/>
      <c r="F681" s="88" t="n"/>
      <c r="G681" s="89" t="n"/>
      <c r="H681" s="37" t="n"/>
      <c r="I681" s="42" t="n"/>
      <c r="J681" s="12">
        <f>IF(F681&lt;&gt;0,"LANÇAR","")</f>
        <v/>
      </c>
      <c r="K681" s="20" t="n"/>
      <c r="L681" s="13">
        <f>N681&amp;O681&amp;P681&amp;Q681&amp;R681&amp;S681&amp;T681&amp;U681&amp;V681&amp;W681&amp;X681&amp;Y681&amp;Z681&amp;AA681&amp;AB681&amp;AC681&amp;AD681&amp;AE681&amp;AF681&amp;AG681</f>
        <v/>
      </c>
      <c r="M681" s="20" t="n"/>
      <c r="N681" s="10">
        <f>TEXT($B$6,"00")</f>
        <v/>
      </c>
      <c r="O681" s="10">
        <f>REPT(" ",8)</f>
        <v/>
      </c>
      <c r="P681" s="10">
        <f>RIGHT($B$4,2)</f>
        <v/>
      </c>
      <c r="Q681" s="10">
        <f>RIGHT($B$5,3)</f>
        <v/>
      </c>
      <c r="R681" s="10">
        <f>IF(A681="D",LEFT(UPPER(B681)&amp;REPT(" ",20),20),REPT(" ",20))</f>
        <v/>
      </c>
      <c r="S681" s="10">
        <f>IF(A681="D",LEFT(UPPER(C681)&amp;REPT(" ",10),10)," ")</f>
        <v/>
      </c>
      <c r="T681" s="10">
        <f>IF(A681="D",LEFT(UPPER(D681)&amp;REPT(" ",2),2)," ")</f>
        <v/>
      </c>
      <c r="U681" s="10">
        <f>IF(A681="D",LEFT(UPPER(E681)&amp;REPT(" ",15),15)," ")</f>
        <v/>
      </c>
      <c r="V681" s="10">
        <f>REPT(" ",24)</f>
        <v/>
      </c>
      <c r="W681" s="10">
        <f>IF(A681="c",LEFT(UPPER(B681)&amp;REPT(" ",20),20),REPT(" ",20))</f>
        <v/>
      </c>
      <c r="X681" s="10">
        <f>IF(A681="C",LEFT(UPPER(C681)&amp;REPT(" ",10),10)," ")</f>
        <v/>
      </c>
      <c r="Y681" s="10">
        <f>IF(A681="C",LEFT(UPPER(D681)&amp;REPT(" ",2),2)," ")</f>
        <v/>
      </c>
      <c r="Z681" s="10">
        <f>IF(A681="C",LEFT(UPPER(E681)&amp;REPT(" ",15),15)," ")</f>
        <v/>
      </c>
      <c r="AA681" s="10">
        <f>REPT(" ",8)</f>
        <v/>
      </c>
      <c r="AB681" s="10">
        <f>REPT(" ",4)</f>
        <v/>
      </c>
      <c r="AC681" s="10">
        <f>LEFT(UPPER(H681)&amp;REPT(" ",250),250)</f>
        <v/>
      </c>
      <c r="AD681" s="10">
        <f>TEXT($G$2,"dd/mm/aaaa")</f>
        <v/>
      </c>
      <c r="AE681" s="10">
        <f>REPT(" ",10)</f>
        <v/>
      </c>
      <c r="AF681" s="10">
        <f>REPT(" ",20)</f>
        <v/>
      </c>
      <c r="AG681" s="54">
        <f>REPT(" ",18-LEN(FIXED(F681,2,TRUE)))&amp;FIXED(F681,2,TRUE)</f>
        <v/>
      </c>
      <c r="AH681" s="10">
        <f>LEN(AC681)+LEN(AG681)</f>
        <v/>
      </c>
      <c r="AI681" s="10">
        <f>LEN(L681)</f>
        <v/>
      </c>
    </row>
    <row r="682">
      <c r="A682" s="46" t="n"/>
      <c r="B682" s="38" t="n"/>
      <c r="C682" s="41" t="n"/>
      <c r="D682" s="41" t="n"/>
      <c r="E682" s="41" t="n"/>
      <c r="F682" s="88" t="n"/>
      <c r="G682" s="89" t="n"/>
      <c r="H682" s="37" t="n"/>
      <c r="I682" s="42" t="n"/>
      <c r="J682" s="12">
        <f>IF(F682&lt;&gt;0,"LANÇAR","")</f>
        <v/>
      </c>
      <c r="K682" s="20" t="n"/>
      <c r="L682" s="13">
        <f>N682&amp;O682&amp;P682&amp;Q682&amp;R682&amp;S682&amp;T682&amp;U682&amp;V682&amp;W682&amp;X682&amp;Y682&amp;Z682&amp;AA682&amp;AB682&amp;AC682&amp;AD682&amp;AE682&amp;AF682&amp;AG682</f>
        <v/>
      </c>
      <c r="M682" s="20" t="n"/>
      <c r="N682" s="10">
        <f>TEXT($B$6,"00")</f>
        <v/>
      </c>
      <c r="O682" s="10">
        <f>REPT(" ",8)</f>
        <v/>
      </c>
      <c r="P682" s="10">
        <f>RIGHT($B$4,2)</f>
        <v/>
      </c>
      <c r="Q682" s="10">
        <f>RIGHT($B$5,3)</f>
        <v/>
      </c>
      <c r="R682" s="10">
        <f>IF(A682="D",LEFT(UPPER(B682)&amp;REPT(" ",20),20),REPT(" ",20))</f>
        <v/>
      </c>
      <c r="S682" s="10">
        <f>IF(A682="D",LEFT(UPPER(C682)&amp;REPT(" ",10),10)," ")</f>
        <v/>
      </c>
      <c r="T682" s="10">
        <f>IF(A682="D",LEFT(UPPER(D682)&amp;REPT(" ",2),2)," ")</f>
        <v/>
      </c>
      <c r="U682" s="10">
        <f>IF(A682="D",LEFT(UPPER(E682)&amp;REPT(" ",15),15)," ")</f>
        <v/>
      </c>
      <c r="V682" s="10">
        <f>REPT(" ",24)</f>
        <v/>
      </c>
      <c r="W682" s="10">
        <f>IF(A682="c",LEFT(UPPER(B682)&amp;REPT(" ",20),20),REPT(" ",20))</f>
        <v/>
      </c>
      <c r="X682" s="10">
        <f>IF(A682="C",LEFT(UPPER(C682)&amp;REPT(" ",10),10)," ")</f>
        <v/>
      </c>
      <c r="Y682" s="10">
        <f>IF(A682="C",LEFT(UPPER(D682)&amp;REPT(" ",2),2)," ")</f>
        <v/>
      </c>
      <c r="Z682" s="10">
        <f>IF(A682="C",LEFT(UPPER(E682)&amp;REPT(" ",15),15)," ")</f>
        <v/>
      </c>
      <c r="AA682" s="10">
        <f>REPT(" ",8)</f>
        <v/>
      </c>
      <c r="AB682" s="10">
        <f>REPT(" ",4)</f>
        <v/>
      </c>
      <c r="AC682" s="10">
        <f>LEFT(UPPER(H682)&amp;REPT(" ",250),250)</f>
        <v/>
      </c>
      <c r="AD682" s="10">
        <f>TEXT($G$2,"dd/mm/aaaa")</f>
        <v/>
      </c>
      <c r="AE682" s="10">
        <f>REPT(" ",10)</f>
        <v/>
      </c>
      <c r="AF682" s="10">
        <f>REPT(" ",20)</f>
        <v/>
      </c>
      <c r="AG682" s="54">
        <f>REPT(" ",18-LEN(FIXED(F682,2,TRUE)))&amp;FIXED(F682,2,TRUE)</f>
        <v/>
      </c>
      <c r="AH682" s="10">
        <f>LEN(AC682)+LEN(AG682)</f>
        <v/>
      </c>
      <c r="AI682" s="10">
        <f>LEN(L682)</f>
        <v/>
      </c>
    </row>
    <row r="683">
      <c r="A683" s="46" t="n"/>
      <c r="B683" s="38" t="n"/>
      <c r="C683" s="41" t="n"/>
      <c r="D683" s="41" t="n"/>
      <c r="E683" s="41" t="n"/>
      <c r="F683" s="88" t="n"/>
      <c r="G683" s="89" t="n"/>
      <c r="H683" s="37" t="n"/>
      <c r="I683" s="42" t="n"/>
      <c r="J683" s="12">
        <f>IF(F683&lt;&gt;0,"LANÇAR","")</f>
        <v/>
      </c>
      <c r="K683" s="20" t="n"/>
      <c r="L683" s="13">
        <f>N683&amp;O683&amp;P683&amp;Q683&amp;R683&amp;S683&amp;T683&amp;U683&amp;V683&amp;W683&amp;X683&amp;Y683&amp;Z683&amp;AA683&amp;AB683&amp;AC683&amp;AD683&amp;AE683&amp;AF683&amp;AG683</f>
        <v/>
      </c>
      <c r="M683" s="20" t="n"/>
      <c r="N683" s="10">
        <f>TEXT($B$6,"00")</f>
        <v/>
      </c>
      <c r="O683" s="10">
        <f>REPT(" ",8)</f>
        <v/>
      </c>
      <c r="P683" s="10">
        <f>RIGHT($B$4,2)</f>
        <v/>
      </c>
      <c r="Q683" s="10">
        <f>RIGHT($B$5,3)</f>
        <v/>
      </c>
      <c r="R683" s="10">
        <f>IF(A683="D",LEFT(UPPER(B683)&amp;REPT(" ",20),20),REPT(" ",20))</f>
        <v/>
      </c>
      <c r="S683" s="10">
        <f>IF(A683="D",LEFT(UPPER(C683)&amp;REPT(" ",10),10)," ")</f>
        <v/>
      </c>
      <c r="T683" s="10">
        <f>IF(A683="D",LEFT(UPPER(D683)&amp;REPT(" ",2),2)," ")</f>
        <v/>
      </c>
      <c r="U683" s="10">
        <f>IF(A683="D",LEFT(UPPER(E683)&amp;REPT(" ",15),15)," ")</f>
        <v/>
      </c>
      <c r="V683" s="10">
        <f>REPT(" ",24)</f>
        <v/>
      </c>
      <c r="W683" s="10">
        <f>IF(A683="c",LEFT(UPPER(B683)&amp;REPT(" ",20),20),REPT(" ",20))</f>
        <v/>
      </c>
      <c r="X683" s="10">
        <f>IF(A683="C",LEFT(UPPER(C683)&amp;REPT(" ",10),10)," ")</f>
        <v/>
      </c>
      <c r="Y683" s="10">
        <f>IF(A683="C",LEFT(UPPER(D683)&amp;REPT(" ",2),2)," ")</f>
        <v/>
      </c>
      <c r="Z683" s="10">
        <f>IF(A683="C",LEFT(UPPER(E683)&amp;REPT(" ",15),15)," ")</f>
        <v/>
      </c>
      <c r="AA683" s="10">
        <f>REPT(" ",8)</f>
        <v/>
      </c>
      <c r="AB683" s="10">
        <f>REPT(" ",4)</f>
        <v/>
      </c>
      <c r="AC683" s="10">
        <f>LEFT(UPPER(H683)&amp;REPT(" ",250),250)</f>
        <v/>
      </c>
      <c r="AD683" s="10">
        <f>TEXT($G$2,"dd/mm/aaaa")</f>
        <v/>
      </c>
      <c r="AE683" s="10">
        <f>REPT(" ",10)</f>
        <v/>
      </c>
      <c r="AF683" s="10">
        <f>REPT(" ",20)</f>
        <v/>
      </c>
      <c r="AG683" s="54">
        <f>REPT(" ",18-LEN(FIXED(F683,2,TRUE)))&amp;FIXED(F683,2,TRUE)</f>
        <v/>
      </c>
      <c r="AH683" s="10">
        <f>LEN(AC683)+LEN(AG683)</f>
        <v/>
      </c>
      <c r="AI683" s="10">
        <f>LEN(L683)</f>
        <v/>
      </c>
    </row>
    <row r="684">
      <c r="A684" s="46" t="n"/>
      <c r="B684" s="38" t="n"/>
      <c r="C684" s="41" t="n"/>
      <c r="D684" s="41" t="n"/>
      <c r="E684" s="41" t="n"/>
      <c r="F684" s="88" t="n"/>
      <c r="G684" s="89" t="n"/>
      <c r="H684" s="37" t="n"/>
      <c r="I684" s="42" t="n"/>
      <c r="J684" s="12">
        <f>IF(F684&lt;&gt;0,"LANÇAR","")</f>
        <v/>
      </c>
      <c r="K684" s="20" t="n"/>
      <c r="L684" s="13">
        <f>N684&amp;O684&amp;P684&amp;Q684&amp;R684&amp;S684&amp;T684&amp;U684&amp;V684&amp;W684&amp;X684&amp;Y684&amp;Z684&amp;AA684&amp;AB684&amp;AC684&amp;AD684&amp;AE684&amp;AF684&amp;AG684</f>
        <v/>
      </c>
      <c r="M684" s="20" t="n"/>
      <c r="N684" s="10">
        <f>TEXT($B$6,"00")</f>
        <v/>
      </c>
      <c r="O684" s="10">
        <f>REPT(" ",8)</f>
        <v/>
      </c>
      <c r="P684" s="10">
        <f>RIGHT($B$4,2)</f>
        <v/>
      </c>
      <c r="Q684" s="10">
        <f>RIGHT($B$5,3)</f>
        <v/>
      </c>
      <c r="R684" s="10">
        <f>IF(A684="D",LEFT(UPPER(B684)&amp;REPT(" ",20),20),REPT(" ",20))</f>
        <v/>
      </c>
      <c r="S684" s="10">
        <f>IF(A684="D",LEFT(UPPER(C684)&amp;REPT(" ",10),10)," ")</f>
        <v/>
      </c>
      <c r="T684" s="10">
        <f>IF(A684="D",LEFT(UPPER(D684)&amp;REPT(" ",2),2)," ")</f>
        <v/>
      </c>
      <c r="U684" s="10">
        <f>IF(A684="D",LEFT(UPPER(E684)&amp;REPT(" ",15),15)," ")</f>
        <v/>
      </c>
      <c r="V684" s="10">
        <f>REPT(" ",24)</f>
        <v/>
      </c>
      <c r="W684" s="10">
        <f>IF(A684="c",LEFT(UPPER(B684)&amp;REPT(" ",20),20),REPT(" ",20))</f>
        <v/>
      </c>
      <c r="X684" s="10">
        <f>IF(A684="C",LEFT(UPPER(C684)&amp;REPT(" ",10),10)," ")</f>
        <v/>
      </c>
      <c r="Y684" s="10">
        <f>IF(A684="C",LEFT(UPPER(D684)&amp;REPT(" ",2),2)," ")</f>
        <v/>
      </c>
      <c r="Z684" s="10">
        <f>IF(A684="C",LEFT(UPPER(E684)&amp;REPT(" ",15),15)," ")</f>
        <v/>
      </c>
      <c r="AA684" s="10">
        <f>REPT(" ",8)</f>
        <v/>
      </c>
      <c r="AB684" s="10">
        <f>REPT(" ",4)</f>
        <v/>
      </c>
      <c r="AC684" s="10">
        <f>LEFT(UPPER(H684)&amp;REPT(" ",250),250)</f>
        <v/>
      </c>
      <c r="AD684" s="10">
        <f>TEXT($G$2,"dd/mm/aaaa")</f>
        <v/>
      </c>
      <c r="AE684" s="10">
        <f>REPT(" ",10)</f>
        <v/>
      </c>
      <c r="AF684" s="10">
        <f>REPT(" ",20)</f>
        <v/>
      </c>
      <c r="AG684" s="54">
        <f>REPT(" ",18-LEN(FIXED(F684,2,TRUE)))&amp;FIXED(F684,2,TRUE)</f>
        <v/>
      </c>
      <c r="AH684" s="10">
        <f>LEN(AC684)+LEN(AG684)</f>
        <v/>
      </c>
      <c r="AI684" s="10">
        <f>LEN(L684)</f>
        <v/>
      </c>
    </row>
    <row r="685">
      <c r="A685" s="46" t="n"/>
      <c r="B685" s="38" t="n"/>
      <c r="C685" s="41" t="n"/>
      <c r="D685" s="41" t="n"/>
      <c r="E685" s="41" t="n"/>
      <c r="F685" s="88" t="n"/>
      <c r="G685" s="89" t="n"/>
      <c r="H685" s="37" t="n"/>
      <c r="I685" s="42" t="n"/>
      <c r="J685" s="12">
        <f>IF(F685&lt;&gt;0,"LANÇAR","")</f>
        <v/>
      </c>
      <c r="K685" s="20" t="n"/>
      <c r="L685" s="13">
        <f>N685&amp;O685&amp;P685&amp;Q685&amp;R685&amp;S685&amp;T685&amp;U685&amp;V685&amp;W685&amp;X685&amp;Y685&amp;Z685&amp;AA685&amp;AB685&amp;AC685&amp;AD685&amp;AE685&amp;AF685&amp;AG685</f>
        <v/>
      </c>
      <c r="M685" s="20" t="n"/>
      <c r="N685" s="10">
        <f>TEXT($B$6,"00")</f>
        <v/>
      </c>
      <c r="O685" s="10">
        <f>REPT(" ",8)</f>
        <v/>
      </c>
      <c r="P685" s="10">
        <f>RIGHT($B$4,2)</f>
        <v/>
      </c>
      <c r="Q685" s="10">
        <f>RIGHT($B$5,3)</f>
        <v/>
      </c>
      <c r="R685" s="10">
        <f>IF(A685="D",LEFT(UPPER(B685)&amp;REPT(" ",20),20),REPT(" ",20))</f>
        <v/>
      </c>
      <c r="S685" s="10">
        <f>IF(A685="D",LEFT(UPPER(C685)&amp;REPT(" ",10),10)," ")</f>
        <v/>
      </c>
      <c r="T685" s="10">
        <f>IF(A685="D",LEFT(UPPER(D685)&amp;REPT(" ",2),2)," ")</f>
        <v/>
      </c>
      <c r="U685" s="10">
        <f>IF(A685="D",LEFT(UPPER(E685)&amp;REPT(" ",15),15)," ")</f>
        <v/>
      </c>
      <c r="V685" s="10">
        <f>REPT(" ",24)</f>
        <v/>
      </c>
      <c r="W685" s="10">
        <f>IF(A685="c",LEFT(UPPER(B685)&amp;REPT(" ",20),20),REPT(" ",20))</f>
        <v/>
      </c>
      <c r="X685" s="10">
        <f>IF(A685="C",LEFT(UPPER(C685)&amp;REPT(" ",10),10)," ")</f>
        <v/>
      </c>
      <c r="Y685" s="10">
        <f>IF(A685="C",LEFT(UPPER(D685)&amp;REPT(" ",2),2)," ")</f>
        <v/>
      </c>
      <c r="Z685" s="10">
        <f>IF(A685="C",LEFT(UPPER(E685)&amp;REPT(" ",15),15)," ")</f>
        <v/>
      </c>
      <c r="AA685" s="10">
        <f>REPT(" ",8)</f>
        <v/>
      </c>
      <c r="AB685" s="10">
        <f>REPT(" ",4)</f>
        <v/>
      </c>
      <c r="AC685" s="10">
        <f>LEFT(UPPER(H685)&amp;REPT(" ",250),250)</f>
        <v/>
      </c>
      <c r="AD685" s="10">
        <f>TEXT($G$2,"dd/mm/aaaa")</f>
        <v/>
      </c>
      <c r="AE685" s="10">
        <f>REPT(" ",10)</f>
        <v/>
      </c>
      <c r="AF685" s="10">
        <f>REPT(" ",20)</f>
        <v/>
      </c>
      <c r="AG685" s="54">
        <f>REPT(" ",18-LEN(FIXED(F685,2,TRUE)))&amp;FIXED(F685,2,TRUE)</f>
        <v/>
      </c>
      <c r="AH685" s="10">
        <f>LEN(AC685)+LEN(AG685)</f>
        <v/>
      </c>
      <c r="AI685" s="10">
        <f>LEN(L685)</f>
        <v/>
      </c>
    </row>
    <row r="686">
      <c r="A686" s="46" t="n"/>
      <c r="B686" s="38" t="n"/>
      <c r="C686" s="41" t="n"/>
      <c r="D686" s="41" t="n"/>
      <c r="E686" s="41" t="n"/>
      <c r="F686" s="88" t="n"/>
      <c r="G686" s="89" t="n"/>
      <c r="H686" s="37" t="n"/>
      <c r="I686" s="42" t="n"/>
      <c r="J686" s="12">
        <f>IF(F686&lt;&gt;0,"LANÇAR","")</f>
        <v/>
      </c>
      <c r="K686" s="20" t="n"/>
      <c r="L686" s="13">
        <f>N686&amp;O686&amp;P686&amp;Q686&amp;R686&amp;S686&amp;T686&amp;U686&amp;V686&amp;W686&amp;X686&amp;Y686&amp;Z686&amp;AA686&amp;AB686&amp;AC686&amp;AD686&amp;AE686&amp;AF686&amp;AG686</f>
        <v/>
      </c>
      <c r="M686" s="20" t="n"/>
      <c r="N686" s="10">
        <f>TEXT($B$6,"00")</f>
        <v/>
      </c>
      <c r="O686" s="10">
        <f>REPT(" ",8)</f>
        <v/>
      </c>
      <c r="P686" s="10">
        <f>RIGHT($B$4,2)</f>
        <v/>
      </c>
      <c r="Q686" s="10">
        <f>RIGHT($B$5,3)</f>
        <v/>
      </c>
      <c r="R686" s="10">
        <f>IF(A686="D",LEFT(UPPER(B686)&amp;REPT(" ",20),20),REPT(" ",20))</f>
        <v/>
      </c>
      <c r="S686" s="10">
        <f>IF(A686="D",LEFT(UPPER(C686)&amp;REPT(" ",10),10)," ")</f>
        <v/>
      </c>
      <c r="T686" s="10">
        <f>IF(A686="D",LEFT(UPPER(D686)&amp;REPT(" ",2),2)," ")</f>
        <v/>
      </c>
      <c r="U686" s="10">
        <f>IF(A686="D",LEFT(UPPER(E686)&amp;REPT(" ",15),15)," ")</f>
        <v/>
      </c>
      <c r="V686" s="10">
        <f>REPT(" ",24)</f>
        <v/>
      </c>
      <c r="W686" s="10">
        <f>IF(A686="c",LEFT(UPPER(B686)&amp;REPT(" ",20),20),REPT(" ",20))</f>
        <v/>
      </c>
      <c r="X686" s="10">
        <f>IF(A686="C",LEFT(UPPER(C686)&amp;REPT(" ",10),10)," ")</f>
        <v/>
      </c>
      <c r="Y686" s="10">
        <f>IF(A686="C",LEFT(UPPER(D686)&amp;REPT(" ",2),2)," ")</f>
        <v/>
      </c>
      <c r="Z686" s="10">
        <f>IF(A686="C",LEFT(UPPER(E686)&amp;REPT(" ",15),15)," ")</f>
        <v/>
      </c>
      <c r="AA686" s="10">
        <f>REPT(" ",8)</f>
        <v/>
      </c>
      <c r="AB686" s="10">
        <f>REPT(" ",4)</f>
        <v/>
      </c>
      <c r="AC686" s="10">
        <f>LEFT(UPPER(H686)&amp;REPT(" ",250),250)</f>
        <v/>
      </c>
      <c r="AD686" s="10">
        <f>TEXT($G$2,"dd/mm/aaaa")</f>
        <v/>
      </c>
      <c r="AE686" s="10">
        <f>REPT(" ",10)</f>
        <v/>
      </c>
      <c r="AF686" s="10">
        <f>REPT(" ",20)</f>
        <v/>
      </c>
      <c r="AG686" s="54">
        <f>REPT(" ",18-LEN(FIXED(F686,2,TRUE)))&amp;FIXED(F686,2,TRUE)</f>
        <v/>
      </c>
      <c r="AH686" s="10">
        <f>LEN(AC686)+LEN(AG686)</f>
        <v/>
      </c>
      <c r="AI686" s="10">
        <f>LEN(L686)</f>
        <v/>
      </c>
    </row>
    <row r="687">
      <c r="A687" s="46" t="n"/>
      <c r="B687" s="38" t="n"/>
      <c r="C687" s="41" t="n"/>
      <c r="D687" s="41" t="n"/>
      <c r="E687" s="41" t="n"/>
      <c r="F687" s="88" t="n"/>
      <c r="G687" s="89" t="n"/>
      <c r="H687" s="37" t="n"/>
      <c r="I687" s="42" t="n"/>
      <c r="J687" s="12">
        <f>IF(F687&lt;&gt;0,"LANÇAR","")</f>
        <v/>
      </c>
      <c r="K687" s="20" t="n"/>
      <c r="L687" s="13">
        <f>N687&amp;O687&amp;P687&amp;Q687&amp;R687&amp;S687&amp;T687&amp;U687&amp;V687&amp;W687&amp;X687&amp;Y687&amp;Z687&amp;AA687&amp;AB687&amp;AC687&amp;AD687&amp;AE687&amp;AF687&amp;AG687</f>
        <v/>
      </c>
      <c r="M687" s="20" t="n"/>
      <c r="N687" s="10">
        <f>TEXT($B$6,"00")</f>
        <v/>
      </c>
      <c r="O687" s="10">
        <f>REPT(" ",8)</f>
        <v/>
      </c>
      <c r="P687" s="10">
        <f>RIGHT($B$4,2)</f>
        <v/>
      </c>
      <c r="Q687" s="10">
        <f>RIGHT($B$5,3)</f>
        <v/>
      </c>
      <c r="R687" s="10">
        <f>IF(A687="D",LEFT(UPPER(B687)&amp;REPT(" ",20),20),REPT(" ",20))</f>
        <v/>
      </c>
      <c r="S687" s="10">
        <f>IF(A687="D",LEFT(UPPER(C687)&amp;REPT(" ",10),10)," ")</f>
        <v/>
      </c>
      <c r="T687" s="10">
        <f>IF(A687="D",LEFT(UPPER(D687)&amp;REPT(" ",2),2)," ")</f>
        <v/>
      </c>
      <c r="U687" s="10">
        <f>IF(A687="D",LEFT(UPPER(E687)&amp;REPT(" ",15),15)," ")</f>
        <v/>
      </c>
      <c r="V687" s="10">
        <f>REPT(" ",24)</f>
        <v/>
      </c>
      <c r="W687" s="10">
        <f>IF(A687="c",LEFT(UPPER(B687)&amp;REPT(" ",20),20),REPT(" ",20))</f>
        <v/>
      </c>
      <c r="X687" s="10">
        <f>IF(A687="C",LEFT(UPPER(C687)&amp;REPT(" ",10),10)," ")</f>
        <v/>
      </c>
      <c r="Y687" s="10">
        <f>IF(A687="C",LEFT(UPPER(D687)&amp;REPT(" ",2),2)," ")</f>
        <v/>
      </c>
      <c r="Z687" s="10">
        <f>IF(A687="C",LEFT(UPPER(E687)&amp;REPT(" ",15),15)," ")</f>
        <v/>
      </c>
      <c r="AA687" s="10">
        <f>REPT(" ",8)</f>
        <v/>
      </c>
      <c r="AB687" s="10">
        <f>REPT(" ",4)</f>
        <v/>
      </c>
      <c r="AC687" s="10">
        <f>LEFT(UPPER(H687)&amp;REPT(" ",250),250)</f>
        <v/>
      </c>
      <c r="AD687" s="10">
        <f>TEXT($G$2,"dd/mm/aaaa")</f>
        <v/>
      </c>
      <c r="AE687" s="10">
        <f>REPT(" ",10)</f>
        <v/>
      </c>
      <c r="AF687" s="10">
        <f>REPT(" ",20)</f>
        <v/>
      </c>
      <c r="AG687" s="54">
        <f>REPT(" ",18-LEN(FIXED(F687,2,TRUE)))&amp;FIXED(F687,2,TRUE)</f>
        <v/>
      </c>
      <c r="AH687" s="10">
        <f>LEN(AC687)+LEN(AG687)</f>
        <v/>
      </c>
      <c r="AI687" s="10">
        <f>LEN(L687)</f>
        <v/>
      </c>
    </row>
    <row r="688">
      <c r="A688" s="46" t="n"/>
      <c r="B688" s="38" t="n"/>
      <c r="C688" s="41" t="n"/>
      <c r="D688" s="41" t="n"/>
      <c r="E688" s="41" t="n"/>
      <c r="F688" s="88" t="n"/>
      <c r="G688" s="89" t="n"/>
      <c r="H688" s="37" t="n"/>
      <c r="I688" s="42" t="n"/>
      <c r="J688" s="12">
        <f>IF(F688&lt;&gt;0,"LANÇAR","")</f>
        <v/>
      </c>
      <c r="K688" s="20" t="n"/>
      <c r="L688" s="13">
        <f>N688&amp;O688&amp;P688&amp;Q688&amp;R688&amp;S688&amp;T688&amp;U688&amp;V688&amp;W688&amp;X688&amp;Y688&amp;Z688&amp;AA688&amp;AB688&amp;AC688&amp;AD688&amp;AE688&amp;AF688&amp;AG688</f>
        <v/>
      </c>
      <c r="M688" s="20" t="n"/>
      <c r="N688" s="10">
        <f>TEXT($B$6,"00")</f>
        <v/>
      </c>
      <c r="O688" s="10">
        <f>REPT(" ",8)</f>
        <v/>
      </c>
      <c r="P688" s="10">
        <f>RIGHT($B$4,2)</f>
        <v/>
      </c>
      <c r="Q688" s="10">
        <f>RIGHT($B$5,3)</f>
        <v/>
      </c>
      <c r="R688" s="10">
        <f>IF(A688="D",LEFT(UPPER(B688)&amp;REPT(" ",20),20),REPT(" ",20))</f>
        <v/>
      </c>
      <c r="S688" s="10">
        <f>IF(A688="D",LEFT(UPPER(C688)&amp;REPT(" ",10),10)," ")</f>
        <v/>
      </c>
      <c r="T688" s="10">
        <f>IF(A688="D",LEFT(UPPER(D688)&amp;REPT(" ",2),2)," ")</f>
        <v/>
      </c>
      <c r="U688" s="10">
        <f>IF(A688="D",LEFT(UPPER(E688)&amp;REPT(" ",15),15)," ")</f>
        <v/>
      </c>
      <c r="V688" s="10">
        <f>REPT(" ",24)</f>
        <v/>
      </c>
      <c r="W688" s="10">
        <f>IF(A688="c",LEFT(UPPER(B688)&amp;REPT(" ",20),20),REPT(" ",20))</f>
        <v/>
      </c>
      <c r="X688" s="10">
        <f>IF(A688="C",LEFT(UPPER(C688)&amp;REPT(" ",10),10)," ")</f>
        <v/>
      </c>
      <c r="Y688" s="10">
        <f>IF(A688="C",LEFT(UPPER(D688)&amp;REPT(" ",2),2)," ")</f>
        <v/>
      </c>
      <c r="Z688" s="10">
        <f>IF(A688="C",LEFT(UPPER(E688)&amp;REPT(" ",15),15)," ")</f>
        <v/>
      </c>
      <c r="AA688" s="10">
        <f>REPT(" ",8)</f>
        <v/>
      </c>
      <c r="AB688" s="10">
        <f>REPT(" ",4)</f>
        <v/>
      </c>
      <c r="AC688" s="10">
        <f>LEFT(UPPER(H688)&amp;REPT(" ",250),250)</f>
        <v/>
      </c>
      <c r="AD688" s="10">
        <f>TEXT($G$2,"dd/mm/aaaa")</f>
        <v/>
      </c>
      <c r="AE688" s="10">
        <f>REPT(" ",10)</f>
        <v/>
      </c>
      <c r="AF688" s="10">
        <f>REPT(" ",20)</f>
        <v/>
      </c>
      <c r="AG688" s="54">
        <f>REPT(" ",18-LEN(FIXED(F688,2,TRUE)))&amp;FIXED(F688,2,TRUE)</f>
        <v/>
      </c>
      <c r="AH688" s="10">
        <f>LEN(AC688)+LEN(AG688)</f>
        <v/>
      </c>
      <c r="AI688" s="10">
        <f>LEN(L688)</f>
        <v/>
      </c>
    </row>
    <row r="689">
      <c r="A689" s="46" t="n"/>
      <c r="B689" s="38" t="n"/>
      <c r="C689" s="41" t="n"/>
      <c r="D689" s="41" t="n"/>
      <c r="E689" s="41" t="n"/>
      <c r="F689" s="88" t="n"/>
      <c r="G689" s="89" t="n"/>
      <c r="H689" s="37" t="n"/>
      <c r="I689" s="42" t="n"/>
      <c r="J689" s="12">
        <f>IF(F689&lt;&gt;0,"LANÇAR","")</f>
        <v/>
      </c>
      <c r="K689" s="20" t="n"/>
      <c r="L689" s="13">
        <f>N689&amp;O689&amp;P689&amp;Q689&amp;R689&amp;S689&amp;T689&amp;U689&amp;V689&amp;W689&amp;X689&amp;Y689&amp;Z689&amp;AA689&amp;AB689&amp;AC689&amp;AD689&amp;AE689&amp;AF689&amp;AG689</f>
        <v/>
      </c>
      <c r="M689" s="20" t="n"/>
      <c r="N689" s="10">
        <f>TEXT($B$6,"00")</f>
        <v/>
      </c>
      <c r="O689" s="10">
        <f>REPT(" ",8)</f>
        <v/>
      </c>
      <c r="P689" s="10">
        <f>RIGHT($B$4,2)</f>
        <v/>
      </c>
      <c r="Q689" s="10">
        <f>RIGHT($B$5,3)</f>
        <v/>
      </c>
      <c r="R689" s="10">
        <f>IF(A689="D",LEFT(UPPER(B689)&amp;REPT(" ",20),20),REPT(" ",20))</f>
        <v/>
      </c>
      <c r="S689" s="10">
        <f>IF(A689="D",LEFT(UPPER(C689)&amp;REPT(" ",10),10)," ")</f>
        <v/>
      </c>
      <c r="T689" s="10">
        <f>IF(A689="D",LEFT(UPPER(D689)&amp;REPT(" ",2),2)," ")</f>
        <v/>
      </c>
      <c r="U689" s="10">
        <f>IF(A689="D",LEFT(UPPER(E689)&amp;REPT(" ",15),15)," ")</f>
        <v/>
      </c>
      <c r="V689" s="10">
        <f>REPT(" ",24)</f>
        <v/>
      </c>
      <c r="W689" s="10">
        <f>IF(A689="c",LEFT(UPPER(B689)&amp;REPT(" ",20),20),REPT(" ",20))</f>
        <v/>
      </c>
      <c r="X689" s="10">
        <f>IF(A689="C",LEFT(UPPER(C689)&amp;REPT(" ",10),10)," ")</f>
        <v/>
      </c>
      <c r="Y689" s="10">
        <f>IF(A689="C",LEFT(UPPER(D689)&amp;REPT(" ",2),2)," ")</f>
        <v/>
      </c>
      <c r="Z689" s="10">
        <f>IF(A689="C",LEFT(UPPER(E689)&amp;REPT(" ",15),15)," ")</f>
        <v/>
      </c>
      <c r="AA689" s="10">
        <f>REPT(" ",8)</f>
        <v/>
      </c>
      <c r="AB689" s="10">
        <f>REPT(" ",4)</f>
        <v/>
      </c>
      <c r="AC689" s="10">
        <f>LEFT(UPPER(H689)&amp;REPT(" ",250),250)</f>
        <v/>
      </c>
      <c r="AD689" s="10">
        <f>TEXT($G$2,"dd/mm/aaaa")</f>
        <v/>
      </c>
      <c r="AE689" s="10">
        <f>REPT(" ",10)</f>
        <v/>
      </c>
      <c r="AF689" s="10">
        <f>REPT(" ",20)</f>
        <v/>
      </c>
      <c r="AG689" s="54">
        <f>REPT(" ",18-LEN(FIXED(F689,2,TRUE)))&amp;FIXED(F689,2,TRUE)</f>
        <v/>
      </c>
      <c r="AH689" s="10">
        <f>LEN(AC689)+LEN(AG689)</f>
        <v/>
      </c>
      <c r="AI689" s="10">
        <f>LEN(L689)</f>
        <v/>
      </c>
    </row>
    <row r="690">
      <c r="A690" s="46" t="n"/>
      <c r="B690" s="38" t="n"/>
      <c r="C690" s="41" t="n"/>
      <c r="D690" s="41" t="n"/>
      <c r="E690" s="41" t="n"/>
      <c r="F690" s="88" t="n"/>
      <c r="G690" s="89" t="n"/>
      <c r="H690" s="37" t="n"/>
      <c r="I690" s="42" t="n"/>
      <c r="J690" s="12">
        <f>IF(F690&lt;&gt;0,"LANÇAR","")</f>
        <v/>
      </c>
      <c r="K690" s="20" t="n"/>
      <c r="L690" s="13">
        <f>N690&amp;O690&amp;P690&amp;Q690&amp;R690&amp;S690&amp;T690&amp;U690&amp;V690&amp;W690&amp;X690&amp;Y690&amp;Z690&amp;AA690&amp;AB690&amp;AC690&amp;AD690&amp;AE690&amp;AF690&amp;AG690</f>
        <v/>
      </c>
      <c r="M690" s="20" t="n"/>
      <c r="N690" s="10">
        <f>TEXT($B$6,"00")</f>
        <v/>
      </c>
      <c r="O690" s="10">
        <f>REPT(" ",8)</f>
        <v/>
      </c>
      <c r="P690" s="10">
        <f>RIGHT($B$4,2)</f>
        <v/>
      </c>
      <c r="Q690" s="10">
        <f>RIGHT($B$5,3)</f>
        <v/>
      </c>
      <c r="R690" s="10">
        <f>IF(A690="D",LEFT(UPPER(B690)&amp;REPT(" ",20),20),REPT(" ",20))</f>
        <v/>
      </c>
      <c r="S690" s="10">
        <f>IF(A690="D",LEFT(UPPER(C690)&amp;REPT(" ",10),10)," ")</f>
        <v/>
      </c>
      <c r="T690" s="10">
        <f>IF(A690="D",LEFT(UPPER(D690)&amp;REPT(" ",2),2)," ")</f>
        <v/>
      </c>
      <c r="U690" s="10">
        <f>IF(A690="D",LEFT(UPPER(E690)&amp;REPT(" ",15),15)," ")</f>
        <v/>
      </c>
      <c r="V690" s="10">
        <f>REPT(" ",24)</f>
        <v/>
      </c>
      <c r="W690" s="10">
        <f>IF(A690="c",LEFT(UPPER(B690)&amp;REPT(" ",20),20),REPT(" ",20))</f>
        <v/>
      </c>
      <c r="X690" s="10">
        <f>IF(A690="C",LEFT(UPPER(C690)&amp;REPT(" ",10),10)," ")</f>
        <v/>
      </c>
      <c r="Y690" s="10">
        <f>IF(A690="C",LEFT(UPPER(D690)&amp;REPT(" ",2),2)," ")</f>
        <v/>
      </c>
      <c r="Z690" s="10">
        <f>IF(A690="C",LEFT(UPPER(E690)&amp;REPT(" ",15),15)," ")</f>
        <v/>
      </c>
      <c r="AA690" s="10">
        <f>REPT(" ",8)</f>
        <v/>
      </c>
      <c r="AB690" s="10">
        <f>REPT(" ",4)</f>
        <v/>
      </c>
      <c r="AC690" s="10">
        <f>LEFT(UPPER(H690)&amp;REPT(" ",250),250)</f>
        <v/>
      </c>
      <c r="AD690" s="10">
        <f>TEXT($G$2,"dd/mm/aaaa")</f>
        <v/>
      </c>
      <c r="AE690" s="10">
        <f>REPT(" ",10)</f>
        <v/>
      </c>
      <c r="AF690" s="10">
        <f>REPT(" ",20)</f>
        <v/>
      </c>
      <c r="AG690" s="54">
        <f>REPT(" ",18-LEN(FIXED(F690,2,TRUE)))&amp;FIXED(F690,2,TRUE)</f>
        <v/>
      </c>
      <c r="AH690" s="10">
        <f>LEN(AC690)+LEN(AG690)</f>
        <v/>
      </c>
      <c r="AI690" s="10">
        <f>LEN(L690)</f>
        <v/>
      </c>
    </row>
    <row r="691">
      <c r="A691" s="46" t="n"/>
      <c r="B691" s="38" t="n"/>
      <c r="C691" s="41" t="n"/>
      <c r="D691" s="41" t="n"/>
      <c r="E691" s="41" t="n"/>
      <c r="F691" s="88" t="n"/>
      <c r="G691" s="89" t="n"/>
      <c r="H691" s="37" t="n"/>
      <c r="I691" s="42" t="n"/>
      <c r="J691" s="12">
        <f>IF(F691&lt;&gt;0,"LANÇAR","")</f>
        <v/>
      </c>
      <c r="K691" s="20" t="n"/>
      <c r="L691" s="13">
        <f>N691&amp;O691&amp;P691&amp;Q691&amp;R691&amp;S691&amp;T691&amp;U691&amp;V691&amp;W691&amp;X691&amp;Y691&amp;Z691&amp;AA691&amp;AB691&amp;AC691&amp;AD691&amp;AE691&amp;AF691&amp;AG691</f>
        <v/>
      </c>
      <c r="M691" s="20" t="n"/>
      <c r="N691" s="10">
        <f>TEXT($B$6,"00")</f>
        <v/>
      </c>
      <c r="O691" s="10">
        <f>REPT(" ",8)</f>
        <v/>
      </c>
      <c r="P691" s="10">
        <f>RIGHT($B$4,2)</f>
        <v/>
      </c>
      <c r="Q691" s="10">
        <f>RIGHT($B$5,3)</f>
        <v/>
      </c>
      <c r="R691" s="10">
        <f>IF(A691="D",LEFT(UPPER(B691)&amp;REPT(" ",20),20),REPT(" ",20))</f>
        <v/>
      </c>
      <c r="S691" s="10">
        <f>IF(A691="D",LEFT(UPPER(C691)&amp;REPT(" ",10),10)," ")</f>
        <v/>
      </c>
      <c r="T691" s="10">
        <f>IF(A691="D",LEFT(UPPER(D691)&amp;REPT(" ",2),2)," ")</f>
        <v/>
      </c>
      <c r="U691" s="10">
        <f>IF(A691="D",LEFT(UPPER(E691)&amp;REPT(" ",15),15)," ")</f>
        <v/>
      </c>
      <c r="V691" s="10">
        <f>REPT(" ",24)</f>
        <v/>
      </c>
      <c r="W691" s="10">
        <f>IF(A691="c",LEFT(UPPER(B691)&amp;REPT(" ",20),20),REPT(" ",20))</f>
        <v/>
      </c>
      <c r="X691" s="10">
        <f>IF(A691="C",LEFT(UPPER(C691)&amp;REPT(" ",10),10)," ")</f>
        <v/>
      </c>
      <c r="Y691" s="10">
        <f>IF(A691="C",LEFT(UPPER(D691)&amp;REPT(" ",2),2)," ")</f>
        <v/>
      </c>
      <c r="Z691" s="10">
        <f>IF(A691="C",LEFT(UPPER(E691)&amp;REPT(" ",15),15)," ")</f>
        <v/>
      </c>
      <c r="AA691" s="10">
        <f>REPT(" ",8)</f>
        <v/>
      </c>
      <c r="AB691" s="10">
        <f>REPT(" ",4)</f>
        <v/>
      </c>
      <c r="AC691" s="10">
        <f>LEFT(UPPER(H691)&amp;REPT(" ",250),250)</f>
        <v/>
      </c>
      <c r="AD691" s="10">
        <f>TEXT($G$2,"dd/mm/aaaa")</f>
        <v/>
      </c>
      <c r="AE691" s="10">
        <f>REPT(" ",10)</f>
        <v/>
      </c>
      <c r="AF691" s="10">
        <f>REPT(" ",20)</f>
        <v/>
      </c>
      <c r="AG691" s="54">
        <f>REPT(" ",18-LEN(FIXED(F691,2,TRUE)))&amp;FIXED(F691,2,TRUE)</f>
        <v/>
      </c>
      <c r="AH691" s="10">
        <f>LEN(AC691)+LEN(AG691)</f>
        <v/>
      </c>
      <c r="AI691" s="10">
        <f>LEN(L691)</f>
        <v/>
      </c>
    </row>
    <row r="692">
      <c r="A692" s="46" t="n"/>
      <c r="B692" s="38" t="n"/>
      <c r="C692" s="41" t="n"/>
      <c r="D692" s="41" t="n"/>
      <c r="E692" s="41" t="n"/>
      <c r="F692" s="88" t="n"/>
      <c r="G692" s="89" t="n"/>
      <c r="H692" s="37" t="n"/>
      <c r="I692" s="42" t="n"/>
      <c r="J692" s="12">
        <f>IF(F692&lt;&gt;0,"LANÇAR","")</f>
        <v/>
      </c>
      <c r="K692" s="20" t="n"/>
      <c r="L692" s="13">
        <f>N692&amp;O692&amp;P692&amp;Q692&amp;R692&amp;S692&amp;T692&amp;U692&amp;V692&amp;W692&amp;X692&amp;Y692&amp;Z692&amp;AA692&amp;AB692&amp;AC692&amp;AD692&amp;AE692&amp;AF692&amp;AG692</f>
        <v/>
      </c>
      <c r="M692" s="20" t="n"/>
      <c r="N692" s="10">
        <f>TEXT($B$6,"00")</f>
        <v/>
      </c>
      <c r="O692" s="10">
        <f>REPT(" ",8)</f>
        <v/>
      </c>
      <c r="P692" s="10">
        <f>RIGHT($B$4,2)</f>
        <v/>
      </c>
      <c r="Q692" s="10">
        <f>RIGHT($B$5,3)</f>
        <v/>
      </c>
      <c r="R692" s="10">
        <f>IF(A692="D",LEFT(UPPER(B692)&amp;REPT(" ",20),20),REPT(" ",20))</f>
        <v/>
      </c>
      <c r="S692" s="10">
        <f>IF(A692="D",LEFT(UPPER(C692)&amp;REPT(" ",10),10)," ")</f>
        <v/>
      </c>
      <c r="T692" s="10">
        <f>IF(A692="D",LEFT(UPPER(D692)&amp;REPT(" ",2),2)," ")</f>
        <v/>
      </c>
      <c r="U692" s="10">
        <f>IF(A692="D",LEFT(UPPER(E692)&amp;REPT(" ",15),15)," ")</f>
        <v/>
      </c>
      <c r="V692" s="10">
        <f>REPT(" ",24)</f>
        <v/>
      </c>
      <c r="W692" s="10">
        <f>IF(A692="c",LEFT(UPPER(B692)&amp;REPT(" ",20),20),REPT(" ",20))</f>
        <v/>
      </c>
      <c r="X692" s="10">
        <f>IF(A692="C",LEFT(UPPER(C692)&amp;REPT(" ",10),10)," ")</f>
        <v/>
      </c>
      <c r="Y692" s="10">
        <f>IF(A692="C",LEFT(UPPER(D692)&amp;REPT(" ",2),2)," ")</f>
        <v/>
      </c>
      <c r="Z692" s="10">
        <f>IF(A692="C",LEFT(UPPER(E692)&amp;REPT(" ",15),15)," ")</f>
        <v/>
      </c>
      <c r="AA692" s="10">
        <f>REPT(" ",8)</f>
        <v/>
      </c>
      <c r="AB692" s="10">
        <f>REPT(" ",4)</f>
        <v/>
      </c>
      <c r="AC692" s="10">
        <f>LEFT(UPPER(H692)&amp;REPT(" ",250),250)</f>
        <v/>
      </c>
      <c r="AD692" s="10">
        <f>TEXT($G$2,"dd/mm/aaaa")</f>
        <v/>
      </c>
      <c r="AE692" s="10">
        <f>REPT(" ",10)</f>
        <v/>
      </c>
      <c r="AF692" s="10">
        <f>REPT(" ",20)</f>
        <v/>
      </c>
      <c r="AG692" s="54">
        <f>REPT(" ",18-LEN(FIXED(F692,2,TRUE)))&amp;FIXED(F692,2,TRUE)</f>
        <v/>
      </c>
      <c r="AH692" s="10">
        <f>LEN(AC692)+LEN(AG692)</f>
        <v/>
      </c>
      <c r="AI692" s="10">
        <f>LEN(L692)</f>
        <v/>
      </c>
    </row>
    <row r="693">
      <c r="A693" s="46" t="n"/>
      <c r="B693" s="38" t="n"/>
      <c r="C693" s="41" t="n"/>
      <c r="D693" s="41" t="n"/>
      <c r="E693" s="41" t="n"/>
      <c r="F693" s="88" t="n"/>
      <c r="G693" s="89" t="n"/>
      <c r="H693" s="37" t="n"/>
      <c r="I693" s="42" t="n"/>
      <c r="J693" s="12">
        <f>IF(F693&lt;&gt;0,"LANÇAR","")</f>
        <v/>
      </c>
      <c r="K693" s="20" t="n"/>
      <c r="L693" s="13">
        <f>N693&amp;O693&amp;P693&amp;Q693&amp;R693&amp;S693&amp;T693&amp;U693&amp;V693&amp;W693&amp;X693&amp;Y693&amp;Z693&amp;AA693&amp;AB693&amp;AC693&amp;AD693&amp;AE693&amp;AF693&amp;AG693</f>
        <v/>
      </c>
      <c r="M693" s="20" t="n"/>
      <c r="N693" s="10">
        <f>TEXT($B$6,"00")</f>
        <v/>
      </c>
      <c r="O693" s="10">
        <f>REPT(" ",8)</f>
        <v/>
      </c>
      <c r="P693" s="10">
        <f>RIGHT($B$4,2)</f>
        <v/>
      </c>
      <c r="Q693" s="10">
        <f>RIGHT($B$5,3)</f>
        <v/>
      </c>
      <c r="R693" s="10">
        <f>IF(A693="D",LEFT(UPPER(B693)&amp;REPT(" ",20),20),REPT(" ",20))</f>
        <v/>
      </c>
      <c r="S693" s="10">
        <f>IF(A693="D",LEFT(UPPER(C693)&amp;REPT(" ",10),10)," ")</f>
        <v/>
      </c>
      <c r="T693" s="10">
        <f>IF(A693="D",LEFT(UPPER(D693)&amp;REPT(" ",2),2)," ")</f>
        <v/>
      </c>
      <c r="U693" s="10">
        <f>IF(A693="D",LEFT(UPPER(E693)&amp;REPT(" ",15),15)," ")</f>
        <v/>
      </c>
      <c r="V693" s="10">
        <f>REPT(" ",24)</f>
        <v/>
      </c>
      <c r="W693" s="10">
        <f>IF(A693="c",LEFT(UPPER(B693)&amp;REPT(" ",20),20),REPT(" ",20))</f>
        <v/>
      </c>
      <c r="X693" s="10">
        <f>IF(A693="C",LEFT(UPPER(C693)&amp;REPT(" ",10),10)," ")</f>
        <v/>
      </c>
      <c r="Y693" s="10">
        <f>IF(A693="C",LEFT(UPPER(D693)&amp;REPT(" ",2),2)," ")</f>
        <v/>
      </c>
      <c r="Z693" s="10">
        <f>IF(A693="C",LEFT(UPPER(E693)&amp;REPT(" ",15),15)," ")</f>
        <v/>
      </c>
      <c r="AA693" s="10">
        <f>REPT(" ",8)</f>
        <v/>
      </c>
      <c r="AB693" s="10">
        <f>REPT(" ",4)</f>
        <v/>
      </c>
      <c r="AC693" s="10">
        <f>LEFT(UPPER(H693)&amp;REPT(" ",250),250)</f>
        <v/>
      </c>
      <c r="AD693" s="10">
        <f>TEXT($G$2,"dd/mm/aaaa")</f>
        <v/>
      </c>
      <c r="AE693" s="10">
        <f>REPT(" ",10)</f>
        <v/>
      </c>
      <c r="AF693" s="10">
        <f>REPT(" ",20)</f>
        <v/>
      </c>
      <c r="AG693" s="54">
        <f>REPT(" ",18-LEN(FIXED(F693,2,TRUE)))&amp;FIXED(F693,2,TRUE)</f>
        <v/>
      </c>
      <c r="AH693" s="10">
        <f>LEN(AC693)+LEN(AG693)</f>
        <v/>
      </c>
      <c r="AI693" s="10">
        <f>LEN(L693)</f>
        <v/>
      </c>
    </row>
    <row r="694">
      <c r="A694" s="46" t="n"/>
      <c r="B694" s="38" t="n"/>
      <c r="C694" s="41" t="n"/>
      <c r="D694" s="41" t="n"/>
      <c r="E694" s="41" t="n"/>
      <c r="F694" s="88" t="n"/>
      <c r="G694" s="89" t="n"/>
      <c r="H694" s="37" t="n"/>
      <c r="I694" s="42" t="n"/>
      <c r="J694" s="12">
        <f>IF(F694&lt;&gt;0,"LANÇAR","")</f>
        <v/>
      </c>
      <c r="K694" s="20" t="n"/>
      <c r="L694" s="13">
        <f>N694&amp;O694&amp;P694&amp;Q694&amp;R694&amp;S694&amp;T694&amp;U694&amp;V694&amp;W694&amp;X694&amp;Y694&amp;Z694&amp;AA694&amp;AB694&amp;AC694&amp;AD694&amp;AE694&amp;AF694&amp;AG694</f>
        <v/>
      </c>
      <c r="M694" s="20" t="n"/>
      <c r="N694" s="10">
        <f>TEXT($B$6,"00")</f>
        <v/>
      </c>
      <c r="O694" s="10">
        <f>REPT(" ",8)</f>
        <v/>
      </c>
      <c r="P694" s="10">
        <f>RIGHT($B$4,2)</f>
        <v/>
      </c>
      <c r="Q694" s="10">
        <f>RIGHT($B$5,3)</f>
        <v/>
      </c>
      <c r="R694" s="10">
        <f>IF(A694="D",LEFT(UPPER(B694)&amp;REPT(" ",20),20),REPT(" ",20))</f>
        <v/>
      </c>
      <c r="S694" s="10">
        <f>IF(A694="D",LEFT(UPPER(C694)&amp;REPT(" ",10),10)," ")</f>
        <v/>
      </c>
      <c r="T694" s="10">
        <f>IF(A694="D",LEFT(UPPER(D694)&amp;REPT(" ",2),2)," ")</f>
        <v/>
      </c>
      <c r="U694" s="10">
        <f>IF(A694="D",LEFT(UPPER(E694)&amp;REPT(" ",15),15)," ")</f>
        <v/>
      </c>
      <c r="V694" s="10">
        <f>REPT(" ",24)</f>
        <v/>
      </c>
      <c r="W694" s="10">
        <f>IF(A694="c",LEFT(UPPER(B694)&amp;REPT(" ",20),20),REPT(" ",20))</f>
        <v/>
      </c>
      <c r="X694" s="10">
        <f>IF(A694="C",LEFT(UPPER(C694)&amp;REPT(" ",10),10)," ")</f>
        <v/>
      </c>
      <c r="Y694" s="10">
        <f>IF(A694="C",LEFT(UPPER(D694)&amp;REPT(" ",2),2)," ")</f>
        <v/>
      </c>
      <c r="Z694" s="10">
        <f>IF(A694="C",LEFT(UPPER(E694)&amp;REPT(" ",15),15)," ")</f>
        <v/>
      </c>
      <c r="AA694" s="10">
        <f>REPT(" ",8)</f>
        <v/>
      </c>
      <c r="AB694" s="10">
        <f>REPT(" ",4)</f>
        <v/>
      </c>
      <c r="AC694" s="10">
        <f>LEFT(UPPER(H694)&amp;REPT(" ",250),250)</f>
        <v/>
      </c>
      <c r="AD694" s="10">
        <f>TEXT($G$2,"dd/mm/aaaa")</f>
        <v/>
      </c>
      <c r="AE694" s="10">
        <f>REPT(" ",10)</f>
        <v/>
      </c>
      <c r="AF694" s="10">
        <f>REPT(" ",20)</f>
        <v/>
      </c>
      <c r="AG694" s="54">
        <f>REPT(" ",18-LEN(FIXED(F694,2,TRUE)))&amp;FIXED(F694,2,TRUE)</f>
        <v/>
      </c>
      <c r="AH694" s="10">
        <f>LEN(AC694)+LEN(AG694)</f>
        <v/>
      </c>
      <c r="AI694" s="10">
        <f>LEN(L694)</f>
        <v/>
      </c>
    </row>
    <row r="695">
      <c r="A695" s="46" t="n"/>
      <c r="B695" s="38" t="n"/>
      <c r="C695" s="41" t="n"/>
      <c r="D695" s="41" t="n"/>
      <c r="E695" s="41" t="n"/>
      <c r="F695" s="88" t="n"/>
      <c r="G695" s="89" t="n"/>
      <c r="H695" s="37" t="n"/>
      <c r="I695" s="42" t="n"/>
      <c r="J695" s="12">
        <f>IF(F695&lt;&gt;0,"LANÇAR","")</f>
        <v/>
      </c>
      <c r="K695" s="20" t="n"/>
      <c r="L695" s="13">
        <f>N695&amp;O695&amp;P695&amp;Q695&amp;R695&amp;S695&amp;T695&amp;U695&amp;V695&amp;W695&amp;X695&amp;Y695&amp;Z695&amp;AA695&amp;AB695&amp;AC695&amp;AD695&amp;AE695&amp;AF695&amp;AG695</f>
        <v/>
      </c>
      <c r="M695" s="20" t="n"/>
      <c r="N695" s="10">
        <f>TEXT($B$6,"00")</f>
        <v/>
      </c>
      <c r="O695" s="10">
        <f>REPT(" ",8)</f>
        <v/>
      </c>
      <c r="P695" s="10">
        <f>RIGHT($B$4,2)</f>
        <v/>
      </c>
      <c r="Q695" s="10">
        <f>RIGHT($B$5,3)</f>
        <v/>
      </c>
      <c r="R695" s="10">
        <f>IF(A695="D",LEFT(UPPER(B695)&amp;REPT(" ",20),20),REPT(" ",20))</f>
        <v/>
      </c>
      <c r="S695" s="10">
        <f>IF(A695="D",LEFT(UPPER(C695)&amp;REPT(" ",10),10)," ")</f>
        <v/>
      </c>
      <c r="T695" s="10">
        <f>IF(A695="D",LEFT(UPPER(D695)&amp;REPT(" ",2),2)," ")</f>
        <v/>
      </c>
      <c r="U695" s="10">
        <f>IF(A695="D",LEFT(UPPER(E695)&amp;REPT(" ",15),15)," ")</f>
        <v/>
      </c>
      <c r="V695" s="10">
        <f>REPT(" ",24)</f>
        <v/>
      </c>
      <c r="W695" s="10">
        <f>IF(A695="c",LEFT(UPPER(B695)&amp;REPT(" ",20),20),REPT(" ",20))</f>
        <v/>
      </c>
      <c r="X695" s="10">
        <f>IF(A695="C",LEFT(UPPER(C695)&amp;REPT(" ",10),10)," ")</f>
        <v/>
      </c>
      <c r="Y695" s="10">
        <f>IF(A695="C",LEFT(UPPER(D695)&amp;REPT(" ",2),2)," ")</f>
        <v/>
      </c>
      <c r="Z695" s="10">
        <f>IF(A695="C",LEFT(UPPER(E695)&amp;REPT(" ",15),15)," ")</f>
        <v/>
      </c>
      <c r="AA695" s="10">
        <f>REPT(" ",8)</f>
        <v/>
      </c>
      <c r="AB695" s="10">
        <f>REPT(" ",4)</f>
        <v/>
      </c>
      <c r="AC695" s="10">
        <f>LEFT(UPPER(H695)&amp;REPT(" ",250),250)</f>
        <v/>
      </c>
      <c r="AD695" s="10">
        <f>TEXT($G$2,"dd/mm/aaaa")</f>
        <v/>
      </c>
      <c r="AE695" s="10">
        <f>REPT(" ",10)</f>
        <v/>
      </c>
      <c r="AF695" s="10">
        <f>REPT(" ",20)</f>
        <v/>
      </c>
      <c r="AG695" s="54">
        <f>REPT(" ",18-LEN(FIXED(F695,2,TRUE)))&amp;FIXED(F695,2,TRUE)</f>
        <v/>
      </c>
      <c r="AH695" s="10">
        <f>LEN(AC695)+LEN(AG695)</f>
        <v/>
      </c>
      <c r="AI695" s="10">
        <f>LEN(L695)</f>
        <v/>
      </c>
    </row>
    <row r="696">
      <c r="A696" s="46" t="n"/>
      <c r="B696" s="38" t="n"/>
      <c r="C696" s="41" t="n"/>
      <c r="D696" s="41" t="n"/>
      <c r="E696" s="41" t="n"/>
      <c r="F696" s="88" t="n"/>
      <c r="G696" s="89" t="n"/>
      <c r="H696" s="37" t="n"/>
      <c r="I696" s="42" t="n"/>
      <c r="J696" s="12">
        <f>IF(F696&lt;&gt;0,"LANÇAR","")</f>
        <v/>
      </c>
      <c r="K696" s="20" t="n"/>
      <c r="L696" s="13">
        <f>N696&amp;O696&amp;P696&amp;Q696&amp;R696&amp;S696&amp;T696&amp;U696&amp;V696&amp;W696&amp;X696&amp;Y696&amp;Z696&amp;AA696&amp;AB696&amp;AC696&amp;AD696&amp;AE696&amp;AF696&amp;AG696</f>
        <v/>
      </c>
      <c r="M696" s="20" t="n"/>
      <c r="N696" s="10">
        <f>TEXT($B$6,"00")</f>
        <v/>
      </c>
      <c r="O696" s="10">
        <f>REPT(" ",8)</f>
        <v/>
      </c>
      <c r="P696" s="10">
        <f>RIGHT($B$4,2)</f>
        <v/>
      </c>
      <c r="Q696" s="10">
        <f>RIGHT($B$5,3)</f>
        <v/>
      </c>
      <c r="R696" s="10">
        <f>IF(A696="D",LEFT(UPPER(B696)&amp;REPT(" ",20),20),REPT(" ",20))</f>
        <v/>
      </c>
      <c r="S696" s="10">
        <f>IF(A696="D",LEFT(UPPER(C696)&amp;REPT(" ",10),10)," ")</f>
        <v/>
      </c>
      <c r="T696" s="10">
        <f>IF(A696="D",LEFT(UPPER(D696)&amp;REPT(" ",2),2)," ")</f>
        <v/>
      </c>
      <c r="U696" s="10">
        <f>IF(A696="D",LEFT(UPPER(E696)&amp;REPT(" ",15),15)," ")</f>
        <v/>
      </c>
      <c r="V696" s="10">
        <f>REPT(" ",24)</f>
        <v/>
      </c>
      <c r="W696" s="10">
        <f>IF(A696="c",LEFT(UPPER(B696)&amp;REPT(" ",20),20),REPT(" ",20))</f>
        <v/>
      </c>
      <c r="X696" s="10">
        <f>IF(A696="C",LEFT(UPPER(C696)&amp;REPT(" ",10),10)," ")</f>
        <v/>
      </c>
      <c r="Y696" s="10">
        <f>IF(A696="C",LEFT(UPPER(D696)&amp;REPT(" ",2),2)," ")</f>
        <v/>
      </c>
      <c r="Z696" s="10">
        <f>IF(A696="C",LEFT(UPPER(E696)&amp;REPT(" ",15),15)," ")</f>
        <v/>
      </c>
      <c r="AA696" s="10">
        <f>REPT(" ",8)</f>
        <v/>
      </c>
      <c r="AB696" s="10">
        <f>REPT(" ",4)</f>
        <v/>
      </c>
      <c r="AC696" s="10">
        <f>LEFT(UPPER(H696)&amp;REPT(" ",250),250)</f>
        <v/>
      </c>
      <c r="AD696" s="10">
        <f>TEXT($G$2,"dd/mm/aaaa")</f>
        <v/>
      </c>
      <c r="AE696" s="10">
        <f>REPT(" ",10)</f>
        <v/>
      </c>
      <c r="AF696" s="10">
        <f>REPT(" ",20)</f>
        <v/>
      </c>
      <c r="AG696" s="54">
        <f>REPT(" ",18-LEN(FIXED(F696,2,TRUE)))&amp;FIXED(F696,2,TRUE)</f>
        <v/>
      </c>
      <c r="AH696" s="10">
        <f>LEN(AC696)+LEN(AG696)</f>
        <v/>
      </c>
      <c r="AI696" s="10">
        <f>LEN(L696)</f>
        <v/>
      </c>
    </row>
    <row r="697">
      <c r="A697" s="46" t="n"/>
      <c r="B697" s="38" t="n"/>
      <c r="C697" s="41" t="n"/>
      <c r="D697" s="41" t="n"/>
      <c r="E697" s="41" t="n"/>
      <c r="F697" s="88" t="n"/>
      <c r="G697" s="89" t="n"/>
      <c r="H697" s="37" t="n"/>
      <c r="I697" s="42" t="n"/>
      <c r="J697" s="12">
        <f>IF(F697&lt;&gt;0,"LANÇAR","")</f>
        <v/>
      </c>
      <c r="K697" s="20" t="n"/>
      <c r="L697" s="13">
        <f>N697&amp;O697&amp;P697&amp;Q697&amp;R697&amp;S697&amp;T697&amp;U697&amp;V697&amp;W697&amp;X697&amp;Y697&amp;Z697&amp;AA697&amp;AB697&amp;AC697&amp;AD697&amp;AE697&amp;AF697&amp;AG697</f>
        <v/>
      </c>
      <c r="M697" s="20" t="n"/>
      <c r="N697" s="10">
        <f>TEXT($B$6,"00")</f>
        <v/>
      </c>
      <c r="O697" s="10">
        <f>REPT(" ",8)</f>
        <v/>
      </c>
      <c r="P697" s="10">
        <f>RIGHT($B$4,2)</f>
        <v/>
      </c>
      <c r="Q697" s="10">
        <f>RIGHT($B$5,3)</f>
        <v/>
      </c>
      <c r="R697" s="10">
        <f>IF(A697="D",LEFT(UPPER(B697)&amp;REPT(" ",20),20),REPT(" ",20))</f>
        <v/>
      </c>
      <c r="S697" s="10">
        <f>IF(A697="D",LEFT(UPPER(C697)&amp;REPT(" ",10),10)," ")</f>
        <v/>
      </c>
      <c r="T697" s="10">
        <f>IF(A697="D",LEFT(UPPER(D697)&amp;REPT(" ",2),2)," ")</f>
        <v/>
      </c>
      <c r="U697" s="10">
        <f>IF(A697="D",LEFT(UPPER(E697)&amp;REPT(" ",15),15)," ")</f>
        <v/>
      </c>
      <c r="V697" s="10">
        <f>REPT(" ",24)</f>
        <v/>
      </c>
      <c r="W697" s="10">
        <f>IF(A697="c",LEFT(UPPER(B697)&amp;REPT(" ",20),20),REPT(" ",20))</f>
        <v/>
      </c>
      <c r="X697" s="10">
        <f>IF(A697="C",LEFT(UPPER(C697)&amp;REPT(" ",10),10)," ")</f>
        <v/>
      </c>
      <c r="Y697" s="10">
        <f>IF(A697="C",LEFT(UPPER(D697)&amp;REPT(" ",2),2)," ")</f>
        <v/>
      </c>
      <c r="Z697" s="10">
        <f>IF(A697="C",LEFT(UPPER(E697)&amp;REPT(" ",15),15)," ")</f>
        <v/>
      </c>
      <c r="AA697" s="10">
        <f>REPT(" ",8)</f>
        <v/>
      </c>
      <c r="AB697" s="10">
        <f>REPT(" ",4)</f>
        <v/>
      </c>
      <c r="AC697" s="10">
        <f>LEFT(UPPER(H697)&amp;REPT(" ",250),250)</f>
        <v/>
      </c>
      <c r="AD697" s="10">
        <f>TEXT($G$2,"dd/mm/aaaa")</f>
        <v/>
      </c>
      <c r="AE697" s="10">
        <f>REPT(" ",10)</f>
        <v/>
      </c>
      <c r="AF697" s="10">
        <f>REPT(" ",20)</f>
        <v/>
      </c>
      <c r="AG697" s="54">
        <f>REPT(" ",18-LEN(FIXED(F697,2,TRUE)))&amp;FIXED(F697,2,TRUE)</f>
        <v/>
      </c>
      <c r="AH697" s="10">
        <f>LEN(AC697)+LEN(AG697)</f>
        <v/>
      </c>
      <c r="AI697" s="10">
        <f>LEN(L697)</f>
        <v/>
      </c>
    </row>
    <row r="698">
      <c r="A698" s="46" t="n"/>
      <c r="B698" s="38" t="n"/>
      <c r="C698" s="41" t="n"/>
      <c r="D698" s="41" t="n"/>
      <c r="E698" s="41" t="n"/>
      <c r="F698" s="88" t="n"/>
      <c r="G698" s="89" t="n"/>
      <c r="H698" s="37" t="n"/>
      <c r="I698" s="42" t="n"/>
      <c r="J698" s="12">
        <f>IF(F698&lt;&gt;0,"LANÇAR","")</f>
        <v/>
      </c>
      <c r="K698" s="20" t="n"/>
      <c r="L698" s="13">
        <f>N698&amp;O698&amp;P698&amp;Q698&amp;R698&amp;S698&amp;T698&amp;U698&amp;V698&amp;W698&amp;X698&amp;Y698&amp;Z698&amp;AA698&amp;AB698&amp;AC698&amp;AD698&amp;AE698&amp;AF698&amp;AG698</f>
        <v/>
      </c>
      <c r="M698" s="20" t="n"/>
      <c r="N698" s="10">
        <f>TEXT($B$6,"00")</f>
        <v/>
      </c>
      <c r="O698" s="10">
        <f>REPT(" ",8)</f>
        <v/>
      </c>
      <c r="P698" s="10">
        <f>RIGHT($B$4,2)</f>
        <v/>
      </c>
      <c r="Q698" s="10">
        <f>RIGHT($B$5,3)</f>
        <v/>
      </c>
      <c r="R698" s="10">
        <f>IF(A698="D",LEFT(UPPER(B698)&amp;REPT(" ",20),20),REPT(" ",20))</f>
        <v/>
      </c>
      <c r="S698" s="10">
        <f>IF(A698="D",LEFT(UPPER(C698)&amp;REPT(" ",10),10)," ")</f>
        <v/>
      </c>
      <c r="T698" s="10">
        <f>IF(A698="D",LEFT(UPPER(D698)&amp;REPT(" ",2),2)," ")</f>
        <v/>
      </c>
      <c r="U698" s="10">
        <f>IF(A698="D",LEFT(UPPER(E698)&amp;REPT(" ",15),15)," ")</f>
        <v/>
      </c>
      <c r="V698" s="10">
        <f>REPT(" ",24)</f>
        <v/>
      </c>
      <c r="W698" s="10">
        <f>IF(A698="c",LEFT(UPPER(B698)&amp;REPT(" ",20),20),REPT(" ",20))</f>
        <v/>
      </c>
      <c r="X698" s="10">
        <f>IF(A698="C",LEFT(UPPER(C698)&amp;REPT(" ",10),10)," ")</f>
        <v/>
      </c>
      <c r="Y698" s="10">
        <f>IF(A698="C",LEFT(UPPER(D698)&amp;REPT(" ",2),2)," ")</f>
        <v/>
      </c>
      <c r="Z698" s="10">
        <f>IF(A698="C",LEFT(UPPER(E698)&amp;REPT(" ",15),15)," ")</f>
        <v/>
      </c>
      <c r="AA698" s="10">
        <f>REPT(" ",8)</f>
        <v/>
      </c>
      <c r="AB698" s="10">
        <f>REPT(" ",4)</f>
        <v/>
      </c>
      <c r="AC698" s="10">
        <f>LEFT(UPPER(H698)&amp;REPT(" ",250),250)</f>
        <v/>
      </c>
      <c r="AD698" s="10">
        <f>TEXT($G$2,"dd/mm/aaaa")</f>
        <v/>
      </c>
      <c r="AE698" s="10">
        <f>REPT(" ",10)</f>
        <v/>
      </c>
      <c r="AF698" s="10">
        <f>REPT(" ",20)</f>
        <v/>
      </c>
      <c r="AG698" s="54">
        <f>REPT(" ",18-LEN(FIXED(F698,2,TRUE)))&amp;FIXED(F698,2,TRUE)</f>
        <v/>
      </c>
      <c r="AH698" s="10">
        <f>LEN(AC698)+LEN(AG698)</f>
        <v/>
      </c>
      <c r="AI698" s="10">
        <f>LEN(L698)</f>
        <v/>
      </c>
    </row>
    <row r="699">
      <c r="A699" s="46" t="n"/>
      <c r="B699" s="38" t="n"/>
      <c r="C699" s="41" t="n"/>
      <c r="D699" s="41" t="n"/>
      <c r="E699" s="41" t="n"/>
      <c r="F699" s="88" t="n"/>
      <c r="G699" s="89" t="n"/>
      <c r="H699" s="37" t="n"/>
      <c r="I699" s="42" t="n"/>
      <c r="J699" s="12">
        <f>IF(F699&lt;&gt;0,"LANÇAR","")</f>
        <v/>
      </c>
      <c r="K699" s="20" t="n"/>
      <c r="L699" s="13">
        <f>N699&amp;O699&amp;P699&amp;Q699&amp;R699&amp;S699&amp;T699&amp;U699&amp;V699&amp;W699&amp;X699&amp;Y699&amp;Z699&amp;AA699&amp;AB699&amp;AC699&amp;AD699&amp;AE699&amp;AF699&amp;AG699</f>
        <v/>
      </c>
      <c r="M699" s="20" t="n"/>
      <c r="N699" s="10">
        <f>TEXT($B$6,"00")</f>
        <v/>
      </c>
      <c r="O699" s="10">
        <f>REPT(" ",8)</f>
        <v/>
      </c>
      <c r="P699" s="10">
        <f>RIGHT($B$4,2)</f>
        <v/>
      </c>
      <c r="Q699" s="10">
        <f>RIGHT($B$5,3)</f>
        <v/>
      </c>
      <c r="R699" s="10">
        <f>IF(A699="D",LEFT(UPPER(B699)&amp;REPT(" ",20),20),REPT(" ",20))</f>
        <v/>
      </c>
      <c r="S699" s="10">
        <f>IF(A699="D",LEFT(UPPER(C699)&amp;REPT(" ",10),10)," ")</f>
        <v/>
      </c>
      <c r="T699" s="10">
        <f>IF(A699="D",LEFT(UPPER(D699)&amp;REPT(" ",2),2)," ")</f>
        <v/>
      </c>
      <c r="U699" s="10">
        <f>IF(A699="D",LEFT(UPPER(E699)&amp;REPT(" ",15),15)," ")</f>
        <v/>
      </c>
      <c r="V699" s="10">
        <f>REPT(" ",24)</f>
        <v/>
      </c>
      <c r="W699" s="10">
        <f>IF(A699="c",LEFT(UPPER(B699)&amp;REPT(" ",20),20),REPT(" ",20))</f>
        <v/>
      </c>
      <c r="X699" s="10">
        <f>IF(A699="C",LEFT(UPPER(C699)&amp;REPT(" ",10),10)," ")</f>
        <v/>
      </c>
      <c r="Y699" s="10">
        <f>IF(A699="C",LEFT(UPPER(D699)&amp;REPT(" ",2),2)," ")</f>
        <v/>
      </c>
      <c r="Z699" s="10">
        <f>IF(A699="C",LEFT(UPPER(E699)&amp;REPT(" ",15),15)," ")</f>
        <v/>
      </c>
      <c r="AA699" s="10">
        <f>REPT(" ",8)</f>
        <v/>
      </c>
      <c r="AB699" s="10">
        <f>REPT(" ",4)</f>
        <v/>
      </c>
      <c r="AC699" s="10">
        <f>LEFT(UPPER(H699)&amp;REPT(" ",250),250)</f>
        <v/>
      </c>
      <c r="AD699" s="10">
        <f>TEXT($G$2,"dd/mm/aaaa")</f>
        <v/>
      </c>
      <c r="AE699" s="10">
        <f>REPT(" ",10)</f>
        <v/>
      </c>
      <c r="AF699" s="10">
        <f>REPT(" ",20)</f>
        <v/>
      </c>
      <c r="AG699" s="54">
        <f>REPT(" ",18-LEN(FIXED(F699,2,TRUE)))&amp;FIXED(F699,2,TRUE)</f>
        <v/>
      </c>
      <c r="AH699" s="10">
        <f>LEN(AC699)+LEN(AG699)</f>
        <v/>
      </c>
      <c r="AI699" s="10">
        <f>LEN(L699)</f>
        <v/>
      </c>
    </row>
    <row r="700">
      <c r="A700" s="46" t="n"/>
      <c r="B700" s="38" t="n"/>
      <c r="C700" s="41" t="n"/>
      <c r="D700" s="41" t="n"/>
      <c r="E700" s="41" t="n"/>
      <c r="F700" s="88" t="n"/>
      <c r="G700" s="89" t="n"/>
      <c r="H700" s="37" t="n"/>
      <c r="I700" s="42" t="n"/>
      <c r="J700" s="12">
        <f>IF(F700&lt;&gt;0,"LANÇAR","")</f>
        <v/>
      </c>
      <c r="K700" s="20" t="n"/>
      <c r="L700" s="13">
        <f>N700&amp;O700&amp;P700&amp;Q700&amp;R700&amp;S700&amp;T700&amp;U700&amp;V700&amp;W700&amp;X700&amp;Y700&amp;Z700&amp;AA700&amp;AB700&amp;AC700&amp;AD700&amp;AE700&amp;AF700&amp;AG700</f>
        <v/>
      </c>
      <c r="M700" s="20" t="n"/>
      <c r="N700" s="10">
        <f>TEXT($B$6,"00")</f>
        <v/>
      </c>
      <c r="O700" s="10">
        <f>REPT(" ",8)</f>
        <v/>
      </c>
      <c r="P700" s="10">
        <f>RIGHT($B$4,2)</f>
        <v/>
      </c>
      <c r="Q700" s="10">
        <f>RIGHT($B$5,3)</f>
        <v/>
      </c>
      <c r="R700" s="10">
        <f>IF(A700="D",LEFT(UPPER(B700)&amp;REPT(" ",20),20),REPT(" ",20))</f>
        <v/>
      </c>
      <c r="S700" s="10">
        <f>IF(A700="D",LEFT(UPPER(C700)&amp;REPT(" ",10),10)," ")</f>
        <v/>
      </c>
      <c r="T700" s="10">
        <f>IF(A700="D",LEFT(UPPER(D700)&amp;REPT(" ",2),2)," ")</f>
        <v/>
      </c>
      <c r="U700" s="10">
        <f>IF(A700="D",LEFT(UPPER(E700)&amp;REPT(" ",15),15)," ")</f>
        <v/>
      </c>
      <c r="V700" s="10">
        <f>REPT(" ",24)</f>
        <v/>
      </c>
      <c r="W700" s="10">
        <f>IF(A700="c",LEFT(UPPER(B700)&amp;REPT(" ",20),20),REPT(" ",20))</f>
        <v/>
      </c>
      <c r="X700" s="10">
        <f>IF(A700="C",LEFT(UPPER(C700)&amp;REPT(" ",10),10)," ")</f>
        <v/>
      </c>
      <c r="Y700" s="10">
        <f>IF(A700="C",LEFT(UPPER(D700)&amp;REPT(" ",2),2)," ")</f>
        <v/>
      </c>
      <c r="Z700" s="10">
        <f>IF(A700="C",LEFT(UPPER(E700)&amp;REPT(" ",15),15)," ")</f>
        <v/>
      </c>
      <c r="AA700" s="10">
        <f>REPT(" ",8)</f>
        <v/>
      </c>
      <c r="AB700" s="10">
        <f>REPT(" ",4)</f>
        <v/>
      </c>
      <c r="AC700" s="10">
        <f>LEFT(UPPER(H700)&amp;REPT(" ",250),250)</f>
        <v/>
      </c>
      <c r="AD700" s="10">
        <f>TEXT($G$2,"dd/mm/aaaa")</f>
        <v/>
      </c>
      <c r="AE700" s="10">
        <f>REPT(" ",10)</f>
        <v/>
      </c>
      <c r="AF700" s="10">
        <f>REPT(" ",20)</f>
        <v/>
      </c>
      <c r="AG700" s="54">
        <f>REPT(" ",18-LEN(FIXED(F700,2,TRUE)))&amp;FIXED(F700,2,TRUE)</f>
        <v/>
      </c>
      <c r="AH700" s="10">
        <f>LEN(AC700)+LEN(AG700)</f>
        <v/>
      </c>
      <c r="AI700" s="10">
        <f>LEN(L700)</f>
        <v/>
      </c>
    </row>
    <row r="701">
      <c r="A701" s="46" t="n"/>
      <c r="B701" s="38" t="n"/>
      <c r="C701" s="41" t="n"/>
      <c r="D701" s="41" t="n"/>
      <c r="E701" s="41" t="n"/>
      <c r="F701" s="88" t="n"/>
      <c r="G701" s="89" t="n"/>
      <c r="H701" s="37" t="n"/>
      <c r="I701" s="42" t="n"/>
      <c r="J701" s="12">
        <f>IF(F701&lt;&gt;0,"LANÇAR","")</f>
        <v/>
      </c>
      <c r="K701" s="20" t="n"/>
      <c r="L701" s="13">
        <f>N701&amp;O701&amp;P701&amp;Q701&amp;R701&amp;S701&amp;T701&amp;U701&amp;V701&amp;W701&amp;X701&amp;Y701&amp;Z701&amp;AA701&amp;AB701&amp;AC701&amp;AD701&amp;AE701&amp;AF701&amp;AG701</f>
        <v/>
      </c>
      <c r="M701" s="20" t="n"/>
      <c r="N701" s="10">
        <f>TEXT($B$6,"00")</f>
        <v/>
      </c>
      <c r="O701" s="10">
        <f>REPT(" ",8)</f>
        <v/>
      </c>
      <c r="P701" s="10">
        <f>RIGHT($B$4,2)</f>
        <v/>
      </c>
      <c r="Q701" s="10">
        <f>RIGHT($B$5,3)</f>
        <v/>
      </c>
      <c r="R701" s="10">
        <f>IF(A701="D",LEFT(UPPER(B701)&amp;REPT(" ",20),20),REPT(" ",20))</f>
        <v/>
      </c>
      <c r="S701" s="10">
        <f>IF(A701="D",LEFT(UPPER(C701)&amp;REPT(" ",10),10)," ")</f>
        <v/>
      </c>
      <c r="T701" s="10">
        <f>IF(A701="D",LEFT(UPPER(D701)&amp;REPT(" ",2),2)," ")</f>
        <v/>
      </c>
      <c r="U701" s="10">
        <f>IF(A701="D",LEFT(UPPER(E701)&amp;REPT(" ",15),15)," ")</f>
        <v/>
      </c>
      <c r="V701" s="10">
        <f>REPT(" ",24)</f>
        <v/>
      </c>
      <c r="W701" s="10">
        <f>IF(A701="c",LEFT(UPPER(B701)&amp;REPT(" ",20),20),REPT(" ",20))</f>
        <v/>
      </c>
      <c r="X701" s="10">
        <f>IF(A701="C",LEFT(UPPER(C701)&amp;REPT(" ",10),10)," ")</f>
        <v/>
      </c>
      <c r="Y701" s="10">
        <f>IF(A701="C",LEFT(UPPER(D701)&amp;REPT(" ",2),2)," ")</f>
        <v/>
      </c>
      <c r="Z701" s="10">
        <f>IF(A701="C",LEFT(UPPER(E701)&amp;REPT(" ",15),15)," ")</f>
        <v/>
      </c>
      <c r="AA701" s="10">
        <f>REPT(" ",8)</f>
        <v/>
      </c>
      <c r="AB701" s="10">
        <f>REPT(" ",4)</f>
        <v/>
      </c>
      <c r="AC701" s="10">
        <f>LEFT(UPPER(H701)&amp;REPT(" ",250),250)</f>
        <v/>
      </c>
      <c r="AD701" s="10">
        <f>TEXT($G$2,"dd/mm/aaaa")</f>
        <v/>
      </c>
      <c r="AE701" s="10">
        <f>REPT(" ",10)</f>
        <v/>
      </c>
      <c r="AF701" s="10">
        <f>REPT(" ",20)</f>
        <v/>
      </c>
      <c r="AG701" s="54">
        <f>REPT(" ",18-LEN(FIXED(F701,2,TRUE)))&amp;FIXED(F701,2,TRUE)</f>
        <v/>
      </c>
      <c r="AH701" s="10">
        <f>LEN(AC701)+LEN(AG701)</f>
        <v/>
      </c>
      <c r="AI701" s="10">
        <f>LEN(L701)</f>
        <v/>
      </c>
    </row>
    <row r="702">
      <c r="A702" s="46" t="n"/>
      <c r="B702" s="38" t="n"/>
      <c r="C702" s="41" t="n"/>
      <c r="D702" s="41" t="n"/>
      <c r="E702" s="41" t="n"/>
      <c r="F702" s="88" t="n"/>
      <c r="G702" s="89" t="n"/>
      <c r="H702" s="37" t="n"/>
      <c r="I702" s="42" t="n"/>
      <c r="J702" s="12">
        <f>IF(F702&lt;&gt;0,"LANÇAR","")</f>
        <v/>
      </c>
      <c r="K702" s="20" t="n"/>
      <c r="L702" s="13">
        <f>N702&amp;O702&amp;P702&amp;Q702&amp;R702&amp;S702&amp;T702&amp;U702&amp;V702&amp;W702&amp;X702&amp;Y702&amp;Z702&amp;AA702&amp;AB702&amp;AC702&amp;AD702&amp;AE702&amp;AF702&amp;AG702</f>
        <v/>
      </c>
      <c r="M702" s="20" t="n"/>
      <c r="N702" s="10">
        <f>TEXT($B$6,"00")</f>
        <v/>
      </c>
      <c r="O702" s="10">
        <f>REPT(" ",8)</f>
        <v/>
      </c>
      <c r="P702" s="10">
        <f>RIGHT($B$4,2)</f>
        <v/>
      </c>
      <c r="Q702" s="10">
        <f>RIGHT($B$5,3)</f>
        <v/>
      </c>
      <c r="R702" s="10">
        <f>IF(A702="D",LEFT(UPPER(B702)&amp;REPT(" ",20),20),REPT(" ",20))</f>
        <v/>
      </c>
      <c r="S702" s="10">
        <f>IF(A702="D",LEFT(UPPER(C702)&amp;REPT(" ",10),10)," ")</f>
        <v/>
      </c>
      <c r="T702" s="10">
        <f>IF(A702="D",LEFT(UPPER(D702)&amp;REPT(" ",2),2)," ")</f>
        <v/>
      </c>
      <c r="U702" s="10">
        <f>IF(A702="D",LEFT(UPPER(E702)&amp;REPT(" ",15),15)," ")</f>
        <v/>
      </c>
      <c r="V702" s="10">
        <f>REPT(" ",24)</f>
        <v/>
      </c>
      <c r="W702" s="10">
        <f>IF(A702="c",LEFT(UPPER(B702)&amp;REPT(" ",20),20),REPT(" ",20))</f>
        <v/>
      </c>
      <c r="X702" s="10">
        <f>IF(A702="C",LEFT(UPPER(C702)&amp;REPT(" ",10),10)," ")</f>
        <v/>
      </c>
      <c r="Y702" s="10">
        <f>IF(A702="C",LEFT(UPPER(D702)&amp;REPT(" ",2),2)," ")</f>
        <v/>
      </c>
      <c r="Z702" s="10">
        <f>IF(A702="C",LEFT(UPPER(E702)&amp;REPT(" ",15),15)," ")</f>
        <v/>
      </c>
      <c r="AA702" s="10">
        <f>REPT(" ",8)</f>
        <v/>
      </c>
      <c r="AB702" s="10">
        <f>REPT(" ",4)</f>
        <v/>
      </c>
      <c r="AC702" s="10">
        <f>LEFT(UPPER(H702)&amp;REPT(" ",250),250)</f>
        <v/>
      </c>
      <c r="AD702" s="10">
        <f>TEXT($G$2,"dd/mm/aaaa")</f>
        <v/>
      </c>
      <c r="AE702" s="10">
        <f>REPT(" ",10)</f>
        <v/>
      </c>
      <c r="AF702" s="10">
        <f>REPT(" ",20)</f>
        <v/>
      </c>
      <c r="AG702" s="54">
        <f>REPT(" ",18-LEN(FIXED(F702,2,TRUE)))&amp;FIXED(F702,2,TRUE)</f>
        <v/>
      </c>
      <c r="AH702" s="10">
        <f>LEN(AC702)+LEN(AG702)</f>
        <v/>
      </c>
      <c r="AI702" s="10">
        <f>LEN(L702)</f>
        <v/>
      </c>
    </row>
    <row r="703">
      <c r="A703" s="46" t="n"/>
      <c r="B703" s="38" t="n"/>
      <c r="C703" s="41" t="n"/>
      <c r="D703" s="41" t="n"/>
      <c r="E703" s="41" t="n"/>
      <c r="F703" s="88" t="n"/>
      <c r="G703" s="89" t="n"/>
      <c r="H703" s="37" t="n"/>
      <c r="I703" s="42" t="n"/>
      <c r="J703" s="12">
        <f>IF(F703&lt;&gt;0,"LANÇAR","")</f>
        <v/>
      </c>
      <c r="K703" s="20" t="n"/>
      <c r="L703" s="13">
        <f>N703&amp;O703&amp;P703&amp;Q703&amp;R703&amp;S703&amp;T703&amp;U703&amp;V703&amp;W703&amp;X703&amp;Y703&amp;Z703&amp;AA703&amp;AB703&amp;AC703&amp;AD703&amp;AE703&amp;AF703&amp;AG703</f>
        <v/>
      </c>
      <c r="M703" s="20" t="n"/>
      <c r="N703" s="10">
        <f>TEXT($B$6,"00")</f>
        <v/>
      </c>
      <c r="O703" s="10">
        <f>REPT(" ",8)</f>
        <v/>
      </c>
      <c r="P703" s="10">
        <f>RIGHT($B$4,2)</f>
        <v/>
      </c>
      <c r="Q703" s="10">
        <f>RIGHT($B$5,3)</f>
        <v/>
      </c>
      <c r="R703" s="10">
        <f>IF(A703="D",LEFT(UPPER(B703)&amp;REPT(" ",20),20),REPT(" ",20))</f>
        <v/>
      </c>
      <c r="S703" s="10">
        <f>IF(A703="D",LEFT(UPPER(C703)&amp;REPT(" ",10),10)," ")</f>
        <v/>
      </c>
      <c r="T703" s="10">
        <f>IF(A703="D",LEFT(UPPER(D703)&amp;REPT(" ",2),2)," ")</f>
        <v/>
      </c>
      <c r="U703" s="10">
        <f>IF(A703="D",LEFT(UPPER(E703)&amp;REPT(" ",15),15)," ")</f>
        <v/>
      </c>
      <c r="V703" s="10">
        <f>REPT(" ",24)</f>
        <v/>
      </c>
      <c r="W703" s="10">
        <f>IF(A703="c",LEFT(UPPER(B703)&amp;REPT(" ",20),20),REPT(" ",20))</f>
        <v/>
      </c>
      <c r="X703" s="10">
        <f>IF(A703="C",LEFT(UPPER(C703)&amp;REPT(" ",10),10)," ")</f>
        <v/>
      </c>
      <c r="Y703" s="10">
        <f>IF(A703="C",LEFT(UPPER(D703)&amp;REPT(" ",2),2)," ")</f>
        <v/>
      </c>
      <c r="Z703" s="10">
        <f>IF(A703="C",LEFT(UPPER(E703)&amp;REPT(" ",15),15)," ")</f>
        <v/>
      </c>
      <c r="AA703" s="10">
        <f>REPT(" ",8)</f>
        <v/>
      </c>
      <c r="AB703" s="10">
        <f>REPT(" ",4)</f>
        <v/>
      </c>
      <c r="AC703" s="10">
        <f>LEFT(UPPER(H703)&amp;REPT(" ",250),250)</f>
        <v/>
      </c>
      <c r="AD703" s="10">
        <f>TEXT($G$2,"dd/mm/aaaa")</f>
        <v/>
      </c>
      <c r="AE703" s="10">
        <f>REPT(" ",10)</f>
        <v/>
      </c>
      <c r="AF703" s="10">
        <f>REPT(" ",20)</f>
        <v/>
      </c>
      <c r="AG703" s="54">
        <f>REPT(" ",18-LEN(FIXED(F703,2,TRUE)))&amp;FIXED(F703,2,TRUE)</f>
        <v/>
      </c>
      <c r="AH703" s="10">
        <f>LEN(AC703)+LEN(AG703)</f>
        <v/>
      </c>
      <c r="AI703" s="10">
        <f>LEN(L703)</f>
        <v/>
      </c>
    </row>
    <row r="704">
      <c r="A704" s="46" t="n"/>
      <c r="B704" s="38" t="n"/>
      <c r="C704" s="41" t="n"/>
      <c r="D704" s="41" t="n"/>
      <c r="E704" s="41" t="n"/>
      <c r="F704" s="88" t="n"/>
      <c r="G704" s="89" t="n"/>
      <c r="H704" s="37" t="n"/>
      <c r="I704" s="42" t="n"/>
      <c r="J704" s="12">
        <f>IF(F704&lt;&gt;0,"LANÇAR","")</f>
        <v/>
      </c>
      <c r="K704" s="20" t="n"/>
      <c r="L704" s="13">
        <f>N704&amp;O704&amp;P704&amp;Q704&amp;R704&amp;S704&amp;T704&amp;U704&amp;V704&amp;W704&amp;X704&amp;Y704&amp;Z704&amp;AA704&amp;AB704&amp;AC704&amp;AD704&amp;AE704&amp;AF704&amp;AG704</f>
        <v/>
      </c>
      <c r="M704" s="20" t="n"/>
      <c r="N704" s="10">
        <f>TEXT($B$6,"00")</f>
        <v/>
      </c>
      <c r="O704" s="10">
        <f>REPT(" ",8)</f>
        <v/>
      </c>
      <c r="P704" s="10">
        <f>RIGHT($B$4,2)</f>
        <v/>
      </c>
      <c r="Q704" s="10">
        <f>RIGHT($B$5,3)</f>
        <v/>
      </c>
      <c r="R704" s="10">
        <f>IF(A704="D",LEFT(UPPER(B704)&amp;REPT(" ",20),20),REPT(" ",20))</f>
        <v/>
      </c>
      <c r="S704" s="10">
        <f>IF(A704="D",LEFT(UPPER(C704)&amp;REPT(" ",10),10)," ")</f>
        <v/>
      </c>
      <c r="T704" s="10">
        <f>IF(A704="D",LEFT(UPPER(D704)&amp;REPT(" ",2),2)," ")</f>
        <v/>
      </c>
      <c r="U704" s="10">
        <f>IF(A704="D",LEFT(UPPER(E704)&amp;REPT(" ",15),15)," ")</f>
        <v/>
      </c>
      <c r="V704" s="10">
        <f>REPT(" ",24)</f>
        <v/>
      </c>
      <c r="W704" s="10">
        <f>IF(A704="c",LEFT(UPPER(B704)&amp;REPT(" ",20),20),REPT(" ",20))</f>
        <v/>
      </c>
      <c r="X704" s="10">
        <f>IF(A704="C",LEFT(UPPER(C704)&amp;REPT(" ",10),10)," ")</f>
        <v/>
      </c>
      <c r="Y704" s="10">
        <f>IF(A704="C",LEFT(UPPER(D704)&amp;REPT(" ",2),2)," ")</f>
        <v/>
      </c>
      <c r="Z704" s="10">
        <f>IF(A704="C",LEFT(UPPER(E704)&amp;REPT(" ",15),15)," ")</f>
        <v/>
      </c>
      <c r="AA704" s="10">
        <f>REPT(" ",8)</f>
        <v/>
      </c>
      <c r="AB704" s="10">
        <f>REPT(" ",4)</f>
        <v/>
      </c>
      <c r="AC704" s="10">
        <f>LEFT(UPPER(H704)&amp;REPT(" ",250),250)</f>
        <v/>
      </c>
      <c r="AD704" s="10">
        <f>TEXT($G$2,"dd/mm/aaaa")</f>
        <v/>
      </c>
      <c r="AE704" s="10">
        <f>REPT(" ",10)</f>
        <v/>
      </c>
      <c r="AF704" s="10">
        <f>REPT(" ",20)</f>
        <v/>
      </c>
      <c r="AG704" s="54">
        <f>REPT(" ",18-LEN(FIXED(F704,2,TRUE)))&amp;FIXED(F704,2,TRUE)</f>
        <v/>
      </c>
      <c r="AH704" s="10">
        <f>LEN(AC704)+LEN(AG704)</f>
        <v/>
      </c>
      <c r="AI704" s="10">
        <f>LEN(L704)</f>
        <v/>
      </c>
    </row>
    <row r="705">
      <c r="A705" s="46" t="n"/>
      <c r="B705" s="38" t="n"/>
      <c r="C705" s="41" t="n"/>
      <c r="D705" s="41" t="n"/>
      <c r="E705" s="41" t="n"/>
      <c r="F705" s="88" t="n"/>
      <c r="G705" s="89" t="n"/>
      <c r="H705" s="37" t="n"/>
      <c r="I705" s="42" t="n"/>
      <c r="J705" s="12">
        <f>IF(F705&lt;&gt;0,"LANÇAR","")</f>
        <v/>
      </c>
      <c r="K705" s="20" t="n"/>
      <c r="L705" s="13">
        <f>N705&amp;O705&amp;P705&amp;Q705&amp;R705&amp;S705&amp;T705&amp;U705&amp;V705&amp;W705&amp;X705&amp;Y705&amp;Z705&amp;AA705&amp;AB705&amp;AC705&amp;AD705&amp;AE705&amp;AF705&amp;AG705</f>
        <v/>
      </c>
      <c r="M705" s="20" t="n"/>
      <c r="N705" s="10">
        <f>TEXT($B$6,"00")</f>
        <v/>
      </c>
      <c r="O705" s="10">
        <f>REPT(" ",8)</f>
        <v/>
      </c>
      <c r="P705" s="10">
        <f>RIGHT($B$4,2)</f>
        <v/>
      </c>
      <c r="Q705" s="10">
        <f>RIGHT($B$5,3)</f>
        <v/>
      </c>
      <c r="R705" s="10">
        <f>IF(A705="D",LEFT(UPPER(B705)&amp;REPT(" ",20),20),REPT(" ",20))</f>
        <v/>
      </c>
      <c r="S705" s="10">
        <f>IF(A705="D",LEFT(UPPER(C705)&amp;REPT(" ",10),10)," ")</f>
        <v/>
      </c>
      <c r="T705" s="10">
        <f>IF(A705="D",LEFT(UPPER(D705)&amp;REPT(" ",2),2)," ")</f>
        <v/>
      </c>
      <c r="U705" s="10">
        <f>IF(A705="D",LEFT(UPPER(E705)&amp;REPT(" ",15),15)," ")</f>
        <v/>
      </c>
      <c r="V705" s="10">
        <f>REPT(" ",24)</f>
        <v/>
      </c>
      <c r="W705" s="10">
        <f>IF(A705="c",LEFT(UPPER(B705)&amp;REPT(" ",20),20),REPT(" ",20))</f>
        <v/>
      </c>
      <c r="X705" s="10">
        <f>IF(A705="C",LEFT(UPPER(C705)&amp;REPT(" ",10),10)," ")</f>
        <v/>
      </c>
      <c r="Y705" s="10">
        <f>IF(A705="C",LEFT(UPPER(D705)&amp;REPT(" ",2),2)," ")</f>
        <v/>
      </c>
      <c r="Z705" s="10">
        <f>IF(A705="C",LEFT(UPPER(E705)&amp;REPT(" ",15),15)," ")</f>
        <v/>
      </c>
      <c r="AA705" s="10">
        <f>REPT(" ",8)</f>
        <v/>
      </c>
      <c r="AB705" s="10">
        <f>REPT(" ",4)</f>
        <v/>
      </c>
      <c r="AC705" s="10">
        <f>LEFT(UPPER(H705)&amp;REPT(" ",250),250)</f>
        <v/>
      </c>
      <c r="AD705" s="10">
        <f>TEXT($G$2,"dd/mm/aaaa")</f>
        <v/>
      </c>
      <c r="AE705" s="10">
        <f>REPT(" ",10)</f>
        <v/>
      </c>
      <c r="AF705" s="10">
        <f>REPT(" ",20)</f>
        <v/>
      </c>
      <c r="AG705" s="54">
        <f>REPT(" ",18-LEN(FIXED(F705,2,TRUE)))&amp;FIXED(F705,2,TRUE)</f>
        <v/>
      </c>
      <c r="AH705" s="10">
        <f>LEN(AC705)+LEN(AG705)</f>
        <v/>
      </c>
      <c r="AI705" s="10">
        <f>LEN(L705)</f>
        <v/>
      </c>
    </row>
    <row r="706">
      <c r="A706" s="46" t="n"/>
      <c r="B706" s="38" t="n"/>
      <c r="C706" s="41" t="n"/>
      <c r="D706" s="41" t="n"/>
      <c r="E706" s="41" t="n"/>
      <c r="F706" s="88" t="n"/>
      <c r="G706" s="89" t="n"/>
      <c r="H706" s="37" t="n"/>
      <c r="I706" s="42" t="n"/>
      <c r="J706" s="12">
        <f>IF(F706&lt;&gt;0,"LANÇAR","")</f>
        <v/>
      </c>
      <c r="K706" s="20" t="n"/>
      <c r="L706" s="13">
        <f>N706&amp;O706&amp;P706&amp;Q706&amp;R706&amp;S706&amp;T706&amp;U706&amp;V706&amp;W706&amp;X706&amp;Y706&amp;Z706&amp;AA706&amp;AB706&amp;AC706&amp;AD706&amp;AE706&amp;AF706&amp;AG706</f>
        <v/>
      </c>
      <c r="M706" s="20" t="n"/>
      <c r="N706" s="10">
        <f>TEXT($B$6,"00")</f>
        <v/>
      </c>
      <c r="O706" s="10">
        <f>REPT(" ",8)</f>
        <v/>
      </c>
      <c r="P706" s="10">
        <f>RIGHT($B$4,2)</f>
        <v/>
      </c>
      <c r="Q706" s="10">
        <f>RIGHT($B$5,3)</f>
        <v/>
      </c>
      <c r="R706" s="10">
        <f>IF(A706="D",LEFT(UPPER(B706)&amp;REPT(" ",20),20),REPT(" ",20))</f>
        <v/>
      </c>
      <c r="S706" s="10">
        <f>IF(A706="D",LEFT(UPPER(C706)&amp;REPT(" ",10),10)," ")</f>
        <v/>
      </c>
      <c r="T706" s="10">
        <f>IF(A706="D",LEFT(UPPER(D706)&amp;REPT(" ",2),2)," ")</f>
        <v/>
      </c>
      <c r="U706" s="10">
        <f>IF(A706="D",LEFT(UPPER(E706)&amp;REPT(" ",15),15)," ")</f>
        <v/>
      </c>
      <c r="V706" s="10">
        <f>REPT(" ",24)</f>
        <v/>
      </c>
      <c r="W706" s="10">
        <f>IF(A706="c",LEFT(UPPER(B706)&amp;REPT(" ",20),20),REPT(" ",20))</f>
        <v/>
      </c>
      <c r="X706" s="10">
        <f>IF(A706="C",LEFT(UPPER(C706)&amp;REPT(" ",10),10)," ")</f>
        <v/>
      </c>
      <c r="Y706" s="10">
        <f>IF(A706="C",LEFT(UPPER(D706)&amp;REPT(" ",2),2)," ")</f>
        <v/>
      </c>
      <c r="Z706" s="10">
        <f>IF(A706="C",LEFT(UPPER(E706)&amp;REPT(" ",15),15)," ")</f>
        <v/>
      </c>
      <c r="AA706" s="10">
        <f>REPT(" ",8)</f>
        <v/>
      </c>
      <c r="AB706" s="10">
        <f>REPT(" ",4)</f>
        <v/>
      </c>
      <c r="AC706" s="10">
        <f>LEFT(UPPER(H706)&amp;REPT(" ",250),250)</f>
        <v/>
      </c>
      <c r="AD706" s="10">
        <f>TEXT($G$2,"dd/mm/aaaa")</f>
        <v/>
      </c>
      <c r="AE706" s="10">
        <f>REPT(" ",10)</f>
        <v/>
      </c>
      <c r="AF706" s="10">
        <f>REPT(" ",20)</f>
        <v/>
      </c>
      <c r="AG706" s="54">
        <f>REPT(" ",18-LEN(FIXED(F706,2,TRUE)))&amp;FIXED(F706,2,TRUE)</f>
        <v/>
      </c>
      <c r="AH706" s="10">
        <f>LEN(AC706)+LEN(AG706)</f>
        <v/>
      </c>
      <c r="AI706" s="10">
        <f>LEN(L706)</f>
        <v/>
      </c>
    </row>
    <row r="707">
      <c r="A707" s="46" t="n"/>
      <c r="B707" s="38" t="n"/>
      <c r="C707" s="41" t="n"/>
      <c r="D707" s="41" t="n"/>
      <c r="E707" s="41" t="n"/>
      <c r="F707" s="88" t="n"/>
      <c r="G707" s="89" t="n"/>
      <c r="H707" s="37" t="n"/>
      <c r="I707" s="42" t="n"/>
      <c r="J707" s="12">
        <f>IF(F707&lt;&gt;0,"LANÇAR","")</f>
        <v/>
      </c>
      <c r="K707" s="20" t="n"/>
      <c r="L707" s="13">
        <f>N707&amp;O707&amp;P707&amp;Q707&amp;R707&amp;S707&amp;T707&amp;U707&amp;V707&amp;W707&amp;X707&amp;Y707&amp;Z707&amp;AA707&amp;AB707&amp;AC707&amp;AD707&amp;AE707&amp;AF707&amp;AG707</f>
        <v/>
      </c>
      <c r="M707" s="20" t="n"/>
      <c r="N707" s="10">
        <f>TEXT($B$6,"00")</f>
        <v/>
      </c>
      <c r="O707" s="10">
        <f>REPT(" ",8)</f>
        <v/>
      </c>
      <c r="P707" s="10">
        <f>RIGHT($B$4,2)</f>
        <v/>
      </c>
      <c r="Q707" s="10">
        <f>RIGHT($B$5,3)</f>
        <v/>
      </c>
      <c r="R707" s="10">
        <f>IF(A707="D",LEFT(UPPER(B707)&amp;REPT(" ",20),20),REPT(" ",20))</f>
        <v/>
      </c>
      <c r="S707" s="10">
        <f>IF(A707="D",LEFT(UPPER(C707)&amp;REPT(" ",10),10)," ")</f>
        <v/>
      </c>
      <c r="T707" s="10">
        <f>IF(A707="D",LEFT(UPPER(D707)&amp;REPT(" ",2),2)," ")</f>
        <v/>
      </c>
      <c r="U707" s="10">
        <f>IF(A707="D",LEFT(UPPER(E707)&amp;REPT(" ",15),15)," ")</f>
        <v/>
      </c>
      <c r="V707" s="10">
        <f>REPT(" ",24)</f>
        <v/>
      </c>
      <c r="W707" s="10">
        <f>IF(A707="c",LEFT(UPPER(B707)&amp;REPT(" ",20),20),REPT(" ",20))</f>
        <v/>
      </c>
      <c r="X707" s="10">
        <f>IF(A707="C",LEFT(UPPER(C707)&amp;REPT(" ",10),10)," ")</f>
        <v/>
      </c>
      <c r="Y707" s="10">
        <f>IF(A707="C",LEFT(UPPER(D707)&amp;REPT(" ",2),2)," ")</f>
        <v/>
      </c>
      <c r="Z707" s="10">
        <f>IF(A707="C",LEFT(UPPER(E707)&amp;REPT(" ",15),15)," ")</f>
        <v/>
      </c>
      <c r="AA707" s="10">
        <f>REPT(" ",8)</f>
        <v/>
      </c>
      <c r="AB707" s="10">
        <f>REPT(" ",4)</f>
        <v/>
      </c>
      <c r="AC707" s="10">
        <f>LEFT(UPPER(H707)&amp;REPT(" ",250),250)</f>
        <v/>
      </c>
      <c r="AD707" s="10">
        <f>TEXT($G$2,"dd/mm/aaaa")</f>
        <v/>
      </c>
      <c r="AE707" s="10">
        <f>REPT(" ",10)</f>
        <v/>
      </c>
      <c r="AF707" s="10">
        <f>REPT(" ",20)</f>
        <v/>
      </c>
      <c r="AG707" s="54">
        <f>REPT(" ",18-LEN(FIXED(F707,2,TRUE)))&amp;FIXED(F707,2,TRUE)</f>
        <v/>
      </c>
      <c r="AH707" s="10">
        <f>LEN(AC707)+LEN(AG707)</f>
        <v/>
      </c>
      <c r="AI707" s="10">
        <f>LEN(L707)</f>
        <v/>
      </c>
    </row>
    <row r="708">
      <c r="A708" s="46" t="n"/>
      <c r="B708" s="38" t="n"/>
      <c r="C708" s="41" t="n"/>
      <c r="D708" s="41" t="n"/>
      <c r="E708" s="41" t="n"/>
      <c r="F708" s="88" t="n"/>
      <c r="G708" s="89" t="n"/>
      <c r="H708" s="37" t="n"/>
      <c r="I708" s="42" t="n"/>
      <c r="J708" s="12">
        <f>IF(F708&lt;&gt;0,"LANÇAR","")</f>
        <v/>
      </c>
      <c r="K708" s="20" t="n"/>
      <c r="L708" s="13">
        <f>N708&amp;O708&amp;P708&amp;Q708&amp;R708&amp;S708&amp;T708&amp;U708&amp;V708&amp;W708&amp;X708&amp;Y708&amp;Z708&amp;AA708&amp;AB708&amp;AC708&amp;AD708&amp;AE708&amp;AF708&amp;AG708</f>
        <v/>
      </c>
      <c r="M708" s="20" t="n"/>
      <c r="N708" s="10">
        <f>TEXT($B$6,"00")</f>
        <v/>
      </c>
      <c r="O708" s="10">
        <f>REPT(" ",8)</f>
        <v/>
      </c>
      <c r="P708" s="10">
        <f>RIGHT($B$4,2)</f>
        <v/>
      </c>
      <c r="Q708" s="10">
        <f>RIGHT($B$5,3)</f>
        <v/>
      </c>
      <c r="R708" s="10">
        <f>IF(A708="D",LEFT(UPPER(B708)&amp;REPT(" ",20),20),REPT(" ",20))</f>
        <v/>
      </c>
      <c r="S708" s="10">
        <f>IF(A708="D",LEFT(UPPER(C708)&amp;REPT(" ",10),10)," ")</f>
        <v/>
      </c>
      <c r="T708" s="10">
        <f>IF(A708="D",LEFT(UPPER(D708)&amp;REPT(" ",2),2)," ")</f>
        <v/>
      </c>
      <c r="U708" s="10">
        <f>IF(A708="D",LEFT(UPPER(E708)&amp;REPT(" ",15),15)," ")</f>
        <v/>
      </c>
      <c r="V708" s="10">
        <f>REPT(" ",24)</f>
        <v/>
      </c>
      <c r="W708" s="10">
        <f>IF(A708="c",LEFT(UPPER(B708)&amp;REPT(" ",20),20),REPT(" ",20))</f>
        <v/>
      </c>
      <c r="X708" s="10">
        <f>IF(A708="C",LEFT(UPPER(C708)&amp;REPT(" ",10),10)," ")</f>
        <v/>
      </c>
      <c r="Y708" s="10">
        <f>IF(A708="C",LEFT(UPPER(D708)&amp;REPT(" ",2),2)," ")</f>
        <v/>
      </c>
      <c r="Z708" s="10">
        <f>IF(A708="C",LEFT(UPPER(E708)&amp;REPT(" ",15),15)," ")</f>
        <v/>
      </c>
      <c r="AA708" s="10">
        <f>REPT(" ",8)</f>
        <v/>
      </c>
      <c r="AB708" s="10">
        <f>REPT(" ",4)</f>
        <v/>
      </c>
      <c r="AC708" s="10">
        <f>LEFT(UPPER(H708)&amp;REPT(" ",250),250)</f>
        <v/>
      </c>
      <c r="AD708" s="10">
        <f>TEXT($G$2,"dd/mm/aaaa")</f>
        <v/>
      </c>
      <c r="AE708" s="10">
        <f>REPT(" ",10)</f>
        <v/>
      </c>
      <c r="AF708" s="10">
        <f>REPT(" ",20)</f>
        <v/>
      </c>
      <c r="AG708" s="54">
        <f>REPT(" ",18-LEN(FIXED(F708,2,TRUE)))&amp;FIXED(F708,2,TRUE)</f>
        <v/>
      </c>
      <c r="AH708" s="10">
        <f>LEN(AC708)+LEN(AG708)</f>
        <v/>
      </c>
      <c r="AI708" s="10">
        <f>LEN(L708)</f>
        <v/>
      </c>
    </row>
    <row r="709">
      <c r="A709" s="46" t="n"/>
      <c r="B709" s="38" t="n"/>
      <c r="C709" s="41" t="n"/>
      <c r="D709" s="41" t="n"/>
      <c r="E709" s="41" t="n"/>
      <c r="F709" s="88" t="n"/>
      <c r="G709" s="89" t="n"/>
      <c r="H709" s="37" t="n"/>
      <c r="I709" s="42" t="n"/>
      <c r="J709" s="12">
        <f>IF(F709&lt;&gt;0,"LANÇAR","")</f>
        <v/>
      </c>
      <c r="K709" s="20" t="n"/>
      <c r="L709" s="13">
        <f>N709&amp;O709&amp;P709&amp;Q709&amp;R709&amp;S709&amp;T709&amp;U709&amp;V709&amp;W709&amp;X709&amp;Y709&amp;Z709&amp;AA709&amp;AB709&amp;AC709&amp;AD709&amp;AE709&amp;AF709&amp;AG709</f>
        <v/>
      </c>
      <c r="M709" s="20" t="n"/>
      <c r="N709" s="10">
        <f>TEXT($B$6,"00")</f>
        <v/>
      </c>
      <c r="O709" s="10">
        <f>REPT(" ",8)</f>
        <v/>
      </c>
      <c r="P709" s="10">
        <f>RIGHT($B$4,2)</f>
        <v/>
      </c>
      <c r="Q709" s="10">
        <f>RIGHT($B$5,3)</f>
        <v/>
      </c>
      <c r="R709" s="10">
        <f>IF(A709="D",LEFT(UPPER(B709)&amp;REPT(" ",20),20),REPT(" ",20))</f>
        <v/>
      </c>
      <c r="S709" s="10">
        <f>IF(A709="D",LEFT(UPPER(C709)&amp;REPT(" ",10),10)," ")</f>
        <v/>
      </c>
      <c r="T709" s="10">
        <f>IF(A709="D",LEFT(UPPER(D709)&amp;REPT(" ",2),2)," ")</f>
        <v/>
      </c>
      <c r="U709" s="10">
        <f>IF(A709="D",LEFT(UPPER(E709)&amp;REPT(" ",15),15)," ")</f>
        <v/>
      </c>
      <c r="V709" s="10">
        <f>REPT(" ",24)</f>
        <v/>
      </c>
      <c r="W709" s="10">
        <f>IF(A709="c",LEFT(UPPER(B709)&amp;REPT(" ",20),20),REPT(" ",20))</f>
        <v/>
      </c>
      <c r="X709" s="10">
        <f>IF(A709="C",LEFT(UPPER(C709)&amp;REPT(" ",10),10)," ")</f>
        <v/>
      </c>
      <c r="Y709" s="10">
        <f>IF(A709="C",LEFT(UPPER(D709)&amp;REPT(" ",2),2)," ")</f>
        <v/>
      </c>
      <c r="Z709" s="10">
        <f>IF(A709="C",LEFT(UPPER(E709)&amp;REPT(" ",15),15)," ")</f>
        <v/>
      </c>
      <c r="AA709" s="10">
        <f>REPT(" ",8)</f>
        <v/>
      </c>
      <c r="AB709" s="10">
        <f>REPT(" ",4)</f>
        <v/>
      </c>
      <c r="AC709" s="10">
        <f>LEFT(UPPER(H709)&amp;REPT(" ",250),250)</f>
        <v/>
      </c>
      <c r="AD709" s="10">
        <f>TEXT($G$2,"dd/mm/aaaa")</f>
        <v/>
      </c>
      <c r="AE709" s="10">
        <f>REPT(" ",10)</f>
        <v/>
      </c>
      <c r="AF709" s="10">
        <f>REPT(" ",20)</f>
        <v/>
      </c>
      <c r="AG709" s="54">
        <f>REPT(" ",18-LEN(FIXED(F709,2,TRUE)))&amp;FIXED(F709,2,TRUE)</f>
        <v/>
      </c>
      <c r="AH709" s="10">
        <f>LEN(AC709)+LEN(AG709)</f>
        <v/>
      </c>
      <c r="AI709" s="10">
        <f>LEN(L709)</f>
        <v/>
      </c>
    </row>
    <row r="710">
      <c r="A710" s="46" t="n"/>
      <c r="B710" s="38" t="n"/>
      <c r="C710" s="41" t="n"/>
      <c r="D710" s="41" t="n"/>
      <c r="E710" s="41" t="n"/>
      <c r="F710" s="88" t="n"/>
      <c r="G710" s="89" t="n"/>
      <c r="H710" s="37" t="n"/>
      <c r="I710" s="42" t="n"/>
      <c r="J710" s="12">
        <f>IF(F710&lt;&gt;0,"LANÇAR","")</f>
        <v/>
      </c>
      <c r="K710" s="20" t="n"/>
      <c r="L710" s="13">
        <f>N710&amp;O710&amp;P710&amp;Q710&amp;R710&amp;S710&amp;T710&amp;U710&amp;V710&amp;W710&amp;X710&amp;Y710&amp;Z710&amp;AA710&amp;AB710&amp;AC710&amp;AD710&amp;AE710&amp;AF710&amp;AG710</f>
        <v/>
      </c>
      <c r="M710" s="20" t="n"/>
      <c r="N710" s="10">
        <f>TEXT($B$6,"00")</f>
        <v/>
      </c>
      <c r="O710" s="10">
        <f>REPT(" ",8)</f>
        <v/>
      </c>
      <c r="P710" s="10">
        <f>RIGHT($B$4,2)</f>
        <v/>
      </c>
      <c r="Q710" s="10">
        <f>RIGHT($B$5,3)</f>
        <v/>
      </c>
      <c r="R710" s="10">
        <f>IF(A710="D",LEFT(UPPER(B710)&amp;REPT(" ",20),20),REPT(" ",20))</f>
        <v/>
      </c>
      <c r="S710" s="10">
        <f>IF(A710="D",LEFT(UPPER(C710)&amp;REPT(" ",10),10)," ")</f>
        <v/>
      </c>
      <c r="T710" s="10">
        <f>IF(A710="D",LEFT(UPPER(D710)&amp;REPT(" ",2),2)," ")</f>
        <v/>
      </c>
      <c r="U710" s="10">
        <f>IF(A710="D",LEFT(UPPER(E710)&amp;REPT(" ",15),15)," ")</f>
        <v/>
      </c>
      <c r="V710" s="10">
        <f>REPT(" ",24)</f>
        <v/>
      </c>
      <c r="W710" s="10">
        <f>IF(A710="c",LEFT(UPPER(B710)&amp;REPT(" ",20),20),REPT(" ",20))</f>
        <v/>
      </c>
      <c r="X710" s="10">
        <f>IF(A710="C",LEFT(UPPER(C710)&amp;REPT(" ",10),10)," ")</f>
        <v/>
      </c>
      <c r="Y710" s="10">
        <f>IF(A710="C",LEFT(UPPER(D710)&amp;REPT(" ",2),2)," ")</f>
        <v/>
      </c>
      <c r="Z710" s="10">
        <f>IF(A710="C",LEFT(UPPER(E710)&amp;REPT(" ",15),15)," ")</f>
        <v/>
      </c>
      <c r="AA710" s="10">
        <f>REPT(" ",8)</f>
        <v/>
      </c>
      <c r="AB710" s="10">
        <f>REPT(" ",4)</f>
        <v/>
      </c>
      <c r="AC710" s="10">
        <f>LEFT(UPPER(H710)&amp;REPT(" ",250),250)</f>
        <v/>
      </c>
      <c r="AD710" s="10">
        <f>TEXT($G$2,"dd/mm/aaaa")</f>
        <v/>
      </c>
      <c r="AE710" s="10">
        <f>REPT(" ",10)</f>
        <v/>
      </c>
      <c r="AF710" s="10">
        <f>REPT(" ",20)</f>
        <v/>
      </c>
      <c r="AG710" s="54">
        <f>REPT(" ",18-LEN(FIXED(F710,2,TRUE)))&amp;FIXED(F710,2,TRUE)</f>
        <v/>
      </c>
      <c r="AH710" s="10">
        <f>LEN(AC710)+LEN(AG710)</f>
        <v/>
      </c>
      <c r="AI710" s="10">
        <f>LEN(L710)</f>
        <v/>
      </c>
    </row>
    <row r="711">
      <c r="A711" s="46" t="n"/>
      <c r="B711" s="38" t="n"/>
      <c r="C711" s="41" t="n"/>
      <c r="D711" s="41" t="n"/>
      <c r="E711" s="41" t="n"/>
      <c r="F711" s="88" t="n"/>
      <c r="G711" s="89" t="n"/>
      <c r="H711" s="37" t="n"/>
      <c r="I711" s="42" t="n"/>
      <c r="J711" s="12">
        <f>IF(F711&lt;&gt;0,"LANÇAR","")</f>
        <v/>
      </c>
      <c r="K711" s="20" t="n"/>
      <c r="L711" s="13">
        <f>N711&amp;O711&amp;P711&amp;Q711&amp;R711&amp;S711&amp;T711&amp;U711&amp;V711&amp;W711&amp;X711&amp;Y711&amp;Z711&amp;AA711&amp;AB711&amp;AC711&amp;AD711&amp;AE711&amp;AF711&amp;AG711</f>
        <v/>
      </c>
      <c r="M711" s="20" t="n"/>
      <c r="N711" s="10">
        <f>TEXT($B$6,"00")</f>
        <v/>
      </c>
      <c r="O711" s="10">
        <f>REPT(" ",8)</f>
        <v/>
      </c>
      <c r="P711" s="10">
        <f>RIGHT($B$4,2)</f>
        <v/>
      </c>
      <c r="Q711" s="10">
        <f>RIGHT($B$5,3)</f>
        <v/>
      </c>
      <c r="R711" s="10">
        <f>IF(A711="D",LEFT(UPPER(B711)&amp;REPT(" ",20),20),REPT(" ",20))</f>
        <v/>
      </c>
      <c r="S711" s="10">
        <f>IF(A711="D",LEFT(UPPER(C711)&amp;REPT(" ",10),10)," ")</f>
        <v/>
      </c>
      <c r="T711" s="10">
        <f>IF(A711="D",LEFT(UPPER(D711)&amp;REPT(" ",2),2)," ")</f>
        <v/>
      </c>
      <c r="U711" s="10">
        <f>IF(A711="D",LEFT(UPPER(E711)&amp;REPT(" ",15),15)," ")</f>
        <v/>
      </c>
      <c r="V711" s="10">
        <f>REPT(" ",24)</f>
        <v/>
      </c>
      <c r="W711" s="10">
        <f>IF(A711="c",LEFT(UPPER(B711)&amp;REPT(" ",20),20),REPT(" ",20))</f>
        <v/>
      </c>
      <c r="X711" s="10">
        <f>IF(A711="C",LEFT(UPPER(C711)&amp;REPT(" ",10),10)," ")</f>
        <v/>
      </c>
      <c r="Y711" s="10">
        <f>IF(A711="C",LEFT(UPPER(D711)&amp;REPT(" ",2),2)," ")</f>
        <v/>
      </c>
      <c r="Z711" s="10">
        <f>IF(A711="C",LEFT(UPPER(E711)&amp;REPT(" ",15),15)," ")</f>
        <v/>
      </c>
      <c r="AA711" s="10">
        <f>REPT(" ",8)</f>
        <v/>
      </c>
      <c r="AB711" s="10">
        <f>REPT(" ",4)</f>
        <v/>
      </c>
      <c r="AC711" s="10">
        <f>LEFT(UPPER(H711)&amp;REPT(" ",250),250)</f>
        <v/>
      </c>
      <c r="AD711" s="10">
        <f>TEXT($G$2,"dd/mm/aaaa")</f>
        <v/>
      </c>
      <c r="AE711" s="10">
        <f>REPT(" ",10)</f>
        <v/>
      </c>
      <c r="AF711" s="10">
        <f>REPT(" ",20)</f>
        <v/>
      </c>
      <c r="AG711" s="54">
        <f>REPT(" ",18-LEN(FIXED(F711,2,TRUE)))&amp;FIXED(F711,2,TRUE)</f>
        <v/>
      </c>
      <c r="AH711" s="10">
        <f>LEN(AC711)+LEN(AG711)</f>
        <v/>
      </c>
      <c r="AI711" s="10">
        <f>LEN(L711)</f>
        <v/>
      </c>
    </row>
    <row r="712">
      <c r="A712" s="46" t="n"/>
      <c r="B712" s="38" t="n"/>
      <c r="C712" s="41" t="n"/>
      <c r="D712" s="41" t="n"/>
      <c r="E712" s="41" t="n"/>
      <c r="F712" s="88" t="n"/>
      <c r="G712" s="89" t="n"/>
      <c r="H712" s="37" t="n"/>
      <c r="I712" s="42" t="n"/>
      <c r="J712" s="12">
        <f>IF(F712&lt;&gt;0,"LANÇAR","")</f>
        <v/>
      </c>
      <c r="K712" s="20" t="n"/>
      <c r="L712" s="13">
        <f>N712&amp;O712&amp;P712&amp;Q712&amp;R712&amp;S712&amp;T712&amp;U712&amp;V712&amp;W712&amp;X712&amp;Y712&amp;Z712&amp;AA712&amp;AB712&amp;AC712&amp;AD712&amp;AE712&amp;AF712&amp;AG712</f>
        <v/>
      </c>
      <c r="M712" s="20" t="n"/>
      <c r="N712" s="10">
        <f>TEXT($B$6,"00")</f>
        <v/>
      </c>
      <c r="O712" s="10">
        <f>REPT(" ",8)</f>
        <v/>
      </c>
      <c r="P712" s="10">
        <f>RIGHT($B$4,2)</f>
        <v/>
      </c>
      <c r="Q712" s="10">
        <f>RIGHT($B$5,3)</f>
        <v/>
      </c>
      <c r="R712" s="10">
        <f>IF(A712="D",LEFT(UPPER(B712)&amp;REPT(" ",20),20),REPT(" ",20))</f>
        <v/>
      </c>
      <c r="S712" s="10">
        <f>IF(A712="D",LEFT(UPPER(C712)&amp;REPT(" ",10),10)," ")</f>
        <v/>
      </c>
      <c r="T712" s="10">
        <f>IF(A712="D",LEFT(UPPER(D712)&amp;REPT(" ",2),2)," ")</f>
        <v/>
      </c>
      <c r="U712" s="10">
        <f>IF(A712="D",LEFT(UPPER(E712)&amp;REPT(" ",15),15)," ")</f>
        <v/>
      </c>
      <c r="V712" s="10">
        <f>REPT(" ",24)</f>
        <v/>
      </c>
      <c r="W712" s="10">
        <f>IF(A712="c",LEFT(UPPER(B712)&amp;REPT(" ",20),20),REPT(" ",20))</f>
        <v/>
      </c>
      <c r="X712" s="10">
        <f>IF(A712="C",LEFT(UPPER(C712)&amp;REPT(" ",10),10)," ")</f>
        <v/>
      </c>
      <c r="Y712" s="10">
        <f>IF(A712="C",LEFT(UPPER(D712)&amp;REPT(" ",2),2)," ")</f>
        <v/>
      </c>
      <c r="Z712" s="10">
        <f>IF(A712="C",LEFT(UPPER(E712)&amp;REPT(" ",15),15)," ")</f>
        <v/>
      </c>
      <c r="AA712" s="10">
        <f>REPT(" ",8)</f>
        <v/>
      </c>
      <c r="AB712" s="10">
        <f>REPT(" ",4)</f>
        <v/>
      </c>
      <c r="AC712" s="10">
        <f>LEFT(UPPER(H712)&amp;REPT(" ",250),250)</f>
        <v/>
      </c>
      <c r="AD712" s="10">
        <f>TEXT($G$2,"dd/mm/aaaa")</f>
        <v/>
      </c>
      <c r="AE712" s="10">
        <f>REPT(" ",10)</f>
        <v/>
      </c>
      <c r="AF712" s="10">
        <f>REPT(" ",20)</f>
        <v/>
      </c>
      <c r="AG712" s="54">
        <f>REPT(" ",18-LEN(FIXED(F712,2,TRUE)))&amp;FIXED(F712,2,TRUE)</f>
        <v/>
      </c>
      <c r="AH712" s="10">
        <f>LEN(AC712)+LEN(AG712)</f>
        <v/>
      </c>
      <c r="AI712" s="10">
        <f>LEN(L712)</f>
        <v/>
      </c>
    </row>
    <row r="713">
      <c r="A713" s="46" t="n"/>
      <c r="B713" s="38" t="n"/>
      <c r="C713" s="41" t="n"/>
      <c r="D713" s="41" t="n"/>
      <c r="E713" s="41" t="n"/>
      <c r="F713" s="88" t="n"/>
      <c r="G713" s="89" t="n"/>
      <c r="H713" s="37" t="n"/>
      <c r="I713" s="42" t="n"/>
      <c r="J713" s="12">
        <f>IF(F713&lt;&gt;0,"LANÇAR","")</f>
        <v/>
      </c>
      <c r="K713" s="20" t="n"/>
      <c r="L713" s="13">
        <f>N713&amp;O713&amp;P713&amp;Q713&amp;R713&amp;S713&amp;T713&amp;U713&amp;V713&amp;W713&amp;X713&amp;Y713&amp;Z713&amp;AA713&amp;AB713&amp;AC713&amp;AD713&amp;AE713&amp;AF713&amp;AG713</f>
        <v/>
      </c>
      <c r="M713" s="20" t="n"/>
      <c r="N713" s="10">
        <f>TEXT($B$6,"00")</f>
        <v/>
      </c>
      <c r="O713" s="10">
        <f>REPT(" ",8)</f>
        <v/>
      </c>
      <c r="P713" s="10">
        <f>RIGHT($B$4,2)</f>
        <v/>
      </c>
      <c r="Q713" s="10">
        <f>RIGHT($B$5,3)</f>
        <v/>
      </c>
      <c r="R713" s="10">
        <f>IF(A713="D",LEFT(UPPER(B713)&amp;REPT(" ",20),20),REPT(" ",20))</f>
        <v/>
      </c>
      <c r="S713" s="10">
        <f>IF(A713="D",LEFT(UPPER(C713)&amp;REPT(" ",10),10)," ")</f>
        <v/>
      </c>
      <c r="T713" s="10">
        <f>IF(A713="D",LEFT(UPPER(D713)&amp;REPT(" ",2),2)," ")</f>
        <v/>
      </c>
      <c r="U713" s="10">
        <f>IF(A713="D",LEFT(UPPER(E713)&amp;REPT(" ",15),15)," ")</f>
        <v/>
      </c>
      <c r="V713" s="10">
        <f>REPT(" ",24)</f>
        <v/>
      </c>
      <c r="W713" s="10">
        <f>IF(A713="c",LEFT(UPPER(B713)&amp;REPT(" ",20),20),REPT(" ",20))</f>
        <v/>
      </c>
      <c r="X713" s="10">
        <f>IF(A713="C",LEFT(UPPER(C713)&amp;REPT(" ",10),10)," ")</f>
        <v/>
      </c>
      <c r="Y713" s="10">
        <f>IF(A713="C",LEFT(UPPER(D713)&amp;REPT(" ",2),2)," ")</f>
        <v/>
      </c>
      <c r="Z713" s="10">
        <f>IF(A713="C",LEFT(UPPER(E713)&amp;REPT(" ",15),15)," ")</f>
        <v/>
      </c>
      <c r="AA713" s="10">
        <f>REPT(" ",8)</f>
        <v/>
      </c>
      <c r="AB713" s="10">
        <f>REPT(" ",4)</f>
        <v/>
      </c>
      <c r="AC713" s="10">
        <f>LEFT(UPPER(H713)&amp;REPT(" ",250),250)</f>
        <v/>
      </c>
      <c r="AD713" s="10">
        <f>TEXT($G$2,"dd/mm/aaaa")</f>
        <v/>
      </c>
      <c r="AE713" s="10">
        <f>REPT(" ",10)</f>
        <v/>
      </c>
      <c r="AF713" s="10">
        <f>REPT(" ",20)</f>
        <v/>
      </c>
      <c r="AG713" s="54">
        <f>REPT(" ",18-LEN(FIXED(F713,2,TRUE)))&amp;FIXED(F713,2,TRUE)</f>
        <v/>
      </c>
      <c r="AH713" s="10">
        <f>LEN(AC713)+LEN(AG713)</f>
        <v/>
      </c>
      <c r="AI713" s="10">
        <f>LEN(L713)</f>
        <v/>
      </c>
    </row>
    <row r="714">
      <c r="A714" s="46" t="n"/>
      <c r="B714" s="38" t="n"/>
      <c r="C714" s="41" t="n"/>
      <c r="D714" s="41" t="n"/>
      <c r="E714" s="41" t="n"/>
      <c r="F714" s="88" t="n"/>
      <c r="G714" s="89" t="n"/>
      <c r="H714" s="37" t="n"/>
      <c r="I714" s="42" t="n"/>
      <c r="J714" s="12">
        <f>IF(F714&lt;&gt;0,"LANÇAR","")</f>
        <v/>
      </c>
      <c r="K714" s="20" t="n"/>
      <c r="L714" s="13">
        <f>N714&amp;O714&amp;P714&amp;Q714&amp;R714&amp;S714&amp;T714&amp;U714&amp;V714&amp;W714&amp;X714&amp;Y714&amp;Z714&amp;AA714&amp;AB714&amp;AC714&amp;AD714&amp;AE714&amp;AF714&amp;AG714</f>
        <v/>
      </c>
      <c r="M714" s="20" t="n"/>
      <c r="N714" s="10">
        <f>TEXT($B$6,"00")</f>
        <v/>
      </c>
      <c r="O714" s="10">
        <f>REPT(" ",8)</f>
        <v/>
      </c>
      <c r="P714" s="10">
        <f>RIGHT($B$4,2)</f>
        <v/>
      </c>
      <c r="Q714" s="10">
        <f>RIGHT($B$5,3)</f>
        <v/>
      </c>
      <c r="R714" s="10">
        <f>IF(A714="D",LEFT(UPPER(B714)&amp;REPT(" ",20),20),REPT(" ",20))</f>
        <v/>
      </c>
      <c r="S714" s="10">
        <f>IF(A714="D",LEFT(UPPER(C714)&amp;REPT(" ",10),10)," ")</f>
        <v/>
      </c>
      <c r="T714" s="10">
        <f>IF(A714="D",LEFT(UPPER(D714)&amp;REPT(" ",2),2)," ")</f>
        <v/>
      </c>
      <c r="U714" s="10">
        <f>IF(A714="D",LEFT(UPPER(E714)&amp;REPT(" ",15),15)," ")</f>
        <v/>
      </c>
      <c r="V714" s="10">
        <f>REPT(" ",24)</f>
        <v/>
      </c>
      <c r="W714" s="10">
        <f>IF(A714="c",LEFT(UPPER(B714)&amp;REPT(" ",20),20),REPT(" ",20))</f>
        <v/>
      </c>
      <c r="X714" s="10">
        <f>IF(A714="C",LEFT(UPPER(C714)&amp;REPT(" ",10),10)," ")</f>
        <v/>
      </c>
      <c r="Y714" s="10">
        <f>IF(A714="C",LEFT(UPPER(D714)&amp;REPT(" ",2),2)," ")</f>
        <v/>
      </c>
      <c r="Z714" s="10">
        <f>IF(A714="C",LEFT(UPPER(E714)&amp;REPT(" ",15),15)," ")</f>
        <v/>
      </c>
      <c r="AA714" s="10">
        <f>REPT(" ",8)</f>
        <v/>
      </c>
      <c r="AB714" s="10">
        <f>REPT(" ",4)</f>
        <v/>
      </c>
      <c r="AC714" s="10">
        <f>LEFT(UPPER(H714)&amp;REPT(" ",250),250)</f>
        <v/>
      </c>
      <c r="AD714" s="10">
        <f>TEXT($G$2,"dd/mm/aaaa")</f>
        <v/>
      </c>
      <c r="AE714" s="10">
        <f>REPT(" ",10)</f>
        <v/>
      </c>
      <c r="AF714" s="10">
        <f>REPT(" ",20)</f>
        <v/>
      </c>
      <c r="AG714" s="54">
        <f>REPT(" ",18-LEN(FIXED(F714,2,TRUE)))&amp;FIXED(F714,2,TRUE)</f>
        <v/>
      </c>
      <c r="AH714" s="10">
        <f>LEN(AC714)+LEN(AG714)</f>
        <v/>
      </c>
      <c r="AI714" s="10">
        <f>LEN(L714)</f>
        <v/>
      </c>
    </row>
    <row r="715">
      <c r="A715" s="46" t="n"/>
      <c r="B715" s="38" t="n"/>
      <c r="C715" s="41" t="n"/>
      <c r="D715" s="41" t="n"/>
      <c r="E715" s="41" t="n"/>
      <c r="F715" s="88" t="n"/>
      <c r="G715" s="89" t="n"/>
      <c r="H715" s="37" t="n"/>
      <c r="I715" s="42" t="n"/>
      <c r="J715" s="12">
        <f>IF(F715&lt;&gt;0,"LANÇAR","")</f>
        <v/>
      </c>
      <c r="K715" s="20" t="n"/>
      <c r="L715" s="13">
        <f>N715&amp;O715&amp;P715&amp;Q715&amp;R715&amp;S715&amp;T715&amp;U715&amp;V715&amp;W715&amp;X715&amp;Y715&amp;Z715&amp;AA715&amp;AB715&amp;AC715&amp;AD715&amp;AE715&amp;AF715&amp;AG715</f>
        <v/>
      </c>
      <c r="M715" s="20" t="n"/>
      <c r="N715" s="10">
        <f>TEXT($B$6,"00")</f>
        <v/>
      </c>
      <c r="O715" s="10">
        <f>REPT(" ",8)</f>
        <v/>
      </c>
      <c r="P715" s="10">
        <f>RIGHT($B$4,2)</f>
        <v/>
      </c>
      <c r="Q715" s="10">
        <f>RIGHT($B$5,3)</f>
        <v/>
      </c>
      <c r="R715" s="10">
        <f>IF(A715="D",LEFT(UPPER(B715)&amp;REPT(" ",20),20),REPT(" ",20))</f>
        <v/>
      </c>
      <c r="S715" s="10">
        <f>IF(A715="D",LEFT(UPPER(C715)&amp;REPT(" ",10),10)," ")</f>
        <v/>
      </c>
      <c r="T715" s="10">
        <f>IF(A715="D",LEFT(UPPER(D715)&amp;REPT(" ",2),2)," ")</f>
        <v/>
      </c>
      <c r="U715" s="10">
        <f>IF(A715="D",LEFT(UPPER(E715)&amp;REPT(" ",15),15)," ")</f>
        <v/>
      </c>
      <c r="V715" s="10">
        <f>REPT(" ",24)</f>
        <v/>
      </c>
      <c r="W715" s="10">
        <f>IF(A715="c",LEFT(UPPER(B715)&amp;REPT(" ",20),20),REPT(" ",20))</f>
        <v/>
      </c>
      <c r="X715" s="10">
        <f>IF(A715="C",LEFT(UPPER(C715)&amp;REPT(" ",10),10)," ")</f>
        <v/>
      </c>
      <c r="Y715" s="10">
        <f>IF(A715="C",LEFT(UPPER(D715)&amp;REPT(" ",2),2)," ")</f>
        <v/>
      </c>
      <c r="Z715" s="10">
        <f>IF(A715="C",LEFT(UPPER(E715)&amp;REPT(" ",15),15)," ")</f>
        <v/>
      </c>
      <c r="AA715" s="10">
        <f>REPT(" ",8)</f>
        <v/>
      </c>
      <c r="AB715" s="10">
        <f>REPT(" ",4)</f>
        <v/>
      </c>
      <c r="AC715" s="10">
        <f>LEFT(UPPER(H715)&amp;REPT(" ",250),250)</f>
        <v/>
      </c>
      <c r="AD715" s="10">
        <f>TEXT($G$2,"dd/mm/aaaa")</f>
        <v/>
      </c>
      <c r="AE715" s="10">
        <f>REPT(" ",10)</f>
        <v/>
      </c>
      <c r="AF715" s="10">
        <f>REPT(" ",20)</f>
        <v/>
      </c>
      <c r="AG715" s="54">
        <f>REPT(" ",18-LEN(FIXED(F715,2,TRUE)))&amp;FIXED(F715,2,TRUE)</f>
        <v/>
      </c>
      <c r="AH715" s="10">
        <f>LEN(AC715)+LEN(AG715)</f>
        <v/>
      </c>
      <c r="AI715" s="10">
        <f>LEN(L715)</f>
        <v/>
      </c>
    </row>
    <row r="716">
      <c r="A716" s="46" t="n"/>
      <c r="B716" s="38" t="n"/>
      <c r="C716" s="41" t="n"/>
      <c r="D716" s="41" t="n"/>
      <c r="E716" s="41" t="n"/>
      <c r="F716" s="88" t="n"/>
      <c r="G716" s="89" t="n"/>
      <c r="H716" s="37" t="n"/>
      <c r="I716" s="42" t="n"/>
      <c r="J716" s="12">
        <f>IF(F716&lt;&gt;0,"LANÇAR","")</f>
        <v/>
      </c>
      <c r="K716" s="20" t="n"/>
      <c r="L716" s="13">
        <f>N716&amp;O716&amp;P716&amp;Q716&amp;R716&amp;S716&amp;T716&amp;U716&amp;V716&amp;W716&amp;X716&amp;Y716&amp;Z716&amp;AA716&amp;AB716&amp;AC716&amp;AD716&amp;AE716&amp;AF716&amp;AG716</f>
        <v/>
      </c>
      <c r="M716" s="20" t="n"/>
      <c r="N716" s="10">
        <f>TEXT($B$6,"00")</f>
        <v/>
      </c>
      <c r="O716" s="10">
        <f>REPT(" ",8)</f>
        <v/>
      </c>
      <c r="P716" s="10">
        <f>RIGHT($B$4,2)</f>
        <v/>
      </c>
      <c r="Q716" s="10">
        <f>RIGHT($B$5,3)</f>
        <v/>
      </c>
      <c r="R716" s="10">
        <f>IF(A716="D",LEFT(UPPER(B716)&amp;REPT(" ",20),20),REPT(" ",20))</f>
        <v/>
      </c>
      <c r="S716" s="10">
        <f>IF(A716="D",LEFT(UPPER(C716)&amp;REPT(" ",10),10)," ")</f>
        <v/>
      </c>
      <c r="T716" s="10">
        <f>IF(A716="D",LEFT(UPPER(D716)&amp;REPT(" ",2),2)," ")</f>
        <v/>
      </c>
      <c r="U716" s="10">
        <f>IF(A716="D",LEFT(UPPER(E716)&amp;REPT(" ",15),15)," ")</f>
        <v/>
      </c>
      <c r="V716" s="10">
        <f>REPT(" ",24)</f>
        <v/>
      </c>
      <c r="W716" s="10">
        <f>IF(A716="c",LEFT(UPPER(B716)&amp;REPT(" ",20),20),REPT(" ",20))</f>
        <v/>
      </c>
      <c r="X716" s="10">
        <f>IF(A716="C",LEFT(UPPER(C716)&amp;REPT(" ",10),10)," ")</f>
        <v/>
      </c>
      <c r="Y716" s="10">
        <f>IF(A716="C",LEFT(UPPER(D716)&amp;REPT(" ",2),2)," ")</f>
        <v/>
      </c>
      <c r="Z716" s="10">
        <f>IF(A716="C",LEFT(UPPER(E716)&amp;REPT(" ",15),15)," ")</f>
        <v/>
      </c>
      <c r="AA716" s="10">
        <f>REPT(" ",8)</f>
        <v/>
      </c>
      <c r="AB716" s="10">
        <f>REPT(" ",4)</f>
        <v/>
      </c>
      <c r="AC716" s="10">
        <f>LEFT(UPPER(H716)&amp;REPT(" ",250),250)</f>
        <v/>
      </c>
      <c r="AD716" s="10">
        <f>TEXT($G$2,"dd/mm/aaaa")</f>
        <v/>
      </c>
      <c r="AE716" s="10">
        <f>REPT(" ",10)</f>
        <v/>
      </c>
      <c r="AF716" s="10">
        <f>REPT(" ",20)</f>
        <v/>
      </c>
      <c r="AG716" s="54">
        <f>REPT(" ",18-LEN(FIXED(F716,2,TRUE)))&amp;FIXED(F716,2,TRUE)</f>
        <v/>
      </c>
      <c r="AH716" s="10">
        <f>LEN(AC716)+LEN(AG716)</f>
        <v/>
      </c>
      <c r="AI716" s="10">
        <f>LEN(L716)</f>
        <v/>
      </c>
    </row>
    <row r="717">
      <c r="A717" s="46" t="n"/>
      <c r="B717" s="38" t="n"/>
      <c r="C717" s="41" t="n"/>
      <c r="D717" s="41" t="n"/>
      <c r="E717" s="41" t="n"/>
      <c r="F717" s="88" t="n"/>
      <c r="G717" s="89" t="n"/>
      <c r="H717" s="37" t="n"/>
      <c r="I717" s="42" t="n"/>
      <c r="J717" s="12">
        <f>IF(F717&lt;&gt;0,"LANÇAR","")</f>
        <v/>
      </c>
      <c r="K717" s="20" t="n"/>
      <c r="L717" s="13">
        <f>N717&amp;O717&amp;P717&amp;Q717&amp;R717&amp;S717&amp;T717&amp;U717&amp;V717&amp;W717&amp;X717&amp;Y717&amp;Z717&amp;AA717&amp;AB717&amp;AC717&amp;AD717&amp;AE717&amp;AF717&amp;AG717</f>
        <v/>
      </c>
      <c r="M717" s="20" t="n"/>
      <c r="N717" s="10">
        <f>TEXT($B$6,"00")</f>
        <v/>
      </c>
      <c r="O717" s="10">
        <f>REPT(" ",8)</f>
        <v/>
      </c>
      <c r="P717" s="10">
        <f>RIGHT($B$4,2)</f>
        <v/>
      </c>
      <c r="Q717" s="10">
        <f>RIGHT($B$5,3)</f>
        <v/>
      </c>
      <c r="R717" s="10">
        <f>IF(A717="D",LEFT(UPPER(B717)&amp;REPT(" ",20),20),REPT(" ",20))</f>
        <v/>
      </c>
      <c r="S717" s="10">
        <f>IF(A717="D",LEFT(UPPER(C717)&amp;REPT(" ",10),10)," ")</f>
        <v/>
      </c>
      <c r="T717" s="10">
        <f>IF(A717="D",LEFT(UPPER(D717)&amp;REPT(" ",2),2)," ")</f>
        <v/>
      </c>
      <c r="U717" s="10">
        <f>IF(A717="D",LEFT(UPPER(E717)&amp;REPT(" ",15),15)," ")</f>
        <v/>
      </c>
      <c r="V717" s="10">
        <f>REPT(" ",24)</f>
        <v/>
      </c>
      <c r="W717" s="10">
        <f>IF(A717="c",LEFT(UPPER(B717)&amp;REPT(" ",20),20),REPT(" ",20))</f>
        <v/>
      </c>
      <c r="X717" s="10">
        <f>IF(A717="C",LEFT(UPPER(C717)&amp;REPT(" ",10),10)," ")</f>
        <v/>
      </c>
      <c r="Y717" s="10">
        <f>IF(A717="C",LEFT(UPPER(D717)&amp;REPT(" ",2),2)," ")</f>
        <v/>
      </c>
      <c r="Z717" s="10">
        <f>IF(A717="C",LEFT(UPPER(E717)&amp;REPT(" ",15),15)," ")</f>
        <v/>
      </c>
      <c r="AA717" s="10">
        <f>REPT(" ",8)</f>
        <v/>
      </c>
      <c r="AB717" s="10">
        <f>REPT(" ",4)</f>
        <v/>
      </c>
      <c r="AC717" s="10">
        <f>LEFT(UPPER(H717)&amp;REPT(" ",250),250)</f>
        <v/>
      </c>
      <c r="AD717" s="10">
        <f>TEXT($G$2,"dd/mm/aaaa")</f>
        <v/>
      </c>
      <c r="AE717" s="10">
        <f>REPT(" ",10)</f>
        <v/>
      </c>
      <c r="AF717" s="10">
        <f>REPT(" ",20)</f>
        <v/>
      </c>
      <c r="AG717" s="54">
        <f>REPT(" ",18-LEN(FIXED(F717,2,TRUE)))&amp;FIXED(F717,2,TRUE)</f>
        <v/>
      </c>
      <c r="AH717" s="10">
        <f>LEN(AC717)+LEN(AG717)</f>
        <v/>
      </c>
      <c r="AI717" s="10">
        <f>LEN(L717)</f>
        <v/>
      </c>
    </row>
    <row r="718">
      <c r="A718" s="46" t="n"/>
      <c r="B718" s="38" t="n"/>
      <c r="C718" s="41" t="n"/>
      <c r="D718" s="41" t="n"/>
      <c r="E718" s="41" t="n"/>
      <c r="F718" s="88" t="n"/>
      <c r="G718" s="89" t="n"/>
      <c r="H718" s="37" t="n"/>
      <c r="I718" s="42" t="n"/>
      <c r="J718" s="12">
        <f>IF(F718&lt;&gt;0,"LANÇAR","")</f>
        <v/>
      </c>
      <c r="K718" s="20" t="n"/>
      <c r="L718" s="13">
        <f>N718&amp;O718&amp;P718&amp;Q718&amp;R718&amp;S718&amp;T718&amp;U718&amp;V718&amp;W718&amp;X718&amp;Y718&amp;Z718&amp;AA718&amp;AB718&amp;AC718&amp;AD718&amp;AE718&amp;AF718&amp;AG718</f>
        <v/>
      </c>
      <c r="M718" s="20" t="n"/>
      <c r="N718" s="10">
        <f>TEXT($B$6,"00")</f>
        <v/>
      </c>
      <c r="O718" s="10">
        <f>REPT(" ",8)</f>
        <v/>
      </c>
      <c r="P718" s="10">
        <f>RIGHT($B$4,2)</f>
        <v/>
      </c>
      <c r="Q718" s="10">
        <f>RIGHT($B$5,3)</f>
        <v/>
      </c>
      <c r="R718" s="10">
        <f>IF(A718="D",LEFT(UPPER(B718)&amp;REPT(" ",20),20),REPT(" ",20))</f>
        <v/>
      </c>
      <c r="S718" s="10">
        <f>IF(A718="D",LEFT(UPPER(C718)&amp;REPT(" ",10),10)," ")</f>
        <v/>
      </c>
      <c r="T718" s="10">
        <f>IF(A718="D",LEFT(UPPER(D718)&amp;REPT(" ",2),2)," ")</f>
        <v/>
      </c>
      <c r="U718" s="10">
        <f>IF(A718="D",LEFT(UPPER(E718)&amp;REPT(" ",15),15)," ")</f>
        <v/>
      </c>
      <c r="V718" s="10">
        <f>REPT(" ",24)</f>
        <v/>
      </c>
      <c r="W718" s="10">
        <f>IF(A718="c",LEFT(UPPER(B718)&amp;REPT(" ",20),20),REPT(" ",20))</f>
        <v/>
      </c>
      <c r="X718" s="10">
        <f>IF(A718="C",LEFT(UPPER(C718)&amp;REPT(" ",10),10)," ")</f>
        <v/>
      </c>
      <c r="Y718" s="10">
        <f>IF(A718="C",LEFT(UPPER(D718)&amp;REPT(" ",2),2)," ")</f>
        <v/>
      </c>
      <c r="Z718" s="10">
        <f>IF(A718="C",LEFT(UPPER(E718)&amp;REPT(" ",15),15)," ")</f>
        <v/>
      </c>
      <c r="AA718" s="10">
        <f>REPT(" ",8)</f>
        <v/>
      </c>
      <c r="AB718" s="10">
        <f>REPT(" ",4)</f>
        <v/>
      </c>
      <c r="AC718" s="10">
        <f>LEFT(UPPER(H718)&amp;REPT(" ",250),250)</f>
        <v/>
      </c>
      <c r="AD718" s="10">
        <f>TEXT($G$2,"dd/mm/aaaa")</f>
        <v/>
      </c>
      <c r="AE718" s="10">
        <f>REPT(" ",10)</f>
        <v/>
      </c>
      <c r="AF718" s="10">
        <f>REPT(" ",20)</f>
        <v/>
      </c>
      <c r="AG718" s="54">
        <f>REPT(" ",18-LEN(FIXED(F718,2,TRUE)))&amp;FIXED(F718,2,TRUE)</f>
        <v/>
      </c>
      <c r="AH718" s="10">
        <f>LEN(AC718)+LEN(AG718)</f>
        <v/>
      </c>
      <c r="AI718" s="10">
        <f>LEN(L718)</f>
        <v/>
      </c>
    </row>
    <row r="719">
      <c r="A719" s="46" t="n"/>
      <c r="B719" s="38" t="n"/>
      <c r="C719" s="41" t="n"/>
      <c r="D719" s="41" t="n"/>
      <c r="E719" s="41" t="n"/>
      <c r="F719" s="88" t="n"/>
      <c r="G719" s="89" t="n"/>
      <c r="H719" s="37" t="n"/>
      <c r="I719" s="42" t="n"/>
      <c r="J719" s="12">
        <f>IF(F719&lt;&gt;0,"LANÇAR","")</f>
        <v/>
      </c>
      <c r="K719" s="20" t="n"/>
      <c r="L719" s="13">
        <f>N719&amp;O719&amp;P719&amp;Q719&amp;R719&amp;S719&amp;T719&amp;U719&amp;V719&amp;W719&amp;X719&amp;Y719&amp;Z719&amp;AA719&amp;AB719&amp;AC719&amp;AD719&amp;AE719&amp;AF719&amp;AG719</f>
        <v/>
      </c>
      <c r="M719" s="20" t="n"/>
      <c r="N719" s="10">
        <f>TEXT($B$6,"00")</f>
        <v/>
      </c>
      <c r="O719" s="10">
        <f>REPT(" ",8)</f>
        <v/>
      </c>
      <c r="P719" s="10">
        <f>RIGHT($B$4,2)</f>
        <v/>
      </c>
      <c r="Q719" s="10">
        <f>RIGHT($B$5,3)</f>
        <v/>
      </c>
      <c r="R719" s="10">
        <f>IF(A719="D",LEFT(UPPER(B719)&amp;REPT(" ",20),20),REPT(" ",20))</f>
        <v/>
      </c>
      <c r="S719" s="10">
        <f>IF(A719="D",LEFT(UPPER(C719)&amp;REPT(" ",10),10)," ")</f>
        <v/>
      </c>
      <c r="T719" s="10">
        <f>IF(A719="D",LEFT(UPPER(D719)&amp;REPT(" ",2),2)," ")</f>
        <v/>
      </c>
      <c r="U719" s="10">
        <f>IF(A719="D",LEFT(UPPER(E719)&amp;REPT(" ",15),15)," ")</f>
        <v/>
      </c>
      <c r="V719" s="10">
        <f>REPT(" ",24)</f>
        <v/>
      </c>
      <c r="W719" s="10">
        <f>IF(A719="c",LEFT(UPPER(B719)&amp;REPT(" ",20),20),REPT(" ",20))</f>
        <v/>
      </c>
      <c r="X719" s="10">
        <f>IF(A719="C",LEFT(UPPER(C719)&amp;REPT(" ",10),10)," ")</f>
        <v/>
      </c>
      <c r="Y719" s="10">
        <f>IF(A719="C",LEFT(UPPER(D719)&amp;REPT(" ",2),2)," ")</f>
        <v/>
      </c>
      <c r="Z719" s="10">
        <f>IF(A719="C",LEFT(UPPER(E719)&amp;REPT(" ",15),15)," ")</f>
        <v/>
      </c>
      <c r="AA719" s="10">
        <f>REPT(" ",8)</f>
        <v/>
      </c>
      <c r="AB719" s="10">
        <f>REPT(" ",4)</f>
        <v/>
      </c>
      <c r="AC719" s="10">
        <f>LEFT(UPPER(H719)&amp;REPT(" ",250),250)</f>
        <v/>
      </c>
      <c r="AD719" s="10">
        <f>TEXT($G$2,"dd/mm/aaaa")</f>
        <v/>
      </c>
      <c r="AE719" s="10">
        <f>REPT(" ",10)</f>
        <v/>
      </c>
      <c r="AF719" s="10">
        <f>REPT(" ",20)</f>
        <v/>
      </c>
      <c r="AG719" s="54">
        <f>REPT(" ",18-LEN(FIXED(F719,2,TRUE)))&amp;FIXED(F719,2,TRUE)</f>
        <v/>
      </c>
      <c r="AH719" s="10">
        <f>LEN(AC719)+LEN(AG719)</f>
        <v/>
      </c>
      <c r="AI719" s="10">
        <f>LEN(L719)</f>
        <v/>
      </c>
    </row>
    <row r="720">
      <c r="A720" s="46" t="n"/>
      <c r="B720" s="38" t="n"/>
      <c r="C720" s="41" t="n"/>
      <c r="D720" s="41" t="n"/>
      <c r="E720" s="41" t="n"/>
      <c r="F720" s="88" t="n"/>
      <c r="G720" s="89" t="n"/>
      <c r="H720" s="37" t="n"/>
      <c r="I720" s="42" t="n"/>
      <c r="J720" s="12">
        <f>IF(F720&lt;&gt;0,"LANÇAR","")</f>
        <v/>
      </c>
      <c r="K720" s="20" t="n"/>
      <c r="L720" s="13">
        <f>N720&amp;O720&amp;P720&amp;Q720&amp;R720&amp;S720&amp;T720&amp;U720&amp;V720&amp;W720&amp;X720&amp;Y720&amp;Z720&amp;AA720&amp;AB720&amp;AC720&amp;AD720&amp;AE720&amp;AF720&amp;AG720</f>
        <v/>
      </c>
      <c r="M720" s="20" t="n"/>
      <c r="N720" s="10">
        <f>TEXT($B$6,"00")</f>
        <v/>
      </c>
      <c r="O720" s="10">
        <f>REPT(" ",8)</f>
        <v/>
      </c>
      <c r="P720" s="10">
        <f>RIGHT($B$4,2)</f>
        <v/>
      </c>
      <c r="Q720" s="10">
        <f>RIGHT($B$5,3)</f>
        <v/>
      </c>
      <c r="R720" s="10">
        <f>IF(A720="D",LEFT(UPPER(B720)&amp;REPT(" ",20),20),REPT(" ",20))</f>
        <v/>
      </c>
      <c r="S720" s="10">
        <f>IF(A720="D",LEFT(UPPER(C720)&amp;REPT(" ",10),10)," ")</f>
        <v/>
      </c>
      <c r="T720" s="10">
        <f>IF(A720="D",LEFT(UPPER(D720)&amp;REPT(" ",2),2)," ")</f>
        <v/>
      </c>
      <c r="U720" s="10">
        <f>IF(A720="D",LEFT(UPPER(E720)&amp;REPT(" ",15),15)," ")</f>
        <v/>
      </c>
      <c r="V720" s="10">
        <f>REPT(" ",24)</f>
        <v/>
      </c>
      <c r="W720" s="10">
        <f>IF(A720="c",LEFT(UPPER(B720)&amp;REPT(" ",20),20),REPT(" ",20))</f>
        <v/>
      </c>
      <c r="X720" s="10">
        <f>IF(A720="C",LEFT(UPPER(C720)&amp;REPT(" ",10),10)," ")</f>
        <v/>
      </c>
      <c r="Y720" s="10">
        <f>IF(A720="C",LEFT(UPPER(D720)&amp;REPT(" ",2),2)," ")</f>
        <v/>
      </c>
      <c r="Z720" s="10">
        <f>IF(A720="C",LEFT(UPPER(E720)&amp;REPT(" ",15),15)," ")</f>
        <v/>
      </c>
      <c r="AA720" s="10">
        <f>REPT(" ",8)</f>
        <v/>
      </c>
      <c r="AB720" s="10">
        <f>REPT(" ",4)</f>
        <v/>
      </c>
      <c r="AC720" s="10">
        <f>LEFT(UPPER(H720)&amp;REPT(" ",250),250)</f>
        <v/>
      </c>
      <c r="AD720" s="10">
        <f>TEXT($G$2,"dd/mm/aaaa")</f>
        <v/>
      </c>
      <c r="AE720" s="10">
        <f>REPT(" ",10)</f>
        <v/>
      </c>
      <c r="AF720" s="10">
        <f>REPT(" ",20)</f>
        <v/>
      </c>
      <c r="AG720" s="54">
        <f>REPT(" ",18-LEN(FIXED(F720,2,TRUE)))&amp;FIXED(F720,2,TRUE)</f>
        <v/>
      </c>
      <c r="AH720" s="10">
        <f>LEN(AC720)+LEN(AG720)</f>
        <v/>
      </c>
      <c r="AI720" s="10">
        <f>LEN(L720)</f>
        <v/>
      </c>
    </row>
    <row r="721">
      <c r="A721" s="46" t="n"/>
      <c r="B721" s="38" t="n"/>
      <c r="C721" s="41" t="n"/>
      <c r="D721" s="41" t="n"/>
      <c r="E721" s="41" t="n"/>
      <c r="F721" s="88" t="n"/>
      <c r="G721" s="89" t="n"/>
      <c r="H721" s="37" t="n"/>
      <c r="I721" s="42" t="n"/>
      <c r="J721" s="12">
        <f>IF(F721&lt;&gt;0,"LANÇAR","")</f>
        <v/>
      </c>
      <c r="K721" s="20" t="n"/>
      <c r="L721" s="13">
        <f>N721&amp;O721&amp;P721&amp;Q721&amp;R721&amp;S721&amp;T721&amp;U721&amp;V721&amp;W721&amp;X721&amp;Y721&amp;Z721&amp;AA721&amp;AB721&amp;AC721&amp;AD721&amp;AE721&amp;AF721&amp;AG721</f>
        <v/>
      </c>
      <c r="M721" s="20" t="n"/>
      <c r="N721" s="10">
        <f>TEXT($B$6,"00")</f>
        <v/>
      </c>
      <c r="O721" s="10">
        <f>REPT(" ",8)</f>
        <v/>
      </c>
      <c r="P721" s="10">
        <f>RIGHT($B$4,2)</f>
        <v/>
      </c>
      <c r="Q721" s="10">
        <f>RIGHT($B$5,3)</f>
        <v/>
      </c>
      <c r="R721" s="10">
        <f>IF(A721="D",LEFT(UPPER(B721)&amp;REPT(" ",20),20),REPT(" ",20))</f>
        <v/>
      </c>
      <c r="S721" s="10">
        <f>IF(A721="D",LEFT(UPPER(C721)&amp;REPT(" ",10),10)," ")</f>
        <v/>
      </c>
      <c r="T721" s="10">
        <f>IF(A721="D",LEFT(UPPER(D721)&amp;REPT(" ",2),2)," ")</f>
        <v/>
      </c>
      <c r="U721" s="10">
        <f>IF(A721="D",LEFT(UPPER(E721)&amp;REPT(" ",15),15)," ")</f>
        <v/>
      </c>
      <c r="V721" s="10">
        <f>REPT(" ",24)</f>
        <v/>
      </c>
      <c r="W721" s="10">
        <f>IF(A721="c",LEFT(UPPER(B721)&amp;REPT(" ",20),20),REPT(" ",20))</f>
        <v/>
      </c>
      <c r="X721" s="10">
        <f>IF(A721="C",LEFT(UPPER(C721)&amp;REPT(" ",10),10)," ")</f>
        <v/>
      </c>
      <c r="Y721" s="10">
        <f>IF(A721="C",LEFT(UPPER(D721)&amp;REPT(" ",2),2)," ")</f>
        <v/>
      </c>
      <c r="Z721" s="10">
        <f>IF(A721="C",LEFT(UPPER(E721)&amp;REPT(" ",15),15)," ")</f>
        <v/>
      </c>
      <c r="AA721" s="10">
        <f>REPT(" ",8)</f>
        <v/>
      </c>
      <c r="AB721" s="10">
        <f>REPT(" ",4)</f>
        <v/>
      </c>
      <c r="AC721" s="10">
        <f>LEFT(UPPER(H721)&amp;REPT(" ",250),250)</f>
        <v/>
      </c>
      <c r="AD721" s="10">
        <f>TEXT($G$2,"dd/mm/aaaa")</f>
        <v/>
      </c>
      <c r="AE721" s="10">
        <f>REPT(" ",10)</f>
        <v/>
      </c>
      <c r="AF721" s="10">
        <f>REPT(" ",20)</f>
        <v/>
      </c>
      <c r="AG721" s="54">
        <f>REPT(" ",18-LEN(FIXED(F721,2,TRUE)))&amp;FIXED(F721,2,TRUE)</f>
        <v/>
      </c>
      <c r="AH721" s="10">
        <f>LEN(AC721)+LEN(AG721)</f>
        <v/>
      </c>
      <c r="AI721" s="10">
        <f>LEN(L721)</f>
        <v/>
      </c>
    </row>
    <row r="722">
      <c r="A722" s="46" t="n"/>
      <c r="B722" s="38" t="n"/>
      <c r="C722" s="41" t="n"/>
      <c r="D722" s="41" t="n"/>
      <c r="E722" s="41" t="n"/>
      <c r="F722" s="88" t="n"/>
      <c r="G722" s="89" t="n"/>
      <c r="H722" s="37" t="n"/>
      <c r="I722" s="42" t="n"/>
      <c r="J722" s="12">
        <f>IF(F722&lt;&gt;0,"LANÇAR","")</f>
        <v/>
      </c>
      <c r="K722" s="20" t="n"/>
      <c r="L722" s="13">
        <f>N722&amp;O722&amp;P722&amp;Q722&amp;R722&amp;S722&amp;T722&amp;U722&amp;V722&amp;W722&amp;X722&amp;Y722&amp;Z722&amp;AA722&amp;AB722&amp;AC722&amp;AD722&amp;AE722&amp;AF722&amp;AG722</f>
        <v/>
      </c>
      <c r="M722" s="20" t="n"/>
      <c r="N722" s="10">
        <f>TEXT($B$6,"00")</f>
        <v/>
      </c>
      <c r="O722" s="10">
        <f>REPT(" ",8)</f>
        <v/>
      </c>
      <c r="P722" s="10">
        <f>RIGHT($B$4,2)</f>
        <v/>
      </c>
      <c r="Q722" s="10">
        <f>RIGHT($B$5,3)</f>
        <v/>
      </c>
      <c r="R722" s="10">
        <f>IF(A722="D",LEFT(UPPER(B722)&amp;REPT(" ",20),20),REPT(" ",20))</f>
        <v/>
      </c>
      <c r="S722" s="10">
        <f>IF(A722="D",LEFT(UPPER(C722)&amp;REPT(" ",10),10)," ")</f>
        <v/>
      </c>
      <c r="T722" s="10">
        <f>IF(A722="D",LEFT(UPPER(D722)&amp;REPT(" ",2),2)," ")</f>
        <v/>
      </c>
      <c r="U722" s="10">
        <f>IF(A722="D",LEFT(UPPER(E722)&amp;REPT(" ",15),15)," ")</f>
        <v/>
      </c>
      <c r="V722" s="10">
        <f>REPT(" ",24)</f>
        <v/>
      </c>
      <c r="W722" s="10">
        <f>IF(A722="c",LEFT(UPPER(B722)&amp;REPT(" ",20),20),REPT(" ",20))</f>
        <v/>
      </c>
      <c r="X722" s="10">
        <f>IF(A722="C",LEFT(UPPER(C722)&amp;REPT(" ",10),10)," ")</f>
        <v/>
      </c>
      <c r="Y722" s="10">
        <f>IF(A722="C",LEFT(UPPER(D722)&amp;REPT(" ",2),2)," ")</f>
        <v/>
      </c>
      <c r="Z722" s="10">
        <f>IF(A722="C",LEFT(UPPER(E722)&amp;REPT(" ",15),15)," ")</f>
        <v/>
      </c>
      <c r="AA722" s="10">
        <f>REPT(" ",8)</f>
        <v/>
      </c>
      <c r="AB722" s="10">
        <f>REPT(" ",4)</f>
        <v/>
      </c>
      <c r="AC722" s="10">
        <f>LEFT(UPPER(H722)&amp;REPT(" ",250),250)</f>
        <v/>
      </c>
      <c r="AD722" s="10">
        <f>TEXT($G$2,"dd/mm/aaaa")</f>
        <v/>
      </c>
      <c r="AE722" s="10">
        <f>REPT(" ",10)</f>
        <v/>
      </c>
      <c r="AF722" s="10">
        <f>REPT(" ",20)</f>
        <v/>
      </c>
      <c r="AG722" s="54">
        <f>REPT(" ",18-LEN(FIXED(F722,2,TRUE)))&amp;FIXED(F722,2,TRUE)</f>
        <v/>
      </c>
      <c r="AH722" s="10">
        <f>LEN(AC722)+LEN(AG722)</f>
        <v/>
      </c>
      <c r="AI722" s="10">
        <f>LEN(L722)</f>
        <v/>
      </c>
    </row>
    <row r="723">
      <c r="A723" s="46" t="n"/>
      <c r="B723" s="38" t="n"/>
      <c r="C723" s="41" t="n"/>
      <c r="D723" s="41" t="n"/>
      <c r="E723" s="41" t="n"/>
      <c r="F723" s="88" t="n"/>
      <c r="G723" s="89" t="n"/>
      <c r="H723" s="37" t="n"/>
      <c r="I723" s="42" t="n"/>
      <c r="J723" s="12">
        <f>IF(F723&lt;&gt;0,"LANÇAR","")</f>
        <v/>
      </c>
      <c r="K723" s="20" t="n"/>
      <c r="L723" s="13">
        <f>N723&amp;O723&amp;P723&amp;Q723&amp;R723&amp;S723&amp;T723&amp;U723&amp;V723&amp;W723&amp;X723&amp;Y723&amp;Z723&amp;AA723&amp;AB723&amp;AC723&amp;AD723&amp;AE723&amp;AF723&amp;AG723</f>
        <v/>
      </c>
      <c r="M723" s="20" t="n"/>
      <c r="N723" s="10">
        <f>TEXT($B$6,"00")</f>
        <v/>
      </c>
      <c r="O723" s="10">
        <f>REPT(" ",8)</f>
        <v/>
      </c>
      <c r="P723" s="10">
        <f>RIGHT($B$4,2)</f>
        <v/>
      </c>
      <c r="Q723" s="10">
        <f>RIGHT($B$5,3)</f>
        <v/>
      </c>
      <c r="R723" s="10">
        <f>IF(A723="D",LEFT(UPPER(B723)&amp;REPT(" ",20),20),REPT(" ",20))</f>
        <v/>
      </c>
      <c r="S723" s="10">
        <f>IF(A723="D",LEFT(UPPER(C723)&amp;REPT(" ",10),10)," ")</f>
        <v/>
      </c>
      <c r="T723" s="10">
        <f>IF(A723="D",LEFT(UPPER(D723)&amp;REPT(" ",2),2)," ")</f>
        <v/>
      </c>
      <c r="U723" s="10">
        <f>IF(A723="D",LEFT(UPPER(E723)&amp;REPT(" ",15),15)," ")</f>
        <v/>
      </c>
      <c r="V723" s="10">
        <f>REPT(" ",24)</f>
        <v/>
      </c>
      <c r="W723" s="10">
        <f>IF(A723="c",LEFT(UPPER(B723)&amp;REPT(" ",20),20),REPT(" ",20))</f>
        <v/>
      </c>
      <c r="X723" s="10">
        <f>IF(A723="C",LEFT(UPPER(C723)&amp;REPT(" ",10),10)," ")</f>
        <v/>
      </c>
      <c r="Y723" s="10">
        <f>IF(A723="C",LEFT(UPPER(D723)&amp;REPT(" ",2),2)," ")</f>
        <v/>
      </c>
      <c r="Z723" s="10">
        <f>IF(A723="C",LEFT(UPPER(E723)&amp;REPT(" ",15),15)," ")</f>
        <v/>
      </c>
      <c r="AA723" s="10">
        <f>REPT(" ",8)</f>
        <v/>
      </c>
      <c r="AB723" s="10">
        <f>REPT(" ",4)</f>
        <v/>
      </c>
      <c r="AC723" s="10">
        <f>LEFT(UPPER(H723)&amp;REPT(" ",250),250)</f>
        <v/>
      </c>
      <c r="AD723" s="10">
        <f>TEXT($G$2,"dd/mm/aaaa")</f>
        <v/>
      </c>
      <c r="AE723" s="10">
        <f>REPT(" ",10)</f>
        <v/>
      </c>
      <c r="AF723" s="10">
        <f>REPT(" ",20)</f>
        <v/>
      </c>
      <c r="AG723" s="54">
        <f>REPT(" ",18-LEN(FIXED(F723,2,TRUE)))&amp;FIXED(F723,2,TRUE)</f>
        <v/>
      </c>
      <c r="AH723" s="10">
        <f>LEN(AC723)+LEN(AG723)</f>
        <v/>
      </c>
      <c r="AI723" s="10">
        <f>LEN(L723)</f>
        <v/>
      </c>
    </row>
    <row r="724">
      <c r="A724" s="46" t="n"/>
      <c r="B724" s="38" t="n"/>
      <c r="C724" s="41" t="n"/>
      <c r="D724" s="41" t="n"/>
      <c r="E724" s="41" t="n"/>
      <c r="F724" s="88" t="n"/>
      <c r="G724" s="89" t="n"/>
      <c r="H724" s="37" t="n"/>
      <c r="I724" s="42" t="n"/>
      <c r="J724" s="12">
        <f>IF(F724&lt;&gt;0,"LANÇAR","")</f>
        <v/>
      </c>
      <c r="K724" s="20" t="n"/>
      <c r="L724" s="13">
        <f>N724&amp;O724&amp;P724&amp;Q724&amp;R724&amp;S724&amp;T724&amp;U724&amp;V724&amp;W724&amp;X724&amp;Y724&amp;Z724&amp;AA724&amp;AB724&amp;AC724&amp;AD724&amp;AE724&amp;AF724&amp;AG724</f>
        <v/>
      </c>
      <c r="M724" s="20" t="n"/>
      <c r="N724" s="10">
        <f>TEXT($B$6,"00")</f>
        <v/>
      </c>
      <c r="O724" s="10">
        <f>REPT(" ",8)</f>
        <v/>
      </c>
      <c r="P724" s="10">
        <f>RIGHT($B$4,2)</f>
        <v/>
      </c>
      <c r="Q724" s="10">
        <f>RIGHT($B$5,3)</f>
        <v/>
      </c>
      <c r="R724" s="10">
        <f>IF(A724="D",LEFT(UPPER(B724)&amp;REPT(" ",20),20),REPT(" ",20))</f>
        <v/>
      </c>
      <c r="S724" s="10">
        <f>IF(A724="D",LEFT(UPPER(C724)&amp;REPT(" ",10),10)," ")</f>
        <v/>
      </c>
      <c r="T724" s="10">
        <f>IF(A724="D",LEFT(UPPER(D724)&amp;REPT(" ",2),2)," ")</f>
        <v/>
      </c>
      <c r="U724" s="10">
        <f>IF(A724="D",LEFT(UPPER(E724)&amp;REPT(" ",15),15)," ")</f>
        <v/>
      </c>
      <c r="V724" s="10">
        <f>REPT(" ",24)</f>
        <v/>
      </c>
      <c r="W724" s="10">
        <f>IF(A724="c",LEFT(UPPER(B724)&amp;REPT(" ",20),20),REPT(" ",20))</f>
        <v/>
      </c>
      <c r="X724" s="10">
        <f>IF(A724="C",LEFT(UPPER(C724)&amp;REPT(" ",10),10)," ")</f>
        <v/>
      </c>
      <c r="Y724" s="10">
        <f>IF(A724="C",LEFT(UPPER(D724)&amp;REPT(" ",2),2)," ")</f>
        <v/>
      </c>
      <c r="Z724" s="10">
        <f>IF(A724="C",LEFT(UPPER(E724)&amp;REPT(" ",15),15)," ")</f>
        <v/>
      </c>
      <c r="AA724" s="10">
        <f>REPT(" ",8)</f>
        <v/>
      </c>
      <c r="AB724" s="10">
        <f>REPT(" ",4)</f>
        <v/>
      </c>
      <c r="AC724" s="10">
        <f>LEFT(UPPER(H724)&amp;REPT(" ",250),250)</f>
        <v/>
      </c>
      <c r="AD724" s="10">
        <f>TEXT($G$2,"dd/mm/aaaa")</f>
        <v/>
      </c>
      <c r="AE724" s="10">
        <f>REPT(" ",10)</f>
        <v/>
      </c>
      <c r="AF724" s="10">
        <f>REPT(" ",20)</f>
        <v/>
      </c>
      <c r="AG724" s="54">
        <f>REPT(" ",18-LEN(FIXED(F724,2,TRUE)))&amp;FIXED(F724,2,TRUE)</f>
        <v/>
      </c>
      <c r="AH724" s="10">
        <f>LEN(AC724)+LEN(AG724)</f>
        <v/>
      </c>
      <c r="AI724" s="10">
        <f>LEN(L724)</f>
        <v/>
      </c>
    </row>
    <row r="725">
      <c r="A725" s="46" t="n"/>
      <c r="B725" s="38" t="n"/>
      <c r="C725" s="41" t="n"/>
      <c r="D725" s="41" t="n"/>
      <c r="E725" s="41" t="n"/>
      <c r="F725" s="88" t="n"/>
      <c r="G725" s="89" t="n"/>
      <c r="H725" s="37" t="n"/>
      <c r="I725" s="42" t="n"/>
      <c r="J725" s="12">
        <f>IF(F725&lt;&gt;0,"LANÇAR","")</f>
        <v/>
      </c>
      <c r="K725" s="20" t="n"/>
      <c r="L725" s="13">
        <f>N725&amp;O725&amp;P725&amp;Q725&amp;R725&amp;S725&amp;T725&amp;U725&amp;V725&amp;W725&amp;X725&amp;Y725&amp;Z725&amp;AA725&amp;AB725&amp;AC725&amp;AD725&amp;AE725&amp;AF725&amp;AG725</f>
        <v/>
      </c>
      <c r="M725" s="20" t="n"/>
      <c r="N725" s="10">
        <f>TEXT($B$6,"00")</f>
        <v/>
      </c>
      <c r="O725" s="10">
        <f>REPT(" ",8)</f>
        <v/>
      </c>
      <c r="P725" s="10">
        <f>RIGHT($B$4,2)</f>
        <v/>
      </c>
      <c r="Q725" s="10">
        <f>RIGHT($B$5,3)</f>
        <v/>
      </c>
      <c r="R725" s="10">
        <f>IF(A725="D",LEFT(UPPER(B725)&amp;REPT(" ",20),20),REPT(" ",20))</f>
        <v/>
      </c>
      <c r="S725" s="10">
        <f>IF(A725="D",LEFT(UPPER(C725)&amp;REPT(" ",10),10)," ")</f>
        <v/>
      </c>
      <c r="T725" s="10">
        <f>IF(A725="D",LEFT(UPPER(D725)&amp;REPT(" ",2),2)," ")</f>
        <v/>
      </c>
      <c r="U725" s="10">
        <f>IF(A725="D",LEFT(UPPER(E725)&amp;REPT(" ",15),15)," ")</f>
        <v/>
      </c>
      <c r="V725" s="10">
        <f>REPT(" ",24)</f>
        <v/>
      </c>
      <c r="W725" s="10">
        <f>IF(A725="c",LEFT(UPPER(B725)&amp;REPT(" ",20),20),REPT(" ",20))</f>
        <v/>
      </c>
      <c r="X725" s="10">
        <f>IF(A725="C",LEFT(UPPER(C725)&amp;REPT(" ",10),10)," ")</f>
        <v/>
      </c>
      <c r="Y725" s="10">
        <f>IF(A725="C",LEFT(UPPER(D725)&amp;REPT(" ",2),2)," ")</f>
        <v/>
      </c>
      <c r="Z725" s="10">
        <f>IF(A725="C",LEFT(UPPER(E725)&amp;REPT(" ",15),15)," ")</f>
        <v/>
      </c>
      <c r="AA725" s="10">
        <f>REPT(" ",8)</f>
        <v/>
      </c>
      <c r="AB725" s="10">
        <f>REPT(" ",4)</f>
        <v/>
      </c>
      <c r="AC725" s="10">
        <f>LEFT(UPPER(H725)&amp;REPT(" ",250),250)</f>
        <v/>
      </c>
      <c r="AD725" s="10">
        <f>TEXT($G$2,"dd/mm/aaaa")</f>
        <v/>
      </c>
      <c r="AE725" s="10">
        <f>REPT(" ",10)</f>
        <v/>
      </c>
      <c r="AF725" s="10">
        <f>REPT(" ",20)</f>
        <v/>
      </c>
      <c r="AG725" s="54">
        <f>REPT(" ",18-LEN(FIXED(F725,2,TRUE)))&amp;FIXED(F725,2,TRUE)</f>
        <v/>
      </c>
      <c r="AH725" s="10">
        <f>LEN(AC725)+LEN(AG725)</f>
        <v/>
      </c>
      <c r="AI725" s="10">
        <f>LEN(L725)</f>
        <v/>
      </c>
    </row>
    <row r="726">
      <c r="A726" s="46" t="n"/>
      <c r="B726" s="38" t="n"/>
      <c r="C726" s="41" t="n"/>
      <c r="D726" s="41" t="n"/>
      <c r="E726" s="41" t="n"/>
      <c r="F726" s="88" t="n"/>
      <c r="G726" s="89" t="n"/>
      <c r="H726" s="37" t="n"/>
      <c r="I726" s="42" t="n"/>
      <c r="J726" s="12">
        <f>IF(F726&lt;&gt;0,"LANÇAR","")</f>
        <v/>
      </c>
      <c r="K726" s="20" t="n"/>
      <c r="L726" s="13">
        <f>N726&amp;O726&amp;P726&amp;Q726&amp;R726&amp;S726&amp;T726&amp;U726&amp;V726&amp;W726&amp;X726&amp;Y726&amp;Z726&amp;AA726&amp;AB726&amp;AC726&amp;AD726&amp;AE726&amp;AF726&amp;AG726</f>
        <v/>
      </c>
      <c r="M726" s="20" t="n"/>
      <c r="N726" s="10">
        <f>TEXT($B$6,"00")</f>
        <v/>
      </c>
      <c r="O726" s="10">
        <f>REPT(" ",8)</f>
        <v/>
      </c>
      <c r="P726" s="10">
        <f>RIGHT($B$4,2)</f>
        <v/>
      </c>
      <c r="Q726" s="10">
        <f>RIGHT($B$5,3)</f>
        <v/>
      </c>
      <c r="R726" s="10">
        <f>IF(A726="D",LEFT(UPPER(B726)&amp;REPT(" ",20),20),REPT(" ",20))</f>
        <v/>
      </c>
      <c r="S726" s="10">
        <f>IF(A726="D",LEFT(UPPER(C726)&amp;REPT(" ",10),10)," ")</f>
        <v/>
      </c>
      <c r="T726" s="10">
        <f>IF(A726="D",LEFT(UPPER(D726)&amp;REPT(" ",2),2)," ")</f>
        <v/>
      </c>
      <c r="U726" s="10">
        <f>IF(A726="D",LEFT(UPPER(E726)&amp;REPT(" ",15),15)," ")</f>
        <v/>
      </c>
      <c r="V726" s="10">
        <f>REPT(" ",24)</f>
        <v/>
      </c>
      <c r="W726" s="10">
        <f>IF(A726="c",LEFT(UPPER(B726)&amp;REPT(" ",20),20),REPT(" ",20))</f>
        <v/>
      </c>
      <c r="X726" s="10">
        <f>IF(A726="C",LEFT(UPPER(C726)&amp;REPT(" ",10),10)," ")</f>
        <v/>
      </c>
      <c r="Y726" s="10">
        <f>IF(A726="C",LEFT(UPPER(D726)&amp;REPT(" ",2),2)," ")</f>
        <v/>
      </c>
      <c r="Z726" s="10">
        <f>IF(A726="C",LEFT(UPPER(E726)&amp;REPT(" ",15),15)," ")</f>
        <v/>
      </c>
      <c r="AA726" s="10">
        <f>REPT(" ",8)</f>
        <v/>
      </c>
      <c r="AB726" s="10">
        <f>REPT(" ",4)</f>
        <v/>
      </c>
      <c r="AC726" s="10">
        <f>LEFT(UPPER(H726)&amp;REPT(" ",250),250)</f>
        <v/>
      </c>
      <c r="AD726" s="10">
        <f>TEXT($G$2,"dd/mm/aaaa")</f>
        <v/>
      </c>
      <c r="AE726" s="10">
        <f>REPT(" ",10)</f>
        <v/>
      </c>
      <c r="AF726" s="10">
        <f>REPT(" ",20)</f>
        <v/>
      </c>
      <c r="AG726" s="54">
        <f>REPT(" ",18-LEN(FIXED(F726,2,TRUE)))&amp;FIXED(F726,2,TRUE)</f>
        <v/>
      </c>
      <c r="AH726" s="10">
        <f>LEN(AC726)+LEN(AG726)</f>
        <v/>
      </c>
      <c r="AI726" s="10">
        <f>LEN(L726)</f>
        <v/>
      </c>
    </row>
    <row r="727">
      <c r="A727" s="46" t="n"/>
      <c r="B727" s="38" t="n"/>
      <c r="C727" s="41" t="n"/>
      <c r="D727" s="41" t="n"/>
      <c r="E727" s="41" t="n"/>
      <c r="F727" s="88" t="n"/>
      <c r="G727" s="89" t="n"/>
      <c r="H727" s="37" t="n"/>
      <c r="I727" s="42" t="n"/>
      <c r="J727" s="12">
        <f>IF(F727&lt;&gt;0,"LANÇAR","")</f>
        <v/>
      </c>
      <c r="K727" s="20" t="n"/>
      <c r="L727" s="13">
        <f>N727&amp;O727&amp;P727&amp;Q727&amp;R727&amp;S727&amp;T727&amp;U727&amp;V727&amp;W727&amp;X727&amp;Y727&amp;Z727&amp;AA727&amp;AB727&amp;AC727&amp;AD727&amp;AE727&amp;AF727&amp;AG727</f>
        <v/>
      </c>
      <c r="M727" s="20" t="n"/>
      <c r="N727" s="10">
        <f>TEXT($B$6,"00")</f>
        <v/>
      </c>
      <c r="O727" s="10">
        <f>REPT(" ",8)</f>
        <v/>
      </c>
      <c r="P727" s="10">
        <f>RIGHT($B$4,2)</f>
        <v/>
      </c>
      <c r="Q727" s="10">
        <f>RIGHT($B$5,3)</f>
        <v/>
      </c>
      <c r="R727" s="10">
        <f>IF(A727="D",LEFT(UPPER(B727)&amp;REPT(" ",20),20),REPT(" ",20))</f>
        <v/>
      </c>
      <c r="S727" s="10">
        <f>IF(A727="D",LEFT(UPPER(C727)&amp;REPT(" ",10),10)," ")</f>
        <v/>
      </c>
      <c r="T727" s="10">
        <f>IF(A727="D",LEFT(UPPER(D727)&amp;REPT(" ",2),2)," ")</f>
        <v/>
      </c>
      <c r="U727" s="10">
        <f>IF(A727="D",LEFT(UPPER(E727)&amp;REPT(" ",15),15)," ")</f>
        <v/>
      </c>
      <c r="V727" s="10">
        <f>REPT(" ",24)</f>
        <v/>
      </c>
      <c r="W727" s="10">
        <f>IF(A727="c",LEFT(UPPER(B727)&amp;REPT(" ",20),20),REPT(" ",20))</f>
        <v/>
      </c>
      <c r="X727" s="10">
        <f>IF(A727="C",LEFT(UPPER(C727)&amp;REPT(" ",10),10)," ")</f>
        <v/>
      </c>
      <c r="Y727" s="10">
        <f>IF(A727="C",LEFT(UPPER(D727)&amp;REPT(" ",2),2)," ")</f>
        <v/>
      </c>
      <c r="Z727" s="10">
        <f>IF(A727="C",LEFT(UPPER(E727)&amp;REPT(" ",15),15)," ")</f>
        <v/>
      </c>
      <c r="AA727" s="10">
        <f>REPT(" ",8)</f>
        <v/>
      </c>
      <c r="AB727" s="10">
        <f>REPT(" ",4)</f>
        <v/>
      </c>
      <c r="AC727" s="10">
        <f>LEFT(UPPER(H727)&amp;REPT(" ",250),250)</f>
        <v/>
      </c>
      <c r="AD727" s="10">
        <f>TEXT($G$2,"dd/mm/aaaa")</f>
        <v/>
      </c>
      <c r="AE727" s="10">
        <f>REPT(" ",10)</f>
        <v/>
      </c>
      <c r="AF727" s="10">
        <f>REPT(" ",20)</f>
        <v/>
      </c>
      <c r="AG727" s="54">
        <f>REPT(" ",18-LEN(FIXED(F727,2,TRUE)))&amp;FIXED(F727,2,TRUE)</f>
        <v/>
      </c>
      <c r="AH727" s="10">
        <f>LEN(AC727)+LEN(AG727)</f>
        <v/>
      </c>
      <c r="AI727" s="10">
        <f>LEN(L727)</f>
        <v/>
      </c>
    </row>
    <row r="728">
      <c r="A728" s="46" t="n"/>
      <c r="B728" s="38" t="n"/>
      <c r="C728" s="41" t="n"/>
      <c r="D728" s="41" t="n"/>
      <c r="E728" s="41" t="n"/>
      <c r="F728" s="88" t="n"/>
      <c r="G728" s="89" t="n"/>
      <c r="H728" s="37" t="n"/>
      <c r="I728" s="42" t="n"/>
      <c r="J728" s="12">
        <f>IF(F728&lt;&gt;0,"LANÇAR","")</f>
        <v/>
      </c>
      <c r="K728" s="20" t="n"/>
      <c r="L728" s="13">
        <f>N728&amp;O728&amp;P728&amp;Q728&amp;R728&amp;S728&amp;T728&amp;U728&amp;V728&amp;W728&amp;X728&amp;Y728&amp;Z728&amp;AA728&amp;AB728&amp;AC728&amp;AD728&amp;AE728&amp;AF728&amp;AG728</f>
        <v/>
      </c>
      <c r="M728" s="20" t="n"/>
      <c r="N728" s="10">
        <f>TEXT($B$6,"00")</f>
        <v/>
      </c>
      <c r="O728" s="10">
        <f>REPT(" ",8)</f>
        <v/>
      </c>
      <c r="P728" s="10">
        <f>RIGHT($B$4,2)</f>
        <v/>
      </c>
      <c r="Q728" s="10">
        <f>RIGHT($B$5,3)</f>
        <v/>
      </c>
      <c r="R728" s="10">
        <f>IF(A728="D",LEFT(UPPER(B728)&amp;REPT(" ",20),20),REPT(" ",20))</f>
        <v/>
      </c>
      <c r="S728" s="10">
        <f>IF(A728="D",LEFT(UPPER(C728)&amp;REPT(" ",10),10)," ")</f>
        <v/>
      </c>
      <c r="T728" s="10">
        <f>IF(A728="D",LEFT(UPPER(D728)&amp;REPT(" ",2),2)," ")</f>
        <v/>
      </c>
      <c r="U728" s="10">
        <f>IF(A728="D",LEFT(UPPER(E728)&amp;REPT(" ",15),15)," ")</f>
        <v/>
      </c>
      <c r="V728" s="10">
        <f>REPT(" ",24)</f>
        <v/>
      </c>
      <c r="W728" s="10">
        <f>IF(A728="c",LEFT(UPPER(B728)&amp;REPT(" ",20),20),REPT(" ",20))</f>
        <v/>
      </c>
      <c r="X728" s="10">
        <f>IF(A728="C",LEFT(UPPER(C728)&amp;REPT(" ",10),10)," ")</f>
        <v/>
      </c>
      <c r="Y728" s="10">
        <f>IF(A728="C",LEFT(UPPER(D728)&amp;REPT(" ",2),2)," ")</f>
        <v/>
      </c>
      <c r="Z728" s="10">
        <f>IF(A728="C",LEFT(UPPER(E728)&amp;REPT(" ",15),15)," ")</f>
        <v/>
      </c>
      <c r="AA728" s="10">
        <f>REPT(" ",8)</f>
        <v/>
      </c>
      <c r="AB728" s="10">
        <f>REPT(" ",4)</f>
        <v/>
      </c>
      <c r="AC728" s="10">
        <f>LEFT(UPPER(H728)&amp;REPT(" ",250),250)</f>
        <v/>
      </c>
      <c r="AD728" s="10">
        <f>TEXT($G$2,"dd/mm/aaaa")</f>
        <v/>
      </c>
      <c r="AE728" s="10">
        <f>REPT(" ",10)</f>
        <v/>
      </c>
      <c r="AF728" s="10">
        <f>REPT(" ",20)</f>
        <v/>
      </c>
      <c r="AG728" s="54">
        <f>REPT(" ",18-LEN(FIXED(F728,2,TRUE)))&amp;FIXED(F728,2,TRUE)</f>
        <v/>
      </c>
      <c r="AH728" s="10">
        <f>LEN(AC728)+LEN(AG728)</f>
        <v/>
      </c>
      <c r="AI728" s="10">
        <f>LEN(L728)</f>
        <v/>
      </c>
    </row>
    <row r="729">
      <c r="A729" s="46" t="n"/>
      <c r="B729" s="38" t="n"/>
      <c r="C729" s="41" t="n"/>
      <c r="D729" s="41" t="n"/>
      <c r="E729" s="41" t="n"/>
      <c r="F729" s="88" t="n"/>
      <c r="G729" s="89" t="n"/>
      <c r="H729" s="37" t="n"/>
      <c r="I729" s="42" t="n"/>
      <c r="J729" s="12">
        <f>IF(F729&lt;&gt;0,"LANÇAR","")</f>
        <v/>
      </c>
      <c r="K729" s="20" t="n"/>
      <c r="L729" s="13">
        <f>N729&amp;O729&amp;P729&amp;Q729&amp;R729&amp;S729&amp;T729&amp;U729&amp;V729&amp;W729&amp;X729&amp;Y729&amp;Z729&amp;AA729&amp;AB729&amp;AC729&amp;AD729&amp;AE729&amp;AF729&amp;AG729</f>
        <v/>
      </c>
      <c r="M729" s="20" t="n"/>
      <c r="N729" s="10">
        <f>TEXT($B$6,"00")</f>
        <v/>
      </c>
      <c r="O729" s="10">
        <f>REPT(" ",8)</f>
        <v/>
      </c>
      <c r="P729" s="10">
        <f>RIGHT($B$4,2)</f>
        <v/>
      </c>
      <c r="Q729" s="10">
        <f>RIGHT($B$5,3)</f>
        <v/>
      </c>
      <c r="R729" s="10">
        <f>IF(A729="D",LEFT(UPPER(B729)&amp;REPT(" ",20),20),REPT(" ",20))</f>
        <v/>
      </c>
      <c r="S729" s="10">
        <f>IF(A729="D",LEFT(UPPER(C729)&amp;REPT(" ",10),10)," ")</f>
        <v/>
      </c>
      <c r="T729" s="10">
        <f>IF(A729="D",LEFT(UPPER(D729)&amp;REPT(" ",2),2)," ")</f>
        <v/>
      </c>
      <c r="U729" s="10">
        <f>IF(A729="D",LEFT(UPPER(E729)&amp;REPT(" ",15),15)," ")</f>
        <v/>
      </c>
      <c r="V729" s="10">
        <f>REPT(" ",24)</f>
        <v/>
      </c>
      <c r="W729" s="10">
        <f>IF(A729="c",LEFT(UPPER(B729)&amp;REPT(" ",20),20),REPT(" ",20))</f>
        <v/>
      </c>
      <c r="X729" s="10">
        <f>IF(A729="C",LEFT(UPPER(C729)&amp;REPT(" ",10),10)," ")</f>
        <v/>
      </c>
      <c r="Y729" s="10">
        <f>IF(A729="C",LEFT(UPPER(D729)&amp;REPT(" ",2),2)," ")</f>
        <v/>
      </c>
      <c r="Z729" s="10">
        <f>IF(A729="C",LEFT(UPPER(E729)&amp;REPT(" ",15),15)," ")</f>
        <v/>
      </c>
      <c r="AA729" s="10">
        <f>REPT(" ",8)</f>
        <v/>
      </c>
      <c r="AB729" s="10">
        <f>REPT(" ",4)</f>
        <v/>
      </c>
      <c r="AC729" s="10">
        <f>LEFT(UPPER(H729)&amp;REPT(" ",250),250)</f>
        <v/>
      </c>
      <c r="AD729" s="10">
        <f>TEXT($G$2,"dd/mm/aaaa")</f>
        <v/>
      </c>
      <c r="AE729" s="10">
        <f>REPT(" ",10)</f>
        <v/>
      </c>
      <c r="AF729" s="10">
        <f>REPT(" ",20)</f>
        <v/>
      </c>
      <c r="AG729" s="54">
        <f>REPT(" ",18-LEN(FIXED(F729,2,TRUE)))&amp;FIXED(F729,2,TRUE)</f>
        <v/>
      </c>
      <c r="AH729" s="10">
        <f>LEN(AC729)+LEN(AG729)</f>
        <v/>
      </c>
      <c r="AI729" s="10">
        <f>LEN(L729)</f>
        <v/>
      </c>
    </row>
    <row r="730">
      <c r="A730" s="46" t="n"/>
      <c r="B730" s="38" t="n"/>
      <c r="C730" s="41" t="n"/>
      <c r="D730" s="41" t="n"/>
      <c r="E730" s="41" t="n"/>
      <c r="F730" s="88" t="n"/>
      <c r="G730" s="89" t="n"/>
      <c r="H730" s="37" t="n"/>
      <c r="I730" s="42" t="n"/>
      <c r="J730" s="12">
        <f>IF(F730&lt;&gt;0,"LANÇAR","")</f>
        <v/>
      </c>
      <c r="K730" s="20" t="n"/>
      <c r="L730" s="13">
        <f>N730&amp;O730&amp;P730&amp;Q730&amp;R730&amp;S730&amp;T730&amp;U730&amp;V730&amp;W730&amp;X730&amp;Y730&amp;Z730&amp;AA730&amp;AB730&amp;AC730&amp;AD730&amp;AE730&amp;AF730&amp;AG730</f>
        <v/>
      </c>
      <c r="M730" s="20" t="n"/>
      <c r="N730" s="10">
        <f>TEXT($B$6,"00")</f>
        <v/>
      </c>
      <c r="O730" s="10">
        <f>REPT(" ",8)</f>
        <v/>
      </c>
      <c r="P730" s="10">
        <f>RIGHT($B$4,2)</f>
        <v/>
      </c>
      <c r="Q730" s="10">
        <f>RIGHT($B$5,3)</f>
        <v/>
      </c>
      <c r="R730" s="10">
        <f>IF(A730="D",LEFT(UPPER(B730)&amp;REPT(" ",20),20),REPT(" ",20))</f>
        <v/>
      </c>
      <c r="S730" s="10">
        <f>IF(A730="D",LEFT(UPPER(C730)&amp;REPT(" ",10),10)," ")</f>
        <v/>
      </c>
      <c r="T730" s="10">
        <f>IF(A730="D",LEFT(UPPER(D730)&amp;REPT(" ",2),2)," ")</f>
        <v/>
      </c>
      <c r="U730" s="10">
        <f>IF(A730="D",LEFT(UPPER(E730)&amp;REPT(" ",15),15)," ")</f>
        <v/>
      </c>
      <c r="V730" s="10">
        <f>REPT(" ",24)</f>
        <v/>
      </c>
      <c r="W730" s="10">
        <f>IF(A730="c",LEFT(UPPER(B730)&amp;REPT(" ",20),20),REPT(" ",20))</f>
        <v/>
      </c>
      <c r="X730" s="10">
        <f>IF(A730="C",LEFT(UPPER(C730)&amp;REPT(" ",10),10)," ")</f>
        <v/>
      </c>
      <c r="Y730" s="10">
        <f>IF(A730="C",LEFT(UPPER(D730)&amp;REPT(" ",2),2)," ")</f>
        <v/>
      </c>
      <c r="Z730" s="10">
        <f>IF(A730="C",LEFT(UPPER(E730)&amp;REPT(" ",15),15)," ")</f>
        <v/>
      </c>
      <c r="AA730" s="10">
        <f>REPT(" ",8)</f>
        <v/>
      </c>
      <c r="AB730" s="10">
        <f>REPT(" ",4)</f>
        <v/>
      </c>
      <c r="AC730" s="10">
        <f>LEFT(UPPER(H730)&amp;REPT(" ",250),250)</f>
        <v/>
      </c>
      <c r="AD730" s="10">
        <f>TEXT($G$2,"dd/mm/aaaa")</f>
        <v/>
      </c>
      <c r="AE730" s="10">
        <f>REPT(" ",10)</f>
        <v/>
      </c>
      <c r="AF730" s="10">
        <f>REPT(" ",20)</f>
        <v/>
      </c>
      <c r="AG730" s="54">
        <f>REPT(" ",18-LEN(FIXED(F730,2,TRUE)))&amp;FIXED(F730,2,TRUE)</f>
        <v/>
      </c>
      <c r="AH730" s="10">
        <f>LEN(AC730)+LEN(AG730)</f>
        <v/>
      </c>
      <c r="AI730" s="10">
        <f>LEN(L730)</f>
        <v/>
      </c>
    </row>
    <row r="731">
      <c r="A731" s="46" t="n"/>
      <c r="B731" s="38" t="n"/>
      <c r="C731" s="41" t="n"/>
      <c r="D731" s="41" t="n"/>
      <c r="E731" s="41" t="n"/>
      <c r="F731" s="88" t="n"/>
      <c r="G731" s="89" t="n"/>
      <c r="H731" s="37" t="n"/>
      <c r="I731" s="42" t="n"/>
      <c r="J731" s="12">
        <f>IF(F731&lt;&gt;0,"LANÇAR","")</f>
        <v/>
      </c>
      <c r="K731" s="20" t="n"/>
      <c r="L731" s="13">
        <f>N731&amp;O731&amp;P731&amp;Q731&amp;R731&amp;S731&amp;T731&amp;U731&amp;V731&amp;W731&amp;X731&amp;Y731&amp;Z731&amp;AA731&amp;AB731&amp;AC731&amp;AD731&amp;AE731&amp;AF731&amp;AG731</f>
        <v/>
      </c>
      <c r="M731" s="20" t="n"/>
      <c r="N731" s="10">
        <f>TEXT($B$6,"00")</f>
        <v/>
      </c>
      <c r="O731" s="10">
        <f>REPT(" ",8)</f>
        <v/>
      </c>
      <c r="P731" s="10">
        <f>RIGHT($B$4,2)</f>
        <v/>
      </c>
      <c r="Q731" s="10">
        <f>RIGHT($B$5,3)</f>
        <v/>
      </c>
      <c r="R731" s="10">
        <f>IF(A731="D",LEFT(UPPER(B731)&amp;REPT(" ",20),20),REPT(" ",20))</f>
        <v/>
      </c>
      <c r="S731" s="10">
        <f>IF(A731="D",LEFT(UPPER(C731)&amp;REPT(" ",10),10)," ")</f>
        <v/>
      </c>
      <c r="T731" s="10">
        <f>IF(A731="D",LEFT(UPPER(D731)&amp;REPT(" ",2),2)," ")</f>
        <v/>
      </c>
      <c r="U731" s="10">
        <f>IF(A731="D",LEFT(UPPER(E731)&amp;REPT(" ",15),15)," ")</f>
        <v/>
      </c>
      <c r="V731" s="10">
        <f>REPT(" ",24)</f>
        <v/>
      </c>
      <c r="W731" s="10">
        <f>IF(A731="c",LEFT(UPPER(B731)&amp;REPT(" ",20),20),REPT(" ",20))</f>
        <v/>
      </c>
      <c r="X731" s="10">
        <f>IF(A731="C",LEFT(UPPER(C731)&amp;REPT(" ",10),10)," ")</f>
        <v/>
      </c>
      <c r="Y731" s="10">
        <f>IF(A731="C",LEFT(UPPER(D731)&amp;REPT(" ",2),2)," ")</f>
        <v/>
      </c>
      <c r="Z731" s="10">
        <f>IF(A731="C",LEFT(UPPER(E731)&amp;REPT(" ",15),15)," ")</f>
        <v/>
      </c>
      <c r="AA731" s="10">
        <f>REPT(" ",8)</f>
        <v/>
      </c>
      <c r="AB731" s="10">
        <f>REPT(" ",4)</f>
        <v/>
      </c>
      <c r="AC731" s="10">
        <f>LEFT(UPPER(H731)&amp;REPT(" ",250),250)</f>
        <v/>
      </c>
      <c r="AD731" s="10">
        <f>TEXT($G$2,"dd/mm/aaaa")</f>
        <v/>
      </c>
      <c r="AE731" s="10">
        <f>REPT(" ",10)</f>
        <v/>
      </c>
      <c r="AF731" s="10">
        <f>REPT(" ",20)</f>
        <v/>
      </c>
      <c r="AG731" s="54">
        <f>REPT(" ",18-LEN(FIXED(F731,2,TRUE)))&amp;FIXED(F731,2,TRUE)</f>
        <v/>
      </c>
      <c r="AH731" s="10">
        <f>LEN(AC731)+LEN(AG731)</f>
        <v/>
      </c>
      <c r="AI731" s="10">
        <f>LEN(L731)</f>
        <v/>
      </c>
    </row>
    <row r="732">
      <c r="A732" s="46" t="n"/>
      <c r="B732" s="38" t="n"/>
      <c r="C732" s="41" t="n"/>
      <c r="D732" s="41" t="n"/>
      <c r="E732" s="41" t="n"/>
      <c r="F732" s="88" t="n"/>
      <c r="G732" s="89" t="n"/>
      <c r="H732" s="37" t="n"/>
      <c r="I732" s="42" t="n"/>
      <c r="J732" s="12">
        <f>IF(F732&lt;&gt;0,"LANÇAR","")</f>
        <v/>
      </c>
      <c r="K732" s="20" t="n"/>
      <c r="L732" s="13">
        <f>N732&amp;O732&amp;P732&amp;Q732&amp;R732&amp;S732&amp;T732&amp;U732&amp;V732&amp;W732&amp;X732&amp;Y732&amp;Z732&amp;AA732&amp;AB732&amp;AC732&amp;AD732&amp;AE732&amp;AF732&amp;AG732</f>
        <v/>
      </c>
      <c r="M732" s="20" t="n"/>
      <c r="N732" s="10">
        <f>TEXT($B$6,"00")</f>
        <v/>
      </c>
      <c r="O732" s="10">
        <f>REPT(" ",8)</f>
        <v/>
      </c>
      <c r="P732" s="10">
        <f>RIGHT($B$4,2)</f>
        <v/>
      </c>
      <c r="Q732" s="10">
        <f>RIGHT($B$5,3)</f>
        <v/>
      </c>
      <c r="R732" s="10">
        <f>IF(A732="D",LEFT(UPPER(B732)&amp;REPT(" ",20),20),REPT(" ",20))</f>
        <v/>
      </c>
      <c r="S732" s="10">
        <f>IF(A732="D",LEFT(UPPER(C732)&amp;REPT(" ",10),10)," ")</f>
        <v/>
      </c>
      <c r="T732" s="10">
        <f>IF(A732="D",LEFT(UPPER(D732)&amp;REPT(" ",2),2)," ")</f>
        <v/>
      </c>
      <c r="U732" s="10">
        <f>IF(A732="D",LEFT(UPPER(E732)&amp;REPT(" ",15),15)," ")</f>
        <v/>
      </c>
      <c r="V732" s="10">
        <f>REPT(" ",24)</f>
        <v/>
      </c>
      <c r="W732" s="10">
        <f>IF(A732="c",LEFT(UPPER(B732)&amp;REPT(" ",20),20),REPT(" ",20))</f>
        <v/>
      </c>
      <c r="X732" s="10">
        <f>IF(A732="C",LEFT(UPPER(C732)&amp;REPT(" ",10),10)," ")</f>
        <v/>
      </c>
      <c r="Y732" s="10">
        <f>IF(A732="C",LEFT(UPPER(D732)&amp;REPT(" ",2),2)," ")</f>
        <v/>
      </c>
      <c r="Z732" s="10">
        <f>IF(A732="C",LEFT(UPPER(E732)&amp;REPT(" ",15),15)," ")</f>
        <v/>
      </c>
      <c r="AA732" s="10">
        <f>REPT(" ",8)</f>
        <v/>
      </c>
      <c r="AB732" s="10">
        <f>REPT(" ",4)</f>
        <v/>
      </c>
      <c r="AC732" s="10">
        <f>LEFT(UPPER(H732)&amp;REPT(" ",250),250)</f>
        <v/>
      </c>
      <c r="AD732" s="10">
        <f>TEXT($G$2,"dd/mm/aaaa")</f>
        <v/>
      </c>
      <c r="AE732" s="10">
        <f>REPT(" ",10)</f>
        <v/>
      </c>
      <c r="AF732" s="10">
        <f>REPT(" ",20)</f>
        <v/>
      </c>
      <c r="AG732" s="54">
        <f>REPT(" ",18-LEN(FIXED(F732,2,TRUE)))&amp;FIXED(F732,2,TRUE)</f>
        <v/>
      </c>
      <c r="AH732" s="10">
        <f>LEN(AC732)+LEN(AG732)</f>
        <v/>
      </c>
      <c r="AI732" s="10">
        <f>LEN(L732)</f>
        <v/>
      </c>
    </row>
    <row r="733">
      <c r="A733" s="46" t="n"/>
      <c r="B733" s="38" t="n"/>
      <c r="C733" s="41" t="n"/>
      <c r="D733" s="41" t="n"/>
      <c r="E733" s="41" t="n"/>
      <c r="F733" s="88" t="n"/>
      <c r="G733" s="89" t="n"/>
      <c r="H733" s="37" t="n"/>
      <c r="I733" s="42" t="n"/>
      <c r="J733" s="12">
        <f>IF(F733&lt;&gt;0,"LANÇAR","")</f>
        <v/>
      </c>
      <c r="K733" s="20" t="n"/>
      <c r="L733" s="13">
        <f>N733&amp;O733&amp;P733&amp;Q733&amp;R733&amp;S733&amp;T733&amp;U733&amp;V733&amp;W733&amp;X733&amp;Y733&amp;Z733&amp;AA733&amp;AB733&amp;AC733&amp;AD733&amp;AE733&amp;AF733&amp;AG733</f>
        <v/>
      </c>
      <c r="M733" s="20" t="n"/>
      <c r="N733" s="10">
        <f>TEXT($B$6,"00")</f>
        <v/>
      </c>
      <c r="O733" s="10">
        <f>REPT(" ",8)</f>
        <v/>
      </c>
      <c r="P733" s="10">
        <f>RIGHT($B$4,2)</f>
        <v/>
      </c>
      <c r="Q733" s="10">
        <f>RIGHT($B$5,3)</f>
        <v/>
      </c>
      <c r="R733" s="10">
        <f>IF(A733="D",LEFT(UPPER(B733)&amp;REPT(" ",20),20),REPT(" ",20))</f>
        <v/>
      </c>
      <c r="S733" s="10">
        <f>IF(A733="D",LEFT(UPPER(C733)&amp;REPT(" ",10),10)," ")</f>
        <v/>
      </c>
      <c r="T733" s="10">
        <f>IF(A733="D",LEFT(UPPER(D733)&amp;REPT(" ",2),2)," ")</f>
        <v/>
      </c>
      <c r="U733" s="10">
        <f>IF(A733="D",LEFT(UPPER(E733)&amp;REPT(" ",15),15)," ")</f>
        <v/>
      </c>
      <c r="V733" s="10">
        <f>REPT(" ",24)</f>
        <v/>
      </c>
      <c r="W733" s="10">
        <f>IF(A733="c",LEFT(UPPER(B733)&amp;REPT(" ",20),20),REPT(" ",20))</f>
        <v/>
      </c>
      <c r="X733" s="10">
        <f>IF(A733="C",LEFT(UPPER(C733)&amp;REPT(" ",10),10)," ")</f>
        <v/>
      </c>
      <c r="Y733" s="10">
        <f>IF(A733="C",LEFT(UPPER(D733)&amp;REPT(" ",2),2)," ")</f>
        <v/>
      </c>
      <c r="Z733" s="10">
        <f>IF(A733="C",LEFT(UPPER(E733)&amp;REPT(" ",15),15)," ")</f>
        <v/>
      </c>
      <c r="AA733" s="10">
        <f>REPT(" ",8)</f>
        <v/>
      </c>
      <c r="AB733" s="10">
        <f>REPT(" ",4)</f>
        <v/>
      </c>
      <c r="AC733" s="10">
        <f>LEFT(UPPER(H733)&amp;REPT(" ",250),250)</f>
        <v/>
      </c>
      <c r="AD733" s="10">
        <f>TEXT($G$2,"dd/mm/aaaa")</f>
        <v/>
      </c>
      <c r="AE733" s="10">
        <f>REPT(" ",10)</f>
        <v/>
      </c>
      <c r="AF733" s="10">
        <f>REPT(" ",20)</f>
        <v/>
      </c>
      <c r="AG733" s="54">
        <f>REPT(" ",18-LEN(FIXED(F733,2,TRUE)))&amp;FIXED(F733,2,TRUE)</f>
        <v/>
      </c>
      <c r="AH733" s="10">
        <f>LEN(AC733)+LEN(AG733)</f>
        <v/>
      </c>
      <c r="AI733" s="10">
        <f>LEN(L733)</f>
        <v/>
      </c>
    </row>
    <row r="734">
      <c r="A734" s="46" t="n"/>
      <c r="B734" s="38" t="n"/>
      <c r="C734" s="41" t="n"/>
      <c r="D734" s="41" t="n"/>
      <c r="E734" s="41" t="n"/>
      <c r="F734" s="88" t="n"/>
      <c r="G734" s="89" t="n"/>
      <c r="H734" s="37" t="n"/>
      <c r="I734" s="42" t="n"/>
      <c r="J734" s="12">
        <f>IF(F734&lt;&gt;0,"LANÇAR","")</f>
        <v/>
      </c>
      <c r="K734" s="20" t="n"/>
      <c r="L734" s="13">
        <f>N734&amp;O734&amp;P734&amp;Q734&amp;R734&amp;S734&amp;T734&amp;U734&amp;V734&amp;W734&amp;X734&amp;Y734&amp;Z734&amp;AA734&amp;AB734&amp;AC734&amp;AD734&amp;AE734&amp;AF734&amp;AG734</f>
        <v/>
      </c>
      <c r="M734" s="20" t="n"/>
      <c r="N734" s="10">
        <f>TEXT($B$6,"00")</f>
        <v/>
      </c>
      <c r="O734" s="10">
        <f>REPT(" ",8)</f>
        <v/>
      </c>
      <c r="P734" s="10">
        <f>RIGHT($B$4,2)</f>
        <v/>
      </c>
      <c r="Q734" s="10">
        <f>RIGHT($B$5,3)</f>
        <v/>
      </c>
      <c r="R734" s="10">
        <f>IF(A734="D",LEFT(UPPER(B734)&amp;REPT(" ",20),20),REPT(" ",20))</f>
        <v/>
      </c>
      <c r="S734" s="10">
        <f>IF(A734="D",LEFT(UPPER(C734)&amp;REPT(" ",10),10)," ")</f>
        <v/>
      </c>
      <c r="T734" s="10">
        <f>IF(A734="D",LEFT(UPPER(D734)&amp;REPT(" ",2),2)," ")</f>
        <v/>
      </c>
      <c r="U734" s="10">
        <f>IF(A734="D",LEFT(UPPER(E734)&amp;REPT(" ",15),15)," ")</f>
        <v/>
      </c>
      <c r="V734" s="10">
        <f>REPT(" ",24)</f>
        <v/>
      </c>
      <c r="W734" s="10">
        <f>IF(A734="c",LEFT(UPPER(B734)&amp;REPT(" ",20),20),REPT(" ",20))</f>
        <v/>
      </c>
      <c r="X734" s="10">
        <f>IF(A734="C",LEFT(UPPER(C734)&amp;REPT(" ",10),10)," ")</f>
        <v/>
      </c>
      <c r="Y734" s="10">
        <f>IF(A734="C",LEFT(UPPER(D734)&amp;REPT(" ",2),2)," ")</f>
        <v/>
      </c>
      <c r="Z734" s="10">
        <f>IF(A734="C",LEFT(UPPER(E734)&amp;REPT(" ",15),15)," ")</f>
        <v/>
      </c>
      <c r="AA734" s="10">
        <f>REPT(" ",8)</f>
        <v/>
      </c>
      <c r="AB734" s="10">
        <f>REPT(" ",4)</f>
        <v/>
      </c>
      <c r="AC734" s="10">
        <f>LEFT(UPPER(H734)&amp;REPT(" ",250),250)</f>
        <v/>
      </c>
      <c r="AD734" s="10">
        <f>TEXT($G$2,"dd/mm/aaaa")</f>
        <v/>
      </c>
      <c r="AE734" s="10">
        <f>REPT(" ",10)</f>
        <v/>
      </c>
      <c r="AF734" s="10">
        <f>REPT(" ",20)</f>
        <v/>
      </c>
      <c r="AG734" s="54">
        <f>REPT(" ",18-LEN(FIXED(F734,2,TRUE)))&amp;FIXED(F734,2,TRUE)</f>
        <v/>
      </c>
      <c r="AH734" s="10">
        <f>LEN(AC734)+LEN(AG734)</f>
        <v/>
      </c>
      <c r="AI734" s="10">
        <f>LEN(L734)</f>
        <v/>
      </c>
    </row>
    <row r="735">
      <c r="A735" s="46" t="n"/>
      <c r="B735" s="38" t="n"/>
      <c r="C735" s="41" t="n"/>
      <c r="D735" s="41" t="n"/>
      <c r="E735" s="41" t="n"/>
      <c r="F735" s="88" t="n"/>
      <c r="G735" s="89" t="n"/>
      <c r="H735" s="37" t="n"/>
      <c r="I735" s="42" t="n"/>
      <c r="J735" s="12">
        <f>IF(F735&lt;&gt;0,"LANÇAR","")</f>
        <v/>
      </c>
      <c r="K735" s="20" t="n"/>
      <c r="L735" s="13">
        <f>N735&amp;O735&amp;P735&amp;Q735&amp;R735&amp;S735&amp;T735&amp;U735&amp;V735&amp;W735&amp;X735&amp;Y735&amp;Z735&amp;AA735&amp;AB735&amp;AC735&amp;AD735&amp;AE735&amp;AF735&amp;AG735</f>
        <v/>
      </c>
      <c r="M735" s="20" t="n"/>
      <c r="N735" s="10">
        <f>TEXT($B$6,"00")</f>
        <v/>
      </c>
      <c r="O735" s="10">
        <f>REPT(" ",8)</f>
        <v/>
      </c>
      <c r="P735" s="10">
        <f>RIGHT($B$4,2)</f>
        <v/>
      </c>
      <c r="Q735" s="10">
        <f>RIGHT($B$5,3)</f>
        <v/>
      </c>
      <c r="R735" s="10">
        <f>IF(A735="D",LEFT(UPPER(B735)&amp;REPT(" ",20),20),REPT(" ",20))</f>
        <v/>
      </c>
      <c r="S735" s="10">
        <f>IF(A735="D",LEFT(UPPER(C735)&amp;REPT(" ",10),10)," ")</f>
        <v/>
      </c>
      <c r="T735" s="10">
        <f>IF(A735="D",LEFT(UPPER(D735)&amp;REPT(" ",2),2)," ")</f>
        <v/>
      </c>
      <c r="U735" s="10">
        <f>IF(A735="D",LEFT(UPPER(E735)&amp;REPT(" ",15),15)," ")</f>
        <v/>
      </c>
      <c r="V735" s="10">
        <f>REPT(" ",24)</f>
        <v/>
      </c>
      <c r="W735" s="10">
        <f>IF(A735="c",LEFT(UPPER(B735)&amp;REPT(" ",20),20),REPT(" ",20))</f>
        <v/>
      </c>
      <c r="X735" s="10">
        <f>IF(A735="C",LEFT(UPPER(C735)&amp;REPT(" ",10),10)," ")</f>
        <v/>
      </c>
      <c r="Y735" s="10">
        <f>IF(A735="C",LEFT(UPPER(D735)&amp;REPT(" ",2),2)," ")</f>
        <v/>
      </c>
      <c r="Z735" s="10">
        <f>IF(A735="C",LEFT(UPPER(E735)&amp;REPT(" ",15),15)," ")</f>
        <v/>
      </c>
      <c r="AA735" s="10">
        <f>REPT(" ",8)</f>
        <v/>
      </c>
      <c r="AB735" s="10">
        <f>REPT(" ",4)</f>
        <v/>
      </c>
      <c r="AC735" s="10">
        <f>LEFT(UPPER(H735)&amp;REPT(" ",250),250)</f>
        <v/>
      </c>
      <c r="AD735" s="10">
        <f>TEXT($G$2,"dd/mm/aaaa")</f>
        <v/>
      </c>
      <c r="AE735" s="10">
        <f>REPT(" ",10)</f>
        <v/>
      </c>
      <c r="AF735" s="10">
        <f>REPT(" ",20)</f>
        <v/>
      </c>
      <c r="AG735" s="54">
        <f>REPT(" ",18-LEN(FIXED(F735,2,TRUE)))&amp;FIXED(F735,2,TRUE)</f>
        <v/>
      </c>
      <c r="AH735" s="10">
        <f>LEN(AC735)+LEN(AG735)</f>
        <v/>
      </c>
      <c r="AI735" s="10">
        <f>LEN(L735)</f>
        <v/>
      </c>
    </row>
    <row r="736">
      <c r="A736" s="46" t="n"/>
      <c r="B736" s="38" t="n"/>
      <c r="C736" s="41" t="n"/>
      <c r="D736" s="41" t="n"/>
      <c r="E736" s="41" t="n"/>
      <c r="F736" s="88" t="n"/>
      <c r="G736" s="89" t="n"/>
      <c r="H736" s="37" t="n"/>
      <c r="I736" s="42" t="n"/>
      <c r="J736" s="12">
        <f>IF(F736&lt;&gt;0,"LANÇAR","")</f>
        <v/>
      </c>
      <c r="K736" s="20" t="n"/>
      <c r="L736" s="13">
        <f>N736&amp;O736&amp;P736&amp;Q736&amp;R736&amp;S736&amp;T736&amp;U736&amp;V736&amp;W736&amp;X736&amp;Y736&amp;Z736&amp;AA736&amp;AB736&amp;AC736&amp;AD736&amp;AE736&amp;AF736&amp;AG736</f>
        <v/>
      </c>
      <c r="M736" s="20" t="n"/>
      <c r="N736" s="10">
        <f>TEXT($B$6,"00")</f>
        <v/>
      </c>
      <c r="O736" s="10">
        <f>REPT(" ",8)</f>
        <v/>
      </c>
      <c r="P736" s="10">
        <f>RIGHT($B$4,2)</f>
        <v/>
      </c>
      <c r="Q736" s="10">
        <f>RIGHT($B$5,3)</f>
        <v/>
      </c>
      <c r="R736" s="10">
        <f>IF(A736="D",LEFT(UPPER(B736)&amp;REPT(" ",20),20),REPT(" ",20))</f>
        <v/>
      </c>
      <c r="S736" s="10">
        <f>IF(A736="D",LEFT(UPPER(C736)&amp;REPT(" ",10),10)," ")</f>
        <v/>
      </c>
      <c r="T736" s="10">
        <f>IF(A736="D",LEFT(UPPER(D736)&amp;REPT(" ",2),2)," ")</f>
        <v/>
      </c>
      <c r="U736" s="10">
        <f>IF(A736="D",LEFT(UPPER(E736)&amp;REPT(" ",15),15)," ")</f>
        <v/>
      </c>
      <c r="V736" s="10">
        <f>REPT(" ",24)</f>
        <v/>
      </c>
      <c r="W736" s="10">
        <f>IF(A736="c",LEFT(UPPER(B736)&amp;REPT(" ",20),20),REPT(" ",20))</f>
        <v/>
      </c>
      <c r="X736" s="10">
        <f>IF(A736="C",LEFT(UPPER(C736)&amp;REPT(" ",10),10)," ")</f>
        <v/>
      </c>
      <c r="Y736" s="10">
        <f>IF(A736="C",LEFT(UPPER(D736)&amp;REPT(" ",2),2)," ")</f>
        <v/>
      </c>
      <c r="Z736" s="10">
        <f>IF(A736="C",LEFT(UPPER(E736)&amp;REPT(" ",15),15)," ")</f>
        <v/>
      </c>
      <c r="AA736" s="10">
        <f>REPT(" ",8)</f>
        <v/>
      </c>
      <c r="AB736" s="10">
        <f>REPT(" ",4)</f>
        <v/>
      </c>
      <c r="AC736" s="10">
        <f>LEFT(UPPER(H736)&amp;REPT(" ",250),250)</f>
        <v/>
      </c>
      <c r="AD736" s="10">
        <f>TEXT($G$2,"dd/mm/aaaa")</f>
        <v/>
      </c>
      <c r="AE736" s="10">
        <f>REPT(" ",10)</f>
        <v/>
      </c>
      <c r="AF736" s="10">
        <f>REPT(" ",20)</f>
        <v/>
      </c>
      <c r="AG736" s="54">
        <f>REPT(" ",18-LEN(FIXED(F736,2,TRUE)))&amp;FIXED(F736,2,TRUE)</f>
        <v/>
      </c>
      <c r="AH736" s="10">
        <f>LEN(AC736)+LEN(AG736)</f>
        <v/>
      </c>
      <c r="AI736" s="10">
        <f>LEN(L736)</f>
        <v/>
      </c>
    </row>
    <row r="737">
      <c r="A737" s="46" t="n"/>
      <c r="B737" s="38" t="n"/>
      <c r="C737" s="41" t="n"/>
      <c r="D737" s="41" t="n"/>
      <c r="E737" s="41" t="n"/>
      <c r="F737" s="88" t="n"/>
      <c r="G737" s="89" t="n"/>
      <c r="H737" s="37" t="n"/>
      <c r="I737" s="42" t="n"/>
      <c r="J737" s="12">
        <f>IF(F737&lt;&gt;0,"LANÇAR","")</f>
        <v/>
      </c>
      <c r="K737" s="20" t="n"/>
      <c r="L737" s="13">
        <f>N737&amp;O737&amp;P737&amp;Q737&amp;R737&amp;S737&amp;T737&amp;U737&amp;V737&amp;W737&amp;X737&amp;Y737&amp;Z737&amp;AA737&amp;AB737&amp;AC737&amp;AD737&amp;AE737&amp;AF737&amp;AG737</f>
        <v/>
      </c>
      <c r="M737" s="20" t="n"/>
      <c r="N737" s="10">
        <f>TEXT($B$6,"00")</f>
        <v/>
      </c>
      <c r="O737" s="10">
        <f>REPT(" ",8)</f>
        <v/>
      </c>
      <c r="P737" s="10">
        <f>RIGHT($B$4,2)</f>
        <v/>
      </c>
      <c r="Q737" s="10">
        <f>RIGHT($B$5,3)</f>
        <v/>
      </c>
      <c r="R737" s="10">
        <f>IF(A737="D",LEFT(UPPER(B737)&amp;REPT(" ",20),20),REPT(" ",20))</f>
        <v/>
      </c>
      <c r="S737" s="10">
        <f>IF(A737="D",LEFT(UPPER(C737)&amp;REPT(" ",10),10)," ")</f>
        <v/>
      </c>
      <c r="T737" s="10">
        <f>IF(A737="D",LEFT(UPPER(D737)&amp;REPT(" ",2),2)," ")</f>
        <v/>
      </c>
      <c r="U737" s="10">
        <f>IF(A737="D",LEFT(UPPER(E737)&amp;REPT(" ",15),15)," ")</f>
        <v/>
      </c>
      <c r="V737" s="10">
        <f>REPT(" ",24)</f>
        <v/>
      </c>
      <c r="W737" s="10">
        <f>IF(A737="c",LEFT(UPPER(B737)&amp;REPT(" ",20),20),REPT(" ",20))</f>
        <v/>
      </c>
      <c r="X737" s="10">
        <f>IF(A737="C",LEFT(UPPER(C737)&amp;REPT(" ",10),10)," ")</f>
        <v/>
      </c>
      <c r="Y737" s="10">
        <f>IF(A737="C",LEFT(UPPER(D737)&amp;REPT(" ",2),2)," ")</f>
        <v/>
      </c>
      <c r="Z737" s="10">
        <f>IF(A737="C",LEFT(UPPER(E737)&amp;REPT(" ",15),15)," ")</f>
        <v/>
      </c>
      <c r="AA737" s="10">
        <f>REPT(" ",8)</f>
        <v/>
      </c>
      <c r="AB737" s="10">
        <f>REPT(" ",4)</f>
        <v/>
      </c>
      <c r="AC737" s="10">
        <f>LEFT(UPPER(H737)&amp;REPT(" ",250),250)</f>
        <v/>
      </c>
      <c r="AD737" s="10">
        <f>TEXT($G$2,"dd/mm/aaaa")</f>
        <v/>
      </c>
      <c r="AE737" s="10">
        <f>REPT(" ",10)</f>
        <v/>
      </c>
      <c r="AF737" s="10">
        <f>REPT(" ",20)</f>
        <v/>
      </c>
      <c r="AG737" s="54">
        <f>REPT(" ",18-LEN(FIXED(F737,2,TRUE)))&amp;FIXED(F737,2,TRUE)</f>
        <v/>
      </c>
      <c r="AH737" s="10">
        <f>LEN(AC737)+LEN(AG737)</f>
        <v/>
      </c>
      <c r="AI737" s="10">
        <f>LEN(L737)</f>
        <v/>
      </c>
    </row>
    <row r="738">
      <c r="A738" s="46" t="n"/>
      <c r="B738" s="38" t="n"/>
      <c r="C738" s="41" t="n"/>
      <c r="D738" s="41" t="n"/>
      <c r="E738" s="41" t="n"/>
      <c r="F738" s="88" t="n"/>
      <c r="G738" s="89" t="n"/>
      <c r="H738" s="37" t="n"/>
      <c r="I738" s="42" t="n"/>
      <c r="J738" s="12">
        <f>IF(F738&lt;&gt;0,"LANÇAR","")</f>
        <v/>
      </c>
      <c r="K738" s="20" t="n"/>
      <c r="L738" s="13">
        <f>N738&amp;O738&amp;P738&amp;Q738&amp;R738&amp;S738&amp;T738&amp;U738&amp;V738&amp;W738&amp;X738&amp;Y738&amp;Z738&amp;AA738&amp;AB738&amp;AC738&amp;AD738&amp;AE738&amp;AF738&amp;AG738</f>
        <v/>
      </c>
      <c r="M738" s="20" t="n"/>
      <c r="N738" s="10">
        <f>TEXT($B$6,"00")</f>
        <v/>
      </c>
      <c r="O738" s="10">
        <f>REPT(" ",8)</f>
        <v/>
      </c>
      <c r="P738" s="10">
        <f>RIGHT($B$4,2)</f>
        <v/>
      </c>
      <c r="Q738" s="10">
        <f>RIGHT($B$5,3)</f>
        <v/>
      </c>
      <c r="R738" s="10">
        <f>IF(A738="D",LEFT(UPPER(B738)&amp;REPT(" ",20),20),REPT(" ",20))</f>
        <v/>
      </c>
      <c r="S738" s="10">
        <f>IF(A738="D",LEFT(UPPER(C738)&amp;REPT(" ",10),10)," ")</f>
        <v/>
      </c>
      <c r="T738" s="10">
        <f>IF(A738="D",LEFT(UPPER(D738)&amp;REPT(" ",2),2)," ")</f>
        <v/>
      </c>
      <c r="U738" s="10">
        <f>IF(A738="D",LEFT(UPPER(E738)&amp;REPT(" ",15),15)," ")</f>
        <v/>
      </c>
      <c r="V738" s="10">
        <f>REPT(" ",24)</f>
        <v/>
      </c>
      <c r="W738" s="10">
        <f>IF(A738="c",LEFT(UPPER(B738)&amp;REPT(" ",20),20),REPT(" ",20))</f>
        <v/>
      </c>
      <c r="X738" s="10">
        <f>IF(A738="C",LEFT(UPPER(C738)&amp;REPT(" ",10),10)," ")</f>
        <v/>
      </c>
      <c r="Y738" s="10">
        <f>IF(A738="C",LEFT(UPPER(D738)&amp;REPT(" ",2),2)," ")</f>
        <v/>
      </c>
      <c r="Z738" s="10">
        <f>IF(A738="C",LEFT(UPPER(E738)&amp;REPT(" ",15),15)," ")</f>
        <v/>
      </c>
      <c r="AA738" s="10">
        <f>REPT(" ",8)</f>
        <v/>
      </c>
      <c r="AB738" s="10">
        <f>REPT(" ",4)</f>
        <v/>
      </c>
      <c r="AC738" s="10">
        <f>LEFT(UPPER(H738)&amp;REPT(" ",250),250)</f>
        <v/>
      </c>
      <c r="AD738" s="10">
        <f>TEXT($G$2,"dd/mm/aaaa")</f>
        <v/>
      </c>
      <c r="AE738" s="10">
        <f>REPT(" ",10)</f>
        <v/>
      </c>
      <c r="AF738" s="10">
        <f>REPT(" ",20)</f>
        <v/>
      </c>
      <c r="AG738" s="54">
        <f>REPT(" ",18-LEN(FIXED(F738,2,TRUE)))&amp;FIXED(F738,2,TRUE)</f>
        <v/>
      </c>
      <c r="AH738" s="10">
        <f>LEN(AC738)+LEN(AG738)</f>
        <v/>
      </c>
      <c r="AI738" s="10">
        <f>LEN(L738)</f>
        <v/>
      </c>
    </row>
    <row r="739">
      <c r="A739" s="46" t="n"/>
      <c r="B739" s="38" t="n"/>
      <c r="C739" s="41" t="n"/>
      <c r="D739" s="41" t="n"/>
      <c r="E739" s="41" t="n"/>
      <c r="F739" s="88" t="n"/>
      <c r="G739" s="89" t="n"/>
      <c r="H739" s="37" t="n"/>
      <c r="I739" s="42" t="n"/>
      <c r="J739" s="12">
        <f>IF(F739&lt;&gt;0,"LANÇAR","")</f>
        <v/>
      </c>
      <c r="K739" s="20" t="n"/>
      <c r="L739" s="13">
        <f>N739&amp;O739&amp;P739&amp;Q739&amp;R739&amp;S739&amp;T739&amp;U739&amp;V739&amp;W739&amp;X739&amp;Y739&amp;Z739&amp;AA739&amp;AB739&amp;AC739&amp;AD739&amp;AE739&amp;AF739&amp;AG739</f>
        <v/>
      </c>
      <c r="M739" s="20" t="n"/>
      <c r="N739" s="10">
        <f>TEXT($B$6,"00")</f>
        <v/>
      </c>
      <c r="O739" s="10">
        <f>REPT(" ",8)</f>
        <v/>
      </c>
      <c r="P739" s="10">
        <f>RIGHT($B$4,2)</f>
        <v/>
      </c>
      <c r="Q739" s="10">
        <f>RIGHT($B$5,3)</f>
        <v/>
      </c>
      <c r="R739" s="10">
        <f>IF(A739="D",LEFT(UPPER(B739)&amp;REPT(" ",20),20),REPT(" ",20))</f>
        <v/>
      </c>
      <c r="S739" s="10">
        <f>IF(A739="D",LEFT(UPPER(C739)&amp;REPT(" ",10),10)," ")</f>
        <v/>
      </c>
      <c r="T739" s="10">
        <f>IF(A739="D",LEFT(UPPER(D739)&amp;REPT(" ",2),2)," ")</f>
        <v/>
      </c>
      <c r="U739" s="10">
        <f>IF(A739="D",LEFT(UPPER(E739)&amp;REPT(" ",15),15)," ")</f>
        <v/>
      </c>
      <c r="V739" s="10">
        <f>REPT(" ",24)</f>
        <v/>
      </c>
      <c r="W739" s="10">
        <f>IF(A739="c",LEFT(UPPER(B739)&amp;REPT(" ",20),20),REPT(" ",20))</f>
        <v/>
      </c>
      <c r="X739" s="10">
        <f>IF(A739="C",LEFT(UPPER(C739)&amp;REPT(" ",10),10)," ")</f>
        <v/>
      </c>
      <c r="Y739" s="10">
        <f>IF(A739="C",LEFT(UPPER(D739)&amp;REPT(" ",2),2)," ")</f>
        <v/>
      </c>
      <c r="Z739" s="10">
        <f>IF(A739="C",LEFT(UPPER(E739)&amp;REPT(" ",15),15)," ")</f>
        <v/>
      </c>
      <c r="AA739" s="10">
        <f>REPT(" ",8)</f>
        <v/>
      </c>
      <c r="AB739" s="10">
        <f>REPT(" ",4)</f>
        <v/>
      </c>
      <c r="AC739" s="10">
        <f>LEFT(UPPER(H739)&amp;REPT(" ",250),250)</f>
        <v/>
      </c>
      <c r="AD739" s="10">
        <f>TEXT($G$2,"dd/mm/aaaa")</f>
        <v/>
      </c>
      <c r="AE739" s="10">
        <f>REPT(" ",10)</f>
        <v/>
      </c>
      <c r="AF739" s="10">
        <f>REPT(" ",20)</f>
        <v/>
      </c>
      <c r="AG739" s="54">
        <f>REPT(" ",18-LEN(FIXED(F739,2,TRUE)))&amp;FIXED(F739,2,TRUE)</f>
        <v/>
      </c>
      <c r="AH739" s="10">
        <f>LEN(AC739)+LEN(AG739)</f>
        <v/>
      </c>
      <c r="AI739" s="10">
        <f>LEN(L739)</f>
        <v/>
      </c>
    </row>
    <row r="740">
      <c r="A740" s="46" t="n"/>
      <c r="B740" s="38" t="n"/>
      <c r="C740" s="41" t="n"/>
      <c r="D740" s="41" t="n"/>
      <c r="E740" s="41" t="n"/>
      <c r="F740" s="88" t="n"/>
      <c r="G740" s="89" t="n"/>
      <c r="H740" s="37" t="n"/>
      <c r="I740" s="42" t="n"/>
      <c r="J740" s="12">
        <f>IF(F740&lt;&gt;0,"LANÇAR","")</f>
        <v/>
      </c>
      <c r="K740" s="20" t="n"/>
      <c r="L740" s="13">
        <f>N740&amp;O740&amp;P740&amp;Q740&amp;R740&amp;S740&amp;T740&amp;U740&amp;V740&amp;W740&amp;X740&amp;Y740&amp;Z740&amp;AA740&amp;AB740&amp;AC740&amp;AD740&amp;AE740&amp;AF740&amp;AG740</f>
        <v/>
      </c>
      <c r="M740" s="20" t="n"/>
      <c r="N740" s="10">
        <f>TEXT($B$6,"00")</f>
        <v/>
      </c>
      <c r="O740" s="10">
        <f>REPT(" ",8)</f>
        <v/>
      </c>
      <c r="P740" s="10">
        <f>RIGHT($B$4,2)</f>
        <v/>
      </c>
      <c r="Q740" s="10">
        <f>RIGHT($B$5,3)</f>
        <v/>
      </c>
      <c r="R740" s="10">
        <f>IF(A740="D",LEFT(UPPER(B740)&amp;REPT(" ",20),20),REPT(" ",20))</f>
        <v/>
      </c>
      <c r="S740" s="10">
        <f>IF(A740="D",LEFT(UPPER(C740)&amp;REPT(" ",10),10)," ")</f>
        <v/>
      </c>
      <c r="T740" s="10">
        <f>IF(A740="D",LEFT(UPPER(D740)&amp;REPT(" ",2),2)," ")</f>
        <v/>
      </c>
      <c r="U740" s="10">
        <f>IF(A740="D",LEFT(UPPER(E740)&amp;REPT(" ",15),15)," ")</f>
        <v/>
      </c>
      <c r="V740" s="10">
        <f>REPT(" ",24)</f>
        <v/>
      </c>
      <c r="W740" s="10">
        <f>IF(A740="c",LEFT(UPPER(B740)&amp;REPT(" ",20),20),REPT(" ",20))</f>
        <v/>
      </c>
      <c r="X740" s="10">
        <f>IF(A740="C",LEFT(UPPER(C740)&amp;REPT(" ",10),10)," ")</f>
        <v/>
      </c>
      <c r="Y740" s="10">
        <f>IF(A740="C",LEFT(UPPER(D740)&amp;REPT(" ",2),2)," ")</f>
        <v/>
      </c>
      <c r="Z740" s="10">
        <f>IF(A740="C",LEFT(UPPER(E740)&amp;REPT(" ",15),15)," ")</f>
        <v/>
      </c>
      <c r="AA740" s="10">
        <f>REPT(" ",8)</f>
        <v/>
      </c>
      <c r="AB740" s="10">
        <f>REPT(" ",4)</f>
        <v/>
      </c>
      <c r="AC740" s="10">
        <f>LEFT(UPPER(H740)&amp;REPT(" ",250),250)</f>
        <v/>
      </c>
      <c r="AD740" s="10">
        <f>TEXT($G$2,"dd/mm/aaaa")</f>
        <v/>
      </c>
      <c r="AE740" s="10">
        <f>REPT(" ",10)</f>
        <v/>
      </c>
      <c r="AF740" s="10">
        <f>REPT(" ",20)</f>
        <v/>
      </c>
      <c r="AG740" s="54">
        <f>REPT(" ",18-LEN(FIXED(F740,2,TRUE)))&amp;FIXED(F740,2,TRUE)</f>
        <v/>
      </c>
      <c r="AH740" s="10">
        <f>LEN(AC740)+LEN(AG740)</f>
        <v/>
      </c>
      <c r="AI740" s="10">
        <f>LEN(L740)</f>
        <v/>
      </c>
    </row>
    <row r="741">
      <c r="A741" s="46" t="n"/>
      <c r="B741" s="38" t="n"/>
      <c r="C741" s="41" t="n"/>
      <c r="D741" s="41" t="n"/>
      <c r="E741" s="41" t="n"/>
      <c r="F741" s="88" t="n"/>
      <c r="G741" s="89" t="n"/>
      <c r="H741" s="37" t="n"/>
      <c r="I741" s="42" t="n"/>
      <c r="J741" s="12">
        <f>IF(F741&lt;&gt;0,"LANÇAR","")</f>
        <v/>
      </c>
      <c r="K741" s="20" t="n"/>
      <c r="L741" s="13">
        <f>N741&amp;O741&amp;P741&amp;Q741&amp;R741&amp;S741&amp;T741&amp;U741&amp;V741&amp;W741&amp;X741&amp;Y741&amp;Z741&amp;AA741&amp;AB741&amp;AC741&amp;AD741&amp;AE741&amp;AF741&amp;AG741</f>
        <v/>
      </c>
      <c r="M741" s="20" t="n"/>
      <c r="N741" s="10">
        <f>TEXT($B$6,"00")</f>
        <v/>
      </c>
      <c r="O741" s="10">
        <f>REPT(" ",8)</f>
        <v/>
      </c>
      <c r="P741" s="10">
        <f>RIGHT($B$4,2)</f>
        <v/>
      </c>
      <c r="Q741" s="10">
        <f>RIGHT($B$5,3)</f>
        <v/>
      </c>
      <c r="R741" s="10">
        <f>IF(A741="D",LEFT(UPPER(B741)&amp;REPT(" ",20),20),REPT(" ",20))</f>
        <v/>
      </c>
      <c r="S741" s="10">
        <f>IF(A741="D",LEFT(UPPER(C741)&amp;REPT(" ",10),10)," ")</f>
        <v/>
      </c>
      <c r="T741" s="10">
        <f>IF(A741="D",LEFT(UPPER(D741)&amp;REPT(" ",2),2)," ")</f>
        <v/>
      </c>
      <c r="U741" s="10">
        <f>IF(A741="D",LEFT(UPPER(E741)&amp;REPT(" ",15),15)," ")</f>
        <v/>
      </c>
      <c r="V741" s="10">
        <f>REPT(" ",24)</f>
        <v/>
      </c>
      <c r="W741" s="10">
        <f>IF(A741="c",LEFT(UPPER(B741)&amp;REPT(" ",20),20),REPT(" ",20))</f>
        <v/>
      </c>
      <c r="X741" s="10">
        <f>IF(A741="C",LEFT(UPPER(C741)&amp;REPT(" ",10),10)," ")</f>
        <v/>
      </c>
      <c r="Y741" s="10">
        <f>IF(A741="C",LEFT(UPPER(D741)&amp;REPT(" ",2),2)," ")</f>
        <v/>
      </c>
      <c r="Z741" s="10">
        <f>IF(A741="C",LEFT(UPPER(E741)&amp;REPT(" ",15),15)," ")</f>
        <v/>
      </c>
      <c r="AA741" s="10">
        <f>REPT(" ",8)</f>
        <v/>
      </c>
      <c r="AB741" s="10">
        <f>REPT(" ",4)</f>
        <v/>
      </c>
      <c r="AC741" s="10">
        <f>LEFT(UPPER(H741)&amp;REPT(" ",250),250)</f>
        <v/>
      </c>
      <c r="AD741" s="10">
        <f>TEXT($G$2,"dd/mm/aaaa")</f>
        <v/>
      </c>
      <c r="AE741" s="10">
        <f>REPT(" ",10)</f>
        <v/>
      </c>
      <c r="AF741" s="10">
        <f>REPT(" ",20)</f>
        <v/>
      </c>
      <c r="AG741" s="54">
        <f>REPT(" ",18-LEN(FIXED(F741,2,TRUE)))&amp;FIXED(F741,2,TRUE)</f>
        <v/>
      </c>
      <c r="AH741" s="10">
        <f>LEN(AC741)+LEN(AG741)</f>
        <v/>
      </c>
      <c r="AI741" s="10">
        <f>LEN(L741)</f>
        <v/>
      </c>
    </row>
    <row r="742">
      <c r="A742" s="46" t="n"/>
      <c r="B742" s="38" t="n"/>
      <c r="C742" s="41" t="n"/>
      <c r="D742" s="41" t="n"/>
      <c r="E742" s="41" t="n"/>
      <c r="F742" s="88" t="n"/>
      <c r="G742" s="89" t="n"/>
      <c r="H742" s="37" t="n"/>
      <c r="I742" s="42" t="n"/>
      <c r="J742" s="12">
        <f>IF(F742&lt;&gt;0,"LANÇAR","")</f>
        <v/>
      </c>
      <c r="K742" s="20" t="n"/>
      <c r="L742" s="13">
        <f>N742&amp;O742&amp;P742&amp;Q742&amp;R742&amp;S742&amp;T742&amp;U742&amp;V742&amp;W742&amp;X742&amp;Y742&amp;Z742&amp;AA742&amp;AB742&amp;AC742&amp;AD742&amp;AE742&amp;AF742&amp;AG742</f>
        <v/>
      </c>
      <c r="M742" s="20" t="n"/>
      <c r="N742" s="10">
        <f>TEXT($B$6,"00")</f>
        <v/>
      </c>
      <c r="O742" s="10">
        <f>REPT(" ",8)</f>
        <v/>
      </c>
      <c r="P742" s="10">
        <f>RIGHT($B$4,2)</f>
        <v/>
      </c>
      <c r="Q742" s="10">
        <f>RIGHT($B$5,3)</f>
        <v/>
      </c>
      <c r="R742" s="10">
        <f>IF(A742="D",LEFT(UPPER(B742)&amp;REPT(" ",20),20),REPT(" ",20))</f>
        <v/>
      </c>
      <c r="S742" s="10">
        <f>IF(A742="D",LEFT(UPPER(C742)&amp;REPT(" ",10),10)," ")</f>
        <v/>
      </c>
      <c r="T742" s="10">
        <f>IF(A742="D",LEFT(UPPER(D742)&amp;REPT(" ",2),2)," ")</f>
        <v/>
      </c>
      <c r="U742" s="10">
        <f>IF(A742="D",LEFT(UPPER(E742)&amp;REPT(" ",15),15)," ")</f>
        <v/>
      </c>
      <c r="V742" s="10">
        <f>REPT(" ",24)</f>
        <v/>
      </c>
      <c r="W742" s="10">
        <f>IF(A742="c",LEFT(UPPER(B742)&amp;REPT(" ",20),20),REPT(" ",20))</f>
        <v/>
      </c>
      <c r="X742" s="10">
        <f>IF(A742="C",LEFT(UPPER(C742)&amp;REPT(" ",10),10)," ")</f>
        <v/>
      </c>
      <c r="Y742" s="10">
        <f>IF(A742="C",LEFT(UPPER(D742)&amp;REPT(" ",2),2)," ")</f>
        <v/>
      </c>
      <c r="Z742" s="10">
        <f>IF(A742="C",LEFT(UPPER(E742)&amp;REPT(" ",15),15)," ")</f>
        <v/>
      </c>
      <c r="AA742" s="10">
        <f>REPT(" ",8)</f>
        <v/>
      </c>
      <c r="AB742" s="10">
        <f>REPT(" ",4)</f>
        <v/>
      </c>
      <c r="AC742" s="10">
        <f>LEFT(UPPER(H742)&amp;REPT(" ",250),250)</f>
        <v/>
      </c>
      <c r="AD742" s="10">
        <f>TEXT($G$2,"dd/mm/aaaa")</f>
        <v/>
      </c>
      <c r="AE742" s="10">
        <f>REPT(" ",10)</f>
        <v/>
      </c>
      <c r="AF742" s="10">
        <f>REPT(" ",20)</f>
        <v/>
      </c>
      <c r="AG742" s="54">
        <f>REPT(" ",18-LEN(FIXED(F742,2,TRUE)))&amp;FIXED(F742,2,TRUE)</f>
        <v/>
      </c>
      <c r="AH742" s="10">
        <f>LEN(AC742)+LEN(AG742)</f>
        <v/>
      </c>
      <c r="AI742" s="10">
        <f>LEN(L742)</f>
        <v/>
      </c>
    </row>
    <row r="743">
      <c r="A743" s="46" t="n"/>
      <c r="B743" s="38" t="n"/>
      <c r="C743" s="41" t="n"/>
      <c r="D743" s="41" t="n"/>
      <c r="E743" s="41" t="n"/>
      <c r="F743" s="88" t="n"/>
      <c r="G743" s="89" t="n"/>
      <c r="H743" s="37" t="n"/>
      <c r="I743" s="42" t="n"/>
      <c r="J743" s="12">
        <f>IF(F743&lt;&gt;0,"LANÇAR","")</f>
        <v/>
      </c>
      <c r="K743" s="20" t="n"/>
      <c r="L743" s="13">
        <f>N743&amp;O743&amp;P743&amp;Q743&amp;R743&amp;S743&amp;T743&amp;U743&amp;V743&amp;W743&amp;X743&amp;Y743&amp;Z743&amp;AA743&amp;AB743&amp;AC743&amp;AD743&amp;AE743&amp;AF743&amp;AG743</f>
        <v/>
      </c>
      <c r="M743" s="20" t="n"/>
      <c r="N743" s="10">
        <f>TEXT($B$6,"00")</f>
        <v/>
      </c>
      <c r="O743" s="10">
        <f>REPT(" ",8)</f>
        <v/>
      </c>
      <c r="P743" s="10">
        <f>RIGHT($B$4,2)</f>
        <v/>
      </c>
      <c r="Q743" s="10">
        <f>RIGHT($B$5,3)</f>
        <v/>
      </c>
      <c r="R743" s="10">
        <f>IF(A743="D",LEFT(UPPER(B743)&amp;REPT(" ",20),20),REPT(" ",20))</f>
        <v/>
      </c>
      <c r="S743" s="10">
        <f>IF(A743="D",LEFT(UPPER(C743)&amp;REPT(" ",10),10)," ")</f>
        <v/>
      </c>
      <c r="T743" s="10">
        <f>IF(A743="D",LEFT(UPPER(D743)&amp;REPT(" ",2),2)," ")</f>
        <v/>
      </c>
      <c r="U743" s="10">
        <f>IF(A743="D",LEFT(UPPER(E743)&amp;REPT(" ",15),15)," ")</f>
        <v/>
      </c>
      <c r="V743" s="10">
        <f>REPT(" ",24)</f>
        <v/>
      </c>
      <c r="W743" s="10">
        <f>IF(A743="c",LEFT(UPPER(B743)&amp;REPT(" ",20),20),REPT(" ",20))</f>
        <v/>
      </c>
      <c r="X743" s="10">
        <f>IF(A743="C",LEFT(UPPER(C743)&amp;REPT(" ",10),10)," ")</f>
        <v/>
      </c>
      <c r="Y743" s="10">
        <f>IF(A743="C",LEFT(UPPER(D743)&amp;REPT(" ",2),2)," ")</f>
        <v/>
      </c>
      <c r="Z743" s="10">
        <f>IF(A743="C",LEFT(UPPER(E743)&amp;REPT(" ",15),15)," ")</f>
        <v/>
      </c>
      <c r="AA743" s="10">
        <f>REPT(" ",8)</f>
        <v/>
      </c>
      <c r="AB743" s="10">
        <f>REPT(" ",4)</f>
        <v/>
      </c>
      <c r="AC743" s="10">
        <f>LEFT(UPPER(H743)&amp;REPT(" ",250),250)</f>
        <v/>
      </c>
      <c r="AD743" s="10">
        <f>TEXT($G$2,"dd/mm/aaaa")</f>
        <v/>
      </c>
      <c r="AE743" s="10">
        <f>REPT(" ",10)</f>
        <v/>
      </c>
      <c r="AF743" s="10">
        <f>REPT(" ",20)</f>
        <v/>
      </c>
      <c r="AG743" s="54">
        <f>REPT(" ",18-LEN(FIXED(F743,2,TRUE)))&amp;FIXED(F743,2,TRUE)</f>
        <v/>
      </c>
      <c r="AH743" s="10">
        <f>LEN(AC743)+LEN(AG743)</f>
        <v/>
      </c>
      <c r="AI743" s="10">
        <f>LEN(L743)</f>
        <v/>
      </c>
    </row>
    <row r="744">
      <c r="A744" s="46" t="n"/>
      <c r="B744" s="38" t="n"/>
      <c r="C744" s="41" t="n"/>
      <c r="D744" s="41" t="n"/>
      <c r="E744" s="41" t="n"/>
      <c r="F744" s="88" t="n"/>
      <c r="G744" s="89" t="n"/>
      <c r="H744" s="37" t="n"/>
      <c r="I744" s="42" t="n"/>
      <c r="J744" s="12">
        <f>IF(F744&lt;&gt;0,"LANÇAR","")</f>
        <v/>
      </c>
      <c r="K744" s="20" t="n"/>
      <c r="L744" s="13">
        <f>N744&amp;O744&amp;P744&amp;Q744&amp;R744&amp;S744&amp;T744&amp;U744&amp;V744&amp;W744&amp;X744&amp;Y744&amp;Z744&amp;AA744&amp;AB744&amp;AC744&amp;AD744&amp;AE744&amp;AF744&amp;AG744</f>
        <v/>
      </c>
      <c r="M744" s="20" t="n"/>
      <c r="N744" s="10">
        <f>TEXT($B$6,"00")</f>
        <v/>
      </c>
      <c r="O744" s="10">
        <f>REPT(" ",8)</f>
        <v/>
      </c>
      <c r="P744" s="10">
        <f>RIGHT($B$4,2)</f>
        <v/>
      </c>
      <c r="Q744" s="10">
        <f>RIGHT($B$5,3)</f>
        <v/>
      </c>
      <c r="R744" s="10">
        <f>IF(A744="D",LEFT(UPPER(B744)&amp;REPT(" ",20),20),REPT(" ",20))</f>
        <v/>
      </c>
      <c r="S744" s="10">
        <f>IF(A744="D",LEFT(UPPER(C744)&amp;REPT(" ",10),10)," ")</f>
        <v/>
      </c>
      <c r="T744" s="10">
        <f>IF(A744="D",LEFT(UPPER(D744)&amp;REPT(" ",2),2)," ")</f>
        <v/>
      </c>
      <c r="U744" s="10">
        <f>IF(A744="D",LEFT(UPPER(E744)&amp;REPT(" ",15),15)," ")</f>
        <v/>
      </c>
      <c r="V744" s="10">
        <f>REPT(" ",24)</f>
        <v/>
      </c>
      <c r="W744" s="10">
        <f>IF(A744="c",LEFT(UPPER(B744)&amp;REPT(" ",20),20),REPT(" ",20))</f>
        <v/>
      </c>
      <c r="X744" s="10">
        <f>IF(A744="C",LEFT(UPPER(C744)&amp;REPT(" ",10),10)," ")</f>
        <v/>
      </c>
      <c r="Y744" s="10">
        <f>IF(A744="C",LEFT(UPPER(D744)&amp;REPT(" ",2),2)," ")</f>
        <v/>
      </c>
      <c r="Z744" s="10">
        <f>IF(A744="C",LEFT(UPPER(E744)&amp;REPT(" ",15),15)," ")</f>
        <v/>
      </c>
      <c r="AA744" s="10">
        <f>REPT(" ",8)</f>
        <v/>
      </c>
      <c r="AB744" s="10">
        <f>REPT(" ",4)</f>
        <v/>
      </c>
      <c r="AC744" s="10">
        <f>LEFT(UPPER(H744)&amp;REPT(" ",250),250)</f>
        <v/>
      </c>
      <c r="AD744" s="10">
        <f>TEXT($G$2,"dd/mm/aaaa")</f>
        <v/>
      </c>
      <c r="AE744" s="10">
        <f>REPT(" ",10)</f>
        <v/>
      </c>
      <c r="AF744" s="10">
        <f>REPT(" ",20)</f>
        <v/>
      </c>
      <c r="AG744" s="54">
        <f>REPT(" ",18-LEN(FIXED(F744,2,TRUE)))&amp;FIXED(F744,2,TRUE)</f>
        <v/>
      </c>
      <c r="AH744" s="10">
        <f>LEN(AC744)+LEN(AG744)</f>
        <v/>
      </c>
      <c r="AI744" s="10">
        <f>LEN(L744)</f>
        <v/>
      </c>
    </row>
    <row r="745">
      <c r="A745" s="46" t="n"/>
      <c r="B745" s="38" t="n"/>
      <c r="C745" s="41" t="n"/>
      <c r="D745" s="41" t="n"/>
      <c r="E745" s="41" t="n"/>
      <c r="F745" s="88" t="n"/>
      <c r="G745" s="89" t="n"/>
      <c r="H745" s="37" t="n"/>
      <c r="I745" s="42" t="n"/>
      <c r="J745" s="12">
        <f>IF(F745&lt;&gt;0,"LANÇAR","")</f>
        <v/>
      </c>
      <c r="K745" s="20" t="n"/>
      <c r="L745" s="13">
        <f>N745&amp;O745&amp;P745&amp;Q745&amp;R745&amp;S745&amp;T745&amp;U745&amp;V745&amp;W745&amp;X745&amp;Y745&amp;Z745&amp;AA745&amp;AB745&amp;AC745&amp;AD745&amp;AE745&amp;AF745&amp;AG745</f>
        <v/>
      </c>
      <c r="M745" s="20" t="n"/>
      <c r="N745" s="10">
        <f>TEXT($B$6,"00")</f>
        <v/>
      </c>
      <c r="O745" s="10">
        <f>REPT(" ",8)</f>
        <v/>
      </c>
      <c r="P745" s="10">
        <f>RIGHT($B$4,2)</f>
        <v/>
      </c>
      <c r="Q745" s="10">
        <f>RIGHT($B$5,3)</f>
        <v/>
      </c>
      <c r="R745" s="10">
        <f>IF(A745="D",LEFT(UPPER(B745)&amp;REPT(" ",20),20),REPT(" ",20))</f>
        <v/>
      </c>
      <c r="S745" s="10">
        <f>IF(A745="D",LEFT(UPPER(C745)&amp;REPT(" ",10),10)," ")</f>
        <v/>
      </c>
      <c r="T745" s="10">
        <f>IF(A745="D",LEFT(UPPER(D745)&amp;REPT(" ",2),2)," ")</f>
        <v/>
      </c>
      <c r="U745" s="10">
        <f>IF(A745="D",LEFT(UPPER(E745)&amp;REPT(" ",15),15)," ")</f>
        <v/>
      </c>
      <c r="V745" s="10">
        <f>REPT(" ",24)</f>
        <v/>
      </c>
      <c r="W745" s="10">
        <f>IF(A745="c",LEFT(UPPER(B745)&amp;REPT(" ",20),20),REPT(" ",20))</f>
        <v/>
      </c>
      <c r="X745" s="10">
        <f>IF(A745="C",LEFT(UPPER(C745)&amp;REPT(" ",10),10)," ")</f>
        <v/>
      </c>
      <c r="Y745" s="10">
        <f>IF(A745="C",LEFT(UPPER(D745)&amp;REPT(" ",2),2)," ")</f>
        <v/>
      </c>
      <c r="Z745" s="10">
        <f>IF(A745="C",LEFT(UPPER(E745)&amp;REPT(" ",15),15)," ")</f>
        <v/>
      </c>
      <c r="AA745" s="10">
        <f>REPT(" ",8)</f>
        <v/>
      </c>
      <c r="AB745" s="10">
        <f>REPT(" ",4)</f>
        <v/>
      </c>
      <c r="AC745" s="10">
        <f>LEFT(UPPER(H745)&amp;REPT(" ",250),250)</f>
        <v/>
      </c>
      <c r="AD745" s="10">
        <f>TEXT($G$2,"dd/mm/aaaa")</f>
        <v/>
      </c>
      <c r="AE745" s="10">
        <f>REPT(" ",10)</f>
        <v/>
      </c>
      <c r="AF745" s="10">
        <f>REPT(" ",20)</f>
        <v/>
      </c>
      <c r="AG745" s="54">
        <f>REPT(" ",18-LEN(FIXED(F745,2,TRUE)))&amp;FIXED(F745,2,TRUE)</f>
        <v/>
      </c>
      <c r="AH745" s="10">
        <f>LEN(AC745)+LEN(AG745)</f>
        <v/>
      </c>
      <c r="AI745" s="10">
        <f>LEN(L745)</f>
        <v/>
      </c>
    </row>
    <row r="746">
      <c r="A746" s="46" t="n"/>
      <c r="B746" s="38" t="n"/>
      <c r="C746" s="41" t="n"/>
      <c r="D746" s="41" t="n"/>
      <c r="E746" s="41" t="n"/>
      <c r="F746" s="88" t="n"/>
      <c r="G746" s="89" t="n"/>
      <c r="H746" s="37" t="n"/>
      <c r="I746" s="42" t="n"/>
      <c r="J746" s="12">
        <f>IF(F746&lt;&gt;0,"LANÇAR","")</f>
        <v/>
      </c>
      <c r="K746" s="20" t="n"/>
      <c r="L746" s="13">
        <f>N746&amp;O746&amp;P746&amp;Q746&amp;R746&amp;S746&amp;T746&amp;U746&amp;V746&amp;W746&amp;X746&amp;Y746&amp;Z746&amp;AA746&amp;AB746&amp;AC746&amp;AD746&amp;AE746&amp;AF746&amp;AG746</f>
        <v/>
      </c>
      <c r="M746" s="20" t="n"/>
      <c r="N746" s="10">
        <f>TEXT($B$6,"00")</f>
        <v/>
      </c>
      <c r="O746" s="10">
        <f>REPT(" ",8)</f>
        <v/>
      </c>
      <c r="P746" s="10">
        <f>RIGHT($B$4,2)</f>
        <v/>
      </c>
      <c r="Q746" s="10">
        <f>RIGHT($B$5,3)</f>
        <v/>
      </c>
      <c r="R746" s="10">
        <f>IF(A746="D",LEFT(UPPER(B746)&amp;REPT(" ",20),20),REPT(" ",20))</f>
        <v/>
      </c>
      <c r="S746" s="10">
        <f>IF(A746="D",LEFT(UPPER(C746)&amp;REPT(" ",10),10)," ")</f>
        <v/>
      </c>
      <c r="T746" s="10">
        <f>IF(A746="D",LEFT(UPPER(D746)&amp;REPT(" ",2),2)," ")</f>
        <v/>
      </c>
      <c r="U746" s="10">
        <f>IF(A746="D",LEFT(UPPER(E746)&amp;REPT(" ",15),15)," ")</f>
        <v/>
      </c>
      <c r="V746" s="10">
        <f>REPT(" ",24)</f>
        <v/>
      </c>
      <c r="W746" s="10">
        <f>IF(A746="c",LEFT(UPPER(B746)&amp;REPT(" ",20),20),REPT(" ",20))</f>
        <v/>
      </c>
      <c r="X746" s="10">
        <f>IF(A746="C",LEFT(UPPER(C746)&amp;REPT(" ",10),10)," ")</f>
        <v/>
      </c>
      <c r="Y746" s="10">
        <f>IF(A746="C",LEFT(UPPER(D746)&amp;REPT(" ",2),2)," ")</f>
        <v/>
      </c>
      <c r="Z746" s="10">
        <f>IF(A746="C",LEFT(UPPER(E746)&amp;REPT(" ",15),15)," ")</f>
        <v/>
      </c>
      <c r="AA746" s="10">
        <f>REPT(" ",8)</f>
        <v/>
      </c>
      <c r="AB746" s="10">
        <f>REPT(" ",4)</f>
        <v/>
      </c>
      <c r="AC746" s="10">
        <f>LEFT(UPPER(H746)&amp;REPT(" ",250),250)</f>
        <v/>
      </c>
      <c r="AD746" s="10">
        <f>TEXT($G$2,"dd/mm/aaaa")</f>
        <v/>
      </c>
      <c r="AE746" s="10">
        <f>REPT(" ",10)</f>
        <v/>
      </c>
      <c r="AF746" s="10">
        <f>REPT(" ",20)</f>
        <v/>
      </c>
      <c r="AG746" s="54">
        <f>REPT(" ",18-LEN(FIXED(F746,2,TRUE)))&amp;FIXED(F746,2,TRUE)</f>
        <v/>
      </c>
      <c r="AH746" s="10">
        <f>LEN(AC746)+LEN(AG746)</f>
        <v/>
      </c>
      <c r="AI746" s="10">
        <f>LEN(L746)</f>
        <v/>
      </c>
    </row>
    <row r="747">
      <c r="A747" s="46" t="n"/>
      <c r="B747" s="38" t="n"/>
      <c r="C747" s="41" t="n"/>
      <c r="D747" s="41" t="n"/>
      <c r="E747" s="41" t="n"/>
      <c r="F747" s="88" t="n"/>
      <c r="G747" s="89" t="n"/>
      <c r="H747" s="37" t="n"/>
      <c r="I747" s="42" t="n"/>
      <c r="J747" s="12">
        <f>IF(F747&lt;&gt;0,"LANÇAR","")</f>
        <v/>
      </c>
      <c r="K747" s="20" t="n"/>
      <c r="L747" s="13">
        <f>N747&amp;O747&amp;P747&amp;Q747&amp;R747&amp;S747&amp;T747&amp;U747&amp;V747&amp;W747&amp;X747&amp;Y747&amp;Z747&amp;AA747&amp;AB747&amp;AC747&amp;AD747&amp;AE747&amp;AF747&amp;AG747</f>
        <v/>
      </c>
      <c r="M747" s="20" t="n"/>
      <c r="N747" s="10">
        <f>TEXT($B$6,"00")</f>
        <v/>
      </c>
      <c r="O747" s="10">
        <f>REPT(" ",8)</f>
        <v/>
      </c>
      <c r="P747" s="10">
        <f>RIGHT($B$4,2)</f>
        <v/>
      </c>
      <c r="Q747" s="10">
        <f>RIGHT($B$5,3)</f>
        <v/>
      </c>
      <c r="R747" s="10">
        <f>IF(A747="D",LEFT(UPPER(B747)&amp;REPT(" ",20),20),REPT(" ",20))</f>
        <v/>
      </c>
      <c r="S747" s="10">
        <f>IF(A747="D",LEFT(UPPER(C747)&amp;REPT(" ",10),10)," ")</f>
        <v/>
      </c>
      <c r="T747" s="10">
        <f>IF(A747="D",LEFT(UPPER(D747)&amp;REPT(" ",2),2)," ")</f>
        <v/>
      </c>
      <c r="U747" s="10">
        <f>IF(A747="D",LEFT(UPPER(E747)&amp;REPT(" ",15),15)," ")</f>
        <v/>
      </c>
      <c r="V747" s="10">
        <f>REPT(" ",24)</f>
        <v/>
      </c>
      <c r="W747" s="10">
        <f>IF(A747="c",LEFT(UPPER(B747)&amp;REPT(" ",20),20),REPT(" ",20))</f>
        <v/>
      </c>
      <c r="X747" s="10">
        <f>IF(A747="C",LEFT(UPPER(C747)&amp;REPT(" ",10),10)," ")</f>
        <v/>
      </c>
      <c r="Y747" s="10">
        <f>IF(A747="C",LEFT(UPPER(D747)&amp;REPT(" ",2),2)," ")</f>
        <v/>
      </c>
      <c r="Z747" s="10">
        <f>IF(A747="C",LEFT(UPPER(E747)&amp;REPT(" ",15),15)," ")</f>
        <v/>
      </c>
      <c r="AA747" s="10">
        <f>REPT(" ",8)</f>
        <v/>
      </c>
      <c r="AB747" s="10">
        <f>REPT(" ",4)</f>
        <v/>
      </c>
      <c r="AC747" s="10">
        <f>LEFT(UPPER(H747)&amp;REPT(" ",250),250)</f>
        <v/>
      </c>
      <c r="AD747" s="10">
        <f>TEXT($G$2,"dd/mm/aaaa")</f>
        <v/>
      </c>
      <c r="AE747" s="10">
        <f>REPT(" ",10)</f>
        <v/>
      </c>
      <c r="AF747" s="10">
        <f>REPT(" ",20)</f>
        <v/>
      </c>
      <c r="AG747" s="54">
        <f>REPT(" ",18-LEN(FIXED(F747,2,TRUE)))&amp;FIXED(F747,2,TRUE)</f>
        <v/>
      </c>
      <c r="AH747" s="10">
        <f>LEN(AC747)+LEN(AG747)</f>
        <v/>
      </c>
      <c r="AI747" s="10">
        <f>LEN(L747)</f>
        <v/>
      </c>
    </row>
    <row r="748">
      <c r="A748" s="46" t="n"/>
      <c r="B748" s="38" t="n"/>
      <c r="C748" s="41" t="n"/>
      <c r="D748" s="41" t="n"/>
      <c r="E748" s="41" t="n"/>
      <c r="F748" s="88" t="n"/>
      <c r="G748" s="89" t="n"/>
      <c r="H748" s="37" t="n"/>
      <c r="I748" s="42" t="n"/>
      <c r="J748" s="12">
        <f>IF(F748&lt;&gt;0,"LANÇAR","")</f>
        <v/>
      </c>
      <c r="K748" s="20" t="n"/>
      <c r="L748" s="13">
        <f>N748&amp;O748&amp;P748&amp;Q748&amp;R748&amp;S748&amp;T748&amp;U748&amp;V748&amp;W748&amp;X748&amp;Y748&amp;Z748&amp;AA748&amp;AB748&amp;AC748&amp;AD748&amp;AE748&amp;AF748&amp;AG748</f>
        <v/>
      </c>
      <c r="M748" s="20" t="n"/>
      <c r="N748" s="10">
        <f>TEXT($B$6,"00")</f>
        <v/>
      </c>
      <c r="O748" s="10">
        <f>REPT(" ",8)</f>
        <v/>
      </c>
      <c r="P748" s="10">
        <f>RIGHT($B$4,2)</f>
        <v/>
      </c>
      <c r="Q748" s="10">
        <f>RIGHT($B$5,3)</f>
        <v/>
      </c>
      <c r="R748" s="10">
        <f>IF(A748="D",LEFT(UPPER(B748)&amp;REPT(" ",20),20),REPT(" ",20))</f>
        <v/>
      </c>
      <c r="S748" s="10">
        <f>IF(A748="D",LEFT(UPPER(C748)&amp;REPT(" ",10),10)," ")</f>
        <v/>
      </c>
      <c r="T748" s="10">
        <f>IF(A748="D",LEFT(UPPER(D748)&amp;REPT(" ",2),2)," ")</f>
        <v/>
      </c>
      <c r="U748" s="10">
        <f>IF(A748="D",LEFT(UPPER(E748)&amp;REPT(" ",15),15)," ")</f>
        <v/>
      </c>
      <c r="V748" s="10">
        <f>REPT(" ",24)</f>
        <v/>
      </c>
      <c r="W748" s="10">
        <f>IF(A748="c",LEFT(UPPER(B748)&amp;REPT(" ",20),20),REPT(" ",20))</f>
        <v/>
      </c>
      <c r="X748" s="10">
        <f>IF(A748="C",LEFT(UPPER(C748)&amp;REPT(" ",10),10)," ")</f>
        <v/>
      </c>
      <c r="Y748" s="10">
        <f>IF(A748="C",LEFT(UPPER(D748)&amp;REPT(" ",2),2)," ")</f>
        <v/>
      </c>
      <c r="Z748" s="10">
        <f>IF(A748="C",LEFT(UPPER(E748)&amp;REPT(" ",15),15)," ")</f>
        <v/>
      </c>
      <c r="AA748" s="10">
        <f>REPT(" ",8)</f>
        <v/>
      </c>
      <c r="AB748" s="10">
        <f>REPT(" ",4)</f>
        <v/>
      </c>
      <c r="AC748" s="10">
        <f>LEFT(UPPER(H748)&amp;REPT(" ",250),250)</f>
        <v/>
      </c>
      <c r="AD748" s="10">
        <f>TEXT($G$2,"dd/mm/aaaa")</f>
        <v/>
      </c>
      <c r="AE748" s="10">
        <f>REPT(" ",10)</f>
        <v/>
      </c>
      <c r="AF748" s="10">
        <f>REPT(" ",20)</f>
        <v/>
      </c>
      <c r="AG748" s="54">
        <f>REPT(" ",18-LEN(FIXED(F748,2,TRUE)))&amp;FIXED(F748,2,TRUE)</f>
        <v/>
      </c>
      <c r="AH748" s="10">
        <f>LEN(AC748)+LEN(AG748)</f>
        <v/>
      </c>
      <c r="AI748" s="10">
        <f>LEN(L748)</f>
        <v/>
      </c>
    </row>
    <row r="749">
      <c r="A749" s="46" t="n"/>
      <c r="B749" s="38" t="n"/>
      <c r="C749" s="41" t="n"/>
      <c r="D749" s="41" t="n"/>
      <c r="E749" s="41" t="n"/>
      <c r="F749" s="88" t="n"/>
      <c r="G749" s="89" t="n"/>
      <c r="H749" s="37" t="n"/>
      <c r="I749" s="42" t="n"/>
      <c r="J749" s="12">
        <f>IF(F749&lt;&gt;0,"LANÇAR","")</f>
        <v/>
      </c>
      <c r="K749" s="20" t="n"/>
      <c r="L749" s="13">
        <f>N749&amp;O749&amp;P749&amp;Q749&amp;R749&amp;S749&amp;T749&amp;U749&amp;V749&amp;W749&amp;X749&amp;Y749&amp;Z749&amp;AA749&amp;AB749&amp;AC749&amp;AD749&amp;AE749&amp;AF749&amp;AG749</f>
        <v/>
      </c>
      <c r="M749" s="20" t="n"/>
      <c r="N749" s="10">
        <f>TEXT($B$6,"00")</f>
        <v/>
      </c>
      <c r="O749" s="10">
        <f>REPT(" ",8)</f>
        <v/>
      </c>
      <c r="P749" s="10">
        <f>RIGHT($B$4,2)</f>
        <v/>
      </c>
      <c r="Q749" s="10">
        <f>RIGHT($B$5,3)</f>
        <v/>
      </c>
      <c r="R749" s="10">
        <f>IF(A749="D",LEFT(UPPER(B749)&amp;REPT(" ",20),20),REPT(" ",20))</f>
        <v/>
      </c>
      <c r="S749" s="10">
        <f>IF(A749="D",LEFT(UPPER(C749)&amp;REPT(" ",10),10)," ")</f>
        <v/>
      </c>
      <c r="T749" s="10">
        <f>IF(A749="D",LEFT(UPPER(D749)&amp;REPT(" ",2),2)," ")</f>
        <v/>
      </c>
      <c r="U749" s="10">
        <f>IF(A749="D",LEFT(UPPER(E749)&amp;REPT(" ",15),15)," ")</f>
        <v/>
      </c>
      <c r="V749" s="10">
        <f>REPT(" ",24)</f>
        <v/>
      </c>
      <c r="W749" s="10">
        <f>IF(A749="c",LEFT(UPPER(B749)&amp;REPT(" ",20),20),REPT(" ",20))</f>
        <v/>
      </c>
      <c r="X749" s="10">
        <f>IF(A749="C",LEFT(UPPER(C749)&amp;REPT(" ",10),10)," ")</f>
        <v/>
      </c>
      <c r="Y749" s="10">
        <f>IF(A749="C",LEFT(UPPER(D749)&amp;REPT(" ",2),2)," ")</f>
        <v/>
      </c>
      <c r="Z749" s="10">
        <f>IF(A749="C",LEFT(UPPER(E749)&amp;REPT(" ",15),15)," ")</f>
        <v/>
      </c>
      <c r="AA749" s="10">
        <f>REPT(" ",8)</f>
        <v/>
      </c>
      <c r="AB749" s="10">
        <f>REPT(" ",4)</f>
        <v/>
      </c>
      <c r="AC749" s="10">
        <f>LEFT(UPPER(H749)&amp;REPT(" ",250),250)</f>
        <v/>
      </c>
      <c r="AD749" s="10">
        <f>TEXT($G$2,"dd/mm/aaaa")</f>
        <v/>
      </c>
      <c r="AE749" s="10">
        <f>REPT(" ",10)</f>
        <v/>
      </c>
      <c r="AF749" s="10">
        <f>REPT(" ",20)</f>
        <v/>
      </c>
      <c r="AG749" s="54">
        <f>REPT(" ",18-LEN(FIXED(F749,2,TRUE)))&amp;FIXED(F749,2,TRUE)</f>
        <v/>
      </c>
      <c r="AH749" s="10">
        <f>LEN(AC749)+LEN(AG749)</f>
        <v/>
      </c>
      <c r="AI749" s="10">
        <f>LEN(L749)</f>
        <v/>
      </c>
    </row>
    <row r="750">
      <c r="A750" s="46" t="n"/>
      <c r="B750" s="38" t="n"/>
      <c r="C750" s="41" t="n"/>
      <c r="D750" s="41" t="n"/>
      <c r="E750" s="41" t="n"/>
      <c r="F750" s="88" t="n"/>
      <c r="G750" s="89" t="n"/>
      <c r="H750" s="37" t="n"/>
      <c r="I750" s="42" t="n"/>
      <c r="J750" s="12">
        <f>IF(F750&lt;&gt;0,"LANÇAR","")</f>
        <v/>
      </c>
      <c r="K750" s="20" t="n"/>
      <c r="L750" s="13">
        <f>N750&amp;O750&amp;P750&amp;Q750&amp;R750&amp;S750&amp;T750&amp;U750&amp;V750&amp;W750&amp;X750&amp;Y750&amp;Z750&amp;AA750&amp;AB750&amp;AC750&amp;AD750&amp;AE750&amp;AF750&amp;AG750</f>
        <v/>
      </c>
      <c r="M750" s="20" t="n"/>
      <c r="N750" s="10">
        <f>TEXT($B$6,"00")</f>
        <v/>
      </c>
      <c r="O750" s="10">
        <f>REPT(" ",8)</f>
        <v/>
      </c>
      <c r="P750" s="10">
        <f>RIGHT($B$4,2)</f>
        <v/>
      </c>
      <c r="Q750" s="10">
        <f>RIGHT($B$5,3)</f>
        <v/>
      </c>
      <c r="R750" s="10">
        <f>IF(A750="D",LEFT(UPPER(B750)&amp;REPT(" ",20),20),REPT(" ",20))</f>
        <v/>
      </c>
      <c r="S750" s="10">
        <f>IF(A750="D",LEFT(UPPER(C750)&amp;REPT(" ",10),10)," ")</f>
        <v/>
      </c>
      <c r="T750" s="10">
        <f>IF(A750="D",LEFT(UPPER(D750)&amp;REPT(" ",2),2)," ")</f>
        <v/>
      </c>
      <c r="U750" s="10">
        <f>IF(A750="D",LEFT(UPPER(E750)&amp;REPT(" ",15),15)," ")</f>
        <v/>
      </c>
      <c r="V750" s="10">
        <f>REPT(" ",24)</f>
        <v/>
      </c>
      <c r="W750" s="10">
        <f>IF(A750="c",LEFT(UPPER(B750)&amp;REPT(" ",20),20),REPT(" ",20))</f>
        <v/>
      </c>
      <c r="X750" s="10">
        <f>IF(A750="C",LEFT(UPPER(C750)&amp;REPT(" ",10),10)," ")</f>
        <v/>
      </c>
      <c r="Y750" s="10">
        <f>IF(A750="C",LEFT(UPPER(D750)&amp;REPT(" ",2),2)," ")</f>
        <v/>
      </c>
      <c r="Z750" s="10">
        <f>IF(A750="C",LEFT(UPPER(E750)&amp;REPT(" ",15),15)," ")</f>
        <v/>
      </c>
      <c r="AA750" s="10">
        <f>REPT(" ",8)</f>
        <v/>
      </c>
      <c r="AB750" s="10">
        <f>REPT(" ",4)</f>
        <v/>
      </c>
      <c r="AC750" s="10">
        <f>LEFT(UPPER(H750)&amp;REPT(" ",250),250)</f>
        <v/>
      </c>
      <c r="AD750" s="10">
        <f>TEXT($G$2,"dd/mm/aaaa")</f>
        <v/>
      </c>
      <c r="AE750" s="10">
        <f>REPT(" ",10)</f>
        <v/>
      </c>
      <c r="AF750" s="10">
        <f>REPT(" ",20)</f>
        <v/>
      </c>
      <c r="AG750" s="54">
        <f>REPT(" ",18-LEN(FIXED(F750,2,TRUE)))&amp;FIXED(F750,2,TRUE)</f>
        <v/>
      </c>
      <c r="AH750" s="10">
        <f>LEN(AC750)+LEN(AG750)</f>
        <v/>
      </c>
      <c r="AI750" s="10">
        <f>LEN(L750)</f>
        <v/>
      </c>
    </row>
    <row r="751">
      <c r="A751" s="46" t="n"/>
      <c r="B751" s="38" t="n"/>
      <c r="C751" s="41" t="n"/>
      <c r="D751" s="41" t="n"/>
      <c r="E751" s="41" t="n"/>
      <c r="F751" s="88" t="n"/>
      <c r="G751" s="89" t="n"/>
      <c r="H751" s="37" t="n"/>
      <c r="I751" s="42" t="n"/>
      <c r="J751" s="12">
        <f>IF(F751&lt;&gt;0,"LANÇAR","")</f>
        <v/>
      </c>
      <c r="K751" s="20" t="n"/>
      <c r="L751" s="13">
        <f>N751&amp;O751&amp;P751&amp;Q751&amp;R751&amp;S751&amp;T751&amp;U751&amp;V751&amp;W751&amp;X751&amp;Y751&amp;Z751&amp;AA751&amp;AB751&amp;AC751&amp;AD751&amp;AE751&amp;AF751&amp;AG751</f>
        <v/>
      </c>
      <c r="M751" s="20" t="n"/>
      <c r="N751" s="10">
        <f>TEXT($B$6,"00")</f>
        <v/>
      </c>
      <c r="O751" s="10">
        <f>REPT(" ",8)</f>
        <v/>
      </c>
      <c r="P751" s="10">
        <f>RIGHT($B$4,2)</f>
        <v/>
      </c>
      <c r="Q751" s="10">
        <f>RIGHT($B$5,3)</f>
        <v/>
      </c>
      <c r="R751" s="10">
        <f>IF(A751="D",LEFT(UPPER(B751)&amp;REPT(" ",20),20),REPT(" ",20))</f>
        <v/>
      </c>
      <c r="S751" s="10">
        <f>IF(A751="D",LEFT(UPPER(C751)&amp;REPT(" ",10),10)," ")</f>
        <v/>
      </c>
      <c r="T751" s="10">
        <f>IF(A751="D",LEFT(UPPER(D751)&amp;REPT(" ",2),2)," ")</f>
        <v/>
      </c>
      <c r="U751" s="10">
        <f>IF(A751="D",LEFT(UPPER(E751)&amp;REPT(" ",15),15)," ")</f>
        <v/>
      </c>
      <c r="V751" s="10">
        <f>REPT(" ",24)</f>
        <v/>
      </c>
      <c r="W751" s="10">
        <f>IF(A751="c",LEFT(UPPER(B751)&amp;REPT(" ",20),20),REPT(" ",20))</f>
        <v/>
      </c>
      <c r="X751" s="10">
        <f>IF(A751="C",LEFT(UPPER(C751)&amp;REPT(" ",10),10)," ")</f>
        <v/>
      </c>
      <c r="Y751" s="10">
        <f>IF(A751="C",LEFT(UPPER(D751)&amp;REPT(" ",2),2)," ")</f>
        <v/>
      </c>
      <c r="Z751" s="10">
        <f>IF(A751="C",LEFT(UPPER(E751)&amp;REPT(" ",15),15)," ")</f>
        <v/>
      </c>
      <c r="AA751" s="10">
        <f>REPT(" ",8)</f>
        <v/>
      </c>
      <c r="AB751" s="10">
        <f>REPT(" ",4)</f>
        <v/>
      </c>
      <c r="AC751" s="10">
        <f>LEFT(UPPER(H751)&amp;REPT(" ",250),250)</f>
        <v/>
      </c>
      <c r="AD751" s="10">
        <f>TEXT($G$2,"dd/mm/aaaa")</f>
        <v/>
      </c>
      <c r="AE751" s="10">
        <f>REPT(" ",10)</f>
        <v/>
      </c>
      <c r="AF751" s="10">
        <f>REPT(" ",20)</f>
        <v/>
      </c>
      <c r="AG751" s="54">
        <f>REPT(" ",18-LEN(FIXED(F751,2,TRUE)))&amp;FIXED(F751,2,TRUE)</f>
        <v/>
      </c>
      <c r="AH751" s="10">
        <f>LEN(AC751)+LEN(AG751)</f>
        <v/>
      </c>
      <c r="AI751" s="10">
        <f>LEN(L751)</f>
        <v/>
      </c>
    </row>
    <row r="752">
      <c r="A752" s="46" t="n"/>
      <c r="B752" s="38" t="n"/>
      <c r="C752" s="41" t="n"/>
      <c r="D752" s="41" t="n"/>
      <c r="E752" s="41" t="n"/>
      <c r="F752" s="88" t="n"/>
      <c r="G752" s="89" t="n"/>
      <c r="H752" s="37" t="n"/>
      <c r="I752" s="42" t="n"/>
      <c r="J752" s="12">
        <f>IF(F752&lt;&gt;0,"LANÇAR","")</f>
        <v/>
      </c>
      <c r="K752" s="20" t="n"/>
      <c r="L752" s="13">
        <f>N752&amp;O752&amp;P752&amp;Q752&amp;R752&amp;S752&amp;T752&amp;U752&amp;V752&amp;W752&amp;X752&amp;Y752&amp;Z752&amp;AA752&amp;AB752&amp;AC752&amp;AD752&amp;AE752&amp;AF752&amp;AG752</f>
        <v/>
      </c>
      <c r="M752" s="20" t="n"/>
      <c r="N752" s="10">
        <f>TEXT($B$6,"00")</f>
        <v/>
      </c>
      <c r="O752" s="10">
        <f>REPT(" ",8)</f>
        <v/>
      </c>
      <c r="P752" s="10">
        <f>RIGHT($B$4,2)</f>
        <v/>
      </c>
      <c r="Q752" s="10">
        <f>RIGHT($B$5,3)</f>
        <v/>
      </c>
      <c r="R752" s="10">
        <f>IF(A752="D",LEFT(UPPER(B752)&amp;REPT(" ",20),20),REPT(" ",20))</f>
        <v/>
      </c>
      <c r="S752" s="10">
        <f>IF(A752="D",LEFT(UPPER(C752)&amp;REPT(" ",10),10)," ")</f>
        <v/>
      </c>
      <c r="T752" s="10">
        <f>IF(A752="D",LEFT(UPPER(D752)&amp;REPT(" ",2),2)," ")</f>
        <v/>
      </c>
      <c r="U752" s="10">
        <f>IF(A752="D",LEFT(UPPER(E752)&amp;REPT(" ",15),15)," ")</f>
        <v/>
      </c>
      <c r="V752" s="10">
        <f>REPT(" ",24)</f>
        <v/>
      </c>
      <c r="W752" s="10">
        <f>IF(A752="c",LEFT(UPPER(B752)&amp;REPT(" ",20),20),REPT(" ",20))</f>
        <v/>
      </c>
      <c r="X752" s="10">
        <f>IF(A752="C",LEFT(UPPER(C752)&amp;REPT(" ",10),10)," ")</f>
        <v/>
      </c>
      <c r="Y752" s="10">
        <f>IF(A752="C",LEFT(UPPER(D752)&amp;REPT(" ",2),2)," ")</f>
        <v/>
      </c>
      <c r="Z752" s="10">
        <f>IF(A752="C",LEFT(UPPER(E752)&amp;REPT(" ",15),15)," ")</f>
        <v/>
      </c>
      <c r="AA752" s="10">
        <f>REPT(" ",8)</f>
        <v/>
      </c>
      <c r="AB752" s="10">
        <f>REPT(" ",4)</f>
        <v/>
      </c>
      <c r="AC752" s="10">
        <f>LEFT(UPPER(H752)&amp;REPT(" ",250),250)</f>
        <v/>
      </c>
      <c r="AD752" s="10">
        <f>TEXT($G$2,"dd/mm/aaaa")</f>
        <v/>
      </c>
      <c r="AE752" s="10">
        <f>REPT(" ",10)</f>
        <v/>
      </c>
      <c r="AF752" s="10">
        <f>REPT(" ",20)</f>
        <v/>
      </c>
      <c r="AG752" s="54">
        <f>REPT(" ",18-LEN(FIXED(F752,2,TRUE)))&amp;FIXED(F752,2,TRUE)</f>
        <v/>
      </c>
      <c r="AH752" s="10">
        <f>LEN(AC752)+LEN(AG752)</f>
        <v/>
      </c>
      <c r="AI752" s="10">
        <f>LEN(L752)</f>
        <v/>
      </c>
    </row>
    <row r="753">
      <c r="A753" s="46" t="n"/>
      <c r="B753" s="38" t="n"/>
      <c r="C753" s="41" t="n"/>
      <c r="D753" s="41" t="n"/>
      <c r="E753" s="41" t="n"/>
      <c r="F753" s="88" t="n"/>
      <c r="G753" s="89" t="n"/>
      <c r="H753" s="37" t="n"/>
      <c r="I753" s="42" t="n"/>
      <c r="J753" s="12">
        <f>IF(F753&lt;&gt;0,"LANÇAR","")</f>
        <v/>
      </c>
      <c r="K753" s="20" t="n"/>
      <c r="L753" s="13">
        <f>N753&amp;O753&amp;P753&amp;Q753&amp;R753&amp;S753&amp;T753&amp;U753&amp;V753&amp;W753&amp;X753&amp;Y753&amp;Z753&amp;AA753&amp;AB753&amp;AC753&amp;AD753&amp;AE753&amp;AF753&amp;AG753</f>
        <v/>
      </c>
      <c r="M753" s="20" t="n"/>
      <c r="N753" s="10">
        <f>TEXT($B$6,"00")</f>
        <v/>
      </c>
      <c r="O753" s="10">
        <f>REPT(" ",8)</f>
        <v/>
      </c>
      <c r="P753" s="10">
        <f>RIGHT($B$4,2)</f>
        <v/>
      </c>
      <c r="Q753" s="10">
        <f>RIGHT($B$5,3)</f>
        <v/>
      </c>
      <c r="R753" s="10">
        <f>IF(A753="D",LEFT(UPPER(B753)&amp;REPT(" ",20),20),REPT(" ",20))</f>
        <v/>
      </c>
      <c r="S753" s="10">
        <f>IF(A753="D",LEFT(UPPER(C753)&amp;REPT(" ",10),10)," ")</f>
        <v/>
      </c>
      <c r="T753" s="10">
        <f>IF(A753="D",LEFT(UPPER(D753)&amp;REPT(" ",2),2)," ")</f>
        <v/>
      </c>
      <c r="U753" s="10">
        <f>IF(A753="D",LEFT(UPPER(E753)&amp;REPT(" ",15),15)," ")</f>
        <v/>
      </c>
      <c r="V753" s="10">
        <f>REPT(" ",24)</f>
        <v/>
      </c>
      <c r="W753" s="10">
        <f>IF(A753="c",LEFT(UPPER(B753)&amp;REPT(" ",20),20),REPT(" ",20))</f>
        <v/>
      </c>
      <c r="X753" s="10">
        <f>IF(A753="C",LEFT(UPPER(C753)&amp;REPT(" ",10),10)," ")</f>
        <v/>
      </c>
      <c r="Y753" s="10">
        <f>IF(A753="C",LEFT(UPPER(D753)&amp;REPT(" ",2),2)," ")</f>
        <v/>
      </c>
      <c r="Z753" s="10">
        <f>IF(A753="C",LEFT(UPPER(E753)&amp;REPT(" ",15),15)," ")</f>
        <v/>
      </c>
      <c r="AA753" s="10">
        <f>REPT(" ",8)</f>
        <v/>
      </c>
      <c r="AB753" s="10">
        <f>REPT(" ",4)</f>
        <v/>
      </c>
      <c r="AC753" s="10">
        <f>LEFT(UPPER(H753)&amp;REPT(" ",250),250)</f>
        <v/>
      </c>
      <c r="AD753" s="10">
        <f>TEXT($G$2,"dd/mm/aaaa")</f>
        <v/>
      </c>
      <c r="AE753" s="10">
        <f>REPT(" ",10)</f>
        <v/>
      </c>
      <c r="AF753" s="10">
        <f>REPT(" ",20)</f>
        <v/>
      </c>
      <c r="AG753" s="54">
        <f>REPT(" ",18-LEN(FIXED(F753,2,TRUE)))&amp;FIXED(F753,2,TRUE)</f>
        <v/>
      </c>
      <c r="AH753" s="10">
        <f>LEN(AC753)+LEN(AG753)</f>
        <v/>
      </c>
      <c r="AI753" s="10">
        <f>LEN(L753)</f>
        <v/>
      </c>
    </row>
    <row r="754">
      <c r="A754" s="46" t="n"/>
      <c r="B754" s="38" t="n"/>
      <c r="C754" s="41" t="n"/>
      <c r="D754" s="41" t="n"/>
      <c r="E754" s="41" t="n"/>
      <c r="F754" s="88" t="n"/>
      <c r="G754" s="89" t="n"/>
      <c r="H754" s="37" t="n"/>
      <c r="I754" s="42" t="n"/>
      <c r="J754" s="12">
        <f>IF(F754&lt;&gt;0,"LANÇAR","")</f>
        <v/>
      </c>
      <c r="K754" s="20" t="n"/>
      <c r="L754" s="13">
        <f>N754&amp;O754&amp;P754&amp;Q754&amp;R754&amp;S754&amp;T754&amp;U754&amp;V754&amp;W754&amp;X754&amp;Y754&amp;Z754&amp;AA754&amp;AB754&amp;AC754&amp;AD754&amp;AE754&amp;AF754&amp;AG754</f>
        <v/>
      </c>
      <c r="M754" s="20" t="n"/>
      <c r="N754" s="10">
        <f>TEXT($B$6,"00")</f>
        <v/>
      </c>
      <c r="O754" s="10">
        <f>REPT(" ",8)</f>
        <v/>
      </c>
      <c r="P754" s="10">
        <f>RIGHT($B$4,2)</f>
        <v/>
      </c>
      <c r="Q754" s="10">
        <f>RIGHT($B$5,3)</f>
        <v/>
      </c>
      <c r="R754" s="10">
        <f>IF(A754="D",LEFT(UPPER(B754)&amp;REPT(" ",20),20),REPT(" ",20))</f>
        <v/>
      </c>
      <c r="S754" s="10">
        <f>IF(A754="D",LEFT(UPPER(C754)&amp;REPT(" ",10),10)," ")</f>
        <v/>
      </c>
      <c r="T754" s="10">
        <f>IF(A754="D",LEFT(UPPER(D754)&amp;REPT(" ",2),2)," ")</f>
        <v/>
      </c>
      <c r="U754" s="10">
        <f>IF(A754="D",LEFT(UPPER(E754)&amp;REPT(" ",15),15)," ")</f>
        <v/>
      </c>
      <c r="V754" s="10">
        <f>REPT(" ",24)</f>
        <v/>
      </c>
      <c r="W754" s="10">
        <f>IF(A754="c",LEFT(UPPER(B754)&amp;REPT(" ",20),20),REPT(" ",20))</f>
        <v/>
      </c>
      <c r="X754" s="10">
        <f>IF(A754="C",LEFT(UPPER(C754)&amp;REPT(" ",10),10)," ")</f>
        <v/>
      </c>
      <c r="Y754" s="10">
        <f>IF(A754="C",LEFT(UPPER(D754)&amp;REPT(" ",2),2)," ")</f>
        <v/>
      </c>
      <c r="Z754" s="10">
        <f>IF(A754="C",LEFT(UPPER(E754)&amp;REPT(" ",15),15)," ")</f>
        <v/>
      </c>
      <c r="AA754" s="10">
        <f>REPT(" ",8)</f>
        <v/>
      </c>
      <c r="AB754" s="10">
        <f>REPT(" ",4)</f>
        <v/>
      </c>
      <c r="AC754" s="10">
        <f>LEFT(UPPER(H754)&amp;REPT(" ",250),250)</f>
        <v/>
      </c>
      <c r="AD754" s="10">
        <f>TEXT($G$2,"dd/mm/aaaa")</f>
        <v/>
      </c>
      <c r="AE754" s="10">
        <f>REPT(" ",10)</f>
        <v/>
      </c>
      <c r="AF754" s="10">
        <f>REPT(" ",20)</f>
        <v/>
      </c>
      <c r="AG754" s="54">
        <f>REPT(" ",18-LEN(FIXED(F754,2,TRUE)))&amp;FIXED(F754,2,TRUE)</f>
        <v/>
      </c>
      <c r="AH754" s="10">
        <f>LEN(AC754)+LEN(AG754)</f>
        <v/>
      </c>
      <c r="AI754" s="10">
        <f>LEN(L754)</f>
        <v/>
      </c>
    </row>
    <row r="755">
      <c r="A755" s="46" t="n"/>
      <c r="B755" s="38" t="n"/>
      <c r="C755" s="41" t="n"/>
      <c r="D755" s="41" t="n"/>
      <c r="E755" s="41" t="n"/>
      <c r="F755" s="88" t="n"/>
      <c r="G755" s="89" t="n"/>
      <c r="H755" s="37" t="n"/>
      <c r="I755" s="42" t="n"/>
      <c r="J755" s="12">
        <f>IF(F755&lt;&gt;0,"LANÇAR","")</f>
        <v/>
      </c>
      <c r="K755" s="20" t="n"/>
      <c r="L755" s="13">
        <f>N755&amp;O755&amp;P755&amp;Q755&amp;R755&amp;S755&amp;T755&amp;U755&amp;V755&amp;W755&amp;X755&amp;Y755&amp;Z755&amp;AA755&amp;AB755&amp;AC755&amp;AD755&amp;AE755&amp;AF755&amp;AG755</f>
        <v/>
      </c>
      <c r="M755" s="20" t="n"/>
      <c r="N755" s="10">
        <f>TEXT($B$6,"00")</f>
        <v/>
      </c>
      <c r="O755" s="10">
        <f>REPT(" ",8)</f>
        <v/>
      </c>
      <c r="P755" s="10">
        <f>RIGHT($B$4,2)</f>
        <v/>
      </c>
      <c r="Q755" s="10">
        <f>RIGHT($B$5,3)</f>
        <v/>
      </c>
      <c r="R755" s="10">
        <f>IF(A755="D",LEFT(UPPER(B755)&amp;REPT(" ",20),20),REPT(" ",20))</f>
        <v/>
      </c>
      <c r="S755" s="10">
        <f>IF(A755="D",LEFT(UPPER(C755)&amp;REPT(" ",10),10)," ")</f>
        <v/>
      </c>
      <c r="T755" s="10">
        <f>IF(A755="D",LEFT(UPPER(D755)&amp;REPT(" ",2),2)," ")</f>
        <v/>
      </c>
      <c r="U755" s="10">
        <f>IF(A755="D",LEFT(UPPER(E755)&amp;REPT(" ",15),15)," ")</f>
        <v/>
      </c>
      <c r="V755" s="10">
        <f>REPT(" ",24)</f>
        <v/>
      </c>
      <c r="W755" s="10">
        <f>IF(A755="c",LEFT(UPPER(B755)&amp;REPT(" ",20),20),REPT(" ",20))</f>
        <v/>
      </c>
      <c r="X755" s="10">
        <f>IF(A755="C",LEFT(UPPER(C755)&amp;REPT(" ",10),10)," ")</f>
        <v/>
      </c>
      <c r="Y755" s="10">
        <f>IF(A755="C",LEFT(UPPER(D755)&amp;REPT(" ",2),2)," ")</f>
        <v/>
      </c>
      <c r="Z755" s="10">
        <f>IF(A755="C",LEFT(UPPER(E755)&amp;REPT(" ",15),15)," ")</f>
        <v/>
      </c>
      <c r="AA755" s="10">
        <f>REPT(" ",8)</f>
        <v/>
      </c>
      <c r="AB755" s="10">
        <f>REPT(" ",4)</f>
        <v/>
      </c>
      <c r="AC755" s="10">
        <f>LEFT(UPPER(H755)&amp;REPT(" ",250),250)</f>
        <v/>
      </c>
      <c r="AD755" s="10">
        <f>TEXT($G$2,"dd/mm/aaaa")</f>
        <v/>
      </c>
      <c r="AE755" s="10">
        <f>REPT(" ",10)</f>
        <v/>
      </c>
      <c r="AF755" s="10">
        <f>REPT(" ",20)</f>
        <v/>
      </c>
      <c r="AG755" s="54">
        <f>REPT(" ",18-LEN(FIXED(F755,2,TRUE)))&amp;FIXED(F755,2,TRUE)</f>
        <v/>
      </c>
      <c r="AH755" s="10">
        <f>LEN(AC755)+LEN(AG755)</f>
        <v/>
      </c>
      <c r="AI755" s="10">
        <f>LEN(L755)</f>
        <v/>
      </c>
    </row>
    <row r="756">
      <c r="A756" s="46" t="n"/>
      <c r="B756" s="38" t="n"/>
      <c r="C756" s="41" t="n"/>
      <c r="D756" s="41" t="n"/>
      <c r="E756" s="41" t="n"/>
      <c r="F756" s="88" t="n"/>
      <c r="G756" s="89" t="n"/>
      <c r="H756" s="37" t="n"/>
      <c r="I756" s="42" t="n"/>
      <c r="J756" s="12">
        <f>IF(F756&lt;&gt;0,"LANÇAR","")</f>
        <v/>
      </c>
      <c r="K756" s="20" t="n"/>
      <c r="L756" s="13">
        <f>N756&amp;O756&amp;P756&amp;Q756&amp;R756&amp;S756&amp;T756&amp;U756&amp;V756&amp;W756&amp;X756&amp;Y756&amp;Z756&amp;AA756&amp;AB756&amp;AC756&amp;AD756&amp;AE756&amp;AF756&amp;AG756</f>
        <v/>
      </c>
      <c r="M756" s="20" t="n"/>
      <c r="N756" s="10">
        <f>TEXT($B$6,"00")</f>
        <v/>
      </c>
      <c r="O756" s="10">
        <f>REPT(" ",8)</f>
        <v/>
      </c>
      <c r="P756" s="10">
        <f>RIGHT($B$4,2)</f>
        <v/>
      </c>
      <c r="Q756" s="10">
        <f>RIGHT($B$5,3)</f>
        <v/>
      </c>
      <c r="R756" s="10">
        <f>IF(A756="D",LEFT(UPPER(B756)&amp;REPT(" ",20),20),REPT(" ",20))</f>
        <v/>
      </c>
      <c r="S756" s="10">
        <f>IF(A756="D",LEFT(UPPER(C756)&amp;REPT(" ",10),10)," ")</f>
        <v/>
      </c>
      <c r="T756" s="10">
        <f>IF(A756="D",LEFT(UPPER(D756)&amp;REPT(" ",2),2)," ")</f>
        <v/>
      </c>
      <c r="U756" s="10">
        <f>IF(A756="D",LEFT(UPPER(E756)&amp;REPT(" ",15),15)," ")</f>
        <v/>
      </c>
      <c r="V756" s="10">
        <f>REPT(" ",24)</f>
        <v/>
      </c>
      <c r="W756" s="10">
        <f>IF(A756="c",LEFT(UPPER(B756)&amp;REPT(" ",20),20),REPT(" ",20))</f>
        <v/>
      </c>
      <c r="X756" s="10">
        <f>IF(A756="C",LEFT(UPPER(C756)&amp;REPT(" ",10),10)," ")</f>
        <v/>
      </c>
      <c r="Y756" s="10">
        <f>IF(A756="C",LEFT(UPPER(D756)&amp;REPT(" ",2),2)," ")</f>
        <v/>
      </c>
      <c r="Z756" s="10">
        <f>IF(A756="C",LEFT(UPPER(E756)&amp;REPT(" ",15),15)," ")</f>
        <v/>
      </c>
      <c r="AA756" s="10">
        <f>REPT(" ",8)</f>
        <v/>
      </c>
      <c r="AB756" s="10">
        <f>REPT(" ",4)</f>
        <v/>
      </c>
      <c r="AC756" s="10">
        <f>LEFT(UPPER(H756)&amp;REPT(" ",250),250)</f>
        <v/>
      </c>
      <c r="AD756" s="10">
        <f>TEXT($G$2,"dd/mm/aaaa")</f>
        <v/>
      </c>
      <c r="AE756" s="10">
        <f>REPT(" ",10)</f>
        <v/>
      </c>
      <c r="AF756" s="10">
        <f>REPT(" ",20)</f>
        <v/>
      </c>
      <c r="AG756" s="54">
        <f>REPT(" ",18-LEN(FIXED(F756,2,TRUE)))&amp;FIXED(F756,2,TRUE)</f>
        <v/>
      </c>
      <c r="AH756" s="10">
        <f>LEN(AC756)+LEN(AG756)</f>
        <v/>
      </c>
      <c r="AI756" s="10">
        <f>LEN(L756)</f>
        <v/>
      </c>
    </row>
    <row r="757">
      <c r="A757" s="46" t="n"/>
      <c r="B757" s="38" t="n"/>
      <c r="C757" s="41" t="n"/>
      <c r="D757" s="41" t="n"/>
      <c r="E757" s="41" t="n"/>
      <c r="F757" s="88" t="n"/>
      <c r="G757" s="89" t="n"/>
      <c r="H757" s="37" t="n"/>
      <c r="I757" s="42" t="n"/>
      <c r="J757" s="12">
        <f>IF(F757&lt;&gt;0,"LANÇAR","")</f>
        <v/>
      </c>
      <c r="K757" s="20" t="n"/>
      <c r="L757" s="13">
        <f>N757&amp;O757&amp;P757&amp;Q757&amp;R757&amp;S757&amp;T757&amp;U757&amp;V757&amp;W757&amp;X757&amp;Y757&amp;Z757&amp;AA757&amp;AB757&amp;AC757&amp;AD757&amp;AE757&amp;AF757&amp;AG757</f>
        <v/>
      </c>
      <c r="M757" s="20" t="n"/>
      <c r="N757" s="10">
        <f>TEXT($B$6,"00")</f>
        <v/>
      </c>
      <c r="O757" s="10">
        <f>REPT(" ",8)</f>
        <v/>
      </c>
      <c r="P757" s="10">
        <f>RIGHT($B$4,2)</f>
        <v/>
      </c>
      <c r="Q757" s="10">
        <f>RIGHT($B$5,3)</f>
        <v/>
      </c>
      <c r="R757" s="10">
        <f>IF(A757="D",LEFT(UPPER(B757)&amp;REPT(" ",20),20),REPT(" ",20))</f>
        <v/>
      </c>
      <c r="S757" s="10">
        <f>IF(A757="D",LEFT(UPPER(C757)&amp;REPT(" ",10),10)," ")</f>
        <v/>
      </c>
      <c r="T757" s="10">
        <f>IF(A757="D",LEFT(UPPER(D757)&amp;REPT(" ",2),2)," ")</f>
        <v/>
      </c>
      <c r="U757" s="10">
        <f>IF(A757="D",LEFT(UPPER(E757)&amp;REPT(" ",15),15)," ")</f>
        <v/>
      </c>
      <c r="V757" s="10">
        <f>REPT(" ",24)</f>
        <v/>
      </c>
      <c r="W757" s="10">
        <f>IF(A757="c",LEFT(UPPER(B757)&amp;REPT(" ",20),20),REPT(" ",20))</f>
        <v/>
      </c>
      <c r="X757" s="10">
        <f>IF(A757="C",LEFT(UPPER(C757)&amp;REPT(" ",10),10)," ")</f>
        <v/>
      </c>
      <c r="Y757" s="10">
        <f>IF(A757="C",LEFT(UPPER(D757)&amp;REPT(" ",2),2)," ")</f>
        <v/>
      </c>
      <c r="Z757" s="10">
        <f>IF(A757="C",LEFT(UPPER(E757)&amp;REPT(" ",15),15)," ")</f>
        <v/>
      </c>
      <c r="AA757" s="10">
        <f>REPT(" ",8)</f>
        <v/>
      </c>
      <c r="AB757" s="10">
        <f>REPT(" ",4)</f>
        <v/>
      </c>
      <c r="AC757" s="10">
        <f>LEFT(UPPER(H757)&amp;REPT(" ",250),250)</f>
        <v/>
      </c>
      <c r="AD757" s="10">
        <f>TEXT($G$2,"dd/mm/aaaa")</f>
        <v/>
      </c>
      <c r="AE757" s="10">
        <f>REPT(" ",10)</f>
        <v/>
      </c>
      <c r="AF757" s="10">
        <f>REPT(" ",20)</f>
        <v/>
      </c>
      <c r="AG757" s="54">
        <f>REPT(" ",18-LEN(FIXED(F757,2,TRUE)))&amp;FIXED(F757,2,TRUE)</f>
        <v/>
      </c>
      <c r="AH757" s="10">
        <f>LEN(AC757)+LEN(AG757)</f>
        <v/>
      </c>
      <c r="AI757" s="10">
        <f>LEN(L757)</f>
        <v/>
      </c>
    </row>
    <row r="758">
      <c r="A758" s="46" t="n"/>
      <c r="B758" s="38" t="n"/>
      <c r="C758" s="41" t="n"/>
      <c r="D758" s="41" t="n"/>
      <c r="E758" s="41" t="n"/>
      <c r="F758" s="88" t="n"/>
      <c r="G758" s="89" t="n"/>
      <c r="H758" s="37" t="n"/>
      <c r="I758" s="42" t="n"/>
      <c r="J758" s="12">
        <f>IF(F758&lt;&gt;0,"LANÇAR","")</f>
        <v/>
      </c>
      <c r="K758" s="20" t="n"/>
      <c r="L758" s="13">
        <f>N758&amp;O758&amp;P758&amp;Q758&amp;R758&amp;S758&amp;T758&amp;U758&amp;V758&amp;W758&amp;X758&amp;Y758&amp;Z758&amp;AA758&amp;AB758&amp;AC758&amp;AD758&amp;AE758&amp;AF758&amp;AG758</f>
        <v/>
      </c>
      <c r="M758" s="20" t="n"/>
      <c r="N758" s="10">
        <f>TEXT($B$6,"00")</f>
        <v/>
      </c>
      <c r="O758" s="10">
        <f>REPT(" ",8)</f>
        <v/>
      </c>
      <c r="P758" s="10">
        <f>RIGHT($B$4,2)</f>
        <v/>
      </c>
      <c r="Q758" s="10">
        <f>RIGHT($B$5,3)</f>
        <v/>
      </c>
      <c r="R758" s="10">
        <f>IF(A758="D",LEFT(UPPER(B758)&amp;REPT(" ",20),20),REPT(" ",20))</f>
        <v/>
      </c>
      <c r="S758" s="10">
        <f>IF(A758="D",LEFT(UPPER(C758)&amp;REPT(" ",10),10)," ")</f>
        <v/>
      </c>
      <c r="T758" s="10">
        <f>IF(A758="D",LEFT(UPPER(D758)&amp;REPT(" ",2),2)," ")</f>
        <v/>
      </c>
      <c r="U758" s="10">
        <f>IF(A758="D",LEFT(UPPER(E758)&amp;REPT(" ",15),15)," ")</f>
        <v/>
      </c>
      <c r="V758" s="10">
        <f>REPT(" ",24)</f>
        <v/>
      </c>
      <c r="W758" s="10">
        <f>IF(A758="c",LEFT(UPPER(B758)&amp;REPT(" ",20),20),REPT(" ",20))</f>
        <v/>
      </c>
      <c r="X758" s="10">
        <f>IF(A758="C",LEFT(UPPER(C758)&amp;REPT(" ",10),10)," ")</f>
        <v/>
      </c>
      <c r="Y758" s="10">
        <f>IF(A758="C",LEFT(UPPER(D758)&amp;REPT(" ",2),2)," ")</f>
        <v/>
      </c>
      <c r="Z758" s="10">
        <f>IF(A758="C",LEFT(UPPER(E758)&amp;REPT(" ",15),15)," ")</f>
        <v/>
      </c>
      <c r="AA758" s="10">
        <f>REPT(" ",8)</f>
        <v/>
      </c>
      <c r="AB758" s="10">
        <f>REPT(" ",4)</f>
        <v/>
      </c>
      <c r="AC758" s="10">
        <f>LEFT(UPPER(H758)&amp;REPT(" ",250),250)</f>
        <v/>
      </c>
      <c r="AD758" s="10">
        <f>TEXT($G$2,"dd/mm/aaaa")</f>
        <v/>
      </c>
      <c r="AE758" s="10">
        <f>REPT(" ",10)</f>
        <v/>
      </c>
      <c r="AF758" s="10">
        <f>REPT(" ",20)</f>
        <v/>
      </c>
      <c r="AG758" s="54">
        <f>REPT(" ",18-LEN(FIXED(F758,2,TRUE)))&amp;FIXED(F758,2,TRUE)</f>
        <v/>
      </c>
      <c r="AH758" s="10">
        <f>LEN(AC758)+LEN(AG758)</f>
        <v/>
      </c>
      <c r="AI758" s="10">
        <f>LEN(L758)</f>
        <v/>
      </c>
    </row>
    <row r="759">
      <c r="A759" s="46" t="n"/>
      <c r="B759" s="38" t="n"/>
      <c r="C759" s="41" t="n"/>
      <c r="D759" s="41" t="n"/>
      <c r="E759" s="41" t="n"/>
      <c r="F759" s="88" t="n"/>
      <c r="G759" s="89" t="n"/>
      <c r="H759" s="37" t="n"/>
      <c r="I759" s="42" t="n"/>
      <c r="J759" s="12">
        <f>IF(F759&lt;&gt;0,"LANÇAR","")</f>
        <v/>
      </c>
      <c r="K759" s="20" t="n"/>
      <c r="L759" s="13">
        <f>N759&amp;O759&amp;P759&amp;Q759&amp;R759&amp;S759&amp;T759&amp;U759&amp;V759&amp;W759&amp;X759&amp;Y759&amp;Z759&amp;AA759&amp;AB759&amp;AC759&amp;AD759&amp;AE759&amp;AF759&amp;AG759</f>
        <v/>
      </c>
      <c r="M759" s="20" t="n"/>
      <c r="N759" s="10">
        <f>TEXT($B$6,"00")</f>
        <v/>
      </c>
      <c r="O759" s="10">
        <f>REPT(" ",8)</f>
        <v/>
      </c>
      <c r="P759" s="10">
        <f>RIGHT($B$4,2)</f>
        <v/>
      </c>
      <c r="Q759" s="10">
        <f>RIGHT($B$5,3)</f>
        <v/>
      </c>
      <c r="R759" s="10">
        <f>IF(A759="D",LEFT(UPPER(B759)&amp;REPT(" ",20),20),REPT(" ",20))</f>
        <v/>
      </c>
      <c r="S759" s="10">
        <f>IF(A759="D",LEFT(UPPER(C759)&amp;REPT(" ",10),10)," ")</f>
        <v/>
      </c>
      <c r="T759" s="10">
        <f>IF(A759="D",LEFT(UPPER(D759)&amp;REPT(" ",2),2)," ")</f>
        <v/>
      </c>
      <c r="U759" s="10">
        <f>IF(A759="D",LEFT(UPPER(E759)&amp;REPT(" ",15),15)," ")</f>
        <v/>
      </c>
      <c r="V759" s="10">
        <f>REPT(" ",24)</f>
        <v/>
      </c>
      <c r="W759" s="10">
        <f>IF(A759="c",LEFT(UPPER(B759)&amp;REPT(" ",20),20),REPT(" ",20))</f>
        <v/>
      </c>
      <c r="X759" s="10">
        <f>IF(A759="C",LEFT(UPPER(C759)&amp;REPT(" ",10),10)," ")</f>
        <v/>
      </c>
      <c r="Y759" s="10">
        <f>IF(A759="C",LEFT(UPPER(D759)&amp;REPT(" ",2),2)," ")</f>
        <v/>
      </c>
      <c r="Z759" s="10">
        <f>IF(A759="C",LEFT(UPPER(E759)&amp;REPT(" ",15),15)," ")</f>
        <v/>
      </c>
      <c r="AA759" s="10">
        <f>REPT(" ",8)</f>
        <v/>
      </c>
      <c r="AB759" s="10">
        <f>REPT(" ",4)</f>
        <v/>
      </c>
      <c r="AC759" s="10">
        <f>LEFT(UPPER(H759)&amp;REPT(" ",250),250)</f>
        <v/>
      </c>
      <c r="AD759" s="10">
        <f>TEXT($G$2,"dd/mm/aaaa")</f>
        <v/>
      </c>
      <c r="AE759" s="10">
        <f>REPT(" ",10)</f>
        <v/>
      </c>
      <c r="AF759" s="10">
        <f>REPT(" ",20)</f>
        <v/>
      </c>
      <c r="AG759" s="54">
        <f>REPT(" ",18-LEN(FIXED(F759,2,TRUE)))&amp;FIXED(F759,2,TRUE)</f>
        <v/>
      </c>
      <c r="AH759" s="10">
        <f>LEN(AC759)+LEN(AG759)</f>
        <v/>
      </c>
      <c r="AI759" s="10">
        <f>LEN(L759)</f>
        <v/>
      </c>
    </row>
    <row r="760">
      <c r="A760" s="46" t="n"/>
      <c r="B760" s="38" t="n"/>
      <c r="C760" s="41" t="n"/>
      <c r="D760" s="41" t="n"/>
      <c r="E760" s="41" t="n"/>
      <c r="F760" s="88" t="n"/>
      <c r="G760" s="89" t="n"/>
      <c r="H760" s="37" t="n"/>
      <c r="I760" s="42" t="n"/>
      <c r="J760" s="12">
        <f>IF(F760&lt;&gt;0,"LANÇAR","")</f>
        <v/>
      </c>
      <c r="K760" s="20" t="n"/>
      <c r="L760" s="13">
        <f>N760&amp;O760&amp;P760&amp;Q760&amp;R760&amp;S760&amp;T760&amp;U760&amp;V760&amp;W760&amp;X760&amp;Y760&amp;Z760&amp;AA760&amp;AB760&amp;AC760&amp;AD760&amp;AE760&amp;AF760&amp;AG760</f>
        <v/>
      </c>
      <c r="M760" s="20" t="n"/>
      <c r="N760" s="10">
        <f>TEXT($B$6,"00")</f>
        <v/>
      </c>
      <c r="O760" s="10">
        <f>REPT(" ",8)</f>
        <v/>
      </c>
      <c r="P760" s="10">
        <f>RIGHT($B$4,2)</f>
        <v/>
      </c>
      <c r="Q760" s="10">
        <f>RIGHT($B$5,3)</f>
        <v/>
      </c>
      <c r="R760" s="10">
        <f>IF(A760="D",LEFT(UPPER(B760)&amp;REPT(" ",20),20),REPT(" ",20))</f>
        <v/>
      </c>
      <c r="S760" s="10">
        <f>IF(A760="D",LEFT(UPPER(C760)&amp;REPT(" ",10),10)," ")</f>
        <v/>
      </c>
      <c r="T760" s="10">
        <f>IF(A760="D",LEFT(UPPER(D760)&amp;REPT(" ",2),2)," ")</f>
        <v/>
      </c>
      <c r="U760" s="10">
        <f>IF(A760="D",LEFT(UPPER(E760)&amp;REPT(" ",15),15)," ")</f>
        <v/>
      </c>
      <c r="V760" s="10">
        <f>REPT(" ",24)</f>
        <v/>
      </c>
      <c r="W760" s="10">
        <f>IF(A760="c",LEFT(UPPER(B760)&amp;REPT(" ",20),20),REPT(" ",20))</f>
        <v/>
      </c>
      <c r="X760" s="10">
        <f>IF(A760="C",LEFT(UPPER(C760)&amp;REPT(" ",10),10)," ")</f>
        <v/>
      </c>
      <c r="Y760" s="10">
        <f>IF(A760="C",LEFT(UPPER(D760)&amp;REPT(" ",2),2)," ")</f>
        <v/>
      </c>
      <c r="Z760" s="10">
        <f>IF(A760="C",LEFT(UPPER(E760)&amp;REPT(" ",15),15)," ")</f>
        <v/>
      </c>
      <c r="AA760" s="10">
        <f>REPT(" ",8)</f>
        <v/>
      </c>
      <c r="AB760" s="10">
        <f>REPT(" ",4)</f>
        <v/>
      </c>
      <c r="AC760" s="10">
        <f>LEFT(UPPER(H760)&amp;REPT(" ",250),250)</f>
        <v/>
      </c>
      <c r="AD760" s="10">
        <f>TEXT($G$2,"dd/mm/aaaa")</f>
        <v/>
      </c>
      <c r="AE760" s="10">
        <f>REPT(" ",10)</f>
        <v/>
      </c>
      <c r="AF760" s="10">
        <f>REPT(" ",20)</f>
        <v/>
      </c>
      <c r="AG760" s="54">
        <f>REPT(" ",18-LEN(FIXED(F760,2,TRUE)))&amp;FIXED(F760,2,TRUE)</f>
        <v/>
      </c>
      <c r="AH760" s="10">
        <f>LEN(AC760)+LEN(AG760)</f>
        <v/>
      </c>
      <c r="AI760" s="10">
        <f>LEN(L760)</f>
        <v/>
      </c>
    </row>
    <row r="761">
      <c r="A761" s="46" t="n"/>
      <c r="B761" s="38" t="n"/>
      <c r="C761" s="41" t="n"/>
      <c r="D761" s="41" t="n"/>
      <c r="E761" s="41" t="n"/>
      <c r="F761" s="88" t="n"/>
      <c r="G761" s="89" t="n"/>
      <c r="H761" s="37" t="n"/>
      <c r="I761" s="42" t="n"/>
      <c r="J761" s="12">
        <f>IF(F761&lt;&gt;0,"LANÇAR","")</f>
        <v/>
      </c>
      <c r="K761" s="20" t="n"/>
      <c r="L761" s="13">
        <f>N761&amp;O761&amp;P761&amp;Q761&amp;R761&amp;S761&amp;T761&amp;U761&amp;V761&amp;W761&amp;X761&amp;Y761&amp;Z761&amp;AA761&amp;AB761&amp;AC761&amp;AD761&amp;AE761&amp;AF761&amp;AG761</f>
        <v/>
      </c>
      <c r="M761" s="20" t="n"/>
      <c r="N761" s="10">
        <f>TEXT($B$6,"00")</f>
        <v/>
      </c>
      <c r="O761" s="10">
        <f>REPT(" ",8)</f>
        <v/>
      </c>
      <c r="P761" s="10">
        <f>RIGHT($B$4,2)</f>
        <v/>
      </c>
      <c r="Q761" s="10">
        <f>RIGHT($B$5,3)</f>
        <v/>
      </c>
      <c r="R761" s="10">
        <f>IF(A761="D",LEFT(UPPER(B761)&amp;REPT(" ",20),20),REPT(" ",20))</f>
        <v/>
      </c>
      <c r="S761" s="10">
        <f>IF(A761="D",LEFT(UPPER(C761)&amp;REPT(" ",10),10)," ")</f>
        <v/>
      </c>
      <c r="T761" s="10">
        <f>IF(A761="D",LEFT(UPPER(D761)&amp;REPT(" ",2),2)," ")</f>
        <v/>
      </c>
      <c r="U761" s="10">
        <f>IF(A761="D",LEFT(UPPER(E761)&amp;REPT(" ",15),15)," ")</f>
        <v/>
      </c>
      <c r="V761" s="10">
        <f>REPT(" ",24)</f>
        <v/>
      </c>
      <c r="W761" s="10">
        <f>IF(A761="c",LEFT(UPPER(B761)&amp;REPT(" ",20),20),REPT(" ",20))</f>
        <v/>
      </c>
      <c r="X761" s="10">
        <f>IF(A761="C",LEFT(UPPER(C761)&amp;REPT(" ",10),10)," ")</f>
        <v/>
      </c>
      <c r="Y761" s="10">
        <f>IF(A761="C",LEFT(UPPER(D761)&amp;REPT(" ",2),2)," ")</f>
        <v/>
      </c>
      <c r="Z761" s="10">
        <f>IF(A761="C",LEFT(UPPER(E761)&amp;REPT(" ",15),15)," ")</f>
        <v/>
      </c>
      <c r="AA761" s="10">
        <f>REPT(" ",8)</f>
        <v/>
      </c>
      <c r="AB761" s="10">
        <f>REPT(" ",4)</f>
        <v/>
      </c>
      <c r="AC761" s="10">
        <f>LEFT(UPPER(H761)&amp;REPT(" ",250),250)</f>
        <v/>
      </c>
      <c r="AD761" s="10">
        <f>TEXT($G$2,"dd/mm/aaaa")</f>
        <v/>
      </c>
      <c r="AE761" s="10">
        <f>REPT(" ",10)</f>
        <v/>
      </c>
      <c r="AF761" s="10">
        <f>REPT(" ",20)</f>
        <v/>
      </c>
      <c r="AG761" s="54">
        <f>REPT(" ",18-LEN(FIXED(F761,2,TRUE)))&amp;FIXED(F761,2,TRUE)</f>
        <v/>
      </c>
      <c r="AH761" s="10">
        <f>LEN(AC761)+LEN(AG761)</f>
        <v/>
      </c>
      <c r="AI761" s="10">
        <f>LEN(L761)</f>
        <v/>
      </c>
    </row>
    <row r="762">
      <c r="A762" s="46" t="n"/>
      <c r="B762" s="38" t="n"/>
      <c r="C762" s="41" t="n"/>
      <c r="D762" s="41" t="n"/>
      <c r="E762" s="41" t="n"/>
      <c r="F762" s="88" t="n"/>
      <c r="G762" s="89" t="n"/>
      <c r="H762" s="37" t="n"/>
      <c r="I762" s="42" t="n"/>
      <c r="J762" s="12">
        <f>IF(F762&lt;&gt;0,"LANÇAR","")</f>
        <v/>
      </c>
      <c r="K762" s="20" t="n"/>
      <c r="L762" s="13">
        <f>N762&amp;O762&amp;P762&amp;Q762&amp;R762&amp;S762&amp;T762&amp;U762&amp;V762&amp;W762&amp;X762&amp;Y762&amp;Z762&amp;AA762&amp;AB762&amp;AC762&amp;AD762&amp;AE762&amp;AF762&amp;AG762</f>
        <v/>
      </c>
      <c r="M762" s="20" t="n"/>
      <c r="N762" s="10">
        <f>TEXT($B$6,"00")</f>
        <v/>
      </c>
      <c r="O762" s="10">
        <f>REPT(" ",8)</f>
        <v/>
      </c>
      <c r="P762" s="10">
        <f>RIGHT($B$4,2)</f>
        <v/>
      </c>
      <c r="Q762" s="10">
        <f>RIGHT($B$5,3)</f>
        <v/>
      </c>
      <c r="R762" s="10">
        <f>IF(A762="D",LEFT(UPPER(B762)&amp;REPT(" ",20),20),REPT(" ",20))</f>
        <v/>
      </c>
      <c r="S762" s="10">
        <f>IF(A762="D",LEFT(UPPER(C762)&amp;REPT(" ",10),10)," ")</f>
        <v/>
      </c>
      <c r="T762" s="10">
        <f>IF(A762="D",LEFT(UPPER(D762)&amp;REPT(" ",2),2)," ")</f>
        <v/>
      </c>
      <c r="U762" s="10">
        <f>IF(A762="D",LEFT(UPPER(E762)&amp;REPT(" ",15),15)," ")</f>
        <v/>
      </c>
      <c r="V762" s="10">
        <f>REPT(" ",24)</f>
        <v/>
      </c>
      <c r="W762" s="10">
        <f>IF(A762="c",LEFT(UPPER(B762)&amp;REPT(" ",20),20),REPT(" ",20))</f>
        <v/>
      </c>
      <c r="X762" s="10">
        <f>IF(A762="C",LEFT(UPPER(C762)&amp;REPT(" ",10),10)," ")</f>
        <v/>
      </c>
      <c r="Y762" s="10">
        <f>IF(A762="C",LEFT(UPPER(D762)&amp;REPT(" ",2),2)," ")</f>
        <v/>
      </c>
      <c r="Z762" s="10">
        <f>IF(A762="C",LEFT(UPPER(E762)&amp;REPT(" ",15),15)," ")</f>
        <v/>
      </c>
      <c r="AA762" s="10">
        <f>REPT(" ",8)</f>
        <v/>
      </c>
      <c r="AB762" s="10">
        <f>REPT(" ",4)</f>
        <v/>
      </c>
      <c r="AC762" s="10">
        <f>LEFT(UPPER(H762)&amp;REPT(" ",250),250)</f>
        <v/>
      </c>
      <c r="AD762" s="10">
        <f>TEXT($G$2,"dd/mm/aaaa")</f>
        <v/>
      </c>
      <c r="AE762" s="10">
        <f>REPT(" ",10)</f>
        <v/>
      </c>
      <c r="AF762" s="10">
        <f>REPT(" ",20)</f>
        <v/>
      </c>
      <c r="AG762" s="54">
        <f>REPT(" ",18-LEN(FIXED(F762,2,TRUE)))&amp;FIXED(F762,2,TRUE)</f>
        <v/>
      </c>
      <c r="AH762" s="10">
        <f>LEN(AC762)+LEN(AG762)</f>
        <v/>
      </c>
      <c r="AI762" s="10">
        <f>LEN(L762)</f>
        <v/>
      </c>
    </row>
    <row r="763">
      <c r="A763" s="46" t="n"/>
      <c r="B763" s="38" t="n"/>
      <c r="C763" s="41" t="n"/>
      <c r="D763" s="41" t="n"/>
      <c r="E763" s="41" t="n"/>
      <c r="F763" s="88" t="n"/>
      <c r="G763" s="89" t="n"/>
      <c r="H763" s="37" t="n"/>
      <c r="I763" s="42" t="n"/>
      <c r="J763" s="12">
        <f>IF(F763&lt;&gt;0,"LANÇAR","")</f>
        <v/>
      </c>
      <c r="K763" s="20" t="n"/>
      <c r="L763" s="13">
        <f>N763&amp;O763&amp;P763&amp;Q763&amp;R763&amp;S763&amp;T763&amp;U763&amp;V763&amp;W763&amp;X763&amp;Y763&amp;Z763&amp;AA763&amp;AB763&amp;AC763&amp;AD763&amp;AE763&amp;AF763&amp;AG763</f>
        <v/>
      </c>
      <c r="M763" s="20" t="n"/>
      <c r="N763" s="10">
        <f>TEXT($B$6,"00")</f>
        <v/>
      </c>
      <c r="O763" s="10">
        <f>REPT(" ",8)</f>
        <v/>
      </c>
      <c r="P763" s="10">
        <f>RIGHT($B$4,2)</f>
        <v/>
      </c>
      <c r="Q763" s="10">
        <f>RIGHT($B$5,3)</f>
        <v/>
      </c>
      <c r="R763" s="10">
        <f>IF(A763="D",LEFT(UPPER(B763)&amp;REPT(" ",20),20),REPT(" ",20))</f>
        <v/>
      </c>
      <c r="S763" s="10">
        <f>IF(A763="D",LEFT(UPPER(C763)&amp;REPT(" ",10),10)," ")</f>
        <v/>
      </c>
      <c r="T763" s="10">
        <f>IF(A763="D",LEFT(UPPER(D763)&amp;REPT(" ",2),2)," ")</f>
        <v/>
      </c>
      <c r="U763" s="10">
        <f>IF(A763="D",LEFT(UPPER(E763)&amp;REPT(" ",15),15)," ")</f>
        <v/>
      </c>
      <c r="V763" s="10">
        <f>REPT(" ",24)</f>
        <v/>
      </c>
      <c r="W763" s="10">
        <f>IF(A763="c",LEFT(UPPER(B763)&amp;REPT(" ",20),20),REPT(" ",20))</f>
        <v/>
      </c>
      <c r="X763" s="10">
        <f>IF(A763="C",LEFT(UPPER(C763)&amp;REPT(" ",10),10)," ")</f>
        <v/>
      </c>
      <c r="Y763" s="10">
        <f>IF(A763="C",LEFT(UPPER(D763)&amp;REPT(" ",2),2)," ")</f>
        <v/>
      </c>
      <c r="Z763" s="10">
        <f>IF(A763="C",LEFT(UPPER(E763)&amp;REPT(" ",15),15)," ")</f>
        <v/>
      </c>
      <c r="AA763" s="10">
        <f>REPT(" ",8)</f>
        <v/>
      </c>
      <c r="AB763" s="10">
        <f>REPT(" ",4)</f>
        <v/>
      </c>
      <c r="AC763" s="10">
        <f>LEFT(UPPER(H763)&amp;REPT(" ",250),250)</f>
        <v/>
      </c>
      <c r="AD763" s="10">
        <f>TEXT($G$2,"dd/mm/aaaa")</f>
        <v/>
      </c>
      <c r="AE763" s="10">
        <f>REPT(" ",10)</f>
        <v/>
      </c>
      <c r="AF763" s="10">
        <f>REPT(" ",20)</f>
        <v/>
      </c>
      <c r="AG763" s="54">
        <f>REPT(" ",18-LEN(FIXED(F763,2,TRUE)))&amp;FIXED(F763,2,TRUE)</f>
        <v/>
      </c>
      <c r="AH763" s="10">
        <f>LEN(AC763)+LEN(AG763)</f>
        <v/>
      </c>
      <c r="AI763" s="10">
        <f>LEN(L763)</f>
        <v/>
      </c>
    </row>
    <row r="764">
      <c r="A764" s="46" t="n"/>
      <c r="B764" s="38" t="n"/>
      <c r="C764" s="41" t="n"/>
      <c r="D764" s="41" t="n"/>
      <c r="E764" s="41" t="n"/>
      <c r="F764" s="88" t="n"/>
      <c r="G764" s="89" t="n"/>
      <c r="H764" s="37" t="n"/>
      <c r="I764" s="42" t="n"/>
      <c r="J764" s="12">
        <f>IF(F764&lt;&gt;0,"LANÇAR","")</f>
        <v/>
      </c>
      <c r="K764" s="20" t="n"/>
      <c r="L764" s="13">
        <f>N764&amp;O764&amp;P764&amp;Q764&amp;R764&amp;S764&amp;T764&amp;U764&amp;V764&amp;W764&amp;X764&amp;Y764&amp;Z764&amp;AA764&amp;AB764&amp;AC764&amp;AD764&amp;AE764&amp;AF764&amp;AG764</f>
        <v/>
      </c>
      <c r="M764" s="20" t="n"/>
      <c r="N764" s="10">
        <f>TEXT($B$6,"00")</f>
        <v/>
      </c>
      <c r="O764" s="10">
        <f>REPT(" ",8)</f>
        <v/>
      </c>
      <c r="P764" s="10">
        <f>RIGHT($B$4,2)</f>
        <v/>
      </c>
      <c r="Q764" s="10">
        <f>RIGHT($B$5,3)</f>
        <v/>
      </c>
      <c r="R764" s="10">
        <f>IF(A764="D",LEFT(UPPER(B764)&amp;REPT(" ",20),20),REPT(" ",20))</f>
        <v/>
      </c>
      <c r="S764" s="10">
        <f>IF(A764="D",LEFT(UPPER(C764)&amp;REPT(" ",10),10)," ")</f>
        <v/>
      </c>
      <c r="T764" s="10">
        <f>IF(A764="D",LEFT(UPPER(D764)&amp;REPT(" ",2),2)," ")</f>
        <v/>
      </c>
      <c r="U764" s="10">
        <f>IF(A764="D",LEFT(UPPER(E764)&amp;REPT(" ",15),15)," ")</f>
        <v/>
      </c>
      <c r="V764" s="10">
        <f>REPT(" ",24)</f>
        <v/>
      </c>
      <c r="W764" s="10">
        <f>IF(A764="c",LEFT(UPPER(B764)&amp;REPT(" ",20),20),REPT(" ",20))</f>
        <v/>
      </c>
      <c r="X764" s="10">
        <f>IF(A764="C",LEFT(UPPER(C764)&amp;REPT(" ",10),10)," ")</f>
        <v/>
      </c>
      <c r="Y764" s="10">
        <f>IF(A764="C",LEFT(UPPER(D764)&amp;REPT(" ",2),2)," ")</f>
        <v/>
      </c>
      <c r="Z764" s="10">
        <f>IF(A764="C",LEFT(UPPER(E764)&amp;REPT(" ",15),15)," ")</f>
        <v/>
      </c>
      <c r="AA764" s="10">
        <f>REPT(" ",8)</f>
        <v/>
      </c>
      <c r="AB764" s="10">
        <f>REPT(" ",4)</f>
        <v/>
      </c>
      <c r="AC764" s="10">
        <f>LEFT(UPPER(H764)&amp;REPT(" ",250),250)</f>
        <v/>
      </c>
      <c r="AD764" s="10">
        <f>TEXT($G$2,"dd/mm/aaaa")</f>
        <v/>
      </c>
      <c r="AE764" s="10">
        <f>REPT(" ",10)</f>
        <v/>
      </c>
      <c r="AF764" s="10">
        <f>REPT(" ",20)</f>
        <v/>
      </c>
      <c r="AG764" s="54">
        <f>REPT(" ",18-LEN(FIXED(F764,2,TRUE)))&amp;FIXED(F764,2,TRUE)</f>
        <v/>
      </c>
      <c r="AH764" s="10">
        <f>LEN(AC764)+LEN(AG764)</f>
        <v/>
      </c>
      <c r="AI764" s="10">
        <f>LEN(L764)</f>
        <v/>
      </c>
    </row>
    <row r="765">
      <c r="A765" s="46" t="n"/>
      <c r="B765" s="38" t="n"/>
      <c r="C765" s="41" t="n"/>
      <c r="D765" s="41" t="n"/>
      <c r="E765" s="41" t="n"/>
      <c r="F765" s="88" t="n"/>
      <c r="G765" s="89" t="n"/>
      <c r="H765" s="37" t="n"/>
      <c r="I765" s="42" t="n"/>
      <c r="J765" s="12">
        <f>IF(F765&lt;&gt;0,"LANÇAR","")</f>
        <v/>
      </c>
      <c r="K765" s="20" t="n"/>
      <c r="L765" s="13">
        <f>N765&amp;O765&amp;P765&amp;Q765&amp;R765&amp;S765&amp;T765&amp;U765&amp;V765&amp;W765&amp;X765&amp;Y765&amp;Z765&amp;AA765&amp;AB765&amp;AC765&amp;AD765&amp;AE765&amp;AF765&amp;AG765</f>
        <v/>
      </c>
      <c r="M765" s="20" t="n"/>
      <c r="N765" s="10">
        <f>TEXT($B$6,"00")</f>
        <v/>
      </c>
      <c r="O765" s="10">
        <f>REPT(" ",8)</f>
        <v/>
      </c>
      <c r="P765" s="10">
        <f>RIGHT($B$4,2)</f>
        <v/>
      </c>
      <c r="Q765" s="10">
        <f>RIGHT($B$5,3)</f>
        <v/>
      </c>
      <c r="R765" s="10">
        <f>IF(A765="D",LEFT(UPPER(B765)&amp;REPT(" ",20),20),REPT(" ",20))</f>
        <v/>
      </c>
      <c r="S765" s="10">
        <f>IF(A765="D",LEFT(UPPER(C765)&amp;REPT(" ",10),10)," ")</f>
        <v/>
      </c>
      <c r="T765" s="10">
        <f>IF(A765="D",LEFT(UPPER(D765)&amp;REPT(" ",2),2)," ")</f>
        <v/>
      </c>
      <c r="U765" s="10">
        <f>IF(A765="D",LEFT(UPPER(E765)&amp;REPT(" ",15),15)," ")</f>
        <v/>
      </c>
      <c r="V765" s="10">
        <f>REPT(" ",24)</f>
        <v/>
      </c>
      <c r="W765" s="10">
        <f>IF(A765="c",LEFT(UPPER(B765)&amp;REPT(" ",20),20),REPT(" ",20))</f>
        <v/>
      </c>
      <c r="X765" s="10">
        <f>IF(A765="C",LEFT(UPPER(C765)&amp;REPT(" ",10),10)," ")</f>
        <v/>
      </c>
      <c r="Y765" s="10">
        <f>IF(A765="C",LEFT(UPPER(D765)&amp;REPT(" ",2),2)," ")</f>
        <v/>
      </c>
      <c r="Z765" s="10">
        <f>IF(A765="C",LEFT(UPPER(E765)&amp;REPT(" ",15),15)," ")</f>
        <v/>
      </c>
      <c r="AA765" s="10">
        <f>REPT(" ",8)</f>
        <v/>
      </c>
      <c r="AB765" s="10">
        <f>REPT(" ",4)</f>
        <v/>
      </c>
      <c r="AC765" s="10">
        <f>LEFT(UPPER(H765)&amp;REPT(" ",250),250)</f>
        <v/>
      </c>
      <c r="AD765" s="10">
        <f>TEXT($G$2,"dd/mm/aaaa")</f>
        <v/>
      </c>
      <c r="AE765" s="10">
        <f>REPT(" ",10)</f>
        <v/>
      </c>
      <c r="AF765" s="10">
        <f>REPT(" ",20)</f>
        <v/>
      </c>
      <c r="AG765" s="54">
        <f>REPT(" ",18-LEN(FIXED(F765,2,TRUE)))&amp;FIXED(F765,2,TRUE)</f>
        <v/>
      </c>
      <c r="AH765" s="10">
        <f>LEN(AC765)+LEN(AG765)</f>
        <v/>
      </c>
      <c r="AI765" s="10">
        <f>LEN(L765)</f>
        <v/>
      </c>
    </row>
    <row r="766">
      <c r="A766" s="46" t="n"/>
      <c r="B766" s="38" t="n"/>
      <c r="C766" s="41" t="n"/>
      <c r="D766" s="41" t="n"/>
      <c r="E766" s="41" t="n"/>
      <c r="F766" s="88" t="n"/>
      <c r="G766" s="89" t="n"/>
      <c r="H766" s="37" t="n"/>
      <c r="I766" s="42" t="n"/>
      <c r="J766" s="12">
        <f>IF(F766&lt;&gt;0,"LANÇAR","")</f>
        <v/>
      </c>
      <c r="K766" s="20" t="n"/>
      <c r="L766" s="13">
        <f>N766&amp;O766&amp;P766&amp;Q766&amp;R766&amp;S766&amp;T766&amp;U766&amp;V766&amp;W766&amp;X766&amp;Y766&amp;Z766&amp;AA766&amp;AB766&amp;AC766&amp;AD766&amp;AE766&amp;AF766&amp;AG766</f>
        <v/>
      </c>
      <c r="M766" s="20" t="n"/>
      <c r="N766" s="10">
        <f>TEXT($B$6,"00")</f>
        <v/>
      </c>
      <c r="O766" s="10">
        <f>REPT(" ",8)</f>
        <v/>
      </c>
      <c r="P766" s="10">
        <f>RIGHT($B$4,2)</f>
        <v/>
      </c>
      <c r="Q766" s="10">
        <f>RIGHT($B$5,3)</f>
        <v/>
      </c>
      <c r="R766" s="10">
        <f>IF(A766="D",LEFT(UPPER(B766)&amp;REPT(" ",20),20),REPT(" ",20))</f>
        <v/>
      </c>
      <c r="S766" s="10">
        <f>IF(A766="D",LEFT(UPPER(C766)&amp;REPT(" ",10),10)," ")</f>
        <v/>
      </c>
      <c r="T766" s="10">
        <f>IF(A766="D",LEFT(UPPER(D766)&amp;REPT(" ",2),2)," ")</f>
        <v/>
      </c>
      <c r="U766" s="10">
        <f>IF(A766="D",LEFT(UPPER(E766)&amp;REPT(" ",15),15)," ")</f>
        <v/>
      </c>
      <c r="V766" s="10">
        <f>REPT(" ",24)</f>
        <v/>
      </c>
      <c r="W766" s="10">
        <f>IF(A766="c",LEFT(UPPER(B766)&amp;REPT(" ",20),20),REPT(" ",20))</f>
        <v/>
      </c>
      <c r="X766" s="10">
        <f>IF(A766="C",LEFT(UPPER(C766)&amp;REPT(" ",10),10)," ")</f>
        <v/>
      </c>
      <c r="Y766" s="10">
        <f>IF(A766="C",LEFT(UPPER(D766)&amp;REPT(" ",2),2)," ")</f>
        <v/>
      </c>
      <c r="Z766" s="10">
        <f>IF(A766="C",LEFT(UPPER(E766)&amp;REPT(" ",15),15)," ")</f>
        <v/>
      </c>
      <c r="AA766" s="10">
        <f>REPT(" ",8)</f>
        <v/>
      </c>
      <c r="AB766" s="10">
        <f>REPT(" ",4)</f>
        <v/>
      </c>
      <c r="AC766" s="10">
        <f>LEFT(UPPER(H766)&amp;REPT(" ",250),250)</f>
        <v/>
      </c>
      <c r="AD766" s="10">
        <f>TEXT($G$2,"dd/mm/aaaa")</f>
        <v/>
      </c>
      <c r="AE766" s="10">
        <f>REPT(" ",10)</f>
        <v/>
      </c>
      <c r="AF766" s="10">
        <f>REPT(" ",20)</f>
        <v/>
      </c>
      <c r="AG766" s="54">
        <f>REPT(" ",18-LEN(FIXED(F766,2,TRUE)))&amp;FIXED(F766,2,TRUE)</f>
        <v/>
      </c>
      <c r="AH766" s="10">
        <f>LEN(AC766)+LEN(AG766)</f>
        <v/>
      </c>
      <c r="AI766" s="10">
        <f>LEN(L766)</f>
        <v/>
      </c>
    </row>
    <row r="767">
      <c r="A767" s="46" t="n"/>
      <c r="B767" s="38" t="n"/>
      <c r="C767" s="41" t="n"/>
      <c r="D767" s="41" t="n"/>
      <c r="E767" s="41" t="n"/>
      <c r="F767" s="88" t="n"/>
      <c r="G767" s="89" t="n"/>
      <c r="H767" s="37" t="n"/>
      <c r="I767" s="42" t="n"/>
      <c r="J767" s="12">
        <f>IF(F767&lt;&gt;0,"LANÇAR","")</f>
        <v/>
      </c>
      <c r="K767" s="20" t="n"/>
      <c r="L767" s="13">
        <f>N767&amp;O767&amp;P767&amp;Q767&amp;R767&amp;S767&amp;T767&amp;U767&amp;V767&amp;W767&amp;X767&amp;Y767&amp;Z767&amp;AA767&amp;AB767&amp;AC767&amp;AD767&amp;AE767&amp;AF767&amp;AG767</f>
        <v/>
      </c>
      <c r="M767" s="20" t="n"/>
      <c r="N767" s="10">
        <f>TEXT($B$6,"00")</f>
        <v/>
      </c>
      <c r="O767" s="10">
        <f>REPT(" ",8)</f>
        <v/>
      </c>
      <c r="P767" s="10">
        <f>RIGHT($B$4,2)</f>
        <v/>
      </c>
      <c r="Q767" s="10">
        <f>RIGHT($B$5,3)</f>
        <v/>
      </c>
      <c r="R767" s="10">
        <f>IF(A767="D",LEFT(UPPER(B767)&amp;REPT(" ",20),20),REPT(" ",20))</f>
        <v/>
      </c>
      <c r="S767" s="10">
        <f>IF(A767="D",LEFT(UPPER(C767)&amp;REPT(" ",10),10)," ")</f>
        <v/>
      </c>
      <c r="T767" s="10">
        <f>IF(A767="D",LEFT(UPPER(D767)&amp;REPT(" ",2),2)," ")</f>
        <v/>
      </c>
      <c r="U767" s="10">
        <f>IF(A767="D",LEFT(UPPER(E767)&amp;REPT(" ",15),15)," ")</f>
        <v/>
      </c>
      <c r="V767" s="10">
        <f>REPT(" ",24)</f>
        <v/>
      </c>
      <c r="W767" s="10">
        <f>IF(A767="c",LEFT(UPPER(B767)&amp;REPT(" ",20),20),REPT(" ",20))</f>
        <v/>
      </c>
      <c r="X767" s="10">
        <f>IF(A767="C",LEFT(UPPER(C767)&amp;REPT(" ",10),10)," ")</f>
        <v/>
      </c>
      <c r="Y767" s="10">
        <f>IF(A767="C",LEFT(UPPER(D767)&amp;REPT(" ",2),2)," ")</f>
        <v/>
      </c>
      <c r="Z767" s="10">
        <f>IF(A767="C",LEFT(UPPER(E767)&amp;REPT(" ",15),15)," ")</f>
        <v/>
      </c>
      <c r="AA767" s="10">
        <f>REPT(" ",8)</f>
        <v/>
      </c>
      <c r="AB767" s="10">
        <f>REPT(" ",4)</f>
        <v/>
      </c>
      <c r="AC767" s="10">
        <f>LEFT(UPPER(H767)&amp;REPT(" ",250),250)</f>
        <v/>
      </c>
      <c r="AD767" s="10">
        <f>TEXT($G$2,"dd/mm/aaaa")</f>
        <v/>
      </c>
      <c r="AE767" s="10">
        <f>REPT(" ",10)</f>
        <v/>
      </c>
      <c r="AF767" s="10">
        <f>REPT(" ",20)</f>
        <v/>
      </c>
      <c r="AG767" s="54">
        <f>REPT(" ",18-LEN(FIXED(F767,2,TRUE)))&amp;FIXED(F767,2,TRUE)</f>
        <v/>
      </c>
      <c r="AH767" s="10">
        <f>LEN(AC767)+LEN(AG767)</f>
        <v/>
      </c>
      <c r="AI767" s="10">
        <f>LEN(L767)</f>
        <v/>
      </c>
    </row>
    <row r="768">
      <c r="A768" s="46" t="n"/>
      <c r="B768" s="38" t="n"/>
      <c r="C768" s="41" t="n"/>
      <c r="D768" s="41" t="n"/>
      <c r="E768" s="41" t="n"/>
      <c r="F768" s="88" t="n"/>
      <c r="G768" s="89" t="n"/>
      <c r="H768" s="37" t="n"/>
      <c r="I768" s="42" t="n"/>
      <c r="J768" s="12">
        <f>IF(F768&lt;&gt;0,"LANÇAR","")</f>
        <v/>
      </c>
      <c r="K768" s="20" t="n"/>
      <c r="L768" s="13">
        <f>N768&amp;O768&amp;P768&amp;Q768&amp;R768&amp;S768&amp;T768&amp;U768&amp;V768&amp;W768&amp;X768&amp;Y768&amp;Z768&amp;AA768&amp;AB768&amp;AC768&amp;AD768&amp;AE768&amp;AF768&amp;AG768</f>
        <v/>
      </c>
      <c r="M768" s="20" t="n"/>
      <c r="N768" s="10">
        <f>TEXT($B$6,"00")</f>
        <v/>
      </c>
      <c r="O768" s="10">
        <f>REPT(" ",8)</f>
        <v/>
      </c>
      <c r="P768" s="10">
        <f>RIGHT($B$4,2)</f>
        <v/>
      </c>
      <c r="Q768" s="10">
        <f>RIGHT($B$5,3)</f>
        <v/>
      </c>
      <c r="R768" s="10">
        <f>IF(A768="D",LEFT(UPPER(B768)&amp;REPT(" ",20),20),REPT(" ",20))</f>
        <v/>
      </c>
      <c r="S768" s="10">
        <f>IF(A768="D",LEFT(UPPER(C768)&amp;REPT(" ",10),10)," ")</f>
        <v/>
      </c>
      <c r="T768" s="10">
        <f>IF(A768="D",LEFT(UPPER(D768)&amp;REPT(" ",2),2)," ")</f>
        <v/>
      </c>
      <c r="U768" s="10">
        <f>IF(A768="D",LEFT(UPPER(E768)&amp;REPT(" ",15),15)," ")</f>
        <v/>
      </c>
      <c r="V768" s="10">
        <f>REPT(" ",24)</f>
        <v/>
      </c>
      <c r="W768" s="10">
        <f>IF(A768="c",LEFT(UPPER(B768)&amp;REPT(" ",20),20),REPT(" ",20))</f>
        <v/>
      </c>
      <c r="X768" s="10">
        <f>IF(A768="C",LEFT(UPPER(C768)&amp;REPT(" ",10),10)," ")</f>
        <v/>
      </c>
      <c r="Y768" s="10">
        <f>IF(A768="C",LEFT(UPPER(D768)&amp;REPT(" ",2),2)," ")</f>
        <v/>
      </c>
      <c r="Z768" s="10">
        <f>IF(A768="C",LEFT(UPPER(E768)&amp;REPT(" ",15),15)," ")</f>
        <v/>
      </c>
      <c r="AA768" s="10">
        <f>REPT(" ",8)</f>
        <v/>
      </c>
      <c r="AB768" s="10">
        <f>REPT(" ",4)</f>
        <v/>
      </c>
      <c r="AC768" s="10">
        <f>LEFT(UPPER(H768)&amp;REPT(" ",250),250)</f>
        <v/>
      </c>
      <c r="AD768" s="10">
        <f>TEXT($G$2,"dd/mm/aaaa")</f>
        <v/>
      </c>
      <c r="AE768" s="10">
        <f>REPT(" ",10)</f>
        <v/>
      </c>
      <c r="AF768" s="10">
        <f>REPT(" ",20)</f>
        <v/>
      </c>
      <c r="AG768" s="54">
        <f>REPT(" ",18-LEN(FIXED(F768,2,TRUE)))&amp;FIXED(F768,2,TRUE)</f>
        <v/>
      </c>
      <c r="AH768" s="10">
        <f>LEN(AC768)+LEN(AG768)</f>
        <v/>
      </c>
      <c r="AI768" s="10">
        <f>LEN(L768)</f>
        <v/>
      </c>
    </row>
    <row r="769">
      <c r="A769" s="46" t="n"/>
      <c r="B769" s="38" t="n"/>
      <c r="C769" s="41" t="n"/>
      <c r="D769" s="41" t="n"/>
      <c r="E769" s="41" t="n"/>
      <c r="F769" s="88" t="n"/>
      <c r="G769" s="89" t="n"/>
      <c r="H769" s="37" t="n"/>
      <c r="I769" s="42" t="n"/>
      <c r="J769" s="12">
        <f>IF(F769&lt;&gt;0,"LANÇAR","")</f>
        <v/>
      </c>
      <c r="K769" s="20" t="n"/>
      <c r="L769" s="13">
        <f>N769&amp;O769&amp;P769&amp;Q769&amp;R769&amp;S769&amp;T769&amp;U769&amp;V769&amp;W769&amp;X769&amp;Y769&amp;Z769&amp;AA769&amp;AB769&amp;AC769&amp;AD769&amp;AE769&amp;AF769&amp;AG769</f>
        <v/>
      </c>
      <c r="M769" s="20" t="n"/>
      <c r="N769" s="10">
        <f>TEXT($B$6,"00")</f>
        <v/>
      </c>
      <c r="O769" s="10">
        <f>REPT(" ",8)</f>
        <v/>
      </c>
      <c r="P769" s="10">
        <f>RIGHT($B$4,2)</f>
        <v/>
      </c>
      <c r="Q769" s="10">
        <f>RIGHT($B$5,3)</f>
        <v/>
      </c>
      <c r="R769" s="10">
        <f>IF(A769="D",LEFT(UPPER(B769)&amp;REPT(" ",20),20),REPT(" ",20))</f>
        <v/>
      </c>
      <c r="S769" s="10">
        <f>IF(A769="D",LEFT(UPPER(C769)&amp;REPT(" ",10),10)," ")</f>
        <v/>
      </c>
      <c r="T769" s="10">
        <f>IF(A769="D",LEFT(UPPER(D769)&amp;REPT(" ",2),2)," ")</f>
        <v/>
      </c>
      <c r="U769" s="10">
        <f>IF(A769="D",LEFT(UPPER(E769)&amp;REPT(" ",15),15)," ")</f>
        <v/>
      </c>
      <c r="V769" s="10">
        <f>REPT(" ",24)</f>
        <v/>
      </c>
      <c r="W769" s="10">
        <f>IF(A769="c",LEFT(UPPER(B769)&amp;REPT(" ",20),20),REPT(" ",20))</f>
        <v/>
      </c>
      <c r="X769" s="10">
        <f>IF(A769="C",LEFT(UPPER(C769)&amp;REPT(" ",10),10)," ")</f>
        <v/>
      </c>
      <c r="Y769" s="10">
        <f>IF(A769="C",LEFT(UPPER(D769)&amp;REPT(" ",2),2)," ")</f>
        <v/>
      </c>
      <c r="Z769" s="10">
        <f>IF(A769="C",LEFT(UPPER(E769)&amp;REPT(" ",15),15)," ")</f>
        <v/>
      </c>
      <c r="AA769" s="10">
        <f>REPT(" ",8)</f>
        <v/>
      </c>
      <c r="AB769" s="10">
        <f>REPT(" ",4)</f>
        <v/>
      </c>
      <c r="AC769" s="10">
        <f>LEFT(UPPER(H769)&amp;REPT(" ",250),250)</f>
        <v/>
      </c>
      <c r="AD769" s="10">
        <f>TEXT($G$2,"dd/mm/aaaa")</f>
        <v/>
      </c>
      <c r="AE769" s="10">
        <f>REPT(" ",10)</f>
        <v/>
      </c>
      <c r="AF769" s="10">
        <f>REPT(" ",20)</f>
        <v/>
      </c>
      <c r="AG769" s="54">
        <f>REPT(" ",18-LEN(FIXED(F769,2,TRUE)))&amp;FIXED(F769,2,TRUE)</f>
        <v/>
      </c>
      <c r="AH769" s="10">
        <f>LEN(AC769)+LEN(AG769)</f>
        <v/>
      </c>
      <c r="AI769" s="10">
        <f>LEN(L769)</f>
        <v/>
      </c>
    </row>
    <row r="770">
      <c r="A770" s="46" t="n"/>
      <c r="B770" s="38" t="n"/>
      <c r="C770" s="41" t="n"/>
      <c r="D770" s="41" t="n"/>
      <c r="E770" s="41" t="n"/>
      <c r="F770" s="88" t="n"/>
      <c r="G770" s="89" t="n"/>
      <c r="H770" s="37" t="n"/>
      <c r="I770" s="42" t="n"/>
      <c r="J770" s="12">
        <f>IF(F770&lt;&gt;0,"LANÇAR","")</f>
        <v/>
      </c>
      <c r="K770" s="20" t="n"/>
      <c r="L770" s="13">
        <f>N770&amp;O770&amp;P770&amp;Q770&amp;R770&amp;S770&amp;T770&amp;U770&amp;V770&amp;W770&amp;X770&amp;Y770&amp;Z770&amp;AA770&amp;AB770&amp;AC770&amp;AD770&amp;AE770&amp;AF770&amp;AG770</f>
        <v/>
      </c>
      <c r="M770" s="20" t="n"/>
      <c r="N770" s="10">
        <f>TEXT($B$6,"00")</f>
        <v/>
      </c>
      <c r="O770" s="10">
        <f>REPT(" ",8)</f>
        <v/>
      </c>
      <c r="P770" s="10">
        <f>RIGHT($B$4,2)</f>
        <v/>
      </c>
      <c r="Q770" s="10">
        <f>RIGHT($B$5,3)</f>
        <v/>
      </c>
      <c r="R770" s="10">
        <f>IF(A770="D",LEFT(UPPER(B770)&amp;REPT(" ",20),20),REPT(" ",20))</f>
        <v/>
      </c>
      <c r="S770" s="10">
        <f>IF(A770="D",LEFT(UPPER(C770)&amp;REPT(" ",10),10)," ")</f>
        <v/>
      </c>
      <c r="T770" s="10">
        <f>IF(A770="D",LEFT(UPPER(D770)&amp;REPT(" ",2),2)," ")</f>
        <v/>
      </c>
      <c r="U770" s="10">
        <f>IF(A770="D",LEFT(UPPER(E770)&amp;REPT(" ",15),15)," ")</f>
        <v/>
      </c>
      <c r="V770" s="10">
        <f>REPT(" ",24)</f>
        <v/>
      </c>
      <c r="W770" s="10">
        <f>IF(A770="c",LEFT(UPPER(B770)&amp;REPT(" ",20),20),REPT(" ",20))</f>
        <v/>
      </c>
      <c r="X770" s="10">
        <f>IF(A770="C",LEFT(UPPER(C770)&amp;REPT(" ",10),10)," ")</f>
        <v/>
      </c>
      <c r="Y770" s="10">
        <f>IF(A770="C",LEFT(UPPER(D770)&amp;REPT(" ",2),2)," ")</f>
        <v/>
      </c>
      <c r="Z770" s="10">
        <f>IF(A770="C",LEFT(UPPER(E770)&amp;REPT(" ",15),15)," ")</f>
        <v/>
      </c>
      <c r="AA770" s="10">
        <f>REPT(" ",8)</f>
        <v/>
      </c>
      <c r="AB770" s="10">
        <f>REPT(" ",4)</f>
        <v/>
      </c>
      <c r="AC770" s="10">
        <f>LEFT(UPPER(H770)&amp;REPT(" ",250),250)</f>
        <v/>
      </c>
      <c r="AD770" s="10">
        <f>TEXT($G$2,"dd/mm/aaaa")</f>
        <v/>
      </c>
      <c r="AE770" s="10">
        <f>REPT(" ",10)</f>
        <v/>
      </c>
      <c r="AF770" s="10">
        <f>REPT(" ",20)</f>
        <v/>
      </c>
      <c r="AG770" s="54">
        <f>REPT(" ",18-LEN(FIXED(F770,2,TRUE)))&amp;FIXED(F770,2,TRUE)</f>
        <v/>
      </c>
      <c r="AH770" s="10">
        <f>LEN(AC770)+LEN(AG770)</f>
        <v/>
      </c>
      <c r="AI770" s="10">
        <f>LEN(L770)</f>
        <v/>
      </c>
    </row>
    <row r="771">
      <c r="A771" s="46" t="n"/>
      <c r="B771" s="38" t="n"/>
      <c r="C771" s="41" t="n"/>
      <c r="D771" s="41" t="n"/>
      <c r="E771" s="41" t="n"/>
      <c r="F771" s="88" t="n"/>
      <c r="G771" s="89" t="n"/>
      <c r="H771" s="37" t="n"/>
      <c r="I771" s="42" t="n"/>
      <c r="J771" s="12">
        <f>IF(F771&lt;&gt;0,"LANÇAR","")</f>
        <v/>
      </c>
      <c r="K771" s="20" t="n"/>
      <c r="L771" s="13">
        <f>N771&amp;O771&amp;P771&amp;Q771&amp;R771&amp;S771&amp;T771&amp;U771&amp;V771&amp;W771&amp;X771&amp;Y771&amp;Z771&amp;AA771&amp;AB771&amp;AC771&amp;AD771&amp;AE771&amp;AF771&amp;AG771</f>
        <v/>
      </c>
      <c r="M771" s="20" t="n"/>
      <c r="N771" s="10">
        <f>TEXT($B$6,"00")</f>
        <v/>
      </c>
      <c r="O771" s="10">
        <f>REPT(" ",8)</f>
        <v/>
      </c>
      <c r="P771" s="10">
        <f>RIGHT($B$4,2)</f>
        <v/>
      </c>
      <c r="Q771" s="10">
        <f>RIGHT($B$5,3)</f>
        <v/>
      </c>
      <c r="R771" s="10">
        <f>IF(A771="D",LEFT(UPPER(B771)&amp;REPT(" ",20),20),REPT(" ",20))</f>
        <v/>
      </c>
      <c r="S771" s="10">
        <f>IF(A771="D",LEFT(UPPER(C771)&amp;REPT(" ",10),10)," ")</f>
        <v/>
      </c>
      <c r="T771" s="10">
        <f>IF(A771="D",LEFT(UPPER(D771)&amp;REPT(" ",2),2)," ")</f>
        <v/>
      </c>
      <c r="U771" s="10">
        <f>IF(A771="D",LEFT(UPPER(E771)&amp;REPT(" ",15),15)," ")</f>
        <v/>
      </c>
      <c r="V771" s="10">
        <f>REPT(" ",24)</f>
        <v/>
      </c>
      <c r="W771" s="10">
        <f>IF(A771="c",LEFT(UPPER(B771)&amp;REPT(" ",20),20),REPT(" ",20))</f>
        <v/>
      </c>
      <c r="X771" s="10">
        <f>IF(A771="C",LEFT(UPPER(C771)&amp;REPT(" ",10),10)," ")</f>
        <v/>
      </c>
      <c r="Y771" s="10">
        <f>IF(A771="C",LEFT(UPPER(D771)&amp;REPT(" ",2),2)," ")</f>
        <v/>
      </c>
      <c r="Z771" s="10">
        <f>IF(A771="C",LEFT(UPPER(E771)&amp;REPT(" ",15),15)," ")</f>
        <v/>
      </c>
      <c r="AA771" s="10">
        <f>REPT(" ",8)</f>
        <v/>
      </c>
      <c r="AB771" s="10">
        <f>REPT(" ",4)</f>
        <v/>
      </c>
      <c r="AC771" s="10">
        <f>LEFT(UPPER(H771)&amp;REPT(" ",250),250)</f>
        <v/>
      </c>
      <c r="AD771" s="10">
        <f>TEXT($G$2,"dd/mm/aaaa")</f>
        <v/>
      </c>
      <c r="AE771" s="10">
        <f>REPT(" ",10)</f>
        <v/>
      </c>
      <c r="AF771" s="10">
        <f>REPT(" ",20)</f>
        <v/>
      </c>
      <c r="AG771" s="54">
        <f>REPT(" ",18-LEN(FIXED(F771,2,TRUE)))&amp;FIXED(F771,2,TRUE)</f>
        <v/>
      </c>
      <c r="AH771" s="10">
        <f>LEN(AC771)+LEN(AG771)</f>
        <v/>
      </c>
      <c r="AI771" s="10">
        <f>LEN(L771)</f>
        <v/>
      </c>
    </row>
    <row r="772">
      <c r="A772" s="46" t="n"/>
      <c r="B772" s="38" t="n"/>
      <c r="C772" s="41" t="n"/>
      <c r="D772" s="41" t="n"/>
      <c r="E772" s="41" t="n"/>
      <c r="F772" s="88" t="n"/>
      <c r="G772" s="89" t="n"/>
      <c r="H772" s="37" t="n"/>
      <c r="I772" s="42" t="n"/>
      <c r="J772" s="12">
        <f>IF(F772&lt;&gt;0,"LANÇAR","")</f>
        <v/>
      </c>
      <c r="K772" s="20" t="n"/>
      <c r="L772" s="13">
        <f>N772&amp;O772&amp;P772&amp;Q772&amp;R772&amp;S772&amp;T772&amp;U772&amp;V772&amp;W772&amp;X772&amp;Y772&amp;Z772&amp;AA772&amp;AB772&amp;AC772&amp;AD772&amp;AE772&amp;AF772&amp;AG772</f>
        <v/>
      </c>
      <c r="M772" s="20" t="n"/>
      <c r="N772" s="10">
        <f>TEXT($B$6,"00")</f>
        <v/>
      </c>
      <c r="O772" s="10">
        <f>REPT(" ",8)</f>
        <v/>
      </c>
      <c r="P772" s="10">
        <f>RIGHT($B$4,2)</f>
        <v/>
      </c>
      <c r="Q772" s="10">
        <f>RIGHT($B$5,3)</f>
        <v/>
      </c>
      <c r="R772" s="10">
        <f>IF(A772="D",LEFT(UPPER(B772)&amp;REPT(" ",20),20),REPT(" ",20))</f>
        <v/>
      </c>
      <c r="S772" s="10">
        <f>IF(A772="D",LEFT(UPPER(C772)&amp;REPT(" ",10),10)," ")</f>
        <v/>
      </c>
      <c r="T772" s="10">
        <f>IF(A772="D",LEFT(UPPER(D772)&amp;REPT(" ",2),2)," ")</f>
        <v/>
      </c>
      <c r="U772" s="10">
        <f>IF(A772="D",LEFT(UPPER(E772)&amp;REPT(" ",15),15)," ")</f>
        <v/>
      </c>
      <c r="V772" s="10">
        <f>REPT(" ",24)</f>
        <v/>
      </c>
      <c r="W772" s="10">
        <f>IF(A772="c",LEFT(UPPER(B772)&amp;REPT(" ",20),20),REPT(" ",20))</f>
        <v/>
      </c>
      <c r="X772" s="10">
        <f>IF(A772="C",LEFT(UPPER(C772)&amp;REPT(" ",10),10)," ")</f>
        <v/>
      </c>
      <c r="Y772" s="10">
        <f>IF(A772="C",LEFT(UPPER(D772)&amp;REPT(" ",2),2)," ")</f>
        <v/>
      </c>
      <c r="Z772" s="10">
        <f>IF(A772="C",LEFT(UPPER(E772)&amp;REPT(" ",15),15)," ")</f>
        <v/>
      </c>
      <c r="AA772" s="10">
        <f>REPT(" ",8)</f>
        <v/>
      </c>
      <c r="AB772" s="10">
        <f>REPT(" ",4)</f>
        <v/>
      </c>
      <c r="AC772" s="10">
        <f>LEFT(UPPER(H772)&amp;REPT(" ",250),250)</f>
        <v/>
      </c>
      <c r="AD772" s="10">
        <f>TEXT($G$2,"dd/mm/aaaa")</f>
        <v/>
      </c>
      <c r="AE772" s="10">
        <f>REPT(" ",10)</f>
        <v/>
      </c>
      <c r="AF772" s="10">
        <f>REPT(" ",20)</f>
        <v/>
      </c>
      <c r="AG772" s="54">
        <f>REPT(" ",18-LEN(FIXED(F772,2,TRUE)))&amp;FIXED(F772,2,TRUE)</f>
        <v/>
      </c>
      <c r="AH772" s="10">
        <f>LEN(AC772)+LEN(AG772)</f>
        <v/>
      </c>
      <c r="AI772" s="10">
        <f>LEN(L772)</f>
        <v/>
      </c>
    </row>
    <row r="773">
      <c r="A773" s="46" t="n"/>
      <c r="B773" s="38" t="n"/>
      <c r="C773" s="41" t="n"/>
      <c r="D773" s="41" t="n"/>
      <c r="E773" s="41" t="n"/>
      <c r="F773" s="88" t="n"/>
      <c r="G773" s="89" t="n"/>
      <c r="H773" s="37" t="n"/>
      <c r="I773" s="42" t="n"/>
      <c r="J773" s="12">
        <f>IF(F773&lt;&gt;0,"LANÇAR","")</f>
        <v/>
      </c>
      <c r="K773" s="20" t="n"/>
      <c r="L773" s="13">
        <f>N773&amp;O773&amp;P773&amp;Q773&amp;R773&amp;S773&amp;T773&amp;U773&amp;V773&amp;W773&amp;X773&amp;Y773&amp;Z773&amp;AA773&amp;AB773&amp;AC773&amp;AD773&amp;AE773&amp;AF773&amp;AG773</f>
        <v/>
      </c>
      <c r="M773" s="20" t="n"/>
      <c r="N773" s="10">
        <f>TEXT($B$6,"00")</f>
        <v/>
      </c>
      <c r="O773" s="10">
        <f>REPT(" ",8)</f>
        <v/>
      </c>
      <c r="P773" s="10">
        <f>RIGHT($B$4,2)</f>
        <v/>
      </c>
      <c r="Q773" s="10">
        <f>RIGHT($B$5,3)</f>
        <v/>
      </c>
      <c r="R773" s="10">
        <f>IF(A773="D",LEFT(UPPER(B773)&amp;REPT(" ",20),20),REPT(" ",20))</f>
        <v/>
      </c>
      <c r="S773" s="10">
        <f>IF(A773="D",LEFT(UPPER(C773)&amp;REPT(" ",10),10)," ")</f>
        <v/>
      </c>
      <c r="T773" s="10">
        <f>IF(A773="D",LEFT(UPPER(D773)&amp;REPT(" ",2),2)," ")</f>
        <v/>
      </c>
      <c r="U773" s="10">
        <f>IF(A773="D",LEFT(UPPER(E773)&amp;REPT(" ",15),15)," ")</f>
        <v/>
      </c>
      <c r="V773" s="10">
        <f>REPT(" ",24)</f>
        <v/>
      </c>
      <c r="W773" s="10">
        <f>IF(A773="c",LEFT(UPPER(B773)&amp;REPT(" ",20),20),REPT(" ",20))</f>
        <v/>
      </c>
      <c r="X773" s="10">
        <f>IF(A773="C",LEFT(UPPER(C773)&amp;REPT(" ",10),10)," ")</f>
        <v/>
      </c>
      <c r="Y773" s="10">
        <f>IF(A773="C",LEFT(UPPER(D773)&amp;REPT(" ",2),2)," ")</f>
        <v/>
      </c>
      <c r="Z773" s="10">
        <f>IF(A773="C",LEFT(UPPER(E773)&amp;REPT(" ",15),15)," ")</f>
        <v/>
      </c>
      <c r="AA773" s="10">
        <f>REPT(" ",8)</f>
        <v/>
      </c>
      <c r="AB773" s="10">
        <f>REPT(" ",4)</f>
        <v/>
      </c>
      <c r="AC773" s="10">
        <f>LEFT(UPPER(H773)&amp;REPT(" ",250),250)</f>
        <v/>
      </c>
      <c r="AD773" s="10">
        <f>TEXT($G$2,"dd/mm/aaaa")</f>
        <v/>
      </c>
      <c r="AE773" s="10">
        <f>REPT(" ",10)</f>
        <v/>
      </c>
      <c r="AF773" s="10">
        <f>REPT(" ",20)</f>
        <v/>
      </c>
      <c r="AG773" s="54">
        <f>REPT(" ",18-LEN(FIXED(F773,2,TRUE)))&amp;FIXED(F773,2,TRUE)</f>
        <v/>
      </c>
      <c r="AH773" s="10">
        <f>LEN(AC773)+LEN(AG773)</f>
        <v/>
      </c>
      <c r="AI773" s="10">
        <f>LEN(L773)</f>
        <v/>
      </c>
    </row>
    <row r="774">
      <c r="A774" s="46" t="n"/>
      <c r="B774" s="38" t="n"/>
      <c r="C774" s="41" t="n"/>
      <c r="D774" s="41" t="n"/>
      <c r="E774" s="41" t="n"/>
      <c r="F774" s="88" t="n"/>
      <c r="G774" s="89" t="n"/>
      <c r="H774" s="37" t="n"/>
      <c r="I774" s="42" t="n"/>
      <c r="J774" s="12">
        <f>IF(F774&lt;&gt;0,"LANÇAR","")</f>
        <v/>
      </c>
      <c r="K774" s="20" t="n"/>
      <c r="L774" s="13">
        <f>N774&amp;O774&amp;P774&amp;Q774&amp;R774&amp;S774&amp;T774&amp;U774&amp;V774&amp;W774&amp;X774&amp;Y774&amp;Z774&amp;AA774&amp;AB774&amp;AC774&amp;AD774&amp;AE774&amp;AF774&amp;AG774</f>
        <v/>
      </c>
      <c r="M774" s="20" t="n"/>
      <c r="N774" s="10">
        <f>TEXT($B$6,"00")</f>
        <v/>
      </c>
      <c r="O774" s="10">
        <f>REPT(" ",8)</f>
        <v/>
      </c>
      <c r="P774" s="10">
        <f>RIGHT($B$4,2)</f>
        <v/>
      </c>
      <c r="Q774" s="10">
        <f>RIGHT($B$5,3)</f>
        <v/>
      </c>
      <c r="R774" s="10">
        <f>IF(A774="D",LEFT(UPPER(B774)&amp;REPT(" ",20),20),REPT(" ",20))</f>
        <v/>
      </c>
      <c r="S774" s="10">
        <f>IF(A774="D",LEFT(UPPER(C774)&amp;REPT(" ",10),10)," ")</f>
        <v/>
      </c>
      <c r="T774" s="10">
        <f>IF(A774="D",LEFT(UPPER(D774)&amp;REPT(" ",2),2)," ")</f>
        <v/>
      </c>
      <c r="U774" s="10">
        <f>IF(A774="D",LEFT(UPPER(E774)&amp;REPT(" ",15),15)," ")</f>
        <v/>
      </c>
      <c r="V774" s="10">
        <f>REPT(" ",24)</f>
        <v/>
      </c>
      <c r="W774" s="10">
        <f>IF(A774="c",LEFT(UPPER(B774)&amp;REPT(" ",20),20),REPT(" ",20))</f>
        <v/>
      </c>
      <c r="X774" s="10">
        <f>IF(A774="C",LEFT(UPPER(C774)&amp;REPT(" ",10),10)," ")</f>
        <v/>
      </c>
      <c r="Y774" s="10">
        <f>IF(A774="C",LEFT(UPPER(D774)&amp;REPT(" ",2),2)," ")</f>
        <v/>
      </c>
      <c r="Z774" s="10">
        <f>IF(A774="C",LEFT(UPPER(E774)&amp;REPT(" ",15),15)," ")</f>
        <v/>
      </c>
      <c r="AA774" s="10">
        <f>REPT(" ",8)</f>
        <v/>
      </c>
      <c r="AB774" s="10">
        <f>REPT(" ",4)</f>
        <v/>
      </c>
      <c r="AC774" s="10">
        <f>LEFT(UPPER(H774)&amp;REPT(" ",250),250)</f>
        <v/>
      </c>
      <c r="AD774" s="10">
        <f>TEXT($G$2,"dd/mm/aaaa")</f>
        <v/>
      </c>
      <c r="AE774" s="10">
        <f>REPT(" ",10)</f>
        <v/>
      </c>
      <c r="AF774" s="10">
        <f>REPT(" ",20)</f>
        <v/>
      </c>
      <c r="AG774" s="54">
        <f>REPT(" ",18-LEN(FIXED(F774,2,TRUE)))&amp;FIXED(F774,2,TRUE)</f>
        <v/>
      </c>
      <c r="AH774" s="10">
        <f>LEN(AC774)+LEN(AG774)</f>
        <v/>
      </c>
      <c r="AI774" s="10">
        <f>LEN(L774)</f>
        <v/>
      </c>
    </row>
    <row r="775">
      <c r="A775" s="46" t="n"/>
      <c r="B775" s="38" t="n"/>
      <c r="C775" s="41" t="n"/>
      <c r="D775" s="41" t="n"/>
      <c r="E775" s="41" t="n"/>
      <c r="F775" s="88" t="n"/>
      <c r="G775" s="89" t="n"/>
      <c r="H775" s="37" t="n"/>
      <c r="I775" s="42" t="n"/>
      <c r="J775" s="12">
        <f>IF(F775&lt;&gt;0,"LANÇAR","")</f>
        <v/>
      </c>
      <c r="K775" s="20" t="n"/>
      <c r="L775" s="13">
        <f>N775&amp;O775&amp;P775&amp;Q775&amp;R775&amp;S775&amp;T775&amp;U775&amp;V775&amp;W775&amp;X775&amp;Y775&amp;Z775&amp;AA775&amp;AB775&amp;AC775&amp;AD775&amp;AE775&amp;AF775&amp;AG775</f>
        <v/>
      </c>
      <c r="M775" s="20" t="n"/>
      <c r="N775" s="10">
        <f>TEXT($B$6,"00")</f>
        <v/>
      </c>
      <c r="O775" s="10">
        <f>REPT(" ",8)</f>
        <v/>
      </c>
      <c r="P775" s="10">
        <f>RIGHT($B$4,2)</f>
        <v/>
      </c>
      <c r="Q775" s="10">
        <f>RIGHT($B$5,3)</f>
        <v/>
      </c>
      <c r="R775" s="10">
        <f>IF(A775="D",LEFT(UPPER(B775)&amp;REPT(" ",20),20),REPT(" ",20))</f>
        <v/>
      </c>
      <c r="S775" s="10">
        <f>IF(A775="D",LEFT(UPPER(C775)&amp;REPT(" ",10),10)," ")</f>
        <v/>
      </c>
      <c r="T775" s="10">
        <f>IF(A775="D",LEFT(UPPER(D775)&amp;REPT(" ",2),2)," ")</f>
        <v/>
      </c>
      <c r="U775" s="10">
        <f>IF(A775="D",LEFT(UPPER(E775)&amp;REPT(" ",15),15)," ")</f>
        <v/>
      </c>
      <c r="V775" s="10">
        <f>REPT(" ",24)</f>
        <v/>
      </c>
      <c r="W775" s="10">
        <f>IF(A775="c",LEFT(UPPER(B775)&amp;REPT(" ",20),20),REPT(" ",20))</f>
        <v/>
      </c>
      <c r="X775" s="10">
        <f>IF(A775="C",LEFT(UPPER(C775)&amp;REPT(" ",10),10)," ")</f>
        <v/>
      </c>
      <c r="Y775" s="10">
        <f>IF(A775="C",LEFT(UPPER(D775)&amp;REPT(" ",2),2)," ")</f>
        <v/>
      </c>
      <c r="Z775" s="10">
        <f>IF(A775="C",LEFT(UPPER(E775)&amp;REPT(" ",15),15)," ")</f>
        <v/>
      </c>
      <c r="AA775" s="10">
        <f>REPT(" ",8)</f>
        <v/>
      </c>
      <c r="AB775" s="10">
        <f>REPT(" ",4)</f>
        <v/>
      </c>
      <c r="AC775" s="10">
        <f>LEFT(UPPER(H775)&amp;REPT(" ",250),250)</f>
        <v/>
      </c>
      <c r="AD775" s="10">
        <f>TEXT($G$2,"dd/mm/aaaa")</f>
        <v/>
      </c>
      <c r="AE775" s="10">
        <f>REPT(" ",10)</f>
        <v/>
      </c>
      <c r="AF775" s="10">
        <f>REPT(" ",20)</f>
        <v/>
      </c>
      <c r="AG775" s="54">
        <f>REPT(" ",18-LEN(FIXED(F775,2,TRUE)))&amp;FIXED(F775,2,TRUE)</f>
        <v/>
      </c>
      <c r="AH775" s="10">
        <f>LEN(AC775)+LEN(AG775)</f>
        <v/>
      </c>
      <c r="AI775" s="10">
        <f>LEN(L775)</f>
        <v/>
      </c>
    </row>
    <row r="776">
      <c r="A776" s="46" t="n"/>
      <c r="B776" s="38" t="n"/>
      <c r="C776" s="41" t="n"/>
      <c r="D776" s="41" t="n"/>
      <c r="E776" s="41" t="n"/>
      <c r="F776" s="88" t="n"/>
      <c r="G776" s="89" t="n"/>
      <c r="H776" s="37" t="n"/>
      <c r="I776" s="42" t="n"/>
      <c r="J776" s="12">
        <f>IF(F776&lt;&gt;0,"LANÇAR","")</f>
        <v/>
      </c>
      <c r="K776" s="20" t="n"/>
      <c r="L776" s="13">
        <f>N776&amp;O776&amp;P776&amp;Q776&amp;R776&amp;S776&amp;T776&amp;U776&amp;V776&amp;W776&amp;X776&amp;Y776&amp;Z776&amp;AA776&amp;AB776&amp;AC776&amp;AD776&amp;AE776&amp;AF776&amp;AG776</f>
        <v/>
      </c>
      <c r="M776" s="20" t="n"/>
      <c r="N776" s="10">
        <f>TEXT($B$6,"00")</f>
        <v/>
      </c>
      <c r="O776" s="10">
        <f>REPT(" ",8)</f>
        <v/>
      </c>
      <c r="P776" s="10">
        <f>RIGHT($B$4,2)</f>
        <v/>
      </c>
      <c r="Q776" s="10">
        <f>RIGHT($B$5,3)</f>
        <v/>
      </c>
      <c r="R776" s="10">
        <f>IF(A776="D",LEFT(UPPER(B776)&amp;REPT(" ",20),20),REPT(" ",20))</f>
        <v/>
      </c>
      <c r="S776" s="10">
        <f>IF(A776="D",LEFT(UPPER(C776)&amp;REPT(" ",10),10)," ")</f>
        <v/>
      </c>
      <c r="T776" s="10">
        <f>IF(A776="D",LEFT(UPPER(D776)&amp;REPT(" ",2),2)," ")</f>
        <v/>
      </c>
      <c r="U776" s="10">
        <f>IF(A776="D",LEFT(UPPER(E776)&amp;REPT(" ",15),15)," ")</f>
        <v/>
      </c>
      <c r="V776" s="10">
        <f>REPT(" ",24)</f>
        <v/>
      </c>
      <c r="W776" s="10">
        <f>IF(A776="c",LEFT(UPPER(B776)&amp;REPT(" ",20),20),REPT(" ",20))</f>
        <v/>
      </c>
      <c r="X776" s="10">
        <f>IF(A776="C",LEFT(UPPER(C776)&amp;REPT(" ",10),10)," ")</f>
        <v/>
      </c>
      <c r="Y776" s="10">
        <f>IF(A776="C",LEFT(UPPER(D776)&amp;REPT(" ",2),2)," ")</f>
        <v/>
      </c>
      <c r="Z776" s="10">
        <f>IF(A776="C",LEFT(UPPER(E776)&amp;REPT(" ",15),15)," ")</f>
        <v/>
      </c>
      <c r="AA776" s="10">
        <f>REPT(" ",8)</f>
        <v/>
      </c>
      <c r="AB776" s="10">
        <f>REPT(" ",4)</f>
        <v/>
      </c>
      <c r="AC776" s="10">
        <f>LEFT(UPPER(H776)&amp;REPT(" ",250),250)</f>
        <v/>
      </c>
      <c r="AD776" s="10">
        <f>TEXT($G$2,"dd/mm/aaaa")</f>
        <v/>
      </c>
      <c r="AE776" s="10">
        <f>REPT(" ",10)</f>
        <v/>
      </c>
      <c r="AF776" s="10">
        <f>REPT(" ",20)</f>
        <v/>
      </c>
      <c r="AG776" s="54">
        <f>REPT(" ",18-LEN(FIXED(F776,2,TRUE)))&amp;FIXED(F776,2,TRUE)</f>
        <v/>
      </c>
      <c r="AH776" s="10">
        <f>LEN(AC776)+LEN(AG776)</f>
        <v/>
      </c>
      <c r="AI776" s="10">
        <f>LEN(L776)</f>
        <v/>
      </c>
    </row>
    <row r="777">
      <c r="A777" s="46" t="n"/>
      <c r="B777" s="38" t="n"/>
      <c r="C777" s="41" t="n"/>
      <c r="D777" s="41" t="n"/>
      <c r="E777" s="41" t="n"/>
      <c r="F777" s="88" t="n"/>
      <c r="G777" s="89" t="n"/>
      <c r="H777" s="37" t="n"/>
      <c r="I777" s="42" t="n"/>
      <c r="J777" s="12">
        <f>IF(F777&lt;&gt;0,"LANÇAR","")</f>
        <v/>
      </c>
      <c r="K777" s="20" t="n"/>
      <c r="L777" s="13">
        <f>N777&amp;O777&amp;P777&amp;Q777&amp;R777&amp;S777&amp;T777&amp;U777&amp;V777&amp;W777&amp;X777&amp;Y777&amp;Z777&amp;AA777&amp;AB777&amp;AC777&amp;AD777&amp;AE777&amp;AF777&amp;AG777</f>
        <v/>
      </c>
      <c r="M777" s="20" t="n"/>
      <c r="N777" s="10">
        <f>TEXT($B$6,"00")</f>
        <v/>
      </c>
      <c r="O777" s="10">
        <f>REPT(" ",8)</f>
        <v/>
      </c>
      <c r="P777" s="10">
        <f>RIGHT($B$4,2)</f>
        <v/>
      </c>
      <c r="Q777" s="10">
        <f>RIGHT($B$5,3)</f>
        <v/>
      </c>
      <c r="R777" s="10">
        <f>IF(A777="D",LEFT(UPPER(B777)&amp;REPT(" ",20),20),REPT(" ",20))</f>
        <v/>
      </c>
      <c r="S777" s="10">
        <f>IF(A777="D",LEFT(UPPER(C777)&amp;REPT(" ",10),10)," ")</f>
        <v/>
      </c>
      <c r="T777" s="10">
        <f>IF(A777="D",LEFT(UPPER(D777)&amp;REPT(" ",2),2)," ")</f>
        <v/>
      </c>
      <c r="U777" s="10">
        <f>IF(A777="D",LEFT(UPPER(E777)&amp;REPT(" ",15),15)," ")</f>
        <v/>
      </c>
      <c r="V777" s="10">
        <f>REPT(" ",24)</f>
        <v/>
      </c>
      <c r="W777" s="10">
        <f>IF(A777="c",LEFT(UPPER(B777)&amp;REPT(" ",20),20),REPT(" ",20))</f>
        <v/>
      </c>
      <c r="X777" s="10">
        <f>IF(A777="C",LEFT(UPPER(C777)&amp;REPT(" ",10),10)," ")</f>
        <v/>
      </c>
      <c r="Y777" s="10">
        <f>IF(A777="C",LEFT(UPPER(D777)&amp;REPT(" ",2),2)," ")</f>
        <v/>
      </c>
      <c r="Z777" s="10">
        <f>IF(A777="C",LEFT(UPPER(E777)&amp;REPT(" ",15),15)," ")</f>
        <v/>
      </c>
      <c r="AA777" s="10">
        <f>REPT(" ",8)</f>
        <v/>
      </c>
      <c r="AB777" s="10">
        <f>REPT(" ",4)</f>
        <v/>
      </c>
      <c r="AC777" s="10">
        <f>LEFT(UPPER(H777)&amp;REPT(" ",250),250)</f>
        <v/>
      </c>
      <c r="AD777" s="10">
        <f>TEXT($G$2,"dd/mm/aaaa")</f>
        <v/>
      </c>
      <c r="AE777" s="10">
        <f>REPT(" ",10)</f>
        <v/>
      </c>
      <c r="AF777" s="10">
        <f>REPT(" ",20)</f>
        <v/>
      </c>
      <c r="AG777" s="54">
        <f>REPT(" ",18-LEN(FIXED(F777,2,TRUE)))&amp;FIXED(F777,2,TRUE)</f>
        <v/>
      </c>
      <c r="AH777" s="10">
        <f>LEN(AC777)+LEN(AG777)</f>
        <v/>
      </c>
      <c r="AI777" s="10">
        <f>LEN(L777)</f>
        <v/>
      </c>
    </row>
    <row r="778">
      <c r="A778" s="46" t="n"/>
      <c r="B778" s="38" t="n"/>
      <c r="C778" s="41" t="n"/>
      <c r="D778" s="41" t="n"/>
      <c r="E778" s="41" t="n"/>
      <c r="F778" s="88" t="n"/>
      <c r="G778" s="89" t="n"/>
      <c r="H778" s="37" t="n"/>
      <c r="I778" s="42" t="n"/>
      <c r="J778" s="12">
        <f>IF(F778&lt;&gt;0,"LANÇAR","")</f>
        <v/>
      </c>
      <c r="K778" s="20" t="n"/>
      <c r="L778" s="13">
        <f>N778&amp;O778&amp;P778&amp;Q778&amp;R778&amp;S778&amp;T778&amp;U778&amp;V778&amp;W778&amp;X778&amp;Y778&amp;Z778&amp;AA778&amp;AB778&amp;AC778&amp;AD778&amp;AE778&amp;AF778&amp;AG778</f>
        <v/>
      </c>
      <c r="M778" s="20" t="n"/>
      <c r="N778" s="10">
        <f>TEXT($B$6,"00")</f>
        <v/>
      </c>
      <c r="O778" s="10">
        <f>REPT(" ",8)</f>
        <v/>
      </c>
      <c r="P778" s="10">
        <f>RIGHT($B$4,2)</f>
        <v/>
      </c>
      <c r="Q778" s="10">
        <f>RIGHT($B$5,3)</f>
        <v/>
      </c>
      <c r="R778" s="10">
        <f>IF(A778="D",LEFT(UPPER(B778)&amp;REPT(" ",20),20),REPT(" ",20))</f>
        <v/>
      </c>
      <c r="S778" s="10">
        <f>IF(A778="D",LEFT(UPPER(C778)&amp;REPT(" ",10),10)," ")</f>
        <v/>
      </c>
      <c r="T778" s="10">
        <f>IF(A778="D",LEFT(UPPER(D778)&amp;REPT(" ",2),2)," ")</f>
        <v/>
      </c>
      <c r="U778" s="10">
        <f>IF(A778="D",LEFT(UPPER(E778)&amp;REPT(" ",15),15)," ")</f>
        <v/>
      </c>
      <c r="V778" s="10">
        <f>REPT(" ",24)</f>
        <v/>
      </c>
      <c r="W778" s="10">
        <f>IF(A778="c",LEFT(UPPER(B778)&amp;REPT(" ",20),20),REPT(" ",20))</f>
        <v/>
      </c>
      <c r="X778" s="10">
        <f>IF(A778="C",LEFT(UPPER(C778)&amp;REPT(" ",10),10)," ")</f>
        <v/>
      </c>
      <c r="Y778" s="10">
        <f>IF(A778="C",LEFT(UPPER(D778)&amp;REPT(" ",2),2)," ")</f>
        <v/>
      </c>
      <c r="Z778" s="10">
        <f>IF(A778="C",LEFT(UPPER(E778)&amp;REPT(" ",15),15)," ")</f>
        <v/>
      </c>
      <c r="AA778" s="10">
        <f>REPT(" ",8)</f>
        <v/>
      </c>
      <c r="AB778" s="10">
        <f>REPT(" ",4)</f>
        <v/>
      </c>
      <c r="AC778" s="10">
        <f>LEFT(UPPER(H778)&amp;REPT(" ",250),250)</f>
        <v/>
      </c>
      <c r="AD778" s="10">
        <f>TEXT($G$2,"dd/mm/aaaa")</f>
        <v/>
      </c>
      <c r="AE778" s="10">
        <f>REPT(" ",10)</f>
        <v/>
      </c>
      <c r="AF778" s="10">
        <f>REPT(" ",20)</f>
        <v/>
      </c>
      <c r="AG778" s="54">
        <f>REPT(" ",18-LEN(FIXED(F778,2,TRUE)))&amp;FIXED(F778,2,TRUE)</f>
        <v/>
      </c>
      <c r="AH778" s="10">
        <f>LEN(AC778)+LEN(AG778)</f>
        <v/>
      </c>
      <c r="AI778" s="10">
        <f>LEN(L778)</f>
        <v/>
      </c>
    </row>
    <row r="779">
      <c r="A779" s="46" t="n"/>
      <c r="B779" s="38" t="n"/>
      <c r="C779" s="41" t="n"/>
      <c r="D779" s="41" t="n"/>
      <c r="E779" s="41" t="n"/>
      <c r="F779" s="88" t="n"/>
      <c r="G779" s="89" t="n"/>
      <c r="H779" s="37" t="n"/>
      <c r="I779" s="42" t="n"/>
      <c r="J779" s="12">
        <f>IF(F779&lt;&gt;0,"LANÇAR","")</f>
        <v/>
      </c>
      <c r="K779" s="20" t="n"/>
      <c r="L779" s="13">
        <f>N779&amp;O779&amp;P779&amp;Q779&amp;R779&amp;S779&amp;T779&amp;U779&amp;V779&amp;W779&amp;X779&amp;Y779&amp;Z779&amp;AA779&amp;AB779&amp;AC779&amp;AD779&amp;AE779&amp;AF779&amp;AG779</f>
        <v/>
      </c>
      <c r="M779" s="20" t="n"/>
      <c r="N779" s="10">
        <f>TEXT($B$6,"00")</f>
        <v/>
      </c>
      <c r="O779" s="10">
        <f>REPT(" ",8)</f>
        <v/>
      </c>
      <c r="P779" s="10">
        <f>RIGHT($B$4,2)</f>
        <v/>
      </c>
      <c r="Q779" s="10">
        <f>RIGHT($B$5,3)</f>
        <v/>
      </c>
      <c r="R779" s="10">
        <f>IF(A779="D",LEFT(UPPER(B779)&amp;REPT(" ",20),20),REPT(" ",20))</f>
        <v/>
      </c>
      <c r="S779" s="10">
        <f>IF(A779="D",LEFT(UPPER(C779)&amp;REPT(" ",10),10)," ")</f>
        <v/>
      </c>
      <c r="T779" s="10">
        <f>IF(A779="D",LEFT(UPPER(D779)&amp;REPT(" ",2),2)," ")</f>
        <v/>
      </c>
      <c r="U779" s="10">
        <f>IF(A779="D",LEFT(UPPER(E779)&amp;REPT(" ",15),15)," ")</f>
        <v/>
      </c>
      <c r="V779" s="10">
        <f>REPT(" ",24)</f>
        <v/>
      </c>
      <c r="W779" s="10">
        <f>IF(A779="c",LEFT(UPPER(B779)&amp;REPT(" ",20),20),REPT(" ",20))</f>
        <v/>
      </c>
      <c r="X779" s="10">
        <f>IF(A779="C",LEFT(UPPER(C779)&amp;REPT(" ",10),10)," ")</f>
        <v/>
      </c>
      <c r="Y779" s="10">
        <f>IF(A779="C",LEFT(UPPER(D779)&amp;REPT(" ",2),2)," ")</f>
        <v/>
      </c>
      <c r="Z779" s="10">
        <f>IF(A779="C",LEFT(UPPER(E779)&amp;REPT(" ",15),15)," ")</f>
        <v/>
      </c>
      <c r="AA779" s="10">
        <f>REPT(" ",8)</f>
        <v/>
      </c>
      <c r="AB779" s="10">
        <f>REPT(" ",4)</f>
        <v/>
      </c>
      <c r="AC779" s="10">
        <f>LEFT(UPPER(H779)&amp;REPT(" ",250),250)</f>
        <v/>
      </c>
      <c r="AD779" s="10">
        <f>TEXT($G$2,"dd/mm/aaaa")</f>
        <v/>
      </c>
      <c r="AE779" s="10">
        <f>REPT(" ",10)</f>
        <v/>
      </c>
      <c r="AF779" s="10">
        <f>REPT(" ",20)</f>
        <v/>
      </c>
      <c r="AG779" s="54">
        <f>REPT(" ",18-LEN(FIXED(F779,2,TRUE)))&amp;FIXED(F779,2,TRUE)</f>
        <v/>
      </c>
      <c r="AH779" s="10">
        <f>LEN(AC779)+LEN(AG779)</f>
        <v/>
      </c>
      <c r="AI779" s="10">
        <f>LEN(L779)</f>
        <v/>
      </c>
    </row>
    <row r="780">
      <c r="A780" s="46" t="n"/>
      <c r="B780" s="38" t="n"/>
      <c r="C780" s="41" t="n"/>
      <c r="D780" s="41" t="n"/>
      <c r="E780" s="41" t="n"/>
      <c r="F780" s="88" t="n"/>
      <c r="G780" s="89" t="n"/>
      <c r="H780" s="37" t="n"/>
      <c r="I780" s="42" t="n"/>
      <c r="J780" s="12">
        <f>IF(F780&lt;&gt;0,"LANÇAR","")</f>
        <v/>
      </c>
      <c r="K780" s="20" t="n"/>
      <c r="L780" s="13">
        <f>N780&amp;O780&amp;P780&amp;Q780&amp;R780&amp;S780&amp;T780&amp;U780&amp;V780&amp;W780&amp;X780&amp;Y780&amp;Z780&amp;AA780&amp;AB780&amp;AC780&amp;AD780&amp;AE780&amp;AF780&amp;AG780</f>
        <v/>
      </c>
      <c r="M780" s="20" t="n"/>
      <c r="N780" s="10">
        <f>TEXT($B$6,"00")</f>
        <v/>
      </c>
      <c r="O780" s="10">
        <f>REPT(" ",8)</f>
        <v/>
      </c>
      <c r="P780" s="10">
        <f>RIGHT($B$4,2)</f>
        <v/>
      </c>
      <c r="Q780" s="10">
        <f>RIGHT($B$5,3)</f>
        <v/>
      </c>
      <c r="R780" s="10">
        <f>IF(A780="D",LEFT(UPPER(B780)&amp;REPT(" ",20),20),REPT(" ",20))</f>
        <v/>
      </c>
      <c r="S780" s="10">
        <f>IF(A780="D",LEFT(UPPER(C780)&amp;REPT(" ",10),10)," ")</f>
        <v/>
      </c>
      <c r="T780" s="10">
        <f>IF(A780="D",LEFT(UPPER(D780)&amp;REPT(" ",2),2)," ")</f>
        <v/>
      </c>
      <c r="U780" s="10">
        <f>IF(A780="D",LEFT(UPPER(E780)&amp;REPT(" ",15),15)," ")</f>
        <v/>
      </c>
      <c r="V780" s="10">
        <f>REPT(" ",24)</f>
        <v/>
      </c>
      <c r="W780" s="10">
        <f>IF(A780="c",LEFT(UPPER(B780)&amp;REPT(" ",20),20),REPT(" ",20))</f>
        <v/>
      </c>
      <c r="X780" s="10">
        <f>IF(A780="C",LEFT(UPPER(C780)&amp;REPT(" ",10),10)," ")</f>
        <v/>
      </c>
      <c r="Y780" s="10">
        <f>IF(A780="C",LEFT(UPPER(D780)&amp;REPT(" ",2),2)," ")</f>
        <v/>
      </c>
      <c r="Z780" s="10">
        <f>IF(A780="C",LEFT(UPPER(E780)&amp;REPT(" ",15),15)," ")</f>
        <v/>
      </c>
      <c r="AA780" s="10">
        <f>REPT(" ",8)</f>
        <v/>
      </c>
      <c r="AB780" s="10">
        <f>REPT(" ",4)</f>
        <v/>
      </c>
      <c r="AC780" s="10">
        <f>LEFT(UPPER(H780)&amp;REPT(" ",250),250)</f>
        <v/>
      </c>
      <c r="AD780" s="10">
        <f>TEXT($G$2,"dd/mm/aaaa")</f>
        <v/>
      </c>
      <c r="AE780" s="10">
        <f>REPT(" ",10)</f>
        <v/>
      </c>
      <c r="AF780" s="10">
        <f>REPT(" ",20)</f>
        <v/>
      </c>
      <c r="AG780" s="54">
        <f>REPT(" ",18-LEN(FIXED(F780,2,TRUE)))&amp;FIXED(F780,2,TRUE)</f>
        <v/>
      </c>
      <c r="AH780" s="10">
        <f>LEN(AC780)+LEN(AG780)</f>
        <v/>
      </c>
      <c r="AI780" s="10">
        <f>LEN(L780)</f>
        <v/>
      </c>
    </row>
    <row r="781">
      <c r="A781" s="46" t="n"/>
      <c r="B781" s="38" t="n"/>
      <c r="C781" s="41" t="n"/>
      <c r="D781" s="41" t="n"/>
      <c r="E781" s="41" t="n"/>
      <c r="F781" s="88" t="n"/>
      <c r="G781" s="89" t="n"/>
      <c r="H781" s="37" t="n"/>
      <c r="I781" s="42" t="n"/>
      <c r="J781" s="12">
        <f>IF(F781&lt;&gt;0,"LANÇAR","")</f>
        <v/>
      </c>
      <c r="K781" s="20" t="n"/>
      <c r="L781" s="13">
        <f>N781&amp;O781&amp;P781&amp;Q781&amp;R781&amp;S781&amp;T781&amp;U781&amp;V781&amp;W781&amp;X781&amp;Y781&amp;Z781&amp;AA781&amp;AB781&amp;AC781&amp;AD781&amp;AE781&amp;AF781&amp;AG781</f>
        <v/>
      </c>
      <c r="M781" s="20" t="n"/>
      <c r="N781" s="10">
        <f>TEXT($B$6,"00")</f>
        <v/>
      </c>
      <c r="O781" s="10">
        <f>REPT(" ",8)</f>
        <v/>
      </c>
      <c r="P781" s="10">
        <f>RIGHT($B$4,2)</f>
        <v/>
      </c>
      <c r="Q781" s="10">
        <f>RIGHT($B$5,3)</f>
        <v/>
      </c>
      <c r="R781" s="10">
        <f>IF(A781="D",LEFT(UPPER(B781)&amp;REPT(" ",20),20),REPT(" ",20))</f>
        <v/>
      </c>
      <c r="S781" s="10">
        <f>IF(A781="D",LEFT(UPPER(C781)&amp;REPT(" ",10),10)," ")</f>
        <v/>
      </c>
      <c r="T781" s="10">
        <f>IF(A781="D",LEFT(UPPER(D781)&amp;REPT(" ",2),2)," ")</f>
        <v/>
      </c>
      <c r="U781" s="10">
        <f>IF(A781="D",LEFT(UPPER(E781)&amp;REPT(" ",15),15)," ")</f>
        <v/>
      </c>
      <c r="V781" s="10">
        <f>REPT(" ",24)</f>
        <v/>
      </c>
      <c r="W781" s="10">
        <f>IF(A781="c",LEFT(UPPER(B781)&amp;REPT(" ",20),20),REPT(" ",20))</f>
        <v/>
      </c>
      <c r="X781" s="10">
        <f>IF(A781="C",LEFT(UPPER(C781)&amp;REPT(" ",10),10)," ")</f>
        <v/>
      </c>
      <c r="Y781" s="10">
        <f>IF(A781="C",LEFT(UPPER(D781)&amp;REPT(" ",2),2)," ")</f>
        <v/>
      </c>
      <c r="Z781" s="10">
        <f>IF(A781="C",LEFT(UPPER(E781)&amp;REPT(" ",15),15)," ")</f>
        <v/>
      </c>
      <c r="AA781" s="10">
        <f>REPT(" ",8)</f>
        <v/>
      </c>
      <c r="AB781" s="10">
        <f>REPT(" ",4)</f>
        <v/>
      </c>
      <c r="AC781" s="10">
        <f>LEFT(UPPER(H781)&amp;REPT(" ",250),250)</f>
        <v/>
      </c>
      <c r="AD781" s="10">
        <f>TEXT($G$2,"dd/mm/aaaa")</f>
        <v/>
      </c>
      <c r="AE781" s="10">
        <f>REPT(" ",10)</f>
        <v/>
      </c>
      <c r="AF781" s="10">
        <f>REPT(" ",20)</f>
        <v/>
      </c>
      <c r="AG781" s="54">
        <f>REPT(" ",18-LEN(FIXED(F781,2,TRUE)))&amp;FIXED(F781,2,TRUE)</f>
        <v/>
      </c>
      <c r="AH781" s="10">
        <f>LEN(AC781)+LEN(AG781)</f>
        <v/>
      </c>
      <c r="AI781" s="10">
        <f>LEN(L781)</f>
        <v/>
      </c>
    </row>
    <row r="782">
      <c r="A782" s="46" t="n"/>
      <c r="B782" s="38" t="n"/>
      <c r="C782" s="41" t="n"/>
      <c r="D782" s="41" t="n"/>
      <c r="E782" s="41" t="n"/>
      <c r="F782" s="88" t="n"/>
      <c r="G782" s="89" t="n"/>
      <c r="H782" s="37" t="n"/>
      <c r="I782" s="42" t="n"/>
      <c r="J782" s="12">
        <f>IF(F782&lt;&gt;0,"LANÇAR","")</f>
        <v/>
      </c>
      <c r="K782" s="20" t="n"/>
      <c r="L782" s="13">
        <f>N782&amp;O782&amp;P782&amp;Q782&amp;R782&amp;S782&amp;T782&amp;U782&amp;V782&amp;W782&amp;X782&amp;Y782&amp;Z782&amp;AA782&amp;AB782&amp;AC782&amp;AD782&amp;AE782&amp;AF782&amp;AG782</f>
        <v/>
      </c>
      <c r="M782" s="20" t="n"/>
      <c r="N782" s="10">
        <f>TEXT($B$6,"00")</f>
        <v/>
      </c>
      <c r="O782" s="10">
        <f>REPT(" ",8)</f>
        <v/>
      </c>
      <c r="P782" s="10">
        <f>RIGHT($B$4,2)</f>
        <v/>
      </c>
      <c r="Q782" s="10">
        <f>RIGHT($B$5,3)</f>
        <v/>
      </c>
      <c r="R782" s="10">
        <f>IF(A782="D",LEFT(UPPER(B782)&amp;REPT(" ",20),20),REPT(" ",20))</f>
        <v/>
      </c>
      <c r="S782" s="10">
        <f>IF(A782="D",LEFT(UPPER(C782)&amp;REPT(" ",10),10)," ")</f>
        <v/>
      </c>
      <c r="T782" s="10">
        <f>IF(A782="D",LEFT(UPPER(D782)&amp;REPT(" ",2),2)," ")</f>
        <v/>
      </c>
      <c r="U782" s="10">
        <f>IF(A782="D",LEFT(UPPER(E782)&amp;REPT(" ",15),15)," ")</f>
        <v/>
      </c>
      <c r="V782" s="10">
        <f>REPT(" ",24)</f>
        <v/>
      </c>
      <c r="W782" s="10">
        <f>IF(A782="c",LEFT(UPPER(B782)&amp;REPT(" ",20),20),REPT(" ",20))</f>
        <v/>
      </c>
      <c r="X782" s="10">
        <f>IF(A782="C",LEFT(UPPER(C782)&amp;REPT(" ",10),10)," ")</f>
        <v/>
      </c>
      <c r="Y782" s="10">
        <f>IF(A782="C",LEFT(UPPER(D782)&amp;REPT(" ",2),2)," ")</f>
        <v/>
      </c>
      <c r="Z782" s="10">
        <f>IF(A782="C",LEFT(UPPER(E782)&amp;REPT(" ",15),15)," ")</f>
        <v/>
      </c>
      <c r="AA782" s="10">
        <f>REPT(" ",8)</f>
        <v/>
      </c>
      <c r="AB782" s="10">
        <f>REPT(" ",4)</f>
        <v/>
      </c>
      <c r="AC782" s="10">
        <f>LEFT(UPPER(H782)&amp;REPT(" ",250),250)</f>
        <v/>
      </c>
      <c r="AD782" s="10">
        <f>TEXT($G$2,"dd/mm/aaaa")</f>
        <v/>
      </c>
      <c r="AE782" s="10">
        <f>REPT(" ",10)</f>
        <v/>
      </c>
      <c r="AF782" s="10">
        <f>REPT(" ",20)</f>
        <v/>
      </c>
      <c r="AG782" s="54">
        <f>REPT(" ",18-LEN(FIXED(F782,2,TRUE)))&amp;FIXED(F782,2,TRUE)</f>
        <v/>
      </c>
      <c r="AH782" s="10">
        <f>LEN(AC782)+LEN(AG782)</f>
        <v/>
      </c>
      <c r="AI782" s="10">
        <f>LEN(L782)</f>
        <v/>
      </c>
    </row>
    <row r="783">
      <c r="A783" s="46" t="n"/>
      <c r="B783" s="38" t="n"/>
      <c r="C783" s="41" t="n"/>
      <c r="D783" s="41" t="n"/>
      <c r="E783" s="41" t="n"/>
      <c r="F783" s="88" t="n"/>
      <c r="G783" s="89" t="n"/>
      <c r="H783" s="37" t="n"/>
      <c r="I783" s="42" t="n"/>
      <c r="J783" s="12">
        <f>IF(F783&lt;&gt;0,"LANÇAR","")</f>
        <v/>
      </c>
      <c r="K783" s="20" t="n"/>
      <c r="L783" s="13">
        <f>N783&amp;O783&amp;P783&amp;Q783&amp;R783&amp;S783&amp;T783&amp;U783&amp;V783&amp;W783&amp;X783&amp;Y783&amp;Z783&amp;AA783&amp;AB783&amp;AC783&amp;AD783&amp;AE783&amp;AF783&amp;AG783</f>
        <v/>
      </c>
      <c r="M783" s="20" t="n"/>
      <c r="N783" s="10">
        <f>TEXT($B$6,"00")</f>
        <v/>
      </c>
      <c r="O783" s="10">
        <f>REPT(" ",8)</f>
        <v/>
      </c>
      <c r="P783" s="10">
        <f>RIGHT($B$4,2)</f>
        <v/>
      </c>
      <c r="Q783" s="10">
        <f>RIGHT($B$5,3)</f>
        <v/>
      </c>
      <c r="R783" s="10">
        <f>IF(A783="D",LEFT(UPPER(B783)&amp;REPT(" ",20),20),REPT(" ",20))</f>
        <v/>
      </c>
      <c r="S783" s="10">
        <f>IF(A783="D",LEFT(UPPER(C783)&amp;REPT(" ",10),10)," ")</f>
        <v/>
      </c>
      <c r="T783" s="10">
        <f>IF(A783="D",LEFT(UPPER(D783)&amp;REPT(" ",2),2)," ")</f>
        <v/>
      </c>
      <c r="U783" s="10">
        <f>IF(A783="D",LEFT(UPPER(E783)&amp;REPT(" ",15),15)," ")</f>
        <v/>
      </c>
      <c r="V783" s="10">
        <f>REPT(" ",24)</f>
        <v/>
      </c>
      <c r="W783" s="10">
        <f>IF(A783="c",LEFT(UPPER(B783)&amp;REPT(" ",20),20),REPT(" ",20))</f>
        <v/>
      </c>
      <c r="X783" s="10">
        <f>IF(A783="C",LEFT(UPPER(C783)&amp;REPT(" ",10),10)," ")</f>
        <v/>
      </c>
      <c r="Y783" s="10">
        <f>IF(A783="C",LEFT(UPPER(D783)&amp;REPT(" ",2),2)," ")</f>
        <v/>
      </c>
      <c r="Z783" s="10">
        <f>IF(A783="C",LEFT(UPPER(E783)&amp;REPT(" ",15),15)," ")</f>
        <v/>
      </c>
      <c r="AA783" s="10">
        <f>REPT(" ",8)</f>
        <v/>
      </c>
      <c r="AB783" s="10">
        <f>REPT(" ",4)</f>
        <v/>
      </c>
      <c r="AC783" s="10">
        <f>LEFT(UPPER(H783)&amp;REPT(" ",250),250)</f>
        <v/>
      </c>
      <c r="AD783" s="10">
        <f>TEXT($G$2,"dd/mm/aaaa")</f>
        <v/>
      </c>
      <c r="AE783" s="10">
        <f>REPT(" ",10)</f>
        <v/>
      </c>
      <c r="AF783" s="10">
        <f>REPT(" ",20)</f>
        <v/>
      </c>
      <c r="AG783" s="54">
        <f>REPT(" ",18-LEN(FIXED(F783,2,TRUE)))&amp;FIXED(F783,2,TRUE)</f>
        <v/>
      </c>
      <c r="AH783" s="10">
        <f>LEN(AC783)+LEN(AG783)</f>
        <v/>
      </c>
      <c r="AI783" s="10">
        <f>LEN(L783)</f>
        <v/>
      </c>
    </row>
    <row r="784">
      <c r="A784" s="46" t="n"/>
      <c r="B784" s="38" t="n"/>
      <c r="C784" s="41" t="n"/>
      <c r="D784" s="41" t="n"/>
      <c r="E784" s="41" t="n"/>
      <c r="F784" s="88" t="n"/>
      <c r="G784" s="89" t="n"/>
      <c r="H784" s="37" t="n"/>
      <c r="I784" s="42" t="n"/>
      <c r="J784" s="12">
        <f>IF(F784&lt;&gt;0,"LANÇAR","")</f>
        <v/>
      </c>
      <c r="K784" s="20" t="n"/>
      <c r="L784" s="13">
        <f>N784&amp;O784&amp;P784&amp;Q784&amp;R784&amp;S784&amp;T784&amp;U784&amp;V784&amp;W784&amp;X784&amp;Y784&amp;Z784&amp;AA784&amp;AB784&amp;AC784&amp;AD784&amp;AE784&amp;AF784&amp;AG784</f>
        <v/>
      </c>
      <c r="M784" s="20" t="n"/>
      <c r="N784" s="10">
        <f>TEXT($B$6,"00")</f>
        <v/>
      </c>
      <c r="O784" s="10">
        <f>REPT(" ",8)</f>
        <v/>
      </c>
      <c r="P784" s="10">
        <f>RIGHT($B$4,2)</f>
        <v/>
      </c>
      <c r="Q784" s="10">
        <f>RIGHT($B$5,3)</f>
        <v/>
      </c>
      <c r="R784" s="10">
        <f>IF(A784="D",LEFT(UPPER(B784)&amp;REPT(" ",20),20),REPT(" ",20))</f>
        <v/>
      </c>
      <c r="S784" s="10">
        <f>IF(A784="D",LEFT(UPPER(C784)&amp;REPT(" ",10),10)," ")</f>
        <v/>
      </c>
      <c r="T784" s="10">
        <f>IF(A784="D",LEFT(UPPER(D784)&amp;REPT(" ",2),2)," ")</f>
        <v/>
      </c>
      <c r="U784" s="10">
        <f>IF(A784="D",LEFT(UPPER(E784)&amp;REPT(" ",15),15)," ")</f>
        <v/>
      </c>
      <c r="V784" s="10">
        <f>REPT(" ",24)</f>
        <v/>
      </c>
      <c r="W784" s="10">
        <f>IF(A784="c",LEFT(UPPER(B784)&amp;REPT(" ",20),20),REPT(" ",20))</f>
        <v/>
      </c>
      <c r="X784" s="10">
        <f>IF(A784="C",LEFT(UPPER(C784)&amp;REPT(" ",10),10)," ")</f>
        <v/>
      </c>
      <c r="Y784" s="10">
        <f>IF(A784="C",LEFT(UPPER(D784)&amp;REPT(" ",2),2)," ")</f>
        <v/>
      </c>
      <c r="Z784" s="10">
        <f>IF(A784="C",LEFT(UPPER(E784)&amp;REPT(" ",15),15)," ")</f>
        <v/>
      </c>
      <c r="AA784" s="10">
        <f>REPT(" ",8)</f>
        <v/>
      </c>
      <c r="AB784" s="10">
        <f>REPT(" ",4)</f>
        <v/>
      </c>
      <c r="AC784" s="10">
        <f>LEFT(UPPER(H784)&amp;REPT(" ",250),250)</f>
        <v/>
      </c>
      <c r="AD784" s="10">
        <f>TEXT($G$2,"dd/mm/aaaa")</f>
        <v/>
      </c>
      <c r="AE784" s="10">
        <f>REPT(" ",10)</f>
        <v/>
      </c>
      <c r="AF784" s="10">
        <f>REPT(" ",20)</f>
        <v/>
      </c>
      <c r="AG784" s="54">
        <f>REPT(" ",18-LEN(FIXED(F784,2,TRUE)))&amp;FIXED(F784,2,TRUE)</f>
        <v/>
      </c>
      <c r="AH784" s="10">
        <f>LEN(AC784)+LEN(AG784)</f>
        <v/>
      </c>
      <c r="AI784" s="10">
        <f>LEN(L784)</f>
        <v/>
      </c>
    </row>
    <row r="785">
      <c r="A785" s="46" t="n"/>
      <c r="B785" s="38" t="n"/>
      <c r="C785" s="41" t="n"/>
      <c r="D785" s="41" t="n"/>
      <c r="E785" s="41" t="n"/>
      <c r="F785" s="88" t="n"/>
      <c r="G785" s="89" t="n"/>
      <c r="H785" s="37" t="n"/>
      <c r="I785" s="42" t="n"/>
      <c r="J785" s="12">
        <f>IF(F785&lt;&gt;0,"LANÇAR","")</f>
        <v/>
      </c>
      <c r="K785" s="20" t="n"/>
      <c r="L785" s="13">
        <f>N785&amp;O785&amp;P785&amp;Q785&amp;R785&amp;S785&amp;T785&amp;U785&amp;V785&amp;W785&amp;X785&amp;Y785&amp;Z785&amp;AA785&amp;AB785&amp;AC785&amp;AD785&amp;AE785&amp;AF785&amp;AG785</f>
        <v/>
      </c>
      <c r="M785" s="20" t="n"/>
      <c r="N785" s="10">
        <f>TEXT($B$6,"00")</f>
        <v/>
      </c>
      <c r="O785" s="10">
        <f>REPT(" ",8)</f>
        <v/>
      </c>
      <c r="P785" s="10">
        <f>RIGHT($B$4,2)</f>
        <v/>
      </c>
      <c r="Q785" s="10">
        <f>RIGHT($B$5,3)</f>
        <v/>
      </c>
      <c r="R785" s="10">
        <f>IF(A785="D",LEFT(UPPER(B785)&amp;REPT(" ",20),20),REPT(" ",20))</f>
        <v/>
      </c>
      <c r="S785" s="10">
        <f>IF(A785="D",LEFT(UPPER(C785)&amp;REPT(" ",10),10)," ")</f>
        <v/>
      </c>
      <c r="T785" s="10">
        <f>IF(A785="D",LEFT(UPPER(D785)&amp;REPT(" ",2),2)," ")</f>
        <v/>
      </c>
      <c r="U785" s="10">
        <f>IF(A785="D",LEFT(UPPER(E785)&amp;REPT(" ",15),15)," ")</f>
        <v/>
      </c>
      <c r="V785" s="10">
        <f>REPT(" ",24)</f>
        <v/>
      </c>
      <c r="W785" s="10">
        <f>IF(A785="c",LEFT(UPPER(B785)&amp;REPT(" ",20),20),REPT(" ",20))</f>
        <v/>
      </c>
      <c r="X785" s="10">
        <f>IF(A785="C",LEFT(UPPER(C785)&amp;REPT(" ",10),10)," ")</f>
        <v/>
      </c>
      <c r="Y785" s="10">
        <f>IF(A785="C",LEFT(UPPER(D785)&amp;REPT(" ",2),2)," ")</f>
        <v/>
      </c>
      <c r="Z785" s="10">
        <f>IF(A785="C",LEFT(UPPER(E785)&amp;REPT(" ",15),15)," ")</f>
        <v/>
      </c>
      <c r="AA785" s="10">
        <f>REPT(" ",8)</f>
        <v/>
      </c>
      <c r="AB785" s="10">
        <f>REPT(" ",4)</f>
        <v/>
      </c>
      <c r="AC785" s="10">
        <f>LEFT(UPPER(H785)&amp;REPT(" ",250),250)</f>
        <v/>
      </c>
      <c r="AD785" s="10">
        <f>TEXT($G$2,"dd/mm/aaaa")</f>
        <v/>
      </c>
      <c r="AE785" s="10">
        <f>REPT(" ",10)</f>
        <v/>
      </c>
      <c r="AF785" s="10">
        <f>REPT(" ",20)</f>
        <v/>
      </c>
      <c r="AG785" s="54">
        <f>REPT(" ",18-LEN(FIXED(F785,2,TRUE)))&amp;FIXED(F785,2,TRUE)</f>
        <v/>
      </c>
      <c r="AH785" s="10">
        <f>LEN(AC785)+LEN(AG785)</f>
        <v/>
      </c>
      <c r="AI785" s="10">
        <f>LEN(L785)</f>
        <v/>
      </c>
    </row>
    <row r="786">
      <c r="A786" s="46" t="n"/>
      <c r="B786" s="38" t="n"/>
      <c r="C786" s="41" t="n"/>
      <c r="D786" s="41" t="n"/>
      <c r="E786" s="41" t="n"/>
      <c r="F786" s="88" t="n"/>
      <c r="G786" s="89" t="n"/>
      <c r="H786" s="37" t="n"/>
      <c r="I786" s="42" t="n"/>
      <c r="J786" s="12">
        <f>IF(F786&lt;&gt;0,"LANÇAR","")</f>
        <v/>
      </c>
      <c r="K786" s="20" t="n"/>
      <c r="L786" s="13">
        <f>N786&amp;O786&amp;P786&amp;Q786&amp;R786&amp;S786&amp;T786&amp;U786&amp;V786&amp;W786&amp;X786&amp;Y786&amp;Z786&amp;AA786&amp;AB786&amp;AC786&amp;AD786&amp;AE786&amp;AF786&amp;AG786</f>
        <v/>
      </c>
      <c r="M786" s="20" t="n"/>
      <c r="N786" s="10">
        <f>TEXT($B$6,"00")</f>
        <v/>
      </c>
      <c r="O786" s="10">
        <f>REPT(" ",8)</f>
        <v/>
      </c>
      <c r="P786" s="10">
        <f>RIGHT($B$4,2)</f>
        <v/>
      </c>
      <c r="Q786" s="10">
        <f>RIGHT($B$5,3)</f>
        <v/>
      </c>
      <c r="R786" s="10">
        <f>IF(A786="D",LEFT(UPPER(B786)&amp;REPT(" ",20),20),REPT(" ",20))</f>
        <v/>
      </c>
      <c r="S786" s="10">
        <f>IF(A786="D",LEFT(UPPER(C786)&amp;REPT(" ",10),10)," ")</f>
        <v/>
      </c>
      <c r="T786" s="10">
        <f>IF(A786="D",LEFT(UPPER(D786)&amp;REPT(" ",2),2)," ")</f>
        <v/>
      </c>
      <c r="U786" s="10">
        <f>IF(A786="D",LEFT(UPPER(E786)&amp;REPT(" ",15),15)," ")</f>
        <v/>
      </c>
      <c r="V786" s="10">
        <f>REPT(" ",24)</f>
        <v/>
      </c>
      <c r="W786" s="10">
        <f>IF(A786="c",LEFT(UPPER(B786)&amp;REPT(" ",20),20),REPT(" ",20))</f>
        <v/>
      </c>
      <c r="X786" s="10">
        <f>IF(A786="C",LEFT(UPPER(C786)&amp;REPT(" ",10),10)," ")</f>
        <v/>
      </c>
      <c r="Y786" s="10">
        <f>IF(A786="C",LEFT(UPPER(D786)&amp;REPT(" ",2),2)," ")</f>
        <v/>
      </c>
      <c r="Z786" s="10">
        <f>IF(A786="C",LEFT(UPPER(E786)&amp;REPT(" ",15),15)," ")</f>
        <v/>
      </c>
      <c r="AA786" s="10">
        <f>REPT(" ",8)</f>
        <v/>
      </c>
      <c r="AB786" s="10">
        <f>REPT(" ",4)</f>
        <v/>
      </c>
      <c r="AC786" s="10">
        <f>LEFT(UPPER(H786)&amp;REPT(" ",250),250)</f>
        <v/>
      </c>
      <c r="AD786" s="10">
        <f>TEXT($G$2,"dd/mm/aaaa")</f>
        <v/>
      </c>
      <c r="AE786" s="10">
        <f>REPT(" ",10)</f>
        <v/>
      </c>
      <c r="AF786" s="10">
        <f>REPT(" ",20)</f>
        <v/>
      </c>
      <c r="AG786" s="54">
        <f>REPT(" ",18-LEN(FIXED(F786,2,TRUE)))&amp;FIXED(F786,2,TRUE)</f>
        <v/>
      </c>
      <c r="AH786" s="10">
        <f>LEN(AC786)+LEN(AG786)</f>
        <v/>
      </c>
      <c r="AI786" s="10">
        <f>LEN(L786)</f>
        <v/>
      </c>
    </row>
    <row r="787">
      <c r="A787" s="46" t="n"/>
      <c r="B787" s="38" t="n"/>
      <c r="C787" s="41" t="n"/>
      <c r="D787" s="41" t="n"/>
      <c r="E787" s="41" t="n"/>
      <c r="F787" s="88" t="n"/>
      <c r="G787" s="89" t="n"/>
      <c r="H787" s="37" t="n"/>
      <c r="I787" s="42" t="n"/>
      <c r="J787" s="12">
        <f>IF(F787&lt;&gt;0,"LANÇAR","")</f>
        <v/>
      </c>
      <c r="K787" s="20" t="n"/>
      <c r="L787" s="13">
        <f>N787&amp;O787&amp;P787&amp;Q787&amp;R787&amp;S787&amp;T787&amp;U787&amp;V787&amp;W787&amp;X787&amp;Y787&amp;Z787&amp;AA787&amp;AB787&amp;AC787&amp;AD787&amp;AE787&amp;AF787&amp;AG787</f>
        <v/>
      </c>
      <c r="M787" s="20" t="n"/>
      <c r="N787" s="10">
        <f>TEXT($B$6,"00")</f>
        <v/>
      </c>
      <c r="O787" s="10">
        <f>REPT(" ",8)</f>
        <v/>
      </c>
      <c r="P787" s="10">
        <f>RIGHT($B$4,2)</f>
        <v/>
      </c>
      <c r="Q787" s="10">
        <f>RIGHT($B$5,3)</f>
        <v/>
      </c>
      <c r="R787" s="10">
        <f>IF(A787="D",LEFT(UPPER(B787)&amp;REPT(" ",20),20),REPT(" ",20))</f>
        <v/>
      </c>
      <c r="S787" s="10">
        <f>IF(A787="D",LEFT(UPPER(C787)&amp;REPT(" ",10),10)," ")</f>
        <v/>
      </c>
      <c r="T787" s="10">
        <f>IF(A787="D",LEFT(UPPER(D787)&amp;REPT(" ",2),2)," ")</f>
        <v/>
      </c>
      <c r="U787" s="10">
        <f>IF(A787="D",LEFT(UPPER(E787)&amp;REPT(" ",15),15)," ")</f>
        <v/>
      </c>
      <c r="V787" s="10">
        <f>REPT(" ",24)</f>
        <v/>
      </c>
      <c r="W787" s="10">
        <f>IF(A787="c",LEFT(UPPER(B787)&amp;REPT(" ",20),20),REPT(" ",20))</f>
        <v/>
      </c>
      <c r="X787" s="10">
        <f>IF(A787="C",LEFT(UPPER(C787)&amp;REPT(" ",10),10)," ")</f>
        <v/>
      </c>
      <c r="Y787" s="10">
        <f>IF(A787="C",LEFT(UPPER(D787)&amp;REPT(" ",2),2)," ")</f>
        <v/>
      </c>
      <c r="Z787" s="10">
        <f>IF(A787="C",LEFT(UPPER(E787)&amp;REPT(" ",15),15)," ")</f>
        <v/>
      </c>
      <c r="AA787" s="10">
        <f>REPT(" ",8)</f>
        <v/>
      </c>
      <c r="AB787" s="10">
        <f>REPT(" ",4)</f>
        <v/>
      </c>
      <c r="AC787" s="10">
        <f>LEFT(UPPER(H787)&amp;REPT(" ",250),250)</f>
        <v/>
      </c>
      <c r="AD787" s="10">
        <f>TEXT($G$2,"dd/mm/aaaa")</f>
        <v/>
      </c>
      <c r="AE787" s="10">
        <f>REPT(" ",10)</f>
        <v/>
      </c>
      <c r="AF787" s="10">
        <f>REPT(" ",20)</f>
        <v/>
      </c>
      <c r="AG787" s="54">
        <f>REPT(" ",18-LEN(FIXED(F787,2,TRUE)))&amp;FIXED(F787,2,TRUE)</f>
        <v/>
      </c>
      <c r="AH787" s="10">
        <f>LEN(AC787)+LEN(AG787)</f>
        <v/>
      </c>
      <c r="AI787" s="10">
        <f>LEN(L787)</f>
        <v/>
      </c>
    </row>
    <row r="788">
      <c r="A788" s="46" t="n"/>
      <c r="B788" s="38" t="n"/>
      <c r="C788" s="41" t="n"/>
      <c r="D788" s="41" t="n"/>
      <c r="E788" s="41" t="n"/>
      <c r="F788" s="88" t="n"/>
      <c r="G788" s="89" t="n"/>
      <c r="H788" s="37" t="n"/>
      <c r="I788" s="42" t="n"/>
      <c r="J788" s="12">
        <f>IF(F788&lt;&gt;0,"LANÇAR","")</f>
        <v/>
      </c>
      <c r="K788" s="20" t="n"/>
      <c r="L788" s="13">
        <f>N788&amp;O788&amp;P788&amp;Q788&amp;R788&amp;S788&amp;T788&amp;U788&amp;V788&amp;W788&amp;X788&amp;Y788&amp;Z788&amp;AA788&amp;AB788&amp;AC788&amp;AD788&amp;AE788&amp;AF788&amp;AG788</f>
        <v/>
      </c>
      <c r="M788" s="20" t="n"/>
      <c r="N788" s="10">
        <f>TEXT($B$6,"00")</f>
        <v/>
      </c>
      <c r="O788" s="10">
        <f>REPT(" ",8)</f>
        <v/>
      </c>
      <c r="P788" s="10">
        <f>RIGHT($B$4,2)</f>
        <v/>
      </c>
      <c r="Q788" s="10">
        <f>RIGHT($B$5,3)</f>
        <v/>
      </c>
      <c r="R788" s="10">
        <f>IF(A788="D",LEFT(UPPER(B788)&amp;REPT(" ",20),20),REPT(" ",20))</f>
        <v/>
      </c>
      <c r="S788" s="10">
        <f>IF(A788="D",LEFT(UPPER(C788)&amp;REPT(" ",10),10)," ")</f>
        <v/>
      </c>
      <c r="T788" s="10">
        <f>IF(A788="D",LEFT(UPPER(D788)&amp;REPT(" ",2),2)," ")</f>
        <v/>
      </c>
      <c r="U788" s="10">
        <f>IF(A788="D",LEFT(UPPER(E788)&amp;REPT(" ",15),15)," ")</f>
        <v/>
      </c>
      <c r="V788" s="10">
        <f>REPT(" ",24)</f>
        <v/>
      </c>
      <c r="W788" s="10">
        <f>IF(A788="c",LEFT(UPPER(B788)&amp;REPT(" ",20),20),REPT(" ",20))</f>
        <v/>
      </c>
      <c r="X788" s="10">
        <f>IF(A788="C",LEFT(UPPER(C788)&amp;REPT(" ",10),10)," ")</f>
        <v/>
      </c>
      <c r="Y788" s="10">
        <f>IF(A788="C",LEFT(UPPER(D788)&amp;REPT(" ",2),2)," ")</f>
        <v/>
      </c>
      <c r="Z788" s="10">
        <f>IF(A788="C",LEFT(UPPER(E788)&amp;REPT(" ",15),15)," ")</f>
        <v/>
      </c>
      <c r="AA788" s="10">
        <f>REPT(" ",8)</f>
        <v/>
      </c>
      <c r="AB788" s="10">
        <f>REPT(" ",4)</f>
        <v/>
      </c>
      <c r="AC788" s="10">
        <f>LEFT(UPPER(H788)&amp;REPT(" ",250),250)</f>
        <v/>
      </c>
      <c r="AD788" s="10">
        <f>TEXT($G$2,"dd/mm/aaaa")</f>
        <v/>
      </c>
      <c r="AE788" s="10">
        <f>REPT(" ",10)</f>
        <v/>
      </c>
      <c r="AF788" s="10">
        <f>REPT(" ",20)</f>
        <v/>
      </c>
      <c r="AG788" s="54">
        <f>REPT(" ",18-LEN(FIXED(F788,2,TRUE)))&amp;FIXED(F788,2,TRUE)</f>
        <v/>
      </c>
      <c r="AH788" s="10">
        <f>LEN(AC788)+LEN(AG788)</f>
        <v/>
      </c>
      <c r="AI788" s="10">
        <f>LEN(L788)</f>
        <v/>
      </c>
    </row>
    <row r="789">
      <c r="A789" s="46" t="n"/>
      <c r="B789" s="38" t="n"/>
      <c r="C789" s="41" t="n"/>
      <c r="D789" s="41" t="n"/>
      <c r="E789" s="41" t="n"/>
      <c r="F789" s="88" t="n"/>
      <c r="G789" s="89" t="n"/>
      <c r="H789" s="37" t="n"/>
      <c r="I789" s="42" t="n"/>
      <c r="J789" s="12">
        <f>IF(F789&lt;&gt;0,"LANÇAR","")</f>
        <v/>
      </c>
      <c r="K789" s="20" t="n"/>
      <c r="L789" s="13">
        <f>N789&amp;O789&amp;P789&amp;Q789&amp;R789&amp;S789&amp;T789&amp;U789&amp;V789&amp;W789&amp;X789&amp;Y789&amp;Z789&amp;AA789&amp;AB789&amp;AC789&amp;AD789&amp;AE789&amp;AF789&amp;AG789</f>
        <v/>
      </c>
      <c r="M789" s="20" t="n"/>
      <c r="N789" s="10">
        <f>TEXT($B$6,"00")</f>
        <v/>
      </c>
      <c r="O789" s="10">
        <f>REPT(" ",8)</f>
        <v/>
      </c>
      <c r="P789" s="10">
        <f>RIGHT($B$4,2)</f>
        <v/>
      </c>
      <c r="Q789" s="10">
        <f>RIGHT($B$5,3)</f>
        <v/>
      </c>
      <c r="R789" s="10">
        <f>IF(A789="D",LEFT(UPPER(B789)&amp;REPT(" ",20),20),REPT(" ",20))</f>
        <v/>
      </c>
      <c r="S789" s="10">
        <f>IF(A789="D",LEFT(UPPER(C789)&amp;REPT(" ",10),10)," ")</f>
        <v/>
      </c>
      <c r="T789" s="10">
        <f>IF(A789="D",LEFT(UPPER(D789)&amp;REPT(" ",2),2)," ")</f>
        <v/>
      </c>
      <c r="U789" s="10">
        <f>IF(A789="D",LEFT(UPPER(E789)&amp;REPT(" ",15),15)," ")</f>
        <v/>
      </c>
      <c r="V789" s="10">
        <f>REPT(" ",24)</f>
        <v/>
      </c>
      <c r="W789" s="10">
        <f>IF(A789="c",LEFT(UPPER(B789)&amp;REPT(" ",20),20),REPT(" ",20))</f>
        <v/>
      </c>
      <c r="X789" s="10">
        <f>IF(A789="C",LEFT(UPPER(C789)&amp;REPT(" ",10),10)," ")</f>
        <v/>
      </c>
      <c r="Y789" s="10">
        <f>IF(A789="C",LEFT(UPPER(D789)&amp;REPT(" ",2),2)," ")</f>
        <v/>
      </c>
      <c r="Z789" s="10">
        <f>IF(A789="C",LEFT(UPPER(E789)&amp;REPT(" ",15),15)," ")</f>
        <v/>
      </c>
      <c r="AA789" s="10">
        <f>REPT(" ",8)</f>
        <v/>
      </c>
      <c r="AB789" s="10">
        <f>REPT(" ",4)</f>
        <v/>
      </c>
      <c r="AC789" s="10">
        <f>LEFT(UPPER(H789)&amp;REPT(" ",250),250)</f>
        <v/>
      </c>
      <c r="AD789" s="10">
        <f>TEXT($G$2,"dd/mm/aaaa")</f>
        <v/>
      </c>
      <c r="AE789" s="10">
        <f>REPT(" ",10)</f>
        <v/>
      </c>
      <c r="AF789" s="10">
        <f>REPT(" ",20)</f>
        <v/>
      </c>
      <c r="AG789" s="54">
        <f>REPT(" ",18-LEN(FIXED(F789,2,TRUE)))&amp;FIXED(F789,2,TRUE)</f>
        <v/>
      </c>
      <c r="AH789" s="10">
        <f>LEN(AC789)+LEN(AG789)</f>
        <v/>
      </c>
      <c r="AI789" s="10">
        <f>LEN(L789)</f>
        <v/>
      </c>
    </row>
    <row r="790">
      <c r="A790" s="46" t="n"/>
      <c r="B790" s="38" t="n"/>
      <c r="C790" s="41" t="n"/>
      <c r="D790" s="41" t="n"/>
      <c r="E790" s="41" t="n"/>
      <c r="F790" s="88" t="n"/>
      <c r="G790" s="89" t="n"/>
      <c r="H790" s="37" t="n"/>
      <c r="I790" s="42" t="n"/>
      <c r="J790" s="12">
        <f>IF(F790&lt;&gt;0,"LANÇAR","")</f>
        <v/>
      </c>
      <c r="K790" s="20" t="n"/>
      <c r="L790" s="13">
        <f>N790&amp;O790&amp;P790&amp;Q790&amp;R790&amp;S790&amp;T790&amp;U790&amp;V790&amp;W790&amp;X790&amp;Y790&amp;Z790&amp;AA790&amp;AB790&amp;AC790&amp;AD790&amp;AE790&amp;AF790&amp;AG790</f>
        <v/>
      </c>
      <c r="M790" s="20" t="n"/>
      <c r="N790" s="10">
        <f>TEXT($B$6,"00")</f>
        <v/>
      </c>
      <c r="O790" s="10">
        <f>REPT(" ",8)</f>
        <v/>
      </c>
      <c r="P790" s="10">
        <f>RIGHT($B$4,2)</f>
        <v/>
      </c>
      <c r="Q790" s="10">
        <f>RIGHT($B$5,3)</f>
        <v/>
      </c>
      <c r="R790" s="10">
        <f>IF(A790="D",LEFT(UPPER(B790)&amp;REPT(" ",20),20),REPT(" ",20))</f>
        <v/>
      </c>
      <c r="S790" s="10">
        <f>IF(A790="D",LEFT(UPPER(C790)&amp;REPT(" ",10),10)," ")</f>
        <v/>
      </c>
      <c r="T790" s="10">
        <f>IF(A790="D",LEFT(UPPER(D790)&amp;REPT(" ",2),2)," ")</f>
        <v/>
      </c>
      <c r="U790" s="10">
        <f>IF(A790="D",LEFT(UPPER(E790)&amp;REPT(" ",15),15)," ")</f>
        <v/>
      </c>
      <c r="V790" s="10">
        <f>REPT(" ",24)</f>
        <v/>
      </c>
      <c r="W790" s="10">
        <f>IF(A790="c",LEFT(UPPER(B790)&amp;REPT(" ",20),20),REPT(" ",20))</f>
        <v/>
      </c>
      <c r="X790" s="10">
        <f>IF(A790="C",LEFT(UPPER(C790)&amp;REPT(" ",10),10)," ")</f>
        <v/>
      </c>
      <c r="Y790" s="10">
        <f>IF(A790="C",LEFT(UPPER(D790)&amp;REPT(" ",2),2)," ")</f>
        <v/>
      </c>
      <c r="Z790" s="10">
        <f>IF(A790="C",LEFT(UPPER(E790)&amp;REPT(" ",15),15)," ")</f>
        <v/>
      </c>
      <c r="AA790" s="10">
        <f>REPT(" ",8)</f>
        <v/>
      </c>
      <c r="AB790" s="10">
        <f>REPT(" ",4)</f>
        <v/>
      </c>
      <c r="AC790" s="10">
        <f>LEFT(UPPER(H790)&amp;REPT(" ",250),250)</f>
        <v/>
      </c>
      <c r="AD790" s="10">
        <f>TEXT($G$2,"dd/mm/aaaa")</f>
        <v/>
      </c>
      <c r="AE790" s="10">
        <f>REPT(" ",10)</f>
        <v/>
      </c>
      <c r="AF790" s="10">
        <f>REPT(" ",20)</f>
        <v/>
      </c>
      <c r="AG790" s="54">
        <f>REPT(" ",18-LEN(FIXED(F790,2,TRUE)))&amp;FIXED(F790,2,TRUE)</f>
        <v/>
      </c>
      <c r="AH790" s="10">
        <f>LEN(AC790)+LEN(AG790)</f>
        <v/>
      </c>
      <c r="AI790" s="10">
        <f>LEN(L790)</f>
        <v/>
      </c>
    </row>
    <row r="791">
      <c r="A791" s="46" t="n"/>
      <c r="B791" s="38" t="n"/>
      <c r="C791" s="41" t="n"/>
      <c r="D791" s="41" t="n"/>
      <c r="E791" s="41" t="n"/>
      <c r="F791" s="88" t="n"/>
      <c r="G791" s="89" t="n"/>
      <c r="H791" s="37" t="n"/>
      <c r="I791" s="42" t="n"/>
      <c r="J791" s="12">
        <f>IF(F791&lt;&gt;0,"LANÇAR","")</f>
        <v/>
      </c>
      <c r="K791" s="20" t="n"/>
      <c r="L791" s="13">
        <f>N791&amp;O791&amp;P791&amp;Q791&amp;R791&amp;S791&amp;T791&amp;U791&amp;V791&amp;W791&amp;X791&amp;Y791&amp;Z791&amp;AA791&amp;AB791&amp;AC791&amp;AD791&amp;AE791&amp;AF791&amp;AG791</f>
        <v/>
      </c>
      <c r="M791" s="20" t="n"/>
      <c r="N791" s="10">
        <f>TEXT($B$6,"00")</f>
        <v/>
      </c>
      <c r="O791" s="10">
        <f>REPT(" ",8)</f>
        <v/>
      </c>
      <c r="P791" s="10">
        <f>RIGHT($B$4,2)</f>
        <v/>
      </c>
      <c r="Q791" s="10">
        <f>RIGHT($B$5,3)</f>
        <v/>
      </c>
      <c r="R791" s="10">
        <f>IF(A791="D",LEFT(UPPER(B791)&amp;REPT(" ",20),20),REPT(" ",20))</f>
        <v/>
      </c>
      <c r="S791" s="10">
        <f>IF(A791="D",LEFT(UPPER(C791)&amp;REPT(" ",10),10)," ")</f>
        <v/>
      </c>
      <c r="T791" s="10">
        <f>IF(A791="D",LEFT(UPPER(D791)&amp;REPT(" ",2),2)," ")</f>
        <v/>
      </c>
      <c r="U791" s="10">
        <f>IF(A791="D",LEFT(UPPER(E791)&amp;REPT(" ",15),15)," ")</f>
        <v/>
      </c>
      <c r="V791" s="10">
        <f>REPT(" ",24)</f>
        <v/>
      </c>
      <c r="W791" s="10">
        <f>IF(A791="c",LEFT(UPPER(B791)&amp;REPT(" ",20),20),REPT(" ",20))</f>
        <v/>
      </c>
      <c r="X791" s="10">
        <f>IF(A791="C",LEFT(UPPER(C791)&amp;REPT(" ",10),10)," ")</f>
        <v/>
      </c>
      <c r="Y791" s="10">
        <f>IF(A791="C",LEFT(UPPER(D791)&amp;REPT(" ",2),2)," ")</f>
        <v/>
      </c>
      <c r="Z791" s="10">
        <f>IF(A791="C",LEFT(UPPER(E791)&amp;REPT(" ",15),15)," ")</f>
        <v/>
      </c>
      <c r="AA791" s="10">
        <f>REPT(" ",8)</f>
        <v/>
      </c>
      <c r="AB791" s="10">
        <f>REPT(" ",4)</f>
        <v/>
      </c>
      <c r="AC791" s="10">
        <f>LEFT(UPPER(H791)&amp;REPT(" ",250),250)</f>
        <v/>
      </c>
      <c r="AD791" s="10">
        <f>TEXT($G$2,"dd/mm/aaaa")</f>
        <v/>
      </c>
      <c r="AE791" s="10">
        <f>REPT(" ",10)</f>
        <v/>
      </c>
      <c r="AF791" s="10">
        <f>REPT(" ",20)</f>
        <v/>
      </c>
      <c r="AG791" s="54">
        <f>REPT(" ",18-LEN(FIXED(F791,2,TRUE)))&amp;FIXED(F791,2,TRUE)</f>
        <v/>
      </c>
      <c r="AH791" s="10">
        <f>LEN(AC791)+LEN(AG791)</f>
        <v/>
      </c>
      <c r="AI791" s="10">
        <f>LEN(L791)</f>
        <v/>
      </c>
    </row>
    <row r="792">
      <c r="A792" s="46" t="n"/>
      <c r="B792" s="38" t="n"/>
      <c r="C792" s="41" t="n"/>
      <c r="D792" s="41" t="n"/>
      <c r="E792" s="41" t="n"/>
      <c r="F792" s="88" t="n"/>
      <c r="G792" s="89" t="n"/>
      <c r="H792" s="37" t="n"/>
      <c r="I792" s="42" t="n"/>
      <c r="J792" s="12">
        <f>IF(F792&lt;&gt;0,"LANÇAR","")</f>
        <v/>
      </c>
      <c r="K792" s="20" t="n"/>
      <c r="L792" s="13">
        <f>N792&amp;O792&amp;P792&amp;Q792&amp;R792&amp;S792&amp;T792&amp;U792&amp;V792&amp;W792&amp;X792&amp;Y792&amp;Z792&amp;AA792&amp;AB792&amp;AC792&amp;AD792&amp;AE792&amp;AF792&amp;AG792</f>
        <v/>
      </c>
      <c r="M792" s="20" t="n"/>
      <c r="N792" s="10">
        <f>TEXT($B$6,"00")</f>
        <v/>
      </c>
      <c r="O792" s="10">
        <f>REPT(" ",8)</f>
        <v/>
      </c>
      <c r="P792" s="10">
        <f>RIGHT($B$4,2)</f>
        <v/>
      </c>
      <c r="Q792" s="10">
        <f>RIGHT($B$5,3)</f>
        <v/>
      </c>
      <c r="R792" s="10">
        <f>IF(A792="D",LEFT(UPPER(B792)&amp;REPT(" ",20),20),REPT(" ",20))</f>
        <v/>
      </c>
      <c r="S792" s="10">
        <f>IF(A792="D",LEFT(UPPER(C792)&amp;REPT(" ",10),10)," ")</f>
        <v/>
      </c>
      <c r="T792" s="10">
        <f>IF(A792="D",LEFT(UPPER(D792)&amp;REPT(" ",2),2)," ")</f>
        <v/>
      </c>
      <c r="U792" s="10">
        <f>IF(A792="D",LEFT(UPPER(E792)&amp;REPT(" ",15),15)," ")</f>
        <v/>
      </c>
      <c r="V792" s="10">
        <f>REPT(" ",24)</f>
        <v/>
      </c>
      <c r="W792" s="10">
        <f>IF(A792="c",LEFT(UPPER(B792)&amp;REPT(" ",20),20),REPT(" ",20))</f>
        <v/>
      </c>
      <c r="X792" s="10">
        <f>IF(A792="C",LEFT(UPPER(C792)&amp;REPT(" ",10),10)," ")</f>
        <v/>
      </c>
      <c r="Y792" s="10">
        <f>IF(A792="C",LEFT(UPPER(D792)&amp;REPT(" ",2),2)," ")</f>
        <v/>
      </c>
      <c r="Z792" s="10">
        <f>IF(A792="C",LEFT(UPPER(E792)&amp;REPT(" ",15),15)," ")</f>
        <v/>
      </c>
      <c r="AA792" s="10">
        <f>REPT(" ",8)</f>
        <v/>
      </c>
      <c r="AB792" s="10">
        <f>REPT(" ",4)</f>
        <v/>
      </c>
      <c r="AC792" s="10">
        <f>LEFT(UPPER(H792)&amp;REPT(" ",250),250)</f>
        <v/>
      </c>
      <c r="AD792" s="10">
        <f>TEXT($G$2,"dd/mm/aaaa")</f>
        <v/>
      </c>
      <c r="AE792" s="10">
        <f>REPT(" ",10)</f>
        <v/>
      </c>
      <c r="AF792" s="10">
        <f>REPT(" ",20)</f>
        <v/>
      </c>
      <c r="AG792" s="54">
        <f>REPT(" ",18-LEN(FIXED(F792,2,TRUE)))&amp;FIXED(F792,2,TRUE)</f>
        <v/>
      </c>
      <c r="AH792" s="10">
        <f>LEN(AC792)+LEN(AG792)</f>
        <v/>
      </c>
      <c r="AI792" s="10">
        <f>LEN(L792)</f>
        <v/>
      </c>
    </row>
    <row r="793">
      <c r="A793" s="46" t="n"/>
      <c r="B793" s="38" t="n"/>
      <c r="C793" s="41" t="n"/>
      <c r="D793" s="41" t="n"/>
      <c r="E793" s="41" t="n"/>
      <c r="F793" s="88" t="n"/>
      <c r="G793" s="89" t="n"/>
      <c r="H793" s="37" t="n"/>
      <c r="I793" s="42" t="n"/>
      <c r="J793" s="12">
        <f>IF(F793&lt;&gt;0,"LANÇAR","")</f>
        <v/>
      </c>
      <c r="K793" s="20" t="n"/>
      <c r="L793" s="13">
        <f>N793&amp;O793&amp;P793&amp;Q793&amp;R793&amp;S793&amp;T793&amp;U793&amp;V793&amp;W793&amp;X793&amp;Y793&amp;Z793&amp;AA793&amp;AB793&amp;AC793&amp;AD793&amp;AE793&amp;AF793&amp;AG793</f>
        <v/>
      </c>
      <c r="M793" s="20" t="n"/>
      <c r="N793" s="10">
        <f>TEXT($B$6,"00")</f>
        <v/>
      </c>
      <c r="O793" s="10">
        <f>REPT(" ",8)</f>
        <v/>
      </c>
      <c r="P793" s="10">
        <f>RIGHT($B$4,2)</f>
        <v/>
      </c>
      <c r="Q793" s="10">
        <f>RIGHT($B$5,3)</f>
        <v/>
      </c>
      <c r="R793" s="10">
        <f>IF(A793="D",LEFT(UPPER(B793)&amp;REPT(" ",20),20),REPT(" ",20))</f>
        <v/>
      </c>
      <c r="S793" s="10">
        <f>IF(A793="D",LEFT(UPPER(C793)&amp;REPT(" ",10),10)," ")</f>
        <v/>
      </c>
      <c r="T793" s="10">
        <f>IF(A793="D",LEFT(UPPER(D793)&amp;REPT(" ",2),2)," ")</f>
        <v/>
      </c>
      <c r="U793" s="10">
        <f>IF(A793="D",LEFT(UPPER(E793)&amp;REPT(" ",15),15)," ")</f>
        <v/>
      </c>
      <c r="V793" s="10">
        <f>REPT(" ",24)</f>
        <v/>
      </c>
      <c r="W793" s="10">
        <f>IF(A793="c",LEFT(UPPER(B793)&amp;REPT(" ",20),20),REPT(" ",20))</f>
        <v/>
      </c>
      <c r="X793" s="10">
        <f>IF(A793="C",LEFT(UPPER(C793)&amp;REPT(" ",10),10)," ")</f>
        <v/>
      </c>
      <c r="Y793" s="10">
        <f>IF(A793="C",LEFT(UPPER(D793)&amp;REPT(" ",2),2)," ")</f>
        <v/>
      </c>
      <c r="Z793" s="10">
        <f>IF(A793="C",LEFT(UPPER(E793)&amp;REPT(" ",15),15)," ")</f>
        <v/>
      </c>
      <c r="AA793" s="10">
        <f>REPT(" ",8)</f>
        <v/>
      </c>
      <c r="AB793" s="10">
        <f>REPT(" ",4)</f>
        <v/>
      </c>
      <c r="AC793" s="10">
        <f>LEFT(UPPER(H793)&amp;REPT(" ",250),250)</f>
        <v/>
      </c>
      <c r="AD793" s="10">
        <f>TEXT($G$2,"dd/mm/aaaa")</f>
        <v/>
      </c>
      <c r="AE793" s="10">
        <f>REPT(" ",10)</f>
        <v/>
      </c>
      <c r="AF793" s="10">
        <f>REPT(" ",20)</f>
        <v/>
      </c>
      <c r="AG793" s="54">
        <f>REPT(" ",18-LEN(FIXED(F793,2,TRUE)))&amp;FIXED(F793,2,TRUE)</f>
        <v/>
      </c>
      <c r="AH793" s="10">
        <f>LEN(AC793)+LEN(AG793)</f>
        <v/>
      </c>
      <c r="AI793" s="10">
        <f>LEN(L793)</f>
        <v/>
      </c>
    </row>
    <row r="794">
      <c r="A794" s="46" t="n"/>
      <c r="B794" s="38" t="n"/>
      <c r="C794" s="41" t="n"/>
      <c r="D794" s="41" t="n"/>
      <c r="E794" s="41" t="n"/>
      <c r="F794" s="88" t="n"/>
      <c r="G794" s="89" t="n"/>
      <c r="H794" s="37" t="n"/>
      <c r="I794" s="42" t="n"/>
      <c r="J794" s="12">
        <f>IF(F794&lt;&gt;0,"LANÇAR","")</f>
        <v/>
      </c>
      <c r="K794" s="20" t="n"/>
      <c r="L794" s="13">
        <f>N794&amp;O794&amp;P794&amp;Q794&amp;R794&amp;S794&amp;T794&amp;U794&amp;V794&amp;W794&amp;X794&amp;Y794&amp;Z794&amp;AA794&amp;AB794&amp;AC794&amp;AD794&amp;AE794&amp;AF794&amp;AG794</f>
        <v/>
      </c>
      <c r="M794" s="20" t="n"/>
      <c r="N794" s="10">
        <f>TEXT($B$6,"00")</f>
        <v/>
      </c>
      <c r="O794" s="10">
        <f>REPT(" ",8)</f>
        <v/>
      </c>
      <c r="P794" s="10">
        <f>RIGHT($B$4,2)</f>
        <v/>
      </c>
      <c r="Q794" s="10">
        <f>RIGHT($B$5,3)</f>
        <v/>
      </c>
      <c r="R794" s="10">
        <f>IF(A794="D",LEFT(UPPER(B794)&amp;REPT(" ",20),20),REPT(" ",20))</f>
        <v/>
      </c>
      <c r="S794" s="10">
        <f>IF(A794="D",LEFT(UPPER(C794)&amp;REPT(" ",10),10)," ")</f>
        <v/>
      </c>
      <c r="T794" s="10">
        <f>IF(A794="D",LEFT(UPPER(D794)&amp;REPT(" ",2),2)," ")</f>
        <v/>
      </c>
      <c r="U794" s="10">
        <f>IF(A794="D",LEFT(UPPER(E794)&amp;REPT(" ",15),15)," ")</f>
        <v/>
      </c>
      <c r="V794" s="10">
        <f>REPT(" ",24)</f>
        <v/>
      </c>
      <c r="W794" s="10">
        <f>IF(A794="c",LEFT(UPPER(B794)&amp;REPT(" ",20),20),REPT(" ",20))</f>
        <v/>
      </c>
      <c r="X794" s="10">
        <f>IF(A794="C",LEFT(UPPER(C794)&amp;REPT(" ",10),10)," ")</f>
        <v/>
      </c>
      <c r="Y794" s="10">
        <f>IF(A794="C",LEFT(UPPER(D794)&amp;REPT(" ",2),2)," ")</f>
        <v/>
      </c>
      <c r="Z794" s="10">
        <f>IF(A794="C",LEFT(UPPER(E794)&amp;REPT(" ",15),15)," ")</f>
        <v/>
      </c>
      <c r="AA794" s="10">
        <f>REPT(" ",8)</f>
        <v/>
      </c>
      <c r="AB794" s="10">
        <f>REPT(" ",4)</f>
        <v/>
      </c>
      <c r="AC794" s="10">
        <f>LEFT(UPPER(H794)&amp;REPT(" ",250),250)</f>
        <v/>
      </c>
      <c r="AD794" s="10">
        <f>TEXT($G$2,"dd/mm/aaaa")</f>
        <v/>
      </c>
      <c r="AE794" s="10">
        <f>REPT(" ",10)</f>
        <v/>
      </c>
      <c r="AF794" s="10">
        <f>REPT(" ",20)</f>
        <v/>
      </c>
      <c r="AG794" s="54">
        <f>REPT(" ",18-LEN(FIXED(F794,2,TRUE)))&amp;FIXED(F794,2,TRUE)</f>
        <v/>
      </c>
      <c r="AH794" s="10">
        <f>LEN(AC794)+LEN(AG794)</f>
        <v/>
      </c>
      <c r="AI794" s="10">
        <f>LEN(L794)</f>
        <v/>
      </c>
    </row>
    <row r="795">
      <c r="A795" s="46" t="n"/>
      <c r="B795" s="38" t="n"/>
      <c r="C795" s="41" t="n"/>
      <c r="D795" s="41" t="n"/>
      <c r="E795" s="41" t="n"/>
      <c r="F795" s="88" t="n"/>
      <c r="G795" s="89" t="n"/>
      <c r="H795" s="37" t="n"/>
      <c r="I795" s="42" t="n"/>
      <c r="J795" s="12">
        <f>IF(F795&lt;&gt;0,"LANÇAR","")</f>
        <v/>
      </c>
      <c r="K795" s="20" t="n"/>
      <c r="L795" s="13">
        <f>N795&amp;O795&amp;P795&amp;Q795&amp;R795&amp;S795&amp;T795&amp;U795&amp;V795&amp;W795&amp;X795&amp;Y795&amp;Z795&amp;AA795&amp;AB795&amp;AC795&amp;AD795&amp;AE795&amp;AF795&amp;AG795</f>
        <v/>
      </c>
      <c r="M795" s="20" t="n"/>
      <c r="N795" s="10">
        <f>TEXT($B$6,"00")</f>
        <v/>
      </c>
      <c r="O795" s="10">
        <f>REPT(" ",8)</f>
        <v/>
      </c>
      <c r="P795" s="10">
        <f>RIGHT($B$4,2)</f>
        <v/>
      </c>
      <c r="Q795" s="10">
        <f>RIGHT($B$5,3)</f>
        <v/>
      </c>
      <c r="R795" s="10">
        <f>IF(A795="D",LEFT(UPPER(B795)&amp;REPT(" ",20),20),REPT(" ",20))</f>
        <v/>
      </c>
      <c r="S795" s="10">
        <f>IF(A795="D",LEFT(UPPER(C795)&amp;REPT(" ",10),10)," ")</f>
        <v/>
      </c>
      <c r="T795" s="10">
        <f>IF(A795="D",LEFT(UPPER(D795)&amp;REPT(" ",2),2)," ")</f>
        <v/>
      </c>
      <c r="U795" s="10">
        <f>IF(A795="D",LEFT(UPPER(E795)&amp;REPT(" ",15),15)," ")</f>
        <v/>
      </c>
      <c r="V795" s="10">
        <f>REPT(" ",24)</f>
        <v/>
      </c>
      <c r="W795" s="10">
        <f>IF(A795="c",LEFT(UPPER(B795)&amp;REPT(" ",20),20),REPT(" ",20))</f>
        <v/>
      </c>
      <c r="X795" s="10">
        <f>IF(A795="C",LEFT(UPPER(C795)&amp;REPT(" ",10),10)," ")</f>
        <v/>
      </c>
      <c r="Y795" s="10">
        <f>IF(A795="C",LEFT(UPPER(D795)&amp;REPT(" ",2),2)," ")</f>
        <v/>
      </c>
      <c r="Z795" s="10">
        <f>IF(A795="C",LEFT(UPPER(E795)&amp;REPT(" ",15),15)," ")</f>
        <v/>
      </c>
      <c r="AA795" s="10">
        <f>REPT(" ",8)</f>
        <v/>
      </c>
      <c r="AB795" s="10">
        <f>REPT(" ",4)</f>
        <v/>
      </c>
      <c r="AC795" s="10">
        <f>LEFT(UPPER(H795)&amp;REPT(" ",250),250)</f>
        <v/>
      </c>
      <c r="AD795" s="10">
        <f>TEXT($G$2,"dd/mm/aaaa")</f>
        <v/>
      </c>
      <c r="AE795" s="10">
        <f>REPT(" ",10)</f>
        <v/>
      </c>
      <c r="AF795" s="10">
        <f>REPT(" ",20)</f>
        <v/>
      </c>
      <c r="AG795" s="54">
        <f>REPT(" ",18-LEN(FIXED(F795,2,TRUE)))&amp;FIXED(F795,2,TRUE)</f>
        <v/>
      </c>
      <c r="AH795" s="10">
        <f>LEN(AC795)+LEN(AG795)</f>
        <v/>
      </c>
      <c r="AI795" s="10">
        <f>LEN(L795)</f>
        <v/>
      </c>
    </row>
    <row r="796">
      <c r="A796" s="46" t="n"/>
      <c r="B796" s="38" t="n"/>
      <c r="C796" s="41" t="n"/>
      <c r="D796" s="41" t="n"/>
      <c r="E796" s="41" t="n"/>
      <c r="F796" s="88" t="n"/>
      <c r="G796" s="89" t="n"/>
      <c r="H796" s="37" t="n"/>
      <c r="I796" s="42" t="n"/>
      <c r="J796" s="12">
        <f>IF(F796&lt;&gt;0,"LANÇAR","")</f>
        <v/>
      </c>
      <c r="K796" s="20" t="n"/>
      <c r="L796" s="13">
        <f>N796&amp;O796&amp;P796&amp;Q796&amp;R796&amp;S796&amp;T796&amp;U796&amp;V796&amp;W796&amp;X796&amp;Y796&amp;Z796&amp;AA796&amp;AB796&amp;AC796&amp;AD796&amp;AE796&amp;AF796&amp;AG796</f>
        <v/>
      </c>
      <c r="M796" s="20" t="n"/>
      <c r="N796" s="10">
        <f>TEXT($B$6,"00")</f>
        <v/>
      </c>
      <c r="O796" s="10">
        <f>REPT(" ",8)</f>
        <v/>
      </c>
      <c r="P796" s="10">
        <f>RIGHT($B$4,2)</f>
        <v/>
      </c>
      <c r="Q796" s="10">
        <f>RIGHT($B$5,3)</f>
        <v/>
      </c>
      <c r="R796" s="10">
        <f>IF(A796="D",LEFT(UPPER(B796)&amp;REPT(" ",20),20),REPT(" ",20))</f>
        <v/>
      </c>
      <c r="S796" s="10">
        <f>IF(A796="D",LEFT(UPPER(C796)&amp;REPT(" ",10),10)," ")</f>
        <v/>
      </c>
      <c r="T796" s="10">
        <f>IF(A796="D",LEFT(UPPER(D796)&amp;REPT(" ",2),2)," ")</f>
        <v/>
      </c>
      <c r="U796" s="10">
        <f>IF(A796="D",LEFT(UPPER(E796)&amp;REPT(" ",15),15)," ")</f>
        <v/>
      </c>
      <c r="V796" s="10">
        <f>REPT(" ",24)</f>
        <v/>
      </c>
      <c r="W796" s="10">
        <f>IF(A796="c",LEFT(UPPER(B796)&amp;REPT(" ",20),20),REPT(" ",20))</f>
        <v/>
      </c>
      <c r="X796" s="10">
        <f>IF(A796="C",LEFT(UPPER(C796)&amp;REPT(" ",10),10)," ")</f>
        <v/>
      </c>
      <c r="Y796" s="10">
        <f>IF(A796="C",LEFT(UPPER(D796)&amp;REPT(" ",2),2)," ")</f>
        <v/>
      </c>
      <c r="Z796" s="10">
        <f>IF(A796="C",LEFT(UPPER(E796)&amp;REPT(" ",15),15)," ")</f>
        <v/>
      </c>
      <c r="AA796" s="10">
        <f>REPT(" ",8)</f>
        <v/>
      </c>
      <c r="AB796" s="10">
        <f>REPT(" ",4)</f>
        <v/>
      </c>
      <c r="AC796" s="10">
        <f>LEFT(UPPER(H796)&amp;REPT(" ",250),250)</f>
        <v/>
      </c>
      <c r="AD796" s="10">
        <f>TEXT($G$2,"dd/mm/aaaa")</f>
        <v/>
      </c>
      <c r="AE796" s="10">
        <f>REPT(" ",10)</f>
        <v/>
      </c>
      <c r="AF796" s="10">
        <f>REPT(" ",20)</f>
        <v/>
      </c>
      <c r="AG796" s="54">
        <f>REPT(" ",18-LEN(FIXED(F796,2,TRUE)))&amp;FIXED(F796,2,TRUE)</f>
        <v/>
      </c>
      <c r="AH796" s="10">
        <f>LEN(AC796)+LEN(AG796)</f>
        <v/>
      </c>
      <c r="AI796" s="10">
        <f>LEN(L796)</f>
        <v/>
      </c>
    </row>
    <row r="797">
      <c r="A797" s="46" t="n"/>
      <c r="B797" s="38" t="n"/>
      <c r="C797" s="41" t="n"/>
      <c r="D797" s="41" t="n"/>
      <c r="E797" s="41" t="n"/>
      <c r="F797" s="88" t="n"/>
      <c r="G797" s="89" t="n"/>
      <c r="H797" s="37" t="n"/>
      <c r="I797" s="42" t="n"/>
      <c r="J797" s="12">
        <f>IF(F797&lt;&gt;0,"LANÇAR","")</f>
        <v/>
      </c>
      <c r="K797" s="20" t="n"/>
      <c r="L797" s="13">
        <f>N797&amp;O797&amp;P797&amp;Q797&amp;R797&amp;S797&amp;T797&amp;U797&amp;V797&amp;W797&amp;X797&amp;Y797&amp;Z797&amp;AA797&amp;AB797&amp;AC797&amp;AD797&amp;AE797&amp;AF797&amp;AG797</f>
        <v/>
      </c>
      <c r="M797" s="20" t="n"/>
      <c r="N797" s="10">
        <f>TEXT($B$6,"00")</f>
        <v/>
      </c>
      <c r="O797" s="10">
        <f>REPT(" ",8)</f>
        <v/>
      </c>
      <c r="P797" s="10">
        <f>RIGHT($B$4,2)</f>
        <v/>
      </c>
      <c r="Q797" s="10">
        <f>RIGHT($B$5,3)</f>
        <v/>
      </c>
      <c r="R797" s="10">
        <f>IF(A797="D",LEFT(UPPER(B797)&amp;REPT(" ",20),20),REPT(" ",20))</f>
        <v/>
      </c>
      <c r="S797" s="10">
        <f>IF(A797="D",LEFT(UPPER(C797)&amp;REPT(" ",10),10)," ")</f>
        <v/>
      </c>
      <c r="T797" s="10">
        <f>IF(A797="D",LEFT(UPPER(D797)&amp;REPT(" ",2),2)," ")</f>
        <v/>
      </c>
      <c r="U797" s="10">
        <f>IF(A797="D",LEFT(UPPER(E797)&amp;REPT(" ",15),15)," ")</f>
        <v/>
      </c>
      <c r="V797" s="10">
        <f>REPT(" ",24)</f>
        <v/>
      </c>
      <c r="W797" s="10">
        <f>IF(A797="c",LEFT(UPPER(B797)&amp;REPT(" ",20),20),REPT(" ",20))</f>
        <v/>
      </c>
      <c r="X797" s="10">
        <f>IF(A797="C",LEFT(UPPER(C797)&amp;REPT(" ",10),10)," ")</f>
        <v/>
      </c>
      <c r="Y797" s="10">
        <f>IF(A797="C",LEFT(UPPER(D797)&amp;REPT(" ",2),2)," ")</f>
        <v/>
      </c>
      <c r="Z797" s="10">
        <f>IF(A797="C",LEFT(UPPER(E797)&amp;REPT(" ",15),15)," ")</f>
        <v/>
      </c>
      <c r="AA797" s="10">
        <f>REPT(" ",8)</f>
        <v/>
      </c>
      <c r="AB797" s="10">
        <f>REPT(" ",4)</f>
        <v/>
      </c>
      <c r="AC797" s="10">
        <f>LEFT(UPPER(H797)&amp;REPT(" ",250),250)</f>
        <v/>
      </c>
      <c r="AD797" s="10">
        <f>TEXT($G$2,"dd/mm/aaaa")</f>
        <v/>
      </c>
      <c r="AE797" s="10">
        <f>REPT(" ",10)</f>
        <v/>
      </c>
      <c r="AF797" s="10">
        <f>REPT(" ",20)</f>
        <v/>
      </c>
      <c r="AG797" s="54">
        <f>REPT(" ",18-LEN(FIXED(F797,2,TRUE)))&amp;FIXED(F797,2,TRUE)</f>
        <v/>
      </c>
      <c r="AH797" s="10">
        <f>LEN(AC797)+LEN(AG797)</f>
        <v/>
      </c>
      <c r="AI797" s="10">
        <f>LEN(L797)</f>
        <v/>
      </c>
    </row>
    <row r="798">
      <c r="A798" s="46" t="n"/>
      <c r="B798" s="38" t="n"/>
      <c r="C798" s="41" t="n"/>
      <c r="D798" s="41" t="n"/>
      <c r="E798" s="41" t="n"/>
      <c r="F798" s="88" t="n"/>
      <c r="G798" s="89" t="n"/>
      <c r="H798" s="37" t="n"/>
      <c r="I798" s="42" t="n"/>
      <c r="J798" s="12">
        <f>IF(F798&lt;&gt;0,"LANÇAR","")</f>
        <v/>
      </c>
      <c r="K798" s="20" t="n"/>
      <c r="L798" s="13">
        <f>N798&amp;O798&amp;P798&amp;Q798&amp;R798&amp;S798&amp;T798&amp;U798&amp;V798&amp;W798&amp;X798&amp;Y798&amp;Z798&amp;AA798&amp;AB798&amp;AC798&amp;AD798&amp;AE798&amp;AF798&amp;AG798</f>
        <v/>
      </c>
      <c r="M798" s="20" t="n"/>
      <c r="N798" s="10">
        <f>TEXT($B$6,"00")</f>
        <v/>
      </c>
      <c r="O798" s="10">
        <f>REPT(" ",8)</f>
        <v/>
      </c>
      <c r="P798" s="10">
        <f>RIGHT($B$4,2)</f>
        <v/>
      </c>
      <c r="Q798" s="10">
        <f>RIGHT($B$5,3)</f>
        <v/>
      </c>
      <c r="R798" s="10">
        <f>IF(A798="D",LEFT(UPPER(B798)&amp;REPT(" ",20),20),REPT(" ",20))</f>
        <v/>
      </c>
      <c r="S798" s="10">
        <f>IF(A798="D",LEFT(UPPER(C798)&amp;REPT(" ",10),10)," ")</f>
        <v/>
      </c>
      <c r="T798" s="10">
        <f>IF(A798="D",LEFT(UPPER(D798)&amp;REPT(" ",2),2)," ")</f>
        <v/>
      </c>
      <c r="U798" s="10">
        <f>IF(A798="D",LEFT(UPPER(E798)&amp;REPT(" ",15),15)," ")</f>
        <v/>
      </c>
      <c r="V798" s="10">
        <f>REPT(" ",24)</f>
        <v/>
      </c>
      <c r="W798" s="10">
        <f>IF(A798="c",LEFT(UPPER(B798)&amp;REPT(" ",20),20),REPT(" ",20))</f>
        <v/>
      </c>
      <c r="X798" s="10">
        <f>IF(A798="C",LEFT(UPPER(C798)&amp;REPT(" ",10),10)," ")</f>
        <v/>
      </c>
      <c r="Y798" s="10">
        <f>IF(A798="C",LEFT(UPPER(D798)&amp;REPT(" ",2),2)," ")</f>
        <v/>
      </c>
      <c r="Z798" s="10">
        <f>IF(A798="C",LEFT(UPPER(E798)&amp;REPT(" ",15),15)," ")</f>
        <v/>
      </c>
      <c r="AA798" s="10">
        <f>REPT(" ",8)</f>
        <v/>
      </c>
      <c r="AB798" s="10">
        <f>REPT(" ",4)</f>
        <v/>
      </c>
      <c r="AC798" s="10">
        <f>LEFT(UPPER(H798)&amp;REPT(" ",250),250)</f>
        <v/>
      </c>
      <c r="AD798" s="10">
        <f>TEXT($G$2,"dd/mm/aaaa")</f>
        <v/>
      </c>
      <c r="AE798" s="10">
        <f>REPT(" ",10)</f>
        <v/>
      </c>
      <c r="AF798" s="10">
        <f>REPT(" ",20)</f>
        <v/>
      </c>
      <c r="AG798" s="54">
        <f>REPT(" ",18-LEN(FIXED(F798,2,TRUE)))&amp;FIXED(F798,2,TRUE)</f>
        <v/>
      </c>
      <c r="AH798" s="10">
        <f>LEN(AC798)+LEN(AG798)</f>
        <v/>
      </c>
      <c r="AI798" s="10">
        <f>LEN(L798)</f>
        <v/>
      </c>
    </row>
    <row r="799">
      <c r="A799" s="46" t="n"/>
      <c r="B799" s="38" t="n"/>
      <c r="C799" s="41" t="n"/>
      <c r="D799" s="41" t="n"/>
      <c r="E799" s="41" t="n"/>
      <c r="F799" s="88" t="n"/>
      <c r="G799" s="89" t="n"/>
      <c r="H799" s="37" t="n"/>
      <c r="I799" s="42" t="n"/>
      <c r="J799" s="12">
        <f>IF(F799&lt;&gt;0,"LANÇAR","")</f>
        <v/>
      </c>
      <c r="K799" s="20" t="n"/>
      <c r="L799" s="13">
        <f>N799&amp;O799&amp;P799&amp;Q799&amp;R799&amp;S799&amp;T799&amp;U799&amp;V799&amp;W799&amp;X799&amp;Y799&amp;Z799&amp;AA799&amp;AB799&amp;AC799&amp;AD799&amp;AE799&amp;AF799&amp;AG799</f>
        <v/>
      </c>
      <c r="M799" s="20" t="n"/>
      <c r="N799" s="10">
        <f>TEXT($B$6,"00")</f>
        <v/>
      </c>
      <c r="O799" s="10">
        <f>REPT(" ",8)</f>
        <v/>
      </c>
      <c r="P799" s="10">
        <f>RIGHT($B$4,2)</f>
        <v/>
      </c>
      <c r="Q799" s="10">
        <f>RIGHT($B$5,3)</f>
        <v/>
      </c>
      <c r="R799" s="10">
        <f>IF(A799="D",LEFT(UPPER(B799)&amp;REPT(" ",20),20),REPT(" ",20))</f>
        <v/>
      </c>
      <c r="S799" s="10">
        <f>IF(A799="D",LEFT(UPPER(C799)&amp;REPT(" ",10),10)," ")</f>
        <v/>
      </c>
      <c r="T799" s="10">
        <f>IF(A799="D",LEFT(UPPER(D799)&amp;REPT(" ",2),2)," ")</f>
        <v/>
      </c>
      <c r="U799" s="10">
        <f>IF(A799="D",LEFT(UPPER(E799)&amp;REPT(" ",15),15)," ")</f>
        <v/>
      </c>
      <c r="V799" s="10">
        <f>REPT(" ",24)</f>
        <v/>
      </c>
      <c r="W799" s="10">
        <f>IF(A799="c",LEFT(UPPER(B799)&amp;REPT(" ",20),20),REPT(" ",20))</f>
        <v/>
      </c>
      <c r="X799" s="10">
        <f>IF(A799="C",LEFT(UPPER(C799)&amp;REPT(" ",10),10)," ")</f>
        <v/>
      </c>
      <c r="Y799" s="10">
        <f>IF(A799="C",LEFT(UPPER(D799)&amp;REPT(" ",2),2)," ")</f>
        <v/>
      </c>
      <c r="Z799" s="10">
        <f>IF(A799="C",LEFT(UPPER(E799)&amp;REPT(" ",15),15)," ")</f>
        <v/>
      </c>
      <c r="AA799" s="10">
        <f>REPT(" ",8)</f>
        <v/>
      </c>
      <c r="AB799" s="10">
        <f>REPT(" ",4)</f>
        <v/>
      </c>
      <c r="AC799" s="10">
        <f>LEFT(UPPER(H799)&amp;REPT(" ",250),250)</f>
        <v/>
      </c>
      <c r="AD799" s="10">
        <f>TEXT($G$2,"dd/mm/aaaa")</f>
        <v/>
      </c>
      <c r="AE799" s="10">
        <f>REPT(" ",10)</f>
        <v/>
      </c>
      <c r="AF799" s="10">
        <f>REPT(" ",20)</f>
        <v/>
      </c>
      <c r="AG799" s="54">
        <f>REPT(" ",18-LEN(FIXED(F799,2,TRUE)))&amp;FIXED(F799,2,TRUE)</f>
        <v/>
      </c>
      <c r="AH799" s="10">
        <f>LEN(AC799)+LEN(AG799)</f>
        <v/>
      </c>
      <c r="AI799" s="10">
        <f>LEN(L799)</f>
        <v/>
      </c>
    </row>
    <row r="800">
      <c r="A800" s="46" t="n"/>
      <c r="B800" s="38" t="n"/>
      <c r="C800" s="41" t="n"/>
      <c r="D800" s="41" t="n"/>
      <c r="E800" s="41" t="n"/>
      <c r="F800" s="88" t="n"/>
      <c r="G800" s="89" t="n"/>
      <c r="H800" s="37" t="n"/>
      <c r="I800" s="42" t="n"/>
      <c r="J800" s="12">
        <f>IF(F800&lt;&gt;0,"LANÇAR","")</f>
        <v/>
      </c>
      <c r="K800" s="20" t="n"/>
      <c r="L800" s="13">
        <f>N800&amp;O800&amp;P800&amp;Q800&amp;R800&amp;S800&amp;T800&amp;U800&amp;V800&amp;W800&amp;X800&amp;Y800&amp;Z800&amp;AA800&amp;AB800&amp;AC800&amp;AD800&amp;AE800&amp;AF800&amp;AG800</f>
        <v/>
      </c>
      <c r="M800" s="20" t="n"/>
      <c r="N800" s="10">
        <f>TEXT($B$6,"00")</f>
        <v/>
      </c>
      <c r="O800" s="10">
        <f>REPT(" ",8)</f>
        <v/>
      </c>
      <c r="P800" s="10">
        <f>RIGHT($B$4,2)</f>
        <v/>
      </c>
      <c r="Q800" s="10">
        <f>RIGHT($B$5,3)</f>
        <v/>
      </c>
      <c r="R800" s="10">
        <f>IF(A800="D",LEFT(UPPER(B800)&amp;REPT(" ",20),20),REPT(" ",20))</f>
        <v/>
      </c>
      <c r="S800" s="10">
        <f>IF(A800="D",LEFT(UPPER(C800)&amp;REPT(" ",10),10)," ")</f>
        <v/>
      </c>
      <c r="T800" s="10">
        <f>IF(A800="D",LEFT(UPPER(D800)&amp;REPT(" ",2),2)," ")</f>
        <v/>
      </c>
      <c r="U800" s="10">
        <f>IF(A800="D",LEFT(UPPER(E800)&amp;REPT(" ",15),15)," ")</f>
        <v/>
      </c>
      <c r="V800" s="10">
        <f>REPT(" ",24)</f>
        <v/>
      </c>
      <c r="W800" s="10">
        <f>IF(A800="c",LEFT(UPPER(B800)&amp;REPT(" ",20),20),REPT(" ",20))</f>
        <v/>
      </c>
      <c r="X800" s="10">
        <f>IF(A800="C",LEFT(UPPER(C800)&amp;REPT(" ",10),10)," ")</f>
        <v/>
      </c>
      <c r="Y800" s="10">
        <f>IF(A800="C",LEFT(UPPER(D800)&amp;REPT(" ",2),2)," ")</f>
        <v/>
      </c>
      <c r="Z800" s="10">
        <f>IF(A800="C",LEFT(UPPER(E800)&amp;REPT(" ",15),15)," ")</f>
        <v/>
      </c>
      <c r="AA800" s="10">
        <f>REPT(" ",8)</f>
        <v/>
      </c>
      <c r="AB800" s="10">
        <f>REPT(" ",4)</f>
        <v/>
      </c>
      <c r="AC800" s="10">
        <f>LEFT(UPPER(H800)&amp;REPT(" ",250),250)</f>
        <v/>
      </c>
      <c r="AD800" s="10">
        <f>TEXT($G$2,"dd/mm/aaaa")</f>
        <v/>
      </c>
      <c r="AE800" s="10">
        <f>REPT(" ",10)</f>
        <v/>
      </c>
      <c r="AF800" s="10">
        <f>REPT(" ",20)</f>
        <v/>
      </c>
      <c r="AG800" s="54">
        <f>REPT(" ",18-LEN(FIXED(F800,2,TRUE)))&amp;FIXED(F800,2,TRUE)</f>
        <v/>
      </c>
      <c r="AH800" s="10">
        <f>LEN(AC800)+LEN(AG800)</f>
        <v/>
      </c>
      <c r="AI800" s="10">
        <f>LEN(L800)</f>
        <v/>
      </c>
    </row>
    <row r="801">
      <c r="A801" s="46" t="n"/>
      <c r="B801" s="38" t="n"/>
      <c r="C801" s="41" t="n"/>
      <c r="D801" s="41" t="n"/>
      <c r="E801" s="41" t="n"/>
      <c r="F801" s="88" t="n"/>
      <c r="G801" s="89" t="n"/>
      <c r="H801" s="37" t="n"/>
      <c r="I801" s="42" t="n"/>
      <c r="J801" s="12">
        <f>IF(F801&lt;&gt;0,"LANÇAR","")</f>
        <v/>
      </c>
      <c r="K801" s="20" t="n"/>
      <c r="L801" s="13">
        <f>N801&amp;O801&amp;P801&amp;Q801&amp;R801&amp;S801&amp;T801&amp;U801&amp;V801&amp;W801&amp;X801&amp;Y801&amp;Z801&amp;AA801&amp;AB801&amp;AC801&amp;AD801&amp;AE801&amp;AF801&amp;AG801</f>
        <v/>
      </c>
      <c r="M801" s="20" t="n"/>
      <c r="N801" s="10">
        <f>TEXT($B$6,"00")</f>
        <v/>
      </c>
      <c r="O801" s="10">
        <f>REPT(" ",8)</f>
        <v/>
      </c>
      <c r="P801" s="10">
        <f>RIGHT($B$4,2)</f>
        <v/>
      </c>
      <c r="Q801" s="10">
        <f>RIGHT($B$5,3)</f>
        <v/>
      </c>
      <c r="R801" s="10">
        <f>IF(A801="D",LEFT(UPPER(B801)&amp;REPT(" ",20),20),REPT(" ",20))</f>
        <v/>
      </c>
      <c r="S801" s="10">
        <f>IF(A801="D",LEFT(UPPER(C801)&amp;REPT(" ",10),10)," ")</f>
        <v/>
      </c>
      <c r="T801" s="10">
        <f>IF(A801="D",LEFT(UPPER(D801)&amp;REPT(" ",2),2)," ")</f>
        <v/>
      </c>
      <c r="U801" s="10">
        <f>IF(A801="D",LEFT(UPPER(E801)&amp;REPT(" ",15),15)," ")</f>
        <v/>
      </c>
      <c r="V801" s="10">
        <f>REPT(" ",24)</f>
        <v/>
      </c>
      <c r="W801" s="10">
        <f>IF(A801="c",LEFT(UPPER(B801)&amp;REPT(" ",20),20),REPT(" ",20))</f>
        <v/>
      </c>
      <c r="X801" s="10">
        <f>IF(A801="C",LEFT(UPPER(C801)&amp;REPT(" ",10),10)," ")</f>
        <v/>
      </c>
      <c r="Y801" s="10">
        <f>IF(A801="C",LEFT(UPPER(D801)&amp;REPT(" ",2),2)," ")</f>
        <v/>
      </c>
      <c r="Z801" s="10">
        <f>IF(A801="C",LEFT(UPPER(E801)&amp;REPT(" ",15),15)," ")</f>
        <v/>
      </c>
      <c r="AA801" s="10">
        <f>REPT(" ",8)</f>
        <v/>
      </c>
      <c r="AB801" s="10">
        <f>REPT(" ",4)</f>
        <v/>
      </c>
      <c r="AC801" s="10">
        <f>LEFT(UPPER(H801)&amp;REPT(" ",250),250)</f>
        <v/>
      </c>
      <c r="AD801" s="10">
        <f>TEXT($G$2,"dd/mm/aaaa")</f>
        <v/>
      </c>
      <c r="AE801" s="10">
        <f>REPT(" ",10)</f>
        <v/>
      </c>
      <c r="AF801" s="10">
        <f>REPT(" ",20)</f>
        <v/>
      </c>
      <c r="AG801" s="54">
        <f>REPT(" ",18-LEN(FIXED(F801,2,TRUE)))&amp;FIXED(F801,2,TRUE)</f>
        <v/>
      </c>
      <c r="AH801" s="10">
        <f>LEN(AC801)+LEN(AG801)</f>
        <v/>
      </c>
      <c r="AI801" s="10">
        <f>LEN(L801)</f>
        <v/>
      </c>
    </row>
    <row r="802">
      <c r="A802" s="46" t="n"/>
      <c r="B802" s="38" t="n"/>
      <c r="C802" s="41" t="n"/>
      <c r="D802" s="41" t="n"/>
      <c r="E802" s="41" t="n"/>
      <c r="F802" s="88" t="n"/>
      <c r="G802" s="89" t="n"/>
      <c r="H802" s="37" t="n"/>
      <c r="I802" s="42" t="n"/>
      <c r="J802" s="12">
        <f>IF(F802&lt;&gt;0,"LANÇAR","")</f>
        <v/>
      </c>
      <c r="K802" s="20" t="n"/>
      <c r="L802" s="13">
        <f>N802&amp;O802&amp;P802&amp;Q802&amp;R802&amp;S802&amp;T802&amp;U802&amp;V802&amp;W802&amp;X802&amp;Y802&amp;Z802&amp;AA802&amp;AB802&amp;AC802&amp;AD802&amp;AE802&amp;AF802&amp;AG802</f>
        <v/>
      </c>
      <c r="M802" s="20" t="n"/>
      <c r="N802" s="10">
        <f>TEXT($B$6,"00")</f>
        <v/>
      </c>
      <c r="O802" s="10">
        <f>REPT(" ",8)</f>
        <v/>
      </c>
      <c r="P802" s="10">
        <f>RIGHT($B$4,2)</f>
        <v/>
      </c>
      <c r="Q802" s="10">
        <f>RIGHT($B$5,3)</f>
        <v/>
      </c>
      <c r="R802" s="10">
        <f>IF(A802="D",LEFT(UPPER(B802)&amp;REPT(" ",20),20),REPT(" ",20))</f>
        <v/>
      </c>
      <c r="S802" s="10">
        <f>IF(A802="D",LEFT(UPPER(C802)&amp;REPT(" ",10),10)," ")</f>
        <v/>
      </c>
      <c r="T802" s="10">
        <f>IF(A802="D",LEFT(UPPER(D802)&amp;REPT(" ",2),2)," ")</f>
        <v/>
      </c>
      <c r="U802" s="10">
        <f>IF(A802="D",LEFT(UPPER(E802)&amp;REPT(" ",15),15)," ")</f>
        <v/>
      </c>
      <c r="V802" s="10">
        <f>REPT(" ",24)</f>
        <v/>
      </c>
      <c r="W802" s="10">
        <f>IF(A802="c",LEFT(UPPER(B802)&amp;REPT(" ",20),20),REPT(" ",20))</f>
        <v/>
      </c>
      <c r="X802" s="10">
        <f>IF(A802="C",LEFT(UPPER(C802)&amp;REPT(" ",10),10)," ")</f>
        <v/>
      </c>
      <c r="Y802" s="10">
        <f>IF(A802="C",LEFT(UPPER(D802)&amp;REPT(" ",2),2)," ")</f>
        <v/>
      </c>
      <c r="Z802" s="10">
        <f>IF(A802="C",LEFT(UPPER(E802)&amp;REPT(" ",15),15)," ")</f>
        <v/>
      </c>
      <c r="AA802" s="10">
        <f>REPT(" ",8)</f>
        <v/>
      </c>
      <c r="AB802" s="10">
        <f>REPT(" ",4)</f>
        <v/>
      </c>
      <c r="AC802" s="10">
        <f>LEFT(UPPER(H802)&amp;REPT(" ",250),250)</f>
        <v/>
      </c>
      <c r="AD802" s="10">
        <f>TEXT($G$2,"dd/mm/aaaa")</f>
        <v/>
      </c>
      <c r="AE802" s="10">
        <f>REPT(" ",10)</f>
        <v/>
      </c>
      <c r="AF802" s="10">
        <f>REPT(" ",20)</f>
        <v/>
      </c>
      <c r="AG802" s="54">
        <f>REPT(" ",18-LEN(FIXED(F802,2,TRUE)))&amp;FIXED(F802,2,TRUE)</f>
        <v/>
      </c>
      <c r="AH802" s="10">
        <f>LEN(AC802)+LEN(AG802)</f>
        <v/>
      </c>
      <c r="AI802" s="10">
        <f>LEN(L802)</f>
        <v/>
      </c>
    </row>
    <row r="803">
      <c r="A803" s="46" t="n"/>
      <c r="B803" s="38" t="n"/>
      <c r="C803" s="41" t="n"/>
      <c r="D803" s="41" t="n"/>
      <c r="E803" s="41" t="n"/>
      <c r="F803" s="88" t="n"/>
      <c r="G803" s="89" t="n"/>
      <c r="H803" s="37" t="n"/>
      <c r="I803" s="42" t="n"/>
      <c r="J803" s="12">
        <f>IF(F803&lt;&gt;0,"LANÇAR","")</f>
        <v/>
      </c>
      <c r="K803" s="20" t="n"/>
      <c r="L803" s="13">
        <f>N803&amp;O803&amp;P803&amp;Q803&amp;R803&amp;S803&amp;T803&amp;U803&amp;V803&amp;W803&amp;X803&amp;Y803&amp;Z803&amp;AA803&amp;AB803&amp;AC803&amp;AD803&amp;AE803&amp;AF803&amp;AG803</f>
        <v/>
      </c>
      <c r="M803" s="20" t="n"/>
      <c r="N803" s="10">
        <f>TEXT($B$6,"00")</f>
        <v/>
      </c>
      <c r="O803" s="10">
        <f>REPT(" ",8)</f>
        <v/>
      </c>
      <c r="P803" s="10">
        <f>RIGHT($B$4,2)</f>
        <v/>
      </c>
      <c r="Q803" s="10">
        <f>RIGHT($B$5,3)</f>
        <v/>
      </c>
      <c r="R803" s="10">
        <f>IF(A803="D",LEFT(UPPER(B803)&amp;REPT(" ",20),20),REPT(" ",20))</f>
        <v/>
      </c>
      <c r="S803" s="10">
        <f>IF(A803="D",LEFT(UPPER(C803)&amp;REPT(" ",10),10)," ")</f>
        <v/>
      </c>
      <c r="T803" s="10">
        <f>IF(A803="D",LEFT(UPPER(D803)&amp;REPT(" ",2),2)," ")</f>
        <v/>
      </c>
      <c r="U803" s="10">
        <f>IF(A803="D",LEFT(UPPER(E803)&amp;REPT(" ",15),15)," ")</f>
        <v/>
      </c>
      <c r="V803" s="10">
        <f>REPT(" ",24)</f>
        <v/>
      </c>
      <c r="W803" s="10">
        <f>IF(A803="c",LEFT(UPPER(B803)&amp;REPT(" ",20),20),REPT(" ",20))</f>
        <v/>
      </c>
      <c r="X803" s="10">
        <f>IF(A803="C",LEFT(UPPER(C803)&amp;REPT(" ",10),10)," ")</f>
        <v/>
      </c>
      <c r="Y803" s="10">
        <f>IF(A803="C",LEFT(UPPER(D803)&amp;REPT(" ",2),2)," ")</f>
        <v/>
      </c>
      <c r="Z803" s="10">
        <f>IF(A803="C",LEFT(UPPER(E803)&amp;REPT(" ",15),15)," ")</f>
        <v/>
      </c>
      <c r="AA803" s="10">
        <f>REPT(" ",8)</f>
        <v/>
      </c>
      <c r="AB803" s="10">
        <f>REPT(" ",4)</f>
        <v/>
      </c>
      <c r="AC803" s="10">
        <f>LEFT(UPPER(H803)&amp;REPT(" ",250),250)</f>
        <v/>
      </c>
      <c r="AD803" s="10">
        <f>TEXT($G$2,"dd/mm/aaaa")</f>
        <v/>
      </c>
      <c r="AE803" s="10">
        <f>REPT(" ",10)</f>
        <v/>
      </c>
      <c r="AF803" s="10">
        <f>REPT(" ",20)</f>
        <v/>
      </c>
      <c r="AG803" s="54">
        <f>REPT(" ",18-LEN(FIXED(F803,2,TRUE)))&amp;FIXED(F803,2,TRUE)</f>
        <v/>
      </c>
      <c r="AH803" s="10">
        <f>LEN(AC803)+LEN(AG803)</f>
        <v/>
      </c>
      <c r="AI803" s="10">
        <f>LEN(L803)</f>
        <v/>
      </c>
    </row>
    <row r="804">
      <c r="A804" s="46" t="n"/>
      <c r="B804" s="38" t="n"/>
      <c r="C804" s="41" t="n"/>
      <c r="D804" s="41" t="n"/>
      <c r="E804" s="41" t="n"/>
      <c r="F804" s="88" t="n"/>
      <c r="G804" s="89" t="n"/>
      <c r="H804" s="37" t="n"/>
      <c r="I804" s="42" t="n"/>
      <c r="J804" s="12">
        <f>IF(F804&lt;&gt;0,"LANÇAR","")</f>
        <v/>
      </c>
      <c r="K804" s="20" t="n"/>
      <c r="L804" s="13">
        <f>N804&amp;O804&amp;P804&amp;Q804&amp;R804&amp;S804&amp;T804&amp;U804&amp;V804&amp;W804&amp;X804&amp;Y804&amp;Z804&amp;AA804&amp;AB804&amp;AC804&amp;AD804&amp;AE804&amp;AF804&amp;AG804</f>
        <v/>
      </c>
      <c r="M804" s="20" t="n"/>
      <c r="N804" s="10">
        <f>TEXT($B$6,"00")</f>
        <v/>
      </c>
      <c r="O804" s="10">
        <f>REPT(" ",8)</f>
        <v/>
      </c>
      <c r="P804" s="10">
        <f>RIGHT($B$4,2)</f>
        <v/>
      </c>
      <c r="Q804" s="10">
        <f>RIGHT($B$5,3)</f>
        <v/>
      </c>
      <c r="R804" s="10">
        <f>IF(A804="D",LEFT(UPPER(B804)&amp;REPT(" ",20),20),REPT(" ",20))</f>
        <v/>
      </c>
      <c r="S804" s="10">
        <f>IF(A804="D",LEFT(UPPER(C804)&amp;REPT(" ",10),10)," ")</f>
        <v/>
      </c>
      <c r="T804" s="10">
        <f>IF(A804="D",LEFT(UPPER(D804)&amp;REPT(" ",2),2)," ")</f>
        <v/>
      </c>
      <c r="U804" s="10">
        <f>IF(A804="D",LEFT(UPPER(E804)&amp;REPT(" ",15),15)," ")</f>
        <v/>
      </c>
      <c r="V804" s="10">
        <f>REPT(" ",24)</f>
        <v/>
      </c>
      <c r="W804" s="10">
        <f>IF(A804="c",LEFT(UPPER(B804)&amp;REPT(" ",20),20),REPT(" ",20))</f>
        <v/>
      </c>
      <c r="X804" s="10">
        <f>IF(A804="C",LEFT(UPPER(C804)&amp;REPT(" ",10),10)," ")</f>
        <v/>
      </c>
      <c r="Y804" s="10">
        <f>IF(A804="C",LEFT(UPPER(D804)&amp;REPT(" ",2),2)," ")</f>
        <v/>
      </c>
      <c r="Z804" s="10">
        <f>IF(A804="C",LEFT(UPPER(E804)&amp;REPT(" ",15),15)," ")</f>
        <v/>
      </c>
      <c r="AA804" s="10">
        <f>REPT(" ",8)</f>
        <v/>
      </c>
      <c r="AB804" s="10">
        <f>REPT(" ",4)</f>
        <v/>
      </c>
      <c r="AC804" s="10">
        <f>LEFT(UPPER(H804)&amp;REPT(" ",250),250)</f>
        <v/>
      </c>
      <c r="AD804" s="10">
        <f>TEXT($G$2,"dd/mm/aaaa")</f>
        <v/>
      </c>
      <c r="AE804" s="10">
        <f>REPT(" ",10)</f>
        <v/>
      </c>
      <c r="AF804" s="10">
        <f>REPT(" ",20)</f>
        <v/>
      </c>
      <c r="AG804" s="54">
        <f>REPT(" ",18-LEN(FIXED(F804,2,TRUE)))&amp;FIXED(F804,2,TRUE)</f>
        <v/>
      </c>
      <c r="AH804" s="10">
        <f>LEN(AC804)+LEN(AG804)</f>
        <v/>
      </c>
      <c r="AI804" s="10">
        <f>LEN(L804)</f>
        <v/>
      </c>
    </row>
    <row r="805">
      <c r="A805" s="46" t="n"/>
      <c r="B805" s="38" t="n"/>
      <c r="C805" s="41" t="n"/>
      <c r="D805" s="41" t="n"/>
      <c r="E805" s="41" t="n"/>
      <c r="F805" s="88" t="n"/>
      <c r="G805" s="89" t="n"/>
      <c r="H805" s="37" t="n"/>
      <c r="I805" s="42" t="n"/>
      <c r="J805" s="12">
        <f>IF(F805&lt;&gt;0,"LANÇAR","")</f>
        <v/>
      </c>
      <c r="K805" s="20" t="n"/>
      <c r="L805" s="13">
        <f>N805&amp;O805&amp;P805&amp;Q805&amp;R805&amp;S805&amp;T805&amp;U805&amp;V805&amp;W805&amp;X805&amp;Y805&amp;Z805&amp;AA805&amp;AB805&amp;AC805&amp;AD805&amp;AE805&amp;AF805&amp;AG805</f>
        <v/>
      </c>
      <c r="M805" s="20" t="n"/>
      <c r="N805" s="10">
        <f>TEXT($B$6,"00")</f>
        <v/>
      </c>
      <c r="O805" s="10">
        <f>REPT(" ",8)</f>
        <v/>
      </c>
      <c r="P805" s="10">
        <f>RIGHT($B$4,2)</f>
        <v/>
      </c>
      <c r="Q805" s="10">
        <f>RIGHT($B$5,3)</f>
        <v/>
      </c>
      <c r="R805" s="10">
        <f>IF(A805="D",LEFT(UPPER(B805)&amp;REPT(" ",20),20),REPT(" ",20))</f>
        <v/>
      </c>
      <c r="S805" s="10">
        <f>IF(A805="D",LEFT(UPPER(C805)&amp;REPT(" ",10),10)," ")</f>
        <v/>
      </c>
      <c r="T805" s="10">
        <f>IF(A805="D",LEFT(UPPER(D805)&amp;REPT(" ",2),2)," ")</f>
        <v/>
      </c>
      <c r="U805" s="10">
        <f>IF(A805="D",LEFT(UPPER(E805)&amp;REPT(" ",15),15)," ")</f>
        <v/>
      </c>
      <c r="V805" s="10">
        <f>REPT(" ",24)</f>
        <v/>
      </c>
      <c r="W805" s="10">
        <f>IF(A805="c",LEFT(UPPER(B805)&amp;REPT(" ",20),20),REPT(" ",20))</f>
        <v/>
      </c>
      <c r="X805" s="10">
        <f>IF(A805="C",LEFT(UPPER(C805)&amp;REPT(" ",10),10)," ")</f>
        <v/>
      </c>
      <c r="Y805" s="10">
        <f>IF(A805="C",LEFT(UPPER(D805)&amp;REPT(" ",2),2)," ")</f>
        <v/>
      </c>
      <c r="Z805" s="10">
        <f>IF(A805="C",LEFT(UPPER(E805)&amp;REPT(" ",15),15)," ")</f>
        <v/>
      </c>
      <c r="AA805" s="10">
        <f>REPT(" ",8)</f>
        <v/>
      </c>
      <c r="AB805" s="10">
        <f>REPT(" ",4)</f>
        <v/>
      </c>
      <c r="AC805" s="10">
        <f>LEFT(UPPER(H805)&amp;REPT(" ",250),250)</f>
        <v/>
      </c>
      <c r="AD805" s="10">
        <f>TEXT($G$2,"dd/mm/aaaa")</f>
        <v/>
      </c>
      <c r="AE805" s="10">
        <f>REPT(" ",10)</f>
        <v/>
      </c>
      <c r="AF805" s="10">
        <f>REPT(" ",20)</f>
        <v/>
      </c>
      <c r="AG805" s="54">
        <f>REPT(" ",18-LEN(FIXED(F805,2,TRUE)))&amp;FIXED(F805,2,TRUE)</f>
        <v/>
      </c>
      <c r="AH805" s="10">
        <f>LEN(AC805)+LEN(AG805)</f>
        <v/>
      </c>
      <c r="AI805" s="10">
        <f>LEN(L805)</f>
        <v/>
      </c>
    </row>
    <row r="806">
      <c r="A806" s="46" t="n"/>
      <c r="B806" s="38" t="n"/>
      <c r="C806" s="41" t="n"/>
      <c r="D806" s="41" t="n"/>
      <c r="E806" s="41" t="n"/>
      <c r="F806" s="88" t="n"/>
      <c r="G806" s="89" t="n"/>
      <c r="H806" s="37" t="n"/>
      <c r="I806" s="42" t="n"/>
      <c r="J806" s="12">
        <f>IF(F806&lt;&gt;0,"LANÇAR","")</f>
        <v/>
      </c>
      <c r="K806" s="20" t="n"/>
      <c r="L806" s="13">
        <f>N806&amp;O806&amp;P806&amp;Q806&amp;R806&amp;S806&amp;T806&amp;U806&amp;V806&amp;W806&amp;X806&amp;Y806&amp;Z806&amp;AA806&amp;AB806&amp;AC806&amp;AD806&amp;AE806&amp;AF806&amp;AG806</f>
        <v/>
      </c>
      <c r="M806" s="20" t="n"/>
      <c r="N806" s="10">
        <f>TEXT($B$6,"00")</f>
        <v/>
      </c>
      <c r="O806" s="10">
        <f>REPT(" ",8)</f>
        <v/>
      </c>
      <c r="P806" s="10">
        <f>RIGHT($B$4,2)</f>
        <v/>
      </c>
      <c r="Q806" s="10">
        <f>RIGHT($B$5,3)</f>
        <v/>
      </c>
      <c r="R806" s="10">
        <f>IF(A806="D",LEFT(UPPER(B806)&amp;REPT(" ",20),20),REPT(" ",20))</f>
        <v/>
      </c>
      <c r="S806" s="10">
        <f>IF(A806="D",LEFT(UPPER(C806)&amp;REPT(" ",10),10)," ")</f>
        <v/>
      </c>
      <c r="T806" s="10">
        <f>IF(A806="D",LEFT(UPPER(D806)&amp;REPT(" ",2),2)," ")</f>
        <v/>
      </c>
      <c r="U806" s="10">
        <f>IF(A806="D",LEFT(UPPER(E806)&amp;REPT(" ",15),15)," ")</f>
        <v/>
      </c>
      <c r="V806" s="10">
        <f>REPT(" ",24)</f>
        <v/>
      </c>
      <c r="W806" s="10">
        <f>IF(A806="c",LEFT(UPPER(B806)&amp;REPT(" ",20),20),REPT(" ",20))</f>
        <v/>
      </c>
      <c r="X806" s="10">
        <f>IF(A806="C",LEFT(UPPER(C806)&amp;REPT(" ",10),10)," ")</f>
        <v/>
      </c>
      <c r="Y806" s="10">
        <f>IF(A806="C",LEFT(UPPER(D806)&amp;REPT(" ",2),2)," ")</f>
        <v/>
      </c>
      <c r="Z806" s="10">
        <f>IF(A806="C",LEFT(UPPER(E806)&amp;REPT(" ",15),15)," ")</f>
        <v/>
      </c>
      <c r="AA806" s="10">
        <f>REPT(" ",8)</f>
        <v/>
      </c>
      <c r="AB806" s="10">
        <f>REPT(" ",4)</f>
        <v/>
      </c>
      <c r="AC806" s="10">
        <f>LEFT(UPPER(H806)&amp;REPT(" ",250),250)</f>
        <v/>
      </c>
      <c r="AD806" s="10">
        <f>TEXT($G$2,"dd/mm/aaaa")</f>
        <v/>
      </c>
      <c r="AE806" s="10">
        <f>REPT(" ",10)</f>
        <v/>
      </c>
      <c r="AF806" s="10">
        <f>REPT(" ",20)</f>
        <v/>
      </c>
      <c r="AG806" s="54">
        <f>REPT(" ",18-LEN(FIXED(F806,2,TRUE)))&amp;FIXED(F806,2,TRUE)</f>
        <v/>
      </c>
      <c r="AH806" s="10">
        <f>LEN(AC806)+LEN(AG806)</f>
        <v/>
      </c>
      <c r="AI806" s="10">
        <f>LEN(L806)</f>
        <v/>
      </c>
    </row>
    <row r="807">
      <c r="A807" s="46" t="n"/>
      <c r="B807" s="38" t="n"/>
      <c r="C807" s="41" t="n"/>
      <c r="D807" s="41" t="n"/>
      <c r="E807" s="41" t="n"/>
      <c r="F807" s="88" t="n"/>
      <c r="G807" s="89" t="n"/>
      <c r="H807" s="37" t="n"/>
      <c r="I807" s="42" t="n"/>
      <c r="J807" s="12">
        <f>IF(F807&lt;&gt;0,"LANÇAR","")</f>
        <v/>
      </c>
      <c r="K807" s="20" t="n"/>
      <c r="L807" s="13">
        <f>N807&amp;O807&amp;P807&amp;Q807&amp;R807&amp;S807&amp;T807&amp;U807&amp;V807&amp;W807&amp;X807&amp;Y807&amp;Z807&amp;AA807&amp;AB807&amp;AC807&amp;AD807&amp;AE807&amp;AF807&amp;AG807</f>
        <v/>
      </c>
      <c r="M807" s="20" t="n"/>
      <c r="N807" s="10">
        <f>TEXT($B$6,"00")</f>
        <v/>
      </c>
      <c r="O807" s="10">
        <f>REPT(" ",8)</f>
        <v/>
      </c>
      <c r="P807" s="10">
        <f>RIGHT($B$4,2)</f>
        <v/>
      </c>
      <c r="Q807" s="10">
        <f>RIGHT($B$5,3)</f>
        <v/>
      </c>
      <c r="R807" s="10">
        <f>IF(A807="D",LEFT(UPPER(B807)&amp;REPT(" ",20),20),REPT(" ",20))</f>
        <v/>
      </c>
      <c r="S807" s="10">
        <f>IF(A807="D",LEFT(UPPER(C807)&amp;REPT(" ",10),10)," ")</f>
        <v/>
      </c>
      <c r="T807" s="10">
        <f>IF(A807="D",LEFT(UPPER(D807)&amp;REPT(" ",2),2)," ")</f>
        <v/>
      </c>
      <c r="U807" s="10">
        <f>IF(A807="D",LEFT(UPPER(E807)&amp;REPT(" ",15),15)," ")</f>
        <v/>
      </c>
      <c r="V807" s="10">
        <f>REPT(" ",24)</f>
        <v/>
      </c>
      <c r="W807" s="10">
        <f>IF(A807="c",LEFT(UPPER(B807)&amp;REPT(" ",20),20),REPT(" ",20))</f>
        <v/>
      </c>
      <c r="X807" s="10">
        <f>IF(A807="C",LEFT(UPPER(C807)&amp;REPT(" ",10),10)," ")</f>
        <v/>
      </c>
      <c r="Y807" s="10">
        <f>IF(A807="C",LEFT(UPPER(D807)&amp;REPT(" ",2),2)," ")</f>
        <v/>
      </c>
      <c r="Z807" s="10">
        <f>IF(A807="C",LEFT(UPPER(E807)&amp;REPT(" ",15),15)," ")</f>
        <v/>
      </c>
      <c r="AA807" s="10">
        <f>REPT(" ",8)</f>
        <v/>
      </c>
      <c r="AB807" s="10">
        <f>REPT(" ",4)</f>
        <v/>
      </c>
      <c r="AC807" s="10">
        <f>LEFT(UPPER(H807)&amp;REPT(" ",250),250)</f>
        <v/>
      </c>
      <c r="AD807" s="10">
        <f>TEXT($G$2,"dd/mm/aaaa")</f>
        <v/>
      </c>
      <c r="AE807" s="10">
        <f>REPT(" ",10)</f>
        <v/>
      </c>
      <c r="AF807" s="10">
        <f>REPT(" ",20)</f>
        <v/>
      </c>
      <c r="AG807" s="54">
        <f>REPT(" ",18-LEN(FIXED(F807,2,TRUE)))&amp;FIXED(F807,2,TRUE)</f>
        <v/>
      </c>
      <c r="AH807" s="10">
        <f>LEN(AC807)+LEN(AG807)</f>
        <v/>
      </c>
      <c r="AI807" s="10">
        <f>LEN(L807)</f>
        <v/>
      </c>
    </row>
    <row r="808">
      <c r="A808" s="46" t="n"/>
      <c r="B808" s="38" t="n"/>
      <c r="C808" s="41" t="n"/>
      <c r="D808" s="41" t="n"/>
      <c r="E808" s="41" t="n"/>
      <c r="F808" s="88" t="n"/>
      <c r="G808" s="89" t="n"/>
      <c r="H808" s="37" t="n"/>
      <c r="I808" s="42" t="n"/>
      <c r="J808" s="12">
        <f>IF(F808&lt;&gt;0,"LANÇAR","")</f>
        <v/>
      </c>
      <c r="K808" s="20" t="n"/>
      <c r="L808" s="13">
        <f>N808&amp;O808&amp;P808&amp;Q808&amp;R808&amp;S808&amp;T808&amp;U808&amp;V808&amp;W808&amp;X808&amp;Y808&amp;Z808&amp;AA808&amp;AB808&amp;AC808&amp;AD808&amp;AE808&amp;AF808&amp;AG808</f>
        <v/>
      </c>
      <c r="M808" s="20" t="n"/>
      <c r="N808" s="10">
        <f>TEXT($B$6,"00")</f>
        <v/>
      </c>
      <c r="O808" s="10">
        <f>REPT(" ",8)</f>
        <v/>
      </c>
      <c r="P808" s="10">
        <f>RIGHT($B$4,2)</f>
        <v/>
      </c>
      <c r="Q808" s="10">
        <f>RIGHT($B$5,3)</f>
        <v/>
      </c>
      <c r="R808" s="10">
        <f>IF(A808="D",LEFT(UPPER(B808)&amp;REPT(" ",20),20),REPT(" ",20))</f>
        <v/>
      </c>
      <c r="S808" s="10">
        <f>IF(A808="D",LEFT(UPPER(C808)&amp;REPT(" ",10),10)," ")</f>
        <v/>
      </c>
      <c r="T808" s="10">
        <f>IF(A808="D",LEFT(UPPER(D808)&amp;REPT(" ",2),2)," ")</f>
        <v/>
      </c>
      <c r="U808" s="10">
        <f>IF(A808="D",LEFT(UPPER(E808)&amp;REPT(" ",15),15)," ")</f>
        <v/>
      </c>
      <c r="V808" s="10">
        <f>REPT(" ",24)</f>
        <v/>
      </c>
      <c r="W808" s="10">
        <f>IF(A808="c",LEFT(UPPER(B808)&amp;REPT(" ",20),20),REPT(" ",20))</f>
        <v/>
      </c>
      <c r="X808" s="10">
        <f>IF(A808="C",LEFT(UPPER(C808)&amp;REPT(" ",10),10)," ")</f>
        <v/>
      </c>
      <c r="Y808" s="10">
        <f>IF(A808="C",LEFT(UPPER(D808)&amp;REPT(" ",2),2)," ")</f>
        <v/>
      </c>
      <c r="Z808" s="10">
        <f>IF(A808="C",LEFT(UPPER(E808)&amp;REPT(" ",15),15)," ")</f>
        <v/>
      </c>
      <c r="AA808" s="10">
        <f>REPT(" ",8)</f>
        <v/>
      </c>
      <c r="AB808" s="10">
        <f>REPT(" ",4)</f>
        <v/>
      </c>
      <c r="AC808" s="10">
        <f>LEFT(UPPER(H808)&amp;REPT(" ",250),250)</f>
        <v/>
      </c>
      <c r="AD808" s="10">
        <f>TEXT($G$2,"dd/mm/aaaa")</f>
        <v/>
      </c>
      <c r="AE808" s="10">
        <f>REPT(" ",10)</f>
        <v/>
      </c>
      <c r="AF808" s="10">
        <f>REPT(" ",20)</f>
        <v/>
      </c>
      <c r="AG808" s="54">
        <f>REPT(" ",18-LEN(FIXED(F808,2,TRUE)))&amp;FIXED(F808,2,TRUE)</f>
        <v/>
      </c>
      <c r="AH808" s="10">
        <f>LEN(AC808)+LEN(AG808)</f>
        <v/>
      </c>
      <c r="AI808" s="10">
        <f>LEN(L808)</f>
        <v/>
      </c>
    </row>
    <row r="809">
      <c r="A809" s="46" t="n"/>
      <c r="B809" s="38" t="n"/>
      <c r="C809" s="41" t="n"/>
      <c r="D809" s="41" t="n"/>
      <c r="E809" s="41" t="n"/>
      <c r="F809" s="88" t="n"/>
      <c r="G809" s="89" t="n"/>
      <c r="H809" s="37" t="n"/>
      <c r="I809" s="42" t="n"/>
      <c r="J809" s="12">
        <f>IF(F809&lt;&gt;0,"LANÇAR","")</f>
        <v/>
      </c>
      <c r="K809" s="20" t="n"/>
      <c r="L809" s="13">
        <f>N809&amp;O809&amp;P809&amp;Q809&amp;R809&amp;S809&amp;T809&amp;U809&amp;V809&amp;W809&amp;X809&amp;Y809&amp;Z809&amp;AA809&amp;AB809&amp;AC809&amp;AD809&amp;AE809&amp;AF809&amp;AG809</f>
        <v/>
      </c>
      <c r="M809" s="20" t="n"/>
      <c r="N809" s="10">
        <f>TEXT($B$6,"00")</f>
        <v/>
      </c>
      <c r="O809" s="10">
        <f>REPT(" ",8)</f>
        <v/>
      </c>
      <c r="P809" s="10">
        <f>RIGHT($B$4,2)</f>
        <v/>
      </c>
      <c r="Q809" s="10">
        <f>RIGHT($B$5,3)</f>
        <v/>
      </c>
      <c r="R809" s="10">
        <f>IF(A809="D",LEFT(UPPER(B809)&amp;REPT(" ",20),20),REPT(" ",20))</f>
        <v/>
      </c>
      <c r="S809" s="10">
        <f>IF(A809="D",LEFT(UPPER(C809)&amp;REPT(" ",10),10)," ")</f>
        <v/>
      </c>
      <c r="T809" s="10">
        <f>IF(A809="D",LEFT(UPPER(D809)&amp;REPT(" ",2),2)," ")</f>
        <v/>
      </c>
      <c r="U809" s="10">
        <f>IF(A809="D",LEFT(UPPER(E809)&amp;REPT(" ",15),15)," ")</f>
        <v/>
      </c>
      <c r="V809" s="10">
        <f>REPT(" ",24)</f>
        <v/>
      </c>
      <c r="W809" s="10">
        <f>IF(A809="c",LEFT(UPPER(B809)&amp;REPT(" ",20),20),REPT(" ",20))</f>
        <v/>
      </c>
      <c r="X809" s="10">
        <f>IF(A809="C",LEFT(UPPER(C809)&amp;REPT(" ",10),10)," ")</f>
        <v/>
      </c>
      <c r="Y809" s="10">
        <f>IF(A809="C",LEFT(UPPER(D809)&amp;REPT(" ",2),2)," ")</f>
        <v/>
      </c>
      <c r="Z809" s="10">
        <f>IF(A809="C",LEFT(UPPER(E809)&amp;REPT(" ",15),15)," ")</f>
        <v/>
      </c>
      <c r="AA809" s="10">
        <f>REPT(" ",8)</f>
        <v/>
      </c>
      <c r="AB809" s="10">
        <f>REPT(" ",4)</f>
        <v/>
      </c>
      <c r="AC809" s="10">
        <f>LEFT(UPPER(H809)&amp;REPT(" ",250),250)</f>
        <v/>
      </c>
      <c r="AD809" s="10">
        <f>TEXT($G$2,"dd/mm/aaaa")</f>
        <v/>
      </c>
      <c r="AE809" s="10">
        <f>REPT(" ",10)</f>
        <v/>
      </c>
      <c r="AF809" s="10">
        <f>REPT(" ",20)</f>
        <v/>
      </c>
      <c r="AG809" s="54">
        <f>REPT(" ",18-LEN(FIXED(F809,2,TRUE)))&amp;FIXED(F809,2,TRUE)</f>
        <v/>
      </c>
      <c r="AH809" s="10">
        <f>LEN(AC809)+LEN(AG809)</f>
        <v/>
      </c>
      <c r="AI809" s="10">
        <f>LEN(L809)</f>
        <v/>
      </c>
    </row>
    <row r="810">
      <c r="A810" s="46" t="n"/>
      <c r="B810" s="38" t="n"/>
      <c r="C810" s="41" t="n"/>
      <c r="D810" s="41" t="n"/>
      <c r="E810" s="41" t="n"/>
      <c r="F810" s="88" t="n"/>
      <c r="G810" s="89" t="n"/>
      <c r="H810" s="37" t="n"/>
      <c r="I810" s="42" t="n"/>
      <c r="J810" s="12">
        <f>IF(F810&lt;&gt;0,"LANÇAR","")</f>
        <v/>
      </c>
      <c r="K810" s="20" t="n"/>
      <c r="L810" s="13">
        <f>N810&amp;O810&amp;P810&amp;Q810&amp;R810&amp;S810&amp;T810&amp;U810&amp;V810&amp;W810&amp;X810&amp;Y810&amp;Z810&amp;AA810&amp;AB810&amp;AC810&amp;AD810&amp;AE810&amp;AF810&amp;AG810</f>
        <v/>
      </c>
      <c r="M810" s="20" t="n"/>
      <c r="N810" s="10">
        <f>TEXT($B$6,"00")</f>
        <v/>
      </c>
      <c r="O810" s="10">
        <f>REPT(" ",8)</f>
        <v/>
      </c>
      <c r="P810" s="10">
        <f>RIGHT($B$4,2)</f>
        <v/>
      </c>
      <c r="Q810" s="10">
        <f>RIGHT($B$5,3)</f>
        <v/>
      </c>
      <c r="R810" s="10">
        <f>IF(A810="D",LEFT(UPPER(B810)&amp;REPT(" ",20),20),REPT(" ",20))</f>
        <v/>
      </c>
      <c r="S810" s="10">
        <f>IF(A810="D",LEFT(UPPER(C810)&amp;REPT(" ",10),10)," ")</f>
        <v/>
      </c>
      <c r="T810" s="10">
        <f>IF(A810="D",LEFT(UPPER(D810)&amp;REPT(" ",2),2)," ")</f>
        <v/>
      </c>
      <c r="U810" s="10">
        <f>IF(A810="D",LEFT(UPPER(E810)&amp;REPT(" ",15),15)," ")</f>
        <v/>
      </c>
      <c r="V810" s="10">
        <f>REPT(" ",24)</f>
        <v/>
      </c>
      <c r="W810" s="10">
        <f>IF(A810="c",LEFT(UPPER(B810)&amp;REPT(" ",20),20),REPT(" ",20))</f>
        <v/>
      </c>
      <c r="X810" s="10">
        <f>IF(A810="C",LEFT(UPPER(C810)&amp;REPT(" ",10),10)," ")</f>
        <v/>
      </c>
      <c r="Y810" s="10">
        <f>IF(A810="C",LEFT(UPPER(D810)&amp;REPT(" ",2),2)," ")</f>
        <v/>
      </c>
      <c r="Z810" s="10">
        <f>IF(A810="C",LEFT(UPPER(E810)&amp;REPT(" ",15),15)," ")</f>
        <v/>
      </c>
      <c r="AA810" s="10">
        <f>REPT(" ",8)</f>
        <v/>
      </c>
      <c r="AB810" s="10">
        <f>REPT(" ",4)</f>
        <v/>
      </c>
      <c r="AC810" s="10">
        <f>LEFT(UPPER(H810)&amp;REPT(" ",250),250)</f>
        <v/>
      </c>
      <c r="AD810" s="10">
        <f>TEXT($G$2,"dd/mm/aaaa")</f>
        <v/>
      </c>
      <c r="AE810" s="10">
        <f>REPT(" ",10)</f>
        <v/>
      </c>
      <c r="AF810" s="10">
        <f>REPT(" ",20)</f>
        <v/>
      </c>
      <c r="AG810" s="54">
        <f>REPT(" ",18-LEN(FIXED(F810,2,TRUE)))&amp;FIXED(F810,2,TRUE)</f>
        <v/>
      </c>
      <c r="AH810" s="10">
        <f>LEN(AC810)+LEN(AG810)</f>
        <v/>
      </c>
      <c r="AI810" s="10">
        <f>LEN(L810)</f>
        <v/>
      </c>
    </row>
    <row r="811">
      <c r="A811" s="46" t="n"/>
      <c r="B811" s="38" t="n"/>
      <c r="C811" s="41" t="n"/>
      <c r="D811" s="41" t="n"/>
      <c r="E811" s="41" t="n"/>
      <c r="F811" s="88" t="n"/>
      <c r="G811" s="89" t="n"/>
      <c r="H811" s="37" t="n"/>
      <c r="I811" s="42" t="n"/>
      <c r="J811" s="12">
        <f>IF(F811&lt;&gt;0,"LANÇAR","")</f>
        <v/>
      </c>
      <c r="K811" s="20" t="n"/>
      <c r="L811" s="13">
        <f>N811&amp;O811&amp;P811&amp;Q811&amp;R811&amp;S811&amp;T811&amp;U811&amp;V811&amp;W811&amp;X811&amp;Y811&amp;Z811&amp;AA811&amp;AB811&amp;AC811&amp;AD811&amp;AE811&amp;AF811&amp;AG811</f>
        <v/>
      </c>
      <c r="M811" s="20" t="n"/>
      <c r="N811" s="10">
        <f>TEXT($B$6,"00")</f>
        <v/>
      </c>
      <c r="O811" s="10">
        <f>REPT(" ",8)</f>
        <v/>
      </c>
      <c r="P811" s="10">
        <f>RIGHT($B$4,2)</f>
        <v/>
      </c>
      <c r="Q811" s="10">
        <f>RIGHT($B$5,3)</f>
        <v/>
      </c>
      <c r="R811" s="10">
        <f>IF(A811="D",LEFT(UPPER(B811)&amp;REPT(" ",20),20),REPT(" ",20))</f>
        <v/>
      </c>
      <c r="S811" s="10">
        <f>IF(A811="D",LEFT(UPPER(C811)&amp;REPT(" ",10),10)," ")</f>
        <v/>
      </c>
      <c r="T811" s="10">
        <f>IF(A811="D",LEFT(UPPER(D811)&amp;REPT(" ",2),2)," ")</f>
        <v/>
      </c>
      <c r="U811" s="10">
        <f>IF(A811="D",LEFT(UPPER(E811)&amp;REPT(" ",15),15)," ")</f>
        <v/>
      </c>
      <c r="V811" s="10">
        <f>REPT(" ",24)</f>
        <v/>
      </c>
      <c r="W811" s="10">
        <f>IF(A811="c",LEFT(UPPER(B811)&amp;REPT(" ",20),20),REPT(" ",20))</f>
        <v/>
      </c>
      <c r="X811" s="10">
        <f>IF(A811="C",LEFT(UPPER(C811)&amp;REPT(" ",10),10)," ")</f>
        <v/>
      </c>
      <c r="Y811" s="10">
        <f>IF(A811="C",LEFT(UPPER(D811)&amp;REPT(" ",2),2)," ")</f>
        <v/>
      </c>
      <c r="Z811" s="10">
        <f>IF(A811="C",LEFT(UPPER(E811)&amp;REPT(" ",15),15)," ")</f>
        <v/>
      </c>
      <c r="AA811" s="10">
        <f>REPT(" ",8)</f>
        <v/>
      </c>
      <c r="AB811" s="10">
        <f>REPT(" ",4)</f>
        <v/>
      </c>
      <c r="AC811" s="10">
        <f>LEFT(UPPER(H811)&amp;REPT(" ",250),250)</f>
        <v/>
      </c>
      <c r="AD811" s="10">
        <f>TEXT($G$2,"dd/mm/aaaa")</f>
        <v/>
      </c>
      <c r="AE811" s="10">
        <f>REPT(" ",10)</f>
        <v/>
      </c>
      <c r="AF811" s="10">
        <f>REPT(" ",20)</f>
        <v/>
      </c>
      <c r="AG811" s="54">
        <f>REPT(" ",18-LEN(FIXED(F811,2,TRUE)))&amp;FIXED(F811,2,TRUE)</f>
        <v/>
      </c>
      <c r="AH811" s="10">
        <f>LEN(AC811)+LEN(AG811)</f>
        <v/>
      </c>
      <c r="AI811" s="10">
        <f>LEN(L811)</f>
        <v/>
      </c>
    </row>
    <row r="812">
      <c r="A812" s="46" t="n"/>
      <c r="B812" s="38" t="n"/>
      <c r="C812" s="41" t="n"/>
      <c r="D812" s="41" t="n"/>
      <c r="E812" s="41" t="n"/>
      <c r="F812" s="88" t="n"/>
      <c r="G812" s="89" t="n"/>
      <c r="H812" s="37" t="n"/>
      <c r="I812" s="42" t="n"/>
      <c r="J812" s="12">
        <f>IF(F812&lt;&gt;0,"LANÇAR","")</f>
        <v/>
      </c>
      <c r="K812" s="20" t="n"/>
      <c r="L812" s="13">
        <f>N812&amp;O812&amp;P812&amp;Q812&amp;R812&amp;S812&amp;T812&amp;U812&amp;V812&amp;W812&amp;X812&amp;Y812&amp;Z812&amp;AA812&amp;AB812&amp;AC812&amp;AD812&amp;AE812&amp;AF812&amp;AG812</f>
        <v/>
      </c>
      <c r="M812" s="20" t="n"/>
      <c r="N812" s="10">
        <f>TEXT($B$6,"00")</f>
        <v/>
      </c>
      <c r="O812" s="10">
        <f>REPT(" ",8)</f>
        <v/>
      </c>
      <c r="P812" s="10">
        <f>RIGHT($B$4,2)</f>
        <v/>
      </c>
      <c r="Q812" s="10">
        <f>RIGHT($B$5,3)</f>
        <v/>
      </c>
      <c r="R812" s="10">
        <f>IF(A812="D",LEFT(UPPER(B812)&amp;REPT(" ",20),20),REPT(" ",20))</f>
        <v/>
      </c>
      <c r="S812" s="10">
        <f>IF(A812="D",LEFT(UPPER(C812)&amp;REPT(" ",10),10)," ")</f>
        <v/>
      </c>
      <c r="T812" s="10">
        <f>IF(A812="D",LEFT(UPPER(D812)&amp;REPT(" ",2),2)," ")</f>
        <v/>
      </c>
      <c r="U812" s="10">
        <f>IF(A812="D",LEFT(UPPER(E812)&amp;REPT(" ",15),15)," ")</f>
        <v/>
      </c>
      <c r="V812" s="10">
        <f>REPT(" ",24)</f>
        <v/>
      </c>
      <c r="W812" s="10">
        <f>IF(A812="c",LEFT(UPPER(B812)&amp;REPT(" ",20),20),REPT(" ",20))</f>
        <v/>
      </c>
      <c r="X812" s="10">
        <f>IF(A812="C",LEFT(UPPER(C812)&amp;REPT(" ",10),10)," ")</f>
        <v/>
      </c>
      <c r="Y812" s="10">
        <f>IF(A812="C",LEFT(UPPER(D812)&amp;REPT(" ",2),2)," ")</f>
        <v/>
      </c>
      <c r="Z812" s="10">
        <f>IF(A812="C",LEFT(UPPER(E812)&amp;REPT(" ",15),15)," ")</f>
        <v/>
      </c>
      <c r="AA812" s="10">
        <f>REPT(" ",8)</f>
        <v/>
      </c>
      <c r="AB812" s="10">
        <f>REPT(" ",4)</f>
        <v/>
      </c>
      <c r="AC812" s="10">
        <f>LEFT(UPPER(H812)&amp;REPT(" ",250),250)</f>
        <v/>
      </c>
      <c r="AD812" s="10">
        <f>TEXT($G$2,"dd/mm/aaaa")</f>
        <v/>
      </c>
      <c r="AE812" s="10">
        <f>REPT(" ",10)</f>
        <v/>
      </c>
      <c r="AF812" s="10">
        <f>REPT(" ",20)</f>
        <v/>
      </c>
      <c r="AG812" s="54">
        <f>REPT(" ",18-LEN(FIXED(F812,2,TRUE)))&amp;FIXED(F812,2,TRUE)</f>
        <v/>
      </c>
      <c r="AH812" s="10">
        <f>LEN(AC812)+LEN(AG812)</f>
        <v/>
      </c>
      <c r="AI812" s="10">
        <f>LEN(L812)</f>
        <v/>
      </c>
    </row>
    <row r="813">
      <c r="A813" s="46" t="n"/>
      <c r="B813" s="38" t="n"/>
      <c r="C813" s="41" t="n"/>
      <c r="D813" s="41" t="n"/>
      <c r="E813" s="41" t="n"/>
      <c r="F813" s="88" t="n"/>
      <c r="G813" s="89" t="n"/>
      <c r="H813" s="37" t="n"/>
      <c r="I813" s="42" t="n"/>
      <c r="J813" s="12">
        <f>IF(F813&lt;&gt;0,"LANÇAR","")</f>
        <v/>
      </c>
      <c r="K813" s="20" t="n"/>
      <c r="L813" s="13">
        <f>N813&amp;O813&amp;P813&amp;Q813&amp;R813&amp;S813&amp;T813&amp;U813&amp;V813&amp;W813&amp;X813&amp;Y813&amp;Z813&amp;AA813&amp;AB813&amp;AC813&amp;AD813&amp;AE813&amp;AF813&amp;AG813</f>
        <v/>
      </c>
      <c r="M813" s="20" t="n"/>
      <c r="N813" s="10">
        <f>TEXT($B$6,"00")</f>
        <v/>
      </c>
      <c r="O813" s="10">
        <f>REPT(" ",8)</f>
        <v/>
      </c>
      <c r="P813" s="10">
        <f>RIGHT($B$4,2)</f>
        <v/>
      </c>
      <c r="Q813" s="10">
        <f>RIGHT($B$5,3)</f>
        <v/>
      </c>
      <c r="R813" s="10">
        <f>IF(A813="D",LEFT(UPPER(B813)&amp;REPT(" ",20),20),REPT(" ",20))</f>
        <v/>
      </c>
      <c r="S813" s="10">
        <f>IF(A813="D",LEFT(UPPER(C813)&amp;REPT(" ",10),10)," ")</f>
        <v/>
      </c>
      <c r="T813" s="10">
        <f>IF(A813="D",LEFT(UPPER(D813)&amp;REPT(" ",2),2)," ")</f>
        <v/>
      </c>
      <c r="U813" s="10">
        <f>IF(A813="D",LEFT(UPPER(E813)&amp;REPT(" ",15),15)," ")</f>
        <v/>
      </c>
      <c r="V813" s="10">
        <f>REPT(" ",24)</f>
        <v/>
      </c>
      <c r="W813" s="10">
        <f>IF(A813="c",LEFT(UPPER(B813)&amp;REPT(" ",20),20),REPT(" ",20))</f>
        <v/>
      </c>
      <c r="X813" s="10">
        <f>IF(A813="C",LEFT(UPPER(C813)&amp;REPT(" ",10),10)," ")</f>
        <v/>
      </c>
      <c r="Y813" s="10">
        <f>IF(A813="C",LEFT(UPPER(D813)&amp;REPT(" ",2),2)," ")</f>
        <v/>
      </c>
      <c r="Z813" s="10">
        <f>IF(A813="C",LEFT(UPPER(E813)&amp;REPT(" ",15),15)," ")</f>
        <v/>
      </c>
      <c r="AA813" s="10">
        <f>REPT(" ",8)</f>
        <v/>
      </c>
      <c r="AB813" s="10">
        <f>REPT(" ",4)</f>
        <v/>
      </c>
      <c r="AC813" s="10">
        <f>LEFT(UPPER(H813)&amp;REPT(" ",250),250)</f>
        <v/>
      </c>
      <c r="AD813" s="10">
        <f>TEXT($G$2,"dd/mm/aaaa")</f>
        <v/>
      </c>
      <c r="AE813" s="10">
        <f>REPT(" ",10)</f>
        <v/>
      </c>
      <c r="AF813" s="10">
        <f>REPT(" ",20)</f>
        <v/>
      </c>
      <c r="AG813" s="54">
        <f>REPT(" ",18-LEN(FIXED(F813,2,TRUE)))&amp;FIXED(F813,2,TRUE)</f>
        <v/>
      </c>
      <c r="AH813" s="10">
        <f>LEN(AC813)+LEN(AG813)</f>
        <v/>
      </c>
      <c r="AI813" s="10">
        <f>LEN(L813)</f>
        <v/>
      </c>
    </row>
    <row r="814">
      <c r="A814" s="46" t="n"/>
      <c r="B814" s="38" t="n"/>
      <c r="C814" s="41" t="n"/>
      <c r="D814" s="41" t="n"/>
      <c r="E814" s="41" t="n"/>
      <c r="F814" s="88" t="n"/>
      <c r="G814" s="89" t="n"/>
      <c r="H814" s="37" t="n"/>
      <c r="I814" s="42" t="n"/>
      <c r="J814" s="12">
        <f>IF(F814&lt;&gt;0,"LANÇAR","")</f>
        <v/>
      </c>
      <c r="K814" s="20" t="n"/>
      <c r="L814" s="13">
        <f>N814&amp;O814&amp;P814&amp;Q814&amp;R814&amp;S814&amp;T814&amp;U814&amp;V814&amp;W814&amp;X814&amp;Y814&amp;Z814&amp;AA814&amp;AB814&amp;AC814&amp;AD814&amp;AE814&amp;AF814&amp;AG814</f>
        <v/>
      </c>
      <c r="M814" s="20" t="n"/>
      <c r="N814" s="10">
        <f>TEXT($B$6,"00")</f>
        <v/>
      </c>
      <c r="O814" s="10">
        <f>REPT(" ",8)</f>
        <v/>
      </c>
      <c r="P814" s="10">
        <f>RIGHT($B$4,2)</f>
        <v/>
      </c>
      <c r="Q814" s="10">
        <f>RIGHT($B$5,3)</f>
        <v/>
      </c>
      <c r="R814" s="10">
        <f>IF(A814="D",LEFT(UPPER(B814)&amp;REPT(" ",20),20),REPT(" ",20))</f>
        <v/>
      </c>
      <c r="S814" s="10">
        <f>IF(A814="D",LEFT(UPPER(C814)&amp;REPT(" ",10),10)," ")</f>
        <v/>
      </c>
      <c r="T814" s="10">
        <f>IF(A814="D",LEFT(UPPER(D814)&amp;REPT(" ",2),2)," ")</f>
        <v/>
      </c>
      <c r="U814" s="10">
        <f>IF(A814="D",LEFT(UPPER(E814)&amp;REPT(" ",15),15)," ")</f>
        <v/>
      </c>
      <c r="V814" s="10">
        <f>REPT(" ",24)</f>
        <v/>
      </c>
      <c r="W814" s="10">
        <f>IF(A814="c",LEFT(UPPER(B814)&amp;REPT(" ",20),20),REPT(" ",20))</f>
        <v/>
      </c>
      <c r="X814" s="10">
        <f>IF(A814="C",LEFT(UPPER(C814)&amp;REPT(" ",10),10)," ")</f>
        <v/>
      </c>
      <c r="Y814" s="10">
        <f>IF(A814="C",LEFT(UPPER(D814)&amp;REPT(" ",2),2)," ")</f>
        <v/>
      </c>
      <c r="Z814" s="10">
        <f>IF(A814="C",LEFT(UPPER(E814)&amp;REPT(" ",15),15)," ")</f>
        <v/>
      </c>
      <c r="AA814" s="10">
        <f>REPT(" ",8)</f>
        <v/>
      </c>
      <c r="AB814" s="10">
        <f>REPT(" ",4)</f>
        <v/>
      </c>
      <c r="AC814" s="10">
        <f>LEFT(UPPER(H814)&amp;REPT(" ",250),250)</f>
        <v/>
      </c>
      <c r="AD814" s="10">
        <f>TEXT($G$2,"dd/mm/aaaa")</f>
        <v/>
      </c>
      <c r="AE814" s="10">
        <f>REPT(" ",10)</f>
        <v/>
      </c>
      <c r="AF814" s="10">
        <f>REPT(" ",20)</f>
        <v/>
      </c>
      <c r="AG814" s="54">
        <f>REPT(" ",18-LEN(FIXED(F814,2,TRUE)))&amp;FIXED(F814,2,TRUE)</f>
        <v/>
      </c>
      <c r="AH814" s="10">
        <f>LEN(AC814)+LEN(AG814)</f>
        <v/>
      </c>
      <c r="AI814" s="10">
        <f>LEN(L814)</f>
        <v/>
      </c>
    </row>
    <row r="815">
      <c r="A815" s="46" t="n"/>
      <c r="B815" s="38" t="n"/>
      <c r="C815" s="41" t="n"/>
      <c r="D815" s="41" t="n"/>
      <c r="E815" s="41" t="n"/>
      <c r="F815" s="88" t="n"/>
      <c r="G815" s="89" t="n"/>
      <c r="H815" s="37" t="n"/>
      <c r="I815" s="42" t="n"/>
      <c r="J815" s="12">
        <f>IF(F815&lt;&gt;0,"LANÇAR","")</f>
        <v/>
      </c>
      <c r="K815" s="20" t="n"/>
      <c r="L815" s="13">
        <f>N815&amp;O815&amp;P815&amp;Q815&amp;R815&amp;S815&amp;T815&amp;U815&amp;V815&amp;W815&amp;X815&amp;Y815&amp;Z815&amp;AA815&amp;AB815&amp;AC815&amp;AD815&amp;AE815&amp;AF815&amp;AG815</f>
        <v/>
      </c>
      <c r="M815" s="20" t="n"/>
      <c r="N815" s="10">
        <f>TEXT($B$6,"00")</f>
        <v/>
      </c>
      <c r="O815" s="10">
        <f>REPT(" ",8)</f>
        <v/>
      </c>
      <c r="P815" s="10">
        <f>RIGHT($B$4,2)</f>
        <v/>
      </c>
      <c r="Q815" s="10">
        <f>RIGHT($B$5,3)</f>
        <v/>
      </c>
      <c r="R815" s="10">
        <f>IF(A815="D",LEFT(UPPER(B815)&amp;REPT(" ",20),20),REPT(" ",20))</f>
        <v/>
      </c>
      <c r="S815" s="10">
        <f>IF(A815="D",LEFT(UPPER(C815)&amp;REPT(" ",10),10)," ")</f>
        <v/>
      </c>
      <c r="T815" s="10">
        <f>IF(A815="D",LEFT(UPPER(D815)&amp;REPT(" ",2),2)," ")</f>
        <v/>
      </c>
      <c r="U815" s="10">
        <f>IF(A815="D",LEFT(UPPER(E815)&amp;REPT(" ",15),15)," ")</f>
        <v/>
      </c>
      <c r="V815" s="10">
        <f>REPT(" ",24)</f>
        <v/>
      </c>
      <c r="W815" s="10">
        <f>IF(A815="c",LEFT(UPPER(B815)&amp;REPT(" ",20),20),REPT(" ",20))</f>
        <v/>
      </c>
      <c r="X815" s="10">
        <f>IF(A815="C",LEFT(UPPER(C815)&amp;REPT(" ",10),10)," ")</f>
        <v/>
      </c>
      <c r="Y815" s="10">
        <f>IF(A815="C",LEFT(UPPER(D815)&amp;REPT(" ",2),2)," ")</f>
        <v/>
      </c>
      <c r="Z815" s="10">
        <f>IF(A815="C",LEFT(UPPER(E815)&amp;REPT(" ",15),15)," ")</f>
        <v/>
      </c>
      <c r="AA815" s="10">
        <f>REPT(" ",8)</f>
        <v/>
      </c>
      <c r="AB815" s="10">
        <f>REPT(" ",4)</f>
        <v/>
      </c>
      <c r="AC815" s="10">
        <f>LEFT(UPPER(H815)&amp;REPT(" ",250),250)</f>
        <v/>
      </c>
      <c r="AD815" s="10">
        <f>TEXT($G$2,"dd/mm/aaaa")</f>
        <v/>
      </c>
      <c r="AE815" s="10">
        <f>REPT(" ",10)</f>
        <v/>
      </c>
      <c r="AF815" s="10">
        <f>REPT(" ",20)</f>
        <v/>
      </c>
      <c r="AG815" s="54">
        <f>REPT(" ",18-LEN(FIXED(F815,2,TRUE)))&amp;FIXED(F815,2,TRUE)</f>
        <v/>
      </c>
      <c r="AH815" s="10">
        <f>LEN(AC815)+LEN(AG815)</f>
        <v/>
      </c>
      <c r="AI815" s="10">
        <f>LEN(L815)</f>
        <v/>
      </c>
    </row>
    <row r="816">
      <c r="A816" s="46" t="n"/>
      <c r="B816" s="38" t="n"/>
      <c r="C816" s="41" t="n"/>
      <c r="D816" s="41" t="n"/>
      <c r="E816" s="41" t="n"/>
      <c r="F816" s="88" t="n"/>
      <c r="G816" s="89" t="n"/>
      <c r="H816" s="37" t="n"/>
      <c r="I816" s="42" t="n"/>
      <c r="J816" s="12">
        <f>IF(F816&lt;&gt;0,"LANÇAR","")</f>
        <v/>
      </c>
      <c r="K816" s="20" t="n"/>
      <c r="L816" s="13">
        <f>N816&amp;O816&amp;P816&amp;Q816&amp;R816&amp;S816&amp;T816&amp;U816&amp;V816&amp;W816&amp;X816&amp;Y816&amp;Z816&amp;AA816&amp;AB816&amp;AC816&amp;AD816&amp;AE816&amp;AF816&amp;AG816</f>
        <v/>
      </c>
      <c r="M816" s="20" t="n"/>
      <c r="N816" s="10">
        <f>TEXT($B$6,"00")</f>
        <v/>
      </c>
      <c r="O816" s="10">
        <f>REPT(" ",8)</f>
        <v/>
      </c>
      <c r="P816" s="10">
        <f>RIGHT($B$4,2)</f>
        <v/>
      </c>
      <c r="Q816" s="10">
        <f>RIGHT($B$5,3)</f>
        <v/>
      </c>
      <c r="R816" s="10">
        <f>IF(A816="D",LEFT(UPPER(B816)&amp;REPT(" ",20),20),REPT(" ",20))</f>
        <v/>
      </c>
      <c r="S816" s="10">
        <f>IF(A816="D",LEFT(UPPER(C816)&amp;REPT(" ",10),10)," ")</f>
        <v/>
      </c>
      <c r="T816" s="10">
        <f>IF(A816="D",LEFT(UPPER(D816)&amp;REPT(" ",2),2)," ")</f>
        <v/>
      </c>
      <c r="U816" s="10">
        <f>IF(A816="D",LEFT(UPPER(E816)&amp;REPT(" ",15),15)," ")</f>
        <v/>
      </c>
      <c r="V816" s="10">
        <f>REPT(" ",24)</f>
        <v/>
      </c>
      <c r="W816" s="10">
        <f>IF(A816="c",LEFT(UPPER(B816)&amp;REPT(" ",20),20),REPT(" ",20))</f>
        <v/>
      </c>
      <c r="X816" s="10">
        <f>IF(A816="C",LEFT(UPPER(C816)&amp;REPT(" ",10),10)," ")</f>
        <v/>
      </c>
      <c r="Y816" s="10">
        <f>IF(A816="C",LEFT(UPPER(D816)&amp;REPT(" ",2),2)," ")</f>
        <v/>
      </c>
      <c r="Z816" s="10">
        <f>IF(A816="C",LEFT(UPPER(E816)&amp;REPT(" ",15),15)," ")</f>
        <v/>
      </c>
      <c r="AA816" s="10">
        <f>REPT(" ",8)</f>
        <v/>
      </c>
      <c r="AB816" s="10">
        <f>REPT(" ",4)</f>
        <v/>
      </c>
      <c r="AC816" s="10">
        <f>LEFT(UPPER(H816)&amp;REPT(" ",250),250)</f>
        <v/>
      </c>
      <c r="AD816" s="10">
        <f>TEXT($G$2,"dd/mm/aaaa")</f>
        <v/>
      </c>
      <c r="AE816" s="10">
        <f>REPT(" ",10)</f>
        <v/>
      </c>
      <c r="AF816" s="10">
        <f>REPT(" ",20)</f>
        <v/>
      </c>
      <c r="AG816" s="54">
        <f>REPT(" ",18-LEN(FIXED(F816,2,TRUE)))&amp;FIXED(F816,2,TRUE)</f>
        <v/>
      </c>
      <c r="AH816" s="10">
        <f>LEN(AC816)+LEN(AG816)</f>
        <v/>
      </c>
      <c r="AI816" s="10">
        <f>LEN(L816)</f>
        <v/>
      </c>
    </row>
    <row r="817">
      <c r="A817" s="46" t="n"/>
      <c r="B817" s="38" t="n"/>
      <c r="C817" s="41" t="n"/>
      <c r="D817" s="41" t="n"/>
      <c r="E817" s="41" t="n"/>
      <c r="F817" s="88" t="n"/>
      <c r="G817" s="89" t="n"/>
      <c r="H817" s="37" t="n"/>
      <c r="I817" s="42" t="n"/>
      <c r="J817" s="12">
        <f>IF(F817&lt;&gt;0,"LANÇAR","")</f>
        <v/>
      </c>
      <c r="K817" s="20" t="n"/>
      <c r="L817" s="13">
        <f>N817&amp;O817&amp;P817&amp;Q817&amp;R817&amp;S817&amp;T817&amp;U817&amp;V817&amp;W817&amp;X817&amp;Y817&amp;Z817&amp;AA817&amp;AB817&amp;AC817&amp;AD817&amp;AE817&amp;AF817&amp;AG817</f>
        <v/>
      </c>
      <c r="M817" s="20" t="n"/>
      <c r="N817" s="10">
        <f>TEXT($B$6,"00")</f>
        <v/>
      </c>
      <c r="O817" s="10">
        <f>REPT(" ",8)</f>
        <v/>
      </c>
      <c r="P817" s="10">
        <f>RIGHT($B$4,2)</f>
        <v/>
      </c>
      <c r="Q817" s="10">
        <f>RIGHT($B$5,3)</f>
        <v/>
      </c>
      <c r="R817" s="10">
        <f>IF(A817="D",LEFT(UPPER(B817)&amp;REPT(" ",20),20),REPT(" ",20))</f>
        <v/>
      </c>
      <c r="S817" s="10">
        <f>IF(A817="D",LEFT(UPPER(C817)&amp;REPT(" ",10),10)," ")</f>
        <v/>
      </c>
      <c r="T817" s="10">
        <f>IF(A817="D",LEFT(UPPER(D817)&amp;REPT(" ",2),2)," ")</f>
        <v/>
      </c>
      <c r="U817" s="10">
        <f>IF(A817="D",LEFT(UPPER(E817)&amp;REPT(" ",15),15)," ")</f>
        <v/>
      </c>
      <c r="V817" s="10">
        <f>REPT(" ",24)</f>
        <v/>
      </c>
      <c r="W817" s="10">
        <f>IF(A817="c",LEFT(UPPER(B817)&amp;REPT(" ",20),20),REPT(" ",20))</f>
        <v/>
      </c>
      <c r="X817" s="10">
        <f>IF(A817="C",LEFT(UPPER(C817)&amp;REPT(" ",10),10)," ")</f>
        <v/>
      </c>
      <c r="Y817" s="10">
        <f>IF(A817="C",LEFT(UPPER(D817)&amp;REPT(" ",2),2)," ")</f>
        <v/>
      </c>
      <c r="Z817" s="10">
        <f>IF(A817="C",LEFT(UPPER(E817)&amp;REPT(" ",15),15)," ")</f>
        <v/>
      </c>
      <c r="AA817" s="10">
        <f>REPT(" ",8)</f>
        <v/>
      </c>
      <c r="AB817" s="10">
        <f>REPT(" ",4)</f>
        <v/>
      </c>
      <c r="AC817" s="10">
        <f>LEFT(UPPER(H817)&amp;REPT(" ",250),250)</f>
        <v/>
      </c>
      <c r="AD817" s="10">
        <f>TEXT($G$2,"dd/mm/aaaa")</f>
        <v/>
      </c>
      <c r="AE817" s="10">
        <f>REPT(" ",10)</f>
        <v/>
      </c>
      <c r="AF817" s="10">
        <f>REPT(" ",20)</f>
        <v/>
      </c>
      <c r="AG817" s="54">
        <f>REPT(" ",18-LEN(FIXED(F817,2,TRUE)))&amp;FIXED(F817,2,TRUE)</f>
        <v/>
      </c>
      <c r="AH817" s="10">
        <f>LEN(AC817)+LEN(AG817)</f>
        <v/>
      </c>
      <c r="AI817" s="10">
        <f>LEN(L817)</f>
        <v/>
      </c>
    </row>
    <row r="818">
      <c r="A818" s="46" t="n"/>
      <c r="B818" s="38" t="n"/>
      <c r="C818" s="41" t="n"/>
      <c r="D818" s="41" t="n"/>
      <c r="E818" s="41" t="n"/>
      <c r="F818" s="88" t="n"/>
      <c r="G818" s="89" t="n"/>
      <c r="H818" s="37" t="n"/>
      <c r="I818" s="42" t="n"/>
      <c r="J818" s="12">
        <f>IF(F818&lt;&gt;0,"LANÇAR","")</f>
        <v/>
      </c>
      <c r="K818" s="20" t="n"/>
      <c r="L818" s="13">
        <f>N818&amp;O818&amp;P818&amp;Q818&amp;R818&amp;S818&amp;T818&amp;U818&amp;V818&amp;W818&amp;X818&amp;Y818&amp;Z818&amp;AA818&amp;AB818&amp;AC818&amp;AD818&amp;AE818&amp;AF818&amp;AG818</f>
        <v/>
      </c>
      <c r="M818" s="20" t="n"/>
      <c r="N818" s="10">
        <f>TEXT($B$6,"00")</f>
        <v/>
      </c>
      <c r="O818" s="10">
        <f>REPT(" ",8)</f>
        <v/>
      </c>
      <c r="P818" s="10">
        <f>RIGHT($B$4,2)</f>
        <v/>
      </c>
      <c r="Q818" s="10">
        <f>RIGHT($B$5,3)</f>
        <v/>
      </c>
      <c r="R818" s="10">
        <f>IF(A818="D",LEFT(UPPER(B818)&amp;REPT(" ",20),20),REPT(" ",20))</f>
        <v/>
      </c>
      <c r="S818" s="10">
        <f>IF(A818="D",LEFT(UPPER(C818)&amp;REPT(" ",10),10)," ")</f>
        <v/>
      </c>
      <c r="T818" s="10">
        <f>IF(A818="D",LEFT(UPPER(D818)&amp;REPT(" ",2),2)," ")</f>
        <v/>
      </c>
      <c r="U818" s="10">
        <f>IF(A818="D",LEFT(UPPER(E818)&amp;REPT(" ",15),15)," ")</f>
        <v/>
      </c>
      <c r="V818" s="10">
        <f>REPT(" ",24)</f>
        <v/>
      </c>
      <c r="W818" s="10">
        <f>IF(A818="c",LEFT(UPPER(B818)&amp;REPT(" ",20),20),REPT(" ",20))</f>
        <v/>
      </c>
      <c r="X818" s="10">
        <f>IF(A818="C",LEFT(UPPER(C818)&amp;REPT(" ",10),10)," ")</f>
        <v/>
      </c>
      <c r="Y818" s="10">
        <f>IF(A818="C",LEFT(UPPER(D818)&amp;REPT(" ",2),2)," ")</f>
        <v/>
      </c>
      <c r="Z818" s="10">
        <f>IF(A818="C",LEFT(UPPER(E818)&amp;REPT(" ",15),15)," ")</f>
        <v/>
      </c>
      <c r="AA818" s="10">
        <f>REPT(" ",8)</f>
        <v/>
      </c>
      <c r="AB818" s="10">
        <f>REPT(" ",4)</f>
        <v/>
      </c>
      <c r="AC818" s="10">
        <f>LEFT(UPPER(H818)&amp;REPT(" ",250),250)</f>
        <v/>
      </c>
      <c r="AD818" s="10">
        <f>TEXT($G$2,"dd/mm/aaaa")</f>
        <v/>
      </c>
      <c r="AE818" s="10">
        <f>REPT(" ",10)</f>
        <v/>
      </c>
      <c r="AF818" s="10">
        <f>REPT(" ",20)</f>
        <v/>
      </c>
      <c r="AG818" s="54">
        <f>REPT(" ",18-LEN(FIXED(F818,2,TRUE)))&amp;FIXED(F818,2,TRUE)</f>
        <v/>
      </c>
      <c r="AH818" s="10">
        <f>LEN(AC818)+LEN(AG818)</f>
        <v/>
      </c>
      <c r="AI818" s="10">
        <f>LEN(L818)</f>
        <v/>
      </c>
    </row>
    <row r="819">
      <c r="A819" s="46" t="n"/>
      <c r="B819" s="38" t="n"/>
      <c r="C819" s="41" t="n"/>
      <c r="D819" s="41" t="n"/>
      <c r="E819" s="41" t="n"/>
      <c r="F819" s="88" t="n"/>
      <c r="G819" s="89" t="n"/>
      <c r="H819" s="37" t="n"/>
      <c r="I819" s="42" t="n"/>
      <c r="J819" s="12">
        <f>IF(F819&lt;&gt;0,"LANÇAR","")</f>
        <v/>
      </c>
      <c r="K819" s="20" t="n"/>
      <c r="L819" s="13">
        <f>N819&amp;O819&amp;P819&amp;Q819&amp;R819&amp;S819&amp;T819&amp;U819&amp;V819&amp;W819&amp;X819&amp;Y819&amp;Z819&amp;AA819&amp;AB819&amp;AC819&amp;AD819&amp;AE819&amp;AF819&amp;AG819</f>
        <v/>
      </c>
      <c r="M819" s="20" t="n"/>
      <c r="N819" s="10">
        <f>TEXT($B$6,"00")</f>
        <v/>
      </c>
      <c r="O819" s="10">
        <f>REPT(" ",8)</f>
        <v/>
      </c>
      <c r="P819" s="10">
        <f>RIGHT($B$4,2)</f>
        <v/>
      </c>
      <c r="Q819" s="10">
        <f>RIGHT($B$5,3)</f>
        <v/>
      </c>
      <c r="R819" s="10">
        <f>IF(A819="D",LEFT(UPPER(B819)&amp;REPT(" ",20),20),REPT(" ",20))</f>
        <v/>
      </c>
      <c r="S819" s="10">
        <f>IF(A819="D",LEFT(UPPER(C819)&amp;REPT(" ",10),10)," ")</f>
        <v/>
      </c>
      <c r="T819" s="10">
        <f>IF(A819="D",LEFT(UPPER(D819)&amp;REPT(" ",2),2)," ")</f>
        <v/>
      </c>
      <c r="U819" s="10">
        <f>IF(A819="D",LEFT(UPPER(E819)&amp;REPT(" ",15),15)," ")</f>
        <v/>
      </c>
      <c r="V819" s="10">
        <f>REPT(" ",24)</f>
        <v/>
      </c>
      <c r="W819" s="10">
        <f>IF(A819="c",LEFT(UPPER(B819)&amp;REPT(" ",20),20),REPT(" ",20))</f>
        <v/>
      </c>
      <c r="X819" s="10">
        <f>IF(A819="C",LEFT(UPPER(C819)&amp;REPT(" ",10),10)," ")</f>
        <v/>
      </c>
      <c r="Y819" s="10">
        <f>IF(A819="C",LEFT(UPPER(D819)&amp;REPT(" ",2),2)," ")</f>
        <v/>
      </c>
      <c r="Z819" s="10">
        <f>IF(A819="C",LEFT(UPPER(E819)&amp;REPT(" ",15),15)," ")</f>
        <v/>
      </c>
      <c r="AA819" s="10">
        <f>REPT(" ",8)</f>
        <v/>
      </c>
      <c r="AB819" s="10">
        <f>REPT(" ",4)</f>
        <v/>
      </c>
      <c r="AC819" s="10">
        <f>LEFT(UPPER(H819)&amp;REPT(" ",250),250)</f>
        <v/>
      </c>
      <c r="AD819" s="10">
        <f>TEXT($G$2,"dd/mm/aaaa")</f>
        <v/>
      </c>
      <c r="AE819" s="10">
        <f>REPT(" ",10)</f>
        <v/>
      </c>
      <c r="AF819" s="10">
        <f>REPT(" ",20)</f>
        <v/>
      </c>
      <c r="AG819" s="54">
        <f>REPT(" ",18-LEN(FIXED(F819,2,TRUE)))&amp;FIXED(F819,2,TRUE)</f>
        <v/>
      </c>
      <c r="AH819" s="10">
        <f>LEN(AC819)+LEN(AG819)</f>
        <v/>
      </c>
      <c r="AI819" s="10">
        <f>LEN(L819)</f>
        <v/>
      </c>
    </row>
    <row r="820">
      <c r="A820" s="46" t="n"/>
      <c r="B820" s="38" t="n"/>
      <c r="C820" s="41" t="n"/>
      <c r="D820" s="41" t="n"/>
      <c r="E820" s="41" t="n"/>
      <c r="F820" s="88" t="n"/>
      <c r="G820" s="89" t="n"/>
      <c r="H820" s="37" t="n"/>
      <c r="I820" s="42" t="n"/>
      <c r="J820" s="12">
        <f>IF(F820&lt;&gt;0,"LANÇAR","")</f>
        <v/>
      </c>
      <c r="K820" s="20" t="n"/>
      <c r="L820" s="13">
        <f>N820&amp;O820&amp;P820&amp;Q820&amp;R820&amp;S820&amp;T820&amp;U820&amp;V820&amp;W820&amp;X820&amp;Y820&amp;Z820&amp;AA820&amp;AB820&amp;AC820&amp;AD820&amp;AE820&amp;AF820&amp;AG820</f>
        <v/>
      </c>
      <c r="M820" s="20" t="n"/>
      <c r="N820" s="10">
        <f>TEXT($B$6,"00")</f>
        <v/>
      </c>
      <c r="O820" s="10">
        <f>REPT(" ",8)</f>
        <v/>
      </c>
      <c r="P820" s="10">
        <f>RIGHT($B$4,2)</f>
        <v/>
      </c>
      <c r="Q820" s="10">
        <f>RIGHT($B$5,3)</f>
        <v/>
      </c>
      <c r="R820" s="10">
        <f>IF(A820="D",LEFT(UPPER(B820)&amp;REPT(" ",20),20),REPT(" ",20))</f>
        <v/>
      </c>
      <c r="S820" s="10">
        <f>IF(A820="D",LEFT(UPPER(C820)&amp;REPT(" ",10),10)," ")</f>
        <v/>
      </c>
      <c r="T820" s="10">
        <f>IF(A820="D",LEFT(UPPER(D820)&amp;REPT(" ",2),2)," ")</f>
        <v/>
      </c>
      <c r="U820" s="10">
        <f>IF(A820="D",LEFT(UPPER(E820)&amp;REPT(" ",15),15)," ")</f>
        <v/>
      </c>
      <c r="V820" s="10">
        <f>REPT(" ",24)</f>
        <v/>
      </c>
      <c r="W820" s="10">
        <f>IF(A820="c",LEFT(UPPER(B820)&amp;REPT(" ",20),20),REPT(" ",20))</f>
        <v/>
      </c>
      <c r="X820" s="10">
        <f>IF(A820="C",LEFT(UPPER(C820)&amp;REPT(" ",10),10)," ")</f>
        <v/>
      </c>
      <c r="Y820" s="10">
        <f>IF(A820="C",LEFT(UPPER(D820)&amp;REPT(" ",2),2)," ")</f>
        <v/>
      </c>
      <c r="Z820" s="10">
        <f>IF(A820="C",LEFT(UPPER(E820)&amp;REPT(" ",15),15)," ")</f>
        <v/>
      </c>
      <c r="AA820" s="10">
        <f>REPT(" ",8)</f>
        <v/>
      </c>
      <c r="AB820" s="10">
        <f>REPT(" ",4)</f>
        <v/>
      </c>
      <c r="AC820" s="10">
        <f>LEFT(UPPER(H820)&amp;REPT(" ",250),250)</f>
        <v/>
      </c>
      <c r="AD820" s="10">
        <f>TEXT($G$2,"dd/mm/aaaa")</f>
        <v/>
      </c>
      <c r="AE820" s="10">
        <f>REPT(" ",10)</f>
        <v/>
      </c>
      <c r="AF820" s="10">
        <f>REPT(" ",20)</f>
        <v/>
      </c>
      <c r="AG820" s="54">
        <f>REPT(" ",18-LEN(FIXED(F820,2,TRUE)))&amp;FIXED(F820,2,TRUE)</f>
        <v/>
      </c>
      <c r="AH820" s="10">
        <f>LEN(AC820)+LEN(AG820)</f>
        <v/>
      </c>
      <c r="AI820" s="10">
        <f>LEN(L820)</f>
        <v/>
      </c>
    </row>
    <row r="821">
      <c r="A821" s="46" t="n"/>
      <c r="B821" s="38" t="n"/>
      <c r="C821" s="41" t="n"/>
      <c r="D821" s="41" t="n"/>
      <c r="E821" s="41" t="n"/>
      <c r="F821" s="88" t="n"/>
      <c r="G821" s="89" t="n"/>
      <c r="H821" s="37" t="n"/>
      <c r="I821" s="42" t="n"/>
      <c r="J821" s="12">
        <f>IF(F821&lt;&gt;0,"LANÇAR","")</f>
        <v/>
      </c>
      <c r="K821" s="20" t="n"/>
      <c r="L821" s="13">
        <f>N821&amp;O821&amp;P821&amp;Q821&amp;R821&amp;S821&amp;T821&amp;U821&amp;V821&amp;W821&amp;X821&amp;Y821&amp;Z821&amp;AA821&amp;AB821&amp;AC821&amp;AD821&amp;AE821&amp;AF821&amp;AG821</f>
        <v/>
      </c>
      <c r="M821" s="20" t="n"/>
      <c r="N821" s="10">
        <f>TEXT($B$6,"00")</f>
        <v/>
      </c>
      <c r="O821" s="10">
        <f>REPT(" ",8)</f>
        <v/>
      </c>
      <c r="P821" s="10">
        <f>RIGHT($B$4,2)</f>
        <v/>
      </c>
      <c r="Q821" s="10">
        <f>RIGHT($B$5,3)</f>
        <v/>
      </c>
      <c r="R821" s="10">
        <f>IF(A821="D",LEFT(UPPER(B821)&amp;REPT(" ",20),20),REPT(" ",20))</f>
        <v/>
      </c>
      <c r="S821" s="10">
        <f>IF(A821="D",LEFT(UPPER(C821)&amp;REPT(" ",10),10)," ")</f>
        <v/>
      </c>
      <c r="T821" s="10">
        <f>IF(A821="D",LEFT(UPPER(D821)&amp;REPT(" ",2),2)," ")</f>
        <v/>
      </c>
      <c r="U821" s="10">
        <f>IF(A821="D",LEFT(UPPER(E821)&amp;REPT(" ",15),15)," ")</f>
        <v/>
      </c>
      <c r="V821" s="10">
        <f>REPT(" ",24)</f>
        <v/>
      </c>
      <c r="W821" s="10">
        <f>IF(A821="c",LEFT(UPPER(B821)&amp;REPT(" ",20),20),REPT(" ",20))</f>
        <v/>
      </c>
      <c r="X821" s="10">
        <f>IF(A821="C",LEFT(UPPER(C821)&amp;REPT(" ",10),10)," ")</f>
        <v/>
      </c>
      <c r="Y821" s="10">
        <f>IF(A821="C",LEFT(UPPER(D821)&amp;REPT(" ",2),2)," ")</f>
        <v/>
      </c>
      <c r="Z821" s="10">
        <f>IF(A821="C",LEFT(UPPER(E821)&amp;REPT(" ",15),15)," ")</f>
        <v/>
      </c>
      <c r="AA821" s="10">
        <f>REPT(" ",8)</f>
        <v/>
      </c>
      <c r="AB821" s="10">
        <f>REPT(" ",4)</f>
        <v/>
      </c>
      <c r="AC821" s="10">
        <f>LEFT(UPPER(H821)&amp;REPT(" ",250),250)</f>
        <v/>
      </c>
      <c r="AD821" s="10">
        <f>TEXT($G$2,"dd/mm/aaaa")</f>
        <v/>
      </c>
      <c r="AE821" s="10">
        <f>REPT(" ",10)</f>
        <v/>
      </c>
      <c r="AF821" s="10">
        <f>REPT(" ",20)</f>
        <v/>
      </c>
      <c r="AG821" s="54">
        <f>REPT(" ",18-LEN(FIXED(F821,2,TRUE)))&amp;FIXED(F821,2,TRUE)</f>
        <v/>
      </c>
      <c r="AH821" s="10">
        <f>LEN(AC821)+LEN(AG821)</f>
        <v/>
      </c>
      <c r="AI821" s="10">
        <f>LEN(L821)</f>
        <v/>
      </c>
    </row>
    <row r="822">
      <c r="A822" s="46" t="n"/>
      <c r="B822" s="38" t="n"/>
      <c r="C822" s="41" t="n"/>
      <c r="D822" s="41" t="n"/>
      <c r="E822" s="41" t="n"/>
      <c r="F822" s="88" t="n"/>
      <c r="G822" s="89" t="n"/>
      <c r="H822" s="37" t="n"/>
      <c r="I822" s="42" t="n"/>
      <c r="J822" s="12">
        <f>IF(F822&lt;&gt;0,"LANÇAR","")</f>
        <v/>
      </c>
      <c r="K822" s="20" t="n"/>
      <c r="L822" s="13">
        <f>N822&amp;O822&amp;P822&amp;Q822&amp;R822&amp;S822&amp;T822&amp;U822&amp;V822&amp;W822&amp;X822&amp;Y822&amp;Z822&amp;AA822&amp;AB822&amp;AC822&amp;AD822&amp;AE822&amp;AF822&amp;AG822</f>
        <v/>
      </c>
      <c r="M822" s="20" t="n"/>
      <c r="N822" s="10">
        <f>TEXT($B$6,"00")</f>
        <v/>
      </c>
      <c r="O822" s="10">
        <f>REPT(" ",8)</f>
        <v/>
      </c>
      <c r="P822" s="10">
        <f>RIGHT($B$4,2)</f>
        <v/>
      </c>
      <c r="Q822" s="10">
        <f>RIGHT($B$5,3)</f>
        <v/>
      </c>
      <c r="R822" s="10">
        <f>IF(A822="D",LEFT(UPPER(B822)&amp;REPT(" ",20),20),REPT(" ",20))</f>
        <v/>
      </c>
      <c r="S822" s="10">
        <f>IF(A822="D",LEFT(UPPER(C822)&amp;REPT(" ",10),10)," ")</f>
        <v/>
      </c>
      <c r="T822" s="10">
        <f>IF(A822="D",LEFT(UPPER(D822)&amp;REPT(" ",2),2)," ")</f>
        <v/>
      </c>
      <c r="U822" s="10">
        <f>IF(A822="D",LEFT(UPPER(E822)&amp;REPT(" ",15),15)," ")</f>
        <v/>
      </c>
      <c r="V822" s="10">
        <f>REPT(" ",24)</f>
        <v/>
      </c>
      <c r="W822" s="10">
        <f>IF(A822="c",LEFT(UPPER(B822)&amp;REPT(" ",20),20),REPT(" ",20))</f>
        <v/>
      </c>
      <c r="X822" s="10">
        <f>IF(A822="C",LEFT(UPPER(C822)&amp;REPT(" ",10),10)," ")</f>
        <v/>
      </c>
      <c r="Y822" s="10">
        <f>IF(A822="C",LEFT(UPPER(D822)&amp;REPT(" ",2),2)," ")</f>
        <v/>
      </c>
      <c r="Z822" s="10">
        <f>IF(A822="C",LEFT(UPPER(E822)&amp;REPT(" ",15),15)," ")</f>
        <v/>
      </c>
      <c r="AA822" s="10">
        <f>REPT(" ",8)</f>
        <v/>
      </c>
      <c r="AB822" s="10">
        <f>REPT(" ",4)</f>
        <v/>
      </c>
      <c r="AC822" s="10">
        <f>LEFT(UPPER(H822)&amp;REPT(" ",250),250)</f>
        <v/>
      </c>
      <c r="AD822" s="10">
        <f>TEXT($G$2,"dd/mm/aaaa")</f>
        <v/>
      </c>
      <c r="AE822" s="10">
        <f>REPT(" ",10)</f>
        <v/>
      </c>
      <c r="AF822" s="10">
        <f>REPT(" ",20)</f>
        <v/>
      </c>
      <c r="AG822" s="54">
        <f>REPT(" ",18-LEN(FIXED(F822,2,TRUE)))&amp;FIXED(F822,2,TRUE)</f>
        <v/>
      </c>
      <c r="AH822" s="10">
        <f>LEN(AC822)+LEN(AG822)</f>
        <v/>
      </c>
      <c r="AI822" s="10">
        <f>LEN(L822)</f>
        <v/>
      </c>
    </row>
    <row r="823">
      <c r="A823" s="46" t="n"/>
      <c r="B823" s="38" t="n"/>
      <c r="C823" s="41" t="n"/>
      <c r="D823" s="41" t="n"/>
      <c r="E823" s="41" t="n"/>
      <c r="F823" s="88" t="n"/>
      <c r="G823" s="89" t="n"/>
      <c r="H823" s="37" t="n"/>
      <c r="I823" s="42" t="n"/>
      <c r="J823" s="12">
        <f>IF(F823&lt;&gt;0,"LANÇAR","")</f>
        <v/>
      </c>
      <c r="K823" s="20" t="n"/>
      <c r="L823" s="13">
        <f>N823&amp;O823&amp;P823&amp;Q823&amp;R823&amp;S823&amp;T823&amp;U823&amp;V823&amp;W823&amp;X823&amp;Y823&amp;Z823&amp;AA823&amp;AB823&amp;AC823&amp;AD823&amp;AE823&amp;AF823&amp;AG823</f>
        <v/>
      </c>
      <c r="M823" s="20" t="n"/>
      <c r="N823" s="10">
        <f>TEXT($B$6,"00")</f>
        <v/>
      </c>
      <c r="O823" s="10">
        <f>REPT(" ",8)</f>
        <v/>
      </c>
      <c r="P823" s="10">
        <f>RIGHT($B$4,2)</f>
        <v/>
      </c>
      <c r="Q823" s="10">
        <f>RIGHT($B$5,3)</f>
        <v/>
      </c>
      <c r="R823" s="10">
        <f>IF(A823="D",LEFT(UPPER(B823)&amp;REPT(" ",20),20),REPT(" ",20))</f>
        <v/>
      </c>
      <c r="S823" s="10">
        <f>IF(A823="D",LEFT(UPPER(C823)&amp;REPT(" ",10),10)," ")</f>
        <v/>
      </c>
      <c r="T823" s="10">
        <f>IF(A823="D",LEFT(UPPER(D823)&amp;REPT(" ",2),2)," ")</f>
        <v/>
      </c>
      <c r="U823" s="10">
        <f>IF(A823="D",LEFT(UPPER(E823)&amp;REPT(" ",15),15)," ")</f>
        <v/>
      </c>
      <c r="V823" s="10">
        <f>REPT(" ",24)</f>
        <v/>
      </c>
      <c r="W823" s="10">
        <f>IF(A823="c",LEFT(UPPER(B823)&amp;REPT(" ",20),20),REPT(" ",20))</f>
        <v/>
      </c>
      <c r="X823" s="10">
        <f>IF(A823="C",LEFT(UPPER(C823)&amp;REPT(" ",10),10)," ")</f>
        <v/>
      </c>
      <c r="Y823" s="10">
        <f>IF(A823="C",LEFT(UPPER(D823)&amp;REPT(" ",2),2)," ")</f>
        <v/>
      </c>
      <c r="Z823" s="10">
        <f>IF(A823="C",LEFT(UPPER(E823)&amp;REPT(" ",15),15)," ")</f>
        <v/>
      </c>
      <c r="AA823" s="10">
        <f>REPT(" ",8)</f>
        <v/>
      </c>
      <c r="AB823" s="10">
        <f>REPT(" ",4)</f>
        <v/>
      </c>
      <c r="AC823" s="10">
        <f>LEFT(UPPER(H823)&amp;REPT(" ",250),250)</f>
        <v/>
      </c>
      <c r="AD823" s="10">
        <f>TEXT($G$2,"dd/mm/aaaa")</f>
        <v/>
      </c>
      <c r="AE823" s="10">
        <f>REPT(" ",10)</f>
        <v/>
      </c>
      <c r="AF823" s="10">
        <f>REPT(" ",20)</f>
        <v/>
      </c>
      <c r="AG823" s="54">
        <f>REPT(" ",18-LEN(FIXED(F823,2,TRUE)))&amp;FIXED(F823,2,TRUE)</f>
        <v/>
      </c>
      <c r="AH823" s="10">
        <f>LEN(AC823)+LEN(AG823)</f>
        <v/>
      </c>
      <c r="AI823" s="10">
        <f>LEN(L823)</f>
        <v/>
      </c>
    </row>
    <row r="824">
      <c r="A824" s="46" t="n"/>
      <c r="B824" s="38" t="n"/>
      <c r="C824" s="41" t="n"/>
      <c r="D824" s="41" t="n"/>
      <c r="E824" s="41" t="n"/>
      <c r="F824" s="88" t="n"/>
      <c r="G824" s="89" t="n"/>
      <c r="H824" s="37" t="n"/>
      <c r="I824" s="42" t="n"/>
      <c r="J824" s="12">
        <f>IF(F824&lt;&gt;0,"LANÇAR","")</f>
        <v/>
      </c>
      <c r="K824" s="20" t="n"/>
      <c r="L824" s="13">
        <f>N824&amp;O824&amp;P824&amp;Q824&amp;R824&amp;S824&amp;T824&amp;U824&amp;V824&amp;W824&amp;X824&amp;Y824&amp;Z824&amp;AA824&amp;AB824&amp;AC824&amp;AD824&amp;AE824&amp;AF824&amp;AG824</f>
        <v/>
      </c>
      <c r="M824" s="20" t="n"/>
      <c r="N824" s="10">
        <f>TEXT($B$6,"00")</f>
        <v/>
      </c>
      <c r="O824" s="10">
        <f>REPT(" ",8)</f>
        <v/>
      </c>
      <c r="P824" s="10">
        <f>RIGHT($B$4,2)</f>
        <v/>
      </c>
      <c r="Q824" s="10">
        <f>RIGHT($B$5,3)</f>
        <v/>
      </c>
      <c r="R824" s="10">
        <f>IF(A824="D",LEFT(UPPER(B824)&amp;REPT(" ",20),20),REPT(" ",20))</f>
        <v/>
      </c>
      <c r="S824" s="10">
        <f>IF(A824="D",LEFT(UPPER(C824)&amp;REPT(" ",10),10)," ")</f>
        <v/>
      </c>
      <c r="T824" s="10">
        <f>IF(A824="D",LEFT(UPPER(D824)&amp;REPT(" ",2),2)," ")</f>
        <v/>
      </c>
      <c r="U824" s="10">
        <f>IF(A824="D",LEFT(UPPER(E824)&amp;REPT(" ",15),15)," ")</f>
        <v/>
      </c>
      <c r="V824" s="10">
        <f>REPT(" ",24)</f>
        <v/>
      </c>
      <c r="W824" s="10">
        <f>IF(A824="c",LEFT(UPPER(B824)&amp;REPT(" ",20),20),REPT(" ",20))</f>
        <v/>
      </c>
      <c r="X824" s="10">
        <f>IF(A824="C",LEFT(UPPER(C824)&amp;REPT(" ",10),10)," ")</f>
        <v/>
      </c>
      <c r="Y824" s="10">
        <f>IF(A824="C",LEFT(UPPER(D824)&amp;REPT(" ",2),2)," ")</f>
        <v/>
      </c>
      <c r="Z824" s="10">
        <f>IF(A824="C",LEFT(UPPER(E824)&amp;REPT(" ",15),15)," ")</f>
        <v/>
      </c>
      <c r="AA824" s="10">
        <f>REPT(" ",8)</f>
        <v/>
      </c>
      <c r="AB824" s="10">
        <f>REPT(" ",4)</f>
        <v/>
      </c>
      <c r="AC824" s="10">
        <f>LEFT(UPPER(H824)&amp;REPT(" ",250),250)</f>
        <v/>
      </c>
      <c r="AD824" s="10">
        <f>TEXT($G$2,"dd/mm/aaaa")</f>
        <v/>
      </c>
      <c r="AE824" s="10">
        <f>REPT(" ",10)</f>
        <v/>
      </c>
      <c r="AF824" s="10">
        <f>REPT(" ",20)</f>
        <v/>
      </c>
      <c r="AG824" s="54">
        <f>REPT(" ",18-LEN(FIXED(F824,2,TRUE)))&amp;FIXED(F824,2,TRUE)</f>
        <v/>
      </c>
      <c r="AH824" s="10">
        <f>LEN(AC824)+LEN(AG824)</f>
        <v/>
      </c>
      <c r="AI824" s="10">
        <f>LEN(L824)</f>
        <v/>
      </c>
    </row>
    <row r="825">
      <c r="A825" s="46" t="n"/>
      <c r="B825" s="38" t="n"/>
      <c r="C825" s="41" t="n"/>
      <c r="D825" s="41" t="n"/>
      <c r="E825" s="41" t="n"/>
      <c r="F825" s="88" t="n"/>
      <c r="G825" s="89" t="n"/>
      <c r="H825" s="37" t="n"/>
      <c r="I825" s="42" t="n"/>
      <c r="J825" s="12">
        <f>IF(F825&lt;&gt;0,"LANÇAR","")</f>
        <v/>
      </c>
      <c r="K825" s="20" t="n"/>
      <c r="L825" s="13">
        <f>N825&amp;O825&amp;P825&amp;Q825&amp;R825&amp;S825&amp;T825&amp;U825&amp;V825&amp;W825&amp;X825&amp;Y825&amp;Z825&amp;AA825&amp;AB825&amp;AC825&amp;AD825&amp;AE825&amp;AF825&amp;AG825</f>
        <v/>
      </c>
      <c r="M825" s="20" t="n"/>
      <c r="N825" s="10">
        <f>TEXT($B$6,"00")</f>
        <v/>
      </c>
      <c r="O825" s="10">
        <f>REPT(" ",8)</f>
        <v/>
      </c>
      <c r="P825" s="10">
        <f>RIGHT($B$4,2)</f>
        <v/>
      </c>
      <c r="Q825" s="10">
        <f>RIGHT($B$5,3)</f>
        <v/>
      </c>
      <c r="R825" s="10">
        <f>IF(A825="D",LEFT(UPPER(B825)&amp;REPT(" ",20),20),REPT(" ",20))</f>
        <v/>
      </c>
      <c r="S825" s="10">
        <f>IF(A825="D",LEFT(UPPER(C825)&amp;REPT(" ",10),10)," ")</f>
        <v/>
      </c>
      <c r="T825" s="10">
        <f>IF(A825="D",LEFT(UPPER(D825)&amp;REPT(" ",2),2)," ")</f>
        <v/>
      </c>
      <c r="U825" s="10">
        <f>IF(A825="D",LEFT(UPPER(E825)&amp;REPT(" ",15),15)," ")</f>
        <v/>
      </c>
      <c r="V825" s="10">
        <f>REPT(" ",24)</f>
        <v/>
      </c>
      <c r="W825" s="10">
        <f>IF(A825="c",LEFT(UPPER(B825)&amp;REPT(" ",20),20),REPT(" ",20))</f>
        <v/>
      </c>
      <c r="X825" s="10">
        <f>IF(A825="C",LEFT(UPPER(C825)&amp;REPT(" ",10),10)," ")</f>
        <v/>
      </c>
      <c r="Y825" s="10">
        <f>IF(A825="C",LEFT(UPPER(D825)&amp;REPT(" ",2),2)," ")</f>
        <v/>
      </c>
      <c r="Z825" s="10">
        <f>IF(A825="C",LEFT(UPPER(E825)&amp;REPT(" ",15),15)," ")</f>
        <v/>
      </c>
      <c r="AA825" s="10">
        <f>REPT(" ",8)</f>
        <v/>
      </c>
      <c r="AB825" s="10">
        <f>REPT(" ",4)</f>
        <v/>
      </c>
      <c r="AC825" s="10">
        <f>LEFT(UPPER(H825)&amp;REPT(" ",250),250)</f>
        <v/>
      </c>
      <c r="AD825" s="10">
        <f>TEXT($G$2,"dd/mm/aaaa")</f>
        <v/>
      </c>
      <c r="AE825" s="10">
        <f>REPT(" ",10)</f>
        <v/>
      </c>
      <c r="AF825" s="10">
        <f>REPT(" ",20)</f>
        <v/>
      </c>
      <c r="AG825" s="54">
        <f>REPT(" ",18-LEN(FIXED(F825,2,TRUE)))&amp;FIXED(F825,2,TRUE)</f>
        <v/>
      </c>
      <c r="AH825" s="10">
        <f>LEN(AC825)+LEN(AG825)</f>
        <v/>
      </c>
      <c r="AI825" s="10">
        <f>LEN(L825)</f>
        <v/>
      </c>
    </row>
    <row r="826">
      <c r="A826" s="46" t="n"/>
      <c r="B826" s="38" t="n"/>
      <c r="C826" s="41" t="n"/>
      <c r="D826" s="41" t="n"/>
      <c r="E826" s="41" t="n"/>
      <c r="F826" s="88" t="n"/>
      <c r="G826" s="89" t="n"/>
      <c r="H826" s="37" t="n"/>
      <c r="I826" s="42" t="n"/>
      <c r="J826" s="12">
        <f>IF(F826&lt;&gt;0,"LANÇAR","")</f>
        <v/>
      </c>
      <c r="K826" s="20" t="n"/>
      <c r="L826" s="13">
        <f>N826&amp;O826&amp;P826&amp;Q826&amp;R826&amp;S826&amp;T826&amp;U826&amp;V826&amp;W826&amp;X826&amp;Y826&amp;Z826&amp;AA826&amp;AB826&amp;AC826&amp;AD826&amp;AE826&amp;AF826&amp;AG826</f>
        <v/>
      </c>
      <c r="M826" s="20" t="n"/>
      <c r="N826" s="10">
        <f>TEXT($B$6,"00")</f>
        <v/>
      </c>
      <c r="O826" s="10">
        <f>REPT(" ",8)</f>
        <v/>
      </c>
      <c r="P826" s="10">
        <f>RIGHT($B$4,2)</f>
        <v/>
      </c>
      <c r="Q826" s="10">
        <f>RIGHT($B$5,3)</f>
        <v/>
      </c>
      <c r="R826" s="10">
        <f>IF(A826="D",LEFT(UPPER(B826)&amp;REPT(" ",20),20),REPT(" ",20))</f>
        <v/>
      </c>
      <c r="S826" s="10">
        <f>IF(A826="D",LEFT(UPPER(C826)&amp;REPT(" ",10),10)," ")</f>
        <v/>
      </c>
      <c r="T826" s="10">
        <f>IF(A826="D",LEFT(UPPER(D826)&amp;REPT(" ",2),2)," ")</f>
        <v/>
      </c>
      <c r="U826" s="10">
        <f>IF(A826="D",LEFT(UPPER(E826)&amp;REPT(" ",15),15)," ")</f>
        <v/>
      </c>
      <c r="V826" s="10">
        <f>REPT(" ",24)</f>
        <v/>
      </c>
      <c r="W826" s="10">
        <f>IF(A826="c",LEFT(UPPER(B826)&amp;REPT(" ",20),20),REPT(" ",20))</f>
        <v/>
      </c>
      <c r="X826" s="10">
        <f>IF(A826="C",LEFT(UPPER(C826)&amp;REPT(" ",10),10)," ")</f>
        <v/>
      </c>
      <c r="Y826" s="10">
        <f>IF(A826="C",LEFT(UPPER(D826)&amp;REPT(" ",2),2)," ")</f>
        <v/>
      </c>
      <c r="Z826" s="10">
        <f>IF(A826="C",LEFT(UPPER(E826)&amp;REPT(" ",15),15)," ")</f>
        <v/>
      </c>
      <c r="AA826" s="10">
        <f>REPT(" ",8)</f>
        <v/>
      </c>
      <c r="AB826" s="10">
        <f>REPT(" ",4)</f>
        <v/>
      </c>
      <c r="AC826" s="10">
        <f>LEFT(UPPER(H826)&amp;REPT(" ",250),250)</f>
        <v/>
      </c>
      <c r="AD826" s="10">
        <f>TEXT($G$2,"dd/mm/aaaa")</f>
        <v/>
      </c>
      <c r="AE826" s="10">
        <f>REPT(" ",10)</f>
        <v/>
      </c>
      <c r="AF826" s="10">
        <f>REPT(" ",20)</f>
        <v/>
      </c>
      <c r="AG826" s="54">
        <f>REPT(" ",18-LEN(FIXED(F826,2,TRUE)))&amp;FIXED(F826,2,TRUE)</f>
        <v/>
      </c>
      <c r="AH826" s="10">
        <f>LEN(AC826)+LEN(AG826)</f>
        <v/>
      </c>
      <c r="AI826" s="10">
        <f>LEN(L826)</f>
        <v/>
      </c>
    </row>
    <row r="827">
      <c r="A827" s="46" t="n"/>
      <c r="B827" s="38" t="n"/>
      <c r="C827" s="41" t="n"/>
      <c r="D827" s="41" t="n"/>
      <c r="E827" s="41" t="n"/>
      <c r="F827" s="88" t="n"/>
      <c r="G827" s="89" t="n"/>
      <c r="H827" s="37" t="n"/>
      <c r="I827" s="42" t="n"/>
      <c r="J827" s="12">
        <f>IF(F827&lt;&gt;0,"LANÇAR","")</f>
        <v/>
      </c>
      <c r="K827" s="20" t="n"/>
      <c r="L827" s="13">
        <f>N827&amp;O827&amp;P827&amp;Q827&amp;R827&amp;S827&amp;T827&amp;U827&amp;V827&amp;W827&amp;X827&amp;Y827&amp;Z827&amp;AA827&amp;AB827&amp;AC827&amp;AD827&amp;AE827&amp;AF827&amp;AG827</f>
        <v/>
      </c>
      <c r="M827" s="20" t="n"/>
      <c r="N827" s="10">
        <f>TEXT($B$6,"00")</f>
        <v/>
      </c>
      <c r="O827" s="10">
        <f>REPT(" ",8)</f>
        <v/>
      </c>
      <c r="P827" s="10">
        <f>RIGHT($B$4,2)</f>
        <v/>
      </c>
      <c r="Q827" s="10">
        <f>RIGHT($B$5,3)</f>
        <v/>
      </c>
      <c r="R827" s="10">
        <f>IF(A827="D",LEFT(UPPER(B827)&amp;REPT(" ",20),20),REPT(" ",20))</f>
        <v/>
      </c>
      <c r="S827" s="10">
        <f>IF(A827="D",LEFT(UPPER(C827)&amp;REPT(" ",10),10)," ")</f>
        <v/>
      </c>
      <c r="T827" s="10">
        <f>IF(A827="D",LEFT(UPPER(D827)&amp;REPT(" ",2),2)," ")</f>
        <v/>
      </c>
      <c r="U827" s="10">
        <f>IF(A827="D",LEFT(UPPER(E827)&amp;REPT(" ",15),15)," ")</f>
        <v/>
      </c>
      <c r="V827" s="10">
        <f>REPT(" ",24)</f>
        <v/>
      </c>
      <c r="W827" s="10">
        <f>IF(A827="c",LEFT(UPPER(B827)&amp;REPT(" ",20),20),REPT(" ",20))</f>
        <v/>
      </c>
      <c r="X827" s="10">
        <f>IF(A827="C",LEFT(UPPER(C827)&amp;REPT(" ",10),10)," ")</f>
        <v/>
      </c>
      <c r="Y827" s="10">
        <f>IF(A827="C",LEFT(UPPER(D827)&amp;REPT(" ",2),2)," ")</f>
        <v/>
      </c>
      <c r="Z827" s="10">
        <f>IF(A827="C",LEFT(UPPER(E827)&amp;REPT(" ",15),15)," ")</f>
        <v/>
      </c>
      <c r="AA827" s="10">
        <f>REPT(" ",8)</f>
        <v/>
      </c>
      <c r="AB827" s="10">
        <f>REPT(" ",4)</f>
        <v/>
      </c>
      <c r="AC827" s="10">
        <f>LEFT(UPPER(H827)&amp;REPT(" ",250),250)</f>
        <v/>
      </c>
      <c r="AD827" s="10">
        <f>TEXT($G$2,"dd/mm/aaaa")</f>
        <v/>
      </c>
      <c r="AE827" s="10">
        <f>REPT(" ",10)</f>
        <v/>
      </c>
      <c r="AF827" s="10">
        <f>REPT(" ",20)</f>
        <v/>
      </c>
      <c r="AG827" s="54">
        <f>REPT(" ",18-LEN(FIXED(F827,2,TRUE)))&amp;FIXED(F827,2,TRUE)</f>
        <v/>
      </c>
      <c r="AH827" s="10">
        <f>LEN(AC827)+LEN(AG827)</f>
        <v/>
      </c>
      <c r="AI827" s="10">
        <f>LEN(L827)</f>
        <v/>
      </c>
    </row>
    <row r="828">
      <c r="A828" s="46" t="n"/>
      <c r="B828" s="38" t="n"/>
      <c r="C828" s="41" t="n"/>
      <c r="D828" s="41" t="n"/>
      <c r="E828" s="41" t="n"/>
      <c r="F828" s="88" t="n"/>
      <c r="G828" s="89" t="n"/>
      <c r="H828" s="37" t="n"/>
      <c r="I828" s="42" t="n"/>
      <c r="J828" s="12">
        <f>IF(F828&lt;&gt;0,"LANÇAR","")</f>
        <v/>
      </c>
      <c r="K828" s="20" t="n"/>
      <c r="L828" s="13">
        <f>N828&amp;O828&amp;P828&amp;Q828&amp;R828&amp;S828&amp;T828&amp;U828&amp;V828&amp;W828&amp;X828&amp;Y828&amp;Z828&amp;AA828&amp;AB828&amp;AC828&amp;AD828&amp;AE828&amp;AF828&amp;AG828</f>
        <v/>
      </c>
      <c r="M828" s="20" t="n"/>
      <c r="N828" s="10">
        <f>TEXT($B$6,"00")</f>
        <v/>
      </c>
      <c r="O828" s="10">
        <f>REPT(" ",8)</f>
        <v/>
      </c>
      <c r="P828" s="10">
        <f>RIGHT($B$4,2)</f>
        <v/>
      </c>
      <c r="Q828" s="10">
        <f>RIGHT($B$5,3)</f>
        <v/>
      </c>
      <c r="R828" s="10">
        <f>IF(A828="D",LEFT(UPPER(B828)&amp;REPT(" ",20),20),REPT(" ",20))</f>
        <v/>
      </c>
      <c r="S828" s="10">
        <f>IF(A828="D",LEFT(UPPER(C828)&amp;REPT(" ",10),10)," ")</f>
        <v/>
      </c>
      <c r="T828" s="10">
        <f>IF(A828="D",LEFT(UPPER(D828)&amp;REPT(" ",2),2)," ")</f>
        <v/>
      </c>
      <c r="U828" s="10">
        <f>IF(A828="D",LEFT(UPPER(E828)&amp;REPT(" ",15),15)," ")</f>
        <v/>
      </c>
      <c r="V828" s="10">
        <f>REPT(" ",24)</f>
        <v/>
      </c>
      <c r="W828" s="10">
        <f>IF(A828="c",LEFT(UPPER(B828)&amp;REPT(" ",20),20),REPT(" ",20))</f>
        <v/>
      </c>
      <c r="X828" s="10">
        <f>IF(A828="C",LEFT(UPPER(C828)&amp;REPT(" ",10),10)," ")</f>
        <v/>
      </c>
      <c r="Y828" s="10">
        <f>IF(A828="C",LEFT(UPPER(D828)&amp;REPT(" ",2),2)," ")</f>
        <v/>
      </c>
      <c r="Z828" s="10">
        <f>IF(A828="C",LEFT(UPPER(E828)&amp;REPT(" ",15),15)," ")</f>
        <v/>
      </c>
      <c r="AA828" s="10">
        <f>REPT(" ",8)</f>
        <v/>
      </c>
      <c r="AB828" s="10">
        <f>REPT(" ",4)</f>
        <v/>
      </c>
      <c r="AC828" s="10">
        <f>LEFT(UPPER(H828)&amp;REPT(" ",250),250)</f>
        <v/>
      </c>
      <c r="AD828" s="10">
        <f>TEXT($G$2,"dd/mm/aaaa")</f>
        <v/>
      </c>
      <c r="AE828" s="10">
        <f>REPT(" ",10)</f>
        <v/>
      </c>
      <c r="AF828" s="10">
        <f>REPT(" ",20)</f>
        <v/>
      </c>
      <c r="AG828" s="54">
        <f>REPT(" ",18-LEN(FIXED(F828,2,TRUE)))&amp;FIXED(F828,2,TRUE)</f>
        <v/>
      </c>
      <c r="AH828" s="10">
        <f>LEN(AC828)+LEN(AG828)</f>
        <v/>
      </c>
      <c r="AI828" s="10">
        <f>LEN(L828)</f>
        <v/>
      </c>
    </row>
    <row r="829">
      <c r="A829" s="46" t="n"/>
      <c r="B829" s="38" t="n"/>
      <c r="C829" s="41" t="n"/>
      <c r="D829" s="41" t="n"/>
      <c r="E829" s="41" t="n"/>
      <c r="F829" s="88" t="n"/>
      <c r="G829" s="89" t="n"/>
      <c r="H829" s="37" t="n"/>
      <c r="I829" s="42" t="n"/>
      <c r="J829" s="12">
        <f>IF(F829&lt;&gt;0,"LANÇAR","")</f>
        <v/>
      </c>
      <c r="K829" s="20" t="n"/>
      <c r="L829" s="13">
        <f>N829&amp;O829&amp;P829&amp;Q829&amp;R829&amp;S829&amp;T829&amp;U829&amp;V829&amp;W829&amp;X829&amp;Y829&amp;Z829&amp;AA829&amp;AB829&amp;AC829&amp;AD829&amp;AE829&amp;AF829&amp;AG829</f>
        <v/>
      </c>
      <c r="M829" s="20" t="n"/>
      <c r="N829" s="10">
        <f>TEXT($B$6,"00")</f>
        <v/>
      </c>
      <c r="O829" s="10">
        <f>REPT(" ",8)</f>
        <v/>
      </c>
      <c r="P829" s="10">
        <f>RIGHT($B$4,2)</f>
        <v/>
      </c>
      <c r="Q829" s="10">
        <f>RIGHT($B$5,3)</f>
        <v/>
      </c>
      <c r="R829" s="10">
        <f>IF(A829="D",LEFT(UPPER(B829)&amp;REPT(" ",20),20),REPT(" ",20))</f>
        <v/>
      </c>
      <c r="S829" s="10">
        <f>IF(A829="D",LEFT(UPPER(C829)&amp;REPT(" ",10),10)," ")</f>
        <v/>
      </c>
      <c r="T829" s="10">
        <f>IF(A829="D",LEFT(UPPER(D829)&amp;REPT(" ",2),2)," ")</f>
        <v/>
      </c>
      <c r="U829" s="10">
        <f>IF(A829="D",LEFT(UPPER(E829)&amp;REPT(" ",15),15)," ")</f>
        <v/>
      </c>
      <c r="V829" s="10">
        <f>REPT(" ",24)</f>
        <v/>
      </c>
      <c r="W829" s="10">
        <f>IF(A829="c",LEFT(UPPER(B829)&amp;REPT(" ",20),20),REPT(" ",20))</f>
        <v/>
      </c>
      <c r="X829" s="10">
        <f>IF(A829="C",LEFT(UPPER(C829)&amp;REPT(" ",10),10)," ")</f>
        <v/>
      </c>
      <c r="Y829" s="10">
        <f>IF(A829="C",LEFT(UPPER(D829)&amp;REPT(" ",2),2)," ")</f>
        <v/>
      </c>
      <c r="Z829" s="10">
        <f>IF(A829="C",LEFT(UPPER(E829)&amp;REPT(" ",15),15)," ")</f>
        <v/>
      </c>
      <c r="AA829" s="10">
        <f>REPT(" ",8)</f>
        <v/>
      </c>
      <c r="AB829" s="10">
        <f>REPT(" ",4)</f>
        <v/>
      </c>
      <c r="AC829" s="10">
        <f>LEFT(UPPER(H829)&amp;REPT(" ",250),250)</f>
        <v/>
      </c>
      <c r="AD829" s="10">
        <f>TEXT($G$2,"dd/mm/aaaa")</f>
        <v/>
      </c>
      <c r="AE829" s="10">
        <f>REPT(" ",10)</f>
        <v/>
      </c>
      <c r="AF829" s="10">
        <f>REPT(" ",20)</f>
        <v/>
      </c>
      <c r="AG829" s="54">
        <f>REPT(" ",18-LEN(FIXED(F829,2,TRUE)))&amp;FIXED(F829,2,TRUE)</f>
        <v/>
      </c>
      <c r="AH829" s="10">
        <f>LEN(AC829)+LEN(AG829)</f>
        <v/>
      </c>
      <c r="AI829" s="10">
        <f>LEN(L829)</f>
        <v/>
      </c>
    </row>
    <row r="830">
      <c r="A830" s="46" t="n"/>
      <c r="B830" s="38" t="n"/>
      <c r="C830" s="41" t="n"/>
      <c r="D830" s="41" t="n"/>
      <c r="E830" s="41" t="n"/>
      <c r="F830" s="88" t="n"/>
      <c r="G830" s="89" t="n"/>
      <c r="H830" s="37" t="n"/>
      <c r="I830" s="42" t="n"/>
      <c r="J830" s="12">
        <f>IF(F830&lt;&gt;0,"LANÇAR","")</f>
        <v/>
      </c>
      <c r="K830" s="20" t="n"/>
      <c r="L830" s="13">
        <f>N830&amp;O830&amp;P830&amp;Q830&amp;R830&amp;S830&amp;T830&amp;U830&amp;V830&amp;W830&amp;X830&amp;Y830&amp;Z830&amp;AA830&amp;AB830&amp;AC830&amp;AD830&amp;AE830&amp;AF830&amp;AG830</f>
        <v/>
      </c>
      <c r="M830" s="20" t="n"/>
      <c r="N830" s="10">
        <f>TEXT($B$6,"00")</f>
        <v/>
      </c>
      <c r="O830" s="10">
        <f>REPT(" ",8)</f>
        <v/>
      </c>
      <c r="P830" s="10">
        <f>RIGHT($B$4,2)</f>
        <v/>
      </c>
      <c r="Q830" s="10">
        <f>RIGHT($B$5,3)</f>
        <v/>
      </c>
      <c r="R830" s="10">
        <f>IF(A830="D",LEFT(UPPER(B830)&amp;REPT(" ",20),20),REPT(" ",20))</f>
        <v/>
      </c>
      <c r="S830" s="10">
        <f>IF(A830="D",LEFT(UPPER(C830)&amp;REPT(" ",10),10)," ")</f>
        <v/>
      </c>
      <c r="T830" s="10">
        <f>IF(A830="D",LEFT(UPPER(D830)&amp;REPT(" ",2),2)," ")</f>
        <v/>
      </c>
      <c r="U830" s="10">
        <f>IF(A830="D",LEFT(UPPER(E830)&amp;REPT(" ",15),15)," ")</f>
        <v/>
      </c>
      <c r="V830" s="10">
        <f>REPT(" ",24)</f>
        <v/>
      </c>
      <c r="W830" s="10">
        <f>IF(A830="c",LEFT(UPPER(B830)&amp;REPT(" ",20),20),REPT(" ",20))</f>
        <v/>
      </c>
      <c r="X830" s="10">
        <f>IF(A830="C",LEFT(UPPER(C830)&amp;REPT(" ",10),10)," ")</f>
        <v/>
      </c>
      <c r="Y830" s="10">
        <f>IF(A830="C",LEFT(UPPER(D830)&amp;REPT(" ",2),2)," ")</f>
        <v/>
      </c>
      <c r="Z830" s="10">
        <f>IF(A830="C",LEFT(UPPER(E830)&amp;REPT(" ",15),15)," ")</f>
        <v/>
      </c>
      <c r="AA830" s="10">
        <f>REPT(" ",8)</f>
        <v/>
      </c>
      <c r="AB830" s="10">
        <f>REPT(" ",4)</f>
        <v/>
      </c>
      <c r="AC830" s="10">
        <f>LEFT(UPPER(H830)&amp;REPT(" ",250),250)</f>
        <v/>
      </c>
      <c r="AD830" s="10">
        <f>TEXT($G$2,"dd/mm/aaaa")</f>
        <v/>
      </c>
      <c r="AE830" s="10">
        <f>REPT(" ",10)</f>
        <v/>
      </c>
      <c r="AF830" s="10">
        <f>REPT(" ",20)</f>
        <v/>
      </c>
      <c r="AG830" s="54">
        <f>REPT(" ",18-LEN(FIXED(F830,2,TRUE)))&amp;FIXED(F830,2,TRUE)</f>
        <v/>
      </c>
      <c r="AH830" s="10">
        <f>LEN(AC830)+LEN(AG830)</f>
        <v/>
      </c>
      <c r="AI830" s="10">
        <f>LEN(L830)</f>
        <v/>
      </c>
    </row>
    <row r="831">
      <c r="A831" s="46" t="n"/>
      <c r="B831" s="38" t="n"/>
      <c r="C831" s="41" t="n"/>
      <c r="D831" s="41" t="n"/>
      <c r="E831" s="41" t="n"/>
      <c r="F831" s="88" t="n"/>
      <c r="G831" s="89" t="n"/>
      <c r="H831" s="37" t="n"/>
      <c r="I831" s="42" t="n"/>
      <c r="J831" s="12">
        <f>IF(F831&lt;&gt;0,"LANÇAR","")</f>
        <v/>
      </c>
      <c r="K831" s="20" t="n"/>
      <c r="L831" s="13">
        <f>N831&amp;O831&amp;P831&amp;Q831&amp;R831&amp;S831&amp;T831&amp;U831&amp;V831&amp;W831&amp;X831&amp;Y831&amp;Z831&amp;AA831&amp;AB831&amp;AC831&amp;AD831&amp;AE831&amp;AF831&amp;AG831</f>
        <v/>
      </c>
      <c r="M831" s="20" t="n"/>
      <c r="N831" s="10">
        <f>TEXT($B$6,"00")</f>
        <v/>
      </c>
      <c r="O831" s="10">
        <f>REPT(" ",8)</f>
        <v/>
      </c>
      <c r="P831" s="10">
        <f>RIGHT($B$4,2)</f>
        <v/>
      </c>
      <c r="Q831" s="10">
        <f>RIGHT($B$5,3)</f>
        <v/>
      </c>
      <c r="R831" s="10">
        <f>IF(A831="D",LEFT(UPPER(B831)&amp;REPT(" ",20),20),REPT(" ",20))</f>
        <v/>
      </c>
      <c r="S831" s="10">
        <f>IF(A831="D",LEFT(UPPER(C831)&amp;REPT(" ",10),10)," ")</f>
        <v/>
      </c>
      <c r="T831" s="10">
        <f>IF(A831="D",LEFT(UPPER(D831)&amp;REPT(" ",2),2)," ")</f>
        <v/>
      </c>
      <c r="U831" s="10">
        <f>IF(A831="D",LEFT(UPPER(E831)&amp;REPT(" ",15),15)," ")</f>
        <v/>
      </c>
      <c r="V831" s="10">
        <f>REPT(" ",24)</f>
        <v/>
      </c>
      <c r="W831" s="10">
        <f>IF(A831="c",LEFT(UPPER(B831)&amp;REPT(" ",20),20),REPT(" ",20))</f>
        <v/>
      </c>
      <c r="X831" s="10">
        <f>IF(A831="C",LEFT(UPPER(C831)&amp;REPT(" ",10),10)," ")</f>
        <v/>
      </c>
      <c r="Y831" s="10">
        <f>IF(A831="C",LEFT(UPPER(D831)&amp;REPT(" ",2),2)," ")</f>
        <v/>
      </c>
      <c r="Z831" s="10">
        <f>IF(A831="C",LEFT(UPPER(E831)&amp;REPT(" ",15),15)," ")</f>
        <v/>
      </c>
      <c r="AA831" s="10">
        <f>REPT(" ",8)</f>
        <v/>
      </c>
      <c r="AB831" s="10">
        <f>REPT(" ",4)</f>
        <v/>
      </c>
      <c r="AC831" s="10">
        <f>LEFT(UPPER(H831)&amp;REPT(" ",250),250)</f>
        <v/>
      </c>
      <c r="AD831" s="10">
        <f>TEXT($G$2,"dd/mm/aaaa")</f>
        <v/>
      </c>
      <c r="AE831" s="10">
        <f>REPT(" ",10)</f>
        <v/>
      </c>
      <c r="AF831" s="10">
        <f>REPT(" ",20)</f>
        <v/>
      </c>
      <c r="AG831" s="54">
        <f>REPT(" ",18-LEN(FIXED(F831,2,TRUE)))&amp;FIXED(F831,2,TRUE)</f>
        <v/>
      </c>
      <c r="AH831" s="10">
        <f>LEN(AC831)+LEN(AG831)</f>
        <v/>
      </c>
      <c r="AI831" s="10">
        <f>LEN(L831)</f>
        <v/>
      </c>
    </row>
    <row r="832">
      <c r="A832" s="46" t="n"/>
      <c r="B832" s="38" t="n"/>
      <c r="C832" s="41" t="n"/>
      <c r="D832" s="41" t="n"/>
      <c r="E832" s="41" t="n"/>
      <c r="F832" s="88" t="n"/>
      <c r="G832" s="89" t="n"/>
      <c r="H832" s="37" t="n"/>
      <c r="I832" s="42" t="n"/>
      <c r="J832" s="12">
        <f>IF(F832&lt;&gt;0,"LANÇAR","")</f>
        <v/>
      </c>
      <c r="K832" s="20" t="n"/>
      <c r="L832" s="13">
        <f>N832&amp;O832&amp;P832&amp;Q832&amp;R832&amp;S832&amp;T832&amp;U832&amp;V832&amp;W832&amp;X832&amp;Y832&amp;Z832&amp;AA832&amp;AB832&amp;AC832&amp;AD832&amp;AE832&amp;AF832&amp;AG832</f>
        <v/>
      </c>
      <c r="M832" s="20" t="n"/>
      <c r="N832" s="10">
        <f>TEXT($B$6,"00")</f>
        <v/>
      </c>
      <c r="O832" s="10">
        <f>REPT(" ",8)</f>
        <v/>
      </c>
      <c r="P832" s="10">
        <f>RIGHT($B$4,2)</f>
        <v/>
      </c>
      <c r="Q832" s="10">
        <f>RIGHT($B$5,3)</f>
        <v/>
      </c>
      <c r="R832" s="10">
        <f>IF(A832="D",LEFT(UPPER(B832)&amp;REPT(" ",20),20),REPT(" ",20))</f>
        <v/>
      </c>
      <c r="S832" s="10">
        <f>IF(A832="D",LEFT(UPPER(C832)&amp;REPT(" ",10),10)," ")</f>
        <v/>
      </c>
      <c r="T832" s="10">
        <f>IF(A832="D",LEFT(UPPER(D832)&amp;REPT(" ",2),2)," ")</f>
        <v/>
      </c>
      <c r="U832" s="10">
        <f>IF(A832="D",LEFT(UPPER(E832)&amp;REPT(" ",15),15)," ")</f>
        <v/>
      </c>
      <c r="V832" s="10">
        <f>REPT(" ",24)</f>
        <v/>
      </c>
      <c r="W832" s="10">
        <f>IF(A832="c",LEFT(UPPER(B832)&amp;REPT(" ",20),20),REPT(" ",20))</f>
        <v/>
      </c>
      <c r="X832" s="10">
        <f>IF(A832="C",LEFT(UPPER(C832)&amp;REPT(" ",10),10)," ")</f>
        <v/>
      </c>
      <c r="Y832" s="10">
        <f>IF(A832="C",LEFT(UPPER(D832)&amp;REPT(" ",2),2)," ")</f>
        <v/>
      </c>
      <c r="Z832" s="10">
        <f>IF(A832="C",LEFT(UPPER(E832)&amp;REPT(" ",15),15)," ")</f>
        <v/>
      </c>
      <c r="AA832" s="10">
        <f>REPT(" ",8)</f>
        <v/>
      </c>
      <c r="AB832" s="10">
        <f>REPT(" ",4)</f>
        <v/>
      </c>
      <c r="AC832" s="10">
        <f>LEFT(UPPER(H832)&amp;REPT(" ",250),250)</f>
        <v/>
      </c>
      <c r="AD832" s="10">
        <f>TEXT($G$2,"dd/mm/aaaa")</f>
        <v/>
      </c>
      <c r="AE832" s="10">
        <f>REPT(" ",10)</f>
        <v/>
      </c>
      <c r="AF832" s="10">
        <f>REPT(" ",20)</f>
        <v/>
      </c>
      <c r="AG832" s="54">
        <f>REPT(" ",18-LEN(FIXED(F832,2,TRUE)))&amp;FIXED(F832,2,TRUE)</f>
        <v/>
      </c>
      <c r="AH832" s="10">
        <f>LEN(AC832)+LEN(AG832)</f>
        <v/>
      </c>
      <c r="AI832" s="10">
        <f>LEN(L832)</f>
        <v/>
      </c>
    </row>
    <row r="833">
      <c r="A833" s="46" t="n"/>
      <c r="B833" s="38" t="n"/>
      <c r="C833" s="41" t="n"/>
      <c r="D833" s="41" t="n"/>
      <c r="E833" s="41" t="n"/>
      <c r="F833" s="88" t="n"/>
      <c r="G833" s="89" t="n"/>
      <c r="H833" s="37" t="n"/>
      <c r="I833" s="42" t="n"/>
      <c r="J833" s="12">
        <f>IF(F833&lt;&gt;0,"LANÇAR","")</f>
        <v/>
      </c>
      <c r="K833" s="20" t="n"/>
      <c r="L833" s="13">
        <f>N833&amp;O833&amp;P833&amp;Q833&amp;R833&amp;S833&amp;T833&amp;U833&amp;V833&amp;W833&amp;X833&amp;Y833&amp;Z833&amp;AA833&amp;AB833&amp;AC833&amp;AD833&amp;AE833&amp;AF833&amp;AG833</f>
        <v/>
      </c>
      <c r="M833" s="20" t="n"/>
      <c r="N833" s="10">
        <f>TEXT($B$6,"00")</f>
        <v/>
      </c>
      <c r="O833" s="10">
        <f>REPT(" ",8)</f>
        <v/>
      </c>
      <c r="P833" s="10">
        <f>RIGHT($B$4,2)</f>
        <v/>
      </c>
      <c r="Q833" s="10">
        <f>RIGHT($B$5,3)</f>
        <v/>
      </c>
      <c r="R833" s="10">
        <f>IF(A833="D",LEFT(UPPER(B833)&amp;REPT(" ",20),20),REPT(" ",20))</f>
        <v/>
      </c>
      <c r="S833" s="10">
        <f>IF(A833="D",LEFT(UPPER(C833)&amp;REPT(" ",10),10)," ")</f>
        <v/>
      </c>
      <c r="T833" s="10">
        <f>IF(A833="D",LEFT(UPPER(D833)&amp;REPT(" ",2),2)," ")</f>
        <v/>
      </c>
      <c r="U833" s="10">
        <f>IF(A833="D",LEFT(UPPER(E833)&amp;REPT(" ",15),15)," ")</f>
        <v/>
      </c>
      <c r="V833" s="10">
        <f>REPT(" ",24)</f>
        <v/>
      </c>
      <c r="W833" s="10">
        <f>IF(A833="c",LEFT(UPPER(B833)&amp;REPT(" ",20),20),REPT(" ",20))</f>
        <v/>
      </c>
      <c r="X833" s="10">
        <f>IF(A833="C",LEFT(UPPER(C833)&amp;REPT(" ",10),10)," ")</f>
        <v/>
      </c>
      <c r="Y833" s="10">
        <f>IF(A833="C",LEFT(UPPER(D833)&amp;REPT(" ",2),2)," ")</f>
        <v/>
      </c>
      <c r="Z833" s="10">
        <f>IF(A833="C",LEFT(UPPER(E833)&amp;REPT(" ",15),15)," ")</f>
        <v/>
      </c>
      <c r="AA833" s="10">
        <f>REPT(" ",8)</f>
        <v/>
      </c>
      <c r="AB833" s="10">
        <f>REPT(" ",4)</f>
        <v/>
      </c>
      <c r="AC833" s="10">
        <f>LEFT(UPPER(H833)&amp;REPT(" ",250),250)</f>
        <v/>
      </c>
      <c r="AD833" s="10">
        <f>TEXT($G$2,"dd/mm/aaaa")</f>
        <v/>
      </c>
      <c r="AE833" s="10">
        <f>REPT(" ",10)</f>
        <v/>
      </c>
      <c r="AF833" s="10">
        <f>REPT(" ",20)</f>
        <v/>
      </c>
      <c r="AG833" s="54">
        <f>REPT(" ",18-LEN(FIXED(F833,2,TRUE)))&amp;FIXED(F833,2,TRUE)</f>
        <v/>
      </c>
      <c r="AH833" s="10">
        <f>LEN(AC833)+LEN(AG833)</f>
        <v/>
      </c>
      <c r="AI833" s="10">
        <f>LEN(L833)</f>
        <v/>
      </c>
    </row>
    <row r="834">
      <c r="A834" s="46" t="n"/>
      <c r="B834" s="38" t="n"/>
      <c r="C834" s="41" t="n"/>
      <c r="D834" s="41" t="n"/>
      <c r="E834" s="41" t="n"/>
      <c r="F834" s="88" t="n"/>
      <c r="G834" s="89" t="n"/>
      <c r="H834" s="37" t="n"/>
      <c r="I834" s="42" t="n"/>
      <c r="J834" s="12">
        <f>IF(F834&lt;&gt;0,"LANÇAR","")</f>
        <v/>
      </c>
      <c r="K834" s="20" t="n"/>
      <c r="L834" s="13">
        <f>N834&amp;O834&amp;P834&amp;Q834&amp;R834&amp;S834&amp;T834&amp;U834&amp;V834&amp;W834&amp;X834&amp;Y834&amp;Z834&amp;AA834&amp;AB834&amp;AC834&amp;AD834&amp;AE834&amp;AF834&amp;AG834</f>
        <v/>
      </c>
      <c r="M834" s="20" t="n"/>
      <c r="N834" s="10">
        <f>TEXT($B$6,"00")</f>
        <v/>
      </c>
      <c r="O834" s="10">
        <f>REPT(" ",8)</f>
        <v/>
      </c>
      <c r="P834" s="10">
        <f>RIGHT($B$4,2)</f>
        <v/>
      </c>
      <c r="Q834" s="10">
        <f>RIGHT($B$5,3)</f>
        <v/>
      </c>
      <c r="R834" s="10">
        <f>IF(A834="D",LEFT(UPPER(B834)&amp;REPT(" ",20),20),REPT(" ",20))</f>
        <v/>
      </c>
      <c r="S834" s="10">
        <f>IF(A834="D",LEFT(UPPER(C834)&amp;REPT(" ",10),10)," ")</f>
        <v/>
      </c>
      <c r="T834" s="10">
        <f>IF(A834="D",LEFT(UPPER(D834)&amp;REPT(" ",2),2)," ")</f>
        <v/>
      </c>
      <c r="U834" s="10">
        <f>IF(A834="D",LEFT(UPPER(E834)&amp;REPT(" ",15),15)," ")</f>
        <v/>
      </c>
      <c r="V834" s="10">
        <f>REPT(" ",24)</f>
        <v/>
      </c>
      <c r="W834" s="10">
        <f>IF(A834="c",LEFT(UPPER(B834)&amp;REPT(" ",20),20),REPT(" ",20))</f>
        <v/>
      </c>
      <c r="X834" s="10">
        <f>IF(A834="C",LEFT(UPPER(C834)&amp;REPT(" ",10),10)," ")</f>
        <v/>
      </c>
      <c r="Y834" s="10">
        <f>IF(A834="C",LEFT(UPPER(D834)&amp;REPT(" ",2),2)," ")</f>
        <v/>
      </c>
      <c r="Z834" s="10">
        <f>IF(A834="C",LEFT(UPPER(E834)&amp;REPT(" ",15),15)," ")</f>
        <v/>
      </c>
      <c r="AA834" s="10">
        <f>REPT(" ",8)</f>
        <v/>
      </c>
      <c r="AB834" s="10">
        <f>REPT(" ",4)</f>
        <v/>
      </c>
      <c r="AC834" s="10">
        <f>LEFT(UPPER(H834)&amp;REPT(" ",250),250)</f>
        <v/>
      </c>
      <c r="AD834" s="10">
        <f>TEXT($G$2,"dd/mm/aaaa")</f>
        <v/>
      </c>
      <c r="AE834" s="10">
        <f>REPT(" ",10)</f>
        <v/>
      </c>
      <c r="AF834" s="10">
        <f>REPT(" ",20)</f>
        <v/>
      </c>
      <c r="AG834" s="54">
        <f>REPT(" ",18-LEN(FIXED(F834,2,TRUE)))&amp;FIXED(F834,2,TRUE)</f>
        <v/>
      </c>
      <c r="AH834" s="10">
        <f>LEN(AC834)+LEN(AG834)</f>
        <v/>
      </c>
      <c r="AI834" s="10">
        <f>LEN(L834)</f>
        <v/>
      </c>
    </row>
    <row r="835">
      <c r="A835" s="46" t="n"/>
      <c r="B835" s="38" t="n"/>
      <c r="C835" s="41" t="n"/>
      <c r="D835" s="41" t="n"/>
      <c r="E835" s="41" t="n"/>
      <c r="F835" s="88" t="n"/>
      <c r="G835" s="89" t="n"/>
      <c r="H835" s="37" t="n"/>
      <c r="I835" s="42" t="n"/>
      <c r="J835" s="12">
        <f>IF(F835&lt;&gt;0,"LANÇAR","")</f>
        <v/>
      </c>
      <c r="K835" s="20" t="n"/>
      <c r="L835" s="13">
        <f>N835&amp;O835&amp;P835&amp;Q835&amp;R835&amp;S835&amp;T835&amp;U835&amp;V835&amp;W835&amp;X835&amp;Y835&amp;Z835&amp;AA835&amp;AB835&amp;AC835&amp;AD835&amp;AE835&amp;AF835&amp;AG835</f>
        <v/>
      </c>
      <c r="M835" s="20" t="n"/>
      <c r="N835" s="10">
        <f>TEXT($B$6,"00")</f>
        <v/>
      </c>
      <c r="O835" s="10">
        <f>REPT(" ",8)</f>
        <v/>
      </c>
      <c r="P835" s="10">
        <f>RIGHT($B$4,2)</f>
        <v/>
      </c>
      <c r="Q835" s="10">
        <f>RIGHT($B$5,3)</f>
        <v/>
      </c>
      <c r="R835" s="10">
        <f>IF(A835="D",LEFT(UPPER(B835)&amp;REPT(" ",20),20),REPT(" ",20))</f>
        <v/>
      </c>
      <c r="S835" s="10">
        <f>IF(A835="D",LEFT(UPPER(C835)&amp;REPT(" ",10),10)," ")</f>
        <v/>
      </c>
      <c r="T835" s="10">
        <f>IF(A835="D",LEFT(UPPER(D835)&amp;REPT(" ",2),2)," ")</f>
        <v/>
      </c>
      <c r="U835" s="10">
        <f>IF(A835="D",LEFT(UPPER(E835)&amp;REPT(" ",15),15)," ")</f>
        <v/>
      </c>
      <c r="V835" s="10">
        <f>REPT(" ",24)</f>
        <v/>
      </c>
      <c r="W835" s="10">
        <f>IF(A835="c",LEFT(UPPER(B835)&amp;REPT(" ",20),20),REPT(" ",20))</f>
        <v/>
      </c>
      <c r="X835" s="10">
        <f>IF(A835="C",LEFT(UPPER(C835)&amp;REPT(" ",10),10)," ")</f>
        <v/>
      </c>
      <c r="Y835" s="10">
        <f>IF(A835="C",LEFT(UPPER(D835)&amp;REPT(" ",2),2)," ")</f>
        <v/>
      </c>
      <c r="Z835" s="10">
        <f>IF(A835="C",LEFT(UPPER(E835)&amp;REPT(" ",15),15)," ")</f>
        <v/>
      </c>
      <c r="AA835" s="10">
        <f>REPT(" ",8)</f>
        <v/>
      </c>
      <c r="AB835" s="10">
        <f>REPT(" ",4)</f>
        <v/>
      </c>
      <c r="AC835" s="10">
        <f>LEFT(UPPER(H835)&amp;REPT(" ",250),250)</f>
        <v/>
      </c>
      <c r="AD835" s="10">
        <f>TEXT($G$2,"dd/mm/aaaa")</f>
        <v/>
      </c>
      <c r="AE835" s="10">
        <f>REPT(" ",10)</f>
        <v/>
      </c>
      <c r="AF835" s="10">
        <f>REPT(" ",20)</f>
        <v/>
      </c>
      <c r="AG835" s="54">
        <f>REPT(" ",18-LEN(FIXED(F835,2,TRUE)))&amp;FIXED(F835,2,TRUE)</f>
        <v/>
      </c>
      <c r="AH835" s="10">
        <f>LEN(AC835)+LEN(AG835)</f>
        <v/>
      </c>
      <c r="AI835" s="10">
        <f>LEN(L835)</f>
        <v/>
      </c>
    </row>
    <row r="836">
      <c r="A836" s="46" t="n"/>
      <c r="B836" s="38" t="n"/>
      <c r="C836" s="41" t="n"/>
      <c r="D836" s="41" t="n"/>
      <c r="E836" s="41" t="n"/>
      <c r="F836" s="88" t="n"/>
      <c r="G836" s="89" t="n"/>
      <c r="H836" s="37" t="n"/>
      <c r="I836" s="42" t="n"/>
      <c r="J836" s="12">
        <f>IF(F836&lt;&gt;0,"LANÇAR","")</f>
        <v/>
      </c>
      <c r="K836" s="20" t="n"/>
      <c r="L836" s="13">
        <f>N836&amp;O836&amp;P836&amp;Q836&amp;R836&amp;S836&amp;T836&amp;U836&amp;V836&amp;W836&amp;X836&amp;Y836&amp;Z836&amp;AA836&amp;AB836&amp;AC836&amp;AD836&amp;AE836&amp;AF836&amp;AG836</f>
        <v/>
      </c>
      <c r="M836" s="20" t="n"/>
      <c r="N836" s="10">
        <f>TEXT($B$6,"00")</f>
        <v/>
      </c>
      <c r="O836" s="10">
        <f>REPT(" ",8)</f>
        <v/>
      </c>
      <c r="P836" s="10">
        <f>RIGHT($B$4,2)</f>
        <v/>
      </c>
      <c r="Q836" s="10">
        <f>RIGHT($B$5,3)</f>
        <v/>
      </c>
      <c r="R836" s="10">
        <f>IF(A836="D",LEFT(UPPER(B836)&amp;REPT(" ",20),20),REPT(" ",20))</f>
        <v/>
      </c>
      <c r="S836" s="10">
        <f>IF(A836="D",LEFT(UPPER(C836)&amp;REPT(" ",10),10)," ")</f>
        <v/>
      </c>
      <c r="T836" s="10">
        <f>IF(A836="D",LEFT(UPPER(D836)&amp;REPT(" ",2),2)," ")</f>
        <v/>
      </c>
      <c r="U836" s="10">
        <f>IF(A836="D",LEFT(UPPER(E836)&amp;REPT(" ",15),15)," ")</f>
        <v/>
      </c>
      <c r="V836" s="10">
        <f>REPT(" ",24)</f>
        <v/>
      </c>
      <c r="W836" s="10">
        <f>IF(A836="c",LEFT(UPPER(B836)&amp;REPT(" ",20),20),REPT(" ",20))</f>
        <v/>
      </c>
      <c r="X836" s="10">
        <f>IF(A836="C",LEFT(UPPER(C836)&amp;REPT(" ",10),10)," ")</f>
        <v/>
      </c>
      <c r="Y836" s="10">
        <f>IF(A836="C",LEFT(UPPER(D836)&amp;REPT(" ",2),2)," ")</f>
        <v/>
      </c>
      <c r="Z836" s="10">
        <f>IF(A836="C",LEFT(UPPER(E836)&amp;REPT(" ",15),15)," ")</f>
        <v/>
      </c>
      <c r="AA836" s="10">
        <f>REPT(" ",8)</f>
        <v/>
      </c>
      <c r="AB836" s="10">
        <f>REPT(" ",4)</f>
        <v/>
      </c>
      <c r="AC836" s="10">
        <f>LEFT(UPPER(H836)&amp;REPT(" ",250),250)</f>
        <v/>
      </c>
      <c r="AD836" s="10">
        <f>TEXT($G$2,"dd/mm/aaaa")</f>
        <v/>
      </c>
      <c r="AE836" s="10">
        <f>REPT(" ",10)</f>
        <v/>
      </c>
      <c r="AF836" s="10">
        <f>REPT(" ",20)</f>
        <v/>
      </c>
      <c r="AG836" s="54">
        <f>REPT(" ",18-LEN(FIXED(F836,2,TRUE)))&amp;FIXED(F836,2,TRUE)</f>
        <v/>
      </c>
      <c r="AH836" s="10">
        <f>LEN(AC836)+LEN(AG836)</f>
        <v/>
      </c>
      <c r="AI836" s="10">
        <f>LEN(L836)</f>
        <v/>
      </c>
    </row>
    <row r="837">
      <c r="A837" s="46" t="n"/>
      <c r="B837" s="38" t="n"/>
      <c r="C837" s="41" t="n"/>
      <c r="D837" s="41" t="n"/>
      <c r="E837" s="41" t="n"/>
      <c r="F837" s="88" t="n"/>
      <c r="G837" s="89" t="n"/>
      <c r="H837" s="37" t="n"/>
      <c r="I837" s="42" t="n"/>
      <c r="J837" s="12">
        <f>IF(F837&lt;&gt;0,"LANÇAR","")</f>
        <v/>
      </c>
      <c r="K837" s="20" t="n"/>
      <c r="L837" s="13">
        <f>N837&amp;O837&amp;P837&amp;Q837&amp;R837&amp;S837&amp;T837&amp;U837&amp;V837&amp;W837&amp;X837&amp;Y837&amp;Z837&amp;AA837&amp;AB837&amp;AC837&amp;AD837&amp;AE837&amp;AF837&amp;AG837</f>
        <v/>
      </c>
      <c r="M837" s="20" t="n"/>
      <c r="N837" s="10">
        <f>TEXT($B$6,"00")</f>
        <v/>
      </c>
      <c r="O837" s="10">
        <f>REPT(" ",8)</f>
        <v/>
      </c>
      <c r="P837" s="10">
        <f>RIGHT($B$4,2)</f>
        <v/>
      </c>
      <c r="Q837" s="10">
        <f>RIGHT($B$5,3)</f>
        <v/>
      </c>
      <c r="R837" s="10">
        <f>IF(A837="D",LEFT(UPPER(B837)&amp;REPT(" ",20),20),REPT(" ",20))</f>
        <v/>
      </c>
      <c r="S837" s="10">
        <f>IF(A837="D",LEFT(UPPER(C837)&amp;REPT(" ",10),10)," ")</f>
        <v/>
      </c>
      <c r="T837" s="10">
        <f>IF(A837="D",LEFT(UPPER(D837)&amp;REPT(" ",2),2)," ")</f>
        <v/>
      </c>
      <c r="U837" s="10">
        <f>IF(A837="D",LEFT(UPPER(E837)&amp;REPT(" ",15),15)," ")</f>
        <v/>
      </c>
      <c r="V837" s="10">
        <f>REPT(" ",24)</f>
        <v/>
      </c>
      <c r="W837" s="10">
        <f>IF(A837="c",LEFT(UPPER(B837)&amp;REPT(" ",20),20),REPT(" ",20))</f>
        <v/>
      </c>
      <c r="X837" s="10">
        <f>IF(A837="C",LEFT(UPPER(C837)&amp;REPT(" ",10),10)," ")</f>
        <v/>
      </c>
      <c r="Y837" s="10">
        <f>IF(A837="C",LEFT(UPPER(D837)&amp;REPT(" ",2),2)," ")</f>
        <v/>
      </c>
      <c r="Z837" s="10">
        <f>IF(A837="C",LEFT(UPPER(E837)&amp;REPT(" ",15),15)," ")</f>
        <v/>
      </c>
      <c r="AA837" s="10">
        <f>REPT(" ",8)</f>
        <v/>
      </c>
      <c r="AB837" s="10">
        <f>REPT(" ",4)</f>
        <v/>
      </c>
      <c r="AC837" s="10">
        <f>LEFT(UPPER(H837)&amp;REPT(" ",250),250)</f>
        <v/>
      </c>
      <c r="AD837" s="10">
        <f>TEXT($G$2,"dd/mm/aaaa")</f>
        <v/>
      </c>
      <c r="AE837" s="10">
        <f>REPT(" ",10)</f>
        <v/>
      </c>
      <c r="AF837" s="10">
        <f>REPT(" ",20)</f>
        <v/>
      </c>
      <c r="AG837" s="54">
        <f>REPT(" ",18-LEN(FIXED(F837,2,TRUE)))&amp;FIXED(F837,2,TRUE)</f>
        <v/>
      </c>
      <c r="AH837" s="10">
        <f>LEN(AC837)+LEN(AG837)</f>
        <v/>
      </c>
      <c r="AI837" s="10">
        <f>LEN(L837)</f>
        <v/>
      </c>
    </row>
    <row r="838">
      <c r="A838" s="46" t="n"/>
      <c r="B838" s="38" t="n"/>
      <c r="C838" s="41" t="n"/>
      <c r="D838" s="41" t="n"/>
      <c r="E838" s="41" t="n"/>
      <c r="F838" s="88" t="n"/>
      <c r="G838" s="89" t="n"/>
      <c r="H838" s="37" t="n"/>
      <c r="I838" s="42" t="n"/>
      <c r="J838" s="12">
        <f>IF(F838&lt;&gt;0,"LANÇAR","")</f>
        <v/>
      </c>
      <c r="K838" s="20" t="n"/>
      <c r="L838" s="13">
        <f>N838&amp;O838&amp;P838&amp;Q838&amp;R838&amp;S838&amp;T838&amp;U838&amp;V838&amp;W838&amp;X838&amp;Y838&amp;Z838&amp;AA838&amp;AB838&amp;AC838&amp;AD838&amp;AE838&amp;AF838&amp;AG838</f>
        <v/>
      </c>
      <c r="M838" s="20" t="n"/>
      <c r="N838" s="10">
        <f>TEXT($B$6,"00")</f>
        <v/>
      </c>
      <c r="O838" s="10">
        <f>REPT(" ",8)</f>
        <v/>
      </c>
      <c r="P838" s="10">
        <f>RIGHT($B$4,2)</f>
        <v/>
      </c>
      <c r="Q838" s="10">
        <f>RIGHT($B$5,3)</f>
        <v/>
      </c>
      <c r="R838" s="10">
        <f>IF(A838="D",LEFT(UPPER(B838)&amp;REPT(" ",20),20),REPT(" ",20))</f>
        <v/>
      </c>
      <c r="S838" s="10">
        <f>IF(A838="D",LEFT(UPPER(C838)&amp;REPT(" ",10),10)," ")</f>
        <v/>
      </c>
      <c r="T838" s="10">
        <f>IF(A838="D",LEFT(UPPER(D838)&amp;REPT(" ",2),2)," ")</f>
        <v/>
      </c>
      <c r="U838" s="10">
        <f>IF(A838="D",LEFT(UPPER(E838)&amp;REPT(" ",15),15)," ")</f>
        <v/>
      </c>
      <c r="V838" s="10">
        <f>REPT(" ",24)</f>
        <v/>
      </c>
      <c r="W838" s="10">
        <f>IF(A838="c",LEFT(UPPER(B838)&amp;REPT(" ",20),20),REPT(" ",20))</f>
        <v/>
      </c>
      <c r="X838" s="10">
        <f>IF(A838="C",LEFT(UPPER(C838)&amp;REPT(" ",10),10)," ")</f>
        <v/>
      </c>
      <c r="Y838" s="10">
        <f>IF(A838="C",LEFT(UPPER(D838)&amp;REPT(" ",2),2)," ")</f>
        <v/>
      </c>
      <c r="Z838" s="10">
        <f>IF(A838="C",LEFT(UPPER(E838)&amp;REPT(" ",15),15)," ")</f>
        <v/>
      </c>
      <c r="AA838" s="10">
        <f>REPT(" ",8)</f>
        <v/>
      </c>
      <c r="AB838" s="10">
        <f>REPT(" ",4)</f>
        <v/>
      </c>
      <c r="AC838" s="10">
        <f>LEFT(UPPER(H838)&amp;REPT(" ",250),250)</f>
        <v/>
      </c>
      <c r="AD838" s="10">
        <f>TEXT($G$2,"dd/mm/aaaa")</f>
        <v/>
      </c>
      <c r="AE838" s="10">
        <f>REPT(" ",10)</f>
        <v/>
      </c>
      <c r="AF838" s="10">
        <f>REPT(" ",20)</f>
        <v/>
      </c>
      <c r="AG838" s="54">
        <f>REPT(" ",18-LEN(FIXED(F838,2,TRUE)))&amp;FIXED(F838,2,TRUE)</f>
        <v/>
      </c>
      <c r="AH838" s="10">
        <f>LEN(AC838)+LEN(AG838)</f>
        <v/>
      </c>
      <c r="AI838" s="10">
        <f>LEN(L838)</f>
        <v/>
      </c>
    </row>
    <row r="839">
      <c r="A839" s="46" t="n"/>
      <c r="B839" s="38" t="n"/>
      <c r="C839" s="41" t="n"/>
      <c r="D839" s="41" t="n"/>
      <c r="E839" s="41" t="n"/>
      <c r="F839" s="88" t="n"/>
      <c r="G839" s="89" t="n"/>
      <c r="H839" s="37" t="n"/>
      <c r="I839" s="42" t="n"/>
      <c r="J839" s="12">
        <f>IF(F839&lt;&gt;0,"LANÇAR","")</f>
        <v/>
      </c>
      <c r="K839" s="20" t="n"/>
      <c r="L839" s="13">
        <f>N839&amp;O839&amp;P839&amp;Q839&amp;R839&amp;S839&amp;T839&amp;U839&amp;V839&amp;W839&amp;X839&amp;Y839&amp;Z839&amp;AA839&amp;AB839&amp;AC839&amp;AD839&amp;AE839&amp;AF839&amp;AG839</f>
        <v/>
      </c>
      <c r="M839" s="20" t="n"/>
      <c r="N839" s="10">
        <f>TEXT($B$6,"00")</f>
        <v/>
      </c>
      <c r="O839" s="10">
        <f>REPT(" ",8)</f>
        <v/>
      </c>
      <c r="P839" s="10">
        <f>RIGHT($B$4,2)</f>
        <v/>
      </c>
      <c r="Q839" s="10">
        <f>RIGHT($B$5,3)</f>
        <v/>
      </c>
      <c r="R839" s="10">
        <f>IF(A839="D",LEFT(UPPER(B839)&amp;REPT(" ",20),20),REPT(" ",20))</f>
        <v/>
      </c>
      <c r="S839" s="10">
        <f>IF(A839="D",LEFT(UPPER(C839)&amp;REPT(" ",10),10)," ")</f>
        <v/>
      </c>
      <c r="T839" s="10">
        <f>IF(A839="D",LEFT(UPPER(D839)&amp;REPT(" ",2),2)," ")</f>
        <v/>
      </c>
      <c r="U839" s="10">
        <f>IF(A839="D",LEFT(UPPER(E839)&amp;REPT(" ",15),15)," ")</f>
        <v/>
      </c>
      <c r="V839" s="10">
        <f>REPT(" ",24)</f>
        <v/>
      </c>
      <c r="W839" s="10">
        <f>IF(A839="c",LEFT(UPPER(B839)&amp;REPT(" ",20),20),REPT(" ",20))</f>
        <v/>
      </c>
      <c r="X839" s="10">
        <f>IF(A839="C",LEFT(UPPER(C839)&amp;REPT(" ",10),10)," ")</f>
        <v/>
      </c>
      <c r="Y839" s="10">
        <f>IF(A839="C",LEFT(UPPER(D839)&amp;REPT(" ",2),2)," ")</f>
        <v/>
      </c>
      <c r="Z839" s="10">
        <f>IF(A839="C",LEFT(UPPER(E839)&amp;REPT(" ",15),15)," ")</f>
        <v/>
      </c>
      <c r="AA839" s="10">
        <f>REPT(" ",8)</f>
        <v/>
      </c>
      <c r="AB839" s="10">
        <f>REPT(" ",4)</f>
        <v/>
      </c>
      <c r="AC839" s="10">
        <f>LEFT(UPPER(H839)&amp;REPT(" ",250),250)</f>
        <v/>
      </c>
      <c r="AD839" s="10">
        <f>TEXT($G$2,"dd/mm/aaaa")</f>
        <v/>
      </c>
      <c r="AE839" s="10">
        <f>REPT(" ",10)</f>
        <v/>
      </c>
      <c r="AF839" s="10">
        <f>REPT(" ",20)</f>
        <v/>
      </c>
      <c r="AG839" s="54">
        <f>REPT(" ",18-LEN(FIXED(F839,2,TRUE)))&amp;FIXED(F839,2,TRUE)</f>
        <v/>
      </c>
      <c r="AH839" s="10">
        <f>LEN(AC839)+LEN(AG839)</f>
        <v/>
      </c>
      <c r="AI839" s="10">
        <f>LEN(L839)</f>
        <v/>
      </c>
    </row>
    <row r="840">
      <c r="A840" s="46" t="n"/>
      <c r="B840" s="38" t="n"/>
      <c r="C840" s="41" t="n"/>
      <c r="D840" s="41" t="n"/>
      <c r="E840" s="41" t="n"/>
      <c r="F840" s="88" t="n"/>
      <c r="G840" s="89" t="n"/>
      <c r="H840" s="37" t="n"/>
      <c r="I840" s="42" t="n"/>
      <c r="J840" s="12">
        <f>IF(F840&lt;&gt;0,"LANÇAR","")</f>
        <v/>
      </c>
      <c r="K840" s="20" t="n"/>
      <c r="L840" s="13">
        <f>N840&amp;O840&amp;P840&amp;Q840&amp;R840&amp;S840&amp;T840&amp;U840&amp;V840&amp;W840&amp;X840&amp;Y840&amp;Z840&amp;AA840&amp;AB840&amp;AC840&amp;AD840&amp;AE840&amp;AF840&amp;AG840</f>
        <v/>
      </c>
      <c r="M840" s="20" t="n"/>
      <c r="N840" s="10">
        <f>TEXT($B$6,"00")</f>
        <v/>
      </c>
      <c r="O840" s="10">
        <f>REPT(" ",8)</f>
        <v/>
      </c>
      <c r="P840" s="10">
        <f>RIGHT($B$4,2)</f>
        <v/>
      </c>
      <c r="Q840" s="10">
        <f>RIGHT($B$5,3)</f>
        <v/>
      </c>
      <c r="R840" s="10">
        <f>IF(A840="D",LEFT(UPPER(B840)&amp;REPT(" ",20),20),REPT(" ",20))</f>
        <v/>
      </c>
      <c r="S840" s="10">
        <f>IF(A840="D",LEFT(UPPER(C840)&amp;REPT(" ",10),10)," ")</f>
        <v/>
      </c>
      <c r="T840" s="10">
        <f>IF(A840="D",LEFT(UPPER(D840)&amp;REPT(" ",2),2)," ")</f>
        <v/>
      </c>
      <c r="U840" s="10">
        <f>IF(A840="D",LEFT(UPPER(E840)&amp;REPT(" ",15),15)," ")</f>
        <v/>
      </c>
      <c r="V840" s="10">
        <f>REPT(" ",24)</f>
        <v/>
      </c>
      <c r="W840" s="10">
        <f>IF(A840="c",LEFT(UPPER(B840)&amp;REPT(" ",20),20),REPT(" ",20))</f>
        <v/>
      </c>
      <c r="X840" s="10">
        <f>IF(A840="C",LEFT(UPPER(C840)&amp;REPT(" ",10),10)," ")</f>
        <v/>
      </c>
      <c r="Y840" s="10">
        <f>IF(A840="C",LEFT(UPPER(D840)&amp;REPT(" ",2),2)," ")</f>
        <v/>
      </c>
      <c r="Z840" s="10">
        <f>IF(A840="C",LEFT(UPPER(E840)&amp;REPT(" ",15),15)," ")</f>
        <v/>
      </c>
      <c r="AA840" s="10">
        <f>REPT(" ",8)</f>
        <v/>
      </c>
      <c r="AB840" s="10">
        <f>REPT(" ",4)</f>
        <v/>
      </c>
      <c r="AC840" s="10">
        <f>LEFT(UPPER(H840)&amp;REPT(" ",250),250)</f>
        <v/>
      </c>
      <c r="AD840" s="10">
        <f>TEXT($G$2,"dd/mm/aaaa")</f>
        <v/>
      </c>
      <c r="AE840" s="10">
        <f>REPT(" ",10)</f>
        <v/>
      </c>
      <c r="AF840" s="10">
        <f>REPT(" ",20)</f>
        <v/>
      </c>
      <c r="AG840" s="54">
        <f>REPT(" ",18-LEN(FIXED(F840,2,TRUE)))&amp;FIXED(F840,2,TRUE)</f>
        <v/>
      </c>
      <c r="AH840" s="10">
        <f>LEN(AC840)+LEN(AG840)</f>
        <v/>
      </c>
      <c r="AI840" s="10">
        <f>LEN(L840)</f>
        <v/>
      </c>
    </row>
    <row r="841">
      <c r="A841" s="46" t="n"/>
      <c r="B841" s="38" t="n"/>
      <c r="C841" s="41" t="n"/>
      <c r="D841" s="41" t="n"/>
      <c r="E841" s="41" t="n"/>
      <c r="F841" s="88" t="n"/>
      <c r="G841" s="89" t="n"/>
      <c r="H841" s="37" t="n"/>
      <c r="I841" s="42" t="n"/>
      <c r="J841" s="12">
        <f>IF(F841&lt;&gt;0,"LANÇAR","")</f>
        <v/>
      </c>
      <c r="K841" s="20" t="n"/>
      <c r="L841" s="13">
        <f>N841&amp;O841&amp;P841&amp;Q841&amp;R841&amp;S841&amp;T841&amp;U841&amp;V841&amp;W841&amp;X841&amp;Y841&amp;Z841&amp;AA841&amp;AB841&amp;AC841&amp;AD841&amp;AE841&amp;AF841&amp;AG841</f>
        <v/>
      </c>
      <c r="M841" s="20" t="n"/>
      <c r="N841" s="10">
        <f>TEXT($B$6,"00")</f>
        <v/>
      </c>
      <c r="O841" s="10">
        <f>REPT(" ",8)</f>
        <v/>
      </c>
      <c r="P841" s="10">
        <f>RIGHT($B$4,2)</f>
        <v/>
      </c>
      <c r="Q841" s="10">
        <f>RIGHT($B$5,3)</f>
        <v/>
      </c>
      <c r="R841" s="10">
        <f>IF(A841="D",LEFT(UPPER(B841)&amp;REPT(" ",20),20),REPT(" ",20))</f>
        <v/>
      </c>
      <c r="S841" s="10">
        <f>IF(A841="D",LEFT(UPPER(C841)&amp;REPT(" ",10),10)," ")</f>
        <v/>
      </c>
      <c r="T841" s="10">
        <f>IF(A841="D",LEFT(UPPER(D841)&amp;REPT(" ",2),2)," ")</f>
        <v/>
      </c>
      <c r="U841" s="10">
        <f>IF(A841="D",LEFT(UPPER(E841)&amp;REPT(" ",15),15)," ")</f>
        <v/>
      </c>
      <c r="V841" s="10">
        <f>REPT(" ",24)</f>
        <v/>
      </c>
      <c r="W841" s="10">
        <f>IF(A841="c",LEFT(UPPER(B841)&amp;REPT(" ",20),20),REPT(" ",20))</f>
        <v/>
      </c>
      <c r="X841" s="10">
        <f>IF(A841="C",LEFT(UPPER(C841)&amp;REPT(" ",10),10)," ")</f>
        <v/>
      </c>
      <c r="Y841" s="10">
        <f>IF(A841="C",LEFT(UPPER(D841)&amp;REPT(" ",2),2)," ")</f>
        <v/>
      </c>
      <c r="Z841" s="10">
        <f>IF(A841="C",LEFT(UPPER(E841)&amp;REPT(" ",15),15)," ")</f>
        <v/>
      </c>
      <c r="AA841" s="10">
        <f>REPT(" ",8)</f>
        <v/>
      </c>
      <c r="AB841" s="10">
        <f>REPT(" ",4)</f>
        <v/>
      </c>
      <c r="AC841" s="10">
        <f>LEFT(UPPER(H841)&amp;REPT(" ",250),250)</f>
        <v/>
      </c>
      <c r="AD841" s="10">
        <f>TEXT($G$2,"dd/mm/aaaa")</f>
        <v/>
      </c>
      <c r="AE841" s="10">
        <f>REPT(" ",10)</f>
        <v/>
      </c>
      <c r="AF841" s="10">
        <f>REPT(" ",20)</f>
        <v/>
      </c>
      <c r="AG841" s="54">
        <f>REPT(" ",18-LEN(FIXED(F841,2,TRUE)))&amp;FIXED(F841,2,TRUE)</f>
        <v/>
      </c>
      <c r="AH841" s="10">
        <f>LEN(AC841)+LEN(AG841)</f>
        <v/>
      </c>
      <c r="AI841" s="10">
        <f>LEN(L841)</f>
        <v/>
      </c>
    </row>
    <row r="842">
      <c r="A842" s="46" t="n"/>
      <c r="B842" s="38" t="n"/>
      <c r="C842" s="41" t="n"/>
      <c r="D842" s="41" t="n"/>
      <c r="E842" s="41" t="n"/>
      <c r="F842" s="88" t="n"/>
      <c r="G842" s="89" t="n"/>
      <c r="H842" s="37" t="n"/>
      <c r="I842" s="42" t="n"/>
      <c r="J842" s="12">
        <f>IF(F842&lt;&gt;0,"LANÇAR","")</f>
        <v/>
      </c>
      <c r="K842" s="20" t="n"/>
      <c r="L842" s="13">
        <f>N842&amp;O842&amp;P842&amp;Q842&amp;R842&amp;S842&amp;T842&amp;U842&amp;V842&amp;W842&amp;X842&amp;Y842&amp;Z842&amp;AA842&amp;AB842&amp;AC842&amp;AD842&amp;AE842&amp;AF842&amp;AG842</f>
        <v/>
      </c>
      <c r="M842" s="20" t="n"/>
      <c r="N842" s="10">
        <f>TEXT($B$6,"00")</f>
        <v/>
      </c>
      <c r="O842" s="10">
        <f>REPT(" ",8)</f>
        <v/>
      </c>
      <c r="P842" s="10">
        <f>RIGHT($B$4,2)</f>
        <v/>
      </c>
      <c r="Q842" s="10">
        <f>RIGHT($B$5,3)</f>
        <v/>
      </c>
      <c r="R842" s="10">
        <f>IF(A842="D",LEFT(UPPER(B842)&amp;REPT(" ",20),20),REPT(" ",20))</f>
        <v/>
      </c>
      <c r="S842" s="10">
        <f>IF(A842="D",LEFT(UPPER(C842)&amp;REPT(" ",10),10)," ")</f>
        <v/>
      </c>
      <c r="T842" s="10">
        <f>IF(A842="D",LEFT(UPPER(D842)&amp;REPT(" ",2),2)," ")</f>
        <v/>
      </c>
      <c r="U842" s="10">
        <f>IF(A842="D",LEFT(UPPER(E842)&amp;REPT(" ",15),15)," ")</f>
        <v/>
      </c>
      <c r="V842" s="10">
        <f>REPT(" ",24)</f>
        <v/>
      </c>
      <c r="W842" s="10">
        <f>IF(A842="c",LEFT(UPPER(B842)&amp;REPT(" ",20),20),REPT(" ",20))</f>
        <v/>
      </c>
      <c r="X842" s="10">
        <f>IF(A842="C",LEFT(UPPER(C842)&amp;REPT(" ",10),10)," ")</f>
        <v/>
      </c>
      <c r="Y842" s="10">
        <f>IF(A842="C",LEFT(UPPER(D842)&amp;REPT(" ",2),2)," ")</f>
        <v/>
      </c>
      <c r="Z842" s="10">
        <f>IF(A842="C",LEFT(UPPER(E842)&amp;REPT(" ",15),15)," ")</f>
        <v/>
      </c>
      <c r="AA842" s="10">
        <f>REPT(" ",8)</f>
        <v/>
      </c>
      <c r="AB842" s="10">
        <f>REPT(" ",4)</f>
        <v/>
      </c>
      <c r="AC842" s="10">
        <f>LEFT(UPPER(H842)&amp;REPT(" ",250),250)</f>
        <v/>
      </c>
      <c r="AD842" s="10">
        <f>TEXT($G$2,"dd/mm/aaaa")</f>
        <v/>
      </c>
      <c r="AE842" s="10">
        <f>REPT(" ",10)</f>
        <v/>
      </c>
      <c r="AF842" s="10">
        <f>REPT(" ",20)</f>
        <v/>
      </c>
      <c r="AG842" s="54">
        <f>REPT(" ",18-LEN(FIXED(F842,2,TRUE)))&amp;FIXED(F842,2,TRUE)</f>
        <v/>
      </c>
      <c r="AH842" s="10">
        <f>LEN(AC842)+LEN(AG842)</f>
        <v/>
      </c>
      <c r="AI842" s="10">
        <f>LEN(L842)</f>
        <v/>
      </c>
    </row>
    <row r="843">
      <c r="A843" s="46" t="n"/>
      <c r="B843" s="38" t="n"/>
      <c r="C843" s="41" t="n"/>
      <c r="D843" s="41" t="n"/>
      <c r="E843" s="41" t="n"/>
      <c r="F843" s="88" t="n"/>
      <c r="G843" s="89" t="n"/>
      <c r="H843" s="37" t="n"/>
      <c r="I843" s="42" t="n"/>
      <c r="J843" s="12">
        <f>IF(F843&lt;&gt;0,"LANÇAR","")</f>
        <v/>
      </c>
      <c r="K843" s="20" t="n"/>
      <c r="L843" s="13">
        <f>N843&amp;O843&amp;P843&amp;Q843&amp;R843&amp;S843&amp;T843&amp;U843&amp;V843&amp;W843&amp;X843&amp;Y843&amp;Z843&amp;AA843&amp;AB843&amp;AC843&amp;AD843&amp;AE843&amp;AF843&amp;AG843</f>
        <v/>
      </c>
      <c r="M843" s="20" t="n"/>
      <c r="N843" s="10">
        <f>TEXT($B$6,"00")</f>
        <v/>
      </c>
      <c r="O843" s="10">
        <f>REPT(" ",8)</f>
        <v/>
      </c>
      <c r="P843" s="10">
        <f>RIGHT($B$4,2)</f>
        <v/>
      </c>
      <c r="Q843" s="10">
        <f>RIGHT($B$5,3)</f>
        <v/>
      </c>
      <c r="R843" s="10">
        <f>IF(A843="D",LEFT(UPPER(B843)&amp;REPT(" ",20),20),REPT(" ",20))</f>
        <v/>
      </c>
      <c r="S843" s="10">
        <f>IF(A843="D",LEFT(UPPER(C843)&amp;REPT(" ",10),10)," ")</f>
        <v/>
      </c>
      <c r="T843" s="10">
        <f>IF(A843="D",LEFT(UPPER(D843)&amp;REPT(" ",2),2)," ")</f>
        <v/>
      </c>
      <c r="U843" s="10">
        <f>IF(A843="D",LEFT(UPPER(E843)&amp;REPT(" ",15),15)," ")</f>
        <v/>
      </c>
      <c r="V843" s="10">
        <f>REPT(" ",24)</f>
        <v/>
      </c>
      <c r="W843" s="10">
        <f>IF(A843="c",LEFT(UPPER(B843)&amp;REPT(" ",20),20),REPT(" ",20))</f>
        <v/>
      </c>
      <c r="X843" s="10">
        <f>IF(A843="C",LEFT(UPPER(C843)&amp;REPT(" ",10),10)," ")</f>
        <v/>
      </c>
      <c r="Y843" s="10">
        <f>IF(A843="C",LEFT(UPPER(D843)&amp;REPT(" ",2),2)," ")</f>
        <v/>
      </c>
      <c r="Z843" s="10">
        <f>IF(A843="C",LEFT(UPPER(E843)&amp;REPT(" ",15),15)," ")</f>
        <v/>
      </c>
      <c r="AA843" s="10">
        <f>REPT(" ",8)</f>
        <v/>
      </c>
      <c r="AB843" s="10">
        <f>REPT(" ",4)</f>
        <v/>
      </c>
      <c r="AC843" s="10">
        <f>LEFT(UPPER(H843)&amp;REPT(" ",250),250)</f>
        <v/>
      </c>
      <c r="AD843" s="10">
        <f>TEXT($G$2,"dd/mm/aaaa")</f>
        <v/>
      </c>
      <c r="AE843" s="10">
        <f>REPT(" ",10)</f>
        <v/>
      </c>
      <c r="AF843" s="10">
        <f>REPT(" ",20)</f>
        <v/>
      </c>
      <c r="AG843" s="54">
        <f>REPT(" ",18-LEN(FIXED(F843,2,TRUE)))&amp;FIXED(F843,2,TRUE)</f>
        <v/>
      </c>
      <c r="AH843" s="10">
        <f>LEN(AC843)+LEN(AG843)</f>
        <v/>
      </c>
      <c r="AI843" s="10">
        <f>LEN(L843)</f>
        <v/>
      </c>
    </row>
    <row r="844">
      <c r="A844" s="46" t="n"/>
      <c r="B844" s="38" t="n"/>
      <c r="C844" s="41" t="n"/>
      <c r="D844" s="41" t="n"/>
      <c r="E844" s="41" t="n"/>
      <c r="F844" s="88" t="n"/>
      <c r="G844" s="89" t="n"/>
      <c r="H844" s="37" t="n"/>
      <c r="I844" s="42" t="n"/>
      <c r="J844" s="12">
        <f>IF(F844&lt;&gt;0,"LANÇAR","")</f>
        <v/>
      </c>
      <c r="K844" s="20" t="n"/>
      <c r="L844" s="13">
        <f>N844&amp;O844&amp;P844&amp;Q844&amp;R844&amp;S844&amp;T844&amp;U844&amp;V844&amp;W844&amp;X844&amp;Y844&amp;Z844&amp;AA844&amp;AB844&amp;AC844&amp;AD844&amp;AE844&amp;AF844&amp;AG844</f>
        <v/>
      </c>
      <c r="M844" s="20" t="n"/>
      <c r="N844" s="10">
        <f>TEXT($B$6,"00")</f>
        <v/>
      </c>
      <c r="O844" s="10">
        <f>REPT(" ",8)</f>
        <v/>
      </c>
      <c r="P844" s="10">
        <f>RIGHT($B$4,2)</f>
        <v/>
      </c>
      <c r="Q844" s="10">
        <f>RIGHT($B$5,3)</f>
        <v/>
      </c>
      <c r="R844" s="10">
        <f>IF(A844="D",LEFT(UPPER(B844)&amp;REPT(" ",20),20),REPT(" ",20))</f>
        <v/>
      </c>
      <c r="S844" s="10">
        <f>IF(A844="D",LEFT(UPPER(C844)&amp;REPT(" ",10),10)," ")</f>
        <v/>
      </c>
      <c r="T844" s="10">
        <f>IF(A844="D",LEFT(UPPER(D844)&amp;REPT(" ",2),2)," ")</f>
        <v/>
      </c>
      <c r="U844" s="10">
        <f>IF(A844="D",LEFT(UPPER(E844)&amp;REPT(" ",15),15)," ")</f>
        <v/>
      </c>
      <c r="V844" s="10">
        <f>REPT(" ",24)</f>
        <v/>
      </c>
      <c r="W844" s="10">
        <f>IF(A844="c",LEFT(UPPER(B844)&amp;REPT(" ",20),20),REPT(" ",20))</f>
        <v/>
      </c>
      <c r="X844" s="10">
        <f>IF(A844="C",LEFT(UPPER(C844)&amp;REPT(" ",10),10)," ")</f>
        <v/>
      </c>
      <c r="Y844" s="10">
        <f>IF(A844="C",LEFT(UPPER(D844)&amp;REPT(" ",2),2)," ")</f>
        <v/>
      </c>
      <c r="Z844" s="10">
        <f>IF(A844="C",LEFT(UPPER(E844)&amp;REPT(" ",15),15)," ")</f>
        <v/>
      </c>
      <c r="AA844" s="10">
        <f>REPT(" ",8)</f>
        <v/>
      </c>
      <c r="AB844" s="10">
        <f>REPT(" ",4)</f>
        <v/>
      </c>
      <c r="AC844" s="10">
        <f>LEFT(UPPER(H844)&amp;REPT(" ",250),250)</f>
        <v/>
      </c>
      <c r="AD844" s="10">
        <f>TEXT($G$2,"dd/mm/aaaa")</f>
        <v/>
      </c>
      <c r="AE844" s="10">
        <f>REPT(" ",10)</f>
        <v/>
      </c>
      <c r="AF844" s="10">
        <f>REPT(" ",20)</f>
        <v/>
      </c>
      <c r="AG844" s="54">
        <f>REPT(" ",18-LEN(FIXED(F844,2,TRUE)))&amp;FIXED(F844,2,TRUE)</f>
        <v/>
      </c>
      <c r="AH844" s="10">
        <f>LEN(AC844)+LEN(AG844)</f>
        <v/>
      </c>
      <c r="AI844" s="10">
        <f>LEN(L844)</f>
        <v/>
      </c>
    </row>
    <row r="845">
      <c r="A845" s="46" t="n"/>
      <c r="B845" s="38" t="n"/>
      <c r="C845" s="41" t="n"/>
      <c r="D845" s="41" t="n"/>
      <c r="E845" s="41" t="n"/>
      <c r="F845" s="88" t="n"/>
      <c r="G845" s="89" t="n"/>
      <c r="H845" s="37" t="n"/>
      <c r="I845" s="42" t="n"/>
      <c r="J845" s="12">
        <f>IF(F845&lt;&gt;0,"LANÇAR","")</f>
        <v/>
      </c>
      <c r="K845" s="20" t="n"/>
      <c r="L845" s="13">
        <f>N845&amp;O845&amp;P845&amp;Q845&amp;R845&amp;S845&amp;T845&amp;U845&amp;V845&amp;W845&amp;X845&amp;Y845&amp;Z845&amp;AA845&amp;AB845&amp;AC845&amp;AD845&amp;AE845&amp;AF845&amp;AG845</f>
        <v/>
      </c>
      <c r="M845" s="20" t="n"/>
      <c r="N845" s="10">
        <f>TEXT($B$6,"00")</f>
        <v/>
      </c>
      <c r="O845" s="10">
        <f>REPT(" ",8)</f>
        <v/>
      </c>
      <c r="P845" s="10">
        <f>RIGHT($B$4,2)</f>
        <v/>
      </c>
      <c r="Q845" s="10">
        <f>RIGHT($B$5,3)</f>
        <v/>
      </c>
      <c r="R845" s="10">
        <f>IF(A845="D",LEFT(UPPER(B845)&amp;REPT(" ",20),20),REPT(" ",20))</f>
        <v/>
      </c>
      <c r="S845" s="10">
        <f>IF(A845="D",LEFT(UPPER(C845)&amp;REPT(" ",10),10)," ")</f>
        <v/>
      </c>
      <c r="T845" s="10">
        <f>IF(A845="D",LEFT(UPPER(D845)&amp;REPT(" ",2),2)," ")</f>
        <v/>
      </c>
      <c r="U845" s="10">
        <f>IF(A845="D",LEFT(UPPER(E845)&amp;REPT(" ",15),15)," ")</f>
        <v/>
      </c>
      <c r="V845" s="10">
        <f>REPT(" ",24)</f>
        <v/>
      </c>
      <c r="W845" s="10">
        <f>IF(A845="c",LEFT(UPPER(B845)&amp;REPT(" ",20),20),REPT(" ",20))</f>
        <v/>
      </c>
      <c r="X845" s="10">
        <f>IF(A845="C",LEFT(UPPER(C845)&amp;REPT(" ",10),10)," ")</f>
        <v/>
      </c>
      <c r="Y845" s="10">
        <f>IF(A845="C",LEFT(UPPER(D845)&amp;REPT(" ",2),2)," ")</f>
        <v/>
      </c>
      <c r="Z845" s="10">
        <f>IF(A845="C",LEFT(UPPER(E845)&amp;REPT(" ",15),15)," ")</f>
        <v/>
      </c>
      <c r="AA845" s="10">
        <f>REPT(" ",8)</f>
        <v/>
      </c>
      <c r="AB845" s="10">
        <f>REPT(" ",4)</f>
        <v/>
      </c>
      <c r="AC845" s="10">
        <f>LEFT(UPPER(H845)&amp;REPT(" ",250),250)</f>
        <v/>
      </c>
      <c r="AD845" s="10">
        <f>TEXT($G$2,"dd/mm/aaaa")</f>
        <v/>
      </c>
      <c r="AE845" s="10">
        <f>REPT(" ",10)</f>
        <v/>
      </c>
      <c r="AF845" s="10">
        <f>REPT(" ",20)</f>
        <v/>
      </c>
      <c r="AG845" s="54">
        <f>REPT(" ",18-LEN(FIXED(F845,2,TRUE)))&amp;FIXED(F845,2,TRUE)</f>
        <v/>
      </c>
      <c r="AH845" s="10">
        <f>LEN(AC845)+LEN(AG845)</f>
        <v/>
      </c>
      <c r="AI845" s="10">
        <f>LEN(L845)</f>
        <v/>
      </c>
    </row>
    <row r="846">
      <c r="A846" s="46" t="n"/>
      <c r="B846" s="38" t="n"/>
      <c r="C846" s="41" t="n"/>
      <c r="D846" s="41" t="n"/>
      <c r="E846" s="41" t="n"/>
      <c r="F846" s="88" t="n"/>
      <c r="G846" s="89" t="n"/>
      <c r="H846" s="37" t="n"/>
      <c r="I846" s="42" t="n"/>
      <c r="J846" s="12">
        <f>IF(F846&lt;&gt;0,"LANÇAR","")</f>
        <v/>
      </c>
      <c r="K846" s="20" t="n"/>
      <c r="L846" s="13">
        <f>N846&amp;O846&amp;P846&amp;Q846&amp;R846&amp;S846&amp;T846&amp;U846&amp;V846&amp;W846&amp;X846&amp;Y846&amp;Z846&amp;AA846&amp;AB846&amp;AC846&amp;AD846&amp;AE846&amp;AF846&amp;AG846</f>
        <v/>
      </c>
      <c r="M846" s="20" t="n"/>
      <c r="N846" s="10">
        <f>TEXT($B$6,"00")</f>
        <v/>
      </c>
      <c r="O846" s="10">
        <f>REPT(" ",8)</f>
        <v/>
      </c>
      <c r="P846" s="10">
        <f>RIGHT($B$4,2)</f>
        <v/>
      </c>
      <c r="Q846" s="10">
        <f>RIGHT($B$5,3)</f>
        <v/>
      </c>
      <c r="R846" s="10">
        <f>IF(A846="D",LEFT(UPPER(B846)&amp;REPT(" ",20),20),REPT(" ",20))</f>
        <v/>
      </c>
      <c r="S846" s="10">
        <f>IF(A846="D",LEFT(UPPER(C846)&amp;REPT(" ",10),10)," ")</f>
        <v/>
      </c>
      <c r="T846" s="10">
        <f>IF(A846="D",LEFT(UPPER(D846)&amp;REPT(" ",2),2)," ")</f>
        <v/>
      </c>
      <c r="U846" s="10">
        <f>IF(A846="D",LEFT(UPPER(E846)&amp;REPT(" ",15),15)," ")</f>
        <v/>
      </c>
      <c r="V846" s="10">
        <f>REPT(" ",24)</f>
        <v/>
      </c>
      <c r="W846" s="10">
        <f>IF(A846="c",LEFT(UPPER(B846)&amp;REPT(" ",20),20),REPT(" ",20))</f>
        <v/>
      </c>
      <c r="X846" s="10">
        <f>IF(A846="C",LEFT(UPPER(C846)&amp;REPT(" ",10),10)," ")</f>
        <v/>
      </c>
      <c r="Y846" s="10">
        <f>IF(A846="C",LEFT(UPPER(D846)&amp;REPT(" ",2),2)," ")</f>
        <v/>
      </c>
      <c r="Z846" s="10">
        <f>IF(A846="C",LEFT(UPPER(E846)&amp;REPT(" ",15),15)," ")</f>
        <v/>
      </c>
      <c r="AA846" s="10">
        <f>REPT(" ",8)</f>
        <v/>
      </c>
      <c r="AB846" s="10">
        <f>REPT(" ",4)</f>
        <v/>
      </c>
      <c r="AC846" s="10">
        <f>LEFT(UPPER(H846)&amp;REPT(" ",250),250)</f>
        <v/>
      </c>
      <c r="AD846" s="10">
        <f>TEXT($G$2,"dd/mm/aaaa")</f>
        <v/>
      </c>
      <c r="AE846" s="10">
        <f>REPT(" ",10)</f>
        <v/>
      </c>
      <c r="AF846" s="10">
        <f>REPT(" ",20)</f>
        <v/>
      </c>
      <c r="AG846" s="54">
        <f>REPT(" ",18-LEN(FIXED(F846,2,TRUE)))&amp;FIXED(F846,2,TRUE)</f>
        <v/>
      </c>
      <c r="AH846" s="10">
        <f>LEN(AC846)+LEN(AG846)</f>
        <v/>
      </c>
      <c r="AI846" s="10">
        <f>LEN(L846)</f>
        <v/>
      </c>
    </row>
    <row r="847">
      <c r="A847" s="46" t="n"/>
      <c r="B847" s="38" t="n"/>
      <c r="C847" s="41" t="n"/>
      <c r="D847" s="41" t="n"/>
      <c r="E847" s="41" t="n"/>
      <c r="F847" s="88" t="n"/>
      <c r="G847" s="89" t="n"/>
      <c r="H847" s="37" t="n"/>
      <c r="I847" s="42" t="n"/>
      <c r="J847" s="12">
        <f>IF(F847&lt;&gt;0,"LANÇAR","")</f>
        <v/>
      </c>
      <c r="K847" s="20" t="n"/>
      <c r="L847" s="13">
        <f>N847&amp;O847&amp;P847&amp;Q847&amp;R847&amp;S847&amp;T847&amp;U847&amp;V847&amp;W847&amp;X847&amp;Y847&amp;Z847&amp;AA847&amp;AB847&amp;AC847&amp;AD847&amp;AE847&amp;AF847&amp;AG847</f>
        <v/>
      </c>
      <c r="M847" s="20" t="n"/>
      <c r="N847" s="10">
        <f>TEXT($B$6,"00")</f>
        <v/>
      </c>
      <c r="O847" s="10">
        <f>REPT(" ",8)</f>
        <v/>
      </c>
      <c r="P847" s="10">
        <f>RIGHT($B$4,2)</f>
        <v/>
      </c>
      <c r="Q847" s="10">
        <f>RIGHT($B$5,3)</f>
        <v/>
      </c>
      <c r="R847" s="10">
        <f>IF(A847="D",LEFT(UPPER(B847)&amp;REPT(" ",20),20),REPT(" ",20))</f>
        <v/>
      </c>
      <c r="S847" s="10">
        <f>IF(A847="D",LEFT(UPPER(C847)&amp;REPT(" ",10),10)," ")</f>
        <v/>
      </c>
      <c r="T847" s="10">
        <f>IF(A847="D",LEFT(UPPER(D847)&amp;REPT(" ",2),2)," ")</f>
        <v/>
      </c>
      <c r="U847" s="10">
        <f>IF(A847="D",LEFT(UPPER(E847)&amp;REPT(" ",15),15)," ")</f>
        <v/>
      </c>
      <c r="V847" s="10">
        <f>REPT(" ",24)</f>
        <v/>
      </c>
      <c r="W847" s="10">
        <f>IF(A847="c",LEFT(UPPER(B847)&amp;REPT(" ",20),20),REPT(" ",20))</f>
        <v/>
      </c>
      <c r="X847" s="10">
        <f>IF(A847="C",LEFT(UPPER(C847)&amp;REPT(" ",10),10)," ")</f>
        <v/>
      </c>
      <c r="Y847" s="10">
        <f>IF(A847="C",LEFT(UPPER(D847)&amp;REPT(" ",2),2)," ")</f>
        <v/>
      </c>
      <c r="Z847" s="10">
        <f>IF(A847="C",LEFT(UPPER(E847)&amp;REPT(" ",15),15)," ")</f>
        <v/>
      </c>
      <c r="AA847" s="10">
        <f>REPT(" ",8)</f>
        <v/>
      </c>
      <c r="AB847" s="10">
        <f>REPT(" ",4)</f>
        <v/>
      </c>
      <c r="AC847" s="10">
        <f>LEFT(UPPER(H847)&amp;REPT(" ",250),250)</f>
        <v/>
      </c>
      <c r="AD847" s="10">
        <f>TEXT($G$2,"dd/mm/aaaa")</f>
        <v/>
      </c>
      <c r="AE847" s="10">
        <f>REPT(" ",10)</f>
        <v/>
      </c>
      <c r="AF847" s="10">
        <f>REPT(" ",20)</f>
        <v/>
      </c>
      <c r="AG847" s="54">
        <f>REPT(" ",18-LEN(FIXED(F847,2,TRUE)))&amp;FIXED(F847,2,TRUE)</f>
        <v/>
      </c>
      <c r="AH847" s="10">
        <f>LEN(AC847)+LEN(AG847)</f>
        <v/>
      </c>
      <c r="AI847" s="10">
        <f>LEN(L847)</f>
        <v/>
      </c>
    </row>
    <row r="848">
      <c r="A848" s="46" t="n"/>
      <c r="B848" s="38" t="n"/>
      <c r="C848" s="41" t="n"/>
      <c r="D848" s="41" t="n"/>
      <c r="E848" s="41" t="n"/>
      <c r="F848" s="88" t="n"/>
      <c r="G848" s="89" t="n"/>
      <c r="H848" s="37" t="n"/>
      <c r="I848" s="42" t="n"/>
      <c r="J848" s="12">
        <f>IF(F848&lt;&gt;0,"LANÇAR","")</f>
        <v/>
      </c>
      <c r="K848" s="20" t="n"/>
      <c r="L848" s="13">
        <f>N848&amp;O848&amp;P848&amp;Q848&amp;R848&amp;S848&amp;T848&amp;U848&amp;V848&amp;W848&amp;X848&amp;Y848&amp;Z848&amp;AA848&amp;AB848&amp;AC848&amp;AD848&amp;AE848&amp;AF848&amp;AG848</f>
        <v/>
      </c>
      <c r="M848" s="20" t="n"/>
      <c r="N848" s="10">
        <f>TEXT($B$6,"00")</f>
        <v/>
      </c>
      <c r="O848" s="10">
        <f>REPT(" ",8)</f>
        <v/>
      </c>
      <c r="P848" s="10">
        <f>RIGHT($B$4,2)</f>
        <v/>
      </c>
      <c r="Q848" s="10">
        <f>RIGHT($B$5,3)</f>
        <v/>
      </c>
      <c r="R848" s="10">
        <f>IF(A848="D",LEFT(UPPER(B848)&amp;REPT(" ",20),20),REPT(" ",20))</f>
        <v/>
      </c>
      <c r="S848" s="10">
        <f>IF(A848="D",LEFT(UPPER(C848)&amp;REPT(" ",10),10)," ")</f>
        <v/>
      </c>
      <c r="T848" s="10">
        <f>IF(A848="D",LEFT(UPPER(D848)&amp;REPT(" ",2),2)," ")</f>
        <v/>
      </c>
      <c r="U848" s="10">
        <f>IF(A848="D",LEFT(UPPER(E848)&amp;REPT(" ",15),15)," ")</f>
        <v/>
      </c>
      <c r="V848" s="10">
        <f>REPT(" ",24)</f>
        <v/>
      </c>
      <c r="W848" s="10">
        <f>IF(A848="c",LEFT(UPPER(B848)&amp;REPT(" ",20),20),REPT(" ",20))</f>
        <v/>
      </c>
      <c r="X848" s="10">
        <f>IF(A848="C",LEFT(UPPER(C848)&amp;REPT(" ",10),10)," ")</f>
        <v/>
      </c>
      <c r="Y848" s="10">
        <f>IF(A848="C",LEFT(UPPER(D848)&amp;REPT(" ",2),2)," ")</f>
        <v/>
      </c>
      <c r="Z848" s="10">
        <f>IF(A848="C",LEFT(UPPER(E848)&amp;REPT(" ",15),15)," ")</f>
        <v/>
      </c>
      <c r="AA848" s="10">
        <f>REPT(" ",8)</f>
        <v/>
      </c>
      <c r="AB848" s="10">
        <f>REPT(" ",4)</f>
        <v/>
      </c>
      <c r="AC848" s="10">
        <f>LEFT(UPPER(H848)&amp;REPT(" ",250),250)</f>
        <v/>
      </c>
      <c r="AD848" s="10">
        <f>TEXT($G$2,"dd/mm/aaaa")</f>
        <v/>
      </c>
      <c r="AE848" s="10">
        <f>REPT(" ",10)</f>
        <v/>
      </c>
      <c r="AF848" s="10">
        <f>REPT(" ",20)</f>
        <v/>
      </c>
      <c r="AG848" s="54">
        <f>REPT(" ",18-LEN(FIXED(F848,2,TRUE)))&amp;FIXED(F848,2,TRUE)</f>
        <v/>
      </c>
      <c r="AH848" s="10">
        <f>LEN(AC848)+LEN(AG848)</f>
        <v/>
      </c>
      <c r="AI848" s="10">
        <f>LEN(L848)</f>
        <v/>
      </c>
    </row>
    <row r="849">
      <c r="A849" s="46" t="n"/>
      <c r="B849" s="38" t="n"/>
      <c r="C849" s="41" t="n"/>
      <c r="D849" s="41" t="n"/>
      <c r="E849" s="41" t="n"/>
      <c r="F849" s="88" t="n"/>
      <c r="G849" s="89" t="n"/>
      <c r="H849" s="37" t="n"/>
      <c r="I849" s="42" t="n"/>
      <c r="J849" s="12">
        <f>IF(F849&lt;&gt;0,"LANÇAR","")</f>
        <v/>
      </c>
      <c r="K849" s="20" t="n"/>
      <c r="L849" s="13">
        <f>N849&amp;O849&amp;P849&amp;Q849&amp;R849&amp;S849&amp;T849&amp;U849&amp;V849&amp;W849&amp;X849&amp;Y849&amp;Z849&amp;AA849&amp;AB849&amp;AC849&amp;AD849&amp;AE849&amp;AF849&amp;AG849</f>
        <v/>
      </c>
      <c r="M849" s="20" t="n"/>
      <c r="N849" s="10">
        <f>TEXT($B$6,"00")</f>
        <v/>
      </c>
      <c r="O849" s="10">
        <f>REPT(" ",8)</f>
        <v/>
      </c>
      <c r="P849" s="10">
        <f>RIGHT($B$4,2)</f>
        <v/>
      </c>
      <c r="Q849" s="10">
        <f>RIGHT($B$5,3)</f>
        <v/>
      </c>
      <c r="R849" s="10">
        <f>IF(A849="D",LEFT(UPPER(B849)&amp;REPT(" ",20),20),REPT(" ",20))</f>
        <v/>
      </c>
      <c r="S849" s="10">
        <f>IF(A849="D",LEFT(UPPER(C849)&amp;REPT(" ",10),10)," ")</f>
        <v/>
      </c>
      <c r="T849" s="10">
        <f>IF(A849="D",LEFT(UPPER(D849)&amp;REPT(" ",2),2)," ")</f>
        <v/>
      </c>
      <c r="U849" s="10">
        <f>IF(A849="D",LEFT(UPPER(E849)&amp;REPT(" ",15),15)," ")</f>
        <v/>
      </c>
      <c r="V849" s="10">
        <f>REPT(" ",24)</f>
        <v/>
      </c>
      <c r="W849" s="10">
        <f>IF(A849="c",LEFT(UPPER(B849)&amp;REPT(" ",20),20),REPT(" ",20))</f>
        <v/>
      </c>
      <c r="X849" s="10">
        <f>IF(A849="C",LEFT(UPPER(C849)&amp;REPT(" ",10),10)," ")</f>
        <v/>
      </c>
      <c r="Y849" s="10">
        <f>IF(A849="C",LEFT(UPPER(D849)&amp;REPT(" ",2),2)," ")</f>
        <v/>
      </c>
      <c r="Z849" s="10">
        <f>IF(A849="C",LEFT(UPPER(E849)&amp;REPT(" ",15),15)," ")</f>
        <v/>
      </c>
      <c r="AA849" s="10">
        <f>REPT(" ",8)</f>
        <v/>
      </c>
      <c r="AB849" s="10">
        <f>REPT(" ",4)</f>
        <v/>
      </c>
      <c r="AC849" s="10">
        <f>LEFT(UPPER(H849)&amp;REPT(" ",250),250)</f>
        <v/>
      </c>
      <c r="AD849" s="10">
        <f>TEXT($G$2,"dd/mm/aaaa")</f>
        <v/>
      </c>
      <c r="AE849" s="10">
        <f>REPT(" ",10)</f>
        <v/>
      </c>
      <c r="AF849" s="10">
        <f>REPT(" ",20)</f>
        <v/>
      </c>
      <c r="AG849" s="54">
        <f>REPT(" ",18-LEN(FIXED(F849,2,TRUE)))&amp;FIXED(F849,2,TRUE)</f>
        <v/>
      </c>
      <c r="AH849" s="10">
        <f>LEN(AC849)+LEN(AG849)</f>
        <v/>
      </c>
      <c r="AI849" s="10">
        <f>LEN(L849)</f>
        <v/>
      </c>
    </row>
    <row r="850">
      <c r="A850" s="46" t="n"/>
      <c r="B850" s="38" t="n"/>
      <c r="C850" s="41" t="n"/>
      <c r="D850" s="41" t="n"/>
      <c r="E850" s="41" t="n"/>
      <c r="F850" s="88" t="n"/>
      <c r="G850" s="89" t="n"/>
      <c r="H850" s="37" t="n"/>
      <c r="I850" s="42" t="n"/>
      <c r="J850" s="12">
        <f>IF(F850&lt;&gt;0,"LANÇAR","")</f>
        <v/>
      </c>
      <c r="K850" s="20" t="n"/>
      <c r="L850" s="13">
        <f>N850&amp;O850&amp;P850&amp;Q850&amp;R850&amp;S850&amp;T850&amp;U850&amp;V850&amp;W850&amp;X850&amp;Y850&amp;Z850&amp;AA850&amp;AB850&amp;AC850&amp;AD850&amp;AE850&amp;AF850&amp;AG850</f>
        <v/>
      </c>
      <c r="M850" s="20" t="n"/>
      <c r="N850" s="10">
        <f>TEXT($B$6,"00")</f>
        <v/>
      </c>
      <c r="O850" s="10">
        <f>REPT(" ",8)</f>
        <v/>
      </c>
      <c r="P850" s="10">
        <f>RIGHT($B$4,2)</f>
        <v/>
      </c>
      <c r="Q850" s="10">
        <f>RIGHT($B$5,3)</f>
        <v/>
      </c>
      <c r="R850" s="10">
        <f>IF(A850="D",LEFT(UPPER(B850)&amp;REPT(" ",20),20),REPT(" ",20))</f>
        <v/>
      </c>
      <c r="S850" s="10">
        <f>IF(A850="D",LEFT(UPPER(C850)&amp;REPT(" ",10),10)," ")</f>
        <v/>
      </c>
      <c r="T850" s="10">
        <f>IF(A850="D",LEFT(UPPER(D850)&amp;REPT(" ",2),2)," ")</f>
        <v/>
      </c>
      <c r="U850" s="10">
        <f>IF(A850="D",LEFT(UPPER(E850)&amp;REPT(" ",15),15)," ")</f>
        <v/>
      </c>
      <c r="V850" s="10">
        <f>REPT(" ",24)</f>
        <v/>
      </c>
      <c r="W850" s="10">
        <f>IF(A850="c",LEFT(UPPER(B850)&amp;REPT(" ",20),20),REPT(" ",20))</f>
        <v/>
      </c>
      <c r="X850" s="10">
        <f>IF(A850="C",LEFT(UPPER(C850)&amp;REPT(" ",10),10)," ")</f>
        <v/>
      </c>
      <c r="Y850" s="10">
        <f>IF(A850="C",LEFT(UPPER(D850)&amp;REPT(" ",2),2)," ")</f>
        <v/>
      </c>
      <c r="Z850" s="10">
        <f>IF(A850="C",LEFT(UPPER(E850)&amp;REPT(" ",15),15)," ")</f>
        <v/>
      </c>
      <c r="AA850" s="10">
        <f>REPT(" ",8)</f>
        <v/>
      </c>
      <c r="AB850" s="10">
        <f>REPT(" ",4)</f>
        <v/>
      </c>
      <c r="AC850" s="10">
        <f>LEFT(UPPER(H850)&amp;REPT(" ",250),250)</f>
        <v/>
      </c>
      <c r="AD850" s="10">
        <f>TEXT($G$2,"dd/mm/aaaa")</f>
        <v/>
      </c>
      <c r="AE850" s="10">
        <f>REPT(" ",10)</f>
        <v/>
      </c>
      <c r="AF850" s="10">
        <f>REPT(" ",20)</f>
        <v/>
      </c>
      <c r="AG850" s="54">
        <f>REPT(" ",18-LEN(FIXED(F850,2,TRUE)))&amp;FIXED(F850,2,TRUE)</f>
        <v/>
      </c>
      <c r="AH850" s="10">
        <f>LEN(AC850)+LEN(AG850)</f>
        <v/>
      </c>
      <c r="AI850" s="10">
        <f>LEN(L850)</f>
        <v/>
      </c>
    </row>
    <row r="851">
      <c r="A851" s="46" t="n"/>
      <c r="B851" s="38" t="n"/>
      <c r="C851" s="41" t="n"/>
      <c r="D851" s="41" t="n"/>
      <c r="E851" s="41" t="n"/>
      <c r="F851" s="88" t="n"/>
      <c r="G851" s="89" t="n"/>
      <c r="H851" s="37" t="n"/>
      <c r="I851" s="42" t="n"/>
      <c r="J851" s="12">
        <f>IF(F851&lt;&gt;0,"LANÇAR","")</f>
        <v/>
      </c>
      <c r="K851" s="20" t="n"/>
      <c r="L851" s="13">
        <f>N851&amp;O851&amp;P851&amp;Q851&amp;R851&amp;S851&amp;T851&amp;U851&amp;V851&amp;W851&amp;X851&amp;Y851&amp;Z851&amp;AA851&amp;AB851&amp;AC851&amp;AD851&amp;AE851&amp;AF851&amp;AG851</f>
        <v/>
      </c>
      <c r="M851" s="20" t="n"/>
      <c r="N851" s="10">
        <f>TEXT($B$6,"00")</f>
        <v/>
      </c>
      <c r="O851" s="10">
        <f>REPT(" ",8)</f>
        <v/>
      </c>
      <c r="P851" s="10">
        <f>RIGHT($B$4,2)</f>
        <v/>
      </c>
      <c r="Q851" s="10">
        <f>RIGHT($B$5,3)</f>
        <v/>
      </c>
      <c r="R851" s="10">
        <f>IF(A851="D",LEFT(UPPER(B851)&amp;REPT(" ",20),20),REPT(" ",20))</f>
        <v/>
      </c>
      <c r="S851" s="10">
        <f>IF(A851="D",LEFT(UPPER(C851)&amp;REPT(" ",10),10)," ")</f>
        <v/>
      </c>
      <c r="T851" s="10">
        <f>IF(A851="D",LEFT(UPPER(D851)&amp;REPT(" ",2),2)," ")</f>
        <v/>
      </c>
      <c r="U851" s="10">
        <f>IF(A851="D",LEFT(UPPER(E851)&amp;REPT(" ",15),15)," ")</f>
        <v/>
      </c>
      <c r="V851" s="10">
        <f>REPT(" ",24)</f>
        <v/>
      </c>
      <c r="W851" s="10">
        <f>IF(A851="c",LEFT(UPPER(B851)&amp;REPT(" ",20),20),REPT(" ",20))</f>
        <v/>
      </c>
      <c r="X851" s="10">
        <f>IF(A851="C",LEFT(UPPER(C851)&amp;REPT(" ",10),10)," ")</f>
        <v/>
      </c>
      <c r="Y851" s="10">
        <f>IF(A851="C",LEFT(UPPER(D851)&amp;REPT(" ",2),2)," ")</f>
        <v/>
      </c>
      <c r="Z851" s="10">
        <f>IF(A851="C",LEFT(UPPER(E851)&amp;REPT(" ",15),15)," ")</f>
        <v/>
      </c>
      <c r="AA851" s="10">
        <f>REPT(" ",8)</f>
        <v/>
      </c>
      <c r="AB851" s="10">
        <f>REPT(" ",4)</f>
        <v/>
      </c>
      <c r="AC851" s="10">
        <f>LEFT(UPPER(H851)&amp;REPT(" ",250),250)</f>
        <v/>
      </c>
      <c r="AD851" s="10">
        <f>TEXT($G$2,"dd/mm/aaaa")</f>
        <v/>
      </c>
      <c r="AE851" s="10">
        <f>REPT(" ",10)</f>
        <v/>
      </c>
      <c r="AF851" s="10">
        <f>REPT(" ",20)</f>
        <v/>
      </c>
      <c r="AG851" s="54">
        <f>REPT(" ",18-LEN(FIXED(F851,2,TRUE)))&amp;FIXED(F851,2,TRUE)</f>
        <v/>
      </c>
      <c r="AH851" s="10">
        <f>LEN(AC851)+LEN(AG851)</f>
        <v/>
      </c>
      <c r="AI851" s="10">
        <f>LEN(L851)</f>
        <v/>
      </c>
    </row>
    <row r="852">
      <c r="A852" s="46" t="n"/>
      <c r="B852" s="38" t="n"/>
      <c r="C852" s="41" t="n"/>
      <c r="D852" s="41" t="n"/>
      <c r="E852" s="41" t="n"/>
      <c r="F852" s="88" t="n"/>
      <c r="G852" s="89" t="n"/>
      <c r="H852" s="37" t="n"/>
      <c r="I852" s="42" t="n"/>
      <c r="J852" s="12">
        <f>IF(F852&lt;&gt;0,"LANÇAR","")</f>
        <v/>
      </c>
      <c r="K852" s="20" t="n"/>
      <c r="L852" s="13">
        <f>N852&amp;O852&amp;P852&amp;Q852&amp;R852&amp;S852&amp;T852&amp;U852&amp;V852&amp;W852&amp;X852&amp;Y852&amp;Z852&amp;AA852&amp;AB852&amp;AC852&amp;AD852&amp;AE852&amp;AF852&amp;AG852</f>
        <v/>
      </c>
      <c r="M852" s="20" t="n"/>
      <c r="N852" s="10">
        <f>TEXT($B$6,"00")</f>
        <v/>
      </c>
      <c r="O852" s="10">
        <f>REPT(" ",8)</f>
        <v/>
      </c>
      <c r="P852" s="10">
        <f>RIGHT($B$4,2)</f>
        <v/>
      </c>
      <c r="Q852" s="10">
        <f>RIGHT($B$5,3)</f>
        <v/>
      </c>
      <c r="R852" s="10">
        <f>IF(A852="D",LEFT(UPPER(B852)&amp;REPT(" ",20),20),REPT(" ",20))</f>
        <v/>
      </c>
      <c r="S852" s="10">
        <f>IF(A852="D",LEFT(UPPER(C852)&amp;REPT(" ",10),10)," ")</f>
        <v/>
      </c>
      <c r="T852" s="10">
        <f>IF(A852="D",LEFT(UPPER(D852)&amp;REPT(" ",2),2)," ")</f>
        <v/>
      </c>
      <c r="U852" s="10">
        <f>IF(A852="D",LEFT(UPPER(E852)&amp;REPT(" ",15),15)," ")</f>
        <v/>
      </c>
      <c r="V852" s="10">
        <f>REPT(" ",24)</f>
        <v/>
      </c>
      <c r="W852" s="10">
        <f>IF(A852="c",LEFT(UPPER(B852)&amp;REPT(" ",20),20),REPT(" ",20))</f>
        <v/>
      </c>
      <c r="X852" s="10">
        <f>IF(A852="C",LEFT(UPPER(C852)&amp;REPT(" ",10),10)," ")</f>
        <v/>
      </c>
      <c r="Y852" s="10">
        <f>IF(A852="C",LEFT(UPPER(D852)&amp;REPT(" ",2),2)," ")</f>
        <v/>
      </c>
      <c r="Z852" s="10">
        <f>IF(A852="C",LEFT(UPPER(E852)&amp;REPT(" ",15),15)," ")</f>
        <v/>
      </c>
      <c r="AA852" s="10">
        <f>REPT(" ",8)</f>
        <v/>
      </c>
      <c r="AB852" s="10">
        <f>REPT(" ",4)</f>
        <v/>
      </c>
      <c r="AC852" s="10">
        <f>LEFT(UPPER(H852)&amp;REPT(" ",250),250)</f>
        <v/>
      </c>
      <c r="AD852" s="10">
        <f>TEXT($G$2,"dd/mm/aaaa")</f>
        <v/>
      </c>
      <c r="AE852" s="10">
        <f>REPT(" ",10)</f>
        <v/>
      </c>
      <c r="AF852" s="10">
        <f>REPT(" ",20)</f>
        <v/>
      </c>
      <c r="AG852" s="54">
        <f>REPT(" ",18-LEN(FIXED(F852,2,TRUE)))&amp;FIXED(F852,2,TRUE)</f>
        <v/>
      </c>
      <c r="AH852" s="10">
        <f>LEN(AC852)+LEN(AG852)</f>
        <v/>
      </c>
      <c r="AI852" s="10">
        <f>LEN(L852)</f>
        <v/>
      </c>
    </row>
    <row r="853">
      <c r="A853" s="46" t="n"/>
      <c r="B853" s="38" t="n"/>
      <c r="C853" s="41" t="n"/>
      <c r="D853" s="41" t="n"/>
      <c r="E853" s="41" t="n"/>
      <c r="F853" s="88" t="n"/>
      <c r="G853" s="89" t="n"/>
      <c r="H853" s="37" t="n"/>
      <c r="I853" s="42" t="n"/>
      <c r="J853" s="12">
        <f>IF(F853&lt;&gt;0,"LANÇAR","")</f>
        <v/>
      </c>
      <c r="K853" s="20" t="n"/>
      <c r="L853" s="13">
        <f>N853&amp;O853&amp;P853&amp;Q853&amp;R853&amp;S853&amp;T853&amp;U853&amp;V853&amp;W853&amp;X853&amp;Y853&amp;Z853&amp;AA853&amp;AB853&amp;AC853&amp;AD853&amp;AE853&amp;AF853&amp;AG853</f>
        <v/>
      </c>
      <c r="M853" s="20" t="n"/>
      <c r="N853" s="10">
        <f>TEXT($B$6,"00")</f>
        <v/>
      </c>
      <c r="O853" s="10">
        <f>REPT(" ",8)</f>
        <v/>
      </c>
      <c r="P853" s="10">
        <f>RIGHT($B$4,2)</f>
        <v/>
      </c>
      <c r="Q853" s="10">
        <f>RIGHT($B$5,3)</f>
        <v/>
      </c>
      <c r="R853" s="10">
        <f>IF(A853="D",LEFT(UPPER(B853)&amp;REPT(" ",20),20),REPT(" ",20))</f>
        <v/>
      </c>
      <c r="S853" s="10">
        <f>IF(A853="D",LEFT(UPPER(C853)&amp;REPT(" ",10),10)," ")</f>
        <v/>
      </c>
      <c r="T853" s="10">
        <f>IF(A853="D",LEFT(UPPER(D853)&amp;REPT(" ",2),2)," ")</f>
        <v/>
      </c>
      <c r="U853" s="10">
        <f>IF(A853="D",LEFT(UPPER(E853)&amp;REPT(" ",15),15)," ")</f>
        <v/>
      </c>
      <c r="V853" s="10">
        <f>REPT(" ",24)</f>
        <v/>
      </c>
      <c r="W853" s="10">
        <f>IF(A853="c",LEFT(UPPER(B853)&amp;REPT(" ",20),20),REPT(" ",20))</f>
        <v/>
      </c>
      <c r="X853" s="10">
        <f>IF(A853="C",LEFT(UPPER(C853)&amp;REPT(" ",10),10)," ")</f>
        <v/>
      </c>
      <c r="Y853" s="10">
        <f>IF(A853="C",LEFT(UPPER(D853)&amp;REPT(" ",2),2)," ")</f>
        <v/>
      </c>
      <c r="Z853" s="10">
        <f>IF(A853="C",LEFT(UPPER(E853)&amp;REPT(" ",15),15)," ")</f>
        <v/>
      </c>
      <c r="AA853" s="10">
        <f>REPT(" ",8)</f>
        <v/>
      </c>
      <c r="AB853" s="10">
        <f>REPT(" ",4)</f>
        <v/>
      </c>
      <c r="AC853" s="10">
        <f>LEFT(UPPER(H853)&amp;REPT(" ",250),250)</f>
        <v/>
      </c>
      <c r="AD853" s="10">
        <f>TEXT($G$2,"dd/mm/aaaa")</f>
        <v/>
      </c>
      <c r="AE853" s="10">
        <f>REPT(" ",10)</f>
        <v/>
      </c>
      <c r="AF853" s="10">
        <f>REPT(" ",20)</f>
        <v/>
      </c>
      <c r="AG853" s="54">
        <f>REPT(" ",18-LEN(FIXED(F853,2,TRUE)))&amp;FIXED(F853,2,TRUE)</f>
        <v/>
      </c>
      <c r="AH853" s="10">
        <f>LEN(AC853)+LEN(AG853)</f>
        <v/>
      </c>
      <c r="AI853" s="10">
        <f>LEN(L853)</f>
        <v/>
      </c>
    </row>
    <row r="854">
      <c r="A854" s="46" t="n"/>
      <c r="B854" s="38" t="n"/>
      <c r="C854" s="41" t="n"/>
      <c r="D854" s="41" t="n"/>
      <c r="E854" s="41" t="n"/>
      <c r="F854" s="88" t="n"/>
      <c r="G854" s="89" t="n"/>
      <c r="H854" s="37" t="n"/>
      <c r="I854" s="42" t="n"/>
      <c r="J854" s="12">
        <f>IF(F854&lt;&gt;0,"LANÇAR","")</f>
        <v/>
      </c>
      <c r="K854" s="20" t="n"/>
      <c r="L854" s="13">
        <f>N854&amp;O854&amp;P854&amp;Q854&amp;R854&amp;S854&amp;T854&amp;U854&amp;V854&amp;W854&amp;X854&amp;Y854&amp;Z854&amp;AA854&amp;AB854&amp;AC854&amp;AD854&amp;AE854&amp;AF854&amp;AG854</f>
        <v/>
      </c>
      <c r="M854" s="20" t="n"/>
      <c r="N854" s="10">
        <f>TEXT($B$6,"00")</f>
        <v/>
      </c>
      <c r="O854" s="10">
        <f>REPT(" ",8)</f>
        <v/>
      </c>
      <c r="P854" s="10">
        <f>RIGHT($B$4,2)</f>
        <v/>
      </c>
      <c r="Q854" s="10">
        <f>RIGHT($B$5,3)</f>
        <v/>
      </c>
      <c r="R854" s="10">
        <f>IF(A854="D",LEFT(UPPER(B854)&amp;REPT(" ",20),20),REPT(" ",20))</f>
        <v/>
      </c>
      <c r="S854" s="10">
        <f>IF(A854="D",LEFT(UPPER(C854)&amp;REPT(" ",10),10)," ")</f>
        <v/>
      </c>
      <c r="T854" s="10">
        <f>IF(A854="D",LEFT(UPPER(D854)&amp;REPT(" ",2),2)," ")</f>
        <v/>
      </c>
      <c r="U854" s="10">
        <f>IF(A854="D",LEFT(UPPER(E854)&amp;REPT(" ",15),15)," ")</f>
        <v/>
      </c>
      <c r="V854" s="10">
        <f>REPT(" ",24)</f>
        <v/>
      </c>
      <c r="W854" s="10">
        <f>IF(A854="c",LEFT(UPPER(B854)&amp;REPT(" ",20),20),REPT(" ",20))</f>
        <v/>
      </c>
      <c r="X854" s="10">
        <f>IF(A854="C",LEFT(UPPER(C854)&amp;REPT(" ",10),10)," ")</f>
        <v/>
      </c>
      <c r="Y854" s="10">
        <f>IF(A854="C",LEFT(UPPER(D854)&amp;REPT(" ",2),2)," ")</f>
        <v/>
      </c>
      <c r="Z854" s="10">
        <f>IF(A854="C",LEFT(UPPER(E854)&amp;REPT(" ",15),15)," ")</f>
        <v/>
      </c>
      <c r="AA854" s="10">
        <f>REPT(" ",8)</f>
        <v/>
      </c>
      <c r="AB854" s="10">
        <f>REPT(" ",4)</f>
        <v/>
      </c>
      <c r="AC854" s="10">
        <f>LEFT(UPPER(H854)&amp;REPT(" ",250),250)</f>
        <v/>
      </c>
      <c r="AD854" s="10">
        <f>TEXT($G$2,"dd/mm/aaaa")</f>
        <v/>
      </c>
      <c r="AE854" s="10">
        <f>REPT(" ",10)</f>
        <v/>
      </c>
      <c r="AF854" s="10">
        <f>REPT(" ",20)</f>
        <v/>
      </c>
      <c r="AG854" s="54">
        <f>REPT(" ",18-LEN(FIXED(F854,2,TRUE)))&amp;FIXED(F854,2,TRUE)</f>
        <v/>
      </c>
      <c r="AH854" s="10">
        <f>LEN(AC854)+LEN(AG854)</f>
        <v/>
      </c>
      <c r="AI854" s="10">
        <f>LEN(L854)</f>
        <v/>
      </c>
    </row>
    <row r="855">
      <c r="A855" s="46" t="n"/>
      <c r="B855" s="38" t="n"/>
      <c r="C855" s="41" t="n"/>
      <c r="D855" s="41" t="n"/>
      <c r="E855" s="41" t="n"/>
      <c r="F855" s="88" t="n"/>
      <c r="G855" s="89" t="n"/>
      <c r="H855" s="37" t="n"/>
      <c r="I855" s="42" t="n"/>
      <c r="J855" s="12">
        <f>IF(F855&lt;&gt;0,"LANÇAR","")</f>
        <v/>
      </c>
      <c r="K855" s="20" t="n"/>
      <c r="L855" s="13">
        <f>N855&amp;O855&amp;P855&amp;Q855&amp;R855&amp;S855&amp;T855&amp;U855&amp;V855&amp;W855&amp;X855&amp;Y855&amp;Z855&amp;AA855&amp;AB855&amp;AC855&amp;AD855&amp;AE855&amp;AF855&amp;AG855</f>
        <v/>
      </c>
      <c r="M855" s="20" t="n"/>
      <c r="N855" s="10">
        <f>TEXT($B$6,"00")</f>
        <v/>
      </c>
      <c r="O855" s="10">
        <f>REPT(" ",8)</f>
        <v/>
      </c>
      <c r="P855" s="10">
        <f>RIGHT($B$4,2)</f>
        <v/>
      </c>
      <c r="Q855" s="10">
        <f>RIGHT($B$5,3)</f>
        <v/>
      </c>
      <c r="R855" s="10">
        <f>IF(A855="D",LEFT(UPPER(B855)&amp;REPT(" ",20),20),REPT(" ",20))</f>
        <v/>
      </c>
      <c r="S855" s="10">
        <f>IF(A855="D",LEFT(UPPER(C855)&amp;REPT(" ",10),10)," ")</f>
        <v/>
      </c>
      <c r="T855" s="10">
        <f>IF(A855="D",LEFT(UPPER(D855)&amp;REPT(" ",2),2)," ")</f>
        <v/>
      </c>
      <c r="U855" s="10">
        <f>IF(A855="D",LEFT(UPPER(E855)&amp;REPT(" ",15),15)," ")</f>
        <v/>
      </c>
      <c r="V855" s="10">
        <f>REPT(" ",24)</f>
        <v/>
      </c>
      <c r="W855" s="10">
        <f>IF(A855="c",LEFT(UPPER(B855)&amp;REPT(" ",20),20),REPT(" ",20))</f>
        <v/>
      </c>
      <c r="X855" s="10">
        <f>IF(A855="C",LEFT(UPPER(C855)&amp;REPT(" ",10),10)," ")</f>
        <v/>
      </c>
      <c r="Y855" s="10">
        <f>IF(A855="C",LEFT(UPPER(D855)&amp;REPT(" ",2),2)," ")</f>
        <v/>
      </c>
      <c r="Z855" s="10">
        <f>IF(A855="C",LEFT(UPPER(E855)&amp;REPT(" ",15),15)," ")</f>
        <v/>
      </c>
      <c r="AA855" s="10">
        <f>REPT(" ",8)</f>
        <v/>
      </c>
      <c r="AB855" s="10">
        <f>REPT(" ",4)</f>
        <v/>
      </c>
      <c r="AC855" s="10">
        <f>LEFT(UPPER(H855)&amp;REPT(" ",250),250)</f>
        <v/>
      </c>
      <c r="AD855" s="10">
        <f>TEXT($G$2,"dd/mm/aaaa")</f>
        <v/>
      </c>
      <c r="AE855" s="10">
        <f>REPT(" ",10)</f>
        <v/>
      </c>
      <c r="AF855" s="10">
        <f>REPT(" ",20)</f>
        <v/>
      </c>
      <c r="AG855" s="54">
        <f>REPT(" ",18-LEN(FIXED(F855,2,TRUE)))&amp;FIXED(F855,2,TRUE)</f>
        <v/>
      </c>
      <c r="AH855" s="10">
        <f>LEN(AC855)+LEN(AG855)</f>
        <v/>
      </c>
      <c r="AI855" s="10">
        <f>LEN(L855)</f>
        <v/>
      </c>
    </row>
    <row r="856">
      <c r="A856" s="46" t="n"/>
      <c r="B856" s="38" t="n"/>
      <c r="C856" s="41" t="n"/>
      <c r="D856" s="41" t="n"/>
      <c r="E856" s="41" t="n"/>
      <c r="F856" s="88" t="n"/>
      <c r="G856" s="89" t="n"/>
      <c r="H856" s="37" t="n"/>
      <c r="I856" s="42" t="n"/>
      <c r="J856" s="12">
        <f>IF(F856&lt;&gt;0,"LANÇAR","")</f>
        <v/>
      </c>
      <c r="K856" s="20" t="n"/>
      <c r="L856" s="13">
        <f>N856&amp;O856&amp;P856&amp;Q856&amp;R856&amp;S856&amp;T856&amp;U856&amp;V856&amp;W856&amp;X856&amp;Y856&amp;Z856&amp;AA856&amp;AB856&amp;AC856&amp;AD856&amp;AE856&amp;AF856&amp;AG856</f>
        <v/>
      </c>
      <c r="M856" s="20" t="n"/>
      <c r="N856" s="10">
        <f>TEXT($B$6,"00")</f>
        <v/>
      </c>
      <c r="O856" s="10">
        <f>REPT(" ",8)</f>
        <v/>
      </c>
      <c r="P856" s="10">
        <f>RIGHT($B$4,2)</f>
        <v/>
      </c>
      <c r="Q856" s="10">
        <f>RIGHT($B$5,3)</f>
        <v/>
      </c>
      <c r="R856" s="10">
        <f>IF(A856="D",LEFT(UPPER(B856)&amp;REPT(" ",20),20),REPT(" ",20))</f>
        <v/>
      </c>
      <c r="S856" s="10">
        <f>IF(A856="D",LEFT(UPPER(C856)&amp;REPT(" ",10),10)," ")</f>
        <v/>
      </c>
      <c r="T856" s="10">
        <f>IF(A856="D",LEFT(UPPER(D856)&amp;REPT(" ",2),2)," ")</f>
        <v/>
      </c>
      <c r="U856" s="10">
        <f>IF(A856="D",LEFT(UPPER(E856)&amp;REPT(" ",15),15)," ")</f>
        <v/>
      </c>
      <c r="V856" s="10">
        <f>REPT(" ",24)</f>
        <v/>
      </c>
      <c r="W856" s="10">
        <f>IF(A856="c",LEFT(UPPER(B856)&amp;REPT(" ",20),20),REPT(" ",20))</f>
        <v/>
      </c>
      <c r="X856" s="10">
        <f>IF(A856="C",LEFT(UPPER(C856)&amp;REPT(" ",10),10)," ")</f>
        <v/>
      </c>
      <c r="Y856" s="10">
        <f>IF(A856="C",LEFT(UPPER(D856)&amp;REPT(" ",2),2)," ")</f>
        <v/>
      </c>
      <c r="Z856" s="10">
        <f>IF(A856="C",LEFT(UPPER(E856)&amp;REPT(" ",15),15)," ")</f>
        <v/>
      </c>
      <c r="AA856" s="10">
        <f>REPT(" ",8)</f>
        <v/>
      </c>
      <c r="AB856" s="10">
        <f>REPT(" ",4)</f>
        <v/>
      </c>
      <c r="AC856" s="10">
        <f>LEFT(UPPER(H856)&amp;REPT(" ",250),250)</f>
        <v/>
      </c>
      <c r="AD856" s="10">
        <f>TEXT($G$2,"dd/mm/aaaa")</f>
        <v/>
      </c>
      <c r="AE856" s="10">
        <f>REPT(" ",10)</f>
        <v/>
      </c>
      <c r="AF856" s="10">
        <f>REPT(" ",20)</f>
        <v/>
      </c>
      <c r="AG856" s="54">
        <f>REPT(" ",18-LEN(FIXED(F856,2,TRUE)))&amp;FIXED(F856,2,TRUE)</f>
        <v/>
      </c>
      <c r="AH856" s="10">
        <f>LEN(AC856)+LEN(AG856)</f>
        <v/>
      </c>
      <c r="AI856" s="10">
        <f>LEN(L856)</f>
        <v/>
      </c>
    </row>
    <row r="857">
      <c r="A857" s="46" t="n"/>
      <c r="B857" s="38" t="n"/>
      <c r="C857" s="41" t="n"/>
      <c r="D857" s="41" t="n"/>
      <c r="E857" s="41" t="n"/>
      <c r="F857" s="88" t="n"/>
      <c r="G857" s="89" t="n"/>
      <c r="H857" s="37" t="n"/>
      <c r="I857" s="42" t="n"/>
      <c r="J857" s="12">
        <f>IF(F857&lt;&gt;0,"LANÇAR","")</f>
        <v/>
      </c>
      <c r="K857" s="20" t="n"/>
      <c r="L857" s="13">
        <f>N857&amp;O857&amp;P857&amp;Q857&amp;R857&amp;S857&amp;T857&amp;U857&amp;V857&amp;W857&amp;X857&amp;Y857&amp;Z857&amp;AA857&amp;AB857&amp;AC857&amp;AD857&amp;AE857&amp;AF857&amp;AG857</f>
        <v/>
      </c>
      <c r="M857" s="20" t="n"/>
      <c r="N857" s="10">
        <f>TEXT($B$6,"00")</f>
        <v/>
      </c>
      <c r="O857" s="10">
        <f>REPT(" ",8)</f>
        <v/>
      </c>
      <c r="P857" s="10">
        <f>RIGHT($B$4,2)</f>
        <v/>
      </c>
      <c r="Q857" s="10">
        <f>RIGHT($B$5,3)</f>
        <v/>
      </c>
      <c r="R857" s="10">
        <f>IF(A857="D",LEFT(UPPER(B857)&amp;REPT(" ",20),20),REPT(" ",20))</f>
        <v/>
      </c>
      <c r="S857" s="10">
        <f>IF(A857="D",LEFT(UPPER(C857)&amp;REPT(" ",10),10)," ")</f>
        <v/>
      </c>
      <c r="T857" s="10">
        <f>IF(A857="D",LEFT(UPPER(D857)&amp;REPT(" ",2),2)," ")</f>
        <v/>
      </c>
      <c r="U857" s="10">
        <f>IF(A857="D",LEFT(UPPER(E857)&amp;REPT(" ",15),15)," ")</f>
        <v/>
      </c>
      <c r="V857" s="10">
        <f>REPT(" ",24)</f>
        <v/>
      </c>
      <c r="W857" s="10">
        <f>IF(A857="c",LEFT(UPPER(B857)&amp;REPT(" ",20),20),REPT(" ",20))</f>
        <v/>
      </c>
      <c r="X857" s="10">
        <f>IF(A857="C",LEFT(UPPER(C857)&amp;REPT(" ",10),10)," ")</f>
        <v/>
      </c>
      <c r="Y857" s="10">
        <f>IF(A857="C",LEFT(UPPER(D857)&amp;REPT(" ",2),2)," ")</f>
        <v/>
      </c>
      <c r="Z857" s="10">
        <f>IF(A857="C",LEFT(UPPER(E857)&amp;REPT(" ",15),15)," ")</f>
        <v/>
      </c>
      <c r="AA857" s="10">
        <f>REPT(" ",8)</f>
        <v/>
      </c>
      <c r="AB857" s="10">
        <f>REPT(" ",4)</f>
        <v/>
      </c>
      <c r="AC857" s="10">
        <f>LEFT(UPPER(H857)&amp;REPT(" ",250),250)</f>
        <v/>
      </c>
      <c r="AD857" s="10">
        <f>TEXT($G$2,"dd/mm/aaaa")</f>
        <v/>
      </c>
      <c r="AE857" s="10">
        <f>REPT(" ",10)</f>
        <v/>
      </c>
      <c r="AF857" s="10">
        <f>REPT(" ",20)</f>
        <v/>
      </c>
      <c r="AG857" s="54">
        <f>REPT(" ",18-LEN(FIXED(F857,2,TRUE)))&amp;FIXED(F857,2,TRUE)</f>
        <v/>
      </c>
      <c r="AH857" s="10">
        <f>LEN(AC857)+LEN(AG857)</f>
        <v/>
      </c>
      <c r="AI857" s="10">
        <f>LEN(L857)</f>
        <v/>
      </c>
    </row>
    <row r="858">
      <c r="A858" s="46" t="n"/>
      <c r="B858" s="38" t="n"/>
      <c r="C858" s="41" t="n"/>
      <c r="D858" s="41" t="n"/>
      <c r="E858" s="41" t="n"/>
      <c r="F858" s="88" t="n"/>
      <c r="G858" s="89" t="n"/>
      <c r="H858" s="37" t="n"/>
      <c r="I858" s="42" t="n"/>
      <c r="J858" s="12">
        <f>IF(F858&lt;&gt;0,"LANÇAR","")</f>
        <v/>
      </c>
      <c r="K858" s="20" t="n"/>
      <c r="L858" s="13">
        <f>N858&amp;O858&amp;P858&amp;Q858&amp;R858&amp;S858&amp;T858&amp;U858&amp;V858&amp;W858&amp;X858&amp;Y858&amp;Z858&amp;AA858&amp;AB858&amp;AC858&amp;AD858&amp;AE858&amp;AF858&amp;AG858</f>
        <v/>
      </c>
      <c r="M858" s="20" t="n"/>
      <c r="N858" s="10">
        <f>TEXT($B$6,"00")</f>
        <v/>
      </c>
      <c r="O858" s="10">
        <f>REPT(" ",8)</f>
        <v/>
      </c>
      <c r="P858" s="10">
        <f>RIGHT($B$4,2)</f>
        <v/>
      </c>
      <c r="Q858" s="10">
        <f>RIGHT($B$5,3)</f>
        <v/>
      </c>
      <c r="R858" s="10">
        <f>IF(A858="D",LEFT(UPPER(B858)&amp;REPT(" ",20),20),REPT(" ",20))</f>
        <v/>
      </c>
      <c r="S858" s="10">
        <f>IF(A858="D",LEFT(UPPER(C858)&amp;REPT(" ",10),10)," ")</f>
        <v/>
      </c>
      <c r="T858" s="10">
        <f>IF(A858="D",LEFT(UPPER(D858)&amp;REPT(" ",2),2)," ")</f>
        <v/>
      </c>
      <c r="U858" s="10">
        <f>IF(A858="D",LEFT(UPPER(E858)&amp;REPT(" ",15),15)," ")</f>
        <v/>
      </c>
      <c r="V858" s="10">
        <f>REPT(" ",24)</f>
        <v/>
      </c>
      <c r="W858" s="10">
        <f>IF(A858="c",LEFT(UPPER(B858)&amp;REPT(" ",20),20),REPT(" ",20))</f>
        <v/>
      </c>
      <c r="X858" s="10">
        <f>IF(A858="C",LEFT(UPPER(C858)&amp;REPT(" ",10),10)," ")</f>
        <v/>
      </c>
      <c r="Y858" s="10">
        <f>IF(A858="C",LEFT(UPPER(D858)&amp;REPT(" ",2),2)," ")</f>
        <v/>
      </c>
      <c r="Z858" s="10">
        <f>IF(A858="C",LEFT(UPPER(E858)&amp;REPT(" ",15),15)," ")</f>
        <v/>
      </c>
      <c r="AA858" s="10">
        <f>REPT(" ",8)</f>
        <v/>
      </c>
      <c r="AB858" s="10">
        <f>REPT(" ",4)</f>
        <v/>
      </c>
      <c r="AC858" s="10">
        <f>LEFT(UPPER(H858)&amp;REPT(" ",250),250)</f>
        <v/>
      </c>
      <c r="AD858" s="10">
        <f>TEXT($G$2,"dd/mm/aaaa")</f>
        <v/>
      </c>
      <c r="AE858" s="10">
        <f>REPT(" ",10)</f>
        <v/>
      </c>
      <c r="AF858" s="10">
        <f>REPT(" ",20)</f>
        <v/>
      </c>
      <c r="AG858" s="54">
        <f>REPT(" ",18-LEN(FIXED(F858,2,TRUE)))&amp;FIXED(F858,2,TRUE)</f>
        <v/>
      </c>
      <c r="AH858" s="10">
        <f>LEN(AC858)+LEN(AG858)</f>
        <v/>
      </c>
      <c r="AI858" s="10">
        <f>LEN(L858)</f>
        <v/>
      </c>
    </row>
    <row r="859">
      <c r="A859" s="46" t="n"/>
      <c r="B859" s="38" t="n"/>
      <c r="C859" s="41" t="n"/>
      <c r="D859" s="41" t="n"/>
      <c r="E859" s="41" t="n"/>
      <c r="F859" s="88" t="n"/>
      <c r="G859" s="89" t="n"/>
      <c r="H859" s="37" t="n"/>
      <c r="I859" s="42" t="n"/>
      <c r="J859" s="12">
        <f>IF(F859&lt;&gt;0,"LANÇAR","")</f>
        <v/>
      </c>
      <c r="K859" s="20" t="n"/>
      <c r="L859" s="13">
        <f>N859&amp;O859&amp;P859&amp;Q859&amp;R859&amp;S859&amp;T859&amp;U859&amp;V859&amp;W859&amp;X859&amp;Y859&amp;Z859&amp;AA859&amp;AB859&amp;AC859&amp;AD859&amp;AE859&amp;AF859&amp;AG859</f>
        <v/>
      </c>
      <c r="M859" s="20" t="n"/>
      <c r="N859" s="10">
        <f>TEXT($B$6,"00")</f>
        <v/>
      </c>
      <c r="O859" s="10">
        <f>REPT(" ",8)</f>
        <v/>
      </c>
      <c r="P859" s="10">
        <f>RIGHT($B$4,2)</f>
        <v/>
      </c>
      <c r="Q859" s="10">
        <f>RIGHT($B$5,3)</f>
        <v/>
      </c>
      <c r="R859" s="10">
        <f>IF(A859="D",LEFT(UPPER(B859)&amp;REPT(" ",20),20),REPT(" ",20))</f>
        <v/>
      </c>
      <c r="S859" s="10">
        <f>IF(A859="D",LEFT(UPPER(C859)&amp;REPT(" ",10),10)," ")</f>
        <v/>
      </c>
      <c r="T859" s="10">
        <f>IF(A859="D",LEFT(UPPER(D859)&amp;REPT(" ",2),2)," ")</f>
        <v/>
      </c>
      <c r="U859" s="10">
        <f>IF(A859="D",LEFT(UPPER(E859)&amp;REPT(" ",15),15)," ")</f>
        <v/>
      </c>
      <c r="V859" s="10">
        <f>REPT(" ",24)</f>
        <v/>
      </c>
      <c r="W859" s="10">
        <f>IF(A859="c",LEFT(UPPER(B859)&amp;REPT(" ",20),20),REPT(" ",20))</f>
        <v/>
      </c>
      <c r="X859" s="10">
        <f>IF(A859="C",LEFT(UPPER(C859)&amp;REPT(" ",10),10)," ")</f>
        <v/>
      </c>
      <c r="Y859" s="10">
        <f>IF(A859="C",LEFT(UPPER(D859)&amp;REPT(" ",2),2)," ")</f>
        <v/>
      </c>
      <c r="Z859" s="10">
        <f>IF(A859="C",LEFT(UPPER(E859)&amp;REPT(" ",15),15)," ")</f>
        <v/>
      </c>
      <c r="AA859" s="10">
        <f>REPT(" ",8)</f>
        <v/>
      </c>
      <c r="AB859" s="10">
        <f>REPT(" ",4)</f>
        <v/>
      </c>
      <c r="AC859" s="10">
        <f>LEFT(UPPER(H859)&amp;REPT(" ",250),250)</f>
        <v/>
      </c>
      <c r="AD859" s="10">
        <f>TEXT($G$2,"dd/mm/aaaa")</f>
        <v/>
      </c>
      <c r="AE859" s="10">
        <f>REPT(" ",10)</f>
        <v/>
      </c>
      <c r="AF859" s="10">
        <f>REPT(" ",20)</f>
        <v/>
      </c>
      <c r="AG859" s="54">
        <f>REPT(" ",18-LEN(FIXED(F859,2,TRUE)))&amp;FIXED(F859,2,TRUE)</f>
        <v/>
      </c>
      <c r="AH859" s="10">
        <f>LEN(AC859)+LEN(AG859)</f>
        <v/>
      </c>
      <c r="AI859" s="10">
        <f>LEN(L859)</f>
        <v/>
      </c>
    </row>
    <row r="860">
      <c r="A860" s="46" t="n"/>
      <c r="B860" s="38" t="n"/>
      <c r="C860" s="41" t="n"/>
      <c r="D860" s="41" t="n"/>
      <c r="E860" s="41" t="n"/>
      <c r="F860" s="88" t="n"/>
      <c r="G860" s="89" t="n"/>
      <c r="H860" s="37" t="n"/>
      <c r="I860" s="42" t="n"/>
      <c r="J860" s="12">
        <f>IF(F860&lt;&gt;0,"LANÇAR","")</f>
        <v/>
      </c>
      <c r="K860" s="20" t="n"/>
      <c r="L860" s="13">
        <f>N860&amp;O860&amp;P860&amp;Q860&amp;R860&amp;S860&amp;T860&amp;U860&amp;V860&amp;W860&amp;X860&amp;Y860&amp;Z860&amp;AA860&amp;AB860&amp;AC860&amp;AD860&amp;AE860&amp;AF860&amp;AG860</f>
        <v/>
      </c>
      <c r="M860" s="20" t="n"/>
      <c r="N860" s="10">
        <f>TEXT($B$6,"00")</f>
        <v/>
      </c>
      <c r="O860" s="10">
        <f>REPT(" ",8)</f>
        <v/>
      </c>
      <c r="P860" s="10">
        <f>RIGHT($B$4,2)</f>
        <v/>
      </c>
      <c r="Q860" s="10">
        <f>RIGHT($B$5,3)</f>
        <v/>
      </c>
      <c r="R860" s="10">
        <f>IF(A860="D",LEFT(UPPER(B860)&amp;REPT(" ",20),20),REPT(" ",20))</f>
        <v/>
      </c>
      <c r="S860" s="10">
        <f>IF(A860="D",LEFT(UPPER(C860)&amp;REPT(" ",10),10)," ")</f>
        <v/>
      </c>
      <c r="T860" s="10">
        <f>IF(A860="D",LEFT(UPPER(D860)&amp;REPT(" ",2),2)," ")</f>
        <v/>
      </c>
      <c r="U860" s="10">
        <f>IF(A860="D",LEFT(UPPER(E860)&amp;REPT(" ",15),15)," ")</f>
        <v/>
      </c>
      <c r="V860" s="10">
        <f>REPT(" ",24)</f>
        <v/>
      </c>
      <c r="W860" s="10">
        <f>IF(A860="c",LEFT(UPPER(B860)&amp;REPT(" ",20),20),REPT(" ",20))</f>
        <v/>
      </c>
      <c r="X860" s="10">
        <f>IF(A860="C",LEFT(UPPER(C860)&amp;REPT(" ",10),10)," ")</f>
        <v/>
      </c>
      <c r="Y860" s="10">
        <f>IF(A860="C",LEFT(UPPER(D860)&amp;REPT(" ",2),2)," ")</f>
        <v/>
      </c>
      <c r="Z860" s="10">
        <f>IF(A860="C",LEFT(UPPER(E860)&amp;REPT(" ",15),15)," ")</f>
        <v/>
      </c>
      <c r="AA860" s="10">
        <f>REPT(" ",8)</f>
        <v/>
      </c>
      <c r="AB860" s="10">
        <f>REPT(" ",4)</f>
        <v/>
      </c>
      <c r="AC860" s="10">
        <f>LEFT(UPPER(H860)&amp;REPT(" ",250),250)</f>
        <v/>
      </c>
      <c r="AD860" s="10">
        <f>TEXT($G$2,"dd/mm/aaaa")</f>
        <v/>
      </c>
      <c r="AE860" s="10">
        <f>REPT(" ",10)</f>
        <v/>
      </c>
      <c r="AF860" s="10">
        <f>REPT(" ",20)</f>
        <v/>
      </c>
      <c r="AG860" s="54">
        <f>REPT(" ",18-LEN(FIXED(F860,2,TRUE)))&amp;FIXED(F860,2,TRUE)</f>
        <v/>
      </c>
      <c r="AH860" s="10">
        <f>LEN(AC860)+LEN(AG860)</f>
        <v/>
      </c>
      <c r="AI860" s="10">
        <f>LEN(L860)</f>
        <v/>
      </c>
    </row>
    <row r="861">
      <c r="A861" s="46" t="n"/>
      <c r="B861" s="38" t="n"/>
      <c r="C861" s="41" t="n"/>
      <c r="D861" s="41" t="n"/>
      <c r="E861" s="41" t="n"/>
      <c r="F861" s="88" t="n"/>
      <c r="G861" s="89" t="n"/>
      <c r="H861" s="37" t="n"/>
      <c r="I861" s="42" t="n"/>
      <c r="J861" s="12">
        <f>IF(F861&lt;&gt;0,"LANÇAR","")</f>
        <v/>
      </c>
      <c r="K861" s="20" t="n"/>
      <c r="L861" s="13">
        <f>N861&amp;O861&amp;P861&amp;Q861&amp;R861&amp;S861&amp;T861&amp;U861&amp;V861&amp;W861&amp;X861&amp;Y861&amp;Z861&amp;AA861&amp;AB861&amp;AC861&amp;AD861&amp;AE861&amp;AF861&amp;AG861</f>
        <v/>
      </c>
      <c r="M861" s="20" t="n"/>
      <c r="N861" s="10">
        <f>TEXT($B$6,"00")</f>
        <v/>
      </c>
      <c r="O861" s="10">
        <f>REPT(" ",8)</f>
        <v/>
      </c>
      <c r="P861" s="10">
        <f>RIGHT($B$4,2)</f>
        <v/>
      </c>
      <c r="Q861" s="10">
        <f>RIGHT($B$5,3)</f>
        <v/>
      </c>
      <c r="R861" s="10">
        <f>IF(A861="D",LEFT(UPPER(B861)&amp;REPT(" ",20),20),REPT(" ",20))</f>
        <v/>
      </c>
      <c r="S861" s="10">
        <f>IF(A861="D",LEFT(UPPER(C861)&amp;REPT(" ",10),10)," ")</f>
        <v/>
      </c>
      <c r="T861" s="10">
        <f>IF(A861="D",LEFT(UPPER(D861)&amp;REPT(" ",2),2)," ")</f>
        <v/>
      </c>
      <c r="U861" s="10">
        <f>IF(A861="D",LEFT(UPPER(E861)&amp;REPT(" ",15),15)," ")</f>
        <v/>
      </c>
      <c r="V861" s="10">
        <f>REPT(" ",24)</f>
        <v/>
      </c>
      <c r="W861" s="10">
        <f>IF(A861="c",LEFT(UPPER(B861)&amp;REPT(" ",20),20),REPT(" ",20))</f>
        <v/>
      </c>
      <c r="X861" s="10">
        <f>IF(A861="C",LEFT(UPPER(C861)&amp;REPT(" ",10),10)," ")</f>
        <v/>
      </c>
      <c r="Y861" s="10">
        <f>IF(A861="C",LEFT(UPPER(D861)&amp;REPT(" ",2),2)," ")</f>
        <v/>
      </c>
      <c r="Z861" s="10">
        <f>IF(A861="C",LEFT(UPPER(E861)&amp;REPT(" ",15),15)," ")</f>
        <v/>
      </c>
      <c r="AA861" s="10">
        <f>REPT(" ",8)</f>
        <v/>
      </c>
      <c r="AB861" s="10">
        <f>REPT(" ",4)</f>
        <v/>
      </c>
      <c r="AC861" s="10">
        <f>LEFT(UPPER(H861)&amp;REPT(" ",250),250)</f>
        <v/>
      </c>
      <c r="AD861" s="10">
        <f>TEXT($G$2,"dd/mm/aaaa")</f>
        <v/>
      </c>
      <c r="AE861" s="10">
        <f>REPT(" ",10)</f>
        <v/>
      </c>
      <c r="AF861" s="10">
        <f>REPT(" ",20)</f>
        <v/>
      </c>
      <c r="AG861" s="54">
        <f>REPT(" ",18-LEN(FIXED(F861,2,TRUE)))&amp;FIXED(F861,2,TRUE)</f>
        <v/>
      </c>
      <c r="AH861" s="10">
        <f>LEN(AC861)+LEN(AG861)</f>
        <v/>
      </c>
      <c r="AI861" s="10">
        <f>LEN(L861)</f>
        <v/>
      </c>
    </row>
    <row r="862">
      <c r="A862" s="46" t="n"/>
      <c r="B862" s="38" t="n"/>
      <c r="C862" s="41" t="n"/>
      <c r="D862" s="41" t="n"/>
      <c r="E862" s="41" t="n"/>
      <c r="F862" s="88" t="n"/>
      <c r="G862" s="89" t="n"/>
      <c r="H862" s="37" t="n"/>
      <c r="I862" s="42" t="n"/>
      <c r="J862" s="12">
        <f>IF(F862&lt;&gt;0,"LANÇAR","")</f>
        <v/>
      </c>
      <c r="K862" s="20" t="n"/>
      <c r="L862" s="13">
        <f>N862&amp;O862&amp;P862&amp;Q862&amp;R862&amp;S862&amp;T862&amp;U862&amp;V862&amp;W862&amp;X862&amp;Y862&amp;Z862&amp;AA862&amp;AB862&amp;AC862&amp;AD862&amp;AE862&amp;AF862&amp;AG862</f>
        <v/>
      </c>
      <c r="M862" s="20" t="n"/>
      <c r="N862" s="10">
        <f>TEXT($B$6,"00")</f>
        <v/>
      </c>
      <c r="O862" s="10">
        <f>REPT(" ",8)</f>
        <v/>
      </c>
      <c r="P862" s="10">
        <f>RIGHT($B$4,2)</f>
        <v/>
      </c>
      <c r="Q862" s="10">
        <f>RIGHT($B$5,3)</f>
        <v/>
      </c>
      <c r="R862" s="10">
        <f>IF(A862="D",LEFT(UPPER(B862)&amp;REPT(" ",20),20),REPT(" ",20))</f>
        <v/>
      </c>
      <c r="S862" s="10">
        <f>IF(A862="D",LEFT(UPPER(C862)&amp;REPT(" ",10),10)," ")</f>
        <v/>
      </c>
      <c r="T862" s="10">
        <f>IF(A862="D",LEFT(UPPER(D862)&amp;REPT(" ",2),2)," ")</f>
        <v/>
      </c>
      <c r="U862" s="10">
        <f>IF(A862="D",LEFT(UPPER(E862)&amp;REPT(" ",15),15)," ")</f>
        <v/>
      </c>
      <c r="V862" s="10">
        <f>REPT(" ",24)</f>
        <v/>
      </c>
      <c r="W862" s="10">
        <f>IF(A862="c",LEFT(UPPER(B862)&amp;REPT(" ",20),20),REPT(" ",20))</f>
        <v/>
      </c>
      <c r="X862" s="10">
        <f>IF(A862="C",LEFT(UPPER(C862)&amp;REPT(" ",10),10)," ")</f>
        <v/>
      </c>
      <c r="Y862" s="10">
        <f>IF(A862="C",LEFT(UPPER(D862)&amp;REPT(" ",2),2)," ")</f>
        <v/>
      </c>
      <c r="Z862" s="10">
        <f>IF(A862="C",LEFT(UPPER(E862)&amp;REPT(" ",15),15)," ")</f>
        <v/>
      </c>
      <c r="AA862" s="10">
        <f>REPT(" ",8)</f>
        <v/>
      </c>
      <c r="AB862" s="10">
        <f>REPT(" ",4)</f>
        <v/>
      </c>
      <c r="AC862" s="10">
        <f>LEFT(UPPER(H862)&amp;REPT(" ",250),250)</f>
        <v/>
      </c>
      <c r="AD862" s="10">
        <f>TEXT($G$2,"dd/mm/aaaa")</f>
        <v/>
      </c>
      <c r="AE862" s="10">
        <f>REPT(" ",10)</f>
        <v/>
      </c>
      <c r="AF862" s="10">
        <f>REPT(" ",20)</f>
        <v/>
      </c>
      <c r="AG862" s="54">
        <f>REPT(" ",18-LEN(FIXED(F862,2,TRUE)))&amp;FIXED(F862,2,TRUE)</f>
        <v/>
      </c>
      <c r="AH862" s="10">
        <f>LEN(AC862)+LEN(AG862)</f>
        <v/>
      </c>
      <c r="AI862" s="10">
        <f>LEN(L862)</f>
        <v/>
      </c>
    </row>
    <row r="863">
      <c r="A863" s="46" t="n"/>
      <c r="B863" s="38" t="n"/>
      <c r="C863" s="41" t="n"/>
      <c r="D863" s="41" t="n"/>
      <c r="E863" s="41" t="n"/>
      <c r="F863" s="88" t="n"/>
      <c r="G863" s="89" t="n"/>
      <c r="H863" s="37" t="n"/>
      <c r="I863" s="42" t="n"/>
      <c r="J863" s="12">
        <f>IF(F863&lt;&gt;0,"LANÇAR","")</f>
        <v/>
      </c>
      <c r="K863" s="20" t="n"/>
      <c r="L863" s="13">
        <f>N863&amp;O863&amp;P863&amp;Q863&amp;R863&amp;S863&amp;T863&amp;U863&amp;V863&amp;W863&amp;X863&amp;Y863&amp;Z863&amp;AA863&amp;AB863&amp;AC863&amp;AD863&amp;AE863&amp;AF863&amp;AG863</f>
        <v/>
      </c>
      <c r="M863" s="20" t="n"/>
      <c r="N863" s="10">
        <f>TEXT($B$6,"00")</f>
        <v/>
      </c>
      <c r="O863" s="10">
        <f>REPT(" ",8)</f>
        <v/>
      </c>
      <c r="P863" s="10">
        <f>RIGHT($B$4,2)</f>
        <v/>
      </c>
      <c r="Q863" s="10">
        <f>RIGHT($B$5,3)</f>
        <v/>
      </c>
      <c r="R863" s="10">
        <f>IF(A863="D",LEFT(UPPER(B863)&amp;REPT(" ",20),20),REPT(" ",20))</f>
        <v/>
      </c>
      <c r="S863" s="10">
        <f>IF(A863="D",LEFT(UPPER(C863)&amp;REPT(" ",10),10)," ")</f>
        <v/>
      </c>
      <c r="T863" s="10">
        <f>IF(A863="D",LEFT(UPPER(D863)&amp;REPT(" ",2),2)," ")</f>
        <v/>
      </c>
      <c r="U863" s="10">
        <f>IF(A863="D",LEFT(UPPER(E863)&amp;REPT(" ",15),15)," ")</f>
        <v/>
      </c>
      <c r="V863" s="10">
        <f>REPT(" ",24)</f>
        <v/>
      </c>
      <c r="W863" s="10">
        <f>IF(A863="c",LEFT(UPPER(B863)&amp;REPT(" ",20),20),REPT(" ",20))</f>
        <v/>
      </c>
      <c r="X863" s="10">
        <f>IF(A863="C",LEFT(UPPER(C863)&amp;REPT(" ",10),10)," ")</f>
        <v/>
      </c>
      <c r="Y863" s="10">
        <f>IF(A863="C",LEFT(UPPER(D863)&amp;REPT(" ",2),2)," ")</f>
        <v/>
      </c>
      <c r="Z863" s="10">
        <f>IF(A863="C",LEFT(UPPER(E863)&amp;REPT(" ",15),15)," ")</f>
        <v/>
      </c>
      <c r="AA863" s="10">
        <f>REPT(" ",8)</f>
        <v/>
      </c>
      <c r="AB863" s="10">
        <f>REPT(" ",4)</f>
        <v/>
      </c>
      <c r="AC863" s="10">
        <f>LEFT(UPPER(H863)&amp;REPT(" ",250),250)</f>
        <v/>
      </c>
      <c r="AD863" s="10">
        <f>TEXT($G$2,"dd/mm/aaaa")</f>
        <v/>
      </c>
      <c r="AE863" s="10">
        <f>REPT(" ",10)</f>
        <v/>
      </c>
      <c r="AF863" s="10">
        <f>REPT(" ",20)</f>
        <v/>
      </c>
      <c r="AG863" s="54">
        <f>REPT(" ",18-LEN(FIXED(F863,2,TRUE)))&amp;FIXED(F863,2,TRUE)</f>
        <v/>
      </c>
      <c r="AH863" s="10">
        <f>LEN(AC863)+LEN(AG863)</f>
        <v/>
      </c>
      <c r="AI863" s="10">
        <f>LEN(L863)</f>
        <v/>
      </c>
    </row>
    <row r="864">
      <c r="A864" s="46" t="n"/>
      <c r="B864" s="38" t="n"/>
      <c r="C864" s="41" t="n"/>
      <c r="D864" s="41" t="n"/>
      <c r="E864" s="41" t="n"/>
      <c r="F864" s="88" t="n"/>
      <c r="G864" s="89" t="n"/>
      <c r="H864" s="37" t="n"/>
      <c r="I864" s="42" t="n"/>
      <c r="J864" s="12">
        <f>IF(F864&lt;&gt;0,"LANÇAR","")</f>
        <v/>
      </c>
      <c r="K864" s="20" t="n"/>
      <c r="L864" s="13">
        <f>N864&amp;O864&amp;P864&amp;Q864&amp;R864&amp;S864&amp;T864&amp;U864&amp;V864&amp;W864&amp;X864&amp;Y864&amp;Z864&amp;AA864&amp;AB864&amp;AC864&amp;AD864&amp;AE864&amp;AF864&amp;AG864</f>
        <v/>
      </c>
      <c r="M864" s="20" t="n"/>
      <c r="N864" s="10">
        <f>TEXT($B$6,"00")</f>
        <v/>
      </c>
      <c r="O864" s="10">
        <f>REPT(" ",8)</f>
        <v/>
      </c>
      <c r="P864" s="10">
        <f>RIGHT($B$4,2)</f>
        <v/>
      </c>
      <c r="Q864" s="10">
        <f>RIGHT($B$5,3)</f>
        <v/>
      </c>
      <c r="R864" s="10">
        <f>IF(A864="D",LEFT(UPPER(B864)&amp;REPT(" ",20),20),REPT(" ",20))</f>
        <v/>
      </c>
      <c r="S864" s="10">
        <f>IF(A864="D",LEFT(UPPER(C864)&amp;REPT(" ",10),10)," ")</f>
        <v/>
      </c>
      <c r="T864" s="10">
        <f>IF(A864="D",LEFT(UPPER(D864)&amp;REPT(" ",2),2)," ")</f>
        <v/>
      </c>
      <c r="U864" s="10">
        <f>IF(A864="D",LEFT(UPPER(E864)&amp;REPT(" ",15),15)," ")</f>
        <v/>
      </c>
      <c r="V864" s="10">
        <f>REPT(" ",24)</f>
        <v/>
      </c>
      <c r="W864" s="10">
        <f>IF(A864="c",LEFT(UPPER(B864)&amp;REPT(" ",20),20),REPT(" ",20))</f>
        <v/>
      </c>
      <c r="X864" s="10">
        <f>IF(A864="C",LEFT(UPPER(C864)&amp;REPT(" ",10),10)," ")</f>
        <v/>
      </c>
      <c r="Y864" s="10">
        <f>IF(A864="C",LEFT(UPPER(D864)&amp;REPT(" ",2),2)," ")</f>
        <v/>
      </c>
      <c r="Z864" s="10">
        <f>IF(A864="C",LEFT(UPPER(E864)&amp;REPT(" ",15),15)," ")</f>
        <v/>
      </c>
      <c r="AA864" s="10">
        <f>REPT(" ",8)</f>
        <v/>
      </c>
      <c r="AB864" s="10">
        <f>REPT(" ",4)</f>
        <v/>
      </c>
      <c r="AC864" s="10">
        <f>LEFT(UPPER(H864)&amp;REPT(" ",250),250)</f>
        <v/>
      </c>
      <c r="AD864" s="10">
        <f>TEXT($G$2,"dd/mm/aaaa")</f>
        <v/>
      </c>
      <c r="AE864" s="10">
        <f>REPT(" ",10)</f>
        <v/>
      </c>
      <c r="AF864" s="10">
        <f>REPT(" ",20)</f>
        <v/>
      </c>
      <c r="AG864" s="54">
        <f>REPT(" ",18-LEN(FIXED(F864,2,TRUE)))&amp;FIXED(F864,2,TRUE)</f>
        <v/>
      </c>
      <c r="AH864" s="10">
        <f>LEN(AC864)+LEN(AG864)</f>
        <v/>
      </c>
      <c r="AI864" s="10">
        <f>LEN(L864)</f>
        <v/>
      </c>
    </row>
    <row r="865">
      <c r="A865" s="46" t="n"/>
      <c r="B865" s="38" t="n"/>
      <c r="C865" s="41" t="n"/>
      <c r="D865" s="41" t="n"/>
      <c r="E865" s="41" t="n"/>
      <c r="F865" s="88" t="n"/>
      <c r="G865" s="89" t="n"/>
      <c r="H865" s="37" t="n"/>
      <c r="I865" s="42" t="n"/>
      <c r="J865" s="12">
        <f>IF(F865&lt;&gt;0,"LANÇAR","")</f>
        <v/>
      </c>
      <c r="K865" s="20" t="n"/>
      <c r="L865" s="13">
        <f>N865&amp;O865&amp;P865&amp;Q865&amp;R865&amp;S865&amp;T865&amp;U865&amp;V865&amp;W865&amp;X865&amp;Y865&amp;Z865&amp;AA865&amp;AB865&amp;AC865&amp;AD865&amp;AE865&amp;AF865&amp;AG865</f>
        <v/>
      </c>
      <c r="M865" s="20" t="n"/>
      <c r="N865" s="10">
        <f>TEXT($B$6,"00")</f>
        <v/>
      </c>
      <c r="O865" s="10">
        <f>REPT(" ",8)</f>
        <v/>
      </c>
      <c r="P865" s="10">
        <f>RIGHT($B$4,2)</f>
        <v/>
      </c>
      <c r="Q865" s="10">
        <f>RIGHT($B$5,3)</f>
        <v/>
      </c>
      <c r="R865" s="10">
        <f>IF(A865="D",LEFT(UPPER(B865)&amp;REPT(" ",20),20),REPT(" ",20))</f>
        <v/>
      </c>
      <c r="S865" s="10">
        <f>IF(A865="D",LEFT(UPPER(C865)&amp;REPT(" ",10),10)," ")</f>
        <v/>
      </c>
      <c r="T865" s="10">
        <f>IF(A865="D",LEFT(UPPER(D865)&amp;REPT(" ",2),2)," ")</f>
        <v/>
      </c>
      <c r="U865" s="10">
        <f>IF(A865="D",LEFT(UPPER(E865)&amp;REPT(" ",15),15)," ")</f>
        <v/>
      </c>
      <c r="V865" s="10">
        <f>REPT(" ",24)</f>
        <v/>
      </c>
      <c r="W865" s="10">
        <f>IF(A865="c",LEFT(UPPER(B865)&amp;REPT(" ",20),20),REPT(" ",20))</f>
        <v/>
      </c>
      <c r="X865" s="10">
        <f>IF(A865="C",LEFT(UPPER(C865)&amp;REPT(" ",10),10)," ")</f>
        <v/>
      </c>
      <c r="Y865" s="10">
        <f>IF(A865="C",LEFT(UPPER(D865)&amp;REPT(" ",2),2)," ")</f>
        <v/>
      </c>
      <c r="Z865" s="10">
        <f>IF(A865="C",LEFT(UPPER(E865)&amp;REPT(" ",15),15)," ")</f>
        <v/>
      </c>
      <c r="AA865" s="10">
        <f>REPT(" ",8)</f>
        <v/>
      </c>
      <c r="AB865" s="10">
        <f>REPT(" ",4)</f>
        <v/>
      </c>
      <c r="AC865" s="10">
        <f>LEFT(UPPER(H865)&amp;REPT(" ",250),250)</f>
        <v/>
      </c>
      <c r="AD865" s="10">
        <f>TEXT($G$2,"dd/mm/aaaa")</f>
        <v/>
      </c>
      <c r="AE865" s="10">
        <f>REPT(" ",10)</f>
        <v/>
      </c>
      <c r="AF865" s="10">
        <f>REPT(" ",20)</f>
        <v/>
      </c>
      <c r="AG865" s="54">
        <f>REPT(" ",18-LEN(FIXED(F865,2,TRUE)))&amp;FIXED(F865,2,TRUE)</f>
        <v/>
      </c>
      <c r="AH865" s="10">
        <f>LEN(AC865)+LEN(AG865)</f>
        <v/>
      </c>
      <c r="AI865" s="10">
        <f>LEN(L865)</f>
        <v/>
      </c>
    </row>
    <row r="866">
      <c r="A866" s="46" t="n"/>
      <c r="B866" s="38" t="n"/>
      <c r="C866" s="41" t="n"/>
      <c r="D866" s="41" t="n"/>
      <c r="E866" s="41" t="n"/>
      <c r="F866" s="88" t="n"/>
      <c r="G866" s="89" t="n"/>
      <c r="H866" s="37" t="n"/>
      <c r="I866" s="42" t="n"/>
      <c r="J866" s="12">
        <f>IF(F866&lt;&gt;0,"LANÇAR","")</f>
        <v/>
      </c>
      <c r="K866" s="20" t="n"/>
      <c r="L866" s="13">
        <f>N866&amp;O866&amp;P866&amp;Q866&amp;R866&amp;S866&amp;T866&amp;U866&amp;V866&amp;W866&amp;X866&amp;Y866&amp;Z866&amp;AA866&amp;AB866&amp;AC866&amp;AD866&amp;AE866&amp;AF866&amp;AG866</f>
        <v/>
      </c>
      <c r="M866" s="20" t="n"/>
      <c r="N866" s="10">
        <f>TEXT($B$6,"00")</f>
        <v/>
      </c>
      <c r="O866" s="10">
        <f>REPT(" ",8)</f>
        <v/>
      </c>
      <c r="P866" s="10">
        <f>RIGHT($B$4,2)</f>
        <v/>
      </c>
      <c r="Q866" s="10">
        <f>RIGHT($B$5,3)</f>
        <v/>
      </c>
      <c r="R866" s="10">
        <f>IF(A866="D",LEFT(UPPER(B866)&amp;REPT(" ",20),20),REPT(" ",20))</f>
        <v/>
      </c>
      <c r="S866" s="10">
        <f>IF(A866="D",LEFT(UPPER(C866)&amp;REPT(" ",10),10)," ")</f>
        <v/>
      </c>
      <c r="T866" s="10">
        <f>IF(A866="D",LEFT(UPPER(D866)&amp;REPT(" ",2),2)," ")</f>
        <v/>
      </c>
      <c r="U866" s="10">
        <f>IF(A866="D",LEFT(UPPER(E866)&amp;REPT(" ",15),15)," ")</f>
        <v/>
      </c>
      <c r="V866" s="10">
        <f>REPT(" ",24)</f>
        <v/>
      </c>
      <c r="W866" s="10">
        <f>IF(A866="c",LEFT(UPPER(B866)&amp;REPT(" ",20),20),REPT(" ",20))</f>
        <v/>
      </c>
      <c r="X866" s="10">
        <f>IF(A866="C",LEFT(UPPER(C866)&amp;REPT(" ",10),10)," ")</f>
        <v/>
      </c>
      <c r="Y866" s="10">
        <f>IF(A866="C",LEFT(UPPER(D866)&amp;REPT(" ",2),2)," ")</f>
        <v/>
      </c>
      <c r="Z866" s="10">
        <f>IF(A866="C",LEFT(UPPER(E866)&amp;REPT(" ",15),15)," ")</f>
        <v/>
      </c>
      <c r="AA866" s="10">
        <f>REPT(" ",8)</f>
        <v/>
      </c>
      <c r="AB866" s="10">
        <f>REPT(" ",4)</f>
        <v/>
      </c>
      <c r="AC866" s="10">
        <f>LEFT(UPPER(H866)&amp;REPT(" ",250),250)</f>
        <v/>
      </c>
      <c r="AD866" s="10">
        <f>TEXT($G$2,"dd/mm/aaaa")</f>
        <v/>
      </c>
      <c r="AE866" s="10">
        <f>REPT(" ",10)</f>
        <v/>
      </c>
      <c r="AF866" s="10">
        <f>REPT(" ",20)</f>
        <v/>
      </c>
      <c r="AG866" s="54">
        <f>REPT(" ",18-LEN(FIXED(F866,2,TRUE)))&amp;FIXED(F866,2,TRUE)</f>
        <v/>
      </c>
      <c r="AH866" s="10">
        <f>LEN(AC866)+LEN(AG866)</f>
        <v/>
      </c>
      <c r="AI866" s="10">
        <f>LEN(L866)</f>
        <v/>
      </c>
    </row>
    <row r="867">
      <c r="A867" s="46" t="n"/>
      <c r="B867" s="38" t="n"/>
      <c r="C867" s="41" t="n"/>
      <c r="D867" s="41" t="n"/>
      <c r="E867" s="41" t="n"/>
      <c r="F867" s="88" t="n"/>
      <c r="G867" s="89" t="n"/>
      <c r="H867" s="37" t="n"/>
      <c r="I867" s="42" t="n"/>
      <c r="J867" s="12">
        <f>IF(F867&lt;&gt;0,"LANÇAR","")</f>
        <v/>
      </c>
      <c r="K867" s="20" t="n"/>
      <c r="L867" s="13">
        <f>N867&amp;O867&amp;P867&amp;Q867&amp;R867&amp;S867&amp;T867&amp;U867&amp;V867&amp;W867&amp;X867&amp;Y867&amp;Z867&amp;AA867&amp;AB867&amp;AC867&amp;AD867&amp;AE867&amp;AF867&amp;AG867</f>
        <v/>
      </c>
      <c r="M867" s="20" t="n"/>
      <c r="N867" s="10">
        <f>TEXT($B$6,"00")</f>
        <v/>
      </c>
      <c r="O867" s="10">
        <f>REPT(" ",8)</f>
        <v/>
      </c>
      <c r="P867" s="10">
        <f>RIGHT($B$4,2)</f>
        <v/>
      </c>
      <c r="Q867" s="10">
        <f>RIGHT($B$5,3)</f>
        <v/>
      </c>
      <c r="R867" s="10">
        <f>IF(A867="D",LEFT(UPPER(B867)&amp;REPT(" ",20),20),REPT(" ",20))</f>
        <v/>
      </c>
      <c r="S867" s="10">
        <f>IF(A867="D",LEFT(UPPER(C867)&amp;REPT(" ",10),10)," ")</f>
        <v/>
      </c>
      <c r="T867" s="10">
        <f>IF(A867="D",LEFT(UPPER(D867)&amp;REPT(" ",2),2)," ")</f>
        <v/>
      </c>
      <c r="U867" s="10">
        <f>IF(A867="D",LEFT(UPPER(E867)&amp;REPT(" ",15),15)," ")</f>
        <v/>
      </c>
      <c r="V867" s="10">
        <f>REPT(" ",24)</f>
        <v/>
      </c>
      <c r="W867" s="10">
        <f>IF(A867="c",LEFT(UPPER(B867)&amp;REPT(" ",20),20),REPT(" ",20))</f>
        <v/>
      </c>
      <c r="X867" s="10">
        <f>IF(A867="C",LEFT(UPPER(C867)&amp;REPT(" ",10),10)," ")</f>
        <v/>
      </c>
      <c r="Y867" s="10">
        <f>IF(A867="C",LEFT(UPPER(D867)&amp;REPT(" ",2),2)," ")</f>
        <v/>
      </c>
      <c r="Z867" s="10">
        <f>IF(A867="C",LEFT(UPPER(E867)&amp;REPT(" ",15),15)," ")</f>
        <v/>
      </c>
      <c r="AA867" s="10">
        <f>REPT(" ",8)</f>
        <v/>
      </c>
      <c r="AB867" s="10">
        <f>REPT(" ",4)</f>
        <v/>
      </c>
      <c r="AC867" s="10">
        <f>LEFT(UPPER(H867)&amp;REPT(" ",250),250)</f>
        <v/>
      </c>
      <c r="AD867" s="10">
        <f>TEXT($G$2,"dd/mm/aaaa")</f>
        <v/>
      </c>
      <c r="AE867" s="10">
        <f>REPT(" ",10)</f>
        <v/>
      </c>
      <c r="AF867" s="10">
        <f>REPT(" ",20)</f>
        <v/>
      </c>
      <c r="AG867" s="54">
        <f>REPT(" ",18-LEN(FIXED(F867,2,TRUE)))&amp;FIXED(F867,2,TRUE)</f>
        <v/>
      </c>
      <c r="AH867" s="10">
        <f>LEN(AC867)+LEN(AG867)</f>
        <v/>
      </c>
      <c r="AI867" s="10">
        <f>LEN(L867)</f>
        <v/>
      </c>
    </row>
    <row r="868">
      <c r="A868" s="46" t="n"/>
      <c r="B868" s="38" t="n"/>
      <c r="C868" s="41" t="n"/>
      <c r="D868" s="41" t="n"/>
      <c r="E868" s="41" t="n"/>
      <c r="F868" s="88" t="n"/>
      <c r="G868" s="89" t="n"/>
      <c r="H868" s="37" t="n"/>
      <c r="I868" s="42" t="n"/>
      <c r="J868" s="12">
        <f>IF(F868&lt;&gt;0,"LANÇAR","")</f>
        <v/>
      </c>
      <c r="K868" s="20" t="n"/>
      <c r="L868" s="13">
        <f>N868&amp;O868&amp;P868&amp;Q868&amp;R868&amp;S868&amp;T868&amp;U868&amp;V868&amp;W868&amp;X868&amp;Y868&amp;Z868&amp;AA868&amp;AB868&amp;AC868&amp;AD868&amp;AE868&amp;AF868&amp;AG868</f>
        <v/>
      </c>
      <c r="M868" s="20" t="n"/>
      <c r="N868" s="10">
        <f>TEXT($B$6,"00")</f>
        <v/>
      </c>
      <c r="O868" s="10">
        <f>REPT(" ",8)</f>
        <v/>
      </c>
      <c r="P868" s="10">
        <f>RIGHT($B$4,2)</f>
        <v/>
      </c>
      <c r="Q868" s="10">
        <f>RIGHT($B$5,3)</f>
        <v/>
      </c>
      <c r="R868" s="10">
        <f>IF(A868="D",LEFT(UPPER(B868)&amp;REPT(" ",20),20),REPT(" ",20))</f>
        <v/>
      </c>
      <c r="S868" s="10">
        <f>IF(A868="D",LEFT(UPPER(C868)&amp;REPT(" ",10),10)," ")</f>
        <v/>
      </c>
      <c r="T868" s="10">
        <f>IF(A868="D",LEFT(UPPER(D868)&amp;REPT(" ",2),2)," ")</f>
        <v/>
      </c>
      <c r="U868" s="10">
        <f>IF(A868="D",LEFT(UPPER(E868)&amp;REPT(" ",15),15)," ")</f>
        <v/>
      </c>
      <c r="V868" s="10">
        <f>REPT(" ",24)</f>
        <v/>
      </c>
      <c r="W868" s="10">
        <f>IF(A868="c",LEFT(UPPER(B868)&amp;REPT(" ",20),20),REPT(" ",20))</f>
        <v/>
      </c>
      <c r="X868" s="10">
        <f>IF(A868="C",LEFT(UPPER(C868)&amp;REPT(" ",10),10)," ")</f>
        <v/>
      </c>
      <c r="Y868" s="10">
        <f>IF(A868="C",LEFT(UPPER(D868)&amp;REPT(" ",2),2)," ")</f>
        <v/>
      </c>
      <c r="Z868" s="10">
        <f>IF(A868="C",LEFT(UPPER(E868)&amp;REPT(" ",15),15)," ")</f>
        <v/>
      </c>
      <c r="AA868" s="10">
        <f>REPT(" ",8)</f>
        <v/>
      </c>
      <c r="AB868" s="10">
        <f>REPT(" ",4)</f>
        <v/>
      </c>
      <c r="AC868" s="10">
        <f>LEFT(UPPER(H868)&amp;REPT(" ",250),250)</f>
        <v/>
      </c>
      <c r="AD868" s="10">
        <f>TEXT($G$2,"dd/mm/aaaa")</f>
        <v/>
      </c>
      <c r="AE868" s="10">
        <f>REPT(" ",10)</f>
        <v/>
      </c>
      <c r="AF868" s="10">
        <f>REPT(" ",20)</f>
        <v/>
      </c>
      <c r="AG868" s="54">
        <f>REPT(" ",18-LEN(FIXED(F868,2,TRUE)))&amp;FIXED(F868,2,TRUE)</f>
        <v/>
      </c>
      <c r="AH868" s="10">
        <f>LEN(AC868)+LEN(AG868)</f>
        <v/>
      </c>
      <c r="AI868" s="10">
        <f>LEN(L868)</f>
        <v/>
      </c>
    </row>
    <row r="869">
      <c r="A869" s="46" t="n"/>
      <c r="B869" s="38" t="n"/>
      <c r="C869" s="41" t="n"/>
      <c r="D869" s="41" t="n"/>
      <c r="E869" s="41" t="n"/>
      <c r="F869" s="88" t="n"/>
      <c r="G869" s="89" t="n"/>
      <c r="H869" s="37" t="n"/>
      <c r="I869" s="42" t="n"/>
      <c r="J869" s="12">
        <f>IF(F869&lt;&gt;0,"LANÇAR","")</f>
        <v/>
      </c>
      <c r="K869" s="20" t="n"/>
      <c r="L869" s="13">
        <f>N869&amp;O869&amp;P869&amp;Q869&amp;R869&amp;S869&amp;T869&amp;U869&amp;V869&amp;W869&amp;X869&amp;Y869&amp;Z869&amp;AA869&amp;AB869&amp;AC869&amp;AD869&amp;AE869&amp;AF869&amp;AG869</f>
        <v/>
      </c>
      <c r="M869" s="20" t="n"/>
      <c r="N869" s="10">
        <f>TEXT($B$6,"00")</f>
        <v/>
      </c>
      <c r="O869" s="10">
        <f>REPT(" ",8)</f>
        <v/>
      </c>
      <c r="P869" s="10">
        <f>RIGHT($B$4,2)</f>
        <v/>
      </c>
      <c r="Q869" s="10">
        <f>RIGHT($B$5,3)</f>
        <v/>
      </c>
      <c r="R869" s="10">
        <f>IF(A869="D",LEFT(UPPER(B869)&amp;REPT(" ",20),20),REPT(" ",20))</f>
        <v/>
      </c>
      <c r="S869" s="10">
        <f>IF(A869="D",LEFT(UPPER(C869)&amp;REPT(" ",10),10)," ")</f>
        <v/>
      </c>
      <c r="T869" s="10">
        <f>IF(A869="D",LEFT(UPPER(D869)&amp;REPT(" ",2),2)," ")</f>
        <v/>
      </c>
      <c r="U869" s="10">
        <f>IF(A869="D",LEFT(UPPER(E869)&amp;REPT(" ",15),15)," ")</f>
        <v/>
      </c>
      <c r="V869" s="10">
        <f>REPT(" ",24)</f>
        <v/>
      </c>
      <c r="W869" s="10">
        <f>IF(A869="c",LEFT(UPPER(B869)&amp;REPT(" ",20),20),REPT(" ",20))</f>
        <v/>
      </c>
      <c r="X869" s="10">
        <f>IF(A869="C",LEFT(UPPER(C869)&amp;REPT(" ",10),10)," ")</f>
        <v/>
      </c>
      <c r="Y869" s="10">
        <f>IF(A869="C",LEFT(UPPER(D869)&amp;REPT(" ",2),2)," ")</f>
        <v/>
      </c>
      <c r="Z869" s="10">
        <f>IF(A869="C",LEFT(UPPER(E869)&amp;REPT(" ",15),15)," ")</f>
        <v/>
      </c>
      <c r="AA869" s="10">
        <f>REPT(" ",8)</f>
        <v/>
      </c>
      <c r="AB869" s="10">
        <f>REPT(" ",4)</f>
        <v/>
      </c>
      <c r="AC869" s="10">
        <f>LEFT(UPPER(H869)&amp;REPT(" ",250),250)</f>
        <v/>
      </c>
      <c r="AD869" s="10">
        <f>TEXT($G$2,"dd/mm/aaaa")</f>
        <v/>
      </c>
      <c r="AE869" s="10">
        <f>REPT(" ",10)</f>
        <v/>
      </c>
      <c r="AF869" s="10">
        <f>REPT(" ",20)</f>
        <v/>
      </c>
      <c r="AG869" s="54">
        <f>REPT(" ",18-LEN(FIXED(F869,2,TRUE)))&amp;FIXED(F869,2,TRUE)</f>
        <v/>
      </c>
      <c r="AH869" s="10">
        <f>LEN(AC869)+LEN(AG869)</f>
        <v/>
      </c>
      <c r="AI869" s="10">
        <f>LEN(L869)</f>
        <v/>
      </c>
    </row>
    <row r="870">
      <c r="A870" s="46" t="n"/>
      <c r="B870" s="38" t="n"/>
      <c r="C870" s="41" t="n"/>
      <c r="D870" s="41" t="n"/>
      <c r="E870" s="41" t="n"/>
      <c r="F870" s="88" t="n"/>
      <c r="G870" s="89" t="n"/>
      <c r="H870" s="37" t="n"/>
      <c r="I870" s="42" t="n"/>
      <c r="J870" s="12">
        <f>IF(F870&lt;&gt;0,"LANÇAR","")</f>
        <v/>
      </c>
      <c r="K870" s="20" t="n"/>
      <c r="L870" s="13">
        <f>N870&amp;O870&amp;P870&amp;Q870&amp;R870&amp;S870&amp;T870&amp;U870&amp;V870&amp;W870&amp;X870&amp;Y870&amp;Z870&amp;AA870&amp;AB870&amp;AC870&amp;AD870&amp;AE870&amp;AF870&amp;AG870</f>
        <v/>
      </c>
      <c r="M870" s="20" t="n"/>
      <c r="N870" s="10">
        <f>TEXT($B$6,"00")</f>
        <v/>
      </c>
      <c r="O870" s="10">
        <f>REPT(" ",8)</f>
        <v/>
      </c>
      <c r="P870" s="10">
        <f>RIGHT($B$4,2)</f>
        <v/>
      </c>
      <c r="Q870" s="10">
        <f>RIGHT($B$5,3)</f>
        <v/>
      </c>
      <c r="R870" s="10">
        <f>IF(A870="D",LEFT(UPPER(B870)&amp;REPT(" ",20),20),REPT(" ",20))</f>
        <v/>
      </c>
      <c r="S870" s="10">
        <f>IF(A870="D",LEFT(UPPER(C870)&amp;REPT(" ",10),10)," ")</f>
        <v/>
      </c>
      <c r="T870" s="10">
        <f>IF(A870="D",LEFT(UPPER(D870)&amp;REPT(" ",2),2)," ")</f>
        <v/>
      </c>
      <c r="U870" s="10">
        <f>IF(A870="D",LEFT(UPPER(E870)&amp;REPT(" ",15),15)," ")</f>
        <v/>
      </c>
      <c r="V870" s="10">
        <f>REPT(" ",24)</f>
        <v/>
      </c>
      <c r="W870" s="10">
        <f>IF(A870="c",LEFT(UPPER(B870)&amp;REPT(" ",20),20),REPT(" ",20))</f>
        <v/>
      </c>
      <c r="X870" s="10">
        <f>IF(A870="C",LEFT(UPPER(C870)&amp;REPT(" ",10),10)," ")</f>
        <v/>
      </c>
      <c r="Y870" s="10">
        <f>IF(A870="C",LEFT(UPPER(D870)&amp;REPT(" ",2),2)," ")</f>
        <v/>
      </c>
      <c r="Z870" s="10">
        <f>IF(A870="C",LEFT(UPPER(E870)&amp;REPT(" ",15),15)," ")</f>
        <v/>
      </c>
      <c r="AA870" s="10">
        <f>REPT(" ",8)</f>
        <v/>
      </c>
      <c r="AB870" s="10">
        <f>REPT(" ",4)</f>
        <v/>
      </c>
      <c r="AC870" s="10">
        <f>LEFT(UPPER(H870)&amp;REPT(" ",250),250)</f>
        <v/>
      </c>
      <c r="AD870" s="10">
        <f>TEXT($G$2,"dd/mm/aaaa")</f>
        <v/>
      </c>
      <c r="AE870" s="10">
        <f>REPT(" ",10)</f>
        <v/>
      </c>
      <c r="AF870" s="10">
        <f>REPT(" ",20)</f>
        <v/>
      </c>
      <c r="AG870" s="54">
        <f>REPT(" ",18-LEN(FIXED(F870,2,TRUE)))&amp;FIXED(F870,2,TRUE)</f>
        <v/>
      </c>
      <c r="AH870" s="10">
        <f>LEN(AC870)+LEN(AG870)</f>
        <v/>
      </c>
      <c r="AI870" s="10">
        <f>LEN(L870)</f>
        <v/>
      </c>
    </row>
    <row r="871">
      <c r="A871" s="46" t="n"/>
      <c r="B871" s="38" t="n"/>
      <c r="C871" s="41" t="n"/>
      <c r="D871" s="41" t="n"/>
      <c r="E871" s="41" t="n"/>
      <c r="F871" s="88" t="n"/>
      <c r="G871" s="89" t="n"/>
      <c r="H871" s="37" t="n"/>
      <c r="I871" s="42" t="n"/>
      <c r="J871" s="12">
        <f>IF(F871&lt;&gt;0,"LANÇAR","")</f>
        <v/>
      </c>
      <c r="K871" s="20" t="n"/>
      <c r="L871" s="13">
        <f>N871&amp;O871&amp;P871&amp;Q871&amp;R871&amp;S871&amp;T871&amp;U871&amp;V871&amp;W871&amp;X871&amp;Y871&amp;Z871&amp;AA871&amp;AB871&amp;AC871&amp;AD871&amp;AE871&amp;AF871&amp;AG871</f>
        <v/>
      </c>
      <c r="M871" s="20" t="n"/>
      <c r="N871" s="10">
        <f>TEXT($B$6,"00")</f>
        <v/>
      </c>
      <c r="O871" s="10">
        <f>REPT(" ",8)</f>
        <v/>
      </c>
      <c r="P871" s="10">
        <f>RIGHT($B$4,2)</f>
        <v/>
      </c>
      <c r="Q871" s="10">
        <f>RIGHT($B$5,3)</f>
        <v/>
      </c>
      <c r="R871" s="10">
        <f>IF(A871="D",LEFT(UPPER(B871)&amp;REPT(" ",20),20),REPT(" ",20))</f>
        <v/>
      </c>
      <c r="S871" s="10">
        <f>IF(A871="D",LEFT(UPPER(C871)&amp;REPT(" ",10),10)," ")</f>
        <v/>
      </c>
      <c r="T871" s="10">
        <f>IF(A871="D",LEFT(UPPER(D871)&amp;REPT(" ",2),2)," ")</f>
        <v/>
      </c>
      <c r="U871" s="10">
        <f>IF(A871="D",LEFT(UPPER(E871)&amp;REPT(" ",15),15)," ")</f>
        <v/>
      </c>
      <c r="V871" s="10">
        <f>REPT(" ",24)</f>
        <v/>
      </c>
      <c r="W871" s="10">
        <f>IF(A871="c",LEFT(UPPER(B871)&amp;REPT(" ",20),20),REPT(" ",20))</f>
        <v/>
      </c>
      <c r="X871" s="10">
        <f>IF(A871="C",LEFT(UPPER(C871)&amp;REPT(" ",10),10)," ")</f>
        <v/>
      </c>
      <c r="Y871" s="10">
        <f>IF(A871="C",LEFT(UPPER(D871)&amp;REPT(" ",2),2)," ")</f>
        <v/>
      </c>
      <c r="Z871" s="10">
        <f>IF(A871="C",LEFT(UPPER(E871)&amp;REPT(" ",15),15)," ")</f>
        <v/>
      </c>
      <c r="AA871" s="10">
        <f>REPT(" ",8)</f>
        <v/>
      </c>
      <c r="AB871" s="10">
        <f>REPT(" ",4)</f>
        <v/>
      </c>
      <c r="AC871" s="10">
        <f>LEFT(UPPER(H871)&amp;REPT(" ",250),250)</f>
        <v/>
      </c>
      <c r="AD871" s="10">
        <f>TEXT($G$2,"dd/mm/aaaa")</f>
        <v/>
      </c>
      <c r="AE871" s="10">
        <f>REPT(" ",10)</f>
        <v/>
      </c>
      <c r="AF871" s="10">
        <f>REPT(" ",20)</f>
        <v/>
      </c>
      <c r="AG871" s="54">
        <f>REPT(" ",18-LEN(FIXED(F871,2,TRUE)))&amp;FIXED(F871,2,TRUE)</f>
        <v/>
      </c>
      <c r="AH871" s="10">
        <f>LEN(AC871)+LEN(AG871)</f>
        <v/>
      </c>
      <c r="AI871" s="10">
        <f>LEN(L871)</f>
        <v/>
      </c>
    </row>
    <row r="872">
      <c r="A872" s="46" t="n"/>
      <c r="B872" s="38" t="n"/>
      <c r="C872" s="41" t="n"/>
      <c r="D872" s="41" t="n"/>
      <c r="E872" s="41" t="n"/>
      <c r="F872" s="88" t="n"/>
      <c r="G872" s="89" t="n"/>
      <c r="H872" s="37" t="n"/>
      <c r="I872" s="42" t="n"/>
      <c r="J872" s="12">
        <f>IF(F872&lt;&gt;0,"LANÇAR","")</f>
        <v/>
      </c>
      <c r="K872" s="20" t="n"/>
      <c r="L872" s="13">
        <f>N872&amp;O872&amp;P872&amp;Q872&amp;R872&amp;S872&amp;T872&amp;U872&amp;V872&amp;W872&amp;X872&amp;Y872&amp;Z872&amp;AA872&amp;AB872&amp;AC872&amp;AD872&amp;AE872&amp;AF872&amp;AG872</f>
        <v/>
      </c>
      <c r="M872" s="20" t="n"/>
      <c r="N872" s="10">
        <f>TEXT($B$6,"00")</f>
        <v/>
      </c>
      <c r="O872" s="10">
        <f>REPT(" ",8)</f>
        <v/>
      </c>
      <c r="P872" s="10">
        <f>RIGHT($B$4,2)</f>
        <v/>
      </c>
      <c r="Q872" s="10">
        <f>RIGHT($B$5,3)</f>
        <v/>
      </c>
      <c r="R872" s="10">
        <f>IF(A872="D",LEFT(UPPER(B872)&amp;REPT(" ",20),20),REPT(" ",20))</f>
        <v/>
      </c>
      <c r="S872" s="10">
        <f>IF(A872="D",LEFT(UPPER(C872)&amp;REPT(" ",10),10)," ")</f>
        <v/>
      </c>
      <c r="T872" s="10">
        <f>IF(A872="D",LEFT(UPPER(D872)&amp;REPT(" ",2),2)," ")</f>
        <v/>
      </c>
      <c r="U872" s="10">
        <f>IF(A872="D",LEFT(UPPER(E872)&amp;REPT(" ",15),15)," ")</f>
        <v/>
      </c>
      <c r="V872" s="10">
        <f>REPT(" ",24)</f>
        <v/>
      </c>
      <c r="W872" s="10">
        <f>IF(A872="c",LEFT(UPPER(B872)&amp;REPT(" ",20),20),REPT(" ",20))</f>
        <v/>
      </c>
      <c r="X872" s="10">
        <f>IF(A872="C",LEFT(UPPER(C872)&amp;REPT(" ",10),10)," ")</f>
        <v/>
      </c>
      <c r="Y872" s="10">
        <f>IF(A872="C",LEFT(UPPER(D872)&amp;REPT(" ",2),2)," ")</f>
        <v/>
      </c>
      <c r="Z872" s="10">
        <f>IF(A872="C",LEFT(UPPER(E872)&amp;REPT(" ",15),15)," ")</f>
        <v/>
      </c>
      <c r="AA872" s="10">
        <f>REPT(" ",8)</f>
        <v/>
      </c>
      <c r="AB872" s="10">
        <f>REPT(" ",4)</f>
        <v/>
      </c>
      <c r="AC872" s="10">
        <f>LEFT(UPPER(H872)&amp;REPT(" ",250),250)</f>
        <v/>
      </c>
      <c r="AD872" s="10">
        <f>TEXT($G$2,"dd/mm/aaaa")</f>
        <v/>
      </c>
      <c r="AE872" s="10">
        <f>REPT(" ",10)</f>
        <v/>
      </c>
      <c r="AF872" s="10">
        <f>REPT(" ",20)</f>
        <v/>
      </c>
      <c r="AG872" s="54">
        <f>REPT(" ",18-LEN(FIXED(F872,2,TRUE)))&amp;FIXED(F872,2,TRUE)</f>
        <v/>
      </c>
      <c r="AH872" s="10">
        <f>LEN(AC872)+LEN(AG872)</f>
        <v/>
      </c>
      <c r="AI872" s="10">
        <f>LEN(L872)</f>
        <v/>
      </c>
    </row>
    <row r="873">
      <c r="A873" s="46" t="n"/>
      <c r="B873" s="38" t="n"/>
      <c r="C873" s="41" t="n"/>
      <c r="D873" s="41" t="n"/>
      <c r="E873" s="41" t="n"/>
      <c r="F873" s="88" t="n"/>
      <c r="G873" s="89" t="n"/>
      <c r="H873" s="37" t="n"/>
      <c r="I873" s="42" t="n"/>
      <c r="J873" s="12">
        <f>IF(F873&lt;&gt;0,"LANÇAR","")</f>
        <v/>
      </c>
      <c r="K873" s="20" t="n"/>
      <c r="L873" s="13">
        <f>N873&amp;O873&amp;P873&amp;Q873&amp;R873&amp;S873&amp;T873&amp;U873&amp;V873&amp;W873&amp;X873&amp;Y873&amp;Z873&amp;AA873&amp;AB873&amp;AC873&amp;AD873&amp;AE873&amp;AF873&amp;AG873</f>
        <v/>
      </c>
      <c r="M873" s="20" t="n"/>
      <c r="N873" s="10">
        <f>TEXT($B$6,"00")</f>
        <v/>
      </c>
      <c r="O873" s="10">
        <f>REPT(" ",8)</f>
        <v/>
      </c>
      <c r="P873" s="10">
        <f>RIGHT($B$4,2)</f>
        <v/>
      </c>
      <c r="Q873" s="10">
        <f>RIGHT($B$5,3)</f>
        <v/>
      </c>
      <c r="R873" s="10">
        <f>IF(A873="D",LEFT(UPPER(B873)&amp;REPT(" ",20),20),REPT(" ",20))</f>
        <v/>
      </c>
      <c r="S873" s="10">
        <f>IF(A873="D",LEFT(UPPER(C873)&amp;REPT(" ",10),10)," ")</f>
        <v/>
      </c>
      <c r="T873" s="10">
        <f>IF(A873="D",LEFT(UPPER(D873)&amp;REPT(" ",2),2)," ")</f>
        <v/>
      </c>
      <c r="U873" s="10">
        <f>IF(A873="D",LEFT(UPPER(E873)&amp;REPT(" ",15),15)," ")</f>
        <v/>
      </c>
      <c r="V873" s="10">
        <f>REPT(" ",24)</f>
        <v/>
      </c>
      <c r="W873" s="10">
        <f>IF(A873="c",LEFT(UPPER(B873)&amp;REPT(" ",20),20),REPT(" ",20))</f>
        <v/>
      </c>
      <c r="X873" s="10">
        <f>IF(A873="C",LEFT(UPPER(C873)&amp;REPT(" ",10),10)," ")</f>
        <v/>
      </c>
      <c r="Y873" s="10">
        <f>IF(A873="C",LEFT(UPPER(D873)&amp;REPT(" ",2),2)," ")</f>
        <v/>
      </c>
      <c r="Z873" s="10">
        <f>IF(A873="C",LEFT(UPPER(E873)&amp;REPT(" ",15),15)," ")</f>
        <v/>
      </c>
      <c r="AA873" s="10">
        <f>REPT(" ",8)</f>
        <v/>
      </c>
      <c r="AB873" s="10">
        <f>REPT(" ",4)</f>
        <v/>
      </c>
      <c r="AC873" s="10">
        <f>LEFT(UPPER(H873)&amp;REPT(" ",250),250)</f>
        <v/>
      </c>
      <c r="AD873" s="10">
        <f>TEXT($G$2,"dd/mm/aaaa")</f>
        <v/>
      </c>
      <c r="AE873" s="10">
        <f>REPT(" ",10)</f>
        <v/>
      </c>
      <c r="AF873" s="10">
        <f>REPT(" ",20)</f>
        <v/>
      </c>
      <c r="AG873" s="54">
        <f>REPT(" ",18-LEN(FIXED(F873,2,TRUE)))&amp;FIXED(F873,2,TRUE)</f>
        <v/>
      </c>
      <c r="AH873" s="10">
        <f>LEN(AC873)+LEN(AG873)</f>
        <v/>
      </c>
      <c r="AI873" s="10">
        <f>LEN(L873)</f>
        <v/>
      </c>
    </row>
    <row r="874">
      <c r="A874" s="46" t="n"/>
      <c r="B874" s="38" t="n"/>
      <c r="C874" s="41" t="n"/>
      <c r="D874" s="41" t="n"/>
      <c r="E874" s="41" t="n"/>
      <c r="F874" s="88" t="n"/>
      <c r="G874" s="89" t="n"/>
      <c r="H874" s="37" t="n"/>
      <c r="I874" s="42" t="n"/>
      <c r="J874" s="12">
        <f>IF(F874&lt;&gt;0,"LANÇAR","")</f>
        <v/>
      </c>
      <c r="K874" s="20" t="n"/>
      <c r="L874" s="13">
        <f>N874&amp;O874&amp;P874&amp;Q874&amp;R874&amp;S874&amp;T874&amp;U874&amp;V874&amp;W874&amp;X874&amp;Y874&amp;Z874&amp;AA874&amp;AB874&amp;AC874&amp;AD874&amp;AE874&amp;AF874&amp;AG874</f>
        <v/>
      </c>
      <c r="M874" s="20" t="n"/>
      <c r="N874" s="10">
        <f>TEXT($B$6,"00")</f>
        <v/>
      </c>
      <c r="O874" s="10">
        <f>REPT(" ",8)</f>
        <v/>
      </c>
      <c r="P874" s="10">
        <f>RIGHT($B$4,2)</f>
        <v/>
      </c>
      <c r="Q874" s="10">
        <f>RIGHT($B$5,3)</f>
        <v/>
      </c>
      <c r="R874" s="10">
        <f>IF(A874="D",LEFT(UPPER(B874)&amp;REPT(" ",20),20),REPT(" ",20))</f>
        <v/>
      </c>
      <c r="S874" s="10">
        <f>IF(A874="D",LEFT(UPPER(C874)&amp;REPT(" ",10),10)," ")</f>
        <v/>
      </c>
      <c r="T874" s="10">
        <f>IF(A874="D",LEFT(UPPER(D874)&amp;REPT(" ",2),2)," ")</f>
        <v/>
      </c>
      <c r="U874" s="10">
        <f>IF(A874="D",LEFT(UPPER(E874)&amp;REPT(" ",15),15)," ")</f>
        <v/>
      </c>
      <c r="V874" s="10">
        <f>REPT(" ",24)</f>
        <v/>
      </c>
      <c r="W874" s="10">
        <f>IF(A874="c",LEFT(UPPER(B874)&amp;REPT(" ",20),20),REPT(" ",20))</f>
        <v/>
      </c>
      <c r="X874" s="10">
        <f>IF(A874="C",LEFT(UPPER(C874)&amp;REPT(" ",10),10)," ")</f>
        <v/>
      </c>
      <c r="Y874" s="10">
        <f>IF(A874="C",LEFT(UPPER(D874)&amp;REPT(" ",2),2)," ")</f>
        <v/>
      </c>
      <c r="Z874" s="10">
        <f>IF(A874="C",LEFT(UPPER(E874)&amp;REPT(" ",15),15)," ")</f>
        <v/>
      </c>
      <c r="AA874" s="10">
        <f>REPT(" ",8)</f>
        <v/>
      </c>
      <c r="AB874" s="10">
        <f>REPT(" ",4)</f>
        <v/>
      </c>
      <c r="AC874" s="10">
        <f>LEFT(UPPER(H874)&amp;REPT(" ",250),250)</f>
        <v/>
      </c>
      <c r="AD874" s="10">
        <f>TEXT($G$2,"dd/mm/aaaa")</f>
        <v/>
      </c>
      <c r="AE874" s="10">
        <f>REPT(" ",10)</f>
        <v/>
      </c>
      <c r="AF874" s="10">
        <f>REPT(" ",20)</f>
        <v/>
      </c>
      <c r="AG874" s="54">
        <f>REPT(" ",18-LEN(FIXED(F874,2,TRUE)))&amp;FIXED(F874,2,TRUE)</f>
        <v/>
      </c>
      <c r="AH874" s="10">
        <f>LEN(AC874)+LEN(AG874)</f>
        <v/>
      </c>
      <c r="AI874" s="10">
        <f>LEN(L874)</f>
        <v/>
      </c>
    </row>
    <row r="875">
      <c r="A875" s="46" t="n"/>
      <c r="B875" s="38" t="n"/>
      <c r="C875" s="41" t="n"/>
      <c r="D875" s="41" t="n"/>
      <c r="E875" s="41" t="n"/>
      <c r="F875" s="88" t="n"/>
      <c r="G875" s="89" t="n"/>
      <c r="H875" s="37" t="n"/>
      <c r="I875" s="42" t="n"/>
      <c r="J875" s="12">
        <f>IF(F875&lt;&gt;0,"LANÇAR","")</f>
        <v/>
      </c>
      <c r="K875" s="20" t="n"/>
      <c r="L875" s="13">
        <f>N875&amp;O875&amp;P875&amp;Q875&amp;R875&amp;S875&amp;T875&amp;U875&amp;V875&amp;W875&amp;X875&amp;Y875&amp;Z875&amp;AA875&amp;AB875&amp;AC875&amp;AD875&amp;AE875&amp;AF875&amp;AG875</f>
        <v/>
      </c>
      <c r="M875" s="20" t="n"/>
      <c r="N875" s="10">
        <f>TEXT($B$6,"00")</f>
        <v/>
      </c>
      <c r="O875" s="10">
        <f>REPT(" ",8)</f>
        <v/>
      </c>
      <c r="P875" s="10">
        <f>RIGHT($B$4,2)</f>
        <v/>
      </c>
      <c r="Q875" s="10">
        <f>RIGHT($B$5,3)</f>
        <v/>
      </c>
      <c r="R875" s="10">
        <f>IF(A875="D",LEFT(UPPER(B875)&amp;REPT(" ",20),20),REPT(" ",20))</f>
        <v/>
      </c>
      <c r="S875" s="10">
        <f>IF(A875="D",LEFT(UPPER(C875)&amp;REPT(" ",10),10)," ")</f>
        <v/>
      </c>
      <c r="T875" s="10">
        <f>IF(A875="D",LEFT(UPPER(D875)&amp;REPT(" ",2),2)," ")</f>
        <v/>
      </c>
      <c r="U875" s="10">
        <f>IF(A875="D",LEFT(UPPER(E875)&amp;REPT(" ",15),15)," ")</f>
        <v/>
      </c>
      <c r="V875" s="10">
        <f>REPT(" ",24)</f>
        <v/>
      </c>
      <c r="W875" s="10">
        <f>IF(A875="c",LEFT(UPPER(B875)&amp;REPT(" ",20),20),REPT(" ",20))</f>
        <v/>
      </c>
      <c r="X875" s="10">
        <f>IF(A875="C",LEFT(UPPER(C875)&amp;REPT(" ",10),10)," ")</f>
        <v/>
      </c>
      <c r="Y875" s="10">
        <f>IF(A875="C",LEFT(UPPER(D875)&amp;REPT(" ",2),2)," ")</f>
        <v/>
      </c>
      <c r="Z875" s="10">
        <f>IF(A875="C",LEFT(UPPER(E875)&amp;REPT(" ",15),15)," ")</f>
        <v/>
      </c>
      <c r="AA875" s="10">
        <f>REPT(" ",8)</f>
        <v/>
      </c>
      <c r="AB875" s="10">
        <f>REPT(" ",4)</f>
        <v/>
      </c>
      <c r="AC875" s="10">
        <f>LEFT(UPPER(H875)&amp;REPT(" ",250),250)</f>
        <v/>
      </c>
      <c r="AD875" s="10">
        <f>TEXT($G$2,"dd/mm/aaaa")</f>
        <v/>
      </c>
      <c r="AE875" s="10">
        <f>REPT(" ",10)</f>
        <v/>
      </c>
      <c r="AF875" s="10">
        <f>REPT(" ",20)</f>
        <v/>
      </c>
      <c r="AG875" s="54">
        <f>REPT(" ",18-LEN(FIXED(F875,2,TRUE)))&amp;FIXED(F875,2,TRUE)</f>
        <v/>
      </c>
      <c r="AH875" s="10">
        <f>LEN(AC875)+LEN(AG875)</f>
        <v/>
      </c>
      <c r="AI875" s="10">
        <f>LEN(L875)</f>
        <v/>
      </c>
    </row>
    <row r="876">
      <c r="A876" s="46" t="n"/>
      <c r="B876" s="38" t="n"/>
      <c r="C876" s="41" t="n"/>
      <c r="D876" s="41" t="n"/>
      <c r="E876" s="41" t="n"/>
      <c r="F876" s="88" t="n"/>
      <c r="G876" s="89" t="n"/>
      <c r="H876" s="37" t="n"/>
      <c r="I876" s="42" t="n"/>
      <c r="J876" s="12">
        <f>IF(F876&lt;&gt;0,"LANÇAR","")</f>
        <v/>
      </c>
      <c r="K876" s="20" t="n"/>
      <c r="L876" s="13">
        <f>N876&amp;O876&amp;P876&amp;Q876&amp;R876&amp;S876&amp;T876&amp;U876&amp;V876&amp;W876&amp;X876&amp;Y876&amp;Z876&amp;AA876&amp;AB876&amp;AC876&amp;AD876&amp;AE876&amp;AF876&amp;AG876</f>
        <v/>
      </c>
      <c r="M876" s="20" t="n"/>
      <c r="N876" s="10">
        <f>TEXT($B$6,"00")</f>
        <v/>
      </c>
      <c r="O876" s="10">
        <f>REPT(" ",8)</f>
        <v/>
      </c>
      <c r="P876" s="10">
        <f>RIGHT($B$4,2)</f>
        <v/>
      </c>
      <c r="Q876" s="10">
        <f>RIGHT($B$5,3)</f>
        <v/>
      </c>
      <c r="R876" s="10">
        <f>IF(A876="D",LEFT(UPPER(B876)&amp;REPT(" ",20),20),REPT(" ",20))</f>
        <v/>
      </c>
      <c r="S876" s="10">
        <f>IF(A876="D",LEFT(UPPER(C876)&amp;REPT(" ",10),10)," ")</f>
        <v/>
      </c>
      <c r="T876" s="10">
        <f>IF(A876="D",LEFT(UPPER(D876)&amp;REPT(" ",2),2)," ")</f>
        <v/>
      </c>
      <c r="U876" s="10">
        <f>IF(A876="D",LEFT(UPPER(E876)&amp;REPT(" ",15),15)," ")</f>
        <v/>
      </c>
      <c r="V876" s="10">
        <f>REPT(" ",24)</f>
        <v/>
      </c>
      <c r="W876" s="10">
        <f>IF(A876="c",LEFT(UPPER(B876)&amp;REPT(" ",20),20),REPT(" ",20))</f>
        <v/>
      </c>
      <c r="X876" s="10">
        <f>IF(A876="C",LEFT(UPPER(C876)&amp;REPT(" ",10),10)," ")</f>
        <v/>
      </c>
      <c r="Y876" s="10">
        <f>IF(A876="C",LEFT(UPPER(D876)&amp;REPT(" ",2),2)," ")</f>
        <v/>
      </c>
      <c r="Z876" s="10">
        <f>IF(A876="C",LEFT(UPPER(E876)&amp;REPT(" ",15),15)," ")</f>
        <v/>
      </c>
      <c r="AA876" s="10">
        <f>REPT(" ",8)</f>
        <v/>
      </c>
      <c r="AB876" s="10">
        <f>REPT(" ",4)</f>
        <v/>
      </c>
      <c r="AC876" s="10">
        <f>LEFT(UPPER(H876)&amp;REPT(" ",250),250)</f>
        <v/>
      </c>
      <c r="AD876" s="10">
        <f>TEXT($G$2,"dd/mm/aaaa")</f>
        <v/>
      </c>
      <c r="AE876" s="10">
        <f>REPT(" ",10)</f>
        <v/>
      </c>
      <c r="AF876" s="10">
        <f>REPT(" ",20)</f>
        <v/>
      </c>
      <c r="AG876" s="54">
        <f>REPT(" ",18-LEN(FIXED(F876,2,TRUE)))&amp;FIXED(F876,2,TRUE)</f>
        <v/>
      </c>
      <c r="AH876" s="10">
        <f>LEN(AC876)+LEN(AG876)</f>
        <v/>
      </c>
      <c r="AI876" s="10">
        <f>LEN(L876)</f>
        <v/>
      </c>
    </row>
    <row r="877">
      <c r="A877" s="46" t="n"/>
      <c r="B877" s="38" t="n"/>
      <c r="C877" s="41" t="n"/>
      <c r="D877" s="41" t="n"/>
      <c r="E877" s="41" t="n"/>
      <c r="F877" s="88" t="n"/>
      <c r="G877" s="89" t="n"/>
      <c r="H877" s="37" t="n"/>
      <c r="I877" s="42" t="n"/>
      <c r="J877" s="12">
        <f>IF(F877&lt;&gt;0,"LANÇAR","")</f>
        <v/>
      </c>
      <c r="K877" s="20" t="n"/>
      <c r="L877" s="13">
        <f>N877&amp;O877&amp;P877&amp;Q877&amp;R877&amp;S877&amp;T877&amp;U877&amp;V877&amp;W877&amp;X877&amp;Y877&amp;Z877&amp;AA877&amp;AB877&amp;AC877&amp;AD877&amp;AE877&amp;AF877&amp;AG877</f>
        <v/>
      </c>
      <c r="M877" s="20" t="n"/>
      <c r="N877" s="10">
        <f>TEXT($B$6,"00")</f>
        <v/>
      </c>
      <c r="O877" s="10">
        <f>REPT(" ",8)</f>
        <v/>
      </c>
      <c r="P877" s="10">
        <f>RIGHT($B$4,2)</f>
        <v/>
      </c>
      <c r="Q877" s="10">
        <f>RIGHT($B$5,3)</f>
        <v/>
      </c>
      <c r="R877" s="10">
        <f>IF(A877="D",LEFT(UPPER(B877)&amp;REPT(" ",20),20),REPT(" ",20))</f>
        <v/>
      </c>
      <c r="S877" s="10">
        <f>IF(A877="D",LEFT(UPPER(C877)&amp;REPT(" ",10),10)," ")</f>
        <v/>
      </c>
      <c r="T877" s="10">
        <f>IF(A877="D",LEFT(UPPER(D877)&amp;REPT(" ",2),2)," ")</f>
        <v/>
      </c>
      <c r="U877" s="10">
        <f>IF(A877="D",LEFT(UPPER(E877)&amp;REPT(" ",15),15)," ")</f>
        <v/>
      </c>
      <c r="V877" s="10">
        <f>REPT(" ",24)</f>
        <v/>
      </c>
      <c r="W877" s="10">
        <f>IF(A877="c",LEFT(UPPER(B877)&amp;REPT(" ",20),20),REPT(" ",20))</f>
        <v/>
      </c>
      <c r="X877" s="10">
        <f>IF(A877="C",LEFT(UPPER(C877)&amp;REPT(" ",10),10)," ")</f>
        <v/>
      </c>
      <c r="Y877" s="10">
        <f>IF(A877="C",LEFT(UPPER(D877)&amp;REPT(" ",2),2)," ")</f>
        <v/>
      </c>
      <c r="Z877" s="10">
        <f>IF(A877="C",LEFT(UPPER(E877)&amp;REPT(" ",15),15)," ")</f>
        <v/>
      </c>
      <c r="AA877" s="10">
        <f>REPT(" ",8)</f>
        <v/>
      </c>
      <c r="AB877" s="10">
        <f>REPT(" ",4)</f>
        <v/>
      </c>
      <c r="AC877" s="10">
        <f>LEFT(UPPER(H877)&amp;REPT(" ",250),250)</f>
        <v/>
      </c>
      <c r="AD877" s="10">
        <f>TEXT($G$2,"dd/mm/aaaa")</f>
        <v/>
      </c>
      <c r="AE877" s="10">
        <f>REPT(" ",10)</f>
        <v/>
      </c>
      <c r="AF877" s="10">
        <f>REPT(" ",20)</f>
        <v/>
      </c>
      <c r="AG877" s="54">
        <f>REPT(" ",18-LEN(FIXED(F877,2,TRUE)))&amp;FIXED(F877,2,TRUE)</f>
        <v/>
      </c>
      <c r="AH877" s="10">
        <f>LEN(AC877)+LEN(AG877)</f>
        <v/>
      </c>
      <c r="AI877" s="10">
        <f>LEN(L877)</f>
        <v/>
      </c>
    </row>
    <row r="878">
      <c r="A878" s="46" t="n"/>
      <c r="B878" s="38" t="n"/>
      <c r="C878" s="41" t="n"/>
      <c r="D878" s="41" t="n"/>
      <c r="E878" s="41" t="n"/>
      <c r="F878" s="88" t="n"/>
      <c r="G878" s="89" t="n"/>
      <c r="H878" s="37" t="n"/>
      <c r="I878" s="42" t="n"/>
      <c r="J878" s="12">
        <f>IF(F878&lt;&gt;0,"LANÇAR","")</f>
        <v/>
      </c>
      <c r="K878" s="20" t="n"/>
      <c r="L878" s="13">
        <f>N878&amp;O878&amp;P878&amp;Q878&amp;R878&amp;S878&amp;T878&amp;U878&amp;V878&amp;W878&amp;X878&amp;Y878&amp;Z878&amp;AA878&amp;AB878&amp;AC878&amp;AD878&amp;AE878&amp;AF878&amp;AG878</f>
        <v/>
      </c>
      <c r="M878" s="20" t="n"/>
      <c r="N878" s="10">
        <f>TEXT($B$6,"00")</f>
        <v/>
      </c>
      <c r="O878" s="10">
        <f>REPT(" ",8)</f>
        <v/>
      </c>
      <c r="P878" s="10">
        <f>RIGHT($B$4,2)</f>
        <v/>
      </c>
      <c r="Q878" s="10">
        <f>RIGHT($B$5,3)</f>
        <v/>
      </c>
      <c r="R878" s="10">
        <f>IF(A878="D",LEFT(UPPER(B878)&amp;REPT(" ",20),20),REPT(" ",20))</f>
        <v/>
      </c>
      <c r="S878" s="10">
        <f>IF(A878="D",LEFT(UPPER(C878)&amp;REPT(" ",10),10)," ")</f>
        <v/>
      </c>
      <c r="T878" s="10">
        <f>IF(A878="D",LEFT(UPPER(D878)&amp;REPT(" ",2),2)," ")</f>
        <v/>
      </c>
      <c r="U878" s="10">
        <f>IF(A878="D",LEFT(UPPER(E878)&amp;REPT(" ",15),15)," ")</f>
        <v/>
      </c>
      <c r="V878" s="10">
        <f>REPT(" ",24)</f>
        <v/>
      </c>
      <c r="W878" s="10">
        <f>IF(A878="c",LEFT(UPPER(B878)&amp;REPT(" ",20),20),REPT(" ",20))</f>
        <v/>
      </c>
      <c r="X878" s="10">
        <f>IF(A878="C",LEFT(UPPER(C878)&amp;REPT(" ",10),10)," ")</f>
        <v/>
      </c>
      <c r="Y878" s="10">
        <f>IF(A878="C",LEFT(UPPER(D878)&amp;REPT(" ",2),2)," ")</f>
        <v/>
      </c>
      <c r="Z878" s="10">
        <f>IF(A878="C",LEFT(UPPER(E878)&amp;REPT(" ",15),15)," ")</f>
        <v/>
      </c>
      <c r="AA878" s="10">
        <f>REPT(" ",8)</f>
        <v/>
      </c>
      <c r="AB878" s="10">
        <f>REPT(" ",4)</f>
        <v/>
      </c>
      <c r="AC878" s="10">
        <f>LEFT(UPPER(H878)&amp;REPT(" ",250),250)</f>
        <v/>
      </c>
      <c r="AD878" s="10">
        <f>TEXT($G$2,"dd/mm/aaaa")</f>
        <v/>
      </c>
      <c r="AE878" s="10">
        <f>REPT(" ",10)</f>
        <v/>
      </c>
      <c r="AF878" s="10">
        <f>REPT(" ",20)</f>
        <v/>
      </c>
      <c r="AG878" s="54">
        <f>REPT(" ",18-LEN(FIXED(F878,2,TRUE)))&amp;FIXED(F878,2,TRUE)</f>
        <v/>
      </c>
      <c r="AH878" s="10">
        <f>LEN(AC878)+LEN(AG878)</f>
        <v/>
      </c>
      <c r="AI878" s="10">
        <f>LEN(L878)</f>
        <v/>
      </c>
    </row>
    <row r="879">
      <c r="A879" s="46" t="n"/>
      <c r="B879" s="38" t="n"/>
      <c r="C879" s="41" t="n"/>
      <c r="D879" s="41" t="n"/>
      <c r="E879" s="41" t="n"/>
      <c r="F879" s="88" t="n"/>
      <c r="G879" s="89" t="n"/>
      <c r="H879" s="37" t="n"/>
      <c r="I879" s="42" t="n"/>
      <c r="J879" s="12">
        <f>IF(F879&lt;&gt;0,"LANÇAR","")</f>
        <v/>
      </c>
      <c r="K879" s="20" t="n"/>
      <c r="L879" s="13">
        <f>N879&amp;O879&amp;P879&amp;Q879&amp;R879&amp;S879&amp;T879&amp;U879&amp;V879&amp;W879&amp;X879&amp;Y879&amp;Z879&amp;AA879&amp;AB879&amp;AC879&amp;AD879&amp;AE879&amp;AF879&amp;AG879</f>
        <v/>
      </c>
      <c r="M879" s="20" t="n"/>
      <c r="N879" s="10">
        <f>TEXT($B$6,"00")</f>
        <v/>
      </c>
      <c r="O879" s="10">
        <f>REPT(" ",8)</f>
        <v/>
      </c>
      <c r="P879" s="10">
        <f>RIGHT($B$4,2)</f>
        <v/>
      </c>
      <c r="Q879" s="10">
        <f>RIGHT($B$5,3)</f>
        <v/>
      </c>
      <c r="R879" s="10">
        <f>IF(A879="D",LEFT(UPPER(B879)&amp;REPT(" ",20),20),REPT(" ",20))</f>
        <v/>
      </c>
      <c r="S879" s="10">
        <f>IF(A879="D",LEFT(UPPER(C879)&amp;REPT(" ",10),10)," ")</f>
        <v/>
      </c>
      <c r="T879" s="10">
        <f>IF(A879="D",LEFT(UPPER(D879)&amp;REPT(" ",2),2)," ")</f>
        <v/>
      </c>
      <c r="U879" s="10">
        <f>IF(A879="D",LEFT(UPPER(E879)&amp;REPT(" ",15),15)," ")</f>
        <v/>
      </c>
      <c r="V879" s="10">
        <f>REPT(" ",24)</f>
        <v/>
      </c>
      <c r="W879" s="10">
        <f>IF(A879="c",LEFT(UPPER(B879)&amp;REPT(" ",20),20),REPT(" ",20))</f>
        <v/>
      </c>
      <c r="X879" s="10">
        <f>IF(A879="C",LEFT(UPPER(C879)&amp;REPT(" ",10),10)," ")</f>
        <v/>
      </c>
      <c r="Y879" s="10">
        <f>IF(A879="C",LEFT(UPPER(D879)&amp;REPT(" ",2),2)," ")</f>
        <v/>
      </c>
      <c r="Z879" s="10">
        <f>IF(A879="C",LEFT(UPPER(E879)&amp;REPT(" ",15),15)," ")</f>
        <v/>
      </c>
      <c r="AA879" s="10">
        <f>REPT(" ",8)</f>
        <v/>
      </c>
      <c r="AB879" s="10">
        <f>REPT(" ",4)</f>
        <v/>
      </c>
      <c r="AC879" s="10">
        <f>LEFT(UPPER(H879)&amp;REPT(" ",250),250)</f>
        <v/>
      </c>
      <c r="AD879" s="10">
        <f>TEXT($G$2,"dd/mm/aaaa")</f>
        <v/>
      </c>
      <c r="AE879" s="10">
        <f>REPT(" ",10)</f>
        <v/>
      </c>
      <c r="AF879" s="10">
        <f>REPT(" ",20)</f>
        <v/>
      </c>
      <c r="AG879" s="54">
        <f>REPT(" ",18-LEN(FIXED(F879,2,TRUE)))&amp;FIXED(F879,2,TRUE)</f>
        <v/>
      </c>
      <c r="AH879" s="10">
        <f>LEN(AC879)+LEN(AG879)</f>
        <v/>
      </c>
      <c r="AI879" s="10">
        <f>LEN(L879)</f>
        <v/>
      </c>
    </row>
    <row r="880">
      <c r="A880" s="46" t="n"/>
      <c r="B880" s="38" t="n"/>
      <c r="C880" s="41" t="n"/>
      <c r="D880" s="41" t="n"/>
      <c r="E880" s="41" t="n"/>
      <c r="F880" s="88" t="n"/>
      <c r="G880" s="89" t="n"/>
      <c r="H880" s="37" t="n"/>
      <c r="I880" s="42" t="n"/>
      <c r="J880" s="12">
        <f>IF(F880&lt;&gt;0,"LANÇAR","")</f>
        <v/>
      </c>
      <c r="K880" s="20" t="n"/>
      <c r="L880" s="13">
        <f>N880&amp;O880&amp;P880&amp;Q880&amp;R880&amp;S880&amp;T880&amp;U880&amp;V880&amp;W880&amp;X880&amp;Y880&amp;Z880&amp;AA880&amp;AB880&amp;AC880&amp;AD880&amp;AE880&amp;AF880&amp;AG880</f>
        <v/>
      </c>
      <c r="M880" s="20" t="n"/>
      <c r="N880" s="10">
        <f>TEXT($B$6,"00")</f>
        <v/>
      </c>
      <c r="O880" s="10">
        <f>REPT(" ",8)</f>
        <v/>
      </c>
      <c r="P880" s="10">
        <f>RIGHT($B$4,2)</f>
        <v/>
      </c>
      <c r="Q880" s="10">
        <f>RIGHT($B$5,3)</f>
        <v/>
      </c>
      <c r="R880" s="10">
        <f>IF(A880="D",LEFT(UPPER(B880)&amp;REPT(" ",20),20),REPT(" ",20))</f>
        <v/>
      </c>
      <c r="S880" s="10">
        <f>IF(A880="D",LEFT(UPPER(C880)&amp;REPT(" ",10),10)," ")</f>
        <v/>
      </c>
      <c r="T880" s="10">
        <f>IF(A880="D",LEFT(UPPER(D880)&amp;REPT(" ",2),2)," ")</f>
        <v/>
      </c>
      <c r="U880" s="10">
        <f>IF(A880="D",LEFT(UPPER(E880)&amp;REPT(" ",15),15)," ")</f>
        <v/>
      </c>
      <c r="V880" s="10">
        <f>REPT(" ",24)</f>
        <v/>
      </c>
      <c r="W880" s="10">
        <f>IF(A880="c",LEFT(UPPER(B880)&amp;REPT(" ",20),20),REPT(" ",20))</f>
        <v/>
      </c>
      <c r="X880" s="10">
        <f>IF(A880="C",LEFT(UPPER(C880)&amp;REPT(" ",10),10)," ")</f>
        <v/>
      </c>
      <c r="Y880" s="10">
        <f>IF(A880="C",LEFT(UPPER(D880)&amp;REPT(" ",2),2)," ")</f>
        <v/>
      </c>
      <c r="Z880" s="10">
        <f>IF(A880="C",LEFT(UPPER(E880)&amp;REPT(" ",15),15)," ")</f>
        <v/>
      </c>
      <c r="AA880" s="10">
        <f>REPT(" ",8)</f>
        <v/>
      </c>
      <c r="AB880" s="10">
        <f>REPT(" ",4)</f>
        <v/>
      </c>
      <c r="AC880" s="10">
        <f>LEFT(UPPER(H880)&amp;REPT(" ",250),250)</f>
        <v/>
      </c>
      <c r="AD880" s="10">
        <f>TEXT($G$2,"dd/mm/aaaa")</f>
        <v/>
      </c>
      <c r="AE880" s="10">
        <f>REPT(" ",10)</f>
        <v/>
      </c>
      <c r="AF880" s="10">
        <f>REPT(" ",20)</f>
        <v/>
      </c>
      <c r="AG880" s="54">
        <f>REPT(" ",18-LEN(FIXED(F880,2,TRUE)))&amp;FIXED(F880,2,TRUE)</f>
        <v/>
      </c>
      <c r="AH880" s="10">
        <f>LEN(AC880)+LEN(AG880)</f>
        <v/>
      </c>
      <c r="AI880" s="10">
        <f>LEN(L880)</f>
        <v/>
      </c>
    </row>
    <row r="881">
      <c r="A881" s="46" t="n"/>
      <c r="B881" s="38" t="n"/>
      <c r="C881" s="41" t="n"/>
      <c r="D881" s="41" t="n"/>
      <c r="E881" s="41" t="n"/>
      <c r="F881" s="88" t="n"/>
      <c r="G881" s="89" t="n"/>
      <c r="H881" s="37" t="n"/>
      <c r="I881" s="42" t="n"/>
      <c r="J881" s="12">
        <f>IF(F881&lt;&gt;0,"LANÇAR","")</f>
        <v/>
      </c>
      <c r="K881" s="20" t="n"/>
      <c r="L881" s="13">
        <f>N881&amp;O881&amp;P881&amp;Q881&amp;R881&amp;S881&amp;T881&amp;U881&amp;V881&amp;W881&amp;X881&amp;Y881&amp;Z881&amp;AA881&amp;AB881&amp;AC881&amp;AD881&amp;AE881&amp;AF881&amp;AG881</f>
        <v/>
      </c>
      <c r="M881" s="20" t="n"/>
      <c r="N881" s="10">
        <f>TEXT($B$6,"00")</f>
        <v/>
      </c>
      <c r="O881" s="10">
        <f>REPT(" ",8)</f>
        <v/>
      </c>
      <c r="P881" s="10">
        <f>RIGHT($B$4,2)</f>
        <v/>
      </c>
      <c r="Q881" s="10">
        <f>RIGHT($B$5,3)</f>
        <v/>
      </c>
      <c r="R881" s="10">
        <f>IF(A881="D",LEFT(UPPER(B881)&amp;REPT(" ",20),20),REPT(" ",20))</f>
        <v/>
      </c>
      <c r="S881" s="10">
        <f>IF(A881="D",LEFT(UPPER(C881)&amp;REPT(" ",10),10)," ")</f>
        <v/>
      </c>
      <c r="T881" s="10">
        <f>IF(A881="D",LEFT(UPPER(D881)&amp;REPT(" ",2),2)," ")</f>
        <v/>
      </c>
      <c r="U881" s="10">
        <f>IF(A881="D",LEFT(UPPER(E881)&amp;REPT(" ",15),15)," ")</f>
        <v/>
      </c>
      <c r="V881" s="10">
        <f>REPT(" ",24)</f>
        <v/>
      </c>
      <c r="W881" s="10">
        <f>IF(A881="c",LEFT(UPPER(B881)&amp;REPT(" ",20),20),REPT(" ",20))</f>
        <v/>
      </c>
      <c r="X881" s="10">
        <f>IF(A881="C",LEFT(UPPER(C881)&amp;REPT(" ",10),10)," ")</f>
        <v/>
      </c>
      <c r="Y881" s="10">
        <f>IF(A881="C",LEFT(UPPER(D881)&amp;REPT(" ",2),2)," ")</f>
        <v/>
      </c>
      <c r="Z881" s="10">
        <f>IF(A881="C",LEFT(UPPER(E881)&amp;REPT(" ",15),15)," ")</f>
        <v/>
      </c>
      <c r="AA881" s="10">
        <f>REPT(" ",8)</f>
        <v/>
      </c>
      <c r="AB881" s="10">
        <f>REPT(" ",4)</f>
        <v/>
      </c>
      <c r="AC881" s="10">
        <f>LEFT(UPPER(H881)&amp;REPT(" ",250),250)</f>
        <v/>
      </c>
      <c r="AD881" s="10">
        <f>TEXT($G$2,"dd/mm/aaaa")</f>
        <v/>
      </c>
      <c r="AE881" s="10">
        <f>REPT(" ",10)</f>
        <v/>
      </c>
      <c r="AF881" s="10">
        <f>REPT(" ",20)</f>
        <v/>
      </c>
      <c r="AG881" s="54">
        <f>REPT(" ",18-LEN(FIXED(F881,2,TRUE)))&amp;FIXED(F881,2,TRUE)</f>
        <v/>
      </c>
      <c r="AH881" s="10">
        <f>LEN(AC881)+LEN(AG881)</f>
        <v/>
      </c>
      <c r="AI881" s="10">
        <f>LEN(L881)</f>
        <v/>
      </c>
    </row>
    <row r="882">
      <c r="A882" s="46" t="n"/>
      <c r="B882" s="38" t="n"/>
      <c r="C882" s="41" t="n"/>
      <c r="D882" s="41" t="n"/>
      <c r="E882" s="41" t="n"/>
      <c r="F882" s="88" t="n"/>
      <c r="G882" s="89" t="n"/>
      <c r="H882" s="37" t="n"/>
      <c r="I882" s="42" t="n"/>
      <c r="J882" s="12">
        <f>IF(F882&lt;&gt;0,"LANÇAR","")</f>
        <v/>
      </c>
      <c r="K882" s="20" t="n"/>
      <c r="L882" s="13">
        <f>N882&amp;O882&amp;P882&amp;Q882&amp;R882&amp;S882&amp;T882&amp;U882&amp;V882&amp;W882&amp;X882&amp;Y882&amp;Z882&amp;AA882&amp;AB882&amp;AC882&amp;AD882&amp;AE882&amp;AF882&amp;AG882</f>
        <v/>
      </c>
      <c r="M882" s="20" t="n"/>
      <c r="N882" s="10">
        <f>TEXT($B$6,"00")</f>
        <v/>
      </c>
      <c r="O882" s="10">
        <f>REPT(" ",8)</f>
        <v/>
      </c>
      <c r="P882" s="10">
        <f>RIGHT($B$4,2)</f>
        <v/>
      </c>
      <c r="Q882" s="10">
        <f>RIGHT($B$5,3)</f>
        <v/>
      </c>
      <c r="R882" s="10">
        <f>IF(A882="D",LEFT(UPPER(B882)&amp;REPT(" ",20),20),REPT(" ",20))</f>
        <v/>
      </c>
      <c r="S882" s="10">
        <f>IF(A882="D",LEFT(UPPER(C882)&amp;REPT(" ",10),10)," ")</f>
        <v/>
      </c>
      <c r="T882" s="10">
        <f>IF(A882="D",LEFT(UPPER(D882)&amp;REPT(" ",2),2)," ")</f>
        <v/>
      </c>
      <c r="U882" s="10">
        <f>IF(A882="D",LEFT(UPPER(E882)&amp;REPT(" ",15),15)," ")</f>
        <v/>
      </c>
      <c r="V882" s="10">
        <f>REPT(" ",24)</f>
        <v/>
      </c>
      <c r="W882" s="10">
        <f>IF(A882="c",LEFT(UPPER(B882)&amp;REPT(" ",20),20),REPT(" ",20))</f>
        <v/>
      </c>
      <c r="X882" s="10">
        <f>IF(A882="C",LEFT(UPPER(C882)&amp;REPT(" ",10),10)," ")</f>
        <v/>
      </c>
      <c r="Y882" s="10">
        <f>IF(A882="C",LEFT(UPPER(D882)&amp;REPT(" ",2),2)," ")</f>
        <v/>
      </c>
      <c r="Z882" s="10">
        <f>IF(A882="C",LEFT(UPPER(E882)&amp;REPT(" ",15),15)," ")</f>
        <v/>
      </c>
      <c r="AA882" s="10">
        <f>REPT(" ",8)</f>
        <v/>
      </c>
      <c r="AB882" s="10">
        <f>REPT(" ",4)</f>
        <v/>
      </c>
      <c r="AC882" s="10">
        <f>LEFT(UPPER(H882)&amp;REPT(" ",250),250)</f>
        <v/>
      </c>
      <c r="AD882" s="10">
        <f>TEXT($G$2,"dd/mm/aaaa")</f>
        <v/>
      </c>
      <c r="AE882" s="10">
        <f>REPT(" ",10)</f>
        <v/>
      </c>
      <c r="AF882" s="10">
        <f>REPT(" ",20)</f>
        <v/>
      </c>
      <c r="AG882" s="54">
        <f>REPT(" ",18-LEN(FIXED(F882,2,TRUE)))&amp;FIXED(F882,2,TRUE)</f>
        <v/>
      </c>
      <c r="AH882" s="10">
        <f>LEN(AC882)+LEN(AG882)</f>
        <v/>
      </c>
      <c r="AI882" s="10">
        <f>LEN(L882)</f>
        <v/>
      </c>
    </row>
    <row r="883">
      <c r="A883" s="46" t="n"/>
      <c r="B883" s="38" t="n"/>
      <c r="C883" s="41" t="n"/>
      <c r="D883" s="41" t="n"/>
      <c r="E883" s="41" t="n"/>
      <c r="F883" s="88" t="n"/>
      <c r="G883" s="89" t="n"/>
      <c r="H883" s="37" t="n"/>
      <c r="I883" s="42" t="n"/>
      <c r="J883" s="12">
        <f>IF(F883&lt;&gt;0,"LANÇAR","")</f>
        <v/>
      </c>
      <c r="K883" s="20" t="n"/>
      <c r="L883" s="13">
        <f>N883&amp;O883&amp;P883&amp;Q883&amp;R883&amp;S883&amp;T883&amp;U883&amp;V883&amp;W883&amp;X883&amp;Y883&amp;Z883&amp;AA883&amp;AB883&amp;AC883&amp;AD883&amp;AE883&amp;AF883&amp;AG883</f>
        <v/>
      </c>
      <c r="M883" s="20" t="n"/>
      <c r="N883" s="10">
        <f>TEXT($B$6,"00")</f>
        <v/>
      </c>
      <c r="O883" s="10">
        <f>REPT(" ",8)</f>
        <v/>
      </c>
      <c r="P883" s="10">
        <f>RIGHT($B$4,2)</f>
        <v/>
      </c>
      <c r="Q883" s="10">
        <f>RIGHT($B$5,3)</f>
        <v/>
      </c>
      <c r="R883" s="10">
        <f>IF(A883="D",LEFT(UPPER(B883)&amp;REPT(" ",20),20),REPT(" ",20))</f>
        <v/>
      </c>
      <c r="S883" s="10">
        <f>IF(A883="D",LEFT(UPPER(C883)&amp;REPT(" ",10),10)," ")</f>
        <v/>
      </c>
      <c r="T883" s="10">
        <f>IF(A883="D",LEFT(UPPER(D883)&amp;REPT(" ",2),2)," ")</f>
        <v/>
      </c>
      <c r="U883" s="10">
        <f>IF(A883="D",LEFT(UPPER(E883)&amp;REPT(" ",15),15)," ")</f>
        <v/>
      </c>
      <c r="V883" s="10">
        <f>REPT(" ",24)</f>
        <v/>
      </c>
      <c r="W883" s="10">
        <f>IF(A883="c",LEFT(UPPER(B883)&amp;REPT(" ",20),20),REPT(" ",20))</f>
        <v/>
      </c>
      <c r="X883" s="10">
        <f>IF(A883="C",LEFT(UPPER(C883)&amp;REPT(" ",10),10)," ")</f>
        <v/>
      </c>
      <c r="Y883" s="10">
        <f>IF(A883="C",LEFT(UPPER(D883)&amp;REPT(" ",2),2)," ")</f>
        <v/>
      </c>
      <c r="Z883" s="10">
        <f>IF(A883="C",LEFT(UPPER(E883)&amp;REPT(" ",15),15)," ")</f>
        <v/>
      </c>
      <c r="AA883" s="10">
        <f>REPT(" ",8)</f>
        <v/>
      </c>
      <c r="AB883" s="10">
        <f>REPT(" ",4)</f>
        <v/>
      </c>
      <c r="AC883" s="10">
        <f>LEFT(UPPER(H883)&amp;REPT(" ",250),250)</f>
        <v/>
      </c>
      <c r="AD883" s="10">
        <f>TEXT($G$2,"dd/mm/aaaa")</f>
        <v/>
      </c>
      <c r="AE883" s="10">
        <f>REPT(" ",10)</f>
        <v/>
      </c>
      <c r="AF883" s="10">
        <f>REPT(" ",20)</f>
        <v/>
      </c>
      <c r="AG883" s="54">
        <f>REPT(" ",18-LEN(FIXED(F883,2,TRUE)))&amp;FIXED(F883,2,TRUE)</f>
        <v/>
      </c>
      <c r="AH883" s="10">
        <f>LEN(AC883)+LEN(AG883)</f>
        <v/>
      </c>
      <c r="AI883" s="10">
        <f>LEN(L883)</f>
        <v/>
      </c>
    </row>
    <row r="884">
      <c r="A884" s="46" t="n"/>
      <c r="B884" s="38" t="n"/>
      <c r="C884" s="41" t="n"/>
      <c r="D884" s="41" t="n"/>
      <c r="E884" s="41" t="n"/>
      <c r="F884" s="88" t="n"/>
      <c r="G884" s="89" t="n"/>
      <c r="H884" s="37" t="n"/>
      <c r="I884" s="42" t="n"/>
      <c r="J884" s="12">
        <f>IF(F884&lt;&gt;0,"LANÇAR","")</f>
        <v/>
      </c>
      <c r="K884" s="20" t="n"/>
      <c r="L884" s="13">
        <f>N884&amp;O884&amp;P884&amp;Q884&amp;R884&amp;S884&amp;T884&amp;U884&amp;V884&amp;W884&amp;X884&amp;Y884&amp;Z884&amp;AA884&amp;AB884&amp;AC884&amp;AD884&amp;AE884&amp;AF884&amp;AG884</f>
        <v/>
      </c>
      <c r="M884" s="20" t="n"/>
      <c r="N884" s="10">
        <f>TEXT($B$6,"00")</f>
        <v/>
      </c>
      <c r="O884" s="10">
        <f>REPT(" ",8)</f>
        <v/>
      </c>
      <c r="P884" s="10">
        <f>RIGHT($B$4,2)</f>
        <v/>
      </c>
      <c r="Q884" s="10">
        <f>RIGHT($B$5,3)</f>
        <v/>
      </c>
      <c r="R884" s="10">
        <f>IF(A884="D",LEFT(UPPER(B884)&amp;REPT(" ",20),20),REPT(" ",20))</f>
        <v/>
      </c>
      <c r="S884" s="10">
        <f>IF(A884="D",LEFT(UPPER(C884)&amp;REPT(" ",10),10)," ")</f>
        <v/>
      </c>
      <c r="T884" s="10">
        <f>IF(A884="D",LEFT(UPPER(D884)&amp;REPT(" ",2),2)," ")</f>
        <v/>
      </c>
      <c r="U884" s="10">
        <f>IF(A884="D",LEFT(UPPER(E884)&amp;REPT(" ",15),15)," ")</f>
        <v/>
      </c>
      <c r="V884" s="10">
        <f>REPT(" ",24)</f>
        <v/>
      </c>
      <c r="W884" s="10">
        <f>IF(A884="c",LEFT(UPPER(B884)&amp;REPT(" ",20),20),REPT(" ",20))</f>
        <v/>
      </c>
      <c r="X884" s="10">
        <f>IF(A884="C",LEFT(UPPER(C884)&amp;REPT(" ",10),10)," ")</f>
        <v/>
      </c>
      <c r="Y884" s="10">
        <f>IF(A884="C",LEFT(UPPER(D884)&amp;REPT(" ",2),2)," ")</f>
        <v/>
      </c>
      <c r="Z884" s="10">
        <f>IF(A884="C",LEFT(UPPER(E884)&amp;REPT(" ",15),15)," ")</f>
        <v/>
      </c>
      <c r="AA884" s="10">
        <f>REPT(" ",8)</f>
        <v/>
      </c>
      <c r="AB884" s="10">
        <f>REPT(" ",4)</f>
        <v/>
      </c>
      <c r="AC884" s="10">
        <f>LEFT(UPPER(H884)&amp;REPT(" ",250),250)</f>
        <v/>
      </c>
      <c r="AD884" s="10">
        <f>TEXT($G$2,"dd/mm/aaaa")</f>
        <v/>
      </c>
      <c r="AE884" s="10">
        <f>REPT(" ",10)</f>
        <v/>
      </c>
      <c r="AF884" s="10">
        <f>REPT(" ",20)</f>
        <v/>
      </c>
      <c r="AG884" s="54">
        <f>REPT(" ",18-LEN(FIXED(F884,2,TRUE)))&amp;FIXED(F884,2,TRUE)</f>
        <v/>
      </c>
      <c r="AH884" s="10">
        <f>LEN(AC884)+LEN(AG884)</f>
        <v/>
      </c>
      <c r="AI884" s="10">
        <f>LEN(L884)</f>
        <v/>
      </c>
    </row>
    <row r="885">
      <c r="A885" s="46" t="n"/>
      <c r="B885" s="38" t="n"/>
      <c r="C885" s="41" t="n"/>
      <c r="D885" s="41" t="n"/>
      <c r="E885" s="41" t="n"/>
      <c r="F885" s="88" t="n"/>
      <c r="G885" s="89" t="n"/>
      <c r="H885" s="37" t="n"/>
      <c r="I885" s="42" t="n"/>
      <c r="J885" s="12">
        <f>IF(F885&lt;&gt;0,"LANÇAR","")</f>
        <v/>
      </c>
      <c r="K885" s="20" t="n"/>
      <c r="L885" s="13">
        <f>N885&amp;O885&amp;P885&amp;Q885&amp;R885&amp;S885&amp;T885&amp;U885&amp;V885&amp;W885&amp;X885&amp;Y885&amp;Z885&amp;AA885&amp;AB885&amp;AC885&amp;AD885&amp;AE885&amp;AF885&amp;AG885</f>
        <v/>
      </c>
      <c r="M885" s="20" t="n"/>
      <c r="N885" s="10">
        <f>TEXT($B$6,"00")</f>
        <v/>
      </c>
      <c r="O885" s="10">
        <f>REPT(" ",8)</f>
        <v/>
      </c>
      <c r="P885" s="10">
        <f>RIGHT($B$4,2)</f>
        <v/>
      </c>
      <c r="Q885" s="10">
        <f>RIGHT($B$5,3)</f>
        <v/>
      </c>
      <c r="R885" s="10">
        <f>IF(A885="D",LEFT(UPPER(B885)&amp;REPT(" ",20),20),REPT(" ",20))</f>
        <v/>
      </c>
      <c r="S885" s="10">
        <f>IF(A885="D",LEFT(UPPER(C885)&amp;REPT(" ",10),10)," ")</f>
        <v/>
      </c>
      <c r="T885" s="10">
        <f>IF(A885="D",LEFT(UPPER(D885)&amp;REPT(" ",2),2)," ")</f>
        <v/>
      </c>
      <c r="U885" s="10">
        <f>IF(A885="D",LEFT(UPPER(E885)&amp;REPT(" ",15),15)," ")</f>
        <v/>
      </c>
      <c r="V885" s="10">
        <f>REPT(" ",24)</f>
        <v/>
      </c>
      <c r="W885" s="10">
        <f>IF(A885="c",LEFT(UPPER(B885)&amp;REPT(" ",20),20),REPT(" ",20))</f>
        <v/>
      </c>
      <c r="X885" s="10">
        <f>IF(A885="C",LEFT(UPPER(C885)&amp;REPT(" ",10),10)," ")</f>
        <v/>
      </c>
      <c r="Y885" s="10">
        <f>IF(A885="C",LEFT(UPPER(D885)&amp;REPT(" ",2),2)," ")</f>
        <v/>
      </c>
      <c r="Z885" s="10">
        <f>IF(A885="C",LEFT(UPPER(E885)&amp;REPT(" ",15),15)," ")</f>
        <v/>
      </c>
      <c r="AA885" s="10">
        <f>REPT(" ",8)</f>
        <v/>
      </c>
      <c r="AB885" s="10">
        <f>REPT(" ",4)</f>
        <v/>
      </c>
      <c r="AC885" s="10">
        <f>LEFT(UPPER(H885)&amp;REPT(" ",250),250)</f>
        <v/>
      </c>
      <c r="AD885" s="10">
        <f>TEXT($G$2,"dd/mm/aaaa")</f>
        <v/>
      </c>
      <c r="AE885" s="10">
        <f>REPT(" ",10)</f>
        <v/>
      </c>
      <c r="AF885" s="10">
        <f>REPT(" ",20)</f>
        <v/>
      </c>
      <c r="AG885" s="54">
        <f>REPT(" ",18-LEN(FIXED(F885,2,TRUE)))&amp;FIXED(F885,2,TRUE)</f>
        <v/>
      </c>
      <c r="AH885" s="10">
        <f>LEN(AC885)+LEN(AG885)</f>
        <v/>
      </c>
      <c r="AI885" s="10">
        <f>LEN(L885)</f>
        <v/>
      </c>
    </row>
    <row r="886">
      <c r="A886" s="46" t="n"/>
      <c r="B886" s="38" t="n"/>
      <c r="C886" s="41" t="n"/>
      <c r="D886" s="41" t="n"/>
      <c r="E886" s="41" t="n"/>
      <c r="F886" s="88" t="n"/>
      <c r="G886" s="89" t="n"/>
      <c r="H886" s="37" t="n"/>
      <c r="I886" s="42" t="n"/>
      <c r="J886" s="12">
        <f>IF(F886&lt;&gt;0,"LANÇAR","")</f>
        <v/>
      </c>
      <c r="K886" s="20" t="n"/>
      <c r="L886" s="13">
        <f>N886&amp;O886&amp;P886&amp;Q886&amp;R886&amp;S886&amp;T886&amp;U886&amp;V886&amp;W886&amp;X886&amp;Y886&amp;Z886&amp;AA886&amp;AB886&amp;AC886&amp;AD886&amp;AE886&amp;AF886&amp;AG886</f>
        <v/>
      </c>
      <c r="M886" s="20" t="n"/>
      <c r="N886" s="10">
        <f>TEXT($B$6,"00")</f>
        <v/>
      </c>
      <c r="O886" s="10">
        <f>REPT(" ",8)</f>
        <v/>
      </c>
      <c r="P886" s="10">
        <f>RIGHT($B$4,2)</f>
        <v/>
      </c>
      <c r="Q886" s="10">
        <f>RIGHT($B$5,3)</f>
        <v/>
      </c>
      <c r="R886" s="10">
        <f>IF(A886="D",LEFT(UPPER(B886)&amp;REPT(" ",20),20),REPT(" ",20))</f>
        <v/>
      </c>
      <c r="S886" s="10">
        <f>IF(A886="D",LEFT(UPPER(C886)&amp;REPT(" ",10),10)," ")</f>
        <v/>
      </c>
      <c r="T886" s="10">
        <f>IF(A886="D",LEFT(UPPER(D886)&amp;REPT(" ",2),2)," ")</f>
        <v/>
      </c>
      <c r="U886" s="10">
        <f>IF(A886="D",LEFT(UPPER(E886)&amp;REPT(" ",15),15)," ")</f>
        <v/>
      </c>
      <c r="V886" s="10">
        <f>REPT(" ",24)</f>
        <v/>
      </c>
      <c r="W886" s="10">
        <f>IF(A886="c",LEFT(UPPER(B886)&amp;REPT(" ",20),20),REPT(" ",20))</f>
        <v/>
      </c>
      <c r="X886" s="10">
        <f>IF(A886="C",LEFT(UPPER(C886)&amp;REPT(" ",10),10)," ")</f>
        <v/>
      </c>
      <c r="Y886" s="10">
        <f>IF(A886="C",LEFT(UPPER(D886)&amp;REPT(" ",2),2)," ")</f>
        <v/>
      </c>
      <c r="Z886" s="10">
        <f>IF(A886="C",LEFT(UPPER(E886)&amp;REPT(" ",15),15)," ")</f>
        <v/>
      </c>
      <c r="AA886" s="10">
        <f>REPT(" ",8)</f>
        <v/>
      </c>
      <c r="AB886" s="10">
        <f>REPT(" ",4)</f>
        <v/>
      </c>
      <c r="AC886" s="10">
        <f>LEFT(UPPER(H886)&amp;REPT(" ",250),250)</f>
        <v/>
      </c>
      <c r="AD886" s="10">
        <f>TEXT($G$2,"dd/mm/aaaa")</f>
        <v/>
      </c>
      <c r="AE886" s="10">
        <f>REPT(" ",10)</f>
        <v/>
      </c>
      <c r="AF886" s="10">
        <f>REPT(" ",20)</f>
        <v/>
      </c>
      <c r="AG886" s="54">
        <f>REPT(" ",18-LEN(FIXED(F886,2,TRUE)))&amp;FIXED(F886,2,TRUE)</f>
        <v/>
      </c>
      <c r="AH886" s="10">
        <f>LEN(AC886)+LEN(AG886)</f>
        <v/>
      </c>
      <c r="AI886" s="10">
        <f>LEN(L886)</f>
        <v/>
      </c>
    </row>
    <row r="887">
      <c r="A887" s="46" t="n"/>
      <c r="B887" s="38" t="n"/>
      <c r="C887" s="41" t="n"/>
      <c r="D887" s="41" t="n"/>
      <c r="E887" s="41" t="n"/>
      <c r="F887" s="88" t="n"/>
      <c r="G887" s="89" t="n"/>
      <c r="H887" s="37" t="n"/>
      <c r="I887" s="42" t="n"/>
      <c r="J887" s="12">
        <f>IF(F887&lt;&gt;0,"LANÇAR","")</f>
        <v/>
      </c>
      <c r="K887" s="20" t="n"/>
      <c r="L887" s="13">
        <f>N887&amp;O887&amp;P887&amp;Q887&amp;R887&amp;S887&amp;T887&amp;U887&amp;V887&amp;W887&amp;X887&amp;Y887&amp;Z887&amp;AA887&amp;AB887&amp;AC887&amp;AD887&amp;AE887&amp;AF887&amp;AG887</f>
        <v/>
      </c>
      <c r="M887" s="20" t="n"/>
      <c r="N887" s="10">
        <f>TEXT($B$6,"00")</f>
        <v/>
      </c>
      <c r="O887" s="10">
        <f>REPT(" ",8)</f>
        <v/>
      </c>
      <c r="P887" s="10">
        <f>RIGHT($B$4,2)</f>
        <v/>
      </c>
      <c r="Q887" s="10">
        <f>RIGHT($B$5,3)</f>
        <v/>
      </c>
      <c r="R887" s="10">
        <f>IF(A887="D",LEFT(UPPER(B887)&amp;REPT(" ",20),20),REPT(" ",20))</f>
        <v/>
      </c>
      <c r="S887" s="10">
        <f>IF(A887="D",LEFT(UPPER(C887)&amp;REPT(" ",10),10)," ")</f>
        <v/>
      </c>
      <c r="T887" s="10">
        <f>IF(A887="D",LEFT(UPPER(D887)&amp;REPT(" ",2),2)," ")</f>
        <v/>
      </c>
      <c r="U887" s="10">
        <f>IF(A887="D",LEFT(UPPER(E887)&amp;REPT(" ",15),15)," ")</f>
        <v/>
      </c>
      <c r="V887" s="10">
        <f>REPT(" ",24)</f>
        <v/>
      </c>
      <c r="W887" s="10">
        <f>IF(A887="c",LEFT(UPPER(B887)&amp;REPT(" ",20),20),REPT(" ",20))</f>
        <v/>
      </c>
      <c r="X887" s="10">
        <f>IF(A887="C",LEFT(UPPER(C887)&amp;REPT(" ",10),10)," ")</f>
        <v/>
      </c>
      <c r="Y887" s="10">
        <f>IF(A887="C",LEFT(UPPER(D887)&amp;REPT(" ",2),2)," ")</f>
        <v/>
      </c>
      <c r="Z887" s="10">
        <f>IF(A887="C",LEFT(UPPER(E887)&amp;REPT(" ",15),15)," ")</f>
        <v/>
      </c>
      <c r="AA887" s="10">
        <f>REPT(" ",8)</f>
        <v/>
      </c>
      <c r="AB887" s="10">
        <f>REPT(" ",4)</f>
        <v/>
      </c>
      <c r="AC887" s="10">
        <f>LEFT(UPPER(H887)&amp;REPT(" ",250),250)</f>
        <v/>
      </c>
      <c r="AD887" s="10">
        <f>TEXT($G$2,"dd/mm/aaaa")</f>
        <v/>
      </c>
      <c r="AE887" s="10">
        <f>REPT(" ",10)</f>
        <v/>
      </c>
      <c r="AF887" s="10">
        <f>REPT(" ",20)</f>
        <v/>
      </c>
      <c r="AG887" s="54">
        <f>REPT(" ",18-LEN(FIXED(F887,2,TRUE)))&amp;FIXED(F887,2,TRUE)</f>
        <v/>
      </c>
      <c r="AH887" s="10">
        <f>LEN(AC887)+LEN(AG887)</f>
        <v/>
      </c>
      <c r="AI887" s="10">
        <f>LEN(L887)</f>
        <v/>
      </c>
    </row>
    <row r="888">
      <c r="A888" s="46" t="n"/>
      <c r="B888" s="38" t="n"/>
      <c r="C888" s="41" t="n"/>
      <c r="D888" s="41" t="n"/>
      <c r="E888" s="41" t="n"/>
      <c r="F888" s="88" t="n"/>
      <c r="G888" s="89" t="n"/>
      <c r="H888" s="37" t="n"/>
      <c r="I888" s="42" t="n"/>
      <c r="J888" s="12">
        <f>IF(F888&lt;&gt;0,"LANÇAR","")</f>
        <v/>
      </c>
      <c r="K888" s="20" t="n"/>
      <c r="L888" s="13">
        <f>N888&amp;O888&amp;P888&amp;Q888&amp;R888&amp;S888&amp;T888&amp;U888&amp;V888&amp;W888&amp;X888&amp;Y888&amp;Z888&amp;AA888&amp;AB888&amp;AC888&amp;AD888&amp;AE888&amp;AF888&amp;AG888</f>
        <v/>
      </c>
      <c r="M888" s="20" t="n"/>
      <c r="N888" s="10">
        <f>TEXT($B$6,"00")</f>
        <v/>
      </c>
      <c r="O888" s="10">
        <f>REPT(" ",8)</f>
        <v/>
      </c>
      <c r="P888" s="10">
        <f>RIGHT($B$4,2)</f>
        <v/>
      </c>
      <c r="Q888" s="10">
        <f>RIGHT($B$5,3)</f>
        <v/>
      </c>
      <c r="R888" s="10">
        <f>IF(A888="D",LEFT(UPPER(B888)&amp;REPT(" ",20),20),REPT(" ",20))</f>
        <v/>
      </c>
      <c r="S888" s="10">
        <f>IF(A888="D",LEFT(UPPER(C888)&amp;REPT(" ",10),10)," ")</f>
        <v/>
      </c>
      <c r="T888" s="10">
        <f>IF(A888="D",LEFT(UPPER(D888)&amp;REPT(" ",2),2)," ")</f>
        <v/>
      </c>
      <c r="U888" s="10">
        <f>IF(A888="D",LEFT(UPPER(E888)&amp;REPT(" ",15),15)," ")</f>
        <v/>
      </c>
      <c r="V888" s="10">
        <f>REPT(" ",24)</f>
        <v/>
      </c>
      <c r="W888" s="10">
        <f>IF(A888="c",LEFT(UPPER(B888)&amp;REPT(" ",20),20),REPT(" ",20))</f>
        <v/>
      </c>
      <c r="X888" s="10">
        <f>IF(A888="C",LEFT(UPPER(C888)&amp;REPT(" ",10),10)," ")</f>
        <v/>
      </c>
      <c r="Y888" s="10">
        <f>IF(A888="C",LEFT(UPPER(D888)&amp;REPT(" ",2),2)," ")</f>
        <v/>
      </c>
      <c r="Z888" s="10">
        <f>IF(A888="C",LEFT(UPPER(E888)&amp;REPT(" ",15),15)," ")</f>
        <v/>
      </c>
      <c r="AA888" s="10">
        <f>REPT(" ",8)</f>
        <v/>
      </c>
      <c r="AB888" s="10">
        <f>REPT(" ",4)</f>
        <v/>
      </c>
      <c r="AC888" s="10">
        <f>LEFT(UPPER(H888)&amp;REPT(" ",250),250)</f>
        <v/>
      </c>
      <c r="AD888" s="10">
        <f>TEXT($G$2,"dd/mm/aaaa")</f>
        <v/>
      </c>
      <c r="AE888" s="10">
        <f>REPT(" ",10)</f>
        <v/>
      </c>
      <c r="AF888" s="10">
        <f>REPT(" ",20)</f>
        <v/>
      </c>
      <c r="AG888" s="54">
        <f>REPT(" ",18-LEN(FIXED(F888,2,TRUE)))&amp;FIXED(F888,2,TRUE)</f>
        <v/>
      </c>
      <c r="AH888" s="10">
        <f>LEN(AC888)+LEN(AG888)</f>
        <v/>
      </c>
      <c r="AI888" s="10">
        <f>LEN(L888)</f>
        <v/>
      </c>
    </row>
    <row r="889">
      <c r="A889" s="46" t="n"/>
      <c r="B889" s="38" t="n"/>
      <c r="C889" s="41" t="n"/>
      <c r="D889" s="41" t="n"/>
      <c r="E889" s="41" t="n"/>
      <c r="F889" s="88" t="n"/>
      <c r="G889" s="89" t="n"/>
      <c r="H889" s="37" t="n"/>
      <c r="I889" s="42" t="n"/>
      <c r="J889" s="12">
        <f>IF(F889&lt;&gt;0,"LANÇAR","")</f>
        <v/>
      </c>
      <c r="K889" s="20" t="n"/>
      <c r="L889" s="13">
        <f>N889&amp;O889&amp;P889&amp;Q889&amp;R889&amp;S889&amp;T889&amp;U889&amp;V889&amp;W889&amp;X889&amp;Y889&amp;Z889&amp;AA889&amp;AB889&amp;AC889&amp;AD889&amp;AE889&amp;AF889&amp;AG889</f>
        <v/>
      </c>
      <c r="M889" s="20" t="n"/>
      <c r="N889" s="10">
        <f>TEXT($B$6,"00")</f>
        <v/>
      </c>
      <c r="O889" s="10">
        <f>REPT(" ",8)</f>
        <v/>
      </c>
      <c r="P889" s="10">
        <f>RIGHT($B$4,2)</f>
        <v/>
      </c>
      <c r="Q889" s="10">
        <f>RIGHT($B$5,3)</f>
        <v/>
      </c>
      <c r="R889" s="10">
        <f>IF(A889="D",LEFT(UPPER(B889)&amp;REPT(" ",20),20),REPT(" ",20))</f>
        <v/>
      </c>
      <c r="S889" s="10">
        <f>IF(A889="D",LEFT(UPPER(C889)&amp;REPT(" ",10),10)," ")</f>
        <v/>
      </c>
      <c r="T889" s="10">
        <f>IF(A889="D",LEFT(UPPER(D889)&amp;REPT(" ",2),2)," ")</f>
        <v/>
      </c>
      <c r="U889" s="10">
        <f>IF(A889="D",LEFT(UPPER(E889)&amp;REPT(" ",15),15)," ")</f>
        <v/>
      </c>
      <c r="V889" s="10">
        <f>REPT(" ",24)</f>
        <v/>
      </c>
      <c r="W889" s="10">
        <f>IF(A889="c",LEFT(UPPER(B889)&amp;REPT(" ",20),20),REPT(" ",20))</f>
        <v/>
      </c>
      <c r="X889" s="10">
        <f>IF(A889="C",LEFT(UPPER(C889)&amp;REPT(" ",10),10)," ")</f>
        <v/>
      </c>
      <c r="Y889" s="10">
        <f>IF(A889="C",LEFT(UPPER(D889)&amp;REPT(" ",2),2)," ")</f>
        <v/>
      </c>
      <c r="Z889" s="10">
        <f>IF(A889="C",LEFT(UPPER(E889)&amp;REPT(" ",15),15)," ")</f>
        <v/>
      </c>
      <c r="AA889" s="10">
        <f>REPT(" ",8)</f>
        <v/>
      </c>
      <c r="AB889" s="10">
        <f>REPT(" ",4)</f>
        <v/>
      </c>
      <c r="AC889" s="10">
        <f>LEFT(UPPER(H889)&amp;REPT(" ",250),250)</f>
        <v/>
      </c>
      <c r="AD889" s="10">
        <f>TEXT($G$2,"dd/mm/aaaa")</f>
        <v/>
      </c>
      <c r="AE889" s="10">
        <f>REPT(" ",10)</f>
        <v/>
      </c>
      <c r="AF889" s="10">
        <f>REPT(" ",20)</f>
        <v/>
      </c>
      <c r="AG889" s="54">
        <f>REPT(" ",18-LEN(FIXED(F889,2,TRUE)))&amp;FIXED(F889,2,TRUE)</f>
        <v/>
      </c>
      <c r="AH889" s="10">
        <f>LEN(AC889)+LEN(AG889)</f>
        <v/>
      </c>
      <c r="AI889" s="10">
        <f>LEN(L889)</f>
        <v/>
      </c>
    </row>
    <row r="890">
      <c r="A890" s="46" t="n"/>
      <c r="B890" s="38" t="n"/>
      <c r="C890" s="41" t="n"/>
      <c r="D890" s="41" t="n"/>
      <c r="E890" s="41" t="n"/>
      <c r="F890" s="88" t="n"/>
      <c r="G890" s="89" t="n"/>
      <c r="H890" s="37" t="n"/>
      <c r="I890" s="42" t="n"/>
      <c r="J890" s="12">
        <f>IF(F890&lt;&gt;0,"LANÇAR","")</f>
        <v/>
      </c>
      <c r="K890" s="20" t="n"/>
      <c r="L890" s="13">
        <f>N890&amp;O890&amp;P890&amp;Q890&amp;R890&amp;S890&amp;T890&amp;U890&amp;V890&amp;W890&amp;X890&amp;Y890&amp;Z890&amp;AA890&amp;AB890&amp;AC890&amp;AD890&amp;AE890&amp;AF890&amp;AG890</f>
        <v/>
      </c>
      <c r="M890" s="20" t="n"/>
      <c r="N890" s="10">
        <f>TEXT($B$6,"00")</f>
        <v/>
      </c>
      <c r="O890" s="10">
        <f>REPT(" ",8)</f>
        <v/>
      </c>
      <c r="P890" s="10">
        <f>RIGHT($B$4,2)</f>
        <v/>
      </c>
      <c r="Q890" s="10">
        <f>RIGHT($B$5,3)</f>
        <v/>
      </c>
      <c r="R890" s="10">
        <f>IF(A890="D",LEFT(UPPER(B890)&amp;REPT(" ",20),20),REPT(" ",20))</f>
        <v/>
      </c>
      <c r="S890" s="10">
        <f>IF(A890="D",LEFT(UPPER(C890)&amp;REPT(" ",10),10)," ")</f>
        <v/>
      </c>
      <c r="T890" s="10">
        <f>IF(A890="D",LEFT(UPPER(D890)&amp;REPT(" ",2),2)," ")</f>
        <v/>
      </c>
      <c r="U890" s="10">
        <f>IF(A890="D",LEFT(UPPER(E890)&amp;REPT(" ",15),15)," ")</f>
        <v/>
      </c>
      <c r="V890" s="10">
        <f>REPT(" ",24)</f>
        <v/>
      </c>
      <c r="W890" s="10">
        <f>IF(A890="c",LEFT(UPPER(B890)&amp;REPT(" ",20),20),REPT(" ",20))</f>
        <v/>
      </c>
      <c r="X890" s="10">
        <f>IF(A890="C",LEFT(UPPER(C890)&amp;REPT(" ",10),10)," ")</f>
        <v/>
      </c>
      <c r="Y890" s="10">
        <f>IF(A890="C",LEFT(UPPER(D890)&amp;REPT(" ",2),2)," ")</f>
        <v/>
      </c>
      <c r="Z890" s="10">
        <f>IF(A890="C",LEFT(UPPER(E890)&amp;REPT(" ",15),15)," ")</f>
        <v/>
      </c>
      <c r="AA890" s="10">
        <f>REPT(" ",8)</f>
        <v/>
      </c>
      <c r="AB890" s="10">
        <f>REPT(" ",4)</f>
        <v/>
      </c>
      <c r="AC890" s="10">
        <f>LEFT(UPPER(H890)&amp;REPT(" ",250),250)</f>
        <v/>
      </c>
      <c r="AD890" s="10">
        <f>TEXT($G$2,"dd/mm/aaaa")</f>
        <v/>
      </c>
      <c r="AE890" s="10">
        <f>REPT(" ",10)</f>
        <v/>
      </c>
      <c r="AF890" s="10">
        <f>REPT(" ",20)</f>
        <v/>
      </c>
      <c r="AG890" s="54">
        <f>REPT(" ",18-LEN(FIXED(F890,2,TRUE)))&amp;FIXED(F890,2,TRUE)</f>
        <v/>
      </c>
      <c r="AH890" s="10">
        <f>LEN(AC890)+LEN(AG890)</f>
        <v/>
      </c>
      <c r="AI890" s="10">
        <f>LEN(L890)</f>
        <v/>
      </c>
    </row>
    <row r="891">
      <c r="A891" s="46" t="n"/>
      <c r="B891" s="38" t="n"/>
      <c r="C891" s="41" t="n"/>
      <c r="D891" s="41" t="n"/>
      <c r="E891" s="41" t="n"/>
      <c r="F891" s="88" t="n"/>
      <c r="G891" s="89" t="n"/>
      <c r="H891" s="37" t="n"/>
      <c r="I891" s="42" t="n"/>
      <c r="J891" s="12">
        <f>IF(F891&lt;&gt;0,"LANÇAR","")</f>
        <v/>
      </c>
      <c r="K891" s="20" t="n"/>
      <c r="L891" s="13">
        <f>N891&amp;O891&amp;P891&amp;Q891&amp;R891&amp;S891&amp;T891&amp;U891&amp;V891&amp;W891&amp;X891&amp;Y891&amp;Z891&amp;AA891&amp;AB891&amp;AC891&amp;AD891&amp;AE891&amp;AF891&amp;AG891</f>
        <v/>
      </c>
      <c r="M891" s="20" t="n"/>
      <c r="N891" s="10">
        <f>TEXT($B$6,"00")</f>
        <v/>
      </c>
      <c r="O891" s="10">
        <f>REPT(" ",8)</f>
        <v/>
      </c>
      <c r="P891" s="10">
        <f>RIGHT($B$4,2)</f>
        <v/>
      </c>
      <c r="Q891" s="10">
        <f>RIGHT($B$5,3)</f>
        <v/>
      </c>
      <c r="R891" s="10">
        <f>IF(A891="D",LEFT(UPPER(B891)&amp;REPT(" ",20),20),REPT(" ",20))</f>
        <v/>
      </c>
      <c r="S891" s="10">
        <f>IF(A891="D",LEFT(UPPER(C891)&amp;REPT(" ",10),10)," ")</f>
        <v/>
      </c>
      <c r="T891" s="10">
        <f>IF(A891="D",LEFT(UPPER(D891)&amp;REPT(" ",2),2)," ")</f>
        <v/>
      </c>
      <c r="U891" s="10">
        <f>IF(A891="D",LEFT(UPPER(E891)&amp;REPT(" ",15),15)," ")</f>
        <v/>
      </c>
      <c r="V891" s="10">
        <f>REPT(" ",24)</f>
        <v/>
      </c>
      <c r="W891" s="10">
        <f>IF(A891="c",LEFT(UPPER(B891)&amp;REPT(" ",20),20),REPT(" ",20))</f>
        <v/>
      </c>
      <c r="X891" s="10">
        <f>IF(A891="C",LEFT(UPPER(C891)&amp;REPT(" ",10),10)," ")</f>
        <v/>
      </c>
      <c r="Y891" s="10">
        <f>IF(A891="C",LEFT(UPPER(D891)&amp;REPT(" ",2),2)," ")</f>
        <v/>
      </c>
      <c r="Z891" s="10">
        <f>IF(A891="C",LEFT(UPPER(E891)&amp;REPT(" ",15),15)," ")</f>
        <v/>
      </c>
      <c r="AA891" s="10">
        <f>REPT(" ",8)</f>
        <v/>
      </c>
      <c r="AB891" s="10">
        <f>REPT(" ",4)</f>
        <v/>
      </c>
      <c r="AC891" s="10">
        <f>LEFT(UPPER(H891)&amp;REPT(" ",250),250)</f>
        <v/>
      </c>
      <c r="AD891" s="10">
        <f>TEXT($G$2,"dd/mm/aaaa")</f>
        <v/>
      </c>
      <c r="AE891" s="10">
        <f>REPT(" ",10)</f>
        <v/>
      </c>
      <c r="AF891" s="10">
        <f>REPT(" ",20)</f>
        <v/>
      </c>
      <c r="AG891" s="54">
        <f>REPT(" ",18-LEN(FIXED(F891,2,TRUE)))&amp;FIXED(F891,2,TRUE)</f>
        <v/>
      </c>
      <c r="AH891" s="10">
        <f>LEN(AC891)+LEN(AG891)</f>
        <v/>
      </c>
      <c r="AI891" s="10">
        <f>LEN(L891)</f>
        <v/>
      </c>
    </row>
    <row r="892">
      <c r="A892" s="46" t="n"/>
      <c r="B892" s="38" t="n"/>
      <c r="C892" s="41" t="n"/>
      <c r="D892" s="41" t="n"/>
      <c r="E892" s="41" t="n"/>
      <c r="F892" s="88" t="n"/>
      <c r="G892" s="89" t="n"/>
      <c r="H892" s="37" t="n"/>
      <c r="I892" s="42" t="n"/>
      <c r="J892" s="12">
        <f>IF(F892&lt;&gt;0,"LANÇAR","")</f>
        <v/>
      </c>
      <c r="K892" s="20" t="n"/>
      <c r="L892" s="13">
        <f>N892&amp;O892&amp;P892&amp;Q892&amp;R892&amp;S892&amp;T892&amp;U892&amp;V892&amp;W892&amp;X892&amp;Y892&amp;Z892&amp;AA892&amp;AB892&amp;AC892&amp;AD892&amp;AE892&amp;AF892&amp;AG892</f>
        <v/>
      </c>
      <c r="M892" s="20" t="n"/>
      <c r="N892" s="10">
        <f>TEXT($B$6,"00")</f>
        <v/>
      </c>
      <c r="O892" s="10">
        <f>REPT(" ",8)</f>
        <v/>
      </c>
      <c r="P892" s="10">
        <f>RIGHT($B$4,2)</f>
        <v/>
      </c>
      <c r="Q892" s="10">
        <f>RIGHT($B$5,3)</f>
        <v/>
      </c>
      <c r="R892" s="10">
        <f>IF(A892="D",LEFT(UPPER(B892)&amp;REPT(" ",20),20),REPT(" ",20))</f>
        <v/>
      </c>
      <c r="S892" s="10">
        <f>IF(A892="D",LEFT(UPPER(C892)&amp;REPT(" ",10),10)," ")</f>
        <v/>
      </c>
      <c r="T892" s="10">
        <f>IF(A892="D",LEFT(UPPER(D892)&amp;REPT(" ",2),2)," ")</f>
        <v/>
      </c>
      <c r="U892" s="10">
        <f>IF(A892="D",LEFT(UPPER(E892)&amp;REPT(" ",15),15)," ")</f>
        <v/>
      </c>
      <c r="V892" s="10">
        <f>REPT(" ",24)</f>
        <v/>
      </c>
      <c r="W892" s="10">
        <f>IF(A892="c",LEFT(UPPER(B892)&amp;REPT(" ",20),20),REPT(" ",20))</f>
        <v/>
      </c>
      <c r="X892" s="10">
        <f>IF(A892="C",LEFT(UPPER(C892)&amp;REPT(" ",10),10)," ")</f>
        <v/>
      </c>
      <c r="Y892" s="10">
        <f>IF(A892="C",LEFT(UPPER(D892)&amp;REPT(" ",2),2)," ")</f>
        <v/>
      </c>
      <c r="Z892" s="10">
        <f>IF(A892="C",LEFT(UPPER(E892)&amp;REPT(" ",15),15)," ")</f>
        <v/>
      </c>
      <c r="AA892" s="10">
        <f>REPT(" ",8)</f>
        <v/>
      </c>
      <c r="AB892" s="10">
        <f>REPT(" ",4)</f>
        <v/>
      </c>
      <c r="AC892" s="10">
        <f>LEFT(UPPER(H892)&amp;REPT(" ",250),250)</f>
        <v/>
      </c>
      <c r="AD892" s="10">
        <f>TEXT($G$2,"dd/mm/aaaa")</f>
        <v/>
      </c>
      <c r="AE892" s="10">
        <f>REPT(" ",10)</f>
        <v/>
      </c>
      <c r="AF892" s="10">
        <f>REPT(" ",20)</f>
        <v/>
      </c>
      <c r="AG892" s="54">
        <f>REPT(" ",18-LEN(FIXED(F892,2,TRUE)))&amp;FIXED(F892,2,TRUE)</f>
        <v/>
      </c>
      <c r="AH892" s="10">
        <f>LEN(AC892)+LEN(AG892)</f>
        <v/>
      </c>
      <c r="AI892" s="10">
        <f>LEN(L892)</f>
        <v/>
      </c>
    </row>
    <row r="893">
      <c r="A893" s="46" t="n"/>
      <c r="B893" s="38" t="n"/>
      <c r="C893" s="41" t="n"/>
      <c r="D893" s="41" t="n"/>
      <c r="E893" s="41" t="n"/>
      <c r="F893" s="88" t="n"/>
      <c r="G893" s="89" t="n"/>
      <c r="H893" s="37" t="n"/>
      <c r="I893" s="42" t="n"/>
      <c r="J893" s="12">
        <f>IF(F893&lt;&gt;0,"LANÇAR","")</f>
        <v/>
      </c>
      <c r="K893" s="20" t="n"/>
      <c r="L893" s="13">
        <f>N893&amp;O893&amp;P893&amp;Q893&amp;R893&amp;S893&amp;T893&amp;U893&amp;V893&amp;W893&amp;X893&amp;Y893&amp;Z893&amp;AA893&amp;AB893&amp;AC893&amp;AD893&amp;AE893&amp;AF893&amp;AG893</f>
        <v/>
      </c>
      <c r="M893" s="20" t="n"/>
      <c r="N893" s="10">
        <f>TEXT($B$6,"00")</f>
        <v/>
      </c>
      <c r="O893" s="10">
        <f>REPT(" ",8)</f>
        <v/>
      </c>
      <c r="P893" s="10">
        <f>RIGHT($B$4,2)</f>
        <v/>
      </c>
      <c r="Q893" s="10">
        <f>RIGHT($B$5,3)</f>
        <v/>
      </c>
      <c r="R893" s="10">
        <f>IF(A893="D",LEFT(UPPER(B893)&amp;REPT(" ",20),20),REPT(" ",20))</f>
        <v/>
      </c>
      <c r="S893" s="10">
        <f>IF(A893="D",LEFT(UPPER(C893)&amp;REPT(" ",10),10)," ")</f>
        <v/>
      </c>
      <c r="T893" s="10">
        <f>IF(A893="D",LEFT(UPPER(D893)&amp;REPT(" ",2),2)," ")</f>
        <v/>
      </c>
      <c r="U893" s="10">
        <f>IF(A893="D",LEFT(UPPER(E893)&amp;REPT(" ",15),15)," ")</f>
        <v/>
      </c>
      <c r="V893" s="10">
        <f>REPT(" ",24)</f>
        <v/>
      </c>
      <c r="W893" s="10">
        <f>IF(A893="c",LEFT(UPPER(B893)&amp;REPT(" ",20),20),REPT(" ",20))</f>
        <v/>
      </c>
      <c r="X893" s="10">
        <f>IF(A893="C",LEFT(UPPER(C893)&amp;REPT(" ",10),10)," ")</f>
        <v/>
      </c>
      <c r="Y893" s="10">
        <f>IF(A893="C",LEFT(UPPER(D893)&amp;REPT(" ",2),2)," ")</f>
        <v/>
      </c>
      <c r="Z893" s="10">
        <f>IF(A893="C",LEFT(UPPER(E893)&amp;REPT(" ",15),15)," ")</f>
        <v/>
      </c>
      <c r="AA893" s="10">
        <f>REPT(" ",8)</f>
        <v/>
      </c>
      <c r="AB893" s="10">
        <f>REPT(" ",4)</f>
        <v/>
      </c>
      <c r="AC893" s="10">
        <f>LEFT(UPPER(H893)&amp;REPT(" ",250),250)</f>
        <v/>
      </c>
      <c r="AD893" s="10">
        <f>TEXT($G$2,"dd/mm/aaaa")</f>
        <v/>
      </c>
      <c r="AE893" s="10">
        <f>REPT(" ",10)</f>
        <v/>
      </c>
      <c r="AF893" s="10">
        <f>REPT(" ",20)</f>
        <v/>
      </c>
      <c r="AG893" s="54">
        <f>REPT(" ",18-LEN(FIXED(F893,2,TRUE)))&amp;FIXED(F893,2,TRUE)</f>
        <v/>
      </c>
      <c r="AH893" s="10">
        <f>LEN(AC893)+LEN(AG893)</f>
        <v/>
      </c>
      <c r="AI893" s="10">
        <f>LEN(L893)</f>
        <v/>
      </c>
    </row>
    <row r="894">
      <c r="A894" s="46" t="n"/>
      <c r="B894" s="38" t="n"/>
      <c r="C894" s="41" t="n"/>
      <c r="D894" s="41" t="n"/>
      <c r="E894" s="41" t="n"/>
      <c r="F894" s="88" t="n"/>
      <c r="G894" s="89" t="n"/>
      <c r="H894" s="37" t="n"/>
      <c r="I894" s="42" t="n"/>
      <c r="J894" s="12">
        <f>IF(F894&lt;&gt;0,"LANÇAR","")</f>
        <v/>
      </c>
      <c r="K894" s="20" t="n"/>
      <c r="L894" s="13">
        <f>N894&amp;O894&amp;P894&amp;Q894&amp;R894&amp;S894&amp;T894&amp;U894&amp;V894&amp;W894&amp;X894&amp;Y894&amp;Z894&amp;AA894&amp;AB894&amp;AC894&amp;AD894&amp;AE894&amp;AF894&amp;AG894</f>
        <v/>
      </c>
      <c r="M894" s="20" t="n"/>
      <c r="N894" s="10">
        <f>TEXT($B$6,"00")</f>
        <v/>
      </c>
      <c r="O894" s="10">
        <f>REPT(" ",8)</f>
        <v/>
      </c>
      <c r="P894" s="10">
        <f>RIGHT($B$4,2)</f>
        <v/>
      </c>
      <c r="Q894" s="10">
        <f>RIGHT($B$5,3)</f>
        <v/>
      </c>
      <c r="R894" s="10">
        <f>IF(A894="D",LEFT(UPPER(B894)&amp;REPT(" ",20),20),REPT(" ",20))</f>
        <v/>
      </c>
      <c r="S894" s="10">
        <f>IF(A894="D",LEFT(UPPER(C894)&amp;REPT(" ",10),10)," ")</f>
        <v/>
      </c>
      <c r="T894" s="10">
        <f>IF(A894="D",LEFT(UPPER(D894)&amp;REPT(" ",2),2)," ")</f>
        <v/>
      </c>
      <c r="U894" s="10">
        <f>IF(A894="D",LEFT(UPPER(E894)&amp;REPT(" ",15),15)," ")</f>
        <v/>
      </c>
      <c r="V894" s="10">
        <f>REPT(" ",24)</f>
        <v/>
      </c>
      <c r="W894" s="10">
        <f>IF(A894="c",LEFT(UPPER(B894)&amp;REPT(" ",20),20),REPT(" ",20))</f>
        <v/>
      </c>
      <c r="X894" s="10">
        <f>IF(A894="C",LEFT(UPPER(C894)&amp;REPT(" ",10),10)," ")</f>
        <v/>
      </c>
      <c r="Y894" s="10">
        <f>IF(A894="C",LEFT(UPPER(D894)&amp;REPT(" ",2),2)," ")</f>
        <v/>
      </c>
      <c r="Z894" s="10">
        <f>IF(A894="C",LEFT(UPPER(E894)&amp;REPT(" ",15),15)," ")</f>
        <v/>
      </c>
      <c r="AA894" s="10">
        <f>REPT(" ",8)</f>
        <v/>
      </c>
      <c r="AB894" s="10">
        <f>REPT(" ",4)</f>
        <v/>
      </c>
      <c r="AC894" s="10">
        <f>LEFT(UPPER(H894)&amp;REPT(" ",250),250)</f>
        <v/>
      </c>
      <c r="AD894" s="10">
        <f>TEXT($G$2,"dd/mm/aaaa")</f>
        <v/>
      </c>
      <c r="AE894" s="10">
        <f>REPT(" ",10)</f>
        <v/>
      </c>
      <c r="AF894" s="10">
        <f>REPT(" ",20)</f>
        <v/>
      </c>
      <c r="AG894" s="54">
        <f>REPT(" ",18-LEN(FIXED(F894,2,TRUE)))&amp;FIXED(F894,2,TRUE)</f>
        <v/>
      </c>
      <c r="AH894" s="10">
        <f>LEN(AC894)+LEN(AG894)</f>
        <v/>
      </c>
      <c r="AI894" s="10">
        <f>LEN(L894)</f>
        <v/>
      </c>
    </row>
    <row r="895">
      <c r="A895" s="46" t="n"/>
      <c r="B895" s="38" t="n"/>
      <c r="C895" s="41" t="n"/>
      <c r="D895" s="41" t="n"/>
      <c r="E895" s="41" t="n"/>
      <c r="F895" s="88" t="n"/>
      <c r="G895" s="89" t="n"/>
      <c r="H895" s="37" t="n"/>
      <c r="I895" s="42" t="n"/>
      <c r="J895" s="12">
        <f>IF(F895&lt;&gt;0,"LANÇAR","")</f>
        <v/>
      </c>
      <c r="K895" s="20" t="n"/>
      <c r="L895" s="13">
        <f>N895&amp;O895&amp;P895&amp;Q895&amp;R895&amp;S895&amp;T895&amp;U895&amp;V895&amp;W895&amp;X895&amp;Y895&amp;Z895&amp;AA895&amp;AB895&amp;AC895&amp;AD895&amp;AE895&amp;AF895&amp;AG895</f>
        <v/>
      </c>
      <c r="M895" s="20" t="n"/>
      <c r="N895" s="10">
        <f>TEXT($B$6,"00")</f>
        <v/>
      </c>
      <c r="O895" s="10">
        <f>REPT(" ",8)</f>
        <v/>
      </c>
      <c r="P895" s="10">
        <f>RIGHT($B$4,2)</f>
        <v/>
      </c>
      <c r="Q895" s="10">
        <f>RIGHT($B$5,3)</f>
        <v/>
      </c>
      <c r="R895" s="10">
        <f>IF(A895="D",LEFT(UPPER(B895)&amp;REPT(" ",20),20),REPT(" ",20))</f>
        <v/>
      </c>
      <c r="S895" s="10">
        <f>IF(A895="D",LEFT(UPPER(C895)&amp;REPT(" ",10),10)," ")</f>
        <v/>
      </c>
      <c r="T895" s="10">
        <f>IF(A895="D",LEFT(UPPER(D895)&amp;REPT(" ",2),2)," ")</f>
        <v/>
      </c>
      <c r="U895" s="10">
        <f>IF(A895="D",LEFT(UPPER(E895)&amp;REPT(" ",15),15)," ")</f>
        <v/>
      </c>
      <c r="V895" s="10">
        <f>REPT(" ",24)</f>
        <v/>
      </c>
      <c r="W895" s="10">
        <f>IF(A895="c",LEFT(UPPER(B895)&amp;REPT(" ",20),20),REPT(" ",20))</f>
        <v/>
      </c>
      <c r="X895" s="10">
        <f>IF(A895="C",LEFT(UPPER(C895)&amp;REPT(" ",10),10)," ")</f>
        <v/>
      </c>
      <c r="Y895" s="10">
        <f>IF(A895="C",LEFT(UPPER(D895)&amp;REPT(" ",2),2)," ")</f>
        <v/>
      </c>
      <c r="Z895" s="10">
        <f>IF(A895="C",LEFT(UPPER(E895)&amp;REPT(" ",15),15)," ")</f>
        <v/>
      </c>
      <c r="AA895" s="10">
        <f>REPT(" ",8)</f>
        <v/>
      </c>
      <c r="AB895" s="10">
        <f>REPT(" ",4)</f>
        <v/>
      </c>
      <c r="AC895" s="10">
        <f>LEFT(UPPER(H895)&amp;REPT(" ",250),250)</f>
        <v/>
      </c>
      <c r="AD895" s="10">
        <f>TEXT($G$2,"dd/mm/aaaa")</f>
        <v/>
      </c>
      <c r="AE895" s="10">
        <f>REPT(" ",10)</f>
        <v/>
      </c>
      <c r="AF895" s="10">
        <f>REPT(" ",20)</f>
        <v/>
      </c>
      <c r="AG895" s="54">
        <f>REPT(" ",18-LEN(FIXED(F895,2,TRUE)))&amp;FIXED(F895,2,TRUE)</f>
        <v/>
      </c>
      <c r="AH895" s="10">
        <f>LEN(AC895)+LEN(AG895)</f>
        <v/>
      </c>
      <c r="AI895" s="10">
        <f>LEN(L895)</f>
        <v/>
      </c>
    </row>
    <row r="896">
      <c r="A896" s="46" t="n"/>
      <c r="B896" s="38" t="n"/>
      <c r="C896" s="41" t="n"/>
      <c r="D896" s="41" t="n"/>
      <c r="E896" s="41" t="n"/>
      <c r="F896" s="88" t="n"/>
      <c r="G896" s="89" t="n"/>
      <c r="H896" s="37" t="n"/>
      <c r="I896" s="42" t="n"/>
      <c r="J896" s="12">
        <f>IF(F896&lt;&gt;0,"LANÇAR","")</f>
        <v/>
      </c>
      <c r="K896" s="20" t="n"/>
      <c r="L896" s="13">
        <f>N896&amp;O896&amp;P896&amp;Q896&amp;R896&amp;S896&amp;T896&amp;U896&amp;V896&amp;W896&amp;X896&amp;Y896&amp;Z896&amp;AA896&amp;AB896&amp;AC896&amp;AD896&amp;AE896&amp;AF896&amp;AG896</f>
        <v/>
      </c>
      <c r="M896" s="20" t="n"/>
      <c r="N896" s="10">
        <f>TEXT($B$6,"00")</f>
        <v/>
      </c>
      <c r="O896" s="10">
        <f>REPT(" ",8)</f>
        <v/>
      </c>
      <c r="P896" s="10">
        <f>RIGHT($B$4,2)</f>
        <v/>
      </c>
      <c r="Q896" s="10">
        <f>RIGHT($B$5,3)</f>
        <v/>
      </c>
      <c r="R896" s="10">
        <f>IF(A896="D",LEFT(UPPER(B896)&amp;REPT(" ",20),20),REPT(" ",20))</f>
        <v/>
      </c>
      <c r="S896" s="10">
        <f>IF(A896="D",LEFT(UPPER(C896)&amp;REPT(" ",10),10)," ")</f>
        <v/>
      </c>
      <c r="T896" s="10">
        <f>IF(A896="D",LEFT(UPPER(D896)&amp;REPT(" ",2),2)," ")</f>
        <v/>
      </c>
      <c r="U896" s="10">
        <f>IF(A896="D",LEFT(UPPER(E896)&amp;REPT(" ",15),15)," ")</f>
        <v/>
      </c>
      <c r="V896" s="10">
        <f>REPT(" ",24)</f>
        <v/>
      </c>
      <c r="W896" s="10">
        <f>IF(A896="c",LEFT(UPPER(B896)&amp;REPT(" ",20),20),REPT(" ",20))</f>
        <v/>
      </c>
      <c r="X896" s="10">
        <f>IF(A896="C",LEFT(UPPER(C896)&amp;REPT(" ",10),10)," ")</f>
        <v/>
      </c>
      <c r="Y896" s="10">
        <f>IF(A896="C",LEFT(UPPER(D896)&amp;REPT(" ",2),2)," ")</f>
        <v/>
      </c>
      <c r="Z896" s="10">
        <f>IF(A896="C",LEFT(UPPER(E896)&amp;REPT(" ",15),15)," ")</f>
        <v/>
      </c>
      <c r="AA896" s="10">
        <f>REPT(" ",8)</f>
        <v/>
      </c>
      <c r="AB896" s="10">
        <f>REPT(" ",4)</f>
        <v/>
      </c>
      <c r="AC896" s="10">
        <f>LEFT(UPPER(H896)&amp;REPT(" ",250),250)</f>
        <v/>
      </c>
      <c r="AD896" s="10">
        <f>TEXT($G$2,"dd/mm/aaaa")</f>
        <v/>
      </c>
      <c r="AE896" s="10">
        <f>REPT(" ",10)</f>
        <v/>
      </c>
      <c r="AF896" s="10">
        <f>REPT(" ",20)</f>
        <v/>
      </c>
      <c r="AG896" s="54">
        <f>REPT(" ",18-LEN(FIXED(F896,2,TRUE)))&amp;FIXED(F896,2,TRUE)</f>
        <v/>
      </c>
      <c r="AH896" s="10">
        <f>LEN(AC896)+LEN(AG896)</f>
        <v/>
      </c>
      <c r="AI896" s="10">
        <f>LEN(L896)</f>
        <v/>
      </c>
    </row>
    <row r="897">
      <c r="A897" s="46" t="n"/>
      <c r="B897" s="38" t="n"/>
      <c r="C897" s="41" t="n"/>
      <c r="D897" s="41" t="n"/>
      <c r="E897" s="41" t="n"/>
      <c r="F897" s="88" t="n"/>
      <c r="G897" s="89" t="n"/>
      <c r="H897" s="37" t="n"/>
      <c r="I897" s="42" t="n"/>
      <c r="J897" s="12">
        <f>IF(F897&lt;&gt;0,"LANÇAR","")</f>
        <v/>
      </c>
      <c r="K897" s="20" t="n"/>
      <c r="L897" s="13">
        <f>N897&amp;O897&amp;P897&amp;Q897&amp;R897&amp;S897&amp;T897&amp;U897&amp;V897&amp;W897&amp;X897&amp;Y897&amp;Z897&amp;AA897&amp;AB897&amp;AC897&amp;AD897&amp;AE897&amp;AF897&amp;AG897</f>
        <v/>
      </c>
      <c r="M897" s="20" t="n"/>
      <c r="N897" s="10">
        <f>TEXT($B$6,"00")</f>
        <v/>
      </c>
      <c r="O897" s="10">
        <f>REPT(" ",8)</f>
        <v/>
      </c>
      <c r="P897" s="10">
        <f>RIGHT($B$4,2)</f>
        <v/>
      </c>
      <c r="Q897" s="10">
        <f>RIGHT($B$5,3)</f>
        <v/>
      </c>
      <c r="R897" s="10">
        <f>IF(A897="D",LEFT(UPPER(B897)&amp;REPT(" ",20),20),REPT(" ",20))</f>
        <v/>
      </c>
      <c r="S897" s="10">
        <f>IF(A897="D",LEFT(UPPER(C897)&amp;REPT(" ",10),10)," ")</f>
        <v/>
      </c>
      <c r="T897" s="10">
        <f>IF(A897="D",LEFT(UPPER(D897)&amp;REPT(" ",2),2)," ")</f>
        <v/>
      </c>
      <c r="U897" s="10">
        <f>IF(A897="D",LEFT(UPPER(E897)&amp;REPT(" ",15),15)," ")</f>
        <v/>
      </c>
      <c r="V897" s="10">
        <f>REPT(" ",24)</f>
        <v/>
      </c>
      <c r="W897" s="10">
        <f>IF(A897="c",LEFT(UPPER(B897)&amp;REPT(" ",20),20),REPT(" ",20))</f>
        <v/>
      </c>
      <c r="X897" s="10">
        <f>IF(A897="C",LEFT(UPPER(C897)&amp;REPT(" ",10),10)," ")</f>
        <v/>
      </c>
      <c r="Y897" s="10">
        <f>IF(A897="C",LEFT(UPPER(D897)&amp;REPT(" ",2),2)," ")</f>
        <v/>
      </c>
      <c r="Z897" s="10">
        <f>IF(A897="C",LEFT(UPPER(E897)&amp;REPT(" ",15),15)," ")</f>
        <v/>
      </c>
      <c r="AA897" s="10">
        <f>REPT(" ",8)</f>
        <v/>
      </c>
      <c r="AB897" s="10">
        <f>REPT(" ",4)</f>
        <v/>
      </c>
      <c r="AC897" s="10">
        <f>LEFT(UPPER(H897)&amp;REPT(" ",250),250)</f>
        <v/>
      </c>
      <c r="AD897" s="10">
        <f>TEXT($G$2,"dd/mm/aaaa")</f>
        <v/>
      </c>
      <c r="AE897" s="10">
        <f>REPT(" ",10)</f>
        <v/>
      </c>
      <c r="AF897" s="10">
        <f>REPT(" ",20)</f>
        <v/>
      </c>
      <c r="AG897" s="54">
        <f>REPT(" ",18-LEN(FIXED(F897,2,TRUE)))&amp;FIXED(F897,2,TRUE)</f>
        <v/>
      </c>
      <c r="AH897" s="10">
        <f>LEN(AC897)+LEN(AG897)</f>
        <v/>
      </c>
      <c r="AI897" s="10">
        <f>LEN(L897)</f>
        <v/>
      </c>
    </row>
    <row r="898">
      <c r="A898" s="46" t="n"/>
      <c r="B898" s="38" t="n"/>
      <c r="C898" s="41" t="n"/>
      <c r="D898" s="41" t="n"/>
      <c r="E898" s="41" t="n"/>
      <c r="F898" s="88" t="n"/>
      <c r="G898" s="89" t="n"/>
      <c r="H898" s="37" t="n"/>
      <c r="I898" s="42" t="n"/>
      <c r="J898" s="12">
        <f>IF(F898&lt;&gt;0,"LANÇAR","")</f>
        <v/>
      </c>
      <c r="K898" s="20" t="n"/>
      <c r="L898" s="13">
        <f>N898&amp;O898&amp;P898&amp;Q898&amp;R898&amp;S898&amp;T898&amp;U898&amp;V898&amp;W898&amp;X898&amp;Y898&amp;Z898&amp;AA898&amp;AB898&amp;AC898&amp;AD898&amp;AE898&amp;AF898&amp;AG898</f>
        <v/>
      </c>
      <c r="M898" s="20" t="n"/>
      <c r="N898" s="10">
        <f>TEXT($B$6,"00")</f>
        <v/>
      </c>
      <c r="O898" s="10">
        <f>REPT(" ",8)</f>
        <v/>
      </c>
      <c r="P898" s="10">
        <f>RIGHT($B$4,2)</f>
        <v/>
      </c>
      <c r="Q898" s="10">
        <f>RIGHT($B$5,3)</f>
        <v/>
      </c>
      <c r="R898" s="10">
        <f>IF(A898="D",LEFT(UPPER(B898)&amp;REPT(" ",20),20),REPT(" ",20))</f>
        <v/>
      </c>
      <c r="S898" s="10">
        <f>IF(A898="D",LEFT(UPPER(C898)&amp;REPT(" ",10),10)," ")</f>
        <v/>
      </c>
      <c r="T898" s="10">
        <f>IF(A898="D",LEFT(UPPER(D898)&amp;REPT(" ",2),2)," ")</f>
        <v/>
      </c>
      <c r="U898" s="10">
        <f>IF(A898="D",LEFT(UPPER(E898)&amp;REPT(" ",15),15)," ")</f>
        <v/>
      </c>
      <c r="V898" s="10">
        <f>REPT(" ",24)</f>
        <v/>
      </c>
      <c r="W898" s="10">
        <f>IF(A898="c",LEFT(UPPER(B898)&amp;REPT(" ",20),20),REPT(" ",20))</f>
        <v/>
      </c>
      <c r="X898" s="10">
        <f>IF(A898="C",LEFT(UPPER(C898)&amp;REPT(" ",10),10)," ")</f>
        <v/>
      </c>
      <c r="Y898" s="10">
        <f>IF(A898="C",LEFT(UPPER(D898)&amp;REPT(" ",2),2)," ")</f>
        <v/>
      </c>
      <c r="Z898" s="10">
        <f>IF(A898="C",LEFT(UPPER(E898)&amp;REPT(" ",15),15)," ")</f>
        <v/>
      </c>
      <c r="AA898" s="10">
        <f>REPT(" ",8)</f>
        <v/>
      </c>
      <c r="AB898" s="10">
        <f>REPT(" ",4)</f>
        <v/>
      </c>
      <c r="AC898" s="10">
        <f>LEFT(UPPER(H898)&amp;REPT(" ",250),250)</f>
        <v/>
      </c>
      <c r="AD898" s="10">
        <f>TEXT($G$2,"dd/mm/aaaa")</f>
        <v/>
      </c>
      <c r="AE898" s="10">
        <f>REPT(" ",10)</f>
        <v/>
      </c>
      <c r="AF898" s="10">
        <f>REPT(" ",20)</f>
        <v/>
      </c>
      <c r="AG898" s="54">
        <f>REPT(" ",18-LEN(FIXED(F898,2,TRUE)))&amp;FIXED(F898,2,TRUE)</f>
        <v/>
      </c>
      <c r="AH898" s="10">
        <f>LEN(AC898)+LEN(AG898)</f>
        <v/>
      </c>
      <c r="AI898" s="10">
        <f>LEN(L898)</f>
        <v/>
      </c>
    </row>
    <row r="899">
      <c r="A899" s="46" t="n"/>
      <c r="B899" s="38" t="n"/>
      <c r="C899" s="41" t="n"/>
      <c r="D899" s="41" t="n"/>
      <c r="E899" s="41" t="n"/>
      <c r="F899" s="88" t="n"/>
      <c r="G899" s="89" t="n"/>
      <c r="H899" s="37" t="n"/>
      <c r="I899" s="42" t="n"/>
      <c r="J899" s="12">
        <f>IF(F899&lt;&gt;0,"LANÇAR","")</f>
        <v/>
      </c>
      <c r="K899" s="20" t="n"/>
      <c r="L899" s="13">
        <f>N899&amp;O899&amp;P899&amp;Q899&amp;R899&amp;S899&amp;T899&amp;U899&amp;V899&amp;W899&amp;X899&amp;Y899&amp;Z899&amp;AA899&amp;AB899&amp;AC899&amp;AD899&amp;AE899&amp;AF899&amp;AG899</f>
        <v/>
      </c>
      <c r="M899" s="20" t="n"/>
      <c r="N899" s="10">
        <f>TEXT($B$6,"00")</f>
        <v/>
      </c>
      <c r="O899" s="10">
        <f>REPT(" ",8)</f>
        <v/>
      </c>
      <c r="P899" s="10">
        <f>RIGHT($B$4,2)</f>
        <v/>
      </c>
      <c r="Q899" s="10">
        <f>RIGHT($B$5,3)</f>
        <v/>
      </c>
      <c r="R899" s="10">
        <f>IF(A899="D",LEFT(UPPER(B899)&amp;REPT(" ",20),20),REPT(" ",20))</f>
        <v/>
      </c>
      <c r="S899" s="10">
        <f>IF(A899="D",LEFT(UPPER(C899)&amp;REPT(" ",10),10)," ")</f>
        <v/>
      </c>
      <c r="T899" s="10">
        <f>IF(A899="D",LEFT(UPPER(D899)&amp;REPT(" ",2),2)," ")</f>
        <v/>
      </c>
      <c r="U899" s="10">
        <f>IF(A899="D",LEFT(UPPER(E899)&amp;REPT(" ",15),15)," ")</f>
        <v/>
      </c>
      <c r="V899" s="10">
        <f>REPT(" ",24)</f>
        <v/>
      </c>
      <c r="W899" s="10">
        <f>IF(A899="c",LEFT(UPPER(B899)&amp;REPT(" ",20),20),REPT(" ",20))</f>
        <v/>
      </c>
      <c r="X899" s="10">
        <f>IF(A899="C",LEFT(UPPER(C899)&amp;REPT(" ",10),10)," ")</f>
        <v/>
      </c>
      <c r="Y899" s="10">
        <f>IF(A899="C",LEFT(UPPER(D899)&amp;REPT(" ",2),2)," ")</f>
        <v/>
      </c>
      <c r="Z899" s="10">
        <f>IF(A899="C",LEFT(UPPER(E899)&amp;REPT(" ",15),15)," ")</f>
        <v/>
      </c>
      <c r="AA899" s="10">
        <f>REPT(" ",8)</f>
        <v/>
      </c>
      <c r="AB899" s="10">
        <f>REPT(" ",4)</f>
        <v/>
      </c>
      <c r="AC899" s="10">
        <f>LEFT(UPPER(H899)&amp;REPT(" ",250),250)</f>
        <v/>
      </c>
      <c r="AD899" s="10">
        <f>TEXT($G$2,"dd/mm/aaaa")</f>
        <v/>
      </c>
      <c r="AE899" s="10">
        <f>REPT(" ",10)</f>
        <v/>
      </c>
      <c r="AF899" s="10">
        <f>REPT(" ",20)</f>
        <v/>
      </c>
      <c r="AG899" s="54">
        <f>REPT(" ",18-LEN(FIXED(F899,2,TRUE)))&amp;FIXED(F899,2,TRUE)</f>
        <v/>
      </c>
      <c r="AH899" s="10">
        <f>LEN(AC899)+LEN(AG899)</f>
        <v/>
      </c>
      <c r="AI899" s="10">
        <f>LEN(L899)</f>
        <v/>
      </c>
    </row>
    <row r="900">
      <c r="A900" s="46" t="n"/>
      <c r="B900" s="38" t="n"/>
      <c r="C900" s="41" t="n"/>
      <c r="D900" s="41" t="n"/>
      <c r="E900" s="41" t="n"/>
      <c r="F900" s="88" t="n"/>
      <c r="G900" s="89" t="n"/>
      <c r="H900" s="37" t="n"/>
      <c r="I900" s="42" t="n"/>
      <c r="J900" s="12">
        <f>IF(F900&lt;&gt;0,"LANÇAR","")</f>
        <v/>
      </c>
      <c r="K900" s="20" t="n"/>
      <c r="L900" s="13">
        <f>N900&amp;O900&amp;P900&amp;Q900&amp;R900&amp;S900&amp;T900&amp;U900&amp;V900&amp;W900&amp;X900&amp;Y900&amp;Z900&amp;AA900&amp;AB900&amp;AC900&amp;AD900&amp;AE900&amp;AF900&amp;AG900</f>
        <v/>
      </c>
      <c r="M900" s="20" t="n"/>
      <c r="N900" s="10">
        <f>TEXT($B$6,"00")</f>
        <v/>
      </c>
      <c r="O900" s="10">
        <f>REPT(" ",8)</f>
        <v/>
      </c>
      <c r="P900" s="10">
        <f>RIGHT($B$4,2)</f>
        <v/>
      </c>
      <c r="Q900" s="10">
        <f>RIGHT($B$5,3)</f>
        <v/>
      </c>
      <c r="R900" s="10">
        <f>IF(A900="D",LEFT(UPPER(B900)&amp;REPT(" ",20),20),REPT(" ",20))</f>
        <v/>
      </c>
      <c r="S900" s="10">
        <f>IF(A900="D",LEFT(UPPER(C900)&amp;REPT(" ",10),10)," ")</f>
        <v/>
      </c>
      <c r="T900" s="10">
        <f>IF(A900="D",LEFT(UPPER(D900)&amp;REPT(" ",2),2)," ")</f>
        <v/>
      </c>
      <c r="U900" s="10">
        <f>IF(A900="D",LEFT(UPPER(E900)&amp;REPT(" ",15),15)," ")</f>
        <v/>
      </c>
      <c r="V900" s="10">
        <f>REPT(" ",24)</f>
        <v/>
      </c>
      <c r="W900" s="10">
        <f>IF(A900="c",LEFT(UPPER(B900)&amp;REPT(" ",20),20),REPT(" ",20))</f>
        <v/>
      </c>
      <c r="X900" s="10">
        <f>IF(A900="C",LEFT(UPPER(C900)&amp;REPT(" ",10),10)," ")</f>
        <v/>
      </c>
      <c r="Y900" s="10">
        <f>IF(A900="C",LEFT(UPPER(D900)&amp;REPT(" ",2),2)," ")</f>
        <v/>
      </c>
      <c r="Z900" s="10">
        <f>IF(A900="C",LEFT(UPPER(E900)&amp;REPT(" ",15),15)," ")</f>
        <v/>
      </c>
      <c r="AA900" s="10">
        <f>REPT(" ",8)</f>
        <v/>
      </c>
      <c r="AB900" s="10">
        <f>REPT(" ",4)</f>
        <v/>
      </c>
      <c r="AC900" s="10">
        <f>LEFT(UPPER(H900)&amp;REPT(" ",250),250)</f>
        <v/>
      </c>
      <c r="AD900" s="10">
        <f>TEXT($G$2,"dd/mm/aaaa")</f>
        <v/>
      </c>
      <c r="AE900" s="10">
        <f>REPT(" ",10)</f>
        <v/>
      </c>
      <c r="AF900" s="10">
        <f>REPT(" ",20)</f>
        <v/>
      </c>
      <c r="AG900" s="54">
        <f>REPT(" ",18-LEN(FIXED(F900,2,TRUE)))&amp;FIXED(F900,2,TRUE)</f>
        <v/>
      </c>
      <c r="AH900" s="10">
        <f>LEN(AC900)+LEN(AG900)</f>
        <v/>
      </c>
      <c r="AI900" s="10">
        <f>LEN(L900)</f>
        <v/>
      </c>
    </row>
    <row r="901">
      <c r="A901" s="46" t="n"/>
      <c r="B901" s="38" t="n"/>
      <c r="C901" s="41" t="n"/>
      <c r="D901" s="41" t="n"/>
      <c r="E901" s="41" t="n"/>
      <c r="F901" s="88" t="n"/>
      <c r="G901" s="89" t="n"/>
      <c r="H901" s="37" t="n"/>
      <c r="I901" s="42" t="n"/>
      <c r="J901" s="12">
        <f>IF(F901&lt;&gt;0,"LANÇAR","")</f>
        <v/>
      </c>
      <c r="K901" s="20" t="n"/>
      <c r="L901" s="13">
        <f>N901&amp;O901&amp;P901&amp;Q901&amp;R901&amp;S901&amp;T901&amp;U901&amp;V901&amp;W901&amp;X901&amp;Y901&amp;Z901&amp;AA901&amp;AB901&amp;AC901&amp;AD901&amp;AE901&amp;AF901&amp;AG901</f>
        <v/>
      </c>
      <c r="M901" s="20" t="n"/>
      <c r="N901" s="10">
        <f>TEXT($B$6,"00")</f>
        <v/>
      </c>
      <c r="O901" s="10">
        <f>REPT(" ",8)</f>
        <v/>
      </c>
      <c r="P901" s="10">
        <f>RIGHT($B$4,2)</f>
        <v/>
      </c>
      <c r="Q901" s="10">
        <f>RIGHT($B$5,3)</f>
        <v/>
      </c>
      <c r="R901" s="10">
        <f>IF(A901="D",LEFT(UPPER(B901)&amp;REPT(" ",20),20),REPT(" ",20))</f>
        <v/>
      </c>
      <c r="S901" s="10">
        <f>IF(A901="D",LEFT(UPPER(C901)&amp;REPT(" ",10),10)," ")</f>
        <v/>
      </c>
      <c r="T901" s="10">
        <f>IF(A901="D",LEFT(UPPER(D901)&amp;REPT(" ",2),2)," ")</f>
        <v/>
      </c>
      <c r="U901" s="10">
        <f>IF(A901="D",LEFT(UPPER(E901)&amp;REPT(" ",15),15)," ")</f>
        <v/>
      </c>
      <c r="V901" s="10">
        <f>REPT(" ",24)</f>
        <v/>
      </c>
      <c r="W901" s="10">
        <f>IF(A901="c",LEFT(UPPER(B901)&amp;REPT(" ",20),20),REPT(" ",20))</f>
        <v/>
      </c>
      <c r="X901" s="10">
        <f>IF(A901="C",LEFT(UPPER(C901)&amp;REPT(" ",10),10)," ")</f>
        <v/>
      </c>
      <c r="Y901" s="10">
        <f>IF(A901="C",LEFT(UPPER(D901)&amp;REPT(" ",2),2)," ")</f>
        <v/>
      </c>
      <c r="Z901" s="10">
        <f>IF(A901="C",LEFT(UPPER(E901)&amp;REPT(" ",15),15)," ")</f>
        <v/>
      </c>
      <c r="AA901" s="10">
        <f>REPT(" ",8)</f>
        <v/>
      </c>
      <c r="AB901" s="10">
        <f>REPT(" ",4)</f>
        <v/>
      </c>
      <c r="AC901" s="10">
        <f>LEFT(UPPER(H901)&amp;REPT(" ",250),250)</f>
        <v/>
      </c>
      <c r="AD901" s="10">
        <f>TEXT($G$2,"dd/mm/aaaa")</f>
        <v/>
      </c>
      <c r="AE901" s="10">
        <f>REPT(" ",10)</f>
        <v/>
      </c>
      <c r="AF901" s="10">
        <f>REPT(" ",20)</f>
        <v/>
      </c>
      <c r="AG901" s="54">
        <f>REPT(" ",18-LEN(FIXED(F901,2,TRUE)))&amp;FIXED(F901,2,TRUE)</f>
        <v/>
      </c>
      <c r="AH901" s="10">
        <f>LEN(AC901)+LEN(AG901)</f>
        <v/>
      </c>
      <c r="AI901" s="10">
        <f>LEN(L901)</f>
        <v/>
      </c>
    </row>
    <row r="902">
      <c r="A902" s="46" t="n"/>
      <c r="B902" s="38" t="n"/>
      <c r="C902" s="41" t="n"/>
      <c r="D902" s="41" t="n"/>
      <c r="E902" s="41" t="n"/>
      <c r="F902" s="88" t="n"/>
      <c r="G902" s="89" t="n"/>
      <c r="H902" s="37" t="n"/>
      <c r="I902" s="42" t="n"/>
      <c r="J902" s="12">
        <f>IF(F902&lt;&gt;0,"LANÇAR","")</f>
        <v/>
      </c>
      <c r="K902" s="20" t="n"/>
      <c r="L902" s="13">
        <f>N902&amp;O902&amp;P902&amp;Q902&amp;R902&amp;S902&amp;T902&amp;U902&amp;V902&amp;W902&amp;X902&amp;Y902&amp;Z902&amp;AA902&amp;AB902&amp;AC902&amp;AD902&amp;AE902&amp;AF902&amp;AG902</f>
        <v/>
      </c>
      <c r="M902" s="20" t="n"/>
      <c r="N902" s="10">
        <f>TEXT($B$6,"00")</f>
        <v/>
      </c>
      <c r="O902" s="10">
        <f>REPT(" ",8)</f>
        <v/>
      </c>
      <c r="P902" s="10">
        <f>RIGHT($B$4,2)</f>
        <v/>
      </c>
      <c r="Q902" s="10">
        <f>RIGHT($B$5,3)</f>
        <v/>
      </c>
      <c r="R902" s="10">
        <f>IF(A902="D",LEFT(UPPER(B902)&amp;REPT(" ",20),20),REPT(" ",20))</f>
        <v/>
      </c>
      <c r="S902" s="10">
        <f>IF(A902="D",LEFT(UPPER(C902)&amp;REPT(" ",10),10)," ")</f>
        <v/>
      </c>
      <c r="T902" s="10">
        <f>IF(A902="D",LEFT(UPPER(D902)&amp;REPT(" ",2),2)," ")</f>
        <v/>
      </c>
      <c r="U902" s="10">
        <f>IF(A902="D",LEFT(UPPER(E902)&amp;REPT(" ",15),15)," ")</f>
        <v/>
      </c>
      <c r="V902" s="10">
        <f>REPT(" ",24)</f>
        <v/>
      </c>
      <c r="W902" s="10">
        <f>IF(A902="c",LEFT(UPPER(B902)&amp;REPT(" ",20),20),REPT(" ",20))</f>
        <v/>
      </c>
      <c r="X902" s="10">
        <f>IF(A902="C",LEFT(UPPER(C902)&amp;REPT(" ",10),10)," ")</f>
        <v/>
      </c>
      <c r="Y902" s="10">
        <f>IF(A902="C",LEFT(UPPER(D902)&amp;REPT(" ",2),2)," ")</f>
        <v/>
      </c>
      <c r="Z902" s="10">
        <f>IF(A902="C",LEFT(UPPER(E902)&amp;REPT(" ",15),15)," ")</f>
        <v/>
      </c>
      <c r="AA902" s="10">
        <f>REPT(" ",8)</f>
        <v/>
      </c>
      <c r="AB902" s="10">
        <f>REPT(" ",4)</f>
        <v/>
      </c>
      <c r="AC902" s="10">
        <f>LEFT(UPPER(H902)&amp;REPT(" ",250),250)</f>
        <v/>
      </c>
      <c r="AD902" s="10">
        <f>TEXT($G$2,"dd/mm/aaaa")</f>
        <v/>
      </c>
      <c r="AE902" s="10">
        <f>REPT(" ",10)</f>
        <v/>
      </c>
      <c r="AF902" s="10">
        <f>REPT(" ",20)</f>
        <v/>
      </c>
      <c r="AG902" s="54">
        <f>REPT(" ",18-LEN(FIXED(F902,2,TRUE)))&amp;FIXED(F902,2,TRUE)</f>
        <v/>
      </c>
      <c r="AH902" s="10">
        <f>LEN(AC902)+LEN(AG902)</f>
        <v/>
      </c>
      <c r="AI902" s="10">
        <f>LEN(L902)</f>
        <v/>
      </c>
    </row>
    <row r="903">
      <c r="A903" s="46" t="n"/>
      <c r="B903" s="38" t="n"/>
      <c r="C903" s="41" t="n"/>
      <c r="D903" s="41" t="n"/>
      <c r="E903" s="41" t="n"/>
      <c r="F903" s="88" t="n"/>
      <c r="G903" s="89" t="n"/>
      <c r="H903" s="37" t="n"/>
      <c r="I903" s="42" t="n"/>
      <c r="J903" s="12">
        <f>IF(F903&lt;&gt;0,"LANÇAR","")</f>
        <v/>
      </c>
      <c r="K903" s="20" t="n"/>
      <c r="L903" s="13">
        <f>N903&amp;O903&amp;P903&amp;Q903&amp;R903&amp;S903&amp;T903&amp;U903&amp;V903&amp;W903&amp;X903&amp;Y903&amp;Z903&amp;AA903&amp;AB903&amp;AC903&amp;AD903&amp;AE903&amp;AF903&amp;AG903</f>
        <v/>
      </c>
      <c r="M903" s="20" t="n"/>
      <c r="N903" s="10">
        <f>TEXT($B$6,"00")</f>
        <v/>
      </c>
      <c r="O903" s="10">
        <f>REPT(" ",8)</f>
        <v/>
      </c>
      <c r="P903" s="10">
        <f>RIGHT($B$4,2)</f>
        <v/>
      </c>
      <c r="Q903" s="10">
        <f>RIGHT($B$5,3)</f>
        <v/>
      </c>
      <c r="R903" s="10">
        <f>IF(A903="D",LEFT(UPPER(B903)&amp;REPT(" ",20),20),REPT(" ",20))</f>
        <v/>
      </c>
      <c r="S903" s="10">
        <f>IF(A903="D",LEFT(UPPER(C903)&amp;REPT(" ",10),10)," ")</f>
        <v/>
      </c>
      <c r="T903" s="10">
        <f>IF(A903="D",LEFT(UPPER(D903)&amp;REPT(" ",2),2)," ")</f>
        <v/>
      </c>
      <c r="U903" s="10">
        <f>IF(A903="D",LEFT(UPPER(E903)&amp;REPT(" ",15),15)," ")</f>
        <v/>
      </c>
      <c r="V903" s="10">
        <f>REPT(" ",24)</f>
        <v/>
      </c>
      <c r="W903" s="10">
        <f>IF(A903="c",LEFT(UPPER(B903)&amp;REPT(" ",20),20),REPT(" ",20))</f>
        <v/>
      </c>
      <c r="X903" s="10">
        <f>IF(A903="C",LEFT(UPPER(C903)&amp;REPT(" ",10),10)," ")</f>
        <v/>
      </c>
      <c r="Y903" s="10">
        <f>IF(A903="C",LEFT(UPPER(D903)&amp;REPT(" ",2),2)," ")</f>
        <v/>
      </c>
      <c r="Z903" s="10">
        <f>IF(A903="C",LEFT(UPPER(E903)&amp;REPT(" ",15),15)," ")</f>
        <v/>
      </c>
      <c r="AA903" s="10">
        <f>REPT(" ",8)</f>
        <v/>
      </c>
      <c r="AB903" s="10">
        <f>REPT(" ",4)</f>
        <v/>
      </c>
      <c r="AC903" s="10">
        <f>LEFT(UPPER(H903)&amp;REPT(" ",250),250)</f>
        <v/>
      </c>
      <c r="AD903" s="10">
        <f>TEXT($G$2,"dd/mm/aaaa")</f>
        <v/>
      </c>
      <c r="AE903" s="10">
        <f>REPT(" ",10)</f>
        <v/>
      </c>
      <c r="AF903" s="10">
        <f>REPT(" ",20)</f>
        <v/>
      </c>
      <c r="AG903" s="54">
        <f>REPT(" ",18-LEN(FIXED(F903,2,TRUE)))&amp;FIXED(F903,2,TRUE)</f>
        <v/>
      </c>
      <c r="AH903" s="10">
        <f>LEN(AC903)+LEN(AG903)</f>
        <v/>
      </c>
      <c r="AI903" s="10">
        <f>LEN(L903)</f>
        <v/>
      </c>
    </row>
    <row r="904">
      <c r="A904" s="46" t="n"/>
      <c r="B904" s="38" t="n"/>
      <c r="C904" s="41" t="n"/>
      <c r="D904" s="41" t="n"/>
      <c r="E904" s="41" t="n"/>
      <c r="F904" s="88" t="n"/>
      <c r="G904" s="89" t="n"/>
      <c r="H904" s="37" t="n"/>
      <c r="I904" s="42" t="n"/>
      <c r="J904" s="12">
        <f>IF(F904&lt;&gt;0,"LANÇAR","")</f>
        <v/>
      </c>
      <c r="K904" s="20" t="n"/>
      <c r="L904" s="13">
        <f>N904&amp;O904&amp;P904&amp;Q904&amp;R904&amp;S904&amp;T904&amp;U904&amp;V904&amp;W904&amp;X904&amp;Y904&amp;Z904&amp;AA904&amp;AB904&amp;AC904&amp;AD904&amp;AE904&amp;AF904&amp;AG904</f>
        <v/>
      </c>
      <c r="M904" s="20" t="n"/>
      <c r="N904" s="10">
        <f>TEXT($B$6,"00")</f>
        <v/>
      </c>
      <c r="O904" s="10">
        <f>REPT(" ",8)</f>
        <v/>
      </c>
      <c r="P904" s="10">
        <f>RIGHT($B$4,2)</f>
        <v/>
      </c>
      <c r="Q904" s="10">
        <f>RIGHT($B$5,3)</f>
        <v/>
      </c>
      <c r="R904" s="10">
        <f>IF(A904="D",LEFT(UPPER(B904)&amp;REPT(" ",20),20),REPT(" ",20))</f>
        <v/>
      </c>
      <c r="S904" s="10">
        <f>IF(A904="D",LEFT(UPPER(C904)&amp;REPT(" ",10),10)," ")</f>
        <v/>
      </c>
      <c r="T904" s="10">
        <f>IF(A904="D",LEFT(UPPER(D904)&amp;REPT(" ",2),2)," ")</f>
        <v/>
      </c>
      <c r="U904" s="10">
        <f>IF(A904="D",LEFT(UPPER(E904)&amp;REPT(" ",15),15)," ")</f>
        <v/>
      </c>
      <c r="V904" s="10">
        <f>REPT(" ",24)</f>
        <v/>
      </c>
      <c r="W904" s="10">
        <f>IF(A904="c",LEFT(UPPER(B904)&amp;REPT(" ",20),20),REPT(" ",20))</f>
        <v/>
      </c>
      <c r="X904" s="10">
        <f>IF(A904="C",LEFT(UPPER(C904)&amp;REPT(" ",10),10)," ")</f>
        <v/>
      </c>
      <c r="Y904" s="10">
        <f>IF(A904="C",LEFT(UPPER(D904)&amp;REPT(" ",2),2)," ")</f>
        <v/>
      </c>
      <c r="Z904" s="10">
        <f>IF(A904="C",LEFT(UPPER(E904)&amp;REPT(" ",15),15)," ")</f>
        <v/>
      </c>
      <c r="AA904" s="10">
        <f>REPT(" ",8)</f>
        <v/>
      </c>
      <c r="AB904" s="10">
        <f>REPT(" ",4)</f>
        <v/>
      </c>
      <c r="AC904" s="10">
        <f>LEFT(UPPER(H904)&amp;REPT(" ",250),250)</f>
        <v/>
      </c>
      <c r="AD904" s="10">
        <f>TEXT($G$2,"dd/mm/aaaa")</f>
        <v/>
      </c>
      <c r="AE904" s="10">
        <f>REPT(" ",10)</f>
        <v/>
      </c>
      <c r="AF904" s="10">
        <f>REPT(" ",20)</f>
        <v/>
      </c>
      <c r="AG904" s="54">
        <f>REPT(" ",18-LEN(FIXED(F904,2,TRUE)))&amp;FIXED(F904,2,TRUE)</f>
        <v/>
      </c>
      <c r="AH904" s="10">
        <f>LEN(AC904)+LEN(AG904)</f>
        <v/>
      </c>
      <c r="AI904" s="10">
        <f>LEN(L904)</f>
        <v/>
      </c>
    </row>
    <row r="905">
      <c r="A905" s="46" t="n"/>
      <c r="B905" s="38" t="n"/>
      <c r="C905" s="41" t="n"/>
      <c r="D905" s="41" t="n"/>
      <c r="E905" s="41" t="n"/>
      <c r="F905" s="88" t="n"/>
      <c r="G905" s="89" t="n"/>
      <c r="H905" s="37" t="n"/>
      <c r="I905" s="42" t="n"/>
      <c r="J905" s="12">
        <f>IF(F905&lt;&gt;0,"LANÇAR","")</f>
        <v/>
      </c>
      <c r="K905" s="20" t="n"/>
      <c r="L905" s="13">
        <f>N905&amp;O905&amp;P905&amp;Q905&amp;R905&amp;S905&amp;T905&amp;U905&amp;V905&amp;W905&amp;X905&amp;Y905&amp;Z905&amp;AA905&amp;AB905&amp;AC905&amp;AD905&amp;AE905&amp;AF905&amp;AG905</f>
        <v/>
      </c>
      <c r="M905" s="20" t="n"/>
      <c r="N905" s="10">
        <f>TEXT($B$6,"00")</f>
        <v/>
      </c>
      <c r="O905" s="10">
        <f>REPT(" ",8)</f>
        <v/>
      </c>
      <c r="P905" s="10">
        <f>RIGHT($B$4,2)</f>
        <v/>
      </c>
      <c r="Q905" s="10">
        <f>RIGHT($B$5,3)</f>
        <v/>
      </c>
      <c r="R905" s="10">
        <f>IF(A905="D",LEFT(UPPER(B905)&amp;REPT(" ",20),20),REPT(" ",20))</f>
        <v/>
      </c>
      <c r="S905" s="10">
        <f>IF(A905="D",LEFT(UPPER(C905)&amp;REPT(" ",10),10)," ")</f>
        <v/>
      </c>
      <c r="T905" s="10">
        <f>IF(A905="D",LEFT(UPPER(D905)&amp;REPT(" ",2),2)," ")</f>
        <v/>
      </c>
      <c r="U905" s="10">
        <f>IF(A905="D",LEFT(UPPER(E905)&amp;REPT(" ",15),15)," ")</f>
        <v/>
      </c>
      <c r="V905" s="10">
        <f>REPT(" ",24)</f>
        <v/>
      </c>
      <c r="W905" s="10">
        <f>IF(A905="c",LEFT(UPPER(B905)&amp;REPT(" ",20),20),REPT(" ",20))</f>
        <v/>
      </c>
      <c r="X905" s="10">
        <f>IF(A905="C",LEFT(UPPER(C905)&amp;REPT(" ",10),10)," ")</f>
        <v/>
      </c>
      <c r="Y905" s="10">
        <f>IF(A905="C",LEFT(UPPER(D905)&amp;REPT(" ",2),2)," ")</f>
        <v/>
      </c>
      <c r="Z905" s="10">
        <f>IF(A905="C",LEFT(UPPER(E905)&amp;REPT(" ",15),15)," ")</f>
        <v/>
      </c>
      <c r="AA905" s="10">
        <f>REPT(" ",8)</f>
        <v/>
      </c>
      <c r="AB905" s="10">
        <f>REPT(" ",4)</f>
        <v/>
      </c>
      <c r="AC905" s="10">
        <f>LEFT(UPPER(H905)&amp;REPT(" ",250),250)</f>
        <v/>
      </c>
      <c r="AD905" s="10">
        <f>TEXT($G$2,"dd/mm/aaaa")</f>
        <v/>
      </c>
      <c r="AE905" s="10">
        <f>REPT(" ",10)</f>
        <v/>
      </c>
      <c r="AF905" s="10">
        <f>REPT(" ",20)</f>
        <v/>
      </c>
      <c r="AG905" s="54">
        <f>REPT(" ",18-LEN(FIXED(F905,2,TRUE)))&amp;FIXED(F905,2,TRUE)</f>
        <v/>
      </c>
      <c r="AH905" s="10">
        <f>LEN(AC905)+LEN(AG905)</f>
        <v/>
      </c>
      <c r="AI905" s="10">
        <f>LEN(L905)</f>
        <v/>
      </c>
    </row>
    <row r="906">
      <c r="A906" s="46" t="n"/>
      <c r="B906" s="38" t="n"/>
      <c r="C906" s="41" t="n"/>
      <c r="D906" s="41" t="n"/>
      <c r="E906" s="41" t="n"/>
      <c r="F906" s="88" t="n"/>
      <c r="G906" s="89" t="n"/>
      <c r="H906" s="37" t="n"/>
      <c r="I906" s="42" t="n"/>
      <c r="J906" s="12">
        <f>IF(F906&lt;&gt;0,"LANÇAR","")</f>
        <v/>
      </c>
      <c r="K906" s="20" t="n"/>
      <c r="L906" s="13">
        <f>N906&amp;O906&amp;P906&amp;Q906&amp;R906&amp;S906&amp;T906&amp;U906&amp;V906&amp;W906&amp;X906&amp;Y906&amp;Z906&amp;AA906&amp;AB906&amp;AC906&amp;AD906&amp;AE906&amp;AF906&amp;AG906</f>
        <v/>
      </c>
      <c r="M906" s="20" t="n"/>
      <c r="N906" s="10">
        <f>TEXT($B$6,"00")</f>
        <v/>
      </c>
      <c r="O906" s="10">
        <f>REPT(" ",8)</f>
        <v/>
      </c>
      <c r="P906" s="10">
        <f>RIGHT($B$4,2)</f>
        <v/>
      </c>
      <c r="Q906" s="10">
        <f>RIGHT($B$5,3)</f>
        <v/>
      </c>
      <c r="R906" s="10">
        <f>IF(A906="D",LEFT(UPPER(B906)&amp;REPT(" ",20),20),REPT(" ",20))</f>
        <v/>
      </c>
      <c r="S906" s="10">
        <f>IF(A906="D",LEFT(UPPER(C906)&amp;REPT(" ",10),10)," ")</f>
        <v/>
      </c>
      <c r="T906" s="10">
        <f>IF(A906="D",LEFT(UPPER(D906)&amp;REPT(" ",2),2)," ")</f>
        <v/>
      </c>
      <c r="U906" s="10">
        <f>IF(A906="D",LEFT(UPPER(E906)&amp;REPT(" ",15),15)," ")</f>
        <v/>
      </c>
      <c r="V906" s="10">
        <f>REPT(" ",24)</f>
        <v/>
      </c>
      <c r="W906" s="10">
        <f>IF(A906="c",LEFT(UPPER(B906)&amp;REPT(" ",20),20),REPT(" ",20))</f>
        <v/>
      </c>
      <c r="X906" s="10">
        <f>IF(A906="C",LEFT(UPPER(C906)&amp;REPT(" ",10),10)," ")</f>
        <v/>
      </c>
      <c r="Y906" s="10">
        <f>IF(A906="C",LEFT(UPPER(D906)&amp;REPT(" ",2),2)," ")</f>
        <v/>
      </c>
      <c r="Z906" s="10">
        <f>IF(A906="C",LEFT(UPPER(E906)&amp;REPT(" ",15),15)," ")</f>
        <v/>
      </c>
      <c r="AA906" s="10">
        <f>REPT(" ",8)</f>
        <v/>
      </c>
      <c r="AB906" s="10">
        <f>REPT(" ",4)</f>
        <v/>
      </c>
      <c r="AC906" s="10">
        <f>LEFT(UPPER(H906)&amp;REPT(" ",250),250)</f>
        <v/>
      </c>
      <c r="AD906" s="10">
        <f>TEXT($G$2,"dd/mm/aaaa")</f>
        <v/>
      </c>
      <c r="AE906" s="10">
        <f>REPT(" ",10)</f>
        <v/>
      </c>
      <c r="AF906" s="10">
        <f>REPT(" ",20)</f>
        <v/>
      </c>
      <c r="AG906" s="54">
        <f>REPT(" ",18-LEN(FIXED(F906,2,TRUE)))&amp;FIXED(F906,2,TRUE)</f>
        <v/>
      </c>
      <c r="AH906" s="10">
        <f>LEN(AC906)+LEN(AG906)</f>
        <v/>
      </c>
      <c r="AI906" s="10">
        <f>LEN(L906)</f>
        <v/>
      </c>
    </row>
    <row r="907">
      <c r="A907" s="46" t="n"/>
      <c r="B907" s="38" t="n"/>
      <c r="C907" s="41" t="n"/>
      <c r="D907" s="41" t="n"/>
      <c r="E907" s="41" t="n"/>
      <c r="F907" s="88" t="n"/>
      <c r="G907" s="89" t="n"/>
      <c r="H907" s="37" t="n"/>
      <c r="I907" s="42" t="n"/>
      <c r="J907" s="12">
        <f>IF(F907&lt;&gt;0,"LANÇAR","")</f>
        <v/>
      </c>
      <c r="K907" s="20" t="n"/>
      <c r="L907" s="13">
        <f>N907&amp;O907&amp;P907&amp;Q907&amp;R907&amp;S907&amp;T907&amp;U907&amp;V907&amp;W907&amp;X907&amp;Y907&amp;Z907&amp;AA907&amp;AB907&amp;AC907&amp;AD907&amp;AE907&amp;AF907&amp;AG907</f>
        <v/>
      </c>
      <c r="M907" s="20" t="n"/>
      <c r="N907" s="10">
        <f>TEXT($B$6,"00")</f>
        <v/>
      </c>
      <c r="O907" s="10">
        <f>REPT(" ",8)</f>
        <v/>
      </c>
      <c r="P907" s="10">
        <f>RIGHT($B$4,2)</f>
        <v/>
      </c>
      <c r="Q907" s="10">
        <f>RIGHT($B$5,3)</f>
        <v/>
      </c>
      <c r="R907" s="10">
        <f>IF(A907="D",LEFT(UPPER(B907)&amp;REPT(" ",20),20),REPT(" ",20))</f>
        <v/>
      </c>
      <c r="S907" s="10">
        <f>IF(A907="D",LEFT(UPPER(C907)&amp;REPT(" ",10),10)," ")</f>
        <v/>
      </c>
      <c r="T907" s="10">
        <f>IF(A907="D",LEFT(UPPER(D907)&amp;REPT(" ",2),2)," ")</f>
        <v/>
      </c>
      <c r="U907" s="10">
        <f>IF(A907="D",LEFT(UPPER(E907)&amp;REPT(" ",15),15)," ")</f>
        <v/>
      </c>
      <c r="V907" s="10">
        <f>REPT(" ",24)</f>
        <v/>
      </c>
      <c r="W907" s="10">
        <f>IF(A907="c",LEFT(UPPER(B907)&amp;REPT(" ",20),20),REPT(" ",20))</f>
        <v/>
      </c>
      <c r="X907" s="10">
        <f>IF(A907="C",LEFT(UPPER(C907)&amp;REPT(" ",10),10)," ")</f>
        <v/>
      </c>
      <c r="Y907" s="10">
        <f>IF(A907="C",LEFT(UPPER(D907)&amp;REPT(" ",2),2)," ")</f>
        <v/>
      </c>
      <c r="Z907" s="10">
        <f>IF(A907="C",LEFT(UPPER(E907)&amp;REPT(" ",15),15)," ")</f>
        <v/>
      </c>
      <c r="AA907" s="10">
        <f>REPT(" ",8)</f>
        <v/>
      </c>
      <c r="AB907" s="10">
        <f>REPT(" ",4)</f>
        <v/>
      </c>
      <c r="AC907" s="10">
        <f>LEFT(UPPER(H907)&amp;REPT(" ",250),250)</f>
        <v/>
      </c>
      <c r="AD907" s="10">
        <f>TEXT($G$2,"dd/mm/aaaa")</f>
        <v/>
      </c>
      <c r="AE907" s="10">
        <f>REPT(" ",10)</f>
        <v/>
      </c>
      <c r="AF907" s="10">
        <f>REPT(" ",20)</f>
        <v/>
      </c>
      <c r="AG907" s="54">
        <f>REPT(" ",18-LEN(FIXED(F907,2,TRUE)))&amp;FIXED(F907,2,TRUE)</f>
        <v/>
      </c>
      <c r="AH907" s="10">
        <f>LEN(AC907)+LEN(AG907)</f>
        <v/>
      </c>
      <c r="AI907" s="10">
        <f>LEN(L907)</f>
        <v/>
      </c>
    </row>
    <row r="908">
      <c r="A908" s="46" t="n"/>
      <c r="B908" s="38" t="n"/>
      <c r="C908" s="41" t="n"/>
      <c r="D908" s="41" t="n"/>
      <c r="E908" s="41" t="n"/>
      <c r="F908" s="88" t="n"/>
      <c r="G908" s="89" t="n"/>
      <c r="H908" s="37" t="n"/>
      <c r="I908" s="42" t="n"/>
      <c r="J908" s="12">
        <f>IF(F908&lt;&gt;0,"LANÇAR","")</f>
        <v/>
      </c>
      <c r="K908" s="20" t="n"/>
      <c r="L908" s="13">
        <f>N908&amp;O908&amp;P908&amp;Q908&amp;R908&amp;S908&amp;T908&amp;U908&amp;V908&amp;W908&amp;X908&amp;Y908&amp;Z908&amp;AA908&amp;AB908&amp;AC908&amp;AD908&amp;AE908&amp;AF908&amp;AG908</f>
        <v/>
      </c>
      <c r="M908" s="20" t="n"/>
      <c r="N908" s="10">
        <f>TEXT($B$6,"00")</f>
        <v/>
      </c>
      <c r="O908" s="10">
        <f>REPT(" ",8)</f>
        <v/>
      </c>
      <c r="P908" s="10">
        <f>RIGHT($B$4,2)</f>
        <v/>
      </c>
      <c r="Q908" s="10">
        <f>RIGHT($B$5,3)</f>
        <v/>
      </c>
      <c r="R908" s="10">
        <f>IF(A908="D",LEFT(UPPER(B908)&amp;REPT(" ",20),20),REPT(" ",20))</f>
        <v/>
      </c>
      <c r="S908" s="10">
        <f>IF(A908="D",LEFT(UPPER(C908)&amp;REPT(" ",10),10)," ")</f>
        <v/>
      </c>
      <c r="T908" s="10">
        <f>IF(A908="D",LEFT(UPPER(D908)&amp;REPT(" ",2),2)," ")</f>
        <v/>
      </c>
      <c r="U908" s="10">
        <f>IF(A908="D",LEFT(UPPER(E908)&amp;REPT(" ",15),15)," ")</f>
        <v/>
      </c>
      <c r="V908" s="10">
        <f>REPT(" ",24)</f>
        <v/>
      </c>
      <c r="W908" s="10">
        <f>IF(A908="c",LEFT(UPPER(B908)&amp;REPT(" ",20),20),REPT(" ",20))</f>
        <v/>
      </c>
      <c r="X908" s="10">
        <f>IF(A908="C",LEFT(UPPER(C908)&amp;REPT(" ",10),10)," ")</f>
        <v/>
      </c>
      <c r="Y908" s="10">
        <f>IF(A908="C",LEFT(UPPER(D908)&amp;REPT(" ",2),2)," ")</f>
        <v/>
      </c>
      <c r="Z908" s="10">
        <f>IF(A908="C",LEFT(UPPER(E908)&amp;REPT(" ",15),15)," ")</f>
        <v/>
      </c>
      <c r="AA908" s="10">
        <f>REPT(" ",8)</f>
        <v/>
      </c>
      <c r="AB908" s="10">
        <f>REPT(" ",4)</f>
        <v/>
      </c>
      <c r="AC908" s="10">
        <f>LEFT(UPPER(H908)&amp;REPT(" ",250),250)</f>
        <v/>
      </c>
      <c r="AD908" s="10">
        <f>TEXT($G$2,"dd/mm/aaaa")</f>
        <v/>
      </c>
      <c r="AE908" s="10">
        <f>REPT(" ",10)</f>
        <v/>
      </c>
      <c r="AF908" s="10">
        <f>REPT(" ",20)</f>
        <v/>
      </c>
      <c r="AG908" s="54">
        <f>REPT(" ",18-LEN(FIXED(F908,2,TRUE)))&amp;FIXED(F908,2,TRUE)</f>
        <v/>
      </c>
      <c r="AH908" s="10">
        <f>LEN(AC908)+LEN(AG908)</f>
        <v/>
      </c>
      <c r="AI908" s="10">
        <f>LEN(L908)</f>
        <v/>
      </c>
    </row>
    <row r="909">
      <c r="A909" s="46" t="n"/>
      <c r="B909" s="38" t="n"/>
      <c r="C909" s="41" t="n"/>
      <c r="D909" s="41" t="n"/>
      <c r="E909" s="41" t="n"/>
      <c r="F909" s="88" t="n"/>
      <c r="G909" s="89" t="n"/>
      <c r="H909" s="37" t="n"/>
      <c r="I909" s="42" t="n"/>
      <c r="J909" s="12">
        <f>IF(F909&lt;&gt;0,"LANÇAR","")</f>
        <v/>
      </c>
      <c r="K909" s="20" t="n"/>
      <c r="L909" s="13">
        <f>N909&amp;O909&amp;P909&amp;Q909&amp;R909&amp;S909&amp;T909&amp;U909&amp;V909&amp;W909&amp;X909&amp;Y909&amp;Z909&amp;AA909&amp;AB909&amp;AC909&amp;AD909&amp;AE909&amp;AF909&amp;AG909</f>
        <v/>
      </c>
      <c r="M909" s="20" t="n"/>
      <c r="N909" s="10">
        <f>TEXT($B$6,"00")</f>
        <v/>
      </c>
      <c r="O909" s="10">
        <f>REPT(" ",8)</f>
        <v/>
      </c>
      <c r="P909" s="10">
        <f>RIGHT($B$4,2)</f>
        <v/>
      </c>
      <c r="Q909" s="10">
        <f>RIGHT($B$5,3)</f>
        <v/>
      </c>
      <c r="R909" s="10">
        <f>IF(A909="D",LEFT(UPPER(B909)&amp;REPT(" ",20),20),REPT(" ",20))</f>
        <v/>
      </c>
      <c r="S909" s="10">
        <f>IF(A909="D",LEFT(UPPER(C909)&amp;REPT(" ",10),10)," ")</f>
        <v/>
      </c>
      <c r="T909" s="10">
        <f>IF(A909="D",LEFT(UPPER(D909)&amp;REPT(" ",2),2)," ")</f>
        <v/>
      </c>
      <c r="U909" s="10">
        <f>IF(A909="D",LEFT(UPPER(E909)&amp;REPT(" ",15),15)," ")</f>
        <v/>
      </c>
      <c r="V909" s="10">
        <f>REPT(" ",24)</f>
        <v/>
      </c>
      <c r="W909" s="10">
        <f>IF(A909="c",LEFT(UPPER(B909)&amp;REPT(" ",20),20),REPT(" ",20))</f>
        <v/>
      </c>
      <c r="X909" s="10">
        <f>IF(A909="C",LEFT(UPPER(C909)&amp;REPT(" ",10),10)," ")</f>
        <v/>
      </c>
      <c r="Y909" s="10">
        <f>IF(A909="C",LEFT(UPPER(D909)&amp;REPT(" ",2),2)," ")</f>
        <v/>
      </c>
      <c r="Z909" s="10">
        <f>IF(A909="C",LEFT(UPPER(E909)&amp;REPT(" ",15),15)," ")</f>
        <v/>
      </c>
      <c r="AA909" s="10">
        <f>REPT(" ",8)</f>
        <v/>
      </c>
      <c r="AB909" s="10">
        <f>REPT(" ",4)</f>
        <v/>
      </c>
      <c r="AC909" s="10">
        <f>LEFT(UPPER(H909)&amp;REPT(" ",250),250)</f>
        <v/>
      </c>
      <c r="AD909" s="10">
        <f>TEXT($G$2,"dd/mm/aaaa")</f>
        <v/>
      </c>
      <c r="AE909" s="10">
        <f>REPT(" ",10)</f>
        <v/>
      </c>
      <c r="AF909" s="10">
        <f>REPT(" ",20)</f>
        <v/>
      </c>
      <c r="AG909" s="54">
        <f>REPT(" ",18-LEN(FIXED(F909,2,TRUE)))&amp;FIXED(F909,2,TRUE)</f>
        <v/>
      </c>
      <c r="AH909" s="10">
        <f>LEN(AC909)+LEN(AG909)</f>
        <v/>
      </c>
      <c r="AI909" s="10">
        <f>LEN(L909)</f>
        <v/>
      </c>
    </row>
    <row r="910">
      <c r="A910" s="46" t="n"/>
      <c r="B910" s="38" t="n"/>
      <c r="C910" s="41" t="n"/>
      <c r="D910" s="41" t="n"/>
      <c r="E910" s="41" t="n"/>
      <c r="F910" s="88" t="n"/>
      <c r="G910" s="89" t="n"/>
      <c r="H910" s="37" t="n"/>
      <c r="I910" s="42" t="n"/>
      <c r="J910" s="12">
        <f>IF(F910&lt;&gt;0,"LANÇAR","")</f>
        <v/>
      </c>
      <c r="K910" s="20" t="n"/>
      <c r="L910" s="13">
        <f>N910&amp;O910&amp;P910&amp;Q910&amp;R910&amp;S910&amp;T910&amp;U910&amp;V910&amp;W910&amp;X910&amp;Y910&amp;Z910&amp;AA910&amp;AB910&amp;AC910&amp;AD910&amp;AE910&amp;AF910&amp;AG910</f>
        <v/>
      </c>
      <c r="M910" s="20" t="n"/>
      <c r="N910" s="10">
        <f>TEXT($B$6,"00")</f>
        <v/>
      </c>
      <c r="O910" s="10">
        <f>REPT(" ",8)</f>
        <v/>
      </c>
      <c r="P910" s="10">
        <f>RIGHT($B$4,2)</f>
        <v/>
      </c>
      <c r="Q910" s="10">
        <f>RIGHT($B$5,3)</f>
        <v/>
      </c>
      <c r="R910" s="10">
        <f>IF(A910="D",LEFT(UPPER(B910)&amp;REPT(" ",20),20),REPT(" ",20))</f>
        <v/>
      </c>
      <c r="S910" s="10">
        <f>IF(A910="D",LEFT(UPPER(C910)&amp;REPT(" ",10),10)," ")</f>
        <v/>
      </c>
      <c r="T910" s="10">
        <f>IF(A910="D",LEFT(UPPER(D910)&amp;REPT(" ",2),2)," ")</f>
        <v/>
      </c>
      <c r="U910" s="10">
        <f>IF(A910="D",LEFT(UPPER(E910)&amp;REPT(" ",15),15)," ")</f>
        <v/>
      </c>
      <c r="V910" s="10">
        <f>REPT(" ",24)</f>
        <v/>
      </c>
      <c r="W910" s="10">
        <f>IF(A910="c",LEFT(UPPER(B910)&amp;REPT(" ",20),20),REPT(" ",20))</f>
        <v/>
      </c>
      <c r="X910" s="10">
        <f>IF(A910="C",LEFT(UPPER(C910)&amp;REPT(" ",10),10)," ")</f>
        <v/>
      </c>
      <c r="Y910" s="10">
        <f>IF(A910="C",LEFT(UPPER(D910)&amp;REPT(" ",2),2)," ")</f>
        <v/>
      </c>
      <c r="Z910" s="10">
        <f>IF(A910="C",LEFT(UPPER(E910)&amp;REPT(" ",15),15)," ")</f>
        <v/>
      </c>
      <c r="AA910" s="10">
        <f>REPT(" ",8)</f>
        <v/>
      </c>
      <c r="AB910" s="10">
        <f>REPT(" ",4)</f>
        <v/>
      </c>
      <c r="AC910" s="10">
        <f>LEFT(UPPER(H910)&amp;REPT(" ",250),250)</f>
        <v/>
      </c>
      <c r="AD910" s="10">
        <f>TEXT($G$2,"dd/mm/aaaa")</f>
        <v/>
      </c>
      <c r="AE910" s="10">
        <f>REPT(" ",10)</f>
        <v/>
      </c>
      <c r="AF910" s="10">
        <f>REPT(" ",20)</f>
        <v/>
      </c>
      <c r="AG910" s="54">
        <f>REPT(" ",18-LEN(FIXED(F910,2,TRUE)))&amp;FIXED(F910,2,TRUE)</f>
        <v/>
      </c>
      <c r="AH910" s="10">
        <f>LEN(AC910)+LEN(AG910)</f>
        <v/>
      </c>
      <c r="AI910" s="10">
        <f>LEN(L910)</f>
        <v/>
      </c>
    </row>
    <row r="911">
      <c r="A911" s="46" t="n"/>
      <c r="B911" s="38" t="n"/>
      <c r="C911" s="41" t="n"/>
      <c r="D911" s="41" t="n"/>
      <c r="E911" s="41" t="n"/>
      <c r="F911" s="88" t="n"/>
      <c r="G911" s="89" t="n"/>
      <c r="H911" s="37" t="n"/>
      <c r="I911" s="42" t="n"/>
      <c r="J911" s="12">
        <f>IF(F911&lt;&gt;0,"LANÇAR","")</f>
        <v/>
      </c>
      <c r="K911" s="20" t="n"/>
      <c r="L911" s="13">
        <f>N911&amp;O911&amp;P911&amp;Q911&amp;R911&amp;S911&amp;T911&amp;U911&amp;V911&amp;W911&amp;X911&amp;Y911&amp;Z911&amp;AA911&amp;AB911&amp;AC911&amp;AD911&amp;AE911&amp;AF911&amp;AG911</f>
        <v/>
      </c>
      <c r="M911" s="20" t="n"/>
      <c r="N911" s="10">
        <f>TEXT($B$6,"00")</f>
        <v/>
      </c>
      <c r="O911" s="10">
        <f>REPT(" ",8)</f>
        <v/>
      </c>
      <c r="P911" s="10">
        <f>RIGHT($B$4,2)</f>
        <v/>
      </c>
      <c r="Q911" s="10">
        <f>RIGHT($B$5,3)</f>
        <v/>
      </c>
      <c r="R911" s="10">
        <f>IF(A911="D",LEFT(UPPER(B911)&amp;REPT(" ",20),20),REPT(" ",20))</f>
        <v/>
      </c>
      <c r="S911" s="10">
        <f>IF(A911="D",LEFT(UPPER(C911)&amp;REPT(" ",10),10)," ")</f>
        <v/>
      </c>
      <c r="T911" s="10">
        <f>IF(A911="D",LEFT(UPPER(D911)&amp;REPT(" ",2),2)," ")</f>
        <v/>
      </c>
      <c r="U911" s="10">
        <f>IF(A911="D",LEFT(UPPER(E911)&amp;REPT(" ",15),15)," ")</f>
        <v/>
      </c>
      <c r="V911" s="10">
        <f>REPT(" ",24)</f>
        <v/>
      </c>
      <c r="W911" s="10">
        <f>IF(A911="c",LEFT(UPPER(B911)&amp;REPT(" ",20),20),REPT(" ",20))</f>
        <v/>
      </c>
      <c r="X911" s="10">
        <f>IF(A911="C",LEFT(UPPER(C911)&amp;REPT(" ",10),10)," ")</f>
        <v/>
      </c>
      <c r="Y911" s="10">
        <f>IF(A911="C",LEFT(UPPER(D911)&amp;REPT(" ",2),2)," ")</f>
        <v/>
      </c>
      <c r="Z911" s="10">
        <f>IF(A911="C",LEFT(UPPER(E911)&amp;REPT(" ",15),15)," ")</f>
        <v/>
      </c>
      <c r="AA911" s="10">
        <f>REPT(" ",8)</f>
        <v/>
      </c>
      <c r="AB911" s="10">
        <f>REPT(" ",4)</f>
        <v/>
      </c>
      <c r="AC911" s="10">
        <f>LEFT(UPPER(H911)&amp;REPT(" ",250),250)</f>
        <v/>
      </c>
      <c r="AD911" s="10">
        <f>TEXT($G$2,"dd/mm/aaaa")</f>
        <v/>
      </c>
      <c r="AE911" s="10">
        <f>REPT(" ",10)</f>
        <v/>
      </c>
      <c r="AF911" s="10">
        <f>REPT(" ",20)</f>
        <v/>
      </c>
      <c r="AG911" s="54">
        <f>REPT(" ",18-LEN(FIXED(F911,2,TRUE)))&amp;FIXED(F911,2,TRUE)</f>
        <v/>
      </c>
      <c r="AH911" s="10">
        <f>LEN(AC911)+LEN(AG911)</f>
        <v/>
      </c>
      <c r="AI911" s="10">
        <f>LEN(L911)</f>
        <v/>
      </c>
    </row>
    <row r="912">
      <c r="A912" s="46" t="n"/>
      <c r="B912" s="38" t="n"/>
      <c r="C912" s="41" t="n"/>
      <c r="D912" s="41" t="n"/>
      <c r="E912" s="41" t="n"/>
      <c r="F912" s="88" t="n"/>
      <c r="G912" s="89" t="n"/>
      <c r="H912" s="37" t="n"/>
      <c r="I912" s="42" t="n"/>
      <c r="J912" s="12">
        <f>IF(F912&lt;&gt;0,"LANÇAR","")</f>
        <v/>
      </c>
      <c r="K912" s="20" t="n"/>
      <c r="L912" s="13">
        <f>N912&amp;O912&amp;P912&amp;Q912&amp;R912&amp;S912&amp;T912&amp;U912&amp;V912&amp;W912&amp;X912&amp;Y912&amp;Z912&amp;AA912&amp;AB912&amp;AC912&amp;AD912&amp;AE912&amp;AF912&amp;AG912</f>
        <v/>
      </c>
      <c r="M912" s="20" t="n"/>
      <c r="N912" s="10">
        <f>TEXT($B$6,"00")</f>
        <v/>
      </c>
      <c r="O912" s="10">
        <f>REPT(" ",8)</f>
        <v/>
      </c>
      <c r="P912" s="10">
        <f>RIGHT($B$4,2)</f>
        <v/>
      </c>
      <c r="Q912" s="10">
        <f>RIGHT($B$5,3)</f>
        <v/>
      </c>
      <c r="R912" s="10">
        <f>IF(A912="D",LEFT(UPPER(B912)&amp;REPT(" ",20),20),REPT(" ",20))</f>
        <v/>
      </c>
      <c r="S912" s="10">
        <f>IF(A912="D",LEFT(UPPER(C912)&amp;REPT(" ",10),10)," ")</f>
        <v/>
      </c>
      <c r="T912" s="10">
        <f>IF(A912="D",LEFT(UPPER(D912)&amp;REPT(" ",2),2)," ")</f>
        <v/>
      </c>
      <c r="U912" s="10">
        <f>IF(A912="D",LEFT(UPPER(E912)&amp;REPT(" ",15),15)," ")</f>
        <v/>
      </c>
      <c r="V912" s="10">
        <f>REPT(" ",24)</f>
        <v/>
      </c>
      <c r="W912" s="10">
        <f>IF(A912="c",LEFT(UPPER(B912)&amp;REPT(" ",20),20),REPT(" ",20))</f>
        <v/>
      </c>
      <c r="X912" s="10">
        <f>IF(A912="C",LEFT(UPPER(C912)&amp;REPT(" ",10),10)," ")</f>
        <v/>
      </c>
      <c r="Y912" s="10">
        <f>IF(A912="C",LEFT(UPPER(D912)&amp;REPT(" ",2),2)," ")</f>
        <v/>
      </c>
      <c r="Z912" s="10">
        <f>IF(A912="C",LEFT(UPPER(E912)&amp;REPT(" ",15),15)," ")</f>
        <v/>
      </c>
      <c r="AA912" s="10">
        <f>REPT(" ",8)</f>
        <v/>
      </c>
      <c r="AB912" s="10">
        <f>REPT(" ",4)</f>
        <v/>
      </c>
      <c r="AC912" s="10">
        <f>LEFT(UPPER(H912)&amp;REPT(" ",250),250)</f>
        <v/>
      </c>
      <c r="AD912" s="10">
        <f>TEXT($G$2,"dd/mm/aaaa")</f>
        <v/>
      </c>
      <c r="AE912" s="10">
        <f>REPT(" ",10)</f>
        <v/>
      </c>
      <c r="AF912" s="10">
        <f>REPT(" ",20)</f>
        <v/>
      </c>
      <c r="AG912" s="54">
        <f>REPT(" ",18-LEN(FIXED(F912,2,TRUE)))&amp;FIXED(F912,2,TRUE)</f>
        <v/>
      </c>
      <c r="AH912" s="10">
        <f>LEN(AC912)+LEN(AG912)</f>
        <v/>
      </c>
      <c r="AI912" s="10">
        <f>LEN(L912)</f>
        <v/>
      </c>
    </row>
    <row r="913">
      <c r="A913" s="46" t="n"/>
      <c r="B913" s="38" t="n"/>
      <c r="C913" s="41" t="n"/>
      <c r="D913" s="41" t="n"/>
      <c r="E913" s="41" t="n"/>
      <c r="F913" s="88" t="n"/>
      <c r="G913" s="89" t="n"/>
      <c r="H913" s="37" t="n"/>
      <c r="I913" s="42" t="n"/>
      <c r="J913" s="12">
        <f>IF(F913&lt;&gt;0,"LANÇAR","")</f>
        <v/>
      </c>
      <c r="K913" s="20" t="n"/>
      <c r="L913" s="13">
        <f>N913&amp;O913&amp;P913&amp;Q913&amp;R913&amp;S913&amp;T913&amp;U913&amp;V913&amp;W913&amp;X913&amp;Y913&amp;Z913&amp;AA913&amp;AB913&amp;AC913&amp;AD913&amp;AE913&amp;AF913&amp;AG913</f>
        <v/>
      </c>
      <c r="M913" s="20" t="n"/>
      <c r="N913" s="10">
        <f>TEXT($B$6,"00")</f>
        <v/>
      </c>
      <c r="O913" s="10">
        <f>REPT(" ",8)</f>
        <v/>
      </c>
      <c r="P913" s="10">
        <f>RIGHT($B$4,2)</f>
        <v/>
      </c>
      <c r="Q913" s="10">
        <f>RIGHT($B$5,3)</f>
        <v/>
      </c>
      <c r="R913" s="10">
        <f>IF(A913="D",LEFT(UPPER(B913)&amp;REPT(" ",20),20),REPT(" ",20))</f>
        <v/>
      </c>
      <c r="S913" s="10">
        <f>IF(A913="D",LEFT(UPPER(C913)&amp;REPT(" ",10),10)," ")</f>
        <v/>
      </c>
      <c r="T913" s="10">
        <f>IF(A913="D",LEFT(UPPER(D913)&amp;REPT(" ",2),2)," ")</f>
        <v/>
      </c>
      <c r="U913" s="10">
        <f>IF(A913="D",LEFT(UPPER(E913)&amp;REPT(" ",15),15)," ")</f>
        <v/>
      </c>
      <c r="V913" s="10">
        <f>REPT(" ",24)</f>
        <v/>
      </c>
      <c r="W913" s="10">
        <f>IF(A913="c",LEFT(UPPER(B913)&amp;REPT(" ",20),20),REPT(" ",20))</f>
        <v/>
      </c>
      <c r="X913" s="10">
        <f>IF(A913="C",LEFT(UPPER(C913)&amp;REPT(" ",10),10)," ")</f>
        <v/>
      </c>
      <c r="Y913" s="10">
        <f>IF(A913="C",LEFT(UPPER(D913)&amp;REPT(" ",2),2)," ")</f>
        <v/>
      </c>
      <c r="Z913" s="10">
        <f>IF(A913="C",LEFT(UPPER(E913)&amp;REPT(" ",15),15)," ")</f>
        <v/>
      </c>
      <c r="AA913" s="10">
        <f>REPT(" ",8)</f>
        <v/>
      </c>
      <c r="AB913" s="10">
        <f>REPT(" ",4)</f>
        <v/>
      </c>
      <c r="AC913" s="10">
        <f>LEFT(UPPER(H913)&amp;REPT(" ",250),250)</f>
        <v/>
      </c>
      <c r="AD913" s="10">
        <f>TEXT($G$2,"dd/mm/aaaa")</f>
        <v/>
      </c>
      <c r="AE913" s="10">
        <f>REPT(" ",10)</f>
        <v/>
      </c>
      <c r="AF913" s="10">
        <f>REPT(" ",20)</f>
        <v/>
      </c>
      <c r="AG913" s="54">
        <f>REPT(" ",18-LEN(FIXED(F913,2,TRUE)))&amp;FIXED(F913,2,TRUE)</f>
        <v/>
      </c>
      <c r="AH913" s="10">
        <f>LEN(AC913)+LEN(AG913)</f>
        <v/>
      </c>
      <c r="AI913" s="10">
        <f>LEN(L913)</f>
        <v/>
      </c>
    </row>
    <row r="914">
      <c r="A914" s="46" t="n"/>
      <c r="B914" s="38" t="n"/>
      <c r="C914" s="41" t="n"/>
      <c r="D914" s="41" t="n"/>
      <c r="E914" s="41" t="n"/>
      <c r="F914" s="88" t="n"/>
      <c r="G914" s="89" t="n"/>
      <c r="H914" s="37" t="n"/>
      <c r="I914" s="42" t="n"/>
      <c r="J914" s="12">
        <f>IF(F914&lt;&gt;0,"LANÇAR","")</f>
        <v/>
      </c>
      <c r="K914" s="20" t="n"/>
      <c r="L914" s="13">
        <f>N914&amp;O914&amp;P914&amp;Q914&amp;R914&amp;S914&amp;T914&amp;U914&amp;V914&amp;W914&amp;X914&amp;Y914&amp;Z914&amp;AA914&amp;AB914&amp;AC914&amp;AD914&amp;AE914&amp;AF914&amp;AG914</f>
        <v/>
      </c>
      <c r="M914" s="20" t="n"/>
      <c r="N914" s="10">
        <f>TEXT($B$6,"00")</f>
        <v/>
      </c>
      <c r="O914" s="10">
        <f>REPT(" ",8)</f>
        <v/>
      </c>
      <c r="P914" s="10">
        <f>RIGHT($B$4,2)</f>
        <v/>
      </c>
      <c r="Q914" s="10">
        <f>RIGHT($B$5,3)</f>
        <v/>
      </c>
      <c r="R914" s="10">
        <f>IF(A914="D",LEFT(UPPER(B914)&amp;REPT(" ",20),20),REPT(" ",20))</f>
        <v/>
      </c>
      <c r="S914" s="10">
        <f>IF(A914="D",LEFT(UPPER(C914)&amp;REPT(" ",10),10)," ")</f>
        <v/>
      </c>
      <c r="T914" s="10">
        <f>IF(A914="D",LEFT(UPPER(D914)&amp;REPT(" ",2),2)," ")</f>
        <v/>
      </c>
      <c r="U914" s="10">
        <f>IF(A914="D",LEFT(UPPER(E914)&amp;REPT(" ",15),15)," ")</f>
        <v/>
      </c>
      <c r="V914" s="10">
        <f>REPT(" ",24)</f>
        <v/>
      </c>
      <c r="W914" s="10">
        <f>IF(A914="c",LEFT(UPPER(B914)&amp;REPT(" ",20),20),REPT(" ",20))</f>
        <v/>
      </c>
      <c r="X914" s="10">
        <f>IF(A914="C",LEFT(UPPER(C914)&amp;REPT(" ",10),10)," ")</f>
        <v/>
      </c>
      <c r="Y914" s="10">
        <f>IF(A914="C",LEFT(UPPER(D914)&amp;REPT(" ",2),2)," ")</f>
        <v/>
      </c>
      <c r="Z914" s="10">
        <f>IF(A914="C",LEFT(UPPER(E914)&amp;REPT(" ",15),15)," ")</f>
        <v/>
      </c>
      <c r="AA914" s="10">
        <f>REPT(" ",8)</f>
        <v/>
      </c>
      <c r="AB914" s="10">
        <f>REPT(" ",4)</f>
        <v/>
      </c>
      <c r="AC914" s="10">
        <f>LEFT(UPPER(H914)&amp;REPT(" ",250),250)</f>
        <v/>
      </c>
      <c r="AD914" s="10">
        <f>TEXT($G$2,"dd/mm/aaaa")</f>
        <v/>
      </c>
      <c r="AE914" s="10">
        <f>REPT(" ",10)</f>
        <v/>
      </c>
      <c r="AF914" s="10">
        <f>REPT(" ",20)</f>
        <v/>
      </c>
      <c r="AG914" s="54">
        <f>REPT(" ",18-LEN(FIXED(F914,2,TRUE)))&amp;FIXED(F914,2,TRUE)</f>
        <v/>
      </c>
      <c r="AH914" s="10">
        <f>LEN(AC914)+LEN(AG914)</f>
        <v/>
      </c>
      <c r="AI914" s="10">
        <f>LEN(L914)</f>
        <v/>
      </c>
    </row>
    <row r="915">
      <c r="A915" s="46" t="n"/>
      <c r="B915" s="38" t="n"/>
      <c r="C915" s="41" t="n"/>
      <c r="D915" s="41" t="n"/>
      <c r="E915" s="41" t="n"/>
      <c r="F915" s="88" t="n"/>
      <c r="G915" s="89" t="n"/>
      <c r="H915" s="37" t="n"/>
      <c r="I915" s="42" t="n"/>
      <c r="J915" s="12">
        <f>IF(F915&lt;&gt;0,"LANÇAR","")</f>
        <v/>
      </c>
      <c r="K915" s="20" t="n"/>
      <c r="L915" s="13">
        <f>N915&amp;O915&amp;P915&amp;Q915&amp;R915&amp;S915&amp;T915&amp;U915&amp;V915&amp;W915&amp;X915&amp;Y915&amp;Z915&amp;AA915&amp;AB915&amp;AC915&amp;AD915&amp;AE915&amp;AF915&amp;AG915</f>
        <v/>
      </c>
      <c r="M915" s="20" t="n"/>
      <c r="N915" s="10">
        <f>TEXT($B$6,"00")</f>
        <v/>
      </c>
      <c r="O915" s="10">
        <f>REPT(" ",8)</f>
        <v/>
      </c>
      <c r="P915" s="10">
        <f>RIGHT($B$4,2)</f>
        <v/>
      </c>
      <c r="Q915" s="10">
        <f>RIGHT($B$5,3)</f>
        <v/>
      </c>
      <c r="R915" s="10">
        <f>IF(A915="D",LEFT(UPPER(B915)&amp;REPT(" ",20),20),REPT(" ",20))</f>
        <v/>
      </c>
      <c r="S915" s="10">
        <f>IF(A915="D",LEFT(UPPER(C915)&amp;REPT(" ",10),10)," ")</f>
        <v/>
      </c>
      <c r="T915" s="10">
        <f>IF(A915="D",LEFT(UPPER(D915)&amp;REPT(" ",2),2)," ")</f>
        <v/>
      </c>
      <c r="U915" s="10">
        <f>IF(A915="D",LEFT(UPPER(E915)&amp;REPT(" ",15),15)," ")</f>
        <v/>
      </c>
      <c r="V915" s="10">
        <f>REPT(" ",24)</f>
        <v/>
      </c>
      <c r="W915" s="10">
        <f>IF(A915="c",LEFT(UPPER(B915)&amp;REPT(" ",20),20),REPT(" ",20))</f>
        <v/>
      </c>
      <c r="X915" s="10">
        <f>IF(A915="C",LEFT(UPPER(C915)&amp;REPT(" ",10),10)," ")</f>
        <v/>
      </c>
      <c r="Y915" s="10">
        <f>IF(A915="C",LEFT(UPPER(D915)&amp;REPT(" ",2),2)," ")</f>
        <v/>
      </c>
      <c r="Z915" s="10">
        <f>IF(A915="C",LEFT(UPPER(E915)&amp;REPT(" ",15),15)," ")</f>
        <v/>
      </c>
      <c r="AA915" s="10">
        <f>REPT(" ",8)</f>
        <v/>
      </c>
      <c r="AB915" s="10">
        <f>REPT(" ",4)</f>
        <v/>
      </c>
      <c r="AC915" s="10">
        <f>LEFT(UPPER(H915)&amp;REPT(" ",250),250)</f>
        <v/>
      </c>
      <c r="AD915" s="10">
        <f>TEXT($G$2,"dd/mm/aaaa")</f>
        <v/>
      </c>
      <c r="AE915" s="10">
        <f>REPT(" ",10)</f>
        <v/>
      </c>
      <c r="AF915" s="10">
        <f>REPT(" ",20)</f>
        <v/>
      </c>
      <c r="AG915" s="54">
        <f>REPT(" ",18-LEN(FIXED(F915,2,TRUE)))&amp;FIXED(F915,2,TRUE)</f>
        <v/>
      </c>
      <c r="AH915" s="10">
        <f>LEN(AC915)+LEN(AG915)</f>
        <v/>
      </c>
      <c r="AI915" s="10">
        <f>LEN(L915)</f>
        <v/>
      </c>
    </row>
    <row r="916">
      <c r="A916" s="46" t="n"/>
      <c r="B916" s="38" t="n"/>
      <c r="C916" s="41" t="n"/>
      <c r="D916" s="41" t="n"/>
      <c r="E916" s="41" t="n"/>
      <c r="F916" s="88" t="n"/>
      <c r="G916" s="89" t="n"/>
      <c r="H916" s="37" t="n"/>
      <c r="I916" s="42" t="n"/>
      <c r="J916" s="12">
        <f>IF(F916&lt;&gt;0,"LANÇAR","")</f>
        <v/>
      </c>
      <c r="K916" s="20" t="n"/>
      <c r="L916" s="13">
        <f>N916&amp;O916&amp;P916&amp;Q916&amp;R916&amp;S916&amp;T916&amp;U916&amp;V916&amp;W916&amp;X916&amp;Y916&amp;Z916&amp;AA916&amp;AB916&amp;AC916&amp;AD916&amp;AE916&amp;AF916&amp;AG916</f>
        <v/>
      </c>
      <c r="M916" s="20" t="n"/>
      <c r="N916" s="10">
        <f>TEXT($B$6,"00")</f>
        <v/>
      </c>
      <c r="O916" s="10">
        <f>REPT(" ",8)</f>
        <v/>
      </c>
      <c r="P916" s="10">
        <f>RIGHT($B$4,2)</f>
        <v/>
      </c>
      <c r="Q916" s="10">
        <f>RIGHT($B$5,3)</f>
        <v/>
      </c>
      <c r="R916" s="10">
        <f>IF(A916="D",LEFT(UPPER(B916)&amp;REPT(" ",20),20),REPT(" ",20))</f>
        <v/>
      </c>
      <c r="S916" s="10">
        <f>IF(A916="D",LEFT(UPPER(C916)&amp;REPT(" ",10),10)," ")</f>
        <v/>
      </c>
      <c r="T916" s="10">
        <f>IF(A916="D",LEFT(UPPER(D916)&amp;REPT(" ",2),2)," ")</f>
        <v/>
      </c>
      <c r="U916" s="10">
        <f>IF(A916="D",LEFT(UPPER(E916)&amp;REPT(" ",15),15)," ")</f>
        <v/>
      </c>
      <c r="V916" s="10">
        <f>REPT(" ",24)</f>
        <v/>
      </c>
      <c r="W916" s="10">
        <f>IF(A916="c",LEFT(UPPER(B916)&amp;REPT(" ",20),20),REPT(" ",20))</f>
        <v/>
      </c>
      <c r="X916" s="10">
        <f>IF(A916="C",LEFT(UPPER(C916)&amp;REPT(" ",10),10)," ")</f>
        <v/>
      </c>
      <c r="Y916" s="10">
        <f>IF(A916="C",LEFT(UPPER(D916)&amp;REPT(" ",2),2)," ")</f>
        <v/>
      </c>
      <c r="Z916" s="10">
        <f>IF(A916="C",LEFT(UPPER(E916)&amp;REPT(" ",15),15)," ")</f>
        <v/>
      </c>
      <c r="AA916" s="10">
        <f>REPT(" ",8)</f>
        <v/>
      </c>
      <c r="AB916" s="10">
        <f>REPT(" ",4)</f>
        <v/>
      </c>
      <c r="AC916" s="10">
        <f>LEFT(UPPER(H916)&amp;REPT(" ",250),250)</f>
        <v/>
      </c>
      <c r="AD916" s="10">
        <f>TEXT($G$2,"dd/mm/aaaa")</f>
        <v/>
      </c>
      <c r="AE916" s="10">
        <f>REPT(" ",10)</f>
        <v/>
      </c>
      <c r="AF916" s="10">
        <f>REPT(" ",20)</f>
        <v/>
      </c>
      <c r="AG916" s="54">
        <f>REPT(" ",18-LEN(FIXED(F916,2,TRUE)))&amp;FIXED(F916,2,TRUE)</f>
        <v/>
      </c>
      <c r="AH916" s="10">
        <f>LEN(AC916)+LEN(AG916)</f>
        <v/>
      </c>
      <c r="AI916" s="10">
        <f>LEN(L916)</f>
        <v/>
      </c>
    </row>
    <row r="917">
      <c r="I917" s="42" t="n"/>
      <c r="J917" s="12">
        <f>IF(F917&lt;&gt;0,"LANÇAR","")</f>
        <v/>
      </c>
      <c r="K917" s="20" t="n"/>
      <c r="L917" s="13">
        <f>N917&amp;O917&amp;P917&amp;Q917&amp;R917&amp;S917&amp;T917&amp;U917&amp;V917&amp;W917&amp;X917&amp;Y917&amp;Z917&amp;AA917&amp;AB917&amp;AC917&amp;AD917&amp;AE917&amp;AF917&amp;AG917</f>
        <v/>
      </c>
      <c r="M917" s="20" t="n"/>
      <c r="N917" s="10">
        <f>TEXT($B$6,"00")</f>
        <v/>
      </c>
      <c r="O917" s="10">
        <f>REPT(" ",8)</f>
        <v/>
      </c>
      <c r="P917" s="10">
        <f>RIGHT($B$4,2)</f>
        <v/>
      </c>
      <c r="Q917" s="10">
        <f>RIGHT($B$5,3)</f>
        <v/>
      </c>
      <c r="R917" s="10">
        <f>IF(A917="D",LEFT(UPPER(B917)&amp;REPT(" ",20),20),REPT(" ",20))</f>
        <v/>
      </c>
      <c r="S917" s="10">
        <f>IF(A917="D",LEFT(UPPER(C917)&amp;REPT(" ",10),10)," ")</f>
        <v/>
      </c>
      <c r="T917" s="10">
        <f>IF(A917="D",LEFT(UPPER(D917)&amp;REPT(" ",2),2)," ")</f>
        <v/>
      </c>
      <c r="U917" s="10">
        <f>IF(A917="D",LEFT(UPPER(E917)&amp;REPT(" ",15),15)," ")</f>
        <v/>
      </c>
      <c r="V917" s="10">
        <f>REPT(" ",24)</f>
        <v/>
      </c>
      <c r="W917" s="10">
        <f>IF(A917="c",LEFT(UPPER(B917)&amp;REPT(" ",20),20),REPT(" ",20))</f>
        <v/>
      </c>
      <c r="X917" s="10">
        <f>IF(A917="C",LEFT(UPPER(C917)&amp;REPT(" ",10),10)," ")</f>
        <v/>
      </c>
      <c r="Y917" s="10">
        <f>IF(A917="C",LEFT(UPPER(D917)&amp;REPT(" ",2),2)," ")</f>
        <v/>
      </c>
      <c r="Z917" s="10">
        <f>IF(A917="C",LEFT(UPPER(E917)&amp;REPT(" ",15),15)," ")</f>
        <v/>
      </c>
      <c r="AA917" s="10">
        <f>REPT(" ",8)</f>
        <v/>
      </c>
      <c r="AB917" s="10">
        <f>REPT(" ",4)</f>
        <v/>
      </c>
      <c r="AC917" s="10">
        <f>LEFT(UPPER(H917)&amp;REPT(" ",250),250)</f>
        <v/>
      </c>
      <c r="AD917" s="10">
        <f>TEXT($G$2,"dd/mm/aaaa")</f>
        <v/>
      </c>
      <c r="AE917" s="10">
        <f>REPT(" ",10)</f>
        <v/>
      </c>
      <c r="AF917" s="10">
        <f>REPT(" ",20)</f>
        <v/>
      </c>
      <c r="AG917" s="54">
        <f>REPT(" ",18-LEN(FIXED(F917,2,TRUE)))&amp;FIXED(F917,2,TRUE)</f>
        <v/>
      </c>
      <c r="AH917" s="10">
        <f>LEN(AC917)+LEN(AG917)</f>
        <v/>
      </c>
      <c r="AI917" s="10">
        <f>LEN(L917)</f>
        <v/>
      </c>
    </row>
    <row r="918">
      <c r="I918" s="42" t="n"/>
      <c r="J918" s="12">
        <f>IF(F918&lt;&gt;0,"LANÇAR","")</f>
        <v/>
      </c>
      <c r="K918" s="20" t="n"/>
      <c r="L918" s="13">
        <f>N918&amp;O918&amp;P918&amp;Q918&amp;R918&amp;S918&amp;T918&amp;U918&amp;V918&amp;W918&amp;X918&amp;Y918&amp;Z918&amp;AA918&amp;AB918&amp;AC918&amp;AD918&amp;AE918&amp;AF918&amp;AG918</f>
        <v/>
      </c>
      <c r="M918" s="20" t="n"/>
      <c r="N918" s="10">
        <f>TEXT($B$6,"00")</f>
        <v/>
      </c>
      <c r="O918" s="10">
        <f>REPT(" ",8)</f>
        <v/>
      </c>
      <c r="P918" s="10">
        <f>RIGHT($B$4,2)</f>
        <v/>
      </c>
      <c r="Q918" s="10">
        <f>RIGHT($B$5,3)</f>
        <v/>
      </c>
      <c r="R918" s="10">
        <f>IF(A918="D",LEFT(UPPER(B918)&amp;REPT(" ",20),20),REPT(" ",20))</f>
        <v/>
      </c>
      <c r="S918" s="10">
        <f>IF(A918="D",LEFT(UPPER(C918)&amp;REPT(" ",10),10)," ")</f>
        <v/>
      </c>
      <c r="T918" s="10">
        <f>IF(A918="D",LEFT(UPPER(D918)&amp;REPT(" ",2),2)," ")</f>
        <v/>
      </c>
      <c r="U918" s="10">
        <f>IF(A918="D",LEFT(UPPER(E918)&amp;REPT(" ",15),15)," ")</f>
        <v/>
      </c>
      <c r="V918" s="10">
        <f>REPT(" ",24)</f>
        <v/>
      </c>
      <c r="W918" s="10">
        <f>IF(A918="c",LEFT(UPPER(B918)&amp;REPT(" ",20),20),REPT(" ",20))</f>
        <v/>
      </c>
      <c r="X918" s="10">
        <f>IF(A918="C",LEFT(UPPER(C918)&amp;REPT(" ",10),10)," ")</f>
        <v/>
      </c>
      <c r="Y918" s="10">
        <f>IF(A918="C",LEFT(UPPER(D918)&amp;REPT(" ",2),2)," ")</f>
        <v/>
      </c>
      <c r="Z918" s="10">
        <f>IF(A918="C",LEFT(UPPER(E918)&amp;REPT(" ",15),15)," ")</f>
        <v/>
      </c>
      <c r="AA918" s="10">
        <f>REPT(" ",8)</f>
        <v/>
      </c>
      <c r="AB918" s="10">
        <f>REPT(" ",4)</f>
        <v/>
      </c>
      <c r="AC918" s="10">
        <f>LEFT(UPPER(H918)&amp;REPT(" ",250),250)</f>
        <v/>
      </c>
      <c r="AD918" s="10">
        <f>TEXT($G$2,"dd/mm/aaaa")</f>
        <v/>
      </c>
      <c r="AE918" s="10">
        <f>REPT(" ",10)</f>
        <v/>
      </c>
      <c r="AF918" s="10">
        <f>REPT(" ",20)</f>
        <v/>
      </c>
      <c r="AG918" s="54">
        <f>REPT(" ",18-LEN(FIXED(F918,2,TRUE)))&amp;FIXED(F918,2,TRUE)</f>
        <v/>
      </c>
      <c r="AH918" s="10">
        <f>LEN(AC918)+LEN(AG918)</f>
        <v/>
      </c>
      <c r="AI918" s="10">
        <f>LEN(L918)</f>
        <v/>
      </c>
    </row>
    <row r="919">
      <c r="I919" s="42" t="n"/>
      <c r="J919" s="12">
        <f>IF(F919&lt;&gt;0,"LANÇAR","")</f>
        <v/>
      </c>
      <c r="K919" s="20" t="n"/>
      <c r="L919" s="13">
        <f>N919&amp;O919&amp;P919&amp;Q919&amp;R919&amp;S919&amp;T919&amp;U919&amp;V919&amp;W919&amp;X919&amp;Y919&amp;Z919&amp;AA919&amp;AB919&amp;AC919&amp;AD919&amp;AE919&amp;AF919&amp;AG919</f>
        <v/>
      </c>
      <c r="M919" s="20" t="n"/>
      <c r="N919" s="10">
        <f>TEXT($B$6,"00")</f>
        <v/>
      </c>
      <c r="O919" s="10">
        <f>REPT(" ",8)</f>
        <v/>
      </c>
      <c r="P919" s="10">
        <f>RIGHT($B$4,2)</f>
        <v/>
      </c>
      <c r="Q919" s="10">
        <f>RIGHT($B$5,3)</f>
        <v/>
      </c>
      <c r="R919" s="10">
        <f>IF(A919="D",LEFT(UPPER(B919)&amp;REPT(" ",20),20),REPT(" ",20))</f>
        <v/>
      </c>
      <c r="S919" s="10">
        <f>IF(A919="D",LEFT(UPPER(C919)&amp;REPT(" ",10),10)," ")</f>
        <v/>
      </c>
      <c r="T919" s="10">
        <f>IF(A919="D",LEFT(UPPER(D919)&amp;REPT(" ",2),2)," ")</f>
        <v/>
      </c>
      <c r="U919" s="10">
        <f>IF(A919="D",LEFT(UPPER(E919)&amp;REPT(" ",15),15)," ")</f>
        <v/>
      </c>
      <c r="V919" s="10">
        <f>REPT(" ",24)</f>
        <v/>
      </c>
      <c r="W919" s="10">
        <f>IF(A919="c",LEFT(UPPER(B919)&amp;REPT(" ",20),20),REPT(" ",20))</f>
        <v/>
      </c>
      <c r="X919" s="10">
        <f>IF(A919="C",LEFT(UPPER(C919)&amp;REPT(" ",10),10)," ")</f>
        <v/>
      </c>
      <c r="Y919" s="10">
        <f>IF(A919="C",LEFT(UPPER(D919)&amp;REPT(" ",2),2)," ")</f>
        <v/>
      </c>
      <c r="Z919" s="10">
        <f>IF(A919="C",LEFT(UPPER(E919)&amp;REPT(" ",15),15)," ")</f>
        <v/>
      </c>
      <c r="AA919" s="10">
        <f>REPT(" ",8)</f>
        <v/>
      </c>
      <c r="AB919" s="10">
        <f>REPT(" ",4)</f>
        <v/>
      </c>
      <c r="AC919" s="10">
        <f>LEFT(UPPER(H919)&amp;REPT(" ",250),250)</f>
        <v/>
      </c>
      <c r="AD919" s="10">
        <f>TEXT($G$2,"dd/mm/aaaa")</f>
        <v/>
      </c>
      <c r="AE919" s="10">
        <f>REPT(" ",10)</f>
        <v/>
      </c>
      <c r="AF919" s="10">
        <f>REPT(" ",20)</f>
        <v/>
      </c>
      <c r="AG919" s="54">
        <f>REPT(" ",18-LEN(FIXED(F919,2,TRUE)))&amp;FIXED(F919,2,TRUE)</f>
        <v/>
      </c>
      <c r="AH919" s="10">
        <f>LEN(AC919)+LEN(AG919)</f>
        <v/>
      </c>
      <c r="AI919" s="10">
        <f>LEN(L919)</f>
        <v/>
      </c>
    </row>
    <row r="920">
      <c r="I920" s="42" t="n"/>
      <c r="J920" s="12">
        <f>IF(F920&lt;&gt;0,"LANÇAR","")</f>
        <v/>
      </c>
      <c r="L920" s="13">
        <f>N920&amp;O920&amp;P920&amp;Q920&amp;R920&amp;S920&amp;T920&amp;U920&amp;V920&amp;W920&amp;X920&amp;Y920&amp;Z920&amp;AA920&amp;AB920&amp;AC920&amp;AD920&amp;AE920&amp;AF920&amp;AG920</f>
        <v/>
      </c>
      <c r="N920" s="10">
        <f>TEXT($B$6,"00")</f>
        <v/>
      </c>
      <c r="O920" s="10">
        <f>REPT(" ",8)</f>
        <v/>
      </c>
      <c r="P920" s="10">
        <f>RIGHT($B$4,2)</f>
        <v/>
      </c>
      <c r="Q920" s="10">
        <f>RIGHT($B$5,3)</f>
        <v/>
      </c>
      <c r="R920" s="10">
        <f>IF(A920="D",LEFT(UPPER(B920)&amp;REPT(" ",20),20),REPT(" ",20))</f>
        <v/>
      </c>
      <c r="S920" s="10">
        <f>IF(A920="D",LEFT(UPPER(C920)&amp;REPT(" ",10),10)," ")</f>
        <v/>
      </c>
      <c r="T920" s="10">
        <f>IF(A920="D",LEFT(UPPER(D920)&amp;REPT(" ",2),2)," ")</f>
        <v/>
      </c>
      <c r="U920" s="10">
        <f>IF(A920="D",LEFT(UPPER(E920)&amp;REPT(" ",15),15)," ")</f>
        <v/>
      </c>
      <c r="V920" s="10">
        <f>REPT(" ",24)</f>
        <v/>
      </c>
      <c r="W920" s="10">
        <f>IF(A920="c",LEFT(UPPER(B920)&amp;REPT(" ",20),20),REPT(" ",20))</f>
        <v/>
      </c>
      <c r="X920" s="10">
        <f>IF(A920="C",LEFT(UPPER(C920)&amp;REPT(" ",10),10)," ")</f>
        <v/>
      </c>
      <c r="Y920" s="10">
        <f>IF(A920="C",LEFT(UPPER(D920)&amp;REPT(" ",2),2)," ")</f>
        <v/>
      </c>
      <c r="Z920" s="10">
        <f>IF(A920="C",LEFT(UPPER(E920)&amp;REPT(" ",15),15)," ")</f>
        <v/>
      </c>
      <c r="AA920" s="10">
        <f>REPT(" ",8)</f>
        <v/>
      </c>
      <c r="AB920" s="10">
        <f>REPT(" ",4)</f>
        <v/>
      </c>
      <c r="AC920" s="10">
        <f>LEFT(UPPER(H920)&amp;REPT(" ",250),250)</f>
        <v/>
      </c>
      <c r="AD920" s="10">
        <f>TEXT($G$2,"dd/mm/aaaa")</f>
        <v/>
      </c>
      <c r="AE920" s="10">
        <f>REPT(" ",10)</f>
        <v/>
      </c>
      <c r="AF920" s="10">
        <f>REPT(" ",20)</f>
        <v/>
      </c>
      <c r="AG920" s="54">
        <f>REPT(" ",18-LEN(FIXED(F920,2,TRUE)))&amp;FIXED(F920,2,TRUE)</f>
        <v/>
      </c>
      <c r="AH920" s="10">
        <f>LEN(AC920)+LEN(AG920)</f>
        <v/>
      </c>
      <c r="AI920" s="10">
        <f>LEN(L920)</f>
        <v/>
      </c>
    </row>
    <row r="921">
      <c r="I921" s="42" t="n"/>
      <c r="J921" s="12">
        <f>IF(F921&lt;&gt;0,"LANÇAR","")</f>
        <v/>
      </c>
      <c r="L921" s="13">
        <f>N921&amp;O921&amp;P921&amp;Q921&amp;R921&amp;S921&amp;T921&amp;U921&amp;V921&amp;W921&amp;X921&amp;Y921&amp;Z921&amp;AA921&amp;AB921&amp;AC921&amp;AD921&amp;AE921&amp;AF921&amp;AG921</f>
        <v/>
      </c>
      <c r="N921" s="10">
        <f>TEXT($B$6,"00")</f>
        <v/>
      </c>
      <c r="O921" s="10">
        <f>REPT(" ",8)</f>
        <v/>
      </c>
      <c r="P921" s="10">
        <f>RIGHT($B$4,2)</f>
        <v/>
      </c>
      <c r="Q921" s="10">
        <f>RIGHT($B$5,3)</f>
        <v/>
      </c>
      <c r="R921" s="10">
        <f>IF(A921="D",LEFT(UPPER(B921)&amp;REPT(" ",20),20),REPT(" ",20))</f>
        <v/>
      </c>
      <c r="S921" s="10">
        <f>IF(A921="D",LEFT(UPPER(C921)&amp;REPT(" ",10),10)," ")</f>
        <v/>
      </c>
      <c r="T921" s="10">
        <f>IF(A921="D",LEFT(UPPER(D921)&amp;REPT(" ",2),2)," ")</f>
        <v/>
      </c>
      <c r="U921" s="10">
        <f>IF(A921="D",LEFT(UPPER(E921)&amp;REPT(" ",15),15)," ")</f>
        <v/>
      </c>
      <c r="V921" s="10">
        <f>REPT(" ",24)</f>
        <v/>
      </c>
      <c r="W921" s="10">
        <f>IF(A921="c",LEFT(UPPER(B921)&amp;REPT(" ",20),20),REPT(" ",20))</f>
        <v/>
      </c>
      <c r="X921" s="10">
        <f>IF(A921="C",LEFT(UPPER(C921)&amp;REPT(" ",10),10)," ")</f>
        <v/>
      </c>
      <c r="Y921" s="10">
        <f>IF(A921="C",LEFT(UPPER(D921)&amp;REPT(" ",2),2)," ")</f>
        <v/>
      </c>
      <c r="Z921" s="10">
        <f>IF(A921="C",LEFT(UPPER(E921)&amp;REPT(" ",15),15)," ")</f>
        <v/>
      </c>
      <c r="AA921" s="10">
        <f>REPT(" ",8)</f>
        <v/>
      </c>
      <c r="AB921" s="10">
        <f>REPT(" ",4)</f>
        <v/>
      </c>
      <c r="AC921" s="10">
        <f>LEFT(UPPER(H921)&amp;REPT(" ",250),250)</f>
        <v/>
      </c>
      <c r="AD921" s="10">
        <f>TEXT($G$2,"dd/mm/aaaa")</f>
        <v/>
      </c>
      <c r="AE921" s="10">
        <f>REPT(" ",10)</f>
        <v/>
      </c>
      <c r="AF921" s="10">
        <f>REPT(" ",20)</f>
        <v/>
      </c>
      <c r="AG921" s="54">
        <f>REPT(" ",18-LEN(FIXED(F921,2,TRUE)))&amp;FIXED(F921,2,TRUE)</f>
        <v/>
      </c>
      <c r="AH921" s="10">
        <f>LEN(AC921)+LEN(AG921)</f>
        <v/>
      </c>
      <c r="AI921" s="10">
        <f>LEN(L921)</f>
        <v/>
      </c>
    </row>
    <row r="922">
      <c r="J922" s="12">
        <f>IF(F922&lt;&gt;0,"LANÇAR","")</f>
        <v/>
      </c>
      <c r="L922" s="13">
        <f>N922&amp;O922&amp;P922&amp;Q922&amp;R922&amp;S922&amp;T922&amp;U922&amp;V922&amp;W922&amp;X922&amp;Y922&amp;Z922&amp;AA922&amp;AB922&amp;AC922&amp;AD922&amp;AE922&amp;AF922&amp;AG922</f>
        <v/>
      </c>
      <c r="N922" s="10">
        <f>TEXT($B$6,"00")</f>
        <v/>
      </c>
      <c r="O922" s="10">
        <f>REPT(" ",8)</f>
        <v/>
      </c>
      <c r="P922" s="10">
        <f>RIGHT($B$4,2)</f>
        <v/>
      </c>
      <c r="Q922" s="10">
        <f>RIGHT($B$5,3)</f>
        <v/>
      </c>
      <c r="R922" s="10">
        <f>IF(A922="D",LEFT(UPPER(B922)&amp;REPT(" ",20),20),REPT(" ",20))</f>
        <v/>
      </c>
      <c r="S922" s="10">
        <f>IF(A922="D",LEFT(UPPER(C922)&amp;REPT(" ",10),10)," ")</f>
        <v/>
      </c>
      <c r="T922" s="10">
        <f>IF(A922="D",LEFT(UPPER(D922)&amp;REPT(" ",2),2)," ")</f>
        <v/>
      </c>
      <c r="U922" s="10">
        <f>IF(A922="D",LEFT(UPPER(E922)&amp;REPT(" ",15),15)," ")</f>
        <v/>
      </c>
      <c r="V922" s="10">
        <f>REPT(" ",24)</f>
        <v/>
      </c>
      <c r="W922" s="10">
        <f>IF(A922="c",LEFT(UPPER(B922)&amp;REPT(" ",20),20),REPT(" ",20))</f>
        <v/>
      </c>
      <c r="X922" s="10">
        <f>IF(A922="C",LEFT(UPPER(C922)&amp;REPT(" ",10),10)," ")</f>
        <v/>
      </c>
      <c r="Y922" s="10">
        <f>IF(A922="C",LEFT(UPPER(D922)&amp;REPT(" ",2),2)," ")</f>
        <v/>
      </c>
      <c r="Z922" s="10">
        <f>IF(A922="C",LEFT(UPPER(E922)&amp;REPT(" ",15),15)," ")</f>
        <v/>
      </c>
      <c r="AA922" s="10">
        <f>REPT(" ",8)</f>
        <v/>
      </c>
      <c r="AB922" s="10">
        <f>REPT(" ",4)</f>
        <v/>
      </c>
      <c r="AC922" s="10">
        <f>LEFT(UPPER(H922)&amp;REPT(" ",250),250)</f>
        <v/>
      </c>
      <c r="AD922" s="10">
        <f>TEXT($G$2,"dd/mm/aaaa")</f>
        <v/>
      </c>
      <c r="AE922" s="10">
        <f>REPT(" ",10)</f>
        <v/>
      </c>
      <c r="AF922" s="10">
        <f>REPT(" ",20)</f>
        <v/>
      </c>
      <c r="AG922" s="54">
        <f>REPT(" ",18-LEN(FIXED(F922,2,TRUE)))&amp;FIXED(F922,2,TRUE)</f>
        <v/>
      </c>
      <c r="AH922" s="10">
        <f>LEN(AC922)+LEN(AG922)</f>
        <v/>
      </c>
      <c r="AI922" s="10">
        <f>LEN(L922)</f>
        <v/>
      </c>
    </row>
    <row r="923">
      <c r="J923" s="12">
        <f>IF(F923&lt;&gt;0,"LANÇAR","")</f>
        <v/>
      </c>
      <c r="L923" s="13">
        <f>N923&amp;O923&amp;P923&amp;Q923&amp;R923&amp;S923&amp;T923&amp;U923&amp;V923&amp;W923&amp;X923&amp;Y923&amp;Z923&amp;AA923&amp;AB923&amp;AC923&amp;AD923&amp;AE923&amp;AF923&amp;AG923</f>
        <v/>
      </c>
      <c r="N923" s="10">
        <f>TEXT($B$6,"00")</f>
        <v/>
      </c>
      <c r="O923" s="10">
        <f>REPT(" ",8)</f>
        <v/>
      </c>
      <c r="P923" s="10">
        <f>RIGHT($B$4,2)</f>
        <v/>
      </c>
      <c r="Q923" s="10">
        <f>RIGHT($B$5,3)</f>
        <v/>
      </c>
      <c r="R923" s="10">
        <f>IF(A923="D",LEFT(UPPER(B923)&amp;REPT(" ",20),20),REPT(" ",20))</f>
        <v/>
      </c>
      <c r="S923" s="10">
        <f>IF(A923="D",LEFT(UPPER(C923)&amp;REPT(" ",10),10)," ")</f>
        <v/>
      </c>
      <c r="T923" s="10">
        <f>IF(A923="D",LEFT(UPPER(D923)&amp;REPT(" ",2),2)," ")</f>
        <v/>
      </c>
      <c r="U923" s="10">
        <f>IF(A923="D",LEFT(UPPER(E923)&amp;REPT(" ",15),15)," ")</f>
        <v/>
      </c>
      <c r="V923" s="10">
        <f>REPT(" ",24)</f>
        <v/>
      </c>
      <c r="W923" s="10">
        <f>IF(A923="c",LEFT(UPPER(B923)&amp;REPT(" ",20),20),REPT(" ",20))</f>
        <v/>
      </c>
      <c r="X923" s="10">
        <f>IF(A923="C",LEFT(UPPER(C923)&amp;REPT(" ",10),10)," ")</f>
        <v/>
      </c>
      <c r="Y923" s="10">
        <f>IF(A923="C",LEFT(UPPER(D923)&amp;REPT(" ",2),2)," ")</f>
        <v/>
      </c>
      <c r="Z923" s="10">
        <f>IF(A923="C",LEFT(UPPER(E923)&amp;REPT(" ",15),15)," ")</f>
        <v/>
      </c>
      <c r="AA923" s="10">
        <f>REPT(" ",8)</f>
        <v/>
      </c>
      <c r="AB923" s="10">
        <f>REPT(" ",4)</f>
        <v/>
      </c>
      <c r="AC923" s="10">
        <f>LEFT(UPPER(H923)&amp;REPT(" ",250),250)</f>
        <v/>
      </c>
      <c r="AD923" s="10">
        <f>TEXT($G$2,"dd/mm/aaaa")</f>
        <v/>
      </c>
      <c r="AE923" s="10">
        <f>REPT(" ",10)</f>
        <v/>
      </c>
      <c r="AF923" s="10">
        <f>REPT(" ",20)</f>
        <v/>
      </c>
      <c r="AG923" s="54">
        <f>REPT(" ",18-LEN(FIXED(F923,2,TRUE)))&amp;FIXED(F923,2,TRUE)</f>
        <v/>
      </c>
      <c r="AH923" s="10">
        <f>LEN(AC923)+LEN(AG923)</f>
        <v/>
      </c>
      <c r="AI923" s="10">
        <f>LEN(L923)</f>
        <v/>
      </c>
    </row>
    <row r="924">
      <c r="J924" s="12">
        <f>IF(F924&lt;&gt;0,"LANÇAR","")</f>
        <v/>
      </c>
      <c r="L924" s="13">
        <f>N924&amp;O924&amp;P924&amp;Q924&amp;R924&amp;S924&amp;T924&amp;U924&amp;V924&amp;W924&amp;X924&amp;Y924&amp;Z924&amp;AA924&amp;AB924&amp;AC924&amp;AD924&amp;AE924&amp;AF924&amp;AG924</f>
        <v/>
      </c>
      <c r="N924" s="10">
        <f>TEXT($B$6,"00")</f>
        <v/>
      </c>
      <c r="O924" s="10">
        <f>REPT(" ",8)</f>
        <v/>
      </c>
      <c r="P924" s="10">
        <f>RIGHT($B$4,2)</f>
        <v/>
      </c>
      <c r="Q924" s="10">
        <f>RIGHT($B$5,3)</f>
        <v/>
      </c>
      <c r="R924" s="10">
        <f>IF(A924="D",LEFT(UPPER(B924)&amp;REPT(" ",20),20),REPT(" ",20))</f>
        <v/>
      </c>
      <c r="S924" s="10">
        <f>IF(A924="D",LEFT(UPPER(C924)&amp;REPT(" ",10),10)," ")</f>
        <v/>
      </c>
      <c r="T924" s="10">
        <f>IF(A924="D",LEFT(UPPER(D924)&amp;REPT(" ",2),2)," ")</f>
        <v/>
      </c>
      <c r="U924" s="10">
        <f>IF(A924="D",LEFT(UPPER(E924)&amp;REPT(" ",15),15)," ")</f>
        <v/>
      </c>
      <c r="V924" s="10">
        <f>REPT(" ",24)</f>
        <v/>
      </c>
      <c r="W924" s="10">
        <f>IF(A924="c",LEFT(UPPER(B924)&amp;REPT(" ",20),20),REPT(" ",20))</f>
        <v/>
      </c>
      <c r="X924" s="10">
        <f>IF(A924="C",LEFT(UPPER(C924)&amp;REPT(" ",10),10)," ")</f>
        <v/>
      </c>
      <c r="Y924" s="10">
        <f>IF(A924="C",LEFT(UPPER(D924)&amp;REPT(" ",2),2)," ")</f>
        <v/>
      </c>
      <c r="Z924" s="10">
        <f>IF(A924="C",LEFT(UPPER(E924)&amp;REPT(" ",15),15)," ")</f>
        <v/>
      </c>
      <c r="AA924" s="10">
        <f>REPT(" ",8)</f>
        <v/>
      </c>
      <c r="AB924" s="10">
        <f>REPT(" ",4)</f>
        <v/>
      </c>
      <c r="AC924" s="10">
        <f>LEFT(UPPER(H924)&amp;REPT(" ",250),250)</f>
        <v/>
      </c>
      <c r="AD924" s="10">
        <f>TEXT($G$2,"dd/mm/aaaa")</f>
        <v/>
      </c>
      <c r="AE924" s="10">
        <f>REPT(" ",10)</f>
        <v/>
      </c>
      <c r="AF924" s="10">
        <f>REPT(" ",20)</f>
        <v/>
      </c>
      <c r="AG924" s="54">
        <f>REPT(" ",18-LEN(FIXED(F924,2,TRUE)))&amp;FIXED(F924,2,TRUE)</f>
        <v/>
      </c>
      <c r="AH924" s="10">
        <f>LEN(AC924)+LEN(AG924)</f>
        <v/>
      </c>
      <c r="AI924" s="10">
        <f>LEN(L924)</f>
        <v/>
      </c>
    </row>
    <row r="925">
      <c r="J925" s="12">
        <f>IF(F925&lt;&gt;0,"LANÇAR","")</f>
        <v/>
      </c>
      <c r="L925" s="13">
        <f>N925&amp;O925&amp;P925&amp;Q925&amp;R925&amp;S925&amp;T925&amp;U925&amp;V925&amp;W925&amp;X925&amp;Y925&amp;Z925&amp;AA925&amp;AB925&amp;AC925&amp;AD925&amp;AE925&amp;AF925&amp;AG925</f>
        <v/>
      </c>
      <c r="N925" s="10">
        <f>TEXT($B$6,"00")</f>
        <v/>
      </c>
      <c r="O925" s="10">
        <f>REPT(" ",8)</f>
        <v/>
      </c>
      <c r="P925" s="10">
        <f>RIGHT($B$4,2)</f>
        <v/>
      </c>
      <c r="Q925" s="10">
        <f>RIGHT($B$5,3)</f>
        <v/>
      </c>
      <c r="R925" s="10">
        <f>IF(A925="D",LEFT(UPPER(B925)&amp;REPT(" ",20),20),REPT(" ",20))</f>
        <v/>
      </c>
      <c r="S925" s="10">
        <f>IF(A925="D",LEFT(UPPER(C925)&amp;REPT(" ",10),10)," ")</f>
        <v/>
      </c>
      <c r="T925" s="10">
        <f>IF(A925="D",LEFT(UPPER(D925)&amp;REPT(" ",2),2)," ")</f>
        <v/>
      </c>
      <c r="U925" s="10">
        <f>IF(A925="D",LEFT(UPPER(E925)&amp;REPT(" ",15),15)," ")</f>
        <v/>
      </c>
      <c r="V925" s="10">
        <f>REPT(" ",24)</f>
        <v/>
      </c>
      <c r="W925" s="10">
        <f>IF(A925="c",LEFT(UPPER(B925)&amp;REPT(" ",20),20),REPT(" ",20))</f>
        <v/>
      </c>
      <c r="X925" s="10">
        <f>IF(A925="C",LEFT(UPPER(C925)&amp;REPT(" ",10),10)," ")</f>
        <v/>
      </c>
      <c r="Y925" s="10">
        <f>IF(A925="C",LEFT(UPPER(D925)&amp;REPT(" ",2),2)," ")</f>
        <v/>
      </c>
      <c r="Z925" s="10">
        <f>IF(A925="C",LEFT(UPPER(E925)&amp;REPT(" ",15),15)," ")</f>
        <v/>
      </c>
      <c r="AA925" s="10">
        <f>REPT(" ",8)</f>
        <v/>
      </c>
      <c r="AB925" s="10">
        <f>REPT(" ",4)</f>
        <v/>
      </c>
      <c r="AC925" s="10">
        <f>LEFT(UPPER(H925)&amp;REPT(" ",250),250)</f>
        <v/>
      </c>
      <c r="AD925" s="10">
        <f>TEXT($G$2,"dd/mm/aaaa")</f>
        <v/>
      </c>
      <c r="AE925" s="10">
        <f>REPT(" ",10)</f>
        <v/>
      </c>
      <c r="AF925" s="10">
        <f>REPT(" ",20)</f>
        <v/>
      </c>
      <c r="AG925" s="54">
        <f>REPT(" ",18-LEN(FIXED(F925,2,TRUE)))&amp;FIXED(F925,2,TRUE)</f>
        <v/>
      </c>
      <c r="AH925" s="10">
        <f>LEN(AC925)+LEN(AG925)</f>
        <v/>
      </c>
      <c r="AI925" s="10">
        <f>LEN(L925)</f>
        <v/>
      </c>
    </row>
    <row r="926">
      <c r="J926" s="12">
        <f>IF(F926&lt;&gt;0,"LANÇAR","")</f>
        <v/>
      </c>
      <c r="L926" s="13">
        <f>N926&amp;O926&amp;P926&amp;Q926&amp;R926&amp;S926&amp;T926&amp;U926&amp;V926&amp;W926&amp;X926&amp;Y926&amp;Z926&amp;AA926&amp;AB926&amp;AC926&amp;AD926&amp;AE926&amp;AF926&amp;AG926</f>
        <v/>
      </c>
      <c r="N926" s="10">
        <f>TEXT($B$6,"00")</f>
        <v/>
      </c>
      <c r="O926" s="10">
        <f>REPT(" ",8)</f>
        <v/>
      </c>
      <c r="P926" s="10">
        <f>RIGHT($B$4,2)</f>
        <v/>
      </c>
      <c r="Q926" s="10">
        <f>RIGHT($B$5,3)</f>
        <v/>
      </c>
      <c r="R926" s="10">
        <f>IF(A926="D",LEFT(UPPER(B926)&amp;REPT(" ",20),20),REPT(" ",20))</f>
        <v/>
      </c>
      <c r="S926" s="10">
        <f>IF(A926="D",LEFT(UPPER(C926)&amp;REPT(" ",10),10)," ")</f>
        <v/>
      </c>
      <c r="T926" s="10">
        <f>IF(A926="D",LEFT(UPPER(D926)&amp;REPT(" ",2),2)," ")</f>
        <v/>
      </c>
      <c r="U926" s="10">
        <f>IF(A926="D",LEFT(UPPER(E926)&amp;REPT(" ",15),15)," ")</f>
        <v/>
      </c>
      <c r="V926" s="10">
        <f>REPT(" ",24)</f>
        <v/>
      </c>
      <c r="W926" s="10">
        <f>IF(A926="c",LEFT(UPPER(B926)&amp;REPT(" ",20),20),REPT(" ",20))</f>
        <v/>
      </c>
      <c r="X926" s="10">
        <f>IF(A926="C",LEFT(UPPER(C926)&amp;REPT(" ",10),10)," ")</f>
        <v/>
      </c>
      <c r="Y926" s="10">
        <f>IF(A926="C",LEFT(UPPER(D926)&amp;REPT(" ",2),2)," ")</f>
        <v/>
      </c>
      <c r="Z926" s="10">
        <f>IF(A926="C",LEFT(UPPER(E926)&amp;REPT(" ",15),15)," ")</f>
        <v/>
      </c>
      <c r="AA926" s="10">
        <f>REPT(" ",8)</f>
        <v/>
      </c>
      <c r="AB926" s="10">
        <f>REPT(" ",4)</f>
        <v/>
      </c>
      <c r="AC926" s="10">
        <f>LEFT(UPPER(H926)&amp;REPT(" ",250),250)</f>
        <v/>
      </c>
      <c r="AD926" s="10">
        <f>TEXT($G$2,"dd/mm/aaaa")</f>
        <v/>
      </c>
      <c r="AE926" s="10">
        <f>REPT(" ",10)</f>
        <v/>
      </c>
      <c r="AF926" s="10">
        <f>REPT(" ",20)</f>
        <v/>
      </c>
      <c r="AG926" s="54">
        <f>REPT(" ",18-LEN(FIXED(F926,2,TRUE)))&amp;FIXED(F926,2,TRUE)</f>
        <v/>
      </c>
      <c r="AH926" s="10">
        <f>LEN(AC926)+LEN(AG926)</f>
        <v/>
      </c>
      <c r="AI926" s="10">
        <f>LEN(L926)</f>
        <v/>
      </c>
    </row>
    <row r="927">
      <c r="J927" s="12">
        <f>IF(F927&lt;&gt;0,"LANÇAR","")</f>
        <v/>
      </c>
      <c r="L927" s="13">
        <f>N927&amp;O927&amp;P927&amp;Q927&amp;R927&amp;S927&amp;T927&amp;U927&amp;V927&amp;W927&amp;X927&amp;Y927&amp;Z927&amp;AA927&amp;AB927&amp;AC927&amp;AD927&amp;AE927&amp;AF927&amp;AG927</f>
        <v/>
      </c>
      <c r="N927" s="10">
        <f>TEXT($B$6,"00")</f>
        <v/>
      </c>
      <c r="O927" s="10">
        <f>REPT(" ",8)</f>
        <v/>
      </c>
      <c r="P927" s="10">
        <f>RIGHT($B$4,2)</f>
        <v/>
      </c>
      <c r="Q927" s="10">
        <f>RIGHT($B$5,3)</f>
        <v/>
      </c>
      <c r="R927" s="10">
        <f>IF(A927="D",LEFT(UPPER(B927)&amp;REPT(" ",20),20),REPT(" ",20))</f>
        <v/>
      </c>
      <c r="S927" s="10">
        <f>IF(A927="D",LEFT(UPPER(C927)&amp;REPT(" ",10),10)," ")</f>
        <v/>
      </c>
      <c r="T927" s="10">
        <f>IF(A927="D",LEFT(UPPER(D927)&amp;REPT(" ",2),2)," ")</f>
        <v/>
      </c>
      <c r="U927" s="10">
        <f>IF(A927="D",LEFT(UPPER(E927)&amp;REPT(" ",15),15)," ")</f>
        <v/>
      </c>
      <c r="V927" s="10">
        <f>REPT(" ",24)</f>
        <v/>
      </c>
      <c r="W927" s="10">
        <f>IF(A927="c",LEFT(UPPER(B927)&amp;REPT(" ",20),20),REPT(" ",20))</f>
        <v/>
      </c>
      <c r="X927" s="10">
        <f>IF(A927="C",LEFT(UPPER(C927)&amp;REPT(" ",10),10)," ")</f>
        <v/>
      </c>
      <c r="Y927" s="10">
        <f>IF(A927="C",LEFT(UPPER(D927)&amp;REPT(" ",2),2)," ")</f>
        <v/>
      </c>
      <c r="Z927" s="10">
        <f>IF(A927="C",LEFT(UPPER(E927)&amp;REPT(" ",15),15)," ")</f>
        <v/>
      </c>
      <c r="AA927" s="10">
        <f>REPT(" ",8)</f>
        <v/>
      </c>
      <c r="AB927" s="10">
        <f>REPT(" ",4)</f>
        <v/>
      </c>
      <c r="AC927" s="10">
        <f>LEFT(UPPER(H927)&amp;REPT(" ",250),250)</f>
        <v/>
      </c>
      <c r="AD927" s="10">
        <f>TEXT($G$2,"dd/mm/aaaa")</f>
        <v/>
      </c>
      <c r="AE927" s="10">
        <f>REPT(" ",10)</f>
        <v/>
      </c>
      <c r="AF927" s="10">
        <f>REPT(" ",20)</f>
        <v/>
      </c>
      <c r="AG927" s="54">
        <f>REPT(" ",18-LEN(FIXED(F927,2,TRUE)))&amp;FIXED(F927,2,TRUE)</f>
        <v/>
      </c>
      <c r="AH927" s="10">
        <f>LEN(AC927)+LEN(AG927)</f>
        <v/>
      </c>
      <c r="AI927" s="10">
        <f>LEN(L927)</f>
        <v/>
      </c>
    </row>
    <row r="928">
      <c r="J928" s="12">
        <f>IF(F928&lt;&gt;0,"LANÇAR","")</f>
        <v/>
      </c>
      <c r="L928" s="13">
        <f>N928&amp;O928&amp;P928&amp;Q928&amp;R928&amp;S928&amp;T928&amp;U928&amp;V928&amp;W928&amp;X928&amp;Y928&amp;Z928&amp;AA928&amp;AB928&amp;AC928&amp;AD928&amp;AE928&amp;AF928&amp;AG928</f>
        <v/>
      </c>
      <c r="N928" s="10">
        <f>TEXT($B$6,"00")</f>
        <v/>
      </c>
      <c r="O928" s="10">
        <f>REPT(" ",8)</f>
        <v/>
      </c>
      <c r="P928" s="10">
        <f>RIGHT($B$4,2)</f>
        <v/>
      </c>
      <c r="Q928" s="10">
        <f>RIGHT($B$5,3)</f>
        <v/>
      </c>
      <c r="R928" s="10">
        <f>IF(A928="D",LEFT(UPPER(B928)&amp;REPT(" ",20),20),REPT(" ",20))</f>
        <v/>
      </c>
      <c r="S928" s="10">
        <f>IF(A928="D",LEFT(UPPER(C928)&amp;REPT(" ",10),10)," ")</f>
        <v/>
      </c>
      <c r="T928" s="10">
        <f>IF(A928="D",LEFT(UPPER(D928)&amp;REPT(" ",2),2)," ")</f>
        <v/>
      </c>
      <c r="U928" s="10">
        <f>IF(A928="D",LEFT(UPPER(E928)&amp;REPT(" ",15),15)," ")</f>
        <v/>
      </c>
      <c r="V928" s="10">
        <f>REPT(" ",24)</f>
        <v/>
      </c>
      <c r="W928" s="10">
        <f>IF(A928="c",LEFT(UPPER(B928)&amp;REPT(" ",20),20),REPT(" ",20))</f>
        <v/>
      </c>
      <c r="X928" s="10">
        <f>IF(A928="C",LEFT(UPPER(C928)&amp;REPT(" ",10),10)," ")</f>
        <v/>
      </c>
      <c r="Y928" s="10">
        <f>IF(A928="C",LEFT(UPPER(D928)&amp;REPT(" ",2),2)," ")</f>
        <v/>
      </c>
      <c r="Z928" s="10">
        <f>IF(A928="C",LEFT(UPPER(E928)&amp;REPT(" ",15),15)," ")</f>
        <v/>
      </c>
      <c r="AA928" s="10">
        <f>REPT(" ",8)</f>
        <v/>
      </c>
      <c r="AB928" s="10">
        <f>REPT(" ",4)</f>
        <v/>
      </c>
      <c r="AC928" s="10">
        <f>LEFT(UPPER(H928)&amp;REPT(" ",250),250)</f>
        <v/>
      </c>
      <c r="AD928" s="10">
        <f>TEXT($G$2,"dd/mm/aaaa")</f>
        <v/>
      </c>
      <c r="AE928" s="10">
        <f>REPT(" ",10)</f>
        <v/>
      </c>
      <c r="AF928" s="10">
        <f>REPT(" ",20)</f>
        <v/>
      </c>
      <c r="AG928" s="54">
        <f>REPT(" ",18-LEN(FIXED(F928,2,TRUE)))&amp;FIXED(F928,2,TRUE)</f>
        <v/>
      </c>
      <c r="AH928" s="10">
        <f>LEN(AC928)+LEN(AG928)</f>
        <v/>
      </c>
      <c r="AI928" s="10">
        <f>LEN(L928)</f>
        <v/>
      </c>
    </row>
    <row r="929">
      <c r="J929" s="12">
        <f>IF(F929&lt;&gt;0,"LANÇAR","")</f>
        <v/>
      </c>
      <c r="L929" s="13">
        <f>N929&amp;O929&amp;P929&amp;Q929&amp;R929&amp;S929&amp;T929&amp;U929&amp;V929&amp;W929&amp;X929&amp;Y929&amp;Z929&amp;AA929&amp;AB929&amp;AC929&amp;AD929&amp;AE929&amp;AF929&amp;AG929</f>
        <v/>
      </c>
      <c r="N929" s="10">
        <f>TEXT($B$6,"00")</f>
        <v/>
      </c>
      <c r="O929" s="10">
        <f>REPT(" ",8)</f>
        <v/>
      </c>
      <c r="P929" s="10">
        <f>RIGHT($B$4,2)</f>
        <v/>
      </c>
      <c r="Q929" s="10">
        <f>RIGHT($B$5,3)</f>
        <v/>
      </c>
      <c r="R929" s="10">
        <f>IF(A929="D",LEFT(UPPER(B929)&amp;REPT(" ",20),20),REPT(" ",20))</f>
        <v/>
      </c>
      <c r="S929" s="10">
        <f>IF(A929="D",LEFT(UPPER(C929)&amp;REPT(" ",10),10)," ")</f>
        <v/>
      </c>
      <c r="T929" s="10">
        <f>IF(A929="D",LEFT(UPPER(D929)&amp;REPT(" ",2),2)," ")</f>
        <v/>
      </c>
      <c r="U929" s="10">
        <f>IF(A929="D",LEFT(UPPER(E929)&amp;REPT(" ",15),15)," ")</f>
        <v/>
      </c>
      <c r="V929" s="10">
        <f>REPT(" ",24)</f>
        <v/>
      </c>
      <c r="W929" s="10">
        <f>IF(A929="c",LEFT(UPPER(B929)&amp;REPT(" ",20),20),REPT(" ",20))</f>
        <v/>
      </c>
      <c r="X929" s="10">
        <f>IF(A929="C",LEFT(UPPER(C929)&amp;REPT(" ",10),10)," ")</f>
        <v/>
      </c>
      <c r="Y929" s="10">
        <f>IF(A929="C",LEFT(UPPER(D929)&amp;REPT(" ",2),2)," ")</f>
        <v/>
      </c>
      <c r="Z929" s="10">
        <f>IF(A929="C",LEFT(UPPER(E929)&amp;REPT(" ",15),15)," ")</f>
        <v/>
      </c>
      <c r="AA929" s="10">
        <f>REPT(" ",8)</f>
        <v/>
      </c>
      <c r="AB929" s="10">
        <f>REPT(" ",4)</f>
        <v/>
      </c>
      <c r="AC929" s="10">
        <f>LEFT(UPPER(H929)&amp;REPT(" ",250),250)</f>
        <v/>
      </c>
      <c r="AD929" s="10">
        <f>TEXT($G$2,"dd/mm/aaaa")</f>
        <v/>
      </c>
      <c r="AE929" s="10">
        <f>REPT(" ",10)</f>
        <v/>
      </c>
      <c r="AF929" s="10">
        <f>REPT(" ",20)</f>
        <v/>
      </c>
      <c r="AG929" s="54">
        <f>REPT(" ",18-LEN(FIXED(F929,2,TRUE)))&amp;FIXED(F929,2,TRUE)</f>
        <v/>
      </c>
      <c r="AH929" s="10">
        <f>LEN(AC929)+LEN(AG929)</f>
        <v/>
      </c>
      <c r="AI929" s="10">
        <f>LEN(L929)</f>
        <v/>
      </c>
    </row>
    <row r="930">
      <c r="J930" s="12">
        <f>IF(F930&lt;&gt;0,"LANÇAR","")</f>
        <v/>
      </c>
      <c r="L930" s="13">
        <f>N930&amp;O930&amp;P930&amp;Q930&amp;R930&amp;S930&amp;T930&amp;U930&amp;V930&amp;W930&amp;X930&amp;Y930&amp;Z930&amp;AA930&amp;AB930&amp;AC930&amp;AD930&amp;AE930&amp;AF930&amp;AG930</f>
        <v/>
      </c>
      <c r="N930" s="10">
        <f>TEXT($B$6,"00")</f>
        <v/>
      </c>
      <c r="O930" s="10">
        <f>REPT(" ",8)</f>
        <v/>
      </c>
      <c r="P930" s="10">
        <f>RIGHT($B$4,2)</f>
        <v/>
      </c>
      <c r="Q930" s="10">
        <f>RIGHT($B$5,3)</f>
        <v/>
      </c>
      <c r="R930" s="10">
        <f>IF(A930="D",LEFT(UPPER(B930)&amp;REPT(" ",20),20),REPT(" ",20))</f>
        <v/>
      </c>
      <c r="S930" s="10">
        <f>IF(A930="D",LEFT(UPPER(C930)&amp;REPT(" ",10),10)," ")</f>
        <v/>
      </c>
      <c r="T930" s="10">
        <f>IF(A930="D",LEFT(UPPER(D930)&amp;REPT(" ",2),2)," ")</f>
        <v/>
      </c>
      <c r="U930" s="10">
        <f>IF(A930="D",LEFT(UPPER(E930)&amp;REPT(" ",15),15)," ")</f>
        <v/>
      </c>
      <c r="V930" s="10">
        <f>REPT(" ",24)</f>
        <v/>
      </c>
      <c r="W930" s="10">
        <f>IF(A930="c",LEFT(UPPER(B930)&amp;REPT(" ",20),20),REPT(" ",20))</f>
        <v/>
      </c>
      <c r="X930" s="10">
        <f>IF(A930="C",LEFT(UPPER(C930)&amp;REPT(" ",10),10)," ")</f>
        <v/>
      </c>
      <c r="Y930" s="10">
        <f>IF(A930="C",LEFT(UPPER(D930)&amp;REPT(" ",2),2)," ")</f>
        <v/>
      </c>
      <c r="Z930" s="10">
        <f>IF(A930="C",LEFT(UPPER(E930)&amp;REPT(" ",15),15)," ")</f>
        <v/>
      </c>
      <c r="AA930" s="10">
        <f>REPT(" ",8)</f>
        <v/>
      </c>
      <c r="AB930" s="10">
        <f>REPT(" ",4)</f>
        <v/>
      </c>
      <c r="AC930" s="10">
        <f>LEFT(UPPER(H930)&amp;REPT(" ",250),250)</f>
        <v/>
      </c>
      <c r="AD930" s="10">
        <f>TEXT($G$2,"dd/mm/aaaa")</f>
        <v/>
      </c>
      <c r="AE930" s="10">
        <f>REPT(" ",10)</f>
        <v/>
      </c>
      <c r="AF930" s="10">
        <f>REPT(" ",20)</f>
        <v/>
      </c>
      <c r="AG930" s="54">
        <f>REPT(" ",18-LEN(FIXED(F930,2,TRUE)))&amp;FIXED(F930,2,TRUE)</f>
        <v/>
      </c>
      <c r="AH930" s="10">
        <f>LEN(AC930)+LEN(AG930)</f>
        <v/>
      </c>
      <c r="AI930" s="10">
        <f>LEN(L930)</f>
        <v/>
      </c>
    </row>
    <row r="931">
      <c r="J931" s="12">
        <f>IF(F931&lt;&gt;0,"LANÇAR","")</f>
        <v/>
      </c>
      <c r="L931" s="13">
        <f>N931&amp;O931&amp;P931&amp;Q931&amp;R931&amp;S931&amp;T931&amp;U931&amp;V931&amp;W931&amp;X931&amp;Y931&amp;Z931&amp;AA931&amp;AB931&amp;AC931&amp;AD931&amp;AE931&amp;AF931&amp;AG931</f>
        <v/>
      </c>
      <c r="N931" s="10">
        <f>TEXT($B$6,"00")</f>
        <v/>
      </c>
      <c r="O931" s="10">
        <f>REPT(" ",8)</f>
        <v/>
      </c>
      <c r="P931" s="10">
        <f>RIGHT($B$4,2)</f>
        <v/>
      </c>
      <c r="Q931" s="10">
        <f>RIGHT($B$5,3)</f>
        <v/>
      </c>
      <c r="R931" s="10">
        <f>IF(A931="D",LEFT(UPPER(B931)&amp;REPT(" ",20),20),REPT(" ",20))</f>
        <v/>
      </c>
      <c r="S931" s="10">
        <f>IF(A931="D",LEFT(UPPER(C931)&amp;REPT(" ",10),10)," ")</f>
        <v/>
      </c>
      <c r="T931" s="10">
        <f>IF(A931="D",LEFT(UPPER(D931)&amp;REPT(" ",2),2)," ")</f>
        <v/>
      </c>
      <c r="U931" s="10">
        <f>IF(A931="D",LEFT(UPPER(E931)&amp;REPT(" ",15),15)," ")</f>
        <v/>
      </c>
      <c r="V931" s="10">
        <f>REPT(" ",24)</f>
        <v/>
      </c>
      <c r="W931" s="10">
        <f>IF(A931="c",LEFT(UPPER(B931)&amp;REPT(" ",20),20),REPT(" ",20))</f>
        <v/>
      </c>
      <c r="X931" s="10">
        <f>IF(A931="C",LEFT(UPPER(C931)&amp;REPT(" ",10),10)," ")</f>
        <v/>
      </c>
      <c r="Y931" s="10">
        <f>IF(A931="C",LEFT(UPPER(D931)&amp;REPT(" ",2),2)," ")</f>
        <v/>
      </c>
      <c r="Z931" s="10">
        <f>IF(A931="C",LEFT(UPPER(E931)&amp;REPT(" ",15),15)," ")</f>
        <v/>
      </c>
      <c r="AA931" s="10">
        <f>REPT(" ",8)</f>
        <v/>
      </c>
      <c r="AB931" s="10">
        <f>REPT(" ",4)</f>
        <v/>
      </c>
      <c r="AC931" s="10">
        <f>LEFT(UPPER(H931)&amp;REPT(" ",250),250)</f>
        <v/>
      </c>
      <c r="AD931" s="10">
        <f>TEXT($G$2,"dd/mm/aaaa")</f>
        <v/>
      </c>
      <c r="AE931" s="10">
        <f>REPT(" ",10)</f>
        <v/>
      </c>
      <c r="AF931" s="10">
        <f>REPT(" ",20)</f>
        <v/>
      </c>
      <c r="AG931" s="54">
        <f>REPT(" ",18-LEN(FIXED(F931,2,TRUE)))&amp;FIXED(F931,2,TRUE)</f>
        <v/>
      </c>
      <c r="AH931" s="10">
        <f>LEN(AC931)+LEN(AG931)</f>
        <v/>
      </c>
      <c r="AI931" s="10">
        <f>LEN(L931)</f>
        <v/>
      </c>
    </row>
    <row r="932">
      <c r="J932" s="12">
        <f>IF(F932&lt;&gt;0,"LANÇAR","")</f>
        <v/>
      </c>
      <c r="L932" s="13">
        <f>N932&amp;O932&amp;P932&amp;Q932&amp;R932&amp;S932&amp;T932&amp;U932&amp;V932&amp;W932&amp;X932&amp;Y932&amp;Z932&amp;AA932&amp;AB932&amp;AC932&amp;AD932&amp;AE932&amp;AF932&amp;AG932</f>
        <v/>
      </c>
      <c r="N932" s="10">
        <f>TEXT($B$6,"00")</f>
        <v/>
      </c>
      <c r="O932" s="10">
        <f>REPT(" ",8)</f>
        <v/>
      </c>
      <c r="P932" s="10">
        <f>RIGHT($B$4,2)</f>
        <v/>
      </c>
      <c r="Q932" s="10">
        <f>RIGHT($B$5,3)</f>
        <v/>
      </c>
      <c r="R932" s="10">
        <f>IF(A932="D",LEFT(UPPER(B932)&amp;REPT(" ",20),20),REPT(" ",20))</f>
        <v/>
      </c>
      <c r="S932" s="10">
        <f>IF(A932="D",LEFT(UPPER(C932)&amp;REPT(" ",10),10)," ")</f>
        <v/>
      </c>
      <c r="T932" s="10">
        <f>IF(A932="D",LEFT(UPPER(D932)&amp;REPT(" ",2),2)," ")</f>
        <v/>
      </c>
      <c r="U932" s="10">
        <f>IF(A932="D",LEFT(UPPER(E932)&amp;REPT(" ",15),15)," ")</f>
        <v/>
      </c>
      <c r="V932" s="10">
        <f>REPT(" ",24)</f>
        <v/>
      </c>
      <c r="W932" s="10">
        <f>IF(A932="c",LEFT(UPPER(B932)&amp;REPT(" ",20),20),REPT(" ",20))</f>
        <v/>
      </c>
      <c r="X932" s="10">
        <f>IF(A932="C",LEFT(UPPER(C932)&amp;REPT(" ",10),10)," ")</f>
        <v/>
      </c>
      <c r="Y932" s="10">
        <f>IF(A932="C",LEFT(UPPER(D932)&amp;REPT(" ",2),2)," ")</f>
        <v/>
      </c>
      <c r="Z932" s="10">
        <f>IF(A932="C",LEFT(UPPER(E932)&amp;REPT(" ",15),15)," ")</f>
        <v/>
      </c>
      <c r="AA932" s="10">
        <f>REPT(" ",8)</f>
        <v/>
      </c>
      <c r="AB932" s="10">
        <f>REPT(" ",4)</f>
        <v/>
      </c>
      <c r="AC932" s="10">
        <f>LEFT(UPPER(H932)&amp;REPT(" ",250),250)</f>
        <v/>
      </c>
      <c r="AD932" s="10">
        <f>TEXT($G$2,"dd/mm/aaaa")</f>
        <v/>
      </c>
      <c r="AE932" s="10">
        <f>REPT(" ",10)</f>
        <v/>
      </c>
      <c r="AF932" s="10">
        <f>REPT(" ",20)</f>
        <v/>
      </c>
      <c r="AG932" s="54">
        <f>REPT(" ",18-LEN(FIXED(F932,2,TRUE)))&amp;FIXED(F932,2,TRUE)</f>
        <v/>
      </c>
      <c r="AH932" s="10">
        <f>LEN(AC932)+LEN(AG932)</f>
        <v/>
      </c>
      <c r="AI932" s="10">
        <f>LEN(L932)</f>
        <v/>
      </c>
    </row>
    <row r="933">
      <c r="J933" s="12">
        <f>IF(F933&lt;&gt;0,"LANÇAR","")</f>
        <v/>
      </c>
      <c r="L933" s="13">
        <f>N933&amp;O933&amp;P933&amp;Q933&amp;R933&amp;S933&amp;T933&amp;U933&amp;V933&amp;W933&amp;X933&amp;Y933&amp;Z933&amp;AA933&amp;AB933&amp;AC933&amp;AD933&amp;AE933&amp;AF933&amp;AG933</f>
        <v/>
      </c>
      <c r="N933" s="10">
        <f>TEXT($B$6,"00")</f>
        <v/>
      </c>
      <c r="O933" s="10">
        <f>REPT(" ",8)</f>
        <v/>
      </c>
      <c r="P933" s="10">
        <f>RIGHT($B$4,2)</f>
        <v/>
      </c>
      <c r="Q933" s="10">
        <f>RIGHT($B$5,3)</f>
        <v/>
      </c>
      <c r="R933" s="10">
        <f>IF(A933="D",LEFT(UPPER(B933)&amp;REPT(" ",20),20),REPT(" ",20))</f>
        <v/>
      </c>
      <c r="S933" s="10">
        <f>IF(A933="D",LEFT(UPPER(C933)&amp;REPT(" ",10),10)," ")</f>
        <v/>
      </c>
      <c r="T933" s="10">
        <f>IF(A933="D",LEFT(UPPER(D933)&amp;REPT(" ",2),2)," ")</f>
        <v/>
      </c>
      <c r="U933" s="10">
        <f>IF(A933="D",LEFT(UPPER(E933)&amp;REPT(" ",15),15)," ")</f>
        <v/>
      </c>
      <c r="V933" s="10">
        <f>REPT(" ",24)</f>
        <v/>
      </c>
      <c r="W933" s="10">
        <f>IF(A933="c",LEFT(UPPER(B933)&amp;REPT(" ",20),20),REPT(" ",20))</f>
        <v/>
      </c>
      <c r="X933" s="10">
        <f>IF(A933="C",LEFT(UPPER(C933)&amp;REPT(" ",10),10)," ")</f>
        <v/>
      </c>
      <c r="Y933" s="10">
        <f>IF(A933="C",LEFT(UPPER(D933)&amp;REPT(" ",2),2)," ")</f>
        <v/>
      </c>
      <c r="Z933" s="10">
        <f>IF(A933="C",LEFT(UPPER(E933)&amp;REPT(" ",15),15)," ")</f>
        <v/>
      </c>
      <c r="AA933" s="10">
        <f>REPT(" ",8)</f>
        <v/>
      </c>
      <c r="AB933" s="10">
        <f>REPT(" ",4)</f>
        <v/>
      </c>
      <c r="AC933" s="10">
        <f>LEFT(UPPER(H933)&amp;REPT(" ",250),250)</f>
        <v/>
      </c>
      <c r="AD933" s="10">
        <f>TEXT($G$2,"dd/mm/aaaa")</f>
        <v/>
      </c>
      <c r="AE933" s="10">
        <f>REPT(" ",10)</f>
        <v/>
      </c>
      <c r="AF933" s="10">
        <f>REPT(" ",20)</f>
        <v/>
      </c>
      <c r="AG933" s="54">
        <f>REPT(" ",18-LEN(FIXED(F933,2,TRUE)))&amp;FIXED(F933,2,TRUE)</f>
        <v/>
      </c>
      <c r="AH933" s="10">
        <f>LEN(AC933)+LEN(AG933)</f>
        <v/>
      </c>
      <c r="AI933" s="10">
        <f>LEN(L933)</f>
        <v/>
      </c>
    </row>
    <row r="934">
      <c r="J934" s="12">
        <f>IF(F934&lt;&gt;0,"LANÇAR","")</f>
        <v/>
      </c>
      <c r="L934" s="13">
        <f>N934&amp;O934&amp;P934&amp;Q934&amp;R934&amp;S934&amp;T934&amp;U934&amp;V934&amp;W934&amp;X934&amp;Y934&amp;Z934&amp;AA934&amp;AB934&amp;AC934&amp;AD934&amp;AE934&amp;AF934&amp;AG934</f>
        <v/>
      </c>
      <c r="N934" s="10">
        <f>TEXT($B$6,"00")</f>
        <v/>
      </c>
      <c r="O934" s="10">
        <f>REPT(" ",8)</f>
        <v/>
      </c>
      <c r="P934" s="10">
        <f>RIGHT($B$4,2)</f>
        <v/>
      </c>
      <c r="Q934" s="10">
        <f>RIGHT($B$5,3)</f>
        <v/>
      </c>
      <c r="R934" s="10">
        <f>IF(A934="D",LEFT(UPPER(B934)&amp;REPT(" ",20),20),REPT(" ",20))</f>
        <v/>
      </c>
      <c r="S934" s="10">
        <f>IF(A934="D",LEFT(UPPER(C934)&amp;REPT(" ",10),10)," ")</f>
        <v/>
      </c>
      <c r="T934" s="10">
        <f>IF(A934="D",LEFT(UPPER(D934)&amp;REPT(" ",2),2)," ")</f>
        <v/>
      </c>
      <c r="U934" s="10">
        <f>IF(A934="D",LEFT(UPPER(E934)&amp;REPT(" ",15),15)," ")</f>
        <v/>
      </c>
      <c r="V934" s="10">
        <f>REPT(" ",24)</f>
        <v/>
      </c>
      <c r="W934" s="10">
        <f>IF(A934="c",LEFT(UPPER(B934)&amp;REPT(" ",20),20),REPT(" ",20))</f>
        <v/>
      </c>
      <c r="X934" s="10">
        <f>IF(A934="C",LEFT(UPPER(C934)&amp;REPT(" ",10),10)," ")</f>
        <v/>
      </c>
      <c r="Y934" s="10">
        <f>IF(A934="C",LEFT(UPPER(D934)&amp;REPT(" ",2),2)," ")</f>
        <v/>
      </c>
      <c r="Z934" s="10">
        <f>IF(A934="C",LEFT(UPPER(E934)&amp;REPT(" ",15),15)," ")</f>
        <v/>
      </c>
      <c r="AA934" s="10">
        <f>REPT(" ",8)</f>
        <v/>
      </c>
      <c r="AB934" s="10">
        <f>REPT(" ",4)</f>
        <v/>
      </c>
      <c r="AC934" s="10">
        <f>LEFT(UPPER(H934)&amp;REPT(" ",250),250)</f>
        <v/>
      </c>
      <c r="AD934" s="10">
        <f>TEXT($G$2,"dd/mm/aaaa")</f>
        <v/>
      </c>
      <c r="AE934" s="10">
        <f>REPT(" ",10)</f>
        <v/>
      </c>
      <c r="AF934" s="10">
        <f>REPT(" ",20)</f>
        <v/>
      </c>
      <c r="AG934" s="54">
        <f>REPT(" ",18-LEN(FIXED(F934,2,TRUE)))&amp;FIXED(F934,2,TRUE)</f>
        <v/>
      </c>
      <c r="AH934" s="10">
        <f>LEN(AC934)+LEN(AG934)</f>
        <v/>
      </c>
      <c r="AI934" s="10">
        <f>LEN(L934)</f>
        <v/>
      </c>
    </row>
    <row r="935">
      <c r="J935" s="12">
        <f>IF(F935&lt;&gt;0,"LANÇAR","")</f>
        <v/>
      </c>
      <c r="L935" s="13">
        <f>N935&amp;O935&amp;P935&amp;Q935&amp;R935&amp;S935&amp;T935&amp;U935&amp;V935&amp;W935&amp;X935&amp;Y935&amp;Z935&amp;AA935&amp;AB935&amp;AC935&amp;AD935&amp;AE935&amp;AF935&amp;AG935</f>
        <v/>
      </c>
      <c r="N935" s="10">
        <f>TEXT($B$6,"00")</f>
        <v/>
      </c>
      <c r="O935" s="10">
        <f>REPT(" ",8)</f>
        <v/>
      </c>
      <c r="P935" s="10">
        <f>RIGHT($B$4,2)</f>
        <v/>
      </c>
      <c r="Q935" s="10">
        <f>RIGHT($B$5,3)</f>
        <v/>
      </c>
      <c r="R935" s="10">
        <f>IF(A935="D",LEFT(UPPER(B935)&amp;REPT(" ",20),20),REPT(" ",20))</f>
        <v/>
      </c>
      <c r="S935" s="10">
        <f>IF(A935="D",LEFT(UPPER(C935)&amp;REPT(" ",10),10)," ")</f>
        <v/>
      </c>
      <c r="T935" s="10">
        <f>IF(A935="D",LEFT(UPPER(D935)&amp;REPT(" ",2),2)," ")</f>
        <v/>
      </c>
      <c r="U935" s="10">
        <f>IF(A935="D",LEFT(UPPER(E935)&amp;REPT(" ",15),15)," ")</f>
        <v/>
      </c>
      <c r="V935" s="10">
        <f>REPT(" ",24)</f>
        <v/>
      </c>
      <c r="W935" s="10">
        <f>IF(A935="c",LEFT(UPPER(B935)&amp;REPT(" ",20),20),REPT(" ",20))</f>
        <v/>
      </c>
      <c r="X935" s="10">
        <f>IF(A935="C",LEFT(UPPER(C935)&amp;REPT(" ",10),10)," ")</f>
        <v/>
      </c>
      <c r="Y935" s="10">
        <f>IF(A935="C",LEFT(UPPER(D935)&amp;REPT(" ",2),2)," ")</f>
        <v/>
      </c>
      <c r="Z935" s="10">
        <f>IF(A935="C",LEFT(UPPER(E935)&amp;REPT(" ",15),15)," ")</f>
        <v/>
      </c>
      <c r="AA935" s="10">
        <f>REPT(" ",8)</f>
        <v/>
      </c>
      <c r="AB935" s="10">
        <f>REPT(" ",4)</f>
        <v/>
      </c>
      <c r="AC935" s="10">
        <f>LEFT(UPPER(H935)&amp;REPT(" ",250),250)</f>
        <v/>
      </c>
      <c r="AD935" s="10">
        <f>TEXT($G$2,"dd/mm/aaaa")</f>
        <v/>
      </c>
      <c r="AE935" s="10">
        <f>REPT(" ",10)</f>
        <v/>
      </c>
      <c r="AF935" s="10">
        <f>REPT(" ",20)</f>
        <v/>
      </c>
      <c r="AG935" s="54">
        <f>REPT(" ",18-LEN(FIXED(F935,2,TRUE)))&amp;FIXED(F935,2,TRUE)</f>
        <v/>
      </c>
      <c r="AH935" s="10">
        <f>LEN(AC935)+LEN(AG935)</f>
        <v/>
      </c>
      <c r="AI935" s="10">
        <f>LEN(L935)</f>
        <v/>
      </c>
    </row>
    <row r="936">
      <c r="J936" s="12">
        <f>IF(F936&lt;&gt;0,"LANÇAR","")</f>
        <v/>
      </c>
      <c r="L936" s="13">
        <f>N936&amp;O936&amp;P936&amp;Q936&amp;R936&amp;S936&amp;T936&amp;U936&amp;V936&amp;W936&amp;X936&amp;Y936&amp;Z936&amp;AA936&amp;AB936&amp;AC936&amp;AD936&amp;AE936&amp;AF936&amp;AG936</f>
        <v/>
      </c>
      <c r="N936" s="10">
        <f>TEXT($B$6,"00")</f>
        <v/>
      </c>
      <c r="O936" s="10">
        <f>REPT(" ",8)</f>
        <v/>
      </c>
      <c r="P936" s="10">
        <f>RIGHT($B$4,2)</f>
        <v/>
      </c>
      <c r="Q936" s="10">
        <f>RIGHT($B$5,3)</f>
        <v/>
      </c>
      <c r="R936" s="10">
        <f>IF(A936="D",LEFT(UPPER(B936)&amp;REPT(" ",20),20),REPT(" ",20))</f>
        <v/>
      </c>
      <c r="S936" s="10">
        <f>IF(A936="D",LEFT(UPPER(C936)&amp;REPT(" ",10),10)," ")</f>
        <v/>
      </c>
      <c r="T936" s="10">
        <f>IF(A936="D",LEFT(UPPER(D936)&amp;REPT(" ",2),2)," ")</f>
        <v/>
      </c>
      <c r="U936" s="10">
        <f>IF(A936="D",LEFT(UPPER(E936)&amp;REPT(" ",15),15)," ")</f>
        <v/>
      </c>
      <c r="V936" s="10">
        <f>REPT(" ",24)</f>
        <v/>
      </c>
      <c r="W936" s="10">
        <f>IF(A936="c",LEFT(UPPER(B936)&amp;REPT(" ",20),20),REPT(" ",20))</f>
        <v/>
      </c>
      <c r="X936" s="10">
        <f>IF(A936="C",LEFT(UPPER(C936)&amp;REPT(" ",10),10)," ")</f>
        <v/>
      </c>
      <c r="Y936" s="10">
        <f>IF(A936="C",LEFT(UPPER(D936)&amp;REPT(" ",2),2)," ")</f>
        <v/>
      </c>
      <c r="Z936" s="10">
        <f>IF(A936="C",LEFT(UPPER(E936)&amp;REPT(" ",15),15)," ")</f>
        <v/>
      </c>
      <c r="AA936" s="10">
        <f>REPT(" ",8)</f>
        <v/>
      </c>
      <c r="AB936" s="10">
        <f>REPT(" ",4)</f>
        <v/>
      </c>
      <c r="AC936" s="10">
        <f>LEFT(UPPER(H936)&amp;REPT(" ",250),250)</f>
        <v/>
      </c>
      <c r="AD936" s="10">
        <f>TEXT($G$2,"dd/mm/aaaa")</f>
        <v/>
      </c>
      <c r="AE936" s="10">
        <f>REPT(" ",10)</f>
        <v/>
      </c>
      <c r="AF936" s="10">
        <f>REPT(" ",20)</f>
        <v/>
      </c>
      <c r="AG936" s="54">
        <f>REPT(" ",18-LEN(FIXED(F936,2,TRUE)))&amp;FIXED(F936,2,TRUE)</f>
        <v/>
      </c>
      <c r="AH936" s="10">
        <f>LEN(AC936)+LEN(AG936)</f>
        <v/>
      </c>
      <c r="AI936" s="10">
        <f>LEN(L936)</f>
        <v/>
      </c>
    </row>
    <row r="937">
      <c r="J937" s="12">
        <f>IF(F937&lt;&gt;0,"LANÇAR","")</f>
        <v/>
      </c>
      <c r="L937" s="13">
        <f>N937&amp;O937&amp;P937&amp;Q937&amp;R937&amp;S937&amp;T937&amp;U937&amp;V937&amp;W937&amp;X937&amp;Y937&amp;Z937&amp;AA937&amp;AB937&amp;AC937&amp;AD937&amp;AE937&amp;AF937&amp;AG937</f>
        <v/>
      </c>
      <c r="N937" s="10">
        <f>TEXT($B$6,"00")</f>
        <v/>
      </c>
      <c r="O937" s="10">
        <f>REPT(" ",8)</f>
        <v/>
      </c>
      <c r="P937" s="10">
        <f>RIGHT($B$4,2)</f>
        <v/>
      </c>
      <c r="Q937" s="10">
        <f>RIGHT($B$5,3)</f>
        <v/>
      </c>
      <c r="R937" s="10">
        <f>IF(A937="D",LEFT(UPPER(B937)&amp;REPT(" ",20),20),REPT(" ",20))</f>
        <v/>
      </c>
      <c r="S937" s="10">
        <f>IF(A937="D",LEFT(UPPER(C937)&amp;REPT(" ",10),10)," ")</f>
        <v/>
      </c>
      <c r="T937" s="10">
        <f>IF(A937="D",LEFT(UPPER(D937)&amp;REPT(" ",2),2)," ")</f>
        <v/>
      </c>
      <c r="U937" s="10">
        <f>IF(A937="D",LEFT(UPPER(E937)&amp;REPT(" ",15),15)," ")</f>
        <v/>
      </c>
      <c r="V937" s="10">
        <f>REPT(" ",24)</f>
        <v/>
      </c>
      <c r="W937" s="10">
        <f>IF(A937="c",LEFT(UPPER(B937)&amp;REPT(" ",20),20),REPT(" ",20))</f>
        <v/>
      </c>
      <c r="X937" s="10">
        <f>IF(A937="C",LEFT(UPPER(C937)&amp;REPT(" ",10),10)," ")</f>
        <v/>
      </c>
      <c r="Y937" s="10">
        <f>IF(A937="C",LEFT(UPPER(D937)&amp;REPT(" ",2),2)," ")</f>
        <v/>
      </c>
      <c r="Z937" s="10">
        <f>IF(A937="C",LEFT(UPPER(E937)&amp;REPT(" ",15),15)," ")</f>
        <v/>
      </c>
      <c r="AA937" s="10">
        <f>REPT(" ",8)</f>
        <v/>
      </c>
      <c r="AB937" s="10">
        <f>REPT(" ",4)</f>
        <v/>
      </c>
      <c r="AC937" s="10">
        <f>LEFT(UPPER(H937)&amp;REPT(" ",250),250)</f>
        <v/>
      </c>
      <c r="AD937" s="10">
        <f>TEXT($G$2,"dd/mm/aaaa")</f>
        <v/>
      </c>
      <c r="AE937" s="10">
        <f>REPT(" ",10)</f>
        <v/>
      </c>
      <c r="AF937" s="10">
        <f>REPT(" ",20)</f>
        <v/>
      </c>
      <c r="AG937" s="54">
        <f>REPT(" ",18-LEN(FIXED(F937,2,TRUE)))&amp;FIXED(F937,2,TRUE)</f>
        <v/>
      </c>
      <c r="AH937" s="10">
        <f>LEN(AC937)+LEN(AG937)</f>
        <v/>
      </c>
      <c r="AI937" s="10">
        <f>LEN(L937)</f>
        <v/>
      </c>
    </row>
    <row r="938">
      <c r="J938" s="12">
        <f>IF(F938&lt;&gt;0,"LANÇAR","")</f>
        <v/>
      </c>
      <c r="L938" s="13">
        <f>N938&amp;O938&amp;P938&amp;Q938&amp;R938&amp;S938&amp;T938&amp;U938&amp;V938&amp;W938&amp;X938&amp;Y938&amp;Z938&amp;AA938&amp;AB938&amp;AC938&amp;AD938&amp;AE938&amp;AF938&amp;AG938</f>
        <v/>
      </c>
      <c r="N938" s="10">
        <f>TEXT($B$6,"00")</f>
        <v/>
      </c>
      <c r="O938" s="10">
        <f>REPT(" ",8)</f>
        <v/>
      </c>
      <c r="P938" s="10">
        <f>RIGHT($B$4,2)</f>
        <v/>
      </c>
      <c r="Q938" s="10">
        <f>RIGHT($B$5,3)</f>
        <v/>
      </c>
      <c r="R938" s="10">
        <f>IF(A938="D",LEFT(UPPER(B938)&amp;REPT(" ",20),20),REPT(" ",20))</f>
        <v/>
      </c>
      <c r="S938" s="10">
        <f>IF(A938="D",LEFT(UPPER(C938)&amp;REPT(" ",10),10)," ")</f>
        <v/>
      </c>
      <c r="T938" s="10">
        <f>IF(A938="D",LEFT(UPPER(D938)&amp;REPT(" ",2),2)," ")</f>
        <v/>
      </c>
      <c r="U938" s="10">
        <f>IF(A938="D",LEFT(UPPER(E938)&amp;REPT(" ",15),15)," ")</f>
        <v/>
      </c>
      <c r="V938" s="10">
        <f>REPT(" ",24)</f>
        <v/>
      </c>
      <c r="W938" s="10">
        <f>IF(A938="c",LEFT(UPPER(B938)&amp;REPT(" ",20),20),REPT(" ",20))</f>
        <v/>
      </c>
      <c r="X938" s="10">
        <f>IF(A938="C",LEFT(UPPER(C938)&amp;REPT(" ",10),10)," ")</f>
        <v/>
      </c>
      <c r="Y938" s="10">
        <f>IF(A938="C",LEFT(UPPER(D938)&amp;REPT(" ",2),2)," ")</f>
        <v/>
      </c>
      <c r="Z938" s="10">
        <f>IF(A938="C",LEFT(UPPER(E938)&amp;REPT(" ",15),15)," ")</f>
        <v/>
      </c>
      <c r="AA938" s="10">
        <f>REPT(" ",8)</f>
        <v/>
      </c>
      <c r="AB938" s="10">
        <f>REPT(" ",4)</f>
        <v/>
      </c>
      <c r="AC938" s="10">
        <f>LEFT(UPPER(H938)&amp;REPT(" ",250),250)</f>
        <v/>
      </c>
      <c r="AD938" s="10">
        <f>TEXT($G$2,"dd/mm/aaaa")</f>
        <v/>
      </c>
      <c r="AE938" s="10">
        <f>REPT(" ",10)</f>
        <v/>
      </c>
      <c r="AF938" s="10">
        <f>REPT(" ",20)</f>
        <v/>
      </c>
      <c r="AG938" s="54">
        <f>REPT(" ",18-LEN(FIXED(F938,2,TRUE)))&amp;FIXED(F938,2,TRUE)</f>
        <v/>
      </c>
      <c r="AH938" s="10">
        <f>LEN(AC938)+LEN(AG938)</f>
        <v/>
      </c>
      <c r="AI938" s="10">
        <f>LEN(L938)</f>
        <v/>
      </c>
    </row>
    <row r="939">
      <c r="J939" s="12">
        <f>IF(F939&lt;&gt;0,"LANÇAR","")</f>
        <v/>
      </c>
      <c r="L939" s="13">
        <f>N939&amp;O939&amp;P939&amp;Q939&amp;R939&amp;S939&amp;T939&amp;U939&amp;V939&amp;W939&amp;X939&amp;Y939&amp;Z939&amp;AA939&amp;AB939&amp;AC939&amp;AD939&amp;AE939&amp;AF939&amp;AG939</f>
        <v/>
      </c>
      <c r="N939" s="10">
        <f>TEXT($B$6,"00")</f>
        <v/>
      </c>
      <c r="O939" s="10">
        <f>REPT(" ",8)</f>
        <v/>
      </c>
      <c r="P939" s="10">
        <f>RIGHT($B$4,2)</f>
        <v/>
      </c>
      <c r="Q939" s="10">
        <f>RIGHT($B$5,3)</f>
        <v/>
      </c>
      <c r="R939" s="10">
        <f>IF(A939="D",LEFT(UPPER(B939)&amp;REPT(" ",20),20),REPT(" ",20))</f>
        <v/>
      </c>
      <c r="S939" s="10">
        <f>IF(A939="D",LEFT(UPPER(C939)&amp;REPT(" ",10),10)," ")</f>
        <v/>
      </c>
      <c r="T939" s="10">
        <f>IF(A939="D",LEFT(UPPER(D939)&amp;REPT(" ",2),2)," ")</f>
        <v/>
      </c>
      <c r="U939" s="10">
        <f>IF(A939="D",LEFT(UPPER(E939)&amp;REPT(" ",15),15)," ")</f>
        <v/>
      </c>
      <c r="V939" s="10">
        <f>REPT(" ",24)</f>
        <v/>
      </c>
      <c r="W939" s="10">
        <f>IF(A939="c",LEFT(UPPER(B939)&amp;REPT(" ",20),20),REPT(" ",20))</f>
        <v/>
      </c>
      <c r="X939" s="10">
        <f>IF(A939="C",LEFT(UPPER(C939)&amp;REPT(" ",10),10)," ")</f>
        <v/>
      </c>
      <c r="Y939" s="10">
        <f>IF(A939="C",LEFT(UPPER(D939)&amp;REPT(" ",2),2)," ")</f>
        <v/>
      </c>
      <c r="Z939" s="10">
        <f>IF(A939="C",LEFT(UPPER(E939)&amp;REPT(" ",15),15)," ")</f>
        <v/>
      </c>
      <c r="AA939" s="10">
        <f>REPT(" ",8)</f>
        <v/>
      </c>
      <c r="AB939" s="10">
        <f>REPT(" ",4)</f>
        <v/>
      </c>
      <c r="AC939" s="10">
        <f>LEFT(UPPER(H939)&amp;REPT(" ",250),250)</f>
        <v/>
      </c>
      <c r="AD939" s="10">
        <f>TEXT($G$2,"dd/mm/aaaa")</f>
        <v/>
      </c>
      <c r="AE939" s="10">
        <f>REPT(" ",10)</f>
        <v/>
      </c>
      <c r="AF939" s="10">
        <f>REPT(" ",20)</f>
        <v/>
      </c>
      <c r="AG939" s="54">
        <f>REPT(" ",18-LEN(FIXED(F939,2,TRUE)))&amp;FIXED(F939,2,TRUE)</f>
        <v/>
      </c>
      <c r="AH939" s="10">
        <f>LEN(AC939)+LEN(AG939)</f>
        <v/>
      </c>
      <c r="AI939" s="10">
        <f>LEN(L939)</f>
        <v/>
      </c>
    </row>
    <row r="940">
      <c r="J940" s="12">
        <f>IF(F940&lt;&gt;0,"LANÇAR","")</f>
        <v/>
      </c>
      <c r="L940" s="13">
        <f>N940&amp;O940&amp;P940&amp;Q940&amp;R940&amp;S940&amp;T940&amp;U940&amp;V940&amp;W940&amp;X940&amp;Y940&amp;Z940&amp;AA940&amp;AB940&amp;AC940&amp;AD940&amp;AE940&amp;AF940&amp;AG940</f>
        <v/>
      </c>
      <c r="N940" s="10">
        <f>TEXT($B$6,"00")</f>
        <v/>
      </c>
      <c r="O940" s="10">
        <f>REPT(" ",8)</f>
        <v/>
      </c>
      <c r="P940" s="10">
        <f>RIGHT($B$4,2)</f>
        <v/>
      </c>
      <c r="Q940" s="10">
        <f>RIGHT($B$5,3)</f>
        <v/>
      </c>
      <c r="R940" s="10">
        <f>IF(A940="D",LEFT(UPPER(B940)&amp;REPT(" ",20),20),REPT(" ",20))</f>
        <v/>
      </c>
      <c r="S940" s="10">
        <f>IF(A940="D",LEFT(UPPER(C940)&amp;REPT(" ",10),10)," ")</f>
        <v/>
      </c>
      <c r="T940" s="10">
        <f>IF(A940="D",LEFT(UPPER(D940)&amp;REPT(" ",2),2)," ")</f>
        <v/>
      </c>
      <c r="U940" s="10">
        <f>IF(A940="D",LEFT(UPPER(E940)&amp;REPT(" ",15),15)," ")</f>
        <v/>
      </c>
      <c r="V940" s="10">
        <f>REPT(" ",24)</f>
        <v/>
      </c>
      <c r="W940" s="10">
        <f>IF(A940="c",LEFT(UPPER(B940)&amp;REPT(" ",20),20),REPT(" ",20))</f>
        <v/>
      </c>
      <c r="X940" s="10">
        <f>IF(A940="C",LEFT(UPPER(C940)&amp;REPT(" ",10),10)," ")</f>
        <v/>
      </c>
      <c r="Y940" s="10">
        <f>IF(A940="C",LEFT(UPPER(D940)&amp;REPT(" ",2),2)," ")</f>
        <v/>
      </c>
      <c r="Z940" s="10">
        <f>IF(A940="C",LEFT(UPPER(E940)&amp;REPT(" ",15),15)," ")</f>
        <v/>
      </c>
      <c r="AA940" s="10">
        <f>REPT(" ",8)</f>
        <v/>
      </c>
      <c r="AB940" s="10">
        <f>REPT(" ",4)</f>
        <v/>
      </c>
      <c r="AC940" s="10">
        <f>LEFT(UPPER(H940)&amp;REPT(" ",250),250)</f>
        <v/>
      </c>
      <c r="AD940" s="10">
        <f>TEXT($G$2,"dd/mm/aaaa")</f>
        <v/>
      </c>
      <c r="AE940" s="10">
        <f>REPT(" ",10)</f>
        <v/>
      </c>
      <c r="AF940" s="10">
        <f>REPT(" ",20)</f>
        <v/>
      </c>
      <c r="AG940" s="54">
        <f>REPT(" ",18-LEN(FIXED(F940,2,TRUE)))&amp;FIXED(F940,2,TRUE)</f>
        <v/>
      </c>
      <c r="AH940" s="10">
        <f>LEN(AC940)+LEN(AG940)</f>
        <v/>
      </c>
      <c r="AI940" s="10">
        <f>LEN(L940)</f>
        <v/>
      </c>
    </row>
    <row r="941">
      <c r="J941" s="12">
        <f>IF(F941&lt;&gt;0,"LANÇAR","")</f>
        <v/>
      </c>
      <c r="L941" s="13">
        <f>N941&amp;O941&amp;P941&amp;Q941&amp;R941&amp;S941&amp;T941&amp;U941&amp;V941&amp;W941&amp;X941&amp;Y941&amp;Z941&amp;AA941&amp;AB941&amp;AC941&amp;AD941&amp;AE941&amp;AF941&amp;AG941</f>
        <v/>
      </c>
      <c r="N941" s="10">
        <f>TEXT($B$6,"00")</f>
        <v/>
      </c>
      <c r="O941" s="10">
        <f>REPT(" ",8)</f>
        <v/>
      </c>
      <c r="P941" s="10">
        <f>RIGHT($B$4,2)</f>
        <v/>
      </c>
      <c r="Q941" s="10">
        <f>RIGHT($B$5,3)</f>
        <v/>
      </c>
      <c r="R941" s="10">
        <f>IF(A941="D",LEFT(UPPER(B941)&amp;REPT(" ",20),20),REPT(" ",20))</f>
        <v/>
      </c>
      <c r="S941" s="10">
        <f>IF(A941="D",LEFT(UPPER(C941)&amp;REPT(" ",10),10)," ")</f>
        <v/>
      </c>
      <c r="T941" s="10">
        <f>IF(A941="D",LEFT(UPPER(D941)&amp;REPT(" ",2),2)," ")</f>
        <v/>
      </c>
      <c r="U941" s="10">
        <f>IF(A941="D",LEFT(UPPER(E941)&amp;REPT(" ",15),15)," ")</f>
        <v/>
      </c>
      <c r="V941" s="10">
        <f>REPT(" ",24)</f>
        <v/>
      </c>
      <c r="W941" s="10">
        <f>IF(A941="c",LEFT(UPPER(B941)&amp;REPT(" ",20),20),REPT(" ",20))</f>
        <v/>
      </c>
      <c r="X941" s="10">
        <f>IF(A941="C",LEFT(UPPER(C941)&amp;REPT(" ",10),10)," ")</f>
        <v/>
      </c>
      <c r="Y941" s="10">
        <f>IF(A941="C",LEFT(UPPER(D941)&amp;REPT(" ",2),2)," ")</f>
        <v/>
      </c>
      <c r="Z941" s="10">
        <f>IF(A941="C",LEFT(UPPER(E941)&amp;REPT(" ",15),15)," ")</f>
        <v/>
      </c>
      <c r="AA941" s="10">
        <f>REPT(" ",8)</f>
        <v/>
      </c>
      <c r="AB941" s="10">
        <f>REPT(" ",4)</f>
        <v/>
      </c>
      <c r="AC941" s="10">
        <f>LEFT(UPPER(H941)&amp;REPT(" ",250),250)</f>
        <v/>
      </c>
      <c r="AD941" s="10">
        <f>TEXT($G$2,"dd/mm/aaaa")</f>
        <v/>
      </c>
      <c r="AE941" s="10">
        <f>REPT(" ",10)</f>
        <v/>
      </c>
      <c r="AF941" s="10">
        <f>REPT(" ",20)</f>
        <v/>
      </c>
      <c r="AG941" s="54">
        <f>REPT(" ",18-LEN(FIXED(F941,2,TRUE)))&amp;FIXED(F941,2,TRUE)</f>
        <v/>
      </c>
      <c r="AH941" s="10">
        <f>LEN(AC941)+LEN(AG941)</f>
        <v/>
      </c>
      <c r="AI941" s="10">
        <f>LEN(L941)</f>
        <v/>
      </c>
    </row>
    <row r="942">
      <c r="J942" s="12">
        <f>IF(F942&lt;&gt;0,"LANÇAR","")</f>
        <v/>
      </c>
      <c r="L942" s="13">
        <f>N942&amp;O942&amp;P942&amp;Q942&amp;R942&amp;S942&amp;T942&amp;U942&amp;V942&amp;W942&amp;X942&amp;Y942&amp;Z942&amp;AA942&amp;AB942&amp;AC942&amp;AD942&amp;AE942&amp;AF942&amp;AG942</f>
        <v/>
      </c>
      <c r="N942" s="10">
        <f>TEXT($B$6,"00")</f>
        <v/>
      </c>
      <c r="O942" s="10">
        <f>REPT(" ",8)</f>
        <v/>
      </c>
      <c r="P942" s="10">
        <f>RIGHT($B$4,2)</f>
        <v/>
      </c>
      <c r="Q942" s="10">
        <f>RIGHT($B$5,3)</f>
        <v/>
      </c>
      <c r="R942" s="10">
        <f>IF(A942="D",LEFT(UPPER(B942)&amp;REPT(" ",20),20),REPT(" ",20))</f>
        <v/>
      </c>
      <c r="S942" s="10">
        <f>IF(A942="D",LEFT(UPPER(C942)&amp;REPT(" ",10),10)," ")</f>
        <v/>
      </c>
      <c r="T942" s="10">
        <f>IF(A942="D",LEFT(UPPER(D942)&amp;REPT(" ",2),2)," ")</f>
        <v/>
      </c>
      <c r="U942" s="10">
        <f>IF(A942="D",LEFT(UPPER(E942)&amp;REPT(" ",15),15)," ")</f>
        <v/>
      </c>
      <c r="V942" s="10">
        <f>REPT(" ",24)</f>
        <v/>
      </c>
      <c r="W942" s="10">
        <f>IF(A942="c",LEFT(UPPER(B942)&amp;REPT(" ",20),20),REPT(" ",20))</f>
        <v/>
      </c>
      <c r="X942" s="10">
        <f>IF(A942="C",LEFT(UPPER(C942)&amp;REPT(" ",10),10)," ")</f>
        <v/>
      </c>
      <c r="Y942" s="10">
        <f>IF(A942="C",LEFT(UPPER(D942)&amp;REPT(" ",2),2)," ")</f>
        <v/>
      </c>
      <c r="Z942" s="10">
        <f>IF(A942="C",LEFT(UPPER(E942)&amp;REPT(" ",15),15)," ")</f>
        <v/>
      </c>
      <c r="AA942" s="10">
        <f>REPT(" ",8)</f>
        <v/>
      </c>
      <c r="AB942" s="10">
        <f>REPT(" ",4)</f>
        <v/>
      </c>
      <c r="AC942" s="10">
        <f>LEFT(UPPER(H942)&amp;REPT(" ",250),250)</f>
        <v/>
      </c>
      <c r="AD942" s="10">
        <f>TEXT($G$2,"dd/mm/aaaa")</f>
        <v/>
      </c>
      <c r="AE942" s="10">
        <f>REPT(" ",10)</f>
        <v/>
      </c>
      <c r="AF942" s="10">
        <f>REPT(" ",20)</f>
        <v/>
      </c>
      <c r="AG942" s="54">
        <f>REPT(" ",18-LEN(FIXED(F942,2,TRUE)))&amp;FIXED(F942,2,TRUE)</f>
        <v/>
      </c>
      <c r="AH942" s="10">
        <f>LEN(AC942)+LEN(AG942)</f>
        <v/>
      </c>
      <c r="AI942" s="10">
        <f>LEN(L942)</f>
        <v/>
      </c>
    </row>
    <row r="943">
      <c r="J943" s="12">
        <f>IF(F943&lt;&gt;0,"LANÇAR","")</f>
        <v/>
      </c>
      <c r="L943" s="13">
        <f>N943&amp;O943&amp;P943&amp;Q943&amp;R943&amp;S943&amp;T943&amp;U943&amp;V943&amp;W943&amp;X943&amp;Y943&amp;Z943&amp;AA943&amp;AB943&amp;AC943&amp;AD943&amp;AE943&amp;AF943&amp;AG943</f>
        <v/>
      </c>
      <c r="N943" s="10">
        <f>TEXT($B$6,"00")</f>
        <v/>
      </c>
      <c r="O943" s="10">
        <f>REPT(" ",8)</f>
        <v/>
      </c>
      <c r="P943" s="10">
        <f>RIGHT($B$4,2)</f>
        <v/>
      </c>
      <c r="Q943" s="10">
        <f>RIGHT($B$5,3)</f>
        <v/>
      </c>
      <c r="R943" s="10">
        <f>IF(A943="D",LEFT(UPPER(B943)&amp;REPT(" ",20),20),REPT(" ",20))</f>
        <v/>
      </c>
      <c r="S943" s="10">
        <f>IF(A943="D",LEFT(UPPER(C943)&amp;REPT(" ",10),10)," ")</f>
        <v/>
      </c>
      <c r="T943" s="10">
        <f>IF(A943="D",LEFT(UPPER(D943)&amp;REPT(" ",2),2)," ")</f>
        <v/>
      </c>
      <c r="U943" s="10">
        <f>IF(A943="D",LEFT(UPPER(E943)&amp;REPT(" ",15),15)," ")</f>
        <v/>
      </c>
      <c r="V943" s="10">
        <f>REPT(" ",24)</f>
        <v/>
      </c>
      <c r="W943" s="10">
        <f>IF(A943="c",LEFT(UPPER(B943)&amp;REPT(" ",20),20),REPT(" ",20))</f>
        <v/>
      </c>
      <c r="X943" s="10">
        <f>IF(A943="C",LEFT(UPPER(C943)&amp;REPT(" ",10),10)," ")</f>
        <v/>
      </c>
      <c r="Y943" s="10">
        <f>IF(A943="C",LEFT(UPPER(D943)&amp;REPT(" ",2),2)," ")</f>
        <v/>
      </c>
      <c r="Z943" s="10">
        <f>IF(A943="C",LEFT(UPPER(E943)&amp;REPT(" ",15),15)," ")</f>
        <v/>
      </c>
      <c r="AA943" s="10">
        <f>REPT(" ",8)</f>
        <v/>
      </c>
      <c r="AB943" s="10">
        <f>REPT(" ",4)</f>
        <v/>
      </c>
      <c r="AC943" s="10">
        <f>LEFT(UPPER(H943)&amp;REPT(" ",250),250)</f>
        <v/>
      </c>
      <c r="AD943" s="10">
        <f>TEXT($G$2,"dd/mm/aaaa")</f>
        <v/>
      </c>
      <c r="AE943" s="10">
        <f>REPT(" ",10)</f>
        <v/>
      </c>
      <c r="AF943" s="10">
        <f>REPT(" ",20)</f>
        <v/>
      </c>
      <c r="AG943" s="54">
        <f>REPT(" ",18-LEN(FIXED(F943,2,TRUE)))&amp;FIXED(F943,2,TRUE)</f>
        <v/>
      </c>
      <c r="AH943" s="10">
        <f>LEN(AC943)+LEN(AG943)</f>
        <v/>
      </c>
      <c r="AI943" s="10">
        <f>LEN(L943)</f>
        <v/>
      </c>
    </row>
    <row r="944">
      <c r="J944" s="12">
        <f>IF(F944&lt;&gt;0,"LANÇAR","")</f>
        <v/>
      </c>
      <c r="L944" s="13">
        <f>N944&amp;O944&amp;P944&amp;Q944&amp;R944&amp;S944&amp;T944&amp;U944&amp;V944&amp;W944&amp;X944&amp;Y944&amp;Z944&amp;AA944&amp;AB944&amp;AC944&amp;AD944&amp;AE944&amp;AF944&amp;AG944</f>
        <v/>
      </c>
      <c r="N944" s="10">
        <f>TEXT($B$6,"00")</f>
        <v/>
      </c>
      <c r="O944" s="10">
        <f>REPT(" ",8)</f>
        <v/>
      </c>
      <c r="P944" s="10">
        <f>RIGHT($B$4,2)</f>
        <v/>
      </c>
      <c r="Q944" s="10">
        <f>RIGHT($B$5,3)</f>
        <v/>
      </c>
      <c r="R944" s="10">
        <f>IF(A944="D",LEFT(UPPER(B944)&amp;REPT(" ",20),20),REPT(" ",20))</f>
        <v/>
      </c>
      <c r="S944" s="10">
        <f>IF(A944="D",LEFT(UPPER(C944)&amp;REPT(" ",10),10)," ")</f>
        <v/>
      </c>
      <c r="T944" s="10">
        <f>IF(A944="D",LEFT(UPPER(D944)&amp;REPT(" ",2),2)," ")</f>
        <v/>
      </c>
      <c r="U944" s="10">
        <f>IF(A944="D",LEFT(UPPER(E944)&amp;REPT(" ",15),15)," ")</f>
        <v/>
      </c>
      <c r="V944" s="10">
        <f>REPT(" ",24)</f>
        <v/>
      </c>
      <c r="W944" s="10">
        <f>IF(A944="c",LEFT(UPPER(B944)&amp;REPT(" ",20),20),REPT(" ",20))</f>
        <v/>
      </c>
      <c r="X944" s="10">
        <f>IF(A944="C",LEFT(UPPER(C944)&amp;REPT(" ",10),10)," ")</f>
        <v/>
      </c>
      <c r="Y944" s="10">
        <f>IF(A944="C",LEFT(UPPER(D944)&amp;REPT(" ",2),2)," ")</f>
        <v/>
      </c>
      <c r="Z944" s="10">
        <f>IF(A944="C",LEFT(UPPER(E944)&amp;REPT(" ",15),15)," ")</f>
        <v/>
      </c>
      <c r="AA944" s="10">
        <f>REPT(" ",8)</f>
        <v/>
      </c>
      <c r="AB944" s="10">
        <f>REPT(" ",4)</f>
        <v/>
      </c>
      <c r="AC944" s="10">
        <f>LEFT(UPPER(H944)&amp;REPT(" ",250),250)</f>
        <v/>
      </c>
      <c r="AD944" s="10">
        <f>TEXT($G$2,"dd/mm/aaaa")</f>
        <v/>
      </c>
      <c r="AE944" s="10">
        <f>REPT(" ",10)</f>
        <v/>
      </c>
      <c r="AF944" s="10">
        <f>REPT(" ",20)</f>
        <v/>
      </c>
      <c r="AG944" s="54">
        <f>REPT(" ",18-LEN(FIXED(F944,2,TRUE)))&amp;FIXED(F944,2,TRUE)</f>
        <v/>
      </c>
      <c r="AH944" s="10">
        <f>LEN(AC944)+LEN(AG944)</f>
        <v/>
      </c>
      <c r="AI944" s="10">
        <f>LEN(L944)</f>
        <v/>
      </c>
    </row>
    <row r="945">
      <c r="J945" s="12">
        <f>IF(F945&lt;&gt;0,"LANÇAR","")</f>
        <v/>
      </c>
      <c r="L945" s="13">
        <f>N945&amp;O945&amp;P945&amp;Q945&amp;R945&amp;S945&amp;T945&amp;U945&amp;V945&amp;W945&amp;X945&amp;Y945&amp;Z945&amp;AA945&amp;AB945&amp;AC945&amp;AD945&amp;AE945&amp;AF945&amp;AG945</f>
        <v/>
      </c>
      <c r="N945" s="10">
        <f>TEXT($B$6,"00")</f>
        <v/>
      </c>
      <c r="O945" s="10">
        <f>REPT(" ",8)</f>
        <v/>
      </c>
      <c r="P945" s="10">
        <f>RIGHT($B$4,2)</f>
        <v/>
      </c>
      <c r="Q945" s="10">
        <f>RIGHT($B$5,3)</f>
        <v/>
      </c>
      <c r="R945" s="10">
        <f>IF(A945="D",LEFT(UPPER(B945)&amp;REPT(" ",20),20),REPT(" ",20))</f>
        <v/>
      </c>
      <c r="S945" s="10">
        <f>IF(A945="D",LEFT(UPPER(C945)&amp;REPT(" ",10),10)," ")</f>
        <v/>
      </c>
      <c r="T945" s="10">
        <f>IF(A945="D",LEFT(UPPER(D945)&amp;REPT(" ",2),2)," ")</f>
        <v/>
      </c>
      <c r="U945" s="10">
        <f>IF(A945="D",LEFT(UPPER(E945)&amp;REPT(" ",15),15)," ")</f>
        <v/>
      </c>
      <c r="V945" s="10">
        <f>REPT(" ",24)</f>
        <v/>
      </c>
      <c r="W945" s="10">
        <f>IF(A945="c",LEFT(UPPER(B945)&amp;REPT(" ",20),20),REPT(" ",20))</f>
        <v/>
      </c>
      <c r="X945" s="10">
        <f>IF(A945="C",LEFT(UPPER(C945)&amp;REPT(" ",10),10)," ")</f>
        <v/>
      </c>
      <c r="Y945" s="10">
        <f>IF(A945="C",LEFT(UPPER(D945)&amp;REPT(" ",2),2)," ")</f>
        <v/>
      </c>
      <c r="Z945" s="10">
        <f>IF(A945="C",LEFT(UPPER(E945)&amp;REPT(" ",15),15)," ")</f>
        <v/>
      </c>
      <c r="AA945" s="10">
        <f>REPT(" ",8)</f>
        <v/>
      </c>
      <c r="AB945" s="10">
        <f>REPT(" ",4)</f>
        <v/>
      </c>
      <c r="AC945" s="10">
        <f>LEFT(UPPER(H945)&amp;REPT(" ",250),250)</f>
        <v/>
      </c>
      <c r="AD945" s="10">
        <f>TEXT($G$2,"dd/mm/aaaa")</f>
        <v/>
      </c>
      <c r="AE945" s="10">
        <f>REPT(" ",10)</f>
        <v/>
      </c>
      <c r="AF945" s="10">
        <f>REPT(" ",20)</f>
        <v/>
      </c>
      <c r="AG945" s="54">
        <f>REPT(" ",18-LEN(FIXED(F945,2,TRUE)))&amp;FIXED(F945,2,TRUE)</f>
        <v/>
      </c>
      <c r="AH945" s="10">
        <f>LEN(AC945)+LEN(AG945)</f>
        <v/>
      </c>
      <c r="AI945" s="10">
        <f>LEN(L945)</f>
        <v/>
      </c>
    </row>
    <row r="946">
      <c r="J946" s="12">
        <f>IF(F946&lt;&gt;0,"LANÇAR","")</f>
        <v/>
      </c>
      <c r="L946" s="13">
        <f>N946&amp;O946&amp;P946&amp;Q946&amp;R946&amp;S946&amp;T946&amp;U946&amp;V946&amp;W946&amp;X946&amp;Y946&amp;Z946&amp;AA946&amp;AB946&amp;AC946&amp;AD946&amp;AE946&amp;AF946&amp;AG946</f>
        <v/>
      </c>
      <c r="N946" s="10">
        <f>TEXT($B$6,"00")</f>
        <v/>
      </c>
      <c r="O946" s="10">
        <f>REPT(" ",8)</f>
        <v/>
      </c>
      <c r="P946" s="10">
        <f>RIGHT($B$4,2)</f>
        <v/>
      </c>
      <c r="Q946" s="10">
        <f>RIGHT($B$5,3)</f>
        <v/>
      </c>
      <c r="R946" s="10">
        <f>IF(A946="D",LEFT(UPPER(B946)&amp;REPT(" ",20),20),REPT(" ",20))</f>
        <v/>
      </c>
      <c r="S946" s="10">
        <f>IF(A946="D",LEFT(UPPER(C946)&amp;REPT(" ",10),10)," ")</f>
        <v/>
      </c>
      <c r="T946" s="10">
        <f>IF(A946="D",LEFT(UPPER(D946)&amp;REPT(" ",2),2)," ")</f>
        <v/>
      </c>
      <c r="U946" s="10">
        <f>IF(A946="D",LEFT(UPPER(E946)&amp;REPT(" ",15),15)," ")</f>
        <v/>
      </c>
      <c r="V946" s="10">
        <f>REPT(" ",24)</f>
        <v/>
      </c>
      <c r="W946" s="10">
        <f>IF(A946="c",LEFT(UPPER(B946)&amp;REPT(" ",20),20),REPT(" ",20))</f>
        <v/>
      </c>
      <c r="X946" s="10">
        <f>IF(A946="C",LEFT(UPPER(C946)&amp;REPT(" ",10),10)," ")</f>
        <v/>
      </c>
      <c r="Y946" s="10">
        <f>IF(A946="C",LEFT(UPPER(D946)&amp;REPT(" ",2),2)," ")</f>
        <v/>
      </c>
      <c r="Z946" s="10">
        <f>IF(A946="C",LEFT(UPPER(E946)&amp;REPT(" ",15),15)," ")</f>
        <v/>
      </c>
      <c r="AA946" s="10">
        <f>REPT(" ",8)</f>
        <v/>
      </c>
      <c r="AB946" s="10">
        <f>REPT(" ",4)</f>
        <v/>
      </c>
      <c r="AC946" s="10">
        <f>LEFT(UPPER(H946)&amp;REPT(" ",250),250)</f>
        <v/>
      </c>
      <c r="AD946" s="10">
        <f>TEXT($G$2,"dd/mm/aaaa")</f>
        <v/>
      </c>
      <c r="AE946" s="10">
        <f>REPT(" ",10)</f>
        <v/>
      </c>
      <c r="AF946" s="10">
        <f>REPT(" ",20)</f>
        <v/>
      </c>
      <c r="AG946" s="54">
        <f>REPT(" ",18-LEN(FIXED(F946,2,TRUE)))&amp;FIXED(F946,2,TRUE)</f>
        <v/>
      </c>
      <c r="AH946" s="10">
        <f>LEN(AC946)+LEN(AG946)</f>
        <v/>
      </c>
      <c r="AI946" s="10">
        <f>LEN(L946)</f>
        <v/>
      </c>
    </row>
    <row r="947">
      <c r="J947" s="12">
        <f>IF(F947&lt;&gt;0,"LANÇAR","")</f>
        <v/>
      </c>
      <c r="L947" s="13">
        <f>N947&amp;O947&amp;P947&amp;Q947&amp;R947&amp;S947&amp;T947&amp;U947&amp;V947&amp;W947&amp;X947&amp;Y947&amp;Z947&amp;AA947&amp;AB947&amp;AC947&amp;AD947&amp;AE947&amp;AF947&amp;AG947</f>
        <v/>
      </c>
      <c r="N947" s="10">
        <f>TEXT($B$6,"00")</f>
        <v/>
      </c>
      <c r="O947" s="10">
        <f>REPT(" ",8)</f>
        <v/>
      </c>
      <c r="P947" s="10">
        <f>RIGHT($B$4,2)</f>
        <v/>
      </c>
      <c r="Q947" s="10">
        <f>RIGHT($B$5,3)</f>
        <v/>
      </c>
      <c r="R947" s="10">
        <f>IF(A947="D",LEFT(UPPER(B947)&amp;REPT(" ",20),20),REPT(" ",20))</f>
        <v/>
      </c>
      <c r="S947" s="10">
        <f>IF(A947="D",LEFT(UPPER(C947)&amp;REPT(" ",10),10)," ")</f>
        <v/>
      </c>
      <c r="T947" s="10">
        <f>IF(A947="D",LEFT(UPPER(D947)&amp;REPT(" ",2),2)," ")</f>
        <v/>
      </c>
      <c r="U947" s="10">
        <f>IF(A947="D",LEFT(UPPER(E947)&amp;REPT(" ",15),15)," ")</f>
        <v/>
      </c>
      <c r="V947" s="10">
        <f>REPT(" ",24)</f>
        <v/>
      </c>
      <c r="W947" s="10">
        <f>IF(A947="c",LEFT(UPPER(B947)&amp;REPT(" ",20),20),REPT(" ",20))</f>
        <v/>
      </c>
      <c r="X947" s="10">
        <f>IF(A947="C",LEFT(UPPER(C947)&amp;REPT(" ",10),10)," ")</f>
        <v/>
      </c>
      <c r="Y947" s="10">
        <f>IF(A947="C",LEFT(UPPER(D947)&amp;REPT(" ",2),2)," ")</f>
        <v/>
      </c>
      <c r="Z947" s="10">
        <f>IF(A947="C",LEFT(UPPER(E947)&amp;REPT(" ",15),15)," ")</f>
        <v/>
      </c>
      <c r="AA947" s="10">
        <f>REPT(" ",8)</f>
        <v/>
      </c>
      <c r="AB947" s="10">
        <f>REPT(" ",4)</f>
        <v/>
      </c>
      <c r="AC947" s="10">
        <f>LEFT(UPPER(H947)&amp;REPT(" ",250),250)</f>
        <v/>
      </c>
      <c r="AD947" s="10">
        <f>TEXT($G$2,"dd/mm/aaaa")</f>
        <v/>
      </c>
      <c r="AE947" s="10">
        <f>REPT(" ",10)</f>
        <v/>
      </c>
      <c r="AF947" s="10">
        <f>REPT(" ",20)</f>
        <v/>
      </c>
      <c r="AG947" s="54">
        <f>REPT(" ",18-LEN(FIXED(F947,2,TRUE)))&amp;FIXED(F947,2,TRUE)</f>
        <v/>
      </c>
      <c r="AH947" s="10">
        <f>LEN(AC947)+LEN(AG947)</f>
        <v/>
      </c>
      <c r="AI947" s="10">
        <f>LEN(L947)</f>
        <v/>
      </c>
    </row>
    <row r="948">
      <c r="J948" s="12">
        <f>IF(F948&lt;&gt;0,"LANÇAR","")</f>
        <v/>
      </c>
      <c r="L948" s="13">
        <f>N948&amp;O948&amp;P948&amp;Q948&amp;R948&amp;S948&amp;T948&amp;U948&amp;V948&amp;W948&amp;X948&amp;Y948&amp;Z948&amp;AA948&amp;AB948&amp;AC948&amp;AD948&amp;AE948&amp;AF948&amp;AG948</f>
        <v/>
      </c>
      <c r="N948" s="10">
        <f>TEXT($B$6,"00")</f>
        <v/>
      </c>
      <c r="O948" s="10">
        <f>REPT(" ",8)</f>
        <v/>
      </c>
      <c r="P948" s="10">
        <f>RIGHT($B$4,2)</f>
        <v/>
      </c>
      <c r="Q948" s="10">
        <f>RIGHT($B$5,3)</f>
        <v/>
      </c>
      <c r="R948" s="10">
        <f>IF(A948="D",LEFT(UPPER(B948)&amp;REPT(" ",20),20),REPT(" ",20))</f>
        <v/>
      </c>
      <c r="S948" s="10">
        <f>IF(A948="D",LEFT(UPPER(C948)&amp;REPT(" ",10),10)," ")</f>
        <v/>
      </c>
      <c r="T948" s="10">
        <f>IF(A948="D",LEFT(UPPER(D948)&amp;REPT(" ",2),2)," ")</f>
        <v/>
      </c>
      <c r="U948" s="10">
        <f>IF(A948="D",LEFT(UPPER(E948)&amp;REPT(" ",15),15)," ")</f>
        <v/>
      </c>
      <c r="V948" s="10">
        <f>REPT(" ",24)</f>
        <v/>
      </c>
      <c r="W948" s="10">
        <f>IF(A948="c",LEFT(UPPER(B948)&amp;REPT(" ",20),20),REPT(" ",20))</f>
        <v/>
      </c>
      <c r="X948" s="10">
        <f>IF(A948="C",LEFT(UPPER(C948)&amp;REPT(" ",10),10)," ")</f>
        <v/>
      </c>
      <c r="Y948" s="10">
        <f>IF(A948="C",LEFT(UPPER(D948)&amp;REPT(" ",2),2)," ")</f>
        <v/>
      </c>
      <c r="Z948" s="10">
        <f>IF(A948="C",LEFT(UPPER(E948)&amp;REPT(" ",15),15)," ")</f>
        <v/>
      </c>
      <c r="AA948" s="10">
        <f>REPT(" ",8)</f>
        <v/>
      </c>
      <c r="AB948" s="10">
        <f>REPT(" ",4)</f>
        <v/>
      </c>
      <c r="AC948" s="10">
        <f>LEFT(UPPER(H948)&amp;REPT(" ",250),250)</f>
        <v/>
      </c>
      <c r="AD948" s="10">
        <f>TEXT($G$2,"dd/mm/aaaa")</f>
        <v/>
      </c>
      <c r="AE948" s="10">
        <f>REPT(" ",10)</f>
        <v/>
      </c>
      <c r="AF948" s="10">
        <f>REPT(" ",20)</f>
        <v/>
      </c>
      <c r="AG948" s="54">
        <f>REPT(" ",18-LEN(FIXED(F948,2,TRUE)))&amp;FIXED(F948,2,TRUE)</f>
        <v/>
      </c>
      <c r="AH948" s="10">
        <f>LEN(AC948)+LEN(AG948)</f>
        <v/>
      </c>
      <c r="AI948" s="10">
        <f>LEN(L948)</f>
        <v/>
      </c>
    </row>
    <row r="949">
      <c r="J949" s="12">
        <f>IF(F949&lt;&gt;0,"LANÇAR","")</f>
        <v/>
      </c>
      <c r="L949" s="13">
        <f>N949&amp;O949&amp;P949&amp;Q949&amp;R949&amp;S949&amp;T949&amp;U949&amp;V949&amp;W949&amp;X949&amp;Y949&amp;Z949&amp;AA949&amp;AB949&amp;AC949&amp;AD949&amp;AE949&amp;AF949&amp;AG949</f>
        <v/>
      </c>
      <c r="N949" s="10">
        <f>TEXT($B$6,"00")</f>
        <v/>
      </c>
      <c r="O949" s="10">
        <f>REPT(" ",8)</f>
        <v/>
      </c>
      <c r="P949" s="10">
        <f>RIGHT($B$4,2)</f>
        <v/>
      </c>
      <c r="Q949" s="10">
        <f>RIGHT($B$5,3)</f>
        <v/>
      </c>
      <c r="R949" s="10">
        <f>IF(A949="D",LEFT(UPPER(B949)&amp;REPT(" ",20),20),REPT(" ",20))</f>
        <v/>
      </c>
      <c r="S949" s="10">
        <f>IF(A949="D",LEFT(UPPER(C949)&amp;REPT(" ",10),10)," ")</f>
        <v/>
      </c>
      <c r="T949" s="10">
        <f>IF(A949="D",LEFT(UPPER(D949)&amp;REPT(" ",2),2)," ")</f>
        <v/>
      </c>
      <c r="U949" s="10">
        <f>IF(A949="D",LEFT(UPPER(E949)&amp;REPT(" ",15),15)," ")</f>
        <v/>
      </c>
      <c r="V949" s="10">
        <f>REPT(" ",24)</f>
        <v/>
      </c>
      <c r="W949" s="10">
        <f>IF(A949="c",LEFT(UPPER(B949)&amp;REPT(" ",20),20),REPT(" ",20))</f>
        <v/>
      </c>
      <c r="X949" s="10">
        <f>IF(A949="C",LEFT(UPPER(C949)&amp;REPT(" ",10),10)," ")</f>
        <v/>
      </c>
      <c r="Y949" s="10">
        <f>IF(A949="C",LEFT(UPPER(D949)&amp;REPT(" ",2),2)," ")</f>
        <v/>
      </c>
      <c r="Z949" s="10">
        <f>IF(A949="C",LEFT(UPPER(E949)&amp;REPT(" ",15),15)," ")</f>
        <v/>
      </c>
      <c r="AA949" s="10">
        <f>REPT(" ",8)</f>
        <v/>
      </c>
      <c r="AB949" s="10">
        <f>REPT(" ",4)</f>
        <v/>
      </c>
      <c r="AC949" s="10">
        <f>LEFT(UPPER(H949)&amp;REPT(" ",250),250)</f>
        <v/>
      </c>
      <c r="AD949" s="10">
        <f>TEXT($G$2,"dd/mm/aaaa")</f>
        <v/>
      </c>
      <c r="AE949" s="10">
        <f>REPT(" ",10)</f>
        <v/>
      </c>
      <c r="AF949" s="10">
        <f>REPT(" ",20)</f>
        <v/>
      </c>
      <c r="AG949" s="54">
        <f>REPT(" ",18-LEN(FIXED(F949,2,TRUE)))&amp;FIXED(F949,2,TRUE)</f>
        <v/>
      </c>
      <c r="AH949" s="10">
        <f>LEN(AC949)+LEN(AG949)</f>
        <v/>
      </c>
      <c r="AI949" s="10">
        <f>LEN(L949)</f>
        <v/>
      </c>
    </row>
    <row r="950">
      <c r="J950" s="12">
        <f>IF(F950&lt;&gt;0,"LANÇAR","")</f>
        <v/>
      </c>
      <c r="L950" s="13">
        <f>N950&amp;O950&amp;P950&amp;Q950&amp;R950&amp;S950&amp;T950&amp;U950&amp;V950&amp;W950&amp;X950&amp;Y950&amp;Z950&amp;AA950&amp;AB950&amp;AC950&amp;AD950&amp;AE950&amp;AF950&amp;AG950</f>
        <v/>
      </c>
      <c r="N950" s="10">
        <f>TEXT($B$6,"00")</f>
        <v/>
      </c>
      <c r="O950" s="10">
        <f>REPT(" ",8)</f>
        <v/>
      </c>
      <c r="P950" s="10">
        <f>RIGHT($B$4,2)</f>
        <v/>
      </c>
      <c r="Q950" s="10">
        <f>RIGHT($B$5,3)</f>
        <v/>
      </c>
      <c r="R950" s="10">
        <f>IF(A950="D",LEFT(UPPER(B950)&amp;REPT(" ",20),20),REPT(" ",20))</f>
        <v/>
      </c>
      <c r="S950" s="10">
        <f>IF(A950="D",LEFT(UPPER(C950)&amp;REPT(" ",10),10)," ")</f>
        <v/>
      </c>
      <c r="T950" s="10">
        <f>IF(A950="D",LEFT(UPPER(D950)&amp;REPT(" ",2),2)," ")</f>
        <v/>
      </c>
      <c r="U950" s="10">
        <f>IF(A950="D",LEFT(UPPER(E950)&amp;REPT(" ",15),15)," ")</f>
        <v/>
      </c>
      <c r="V950" s="10">
        <f>REPT(" ",24)</f>
        <v/>
      </c>
      <c r="W950" s="10">
        <f>IF(A950="c",LEFT(UPPER(B950)&amp;REPT(" ",20),20),REPT(" ",20))</f>
        <v/>
      </c>
      <c r="X950" s="10">
        <f>IF(A950="C",LEFT(UPPER(C950)&amp;REPT(" ",10),10)," ")</f>
        <v/>
      </c>
      <c r="Y950" s="10">
        <f>IF(A950="C",LEFT(UPPER(D950)&amp;REPT(" ",2),2)," ")</f>
        <v/>
      </c>
      <c r="Z950" s="10">
        <f>IF(A950="C",LEFT(UPPER(E950)&amp;REPT(" ",15),15)," ")</f>
        <v/>
      </c>
      <c r="AA950" s="10">
        <f>REPT(" ",8)</f>
        <v/>
      </c>
      <c r="AB950" s="10">
        <f>REPT(" ",4)</f>
        <v/>
      </c>
      <c r="AC950" s="10">
        <f>LEFT(UPPER(H950)&amp;REPT(" ",250),250)</f>
        <v/>
      </c>
      <c r="AD950" s="10">
        <f>TEXT($G$2,"dd/mm/aaaa")</f>
        <v/>
      </c>
      <c r="AE950" s="10">
        <f>REPT(" ",10)</f>
        <v/>
      </c>
      <c r="AF950" s="10">
        <f>REPT(" ",20)</f>
        <v/>
      </c>
      <c r="AG950" s="54">
        <f>REPT(" ",18-LEN(FIXED(F950,2,TRUE)))&amp;FIXED(F950,2,TRUE)</f>
        <v/>
      </c>
      <c r="AH950" s="10">
        <f>LEN(AC950)+LEN(AG950)</f>
        <v/>
      </c>
      <c r="AI950" s="10">
        <f>LEN(L950)</f>
        <v/>
      </c>
    </row>
    <row r="951">
      <c r="J951" s="12">
        <f>IF(F951&lt;&gt;0,"LANÇAR","")</f>
        <v/>
      </c>
      <c r="L951" s="13">
        <f>N951&amp;O951&amp;P951&amp;Q951&amp;R951&amp;S951&amp;T951&amp;U951&amp;V951&amp;W951&amp;X951&amp;Y951&amp;Z951&amp;AA951&amp;AB951&amp;AC951&amp;AD951&amp;AE951&amp;AF951&amp;AG951</f>
        <v/>
      </c>
      <c r="N951" s="10">
        <f>TEXT($B$6,"00")</f>
        <v/>
      </c>
      <c r="O951" s="10">
        <f>REPT(" ",8)</f>
        <v/>
      </c>
      <c r="P951" s="10">
        <f>RIGHT($B$4,2)</f>
        <v/>
      </c>
      <c r="Q951" s="10">
        <f>RIGHT($B$5,3)</f>
        <v/>
      </c>
      <c r="R951" s="10">
        <f>IF(A951="D",LEFT(UPPER(B951)&amp;REPT(" ",20),20),REPT(" ",20))</f>
        <v/>
      </c>
      <c r="S951" s="10">
        <f>IF(A951="D",LEFT(UPPER(C951)&amp;REPT(" ",10),10)," ")</f>
        <v/>
      </c>
      <c r="T951" s="10">
        <f>IF(A951="D",LEFT(UPPER(D951)&amp;REPT(" ",2),2)," ")</f>
        <v/>
      </c>
      <c r="U951" s="10">
        <f>IF(A951="D",LEFT(UPPER(E951)&amp;REPT(" ",15),15)," ")</f>
        <v/>
      </c>
      <c r="V951" s="10">
        <f>REPT(" ",24)</f>
        <v/>
      </c>
      <c r="W951" s="10">
        <f>IF(A951="c",LEFT(UPPER(B951)&amp;REPT(" ",20),20),REPT(" ",20))</f>
        <v/>
      </c>
      <c r="X951" s="10">
        <f>IF(A951="C",LEFT(UPPER(C951)&amp;REPT(" ",10),10)," ")</f>
        <v/>
      </c>
      <c r="Y951" s="10">
        <f>IF(A951="C",LEFT(UPPER(D951)&amp;REPT(" ",2),2)," ")</f>
        <v/>
      </c>
      <c r="Z951" s="10">
        <f>IF(A951="C",LEFT(UPPER(E951)&amp;REPT(" ",15),15)," ")</f>
        <v/>
      </c>
      <c r="AA951" s="10">
        <f>REPT(" ",8)</f>
        <v/>
      </c>
      <c r="AB951" s="10">
        <f>REPT(" ",4)</f>
        <v/>
      </c>
      <c r="AC951" s="10">
        <f>LEFT(UPPER(H951)&amp;REPT(" ",250),250)</f>
        <v/>
      </c>
      <c r="AD951" s="10">
        <f>TEXT($G$2,"dd/mm/aaaa")</f>
        <v/>
      </c>
      <c r="AE951" s="10">
        <f>REPT(" ",10)</f>
        <v/>
      </c>
      <c r="AF951" s="10">
        <f>REPT(" ",20)</f>
        <v/>
      </c>
      <c r="AG951" s="54">
        <f>REPT(" ",18-LEN(FIXED(F951,2,TRUE)))&amp;FIXED(F951,2,TRUE)</f>
        <v/>
      </c>
      <c r="AH951" s="10">
        <f>LEN(AC951)+LEN(AG951)</f>
        <v/>
      </c>
      <c r="AI951" s="10">
        <f>LEN(L951)</f>
        <v/>
      </c>
    </row>
    <row r="952">
      <c r="J952" s="12">
        <f>IF(F952&lt;&gt;0,"LANÇAR","")</f>
        <v/>
      </c>
      <c r="L952" s="13">
        <f>N952&amp;O952&amp;P952&amp;Q952&amp;R952&amp;S952&amp;T952&amp;U952&amp;V952&amp;W952&amp;X952&amp;Y952&amp;Z952&amp;AA952&amp;AB952&amp;AC952&amp;AD952&amp;AE952&amp;AF952&amp;AG952</f>
        <v/>
      </c>
      <c r="N952" s="10">
        <f>TEXT($B$6,"00")</f>
        <v/>
      </c>
      <c r="O952" s="10">
        <f>REPT(" ",8)</f>
        <v/>
      </c>
      <c r="P952" s="10">
        <f>RIGHT($B$4,2)</f>
        <v/>
      </c>
      <c r="Q952" s="10">
        <f>RIGHT($B$5,3)</f>
        <v/>
      </c>
      <c r="R952" s="10">
        <f>IF(A952="D",LEFT(UPPER(B952)&amp;REPT(" ",20),20),REPT(" ",20))</f>
        <v/>
      </c>
      <c r="S952" s="10">
        <f>IF(A952="D",LEFT(UPPER(C952)&amp;REPT(" ",10),10)," ")</f>
        <v/>
      </c>
      <c r="T952" s="10">
        <f>IF(A952="D",LEFT(UPPER(D952)&amp;REPT(" ",2),2)," ")</f>
        <v/>
      </c>
      <c r="U952" s="10">
        <f>IF(A952="D",LEFT(UPPER(E952)&amp;REPT(" ",15),15)," ")</f>
        <v/>
      </c>
      <c r="V952" s="10">
        <f>REPT(" ",24)</f>
        <v/>
      </c>
      <c r="W952" s="10">
        <f>IF(A952="c",LEFT(UPPER(B952)&amp;REPT(" ",20),20),REPT(" ",20))</f>
        <v/>
      </c>
      <c r="X952" s="10">
        <f>IF(A952="C",LEFT(UPPER(C952)&amp;REPT(" ",10),10)," ")</f>
        <v/>
      </c>
      <c r="Y952" s="10">
        <f>IF(A952="C",LEFT(UPPER(D952)&amp;REPT(" ",2),2)," ")</f>
        <v/>
      </c>
      <c r="Z952" s="10">
        <f>IF(A952="C",LEFT(UPPER(E952)&amp;REPT(" ",15),15)," ")</f>
        <v/>
      </c>
      <c r="AA952" s="10">
        <f>REPT(" ",8)</f>
        <v/>
      </c>
      <c r="AB952" s="10">
        <f>REPT(" ",4)</f>
        <v/>
      </c>
      <c r="AC952" s="10">
        <f>LEFT(UPPER(H952)&amp;REPT(" ",250),250)</f>
        <v/>
      </c>
      <c r="AD952" s="10">
        <f>TEXT($G$2,"dd/mm/aaaa")</f>
        <v/>
      </c>
      <c r="AE952" s="10">
        <f>REPT(" ",10)</f>
        <v/>
      </c>
      <c r="AF952" s="10">
        <f>REPT(" ",20)</f>
        <v/>
      </c>
      <c r="AG952" s="54">
        <f>REPT(" ",18-LEN(FIXED(F952,2,TRUE)))&amp;FIXED(F952,2,TRUE)</f>
        <v/>
      </c>
      <c r="AH952" s="10">
        <f>LEN(AC952)+LEN(AG952)</f>
        <v/>
      </c>
      <c r="AI952" s="10">
        <f>LEN(L952)</f>
        <v/>
      </c>
    </row>
    <row r="953">
      <c r="J953" s="12">
        <f>IF(F953&lt;&gt;0,"LANÇAR","")</f>
        <v/>
      </c>
      <c r="L953" s="13">
        <f>N953&amp;O953&amp;P953&amp;Q953&amp;R953&amp;S953&amp;T953&amp;U953&amp;V953&amp;W953&amp;X953&amp;Y953&amp;Z953&amp;AA953&amp;AB953&amp;AC953&amp;AD953&amp;AE953&amp;AF953&amp;AG953</f>
        <v/>
      </c>
      <c r="N953" s="10">
        <f>TEXT($B$6,"00")</f>
        <v/>
      </c>
      <c r="O953" s="10">
        <f>REPT(" ",8)</f>
        <v/>
      </c>
      <c r="P953" s="10">
        <f>RIGHT($B$4,2)</f>
        <v/>
      </c>
      <c r="Q953" s="10">
        <f>RIGHT($B$5,3)</f>
        <v/>
      </c>
      <c r="R953" s="10">
        <f>IF(A953="D",LEFT(UPPER(B953)&amp;REPT(" ",20),20),REPT(" ",20))</f>
        <v/>
      </c>
      <c r="S953" s="10">
        <f>IF(A953="D",LEFT(UPPER(C953)&amp;REPT(" ",10),10)," ")</f>
        <v/>
      </c>
      <c r="T953" s="10">
        <f>IF(A953="D",LEFT(UPPER(D953)&amp;REPT(" ",2),2)," ")</f>
        <v/>
      </c>
      <c r="U953" s="10">
        <f>IF(A953="D",LEFT(UPPER(E953)&amp;REPT(" ",15),15)," ")</f>
        <v/>
      </c>
      <c r="V953" s="10">
        <f>REPT(" ",24)</f>
        <v/>
      </c>
      <c r="W953" s="10">
        <f>IF(A953="c",LEFT(UPPER(B953)&amp;REPT(" ",20),20),REPT(" ",20))</f>
        <v/>
      </c>
      <c r="X953" s="10">
        <f>IF(A953="C",LEFT(UPPER(C953)&amp;REPT(" ",10),10)," ")</f>
        <v/>
      </c>
      <c r="Y953" s="10">
        <f>IF(A953="C",LEFT(UPPER(D953)&amp;REPT(" ",2),2)," ")</f>
        <v/>
      </c>
      <c r="Z953" s="10">
        <f>IF(A953="C",LEFT(UPPER(E953)&amp;REPT(" ",15),15)," ")</f>
        <v/>
      </c>
      <c r="AA953" s="10">
        <f>REPT(" ",8)</f>
        <v/>
      </c>
      <c r="AB953" s="10">
        <f>REPT(" ",4)</f>
        <v/>
      </c>
      <c r="AC953" s="10">
        <f>LEFT(UPPER(H953)&amp;REPT(" ",250),250)</f>
        <v/>
      </c>
      <c r="AD953" s="10">
        <f>TEXT($G$2,"dd/mm/aaaa")</f>
        <v/>
      </c>
      <c r="AE953" s="10">
        <f>REPT(" ",10)</f>
        <v/>
      </c>
      <c r="AF953" s="10">
        <f>REPT(" ",20)</f>
        <v/>
      </c>
      <c r="AG953" s="54">
        <f>REPT(" ",18-LEN(FIXED(F953,2,TRUE)))&amp;FIXED(F953,2,TRUE)</f>
        <v/>
      </c>
      <c r="AH953" s="10">
        <f>LEN(AC953)+LEN(AG953)</f>
        <v/>
      </c>
      <c r="AI953" s="10">
        <f>LEN(L953)</f>
        <v/>
      </c>
    </row>
    <row r="954">
      <c r="J954" s="12">
        <f>IF(F954&lt;&gt;0,"LANÇAR","")</f>
        <v/>
      </c>
      <c r="L954" s="13">
        <f>N954&amp;O954&amp;P954&amp;Q954&amp;R954&amp;S954&amp;T954&amp;U954&amp;V954&amp;W954&amp;X954&amp;Y954&amp;Z954&amp;AA954&amp;AB954&amp;AC954&amp;AD954&amp;AE954&amp;AF954&amp;AG954</f>
        <v/>
      </c>
      <c r="N954" s="10">
        <f>TEXT($B$6,"00")</f>
        <v/>
      </c>
      <c r="O954" s="10">
        <f>REPT(" ",8)</f>
        <v/>
      </c>
      <c r="P954" s="10">
        <f>RIGHT($B$4,2)</f>
        <v/>
      </c>
      <c r="Q954" s="10">
        <f>RIGHT($B$5,3)</f>
        <v/>
      </c>
      <c r="R954" s="10">
        <f>IF(A954="D",LEFT(UPPER(B954)&amp;REPT(" ",20),20),REPT(" ",20))</f>
        <v/>
      </c>
      <c r="S954" s="10">
        <f>IF(A954="D",LEFT(UPPER(C954)&amp;REPT(" ",10),10)," ")</f>
        <v/>
      </c>
      <c r="T954" s="10">
        <f>IF(A954="D",LEFT(UPPER(D954)&amp;REPT(" ",2),2)," ")</f>
        <v/>
      </c>
      <c r="U954" s="10">
        <f>IF(A954="D",LEFT(UPPER(E954)&amp;REPT(" ",15),15)," ")</f>
        <v/>
      </c>
      <c r="V954" s="10">
        <f>REPT(" ",24)</f>
        <v/>
      </c>
      <c r="W954" s="10">
        <f>IF(A954="c",LEFT(UPPER(B954)&amp;REPT(" ",20),20),REPT(" ",20))</f>
        <v/>
      </c>
      <c r="X954" s="10">
        <f>IF(A954="C",LEFT(UPPER(C954)&amp;REPT(" ",10),10)," ")</f>
        <v/>
      </c>
      <c r="Y954" s="10">
        <f>IF(A954="C",LEFT(UPPER(D954)&amp;REPT(" ",2),2)," ")</f>
        <v/>
      </c>
      <c r="Z954" s="10">
        <f>IF(A954="C",LEFT(UPPER(E954)&amp;REPT(" ",15),15)," ")</f>
        <v/>
      </c>
      <c r="AA954" s="10">
        <f>REPT(" ",8)</f>
        <v/>
      </c>
      <c r="AB954" s="10">
        <f>REPT(" ",4)</f>
        <v/>
      </c>
      <c r="AC954" s="10">
        <f>LEFT(UPPER(H954)&amp;REPT(" ",250),250)</f>
        <v/>
      </c>
      <c r="AD954" s="10">
        <f>TEXT($G$2,"dd/mm/aaaa")</f>
        <v/>
      </c>
      <c r="AE954" s="10">
        <f>REPT(" ",10)</f>
        <v/>
      </c>
      <c r="AF954" s="10">
        <f>REPT(" ",20)</f>
        <v/>
      </c>
      <c r="AG954" s="54">
        <f>REPT(" ",18-LEN(FIXED(F954,2,TRUE)))&amp;FIXED(F954,2,TRUE)</f>
        <v/>
      </c>
      <c r="AH954" s="10">
        <f>LEN(AC954)+LEN(AG954)</f>
        <v/>
      </c>
      <c r="AI954" s="10">
        <f>LEN(L954)</f>
        <v/>
      </c>
    </row>
    <row r="955">
      <c r="J955" s="12">
        <f>IF(F955&lt;&gt;0,"LANÇAR","")</f>
        <v/>
      </c>
      <c r="L955" s="13">
        <f>N955&amp;O955&amp;P955&amp;Q955&amp;R955&amp;S955&amp;T955&amp;U955&amp;V955&amp;W955&amp;X955&amp;Y955&amp;Z955&amp;AA955&amp;AB955&amp;AC955&amp;AD955&amp;AE955&amp;AF955&amp;AG955</f>
        <v/>
      </c>
      <c r="N955" s="10">
        <f>TEXT($B$6,"00")</f>
        <v/>
      </c>
      <c r="O955" s="10">
        <f>REPT(" ",8)</f>
        <v/>
      </c>
      <c r="P955" s="10">
        <f>RIGHT($B$4,2)</f>
        <v/>
      </c>
      <c r="Q955" s="10">
        <f>RIGHT($B$5,3)</f>
        <v/>
      </c>
      <c r="R955" s="10">
        <f>IF(A955="D",LEFT(UPPER(B955)&amp;REPT(" ",20),20),REPT(" ",20))</f>
        <v/>
      </c>
      <c r="S955" s="10">
        <f>IF(A955="D",LEFT(UPPER(C955)&amp;REPT(" ",10),10)," ")</f>
        <v/>
      </c>
      <c r="T955" s="10">
        <f>IF(A955="D",LEFT(UPPER(D955)&amp;REPT(" ",2),2)," ")</f>
        <v/>
      </c>
      <c r="U955" s="10">
        <f>IF(A955="D",LEFT(UPPER(E955)&amp;REPT(" ",15),15)," ")</f>
        <v/>
      </c>
      <c r="V955" s="10">
        <f>REPT(" ",24)</f>
        <v/>
      </c>
      <c r="W955" s="10">
        <f>IF(A955="c",LEFT(UPPER(B955)&amp;REPT(" ",20),20),REPT(" ",20))</f>
        <v/>
      </c>
      <c r="X955" s="10">
        <f>IF(A955="C",LEFT(UPPER(C955)&amp;REPT(" ",10),10)," ")</f>
        <v/>
      </c>
      <c r="Y955" s="10">
        <f>IF(A955="C",LEFT(UPPER(D955)&amp;REPT(" ",2),2)," ")</f>
        <v/>
      </c>
      <c r="Z955" s="10">
        <f>IF(A955="C",LEFT(UPPER(E955)&amp;REPT(" ",15),15)," ")</f>
        <v/>
      </c>
      <c r="AA955" s="10">
        <f>REPT(" ",8)</f>
        <v/>
      </c>
      <c r="AB955" s="10">
        <f>REPT(" ",4)</f>
        <v/>
      </c>
      <c r="AC955" s="10">
        <f>LEFT(UPPER(H955)&amp;REPT(" ",250),250)</f>
        <v/>
      </c>
      <c r="AD955" s="10">
        <f>TEXT($G$2,"dd/mm/aaaa")</f>
        <v/>
      </c>
      <c r="AE955" s="10">
        <f>REPT(" ",10)</f>
        <v/>
      </c>
      <c r="AF955" s="10">
        <f>REPT(" ",20)</f>
        <v/>
      </c>
      <c r="AG955" s="54">
        <f>REPT(" ",18-LEN(FIXED(F955,2,TRUE)))&amp;FIXED(F955,2,TRUE)</f>
        <v/>
      </c>
      <c r="AH955" s="10">
        <f>LEN(AC955)+LEN(AG955)</f>
        <v/>
      </c>
      <c r="AI955" s="10">
        <f>LEN(L955)</f>
        <v/>
      </c>
    </row>
    <row r="956">
      <c r="J956" s="12">
        <f>IF(F956&lt;&gt;0,"LANÇAR","")</f>
        <v/>
      </c>
      <c r="L956" s="13">
        <f>N956&amp;O956&amp;P956&amp;Q956&amp;R956&amp;S956&amp;T956&amp;U956&amp;V956&amp;W956&amp;X956&amp;Y956&amp;Z956&amp;AA956&amp;AB956&amp;AC956&amp;AD956&amp;AE956&amp;AF956&amp;AG956</f>
        <v/>
      </c>
      <c r="N956" s="10">
        <f>TEXT($B$6,"00")</f>
        <v/>
      </c>
      <c r="O956" s="10">
        <f>REPT(" ",8)</f>
        <v/>
      </c>
      <c r="P956" s="10">
        <f>RIGHT($B$4,2)</f>
        <v/>
      </c>
      <c r="Q956" s="10">
        <f>RIGHT($B$5,3)</f>
        <v/>
      </c>
      <c r="R956" s="10">
        <f>IF(A956="D",LEFT(UPPER(B956)&amp;REPT(" ",20),20),REPT(" ",20))</f>
        <v/>
      </c>
      <c r="S956" s="10">
        <f>IF(A956="D",LEFT(UPPER(C956)&amp;REPT(" ",10),10)," ")</f>
        <v/>
      </c>
      <c r="T956" s="10">
        <f>IF(A956="D",LEFT(UPPER(D956)&amp;REPT(" ",2),2)," ")</f>
        <v/>
      </c>
      <c r="U956" s="10">
        <f>IF(A956="D",LEFT(UPPER(E956)&amp;REPT(" ",15),15)," ")</f>
        <v/>
      </c>
      <c r="V956" s="10">
        <f>REPT(" ",24)</f>
        <v/>
      </c>
      <c r="W956" s="10">
        <f>IF(A956="c",LEFT(UPPER(B956)&amp;REPT(" ",20),20),REPT(" ",20))</f>
        <v/>
      </c>
      <c r="X956" s="10">
        <f>IF(A956="C",LEFT(UPPER(C956)&amp;REPT(" ",10),10)," ")</f>
        <v/>
      </c>
      <c r="Y956" s="10">
        <f>IF(A956="C",LEFT(UPPER(D956)&amp;REPT(" ",2),2)," ")</f>
        <v/>
      </c>
      <c r="Z956" s="10">
        <f>IF(A956="C",LEFT(UPPER(E956)&amp;REPT(" ",15),15)," ")</f>
        <v/>
      </c>
      <c r="AA956" s="10">
        <f>REPT(" ",8)</f>
        <v/>
      </c>
      <c r="AB956" s="10">
        <f>REPT(" ",4)</f>
        <v/>
      </c>
      <c r="AC956" s="10">
        <f>LEFT(UPPER(H956)&amp;REPT(" ",250),250)</f>
        <v/>
      </c>
      <c r="AD956" s="10">
        <f>TEXT($G$2,"dd/mm/aaaa")</f>
        <v/>
      </c>
      <c r="AE956" s="10">
        <f>REPT(" ",10)</f>
        <v/>
      </c>
      <c r="AF956" s="10">
        <f>REPT(" ",20)</f>
        <v/>
      </c>
      <c r="AG956" s="54">
        <f>REPT(" ",18-LEN(FIXED(F956,2,TRUE)))&amp;FIXED(F956,2,TRUE)</f>
        <v/>
      </c>
      <c r="AH956" s="10">
        <f>LEN(AC956)+LEN(AG956)</f>
        <v/>
      </c>
      <c r="AI956" s="10">
        <f>LEN(L956)</f>
        <v/>
      </c>
    </row>
    <row r="957">
      <c r="J957" s="12">
        <f>IF(F957&lt;&gt;0,"LANÇAR","")</f>
        <v/>
      </c>
      <c r="L957" s="13">
        <f>N957&amp;O957&amp;P957&amp;Q957&amp;R957&amp;S957&amp;T957&amp;U957&amp;V957&amp;W957&amp;X957&amp;Y957&amp;Z957&amp;AA957&amp;AB957&amp;AC957&amp;AD957&amp;AE957&amp;AF957&amp;AG957</f>
        <v/>
      </c>
      <c r="N957" s="10">
        <f>TEXT($B$6,"00")</f>
        <v/>
      </c>
      <c r="O957" s="10">
        <f>REPT(" ",8)</f>
        <v/>
      </c>
      <c r="P957" s="10">
        <f>RIGHT($B$4,2)</f>
        <v/>
      </c>
      <c r="Q957" s="10">
        <f>RIGHT($B$5,3)</f>
        <v/>
      </c>
      <c r="R957" s="10">
        <f>IF(A957="D",LEFT(UPPER(B957)&amp;REPT(" ",20),20),REPT(" ",20))</f>
        <v/>
      </c>
      <c r="S957" s="10">
        <f>IF(A957="D",LEFT(UPPER(C957)&amp;REPT(" ",10),10)," ")</f>
        <v/>
      </c>
      <c r="T957" s="10">
        <f>IF(A957="D",LEFT(UPPER(D957)&amp;REPT(" ",2),2)," ")</f>
        <v/>
      </c>
      <c r="U957" s="10">
        <f>IF(A957="D",LEFT(UPPER(E957)&amp;REPT(" ",15),15)," ")</f>
        <v/>
      </c>
      <c r="V957" s="10">
        <f>REPT(" ",24)</f>
        <v/>
      </c>
      <c r="W957" s="10">
        <f>IF(A957="c",LEFT(UPPER(B957)&amp;REPT(" ",20),20),REPT(" ",20))</f>
        <v/>
      </c>
      <c r="X957" s="10">
        <f>IF(A957="C",LEFT(UPPER(C957)&amp;REPT(" ",10),10)," ")</f>
        <v/>
      </c>
      <c r="Y957" s="10">
        <f>IF(A957="C",LEFT(UPPER(D957)&amp;REPT(" ",2),2)," ")</f>
        <v/>
      </c>
      <c r="Z957" s="10">
        <f>IF(A957="C",LEFT(UPPER(E957)&amp;REPT(" ",15),15)," ")</f>
        <v/>
      </c>
      <c r="AA957" s="10">
        <f>REPT(" ",8)</f>
        <v/>
      </c>
      <c r="AB957" s="10">
        <f>REPT(" ",4)</f>
        <v/>
      </c>
      <c r="AC957" s="10">
        <f>LEFT(UPPER(H957)&amp;REPT(" ",250),250)</f>
        <v/>
      </c>
      <c r="AD957" s="10">
        <f>TEXT($G$2,"dd/mm/aaaa")</f>
        <v/>
      </c>
      <c r="AE957" s="10">
        <f>REPT(" ",10)</f>
        <v/>
      </c>
      <c r="AF957" s="10">
        <f>REPT(" ",20)</f>
        <v/>
      </c>
      <c r="AG957" s="54">
        <f>REPT(" ",18-LEN(FIXED(F957,2,TRUE)))&amp;FIXED(F957,2,TRUE)</f>
        <v/>
      </c>
      <c r="AH957" s="10">
        <f>LEN(AC957)+LEN(AG957)</f>
        <v/>
      </c>
      <c r="AI957" s="10">
        <f>LEN(L957)</f>
        <v/>
      </c>
    </row>
    <row r="958">
      <c r="J958" s="12">
        <f>IF(F958&lt;&gt;0,"LANÇAR","")</f>
        <v/>
      </c>
      <c r="L958" s="13">
        <f>N958&amp;O958&amp;P958&amp;Q958&amp;R958&amp;S958&amp;T958&amp;U958&amp;V958&amp;W958&amp;X958&amp;Y958&amp;Z958&amp;AA958&amp;AB958&amp;AC958&amp;AD958&amp;AE958&amp;AF958&amp;AG958</f>
        <v/>
      </c>
      <c r="N958" s="10">
        <f>TEXT($B$6,"00")</f>
        <v/>
      </c>
      <c r="O958" s="10">
        <f>REPT(" ",8)</f>
        <v/>
      </c>
      <c r="P958" s="10">
        <f>RIGHT($B$4,2)</f>
        <v/>
      </c>
      <c r="Q958" s="10">
        <f>RIGHT($B$5,3)</f>
        <v/>
      </c>
      <c r="R958" s="10">
        <f>IF(A958="D",LEFT(UPPER(B958)&amp;REPT(" ",20),20),REPT(" ",20))</f>
        <v/>
      </c>
      <c r="S958" s="10">
        <f>IF(A958="D",LEFT(UPPER(C958)&amp;REPT(" ",10),10)," ")</f>
        <v/>
      </c>
      <c r="T958" s="10">
        <f>IF(A958="D",LEFT(UPPER(D958)&amp;REPT(" ",2),2)," ")</f>
        <v/>
      </c>
      <c r="U958" s="10">
        <f>IF(A958="D",LEFT(UPPER(E958)&amp;REPT(" ",15),15)," ")</f>
        <v/>
      </c>
      <c r="V958" s="10">
        <f>REPT(" ",24)</f>
        <v/>
      </c>
      <c r="W958" s="10">
        <f>IF(A958="c",LEFT(UPPER(B958)&amp;REPT(" ",20),20),REPT(" ",20))</f>
        <v/>
      </c>
      <c r="X958" s="10">
        <f>IF(A958="C",LEFT(UPPER(C958)&amp;REPT(" ",10),10)," ")</f>
        <v/>
      </c>
      <c r="Y958" s="10">
        <f>IF(A958="C",LEFT(UPPER(D958)&amp;REPT(" ",2),2)," ")</f>
        <v/>
      </c>
      <c r="Z958" s="10">
        <f>IF(A958="C",LEFT(UPPER(E958)&amp;REPT(" ",15),15)," ")</f>
        <v/>
      </c>
      <c r="AA958" s="10">
        <f>REPT(" ",8)</f>
        <v/>
      </c>
      <c r="AB958" s="10">
        <f>REPT(" ",4)</f>
        <v/>
      </c>
      <c r="AC958" s="10">
        <f>LEFT(UPPER(H958)&amp;REPT(" ",250),250)</f>
        <v/>
      </c>
      <c r="AD958" s="10">
        <f>TEXT($G$2,"dd/mm/aaaa")</f>
        <v/>
      </c>
      <c r="AE958" s="10">
        <f>REPT(" ",10)</f>
        <v/>
      </c>
      <c r="AF958" s="10">
        <f>REPT(" ",20)</f>
        <v/>
      </c>
      <c r="AG958" s="54">
        <f>REPT(" ",18-LEN(FIXED(F958,2,TRUE)))&amp;FIXED(F958,2,TRUE)</f>
        <v/>
      </c>
      <c r="AH958" s="10">
        <f>LEN(AC958)+LEN(AG958)</f>
        <v/>
      </c>
      <c r="AI958" s="10">
        <f>LEN(L958)</f>
        <v/>
      </c>
    </row>
    <row r="959">
      <c r="J959" s="12">
        <f>IF(F959&lt;&gt;0,"LANÇAR","")</f>
        <v/>
      </c>
      <c r="L959" s="13">
        <f>N959&amp;O959&amp;P959&amp;Q959&amp;R959&amp;S959&amp;T959&amp;U959&amp;V959&amp;W959&amp;X959&amp;Y959&amp;Z959&amp;AA959&amp;AB959&amp;AC959&amp;AD959&amp;AE959&amp;AF959&amp;AG959</f>
        <v/>
      </c>
      <c r="N959" s="10">
        <f>TEXT($B$6,"00")</f>
        <v/>
      </c>
      <c r="O959" s="10">
        <f>REPT(" ",8)</f>
        <v/>
      </c>
      <c r="P959" s="10">
        <f>RIGHT($B$4,2)</f>
        <v/>
      </c>
      <c r="Q959" s="10">
        <f>RIGHT($B$5,3)</f>
        <v/>
      </c>
      <c r="R959" s="10">
        <f>IF(A959="D",LEFT(UPPER(B959)&amp;REPT(" ",20),20),REPT(" ",20))</f>
        <v/>
      </c>
      <c r="S959" s="10">
        <f>IF(A959="D",LEFT(UPPER(C959)&amp;REPT(" ",10),10)," ")</f>
        <v/>
      </c>
      <c r="T959" s="10">
        <f>IF(A959="D",LEFT(UPPER(D959)&amp;REPT(" ",2),2)," ")</f>
        <v/>
      </c>
      <c r="U959" s="10">
        <f>IF(A959="D",LEFT(UPPER(E959)&amp;REPT(" ",15),15)," ")</f>
        <v/>
      </c>
      <c r="V959" s="10">
        <f>REPT(" ",24)</f>
        <v/>
      </c>
      <c r="W959" s="10">
        <f>IF(A959="c",LEFT(UPPER(B959)&amp;REPT(" ",20),20),REPT(" ",20))</f>
        <v/>
      </c>
      <c r="X959" s="10">
        <f>IF(A959="C",LEFT(UPPER(C959)&amp;REPT(" ",10),10)," ")</f>
        <v/>
      </c>
      <c r="Y959" s="10">
        <f>IF(A959="C",LEFT(UPPER(D959)&amp;REPT(" ",2),2)," ")</f>
        <v/>
      </c>
      <c r="Z959" s="10">
        <f>IF(A959="C",LEFT(UPPER(E959)&amp;REPT(" ",15),15)," ")</f>
        <v/>
      </c>
      <c r="AA959" s="10">
        <f>REPT(" ",8)</f>
        <v/>
      </c>
      <c r="AB959" s="10">
        <f>REPT(" ",4)</f>
        <v/>
      </c>
      <c r="AC959" s="10">
        <f>LEFT(UPPER(H959)&amp;REPT(" ",250),250)</f>
        <v/>
      </c>
      <c r="AD959" s="10">
        <f>TEXT($G$2,"dd/mm/aaaa")</f>
        <v/>
      </c>
      <c r="AE959" s="10">
        <f>REPT(" ",10)</f>
        <v/>
      </c>
      <c r="AF959" s="10">
        <f>REPT(" ",20)</f>
        <v/>
      </c>
      <c r="AG959" s="54">
        <f>REPT(" ",18-LEN(FIXED(F959,2,TRUE)))&amp;FIXED(F959,2,TRUE)</f>
        <v/>
      </c>
      <c r="AH959" s="10">
        <f>LEN(AC959)+LEN(AG959)</f>
        <v/>
      </c>
      <c r="AI959" s="10">
        <f>LEN(L959)</f>
        <v/>
      </c>
    </row>
    <row r="960">
      <c r="J960" s="12">
        <f>IF(F960&lt;&gt;0,"LANÇAR","")</f>
        <v/>
      </c>
      <c r="L960" s="13">
        <f>N960&amp;O960&amp;P960&amp;Q960&amp;R960&amp;S960&amp;T960&amp;U960&amp;V960&amp;W960&amp;X960&amp;Y960&amp;Z960&amp;AA960&amp;AB960&amp;AC960&amp;AD960&amp;AE960&amp;AF960&amp;AG960</f>
        <v/>
      </c>
      <c r="N960" s="10">
        <f>TEXT($B$6,"00")</f>
        <v/>
      </c>
      <c r="O960" s="10">
        <f>REPT(" ",8)</f>
        <v/>
      </c>
      <c r="P960" s="10">
        <f>RIGHT($B$4,2)</f>
        <v/>
      </c>
      <c r="Q960" s="10">
        <f>RIGHT($B$5,3)</f>
        <v/>
      </c>
      <c r="R960" s="10">
        <f>IF(A960="D",LEFT(UPPER(B960)&amp;REPT(" ",20),20),REPT(" ",20))</f>
        <v/>
      </c>
      <c r="S960" s="10">
        <f>IF(A960="D",LEFT(UPPER(C960)&amp;REPT(" ",10),10)," ")</f>
        <v/>
      </c>
      <c r="T960" s="10">
        <f>IF(A960="D",LEFT(UPPER(D960)&amp;REPT(" ",2),2)," ")</f>
        <v/>
      </c>
      <c r="U960" s="10">
        <f>IF(A960="D",LEFT(UPPER(E960)&amp;REPT(" ",15),15)," ")</f>
        <v/>
      </c>
      <c r="V960" s="10">
        <f>REPT(" ",24)</f>
        <v/>
      </c>
      <c r="W960" s="10">
        <f>IF(A960="c",LEFT(UPPER(B960)&amp;REPT(" ",20),20),REPT(" ",20))</f>
        <v/>
      </c>
      <c r="X960" s="10">
        <f>IF(A960="C",LEFT(UPPER(C960)&amp;REPT(" ",10),10)," ")</f>
        <v/>
      </c>
      <c r="Y960" s="10">
        <f>IF(A960="C",LEFT(UPPER(D960)&amp;REPT(" ",2),2)," ")</f>
        <v/>
      </c>
      <c r="Z960" s="10">
        <f>IF(A960="C",LEFT(UPPER(E960)&amp;REPT(" ",15),15)," ")</f>
        <v/>
      </c>
      <c r="AA960" s="10">
        <f>REPT(" ",8)</f>
        <v/>
      </c>
      <c r="AB960" s="10">
        <f>REPT(" ",4)</f>
        <v/>
      </c>
      <c r="AC960" s="10">
        <f>LEFT(UPPER(H960)&amp;REPT(" ",250),250)</f>
        <v/>
      </c>
      <c r="AD960" s="10">
        <f>TEXT($G$2,"dd/mm/aaaa")</f>
        <v/>
      </c>
      <c r="AE960" s="10">
        <f>REPT(" ",10)</f>
        <v/>
      </c>
      <c r="AF960" s="10">
        <f>REPT(" ",20)</f>
        <v/>
      </c>
      <c r="AG960" s="54">
        <f>REPT(" ",18-LEN(FIXED(F960,2,TRUE)))&amp;FIXED(F960,2,TRUE)</f>
        <v/>
      </c>
      <c r="AH960" s="10">
        <f>LEN(AC960)+LEN(AG960)</f>
        <v/>
      </c>
      <c r="AI960" s="10">
        <f>LEN(L960)</f>
        <v/>
      </c>
    </row>
    <row r="961">
      <c r="J961" s="12">
        <f>IF(F961&lt;&gt;0,"LANÇAR","")</f>
        <v/>
      </c>
      <c r="L961" s="13">
        <f>N961&amp;O961&amp;P961&amp;Q961&amp;R961&amp;S961&amp;T961&amp;U961&amp;V961&amp;W961&amp;X961&amp;Y961&amp;Z961&amp;AA961&amp;AB961&amp;AC961&amp;AD961&amp;AE961&amp;AF961&amp;AG961</f>
        <v/>
      </c>
      <c r="N961" s="10">
        <f>TEXT($B$6,"00")</f>
        <v/>
      </c>
      <c r="O961" s="10">
        <f>REPT(" ",8)</f>
        <v/>
      </c>
      <c r="P961" s="10">
        <f>RIGHT($B$4,2)</f>
        <v/>
      </c>
      <c r="Q961" s="10">
        <f>RIGHT($B$5,3)</f>
        <v/>
      </c>
      <c r="R961" s="10">
        <f>IF(A961="D",LEFT(UPPER(B961)&amp;REPT(" ",20),20),REPT(" ",20))</f>
        <v/>
      </c>
      <c r="S961" s="10">
        <f>IF(A961="D",LEFT(UPPER(C961)&amp;REPT(" ",10),10)," ")</f>
        <v/>
      </c>
      <c r="T961" s="10">
        <f>IF(A961="D",LEFT(UPPER(D961)&amp;REPT(" ",2),2)," ")</f>
        <v/>
      </c>
      <c r="U961" s="10">
        <f>IF(A961="D",LEFT(UPPER(E961)&amp;REPT(" ",15),15)," ")</f>
        <v/>
      </c>
      <c r="V961" s="10">
        <f>REPT(" ",24)</f>
        <v/>
      </c>
      <c r="W961" s="10">
        <f>IF(A961="c",LEFT(UPPER(B961)&amp;REPT(" ",20),20),REPT(" ",20))</f>
        <v/>
      </c>
      <c r="X961" s="10">
        <f>IF(A961="C",LEFT(UPPER(C961)&amp;REPT(" ",10),10)," ")</f>
        <v/>
      </c>
      <c r="Y961" s="10">
        <f>IF(A961="C",LEFT(UPPER(D961)&amp;REPT(" ",2),2)," ")</f>
        <v/>
      </c>
      <c r="Z961" s="10">
        <f>IF(A961="C",LEFT(UPPER(E961)&amp;REPT(" ",15),15)," ")</f>
        <v/>
      </c>
      <c r="AA961" s="10">
        <f>REPT(" ",8)</f>
        <v/>
      </c>
      <c r="AB961" s="10">
        <f>REPT(" ",4)</f>
        <v/>
      </c>
      <c r="AC961" s="10">
        <f>LEFT(UPPER(H961)&amp;REPT(" ",250),250)</f>
        <v/>
      </c>
      <c r="AD961" s="10">
        <f>TEXT($G$2,"dd/mm/aaaa")</f>
        <v/>
      </c>
      <c r="AE961" s="10">
        <f>REPT(" ",10)</f>
        <v/>
      </c>
      <c r="AF961" s="10">
        <f>REPT(" ",20)</f>
        <v/>
      </c>
      <c r="AG961" s="54">
        <f>REPT(" ",18-LEN(FIXED(F961,2,TRUE)))&amp;FIXED(F961,2,TRUE)</f>
        <v/>
      </c>
      <c r="AH961" s="10">
        <f>LEN(AC961)+LEN(AG961)</f>
        <v/>
      </c>
      <c r="AI961" s="10">
        <f>LEN(L961)</f>
        <v/>
      </c>
    </row>
    <row r="962">
      <c r="J962" s="12">
        <f>IF(F962&lt;&gt;0,"LANÇAR","")</f>
        <v/>
      </c>
      <c r="L962" s="13">
        <f>N962&amp;O962&amp;P962&amp;Q962&amp;R962&amp;S962&amp;T962&amp;U962&amp;V962&amp;W962&amp;X962&amp;Y962&amp;Z962&amp;AA962&amp;AB962&amp;AC962&amp;AD962&amp;AE962&amp;AF962&amp;AG962</f>
        <v/>
      </c>
      <c r="N962" s="10">
        <f>TEXT($B$6,"00")</f>
        <v/>
      </c>
      <c r="O962" s="10">
        <f>REPT(" ",8)</f>
        <v/>
      </c>
      <c r="P962" s="10">
        <f>RIGHT($B$4,2)</f>
        <v/>
      </c>
      <c r="Q962" s="10">
        <f>RIGHT($B$5,3)</f>
        <v/>
      </c>
      <c r="R962" s="10">
        <f>IF(A962="D",LEFT(UPPER(B962)&amp;REPT(" ",20),20),REPT(" ",20))</f>
        <v/>
      </c>
      <c r="S962" s="10">
        <f>IF(A962="D",LEFT(UPPER(C962)&amp;REPT(" ",10),10)," ")</f>
        <v/>
      </c>
      <c r="T962" s="10">
        <f>IF(A962="D",LEFT(UPPER(D962)&amp;REPT(" ",2),2)," ")</f>
        <v/>
      </c>
      <c r="U962" s="10">
        <f>IF(A962="D",LEFT(UPPER(E962)&amp;REPT(" ",15),15)," ")</f>
        <v/>
      </c>
      <c r="V962" s="10">
        <f>REPT(" ",24)</f>
        <v/>
      </c>
      <c r="W962" s="10">
        <f>IF(A962="c",LEFT(UPPER(B962)&amp;REPT(" ",20),20),REPT(" ",20))</f>
        <v/>
      </c>
      <c r="X962" s="10">
        <f>IF(A962="C",LEFT(UPPER(C962)&amp;REPT(" ",10),10)," ")</f>
        <v/>
      </c>
      <c r="Y962" s="10">
        <f>IF(A962="C",LEFT(UPPER(D962)&amp;REPT(" ",2),2)," ")</f>
        <v/>
      </c>
      <c r="Z962" s="10">
        <f>IF(A962="C",LEFT(UPPER(E962)&amp;REPT(" ",15),15)," ")</f>
        <v/>
      </c>
      <c r="AA962" s="10">
        <f>REPT(" ",8)</f>
        <v/>
      </c>
      <c r="AB962" s="10">
        <f>REPT(" ",4)</f>
        <v/>
      </c>
      <c r="AC962" s="10">
        <f>LEFT(UPPER(H962)&amp;REPT(" ",250),250)</f>
        <v/>
      </c>
      <c r="AD962" s="10">
        <f>TEXT($G$2,"dd/mm/aaaa")</f>
        <v/>
      </c>
      <c r="AE962" s="10">
        <f>REPT(" ",10)</f>
        <v/>
      </c>
      <c r="AF962" s="10">
        <f>REPT(" ",20)</f>
        <v/>
      </c>
      <c r="AG962" s="54">
        <f>REPT(" ",18-LEN(FIXED(F962,2,TRUE)))&amp;FIXED(F962,2,TRUE)</f>
        <v/>
      </c>
      <c r="AH962" s="10">
        <f>LEN(AC962)+LEN(AG962)</f>
        <v/>
      </c>
      <c r="AI962" s="10">
        <f>LEN(L962)</f>
        <v/>
      </c>
    </row>
    <row r="963">
      <c r="J963" s="12">
        <f>IF(F963&lt;&gt;0,"LANÇAR","")</f>
        <v/>
      </c>
      <c r="L963" s="13">
        <f>N963&amp;O963&amp;P963&amp;Q963&amp;R963&amp;S963&amp;T963&amp;U963&amp;V963&amp;W963&amp;X963&amp;Y963&amp;Z963&amp;AA963&amp;AB963&amp;AC963&amp;AD963&amp;AE963&amp;AF963&amp;AG963</f>
        <v/>
      </c>
      <c r="N963" s="10">
        <f>TEXT($B$6,"00")</f>
        <v/>
      </c>
      <c r="O963" s="10">
        <f>REPT(" ",8)</f>
        <v/>
      </c>
      <c r="P963" s="10">
        <f>RIGHT($B$4,2)</f>
        <v/>
      </c>
      <c r="Q963" s="10">
        <f>RIGHT($B$5,3)</f>
        <v/>
      </c>
      <c r="R963" s="10">
        <f>IF(A963="D",LEFT(UPPER(B963)&amp;REPT(" ",20),20),REPT(" ",20))</f>
        <v/>
      </c>
      <c r="S963" s="10">
        <f>IF(A963="D",LEFT(UPPER(C963)&amp;REPT(" ",10),10)," ")</f>
        <v/>
      </c>
      <c r="T963" s="10">
        <f>IF(A963="D",LEFT(UPPER(D963)&amp;REPT(" ",2),2)," ")</f>
        <v/>
      </c>
      <c r="U963" s="10">
        <f>IF(A963="D",LEFT(UPPER(E963)&amp;REPT(" ",15),15)," ")</f>
        <v/>
      </c>
      <c r="V963" s="10">
        <f>REPT(" ",24)</f>
        <v/>
      </c>
      <c r="W963" s="10">
        <f>IF(A963="c",LEFT(UPPER(B963)&amp;REPT(" ",20),20),REPT(" ",20))</f>
        <v/>
      </c>
      <c r="X963" s="10">
        <f>IF(A963="C",LEFT(UPPER(C963)&amp;REPT(" ",10),10)," ")</f>
        <v/>
      </c>
      <c r="Y963" s="10">
        <f>IF(A963="C",LEFT(UPPER(D963)&amp;REPT(" ",2),2)," ")</f>
        <v/>
      </c>
      <c r="Z963" s="10">
        <f>IF(A963="C",LEFT(UPPER(E963)&amp;REPT(" ",15),15)," ")</f>
        <v/>
      </c>
      <c r="AA963" s="10">
        <f>REPT(" ",8)</f>
        <v/>
      </c>
      <c r="AB963" s="10">
        <f>REPT(" ",4)</f>
        <v/>
      </c>
      <c r="AC963" s="10">
        <f>LEFT(UPPER(H963)&amp;REPT(" ",250),250)</f>
        <v/>
      </c>
      <c r="AD963" s="10">
        <f>TEXT($G$2,"dd/mm/aaaa")</f>
        <v/>
      </c>
      <c r="AE963" s="10">
        <f>REPT(" ",10)</f>
        <v/>
      </c>
      <c r="AF963" s="10">
        <f>REPT(" ",20)</f>
        <v/>
      </c>
      <c r="AG963" s="54">
        <f>REPT(" ",18-LEN(FIXED(F963,2,TRUE)))&amp;FIXED(F963,2,TRUE)</f>
        <v/>
      </c>
      <c r="AH963" s="10">
        <f>LEN(AC963)+LEN(AG963)</f>
        <v/>
      </c>
      <c r="AI963" s="10">
        <f>LEN(L963)</f>
        <v/>
      </c>
    </row>
    <row r="964">
      <c r="J964" s="12">
        <f>IF(F964&lt;&gt;0,"LANÇAR","")</f>
        <v/>
      </c>
      <c r="L964" s="13">
        <f>N964&amp;O964&amp;P964&amp;Q964&amp;R964&amp;S964&amp;T964&amp;U964&amp;V964&amp;W964&amp;X964&amp;Y964&amp;Z964&amp;AA964&amp;AB964&amp;AC964&amp;AD964&amp;AE964&amp;AF964&amp;AG964</f>
        <v/>
      </c>
      <c r="N964" s="10">
        <f>TEXT($B$6,"00")</f>
        <v/>
      </c>
      <c r="O964" s="10">
        <f>REPT(" ",8)</f>
        <v/>
      </c>
      <c r="P964" s="10">
        <f>RIGHT($B$4,2)</f>
        <v/>
      </c>
      <c r="Q964" s="10">
        <f>RIGHT($B$5,3)</f>
        <v/>
      </c>
      <c r="R964" s="10">
        <f>IF(A964="D",LEFT(UPPER(B964)&amp;REPT(" ",20),20),REPT(" ",20))</f>
        <v/>
      </c>
      <c r="S964" s="10">
        <f>IF(A964="D",LEFT(UPPER(C964)&amp;REPT(" ",10),10)," ")</f>
        <v/>
      </c>
      <c r="T964" s="10">
        <f>IF(A964="D",LEFT(UPPER(D964)&amp;REPT(" ",2),2)," ")</f>
        <v/>
      </c>
      <c r="U964" s="10">
        <f>IF(A964="D",LEFT(UPPER(E964)&amp;REPT(" ",15),15)," ")</f>
        <v/>
      </c>
      <c r="V964" s="10">
        <f>REPT(" ",24)</f>
        <v/>
      </c>
      <c r="W964" s="10">
        <f>IF(A964="c",LEFT(UPPER(B964)&amp;REPT(" ",20),20),REPT(" ",20))</f>
        <v/>
      </c>
      <c r="X964" s="10">
        <f>IF(A964="C",LEFT(UPPER(C964)&amp;REPT(" ",10),10)," ")</f>
        <v/>
      </c>
      <c r="Y964" s="10">
        <f>IF(A964="C",LEFT(UPPER(D964)&amp;REPT(" ",2),2)," ")</f>
        <v/>
      </c>
      <c r="Z964" s="10">
        <f>IF(A964="C",LEFT(UPPER(E964)&amp;REPT(" ",15),15)," ")</f>
        <v/>
      </c>
      <c r="AA964" s="10">
        <f>REPT(" ",8)</f>
        <v/>
      </c>
      <c r="AB964" s="10">
        <f>REPT(" ",4)</f>
        <v/>
      </c>
      <c r="AC964" s="10">
        <f>LEFT(UPPER(H964)&amp;REPT(" ",250),250)</f>
        <v/>
      </c>
      <c r="AD964" s="10">
        <f>TEXT($G$2,"dd/mm/aaaa")</f>
        <v/>
      </c>
      <c r="AE964" s="10">
        <f>REPT(" ",10)</f>
        <v/>
      </c>
      <c r="AF964" s="10">
        <f>REPT(" ",20)</f>
        <v/>
      </c>
      <c r="AG964" s="54">
        <f>REPT(" ",18-LEN(FIXED(F964,2,TRUE)))&amp;FIXED(F964,2,TRUE)</f>
        <v/>
      </c>
      <c r="AH964" s="10">
        <f>LEN(AC964)+LEN(AG964)</f>
        <v/>
      </c>
      <c r="AI964" s="10">
        <f>LEN(L964)</f>
        <v/>
      </c>
    </row>
    <row r="965">
      <c r="J965" s="12">
        <f>IF(F965&lt;&gt;0,"LANÇAR","")</f>
        <v/>
      </c>
      <c r="L965" s="13">
        <f>N965&amp;O965&amp;P965&amp;Q965&amp;R965&amp;S965&amp;T965&amp;U965&amp;V965&amp;W965&amp;X965&amp;Y965&amp;Z965&amp;AA965&amp;AB965&amp;AC965&amp;AD965&amp;AE965&amp;AF965&amp;AG965</f>
        <v/>
      </c>
      <c r="N965" s="10">
        <f>TEXT($B$6,"00")</f>
        <v/>
      </c>
      <c r="O965" s="10">
        <f>REPT(" ",8)</f>
        <v/>
      </c>
      <c r="P965" s="10">
        <f>RIGHT($B$4,2)</f>
        <v/>
      </c>
      <c r="Q965" s="10">
        <f>RIGHT($B$5,3)</f>
        <v/>
      </c>
      <c r="R965" s="10">
        <f>IF(A965="D",LEFT(UPPER(B965)&amp;REPT(" ",20),20),REPT(" ",20))</f>
        <v/>
      </c>
      <c r="S965" s="10">
        <f>IF(A965="D",LEFT(UPPER(C965)&amp;REPT(" ",10),10)," ")</f>
        <v/>
      </c>
      <c r="T965" s="10">
        <f>IF(A965="D",LEFT(UPPER(D965)&amp;REPT(" ",2),2)," ")</f>
        <v/>
      </c>
      <c r="U965" s="10">
        <f>IF(A965="D",LEFT(UPPER(E965)&amp;REPT(" ",15),15)," ")</f>
        <v/>
      </c>
      <c r="V965" s="10">
        <f>REPT(" ",24)</f>
        <v/>
      </c>
      <c r="W965" s="10">
        <f>IF(A965="c",LEFT(UPPER(B965)&amp;REPT(" ",20),20),REPT(" ",20))</f>
        <v/>
      </c>
      <c r="X965" s="10">
        <f>IF(A965="C",LEFT(UPPER(C965)&amp;REPT(" ",10),10)," ")</f>
        <v/>
      </c>
      <c r="Y965" s="10">
        <f>IF(A965="C",LEFT(UPPER(D965)&amp;REPT(" ",2),2)," ")</f>
        <v/>
      </c>
      <c r="Z965" s="10">
        <f>IF(A965="C",LEFT(UPPER(E965)&amp;REPT(" ",15),15)," ")</f>
        <v/>
      </c>
      <c r="AA965" s="10">
        <f>REPT(" ",8)</f>
        <v/>
      </c>
      <c r="AB965" s="10">
        <f>REPT(" ",4)</f>
        <v/>
      </c>
      <c r="AC965" s="10">
        <f>LEFT(UPPER(H965)&amp;REPT(" ",250),250)</f>
        <v/>
      </c>
      <c r="AD965" s="10">
        <f>TEXT($G$2,"dd/mm/aaaa")</f>
        <v/>
      </c>
      <c r="AE965" s="10">
        <f>REPT(" ",10)</f>
        <v/>
      </c>
      <c r="AF965" s="10">
        <f>REPT(" ",20)</f>
        <v/>
      </c>
      <c r="AG965" s="54">
        <f>REPT(" ",18-LEN(FIXED(F965,2,TRUE)))&amp;FIXED(F965,2,TRUE)</f>
        <v/>
      </c>
      <c r="AH965" s="10">
        <f>LEN(AC965)+LEN(AG965)</f>
        <v/>
      </c>
      <c r="AI965" s="10">
        <f>LEN(L965)</f>
        <v/>
      </c>
    </row>
    <row r="966">
      <c r="J966" s="12">
        <f>IF(F966&lt;&gt;0,"LANÇAR","")</f>
        <v/>
      </c>
      <c r="L966" s="13">
        <f>N966&amp;O966&amp;P966&amp;Q966&amp;R966&amp;S966&amp;T966&amp;U966&amp;V966&amp;W966&amp;X966&amp;Y966&amp;Z966&amp;AA966&amp;AB966&amp;AC966&amp;AD966&amp;AE966&amp;AF966&amp;AG966</f>
        <v/>
      </c>
      <c r="N966" s="10">
        <f>TEXT($B$6,"00")</f>
        <v/>
      </c>
      <c r="O966" s="10">
        <f>REPT(" ",8)</f>
        <v/>
      </c>
      <c r="P966" s="10">
        <f>RIGHT($B$4,2)</f>
        <v/>
      </c>
      <c r="Q966" s="10">
        <f>RIGHT($B$5,3)</f>
        <v/>
      </c>
      <c r="R966" s="10">
        <f>IF(A966="D",LEFT(UPPER(B966)&amp;REPT(" ",20),20),REPT(" ",20))</f>
        <v/>
      </c>
      <c r="S966" s="10">
        <f>IF(A966="D",LEFT(UPPER(C966)&amp;REPT(" ",10),10)," ")</f>
        <v/>
      </c>
      <c r="T966" s="10">
        <f>IF(A966="D",LEFT(UPPER(D966)&amp;REPT(" ",2),2)," ")</f>
        <v/>
      </c>
      <c r="U966" s="10">
        <f>IF(A966="D",LEFT(UPPER(E966)&amp;REPT(" ",15),15)," ")</f>
        <v/>
      </c>
      <c r="V966" s="10">
        <f>REPT(" ",24)</f>
        <v/>
      </c>
      <c r="W966" s="10">
        <f>IF(A966="c",LEFT(UPPER(B966)&amp;REPT(" ",20),20),REPT(" ",20))</f>
        <v/>
      </c>
      <c r="X966" s="10">
        <f>IF(A966="C",LEFT(UPPER(C966)&amp;REPT(" ",10),10)," ")</f>
        <v/>
      </c>
      <c r="Y966" s="10">
        <f>IF(A966="C",LEFT(UPPER(D966)&amp;REPT(" ",2),2)," ")</f>
        <v/>
      </c>
      <c r="Z966" s="10">
        <f>IF(A966="C",LEFT(UPPER(E966)&amp;REPT(" ",15),15)," ")</f>
        <v/>
      </c>
      <c r="AA966" s="10">
        <f>REPT(" ",8)</f>
        <v/>
      </c>
      <c r="AB966" s="10">
        <f>REPT(" ",4)</f>
        <v/>
      </c>
      <c r="AC966" s="10">
        <f>LEFT(UPPER(H966)&amp;REPT(" ",250),250)</f>
        <v/>
      </c>
      <c r="AD966" s="10">
        <f>TEXT($G$2,"dd/mm/aaaa")</f>
        <v/>
      </c>
      <c r="AE966" s="10">
        <f>REPT(" ",10)</f>
        <v/>
      </c>
      <c r="AF966" s="10">
        <f>REPT(" ",20)</f>
        <v/>
      </c>
      <c r="AG966" s="54">
        <f>REPT(" ",18-LEN(FIXED(F966,2,TRUE)))&amp;FIXED(F966,2,TRUE)</f>
        <v/>
      </c>
      <c r="AH966" s="10">
        <f>LEN(AC966)+LEN(AG966)</f>
        <v/>
      </c>
      <c r="AI966" s="10">
        <f>LEN(L966)</f>
        <v/>
      </c>
    </row>
    <row r="967">
      <c r="J967" s="12">
        <f>IF(F967&lt;&gt;0,"LANÇAR","")</f>
        <v/>
      </c>
      <c r="L967" s="13">
        <f>N967&amp;O967&amp;P967&amp;Q967&amp;R967&amp;S967&amp;T967&amp;U967&amp;V967&amp;W967&amp;X967&amp;Y967&amp;Z967&amp;AA967&amp;AB967&amp;AC967&amp;AD967&amp;AE967&amp;AF967&amp;AG967</f>
        <v/>
      </c>
      <c r="N967" s="10">
        <f>TEXT($B$6,"00")</f>
        <v/>
      </c>
      <c r="O967" s="10">
        <f>REPT(" ",8)</f>
        <v/>
      </c>
      <c r="P967" s="10">
        <f>RIGHT($B$4,2)</f>
        <v/>
      </c>
      <c r="Q967" s="10">
        <f>RIGHT($B$5,3)</f>
        <v/>
      </c>
      <c r="R967" s="10">
        <f>IF(A967="D",LEFT(UPPER(B967)&amp;REPT(" ",20),20),REPT(" ",20))</f>
        <v/>
      </c>
      <c r="S967" s="10">
        <f>IF(A967="D",LEFT(UPPER(C967)&amp;REPT(" ",10),10)," ")</f>
        <v/>
      </c>
      <c r="T967" s="10">
        <f>IF(A967="D",LEFT(UPPER(D967)&amp;REPT(" ",2),2)," ")</f>
        <v/>
      </c>
      <c r="U967" s="10">
        <f>IF(A967="D",LEFT(UPPER(E967)&amp;REPT(" ",15),15)," ")</f>
        <v/>
      </c>
      <c r="V967" s="10">
        <f>REPT(" ",24)</f>
        <v/>
      </c>
      <c r="W967" s="10">
        <f>IF(A967="c",LEFT(UPPER(B967)&amp;REPT(" ",20),20),REPT(" ",20))</f>
        <v/>
      </c>
      <c r="X967" s="10">
        <f>IF(A967="C",LEFT(UPPER(C967)&amp;REPT(" ",10),10)," ")</f>
        <v/>
      </c>
      <c r="Y967" s="10">
        <f>IF(A967="C",LEFT(UPPER(D967)&amp;REPT(" ",2),2)," ")</f>
        <v/>
      </c>
      <c r="Z967" s="10">
        <f>IF(A967="C",LEFT(UPPER(E967)&amp;REPT(" ",15),15)," ")</f>
        <v/>
      </c>
      <c r="AA967" s="10">
        <f>REPT(" ",8)</f>
        <v/>
      </c>
      <c r="AB967" s="10">
        <f>REPT(" ",4)</f>
        <v/>
      </c>
      <c r="AC967" s="10">
        <f>LEFT(UPPER(H967)&amp;REPT(" ",250),250)</f>
        <v/>
      </c>
      <c r="AD967" s="10">
        <f>TEXT($G$2,"dd/mm/aaaa")</f>
        <v/>
      </c>
      <c r="AE967" s="10">
        <f>REPT(" ",10)</f>
        <v/>
      </c>
      <c r="AF967" s="10">
        <f>REPT(" ",20)</f>
        <v/>
      </c>
      <c r="AG967" s="54">
        <f>REPT(" ",18-LEN(FIXED(F967,2,TRUE)))&amp;FIXED(F967,2,TRUE)</f>
        <v/>
      </c>
      <c r="AH967" s="10">
        <f>LEN(AC967)+LEN(AG967)</f>
        <v/>
      </c>
      <c r="AI967" s="10">
        <f>LEN(L967)</f>
        <v/>
      </c>
    </row>
    <row r="968">
      <c r="J968" s="12">
        <f>IF(F968&lt;&gt;0,"LANÇAR","")</f>
        <v/>
      </c>
      <c r="L968" s="13">
        <f>N968&amp;O968&amp;P968&amp;Q968&amp;R968&amp;S968&amp;T968&amp;U968&amp;V968&amp;W968&amp;X968&amp;Y968&amp;Z968&amp;AA968&amp;AB968&amp;AC968&amp;AD968&amp;AE968&amp;AF968&amp;AG968</f>
        <v/>
      </c>
      <c r="N968" s="10">
        <f>TEXT($B$6,"00")</f>
        <v/>
      </c>
      <c r="O968" s="10">
        <f>REPT(" ",8)</f>
        <v/>
      </c>
      <c r="P968" s="10">
        <f>RIGHT($B$4,2)</f>
        <v/>
      </c>
      <c r="Q968" s="10">
        <f>RIGHT($B$5,3)</f>
        <v/>
      </c>
      <c r="R968" s="10">
        <f>IF(A968="D",LEFT(UPPER(B968)&amp;REPT(" ",20),20),REPT(" ",20))</f>
        <v/>
      </c>
      <c r="S968" s="10">
        <f>IF(A968="D",LEFT(UPPER(C968)&amp;REPT(" ",10),10)," ")</f>
        <v/>
      </c>
      <c r="T968" s="10">
        <f>IF(A968="D",LEFT(UPPER(D968)&amp;REPT(" ",2),2)," ")</f>
        <v/>
      </c>
      <c r="U968" s="10">
        <f>IF(A968="D",LEFT(UPPER(E968)&amp;REPT(" ",15),15)," ")</f>
        <v/>
      </c>
      <c r="V968" s="10">
        <f>REPT(" ",24)</f>
        <v/>
      </c>
      <c r="W968" s="10">
        <f>IF(A968="c",LEFT(UPPER(B968)&amp;REPT(" ",20),20),REPT(" ",20))</f>
        <v/>
      </c>
      <c r="X968" s="10">
        <f>IF(A968="C",LEFT(UPPER(C968)&amp;REPT(" ",10),10)," ")</f>
        <v/>
      </c>
      <c r="Y968" s="10">
        <f>IF(A968="C",LEFT(UPPER(D968)&amp;REPT(" ",2),2)," ")</f>
        <v/>
      </c>
      <c r="Z968" s="10">
        <f>IF(A968="C",LEFT(UPPER(E968)&amp;REPT(" ",15),15)," ")</f>
        <v/>
      </c>
      <c r="AA968" s="10">
        <f>REPT(" ",8)</f>
        <v/>
      </c>
      <c r="AB968" s="10">
        <f>REPT(" ",4)</f>
        <v/>
      </c>
      <c r="AC968" s="10">
        <f>LEFT(UPPER(H968)&amp;REPT(" ",250),250)</f>
        <v/>
      </c>
      <c r="AD968" s="10">
        <f>TEXT($G$2,"dd/mm/aaaa")</f>
        <v/>
      </c>
      <c r="AE968" s="10">
        <f>REPT(" ",10)</f>
        <v/>
      </c>
      <c r="AF968" s="10">
        <f>REPT(" ",20)</f>
        <v/>
      </c>
      <c r="AG968" s="54">
        <f>REPT(" ",18-LEN(FIXED(F968,2,TRUE)))&amp;FIXED(F968,2,TRUE)</f>
        <v/>
      </c>
      <c r="AH968" s="10">
        <f>LEN(AC968)+LEN(AG968)</f>
        <v/>
      </c>
      <c r="AI968" s="10">
        <f>LEN(L968)</f>
        <v/>
      </c>
    </row>
    <row r="969">
      <c r="J969" s="12">
        <f>IF(F969&lt;&gt;0,"LANÇAR","")</f>
        <v/>
      </c>
      <c r="L969" s="13">
        <f>N969&amp;O969&amp;P969&amp;Q969&amp;R969&amp;S969&amp;T969&amp;U969&amp;V969&amp;W969&amp;X969&amp;Y969&amp;Z969&amp;AA969&amp;AB969&amp;AC969&amp;AD969&amp;AE969&amp;AF969&amp;AG969</f>
        <v/>
      </c>
      <c r="N969" s="10">
        <f>TEXT($B$6,"00")</f>
        <v/>
      </c>
      <c r="O969" s="10">
        <f>REPT(" ",8)</f>
        <v/>
      </c>
      <c r="P969" s="10">
        <f>RIGHT($B$4,2)</f>
        <v/>
      </c>
      <c r="Q969" s="10">
        <f>RIGHT($B$5,3)</f>
        <v/>
      </c>
      <c r="R969" s="10">
        <f>IF(A969="D",LEFT(UPPER(B969)&amp;REPT(" ",20),20),REPT(" ",20))</f>
        <v/>
      </c>
      <c r="S969" s="10">
        <f>IF(A969="D",LEFT(UPPER(C969)&amp;REPT(" ",10),10)," ")</f>
        <v/>
      </c>
      <c r="T969" s="10">
        <f>IF(A969="D",LEFT(UPPER(D969)&amp;REPT(" ",2),2)," ")</f>
        <v/>
      </c>
      <c r="U969" s="10">
        <f>IF(A969="D",LEFT(UPPER(E969)&amp;REPT(" ",15),15)," ")</f>
        <v/>
      </c>
      <c r="V969" s="10">
        <f>REPT(" ",24)</f>
        <v/>
      </c>
      <c r="W969" s="10">
        <f>IF(A969="c",LEFT(UPPER(B969)&amp;REPT(" ",20),20),REPT(" ",20))</f>
        <v/>
      </c>
      <c r="X969" s="10">
        <f>IF(A969="C",LEFT(UPPER(C969)&amp;REPT(" ",10),10)," ")</f>
        <v/>
      </c>
      <c r="Y969" s="10">
        <f>IF(A969="C",LEFT(UPPER(D969)&amp;REPT(" ",2),2)," ")</f>
        <v/>
      </c>
      <c r="Z969" s="10">
        <f>IF(A969="C",LEFT(UPPER(E969)&amp;REPT(" ",15),15)," ")</f>
        <v/>
      </c>
      <c r="AA969" s="10">
        <f>REPT(" ",8)</f>
        <v/>
      </c>
      <c r="AB969" s="10">
        <f>REPT(" ",4)</f>
        <v/>
      </c>
      <c r="AC969" s="10">
        <f>LEFT(UPPER(H969)&amp;REPT(" ",250),250)</f>
        <v/>
      </c>
      <c r="AD969" s="10">
        <f>TEXT($G$2,"dd/mm/aaaa")</f>
        <v/>
      </c>
      <c r="AE969" s="10">
        <f>REPT(" ",10)</f>
        <v/>
      </c>
      <c r="AF969" s="10">
        <f>REPT(" ",20)</f>
        <v/>
      </c>
      <c r="AG969" s="54">
        <f>REPT(" ",18-LEN(FIXED(F969,2,TRUE)))&amp;FIXED(F969,2,TRUE)</f>
        <v/>
      </c>
      <c r="AH969" s="10">
        <f>LEN(AC969)+LEN(AG969)</f>
        <v/>
      </c>
      <c r="AI969" s="10">
        <f>LEN(L969)</f>
        <v/>
      </c>
    </row>
    <row r="970">
      <c r="J970" s="12">
        <f>IF(F970&lt;&gt;0,"LANÇAR","")</f>
        <v/>
      </c>
      <c r="L970" s="13">
        <f>N970&amp;O970&amp;P970&amp;Q970&amp;R970&amp;S970&amp;T970&amp;U970&amp;V970&amp;W970&amp;X970&amp;Y970&amp;Z970&amp;AA970&amp;AB970&amp;AC970&amp;AD970&amp;AE970&amp;AF970&amp;AG970</f>
        <v/>
      </c>
      <c r="N970" s="10">
        <f>TEXT($B$6,"00")</f>
        <v/>
      </c>
      <c r="O970" s="10">
        <f>REPT(" ",8)</f>
        <v/>
      </c>
      <c r="P970" s="10">
        <f>RIGHT($B$4,2)</f>
        <v/>
      </c>
      <c r="Q970" s="10">
        <f>RIGHT($B$5,3)</f>
        <v/>
      </c>
      <c r="R970" s="10">
        <f>IF(A970="D",LEFT(UPPER(B970)&amp;REPT(" ",20),20),REPT(" ",20))</f>
        <v/>
      </c>
      <c r="S970" s="10">
        <f>IF(A970="D",LEFT(UPPER(C970)&amp;REPT(" ",10),10)," ")</f>
        <v/>
      </c>
      <c r="T970" s="10">
        <f>IF(A970="D",LEFT(UPPER(D970)&amp;REPT(" ",2),2)," ")</f>
        <v/>
      </c>
      <c r="U970" s="10">
        <f>IF(A970="D",LEFT(UPPER(E970)&amp;REPT(" ",15),15)," ")</f>
        <v/>
      </c>
      <c r="V970" s="10">
        <f>REPT(" ",24)</f>
        <v/>
      </c>
      <c r="W970" s="10">
        <f>IF(A970="c",LEFT(UPPER(B970)&amp;REPT(" ",20),20),REPT(" ",20))</f>
        <v/>
      </c>
      <c r="X970" s="10">
        <f>IF(A970="C",LEFT(UPPER(C970)&amp;REPT(" ",10),10)," ")</f>
        <v/>
      </c>
      <c r="Y970" s="10">
        <f>IF(A970="C",LEFT(UPPER(D970)&amp;REPT(" ",2),2)," ")</f>
        <v/>
      </c>
      <c r="Z970" s="10">
        <f>IF(A970="C",LEFT(UPPER(E970)&amp;REPT(" ",15),15)," ")</f>
        <v/>
      </c>
      <c r="AA970" s="10">
        <f>REPT(" ",8)</f>
        <v/>
      </c>
      <c r="AB970" s="10">
        <f>REPT(" ",4)</f>
        <v/>
      </c>
      <c r="AC970" s="10">
        <f>LEFT(UPPER(H970)&amp;REPT(" ",250),250)</f>
        <v/>
      </c>
      <c r="AD970" s="10">
        <f>TEXT($G$2,"dd/mm/aaaa")</f>
        <v/>
      </c>
      <c r="AE970" s="10">
        <f>REPT(" ",10)</f>
        <v/>
      </c>
      <c r="AF970" s="10">
        <f>REPT(" ",20)</f>
        <v/>
      </c>
      <c r="AG970" s="54">
        <f>REPT(" ",18-LEN(FIXED(F970,2,TRUE)))&amp;FIXED(F970,2,TRUE)</f>
        <v/>
      </c>
      <c r="AH970" s="10">
        <f>LEN(AC970)+LEN(AG970)</f>
        <v/>
      </c>
      <c r="AI970" s="10">
        <f>LEN(L970)</f>
        <v/>
      </c>
    </row>
    <row r="971">
      <c r="J971" s="12">
        <f>IF(F971&lt;&gt;0,"LANÇAR","")</f>
        <v/>
      </c>
      <c r="L971" s="13">
        <f>N971&amp;O971&amp;P971&amp;Q971&amp;R971&amp;S971&amp;T971&amp;U971&amp;V971&amp;W971&amp;X971&amp;Y971&amp;Z971&amp;AA971&amp;AB971&amp;AC971&amp;AD971&amp;AE971&amp;AF971&amp;AG971</f>
        <v/>
      </c>
      <c r="N971" s="10">
        <f>TEXT($B$6,"00")</f>
        <v/>
      </c>
      <c r="O971" s="10">
        <f>REPT(" ",8)</f>
        <v/>
      </c>
      <c r="P971" s="10">
        <f>RIGHT($B$4,2)</f>
        <v/>
      </c>
      <c r="Q971" s="10">
        <f>RIGHT($B$5,3)</f>
        <v/>
      </c>
      <c r="R971" s="10">
        <f>IF(A971="D",LEFT(UPPER(B971)&amp;REPT(" ",20),20),REPT(" ",20))</f>
        <v/>
      </c>
      <c r="S971" s="10">
        <f>IF(A971="D",LEFT(UPPER(C971)&amp;REPT(" ",10),10)," ")</f>
        <v/>
      </c>
      <c r="T971" s="10">
        <f>IF(A971="D",LEFT(UPPER(D971)&amp;REPT(" ",2),2)," ")</f>
        <v/>
      </c>
      <c r="U971" s="10">
        <f>IF(A971="D",LEFT(UPPER(E971)&amp;REPT(" ",15),15)," ")</f>
        <v/>
      </c>
      <c r="V971" s="10">
        <f>REPT(" ",24)</f>
        <v/>
      </c>
      <c r="W971" s="10">
        <f>IF(A971="c",LEFT(UPPER(B971)&amp;REPT(" ",20),20),REPT(" ",20))</f>
        <v/>
      </c>
      <c r="X971" s="10">
        <f>IF(A971="C",LEFT(UPPER(C971)&amp;REPT(" ",10),10)," ")</f>
        <v/>
      </c>
      <c r="Y971" s="10">
        <f>IF(A971="C",LEFT(UPPER(D971)&amp;REPT(" ",2),2)," ")</f>
        <v/>
      </c>
      <c r="Z971" s="10">
        <f>IF(A971="C",LEFT(UPPER(E971)&amp;REPT(" ",15),15)," ")</f>
        <v/>
      </c>
      <c r="AA971" s="10">
        <f>REPT(" ",8)</f>
        <v/>
      </c>
      <c r="AB971" s="10">
        <f>REPT(" ",4)</f>
        <v/>
      </c>
      <c r="AC971" s="10">
        <f>LEFT(UPPER(H971)&amp;REPT(" ",250),250)</f>
        <v/>
      </c>
      <c r="AD971" s="10">
        <f>TEXT($G$2,"dd/mm/aaaa")</f>
        <v/>
      </c>
      <c r="AE971" s="10">
        <f>REPT(" ",10)</f>
        <v/>
      </c>
      <c r="AF971" s="10">
        <f>REPT(" ",20)</f>
        <v/>
      </c>
      <c r="AG971" s="54">
        <f>REPT(" ",18-LEN(FIXED(F971,2,TRUE)))&amp;FIXED(F971,2,TRUE)</f>
        <v/>
      </c>
      <c r="AH971" s="10">
        <f>LEN(AC971)+LEN(AG971)</f>
        <v/>
      </c>
      <c r="AI971" s="10">
        <f>LEN(L971)</f>
        <v/>
      </c>
    </row>
    <row r="972">
      <c r="J972" s="12">
        <f>IF(F972&lt;&gt;0,"LANÇAR","")</f>
        <v/>
      </c>
      <c r="L972" s="13">
        <f>N972&amp;O972&amp;P972&amp;Q972&amp;R972&amp;S972&amp;T972&amp;U972&amp;V972&amp;W972&amp;X972&amp;Y972&amp;Z972&amp;AA972&amp;AB972&amp;AC972&amp;AD972&amp;AE972&amp;AF972&amp;AG972</f>
        <v/>
      </c>
      <c r="N972" s="10">
        <f>TEXT($B$6,"00")</f>
        <v/>
      </c>
      <c r="O972" s="10">
        <f>REPT(" ",8)</f>
        <v/>
      </c>
      <c r="P972" s="10">
        <f>RIGHT($B$4,2)</f>
        <v/>
      </c>
      <c r="Q972" s="10">
        <f>RIGHT($B$5,3)</f>
        <v/>
      </c>
      <c r="R972" s="10">
        <f>IF(A972="D",LEFT(UPPER(B972)&amp;REPT(" ",20),20),REPT(" ",20))</f>
        <v/>
      </c>
      <c r="S972" s="10">
        <f>IF(A972="D",LEFT(UPPER(C972)&amp;REPT(" ",10),10)," ")</f>
        <v/>
      </c>
      <c r="T972" s="10">
        <f>IF(A972="D",LEFT(UPPER(D972)&amp;REPT(" ",2),2)," ")</f>
        <v/>
      </c>
      <c r="U972" s="10">
        <f>IF(A972="D",LEFT(UPPER(E972)&amp;REPT(" ",15),15)," ")</f>
        <v/>
      </c>
      <c r="V972" s="10">
        <f>REPT(" ",24)</f>
        <v/>
      </c>
      <c r="W972" s="10">
        <f>IF(A972="c",LEFT(UPPER(B972)&amp;REPT(" ",20),20),REPT(" ",20))</f>
        <v/>
      </c>
      <c r="X972" s="10">
        <f>IF(A972="C",LEFT(UPPER(C972)&amp;REPT(" ",10),10)," ")</f>
        <v/>
      </c>
      <c r="Y972" s="10">
        <f>IF(A972="C",LEFT(UPPER(D972)&amp;REPT(" ",2),2)," ")</f>
        <v/>
      </c>
      <c r="Z972" s="10">
        <f>IF(A972="C",LEFT(UPPER(E972)&amp;REPT(" ",15),15)," ")</f>
        <v/>
      </c>
      <c r="AA972" s="10">
        <f>REPT(" ",8)</f>
        <v/>
      </c>
      <c r="AB972" s="10">
        <f>REPT(" ",4)</f>
        <v/>
      </c>
      <c r="AC972" s="10">
        <f>LEFT(UPPER(H972)&amp;REPT(" ",250),250)</f>
        <v/>
      </c>
      <c r="AD972" s="10">
        <f>TEXT($G$2,"dd/mm/aaaa")</f>
        <v/>
      </c>
      <c r="AE972" s="10">
        <f>REPT(" ",10)</f>
        <v/>
      </c>
      <c r="AF972" s="10">
        <f>REPT(" ",20)</f>
        <v/>
      </c>
      <c r="AG972" s="54">
        <f>REPT(" ",18-LEN(FIXED(F972,2,TRUE)))&amp;FIXED(F972,2,TRUE)</f>
        <v/>
      </c>
      <c r="AH972" s="10">
        <f>LEN(AC972)+LEN(AG972)</f>
        <v/>
      </c>
      <c r="AI972" s="10">
        <f>LEN(L972)</f>
        <v/>
      </c>
    </row>
    <row r="973">
      <c r="J973" s="12">
        <f>IF(F973&lt;&gt;0,"LANÇAR","")</f>
        <v/>
      </c>
      <c r="L973" s="13">
        <f>N973&amp;O973&amp;P973&amp;Q973&amp;R973&amp;S973&amp;T973&amp;U973&amp;V973&amp;W973&amp;X973&amp;Y973&amp;Z973&amp;AA973&amp;AB973&amp;AC973&amp;AD973&amp;AE973&amp;AF973&amp;AG973</f>
        <v/>
      </c>
      <c r="N973" s="10">
        <f>TEXT($B$6,"00")</f>
        <v/>
      </c>
      <c r="O973" s="10">
        <f>REPT(" ",8)</f>
        <v/>
      </c>
      <c r="P973" s="10">
        <f>RIGHT($B$4,2)</f>
        <v/>
      </c>
      <c r="Q973" s="10">
        <f>RIGHT($B$5,3)</f>
        <v/>
      </c>
      <c r="R973" s="10">
        <f>IF(A973="D",LEFT(UPPER(B973)&amp;REPT(" ",20),20),REPT(" ",20))</f>
        <v/>
      </c>
      <c r="S973" s="10">
        <f>IF(A973="D",LEFT(UPPER(C973)&amp;REPT(" ",10),10)," ")</f>
        <v/>
      </c>
      <c r="T973" s="10">
        <f>IF(A973="D",LEFT(UPPER(D973)&amp;REPT(" ",2),2)," ")</f>
        <v/>
      </c>
      <c r="U973" s="10">
        <f>IF(A973="D",LEFT(UPPER(E973)&amp;REPT(" ",15),15)," ")</f>
        <v/>
      </c>
      <c r="V973" s="10">
        <f>REPT(" ",24)</f>
        <v/>
      </c>
      <c r="W973" s="10">
        <f>IF(A973="c",LEFT(UPPER(B973)&amp;REPT(" ",20),20),REPT(" ",20))</f>
        <v/>
      </c>
      <c r="X973" s="10">
        <f>IF(A973="C",LEFT(UPPER(C973)&amp;REPT(" ",10),10)," ")</f>
        <v/>
      </c>
      <c r="Y973" s="10">
        <f>IF(A973="C",LEFT(UPPER(D973)&amp;REPT(" ",2),2)," ")</f>
        <v/>
      </c>
      <c r="Z973" s="10">
        <f>IF(A973="C",LEFT(UPPER(E973)&amp;REPT(" ",15),15)," ")</f>
        <v/>
      </c>
      <c r="AA973" s="10">
        <f>REPT(" ",8)</f>
        <v/>
      </c>
      <c r="AB973" s="10">
        <f>REPT(" ",4)</f>
        <v/>
      </c>
      <c r="AC973" s="10">
        <f>LEFT(UPPER(H973)&amp;REPT(" ",250),250)</f>
        <v/>
      </c>
      <c r="AD973" s="10">
        <f>TEXT($G$2,"dd/mm/aaaa")</f>
        <v/>
      </c>
      <c r="AE973" s="10">
        <f>REPT(" ",10)</f>
        <v/>
      </c>
      <c r="AF973" s="10">
        <f>REPT(" ",20)</f>
        <v/>
      </c>
      <c r="AG973" s="54">
        <f>REPT(" ",18-LEN(FIXED(F973,2,TRUE)))&amp;FIXED(F973,2,TRUE)</f>
        <v/>
      </c>
      <c r="AH973" s="10">
        <f>LEN(AC973)+LEN(AG973)</f>
        <v/>
      </c>
      <c r="AI973" s="10">
        <f>LEN(L973)</f>
        <v/>
      </c>
    </row>
    <row r="974">
      <c r="J974" s="12">
        <f>IF(F974&lt;&gt;0,"LANÇAR","")</f>
        <v/>
      </c>
      <c r="L974" s="13">
        <f>N974&amp;O974&amp;P974&amp;Q974&amp;R974&amp;S974&amp;T974&amp;U974&amp;V974&amp;W974&amp;X974&amp;Y974&amp;Z974&amp;AA974&amp;AB974&amp;AC974&amp;AD974&amp;AE974&amp;AF974&amp;AG974</f>
        <v/>
      </c>
      <c r="N974" s="10">
        <f>TEXT($B$6,"00")</f>
        <v/>
      </c>
      <c r="O974" s="10">
        <f>REPT(" ",8)</f>
        <v/>
      </c>
      <c r="P974" s="10">
        <f>RIGHT($B$4,2)</f>
        <v/>
      </c>
      <c r="Q974" s="10">
        <f>RIGHT($B$5,3)</f>
        <v/>
      </c>
      <c r="R974" s="10">
        <f>IF(A974="D",LEFT(UPPER(B974)&amp;REPT(" ",20),20),REPT(" ",20))</f>
        <v/>
      </c>
      <c r="S974" s="10">
        <f>IF(A974="D",LEFT(UPPER(C974)&amp;REPT(" ",10),10)," ")</f>
        <v/>
      </c>
      <c r="T974" s="10">
        <f>IF(A974="D",LEFT(UPPER(D974)&amp;REPT(" ",2),2)," ")</f>
        <v/>
      </c>
      <c r="U974" s="10">
        <f>IF(A974="D",LEFT(UPPER(E974)&amp;REPT(" ",15),15)," ")</f>
        <v/>
      </c>
      <c r="V974" s="10">
        <f>REPT(" ",24)</f>
        <v/>
      </c>
      <c r="W974" s="10">
        <f>IF(A974="c",LEFT(UPPER(B974)&amp;REPT(" ",20),20),REPT(" ",20))</f>
        <v/>
      </c>
      <c r="X974" s="10">
        <f>IF(A974="C",LEFT(UPPER(C974)&amp;REPT(" ",10),10)," ")</f>
        <v/>
      </c>
      <c r="Y974" s="10">
        <f>IF(A974="C",LEFT(UPPER(D974)&amp;REPT(" ",2),2)," ")</f>
        <v/>
      </c>
      <c r="Z974" s="10">
        <f>IF(A974="C",LEFT(UPPER(E974)&amp;REPT(" ",15),15)," ")</f>
        <v/>
      </c>
      <c r="AA974" s="10">
        <f>REPT(" ",8)</f>
        <v/>
      </c>
      <c r="AB974" s="10">
        <f>REPT(" ",4)</f>
        <v/>
      </c>
      <c r="AC974" s="10">
        <f>LEFT(UPPER(H974)&amp;REPT(" ",250),250)</f>
        <v/>
      </c>
      <c r="AD974" s="10">
        <f>TEXT($G$2,"dd/mm/aaaa")</f>
        <v/>
      </c>
      <c r="AE974" s="10">
        <f>REPT(" ",10)</f>
        <v/>
      </c>
      <c r="AF974" s="10">
        <f>REPT(" ",20)</f>
        <v/>
      </c>
      <c r="AG974" s="54">
        <f>REPT(" ",18-LEN(FIXED(F974,2,TRUE)))&amp;FIXED(F974,2,TRUE)</f>
        <v/>
      </c>
      <c r="AH974" s="10">
        <f>LEN(AC974)+LEN(AG974)</f>
        <v/>
      </c>
      <c r="AI974" s="10">
        <f>LEN(L974)</f>
        <v/>
      </c>
    </row>
    <row r="975">
      <c r="J975" s="12">
        <f>IF(F975&lt;&gt;0,"LANÇAR","")</f>
        <v/>
      </c>
      <c r="L975" s="13">
        <f>N975&amp;O975&amp;P975&amp;Q975&amp;R975&amp;S975&amp;T975&amp;U975&amp;V975&amp;W975&amp;X975&amp;Y975&amp;Z975&amp;AA975&amp;AB975&amp;AC975&amp;AD975&amp;AE975&amp;AF975&amp;AG975</f>
        <v/>
      </c>
      <c r="N975" s="10">
        <f>TEXT($B$6,"00")</f>
        <v/>
      </c>
      <c r="O975" s="10">
        <f>REPT(" ",8)</f>
        <v/>
      </c>
      <c r="P975" s="10">
        <f>RIGHT($B$4,2)</f>
        <v/>
      </c>
      <c r="Q975" s="10">
        <f>RIGHT($B$5,3)</f>
        <v/>
      </c>
      <c r="R975" s="10">
        <f>IF(A975="D",LEFT(UPPER(B975)&amp;REPT(" ",20),20),REPT(" ",20))</f>
        <v/>
      </c>
      <c r="S975" s="10">
        <f>IF(A975="D",LEFT(UPPER(C975)&amp;REPT(" ",10),10)," ")</f>
        <v/>
      </c>
      <c r="T975" s="10">
        <f>IF(A975="D",LEFT(UPPER(D975)&amp;REPT(" ",2),2)," ")</f>
        <v/>
      </c>
      <c r="U975" s="10">
        <f>IF(A975="D",LEFT(UPPER(E975)&amp;REPT(" ",15),15)," ")</f>
        <v/>
      </c>
      <c r="V975" s="10">
        <f>REPT(" ",24)</f>
        <v/>
      </c>
      <c r="W975" s="10">
        <f>IF(A975="c",LEFT(UPPER(B975)&amp;REPT(" ",20),20),REPT(" ",20))</f>
        <v/>
      </c>
      <c r="X975" s="10">
        <f>IF(A975="C",LEFT(UPPER(C975)&amp;REPT(" ",10),10)," ")</f>
        <v/>
      </c>
      <c r="Y975" s="10">
        <f>IF(A975="C",LEFT(UPPER(D975)&amp;REPT(" ",2),2)," ")</f>
        <v/>
      </c>
      <c r="Z975" s="10">
        <f>IF(A975="C",LEFT(UPPER(E975)&amp;REPT(" ",15),15)," ")</f>
        <v/>
      </c>
      <c r="AA975" s="10">
        <f>REPT(" ",8)</f>
        <v/>
      </c>
      <c r="AB975" s="10">
        <f>REPT(" ",4)</f>
        <v/>
      </c>
      <c r="AC975" s="10">
        <f>LEFT(UPPER(H975)&amp;REPT(" ",250),250)</f>
        <v/>
      </c>
      <c r="AD975" s="10">
        <f>TEXT($G$2,"dd/mm/aaaa")</f>
        <v/>
      </c>
      <c r="AE975" s="10">
        <f>REPT(" ",10)</f>
        <v/>
      </c>
      <c r="AF975" s="10">
        <f>REPT(" ",20)</f>
        <v/>
      </c>
      <c r="AG975" s="54">
        <f>REPT(" ",18-LEN(FIXED(F975,2,TRUE)))&amp;FIXED(F975,2,TRUE)</f>
        <v/>
      </c>
      <c r="AH975" s="10">
        <f>LEN(AC975)+LEN(AG975)</f>
        <v/>
      </c>
      <c r="AI975" s="10">
        <f>LEN(L975)</f>
        <v/>
      </c>
    </row>
    <row r="976">
      <c r="J976" s="12">
        <f>IF(F976&lt;&gt;0,"LANÇAR","")</f>
        <v/>
      </c>
      <c r="L976" s="13">
        <f>N976&amp;O976&amp;P976&amp;Q976&amp;R976&amp;S976&amp;T976&amp;U976&amp;V976&amp;W976&amp;X976&amp;Y976&amp;Z976&amp;AA976&amp;AB976&amp;AC976&amp;AD976&amp;AE976&amp;AF976&amp;AG976</f>
        <v/>
      </c>
      <c r="N976" s="10">
        <f>TEXT($B$6,"00")</f>
        <v/>
      </c>
      <c r="O976" s="10">
        <f>REPT(" ",8)</f>
        <v/>
      </c>
      <c r="P976" s="10">
        <f>RIGHT($B$4,2)</f>
        <v/>
      </c>
      <c r="Q976" s="10">
        <f>RIGHT($B$5,3)</f>
        <v/>
      </c>
      <c r="R976" s="10">
        <f>IF(A976="D",LEFT(UPPER(B976)&amp;REPT(" ",20),20),REPT(" ",20))</f>
        <v/>
      </c>
      <c r="S976" s="10">
        <f>IF(A976="D",LEFT(UPPER(C976)&amp;REPT(" ",10),10)," ")</f>
        <v/>
      </c>
      <c r="T976" s="10">
        <f>IF(A976="D",LEFT(UPPER(D976)&amp;REPT(" ",2),2)," ")</f>
        <v/>
      </c>
      <c r="U976" s="10">
        <f>IF(A976="D",LEFT(UPPER(E976)&amp;REPT(" ",15),15)," ")</f>
        <v/>
      </c>
      <c r="V976" s="10">
        <f>REPT(" ",24)</f>
        <v/>
      </c>
      <c r="W976" s="10">
        <f>IF(A976="c",LEFT(UPPER(B976)&amp;REPT(" ",20),20),REPT(" ",20))</f>
        <v/>
      </c>
      <c r="X976" s="10">
        <f>IF(A976="C",LEFT(UPPER(C976)&amp;REPT(" ",10),10)," ")</f>
        <v/>
      </c>
      <c r="Y976" s="10">
        <f>IF(A976="C",LEFT(UPPER(D976)&amp;REPT(" ",2),2)," ")</f>
        <v/>
      </c>
      <c r="Z976" s="10">
        <f>IF(A976="C",LEFT(UPPER(E976)&amp;REPT(" ",15),15)," ")</f>
        <v/>
      </c>
      <c r="AA976" s="10">
        <f>REPT(" ",8)</f>
        <v/>
      </c>
      <c r="AB976" s="10">
        <f>REPT(" ",4)</f>
        <v/>
      </c>
      <c r="AC976" s="10">
        <f>LEFT(UPPER(H976)&amp;REPT(" ",250),250)</f>
        <v/>
      </c>
      <c r="AD976" s="10">
        <f>TEXT($G$2,"dd/mm/aaaa")</f>
        <v/>
      </c>
      <c r="AE976" s="10">
        <f>REPT(" ",10)</f>
        <v/>
      </c>
      <c r="AF976" s="10">
        <f>REPT(" ",20)</f>
        <v/>
      </c>
      <c r="AG976" s="54">
        <f>REPT(" ",18-LEN(FIXED(F976,2,TRUE)))&amp;FIXED(F976,2,TRUE)</f>
        <v/>
      </c>
      <c r="AH976" s="10">
        <f>LEN(AC976)+LEN(AG976)</f>
        <v/>
      </c>
      <c r="AI976" s="10">
        <f>LEN(L976)</f>
        <v/>
      </c>
    </row>
    <row r="977">
      <c r="J977" s="12">
        <f>IF(F977&lt;&gt;0,"LANÇAR","")</f>
        <v/>
      </c>
      <c r="L977" s="13">
        <f>N977&amp;O977&amp;P977&amp;Q977&amp;R977&amp;S977&amp;T977&amp;U977&amp;V977&amp;W977&amp;X977&amp;Y977&amp;Z977&amp;AA977&amp;AB977&amp;AC977&amp;AD977&amp;AE977&amp;AF977&amp;AG977</f>
        <v/>
      </c>
      <c r="N977" s="10">
        <f>TEXT($B$6,"00")</f>
        <v/>
      </c>
      <c r="O977" s="10">
        <f>REPT(" ",8)</f>
        <v/>
      </c>
      <c r="P977" s="10">
        <f>RIGHT($B$4,2)</f>
        <v/>
      </c>
      <c r="Q977" s="10">
        <f>RIGHT($B$5,3)</f>
        <v/>
      </c>
      <c r="R977" s="10">
        <f>IF(A977="D",LEFT(UPPER(B977)&amp;REPT(" ",20),20),REPT(" ",20))</f>
        <v/>
      </c>
      <c r="S977" s="10">
        <f>IF(A977="D",LEFT(UPPER(C977)&amp;REPT(" ",10),10)," ")</f>
        <v/>
      </c>
      <c r="T977" s="10">
        <f>IF(A977="D",LEFT(UPPER(D977)&amp;REPT(" ",2),2)," ")</f>
        <v/>
      </c>
      <c r="U977" s="10">
        <f>IF(A977="D",LEFT(UPPER(E977)&amp;REPT(" ",15),15)," ")</f>
        <v/>
      </c>
      <c r="V977" s="10">
        <f>REPT(" ",24)</f>
        <v/>
      </c>
      <c r="W977" s="10">
        <f>IF(A977="c",LEFT(UPPER(B977)&amp;REPT(" ",20),20),REPT(" ",20))</f>
        <v/>
      </c>
      <c r="X977" s="10">
        <f>IF(A977="C",LEFT(UPPER(C977)&amp;REPT(" ",10),10)," ")</f>
        <v/>
      </c>
      <c r="Y977" s="10">
        <f>IF(A977="C",LEFT(UPPER(D977)&amp;REPT(" ",2),2)," ")</f>
        <v/>
      </c>
      <c r="Z977" s="10">
        <f>IF(A977="C",LEFT(UPPER(E977)&amp;REPT(" ",15),15)," ")</f>
        <v/>
      </c>
      <c r="AA977" s="10">
        <f>REPT(" ",8)</f>
        <v/>
      </c>
      <c r="AB977" s="10">
        <f>REPT(" ",4)</f>
        <v/>
      </c>
      <c r="AC977" s="10">
        <f>LEFT(UPPER(H977)&amp;REPT(" ",250),250)</f>
        <v/>
      </c>
      <c r="AD977" s="10">
        <f>TEXT($G$2,"dd/mm/aaaa")</f>
        <v/>
      </c>
      <c r="AE977" s="10">
        <f>REPT(" ",10)</f>
        <v/>
      </c>
      <c r="AF977" s="10">
        <f>REPT(" ",20)</f>
        <v/>
      </c>
      <c r="AG977" s="54">
        <f>REPT(" ",18-LEN(FIXED(F977,2,TRUE)))&amp;FIXED(F977,2,TRUE)</f>
        <v/>
      </c>
      <c r="AH977" s="10">
        <f>LEN(AC977)+LEN(AG977)</f>
        <v/>
      </c>
      <c r="AI977" s="10">
        <f>LEN(L977)</f>
        <v/>
      </c>
    </row>
    <row r="978">
      <c r="J978" s="12">
        <f>IF(F978&lt;&gt;0,"LANÇAR","")</f>
        <v/>
      </c>
      <c r="L978" s="13">
        <f>N978&amp;O978&amp;P978&amp;Q978&amp;R978&amp;S978&amp;T978&amp;U978&amp;V978&amp;W978&amp;X978&amp;Y978&amp;Z978&amp;AA978&amp;AB978&amp;AC978&amp;AD978&amp;AE978&amp;AF978&amp;AG978</f>
        <v/>
      </c>
      <c r="N978" s="10">
        <f>TEXT($B$6,"00")</f>
        <v/>
      </c>
      <c r="O978" s="10">
        <f>REPT(" ",8)</f>
        <v/>
      </c>
      <c r="P978" s="10">
        <f>RIGHT($B$4,2)</f>
        <v/>
      </c>
      <c r="Q978" s="10">
        <f>RIGHT($B$5,3)</f>
        <v/>
      </c>
      <c r="R978" s="10">
        <f>IF(A978="D",LEFT(UPPER(B978)&amp;REPT(" ",20),20),REPT(" ",20))</f>
        <v/>
      </c>
      <c r="S978" s="10">
        <f>IF(A978="D",LEFT(UPPER(C978)&amp;REPT(" ",10),10)," ")</f>
        <v/>
      </c>
      <c r="T978" s="10">
        <f>IF(A978="D",LEFT(UPPER(D978)&amp;REPT(" ",2),2)," ")</f>
        <v/>
      </c>
      <c r="U978" s="10">
        <f>IF(A978="D",LEFT(UPPER(E978)&amp;REPT(" ",15),15)," ")</f>
        <v/>
      </c>
      <c r="V978" s="10">
        <f>REPT(" ",24)</f>
        <v/>
      </c>
      <c r="W978" s="10">
        <f>IF(A978="c",LEFT(UPPER(B978)&amp;REPT(" ",20),20),REPT(" ",20))</f>
        <v/>
      </c>
      <c r="X978" s="10">
        <f>IF(A978="C",LEFT(UPPER(C978)&amp;REPT(" ",10),10)," ")</f>
        <v/>
      </c>
      <c r="Y978" s="10">
        <f>IF(A978="C",LEFT(UPPER(D978)&amp;REPT(" ",2),2)," ")</f>
        <v/>
      </c>
      <c r="Z978" s="10">
        <f>IF(A978="C",LEFT(UPPER(E978)&amp;REPT(" ",15),15)," ")</f>
        <v/>
      </c>
      <c r="AA978" s="10">
        <f>REPT(" ",8)</f>
        <v/>
      </c>
      <c r="AB978" s="10">
        <f>REPT(" ",4)</f>
        <v/>
      </c>
      <c r="AC978" s="10">
        <f>LEFT(UPPER(H978)&amp;REPT(" ",250),250)</f>
        <v/>
      </c>
      <c r="AD978" s="10">
        <f>TEXT($G$2,"dd/mm/aaaa")</f>
        <v/>
      </c>
      <c r="AE978" s="10">
        <f>REPT(" ",10)</f>
        <v/>
      </c>
      <c r="AF978" s="10">
        <f>REPT(" ",20)</f>
        <v/>
      </c>
      <c r="AG978" s="54">
        <f>REPT(" ",18-LEN(FIXED(F978,2,TRUE)))&amp;FIXED(F978,2,TRUE)</f>
        <v/>
      </c>
      <c r="AH978" s="10">
        <f>LEN(AC978)+LEN(AG978)</f>
        <v/>
      </c>
      <c r="AI978" s="10">
        <f>LEN(L978)</f>
        <v/>
      </c>
    </row>
    <row r="979">
      <c r="J979" s="12">
        <f>IF(F979&lt;&gt;0,"LANÇAR","")</f>
        <v/>
      </c>
      <c r="L979" s="13">
        <f>N979&amp;O979&amp;P979&amp;Q979&amp;R979&amp;S979&amp;T979&amp;U979&amp;V979&amp;W979&amp;X979&amp;Y979&amp;Z979&amp;AA979&amp;AB979&amp;AC979&amp;AD979&amp;AE979&amp;AF979&amp;AG979</f>
        <v/>
      </c>
      <c r="N979" s="10">
        <f>TEXT($B$6,"00")</f>
        <v/>
      </c>
      <c r="O979" s="10">
        <f>REPT(" ",8)</f>
        <v/>
      </c>
      <c r="P979" s="10">
        <f>RIGHT($B$4,2)</f>
        <v/>
      </c>
      <c r="Q979" s="10">
        <f>RIGHT($B$5,3)</f>
        <v/>
      </c>
      <c r="R979" s="10">
        <f>IF(A979="D",LEFT(UPPER(B979)&amp;REPT(" ",20),20),REPT(" ",20))</f>
        <v/>
      </c>
      <c r="S979" s="10">
        <f>IF(A979="D",LEFT(UPPER(C979)&amp;REPT(" ",10),10)," ")</f>
        <v/>
      </c>
      <c r="T979" s="10">
        <f>IF(A979="D",LEFT(UPPER(D979)&amp;REPT(" ",2),2)," ")</f>
        <v/>
      </c>
      <c r="U979" s="10">
        <f>IF(A979="D",LEFT(UPPER(E979)&amp;REPT(" ",15),15)," ")</f>
        <v/>
      </c>
      <c r="V979" s="10">
        <f>REPT(" ",24)</f>
        <v/>
      </c>
      <c r="W979" s="10">
        <f>IF(A979="c",LEFT(UPPER(B979)&amp;REPT(" ",20),20),REPT(" ",20))</f>
        <v/>
      </c>
      <c r="X979" s="10">
        <f>IF(A979="C",LEFT(UPPER(C979)&amp;REPT(" ",10),10)," ")</f>
        <v/>
      </c>
      <c r="Y979" s="10">
        <f>IF(A979="C",LEFT(UPPER(D979)&amp;REPT(" ",2),2)," ")</f>
        <v/>
      </c>
      <c r="Z979" s="10">
        <f>IF(A979="C",LEFT(UPPER(E979)&amp;REPT(" ",15),15)," ")</f>
        <v/>
      </c>
      <c r="AA979" s="10">
        <f>REPT(" ",8)</f>
        <v/>
      </c>
      <c r="AB979" s="10">
        <f>REPT(" ",4)</f>
        <v/>
      </c>
      <c r="AC979" s="10">
        <f>LEFT(UPPER(H979)&amp;REPT(" ",250),250)</f>
        <v/>
      </c>
      <c r="AD979" s="10">
        <f>TEXT($G$2,"dd/mm/aaaa")</f>
        <v/>
      </c>
      <c r="AE979" s="10">
        <f>REPT(" ",10)</f>
        <v/>
      </c>
      <c r="AF979" s="10">
        <f>REPT(" ",20)</f>
        <v/>
      </c>
      <c r="AG979" s="54">
        <f>REPT(" ",18-LEN(FIXED(F979,2,TRUE)))&amp;FIXED(F979,2,TRUE)</f>
        <v/>
      </c>
      <c r="AH979" s="10">
        <f>LEN(AC979)+LEN(AG979)</f>
        <v/>
      </c>
      <c r="AI979" s="10">
        <f>LEN(L979)</f>
        <v/>
      </c>
    </row>
    <row r="980">
      <c r="J980" s="12">
        <f>IF(F980&lt;&gt;0,"LANÇAR","")</f>
        <v/>
      </c>
      <c r="L980" s="13">
        <f>N980&amp;O980&amp;P980&amp;Q980&amp;R980&amp;S980&amp;T980&amp;U980&amp;V980&amp;W980&amp;X980&amp;Y980&amp;Z980&amp;AA980&amp;AB980&amp;AC980&amp;AD980&amp;AE980&amp;AF980&amp;AG980</f>
        <v/>
      </c>
      <c r="N980" s="10">
        <f>TEXT($B$6,"00")</f>
        <v/>
      </c>
      <c r="O980" s="10">
        <f>REPT(" ",8)</f>
        <v/>
      </c>
      <c r="P980" s="10">
        <f>RIGHT($B$4,2)</f>
        <v/>
      </c>
      <c r="Q980" s="10">
        <f>RIGHT($B$5,3)</f>
        <v/>
      </c>
      <c r="R980" s="10">
        <f>IF(A980="D",LEFT(UPPER(B980)&amp;REPT(" ",20),20),REPT(" ",20))</f>
        <v/>
      </c>
      <c r="S980" s="10">
        <f>IF(A980="D",LEFT(UPPER(C980)&amp;REPT(" ",10),10)," ")</f>
        <v/>
      </c>
      <c r="T980" s="10">
        <f>IF(A980="D",LEFT(UPPER(D980)&amp;REPT(" ",2),2)," ")</f>
        <v/>
      </c>
      <c r="U980" s="10">
        <f>IF(A980="D",LEFT(UPPER(E980)&amp;REPT(" ",15),15)," ")</f>
        <v/>
      </c>
      <c r="V980" s="10">
        <f>REPT(" ",24)</f>
        <v/>
      </c>
      <c r="W980" s="10">
        <f>IF(A980="c",LEFT(UPPER(B980)&amp;REPT(" ",20),20),REPT(" ",20))</f>
        <v/>
      </c>
      <c r="X980" s="10">
        <f>IF(A980="C",LEFT(UPPER(C980)&amp;REPT(" ",10),10)," ")</f>
        <v/>
      </c>
      <c r="Y980" s="10">
        <f>IF(A980="C",LEFT(UPPER(D980)&amp;REPT(" ",2),2)," ")</f>
        <v/>
      </c>
      <c r="Z980" s="10">
        <f>IF(A980="C",LEFT(UPPER(E980)&amp;REPT(" ",15),15)," ")</f>
        <v/>
      </c>
      <c r="AA980" s="10">
        <f>REPT(" ",8)</f>
        <v/>
      </c>
      <c r="AB980" s="10">
        <f>REPT(" ",4)</f>
        <v/>
      </c>
      <c r="AC980" s="10">
        <f>LEFT(UPPER(H980)&amp;REPT(" ",250),250)</f>
        <v/>
      </c>
      <c r="AD980" s="10">
        <f>TEXT($G$2,"dd/mm/aaaa")</f>
        <v/>
      </c>
      <c r="AE980" s="10">
        <f>REPT(" ",10)</f>
        <v/>
      </c>
      <c r="AF980" s="10">
        <f>REPT(" ",20)</f>
        <v/>
      </c>
      <c r="AG980" s="54">
        <f>REPT(" ",18-LEN(FIXED(F980,2,TRUE)))&amp;FIXED(F980,2,TRUE)</f>
        <v/>
      </c>
      <c r="AH980" s="10">
        <f>LEN(AC980)+LEN(AG980)</f>
        <v/>
      </c>
      <c r="AI980" s="10">
        <f>LEN(L980)</f>
        <v/>
      </c>
    </row>
    <row r="981">
      <c r="J981" s="12">
        <f>IF(F981&lt;&gt;0,"LANÇAR","")</f>
        <v/>
      </c>
      <c r="L981" s="13">
        <f>N981&amp;O981&amp;P981&amp;Q981&amp;R981&amp;S981&amp;T981&amp;U981&amp;V981&amp;W981&amp;X981&amp;Y981&amp;Z981&amp;AA981&amp;AB981&amp;AC981&amp;AD981&amp;AE981&amp;AF981&amp;AG981</f>
        <v/>
      </c>
      <c r="N981" s="10">
        <f>TEXT($B$6,"00")</f>
        <v/>
      </c>
      <c r="O981" s="10">
        <f>REPT(" ",8)</f>
        <v/>
      </c>
      <c r="P981" s="10">
        <f>RIGHT($B$4,2)</f>
        <v/>
      </c>
      <c r="Q981" s="10">
        <f>RIGHT($B$5,3)</f>
        <v/>
      </c>
      <c r="R981" s="10">
        <f>IF(A981="D",LEFT(UPPER(B981)&amp;REPT(" ",20),20),REPT(" ",20))</f>
        <v/>
      </c>
      <c r="S981" s="10">
        <f>IF(A981="D",LEFT(UPPER(C981)&amp;REPT(" ",10),10)," ")</f>
        <v/>
      </c>
      <c r="T981" s="10">
        <f>IF(A981="D",LEFT(UPPER(D981)&amp;REPT(" ",2),2)," ")</f>
        <v/>
      </c>
      <c r="U981" s="10">
        <f>IF(A981="D",LEFT(UPPER(E981)&amp;REPT(" ",15),15)," ")</f>
        <v/>
      </c>
      <c r="V981" s="10">
        <f>REPT(" ",24)</f>
        <v/>
      </c>
      <c r="W981" s="10">
        <f>IF(A981="c",LEFT(UPPER(B981)&amp;REPT(" ",20),20),REPT(" ",20))</f>
        <v/>
      </c>
      <c r="X981" s="10">
        <f>IF(A981="C",LEFT(UPPER(C981)&amp;REPT(" ",10),10)," ")</f>
        <v/>
      </c>
      <c r="Y981" s="10">
        <f>IF(A981="C",LEFT(UPPER(D981)&amp;REPT(" ",2),2)," ")</f>
        <v/>
      </c>
      <c r="Z981" s="10">
        <f>IF(A981="C",LEFT(UPPER(E981)&amp;REPT(" ",15),15)," ")</f>
        <v/>
      </c>
      <c r="AA981" s="10">
        <f>REPT(" ",8)</f>
        <v/>
      </c>
      <c r="AB981" s="10">
        <f>REPT(" ",4)</f>
        <v/>
      </c>
      <c r="AC981" s="10">
        <f>LEFT(UPPER(H981)&amp;REPT(" ",250),250)</f>
        <v/>
      </c>
      <c r="AD981" s="10">
        <f>TEXT($G$2,"dd/mm/aaaa")</f>
        <v/>
      </c>
      <c r="AE981" s="10">
        <f>REPT(" ",10)</f>
        <v/>
      </c>
      <c r="AF981" s="10">
        <f>REPT(" ",20)</f>
        <v/>
      </c>
      <c r="AG981" s="54">
        <f>REPT(" ",18-LEN(FIXED(F981,2,TRUE)))&amp;FIXED(F981,2,TRUE)</f>
        <v/>
      </c>
      <c r="AH981" s="10">
        <f>LEN(AC981)+LEN(AG981)</f>
        <v/>
      </c>
      <c r="AI981" s="10">
        <f>LEN(L981)</f>
        <v/>
      </c>
    </row>
    <row r="982">
      <c r="J982" s="12">
        <f>IF(F982&lt;&gt;0,"LANÇAR","")</f>
        <v/>
      </c>
      <c r="L982" s="13">
        <f>N982&amp;O982&amp;P982&amp;Q982&amp;R982&amp;S982&amp;T982&amp;U982&amp;V982&amp;W982&amp;X982&amp;Y982&amp;Z982&amp;AA982&amp;AB982&amp;AC982&amp;AD982&amp;AE982&amp;AF982&amp;AG982</f>
        <v/>
      </c>
      <c r="N982" s="10">
        <f>TEXT($B$6,"00")</f>
        <v/>
      </c>
      <c r="O982" s="10">
        <f>REPT(" ",8)</f>
        <v/>
      </c>
      <c r="P982" s="10">
        <f>RIGHT($B$4,2)</f>
        <v/>
      </c>
      <c r="Q982" s="10">
        <f>RIGHT($B$5,3)</f>
        <v/>
      </c>
      <c r="R982" s="10">
        <f>IF(A982="D",LEFT(UPPER(B982)&amp;REPT(" ",20),20),REPT(" ",20))</f>
        <v/>
      </c>
      <c r="S982" s="10">
        <f>IF(A982="D",LEFT(UPPER(C982)&amp;REPT(" ",10),10)," ")</f>
        <v/>
      </c>
      <c r="T982" s="10">
        <f>IF(A982="D",LEFT(UPPER(D982)&amp;REPT(" ",2),2)," ")</f>
        <v/>
      </c>
      <c r="U982" s="10">
        <f>IF(A982="D",LEFT(UPPER(E982)&amp;REPT(" ",15),15)," ")</f>
        <v/>
      </c>
      <c r="V982" s="10">
        <f>REPT(" ",24)</f>
        <v/>
      </c>
      <c r="W982" s="10">
        <f>IF(A982="c",LEFT(UPPER(B982)&amp;REPT(" ",20),20),REPT(" ",20))</f>
        <v/>
      </c>
      <c r="X982" s="10">
        <f>IF(A982="C",LEFT(UPPER(C982)&amp;REPT(" ",10),10)," ")</f>
        <v/>
      </c>
      <c r="Y982" s="10">
        <f>IF(A982="C",LEFT(UPPER(D982)&amp;REPT(" ",2),2)," ")</f>
        <v/>
      </c>
      <c r="Z982" s="10">
        <f>IF(A982="C",LEFT(UPPER(E982)&amp;REPT(" ",15),15)," ")</f>
        <v/>
      </c>
      <c r="AA982" s="10">
        <f>REPT(" ",8)</f>
        <v/>
      </c>
      <c r="AB982" s="10">
        <f>REPT(" ",4)</f>
        <v/>
      </c>
      <c r="AC982" s="10">
        <f>LEFT(UPPER(H982)&amp;REPT(" ",250),250)</f>
        <v/>
      </c>
      <c r="AD982" s="10">
        <f>TEXT($G$2,"dd/mm/aaaa")</f>
        <v/>
      </c>
      <c r="AE982" s="10">
        <f>REPT(" ",10)</f>
        <v/>
      </c>
      <c r="AF982" s="10">
        <f>REPT(" ",20)</f>
        <v/>
      </c>
      <c r="AG982" s="54">
        <f>REPT(" ",18-LEN(FIXED(F982,2,TRUE)))&amp;FIXED(F982,2,TRUE)</f>
        <v/>
      </c>
      <c r="AH982" s="10">
        <f>LEN(AC982)+LEN(AG982)</f>
        <v/>
      </c>
      <c r="AI982" s="10">
        <f>LEN(L982)</f>
        <v/>
      </c>
    </row>
    <row r="983">
      <c r="J983" s="12">
        <f>IF(F983&lt;&gt;0,"LANÇAR","")</f>
        <v/>
      </c>
      <c r="L983" s="13">
        <f>N983&amp;O983&amp;P983&amp;Q983&amp;R983&amp;S983&amp;T983&amp;U983&amp;V983&amp;W983&amp;X983&amp;Y983&amp;Z983&amp;AA983&amp;AB983&amp;AC983&amp;AD983&amp;AE983&amp;AF983&amp;AG983</f>
        <v/>
      </c>
      <c r="N983" s="10">
        <f>TEXT($B$6,"00")</f>
        <v/>
      </c>
      <c r="O983" s="10">
        <f>REPT(" ",8)</f>
        <v/>
      </c>
      <c r="P983" s="10">
        <f>RIGHT($B$4,2)</f>
        <v/>
      </c>
      <c r="Q983" s="10">
        <f>RIGHT($B$5,3)</f>
        <v/>
      </c>
      <c r="R983" s="10">
        <f>IF(A983="D",LEFT(UPPER(B983)&amp;REPT(" ",20),20),REPT(" ",20))</f>
        <v/>
      </c>
      <c r="S983" s="10">
        <f>IF(A983="D",LEFT(UPPER(C983)&amp;REPT(" ",10),10)," ")</f>
        <v/>
      </c>
      <c r="T983" s="10">
        <f>IF(A983="D",LEFT(UPPER(D983)&amp;REPT(" ",2),2)," ")</f>
        <v/>
      </c>
      <c r="U983" s="10">
        <f>IF(A983="D",LEFT(UPPER(E983)&amp;REPT(" ",15),15)," ")</f>
        <v/>
      </c>
      <c r="V983" s="10">
        <f>REPT(" ",24)</f>
        <v/>
      </c>
      <c r="W983" s="10">
        <f>IF(A983="c",LEFT(UPPER(B983)&amp;REPT(" ",20),20),REPT(" ",20))</f>
        <v/>
      </c>
      <c r="X983" s="10">
        <f>IF(A983="C",LEFT(UPPER(C983)&amp;REPT(" ",10),10)," ")</f>
        <v/>
      </c>
      <c r="Y983" s="10">
        <f>IF(A983="C",LEFT(UPPER(D983)&amp;REPT(" ",2),2)," ")</f>
        <v/>
      </c>
      <c r="Z983" s="10">
        <f>IF(A983="C",LEFT(UPPER(E983)&amp;REPT(" ",15),15)," ")</f>
        <v/>
      </c>
      <c r="AA983" s="10">
        <f>REPT(" ",8)</f>
        <v/>
      </c>
      <c r="AB983" s="10">
        <f>REPT(" ",4)</f>
        <v/>
      </c>
      <c r="AC983" s="10">
        <f>LEFT(UPPER(H983)&amp;REPT(" ",250),250)</f>
        <v/>
      </c>
      <c r="AD983" s="10">
        <f>TEXT($G$2,"dd/mm/aaaa")</f>
        <v/>
      </c>
      <c r="AE983" s="10">
        <f>REPT(" ",10)</f>
        <v/>
      </c>
      <c r="AF983" s="10">
        <f>REPT(" ",20)</f>
        <v/>
      </c>
      <c r="AG983" s="54">
        <f>REPT(" ",18-LEN(FIXED(F983,2,TRUE)))&amp;FIXED(F983,2,TRUE)</f>
        <v/>
      </c>
      <c r="AH983" s="10">
        <f>LEN(AC983)+LEN(AG983)</f>
        <v/>
      </c>
      <c r="AI983" s="10">
        <f>LEN(L983)</f>
        <v/>
      </c>
    </row>
    <row r="984">
      <c r="J984" s="12">
        <f>IF(F984&lt;&gt;0,"LANÇAR","")</f>
        <v/>
      </c>
      <c r="L984" s="13">
        <f>N984&amp;O984&amp;P984&amp;Q984&amp;R984&amp;S984&amp;T984&amp;U984&amp;V984&amp;W984&amp;X984&amp;Y984&amp;Z984&amp;AA984&amp;AB984&amp;AC984&amp;AD984&amp;AE984&amp;AF984&amp;AG984</f>
        <v/>
      </c>
      <c r="N984" s="10">
        <f>TEXT($B$6,"00")</f>
        <v/>
      </c>
      <c r="O984" s="10">
        <f>REPT(" ",8)</f>
        <v/>
      </c>
      <c r="P984" s="10">
        <f>RIGHT($B$4,2)</f>
        <v/>
      </c>
      <c r="Q984" s="10">
        <f>RIGHT($B$5,3)</f>
        <v/>
      </c>
      <c r="R984" s="10">
        <f>IF(A984="D",LEFT(UPPER(B984)&amp;REPT(" ",20),20),REPT(" ",20))</f>
        <v/>
      </c>
      <c r="S984" s="10">
        <f>IF(A984="D",LEFT(UPPER(C984)&amp;REPT(" ",10),10)," ")</f>
        <v/>
      </c>
      <c r="T984" s="10">
        <f>IF(A984="D",LEFT(UPPER(D984)&amp;REPT(" ",2),2)," ")</f>
        <v/>
      </c>
      <c r="U984" s="10">
        <f>IF(A984="D",LEFT(UPPER(E984)&amp;REPT(" ",15),15)," ")</f>
        <v/>
      </c>
      <c r="V984" s="10">
        <f>REPT(" ",24)</f>
        <v/>
      </c>
      <c r="W984" s="10">
        <f>IF(A984="c",LEFT(UPPER(B984)&amp;REPT(" ",20),20),REPT(" ",20))</f>
        <v/>
      </c>
      <c r="X984" s="10">
        <f>IF(A984="C",LEFT(UPPER(C984)&amp;REPT(" ",10),10)," ")</f>
        <v/>
      </c>
      <c r="Y984" s="10">
        <f>IF(A984="C",LEFT(UPPER(D984)&amp;REPT(" ",2),2)," ")</f>
        <v/>
      </c>
      <c r="Z984" s="10">
        <f>IF(A984="C",LEFT(UPPER(E984)&amp;REPT(" ",15),15)," ")</f>
        <v/>
      </c>
      <c r="AA984" s="10">
        <f>REPT(" ",8)</f>
        <v/>
      </c>
      <c r="AB984" s="10">
        <f>REPT(" ",4)</f>
        <v/>
      </c>
      <c r="AC984" s="10">
        <f>LEFT(UPPER(H984)&amp;REPT(" ",250),250)</f>
        <v/>
      </c>
      <c r="AD984" s="10">
        <f>TEXT($G$2,"dd/mm/aaaa")</f>
        <v/>
      </c>
      <c r="AE984" s="10">
        <f>REPT(" ",10)</f>
        <v/>
      </c>
      <c r="AF984" s="10">
        <f>REPT(" ",20)</f>
        <v/>
      </c>
      <c r="AG984" s="54">
        <f>REPT(" ",18-LEN(FIXED(F984,2,TRUE)))&amp;FIXED(F984,2,TRUE)</f>
        <v/>
      </c>
      <c r="AH984" s="10">
        <f>LEN(AC984)+LEN(AG984)</f>
        <v/>
      </c>
      <c r="AI984" s="10">
        <f>LEN(L984)</f>
        <v/>
      </c>
    </row>
    <row r="985">
      <c r="J985" s="12">
        <f>IF(F985&lt;&gt;0,"LANÇAR","")</f>
        <v/>
      </c>
      <c r="L985" s="13">
        <f>N985&amp;O985&amp;P985&amp;Q985&amp;R985&amp;S985&amp;T985&amp;U985&amp;V985&amp;W985&amp;X985&amp;Y985&amp;Z985&amp;AA985&amp;AB985&amp;AC985&amp;AD985&amp;AE985&amp;AF985&amp;AG985</f>
        <v/>
      </c>
      <c r="N985" s="10">
        <f>TEXT($B$6,"00")</f>
        <v/>
      </c>
      <c r="O985" s="10">
        <f>REPT(" ",8)</f>
        <v/>
      </c>
      <c r="P985" s="10">
        <f>RIGHT($B$4,2)</f>
        <v/>
      </c>
      <c r="Q985" s="10">
        <f>RIGHT($B$5,3)</f>
        <v/>
      </c>
      <c r="R985" s="10">
        <f>IF(A985="D",LEFT(UPPER(B985)&amp;REPT(" ",20),20),REPT(" ",20))</f>
        <v/>
      </c>
      <c r="S985" s="10">
        <f>IF(A985="D",LEFT(UPPER(C985)&amp;REPT(" ",10),10)," ")</f>
        <v/>
      </c>
      <c r="T985" s="10">
        <f>IF(A985="D",LEFT(UPPER(D985)&amp;REPT(" ",2),2)," ")</f>
        <v/>
      </c>
      <c r="U985" s="10">
        <f>IF(A985="D",LEFT(UPPER(E985)&amp;REPT(" ",15),15)," ")</f>
        <v/>
      </c>
      <c r="V985" s="10">
        <f>REPT(" ",24)</f>
        <v/>
      </c>
      <c r="W985" s="10">
        <f>IF(A985="c",LEFT(UPPER(B985)&amp;REPT(" ",20),20),REPT(" ",20))</f>
        <v/>
      </c>
      <c r="X985" s="10">
        <f>IF(A985="C",LEFT(UPPER(C985)&amp;REPT(" ",10),10)," ")</f>
        <v/>
      </c>
      <c r="Y985" s="10">
        <f>IF(A985="C",LEFT(UPPER(D985)&amp;REPT(" ",2),2)," ")</f>
        <v/>
      </c>
      <c r="Z985" s="10">
        <f>IF(A985="C",LEFT(UPPER(E985)&amp;REPT(" ",15),15)," ")</f>
        <v/>
      </c>
      <c r="AA985" s="10">
        <f>REPT(" ",8)</f>
        <v/>
      </c>
      <c r="AB985" s="10">
        <f>REPT(" ",4)</f>
        <v/>
      </c>
      <c r="AC985" s="10">
        <f>LEFT(UPPER(H985)&amp;REPT(" ",250),250)</f>
        <v/>
      </c>
      <c r="AD985" s="10">
        <f>TEXT($G$2,"dd/mm/aaaa")</f>
        <v/>
      </c>
      <c r="AE985" s="10">
        <f>REPT(" ",10)</f>
        <v/>
      </c>
      <c r="AF985" s="10">
        <f>REPT(" ",20)</f>
        <v/>
      </c>
      <c r="AG985" s="54">
        <f>REPT(" ",18-LEN(FIXED(F985,2,TRUE)))&amp;FIXED(F985,2,TRUE)</f>
        <v/>
      </c>
      <c r="AH985" s="10">
        <f>LEN(AC985)+LEN(AG985)</f>
        <v/>
      </c>
      <c r="AI985" s="10">
        <f>LEN(L985)</f>
        <v/>
      </c>
    </row>
    <row r="986">
      <c r="J986" s="12">
        <f>IF(F986&lt;&gt;0,"LANÇAR","")</f>
        <v/>
      </c>
      <c r="L986" s="13">
        <f>N986&amp;O986&amp;P986&amp;Q986&amp;R986&amp;S986&amp;T986&amp;U986&amp;V986&amp;W986&amp;X986&amp;Y986&amp;Z986&amp;AA986&amp;AB986&amp;AC986&amp;AD986&amp;AE986&amp;AF986&amp;AG986</f>
        <v/>
      </c>
      <c r="N986" s="10">
        <f>TEXT($B$6,"00")</f>
        <v/>
      </c>
      <c r="O986" s="10">
        <f>REPT(" ",8)</f>
        <v/>
      </c>
      <c r="P986" s="10">
        <f>RIGHT($B$4,2)</f>
        <v/>
      </c>
      <c r="Q986" s="10">
        <f>RIGHT($B$5,3)</f>
        <v/>
      </c>
      <c r="R986" s="10">
        <f>IF(A986="D",LEFT(UPPER(B986)&amp;REPT(" ",20),20),REPT(" ",20))</f>
        <v/>
      </c>
      <c r="S986" s="10">
        <f>IF(A986="D",LEFT(UPPER(C986)&amp;REPT(" ",10),10)," ")</f>
        <v/>
      </c>
      <c r="T986" s="10">
        <f>IF(A986="D",LEFT(UPPER(D986)&amp;REPT(" ",2),2)," ")</f>
        <v/>
      </c>
      <c r="U986" s="10">
        <f>IF(A986="D",LEFT(UPPER(E986)&amp;REPT(" ",15),15)," ")</f>
        <v/>
      </c>
      <c r="V986" s="10">
        <f>REPT(" ",24)</f>
        <v/>
      </c>
      <c r="W986" s="10">
        <f>IF(A986="c",LEFT(UPPER(B986)&amp;REPT(" ",20),20),REPT(" ",20))</f>
        <v/>
      </c>
      <c r="X986" s="10">
        <f>IF(A986="C",LEFT(UPPER(C986)&amp;REPT(" ",10),10)," ")</f>
        <v/>
      </c>
      <c r="Y986" s="10">
        <f>IF(A986="C",LEFT(UPPER(D986)&amp;REPT(" ",2),2)," ")</f>
        <v/>
      </c>
      <c r="Z986" s="10">
        <f>IF(A986="C",LEFT(UPPER(E986)&amp;REPT(" ",15),15)," ")</f>
        <v/>
      </c>
      <c r="AA986" s="10">
        <f>REPT(" ",8)</f>
        <v/>
      </c>
      <c r="AB986" s="10">
        <f>REPT(" ",4)</f>
        <v/>
      </c>
      <c r="AC986" s="10">
        <f>LEFT(UPPER(H986)&amp;REPT(" ",250),250)</f>
        <v/>
      </c>
      <c r="AD986" s="10">
        <f>TEXT($G$2,"dd/mm/aaaa")</f>
        <v/>
      </c>
      <c r="AE986" s="10">
        <f>REPT(" ",10)</f>
        <v/>
      </c>
      <c r="AF986" s="10">
        <f>REPT(" ",20)</f>
        <v/>
      </c>
      <c r="AG986" s="54">
        <f>REPT(" ",18-LEN(FIXED(F986,2,TRUE)))&amp;FIXED(F986,2,TRUE)</f>
        <v/>
      </c>
      <c r="AH986" s="10">
        <f>LEN(AC986)+LEN(AG986)</f>
        <v/>
      </c>
      <c r="AI986" s="10">
        <f>LEN(L986)</f>
        <v/>
      </c>
    </row>
    <row r="987">
      <c r="J987" s="12">
        <f>IF(F987&lt;&gt;0,"LANÇAR","")</f>
        <v/>
      </c>
      <c r="L987" s="13">
        <f>N987&amp;O987&amp;P987&amp;Q987&amp;R987&amp;S987&amp;T987&amp;U987&amp;V987&amp;W987&amp;X987&amp;Y987&amp;Z987&amp;AA987&amp;AB987&amp;AC987&amp;AD987&amp;AE987&amp;AF987&amp;AG987</f>
        <v/>
      </c>
      <c r="N987" s="10">
        <f>TEXT($B$6,"00")</f>
        <v/>
      </c>
      <c r="O987" s="10">
        <f>REPT(" ",8)</f>
        <v/>
      </c>
      <c r="P987" s="10">
        <f>RIGHT($B$4,2)</f>
        <v/>
      </c>
      <c r="Q987" s="10">
        <f>RIGHT($B$5,3)</f>
        <v/>
      </c>
      <c r="R987" s="10">
        <f>IF(A987="D",LEFT(UPPER(B987)&amp;REPT(" ",20),20),REPT(" ",20))</f>
        <v/>
      </c>
      <c r="S987" s="10">
        <f>IF(A987="D",LEFT(UPPER(C987)&amp;REPT(" ",10),10)," ")</f>
        <v/>
      </c>
      <c r="T987" s="10">
        <f>IF(A987="D",LEFT(UPPER(D987)&amp;REPT(" ",2),2)," ")</f>
        <v/>
      </c>
      <c r="U987" s="10">
        <f>IF(A987="D",LEFT(UPPER(E987)&amp;REPT(" ",15),15)," ")</f>
        <v/>
      </c>
      <c r="V987" s="10">
        <f>REPT(" ",24)</f>
        <v/>
      </c>
      <c r="W987" s="10">
        <f>IF(A987="c",LEFT(UPPER(B987)&amp;REPT(" ",20),20),REPT(" ",20))</f>
        <v/>
      </c>
      <c r="X987" s="10">
        <f>IF(A987="C",LEFT(UPPER(C987)&amp;REPT(" ",10),10)," ")</f>
        <v/>
      </c>
      <c r="Y987" s="10">
        <f>IF(A987="C",LEFT(UPPER(D987)&amp;REPT(" ",2),2)," ")</f>
        <v/>
      </c>
      <c r="Z987" s="10">
        <f>IF(A987="C",LEFT(UPPER(E987)&amp;REPT(" ",15),15)," ")</f>
        <v/>
      </c>
      <c r="AA987" s="10">
        <f>REPT(" ",8)</f>
        <v/>
      </c>
      <c r="AB987" s="10">
        <f>REPT(" ",4)</f>
        <v/>
      </c>
      <c r="AC987" s="10">
        <f>LEFT(UPPER(H987)&amp;REPT(" ",250),250)</f>
        <v/>
      </c>
      <c r="AD987" s="10">
        <f>TEXT($G$2,"dd/mm/aaaa")</f>
        <v/>
      </c>
      <c r="AE987" s="10">
        <f>REPT(" ",10)</f>
        <v/>
      </c>
      <c r="AF987" s="10">
        <f>REPT(" ",20)</f>
        <v/>
      </c>
      <c r="AG987" s="54">
        <f>REPT(" ",18-LEN(FIXED(F987,2,TRUE)))&amp;FIXED(F987,2,TRUE)</f>
        <v/>
      </c>
      <c r="AH987" s="10">
        <f>LEN(AC987)+LEN(AG987)</f>
        <v/>
      </c>
      <c r="AI987" s="10">
        <f>LEN(L987)</f>
        <v/>
      </c>
    </row>
    <row r="988">
      <c r="J988" s="12">
        <f>IF(F988&lt;&gt;0,"LANÇAR","")</f>
        <v/>
      </c>
      <c r="L988" s="13">
        <f>N988&amp;O988&amp;P988&amp;Q988&amp;R988&amp;S988&amp;T988&amp;U988&amp;V988&amp;W988&amp;X988&amp;Y988&amp;Z988&amp;AA988&amp;AB988&amp;AC988&amp;AD988&amp;AE988&amp;AF988&amp;AG988</f>
        <v/>
      </c>
      <c r="N988" s="10">
        <f>TEXT($B$6,"00")</f>
        <v/>
      </c>
      <c r="O988" s="10">
        <f>REPT(" ",8)</f>
        <v/>
      </c>
      <c r="P988" s="10">
        <f>RIGHT($B$4,2)</f>
        <v/>
      </c>
      <c r="Q988" s="10">
        <f>RIGHT($B$5,3)</f>
        <v/>
      </c>
      <c r="R988" s="10">
        <f>IF(A988="D",LEFT(UPPER(B988)&amp;REPT(" ",20),20),REPT(" ",20))</f>
        <v/>
      </c>
      <c r="S988" s="10">
        <f>IF(A988="D",LEFT(UPPER(C988)&amp;REPT(" ",10),10)," ")</f>
        <v/>
      </c>
      <c r="T988" s="10">
        <f>IF(A988="D",LEFT(UPPER(D988)&amp;REPT(" ",2),2)," ")</f>
        <v/>
      </c>
      <c r="U988" s="10">
        <f>IF(A988="D",LEFT(UPPER(E988)&amp;REPT(" ",15),15)," ")</f>
        <v/>
      </c>
      <c r="V988" s="10">
        <f>REPT(" ",24)</f>
        <v/>
      </c>
      <c r="W988" s="10">
        <f>IF(A988="c",LEFT(UPPER(B988)&amp;REPT(" ",20),20),REPT(" ",20))</f>
        <v/>
      </c>
      <c r="X988" s="10">
        <f>IF(A988="C",LEFT(UPPER(C988)&amp;REPT(" ",10),10)," ")</f>
        <v/>
      </c>
      <c r="Y988" s="10">
        <f>IF(A988="C",LEFT(UPPER(D988)&amp;REPT(" ",2),2)," ")</f>
        <v/>
      </c>
      <c r="Z988" s="10">
        <f>IF(A988="C",LEFT(UPPER(E988)&amp;REPT(" ",15),15)," ")</f>
        <v/>
      </c>
      <c r="AA988" s="10">
        <f>REPT(" ",8)</f>
        <v/>
      </c>
      <c r="AB988" s="10">
        <f>REPT(" ",4)</f>
        <v/>
      </c>
      <c r="AC988" s="10">
        <f>LEFT(UPPER(H988)&amp;REPT(" ",250),250)</f>
        <v/>
      </c>
      <c r="AD988" s="10">
        <f>TEXT($G$2,"dd/mm/aaaa")</f>
        <v/>
      </c>
      <c r="AE988" s="10">
        <f>REPT(" ",10)</f>
        <v/>
      </c>
      <c r="AF988" s="10">
        <f>REPT(" ",20)</f>
        <v/>
      </c>
      <c r="AG988" s="54">
        <f>REPT(" ",18-LEN(FIXED(F988,2,TRUE)))&amp;FIXED(F988,2,TRUE)</f>
        <v/>
      </c>
      <c r="AH988" s="10">
        <f>LEN(AC988)+LEN(AG988)</f>
        <v/>
      </c>
      <c r="AI988" s="10">
        <f>LEN(L988)</f>
        <v/>
      </c>
    </row>
    <row r="989">
      <c r="J989" s="12">
        <f>IF(F989&lt;&gt;0,"LANÇAR","")</f>
        <v/>
      </c>
      <c r="L989" s="13">
        <f>N989&amp;O989&amp;P989&amp;Q989&amp;R989&amp;S989&amp;T989&amp;U989&amp;V989&amp;W989&amp;X989&amp;Y989&amp;Z989&amp;AA989&amp;AB989&amp;AC989&amp;AD989&amp;AE989&amp;AF989&amp;AG989</f>
        <v/>
      </c>
      <c r="N989" s="10">
        <f>TEXT($B$6,"00")</f>
        <v/>
      </c>
      <c r="O989" s="10">
        <f>REPT(" ",8)</f>
        <v/>
      </c>
      <c r="P989" s="10">
        <f>RIGHT($B$4,2)</f>
        <v/>
      </c>
      <c r="Q989" s="10">
        <f>RIGHT($B$5,3)</f>
        <v/>
      </c>
      <c r="R989" s="10">
        <f>IF(A989="D",LEFT(UPPER(B989)&amp;REPT(" ",20),20),REPT(" ",20))</f>
        <v/>
      </c>
      <c r="S989" s="10">
        <f>IF(A989="D",LEFT(UPPER(C989)&amp;REPT(" ",10),10)," ")</f>
        <v/>
      </c>
      <c r="T989" s="10">
        <f>IF(A989="D",LEFT(UPPER(D989)&amp;REPT(" ",2),2)," ")</f>
        <v/>
      </c>
      <c r="U989" s="10">
        <f>IF(A989="D",LEFT(UPPER(E989)&amp;REPT(" ",15),15)," ")</f>
        <v/>
      </c>
      <c r="V989" s="10">
        <f>REPT(" ",24)</f>
        <v/>
      </c>
      <c r="W989" s="10">
        <f>IF(A989="c",LEFT(UPPER(B989)&amp;REPT(" ",20),20),REPT(" ",20))</f>
        <v/>
      </c>
      <c r="X989" s="10">
        <f>IF(A989="C",LEFT(UPPER(C989)&amp;REPT(" ",10),10)," ")</f>
        <v/>
      </c>
      <c r="Y989" s="10">
        <f>IF(A989="C",LEFT(UPPER(D989)&amp;REPT(" ",2),2)," ")</f>
        <v/>
      </c>
      <c r="Z989" s="10">
        <f>IF(A989="C",LEFT(UPPER(E989)&amp;REPT(" ",15),15)," ")</f>
        <v/>
      </c>
      <c r="AA989" s="10">
        <f>REPT(" ",8)</f>
        <v/>
      </c>
      <c r="AB989" s="10">
        <f>REPT(" ",4)</f>
        <v/>
      </c>
      <c r="AC989" s="10">
        <f>LEFT(UPPER(H989)&amp;REPT(" ",250),250)</f>
        <v/>
      </c>
      <c r="AD989" s="10">
        <f>TEXT($G$2,"dd/mm/aaaa")</f>
        <v/>
      </c>
      <c r="AE989" s="10">
        <f>REPT(" ",10)</f>
        <v/>
      </c>
      <c r="AF989" s="10">
        <f>REPT(" ",20)</f>
        <v/>
      </c>
      <c r="AG989" s="54">
        <f>REPT(" ",18-LEN(FIXED(F989,2,TRUE)))&amp;FIXED(F989,2,TRUE)</f>
        <v/>
      </c>
      <c r="AH989" s="10">
        <f>LEN(AC989)+LEN(AG989)</f>
        <v/>
      </c>
      <c r="AI989" s="10">
        <f>LEN(L989)</f>
        <v/>
      </c>
    </row>
    <row r="990">
      <c r="J990" s="12">
        <f>IF(F990&lt;&gt;0,"LANÇAR","")</f>
        <v/>
      </c>
      <c r="L990" s="13">
        <f>N990&amp;O990&amp;P990&amp;Q990&amp;R990&amp;S990&amp;T990&amp;U990&amp;V990&amp;W990&amp;X990&amp;Y990&amp;Z990&amp;AA990&amp;AB990&amp;AC990&amp;AD990&amp;AE990&amp;AF990&amp;AG990</f>
        <v/>
      </c>
      <c r="N990" s="10">
        <f>TEXT($B$6,"00")</f>
        <v/>
      </c>
      <c r="O990" s="10">
        <f>REPT(" ",8)</f>
        <v/>
      </c>
      <c r="P990" s="10">
        <f>RIGHT($B$4,2)</f>
        <v/>
      </c>
      <c r="Q990" s="10">
        <f>RIGHT($B$5,3)</f>
        <v/>
      </c>
      <c r="R990" s="10">
        <f>IF(A990="D",LEFT(UPPER(B990)&amp;REPT(" ",20),20),REPT(" ",20))</f>
        <v/>
      </c>
      <c r="S990" s="10">
        <f>IF(A990="D",LEFT(UPPER(C990)&amp;REPT(" ",10),10)," ")</f>
        <v/>
      </c>
      <c r="T990" s="10">
        <f>IF(A990="D",LEFT(UPPER(D990)&amp;REPT(" ",2),2)," ")</f>
        <v/>
      </c>
      <c r="U990" s="10">
        <f>IF(A990="D",LEFT(UPPER(E990)&amp;REPT(" ",15),15)," ")</f>
        <v/>
      </c>
      <c r="V990" s="10">
        <f>REPT(" ",24)</f>
        <v/>
      </c>
      <c r="W990" s="10">
        <f>IF(A990="c",LEFT(UPPER(B990)&amp;REPT(" ",20),20),REPT(" ",20))</f>
        <v/>
      </c>
      <c r="X990" s="10">
        <f>IF(A990="C",LEFT(UPPER(C990)&amp;REPT(" ",10),10)," ")</f>
        <v/>
      </c>
      <c r="Y990" s="10">
        <f>IF(A990="C",LEFT(UPPER(D990)&amp;REPT(" ",2),2)," ")</f>
        <v/>
      </c>
      <c r="Z990" s="10">
        <f>IF(A990="C",LEFT(UPPER(E990)&amp;REPT(" ",15),15)," ")</f>
        <v/>
      </c>
      <c r="AA990" s="10">
        <f>REPT(" ",8)</f>
        <v/>
      </c>
      <c r="AB990" s="10">
        <f>REPT(" ",4)</f>
        <v/>
      </c>
      <c r="AC990" s="10">
        <f>LEFT(UPPER(H990)&amp;REPT(" ",250),250)</f>
        <v/>
      </c>
      <c r="AD990" s="10">
        <f>TEXT($G$2,"dd/mm/aaaa")</f>
        <v/>
      </c>
      <c r="AE990" s="10">
        <f>REPT(" ",10)</f>
        <v/>
      </c>
      <c r="AF990" s="10">
        <f>REPT(" ",20)</f>
        <v/>
      </c>
      <c r="AG990" s="54">
        <f>REPT(" ",18-LEN(FIXED(F990,2,TRUE)))&amp;FIXED(F990,2,TRUE)</f>
        <v/>
      </c>
      <c r="AH990" s="10">
        <f>LEN(AC990)+LEN(AG990)</f>
        <v/>
      </c>
      <c r="AI990" s="10">
        <f>LEN(L990)</f>
        <v/>
      </c>
    </row>
    <row r="991">
      <c r="J991" s="12">
        <f>IF(F991&lt;&gt;0,"LANÇAR","")</f>
        <v/>
      </c>
      <c r="L991" s="13">
        <f>N991&amp;O991&amp;P991&amp;Q991&amp;R991&amp;S991&amp;T991&amp;U991&amp;V991&amp;W991&amp;X991&amp;Y991&amp;Z991&amp;AA991&amp;AB991&amp;AC991&amp;AD991&amp;AE991&amp;AF991&amp;AG991</f>
        <v/>
      </c>
      <c r="N991" s="10">
        <f>TEXT($B$6,"00")</f>
        <v/>
      </c>
      <c r="O991" s="10">
        <f>REPT(" ",8)</f>
        <v/>
      </c>
      <c r="P991" s="10">
        <f>RIGHT($B$4,2)</f>
        <v/>
      </c>
      <c r="Q991" s="10">
        <f>RIGHT($B$5,3)</f>
        <v/>
      </c>
      <c r="R991" s="10">
        <f>IF(A991="D",LEFT(UPPER(B991)&amp;REPT(" ",20),20),REPT(" ",20))</f>
        <v/>
      </c>
      <c r="S991" s="10">
        <f>IF(A991="D",LEFT(UPPER(C991)&amp;REPT(" ",10),10)," ")</f>
        <v/>
      </c>
      <c r="T991" s="10">
        <f>IF(A991="D",LEFT(UPPER(D991)&amp;REPT(" ",2),2)," ")</f>
        <v/>
      </c>
      <c r="U991" s="10">
        <f>IF(A991="D",LEFT(UPPER(E991)&amp;REPT(" ",15),15)," ")</f>
        <v/>
      </c>
      <c r="V991" s="10">
        <f>REPT(" ",24)</f>
        <v/>
      </c>
      <c r="W991" s="10">
        <f>IF(A991="c",LEFT(UPPER(B991)&amp;REPT(" ",20),20),REPT(" ",20))</f>
        <v/>
      </c>
      <c r="X991" s="10">
        <f>IF(A991="C",LEFT(UPPER(C991)&amp;REPT(" ",10),10)," ")</f>
        <v/>
      </c>
      <c r="Y991" s="10">
        <f>IF(A991="C",LEFT(UPPER(D991)&amp;REPT(" ",2),2)," ")</f>
        <v/>
      </c>
      <c r="Z991" s="10">
        <f>IF(A991="C",LEFT(UPPER(E991)&amp;REPT(" ",15),15)," ")</f>
        <v/>
      </c>
      <c r="AA991" s="10">
        <f>REPT(" ",8)</f>
        <v/>
      </c>
      <c r="AB991" s="10">
        <f>REPT(" ",4)</f>
        <v/>
      </c>
      <c r="AC991" s="10">
        <f>LEFT(UPPER(H991)&amp;REPT(" ",250),250)</f>
        <v/>
      </c>
      <c r="AD991" s="10">
        <f>TEXT($G$2,"dd/mm/aaaa")</f>
        <v/>
      </c>
      <c r="AE991" s="10">
        <f>REPT(" ",10)</f>
        <v/>
      </c>
      <c r="AF991" s="10">
        <f>REPT(" ",20)</f>
        <v/>
      </c>
      <c r="AG991" s="54">
        <f>REPT(" ",18-LEN(FIXED(F991,2,TRUE)))&amp;FIXED(F991,2,TRUE)</f>
        <v/>
      </c>
      <c r="AH991" s="10">
        <f>LEN(AC991)+LEN(AG991)</f>
        <v/>
      </c>
      <c r="AI991" s="10">
        <f>LEN(L991)</f>
        <v/>
      </c>
    </row>
    <row r="992">
      <c r="J992" s="12">
        <f>IF(F992&lt;&gt;0,"LANÇAR","")</f>
        <v/>
      </c>
      <c r="L992" s="13">
        <f>N992&amp;O992&amp;P992&amp;Q992&amp;R992&amp;S992&amp;T992&amp;U992&amp;V992&amp;W992&amp;X992&amp;Y992&amp;Z992&amp;AA992&amp;AB992&amp;AC992&amp;AD992&amp;AE992&amp;AF992&amp;AG992</f>
        <v/>
      </c>
      <c r="N992" s="10">
        <f>TEXT($B$6,"00")</f>
        <v/>
      </c>
      <c r="O992" s="10">
        <f>REPT(" ",8)</f>
        <v/>
      </c>
      <c r="P992" s="10">
        <f>RIGHT($B$4,2)</f>
        <v/>
      </c>
      <c r="Q992" s="10">
        <f>RIGHT($B$5,3)</f>
        <v/>
      </c>
      <c r="R992" s="10">
        <f>IF(A992="D",LEFT(UPPER(B992)&amp;REPT(" ",20),20),REPT(" ",20))</f>
        <v/>
      </c>
      <c r="S992" s="10">
        <f>IF(A992="D",LEFT(UPPER(C992)&amp;REPT(" ",10),10)," ")</f>
        <v/>
      </c>
      <c r="T992" s="10">
        <f>IF(A992="D",LEFT(UPPER(D992)&amp;REPT(" ",2),2)," ")</f>
        <v/>
      </c>
      <c r="U992" s="10">
        <f>IF(A992="D",LEFT(UPPER(E992)&amp;REPT(" ",15),15)," ")</f>
        <v/>
      </c>
      <c r="V992" s="10">
        <f>REPT(" ",24)</f>
        <v/>
      </c>
      <c r="W992" s="10">
        <f>IF(A992="c",LEFT(UPPER(B992)&amp;REPT(" ",20),20),REPT(" ",20))</f>
        <v/>
      </c>
      <c r="X992" s="10">
        <f>IF(A992="C",LEFT(UPPER(C992)&amp;REPT(" ",10),10)," ")</f>
        <v/>
      </c>
      <c r="Y992" s="10">
        <f>IF(A992="C",LEFT(UPPER(D992)&amp;REPT(" ",2),2)," ")</f>
        <v/>
      </c>
      <c r="Z992" s="10">
        <f>IF(A992="C",LEFT(UPPER(E992)&amp;REPT(" ",15),15)," ")</f>
        <v/>
      </c>
      <c r="AA992" s="10">
        <f>REPT(" ",8)</f>
        <v/>
      </c>
      <c r="AB992" s="10">
        <f>REPT(" ",4)</f>
        <v/>
      </c>
      <c r="AC992" s="10">
        <f>LEFT(UPPER(H992)&amp;REPT(" ",250),250)</f>
        <v/>
      </c>
      <c r="AD992" s="10">
        <f>TEXT($G$2,"dd/mm/aaaa")</f>
        <v/>
      </c>
      <c r="AE992" s="10">
        <f>REPT(" ",10)</f>
        <v/>
      </c>
      <c r="AF992" s="10">
        <f>REPT(" ",20)</f>
        <v/>
      </c>
      <c r="AG992" s="54">
        <f>REPT(" ",18-LEN(FIXED(F992,2,TRUE)))&amp;FIXED(F992,2,TRUE)</f>
        <v/>
      </c>
      <c r="AH992" s="10">
        <f>LEN(AC992)+LEN(AG992)</f>
        <v/>
      </c>
      <c r="AI992" s="10">
        <f>LEN(L992)</f>
        <v/>
      </c>
    </row>
    <row r="993">
      <c r="J993" s="12">
        <f>IF(F993&lt;&gt;0,"LANÇAR","")</f>
        <v/>
      </c>
      <c r="L993" s="13">
        <f>N993&amp;O993&amp;P993&amp;Q993&amp;R993&amp;S993&amp;T993&amp;U993&amp;V993&amp;W993&amp;X993&amp;Y993&amp;Z993&amp;AA993&amp;AB993&amp;AC993&amp;AD993&amp;AE993&amp;AF993&amp;AG993</f>
        <v/>
      </c>
      <c r="N993" s="10">
        <f>TEXT($B$6,"00")</f>
        <v/>
      </c>
      <c r="O993" s="10">
        <f>REPT(" ",8)</f>
        <v/>
      </c>
      <c r="P993" s="10">
        <f>RIGHT($B$4,2)</f>
        <v/>
      </c>
      <c r="Q993" s="10">
        <f>RIGHT($B$5,3)</f>
        <v/>
      </c>
      <c r="R993" s="10">
        <f>IF(A993="D",LEFT(UPPER(B993)&amp;REPT(" ",20),20),REPT(" ",20))</f>
        <v/>
      </c>
      <c r="S993" s="10">
        <f>IF(A993="D",LEFT(UPPER(C993)&amp;REPT(" ",10),10)," ")</f>
        <v/>
      </c>
      <c r="T993" s="10">
        <f>IF(A993="D",LEFT(UPPER(D993)&amp;REPT(" ",2),2)," ")</f>
        <v/>
      </c>
      <c r="U993" s="10">
        <f>IF(A993="D",LEFT(UPPER(E993)&amp;REPT(" ",15),15)," ")</f>
        <v/>
      </c>
      <c r="V993" s="10">
        <f>REPT(" ",24)</f>
        <v/>
      </c>
      <c r="W993" s="10">
        <f>IF(A993="c",LEFT(UPPER(B993)&amp;REPT(" ",20),20),REPT(" ",20))</f>
        <v/>
      </c>
      <c r="X993" s="10">
        <f>IF(A993="C",LEFT(UPPER(C993)&amp;REPT(" ",10),10)," ")</f>
        <v/>
      </c>
      <c r="Y993" s="10">
        <f>IF(A993="C",LEFT(UPPER(D993)&amp;REPT(" ",2),2)," ")</f>
        <v/>
      </c>
      <c r="Z993" s="10">
        <f>IF(A993="C",LEFT(UPPER(E993)&amp;REPT(" ",15),15)," ")</f>
        <v/>
      </c>
      <c r="AA993" s="10">
        <f>REPT(" ",8)</f>
        <v/>
      </c>
      <c r="AB993" s="10">
        <f>REPT(" ",4)</f>
        <v/>
      </c>
      <c r="AC993" s="10">
        <f>LEFT(UPPER(H993)&amp;REPT(" ",250),250)</f>
        <v/>
      </c>
      <c r="AD993" s="10">
        <f>TEXT($G$2,"dd/mm/aaaa")</f>
        <v/>
      </c>
      <c r="AE993" s="10">
        <f>REPT(" ",10)</f>
        <v/>
      </c>
      <c r="AF993" s="10">
        <f>REPT(" ",20)</f>
        <v/>
      </c>
      <c r="AG993" s="54">
        <f>REPT(" ",18-LEN(FIXED(F993,2,TRUE)))&amp;FIXED(F993,2,TRUE)</f>
        <v/>
      </c>
      <c r="AH993" s="10">
        <f>LEN(AC993)+LEN(AG993)</f>
        <v/>
      </c>
      <c r="AI993" s="10">
        <f>LEN(L993)</f>
        <v/>
      </c>
    </row>
    <row r="994">
      <c r="J994" s="12">
        <f>IF(F994&lt;&gt;0,"LANÇAR","")</f>
        <v/>
      </c>
      <c r="L994" s="13">
        <f>N994&amp;O994&amp;P994&amp;Q994&amp;R994&amp;S994&amp;T994&amp;U994&amp;V994&amp;W994&amp;X994&amp;Y994&amp;Z994&amp;AA994&amp;AB994&amp;AC994&amp;AD994&amp;AE994&amp;AF994&amp;AG994</f>
        <v/>
      </c>
      <c r="N994" s="10">
        <f>TEXT($B$6,"00")</f>
        <v/>
      </c>
      <c r="O994" s="10">
        <f>REPT(" ",8)</f>
        <v/>
      </c>
      <c r="P994" s="10">
        <f>RIGHT($B$4,2)</f>
        <v/>
      </c>
      <c r="Q994" s="10">
        <f>RIGHT($B$5,3)</f>
        <v/>
      </c>
      <c r="R994" s="10">
        <f>IF(A994="D",LEFT(UPPER(B994)&amp;REPT(" ",20),20),REPT(" ",20))</f>
        <v/>
      </c>
      <c r="S994" s="10">
        <f>IF(A994="D",LEFT(UPPER(C994)&amp;REPT(" ",10),10)," ")</f>
        <v/>
      </c>
      <c r="T994" s="10">
        <f>IF(A994="D",LEFT(UPPER(D994)&amp;REPT(" ",2),2)," ")</f>
        <v/>
      </c>
      <c r="U994" s="10">
        <f>IF(A994="D",LEFT(UPPER(E994)&amp;REPT(" ",15),15)," ")</f>
        <v/>
      </c>
      <c r="V994" s="10">
        <f>REPT(" ",24)</f>
        <v/>
      </c>
      <c r="W994" s="10">
        <f>IF(A994="c",LEFT(UPPER(B994)&amp;REPT(" ",20),20),REPT(" ",20))</f>
        <v/>
      </c>
      <c r="X994" s="10">
        <f>IF(A994="C",LEFT(UPPER(C994)&amp;REPT(" ",10),10)," ")</f>
        <v/>
      </c>
      <c r="Y994" s="10">
        <f>IF(A994="C",LEFT(UPPER(D994)&amp;REPT(" ",2),2)," ")</f>
        <v/>
      </c>
      <c r="Z994" s="10">
        <f>IF(A994="C",LEFT(UPPER(E994)&amp;REPT(" ",15),15)," ")</f>
        <v/>
      </c>
      <c r="AA994" s="10">
        <f>REPT(" ",8)</f>
        <v/>
      </c>
      <c r="AB994" s="10">
        <f>REPT(" ",4)</f>
        <v/>
      </c>
      <c r="AC994" s="10">
        <f>LEFT(UPPER(H994)&amp;REPT(" ",250),250)</f>
        <v/>
      </c>
      <c r="AD994" s="10">
        <f>TEXT($G$2,"dd/mm/aaaa")</f>
        <v/>
      </c>
      <c r="AE994" s="10">
        <f>REPT(" ",10)</f>
        <v/>
      </c>
      <c r="AF994" s="10">
        <f>REPT(" ",20)</f>
        <v/>
      </c>
      <c r="AG994" s="54">
        <f>REPT(" ",18-LEN(FIXED(F994,2,TRUE)))&amp;FIXED(F994,2,TRUE)</f>
        <v/>
      </c>
      <c r="AH994" s="10">
        <f>LEN(AC994)+LEN(AG994)</f>
        <v/>
      </c>
      <c r="AI994" s="10">
        <f>LEN(L994)</f>
        <v/>
      </c>
    </row>
    <row r="995">
      <c r="J995" s="12">
        <f>IF(F995&lt;&gt;0,"LANÇAR","")</f>
        <v/>
      </c>
      <c r="L995" s="13">
        <f>N995&amp;O995&amp;P995&amp;Q995&amp;R995&amp;S995&amp;T995&amp;U995&amp;V995&amp;W995&amp;X995&amp;Y995&amp;Z995&amp;AA995&amp;AB995&amp;AC995&amp;AD995&amp;AE995&amp;AF995&amp;AG995</f>
        <v/>
      </c>
      <c r="N995" s="10">
        <f>TEXT($B$6,"00")</f>
        <v/>
      </c>
      <c r="O995" s="10">
        <f>REPT(" ",8)</f>
        <v/>
      </c>
      <c r="P995" s="10">
        <f>RIGHT($B$4,2)</f>
        <v/>
      </c>
      <c r="Q995" s="10">
        <f>RIGHT($B$5,3)</f>
        <v/>
      </c>
      <c r="R995" s="10">
        <f>IF(A995="D",LEFT(UPPER(B995)&amp;REPT(" ",20),20),REPT(" ",20))</f>
        <v/>
      </c>
      <c r="S995" s="10">
        <f>IF(A995="D",LEFT(UPPER(C995)&amp;REPT(" ",10),10)," ")</f>
        <v/>
      </c>
      <c r="T995" s="10">
        <f>IF(A995="D",LEFT(UPPER(D995)&amp;REPT(" ",2),2)," ")</f>
        <v/>
      </c>
      <c r="U995" s="10">
        <f>IF(A995="D",LEFT(UPPER(E995)&amp;REPT(" ",15),15)," ")</f>
        <v/>
      </c>
      <c r="V995" s="10">
        <f>REPT(" ",24)</f>
        <v/>
      </c>
      <c r="W995" s="10">
        <f>IF(A995="c",LEFT(UPPER(B995)&amp;REPT(" ",20),20),REPT(" ",20))</f>
        <v/>
      </c>
      <c r="X995" s="10">
        <f>IF(A995="C",LEFT(UPPER(C995)&amp;REPT(" ",10),10)," ")</f>
        <v/>
      </c>
      <c r="Y995" s="10">
        <f>IF(A995="C",LEFT(UPPER(D995)&amp;REPT(" ",2),2)," ")</f>
        <v/>
      </c>
      <c r="Z995" s="10">
        <f>IF(A995="C",LEFT(UPPER(E995)&amp;REPT(" ",15),15)," ")</f>
        <v/>
      </c>
      <c r="AA995" s="10">
        <f>REPT(" ",8)</f>
        <v/>
      </c>
      <c r="AB995" s="10">
        <f>REPT(" ",4)</f>
        <v/>
      </c>
      <c r="AC995" s="10">
        <f>LEFT(UPPER(H995)&amp;REPT(" ",250),250)</f>
        <v/>
      </c>
      <c r="AD995" s="10">
        <f>TEXT($G$2,"dd/mm/aaaa")</f>
        <v/>
      </c>
      <c r="AE995" s="10">
        <f>REPT(" ",10)</f>
        <v/>
      </c>
      <c r="AF995" s="10">
        <f>REPT(" ",20)</f>
        <v/>
      </c>
      <c r="AG995" s="54">
        <f>REPT(" ",18-LEN(FIXED(F995,2,TRUE)))&amp;FIXED(F995,2,TRUE)</f>
        <v/>
      </c>
      <c r="AH995" s="10">
        <f>LEN(AC995)+LEN(AG995)</f>
        <v/>
      </c>
      <c r="AI995" s="10">
        <f>LEN(L995)</f>
        <v/>
      </c>
    </row>
    <row r="996">
      <c r="J996" s="12">
        <f>IF(F996&lt;&gt;0,"LANÇAR","")</f>
        <v/>
      </c>
      <c r="L996" s="13">
        <f>N996&amp;O996&amp;P996&amp;Q996&amp;R996&amp;S996&amp;T996&amp;U996&amp;V996&amp;W996&amp;X996&amp;Y996&amp;Z996&amp;AA996&amp;AB996&amp;AC996&amp;AD996&amp;AE996&amp;AF996&amp;AG996</f>
        <v/>
      </c>
      <c r="N996" s="10">
        <f>TEXT($B$6,"00")</f>
        <v/>
      </c>
      <c r="O996" s="10">
        <f>REPT(" ",8)</f>
        <v/>
      </c>
      <c r="P996" s="10">
        <f>RIGHT($B$4,2)</f>
        <v/>
      </c>
      <c r="Q996" s="10">
        <f>RIGHT($B$5,3)</f>
        <v/>
      </c>
      <c r="R996" s="10">
        <f>IF(A996="D",LEFT(UPPER(B996)&amp;REPT(" ",20),20),REPT(" ",20))</f>
        <v/>
      </c>
      <c r="S996" s="10">
        <f>IF(A996="D",LEFT(UPPER(C996)&amp;REPT(" ",10),10)," ")</f>
        <v/>
      </c>
      <c r="T996" s="10">
        <f>IF(A996="D",LEFT(UPPER(D996)&amp;REPT(" ",2),2)," ")</f>
        <v/>
      </c>
      <c r="U996" s="10">
        <f>IF(A996="D",LEFT(UPPER(E996)&amp;REPT(" ",15),15)," ")</f>
        <v/>
      </c>
      <c r="V996" s="10">
        <f>REPT(" ",24)</f>
        <v/>
      </c>
      <c r="W996" s="10">
        <f>IF(A996="c",LEFT(UPPER(B996)&amp;REPT(" ",20),20),REPT(" ",20))</f>
        <v/>
      </c>
      <c r="X996" s="10">
        <f>IF(A996="C",LEFT(UPPER(C996)&amp;REPT(" ",10),10)," ")</f>
        <v/>
      </c>
      <c r="Y996" s="10">
        <f>IF(A996="C",LEFT(UPPER(D996)&amp;REPT(" ",2),2)," ")</f>
        <v/>
      </c>
      <c r="Z996" s="10">
        <f>IF(A996="C",LEFT(UPPER(E996)&amp;REPT(" ",15),15)," ")</f>
        <v/>
      </c>
      <c r="AA996" s="10">
        <f>REPT(" ",8)</f>
        <v/>
      </c>
      <c r="AB996" s="10">
        <f>REPT(" ",4)</f>
        <v/>
      </c>
      <c r="AC996" s="10">
        <f>LEFT(UPPER(H996)&amp;REPT(" ",250),250)</f>
        <v/>
      </c>
      <c r="AD996" s="10">
        <f>TEXT($G$2,"dd/mm/aaaa")</f>
        <v/>
      </c>
      <c r="AE996" s="10">
        <f>REPT(" ",10)</f>
        <v/>
      </c>
      <c r="AF996" s="10">
        <f>REPT(" ",20)</f>
        <v/>
      </c>
      <c r="AG996" s="54">
        <f>REPT(" ",18-LEN(FIXED(F996,2,TRUE)))&amp;FIXED(F996,2,TRUE)</f>
        <v/>
      </c>
      <c r="AH996" s="10">
        <f>LEN(AC996)+LEN(AG996)</f>
        <v/>
      </c>
      <c r="AI996" s="10">
        <f>LEN(L996)</f>
        <v/>
      </c>
    </row>
    <row r="997">
      <c r="J997" s="12">
        <f>IF(F997&lt;&gt;0,"LANÇAR","")</f>
        <v/>
      </c>
      <c r="L997" s="13">
        <f>N997&amp;O997&amp;P997&amp;Q997&amp;R997&amp;S997&amp;T997&amp;U997&amp;V997&amp;W997&amp;X997&amp;Y997&amp;Z997&amp;AA997&amp;AB997&amp;AC997&amp;AD997&amp;AE997&amp;AF997&amp;AG997</f>
        <v/>
      </c>
      <c r="N997" s="10">
        <f>TEXT($B$6,"00")</f>
        <v/>
      </c>
      <c r="O997" s="10">
        <f>REPT(" ",8)</f>
        <v/>
      </c>
      <c r="P997" s="10">
        <f>RIGHT($B$4,2)</f>
        <v/>
      </c>
      <c r="Q997" s="10">
        <f>RIGHT($B$5,3)</f>
        <v/>
      </c>
      <c r="R997" s="10">
        <f>IF(A997="D",LEFT(UPPER(B997)&amp;REPT(" ",20),20),REPT(" ",20))</f>
        <v/>
      </c>
      <c r="S997" s="10">
        <f>IF(A997="D",LEFT(UPPER(C997)&amp;REPT(" ",10),10)," ")</f>
        <v/>
      </c>
      <c r="T997" s="10">
        <f>IF(A997="D",LEFT(UPPER(D997)&amp;REPT(" ",2),2)," ")</f>
        <v/>
      </c>
      <c r="U997" s="10">
        <f>IF(A997="D",LEFT(UPPER(E997)&amp;REPT(" ",15),15)," ")</f>
        <v/>
      </c>
      <c r="V997" s="10">
        <f>REPT(" ",24)</f>
        <v/>
      </c>
      <c r="W997" s="10">
        <f>IF(A997="c",LEFT(UPPER(B997)&amp;REPT(" ",20),20),REPT(" ",20))</f>
        <v/>
      </c>
      <c r="X997" s="10">
        <f>IF(A997="C",LEFT(UPPER(C997)&amp;REPT(" ",10),10)," ")</f>
        <v/>
      </c>
      <c r="Y997" s="10">
        <f>IF(A997="C",LEFT(UPPER(D997)&amp;REPT(" ",2),2)," ")</f>
        <v/>
      </c>
      <c r="Z997" s="10">
        <f>IF(A997="C",LEFT(UPPER(E997)&amp;REPT(" ",15),15)," ")</f>
        <v/>
      </c>
      <c r="AA997" s="10">
        <f>REPT(" ",8)</f>
        <v/>
      </c>
      <c r="AB997" s="10">
        <f>REPT(" ",4)</f>
        <v/>
      </c>
      <c r="AC997" s="10">
        <f>LEFT(UPPER(H997)&amp;REPT(" ",250),250)</f>
        <v/>
      </c>
      <c r="AD997" s="10">
        <f>TEXT($G$2,"dd/mm/aaaa")</f>
        <v/>
      </c>
      <c r="AE997" s="10">
        <f>REPT(" ",10)</f>
        <v/>
      </c>
      <c r="AF997" s="10">
        <f>REPT(" ",20)</f>
        <v/>
      </c>
      <c r="AG997" s="54">
        <f>REPT(" ",18-LEN(FIXED(F997,2,TRUE)))&amp;FIXED(F997,2,TRUE)</f>
        <v/>
      </c>
      <c r="AH997" s="10">
        <f>LEN(AC997)+LEN(AG997)</f>
        <v/>
      </c>
      <c r="AI997" s="10">
        <f>LEN(L997)</f>
        <v/>
      </c>
    </row>
    <row r="998">
      <c r="J998" s="12">
        <f>IF(F998&lt;&gt;0,"LANÇAR","")</f>
        <v/>
      </c>
      <c r="L998" s="13">
        <f>N998&amp;O998&amp;P998&amp;Q998&amp;R998&amp;S998&amp;T998&amp;U998&amp;V998&amp;W998&amp;X998&amp;Y998&amp;Z998&amp;AA998&amp;AB998&amp;AC998&amp;AD998&amp;AE998&amp;AF998&amp;AG998</f>
        <v/>
      </c>
      <c r="N998" s="10">
        <f>TEXT($B$6,"00")</f>
        <v/>
      </c>
      <c r="O998" s="10">
        <f>REPT(" ",8)</f>
        <v/>
      </c>
      <c r="P998" s="10">
        <f>RIGHT($B$4,2)</f>
        <v/>
      </c>
      <c r="Q998" s="10">
        <f>RIGHT($B$5,3)</f>
        <v/>
      </c>
      <c r="R998" s="10">
        <f>IF(A998="D",LEFT(UPPER(B998)&amp;REPT(" ",20),20),REPT(" ",20))</f>
        <v/>
      </c>
      <c r="S998" s="10">
        <f>IF(A998="D",LEFT(UPPER(C998)&amp;REPT(" ",10),10)," ")</f>
        <v/>
      </c>
      <c r="T998" s="10">
        <f>IF(A998="D",LEFT(UPPER(D998)&amp;REPT(" ",2),2)," ")</f>
        <v/>
      </c>
      <c r="U998" s="10">
        <f>IF(A998="D",LEFT(UPPER(E998)&amp;REPT(" ",15),15)," ")</f>
        <v/>
      </c>
      <c r="V998" s="10">
        <f>REPT(" ",24)</f>
        <v/>
      </c>
      <c r="W998" s="10">
        <f>IF(A998="c",LEFT(UPPER(B998)&amp;REPT(" ",20),20),REPT(" ",20))</f>
        <v/>
      </c>
      <c r="X998" s="10">
        <f>IF(A998="C",LEFT(UPPER(C998)&amp;REPT(" ",10),10)," ")</f>
        <v/>
      </c>
      <c r="Y998" s="10">
        <f>IF(A998="C",LEFT(UPPER(D998)&amp;REPT(" ",2),2)," ")</f>
        <v/>
      </c>
      <c r="Z998" s="10">
        <f>IF(A998="C",LEFT(UPPER(E998)&amp;REPT(" ",15),15)," ")</f>
        <v/>
      </c>
      <c r="AA998" s="10">
        <f>REPT(" ",8)</f>
        <v/>
      </c>
      <c r="AB998" s="10">
        <f>REPT(" ",4)</f>
        <v/>
      </c>
      <c r="AC998" s="10">
        <f>LEFT(UPPER(H998)&amp;REPT(" ",250),250)</f>
        <v/>
      </c>
      <c r="AD998" s="10">
        <f>TEXT($G$2,"dd/mm/aaaa")</f>
        <v/>
      </c>
      <c r="AE998" s="10">
        <f>REPT(" ",10)</f>
        <v/>
      </c>
      <c r="AF998" s="10">
        <f>REPT(" ",20)</f>
        <v/>
      </c>
      <c r="AG998" s="54">
        <f>REPT(" ",18-LEN(FIXED(F998,2,TRUE)))&amp;FIXED(F998,2,TRUE)</f>
        <v/>
      </c>
      <c r="AH998" s="10">
        <f>LEN(AC998)+LEN(AG998)</f>
        <v/>
      </c>
      <c r="AI998" s="10">
        <f>LEN(L998)</f>
        <v/>
      </c>
    </row>
    <row r="999">
      <c r="J999" s="12">
        <f>IF(F999&lt;&gt;0,"LANÇAR","")</f>
        <v/>
      </c>
      <c r="L999" s="13">
        <f>N999&amp;O999&amp;P999&amp;Q999&amp;R999&amp;S999&amp;T999&amp;U999&amp;V999&amp;W999&amp;X999&amp;Y999&amp;Z999&amp;AA999&amp;AB999&amp;AC999&amp;AD999&amp;AE999&amp;AF999&amp;AG999</f>
        <v/>
      </c>
      <c r="N999" s="10">
        <f>TEXT($B$6,"00")</f>
        <v/>
      </c>
      <c r="O999" s="10">
        <f>REPT(" ",8)</f>
        <v/>
      </c>
      <c r="P999" s="10">
        <f>RIGHT($B$4,2)</f>
        <v/>
      </c>
      <c r="Q999" s="10">
        <f>RIGHT($B$5,3)</f>
        <v/>
      </c>
      <c r="R999" s="10">
        <f>IF(A999="D",LEFT(UPPER(B999)&amp;REPT(" ",20),20),REPT(" ",20))</f>
        <v/>
      </c>
      <c r="S999" s="10">
        <f>IF(A999="D",LEFT(UPPER(C999)&amp;REPT(" ",10),10)," ")</f>
        <v/>
      </c>
      <c r="T999" s="10">
        <f>IF(A999="D",LEFT(UPPER(D999)&amp;REPT(" ",2),2)," ")</f>
        <v/>
      </c>
      <c r="U999" s="10">
        <f>IF(A999="D",LEFT(UPPER(E999)&amp;REPT(" ",15),15)," ")</f>
        <v/>
      </c>
      <c r="V999" s="10">
        <f>REPT(" ",24)</f>
        <v/>
      </c>
      <c r="W999" s="10">
        <f>IF(A999="c",LEFT(UPPER(B999)&amp;REPT(" ",20),20),REPT(" ",20))</f>
        <v/>
      </c>
      <c r="X999" s="10">
        <f>IF(A999="C",LEFT(UPPER(C999)&amp;REPT(" ",10),10)," ")</f>
        <v/>
      </c>
      <c r="Y999" s="10">
        <f>IF(A999="C",LEFT(UPPER(D999)&amp;REPT(" ",2),2)," ")</f>
        <v/>
      </c>
      <c r="Z999" s="10">
        <f>IF(A999="C",LEFT(UPPER(E999)&amp;REPT(" ",15),15)," ")</f>
        <v/>
      </c>
      <c r="AA999" s="10">
        <f>REPT(" ",8)</f>
        <v/>
      </c>
      <c r="AB999" s="10">
        <f>REPT(" ",4)</f>
        <v/>
      </c>
      <c r="AC999" s="10">
        <f>LEFT(UPPER(H999)&amp;REPT(" ",250),250)</f>
        <v/>
      </c>
      <c r="AD999" s="10">
        <f>TEXT($G$2,"dd/mm/aaaa")</f>
        <v/>
      </c>
      <c r="AE999" s="10">
        <f>REPT(" ",10)</f>
        <v/>
      </c>
      <c r="AF999" s="10">
        <f>REPT(" ",20)</f>
        <v/>
      </c>
      <c r="AG999" s="54">
        <f>REPT(" ",18-LEN(FIXED(F999,2,TRUE)))&amp;FIXED(F999,2,TRUE)</f>
        <v/>
      </c>
      <c r="AH999" s="10">
        <f>LEN(AC999)+LEN(AG999)</f>
        <v/>
      </c>
      <c r="AI999" s="10">
        <f>LEN(L999)</f>
        <v/>
      </c>
    </row>
    <row r="1000">
      <c r="J1000" s="12">
        <f>IF(F1000&lt;&gt;0,"LANÇAR","")</f>
        <v/>
      </c>
      <c r="L1000" s="13">
        <f>N1000&amp;O1000&amp;P1000&amp;Q1000&amp;R1000&amp;S1000&amp;T1000&amp;U1000&amp;V1000&amp;W1000&amp;X1000&amp;Y1000&amp;Z1000&amp;AA1000&amp;AB1000&amp;AC1000&amp;AD1000&amp;AE1000&amp;AF1000&amp;AG1000</f>
        <v/>
      </c>
      <c r="N1000" s="10">
        <f>TEXT($B$6,"00")</f>
        <v/>
      </c>
      <c r="O1000" s="10">
        <f>REPT(" ",8)</f>
        <v/>
      </c>
      <c r="P1000" s="10">
        <f>RIGHT($B$4,2)</f>
        <v/>
      </c>
      <c r="Q1000" s="10">
        <f>RIGHT($B$5,3)</f>
        <v/>
      </c>
      <c r="R1000" s="10">
        <f>IF(A1000="D",LEFT(UPPER(B1000)&amp;REPT(" ",20),20),REPT(" ",20))</f>
        <v/>
      </c>
      <c r="S1000" s="10">
        <f>IF(A1000="D",LEFT(UPPER(C1000)&amp;REPT(" ",10),10)," ")</f>
        <v/>
      </c>
      <c r="T1000" s="10">
        <f>IF(A1000="D",LEFT(UPPER(D1000)&amp;REPT(" ",2),2)," ")</f>
        <v/>
      </c>
      <c r="U1000" s="10">
        <f>IF(A1000="D",LEFT(UPPER(E1000)&amp;REPT(" ",15),15)," ")</f>
        <v/>
      </c>
      <c r="V1000" s="10">
        <f>REPT(" ",24)</f>
        <v/>
      </c>
      <c r="W1000" s="10">
        <f>IF(A1000="c",LEFT(UPPER(B1000)&amp;REPT(" ",20),20),REPT(" ",20))</f>
        <v/>
      </c>
      <c r="X1000" s="10">
        <f>IF(A1000="C",LEFT(UPPER(C1000)&amp;REPT(" ",10),10)," ")</f>
        <v/>
      </c>
      <c r="Y1000" s="10">
        <f>IF(A1000="C",LEFT(UPPER(D1000)&amp;REPT(" ",2),2)," ")</f>
        <v/>
      </c>
      <c r="Z1000" s="10">
        <f>IF(A1000="C",LEFT(UPPER(E1000)&amp;REPT(" ",15),15)," ")</f>
        <v/>
      </c>
      <c r="AA1000" s="10">
        <f>REPT(" ",8)</f>
        <v/>
      </c>
      <c r="AB1000" s="10">
        <f>REPT(" ",4)</f>
        <v/>
      </c>
      <c r="AC1000" s="10">
        <f>LEFT(UPPER(H1000)&amp;REPT(" ",250),250)</f>
        <v/>
      </c>
      <c r="AD1000" s="10">
        <f>TEXT($G$2,"dd/mm/aaaa")</f>
        <v/>
      </c>
      <c r="AE1000" s="10">
        <f>REPT(" ",10)</f>
        <v/>
      </c>
      <c r="AF1000" s="10">
        <f>REPT(" ",20)</f>
        <v/>
      </c>
      <c r="AG1000" s="54">
        <f>REPT(" ",18-LEN(FIXED(F1000,2,TRUE)))&amp;FIXED(F1000,2,TRUE)</f>
        <v/>
      </c>
      <c r="AH1000" s="10">
        <f>LEN(AC1000)+LEN(AG1000)</f>
        <v/>
      </c>
      <c r="AI1000" s="10">
        <f>LEN(L1000)</f>
        <v/>
      </c>
    </row>
    <row r="1001">
      <c r="J1001" s="12">
        <f>IF(F1001&lt;&gt;0,"LANÇAR","")</f>
        <v/>
      </c>
      <c r="L1001" s="13">
        <f>N1001&amp;O1001&amp;P1001&amp;Q1001&amp;R1001&amp;S1001&amp;T1001&amp;U1001&amp;V1001&amp;W1001&amp;X1001&amp;Y1001&amp;Z1001&amp;AA1001&amp;AB1001&amp;AC1001&amp;AD1001&amp;AE1001&amp;AF1001&amp;AG1001</f>
        <v/>
      </c>
      <c r="N1001" s="10">
        <f>TEXT($B$6,"00")</f>
        <v/>
      </c>
      <c r="O1001" s="10">
        <f>REPT(" ",8)</f>
        <v/>
      </c>
      <c r="P1001" s="10">
        <f>RIGHT($B$4,2)</f>
        <v/>
      </c>
      <c r="Q1001" s="10">
        <f>RIGHT($B$5,3)</f>
        <v/>
      </c>
      <c r="R1001" s="10">
        <f>IF(A1001="D",LEFT(UPPER(B1001)&amp;REPT(" ",20),20),REPT(" ",20))</f>
        <v/>
      </c>
      <c r="S1001" s="10">
        <f>IF(A1001="D",LEFT(UPPER(C1001)&amp;REPT(" ",10),10)," ")</f>
        <v/>
      </c>
      <c r="T1001" s="10">
        <f>IF(A1001="D",LEFT(UPPER(D1001)&amp;REPT(" ",2),2)," ")</f>
        <v/>
      </c>
      <c r="U1001" s="10">
        <f>IF(A1001="D",LEFT(UPPER(E1001)&amp;REPT(" ",15),15)," ")</f>
        <v/>
      </c>
      <c r="V1001" s="10">
        <f>REPT(" ",24)</f>
        <v/>
      </c>
      <c r="W1001" s="10">
        <f>IF(A1001="c",LEFT(UPPER(B1001)&amp;REPT(" ",20),20),REPT(" ",20))</f>
        <v/>
      </c>
      <c r="X1001" s="10">
        <f>IF(A1001="C",LEFT(UPPER(C1001)&amp;REPT(" ",10),10)," ")</f>
        <v/>
      </c>
      <c r="Y1001" s="10">
        <f>IF(A1001="C",LEFT(UPPER(D1001)&amp;REPT(" ",2),2)," ")</f>
        <v/>
      </c>
      <c r="Z1001" s="10">
        <f>IF(A1001="C",LEFT(UPPER(E1001)&amp;REPT(" ",15),15)," ")</f>
        <v/>
      </c>
      <c r="AA1001" s="10">
        <f>REPT(" ",8)</f>
        <v/>
      </c>
      <c r="AB1001" s="10">
        <f>REPT(" ",4)</f>
        <v/>
      </c>
      <c r="AC1001" s="10">
        <f>LEFT(UPPER(H1001)&amp;REPT(" ",250),250)</f>
        <v/>
      </c>
      <c r="AD1001" s="10">
        <f>TEXT($G$2,"dd/mm/aaaa")</f>
        <v/>
      </c>
      <c r="AE1001" s="10">
        <f>REPT(" ",10)</f>
        <v/>
      </c>
      <c r="AF1001" s="10">
        <f>REPT(" ",20)</f>
        <v/>
      </c>
      <c r="AG1001" s="54">
        <f>REPT(" ",18-LEN(FIXED(F1001,2,TRUE)))&amp;FIXED(F1001,2,TRUE)</f>
        <v/>
      </c>
      <c r="AH1001" s="10">
        <f>LEN(AC1001)+LEN(AG1001)</f>
        <v/>
      </c>
      <c r="AI1001" s="10">
        <f>LEN(L1001)</f>
        <v/>
      </c>
    </row>
    <row r="1002">
      <c r="J1002" s="12">
        <f>IF(F1002&lt;&gt;0,"LANÇAR","")</f>
        <v/>
      </c>
      <c r="L1002" s="13">
        <f>N1002&amp;O1002&amp;P1002&amp;Q1002&amp;R1002&amp;S1002&amp;T1002&amp;U1002&amp;V1002&amp;W1002&amp;X1002&amp;Y1002&amp;Z1002&amp;AA1002&amp;AB1002&amp;AC1002&amp;AD1002&amp;AE1002&amp;AF1002&amp;AG1002</f>
        <v/>
      </c>
      <c r="N1002" s="10">
        <f>TEXT($B$6,"00")</f>
        <v/>
      </c>
      <c r="O1002" s="10">
        <f>REPT(" ",8)</f>
        <v/>
      </c>
      <c r="P1002" s="10">
        <f>RIGHT($B$4,2)</f>
        <v/>
      </c>
      <c r="Q1002" s="10">
        <f>RIGHT($B$5,3)</f>
        <v/>
      </c>
      <c r="R1002" s="10">
        <f>IF(A1002="D",LEFT(UPPER(B1002)&amp;REPT(" ",20),20),REPT(" ",20))</f>
        <v/>
      </c>
      <c r="S1002" s="10">
        <f>IF(A1002="D",LEFT(UPPER(C1002)&amp;REPT(" ",10),10)," ")</f>
        <v/>
      </c>
      <c r="T1002" s="10">
        <f>IF(A1002="D",LEFT(UPPER(D1002)&amp;REPT(" ",2),2)," ")</f>
        <v/>
      </c>
      <c r="U1002" s="10">
        <f>IF(A1002="D",LEFT(UPPER(E1002)&amp;REPT(" ",15),15)," ")</f>
        <v/>
      </c>
      <c r="V1002" s="10">
        <f>REPT(" ",24)</f>
        <v/>
      </c>
      <c r="W1002" s="10">
        <f>IF(A1002="c",LEFT(UPPER(B1002)&amp;REPT(" ",20),20),REPT(" ",20))</f>
        <v/>
      </c>
      <c r="X1002" s="10">
        <f>IF(A1002="C",LEFT(UPPER(C1002)&amp;REPT(" ",10),10)," ")</f>
        <v/>
      </c>
      <c r="Y1002" s="10">
        <f>IF(A1002="C",LEFT(UPPER(D1002)&amp;REPT(" ",2),2)," ")</f>
        <v/>
      </c>
      <c r="Z1002" s="10">
        <f>IF(A1002="C",LEFT(UPPER(E1002)&amp;REPT(" ",15),15)," ")</f>
        <v/>
      </c>
      <c r="AA1002" s="10">
        <f>REPT(" ",8)</f>
        <v/>
      </c>
      <c r="AB1002" s="10">
        <f>REPT(" ",4)</f>
        <v/>
      </c>
      <c r="AC1002" s="10">
        <f>LEFT(UPPER(H1002)&amp;REPT(" ",250),250)</f>
        <v/>
      </c>
      <c r="AD1002" s="10">
        <f>TEXT($G$2,"dd/mm/aaaa")</f>
        <v/>
      </c>
      <c r="AE1002" s="10">
        <f>REPT(" ",10)</f>
        <v/>
      </c>
      <c r="AF1002" s="10">
        <f>REPT(" ",20)</f>
        <v/>
      </c>
      <c r="AG1002" s="54">
        <f>REPT(" ",18-LEN(FIXED(F1002,2,TRUE)))&amp;FIXED(F1002,2,TRUE)</f>
        <v/>
      </c>
      <c r="AH1002" s="10">
        <f>LEN(AC1002)+LEN(AG1002)</f>
        <v/>
      </c>
      <c r="AI1002" s="10">
        <f>LEN(L1002)</f>
        <v/>
      </c>
    </row>
    <row r="1003">
      <c r="J1003" s="12">
        <f>IF(F1003&lt;&gt;0,"LANÇAR","")</f>
        <v/>
      </c>
      <c r="L1003" s="13">
        <f>N1003&amp;O1003&amp;P1003&amp;Q1003&amp;R1003&amp;S1003&amp;T1003&amp;U1003&amp;V1003&amp;W1003&amp;X1003&amp;Y1003&amp;Z1003&amp;AA1003&amp;AB1003&amp;AC1003&amp;AD1003&amp;AE1003&amp;AF1003&amp;AG1003</f>
        <v/>
      </c>
      <c r="N1003" s="10">
        <f>TEXT($B$6,"00")</f>
        <v/>
      </c>
      <c r="O1003" s="10">
        <f>REPT(" ",8)</f>
        <v/>
      </c>
      <c r="P1003" s="10">
        <f>RIGHT($B$4,2)</f>
        <v/>
      </c>
      <c r="Q1003" s="10">
        <f>RIGHT($B$5,3)</f>
        <v/>
      </c>
      <c r="R1003" s="10">
        <f>IF(A1003="D",LEFT(UPPER(B1003)&amp;REPT(" ",20),20),REPT(" ",20))</f>
        <v/>
      </c>
      <c r="S1003" s="10">
        <f>IF(A1003="D",LEFT(UPPER(C1003)&amp;REPT(" ",10),10)," ")</f>
        <v/>
      </c>
      <c r="T1003" s="10">
        <f>IF(A1003="D",LEFT(UPPER(D1003)&amp;REPT(" ",2),2)," ")</f>
        <v/>
      </c>
      <c r="U1003" s="10">
        <f>IF(A1003="D",LEFT(UPPER(E1003)&amp;REPT(" ",15),15)," ")</f>
        <v/>
      </c>
      <c r="V1003" s="10">
        <f>REPT(" ",24)</f>
        <v/>
      </c>
      <c r="W1003" s="10">
        <f>IF(A1003="c",LEFT(UPPER(B1003)&amp;REPT(" ",20),20),REPT(" ",20))</f>
        <v/>
      </c>
      <c r="X1003" s="10">
        <f>IF(A1003="C",LEFT(UPPER(C1003)&amp;REPT(" ",10),10)," ")</f>
        <v/>
      </c>
      <c r="Y1003" s="10">
        <f>IF(A1003="C",LEFT(UPPER(D1003)&amp;REPT(" ",2),2)," ")</f>
        <v/>
      </c>
      <c r="Z1003" s="10">
        <f>IF(A1003="C",LEFT(UPPER(E1003)&amp;REPT(" ",15),15)," ")</f>
        <v/>
      </c>
      <c r="AA1003" s="10">
        <f>REPT(" ",8)</f>
        <v/>
      </c>
      <c r="AB1003" s="10">
        <f>REPT(" ",4)</f>
        <v/>
      </c>
      <c r="AC1003" s="10">
        <f>LEFT(UPPER(H1003)&amp;REPT(" ",250),250)</f>
        <v/>
      </c>
      <c r="AD1003" s="10">
        <f>TEXT($G$2,"dd/mm/aaaa")</f>
        <v/>
      </c>
      <c r="AE1003" s="10">
        <f>REPT(" ",10)</f>
        <v/>
      </c>
      <c r="AF1003" s="10">
        <f>REPT(" ",20)</f>
        <v/>
      </c>
      <c r="AG1003" s="54">
        <f>REPT(" ",18-LEN(FIXED(F1003,2,TRUE)))&amp;FIXED(F1003,2,TRUE)</f>
        <v/>
      </c>
      <c r="AH1003" s="10">
        <f>LEN(AC1003)+LEN(AG1003)</f>
        <v/>
      </c>
      <c r="AI1003" s="10">
        <f>LEN(L1003)</f>
        <v/>
      </c>
    </row>
    <row r="1004">
      <c r="J1004" s="12">
        <f>IF(F1004&lt;&gt;0,"LANÇAR","")</f>
        <v/>
      </c>
      <c r="L1004" s="13">
        <f>N1004&amp;O1004&amp;P1004&amp;Q1004&amp;R1004&amp;S1004&amp;T1004&amp;U1004&amp;V1004&amp;W1004&amp;X1004&amp;Y1004&amp;Z1004&amp;AA1004&amp;AB1004&amp;AC1004&amp;AD1004&amp;AE1004&amp;AF1004&amp;AG1004</f>
        <v/>
      </c>
      <c r="N1004" s="10">
        <f>TEXT($B$6,"00")</f>
        <v/>
      </c>
      <c r="O1004" s="10">
        <f>REPT(" ",8)</f>
        <v/>
      </c>
      <c r="P1004" s="10">
        <f>RIGHT($B$4,2)</f>
        <v/>
      </c>
      <c r="Q1004" s="10">
        <f>RIGHT($B$5,3)</f>
        <v/>
      </c>
      <c r="R1004" s="10">
        <f>IF(A1004="D",LEFT(UPPER(B1004)&amp;REPT(" ",20),20),REPT(" ",20))</f>
        <v/>
      </c>
      <c r="S1004" s="10">
        <f>IF(A1004="D",LEFT(UPPER(C1004)&amp;REPT(" ",10),10)," ")</f>
        <v/>
      </c>
      <c r="T1004" s="10">
        <f>IF(A1004="D",LEFT(UPPER(D1004)&amp;REPT(" ",2),2)," ")</f>
        <v/>
      </c>
      <c r="U1004" s="10">
        <f>IF(A1004="D",LEFT(UPPER(E1004)&amp;REPT(" ",15),15)," ")</f>
        <v/>
      </c>
      <c r="V1004" s="10">
        <f>REPT(" ",24)</f>
        <v/>
      </c>
      <c r="W1004" s="10">
        <f>IF(A1004="c",LEFT(UPPER(B1004)&amp;REPT(" ",20),20),REPT(" ",20))</f>
        <v/>
      </c>
      <c r="X1004" s="10">
        <f>IF(A1004="C",LEFT(UPPER(C1004)&amp;REPT(" ",10),10)," ")</f>
        <v/>
      </c>
      <c r="Y1004" s="10">
        <f>IF(A1004="C",LEFT(UPPER(D1004)&amp;REPT(" ",2),2)," ")</f>
        <v/>
      </c>
      <c r="Z1004" s="10">
        <f>IF(A1004="C",LEFT(UPPER(E1004)&amp;REPT(" ",15),15)," ")</f>
        <v/>
      </c>
      <c r="AA1004" s="10">
        <f>REPT(" ",8)</f>
        <v/>
      </c>
      <c r="AB1004" s="10">
        <f>REPT(" ",4)</f>
        <v/>
      </c>
      <c r="AC1004" s="10">
        <f>LEFT(UPPER(H1004)&amp;REPT(" ",250),250)</f>
        <v/>
      </c>
      <c r="AD1004" s="10">
        <f>TEXT($G$2,"dd/mm/aaaa")</f>
        <v/>
      </c>
      <c r="AE1004" s="10">
        <f>REPT(" ",10)</f>
        <v/>
      </c>
      <c r="AF1004" s="10">
        <f>REPT(" ",20)</f>
        <v/>
      </c>
      <c r="AG1004" s="54">
        <f>REPT(" ",18-LEN(FIXED(F1004,2,TRUE)))&amp;FIXED(F1004,2,TRUE)</f>
        <v/>
      </c>
      <c r="AH1004" s="10">
        <f>LEN(AC1004)+LEN(AG1004)</f>
        <v/>
      </c>
      <c r="AI1004" s="10">
        <f>LEN(L1004)</f>
        <v/>
      </c>
    </row>
    <row r="1005">
      <c r="J1005" s="12">
        <f>IF(F1005&lt;&gt;0,"LANÇAR","")</f>
        <v/>
      </c>
      <c r="L1005" s="13">
        <f>N1005&amp;O1005&amp;P1005&amp;Q1005&amp;R1005&amp;S1005&amp;T1005&amp;U1005&amp;V1005&amp;W1005&amp;X1005&amp;Y1005&amp;Z1005&amp;AA1005&amp;AB1005&amp;AC1005&amp;AD1005&amp;AE1005&amp;AF1005&amp;AG1005</f>
        <v/>
      </c>
      <c r="N1005" s="10">
        <f>TEXT($B$6,"00")</f>
        <v/>
      </c>
      <c r="O1005" s="10">
        <f>REPT(" ",8)</f>
        <v/>
      </c>
      <c r="P1005" s="10">
        <f>RIGHT($B$4,2)</f>
        <v/>
      </c>
      <c r="Q1005" s="10">
        <f>RIGHT($B$5,3)</f>
        <v/>
      </c>
      <c r="R1005" s="10">
        <f>IF(A1005="D",LEFT(UPPER(B1005)&amp;REPT(" ",20),20),REPT(" ",20))</f>
        <v/>
      </c>
      <c r="S1005" s="10">
        <f>IF(A1005="D",LEFT(UPPER(C1005)&amp;REPT(" ",10),10)," ")</f>
        <v/>
      </c>
      <c r="T1005" s="10">
        <f>IF(A1005="D",LEFT(UPPER(D1005)&amp;REPT(" ",2),2)," ")</f>
        <v/>
      </c>
      <c r="U1005" s="10">
        <f>IF(A1005="D",LEFT(UPPER(E1005)&amp;REPT(" ",15),15)," ")</f>
        <v/>
      </c>
      <c r="V1005" s="10">
        <f>REPT(" ",24)</f>
        <v/>
      </c>
      <c r="W1005" s="10">
        <f>IF(A1005="c",LEFT(UPPER(B1005)&amp;REPT(" ",20),20),REPT(" ",20))</f>
        <v/>
      </c>
      <c r="X1005" s="10">
        <f>IF(A1005="C",LEFT(UPPER(C1005)&amp;REPT(" ",10),10)," ")</f>
        <v/>
      </c>
      <c r="Y1005" s="10">
        <f>IF(A1005="C",LEFT(UPPER(D1005)&amp;REPT(" ",2),2)," ")</f>
        <v/>
      </c>
      <c r="Z1005" s="10">
        <f>IF(A1005="C",LEFT(UPPER(E1005)&amp;REPT(" ",15),15)," ")</f>
        <v/>
      </c>
      <c r="AA1005" s="10">
        <f>REPT(" ",8)</f>
        <v/>
      </c>
      <c r="AB1005" s="10">
        <f>REPT(" ",4)</f>
        <v/>
      </c>
      <c r="AC1005" s="10">
        <f>LEFT(UPPER(H1005)&amp;REPT(" ",250),250)</f>
        <v/>
      </c>
      <c r="AD1005" s="10">
        <f>TEXT($G$2,"dd/mm/aaaa")</f>
        <v/>
      </c>
      <c r="AE1005" s="10">
        <f>REPT(" ",10)</f>
        <v/>
      </c>
      <c r="AF1005" s="10">
        <f>REPT(" ",20)</f>
        <v/>
      </c>
      <c r="AG1005" s="54">
        <f>REPT(" ",18-LEN(FIXED(F1005,2,TRUE)))&amp;FIXED(F1005,2,TRUE)</f>
        <v/>
      </c>
      <c r="AH1005" s="10">
        <f>LEN(AC1005)+LEN(AG1005)</f>
        <v/>
      </c>
      <c r="AI1005" s="10">
        <f>LEN(L1005)</f>
        <v/>
      </c>
    </row>
    <row r="1006">
      <c r="J1006" s="12">
        <f>IF(F1006&lt;&gt;0,"LANÇAR","")</f>
        <v/>
      </c>
      <c r="L1006" s="13">
        <f>N1006&amp;O1006&amp;P1006&amp;Q1006&amp;R1006&amp;S1006&amp;T1006&amp;U1006&amp;V1006&amp;W1006&amp;X1006&amp;Y1006&amp;Z1006&amp;AA1006&amp;AB1006&amp;AC1006&amp;AD1006&amp;AE1006&amp;AF1006&amp;AG1006</f>
        <v/>
      </c>
      <c r="N1006" s="10">
        <f>TEXT($B$6,"00")</f>
        <v/>
      </c>
      <c r="O1006" s="10">
        <f>REPT(" ",8)</f>
        <v/>
      </c>
      <c r="P1006" s="10">
        <f>RIGHT($B$4,2)</f>
        <v/>
      </c>
      <c r="Q1006" s="10">
        <f>RIGHT($B$5,3)</f>
        <v/>
      </c>
      <c r="R1006" s="10">
        <f>IF(A1006="D",LEFT(UPPER(B1006)&amp;REPT(" ",20),20),REPT(" ",20))</f>
        <v/>
      </c>
      <c r="S1006" s="10">
        <f>IF(A1006="D",LEFT(UPPER(C1006)&amp;REPT(" ",10),10)," ")</f>
        <v/>
      </c>
      <c r="T1006" s="10">
        <f>IF(A1006="D",LEFT(UPPER(D1006)&amp;REPT(" ",2),2)," ")</f>
        <v/>
      </c>
      <c r="U1006" s="10">
        <f>IF(A1006="D",LEFT(UPPER(E1006)&amp;REPT(" ",15),15)," ")</f>
        <v/>
      </c>
      <c r="V1006" s="10">
        <f>REPT(" ",24)</f>
        <v/>
      </c>
      <c r="W1006" s="10">
        <f>IF(A1006="c",LEFT(UPPER(B1006)&amp;REPT(" ",20),20),REPT(" ",20))</f>
        <v/>
      </c>
      <c r="X1006" s="10">
        <f>IF(A1006="C",LEFT(UPPER(C1006)&amp;REPT(" ",10),10)," ")</f>
        <v/>
      </c>
      <c r="Y1006" s="10">
        <f>IF(A1006="C",LEFT(UPPER(D1006)&amp;REPT(" ",2),2)," ")</f>
        <v/>
      </c>
      <c r="Z1006" s="10">
        <f>IF(A1006="C",LEFT(UPPER(E1006)&amp;REPT(" ",15),15)," ")</f>
        <v/>
      </c>
      <c r="AA1006" s="10">
        <f>REPT(" ",8)</f>
        <v/>
      </c>
      <c r="AB1006" s="10">
        <f>REPT(" ",4)</f>
        <v/>
      </c>
      <c r="AC1006" s="10">
        <f>LEFT(UPPER(H1006)&amp;REPT(" ",250),250)</f>
        <v/>
      </c>
      <c r="AD1006" s="10">
        <f>TEXT($G$2,"dd/mm/aaaa")</f>
        <v/>
      </c>
      <c r="AE1006" s="10">
        <f>REPT(" ",10)</f>
        <v/>
      </c>
      <c r="AF1006" s="10">
        <f>REPT(" ",20)</f>
        <v/>
      </c>
      <c r="AG1006" s="54">
        <f>REPT(" ",18-LEN(FIXED(F1006,2,TRUE)))&amp;FIXED(F1006,2,TRUE)</f>
        <v/>
      </c>
      <c r="AH1006" s="10">
        <f>LEN(AC1006)+LEN(AG1006)</f>
        <v/>
      </c>
      <c r="AI1006" s="10">
        <f>LEN(L1006)</f>
        <v/>
      </c>
    </row>
    <row r="1007">
      <c r="J1007" s="12">
        <f>IF(F1007&lt;&gt;0,"LANÇAR","")</f>
        <v/>
      </c>
      <c r="L1007" s="13">
        <f>N1007&amp;O1007&amp;P1007&amp;Q1007&amp;R1007&amp;S1007&amp;T1007&amp;U1007&amp;V1007&amp;W1007&amp;X1007&amp;Y1007&amp;Z1007&amp;AA1007&amp;AB1007&amp;AC1007&amp;AD1007&amp;AE1007&amp;AF1007&amp;AG1007</f>
        <v/>
      </c>
      <c r="N1007" s="10">
        <f>TEXT($B$6,"00")</f>
        <v/>
      </c>
      <c r="O1007" s="10">
        <f>REPT(" ",8)</f>
        <v/>
      </c>
      <c r="P1007" s="10">
        <f>RIGHT($B$4,2)</f>
        <v/>
      </c>
      <c r="Q1007" s="10">
        <f>RIGHT($B$5,3)</f>
        <v/>
      </c>
      <c r="R1007" s="10">
        <f>IF(A1007="D",LEFT(UPPER(B1007)&amp;REPT(" ",20),20),REPT(" ",20))</f>
        <v/>
      </c>
      <c r="S1007" s="10">
        <f>IF(A1007="D",LEFT(UPPER(C1007)&amp;REPT(" ",10),10)," ")</f>
        <v/>
      </c>
      <c r="T1007" s="10">
        <f>IF(A1007="D",LEFT(UPPER(D1007)&amp;REPT(" ",2),2)," ")</f>
        <v/>
      </c>
      <c r="U1007" s="10">
        <f>IF(A1007="D",LEFT(UPPER(E1007)&amp;REPT(" ",15),15)," ")</f>
        <v/>
      </c>
      <c r="V1007" s="10">
        <f>REPT(" ",24)</f>
        <v/>
      </c>
      <c r="W1007" s="10">
        <f>IF(A1007="c",LEFT(UPPER(B1007)&amp;REPT(" ",20),20),REPT(" ",20))</f>
        <v/>
      </c>
      <c r="X1007" s="10">
        <f>IF(A1007="C",LEFT(UPPER(C1007)&amp;REPT(" ",10),10)," ")</f>
        <v/>
      </c>
      <c r="Y1007" s="10">
        <f>IF(A1007="C",LEFT(UPPER(D1007)&amp;REPT(" ",2),2)," ")</f>
        <v/>
      </c>
      <c r="Z1007" s="10">
        <f>IF(A1007="C",LEFT(UPPER(E1007)&amp;REPT(" ",15),15)," ")</f>
        <v/>
      </c>
      <c r="AA1007" s="10">
        <f>REPT(" ",8)</f>
        <v/>
      </c>
      <c r="AB1007" s="10">
        <f>REPT(" ",4)</f>
        <v/>
      </c>
      <c r="AC1007" s="10">
        <f>LEFT(UPPER(H1007)&amp;REPT(" ",250),250)</f>
        <v/>
      </c>
      <c r="AD1007" s="10">
        <f>TEXT($G$2,"dd/mm/aaaa")</f>
        <v/>
      </c>
      <c r="AE1007" s="10">
        <f>REPT(" ",10)</f>
        <v/>
      </c>
      <c r="AF1007" s="10">
        <f>REPT(" ",20)</f>
        <v/>
      </c>
      <c r="AG1007" s="54">
        <f>REPT(" ",18-LEN(FIXED(F1007,2,TRUE)))&amp;FIXED(F1007,2,TRUE)</f>
        <v/>
      </c>
      <c r="AH1007" s="10">
        <f>LEN(AC1007)+LEN(AG1007)</f>
        <v/>
      </c>
      <c r="AI1007" s="10">
        <f>LEN(L1007)</f>
        <v/>
      </c>
    </row>
    <row r="1008">
      <c r="J1008" s="12">
        <f>IF(F1008&lt;&gt;0,"LANÇAR","")</f>
        <v/>
      </c>
      <c r="L1008" s="13">
        <f>N1008&amp;O1008&amp;P1008&amp;Q1008&amp;R1008&amp;S1008&amp;T1008&amp;U1008&amp;V1008&amp;W1008&amp;X1008&amp;Y1008&amp;Z1008&amp;AA1008&amp;AB1008&amp;AC1008&amp;AD1008&amp;AE1008&amp;AF1008&amp;AG1008</f>
        <v/>
      </c>
      <c r="N1008" s="10">
        <f>TEXT($B$6,"00")</f>
        <v/>
      </c>
      <c r="O1008" s="10">
        <f>REPT(" ",8)</f>
        <v/>
      </c>
      <c r="P1008" s="10">
        <f>RIGHT($B$4,2)</f>
        <v/>
      </c>
      <c r="Q1008" s="10">
        <f>RIGHT($B$5,3)</f>
        <v/>
      </c>
      <c r="R1008" s="10">
        <f>IF(A1008="D",LEFT(UPPER(B1008)&amp;REPT(" ",20),20),REPT(" ",20))</f>
        <v/>
      </c>
      <c r="S1008" s="10">
        <f>IF(A1008="D",LEFT(UPPER(C1008)&amp;REPT(" ",10),10)," ")</f>
        <v/>
      </c>
      <c r="T1008" s="10">
        <f>IF(A1008="D",LEFT(UPPER(D1008)&amp;REPT(" ",2),2)," ")</f>
        <v/>
      </c>
      <c r="U1008" s="10">
        <f>IF(A1008="D",LEFT(UPPER(E1008)&amp;REPT(" ",15),15)," ")</f>
        <v/>
      </c>
      <c r="V1008" s="10">
        <f>REPT(" ",24)</f>
        <v/>
      </c>
      <c r="W1008" s="10">
        <f>IF(A1008="c",LEFT(UPPER(B1008)&amp;REPT(" ",20),20),REPT(" ",20))</f>
        <v/>
      </c>
      <c r="X1008" s="10">
        <f>IF(A1008="C",LEFT(UPPER(C1008)&amp;REPT(" ",10),10)," ")</f>
        <v/>
      </c>
      <c r="Y1008" s="10">
        <f>IF(A1008="C",LEFT(UPPER(D1008)&amp;REPT(" ",2),2)," ")</f>
        <v/>
      </c>
      <c r="Z1008" s="10">
        <f>IF(A1008="C",LEFT(UPPER(E1008)&amp;REPT(" ",15),15)," ")</f>
        <v/>
      </c>
      <c r="AA1008" s="10">
        <f>REPT(" ",8)</f>
        <v/>
      </c>
      <c r="AB1008" s="10">
        <f>REPT(" ",4)</f>
        <v/>
      </c>
      <c r="AC1008" s="10">
        <f>LEFT(UPPER(H1008)&amp;REPT(" ",250),250)</f>
        <v/>
      </c>
      <c r="AD1008" s="10">
        <f>TEXT($G$2,"dd/mm/aaaa")</f>
        <v/>
      </c>
      <c r="AE1008" s="10">
        <f>REPT(" ",10)</f>
        <v/>
      </c>
      <c r="AF1008" s="10">
        <f>REPT(" ",20)</f>
        <v/>
      </c>
      <c r="AG1008" s="54">
        <f>REPT(" ",18-LEN(FIXED(F1008,2,TRUE)))&amp;FIXED(F1008,2,TRUE)</f>
        <v/>
      </c>
      <c r="AH1008" s="10">
        <f>LEN(AC1008)+LEN(AG1008)</f>
        <v/>
      </c>
      <c r="AI1008" s="10">
        <f>LEN(L1008)</f>
        <v/>
      </c>
    </row>
    <row r="1009">
      <c r="J1009" s="12">
        <f>IF(F1009&lt;&gt;0,"LANÇAR","")</f>
        <v/>
      </c>
      <c r="L1009" s="13">
        <f>N1009&amp;O1009&amp;P1009&amp;Q1009&amp;R1009&amp;S1009&amp;T1009&amp;U1009&amp;V1009&amp;W1009&amp;X1009&amp;Y1009&amp;Z1009&amp;AA1009&amp;AB1009&amp;AC1009&amp;AD1009&amp;AE1009&amp;AF1009&amp;AG1009</f>
        <v/>
      </c>
      <c r="N1009" s="10">
        <f>TEXT($B$6,"00")</f>
        <v/>
      </c>
      <c r="O1009" s="10">
        <f>REPT(" ",8)</f>
        <v/>
      </c>
      <c r="P1009" s="10">
        <f>RIGHT($B$4,2)</f>
        <v/>
      </c>
      <c r="Q1009" s="10">
        <f>RIGHT($B$5,3)</f>
        <v/>
      </c>
      <c r="R1009" s="10">
        <f>IF(A1009="D",LEFT(UPPER(B1009)&amp;REPT(" ",20),20),REPT(" ",20))</f>
        <v/>
      </c>
      <c r="S1009" s="10">
        <f>IF(A1009="D",LEFT(UPPER(C1009)&amp;REPT(" ",10),10)," ")</f>
        <v/>
      </c>
      <c r="T1009" s="10">
        <f>IF(A1009="D",LEFT(UPPER(D1009)&amp;REPT(" ",2),2)," ")</f>
        <v/>
      </c>
      <c r="U1009" s="10">
        <f>IF(A1009="D",LEFT(UPPER(E1009)&amp;REPT(" ",15),15)," ")</f>
        <v/>
      </c>
      <c r="V1009" s="10">
        <f>REPT(" ",24)</f>
        <v/>
      </c>
      <c r="W1009" s="10">
        <f>IF(A1009="c",LEFT(UPPER(B1009)&amp;REPT(" ",20),20),REPT(" ",20))</f>
        <v/>
      </c>
      <c r="X1009" s="10">
        <f>IF(A1009="C",LEFT(UPPER(C1009)&amp;REPT(" ",10),10)," ")</f>
        <v/>
      </c>
      <c r="Y1009" s="10">
        <f>IF(A1009="C",LEFT(UPPER(D1009)&amp;REPT(" ",2),2)," ")</f>
        <v/>
      </c>
      <c r="Z1009" s="10">
        <f>IF(A1009="C",LEFT(UPPER(E1009)&amp;REPT(" ",15),15)," ")</f>
        <v/>
      </c>
      <c r="AA1009" s="10">
        <f>REPT(" ",8)</f>
        <v/>
      </c>
      <c r="AB1009" s="10">
        <f>REPT(" ",4)</f>
        <v/>
      </c>
      <c r="AC1009" s="10">
        <f>LEFT(UPPER(H1009)&amp;REPT(" ",250),250)</f>
        <v/>
      </c>
      <c r="AD1009" s="10">
        <f>TEXT($G$2,"dd/mm/aaaa")</f>
        <v/>
      </c>
      <c r="AE1009" s="10">
        <f>REPT(" ",10)</f>
        <v/>
      </c>
      <c r="AF1009" s="10">
        <f>REPT(" ",20)</f>
        <v/>
      </c>
      <c r="AG1009" s="54">
        <f>REPT(" ",18-LEN(FIXED(F1009,2,TRUE)))&amp;FIXED(F1009,2,TRUE)</f>
        <v/>
      </c>
      <c r="AH1009" s="10">
        <f>LEN(AC1009)+LEN(AG1009)</f>
        <v/>
      </c>
      <c r="AI1009" s="10">
        <f>LEN(L1009)</f>
        <v/>
      </c>
    </row>
    <row r="1010">
      <c r="J1010" s="12">
        <f>IF(F1010&lt;&gt;0,"LANÇAR","")</f>
        <v/>
      </c>
      <c r="L1010" s="13">
        <f>N1010&amp;O1010&amp;P1010&amp;Q1010&amp;R1010&amp;S1010&amp;T1010&amp;U1010&amp;V1010&amp;W1010&amp;X1010&amp;Y1010&amp;Z1010&amp;AA1010&amp;AB1010&amp;AC1010&amp;AD1010&amp;AE1010&amp;AF1010&amp;AG1010</f>
        <v/>
      </c>
      <c r="N1010" s="10">
        <f>TEXT($B$6,"00")</f>
        <v/>
      </c>
      <c r="O1010" s="10">
        <f>REPT(" ",8)</f>
        <v/>
      </c>
      <c r="P1010" s="10">
        <f>RIGHT($B$4,2)</f>
        <v/>
      </c>
      <c r="Q1010" s="10">
        <f>RIGHT($B$5,3)</f>
        <v/>
      </c>
      <c r="R1010" s="10">
        <f>IF(A1010="D",LEFT(UPPER(B1010)&amp;REPT(" ",20),20),REPT(" ",20))</f>
        <v/>
      </c>
      <c r="S1010" s="10">
        <f>IF(A1010="D",LEFT(UPPER(C1010)&amp;REPT(" ",10),10)," ")</f>
        <v/>
      </c>
      <c r="T1010" s="10">
        <f>IF(A1010="D",LEFT(UPPER(D1010)&amp;REPT(" ",2),2)," ")</f>
        <v/>
      </c>
      <c r="U1010" s="10">
        <f>IF(A1010="D",LEFT(UPPER(E1010)&amp;REPT(" ",15),15)," ")</f>
        <v/>
      </c>
      <c r="V1010" s="10">
        <f>REPT(" ",24)</f>
        <v/>
      </c>
      <c r="W1010" s="10">
        <f>IF(A1010="c",LEFT(UPPER(B1010)&amp;REPT(" ",20),20),REPT(" ",20))</f>
        <v/>
      </c>
      <c r="X1010" s="10">
        <f>IF(A1010="C",LEFT(UPPER(C1010)&amp;REPT(" ",10),10)," ")</f>
        <v/>
      </c>
      <c r="Y1010" s="10">
        <f>IF(A1010="C",LEFT(UPPER(D1010)&amp;REPT(" ",2),2)," ")</f>
        <v/>
      </c>
      <c r="Z1010" s="10">
        <f>IF(A1010="C",LEFT(UPPER(E1010)&amp;REPT(" ",15),15)," ")</f>
        <v/>
      </c>
      <c r="AA1010" s="10">
        <f>REPT(" ",8)</f>
        <v/>
      </c>
      <c r="AB1010" s="10">
        <f>REPT(" ",4)</f>
        <v/>
      </c>
      <c r="AC1010" s="10">
        <f>LEFT(UPPER(H1010)&amp;REPT(" ",250),250)</f>
        <v/>
      </c>
      <c r="AD1010" s="10">
        <f>TEXT($G$2,"dd/mm/aaaa")</f>
        <v/>
      </c>
      <c r="AE1010" s="10">
        <f>REPT(" ",10)</f>
        <v/>
      </c>
      <c r="AF1010" s="10">
        <f>REPT(" ",20)</f>
        <v/>
      </c>
      <c r="AG1010" s="54">
        <f>REPT(" ",18-LEN(FIXED(F1010,2,TRUE)))&amp;FIXED(F1010,2,TRUE)</f>
        <v/>
      </c>
      <c r="AH1010" s="10">
        <f>LEN(AC1010)+LEN(AG1010)</f>
        <v/>
      </c>
      <c r="AI1010" s="10">
        <f>LEN(L1010)</f>
        <v/>
      </c>
    </row>
    <row r="1011">
      <c r="J1011" s="12">
        <f>IF(F1011&lt;&gt;0,"LANÇAR","")</f>
        <v/>
      </c>
      <c r="L1011" s="13">
        <f>N1011&amp;O1011&amp;P1011&amp;Q1011&amp;R1011&amp;S1011&amp;T1011&amp;U1011&amp;V1011&amp;W1011&amp;X1011&amp;Y1011&amp;Z1011&amp;AA1011&amp;AB1011&amp;AC1011&amp;AD1011&amp;AE1011&amp;AF1011&amp;AG1011</f>
        <v/>
      </c>
      <c r="N1011" s="10">
        <f>TEXT($B$6,"00")</f>
        <v/>
      </c>
      <c r="O1011" s="10">
        <f>REPT(" ",8)</f>
        <v/>
      </c>
      <c r="P1011" s="10">
        <f>RIGHT($B$4,2)</f>
        <v/>
      </c>
      <c r="Q1011" s="10">
        <f>RIGHT($B$5,3)</f>
        <v/>
      </c>
      <c r="R1011" s="10">
        <f>IF(A1011="D",LEFT(UPPER(B1011)&amp;REPT(" ",20),20),REPT(" ",20))</f>
        <v/>
      </c>
      <c r="S1011" s="10">
        <f>IF(A1011="D",LEFT(UPPER(C1011)&amp;REPT(" ",10),10)," ")</f>
        <v/>
      </c>
      <c r="T1011" s="10">
        <f>IF(A1011="D",LEFT(UPPER(D1011)&amp;REPT(" ",2),2)," ")</f>
        <v/>
      </c>
      <c r="U1011" s="10">
        <f>IF(A1011="D",LEFT(UPPER(E1011)&amp;REPT(" ",15),15)," ")</f>
        <v/>
      </c>
      <c r="V1011" s="10">
        <f>REPT(" ",24)</f>
        <v/>
      </c>
      <c r="W1011" s="10">
        <f>IF(A1011="c",LEFT(UPPER(B1011)&amp;REPT(" ",20),20),REPT(" ",20))</f>
        <v/>
      </c>
      <c r="X1011" s="10">
        <f>IF(A1011="C",LEFT(UPPER(C1011)&amp;REPT(" ",10),10)," ")</f>
        <v/>
      </c>
      <c r="Y1011" s="10">
        <f>IF(A1011="C",LEFT(UPPER(D1011)&amp;REPT(" ",2),2)," ")</f>
        <v/>
      </c>
      <c r="Z1011" s="10">
        <f>IF(A1011="C",LEFT(UPPER(E1011)&amp;REPT(" ",15),15)," ")</f>
        <v/>
      </c>
      <c r="AA1011" s="10">
        <f>REPT(" ",8)</f>
        <v/>
      </c>
      <c r="AB1011" s="10">
        <f>REPT(" ",4)</f>
        <v/>
      </c>
      <c r="AC1011" s="10">
        <f>LEFT(UPPER(H1011)&amp;REPT(" ",250),250)</f>
        <v/>
      </c>
      <c r="AD1011" s="10">
        <f>TEXT($G$2,"dd/mm/aaaa")</f>
        <v/>
      </c>
      <c r="AE1011" s="10">
        <f>REPT(" ",10)</f>
        <v/>
      </c>
      <c r="AF1011" s="10">
        <f>REPT(" ",20)</f>
        <v/>
      </c>
      <c r="AG1011" s="54">
        <f>REPT(" ",18-LEN(FIXED(F1011,2,TRUE)))&amp;FIXED(F1011,2,TRUE)</f>
        <v/>
      </c>
      <c r="AH1011" s="10">
        <f>LEN(AC1011)+LEN(AG1011)</f>
        <v/>
      </c>
      <c r="AI1011" s="10">
        <f>LEN(L1011)</f>
        <v/>
      </c>
    </row>
    <row r="1012">
      <c r="J1012" s="12">
        <f>IF(F1012&lt;&gt;0,"LANÇAR","")</f>
        <v/>
      </c>
      <c r="L1012" s="13">
        <f>N1012&amp;O1012&amp;P1012&amp;Q1012&amp;R1012&amp;S1012&amp;T1012&amp;U1012&amp;V1012&amp;W1012&amp;X1012&amp;Y1012&amp;Z1012&amp;AA1012&amp;AB1012&amp;AC1012&amp;AD1012&amp;AE1012&amp;AF1012&amp;AG1012</f>
        <v/>
      </c>
      <c r="N1012" s="10">
        <f>TEXT($B$6,"00")</f>
        <v/>
      </c>
      <c r="O1012" s="10">
        <f>REPT(" ",8)</f>
        <v/>
      </c>
      <c r="P1012" s="10">
        <f>RIGHT($B$4,2)</f>
        <v/>
      </c>
      <c r="Q1012" s="10">
        <f>RIGHT($B$5,3)</f>
        <v/>
      </c>
      <c r="R1012" s="10">
        <f>IF(A1012="D",LEFT(UPPER(B1012)&amp;REPT(" ",20),20),REPT(" ",20))</f>
        <v/>
      </c>
      <c r="S1012" s="10">
        <f>IF(A1012="D",LEFT(UPPER(C1012)&amp;REPT(" ",10),10)," ")</f>
        <v/>
      </c>
      <c r="T1012" s="10">
        <f>IF(A1012="D",LEFT(UPPER(D1012)&amp;REPT(" ",2),2)," ")</f>
        <v/>
      </c>
      <c r="U1012" s="10">
        <f>IF(A1012="D",LEFT(UPPER(E1012)&amp;REPT(" ",15),15)," ")</f>
        <v/>
      </c>
      <c r="V1012" s="10">
        <f>REPT(" ",24)</f>
        <v/>
      </c>
      <c r="W1012" s="10">
        <f>IF(A1012="c",LEFT(UPPER(B1012)&amp;REPT(" ",20),20),REPT(" ",20))</f>
        <v/>
      </c>
      <c r="X1012" s="10">
        <f>IF(A1012="C",LEFT(UPPER(C1012)&amp;REPT(" ",10),10)," ")</f>
        <v/>
      </c>
      <c r="Y1012" s="10">
        <f>IF(A1012="C",LEFT(UPPER(D1012)&amp;REPT(" ",2),2)," ")</f>
        <v/>
      </c>
      <c r="Z1012" s="10">
        <f>IF(A1012="C",LEFT(UPPER(E1012)&amp;REPT(" ",15),15)," ")</f>
        <v/>
      </c>
      <c r="AA1012" s="10">
        <f>REPT(" ",8)</f>
        <v/>
      </c>
      <c r="AB1012" s="10">
        <f>REPT(" ",4)</f>
        <v/>
      </c>
      <c r="AC1012" s="10">
        <f>LEFT(UPPER(H1012)&amp;REPT(" ",250),250)</f>
        <v/>
      </c>
      <c r="AD1012" s="10">
        <f>TEXT($G$2,"dd/mm/aaaa")</f>
        <v/>
      </c>
      <c r="AE1012" s="10">
        <f>REPT(" ",10)</f>
        <v/>
      </c>
      <c r="AF1012" s="10">
        <f>REPT(" ",20)</f>
        <v/>
      </c>
      <c r="AG1012" s="54">
        <f>REPT(" ",18-LEN(FIXED(F1012,2,TRUE)))&amp;FIXED(F1012,2,TRUE)</f>
        <v/>
      </c>
      <c r="AH1012" s="10">
        <f>LEN(AC1012)+LEN(AG1012)</f>
        <v/>
      </c>
      <c r="AI1012" s="10">
        <f>LEN(L1012)</f>
        <v/>
      </c>
    </row>
    <row r="1013">
      <c r="J1013" s="12">
        <f>IF(F1013&lt;&gt;0,"LANÇAR","")</f>
        <v/>
      </c>
      <c r="L1013" s="13">
        <f>N1013&amp;O1013&amp;P1013&amp;Q1013&amp;R1013&amp;S1013&amp;T1013&amp;U1013&amp;V1013&amp;W1013&amp;X1013&amp;Y1013&amp;Z1013&amp;AA1013&amp;AB1013&amp;AC1013&amp;AD1013&amp;AE1013&amp;AF1013&amp;AG1013</f>
        <v/>
      </c>
      <c r="N1013" s="10">
        <f>TEXT($B$6,"00")</f>
        <v/>
      </c>
      <c r="O1013" s="10">
        <f>REPT(" ",8)</f>
        <v/>
      </c>
      <c r="P1013" s="10">
        <f>RIGHT($B$4,2)</f>
        <v/>
      </c>
      <c r="Q1013" s="10">
        <f>RIGHT($B$5,3)</f>
        <v/>
      </c>
      <c r="R1013" s="10">
        <f>IF(A1013="D",LEFT(UPPER(B1013)&amp;REPT(" ",20),20),REPT(" ",20))</f>
        <v/>
      </c>
      <c r="S1013" s="10">
        <f>IF(A1013="D",LEFT(UPPER(C1013)&amp;REPT(" ",10),10)," ")</f>
        <v/>
      </c>
      <c r="T1013" s="10">
        <f>IF(A1013="D",LEFT(UPPER(D1013)&amp;REPT(" ",2),2)," ")</f>
        <v/>
      </c>
      <c r="U1013" s="10">
        <f>IF(A1013="D",LEFT(UPPER(E1013)&amp;REPT(" ",15),15)," ")</f>
        <v/>
      </c>
      <c r="V1013" s="10">
        <f>REPT(" ",24)</f>
        <v/>
      </c>
      <c r="W1013" s="10">
        <f>IF(A1013="c",LEFT(UPPER(B1013)&amp;REPT(" ",20),20),REPT(" ",20))</f>
        <v/>
      </c>
      <c r="X1013" s="10">
        <f>IF(A1013="C",LEFT(UPPER(C1013)&amp;REPT(" ",10),10)," ")</f>
        <v/>
      </c>
      <c r="Y1013" s="10">
        <f>IF(A1013="C",LEFT(UPPER(D1013)&amp;REPT(" ",2),2)," ")</f>
        <v/>
      </c>
      <c r="Z1013" s="10">
        <f>IF(A1013="C",LEFT(UPPER(E1013)&amp;REPT(" ",15),15)," ")</f>
        <v/>
      </c>
      <c r="AA1013" s="10">
        <f>REPT(" ",8)</f>
        <v/>
      </c>
      <c r="AB1013" s="10">
        <f>REPT(" ",4)</f>
        <v/>
      </c>
      <c r="AC1013" s="10">
        <f>LEFT(UPPER(H1013)&amp;REPT(" ",250),250)</f>
        <v/>
      </c>
      <c r="AD1013" s="10">
        <f>TEXT($G$2,"dd/mm/aaaa")</f>
        <v/>
      </c>
      <c r="AE1013" s="10">
        <f>REPT(" ",10)</f>
        <v/>
      </c>
      <c r="AF1013" s="10">
        <f>REPT(" ",20)</f>
        <v/>
      </c>
      <c r="AG1013" s="54">
        <f>REPT(" ",18-LEN(FIXED(F1013,2,TRUE)))&amp;FIXED(F1013,2,TRUE)</f>
        <v/>
      </c>
      <c r="AH1013" s="10">
        <f>LEN(AC1013)+LEN(AG1013)</f>
        <v/>
      </c>
      <c r="AI1013" s="10">
        <f>LEN(L1013)</f>
        <v/>
      </c>
    </row>
    <row r="1014">
      <c r="J1014" s="12">
        <f>IF(F1014&lt;&gt;0,"LANÇAR","")</f>
        <v/>
      </c>
      <c r="L1014" s="13">
        <f>N1014&amp;O1014&amp;P1014&amp;Q1014&amp;R1014&amp;S1014&amp;T1014&amp;U1014&amp;V1014&amp;W1014&amp;X1014&amp;Y1014&amp;Z1014&amp;AA1014&amp;AB1014&amp;AC1014&amp;AD1014&amp;AE1014&amp;AF1014&amp;AG1014</f>
        <v/>
      </c>
      <c r="N1014" s="10">
        <f>TEXT($B$6,"00")</f>
        <v/>
      </c>
      <c r="O1014" s="10">
        <f>REPT(" ",8)</f>
        <v/>
      </c>
      <c r="P1014" s="10">
        <f>RIGHT($B$4,2)</f>
        <v/>
      </c>
      <c r="Q1014" s="10">
        <f>RIGHT($B$5,3)</f>
        <v/>
      </c>
      <c r="R1014" s="10">
        <f>IF(A1014="D",LEFT(UPPER(B1014)&amp;REPT(" ",20),20),REPT(" ",20))</f>
        <v/>
      </c>
      <c r="S1014" s="10">
        <f>IF(A1014="D",LEFT(UPPER(C1014)&amp;REPT(" ",10),10)," ")</f>
        <v/>
      </c>
      <c r="T1014" s="10">
        <f>IF(A1014="D",LEFT(UPPER(D1014)&amp;REPT(" ",2),2)," ")</f>
        <v/>
      </c>
      <c r="U1014" s="10">
        <f>IF(A1014="D",LEFT(UPPER(E1014)&amp;REPT(" ",15),15)," ")</f>
        <v/>
      </c>
      <c r="V1014" s="10">
        <f>REPT(" ",24)</f>
        <v/>
      </c>
      <c r="W1014" s="10">
        <f>IF(A1014="c",LEFT(UPPER(B1014)&amp;REPT(" ",20),20),REPT(" ",20))</f>
        <v/>
      </c>
      <c r="X1014" s="10">
        <f>IF(A1014="C",LEFT(UPPER(C1014)&amp;REPT(" ",10),10)," ")</f>
        <v/>
      </c>
      <c r="Y1014" s="10">
        <f>IF(A1014="C",LEFT(UPPER(D1014)&amp;REPT(" ",2),2)," ")</f>
        <v/>
      </c>
      <c r="Z1014" s="10">
        <f>IF(A1014="C",LEFT(UPPER(E1014)&amp;REPT(" ",15),15)," ")</f>
        <v/>
      </c>
      <c r="AA1014" s="10">
        <f>REPT(" ",8)</f>
        <v/>
      </c>
      <c r="AB1014" s="10">
        <f>REPT(" ",4)</f>
        <v/>
      </c>
      <c r="AC1014" s="10">
        <f>LEFT(UPPER(H1014)&amp;REPT(" ",250),250)</f>
        <v/>
      </c>
      <c r="AD1014" s="10">
        <f>TEXT($G$2,"dd/mm/aaaa")</f>
        <v/>
      </c>
      <c r="AE1014" s="10">
        <f>REPT(" ",10)</f>
        <v/>
      </c>
      <c r="AF1014" s="10">
        <f>REPT(" ",20)</f>
        <v/>
      </c>
      <c r="AG1014" s="54">
        <f>REPT(" ",18-LEN(FIXED(F1014,2,TRUE)))&amp;FIXED(F1014,2,TRUE)</f>
        <v/>
      </c>
      <c r="AH1014" s="10">
        <f>LEN(AC1014)+LEN(AG1014)</f>
        <v/>
      </c>
      <c r="AI1014" s="10">
        <f>LEN(L1014)</f>
        <v/>
      </c>
    </row>
    <row r="1015">
      <c r="J1015" s="12">
        <f>IF(F1015&lt;&gt;0,"LANÇAR","")</f>
        <v/>
      </c>
      <c r="L1015" s="13">
        <f>N1015&amp;O1015&amp;P1015&amp;Q1015&amp;R1015&amp;S1015&amp;T1015&amp;U1015&amp;V1015&amp;W1015&amp;X1015&amp;Y1015&amp;Z1015&amp;AA1015&amp;AB1015&amp;AC1015&amp;AD1015&amp;AE1015&amp;AF1015&amp;AG1015</f>
        <v/>
      </c>
      <c r="N1015" s="10">
        <f>TEXT($B$6,"00")</f>
        <v/>
      </c>
      <c r="O1015" s="10">
        <f>REPT(" ",8)</f>
        <v/>
      </c>
      <c r="P1015" s="10">
        <f>RIGHT($B$4,2)</f>
        <v/>
      </c>
      <c r="Q1015" s="10">
        <f>RIGHT($B$5,3)</f>
        <v/>
      </c>
      <c r="R1015" s="10">
        <f>IF(A1015="D",LEFT(UPPER(B1015)&amp;REPT(" ",20),20),REPT(" ",20))</f>
        <v/>
      </c>
      <c r="S1015" s="10">
        <f>IF(A1015="D",LEFT(UPPER(C1015)&amp;REPT(" ",10),10)," ")</f>
        <v/>
      </c>
      <c r="T1015" s="10">
        <f>IF(A1015="D",LEFT(UPPER(D1015)&amp;REPT(" ",2),2)," ")</f>
        <v/>
      </c>
      <c r="U1015" s="10">
        <f>IF(A1015="D",LEFT(UPPER(E1015)&amp;REPT(" ",15),15)," ")</f>
        <v/>
      </c>
      <c r="V1015" s="10">
        <f>REPT(" ",24)</f>
        <v/>
      </c>
      <c r="W1015" s="10">
        <f>IF(A1015="c",LEFT(UPPER(B1015)&amp;REPT(" ",20),20),REPT(" ",20))</f>
        <v/>
      </c>
      <c r="X1015" s="10">
        <f>IF(A1015="C",LEFT(UPPER(C1015)&amp;REPT(" ",10),10)," ")</f>
        <v/>
      </c>
      <c r="Y1015" s="10">
        <f>IF(A1015="C",LEFT(UPPER(D1015)&amp;REPT(" ",2),2)," ")</f>
        <v/>
      </c>
      <c r="Z1015" s="10">
        <f>IF(A1015="C",LEFT(UPPER(E1015)&amp;REPT(" ",15),15)," ")</f>
        <v/>
      </c>
      <c r="AA1015" s="10">
        <f>REPT(" ",8)</f>
        <v/>
      </c>
      <c r="AB1015" s="10">
        <f>REPT(" ",4)</f>
        <v/>
      </c>
      <c r="AC1015" s="10">
        <f>LEFT(UPPER(H1015)&amp;REPT(" ",250),250)</f>
        <v/>
      </c>
      <c r="AD1015" s="10">
        <f>TEXT($G$2,"dd/mm/aaaa")</f>
        <v/>
      </c>
      <c r="AE1015" s="10">
        <f>REPT(" ",10)</f>
        <v/>
      </c>
      <c r="AF1015" s="10">
        <f>REPT(" ",20)</f>
        <v/>
      </c>
      <c r="AG1015" s="54">
        <f>REPT(" ",18-LEN(FIXED(F1015,2,TRUE)))&amp;FIXED(F1015,2,TRUE)</f>
        <v/>
      </c>
      <c r="AH1015" s="10">
        <f>LEN(AC1015)+LEN(AG1015)</f>
        <v/>
      </c>
      <c r="AI1015" s="10">
        <f>LEN(L1015)</f>
        <v/>
      </c>
    </row>
    <row r="1016">
      <c r="J1016" s="12">
        <f>IF(F1016&lt;&gt;0,"LANÇAR","")</f>
        <v/>
      </c>
      <c r="L1016" s="13">
        <f>N1016&amp;O1016&amp;P1016&amp;Q1016&amp;R1016&amp;S1016&amp;T1016&amp;U1016&amp;V1016&amp;W1016&amp;X1016&amp;Y1016&amp;Z1016&amp;AA1016&amp;AB1016&amp;AC1016&amp;AD1016&amp;AE1016&amp;AF1016&amp;AG1016</f>
        <v/>
      </c>
      <c r="N1016" s="10">
        <f>TEXT($B$6,"00")</f>
        <v/>
      </c>
      <c r="O1016" s="10">
        <f>REPT(" ",8)</f>
        <v/>
      </c>
      <c r="P1016" s="10">
        <f>RIGHT($B$4,2)</f>
        <v/>
      </c>
      <c r="Q1016" s="10">
        <f>RIGHT($B$5,3)</f>
        <v/>
      </c>
      <c r="R1016" s="10">
        <f>IF(A1016="D",LEFT(UPPER(B1016)&amp;REPT(" ",20),20),REPT(" ",20))</f>
        <v/>
      </c>
      <c r="S1016" s="10">
        <f>IF(A1016="D",LEFT(UPPER(C1016)&amp;REPT(" ",10),10)," ")</f>
        <v/>
      </c>
      <c r="T1016" s="10">
        <f>IF(A1016="D",LEFT(UPPER(D1016)&amp;REPT(" ",2),2)," ")</f>
        <v/>
      </c>
      <c r="U1016" s="10">
        <f>IF(A1016="D",LEFT(UPPER(E1016)&amp;REPT(" ",15),15)," ")</f>
        <v/>
      </c>
      <c r="V1016" s="10">
        <f>REPT(" ",24)</f>
        <v/>
      </c>
      <c r="W1016" s="10">
        <f>IF(A1016="c",LEFT(UPPER(B1016)&amp;REPT(" ",20),20),REPT(" ",20))</f>
        <v/>
      </c>
      <c r="X1016" s="10">
        <f>IF(A1016="C",LEFT(UPPER(C1016)&amp;REPT(" ",10),10)," ")</f>
        <v/>
      </c>
      <c r="Y1016" s="10">
        <f>IF(A1016="C",LEFT(UPPER(D1016)&amp;REPT(" ",2),2)," ")</f>
        <v/>
      </c>
      <c r="Z1016" s="10">
        <f>IF(A1016="C",LEFT(UPPER(E1016)&amp;REPT(" ",15),15)," ")</f>
        <v/>
      </c>
      <c r="AA1016" s="10">
        <f>REPT(" ",8)</f>
        <v/>
      </c>
      <c r="AB1016" s="10">
        <f>REPT(" ",4)</f>
        <v/>
      </c>
      <c r="AC1016" s="10">
        <f>LEFT(UPPER(H1016)&amp;REPT(" ",250),250)</f>
        <v/>
      </c>
      <c r="AD1016" s="10">
        <f>TEXT($G$2,"dd/mm/aaaa")</f>
        <v/>
      </c>
      <c r="AE1016" s="10">
        <f>REPT(" ",10)</f>
        <v/>
      </c>
      <c r="AF1016" s="10">
        <f>REPT(" ",20)</f>
        <v/>
      </c>
      <c r="AG1016" s="54">
        <f>REPT(" ",18-LEN(FIXED(F1016,2,TRUE)))&amp;FIXED(F1016,2,TRUE)</f>
        <v/>
      </c>
      <c r="AH1016" s="10">
        <f>LEN(AC1016)+LEN(AG1016)</f>
        <v/>
      </c>
      <c r="AI1016" s="10">
        <f>LEN(L1016)</f>
        <v/>
      </c>
    </row>
    <row r="1017">
      <c r="J1017" s="12">
        <f>IF(F1017&lt;&gt;0,"LANÇAR","")</f>
        <v/>
      </c>
      <c r="L1017" s="13">
        <f>N1017&amp;O1017&amp;P1017&amp;Q1017&amp;R1017&amp;S1017&amp;T1017&amp;U1017&amp;V1017&amp;W1017&amp;X1017&amp;Y1017&amp;Z1017&amp;AA1017&amp;AB1017&amp;AC1017&amp;AD1017&amp;AE1017&amp;AF1017&amp;AG1017</f>
        <v/>
      </c>
      <c r="N1017" s="10">
        <f>TEXT($B$6,"00")</f>
        <v/>
      </c>
      <c r="O1017" s="10">
        <f>REPT(" ",8)</f>
        <v/>
      </c>
      <c r="P1017" s="10">
        <f>RIGHT($B$4,2)</f>
        <v/>
      </c>
      <c r="Q1017" s="10">
        <f>RIGHT($B$5,3)</f>
        <v/>
      </c>
      <c r="R1017" s="10">
        <f>IF(A1017="D",LEFT(UPPER(B1017)&amp;REPT(" ",20),20),REPT(" ",20))</f>
        <v/>
      </c>
      <c r="S1017" s="10">
        <f>IF(A1017="D",LEFT(UPPER(C1017)&amp;REPT(" ",10),10)," ")</f>
        <v/>
      </c>
      <c r="T1017" s="10">
        <f>IF(A1017="D",LEFT(UPPER(D1017)&amp;REPT(" ",2),2)," ")</f>
        <v/>
      </c>
      <c r="U1017" s="10">
        <f>IF(A1017="D",LEFT(UPPER(E1017)&amp;REPT(" ",15),15)," ")</f>
        <v/>
      </c>
      <c r="V1017" s="10">
        <f>REPT(" ",24)</f>
        <v/>
      </c>
      <c r="W1017" s="10">
        <f>IF(A1017="c",LEFT(UPPER(B1017)&amp;REPT(" ",20),20),REPT(" ",20))</f>
        <v/>
      </c>
      <c r="X1017" s="10">
        <f>IF(A1017="C",LEFT(UPPER(C1017)&amp;REPT(" ",10),10)," ")</f>
        <v/>
      </c>
      <c r="Y1017" s="10">
        <f>IF(A1017="C",LEFT(UPPER(D1017)&amp;REPT(" ",2),2)," ")</f>
        <v/>
      </c>
      <c r="Z1017" s="10">
        <f>IF(A1017="C",LEFT(UPPER(E1017)&amp;REPT(" ",15),15)," ")</f>
        <v/>
      </c>
      <c r="AA1017" s="10">
        <f>REPT(" ",8)</f>
        <v/>
      </c>
      <c r="AB1017" s="10">
        <f>REPT(" ",4)</f>
        <v/>
      </c>
      <c r="AC1017" s="10">
        <f>LEFT(UPPER(H1017)&amp;REPT(" ",250),250)</f>
        <v/>
      </c>
      <c r="AD1017" s="10">
        <f>TEXT($G$2,"dd/mm/aaaa")</f>
        <v/>
      </c>
      <c r="AE1017" s="10">
        <f>REPT(" ",10)</f>
        <v/>
      </c>
      <c r="AF1017" s="10">
        <f>REPT(" ",20)</f>
        <v/>
      </c>
      <c r="AG1017" s="54">
        <f>REPT(" ",18-LEN(FIXED(F1017,2,TRUE)))&amp;FIXED(F1017,2,TRUE)</f>
        <v/>
      </c>
      <c r="AH1017" s="10">
        <f>LEN(AC1017)+LEN(AG1017)</f>
        <v/>
      </c>
      <c r="AI1017" s="10">
        <f>LEN(L1017)</f>
        <v/>
      </c>
    </row>
    <row r="1018">
      <c r="J1018" s="12">
        <f>IF(F1018&lt;&gt;0,"LANÇAR","")</f>
        <v/>
      </c>
      <c r="L1018" s="13">
        <f>N1018&amp;O1018&amp;P1018&amp;Q1018&amp;R1018&amp;S1018&amp;T1018&amp;U1018&amp;V1018&amp;W1018&amp;X1018&amp;Y1018&amp;Z1018&amp;AA1018&amp;AB1018&amp;AC1018&amp;AD1018&amp;AE1018&amp;AF1018&amp;AG1018</f>
        <v/>
      </c>
      <c r="N1018" s="10">
        <f>TEXT($B$6,"00")</f>
        <v/>
      </c>
      <c r="O1018" s="10">
        <f>REPT(" ",8)</f>
        <v/>
      </c>
      <c r="P1018" s="10">
        <f>RIGHT($B$4,2)</f>
        <v/>
      </c>
      <c r="Q1018" s="10">
        <f>RIGHT($B$5,3)</f>
        <v/>
      </c>
      <c r="R1018" s="10">
        <f>IF(A1018="D",LEFT(UPPER(B1018)&amp;REPT(" ",20),20),REPT(" ",20))</f>
        <v/>
      </c>
      <c r="S1018" s="10">
        <f>IF(A1018="D",LEFT(UPPER(C1018)&amp;REPT(" ",10),10)," ")</f>
        <v/>
      </c>
      <c r="T1018" s="10">
        <f>IF(A1018="D",LEFT(UPPER(D1018)&amp;REPT(" ",2),2)," ")</f>
        <v/>
      </c>
      <c r="U1018" s="10">
        <f>IF(A1018="D",LEFT(UPPER(E1018)&amp;REPT(" ",15),15)," ")</f>
        <v/>
      </c>
      <c r="V1018" s="10">
        <f>REPT(" ",24)</f>
        <v/>
      </c>
      <c r="W1018" s="10">
        <f>IF(A1018="c",LEFT(UPPER(B1018)&amp;REPT(" ",20),20),REPT(" ",20))</f>
        <v/>
      </c>
      <c r="X1018" s="10">
        <f>IF(A1018="C",LEFT(UPPER(C1018)&amp;REPT(" ",10),10)," ")</f>
        <v/>
      </c>
      <c r="Y1018" s="10">
        <f>IF(A1018="C",LEFT(UPPER(D1018)&amp;REPT(" ",2),2)," ")</f>
        <v/>
      </c>
      <c r="Z1018" s="10">
        <f>IF(A1018="C",LEFT(UPPER(E1018)&amp;REPT(" ",15),15)," ")</f>
        <v/>
      </c>
      <c r="AA1018" s="10">
        <f>REPT(" ",8)</f>
        <v/>
      </c>
      <c r="AB1018" s="10">
        <f>REPT(" ",4)</f>
        <v/>
      </c>
      <c r="AC1018" s="10">
        <f>LEFT(UPPER(H1018)&amp;REPT(" ",250),250)</f>
        <v/>
      </c>
      <c r="AD1018" s="10">
        <f>TEXT($G$2,"dd/mm/aaaa")</f>
        <v/>
      </c>
      <c r="AE1018" s="10">
        <f>REPT(" ",10)</f>
        <v/>
      </c>
      <c r="AF1018" s="10">
        <f>REPT(" ",20)</f>
        <v/>
      </c>
      <c r="AG1018" s="54">
        <f>REPT(" ",18-LEN(FIXED(F1018,2,TRUE)))&amp;FIXED(F1018,2,TRUE)</f>
        <v/>
      </c>
      <c r="AH1018" s="10">
        <f>LEN(AC1018)+LEN(AG1018)</f>
        <v/>
      </c>
      <c r="AI1018" s="10">
        <f>LEN(L1018)</f>
        <v/>
      </c>
    </row>
    <row r="1019">
      <c r="J1019" s="12">
        <f>IF(F1019&lt;&gt;0,"LANÇAR","")</f>
        <v/>
      </c>
      <c r="L1019" s="13">
        <f>N1019&amp;O1019&amp;P1019&amp;Q1019&amp;R1019&amp;S1019&amp;T1019&amp;U1019&amp;V1019&amp;W1019&amp;X1019&amp;Y1019&amp;Z1019&amp;AA1019&amp;AB1019&amp;AC1019&amp;AD1019&amp;AE1019&amp;AF1019&amp;AG1019</f>
        <v/>
      </c>
      <c r="N1019" s="10">
        <f>TEXT($B$6,"00")</f>
        <v/>
      </c>
      <c r="O1019" s="10">
        <f>REPT(" ",8)</f>
        <v/>
      </c>
      <c r="P1019" s="10">
        <f>RIGHT($B$4,2)</f>
        <v/>
      </c>
      <c r="Q1019" s="10">
        <f>RIGHT($B$5,3)</f>
        <v/>
      </c>
      <c r="R1019" s="10">
        <f>IF(A1019="D",LEFT(UPPER(B1019)&amp;REPT(" ",20),20),REPT(" ",20))</f>
        <v/>
      </c>
      <c r="S1019" s="10">
        <f>IF(A1019="D",LEFT(UPPER(C1019)&amp;REPT(" ",10),10)," ")</f>
        <v/>
      </c>
      <c r="T1019" s="10">
        <f>IF(A1019="D",LEFT(UPPER(D1019)&amp;REPT(" ",2),2)," ")</f>
        <v/>
      </c>
      <c r="U1019" s="10">
        <f>IF(A1019="D",LEFT(UPPER(E1019)&amp;REPT(" ",15),15)," ")</f>
        <v/>
      </c>
      <c r="V1019" s="10">
        <f>REPT(" ",24)</f>
        <v/>
      </c>
      <c r="W1019" s="10">
        <f>IF(A1019="c",LEFT(UPPER(B1019)&amp;REPT(" ",20),20),REPT(" ",20))</f>
        <v/>
      </c>
      <c r="X1019" s="10">
        <f>IF(A1019="C",LEFT(UPPER(C1019)&amp;REPT(" ",10),10)," ")</f>
        <v/>
      </c>
      <c r="Y1019" s="10">
        <f>IF(A1019="C",LEFT(UPPER(D1019)&amp;REPT(" ",2),2)," ")</f>
        <v/>
      </c>
      <c r="Z1019" s="10">
        <f>IF(A1019="C",LEFT(UPPER(E1019)&amp;REPT(" ",15),15)," ")</f>
        <v/>
      </c>
      <c r="AA1019" s="10">
        <f>REPT(" ",8)</f>
        <v/>
      </c>
      <c r="AB1019" s="10">
        <f>REPT(" ",4)</f>
        <v/>
      </c>
      <c r="AC1019" s="10">
        <f>LEFT(UPPER(H1019)&amp;REPT(" ",250),250)</f>
        <v/>
      </c>
      <c r="AD1019" s="10">
        <f>TEXT($G$2,"dd/mm/aaaa")</f>
        <v/>
      </c>
      <c r="AE1019" s="10">
        <f>REPT(" ",10)</f>
        <v/>
      </c>
      <c r="AF1019" s="10">
        <f>REPT(" ",20)</f>
        <v/>
      </c>
      <c r="AG1019" s="54">
        <f>REPT(" ",18-LEN(FIXED(F1019,2,TRUE)))&amp;FIXED(F1019,2,TRUE)</f>
        <v/>
      </c>
      <c r="AH1019" s="10">
        <f>LEN(AC1019)+LEN(AG1019)</f>
        <v/>
      </c>
      <c r="AI1019" s="10">
        <f>LEN(L1019)</f>
        <v/>
      </c>
    </row>
    <row r="1020">
      <c r="J1020" s="12">
        <f>IF(F1020&lt;&gt;0,"LANÇAR","")</f>
        <v/>
      </c>
      <c r="L1020" s="13">
        <f>N1020&amp;O1020&amp;P1020&amp;Q1020&amp;R1020&amp;S1020&amp;T1020&amp;U1020&amp;V1020&amp;W1020&amp;X1020&amp;Y1020&amp;Z1020&amp;AA1020&amp;AB1020&amp;AC1020&amp;AD1020&amp;AE1020&amp;AF1020&amp;AG1020</f>
        <v/>
      </c>
      <c r="N1020" s="10">
        <f>TEXT($B$6,"00")</f>
        <v/>
      </c>
      <c r="O1020" s="10">
        <f>REPT(" ",8)</f>
        <v/>
      </c>
      <c r="P1020" s="10">
        <f>RIGHT($B$4,2)</f>
        <v/>
      </c>
      <c r="Q1020" s="10">
        <f>RIGHT($B$5,3)</f>
        <v/>
      </c>
      <c r="R1020" s="10">
        <f>IF(A1020="D",LEFT(UPPER(B1020)&amp;REPT(" ",20),20),REPT(" ",20))</f>
        <v/>
      </c>
      <c r="S1020" s="10">
        <f>IF(A1020="D",LEFT(UPPER(C1020)&amp;REPT(" ",10),10)," ")</f>
        <v/>
      </c>
      <c r="T1020" s="10">
        <f>IF(A1020="D",LEFT(UPPER(D1020)&amp;REPT(" ",2),2)," ")</f>
        <v/>
      </c>
      <c r="U1020" s="10">
        <f>IF(A1020="D",LEFT(UPPER(E1020)&amp;REPT(" ",15),15)," ")</f>
        <v/>
      </c>
      <c r="V1020" s="10">
        <f>REPT(" ",24)</f>
        <v/>
      </c>
      <c r="W1020" s="10">
        <f>IF(A1020="c",LEFT(UPPER(B1020)&amp;REPT(" ",20),20),REPT(" ",20))</f>
        <v/>
      </c>
      <c r="X1020" s="10">
        <f>IF(A1020="C",LEFT(UPPER(C1020)&amp;REPT(" ",10),10)," ")</f>
        <v/>
      </c>
      <c r="Y1020" s="10">
        <f>IF(A1020="C",LEFT(UPPER(D1020)&amp;REPT(" ",2),2)," ")</f>
        <v/>
      </c>
      <c r="Z1020" s="10">
        <f>IF(A1020="C",LEFT(UPPER(E1020)&amp;REPT(" ",15),15)," ")</f>
        <v/>
      </c>
      <c r="AA1020" s="10">
        <f>REPT(" ",8)</f>
        <v/>
      </c>
      <c r="AB1020" s="10">
        <f>REPT(" ",4)</f>
        <v/>
      </c>
      <c r="AC1020" s="10">
        <f>LEFT(UPPER(H1020)&amp;REPT(" ",250),250)</f>
        <v/>
      </c>
      <c r="AD1020" s="10">
        <f>TEXT($G$2,"dd/mm/aaaa")</f>
        <v/>
      </c>
      <c r="AE1020" s="10">
        <f>REPT(" ",10)</f>
        <v/>
      </c>
      <c r="AF1020" s="10">
        <f>REPT(" ",20)</f>
        <v/>
      </c>
      <c r="AG1020" s="54">
        <f>REPT(" ",18-LEN(FIXED(F1020,2,TRUE)))&amp;FIXED(F1020,2,TRUE)</f>
        <v/>
      </c>
      <c r="AH1020" s="10">
        <f>LEN(AC1020)+LEN(AG1020)</f>
        <v/>
      </c>
      <c r="AI1020" s="10">
        <f>LEN(L1020)</f>
        <v/>
      </c>
    </row>
    <row r="1021">
      <c r="J1021" s="12">
        <f>IF(F1021&lt;&gt;0,"LANÇAR","")</f>
        <v/>
      </c>
      <c r="L1021" s="13">
        <f>N1021&amp;O1021&amp;P1021&amp;Q1021&amp;R1021&amp;S1021&amp;T1021&amp;U1021&amp;V1021&amp;W1021&amp;X1021&amp;Y1021&amp;Z1021&amp;AA1021&amp;AB1021&amp;AC1021&amp;AD1021&amp;AE1021&amp;AF1021&amp;AG1021</f>
        <v/>
      </c>
      <c r="N1021" s="10">
        <f>TEXT($B$6,"00")</f>
        <v/>
      </c>
      <c r="O1021" s="10">
        <f>REPT(" ",8)</f>
        <v/>
      </c>
      <c r="P1021" s="10">
        <f>RIGHT($B$4,2)</f>
        <v/>
      </c>
      <c r="Q1021" s="10">
        <f>RIGHT($B$5,3)</f>
        <v/>
      </c>
      <c r="R1021" s="10">
        <f>IF(A1021="D",LEFT(UPPER(B1021)&amp;REPT(" ",20),20),REPT(" ",20))</f>
        <v/>
      </c>
      <c r="S1021" s="10">
        <f>IF(A1021="D",LEFT(UPPER(C1021)&amp;REPT(" ",10),10)," ")</f>
        <v/>
      </c>
      <c r="T1021" s="10">
        <f>IF(A1021="D",LEFT(UPPER(D1021)&amp;REPT(" ",2),2)," ")</f>
        <v/>
      </c>
      <c r="U1021" s="10">
        <f>IF(A1021="D",LEFT(UPPER(E1021)&amp;REPT(" ",15),15)," ")</f>
        <v/>
      </c>
      <c r="V1021" s="10">
        <f>REPT(" ",24)</f>
        <v/>
      </c>
      <c r="W1021" s="10">
        <f>IF(A1021="c",LEFT(UPPER(B1021)&amp;REPT(" ",20),20),REPT(" ",20))</f>
        <v/>
      </c>
      <c r="X1021" s="10">
        <f>IF(A1021="C",LEFT(UPPER(C1021)&amp;REPT(" ",10),10)," ")</f>
        <v/>
      </c>
      <c r="Y1021" s="10">
        <f>IF(A1021="C",LEFT(UPPER(D1021)&amp;REPT(" ",2),2)," ")</f>
        <v/>
      </c>
      <c r="Z1021" s="10">
        <f>IF(A1021="C",LEFT(UPPER(E1021)&amp;REPT(" ",15),15)," ")</f>
        <v/>
      </c>
      <c r="AA1021" s="10">
        <f>REPT(" ",8)</f>
        <v/>
      </c>
      <c r="AB1021" s="10">
        <f>REPT(" ",4)</f>
        <v/>
      </c>
      <c r="AC1021" s="10">
        <f>LEFT(UPPER(H1021)&amp;REPT(" ",250),250)</f>
        <v/>
      </c>
      <c r="AD1021" s="10">
        <f>TEXT($G$2,"dd/mm/aaaa")</f>
        <v/>
      </c>
      <c r="AE1021" s="10">
        <f>REPT(" ",10)</f>
        <v/>
      </c>
      <c r="AF1021" s="10">
        <f>REPT(" ",20)</f>
        <v/>
      </c>
      <c r="AG1021" s="54">
        <f>REPT(" ",18-LEN(FIXED(F1021,2,TRUE)))&amp;FIXED(F1021,2,TRUE)</f>
        <v/>
      </c>
      <c r="AH1021" s="10">
        <f>LEN(AC1021)+LEN(AG1021)</f>
        <v/>
      </c>
      <c r="AI1021" s="10">
        <f>LEN(L1021)</f>
        <v/>
      </c>
    </row>
    <row r="1022">
      <c r="J1022" s="12">
        <f>IF(F1022&lt;&gt;0,"LANÇAR","")</f>
        <v/>
      </c>
      <c r="L1022" s="13">
        <f>N1022&amp;O1022&amp;P1022&amp;Q1022&amp;R1022&amp;S1022&amp;T1022&amp;U1022&amp;V1022&amp;W1022&amp;X1022&amp;Y1022&amp;Z1022&amp;AA1022&amp;AB1022&amp;AC1022&amp;AD1022&amp;AE1022&amp;AF1022&amp;AG1022</f>
        <v/>
      </c>
      <c r="N1022" s="10">
        <f>TEXT($B$6,"00")</f>
        <v/>
      </c>
      <c r="O1022" s="10">
        <f>REPT(" ",8)</f>
        <v/>
      </c>
      <c r="P1022" s="10">
        <f>RIGHT($B$4,2)</f>
        <v/>
      </c>
      <c r="Q1022" s="10">
        <f>RIGHT($B$5,3)</f>
        <v/>
      </c>
      <c r="R1022" s="10">
        <f>IF(A1022="D",LEFT(UPPER(B1022)&amp;REPT(" ",20),20),REPT(" ",20))</f>
        <v/>
      </c>
      <c r="S1022" s="10">
        <f>IF(A1022="D",LEFT(UPPER(C1022)&amp;REPT(" ",10),10)," ")</f>
        <v/>
      </c>
      <c r="T1022" s="10">
        <f>IF(A1022="D",LEFT(UPPER(D1022)&amp;REPT(" ",2),2)," ")</f>
        <v/>
      </c>
      <c r="U1022" s="10">
        <f>IF(A1022="D",LEFT(UPPER(E1022)&amp;REPT(" ",15),15)," ")</f>
        <v/>
      </c>
      <c r="V1022" s="10">
        <f>REPT(" ",24)</f>
        <v/>
      </c>
      <c r="W1022" s="10">
        <f>IF(A1022="c",LEFT(UPPER(B1022)&amp;REPT(" ",20),20),REPT(" ",20))</f>
        <v/>
      </c>
      <c r="X1022" s="10">
        <f>IF(A1022="C",LEFT(UPPER(C1022)&amp;REPT(" ",10),10)," ")</f>
        <v/>
      </c>
      <c r="Y1022" s="10">
        <f>IF(A1022="C",LEFT(UPPER(D1022)&amp;REPT(" ",2),2)," ")</f>
        <v/>
      </c>
      <c r="Z1022" s="10">
        <f>IF(A1022="C",LEFT(UPPER(E1022)&amp;REPT(" ",15),15)," ")</f>
        <v/>
      </c>
      <c r="AA1022" s="10">
        <f>REPT(" ",8)</f>
        <v/>
      </c>
      <c r="AB1022" s="10">
        <f>REPT(" ",4)</f>
        <v/>
      </c>
      <c r="AC1022" s="10">
        <f>LEFT(UPPER(H1022)&amp;REPT(" ",250),250)</f>
        <v/>
      </c>
      <c r="AD1022" s="10">
        <f>TEXT($G$2,"dd/mm/aaaa")</f>
        <v/>
      </c>
      <c r="AE1022" s="10">
        <f>REPT(" ",10)</f>
        <v/>
      </c>
      <c r="AF1022" s="10">
        <f>REPT(" ",20)</f>
        <v/>
      </c>
      <c r="AG1022" s="54">
        <f>REPT(" ",18-LEN(FIXED(F1022,2,TRUE)))&amp;FIXED(F1022,2,TRUE)</f>
        <v/>
      </c>
      <c r="AH1022" s="10">
        <f>LEN(AC1022)+LEN(AG1022)</f>
        <v/>
      </c>
      <c r="AI1022" s="10">
        <f>LEN(L1022)</f>
        <v/>
      </c>
    </row>
    <row r="1023">
      <c r="J1023" s="12">
        <f>IF(F1023&lt;&gt;0,"LANÇAR","")</f>
        <v/>
      </c>
      <c r="L1023" s="13">
        <f>N1023&amp;O1023&amp;P1023&amp;Q1023&amp;R1023&amp;S1023&amp;T1023&amp;U1023&amp;V1023&amp;W1023&amp;X1023&amp;Y1023&amp;Z1023&amp;AA1023&amp;AB1023&amp;AC1023&amp;AD1023&amp;AE1023&amp;AF1023&amp;AG1023</f>
        <v/>
      </c>
      <c r="N1023" s="10">
        <f>TEXT($B$6,"00")</f>
        <v/>
      </c>
      <c r="O1023" s="10">
        <f>REPT(" ",8)</f>
        <v/>
      </c>
      <c r="P1023" s="10">
        <f>RIGHT($B$4,2)</f>
        <v/>
      </c>
      <c r="Q1023" s="10">
        <f>RIGHT($B$5,3)</f>
        <v/>
      </c>
      <c r="R1023" s="10">
        <f>IF(A1023="D",LEFT(UPPER(B1023)&amp;REPT(" ",20),20),REPT(" ",20))</f>
        <v/>
      </c>
      <c r="S1023" s="10">
        <f>IF(A1023="D",LEFT(UPPER(C1023)&amp;REPT(" ",10),10)," ")</f>
        <v/>
      </c>
      <c r="T1023" s="10">
        <f>IF(A1023="D",LEFT(UPPER(D1023)&amp;REPT(" ",2),2)," ")</f>
        <v/>
      </c>
      <c r="U1023" s="10">
        <f>IF(A1023="D",LEFT(UPPER(E1023)&amp;REPT(" ",15),15)," ")</f>
        <v/>
      </c>
      <c r="V1023" s="10">
        <f>REPT(" ",24)</f>
        <v/>
      </c>
      <c r="W1023" s="10">
        <f>IF(A1023="c",LEFT(UPPER(B1023)&amp;REPT(" ",20),20),REPT(" ",20))</f>
        <v/>
      </c>
      <c r="X1023" s="10">
        <f>IF(A1023="C",LEFT(UPPER(C1023)&amp;REPT(" ",10),10)," ")</f>
        <v/>
      </c>
      <c r="Y1023" s="10">
        <f>IF(A1023="C",LEFT(UPPER(D1023)&amp;REPT(" ",2),2)," ")</f>
        <v/>
      </c>
      <c r="Z1023" s="10">
        <f>IF(A1023="C",LEFT(UPPER(E1023)&amp;REPT(" ",15),15)," ")</f>
        <v/>
      </c>
      <c r="AA1023" s="10">
        <f>REPT(" ",8)</f>
        <v/>
      </c>
      <c r="AB1023" s="10">
        <f>REPT(" ",4)</f>
        <v/>
      </c>
      <c r="AC1023" s="10">
        <f>LEFT(UPPER(H1023)&amp;REPT(" ",250),250)</f>
        <v/>
      </c>
      <c r="AD1023" s="10">
        <f>TEXT($G$2,"dd/mm/aaaa")</f>
        <v/>
      </c>
      <c r="AE1023" s="10">
        <f>REPT(" ",10)</f>
        <v/>
      </c>
      <c r="AF1023" s="10">
        <f>REPT(" ",20)</f>
        <v/>
      </c>
      <c r="AG1023" s="54">
        <f>REPT(" ",18-LEN(FIXED(F1023,2,TRUE)))&amp;FIXED(F1023,2,TRUE)</f>
        <v/>
      </c>
      <c r="AH1023" s="10">
        <f>LEN(AC1023)+LEN(AG1023)</f>
        <v/>
      </c>
      <c r="AI1023" s="10">
        <f>LEN(L1023)</f>
        <v/>
      </c>
    </row>
    <row r="1024">
      <c r="J1024" s="12">
        <f>IF(F1024&lt;&gt;0,"LANÇAR","")</f>
        <v/>
      </c>
      <c r="L1024" s="13">
        <f>N1024&amp;O1024&amp;P1024&amp;Q1024&amp;R1024&amp;S1024&amp;T1024&amp;U1024&amp;V1024&amp;W1024&amp;X1024&amp;Y1024&amp;Z1024&amp;AA1024&amp;AB1024&amp;AC1024&amp;AD1024&amp;AE1024&amp;AF1024&amp;AG1024</f>
        <v/>
      </c>
      <c r="N1024" s="10">
        <f>TEXT($B$6,"00")</f>
        <v/>
      </c>
      <c r="O1024" s="10">
        <f>REPT(" ",8)</f>
        <v/>
      </c>
      <c r="P1024" s="10">
        <f>RIGHT($B$4,2)</f>
        <v/>
      </c>
      <c r="Q1024" s="10">
        <f>RIGHT($B$5,3)</f>
        <v/>
      </c>
      <c r="R1024" s="10">
        <f>IF(A1024="D",LEFT(UPPER(B1024)&amp;REPT(" ",20),20),REPT(" ",20))</f>
        <v/>
      </c>
      <c r="S1024" s="10">
        <f>IF(A1024="D",LEFT(UPPER(C1024)&amp;REPT(" ",10),10)," ")</f>
        <v/>
      </c>
      <c r="T1024" s="10">
        <f>IF(A1024="D",LEFT(UPPER(D1024)&amp;REPT(" ",2),2)," ")</f>
        <v/>
      </c>
      <c r="U1024" s="10">
        <f>IF(A1024="D",LEFT(UPPER(E1024)&amp;REPT(" ",15),15)," ")</f>
        <v/>
      </c>
      <c r="V1024" s="10">
        <f>REPT(" ",24)</f>
        <v/>
      </c>
      <c r="W1024" s="10">
        <f>IF(A1024="c",LEFT(UPPER(B1024)&amp;REPT(" ",20),20),REPT(" ",20))</f>
        <v/>
      </c>
      <c r="X1024" s="10">
        <f>IF(A1024="C",LEFT(UPPER(C1024)&amp;REPT(" ",10),10)," ")</f>
        <v/>
      </c>
      <c r="Y1024" s="10">
        <f>IF(A1024="C",LEFT(UPPER(D1024)&amp;REPT(" ",2),2)," ")</f>
        <v/>
      </c>
      <c r="Z1024" s="10">
        <f>IF(A1024="C",LEFT(UPPER(E1024)&amp;REPT(" ",15),15)," ")</f>
        <v/>
      </c>
      <c r="AA1024" s="10">
        <f>REPT(" ",8)</f>
        <v/>
      </c>
      <c r="AB1024" s="10">
        <f>REPT(" ",4)</f>
        <v/>
      </c>
      <c r="AC1024" s="10">
        <f>LEFT(UPPER(H1024)&amp;REPT(" ",250),250)</f>
        <v/>
      </c>
      <c r="AD1024" s="10">
        <f>TEXT($G$2,"dd/mm/aaaa")</f>
        <v/>
      </c>
      <c r="AE1024" s="10">
        <f>REPT(" ",10)</f>
        <v/>
      </c>
      <c r="AF1024" s="10">
        <f>REPT(" ",20)</f>
        <v/>
      </c>
      <c r="AG1024" s="54">
        <f>REPT(" ",18-LEN(FIXED(F1024,2,TRUE)))&amp;FIXED(F1024,2,TRUE)</f>
        <v/>
      </c>
      <c r="AH1024" s="10">
        <f>LEN(AC1024)+LEN(AG1024)</f>
        <v/>
      </c>
      <c r="AI1024" s="10">
        <f>LEN(L1024)</f>
        <v/>
      </c>
    </row>
    <row r="1025">
      <c r="J1025" s="12">
        <f>IF(F1025&lt;&gt;0,"LANÇAR","")</f>
        <v/>
      </c>
      <c r="L1025" s="13">
        <f>N1025&amp;O1025&amp;P1025&amp;Q1025&amp;R1025&amp;S1025&amp;T1025&amp;U1025&amp;V1025&amp;W1025&amp;X1025&amp;Y1025&amp;Z1025&amp;AA1025&amp;AB1025&amp;AC1025&amp;AD1025&amp;AE1025&amp;AF1025&amp;AG1025</f>
        <v/>
      </c>
      <c r="N1025" s="10">
        <f>TEXT($B$6,"00")</f>
        <v/>
      </c>
      <c r="O1025" s="10">
        <f>REPT(" ",8)</f>
        <v/>
      </c>
      <c r="P1025" s="10">
        <f>RIGHT($B$4,2)</f>
        <v/>
      </c>
      <c r="Q1025" s="10">
        <f>RIGHT($B$5,3)</f>
        <v/>
      </c>
      <c r="R1025" s="10">
        <f>IF(A1025="D",LEFT(UPPER(B1025)&amp;REPT(" ",20),20),REPT(" ",20))</f>
        <v/>
      </c>
      <c r="S1025" s="10">
        <f>IF(A1025="D",LEFT(UPPER(C1025)&amp;REPT(" ",10),10)," ")</f>
        <v/>
      </c>
      <c r="T1025" s="10">
        <f>IF(A1025="D",LEFT(UPPER(D1025)&amp;REPT(" ",2),2)," ")</f>
        <v/>
      </c>
      <c r="U1025" s="10">
        <f>IF(A1025="D",LEFT(UPPER(E1025)&amp;REPT(" ",15),15)," ")</f>
        <v/>
      </c>
      <c r="V1025" s="10">
        <f>REPT(" ",24)</f>
        <v/>
      </c>
      <c r="W1025" s="10">
        <f>IF(A1025="c",LEFT(UPPER(B1025)&amp;REPT(" ",20),20),REPT(" ",20))</f>
        <v/>
      </c>
      <c r="X1025" s="10">
        <f>IF(A1025="C",LEFT(UPPER(C1025)&amp;REPT(" ",10),10)," ")</f>
        <v/>
      </c>
      <c r="Y1025" s="10">
        <f>IF(A1025="C",LEFT(UPPER(D1025)&amp;REPT(" ",2),2)," ")</f>
        <v/>
      </c>
      <c r="Z1025" s="10">
        <f>IF(A1025="C",LEFT(UPPER(E1025)&amp;REPT(" ",15),15)," ")</f>
        <v/>
      </c>
      <c r="AA1025" s="10">
        <f>REPT(" ",8)</f>
        <v/>
      </c>
      <c r="AB1025" s="10">
        <f>REPT(" ",4)</f>
        <v/>
      </c>
      <c r="AC1025" s="10">
        <f>LEFT(UPPER(H1025)&amp;REPT(" ",250),250)</f>
        <v/>
      </c>
      <c r="AD1025" s="10">
        <f>TEXT($G$2,"dd/mm/aaaa")</f>
        <v/>
      </c>
      <c r="AE1025" s="10">
        <f>REPT(" ",10)</f>
        <v/>
      </c>
      <c r="AF1025" s="10">
        <f>REPT(" ",20)</f>
        <v/>
      </c>
      <c r="AG1025" s="54">
        <f>REPT(" ",18-LEN(FIXED(F1025,2,TRUE)))&amp;FIXED(F1025,2,TRUE)</f>
        <v/>
      </c>
      <c r="AH1025" s="10">
        <f>LEN(AC1025)+LEN(AG1025)</f>
        <v/>
      </c>
      <c r="AI1025" s="10">
        <f>LEN(L1025)</f>
        <v/>
      </c>
    </row>
    <row r="1026">
      <c r="J1026" s="12">
        <f>IF(F1026&lt;&gt;0,"LANÇAR","")</f>
        <v/>
      </c>
      <c r="L1026" s="13">
        <f>N1026&amp;O1026&amp;P1026&amp;Q1026&amp;R1026&amp;S1026&amp;T1026&amp;U1026&amp;V1026&amp;W1026&amp;X1026&amp;Y1026&amp;Z1026&amp;AA1026&amp;AB1026&amp;AC1026&amp;AD1026&amp;AE1026&amp;AF1026&amp;AG1026</f>
        <v/>
      </c>
      <c r="N1026" s="10">
        <f>TEXT($B$6,"00")</f>
        <v/>
      </c>
      <c r="O1026" s="10">
        <f>REPT(" ",8)</f>
        <v/>
      </c>
      <c r="P1026" s="10">
        <f>RIGHT($B$4,2)</f>
        <v/>
      </c>
      <c r="Q1026" s="10">
        <f>RIGHT($B$5,3)</f>
        <v/>
      </c>
      <c r="R1026" s="10">
        <f>IF(A1026="D",LEFT(UPPER(B1026)&amp;REPT(" ",20),20),REPT(" ",20))</f>
        <v/>
      </c>
      <c r="S1026" s="10">
        <f>IF(A1026="D",LEFT(UPPER(C1026)&amp;REPT(" ",10),10)," ")</f>
        <v/>
      </c>
      <c r="T1026" s="10">
        <f>IF(A1026="D",LEFT(UPPER(D1026)&amp;REPT(" ",2),2)," ")</f>
        <v/>
      </c>
      <c r="U1026" s="10">
        <f>IF(A1026="D",LEFT(UPPER(E1026)&amp;REPT(" ",15),15)," ")</f>
        <v/>
      </c>
      <c r="V1026" s="10">
        <f>REPT(" ",24)</f>
        <v/>
      </c>
      <c r="W1026" s="10">
        <f>IF(A1026="c",LEFT(UPPER(B1026)&amp;REPT(" ",20),20),REPT(" ",20))</f>
        <v/>
      </c>
      <c r="X1026" s="10">
        <f>IF(A1026="C",LEFT(UPPER(C1026)&amp;REPT(" ",10),10)," ")</f>
        <v/>
      </c>
      <c r="Y1026" s="10">
        <f>IF(A1026="C",LEFT(UPPER(D1026)&amp;REPT(" ",2),2)," ")</f>
        <v/>
      </c>
      <c r="Z1026" s="10">
        <f>IF(A1026="C",LEFT(UPPER(E1026)&amp;REPT(" ",15),15)," ")</f>
        <v/>
      </c>
      <c r="AA1026" s="10">
        <f>REPT(" ",8)</f>
        <v/>
      </c>
      <c r="AB1026" s="10">
        <f>REPT(" ",4)</f>
        <v/>
      </c>
      <c r="AC1026" s="10">
        <f>LEFT(UPPER(H1026)&amp;REPT(" ",250),250)</f>
        <v/>
      </c>
      <c r="AD1026" s="10">
        <f>TEXT($G$2,"dd/mm/aaaa")</f>
        <v/>
      </c>
      <c r="AE1026" s="10">
        <f>REPT(" ",10)</f>
        <v/>
      </c>
      <c r="AF1026" s="10">
        <f>REPT(" ",20)</f>
        <v/>
      </c>
      <c r="AG1026" s="54">
        <f>REPT(" ",18-LEN(FIXED(F1026,2,TRUE)))&amp;FIXED(F1026,2,TRUE)</f>
        <v/>
      </c>
      <c r="AH1026" s="10">
        <f>LEN(AC1026)+LEN(AG1026)</f>
        <v/>
      </c>
      <c r="AI1026" s="10">
        <f>LEN(L1026)</f>
        <v/>
      </c>
    </row>
    <row r="1027">
      <c r="J1027" s="12">
        <f>IF(F1027&lt;&gt;0,"LANÇAR","")</f>
        <v/>
      </c>
      <c r="L1027" s="13">
        <f>N1027&amp;O1027&amp;P1027&amp;Q1027&amp;R1027&amp;S1027&amp;T1027&amp;U1027&amp;V1027&amp;W1027&amp;X1027&amp;Y1027&amp;Z1027&amp;AA1027&amp;AB1027&amp;AC1027&amp;AD1027&amp;AE1027&amp;AF1027&amp;AG1027</f>
        <v/>
      </c>
      <c r="N1027" s="10">
        <f>TEXT($B$6,"00")</f>
        <v/>
      </c>
      <c r="O1027" s="10">
        <f>REPT(" ",8)</f>
        <v/>
      </c>
      <c r="P1027" s="10">
        <f>RIGHT($B$4,2)</f>
        <v/>
      </c>
      <c r="Q1027" s="10">
        <f>RIGHT($B$5,3)</f>
        <v/>
      </c>
      <c r="R1027" s="10">
        <f>IF(A1027="D",LEFT(UPPER(B1027)&amp;REPT(" ",20),20),REPT(" ",20))</f>
        <v/>
      </c>
      <c r="S1027" s="10">
        <f>IF(A1027="D",LEFT(UPPER(C1027)&amp;REPT(" ",10),10)," ")</f>
        <v/>
      </c>
      <c r="T1027" s="10">
        <f>IF(A1027="D",LEFT(UPPER(D1027)&amp;REPT(" ",2),2)," ")</f>
        <v/>
      </c>
      <c r="U1027" s="10">
        <f>IF(A1027="D",LEFT(UPPER(E1027)&amp;REPT(" ",15),15)," ")</f>
        <v/>
      </c>
      <c r="V1027" s="10">
        <f>REPT(" ",24)</f>
        <v/>
      </c>
      <c r="W1027" s="10">
        <f>IF(A1027="c",LEFT(UPPER(B1027)&amp;REPT(" ",20),20),REPT(" ",20))</f>
        <v/>
      </c>
      <c r="X1027" s="10">
        <f>IF(A1027="C",LEFT(UPPER(C1027)&amp;REPT(" ",10),10)," ")</f>
        <v/>
      </c>
      <c r="Y1027" s="10">
        <f>IF(A1027="C",LEFT(UPPER(D1027)&amp;REPT(" ",2),2)," ")</f>
        <v/>
      </c>
      <c r="Z1027" s="10">
        <f>IF(A1027="C",LEFT(UPPER(E1027)&amp;REPT(" ",15),15)," ")</f>
        <v/>
      </c>
      <c r="AA1027" s="10">
        <f>REPT(" ",8)</f>
        <v/>
      </c>
      <c r="AB1027" s="10">
        <f>REPT(" ",4)</f>
        <v/>
      </c>
      <c r="AC1027" s="10">
        <f>LEFT(UPPER(H1027)&amp;REPT(" ",250),250)</f>
        <v/>
      </c>
      <c r="AD1027" s="10">
        <f>TEXT($G$2,"dd/mm/aaaa")</f>
        <v/>
      </c>
      <c r="AE1027" s="10">
        <f>REPT(" ",10)</f>
        <v/>
      </c>
      <c r="AF1027" s="10">
        <f>REPT(" ",20)</f>
        <v/>
      </c>
      <c r="AG1027" s="54">
        <f>REPT(" ",18-LEN(FIXED(F1027,2,TRUE)))&amp;FIXED(F1027,2,TRUE)</f>
        <v/>
      </c>
      <c r="AH1027" s="10">
        <f>LEN(AC1027)+LEN(AG1027)</f>
        <v/>
      </c>
      <c r="AI1027" s="10">
        <f>LEN(L1027)</f>
        <v/>
      </c>
    </row>
    <row r="1028">
      <c r="J1028" s="12">
        <f>IF(F1028&lt;&gt;0,"LANÇAR","")</f>
        <v/>
      </c>
      <c r="L1028" s="13">
        <f>N1028&amp;O1028&amp;P1028&amp;Q1028&amp;R1028&amp;S1028&amp;T1028&amp;U1028&amp;V1028&amp;W1028&amp;X1028&amp;Y1028&amp;Z1028&amp;AA1028&amp;AB1028&amp;AC1028&amp;AD1028&amp;AE1028&amp;AF1028&amp;AG1028</f>
        <v/>
      </c>
      <c r="N1028" s="10">
        <f>TEXT($B$6,"00")</f>
        <v/>
      </c>
      <c r="O1028" s="10">
        <f>REPT(" ",8)</f>
        <v/>
      </c>
      <c r="P1028" s="10">
        <f>RIGHT($B$4,2)</f>
        <v/>
      </c>
      <c r="Q1028" s="10">
        <f>RIGHT($B$5,3)</f>
        <v/>
      </c>
      <c r="R1028" s="10">
        <f>IF(A1028="D",LEFT(UPPER(B1028)&amp;REPT(" ",20),20),REPT(" ",20))</f>
        <v/>
      </c>
      <c r="S1028" s="10">
        <f>IF(A1028="D",LEFT(UPPER(C1028)&amp;REPT(" ",10),10)," ")</f>
        <v/>
      </c>
      <c r="T1028" s="10">
        <f>IF(A1028="D",LEFT(UPPER(D1028)&amp;REPT(" ",2),2)," ")</f>
        <v/>
      </c>
      <c r="U1028" s="10">
        <f>IF(A1028="D",LEFT(UPPER(E1028)&amp;REPT(" ",15),15)," ")</f>
        <v/>
      </c>
      <c r="V1028" s="10">
        <f>REPT(" ",24)</f>
        <v/>
      </c>
      <c r="W1028" s="10">
        <f>IF(A1028="c",LEFT(UPPER(B1028)&amp;REPT(" ",20),20),REPT(" ",20))</f>
        <v/>
      </c>
      <c r="X1028" s="10">
        <f>IF(A1028="C",LEFT(UPPER(C1028)&amp;REPT(" ",10),10)," ")</f>
        <v/>
      </c>
      <c r="Y1028" s="10">
        <f>IF(A1028="C",LEFT(UPPER(D1028)&amp;REPT(" ",2),2)," ")</f>
        <v/>
      </c>
      <c r="Z1028" s="10">
        <f>IF(A1028="C",LEFT(UPPER(E1028)&amp;REPT(" ",15),15)," ")</f>
        <v/>
      </c>
      <c r="AA1028" s="10">
        <f>REPT(" ",8)</f>
        <v/>
      </c>
      <c r="AB1028" s="10">
        <f>REPT(" ",4)</f>
        <v/>
      </c>
      <c r="AC1028" s="10">
        <f>LEFT(UPPER(H1028)&amp;REPT(" ",250),250)</f>
        <v/>
      </c>
      <c r="AD1028" s="10">
        <f>TEXT($G$2,"dd/mm/aaaa")</f>
        <v/>
      </c>
      <c r="AE1028" s="10">
        <f>REPT(" ",10)</f>
        <v/>
      </c>
      <c r="AF1028" s="10">
        <f>REPT(" ",20)</f>
        <v/>
      </c>
      <c r="AG1028" s="54">
        <f>REPT(" ",18-LEN(FIXED(F1028,2,TRUE)))&amp;FIXED(F1028,2,TRUE)</f>
        <v/>
      </c>
      <c r="AH1028" s="10">
        <f>LEN(AC1028)+LEN(AG1028)</f>
        <v/>
      </c>
      <c r="AI1028" s="10">
        <f>LEN(L1028)</f>
        <v/>
      </c>
    </row>
    <row r="1029">
      <c r="J1029" s="12">
        <f>IF(F1029&lt;&gt;0,"LANÇAR","")</f>
        <v/>
      </c>
      <c r="L1029" s="13">
        <f>N1029&amp;O1029&amp;P1029&amp;Q1029&amp;R1029&amp;S1029&amp;T1029&amp;U1029&amp;V1029&amp;W1029&amp;X1029&amp;Y1029&amp;Z1029&amp;AA1029&amp;AB1029&amp;AC1029&amp;AD1029&amp;AE1029&amp;AF1029&amp;AG1029</f>
        <v/>
      </c>
      <c r="N1029" s="10">
        <f>TEXT($B$6,"00")</f>
        <v/>
      </c>
      <c r="O1029" s="10">
        <f>REPT(" ",8)</f>
        <v/>
      </c>
      <c r="P1029" s="10">
        <f>RIGHT($B$4,2)</f>
        <v/>
      </c>
      <c r="Q1029" s="10">
        <f>RIGHT($B$5,3)</f>
        <v/>
      </c>
      <c r="R1029" s="10">
        <f>IF(A1029="D",LEFT(UPPER(B1029)&amp;REPT(" ",20),20),REPT(" ",20))</f>
        <v/>
      </c>
      <c r="S1029" s="10">
        <f>IF(A1029="D",LEFT(UPPER(C1029)&amp;REPT(" ",10),10)," ")</f>
        <v/>
      </c>
      <c r="T1029" s="10">
        <f>IF(A1029="D",LEFT(UPPER(D1029)&amp;REPT(" ",2),2)," ")</f>
        <v/>
      </c>
      <c r="U1029" s="10">
        <f>IF(A1029="D",LEFT(UPPER(E1029)&amp;REPT(" ",15),15)," ")</f>
        <v/>
      </c>
      <c r="V1029" s="10">
        <f>REPT(" ",24)</f>
        <v/>
      </c>
      <c r="W1029" s="10">
        <f>IF(A1029="c",LEFT(UPPER(B1029)&amp;REPT(" ",20),20),REPT(" ",20))</f>
        <v/>
      </c>
      <c r="X1029" s="10">
        <f>IF(A1029="C",LEFT(UPPER(C1029)&amp;REPT(" ",10),10)," ")</f>
        <v/>
      </c>
      <c r="Y1029" s="10">
        <f>IF(A1029="C",LEFT(UPPER(D1029)&amp;REPT(" ",2),2)," ")</f>
        <v/>
      </c>
      <c r="Z1029" s="10">
        <f>IF(A1029="C",LEFT(UPPER(E1029)&amp;REPT(" ",15),15)," ")</f>
        <v/>
      </c>
      <c r="AA1029" s="10">
        <f>REPT(" ",8)</f>
        <v/>
      </c>
      <c r="AB1029" s="10">
        <f>REPT(" ",4)</f>
        <v/>
      </c>
      <c r="AC1029" s="10">
        <f>LEFT(UPPER(H1029)&amp;REPT(" ",250),250)</f>
        <v/>
      </c>
      <c r="AD1029" s="10">
        <f>TEXT($G$2,"dd/mm/aaaa")</f>
        <v/>
      </c>
      <c r="AE1029" s="10">
        <f>REPT(" ",10)</f>
        <v/>
      </c>
      <c r="AF1029" s="10">
        <f>REPT(" ",20)</f>
        <v/>
      </c>
      <c r="AG1029" s="54">
        <f>REPT(" ",18-LEN(FIXED(F1029,2,TRUE)))&amp;FIXED(F1029,2,TRUE)</f>
        <v/>
      </c>
      <c r="AH1029" s="10">
        <f>LEN(AC1029)+LEN(AG1029)</f>
        <v/>
      </c>
      <c r="AI1029" s="10">
        <f>LEN(L1029)</f>
        <v/>
      </c>
    </row>
    <row r="1030">
      <c r="J1030" s="12">
        <f>IF(F1030&lt;&gt;0,"LANÇAR","")</f>
        <v/>
      </c>
      <c r="L1030" s="13">
        <f>N1030&amp;O1030&amp;P1030&amp;Q1030&amp;R1030&amp;S1030&amp;T1030&amp;U1030&amp;V1030&amp;W1030&amp;X1030&amp;Y1030&amp;Z1030&amp;AA1030&amp;AB1030&amp;AC1030&amp;AD1030&amp;AE1030&amp;AF1030&amp;AG1030</f>
        <v/>
      </c>
      <c r="N1030" s="10">
        <f>TEXT($B$6,"00")</f>
        <v/>
      </c>
      <c r="O1030" s="10">
        <f>REPT(" ",8)</f>
        <v/>
      </c>
      <c r="P1030" s="10">
        <f>RIGHT($B$4,2)</f>
        <v/>
      </c>
      <c r="Q1030" s="10">
        <f>RIGHT($B$5,3)</f>
        <v/>
      </c>
      <c r="R1030" s="10">
        <f>IF(A1030="D",LEFT(UPPER(B1030)&amp;REPT(" ",20),20),REPT(" ",20))</f>
        <v/>
      </c>
      <c r="S1030" s="10">
        <f>IF(A1030="D",LEFT(UPPER(C1030)&amp;REPT(" ",10),10)," ")</f>
        <v/>
      </c>
      <c r="T1030" s="10">
        <f>IF(A1030="D",LEFT(UPPER(D1030)&amp;REPT(" ",2),2)," ")</f>
        <v/>
      </c>
      <c r="U1030" s="10">
        <f>IF(A1030="D",LEFT(UPPER(E1030)&amp;REPT(" ",15),15)," ")</f>
        <v/>
      </c>
      <c r="V1030" s="10">
        <f>REPT(" ",24)</f>
        <v/>
      </c>
      <c r="W1030" s="10">
        <f>IF(A1030="c",LEFT(UPPER(B1030)&amp;REPT(" ",20),20),REPT(" ",20))</f>
        <v/>
      </c>
      <c r="X1030" s="10">
        <f>IF(A1030="C",LEFT(UPPER(C1030)&amp;REPT(" ",10),10)," ")</f>
        <v/>
      </c>
      <c r="Y1030" s="10">
        <f>IF(A1030="C",LEFT(UPPER(D1030)&amp;REPT(" ",2),2)," ")</f>
        <v/>
      </c>
      <c r="Z1030" s="10">
        <f>IF(A1030="C",LEFT(UPPER(E1030)&amp;REPT(" ",15),15)," ")</f>
        <v/>
      </c>
      <c r="AA1030" s="10">
        <f>REPT(" ",8)</f>
        <v/>
      </c>
      <c r="AB1030" s="10">
        <f>REPT(" ",4)</f>
        <v/>
      </c>
      <c r="AC1030" s="10">
        <f>LEFT(UPPER(H1030)&amp;REPT(" ",250),250)</f>
        <v/>
      </c>
      <c r="AD1030" s="10">
        <f>TEXT($G$2,"dd/mm/aaaa")</f>
        <v/>
      </c>
      <c r="AE1030" s="10">
        <f>REPT(" ",10)</f>
        <v/>
      </c>
      <c r="AF1030" s="10">
        <f>REPT(" ",20)</f>
        <v/>
      </c>
      <c r="AG1030" s="54">
        <f>REPT(" ",18-LEN(FIXED(F1030,2,TRUE)))&amp;FIXED(F1030,2,TRUE)</f>
        <v/>
      </c>
      <c r="AH1030" s="10">
        <f>LEN(AC1030)+LEN(AG1030)</f>
        <v/>
      </c>
      <c r="AI1030" s="10">
        <f>LEN(L1030)</f>
        <v/>
      </c>
    </row>
    <row r="1031">
      <c r="J1031" s="12">
        <f>IF(F1031&lt;&gt;0,"LANÇAR","")</f>
        <v/>
      </c>
      <c r="L1031" s="13">
        <f>N1031&amp;O1031&amp;P1031&amp;Q1031&amp;R1031&amp;S1031&amp;T1031&amp;U1031&amp;V1031&amp;W1031&amp;X1031&amp;Y1031&amp;Z1031&amp;AA1031&amp;AB1031&amp;AC1031&amp;AD1031&amp;AE1031&amp;AF1031&amp;AG1031</f>
        <v/>
      </c>
      <c r="N1031" s="10">
        <f>TEXT($B$6,"00")</f>
        <v/>
      </c>
      <c r="O1031" s="10">
        <f>REPT(" ",8)</f>
        <v/>
      </c>
      <c r="P1031" s="10">
        <f>RIGHT($B$4,2)</f>
        <v/>
      </c>
      <c r="Q1031" s="10">
        <f>RIGHT($B$5,3)</f>
        <v/>
      </c>
      <c r="R1031" s="10">
        <f>IF(A1031="D",LEFT(UPPER(B1031)&amp;REPT(" ",20),20),REPT(" ",20))</f>
        <v/>
      </c>
      <c r="S1031" s="10">
        <f>IF(A1031="D",LEFT(UPPER(C1031)&amp;REPT(" ",10),10)," ")</f>
        <v/>
      </c>
      <c r="T1031" s="10">
        <f>IF(A1031="D",LEFT(UPPER(D1031)&amp;REPT(" ",2),2)," ")</f>
        <v/>
      </c>
      <c r="U1031" s="10">
        <f>IF(A1031="D",LEFT(UPPER(E1031)&amp;REPT(" ",15),15)," ")</f>
        <v/>
      </c>
      <c r="V1031" s="10">
        <f>REPT(" ",24)</f>
        <v/>
      </c>
      <c r="W1031" s="10">
        <f>IF(A1031="c",LEFT(UPPER(B1031)&amp;REPT(" ",20),20),REPT(" ",20))</f>
        <v/>
      </c>
      <c r="X1031" s="10">
        <f>IF(A1031="C",LEFT(UPPER(C1031)&amp;REPT(" ",10),10)," ")</f>
        <v/>
      </c>
      <c r="Y1031" s="10">
        <f>IF(A1031="C",LEFT(UPPER(D1031)&amp;REPT(" ",2),2)," ")</f>
        <v/>
      </c>
      <c r="Z1031" s="10">
        <f>IF(A1031="C",LEFT(UPPER(E1031)&amp;REPT(" ",15),15)," ")</f>
        <v/>
      </c>
      <c r="AA1031" s="10">
        <f>REPT(" ",8)</f>
        <v/>
      </c>
      <c r="AB1031" s="10">
        <f>REPT(" ",4)</f>
        <v/>
      </c>
      <c r="AC1031" s="10">
        <f>LEFT(UPPER(H1031)&amp;REPT(" ",250),250)</f>
        <v/>
      </c>
      <c r="AD1031" s="10">
        <f>TEXT($G$2,"dd/mm/aaaa")</f>
        <v/>
      </c>
      <c r="AE1031" s="10">
        <f>REPT(" ",10)</f>
        <v/>
      </c>
      <c r="AF1031" s="10">
        <f>REPT(" ",20)</f>
        <v/>
      </c>
      <c r="AG1031" s="54">
        <f>REPT(" ",18-LEN(FIXED(F1031,2,TRUE)))&amp;FIXED(F1031,2,TRUE)</f>
        <v/>
      </c>
      <c r="AH1031" s="10">
        <f>LEN(AC1031)+LEN(AG1031)</f>
        <v/>
      </c>
      <c r="AI1031" s="10">
        <f>LEN(L1031)</f>
        <v/>
      </c>
    </row>
    <row r="1032">
      <c r="J1032" s="12">
        <f>IF(F1032&lt;&gt;0,"LANÇAR","")</f>
        <v/>
      </c>
      <c r="L1032" s="13">
        <f>N1032&amp;O1032&amp;P1032&amp;Q1032&amp;R1032&amp;S1032&amp;T1032&amp;U1032&amp;V1032&amp;W1032&amp;X1032&amp;Y1032&amp;Z1032&amp;AA1032&amp;AB1032&amp;AC1032&amp;AD1032&amp;AE1032&amp;AF1032&amp;AG1032</f>
        <v/>
      </c>
      <c r="N1032" s="10">
        <f>TEXT($B$6,"00")</f>
        <v/>
      </c>
      <c r="O1032" s="10">
        <f>REPT(" ",8)</f>
        <v/>
      </c>
      <c r="P1032" s="10">
        <f>RIGHT($B$4,2)</f>
        <v/>
      </c>
      <c r="Q1032" s="10">
        <f>RIGHT($B$5,3)</f>
        <v/>
      </c>
      <c r="R1032" s="10">
        <f>IF(A1032="D",LEFT(UPPER(B1032)&amp;REPT(" ",20),20),REPT(" ",20))</f>
        <v/>
      </c>
      <c r="S1032" s="10">
        <f>IF(A1032="D",LEFT(UPPER(C1032)&amp;REPT(" ",10),10)," ")</f>
        <v/>
      </c>
      <c r="T1032" s="10">
        <f>IF(A1032="D",LEFT(UPPER(D1032)&amp;REPT(" ",2),2)," ")</f>
        <v/>
      </c>
      <c r="U1032" s="10">
        <f>IF(A1032="D",LEFT(UPPER(E1032)&amp;REPT(" ",15),15)," ")</f>
        <v/>
      </c>
      <c r="V1032" s="10">
        <f>REPT(" ",24)</f>
        <v/>
      </c>
      <c r="W1032" s="10">
        <f>IF(A1032="c",LEFT(UPPER(B1032)&amp;REPT(" ",20),20),REPT(" ",20))</f>
        <v/>
      </c>
      <c r="X1032" s="10">
        <f>IF(A1032="C",LEFT(UPPER(C1032)&amp;REPT(" ",10),10)," ")</f>
        <v/>
      </c>
      <c r="Y1032" s="10">
        <f>IF(A1032="C",LEFT(UPPER(D1032)&amp;REPT(" ",2),2)," ")</f>
        <v/>
      </c>
      <c r="Z1032" s="10">
        <f>IF(A1032="C",LEFT(UPPER(E1032)&amp;REPT(" ",15),15)," ")</f>
        <v/>
      </c>
      <c r="AA1032" s="10">
        <f>REPT(" ",8)</f>
        <v/>
      </c>
      <c r="AB1032" s="10">
        <f>REPT(" ",4)</f>
        <v/>
      </c>
      <c r="AC1032" s="10">
        <f>LEFT(UPPER(H1032)&amp;REPT(" ",250),250)</f>
        <v/>
      </c>
      <c r="AD1032" s="10">
        <f>TEXT($G$2,"dd/mm/aaaa")</f>
        <v/>
      </c>
      <c r="AE1032" s="10">
        <f>REPT(" ",10)</f>
        <v/>
      </c>
      <c r="AF1032" s="10">
        <f>REPT(" ",20)</f>
        <v/>
      </c>
      <c r="AG1032" s="54">
        <f>REPT(" ",18-LEN(FIXED(F1032,2,TRUE)))&amp;FIXED(F1032,2,TRUE)</f>
        <v/>
      </c>
      <c r="AH1032" s="10">
        <f>LEN(AC1032)+LEN(AG1032)</f>
        <v/>
      </c>
      <c r="AI1032" s="10">
        <f>LEN(L1032)</f>
        <v/>
      </c>
    </row>
    <row r="1033">
      <c r="J1033" s="12">
        <f>IF(F1033&lt;&gt;0,"LANÇAR","")</f>
        <v/>
      </c>
      <c r="L1033" s="13">
        <f>N1033&amp;O1033&amp;P1033&amp;Q1033&amp;R1033&amp;S1033&amp;T1033&amp;U1033&amp;V1033&amp;W1033&amp;X1033&amp;Y1033&amp;Z1033&amp;AA1033&amp;AB1033&amp;AC1033&amp;AD1033&amp;AE1033&amp;AF1033&amp;AG1033</f>
        <v/>
      </c>
      <c r="N1033" s="10">
        <f>TEXT($B$6,"00")</f>
        <v/>
      </c>
      <c r="O1033" s="10">
        <f>REPT(" ",8)</f>
        <v/>
      </c>
      <c r="P1033" s="10">
        <f>RIGHT($B$4,2)</f>
        <v/>
      </c>
      <c r="Q1033" s="10">
        <f>RIGHT($B$5,3)</f>
        <v/>
      </c>
      <c r="R1033" s="10">
        <f>IF(A1033="D",LEFT(UPPER(B1033)&amp;REPT(" ",20),20),REPT(" ",20))</f>
        <v/>
      </c>
      <c r="S1033" s="10">
        <f>IF(A1033="D",LEFT(UPPER(C1033)&amp;REPT(" ",10),10)," ")</f>
        <v/>
      </c>
      <c r="T1033" s="10">
        <f>IF(A1033="D",LEFT(UPPER(D1033)&amp;REPT(" ",2),2)," ")</f>
        <v/>
      </c>
      <c r="U1033" s="10">
        <f>IF(A1033="D",LEFT(UPPER(E1033)&amp;REPT(" ",15),15)," ")</f>
        <v/>
      </c>
      <c r="V1033" s="10">
        <f>REPT(" ",24)</f>
        <v/>
      </c>
      <c r="W1033" s="10">
        <f>IF(A1033="c",LEFT(UPPER(B1033)&amp;REPT(" ",20),20),REPT(" ",20))</f>
        <v/>
      </c>
      <c r="X1033" s="10">
        <f>IF(A1033="C",LEFT(UPPER(C1033)&amp;REPT(" ",10),10)," ")</f>
        <v/>
      </c>
      <c r="Y1033" s="10">
        <f>IF(A1033="C",LEFT(UPPER(D1033)&amp;REPT(" ",2),2)," ")</f>
        <v/>
      </c>
      <c r="Z1033" s="10">
        <f>IF(A1033="C",LEFT(UPPER(E1033)&amp;REPT(" ",15),15)," ")</f>
        <v/>
      </c>
      <c r="AA1033" s="10">
        <f>REPT(" ",8)</f>
        <v/>
      </c>
      <c r="AB1033" s="10">
        <f>REPT(" ",4)</f>
        <v/>
      </c>
      <c r="AC1033" s="10">
        <f>LEFT(UPPER(H1033)&amp;REPT(" ",250),250)</f>
        <v/>
      </c>
      <c r="AD1033" s="10">
        <f>TEXT($G$2,"dd/mm/aaaa")</f>
        <v/>
      </c>
      <c r="AE1033" s="10">
        <f>REPT(" ",10)</f>
        <v/>
      </c>
      <c r="AF1033" s="10">
        <f>REPT(" ",20)</f>
        <v/>
      </c>
      <c r="AG1033" s="54">
        <f>REPT(" ",18-LEN(FIXED(F1033,2,TRUE)))&amp;FIXED(F1033,2,TRUE)</f>
        <v/>
      </c>
      <c r="AH1033" s="10">
        <f>LEN(AC1033)+LEN(AG1033)</f>
        <v/>
      </c>
      <c r="AI1033" s="10">
        <f>LEN(L1033)</f>
        <v/>
      </c>
    </row>
    <row r="1034">
      <c r="J1034" s="12">
        <f>IF(F1034&lt;&gt;0,"LANÇAR","")</f>
        <v/>
      </c>
      <c r="L1034" s="13">
        <f>N1034&amp;O1034&amp;P1034&amp;Q1034&amp;R1034&amp;S1034&amp;T1034&amp;U1034&amp;V1034&amp;W1034&amp;X1034&amp;Y1034&amp;Z1034&amp;AA1034&amp;AB1034&amp;AC1034&amp;AD1034&amp;AE1034&amp;AF1034&amp;AG1034</f>
        <v/>
      </c>
      <c r="N1034" s="10">
        <f>TEXT($B$6,"00")</f>
        <v/>
      </c>
      <c r="O1034" s="10">
        <f>REPT(" ",8)</f>
        <v/>
      </c>
      <c r="P1034" s="10">
        <f>RIGHT($B$4,2)</f>
        <v/>
      </c>
      <c r="Q1034" s="10">
        <f>RIGHT($B$5,3)</f>
        <v/>
      </c>
      <c r="R1034" s="10">
        <f>IF(A1034="D",LEFT(UPPER(B1034)&amp;REPT(" ",20),20),REPT(" ",20))</f>
        <v/>
      </c>
      <c r="S1034" s="10">
        <f>IF(A1034="D",LEFT(UPPER(C1034)&amp;REPT(" ",10),10)," ")</f>
        <v/>
      </c>
      <c r="T1034" s="10">
        <f>IF(A1034="D",LEFT(UPPER(D1034)&amp;REPT(" ",2),2)," ")</f>
        <v/>
      </c>
      <c r="U1034" s="10">
        <f>IF(A1034="D",LEFT(UPPER(E1034)&amp;REPT(" ",15),15)," ")</f>
        <v/>
      </c>
      <c r="V1034" s="10">
        <f>REPT(" ",24)</f>
        <v/>
      </c>
      <c r="W1034" s="10">
        <f>IF(A1034="c",LEFT(UPPER(B1034)&amp;REPT(" ",20),20),REPT(" ",20))</f>
        <v/>
      </c>
      <c r="X1034" s="10">
        <f>IF(A1034="C",LEFT(UPPER(C1034)&amp;REPT(" ",10),10)," ")</f>
        <v/>
      </c>
      <c r="Y1034" s="10">
        <f>IF(A1034="C",LEFT(UPPER(D1034)&amp;REPT(" ",2),2)," ")</f>
        <v/>
      </c>
      <c r="Z1034" s="10">
        <f>IF(A1034="C",LEFT(UPPER(E1034)&amp;REPT(" ",15),15)," ")</f>
        <v/>
      </c>
      <c r="AA1034" s="10">
        <f>REPT(" ",8)</f>
        <v/>
      </c>
      <c r="AB1034" s="10">
        <f>REPT(" ",4)</f>
        <v/>
      </c>
      <c r="AC1034" s="10">
        <f>LEFT(UPPER(H1034)&amp;REPT(" ",250),250)</f>
        <v/>
      </c>
      <c r="AD1034" s="10">
        <f>TEXT($G$2,"dd/mm/aaaa")</f>
        <v/>
      </c>
      <c r="AE1034" s="10">
        <f>REPT(" ",10)</f>
        <v/>
      </c>
      <c r="AF1034" s="10">
        <f>REPT(" ",20)</f>
        <v/>
      </c>
      <c r="AG1034" s="54">
        <f>REPT(" ",18-LEN(FIXED(F1034,2,TRUE)))&amp;FIXED(F1034,2,TRUE)</f>
        <v/>
      </c>
      <c r="AH1034" s="10">
        <f>LEN(AC1034)+LEN(AG1034)</f>
        <v/>
      </c>
      <c r="AI1034" s="10">
        <f>LEN(L1034)</f>
        <v/>
      </c>
    </row>
    <row r="1035">
      <c r="J1035" s="12">
        <f>IF(F1035&lt;&gt;0,"LANÇAR","")</f>
        <v/>
      </c>
      <c r="L1035" s="13">
        <f>N1035&amp;O1035&amp;P1035&amp;Q1035&amp;R1035&amp;S1035&amp;T1035&amp;U1035&amp;V1035&amp;W1035&amp;X1035&amp;Y1035&amp;Z1035&amp;AA1035&amp;AB1035&amp;AC1035&amp;AD1035&amp;AE1035&amp;AF1035&amp;AG1035</f>
        <v/>
      </c>
      <c r="N1035" s="10">
        <f>TEXT($B$6,"00")</f>
        <v/>
      </c>
      <c r="O1035" s="10">
        <f>REPT(" ",8)</f>
        <v/>
      </c>
      <c r="P1035" s="10">
        <f>RIGHT($B$4,2)</f>
        <v/>
      </c>
      <c r="Q1035" s="10">
        <f>RIGHT($B$5,3)</f>
        <v/>
      </c>
      <c r="R1035" s="10">
        <f>IF(A1035="D",LEFT(UPPER(B1035)&amp;REPT(" ",20),20),REPT(" ",20))</f>
        <v/>
      </c>
      <c r="S1035" s="10">
        <f>IF(A1035="D",LEFT(UPPER(C1035)&amp;REPT(" ",10),10)," ")</f>
        <v/>
      </c>
      <c r="T1035" s="10">
        <f>IF(A1035="D",LEFT(UPPER(D1035)&amp;REPT(" ",2),2)," ")</f>
        <v/>
      </c>
      <c r="U1035" s="10">
        <f>IF(A1035="D",LEFT(UPPER(E1035)&amp;REPT(" ",15),15)," ")</f>
        <v/>
      </c>
      <c r="V1035" s="10">
        <f>REPT(" ",24)</f>
        <v/>
      </c>
      <c r="W1035" s="10">
        <f>IF(A1035="c",LEFT(UPPER(B1035)&amp;REPT(" ",20),20),REPT(" ",20))</f>
        <v/>
      </c>
      <c r="X1035" s="10">
        <f>IF(A1035="C",LEFT(UPPER(C1035)&amp;REPT(" ",10),10)," ")</f>
        <v/>
      </c>
      <c r="Y1035" s="10">
        <f>IF(A1035="C",LEFT(UPPER(D1035)&amp;REPT(" ",2),2)," ")</f>
        <v/>
      </c>
      <c r="Z1035" s="10">
        <f>IF(A1035="C",LEFT(UPPER(E1035)&amp;REPT(" ",15),15)," ")</f>
        <v/>
      </c>
      <c r="AA1035" s="10">
        <f>REPT(" ",8)</f>
        <v/>
      </c>
      <c r="AB1035" s="10">
        <f>REPT(" ",4)</f>
        <v/>
      </c>
      <c r="AC1035" s="10">
        <f>LEFT(UPPER(H1035)&amp;REPT(" ",250),250)</f>
        <v/>
      </c>
      <c r="AD1035" s="10">
        <f>TEXT($G$2,"dd/mm/aaaa")</f>
        <v/>
      </c>
      <c r="AE1035" s="10">
        <f>REPT(" ",10)</f>
        <v/>
      </c>
      <c r="AF1035" s="10">
        <f>REPT(" ",20)</f>
        <v/>
      </c>
      <c r="AG1035" s="54">
        <f>REPT(" ",18-LEN(FIXED(F1035,2,TRUE)))&amp;FIXED(F1035,2,TRUE)</f>
        <v/>
      </c>
      <c r="AH1035" s="10">
        <f>LEN(AC1035)+LEN(AG1035)</f>
        <v/>
      </c>
      <c r="AI1035" s="10">
        <f>LEN(L1035)</f>
        <v/>
      </c>
    </row>
    <row r="1036">
      <c r="J1036" s="12">
        <f>IF(F1036&lt;&gt;0,"LANÇAR","")</f>
        <v/>
      </c>
      <c r="L1036" s="13">
        <f>N1036&amp;O1036&amp;P1036&amp;Q1036&amp;R1036&amp;S1036&amp;T1036&amp;U1036&amp;V1036&amp;W1036&amp;X1036&amp;Y1036&amp;Z1036&amp;AA1036&amp;AB1036&amp;AC1036&amp;AD1036&amp;AE1036&amp;AF1036&amp;AG1036</f>
        <v/>
      </c>
      <c r="N1036" s="10">
        <f>TEXT($B$6,"00")</f>
        <v/>
      </c>
      <c r="O1036" s="10">
        <f>REPT(" ",8)</f>
        <v/>
      </c>
      <c r="P1036" s="10">
        <f>RIGHT($B$4,2)</f>
        <v/>
      </c>
      <c r="Q1036" s="10">
        <f>RIGHT($B$5,3)</f>
        <v/>
      </c>
      <c r="R1036" s="10">
        <f>IF(A1036="D",LEFT(UPPER(B1036)&amp;REPT(" ",20),20),REPT(" ",20))</f>
        <v/>
      </c>
      <c r="S1036" s="10">
        <f>IF(A1036="D",LEFT(UPPER(C1036)&amp;REPT(" ",10),10)," ")</f>
        <v/>
      </c>
      <c r="T1036" s="10">
        <f>IF(A1036="D",LEFT(UPPER(D1036)&amp;REPT(" ",2),2)," ")</f>
        <v/>
      </c>
      <c r="U1036" s="10">
        <f>IF(A1036="D",LEFT(UPPER(E1036)&amp;REPT(" ",15),15)," ")</f>
        <v/>
      </c>
      <c r="V1036" s="10">
        <f>REPT(" ",24)</f>
        <v/>
      </c>
      <c r="W1036" s="10">
        <f>IF(A1036="c",LEFT(UPPER(B1036)&amp;REPT(" ",20),20),REPT(" ",20))</f>
        <v/>
      </c>
      <c r="X1036" s="10">
        <f>IF(A1036="C",LEFT(UPPER(C1036)&amp;REPT(" ",10),10)," ")</f>
        <v/>
      </c>
      <c r="Y1036" s="10">
        <f>IF(A1036="C",LEFT(UPPER(D1036)&amp;REPT(" ",2),2)," ")</f>
        <v/>
      </c>
      <c r="Z1036" s="10">
        <f>IF(A1036="C",LEFT(UPPER(E1036)&amp;REPT(" ",15),15)," ")</f>
        <v/>
      </c>
      <c r="AA1036" s="10">
        <f>REPT(" ",8)</f>
        <v/>
      </c>
      <c r="AB1036" s="10">
        <f>REPT(" ",4)</f>
        <v/>
      </c>
      <c r="AC1036" s="10">
        <f>LEFT(UPPER(H1036)&amp;REPT(" ",250),250)</f>
        <v/>
      </c>
      <c r="AD1036" s="10">
        <f>TEXT($G$2,"dd/mm/aaaa")</f>
        <v/>
      </c>
      <c r="AE1036" s="10">
        <f>REPT(" ",10)</f>
        <v/>
      </c>
      <c r="AF1036" s="10">
        <f>REPT(" ",20)</f>
        <v/>
      </c>
      <c r="AG1036" s="54">
        <f>REPT(" ",18-LEN(FIXED(F1036,2,TRUE)))&amp;FIXED(F1036,2,TRUE)</f>
        <v/>
      </c>
      <c r="AH1036" s="10">
        <f>LEN(AC1036)+LEN(AG1036)</f>
        <v/>
      </c>
      <c r="AI1036" s="10">
        <f>LEN(L1036)</f>
        <v/>
      </c>
    </row>
    <row r="1037">
      <c r="J1037" s="12">
        <f>IF(F1037&lt;&gt;0,"LANÇAR","")</f>
        <v/>
      </c>
      <c r="L1037" s="13">
        <f>N1037&amp;O1037&amp;P1037&amp;Q1037&amp;R1037&amp;S1037&amp;T1037&amp;U1037&amp;V1037&amp;W1037&amp;X1037&amp;Y1037&amp;Z1037&amp;AA1037&amp;AB1037&amp;AC1037&amp;AD1037&amp;AE1037&amp;AF1037&amp;AG1037</f>
        <v/>
      </c>
      <c r="N1037" s="10">
        <f>TEXT($B$6,"00")</f>
        <v/>
      </c>
      <c r="O1037" s="10">
        <f>REPT(" ",8)</f>
        <v/>
      </c>
      <c r="P1037" s="10">
        <f>RIGHT($B$4,2)</f>
        <v/>
      </c>
      <c r="Q1037" s="10">
        <f>RIGHT($B$5,3)</f>
        <v/>
      </c>
      <c r="R1037" s="10">
        <f>IF(A1037="D",LEFT(UPPER(B1037)&amp;REPT(" ",20),20),REPT(" ",20))</f>
        <v/>
      </c>
      <c r="S1037" s="10">
        <f>IF(A1037="D",LEFT(UPPER(C1037)&amp;REPT(" ",10),10)," ")</f>
        <v/>
      </c>
      <c r="T1037" s="10">
        <f>IF(A1037="D",LEFT(UPPER(D1037)&amp;REPT(" ",2),2)," ")</f>
        <v/>
      </c>
      <c r="U1037" s="10">
        <f>IF(A1037="D",LEFT(UPPER(E1037)&amp;REPT(" ",15),15)," ")</f>
        <v/>
      </c>
      <c r="V1037" s="10">
        <f>REPT(" ",24)</f>
        <v/>
      </c>
      <c r="W1037" s="10">
        <f>IF(A1037="c",LEFT(UPPER(B1037)&amp;REPT(" ",20),20),REPT(" ",20))</f>
        <v/>
      </c>
      <c r="X1037" s="10">
        <f>IF(A1037="C",LEFT(UPPER(C1037)&amp;REPT(" ",10),10)," ")</f>
        <v/>
      </c>
      <c r="Y1037" s="10">
        <f>IF(A1037="C",LEFT(UPPER(D1037)&amp;REPT(" ",2),2)," ")</f>
        <v/>
      </c>
      <c r="Z1037" s="10">
        <f>IF(A1037="C",LEFT(UPPER(E1037)&amp;REPT(" ",15),15)," ")</f>
        <v/>
      </c>
      <c r="AA1037" s="10">
        <f>REPT(" ",8)</f>
        <v/>
      </c>
      <c r="AB1037" s="10">
        <f>REPT(" ",4)</f>
        <v/>
      </c>
      <c r="AC1037" s="10">
        <f>LEFT(UPPER(H1037)&amp;REPT(" ",250),250)</f>
        <v/>
      </c>
      <c r="AD1037" s="10">
        <f>TEXT($G$2,"dd/mm/aaaa")</f>
        <v/>
      </c>
      <c r="AE1037" s="10">
        <f>REPT(" ",10)</f>
        <v/>
      </c>
      <c r="AF1037" s="10">
        <f>REPT(" ",20)</f>
        <v/>
      </c>
      <c r="AG1037" s="54">
        <f>REPT(" ",18-LEN(FIXED(F1037,2,TRUE)))&amp;FIXED(F1037,2,TRUE)</f>
        <v/>
      </c>
      <c r="AH1037" s="10">
        <f>LEN(AC1037)+LEN(AG1037)</f>
        <v/>
      </c>
      <c r="AI1037" s="10">
        <f>LEN(L1037)</f>
        <v/>
      </c>
    </row>
    <row r="1038">
      <c r="J1038" s="12">
        <f>IF(F1038&lt;&gt;0,"LANÇAR","")</f>
        <v/>
      </c>
      <c r="L1038" s="13">
        <f>N1038&amp;O1038&amp;P1038&amp;Q1038&amp;R1038&amp;S1038&amp;T1038&amp;U1038&amp;V1038&amp;W1038&amp;X1038&amp;Y1038&amp;Z1038&amp;AA1038&amp;AB1038&amp;AC1038&amp;AD1038&amp;AE1038&amp;AF1038&amp;AG1038</f>
        <v/>
      </c>
      <c r="N1038" s="10">
        <f>TEXT($B$6,"00")</f>
        <v/>
      </c>
      <c r="O1038" s="10">
        <f>REPT(" ",8)</f>
        <v/>
      </c>
      <c r="P1038" s="10">
        <f>RIGHT($B$4,2)</f>
        <v/>
      </c>
      <c r="Q1038" s="10">
        <f>RIGHT($B$5,3)</f>
        <v/>
      </c>
      <c r="R1038" s="10">
        <f>IF(A1038="D",LEFT(UPPER(B1038)&amp;REPT(" ",20),20),REPT(" ",20))</f>
        <v/>
      </c>
      <c r="S1038" s="10">
        <f>IF(A1038="D",LEFT(UPPER(C1038)&amp;REPT(" ",10),10)," ")</f>
        <v/>
      </c>
      <c r="T1038" s="10">
        <f>IF(A1038="D",LEFT(UPPER(D1038)&amp;REPT(" ",2),2)," ")</f>
        <v/>
      </c>
      <c r="U1038" s="10">
        <f>IF(A1038="D",LEFT(UPPER(E1038)&amp;REPT(" ",15),15)," ")</f>
        <v/>
      </c>
      <c r="V1038" s="10">
        <f>REPT(" ",24)</f>
        <v/>
      </c>
      <c r="W1038" s="10">
        <f>IF(A1038="c",LEFT(UPPER(B1038)&amp;REPT(" ",20),20),REPT(" ",20))</f>
        <v/>
      </c>
      <c r="X1038" s="10">
        <f>IF(A1038="C",LEFT(UPPER(C1038)&amp;REPT(" ",10),10)," ")</f>
        <v/>
      </c>
      <c r="Y1038" s="10">
        <f>IF(A1038="C",LEFT(UPPER(D1038)&amp;REPT(" ",2),2)," ")</f>
        <v/>
      </c>
      <c r="Z1038" s="10">
        <f>IF(A1038="C",LEFT(UPPER(E1038)&amp;REPT(" ",15),15)," ")</f>
        <v/>
      </c>
      <c r="AA1038" s="10">
        <f>REPT(" ",8)</f>
        <v/>
      </c>
      <c r="AB1038" s="10">
        <f>REPT(" ",4)</f>
        <v/>
      </c>
      <c r="AC1038" s="10">
        <f>LEFT(UPPER(H1038)&amp;REPT(" ",250),250)</f>
        <v/>
      </c>
      <c r="AD1038" s="10">
        <f>TEXT($G$2,"dd/mm/aaaa")</f>
        <v/>
      </c>
      <c r="AE1038" s="10">
        <f>REPT(" ",10)</f>
        <v/>
      </c>
      <c r="AF1038" s="10">
        <f>REPT(" ",20)</f>
        <v/>
      </c>
      <c r="AG1038" s="54">
        <f>REPT(" ",18-LEN(FIXED(F1038,2,TRUE)))&amp;FIXED(F1038,2,TRUE)</f>
        <v/>
      </c>
      <c r="AH1038" s="10">
        <f>LEN(AC1038)+LEN(AG1038)</f>
        <v/>
      </c>
      <c r="AI1038" s="10">
        <f>LEN(L1038)</f>
        <v/>
      </c>
    </row>
    <row r="1039">
      <c r="J1039" s="12">
        <f>IF(F1039&lt;&gt;0,"LANÇAR","")</f>
        <v/>
      </c>
      <c r="L1039" s="13">
        <f>N1039&amp;O1039&amp;P1039&amp;Q1039&amp;R1039&amp;S1039&amp;T1039&amp;U1039&amp;V1039&amp;W1039&amp;X1039&amp;Y1039&amp;Z1039&amp;AA1039&amp;AB1039&amp;AC1039&amp;AD1039&amp;AE1039&amp;AF1039&amp;AG1039</f>
        <v/>
      </c>
      <c r="N1039" s="10">
        <f>TEXT($B$6,"00")</f>
        <v/>
      </c>
      <c r="O1039" s="10">
        <f>REPT(" ",8)</f>
        <v/>
      </c>
      <c r="P1039" s="10">
        <f>RIGHT($B$4,2)</f>
        <v/>
      </c>
      <c r="Q1039" s="10">
        <f>RIGHT($B$5,3)</f>
        <v/>
      </c>
      <c r="R1039" s="10">
        <f>IF(A1039="D",LEFT(UPPER(B1039)&amp;REPT(" ",20),20),REPT(" ",20))</f>
        <v/>
      </c>
      <c r="S1039" s="10">
        <f>IF(A1039="D",LEFT(UPPER(C1039)&amp;REPT(" ",10),10)," ")</f>
        <v/>
      </c>
      <c r="T1039" s="10">
        <f>IF(A1039="D",LEFT(UPPER(D1039)&amp;REPT(" ",2),2)," ")</f>
        <v/>
      </c>
      <c r="U1039" s="10">
        <f>IF(A1039="D",LEFT(UPPER(E1039)&amp;REPT(" ",15),15)," ")</f>
        <v/>
      </c>
      <c r="V1039" s="10">
        <f>REPT(" ",24)</f>
        <v/>
      </c>
      <c r="W1039" s="10">
        <f>IF(A1039="c",LEFT(UPPER(B1039)&amp;REPT(" ",20),20),REPT(" ",20))</f>
        <v/>
      </c>
      <c r="X1039" s="10">
        <f>IF(A1039="C",LEFT(UPPER(C1039)&amp;REPT(" ",10),10)," ")</f>
        <v/>
      </c>
      <c r="Y1039" s="10">
        <f>IF(A1039="C",LEFT(UPPER(D1039)&amp;REPT(" ",2),2)," ")</f>
        <v/>
      </c>
      <c r="Z1039" s="10">
        <f>IF(A1039="C",LEFT(UPPER(E1039)&amp;REPT(" ",15),15)," ")</f>
        <v/>
      </c>
      <c r="AA1039" s="10">
        <f>REPT(" ",8)</f>
        <v/>
      </c>
      <c r="AB1039" s="10">
        <f>REPT(" ",4)</f>
        <v/>
      </c>
      <c r="AC1039" s="10">
        <f>LEFT(UPPER(H1039)&amp;REPT(" ",250),250)</f>
        <v/>
      </c>
      <c r="AD1039" s="10">
        <f>TEXT($G$2,"dd/mm/aaaa")</f>
        <v/>
      </c>
      <c r="AE1039" s="10">
        <f>REPT(" ",10)</f>
        <v/>
      </c>
      <c r="AF1039" s="10">
        <f>REPT(" ",20)</f>
        <v/>
      </c>
      <c r="AG1039" s="54">
        <f>REPT(" ",18-LEN(FIXED(F1039,2,TRUE)))&amp;FIXED(F1039,2,TRUE)</f>
        <v/>
      </c>
      <c r="AH1039" s="10">
        <f>LEN(AC1039)+LEN(AG1039)</f>
        <v/>
      </c>
      <c r="AI1039" s="10">
        <f>LEN(L1039)</f>
        <v/>
      </c>
    </row>
    <row r="1040">
      <c r="J1040" s="12">
        <f>IF(F1040&lt;&gt;0,"LANÇAR","")</f>
        <v/>
      </c>
      <c r="L1040" s="13">
        <f>N1040&amp;O1040&amp;P1040&amp;Q1040&amp;R1040&amp;S1040&amp;T1040&amp;U1040&amp;V1040&amp;W1040&amp;X1040&amp;Y1040&amp;Z1040&amp;AA1040&amp;AB1040&amp;AC1040&amp;AD1040&amp;AE1040&amp;AF1040&amp;AG1040</f>
        <v/>
      </c>
      <c r="N1040" s="10">
        <f>TEXT($B$6,"00")</f>
        <v/>
      </c>
      <c r="O1040" s="10">
        <f>REPT(" ",8)</f>
        <v/>
      </c>
      <c r="P1040" s="10">
        <f>RIGHT($B$4,2)</f>
        <v/>
      </c>
      <c r="Q1040" s="10">
        <f>RIGHT($B$5,3)</f>
        <v/>
      </c>
      <c r="R1040" s="10">
        <f>IF(A1040="D",LEFT(UPPER(B1040)&amp;REPT(" ",20),20),REPT(" ",20))</f>
        <v/>
      </c>
      <c r="S1040" s="10">
        <f>IF(A1040="D",LEFT(UPPER(C1040)&amp;REPT(" ",10),10)," ")</f>
        <v/>
      </c>
      <c r="T1040" s="10">
        <f>IF(A1040="D",LEFT(UPPER(D1040)&amp;REPT(" ",2),2)," ")</f>
        <v/>
      </c>
      <c r="U1040" s="10">
        <f>IF(A1040="D",LEFT(UPPER(E1040)&amp;REPT(" ",15),15)," ")</f>
        <v/>
      </c>
      <c r="V1040" s="10">
        <f>REPT(" ",24)</f>
        <v/>
      </c>
      <c r="W1040" s="10">
        <f>IF(A1040="c",LEFT(UPPER(B1040)&amp;REPT(" ",20),20),REPT(" ",20))</f>
        <v/>
      </c>
      <c r="X1040" s="10">
        <f>IF(A1040="C",LEFT(UPPER(C1040)&amp;REPT(" ",10),10)," ")</f>
        <v/>
      </c>
      <c r="Y1040" s="10">
        <f>IF(A1040="C",LEFT(UPPER(D1040)&amp;REPT(" ",2),2)," ")</f>
        <v/>
      </c>
      <c r="Z1040" s="10">
        <f>IF(A1040="C",LEFT(UPPER(E1040)&amp;REPT(" ",15),15)," ")</f>
        <v/>
      </c>
      <c r="AA1040" s="10">
        <f>REPT(" ",8)</f>
        <v/>
      </c>
      <c r="AB1040" s="10">
        <f>REPT(" ",4)</f>
        <v/>
      </c>
      <c r="AC1040" s="10">
        <f>LEFT(UPPER(H1040)&amp;REPT(" ",250),250)</f>
        <v/>
      </c>
      <c r="AD1040" s="10">
        <f>TEXT($G$2,"dd/mm/aaaa")</f>
        <v/>
      </c>
      <c r="AE1040" s="10">
        <f>REPT(" ",10)</f>
        <v/>
      </c>
      <c r="AF1040" s="10">
        <f>REPT(" ",20)</f>
        <v/>
      </c>
      <c r="AG1040" s="54">
        <f>REPT(" ",18-LEN(FIXED(F1040,2,TRUE)))&amp;FIXED(F1040,2,TRUE)</f>
        <v/>
      </c>
      <c r="AH1040" s="10">
        <f>LEN(AC1040)+LEN(AG1040)</f>
        <v/>
      </c>
      <c r="AI1040" s="10">
        <f>LEN(L1040)</f>
        <v/>
      </c>
    </row>
    <row r="1041">
      <c r="J1041" s="12">
        <f>IF(F1041&lt;&gt;0,"LANÇAR","")</f>
        <v/>
      </c>
      <c r="L1041" s="13">
        <f>N1041&amp;O1041&amp;P1041&amp;Q1041&amp;R1041&amp;S1041&amp;T1041&amp;U1041&amp;V1041&amp;W1041&amp;X1041&amp;Y1041&amp;Z1041&amp;AA1041&amp;AB1041&amp;AC1041&amp;AD1041&amp;AE1041&amp;AF1041&amp;AG1041</f>
        <v/>
      </c>
      <c r="N1041" s="10">
        <f>TEXT($B$6,"00")</f>
        <v/>
      </c>
      <c r="O1041" s="10">
        <f>REPT(" ",8)</f>
        <v/>
      </c>
      <c r="P1041" s="10">
        <f>RIGHT($B$4,2)</f>
        <v/>
      </c>
      <c r="Q1041" s="10">
        <f>RIGHT($B$5,3)</f>
        <v/>
      </c>
      <c r="R1041" s="10">
        <f>IF(A1041="D",LEFT(UPPER(B1041)&amp;REPT(" ",20),20),REPT(" ",20))</f>
        <v/>
      </c>
      <c r="S1041" s="10">
        <f>IF(A1041="D",LEFT(UPPER(C1041)&amp;REPT(" ",10),10)," ")</f>
        <v/>
      </c>
      <c r="T1041" s="10">
        <f>IF(A1041="D",LEFT(UPPER(D1041)&amp;REPT(" ",2),2)," ")</f>
        <v/>
      </c>
      <c r="U1041" s="10">
        <f>IF(A1041="D",LEFT(UPPER(E1041)&amp;REPT(" ",15),15)," ")</f>
        <v/>
      </c>
      <c r="V1041" s="10">
        <f>REPT(" ",24)</f>
        <v/>
      </c>
      <c r="W1041" s="10">
        <f>IF(A1041="c",LEFT(UPPER(B1041)&amp;REPT(" ",20),20),REPT(" ",20))</f>
        <v/>
      </c>
      <c r="X1041" s="10">
        <f>IF(A1041="C",LEFT(UPPER(C1041)&amp;REPT(" ",10),10)," ")</f>
        <v/>
      </c>
      <c r="Y1041" s="10">
        <f>IF(A1041="C",LEFT(UPPER(D1041)&amp;REPT(" ",2),2)," ")</f>
        <v/>
      </c>
      <c r="Z1041" s="10">
        <f>IF(A1041="C",LEFT(UPPER(E1041)&amp;REPT(" ",15),15)," ")</f>
        <v/>
      </c>
      <c r="AA1041" s="10">
        <f>REPT(" ",8)</f>
        <v/>
      </c>
      <c r="AB1041" s="10">
        <f>REPT(" ",4)</f>
        <v/>
      </c>
      <c r="AC1041" s="10">
        <f>LEFT(UPPER(H1041)&amp;REPT(" ",250),250)</f>
        <v/>
      </c>
      <c r="AD1041" s="10">
        <f>TEXT($G$2,"dd/mm/aaaa")</f>
        <v/>
      </c>
      <c r="AE1041" s="10">
        <f>REPT(" ",10)</f>
        <v/>
      </c>
      <c r="AF1041" s="10">
        <f>REPT(" ",20)</f>
        <v/>
      </c>
      <c r="AG1041" s="54">
        <f>REPT(" ",18-LEN(FIXED(F1041,2,TRUE)))&amp;FIXED(F1041,2,TRUE)</f>
        <v/>
      </c>
      <c r="AH1041" s="10">
        <f>LEN(AC1041)+LEN(AG1041)</f>
        <v/>
      </c>
      <c r="AI1041" s="10">
        <f>LEN(L1041)</f>
        <v/>
      </c>
    </row>
    <row r="1042">
      <c r="J1042" s="12">
        <f>IF(F1042&lt;&gt;0,"LANÇAR","")</f>
        <v/>
      </c>
      <c r="L1042" s="13">
        <f>N1042&amp;O1042&amp;P1042&amp;Q1042&amp;R1042&amp;S1042&amp;T1042&amp;U1042&amp;V1042&amp;W1042&amp;X1042&amp;Y1042&amp;Z1042&amp;AA1042&amp;AB1042&amp;AC1042&amp;AD1042&amp;AE1042&amp;AF1042&amp;AG1042</f>
        <v/>
      </c>
      <c r="N1042" s="10">
        <f>TEXT($B$6,"00")</f>
        <v/>
      </c>
      <c r="O1042" s="10">
        <f>REPT(" ",8)</f>
        <v/>
      </c>
      <c r="P1042" s="10">
        <f>RIGHT($B$4,2)</f>
        <v/>
      </c>
      <c r="Q1042" s="10">
        <f>RIGHT($B$5,3)</f>
        <v/>
      </c>
      <c r="R1042" s="10">
        <f>IF(A1042="D",LEFT(UPPER(B1042)&amp;REPT(" ",20),20),REPT(" ",20))</f>
        <v/>
      </c>
      <c r="S1042" s="10">
        <f>IF(A1042="D",LEFT(UPPER(C1042)&amp;REPT(" ",10),10)," ")</f>
        <v/>
      </c>
      <c r="T1042" s="10">
        <f>IF(A1042="D",LEFT(UPPER(D1042)&amp;REPT(" ",2),2)," ")</f>
        <v/>
      </c>
      <c r="U1042" s="10">
        <f>IF(A1042="D",LEFT(UPPER(E1042)&amp;REPT(" ",15),15)," ")</f>
        <v/>
      </c>
      <c r="V1042" s="10">
        <f>REPT(" ",24)</f>
        <v/>
      </c>
      <c r="W1042" s="10">
        <f>IF(A1042="c",LEFT(UPPER(B1042)&amp;REPT(" ",20),20),REPT(" ",20))</f>
        <v/>
      </c>
      <c r="X1042" s="10">
        <f>IF(A1042="C",LEFT(UPPER(C1042)&amp;REPT(" ",10),10)," ")</f>
        <v/>
      </c>
      <c r="Y1042" s="10">
        <f>IF(A1042="C",LEFT(UPPER(D1042)&amp;REPT(" ",2),2)," ")</f>
        <v/>
      </c>
      <c r="Z1042" s="10">
        <f>IF(A1042="C",LEFT(UPPER(E1042)&amp;REPT(" ",15),15)," ")</f>
        <v/>
      </c>
      <c r="AA1042" s="10">
        <f>REPT(" ",8)</f>
        <v/>
      </c>
      <c r="AB1042" s="10">
        <f>REPT(" ",4)</f>
        <v/>
      </c>
      <c r="AC1042" s="10">
        <f>LEFT(UPPER(H1042)&amp;REPT(" ",250),250)</f>
        <v/>
      </c>
      <c r="AD1042" s="10">
        <f>TEXT($G$2,"dd/mm/aaaa")</f>
        <v/>
      </c>
      <c r="AE1042" s="10">
        <f>REPT(" ",10)</f>
        <v/>
      </c>
      <c r="AF1042" s="10">
        <f>REPT(" ",20)</f>
        <v/>
      </c>
      <c r="AG1042" s="54">
        <f>REPT(" ",18-LEN(FIXED(F1042,2,TRUE)))&amp;FIXED(F1042,2,TRUE)</f>
        <v/>
      </c>
      <c r="AH1042" s="10">
        <f>LEN(AC1042)+LEN(AG1042)</f>
        <v/>
      </c>
      <c r="AI1042" s="10">
        <f>LEN(L1042)</f>
        <v/>
      </c>
    </row>
    <row r="1043">
      <c r="J1043" s="12">
        <f>IF(F1043&lt;&gt;0,"LANÇAR","")</f>
        <v/>
      </c>
      <c r="L1043" s="13">
        <f>N1043&amp;O1043&amp;P1043&amp;Q1043&amp;R1043&amp;S1043&amp;T1043&amp;U1043&amp;V1043&amp;W1043&amp;X1043&amp;Y1043&amp;Z1043&amp;AA1043&amp;AB1043&amp;AC1043&amp;AD1043&amp;AE1043&amp;AF1043&amp;AG1043</f>
        <v/>
      </c>
      <c r="N1043" s="10">
        <f>TEXT($B$6,"00")</f>
        <v/>
      </c>
      <c r="O1043" s="10">
        <f>REPT(" ",8)</f>
        <v/>
      </c>
      <c r="P1043" s="10">
        <f>RIGHT($B$4,2)</f>
        <v/>
      </c>
      <c r="Q1043" s="10">
        <f>RIGHT($B$5,3)</f>
        <v/>
      </c>
      <c r="R1043" s="10">
        <f>IF(A1043="D",LEFT(UPPER(B1043)&amp;REPT(" ",20),20),REPT(" ",20))</f>
        <v/>
      </c>
      <c r="S1043" s="10">
        <f>IF(A1043="D",LEFT(UPPER(C1043)&amp;REPT(" ",10),10)," ")</f>
        <v/>
      </c>
      <c r="T1043" s="10">
        <f>IF(A1043="D",LEFT(UPPER(D1043)&amp;REPT(" ",2),2)," ")</f>
        <v/>
      </c>
      <c r="U1043" s="10">
        <f>IF(A1043="D",LEFT(UPPER(E1043)&amp;REPT(" ",15),15)," ")</f>
        <v/>
      </c>
      <c r="V1043" s="10">
        <f>REPT(" ",24)</f>
        <v/>
      </c>
      <c r="W1043" s="10">
        <f>IF(A1043="c",LEFT(UPPER(B1043)&amp;REPT(" ",20),20),REPT(" ",20))</f>
        <v/>
      </c>
      <c r="X1043" s="10">
        <f>IF(A1043="C",LEFT(UPPER(C1043)&amp;REPT(" ",10),10)," ")</f>
        <v/>
      </c>
      <c r="Y1043" s="10">
        <f>IF(A1043="C",LEFT(UPPER(D1043)&amp;REPT(" ",2),2)," ")</f>
        <v/>
      </c>
      <c r="Z1043" s="10">
        <f>IF(A1043="C",LEFT(UPPER(E1043)&amp;REPT(" ",15),15)," ")</f>
        <v/>
      </c>
      <c r="AA1043" s="10">
        <f>REPT(" ",8)</f>
        <v/>
      </c>
      <c r="AB1043" s="10">
        <f>REPT(" ",4)</f>
        <v/>
      </c>
      <c r="AC1043" s="10">
        <f>LEFT(UPPER(H1043)&amp;REPT(" ",250),250)</f>
        <v/>
      </c>
      <c r="AD1043" s="10">
        <f>TEXT($G$2,"dd/mm/aaaa")</f>
        <v/>
      </c>
      <c r="AE1043" s="10">
        <f>REPT(" ",10)</f>
        <v/>
      </c>
      <c r="AF1043" s="10">
        <f>REPT(" ",20)</f>
        <v/>
      </c>
      <c r="AG1043" s="54">
        <f>REPT(" ",18-LEN(FIXED(F1043,2,TRUE)))&amp;FIXED(F1043,2,TRUE)</f>
        <v/>
      </c>
      <c r="AH1043" s="10">
        <f>LEN(AC1043)+LEN(AG1043)</f>
        <v/>
      </c>
      <c r="AI1043" s="10">
        <f>LEN(L1043)</f>
        <v/>
      </c>
    </row>
    <row r="1044">
      <c r="J1044" s="12">
        <f>IF(F1044&lt;&gt;0,"LANÇAR","")</f>
        <v/>
      </c>
      <c r="L1044" s="13">
        <f>N1044&amp;O1044&amp;P1044&amp;Q1044&amp;R1044&amp;S1044&amp;T1044&amp;U1044&amp;V1044&amp;W1044&amp;X1044&amp;Y1044&amp;Z1044&amp;AA1044&amp;AB1044&amp;AC1044&amp;AD1044&amp;AE1044&amp;AF1044&amp;AG1044</f>
        <v/>
      </c>
      <c r="N1044" s="10">
        <f>TEXT($B$6,"00")</f>
        <v/>
      </c>
      <c r="O1044" s="10">
        <f>REPT(" ",8)</f>
        <v/>
      </c>
      <c r="P1044" s="10">
        <f>RIGHT($B$4,2)</f>
        <v/>
      </c>
      <c r="Q1044" s="10">
        <f>RIGHT($B$5,3)</f>
        <v/>
      </c>
      <c r="R1044" s="10">
        <f>IF(A1044="D",LEFT(UPPER(B1044)&amp;REPT(" ",20),20),REPT(" ",20))</f>
        <v/>
      </c>
      <c r="S1044" s="10">
        <f>IF(A1044="D",LEFT(UPPER(C1044)&amp;REPT(" ",10),10)," ")</f>
        <v/>
      </c>
      <c r="T1044" s="10">
        <f>IF(A1044="D",LEFT(UPPER(D1044)&amp;REPT(" ",2),2)," ")</f>
        <v/>
      </c>
      <c r="U1044" s="10">
        <f>IF(A1044="D",LEFT(UPPER(E1044)&amp;REPT(" ",15),15)," ")</f>
        <v/>
      </c>
      <c r="V1044" s="10">
        <f>REPT(" ",24)</f>
        <v/>
      </c>
      <c r="W1044" s="10">
        <f>IF(A1044="c",LEFT(UPPER(B1044)&amp;REPT(" ",20),20),REPT(" ",20))</f>
        <v/>
      </c>
      <c r="X1044" s="10">
        <f>IF(A1044="C",LEFT(UPPER(C1044)&amp;REPT(" ",10),10)," ")</f>
        <v/>
      </c>
      <c r="Y1044" s="10">
        <f>IF(A1044="C",LEFT(UPPER(D1044)&amp;REPT(" ",2),2)," ")</f>
        <v/>
      </c>
      <c r="Z1044" s="10">
        <f>IF(A1044="C",LEFT(UPPER(E1044)&amp;REPT(" ",15),15)," ")</f>
        <v/>
      </c>
      <c r="AA1044" s="10">
        <f>REPT(" ",8)</f>
        <v/>
      </c>
      <c r="AB1044" s="10">
        <f>REPT(" ",4)</f>
        <v/>
      </c>
      <c r="AC1044" s="10">
        <f>LEFT(UPPER(H1044)&amp;REPT(" ",250),250)</f>
        <v/>
      </c>
      <c r="AD1044" s="10">
        <f>TEXT($G$2,"dd/mm/aaaa")</f>
        <v/>
      </c>
      <c r="AE1044" s="10">
        <f>REPT(" ",10)</f>
        <v/>
      </c>
      <c r="AF1044" s="10">
        <f>REPT(" ",20)</f>
        <v/>
      </c>
      <c r="AG1044" s="54">
        <f>REPT(" ",18-LEN(FIXED(F1044,2,TRUE)))&amp;FIXED(F1044,2,TRUE)</f>
        <v/>
      </c>
      <c r="AH1044" s="10">
        <f>LEN(AC1044)+LEN(AG1044)</f>
        <v/>
      </c>
      <c r="AI1044" s="10">
        <f>LEN(L1044)</f>
        <v/>
      </c>
    </row>
    <row r="1045">
      <c r="J1045" s="12">
        <f>IF(F1045&lt;&gt;0,"LANÇAR","")</f>
        <v/>
      </c>
      <c r="L1045" s="13">
        <f>N1045&amp;O1045&amp;P1045&amp;Q1045&amp;R1045&amp;S1045&amp;T1045&amp;U1045&amp;V1045&amp;W1045&amp;X1045&amp;Y1045&amp;Z1045&amp;AA1045&amp;AB1045&amp;AC1045&amp;AD1045&amp;AE1045&amp;AF1045&amp;AG1045</f>
        <v/>
      </c>
      <c r="N1045" s="10">
        <f>TEXT($B$6,"00")</f>
        <v/>
      </c>
      <c r="O1045" s="10">
        <f>REPT(" ",8)</f>
        <v/>
      </c>
      <c r="P1045" s="10">
        <f>RIGHT($B$4,2)</f>
        <v/>
      </c>
      <c r="Q1045" s="10">
        <f>RIGHT($B$5,3)</f>
        <v/>
      </c>
      <c r="R1045" s="10">
        <f>IF(A1045="D",LEFT(UPPER(B1045)&amp;REPT(" ",20),20),REPT(" ",20))</f>
        <v/>
      </c>
      <c r="S1045" s="10">
        <f>IF(A1045="D",LEFT(UPPER(C1045)&amp;REPT(" ",10),10)," ")</f>
        <v/>
      </c>
      <c r="T1045" s="10">
        <f>IF(A1045="D",LEFT(UPPER(D1045)&amp;REPT(" ",2),2)," ")</f>
        <v/>
      </c>
      <c r="U1045" s="10">
        <f>IF(A1045="D",LEFT(UPPER(E1045)&amp;REPT(" ",15),15)," ")</f>
        <v/>
      </c>
      <c r="V1045" s="10">
        <f>REPT(" ",24)</f>
        <v/>
      </c>
      <c r="W1045" s="10">
        <f>IF(A1045="c",LEFT(UPPER(B1045)&amp;REPT(" ",20),20),REPT(" ",20))</f>
        <v/>
      </c>
      <c r="X1045" s="10">
        <f>IF(A1045="C",LEFT(UPPER(C1045)&amp;REPT(" ",10),10)," ")</f>
        <v/>
      </c>
      <c r="Y1045" s="10">
        <f>IF(A1045="C",LEFT(UPPER(D1045)&amp;REPT(" ",2),2)," ")</f>
        <v/>
      </c>
      <c r="Z1045" s="10">
        <f>IF(A1045="C",LEFT(UPPER(E1045)&amp;REPT(" ",15),15)," ")</f>
        <v/>
      </c>
      <c r="AA1045" s="10">
        <f>REPT(" ",8)</f>
        <v/>
      </c>
      <c r="AB1045" s="10">
        <f>REPT(" ",4)</f>
        <v/>
      </c>
      <c r="AC1045" s="10">
        <f>LEFT(UPPER(H1045)&amp;REPT(" ",250),250)</f>
        <v/>
      </c>
      <c r="AD1045" s="10">
        <f>TEXT($G$2,"dd/mm/aaaa")</f>
        <v/>
      </c>
      <c r="AE1045" s="10">
        <f>REPT(" ",10)</f>
        <v/>
      </c>
      <c r="AF1045" s="10">
        <f>REPT(" ",20)</f>
        <v/>
      </c>
      <c r="AG1045" s="54">
        <f>REPT(" ",18-LEN(FIXED(F1045,2,TRUE)))&amp;FIXED(F1045,2,TRUE)</f>
        <v/>
      </c>
      <c r="AH1045" s="10">
        <f>LEN(AC1045)+LEN(AG1045)</f>
        <v/>
      </c>
      <c r="AI1045" s="10">
        <f>LEN(L1045)</f>
        <v/>
      </c>
    </row>
    <row r="1046">
      <c r="J1046" s="12">
        <f>IF(F1046&lt;&gt;0,"LANÇAR","")</f>
        <v/>
      </c>
      <c r="L1046" s="13">
        <f>N1046&amp;O1046&amp;P1046&amp;Q1046&amp;R1046&amp;S1046&amp;T1046&amp;U1046&amp;V1046&amp;W1046&amp;X1046&amp;Y1046&amp;Z1046&amp;AA1046&amp;AB1046&amp;AC1046&amp;AD1046&amp;AE1046&amp;AF1046&amp;AG1046</f>
        <v/>
      </c>
      <c r="N1046" s="10">
        <f>TEXT($B$6,"00")</f>
        <v/>
      </c>
      <c r="O1046" s="10">
        <f>REPT(" ",8)</f>
        <v/>
      </c>
      <c r="P1046" s="10">
        <f>RIGHT($B$4,2)</f>
        <v/>
      </c>
      <c r="Q1046" s="10">
        <f>RIGHT($B$5,3)</f>
        <v/>
      </c>
      <c r="R1046" s="10">
        <f>IF(A1046="D",LEFT(UPPER(B1046)&amp;REPT(" ",20),20),REPT(" ",20))</f>
        <v/>
      </c>
      <c r="S1046" s="10">
        <f>IF(A1046="D",LEFT(UPPER(C1046)&amp;REPT(" ",10),10)," ")</f>
        <v/>
      </c>
      <c r="T1046" s="10">
        <f>IF(A1046="D",LEFT(UPPER(D1046)&amp;REPT(" ",2),2)," ")</f>
        <v/>
      </c>
      <c r="U1046" s="10">
        <f>IF(A1046="D",LEFT(UPPER(E1046)&amp;REPT(" ",15),15)," ")</f>
        <v/>
      </c>
      <c r="V1046" s="10">
        <f>REPT(" ",24)</f>
        <v/>
      </c>
      <c r="W1046" s="10">
        <f>IF(A1046="c",LEFT(UPPER(B1046)&amp;REPT(" ",20),20),REPT(" ",20))</f>
        <v/>
      </c>
      <c r="X1046" s="10">
        <f>IF(A1046="C",LEFT(UPPER(C1046)&amp;REPT(" ",10),10)," ")</f>
        <v/>
      </c>
      <c r="Y1046" s="10">
        <f>IF(A1046="C",LEFT(UPPER(D1046)&amp;REPT(" ",2),2)," ")</f>
        <v/>
      </c>
      <c r="Z1046" s="10">
        <f>IF(A1046="C",LEFT(UPPER(E1046)&amp;REPT(" ",15),15)," ")</f>
        <v/>
      </c>
      <c r="AA1046" s="10">
        <f>REPT(" ",8)</f>
        <v/>
      </c>
      <c r="AB1046" s="10">
        <f>REPT(" ",4)</f>
        <v/>
      </c>
      <c r="AC1046" s="10">
        <f>LEFT(UPPER(H1046)&amp;REPT(" ",250),250)</f>
        <v/>
      </c>
      <c r="AD1046" s="10">
        <f>TEXT($G$2,"dd/mm/aaaa")</f>
        <v/>
      </c>
      <c r="AE1046" s="10">
        <f>REPT(" ",10)</f>
        <v/>
      </c>
      <c r="AF1046" s="10">
        <f>REPT(" ",20)</f>
        <v/>
      </c>
      <c r="AG1046" s="54">
        <f>REPT(" ",18-LEN(FIXED(F1046,2,TRUE)))&amp;FIXED(F1046,2,TRUE)</f>
        <v/>
      </c>
      <c r="AH1046" s="10">
        <f>LEN(AC1046)+LEN(AG1046)</f>
        <v/>
      </c>
      <c r="AI1046" s="10">
        <f>LEN(L1046)</f>
        <v/>
      </c>
    </row>
    <row r="1047">
      <c r="J1047" s="12">
        <f>IF(F1047&lt;&gt;0,"LANÇAR","")</f>
        <v/>
      </c>
      <c r="L1047" s="13">
        <f>N1047&amp;O1047&amp;P1047&amp;Q1047&amp;R1047&amp;S1047&amp;T1047&amp;U1047&amp;V1047&amp;W1047&amp;X1047&amp;Y1047&amp;Z1047&amp;AA1047&amp;AB1047&amp;AC1047&amp;AD1047&amp;AE1047&amp;AF1047&amp;AG1047</f>
        <v/>
      </c>
      <c r="N1047" s="10">
        <f>TEXT($B$6,"00")</f>
        <v/>
      </c>
      <c r="O1047" s="10">
        <f>REPT(" ",8)</f>
        <v/>
      </c>
      <c r="P1047" s="10">
        <f>RIGHT($B$4,2)</f>
        <v/>
      </c>
      <c r="Q1047" s="10">
        <f>RIGHT($B$5,3)</f>
        <v/>
      </c>
      <c r="R1047" s="10">
        <f>IF(A1047="D",LEFT(UPPER(B1047)&amp;REPT(" ",20),20),REPT(" ",20))</f>
        <v/>
      </c>
      <c r="S1047" s="10">
        <f>IF(A1047="D",LEFT(UPPER(C1047)&amp;REPT(" ",10),10)," ")</f>
        <v/>
      </c>
      <c r="T1047" s="10">
        <f>IF(A1047="D",LEFT(UPPER(D1047)&amp;REPT(" ",2),2)," ")</f>
        <v/>
      </c>
      <c r="U1047" s="10">
        <f>IF(A1047="D",LEFT(UPPER(E1047)&amp;REPT(" ",15),15)," ")</f>
        <v/>
      </c>
      <c r="V1047" s="10">
        <f>REPT(" ",24)</f>
        <v/>
      </c>
      <c r="W1047" s="10">
        <f>IF(A1047="c",LEFT(UPPER(B1047)&amp;REPT(" ",20),20),REPT(" ",20))</f>
        <v/>
      </c>
      <c r="X1047" s="10">
        <f>IF(A1047="C",LEFT(UPPER(C1047)&amp;REPT(" ",10),10)," ")</f>
        <v/>
      </c>
      <c r="Y1047" s="10">
        <f>IF(A1047="C",LEFT(UPPER(D1047)&amp;REPT(" ",2),2)," ")</f>
        <v/>
      </c>
      <c r="Z1047" s="10">
        <f>IF(A1047="C",LEFT(UPPER(E1047)&amp;REPT(" ",15),15)," ")</f>
        <v/>
      </c>
      <c r="AA1047" s="10">
        <f>REPT(" ",8)</f>
        <v/>
      </c>
      <c r="AB1047" s="10">
        <f>REPT(" ",4)</f>
        <v/>
      </c>
      <c r="AC1047" s="10">
        <f>LEFT(UPPER(H1047)&amp;REPT(" ",250),250)</f>
        <v/>
      </c>
      <c r="AD1047" s="10">
        <f>TEXT($G$2,"dd/mm/aaaa")</f>
        <v/>
      </c>
      <c r="AE1047" s="10">
        <f>REPT(" ",10)</f>
        <v/>
      </c>
      <c r="AF1047" s="10">
        <f>REPT(" ",20)</f>
        <v/>
      </c>
      <c r="AG1047" s="54">
        <f>REPT(" ",18-LEN(FIXED(F1047,2,TRUE)))&amp;FIXED(F1047,2,TRUE)</f>
        <v/>
      </c>
      <c r="AH1047" s="10">
        <f>LEN(AC1047)+LEN(AG1047)</f>
        <v/>
      </c>
      <c r="AI1047" s="10">
        <f>LEN(L1047)</f>
        <v/>
      </c>
    </row>
    <row r="1048">
      <c r="J1048" s="12">
        <f>IF(F1048&lt;&gt;0,"LANÇAR","")</f>
        <v/>
      </c>
      <c r="L1048" s="13">
        <f>N1048&amp;O1048&amp;P1048&amp;Q1048&amp;R1048&amp;S1048&amp;T1048&amp;U1048&amp;V1048&amp;W1048&amp;X1048&amp;Y1048&amp;Z1048&amp;AA1048&amp;AB1048&amp;AC1048&amp;AD1048&amp;AE1048&amp;AF1048&amp;AG1048</f>
        <v/>
      </c>
      <c r="N1048" s="10">
        <f>TEXT($B$6,"00")</f>
        <v/>
      </c>
      <c r="O1048" s="10">
        <f>REPT(" ",8)</f>
        <v/>
      </c>
      <c r="P1048" s="10">
        <f>RIGHT($B$4,2)</f>
        <v/>
      </c>
      <c r="Q1048" s="10">
        <f>RIGHT($B$5,3)</f>
        <v/>
      </c>
      <c r="R1048" s="10">
        <f>IF(A1048="D",LEFT(UPPER(B1048)&amp;REPT(" ",20),20),REPT(" ",20))</f>
        <v/>
      </c>
      <c r="S1048" s="10">
        <f>IF(A1048="D",LEFT(UPPER(C1048)&amp;REPT(" ",10),10)," ")</f>
        <v/>
      </c>
      <c r="T1048" s="10">
        <f>IF(A1048="D",LEFT(UPPER(D1048)&amp;REPT(" ",2),2)," ")</f>
        <v/>
      </c>
      <c r="U1048" s="10">
        <f>IF(A1048="D",LEFT(UPPER(E1048)&amp;REPT(" ",15),15)," ")</f>
        <v/>
      </c>
      <c r="V1048" s="10">
        <f>REPT(" ",24)</f>
        <v/>
      </c>
      <c r="W1048" s="10">
        <f>IF(A1048="c",LEFT(UPPER(B1048)&amp;REPT(" ",20),20),REPT(" ",20))</f>
        <v/>
      </c>
      <c r="X1048" s="10">
        <f>IF(A1048="C",LEFT(UPPER(C1048)&amp;REPT(" ",10),10)," ")</f>
        <v/>
      </c>
      <c r="Y1048" s="10">
        <f>IF(A1048="C",LEFT(UPPER(D1048)&amp;REPT(" ",2),2)," ")</f>
        <v/>
      </c>
      <c r="Z1048" s="10">
        <f>IF(A1048="C",LEFT(UPPER(E1048)&amp;REPT(" ",15),15)," ")</f>
        <v/>
      </c>
      <c r="AA1048" s="10">
        <f>REPT(" ",8)</f>
        <v/>
      </c>
      <c r="AB1048" s="10">
        <f>REPT(" ",4)</f>
        <v/>
      </c>
      <c r="AC1048" s="10">
        <f>LEFT(UPPER(H1048)&amp;REPT(" ",250),250)</f>
        <v/>
      </c>
      <c r="AD1048" s="10">
        <f>TEXT($G$2,"dd/mm/aaaa")</f>
        <v/>
      </c>
      <c r="AE1048" s="10">
        <f>REPT(" ",10)</f>
        <v/>
      </c>
      <c r="AF1048" s="10">
        <f>REPT(" ",20)</f>
        <v/>
      </c>
      <c r="AG1048" s="54">
        <f>REPT(" ",18-LEN(FIXED(F1048,2,TRUE)))&amp;FIXED(F1048,2,TRUE)</f>
        <v/>
      </c>
      <c r="AH1048" s="10">
        <f>LEN(AC1048)+LEN(AG1048)</f>
        <v/>
      </c>
      <c r="AI1048" s="10">
        <f>LEN(L1048)</f>
        <v/>
      </c>
    </row>
    <row r="1049">
      <c r="J1049" s="12">
        <f>IF(F1049&lt;&gt;0,"LANÇAR","")</f>
        <v/>
      </c>
      <c r="L1049" s="13">
        <f>N1049&amp;O1049&amp;P1049&amp;Q1049&amp;R1049&amp;S1049&amp;T1049&amp;U1049&amp;V1049&amp;W1049&amp;X1049&amp;Y1049&amp;Z1049&amp;AA1049&amp;AB1049&amp;AC1049&amp;AD1049&amp;AE1049&amp;AF1049&amp;AG1049</f>
        <v/>
      </c>
      <c r="N1049" s="10">
        <f>TEXT($B$6,"00")</f>
        <v/>
      </c>
      <c r="O1049" s="10">
        <f>REPT(" ",8)</f>
        <v/>
      </c>
      <c r="P1049" s="10">
        <f>RIGHT($B$4,2)</f>
        <v/>
      </c>
      <c r="Q1049" s="10">
        <f>RIGHT($B$5,3)</f>
        <v/>
      </c>
      <c r="R1049" s="10">
        <f>IF(A1049="D",LEFT(UPPER(B1049)&amp;REPT(" ",20),20),REPT(" ",20))</f>
        <v/>
      </c>
      <c r="S1049" s="10">
        <f>IF(A1049="D",LEFT(UPPER(C1049)&amp;REPT(" ",10),10)," ")</f>
        <v/>
      </c>
      <c r="T1049" s="10">
        <f>IF(A1049="D",LEFT(UPPER(D1049)&amp;REPT(" ",2),2)," ")</f>
        <v/>
      </c>
      <c r="U1049" s="10">
        <f>IF(A1049="D",LEFT(UPPER(E1049)&amp;REPT(" ",15),15)," ")</f>
        <v/>
      </c>
      <c r="V1049" s="10">
        <f>REPT(" ",24)</f>
        <v/>
      </c>
      <c r="W1049" s="10">
        <f>IF(A1049="c",LEFT(UPPER(B1049)&amp;REPT(" ",20),20),REPT(" ",20))</f>
        <v/>
      </c>
      <c r="X1049" s="10">
        <f>IF(A1049="C",LEFT(UPPER(C1049)&amp;REPT(" ",10),10)," ")</f>
        <v/>
      </c>
      <c r="Y1049" s="10">
        <f>IF(A1049="C",LEFT(UPPER(D1049)&amp;REPT(" ",2),2)," ")</f>
        <v/>
      </c>
      <c r="Z1049" s="10">
        <f>IF(A1049="C",LEFT(UPPER(E1049)&amp;REPT(" ",15),15)," ")</f>
        <v/>
      </c>
      <c r="AA1049" s="10">
        <f>REPT(" ",8)</f>
        <v/>
      </c>
      <c r="AB1049" s="10">
        <f>REPT(" ",4)</f>
        <v/>
      </c>
      <c r="AC1049" s="10">
        <f>LEFT(UPPER(H1049)&amp;REPT(" ",250),250)</f>
        <v/>
      </c>
      <c r="AD1049" s="10">
        <f>TEXT($G$2,"dd/mm/aaaa")</f>
        <v/>
      </c>
      <c r="AE1049" s="10">
        <f>REPT(" ",10)</f>
        <v/>
      </c>
      <c r="AF1049" s="10">
        <f>REPT(" ",20)</f>
        <v/>
      </c>
      <c r="AG1049" s="54">
        <f>REPT(" ",18-LEN(FIXED(F1049,2,TRUE)))&amp;FIXED(F1049,2,TRUE)</f>
        <v/>
      </c>
      <c r="AH1049" s="10">
        <f>LEN(AC1049)+LEN(AG1049)</f>
        <v/>
      </c>
      <c r="AI1049" s="10">
        <f>LEN(L1049)</f>
        <v/>
      </c>
    </row>
    <row r="1050">
      <c r="J1050" s="12">
        <f>IF(F1050&lt;&gt;0,"LANÇAR","")</f>
        <v/>
      </c>
      <c r="L1050" s="13">
        <f>N1050&amp;O1050&amp;P1050&amp;Q1050&amp;R1050&amp;S1050&amp;T1050&amp;U1050&amp;V1050&amp;W1050&amp;X1050&amp;Y1050&amp;Z1050&amp;AA1050&amp;AB1050&amp;AC1050&amp;AD1050&amp;AE1050&amp;AF1050&amp;AG1050</f>
        <v/>
      </c>
      <c r="N1050" s="10">
        <f>TEXT($B$6,"00")</f>
        <v/>
      </c>
      <c r="O1050" s="10">
        <f>REPT(" ",8)</f>
        <v/>
      </c>
      <c r="P1050" s="10">
        <f>RIGHT($B$4,2)</f>
        <v/>
      </c>
      <c r="Q1050" s="10">
        <f>RIGHT($B$5,3)</f>
        <v/>
      </c>
      <c r="R1050" s="10">
        <f>IF(A1050="D",LEFT(UPPER(B1050)&amp;REPT(" ",20),20),REPT(" ",20))</f>
        <v/>
      </c>
      <c r="S1050" s="10">
        <f>IF(A1050="D",LEFT(UPPER(C1050)&amp;REPT(" ",10),10)," ")</f>
        <v/>
      </c>
      <c r="T1050" s="10">
        <f>IF(A1050="D",LEFT(UPPER(D1050)&amp;REPT(" ",2),2)," ")</f>
        <v/>
      </c>
      <c r="U1050" s="10">
        <f>IF(A1050="D",LEFT(UPPER(E1050)&amp;REPT(" ",15),15)," ")</f>
        <v/>
      </c>
      <c r="V1050" s="10">
        <f>REPT(" ",24)</f>
        <v/>
      </c>
      <c r="W1050" s="10">
        <f>IF(A1050="c",LEFT(UPPER(B1050)&amp;REPT(" ",20),20),REPT(" ",20))</f>
        <v/>
      </c>
      <c r="X1050" s="10">
        <f>IF(A1050="C",LEFT(UPPER(C1050)&amp;REPT(" ",10),10)," ")</f>
        <v/>
      </c>
      <c r="Y1050" s="10">
        <f>IF(A1050="C",LEFT(UPPER(D1050)&amp;REPT(" ",2),2)," ")</f>
        <v/>
      </c>
      <c r="Z1050" s="10">
        <f>IF(A1050="C",LEFT(UPPER(E1050)&amp;REPT(" ",15),15)," ")</f>
        <v/>
      </c>
      <c r="AA1050" s="10">
        <f>REPT(" ",8)</f>
        <v/>
      </c>
      <c r="AB1050" s="10">
        <f>REPT(" ",4)</f>
        <v/>
      </c>
      <c r="AC1050" s="10">
        <f>LEFT(UPPER(H1050)&amp;REPT(" ",250),250)</f>
        <v/>
      </c>
      <c r="AD1050" s="10">
        <f>TEXT($G$2,"dd/mm/aaaa")</f>
        <v/>
      </c>
      <c r="AE1050" s="10">
        <f>REPT(" ",10)</f>
        <v/>
      </c>
      <c r="AF1050" s="10">
        <f>REPT(" ",20)</f>
        <v/>
      </c>
      <c r="AG1050" s="54">
        <f>REPT(" ",18-LEN(FIXED(F1050,2,TRUE)))&amp;FIXED(F1050,2,TRUE)</f>
        <v/>
      </c>
      <c r="AH1050" s="10">
        <f>LEN(AC1050)+LEN(AG1050)</f>
        <v/>
      </c>
      <c r="AI1050" s="10">
        <f>LEN(L1050)</f>
        <v/>
      </c>
    </row>
    <row r="1051">
      <c r="J1051" s="12">
        <f>IF(F1051&lt;&gt;0,"LANÇAR","")</f>
        <v/>
      </c>
      <c r="L1051" s="13">
        <f>N1051&amp;O1051&amp;P1051&amp;Q1051&amp;R1051&amp;S1051&amp;T1051&amp;U1051&amp;V1051&amp;W1051&amp;X1051&amp;Y1051&amp;Z1051&amp;AA1051&amp;AB1051&amp;AC1051&amp;AD1051&amp;AE1051&amp;AF1051&amp;AG1051</f>
        <v/>
      </c>
      <c r="N1051" s="10">
        <f>TEXT($B$6,"00")</f>
        <v/>
      </c>
      <c r="O1051" s="10">
        <f>REPT(" ",8)</f>
        <v/>
      </c>
      <c r="P1051" s="10">
        <f>RIGHT($B$4,2)</f>
        <v/>
      </c>
      <c r="Q1051" s="10">
        <f>RIGHT($B$5,3)</f>
        <v/>
      </c>
      <c r="R1051" s="10">
        <f>IF(A1051="D",LEFT(UPPER(B1051)&amp;REPT(" ",20),20),REPT(" ",20))</f>
        <v/>
      </c>
      <c r="S1051" s="10">
        <f>IF(A1051="D",LEFT(UPPER(C1051)&amp;REPT(" ",10),10)," ")</f>
        <v/>
      </c>
      <c r="T1051" s="10">
        <f>IF(A1051="D",LEFT(UPPER(D1051)&amp;REPT(" ",2),2)," ")</f>
        <v/>
      </c>
      <c r="U1051" s="10">
        <f>IF(A1051="D",LEFT(UPPER(E1051)&amp;REPT(" ",15),15)," ")</f>
        <v/>
      </c>
      <c r="V1051" s="10">
        <f>REPT(" ",24)</f>
        <v/>
      </c>
      <c r="W1051" s="10">
        <f>IF(A1051="c",LEFT(UPPER(B1051)&amp;REPT(" ",20),20),REPT(" ",20))</f>
        <v/>
      </c>
      <c r="X1051" s="10">
        <f>IF(A1051="C",LEFT(UPPER(C1051)&amp;REPT(" ",10),10)," ")</f>
        <v/>
      </c>
      <c r="Y1051" s="10">
        <f>IF(A1051="C",LEFT(UPPER(D1051)&amp;REPT(" ",2),2)," ")</f>
        <v/>
      </c>
      <c r="Z1051" s="10">
        <f>IF(A1051="C",LEFT(UPPER(E1051)&amp;REPT(" ",15),15)," ")</f>
        <v/>
      </c>
      <c r="AA1051" s="10">
        <f>REPT(" ",8)</f>
        <v/>
      </c>
      <c r="AB1051" s="10">
        <f>REPT(" ",4)</f>
        <v/>
      </c>
      <c r="AC1051" s="10">
        <f>LEFT(UPPER(H1051)&amp;REPT(" ",250),250)</f>
        <v/>
      </c>
      <c r="AD1051" s="10">
        <f>TEXT($G$2,"dd/mm/aaaa")</f>
        <v/>
      </c>
      <c r="AE1051" s="10">
        <f>REPT(" ",10)</f>
        <v/>
      </c>
      <c r="AF1051" s="10">
        <f>REPT(" ",20)</f>
        <v/>
      </c>
      <c r="AG1051" s="54">
        <f>REPT(" ",18-LEN(FIXED(F1051,2,TRUE)))&amp;FIXED(F1051,2,TRUE)</f>
        <v/>
      </c>
      <c r="AH1051" s="10">
        <f>LEN(AC1051)+LEN(AG1051)</f>
        <v/>
      </c>
      <c r="AI1051" s="10">
        <f>LEN(L1051)</f>
        <v/>
      </c>
    </row>
    <row r="1052">
      <c r="J1052" s="12">
        <f>IF(F1052&lt;&gt;0,"LANÇAR","")</f>
        <v/>
      </c>
      <c r="L1052" s="13">
        <f>N1052&amp;O1052&amp;P1052&amp;Q1052&amp;R1052&amp;S1052&amp;T1052&amp;U1052&amp;V1052&amp;W1052&amp;X1052&amp;Y1052&amp;Z1052&amp;AA1052&amp;AB1052&amp;AC1052&amp;AD1052&amp;AE1052&amp;AF1052&amp;AG1052</f>
        <v/>
      </c>
      <c r="N1052" s="10">
        <f>TEXT($B$6,"00")</f>
        <v/>
      </c>
      <c r="O1052" s="10">
        <f>REPT(" ",8)</f>
        <v/>
      </c>
      <c r="P1052" s="10">
        <f>RIGHT($B$4,2)</f>
        <v/>
      </c>
      <c r="Q1052" s="10">
        <f>RIGHT($B$5,3)</f>
        <v/>
      </c>
      <c r="R1052" s="10">
        <f>IF(A1052="D",LEFT(UPPER(B1052)&amp;REPT(" ",20),20),REPT(" ",20))</f>
        <v/>
      </c>
      <c r="S1052" s="10">
        <f>IF(A1052="D",LEFT(UPPER(C1052)&amp;REPT(" ",10),10)," ")</f>
        <v/>
      </c>
      <c r="T1052" s="10">
        <f>IF(A1052="D",LEFT(UPPER(D1052)&amp;REPT(" ",2),2)," ")</f>
        <v/>
      </c>
      <c r="U1052" s="10">
        <f>IF(A1052="D",LEFT(UPPER(E1052)&amp;REPT(" ",15),15)," ")</f>
        <v/>
      </c>
      <c r="V1052" s="10">
        <f>REPT(" ",24)</f>
        <v/>
      </c>
      <c r="W1052" s="10">
        <f>IF(A1052="c",LEFT(UPPER(B1052)&amp;REPT(" ",20),20),REPT(" ",20))</f>
        <v/>
      </c>
      <c r="X1052" s="10">
        <f>IF(A1052="C",LEFT(UPPER(C1052)&amp;REPT(" ",10),10)," ")</f>
        <v/>
      </c>
      <c r="Y1052" s="10">
        <f>IF(A1052="C",LEFT(UPPER(D1052)&amp;REPT(" ",2),2)," ")</f>
        <v/>
      </c>
      <c r="Z1052" s="10">
        <f>IF(A1052="C",LEFT(UPPER(E1052)&amp;REPT(" ",15),15)," ")</f>
        <v/>
      </c>
      <c r="AA1052" s="10">
        <f>REPT(" ",8)</f>
        <v/>
      </c>
      <c r="AB1052" s="10">
        <f>REPT(" ",4)</f>
        <v/>
      </c>
      <c r="AC1052" s="10">
        <f>LEFT(UPPER(H1052)&amp;REPT(" ",250),250)</f>
        <v/>
      </c>
      <c r="AD1052" s="10">
        <f>TEXT($G$2,"dd/mm/aaaa")</f>
        <v/>
      </c>
      <c r="AE1052" s="10">
        <f>REPT(" ",10)</f>
        <v/>
      </c>
      <c r="AF1052" s="10">
        <f>REPT(" ",20)</f>
        <v/>
      </c>
      <c r="AG1052" s="54">
        <f>REPT(" ",18-LEN(FIXED(F1052,2,TRUE)))&amp;FIXED(F1052,2,TRUE)</f>
        <v/>
      </c>
      <c r="AH1052" s="10">
        <f>LEN(AC1052)+LEN(AG1052)</f>
        <v/>
      </c>
      <c r="AI1052" s="10">
        <f>LEN(L1052)</f>
        <v/>
      </c>
    </row>
    <row r="1053">
      <c r="J1053" s="12">
        <f>IF(F1053&lt;&gt;0,"LANÇAR","")</f>
        <v/>
      </c>
      <c r="L1053" s="13">
        <f>N1053&amp;O1053&amp;P1053&amp;Q1053&amp;R1053&amp;S1053&amp;T1053&amp;U1053&amp;V1053&amp;W1053&amp;X1053&amp;Y1053&amp;Z1053&amp;AA1053&amp;AB1053&amp;AC1053&amp;AD1053&amp;AE1053&amp;AF1053&amp;AG1053</f>
        <v/>
      </c>
      <c r="N1053" s="10">
        <f>TEXT($B$6,"00")</f>
        <v/>
      </c>
      <c r="O1053" s="10">
        <f>REPT(" ",8)</f>
        <v/>
      </c>
      <c r="P1053" s="10">
        <f>RIGHT($B$4,2)</f>
        <v/>
      </c>
      <c r="Q1053" s="10">
        <f>RIGHT($B$5,3)</f>
        <v/>
      </c>
      <c r="R1053" s="10">
        <f>IF(A1053="D",LEFT(UPPER(B1053)&amp;REPT(" ",20),20),REPT(" ",20))</f>
        <v/>
      </c>
      <c r="S1053" s="10">
        <f>IF(A1053="D",LEFT(UPPER(C1053)&amp;REPT(" ",10),10)," ")</f>
        <v/>
      </c>
      <c r="T1053" s="10">
        <f>IF(A1053="D",LEFT(UPPER(D1053)&amp;REPT(" ",2),2)," ")</f>
        <v/>
      </c>
      <c r="U1053" s="10">
        <f>IF(A1053="D",LEFT(UPPER(E1053)&amp;REPT(" ",15),15)," ")</f>
        <v/>
      </c>
      <c r="V1053" s="10">
        <f>REPT(" ",24)</f>
        <v/>
      </c>
      <c r="W1053" s="10">
        <f>IF(A1053="c",LEFT(UPPER(B1053)&amp;REPT(" ",20),20),REPT(" ",20))</f>
        <v/>
      </c>
      <c r="X1053" s="10">
        <f>IF(A1053="C",LEFT(UPPER(C1053)&amp;REPT(" ",10),10)," ")</f>
        <v/>
      </c>
      <c r="Y1053" s="10">
        <f>IF(A1053="C",LEFT(UPPER(D1053)&amp;REPT(" ",2),2)," ")</f>
        <v/>
      </c>
      <c r="Z1053" s="10">
        <f>IF(A1053="C",LEFT(UPPER(E1053)&amp;REPT(" ",15),15)," ")</f>
        <v/>
      </c>
      <c r="AA1053" s="10">
        <f>REPT(" ",8)</f>
        <v/>
      </c>
      <c r="AB1053" s="10">
        <f>REPT(" ",4)</f>
        <v/>
      </c>
      <c r="AC1053" s="10">
        <f>LEFT(UPPER(H1053)&amp;REPT(" ",250),250)</f>
        <v/>
      </c>
      <c r="AD1053" s="10">
        <f>TEXT($G$2,"dd/mm/aaaa")</f>
        <v/>
      </c>
      <c r="AE1053" s="10">
        <f>REPT(" ",10)</f>
        <v/>
      </c>
      <c r="AF1053" s="10">
        <f>REPT(" ",20)</f>
        <v/>
      </c>
      <c r="AG1053" s="54">
        <f>REPT(" ",18-LEN(FIXED(F1053,2,TRUE)))&amp;FIXED(F1053,2,TRUE)</f>
        <v/>
      </c>
      <c r="AH1053" s="10">
        <f>LEN(AC1053)+LEN(AG1053)</f>
        <v/>
      </c>
      <c r="AI1053" s="10">
        <f>LEN(L1053)</f>
        <v/>
      </c>
    </row>
    <row r="1054">
      <c r="J1054" s="12">
        <f>IF(F1054&lt;&gt;0,"LANÇAR","")</f>
        <v/>
      </c>
      <c r="L1054" s="13">
        <f>N1054&amp;O1054&amp;P1054&amp;Q1054&amp;R1054&amp;S1054&amp;T1054&amp;U1054&amp;V1054&amp;W1054&amp;X1054&amp;Y1054&amp;Z1054&amp;AA1054&amp;AB1054&amp;AC1054&amp;AD1054&amp;AE1054&amp;AF1054&amp;AG1054</f>
        <v/>
      </c>
      <c r="N1054" s="10">
        <f>TEXT($B$6,"00")</f>
        <v/>
      </c>
      <c r="O1054" s="10">
        <f>REPT(" ",8)</f>
        <v/>
      </c>
      <c r="P1054" s="10">
        <f>RIGHT($B$4,2)</f>
        <v/>
      </c>
      <c r="Q1054" s="10">
        <f>RIGHT($B$5,3)</f>
        <v/>
      </c>
      <c r="R1054" s="10">
        <f>IF(A1054="D",LEFT(UPPER(B1054)&amp;REPT(" ",20),20),REPT(" ",20))</f>
        <v/>
      </c>
      <c r="S1054" s="10">
        <f>IF(A1054="D",LEFT(UPPER(C1054)&amp;REPT(" ",10),10)," ")</f>
        <v/>
      </c>
      <c r="T1054" s="10">
        <f>IF(A1054="D",LEFT(UPPER(D1054)&amp;REPT(" ",2),2)," ")</f>
        <v/>
      </c>
      <c r="U1054" s="10">
        <f>IF(A1054="D",LEFT(UPPER(E1054)&amp;REPT(" ",15),15)," ")</f>
        <v/>
      </c>
      <c r="V1054" s="10">
        <f>REPT(" ",24)</f>
        <v/>
      </c>
      <c r="W1054" s="10">
        <f>IF(A1054="c",LEFT(UPPER(B1054)&amp;REPT(" ",20),20),REPT(" ",20))</f>
        <v/>
      </c>
      <c r="X1054" s="10">
        <f>IF(A1054="C",LEFT(UPPER(C1054)&amp;REPT(" ",10),10)," ")</f>
        <v/>
      </c>
      <c r="Y1054" s="10">
        <f>IF(A1054="C",LEFT(UPPER(D1054)&amp;REPT(" ",2),2)," ")</f>
        <v/>
      </c>
      <c r="Z1054" s="10">
        <f>IF(A1054="C",LEFT(UPPER(E1054)&amp;REPT(" ",15),15)," ")</f>
        <v/>
      </c>
      <c r="AA1054" s="10">
        <f>REPT(" ",8)</f>
        <v/>
      </c>
      <c r="AB1054" s="10">
        <f>REPT(" ",4)</f>
        <v/>
      </c>
      <c r="AC1054" s="10">
        <f>LEFT(UPPER(H1054)&amp;REPT(" ",250),250)</f>
        <v/>
      </c>
      <c r="AD1054" s="10">
        <f>TEXT($G$2,"dd/mm/aaaa")</f>
        <v/>
      </c>
      <c r="AE1054" s="10">
        <f>REPT(" ",10)</f>
        <v/>
      </c>
      <c r="AF1054" s="10">
        <f>REPT(" ",20)</f>
        <v/>
      </c>
      <c r="AG1054" s="54">
        <f>REPT(" ",18-LEN(FIXED(F1054,2,TRUE)))&amp;FIXED(F1054,2,TRUE)</f>
        <v/>
      </c>
      <c r="AH1054" s="10">
        <f>LEN(AC1054)+LEN(AG1054)</f>
        <v/>
      </c>
      <c r="AI1054" s="10">
        <f>LEN(L1054)</f>
        <v/>
      </c>
    </row>
    <row r="1055">
      <c r="J1055" s="12">
        <f>IF(F1055&lt;&gt;0,"LANÇAR","")</f>
        <v/>
      </c>
      <c r="L1055" s="13">
        <f>N1055&amp;O1055&amp;P1055&amp;Q1055&amp;R1055&amp;S1055&amp;T1055&amp;U1055&amp;V1055&amp;W1055&amp;X1055&amp;Y1055&amp;Z1055&amp;AA1055&amp;AB1055&amp;AC1055&amp;AD1055&amp;AE1055&amp;AF1055&amp;AG1055</f>
        <v/>
      </c>
      <c r="N1055" s="10">
        <f>TEXT($B$6,"00")</f>
        <v/>
      </c>
      <c r="O1055" s="10">
        <f>REPT(" ",8)</f>
        <v/>
      </c>
      <c r="P1055" s="10">
        <f>RIGHT($B$4,2)</f>
        <v/>
      </c>
      <c r="Q1055" s="10">
        <f>RIGHT($B$5,3)</f>
        <v/>
      </c>
      <c r="R1055" s="10">
        <f>IF(A1055="D",LEFT(UPPER(B1055)&amp;REPT(" ",20),20),REPT(" ",20))</f>
        <v/>
      </c>
      <c r="S1055" s="10">
        <f>IF(A1055="D",LEFT(UPPER(C1055)&amp;REPT(" ",10),10)," ")</f>
        <v/>
      </c>
      <c r="T1055" s="10">
        <f>IF(A1055="D",LEFT(UPPER(D1055)&amp;REPT(" ",2),2)," ")</f>
        <v/>
      </c>
      <c r="U1055" s="10">
        <f>IF(A1055="D",LEFT(UPPER(E1055)&amp;REPT(" ",15),15)," ")</f>
        <v/>
      </c>
      <c r="V1055" s="10">
        <f>REPT(" ",24)</f>
        <v/>
      </c>
      <c r="W1055" s="10">
        <f>IF(A1055="c",LEFT(UPPER(B1055)&amp;REPT(" ",20),20),REPT(" ",20))</f>
        <v/>
      </c>
      <c r="X1055" s="10">
        <f>IF(A1055="C",LEFT(UPPER(C1055)&amp;REPT(" ",10),10)," ")</f>
        <v/>
      </c>
      <c r="Y1055" s="10">
        <f>IF(A1055="C",LEFT(UPPER(D1055)&amp;REPT(" ",2),2)," ")</f>
        <v/>
      </c>
      <c r="Z1055" s="10">
        <f>IF(A1055="C",LEFT(UPPER(E1055)&amp;REPT(" ",15),15)," ")</f>
        <v/>
      </c>
      <c r="AA1055" s="10">
        <f>REPT(" ",8)</f>
        <v/>
      </c>
      <c r="AB1055" s="10">
        <f>REPT(" ",4)</f>
        <v/>
      </c>
      <c r="AC1055" s="10">
        <f>LEFT(UPPER(H1055)&amp;REPT(" ",250),250)</f>
        <v/>
      </c>
      <c r="AD1055" s="10">
        <f>TEXT($G$2,"dd/mm/aaaa")</f>
        <v/>
      </c>
      <c r="AE1055" s="10">
        <f>REPT(" ",10)</f>
        <v/>
      </c>
      <c r="AF1055" s="10">
        <f>REPT(" ",20)</f>
        <v/>
      </c>
      <c r="AG1055" s="54">
        <f>REPT(" ",18-LEN(FIXED(F1055,2,TRUE)))&amp;FIXED(F1055,2,TRUE)</f>
        <v/>
      </c>
      <c r="AH1055" s="10">
        <f>LEN(AC1055)+LEN(AG1055)</f>
        <v/>
      </c>
      <c r="AI1055" s="10">
        <f>LEN(L1055)</f>
        <v/>
      </c>
    </row>
    <row r="1056">
      <c r="J1056" s="12">
        <f>IF(F1056&lt;&gt;0,"LANÇAR","")</f>
        <v/>
      </c>
      <c r="L1056" s="13">
        <f>N1056&amp;O1056&amp;P1056&amp;Q1056&amp;R1056&amp;S1056&amp;T1056&amp;U1056&amp;V1056&amp;W1056&amp;X1056&amp;Y1056&amp;Z1056&amp;AA1056&amp;AB1056&amp;AC1056&amp;AD1056&amp;AE1056&amp;AF1056&amp;AG1056</f>
        <v/>
      </c>
      <c r="N1056" s="10">
        <f>TEXT($B$6,"00")</f>
        <v/>
      </c>
      <c r="O1056" s="10">
        <f>REPT(" ",8)</f>
        <v/>
      </c>
      <c r="P1056" s="10">
        <f>RIGHT($B$4,2)</f>
        <v/>
      </c>
      <c r="Q1056" s="10">
        <f>RIGHT($B$5,3)</f>
        <v/>
      </c>
      <c r="R1056" s="10">
        <f>IF(A1056="D",LEFT(UPPER(B1056)&amp;REPT(" ",20),20),REPT(" ",20))</f>
        <v/>
      </c>
      <c r="S1056" s="10">
        <f>IF(A1056="D",LEFT(UPPER(C1056)&amp;REPT(" ",10),10)," ")</f>
        <v/>
      </c>
      <c r="T1056" s="10">
        <f>IF(A1056="D",LEFT(UPPER(D1056)&amp;REPT(" ",2),2)," ")</f>
        <v/>
      </c>
      <c r="U1056" s="10">
        <f>IF(A1056="D",LEFT(UPPER(E1056)&amp;REPT(" ",15),15)," ")</f>
        <v/>
      </c>
      <c r="V1056" s="10">
        <f>REPT(" ",24)</f>
        <v/>
      </c>
      <c r="W1056" s="10">
        <f>IF(A1056="c",LEFT(UPPER(B1056)&amp;REPT(" ",20),20),REPT(" ",20))</f>
        <v/>
      </c>
      <c r="X1056" s="10">
        <f>IF(A1056="C",LEFT(UPPER(C1056)&amp;REPT(" ",10),10)," ")</f>
        <v/>
      </c>
      <c r="Y1056" s="10">
        <f>IF(A1056="C",LEFT(UPPER(D1056)&amp;REPT(" ",2),2)," ")</f>
        <v/>
      </c>
      <c r="Z1056" s="10">
        <f>IF(A1056="C",LEFT(UPPER(E1056)&amp;REPT(" ",15),15)," ")</f>
        <v/>
      </c>
      <c r="AA1056" s="10">
        <f>REPT(" ",8)</f>
        <v/>
      </c>
      <c r="AB1056" s="10">
        <f>REPT(" ",4)</f>
        <v/>
      </c>
      <c r="AC1056" s="10">
        <f>LEFT(UPPER(H1056)&amp;REPT(" ",250),250)</f>
        <v/>
      </c>
      <c r="AD1056" s="10">
        <f>TEXT($G$2,"dd/mm/aaaa")</f>
        <v/>
      </c>
      <c r="AE1056" s="10">
        <f>REPT(" ",10)</f>
        <v/>
      </c>
      <c r="AF1056" s="10">
        <f>REPT(" ",20)</f>
        <v/>
      </c>
      <c r="AG1056" s="54">
        <f>REPT(" ",18-LEN(FIXED(F1056,2,TRUE)))&amp;FIXED(F1056,2,TRUE)</f>
        <v/>
      </c>
      <c r="AH1056" s="10">
        <f>LEN(AC1056)+LEN(AG1056)</f>
        <v/>
      </c>
      <c r="AI1056" s="10">
        <f>LEN(L1056)</f>
        <v/>
      </c>
    </row>
    <row r="1057">
      <c r="J1057" s="12">
        <f>IF(F1057&lt;&gt;0,"LANÇAR","")</f>
        <v/>
      </c>
      <c r="L1057" s="13">
        <f>N1057&amp;O1057&amp;P1057&amp;Q1057&amp;R1057&amp;S1057&amp;T1057&amp;U1057&amp;V1057&amp;W1057&amp;X1057&amp;Y1057&amp;Z1057&amp;AA1057&amp;AB1057&amp;AC1057&amp;AD1057&amp;AE1057&amp;AF1057&amp;AG1057</f>
        <v/>
      </c>
      <c r="N1057" s="10">
        <f>TEXT($B$6,"00")</f>
        <v/>
      </c>
      <c r="O1057" s="10">
        <f>REPT(" ",8)</f>
        <v/>
      </c>
      <c r="P1057" s="10">
        <f>RIGHT($B$4,2)</f>
        <v/>
      </c>
      <c r="Q1057" s="10">
        <f>RIGHT($B$5,3)</f>
        <v/>
      </c>
      <c r="R1057" s="10">
        <f>IF(A1057="D",LEFT(UPPER(B1057)&amp;REPT(" ",20),20),REPT(" ",20))</f>
        <v/>
      </c>
      <c r="S1057" s="10">
        <f>IF(A1057="D",LEFT(UPPER(C1057)&amp;REPT(" ",10),10)," ")</f>
        <v/>
      </c>
      <c r="T1057" s="10">
        <f>IF(A1057="D",LEFT(UPPER(D1057)&amp;REPT(" ",2),2)," ")</f>
        <v/>
      </c>
      <c r="U1057" s="10">
        <f>IF(A1057="D",LEFT(UPPER(E1057)&amp;REPT(" ",15),15)," ")</f>
        <v/>
      </c>
      <c r="V1057" s="10">
        <f>REPT(" ",24)</f>
        <v/>
      </c>
      <c r="W1057" s="10">
        <f>IF(A1057="c",LEFT(UPPER(B1057)&amp;REPT(" ",20),20),REPT(" ",20))</f>
        <v/>
      </c>
      <c r="X1057" s="10">
        <f>IF(A1057="C",LEFT(UPPER(C1057)&amp;REPT(" ",10),10)," ")</f>
        <v/>
      </c>
      <c r="Y1057" s="10">
        <f>IF(A1057="C",LEFT(UPPER(D1057)&amp;REPT(" ",2),2)," ")</f>
        <v/>
      </c>
      <c r="Z1057" s="10">
        <f>IF(A1057="C",LEFT(UPPER(E1057)&amp;REPT(" ",15),15)," ")</f>
        <v/>
      </c>
      <c r="AA1057" s="10">
        <f>REPT(" ",8)</f>
        <v/>
      </c>
      <c r="AB1057" s="10">
        <f>REPT(" ",4)</f>
        <v/>
      </c>
      <c r="AC1057" s="10">
        <f>LEFT(UPPER(H1057)&amp;REPT(" ",250),250)</f>
        <v/>
      </c>
      <c r="AD1057" s="10">
        <f>TEXT($G$2,"dd/mm/aaaa")</f>
        <v/>
      </c>
      <c r="AE1057" s="10">
        <f>REPT(" ",10)</f>
        <v/>
      </c>
      <c r="AF1057" s="10">
        <f>REPT(" ",20)</f>
        <v/>
      </c>
      <c r="AG1057" s="54">
        <f>REPT(" ",18-LEN(FIXED(F1057,2,TRUE)))&amp;FIXED(F1057,2,TRUE)</f>
        <v/>
      </c>
      <c r="AH1057" s="10">
        <f>LEN(AC1057)+LEN(AG1057)</f>
        <v/>
      </c>
      <c r="AI1057" s="10">
        <f>LEN(L1057)</f>
        <v/>
      </c>
    </row>
    <row r="1058">
      <c r="J1058" s="12">
        <f>IF(F1058&lt;&gt;0,"LANÇAR","")</f>
        <v/>
      </c>
      <c r="L1058" s="13">
        <f>N1058&amp;O1058&amp;P1058&amp;Q1058&amp;R1058&amp;S1058&amp;T1058&amp;U1058&amp;V1058&amp;W1058&amp;X1058&amp;Y1058&amp;Z1058&amp;AA1058&amp;AB1058&amp;AC1058&amp;AD1058&amp;AE1058&amp;AF1058&amp;AG1058</f>
        <v/>
      </c>
      <c r="N1058" s="10">
        <f>TEXT($B$6,"00")</f>
        <v/>
      </c>
      <c r="O1058" s="10">
        <f>REPT(" ",8)</f>
        <v/>
      </c>
      <c r="P1058" s="10">
        <f>RIGHT($B$4,2)</f>
        <v/>
      </c>
      <c r="Q1058" s="10">
        <f>RIGHT($B$5,3)</f>
        <v/>
      </c>
      <c r="R1058" s="10">
        <f>IF(A1058="D",LEFT(UPPER(B1058)&amp;REPT(" ",20),20),REPT(" ",20))</f>
        <v/>
      </c>
      <c r="S1058" s="10">
        <f>IF(A1058="D",LEFT(UPPER(C1058)&amp;REPT(" ",10),10)," ")</f>
        <v/>
      </c>
      <c r="T1058" s="10">
        <f>IF(A1058="D",LEFT(UPPER(D1058)&amp;REPT(" ",2),2)," ")</f>
        <v/>
      </c>
      <c r="U1058" s="10">
        <f>IF(A1058="D",LEFT(UPPER(E1058)&amp;REPT(" ",15),15)," ")</f>
        <v/>
      </c>
      <c r="V1058" s="10">
        <f>REPT(" ",24)</f>
        <v/>
      </c>
      <c r="W1058" s="10">
        <f>IF(A1058="c",LEFT(UPPER(B1058)&amp;REPT(" ",20),20),REPT(" ",20))</f>
        <v/>
      </c>
      <c r="X1058" s="10">
        <f>IF(A1058="C",LEFT(UPPER(C1058)&amp;REPT(" ",10),10)," ")</f>
        <v/>
      </c>
      <c r="Y1058" s="10">
        <f>IF(A1058="C",LEFT(UPPER(D1058)&amp;REPT(" ",2),2)," ")</f>
        <v/>
      </c>
      <c r="Z1058" s="10">
        <f>IF(A1058="C",LEFT(UPPER(E1058)&amp;REPT(" ",15),15)," ")</f>
        <v/>
      </c>
      <c r="AA1058" s="10">
        <f>REPT(" ",8)</f>
        <v/>
      </c>
      <c r="AB1058" s="10">
        <f>REPT(" ",4)</f>
        <v/>
      </c>
      <c r="AC1058" s="10">
        <f>LEFT(UPPER(H1058)&amp;REPT(" ",250),250)</f>
        <v/>
      </c>
      <c r="AD1058" s="10">
        <f>TEXT($G$2,"dd/mm/aaaa")</f>
        <v/>
      </c>
      <c r="AE1058" s="10">
        <f>REPT(" ",10)</f>
        <v/>
      </c>
      <c r="AF1058" s="10">
        <f>REPT(" ",20)</f>
        <v/>
      </c>
      <c r="AG1058" s="54">
        <f>REPT(" ",18-LEN(FIXED(F1058,2,TRUE)))&amp;FIXED(F1058,2,TRUE)</f>
        <v/>
      </c>
      <c r="AH1058" s="10">
        <f>LEN(AC1058)+LEN(AG1058)</f>
        <v/>
      </c>
      <c r="AI1058" s="10">
        <f>LEN(L1058)</f>
        <v/>
      </c>
    </row>
    <row r="1059">
      <c r="J1059" s="12">
        <f>IF(F1059&lt;&gt;0,"LANÇAR","")</f>
        <v/>
      </c>
      <c r="L1059" s="13">
        <f>N1059&amp;O1059&amp;P1059&amp;Q1059&amp;R1059&amp;S1059&amp;T1059&amp;U1059&amp;V1059&amp;W1059&amp;X1059&amp;Y1059&amp;Z1059&amp;AA1059&amp;AB1059&amp;AC1059&amp;AD1059&amp;AE1059&amp;AF1059&amp;AG1059</f>
        <v/>
      </c>
      <c r="N1059" s="10">
        <f>TEXT($B$6,"00")</f>
        <v/>
      </c>
      <c r="O1059" s="10">
        <f>REPT(" ",8)</f>
        <v/>
      </c>
      <c r="P1059" s="10">
        <f>RIGHT($B$4,2)</f>
        <v/>
      </c>
      <c r="Q1059" s="10">
        <f>RIGHT($B$5,3)</f>
        <v/>
      </c>
      <c r="R1059" s="10">
        <f>IF(A1059="D",LEFT(UPPER(B1059)&amp;REPT(" ",20),20),REPT(" ",20))</f>
        <v/>
      </c>
      <c r="S1059" s="10">
        <f>IF(A1059="D",LEFT(UPPER(C1059)&amp;REPT(" ",10),10)," ")</f>
        <v/>
      </c>
      <c r="T1059" s="10">
        <f>IF(A1059="D",LEFT(UPPER(D1059)&amp;REPT(" ",2),2)," ")</f>
        <v/>
      </c>
      <c r="U1059" s="10">
        <f>IF(A1059="D",LEFT(UPPER(E1059)&amp;REPT(" ",15),15)," ")</f>
        <v/>
      </c>
      <c r="V1059" s="10">
        <f>REPT(" ",24)</f>
        <v/>
      </c>
      <c r="W1059" s="10">
        <f>IF(A1059="c",LEFT(UPPER(B1059)&amp;REPT(" ",20),20),REPT(" ",20))</f>
        <v/>
      </c>
      <c r="X1059" s="10">
        <f>IF(A1059="C",LEFT(UPPER(C1059)&amp;REPT(" ",10),10)," ")</f>
        <v/>
      </c>
      <c r="Y1059" s="10">
        <f>IF(A1059="C",LEFT(UPPER(D1059)&amp;REPT(" ",2),2)," ")</f>
        <v/>
      </c>
      <c r="Z1059" s="10">
        <f>IF(A1059="C",LEFT(UPPER(E1059)&amp;REPT(" ",15),15)," ")</f>
        <v/>
      </c>
      <c r="AA1059" s="10">
        <f>REPT(" ",8)</f>
        <v/>
      </c>
      <c r="AB1059" s="10">
        <f>REPT(" ",4)</f>
        <v/>
      </c>
      <c r="AC1059" s="10">
        <f>LEFT(UPPER(H1059)&amp;REPT(" ",250),250)</f>
        <v/>
      </c>
      <c r="AD1059" s="10">
        <f>TEXT($G$2,"dd/mm/aaaa")</f>
        <v/>
      </c>
      <c r="AE1059" s="10">
        <f>REPT(" ",10)</f>
        <v/>
      </c>
      <c r="AF1059" s="10">
        <f>REPT(" ",20)</f>
        <v/>
      </c>
      <c r="AG1059" s="54">
        <f>REPT(" ",18-LEN(FIXED(F1059,2,TRUE)))&amp;FIXED(F1059,2,TRUE)</f>
        <v/>
      </c>
      <c r="AH1059" s="10">
        <f>LEN(AC1059)+LEN(AG1059)</f>
        <v/>
      </c>
      <c r="AI1059" s="10">
        <f>LEN(L1059)</f>
        <v/>
      </c>
    </row>
    <row r="1060">
      <c r="J1060" s="12">
        <f>IF(F1060&lt;&gt;0,"LANÇAR","")</f>
        <v/>
      </c>
      <c r="L1060" s="13">
        <f>N1060&amp;O1060&amp;P1060&amp;Q1060&amp;R1060&amp;S1060&amp;T1060&amp;U1060&amp;V1060&amp;W1060&amp;X1060&amp;Y1060&amp;Z1060&amp;AA1060&amp;AB1060&amp;AC1060&amp;AD1060&amp;AE1060&amp;AF1060&amp;AG1060</f>
        <v/>
      </c>
      <c r="N1060" s="10">
        <f>TEXT($B$6,"00")</f>
        <v/>
      </c>
      <c r="O1060" s="10">
        <f>REPT(" ",8)</f>
        <v/>
      </c>
      <c r="P1060" s="10">
        <f>RIGHT($B$4,2)</f>
        <v/>
      </c>
      <c r="Q1060" s="10">
        <f>RIGHT($B$5,3)</f>
        <v/>
      </c>
      <c r="R1060" s="10">
        <f>IF(A1060="D",LEFT(UPPER(B1060)&amp;REPT(" ",20),20),REPT(" ",20))</f>
        <v/>
      </c>
      <c r="S1060" s="10">
        <f>IF(A1060="D",LEFT(UPPER(C1060)&amp;REPT(" ",10),10)," ")</f>
        <v/>
      </c>
      <c r="T1060" s="10">
        <f>IF(A1060="D",LEFT(UPPER(D1060)&amp;REPT(" ",2),2)," ")</f>
        <v/>
      </c>
      <c r="U1060" s="10">
        <f>IF(A1060="D",LEFT(UPPER(E1060)&amp;REPT(" ",15),15)," ")</f>
        <v/>
      </c>
      <c r="V1060" s="10">
        <f>REPT(" ",24)</f>
        <v/>
      </c>
      <c r="W1060" s="10">
        <f>IF(A1060="c",LEFT(UPPER(B1060)&amp;REPT(" ",20),20),REPT(" ",20))</f>
        <v/>
      </c>
      <c r="X1060" s="10">
        <f>IF(A1060="C",LEFT(UPPER(C1060)&amp;REPT(" ",10),10)," ")</f>
        <v/>
      </c>
      <c r="Y1060" s="10">
        <f>IF(A1060="C",LEFT(UPPER(D1060)&amp;REPT(" ",2),2)," ")</f>
        <v/>
      </c>
      <c r="Z1060" s="10">
        <f>IF(A1060="C",LEFT(UPPER(E1060)&amp;REPT(" ",15),15)," ")</f>
        <v/>
      </c>
      <c r="AA1060" s="10">
        <f>REPT(" ",8)</f>
        <v/>
      </c>
      <c r="AB1060" s="10">
        <f>REPT(" ",4)</f>
        <v/>
      </c>
      <c r="AC1060" s="10">
        <f>LEFT(UPPER(H1060)&amp;REPT(" ",250),250)</f>
        <v/>
      </c>
      <c r="AD1060" s="10">
        <f>TEXT($G$2,"dd/mm/aaaa")</f>
        <v/>
      </c>
      <c r="AE1060" s="10">
        <f>REPT(" ",10)</f>
        <v/>
      </c>
      <c r="AF1060" s="10">
        <f>REPT(" ",20)</f>
        <v/>
      </c>
      <c r="AG1060" s="54">
        <f>REPT(" ",18-LEN(FIXED(F1060,2,TRUE)))&amp;FIXED(F1060,2,TRUE)</f>
        <v/>
      </c>
      <c r="AH1060" s="10">
        <f>LEN(AC1060)+LEN(AG1060)</f>
        <v/>
      </c>
      <c r="AI1060" s="10">
        <f>LEN(L1060)</f>
        <v/>
      </c>
    </row>
    <row r="1061">
      <c r="J1061" s="12">
        <f>IF(F1061&lt;&gt;0,"LANÇAR","")</f>
        <v/>
      </c>
      <c r="L1061" s="13">
        <f>N1061&amp;O1061&amp;P1061&amp;Q1061&amp;R1061&amp;S1061&amp;T1061&amp;U1061&amp;V1061&amp;W1061&amp;X1061&amp;Y1061&amp;Z1061&amp;AA1061&amp;AB1061&amp;AC1061&amp;AD1061&amp;AE1061&amp;AF1061&amp;AG1061</f>
        <v/>
      </c>
      <c r="N1061" s="10">
        <f>TEXT($B$6,"00")</f>
        <v/>
      </c>
      <c r="O1061" s="10">
        <f>REPT(" ",8)</f>
        <v/>
      </c>
      <c r="P1061" s="10">
        <f>RIGHT($B$4,2)</f>
        <v/>
      </c>
      <c r="Q1061" s="10">
        <f>RIGHT($B$5,3)</f>
        <v/>
      </c>
      <c r="R1061" s="10">
        <f>IF(A1061="D",LEFT(UPPER(B1061)&amp;REPT(" ",20),20),REPT(" ",20))</f>
        <v/>
      </c>
      <c r="S1061" s="10">
        <f>IF(A1061="D",LEFT(UPPER(C1061)&amp;REPT(" ",10),10)," ")</f>
        <v/>
      </c>
      <c r="T1061" s="10">
        <f>IF(A1061="D",LEFT(UPPER(D1061)&amp;REPT(" ",2),2)," ")</f>
        <v/>
      </c>
      <c r="U1061" s="10">
        <f>IF(A1061="D",LEFT(UPPER(E1061)&amp;REPT(" ",15),15)," ")</f>
        <v/>
      </c>
      <c r="V1061" s="10">
        <f>REPT(" ",24)</f>
        <v/>
      </c>
      <c r="W1061" s="10">
        <f>IF(A1061="c",LEFT(UPPER(B1061)&amp;REPT(" ",20),20),REPT(" ",20))</f>
        <v/>
      </c>
      <c r="X1061" s="10">
        <f>IF(A1061="C",LEFT(UPPER(C1061)&amp;REPT(" ",10),10)," ")</f>
        <v/>
      </c>
      <c r="Y1061" s="10">
        <f>IF(A1061="C",LEFT(UPPER(D1061)&amp;REPT(" ",2),2)," ")</f>
        <v/>
      </c>
      <c r="Z1061" s="10">
        <f>IF(A1061="C",LEFT(UPPER(E1061)&amp;REPT(" ",15),15)," ")</f>
        <v/>
      </c>
      <c r="AA1061" s="10">
        <f>REPT(" ",8)</f>
        <v/>
      </c>
      <c r="AB1061" s="10">
        <f>REPT(" ",4)</f>
        <v/>
      </c>
      <c r="AC1061" s="10">
        <f>LEFT(UPPER(H1061)&amp;REPT(" ",250),250)</f>
        <v/>
      </c>
      <c r="AD1061" s="10">
        <f>TEXT($G$2,"dd/mm/aaaa")</f>
        <v/>
      </c>
      <c r="AE1061" s="10">
        <f>REPT(" ",10)</f>
        <v/>
      </c>
      <c r="AF1061" s="10">
        <f>REPT(" ",20)</f>
        <v/>
      </c>
      <c r="AG1061" s="54">
        <f>REPT(" ",18-LEN(FIXED(F1061,2,TRUE)))&amp;FIXED(F1061,2,TRUE)</f>
        <v/>
      </c>
      <c r="AH1061" s="10">
        <f>LEN(AC1061)+LEN(AG1061)</f>
        <v/>
      </c>
      <c r="AI1061" s="10">
        <f>LEN(L1061)</f>
        <v/>
      </c>
    </row>
    <row r="1062">
      <c r="J1062" s="12">
        <f>IF(F1062&lt;&gt;0,"LANÇAR","")</f>
        <v/>
      </c>
      <c r="L1062" s="13">
        <f>N1062&amp;O1062&amp;P1062&amp;Q1062&amp;R1062&amp;S1062&amp;T1062&amp;U1062&amp;V1062&amp;W1062&amp;X1062&amp;Y1062&amp;Z1062&amp;AA1062&amp;AB1062&amp;AC1062&amp;AD1062&amp;AE1062&amp;AF1062&amp;AG1062</f>
        <v/>
      </c>
      <c r="N1062" s="10">
        <f>TEXT($B$6,"00")</f>
        <v/>
      </c>
      <c r="O1062" s="10">
        <f>REPT(" ",8)</f>
        <v/>
      </c>
      <c r="P1062" s="10">
        <f>RIGHT($B$4,2)</f>
        <v/>
      </c>
      <c r="Q1062" s="10">
        <f>RIGHT($B$5,3)</f>
        <v/>
      </c>
      <c r="R1062" s="10">
        <f>IF(A1062="D",LEFT(UPPER(B1062)&amp;REPT(" ",20),20),REPT(" ",20))</f>
        <v/>
      </c>
      <c r="S1062" s="10">
        <f>IF(A1062="D",LEFT(UPPER(C1062)&amp;REPT(" ",10),10)," ")</f>
        <v/>
      </c>
      <c r="T1062" s="10">
        <f>IF(A1062="D",LEFT(UPPER(D1062)&amp;REPT(" ",2),2)," ")</f>
        <v/>
      </c>
      <c r="U1062" s="10">
        <f>IF(A1062="D",LEFT(UPPER(E1062)&amp;REPT(" ",15),15)," ")</f>
        <v/>
      </c>
      <c r="V1062" s="10">
        <f>REPT(" ",24)</f>
        <v/>
      </c>
      <c r="W1062" s="10">
        <f>IF(A1062="c",LEFT(UPPER(B1062)&amp;REPT(" ",20),20),REPT(" ",20))</f>
        <v/>
      </c>
      <c r="X1062" s="10">
        <f>IF(A1062="C",LEFT(UPPER(C1062)&amp;REPT(" ",10),10)," ")</f>
        <v/>
      </c>
      <c r="Y1062" s="10">
        <f>IF(A1062="C",LEFT(UPPER(D1062)&amp;REPT(" ",2),2)," ")</f>
        <v/>
      </c>
      <c r="Z1062" s="10">
        <f>IF(A1062="C",LEFT(UPPER(E1062)&amp;REPT(" ",15),15)," ")</f>
        <v/>
      </c>
      <c r="AA1062" s="10">
        <f>REPT(" ",8)</f>
        <v/>
      </c>
      <c r="AB1062" s="10">
        <f>REPT(" ",4)</f>
        <v/>
      </c>
      <c r="AC1062" s="10">
        <f>LEFT(UPPER(H1062)&amp;REPT(" ",250),250)</f>
        <v/>
      </c>
      <c r="AD1062" s="10">
        <f>TEXT($G$2,"dd/mm/aaaa")</f>
        <v/>
      </c>
      <c r="AE1062" s="10">
        <f>REPT(" ",10)</f>
        <v/>
      </c>
      <c r="AF1062" s="10">
        <f>REPT(" ",20)</f>
        <v/>
      </c>
      <c r="AG1062" s="54">
        <f>REPT(" ",18-LEN(FIXED(F1062,2,TRUE)))&amp;FIXED(F1062,2,TRUE)</f>
        <v/>
      </c>
      <c r="AH1062" s="10">
        <f>LEN(AC1062)+LEN(AG1062)</f>
        <v/>
      </c>
      <c r="AI1062" s="10">
        <f>LEN(L1062)</f>
        <v/>
      </c>
    </row>
    <row r="1063">
      <c r="J1063" s="12">
        <f>IF(F1063&lt;&gt;0,"LANÇAR","")</f>
        <v/>
      </c>
      <c r="L1063" s="13">
        <f>N1063&amp;O1063&amp;P1063&amp;Q1063&amp;R1063&amp;S1063&amp;T1063&amp;U1063&amp;V1063&amp;W1063&amp;X1063&amp;Y1063&amp;Z1063&amp;AA1063&amp;AB1063&amp;AC1063&amp;AD1063&amp;AE1063&amp;AF1063&amp;AG1063</f>
        <v/>
      </c>
      <c r="N1063" s="10">
        <f>TEXT($B$6,"00")</f>
        <v/>
      </c>
      <c r="O1063" s="10">
        <f>REPT(" ",8)</f>
        <v/>
      </c>
      <c r="P1063" s="10">
        <f>RIGHT($B$4,2)</f>
        <v/>
      </c>
      <c r="Q1063" s="10">
        <f>RIGHT($B$5,3)</f>
        <v/>
      </c>
      <c r="R1063" s="10">
        <f>IF(A1063="D",LEFT(UPPER(B1063)&amp;REPT(" ",20),20),REPT(" ",20))</f>
        <v/>
      </c>
      <c r="S1063" s="10">
        <f>IF(A1063="D",LEFT(UPPER(C1063)&amp;REPT(" ",10),10)," ")</f>
        <v/>
      </c>
      <c r="T1063" s="10">
        <f>IF(A1063="D",LEFT(UPPER(D1063)&amp;REPT(" ",2),2)," ")</f>
        <v/>
      </c>
      <c r="U1063" s="10">
        <f>IF(A1063="D",LEFT(UPPER(E1063)&amp;REPT(" ",15),15)," ")</f>
        <v/>
      </c>
      <c r="V1063" s="10">
        <f>REPT(" ",24)</f>
        <v/>
      </c>
      <c r="W1063" s="10">
        <f>IF(A1063="c",LEFT(UPPER(B1063)&amp;REPT(" ",20),20),REPT(" ",20))</f>
        <v/>
      </c>
      <c r="X1063" s="10">
        <f>IF(A1063="C",LEFT(UPPER(C1063)&amp;REPT(" ",10),10)," ")</f>
        <v/>
      </c>
      <c r="Y1063" s="10">
        <f>IF(A1063="C",LEFT(UPPER(D1063)&amp;REPT(" ",2),2)," ")</f>
        <v/>
      </c>
      <c r="Z1063" s="10">
        <f>IF(A1063="C",LEFT(UPPER(E1063)&amp;REPT(" ",15),15)," ")</f>
        <v/>
      </c>
      <c r="AA1063" s="10">
        <f>REPT(" ",8)</f>
        <v/>
      </c>
      <c r="AB1063" s="10">
        <f>REPT(" ",4)</f>
        <v/>
      </c>
      <c r="AC1063" s="10">
        <f>LEFT(UPPER(H1063)&amp;REPT(" ",250),250)</f>
        <v/>
      </c>
      <c r="AD1063" s="10">
        <f>TEXT($G$2,"dd/mm/aaaa")</f>
        <v/>
      </c>
      <c r="AE1063" s="10">
        <f>REPT(" ",10)</f>
        <v/>
      </c>
      <c r="AF1063" s="10">
        <f>REPT(" ",20)</f>
        <v/>
      </c>
      <c r="AG1063" s="54">
        <f>REPT(" ",18-LEN(FIXED(F1063,2,TRUE)))&amp;FIXED(F1063,2,TRUE)</f>
        <v/>
      </c>
      <c r="AH1063" s="10">
        <f>LEN(AC1063)+LEN(AG1063)</f>
        <v/>
      </c>
      <c r="AI1063" s="10">
        <f>LEN(L1063)</f>
        <v/>
      </c>
    </row>
    <row r="1064">
      <c r="J1064" s="12">
        <f>IF(F1064&lt;&gt;0,"LANÇAR","")</f>
        <v/>
      </c>
      <c r="L1064" s="13">
        <f>N1064&amp;O1064&amp;P1064&amp;Q1064&amp;R1064&amp;S1064&amp;T1064&amp;U1064&amp;V1064&amp;W1064&amp;X1064&amp;Y1064&amp;Z1064&amp;AA1064&amp;AB1064&amp;AC1064&amp;AD1064&amp;AE1064&amp;AF1064&amp;AG1064</f>
        <v/>
      </c>
      <c r="N1064" s="10">
        <f>TEXT($B$6,"00")</f>
        <v/>
      </c>
      <c r="O1064" s="10">
        <f>REPT(" ",8)</f>
        <v/>
      </c>
      <c r="P1064" s="10">
        <f>RIGHT($B$4,2)</f>
        <v/>
      </c>
      <c r="Q1064" s="10">
        <f>RIGHT($B$5,3)</f>
        <v/>
      </c>
      <c r="R1064" s="10">
        <f>IF(A1064="D",LEFT(UPPER(B1064)&amp;REPT(" ",20),20),REPT(" ",20))</f>
        <v/>
      </c>
      <c r="S1064" s="10">
        <f>IF(A1064="D",LEFT(UPPER(C1064)&amp;REPT(" ",10),10)," ")</f>
        <v/>
      </c>
      <c r="T1064" s="10">
        <f>IF(A1064="D",LEFT(UPPER(D1064)&amp;REPT(" ",2),2)," ")</f>
        <v/>
      </c>
      <c r="U1064" s="10">
        <f>IF(A1064="D",LEFT(UPPER(E1064)&amp;REPT(" ",15),15)," ")</f>
        <v/>
      </c>
      <c r="V1064" s="10">
        <f>REPT(" ",24)</f>
        <v/>
      </c>
      <c r="W1064" s="10">
        <f>IF(A1064="c",LEFT(UPPER(B1064)&amp;REPT(" ",20),20),REPT(" ",20))</f>
        <v/>
      </c>
      <c r="X1064" s="10">
        <f>IF(A1064="C",LEFT(UPPER(C1064)&amp;REPT(" ",10),10)," ")</f>
        <v/>
      </c>
      <c r="Y1064" s="10">
        <f>IF(A1064="C",LEFT(UPPER(D1064)&amp;REPT(" ",2),2)," ")</f>
        <v/>
      </c>
      <c r="Z1064" s="10">
        <f>IF(A1064="C",LEFT(UPPER(E1064)&amp;REPT(" ",15),15)," ")</f>
        <v/>
      </c>
      <c r="AA1064" s="10">
        <f>REPT(" ",8)</f>
        <v/>
      </c>
      <c r="AB1064" s="10">
        <f>REPT(" ",4)</f>
        <v/>
      </c>
      <c r="AC1064" s="10">
        <f>LEFT(UPPER(H1064)&amp;REPT(" ",250),250)</f>
        <v/>
      </c>
      <c r="AD1064" s="10">
        <f>TEXT($G$2,"dd/mm/aaaa")</f>
        <v/>
      </c>
      <c r="AE1064" s="10">
        <f>REPT(" ",10)</f>
        <v/>
      </c>
      <c r="AF1064" s="10">
        <f>REPT(" ",20)</f>
        <v/>
      </c>
      <c r="AG1064" s="54">
        <f>REPT(" ",18-LEN(FIXED(F1064,2,TRUE)))&amp;FIXED(F1064,2,TRUE)</f>
        <v/>
      </c>
      <c r="AH1064" s="10">
        <f>LEN(AC1064)+LEN(AG1064)</f>
        <v/>
      </c>
      <c r="AI1064" s="10">
        <f>LEN(L1064)</f>
        <v/>
      </c>
    </row>
    <row r="1065">
      <c r="J1065" s="12">
        <f>IF(F1065&lt;&gt;0,"LANÇAR","")</f>
        <v/>
      </c>
      <c r="L1065" s="13">
        <f>N1065&amp;O1065&amp;P1065&amp;Q1065&amp;R1065&amp;S1065&amp;T1065&amp;U1065&amp;V1065&amp;W1065&amp;X1065&amp;Y1065&amp;Z1065&amp;AA1065&amp;AB1065&amp;AC1065&amp;AD1065&amp;AE1065&amp;AF1065&amp;AG1065</f>
        <v/>
      </c>
      <c r="N1065" s="10">
        <f>TEXT($B$6,"00")</f>
        <v/>
      </c>
      <c r="O1065" s="10">
        <f>REPT(" ",8)</f>
        <v/>
      </c>
      <c r="P1065" s="10">
        <f>RIGHT($B$4,2)</f>
        <v/>
      </c>
      <c r="Q1065" s="10">
        <f>RIGHT($B$5,3)</f>
        <v/>
      </c>
      <c r="R1065" s="10">
        <f>IF(A1065="D",LEFT(UPPER(B1065)&amp;REPT(" ",20),20),REPT(" ",20))</f>
        <v/>
      </c>
      <c r="S1065" s="10">
        <f>IF(A1065="D",LEFT(UPPER(C1065)&amp;REPT(" ",10),10)," ")</f>
        <v/>
      </c>
      <c r="T1065" s="10">
        <f>IF(A1065="D",LEFT(UPPER(D1065)&amp;REPT(" ",2),2)," ")</f>
        <v/>
      </c>
      <c r="U1065" s="10">
        <f>IF(A1065="D",LEFT(UPPER(E1065)&amp;REPT(" ",15),15)," ")</f>
        <v/>
      </c>
      <c r="V1065" s="10">
        <f>REPT(" ",24)</f>
        <v/>
      </c>
      <c r="W1065" s="10">
        <f>IF(A1065="c",LEFT(UPPER(B1065)&amp;REPT(" ",20),20),REPT(" ",20))</f>
        <v/>
      </c>
      <c r="X1065" s="10">
        <f>IF(A1065="C",LEFT(UPPER(C1065)&amp;REPT(" ",10),10)," ")</f>
        <v/>
      </c>
      <c r="Y1065" s="10">
        <f>IF(A1065="C",LEFT(UPPER(D1065)&amp;REPT(" ",2),2)," ")</f>
        <v/>
      </c>
      <c r="Z1065" s="10">
        <f>IF(A1065="C",LEFT(UPPER(E1065)&amp;REPT(" ",15),15)," ")</f>
        <v/>
      </c>
      <c r="AA1065" s="10">
        <f>REPT(" ",8)</f>
        <v/>
      </c>
      <c r="AB1065" s="10">
        <f>REPT(" ",4)</f>
        <v/>
      </c>
      <c r="AC1065" s="10">
        <f>LEFT(UPPER(H1065)&amp;REPT(" ",250),250)</f>
        <v/>
      </c>
      <c r="AD1065" s="10">
        <f>TEXT($G$2,"dd/mm/aaaa")</f>
        <v/>
      </c>
      <c r="AE1065" s="10">
        <f>REPT(" ",10)</f>
        <v/>
      </c>
      <c r="AF1065" s="10">
        <f>REPT(" ",20)</f>
        <v/>
      </c>
      <c r="AG1065" s="54">
        <f>REPT(" ",18-LEN(FIXED(F1065,2,TRUE)))&amp;FIXED(F1065,2,TRUE)</f>
        <v/>
      </c>
      <c r="AH1065" s="10">
        <f>LEN(AC1065)+LEN(AG1065)</f>
        <v/>
      </c>
      <c r="AI1065" s="10">
        <f>LEN(L1065)</f>
        <v/>
      </c>
    </row>
    <row r="1066">
      <c r="J1066" s="12">
        <f>IF(F1066&lt;&gt;0,"LANÇAR","")</f>
        <v/>
      </c>
      <c r="L1066" s="13">
        <f>N1066&amp;O1066&amp;P1066&amp;Q1066&amp;R1066&amp;S1066&amp;T1066&amp;U1066&amp;V1066&amp;W1066&amp;X1066&amp;Y1066&amp;Z1066&amp;AA1066&amp;AB1066&amp;AC1066&amp;AD1066&amp;AE1066&amp;AF1066&amp;AG1066</f>
        <v/>
      </c>
      <c r="N1066" s="10">
        <f>TEXT($B$6,"00")</f>
        <v/>
      </c>
      <c r="O1066" s="10">
        <f>REPT(" ",8)</f>
        <v/>
      </c>
      <c r="P1066" s="10">
        <f>RIGHT($B$4,2)</f>
        <v/>
      </c>
      <c r="Q1066" s="10">
        <f>RIGHT($B$5,3)</f>
        <v/>
      </c>
      <c r="R1066" s="10">
        <f>IF(A1066="D",LEFT(UPPER(B1066)&amp;REPT(" ",20),20),REPT(" ",20))</f>
        <v/>
      </c>
      <c r="S1066" s="10">
        <f>IF(A1066="D",LEFT(UPPER(C1066)&amp;REPT(" ",10),10)," ")</f>
        <v/>
      </c>
      <c r="T1066" s="10">
        <f>IF(A1066="D",LEFT(UPPER(D1066)&amp;REPT(" ",2),2)," ")</f>
        <v/>
      </c>
      <c r="U1066" s="10">
        <f>IF(A1066="D",LEFT(UPPER(E1066)&amp;REPT(" ",15),15)," ")</f>
        <v/>
      </c>
      <c r="V1066" s="10">
        <f>REPT(" ",24)</f>
        <v/>
      </c>
      <c r="W1066" s="10">
        <f>IF(A1066="c",LEFT(UPPER(B1066)&amp;REPT(" ",20),20),REPT(" ",20))</f>
        <v/>
      </c>
      <c r="X1066" s="10">
        <f>IF(A1066="C",LEFT(UPPER(C1066)&amp;REPT(" ",10),10)," ")</f>
        <v/>
      </c>
      <c r="Y1066" s="10">
        <f>IF(A1066="C",LEFT(UPPER(D1066)&amp;REPT(" ",2),2)," ")</f>
        <v/>
      </c>
      <c r="Z1066" s="10">
        <f>IF(A1066="C",LEFT(UPPER(E1066)&amp;REPT(" ",15),15)," ")</f>
        <v/>
      </c>
      <c r="AA1066" s="10">
        <f>REPT(" ",8)</f>
        <v/>
      </c>
      <c r="AB1066" s="10">
        <f>REPT(" ",4)</f>
        <v/>
      </c>
      <c r="AC1066" s="10">
        <f>LEFT(UPPER(H1066)&amp;REPT(" ",250),250)</f>
        <v/>
      </c>
      <c r="AD1066" s="10">
        <f>TEXT($G$2,"dd/mm/aaaa")</f>
        <v/>
      </c>
      <c r="AE1066" s="10">
        <f>REPT(" ",10)</f>
        <v/>
      </c>
      <c r="AF1066" s="10">
        <f>REPT(" ",20)</f>
        <v/>
      </c>
      <c r="AG1066" s="54">
        <f>REPT(" ",18-LEN(FIXED(F1066,2,TRUE)))&amp;FIXED(F1066,2,TRUE)</f>
        <v/>
      </c>
      <c r="AH1066" s="10">
        <f>LEN(AC1066)+LEN(AG1066)</f>
        <v/>
      </c>
      <c r="AI1066" s="10">
        <f>LEN(L1066)</f>
        <v/>
      </c>
    </row>
    <row r="1067">
      <c r="J1067" s="12">
        <f>IF(F1067&lt;&gt;0,"LANÇAR","")</f>
        <v/>
      </c>
      <c r="L1067" s="13">
        <f>N1067&amp;O1067&amp;P1067&amp;Q1067&amp;R1067&amp;S1067&amp;T1067&amp;U1067&amp;V1067&amp;W1067&amp;X1067&amp;Y1067&amp;Z1067&amp;AA1067&amp;AB1067&amp;AC1067&amp;AD1067&amp;AE1067&amp;AF1067&amp;AG1067</f>
        <v/>
      </c>
      <c r="N1067" s="10">
        <f>TEXT($B$6,"00")</f>
        <v/>
      </c>
      <c r="O1067" s="10">
        <f>REPT(" ",8)</f>
        <v/>
      </c>
      <c r="P1067" s="10">
        <f>RIGHT($B$4,2)</f>
        <v/>
      </c>
      <c r="Q1067" s="10">
        <f>RIGHT($B$5,3)</f>
        <v/>
      </c>
      <c r="R1067" s="10">
        <f>IF(A1067="D",LEFT(UPPER(B1067)&amp;REPT(" ",20),20),REPT(" ",20))</f>
        <v/>
      </c>
      <c r="S1067" s="10">
        <f>IF(A1067="D",LEFT(UPPER(C1067)&amp;REPT(" ",10),10)," ")</f>
        <v/>
      </c>
      <c r="T1067" s="10">
        <f>IF(A1067="D",LEFT(UPPER(D1067)&amp;REPT(" ",2),2)," ")</f>
        <v/>
      </c>
      <c r="U1067" s="10">
        <f>IF(A1067="D",LEFT(UPPER(E1067)&amp;REPT(" ",15),15)," ")</f>
        <v/>
      </c>
      <c r="V1067" s="10">
        <f>REPT(" ",24)</f>
        <v/>
      </c>
      <c r="W1067" s="10">
        <f>IF(A1067="c",LEFT(UPPER(B1067)&amp;REPT(" ",20),20),REPT(" ",20))</f>
        <v/>
      </c>
      <c r="X1067" s="10">
        <f>IF(A1067="C",LEFT(UPPER(C1067)&amp;REPT(" ",10),10)," ")</f>
        <v/>
      </c>
      <c r="Y1067" s="10">
        <f>IF(A1067="C",LEFT(UPPER(D1067)&amp;REPT(" ",2),2)," ")</f>
        <v/>
      </c>
      <c r="Z1067" s="10">
        <f>IF(A1067="C",LEFT(UPPER(E1067)&amp;REPT(" ",15),15)," ")</f>
        <v/>
      </c>
      <c r="AA1067" s="10">
        <f>REPT(" ",8)</f>
        <v/>
      </c>
      <c r="AB1067" s="10">
        <f>REPT(" ",4)</f>
        <v/>
      </c>
      <c r="AC1067" s="10">
        <f>LEFT(UPPER(H1067)&amp;REPT(" ",250),250)</f>
        <v/>
      </c>
      <c r="AD1067" s="10">
        <f>TEXT($G$2,"dd/mm/aaaa")</f>
        <v/>
      </c>
      <c r="AE1067" s="10">
        <f>REPT(" ",10)</f>
        <v/>
      </c>
      <c r="AF1067" s="10">
        <f>REPT(" ",20)</f>
        <v/>
      </c>
      <c r="AG1067" s="54">
        <f>REPT(" ",18-LEN(FIXED(F1067,2,TRUE)))&amp;FIXED(F1067,2,TRUE)</f>
        <v/>
      </c>
      <c r="AH1067" s="10">
        <f>LEN(AC1067)+LEN(AG1067)</f>
        <v/>
      </c>
      <c r="AI1067" s="10">
        <f>LEN(L1067)</f>
        <v/>
      </c>
    </row>
    <row r="1068">
      <c r="J1068" s="12">
        <f>IF(F1068&lt;&gt;0,"LANÇAR","")</f>
        <v/>
      </c>
      <c r="L1068" s="13">
        <f>N1068&amp;O1068&amp;P1068&amp;Q1068&amp;R1068&amp;S1068&amp;T1068&amp;U1068&amp;V1068&amp;W1068&amp;X1068&amp;Y1068&amp;Z1068&amp;AA1068&amp;AB1068&amp;AC1068&amp;AD1068&amp;AE1068&amp;AF1068&amp;AG1068</f>
        <v/>
      </c>
      <c r="N1068" s="10">
        <f>TEXT($B$6,"00")</f>
        <v/>
      </c>
      <c r="O1068" s="10">
        <f>REPT(" ",8)</f>
        <v/>
      </c>
      <c r="P1068" s="10">
        <f>RIGHT($B$4,2)</f>
        <v/>
      </c>
      <c r="Q1068" s="10">
        <f>RIGHT($B$5,3)</f>
        <v/>
      </c>
      <c r="R1068" s="10">
        <f>IF(A1068="D",LEFT(UPPER(B1068)&amp;REPT(" ",20),20),REPT(" ",20))</f>
        <v/>
      </c>
      <c r="S1068" s="10">
        <f>IF(A1068="D",LEFT(UPPER(C1068)&amp;REPT(" ",10),10)," ")</f>
        <v/>
      </c>
      <c r="T1068" s="10">
        <f>IF(A1068="D",LEFT(UPPER(D1068)&amp;REPT(" ",2),2)," ")</f>
        <v/>
      </c>
      <c r="U1068" s="10">
        <f>IF(A1068="D",LEFT(UPPER(E1068)&amp;REPT(" ",15),15)," ")</f>
        <v/>
      </c>
      <c r="V1068" s="10">
        <f>REPT(" ",24)</f>
        <v/>
      </c>
      <c r="W1068" s="10">
        <f>IF(A1068="c",LEFT(UPPER(B1068)&amp;REPT(" ",20),20),REPT(" ",20))</f>
        <v/>
      </c>
      <c r="X1068" s="10">
        <f>IF(A1068="C",LEFT(UPPER(C1068)&amp;REPT(" ",10),10)," ")</f>
        <v/>
      </c>
      <c r="Y1068" s="10">
        <f>IF(A1068="C",LEFT(UPPER(D1068)&amp;REPT(" ",2),2)," ")</f>
        <v/>
      </c>
      <c r="Z1068" s="10">
        <f>IF(A1068="C",LEFT(UPPER(E1068)&amp;REPT(" ",15),15)," ")</f>
        <v/>
      </c>
      <c r="AA1068" s="10">
        <f>REPT(" ",8)</f>
        <v/>
      </c>
      <c r="AB1068" s="10">
        <f>REPT(" ",4)</f>
        <v/>
      </c>
      <c r="AC1068" s="10">
        <f>LEFT(UPPER(H1068)&amp;REPT(" ",250),250)</f>
        <v/>
      </c>
      <c r="AD1068" s="10">
        <f>TEXT($G$2,"dd/mm/aaaa")</f>
        <v/>
      </c>
      <c r="AE1068" s="10">
        <f>REPT(" ",10)</f>
        <v/>
      </c>
      <c r="AF1068" s="10">
        <f>REPT(" ",20)</f>
        <v/>
      </c>
      <c r="AG1068" s="54">
        <f>REPT(" ",18-LEN(FIXED(F1068,2,TRUE)))&amp;FIXED(F1068,2,TRUE)</f>
        <v/>
      </c>
      <c r="AH1068" s="10">
        <f>LEN(AC1068)+LEN(AG1068)</f>
        <v/>
      </c>
      <c r="AI1068" s="10">
        <f>LEN(L1068)</f>
        <v/>
      </c>
    </row>
    <row r="1069">
      <c r="J1069" s="12">
        <f>IF(F1069&lt;&gt;0,"LANÇAR","")</f>
        <v/>
      </c>
      <c r="L1069" s="13">
        <f>N1069&amp;O1069&amp;P1069&amp;Q1069&amp;R1069&amp;S1069&amp;T1069&amp;U1069&amp;V1069&amp;W1069&amp;X1069&amp;Y1069&amp;Z1069&amp;AA1069&amp;AB1069&amp;AC1069&amp;AD1069&amp;AE1069&amp;AF1069&amp;AG1069</f>
        <v/>
      </c>
      <c r="N1069" s="10">
        <f>TEXT($B$6,"00")</f>
        <v/>
      </c>
      <c r="O1069" s="10">
        <f>REPT(" ",8)</f>
        <v/>
      </c>
      <c r="P1069" s="10">
        <f>RIGHT($B$4,2)</f>
        <v/>
      </c>
      <c r="Q1069" s="10">
        <f>RIGHT($B$5,3)</f>
        <v/>
      </c>
      <c r="R1069" s="10">
        <f>IF(A1069="D",LEFT(UPPER(B1069)&amp;REPT(" ",20),20),REPT(" ",20))</f>
        <v/>
      </c>
      <c r="S1069" s="10">
        <f>IF(A1069="D",LEFT(UPPER(C1069)&amp;REPT(" ",10),10)," ")</f>
        <v/>
      </c>
      <c r="T1069" s="10">
        <f>IF(A1069="D",LEFT(UPPER(D1069)&amp;REPT(" ",2),2)," ")</f>
        <v/>
      </c>
      <c r="U1069" s="10">
        <f>IF(A1069="D",LEFT(UPPER(E1069)&amp;REPT(" ",15),15)," ")</f>
        <v/>
      </c>
      <c r="V1069" s="10">
        <f>REPT(" ",24)</f>
        <v/>
      </c>
      <c r="W1069" s="10">
        <f>IF(A1069="c",LEFT(UPPER(B1069)&amp;REPT(" ",20),20),REPT(" ",20))</f>
        <v/>
      </c>
      <c r="X1069" s="10">
        <f>IF(A1069="C",LEFT(UPPER(C1069)&amp;REPT(" ",10),10)," ")</f>
        <v/>
      </c>
      <c r="Y1069" s="10">
        <f>IF(A1069="C",LEFT(UPPER(D1069)&amp;REPT(" ",2),2)," ")</f>
        <v/>
      </c>
      <c r="Z1069" s="10">
        <f>IF(A1069="C",LEFT(UPPER(E1069)&amp;REPT(" ",15),15)," ")</f>
        <v/>
      </c>
      <c r="AA1069" s="10">
        <f>REPT(" ",8)</f>
        <v/>
      </c>
      <c r="AB1069" s="10">
        <f>REPT(" ",4)</f>
        <v/>
      </c>
      <c r="AC1069" s="10">
        <f>LEFT(UPPER(H1069)&amp;REPT(" ",250),250)</f>
        <v/>
      </c>
      <c r="AD1069" s="10">
        <f>TEXT($G$2,"dd/mm/aaaa")</f>
        <v/>
      </c>
      <c r="AE1069" s="10">
        <f>REPT(" ",10)</f>
        <v/>
      </c>
      <c r="AF1069" s="10">
        <f>REPT(" ",20)</f>
        <v/>
      </c>
      <c r="AG1069" s="54">
        <f>REPT(" ",18-LEN(FIXED(F1069,2,TRUE)))&amp;FIXED(F1069,2,TRUE)</f>
        <v/>
      </c>
      <c r="AH1069" s="10">
        <f>LEN(AC1069)+LEN(AG1069)</f>
        <v/>
      </c>
      <c r="AI1069" s="10">
        <f>LEN(L1069)</f>
        <v/>
      </c>
    </row>
    <row r="1070">
      <c r="J1070" s="12">
        <f>IF(F1070&lt;&gt;0,"LANÇAR","")</f>
        <v/>
      </c>
      <c r="L1070" s="13">
        <f>N1070&amp;O1070&amp;P1070&amp;Q1070&amp;R1070&amp;S1070&amp;T1070&amp;U1070&amp;V1070&amp;W1070&amp;X1070&amp;Y1070&amp;Z1070&amp;AA1070&amp;AB1070&amp;AC1070&amp;AD1070&amp;AE1070&amp;AF1070&amp;AG1070</f>
        <v/>
      </c>
      <c r="N1070" s="10">
        <f>TEXT($B$6,"00")</f>
        <v/>
      </c>
      <c r="O1070" s="10">
        <f>REPT(" ",8)</f>
        <v/>
      </c>
      <c r="P1070" s="10">
        <f>RIGHT($B$4,2)</f>
        <v/>
      </c>
      <c r="Q1070" s="10">
        <f>RIGHT($B$5,3)</f>
        <v/>
      </c>
      <c r="R1070" s="10">
        <f>IF(A1070="D",LEFT(UPPER(B1070)&amp;REPT(" ",20),20),REPT(" ",20))</f>
        <v/>
      </c>
      <c r="S1070" s="10">
        <f>IF(A1070="D",LEFT(UPPER(C1070)&amp;REPT(" ",10),10)," ")</f>
        <v/>
      </c>
      <c r="T1070" s="10">
        <f>IF(A1070="D",LEFT(UPPER(D1070)&amp;REPT(" ",2),2)," ")</f>
        <v/>
      </c>
      <c r="U1070" s="10">
        <f>IF(A1070="D",LEFT(UPPER(E1070)&amp;REPT(" ",15),15)," ")</f>
        <v/>
      </c>
      <c r="V1070" s="10">
        <f>REPT(" ",24)</f>
        <v/>
      </c>
      <c r="W1070" s="10">
        <f>IF(A1070="c",LEFT(UPPER(B1070)&amp;REPT(" ",20),20),REPT(" ",20))</f>
        <v/>
      </c>
      <c r="X1070" s="10">
        <f>IF(A1070="C",LEFT(UPPER(C1070)&amp;REPT(" ",10),10)," ")</f>
        <v/>
      </c>
      <c r="Y1070" s="10">
        <f>IF(A1070="C",LEFT(UPPER(D1070)&amp;REPT(" ",2),2)," ")</f>
        <v/>
      </c>
      <c r="Z1070" s="10">
        <f>IF(A1070="C",LEFT(UPPER(E1070)&amp;REPT(" ",15),15)," ")</f>
        <v/>
      </c>
      <c r="AA1070" s="10">
        <f>REPT(" ",8)</f>
        <v/>
      </c>
      <c r="AB1070" s="10">
        <f>REPT(" ",4)</f>
        <v/>
      </c>
      <c r="AC1070" s="10">
        <f>LEFT(UPPER(H1070)&amp;REPT(" ",250),250)</f>
        <v/>
      </c>
      <c r="AD1070" s="10">
        <f>TEXT($G$2,"dd/mm/aaaa")</f>
        <v/>
      </c>
      <c r="AE1070" s="10">
        <f>REPT(" ",10)</f>
        <v/>
      </c>
      <c r="AF1070" s="10">
        <f>REPT(" ",20)</f>
        <v/>
      </c>
      <c r="AG1070" s="54">
        <f>REPT(" ",18-LEN(FIXED(F1070,2,TRUE)))&amp;FIXED(F1070,2,TRUE)</f>
        <v/>
      </c>
      <c r="AH1070" s="10">
        <f>LEN(AC1070)+LEN(AG1070)</f>
        <v/>
      </c>
      <c r="AI1070" s="10">
        <f>LEN(L1070)</f>
        <v/>
      </c>
    </row>
    <row r="1071">
      <c r="J1071" s="12">
        <f>IF(F1071&lt;&gt;0,"LANÇAR","")</f>
        <v/>
      </c>
      <c r="L1071" s="13">
        <f>N1071&amp;O1071&amp;P1071&amp;Q1071&amp;R1071&amp;S1071&amp;T1071&amp;U1071&amp;V1071&amp;W1071&amp;X1071&amp;Y1071&amp;Z1071&amp;AA1071&amp;AB1071&amp;AC1071&amp;AD1071&amp;AE1071&amp;AF1071&amp;AG1071</f>
        <v/>
      </c>
      <c r="N1071" s="10">
        <f>TEXT($B$6,"00")</f>
        <v/>
      </c>
      <c r="O1071" s="10">
        <f>REPT(" ",8)</f>
        <v/>
      </c>
      <c r="P1071" s="10">
        <f>RIGHT($B$4,2)</f>
        <v/>
      </c>
      <c r="Q1071" s="10">
        <f>RIGHT($B$5,3)</f>
        <v/>
      </c>
      <c r="R1071" s="10">
        <f>IF(A1071="D",LEFT(UPPER(B1071)&amp;REPT(" ",20),20),REPT(" ",20))</f>
        <v/>
      </c>
      <c r="S1071" s="10">
        <f>IF(A1071="D",LEFT(UPPER(C1071)&amp;REPT(" ",10),10)," ")</f>
        <v/>
      </c>
      <c r="T1071" s="10">
        <f>IF(A1071="D",LEFT(UPPER(D1071)&amp;REPT(" ",2),2)," ")</f>
        <v/>
      </c>
      <c r="U1071" s="10">
        <f>IF(A1071="D",LEFT(UPPER(E1071)&amp;REPT(" ",15),15)," ")</f>
        <v/>
      </c>
      <c r="V1071" s="10">
        <f>REPT(" ",24)</f>
        <v/>
      </c>
      <c r="W1071" s="10">
        <f>IF(A1071="c",LEFT(UPPER(B1071)&amp;REPT(" ",20),20),REPT(" ",20))</f>
        <v/>
      </c>
      <c r="X1071" s="10">
        <f>IF(A1071="C",LEFT(UPPER(C1071)&amp;REPT(" ",10),10)," ")</f>
        <v/>
      </c>
      <c r="Y1071" s="10">
        <f>IF(A1071="C",LEFT(UPPER(D1071)&amp;REPT(" ",2),2)," ")</f>
        <v/>
      </c>
      <c r="Z1071" s="10">
        <f>IF(A1071="C",LEFT(UPPER(E1071)&amp;REPT(" ",15),15)," ")</f>
        <v/>
      </c>
      <c r="AA1071" s="10">
        <f>REPT(" ",8)</f>
        <v/>
      </c>
      <c r="AB1071" s="10">
        <f>REPT(" ",4)</f>
        <v/>
      </c>
      <c r="AC1071" s="10">
        <f>LEFT(UPPER(H1071)&amp;REPT(" ",250),250)</f>
        <v/>
      </c>
      <c r="AD1071" s="10">
        <f>TEXT($G$2,"dd/mm/aaaa")</f>
        <v/>
      </c>
      <c r="AE1071" s="10">
        <f>REPT(" ",10)</f>
        <v/>
      </c>
      <c r="AF1071" s="10">
        <f>REPT(" ",20)</f>
        <v/>
      </c>
      <c r="AG1071" s="54">
        <f>REPT(" ",18-LEN(FIXED(F1071,2,TRUE)))&amp;FIXED(F1071,2,TRUE)</f>
        <v/>
      </c>
      <c r="AH1071" s="10">
        <f>LEN(AC1071)+LEN(AG1071)</f>
        <v/>
      </c>
      <c r="AI1071" s="10">
        <f>LEN(L1071)</f>
        <v/>
      </c>
    </row>
    <row r="1072">
      <c r="J1072" s="12">
        <f>IF(F1072&lt;&gt;0,"LANÇAR","")</f>
        <v/>
      </c>
      <c r="L1072" s="13">
        <f>N1072&amp;O1072&amp;P1072&amp;Q1072&amp;R1072&amp;S1072&amp;T1072&amp;U1072&amp;V1072&amp;W1072&amp;X1072&amp;Y1072&amp;Z1072&amp;AA1072&amp;AB1072&amp;AC1072&amp;AD1072&amp;AE1072&amp;AF1072&amp;AG1072</f>
        <v/>
      </c>
      <c r="N1072" s="10">
        <f>TEXT($B$6,"00")</f>
        <v/>
      </c>
      <c r="O1072" s="10">
        <f>REPT(" ",8)</f>
        <v/>
      </c>
      <c r="P1072" s="10">
        <f>RIGHT($B$4,2)</f>
        <v/>
      </c>
      <c r="Q1072" s="10">
        <f>RIGHT($B$5,3)</f>
        <v/>
      </c>
      <c r="R1072" s="10">
        <f>IF(A1072="D",LEFT(UPPER(B1072)&amp;REPT(" ",20),20),REPT(" ",20))</f>
        <v/>
      </c>
      <c r="S1072" s="10">
        <f>IF(A1072="D",LEFT(UPPER(C1072)&amp;REPT(" ",10),10)," ")</f>
        <v/>
      </c>
      <c r="T1072" s="10">
        <f>IF(A1072="D",LEFT(UPPER(D1072)&amp;REPT(" ",2),2)," ")</f>
        <v/>
      </c>
      <c r="U1072" s="10">
        <f>IF(A1072="D",LEFT(UPPER(E1072)&amp;REPT(" ",15),15)," ")</f>
        <v/>
      </c>
      <c r="V1072" s="10">
        <f>REPT(" ",24)</f>
        <v/>
      </c>
      <c r="W1072" s="10">
        <f>IF(A1072="c",LEFT(UPPER(B1072)&amp;REPT(" ",20),20),REPT(" ",20))</f>
        <v/>
      </c>
      <c r="X1072" s="10">
        <f>IF(A1072="C",LEFT(UPPER(C1072)&amp;REPT(" ",10),10)," ")</f>
        <v/>
      </c>
      <c r="Y1072" s="10">
        <f>IF(A1072="C",LEFT(UPPER(D1072)&amp;REPT(" ",2),2)," ")</f>
        <v/>
      </c>
      <c r="Z1072" s="10">
        <f>IF(A1072="C",LEFT(UPPER(E1072)&amp;REPT(" ",15),15)," ")</f>
        <v/>
      </c>
      <c r="AA1072" s="10">
        <f>REPT(" ",8)</f>
        <v/>
      </c>
      <c r="AB1072" s="10">
        <f>REPT(" ",4)</f>
        <v/>
      </c>
      <c r="AC1072" s="10">
        <f>LEFT(UPPER(H1072)&amp;REPT(" ",250),250)</f>
        <v/>
      </c>
      <c r="AD1072" s="10">
        <f>TEXT($G$2,"dd/mm/aaaa")</f>
        <v/>
      </c>
      <c r="AE1072" s="10">
        <f>REPT(" ",10)</f>
        <v/>
      </c>
      <c r="AF1072" s="10">
        <f>REPT(" ",20)</f>
        <v/>
      </c>
      <c r="AG1072" s="54">
        <f>REPT(" ",18-LEN(FIXED(F1072,2,TRUE)))&amp;FIXED(F1072,2,TRUE)</f>
        <v/>
      </c>
      <c r="AH1072" s="10">
        <f>LEN(AC1072)+LEN(AG1072)</f>
        <v/>
      </c>
      <c r="AI1072" s="10">
        <f>LEN(L1072)</f>
        <v/>
      </c>
    </row>
    <row r="1073">
      <c r="J1073" s="12">
        <f>IF(F1073&lt;&gt;0,"LANÇAR","")</f>
        <v/>
      </c>
      <c r="L1073" s="13">
        <f>N1073&amp;O1073&amp;P1073&amp;Q1073&amp;R1073&amp;S1073&amp;T1073&amp;U1073&amp;V1073&amp;W1073&amp;X1073&amp;Y1073&amp;Z1073&amp;AA1073&amp;AB1073&amp;AC1073&amp;AD1073&amp;AE1073&amp;AF1073&amp;AG1073</f>
        <v/>
      </c>
      <c r="N1073" s="10">
        <f>TEXT($B$6,"00")</f>
        <v/>
      </c>
      <c r="O1073" s="10">
        <f>REPT(" ",8)</f>
        <v/>
      </c>
      <c r="P1073" s="10">
        <f>RIGHT($B$4,2)</f>
        <v/>
      </c>
      <c r="Q1073" s="10">
        <f>RIGHT($B$5,3)</f>
        <v/>
      </c>
      <c r="R1073" s="10">
        <f>IF(A1073="D",LEFT(UPPER(B1073)&amp;REPT(" ",20),20),REPT(" ",20))</f>
        <v/>
      </c>
      <c r="S1073" s="10">
        <f>IF(A1073="D",LEFT(UPPER(C1073)&amp;REPT(" ",10),10)," ")</f>
        <v/>
      </c>
      <c r="T1073" s="10">
        <f>IF(A1073="D",LEFT(UPPER(D1073)&amp;REPT(" ",2),2)," ")</f>
        <v/>
      </c>
      <c r="U1073" s="10">
        <f>IF(A1073="D",LEFT(UPPER(E1073)&amp;REPT(" ",15),15)," ")</f>
        <v/>
      </c>
      <c r="V1073" s="10">
        <f>REPT(" ",24)</f>
        <v/>
      </c>
      <c r="W1073" s="10">
        <f>IF(A1073="c",LEFT(UPPER(B1073)&amp;REPT(" ",20),20),REPT(" ",20))</f>
        <v/>
      </c>
      <c r="X1073" s="10">
        <f>IF(A1073="C",LEFT(UPPER(C1073)&amp;REPT(" ",10),10)," ")</f>
        <v/>
      </c>
      <c r="Y1073" s="10">
        <f>IF(A1073="C",LEFT(UPPER(D1073)&amp;REPT(" ",2),2)," ")</f>
        <v/>
      </c>
      <c r="Z1073" s="10">
        <f>IF(A1073="C",LEFT(UPPER(E1073)&amp;REPT(" ",15),15)," ")</f>
        <v/>
      </c>
      <c r="AA1073" s="10">
        <f>REPT(" ",8)</f>
        <v/>
      </c>
      <c r="AB1073" s="10">
        <f>REPT(" ",4)</f>
        <v/>
      </c>
      <c r="AC1073" s="10">
        <f>LEFT(UPPER(H1073)&amp;REPT(" ",250),250)</f>
        <v/>
      </c>
      <c r="AD1073" s="10">
        <f>TEXT($G$2,"dd/mm/aaaa")</f>
        <v/>
      </c>
      <c r="AE1073" s="10">
        <f>REPT(" ",10)</f>
        <v/>
      </c>
      <c r="AF1073" s="10">
        <f>REPT(" ",20)</f>
        <v/>
      </c>
      <c r="AG1073" s="54">
        <f>REPT(" ",18-LEN(FIXED(F1073,2,TRUE)))&amp;FIXED(F1073,2,TRUE)</f>
        <v/>
      </c>
      <c r="AH1073" s="10">
        <f>LEN(AC1073)+LEN(AG1073)</f>
        <v/>
      </c>
      <c r="AI1073" s="10">
        <f>LEN(L1073)</f>
        <v/>
      </c>
    </row>
    <row r="1074">
      <c r="J1074" s="12">
        <f>IF(F1074&lt;&gt;0,"LANÇAR","")</f>
        <v/>
      </c>
      <c r="L1074" s="13">
        <f>N1074&amp;O1074&amp;P1074&amp;Q1074&amp;R1074&amp;S1074&amp;T1074&amp;U1074&amp;V1074&amp;W1074&amp;X1074&amp;Y1074&amp;Z1074&amp;AA1074&amp;AB1074&amp;AC1074&amp;AD1074&amp;AE1074&amp;AF1074&amp;AG1074</f>
        <v/>
      </c>
      <c r="N1074" s="10">
        <f>TEXT($B$6,"00")</f>
        <v/>
      </c>
      <c r="O1074" s="10">
        <f>REPT(" ",8)</f>
        <v/>
      </c>
      <c r="P1074" s="10">
        <f>RIGHT($B$4,2)</f>
        <v/>
      </c>
      <c r="Q1074" s="10">
        <f>RIGHT($B$5,3)</f>
        <v/>
      </c>
      <c r="R1074" s="10">
        <f>IF(A1074="D",LEFT(UPPER(B1074)&amp;REPT(" ",20),20),REPT(" ",20))</f>
        <v/>
      </c>
      <c r="S1074" s="10">
        <f>IF(A1074="D",LEFT(UPPER(C1074)&amp;REPT(" ",10),10)," ")</f>
        <v/>
      </c>
      <c r="T1074" s="10">
        <f>IF(A1074="D",LEFT(UPPER(D1074)&amp;REPT(" ",2),2)," ")</f>
        <v/>
      </c>
      <c r="U1074" s="10">
        <f>IF(A1074="D",LEFT(UPPER(E1074)&amp;REPT(" ",15),15)," ")</f>
        <v/>
      </c>
      <c r="V1074" s="10">
        <f>REPT(" ",24)</f>
        <v/>
      </c>
      <c r="W1074" s="10">
        <f>IF(A1074="c",LEFT(UPPER(B1074)&amp;REPT(" ",20),20),REPT(" ",20))</f>
        <v/>
      </c>
      <c r="X1074" s="10">
        <f>IF(A1074="C",LEFT(UPPER(C1074)&amp;REPT(" ",10),10)," ")</f>
        <v/>
      </c>
      <c r="Y1074" s="10">
        <f>IF(A1074="C",LEFT(UPPER(D1074)&amp;REPT(" ",2),2)," ")</f>
        <v/>
      </c>
      <c r="Z1074" s="10">
        <f>IF(A1074="C",LEFT(UPPER(E1074)&amp;REPT(" ",15),15)," ")</f>
        <v/>
      </c>
      <c r="AA1074" s="10">
        <f>REPT(" ",8)</f>
        <v/>
      </c>
      <c r="AB1074" s="10">
        <f>REPT(" ",4)</f>
        <v/>
      </c>
      <c r="AC1074" s="10">
        <f>LEFT(UPPER(H1074)&amp;REPT(" ",250),250)</f>
        <v/>
      </c>
      <c r="AD1074" s="10">
        <f>TEXT($G$2,"dd/mm/aaaa")</f>
        <v/>
      </c>
      <c r="AE1074" s="10">
        <f>REPT(" ",10)</f>
        <v/>
      </c>
      <c r="AF1074" s="10">
        <f>REPT(" ",20)</f>
        <v/>
      </c>
      <c r="AG1074" s="54">
        <f>REPT(" ",18-LEN(FIXED(F1074,2,TRUE)))&amp;FIXED(F1074,2,TRUE)</f>
        <v/>
      </c>
      <c r="AH1074" s="10">
        <f>LEN(AC1074)+LEN(AG1074)</f>
        <v/>
      </c>
      <c r="AI1074" s="10">
        <f>LEN(L1074)</f>
        <v/>
      </c>
    </row>
    <row r="1075">
      <c r="J1075" s="12">
        <f>IF(F1075&lt;&gt;0,"LANÇAR","")</f>
        <v/>
      </c>
      <c r="L1075" s="13">
        <f>N1075&amp;O1075&amp;P1075&amp;Q1075&amp;R1075&amp;S1075&amp;T1075&amp;U1075&amp;V1075&amp;W1075&amp;X1075&amp;Y1075&amp;Z1075&amp;AA1075&amp;AB1075&amp;AC1075&amp;AD1075&amp;AE1075&amp;AF1075&amp;AG1075</f>
        <v/>
      </c>
      <c r="N1075" s="10">
        <f>TEXT($B$6,"00")</f>
        <v/>
      </c>
      <c r="O1075" s="10">
        <f>REPT(" ",8)</f>
        <v/>
      </c>
      <c r="P1075" s="10">
        <f>RIGHT($B$4,2)</f>
        <v/>
      </c>
      <c r="Q1075" s="10">
        <f>RIGHT($B$5,3)</f>
        <v/>
      </c>
      <c r="R1075" s="10">
        <f>IF(A1075="D",LEFT(UPPER(B1075)&amp;REPT(" ",20),20),REPT(" ",20))</f>
        <v/>
      </c>
      <c r="S1075" s="10">
        <f>IF(A1075="D",LEFT(UPPER(C1075)&amp;REPT(" ",10),10)," ")</f>
        <v/>
      </c>
      <c r="T1075" s="10">
        <f>IF(A1075="D",LEFT(UPPER(D1075)&amp;REPT(" ",2),2)," ")</f>
        <v/>
      </c>
      <c r="U1075" s="10">
        <f>IF(A1075="D",LEFT(UPPER(E1075)&amp;REPT(" ",15),15)," ")</f>
        <v/>
      </c>
      <c r="V1075" s="10">
        <f>REPT(" ",24)</f>
        <v/>
      </c>
      <c r="W1075" s="10">
        <f>IF(A1075="c",LEFT(UPPER(B1075)&amp;REPT(" ",20),20),REPT(" ",20))</f>
        <v/>
      </c>
      <c r="X1075" s="10">
        <f>IF(A1075="C",LEFT(UPPER(C1075)&amp;REPT(" ",10),10)," ")</f>
        <v/>
      </c>
      <c r="Y1075" s="10">
        <f>IF(A1075="C",LEFT(UPPER(D1075)&amp;REPT(" ",2),2)," ")</f>
        <v/>
      </c>
      <c r="Z1075" s="10">
        <f>IF(A1075="C",LEFT(UPPER(E1075)&amp;REPT(" ",15),15)," ")</f>
        <v/>
      </c>
      <c r="AA1075" s="10">
        <f>REPT(" ",8)</f>
        <v/>
      </c>
      <c r="AB1075" s="10">
        <f>REPT(" ",4)</f>
        <v/>
      </c>
      <c r="AC1075" s="10">
        <f>LEFT(UPPER(H1075)&amp;REPT(" ",250),250)</f>
        <v/>
      </c>
      <c r="AD1075" s="10">
        <f>TEXT($G$2,"dd/mm/aaaa")</f>
        <v/>
      </c>
      <c r="AE1075" s="10">
        <f>REPT(" ",10)</f>
        <v/>
      </c>
      <c r="AF1075" s="10">
        <f>REPT(" ",20)</f>
        <v/>
      </c>
      <c r="AG1075" s="54">
        <f>REPT(" ",18-LEN(FIXED(F1075,2,TRUE)))&amp;FIXED(F1075,2,TRUE)</f>
        <v/>
      </c>
      <c r="AH1075" s="10">
        <f>LEN(AC1075)+LEN(AG1075)</f>
        <v/>
      </c>
      <c r="AI1075" s="10">
        <f>LEN(L1075)</f>
        <v/>
      </c>
    </row>
    <row r="1076">
      <c r="J1076" s="12">
        <f>IF(F1076&lt;&gt;0,"LANÇAR","")</f>
        <v/>
      </c>
      <c r="L1076" s="13">
        <f>N1076&amp;O1076&amp;P1076&amp;Q1076&amp;R1076&amp;S1076&amp;T1076&amp;U1076&amp;V1076&amp;W1076&amp;X1076&amp;Y1076&amp;Z1076&amp;AA1076&amp;AB1076&amp;AC1076&amp;AD1076&amp;AE1076&amp;AF1076&amp;AG1076</f>
        <v/>
      </c>
      <c r="N1076" s="10">
        <f>TEXT($B$6,"00")</f>
        <v/>
      </c>
      <c r="O1076" s="10">
        <f>REPT(" ",8)</f>
        <v/>
      </c>
      <c r="P1076" s="10">
        <f>RIGHT($B$4,2)</f>
        <v/>
      </c>
      <c r="Q1076" s="10">
        <f>RIGHT($B$5,3)</f>
        <v/>
      </c>
      <c r="R1076" s="10">
        <f>IF(A1076="D",LEFT(UPPER(B1076)&amp;REPT(" ",20),20),REPT(" ",20))</f>
        <v/>
      </c>
      <c r="S1076" s="10">
        <f>IF(A1076="D",LEFT(UPPER(C1076)&amp;REPT(" ",10),10)," ")</f>
        <v/>
      </c>
      <c r="T1076" s="10">
        <f>IF(A1076="D",LEFT(UPPER(D1076)&amp;REPT(" ",2),2)," ")</f>
        <v/>
      </c>
      <c r="U1076" s="10">
        <f>IF(A1076="D",LEFT(UPPER(E1076)&amp;REPT(" ",15),15)," ")</f>
        <v/>
      </c>
      <c r="V1076" s="10">
        <f>REPT(" ",24)</f>
        <v/>
      </c>
      <c r="W1076" s="10">
        <f>IF(A1076="c",LEFT(UPPER(B1076)&amp;REPT(" ",20),20),REPT(" ",20))</f>
        <v/>
      </c>
      <c r="X1076" s="10">
        <f>IF(A1076="C",LEFT(UPPER(C1076)&amp;REPT(" ",10),10)," ")</f>
        <v/>
      </c>
      <c r="Y1076" s="10">
        <f>IF(A1076="C",LEFT(UPPER(D1076)&amp;REPT(" ",2),2)," ")</f>
        <v/>
      </c>
      <c r="Z1076" s="10">
        <f>IF(A1076="C",LEFT(UPPER(E1076)&amp;REPT(" ",15),15)," ")</f>
        <v/>
      </c>
      <c r="AA1076" s="10">
        <f>REPT(" ",8)</f>
        <v/>
      </c>
      <c r="AB1076" s="10">
        <f>REPT(" ",4)</f>
        <v/>
      </c>
      <c r="AC1076" s="10">
        <f>LEFT(UPPER(H1076)&amp;REPT(" ",250),250)</f>
        <v/>
      </c>
      <c r="AD1076" s="10">
        <f>TEXT($G$2,"dd/mm/aaaa")</f>
        <v/>
      </c>
      <c r="AE1076" s="10">
        <f>REPT(" ",10)</f>
        <v/>
      </c>
      <c r="AF1076" s="10">
        <f>REPT(" ",20)</f>
        <v/>
      </c>
      <c r="AG1076" s="54">
        <f>REPT(" ",18-LEN(FIXED(F1076,2,TRUE)))&amp;FIXED(F1076,2,TRUE)</f>
        <v/>
      </c>
      <c r="AH1076" s="10">
        <f>LEN(AC1076)+LEN(AG1076)</f>
        <v/>
      </c>
      <c r="AI1076" s="10">
        <f>LEN(L1076)</f>
        <v/>
      </c>
    </row>
    <row r="1077">
      <c r="J1077" s="12">
        <f>IF(F1077&lt;&gt;0,"LANÇAR","")</f>
        <v/>
      </c>
      <c r="L1077" s="13">
        <f>N1077&amp;O1077&amp;P1077&amp;Q1077&amp;R1077&amp;S1077&amp;T1077&amp;U1077&amp;V1077&amp;W1077&amp;X1077&amp;Y1077&amp;Z1077&amp;AA1077&amp;AB1077&amp;AC1077&amp;AD1077&amp;AE1077&amp;AF1077&amp;AG1077</f>
        <v/>
      </c>
      <c r="N1077" s="10">
        <f>TEXT($B$6,"00")</f>
        <v/>
      </c>
      <c r="O1077" s="10">
        <f>REPT(" ",8)</f>
        <v/>
      </c>
      <c r="P1077" s="10">
        <f>RIGHT($B$4,2)</f>
        <v/>
      </c>
      <c r="Q1077" s="10">
        <f>RIGHT($B$5,3)</f>
        <v/>
      </c>
      <c r="R1077" s="10">
        <f>IF(A1077="D",LEFT(UPPER(B1077)&amp;REPT(" ",20),20),REPT(" ",20))</f>
        <v/>
      </c>
      <c r="S1077" s="10">
        <f>IF(A1077="D",LEFT(UPPER(C1077)&amp;REPT(" ",10),10)," ")</f>
        <v/>
      </c>
      <c r="T1077" s="10">
        <f>IF(A1077="D",LEFT(UPPER(D1077)&amp;REPT(" ",2),2)," ")</f>
        <v/>
      </c>
      <c r="U1077" s="10">
        <f>IF(A1077="D",LEFT(UPPER(E1077)&amp;REPT(" ",15),15)," ")</f>
        <v/>
      </c>
      <c r="V1077" s="10">
        <f>REPT(" ",24)</f>
        <v/>
      </c>
      <c r="W1077" s="10">
        <f>IF(A1077="c",LEFT(UPPER(B1077)&amp;REPT(" ",20),20),REPT(" ",20))</f>
        <v/>
      </c>
      <c r="X1077" s="10">
        <f>IF(A1077="C",LEFT(UPPER(C1077)&amp;REPT(" ",10),10)," ")</f>
        <v/>
      </c>
      <c r="Y1077" s="10">
        <f>IF(A1077="C",LEFT(UPPER(D1077)&amp;REPT(" ",2),2)," ")</f>
        <v/>
      </c>
      <c r="Z1077" s="10">
        <f>IF(A1077="C",LEFT(UPPER(E1077)&amp;REPT(" ",15),15)," ")</f>
        <v/>
      </c>
      <c r="AA1077" s="10">
        <f>REPT(" ",8)</f>
        <v/>
      </c>
      <c r="AB1077" s="10">
        <f>REPT(" ",4)</f>
        <v/>
      </c>
      <c r="AC1077" s="10">
        <f>LEFT(UPPER(H1077)&amp;REPT(" ",250),250)</f>
        <v/>
      </c>
      <c r="AD1077" s="10">
        <f>TEXT($G$2,"dd/mm/aaaa")</f>
        <v/>
      </c>
      <c r="AE1077" s="10">
        <f>REPT(" ",10)</f>
        <v/>
      </c>
      <c r="AF1077" s="10">
        <f>REPT(" ",20)</f>
        <v/>
      </c>
      <c r="AG1077" s="54">
        <f>REPT(" ",18-LEN(FIXED(F1077,2,TRUE)))&amp;FIXED(F1077,2,TRUE)</f>
        <v/>
      </c>
      <c r="AH1077" s="10">
        <f>LEN(AC1077)+LEN(AG1077)</f>
        <v/>
      </c>
      <c r="AI1077" s="10">
        <f>LEN(L1077)</f>
        <v/>
      </c>
    </row>
    <row r="1078">
      <c r="J1078" s="12">
        <f>IF(F1078&lt;&gt;0,"LANÇAR","")</f>
        <v/>
      </c>
      <c r="L1078" s="13">
        <f>N1078&amp;O1078&amp;P1078&amp;Q1078&amp;R1078&amp;S1078&amp;T1078&amp;U1078&amp;V1078&amp;W1078&amp;X1078&amp;Y1078&amp;Z1078&amp;AA1078&amp;AB1078&amp;AC1078&amp;AD1078&amp;AE1078&amp;AF1078&amp;AG1078</f>
        <v/>
      </c>
      <c r="N1078" s="10">
        <f>TEXT($B$6,"00")</f>
        <v/>
      </c>
      <c r="O1078" s="10">
        <f>REPT(" ",8)</f>
        <v/>
      </c>
      <c r="P1078" s="10">
        <f>RIGHT($B$4,2)</f>
        <v/>
      </c>
      <c r="Q1078" s="10">
        <f>RIGHT($B$5,3)</f>
        <v/>
      </c>
      <c r="R1078" s="10">
        <f>IF(A1078="D",LEFT(UPPER(B1078)&amp;REPT(" ",20),20),REPT(" ",20))</f>
        <v/>
      </c>
      <c r="S1078" s="10">
        <f>IF(A1078="D",LEFT(UPPER(C1078)&amp;REPT(" ",10),10)," ")</f>
        <v/>
      </c>
      <c r="T1078" s="10">
        <f>IF(A1078="D",LEFT(UPPER(D1078)&amp;REPT(" ",2),2)," ")</f>
        <v/>
      </c>
      <c r="U1078" s="10">
        <f>IF(A1078="D",LEFT(UPPER(E1078)&amp;REPT(" ",15),15)," ")</f>
        <v/>
      </c>
      <c r="V1078" s="10">
        <f>REPT(" ",24)</f>
        <v/>
      </c>
      <c r="W1078" s="10">
        <f>IF(A1078="c",LEFT(UPPER(B1078)&amp;REPT(" ",20),20),REPT(" ",20))</f>
        <v/>
      </c>
      <c r="X1078" s="10">
        <f>IF(A1078="C",LEFT(UPPER(C1078)&amp;REPT(" ",10),10)," ")</f>
        <v/>
      </c>
      <c r="Y1078" s="10">
        <f>IF(A1078="C",LEFT(UPPER(D1078)&amp;REPT(" ",2),2)," ")</f>
        <v/>
      </c>
      <c r="Z1078" s="10">
        <f>IF(A1078="C",LEFT(UPPER(E1078)&amp;REPT(" ",15),15)," ")</f>
        <v/>
      </c>
      <c r="AA1078" s="10">
        <f>REPT(" ",8)</f>
        <v/>
      </c>
      <c r="AB1078" s="10">
        <f>REPT(" ",4)</f>
        <v/>
      </c>
      <c r="AC1078" s="10">
        <f>LEFT(UPPER(H1078)&amp;REPT(" ",250),250)</f>
        <v/>
      </c>
      <c r="AD1078" s="10">
        <f>TEXT($G$2,"dd/mm/aaaa")</f>
        <v/>
      </c>
      <c r="AE1078" s="10">
        <f>REPT(" ",10)</f>
        <v/>
      </c>
      <c r="AF1078" s="10">
        <f>REPT(" ",20)</f>
        <v/>
      </c>
      <c r="AG1078" s="54">
        <f>REPT(" ",18-LEN(FIXED(F1078,2,TRUE)))&amp;FIXED(F1078,2,TRUE)</f>
        <v/>
      </c>
      <c r="AH1078" s="10">
        <f>LEN(AC1078)+LEN(AG1078)</f>
        <v/>
      </c>
      <c r="AI1078" s="10">
        <f>LEN(L1078)</f>
        <v/>
      </c>
    </row>
    <row r="1079">
      <c r="J1079" s="12">
        <f>IF(F1079&lt;&gt;0,"LANÇAR","")</f>
        <v/>
      </c>
      <c r="L1079" s="13">
        <f>N1079&amp;O1079&amp;P1079&amp;Q1079&amp;R1079&amp;S1079&amp;T1079&amp;U1079&amp;V1079&amp;W1079&amp;X1079&amp;Y1079&amp;Z1079&amp;AA1079&amp;AB1079&amp;AC1079&amp;AD1079&amp;AE1079&amp;AF1079&amp;AG1079</f>
        <v/>
      </c>
      <c r="N1079" s="10">
        <f>TEXT($B$6,"00")</f>
        <v/>
      </c>
      <c r="O1079" s="10">
        <f>REPT(" ",8)</f>
        <v/>
      </c>
      <c r="P1079" s="10">
        <f>RIGHT($B$4,2)</f>
        <v/>
      </c>
      <c r="Q1079" s="10">
        <f>RIGHT($B$5,3)</f>
        <v/>
      </c>
      <c r="R1079" s="10">
        <f>IF(A1079="D",LEFT(UPPER(B1079)&amp;REPT(" ",20),20),REPT(" ",20))</f>
        <v/>
      </c>
      <c r="S1079" s="10">
        <f>IF(A1079="D",LEFT(UPPER(C1079)&amp;REPT(" ",10),10)," ")</f>
        <v/>
      </c>
      <c r="T1079" s="10">
        <f>IF(A1079="D",LEFT(UPPER(D1079)&amp;REPT(" ",2),2)," ")</f>
        <v/>
      </c>
      <c r="U1079" s="10">
        <f>IF(A1079="D",LEFT(UPPER(E1079)&amp;REPT(" ",15),15)," ")</f>
        <v/>
      </c>
      <c r="V1079" s="10">
        <f>REPT(" ",24)</f>
        <v/>
      </c>
      <c r="W1079" s="10">
        <f>IF(A1079="c",LEFT(UPPER(B1079)&amp;REPT(" ",20),20),REPT(" ",20))</f>
        <v/>
      </c>
      <c r="X1079" s="10">
        <f>IF(A1079="C",LEFT(UPPER(C1079)&amp;REPT(" ",10),10)," ")</f>
        <v/>
      </c>
      <c r="Y1079" s="10">
        <f>IF(A1079="C",LEFT(UPPER(D1079)&amp;REPT(" ",2),2)," ")</f>
        <v/>
      </c>
      <c r="Z1079" s="10">
        <f>IF(A1079="C",LEFT(UPPER(E1079)&amp;REPT(" ",15),15)," ")</f>
        <v/>
      </c>
      <c r="AA1079" s="10">
        <f>REPT(" ",8)</f>
        <v/>
      </c>
      <c r="AB1079" s="10">
        <f>REPT(" ",4)</f>
        <v/>
      </c>
      <c r="AC1079" s="10">
        <f>LEFT(UPPER(H1079)&amp;REPT(" ",250),250)</f>
        <v/>
      </c>
      <c r="AD1079" s="10">
        <f>TEXT($G$2,"dd/mm/aaaa")</f>
        <v/>
      </c>
      <c r="AE1079" s="10">
        <f>REPT(" ",10)</f>
        <v/>
      </c>
      <c r="AF1079" s="10">
        <f>REPT(" ",20)</f>
        <v/>
      </c>
      <c r="AG1079" s="54">
        <f>REPT(" ",18-LEN(FIXED(F1079,2,TRUE)))&amp;FIXED(F1079,2,TRUE)</f>
        <v/>
      </c>
      <c r="AH1079" s="10">
        <f>LEN(AC1079)+LEN(AG1079)</f>
        <v/>
      </c>
      <c r="AI1079" s="10">
        <f>LEN(L1079)</f>
        <v/>
      </c>
    </row>
    <row r="1080">
      <c r="J1080" s="12">
        <f>IF(F1080&lt;&gt;0,"LANÇAR","")</f>
        <v/>
      </c>
      <c r="L1080" s="13">
        <f>N1080&amp;O1080&amp;P1080&amp;Q1080&amp;R1080&amp;S1080&amp;T1080&amp;U1080&amp;V1080&amp;W1080&amp;X1080&amp;Y1080&amp;Z1080&amp;AA1080&amp;AB1080&amp;AC1080&amp;AD1080&amp;AE1080&amp;AF1080&amp;AG1080</f>
        <v/>
      </c>
      <c r="N1080" s="10">
        <f>TEXT($B$6,"00")</f>
        <v/>
      </c>
      <c r="O1080" s="10">
        <f>REPT(" ",8)</f>
        <v/>
      </c>
      <c r="P1080" s="10">
        <f>RIGHT($B$4,2)</f>
        <v/>
      </c>
      <c r="Q1080" s="10">
        <f>RIGHT($B$5,3)</f>
        <v/>
      </c>
      <c r="R1080" s="10">
        <f>IF(A1080="D",LEFT(UPPER(B1080)&amp;REPT(" ",20),20),REPT(" ",20))</f>
        <v/>
      </c>
      <c r="S1080" s="10">
        <f>IF(A1080="D",LEFT(UPPER(C1080)&amp;REPT(" ",10),10)," ")</f>
        <v/>
      </c>
      <c r="T1080" s="10">
        <f>IF(A1080="D",LEFT(UPPER(D1080)&amp;REPT(" ",2),2)," ")</f>
        <v/>
      </c>
      <c r="U1080" s="10">
        <f>IF(A1080="D",LEFT(UPPER(E1080)&amp;REPT(" ",15),15)," ")</f>
        <v/>
      </c>
      <c r="V1080" s="10">
        <f>REPT(" ",24)</f>
        <v/>
      </c>
      <c r="W1080" s="10">
        <f>IF(A1080="c",LEFT(UPPER(B1080)&amp;REPT(" ",20),20),REPT(" ",20))</f>
        <v/>
      </c>
      <c r="X1080" s="10">
        <f>IF(A1080="C",LEFT(UPPER(C1080)&amp;REPT(" ",10),10)," ")</f>
        <v/>
      </c>
      <c r="Y1080" s="10">
        <f>IF(A1080="C",LEFT(UPPER(D1080)&amp;REPT(" ",2),2)," ")</f>
        <v/>
      </c>
      <c r="Z1080" s="10">
        <f>IF(A1080="C",LEFT(UPPER(E1080)&amp;REPT(" ",15),15)," ")</f>
        <v/>
      </c>
      <c r="AA1080" s="10">
        <f>REPT(" ",8)</f>
        <v/>
      </c>
      <c r="AB1080" s="10">
        <f>REPT(" ",4)</f>
        <v/>
      </c>
      <c r="AC1080" s="10">
        <f>LEFT(UPPER(H1080)&amp;REPT(" ",250),250)</f>
        <v/>
      </c>
      <c r="AD1080" s="10">
        <f>TEXT($G$2,"dd/mm/aaaa")</f>
        <v/>
      </c>
      <c r="AE1080" s="10">
        <f>REPT(" ",10)</f>
        <v/>
      </c>
      <c r="AF1080" s="10">
        <f>REPT(" ",20)</f>
        <v/>
      </c>
      <c r="AG1080" s="54">
        <f>REPT(" ",18-LEN(FIXED(F1080,2,TRUE)))&amp;FIXED(F1080,2,TRUE)</f>
        <v/>
      </c>
      <c r="AH1080" s="10">
        <f>LEN(AC1080)+LEN(AG1080)</f>
        <v/>
      </c>
      <c r="AI1080" s="10">
        <f>LEN(L1080)</f>
        <v/>
      </c>
    </row>
    <row r="1081">
      <c r="J1081" s="12">
        <f>IF(F1081&lt;&gt;0,"LANÇAR","")</f>
        <v/>
      </c>
      <c r="L1081" s="13">
        <f>N1081&amp;O1081&amp;P1081&amp;Q1081&amp;R1081&amp;S1081&amp;T1081&amp;U1081&amp;V1081&amp;W1081&amp;X1081&amp;Y1081&amp;Z1081&amp;AA1081&amp;AB1081&amp;AC1081&amp;AD1081&amp;AE1081&amp;AF1081&amp;AG1081</f>
        <v/>
      </c>
      <c r="N1081" s="10">
        <f>TEXT($B$6,"00")</f>
        <v/>
      </c>
      <c r="O1081" s="10">
        <f>REPT(" ",8)</f>
        <v/>
      </c>
      <c r="P1081" s="10">
        <f>RIGHT($B$4,2)</f>
        <v/>
      </c>
      <c r="Q1081" s="10">
        <f>RIGHT($B$5,3)</f>
        <v/>
      </c>
      <c r="R1081" s="10">
        <f>IF(A1081="D",LEFT(UPPER(B1081)&amp;REPT(" ",20),20),REPT(" ",20))</f>
        <v/>
      </c>
      <c r="S1081" s="10">
        <f>IF(A1081="D",LEFT(UPPER(C1081)&amp;REPT(" ",10),10)," ")</f>
        <v/>
      </c>
      <c r="T1081" s="10">
        <f>IF(A1081="D",LEFT(UPPER(D1081)&amp;REPT(" ",2),2)," ")</f>
        <v/>
      </c>
      <c r="U1081" s="10">
        <f>IF(A1081="D",LEFT(UPPER(E1081)&amp;REPT(" ",15),15)," ")</f>
        <v/>
      </c>
      <c r="V1081" s="10">
        <f>REPT(" ",24)</f>
        <v/>
      </c>
      <c r="W1081" s="10">
        <f>IF(A1081="c",LEFT(UPPER(B1081)&amp;REPT(" ",20),20),REPT(" ",20))</f>
        <v/>
      </c>
      <c r="X1081" s="10">
        <f>IF(A1081="C",LEFT(UPPER(C1081)&amp;REPT(" ",10),10)," ")</f>
        <v/>
      </c>
      <c r="Y1081" s="10">
        <f>IF(A1081="C",LEFT(UPPER(D1081)&amp;REPT(" ",2),2)," ")</f>
        <v/>
      </c>
      <c r="Z1081" s="10">
        <f>IF(A1081="C",LEFT(UPPER(E1081)&amp;REPT(" ",15),15)," ")</f>
        <v/>
      </c>
      <c r="AA1081" s="10">
        <f>REPT(" ",8)</f>
        <v/>
      </c>
      <c r="AB1081" s="10">
        <f>REPT(" ",4)</f>
        <v/>
      </c>
      <c r="AC1081" s="10">
        <f>LEFT(UPPER(H1081)&amp;REPT(" ",250),250)</f>
        <v/>
      </c>
      <c r="AD1081" s="10">
        <f>TEXT($G$2,"dd/mm/aaaa")</f>
        <v/>
      </c>
      <c r="AE1081" s="10">
        <f>REPT(" ",10)</f>
        <v/>
      </c>
      <c r="AF1081" s="10">
        <f>REPT(" ",20)</f>
        <v/>
      </c>
      <c r="AG1081" s="54">
        <f>REPT(" ",18-LEN(FIXED(F1081,2,TRUE)))&amp;FIXED(F1081,2,TRUE)</f>
        <v/>
      </c>
      <c r="AH1081" s="10">
        <f>LEN(AC1081)+LEN(AG1081)</f>
        <v/>
      </c>
      <c r="AI1081" s="10">
        <f>LEN(L1081)</f>
        <v/>
      </c>
    </row>
    <row r="1082">
      <c r="J1082" s="12">
        <f>IF(F1082&lt;&gt;0,"LANÇAR","")</f>
        <v/>
      </c>
      <c r="L1082" s="13">
        <f>N1082&amp;O1082&amp;P1082&amp;Q1082&amp;R1082&amp;S1082&amp;T1082&amp;U1082&amp;V1082&amp;W1082&amp;X1082&amp;Y1082&amp;Z1082&amp;AA1082&amp;AB1082&amp;AC1082&amp;AD1082&amp;AE1082&amp;AF1082&amp;AG1082</f>
        <v/>
      </c>
      <c r="N1082" s="10">
        <f>TEXT($B$6,"00")</f>
        <v/>
      </c>
      <c r="O1082" s="10">
        <f>REPT(" ",8)</f>
        <v/>
      </c>
      <c r="P1082" s="10">
        <f>RIGHT($B$4,2)</f>
        <v/>
      </c>
      <c r="Q1082" s="10">
        <f>RIGHT($B$5,3)</f>
        <v/>
      </c>
      <c r="R1082" s="10">
        <f>IF(A1082="D",LEFT(UPPER(B1082)&amp;REPT(" ",20),20),REPT(" ",20))</f>
        <v/>
      </c>
      <c r="S1082" s="10">
        <f>IF(A1082="D",LEFT(UPPER(C1082)&amp;REPT(" ",10),10)," ")</f>
        <v/>
      </c>
      <c r="T1082" s="10">
        <f>IF(A1082="D",LEFT(UPPER(D1082)&amp;REPT(" ",2),2)," ")</f>
        <v/>
      </c>
      <c r="U1082" s="10">
        <f>IF(A1082="D",LEFT(UPPER(E1082)&amp;REPT(" ",15),15)," ")</f>
        <v/>
      </c>
      <c r="V1082" s="10">
        <f>REPT(" ",24)</f>
        <v/>
      </c>
      <c r="W1082" s="10">
        <f>IF(A1082="c",LEFT(UPPER(B1082)&amp;REPT(" ",20),20),REPT(" ",20))</f>
        <v/>
      </c>
      <c r="X1082" s="10">
        <f>IF(A1082="C",LEFT(UPPER(C1082)&amp;REPT(" ",10),10)," ")</f>
        <v/>
      </c>
      <c r="Y1082" s="10">
        <f>IF(A1082="C",LEFT(UPPER(D1082)&amp;REPT(" ",2),2)," ")</f>
        <v/>
      </c>
      <c r="Z1082" s="10">
        <f>IF(A1082="C",LEFT(UPPER(E1082)&amp;REPT(" ",15),15)," ")</f>
        <v/>
      </c>
      <c r="AA1082" s="10">
        <f>REPT(" ",8)</f>
        <v/>
      </c>
      <c r="AB1082" s="10">
        <f>REPT(" ",4)</f>
        <v/>
      </c>
      <c r="AC1082" s="10">
        <f>LEFT(UPPER(H1082)&amp;REPT(" ",250),250)</f>
        <v/>
      </c>
      <c r="AD1082" s="10">
        <f>TEXT($G$2,"dd/mm/aaaa")</f>
        <v/>
      </c>
      <c r="AE1082" s="10">
        <f>REPT(" ",10)</f>
        <v/>
      </c>
      <c r="AF1082" s="10">
        <f>REPT(" ",20)</f>
        <v/>
      </c>
      <c r="AG1082" s="54">
        <f>REPT(" ",18-LEN(FIXED(F1082,2,TRUE)))&amp;FIXED(F1082,2,TRUE)</f>
        <v/>
      </c>
      <c r="AH1082" s="10">
        <f>LEN(AC1082)+LEN(AG1082)</f>
        <v/>
      </c>
      <c r="AI1082" s="10">
        <f>LEN(L1082)</f>
        <v/>
      </c>
    </row>
    <row r="1083">
      <c r="J1083" s="12">
        <f>IF(F1083&lt;&gt;0,"LANÇAR","")</f>
        <v/>
      </c>
      <c r="L1083" s="13">
        <f>N1083&amp;O1083&amp;P1083&amp;Q1083&amp;R1083&amp;S1083&amp;T1083&amp;U1083&amp;V1083&amp;W1083&amp;X1083&amp;Y1083&amp;Z1083&amp;AA1083&amp;AB1083&amp;AC1083&amp;AD1083&amp;AE1083&amp;AF1083&amp;AG1083</f>
        <v/>
      </c>
      <c r="N1083" s="10">
        <f>TEXT($B$6,"00")</f>
        <v/>
      </c>
      <c r="O1083" s="10">
        <f>REPT(" ",8)</f>
        <v/>
      </c>
      <c r="P1083" s="10">
        <f>RIGHT($B$4,2)</f>
        <v/>
      </c>
      <c r="Q1083" s="10">
        <f>RIGHT($B$5,3)</f>
        <v/>
      </c>
      <c r="R1083" s="10">
        <f>IF(A1083="D",LEFT(UPPER(B1083)&amp;REPT(" ",20),20),REPT(" ",20))</f>
        <v/>
      </c>
      <c r="S1083" s="10">
        <f>IF(A1083="D",LEFT(UPPER(C1083)&amp;REPT(" ",10),10)," ")</f>
        <v/>
      </c>
      <c r="T1083" s="10">
        <f>IF(A1083="D",LEFT(UPPER(D1083)&amp;REPT(" ",2),2)," ")</f>
        <v/>
      </c>
      <c r="U1083" s="10">
        <f>IF(A1083="D",LEFT(UPPER(E1083)&amp;REPT(" ",15),15)," ")</f>
        <v/>
      </c>
      <c r="V1083" s="10">
        <f>REPT(" ",24)</f>
        <v/>
      </c>
      <c r="W1083" s="10">
        <f>IF(A1083="c",LEFT(UPPER(B1083)&amp;REPT(" ",20),20),REPT(" ",20))</f>
        <v/>
      </c>
      <c r="X1083" s="10">
        <f>IF(A1083="C",LEFT(UPPER(C1083)&amp;REPT(" ",10),10)," ")</f>
        <v/>
      </c>
      <c r="Y1083" s="10">
        <f>IF(A1083="C",LEFT(UPPER(D1083)&amp;REPT(" ",2),2)," ")</f>
        <v/>
      </c>
      <c r="Z1083" s="10">
        <f>IF(A1083="C",LEFT(UPPER(E1083)&amp;REPT(" ",15),15)," ")</f>
        <v/>
      </c>
      <c r="AA1083" s="10">
        <f>REPT(" ",8)</f>
        <v/>
      </c>
      <c r="AB1083" s="10">
        <f>REPT(" ",4)</f>
        <v/>
      </c>
      <c r="AC1083" s="10">
        <f>LEFT(UPPER(H1083)&amp;REPT(" ",250),250)</f>
        <v/>
      </c>
      <c r="AD1083" s="10">
        <f>TEXT($G$2,"dd/mm/aaaa")</f>
        <v/>
      </c>
      <c r="AE1083" s="10">
        <f>REPT(" ",10)</f>
        <v/>
      </c>
      <c r="AF1083" s="10">
        <f>REPT(" ",20)</f>
        <v/>
      </c>
      <c r="AG1083" s="54">
        <f>REPT(" ",18-LEN(FIXED(F1083,2,TRUE)))&amp;FIXED(F1083,2,TRUE)</f>
        <v/>
      </c>
      <c r="AH1083" s="10">
        <f>LEN(AC1083)+LEN(AG1083)</f>
        <v/>
      </c>
      <c r="AI1083" s="10">
        <f>LEN(L1083)</f>
        <v/>
      </c>
    </row>
    <row r="1084">
      <c r="J1084" s="12">
        <f>IF(F1084&lt;&gt;0,"LANÇAR","")</f>
        <v/>
      </c>
      <c r="L1084" s="13">
        <f>N1084&amp;O1084&amp;P1084&amp;Q1084&amp;R1084&amp;S1084&amp;T1084&amp;U1084&amp;V1084&amp;W1084&amp;X1084&amp;Y1084&amp;Z1084&amp;AA1084&amp;AB1084&amp;AC1084&amp;AD1084&amp;AE1084&amp;AF1084&amp;AG1084</f>
        <v/>
      </c>
      <c r="N1084" s="10">
        <f>TEXT($B$6,"00")</f>
        <v/>
      </c>
      <c r="O1084" s="10">
        <f>REPT(" ",8)</f>
        <v/>
      </c>
      <c r="P1084" s="10">
        <f>RIGHT($B$4,2)</f>
        <v/>
      </c>
      <c r="Q1084" s="10">
        <f>RIGHT($B$5,3)</f>
        <v/>
      </c>
      <c r="R1084" s="10">
        <f>IF(A1084="D",LEFT(UPPER(B1084)&amp;REPT(" ",20),20),REPT(" ",20))</f>
        <v/>
      </c>
      <c r="S1084" s="10">
        <f>IF(A1084="D",LEFT(UPPER(C1084)&amp;REPT(" ",10),10)," ")</f>
        <v/>
      </c>
      <c r="T1084" s="10">
        <f>IF(A1084="D",LEFT(UPPER(D1084)&amp;REPT(" ",2),2)," ")</f>
        <v/>
      </c>
      <c r="U1084" s="10">
        <f>IF(A1084="D",LEFT(UPPER(E1084)&amp;REPT(" ",15),15)," ")</f>
        <v/>
      </c>
      <c r="V1084" s="10">
        <f>REPT(" ",24)</f>
        <v/>
      </c>
      <c r="W1084" s="10">
        <f>IF(A1084="c",LEFT(UPPER(B1084)&amp;REPT(" ",20),20),REPT(" ",20))</f>
        <v/>
      </c>
      <c r="X1084" s="10">
        <f>IF(A1084="C",LEFT(UPPER(C1084)&amp;REPT(" ",10),10)," ")</f>
        <v/>
      </c>
      <c r="Y1084" s="10">
        <f>IF(A1084="C",LEFT(UPPER(D1084)&amp;REPT(" ",2),2)," ")</f>
        <v/>
      </c>
      <c r="Z1084" s="10">
        <f>IF(A1084="C",LEFT(UPPER(E1084)&amp;REPT(" ",15),15)," ")</f>
        <v/>
      </c>
      <c r="AA1084" s="10">
        <f>REPT(" ",8)</f>
        <v/>
      </c>
      <c r="AB1084" s="10">
        <f>REPT(" ",4)</f>
        <v/>
      </c>
      <c r="AC1084" s="10">
        <f>LEFT(UPPER(H1084)&amp;REPT(" ",250),250)</f>
        <v/>
      </c>
      <c r="AD1084" s="10">
        <f>TEXT($G$2,"dd/mm/aaaa")</f>
        <v/>
      </c>
      <c r="AE1084" s="10">
        <f>REPT(" ",10)</f>
        <v/>
      </c>
      <c r="AF1084" s="10">
        <f>REPT(" ",20)</f>
        <v/>
      </c>
      <c r="AG1084" s="54">
        <f>REPT(" ",18-LEN(FIXED(F1084,2,TRUE)))&amp;FIXED(F1084,2,TRUE)</f>
        <v/>
      </c>
      <c r="AH1084" s="10">
        <f>LEN(AC1084)+LEN(AG1084)</f>
        <v/>
      </c>
      <c r="AI1084" s="10">
        <f>LEN(L1084)</f>
        <v/>
      </c>
    </row>
    <row r="1085">
      <c r="J1085" s="12">
        <f>IF(F1085&lt;&gt;0,"LANÇAR","")</f>
        <v/>
      </c>
      <c r="L1085" s="13">
        <f>N1085&amp;O1085&amp;P1085&amp;Q1085&amp;R1085&amp;S1085&amp;T1085&amp;U1085&amp;V1085&amp;W1085&amp;X1085&amp;Y1085&amp;Z1085&amp;AA1085&amp;AB1085&amp;AC1085&amp;AD1085&amp;AE1085&amp;AF1085&amp;AG1085</f>
        <v/>
      </c>
      <c r="N1085" s="10">
        <f>TEXT($B$6,"00")</f>
        <v/>
      </c>
      <c r="O1085" s="10">
        <f>REPT(" ",8)</f>
        <v/>
      </c>
      <c r="P1085" s="10">
        <f>RIGHT($B$4,2)</f>
        <v/>
      </c>
      <c r="Q1085" s="10">
        <f>RIGHT($B$5,3)</f>
        <v/>
      </c>
      <c r="R1085" s="10">
        <f>IF(A1085="D",LEFT(UPPER(B1085)&amp;REPT(" ",20),20),REPT(" ",20))</f>
        <v/>
      </c>
      <c r="S1085" s="10">
        <f>IF(A1085="D",LEFT(UPPER(C1085)&amp;REPT(" ",10),10)," ")</f>
        <v/>
      </c>
      <c r="T1085" s="10">
        <f>IF(A1085="D",LEFT(UPPER(D1085)&amp;REPT(" ",2),2)," ")</f>
        <v/>
      </c>
      <c r="U1085" s="10">
        <f>IF(A1085="D",LEFT(UPPER(E1085)&amp;REPT(" ",15),15)," ")</f>
        <v/>
      </c>
      <c r="V1085" s="10">
        <f>REPT(" ",24)</f>
        <v/>
      </c>
      <c r="W1085" s="10">
        <f>IF(A1085="c",LEFT(UPPER(B1085)&amp;REPT(" ",20),20),REPT(" ",20))</f>
        <v/>
      </c>
      <c r="X1085" s="10">
        <f>IF(A1085="C",LEFT(UPPER(C1085)&amp;REPT(" ",10),10)," ")</f>
        <v/>
      </c>
      <c r="Y1085" s="10">
        <f>IF(A1085="C",LEFT(UPPER(D1085)&amp;REPT(" ",2),2)," ")</f>
        <v/>
      </c>
      <c r="Z1085" s="10">
        <f>IF(A1085="C",LEFT(UPPER(E1085)&amp;REPT(" ",15),15)," ")</f>
        <v/>
      </c>
      <c r="AA1085" s="10">
        <f>REPT(" ",8)</f>
        <v/>
      </c>
      <c r="AB1085" s="10">
        <f>REPT(" ",4)</f>
        <v/>
      </c>
      <c r="AC1085" s="10">
        <f>LEFT(UPPER(H1085)&amp;REPT(" ",250),250)</f>
        <v/>
      </c>
      <c r="AD1085" s="10">
        <f>TEXT($G$2,"dd/mm/aaaa")</f>
        <v/>
      </c>
      <c r="AE1085" s="10">
        <f>REPT(" ",10)</f>
        <v/>
      </c>
      <c r="AF1085" s="10">
        <f>REPT(" ",20)</f>
        <v/>
      </c>
      <c r="AG1085" s="54">
        <f>REPT(" ",18-LEN(FIXED(F1085,2,TRUE)))&amp;FIXED(F1085,2,TRUE)</f>
        <v/>
      </c>
      <c r="AH1085" s="10">
        <f>LEN(AC1085)+LEN(AG1085)</f>
        <v/>
      </c>
      <c r="AI1085" s="10">
        <f>LEN(L1085)</f>
        <v/>
      </c>
    </row>
    <row r="1086">
      <c r="J1086" s="12">
        <f>IF(F1086&lt;&gt;0,"LANÇAR","")</f>
        <v/>
      </c>
      <c r="L1086" s="13">
        <f>N1086&amp;O1086&amp;P1086&amp;Q1086&amp;R1086&amp;S1086&amp;T1086&amp;U1086&amp;V1086&amp;W1086&amp;X1086&amp;Y1086&amp;Z1086&amp;AA1086&amp;AB1086&amp;AC1086&amp;AD1086&amp;AE1086&amp;AF1086&amp;AG1086</f>
        <v/>
      </c>
      <c r="N1086" s="10">
        <f>TEXT($B$6,"00")</f>
        <v/>
      </c>
      <c r="O1086" s="10">
        <f>REPT(" ",8)</f>
        <v/>
      </c>
      <c r="P1086" s="10">
        <f>RIGHT($B$4,2)</f>
        <v/>
      </c>
      <c r="Q1086" s="10">
        <f>RIGHT($B$5,3)</f>
        <v/>
      </c>
      <c r="R1086" s="10">
        <f>IF(A1086="D",LEFT(UPPER(B1086)&amp;REPT(" ",20),20),REPT(" ",20))</f>
        <v/>
      </c>
      <c r="S1086" s="10">
        <f>IF(A1086="D",LEFT(UPPER(C1086)&amp;REPT(" ",10),10)," ")</f>
        <v/>
      </c>
      <c r="T1086" s="10">
        <f>IF(A1086="D",LEFT(UPPER(D1086)&amp;REPT(" ",2),2)," ")</f>
        <v/>
      </c>
      <c r="U1086" s="10">
        <f>IF(A1086="D",LEFT(UPPER(E1086)&amp;REPT(" ",15),15)," ")</f>
        <v/>
      </c>
      <c r="V1086" s="10">
        <f>REPT(" ",24)</f>
        <v/>
      </c>
      <c r="W1086" s="10">
        <f>IF(A1086="c",LEFT(UPPER(B1086)&amp;REPT(" ",20),20),REPT(" ",20))</f>
        <v/>
      </c>
      <c r="X1086" s="10">
        <f>IF(A1086="C",LEFT(UPPER(C1086)&amp;REPT(" ",10),10)," ")</f>
        <v/>
      </c>
      <c r="Y1086" s="10">
        <f>IF(A1086="C",LEFT(UPPER(D1086)&amp;REPT(" ",2),2)," ")</f>
        <v/>
      </c>
      <c r="Z1086" s="10">
        <f>IF(A1086="C",LEFT(UPPER(E1086)&amp;REPT(" ",15),15)," ")</f>
        <v/>
      </c>
      <c r="AA1086" s="10">
        <f>REPT(" ",8)</f>
        <v/>
      </c>
      <c r="AB1086" s="10">
        <f>REPT(" ",4)</f>
        <v/>
      </c>
      <c r="AC1086" s="10">
        <f>LEFT(UPPER(H1086)&amp;REPT(" ",250),250)</f>
        <v/>
      </c>
      <c r="AD1086" s="10">
        <f>TEXT($G$2,"dd/mm/aaaa")</f>
        <v/>
      </c>
      <c r="AE1086" s="10">
        <f>REPT(" ",10)</f>
        <v/>
      </c>
      <c r="AF1086" s="10">
        <f>REPT(" ",20)</f>
        <v/>
      </c>
      <c r="AG1086" s="54">
        <f>REPT(" ",18-LEN(FIXED(F1086,2,TRUE)))&amp;FIXED(F1086,2,TRUE)</f>
        <v/>
      </c>
      <c r="AH1086" s="10">
        <f>LEN(AC1086)+LEN(AG1086)</f>
        <v/>
      </c>
      <c r="AI1086" s="10">
        <f>LEN(L1086)</f>
        <v/>
      </c>
    </row>
    <row r="1087">
      <c r="J1087" s="12">
        <f>IF(F1087&lt;&gt;0,"LANÇAR","")</f>
        <v/>
      </c>
      <c r="L1087" s="13">
        <f>N1087&amp;O1087&amp;P1087&amp;Q1087&amp;R1087&amp;S1087&amp;T1087&amp;U1087&amp;V1087&amp;W1087&amp;X1087&amp;Y1087&amp;Z1087&amp;AA1087&amp;AB1087&amp;AC1087&amp;AD1087&amp;AE1087&amp;AF1087&amp;AG1087</f>
        <v/>
      </c>
      <c r="N1087" s="10">
        <f>TEXT($B$6,"00")</f>
        <v/>
      </c>
      <c r="O1087" s="10">
        <f>REPT(" ",8)</f>
        <v/>
      </c>
      <c r="P1087" s="10">
        <f>RIGHT($B$4,2)</f>
        <v/>
      </c>
      <c r="Q1087" s="10">
        <f>RIGHT($B$5,3)</f>
        <v/>
      </c>
      <c r="R1087" s="10">
        <f>IF(A1087="D",LEFT(UPPER(B1087)&amp;REPT(" ",20),20),REPT(" ",20))</f>
        <v/>
      </c>
      <c r="S1087" s="10">
        <f>IF(A1087="D",LEFT(UPPER(C1087)&amp;REPT(" ",10),10)," ")</f>
        <v/>
      </c>
      <c r="T1087" s="10">
        <f>IF(A1087="D",LEFT(UPPER(D1087)&amp;REPT(" ",2),2)," ")</f>
        <v/>
      </c>
      <c r="U1087" s="10">
        <f>IF(A1087="D",LEFT(UPPER(E1087)&amp;REPT(" ",15),15)," ")</f>
        <v/>
      </c>
      <c r="V1087" s="10">
        <f>REPT(" ",24)</f>
        <v/>
      </c>
      <c r="W1087" s="10">
        <f>IF(A1087="c",LEFT(UPPER(B1087)&amp;REPT(" ",20),20),REPT(" ",20))</f>
        <v/>
      </c>
      <c r="X1087" s="10">
        <f>IF(A1087="C",LEFT(UPPER(C1087)&amp;REPT(" ",10),10)," ")</f>
        <v/>
      </c>
      <c r="Y1087" s="10">
        <f>IF(A1087="C",LEFT(UPPER(D1087)&amp;REPT(" ",2),2)," ")</f>
        <v/>
      </c>
      <c r="Z1087" s="10">
        <f>IF(A1087="C",LEFT(UPPER(E1087)&amp;REPT(" ",15),15)," ")</f>
        <v/>
      </c>
      <c r="AA1087" s="10">
        <f>REPT(" ",8)</f>
        <v/>
      </c>
      <c r="AB1087" s="10">
        <f>REPT(" ",4)</f>
        <v/>
      </c>
      <c r="AC1087" s="10">
        <f>LEFT(UPPER(H1087)&amp;REPT(" ",250),250)</f>
        <v/>
      </c>
      <c r="AD1087" s="10">
        <f>TEXT($G$2,"dd/mm/aaaa")</f>
        <v/>
      </c>
      <c r="AE1087" s="10">
        <f>REPT(" ",10)</f>
        <v/>
      </c>
      <c r="AF1087" s="10">
        <f>REPT(" ",20)</f>
        <v/>
      </c>
      <c r="AG1087" s="54">
        <f>REPT(" ",18-LEN(FIXED(F1087,2,TRUE)))&amp;FIXED(F1087,2,TRUE)</f>
        <v/>
      </c>
      <c r="AH1087" s="10">
        <f>LEN(AC1087)+LEN(AG1087)</f>
        <v/>
      </c>
      <c r="AI1087" s="10">
        <f>LEN(L1087)</f>
        <v/>
      </c>
    </row>
    <row r="1088">
      <c r="J1088" s="12">
        <f>IF(F1088&lt;&gt;0,"LANÇAR","")</f>
        <v/>
      </c>
      <c r="L1088" s="13">
        <f>N1088&amp;O1088&amp;P1088&amp;Q1088&amp;R1088&amp;S1088&amp;T1088&amp;U1088&amp;V1088&amp;W1088&amp;X1088&amp;Y1088&amp;Z1088&amp;AA1088&amp;AB1088&amp;AC1088&amp;AD1088&amp;AE1088&amp;AF1088&amp;AG1088</f>
        <v/>
      </c>
      <c r="N1088" s="10">
        <f>TEXT($B$6,"00")</f>
        <v/>
      </c>
      <c r="O1088" s="10">
        <f>REPT(" ",8)</f>
        <v/>
      </c>
      <c r="P1088" s="10">
        <f>RIGHT($B$4,2)</f>
        <v/>
      </c>
      <c r="Q1088" s="10">
        <f>RIGHT($B$5,3)</f>
        <v/>
      </c>
      <c r="R1088" s="10">
        <f>IF(A1088="D",LEFT(UPPER(B1088)&amp;REPT(" ",20),20),REPT(" ",20))</f>
        <v/>
      </c>
      <c r="S1088" s="10">
        <f>IF(A1088="D",LEFT(UPPER(C1088)&amp;REPT(" ",10),10)," ")</f>
        <v/>
      </c>
      <c r="T1088" s="10">
        <f>IF(A1088="D",LEFT(UPPER(D1088)&amp;REPT(" ",2),2)," ")</f>
        <v/>
      </c>
      <c r="U1088" s="10">
        <f>IF(A1088="D",LEFT(UPPER(E1088)&amp;REPT(" ",15),15)," ")</f>
        <v/>
      </c>
      <c r="V1088" s="10">
        <f>REPT(" ",24)</f>
        <v/>
      </c>
      <c r="W1088" s="10">
        <f>IF(A1088="c",LEFT(UPPER(B1088)&amp;REPT(" ",20),20),REPT(" ",20))</f>
        <v/>
      </c>
      <c r="X1088" s="10">
        <f>IF(A1088="C",LEFT(UPPER(C1088)&amp;REPT(" ",10),10)," ")</f>
        <v/>
      </c>
      <c r="Y1088" s="10">
        <f>IF(A1088="C",LEFT(UPPER(D1088)&amp;REPT(" ",2),2)," ")</f>
        <v/>
      </c>
      <c r="Z1088" s="10">
        <f>IF(A1088="C",LEFT(UPPER(E1088)&amp;REPT(" ",15),15)," ")</f>
        <v/>
      </c>
      <c r="AA1088" s="10">
        <f>REPT(" ",8)</f>
        <v/>
      </c>
      <c r="AB1088" s="10">
        <f>REPT(" ",4)</f>
        <v/>
      </c>
      <c r="AC1088" s="10">
        <f>LEFT(UPPER(H1088)&amp;REPT(" ",250),250)</f>
        <v/>
      </c>
      <c r="AD1088" s="10">
        <f>TEXT($G$2,"dd/mm/aaaa")</f>
        <v/>
      </c>
      <c r="AE1088" s="10">
        <f>REPT(" ",10)</f>
        <v/>
      </c>
      <c r="AF1088" s="10">
        <f>REPT(" ",20)</f>
        <v/>
      </c>
      <c r="AG1088" s="54">
        <f>REPT(" ",18-LEN(FIXED(F1088,2,TRUE)))&amp;FIXED(F1088,2,TRUE)</f>
        <v/>
      </c>
      <c r="AH1088" s="10">
        <f>LEN(AC1088)+LEN(AG1088)</f>
        <v/>
      </c>
      <c r="AI1088" s="10">
        <f>LEN(L1088)</f>
        <v/>
      </c>
    </row>
    <row r="1089">
      <c r="J1089" s="12">
        <f>IF(F1089&lt;&gt;0,"LANÇAR","")</f>
        <v/>
      </c>
      <c r="L1089" s="13">
        <f>N1089&amp;O1089&amp;P1089&amp;Q1089&amp;R1089&amp;S1089&amp;T1089&amp;U1089&amp;V1089&amp;W1089&amp;X1089&amp;Y1089&amp;Z1089&amp;AA1089&amp;AB1089&amp;AC1089&amp;AD1089&amp;AE1089&amp;AF1089&amp;AG1089</f>
        <v/>
      </c>
      <c r="N1089" s="10">
        <f>TEXT($B$6,"00")</f>
        <v/>
      </c>
      <c r="O1089" s="10">
        <f>REPT(" ",8)</f>
        <v/>
      </c>
      <c r="P1089" s="10">
        <f>RIGHT($B$4,2)</f>
        <v/>
      </c>
      <c r="Q1089" s="10">
        <f>RIGHT($B$5,3)</f>
        <v/>
      </c>
      <c r="R1089" s="10">
        <f>IF(A1089="D",LEFT(UPPER(B1089)&amp;REPT(" ",20),20),REPT(" ",20))</f>
        <v/>
      </c>
      <c r="S1089" s="10">
        <f>IF(A1089="D",LEFT(UPPER(C1089)&amp;REPT(" ",10),10)," ")</f>
        <v/>
      </c>
      <c r="T1089" s="10">
        <f>IF(A1089="D",LEFT(UPPER(D1089)&amp;REPT(" ",2),2)," ")</f>
        <v/>
      </c>
      <c r="U1089" s="10">
        <f>IF(A1089="D",LEFT(UPPER(E1089)&amp;REPT(" ",15),15)," ")</f>
        <v/>
      </c>
      <c r="V1089" s="10">
        <f>REPT(" ",24)</f>
        <v/>
      </c>
      <c r="W1089" s="10">
        <f>IF(A1089="c",LEFT(UPPER(B1089)&amp;REPT(" ",20),20),REPT(" ",20))</f>
        <v/>
      </c>
      <c r="X1089" s="10">
        <f>IF(A1089="C",LEFT(UPPER(C1089)&amp;REPT(" ",10),10)," ")</f>
        <v/>
      </c>
      <c r="Y1089" s="10">
        <f>IF(A1089="C",LEFT(UPPER(D1089)&amp;REPT(" ",2),2)," ")</f>
        <v/>
      </c>
      <c r="Z1089" s="10">
        <f>IF(A1089="C",LEFT(UPPER(E1089)&amp;REPT(" ",15),15)," ")</f>
        <v/>
      </c>
      <c r="AA1089" s="10">
        <f>REPT(" ",8)</f>
        <v/>
      </c>
      <c r="AB1089" s="10">
        <f>REPT(" ",4)</f>
        <v/>
      </c>
      <c r="AC1089" s="10">
        <f>LEFT(UPPER(H1089)&amp;REPT(" ",250),250)</f>
        <v/>
      </c>
      <c r="AD1089" s="10">
        <f>TEXT($G$2,"dd/mm/aaaa")</f>
        <v/>
      </c>
      <c r="AE1089" s="10">
        <f>REPT(" ",10)</f>
        <v/>
      </c>
      <c r="AF1089" s="10">
        <f>REPT(" ",20)</f>
        <v/>
      </c>
      <c r="AG1089" s="54">
        <f>REPT(" ",18-LEN(FIXED(F1089,2,TRUE)))&amp;FIXED(F1089,2,TRUE)</f>
        <v/>
      </c>
      <c r="AH1089" s="10">
        <f>LEN(AC1089)+LEN(AG1089)</f>
        <v/>
      </c>
      <c r="AI1089" s="10">
        <f>LEN(L1089)</f>
        <v/>
      </c>
    </row>
    <row r="1090">
      <c r="J1090" s="12">
        <f>IF(F1090&lt;&gt;0,"LANÇAR","")</f>
        <v/>
      </c>
      <c r="L1090" s="13">
        <f>N1090&amp;O1090&amp;P1090&amp;Q1090&amp;R1090&amp;S1090&amp;T1090&amp;U1090&amp;V1090&amp;W1090&amp;X1090&amp;Y1090&amp;Z1090&amp;AA1090&amp;AB1090&amp;AC1090&amp;AD1090&amp;AE1090&amp;AF1090&amp;AG1090</f>
        <v/>
      </c>
      <c r="N1090" s="10">
        <f>TEXT($B$6,"00")</f>
        <v/>
      </c>
      <c r="O1090" s="10">
        <f>REPT(" ",8)</f>
        <v/>
      </c>
      <c r="P1090" s="10">
        <f>RIGHT($B$4,2)</f>
        <v/>
      </c>
      <c r="Q1090" s="10">
        <f>RIGHT($B$5,3)</f>
        <v/>
      </c>
      <c r="R1090" s="10">
        <f>IF(A1090="D",LEFT(UPPER(B1090)&amp;REPT(" ",20),20),REPT(" ",20))</f>
        <v/>
      </c>
      <c r="S1090" s="10">
        <f>IF(A1090="D",LEFT(UPPER(C1090)&amp;REPT(" ",10),10)," ")</f>
        <v/>
      </c>
      <c r="T1090" s="10">
        <f>IF(A1090="D",LEFT(UPPER(D1090)&amp;REPT(" ",2),2)," ")</f>
        <v/>
      </c>
      <c r="U1090" s="10">
        <f>IF(A1090="D",LEFT(UPPER(E1090)&amp;REPT(" ",15),15)," ")</f>
        <v/>
      </c>
      <c r="V1090" s="10">
        <f>REPT(" ",24)</f>
        <v/>
      </c>
      <c r="W1090" s="10">
        <f>IF(A1090="c",LEFT(UPPER(B1090)&amp;REPT(" ",20),20),REPT(" ",20))</f>
        <v/>
      </c>
      <c r="X1090" s="10">
        <f>IF(A1090="C",LEFT(UPPER(C1090)&amp;REPT(" ",10),10)," ")</f>
        <v/>
      </c>
      <c r="Y1090" s="10">
        <f>IF(A1090="C",LEFT(UPPER(D1090)&amp;REPT(" ",2),2)," ")</f>
        <v/>
      </c>
      <c r="Z1090" s="10">
        <f>IF(A1090="C",LEFT(UPPER(E1090)&amp;REPT(" ",15),15)," ")</f>
        <v/>
      </c>
      <c r="AA1090" s="10">
        <f>REPT(" ",8)</f>
        <v/>
      </c>
      <c r="AB1090" s="10">
        <f>REPT(" ",4)</f>
        <v/>
      </c>
      <c r="AC1090" s="10">
        <f>LEFT(UPPER(H1090)&amp;REPT(" ",250),250)</f>
        <v/>
      </c>
      <c r="AD1090" s="10">
        <f>TEXT($G$2,"dd/mm/aaaa")</f>
        <v/>
      </c>
      <c r="AE1090" s="10">
        <f>REPT(" ",10)</f>
        <v/>
      </c>
      <c r="AF1090" s="10">
        <f>REPT(" ",20)</f>
        <v/>
      </c>
      <c r="AG1090" s="54">
        <f>REPT(" ",18-LEN(FIXED(F1090,2,TRUE)))&amp;FIXED(F1090,2,TRUE)</f>
        <v/>
      </c>
      <c r="AH1090" s="10">
        <f>LEN(AC1090)+LEN(AG1090)</f>
        <v/>
      </c>
      <c r="AI1090" s="10">
        <f>LEN(L1090)</f>
        <v/>
      </c>
    </row>
    <row r="1091">
      <c r="J1091" s="12">
        <f>IF(F1091&lt;&gt;0,"LANÇAR","")</f>
        <v/>
      </c>
      <c r="L1091" s="13">
        <f>N1091&amp;O1091&amp;P1091&amp;Q1091&amp;R1091&amp;S1091&amp;T1091&amp;U1091&amp;V1091&amp;W1091&amp;X1091&amp;Y1091&amp;Z1091&amp;AA1091&amp;AB1091&amp;AC1091&amp;AD1091&amp;AE1091&amp;AF1091&amp;AG1091</f>
        <v/>
      </c>
      <c r="N1091" s="10">
        <f>TEXT($B$6,"00")</f>
        <v/>
      </c>
      <c r="O1091" s="10">
        <f>REPT(" ",8)</f>
        <v/>
      </c>
      <c r="P1091" s="10">
        <f>RIGHT($B$4,2)</f>
        <v/>
      </c>
      <c r="Q1091" s="10">
        <f>RIGHT($B$5,3)</f>
        <v/>
      </c>
      <c r="R1091" s="10">
        <f>IF(A1091="D",LEFT(UPPER(B1091)&amp;REPT(" ",20),20),REPT(" ",20))</f>
        <v/>
      </c>
      <c r="S1091" s="10">
        <f>IF(A1091="D",LEFT(UPPER(C1091)&amp;REPT(" ",10),10)," ")</f>
        <v/>
      </c>
      <c r="T1091" s="10">
        <f>IF(A1091="D",LEFT(UPPER(D1091)&amp;REPT(" ",2),2)," ")</f>
        <v/>
      </c>
      <c r="U1091" s="10">
        <f>IF(A1091="D",LEFT(UPPER(E1091)&amp;REPT(" ",15),15)," ")</f>
        <v/>
      </c>
      <c r="V1091" s="10">
        <f>REPT(" ",24)</f>
        <v/>
      </c>
      <c r="W1091" s="10">
        <f>IF(A1091="c",LEFT(UPPER(B1091)&amp;REPT(" ",20),20),REPT(" ",20))</f>
        <v/>
      </c>
      <c r="X1091" s="10">
        <f>IF(A1091="C",LEFT(UPPER(C1091)&amp;REPT(" ",10),10)," ")</f>
        <v/>
      </c>
      <c r="Y1091" s="10">
        <f>IF(A1091="C",LEFT(UPPER(D1091)&amp;REPT(" ",2),2)," ")</f>
        <v/>
      </c>
      <c r="Z1091" s="10">
        <f>IF(A1091="C",LEFT(UPPER(E1091)&amp;REPT(" ",15),15)," ")</f>
        <v/>
      </c>
      <c r="AA1091" s="10">
        <f>REPT(" ",8)</f>
        <v/>
      </c>
      <c r="AB1091" s="10">
        <f>REPT(" ",4)</f>
        <v/>
      </c>
      <c r="AC1091" s="10">
        <f>LEFT(UPPER(H1091)&amp;REPT(" ",250),250)</f>
        <v/>
      </c>
      <c r="AD1091" s="10">
        <f>TEXT($G$2,"dd/mm/aaaa")</f>
        <v/>
      </c>
      <c r="AE1091" s="10">
        <f>REPT(" ",10)</f>
        <v/>
      </c>
      <c r="AF1091" s="10">
        <f>REPT(" ",20)</f>
        <v/>
      </c>
      <c r="AG1091" s="54">
        <f>REPT(" ",18-LEN(FIXED(F1091,2,TRUE)))&amp;FIXED(F1091,2,TRUE)</f>
        <v/>
      </c>
      <c r="AH1091" s="10">
        <f>LEN(AC1091)+LEN(AG1091)</f>
        <v/>
      </c>
      <c r="AI1091" s="10">
        <f>LEN(L1091)</f>
        <v/>
      </c>
    </row>
    <row r="1092">
      <c r="J1092" s="12">
        <f>IF(F1092&lt;&gt;0,"LANÇAR","")</f>
        <v/>
      </c>
      <c r="L1092" s="13">
        <f>N1092&amp;O1092&amp;P1092&amp;Q1092&amp;R1092&amp;S1092&amp;T1092&amp;U1092&amp;V1092&amp;W1092&amp;X1092&amp;Y1092&amp;Z1092&amp;AA1092&amp;AB1092&amp;AC1092&amp;AD1092&amp;AE1092&amp;AF1092&amp;AG1092</f>
        <v/>
      </c>
      <c r="N1092" s="10">
        <f>TEXT($B$6,"00")</f>
        <v/>
      </c>
      <c r="O1092" s="10">
        <f>REPT(" ",8)</f>
        <v/>
      </c>
      <c r="P1092" s="10">
        <f>RIGHT($B$4,2)</f>
        <v/>
      </c>
      <c r="Q1092" s="10">
        <f>RIGHT($B$5,3)</f>
        <v/>
      </c>
      <c r="R1092" s="10">
        <f>IF(A1092="D",LEFT(UPPER(B1092)&amp;REPT(" ",20),20),REPT(" ",20))</f>
        <v/>
      </c>
      <c r="S1092" s="10">
        <f>IF(A1092="D",LEFT(UPPER(C1092)&amp;REPT(" ",10),10)," ")</f>
        <v/>
      </c>
      <c r="T1092" s="10">
        <f>IF(A1092="D",LEFT(UPPER(D1092)&amp;REPT(" ",2),2)," ")</f>
        <v/>
      </c>
      <c r="U1092" s="10">
        <f>IF(A1092="D",LEFT(UPPER(E1092)&amp;REPT(" ",15),15)," ")</f>
        <v/>
      </c>
      <c r="V1092" s="10">
        <f>REPT(" ",24)</f>
        <v/>
      </c>
      <c r="W1092" s="10">
        <f>IF(A1092="c",LEFT(UPPER(B1092)&amp;REPT(" ",20),20),REPT(" ",20))</f>
        <v/>
      </c>
      <c r="X1092" s="10">
        <f>IF(A1092="C",LEFT(UPPER(C1092)&amp;REPT(" ",10),10)," ")</f>
        <v/>
      </c>
      <c r="Y1092" s="10">
        <f>IF(A1092="C",LEFT(UPPER(D1092)&amp;REPT(" ",2),2)," ")</f>
        <v/>
      </c>
      <c r="Z1092" s="10">
        <f>IF(A1092="C",LEFT(UPPER(E1092)&amp;REPT(" ",15),15)," ")</f>
        <v/>
      </c>
      <c r="AA1092" s="10">
        <f>REPT(" ",8)</f>
        <v/>
      </c>
      <c r="AB1092" s="10">
        <f>REPT(" ",4)</f>
        <v/>
      </c>
      <c r="AC1092" s="10">
        <f>LEFT(UPPER(H1092)&amp;REPT(" ",250),250)</f>
        <v/>
      </c>
      <c r="AD1092" s="10">
        <f>TEXT($G$2,"dd/mm/aaaa")</f>
        <v/>
      </c>
      <c r="AE1092" s="10">
        <f>REPT(" ",10)</f>
        <v/>
      </c>
      <c r="AF1092" s="10">
        <f>REPT(" ",20)</f>
        <v/>
      </c>
      <c r="AG1092" s="54">
        <f>REPT(" ",18-LEN(FIXED(F1092,2,TRUE)))&amp;FIXED(F1092,2,TRUE)</f>
        <v/>
      </c>
      <c r="AH1092" s="10">
        <f>LEN(AC1092)+LEN(AG1092)</f>
        <v/>
      </c>
      <c r="AI1092" s="10">
        <f>LEN(L1092)</f>
        <v/>
      </c>
    </row>
    <row r="1093">
      <c r="J1093" s="12">
        <f>IF(F1093&lt;&gt;0,"LANÇAR","")</f>
        <v/>
      </c>
      <c r="L1093" s="13">
        <f>N1093&amp;O1093&amp;P1093&amp;Q1093&amp;R1093&amp;S1093&amp;T1093&amp;U1093&amp;V1093&amp;W1093&amp;X1093&amp;Y1093&amp;Z1093&amp;AA1093&amp;AB1093&amp;AC1093&amp;AD1093&amp;AE1093&amp;AF1093&amp;AG1093</f>
        <v/>
      </c>
      <c r="N1093" s="10">
        <f>TEXT($B$6,"00")</f>
        <v/>
      </c>
      <c r="O1093" s="10">
        <f>REPT(" ",8)</f>
        <v/>
      </c>
      <c r="P1093" s="10">
        <f>RIGHT($B$4,2)</f>
        <v/>
      </c>
      <c r="Q1093" s="10">
        <f>RIGHT($B$5,3)</f>
        <v/>
      </c>
      <c r="R1093" s="10">
        <f>IF(A1093="D",LEFT(UPPER(B1093)&amp;REPT(" ",20),20),REPT(" ",20))</f>
        <v/>
      </c>
      <c r="S1093" s="10">
        <f>IF(A1093="D",LEFT(UPPER(C1093)&amp;REPT(" ",10),10)," ")</f>
        <v/>
      </c>
      <c r="T1093" s="10">
        <f>IF(A1093="D",LEFT(UPPER(D1093)&amp;REPT(" ",2),2)," ")</f>
        <v/>
      </c>
      <c r="U1093" s="10">
        <f>IF(A1093="D",LEFT(UPPER(E1093)&amp;REPT(" ",15),15)," ")</f>
        <v/>
      </c>
      <c r="V1093" s="10">
        <f>REPT(" ",24)</f>
        <v/>
      </c>
      <c r="W1093" s="10">
        <f>IF(A1093="c",LEFT(UPPER(B1093)&amp;REPT(" ",20),20),REPT(" ",20))</f>
        <v/>
      </c>
      <c r="X1093" s="10">
        <f>IF(A1093="C",LEFT(UPPER(C1093)&amp;REPT(" ",10),10)," ")</f>
        <v/>
      </c>
      <c r="Y1093" s="10">
        <f>IF(A1093="C",LEFT(UPPER(D1093)&amp;REPT(" ",2),2)," ")</f>
        <v/>
      </c>
      <c r="Z1093" s="10">
        <f>IF(A1093="C",LEFT(UPPER(E1093)&amp;REPT(" ",15),15)," ")</f>
        <v/>
      </c>
      <c r="AA1093" s="10">
        <f>REPT(" ",8)</f>
        <v/>
      </c>
      <c r="AB1093" s="10">
        <f>REPT(" ",4)</f>
        <v/>
      </c>
      <c r="AC1093" s="10">
        <f>LEFT(UPPER(H1093)&amp;REPT(" ",250),250)</f>
        <v/>
      </c>
      <c r="AD1093" s="10">
        <f>TEXT($G$2,"dd/mm/aaaa")</f>
        <v/>
      </c>
      <c r="AE1093" s="10">
        <f>REPT(" ",10)</f>
        <v/>
      </c>
      <c r="AF1093" s="10">
        <f>REPT(" ",20)</f>
        <v/>
      </c>
      <c r="AG1093" s="54">
        <f>REPT(" ",18-LEN(FIXED(F1093,2,TRUE)))&amp;FIXED(F1093,2,TRUE)</f>
        <v/>
      </c>
      <c r="AH1093" s="10">
        <f>LEN(AC1093)+LEN(AG1093)</f>
        <v/>
      </c>
      <c r="AI1093" s="10">
        <f>LEN(L1093)</f>
        <v/>
      </c>
    </row>
    <row r="1094">
      <c r="J1094" s="12">
        <f>IF(F1094&lt;&gt;0,"LANÇAR","")</f>
        <v/>
      </c>
      <c r="L1094" s="13">
        <f>N1094&amp;O1094&amp;P1094&amp;Q1094&amp;R1094&amp;S1094&amp;T1094&amp;U1094&amp;V1094&amp;W1094&amp;X1094&amp;Y1094&amp;Z1094&amp;AA1094&amp;AB1094&amp;AC1094&amp;AD1094&amp;AE1094&amp;AF1094&amp;AG1094</f>
        <v/>
      </c>
      <c r="N1094" s="10">
        <f>TEXT($B$6,"00")</f>
        <v/>
      </c>
      <c r="O1094" s="10">
        <f>REPT(" ",8)</f>
        <v/>
      </c>
      <c r="P1094" s="10">
        <f>RIGHT($B$4,2)</f>
        <v/>
      </c>
      <c r="Q1094" s="10">
        <f>RIGHT($B$5,3)</f>
        <v/>
      </c>
      <c r="R1094" s="10">
        <f>IF(A1094="D",LEFT(UPPER(B1094)&amp;REPT(" ",20),20),REPT(" ",20))</f>
        <v/>
      </c>
      <c r="S1094" s="10">
        <f>IF(A1094="D",LEFT(UPPER(C1094)&amp;REPT(" ",10),10)," ")</f>
        <v/>
      </c>
      <c r="T1094" s="10">
        <f>IF(A1094="D",LEFT(UPPER(D1094)&amp;REPT(" ",2),2)," ")</f>
        <v/>
      </c>
      <c r="U1094" s="10">
        <f>IF(A1094="D",LEFT(UPPER(E1094)&amp;REPT(" ",15),15)," ")</f>
        <v/>
      </c>
      <c r="V1094" s="10">
        <f>REPT(" ",24)</f>
        <v/>
      </c>
      <c r="W1094" s="10">
        <f>IF(A1094="c",LEFT(UPPER(B1094)&amp;REPT(" ",20),20),REPT(" ",20))</f>
        <v/>
      </c>
      <c r="X1094" s="10">
        <f>IF(A1094="C",LEFT(UPPER(C1094)&amp;REPT(" ",10),10)," ")</f>
        <v/>
      </c>
      <c r="Y1094" s="10">
        <f>IF(A1094="C",LEFT(UPPER(D1094)&amp;REPT(" ",2),2)," ")</f>
        <v/>
      </c>
      <c r="Z1094" s="10">
        <f>IF(A1094="C",LEFT(UPPER(E1094)&amp;REPT(" ",15),15)," ")</f>
        <v/>
      </c>
      <c r="AA1094" s="10">
        <f>REPT(" ",8)</f>
        <v/>
      </c>
      <c r="AB1094" s="10">
        <f>REPT(" ",4)</f>
        <v/>
      </c>
      <c r="AC1094" s="10">
        <f>LEFT(UPPER(H1094)&amp;REPT(" ",250),250)</f>
        <v/>
      </c>
      <c r="AD1094" s="10">
        <f>TEXT($G$2,"dd/mm/aaaa")</f>
        <v/>
      </c>
      <c r="AE1094" s="10">
        <f>REPT(" ",10)</f>
        <v/>
      </c>
      <c r="AF1094" s="10">
        <f>REPT(" ",20)</f>
        <v/>
      </c>
      <c r="AG1094" s="54">
        <f>REPT(" ",18-LEN(FIXED(F1094,2,TRUE)))&amp;FIXED(F1094,2,TRUE)</f>
        <v/>
      </c>
      <c r="AH1094" s="10">
        <f>LEN(AC1094)+LEN(AG1094)</f>
        <v/>
      </c>
      <c r="AI1094" s="10">
        <f>LEN(L1094)</f>
        <v/>
      </c>
    </row>
    <row r="1095">
      <c r="J1095" s="12">
        <f>IF(F1095&lt;&gt;0,"LANÇAR","")</f>
        <v/>
      </c>
      <c r="L1095" s="13">
        <f>N1095&amp;O1095&amp;P1095&amp;Q1095&amp;R1095&amp;S1095&amp;T1095&amp;U1095&amp;V1095&amp;W1095&amp;X1095&amp;Y1095&amp;Z1095&amp;AA1095&amp;AB1095&amp;AC1095&amp;AD1095&amp;AE1095&amp;AF1095&amp;AG1095</f>
        <v/>
      </c>
      <c r="N1095" s="10">
        <f>TEXT($B$6,"00")</f>
        <v/>
      </c>
      <c r="O1095" s="10">
        <f>REPT(" ",8)</f>
        <v/>
      </c>
      <c r="P1095" s="10">
        <f>RIGHT($B$4,2)</f>
        <v/>
      </c>
      <c r="Q1095" s="10">
        <f>RIGHT($B$5,3)</f>
        <v/>
      </c>
      <c r="R1095" s="10">
        <f>IF(A1095="D",LEFT(UPPER(B1095)&amp;REPT(" ",20),20),REPT(" ",20))</f>
        <v/>
      </c>
      <c r="S1095" s="10">
        <f>IF(A1095="D",LEFT(UPPER(C1095)&amp;REPT(" ",10),10)," ")</f>
        <v/>
      </c>
      <c r="T1095" s="10">
        <f>IF(A1095="D",LEFT(UPPER(D1095)&amp;REPT(" ",2),2)," ")</f>
        <v/>
      </c>
      <c r="U1095" s="10">
        <f>IF(A1095="D",LEFT(UPPER(E1095)&amp;REPT(" ",15),15)," ")</f>
        <v/>
      </c>
      <c r="V1095" s="10">
        <f>REPT(" ",24)</f>
        <v/>
      </c>
      <c r="W1095" s="10">
        <f>IF(A1095="c",LEFT(UPPER(B1095)&amp;REPT(" ",20),20),REPT(" ",20))</f>
        <v/>
      </c>
      <c r="X1095" s="10">
        <f>IF(A1095="C",LEFT(UPPER(C1095)&amp;REPT(" ",10),10)," ")</f>
        <v/>
      </c>
      <c r="Y1095" s="10">
        <f>IF(A1095="C",LEFT(UPPER(D1095)&amp;REPT(" ",2),2)," ")</f>
        <v/>
      </c>
      <c r="Z1095" s="10">
        <f>IF(A1095="C",LEFT(UPPER(E1095)&amp;REPT(" ",15),15)," ")</f>
        <v/>
      </c>
      <c r="AA1095" s="10">
        <f>REPT(" ",8)</f>
        <v/>
      </c>
      <c r="AB1095" s="10">
        <f>REPT(" ",4)</f>
        <v/>
      </c>
      <c r="AC1095" s="10">
        <f>LEFT(UPPER(H1095)&amp;REPT(" ",250),250)</f>
        <v/>
      </c>
      <c r="AD1095" s="10">
        <f>TEXT($G$2,"dd/mm/aaaa")</f>
        <v/>
      </c>
      <c r="AE1095" s="10">
        <f>REPT(" ",10)</f>
        <v/>
      </c>
      <c r="AF1095" s="10">
        <f>REPT(" ",20)</f>
        <v/>
      </c>
      <c r="AG1095" s="54">
        <f>REPT(" ",18-LEN(FIXED(F1095,2,TRUE)))&amp;FIXED(F1095,2,TRUE)</f>
        <v/>
      </c>
      <c r="AH1095" s="10">
        <f>LEN(AC1095)+LEN(AG1095)</f>
        <v/>
      </c>
      <c r="AI1095" s="10">
        <f>LEN(L1095)</f>
        <v/>
      </c>
    </row>
    <row r="1096">
      <c r="J1096" s="12">
        <f>IF(F1096&lt;&gt;0,"LANÇAR","")</f>
        <v/>
      </c>
      <c r="L1096" s="13">
        <f>N1096&amp;O1096&amp;P1096&amp;Q1096&amp;R1096&amp;S1096&amp;T1096&amp;U1096&amp;V1096&amp;W1096&amp;X1096&amp;Y1096&amp;Z1096&amp;AA1096&amp;AB1096&amp;AC1096&amp;AD1096&amp;AE1096&amp;AF1096&amp;AG1096</f>
        <v/>
      </c>
      <c r="N1096" s="10">
        <f>TEXT($B$6,"00")</f>
        <v/>
      </c>
      <c r="O1096" s="10">
        <f>REPT(" ",8)</f>
        <v/>
      </c>
      <c r="P1096" s="10">
        <f>RIGHT($B$4,2)</f>
        <v/>
      </c>
      <c r="Q1096" s="10">
        <f>RIGHT($B$5,3)</f>
        <v/>
      </c>
      <c r="R1096" s="10">
        <f>IF(A1096="D",LEFT(UPPER(B1096)&amp;REPT(" ",20),20),REPT(" ",20))</f>
        <v/>
      </c>
      <c r="S1096" s="10">
        <f>IF(A1096="D",LEFT(UPPER(C1096)&amp;REPT(" ",10),10)," ")</f>
        <v/>
      </c>
      <c r="T1096" s="10">
        <f>IF(A1096="D",LEFT(UPPER(D1096)&amp;REPT(" ",2),2)," ")</f>
        <v/>
      </c>
      <c r="U1096" s="10">
        <f>IF(A1096="D",LEFT(UPPER(E1096)&amp;REPT(" ",15),15)," ")</f>
        <v/>
      </c>
      <c r="V1096" s="10">
        <f>REPT(" ",24)</f>
        <v/>
      </c>
      <c r="W1096" s="10">
        <f>IF(A1096="c",LEFT(UPPER(B1096)&amp;REPT(" ",20),20),REPT(" ",20))</f>
        <v/>
      </c>
      <c r="X1096" s="10">
        <f>IF(A1096="C",LEFT(UPPER(C1096)&amp;REPT(" ",10),10)," ")</f>
        <v/>
      </c>
      <c r="Y1096" s="10">
        <f>IF(A1096="C",LEFT(UPPER(D1096)&amp;REPT(" ",2),2)," ")</f>
        <v/>
      </c>
      <c r="Z1096" s="10">
        <f>IF(A1096="C",LEFT(UPPER(E1096)&amp;REPT(" ",15),15)," ")</f>
        <v/>
      </c>
      <c r="AA1096" s="10">
        <f>REPT(" ",8)</f>
        <v/>
      </c>
      <c r="AB1096" s="10">
        <f>REPT(" ",4)</f>
        <v/>
      </c>
      <c r="AC1096" s="10">
        <f>LEFT(UPPER(H1096)&amp;REPT(" ",250),250)</f>
        <v/>
      </c>
      <c r="AD1096" s="10">
        <f>TEXT($G$2,"dd/mm/aaaa")</f>
        <v/>
      </c>
      <c r="AE1096" s="10">
        <f>REPT(" ",10)</f>
        <v/>
      </c>
      <c r="AF1096" s="10">
        <f>REPT(" ",20)</f>
        <v/>
      </c>
      <c r="AG1096" s="54">
        <f>REPT(" ",18-LEN(FIXED(F1096,2,TRUE)))&amp;FIXED(F1096,2,TRUE)</f>
        <v/>
      </c>
      <c r="AH1096" s="10">
        <f>LEN(AC1096)+LEN(AG1096)</f>
        <v/>
      </c>
      <c r="AI1096" s="10">
        <f>LEN(L1096)</f>
        <v/>
      </c>
    </row>
    <row r="1097">
      <c r="J1097" s="12">
        <f>IF(F1097&lt;&gt;0,"LANÇAR","")</f>
        <v/>
      </c>
      <c r="L1097" s="13">
        <f>N1097&amp;O1097&amp;P1097&amp;Q1097&amp;R1097&amp;S1097&amp;T1097&amp;U1097&amp;V1097&amp;W1097&amp;X1097&amp;Y1097&amp;Z1097&amp;AA1097&amp;AB1097&amp;AC1097&amp;AD1097&amp;AE1097&amp;AF1097&amp;AG1097</f>
        <v/>
      </c>
      <c r="N1097" s="10">
        <f>TEXT($B$6,"00")</f>
        <v/>
      </c>
      <c r="O1097" s="10">
        <f>REPT(" ",8)</f>
        <v/>
      </c>
      <c r="P1097" s="10">
        <f>RIGHT($B$4,2)</f>
        <v/>
      </c>
      <c r="Q1097" s="10">
        <f>RIGHT($B$5,3)</f>
        <v/>
      </c>
      <c r="R1097" s="10">
        <f>IF(A1097="D",LEFT(UPPER(B1097)&amp;REPT(" ",20),20),REPT(" ",20))</f>
        <v/>
      </c>
      <c r="S1097" s="10">
        <f>IF(A1097="D",LEFT(UPPER(C1097)&amp;REPT(" ",10),10)," ")</f>
        <v/>
      </c>
      <c r="T1097" s="10">
        <f>IF(A1097="D",LEFT(UPPER(D1097)&amp;REPT(" ",2),2)," ")</f>
        <v/>
      </c>
      <c r="U1097" s="10">
        <f>IF(A1097="D",LEFT(UPPER(E1097)&amp;REPT(" ",15),15)," ")</f>
        <v/>
      </c>
      <c r="V1097" s="10">
        <f>REPT(" ",24)</f>
        <v/>
      </c>
      <c r="W1097" s="10">
        <f>IF(A1097="c",LEFT(UPPER(B1097)&amp;REPT(" ",20),20),REPT(" ",20))</f>
        <v/>
      </c>
      <c r="X1097" s="10">
        <f>IF(A1097="C",LEFT(UPPER(C1097)&amp;REPT(" ",10),10)," ")</f>
        <v/>
      </c>
      <c r="Y1097" s="10">
        <f>IF(A1097="C",LEFT(UPPER(D1097)&amp;REPT(" ",2),2)," ")</f>
        <v/>
      </c>
      <c r="Z1097" s="10">
        <f>IF(A1097="C",LEFT(UPPER(E1097)&amp;REPT(" ",15),15)," ")</f>
        <v/>
      </c>
      <c r="AA1097" s="10">
        <f>REPT(" ",8)</f>
        <v/>
      </c>
      <c r="AB1097" s="10">
        <f>REPT(" ",4)</f>
        <v/>
      </c>
      <c r="AC1097" s="10">
        <f>LEFT(UPPER(H1097)&amp;REPT(" ",250),250)</f>
        <v/>
      </c>
      <c r="AD1097" s="10">
        <f>TEXT($G$2,"dd/mm/aaaa")</f>
        <v/>
      </c>
      <c r="AE1097" s="10">
        <f>REPT(" ",10)</f>
        <v/>
      </c>
      <c r="AF1097" s="10">
        <f>REPT(" ",20)</f>
        <v/>
      </c>
      <c r="AG1097" s="54">
        <f>REPT(" ",18-LEN(FIXED(F1097,2,TRUE)))&amp;FIXED(F1097,2,TRUE)</f>
        <v/>
      </c>
      <c r="AH1097" s="10">
        <f>LEN(AC1097)+LEN(AG1097)</f>
        <v/>
      </c>
      <c r="AI1097" s="10">
        <f>LEN(L1097)</f>
        <v/>
      </c>
    </row>
    <row r="1098">
      <c r="J1098" s="12">
        <f>IF(F1098&lt;&gt;0,"LANÇAR","")</f>
        <v/>
      </c>
      <c r="L1098" s="13">
        <f>N1098&amp;O1098&amp;P1098&amp;Q1098&amp;R1098&amp;S1098&amp;T1098&amp;U1098&amp;V1098&amp;W1098&amp;X1098&amp;Y1098&amp;Z1098&amp;AA1098&amp;AB1098&amp;AC1098&amp;AD1098&amp;AE1098&amp;AF1098&amp;AG1098</f>
        <v/>
      </c>
      <c r="N1098" s="10">
        <f>TEXT($B$6,"00")</f>
        <v/>
      </c>
      <c r="O1098" s="10">
        <f>REPT(" ",8)</f>
        <v/>
      </c>
      <c r="P1098" s="10">
        <f>RIGHT($B$4,2)</f>
        <v/>
      </c>
      <c r="Q1098" s="10">
        <f>RIGHT($B$5,3)</f>
        <v/>
      </c>
      <c r="R1098" s="10">
        <f>IF(A1098="D",LEFT(UPPER(B1098)&amp;REPT(" ",20),20),REPT(" ",20))</f>
        <v/>
      </c>
      <c r="S1098" s="10">
        <f>IF(A1098="D",LEFT(UPPER(C1098)&amp;REPT(" ",10),10)," ")</f>
        <v/>
      </c>
      <c r="T1098" s="10">
        <f>IF(A1098="D",LEFT(UPPER(D1098)&amp;REPT(" ",2),2)," ")</f>
        <v/>
      </c>
      <c r="U1098" s="10">
        <f>IF(A1098="D",LEFT(UPPER(E1098)&amp;REPT(" ",15),15)," ")</f>
        <v/>
      </c>
      <c r="V1098" s="10">
        <f>REPT(" ",24)</f>
        <v/>
      </c>
      <c r="W1098" s="10">
        <f>IF(A1098="c",LEFT(UPPER(B1098)&amp;REPT(" ",20),20),REPT(" ",20))</f>
        <v/>
      </c>
      <c r="X1098" s="10">
        <f>IF(A1098="C",LEFT(UPPER(C1098)&amp;REPT(" ",10),10)," ")</f>
        <v/>
      </c>
      <c r="Y1098" s="10">
        <f>IF(A1098="C",LEFT(UPPER(D1098)&amp;REPT(" ",2),2)," ")</f>
        <v/>
      </c>
      <c r="Z1098" s="10">
        <f>IF(A1098="C",LEFT(UPPER(E1098)&amp;REPT(" ",15),15)," ")</f>
        <v/>
      </c>
      <c r="AA1098" s="10">
        <f>REPT(" ",8)</f>
        <v/>
      </c>
      <c r="AB1098" s="10">
        <f>REPT(" ",4)</f>
        <v/>
      </c>
      <c r="AC1098" s="10">
        <f>LEFT(UPPER(H1098)&amp;REPT(" ",250),250)</f>
        <v/>
      </c>
      <c r="AD1098" s="10">
        <f>TEXT($G$2,"dd/mm/aaaa")</f>
        <v/>
      </c>
      <c r="AE1098" s="10">
        <f>REPT(" ",10)</f>
        <v/>
      </c>
      <c r="AF1098" s="10">
        <f>REPT(" ",20)</f>
        <v/>
      </c>
      <c r="AG1098" s="54">
        <f>REPT(" ",18-LEN(FIXED(F1098,2,TRUE)))&amp;FIXED(F1098,2,TRUE)</f>
        <v/>
      </c>
      <c r="AH1098" s="10">
        <f>LEN(AC1098)+LEN(AG1098)</f>
        <v/>
      </c>
      <c r="AI1098" s="10">
        <f>LEN(L1098)</f>
        <v/>
      </c>
    </row>
    <row r="1099">
      <c r="J1099" s="12">
        <f>IF(F1099&lt;&gt;0,"LANÇAR","")</f>
        <v/>
      </c>
      <c r="L1099" s="13">
        <f>N1099&amp;O1099&amp;P1099&amp;Q1099&amp;R1099&amp;S1099&amp;T1099&amp;U1099&amp;V1099&amp;W1099&amp;X1099&amp;Y1099&amp;Z1099&amp;AA1099&amp;AB1099&amp;AC1099&amp;AD1099&amp;AE1099&amp;AF1099&amp;AG1099</f>
        <v/>
      </c>
      <c r="N1099" s="10">
        <f>TEXT($B$6,"00")</f>
        <v/>
      </c>
      <c r="O1099" s="10">
        <f>REPT(" ",8)</f>
        <v/>
      </c>
      <c r="P1099" s="10">
        <f>RIGHT($B$4,2)</f>
        <v/>
      </c>
      <c r="Q1099" s="10">
        <f>RIGHT($B$5,3)</f>
        <v/>
      </c>
      <c r="R1099" s="10">
        <f>IF(A1099="D",LEFT(UPPER(B1099)&amp;REPT(" ",20),20),REPT(" ",20))</f>
        <v/>
      </c>
      <c r="S1099" s="10">
        <f>IF(A1099="D",LEFT(UPPER(C1099)&amp;REPT(" ",10),10)," ")</f>
        <v/>
      </c>
      <c r="T1099" s="10">
        <f>IF(A1099="D",LEFT(UPPER(D1099)&amp;REPT(" ",2),2)," ")</f>
        <v/>
      </c>
      <c r="U1099" s="10">
        <f>IF(A1099="D",LEFT(UPPER(E1099)&amp;REPT(" ",15),15)," ")</f>
        <v/>
      </c>
      <c r="V1099" s="10">
        <f>REPT(" ",24)</f>
        <v/>
      </c>
      <c r="W1099" s="10">
        <f>IF(A1099="c",LEFT(UPPER(B1099)&amp;REPT(" ",20),20),REPT(" ",20))</f>
        <v/>
      </c>
      <c r="X1099" s="10">
        <f>IF(A1099="C",LEFT(UPPER(C1099)&amp;REPT(" ",10),10)," ")</f>
        <v/>
      </c>
      <c r="Y1099" s="10">
        <f>IF(A1099="C",LEFT(UPPER(D1099)&amp;REPT(" ",2),2)," ")</f>
        <v/>
      </c>
      <c r="Z1099" s="10">
        <f>IF(A1099="C",LEFT(UPPER(E1099)&amp;REPT(" ",15),15)," ")</f>
        <v/>
      </c>
      <c r="AA1099" s="10">
        <f>REPT(" ",8)</f>
        <v/>
      </c>
      <c r="AB1099" s="10">
        <f>REPT(" ",4)</f>
        <v/>
      </c>
      <c r="AC1099" s="10">
        <f>LEFT(UPPER(H1099)&amp;REPT(" ",250),250)</f>
        <v/>
      </c>
      <c r="AD1099" s="10">
        <f>TEXT($G$2,"dd/mm/aaaa")</f>
        <v/>
      </c>
      <c r="AE1099" s="10">
        <f>REPT(" ",10)</f>
        <v/>
      </c>
      <c r="AF1099" s="10">
        <f>REPT(" ",20)</f>
        <v/>
      </c>
      <c r="AG1099" s="54">
        <f>REPT(" ",18-LEN(FIXED(F1099,2,TRUE)))&amp;FIXED(F1099,2,TRUE)</f>
        <v/>
      </c>
      <c r="AH1099" s="10">
        <f>LEN(AC1099)+LEN(AG1099)</f>
        <v/>
      </c>
      <c r="AI1099" s="10">
        <f>LEN(L1099)</f>
        <v/>
      </c>
    </row>
    <row r="1100">
      <c r="J1100" s="12">
        <f>IF(F1100&lt;&gt;0,"LANÇAR","")</f>
        <v/>
      </c>
      <c r="L1100" s="13">
        <f>N1100&amp;O1100&amp;P1100&amp;Q1100&amp;R1100&amp;S1100&amp;T1100&amp;U1100&amp;V1100&amp;W1100&amp;X1100&amp;Y1100&amp;Z1100&amp;AA1100&amp;AB1100&amp;AC1100&amp;AD1100&amp;AE1100&amp;AF1100&amp;AG1100</f>
        <v/>
      </c>
      <c r="N1100" s="10">
        <f>TEXT($B$6,"00")</f>
        <v/>
      </c>
      <c r="O1100" s="10">
        <f>REPT(" ",8)</f>
        <v/>
      </c>
      <c r="P1100" s="10">
        <f>RIGHT($B$4,2)</f>
        <v/>
      </c>
      <c r="Q1100" s="10">
        <f>RIGHT($B$5,3)</f>
        <v/>
      </c>
      <c r="R1100" s="10">
        <f>IF(A1100="D",LEFT(UPPER(B1100)&amp;REPT(" ",20),20),REPT(" ",20))</f>
        <v/>
      </c>
      <c r="S1100" s="10">
        <f>IF(A1100="D",LEFT(UPPER(C1100)&amp;REPT(" ",10),10)," ")</f>
        <v/>
      </c>
      <c r="T1100" s="10">
        <f>IF(A1100="D",LEFT(UPPER(D1100)&amp;REPT(" ",2),2)," ")</f>
        <v/>
      </c>
      <c r="U1100" s="10">
        <f>IF(A1100="D",LEFT(UPPER(E1100)&amp;REPT(" ",15),15)," ")</f>
        <v/>
      </c>
      <c r="V1100" s="10">
        <f>REPT(" ",24)</f>
        <v/>
      </c>
      <c r="W1100" s="10">
        <f>IF(A1100="c",LEFT(UPPER(B1100)&amp;REPT(" ",20),20),REPT(" ",20))</f>
        <v/>
      </c>
      <c r="X1100" s="10">
        <f>IF(A1100="C",LEFT(UPPER(C1100)&amp;REPT(" ",10),10)," ")</f>
        <v/>
      </c>
      <c r="Y1100" s="10">
        <f>IF(A1100="C",LEFT(UPPER(D1100)&amp;REPT(" ",2),2)," ")</f>
        <v/>
      </c>
      <c r="Z1100" s="10">
        <f>IF(A1100="C",LEFT(UPPER(E1100)&amp;REPT(" ",15),15)," ")</f>
        <v/>
      </c>
      <c r="AA1100" s="10">
        <f>REPT(" ",8)</f>
        <v/>
      </c>
      <c r="AB1100" s="10">
        <f>REPT(" ",4)</f>
        <v/>
      </c>
      <c r="AC1100" s="10">
        <f>LEFT(UPPER(H1100)&amp;REPT(" ",250),250)</f>
        <v/>
      </c>
      <c r="AD1100" s="10">
        <f>TEXT($G$2,"dd/mm/aaaa")</f>
        <v/>
      </c>
      <c r="AE1100" s="10">
        <f>REPT(" ",10)</f>
        <v/>
      </c>
      <c r="AF1100" s="10">
        <f>REPT(" ",20)</f>
        <v/>
      </c>
      <c r="AG1100" s="54">
        <f>REPT(" ",18-LEN(FIXED(F1100,2,TRUE)))&amp;FIXED(F1100,2,TRUE)</f>
        <v/>
      </c>
      <c r="AH1100" s="10">
        <f>LEN(AC1100)+LEN(AG1100)</f>
        <v/>
      </c>
      <c r="AI1100" s="10">
        <f>LEN(L1100)</f>
        <v/>
      </c>
    </row>
    <row r="1101">
      <c r="J1101" s="12">
        <f>IF(F1101&lt;&gt;0,"LANÇAR","")</f>
        <v/>
      </c>
      <c r="L1101" s="13">
        <f>N1101&amp;O1101&amp;P1101&amp;Q1101&amp;R1101&amp;S1101&amp;T1101&amp;U1101&amp;V1101&amp;W1101&amp;X1101&amp;Y1101&amp;Z1101&amp;AA1101&amp;AB1101&amp;AC1101&amp;AD1101&amp;AE1101&amp;AF1101&amp;AG1101</f>
        <v/>
      </c>
      <c r="N1101" s="10">
        <f>TEXT($B$6,"00")</f>
        <v/>
      </c>
      <c r="O1101" s="10">
        <f>REPT(" ",8)</f>
        <v/>
      </c>
      <c r="P1101" s="10">
        <f>RIGHT($B$4,2)</f>
        <v/>
      </c>
      <c r="Q1101" s="10">
        <f>RIGHT($B$5,3)</f>
        <v/>
      </c>
      <c r="R1101" s="10">
        <f>IF(A1101="D",LEFT(UPPER(B1101)&amp;REPT(" ",20),20),REPT(" ",20))</f>
        <v/>
      </c>
      <c r="S1101" s="10">
        <f>IF(A1101="D",LEFT(UPPER(C1101)&amp;REPT(" ",10),10)," ")</f>
        <v/>
      </c>
      <c r="T1101" s="10">
        <f>IF(A1101="D",LEFT(UPPER(D1101)&amp;REPT(" ",2),2)," ")</f>
        <v/>
      </c>
      <c r="U1101" s="10">
        <f>IF(A1101="D",LEFT(UPPER(E1101)&amp;REPT(" ",15),15)," ")</f>
        <v/>
      </c>
      <c r="V1101" s="10">
        <f>REPT(" ",24)</f>
        <v/>
      </c>
      <c r="W1101" s="10">
        <f>IF(A1101="c",LEFT(UPPER(B1101)&amp;REPT(" ",20),20),REPT(" ",20))</f>
        <v/>
      </c>
      <c r="X1101" s="10">
        <f>IF(A1101="C",LEFT(UPPER(C1101)&amp;REPT(" ",10),10)," ")</f>
        <v/>
      </c>
      <c r="Y1101" s="10">
        <f>IF(A1101="C",LEFT(UPPER(D1101)&amp;REPT(" ",2),2)," ")</f>
        <v/>
      </c>
      <c r="Z1101" s="10">
        <f>IF(A1101="C",LEFT(UPPER(E1101)&amp;REPT(" ",15),15)," ")</f>
        <v/>
      </c>
      <c r="AA1101" s="10">
        <f>REPT(" ",8)</f>
        <v/>
      </c>
      <c r="AB1101" s="10">
        <f>REPT(" ",4)</f>
        <v/>
      </c>
      <c r="AC1101" s="10">
        <f>LEFT(UPPER(H1101)&amp;REPT(" ",250),250)</f>
        <v/>
      </c>
      <c r="AD1101" s="10">
        <f>TEXT($G$2,"dd/mm/aaaa")</f>
        <v/>
      </c>
      <c r="AE1101" s="10">
        <f>REPT(" ",10)</f>
        <v/>
      </c>
      <c r="AF1101" s="10">
        <f>REPT(" ",20)</f>
        <v/>
      </c>
      <c r="AG1101" s="54">
        <f>REPT(" ",18-LEN(FIXED(F1101,2,TRUE)))&amp;FIXED(F1101,2,TRUE)</f>
        <v/>
      </c>
      <c r="AH1101" s="10">
        <f>LEN(AC1101)+LEN(AG1101)</f>
        <v/>
      </c>
      <c r="AI1101" s="10">
        <f>LEN(L1101)</f>
        <v/>
      </c>
    </row>
    <row r="1102">
      <c r="J1102" s="12">
        <f>IF(F1102&lt;&gt;0,"LANÇAR","")</f>
        <v/>
      </c>
      <c r="L1102" s="13">
        <f>N1102&amp;O1102&amp;P1102&amp;Q1102&amp;R1102&amp;S1102&amp;T1102&amp;U1102&amp;V1102&amp;W1102&amp;X1102&amp;Y1102&amp;Z1102&amp;AA1102&amp;AB1102&amp;AC1102&amp;AD1102&amp;AE1102&amp;AF1102&amp;AG1102</f>
        <v/>
      </c>
      <c r="N1102" s="10">
        <f>TEXT($B$6,"00")</f>
        <v/>
      </c>
      <c r="O1102" s="10">
        <f>REPT(" ",8)</f>
        <v/>
      </c>
      <c r="P1102" s="10">
        <f>RIGHT($B$4,2)</f>
        <v/>
      </c>
      <c r="Q1102" s="10">
        <f>RIGHT($B$5,3)</f>
        <v/>
      </c>
      <c r="R1102" s="10">
        <f>IF(A1102="D",LEFT(UPPER(B1102)&amp;REPT(" ",20),20),REPT(" ",20))</f>
        <v/>
      </c>
      <c r="S1102" s="10">
        <f>IF(A1102="D",LEFT(UPPER(C1102)&amp;REPT(" ",10),10)," ")</f>
        <v/>
      </c>
      <c r="T1102" s="10">
        <f>IF(A1102="D",LEFT(UPPER(D1102)&amp;REPT(" ",2),2)," ")</f>
        <v/>
      </c>
      <c r="U1102" s="10">
        <f>IF(A1102="D",LEFT(UPPER(E1102)&amp;REPT(" ",15),15)," ")</f>
        <v/>
      </c>
      <c r="V1102" s="10">
        <f>REPT(" ",24)</f>
        <v/>
      </c>
      <c r="W1102" s="10">
        <f>IF(A1102="c",LEFT(UPPER(B1102)&amp;REPT(" ",20),20),REPT(" ",20))</f>
        <v/>
      </c>
      <c r="X1102" s="10">
        <f>IF(A1102="C",LEFT(UPPER(C1102)&amp;REPT(" ",10),10)," ")</f>
        <v/>
      </c>
      <c r="Y1102" s="10">
        <f>IF(A1102="C",LEFT(UPPER(D1102)&amp;REPT(" ",2),2)," ")</f>
        <v/>
      </c>
      <c r="Z1102" s="10">
        <f>IF(A1102="C",LEFT(UPPER(E1102)&amp;REPT(" ",15),15)," ")</f>
        <v/>
      </c>
      <c r="AA1102" s="10">
        <f>REPT(" ",8)</f>
        <v/>
      </c>
      <c r="AB1102" s="10">
        <f>REPT(" ",4)</f>
        <v/>
      </c>
      <c r="AC1102" s="10">
        <f>LEFT(UPPER(H1102)&amp;REPT(" ",250),250)</f>
        <v/>
      </c>
      <c r="AD1102" s="10">
        <f>TEXT($G$2,"dd/mm/aaaa")</f>
        <v/>
      </c>
      <c r="AE1102" s="10">
        <f>REPT(" ",10)</f>
        <v/>
      </c>
      <c r="AF1102" s="10">
        <f>REPT(" ",20)</f>
        <v/>
      </c>
      <c r="AG1102" s="54">
        <f>REPT(" ",18-LEN(FIXED(F1102,2,TRUE)))&amp;FIXED(F1102,2,TRUE)</f>
        <v/>
      </c>
      <c r="AH1102" s="10">
        <f>LEN(AC1102)+LEN(AG1102)</f>
        <v/>
      </c>
      <c r="AI1102" s="10">
        <f>LEN(L1102)</f>
        <v/>
      </c>
    </row>
    <row r="1103">
      <c r="J1103" s="12">
        <f>IF(F1103&lt;&gt;0,"LANÇAR","")</f>
        <v/>
      </c>
      <c r="L1103" s="13">
        <f>N1103&amp;O1103&amp;P1103&amp;Q1103&amp;R1103&amp;S1103&amp;T1103&amp;U1103&amp;V1103&amp;W1103&amp;X1103&amp;Y1103&amp;Z1103&amp;AA1103&amp;AB1103&amp;AC1103&amp;AD1103&amp;AE1103&amp;AF1103&amp;AG1103</f>
        <v/>
      </c>
      <c r="N1103" s="10">
        <f>TEXT($B$6,"00")</f>
        <v/>
      </c>
      <c r="O1103" s="10">
        <f>REPT(" ",8)</f>
        <v/>
      </c>
      <c r="P1103" s="10">
        <f>RIGHT($B$4,2)</f>
        <v/>
      </c>
      <c r="Q1103" s="10">
        <f>RIGHT($B$5,3)</f>
        <v/>
      </c>
      <c r="R1103" s="10">
        <f>IF(A1103="D",LEFT(UPPER(B1103)&amp;REPT(" ",20),20),REPT(" ",20))</f>
        <v/>
      </c>
      <c r="S1103" s="10">
        <f>IF(A1103="D",LEFT(UPPER(C1103)&amp;REPT(" ",10),10)," ")</f>
        <v/>
      </c>
      <c r="T1103" s="10">
        <f>IF(A1103="D",LEFT(UPPER(D1103)&amp;REPT(" ",2),2)," ")</f>
        <v/>
      </c>
      <c r="U1103" s="10">
        <f>IF(A1103="D",LEFT(UPPER(E1103)&amp;REPT(" ",15),15)," ")</f>
        <v/>
      </c>
      <c r="V1103" s="10">
        <f>REPT(" ",24)</f>
        <v/>
      </c>
      <c r="W1103" s="10">
        <f>IF(A1103="c",LEFT(UPPER(B1103)&amp;REPT(" ",20),20),REPT(" ",20))</f>
        <v/>
      </c>
      <c r="X1103" s="10">
        <f>IF(A1103="C",LEFT(UPPER(C1103)&amp;REPT(" ",10),10)," ")</f>
        <v/>
      </c>
      <c r="Y1103" s="10">
        <f>IF(A1103="C",LEFT(UPPER(D1103)&amp;REPT(" ",2),2)," ")</f>
        <v/>
      </c>
      <c r="Z1103" s="10">
        <f>IF(A1103="C",LEFT(UPPER(E1103)&amp;REPT(" ",15),15)," ")</f>
        <v/>
      </c>
      <c r="AA1103" s="10">
        <f>REPT(" ",8)</f>
        <v/>
      </c>
      <c r="AB1103" s="10">
        <f>REPT(" ",4)</f>
        <v/>
      </c>
      <c r="AC1103" s="10">
        <f>LEFT(UPPER(H1103)&amp;REPT(" ",250),250)</f>
        <v/>
      </c>
      <c r="AD1103" s="10">
        <f>TEXT($G$2,"dd/mm/aaaa")</f>
        <v/>
      </c>
      <c r="AE1103" s="10">
        <f>REPT(" ",10)</f>
        <v/>
      </c>
      <c r="AF1103" s="10">
        <f>REPT(" ",20)</f>
        <v/>
      </c>
      <c r="AG1103" s="54">
        <f>REPT(" ",18-LEN(FIXED(F1103,2,TRUE)))&amp;FIXED(F1103,2,TRUE)</f>
        <v/>
      </c>
      <c r="AH1103" s="10">
        <f>LEN(AC1103)+LEN(AG1103)</f>
        <v/>
      </c>
      <c r="AI1103" s="10">
        <f>LEN(L1103)</f>
        <v/>
      </c>
    </row>
    <row r="1104">
      <c r="J1104" s="12">
        <f>IF(F1104&lt;&gt;0,"LANÇAR","")</f>
        <v/>
      </c>
      <c r="L1104" s="13">
        <f>N1104&amp;O1104&amp;P1104&amp;Q1104&amp;R1104&amp;S1104&amp;T1104&amp;U1104&amp;V1104&amp;W1104&amp;X1104&amp;Y1104&amp;Z1104&amp;AA1104&amp;AB1104&amp;AC1104&amp;AD1104&amp;AE1104&amp;AF1104&amp;AG1104</f>
        <v/>
      </c>
      <c r="N1104" s="10">
        <f>TEXT($B$6,"00")</f>
        <v/>
      </c>
      <c r="O1104" s="10">
        <f>REPT(" ",8)</f>
        <v/>
      </c>
      <c r="P1104" s="10">
        <f>RIGHT($B$4,2)</f>
        <v/>
      </c>
      <c r="Q1104" s="10">
        <f>RIGHT($B$5,3)</f>
        <v/>
      </c>
      <c r="R1104" s="10">
        <f>IF(A1104="D",LEFT(UPPER(B1104)&amp;REPT(" ",20),20),REPT(" ",20))</f>
        <v/>
      </c>
      <c r="S1104" s="10">
        <f>IF(A1104="D",LEFT(UPPER(C1104)&amp;REPT(" ",10),10)," ")</f>
        <v/>
      </c>
      <c r="T1104" s="10">
        <f>IF(A1104="D",LEFT(UPPER(D1104)&amp;REPT(" ",2),2)," ")</f>
        <v/>
      </c>
      <c r="U1104" s="10">
        <f>IF(A1104="D",LEFT(UPPER(E1104)&amp;REPT(" ",15),15)," ")</f>
        <v/>
      </c>
      <c r="V1104" s="10">
        <f>REPT(" ",24)</f>
        <v/>
      </c>
      <c r="W1104" s="10">
        <f>IF(A1104="c",LEFT(UPPER(B1104)&amp;REPT(" ",20),20),REPT(" ",20))</f>
        <v/>
      </c>
      <c r="X1104" s="10">
        <f>IF(A1104="C",LEFT(UPPER(C1104)&amp;REPT(" ",10),10)," ")</f>
        <v/>
      </c>
      <c r="Y1104" s="10">
        <f>IF(A1104="C",LEFT(UPPER(D1104)&amp;REPT(" ",2),2)," ")</f>
        <v/>
      </c>
      <c r="Z1104" s="10">
        <f>IF(A1104="C",LEFT(UPPER(E1104)&amp;REPT(" ",15),15)," ")</f>
        <v/>
      </c>
      <c r="AA1104" s="10">
        <f>REPT(" ",8)</f>
        <v/>
      </c>
      <c r="AB1104" s="10">
        <f>REPT(" ",4)</f>
        <v/>
      </c>
      <c r="AC1104" s="10">
        <f>LEFT(UPPER(H1104)&amp;REPT(" ",250),250)</f>
        <v/>
      </c>
      <c r="AD1104" s="10">
        <f>TEXT($G$2,"dd/mm/aaaa")</f>
        <v/>
      </c>
      <c r="AE1104" s="10">
        <f>REPT(" ",10)</f>
        <v/>
      </c>
      <c r="AF1104" s="10">
        <f>REPT(" ",20)</f>
        <v/>
      </c>
      <c r="AG1104" s="54">
        <f>REPT(" ",18-LEN(FIXED(F1104,2,TRUE)))&amp;FIXED(F1104,2,TRUE)</f>
        <v/>
      </c>
      <c r="AH1104" s="10">
        <f>LEN(AC1104)+LEN(AG1104)</f>
        <v/>
      </c>
      <c r="AI1104" s="10">
        <f>LEN(L1104)</f>
        <v/>
      </c>
    </row>
    <row r="1105">
      <c r="J1105" s="12">
        <f>IF(F1105&lt;&gt;0,"LANÇAR","")</f>
        <v/>
      </c>
      <c r="L1105" s="13">
        <f>N1105&amp;O1105&amp;P1105&amp;Q1105&amp;R1105&amp;S1105&amp;T1105&amp;U1105&amp;V1105&amp;W1105&amp;X1105&amp;Y1105&amp;Z1105&amp;AA1105&amp;AB1105&amp;AC1105&amp;AD1105&amp;AE1105&amp;AF1105&amp;AG1105</f>
        <v/>
      </c>
      <c r="N1105" s="10">
        <f>TEXT($B$6,"00")</f>
        <v/>
      </c>
      <c r="O1105" s="10">
        <f>REPT(" ",8)</f>
        <v/>
      </c>
      <c r="P1105" s="10">
        <f>RIGHT($B$4,2)</f>
        <v/>
      </c>
      <c r="Q1105" s="10">
        <f>RIGHT($B$5,3)</f>
        <v/>
      </c>
      <c r="R1105" s="10">
        <f>IF(A1105="D",LEFT(UPPER(B1105)&amp;REPT(" ",20),20),REPT(" ",20))</f>
        <v/>
      </c>
      <c r="S1105" s="10">
        <f>IF(A1105="D",LEFT(UPPER(C1105)&amp;REPT(" ",10),10)," ")</f>
        <v/>
      </c>
      <c r="T1105" s="10">
        <f>IF(A1105="D",LEFT(UPPER(D1105)&amp;REPT(" ",2),2)," ")</f>
        <v/>
      </c>
      <c r="U1105" s="10">
        <f>IF(A1105="D",LEFT(UPPER(E1105)&amp;REPT(" ",15),15)," ")</f>
        <v/>
      </c>
      <c r="V1105" s="10">
        <f>REPT(" ",24)</f>
        <v/>
      </c>
      <c r="W1105" s="10">
        <f>IF(A1105="c",LEFT(UPPER(B1105)&amp;REPT(" ",20),20),REPT(" ",20))</f>
        <v/>
      </c>
      <c r="X1105" s="10">
        <f>IF(A1105="C",LEFT(UPPER(C1105)&amp;REPT(" ",10),10)," ")</f>
        <v/>
      </c>
      <c r="Y1105" s="10">
        <f>IF(A1105="C",LEFT(UPPER(D1105)&amp;REPT(" ",2),2)," ")</f>
        <v/>
      </c>
      <c r="Z1105" s="10">
        <f>IF(A1105="C",LEFT(UPPER(E1105)&amp;REPT(" ",15),15)," ")</f>
        <v/>
      </c>
      <c r="AA1105" s="10">
        <f>REPT(" ",8)</f>
        <v/>
      </c>
      <c r="AB1105" s="10">
        <f>REPT(" ",4)</f>
        <v/>
      </c>
      <c r="AC1105" s="10">
        <f>LEFT(UPPER(H1105)&amp;REPT(" ",250),250)</f>
        <v/>
      </c>
      <c r="AD1105" s="10">
        <f>TEXT($G$2,"dd/mm/aaaa")</f>
        <v/>
      </c>
      <c r="AE1105" s="10">
        <f>REPT(" ",10)</f>
        <v/>
      </c>
      <c r="AF1105" s="10">
        <f>REPT(" ",20)</f>
        <v/>
      </c>
      <c r="AG1105" s="54">
        <f>REPT(" ",18-LEN(FIXED(F1105,2,TRUE)))&amp;FIXED(F1105,2,TRUE)</f>
        <v/>
      </c>
      <c r="AH1105" s="10">
        <f>LEN(AC1105)+LEN(AG1105)</f>
        <v/>
      </c>
      <c r="AI1105" s="10">
        <f>LEN(L1105)</f>
        <v/>
      </c>
    </row>
    <row r="1106">
      <c r="J1106" s="12">
        <f>IF(F1106&lt;&gt;0,"LANÇAR","")</f>
        <v/>
      </c>
      <c r="L1106" s="13">
        <f>N1106&amp;O1106&amp;P1106&amp;Q1106&amp;R1106&amp;S1106&amp;T1106&amp;U1106&amp;V1106&amp;W1106&amp;X1106&amp;Y1106&amp;Z1106&amp;AA1106&amp;AB1106&amp;AC1106&amp;AD1106&amp;AE1106&amp;AF1106&amp;AG1106</f>
        <v/>
      </c>
      <c r="N1106" s="10">
        <f>TEXT($B$6,"00")</f>
        <v/>
      </c>
      <c r="O1106" s="10">
        <f>REPT(" ",8)</f>
        <v/>
      </c>
      <c r="P1106" s="10">
        <f>RIGHT($B$4,2)</f>
        <v/>
      </c>
      <c r="Q1106" s="10">
        <f>RIGHT($B$5,3)</f>
        <v/>
      </c>
      <c r="R1106" s="10">
        <f>IF(A1106="D",LEFT(UPPER(B1106)&amp;REPT(" ",20),20),REPT(" ",20))</f>
        <v/>
      </c>
      <c r="S1106" s="10">
        <f>IF(A1106="D",LEFT(UPPER(C1106)&amp;REPT(" ",10),10)," ")</f>
        <v/>
      </c>
      <c r="T1106" s="10">
        <f>IF(A1106="D",LEFT(UPPER(D1106)&amp;REPT(" ",2),2)," ")</f>
        <v/>
      </c>
      <c r="U1106" s="10">
        <f>IF(A1106="D",LEFT(UPPER(E1106)&amp;REPT(" ",15),15)," ")</f>
        <v/>
      </c>
      <c r="V1106" s="10">
        <f>REPT(" ",24)</f>
        <v/>
      </c>
      <c r="W1106" s="10">
        <f>IF(A1106="c",LEFT(UPPER(B1106)&amp;REPT(" ",20),20),REPT(" ",20))</f>
        <v/>
      </c>
      <c r="X1106" s="10">
        <f>IF(A1106="C",LEFT(UPPER(C1106)&amp;REPT(" ",10),10)," ")</f>
        <v/>
      </c>
      <c r="Y1106" s="10">
        <f>IF(A1106="C",LEFT(UPPER(D1106)&amp;REPT(" ",2),2)," ")</f>
        <v/>
      </c>
      <c r="Z1106" s="10">
        <f>IF(A1106="C",LEFT(UPPER(E1106)&amp;REPT(" ",15),15)," ")</f>
        <v/>
      </c>
      <c r="AA1106" s="10">
        <f>REPT(" ",8)</f>
        <v/>
      </c>
      <c r="AB1106" s="10">
        <f>REPT(" ",4)</f>
        <v/>
      </c>
      <c r="AC1106" s="10">
        <f>LEFT(UPPER(H1106)&amp;REPT(" ",250),250)</f>
        <v/>
      </c>
      <c r="AD1106" s="10">
        <f>TEXT($G$2,"dd/mm/aaaa")</f>
        <v/>
      </c>
      <c r="AE1106" s="10">
        <f>REPT(" ",10)</f>
        <v/>
      </c>
      <c r="AF1106" s="10">
        <f>REPT(" ",20)</f>
        <v/>
      </c>
      <c r="AG1106" s="54">
        <f>REPT(" ",18-LEN(FIXED(F1106,2,TRUE)))&amp;FIXED(F1106,2,TRUE)</f>
        <v/>
      </c>
      <c r="AH1106" s="10">
        <f>LEN(AC1106)+LEN(AG1106)</f>
        <v/>
      </c>
      <c r="AI1106" s="10">
        <f>LEN(L1106)</f>
        <v/>
      </c>
    </row>
    <row r="1107">
      <c r="J1107" s="12">
        <f>IF(F1107&lt;&gt;0,"LANÇAR","")</f>
        <v/>
      </c>
      <c r="L1107" s="13">
        <f>N1107&amp;O1107&amp;P1107&amp;Q1107&amp;R1107&amp;S1107&amp;T1107&amp;U1107&amp;V1107&amp;W1107&amp;X1107&amp;Y1107&amp;Z1107&amp;AA1107&amp;AB1107&amp;AC1107&amp;AD1107&amp;AE1107&amp;AF1107&amp;AG1107</f>
        <v/>
      </c>
      <c r="N1107" s="10">
        <f>TEXT($B$6,"00")</f>
        <v/>
      </c>
      <c r="O1107" s="10">
        <f>REPT(" ",8)</f>
        <v/>
      </c>
      <c r="P1107" s="10">
        <f>RIGHT($B$4,2)</f>
        <v/>
      </c>
      <c r="Q1107" s="10">
        <f>RIGHT($B$5,3)</f>
        <v/>
      </c>
      <c r="R1107" s="10">
        <f>IF(A1107="D",LEFT(UPPER(B1107)&amp;REPT(" ",20),20),REPT(" ",20))</f>
        <v/>
      </c>
      <c r="S1107" s="10">
        <f>IF(A1107="D",LEFT(UPPER(C1107)&amp;REPT(" ",10),10)," ")</f>
        <v/>
      </c>
      <c r="T1107" s="10">
        <f>IF(A1107="D",LEFT(UPPER(D1107)&amp;REPT(" ",2),2)," ")</f>
        <v/>
      </c>
      <c r="U1107" s="10">
        <f>IF(A1107="D",LEFT(UPPER(E1107)&amp;REPT(" ",15),15)," ")</f>
        <v/>
      </c>
      <c r="V1107" s="10">
        <f>REPT(" ",24)</f>
        <v/>
      </c>
      <c r="W1107" s="10">
        <f>IF(A1107="c",LEFT(UPPER(B1107)&amp;REPT(" ",20),20),REPT(" ",20))</f>
        <v/>
      </c>
      <c r="X1107" s="10">
        <f>IF(A1107="C",LEFT(UPPER(C1107)&amp;REPT(" ",10),10)," ")</f>
        <v/>
      </c>
      <c r="Y1107" s="10">
        <f>IF(A1107="C",LEFT(UPPER(D1107)&amp;REPT(" ",2),2)," ")</f>
        <v/>
      </c>
      <c r="Z1107" s="10">
        <f>IF(A1107="C",LEFT(UPPER(E1107)&amp;REPT(" ",15),15)," ")</f>
        <v/>
      </c>
      <c r="AA1107" s="10">
        <f>REPT(" ",8)</f>
        <v/>
      </c>
      <c r="AB1107" s="10">
        <f>REPT(" ",4)</f>
        <v/>
      </c>
      <c r="AC1107" s="10">
        <f>LEFT(UPPER(H1107)&amp;REPT(" ",250),250)</f>
        <v/>
      </c>
      <c r="AD1107" s="10">
        <f>TEXT($G$2,"dd/mm/aaaa")</f>
        <v/>
      </c>
      <c r="AE1107" s="10">
        <f>REPT(" ",10)</f>
        <v/>
      </c>
      <c r="AF1107" s="10">
        <f>REPT(" ",20)</f>
        <v/>
      </c>
      <c r="AG1107" s="54">
        <f>REPT(" ",18-LEN(FIXED(F1107,2,TRUE)))&amp;FIXED(F1107,2,TRUE)</f>
        <v/>
      </c>
      <c r="AH1107" s="10">
        <f>LEN(AC1107)+LEN(AG1107)</f>
        <v/>
      </c>
      <c r="AI1107" s="10">
        <f>LEN(L1107)</f>
        <v/>
      </c>
    </row>
    <row r="1108">
      <c r="J1108" s="12">
        <f>IF(F1108&lt;&gt;0,"LANÇAR","")</f>
        <v/>
      </c>
      <c r="L1108" s="13">
        <f>N1108&amp;O1108&amp;P1108&amp;Q1108&amp;R1108&amp;S1108&amp;T1108&amp;U1108&amp;V1108&amp;W1108&amp;X1108&amp;Y1108&amp;Z1108&amp;AA1108&amp;AB1108&amp;AC1108&amp;AD1108&amp;AE1108&amp;AF1108&amp;AG1108</f>
        <v/>
      </c>
      <c r="N1108" s="10">
        <f>TEXT($B$6,"00")</f>
        <v/>
      </c>
      <c r="O1108" s="10">
        <f>REPT(" ",8)</f>
        <v/>
      </c>
      <c r="P1108" s="10">
        <f>RIGHT($B$4,2)</f>
        <v/>
      </c>
      <c r="Q1108" s="10">
        <f>RIGHT($B$5,3)</f>
        <v/>
      </c>
      <c r="R1108" s="10">
        <f>IF(A1108="D",LEFT(UPPER(B1108)&amp;REPT(" ",20),20),REPT(" ",20))</f>
        <v/>
      </c>
      <c r="S1108" s="10">
        <f>IF(A1108="D",LEFT(UPPER(C1108)&amp;REPT(" ",10),10)," ")</f>
        <v/>
      </c>
      <c r="T1108" s="10">
        <f>IF(A1108="D",LEFT(UPPER(D1108)&amp;REPT(" ",2),2)," ")</f>
        <v/>
      </c>
      <c r="U1108" s="10">
        <f>IF(A1108="D",LEFT(UPPER(E1108)&amp;REPT(" ",15),15)," ")</f>
        <v/>
      </c>
      <c r="V1108" s="10">
        <f>REPT(" ",24)</f>
        <v/>
      </c>
      <c r="W1108" s="10">
        <f>IF(A1108="c",LEFT(UPPER(B1108)&amp;REPT(" ",20),20),REPT(" ",20))</f>
        <v/>
      </c>
      <c r="X1108" s="10">
        <f>IF(A1108="C",LEFT(UPPER(C1108)&amp;REPT(" ",10),10)," ")</f>
        <v/>
      </c>
      <c r="Y1108" s="10">
        <f>IF(A1108="C",LEFT(UPPER(D1108)&amp;REPT(" ",2),2)," ")</f>
        <v/>
      </c>
      <c r="Z1108" s="10">
        <f>IF(A1108="C",LEFT(UPPER(E1108)&amp;REPT(" ",15),15)," ")</f>
        <v/>
      </c>
      <c r="AA1108" s="10">
        <f>REPT(" ",8)</f>
        <v/>
      </c>
      <c r="AB1108" s="10">
        <f>REPT(" ",4)</f>
        <v/>
      </c>
      <c r="AC1108" s="10">
        <f>LEFT(UPPER(H1108)&amp;REPT(" ",250),250)</f>
        <v/>
      </c>
      <c r="AD1108" s="10">
        <f>TEXT($G$2,"dd/mm/aaaa")</f>
        <v/>
      </c>
      <c r="AE1108" s="10">
        <f>REPT(" ",10)</f>
        <v/>
      </c>
      <c r="AF1108" s="10">
        <f>REPT(" ",20)</f>
        <v/>
      </c>
      <c r="AG1108" s="54">
        <f>REPT(" ",18-LEN(FIXED(F1108,2,TRUE)))&amp;FIXED(F1108,2,TRUE)</f>
        <v/>
      </c>
      <c r="AH1108" s="10">
        <f>LEN(AC1108)+LEN(AG1108)</f>
        <v/>
      </c>
      <c r="AI1108" s="10">
        <f>LEN(L1108)</f>
        <v/>
      </c>
    </row>
    <row r="1109">
      <c r="J1109" s="12">
        <f>IF(F1109&lt;&gt;0,"LANÇAR","")</f>
        <v/>
      </c>
      <c r="L1109" s="13">
        <f>N1109&amp;O1109&amp;P1109&amp;Q1109&amp;R1109&amp;S1109&amp;T1109&amp;U1109&amp;V1109&amp;W1109&amp;X1109&amp;Y1109&amp;Z1109&amp;AA1109&amp;AB1109&amp;AC1109&amp;AD1109&amp;AE1109&amp;AF1109&amp;AG1109</f>
        <v/>
      </c>
      <c r="N1109" s="10">
        <f>TEXT($B$6,"00")</f>
        <v/>
      </c>
      <c r="O1109" s="10">
        <f>REPT(" ",8)</f>
        <v/>
      </c>
      <c r="P1109" s="10">
        <f>RIGHT($B$4,2)</f>
        <v/>
      </c>
      <c r="Q1109" s="10">
        <f>RIGHT($B$5,3)</f>
        <v/>
      </c>
      <c r="R1109" s="10">
        <f>IF(A1109="D",LEFT(UPPER(B1109)&amp;REPT(" ",20),20),REPT(" ",20))</f>
        <v/>
      </c>
      <c r="S1109" s="10">
        <f>IF(A1109="D",LEFT(UPPER(C1109)&amp;REPT(" ",10),10)," ")</f>
        <v/>
      </c>
      <c r="T1109" s="10">
        <f>IF(A1109="D",LEFT(UPPER(D1109)&amp;REPT(" ",2),2)," ")</f>
        <v/>
      </c>
      <c r="U1109" s="10">
        <f>IF(A1109="D",LEFT(UPPER(E1109)&amp;REPT(" ",15),15)," ")</f>
        <v/>
      </c>
      <c r="V1109" s="10">
        <f>REPT(" ",24)</f>
        <v/>
      </c>
      <c r="W1109" s="10">
        <f>IF(A1109="c",LEFT(UPPER(B1109)&amp;REPT(" ",20),20),REPT(" ",20))</f>
        <v/>
      </c>
      <c r="X1109" s="10">
        <f>IF(A1109="C",LEFT(UPPER(C1109)&amp;REPT(" ",10),10)," ")</f>
        <v/>
      </c>
      <c r="Y1109" s="10">
        <f>IF(A1109="C",LEFT(UPPER(D1109)&amp;REPT(" ",2),2)," ")</f>
        <v/>
      </c>
      <c r="Z1109" s="10">
        <f>IF(A1109="C",LEFT(UPPER(E1109)&amp;REPT(" ",15),15)," ")</f>
        <v/>
      </c>
      <c r="AA1109" s="10">
        <f>REPT(" ",8)</f>
        <v/>
      </c>
      <c r="AB1109" s="10">
        <f>REPT(" ",4)</f>
        <v/>
      </c>
      <c r="AC1109" s="10">
        <f>LEFT(UPPER(H1109)&amp;REPT(" ",250),250)</f>
        <v/>
      </c>
      <c r="AD1109" s="10">
        <f>TEXT($G$2,"dd/mm/aaaa")</f>
        <v/>
      </c>
      <c r="AE1109" s="10">
        <f>REPT(" ",10)</f>
        <v/>
      </c>
      <c r="AF1109" s="10">
        <f>REPT(" ",20)</f>
        <v/>
      </c>
      <c r="AG1109" s="54">
        <f>REPT(" ",18-LEN(FIXED(F1109,2,TRUE)))&amp;FIXED(F1109,2,TRUE)</f>
        <v/>
      </c>
      <c r="AH1109" s="10">
        <f>LEN(AC1109)+LEN(AG1109)</f>
        <v/>
      </c>
      <c r="AI1109" s="10">
        <f>LEN(L1109)</f>
        <v/>
      </c>
    </row>
    <row r="1110">
      <c r="J1110" s="12">
        <f>IF(F1110&lt;&gt;0,"LANÇAR","")</f>
        <v/>
      </c>
      <c r="L1110" s="13">
        <f>N1110&amp;O1110&amp;P1110&amp;Q1110&amp;R1110&amp;S1110&amp;T1110&amp;U1110&amp;V1110&amp;W1110&amp;X1110&amp;Y1110&amp;Z1110&amp;AA1110&amp;AB1110&amp;AC1110&amp;AD1110&amp;AE1110&amp;AF1110&amp;AG1110</f>
        <v/>
      </c>
      <c r="N1110" s="10">
        <f>TEXT($B$6,"00")</f>
        <v/>
      </c>
      <c r="O1110" s="10">
        <f>REPT(" ",8)</f>
        <v/>
      </c>
      <c r="P1110" s="10">
        <f>RIGHT($B$4,2)</f>
        <v/>
      </c>
      <c r="Q1110" s="10">
        <f>RIGHT($B$5,3)</f>
        <v/>
      </c>
      <c r="R1110" s="10">
        <f>IF(A1110="D",LEFT(UPPER(B1110)&amp;REPT(" ",20),20),REPT(" ",20))</f>
        <v/>
      </c>
      <c r="S1110" s="10">
        <f>IF(A1110="D",LEFT(UPPER(C1110)&amp;REPT(" ",10),10)," ")</f>
        <v/>
      </c>
      <c r="T1110" s="10">
        <f>IF(A1110="D",LEFT(UPPER(D1110)&amp;REPT(" ",2),2)," ")</f>
        <v/>
      </c>
      <c r="U1110" s="10">
        <f>IF(A1110="D",LEFT(UPPER(E1110)&amp;REPT(" ",15),15)," ")</f>
        <v/>
      </c>
      <c r="V1110" s="10">
        <f>REPT(" ",24)</f>
        <v/>
      </c>
      <c r="W1110" s="10">
        <f>IF(A1110="c",LEFT(UPPER(B1110)&amp;REPT(" ",20),20),REPT(" ",20))</f>
        <v/>
      </c>
      <c r="X1110" s="10">
        <f>IF(A1110="C",LEFT(UPPER(C1110)&amp;REPT(" ",10),10)," ")</f>
        <v/>
      </c>
      <c r="Y1110" s="10">
        <f>IF(A1110="C",LEFT(UPPER(D1110)&amp;REPT(" ",2),2)," ")</f>
        <v/>
      </c>
      <c r="Z1110" s="10">
        <f>IF(A1110="C",LEFT(UPPER(E1110)&amp;REPT(" ",15),15)," ")</f>
        <v/>
      </c>
      <c r="AA1110" s="10">
        <f>REPT(" ",8)</f>
        <v/>
      </c>
      <c r="AB1110" s="10">
        <f>REPT(" ",4)</f>
        <v/>
      </c>
      <c r="AC1110" s="10">
        <f>LEFT(UPPER(H1110)&amp;REPT(" ",250),250)</f>
        <v/>
      </c>
      <c r="AD1110" s="10">
        <f>TEXT($G$2,"dd/mm/aaaa")</f>
        <v/>
      </c>
      <c r="AE1110" s="10">
        <f>REPT(" ",10)</f>
        <v/>
      </c>
      <c r="AF1110" s="10">
        <f>REPT(" ",20)</f>
        <v/>
      </c>
      <c r="AG1110" s="54">
        <f>REPT(" ",18-LEN(FIXED(F1110,2,TRUE)))&amp;FIXED(F1110,2,TRUE)</f>
        <v/>
      </c>
      <c r="AH1110" s="10">
        <f>LEN(AC1110)+LEN(AG1110)</f>
        <v/>
      </c>
      <c r="AI1110" s="10">
        <f>LEN(L1110)</f>
        <v/>
      </c>
    </row>
    <row r="1111">
      <c r="J1111" s="12">
        <f>IF(F1111&lt;&gt;0,"LANÇAR","")</f>
        <v/>
      </c>
      <c r="L1111" s="13">
        <f>N1111&amp;O1111&amp;P1111&amp;Q1111&amp;R1111&amp;S1111&amp;T1111&amp;U1111&amp;V1111&amp;W1111&amp;X1111&amp;Y1111&amp;Z1111&amp;AA1111&amp;AB1111&amp;AC1111&amp;AD1111&amp;AE1111&amp;AF1111&amp;AG1111</f>
        <v/>
      </c>
      <c r="N1111" s="10">
        <f>TEXT($B$6,"00")</f>
        <v/>
      </c>
      <c r="O1111" s="10">
        <f>REPT(" ",8)</f>
        <v/>
      </c>
      <c r="P1111" s="10">
        <f>RIGHT($B$4,2)</f>
        <v/>
      </c>
      <c r="Q1111" s="10">
        <f>RIGHT($B$5,3)</f>
        <v/>
      </c>
      <c r="R1111" s="10">
        <f>IF(A1111="D",LEFT(UPPER(B1111)&amp;REPT(" ",20),20),REPT(" ",20))</f>
        <v/>
      </c>
      <c r="S1111" s="10">
        <f>IF(A1111="D",LEFT(UPPER(C1111)&amp;REPT(" ",10),10)," ")</f>
        <v/>
      </c>
      <c r="T1111" s="10">
        <f>IF(A1111="D",LEFT(UPPER(D1111)&amp;REPT(" ",2),2)," ")</f>
        <v/>
      </c>
      <c r="U1111" s="10">
        <f>IF(A1111="D",LEFT(UPPER(E1111)&amp;REPT(" ",15),15)," ")</f>
        <v/>
      </c>
      <c r="V1111" s="10">
        <f>REPT(" ",24)</f>
        <v/>
      </c>
      <c r="W1111" s="10">
        <f>IF(A1111="c",LEFT(UPPER(B1111)&amp;REPT(" ",20),20),REPT(" ",20))</f>
        <v/>
      </c>
      <c r="X1111" s="10">
        <f>IF(A1111="C",LEFT(UPPER(C1111)&amp;REPT(" ",10),10)," ")</f>
        <v/>
      </c>
      <c r="Y1111" s="10">
        <f>IF(A1111="C",LEFT(UPPER(D1111)&amp;REPT(" ",2),2)," ")</f>
        <v/>
      </c>
      <c r="Z1111" s="10">
        <f>IF(A1111="C",LEFT(UPPER(E1111)&amp;REPT(" ",15),15)," ")</f>
        <v/>
      </c>
      <c r="AA1111" s="10">
        <f>REPT(" ",8)</f>
        <v/>
      </c>
      <c r="AB1111" s="10">
        <f>REPT(" ",4)</f>
        <v/>
      </c>
      <c r="AC1111" s="10">
        <f>LEFT(UPPER(H1111)&amp;REPT(" ",250),250)</f>
        <v/>
      </c>
      <c r="AD1111" s="10">
        <f>TEXT($G$2,"dd/mm/aaaa")</f>
        <v/>
      </c>
      <c r="AE1111" s="10">
        <f>REPT(" ",10)</f>
        <v/>
      </c>
      <c r="AF1111" s="10">
        <f>REPT(" ",20)</f>
        <v/>
      </c>
      <c r="AG1111" s="54">
        <f>REPT(" ",18-LEN(FIXED(F1111,2,TRUE)))&amp;FIXED(F1111,2,TRUE)</f>
        <v/>
      </c>
      <c r="AH1111" s="10">
        <f>LEN(AC1111)+LEN(AG1111)</f>
        <v/>
      </c>
      <c r="AI1111" s="10">
        <f>LEN(L1111)</f>
        <v/>
      </c>
    </row>
    <row r="1112">
      <c r="J1112" s="12">
        <f>IF(F1112&lt;&gt;0,"LANÇAR","")</f>
        <v/>
      </c>
      <c r="L1112" s="13">
        <f>N1112&amp;O1112&amp;P1112&amp;Q1112&amp;R1112&amp;S1112&amp;T1112&amp;U1112&amp;V1112&amp;W1112&amp;X1112&amp;Y1112&amp;Z1112&amp;AA1112&amp;AB1112&amp;AC1112&amp;AD1112&amp;AE1112&amp;AF1112&amp;AG1112</f>
        <v/>
      </c>
      <c r="N1112" s="10">
        <f>TEXT($B$6,"00")</f>
        <v/>
      </c>
      <c r="O1112" s="10">
        <f>REPT(" ",8)</f>
        <v/>
      </c>
      <c r="P1112" s="10">
        <f>RIGHT($B$4,2)</f>
        <v/>
      </c>
      <c r="Q1112" s="10">
        <f>RIGHT($B$5,3)</f>
        <v/>
      </c>
      <c r="R1112" s="10">
        <f>IF(A1112="D",LEFT(UPPER(B1112)&amp;REPT(" ",20),20),REPT(" ",20))</f>
        <v/>
      </c>
      <c r="S1112" s="10">
        <f>IF(A1112="D",LEFT(UPPER(C1112)&amp;REPT(" ",10),10)," ")</f>
        <v/>
      </c>
      <c r="T1112" s="10">
        <f>IF(A1112="D",LEFT(UPPER(D1112)&amp;REPT(" ",2),2)," ")</f>
        <v/>
      </c>
      <c r="U1112" s="10">
        <f>IF(A1112="D",LEFT(UPPER(E1112)&amp;REPT(" ",15),15)," ")</f>
        <v/>
      </c>
      <c r="V1112" s="10">
        <f>REPT(" ",24)</f>
        <v/>
      </c>
      <c r="W1112" s="10">
        <f>IF(A1112="c",LEFT(UPPER(B1112)&amp;REPT(" ",20),20),REPT(" ",20))</f>
        <v/>
      </c>
      <c r="X1112" s="10">
        <f>IF(A1112="C",LEFT(UPPER(C1112)&amp;REPT(" ",10),10)," ")</f>
        <v/>
      </c>
      <c r="Y1112" s="10">
        <f>IF(A1112="C",LEFT(UPPER(D1112)&amp;REPT(" ",2),2)," ")</f>
        <v/>
      </c>
      <c r="Z1112" s="10">
        <f>IF(A1112="C",LEFT(UPPER(E1112)&amp;REPT(" ",15),15)," ")</f>
        <v/>
      </c>
      <c r="AA1112" s="10">
        <f>REPT(" ",8)</f>
        <v/>
      </c>
      <c r="AB1112" s="10">
        <f>REPT(" ",4)</f>
        <v/>
      </c>
      <c r="AC1112" s="10">
        <f>LEFT(UPPER(H1112)&amp;REPT(" ",250),250)</f>
        <v/>
      </c>
      <c r="AD1112" s="10">
        <f>TEXT($G$2,"dd/mm/aaaa")</f>
        <v/>
      </c>
      <c r="AE1112" s="10">
        <f>REPT(" ",10)</f>
        <v/>
      </c>
      <c r="AF1112" s="10">
        <f>REPT(" ",20)</f>
        <v/>
      </c>
      <c r="AG1112" s="54">
        <f>REPT(" ",18-LEN(FIXED(F1112,2,TRUE)))&amp;FIXED(F1112,2,TRUE)</f>
        <v/>
      </c>
      <c r="AH1112" s="10">
        <f>LEN(AC1112)+LEN(AG1112)</f>
        <v/>
      </c>
      <c r="AI1112" s="10">
        <f>LEN(L1112)</f>
        <v/>
      </c>
    </row>
    <row r="1113">
      <c r="J1113" s="12">
        <f>IF(F1113&lt;&gt;0,"LANÇAR","")</f>
        <v/>
      </c>
      <c r="L1113" s="13">
        <f>N1113&amp;O1113&amp;P1113&amp;Q1113&amp;R1113&amp;S1113&amp;T1113&amp;U1113&amp;V1113&amp;W1113&amp;X1113&amp;Y1113&amp;Z1113&amp;AA1113&amp;AB1113&amp;AC1113&amp;AD1113&amp;AE1113&amp;AF1113&amp;AG1113</f>
        <v/>
      </c>
      <c r="N1113" s="10">
        <f>TEXT($B$6,"00")</f>
        <v/>
      </c>
      <c r="O1113" s="10">
        <f>REPT(" ",8)</f>
        <v/>
      </c>
      <c r="P1113" s="10">
        <f>RIGHT($B$4,2)</f>
        <v/>
      </c>
      <c r="Q1113" s="10">
        <f>RIGHT($B$5,3)</f>
        <v/>
      </c>
      <c r="R1113" s="10">
        <f>IF(A1113="D",LEFT(UPPER(B1113)&amp;REPT(" ",20),20),REPT(" ",20))</f>
        <v/>
      </c>
      <c r="S1113" s="10">
        <f>IF(A1113="D",LEFT(UPPER(C1113)&amp;REPT(" ",10),10)," ")</f>
        <v/>
      </c>
      <c r="T1113" s="10">
        <f>IF(A1113="D",LEFT(UPPER(D1113)&amp;REPT(" ",2),2)," ")</f>
        <v/>
      </c>
      <c r="U1113" s="10">
        <f>IF(A1113="D",LEFT(UPPER(E1113)&amp;REPT(" ",15),15)," ")</f>
        <v/>
      </c>
      <c r="V1113" s="10">
        <f>REPT(" ",24)</f>
        <v/>
      </c>
      <c r="W1113" s="10">
        <f>IF(A1113="c",LEFT(UPPER(B1113)&amp;REPT(" ",20),20),REPT(" ",20))</f>
        <v/>
      </c>
      <c r="X1113" s="10">
        <f>IF(A1113="C",LEFT(UPPER(C1113)&amp;REPT(" ",10),10)," ")</f>
        <v/>
      </c>
      <c r="Y1113" s="10">
        <f>IF(A1113="C",LEFT(UPPER(D1113)&amp;REPT(" ",2),2)," ")</f>
        <v/>
      </c>
      <c r="Z1113" s="10">
        <f>IF(A1113="C",LEFT(UPPER(E1113)&amp;REPT(" ",15),15)," ")</f>
        <v/>
      </c>
      <c r="AA1113" s="10">
        <f>REPT(" ",8)</f>
        <v/>
      </c>
      <c r="AB1113" s="10">
        <f>REPT(" ",4)</f>
        <v/>
      </c>
      <c r="AC1113" s="10">
        <f>LEFT(UPPER(H1113)&amp;REPT(" ",250),250)</f>
        <v/>
      </c>
      <c r="AD1113" s="10">
        <f>TEXT($G$2,"dd/mm/aaaa")</f>
        <v/>
      </c>
      <c r="AE1113" s="10">
        <f>REPT(" ",10)</f>
        <v/>
      </c>
      <c r="AF1113" s="10">
        <f>REPT(" ",20)</f>
        <v/>
      </c>
      <c r="AG1113" s="54">
        <f>REPT(" ",18-LEN(FIXED(F1113,2,TRUE)))&amp;FIXED(F1113,2,TRUE)</f>
        <v/>
      </c>
      <c r="AH1113" s="10">
        <f>LEN(AC1113)+LEN(AG1113)</f>
        <v/>
      </c>
      <c r="AI1113" s="10">
        <f>LEN(L1113)</f>
        <v/>
      </c>
    </row>
    <row r="1114">
      <c r="J1114" s="12">
        <f>IF(F1114&lt;&gt;0,"LANÇAR","")</f>
        <v/>
      </c>
      <c r="L1114" s="13">
        <f>N1114&amp;O1114&amp;P1114&amp;Q1114&amp;R1114&amp;S1114&amp;T1114&amp;U1114&amp;V1114&amp;W1114&amp;X1114&amp;Y1114&amp;Z1114&amp;AA1114&amp;AB1114&amp;AC1114&amp;AD1114&amp;AE1114&amp;AF1114&amp;AG1114</f>
        <v/>
      </c>
      <c r="N1114" s="10">
        <f>TEXT($B$6,"00")</f>
        <v/>
      </c>
      <c r="O1114" s="10">
        <f>REPT(" ",8)</f>
        <v/>
      </c>
      <c r="P1114" s="10">
        <f>RIGHT($B$4,2)</f>
        <v/>
      </c>
      <c r="Q1114" s="10">
        <f>RIGHT($B$5,3)</f>
        <v/>
      </c>
      <c r="R1114" s="10">
        <f>IF(A1114="D",LEFT(UPPER(B1114)&amp;REPT(" ",20),20),REPT(" ",20))</f>
        <v/>
      </c>
      <c r="S1114" s="10">
        <f>IF(A1114="D",LEFT(UPPER(C1114)&amp;REPT(" ",10),10)," ")</f>
        <v/>
      </c>
      <c r="T1114" s="10">
        <f>IF(A1114="D",LEFT(UPPER(D1114)&amp;REPT(" ",2),2)," ")</f>
        <v/>
      </c>
      <c r="U1114" s="10">
        <f>IF(A1114="D",LEFT(UPPER(E1114)&amp;REPT(" ",15),15)," ")</f>
        <v/>
      </c>
      <c r="V1114" s="10">
        <f>REPT(" ",24)</f>
        <v/>
      </c>
      <c r="W1114" s="10">
        <f>IF(A1114="c",LEFT(UPPER(B1114)&amp;REPT(" ",20),20),REPT(" ",20))</f>
        <v/>
      </c>
      <c r="X1114" s="10">
        <f>IF(A1114="C",LEFT(UPPER(C1114)&amp;REPT(" ",10),10)," ")</f>
        <v/>
      </c>
      <c r="Y1114" s="10">
        <f>IF(A1114="C",LEFT(UPPER(D1114)&amp;REPT(" ",2),2)," ")</f>
        <v/>
      </c>
      <c r="Z1114" s="10">
        <f>IF(A1114="C",LEFT(UPPER(E1114)&amp;REPT(" ",15),15)," ")</f>
        <v/>
      </c>
      <c r="AA1114" s="10">
        <f>REPT(" ",8)</f>
        <v/>
      </c>
      <c r="AB1114" s="10">
        <f>REPT(" ",4)</f>
        <v/>
      </c>
      <c r="AC1114" s="10">
        <f>LEFT(UPPER(H1114)&amp;REPT(" ",250),250)</f>
        <v/>
      </c>
      <c r="AD1114" s="10">
        <f>TEXT($G$2,"dd/mm/aaaa")</f>
        <v/>
      </c>
      <c r="AE1114" s="10">
        <f>REPT(" ",10)</f>
        <v/>
      </c>
      <c r="AF1114" s="10">
        <f>REPT(" ",20)</f>
        <v/>
      </c>
      <c r="AG1114" s="54">
        <f>REPT(" ",18-LEN(FIXED(F1114,2,TRUE)))&amp;FIXED(F1114,2,TRUE)</f>
        <v/>
      </c>
      <c r="AH1114" s="10">
        <f>LEN(AC1114)+LEN(AG1114)</f>
        <v/>
      </c>
      <c r="AI1114" s="10">
        <f>LEN(L1114)</f>
        <v/>
      </c>
    </row>
    <row r="1115">
      <c r="J1115" s="12">
        <f>IF(F1115&lt;&gt;0,"LANÇAR","")</f>
        <v/>
      </c>
      <c r="L1115" s="13">
        <f>N1115&amp;O1115&amp;P1115&amp;Q1115&amp;R1115&amp;S1115&amp;T1115&amp;U1115&amp;V1115&amp;W1115&amp;X1115&amp;Y1115&amp;Z1115&amp;AA1115&amp;AB1115&amp;AC1115&amp;AD1115&amp;AE1115&amp;AF1115&amp;AG1115</f>
        <v/>
      </c>
      <c r="N1115" s="10">
        <f>TEXT($B$6,"00")</f>
        <v/>
      </c>
      <c r="O1115" s="10">
        <f>REPT(" ",8)</f>
        <v/>
      </c>
      <c r="P1115" s="10">
        <f>RIGHT($B$4,2)</f>
        <v/>
      </c>
      <c r="Q1115" s="10">
        <f>RIGHT($B$5,3)</f>
        <v/>
      </c>
      <c r="R1115" s="10">
        <f>IF(A1115="D",LEFT(UPPER(B1115)&amp;REPT(" ",20),20),REPT(" ",20))</f>
        <v/>
      </c>
      <c r="S1115" s="10">
        <f>IF(A1115="D",LEFT(UPPER(C1115)&amp;REPT(" ",10),10)," ")</f>
        <v/>
      </c>
      <c r="T1115" s="10">
        <f>IF(A1115="D",LEFT(UPPER(D1115)&amp;REPT(" ",2),2)," ")</f>
        <v/>
      </c>
      <c r="U1115" s="10">
        <f>IF(A1115="D",LEFT(UPPER(E1115)&amp;REPT(" ",15),15)," ")</f>
        <v/>
      </c>
      <c r="V1115" s="10">
        <f>REPT(" ",24)</f>
        <v/>
      </c>
      <c r="W1115" s="10">
        <f>IF(A1115="c",LEFT(UPPER(B1115)&amp;REPT(" ",20),20),REPT(" ",20))</f>
        <v/>
      </c>
      <c r="X1115" s="10">
        <f>IF(A1115="C",LEFT(UPPER(C1115)&amp;REPT(" ",10),10)," ")</f>
        <v/>
      </c>
      <c r="Y1115" s="10">
        <f>IF(A1115="C",LEFT(UPPER(D1115)&amp;REPT(" ",2),2)," ")</f>
        <v/>
      </c>
      <c r="Z1115" s="10">
        <f>IF(A1115="C",LEFT(UPPER(E1115)&amp;REPT(" ",15),15)," ")</f>
        <v/>
      </c>
      <c r="AA1115" s="10">
        <f>REPT(" ",8)</f>
        <v/>
      </c>
      <c r="AB1115" s="10">
        <f>REPT(" ",4)</f>
        <v/>
      </c>
      <c r="AC1115" s="10">
        <f>LEFT(UPPER(H1115)&amp;REPT(" ",250),250)</f>
        <v/>
      </c>
      <c r="AD1115" s="10">
        <f>TEXT($G$2,"dd/mm/aaaa")</f>
        <v/>
      </c>
      <c r="AE1115" s="10">
        <f>REPT(" ",10)</f>
        <v/>
      </c>
      <c r="AF1115" s="10">
        <f>REPT(" ",20)</f>
        <v/>
      </c>
      <c r="AG1115" s="54">
        <f>REPT(" ",18-LEN(FIXED(F1115,2,TRUE)))&amp;FIXED(F1115,2,TRUE)</f>
        <v/>
      </c>
      <c r="AH1115" s="10">
        <f>LEN(AC1115)+LEN(AG1115)</f>
        <v/>
      </c>
      <c r="AI1115" s="10">
        <f>LEN(L1115)</f>
        <v/>
      </c>
    </row>
    <row r="1116">
      <c r="J1116" s="12">
        <f>IF(F1116&lt;&gt;0,"LANÇAR","")</f>
        <v/>
      </c>
      <c r="L1116" s="13">
        <f>N1116&amp;O1116&amp;P1116&amp;Q1116&amp;R1116&amp;S1116&amp;T1116&amp;U1116&amp;V1116&amp;W1116&amp;X1116&amp;Y1116&amp;Z1116&amp;AA1116&amp;AB1116&amp;AC1116&amp;AD1116&amp;AE1116&amp;AF1116&amp;AG1116</f>
        <v/>
      </c>
      <c r="N1116" s="10">
        <f>TEXT($B$6,"00")</f>
        <v/>
      </c>
      <c r="O1116" s="10">
        <f>REPT(" ",8)</f>
        <v/>
      </c>
      <c r="P1116" s="10">
        <f>RIGHT($B$4,2)</f>
        <v/>
      </c>
      <c r="Q1116" s="10">
        <f>RIGHT($B$5,3)</f>
        <v/>
      </c>
      <c r="R1116" s="10">
        <f>IF(A1116="D",LEFT(UPPER(B1116)&amp;REPT(" ",20),20),REPT(" ",20))</f>
        <v/>
      </c>
      <c r="S1116" s="10">
        <f>IF(A1116="D",LEFT(UPPER(C1116)&amp;REPT(" ",10),10)," ")</f>
        <v/>
      </c>
      <c r="T1116" s="10">
        <f>IF(A1116="D",LEFT(UPPER(D1116)&amp;REPT(" ",2),2)," ")</f>
        <v/>
      </c>
      <c r="U1116" s="10">
        <f>IF(A1116="D",LEFT(UPPER(E1116)&amp;REPT(" ",15),15)," ")</f>
        <v/>
      </c>
      <c r="V1116" s="10">
        <f>REPT(" ",24)</f>
        <v/>
      </c>
      <c r="W1116" s="10">
        <f>IF(A1116="c",LEFT(UPPER(B1116)&amp;REPT(" ",20),20),REPT(" ",20))</f>
        <v/>
      </c>
      <c r="X1116" s="10">
        <f>IF(A1116="C",LEFT(UPPER(C1116)&amp;REPT(" ",10),10)," ")</f>
        <v/>
      </c>
      <c r="Y1116" s="10">
        <f>IF(A1116="C",LEFT(UPPER(D1116)&amp;REPT(" ",2),2)," ")</f>
        <v/>
      </c>
      <c r="Z1116" s="10">
        <f>IF(A1116="C",LEFT(UPPER(E1116)&amp;REPT(" ",15),15)," ")</f>
        <v/>
      </c>
      <c r="AA1116" s="10">
        <f>REPT(" ",8)</f>
        <v/>
      </c>
      <c r="AB1116" s="10">
        <f>REPT(" ",4)</f>
        <v/>
      </c>
      <c r="AC1116" s="10">
        <f>LEFT(UPPER(H1116)&amp;REPT(" ",250),250)</f>
        <v/>
      </c>
      <c r="AD1116" s="10">
        <f>TEXT($G$2,"dd/mm/aaaa")</f>
        <v/>
      </c>
      <c r="AE1116" s="10">
        <f>REPT(" ",10)</f>
        <v/>
      </c>
      <c r="AF1116" s="10">
        <f>REPT(" ",20)</f>
        <v/>
      </c>
      <c r="AG1116" s="54">
        <f>REPT(" ",18-LEN(FIXED(F1116,2,TRUE)))&amp;FIXED(F1116,2,TRUE)</f>
        <v/>
      </c>
      <c r="AH1116" s="10">
        <f>LEN(AC1116)+LEN(AG1116)</f>
        <v/>
      </c>
      <c r="AI1116" s="10">
        <f>LEN(L1116)</f>
        <v/>
      </c>
    </row>
    <row r="1117">
      <c r="J1117" s="12">
        <f>IF(F1117&lt;&gt;0,"LANÇAR","")</f>
        <v/>
      </c>
      <c r="L1117" s="13">
        <f>N1117&amp;O1117&amp;P1117&amp;Q1117&amp;R1117&amp;S1117&amp;T1117&amp;U1117&amp;V1117&amp;W1117&amp;X1117&amp;Y1117&amp;Z1117&amp;AA1117&amp;AB1117&amp;AC1117&amp;AD1117&amp;AE1117&amp;AF1117&amp;AG1117</f>
        <v/>
      </c>
      <c r="N1117" s="10">
        <f>TEXT($B$6,"00")</f>
        <v/>
      </c>
      <c r="O1117" s="10">
        <f>REPT(" ",8)</f>
        <v/>
      </c>
      <c r="P1117" s="10">
        <f>RIGHT($B$4,2)</f>
        <v/>
      </c>
      <c r="Q1117" s="10">
        <f>RIGHT($B$5,3)</f>
        <v/>
      </c>
      <c r="R1117" s="10">
        <f>IF(A1117="D",LEFT(UPPER(B1117)&amp;REPT(" ",20),20),REPT(" ",20))</f>
        <v/>
      </c>
      <c r="S1117" s="10">
        <f>IF(A1117="D",LEFT(UPPER(C1117)&amp;REPT(" ",10),10)," ")</f>
        <v/>
      </c>
      <c r="T1117" s="10">
        <f>IF(A1117="D",LEFT(UPPER(D1117)&amp;REPT(" ",2),2)," ")</f>
        <v/>
      </c>
      <c r="U1117" s="10">
        <f>IF(A1117="D",LEFT(UPPER(E1117)&amp;REPT(" ",15),15)," ")</f>
        <v/>
      </c>
      <c r="V1117" s="10">
        <f>REPT(" ",24)</f>
        <v/>
      </c>
      <c r="W1117" s="10">
        <f>IF(A1117="c",LEFT(UPPER(B1117)&amp;REPT(" ",20),20),REPT(" ",20))</f>
        <v/>
      </c>
      <c r="X1117" s="10">
        <f>IF(A1117="C",LEFT(UPPER(C1117)&amp;REPT(" ",10),10)," ")</f>
        <v/>
      </c>
      <c r="Y1117" s="10">
        <f>IF(A1117="C",LEFT(UPPER(D1117)&amp;REPT(" ",2),2)," ")</f>
        <v/>
      </c>
      <c r="Z1117" s="10">
        <f>IF(A1117="C",LEFT(UPPER(E1117)&amp;REPT(" ",15),15)," ")</f>
        <v/>
      </c>
      <c r="AA1117" s="10">
        <f>REPT(" ",8)</f>
        <v/>
      </c>
      <c r="AB1117" s="10">
        <f>REPT(" ",4)</f>
        <v/>
      </c>
      <c r="AC1117" s="10">
        <f>LEFT(UPPER(H1117)&amp;REPT(" ",250),250)</f>
        <v/>
      </c>
      <c r="AD1117" s="10">
        <f>TEXT($G$2,"dd/mm/aaaa")</f>
        <v/>
      </c>
      <c r="AE1117" s="10">
        <f>REPT(" ",10)</f>
        <v/>
      </c>
      <c r="AF1117" s="10">
        <f>REPT(" ",20)</f>
        <v/>
      </c>
      <c r="AG1117" s="54">
        <f>REPT(" ",18-LEN(FIXED(F1117,2,TRUE)))&amp;FIXED(F1117,2,TRUE)</f>
        <v/>
      </c>
      <c r="AH1117" s="10">
        <f>LEN(AC1117)+LEN(AG1117)</f>
        <v/>
      </c>
      <c r="AI1117" s="10">
        <f>LEN(L1117)</f>
        <v/>
      </c>
    </row>
    <row r="1118">
      <c r="J1118" s="12">
        <f>IF(F1118&lt;&gt;0,"LANÇAR","")</f>
        <v/>
      </c>
      <c r="L1118" s="13">
        <f>N1118&amp;O1118&amp;P1118&amp;Q1118&amp;R1118&amp;S1118&amp;T1118&amp;U1118&amp;V1118&amp;W1118&amp;X1118&amp;Y1118&amp;Z1118&amp;AA1118&amp;AB1118&amp;AC1118&amp;AD1118&amp;AE1118&amp;AF1118&amp;AG1118</f>
        <v/>
      </c>
      <c r="N1118" s="10">
        <f>TEXT($B$6,"00")</f>
        <v/>
      </c>
      <c r="O1118" s="10">
        <f>REPT(" ",8)</f>
        <v/>
      </c>
      <c r="P1118" s="10">
        <f>RIGHT($B$4,2)</f>
        <v/>
      </c>
      <c r="Q1118" s="10">
        <f>RIGHT($B$5,3)</f>
        <v/>
      </c>
      <c r="R1118" s="10">
        <f>IF(A1118="D",LEFT(UPPER(B1118)&amp;REPT(" ",20),20),REPT(" ",20))</f>
        <v/>
      </c>
      <c r="S1118" s="10">
        <f>IF(A1118="D",LEFT(UPPER(C1118)&amp;REPT(" ",10),10)," ")</f>
        <v/>
      </c>
      <c r="T1118" s="10">
        <f>IF(A1118="D",LEFT(UPPER(D1118)&amp;REPT(" ",2),2)," ")</f>
        <v/>
      </c>
      <c r="U1118" s="10">
        <f>IF(A1118="D",LEFT(UPPER(E1118)&amp;REPT(" ",15),15)," ")</f>
        <v/>
      </c>
      <c r="V1118" s="10">
        <f>REPT(" ",24)</f>
        <v/>
      </c>
      <c r="W1118" s="10">
        <f>IF(A1118="c",LEFT(UPPER(B1118)&amp;REPT(" ",20),20),REPT(" ",20))</f>
        <v/>
      </c>
      <c r="X1118" s="10">
        <f>IF(A1118="C",LEFT(UPPER(C1118)&amp;REPT(" ",10),10)," ")</f>
        <v/>
      </c>
      <c r="Y1118" s="10">
        <f>IF(A1118="C",LEFT(UPPER(D1118)&amp;REPT(" ",2),2)," ")</f>
        <v/>
      </c>
      <c r="Z1118" s="10">
        <f>IF(A1118="C",LEFT(UPPER(E1118)&amp;REPT(" ",15),15)," ")</f>
        <v/>
      </c>
      <c r="AA1118" s="10">
        <f>REPT(" ",8)</f>
        <v/>
      </c>
      <c r="AB1118" s="10">
        <f>REPT(" ",4)</f>
        <v/>
      </c>
      <c r="AC1118" s="10">
        <f>LEFT(UPPER(H1118)&amp;REPT(" ",250),250)</f>
        <v/>
      </c>
      <c r="AD1118" s="10">
        <f>TEXT($G$2,"dd/mm/aaaa")</f>
        <v/>
      </c>
      <c r="AE1118" s="10">
        <f>REPT(" ",10)</f>
        <v/>
      </c>
      <c r="AF1118" s="10">
        <f>REPT(" ",20)</f>
        <v/>
      </c>
      <c r="AG1118" s="54">
        <f>REPT(" ",18-LEN(FIXED(F1118,2,TRUE)))&amp;FIXED(F1118,2,TRUE)</f>
        <v/>
      </c>
      <c r="AH1118" s="10">
        <f>LEN(AC1118)+LEN(AG1118)</f>
        <v/>
      </c>
      <c r="AI1118" s="10">
        <f>LEN(L1118)</f>
        <v/>
      </c>
    </row>
    <row r="1119">
      <c r="J1119" s="12">
        <f>IF(F1119&lt;&gt;0,"LANÇAR","")</f>
        <v/>
      </c>
      <c r="L1119" s="13">
        <f>N1119&amp;O1119&amp;P1119&amp;Q1119&amp;R1119&amp;S1119&amp;T1119&amp;U1119&amp;V1119&amp;W1119&amp;X1119&amp;Y1119&amp;Z1119&amp;AA1119&amp;AB1119&amp;AC1119&amp;AD1119&amp;AE1119&amp;AF1119&amp;AG1119</f>
        <v/>
      </c>
      <c r="N1119" s="10">
        <f>TEXT($B$6,"00")</f>
        <v/>
      </c>
      <c r="O1119" s="10">
        <f>REPT(" ",8)</f>
        <v/>
      </c>
      <c r="P1119" s="10">
        <f>RIGHT($B$4,2)</f>
        <v/>
      </c>
      <c r="Q1119" s="10">
        <f>RIGHT($B$5,3)</f>
        <v/>
      </c>
      <c r="R1119" s="10">
        <f>IF(A1119="D",LEFT(UPPER(B1119)&amp;REPT(" ",20),20),REPT(" ",20))</f>
        <v/>
      </c>
      <c r="S1119" s="10">
        <f>IF(A1119="D",LEFT(UPPER(C1119)&amp;REPT(" ",10),10)," ")</f>
        <v/>
      </c>
      <c r="T1119" s="10">
        <f>IF(A1119="D",LEFT(UPPER(D1119)&amp;REPT(" ",2),2)," ")</f>
        <v/>
      </c>
      <c r="U1119" s="10">
        <f>IF(A1119="D",LEFT(UPPER(E1119)&amp;REPT(" ",15),15)," ")</f>
        <v/>
      </c>
      <c r="V1119" s="10">
        <f>REPT(" ",24)</f>
        <v/>
      </c>
      <c r="W1119" s="10">
        <f>IF(A1119="c",LEFT(UPPER(B1119)&amp;REPT(" ",20),20),REPT(" ",20))</f>
        <v/>
      </c>
      <c r="X1119" s="10">
        <f>IF(A1119="C",LEFT(UPPER(C1119)&amp;REPT(" ",10),10)," ")</f>
        <v/>
      </c>
      <c r="Y1119" s="10">
        <f>IF(A1119="C",LEFT(UPPER(D1119)&amp;REPT(" ",2),2)," ")</f>
        <v/>
      </c>
      <c r="Z1119" s="10">
        <f>IF(A1119="C",LEFT(UPPER(E1119)&amp;REPT(" ",15),15)," ")</f>
        <v/>
      </c>
      <c r="AA1119" s="10">
        <f>REPT(" ",8)</f>
        <v/>
      </c>
      <c r="AB1119" s="10">
        <f>REPT(" ",4)</f>
        <v/>
      </c>
      <c r="AC1119" s="10">
        <f>LEFT(UPPER(H1119)&amp;REPT(" ",250),250)</f>
        <v/>
      </c>
      <c r="AD1119" s="10">
        <f>TEXT($G$2,"dd/mm/aaaa")</f>
        <v/>
      </c>
      <c r="AE1119" s="10">
        <f>REPT(" ",10)</f>
        <v/>
      </c>
      <c r="AF1119" s="10">
        <f>REPT(" ",20)</f>
        <v/>
      </c>
      <c r="AG1119" s="54">
        <f>REPT(" ",18-LEN(FIXED(F1119,2,TRUE)))&amp;FIXED(F1119,2,TRUE)</f>
        <v/>
      </c>
      <c r="AH1119" s="10">
        <f>LEN(AC1119)+LEN(AG1119)</f>
        <v/>
      </c>
      <c r="AI1119" s="10">
        <f>LEN(L1119)</f>
        <v/>
      </c>
    </row>
    <row r="1120">
      <c r="J1120" s="12">
        <f>IF(F1120&lt;&gt;0,"LANÇAR","")</f>
        <v/>
      </c>
      <c r="L1120" s="13">
        <f>N1120&amp;O1120&amp;P1120&amp;Q1120&amp;R1120&amp;S1120&amp;T1120&amp;U1120&amp;V1120&amp;W1120&amp;X1120&amp;Y1120&amp;Z1120&amp;AA1120&amp;AB1120&amp;AC1120&amp;AD1120&amp;AE1120&amp;AF1120&amp;AG1120</f>
        <v/>
      </c>
      <c r="N1120" s="10">
        <f>TEXT($B$6,"00")</f>
        <v/>
      </c>
      <c r="O1120" s="10">
        <f>REPT(" ",8)</f>
        <v/>
      </c>
      <c r="P1120" s="10">
        <f>RIGHT($B$4,2)</f>
        <v/>
      </c>
      <c r="Q1120" s="10">
        <f>RIGHT($B$5,3)</f>
        <v/>
      </c>
      <c r="R1120" s="10">
        <f>IF(A1120="D",LEFT(UPPER(B1120)&amp;REPT(" ",20),20),REPT(" ",20))</f>
        <v/>
      </c>
      <c r="S1120" s="10">
        <f>IF(A1120="D",LEFT(UPPER(C1120)&amp;REPT(" ",10),10)," ")</f>
        <v/>
      </c>
      <c r="T1120" s="10">
        <f>IF(A1120="D",LEFT(UPPER(D1120)&amp;REPT(" ",2),2)," ")</f>
        <v/>
      </c>
      <c r="U1120" s="10">
        <f>IF(A1120="D",LEFT(UPPER(E1120)&amp;REPT(" ",15),15)," ")</f>
        <v/>
      </c>
      <c r="V1120" s="10">
        <f>REPT(" ",24)</f>
        <v/>
      </c>
      <c r="W1120" s="10">
        <f>IF(A1120="c",LEFT(UPPER(B1120)&amp;REPT(" ",20),20),REPT(" ",20))</f>
        <v/>
      </c>
      <c r="X1120" s="10">
        <f>IF(A1120="C",LEFT(UPPER(C1120)&amp;REPT(" ",10),10)," ")</f>
        <v/>
      </c>
      <c r="Y1120" s="10">
        <f>IF(A1120="C",LEFT(UPPER(D1120)&amp;REPT(" ",2),2)," ")</f>
        <v/>
      </c>
      <c r="Z1120" s="10">
        <f>IF(A1120="C",LEFT(UPPER(E1120)&amp;REPT(" ",15),15)," ")</f>
        <v/>
      </c>
      <c r="AA1120" s="10">
        <f>REPT(" ",8)</f>
        <v/>
      </c>
      <c r="AB1120" s="10">
        <f>REPT(" ",4)</f>
        <v/>
      </c>
      <c r="AC1120" s="10">
        <f>LEFT(UPPER(H1120)&amp;REPT(" ",250),250)</f>
        <v/>
      </c>
      <c r="AD1120" s="10">
        <f>TEXT($G$2,"dd/mm/aaaa")</f>
        <v/>
      </c>
      <c r="AE1120" s="10">
        <f>REPT(" ",10)</f>
        <v/>
      </c>
      <c r="AF1120" s="10">
        <f>REPT(" ",20)</f>
        <v/>
      </c>
      <c r="AG1120" s="54">
        <f>REPT(" ",18-LEN(FIXED(F1120,2,TRUE)))&amp;FIXED(F1120,2,TRUE)</f>
        <v/>
      </c>
      <c r="AH1120" s="10">
        <f>LEN(AC1120)+LEN(AG1120)</f>
        <v/>
      </c>
      <c r="AI1120" s="10">
        <f>LEN(L1120)</f>
        <v/>
      </c>
    </row>
    <row r="1121">
      <c r="J1121" s="12">
        <f>IF(F1121&lt;&gt;0,"LANÇAR","")</f>
        <v/>
      </c>
      <c r="L1121" s="13">
        <f>N1121&amp;O1121&amp;P1121&amp;Q1121&amp;R1121&amp;S1121&amp;T1121&amp;U1121&amp;V1121&amp;W1121&amp;X1121&amp;Y1121&amp;Z1121&amp;AA1121&amp;AB1121&amp;AC1121&amp;AD1121&amp;AE1121&amp;AF1121&amp;AG1121</f>
        <v/>
      </c>
      <c r="N1121" s="10">
        <f>TEXT($B$6,"00")</f>
        <v/>
      </c>
      <c r="O1121" s="10">
        <f>REPT(" ",8)</f>
        <v/>
      </c>
      <c r="P1121" s="10">
        <f>RIGHT($B$4,2)</f>
        <v/>
      </c>
      <c r="Q1121" s="10">
        <f>RIGHT($B$5,3)</f>
        <v/>
      </c>
      <c r="R1121" s="10">
        <f>IF(A1121="D",LEFT(UPPER(B1121)&amp;REPT(" ",20),20),REPT(" ",20))</f>
        <v/>
      </c>
      <c r="S1121" s="10">
        <f>IF(A1121="D",LEFT(UPPER(C1121)&amp;REPT(" ",10),10)," ")</f>
        <v/>
      </c>
      <c r="T1121" s="10">
        <f>IF(A1121="D",LEFT(UPPER(D1121)&amp;REPT(" ",2),2)," ")</f>
        <v/>
      </c>
      <c r="U1121" s="10">
        <f>IF(A1121="D",LEFT(UPPER(E1121)&amp;REPT(" ",15),15)," ")</f>
        <v/>
      </c>
      <c r="V1121" s="10">
        <f>REPT(" ",24)</f>
        <v/>
      </c>
      <c r="W1121" s="10">
        <f>IF(A1121="c",LEFT(UPPER(B1121)&amp;REPT(" ",20),20),REPT(" ",20))</f>
        <v/>
      </c>
      <c r="X1121" s="10">
        <f>IF(A1121="C",LEFT(UPPER(C1121)&amp;REPT(" ",10),10)," ")</f>
        <v/>
      </c>
      <c r="Y1121" s="10">
        <f>IF(A1121="C",LEFT(UPPER(D1121)&amp;REPT(" ",2),2)," ")</f>
        <v/>
      </c>
      <c r="Z1121" s="10">
        <f>IF(A1121="C",LEFT(UPPER(E1121)&amp;REPT(" ",15),15)," ")</f>
        <v/>
      </c>
      <c r="AA1121" s="10">
        <f>REPT(" ",8)</f>
        <v/>
      </c>
      <c r="AB1121" s="10">
        <f>REPT(" ",4)</f>
        <v/>
      </c>
      <c r="AC1121" s="10">
        <f>LEFT(UPPER(H1121)&amp;REPT(" ",250),250)</f>
        <v/>
      </c>
      <c r="AD1121" s="10">
        <f>TEXT($G$2,"dd/mm/aaaa")</f>
        <v/>
      </c>
      <c r="AE1121" s="10">
        <f>REPT(" ",10)</f>
        <v/>
      </c>
      <c r="AF1121" s="10">
        <f>REPT(" ",20)</f>
        <v/>
      </c>
      <c r="AG1121" s="54">
        <f>REPT(" ",18-LEN(FIXED(F1121,2,TRUE)))&amp;FIXED(F1121,2,TRUE)</f>
        <v/>
      </c>
      <c r="AH1121" s="10">
        <f>LEN(AC1121)+LEN(AG1121)</f>
        <v/>
      </c>
      <c r="AI1121" s="10">
        <f>LEN(L1121)</f>
        <v/>
      </c>
    </row>
    <row r="1122">
      <c r="J1122" s="12">
        <f>IF(F1122&lt;&gt;0,"LANÇAR","")</f>
        <v/>
      </c>
      <c r="L1122" s="13">
        <f>N1122&amp;O1122&amp;P1122&amp;Q1122&amp;R1122&amp;S1122&amp;T1122&amp;U1122&amp;V1122&amp;W1122&amp;X1122&amp;Y1122&amp;Z1122&amp;AA1122&amp;AB1122&amp;AC1122&amp;AD1122&amp;AE1122&amp;AF1122&amp;AG1122</f>
        <v/>
      </c>
      <c r="N1122" s="10">
        <f>TEXT($B$6,"00")</f>
        <v/>
      </c>
      <c r="O1122" s="10">
        <f>REPT(" ",8)</f>
        <v/>
      </c>
      <c r="P1122" s="10">
        <f>RIGHT($B$4,2)</f>
        <v/>
      </c>
      <c r="Q1122" s="10">
        <f>RIGHT($B$5,3)</f>
        <v/>
      </c>
      <c r="R1122" s="10">
        <f>IF(A1122="D",LEFT(UPPER(B1122)&amp;REPT(" ",20),20),REPT(" ",20))</f>
        <v/>
      </c>
      <c r="S1122" s="10">
        <f>IF(A1122="D",LEFT(UPPER(C1122)&amp;REPT(" ",10),10)," ")</f>
        <v/>
      </c>
      <c r="T1122" s="10">
        <f>IF(A1122="D",LEFT(UPPER(D1122)&amp;REPT(" ",2),2)," ")</f>
        <v/>
      </c>
      <c r="U1122" s="10">
        <f>IF(A1122="D",LEFT(UPPER(E1122)&amp;REPT(" ",15),15)," ")</f>
        <v/>
      </c>
      <c r="V1122" s="10">
        <f>REPT(" ",24)</f>
        <v/>
      </c>
      <c r="W1122" s="10">
        <f>IF(A1122="c",LEFT(UPPER(B1122)&amp;REPT(" ",20),20),REPT(" ",20))</f>
        <v/>
      </c>
      <c r="X1122" s="10">
        <f>IF(A1122="C",LEFT(UPPER(C1122)&amp;REPT(" ",10),10)," ")</f>
        <v/>
      </c>
      <c r="Y1122" s="10">
        <f>IF(A1122="C",LEFT(UPPER(D1122)&amp;REPT(" ",2),2)," ")</f>
        <v/>
      </c>
      <c r="Z1122" s="10">
        <f>IF(A1122="C",LEFT(UPPER(E1122)&amp;REPT(" ",15),15)," ")</f>
        <v/>
      </c>
      <c r="AA1122" s="10">
        <f>REPT(" ",8)</f>
        <v/>
      </c>
      <c r="AB1122" s="10">
        <f>REPT(" ",4)</f>
        <v/>
      </c>
      <c r="AC1122" s="10">
        <f>LEFT(UPPER(H1122)&amp;REPT(" ",250),250)</f>
        <v/>
      </c>
      <c r="AD1122" s="10">
        <f>TEXT($G$2,"dd/mm/aaaa")</f>
        <v/>
      </c>
      <c r="AE1122" s="10">
        <f>REPT(" ",10)</f>
        <v/>
      </c>
      <c r="AF1122" s="10">
        <f>REPT(" ",20)</f>
        <v/>
      </c>
      <c r="AG1122" s="54">
        <f>REPT(" ",18-LEN(FIXED(F1122,2,TRUE)))&amp;FIXED(F1122,2,TRUE)</f>
        <v/>
      </c>
      <c r="AH1122" s="10">
        <f>LEN(AC1122)+LEN(AG1122)</f>
        <v/>
      </c>
      <c r="AI1122" s="10">
        <f>LEN(L1122)</f>
        <v/>
      </c>
    </row>
    <row r="1123">
      <c r="J1123" s="12">
        <f>IF(F1123&lt;&gt;0,"LANÇAR","")</f>
        <v/>
      </c>
      <c r="L1123" s="13">
        <f>N1123&amp;O1123&amp;P1123&amp;Q1123&amp;R1123&amp;S1123&amp;T1123&amp;U1123&amp;V1123&amp;W1123&amp;X1123&amp;Y1123&amp;Z1123&amp;AA1123&amp;AB1123&amp;AC1123&amp;AD1123&amp;AE1123&amp;AF1123&amp;AG1123</f>
        <v/>
      </c>
      <c r="N1123" s="10">
        <f>TEXT($B$6,"00")</f>
        <v/>
      </c>
      <c r="O1123" s="10">
        <f>REPT(" ",8)</f>
        <v/>
      </c>
      <c r="P1123" s="10">
        <f>RIGHT($B$4,2)</f>
        <v/>
      </c>
      <c r="Q1123" s="10">
        <f>RIGHT($B$5,3)</f>
        <v/>
      </c>
      <c r="R1123" s="10">
        <f>IF(A1123="D",LEFT(UPPER(B1123)&amp;REPT(" ",20),20),REPT(" ",20))</f>
        <v/>
      </c>
      <c r="S1123" s="10">
        <f>IF(A1123="D",LEFT(UPPER(C1123)&amp;REPT(" ",10),10)," ")</f>
        <v/>
      </c>
      <c r="T1123" s="10">
        <f>IF(A1123="D",LEFT(UPPER(D1123)&amp;REPT(" ",2),2)," ")</f>
        <v/>
      </c>
      <c r="U1123" s="10">
        <f>IF(A1123="D",LEFT(UPPER(E1123)&amp;REPT(" ",15),15)," ")</f>
        <v/>
      </c>
      <c r="V1123" s="10">
        <f>REPT(" ",24)</f>
        <v/>
      </c>
      <c r="W1123" s="10">
        <f>IF(A1123="c",LEFT(UPPER(B1123)&amp;REPT(" ",20),20),REPT(" ",20))</f>
        <v/>
      </c>
      <c r="X1123" s="10">
        <f>IF(A1123="C",LEFT(UPPER(C1123)&amp;REPT(" ",10),10)," ")</f>
        <v/>
      </c>
      <c r="Y1123" s="10">
        <f>IF(A1123="C",LEFT(UPPER(D1123)&amp;REPT(" ",2),2)," ")</f>
        <v/>
      </c>
      <c r="Z1123" s="10">
        <f>IF(A1123="C",LEFT(UPPER(E1123)&amp;REPT(" ",15),15)," ")</f>
        <v/>
      </c>
      <c r="AA1123" s="10">
        <f>REPT(" ",8)</f>
        <v/>
      </c>
      <c r="AB1123" s="10">
        <f>REPT(" ",4)</f>
        <v/>
      </c>
      <c r="AC1123" s="10">
        <f>LEFT(UPPER(H1123)&amp;REPT(" ",250),250)</f>
        <v/>
      </c>
      <c r="AD1123" s="10">
        <f>TEXT($G$2,"dd/mm/aaaa")</f>
        <v/>
      </c>
      <c r="AE1123" s="10">
        <f>REPT(" ",10)</f>
        <v/>
      </c>
      <c r="AF1123" s="10">
        <f>REPT(" ",20)</f>
        <v/>
      </c>
      <c r="AG1123" s="54">
        <f>REPT(" ",18-LEN(FIXED(F1123,2,TRUE)))&amp;FIXED(F1123,2,TRUE)</f>
        <v/>
      </c>
      <c r="AH1123" s="10">
        <f>LEN(AC1123)+LEN(AG1123)</f>
        <v/>
      </c>
      <c r="AI1123" s="10">
        <f>LEN(L1123)</f>
        <v/>
      </c>
    </row>
    <row r="1124">
      <c r="J1124" s="12">
        <f>IF(F1124&lt;&gt;0,"LANÇAR","")</f>
        <v/>
      </c>
      <c r="L1124" s="13">
        <f>N1124&amp;O1124&amp;P1124&amp;Q1124&amp;R1124&amp;S1124&amp;T1124&amp;U1124&amp;V1124&amp;W1124&amp;X1124&amp;Y1124&amp;Z1124&amp;AA1124&amp;AB1124&amp;AC1124&amp;AD1124&amp;AE1124&amp;AF1124&amp;AG1124</f>
        <v/>
      </c>
      <c r="N1124" s="10">
        <f>TEXT($B$6,"00")</f>
        <v/>
      </c>
      <c r="O1124" s="10">
        <f>REPT(" ",8)</f>
        <v/>
      </c>
      <c r="P1124" s="10">
        <f>RIGHT($B$4,2)</f>
        <v/>
      </c>
      <c r="Q1124" s="10">
        <f>RIGHT($B$5,3)</f>
        <v/>
      </c>
      <c r="R1124" s="10">
        <f>IF(A1124="D",LEFT(UPPER(B1124)&amp;REPT(" ",20),20),REPT(" ",20))</f>
        <v/>
      </c>
      <c r="S1124" s="10">
        <f>IF(A1124="D",LEFT(UPPER(C1124)&amp;REPT(" ",10),10)," ")</f>
        <v/>
      </c>
      <c r="T1124" s="10">
        <f>IF(A1124="D",LEFT(UPPER(D1124)&amp;REPT(" ",2),2)," ")</f>
        <v/>
      </c>
      <c r="U1124" s="10">
        <f>IF(A1124="D",LEFT(UPPER(E1124)&amp;REPT(" ",15),15)," ")</f>
        <v/>
      </c>
      <c r="V1124" s="10">
        <f>REPT(" ",24)</f>
        <v/>
      </c>
      <c r="W1124" s="10">
        <f>IF(A1124="c",LEFT(UPPER(B1124)&amp;REPT(" ",20),20),REPT(" ",20))</f>
        <v/>
      </c>
      <c r="X1124" s="10">
        <f>IF(A1124="C",LEFT(UPPER(C1124)&amp;REPT(" ",10),10)," ")</f>
        <v/>
      </c>
      <c r="Y1124" s="10">
        <f>IF(A1124="C",LEFT(UPPER(D1124)&amp;REPT(" ",2),2)," ")</f>
        <v/>
      </c>
      <c r="Z1124" s="10">
        <f>IF(A1124="C",LEFT(UPPER(E1124)&amp;REPT(" ",15),15)," ")</f>
        <v/>
      </c>
      <c r="AA1124" s="10">
        <f>REPT(" ",8)</f>
        <v/>
      </c>
      <c r="AB1124" s="10">
        <f>REPT(" ",4)</f>
        <v/>
      </c>
      <c r="AC1124" s="10">
        <f>LEFT(UPPER(H1124)&amp;REPT(" ",250),250)</f>
        <v/>
      </c>
      <c r="AD1124" s="10">
        <f>TEXT($G$2,"dd/mm/aaaa")</f>
        <v/>
      </c>
      <c r="AE1124" s="10">
        <f>REPT(" ",10)</f>
        <v/>
      </c>
      <c r="AF1124" s="10">
        <f>REPT(" ",20)</f>
        <v/>
      </c>
      <c r="AG1124" s="54">
        <f>REPT(" ",18-LEN(FIXED(F1124,2,TRUE)))&amp;FIXED(F1124,2,TRUE)</f>
        <v/>
      </c>
      <c r="AH1124" s="10">
        <f>LEN(AC1124)+LEN(AG1124)</f>
        <v/>
      </c>
      <c r="AI1124" s="10">
        <f>LEN(L1124)</f>
        <v/>
      </c>
    </row>
    <row r="1125">
      <c r="J1125" s="12">
        <f>IF(F1125&lt;&gt;0,"LANÇAR","")</f>
        <v/>
      </c>
      <c r="L1125" s="13">
        <f>N1125&amp;O1125&amp;P1125&amp;Q1125&amp;R1125&amp;S1125&amp;T1125&amp;U1125&amp;V1125&amp;W1125&amp;X1125&amp;Y1125&amp;Z1125&amp;AA1125&amp;AB1125&amp;AC1125&amp;AD1125&amp;AE1125&amp;AF1125&amp;AG1125</f>
        <v/>
      </c>
      <c r="N1125" s="10">
        <f>TEXT($B$6,"00")</f>
        <v/>
      </c>
      <c r="O1125" s="10">
        <f>REPT(" ",8)</f>
        <v/>
      </c>
      <c r="P1125" s="10">
        <f>RIGHT($B$4,2)</f>
        <v/>
      </c>
      <c r="Q1125" s="10">
        <f>RIGHT($B$5,3)</f>
        <v/>
      </c>
      <c r="R1125" s="10">
        <f>IF(A1125="D",LEFT(UPPER(B1125)&amp;REPT(" ",20),20),REPT(" ",20))</f>
        <v/>
      </c>
      <c r="S1125" s="10">
        <f>IF(A1125="D",LEFT(UPPER(C1125)&amp;REPT(" ",10),10)," ")</f>
        <v/>
      </c>
      <c r="T1125" s="10">
        <f>IF(A1125="D",LEFT(UPPER(D1125)&amp;REPT(" ",2),2)," ")</f>
        <v/>
      </c>
      <c r="U1125" s="10">
        <f>IF(A1125="D",LEFT(UPPER(E1125)&amp;REPT(" ",15),15)," ")</f>
        <v/>
      </c>
      <c r="V1125" s="10">
        <f>REPT(" ",24)</f>
        <v/>
      </c>
      <c r="W1125" s="10">
        <f>IF(A1125="c",LEFT(UPPER(B1125)&amp;REPT(" ",20),20),REPT(" ",20))</f>
        <v/>
      </c>
      <c r="X1125" s="10">
        <f>IF(A1125="C",LEFT(UPPER(C1125)&amp;REPT(" ",10),10)," ")</f>
        <v/>
      </c>
      <c r="Y1125" s="10">
        <f>IF(A1125="C",LEFT(UPPER(D1125)&amp;REPT(" ",2),2)," ")</f>
        <v/>
      </c>
      <c r="Z1125" s="10">
        <f>IF(A1125="C",LEFT(UPPER(E1125)&amp;REPT(" ",15),15)," ")</f>
        <v/>
      </c>
      <c r="AA1125" s="10">
        <f>REPT(" ",8)</f>
        <v/>
      </c>
      <c r="AB1125" s="10">
        <f>REPT(" ",4)</f>
        <v/>
      </c>
      <c r="AC1125" s="10">
        <f>LEFT(UPPER(H1125)&amp;REPT(" ",250),250)</f>
        <v/>
      </c>
      <c r="AD1125" s="10">
        <f>TEXT($G$2,"dd/mm/aaaa")</f>
        <v/>
      </c>
      <c r="AE1125" s="10">
        <f>REPT(" ",10)</f>
        <v/>
      </c>
      <c r="AF1125" s="10">
        <f>REPT(" ",20)</f>
        <v/>
      </c>
      <c r="AG1125" s="54">
        <f>REPT(" ",18-LEN(FIXED(F1125,2,TRUE)))&amp;FIXED(F1125,2,TRUE)</f>
        <v/>
      </c>
      <c r="AH1125" s="10">
        <f>LEN(AC1125)+LEN(AG1125)</f>
        <v/>
      </c>
      <c r="AI1125" s="10">
        <f>LEN(L1125)</f>
        <v/>
      </c>
    </row>
    <row r="1126">
      <c r="J1126" s="12">
        <f>IF(F1126&lt;&gt;0,"LANÇAR","")</f>
        <v/>
      </c>
      <c r="L1126" s="13">
        <f>N1126&amp;O1126&amp;P1126&amp;Q1126&amp;R1126&amp;S1126&amp;T1126&amp;U1126&amp;V1126&amp;W1126&amp;X1126&amp;Y1126&amp;Z1126&amp;AA1126&amp;AB1126&amp;AC1126&amp;AD1126&amp;AE1126&amp;AF1126&amp;AG1126</f>
        <v/>
      </c>
      <c r="N1126" s="10">
        <f>TEXT($B$6,"00")</f>
        <v/>
      </c>
      <c r="O1126" s="10">
        <f>REPT(" ",8)</f>
        <v/>
      </c>
      <c r="P1126" s="10">
        <f>RIGHT($B$4,2)</f>
        <v/>
      </c>
      <c r="Q1126" s="10">
        <f>RIGHT($B$5,3)</f>
        <v/>
      </c>
      <c r="R1126" s="10">
        <f>IF(A1126="D",LEFT(UPPER(B1126)&amp;REPT(" ",20),20),REPT(" ",20))</f>
        <v/>
      </c>
      <c r="S1126" s="10">
        <f>IF(A1126="D",LEFT(UPPER(C1126)&amp;REPT(" ",10),10)," ")</f>
        <v/>
      </c>
      <c r="T1126" s="10">
        <f>IF(A1126="D",LEFT(UPPER(D1126)&amp;REPT(" ",2),2)," ")</f>
        <v/>
      </c>
      <c r="U1126" s="10">
        <f>IF(A1126="D",LEFT(UPPER(E1126)&amp;REPT(" ",15),15)," ")</f>
        <v/>
      </c>
      <c r="V1126" s="10">
        <f>REPT(" ",24)</f>
        <v/>
      </c>
      <c r="W1126" s="10">
        <f>IF(A1126="c",LEFT(UPPER(B1126)&amp;REPT(" ",20),20),REPT(" ",20))</f>
        <v/>
      </c>
      <c r="X1126" s="10">
        <f>IF(A1126="C",LEFT(UPPER(C1126)&amp;REPT(" ",10),10)," ")</f>
        <v/>
      </c>
      <c r="Y1126" s="10">
        <f>IF(A1126="C",LEFT(UPPER(D1126)&amp;REPT(" ",2),2)," ")</f>
        <v/>
      </c>
      <c r="Z1126" s="10">
        <f>IF(A1126="C",LEFT(UPPER(E1126)&amp;REPT(" ",15),15)," ")</f>
        <v/>
      </c>
      <c r="AA1126" s="10">
        <f>REPT(" ",8)</f>
        <v/>
      </c>
      <c r="AB1126" s="10">
        <f>REPT(" ",4)</f>
        <v/>
      </c>
      <c r="AC1126" s="10">
        <f>LEFT(UPPER(H1126)&amp;REPT(" ",250),250)</f>
        <v/>
      </c>
      <c r="AD1126" s="10">
        <f>TEXT($G$2,"dd/mm/aaaa")</f>
        <v/>
      </c>
      <c r="AE1126" s="10">
        <f>REPT(" ",10)</f>
        <v/>
      </c>
      <c r="AF1126" s="10">
        <f>REPT(" ",20)</f>
        <v/>
      </c>
      <c r="AG1126" s="54">
        <f>REPT(" ",18-LEN(FIXED(F1126,2,TRUE)))&amp;FIXED(F1126,2,TRUE)</f>
        <v/>
      </c>
      <c r="AH1126" s="10">
        <f>LEN(AC1126)+LEN(AG1126)</f>
        <v/>
      </c>
      <c r="AI1126" s="10">
        <f>LEN(L1126)</f>
        <v/>
      </c>
    </row>
    <row r="1127">
      <c r="J1127" s="12">
        <f>IF(F1127&lt;&gt;0,"LANÇAR","")</f>
        <v/>
      </c>
      <c r="L1127" s="13">
        <f>N1127&amp;O1127&amp;P1127&amp;Q1127&amp;R1127&amp;S1127&amp;T1127&amp;U1127&amp;V1127&amp;W1127&amp;X1127&amp;Y1127&amp;Z1127&amp;AA1127&amp;AB1127&amp;AC1127&amp;AD1127&amp;AE1127&amp;AF1127&amp;AG1127</f>
        <v/>
      </c>
      <c r="N1127" s="10">
        <f>TEXT($B$6,"00")</f>
        <v/>
      </c>
      <c r="O1127" s="10">
        <f>REPT(" ",8)</f>
        <v/>
      </c>
      <c r="P1127" s="10">
        <f>RIGHT($B$4,2)</f>
        <v/>
      </c>
      <c r="Q1127" s="10">
        <f>RIGHT($B$5,3)</f>
        <v/>
      </c>
      <c r="R1127" s="10">
        <f>IF(A1127="D",LEFT(UPPER(B1127)&amp;REPT(" ",20),20),REPT(" ",20))</f>
        <v/>
      </c>
      <c r="S1127" s="10">
        <f>IF(A1127="D",LEFT(UPPER(C1127)&amp;REPT(" ",10),10)," ")</f>
        <v/>
      </c>
      <c r="T1127" s="10">
        <f>IF(A1127="D",LEFT(UPPER(D1127)&amp;REPT(" ",2),2)," ")</f>
        <v/>
      </c>
      <c r="U1127" s="10">
        <f>IF(A1127="D",LEFT(UPPER(E1127)&amp;REPT(" ",15),15)," ")</f>
        <v/>
      </c>
      <c r="V1127" s="10">
        <f>REPT(" ",24)</f>
        <v/>
      </c>
      <c r="W1127" s="10">
        <f>IF(A1127="c",LEFT(UPPER(B1127)&amp;REPT(" ",20),20),REPT(" ",20))</f>
        <v/>
      </c>
      <c r="X1127" s="10">
        <f>IF(A1127="C",LEFT(UPPER(C1127)&amp;REPT(" ",10),10)," ")</f>
        <v/>
      </c>
      <c r="Y1127" s="10">
        <f>IF(A1127="C",LEFT(UPPER(D1127)&amp;REPT(" ",2),2)," ")</f>
        <v/>
      </c>
      <c r="Z1127" s="10">
        <f>IF(A1127="C",LEFT(UPPER(E1127)&amp;REPT(" ",15),15)," ")</f>
        <v/>
      </c>
      <c r="AA1127" s="10">
        <f>REPT(" ",8)</f>
        <v/>
      </c>
      <c r="AB1127" s="10">
        <f>REPT(" ",4)</f>
        <v/>
      </c>
      <c r="AC1127" s="10">
        <f>LEFT(UPPER(H1127)&amp;REPT(" ",250),250)</f>
        <v/>
      </c>
      <c r="AD1127" s="10">
        <f>TEXT($G$2,"dd/mm/aaaa")</f>
        <v/>
      </c>
      <c r="AE1127" s="10">
        <f>REPT(" ",10)</f>
        <v/>
      </c>
      <c r="AF1127" s="10">
        <f>REPT(" ",20)</f>
        <v/>
      </c>
      <c r="AG1127" s="54">
        <f>REPT(" ",18-LEN(FIXED(F1127,2,TRUE)))&amp;FIXED(F1127,2,TRUE)</f>
        <v/>
      </c>
      <c r="AH1127" s="10">
        <f>LEN(AC1127)+LEN(AG1127)</f>
        <v/>
      </c>
      <c r="AI1127" s="10">
        <f>LEN(L1127)</f>
        <v/>
      </c>
    </row>
    <row r="1128">
      <c r="J1128" s="12">
        <f>IF(F1128&lt;&gt;0,"LANÇAR","")</f>
        <v/>
      </c>
      <c r="L1128" s="13">
        <f>N1128&amp;O1128&amp;P1128&amp;Q1128&amp;R1128&amp;S1128&amp;T1128&amp;U1128&amp;V1128&amp;W1128&amp;X1128&amp;Y1128&amp;Z1128&amp;AA1128&amp;AB1128&amp;AC1128&amp;AD1128&amp;AE1128&amp;AF1128&amp;AG1128</f>
        <v/>
      </c>
      <c r="N1128" s="10">
        <f>TEXT($B$6,"00")</f>
        <v/>
      </c>
      <c r="O1128" s="10">
        <f>REPT(" ",8)</f>
        <v/>
      </c>
      <c r="P1128" s="10">
        <f>RIGHT($B$4,2)</f>
        <v/>
      </c>
      <c r="Q1128" s="10">
        <f>RIGHT($B$5,3)</f>
        <v/>
      </c>
      <c r="R1128" s="10">
        <f>IF(A1128="D",LEFT(UPPER(B1128)&amp;REPT(" ",20),20),REPT(" ",20))</f>
        <v/>
      </c>
      <c r="S1128" s="10">
        <f>IF(A1128="D",LEFT(UPPER(C1128)&amp;REPT(" ",10),10)," ")</f>
        <v/>
      </c>
      <c r="T1128" s="10">
        <f>IF(A1128="D",LEFT(UPPER(D1128)&amp;REPT(" ",2),2)," ")</f>
        <v/>
      </c>
      <c r="U1128" s="10">
        <f>IF(A1128="D",LEFT(UPPER(E1128)&amp;REPT(" ",15),15)," ")</f>
        <v/>
      </c>
      <c r="V1128" s="10">
        <f>REPT(" ",24)</f>
        <v/>
      </c>
      <c r="W1128" s="10">
        <f>IF(A1128="c",LEFT(UPPER(B1128)&amp;REPT(" ",20),20),REPT(" ",20))</f>
        <v/>
      </c>
      <c r="X1128" s="10">
        <f>IF(A1128="C",LEFT(UPPER(C1128)&amp;REPT(" ",10),10)," ")</f>
        <v/>
      </c>
      <c r="Y1128" s="10">
        <f>IF(A1128="C",LEFT(UPPER(D1128)&amp;REPT(" ",2),2)," ")</f>
        <v/>
      </c>
      <c r="Z1128" s="10">
        <f>IF(A1128="C",LEFT(UPPER(E1128)&amp;REPT(" ",15),15)," ")</f>
        <v/>
      </c>
      <c r="AA1128" s="10">
        <f>REPT(" ",8)</f>
        <v/>
      </c>
      <c r="AB1128" s="10">
        <f>REPT(" ",4)</f>
        <v/>
      </c>
      <c r="AC1128" s="10">
        <f>LEFT(UPPER(H1128)&amp;REPT(" ",250),250)</f>
        <v/>
      </c>
      <c r="AD1128" s="10">
        <f>TEXT($G$2,"dd/mm/aaaa")</f>
        <v/>
      </c>
      <c r="AE1128" s="10">
        <f>REPT(" ",10)</f>
        <v/>
      </c>
      <c r="AF1128" s="10">
        <f>REPT(" ",20)</f>
        <v/>
      </c>
      <c r="AG1128" s="54">
        <f>REPT(" ",18-LEN(FIXED(F1128,2,TRUE)))&amp;FIXED(F1128,2,TRUE)</f>
        <v/>
      </c>
      <c r="AH1128" s="10">
        <f>LEN(AC1128)+LEN(AG1128)</f>
        <v/>
      </c>
      <c r="AI1128" s="10">
        <f>LEN(L1128)</f>
        <v/>
      </c>
    </row>
    <row r="1129">
      <c r="J1129" s="12">
        <f>IF(F1129&lt;&gt;0,"LANÇAR","")</f>
        <v/>
      </c>
      <c r="L1129" s="13">
        <f>N1129&amp;O1129&amp;P1129&amp;Q1129&amp;R1129&amp;S1129&amp;T1129&amp;U1129&amp;V1129&amp;W1129&amp;X1129&amp;Y1129&amp;Z1129&amp;AA1129&amp;AB1129&amp;AC1129&amp;AD1129&amp;AE1129&amp;AF1129&amp;AG1129</f>
        <v/>
      </c>
      <c r="N1129" s="10">
        <f>TEXT($B$6,"00")</f>
        <v/>
      </c>
      <c r="O1129" s="10">
        <f>REPT(" ",8)</f>
        <v/>
      </c>
      <c r="P1129" s="10">
        <f>RIGHT($B$4,2)</f>
        <v/>
      </c>
      <c r="Q1129" s="10">
        <f>RIGHT($B$5,3)</f>
        <v/>
      </c>
      <c r="R1129" s="10">
        <f>IF(A1129="D",LEFT(UPPER(B1129)&amp;REPT(" ",20),20),REPT(" ",20))</f>
        <v/>
      </c>
      <c r="S1129" s="10">
        <f>IF(A1129="D",LEFT(UPPER(C1129)&amp;REPT(" ",10),10)," ")</f>
        <v/>
      </c>
      <c r="T1129" s="10">
        <f>IF(A1129="D",LEFT(UPPER(D1129)&amp;REPT(" ",2),2)," ")</f>
        <v/>
      </c>
      <c r="U1129" s="10">
        <f>IF(A1129="D",LEFT(UPPER(E1129)&amp;REPT(" ",15),15)," ")</f>
        <v/>
      </c>
      <c r="V1129" s="10">
        <f>REPT(" ",24)</f>
        <v/>
      </c>
      <c r="W1129" s="10">
        <f>IF(A1129="c",LEFT(UPPER(B1129)&amp;REPT(" ",20),20),REPT(" ",20))</f>
        <v/>
      </c>
      <c r="X1129" s="10">
        <f>IF(A1129="C",LEFT(UPPER(C1129)&amp;REPT(" ",10),10)," ")</f>
        <v/>
      </c>
      <c r="Y1129" s="10">
        <f>IF(A1129="C",LEFT(UPPER(D1129)&amp;REPT(" ",2),2)," ")</f>
        <v/>
      </c>
      <c r="Z1129" s="10">
        <f>IF(A1129="C",LEFT(UPPER(E1129)&amp;REPT(" ",15),15)," ")</f>
        <v/>
      </c>
      <c r="AA1129" s="10">
        <f>REPT(" ",8)</f>
        <v/>
      </c>
      <c r="AB1129" s="10">
        <f>REPT(" ",4)</f>
        <v/>
      </c>
      <c r="AC1129" s="10">
        <f>LEFT(UPPER(H1129)&amp;REPT(" ",250),250)</f>
        <v/>
      </c>
      <c r="AD1129" s="10">
        <f>TEXT($G$2,"dd/mm/aaaa")</f>
        <v/>
      </c>
      <c r="AE1129" s="10">
        <f>REPT(" ",10)</f>
        <v/>
      </c>
      <c r="AF1129" s="10">
        <f>REPT(" ",20)</f>
        <v/>
      </c>
      <c r="AG1129" s="54">
        <f>REPT(" ",18-LEN(FIXED(F1129,2,TRUE)))&amp;FIXED(F1129,2,TRUE)</f>
        <v/>
      </c>
      <c r="AH1129" s="10">
        <f>LEN(AC1129)+LEN(AG1129)</f>
        <v/>
      </c>
      <c r="AI1129" s="10">
        <f>LEN(L1129)</f>
        <v/>
      </c>
    </row>
    <row r="1130">
      <c r="J1130" s="12">
        <f>IF(F1130&lt;&gt;0,"LANÇAR","")</f>
        <v/>
      </c>
      <c r="L1130" s="13">
        <f>N1130&amp;O1130&amp;P1130&amp;Q1130&amp;R1130&amp;S1130&amp;T1130&amp;U1130&amp;V1130&amp;W1130&amp;X1130&amp;Y1130&amp;Z1130&amp;AA1130&amp;AB1130&amp;AC1130&amp;AD1130&amp;AE1130&amp;AF1130&amp;AG1130</f>
        <v/>
      </c>
      <c r="N1130" s="10">
        <f>TEXT($B$6,"00")</f>
        <v/>
      </c>
      <c r="O1130" s="10">
        <f>REPT(" ",8)</f>
        <v/>
      </c>
      <c r="P1130" s="10">
        <f>RIGHT($B$4,2)</f>
        <v/>
      </c>
      <c r="Q1130" s="10">
        <f>RIGHT($B$5,3)</f>
        <v/>
      </c>
      <c r="R1130" s="10">
        <f>IF(A1130="D",LEFT(UPPER(B1130)&amp;REPT(" ",20),20),REPT(" ",20))</f>
        <v/>
      </c>
      <c r="S1130" s="10">
        <f>IF(A1130="D",LEFT(UPPER(C1130)&amp;REPT(" ",10),10)," ")</f>
        <v/>
      </c>
      <c r="T1130" s="10">
        <f>IF(A1130="D",LEFT(UPPER(D1130)&amp;REPT(" ",2),2)," ")</f>
        <v/>
      </c>
      <c r="U1130" s="10">
        <f>IF(A1130="D",LEFT(UPPER(E1130)&amp;REPT(" ",15),15)," ")</f>
        <v/>
      </c>
      <c r="V1130" s="10">
        <f>REPT(" ",24)</f>
        <v/>
      </c>
      <c r="W1130" s="10">
        <f>IF(A1130="c",LEFT(UPPER(B1130)&amp;REPT(" ",20),20),REPT(" ",20))</f>
        <v/>
      </c>
      <c r="X1130" s="10">
        <f>IF(A1130="C",LEFT(UPPER(C1130)&amp;REPT(" ",10),10)," ")</f>
        <v/>
      </c>
      <c r="Y1130" s="10">
        <f>IF(A1130="C",LEFT(UPPER(D1130)&amp;REPT(" ",2),2)," ")</f>
        <v/>
      </c>
      <c r="Z1130" s="10">
        <f>IF(A1130="C",LEFT(UPPER(E1130)&amp;REPT(" ",15),15)," ")</f>
        <v/>
      </c>
      <c r="AA1130" s="10">
        <f>REPT(" ",8)</f>
        <v/>
      </c>
      <c r="AB1130" s="10">
        <f>REPT(" ",4)</f>
        <v/>
      </c>
      <c r="AC1130" s="10">
        <f>LEFT(UPPER(H1130)&amp;REPT(" ",250),250)</f>
        <v/>
      </c>
      <c r="AD1130" s="10">
        <f>TEXT($G$2,"dd/mm/aaaa")</f>
        <v/>
      </c>
      <c r="AE1130" s="10">
        <f>REPT(" ",10)</f>
        <v/>
      </c>
      <c r="AF1130" s="10">
        <f>REPT(" ",20)</f>
        <v/>
      </c>
      <c r="AG1130" s="54">
        <f>REPT(" ",18-LEN(FIXED(F1130,2,TRUE)))&amp;FIXED(F1130,2,TRUE)</f>
        <v/>
      </c>
      <c r="AH1130" s="10">
        <f>LEN(AC1130)+LEN(AG1130)</f>
        <v/>
      </c>
      <c r="AI1130" s="10">
        <f>LEN(L1130)</f>
        <v/>
      </c>
    </row>
    <row r="1131">
      <c r="J1131" s="12">
        <f>IF(F1131&lt;&gt;0,"LANÇAR","")</f>
        <v/>
      </c>
      <c r="L1131" s="13">
        <f>N1131&amp;O1131&amp;P1131&amp;Q1131&amp;R1131&amp;S1131&amp;T1131&amp;U1131&amp;V1131&amp;W1131&amp;X1131&amp;Y1131&amp;Z1131&amp;AA1131&amp;AB1131&amp;AC1131&amp;AD1131&amp;AE1131&amp;AF1131&amp;AG1131</f>
        <v/>
      </c>
      <c r="N1131" s="10">
        <f>TEXT($B$6,"00")</f>
        <v/>
      </c>
      <c r="O1131" s="10">
        <f>REPT(" ",8)</f>
        <v/>
      </c>
      <c r="P1131" s="10">
        <f>RIGHT($B$4,2)</f>
        <v/>
      </c>
      <c r="Q1131" s="10">
        <f>RIGHT($B$5,3)</f>
        <v/>
      </c>
      <c r="R1131" s="10">
        <f>IF(A1131="D",LEFT(UPPER(B1131)&amp;REPT(" ",20),20),REPT(" ",20))</f>
        <v/>
      </c>
      <c r="S1131" s="10">
        <f>IF(A1131="D",LEFT(UPPER(C1131)&amp;REPT(" ",10),10)," ")</f>
        <v/>
      </c>
      <c r="T1131" s="10">
        <f>IF(A1131="D",LEFT(UPPER(D1131)&amp;REPT(" ",2),2)," ")</f>
        <v/>
      </c>
      <c r="U1131" s="10">
        <f>IF(A1131="D",LEFT(UPPER(E1131)&amp;REPT(" ",15),15)," ")</f>
        <v/>
      </c>
      <c r="V1131" s="10">
        <f>REPT(" ",24)</f>
        <v/>
      </c>
      <c r="W1131" s="10">
        <f>IF(A1131="c",LEFT(UPPER(B1131)&amp;REPT(" ",20),20),REPT(" ",20))</f>
        <v/>
      </c>
      <c r="X1131" s="10">
        <f>IF(A1131="C",LEFT(UPPER(C1131)&amp;REPT(" ",10),10)," ")</f>
        <v/>
      </c>
      <c r="Y1131" s="10">
        <f>IF(A1131="C",LEFT(UPPER(D1131)&amp;REPT(" ",2),2)," ")</f>
        <v/>
      </c>
      <c r="Z1131" s="10">
        <f>IF(A1131="C",LEFT(UPPER(E1131)&amp;REPT(" ",15),15)," ")</f>
        <v/>
      </c>
      <c r="AA1131" s="10">
        <f>REPT(" ",8)</f>
        <v/>
      </c>
      <c r="AB1131" s="10">
        <f>REPT(" ",4)</f>
        <v/>
      </c>
      <c r="AC1131" s="10">
        <f>LEFT(UPPER(H1131)&amp;REPT(" ",250),250)</f>
        <v/>
      </c>
      <c r="AD1131" s="10">
        <f>TEXT($G$2,"dd/mm/aaaa")</f>
        <v/>
      </c>
      <c r="AE1131" s="10">
        <f>REPT(" ",10)</f>
        <v/>
      </c>
      <c r="AF1131" s="10">
        <f>REPT(" ",20)</f>
        <v/>
      </c>
      <c r="AG1131" s="54">
        <f>REPT(" ",18-LEN(FIXED(F1131,2,TRUE)))&amp;FIXED(F1131,2,TRUE)</f>
        <v/>
      </c>
      <c r="AH1131" s="10">
        <f>LEN(AC1131)+LEN(AG1131)</f>
        <v/>
      </c>
      <c r="AI1131" s="10">
        <f>LEN(L1131)</f>
        <v/>
      </c>
    </row>
    <row r="1132">
      <c r="J1132" s="12">
        <f>IF(F1132&lt;&gt;0,"LANÇAR","")</f>
        <v/>
      </c>
      <c r="L1132" s="13">
        <f>N1132&amp;O1132&amp;P1132&amp;Q1132&amp;R1132&amp;S1132&amp;T1132&amp;U1132&amp;V1132&amp;W1132&amp;X1132&amp;Y1132&amp;Z1132&amp;AA1132&amp;AB1132&amp;AC1132&amp;AD1132&amp;AE1132&amp;AF1132&amp;AG1132</f>
        <v/>
      </c>
      <c r="N1132" s="10">
        <f>TEXT($B$6,"00")</f>
        <v/>
      </c>
      <c r="O1132" s="10">
        <f>REPT(" ",8)</f>
        <v/>
      </c>
      <c r="P1132" s="10">
        <f>RIGHT($B$4,2)</f>
        <v/>
      </c>
      <c r="Q1132" s="10">
        <f>RIGHT($B$5,3)</f>
        <v/>
      </c>
      <c r="R1132" s="10">
        <f>IF(A1132="D",LEFT(UPPER(B1132)&amp;REPT(" ",20),20),REPT(" ",20))</f>
        <v/>
      </c>
      <c r="S1132" s="10">
        <f>IF(A1132="D",LEFT(UPPER(C1132)&amp;REPT(" ",10),10)," ")</f>
        <v/>
      </c>
      <c r="T1132" s="10">
        <f>IF(A1132="D",LEFT(UPPER(D1132)&amp;REPT(" ",2),2)," ")</f>
        <v/>
      </c>
      <c r="U1132" s="10">
        <f>IF(A1132="D",LEFT(UPPER(E1132)&amp;REPT(" ",15),15)," ")</f>
        <v/>
      </c>
      <c r="V1132" s="10">
        <f>REPT(" ",24)</f>
        <v/>
      </c>
      <c r="W1132" s="10">
        <f>IF(A1132="c",LEFT(UPPER(B1132)&amp;REPT(" ",20),20),REPT(" ",20))</f>
        <v/>
      </c>
      <c r="X1132" s="10">
        <f>IF(A1132="C",LEFT(UPPER(C1132)&amp;REPT(" ",10),10)," ")</f>
        <v/>
      </c>
      <c r="Y1132" s="10">
        <f>IF(A1132="C",LEFT(UPPER(D1132)&amp;REPT(" ",2),2)," ")</f>
        <v/>
      </c>
      <c r="Z1132" s="10">
        <f>IF(A1132="C",LEFT(UPPER(E1132)&amp;REPT(" ",15),15)," ")</f>
        <v/>
      </c>
      <c r="AA1132" s="10">
        <f>REPT(" ",8)</f>
        <v/>
      </c>
      <c r="AB1132" s="10">
        <f>REPT(" ",4)</f>
        <v/>
      </c>
      <c r="AC1132" s="10">
        <f>LEFT(UPPER(H1132)&amp;REPT(" ",250),250)</f>
        <v/>
      </c>
      <c r="AD1132" s="10">
        <f>TEXT($G$2,"dd/mm/aaaa")</f>
        <v/>
      </c>
      <c r="AE1132" s="10">
        <f>REPT(" ",10)</f>
        <v/>
      </c>
      <c r="AF1132" s="10">
        <f>REPT(" ",20)</f>
        <v/>
      </c>
      <c r="AG1132" s="54">
        <f>REPT(" ",18-LEN(FIXED(F1132,2,TRUE)))&amp;FIXED(F1132,2,TRUE)</f>
        <v/>
      </c>
      <c r="AH1132" s="10">
        <f>LEN(AC1132)+LEN(AG1132)</f>
        <v/>
      </c>
      <c r="AI1132" s="10">
        <f>LEN(L1132)</f>
        <v/>
      </c>
    </row>
    <row r="1133">
      <c r="J1133" s="12">
        <f>IF(F1133&lt;&gt;0,"LANÇAR","")</f>
        <v/>
      </c>
      <c r="L1133" s="13">
        <f>N1133&amp;O1133&amp;P1133&amp;Q1133&amp;R1133&amp;S1133&amp;T1133&amp;U1133&amp;V1133&amp;W1133&amp;X1133&amp;Y1133&amp;Z1133&amp;AA1133&amp;AB1133&amp;AC1133&amp;AD1133&amp;AE1133&amp;AF1133&amp;AG1133</f>
        <v/>
      </c>
      <c r="N1133" s="10">
        <f>TEXT($B$6,"00")</f>
        <v/>
      </c>
      <c r="O1133" s="10">
        <f>REPT(" ",8)</f>
        <v/>
      </c>
      <c r="P1133" s="10">
        <f>RIGHT($B$4,2)</f>
        <v/>
      </c>
      <c r="Q1133" s="10">
        <f>RIGHT($B$5,3)</f>
        <v/>
      </c>
      <c r="R1133" s="10">
        <f>IF(A1133="D",LEFT(UPPER(B1133)&amp;REPT(" ",20),20),REPT(" ",20))</f>
        <v/>
      </c>
      <c r="S1133" s="10">
        <f>IF(A1133="D",LEFT(UPPER(C1133)&amp;REPT(" ",10),10)," ")</f>
        <v/>
      </c>
      <c r="T1133" s="10">
        <f>IF(A1133="D",LEFT(UPPER(D1133)&amp;REPT(" ",2),2)," ")</f>
        <v/>
      </c>
      <c r="U1133" s="10">
        <f>IF(A1133="D",LEFT(UPPER(E1133)&amp;REPT(" ",15),15)," ")</f>
        <v/>
      </c>
      <c r="V1133" s="10">
        <f>REPT(" ",24)</f>
        <v/>
      </c>
      <c r="W1133" s="10">
        <f>IF(A1133="c",LEFT(UPPER(B1133)&amp;REPT(" ",20),20),REPT(" ",20))</f>
        <v/>
      </c>
      <c r="X1133" s="10">
        <f>IF(A1133="C",LEFT(UPPER(C1133)&amp;REPT(" ",10),10)," ")</f>
        <v/>
      </c>
      <c r="Y1133" s="10">
        <f>IF(A1133="C",LEFT(UPPER(D1133)&amp;REPT(" ",2),2)," ")</f>
        <v/>
      </c>
      <c r="Z1133" s="10">
        <f>IF(A1133="C",LEFT(UPPER(E1133)&amp;REPT(" ",15),15)," ")</f>
        <v/>
      </c>
      <c r="AA1133" s="10">
        <f>REPT(" ",8)</f>
        <v/>
      </c>
      <c r="AB1133" s="10">
        <f>REPT(" ",4)</f>
        <v/>
      </c>
      <c r="AC1133" s="10">
        <f>LEFT(UPPER(H1133)&amp;REPT(" ",250),250)</f>
        <v/>
      </c>
      <c r="AD1133" s="10">
        <f>TEXT($G$2,"dd/mm/aaaa")</f>
        <v/>
      </c>
      <c r="AE1133" s="10">
        <f>REPT(" ",10)</f>
        <v/>
      </c>
      <c r="AF1133" s="10">
        <f>REPT(" ",20)</f>
        <v/>
      </c>
      <c r="AG1133" s="54">
        <f>REPT(" ",18-LEN(FIXED(F1133,2,TRUE)))&amp;FIXED(F1133,2,TRUE)</f>
        <v/>
      </c>
      <c r="AH1133" s="10">
        <f>LEN(AC1133)+LEN(AG1133)</f>
        <v/>
      </c>
      <c r="AI1133" s="10">
        <f>LEN(L1133)</f>
        <v/>
      </c>
    </row>
    <row r="1134">
      <c r="J1134" s="12">
        <f>IF(F1134&lt;&gt;0,"LANÇAR","")</f>
        <v/>
      </c>
      <c r="L1134" s="13">
        <f>N1134&amp;O1134&amp;P1134&amp;Q1134&amp;R1134&amp;S1134&amp;T1134&amp;U1134&amp;V1134&amp;W1134&amp;X1134&amp;Y1134&amp;Z1134&amp;AA1134&amp;AB1134&amp;AC1134&amp;AD1134&amp;AE1134&amp;AF1134&amp;AG1134</f>
        <v/>
      </c>
      <c r="N1134" s="10">
        <f>TEXT($B$6,"00")</f>
        <v/>
      </c>
      <c r="O1134" s="10">
        <f>REPT(" ",8)</f>
        <v/>
      </c>
      <c r="P1134" s="10">
        <f>RIGHT($B$4,2)</f>
        <v/>
      </c>
      <c r="Q1134" s="10">
        <f>RIGHT($B$5,3)</f>
        <v/>
      </c>
      <c r="R1134" s="10">
        <f>IF(A1134="D",LEFT(UPPER(B1134)&amp;REPT(" ",20),20),REPT(" ",20))</f>
        <v/>
      </c>
      <c r="S1134" s="10">
        <f>IF(A1134="D",LEFT(UPPER(C1134)&amp;REPT(" ",10),10)," ")</f>
        <v/>
      </c>
      <c r="T1134" s="10">
        <f>IF(A1134="D",LEFT(UPPER(D1134)&amp;REPT(" ",2),2)," ")</f>
        <v/>
      </c>
      <c r="U1134" s="10">
        <f>IF(A1134="D",LEFT(UPPER(E1134)&amp;REPT(" ",15),15)," ")</f>
        <v/>
      </c>
      <c r="V1134" s="10">
        <f>REPT(" ",24)</f>
        <v/>
      </c>
      <c r="W1134" s="10">
        <f>IF(A1134="c",LEFT(UPPER(B1134)&amp;REPT(" ",20),20),REPT(" ",20))</f>
        <v/>
      </c>
      <c r="X1134" s="10">
        <f>IF(A1134="C",LEFT(UPPER(C1134)&amp;REPT(" ",10),10)," ")</f>
        <v/>
      </c>
      <c r="Y1134" s="10">
        <f>IF(A1134="C",LEFT(UPPER(D1134)&amp;REPT(" ",2),2)," ")</f>
        <v/>
      </c>
      <c r="Z1134" s="10">
        <f>IF(A1134="C",LEFT(UPPER(E1134)&amp;REPT(" ",15),15)," ")</f>
        <v/>
      </c>
      <c r="AA1134" s="10">
        <f>REPT(" ",8)</f>
        <v/>
      </c>
      <c r="AB1134" s="10">
        <f>REPT(" ",4)</f>
        <v/>
      </c>
      <c r="AC1134" s="10">
        <f>LEFT(UPPER(H1134)&amp;REPT(" ",250),250)</f>
        <v/>
      </c>
      <c r="AD1134" s="10">
        <f>TEXT($G$2,"dd/mm/aaaa")</f>
        <v/>
      </c>
      <c r="AE1134" s="10">
        <f>REPT(" ",10)</f>
        <v/>
      </c>
      <c r="AF1134" s="10">
        <f>REPT(" ",20)</f>
        <v/>
      </c>
      <c r="AG1134" s="54">
        <f>REPT(" ",18-LEN(FIXED(F1134,2,TRUE)))&amp;FIXED(F1134,2,TRUE)</f>
        <v/>
      </c>
      <c r="AH1134" s="10">
        <f>LEN(AC1134)+LEN(AG1134)</f>
        <v/>
      </c>
      <c r="AI1134" s="10">
        <f>LEN(L1134)</f>
        <v/>
      </c>
    </row>
    <row r="1135">
      <c r="J1135" s="12">
        <f>IF(F1135&lt;&gt;0,"LANÇAR","")</f>
        <v/>
      </c>
      <c r="L1135" s="13">
        <f>N1135&amp;O1135&amp;P1135&amp;Q1135&amp;R1135&amp;S1135&amp;T1135&amp;U1135&amp;V1135&amp;W1135&amp;X1135&amp;Y1135&amp;Z1135&amp;AA1135&amp;AB1135&amp;AC1135&amp;AD1135&amp;AE1135&amp;AF1135&amp;AG1135</f>
        <v/>
      </c>
      <c r="N1135" s="10">
        <f>TEXT($B$6,"00")</f>
        <v/>
      </c>
      <c r="O1135" s="10">
        <f>REPT(" ",8)</f>
        <v/>
      </c>
      <c r="P1135" s="10">
        <f>RIGHT($B$4,2)</f>
        <v/>
      </c>
      <c r="Q1135" s="10">
        <f>RIGHT($B$5,3)</f>
        <v/>
      </c>
      <c r="R1135" s="10">
        <f>IF(A1135="D",LEFT(UPPER(B1135)&amp;REPT(" ",20),20),REPT(" ",20))</f>
        <v/>
      </c>
      <c r="S1135" s="10">
        <f>IF(A1135="D",LEFT(UPPER(C1135)&amp;REPT(" ",10),10)," ")</f>
        <v/>
      </c>
      <c r="T1135" s="10">
        <f>IF(A1135="D",LEFT(UPPER(D1135)&amp;REPT(" ",2),2)," ")</f>
        <v/>
      </c>
      <c r="U1135" s="10">
        <f>IF(A1135="D",LEFT(UPPER(E1135)&amp;REPT(" ",15),15)," ")</f>
        <v/>
      </c>
      <c r="V1135" s="10">
        <f>REPT(" ",24)</f>
        <v/>
      </c>
      <c r="W1135" s="10">
        <f>IF(A1135="c",LEFT(UPPER(B1135)&amp;REPT(" ",20),20),REPT(" ",20))</f>
        <v/>
      </c>
      <c r="X1135" s="10">
        <f>IF(A1135="C",LEFT(UPPER(C1135)&amp;REPT(" ",10),10)," ")</f>
        <v/>
      </c>
      <c r="Y1135" s="10">
        <f>IF(A1135="C",LEFT(UPPER(D1135)&amp;REPT(" ",2),2)," ")</f>
        <v/>
      </c>
      <c r="Z1135" s="10">
        <f>IF(A1135="C",LEFT(UPPER(E1135)&amp;REPT(" ",15),15)," ")</f>
        <v/>
      </c>
      <c r="AA1135" s="10">
        <f>REPT(" ",8)</f>
        <v/>
      </c>
      <c r="AB1135" s="10">
        <f>REPT(" ",4)</f>
        <v/>
      </c>
      <c r="AC1135" s="10">
        <f>LEFT(UPPER(H1135)&amp;REPT(" ",250),250)</f>
        <v/>
      </c>
      <c r="AD1135" s="10">
        <f>TEXT($G$2,"dd/mm/aaaa")</f>
        <v/>
      </c>
      <c r="AE1135" s="10">
        <f>REPT(" ",10)</f>
        <v/>
      </c>
      <c r="AF1135" s="10">
        <f>REPT(" ",20)</f>
        <v/>
      </c>
      <c r="AG1135" s="54">
        <f>REPT(" ",18-LEN(FIXED(F1135,2,TRUE)))&amp;FIXED(F1135,2,TRUE)</f>
        <v/>
      </c>
      <c r="AH1135" s="10">
        <f>LEN(AC1135)+LEN(AG1135)</f>
        <v/>
      </c>
      <c r="AI1135" s="10">
        <f>LEN(L1135)</f>
        <v/>
      </c>
    </row>
    <row r="1136">
      <c r="J1136" s="12">
        <f>IF(F1136&lt;&gt;0,"LANÇAR","")</f>
        <v/>
      </c>
      <c r="L1136" s="13">
        <f>N1136&amp;O1136&amp;P1136&amp;Q1136&amp;R1136&amp;S1136&amp;T1136&amp;U1136&amp;V1136&amp;W1136&amp;X1136&amp;Y1136&amp;Z1136&amp;AA1136&amp;AB1136&amp;AC1136&amp;AD1136&amp;AE1136&amp;AF1136&amp;AG1136</f>
        <v/>
      </c>
      <c r="N1136" s="10">
        <f>TEXT($B$6,"00")</f>
        <v/>
      </c>
      <c r="O1136" s="10">
        <f>REPT(" ",8)</f>
        <v/>
      </c>
      <c r="P1136" s="10">
        <f>RIGHT($B$4,2)</f>
        <v/>
      </c>
      <c r="Q1136" s="10">
        <f>RIGHT($B$5,3)</f>
        <v/>
      </c>
      <c r="R1136" s="10">
        <f>IF(A1136="D",LEFT(UPPER(B1136)&amp;REPT(" ",20),20),REPT(" ",20))</f>
        <v/>
      </c>
      <c r="S1136" s="10">
        <f>IF(A1136="D",LEFT(UPPER(C1136)&amp;REPT(" ",10),10)," ")</f>
        <v/>
      </c>
      <c r="T1136" s="10">
        <f>IF(A1136="D",LEFT(UPPER(D1136)&amp;REPT(" ",2),2)," ")</f>
        <v/>
      </c>
      <c r="U1136" s="10">
        <f>IF(A1136="D",LEFT(UPPER(E1136)&amp;REPT(" ",15),15)," ")</f>
        <v/>
      </c>
      <c r="V1136" s="10">
        <f>REPT(" ",24)</f>
        <v/>
      </c>
      <c r="W1136" s="10">
        <f>IF(A1136="c",LEFT(UPPER(B1136)&amp;REPT(" ",20),20),REPT(" ",20))</f>
        <v/>
      </c>
      <c r="X1136" s="10">
        <f>IF(A1136="C",LEFT(UPPER(C1136)&amp;REPT(" ",10),10)," ")</f>
        <v/>
      </c>
      <c r="Y1136" s="10">
        <f>IF(A1136="C",LEFT(UPPER(D1136)&amp;REPT(" ",2),2)," ")</f>
        <v/>
      </c>
      <c r="Z1136" s="10">
        <f>IF(A1136="C",LEFT(UPPER(E1136)&amp;REPT(" ",15),15)," ")</f>
        <v/>
      </c>
      <c r="AA1136" s="10">
        <f>REPT(" ",8)</f>
        <v/>
      </c>
      <c r="AB1136" s="10">
        <f>REPT(" ",4)</f>
        <v/>
      </c>
      <c r="AC1136" s="10">
        <f>LEFT(UPPER(H1136)&amp;REPT(" ",250),250)</f>
        <v/>
      </c>
      <c r="AD1136" s="10">
        <f>TEXT($G$2,"dd/mm/aaaa")</f>
        <v/>
      </c>
      <c r="AE1136" s="10">
        <f>REPT(" ",10)</f>
        <v/>
      </c>
      <c r="AF1136" s="10">
        <f>REPT(" ",20)</f>
        <v/>
      </c>
      <c r="AG1136" s="54">
        <f>REPT(" ",18-LEN(FIXED(F1136,2,TRUE)))&amp;FIXED(F1136,2,TRUE)</f>
        <v/>
      </c>
      <c r="AH1136" s="10">
        <f>LEN(AC1136)+LEN(AG1136)</f>
        <v/>
      </c>
      <c r="AI1136" s="10">
        <f>LEN(L1136)</f>
        <v/>
      </c>
    </row>
    <row r="1137">
      <c r="J1137" s="12">
        <f>IF(F1137&lt;&gt;0,"LANÇAR","")</f>
        <v/>
      </c>
      <c r="L1137" s="13">
        <f>N1137&amp;O1137&amp;P1137&amp;Q1137&amp;R1137&amp;S1137&amp;T1137&amp;U1137&amp;V1137&amp;W1137&amp;X1137&amp;Y1137&amp;Z1137&amp;AA1137&amp;AB1137&amp;AC1137&amp;AD1137&amp;AE1137&amp;AF1137&amp;AG1137</f>
        <v/>
      </c>
      <c r="N1137" s="10">
        <f>TEXT($B$6,"00")</f>
        <v/>
      </c>
      <c r="O1137" s="10">
        <f>REPT(" ",8)</f>
        <v/>
      </c>
      <c r="P1137" s="10">
        <f>RIGHT($B$4,2)</f>
        <v/>
      </c>
      <c r="Q1137" s="10">
        <f>RIGHT($B$5,3)</f>
        <v/>
      </c>
      <c r="R1137" s="10">
        <f>IF(A1137="D",LEFT(UPPER(B1137)&amp;REPT(" ",20),20),REPT(" ",20))</f>
        <v/>
      </c>
      <c r="S1137" s="10">
        <f>IF(A1137="D",LEFT(UPPER(C1137)&amp;REPT(" ",10),10)," ")</f>
        <v/>
      </c>
      <c r="T1137" s="10">
        <f>IF(A1137="D",LEFT(UPPER(D1137)&amp;REPT(" ",2),2)," ")</f>
        <v/>
      </c>
      <c r="U1137" s="10">
        <f>IF(A1137="D",LEFT(UPPER(E1137)&amp;REPT(" ",15),15)," ")</f>
        <v/>
      </c>
      <c r="V1137" s="10">
        <f>REPT(" ",24)</f>
        <v/>
      </c>
      <c r="W1137" s="10">
        <f>IF(A1137="c",LEFT(UPPER(B1137)&amp;REPT(" ",20),20),REPT(" ",20))</f>
        <v/>
      </c>
      <c r="X1137" s="10">
        <f>IF(A1137="C",LEFT(UPPER(C1137)&amp;REPT(" ",10),10)," ")</f>
        <v/>
      </c>
      <c r="Y1137" s="10">
        <f>IF(A1137="C",LEFT(UPPER(D1137)&amp;REPT(" ",2),2)," ")</f>
        <v/>
      </c>
      <c r="Z1137" s="10">
        <f>IF(A1137="C",LEFT(UPPER(E1137)&amp;REPT(" ",15),15)," ")</f>
        <v/>
      </c>
      <c r="AA1137" s="10">
        <f>REPT(" ",8)</f>
        <v/>
      </c>
      <c r="AB1137" s="10">
        <f>REPT(" ",4)</f>
        <v/>
      </c>
      <c r="AC1137" s="10">
        <f>LEFT(UPPER(H1137)&amp;REPT(" ",250),250)</f>
        <v/>
      </c>
      <c r="AD1137" s="10">
        <f>TEXT($G$2,"dd/mm/aaaa")</f>
        <v/>
      </c>
      <c r="AE1137" s="10">
        <f>REPT(" ",10)</f>
        <v/>
      </c>
      <c r="AF1137" s="10">
        <f>REPT(" ",20)</f>
        <v/>
      </c>
      <c r="AG1137" s="54">
        <f>REPT(" ",18-LEN(FIXED(F1137,2,TRUE)))&amp;FIXED(F1137,2,TRUE)</f>
        <v/>
      </c>
      <c r="AH1137" s="10">
        <f>LEN(AC1137)+LEN(AG1137)</f>
        <v/>
      </c>
      <c r="AI1137" s="10">
        <f>LEN(L1137)</f>
        <v/>
      </c>
    </row>
    <row r="1138">
      <c r="J1138" s="12">
        <f>IF(F1138&lt;&gt;0,"LANÇAR","")</f>
        <v/>
      </c>
      <c r="L1138" s="13">
        <f>N1138&amp;O1138&amp;P1138&amp;Q1138&amp;R1138&amp;S1138&amp;T1138&amp;U1138&amp;V1138&amp;W1138&amp;X1138&amp;Y1138&amp;Z1138&amp;AA1138&amp;AB1138&amp;AC1138&amp;AD1138&amp;AE1138&amp;AF1138&amp;AG1138</f>
        <v/>
      </c>
      <c r="N1138" s="10">
        <f>TEXT($B$6,"00")</f>
        <v/>
      </c>
      <c r="O1138" s="10">
        <f>REPT(" ",8)</f>
        <v/>
      </c>
      <c r="P1138" s="10">
        <f>RIGHT($B$4,2)</f>
        <v/>
      </c>
      <c r="Q1138" s="10">
        <f>RIGHT($B$5,3)</f>
        <v/>
      </c>
      <c r="R1138" s="10">
        <f>IF(A1138="D",LEFT(UPPER(B1138)&amp;REPT(" ",20),20),REPT(" ",20))</f>
        <v/>
      </c>
      <c r="S1138" s="10">
        <f>IF(A1138="D",LEFT(UPPER(C1138)&amp;REPT(" ",10),10)," ")</f>
        <v/>
      </c>
      <c r="T1138" s="10">
        <f>IF(A1138="D",LEFT(UPPER(D1138)&amp;REPT(" ",2),2)," ")</f>
        <v/>
      </c>
      <c r="U1138" s="10">
        <f>IF(A1138="D",LEFT(UPPER(E1138)&amp;REPT(" ",15),15)," ")</f>
        <v/>
      </c>
      <c r="V1138" s="10">
        <f>REPT(" ",24)</f>
        <v/>
      </c>
      <c r="W1138" s="10">
        <f>IF(A1138="c",LEFT(UPPER(B1138)&amp;REPT(" ",20),20),REPT(" ",20))</f>
        <v/>
      </c>
      <c r="X1138" s="10">
        <f>IF(A1138="C",LEFT(UPPER(C1138)&amp;REPT(" ",10),10)," ")</f>
        <v/>
      </c>
      <c r="Y1138" s="10">
        <f>IF(A1138="C",LEFT(UPPER(D1138)&amp;REPT(" ",2),2)," ")</f>
        <v/>
      </c>
      <c r="Z1138" s="10">
        <f>IF(A1138="C",LEFT(UPPER(E1138)&amp;REPT(" ",15),15)," ")</f>
        <v/>
      </c>
      <c r="AA1138" s="10">
        <f>REPT(" ",8)</f>
        <v/>
      </c>
      <c r="AB1138" s="10">
        <f>REPT(" ",4)</f>
        <v/>
      </c>
      <c r="AC1138" s="10">
        <f>LEFT(UPPER(H1138)&amp;REPT(" ",250),250)</f>
        <v/>
      </c>
      <c r="AD1138" s="10">
        <f>TEXT($G$2,"dd/mm/aaaa")</f>
        <v/>
      </c>
      <c r="AE1138" s="10">
        <f>REPT(" ",10)</f>
        <v/>
      </c>
      <c r="AF1138" s="10">
        <f>REPT(" ",20)</f>
        <v/>
      </c>
      <c r="AG1138" s="54">
        <f>REPT(" ",18-LEN(FIXED(F1138,2,TRUE)))&amp;FIXED(F1138,2,TRUE)</f>
        <v/>
      </c>
      <c r="AH1138" s="10">
        <f>LEN(AC1138)+LEN(AG1138)</f>
        <v/>
      </c>
      <c r="AI1138" s="10">
        <f>LEN(L1138)</f>
        <v/>
      </c>
    </row>
    <row r="1139">
      <c r="J1139" s="12">
        <f>IF(F1139&lt;&gt;0,"LANÇAR","")</f>
        <v/>
      </c>
      <c r="L1139" s="13">
        <f>N1139&amp;O1139&amp;P1139&amp;Q1139&amp;R1139&amp;S1139&amp;T1139&amp;U1139&amp;V1139&amp;W1139&amp;X1139&amp;Y1139&amp;Z1139&amp;AA1139&amp;AB1139&amp;AC1139&amp;AD1139&amp;AE1139&amp;AF1139&amp;AG1139</f>
        <v/>
      </c>
      <c r="N1139" s="10">
        <f>TEXT($B$6,"00")</f>
        <v/>
      </c>
      <c r="O1139" s="10">
        <f>REPT(" ",8)</f>
        <v/>
      </c>
      <c r="P1139" s="10">
        <f>RIGHT($B$4,2)</f>
        <v/>
      </c>
      <c r="Q1139" s="10">
        <f>RIGHT($B$5,3)</f>
        <v/>
      </c>
      <c r="R1139" s="10">
        <f>IF(A1139="D",LEFT(UPPER(B1139)&amp;REPT(" ",20),20),REPT(" ",20))</f>
        <v/>
      </c>
      <c r="S1139" s="10">
        <f>IF(A1139="D",LEFT(UPPER(C1139)&amp;REPT(" ",10),10)," ")</f>
        <v/>
      </c>
      <c r="T1139" s="10">
        <f>IF(A1139="D",LEFT(UPPER(D1139)&amp;REPT(" ",2),2)," ")</f>
        <v/>
      </c>
      <c r="U1139" s="10">
        <f>IF(A1139="D",LEFT(UPPER(E1139)&amp;REPT(" ",15),15)," ")</f>
        <v/>
      </c>
      <c r="V1139" s="10">
        <f>REPT(" ",24)</f>
        <v/>
      </c>
      <c r="W1139" s="10">
        <f>IF(A1139="c",LEFT(UPPER(B1139)&amp;REPT(" ",20),20),REPT(" ",20))</f>
        <v/>
      </c>
      <c r="X1139" s="10">
        <f>IF(A1139="C",LEFT(UPPER(C1139)&amp;REPT(" ",10),10)," ")</f>
        <v/>
      </c>
      <c r="Y1139" s="10">
        <f>IF(A1139="C",LEFT(UPPER(D1139)&amp;REPT(" ",2),2)," ")</f>
        <v/>
      </c>
      <c r="Z1139" s="10">
        <f>IF(A1139="C",LEFT(UPPER(E1139)&amp;REPT(" ",15),15)," ")</f>
        <v/>
      </c>
      <c r="AA1139" s="10">
        <f>REPT(" ",8)</f>
        <v/>
      </c>
      <c r="AB1139" s="10">
        <f>REPT(" ",4)</f>
        <v/>
      </c>
      <c r="AC1139" s="10">
        <f>LEFT(UPPER(H1139)&amp;REPT(" ",250),250)</f>
        <v/>
      </c>
      <c r="AD1139" s="10">
        <f>TEXT($G$2,"dd/mm/aaaa")</f>
        <v/>
      </c>
      <c r="AE1139" s="10">
        <f>REPT(" ",10)</f>
        <v/>
      </c>
      <c r="AF1139" s="10">
        <f>REPT(" ",20)</f>
        <v/>
      </c>
      <c r="AG1139" s="54">
        <f>REPT(" ",18-LEN(FIXED(F1139,2,TRUE)))&amp;FIXED(F1139,2,TRUE)</f>
        <v/>
      </c>
      <c r="AH1139" s="10">
        <f>LEN(AC1139)+LEN(AG1139)</f>
        <v/>
      </c>
      <c r="AI1139" s="10">
        <f>LEN(L1139)</f>
        <v/>
      </c>
    </row>
    <row r="1140">
      <c r="J1140" s="12">
        <f>IF(F1140&lt;&gt;0,"LANÇAR","")</f>
        <v/>
      </c>
      <c r="L1140" s="13">
        <f>N1140&amp;O1140&amp;P1140&amp;Q1140&amp;R1140&amp;S1140&amp;T1140&amp;U1140&amp;V1140&amp;W1140&amp;X1140&amp;Y1140&amp;Z1140&amp;AA1140&amp;AB1140&amp;AC1140&amp;AD1140&amp;AE1140&amp;AF1140&amp;AG1140</f>
        <v/>
      </c>
      <c r="N1140" s="10">
        <f>TEXT($B$6,"00")</f>
        <v/>
      </c>
      <c r="O1140" s="10">
        <f>REPT(" ",8)</f>
        <v/>
      </c>
      <c r="P1140" s="10">
        <f>RIGHT($B$4,2)</f>
        <v/>
      </c>
      <c r="Q1140" s="10">
        <f>RIGHT($B$5,3)</f>
        <v/>
      </c>
      <c r="R1140" s="10">
        <f>IF(A1140="D",LEFT(UPPER(B1140)&amp;REPT(" ",20),20),REPT(" ",20))</f>
        <v/>
      </c>
      <c r="S1140" s="10">
        <f>IF(A1140="D",LEFT(UPPER(C1140)&amp;REPT(" ",10),10)," ")</f>
        <v/>
      </c>
      <c r="T1140" s="10">
        <f>IF(A1140="D",LEFT(UPPER(D1140)&amp;REPT(" ",2),2)," ")</f>
        <v/>
      </c>
      <c r="U1140" s="10">
        <f>IF(A1140="D",LEFT(UPPER(E1140)&amp;REPT(" ",15),15)," ")</f>
        <v/>
      </c>
      <c r="V1140" s="10">
        <f>REPT(" ",24)</f>
        <v/>
      </c>
      <c r="W1140" s="10">
        <f>IF(A1140="c",LEFT(UPPER(B1140)&amp;REPT(" ",20),20),REPT(" ",20))</f>
        <v/>
      </c>
      <c r="X1140" s="10">
        <f>IF(A1140="C",LEFT(UPPER(C1140)&amp;REPT(" ",10),10)," ")</f>
        <v/>
      </c>
      <c r="Y1140" s="10">
        <f>IF(A1140="C",LEFT(UPPER(D1140)&amp;REPT(" ",2),2)," ")</f>
        <v/>
      </c>
      <c r="Z1140" s="10">
        <f>IF(A1140="C",LEFT(UPPER(E1140)&amp;REPT(" ",15),15)," ")</f>
        <v/>
      </c>
      <c r="AA1140" s="10">
        <f>REPT(" ",8)</f>
        <v/>
      </c>
      <c r="AB1140" s="10">
        <f>REPT(" ",4)</f>
        <v/>
      </c>
      <c r="AC1140" s="10">
        <f>LEFT(UPPER(H1140)&amp;REPT(" ",250),250)</f>
        <v/>
      </c>
      <c r="AD1140" s="10">
        <f>TEXT($G$2,"dd/mm/aaaa")</f>
        <v/>
      </c>
      <c r="AE1140" s="10">
        <f>REPT(" ",10)</f>
        <v/>
      </c>
      <c r="AF1140" s="10">
        <f>REPT(" ",20)</f>
        <v/>
      </c>
      <c r="AG1140" s="54">
        <f>REPT(" ",18-LEN(FIXED(F1140,2,TRUE)))&amp;FIXED(F1140,2,TRUE)</f>
        <v/>
      </c>
      <c r="AH1140" s="10">
        <f>LEN(AC1140)+LEN(AG1140)</f>
        <v/>
      </c>
      <c r="AI1140" s="10">
        <f>LEN(L1140)</f>
        <v/>
      </c>
    </row>
    <row r="1141">
      <c r="J1141" s="12">
        <f>IF(F1141&lt;&gt;0,"LANÇAR","")</f>
        <v/>
      </c>
      <c r="L1141" s="13">
        <f>N1141&amp;O1141&amp;P1141&amp;Q1141&amp;R1141&amp;S1141&amp;T1141&amp;U1141&amp;V1141&amp;W1141&amp;X1141&amp;Y1141&amp;Z1141&amp;AA1141&amp;AB1141&amp;AC1141&amp;AD1141&amp;AE1141&amp;AF1141&amp;AG1141</f>
        <v/>
      </c>
      <c r="N1141" s="10">
        <f>TEXT($B$6,"00")</f>
        <v/>
      </c>
      <c r="O1141" s="10">
        <f>REPT(" ",8)</f>
        <v/>
      </c>
      <c r="P1141" s="10">
        <f>RIGHT($B$4,2)</f>
        <v/>
      </c>
      <c r="Q1141" s="10">
        <f>RIGHT($B$5,3)</f>
        <v/>
      </c>
      <c r="R1141" s="10">
        <f>IF(A1141="D",LEFT(UPPER(B1141)&amp;REPT(" ",20),20),REPT(" ",20))</f>
        <v/>
      </c>
      <c r="S1141" s="10">
        <f>IF(A1141="D",LEFT(UPPER(C1141)&amp;REPT(" ",10),10)," ")</f>
        <v/>
      </c>
      <c r="T1141" s="10">
        <f>IF(A1141="D",LEFT(UPPER(D1141)&amp;REPT(" ",2),2)," ")</f>
        <v/>
      </c>
      <c r="U1141" s="10">
        <f>IF(A1141="D",LEFT(UPPER(E1141)&amp;REPT(" ",15),15)," ")</f>
        <v/>
      </c>
      <c r="V1141" s="10">
        <f>REPT(" ",24)</f>
        <v/>
      </c>
      <c r="W1141" s="10">
        <f>IF(A1141="c",LEFT(UPPER(B1141)&amp;REPT(" ",20),20),REPT(" ",20))</f>
        <v/>
      </c>
      <c r="X1141" s="10">
        <f>IF(A1141="C",LEFT(UPPER(C1141)&amp;REPT(" ",10),10)," ")</f>
        <v/>
      </c>
      <c r="Y1141" s="10">
        <f>IF(A1141="C",LEFT(UPPER(D1141)&amp;REPT(" ",2),2)," ")</f>
        <v/>
      </c>
      <c r="Z1141" s="10">
        <f>IF(A1141="C",LEFT(UPPER(E1141)&amp;REPT(" ",15),15)," ")</f>
        <v/>
      </c>
      <c r="AA1141" s="10">
        <f>REPT(" ",8)</f>
        <v/>
      </c>
      <c r="AB1141" s="10">
        <f>REPT(" ",4)</f>
        <v/>
      </c>
      <c r="AC1141" s="10">
        <f>LEFT(UPPER(H1141)&amp;REPT(" ",250),250)</f>
        <v/>
      </c>
      <c r="AD1141" s="10">
        <f>TEXT($G$2,"dd/mm/aaaa")</f>
        <v/>
      </c>
      <c r="AE1141" s="10">
        <f>REPT(" ",10)</f>
        <v/>
      </c>
      <c r="AF1141" s="10">
        <f>REPT(" ",20)</f>
        <v/>
      </c>
      <c r="AG1141" s="54">
        <f>REPT(" ",18-LEN(FIXED(F1141,2,TRUE)))&amp;FIXED(F1141,2,TRUE)</f>
        <v/>
      </c>
      <c r="AH1141" s="10">
        <f>LEN(AC1141)+LEN(AG1141)</f>
        <v/>
      </c>
      <c r="AI1141" s="10">
        <f>LEN(L1141)</f>
        <v/>
      </c>
    </row>
    <row r="1142">
      <c r="J1142" s="12">
        <f>IF(F1142&lt;&gt;0,"LANÇAR","")</f>
        <v/>
      </c>
      <c r="L1142" s="13">
        <f>N1142&amp;O1142&amp;P1142&amp;Q1142&amp;R1142&amp;S1142&amp;T1142&amp;U1142&amp;V1142&amp;W1142&amp;X1142&amp;Y1142&amp;Z1142&amp;AA1142&amp;AB1142&amp;AC1142&amp;AD1142&amp;AE1142&amp;AF1142&amp;AG1142</f>
        <v/>
      </c>
      <c r="N1142" s="10">
        <f>TEXT($B$6,"00")</f>
        <v/>
      </c>
      <c r="O1142" s="10">
        <f>REPT(" ",8)</f>
        <v/>
      </c>
      <c r="P1142" s="10">
        <f>RIGHT($B$4,2)</f>
        <v/>
      </c>
      <c r="Q1142" s="10">
        <f>RIGHT($B$5,3)</f>
        <v/>
      </c>
      <c r="R1142" s="10">
        <f>IF(A1142="D",LEFT(UPPER(B1142)&amp;REPT(" ",20),20),REPT(" ",20))</f>
        <v/>
      </c>
      <c r="S1142" s="10">
        <f>IF(A1142="D",LEFT(UPPER(C1142)&amp;REPT(" ",10),10)," ")</f>
        <v/>
      </c>
      <c r="T1142" s="10">
        <f>IF(A1142="D",LEFT(UPPER(D1142)&amp;REPT(" ",2),2)," ")</f>
        <v/>
      </c>
      <c r="U1142" s="10">
        <f>IF(A1142="D",LEFT(UPPER(E1142)&amp;REPT(" ",15),15)," ")</f>
        <v/>
      </c>
      <c r="V1142" s="10">
        <f>REPT(" ",24)</f>
        <v/>
      </c>
      <c r="W1142" s="10">
        <f>IF(A1142="c",LEFT(UPPER(B1142)&amp;REPT(" ",20),20),REPT(" ",20))</f>
        <v/>
      </c>
      <c r="X1142" s="10">
        <f>IF(A1142="C",LEFT(UPPER(C1142)&amp;REPT(" ",10),10)," ")</f>
        <v/>
      </c>
      <c r="Y1142" s="10">
        <f>IF(A1142="C",LEFT(UPPER(D1142)&amp;REPT(" ",2),2)," ")</f>
        <v/>
      </c>
      <c r="Z1142" s="10">
        <f>IF(A1142="C",LEFT(UPPER(E1142)&amp;REPT(" ",15),15)," ")</f>
        <v/>
      </c>
      <c r="AA1142" s="10">
        <f>REPT(" ",8)</f>
        <v/>
      </c>
      <c r="AB1142" s="10">
        <f>REPT(" ",4)</f>
        <v/>
      </c>
      <c r="AC1142" s="10">
        <f>LEFT(UPPER(H1142)&amp;REPT(" ",250),250)</f>
        <v/>
      </c>
      <c r="AD1142" s="10">
        <f>TEXT($G$2,"dd/mm/aaaa")</f>
        <v/>
      </c>
      <c r="AE1142" s="10">
        <f>REPT(" ",10)</f>
        <v/>
      </c>
      <c r="AF1142" s="10">
        <f>REPT(" ",20)</f>
        <v/>
      </c>
      <c r="AG1142" s="54">
        <f>REPT(" ",18-LEN(FIXED(F1142,2,TRUE)))&amp;FIXED(F1142,2,TRUE)</f>
        <v/>
      </c>
      <c r="AH1142" s="10">
        <f>LEN(AC1142)+LEN(AG1142)</f>
        <v/>
      </c>
      <c r="AI1142" s="10">
        <f>LEN(L1142)</f>
        <v/>
      </c>
    </row>
    <row r="1143">
      <c r="J1143" s="12">
        <f>IF(F1143&lt;&gt;0,"LANÇAR","")</f>
        <v/>
      </c>
      <c r="L1143" s="13">
        <f>N1143&amp;O1143&amp;P1143&amp;Q1143&amp;R1143&amp;S1143&amp;T1143&amp;U1143&amp;V1143&amp;W1143&amp;X1143&amp;Y1143&amp;Z1143&amp;AA1143&amp;AB1143&amp;AC1143&amp;AD1143&amp;AE1143&amp;AF1143&amp;AG1143</f>
        <v/>
      </c>
      <c r="N1143" s="10">
        <f>TEXT($B$6,"00")</f>
        <v/>
      </c>
      <c r="O1143" s="10">
        <f>REPT(" ",8)</f>
        <v/>
      </c>
      <c r="P1143" s="10">
        <f>RIGHT($B$4,2)</f>
        <v/>
      </c>
      <c r="Q1143" s="10">
        <f>RIGHT($B$5,3)</f>
        <v/>
      </c>
      <c r="R1143" s="10">
        <f>IF(A1143="D",LEFT(UPPER(B1143)&amp;REPT(" ",20),20),REPT(" ",20))</f>
        <v/>
      </c>
      <c r="S1143" s="10">
        <f>IF(A1143="D",LEFT(UPPER(C1143)&amp;REPT(" ",10),10)," ")</f>
        <v/>
      </c>
      <c r="T1143" s="10">
        <f>IF(A1143="D",LEFT(UPPER(D1143)&amp;REPT(" ",2),2)," ")</f>
        <v/>
      </c>
      <c r="U1143" s="10">
        <f>IF(A1143="D",LEFT(UPPER(E1143)&amp;REPT(" ",15),15)," ")</f>
        <v/>
      </c>
      <c r="V1143" s="10">
        <f>REPT(" ",24)</f>
        <v/>
      </c>
      <c r="W1143" s="10">
        <f>IF(A1143="c",LEFT(UPPER(B1143)&amp;REPT(" ",20),20),REPT(" ",20))</f>
        <v/>
      </c>
      <c r="X1143" s="10">
        <f>IF(A1143="C",LEFT(UPPER(C1143)&amp;REPT(" ",10),10)," ")</f>
        <v/>
      </c>
      <c r="Y1143" s="10">
        <f>IF(A1143="C",LEFT(UPPER(D1143)&amp;REPT(" ",2),2)," ")</f>
        <v/>
      </c>
      <c r="Z1143" s="10">
        <f>IF(A1143="C",LEFT(UPPER(E1143)&amp;REPT(" ",15),15)," ")</f>
        <v/>
      </c>
      <c r="AA1143" s="10">
        <f>REPT(" ",8)</f>
        <v/>
      </c>
      <c r="AB1143" s="10">
        <f>REPT(" ",4)</f>
        <v/>
      </c>
      <c r="AC1143" s="10">
        <f>LEFT(UPPER(H1143)&amp;REPT(" ",250),250)</f>
        <v/>
      </c>
      <c r="AD1143" s="10">
        <f>TEXT($G$2,"dd/mm/aaaa")</f>
        <v/>
      </c>
      <c r="AE1143" s="10">
        <f>REPT(" ",10)</f>
        <v/>
      </c>
      <c r="AF1143" s="10">
        <f>REPT(" ",20)</f>
        <v/>
      </c>
      <c r="AG1143" s="54">
        <f>REPT(" ",18-LEN(FIXED(F1143,2,TRUE)))&amp;FIXED(F1143,2,TRUE)</f>
        <v/>
      </c>
      <c r="AH1143" s="10">
        <f>LEN(AC1143)+LEN(AG1143)</f>
        <v/>
      </c>
      <c r="AI1143" s="10">
        <f>LEN(L1143)</f>
        <v/>
      </c>
    </row>
    <row r="1144">
      <c r="J1144" s="12">
        <f>IF(F1144&lt;&gt;0,"LANÇAR","")</f>
        <v/>
      </c>
      <c r="L1144" s="13">
        <f>N1144&amp;O1144&amp;P1144&amp;Q1144&amp;R1144&amp;S1144&amp;T1144&amp;U1144&amp;V1144&amp;W1144&amp;X1144&amp;Y1144&amp;Z1144&amp;AA1144&amp;AB1144&amp;AC1144&amp;AD1144&amp;AE1144&amp;AF1144&amp;AG1144</f>
        <v/>
      </c>
      <c r="N1144" s="10">
        <f>TEXT($B$6,"00")</f>
        <v/>
      </c>
      <c r="O1144" s="10">
        <f>REPT(" ",8)</f>
        <v/>
      </c>
      <c r="P1144" s="10">
        <f>RIGHT($B$4,2)</f>
        <v/>
      </c>
      <c r="Q1144" s="10">
        <f>RIGHT($B$5,3)</f>
        <v/>
      </c>
      <c r="R1144" s="10">
        <f>IF(A1144="D",LEFT(UPPER(B1144)&amp;REPT(" ",20),20),REPT(" ",20))</f>
        <v/>
      </c>
      <c r="S1144" s="10">
        <f>IF(A1144="D",LEFT(UPPER(C1144)&amp;REPT(" ",10),10)," ")</f>
        <v/>
      </c>
      <c r="T1144" s="10">
        <f>IF(A1144="D",LEFT(UPPER(D1144)&amp;REPT(" ",2),2)," ")</f>
        <v/>
      </c>
      <c r="U1144" s="10">
        <f>IF(A1144="D",LEFT(UPPER(E1144)&amp;REPT(" ",15),15)," ")</f>
        <v/>
      </c>
      <c r="V1144" s="10">
        <f>REPT(" ",24)</f>
        <v/>
      </c>
      <c r="W1144" s="10">
        <f>IF(A1144="c",LEFT(UPPER(B1144)&amp;REPT(" ",20),20),REPT(" ",20))</f>
        <v/>
      </c>
      <c r="X1144" s="10">
        <f>IF(A1144="C",LEFT(UPPER(C1144)&amp;REPT(" ",10),10)," ")</f>
        <v/>
      </c>
      <c r="Y1144" s="10">
        <f>IF(A1144="C",LEFT(UPPER(D1144)&amp;REPT(" ",2),2)," ")</f>
        <v/>
      </c>
      <c r="Z1144" s="10">
        <f>IF(A1144="C",LEFT(UPPER(E1144)&amp;REPT(" ",15),15)," ")</f>
        <v/>
      </c>
      <c r="AA1144" s="10">
        <f>REPT(" ",8)</f>
        <v/>
      </c>
      <c r="AB1144" s="10">
        <f>REPT(" ",4)</f>
        <v/>
      </c>
      <c r="AC1144" s="10">
        <f>LEFT(UPPER(H1144)&amp;REPT(" ",250),250)</f>
        <v/>
      </c>
      <c r="AD1144" s="10">
        <f>TEXT($G$2,"dd/mm/aaaa")</f>
        <v/>
      </c>
      <c r="AE1144" s="10">
        <f>REPT(" ",10)</f>
        <v/>
      </c>
      <c r="AF1144" s="10">
        <f>REPT(" ",20)</f>
        <v/>
      </c>
      <c r="AG1144" s="54">
        <f>REPT(" ",18-LEN(FIXED(F1144,2,TRUE)))&amp;FIXED(F1144,2,TRUE)</f>
        <v/>
      </c>
      <c r="AH1144" s="10">
        <f>LEN(AC1144)+LEN(AG1144)</f>
        <v/>
      </c>
      <c r="AI1144" s="10">
        <f>LEN(L1144)</f>
        <v/>
      </c>
    </row>
    <row r="1145">
      <c r="J1145" s="12">
        <f>IF(F1145&lt;&gt;0,"LANÇAR","")</f>
        <v/>
      </c>
      <c r="L1145" s="13">
        <f>N1145&amp;O1145&amp;P1145&amp;Q1145&amp;R1145&amp;S1145&amp;T1145&amp;U1145&amp;V1145&amp;W1145&amp;X1145&amp;Y1145&amp;Z1145&amp;AA1145&amp;AB1145&amp;AC1145&amp;AD1145&amp;AE1145&amp;AF1145&amp;AG1145</f>
        <v/>
      </c>
      <c r="N1145" s="10">
        <f>TEXT($B$6,"00")</f>
        <v/>
      </c>
      <c r="O1145" s="10">
        <f>REPT(" ",8)</f>
        <v/>
      </c>
      <c r="P1145" s="10">
        <f>RIGHT($B$4,2)</f>
        <v/>
      </c>
      <c r="Q1145" s="10">
        <f>RIGHT($B$5,3)</f>
        <v/>
      </c>
      <c r="R1145" s="10">
        <f>IF(A1145="D",LEFT(UPPER(B1145)&amp;REPT(" ",20),20),REPT(" ",20))</f>
        <v/>
      </c>
      <c r="S1145" s="10">
        <f>IF(A1145="D",LEFT(UPPER(C1145)&amp;REPT(" ",10),10)," ")</f>
        <v/>
      </c>
      <c r="T1145" s="10">
        <f>IF(A1145="D",LEFT(UPPER(D1145)&amp;REPT(" ",2),2)," ")</f>
        <v/>
      </c>
      <c r="U1145" s="10">
        <f>IF(A1145="D",LEFT(UPPER(E1145)&amp;REPT(" ",15),15)," ")</f>
        <v/>
      </c>
      <c r="V1145" s="10">
        <f>REPT(" ",24)</f>
        <v/>
      </c>
      <c r="W1145" s="10">
        <f>IF(A1145="c",LEFT(UPPER(B1145)&amp;REPT(" ",20),20),REPT(" ",20))</f>
        <v/>
      </c>
      <c r="X1145" s="10">
        <f>IF(A1145="C",LEFT(UPPER(C1145)&amp;REPT(" ",10),10)," ")</f>
        <v/>
      </c>
      <c r="Y1145" s="10">
        <f>IF(A1145="C",LEFT(UPPER(D1145)&amp;REPT(" ",2),2)," ")</f>
        <v/>
      </c>
      <c r="Z1145" s="10">
        <f>IF(A1145="C",LEFT(UPPER(E1145)&amp;REPT(" ",15),15)," ")</f>
        <v/>
      </c>
      <c r="AA1145" s="10">
        <f>REPT(" ",8)</f>
        <v/>
      </c>
      <c r="AB1145" s="10">
        <f>REPT(" ",4)</f>
        <v/>
      </c>
      <c r="AC1145" s="10">
        <f>LEFT(UPPER(H1145)&amp;REPT(" ",250),250)</f>
        <v/>
      </c>
      <c r="AD1145" s="10">
        <f>TEXT($G$2,"dd/mm/aaaa")</f>
        <v/>
      </c>
      <c r="AE1145" s="10">
        <f>REPT(" ",10)</f>
        <v/>
      </c>
      <c r="AF1145" s="10">
        <f>REPT(" ",20)</f>
        <v/>
      </c>
      <c r="AG1145" s="54">
        <f>REPT(" ",18-LEN(FIXED(F1145,2,TRUE)))&amp;FIXED(F1145,2,TRUE)</f>
        <v/>
      </c>
      <c r="AH1145" s="10">
        <f>LEN(AC1145)+LEN(AG1145)</f>
        <v/>
      </c>
      <c r="AI1145" s="10">
        <f>LEN(L1145)</f>
        <v/>
      </c>
    </row>
    <row r="1146">
      <c r="J1146" s="12">
        <f>IF(F1146&lt;&gt;0,"LANÇAR","")</f>
        <v/>
      </c>
      <c r="L1146" s="13">
        <f>N1146&amp;O1146&amp;P1146&amp;Q1146&amp;R1146&amp;S1146&amp;T1146&amp;U1146&amp;V1146&amp;W1146&amp;X1146&amp;Y1146&amp;Z1146&amp;AA1146&amp;AB1146&amp;AC1146&amp;AD1146&amp;AE1146&amp;AF1146&amp;AG1146</f>
        <v/>
      </c>
      <c r="N1146" s="10">
        <f>TEXT($B$6,"00")</f>
        <v/>
      </c>
      <c r="O1146" s="10">
        <f>REPT(" ",8)</f>
        <v/>
      </c>
      <c r="P1146" s="10">
        <f>RIGHT($B$4,2)</f>
        <v/>
      </c>
      <c r="Q1146" s="10">
        <f>RIGHT($B$5,3)</f>
        <v/>
      </c>
      <c r="R1146" s="10">
        <f>IF(A1146="D",LEFT(UPPER(B1146)&amp;REPT(" ",20),20),REPT(" ",20))</f>
        <v/>
      </c>
      <c r="S1146" s="10">
        <f>IF(A1146="D",LEFT(UPPER(C1146)&amp;REPT(" ",10),10)," ")</f>
        <v/>
      </c>
      <c r="T1146" s="10">
        <f>IF(A1146="D",LEFT(UPPER(D1146)&amp;REPT(" ",2),2)," ")</f>
        <v/>
      </c>
      <c r="U1146" s="10">
        <f>IF(A1146="D",LEFT(UPPER(E1146)&amp;REPT(" ",15),15)," ")</f>
        <v/>
      </c>
      <c r="V1146" s="10">
        <f>REPT(" ",24)</f>
        <v/>
      </c>
      <c r="W1146" s="10">
        <f>IF(A1146="c",LEFT(UPPER(B1146)&amp;REPT(" ",20),20),REPT(" ",20))</f>
        <v/>
      </c>
      <c r="X1146" s="10">
        <f>IF(A1146="C",LEFT(UPPER(C1146)&amp;REPT(" ",10),10)," ")</f>
        <v/>
      </c>
      <c r="Y1146" s="10">
        <f>IF(A1146="C",LEFT(UPPER(D1146)&amp;REPT(" ",2),2)," ")</f>
        <v/>
      </c>
      <c r="Z1146" s="10">
        <f>IF(A1146="C",LEFT(UPPER(E1146)&amp;REPT(" ",15),15)," ")</f>
        <v/>
      </c>
      <c r="AA1146" s="10">
        <f>REPT(" ",8)</f>
        <v/>
      </c>
      <c r="AB1146" s="10">
        <f>REPT(" ",4)</f>
        <v/>
      </c>
      <c r="AC1146" s="10">
        <f>LEFT(UPPER(H1146)&amp;REPT(" ",250),250)</f>
        <v/>
      </c>
      <c r="AD1146" s="10">
        <f>TEXT($G$2,"dd/mm/aaaa")</f>
        <v/>
      </c>
      <c r="AE1146" s="10">
        <f>REPT(" ",10)</f>
        <v/>
      </c>
      <c r="AF1146" s="10">
        <f>REPT(" ",20)</f>
        <v/>
      </c>
      <c r="AG1146" s="54">
        <f>REPT(" ",18-LEN(FIXED(F1146,2,TRUE)))&amp;FIXED(F1146,2,TRUE)</f>
        <v/>
      </c>
      <c r="AH1146" s="10">
        <f>LEN(AC1146)+LEN(AG1146)</f>
        <v/>
      </c>
      <c r="AI1146" s="10">
        <f>LEN(L1146)</f>
        <v/>
      </c>
    </row>
    <row r="1147">
      <c r="J1147" s="12">
        <f>IF(F1147&lt;&gt;0,"LANÇAR","")</f>
        <v/>
      </c>
      <c r="L1147" s="13">
        <f>N1147&amp;O1147&amp;P1147&amp;Q1147&amp;R1147&amp;S1147&amp;T1147&amp;U1147&amp;V1147&amp;W1147&amp;X1147&amp;Y1147&amp;Z1147&amp;AA1147&amp;AB1147&amp;AC1147&amp;AD1147&amp;AE1147&amp;AF1147&amp;AG1147</f>
        <v/>
      </c>
      <c r="N1147" s="10">
        <f>TEXT($B$6,"00")</f>
        <v/>
      </c>
      <c r="O1147" s="10">
        <f>REPT(" ",8)</f>
        <v/>
      </c>
      <c r="P1147" s="10">
        <f>RIGHT($B$4,2)</f>
        <v/>
      </c>
      <c r="Q1147" s="10">
        <f>RIGHT($B$5,3)</f>
        <v/>
      </c>
      <c r="R1147" s="10">
        <f>IF(A1147="D",LEFT(UPPER(B1147)&amp;REPT(" ",20),20),REPT(" ",20))</f>
        <v/>
      </c>
      <c r="S1147" s="10">
        <f>IF(A1147="D",LEFT(UPPER(C1147)&amp;REPT(" ",10),10)," ")</f>
        <v/>
      </c>
      <c r="T1147" s="10">
        <f>IF(A1147="D",LEFT(UPPER(D1147)&amp;REPT(" ",2),2)," ")</f>
        <v/>
      </c>
      <c r="U1147" s="10">
        <f>IF(A1147="D",LEFT(UPPER(E1147)&amp;REPT(" ",15),15)," ")</f>
        <v/>
      </c>
      <c r="V1147" s="10">
        <f>REPT(" ",24)</f>
        <v/>
      </c>
      <c r="W1147" s="10">
        <f>IF(A1147="c",LEFT(UPPER(B1147)&amp;REPT(" ",20),20),REPT(" ",20))</f>
        <v/>
      </c>
      <c r="X1147" s="10">
        <f>IF(A1147="C",LEFT(UPPER(C1147)&amp;REPT(" ",10),10)," ")</f>
        <v/>
      </c>
      <c r="Y1147" s="10">
        <f>IF(A1147="C",LEFT(UPPER(D1147)&amp;REPT(" ",2),2)," ")</f>
        <v/>
      </c>
      <c r="Z1147" s="10">
        <f>IF(A1147="C",LEFT(UPPER(E1147)&amp;REPT(" ",15),15)," ")</f>
        <v/>
      </c>
      <c r="AA1147" s="10">
        <f>REPT(" ",8)</f>
        <v/>
      </c>
      <c r="AB1147" s="10">
        <f>REPT(" ",4)</f>
        <v/>
      </c>
      <c r="AC1147" s="10">
        <f>LEFT(UPPER(H1147)&amp;REPT(" ",250),250)</f>
        <v/>
      </c>
      <c r="AD1147" s="10">
        <f>TEXT($G$2,"dd/mm/aaaa")</f>
        <v/>
      </c>
      <c r="AE1147" s="10">
        <f>REPT(" ",10)</f>
        <v/>
      </c>
      <c r="AF1147" s="10">
        <f>REPT(" ",20)</f>
        <v/>
      </c>
      <c r="AG1147" s="54">
        <f>REPT(" ",18-LEN(FIXED(F1147,2,TRUE)))&amp;FIXED(F1147,2,TRUE)</f>
        <v/>
      </c>
      <c r="AH1147" s="10">
        <f>LEN(AC1147)+LEN(AG1147)</f>
        <v/>
      </c>
      <c r="AI1147" s="10">
        <f>LEN(L1147)</f>
        <v/>
      </c>
    </row>
    <row r="1148">
      <c r="J1148" s="12">
        <f>IF(F1148&lt;&gt;0,"LANÇAR","")</f>
        <v/>
      </c>
      <c r="L1148" s="13">
        <f>N1148&amp;O1148&amp;P1148&amp;Q1148&amp;R1148&amp;S1148&amp;T1148&amp;U1148&amp;V1148&amp;W1148&amp;X1148&amp;Y1148&amp;Z1148&amp;AA1148&amp;AB1148&amp;AC1148&amp;AD1148&amp;AE1148&amp;AF1148&amp;AG1148</f>
        <v/>
      </c>
      <c r="N1148" s="10">
        <f>TEXT($B$6,"00")</f>
        <v/>
      </c>
      <c r="O1148" s="10">
        <f>REPT(" ",8)</f>
        <v/>
      </c>
      <c r="P1148" s="10">
        <f>RIGHT($B$4,2)</f>
        <v/>
      </c>
      <c r="Q1148" s="10">
        <f>RIGHT($B$5,3)</f>
        <v/>
      </c>
      <c r="R1148" s="10">
        <f>IF(A1148="D",LEFT(UPPER(B1148)&amp;REPT(" ",20),20),REPT(" ",20))</f>
        <v/>
      </c>
      <c r="S1148" s="10">
        <f>IF(A1148="D",LEFT(UPPER(C1148)&amp;REPT(" ",10),10)," ")</f>
        <v/>
      </c>
      <c r="T1148" s="10">
        <f>IF(A1148="D",LEFT(UPPER(D1148)&amp;REPT(" ",2),2)," ")</f>
        <v/>
      </c>
      <c r="U1148" s="10">
        <f>IF(A1148="D",LEFT(UPPER(E1148)&amp;REPT(" ",15),15)," ")</f>
        <v/>
      </c>
      <c r="V1148" s="10">
        <f>REPT(" ",24)</f>
        <v/>
      </c>
      <c r="W1148" s="10">
        <f>IF(A1148="c",LEFT(UPPER(B1148)&amp;REPT(" ",20),20),REPT(" ",20))</f>
        <v/>
      </c>
      <c r="X1148" s="10">
        <f>IF(A1148="C",LEFT(UPPER(C1148)&amp;REPT(" ",10),10)," ")</f>
        <v/>
      </c>
      <c r="Y1148" s="10">
        <f>IF(A1148="C",LEFT(UPPER(D1148)&amp;REPT(" ",2),2)," ")</f>
        <v/>
      </c>
      <c r="Z1148" s="10">
        <f>IF(A1148="C",LEFT(UPPER(E1148)&amp;REPT(" ",15),15)," ")</f>
        <v/>
      </c>
      <c r="AA1148" s="10">
        <f>REPT(" ",8)</f>
        <v/>
      </c>
      <c r="AB1148" s="10">
        <f>REPT(" ",4)</f>
        <v/>
      </c>
      <c r="AC1148" s="10">
        <f>LEFT(UPPER(H1148)&amp;REPT(" ",250),250)</f>
        <v/>
      </c>
      <c r="AD1148" s="10">
        <f>TEXT($G$2,"dd/mm/aaaa")</f>
        <v/>
      </c>
      <c r="AE1148" s="10">
        <f>REPT(" ",10)</f>
        <v/>
      </c>
      <c r="AF1148" s="10">
        <f>REPT(" ",20)</f>
        <v/>
      </c>
      <c r="AG1148" s="54">
        <f>REPT(" ",18-LEN(FIXED(F1148,2,TRUE)))&amp;FIXED(F1148,2,TRUE)</f>
        <v/>
      </c>
      <c r="AH1148" s="10">
        <f>LEN(AC1148)+LEN(AG1148)</f>
        <v/>
      </c>
      <c r="AI1148" s="10">
        <f>LEN(L1148)</f>
        <v/>
      </c>
    </row>
    <row r="1149">
      <c r="J1149" s="12">
        <f>IF(F1149&lt;&gt;0,"LANÇAR","")</f>
        <v/>
      </c>
      <c r="L1149" s="13">
        <f>N1149&amp;O1149&amp;P1149&amp;Q1149&amp;R1149&amp;S1149&amp;T1149&amp;U1149&amp;V1149&amp;W1149&amp;X1149&amp;Y1149&amp;Z1149&amp;AA1149&amp;AB1149&amp;AC1149&amp;AD1149&amp;AE1149&amp;AF1149&amp;AG1149</f>
        <v/>
      </c>
      <c r="N1149" s="10">
        <f>TEXT($B$6,"00")</f>
        <v/>
      </c>
      <c r="O1149" s="10">
        <f>REPT(" ",8)</f>
        <v/>
      </c>
      <c r="P1149" s="10">
        <f>RIGHT($B$4,2)</f>
        <v/>
      </c>
      <c r="Q1149" s="10">
        <f>RIGHT($B$5,3)</f>
        <v/>
      </c>
      <c r="R1149" s="10">
        <f>IF(A1149="D",LEFT(UPPER(B1149)&amp;REPT(" ",20),20),REPT(" ",20))</f>
        <v/>
      </c>
      <c r="S1149" s="10">
        <f>IF(A1149="D",LEFT(UPPER(C1149)&amp;REPT(" ",10),10)," ")</f>
        <v/>
      </c>
      <c r="T1149" s="10">
        <f>IF(A1149="D",LEFT(UPPER(D1149)&amp;REPT(" ",2),2)," ")</f>
        <v/>
      </c>
      <c r="U1149" s="10">
        <f>IF(A1149="D",LEFT(UPPER(E1149)&amp;REPT(" ",15),15)," ")</f>
        <v/>
      </c>
      <c r="V1149" s="10">
        <f>REPT(" ",24)</f>
        <v/>
      </c>
      <c r="W1149" s="10">
        <f>IF(A1149="c",LEFT(UPPER(B1149)&amp;REPT(" ",20),20),REPT(" ",20))</f>
        <v/>
      </c>
      <c r="X1149" s="10">
        <f>IF(A1149="C",LEFT(UPPER(C1149)&amp;REPT(" ",10),10)," ")</f>
        <v/>
      </c>
      <c r="Y1149" s="10">
        <f>IF(A1149="C",LEFT(UPPER(D1149)&amp;REPT(" ",2),2)," ")</f>
        <v/>
      </c>
      <c r="Z1149" s="10">
        <f>IF(A1149="C",LEFT(UPPER(E1149)&amp;REPT(" ",15),15)," ")</f>
        <v/>
      </c>
      <c r="AA1149" s="10">
        <f>REPT(" ",8)</f>
        <v/>
      </c>
      <c r="AB1149" s="10">
        <f>REPT(" ",4)</f>
        <v/>
      </c>
      <c r="AC1149" s="10">
        <f>LEFT(UPPER(H1149)&amp;REPT(" ",250),250)</f>
        <v/>
      </c>
      <c r="AD1149" s="10">
        <f>TEXT($G$2,"dd/mm/aaaa")</f>
        <v/>
      </c>
      <c r="AE1149" s="10">
        <f>REPT(" ",10)</f>
        <v/>
      </c>
      <c r="AF1149" s="10">
        <f>REPT(" ",20)</f>
        <v/>
      </c>
      <c r="AG1149" s="54">
        <f>REPT(" ",18-LEN(FIXED(F1149,2,TRUE)))&amp;FIXED(F1149,2,TRUE)</f>
        <v/>
      </c>
      <c r="AH1149" s="10">
        <f>LEN(AC1149)+LEN(AG1149)</f>
        <v/>
      </c>
      <c r="AI1149" s="10">
        <f>LEN(L1149)</f>
        <v/>
      </c>
    </row>
    <row r="1150">
      <c r="J1150" s="12">
        <f>IF(F1150&lt;&gt;0,"LANÇAR","")</f>
        <v/>
      </c>
      <c r="L1150" s="13">
        <f>N1150&amp;O1150&amp;P1150&amp;Q1150&amp;R1150&amp;S1150&amp;T1150&amp;U1150&amp;V1150&amp;W1150&amp;X1150&amp;Y1150&amp;Z1150&amp;AA1150&amp;AB1150&amp;AC1150&amp;AD1150&amp;AE1150&amp;AF1150&amp;AG1150</f>
        <v/>
      </c>
      <c r="N1150" s="10">
        <f>TEXT($B$6,"00")</f>
        <v/>
      </c>
      <c r="O1150" s="10">
        <f>REPT(" ",8)</f>
        <v/>
      </c>
      <c r="P1150" s="10">
        <f>RIGHT($B$4,2)</f>
        <v/>
      </c>
      <c r="Q1150" s="10">
        <f>RIGHT($B$5,3)</f>
        <v/>
      </c>
      <c r="R1150" s="10">
        <f>IF(A1150="D",LEFT(UPPER(B1150)&amp;REPT(" ",20),20),REPT(" ",20))</f>
        <v/>
      </c>
      <c r="S1150" s="10">
        <f>IF(A1150="D",LEFT(UPPER(C1150)&amp;REPT(" ",10),10)," ")</f>
        <v/>
      </c>
      <c r="T1150" s="10">
        <f>IF(A1150="D",LEFT(UPPER(D1150)&amp;REPT(" ",2),2)," ")</f>
        <v/>
      </c>
      <c r="U1150" s="10">
        <f>IF(A1150="D",LEFT(UPPER(E1150)&amp;REPT(" ",15),15)," ")</f>
        <v/>
      </c>
      <c r="V1150" s="10">
        <f>REPT(" ",24)</f>
        <v/>
      </c>
      <c r="W1150" s="10">
        <f>IF(A1150="c",LEFT(UPPER(B1150)&amp;REPT(" ",20),20),REPT(" ",20))</f>
        <v/>
      </c>
      <c r="X1150" s="10">
        <f>IF(A1150="C",LEFT(UPPER(C1150)&amp;REPT(" ",10),10)," ")</f>
        <v/>
      </c>
      <c r="Y1150" s="10">
        <f>IF(A1150="C",LEFT(UPPER(D1150)&amp;REPT(" ",2),2)," ")</f>
        <v/>
      </c>
      <c r="Z1150" s="10">
        <f>IF(A1150="C",LEFT(UPPER(E1150)&amp;REPT(" ",15),15)," ")</f>
        <v/>
      </c>
      <c r="AA1150" s="10">
        <f>REPT(" ",8)</f>
        <v/>
      </c>
      <c r="AB1150" s="10">
        <f>REPT(" ",4)</f>
        <v/>
      </c>
      <c r="AC1150" s="10">
        <f>LEFT(UPPER(H1150)&amp;REPT(" ",250),250)</f>
        <v/>
      </c>
      <c r="AD1150" s="10">
        <f>TEXT($G$2,"dd/mm/aaaa")</f>
        <v/>
      </c>
      <c r="AE1150" s="10">
        <f>REPT(" ",10)</f>
        <v/>
      </c>
      <c r="AF1150" s="10">
        <f>REPT(" ",20)</f>
        <v/>
      </c>
      <c r="AG1150" s="54">
        <f>REPT(" ",18-LEN(FIXED(F1150,2,TRUE)))&amp;FIXED(F1150,2,TRUE)</f>
        <v/>
      </c>
      <c r="AH1150" s="10">
        <f>LEN(AC1150)+LEN(AG1150)</f>
        <v/>
      </c>
      <c r="AI1150" s="10">
        <f>LEN(L1150)</f>
        <v/>
      </c>
    </row>
    <row r="1151">
      <c r="J1151" s="12">
        <f>IF(F1151&lt;&gt;0,"LANÇAR","")</f>
        <v/>
      </c>
      <c r="L1151" s="13">
        <f>N1151&amp;O1151&amp;P1151&amp;Q1151&amp;R1151&amp;S1151&amp;T1151&amp;U1151&amp;V1151&amp;W1151&amp;X1151&amp;Y1151&amp;Z1151&amp;AA1151&amp;AB1151&amp;AC1151&amp;AD1151&amp;AE1151&amp;AF1151&amp;AG1151</f>
        <v/>
      </c>
      <c r="N1151" s="10">
        <f>TEXT($B$6,"00")</f>
        <v/>
      </c>
      <c r="O1151" s="10">
        <f>REPT(" ",8)</f>
        <v/>
      </c>
      <c r="P1151" s="10">
        <f>RIGHT($B$4,2)</f>
        <v/>
      </c>
      <c r="Q1151" s="10">
        <f>RIGHT($B$5,3)</f>
        <v/>
      </c>
      <c r="R1151" s="10">
        <f>IF(A1151="D",LEFT(UPPER(B1151)&amp;REPT(" ",20),20),REPT(" ",20))</f>
        <v/>
      </c>
      <c r="S1151" s="10">
        <f>IF(A1151="D",LEFT(UPPER(C1151)&amp;REPT(" ",10),10)," ")</f>
        <v/>
      </c>
      <c r="T1151" s="10">
        <f>IF(A1151="D",LEFT(UPPER(D1151)&amp;REPT(" ",2),2)," ")</f>
        <v/>
      </c>
      <c r="U1151" s="10">
        <f>IF(A1151="D",LEFT(UPPER(E1151)&amp;REPT(" ",15),15)," ")</f>
        <v/>
      </c>
      <c r="V1151" s="10">
        <f>REPT(" ",24)</f>
        <v/>
      </c>
      <c r="W1151" s="10">
        <f>IF(A1151="c",LEFT(UPPER(B1151)&amp;REPT(" ",20),20),REPT(" ",20))</f>
        <v/>
      </c>
      <c r="X1151" s="10">
        <f>IF(A1151="C",LEFT(UPPER(C1151)&amp;REPT(" ",10),10)," ")</f>
        <v/>
      </c>
      <c r="Y1151" s="10">
        <f>IF(A1151="C",LEFT(UPPER(D1151)&amp;REPT(" ",2),2)," ")</f>
        <v/>
      </c>
      <c r="Z1151" s="10">
        <f>IF(A1151="C",LEFT(UPPER(E1151)&amp;REPT(" ",15),15)," ")</f>
        <v/>
      </c>
      <c r="AA1151" s="10">
        <f>REPT(" ",8)</f>
        <v/>
      </c>
      <c r="AB1151" s="10">
        <f>REPT(" ",4)</f>
        <v/>
      </c>
      <c r="AC1151" s="10">
        <f>LEFT(UPPER(H1151)&amp;REPT(" ",250),250)</f>
        <v/>
      </c>
      <c r="AD1151" s="10">
        <f>TEXT($G$2,"dd/mm/aaaa")</f>
        <v/>
      </c>
      <c r="AE1151" s="10">
        <f>REPT(" ",10)</f>
        <v/>
      </c>
      <c r="AF1151" s="10">
        <f>REPT(" ",20)</f>
        <v/>
      </c>
      <c r="AG1151" s="54">
        <f>REPT(" ",18-LEN(FIXED(F1151,2,TRUE)))&amp;FIXED(F1151,2,TRUE)</f>
        <v/>
      </c>
      <c r="AH1151" s="10">
        <f>LEN(AC1151)+LEN(AG1151)</f>
        <v/>
      </c>
      <c r="AI1151" s="10">
        <f>LEN(L1151)</f>
        <v/>
      </c>
    </row>
    <row r="1152">
      <c r="J1152" s="12">
        <f>IF(F1152&lt;&gt;0,"LANÇAR","")</f>
        <v/>
      </c>
      <c r="L1152" s="13">
        <f>N1152&amp;O1152&amp;P1152&amp;Q1152&amp;R1152&amp;S1152&amp;T1152&amp;U1152&amp;V1152&amp;W1152&amp;X1152&amp;Y1152&amp;Z1152&amp;AA1152&amp;AB1152&amp;AC1152&amp;AD1152&amp;AE1152&amp;AF1152&amp;AG1152</f>
        <v/>
      </c>
      <c r="N1152" s="10">
        <f>TEXT($B$6,"00")</f>
        <v/>
      </c>
      <c r="O1152" s="10">
        <f>REPT(" ",8)</f>
        <v/>
      </c>
      <c r="P1152" s="10">
        <f>RIGHT($B$4,2)</f>
        <v/>
      </c>
      <c r="Q1152" s="10">
        <f>RIGHT($B$5,3)</f>
        <v/>
      </c>
      <c r="R1152" s="10">
        <f>IF(A1152="D",LEFT(UPPER(B1152)&amp;REPT(" ",20),20),REPT(" ",20))</f>
        <v/>
      </c>
      <c r="S1152" s="10">
        <f>IF(A1152="D",LEFT(UPPER(C1152)&amp;REPT(" ",10),10)," ")</f>
        <v/>
      </c>
      <c r="T1152" s="10">
        <f>IF(A1152="D",LEFT(UPPER(D1152)&amp;REPT(" ",2),2)," ")</f>
        <v/>
      </c>
      <c r="U1152" s="10">
        <f>IF(A1152="D",LEFT(UPPER(E1152)&amp;REPT(" ",15),15)," ")</f>
        <v/>
      </c>
      <c r="V1152" s="10">
        <f>REPT(" ",24)</f>
        <v/>
      </c>
      <c r="W1152" s="10">
        <f>IF(A1152="c",LEFT(UPPER(B1152)&amp;REPT(" ",20),20),REPT(" ",20))</f>
        <v/>
      </c>
      <c r="X1152" s="10">
        <f>IF(A1152="C",LEFT(UPPER(C1152)&amp;REPT(" ",10),10)," ")</f>
        <v/>
      </c>
      <c r="Y1152" s="10">
        <f>IF(A1152="C",LEFT(UPPER(D1152)&amp;REPT(" ",2),2)," ")</f>
        <v/>
      </c>
      <c r="Z1152" s="10">
        <f>IF(A1152="C",LEFT(UPPER(E1152)&amp;REPT(" ",15),15)," ")</f>
        <v/>
      </c>
      <c r="AA1152" s="10">
        <f>REPT(" ",8)</f>
        <v/>
      </c>
      <c r="AB1152" s="10">
        <f>REPT(" ",4)</f>
        <v/>
      </c>
      <c r="AC1152" s="10">
        <f>LEFT(UPPER(H1152)&amp;REPT(" ",250),250)</f>
        <v/>
      </c>
      <c r="AD1152" s="10">
        <f>TEXT($G$2,"dd/mm/aaaa")</f>
        <v/>
      </c>
      <c r="AE1152" s="10">
        <f>REPT(" ",10)</f>
        <v/>
      </c>
      <c r="AF1152" s="10">
        <f>REPT(" ",20)</f>
        <v/>
      </c>
      <c r="AG1152" s="54">
        <f>REPT(" ",18-LEN(FIXED(F1152,2,TRUE)))&amp;FIXED(F1152,2,TRUE)</f>
        <v/>
      </c>
      <c r="AH1152" s="10">
        <f>LEN(AC1152)+LEN(AG1152)</f>
        <v/>
      </c>
      <c r="AI1152" s="10">
        <f>LEN(L1152)</f>
        <v/>
      </c>
    </row>
    <row r="1153">
      <c r="J1153" s="12">
        <f>IF(F1153&lt;&gt;0,"LANÇAR","")</f>
        <v/>
      </c>
      <c r="L1153" s="13">
        <f>N1153&amp;O1153&amp;P1153&amp;Q1153&amp;R1153&amp;S1153&amp;T1153&amp;U1153&amp;V1153&amp;W1153&amp;X1153&amp;Y1153&amp;Z1153&amp;AA1153&amp;AB1153&amp;AC1153&amp;AD1153&amp;AE1153&amp;AF1153&amp;AG1153</f>
        <v/>
      </c>
      <c r="N1153" s="10">
        <f>TEXT($B$6,"00")</f>
        <v/>
      </c>
      <c r="O1153" s="10">
        <f>REPT(" ",8)</f>
        <v/>
      </c>
      <c r="P1153" s="10">
        <f>RIGHT($B$4,2)</f>
        <v/>
      </c>
      <c r="Q1153" s="10">
        <f>RIGHT($B$5,3)</f>
        <v/>
      </c>
      <c r="R1153" s="10">
        <f>IF(A1153="D",LEFT(UPPER(B1153)&amp;REPT(" ",20),20),REPT(" ",20))</f>
        <v/>
      </c>
      <c r="S1153" s="10">
        <f>IF(A1153="D",LEFT(UPPER(C1153)&amp;REPT(" ",10),10)," ")</f>
        <v/>
      </c>
      <c r="T1153" s="10">
        <f>IF(A1153="D",LEFT(UPPER(D1153)&amp;REPT(" ",2),2)," ")</f>
        <v/>
      </c>
      <c r="U1153" s="10">
        <f>IF(A1153="D",LEFT(UPPER(E1153)&amp;REPT(" ",15),15)," ")</f>
        <v/>
      </c>
      <c r="V1153" s="10">
        <f>REPT(" ",24)</f>
        <v/>
      </c>
      <c r="W1153" s="10">
        <f>IF(A1153="c",LEFT(UPPER(B1153)&amp;REPT(" ",20),20),REPT(" ",20))</f>
        <v/>
      </c>
      <c r="X1153" s="10">
        <f>IF(A1153="C",LEFT(UPPER(C1153)&amp;REPT(" ",10),10)," ")</f>
        <v/>
      </c>
      <c r="Y1153" s="10">
        <f>IF(A1153="C",LEFT(UPPER(D1153)&amp;REPT(" ",2),2)," ")</f>
        <v/>
      </c>
      <c r="Z1153" s="10">
        <f>IF(A1153="C",LEFT(UPPER(E1153)&amp;REPT(" ",15),15)," ")</f>
        <v/>
      </c>
      <c r="AA1153" s="10">
        <f>REPT(" ",8)</f>
        <v/>
      </c>
      <c r="AB1153" s="10">
        <f>REPT(" ",4)</f>
        <v/>
      </c>
      <c r="AC1153" s="10">
        <f>LEFT(UPPER(H1153)&amp;REPT(" ",250),250)</f>
        <v/>
      </c>
      <c r="AD1153" s="10">
        <f>TEXT($G$2,"dd/mm/aaaa")</f>
        <v/>
      </c>
      <c r="AE1153" s="10">
        <f>REPT(" ",10)</f>
        <v/>
      </c>
      <c r="AF1153" s="10">
        <f>REPT(" ",20)</f>
        <v/>
      </c>
      <c r="AG1153" s="54">
        <f>REPT(" ",18-LEN(FIXED(F1153,2,TRUE)))&amp;FIXED(F1153,2,TRUE)</f>
        <v/>
      </c>
      <c r="AH1153" s="10">
        <f>LEN(AC1153)+LEN(AG1153)</f>
        <v/>
      </c>
      <c r="AI1153" s="10">
        <f>LEN(L1153)</f>
        <v/>
      </c>
    </row>
    <row r="1154">
      <c r="J1154" s="12">
        <f>IF(F1154&lt;&gt;0,"LANÇAR","")</f>
        <v/>
      </c>
      <c r="L1154" s="13">
        <f>N1154&amp;O1154&amp;P1154&amp;Q1154&amp;R1154&amp;S1154&amp;T1154&amp;U1154&amp;V1154&amp;W1154&amp;X1154&amp;Y1154&amp;Z1154&amp;AA1154&amp;AB1154&amp;AC1154&amp;AD1154&amp;AE1154&amp;AF1154&amp;AG1154</f>
        <v/>
      </c>
      <c r="N1154" s="10">
        <f>TEXT($B$6,"00")</f>
        <v/>
      </c>
      <c r="O1154" s="10">
        <f>REPT(" ",8)</f>
        <v/>
      </c>
      <c r="P1154" s="10">
        <f>RIGHT($B$4,2)</f>
        <v/>
      </c>
      <c r="Q1154" s="10">
        <f>RIGHT($B$5,3)</f>
        <v/>
      </c>
      <c r="R1154" s="10">
        <f>IF(A1154="D",LEFT(UPPER(B1154)&amp;REPT(" ",20),20),REPT(" ",20))</f>
        <v/>
      </c>
      <c r="S1154" s="10">
        <f>IF(A1154="D",LEFT(UPPER(C1154)&amp;REPT(" ",10),10)," ")</f>
        <v/>
      </c>
      <c r="T1154" s="10">
        <f>IF(A1154="D",LEFT(UPPER(D1154)&amp;REPT(" ",2),2)," ")</f>
        <v/>
      </c>
      <c r="U1154" s="10">
        <f>IF(A1154="D",LEFT(UPPER(E1154)&amp;REPT(" ",15),15)," ")</f>
        <v/>
      </c>
      <c r="V1154" s="10">
        <f>REPT(" ",24)</f>
        <v/>
      </c>
      <c r="W1154" s="10">
        <f>IF(A1154="c",LEFT(UPPER(B1154)&amp;REPT(" ",20),20),REPT(" ",20))</f>
        <v/>
      </c>
      <c r="X1154" s="10">
        <f>IF(A1154="C",LEFT(UPPER(C1154)&amp;REPT(" ",10),10)," ")</f>
        <v/>
      </c>
      <c r="Y1154" s="10">
        <f>IF(A1154="C",LEFT(UPPER(D1154)&amp;REPT(" ",2),2)," ")</f>
        <v/>
      </c>
      <c r="Z1154" s="10">
        <f>IF(A1154="C",LEFT(UPPER(E1154)&amp;REPT(" ",15),15)," ")</f>
        <v/>
      </c>
      <c r="AA1154" s="10">
        <f>REPT(" ",8)</f>
        <v/>
      </c>
      <c r="AB1154" s="10">
        <f>REPT(" ",4)</f>
        <v/>
      </c>
      <c r="AC1154" s="10">
        <f>LEFT(UPPER(H1154)&amp;REPT(" ",250),250)</f>
        <v/>
      </c>
      <c r="AD1154" s="10">
        <f>TEXT($G$2,"dd/mm/aaaa")</f>
        <v/>
      </c>
      <c r="AE1154" s="10">
        <f>REPT(" ",10)</f>
        <v/>
      </c>
      <c r="AF1154" s="10">
        <f>REPT(" ",20)</f>
        <v/>
      </c>
      <c r="AG1154" s="54">
        <f>REPT(" ",18-LEN(FIXED(F1154,2,TRUE)))&amp;FIXED(F1154,2,TRUE)</f>
        <v/>
      </c>
      <c r="AH1154" s="10">
        <f>LEN(AC1154)+LEN(AG1154)</f>
        <v/>
      </c>
      <c r="AI1154" s="10">
        <f>LEN(L1154)</f>
        <v/>
      </c>
    </row>
    <row r="1155">
      <c r="J1155" s="12">
        <f>IF(F1155&lt;&gt;0,"LANÇAR","")</f>
        <v/>
      </c>
      <c r="L1155" s="13">
        <f>N1155&amp;O1155&amp;P1155&amp;Q1155&amp;R1155&amp;S1155&amp;T1155&amp;U1155&amp;V1155&amp;W1155&amp;X1155&amp;Y1155&amp;Z1155&amp;AA1155&amp;AB1155&amp;AC1155&amp;AD1155&amp;AE1155&amp;AF1155&amp;AG1155</f>
        <v/>
      </c>
      <c r="N1155" s="10">
        <f>TEXT($B$6,"00")</f>
        <v/>
      </c>
      <c r="O1155" s="10">
        <f>REPT(" ",8)</f>
        <v/>
      </c>
      <c r="P1155" s="10">
        <f>RIGHT($B$4,2)</f>
        <v/>
      </c>
      <c r="Q1155" s="10">
        <f>RIGHT($B$5,3)</f>
        <v/>
      </c>
      <c r="R1155" s="10">
        <f>IF(A1155="D",LEFT(UPPER(B1155)&amp;REPT(" ",20),20),REPT(" ",20))</f>
        <v/>
      </c>
      <c r="S1155" s="10">
        <f>IF(A1155="D",LEFT(UPPER(C1155)&amp;REPT(" ",10),10)," ")</f>
        <v/>
      </c>
      <c r="T1155" s="10">
        <f>IF(A1155="D",LEFT(UPPER(D1155)&amp;REPT(" ",2),2)," ")</f>
        <v/>
      </c>
      <c r="U1155" s="10">
        <f>IF(A1155="D",LEFT(UPPER(E1155)&amp;REPT(" ",15),15)," ")</f>
        <v/>
      </c>
      <c r="V1155" s="10">
        <f>REPT(" ",24)</f>
        <v/>
      </c>
      <c r="W1155" s="10">
        <f>IF(A1155="c",LEFT(UPPER(B1155)&amp;REPT(" ",20),20),REPT(" ",20))</f>
        <v/>
      </c>
      <c r="X1155" s="10">
        <f>IF(A1155="C",LEFT(UPPER(C1155)&amp;REPT(" ",10),10)," ")</f>
        <v/>
      </c>
      <c r="Y1155" s="10">
        <f>IF(A1155="C",LEFT(UPPER(D1155)&amp;REPT(" ",2),2)," ")</f>
        <v/>
      </c>
      <c r="Z1155" s="10">
        <f>IF(A1155="C",LEFT(UPPER(E1155)&amp;REPT(" ",15),15)," ")</f>
        <v/>
      </c>
      <c r="AA1155" s="10">
        <f>REPT(" ",8)</f>
        <v/>
      </c>
      <c r="AB1155" s="10">
        <f>REPT(" ",4)</f>
        <v/>
      </c>
      <c r="AC1155" s="10">
        <f>LEFT(UPPER(H1155)&amp;REPT(" ",250),250)</f>
        <v/>
      </c>
      <c r="AD1155" s="10">
        <f>TEXT($G$2,"dd/mm/aaaa")</f>
        <v/>
      </c>
      <c r="AE1155" s="10">
        <f>REPT(" ",10)</f>
        <v/>
      </c>
      <c r="AF1155" s="10">
        <f>REPT(" ",20)</f>
        <v/>
      </c>
      <c r="AG1155" s="54">
        <f>REPT(" ",18-LEN(FIXED(F1155,2,TRUE)))&amp;FIXED(F1155,2,TRUE)</f>
        <v/>
      </c>
      <c r="AH1155" s="10">
        <f>LEN(AC1155)+LEN(AG1155)</f>
        <v/>
      </c>
      <c r="AI1155" s="10">
        <f>LEN(L1155)</f>
        <v/>
      </c>
    </row>
    <row r="1156">
      <c r="J1156" s="12">
        <f>IF(F1156&lt;&gt;0,"LANÇAR","")</f>
        <v/>
      </c>
      <c r="L1156" s="13">
        <f>N1156&amp;O1156&amp;P1156&amp;Q1156&amp;R1156&amp;S1156&amp;T1156&amp;U1156&amp;V1156&amp;W1156&amp;X1156&amp;Y1156&amp;Z1156&amp;AA1156&amp;AB1156&amp;AC1156&amp;AD1156&amp;AE1156&amp;AF1156&amp;AG1156</f>
        <v/>
      </c>
      <c r="N1156" s="10">
        <f>TEXT($B$6,"00")</f>
        <v/>
      </c>
      <c r="O1156" s="10">
        <f>REPT(" ",8)</f>
        <v/>
      </c>
      <c r="P1156" s="10">
        <f>RIGHT($B$4,2)</f>
        <v/>
      </c>
      <c r="Q1156" s="10">
        <f>RIGHT($B$5,3)</f>
        <v/>
      </c>
      <c r="R1156" s="10">
        <f>IF(A1156="D",LEFT(UPPER(B1156)&amp;REPT(" ",20),20),REPT(" ",20))</f>
        <v/>
      </c>
      <c r="S1156" s="10">
        <f>IF(A1156="D",LEFT(UPPER(C1156)&amp;REPT(" ",10),10)," ")</f>
        <v/>
      </c>
      <c r="T1156" s="10">
        <f>IF(A1156="D",LEFT(UPPER(D1156)&amp;REPT(" ",2),2)," ")</f>
        <v/>
      </c>
      <c r="U1156" s="10">
        <f>IF(A1156="D",LEFT(UPPER(E1156)&amp;REPT(" ",15),15)," ")</f>
        <v/>
      </c>
      <c r="V1156" s="10">
        <f>REPT(" ",24)</f>
        <v/>
      </c>
      <c r="W1156" s="10">
        <f>IF(A1156="c",LEFT(UPPER(B1156)&amp;REPT(" ",20),20),REPT(" ",20))</f>
        <v/>
      </c>
      <c r="X1156" s="10">
        <f>IF(A1156="C",LEFT(UPPER(C1156)&amp;REPT(" ",10),10)," ")</f>
        <v/>
      </c>
      <c r="Y1156" s="10">
        <f>IF(A1156="C",LEFT(UPPER(D1156)&amp;REPT(" ",2),2)," ")</f>
        <v/>
      </c>
      <c r="Z1156" s="10">
        <f>IF(A1156="C",LEFT(UPPER(E1156)&amp;REPT(" ",15),15)," ")</f>
        <v/>
      </c>
      <c r="AA1156" s="10">
        <f>REPT(" ",8)</f>
        <v/>
      </c>
      <c r="AB1156" s="10">
        <f>REPT(" ",4)</f>
        <v/>
      </c>
      <c r="AC1156" s="10">
        <f>LEFT(UPPER(H1156)&amp;REPT(" ",250),250)</f>
        <v/>
      </c>
      <c r="AD1156" s="10">
        <f>TEXT($G$2,"dd/mm/aaaa")</f>
        <v/>
      </c>
      <c r="AE1156" s="10">
        <f>REPT(" ",10)</f>
        <v/>
      </c>
      <c r="AF1156" s="10">
        <f>REPT(" ",20)</f>
        <v/>
      </c>
      <c r="AG1156" s="54">
        <f>REPT(" ",18-LEN(FIXED(F1156,2,TRUE)))&amp;FIXED(F1156,2,TRUE)</f>
        <v/>
      </c>
      <c r="AH1156" s="10">
        <f>LEN(AC1156)+LEN(AG1156)</f>
        <v/>
      </c>
      <c r="AI1156" s="10">
        <f>LEN(L1156)</f>
        <v/>
      </c>
    </row>
    <row r="1157">
      <c r="J1157" s="12">
        <f>IF(F1157&lt;&gt;0,"LANÇAR","")</f>
        <v/>
      </c>
      <c r="L1157" s="13">
        <f>N1157&amp;O1157&amp;P1157&amp;Q1157&amp;R1157&amp;S1157&amp;T1157&amp;U1157&amp;V1157&amp;W1157&amp;X1157&amp;Y1157&amp;Z1157&amp;AA1157&amp;AB1157&amp;AC1157&amp;AD1157&amp;AE1157&amp;AF1157&amp;AG1157</f>
        <v/>
      </c>
      <c r="N1157" s="10">
        <f>TEXT($B$6,"00")</f>
        <v/>
      </c>
      <c r="O1157" s="10">
        <f>REPT(" ",8)</f>
        <v/>
      </c>
      <c r="P1157" s="10">
        <f>RIGHT($B$4,2)</f>
        <v/>
      </c>
      <c r="Q1157" s="10">
        <f>RIGHT($B$5,3)</f>
        <v/>
      </c>
      <c r="R1157" s="10">
        <f>IF(A1157="D",LEFT(UPPER(B1157)&amp;REPT(" ",20),20),REPT(" ",20))</f>
        <v/>
      </c>
      <c r="S1157" s="10">
        <f>IF(A1157="D",LEFT(UPPER(C1157)&amp;REPT(" ",10),10)," ")</f>
        <v/>
      </c>
      <c r="T1157" s="10">
        <f>IF(A1157="D",LEFT(UPPER(D1157)&amp;REPT(" ",2),2)," ")</f>
        <v/>
      </c>
      <c r="U1157" s="10">
        <f>IF(A1157="D",LEFT(UPPER(E1157)&amp;REPT(" ",15),15)," ")</f>
        <v/>
      </c>
      <c r="V1157" s="10">
        <f>REPT(" ",24)</f>
        <v/>
      </c>
      <c r="W1157" s="10">
        <f>IF(A1157="c",LEFT(UPPER(B1157)&amp;REPT(" ",20),20),REPT(" ",20))</f>
        <v/>
      </c>
      <c r="X1157" s="10">
        <f>IF(A1157="C",LEFT(UPPER(C1157)&amp;REPT(" ",10),10)," ")</f>
        <v/>
      </c>
      <c r="Y1157" s="10">
        <f>IF(A1157="C",LEFT(UPPER(D1157)&amp;REPT(" ",2),2)," ")</f>
        <v/>
      </c>
      <c r="Z1157" s="10">
        <f>IF(A1157="C",LEFT(UPPER(E1157)&amp;REPT(" ",15),15)," ")</f>
        <v/>
      </c>
      <c r="AA1157" s="10">
        <f>REPT(" ",8)</f>
        <v/>
      </c>
      <c r="AB1157" s="10">
        <f>REPT(" ",4)</f>
        <v/>
      </c>
      <c r="AC1157" s="10">
        <f>LEFT(UPPER(H1157)&amp;REPT(" ",250),250)</f>
        <v/>
      </c>
      <c r="AD1157" s="10">
        <f>TEXT($G$2,"dd/mm/aaaa")</f>
        <v/>
      </c>
      <c r="AE1157" s="10">
        <f>REPT(" ",10)</f>
        <v/>
      </c>
      <c r="AF1157" s="10">
        <f>REPT(" ",20)</f>
        <v/>
      </c>
      <c r="AG1157" s="54">
        <f>REPT(" ",18-LEN(FIXED(F1157,2,TRUE)))&amp;FIXED(F1157,2,TRUE)</f>
        <v/>
      </c>
      <c r="AH1157" s="10">
        <f>LEN(AC1157)+LEN(AG1157)</f>
        <v/>
      </c>
      <c r="AI1157" s="10">
        <f>LEN(L1157)</f>
        <v/>
      </c>
    </row>
    <row r="1158">
      <c r="J1158" s="12">
        <f>IF(F1158&lt;&gt;0,"LANÇAR","")</f>
        <v/>
      </c>
      <c r="L1158" s="13">
        <f>N1158&amp;O1158&amp;P1158&amp;Q1158&amp;R1158&amp;S1158&amp;T1158&amp;U1158&amp;V1158&amp;W1158&amp;X1158&amp;Y1158&amp;Z1158&amp;AA1158&amp;AB1158&amp;AC1158&amp;AD1158&amp;AE1158&amp;AF1158&amp;AG1158</f>
        <v/>
      </c>
      <c r="N1158" s="10">
        <f>TEXT($B$6,"00")</f>
        <v/>
      </c>
      <c r="O1158" s="10">
        <f>REPT(" ",8)</f>
        <v/>
      </c>
      <c r="P1158" s="10">
        <f>RIGHT($B$4,2)</f>
        <v/>
      </c>
      <c r="Q1158" s="10">
        <f>RIGHT($B$5,3)</f>
        <v/>
      </c>
      <c r="R1158" s="10">
        <f>IF(A1158="D",LEFT(UPPER(B1158)&amp;REPT(" ",20),20),REPT(" ",20))</f>
        <v/>
      </c>
      <c r="S1158" s="10">
        <f>IF(A1158="D",LEFT(UPPER(C1158)&amp;REPT(" ",10),10)," ")</f>
        <v/>
      </c>
      <c r="T1158" s="10">
        <f>IF(A1158="D",LEFT(UPPER(D1158)&amp;REPT(" ",2),2)," ")</f>
        <v/>
      </c>
      <c r="U1158" s="10">
        <f>IF(A1158="D",LEFT(UPPER(E1158)&amp;REPT(" ",15),15)," ")</f>
        <v/>
      </c>
      <c r="V1158" s="10">
        <f>REPT(" ",24)</f>
        <v/>
      </c>
      <c r="W1158" s="10">
        <f>IF(A1158="c",LEFT(UPPER(B1158)&amp;REPT(" ",20),20),REPT(" ",20))</f>
        <v/>
      </c>
      <c r="X1158" s="10">
        <f>IF(A1158="C",LEFT(UPPER(C1158)&amp;REPT(" ",10),10)," ")</f>
        <v/>
      </c>
      <c r="Y1158" s="10">
        <f>IF(A1158="C",LEFT(UPPER(D1158)&amp;REPT(" ",2),2)," ")</f>
        <v/>
      </c>
      <c r="Z1158" s="10">
        <f>IF(A1158="C",LEFT(UPPER(E1158)&amp;REPT(" ",15),15)," ")</f>
        <v/>
      </c>
      <c r="AA1158" s="10">
        <f>REPT(" ",8)</f>
        <v/>
      </c>
      <c r="AB1158" s="10">
        <f>REPT(" ",4)</f>
        <v/>
      </c>
      <c r="AC1158" s="10">
        <f>LEFT(UPPER(H1158)&amp;REPT(" ",250),250)</f>
        <v/>
      </c>
      <c r="AD1158" s="10">
        <f>TEXT($G$2,"dd/mm/aaaa")</f>
        <v/>
      </c>
      <c r="AE1158" s="10">
        <f>REPT(" ",10)</f>
        <v/>
      </c>
      <c r="AF1158" s="10">
        <f>REPT(" ",20)</f>
        <v/>
      </c>
      <c r="AG1158" s="54">
        <f>REPT(" ",18-LEN(FIXED(F1158,2,TRUE)))&amp;FIXED(F1158,2,TRUE)</f>
        <v/>
      </c>
      <c r="AH1158" s="10">
        <f>LEN(AC1158)+LEN(AG1158)</f>
        <v/>
      </c>
      <c r="AI1158" s="10">
        <f>LEN(L1158)</f>
        <v/>
      </c>
    </row>
    <row r="1159">
      <c r="J1159" s="12">
        <f>IF(F1159&lt;&gt;0,"LANÇAR","")</f>
        <v/>
      </c>
      <c r="L1159" s="13">
        <f>N1159&amp;O1159&amp;P1159&amp;Q1159&amp;R1159&amp;S1159&amp;T1159&amp;U1159&amp;V1159&amp;W1159&amp;X1159&amp;Y1159&amp;Z1159&amp;AA1159&amp;AB1159&amp;AC1159&amp;AD1159&amp;AE1159&amp;AF1159&amp;AG1159</f>
        <v/>
      </c>
      <c r="N1159" s="10">
        <f>TEXT($B$6,"00")</f>
        <v/>
      </c>
      <c r="O1159" s="10">
        <f>REPT(" ",8)</f>
        <v/>
      </c>
      <c r="P1159" s="10">
        <f>RIGHT($B$4,2)</f>
        <v/>
      </c>
      <c r="Q1159" s="10">
        <f>RIGHT($B$5,3)</f>
        <v/>
      </c>
      <c r="R1159" s="10">
        <f>IF(A1159="D",LEFT(UPPER(B1159)&amp;REPT(" ",20),20),REPT(" ",20))</f>
        <v/>
      </c>
      <c r="S1159" s="10">
        <f>IF(A1159="D",LEFT(UPPER(C1159)&amp;REPT(" ",10),10)," ")</f>
        <v/>
      </c>
      <c r="T1159" s="10">
        <f>IF(A1159="D",LEFT(UPPER(D1159)&amp;REPT(" ",2),2)," ")</f>
        <v/>
      </c>
      <c r="U1159" s="10">
        <f>IF(A1159="D",LEFT(UPPER(E1159)&amp;REPT(" ",15),15)," ")</f>
        <v/>
      </c>
      <c r="V1159" s="10">
        <f>REPT(" ",24)</f>
        <v/>
      </c>
      <c r="W1159" s="10">
        <f>IF(A1159="c",LEFT(UPPER(B1159)&amp;REPT(" ",20),20),REPT(" ",20))</f>
        <v/>
      </c>
      <c r="X1159" s="10">
        <f>IF(A1159="C",LEFT(UPPER(C1159)&amp;REPT(" ",10),10)," ")</f>
        <v/>
      </c>
      <c r="Y1159" s="10">
        <f>IF(A1159="C",LEFT(UPPER(D1159)&amp;REPT(" ",2),2)," ")</f>
        <v/>
      </c>
      <c r="Z1159" s="10">
        <f>IF(A1159="C",LEFT(UPPER(E1159)&amp;REPT(" ",15),15)," ")</f>
        <v/>
      </c>
      <c r="AA1159" s="10">
        <f>REPT(" ",8)</f>
        <v/>
      </c>
      <c r="AB1159" s="10">
        <f>REPT(" ",4)</f>
        <v/>
      </c>
      <c r="AC1159" s="10">
        <f>LEFT(UPPER(H1159)&amp;REPT(" ",250),250)</f>
        <v/>
      </c>
      <c r="AD1159" s="10">
        <f>TEXT($G$2,"dd/mm/aaaa")</f>
        <v/>
      </c>
      <c r="AE1159" s="10">
        <f>REPT(" ",10)</f>
        <v/>
      </c>
      <c r="AF1159" s="10">
        <f>REPT(" ",20)</f>
        <v/>
      </c>
      <c r="AG1159" s="54">
        <f>REPT(" ",18-LEN(FIXED(F1159,2,TRUE)))&amp;FIXED(F1159,2,TRUE)</f>
        <v/>
      </c>
      <c r="AH1159" s="10">
        <f>LEN(AC1159)+LEN(AG1159)</f>
        <v/>
      </c>
      <c r="AI1159" s="10">
        <f>LEN(L1159)</f>
        <v/>
      </c>
    </row>
    <row r="1160">
      <c r="J1160" s="12">
        <f>IF(F1160&lt;&gt;0,"LANÇAR","")</f>
        <v/>
      </c>
      <c r="L1160" s="13">
        <f>N1160&amp;O1160&amp;P1160&amp;Q1160&amp;R1160&amp;S1160&amp;T1160&amp;U1160&amp;V1160&amp;W1160&amp;X1160&amp;Y1160&amp;Z1160&amp;AA1160&amp;AB1160&amp;AC1160&amp;AD1160&amp;AE1160&amp;AF1160&amp;AG1160</f>
        <v/>
      </c>
      <c r="N1160" s="10">
        <f>TEXT($B$6,"00")</f>
        <v/>
      </c>
      <c r="O1160" s="10">
        <f>REPT(" ",8)</f>
        <v/>
      </c>
      <c r="P1160" s="10">
        <f>RIGHT($B$4,2)</f>
        <v/>
      </c>
      <c r="Q1160" s="10">
        <f>RIGHT($B$5,3)</f>
        <v/>
      </c>
      <c r="R1160" s="10">
        <f>IF(A1160="D",LEFT(UPPER(B1160)&amp;REPT(" ",20),20),REPT(" ",20))</f>
        <v/>
      </c>
      <c r="S1160" s="10">
        <f>IF(A1160="D",LEFT(UPPER(C1160)&amp;REPT(" ",10),10)," ")</f>
        <v/>
      </c>
      <c r="T1160" s="10">
        <f>IF(A1160="D",LEFT(UPPER(D1160)&amp;REPT(" ",2),2)," ")</f>
        <v/>
      </c>
      <c r="U1160" s="10">
        <f>IF(A1160="D",LEFT(UPPER(E1160)&amp;REPT(" ",15),15)," ")</f>
        <v/>
      </c>
      <c r="V1160" s="10">
        <f>REPT(" ",24)</f>
        <v/>
      </c>
      <c r="W1160" s="10">
        <f>IF(A1160="c",LEFT(UPPER(B1160)&amp;REPT(" ",20),20),REPT(" ",20))</f>
        <v/>
      </c>
      <c r="X1160" s="10">
        <f>IF(A1160="C",LEFT(UPPER(C1160)&amp;REPT(" ",10),10)," ")</f>
        <v/>
      </c>
      <c r="Y1160" s="10">
        <f>IF(A1160="C",LEFT(UPPER(D1160)&amp;REPT(" ",2),2)," ")</f>
        <v/>
      </c>
      <c r="Z1160" s="10">
        <f>IF(A1160="C",LEFT(UPPER(E1160)&amp;REPT(" ",15),15)," ")</f>
        <v/>
      </c>
      <c r="AA1160" s="10">
        <f>REPT(" ",8)</f>
        <v/>
      </c>
      <c r="AB1160" s="10">
        <f>REPT(" ",4)</f>
        <v/>
      </c>
      <c r="AC1160" s="10">
        <f>LEFT(UPPER(H1160)&amp;REPT(" ",250),250)</f>
        <v/>
      </c>
      <c r="AD1160" s="10">
        <f>TEXT($G$2,"dd/mm/aaaa")</f>
        <v/>
      </c>
      <c r="AE1160" s="10">
        <f>REPT(" ",10)</f>
        <v/>
      </c>
      <c r="AF1160" s="10">
        <f>REPT(" ",20)</f>
        <v/>
      </c>
      <c r="AG1160" s="54">
        <f>REPT(" ",18-LEN(FIXED(F1160,2,TRUE)))&amp;FIXED(F1160,2,TRUE)</f>
        <v/>
      </c>
      <c r="AH1160" s="10">
        <f>LEN(AC1160)+LEN(AG1160)</f>
        <v/>
      </c>
      <c r="AI1160" s="10">
        <f>LEN(L1160)</f>
        <v/>
      </c>
    </row>
    <row r="1161">
      <c r="J1161" s="12">
        <f>IF(F1161&lt;&gt;0,"LANÇAR","")</f>
        <v/>
      </c>
      <c r="L1161" s="13">
        <f>N1161&amp;O1161&amp;P1161&amp;Q1161&amp;R1161&amp;S1161&amp;T1161&amp;U1161&amp;V1161&amp;W1161&amp;X1161&amp;Y1161&amp;Z1161&amp;AA1161&amp;AB1161&amp;AC1161&amp;AD1161&amp;AE1161&amp;AF1161&amp;AG1161</f>
        <v/>
      </c>
      <c r="N1161" s="10">
        <f>TEXT($B$6,"00")</f>
        <v/>
      </c>
      <c r="O1161" s="10">
        <f>REPT(" ",8)</f>
        <v/>
      </c>
      <c r="P1161" s="10">
        <f>RIGHT($B$4,2)</f>
        <v/>
      </c>
      <c r="Q1161" s="10">
        <f>RIGHT($B$5,3)</f>
        <v/>
      </c>
      <c r="R1161" s="10">
        <f>IF(A1161="D",LEFT(UPPER(B1161)&amp;REPT(" ",20),20),REPT(" ",20))</f>
        <v/>
      </c>
      <c r="S1161" s="10">
        <f>IF(A1161="D",LEFT(UPPER(C1161)&amp;REPT(" ",10),10)," ")</f>
        <v/>
      </c>
      <c r="T1161" s="10">
        <f>IF(A1161="D",LEFT(UPPER(D1161)&amp;REPT(" ",2),2)," ")</f>
        <v/>
      </c>
      <c r="U1161" s="10">
        <f>IF(A1161="D",LEFT(UPPER(E1161)&amp;REPT(" ",15),15)," ")</f>
        <v/>
      </c>
      <c r="V1161" s="10">
        <f>REPT(" ",24)</f>
        <v/>
      </c>
      <c r="W1161" s="10">
        <f>IF(A1161="c",LEFT(UPPER(B1161)&amp;REPT(" ",20),20),REPT(" ",20))</f>
        <v/>
      </c>
      <c r="X1161" s="10">
        <f>IF(A1161="C",LEFT(UPPER(C1161)&amp;REPT(" ",10),10)," ")</f>
        <v/>
      </c>
      <c r="Y1161" s="10">
        <f>IF(A1161="C",LEFT(UPPER(D1161)&amp;REPT(" ",2),2)," ")</f>
        <v/>
      </c>
      <c r="Z1161" s="10">
        <f>IF(A1161="C",LEFT(UPPER(E1161)&amp;REPT(" ",15),15)," ")</f>
        <v/>
      </c>
      <c r="AA1161" s="10">
        <f>REPT(" ",8)</f>
        <v/>
      </c>
      <c r="AB1161" s="10">
        <f>REPT(" ",4)</f>
        <v/>
      </c>
      <c r="AC1161" s="10">
        <f>LEFT(UPPER(H1161)&amp;REPT(" ",250),250)</f>
        <v/>
      </c>
      <c r="AD1161" s="10">
        <f>TEXT($G$2,"dd/mm/aaaa")</f>
        <v/>
      </c>
      <c r="AE1161" s="10">
        <f>REPT(" ",10)</f>
        <v/>
      </c>
      <c r="AF1161" s="10">
        <f>REPT(" ",20)</f>
        <v/>
      </c>
      <c r="AG1161" s="54">
        <f>REPT(" ",18-LEN(FIXED(F1161,2,TRUE)))&amp;FIXED(F1161,2,TRUE)</f>
        <v/>
      </c>
      <c r="AH1161" s="10">
        <f>LEN(AC1161)+LEN(AG1161)</f>
        <v/>
      </c>
      <c r="AI1161" s="10">
        <f>LEN(L1161)</f>
        <v/>
      </c>
    </row>
    <row r="1162">
      <c r="J1162" s="12">
        <f>IF(F1162&lt;&gt;0,"LANÇAR","")</f>
        <v/>
      </c>
      <c r="L1162" s="13">
        <f>N1162&amp;O1162&amp;P1162&amp;Q1162&amp;R1162&amp;S1162&amp;T1162&amp;U1162&amp;V1162&amp;W1162&amp;X1162&amp;Y1162&amp;Z1162&amp;AA1162&amp;AB1162&amp;AC1162&amp;AD1162&amp;AE1162&amp;AF1162&amp;AG1162</f>
        <v/>
      </c>
      <c r="N1162" s="10">
        <f>TEXT($B$6,"00")</f>
        <v/>
      </c>
      <c r="O1162" s="10">
        <f>REPT(" ",8)</f>
        <v/>
      </c>
      <c r="P1162" s="10">
        <f>RIGHT($B$4,2)</f>
        <v/>
      </c>
      <c r="Q1162" s="10">
        <f>RIGHT($B$5,3)</f>
        <v/>
      </c>
      <c r="R1162" s="10">
        <f>IF(A1162="D",LEFT(UPPER(B1162)&amp;REPT(" ",20),20),REPT(" ",20))</f>
        <v/>
      </c>
      <c r="S1162" s="10">
        <f>IF(A1162="D",LEFT(UPPER(C1162)&amp;REPT(" ",10),10)," ")</f>
        <v/>
      </c>
      <c r="T1162" s="10">
        <f>IF(A1162="D",LEFT(UPPER(D1162)&amp;REPT(" ",2),2)," ")</f>
        <v/>
      </c>
      <c r="U1162" s="10">
        <f>IF(A1162="D",LEFT(UPPER(E1162)&amp;REPT(" ",15),15)," ")</f>
        <v/>
      </c>
      <c r="V1162" s="10">
        <f>REPT(" ",24)</f>
        <v/>
      </c>
      <c r="W1162" s="10">
        <f>IF(A1162="c",LEFT(UPPER(B1162)&amp;REPT(" ",20),20),REPT(" ",20))</f>
        <v/>
      </c>
      <c r="X1162" s="10">
        <f>IF(A1162="C",LEFT(UPPER(C1162)&amp;REPT(" ",10),10)," ")</f>
        <v/>
      </c>
      <c r="Y1162" s="10">
        <f>IF(A1162="C",LEFT(UPPER(D1162)&amp;REPT(" ",2),2)," ")</f>
        <v/>
      </c>
      <c r="Z1162" s="10">
        <f>IF(A1162="C",LEFT(UPPER(E1162)&amp;REPT(" ",15),15)," ")</f>
        <v/>
      </c>
      <c r="AA1162" s="10">
        <f>REPT(" ",8)</f>
        <v/>
      </c>
      <c r="AB1162" s="10">
        <f>REPT(" ",4)</f>
        <v/>
      </c>
      <c r="AC1162" s="10">
        <f>LEFT(UPPER(H1162)&amp;REPT(" ",250),250)</f>
        <v/>
      </c>
      <c r="AD1162" s="10">
        <f>TEXT($G$2,"dd/mm/aaaa")</f>
        <v/>
      </c>
      <c r="AE1162" s="10">
        <f>REPT(" ",10)</f>
        <v/>
      </c>
      <c r="AF1162" s="10">
        <f>REPT(" ",20)</f>
        <v/>
      </c>
      <c r="AG1162" s="54">
        <f>REPT(" ",18-LEN(FIXED(F1162,2,TRUE)))&amp;FIXED(F1162,2,TRUE)</f>
        <v/>
      </c>
      <c r="AH1162" s="10">
        <f>LEN(AC1162)+LEN(AG1162)</f>
        <v/>
      </c>
      <c r="AI1162" s="10">
        <f>LEN(L1162)</f>
        <v/>
      </c>
    </row>
    <row r="1163">
      <c r="J1163" s="12">
        <f>IF(F1163&lt;&gt;0,"LANÇAR","")</f>
        <v/>
      </c>
      <c r="L1163" s="13">
        <f>N1163&amp;O1163&amp;P1163&amp;Q1163&amp;R1163&amp;S1163&amp;T1163&amp;U1163&amp;V1163&amp;W1163&amp;X1163&amp;Y1163&amp;Z1163&amp;AA1163&amp;AB1163&amp;AC1163&amp;AD1163&amp;AE1163&amp;AF1163&amp;AG1163</f>
        <v/>
      </c>
      <c r="N1163" s="10">
        <f>TEXT($B$6,"00")</f>
        <v/>
      </c>
      <c r="O1163" s="10">
        <f>REPT(" ",8)</f>
        <v/>
      </c>
      <c r="P1163" s="10">
        <f>RIGHT($B$4,2)</f>
        <v/>
      </c>
      <c r="Q1163" s="10">
        <f>RIGHT($B$5,3)</f>
        <v/>
      </c>
      <c r="R1163" s="10">
        <f>IF(A1163="D",LEFT(UPPER(B1163)&amp;REPT(" ",20),20),REPT(" ",20))</f>
        <v/>
      </c>
      <c r="S1163" s="10">
        <f>IF(A1163="D",LEFT(UPPER(C1163)&amp;REPT(" ",10),10)," ")</f>
        <v/>
      </c>
      <c r="T1163" s="10">
        <f>IF(A1163="D",LEFT(UPPER(D1163)&amp;REPT(" ",2),2)," ")</f>
        <v/>
      </c>
      <c r="U1163" s="10">
        <f>IF(A1163="D",LEFT(UPPER(E1163)&amp;REPT(" ",15),15)," ")</f>
        <v/>
      </c>
      <c r="V1163" s="10">
        <f>REPT(" ",24)</f>
        <v/>
      </c>
      <c r="W1163" s="10">
        <f>IF(A1163="c",LEFT(UPPER(B1163)&amp;REPT(" ",20),20),REPT(" ",20))</f>
        <v/>
      </c>
      <c r="X1163" s="10">
        <f>IF(A1163="C",LEFT(UPPER(C1163)&amp;REPT(" ",10),10)," ")</f>
        <v/>
      </c>
      <c r="Y1163" s="10">
        <f>IF(A1163="C",LEFT(UPPER(D1163)&amp;REPT(" ",2),2)," ")</f>
        <v/>
      </c>
      <c r="Z1163" s="10">
        <f>IF(A1163="C",LEFT(UPPER(E1163)&amp;REPT(" ",15),15)," ")</f>
        <v/>
      </c>
      <c r="AA1163" s="10">
        <f>REPT(" ",8)</f>
        <v/>
      </c>
      <c r="AB1163" s="10">
        <f>REPT(" ",4)</f>
        <v/>
      </c>
      <c r="AC1163" s="10">
        <f>LEFT(UPPER(H1163)&amp;REPT(" ",250),250)</f>
        <v/>
      </c>
      <c r="AD1163" s="10">
        <f>TEXT($G$2,"dd/mm/aaaa")</f>
        <v/>
      </c>
      <c r="AE1163" s="10">
        <f>REPT(" ",10)</f>
        <v/>
      </c>
      <c r="AF1163" s="10">
        <f>REPT(" ",20)</f>
        <v/>
      </c>
      <c r="AG1163" s="54">
        <f>REPT(" ",18-LEN(FIXED(F1163,2,TRUE)))&amp;FIXED(F1163,2,TRUE)</f>
        <v/>
      </c>
      <c r="AH1163" s="10">
        <f>LEN(AC1163)+LEN(AG1163)</f>
        <v/>
      </c>
      <c r="AI1163" s="10">
        <f>LEN(L1163)</f>
        <v/>
      </c>
    </row>
    <row r="1164">
      <c r="J1164" s="12">
        <f>IF(F1164&lt;&gt;0,"LANÇAR","")</f>
        <v/>
      </c>
      <c r="L1164" s="13">
        <f>N1164&amp;O1164&amp;P1164&amp;Q1164&amp;R1164&amp;S1164&amp;T1164&amp;U1164&amp;V1164&amp;W1164&amp;X1164&amp;Y1164&amp;Z1164&amp;AA1164&amp;AB1164&amp;AC1164&amp;AD1164&amp;AE1164&amp;AF1164&amp;AG1164</f>
        <v/>
      </c>
      <c r="N1164" s="10">
        <f>TEXT($B$6,"00")</f>
        <v/>
      </c>
      <c r="O1164" s="10">
        <f>REPT(" ",8)</f>
        <v/>
      </c>
      <c r="P1164" s="10">
        <f>RIGHT($B$4,2)</f>
        <v/>
      </c>
      <c r="Q1164" s="10">
        <f>RIGHT($B$5,3)</f>
        <v/>
      </c>
      <c r="R1164" s="10">
        <f>IF(A1164="D",LEFT(UPPER(B1164)&amp;REPT(" ",20),20),REPT(" ",20))</f>
        <v/>
      </c>
      <c r="S1164" s="10">
        <f>IF(A1164="D",LEFT(UPPER(C1164)&amp;REPT(" ",10),10)," ")</f>
        <v/>
      </c>
      <c r="T1164" s="10">
        <f>IF(A1164="D",LEFT(UPPER(D1164)&amp;REPT(" ",2),2)," ")</f>
        <v/>
      </c>
      <c r="U1164" s="10">
        <f>IF(A1164="D",LEFT(UPPER(E1164)&amp;REPT(" ",15),15)," ")</f>
        <v/>
      </c>
      <c r="V1164" s="10">
        <f>REPT(" ",24)</f>
        <v/>
      </c>
      <c r="W1164" s="10">
        <f>IF(A1164="c",LEFT(UPPER(B1164)&amp;REPT(" ",20),20),REPT(" ",20))</f>
        <v/>
      </c>
      <c r="X1164" s="10">
        <f>IF(A1164="C",LEFT(UPPER(C1164)&amp;REPT(" ",10),10)," ")</f>
        <v/>
      </c>
      <c r="Y1164" s="10">
        <f>IF(A1164="C",LEFT(UPPER(D1164)&amp;REPT(" ",2),2)," ")</f>
        <v/>
      </c>
      <c r="Z1164" s="10">
        <f>IF(A1164="C",LEFT(UPPER(E1164)&amp;REPT(" ",15),15)," ")</f>
        <v/>
      </c>
      <c r="AA1164" s="10">
        <f>REPT(" ",8)</f>
        <v/>
      </c>
      <c r="AB1164" s="10">
        <f>REPT(" ",4)</f>
        <v/>
      </c>
      <c r="AC1164" s="10">
        <f>LEFT(UPPER(H1164)&amp;REPT(" ",250),250)</f>
        <v/>
      </c>
      <c r="AD1164" s="10">
        <f>TEXT($G$2,"dd/mm/aaaa")</f>
        <v/>
      </c>
      <c r="AE1164" s="10">
        <f>REPT(" ",10)</f>
        <v/>
      </c>
      <c r="AF1164" s="10">
        <f>REPT(" ",20)</f>
        <v/>
      </c>
      <c r="AG1164" s="54">
        <f>REPT(" ",18-LEN(FIXED(F1164,2,TRUE)))&amp;FIXED(F1164,2,TRUE)</f>
        <v/>
      </c>
      <c r="AH1164" s="10">
        <f>LEN(AC1164)+LEN(AG1164)</f>
        <v/>
      </c>
      <c r="AI1164" s="10">
        <f>LEN(L1164)</f>
        <v/>
      </c>
    </row>
    <row r="1165">
      <c r="J1165" s="12">
        <f>IF(F1165&lt;&gt;0,"LANÇAR","")</f>
        <v/>
      </c>
      <c r="L1165" s="13">
        <f>N1165&amp;O1165&amp;P1165&amp;Q1165&amp;R1165&amp;S1165&amp;T1165&amp;U1165&amp;V1165&amp;W1165&amp;X1165&amp;Y1165&amp;Z1165&amp;AA1165&amp;AB1165&amp;AC1165&amp;AD1165&amp;AE1165&amp;AF1165&amp;AG1165</f>
        <v/>
      </c>
      <c r="N1165" s="10">
        <f>TEXT($B$6,"00")</f>
        <v/>
      </c>
      <c r="O1165" s="10">
        <f>REPT(" ",8)</f>
        <v/>
      </c>
      <c r="P1165" s="10">
        <f>RIGHT($B$4,2)</f>
        <v/>
      </c>
      <c r="Q1165" s="10">
        <f>RIGHT($B$5,3)</f>
        <v/>
      </c>
      <c r="R1165" s="10">
        <f>IF(A1165="D",LEFT(UPPER(B1165)&amp;REPT(" ",20),20),REPT(" ",20))</f>
        <v/>
      </c>
      <c r="S1165" s="10">
        <f>IF(A1165="D",LEFT(UPPER(C1165)&amp;REPT(" ",10),10)," ")</f>
        <v/>
      </c>
      <c r="T1165" s="10">
        <f>IF(A1165="D",LEFT(UPPER(D1165)&amp;REPT(" ",2),2)," ")</f>
        <v/>
      </c>
      <c r="U1165" s="10">
        <f>IF(A1165="D",LEFT(UPPER(E1165)&amp;REPT(" ",15),15)," ")</f>
        <v/>
      </c>
      <c r="V1165" s="10">
        <f>REPT(" ",24)</f>
        <v/>
      </c>
      <c r="W1165" s="10">
        <f>IF(A1165="c",LEFT(UPPER(B1165)&amp;REPT(" ",20),20),REPT(" ",20))</f>
        <v/>
      </c>
      <c r="X1165" s="10">
        <f>IF(A1165="C",LEFT(UPPER(C1165)&amp;REPT(" ",10),10)," ")</f>
        <v/>
      </c>
      <c r="Y1165" s="10">
        <f>IF(A1165="C",LEFT(UPPER(D1165)&amp;REPT(" ",2),2)," ")</f>
        <v/>
      </c>
      <c r="Z1165" s="10">
        <f>IF(A1165="C",LEFT(UPPER(E1165)&amp;REPT(" ",15),15)," ")</f>
        <v/>
      </c>
      <c r="AA1165" s="10">
        <f>REPT(" ",8)</f>
        <v/>
      </c>
      <c r="AB1165" s="10">
        <f>REPT(" ",4)</f>
        <v/>
      </c>
      <c r="AC1165" s="10">
        <f>LEFT(UPPER(H1165)&amp;REPT(" ",250),250)</f>
        <v/>
      </c>
      <c r="AD1165" s="10">
        <f>TEXT($G$2,"dd/mm/aaaa")</f>
        <v/>
      </c>
      <c r="AE1165" s="10">
        <f>REPT(" ",10)</f>
        <v/>
      </c>
      <c r="AF1165" s="10">
        <f>REPT(" ",20)</f>
        <v/>
      </c>
      <c r="AG1165" s="54">
        <f>REPT(" ",18-LEN(FIXED(F1165,2,TRUE)))&amp;FIXED(F1165,2,TRUE)</f>
        <v/>
      </c>
      <c r="AH1165" s="10">
        <f>LEN(AC1165)+LEN(AG1165)</f>
        <v/>
      </c>
      <c r="AI1165" s="10">
        <f>LEN(L1165)</f>
        <v/>
      </c>
    </row>
    <row r="1166">
      <c r="J1166" s="12">
        <f>IF(F1166&lt;&gt;0,"LANÇAR","")</f>
        <v/>
      </c>
      <c r="L1166" s="13">
        <f>N1166&amp;O1166&amp;P1166&amp;Q1166&amp;R1166&amp;S1166&amp;T1166&amp;U1166&amp;V1166&amp;W1166&amp;X1166&amp;Y1166&amp;Z1166&amp;AA1166&amp;AB1166&amp;AC1166&amp;AD1166&amp;AE1166&amp;AF1166&amp;AG1166</f>
        <v/>
      </c>
      <c r="N1166" s="10">
        <f>TEXT($B$6,"00")</f>
        <v/>
      </c>
      <c r="O1166" s="10">
        <f>REPT(" ",8)</f>
        <v/>
      </c>
      <c r="P1166" s="10">
        <f>RIGHT($B$4,2)</f>
        <v/>
      </c>
      <c r="Q1166" s="10">
        <f>RIGHT($B$5,3)</f>
        <v/>
      </c>
      <c r="R1166" s="10">
        <f>IF(A1166="D",LEFT(UPPER(B1166)&amp;REPT(" ",20),20),REPT(" ",20))</f>
        <v/>
      </c>
      <c r="S1166" s="10">
        <f>IF(A1166="D",LEFT(UPPER(C1166)&amp;REPT(" ",10),10)," ")</f>
        <v/>
      </c>
      <c r="T1166" s="10">
        <f>IF(A1166="D",LEFT(UPPER(D1166)&amp;REPT(" ",2),2)," ")</f>
        <v/>
      </c>
      <c r="U1166" s="10">
        <f>IF(A1166="D",LEFT(UPPER(E1166)&amp;REPT(" ",15),15)," ")</f>
        <v/>
      </c>
      <c r="V1166" s="10">
        <f>REPT(" ",24)</f>
        <v/>
      </c>
      <c r="W1166" s="10">
        <f>IF(A1166="c",LEFT(UPPER(B1166)&amp;REPT(" ",20),20),REPT(" ",20))</f>
        <v/>
      </c>
      <c r="X1166" s="10">
        <f>IF(A1166="C",LEFT(UPPER(C1166)&amp;REPT(" ",10),10)," ")</f>
        <v/>
      </c>
      <c r="Y1166" s="10">
        <f>IF(A1166="C",LEFT(UPPER(D1166)&amp;REPT(" ",2),2)," ")</f>
        <v/>
      </c>
      <c r="Z1166" s="10">
        <f>IF(A1166="C",LEFT(UPPER(E1166)&amp;REPT(" ",15),15)," ")</f>
        <v/>
      </c>
      <c r="AA1166" s="10">
        <f>REPT(" ",8)</f>
        <v/>
      </c>
      <c r="AB1166" s="10">
        <f>REPT(" ",4)</f>
        <v/>
      </c>
      <c r="AC1166" s="10">
        <f>LEFT(UPPER(H1166)&amp;REPT(" ",250),250)</f>
        <v/>
      </c>
      <c r="AD1166" s="10">
        <f>TEXT($G$2,"dd/mm/aaaa")</f>
        <v/>
      </c>
      <c r="AE1166" s="10">
        <f>REPT(" ",10)</f>
        <v/>
      </c>
      <c r="AF1166" s="10">
        <f>REPT(" ",20)</f>
        <v/>
      </c>
      <c r="AG1166" s="54">
        <f>REPT(" ",18-LEN(FIXED(F1166,2,TRUE)))&amp;FIXED(F1166,2,TRUE)</f>
        <v/>
      </c>
      <c r="AH1166" s="10">
        <f>LEN(AC1166)+LEN(AG1166)</f>
        <v/>
      </c>
      <c r="AI1166" s="10">
        <f>LEN(L1166)</f>
        <v/>
      </c>
    </row>
    <row r="1167">
      <c r="J1167" s="12">
        <f>IF(F1167&lt;&gt;0,"LANÇAR","")</f>
        <v/>
      </c>
      <c r="L1167" s="13">
        <f>N1167&amp;O1167&amp;P1167&amp;Q1167&amp;R1167&amp;S1167&amp;T1167&amp;U1167&amp;V1167&amp;W1167&amp;X1167&amp;Y1167&amp;Z1167&amp;AA1167&amp;AB1167&amp;AC1167&amp;AD1167&amp;AE1167&amp;AF1167&amp;AG1167</f>
        <v/>
      </c>
      <c r="N1167" s="10">
        <f>TEXT($B$6,"00")</f>
        <v/>
      </c>
      <c r="O1167" s="10">
        <f>REPT(" ",8)</f>
        <v/>
      </c>
      <c r="P1167" s="10">
        <f>RIGHT($B$4,2)</f>
        <v/>
      </c>
      <c r="Q1167" s="10">
        <f>RIGHT($B$5,3)</f>
        <v/>
      </c>
      <c r="R1167" s="10">
        <f>IF(A1167="D",LEFT(UPPER(B1167)&amp;REPT(" ",20),20),REPT(" ",20))</f>
        <v/>
      </c>
      <c r="S1167" s="10">
        <f>IF(A1167="D",LEFT(UPPER(C1167)&amp;REPT(" ",10),10)," ")</f>
        <v/>
      </c>
      <c r="T1167" s="10">
        <f>IF(A1167="D",LEFT(UPPER(D1167)&amp;REPT(" ",2),2)," ")</f>
        <v/>
      </c>
      <c r="U1167" s="10">
        <f>IF(A1167="D",LEFT(UPPER(E1167)&amp;REPT(" ",15),15)," ")</f>
        <v/>
      </c>
      <c r="V1167" s="10">
        <f>REPT(" ",24)</f>
        <v/>
      </c>
      <c r="W1167" s="10">
        <f>IF(A1167="c",LEFT(UPPER(B1167)&amp;REPT(" ",20),20),REPT(" ",20))</f>
        <v/>
      </c>
      <c r="X1167" s="10">
        <f>IF(A1167="C",LEFT(UPPER(C1167)&amp;REPT(" ",10),10)," ")</f>
        <v/>
      </c>
      <c r="Y1167" s="10">
        <f>IF(A1167="C",LEFT(UPPER(D1167)&amp;REPT(" ",2),2)," ")</f>
        <v/>
      </c>
      <c r="Z1167" s="10">
        <f>IF(A1167="C",LEFT(UPPER(E1167)&amp;REPT(" ",15),15)," ")</f>
        <v/>
      </c>
      <c r="AA1167" s="10">
        <f>REPT(" ",8)</f>
        <v/>
      </c>
      <c r="AB1167" s="10">
        <f>REPT(" ",4)</f>
        <v/>
      </c>
      <c r="AC1167" s="10">
        <f>LEFT(UPPER(H1167)&amp;REPT(" ",250),250)</f>
        <v/>
      </c>
      <c r="AD1167" s="10">
        <f>TEXT($G$2,"dd/mm/aaaa")</f>
        <v/>
      </c>
      <c r="AE1167" s="10">
        <f>REPT(" ",10)</f>
        <v/>
      </c>
      <c r="AF1167" s="10">
        <f>REPT(" ",20)</f>
        <v/>
      </c>
      <c r="AG1167" s="54">
        <f>REPT(" ",18-LEN(FIXED(F1167,2,TRUE)))&amp;FIXED(F1167,2,TRUE)</f>
        <v/>
      </c>
      <c r="AH1167" s="10">
        <f>LEN(AC1167)+LEN(AG1167)</f>
        <v/>
      </c>
      <c r="AI1167" s="10">
        <f>LEN(L1167)</f>
        <v/>
      </c>
    </row>
    <row r="1168">
      <c r="J1168" s="12">
        <f>IF(F1168&lt;&gt;0,"LANÇAR","")</f>
        <v/>
      </c>
      <c r="L1168" s="13">
        <f>N1168&amp;O1168&amp;P1168&amp;Q1168&amp;R1168&amp;S1168&amp;T1168&amp;U1168&amp;V1168&amp;W1168&amp;X1168&amp;Y1168&amp;Z1168&amp;AA1168&amp;AB1168&amp;AC1168&amp;AD1168&amp;AE1168&amp;AF1168&amp;AG1168</f>
        <v/>
      </c>
      <c r="N1168" s="10">
        <f>TEXT($B$6,"00")</f>
        <v/>
      </c>
      <c r="O1168" s="10">
        <f>REPT(" ",8)</f>
        <v/>
      </c>
      <c r="P1168" s="10">
        <f>RIGHT($B$4,2)</f>
        <v/>
      </c>
      <c r="Q1168" s="10">
        <f>RIGHT($B$5,3)</f>
        <v/>
      </c>
      <c r="R1168" s="10">
        <f>IF(A1168="D",LEFT(UPPER(B1168)&amp;REPT(" ",20),20),REPT(" ",20))</f>
        <v/>
      </c>
      <c r="S1168" s="10">
        <f>IF(A1168="D",LEFT(UPPER(C1168)&amp;REPT(" ",10),10)," ")</f>
        <v/>
      </c>
      <c r="T1168" s="10">
        <f>IF(A1168="D",LEFT(UPPER(D1168)&amp;REPT(" ",2),2)," ")</f>
        <v/>
      </c>
      <c r="U1168" s="10">
        <f>IF(A1168="D",LEFT(UPPER(E1168)&amp;REPT(" ",15),15)," ")</f>
        <v/>
      </c>
      <c r="V1168" s="10">
        <f>REPT(" ",24)</f>
        <v/>
      </c>
      <c r="W1168" s="10">
        <f>IF(A1168="c",LEFT(UPPER(B1168)&amp;REPT(" ",20),20),REPT(" ",20))</f>
        <v/>
      </c>
      <c r="X1168" s="10">
        <f>IF(A1168="C",LEFT(UPPER(C1168)&amp;REPT(" ",10),10)," ")</f>
        <v/>
      </c>
      <c r="Y1168" s="10">
        <f>IF(A1168="C",LEFT(UPPER(D1168)&amp;REPT(" ",2),2)," ")</f>
        <v/>
      </c>
      <c r="Z1168" s="10">
        <f>IF(A1168="C",LEFT(UPPER(E1168)&amp;REPT(" ",15),15)," ")</f>
        <v/>
      </c>
      <c r="AA1168" s="10">
        <f>REPT(" ",8)</f>
        <v/>
      </c>
      <c r="AB1168" s="10">
        <f>REPT(" ",4)</f>
        <v/>
      </c>
      <c r="AC1168" s="10">
        <f>LEFT(UPPER(H1168)&amp;REPT(" ",250),250)</f>
        <v/>
      </c>
      <c r="AD1168" s="10">
        <f>TEXT($G$2,"dd/mm/aaaa")</f>
        <v/>
      </c>
      <c r="AE1168" s="10">
        <f>REPT(" ",10)</f>
        <v/>
      </c>
      <c r="AF1168" s="10">
        <f>REPT(" ",20)</f>
        <v/>
      </c>
      <c r="AG1168" s="54">
        <f>REPT(" ",18-LEN(FIXED(F1168,2,TRUE)))&amp;FIXED(F1168,2,TRUE)</f>
        <v/>
      </c>
      <c r="AH1168" s="10">
        <f>LEN(AC1168)+LEN(AG1168)</f>
        <v/>
      </c>
      <c r="AI1168" s="10">
        <f>LEN(L1168)</f>
        <v/>
      </c>
    </row>
    <row r="1169">
      <c r="J1169" s="12">
        <f>IF(F1169&lt;&gt;0,"LANÇAR","")</f>
        <v/>
      </c>
      <c r="L1169" s="13">
        <f>N1169&amp;O1169&amp;P1169&amp;Q1169&amp;R1169&amp;S1169&amp;T1169&amp;U1169&amp;V1169&amp;W1169&amp;X1169&amp;Y1169&amp;Z1169&amp;AA1169&amp;AB1169&amp;AC1169&amp;AD1169&amp;AE1169&amp;AF1169&amp;AG1169</f>
        <v/>
      </c>
      <c r="N1169" s="10">
        <f>TEXT($B$6,"00")</f>
        <v/>
      </c>
      <c r="O1169" s="10">
        <f>REPT(" ",8)</f>
        <v/>
      </c>
      <c r="P1169" s="10">
        <f>RIGHT($B$4,2)</f>
        <v/>
      </c>
      <c r="Q1169" s="10">
        <f>RIGHT($B$5,3)</f>
        <v/>
      </c>
      <c r="R1169" s="10">
        <f>IF(A1169="D",LEFT(UPPER(B1169)&amp;REPT(" ",20),20),REPT(" ",20))</f>
        <v/>
      </c>
      <c r="S1169" s="10">
        <f>IF(A1169="D",LEFT(UPPER(C1169)&amp;REPT(" ",10),10)," ")</f>
        <v/>
      </c>
      <c r="T1169" s="10">
        <f>IF(A1169="D",LEFT(UPPER(D1169)&amp;REPT(" ",2),2)," ")</f>
        <v/>
      </c>
      <c r="U1169" s="10">
        <f>IF(A1169="D",LEFT(UPPER(E1169)&amp;REPT(" ",15),15)," ")</f>
        <v/>
      </c>
      <c r="V1169" s="10">
        <f>REPT(" ",24)</f>
        <v/>
      </c>
      <c r="W1169" s="10">
        <f>IF(A1169="c",LEFT(UPPER(B1169)&amp;REPT(" ",20),20),REPT(" ",20))</f>
        <v/>
      </c>
      <c r="X1169" s="10">
        <f>IF(A1169="C",LEFT(UPPER(C1169)&amp;REPT(" ",10),10)," ")</f>
        <v/>
      </c>
      <c r="Y1169" s="10">
        <f>IF(A1169="C",LEFT(UPPER(D1169)&amp;REPT(" ",2),2)," ")</f>
        <v/>
      </c>
      <c r="Z1169" s="10">
        <f>IF(A1169="C",LEFT(UPPER(E1169)&amp;REPT(" ",15),15)," ")</f>
        <v/>
      </c>
      <c r="AA1169" s="10">
        <f>REPT(" ",8)</f>
        <v/>
      </c>
      <c r="AB1169" s="10">
        <f>REPT(" ",4)</f>
        <v/>
      </c>
      <c r="AC1169" s="10">
        <f>LEFT(UPPER(H1169)&amp;REPT(" ",250),250)</f>
        <v/>
      </c>
      <c r="AD1169" s="10">
        <f>TEXT($G$2,"dd/mm/aaaa")</f>
        <v/>
      </c>
      <c r="AE1169" s="10">
        <f>REPT(" ",10)</f>
        <v/>
      </c>
      <c r="AF1169" s="10">
        <f>REPT(" ",20)</f>
        <v/>
      </c>
      <c r="AG1169" s="54">
        <f>REPT(" ",18-LEN(FIXED(F1169,2,TRUE)))&amp;FIXED(F1169,2,TRUE)</f>
        <v/>
      </c>
      <c r="AH1169" s="10">
        <f>LEN(AC1169)+LEN(AG1169)</f>
        <v/>
      </c>
      <c r="AI1169" s="10">
        <f>LEN(L1169)</f>
        <v/>
      </c>
    </row>
    <row r="1170">
      <c r="J1170" s="12">
        <f>IF(F1170&lt;&gt;0,"LANÇAR","")</f>
        <v/>
      </c>
      <c r="L1170" s="13">
        <f>N1170&amp;O1170&amp;P1170&amp;Q1170&amp;R1170&amp;S1170&amp;T1170&amp;U1170&amp;V1170&amp;W1170&amp;X1170&amp;Y1170&amp;Z1170&amp;AA1170&amp;AB1170&amp;AC1170&amp;AD1170&amp;AE1170&amp;AF1170&amp;AG1170</f>
        <v/>
      </c>
      <c r="N1170" s="10">
        <f>TEXT($B$6,"00")</f>
        <v/>
      </c>
      <c r="O1170" s="10">
        <f>REPT(" ",8)</f>
        <v/>
      </c>
      <c r="P1170" s="10">
        <f>RIGHT($B$4,2)</f>
        <v/>
      </c>
      <c r="Q1170" s="10">
        <f>RIGHT($B$5,3)</f>
        <v/>
      </c>
      <c r="R1170" s="10">
        <f>IF(A1170="D",LEFT(UPPER(B1170)&amp;REPT(" ",20),20),REPT(" ",20))</f>
        <v/>
      </c>
      <c r="S1170" s="10">
        <f>IF(A1170="D",LEFT(UPPER(C1170)&amp;REPT(" ",10),10)," ")</f>
        <v/>
      </c>
      <c r="T1170" s="10">
        <f>IF(A1170="D",LEFT(UPPER(D1170)&amp;REPT(" ",2),2)," ")</f>
        <v/>
      </c>
      <c r="U1170" s="10">
        <f>IF(A1170="D",LEFT(UPPER(E1170)&amp;REPT(" ",15),15)," ")</f>
        <v/>
      </c>
      <c r="V1170" s="10">
        <f>REPT(" ",24)</f>
        <v/>
      </c>
      <c r="W1170" s="10">
        <f>IF(A1170="c",LEFT(UPPER(B1170)&amp;REPT(" ",20),20),REPT(" ",20))</f>
        <v/>
      </c>
      <c r="X1170" s="10">
        <f>IF(A1170="C",LEFT(UPPER(C1170)&amp;REPT(" ",10),10)," ")</f>
        <v/>
      </c>
      <c r="Y1170" s="10">
        <f>IF(A1170="C",LEFT(UPPER(D1170)&amp;REPT(" ",2),2)," ")</f>
        <v/>
      </c>
      <c r="Z1170" s="10">
        <f>IF(A1170="C",LEFT(UPPER(E1170)&amp;REPT(" ",15),15)," ")</f>
        <v/>
      </c>
      <c r="AA1170" s="10">
        <f>REPT(" ",8)</f>
        <v/>
      </c>
      <c r="AB1170" s="10">
        <f>REPT(" ",4)</f>
        <v/>
      </c>
      <c r="AC1170" s="10">
        <f>LEFT(UPPER(H1170)&amp;REPT(" ",250),250)</f>
        <v/>
      </c>
      <c r="AD1170" s="10">
        <f>TEXT($G$2,"dd/mm/aaaa")</f>
        <v/>
      </c>
      <c r="AE1170" s="10">
        <f>REPT(" ",10)</f>
        <v/>
      </c>
      <c r="AF1170" s="10">
        <f>REPT(" ",20)</f>
        <v/>
      </c>
      <c r="AG1170" s="54">
        <f>REPT(" ",18-LEN(FIXED(F1170,2,TRUE)))&amp;FIXED(F1170,2,TRUE)</f>
        <v/>
      </c>
      <c r="AH1170" s="10">
        <f>LEN(AC1170)+LEN(AG1170)</f>
        <v/>
      </c>
      <c r="AI1170" s="10">
        <f>LEN(L1170)</f>
        <v/>
      </c>
    </row>
    <row r="1171">
      <c r="J1171" s="12">
        <f>IF(F1171&lt;&gt;0,"LANÇAR","")</f>
        <v/>
      </c>
      <c r="L1171" s="13">
        <f>N1171&amp;O1171&amp;P1171&amp;Q1171&amp;R1171&amp;S1171&amp;T1171&amp;U1171&amp;V1171&amp;W1171&amp;X1171&amp;Y1171&amp;Z1171&amp;AA1171&amp;AB1171&amp;AC1171&amp;AD1171&amp;AE1171&amp;AF1171&amp;AG1171</f>
        <v/>
      </c>
      <c r="N1171" s="10">
        <f>TEXT($B$6,"00")</f>
        <v/>
      </c>
      <c r="O1171" s="10">
        <f>REPT(" ",8)</f>
        <v/>
      </c>
      <c r="P1171" s="10">
        <f>RIGHT($B$4,2)</f>
        <v/>
      </c>
      <c r="Q1171" s="10">
        <f>RIGHT($B$5,3)</f>
        <v/>
      </c>
      <c r="R1171" s="10">
        <f>IF(A1171="D",LEFT(UPPER(B1171)&amp;REPT(" ",20),20),REPT(" ",20))</f>
        <v/>
      </c>
      <c r="S1171" s="10">
        <f>IF(A1171="D",LEFT(UPPER(C1171)&amp;REPT(" ",10),10)," ")</f>
        <v/>
      </c>
      <c r="T1171" s="10">
        <f>IF(A1171="D",LEFT(UPPER(D1171)&amp;REPT(" ",2),2)," ")</f>
        <v/>
      </c>
      <c r="U1171" s="10">
        <f>IF(A1171="D",LEFT(UPPER(E1171)&amp;REPT(" ",15),15)," ")</f>
        <v/>
      </c>
      <c r="V1171" s="10">
        <f>REPT(" ",24)</f>
        <v/>
      </c>
      <c r="W1171" s="10">
        <f>IF(A1171="c",LEFT(UPPER(B1171)&amp;REPT(" ",20),20),REPT(" ",20))</f>
        <v/>
      </c>
      <c r="X1171" s="10">
        <f>IF(A1171="C",LEFT(UPPER(C1171)&amp;REPT(" ",10),10)," ")</f>
        <v/>
      </c>
      <c r="Y1171" s="10">
        <f>IF(A1171="C",LEFT(UPPER(D1171)&amp;REPT(" ",2),2)," ")</f>
        <v/>
      </c>
      <c r="Z1171" s="10">
        <f>IF(A1171="C",LEFT(UPPER(E1171)&amp;REPT(" ",15),15)," ")</f>
        <v/>
      </c>
      <c r="AA1171" s="10">
        <f>REPT(" ",8)</f>
        <v/>
      </c>
      <c r="AB1171" s="10">
        <f>REPT(" ",4)</f>
        <v/>
      </c>
      <c r="AC1171" s="10">
        <f>LEFT(UPPER(H1171)&amp;REPT(" ",250),250)</f>
        <v/>
      </c>
      <c r="AD1171" s="10">
        <f>TEXT($G$2,"dd/mm/aaaa")</f>
        <v/>
      </c>
      <c r="AE1171" s="10">
        <f>REPT(" ",10)</f>
        <v/>
      </c>
      <c r="AF1171" s="10">
        <f>REPT(" ",20)</f>
        <v/>
      </c>
      <c r="AG1171" s="54">
        <f>REPT(" ",18-LEN(FIXED(F1171,2,TRUE)))&amp;FIXED(F1171,2,TRUE)</f>
        <v/>
      </c>
      <c r="AH1171" s="10">
        <f>LEN(AC1171)+LEN(AG1171)</f>
        <v/>
      </c>
      <c r="AI1171" s="10">
        <f>LEN(L1171)</f>
        <v/>
      </c>
    </row>
    <row r="1172">
      <c r="J1172" s="12">
        <f>IF(F1172&lt;&gt;0,"LANÇAR","")</f>
        <v/>
      </c>
      <c r="L1172" s="13">
        <f>N1172&amp;O1172&amp;P1172&amp;Q1172&amp;R1172&amp;S1172&amp;T1172&amp;U1172&amp;V1172&amp;W1172&amp;X1172&amp;Y1172&amp;Z1172&amp;AA1172&amp;AB1172&amp;AC1172&amp;AD1172&amp;AE1172&amp;AF1172&amp;AG1172</f>
        <v/>
      </c>
      <c r="N1172" s="10">
        <f>TEXT($B$6,"00")</f>
        <v/>
      </c>
      <c r="O1172" s="10">
        <f>REPT(" ",8)</f>
        <v/>
      </c>
      <c r="P1172" s="10">
        <f>RIGHT($B$4,2)</f>
        <v/>
      </c>
      <c r="Q1172" s="10">
        <f>RIGHT($B$5,3)</f>
        <v/>
      </c>
      <c r="R1172" s="10">
        <f>IF(A1172="D",LEFT(UPPER(B1172)&amp;REPT(" ",20),20),REPT(" ",20))</f>
        <v/>
      </c>
      <c r="S1172" s="10">
        <f>IF(A1172="D",LEFT(UPPER(C1172)&amp;REPT(" ",10),10)," ")</f>
        <v/>
      </c>
      <c r="T1172" s="10">
        <f>IF(A1172="D",LEFT(UPPER(D1172)&amp;REPT(" ",2),2)," ")</f>
        <v/>
      </c>
      <c r="U1172" s="10">
        <f>IF(A1172="D",LEFT(UPPER(E1172)&amp;REPT(" ",15),15)," ")</f>
        <v/>
      </c>
      <c r="V1172" s="10">
        <f>REPT(" ",24)</f>
        <v/>
      </c>
      <c r="W1172" s="10">
        <f>IF(A1172="c",LEFT(UPPER(B1172)&amp;REPT(" ",20),20),REPT(" ",20))</f>
        <v/>
      </c>
      <c r="X1172" s="10">
        <f>IF(A1172="C",LEFT(UPPER(C1172)&amp;REPT(" ",10),10)," ")</f>
        <v/>
      </c>
      <c r="Y1172" s="10">
        <f>IF(A1172="C",LEFT(UPPER(D1172)&amp;REPT(" ",2),2)," ")</f>
        <v/>
      </c>
      <c r="Z1172" s="10">
        <f>IF(A1172="C",LEFT(UPPER(E1172)&amp;REPT(" ",15),15)," ")</f>
        <v/>
      </c>
      <c r="AA1172" s="10">
        <f>REPT(" ",8)</f>
        <v/>
      </c>
      <c r="AB1172" s="10">
        <f>REPT(" ",4)</f>
        <v/>
      </c>
      <c r="AC1172" s="10">
        <f>LEFT(UPPER(H1172)&amp;REPT(" ",250),250)</f>
        <v/>
      </c>
      <c r="AD1172" s="10">
        <f>TEXT($G$2,"dd/mm/aaaa")</f>
        <v/>
      </c>
      <c r="AE1172" s="10">
        <f>REPT(" ",10)</f>
        <v/>
      </c>
      <c r="AF1172" s="10">
        <f>REPT(" ",20)</f>
        <v/>
      </c>
      <c r="AG1172" s="54">
        <f>REPT(" ",18-LEN(FIXED(F1172,2,TRUE)))&amp;FIXED(F1172,2,TRUE)</f>
        <v/>
      </c>
      <c r="AH1172" s="10">
        <f>LEN(AC1172)+LEN(AG1172)</f>
        <v/>
      </c>
      <c r="AI1172" s="10">
        <f>LEN(L1172)</f>
        <v/>
      </c>
    </row>
    <row r="1173">
      <c r="J1173" s="12">
        <f>IF(F1173&lt;&gt;0,"LANÇAR","")</f>
        <v/>
      </c>
      <c r="L1173" s="13">
        <f>N1173&amp;O1173&amp;P1173&amp;Q1173&amp;R1173&amp;S1173&amp;T1173&amp;U1173&amp;V1173&amp;W1173&amp;X1173&amp;Y1173&amp;Z1173&amp;AA1173&amp;AB1173&amp;AC1173&amp;AD1173&amp;AE1173&amp;AF1173&amp;AG1173</f>
        <v/>
      </c>
      <c r="N1173" s="10">
        <f>TEXT($B$6,"00")</f>
        <v/>
      </c>
      <c r="O1173" s="10">
        <f>REPT(" ",8)</f>
        <v/>
      </c>
      <c r="P1173" s="10">
        <f>RIGHT($B$4,2)</f>
        <v/>
      </c>
      <c r="Q1173" s="10">
        <f>RIGHT($B$5,3)</f>
        <v/>
      </c>
      <c r="R1173" s="10">
        <f>IF(A1173="D",LEFT(UPPER(B1173)&amp;REPT(" ",20),20),REPT(" ",20))</f>
        <v/>
      </c>
      <c r="S1173" s="10">
        <f>IF(A1173="D",LEFT(UPPER(C1173)&amp;REPT(" ",10),10)," ")</f>
        <v/>
      </c>
      <c r="T1173" s="10">
        <f>IF(A1173="D",LEFT(UPPER(D1173)&amp;REPT(" ",2),2)," ")</f>
        <v/>
      </c>
      <c r="U1173" s="10">
        <f>IF(A1173="D",LEFT(UPPER(E1173)&amp;REPT(" ",15),15)," ")</f>
        <v/>
      </c>
      <c r="V1173" s="10">
        <f>REPT(" ",24)</f>
        <v/>
      </c>
      <c r="W1173" s="10">
        <f>IF(A1173="c",LEFT(UPPER(B1173)&amp;REPT(" ",20),20),REPT(" ",20))</f>
        <v/>
      </c>
      <c r="X1173" s="10">
        <f>IF(A1173="C",LEFT(UPPER(C1173)&amp;REPT(" ",10),10)," ")</f>
        <v/>
      </c>
      <c r="Y1173" s="10">
        <f>IF(A1173="C",LEFT(UPPER(D1173)&amp;REPT(" ",2),2)," ")</f>
        <v/>
      </c>
      <c r="Z1173" s="10">
        <f>IF(A1173="C",LEFT(UPPER(E1173)&amp;REPT(" ",15),15)," ")</f>
        <v/>
      </c>
      <c r="AA1173" s="10">
        <f>REPT(" ",8)</f>
        <v/>
      </c>
      <c r="AB1173" s="10">
        <f>REPT(" ",4)</f>
        <v/>
      </c>
      <c r="AC1173" s="10">
        <f>LEFT(UPPER(H1173)&amp;REPT(" ",250),250)</f>
        <v/>
      </c>
      <c r="AD1173" s="10">
        <f>TEXT($G$2,"dd/mm/aaaa")</f>
        <v/>
      </c>
      <c r="AE1173" s="10">
        <f>REPT(" ",10)</f>
        <v/>
      </c>
      <c r="AF1173" s="10">
        <f>REPT(" ",20)</f>
        <v/>
      </c>
      <c r="AG1173" s="54">
        <f>REPT(" ",18-LEN(FIXED(F1173,2,TRUE)))&amp;FIXED(F1173,2,TRUE)</f>
        <v/>
      </c>
      <c r="AH1173" s="10">
        <f>LEN(AC1173)+LEN(AG1173)</f>
        <v/>
      </c>
      <c r="AI1173" s="10">
        <f>LEN(L1173)</f>
        <v/>
      </c>
    </row>
    <row r="1174">
      <c r="J1174" s="12">
        <f>IF(F1174&lt;&gt;0,"LANÇAR","")</f>
        <v/>
      </c>
      <c r="L1174" s="13">
        <f>N1174&amp;O1174&amp;P1174&amp;Q1174&amp;R1174&amp;S1174&amp;T1174&amp;U1174&amp;V1174&amp;W1174&amp;X1174&amp;Y1174&amp;Z1174&amp;AA1174&amp;AB1174&amp;AC1174&amp;AD1174&amp;AE1174&amp;AF1174&amp;AG1174</f>
        <v/>
      </c>
      <c r="N1174" s="10">
        <f>TEXT($B$6,"00")</f>
        <v/>
      </c>
      <c r="O1174" s="10">
        <f>REPT(" ",8)</f>
        <v/>
      </c>
      <c r="P1174" s="10">
        <f>RIGHT($B$4,2)</f>
        <v/>
      </c>
      <c r="Q1174" s="10">
        <f>RIGHT($B$5,3)</f>
        <v/>
      </c>
      <c r="R1174" s="10">
        <f>IF(A1174="D",LEFT(UPPER(B1174)&amp;REPT(" ",20),20),REPT(" ",20))</f>
        <v/>
      </c>
      <c r="S1174" s="10">
        <f>IF(A1174="D",LEFT(UPPER(C1174)&amp;REPT(" ",10),10)," ")</f>
        <v/>
      </c>
      <c r="T1174" s="10">
        <f>IF(A1174="D",LEFT(UPPER(D1174)&amp;REPT(" ",2),2)," ")</f>
        <v/>
      </c>
      <c r="U1174" s="10">
        <f>IF(A1174="D",LEFT(UPPER(E1174)&amp;REPT(" ",15),15)," ")</f>
        <v/>
      </c>
      <c r="V1174" s="10">
        <f>REPT(" ",24)</f>
        <v/>
      </c>
      <c r="W1174" s="10">
        <f>IF(A1174="c",LEFT(UPPER(B1174)&amp;REPT(" ",20),20),REPT(" ",20))</f>
        <v/>
      </c>
      <c r="X1174" s="10">
        <f>IF(A1174="C",LEFT(UPPER(C1174)&amp;REPT(" ",10),10)," ")</f>
        <v/>
      </c>
      <c r="Y1174" s="10">
        <f>IF(A1174="C",LEFT(UPPER(D1174)&amp;REPT(" ",2),2)," ")</f>
        <v/>
      </c>
      <c r="Z1174" s="10">
        <f>IF(A1174="C",LEFT(UPPER(E1174)&amp;REPT(" ",15),15)," ")</f>
        <v/>
      </c>
      <c r="AA1174" s="10">
        <f>REPT(" ",8)</f>
        <v/>
      </c>
      <c r="AB1174" s="10">
        <f>REPT(" ",4)</f>
        <v/>
      </c>
      <c r="AC1174" s="10">
        <f>LEFT(UPPER(H1174)&amp;REPT(" ",250),250)</f>
        <v/>
      </c>
      <c r="AD1174" s="10">
        <f>TEXT($G$2,"dd/mm/aaaa")</f>
        <v/>
      </c>
      <c r="AE1174" s="10">
        <f>REPT(" ",10)</f>
        <v/>
      </c>
      <c r="AF1174" s="10">
        <f>REPT(" ",20)</f>
        <v/>
      </c>
      <c r="AG1174" s="54">
        <f>REPT(" ",18-LEN(FIXED(F1174,2,TRUE)))&amp;FIXED(F1174,2,TRUE)</f>
        <v/>
      </c>
      <c r="AH1174" s="10">
        <f>LEN(AC1174)+LEN(AG1174)</f>
        <v/>
      </c>
      <c r="AI1174" s="10">
        <f>LEN(L1174)</f>
        <v/>
      </c>
    </row>
    <row r="1175">
      <c r="J1175" s="12">
        <f>IF(F1175&lt;&gt;0,"LANÇAR","")</f>
        <v/>
      </c>
      <c r="L1175" s="13">
        <f>N1175&amp;O1175&amp;P1175&amp;Q1175&amp;R1175&amp;S1175&amp;T1175&amp;U1175&amp;V1175&amp;W1175&amp;X1175&amp;Y1175&amp;Z1175&amp;AA1175&amp;AB1175&amp;AC1175&amp;AD1175&amp;AE1175&amp;AF1175&amp;AG1175</f>
        <v/>
      </c>
      <c r="N1175" s="10">
        <f>TEXT($B$6,"00")</f>
        <v/>
      </c>
      <c r="O1175" s="10">
        <f>REPT(" ",8)</f>
        <v/>
      </c>
      <c r="P1175" s="10">
        <f>RIGHT($B$4,2)</f>
        <v/>
      </c>
      <c r="Q1175" s="10">
        <f>RIGHT($B$5,3)</f>
        <v/>
      </c>
      <c r="R1175" s="10">
        <f>IF(A1175="D",LEFT(UPPER(B1175)&amp;REPT(" ",20),20),REPT(" ",20))</f>
        <v/>
      </c>
      <c r="S1175" s="10">
        <f>IF(A1175="D",LEFT(UPPER(C1175)&amp;REPT(" ",10),10)," ")</f>
        <v/>
      </c>
      <c r="T1175" s="10">
        <f>IF(A1175="D",LEFT(UPPER(D1175)&amp;REPT(" ",2),2)," ")</f>
        <v/>
      </c>
      <c r="U1175" s="10">
        <f>IF(A1175="D",LEFT(UPPER(E1175)&amp;REPT(" ",15),15)," ")</f>
        <v/>
      </c>
      <c r="V1175" s="10">
        <f>REPT(" ",24)</f>
        <v/>
      </c>
      <c r="W1175" s="10">
        <f>IF(A1175="c",LEFT(UPPER(B1175)&amp;REPT(" ",20),20),REPT(" ",20))</f>
        <v/>
      </c>
      <c r="X1175" s="10">
        <f>IF(A1175="C",LEFT(UPPER(C1175)&amp;REPT(" ",10),10)," ")</f>
        <v/>
      </c>
      <c r="Y1175" s="10">
        <f>IF(A1175="C",LEFT(UPPER(D1175)&amp;REPT(" ",2),2)," ")</f>
        <v/>
      </c>
      <c r="Z1175" s="10">
        <f>IF(A1175="C",LEFT(UPPER(E1175)&amp;REPT(" ",15),15)," ")</f>
        <v/>
      </c>
      <c r="AA1175" s="10">
        <f>REPT(" ",8)</f>
        <v/>
      </c>
      <c r="AB1175" s="10">
        <f>REPT(" ",4)</f>
        <v/>
      </c>
      <c r="AC1175" s="10">
        <f>LEFT(UPPER(H1175)&amp;REPT(" ",250),250)</f>
        <v/>
      </c>
      <c r="AD1175" s="10">
        <f>TEXT($G$2,"dd/mm/aaaa")</f>
        <v/>
      </c>
      <c r="AE1175" s="10">
        <f>REPT(" ",10)</f>
        <v/>
      </c>
      <c r="AF1175" s="10">
        <f>REPT(" ",20)</f>
        <v/>
      </c>
      <c r="AG1175" s="54">
        <f>REPT(" ",18-LEN(FIXED(F1175,2,TRUE)))&amp;FIXED(F1175,2,TRUE)</f>
        <v/>
      </c>
      <c r="AH1175" s="10">
        <f>LEN(AC1175)+LEN(AG1175)</f>
        <v/>
      </c>
      <c r="AI1175" s="10">
        <f>LEN(L1175)</f>
        <v/>
      </c>
    </row>
    <row r="1176">
      <c r="J1176" s="12">
        <f>IF(F1176&lt;&gt;0,"LANÇAR","")</f>
        <v/>
      </c>
      <c r="L1176" s="13">
        <f>N1176&amp;O1176&amp;P1176&amp;Q1176&amp;R1176&amp;S1176&amp;T1176&amp;U1176&amp;V1176&amp;W1176&amp;X1176&amp;Y1176&amp;Z1176&amp;AA1176&amp;AB1176&amp;AC1176&amp;AD1176&amp;AE1176&amp;AF1176&amp;AG1176</f>
        <v/>
      </c>
      <c r="N1176" s="10">
        <f>TEXT($B$6,"00")</f>
        <v/>
      </c>
      <c r="O1176" s="10">
        <f>REPT(" ",8)</f>
        <v/>
      </c>
      <c r="P1176" s="10">
        <f>RIGHT($B$4,2)</f>
        <v/>
      </c>
      <c r="Q1176" s="10">
        <f>RIGHT($B$5,3)</f>
        <v/>
      </c>
      <c r="R1176" s="10">
        <f>IF(A1176="D",LEFT(UPPER(B1176)&amp;REPT(" ",20),20),REPT(" ",20))</f>
        <v/>
      </c>
      <c r="S1176" s="10">
        <f>IF(A1176="D",LEFT(UPPER(C1176)&amp;REPT(" ",10),10)," ")</f>
        <v/>
      </c>
      <c r="T1176" s="10">
        <f>IF(A1176="D",LEFT(UPPER(D1176)&amp;REPT(" ",2),2)," ")</f>
        <v/>
      </c>
      <c r="U1176" s="10">
        <f>IF(A1176="D",LEFT(UPPER(E1176)&amp;REPT(" ",15),15)," ")</f>
        <v/>
      </c>
      <c r="V1176" s="10">
        <f>REPT(" ",24)</f>
        <v/>
      </c>
      <c r="W1176" s="10">
        <f>IF(A1176="c",LEFT(UPPER(B1176)&amp;REPT(" ",20),20),REPT(" ",20))</f>
        <v/>
      </c>
      <c r="X1176" s="10">
        <f>IF(A1176="C",LEFT(UPPER(C1176)&amp;REPT(" ",10),10)," ")</f>
        <v/>
      </c>
      <c r="Y1176" s="10">
        <f>IF(A1176="C",LEFT(UPPER(D1176)&amp;REPT(" ",2),2)," ")</f>
        <v/>
      </c>
      <c r="Z1176" s="10">
        <f>IF(A1176="C",LEFT(UPPER(E1176)&amp;REPT(" ",15),15)," ")</f>
        <v/>
      </c>
      <c r="AA1176" s="10">
        <f>REPT(" ",8)</f>
        <v/>
      </c>
      <c r="AB1176" s="10">
        <f>REPT(" ",4)</f>
        <v/>
      </c>
      <c r="AC1176" s="10">
        <f>LEFT(UPPER(H1176)&amp;REPT(" ",250),250)</f>
        <v/>
      </c>
      <c r="AD1176" s="10">
        <f>TEXT($G$2,"dd/mm/aaaa")</f>
        <v/>
      </c>
      <c r="AE1176" s="10">
        <f>REPT(" ",10)</f>
        <v/>
      </c>
      <c r="AF1176" s="10">
        <f>REPT(" ",20)</f>
        <v/>
      </c>
      <c r="AG1176" s="54">
        <f>REPT(" ",18-LEN(FIXED(F1176,2,TRUE)))&amp;FIXED(F1176,2,TRUE)</f>
        <v/>
      </c>
      <c r="AH1176" s="10">
        <f>LEN(AC1176)+LEN(AG1176)</f>
        <v/>
      </c>
      <c r="AI1176" s="10">
        <f>LEN(L1176)</f>
        <v/>
      </c>
    </row>
    <row r="1177">
      <c r="J1177" s="12">
        <f>IF(F1177&lt;&gt;0,"LANÇAR","")</f>
        <v/>
      </c>
      <c r="L1177" s="13">
        <f>N1177&amp;O1177&amp;P1177&amp;Q1177&amp;R1177&amp;S1177&amp;T1177&amp;U1177&amp;V1177&amp;W1177&amp;X1177&amp;Y1177&amp;Z1177&amp;AA1177&amp;AB1177&amp;AC1177&amp;AD1177&amp;AE1177&amp;AF1177&amp;AG1177</f>
        <v/>
      </c>
      <c r="N1177" s="10">
        <f>TEXT($B$6,"00")</f>
        <v/>
      </c>
      <c r="O1177" s="10">
        <f>REPT(" ",8)</f>
        <v/>
      </c>
      <c r="P1177" s="10">
        <f>RIGHT($B$4,2)</f>
        <v/>
      </c>
      <c r="Q1177" s="10">
        <f>RIGHT($B$5,3)</f>
        <v/>
      </c>
      <c r="R1177" s="10">
        <f>IF(A1177="D",LEFT(UPPER(B1177)&amp;REPT(" ",20),20),REPT(" ",20))</f>
        <v/>
      </c>
      <c r="S1177" s="10">
        <f>IF(A1177="D",LEFT(UPPER(C1177)&amp;REPT(" ",10),10)," ")</f>
        <v/>
      </c>
      <c r="T1177" s="10">
        <f>IF(A1177="D",LEFT(UPPER(D1177)&amp;REPT(" ",2),2)," ")</f>
        <v/>
      </c>
      <c r="U1177" s="10">
        <f>IF(A1177="D",LEFT(UPPER(E1177)&amp;REPT(" ",15),15)," ")</f>
        <v/>
      </c>
      <c r="V1177" s="10">
        <f>REPT(" ",24)</f>
        <v/>
      </c>
      <c r="W1177" s="10">
        <f>IF(A1177="c",LEFT(UPPER(B1177)&amp;REPT(" ",20),20),REPT(" ",20))</f>
        <v/>
      </c>
      <c r="X1177" s="10">
        <f>IF(A1177="C",LEFT(UPPER(C1177)&amp;REPT(" ",10),10)," ")</f>
        <v/>
      </c>
      <c r="Y1177" s="10">
        <f>IF(A1177="C",LEFT(UPPER(D1177)&amp;REPT(" ",2),2)," ")</f>
        <v/>
      </c>
      <c r="Z1177" s="10">
        <f>IF(A1177="C",LEFT(UPPER(E1177)&amp;REPT(" ",15),15)," ")</f>
        <v/>
      </c>
      <c r="AA1177" s="10">
        <f>REPT(" ",8)</f>
        <v/>
      </c>
      <c r="AB1177" s="10">
        <f>REPT(" ",4)</f>
        <v/>
      </c>
      <c r="AC1177" s="10">
        <f>LEFT(UPPER(H1177)&amp;REPT(" ",250),250)</f>
        <v/>
      </c>
      <c r="AD1177" s="10">
        <f>TEXT($G$2,"dd/mm/aaaa")</f>
        <v/>
      </c>
      <c r="AE1177" s="10">
        <f>REPT(" ",10)</f>
        <v/>
      </c>
      <c r="AF1177" s="10">
        <f>REPT(" ",20)</f>
        <v/>
      </c>
      <c r="AG1177" s="54">
        <f>REPT(" ",18-LEN(FIXED(F1177,2,TRUE)))&amp;FIXED(F1177,2,TRUE)</f>
        <v/>
      </c>
      <c r="AH1177" s="10">
        <f>LEN(AC1177)+LEN(AG1177)</f>
        <v/>
      </c>
      <c r="AI1177" s="10">
        <f>LEN(L1177)</f>
        <v/>
      </c>
    </row>
    <row r="1178">
      <c r="J1178" s="12">
        <f>IF(F1178&lt;&gt;0,"LANÇAR","")</f>
        <v/>
      </c>
      <c r="L1178" s="13">
        <f>N1178&amp;O1178&amp;P1178&amp;Q1178&amp;R1178&amp;S1178&amp;T1178&amp;U1178&amp;V1178&amp;W1178&amp;X1178&amp;Y1178&amp;Z1178&amp;AA1178&amp;AB1178&amp;AC1178&amp;AD1178&amp;AE1178&amp;AF1178&amp;AG1178</f>
        <v/>
      </c>
      <c r="N1178" s="10">
        <f>TEXT($B$6,"00")</f>
        <v/>
      </c>
      <c r="O1178" s="10">
        <f>REPT(" ",8)</f>
        <v/>
      </c>
      <c r="P1178" s="10">
        <f>RIGHT($B$4,2)</f>
        <v/>
      </c>
      <c r="Q1178" s="10">
        <f>RIGHT($B$5,3)</f>
        <v/>
      </c>
      <c r="R1178" s="10">
        <f>IF(A1178="D",LEFT(UPPER(B1178)&amp;REPT(" ",20),20),REPT(" ",20))</f>
        <v/>
      </c>
      <c r="S1178" s="10">
        <f>IF(A1178="D",LEFT(UPPER(C1178)&amp;REPT(" ",10),10)," ")</f>
        <v/>
      </c>
      <c r="T1178" s="10">
        <f>IF(A1178="D",LEFT(UPPER(D1178)&amp;REPT(" ",2),2)," ")</f>
        <v/>
      </c>
      <c r="U1178" s="10">
        <f>IF(A1178="D",LEFT(UPPER(E1178)&amp;REPT(" ",15),15)," ")</f>
        <v/>
      </c>
      <c r="V1178" s="10">
        <f>REPT(" ",24)</f>
        <v/>
      </c>
      <c r="W1178" s="10">
        <f>IF(A1178="c",LEFT(UPPER(B1178)&amp;REPT(" ",20),20),REPT(" ",20))</f>
        <v/>
      </c>
      <c r="X1178" s="10">
        <f>IF(A1178="C",LEFT(UPPER(C1178)&amp;REPT(" ",10),10)," ")</f>
        <v/>
      </c>
      <c r="Y1178" s="10">
        <f>IF(A1178="C",LEFT(UPPER(D1178)&amp;REPT(" ",2),2)," ")</f>
        <v/>
      </c>
      <c r="Z1178" s="10">
        <f>IF(A1178="C",LEFT(UPPER(E1178)&amp;REPT(" ",15),15)," ")</f>
        <v/>
      </c>
      <c r="AA1178" s="10">
        <f>REPT(" ",8)</f>
        <v/>
      </c>
      <c r="AB1178" s="10">
        <f>REPT(" ",4)</f>
        <v/>
      </c>
      <c r="AC1178" s="10">
        <f>LEFT(UPPER(H1178)&amp;REPT(" ",250),250)</f>
        <v/>
      </c>
      <c r="AD1178" s="10">
        <f>TEXT($G$2,"dd/mm/aaaa")</f>
        <v/>
      </c>
      <c r="AE1178" s="10">
        <f>REPT(" ",10)</f>
        <v/>
      </c>
      <c r="AF1178" s="10">
        <f>REPT(" ",20)</f>
        <v/>
      </c>
      <c r="AG1178" s="54">
        <f>REPT(" ",18-LEN(FIXED(F1178,2,TRUE)))&amp;FIXED(F1178,2,TRUE)</f>
        <v/>
      </c>
      <c r="AH1178" s="10">
        <f>LEN(AC1178)+LEN(AG1178)</f>
        <v/>
      </c>
      <c r="AI1178" s="10">
        <f>LEN(L1178)</f>
        <v/>
      </c>
    </row>
    <row r="1179">
      <c r="J1179" s="12">
        <f>IF(F1179&lt;&gt;0,"LANÇAR","")</f>
        <v/>
      </c>
      <c r="L1179" s="13">
        <f>N1179&amp;O1179&amp;P1179&amp;Q1179&amp;R1179&amp;S1179&amp;T1179&amp;U1179&amp;V1179&amp;W1179&amp;X1179&amp;Y1179&amp;Z1179&amp;AA1179&amp;AB1179&amp;AC1179&amp;AD1179&amp;AE1179&amp;AF1179&amp;AG1179</f>
        <v/>
      </c>
      <c r="N1179" s="10">
        <f>TEXT($B$6,"00")</f>
        <v/>
      </c>
      <c r="O1179" s="10">
        <f>REPT(" ",8)</f>
        <v/>
      </c>
      <c r="P1179" s="10">
        <f>RIGHT($B$4,2)</f>
        <v/>
      </c>
      <c r="Q1179" s="10">
        <f>RIGHT($B$5,3)</f>
        <v/>
      </c>
      <c r="R1179" s="10">
        <f>IF(A1179="D",LEFT(UPPER(B1179)&amp;REPT(" ",20),20),REPT(" ",20))</f>
        <v/>
      </c>
      <c r="S1179" s="10">
        <f>IF(A1179="D",LEFT(UPPER(C1179)&amp;REPT(" ",10),10)," ")</f>
        <v/>
      </c>
      <c r="T1179" s="10">
        <f>IF(A1179="D",LEFT(UPPER(D1179)&amp;REPT(" ",2),2)," ")</f>
        <v/>
      </c>
      <c r="U1179" s="10">
        <f>IF(A1179="D",LEFT(UPPER(E1179)&amp;REPT(" ",15),15)," ")</f>
        <v/>
      </c>
      <c r="V1179" s="10">
        <f>REPT(" ",24)</f>
        <v/>
      </c>
      <c r="W1179" s="10">
        <f>IF(A1179="c",LEFT(UPPER(B1179)&amp;REPT(" ",20),20),REPT(" ",20))</f>
        <v/>
      </c>
      <c r="X1179" s="10">
        <f>IF(A1179="C",LEFT(UPPER(C1179)&amp;REPT(" ",10),10)," ")</f>
        <v/>
      </c>
      <c r="Y1179" s="10">
        <f>IF(A1179="C",LEFT(UPPER(D1179)&amp;REPT(" ",2),2)," ")</f>
        <v/>
      </c>
      <c r="Z1179" s="10">
        <f>IF(A1179="C",LEFT(UPPER(E1179)&amp;REPT(" ",15),15)," ")</f>
        <v/>
      </c>
      <c r="AA1179" s="10">
        <f>REPT(" ",8)</f>
        <v/>
      </c>
      <c r="AB1179" s="10">
        <f>REPT(" ",4)</f>
        <v/>
      </c>
      <c r="AC1179" s="10">
        <f>LEFT(UPPER(H1179)&amp;REPT(" ",250),250)</f>
        <v/>
      </c>
      <c r="AD1179" s="10">
        <f>TEXT($G$2,"dd/mm/aaaa")</f>
        <v/>
      </c>
      <c r="AE1179" s="10">
        <f>REPT(" ",10)</f>
        <v/>
      </c>
      <c r="AF1179" s="10">
        <f>REPT(" ",20)</f>
        <v/>
      </c>
      <c r="AG1179" s="54">
        <f>REPT(" ",18-LEN(FIXED(F1179,2,TRUE)))&amp;FIXED(F1179,2,TRUE)</f>
        <v/>
      </c>
      <c r="AH1179" s="10">
        <f>LEN(AC1179)+LEN(AG1179)</f>
        <v/>
      </c>
      <c r="AI1179" s="10">
        <f>LEN(L1179)</f>
        <v/>
      </c>
    </row>
    <row r="1180">
      <c r="J1180" s="12">
        <f>IF(F1180&lt;&gt;0,"LANÇAR","")</f>
        <v/>
      </c>
      <c r="L1180" s="13">
        <f>N1180&amp;O1180&amp;P1180&amp;Q1180&amp;R1180&amp;S1180&amp;T1180&amp;U1180&amp;V1180&amp;W1180&amp;X1180&amp;Y1180&amp;Z1180&amp;AA1180&amp;AB1180&amp;AC1180&amp;AD1180&amp;AE1180&amp;AF1180&amp;AG1180</f>
        <v/>
      </c>
      <c r="N1180" s="10">
        <f>TEXT($B$6,"00")</f>
        <v/>
      </c>
      <c r="O1180" s="10">
        <f>REPT(" ",8)</f>
        <v/>
      </c>
      <c r="P1180" s="10">
        <f>RIGHT($B$4,2)</f>
        <v/>
      </c>
      <c r="Q1180" s="10">
        <f>RIGHT($B$5,3)</f>
        <v/>
      </c>
      <c r="R1180" s="10">
        <f>IF(A1180="D",LEFT(UPPER(B1180)&amp;REPT(" ",20),20),REPT(" ",20))</f>
        <v/>
      </c>
      <c r="S1180" s="10">
        <f>IF(A1180="D",LEFT(UPPER(C1180)&amp;REPT(" ",10),10)," ")</f>
        <v/>
      </c>
      <c r="T1180" s="10">
        <f>IF(A1180="D",LEFT(UPPER(D1180)&amp;REPT(" ",2),2)," ")</f>
        <v/>
      </c>
      <c r="U1180" s="10">
        <f>IF(A1180="D",LEFT(UPPER(E1180)&amp;REPT(" ",15),15)," ")</f>
        <v/>
      </c>
      <c r="V1180" s="10">
        <f>REPT(" ",24)</f>
        <v/>
      </c>
      <c r="W1180" s="10">
        <f>IF(A1180="c",LEFT(UPPER(B1180)&amp;REPT(" ",20),20),REPT(" ",20))</f>
        <v/>
      </c>
      <c r="X1180" s="10">
        <f>IF(A1180="C",LEFT(UPPER(C1180)&amp;REPT(" ",10),10)," ")</f>
        <v/>
      </c>
      <c r="Y1180" s="10">
        <f>IF(A1180="C",LEFT(UPPER(D1180)&amp;REPT(" ",2),2)," ")</f>
        <v/>
      </c>
      <c r="Z1180" s="10">
        <f>IF(A1180="C",LEFT(UPPER(E1180)&amp;REPT(" ",15),15)," ")</f>
        <v/>
      </c>
      <c r="AA1180" s="10">
        <f>REPT(" ",8)</f>
        <v/>
      </c>
      <c r="AB1180" s="10">
        <f>REPT(" ",4)</f>
        <v/>
      </c>
      <c r="AC1180" s="10">
        <f>LEFT(UPPER(H1180)&amp;REPT(" ",250),250)</f>
        <v/>
      </c>
      <c r="AD1180" s="10">
        <f>TEXT($G$2,"dd/mm/aaaa")</f>
        <v/>
      </c>
      <c r="AE1180" s="10">
        <f>REPT(" ",10)</f>
        <v/>
      </c>
      <c r="AF1180" s="10">
        <f>REPT(" ",20)</f>
        <v/>
      </c>
      <c r="AG1180" s="54">
        <f>REPT(" ",18-LEN(FIXED(F1180,2,TRUE)))&amp;FIXED(F1180,2,TRUE)</f>
        <v/>
      </c>
      <c r="AH1180" s="10">
        <f>LEN(AC1180)+LEN(AG1180)</f>
        <v/>
      </c>
      <c r="AI1180" s="10">
        <f>LEN(L1180)</f>
        <v/>
      </c>
    </row>
    <row r="1181">
      <c r="J1181" s="12">
        <f>IF(F1181&lt;&gt;0,"LANÇAR","")</f>
        <v/>
      </c>
      <c r="L1181" s="13">
        <f>N1181&amp;O1181&amp;P1181&amp;Q1181&amp;R1181&amp;S1181&amp;T1181&amp;U1181&amp;V1181&amp;W1181&amp;X1181&amp;Y1181&amp;Z1181&amp;AA1181&amp;AB1181&amp;AC1181&amp;AD1181&amp;AE1181&amp;AF1181&amp;AG1181</f>
        <v/>
      </c>
      <c r="N1181" s="10">
        <f>TEXT($B$6,"00")</f>
        <v/>
      </c>
      <c r="O1181" s="10">
        <f>REPT(" ",8)</f>
        <v/>
      </c>
      <c r="P1181" s="10">
        <f>RIGHT($B$4,2)</f>
        <v/>
      </c>
      <c r="Q1181" s="10">
        <f>RIGHT($B$5,3)</f>
        <v/>
      </c>
      <c r="R1181" s="10">
        <f>IF(A1181="D",LEFT(UPPER(B1181)&amp;REPT(" ",20),20),REPT(" ",20))</f>
        <v/>
      </c>
      <c r="S1181" s="10">
        <f>IF(A1181="D",LEFT(UPPER(C1181)&amp;REPT(" ",10),10)," ")</f>
        <v/>
      </c>
      <c r="T1181" s="10">
        <f>IF(A1181="D",LEFT(UPPER(D1181)&amp;REPT(" ",2),2)," ")</f>
        <v/>
      </c>
      <c r="U1181" s="10">
        <f>IF(A1181="D",LEFT(UPPER(E1181)&amp;REPT(" ",15),15)," ")</f>
        <v/>
      </c>
      <c r="V1181" s="10">
        <f>REPT(" ",24)</f>
        <v/>
      </c>
      <c r="W1181" s="10">
        <f>IF(A1181="c",LEFT(UPPER(B1181)&amp;REPT(" ",20),20),REPT(" ",20))</f>
        <v/>
      </c>
      <c r="X1181" s="10">
        <f>IF(A1181="C",LEFT(UPPER(C1181)&amp;REPT(" ",10),10)," ")</f>
        <v/>
      </c>
      <c r="Y1181" s="10">
        <f>IF(A1181="C",LEFT(UPPER(D1181)&amp;REPT(" ",2),2)," ")</f>
        <v/>
      </c>
      <c r="Z1181" s="10">
        <f>IF(A1181="C",LEFT(UPPER(E1181)&amp;REPT(" ",15),15)," ")</f>
        <v/>
      </c>
      <c r="AA1181" s="10">
        <f>REPT(" ",8)</f>
        <v/>
      </c>
      <c r="AB1181" s="10">
        <f>REPT(" ",4)</f>
        <v/>
      </c>
      <c r="AC1181" s="10">
        <f>LEFT(UPPER(H1181)&amp;REPT(" ",250),250)</f>
        <v/>
      </c>
      <c r="AD1181" s="10">
        <f>TEXT($G$2,"dd/mm/aaaa")</f>
        <v/>
      </c>
      <c r="AE1181" s="10">
        <f>REPT(" ",10)</f>
        <v/>
      </c>
      <c r="AF1181" s="10">
        <f>REPT(" ",20)</f>
        <v/>
      </c>
      <c r="AG1181" s="54">
        <f>REPT(" ",18-LEN(FIXED(F1181,2,TRUE)))&amp;FIXED(F1181,2,TRUE)</f>
        <v/>
      </c>
      <c r="AH1181" s="10">
        <f>LEN(AC1181)+LEN(AG1181)</f>
        <v/>
      </c>
      <c r="AI1181" s="10">
        <f>LEN(L1181)</f>
        <v/>
      </c>
    </row>
    <row r="1182">
      <c r="J1182" s="12">
        <f>IF(F1182&lt;&gt;0,"LANÇAR","")</f>
        <v/>
      </c>
      <c r="L1182" s="13">
        <f>N1182&amp;O1182&amp;P1182&amp;Q1182&amp;R1182&amp;S1182&amp;T1182&amp;U1182&amp;V1182&amp;W1182&amp;X1182&amp;Y1182&amp;Z1182&amp;AA1182&amp;AB1182&amp;AC1182&amp;AD1182&amp;AE1182&amp;AF1182&amp;AG1182</f>
        <v/>
      </c>
      <c r="N1182" s="10">
        <f>TEXT($B$6,"00")</f>
        <v/>
      </c>
      <c r="O1182" s="10">
        <f>REPT(" ",8)</f>
        <v/>
      </c>
      <c r="P1182" s="10">
        <f>RIGHT($B$4,2)</f>
        <v/>
      </c>
      <c r="Q1182" s="10">
        <f>RIGHT($B$5,3)</f>
        <v/>
      </c>
      <c r="R1182" s="10">
        <f>IF(A1182="D",LEFT(UPPER(B1182)&amp;REPT(" ",20),20),REPT(" ",20))</f>
        <v/>
      </c>
      <c r="S1182" s="10">
        <f>IF(A1182="D",LEFT(UPPER(C1182)&amp;REPT(" ",10),10)," ")</f>
        <v/>
      </c>
      <c r="T1182" s="10">
        <f>IF(A1182="D",LEFT(UPPER(D1182)&amp;REPT(" ",2),2)," ")</f>
        <v/>
      </c>
      <c r="U1182" s="10">
        <f>IF(A1182="D",LEFT(UPPER(E1182)&amp;REPT(" ",15),15)," ")</f>
        <v/>
      </c>
      <c r="V1182" s="10">
        <f>REPT(" ",24)</f>
        <v/>
      </c>
      <c r="W1182" s="10">
        <f>IF(A1182="c",LEFT(UPPER(B1182)&amp;REPT(" ",20),20),REPT(" ",20))</f>
        <v/>
      </c>
      <c r="X1182" s="10">
        <f>IF(A1182="C",LEFT(UPPER(C1182)&amp;REPT(" ",10),10)," ")</f>
        <v/>
      </c>
      <c r="Y1182" s="10">
        <f>IF(A1182="C",LEFT(UPPER(D1182)&amp;REPT(" ",2),2)," ")</f>
        <v/>
      </c>
      <c r="Z1182" s="10">
        <f>IF(A1182="C",LEFT(UPPER(E1182)&amp;REPT(" ",15),15)," ")</f>
        <v/>
      </c>
      <c r="AA1182" s="10">
        <f>REPT(" ",8)</f>
        <v/>
      </c>
      <c r="AB1182" s="10">
        <f>REPT(" ",4)</f>
        <v/>
      </c>
      <c r="AC1182" s="10">
        <f>LEFT(UPPER(H1182)&amp;REPT(" ",250),250)</f>
        <v/>
      </c>
      <c r="AD1182" s="10">
        <f>TEXT($G$2,"dd/mm/aaaa")</f>
        <v/>
      </c>
      <c r="AE1182" s="10">
        <f>REPT(" ",10)</f>
        <v/>
      </c>
      <c r="AF1182" s="10">
        <f>REPT(" ",20)</f>
        <v/>
      </c>
      <c r="AG1182" s="54">
        <f>REPT(" ",18-LEN(FIXED(F1182,2,TRUE)))&amp;FIXED(F1182,2,TRUE)</f>
        <v/>
      </c>
      <c r="AH1182" s="10">
        <f>LEN(AC1182)+LEN(AG1182)</f>
        <v/>
      </c>
      <c r="AI1182" s="10">
        <f>LEN(L1182)</f>
        <v/>
      </c>
    </row>
    <row r="1183">
      <c r="J1183" s="12">
        <f>IF(F1183&lt;&gt;0,"LANÇAR","")</f>
        <v/>
      </c>
      <c r="L1183" s="13">
        <f>N1183&amp;O1183&amp;P1183&amp;Q1183&amp;R1183&amp;S1183&amp;T1183&amp;U1183&amp;V1183&amp;W1183&amp;X1183&amp;Y1183&amp;Z1183&amp;AA1183&amp;AB1183&amp;AC1183&amp;AD1183&amp;AE1183&amp;AF1183&amp;AG1183</f>
        <v/>
      </c>
      <c r="N1183" s="10">
        <f>TEXT($B$6,"00")</f>
        <v/>
      </c>
      <c r="O1183" s="10">
        <f>REPT(" ",8)</f>
        <v/>
      </c>
      <c r="P1183" s="10">
        <f>RIGHT($B$4,2)</f>
        <v/>
      </c>
      <c r="Q1183" s="10">
        <f>RIGHT($B$5,3)</f>
        <v/>
      </c>
      <c r="R1183" s="10">
        <f>IF(A1183="D",LEFT(UPPER(B1183)&amp;REPT(" ",20),20),REPT(" ",20))</f>
        <v/>
      </c>
      <c r="S1183" s="10">
        <f>IF(A1183="D",LEFT(UPPER(C1183)&amp;REPT(" ",10),10)," ")</f>
        <v/>
      </c>
      <c r="T1183" s="10">
        <f>IF(A1183="D",LEFT(UPPER(D1183)&amp;REPT(" ",2),2)," ")</f>
        <v/>
      </c>
      <c r="U1183" s="10">
        <f>IF(A1183="D",LEFT(UPPER(E1183)&amp;REPT(" ",15),15)," ")</f>
        <v/>
      </c>
      <c r="V1183" s="10">
        <f>REPT(" ",24)</f>
        <v/>
      </c>
      <c r="W1183" s="10">
        <f>IF(A1183="c",LEFT(UPPER(B1183)&amp;REPT(" ",20),20),REPT(" ",20))</f>
        <v/>
      </c>
      <c r="X1183" s="10">
        <f>IF(A1183="C",LEFT(UPPER(C1183)&amp;REPT(" ",10),10)," ")</f>
        <v/>
      </c>
      <c r="Y1183" s="10">
        <f>IF(A1183="C",LEFT(UPPER(D1183)&amp;REPT(" ",2),2)," ")</f>
        <v/>
      </c>
      <c r="Z1183" s="10">
        <f>IF(A1183="C",LEFT(UPPER(E1183)&amp;REPT(" ",15),15)," ")</f>
        <v/>
      </c>
      <c r="AA1183" s="10">
        <f>REPT(" ",8)</f>
        <v/>
      </c>
      <c r="AB1183" s="10">
        <f>REPT(" ",4)</f>
        <v/>
      </c>
      <c r="AC1183" s="10">
        <f>LEFT(UPPER(H1183)&amp;REPT(" ",250),250)</f>
        <v/>
      </c>
      <c r="AD1183" s="10">
        <f>TEXT($G$2,"dd/mm/aaaa")</f>
        <v/>
      </c>
      <c r="AE1183" s="10">
        <f>REPT(" ",10)</f>
        <v/>
      </c>
      <c r="AF1183" s="10">
        <f>REPT(" ",20)</f>
        <v/>
      </c>
      <c r="AG1183" s="54">
        <f>REPT(" ",18-LEN(FIXED(F1183,2,TRUE)))&amp;FIXED(F1183,2,TRUE)</f>
        <v/>
      </c>
      <c r="AH1183" s="10">
        <f>LEN(AC1183)+LEN(AG1183)</f>
        <v/>
      </c>
      <c r="AI1183" s="10">
        <f>LEN(L1183)</f>
        <v/>
      </c>
    </row>
    <row r="1184">
      <c r="J1184" s="12">
        <f>IF(F1184&lt;&gt;0,"LANÇAR","")</f>
        <v/>
      </c>
      <c r="L1184" s="13">
        <f>N1184&amp;O1184&amp;P1184&amp;Q1184&amp;R1184&amp;S1184&amp;T1184&amp;U1184&amp;V1184&amp;W1184&amp;X1184&amp;Y1184&amp;Z1184&amp;AA1184&amp;AB1184&amp;AC1184&amp;AD1184&amp;AE1184&amp;AF1184&amp;AG1184</f>
        <v/>
      </c>
      <c r="N1184" s="10">
        <f>TEXT($B$6,"00")</f>
        <v/>
      </c>
      <c r="O1184" s="10">
        <f>REPT(" ",8)</f>
        <v/>
      </c>
      <c r="P1184" s="10">
        <f>RIGHT($B$4,2)</f>
        <v/>
      </c>
      <c r="Q1184" s="10">
        <f>RIGHT($B$5,3)</f>
        <v/>
      </c>
      <c r="R1184" s="10">
        <f>IF(A1184="D",LEFT(UPPER(B1184)&amp;REPT(" ",20),20),REPT(" ",20))</f>
        <v/>
      </c>
      <c r="S1184" s="10">
        <f>IF(A1184="D",LEFT(UPPER(C1184)&amp;REPT(" ",10),10)," ")</f>
        <v/>
      </c>
      <c r="T1184" s="10">
        <f>IF(A1184="D",LEFT(UPPER(D1184)&amp;REPT(" ",2),2)," ")</f>
        <v/>
      </c>
      <c r="U1184" s="10">
        <f>IF(A1184="D",LEFT(UPPER(E1184)&amp;REPT(" ",15),15)," ")</f>
        <v/>
      </c>
      <c r="V1184" s="10">
        <f>REPT(" ",24)</f>
        <v/>
      </c>
      <c r="W1184" s="10">
        <f>IF(A1184="c",LEFT(UPPER(B1184)&amp;REPT(" ",20),20),REPT(" ",20))</f>
        <v/>
      </c>
      <c r="X1184" s="10">
        <f>IF(A1184="C",LEFT(UPPER(C1184)&amp;REPT(" ",10),10)," ")</f>
        <v/>
      </c>
      <c r="Y1184" s="10">
        <f>IF(A1184="C",LEFT(UPPER(D1184)&amp;REPT(" ",2),2)," ")</f>
        <v/>
      </c>
      <c r="Z1184" s="10">
        <f>IF(A1184="C",LEFT(UPPER(E1184)&amp;REPT(" ",15),15)," ")</f>
        <v/>
      </c>
      <c r="AA1184" s="10">
        <f>REPT(" ",8)</f>
        <v/>
      </c>
      <c r="AB1184" s="10">
        <f>REPT(" ",4)</f>
        <v/>
      </c>
      <c r="AC1184" s="10">
        <f>LEFT(UPPER(H1184)&amp;REPT(" ",250),250)</f>
        <v/>
      </c>
      <c r="AD1184" s="10">
        <f>TEXT($G$2,"dd/mm/aaaa")</f>
        <v/>
      </c>
      <c r="AE1184" s="10">
        <f>REPT(" ",10)</f>
        <v/>
      </c>
      <c r="AF1184" s="10">
        <f>REPT(" ",20)</f>
        <v/>
      </c>
      <c r="AG1184" s="54">
        <f>REPT(" ",18-LEN(FIXED(F1184,2,TRUE)))&amp;FIXED(F1184,2,TRUE)</f>
        <v/>
      </c>
      <c r="AH1184" s="10">
        <f>LEN(AC1184)+LEN(AG1184)</f>
        <v/>
      </c>
      <c r="AI1184" s="10">
        <f>LEN(L1184)</f>
        <v/>
      </c>
    </row>
    <row r="1185">
      <c r="J1185" s="12">
        <f>IF(F1185&lt;&gt;0,"LANÇAR","")</f>
        <v/>
      </c>
      <c r="L1185" s="13">
        <f>N1185&amp;O1185&amp;P1185&amp;Q1185&amp;R1185&amp;S1185&amp;T1185&amp;U1185&amp;V1185&amp;W1185&amp;X1185&amp;Y1185&amp;Z1185&amp;AA1185&amp;AB1185&amp;AC1185&amp;AD1185&amp;AE1185&amp;AF1185&amp;AG1185</f>
        <v/>
      </c>
      <c r="N1185" s="10">
        <f>TEXT($B$6,"00")</f>
        <v/>
      </c>
      <c r="O1185" s="10">
        <f>REPT(" ",8)</f>
        <v/>
      </c>
      <c r="P1185" s="10">
        <f>RIGHT($B$4,2)</f>
        <v/>
      </c>
      <c r="Q1185" s="10">
        <f>RIGHT($B$5,3)</f>
        <v/>
      </c>
      <c r="R1185" s="10">
        <f>IF(A1185="D",LEFT(UPPER(B1185)&amp;REPT(" ",20),20),REPT(" ",20))</f>
        <v/>
      </c>
      <c r="S1185" s="10">
        <f>IF(A1185="D",LEFT(UPPER(C1185)&amp;REPT(" ",10),10)," ")</f>
        <v/>
      </c>
      <c r="T1185" s="10">
        <f>IF(A1185="D",LEFT(UPPER(D1185)&amp;REPT(" ",2),2)," ")</f>
        <v/>
      </c>
      <c r="U1185" s="10">
        <f>IF(A1185="D",LEFT(UPPER(E1185)&amp;REPT(" ",15),15)," ")</f>
        <v/>
      </c>
      <c r="V1185" s="10">
        <f>REPT(" ",24)</f>
        <v/>
      </c>
      <c r="W1185" s="10">
        <f>IF(A1185="c",LEFT(UPPER(B1185)&amp;REPT(" ",20),20),REPT(" ",20))</f>
        <v/>
      </c>
      <c r="X1185" s="10">
        <f>IF(A1185="C",LEFT(UPPER(C1185)&amp;REPT(" ",10),10)," ")</f>
        <v/>
      </c>
      <c r="Y1185" s="10">
        <f>IF(A1185="C",LEFT(UPPER(D1185)&amp;REPT(" ",2),2)," ")</f>
        <v/>
      </c>
      <c r="Z1185" s="10">
        <f>IF(A1185="C",LEFT(UPPER(E1185)&amp;REPT(" ",15),15)," ")</f>
        <v/>
      </c>
      <c r="AA1185" s="10">
        <f>REPT(" ",8)</f>
        <v/>
      </c>
      <c r="AB1185" s="10">
        <f>REPT(" ",4)</f>
        <v/>
      </c>
      <c r="AC1185" s="10">
        <f>LEFT(UPPER(H1185)&amp;REPT(" ",250),250)</f>
        <v/>
      </c>
      <c r="AD1185" s="10">
        <f>TEXT($G$2,"dd/mm/aaaa")</f>
        <v/>
      </c>
      <c r="AE1185" s="10">
        <f>REPT(" ",10)</f>
        <v/>
      </c>
      <c r="AF1185" s="10">
        <f>REPT(" ",20)</f>
        <v/>
      </c>
      <c r="AG1185" s="54">
        <f>REPT(" ",18-LEN(FIXED(F1185,2,TRUE)))&amp;FIXED(F1185,2,TRUE)</f>
        <v/>
      </c>
      <c r="AH1185" s="10">
        <f>LEN(AC1185)+LEN(AG1185)</f>
        <v/>
      </c>
      <c r="AI1185" s="10">
        <f>LEN(L1185)</f>
        <v/>
      </c>
    </row>
    <row r="1186">
      <c r="J1186" s="12">
        <f>IF(F1186&lt;&gt;0,"LANÇAR","")</f>
        <v/>
      </c>
      <c r="L1186" s="13">
        <f>N1186&amp;O1186&amp;P1186&amp;Q1186&amp;R1186&amp;S1186&amp;T1186&amp;U1186&amp;V1186&amp;W1186&amp;X1186&amp;Y1186&amp;Z1186&amp;AA1186&amp;AB1186&amp;AC1186&amp;AD1186&amp;AE1186&amp;AF1186&amp;AG1186</f>
        <v/>
      </c>
      <c r="N1186" s="10">
        <f>TEXT($B$6,"00")</f>
        <v/>
      </c>
      <c r="O1186" s="10">
        <f>REPT(" ",8)</f>
        <v/>
      </c>
      <c r="P1186" s="10">
        <f>RIGHT($B$4,2)</f>
        <v/>
      </c>
      <c r="Q1186" s="10">
        <f>RIGHT($B$5,3)</f>
        <v/>
      </c>
      <c r="R1186" s="10">
        <f>IF(A1186="D",LEFT(UPPER(B1186)&amp;REPT(" ",20),20),REPT(" ",20))</f>
        <v/>
      </c>
      <c r="S1186" s="10">
        <f>IF(A1186="D",LEFT(UPPER(C1186)&amp;REPT(" ",10),10)," ")</f>
        <v/>
      </c>
      <c r="T1186" s="10">
        <f>IF(A1186="D",LEFT(UPPER(D1186)&amp;REPT(" ",2),2)," ")</f>
        <v/>
      </c>
      <c r="U1186" s="10">
        <f>IF(A1186="D",LEFT(UPPER(E1186)&amp;REPT(" ",15),15)," ")</f>
        <v/>
      </c>
      <c r="V1186" s="10">
        <f>REPT(" ",24)</f>
        <v/>
      </c>
      <c r="W1186" s="10">
        <f>IF(A1186="c",LEFT(UPPER(B1186)&amp;REPT(" ",20),20),REPT(" ",20))</f>
        <v/>
      </c>
      <c r="X1186" s="10">
        <f>IF(A1186="C",LEFT(UPPER(C1186)&amp;REPT(" ",10),10)," ")</f>
        <v/>
      </c>
      <c r="Y1186" s="10">
        <f>IF(A1186="C",LEFT(UPPER(D1186)&amp;REPT(" ",2),2)," ")</f>
        <v/>
      </c>
      <c r="Z1186" s="10">
        <f>IF(A1186="C",LEFT(UPPER(E1186)&amp;REPT(" ",15),15)," ")</f>
        <v/>
      </c>
      <c r="AA1186" s="10">
        <f>REPT(" ",8)</f>
        <v/>
      </c>
      <c r="AB1186" s="10">
        <f>REPT(" ",4)</f>
        <v/>
      </c>
      <c r="AC1186" s="10">
        <f>LEFT(UPPER(H1186)&amp;REPT(" ",250),250)</f>
        <v/>
      </c>
      <c r="AD1186" s="10">
        <f>TEXT($G$2,"dd/mm/aaaa")</f>
        <v/>
      </c>
      <c r="AE1186" s="10">
        <f>REPT(" ",10)</f>
        <v/>
      </c>
      <c r="AF1186" s="10">
        <f>REPT(" ",20)</f>
        <v/>
      </c>
      <c r="AG1186" s="54">
        <f>REPT(" ",18-LEN(FIXED(F1186,2,TRUE)))&amp;FIXED(F1186,2,TRUE)</f>
        <v/>
      </c>
      <c r="AH1186" s="10">
        <f>LEN(AC1186)+LEN(AG1186)</f>
        <v/>
      </c>
      <c r="AI1186" s="10">
        <f>LEN(L1186)</f>
        <v/>
      </c>
    </row>
    <row r="1187">
      <c r="J1187" s="12">
        <f>IF(F1187&lt;&gt;0,"LANÇAR","")</f>
        <v/>
      </c>
      <c r="L1187" s="13">
        <f>N1187&amp;O1187&amp;P1187&amp;Q1187&amp;R1187&amp;S1187&amp;T1187&amp;U1187&amp;V1187&amp;W1187&amp;X1187&amp;Y1187&amp;Z1187&amp;AA1187&amp;AB1187&amp;AC1187&amp;AD1187&amp;AE1187&amp;AF1187&amp;AG1187</f>
        <v/>
      </c>
      <c r="N1187" s="10">
        <f>TEXT($B$6,"00")</f>
        <v/>
      </c>
      <c r="O1187" s="10">
        <f>REPT(" ",8)</f>
        <v/>
      </c>
      <c r="P1187" s="10">
        <f>RIGHT($B$4,2)</f>
        <v/>
      </c>
      <c r="Q1187" s="10">
        <f>RIGHT($B$5,3)</f>
        <v/>
      </c>
      <c r="R1187" s="10">
        <f>IF(A1187="D",LEFT(UPPER(B1187)&amp;REPT(" ",20),20),REPT(" ",20))</f>
        <v/>
      </c>
      <c r="S1187" s="10">
        <f>IF(A1187="D",LEFT(UPPER(C1187)&amp;REPT(" ",10),10)," ")</f>
        <v/>
      </c>
      <c r="T1187" s="10">
        <f>IF(A1187="D",LEFT(UPPER(D1187)&amp;REPT(" ",2),2)," ")</f>
        <v/>
      </c>
      <c r="U1187" s="10">
        <f>IF(A1187="D",LEFT(UPPER(E1187)&amp;REPT(" ",15),15)," ")</f>
        <v/>
      </c>
      <c r="V1187" s="10">
        <f>REPT(" ",24)</f>
        <v/>
      </c>
      <c r="W1187" s="10">
        <f>IF(A1187="c",LEFT(UPPER(B1187)&amp;REPT(" ",20),20),REPT(" ",20))</f>
        <v/>
      </c>
      <c r="X1187" s="10">
        <f>IF(A1187="C",LEFT(UPPER(C1187)&amp;REPT(" ",10),10)," ")</f>
        <v/>
      </c>
      <c r="Y1187" s="10">
        <f>IF(A1187="C",LEFT(UPPER(D1187)&amp;REPT(" ",2),2)," ")</f>
        <v/>
      </c>
      <c r="Z1187" s="10">
        <f>IF(A1187="C",LEFT(UPPER(E1187)&amp;REPT(" ",15),15)," ")</f>
        <v/>
      </c>
      <c r="AA1187" s="10">
        <f>REPT(" ",8)</f>
        <v/>
      </c>
      <c r="AB1187" s="10">
        <f>REPT(" ",4)</f>
        <v/>
      </c>
      <c r="AC1187" s="10">
        <f>LEFT(UPPER(H1187)&amp;REPT(" ",250),250)</f>
        <v/>
      </c>
      <c r="AD1187" s="10">
        <f>TEXT($G$2,"dd/mm/aaaa")</f>
        <v/>
      </c>
      <c r="AE1187" s="10">
        <f>REPT(" ",10)</f>
        <v/>
      </c>
      <c r="AF1187" s="10">
        <f>REPT(" ",20)</f>
        <v/>
      </c>
      <c r="AG1187" s="54">
        <f>REPT(" ",18-LEN(FIXED(F1187,2,TRUE)))&amp;FIXED(F1187,2,TRUE)</f>
        <v/>
      </c>
      <c r="AH1187" s="10">
        <f>LEN(AC1187)+LEN(AG1187)</f>
        <v/>
      </c>
      <c r="AI1187" s="10">
        <f>LEN(L1187)</f>
        <v/>
      </c>
    </row>
    <row r="1188">
      <c r="J1188" s="12">
        <f>IF(F1188&lt;&gt;0,"LANÇAR","")</f>
        <v/>
      </c>
      <c r="L1188" s="13">
        <f>N1188&amp;O1188&amp;P1188&amp;Q1188&amp;R1188&amp;S1188&amp;T1188&amp;U1188&amp;V1188&amp;W1188&amp;X1188&amp;Y1188&amp;Z1188&amp;AA1188&amp;AB1188&amp;AC1188&amp;AD1188&amp;AE1188&amp;AF1188&amp;AG1188</f>
        <v/>
      </c>
      <c r="N1188" s="10">
        <f>TEXT($B$6,"00")</f>
        <v/>
      </c>
      <c r="O1188" s="10">
        <f>REPT(" ",8)</f>
        <v/>
      </c>
      <c r="P1188" s="10">
        <f>RIGHT($B$4,2)</f>
        <v/>
      </c>
      <c r="Q1188" s="10">
        <f>RIGHT($B$5,3)</f>
        <v/>
      </c>
      <c r="R1188" s="10">
        <f>IF(A1188="D",LEFT(UPPER(B1188)&amp;REPT(" ",20),20),REPT(" ",20))</f>
        <v/>
      </c>
      <c r="S1188" s="10">
        <f>IF(A1188="D",LEFT(UPPER(C1188)&amp;REPT(" ",10),10)," ")</f>
        <v/>
      </c>
      <c r="T1188" s="10">
        <f>IF(A1188="D",LEFT(UPPER(D1188)&amp;REPT(" ",2),2)," ")</f>
        <v/>
      </c>
      <c r="U1188" s="10">
        <f>IF(A1188="D",LEFT(UPPER(E1188)&amp;REPT(" ",15),15)," ")</f>
        <v/>
      </c>
      <c r="V1188" s="10">
        <f>REPT(" ",24)</f>
        <v/>
      </c>
      <c r="W1188" s="10">
        <f>IF(A1188="c",LEFT(UPPER(B1188)&amp;REPT(" ",20),20),REPT(" ",20))</f>
        <v/>
      </c>
      <c r="X1188" s="10">
        <f>IF(A1188="C",LEFT(UPPER(C1188)&amp;REPT(" ",10),10)," ")</f>
        <v/>
      </c>
      <c r="Y1188" s="10">
        <f>IF(A1188="C",LEFT(UPPER(D1188)&amp;REPT(" ",2),2)," ")</f>
        <v/>
      </c>
      <c r="Z1188" s="10">
        <f>IF(A1188="C",LEFT(UPPER(E1188)&amp;REPT(" ",15),15)," ")</f>
        <v/>
      </c>
      <c r="AA1188" s="10">
        <f>REPT(" ",8)</f>
        <v/>
      </c>
      <c r="AB1188" s="10">
        <f>REPT(" ",4)</f>
        <v/>
      </c>
      <c r="AC1188" s="10">
        <f>LEFT(UPPER(H1188)&amp;REPT(" ",250),250)</f>
        <v/>
      </c>
      <c r="AD1188" s="10">
        <f>TEXT($G$2,"dd/mm/aaaa")</f>
        <v/>
      </c>
      <c r="AE1188" s="10">
        <f>REPT(" ",10)</f>
        <v/>
      </c>
      <c r="AF1188" s="10">
        <f>REPT(" ",20)</f>
        <v/>
      </c>
      <c r="AG1188" s="54">
        <f>REPT(" ",18-LEN(FIXED(F1188,2,TRUE)))&amp;FIXED(F1188,2,TRUE)</f>
        <v/>
      </c>
      <c r="AH1188" s="10">
        <f>LEN(AC1188)+LEN(AG1188)</f>
        <v/>
      </c>
      <c r="AI1188" s="10">
        <f>LEN(L1188)</f>
        <v/>
      </c>
    </row>
    <row r="1189">
      <c r="J1189" s="12">
        <f>IF(F1189&lt;&gt;0,"LANÇAR","")</f>
        <v/>
      </c>
      <c r="L1189" s="13">
        <f>N1189&amp;O1189&amp;P1189&amp;Q1189&amp;R1189&amp;S1189&amp;T1189&amp;U1189&amp;V1189&amp;W1189&amp;X1189&amp;Y1189&amp;Z1189&amp;AA1189&amp;AB1189&amp;AC1189&amp;AD1189&amp;AE1189&amp;AF1189&amp;AG1189</f>
        <v/>
      </c>
      <c r="N1189" s="10">
        <f>TEXT($B$6,"00")</f>
        <v/>
      </c>
      <c r="O1189" s="10">
        <f>REPT(" ",8)</f>
        <v/>
      </c>
      <c r="P1189" s="10">
        <f>RIGHT($B$4,2)</f>
        <v/>
      </c>
      <c r="Q1189" s="10">
        <f>RIGHT($B$5,3)</f>
        <v/>
      </c>
      <c r="R1189" s="10">
        <f>IF(A1189="D",LEFT(UPPER(B1189)&amp;REPT(" ",20),20),REPT(" ",20))</f>
        <v/>
      </c>
      <c r="S1189" s="10">
        <f>IF(A1189="D",LEFT(UPPER(C1189)&amp;REPT(" ",10),10)," ")</f>
        <v/>
      </c>
      <c r="T1189" s="10">
        <f>IF(A1189="D",LEFT(UPPER(D1189)&amp;REPT(" ",2),2)," ")</f>
        <v/>
      </c>
      <c r="U1189" s="10">
        <f>IF(A1189="D",LEFT(UPPER(E1189)&amp;REPT(" ",15),15)," ")</f>
        <v/>
      </c>
      <c r="V1189" s="10">
        <f>REPT(" ",24)</f>
        <v/>
      </c>
      <c r="W1189" s="10">
        <f>IF(A1189="c",LEFT(UPPER(B1189)&amp;REPT(" ",20),20),REPT(" ",20))</f>
        <v/>
      </c>
      <c r="X1189" s="10">
        <f>IF(A1189="C",LEFT(UPPER(C1189)&amp;REPT(" ",10),10)," ")</f>
        <v/>
      </c>
      <c r="Y1189" s="10">
        <f>IF(A1189="C",LEFT(UPPER(D1189)&amp;REPT(" ",2),2)," ")</f>
        <v/>
      </c>
      <c r="Z1189" s="10">
        <f>IF(A1189="C",LEFT(UPPER(E1189)&amp;REPT(" ",15),15)," ")</f>
        <v/>
      </c>
      <c r="AA1189" s="10">
        <f>REPT(" ",8)</f>
        <v/>
      </c>
      <c r="AB1189" s="10">
        <f>REPT(" ",4)</f>
        <v/>
      </c>
      <c r="AC1189" s="10">
        <f>LEFT(UPPER(H1189)&amp;REPT(" ",250),250)</f>
        <v/>
      </c>
      <c r="AD1189" s="10">
        <f>TEXT($G$2,"dd/mm/aaaa")</f>
        <v/>
      </c>
      <c r="AE1189" s="10">
        <f>REPT(" ",10)</f>
        <v/>
      </c>
      <c r="AF1189" s="10">
        <f>REPT(" ",20)</f>
        <v/>
      </c>
      <c r="AG1189" s="54">
        <f>REPT(" ",18-LEN(FIXED(F1189,2,TRUE)))&amp;FIXED(F1189,2,TRUE)</f>
        <v/>
      </c>
      <c r="AH1189" s="10">
        <f>LEN(AC1189)+LEN(AG1189)</f>
        <v/>
      </c>
      <c r="AI1189" s="10">
        <f>LEN(L1189)</f>
        <v/>
      </c>
    </row>
    <row r="1190">
      <c r="J1190" s="12">
        <f>IF(F1190&lt;&gt;0,"LANÇAR","")</f>
        <v/>
      </c>
      <c r="L1190" s="13">
        <f>N1190&amp;O1190&amp;P1190&amp;Q1190&amp;R1190&amp;S1190&amp;T1190&amp;U1190&amp;V1190&amp;W1190&amp;X1190&amp;Y1190&amp;Z1190&amp;AA1190&amp;AB1190&amp;AC1190&amp;AD1190&amp;AE1190&amp;AF1190&amp;AG1190</f>
        <v/>
      </c>
      <c r="N1190" s="10">
        <f>TEXT($B$6,"00")</f>
        <v/>
      </c>
      <c r="O1190" s="10">
        <f>REPT(" ",8)</f>
        <v/>
      </c>
      <c r="P1190" s="10">
        <f>RIGHT($B$4,2)</f>
        <v/>
      </c>
      <c r="Q1190" s="10">
        <f>RIGHT($B$5,3)</f>
        <v/>
      </c>
      <c r="R1190" s="10">
        <f>IF(A1190="D",LEFT(UPPER(B1190)&amp;REPT(" ",20),20),REPT(" ",20))</f>
        <v/>
      </c>
      <c r="S1190" s="10">
        <f>IF(A1190="D",LEFT(UPPER(C1190)&amp;REPT(" ",10),10)," ")</f>
        <v/>
      </c>
      <c r="T1190" s="10">
        <f>IF(A1190="D",LEFT(UPPER(D1190)&amp;REPT(" ",2),2)," ")</f>
        <v/>
      </c>
      <c r="U1190" s="10">
        <f>IF(A1190="D",LEFT(UPPER(E1190)&amp;REPT(" ",15),15)," ")</f>
        <v/>
      </c>
      <c r="V1190" s="10">
        <f>REPT(" ",24)</f>
        <v/>
      </c>
      <c r="W1190" s="10">
        <f>IF(A1190="c",LEFT(UPPER(B1190)&amp;REPT(" ",20),20),REPT(" ",20))</f>
        <v/>
      </c>
      <c r="X1190" s="10">
        <f>IF(A1190="C",LEFT(UPPER(C1190)&amp;REPT(" ",10),10)," ")</f>
        <v/>
      </c>
      <c r="Y1190" s="10">
        <f>IF(A1190="C",LEFT(UPPER(D1190)&amp;REPT(" ",2),2)," ")</f>
        <v/>
      </c>
      <c r="Z1190" s="10">
        <f>IF(A1190="C",LEFT(UPPER(E1190)&amp;REPT(" ",15),15)," ")</f>
        <v/>
      </c>
      <c r="AA1190" s="10">
        <f>REPT(" ",8)</f>
        <v/>
      </c>
      <c r="AB1190" s="10">
        <f>REPT(" ",4)</f>
        <v/>
      </c>
      <c r="AC1190" s="10">
        <f>LEFT(UPPER(H1190)&amp;REPT(" ",250),250)</f>
        <v/>
      </c>
      <c r="AD1190" s="10">
        <f>TEXT($G$2,"dd/mm/aaaa")</f>
        <v/>
      </c>
      <c r="AE1190" s="10">
        <f>REPT(" ",10)</f>
        <v/>
      </c>
      <c r="AF1190" s="10">
        <f>REPT(" ",20)</f>
        <v/>
      </c>
      <c r="AG1190" s="54">
        <f>REPT(" ",18-LEN(FIXED(F1190,2,TRUE)))&amp;FIXED(F1190,2,TRUE)</f>
        <v/>
      </c>
      <c r="AH1190" s="10">
        <f>LEN(AC1190)+LEN(AG1190)</f>
        <v/>
      </c>
      <c r="AI1190" s="10">
        <f>LEN(L1190)</f>
        <v/>
      </c>
    </row>
    <row r="1191">
      <c r="J1191" s="12">
        <f>IF(F1191&lt;&gt;0,"LANÇAR","")</f>
        <v/>
      </c>
      <c r="L1191" s="13">
        <f>N1191&amp;O1191&amp;P1191&amp;Q1191&amp;R1191&amp;S1191&amp;T1191&amp;U1191&amp;V1191&amp;W1191&amp;X1191&amp;Y1191&amp;Z1191&amp;AA1191&amp;AB1191&amp;AC1191&amp;AD1191&amp;AE1191&amp;AF1191&amp;AG1191</f>
        <v/>
      </c>
      <c r="N1191" s="10">
        <f>TEXT($B$6,"00")</f>
        <v/>
      </c>
      <c r="O1191" s="10">
        <f>REPT(" ",8)</f>
        <v/>
      </c>
      <c r="P1191" s="10">
        <f>RIGHT($B$4,2)</f>
        <v/>
      </c>
      <c r="Q1191" s="10">
        <f>RIGHT($B$5,3)</f>
        <v/>
      </c>
      <c r="R1191" s="10">
        <f>IF(A1191="D",LEFT(UPPER(B1191)&amp;REPT(" ",20),20),REPT(" ",20))</f>
        <v/>
      </c>
      <c r="S1191" s="10">
        <f>IF(A1191="D",LEFT(UPPER(C1191)&amp;REPT(" ",10),10)," ")</f>
        <v/>
      </c>
      <c r="T1191" s="10">
        <f>IF(A1191="D",LEFT(UPPER(D1191)&amp;REPT(" ",2),2)," ")</f>
        <v/>
      </c>
      <c r="U1191" s="10">
        <f>IF(A1191="D",LEFT(UPPER(E1191)&amp;REPT(" ",15),15)," ")</f>
        <v/>
      </c>
      <c r="V1191" s="10">
        <f>REPT(" ",24)</f>
        <v/>
      </c>
      <c r="W1191" s="10">
        <f>IF(A1191="c",LEFT(UPPER(B1191)&amp;REPT(" ",20),20),REPT(" ",20))</f>
        <v/>
      </c>
      <c r="X1191" s="10">
        <f>IF(A1191="C",LEFT(UPPER(C1191)&amp;REPT(" ",10),10)," ")</f>
        <v/>
      </c>
      <c r="Y1191" s="10">
        <f>IF(A1191="C",LEFT(UPPER(D1191)&amp;REPT(" ",2),2)," ")</f>
        <v/>
      </c>
      <c r="Z1191" s="10">
        <f>IF(A1191="C",LEFT(UPPER(E1191)&amp;REPT(" ",15),15)," ")</f>
        <v/>
      </c>
      <c r="AA1191" s="10">
        <f>REPT(" ",8)</f>
        <v/>
      </c>
      <c r="AB1191" s="10">
        <f>REPT(" ",4)</f>
        <v/>
      </c>
      <c r="AC1191" s="10">
        <f>LEFT(UPPER(H1191)&amp;REPT(" ",250),250)</f>
        <v/>
      </c>
      <c r="AD1191" s="10">
        <f>TEXT($G$2,"dd/mm/aaaa")</f>
        <v/>
      </c>
      <c r="AE1191" s="10">
        <f>REPT(" ",10)</f>
        <v/>
      </c>
      <c r="AF1191" s="10">
        <f>REPT(" ",20)</f>
        <v/>
      </c>
      <c r="AG1191" s="54">
        <f>REPT(" ",18-LEN(FIXED(F1191,2,TRUE)))&amp;FIXED(F1191,2,TRUE)</f>
        <v/>
      </c>
      <c r="AH1191" s="10">
        <f>LEN(AC1191)+LEN(AG1191)</f>
        <v/>
      </c>
      <c r="AI1191" s="10">
        <f>LEN(L1191)</f>
        <v/>
      </c>
    </row>
    <row r="1192">
      <c r="J1192" s="12">
        <f>IF(F1192&lt;&gt;0,"LANÇAR","")</f>
        <v/>
      </c>
      <c r="L1192" s="13">
        <f>N1192&amp;O1192&amp;P1192&amp;Q1192&amp;R1192&amp;S1192&amp;T1192&amp;U1192&amp;V1192&amp;W1192&amp;X1192&amp;Y1192&amp;Z1192&amp;AA1192&amp;AB1192&amp;AC1192&amp;AD1192&amp;AE1192&amp;AF1192&amp;AG1192</f>
        <v/>
      </c>
      <c r="N1192" s="10">
        <f>TEXT($B$6,"00")</f>
        <v/>
      </c>
      <c r="O1192" s="10">
        <f>REPT(" ",8)</f>
        <v/>
      </c>
      <c r="P1192" s="10">
        <f>RIGHT($B$4,2)</f>
        <v/>
      </c>
      <c r="Q1192" s="10">
        <f>RIGHT($B$5,3)</f>
        <v/>
      </c>
      <c r="R1192" s="10">
        <f>IF(A1192="D",LEFT(UPPER(B1192)&amp;REPT(" ",20),20),REPT(" ",20))</f>
        <v/>
      </c>
      <c r="S1192" s="10">
        <f>IF(A1192="D",LEFT(UPPER(C1192)&amp;REPT(" ",10),10)," ")</f>
        <v/>
      </c>
      <c r="T1192" s="10">
        <f>IF(A1192="D",LEFT(UPPER(D1192)&amp;REPT(" ",2),2)," ")</f>
        <v/>
      </c>
      <c r="U1192" s="10">
        <f>IF(A1192="D",LEFT(UPPER(E1192)&amp;REPT(" ",15),15)," ")</f>
        <v/>
      </c>
      <c r="V1192" s="10">
        <f>REPT(" ",24)</f>
        <v/>
      </c>
      <c r="W1192" s="10">
        <f>IF(A1192="c",LEFT(UPPER(B1192)&amp;REPT(" ",20),20),REPT(" ",20))</f>
        <v/>
      </c>
      <c r="X1192" s="10">
        <f>IF(A1192="C",LEFT(UPPER(C1192)&amp;REPT(" ",10),10)," ")</f>
        <v/>
      </c>
      <c r="Y1192" s="10">
        <f>IF(A1192="C",LEFT(UPPER(D1192)&amp;REPT(" ",2),2)," ")</f>
        <v/>
      </c>
      <c r="Z1192" s="10">
        <f>IF(A1192="C",LEFT(UPPER(E1192)&amp;REPT(" ",15),15)," ")</f>
        <v/>
      </c>
      <c r="AA1192" s="10">
        <f>REPT(" ",8)</f>
        <v/>
      </c>
      <c r="AB1192" s="10">
        <f>REPT(" ",4)</f>
        <v/>
      </c>
      <c r="AC1192" s="10">
        <f>LEFT(UPPER(H1192)&amp;REPT(" ",250),250)</f>
        <v/>
      </c>
      <c r="AD1192" s="10">
        <f>TEXT($G$2,"dd/mm/aaaa")</f>
        <v/>
      </c>
      <c r="AE1192" s="10">
        <f>REPT(" ",10)</f>
        <v/>
      </c>
      <c r="AF1192" s="10">
        <f>REPT(" ",20)</f>
        <v/>
      </c>
      <c r="AG1192" s="54">
        <f>REPT(" ",18-LEN(FIXED(F1192,2,TRUE)))&amp;FIXED(F1192,2,TRUE)</f>
        <v/>
      </c>
      <c r="AH1192" s="10">
        <f>LEN(AC1192)+LEN(AG1192)</f>
        <v/>
      </c>
      <c r="AI1192" s="10">
        <f>LEN(L1192)</f>
        <v/>
      </c>
    </row>
    <row r="1193">
      <c r="J1193" s="12">
        <f>IF(F1193&lt;&gt;0,"LANÇAR","")</f>
        <v/>
      </c>
      <c r="L1193" s="13">
        <f>N1193&amp;O1193&amp;P1193&amp;Q1193&amp;R1193&amp;S1193&amp;T1193&amp;U1193&amp;V1193&amp;W1193&amp;X1193&amp;Y1193&amp;Z1193&amp;AA1193&amp;AB1193&amp;AC1193&amp;AD1193&amp;AE1193&amp;AF1193&amp;AG1193</f>
        <v/>
      </c>
      <c r="N1193" s="10">
        <f>TEXT($B$6,"00")</f>
        <v/>
      </c>
      <c r="O1193" s="10">
        <f>REPT(" ",8)</f>
        <v/>
      </c>
      <c r="P1193" s="10">
        <f>RIGHT($B$4,2)</f>
        <v/>
      </c>
      <c r="Q1193" s="10">
        <f>RIGHT($B$5,3)</f>
        <v/>
      </c>
      <c r="R1193" s="10">
        <f>IF(A1193="D",LEFT(UPPER(B1193)&amp;REPT(" ",20),20),REPT(" ",20))</f>
        <v/>
      </c>
      <c r="S1193" s="10">
        <f>IF(A1193="D",LEFT(UPPER(C1193)&amp;REPT(" ",10),10)," ")</f>
        <v/>
      </c>
      <c r="T1193" s="10">
        <f>IF(A1193="D",LEFT(UPPER(D1193)&amp;REPT(" ",2),2)," ")</f>
        <v/>
      </c>
      <c r="U1193" s="10">
        <f>IF(A1193="D",LEFT(UPPER(E1193)&amp;REPT(" ",15),15)," ")</f>
        <v/>
      </c>
      <c r="V1193" s="10">
        <f>REPT(" ",24)</f>
        <v/>
      </c>
      <c r="W1193" s="10">
        <f>IF(A1193="c",LEFT(UPPER(B1193)&amp;REPT(" ",20),20),REPT(" ",20))</f>
        <v/>
      </c>
      <c r="X1193" s="10">
        <f>IF(A1193="C",LEFT(UPPER(C1193)&amp;REPT(" ",10),10)," ")</f>
        <v/>
      </c>
      <c r="Y1193" s="10">
        <f>IF(A1193="C",LEFT(UPPER(D1193)&amp;REPT(" ",2),2)," ")</f>
        <v/>
      </c>
      <c r="Z1193" s="10">
        <f>IF(A1193="C",LEFT(UPPER(E1193)&amp;REPT(" ",15),15)," ")</f>
        <v/>
      </c>
      <c r="AA1193" s="10">
        <f>REPT(" ",8)</f>
        <v/>
      </c>
      <c r="AB1193" s="10">
        <f>REPT(" ",4)</f>
        <v/>
      </c>
      <c r="AC1193" s="10">
        <f>LEFT(UPPER(H1193)&amp;REPT(" ",250),250)</f>
        <v/>
      </c>
      <c r="AD1193" s="10">
        <f>TEXT($G$2,"dd/mm/aaaa")</f>
        <v/>
      </c>
      <c r="AE1193" s="10">
        <f>REPT(" ",10)</f>
        <v/>
      </c>
      <c r="AF1193" s="10">
        <f>REPT(" ",20)</f>
        <v/>
      </c>
      <c r="AG1193" s="54">
        <f>REPT(" ",18-LEN(FIXED(F1193,2,TRUE)))&amp;FIXED(F1193,2,TRUE)</f>
        <v/>
      </c>
      <c r="AH1193" s="10">
        <f>LEN(AC1193)+LEN(AG1193)</f>
        <v/>
      </c>
      <c r="AI1193" s="10">
        <f>LEN(L1193)</f>
        <v/>
      </c>
    </row>
    <row r="1194">
      <c r="J1194" s="12">
        <f>IF(F1194&lt;&gt;0,"LANÇAR","")</f>
        <v/>
      </c>
      <c r="L1194" s="13">
        <f>N1194&amp;O1194&amp;P1194&amp;Q1194&amp;R1194&amp;S1194&amp;T1194&amp;U1194&amp;V1194&amp;W1194&amp;X1194&amp;Y1194&amp;Z1194&amp;AA1194&amp;AB1194&amp;AC1194&amp;AD1194&amp;AE1194&amp;AF1194&amp;AG1194</f>
        <v/>
      </c>
      <c r="N1194" s="10">
        <f>TEXT($B$6,"00")</f>
        <v/>
      </c>
      <c r="O1194" s="10">
        <f>REPT(" ",8)</f>
        <v/>
      </c>
      <c r="P1194" s="10">
        <f>RIGHT($B$4,2)</f>
        <v/>
      </c>
      <c r="Q1194" s="10">
        <f>RIGHT($B$5,3)</f>
        <v/>
      </c>
      <c r="R1194" s="10">
        <f>IF(A1194="D",LEFT(UPPER(B1194)&amp;REPT(" ",20),20),REPT(" ",20))</f>
        <v/>
      </c>
      <c r="S1194" s="10">
        <f>IF(A1194="D",LEFT(UPPER(C1194)&amp;REPT(" ",10),10)," ")</f>
        <v/>
      </c>
      <c r="T1194" s="10">
        <f>IF(A1194="D",LEFT(UPPER(D1194)&amp;REPT(" ",2),2)," ")</f>
        <v/>
      </c>
      <c r="U1194" s="10">
        <f>IF(A1194="D",LEFT(UPPER(E1194)&amp;REPT(" ",15),15)," ")</f>
        <v/>
      </c>
      <c r="V1194" s="10">
        <f>REPT(" ",24)</f>
        <v/>
      </c>
      <c r="W1194" s="10">
        <f>IF(A1194="c",LEFT(UPPER(B1194)&amp;REPT(" ",20),20),REPT(" ",20))</f>
        <v/>
      </c>
      <c r="X1194" s="10">
        <f>IF(A1194="C",LEFT(UPPER(C1194)&amp;REPT(" ",10),10)," ")</f>
        <v/>
      </c>
      <c r="Y1194" s="10">
        <f>IF(A1194="C",LEFT(UPPER(D1194)&amp;REPT(" ",2),2)," ")</f>
        <v/>
      </c>
      <c r="Z1194" s="10">
        <f>IF(A1194="C",LEFT(UPPER(E1194)&amp;REPT(" ",15),15)," ")</f>
        <v/>
      </c>
      <c r="AA1194" s="10">
        <f>REPT(" ",8)</f>
        <v/>
      </c>
      <c r="AB1194" s="10">
        <f>REPT(" ",4)</f>
        <v/>
      </c>
      <c r="AC1194" s="10">
        <f>LEFT(UPPER(H1194)&amp;REPT(" ",250),250)</f>
        <v/>
      </c>
      <c r="AD1194" s="10">
        <f>TEXT($G$2,"dd/mm/aaaa")</f>
        <v/>
      </c>
      <c r="AE1194" s="10">
        <f>REPT(" ",10)</f>
        <v/>
      </c>
      <c r="AF1194" s="10">
        <f>REPT(" ",20)</f>
        <v/>
      </c>
      <c r="AG1194" s="54">
        <f>REPT(" ",18-LEN(FIXED(F1194,2,TRUE)))&amp;FIXED(F1194,2,TRUE)</f>
        <v/>
      </c>
      <c r="AH1194" s="10">
        <f>LEN(AC1194)+LEN(AG1194)</f>
        <v/>
      </c>
      <c r="AI1194" s="10">
        <f>LEN(L1194)</f>
        <v/>
      </c>
    </row>
    <row r="1195">
      <c r="J1195" s="12">
        <f>IF(F1195&lt;&gt;0,"LANÇAR","")</f>
        <v/>
      </c>
      <c r="L1195" s="13">
        <f>N1195&amp;O1195&amp;P1195&amp;Q1195&amp;R1195&amp;S1195&amp;T1195&amp;U1195&amp;V1195&amp;W1195&amp;X1195&amp;Y1195&amp;Z1195&amp;AA1195&amp;AB1195&amp;AC1195&amp;AD1195&amp;AE1195&amp;AF1195&amp;AG1195</f>
        <v/>
      </c>
      <c r="N1195" s="10">
        <f>TEXT($B$6,"00")</f>
        <v/>
      </c>
      <c r="O1195" s="10">
        <f>REPT(" ",8)</f>
        <v/>
      </c>
      <c r="P1195" s="10">
        <f>RIGHT($B$4,2)</f>
        <v/>
      </c>
      <c r="Q1195" s="10">
        <f>RIGHT($B$5,3)</f>
        <v/>
      </c>
      <c r="R1195" s="10">
        <f>IF(A1195="D",LEFT(UPPER(B1195)&amp;REPT(" ",20),20),REPT(" ",20))</f>
        <v/>
      </c>
      <c r="S1195" s="10">
        <f>IF(A1195="D",LEFT(UPPER(C1195)&amp;REPT(" ",10),10)," ")</f>
        <v/>
      </c>
      <c r="T1195" s="10">
        <f>IF(A1195="D",LEFT(UPPER(D1195)&amp;REPT(" ",2),2)," ")</f>
        <v/>
      </c>
      <c r="U1195" s="10">
        <f>IF(A1195="D",LEFT(UPPER(E1195)&amp;REPT(" ",15),15)," ")</f>
        <v/>
      </c>
      <c r="V1195" s="10">
        <f>REPT(" ",24)</f>
        <v/>
      </c>
      <c r="W1195" s="10">
        <f>IF(A1195="c",LEFT(UPPER(B1195)&amp;REPT(" ",20),20),REPT(" ",20))</f>
        <v/>
      </c>
      <c r="X1195" s="10">
        <f>IF(A1195="C",LEFT(UPPER(C1195)&amp;REPT(" ",10),10)," ")</f>
        <v/>
      </c>
      <c r="Y1195" s="10">
        <f>IF(A1195="C",LEFT(UPPER(D1195)&amp;REPT(" ",2),2)," ")</f>
        <v/>
      </c>
      <c r="Z1195" s="10">
        <f>IF(A1195="C",LEFT(UPPER(E1195)&amp;REPT(" ",15),15)," ")</f>
        <v/>
      </c>
      <c r="AA1195" s="10">
        <f>REPT(" ",8)</f>
        <v/>
      </c>
      <c r="AB1195" s="10">
        <f>REPT(" ",4)</f>
        <v/>
      </c>
      <c r="AC1195" s="10">
        <f>LEFT(UPPER(H1195)&amp;REPT(" ",250),250)</f>
        <v/>
      </c>
      <c r="AD1195" s="10">
        <f>TEXT($G$2,"dd/mm/aaaa")</f>
        <v/>
      </c>
      <c r="AE1195" s="10">
        <f>REPT(" ",10)</f>
        <v/>
      </c>
      <c r="AF1195" s="10">
        <f>REPT(" ",20)</f>
        <v/>
      </c>
      <c r="AG1195" s="54">
        <f>REPT(" ",18-LEN(FIXED(F1195,2,TRUE)))&amp;FIXED(F1195,2,TRUE)</f>
        <v/>
      </c>
      <c r="AH1195" s="10">
        <f>LEN(AC1195)+LEN(AG1195)</f>
        <v/>
      </c>
      <c r="AI1195" s="10">
        <f>LEN(L1195)</f>
        <v/>
      </c>
    </row>
    <row r="1196">
      <c r="J1196" s="12">
        <f>IF(F1196&lt;&gt;0,"LANÇAR","")</f>
        <v/>
      </c>
      <c r="L1196" s="13">
        <f>N1196&amp;O1196&amp;P1196&amp;Q1196&amp;R1196&amp;S1196&amp;T1196&amp;U1196&amp;V1196&amp;W1196&amp;X1196&amp;Y1196&amp;Z1196&amp;AA1196&amp;AB1196&amp;AC1196&amp;AD1196&amp;AE1196&amp;AF1196&amp;AG1196</f>
        <v/>
      </c>
      <c r="N1196" s="10">
        <f>TEXT($B$6,"00")</f>
        <v/>
      </c>
      <c r="O1196" s="10">
        <f>REPT(" ",8)</f>
        <v/>
      </c>
      <c r="P1196" s="10">
        <f>RIGHT($B$4,2)</f>
        <v/>
      </c>
      <c r="Q1196" s="10">
        <f>RIGHT($B$5,3)</f>
        <v/>
      </c>
      <c r="R1196" s="10">
        <f>IF(A1196="D",LEFT(UPPER(B1196)&amp;REPT(" ",20),20),REPT(" ",20))</f>
        <v/>
      </c>
      <c r="S1196" s="10">
        <f>IF(A1196="D",LEFT(UPPER(C1196)&amp;REPT(" ",10),10)," ")</f>
        <v/>
      </c>
      <c r="T1196" s="10">
        <f>IF(A1196="D",LEFT(UPPER(D1196)&amp;REPT(" ",2),2)," ")</f>
        <v/>
      </c>
      <c r="U1196" s="10">
        <f>IF(A1196="D",LEFT(UPPER(E1196)&amp;REPT(" ",15),15)," ")</f>
        <v/>
      </c>
      <c r="V1196" s="10">
        <f>REPT(" ",24)</f>
        <v/>
      </c>
      <c r="W1196" s="10">
        <f>IF(A1196="c",LEFT(UPPER(B1196)&amp;REPT(" ",20),20),REPT(" ",20))</f>
        <v/>
      </c>
      <c r="X1196" s="10">
        <f>IF(A1196="C",LEFT(UPPER(C1196)&amp;REPT(" ",10),10)," ")</f>
        <v/>
      </c>
      <c r="Y1196" s="10">
        <f>IF(A1196="C",LEFT(UPPER(D1196)&amp;REPT(" ",2),2)," ")</f>
        <v/>
      </c>
      <c r="Z1196" s="10">
        <f>IF(A1196="C",LEFT(UPPER(E1196)&amp;REPT(" ",15),15)," ")</f>
        <v/>
      </c>
      <c r="AA1196" s="10">
        <f>REPT(" ",8)</f>
        <v/>
      </c>
      <c r="AB1196" s="10">
        <f>REPT(" ",4)</f>
        <v/>
      </c>
      <c r="AC1196" s="10">
        <f>LEFT(UPPER(H1196)&amp;REPT(" ",250),250)</f>
        <v/>
      </c>
      <c r="AD1196" s="10">
        <f>TEXT($G$2,"dd/mm/aaaa")</f>
        <v/>
      </c>
      <c r="AE1196" s="10">
        <f>REPT(" ",10)</f>
        <v/>
      </c>
      <c r="AF1196" s="10">
        <f>REPT(" ",20)</f>
        <v/>
      </c>
      <c r="AG1196" s="54">
        <f>REPT(" ",18-LEN(FIXED(F1196,2,TRUE)))&amp;FIXED(F1196,2,TRUE)</f>
        <v/>
      </c>
      <c r="AH1196" s="10">
        <f>LEN(AC1196)+LEN(AG1196)</f>
        <v/>
      </c>
      <c r="AI1196" s="10">
        <f>LEN(L1196)</f>
        <v/>
      </c>
    </row>
    <row r="1197">
      <c r="J1197" s="12">
        <f>IF(F1197&lt;&gt;0,"LANÇAR","")</f>
        <v/>
      </c>
      <c r="L1197" s="13">
        <f>N1197&amp;O1197&amp;P1197&amp;Q1197&amp;R1197&amp;S1197&amp;T1197&amp;U1197&amp;V1197&amp;W1197&amp;X1197&amp;Y1197&amp;Z1197&amp;AA1197&amp;AB1197&amp;AC1197&amp;AD1197&amp;AE1197&amp;AF1197&amp;AG1197</f>
        <v/>
      </c>
      <c r="N1197" s="10">
        <f>TEXT($B$6,"00")</f>
        <v/>
      </c>
      <c r="O1197" s="10">
        <f>REPT(" ",8)</f>
        <v/>
      </c>
      <c r="P1197" s="10">
        <f>RIGHT($B$4,2)</f>
        <v/>
      </c>
      <c r="Q1197" s="10">
        <f>RIGHT($B$5,3)</f>
        <v/>
      </c>
      <c r="R1197" s="10">
        <f>IF(A1197="D",LEFT(UPPER(B1197)&amp;REPT(" ",20),20),REPT(" ",20))</f>
        <v/>
      </c>
      <c r="S1197" s="10">
        <f>IF(A1197="D",LEFT(UPPER(C1197)&amp;REPT(" ",10),10)," ")</f>
        <v/>
      </c>
      <c r="T1197" s="10">
        <f>IF(A1197="D",LEFT(UPPER(D1197)&amp;REPT(" ",2),2)," ")</f>
        <v/>
      </c>
      <c r="U1197" s="10">
        <f>IF(A1197="D",LEFT(UPPER(E1197)&amp;REPT(" ",15),15)," ")</f>
        <v/>
      </c>
      <c r="V1197" s="10">
        <f>REPT(" ",24)</f>
        <v/>
      </c>
      <c r="W1197" s="10">
        <f>IF(A1197="c",LEFT(UPPER(B1197)&amp;REPT(" ",20),20),REPT(" ",20))</f>
        <v/>
      </c>
      <c r="X1197" s="10">
        <f>IF(A1197="C",LEFT(UPPER(C1197)&amp;REPT(" ",10),10)," ")</f>
        <v/>
      </c>
      <c r="Y1197" s="10">
        <f>IF(A1197="C",LEFT(UPPER(D1197)&amp;REPT(" ",2),2)," ")</f>
        <v/>
      </c>
      <c r="Z1197" s="10">
        <f>IF(A1197="C",LEFT(UPPER(E1197)&amp;REPT(" ",15),15)," ")</f>
        <v/>
      </c>
      <c r="AA1197" s="10">
        <f>REPT(" ",8)</f>
        <v/>
      </c>
      <c r="AB1197" s="10">
        <f>REPT(" ",4)</f>
        <v/>
      </c>
      <c r="AC1197" s="10">
        <f>LEFT(UPPER(H1197)&amp;REPT(" ",250),250)</f>
        <v/>
      </c>
      <c r="AD1197" s="10">
        <f>TEXT($G$2,"dd/mm/aaaa")</f>
        <v/>
      </c>
      <c r="AE1197" s="10">
        <f>REPT(" ",10)</f>
        <v/>
      </c>
      <c r="AF1197" s="10">
        <f>REPT(" ",20)</f>
        <v/>
      </c>
      <c r="AG1197" s="54">
        <f>REPT(" ",18-LEN(FIXED(F1197,2,TRUE)))&amp;FIXED(F1197,2,TRUE)</f>
        <v/>
      </c>
      <c r="AH1197" s="10">
        <f>LEN(AC1197)+LEN(AG1197)</f>
        <v/>
      </c>
      <c r="AI1197" s="10">
        <f>LEN(L1197)</f>
        <v/>
      </c>
    </row>
    <row r="1198">
      <c r="J1198" s="12">
        <f>IF(F1198&lt;&gt;0,"LANÇAR","")</f>
        <v/>
      </c>
      <c r="L1198" s="13">
        <f>N1198&amp;O1198&amp;P1198&amp;Q1198&amp;R1198&amp;S1198&amp;T1198&amp;U1198&amp;V1198&amp;W1198&amp;X1198&amp;Y1198&amp;Z1198&amp;AA1198&amp;AB1198&amp;AC1198&amp;AD1198&amp;AE1198&amp;AF1198&amp;AG1198</f>
        <v/>
      </c>
      <c r="N1198" s="10">
        <f>TEXT($B$6,"00")</f>
        <v/>
      </c>
      <c r="O1198" s="10">
        <f>REPT(" ",8)</f>
        <v/>
      </c>
      <c r="P1198" s="10">
        <f>RIGHT($B$4,2)</f>
        <v/>
      </c>
      <c r="Q1198" s="10">
        <f>RIGHT($B$5,3)</f>
        <v/>
      </c>
      <c r="R1198" s="10">
        <f>IF(A1198="D",LEFT(UPPER(B1198)&amp;REPT(" ",20),20),REPT(" ",20))</f>
        <v/>
      </c>
      <c r="S1198" s="10">
        <f>IF(A1198="D",LEFT(UPPER(C1198)&amp;REPT(" ",10),10)," ")</f>
        <v/>
      </c>
      <c r="T1198" s="10">
        <f>IF(A1198="D",LEFT(UPPER(D1198)&amp;REPT(" ",2),2)," ")</f>
        <v/>
      </c>
      <c r="U1198" s="10">
        <f>IF(A1198="D",LEFT(UPPER(E1198)&amp;REPT(" ",15),15)," ")</f>
        <v/>
      </c>
      <c r="V1198" s="10">
        <f>REPT(" ",24)</f>
        <v/>
      </c>
      <c r="W1198" s="10">
        <f>IF(A1198="c",LEFT(UPPER(B1198)&amp;REPT(" ",20),20),REPT(" ",20))</f>
        <v/>
      </c>
      <c r="X1198" s="10">
        <f>IF(A1198="C",LEFT(UPPER(C1198)&amp;REPT(" ",10),10)," ")</f>
        <v/>
      </c>
      <c r="Y1198" s="10">
        <f>IF(A1198="C",LEFT(UPPER(D1198)&amp;REPT(" ",2),2)," ")</f>
        <v/>
      </c>
      <c r="Z1198" s="10">
        <f>IF(A1198="C",LEFT(UPPER(E1198)&amp;REPT(" ",15),15)," ")</f>
        <v/>
      </c>
      <c r="AA1198" s="10">
        <f>REPT(" ",8)</f>
        <v/>
      </c>
      <c r="AB1198" s="10">
        <f>REPT(" ",4)</f>
        <v/>
      </c>
      <c r="AC1198" s="10">
        <f>LEFT(UPPER(H1198)&amp;REPT(" ",250),250)</f>
        <v/>
      </c>
      <c r="AD1198" s="10">
        <f>TEXT($G$2,"dd/mm/aaaa")</f>
        <v/>
      </c>
      <c r="AE1198" s="10">
        <f>REPT(" ",10)</f>
        <v/>
      </c>
      <c r="AF1198" s="10">
        <f>REPT(" ",20)</f>
        <v/>
      </c>
      <c r="AG1198" s="54">
        <f>REPT(" ",18-LEN(FIXED(F1198,2,TRUE)))&amp;FIXED(F1198,2,TRUE)</f>
        <v/>
      </c>
      <c r="AH1198" s="10">
        <f>LEN(AC1198)+LEN(AG1198)</f>
        <v/>
      </c>
      <c r="AI1198" s="10">
        <f>LEN(L1198)</f>
        <v/>
      </c>
    </row>
    <row r="1199">
      <c r="J1199" s="12">
        <f>IF(F1199&lt;&gt;0,"LANÇAR","")</f>
        <v/>
      </c>
      <c r="L1199" s="13">
        <f>N1199&amp;O1199&amp;P1199&amp;Q1199&amp;R1199&amp;S1199&amp;T1199&amp;U1199&amp;V1199&amp;W1199&amp;X1199&amp;Y1199&amp;Z1199&amp;AA1199&amp;AB1199&amp;AC1199&amp;AD1199&amp;AE1199&amp;AF1199&amp;AG1199</f>
        <v/>
      </c>
      <c r="N1199" s="10">
        <f>TEXT($B$6,"00")</f>
        <v/>
      </c>
      <c r="O1199" s="10">
        <f>REPT(" ",8)</f>
        <v/>
      </c>
      <c r="P1199" s="10">
        <f>RIGHT($B$4,2)</f>
        <v/>
      </c>
      <c r="Q1199" s="10">
        <f>RIGHT($B$5,3)</f>
        <v/>
      </c>
      <c r="R1199" s="10">
        <f>IF(A1199="D",LEFT(UPPER(B1199)&amp;REPT(" ",20),20),REPT(" ",20))</f>
        <v/>
      </c>
      <c r="S1199" s="10">
        <f>IF(A1199="D",LEFT(UPPER(C1199)&amp;REPT(" ",10),10)," ")</f>
        <v/>
      </c>
      <c r="T1199" s="10">
        <f>IF(A1199="D",LEFT(UPPER(D1199)&amp;REPT(" ",2),2)," ")</f>
        <v/>
      </c>
      <c r="U1199" s="10">
        <f>IF(A1199="D",LEFT(UPPER(E1199)&amp;REPT(" ",15),15)," ")</f>
        <v/>
      </c>
      <c r="V1199" s="10">
        <f>REPT(" ",24)</f>
        <v/>
      </c>
      <c r="W1199" s="10">
        <f>IF(A1199="c",LEFT(UPPER(B1199)&amp;REPT(" ",20),20),REPT(" ",20))</f>
        <v/>
      </c>
      <c r="X1199" s="10">
        <f>IF(A1199="C",LEFT(UPPER(C1199)&amp;REPT(" ",10),10)," ")</f>
        <v/>
      </c>
      <c r="Y1199" s="10">
        <f>IF(A1199="C",LEFT(UPPER(D1199)&amp;REPT(" ",2),2)," ")</f>
        <v/>
      </c>
      <c r="Z1199" s="10">
        <f>IF(A1199="C",LEFT(UPPER(E1199)&amp;REPT(" ",15),15)," ")</f>
        <v/>
      </c>
      <c r="AA1199" s="10">
        <f>REPT(" ",8)</f>
        <v/>
      </c>
      <c r="AB1199" s="10">
        <f>REPT(" ",4)</f>
        <v/>
      </c>
      <c r="AC1199" s="10">
        <f>LEFT(UPPER(H1199)&amp;REPT(" ",250),250)</f>
        <v/>
      </c>
      <c r="AD1199" s="10">
        <f>TEXT($G$2,"dd/mm/aaaa")</f>
        <v/>
      </c>
      <c r="AE1199" s="10">
        <f>REPT(" ",10)</f>
        <v/>
      </c>
      <c r="AF1199" s="10">
        <f>REPT(" ",20)</f>
        <v/>
      </c>
      <c r="AG1199" s="54">
        <f>REPT(" ",18-LEN(FIXED(F1199,2,TRUE)))&amp;FIXED(F1199,2,TRUE)</f>
        <v/>
      </c>
      <c r="AH1199" s="10">
        <f>LEN(AC1199)+LEN(AG1199)</f>
        <v/>
      </c>
      <c r="AI1199" s="10">
        <f>LEN(L1199)</f>
        <v/>
      </c>
    </row>
    <row r="1200">
      <c r="J1200" s="12">
        <f>IF(F1200&lt;&gt;0,"LANÇAR","")</f>
        <v/>
      </c>
      <c r="L1200" s="13">
        <f>N1200&amp;O1200&amp;P1200&amp;Q1200&amp;R1200&amp;S1200&amp;T1200&amp;U1200&amp;V1200&amp;W1200&amp;X1200&amp;Y1200&amp;Z1200&amp;AA1200&amp;AB1200&amp;AC1200&amp;AD1200&amp;AE1200&amp;AF1200&amp;AG1200</f>
        <v/>
      </c>
      <c r="N1200" s="10">
        <f>TEXT($B$6,"00")</f>
        <v/>
      </c>
      <c r="O1200" s="10">
        <f>REPT(" ",8)</f>
        <v/>
      </c>
      <c r="P1200" s="10">
        <f>RIGHT($B$4,2)</f>
        <v/>
      </c>
      <c r="Q1200" s="10">
        <f>RIGHT($B$5,3)</f>
        <v/>
      </c>
      <c r="R1200" s="10">
        <f>IF(A1200="D",LEFT(UPPER(B1200)&amp;REPT(" ",20),20),REPT(" ",20))</f>
        <v/>
      </c>
      <c r="S1200" s="10">
        <f>IF(A1200="D",LEFT(UPPER(C1200)&amp;REPT(" ",10),10)," ")</f>
        <v/>
      </c>
      <c r="T1200" s="10">
        <f>IF(A1200="D",LEFT(UPPER(D1200)&amp;REPT(" ",2),2)," ")</f>
        <v/>
      </c>
      <c r="U1200" s="10">
        <f>IF(A1200="D",LEFT(UPPER(E1200)&amp;REPT(" ",15),15)," ")</f>
        <v/>
      </c>
      <c r="V1200" s="10">
        <f>REPT(" ",24)</f>
        <v/>
      </c>
      <c r="W1200" s="10">
        <f>IF(A1200="c",LEFT(UPPER(B1200)&amp;REPT(" ",20),20),REPT(" ",20))</f>
        <v/>
      </c>
      <c r="X1200" s="10">
        <f>IF(A1200="C",LEFT(UPPER(C1200)&amp;REPT(" ",10),10)," ")</f>
        <v/>
      </c>
      <c r="Y1200" s="10">
        <f>IF(A1200="C",LEFT(UPPER(D1200)&amp;REPT(" ",2),2)," ")</f>
        <v/>
      </c>
      <c r="Z1200" s="10">
        <f>IF(A1200="C",LEFT(UPPER(E1200)&amp;REPT(" ",15),15)," ")</f>
        <v/>
      </c>
      <c r="AA1200" s="10">
        <f>REPT(" ",8)</f>
        <v/>
      </c>
      <c r="AB1200" s="10">
        <f>REPT(" ",4)</f>
        <v/>
      </c>
      <c r="AC1200" s="10">
        <f>LEFT(UPPER(H1200)&amp;REPT(" ",250),250)</f>
        <v/>
      </c>
      <c r="AD1200" s="10">
        <f>TEXT($G$2,"dd/mm/aaaa")</f>
        <v/>
      </c>
      <c r="AE1200" s="10">
        <f>REPT(" ",10)</f>
        <v/>
      </c>
      <c r="AF1200" s="10">
        <f>REPT(" ",20)</f>
        <v/>
      </c>
      <c r="AG1200" s="54">
        <f>REPT(" ",18-LEN(FIXED(F1200,2,TRUE)))&amp;FIXED(F1200,2,TRUE)</f>
        <v/>
      </c>
      <c r="AH1200" s="10">
        <f>LEN(AC1200)+LEN(AG1200)</f>
        <v/>
      </c>
      <c r="AI1200" s="10">
        <f>LEN(L1200)</f>
        <v/>
      </c>
    </row>
    <row r="1201">
      <c r="J1201" s="12">
        <f>IF(F1201&lt;&gt;0,"LANÇAR","")</f>
        <v/>
      </c>
      <c r="L1201" s="13">
        <f>N1201&amp;O1201&amp;P1201&amp;Q1201&amp;R1201&amp;S1201&amp;T1201&amp;U1201&amp;V1201&amp;W1201&amp;X1201&amp;Y1201&amp;Z1201&amp;AA1201&amp;AB1201&amp;AC1201&amp;AD1201&amp;AE1201&amp;AF1201&amp;AG1201</f>
        <v/>
      </c>
      <c r="N1201" s="10">
        <f>TEXT($B$6,"00")</f>
        <v/>
      </c>
      <c r="O1201" s="10">
        <f>REPT(" ",8)</f>
        <v/>
      </c>
      <c r="P1201" s="10">
        <f>RIGHT($B$4,2)</f>
        <v/>
      </c>
      <c r="Q1201" s="10">
        <f>RIGHT($B$5,3)</f>
        <v/>
      </c>
      <c r="R1201" s="10">
        <f>IF(A1201="D",LEFT(UPPER(B1201)&amp;REPT(" ",20),20),REPT(" ",20))</f>
        <v/>
      </c>
      <c r="S1201" s="10">
        <f>IF(A1201="D",LEFT(UPPER(C1201)&amp;REPT(" ",10),10)," ")</f>
        <v/>
      </c>
      <c r="T1201" s="10">
        <f>IF(A1201="D",LEFT(UPPER(D1201)&amp;REPT(" ",2),2)," ")</f>
        <v/>
      </c>
      <c r="U1201" s="10">
        <f>IF(A1201="D",LEFT(UPPER(E1201)&amp;REPT(" ",15),15)," ")</f>
        <v/>
      </c>
      <c r="V1201" s="10">
        <f>REPT(" ",24)</f>
        <v/>
      </c>
      <c r="W1201" s="10">
        <f>IF(A1201="c",LEFT(UPPER(B1201)&amp;REPT(" ",20),20),REPT(" ",20))</f>
        <v/>
      </c>
      <c r="X1201" s="10">
        <f>IF(A1201="C",LEFT(UPPER(C1201)&amp;REPT(" ",10),10)," ")</f>
        <v/>
      </c>
      <c r="Y1201" s="10">
        <f>IF(A1201="C",LEFT(UPPER(D1201)&amp;REPT(" ",2),2)," ")</f>
        <v/>
      </c>
      <c r="Z1201" s="10">
        <f>IF(A1201="C",LEFT(UPPER(E1201)&amp;REPT(" ",15),15)," ")</f>
        <v/>
      </c>
      <c r="AA1201" s="10">
        <f>REPT(" ",8)</f>
        <v/>
      </c>
      <c r="AB1201" s="10">
        <f>REPT(" ",4)</f>
        <v/>
      </c>
      <c r="AC1201" s="10">
        <f>LEFT(UPPER(H1201)&amp;REPT(" ",250),250)</f>
        <v/>
      </c>
      <c r="AD1201" s="10">
        <f>TEXT($G$2,"dd/mm/aaaa")</f>
        <v/>
      </c>
      <c r="AE1201" s="10">
        <f>REPT(" ",10)</f>
        <v/>
      </c>
      <c r="AF1201" s="10">
        <f>REPT(" ",20)</f>
        <v/>
      </c>
      <c r="AG1201" s="54">
        <f>REPT(" ",18-LEN(FIXED(F1201,2,TRUE)))&amp;FIXED(F1201,2,TRUE)</f>
        <v/>
      </c>
      <c r="AH1201" s="10">
        <f>LEN(AC1201)+LEN(AG1201)</f>
        <v/>
      </c>
      <c r="AI1201" s="10">
        <f>LEN(L1201)</f>
        <v/>
      </c>
    </row>
    <row r="1202">
      <c r="J1202" s="12">
        <f>IF(F1202&lt;&gt;0,"LANÇAR","")</f>
        <v/>
      </c>
      <c r="L1202" s="13">
        <f>N1202&amp;O1202&amp;P1202&amp;Q1202&amp;R1202&amp;S1202&amp;T1202&amp;U1202&amp;V1202&amp;W1202&amp;X1202&amp;Y1202&amp;Z1202&amp;AA1202&amp;AB1202&amp;AC1202&amp;AD1202&amp;AE1202&amp;AF1202&amp;AG1202</f>
        <v/>
      </c>
      <c r="N1202" s="10">
        <f>TEXT($B$6,"00")</f>
        <v/>
      </c>
      <c r="O1202" s="10">
        <f>REPT(" ",8)</f>
        <v/>
      </c>
      <c r="P1202" s="10">
        <f>RIGHT($B$4,2)</f>
        <v/>
      </c>
      <c r="Q1202" s="10">
        <f>RIGHT($B$5,3)</f>
        <v/>
      </c>
      <c r="R1202" s="10">
        <f>IF(A1202="D",LEFT(UPPER(B1202)&amp;REPT(" ",20),20),REPT(" ",20))</f>
        <v/>
      </c>
      <c r="S1202" s="10">
        <f>IF(A1202="D",LEFT(UPPER(C1202)&amp;REPT(" ",10),10)," ")</f>
        <v/>
      </c>
      <c r="T1202" s="10">
        <f>IF(A1202="D",LEFT(UPPER(D1202)&amp;REPT(" ",2),2)," ")</f>
        <v/>
      </c>
      <c r="U1202" s="10">
        <f>IF(A1202="D",LEFT(UPPER(E1202)&amp;REPT(" ",15),15)," ")</f>
        <v/>
      </c>
      <c r="V1202" s="10">
        <f>REPT(" ",24)</f>
        <v/>
      </c>
      <c r="W1202" s="10">
        <f>IF(A1202="c",LEFT(UPPER(B1202)&amp;REPT(" ",20),20),REPT(" ",20))</f>
        <v/>
      </c>
      <c r="X1202" s="10">
        <f>IF(A1202="C",LEFT(UPPER(C1202)&amp;REPT(" ",10),10)," ")</f>
        <v/>
      </c>
      <c r="Y1202" s="10">
        <f>IF(A1202="C",LEFT(UPPER(D1202)&amp;REPT(" ",2),2)," ")</f>
        <v/>
      </c>
      <c r="Z1202" s="10">
        <f>IF(A1202="C",LEFT(UPPER(E1202)&amp;REPT(" ",15),15)," ")</f>
        <v/>
      </c>
      <c r="AA1202" s="10">
        <f>REPT(" ",8)</f>
        <v/>
      </c>
      <c r="AB1202" s="10">
        <f>REPT(" ",4)</f>
        <v/>
      </c>
      <c r="AC1202" s="10">
        <f>LEFT(UPPER(H1202)&amp;REPT(" ",250),250)</f>
        <v/>
      </c>
      <c r="AD1202" s="10">
        <f>TEXT($G$2,"dd/mm/aaaa")</f>
        <v/>
      </c>
      <c r="AE1202" s="10">
        <f>REPT(" ",10)</f>
        <v/>
      </c>
      <c r="AF1202" s="10">
        <f>REPT(" ",20)</f>
        <v/>
      </c>
      <c r="AG1202" s="54">
        <f>REPT(" ",18-LEN(FIXED(F1202,2,TRUE)))&amp;FIXED(F1202,2,TRUE)</f>
        <v/>
      </c>
      <c r="AH1202" s="10">
        <f>LEN(AC1202)+LEN(AG1202)</f>
        <v/>
      </c>
      <c r="AI1202" s="10">
        <f>LEN(L1202)</f>
        <v/>
      </c>
    </row>
    <row r="1203">
      <c r="J1203" s="12">
        <f>IF(F1203&lt;&gt;0,"LANÇAR","")</f>
        <v/>
      </c>
      <c r="L1203" s="13">
        <f>N1203&amp;O1203&amp;P1203&amp;Q1203&amp;R1203&amp;S1203&amp;T1203&amp;U1203&amp;V1203&amp;W1203&amp;X1203&amp;Y1203&amp;Z1203&amp;AA1203&amp;AB1203&amp;AC1203&amp;AD1203&amp;AE1203&amp;AF1203&amp;AG1203</f>
        <v/>
      </c>
      <c r="N1203" s="10">
        <f>TEXT($B$6,"00")</f>
        <v/>
      </c>
      <c r="O1203" s="10">
        <f>REPT(" ",8)</f>
        <v/>
      </c>
      <c r="P1203" s="10">
        <f>RIGHT($B$4,2)</f>
        <v/>
      </c>
      <c r="Q1203" s="10">
        <f>RIGHT($B$5,3)</f>
        <v/>
      </c>
      <c r="R1203" s="10">
        <f>IF(A1203="D",LEFT(UPPER(B1203)&amp;REPT(" ",20),20),REPT(" ",20))</f>
        <v/>
      </c>
      <c r="S1203" s="10">
        <f>IF(A1203="D",LEFT(UPPER(C1203)&amp;REPT(" ",10),10)," ")</f>
        <v/>
      </c>
      <c r="T1203" s="10">
        <f>IF(A1203="D",LEFT(UPPER(D1203)&amp;REPT(" ",2),2)," ")</f>
        <v/>
      </c>
      <c r="U1203" s="10">
        <f>IF(A1203="D",LEFT(UPPER(E1203)&amp;REPT(" ",15),15)," ")</f>
        <v/>
      </c>
      <c r="V1203" s="10">
        <f>REPT(" ",24)</f>
        <v/>
      </c>
      <c r="W1203" s="10">
        <f>IF(A1203="c",LEFT(UPPER(B1203)&amp;REPT(" ",20),20),REPT(" ",20))</f>
        <v/>
      </c>
      <c r="X1203" s="10">
        <f>IF(A1203="C",LEFT(UPPER(C1203)&amp;REPT(" ",10),10)," ")</f>
        <v/>
      </c>
      <c r="Y1203" s="10">
        <f>IF(A1203="C",LEFT(UPPER(D1203)&amp;REPT(" ",2),2)," ")</f>
        <v/>
      </c>
      <c r="Z1203" s="10">
        <f>IF(A1203="C",LEFT(UPPER(E1203)&amp;REPT(" ",15),15)," ")</f>
        <v/>
      </c>
      <c r="AA1203" s="10">
        <f>REPT(" ",8)</f>
        <v/>
      </c>
      <c r="AB1203" s="10">
        <f>REPT(" ",4)</f>
        <v/>
      </c>
      <c r="AC1203" s="10">
        <f>LEFT(UPPER(H1203)&amp;REPT(" ",250),250)</f>
        <v/>
      </c>
      <c r="AD1203" s="10">
        <f>TEXT($G$2,"dd/mm/aaaa")</f>
        <v/>
      </c>
      <c r="AE1203" s="10">
        <f>REPT(" ",10)</f>
        <v/>
      </c>
      <c r="AF1203" s="10">
        <f>REPT(" ",20)</f>
        <v/>
      </c>
      <c r="AG1203" s="54">
        <f>REPT(" ",18-LEN(FIXED(F1203,2,TRUE)))&amp;FIXED(F1203,2,TRUE)</f>
        <v/>
      </c>
      <c r="AH1203" s="10">
        <f>LEN(AC1203)+LEN(AG1203)</f>
        <v/>
      </c>
      <c r="AI1203" s="10">
        <f>LEN(L1203)</f>
        <v/>
      </c>
    </row>
    <row r="1204">
      <c r="J1204" s="12">
        <f>IF(F1204&lt;&gt;0,"LANÇAR","")</f>
        <v/>
      </c>
      <c r="L1204" s="13">
        <f>N1204&amp;O1204&amp;P1204&amp;Q1204&amp;R1204&amp;S1204&amp;T1204&amp;U1204&amp;V1204&amp;W1204&amp;X1204&amp;Y1204&amp;Z1204&amp;AA1204&amp;AB1204&amp;AC1204&amp;AD1204&amp;AE1204&amp;AF1204&amp;AG1204</f>
        <v/>
      </c>
      <c r="N1204" s="10">
        <f>TEXT($B$6,"00")</f>
        <v/>
      </c>
      <c r="O1204" s="10">
        <f>REPT(" ",8)</f>
        <v/>
      </c>
      <c r="P1204" s="10">
        <f>RIGHT($B$4,2)</f>
        <v/>
      </c>
      <c r="Q1204" s="10">
        <f>RIGHT($B$5,3)</f>
        <v/>
      </c>
      <c r="R1204" s="10">
        <f>IF(A1204="D",LEFT(UPPER(B1204)&amp;REPT(" ",20),20),REPT(" ",20))</f>
        <v/>
      </c>
      <c r="S1204" s="10">
        <f>IF(A1204="D",LEFT(UPPER(C1204)&amp;REPT(" ",10),10)," ")</f>
        <v/>
      </c>
      <c r="T1204" s="10">
        <f>IF(A1204="D",LEFT(UPPER(D1204)&amp;REPT(" ",2),2)," ")</f>
        <v/>
      </c>
      <c r="U1204" s="10">
        <f>IF(A1204="D",LEFT(UPPER(E1204)&amp;REPT(" ",15),15)," ")</f>
        <v/>
      </c>
      <c r="V1204" s="10">
        <f>REPT(" ",24)</f>
        <v/>
      </c>
      <c r="W1204" s="10">
        <f>IF(A1204="c",LEFT(UPPER(B1204)&amp;REPT(" ",20),20),REPT(" ",20))</f>
        <v/>
      </c>
      <c r="X1204" s="10">
        <f>IF(A1204="C",LEFT(UPPER(C1204)&amp;REPT(" ",10),10)," ")</f>
        <v/>
      </c>
      <c r="Y1204" s="10">
        <f>IF(A1204="C",LEFT(UPPER(D1204)&amp;REPT(" ",2),2)," ")</f>
        <v/>
      </c>
      <c r="Z1204" s="10">
        <f>IF(A1204="C",LEFT(UPPER(E1204)&amp;REPT(" ",15),15)," ")</f>
        <v/>
      </c>
      <c r="AA1204" s="10">
        <f>REPT(" ",8)</f>
        <v/>
      </c>
      <c r="AB1204" s="10">
        <f>REPT(" ",4)</f>
        <v/>
      </c>
      <c r="AC1204" s="10">
        <f>LEFT(UPPER(H1204)&amp;REPT(" ",250),250)</f>
        <v/>
      </c>
      <c r="AD1204" s="10">
        <f>TEXT($G$2,"dd/mm/aaaa")</f>
        <v/>
      </c>
      <c r="AE1204" s="10">
        <f>REPT(" ",10)</f>
        <v/>
      </c>
      <c r="AF1204" s="10">
        <f>REPT(" ",20)</f>
        <v/>
      </c>
      <c r="AG1204" s="54">
        <f>REPT(" ",18-LEN(FIXED(F1204,2,TRUE)))&amp;FIXED(F1204,2,TRUE)</f>
        <v/>
      </c>
      <c r="AH1204" s="10">
        <f>LEN(AC1204)+LEN(AG1204)</f>
        <v/>
      </c>
      <c r="AI1204" s="10">
        <f>LEN(L1204)</f>
        <v/>
      </c>
    </row>
    <row r="1205">
      <c r="J1205" s="12">
        <f>IF(F1205&lt;&gt;0,"LANÇAR","")</f>
        <v/>
      </c>
      <c r="L1205" s="13">
        <f>N1205&amp;O1205&amp;P1205&amp;Q1205&amp;R1205&amp;S1205&amp;T1205&amp;U1205&amp;V1205&amp;W1205&amp;X1205&amp;Y1205&amp;Z1205&amp;AA1205&amp;AB1205&amp;AC1205&amp;AD1205&amp;AE1205&amp;AF1205&amp;AG1205</f>
        <v/>
      </c>
      <c r="N1205" s="10">
        <f>TEXT($B$6,"00")</f>
        <v/>
      </c>
      <c r="O1205" s="10">
        <f>REPT(" ",8)</f>
        <v/>
      </c>
      <c r="P1205" s="10">
        <f>RIGHT($B$4,2)</f>
        <v/>
      </c>
      <c r="Q1205" s="10">
        <f>RIGHT($B$5,3)</f>
        <v/>
      </c>
      <c r="R1205" s="10">
        <f>IF(A1205="D",LEFT(UPPER(B1205)&amp;REPT(" ",20),20),REPT(" ",20))</f>
        <v/>
      </c>
      <c r="S1205" s="10">
        <f>IF(A1205="D",LEFT(UPPER(C1205)&amp;REPT(" ",10),10)," ")</f>
        <v/>
      </c>
      <c r="T1205" s="10">
        <f>IF(A1205="D",LEFT(UPPER(D1205)&amp;REPT(" ",2),2)," ")</f>
        <v/>
      </c>
      <c r="U1205" s="10">
        <f>IF(A1205="D",LEFT(UPPER(E1205)&amp;REPT(" ",15),15)," ")</f>
        <v/>
      </c>
      <c r="V1205" s="10">
        <f>REPT(" ",24)</f>
        <v/>
      </c>
      <c r="W1205" s="10">
        <f>IF(A1205="c",LEFT(UPPER(B1205)&amp;REPT(" ",20),20),REPT(" ",20))</f>
        <v/>
      </c>
      <c r="X1205" s="10">
        <f>IF(A1205="C",LEFT(UPPER(C1205)&amp;REPT(" ",10),10)," ")</f>
        <v/>
      </c>
      <c r="Y1205" s="10">
        <f>IF(A1205="C",LEFT(UPPER(D1205)&amp;REPT(" ",2),2)," ")</f>
        <v/>
      </c>
      <c r="Z1205" s="10">
        <f>IF(A1205="C",LEFT(UPPER(E1205)&amp;REPT(" ",15),15)," ")</f>
        <v/>
      </c>
      <c r="AA1205" s="10">
        <f>REPT(" ",8)</f>
        <v/>
      </c>
      <c r="AB1205" s="10">
        <f>REPT(" ",4)</f>
        <v/>
      </c>
      <c r="AC1205" s="10">
        <f>LEFT(UPPER(H1205)&amp;REPT(" ",250),250)</f>
        <v/>
      </c>
      <c r="AD1205" s="10">
        <f>TEXT($G$2,"dd/mm/aaaa")</f>
        <v/>
      </c>
      <c r="AE1205" s="10">
        <f>REPT(" ",10)</f>
        <v/>
      </c>
      <c r="AF1205" s="10">
        <f>REPT(" ",20)</f>
        <v/>
      </c>
      <c r="AG1205" s="54">
        <f>REPT(" ",18-LEN(FIXED(F1205,2,TRUE)))&amp;FIXED(F1205,2,TRUE)</f>
        <v/>
      </c>
      <c r="AH1205" s="10">
        <f>LEN(AC1205)+LEN(AG1205)</f>
        <v/>
      </c>
      <c r="AI1205" s="10">
        <f>LEN(L1205)</f>
        <v/>
      </c>
    </row>
    <row r="1206">
      <c r="J1206" s="12">
        <f>IF(F1206&lt;&gt;0,"LANÇAR","")</f>
        <v/>
      </c>
      <c r="L1206" s="13">
        <f>N1206&amp;O1206&amp;P1206&amp;Q1206&amp;R1206&amp;S1206&amp;T1206&amp;U1206&amp;V1206&amp;W1206&amp;X1206&amp;Y1206&amp;Z1206&amp;AA1206&amp;AB1206&amp;AC1206&amp;AD1206&amp;AE1206&amp;AF1206&amp;AG1206</f>
        <v/>
      </c>
      <c r="N1206" s="10">
        <f>TEXT($B$6,"00")</f>
        <v/>
      </c>
      <c r="O1206" s="10">
        <f>REPT(" ",8)</f>
        <v/>
      </c>
      <c r="P1206" s="10">
        <f>RIGHT($B$4,2)</f>
        <v/>
      </c>
      <c r="Q1206" s="10">
        <f>RIGHT($B$5,3)</f>
        <v/>
      </c>
      <c r="R1206" s="10">
        <f>IF(A1206="D",LEFT(UPPER(B1206)&amp;REPT(" ",20),20),REPT(" ",20))</f>
        <v/>
      </c>
      <c r="S1206" s="10">
        <f>IF(A1206="D",LEFT(UPPER(C1206)&amp;REPT(" ",10),10)," ")</f>
        <v/>
      </c>
      <c r="T1206" s="10">
        <f>IF(A1206="D",LEFT(UPPER(D1206)&amp;REPT(" ",2),2)," ")</f>
        <v/>
      </c>
      <c r="U1206" s="10">
        <f>IF(A1206="D",LEFT(UPPER(E1206)&amp;REPT(" ",15),15)," ")</f>
        <v/>
      </c>
      <c r="V1206" s="10">
        <f>REPT(" ",24)</f>
        <v/>
      </c>
      <c r="W1206" s="10">
        <f>IF(A1206="c",LEFT(UPPER(B1206)&amp;REPT(" ",20),20),REPT(" ",20))</f>
        <v/>
      </c>
      <c r="X1206" s="10">
        <f>IF(A1206="C",LEFT(UPPER(C1206)&amp;REPT(" ",10),10)," ")</f>
        <v/>
      </c>
      <c r="Y1206" s="10">
        <f>IF(A1206="C",LEFT(UPPER(D1206)&amp;REPT(" ",2),2)," ")</f>
        <v/>
      </c>
      <c r="Z1206" s="10">
        <f>IF(A1206="C",LEFT(UPPER(E1206)&amp;REPT(" ",15),15)," ")</f>
        <v/>
      </c>
      <c r="AA1206" s="10">
        <f>REPT(" ",8)</f>
        <v/>
      </c>
      <c r="AB1206" s="10">
        <f>REPT(" ",4)</f>
        <v/>
      </c>
      <c r="AC1206" s="10">
        <f>LEFT(UPPER(H1206)&amp;REPT(" ",250),250)</f>
        <v/>
      </c>
      <c r="AD1206" s="10">
        <f>TEXT($G$2,"dd/mm/aaaa")</f>
        <v/>
      </c>
      <c r="AE1206" s="10">
        <f>REPT(" ",10)</f>
        <v/>
      </c>
      <c r="AF1206" s="10">
        <f>REPT(" ",20)</f>
        <v/>
      </c>
      <c r="AG1206" s="54">
        <f>REPT(" ",18-LEN(FIXED(F1206,2,TRUE)))&amp;FIXED(F1206,2,TRUE)</f>
        <v/>
      </c>
      <c r="AH1206" s="10">
        <f>LEN(AC1206)+LEN(AG1206)</f>
        <v/>
      </c>
      <c r="AI1206" s="10">
        <f>LEN(L1206)</f>
        <v/>
      </c>
    </row>
    <row r="1207">
      <c r="J1207" s="12">
        <f>IF(F1207&lt;&gt;0,"LANÇAR","")</f>
        <v/>
      </c>
      <c r="L1207" s="13">
        <f>N1207&amp;O1207&amp;P1207&amp;Q1207&amp;R1207&amp;S1207&amp;T1207&amp;U1207&amp;V1207&amp;W1207&amp;X1207&amp;Y1207&amp;Z1207&amp;AA1207&amp;AB1207&amp;AC1207&amp;AD1207&amp;AE1207&amp;AF1207&amp;AG1207</f>
        <v/>
      </c>
      <c r="N1207" s="10">
        <f>TEXT($B$6,"00")</f>
        <v/>
      </c>
      <c r="O1207" s="10">
        <f>REPT(" ",8)</f>
        <v/>
      </c>
      <c r="P1207" s="10">
        <f>RIGHT($B$4,2)</f>
        <v/>
      </c>
      <c r="Q1207" s="10">
        <f>RIGHT($B$5,3)</f>
        <v/>
      </c>
      <c r="R1207" s="10">
        <f>IF(A1207="D",LEFT(UPPER(B1207)&amp;REPT(" ",20),20),REPT(" ",20))</f>
        <v/>
      </c>
      <c r="S1207" s="10">
        <f>IF(A1207="D",LEFT(UPPER(C1207)&amp;REPT(" ",10),10)," ")</f>
        <v/>
      </c>
      <c r="T1207" s="10">
        <f>IF(A1207="D",LEFT(UPPER(D1207)&amp;REPT(" ",2),2)," ")</f>
        <v/>
      </c>
      <c r="U1207" s="10">
        <f>IF(A1207="D",LEFT(UPPER(E1207)&amp;REPT(" ",15),15)," ")</f>
        <v/>
      </c>
      <c r="V1207" s="10">
        <f>REPT(" ",24)</f>
        <v/>
      </c>
      <c r="W1207" s="10">
        <f>IF(A1207="c",LEFT(UPPER(B1207)&amp;REPT(" ",20),20),REPT(" ",20))</f>
        <v/>
      </c>
      <c r="X1207" s="10">
        <f>IF(A1207="C",LEFT(UPPER(C1207)&amp;REPT(" ",10),10)," ")</f>
        <v/>
      </c>
      <c r="Y1207" s="10">
        <f>IF(A1207="C",LEFT(UPPER(D1207)&amp;REPT(" ",2),2)," ")</f>
        <v/>
      </c>
      <c r="Z1207" s="10">
        <f>IF(A1207="C",LEFT(UPPER(E1207)&amp;REPT(" ",15),15)," ")</f>
        <v/>
      </c>
      <c r="AA1207" s="10">
        <f>REPT(" ",8)</f>
        <v/>
      </c>
      <c r="AB1207" s="10">
        <f>REPT(" ",4)</f>
        <v/>
      </c>
      <c r="AC1207" s="10">
        <f>LEFT(UPPER(H1207)&amp;REPT(" ",250),250)</f>
        <v/>
      </c>
      <c r="AD1207" s="10">
        <f>TEXT($G$2,"dd/mm/aaaa")</f>
        <v/>
      </c>
      <c r="AE1207" s="10">
        <f>REPT(" ",10)</f>
        <v/>
      </c>
      <c r="AF1207" s="10">
        <f>REPT(" ",20)</f>
        <v/>
      </c>
      <c r="AG1207" s="54">
        <f>REPT(" ",18-LEN(FIXED(F1207,2,TRUE)))&amp;FIXED(F1207,2,TRUE)</f>
        <v/>
      </c>
      <c r="AH1207" s="10">
        <f>LEN(AC1207)+LEN(AG1207)</f>
        <v/>
      </c>
      <c r="AI1207" s="10">
        <f>LEN(L1207)</f>
        <v/>
      </c>
    </row>
    <row r="1208">
      <c r="J1208" s="12">
        <f>IF(F1208&lt;&gt;0,"LANÇAR","")</f>
        <v/>
      </c>
      <c r="L1208" s="13">
        <f>N1208&amp;O1208&amp;P1208&amp;Q1208&amp;R1208&amp;S1208&amp;T1208&amp;U1208&amp;V1208&amp;W1208&amp;X1208&amp;Y1208&amp;Z1208&amp;AA1208&amp;AB1208&amp;AC1208&amp;AD1208&amp;AE1208&amp;AF1208&amp;AG1208</f>
        <v/>
      </c>
      <c r="N1208" s="10">
        <f>TEXT($B$6,"00")</f>
        <v/>
      </c>
      <c r="O1208" s="10">
        <f>REPT(" ",8)</f>
        <v/>
      </c>
      <c r="P1208" s="10">
        <f>RIGHT($B$4,2)</f>
        <v/>
      </c>
      <c r="Q1208" s="10">
        <f>RIGHT($B$5,3)</f>
        <v/>
      </c>
      <c r="R1208" s="10">
        <f>IF(A1208="D",LEFT(UPPER(B1208)&amp;REPT(" ",20),20),REPT(" ",20))</f>
        <v/>
      </c>
      <c r="S1208" s="10">
        <f>IF(A1208="D",LEFT(UPPER(C1208)&amp;REPT(" ",10),10)," ")</f>
        <v/>
      </c>
      <c r="T1208" s="10">
        <f>IF(A1208="D",LEFT(UPPER(D1208)&amp;REPT(" ",2),2)," ")</f>
        <v/>
      </c>
      <c r="U1208" s="10">
        <f>IF(A1208="D",LEFT(UPPER(E1208)&amp;REPT(" ",15),15)," ")</f>
        <v/>
      </c>
      <c r="V1208" s="10">
        <f>REPT(" ",24)</f>
        <v/>
      </c>
      <c r="W1208" s="10">
        <f>IF(A1208="c",LEFT(UPPER(B1208)&amp;REPT(" ",20),20),REPT(" ",20))</f>
        <v/>
      </c>
      <c r="X1208" s="10">
        <f>IF(A1208="C",LEFT(UPPER(C1208)&amp;REPT(" ",10),10)," ")</f>
        <v/>
      </c>
      <c r="Y1208" s="10">
        <f>IF(A1208="C",LEFT(UPPER(D1208)&amp;REPT(" ",2),2)," ")</f>
        <v/>
      </c>
      <c r="Z1208" s="10">
        <f>IF(A1208="C",LEFT(UPPER(E1208)&amp;REPT(" ",15),15)," ")</f>
        <v/>
      </c>
      <c r="AA1208" s="10">
        <f>REPT(" ",8)</f>
        <v/>
      </c>
      <c r="AB1208" s="10">
        <f>REPT(" ",4)</f>
        <v/>
      </c>
      <c r="AC1208" s="10">
        <f>LEFT(UPPER(H1208)&amp;REPT(" ",250),250)</f>
        <v/>
      </c>
      <c r="AD1208" s="10">
        <f>TEXT($G$2,"dd/mm/aaaa")</f>
        <v/>
      </c>
      <c r="AE1208" s="10">
        <f>REPT(" ",10)</f>
        <v/>
      </c>
      <c r="AF1208" s="10">
        <f>REPT(" ",20)</f>
        <v/>
      </c>
      <c r="AG1208" s="54">
        <f>REPT(" ",18-LEN(FIXED(F1208,2,TRUE)))&amp;FIXED(F1208,2,TRUE)</f>
        <v/>
      </c>
      <c r="AH1208" s="10">
        <f>LEN(AC1208)+LEN(AG1208)</f>
        <v/>
      </c>
      <c r="AI1208" s="10">
        <f>LEN(L1208)</f>
        <v/>
      </c>
    </row>
    <row r="1209">
      <c r="J1209" s="12">
        <f>IF(F1209&lt;&gt;0,"LANÇAR","")</f>
        <v/>
      </c>
      <c r="L1209" s="13">
        <f>N1209&amp;O1209&amp;P1209&amp;Q1209&amp;R1209&amp;S1209&amp;T1209&amp;U1209&amp;V1209&amp;W1209&amp;X1209&amp;Y1209&amp;Z1209&amp;AA1209&amp;AB1209&amp;AC1209&amp;AD1209&amp;AE1209&amp;AF1209&amp;AG1209</f>
        <v/>
      </c>
      <c r="N1209" s="10">
        <f>TEXT($B$6,"00")</f>
        <v/>
      </c>
      <c r="O1209" s="10">
        <f>REPT(" ",8)</f>
        <v/>
      </c>
      <c r="P1209" s="10">
        <f>RIGHT($B$4,2)</f>
        <v/>
      </c>
      <c r="Q1209" s="10">
        <f>RIGHT($B$5,3)</f>
        <v/>
      </c>
      <c r="R1209" s="10">
        <f>IF(A1209="D",LEFT(UPPER(B1209)&amp;REPT(" ",20),20),REPT(" ",20))</f>
        <v/>
      </c>
      <c r="S1209" s="10">
        <f>IF(A1209="D",LEFT(UPPER(C1209)&amp;REPT(" ",10),10)," ")</f>
        <v/>
      </c>
      <c r="T1209" s="10">
        <f>IF(A1209="D",LEFT(UPPER(D1209)&amp;REPT(" ",2),2)," ")</f>
        <v/>
      </c>
      <c r="U1209" s="10">
        <f>IF(A1209="D",LEFT(UPPER(E1209)&amp;REPT(" ",15),15)," ")</f>
        <v/>
      </c>
      <c r="V1209" s="10">
        <f>REPT(" ",24)</f>
        <v/>
      </c>
      <c r="W1209" s="10">
        <f>IF(A1209="c",LEFT(UPPER(B1209)&amp;REPT(" ",20),20),REPT(" ",20))</f>
        <v/>
      </c>
      <c r="X1209" s="10">
        <f>IF(A1209="C",LEFT(UPPER(C1209)&amp;REPT(" ",10),10)," ")</f>
        <v/>
      </c>
      <c r="Y1209" s="10">
        <f>IF(A1209="C",LEFT(UPPER(D1209)&amp;REPT(" ",2),2)," ")</f>
        <v/>
      </c>
      <c r="Z1209" s="10">
        <f>IF(A1209="C",LEFT(UPPER(E1209)&amp;REPT(" ",15),15)," ")</f>
        <v/>
      </c>
      <c r="AA1209" s="10">
        <f>REPT(" ",8)</f>
        <v/>
      </c>
      <c r="AB1209" s="10">
        <f>REPT(" ",4)</f>
        <v/>
      </c>
      <c r="AC1209" s="10">
        <f>LEFT(UPPER(H1209)&amp;REPT(" ",250),250)</f>
        <v/>
      </c>
      <c r="AD1209" s="10">
        <f>TEXT($G$2,"dd/mm/aaaa")</f>
        <v/>
      </c>
      <c r="AE1209" s="10">
        <f>REPT(" ",10)</f>
        <v/>
      </c>
      <c r="AF1209" s="10">
        <f>REPT(" ",20)</f>
        <v/>
      </c>
      <c r="AG1209" s="54">
        <f>REPT(" ",18-LEN(FIXED(F1209,2,TRUE)))&amp;FIXED(F1209,2,TRUE)</f>
        <v/>
      </c>
      <c r="AH1209" s="10">
        <f>LEN(AC1209)+LEN(AG1209)</f>
        <v/>
      </c>
      <c r="AI1209" s="10">
        <f>LEN(L1209)</f>
        <v/>
      </c>
    </row>
    <row r="1210">
      <c r="J1210" s="12">
        <f>IF(F1210&lt;&gt;0,"LANÇAR","")</f>
        <v/>
      </c>
      <c r="L1210" s="13">
        <f>N1210&amp;O1210&amp;P1210&amp;Q1210&amp;R1210&amp;S1210&amp;T1210&amp;U1210&amp;V1210&amp;W1210&amp;X1210&amp;Y1210&amp;Z1210&amp;AA1210&amp;AB1210&amp;AC1210&amp;AD1210&amp;AE1210&amp;AF1210&amp;AG1210</f>
        <v/>
      </c>
      <c r="N1210" s="10">
        <f>TEXT($B$6,"00")</f>
        <v/>
      </c>
      <c r="O1210" s="10">
        <f>REPT(" ",8)</f>
        <v/>
      </c>
      <c r="P1210" s="10">
        <f>RIGHT($B$4,2)</f>
        <v/>
      </c>
      <c r="Q1210" s="10">
        <f>RIGHT($B$5,3)</f>
        <v/>
      </c>
      <c r="R1210" s="10">
        <f>IF(A1210="D",LEFT(UPPER(B1210)&amp;REPT(" ",20),20),REPT(" ",20))</f>
        <v/>
      </c>
      <c r="S1210" s="10">
        <f>IF(A1210="D",LEFT(UPPER(C1210)&amp;REPT(" ",10),10)," ")</f>
        <v/>
      </c>
      <c r="T1210" s="10">
        <f>IF(A1210="D",LEFT(UPPER(D1210)&amp;REPT(" ",2),2)," ")</f>
        <v/>
      </c>
      <c r="U1210" s="10">
        <f>IF(A1210="D",LEFT(UPPER(E1210)&amp;REPT(" ",15),15)," ")</f>
        <v/>
      </c>
      <c r="V1210" s="10">
        <f>REPT(" ",24)</f>
        <v/>
      </c>
      <c r="W1210" s="10">
        <f>IF(A1210="c",LEFT(UPPER(B1210)&amp;REPT(" ",20),20),REPT(" ",20))</f>
        <v/>
      </c>
      <c r="X1210" s="10">
        <f>IF(A1210="C",LEFT(UPPER(C1210)&amp;REPT(" ",10),10)," ")</f>
        <v/>
      </c>
      <c r="Y1210" s="10">
        <f>IF(A1210="C",LEFT(UPPER(D1210)&amp;REPT(" ",2),2)," ")</f>
        <v/>
      </c>
      <c r="Z1210" s="10">
        <f>IF(A1210="C",LEFT(UPPER(E1210)&amp;REPT(" ",15),15)," ")</f>
        <v/>
      </c>
      <c r="AA1210" s="10">
        <f>REPT(" ",8)</f>
        <v/>
      </c>
      <c r="AB1210" s="10">
        <f>REPT(" ",4)</f>
        <v/>
      </c>
      <c r="AC1210" s="10">
        <f>LEFT(UPPER(H1210)&amp;REPT(" ",250),250)</f>
        <v/>
      </c>
      <c r="AD1210" s="10">
        <f>TEXT($G$2,"dd/mm/aaaa")</f>
        <v/>
      </c>
      <c r="AE1210" s="10">
        <f>REPT(" ",10)</f>
        <v/>
      </c>
      <c r="AF1210" s="10">
        <f>REPT(" ",20)</f>
        <v/>
      </c>
      <c r="AG1210" s="54">
        <f>REPT(" ",18-LEN(FIXED(F1210,2,TRUE)))&amp;FIXED(F1210,2,TRUE)</f>
        <v/>
      </c>
      <c r="AH1210" s="10">
        <f>LEN(AC1210)+LEN(AG1210)</f>
        <v/>
      </c>
      <c r="AI1210" s="10">
        <f>LEN(L1210)</f>
        <v/>
      </c>
    </row>
    <row r="1211">
      <c r="J1211" s="12">
        <f>IF(F1211&lt;&gt;0,"LANÇAR","")</f>
        <v/>
      </c>
      <c r="L1211" s="13">
        <f>N1211&amp;O1211&amp;P1211&amp;Q1211&amp;R1211&amp;S1211&amp;T1211&amp;U1211&amp;V1211&amp;W1211&amp;X1211&amp;Y1211&amp;Z1211&amp;AA1211&amp;AB1211&amp;AC1211&amp;AD1211&amp;AE1211&amp;AF1211&amp;AG1211</f>
        <v/>
      </c>
      <c r="N1211" s="10">
        <f>TEXT($B$6,"00")</f>
        <v/>
      </c>
      <c r="O1211" s="10">
        <f>REPT(" ",8)</f>
        <v/>
      </c>
      <c r="P1211" s="10">
        <f>RIGHT($B$4,2)</f>
        <v/>
      </c>
      <c r="Q1211" s="10">
        <f>RIGHT($B$5,3)</f>
        <v/>
      </c>
      <c r="R1211" s="10">
        <f>IF(A1211="D",LEFT(UPPER(B1211)&amp;REPT(" ",20),20),REPT(" ",20))</f>
        <v/>
      </c>
      <c r="S1211" s="10">
        <f>IF(A1211="D",LEFT(UPPER(C1211)&amp;REPT(" ",10),10)," ")</f>
        <v/>
      </c>
      <c r="T1211" s="10">
        <f>IF(A1211="D",LEFT(UPPER(D1211)&amp;REPT(" ",2),2)," ")</f>
        <v/>
      </c>
      <c r="U1211" s="10">
        <f>IF(A1211="D",LEFT(UPPER(E1211)&amp;REPT(" ",15),15)," ")</f>
        <v/>
      </c>
      <c r="V1211" s="10">
        <f>REPT(" ",24)</f>
        <v/>
      </c>
      <c r="W1211" s="10">
        <f>IF(A1211="c",LEFT(UPPER(B1211)&amp;REPT(" ",20),20),REPT(" ",20))</f>
        <v/>
      </c>
      <c r="X1211" s="10">
        <f>IF(A1211="C",LEFT(UPPER(C1211)&amp;REPT(" ",10),10)," ")</f>
        <v/>
      </c>
      <c r="Y1211" s="10">
        <f>IF(A1211="C",LEFT(UPPER(D1211)&amp;REPT(" ",2),2)," ")</f>
        <v/>
      </c>
      <c r="Z1211" s="10">
        <f>IF(A1211="C",LEFT(UPPER(E1211)&amp;REPT(" ",15),15)," ")</f>
        <v/>
      </c>
      <c r="AA1211" s="10">
        <f>REPT(" ",8)</f>
        <v/>
      </c>
      <c r="AB1211" s="10">
        <f>REPT(" ",4)</f>
        <v/>
      </c>
      <c r="AC1211" s="10">
        <f>LEFT(UPPER(H1211)&amp;REPT(" ",250),250)</f>
        <v/>
      </c>
      <c r="AD1211" s="10">
        <f>TEXT($G$2,"dd/mm/aaaa")</f>
        <v/>
      </c>
      <c r="AE1211" s="10">
        <f>REPT(" ",10)</f>
        <v/>
      </c>
      <c r="AF1211" s="10">
        <f>REPT(" ",20)</f>
        <v/>
      </c>
      <c r="AG1211" s="54">
        <f>REPT(" ",18-LEN(FIXED(F1211,2,TRUE)))&amp;FIXED(F1211,2,TRUE)</f>
        <v/>
      </c>
      <c r="AH1211" s="10">
        <f>LEN(AC1211)+LEN(AG1211)</f>
        <v/>
      </c>
      <c r="AI1211" s="10">
        <f>LEN(L1211)</f>
        <v/>
      </c>
    </row>
    <row r="1212">
      <c r="J1212" s="12">
        <f>IF(F1212&lt;&gt;0,"LANÇAR","")</f>
        <v/>
      </c>
      <c r="L1212" s="13">
        <f>N1212&amp;O1212&amp;P1212&amp;Q1212&amp;R1212&amp;S1212&amp;T1212&amp;U1212&amp;V1212&amp;W1212&amp;X1212&amp;Y1212&amp;Z1212&amp;AA1212&amp;AB1212&amp;AC1212&amp;AD1212&amp;AE1212&amp;AF1212&amp;AG1212</f>
        <v/>
      </c>
      <c r="N1212" s="10">
        <f>TEXT($B$6,"00")</f>
        <v/>
      </c>
      <c r="O1212" s="10">
        <f>REPT(" ",8)</f>
        <v/>
      </c>
      <c r="P1212" s="10">
        <f>RIGHT($B$4,2)</f>
        <v/>
      </c>
      <c r="Q1212" s="10">
        <f>RIGHT($B$5,3)</f>
        <v/>
      </c>
      <c r="R1212" s="10">
        <f>IF(A1212="D",LEFT(UPPER(B1212)&amp;REPT(" ",20),20),REPT(" ",20))</f>
        <v/>
      </c>
      <c r="S1212" s="10">
        <f>IF(A1212="D",LEFT(UPPER(C1212)&amp;REPT(" ",10),10)," ")</f>
        <v/>
      </c>
      <c r="T1212" s="10">
        <f>IF(A1212="D",LEFT(UPPER(D1212)&amp;REPT(" ",2),2)," ")</f>
        <v/>
      </c>
      <c r="U1212" s="10">
        <f>IF(A1212="D",LEFT(UPPER(E1212)&amp;REPT(" ",15),15)," ")</f>
        <v/>
      </c>
      <c r="V1212" s="10">
        <f>REPT(" ",24)</f>
        <v/>
      </c>
      <c r="W1212" s="10">
        <f>IF(A1212="c",LEFT(UPPER(B1212)&amp;REPT(" ",20),20),REPT(" ",20))</f>
        <v/>
      </c>
      <c r="X1212" s="10">
        <f>IF(A1212="C",LEFT(UPPER(C1212)&amp;REPT(" ",10),10)," ")</f>
        <v/>
      </c>
      <c r="Y1212" s="10">
        <f>IF(A1212="C",LEFT(UPPER(D1212)&amp;REPT(" ",2),2)," ")</f>
        <v/>
      </c>
      <c r="Z1212" s="10">
        <f>IF(A1212="C",LEFT(UPPER(E1212)&amp;REPT(" ",15),15)," ")</f>
        <v/>
      </c>
      <c r="AA1212" s="10">
        <f>REPT(" ",8)</f>
        <v/>
      </c>
      <c r="AB1212" s="10">
        <f>REPT(" ",4)</f>
        <v/>
      </c>
      <c r="AC1212" s="10">
        <f>LEFT(UPPER(H1212)&amp;REPT(" ",250),250)</f>
        <v/>
      </c>
      <c r="AD1212" s="10">
        <f>TEXT($G$2,"dd/mm/aaaa")</f>
        <v/>
      </c>
      <c r="AE1212" s="10">
        <f>REPT(" ",10)</f>
        <v/>
      </c>
      <c r="AF1212" s="10">
        <f>REPT(" ",20)</f>
        <v/>
      </c>
      <c r="AG1212" s="54">
        <f>REPT(" ",18-LEN(FIXED(F1212,2,TRUE)))&amp;FIXED(F1212,2,TRUE)</f>
        <v/>
      </c>
      <c r="AH1212" s="10">
        <f>LEN(AC1212)+LEN(AG1212)</f>
        <v/>
      </c>
      <c r="AI1212" s="10">
        <f>LEN(L1212)</f>
        <v/>
      </c>
    </row>
    <row r="1213">
      <c r="J1213" s="12">
        <f>IF(F1213&lt;&gt;0,"LANÇAR","")</f>
        <v/>
      </c>
      <c r="L1213" s="13">
        <f>N1213&amp;O1213&amp;P1213&amp;Q1213&amp;R1213&amp;S1213&amp;T1213&amp;U1213&amp;V1213&amp;W1213&amp;X1213&amp;Y1213&amp;Z1213&amp;AA1213&amp;AB1213&amp;AC1213&amp;AD1213&amp;AE1213&amp;AF1213&amp;AG1213</f>
        <v/>
      </c>
      <c r="N1213" s="10">
        <f>TEXT($B$6,"00")</f>
        <v/>
      </c>
      <c r="O1213" s="10">
        <f>REPT(" ",8)</f>
        <v/>
      </c>
      <c r="P1213" s="10">
        <f>RIGHT($B$4,2)</f>
        <v/>
      </c>
      <c r="Q1213" s="10">
        <f>RIGHT($B$5,3)</f>
        <v/>
      </c>
      <c r="R1213" s="10">
        <f>IF(A1213="D",LEFT(UPPER(B1213)&amp;REPT(" ",20),20),REPT(" ",20))</f>
        <v/>
      </c>
      <c r="S1213" s="10">
        <f>IF(A1213="D",LEFT(UPPER(C1213)&amp;REPT(" ",10),10)," ")</f>
        <v/>
      </c>
      <c r="T1213" s="10">
        <f>IF(A1213="D",LEFT(UPPER(D1213)&amp;REPT(" ",2),2)," ")</f>
        <v/>
      </c>
      <c r="U1213" s="10">
        <f>IF(A1213="D",LEFT(UPPER(E1213)&amp;REPT(" ",15),15)," ")</f>
        <v/>
      </c>
      <c r="V1213" s="10">
        <f>REPT(" ",24)</f>
        <v/>
      </c>
      <c r="W1213" s="10">
        <f>IF(A1213="c",LEFT(UPPER(B1213)&amp;REPT(" ",20),20),REPT(" ",20))</f>
        <v/>
      </c>
      <c r="X1213" s="10">
        <f>IF(A1213="C",LEFT(UPPER(C1213)&amp;REPT(" ",10),10)," ")</f>
        <v/>
      </c>
      <c r="Y1213" s="10">
        <f>IF(A1213="C",LEFT(UPPER(D1213)&amp;REPT(" ",2),2)," ")</f>
        <v/>
      </c>
      <c r="Z1213" s="10">
        <f>IF(A1213="C",LEFT(UPPER(E1213)&amp;REPT(" ",15),15)," ")</f>
        <v/>
      </c>
      <c r="AA1213" s="10">
        <f>REPT(" ",8)</f>
        <v/>
      </c>
      <c r="AB1213" s="10">
        <f>REPT(" ",4)</f>
        <v/>
      </c>
      <c r="AC1213" s="10">
        <f>LEFT(UPPER(H1213)&amp;REPT(" ",250),250)</f>
        <v/>
      </c>
      <c r="AD1213" s="10">
        <f>TEXT($G$2,"dd/mm/aaaa")</f>
        <v/>
      </c>
      <c r="AE1213" s="10">
        <f>REPT(" ",10)</f>
        <v/>
      </c>
      <c r="AF1213" s="10">
        <f>REPT(" ",20)</f>
        <v/>
      </c>
      <c r="AG1213" s="54">
        <f>REPT(" ",18-LEN(FIXED(F1213,2,TRUE)))&amp;FIXED(F1213,2,TRUE)</f>
        <v/>
      </c>
      <c r="AH1213" s="10">
        <f>LEN(AC1213)+LEN(AG1213)</f>
        <v/>
      </c>
      <c r="AI1213" s="10">
        <f>LEN(L1213)</f>
        <v/>
      </c>
    </row>
    <row r="1214">
      <c r="J1214" s="12">
        <f>IF(F1214&lt;&gt;0,"LANÇAR","")</f>
        <v/>
      </c>
      <c r="L1214" s="13">
        <f>N1214&amp;O1214&amp;P1214&amp;Q1214&amp;R1214&amp;S1214&amp;T1214&amp;U1214&amp;V1214&amp;W1214&amp;X1214&amp;Y1214&amp;Z1214&amp;AA1214&amp;AB1214&amp;AC1214&amp;AD1214&amp;AE1214&amp;AF1214&amp;AG1214</f>
        <v/>
      </c>
      <c r="N1214" s="10">
        <f>TEXT($B$6,"00")</f>
        <v/>
      </c>
      <c r="O1214" s="10">
        <f>REPT(" ",8)</f>
        <v/>
      </c>
      <c r="P1214" s="10">
        <f>RIGHT($B$4,2)</f>
        <v/>
      </c>
      <c r="Q1214" s="10">
        <f>RIGHT($B$5,3)</f>
        <v/>
      </c>
      <c r="R1214" s="10">
        <f>IF(A1214="D",LEFT(UPPER(B1214)&amp;REPT(" ",20),20),REPT(" ",20))</f>
        <v/>
      </c>
      <c r="S1214" s="10">
        <f>IF(A1214="D",LEFT(UPPER(C1214)&amp;REPT(" ",10),10)," ")</f>
        <v/>
      </c>
      <c r="T1214" s="10">
        <f>IF(A1214="D",LEFT(UPPER(D1214)&amp;REPT(" ",2),2)," ")</f>
        <v/>
      </c>
      <c r="U1214" s="10">
        <f>IF(A1214="D",LEFT(UPPER(E1214)&amp;REPT(" ",15),15)," ")</f>
        <v/>
      </c>
      <c r="V1214" s="10">
        <f>REPT(" ",24)</f>
        <v/>
      </c>
      <c r="W1214" s="10">
        <f>IF(A1214="c",LEFT(UPPER(B1214)&amp;REPT(" ",20),20),REPT(" ",20))</f>
        <v/>
      </c>
      <c r="X1214" s="10">
        <f>IF(A1214="C",LEFT(UPPER(C1214)&amp;REPT(" ",10),10)," ")</f>
        <v/>
      </c>
      <c r="Y1214" s="10">
        <f>IF(A1214="C",LEFT(UPPER(D1214)&amp;REPT(" ",2),2)," ")</f>
        <v/>
      </c>
      <c r="Z1214" s="10">
        <f>IF(A1214="C",LEFT(UPPER(E1214)&amp;REPT(" ",15),15)," ")</f>
        <v/>
      </c>
      <c r="AA1214" s="10">
        <f>REPT(" ",8)</f>
        <v/>
      </c>
      <c r="AB1214" s="10">
        <f>REPT(" ",4)</f>
        <v/>
      </c>
      <c r="AC1214" s="10">
        <f>LEFT(UPPER(H1214)&amp;REPT(" ",250),250)</f>
        <v/>
      </c>
      <c r="AD1214" s="10">
        <f>TEXT($G$2,"dd/mm/aaaa")</f>
        <v/>
      </c>
      <c r="AE1214" s="10">
        <f>REPT(" ",10)</f>
        <v/>
      </c>
      <c r="AF1214" s="10">
        <f>REPT(" ",20)</f>
        <v/>
      </c>
      <c r="AG1214" s="54">
        <f>REPT(" ",18-LEN(FIXED(F1214,2,TRUE)))&amp;FIXED(F1214,2,TRUE)</f>
        <v/>
      </c>
      <c r="AH1214" s="10">
        <f>LEN(AC1214)+LEN(AG1214)</f>
        <v/>
      </c>
      <c r="AI1214" s="10">
        <f>LEN(L1214)</f>
        <v/>
      </c>
    </row>
    <row r="1215">
      <c r="J1215" s="12">
        <f>IF(F1215&lt;&gt;0,"LANÇAR","")</f>
        <v/>
      </c>
      <c r="L1215" s="13">
        <f>N1215&amp;O1215&amp;P1215&amp;Q1215&amp;R1215&amp;S1215&amp;T1215&amp;U1215&amp;V1215&amp;W1215&amp;X1215&amp;Y1215&amp;Z1215&amp;AA1215&amp;AB1215&amp;AC1215&amp;AD1215&amp;AE1215&amp;AF1215&amp;AG1215</f>
        <v/>
      </c>
      <c r="N1215" s="10">
        <f>TEXT($B$6,"00")</f>
        <v/>
      </c>
      <c r="O1215" s="10">
        <f>REPT(" ",8)</f>
        <v/>
      </c>
      <c r="P1215" s="10">
        <f>RIGHT($B$4,2)</f>
        <v/>
      </c>
      <c r="Q1215" s="10">
        <f>RIGHT($B$5,3)</f>
        <v/>
      </c>
      <c r="R1215" s="10">
        <f>IF(A1215="D",LEFT(UPPER(B1215)&amp;REPT(" ",20),20),REPT(" ",20))</f>
        <v/>
      </c>
      <c r="S1215" s="10">
        <f>IF(A1215="D",LEFT(UPPER(C1215)&amp;REPT(" ",10),10)," ")</f>
        <v/>
      </c>
      <c r="T1215" s="10">
        <f>IF(A1215="D",LEFT(UPPER(D1215)&amp;REPT(" ",2),2)," ")</f>
        <v/>
      </c>
      <c r="U1215" s="10">
        <f>IF(A1215="D",LEFT(UPPER(E1215)&amp;REPT(" ",15),15)," ")</f>
        <v/>
      </c>
      <c r="V1215" s="10">
        <f>REPT(" ",24)</f>
        <v/>
      </c>
      <c r="W1215" s="10">
        <f>IF(A1215="c",LEFT(UPPER(B1215)&amp;REPT(" ",20),20),REPT(" ",20))</f>
        <v/>
      </c>
      <c r="X1215" s="10">
        <f>IF(A1215="C",LEFT(UPPER(C1215)&amp;REPT(" ",10),10)," ")</f>
        <v/>
      </c>
      <c r="Y1215" s="10">
        <f>IF(A1215="C",LEFT(UPPER(D1215)&amp;REPT(" ",2),2)," ")</f>
        <v/>
      </c>
      <c r="Z1215" s="10">
        <f>IF(A1215="C",LEFT(UPPER(E1215)&amp;REPT(" ",15),15)," ")</f>
        <v/>
      </c>
      <c r="AA1215" s="10">
        <f>REPT(" ",8)</f>
        <v/>
      </c>
      <c r="AB1215" s="10">
        <f>REPT(" ",4)</f>
        <v/>
      </c>
      <c r="AC1215" s="10">
        <f>LEFT(UPPER(H1215)&amp;REPT(" ",250),250)</f>
        <v/>
      </c>
      <c r="AD1215" s="10">
        <f>TEXT($G$2,"dd/mm/aaaa")</f>
        <v/>
      </c>
      <c r="AE1215" s="10">
        <f>REPT(" ",10)</f>
        <v/>
      </c>
      <c r="AF1215" s="10">
        <f>REPT(" ",20)</f>
        <v/>
      </c>
      <c r="AG1215" s="54">
        <f>REPT(" ",18-LEN(FIXED(F1215,2,TRUE)))&amp;FIXED(F1215,2,TRUE)</f>
        <v/>
      </c>
      <c r="AH1215" s="10">
        <f>LEN(AC1215)+LEN(AG1215)</f>
        <v/>
      </c>
      <c r="AI1215" s="10">
        <f>LEN(L1215)</f>
        <v/>
      </c>
    </row>
    <row r="1216">
      <c r="J1216" s="12">
        <f>IF(F1216&lt;&gt;0,"LANÇAR","")</f>
        <v/>
      </c>
      <c r="L1216" s="13">
        <f>N1216&amp;O1216&amp;P1216&amp;Q1216&amp;R1216&amp;S1216&amp;T1216&amp;U1216&amp;V1216&amp;W1216&amp;X1216&amp;Y1216&amp;Z1216&amp;AA1216&amp;AB1216&amp;AC1216&amp;AD1216&amp;AE1216&amp;AF1216&amp;AG1216</f>
        <v/>
      </c>
      <c r="N1216" s="10">
        <f>TEXT($B$6,"00")</f>
        <v/>
      </c>
      <c r="O1216" s="10">
        <f>REPT(" ",8)</f>
        <v/>
      </c>
      <c r="P1216" s="10">
        <f>RIGHT($B$4,2)</f>
        <v/>
      </c>
      <c r="Q1216" s="10">
        <f>RIGHT($B$5,3)</f>
        <v/>
      </c>
      <c r="R1216" s="10">
        <f>IF(A1216="D",LEFT(UPPER(B1216)&amp;REPT(" ",20),20),REPT(" ",20))</f>
        <v/>
      </c>
      <c r="S1216" s="10">
        <f>IF(A1216="D",LEFT(UPPER(C1216)&amp;REPT(" ",10),10)," ")</f>
        <v/>
      </c>
      <c r="T1216" s="10">
        <f>IF(A1216="D",LEFT(UPPER(D1216)&amp;REPT(" ",2),2)," ")</f>
        <v/>
      </c>
      <c r="U1216" s="10">
        <f>IF(A1216="D",LEFT(UPPER(E1216)&amp;REPT(" ",15),15)," ")</f>
        <v/>
      </c>
      <c r="V1216" s="10">
        <f>REPT(" ",24)</f>
        <v/>
      </c>
      <c r="W1216" s="10">
        <f>IF(A1216="c",LEFT(UPPER(B1216)&amp;REPT(" ",20),20),REPT(" ",20))</f>
        <v/>
      </c>
      <c r="X1216" s="10">
        <f>IF(A1216="C",LEFT(UPPER(C1216)&amp;REPT(" ",10),10)," ")</f>
        <v/>
      </c>
      <c r="Y1216" s="10">
        <f>IF(A1216="C",LEFT(UPPER(D1216)&amp;REPT(" ",2),2)," ")</f>
        <v/>
      </c>
      <c r="Z1216" s="10">
        <f>IF(A1216="C",LEFT(UPPER(E1216)&amp;REPT(" ",15),15)," ")</f>
        <v/>
      </c>
      <c r="AA1216" s="10">
        <f>REPT(" ",8)</f>
        <v/>
      </c>
      <c r="AB1216" s="10">
        <f>REPT(" ",4)</f>
        <v/>
      </c>
      <c r="AC1216" s="10">
        <f>LEFT(UPPER(H1216)&amp;REPT(" ",250),250)</f>
        <v/>
      </c>
      <c r="AD1216" s="10">
        <f>TEXT($G$2,"dd/mm/aaaa")</f>
        <v/>
      </c>
      <c r="AE1216" s="10">
        <f>REPT(" ",10)</f>
        <v/>
      </c>
      <c r="AF1216" s="10">
        <f>REPT(" ",20)</f>
        <v/>
      </c>
      <c r="AG1216" s="54">
        <f>REPT(" ",18-LEN(FIXED(F1216,2,TRUE)))&amp;FIXED(F1216,2,TRUE)</f>
        <v/>
      </c>
      <c r="AH1216" s="10">
        <f>LEN(AC1216)+LEN(AG1216)</f>
        <v/>
      </c>
      <c r="AI1216" s="10">
        <f>LEN(L1216)</f>
        <v/>
      </c>
    </row>
    <row r="1217">
      <c r="J1217" s="12">
        <f>IF(F1217&lt;&gt;0,"LANÇAR","")</f>
        <v/>
      </c>
      <c r="L1217" s="13">
        <f>N1217&amp;O1217&amp;P1217&amp;Q1217&amp;R1217&amp;S1217&amp;T1217&amp;U1217&amp;V1217&amp;W1217&amp;X1217&amp;Y1217&amp;Z1217&amp;AA1217&amp;AB1217&amp;AC1217&amp;AD1217&amp;AE1217&amp;AF1217&amp;AG1217</f>
        <v/>
      </c>
      <c r="N1217" s="10">
        <f>TEXT($B$6,"00")</f>
        <v/>
      </c>
      <c r="O1217" s="10">
        <f>REPT(" ",8)</f>
        <v/>
      </c>
      <c r="P1217" s="10">
        <f>RIGHT($B$4,2)</f>
        <v/>
      </c>
      <c r="Q1217" s="10">
        <f>RIGHT($B$5,3)</f>
        <v/>
      </c>
      <c r="R1217" s="10">
        <f>IF(A1217="D",LEFT(UPPER(B1217)&amp;REPT(" ",20),20),REPT(" ",20))</f>
        <v/>
      </c>
      <c r="S1217" s="10">
        <f>IF(A1217="D",LEFT(UPPER(C1217)&amp;REPT(" ",10),10)," ")</f>
        <v/>
      </c>
      <c r="T1217" s="10">
        <f>IF(A1217="D",LEFT(UPPER(D1217)&amp;REPT(" ",2),2)," ")</f>
        <v/>
      </c>
      <c r="U1217" s="10">
        <f>IF(A1217="D",LEFT(UPPER(E1217)&amp;REPT(" ",15),15)," ")</f>
        <v/>
      </c>
      <c r="V1217" s="10">
        <f>REPT(" ",24)</f>
        <v/>
      </c>
      <c r="W1217" s="10">
        <f>IF(A1217="c",LEFT(UPPER(B1217)&amp;REPT(" ",20),20),REPT(" ",20))</f>
        <v/>
      </c>
      <c r="X1217" s="10">
        <f>IF(A1217="C",LEFT(UPPER(C1217)&amp;REPT(" ",10),10)," ")</f>
        <v/>
      </c>
      <c r="Y1217" s="10">
        <f>IF(A1217="C",LEFT(UPPER(D1217)&amp;REPT(" ",2),2)," ")</f>
        <v/>
      </c>
      <c r="Z1217" s="10">
        <f>IF(A1217="C",LEFT(UPPER(E1217)&amp;REPT(" ",15),15)," ")</f>
        <v/>
      </c>
      <c r="AA1217" s="10">
        <f>REPT(" ",8)</f>
        <v/>
      </c>
      <c r="AB1217" s="10">
        <f>REPT(" ",4)</f>
        <v/>
      </c>
      <c r="AC1217" s="10">
        <f>LEFT(UPPER(H1217)&amp;REPT(" ",250),250)</f>
        <v/>
      </c>
      <c r="AD1217" s="10">
        <f>TEXT($G$2,"dd/mm/aaaa")</f>
        <v/>
      </c>
      <c r="AE1217" s="10">
        <f>REPT(" ",10)</f>
        <v/>
      </c>
      <c r="AF1217" s="10">
        <f>REPT(" ",20)</f>
        <v/>
      </c>
      <c r="AG1217" s="54">
        <f>REPT(" ",18-LEN(FIXED(F1217,2,TRUE)))&amp;FIXED(F1217,2,TRUE)</f>
        <v/>
      </c>
      <c r="AH1217" s="10">
        <f>LEN(AC1217)+LEN(AG1217)</f>
        <v/>
      </c>
      <c r="AI1217" s="10">
        <f>LEN(L1217)</f>
        <v/>
      </c>
    </row>
    <row r="1218">
      <c r="J1218" s="12">
        <f>IF(F1218&lt;&gt;0,"LANÇAR","")</f>
        <v/>
      </c>
      <c r="L1218" s="13">
        <f>N1218&amp;O1218&amp;P1218&amp;Q1218&amp;R1218&amp;S1218&amp;T1218&amp;U1218&amp;V1218&amp;W1218&amp;X1218&amp;Y1218&amp;Z1218&amp;AA1218&amp;AB1218&amp;AC1218&amp;AD1218&amp;AE1218&amp;AF1218&amp;AG1218</f>
        <v/>
      </c>
      <c r="N1218" s="10">
        <f>TEXT($B$6,"00")</f>
        <v/>
      </c>
      <c r="O1218" s="10">
        <f>REPT(" ",8)</f>
        <v/>
      </c>
      <c r="P1218" s="10">
        <f>RIGHT($B$4,2)</f>
        <v/>
      </c>
      <c r="Q1218" s="10">
        <f>RIGHT($B$5,3)</f>
        <v/>
      </c>
      <c r="R1218" s="10">
        <f>IF(A1218="D",LEFT(UPPER(B1218)&amp;REPT(" ",20),20),REPT(" ",20))</f>
        <v/>
      </c>
      <c r="S1218" s="10">
        <f>IF(A1218="D",LEFT(UPPER(C1218)&amp;REPT(" ",10),10)," ")</f>
        <v/>
      </c>
      <c r="T1218" s="10">
        <f>IF(A1218="D",LEFT(UPPER(D1218)&amp;REPT(" ",2),2)," ")</f>
        <v/>
      </c>
      <c r="U1218" s="10">
        <f>IF(A1218="D",LEFT(UPPER(E1218)&amp;REPT(" ",15),15)," ")</f>
        <v/>
      </c>
      <c r="V1218" s="10">
        <f>REPT(" ",24)</f>
        <v/>
      </c>
      <c r="W1218" s="10">
        <f>IF(A1218="c",LEFT(UPPER(B1218)&amp;REPT(" ",20),20),REPT(" ",20))</f>
        <v/>
      </c>
      <c r="X1218" s="10">
        <f>IF(A1218="C",LEFT(UPPER(C1218)&amp;REPT(" ",10),10)," ")</f>
        <v/>
      </c>
      <c r="Y1218" s="10">
        <f>IF(A1218="C",LEFT(UPPER(D1218)&amp;REPT(" ",2),2)," ")</f>
        <v/>
      </c>
      <c r="Z1218" s="10">
        <f>IF(A1218="C",LEFT(UPPER(E1218)&amp;REPT(" ",15),15)," ")</f>
        <v/>
      </c>
      <c r="AA1218" s="10">
        <f>REPT(" ",8)</f>
        <v/>
      </c>
      <c r="AB1218" s="10">
        <f>REPT(" ",4)</f>
        <v/>
      </c>
      <c r="AC1218" s="10">
        <f>LEFT(UPPER(H1218)&amp;REPT(" ",250),250)</f>
        <v/>
      </c>
      <c r="AD1218" s="10">
        <f>TEXT($G$2,"dd/mm/aaaa")</f>
        <v/>
      </c>
      <c r="AE1218" s="10">
        <f>REPT(" ",10)</f>
        <v/>
      </c>
      <c r="AF1218" s="10">
        <f>REPT(" ",20)</f>
        <v/>
      </c>
      <c r="AG1218" s="54">
        <f>REPT(" ",18-LEN(FIXED(F1218,2,TRUE)))&amp;FIXED(F1218,2,TRUE)</f>
        <v/>
      </c>
      <c r="AH1218" s="10">
        <f>LEN(AC1218)+LEN(AG1218)</f>
        <v/>
      </c>
      <c r="AI1218" s="10">
        <f>LEN(L1218)</f>
        <v/>
      </c>
    </row>
    <row r="1219">
      <c r="J1219" s="12">
        <f>IF(F1219&lt;&gt;0,"LANÇAR","")</f>
        <v/>
      </c>
      <c r="L1219" s="13">
        <f>N1219&amp;O1219&amp;P1219&amp;Q1219&amp;R1219&amp;S1219&amp;T1219&amp;U1219&amp;V1219&amp;W1219&amp;X1219&amp;Y1219&amp;Z1219&amp;AA1219&amp;AB1219&amp;AC1219&amp;AD1219&amp;AE1219&amp;AF1219&amp;AG1219</f>
        <v/>
      </c>
      <c r="N1219" s="10">
        <f>TEXT($B$6,"00")</f>
        <v/>
      </c>
      <c r="O1219" s="10">
        <f>REPT(" ",8)</f>
        <v/>
      </c>
      <c r="P1219" s="10">
        <f>RIGHT($B$4,2)</f>
        <v/>
      </c>
      <c r="Q1219" s="10">
        <f>RIGHT($B$5,3)</f>
        <v/>
      </c>
      <c r="R1219" s="10">
        <f>IF(A1219="D",LEFT(UPPER(B1219)&amp;REPT(" ",20),20),REPT(" ",20))</f>
        <v/>
      </c>
      <c r="S1219" s="10">
        <f>IF(A1219="D",LEFT(UPPER(C1219)&amp;REPT(" ",10),10)," ")</f>
        <v/>
      </c>
      <c r="T1219" s="10">
        <f>IF(A1219="D",LEFT(UPPER(D1219)&amp;REPT(" ",2),2)," ")</f>
        <v/>
      </c>
      <c r="U1219" s="10">
        <f>IF(A1219="D",LEFT(UPPER(E1219)&amp;REPT(" ",15),15)," ")</f>
        <v/>
      </c>
      <c r="V1219" s="10">
        <f>REPT(" ",24)</f>
        <v/>
      </c>
      <c r="W1219" s="10">
        <f>IF(A1219="c",LEFT(UPPER(B1219)&amp;REPT(" ",20),20),REPT(" ",20))</f>
        <v/>
      </c>
      <c r="X1219" s="10">
        <f>IF(A1219="C",LEFT(UPPER(C1219)&amp;REPT(" ",10),10)," ")</f>
        <v/>
      </c>
      <c r="Y1219" s="10">
        <f>IF(A1219="C",LEFT(UPPER(D1219)&amp;REPT(" ",2),2)," ")</f>
        <v/>
      </c>
      <c r="Z1219" s="10">
        <f>IF(A1219="C",LEFT(UPPER(E1219)&amp;REPT(" ",15),15)," ")</f>
        <v/>
      </c>
      <c r="AA1219" s="10">
        <f>REPT(" ",8)</f>
        <v/>
      </c>
      <c r="AB1219" s="10">
        <f>REPT(" ",4)</f>
        <v/>
      </c>
      <c r="AC1219" s="10">
        <f>LEFT(UPPER(H1219)&amp;REPT(" ",250),250)</f>
        <v/>
      </c>
      <c r="AD1219" s="10">
        <f>TEXT($G$2,"dd/mm/aaaa")</f>
        <v/>
      </c>
      <c r="AE1219" s="10">
        <f>REPT(" ",10)</f>
        <v/>
      </c>
      <c r="AF1219" s="10">
        <f>REPT(" ",20)</f>
        <v/>
      </c>
      <c r="AG1219" s="54">
        <f>REPT(" ",18-LEN(FIXED(F1219,2,TRUE)))&amp;FIXED(F1219,2,TRUE)</f>
        <v/>
      </c>
      <c r="AH1219" s="10">
        <f>LEN(AC1219)+LEN(AG1219)</f>
        <v/>
      </c>
      <c r="AI1219" s="10">
        <f>LEN(L1219)</f>
        <v/>
      </c>
    </row>
    <row r="1220">
      <c r="J1220" s="12">
        <f>IF(F1220&lt;&gt;0,"LANÇAR","")</f>
        <v/>
      </c>
      <c r="L1220" s="13">
        <f>N1220&amp;O1220&amp;P1220&amp;Q1220&amp;R1220&amp;S1220&amp;T1220&amp;U1220&amp;V1220&amp;W1220&amp;X1220&amp;Y1220&amp;Z1220&amp;AA1220&amp;AB1220&amp;AC1220&amp;AD1220&amp;AE1220&amp;AF1220&amp;AG1220</f>
        <v/>
      </c>
      <c r="N1220" s="10">
        <f>TEXT($B$6,"00")</f>
        <v/>
      </c>
      <c r="O1220" s="10">
        <f>REPT(" ",8)</f>
        <v/>
      </c>
      <c r="P1220" s="10">
        <f>RIGHT($B$4,2)</f>
        <v/>
      </c>
      <c r="Q1220" s="10">
        <f>RIGHT($B$5,3)</f>
        <v/>
      </c>
      <c r="R1220" s="10">
        <f>IF(A1220="D",LEFT(UPPER(B1220)&amp;REPT(" ",20),20),REPT(" ",20))</f>
        <v/>
      </c>
      <c r="S1220" s="10">
        <f>IF(A1220="D",LEFT(UPPER(C1220)&amp;REPT(" ",10),10)," ")</f>
        <v/>
      </c>
      <c r="T1220" s="10">
        <f>IF(A1220="D",LEFT(UPPER(D1220)&amp;REPT(" ",2),2)," ")</f>
        <v/>
      </c>
      <c r="U1220" s="10">
        <f>IF(A1220="D",LEFT(UPPER(E1220)&amp;REPT(" ",15),15)," ")</f>
        <v/>
      </c>
      <c r="V1220" s="10">
        <f>REPT(" ",24)</f>
        <v/>
      </c>
      <c r="W1220" s="10">
        <f>IF(A1220="c",LEFT(UPPER(B1220)&amp;REPT(" ",20),20),REPT(" ",20))</f>
        <v/>
      </c>
      <c r="X1220" s="10">
        <f>IF(A1220="C",LEFT(UPPER(C1220)&amp;REPT(" ",10),10)," ")</f>
        <v/>
      </c>
      <c r="Y1220" s="10">
        <f>IF(A1220="C",LEFT(UPPER(D1220)&amp;REPT(" ",2),2)," ")</f>
        <v/>
      </c>
      <c r="Z1220" s="10">
        <f>IF(A1220="C",LEFT(UPPER(E1220)&amp;REPT(" ",15),15)," ")</f>
        <v/>
      </c>
      <c r="AA1220" s="10">
        <f>REPT(" ",8)</f>
        <v/>
      </c>
      <c r="AB1220" s="10">
        <f>REPT(" ",4)</f>
        <v/>
      </c>
      <c r="AC1220" s="10">
        <f>LEFT(UPPER(H1220)&amp;REPT(" ",250),250)</f>
        <v/>
      </c>
      <c r="AD1220" s="10">
        <f>TEXT($G$2,"dd/mm/aaaa")</f>
        <v/>
      </c>
      <c r="AE1220" s="10">
        <f>REPT(" ",10)</f>
        <v/>
      </c>
      <c r="AF1220" s="10">
        <f>REPT(" ",20)</f>
        <v/>
      </c>
      <c r="AG1220" s="54">
        <f>REPT(" ",18-LEN(FIXED(F1220,2,TRUE)))&amp;FIXED(F1220,2,TRUE)</f>
        <v/>
      </c>
      <c r="AH1220" s="10">
        <f>LEN(AC1220)+LEN(AG1220)</f>
        <v/>
      </c>
      <c r="AI1220" s="10">
        <f>LEN(L1220)</f>
        <v/>
      </c>
    </row>
    <row r="1221">
      <c r="J1221" s="12">
        <f>IF(F1221&lt;&gt;0,"LANÇAR","")</f>
        <v/>
      </c>
      <c r="L1221" s="13">
        <f>N1221&amp;O1221&amp;P1221&amp;Q1221&amp;R1221&amp;S1221&amp;T1221&amp;U1221&amp;V1221&amp;W1221&amp;X1221&amp;Y1221&amp;Z1221&amp;AA1221&amp;AB1221&amp;AC1221&amp;AD1221&amp;AE1221&amp;AF1221&amp;AG1221</f>
        <v/>
      </c>
      <c r="N1221" s="10">
        <f>TEXT($B$6,"00")</f>
        <v/>
      </c>
      <c r="O1221" s="10">
        <f>REPT(" ",8)</f>
        <v/>
      </c>
      <c r="P1221" s="10">
        <f>RIGHT($B$4,2)</f>
        <v/>
      </c>
      <c r="Q1221" s="10">
        <f>RIGHT($B$5,3)</f>
        <v/>
      </c>
      <c r="R1221" s="10">
        <f>IF(A1221="D",LEFT(UPPER(B1221)&amp;REPT(" ",20),20),REPT(" ",20))</f>
        <v/>
      </c>
      <c r="S1221" s="10">
        <f>IF(A1221="D",LEFT(UPPER(C1221)&amp;REPT(" ",10),10)," ")</f>
        <v/>
      </c>
      <c r="T1221" s="10">
        <f>IF(A1221="D",LEFT(UPPER(D1221)&amp;REPT(" ",2),2)," ")</f>
        <v/>
      </c>
      <c r="U1221" s="10">
        <f>IF(A1221="D",LEFT(UPPER(E1221)&amp;REPT(" ",15),15)," ")</f>
        <v/>
      </c>
      <c r="V1221" s="10">
        <f>REPT(" ",24)</f>
        <v/>
      </c>
      <c r="W1221" s="10">
        <f>IF(A1221="c",LEFT(UPPER(B1221)&amp;REPT(" ",20),20),REPT(" ",20))</f>
        <v/>
      </c>
      <c r="X1221" s="10">
        <f>IF(A1221="C",LEFT(UPPER(C1221)&amp;REPT(" ",10),10)," ")</f>
        <v/>
      </c>
      <c r="Y1221" s="10">
        <f>IF(A1221="C",LEFT(UPPER(D1221)&amp;REPT(" ",2),2)," ")</f>
        <v/>
      </c>
      <c r="Z1221" s="10">
        <f>IF(A1221="C",LEFT(UPPER(E1221)&amp;REPT(" ",15),15)," ")</f>
        <v/>
      </c>
      <c r="AA1221" s="10">
        <f>REPT(" ",8)</f>
        <v/>
      </c>
      <c r="AB1221" s="10">
        <f>REPT(" ",4)</f>
        <v/>
      </c>
      <c r="AC1221" s="10">
        <f>LEFT(UPPER(H1221)&amp;REPT(" ",250),250)</f>
        <v/>
      </c>
      <c r="AD1221" s="10">
        <f>TEXT($G$2,"dd/mm/aaaa")</f>
        <v/>
      </c>
      <c r="AE1221" s="10">
        <f>REPT(" ",10)</f>
        <v/>
      </c>
      <c r="AF1221" s="10">
        <f>REPT(" ",20)</f>
        <v/>
      </c>
      <c r="AG1221" s="54">
        <f>REPT(" ",18-LEN(FIXED(F1221,2,TRUE)))&amp;FIXED(F1221,2,TRUE)</f>
        <v/>
      </c>
      <c r="AH1221" s="10">
        <f>LEN(AC1221)+LEN(AG1221)</f>
        <v/>
      </c>
      <c r="AI1221" s="10">
        <f>LEN(L1221)</f>
        <v/>
      </c>
    </row>
    <row r="1222">
      <c r="J1222" s="12">
        <f>IF(F1222&lt;&gt;0,"LANÇAR","")</f>
        <v/>
      </c>
      <c r="L1222" s="13">
        <f>N1222&amp;O1222&amp;P1222&amp;Q1222&amp;R1222&amp;S1222&amp;T1222&amp;U1222&amp;V1222&amp;W1222&amp;X1222&amp;Y1222&amp;Z1222&amp;AA1222&amp;AB1222&amp;AC1222&amp;AD1222&amp;AE1222&amp;AF1222&amp;AG1222</f>
        <v/>
      </c>
      <c r="N1222" s="10">
        <f>TEXT($B$6,"00")</f>
        <v/>
      </c>
      <c r="O1222" s="10">
        <f>REPT(" ",8)</f>
        <v/>
      </c>
      <c r="P1222" s="10">
        <f>RIGHT($B$4,2)</f>
        <v/>
      </c>
      <c r="Q1222" s="10">
        <f>RIGHT($B$5,3)</f>
        <v/>
      </c>
      <c r="R1222" s="10">
        <f>IF(A1222="D",LEFT(UPPER(B1222)&amp;REPT(" ",20),20),REPT(" ",20))</f>
        <v/>
      </c>
      <c r="S1222" s="10">
        <f>IF(A1222="D",LEFT(UPPER(C1222)&amp;REPT(" ",10),10)," ")</f>
        <v/>
      </c>
      <c r="T1222" s="10">
        <f>IF(A1222="D",LEFT(UPPER(D1222)&amp;REPT(" ",2),2)," ")</f>
        <v/>
      </c>
      <c r="U1222" s="10">
        <f>IF(A1222="D",LEFT(UPPER(E1222)&amp;REPT(" ",15),15)," ")</f>
        <v/>
      </c>
      <c r="V1222" s="10">
        <f>REPT(" ",24)</f>
        <v/>
      </c>
      <c r="W1222" s="10">
        <f>IF(A1222="c",LEFT(UPPER(B1222)&amp;REPT(" ",20),20),REPT(" ",20))</f>
        <v/>
      </c>
      <c r="X1222" s="10">
        <f>IF(A1222="C",LEFT(UPPER(C1222)&amp;REPT(" ",10),10)," ")</f>
        <v/>
      </c>
      <c r="Y1222" s="10">
        <f>IF(A1222="C",LEFT(UPPER(D1222)&amp;REPT(" ",2),2)," ")</f>
        <v/>
      </c>
      <c r="Z1222" s="10">
        <f>IF(A1222="C",LEFT(UPPER(E1222)&amp;REPT(" ",15),15)," ")</f>
        <v/>
      </c>
      <c r="AA1222" s="10">
        <f>REPT(" ",8)</f>
        <v/>
      </c>
      <c r="AB1222" s="10">
        <f>REPT(" ",4)</f>
        <v/>
      </c>
      <c r="AC1222" s="10">
        <f>LEFT(UPPER(H1222)&amp;REPT(" ",250),250)</f>
        <v/>
      </c>
      <c r="AD1222" s="10">
        <f>TEXT($G$2,"dd/mm/aaaa")</f>
        <v/>
      </c>
      <c r="AE1222" s="10">
        <f>REPT(" ",10)</f>
        <v/>
      </c>
      <c r="AF1222" s="10">
        <f>REPT(" ",20)</f>
        <v/>
      </c>
      <c r="AG1222" s="54">
        <f>REPT(" ",18-LEN(FIXED(F1222,2,TRUE)))&amp;FIXED(F1222,2,TRUE)</f>
        <v/>
      </c>
      <c r="AH1222" s="10">
        <f>LEN(AC1222)+LEN(AG1222)</f>
        <v/>
      </c>
      <c r="AI1222" s="10">
        <f>LEN(L1222)</f>
        <v/>
      </c>
    </row>
    <row r="1223">
      <c r="J1223" s="12">
        <f>IF(F1223&lt;&gt;0,"LANÇAR","")</f>
        <v/>
      </c>
      <c r="L1223" s="13">
        <f>N1223&amp;O1223&amp;P1223&amp;Q1223&amp;R1223&amp;S1223&amp;T1223&amp;U1223&amp;V1223&amp;W1223&amp;X1223&amp;Y1223&amp;Z1223&amp;AA1223&amp;AB1223&amp;AC1223&amp;AD1223&amp;AE1223&amp;AF1223&amp;AG1223</f>
        <v/>
      </c>
      <c r="N1223" s="10">
        <f>TEXT($B$6,"00")</f>
        <v/>
      </c>
      <c r="O1223" s="10">
        <f>REPT(" ",8)</f>
        <v/>
      </c>
      <c r="P1223" s="10">
        <f>RIGHT($B$4,2)</f>
        <v/>
      </c>
      <c r="Q1223" s="10">
        <f>RIGHT($B$5,3)</f>
        <v/>
      </c>
      <c r="R1223" s="10">
        <f>IF(A1223="D",LEFT(UPPER(B1223)&amp;REPT(" ",20),20),REPT(" ",20))</f>
        <v/>
      </c>
      <c r="S1223" s="10">
        <f>IF(A1223="D",LEFT(UPPER(C1223)&amp;REPT(" ",10),10)," ")</f>
        <v/>
      </c>
      <c r="T1223" s="10">
        <f>IF(A1223="D",LEFT(UPPER(D1223)&amp;REPT(" ",2),2)," ")</f>
        <v/>
      </c>
      <c r="U1223" s="10">
        <f>IF(A1223="D",LEFT(UPPER(E1223)&amp;REPT(" ",15),15)," ")</f>
        <v/>
      </c>
      <c r="V1223" s="10">
        <f>REPT(" ",24)</f>
        <v/>
      </c>
      <c r="W1223" s="10">
        <f>IF(A1223="c",LEFT(UPPER(B1223)&amp;REPT(" ",20),20),REPT(" ",20))</f>
        <v/>
      </c>
      <c r="X1223" s="10">
        <f>IF(A1223="C",LEFT(UPPER(C1223)&amp;REPT(" ",10),10)," ")</f>
        <v/>
      </c>
      <c r="Y1223" s="10">
        <f>IF(A1223="C",LEFT(UPPER(D1223)&amp;REPT(" ",2),2)," ")</f>
        <v/>
      </c>
      <c r="Z1223" s="10">
        <f>IF(A1223="C",LEFT(UPPER(E1223)&amp;REPT(" ",15),15)," ")</f>
        <v/>
      </c>
      <c r="AA1223" s="10">
        <f>REPT(" ",8)</f>
        <v/>
      </c>
      <c r="AB1223" s="10">
        <f>REPT(" ",4)</f>
        <v/>
      </c>
      <c r="AC1223" s="10">
        <f>LEFT(UPPER(H1223)&amp;REPT(" ",250),250)</f>
        <v/>
      </c>
      <c r="AD1223" s="10">
        <f>TEXT($G$2,"dd/mm/aaaa")</f>
        <v/>
      </c>
      <c r="AE1223" s="10">
        <f>REPT(" ",10)</f>
        <v/>
      </c>
      <c r="AF1223" s="10">
        <f>REPT(" ",20)</f>
        <v/>
      </c>
      <c r="AG1223" s="54">
        <f>REPT(" ",18-LEN(FIXED(F1223,2,TRUE)))&amp;FIXED(F1223,2,TRUE)</f>
        <v/>
      </c>
      <c r="AH1223" s="10">
        <f>LEN(AC1223)+LEN(AG1223)</f>
        <v/>
      </c>
      <c r="AI1223" s="10">
        <f>LEN(L1223)</f>
        <v/>
      </c>
    </row>
    <row r="1224">
      <c r="J1224" s="12">
        <f>IF(F1224&lt;&gt;0,"LANÇAR","")</f>
        <v/>
      </c>
      <c r="L1224" s="13">
        <f>N1224&amp;O1224&amp;P1224&amp;Q1224&amp;R1224&amp;S1224&amp;T1224&amp;U1224&amp;V1224&amp;W1224&amp;X1224&amp;Y1224&amp;Z1224&amp;AA1224&amp;AB1224&amp;AC1224&amp;AD1224&amp;AE1224&amp;AF1224&amp;AG1224</f>
        <v/>
      </c>
      <c r="N1224" s="10">
        <f>TEXT($B$6,"00")</f>
        <v/>
      </c>
      <c r="O1224" s="10">
        <f>REPT(" ",8)</f>
        <v/>
      </c>
      <c r="P1224" s="10">
        <f>RIGHT($B$4,2)</f>
        <v/>
      </c>
      <c r="Q1224" s="10">
        <f>RIGHT($B$5,3)</f>
        <v/>
      </c>
      <c r="R1224" s="10">
        <f>IF(A1224="D",LEFT(UPPER(B1224)&amp;REPT(" ",20),20),REPT(" ",20))</f>
        <v/>
      </c>
      <c r="S1224" s="10">
        <f>IF(A1224="D",LEFT(UPPER(C1224)&amp;REPT(" ",10),10)," ")</f>
        <v/>
      </c>
      <c r="T1224" s="10">
        <f>IF(A1224="D",LEFT(UPPER(D1224)&amp;REPT(" ",2),2)," ")</f>
        <v/>
      </c>
      <c r="U1224" s="10">
        <f>IF(A1224="D",LEFT(UPPER(E1224)&amp;REPT(" ",15),15)," ")</f>
        <v/>
      </c>
      <c r="V1224" s="10">
        <f>REPT(" ",24)</f>
        <v/>
      </c>
      <c r="W1224" s="10">
        <f>IF(A1224="c",LEFT(UPPER(B1224)&amp;REPT(" ",20),20),REPT(" ",20))</f>
        <v/>
      </c>
      <c r="X1224" s="10">
        <f>IF(A1224="C",LEFT(UPPER(C1224)&amp;REPT(" ",10),10)," ")</f>
        <v/>
      </c>
      <c r="Y1224" s="10">
        <f>IF(A1224="C",LEFT(UPPER(D1224)&amp;REPT(" ",2),2)," ")</f>
        <v/>
      </c>
      <c r="Z1224" s="10">
        <f>IF(A1224="C",LEFT(UPPER(E1224)&amp;REPT(" ",15),15)," ")</f>
        <v/>
      </c>
      <c r="AA1224" s="10">
        <f>REPT(" ",8)</f>
        <v/>
      </c>
      <c r="AB1224" s="10">
        <f>REPT(" ",4)</f>
        <v/>
      </c>
      <c r="AC1224" s="10">
        <f>LEFT(UPPER(H1224)&amp;REPT(" ",250),250)</f>
        <v/>
      </c>
      <c r="AD1224" s="10">
        <f>TEXT($G$2,"dd/mm/aaaa")</f>
        <v/>
      </c>
      <c r="AE1224" s="10">
        <f>REPT(" ",10)</f>
        <v/>
      </c>
      <c r="AF1224" s="10">
        <f>REPT(" ",20)</f>
        <v/>
      </c>
      <c r="AG1224" s="54">
        <f>REPT(" ",18-LEN(FIXED(F1224,2,TRUE)))&amp;FIXED(F1224,2,TRUE)</f>
        <v/>
      </c>
      <c r="AH1224" s="10">
        <f>LEN(AC1224)+LEN(AG1224)</f>
        <v/>
      </c>
      <c r="AI1224" s="10">
        <f>LEN(L1224)</f>
        <v/>
      </c>
    </row>
    <row r="1225">
      <c r="J1225" s="12">
        <f>IF(F1225&lt;&gt;0,"LANÇAR","")</f>
        <v/>
      </c>
      <c r="L1225" s="13">
        <f>N1225&amp;O1225&amp;P1225&amp;Q1225&amp;R1225&amp;S1225&amp;T1225&amp;U1225&amp;V1225&amp;W1225&amp;X1225&amp;Y1225&amp;Z1225&amp;AA1225&amp;AB1225&amp;AC1225&amp;AD1225&amp;AE1225&amp;AF1225&amp;AG1225</f>
        <v/>
      </c>
      <c r="N1225" s="10">
        <f>TEXT($B$6,"00")</f>
        <v/>
      </c>
      <c r="O1225" s="10">
        <f>REPT(" ",8)</f>
        <v/>
      </c>
      <c r="P1225" s="10">
        <f>RIGHT($B$4,2)</f>
        <v/>
      </c>
      <c r="Q1225" s="10">
        <f>RIGHT($B$5,3)</f>
        <v/>
      </c>
      <c r="R1225" s="10">
        <f>IF(A1225="D",LEFT(UPPER(B1225)&amp;REPT(" ",20),20),REPT(" ",20))</f>
        <v/>
      </c>
      <c r="S1225" s="10">
        <f>IF(A1225="D",LEFT(UPPER(C1225)&amp;REPT(" ",10),10)," ")</f>
        <v/>
      </c>
      <c r="T1225" s="10">
        <f>IF(A1225="D",LEFT(UPPER(D1225)&amp;REPT(" ",2),2)," ")</f>
        <v/>
      </c>
      <c r="U1225" s="10">
        <f>IF(A1225="D",LEFT(UPPER(E1225)&amp;REPT(" ",15),15)," ")</f>
        <v/>
      </c>
      <c r="V1225" s="10">
        <f>REPT(" ",24)</f>
        <v/>
      </c>
      <c r="W1225" s="10">
        <f>IF(A1225="c",LEFT(UPPER(B1225)&amp;REPT(" ",20),20),REPT(" ",20))</f>
        <v/>
      </c>
      <c r="X1225" s="10">
        <f>IF(A1225="C",LEFT(UPPER(C1225)&amp;REPT(" ",10),10)," ")</f>
        <v/>
      </c>
      <c r="Y1225" s="10">
        <f>IF(A1225="C",LEFT(UPPER(D1225)&amp;REPT(" ",2),2)," ")</f>
        <v/>
      </c>
      <c r="Z1225" s="10">
        <f>IF(A1225="C",LEFT(UPPER(E1225)&amp;REPT(" ",15),15)," ")</f>
        <v/>
      </c>
      <c r="AA1225" s="10">
        <f>REPT(" ",8)</f>
        <v/>
      </c>
      <c r="AB1225" s="10">
        <f>REPT(" ",4)</f>
        <v/>
      </c>
      <c r="AC1225" s="10">
        <f>LEFT(UPPER(H1225)&amp;REPT(" ",250),250)</f>
        <v/>
      </c>
      <c r="AD1225" s="10">
        <f>TEXT($G$2,"dd/mm/aaaa")</f>
        <v/>
      </c>
      <c r="AE1225" s="10">
        <f>REPT(" ",10)</f>
        <v/>
      </c>
      <c r="AF1225" s="10">
        <f>REPT(" ",20)</f>
        <v/>
      </c>
      <c r="AG1225" s="54">
        <f>REPT(" ",18-LEN(FIXED(F1225,2,TRUE)))&amp;FIXED(F1225,2,TRUE)</f>
        <v/>
      </c>
      <c r="AH1225" s="10">
        <f>LEN(AC1225)+LEN(AG1225)</f>
        <v/>
      </c>
      <c r="AI1225" s="10">
        <f>LEN(L1225)</f>
        <v/>
      </c>
    </row>
    <row r="1226">
      <c r="J1226" s="12">
        <f>IF(F1226&lt;&gt;0,"LANÇAR","")</f>
        <v/>
      </c>
      <c r="L1226" s="13">
        <f>N1226&amp;O1226&amp;P1226&amp;Q1226&amp;R1226&amp;S1226&amp;T1226&amp;U1226&amp;V1226&amp;W1226&amp;X1226&amp;Y1226&amp;Z1226&amp;AA1226&amp;AB1226&amp;AC1226&amp;AD1226&amp;AE1226&amp;AF1226&amp;AG1226</f>
        <v/>
      </c>
      <c r="N1226" s="10">
        <f>TEXT($B$6,"00")</f>
        <v/>
      </c>
      <c r="O1226" s="10">
        <f>REPT(" ",8)</f>
        <v/>
      </c>
      <c r="P1226" s="10">
        <f>RIGHT($B$4,2)</f>
        <v/>
      </c>
      <c r="Q1226" s="10">
        <f>RIGHT($B$5,3)</f>
        <v/>
      </c>
      <c r="R1226" s="10">
        <f>IF(A1226="D",LEFT(UPPER(B1226)&amp;REPT(" ",20),20),REPT(" ",20))</f>
        <v/>
      </c>
      <c r="S1226" s="10">
        <f>IF(A1226="D",LEFT(UPPER(C1226)&amp;REPT(" ",10),10)," ")</f>
        <v/>
      </c>
      <c r="T1226" s="10">
        <f>IF(A1226="D",LEFT(UPPER(D1226)&amp;REPT(" ",2),2)," ")</f>
        <v/>
      </c>
      <c r="U1226" s="10">
        <f>IF(A1226="D",LEFT(UPPER(E1226)&amp;REPT(" ",15),15)," ")</f>
        <v/>
      </c>
      <c r="V1226" s="10">
        <f>REPT(" ",24)</f>
        <v/>
      </c>
      <c r="W1226" s="10">
        <f>IF(A1226="c",LEFT(UPPER(B1226)&amp;REPT(" ",20),20),REPT(" ",20))</f>
        <v/>
      </c>
      <c r="X1226" s="10">
        <f>IF(A1226="C",LEFT(UPPER(C1226)&amp;REPT(" ",10),10)," ")</f>
        <v/>
      </c>
      <c r="Y1226" s="10">
        <f>IF(A1226="C",LEFT(UPPER(D1226)&amp;REPT(" ",2),2)," ")</f>
        <v/>
      </c>
      <c r="Z1226" s="10">
        <f>IF(A1226="C",LEFT(UPPER(E1226)&amp;REPT(" ",15),15)," ")</f>
        <v/>
      </c>
      <c r="AA1226" s="10">
        <f>REPT(" ",8)</f>
        <v/>
      </c>
      <c r="AB1226" s="10">
        <f>REPT(" ",4)</f>
        <v/>
      </c>
      <c r="AC1226" s="10">
        <f>LEFT(UPPER(H1226)&amp;REPT(" ",250),250)</f>
        <v/>
      </c>
      <c r="AD1226" s="10">
        <f>TEXT($G$2,"dd/mm/aaaa")</f>
        <v/>
      </c>
      <c r="AE1226" s="10">
        <f>REPT(" ",10)</f>
        <v/>
      </c>
      <c r="AF1226" s="10">
        <f>REPT(" ",20)</f>
        <v/>
      </c>
      <c r="AG1226" s="54">
        <f>REPT(" ",18-LEN(FIXED(F1226,2,TRUE)))&amp;FIXED(F1226,2,TRUE)</f>
        <v/>
      </c>
      <c r="AH1226" s="10">
        <f>LEN(AC1226)+LEN(AG1226)</f>
        <v/>
      </c>
      <c r="AI1226" s="10">
        <f>LEN(L1226)</f>
        <v/>
      </c>
    </row>
    <row r="1227">
      <c r="J1227" s="12">
        <f>IF(F1227&lt;&gt;0,"LANÇAR","")</f>
        <v/>
      </c>
      <c r="L1227" s="13">
        <f>N1227&amp;O1227&amp;P1227&amp;Q1227&amp;R1227&amp;S1227&amp;T1227&amp;U1227&amp;V1227&amp;W1227&amp;X1227&amp;Y1227&amp;Z1227&amp;AA1227&amp;AB1227&amp;AC1227&amp;AD1227&amp;AE1227&amp;AF1227&amp;AG1227</f>
        <v/>
      </c>
      <c r="N1227" s="10">
        <f>TEXT($B$6,"00")</f>
        <v/>
      </c>
      <c r="O1227" s="10">
        <f>REPT(" ",8)</f>
        <v/>
      </c>
      <c r="P1227" s="10">
        <f>RIGHT($B$4,2)</f>
        <v/>
      </c>
      <c r="Q1227" s="10">
        <f>RIGHT($B$5,3)</f>
        <v/>
      </c>
      <c r="R1227" s="10">
        <f>IF(A1227="D",LEFT(UPPER(B1227)&amp;REPT(" ",20),20),REPT(" ",20))</f>
        <v/>
      </c>
      <c r="S1227" s="10">
        <f>IF(A1227="D",LEFT(UPPER(C1227)&amp;REPT(" ",10),10)," ")</f>
        <v/>
      </c>
      <c r="T1227" s="10">
        <f>IF(A1227="D",LEFT(UPPER(D1227)&amp;REPT(" ",2),2)," ")</f>
        <v/>
      </c>
      <c r="U1227" s="10">
        <f>IF(A1227="D",LEFT(UPPER(E1227)&amp;REPT(" ",15),15)," ")</f>
        <v/>
      </c>
      <c r="V1227" s="10">
        <f>REPT(" ",24)</f>
        <v/>
      </c>
      <c r="W1227" s="10">
        <f>IF(A1227="c",LEFT(UPPER(B1227)&amp;REPT(" ",20),20),REPT(" ",20))</f>
        <v/>
      </c>
      <c r="X1227" s="10">
        <f>IF(A1227="C",LEFT(UPPER(C1227)&amp;REPT(" ",10),10)," ")</f>
        <v/>
      </c>
      <c r="Y1227" s="10">
        <f>IF(A1227="C",LEFT(UPPER(D1227)&amp;REPT(" ",2),2)," ")</f>
        <v/>
      </c>
      <c r="Z1227" s="10">
        <f>IF(A1227="C",LEFT(UPPER(E1227)&amp;REPT(" ",15),15)," ")</f>
        <v/>
      </c>
      <c r="AA1227" s="10">
        <f>REPT(" ",8)</f>
        <v/>
      </c>
      <c r="AB1227" s="10">
        <f>REPT(" ",4)</f>
        <v/>
      </c>
      <c r="AC1227" s="10">
        <f>LEFT(UPPER(H1227)&amp;REPT(" ",250),250)</f>
        <v/>
      </c>
      <c r="AD1227" s="10">
        <f>TEXT($G$2,"dd/mm/aaaa")</f>
        <v/>
      </c>
      <c r="AE1227" s="10">
        <f>REPT(" ",10)</f>
        <v/>
      </c>
      <c r="AF1227" s="10">
        <f>REPT(" ",20)</f>
        <v/>
      </c>
      <c r="AG1227" s="54">
        <f>REPT(" ",18-LEN(FIXED(F1227,2,TRUE)))&amp;FIXED(F1227,2,TRUE)</f>
        <v/>
      </c>
      <c r="AH1227" s="10">
        <f>LEN(AC1227)+LEN(AG1227)</f>
        <v/>
      </c>
      <c r="AI1227" s="10">
        <f>LEN(L1227)</f>
        <v/>
      </c>
    </row>
    <row r="1228">
      <c r="J1228" s="12">
        <f>IF(F1228&lt;&gt;0,"LANÇAR","")</f>
        <v/>
      </c>
      <c r="L1228" s="13">
        <f>N1228&amp;O1228&amp;P1228&amp;Q1228&amp;R1228&amp;S1228&amp;T1228&amp;U1228&amp;V1228&amp;W1228&amp;X1228&amp;Y1228&amp;Z1228&amp;AA1228&amp;AB1228&amp;AC1228&amp;AD1228&amp;AE1228&amp;AF1228&amp;AG1228</f>
        <v/>
      </c>
      <c r="N1228" s="10">
        <f>TEXT($B$6,"00")</f>
        <v/>
      </c>
      <c r="O1228" s="10">
        <f>REPT(" ",8)</f>
        <v/>
      </c>
      <c r="P1228" s="10">
        <f>RIGHT($B$4,2)</f>
        <v/>
      </c>
      <c r="Q1228" s="10">
        <f>RIGHT($B$5,3)</f>
        <v/>
      </c>
      <c r="R1228" s="10">
        <f>IF(A1228="D",LEFT(UPPER(B1228)&amp;REPT(" ",20),20),REPT(" ",20))</f>
        <v/>
      </c>
      <c r="S1228" s="10">
        <f>IF(A1228="D",LEFT(UPPER(C1228)&amp;REPT(" ",10),10)," ")</f>
        <v/>
      </c>
      <c r="T1228" s="10">
        <f>IF(A1228="D",LEFT(UPPER(D1228)&amp;REPT(" ",2),2)," ")</f>
        <v/>
      </c>
      <c r="U1228" s="10">
        <f>IF(A1228="D",LEFT(UPPER(E1228)&amp;REPT(" ",15),15)," ")</f>
        <v/>
      </c>
      <c r="V1228" s="10">
        <f>REPT(" ",24)</f>
        <v/>
      </c>
      <c r="W1228" s="10">
        <f>IF(A1228="c",LEFT(UPPER(B1228)&amp;REPT(" ",20),20),REPT(" ",20))</f>
        <v/>
      </c>
      <c r="X1228" s="10">
        <f>IF(A1228="C",LEFT(UPPER(C1228)&amp;REPT(" ",10),10)," ")</f>
        <v/>
      </c>
      <c r="Y1228" s="10">
        <f>IF(A1228="C",LEFT(UPPER(D1228)&amp;REPT(" ",2),2)," ")</f>
        <v/>
      </c>
      <c r="Z1228" s="10">
        <f>IF(A1228="C",LEFT(UPPER(E1228)&amp;REPT(" ",15),15)," ")</f>
        <v/>
      </c>
      <c r="AA1228" s="10">
        <f>REPT(" ",8)</f>
        <v/>
      </c>
      <c r="AB1228" s="10">
        <f>REPT(" ",4)</f>
        <v/>
      </c>
      <c r="AC1228" s="10">
        <f>LEFT(UPPER(H1228)&amp;REPT(" ",250),250)</f>
        <v/>
      </c>
      <c r="AD1228" s="10">
        <f>TEXT($G$2,"dd/mm/aaaa")</f>
        <v/>
      </c>
      <c r="AE1228" s="10">
        <f>REPT(" ",10)</f>
        <v/>
      </c>
      <c r="AF1228" s="10">
        <f>REPT(" ",20)</f>
        <v/>
      </c>
      <c r="AG1228" s="54">
        <f>REPT(" ",18-LEN(FIXED(F1228,2,TRUE)))&amp;FIXED(F1228,2,TRUE)</f>
        <v/>
      </c>
      <c r="AH1228" s="10">
        <f>LEN(AC1228)+LEN(AG1228)</f>
        <v/>
      </c>
      <c r="AI1228" s="10">
        <f>LEN(L1228)</f>
        <v/>
      </c>
    </row>
    <row r="1229">
      <c r="J1229" s="12">
        <f>IF(F1229&lt;&gt;0,"LANÇAR","")</f>
        <v/>
      </c>
      <c r="L1229" s="13">
        <f>N1229&amp;O1229&amp;P1229&amp;Q1229&amp;R1229&amp;S1229&amp;T1229&amp;U1229&amp;V1229&amp;W1229&amp;X1229&amp;Y1229&amp;Z1229&amp;AA1229&amp;AB1229&amp;AC1229&amp;AD1229&amp;AE1229&amp;AF1229&amp;AG1229</f>
        <v/>
      </c>
      <c r="N1229" s="10">
        <f>TEXT($B$6,"00")</f>
        <v/>
      </c>
      <c r="O1229" s="10">
        <f>REPT(" ",8)</f>
        <v/>
      </c>
      <c r="P1229" s="10">
        <f>RIGHT($B$4,2)</f>
        <v/>
      </c>
      <c r="Q1229" s="10">
        <f>RIGHT($B$5,3)</f>
        <v/>
      </c>
      <c r="R1229" s="10">
        <f>IF(A1229="D",LEFT(UPPER(B1229)&amp;REPT(" ",20),20),REPT(" ",20))</f>
        <v/>
      </c>
      <c r="S1229" s="10">
        <f>IF(A1229="D",LEFT(UPPER(C1229)&amp;REPT(" ",10),10)," ")</f>
        <v/>
      </c>
      <c r="T1229" s="10">
        <f>IF(A1229="D",LEFT(UPPER(D1229)&amp;REPT(" ",2),2)," ")</f>
        <v/>
      </c>
      <c r="U1229" s="10">
        <f>IF(A1229="D",LEFT(UPPER(E1229)&amp;REPT(" ",15),15)," ")</f>
        <v/>
      </c>
      <c r="V1229" s="10">
        <f>REPT(" ",24)</f>
        <v/>
      </c>
      <c r="W1229" s="10">
        <f>IF(A1229="c",LEFT(UPPER(B1229)&amp;REPT(" ",20),20),REPT(" ",20))</f>
        <v/>
      </c>
      <c r="X1229" s="10">
        <f>IF(A1229="C",LEFT(UPPER(C1229)&amp;REPT(" ",10),10)," ")</f>
        <v/>
      </c>
      <c r="Y1229" s="10">
        <f>IF(A1229="C",LEFT(UPPER(D1229)&amp;REPT(" ",2),2)," ")</f>
        <v/>
      </c>
      <c r="Z1229" s="10">
        <f>IF(A1229="C",LEFT(UPPER(E1229)&amp;REPT(" ",15),15)," ")</f>
        <v/>
      </c>
      <c r="AA1229" s="10">
        <f>REPT(" ",8)</f>
        <v/>
      </c>
      <c r="AB1229" s="10">
        <f>REPT(" ",4)</f>
        <v/>
      </c>
      <c r="AC1229" s="10">
        <f>LEFT(UPPER(H1229)&amp;REPT(" ",250),250)</f>
        <v/>
      </c>
      <c r="AD1229" s="10">
        <f>TEXT($G$2,"dd/mm/aaaa")</f>
        <v/>
      </c>
      <c r="AE1229" s="10">
        <f>REPT(" ",10)</f>
        <v/>
      </c>
      <c r="AF1229" s="10">
        <f>REPT(" ",20)</f>
        <v/>
      </c>
      <c r="AG1229" s="54">
        <f>REPT(" ",18-LEN(FIXED(F1229,2,TRUE)))&amp;FIXED(F1229,2,TRUE)</f>
        <v/>
      </c>
      <c r="AH1229" s="10">
        <f>LEN(AC1229)+LEN(AG1229)</f>
        <v/>
      </c>
      <c r="AI1229" s="10">
        <f>LEN(L1229)</f>
        <v/>
      </c>
    </row>
    <row r="1230">
      <c r="J1230" s="12">
        <f>IF(F1230&lt;&gt;0,"LANÇAR","")</f>
        <v/>
      </c>
      <c r="L1230" s="13">
        <f>N1230&amp;O1230&amp;P1230&amp;Q1230&amp;R1230&amp;S1230&amp;T1230&amp;U1230&amp;V1230&amp;W1230&amp;X1230&amp;Y1230&amp;Z1230&amp;AA1230&amp;AB1230&amp;AC1230&amp;AD1230&amp;AE1230&amp;AF1230&amp;AG1230</f>
        <v/>
      </c>
      <c r="N1230" s="10">
        <f>TEXT($B$6,"00")</f>
        <v/>
      </c>
      <c r="O1230" s="10">
        <f>REPT(" ",8)</f>
        <v/>
      </c>
      <c r="P1230" s="10">
        <f>RIGHT($B$4,2)</f>
        <v/>
      </c>
      <c r="Q1230" s="10">
        <f>RIGHT($B$5,3)</f>
        <v/>
      </c>
      <c r="R1230" s="10">
        <f>IF(A1230="D",LEFT(UPPER(B1230)&amp;REPT(" ",20),20),REPT(" ",20))</f>
        <v/>
      </c>
      <c r="S1230" s="10">
        <f>IF(A1230="D",LEFT(UPPER(C1230)&amp;REPT(" ",10),10)," ")</f>
        <v/>
      </c>
      <c r="T1230" s="10">
        <f>IF(A1230="D",LEFT(UPPER(D1230)&amp;REPT(" ",2),2)," ")</f>
        <v/>
      </c>
      <c r="U1230" s="10">
        <f>IF(A1230="D",LEFT(UPPER(E1230)&amp;REPT(" ",15),15)," ")</f>
        <v/>
      </c>
      <c r="V1230" s="10">
        <f>REPT(" ",24)</f>
        <v/>
      </c>
      <c r="W1230" s="10">
        <f>IF(A1230="c",LEFT(UPPER(B1230)&amp;REPT(" ",20),20),REPT(" ",20))</f>
        <v/>
      </c>
      <c r="X1230" s="10">
        <f>IF(A1230="C",LEFT(UPPER(C1230)&amp;REPT(" ",10),10)," ")</f>
        <v/>
      </c>
      <c r="Y1230" s="10">
        <f>IF(A1230="C",LEFT(UPPER(D1230)&amp;REPT(" ",2),2)," ")</f>
        <v/>
      </c>
      <c r="Z1230" s="10">
        <f>IF(A1230="C",LEFT(UPPER(E1230)&amp;REPT(" ",15),15)," ")</f>
        <v/>
      </c>
      <c r="AA1230" s="10">
        <f>REPT(" ",8)</f>
        <v/>
      </c>
      <c r="AB1230" s="10">
        <f>REPT(" ",4)</f>
        <v/>
      </c>
      <c r="AC1230" s="10">
        <f>LEFT(UPPER(H1230)&amp;REPT(" ",250),250)</f>
        <v/>
      </c>
      <c r="AD1230" s="10">
        <f>TEXT($G$2,"dd/mm/aaaa")</f>
        <v/>
      </c>
      <c r="AE1230" s="10">
        <f>REPT(" ",10)</f>
        <v/>
      </c>
      <c r="AF1230" s="10">
        <f>REPT(" ",20)</f>
        <v/>
      </c>
      <c r="AG1230" s="54">
        <f>REPT(" ",18-LEN(FIXED(F1230,2,TRUE)))&amp;FIXED(F1230,2,TRUE)</f>
        <v/>
      </c>
      <c r="AH1230" s="10">
        <f>LEN(AC1230)+LEN(AG1230)</f>
        <v/>
      </c>
      <c r="AI1230" s="10">
        <f>LEN(L1230)</f>
        <v/>
      </c>
    </row>
    <row r="1231">
      <c r="J1231" s="12">
        <f>IF(F1231&lt;&gt;0,"LANÇAR","")</f>
        <v/>
      </c>
      <c r="L1231" s="13">
        <f>N1231&amp;O1231&amp;P1231&amp;Q1231&amp;R1231&amp;S1231&amp;T1231&amp;U1231&amp;V1231&amp;W1231&amp;X1231&amp;Y1231&amp;Z1231&amp;AA1231&amp;AB1231&amp;AC1231&amp;AD1231&amp;AE1231&amp;AF1231&amp;AG1231</f>
        <v/>
      </c>
      <c r="N1231" s="10">
        <f>TEXT($B$6,"00")</f>
        <v/>
      </c>
      <c r="O1231" s="10">
        <f>REPT(" ",8)</f>
        <v/>
      </c>
      <c r="P1231" s="10">
        <f>RIGHT($B$4,2)</f>
        <v/>
      </c>
      <c r="Q1231" s="10">
        <f>RIGHT($B$5,3)</f>
        <v/>
      </c>
      <c r="R1231" s="10">
        <f>IF(A1231="D",LEFT(UPPER(B1231)&amp;REPT(" ",20),20),REPT(" ",20))</f>
        <v/>
      </c>
      <c r="S1231" s="10">
        <f>IF(A1231="D",LEFT(UPPER(C1231)&amp;REPT(" ",10),10)," ")</f>
        <v/>
      </c>
      <c r="T1231" s="10">
        <f>IF(A1231="D",LEFT(UPPER(D1231)&amp;REPT(" ",2),2)," ")</f>
        <v/>
      </c>
      <c r="U1231" s="10">
        <f>IF(A1231="D",LEFT(UPPER(E1231)&amp;REPT(" ",15),15)," ")</f>
        <v/>
      </c>
      <c r="V1231" s="10">
        <f>REPT(" ",24)</f>
        <v/>
      </c>
      <c r="W1231" s="10">
        <f>IF(A1231="c",LEFT(UPPER(B1231)&amp;REPT(" ",20),20),REPT(" ",20))</f>
        <v/>
      </c>
      <c r="X1231" s="10">
        <f>IF(A1231="C",LEFT(UPPER(C1231)&amp;REPT(" ",10),10)," ")</f>
        <v/>
      </c>
      <c r="Y1231" s="10">
        <f>IF(A1231="C",LEFT(UPPER(D1231)&amp;REPT(" ",2),2)," ")</f>
        <v/>
      </c>
      <c r="Z1231" s="10">
        <f>IF(A1231="C",LEFT(UPPER(E1231)&amp;REPT(" ",15),15)," ")</f>
        <v/>
      </c>
      <c r="AA1231" s="10">
        <f>REPT(" ",8)</f>
        <v/>
      </c>
      <c r="AB1231" s="10">
        <f>REPT(" ",4)</f>
        <v/>
      </c>
      <c r="AC1231" s="10">
        <f>LEFT(UPPER(H1231)&amp;REPT(" ",250),250)</f>
        <v/>
      </c>
      <c r="AD1231" s="10">
        <f>TEXT($G$2,"dd/mm/aaaa")</f>
        <v/>
      </c>
      <c r="AE1231" s="10">
        <f>REPT(" ",10)</f>
        <v/>
      </c>
      <c r="AF1231" s="10">
        <f>REPT(" ",20)</f>
        <v/>
      </c>
      <c r="AG1231" s="54">
        <f>REPT(" ",18-LEN(FIXED(F1231,2,TRUE)))&amp;FIXED(F1231,2,TRUE)</f>
        <v/>
      </c>
      <c r="AH1231" s="10">
        <f>LEN(AC1231)+LEN(AG1231)</f>
        <v/>
      </c>
      <c r="AI1231" s="10">
        <f>LEN(L1231)</f>
        <v/>
      </c>
    </row>
    <row r="1232">
      <c r="J1232" s="12">
        <f>IF(F1232&lt;&gt;0,"LANÇAR","")</f>
        <v/>
      </c>
      <c r="L1232" s="13">
        <f>N1232&amp;O1232&amp;P1232&amp;Q1232&amp;R1232&amp;S1232&amp;T1232&amp;U1232&amp;V1232&amp;W1232&amp;X1232&amp;Y1232&amp;Z1232&amp;AA1232&amp;AB1232&amp;AC1232&amp;AD1232&amp;AE1232&amp;AF1232&amp;AG1232</f>
        <v/>
      </c>
      <c r="N1232" s="10">
        <f>TEXT($B$6,"00")</f>
        <v/>
      </c>
      <c r="O1232" s="10">
        <f>REPT(" ",8)</f>
        <v/>
      </c>
      <c r="P1232" s="10">
        <f>RIGHT($B$4,2)</f>
        <v/>
      </c>
      <c r="Q1232" s="10">
        <f>RIGHT($B$5,3)</f>
        <v/>
      </c>
      <c r="R1232" s="10">
        <f>IF(A1232="D",LEFT(UPPER(B1232)&amp;REPT(" ",20),20),REPT(" ",20))</f>
        <v/>
      </c>
      <c r="S1232" s="10">
        <f>IF(A1232="D",LEFT(UPPER(C1232)&amp;REPT(" ",10),10)," ")</f>
        <v/>
      </c>
      <c r="T1232" s="10">
        <f>IF(A1232="D",LEFT(UPPER(D1232)&amp;REPT(" ",2),2)," ")</f>
        <v/>
      </c>
      <c r="U1232" s="10">
        <f>IF(A1232="D",LEFT(UPPER(E1232)&amp;REPT(" ",15),15)," ")</f>
        <v/>
      </c>
      <c r="V1232" s="10">
        <f>REPT(" ",24)</f>
        <v/>
      </c>
      <c r="W1232" s="10">
        <f>IF(A1232="c",LEFT(UPPER(B1232)&amp;REPT(" ",20),20),REPT(" ",20))</f>
        <v/>
      </c>
      <c r="X1232" s="10">
        <f>IF(A1232="C",LEFT(UPPER(C1232)&amp;REPT(" ",10),10)," ")</f>
        <v/>
      </c>
      <c r="Y1232" s="10">
        <f>IF(A1232="C",LEFT(UPPER(D1232)&amp;REPT(" ",2),2)," ")</f>
        <v/>
      </c>
      <c r="Z1232" s="10">
        <f>IF(A1232="C",LEFT(UPPER(E1232)&amp;REPT(" ",15),15)," ")</f>
        <v/>
      </c>
      <c r="AA1232" s="10">
        <f>REPT(" ",8)</f>
        <v/>
      </c>
      <c r="AB1232" s="10">
        <f>REPT(" ",4)</f>
        <v/>
      </c>
      <c r="AC1232" s="10">
        <f>LEFT(UPPER(H1232)&amp;REPT(" ",250),250)</f>
        <v/>
      </c>
      <c r="AD1232" s="10">
        <f>TEXT($G$2,"dd/mm/aaaa")</f>
        <v/>
      </c>
      <c r="AE1232" s="10">
        <f>REPT(" ",10)</f>
        <v/>
      </c>
      <c r="AF1232" s="10">
        <f>REPT(" ",20)</f>
        <v/>
      </c>
      <c r="AG1232" s="54">
        <f>REPT(" ",18-LEN(FIXED(F1232,2,TRUE)))&amp;FIXED(F1232,2,TRUE)</f>
        <v/>
      </c>
      <c r="AH1232" s="10">
        <f>LEN(AC1232)+LEN(AG1232)</f>
        <v/>
      </c>
      <c r="AI1232" s="10">
        <f>LEN(L1232)</f>
        <v/>
      </c>
    </row>
    <row r="1233">
      <c r="J1233" s="12">
        <f>IF(F1233&lt;&gt;0,"LANÇAR","")</f>
        <v/>
      </c>
      <c r="L1233" s="13">
        <f>N1233&amp;O1233&amp;P1233&amp;Q1233&amp;R1233&amp;S1233&amp;T1233&amp;U1233&amp;V1233&amp;W1233&amp;X1233&amp;Y1233&amp;Z1233&amp;AA1233&amp;AB1233&amp;AC1233&amp;AD1233&amp;AE1233&amp;AF1233&amp;AG1233</f>
        <v/>
      </c>
      <c r="N1233" s="10">
        <f>TEXT($B$6,"00")</f>
        <v/>
      </c>
      <c r="O1233" s="10">
        <f>REPT(" ",8)</f>
        <v/>
      </c>
      <c r="P1233" s="10">
        <f>RIGHT($B$4,2)</f>
        <v/>
      </c>
      <c r="Q1233" s="10">
        <f>RIGHT($B$5,3)</f>
        <v/>
      </c>
      <c r="R1233" s="10">
        <f>IF(A1233="D",LEFT(UPPER(B1233)&amp;REPT(" ",20),20),REPT(" ",20))</f>
        <v/>
      </c>
      <c r="S1233" s="10">
        <f>IF(A1233="D",LEFT(UPPER(C1233)&amp;REPT(" ",10),10)," ")</f>
        <v/>
      </c>
      <c r="T1233" s="10">
        <f>IF(A1233="D",LEFT(UPPER(D1233)&amp;REPT(" ",2),2)," ")</f>
        <v/>
      </c>
      <c r="U1233" s="10">
        <f>IF(A1233="D",LEFT(UPPER(E1233)&amp;REPT(" ",15),15)," ")</f>
        <v/>
      </c>
      <c r="V1233" s="10">
        <f>REPT(" ",24)</f>
        <v/>
      </c>
      <c r="W1233" s="10">
        <f>IF(A1233="c",LEFT(UPPER(B1233)&amp;REPT(" ",20),20),REPT(" ",20))</f>
        <v/>
      </c>
      <c r="X1233" s="10">
        <f>IF(A1233="C",LEFT(UPPER(C1233)&amp;REPT(" ",10),10)," ")</f>
        <v/>
      </c>
      <c r="Y1233" s="10">
        <f>IF(A1233="C",LEFT(UPPER(D1233)&amp;REPT(" ",2),2)," ")</f>
        <v/>
      </c>
      <c r="Z1233" s="10">
        <f>IF(A1233="C",LEFT(UPPER(E1233)&amp;REPT(" ",15),15)," ")</f>
        <v/>
      </c>
      <c r="AA1233" s="10">
        <f>REPT(" ",8)</f>
        <v/>
      </c>
      <c r="AB1233" s="10">
        <f>REPT(" ",4)</f>
        <v/>
      </c>
      <c r="AC1233" s="10">
        <f>LEFT(UPPER(H1233)&amp;REPT(" ",250),250)</f>
        <v/>
      </c>
      <c r="AD1233" s="10">
        <f>TEXT($G$2,"dd/mm/aaaa")</f>
        <v/>
      </c>
      <c r="AE1233" s="10">
        <f>REPT(" ",10)</f>
        <v/>
      </c>
      <c r="AF1233" s="10">
        <f>REPT(" ",20)</f>
        <v/>
      </c>
      <c r="AG1233" s="54">
        <f>REPT(" ",18-LEN(FIXED(F1233,2,TRUE)))&amp;FIXED(F1233,2,TRUE)</f>
        <v/>
      </c>
      <c r="AH1233" s="10">
        <f>LEN(AC1233)+LEN(AG1233)</f>
        <v/>
      </c>
      <c r="AI1233" s="10">
        <f>LEN(L1233)</f>
        <v/>
      </c>
    </row>
    <row r="1234">
      <c r="J1234" s="12">
        <f>IF(F1234&lt;&gt;0,"LANÇAR","")</f>
        <v/>
      </c>
      <c r="L1234" s="13">
        <f>N1234&amp;O1234&amp;P1234&amp;Q1234&amp;R1234&amp;S1234&amp;T1234&amp;U1234&amp;V1234&amp;W1234&amp;X1234&amp;Y1234&amp;Z1234&amp;AA1234&amp;AB1234&amp;AC1234&amp;AD1234&amp;AE1234&amp;AF1234&amp;AG1234</f>
        <v/>
      </c>
      <c r="N1234" s="10">
        <f>TEXT($B$6,"00")</f>
        <v/>
      </c>
      <c r="O1234" s="10">
        <f>REPT(" ",8)</f>
        <v/>
      </c>
      <c r="P1234" s="10">
        <f>RIGHT($B$4,2)</f>
        <v/>
      </c>
      <c r="Q1234" s="10">
        <f>RIGHT($B$5,3)</f>
        <v/>
      </c>
      <c r="R1234" s="10">
        <f>IF(A1234="D",LEFT(UPPER(B1234)&amp;REPT(" ",20),20),REPT(" ",20))</f>
        <v/>
      </c>
      <c r="S1234" s="10">
        <f>IF(A1234="D",LEFT(UPPER(C1234)&amp;REPT(" ",10),10)," ")</f>
        <v/>
      </c>
      <c r="T1234" s="10">
        <f>IF(A1234="D",LEFT(UPPER(D1234)&amp;REPT(" ",2),2)," ")</f>
        <v/>
      </c>
      <c r="U1234" s="10">
        <f>IF(A1234="D",LEFT(UPPER(E1234)&amp;REPT(" ",15),15)," ")</f>
        <v/>
      </c>
      <c r="V1234" s="10">
        <f>REPT(" ",24)</f>
        <v/>
      </c>
      <c r="W1234" s="10">
        <f>IF(A1234="c",LEFT(UPPER(B1234)&amp;REPT(" ",20),20),REPT(" ",20))</f>
        <v/>
      </c>
      <c r="X1234" s="10">
        <f>IF(A1234="C",LEFT(UPPER(C1234)&amp;REPT(" ",10),10)," ")</f>
        <v/>
      </c>
      <c r="Y1234" s="10">
        <f>IF(A1234="C",LEFT(UPPER(D1234)&amp;REPT(" ",2),2)," ")</f>
        <v/>
      </c>
      <c r="Z1234" s="10">
        <f>IF(A1234="C",LEFT(UPPER(E1234)&amp;REPT(" ",15),15)," ")</f>
        <v/>
      </c>
      <c r="AA1234" s="10">
        <f>REPT(" ",8)</f>
        <v/>
      </c>
      <c r="AB1234" s="10">
        <f>REPT(" ",4)</f>
        <v/>
      </c>
      <c r="AC1234" s="10">
        <f>LEFT(UPPER(H1234)&amp;REPT(" ",250),250)</f>
        <v/>
      </c>
      <c r="AD1234" s="10">
        <f>TEXT($G$2,"dd/mm/aaaa")</f>
        <v/>
      </c>
      <c r="AE1234" s="10">
        <f>REPT(" ",10)</f>
        <v/>
      </c>
      <c r="AF1234" s="10">
        <f>REPT(" ",20)</f>
        <v/>
      </c>
      <c r="AG1234" s="54">
        <f>REPT(" ",18-LEN(FIXED(F1234,2,TRUE)))&amp;FIXED(F1234,2,TRUE)</f>
        <v/>
      </c>
      <c r="AH1234" s="10">
        <f>LEN(AC1234)+LEN(AG1234)</f>
        <v/>
      </c>
      <c r="AI1234" s="10">
        <f>LEN(L1234)</f>
        <v/>
      </c>
    </row>
    <row r="1235">
      <c r="J1235" s="12">
        <f>IF(F1235&lt;&gt;0,"LANÇAR","")</f>
        <v/>
      </c>
      <c r="L1235" s="13">
        <f>N1235&amp;O1235&amp;P1235&amp;Q1235&amp;R1235&amp;S1235&amp;T1235&amp;U1235&amp;V1235&amp;W1235&amp;X1235&amp;Y1235&amp;Z1235&amp;AA1235&amp;AB1235&amp;AC1235&amp;AD1235&amp;AE1235&amp;AF1235&amp;AG1235</f>
        <v/>
      </c>
      <c r="N1235" s="10">
        <f>TEXT($B$6,"00")</f>
        <v/>
      </c>
      <c r="O1235" s="10">
        <f>REPT(" ",8)</f>
        <v/>
      </c>
      <c r="P1235" s="10">
        <f>RIGHT($B$4,2)</f>
        <v/>
      </c>
      <c r="Q1235" s="10">
        <f>RIGHT($B$5,3)</f>
        <v/>
      </c>
      <c r="R1235" s="10">
        <f>IF(A1235="D",LEFT(UPPER(B1235)&amp;REPT(" ",20),20),REPT(" ",20))</f>
        <v/>
      </c>
      <c r="S1235" s="10">
        <f>IF(A1235="D",LEFT(UPPER(C1235)&amp;REPT(" ",10),10)," ")</f>
        <v/>
      </c>
      <c r="T1235" s="10">
        <f>IF(A1235="D",LEFT(UPPER(D1235)&amp;REPT(" ",2),2)," ")</f>
        <v/>
      </c>
      <c r="U1235" s="10">
        <f>IF(A1235="D",LEFT(UPPER(E1235)&amp;REPT(" ",15),15)," ")</f>
        <v/>
      </c>
      <c r="V1235" s="10">
        <f>REPT(" ",24)</f>
        <v/>
      </c>
      <c r="W1235" s="10">
        <f>IF(A1235="c",LEFT(UPPER(B1235)&amp;REPT(" ",20),20),REPT(" ",20))</f>
        <v/>
      </c>
      <c r="X1235" s="10">
        <f>IF(A1235="C",LEFT(UPPER(C1235)&amp;REPT(" ",10),10)," ")</f>
        <v/>
      </c>
      <c r="Y1235" s="10">
        <f>IF(A1235="C",LEFT(UPPER(D1235)&amp;REPT(" ",2),2)," ")</f>
        <v/>
      </c>
      <c r="Z1235" s="10">
        <f>IF(A1235="C",LEFT(UPPER(E1235)&amp;REPT(" ",15),15)," ")</f>
        <v/>
      </c>
      <c r="AA1235" s="10">
        <f>REPT(" ",8)</f>
        <v/>
      </c>
      <c r="AB1235" s="10">
        <f>REPT(" ",4)</f>
        <v/>
      </c>
      <c r="AC1235" s="10">
        <f>LEFT(UPPER(H1235)&amp;REPT(" ",250),250)</f>
        <v/>
      </c>
      <c r="AD1235" s="10">
        <f>TEXT($G$2,"dd/mm/aaaa")</f>
        <v/>
      </c>
      <c r="AE1235" s="10">
        <f>REPT(" ",10)</f>
        <v/>
      </c>
      <c r="AF1235" s="10">
        <f>REPT(" ",20)</f>
        <v/>
      </c>
      <c r="AG1235" s="54">
        <f>REPT(" ",18-LEN(FIXED(F1235,2,TRUE)))&amp;FIXED(F1235,2,TRUE)</f>
        <v/>
      </c>
      <c r="AH1235" s="10">
        <f>LEN(AC1235)+LEN(AG1235)</f>
        <v/>
      </c>
      <c r="AI1235" s="10">
        <f>LEN(L1235)</f>
        <v/>
      </c>
    </row>
    <row r="1236">
      <c r="J1236" s="12">
        <f>IF(F1236&lt;&gt;0,"LANÇAR","")</f>
        <v/>
      </c>
      <c r="L1236" s="13">
        <f>N1236&amp;O1236&amp;P1236&amp;Q1236&amp;R1236&amp;S1236&amp;T1236&amp;U1236&amp;V1236&amp;W1236&amp;X1236&amp;Y1236&amp;Z1236&amp;AA1236&amp;AB1236&amp;AC1236&amp;AD1236&amp;AE1236&amp;AF1236&amp;AG1236</f>
        <v/>
      </c>
      <c r="N1236" s="10">
        <f>TEXT($B$6,"00")</f>
        <v/>
      </c>
      <c r="O1236" s="10">
        <f>REPT(" ",8)</f>
        <v/>
      </c>
      <c r="P1236" s="10">
        <f>RIGHT($B$4,2)</f>
        <v/>
      </c>
      <c r="Q1236" s="10">
        <f>RIGHT($B$5,3)</f>
        <v/>
      </c>
      <c r="R1236" s="10">
        <f>IF(A1236="D",LEFT(UPPER(B1236)&amp;REPT(" ",20),20),REPT(" ",20))</f>
        <v/>
      </c>
      <c r="S1236" s="10">
        <f>IF(A1236="D",LEFT(UPPER(C1236)&amp;REPT(" ",10),10)," ")</f>
        <v/>
      </c>
      <c r="T1236" s="10">
        <f>IF(A1236="D",LEFT(UPPER(D1236)&amp;REPT(" ",2),2)," ")</f>
        <v/>
      </c>
      <c r="U1236" s="10">
        <f>IF(A1236="D",LEFT(UPPER(E1236)&amp;REPT(" ",15),15)," ")</f>
        <v/>
      </c>
      <c r="V1236" s="10">
        <f>REPT(" ",24)</f>
        <v/>
      </c>
      <c r="W1236" s="10">
        <f>IF(A1236="c",LEFT(UPPER(B1236)&amp;REPT(" ",20),20),REPT(" ",20))</f>
        <v/>
      </c>
      <c r="X1236" s="10">
        <f>IF(A1236="C",LEFT(UPPER(C1236)&amp;REPT(" ",10),10)," ")</f>
        <v/>
      </c>
      <c r="Y1236" s="10">
        <f>IF(A1236="C",LEFT(UPPER(D1236)&amp;REPT(" ",2),2)," ")</f>
        <v/>
      </c>
      <c r="Z1236" s="10">
        <f>IF(A1236="C",LEFT(UPPER(E1236)&amp;REPT(" ",15),15)," ")</f>
        <v/>
      </c>
      <c r="AA1236" s="10">
        <f>REPT(" ",8)</f>
        <v/>
      </c>
      <c r="AB1236" s="10">
        <f>REPT(" ",4)</f>
        <v/>
      </c>
      <c r="AC1236" s="10">
        <f>LEFT(UPPER(H1236)&amp;REPT(" ",250),250)</f>
        <v/>
      </c>
      <c r="AD1236" s="10">
        <f>TEXT($G$2,"dd/mm/aaaa")</f>
        <v/>
      </c>
      <c r="AE1236" s="10">
        <f>REPT(" ",10)</f>
        <v/>
      </c>
      <c r="AF1236" s="10">
        <f>REPT(" ",20)</f>
        <v/>
      </c>
      <c r="AG1236" s="54">
        <f>REPT(" ",18-LEN(FIXED(F1236,2,TRUE)))&amp;FIXED(F1236,2,TRUE)</f>
        <v/>
      </c>
      <c r="AH1236" s="10">
        <f>LEN(AC1236)+LEN(AG1236)</f>
        <v/>
      </c>
      <c r="AI1236" s="10">
        <f>LEN(L1236)</f>
        <v/>
      </c>
    </row>
    <row r="1237">
      <c r="J1237" s="12">
        <f>IF(F1237&lt;&gt;0,"LANÇAR","")</f>
        <v/>
      </c>
      <c r="L1237" s="13">
        <f>N1237&amp;O1237&amp;P1237&amp;Q1237&amp;R1237&amp;S1237&amp;T1237&amp;U1237&amp;V1237&amp;W1237&amp;X1237&amp;Y1237&amp;Z1237&amp;AA1237&amp;AB1237&amp;AC1237&amp;AD1237&amp;AE1237&amp;AF1237&amp;AG1237</f>
        <v/>
      </c>
      <c r="N1237" s="10">
        <f>TEXT($B$6,"00")</f>
        <v/>
      </c>
      <c r="O1237" s="10">
        <f>REPT(" ",8)</f>
        <v/>
      </c>
      <c r="P1237" s="10">
        <f>RIGHT($B$4,2)</f>
        <v/>
      </c>
      <c r="Q1237" s="10">
        <f>RIGHT($B$5,3)</f>
        <v/>
      </c>
      <c r="R1237" s="10">
        <f>IF(A1237="D",LEFT(UPPER(B1237)&amp;REPT(" ",20),20),REPT(" ",20))</f>
        <v/>
      </c>
      <c r="S1237" s="10">
        <f>IF(A1237="D",LEFT(UPPER(C1237)&amp;REPT(" ",10),10)," ")</f>
        <v/>
      </c>
      <c r="T1237" s="10">
        <f>IF(A1237="D",LEFT(UPPER(D1237)&amp;REPT(" ",2),2)," ")</f>
        <v/>
      </c>
      <c r="U1237" s="10">
        <f>IF(A1237="D",LEFT(UPPER(E1237)&amp;REPT(" ",15),15)," ")</f>
        <v/>
      </c>
      <c r="V1237" s="10">
        <f>REPT(" ",24)</f>
        <v/>
      </c>
      <c r="W1237" s="10">
        <f>IF(A1237="c",LEFT(UPPER(B1237)&amp;REPT(" ",20),20),REPT(" ",20))</f>
        <v/>
      </c>
      <c r="X1237" s="10">
        <f>IF(A1237="C",LEFT(UPPER(C1237)&amp;REPT(" ",10),10)," ")</f>
        <v/>
      </c>
      <c r="Y1237" s="10">
        <f>IF(A1237="C",LEFT(UPPER(D1237)&amp;REPT(" ",2),2)," ")</f>
        <v/>
      </c>
      <c r="Z1237" s="10">
        <f>IF(A1237="C",LEFT(UPPER(E1237)&amp;REPT(" ",15),15)," ")</f>
        <v/>
      </c>
      <c r="AA1237" s="10">
        <f>REPT(" ",8)</f>
        <v/>
      </c>
      <c r="AB1237" s="10">
        <f>REPT(" ",4)</f>
        <v/>
      </c>
      <c r="AC1237" s="10">
        <f>LEFT(UPPER(H1237)&amp;REPT(" ",250),250)</f>
        <v/>
      </c>
      <c r="AD1237" s="10">
        <f>TEXT($G$2,"dd/mm/aaaa")</f>
        <v/>
      </c>
      <c r="AE1237" s="10">
        <f>REPT(" ",10)</f>
        <v/>
      </c>
      <c r="AF1237" s="10">
        <f>REPT(" ",20)</f>
        <v/>
      </c>
      <c r="AG1237" s="54">
        <f>REPT(" ",18-LEN(FIXED(F1237,2,TRUE)))&amp;FIXED(F1237,2,TRUE)</f>
        <v/>
      </c>
      <c r="AH1237" s="10">
        <f>LEN(AC1237)+LEN(AG1237)</f>
        <v/>
      </c>
      <c r="AI1237" s="10">
        <f>LEN(L1237)</f>
        <v/>
      </c>
    </row>
    <row r="1238">
      <c r="J1238" s="12">
        <f>IF(F1238&lt;&gt;0,"LANÇAR","")</f>
        <v/>
      </c>
      <c r="L1238" s="13">
        <f>N1238&amp;O1238&amp;P1238&amp;Q1238&amp;R1238&amp;S1238&amp;T1238&amp;U1238&amp;V1238&amp;W1238&amp;X1238&amp;Y1238&amp;Z1238&amp;AA1238&amp;AB1238&amp;AC1238&amp;AD1238&amp;AE1238&amp;AF1238&amp;AG1238</f>
        <v/>
      </c>
      <c r="N1238" s="10">
        <f>TEXT($B$6,"00")</f>
        <v/>
      </c>
      <c r="O1238" s="10">
        <f>REPT(" ",8)</f>
        <v/>
      </c>
      <c r="P1238" s="10">
        <f>RIGHT($B$4,2)</f>
        <v/>
      </c>
      <c r="Q1238" s="10">
        <f>RIGHT($B$5,3)</f>
        <v/>
      </c>
      <c r="R1238" s="10">
        <f>IF(A1238="D",LEFT(UPPER(B1238)&amp;REPT(" ",20),20),REPT(" ",20))</f>
        <v/>
      </c>
      <c r="S1238" s="10">
        <f>IF(A1238="D",LEFT(UPPER(C1238)&amp;REPT(" ",10),10)," ")</f>
        <v/>
      </c>
      <c r="T1238" s="10">
        <f>IF(A1238="D",LEFT(UPPER(D1238)&amp;REPT(" ",2),2)," ")</f>
        <v/>
      </c>
      <c r="U1238" s="10">
        <f>IF(A1238="D",LEFT(UPPER(E1238)&amp;REPT(" ",15),15)," ")</f>
        <v/>
      </c>
      <c r="V1238" s="10">
        <f>REPT(" ",24)</f>
        <v/>
      </c>
      <c r="W1238" s="10">
        <f>IF(A1238="c",LEFT(UPPER(B1238)&amp;REPT(" ",20),20),REPT(" ",20))</f>
        <v/>
      </c>
      <c r="X1238" s="10">
        <f>IF(A1238="C",LEFT(UPPER(C1238)&amp;REPT(" ",10),10)," ")</f>
        <v/>
      </c>
      <c r="Y1238" s="10">
        <f>IF(A1238="C",LEFT(UPPER(D1238)&amp;REPT(" ",2),2)," ")</f>
        <v/>
      </c>
      <c r="Z1238" s="10">
        <f>IF(A1238="C",LEFT(UPPER(E1238)&amp;REPT(" ",15),15)," ")</f>
        <v/>
      </c>
      <c r="AA1238" s="10">
        <f>REPT(" ",8)</f>
        <v/>
      </c>
      <c r="AB1238" s="10">
        <f>REPT(" ",4)</f>
        <v/>
      </c>
      <c r="AC1238" s="10">
        <f>LEFT(UPPER(H1238)&amp;REPT(" ",250),250)</f>
        <v/>
      </c>
      <c r="AD1238" s="10">
        <f>TEXT($G$2,"dd/mm/aaaa")</f>
        <v/>
      </c>
      <c r="AE1238" s="10">
        <f>REPT(" ",10)</f>
        <v/>
      </c>
      <c r="AF1238" s="10">
        <f>REPT(" ",20)</f>
        <v/>
      </c>
      <c r="AG1238" s="54">
        <f>REPT(" ",18-LEN(FIXED(F1238,2,TRUE)))&amp;FIXED(F1238,2,TRUE)</f>
        <v/>
      </c>
      <c r="AH1238" s="10">
        <f>LEN(AC1238)+LEN(AG1238)</f>
        <v/>
      </c>
      <c r="AI1238" s="10">
        <f>LEN(L1238)</f>
        <v/>
      </c>
    </row>
    <row r="1239">
      <c r="J1239" s="12">
        <f>IF(F1239&lt;&gt;0,"LANÇAR","")</f>
        <v/>
      </c>
      <c r="L1239" s="13">
        <f>N1239&amp;O1239&amp;P1239&amp;Q1239&amp;R1239&amp;S1239&amp;T1239&amp;U1239&amp;V1239&amp;W1239&amp;X1239&amp;Y1239&amp;Z1239&amp;AA1239&amp;AB1239&amp;AC1239&amp;AD1239&amp;AE1239&amp;AF1239&amp;AG1239</f>
        <v/>
      </c>
      <c r="N1239" s="10">
        <f>TEXT($B$6,"00")</f>
        <v/>
      </c>
      <c r="O1239" s="10">
        <f>REPT(" ",8)</f>
        <v/>
      </c>
      <c r="P1239" s="10">
        <f>RIGHT($B$4,2)</f>
        <v/>
      </c>
      <c r="Q1239" s="10">
        <f>RIGHT($B$5,3)</f>
        <v/>
      </c>
      <c r="R1239" s="10">
        <f>IF(A1239="D",LEFT(UPPER(B1239)&amp;REPT(" ",20),20),REPT(" ",20))</f>
        <v/>
      </c>
      <c r="S1239" s="10">
        <f>IF(A1239="D",LEFT(UPPER(C1239)&amp;REPT(" ",10),10)," ")</f>
        <v/>
      </c>
      <c r="T1239" s="10">
        <f>IF(A1239="D",LEFT(UPPER(D1239)&amp;REPT(" ",2),2)," ")</f>
        <v/>
      </c>
      <c r="U1239" s="10">
        <f>IF(A1239="D",LEFT(UPPER(E1239)&amp;REPT(" ",15),15)," ")</f>
        <v/>
      </c>
      <c r="V1239" s="10">
        <f>REPT(" ",24)</f>
        <v/>
      </c>
      <c r="W1239" s="10">
        <f>IF(A1239="c",LEFT(UPPER(B1239)&amp;REPT(" ",20),20),REPT(" ",20))</f>
        <v/>
      </c>
      <c r="X1239" s="10">
        <f>IF(A1239="C",LEFT(UPPER(C1239)&amp;REPT(" ",10),10)," ")</f>
        <v/>
      </c>
      <c r="Y1239" s="10">
        <f>IF(A1239="C",LEFT(UPPER(D1239)&amp;REPT(" ",2),2)," ")</f>
        <v/>
      </c>
      <c r="Z1239" s="10">
        <f>IF(A1239="C",LEFT(UPPER(E1239)&amp;REPT(" ",15),15)," ")</f>
        <v/>
      </c>
      <c r="AA1239" s="10">
        <f>REPT(" ",8)</f>
        <v/>
      </c>
      <c r="AB1239" s="10">
        <f>REPT(" ",4)</f>
        <v/>
      </c>
      <c r="AC1239" s="10">
        <f>LEFT(UPPER(H1239)&amp;REPT(" ",250),250)</f>
        <v/>
      </c>
      <c r="AD1239" s="10">
        <f>TEXT($G$2,"dd/mm/aaaa")</f>
        <v/>
      </c>
      <c r="AE1239" s="10">
        <f>REPT(" ",10)</f>
        <v/>
      </c>
      <c r="AF1239" s="10">
        <f>REPT(" ",20)</f>
        <v/>
      </c>
      <c r="AG1239" s="54">
        <f>REPT(" ",18-LEN(FIXED(F1239,2,TRUE)))&amp;FIXED(F1239,2,TRUE)</f>
        <v/>
      </c>
      <c r="AH1239" s="10">
        <f>LEN(AC1239)+LEN(AG1239)</f>
        <v/>
      </c>
      <c r="AI1239" s="10">
        <f>LEN(L1239)</f>
        <v/>
      </c>
    </row>
    <row r="1240">
      <c r="J1240" s="12">
        <f>IF(F1240&lt;&gt;0,"LANÇAR","")</f>
        <v/>
      </c>
      <c r="L1240" s="13">
        <f>N1240&amp;O1240&amp;P1240&amp;Q1240&amp;R1240&amp;S1240&amp;T1240&amp;U1240&amp;V1240&amp;W1240&amp;X1240&amp;Y1240&amp;Z1240&amp;AA1240&amp;AB1240&amp;AC1240&amp;AD1240&amp;AE1240&amp;AF1240&amp;AG1240</f>
        <v/>
      </c>
      <c r="N1240" s="10">
        <f>TEXT($B$6,"00")</f>
        <v/>
      </c>
      <c r="O1240" s="10">
        <f>REPT(" ",8)</f>
        <v/>
      </c>
      <c r="P1240" s="10">
        <f>RIGHT($B$4,2)</f>
        <v/>
      </c>
      <c r="Q1240" s="10">
        <f>RIGHT($B$5,3)</f>
        <v/>
      </c>
      <c r="R1240" s="10">
        <f>IF(A1240="D",LEFT(UPPER(B1240)&amp;REPT(" ",20),20),REPT(" ",20))</f>
        <v/>
      </c>
      <c r="S1240" s="10">
        <f>IF(A1240="D",LEFT(UPPER(C1240)&amp;REPT(" ",10),10)," ")</f>
        <v/>
      </c>
      <c r="T1240" s="10">
        <f>IF(A1240="D",LEFT(UPPER(D1240)&amp;REPT(" ",2),2)," ")</f>
        <v/>
      </c>
      <c r="U1240" s="10">
        <f>IF(A1240="D",LEFT(UPPER(E1240)&amp;REPT(" ",15),15)," ")</f>
        <v/>
      </c>
      <c r="V1240" s="10">
        <f>REPT(" ",24)</f>
        <v/>
      </c>
      <c r="W1240" s="10">
        <f>IF(A1240="c",LEFT(UPPER(B1240)&amp;REPT(" ",20),20),REPT(" ",20))</f>
        <v/>
      </c>
      <c r="X1240" s="10">
        <f>IF(A1240="C",LEFT(UPPER(C1240)&amp;REPT(" ",10),10)," ")</f>
        <v/>
      </c>
      <c r="Y1240" s="10">
        <f>IF(A1240="C",LEFT(UPPER(D1240)&amp;REPT(" ",2),2)," ")</f>
        <v/>
      </c>
      <c r="Z1240" s="10">
        <f>IF(A1240="C",LEFT(UPPER(E1240)&amp;REPT(" ",15),15)," ")</f>
        <v/>
      </c>
      <c r="AA1240" s="10">
        <f>REPT(" ",8)</f>
        <v/>
      </c>
      <c r="AB1240" s="10">
        <f>REPT(" ",4)</f>
        <v/>
      </c>
      <c r="AC1240" s="10">
        <f>LEFT(UPPER(H1240)&amp;REPT(" ",250),250)</f>
        <v/>
      </c>
      <c r="AD1240" s="10">
        <f>TEXT($G$2,"dd/mm/aaaa")</f>
        <v/>
      </c>
      <c r="AE1240" s="10">
        <f>REPT(" ",10)</f>
        <v/>
      </c>
      <c r="AF1240" s="10">
        <f>REPT(" ",20)</f>
        <v/>
      </c>
      <c r="AG1240" s="54">
        <f>REPT(" ",18-LEN(FIXED(F1240,2,TRUE)))&amp;FIXED(F1240,2,TRUE)</f>
        <v/>
      </c>
      <c r="AH1240" s="10">
        <f>LEN(AC1240)+LEN(AG1240)</f>
        <v/>
      </c>
      <c r="AI1240" s="10">
        <f>LEN(L1240)</f>
        <v/>
      </c>
    </row>
    <row r="1241">
      <c r="J1241" s="12">
        <f>IF(F1241&lt;&gt;0,"LANÇAR","")</f>
        <v/>
      </c>
      <c r="L1241" s="13">
        <f>N1241&amp;O1241&amp;P1241&amp;Q1241&amp;R1241&amp;S1241&amp;T1241&amp;U1241&amp;V1241&amp;W1241&amp;X1241&amp;Y1241&amp;Z1241&amp;AA1241&amp;AB1241&amp;AC1241&amp;AD1241&amp;AE1241&amp;AF1241&amp;AG1241</f>
        <v/>
      </c>
      <c r="N1241" s="10">
        <f>TEXT($B$6,"00")</f>
        <v/>
      </c>
      <c r="O1241" s="10">
        <f>REPT(" ",8)</f>
        <v/>
      </c>
      <c r="P1241" s="10">
        <f>RIGHT($B$4,2)</f>
        <v/>
      </c>
      <c r="Q1241" s="10">
        <f>RIGHT($B$5,3)</f>
        <v/>
      </c>
      <c r="R1241" s="10">
        <f>IF(A1241="D",LEFT(UPPER(B1241)&amp;REPT(" ",20),20),REPT(" ",20))</f>
        <v/>
      </c>
      <c r="S1241" s="10">
        <f>IF(A1241="D",LEFT(UPPER(C1241)&amp;REPT(" ",10),10)," ")</f>
        <v/>
      </c>
      <c r="T1241" s="10">
        <f>IF(A1241="D",LEFT(UPPER(D1241)&amp;REPT(" ",2),2)," ")</f>
        <v/>
      </c>
      <c r="U1241" s="10">
        <f>IF(A1241="D",LEFT(UPPER(E1241)&amp;REPT(" ",15),15)," ")</f>
        <v/>
      </c>
      <c r="V1241" s="10">
        <f>REPT(" ",24)</f>
        <v/>
      </c>
      <c r="W1241" s="10">
        <f>IF(A1241="c",LEFT(UPPER(B1241)&amp;REPT(" ",20),20),REPT(" ",20))</f>
        <v/>
      </c>
      <c r="X1241" s="10">
        <f>IF(A1241="C",LEFT(UPPER(C1241)&amp;REPT(" ",10),10)," ")</f>
        <v/>
      </c>
      <c r="Y1241" s="10">
        <f>IF(A1241="C",LEFT(UPPER(D1241)&amp;REPT(" ",2),2)," ")</f>
        <v/>
      </c>
      <c r="Z1241" s="10">
        <f>IF(A1241="C",LEFT(UPPER(E1241)&amp;REPT(" ",15),15)," ")</f>
        <v/>
      </c>
      <c r="AA1241" s="10">
        <f>REPT(" ",8)</f>
        <v/>
      </c>
      <c r="AB1241" s="10">
        <f>REPT(" ",4)</f>
        <v/>
      </c>
      <c r="AC1241" s="10">
        <f>LEFT(UPPER(H1241)&amp;REPT(" ",250),250)</f>
        <v/>
      </c>
      <c r="AD1241" s="10">
        <f>TEXT($G$2,"dd/mm/aaaa")</f>
        <v/>
      </c>
      <c r="AE1241" s="10">
        <f>REPT(" ",10)</f>
        <v/>
      </c>
      <c r="AF1241" s="10">
        <f>REPT(" ",20)</f>
        <v/>
      </c>
      <c r="AG1241" s="54">
        <f>REPT(" ",18-LEN(FIXED(F1241,2,TRUE)))&amp;FIXED(F1241,2,TRUE)</f>
        <v/>
      </c>
      <c r="AH1241" s="10">
        <f>LEN(AC1241)+LEN(AG1241)</f>
        <v/>
      </c>
      <c r="AI1241" s="10">
        <f>LEN(L1241)</f>
        <v/>
      </c>
    </row>
    <row r="1242">
      <c r="J1242" s="12">
        <f>IF(F1242&lt;&gt;0,"LANÇAR","")</f>
        <v/>
      </c>
      <c r="L1242" s="13">
        <f>N1242&amp;O1242&amp;P1242&amp;Q1242&amp;R1242&amp;S1242&amp;T1242&amp;U1242&amp;V1242&amp;W1242&amp;X1242&amp;Y1242&amp;Z1242&amp;AA1242&amp;AB1242&amp;AC1242&amp;AD1242&amp;AE1242&amp;AF1242&amp;AG1242</f>
        <v/>
      </c>
      <c r="N1242" s="10">
        <f>TEXT($B$6,"00")</f>
        <v/>
      </c>
      <c r="O1242" s="10">
        <f>REPT(" ",8)</f>
        <v/>
      </c>
      <c r="P1242" s="10">
        <f>RIGHT($B$4,2)</f>
        <v/>
      </c>
      <c r="Q1242" s="10">
        <f>RIGHT($B$5,3)</f>
        <v/>
      </c>
      <c r="R1242" s="10">
        <f>IF(A1242="D",LEFT(UPPER(B1242)&amp;REPT(" ",20),20),REPT(" ",20))</f>
        <v/>
      </c>
      <c r="S1242" s="10">
        <f>IF(A1242="D",LEFT(UPPER(C1242)&amp;REPT(" ",10),10)," ")</f>
        <v/>
      </c>
      <c r="T1242" s="10">
        <f>IF(A1242="D",LEFT(UPPER(D1242)&amp;REPT(" ",2),2)," ")</f>
        <v/>
      </c>
      <c r="U1242" s="10">
        <f>IF(A1242="D",LEFT(UPPER(E1242)&amp;REPT(" ",15),15)," ")</f>
        <v/>
      </c>
      <c r="V1242" s="10">
        <f>REPT(" ",24)</f>
        <v/>
      </c>
      <c r="W1242" s="10">
        <f>IF(A1242="c",LEFT(UPPER(B1242)&amp;REPT(" ",20),20),REPT(" ",20))</f>
        <v/>
      </c>
      <c r="X1242" s="10">
        <f>IF(A1242="C",LEFT(UPPER(C1242)&amp;REPT(" ",10),10)," ")</f>
        <v/>
      </c>
      <c r="Y1242" s="10">
        <f>IF(A1242="C",LEFT(UPPER(D1242)&amp;REPT(" ",2),2)," ")</f>
        <v/>
      </c>
      <c r="Z1242" s="10">
        <f>IF(A1242="C",LEFT(UPPER(E1242)&amp;REPT(" ",15),15)," ")</f>
        <v/>
      </c>
      <c r="AA1242" s="10">
        <f>REPT(" ",8)</f>
        <v/>
      </c>
      <c r="AB1242" s="10">
        <f>REPT(" ",4)</f>
        <v/>
      </c>
      <c r="AC1242" s="10">
        <f>LEFT(UPPER(H1242)&amp;REPT(" ",250),250)</f>
        <v/>
      </c>
      <c r="AD1242" s="10">
        <f>TEXT($G$2,"dd/mm/aaaa")</f>
        <v/>
      </c>
      <c r="AE1242" s="10">
        <f>REPT(" ",10)</f>
        <v/>
      </c>
      <c r="AF1242" s="10">
        <f>REPT(" ",20)</f>
        <v/>
      </c>
      <c r="AG1242" s="54">
        <f>REPT(" ",18-LEN(FIXED(F1242,2,TRUE)))&amp;FIXED(F1242,2,TRUE)</f>
        <v/>
      </c>
      <c r="AH1242" s="10">
        <f>LEN(AC1242)+LEN(AG1242)</f>
        <v/>
      </c>
      <c r="AI1242" s="10">
        <f>LEN(L1242)</f>
        <v/>
      </c>
    </row>
    <row r="1243">
      <c r="J1243" s="12">
        <f>IF(F1243&lt;&gt;0,"LANÇAR","")</f>
        <v/>
      </c>
      <c r="L1243" s="13">
        <f>N1243&amp;O1243&amp;P1243&amp;Q1243&amp;R1243&amp;S1243&amp;T1243&amp;U1243&amp;V1243&amp;W1243&amp;X1243&amp;Y1243&amp;Z1243&amp;AA1243&amp;AB1243&amp;AC1243&amp;AD1243&amp;AE1243&amp;AF1243&amp;AG1243</f>
        <v/>
      </c>
      <c r="N1243" s="10">
        <f>TEXT($B$6,"00")</f>
        <v/>
      </c>
      <c r="O1243" s="10">
        <f>REPT(" ",8)</f>
        <v/>
      </c>
      <c r="P1243" s="10">
        <f>RIGHT($B$4,2)</f>
        <v/>
      </c>
      <c r="Q1243" s="10">
        <f>RIGHT($B$5,3)</f>
        <v/>
      </c>
      <c r="R1243" s="10">
        <f>IF(A1243="D",LEFT(UPPER(B1243)&amp;REPT(" ",20),20),REPT(" ",20))</f>
        <v/>
      </c>
      <c r="S1243" s="10">
        <f>IF(A1243="D",LEFT(UPPER(C1243)&amp;REPT(" ",10),10)," ")</f>
        <v/>
      </c>
      <c r="T1243" s="10">
        <f>IF(A1243="D",LEFT(UPPER(D1243)&amp;REPT(" ",2),2)," ")</f>
        <v/>
      </c>
      <c r="U1243" s="10">
        <f>IF(A1243="D",LEFT(UPPER(E1243)&amp;REPT(" ",15),15)," ")</f>
        <v/>
      </c>
      <c r="V1243" s="10">
        <f>REPT(" ",24)</f>
        <v/>
      </c>
      <c r="W1243" s="10">
        <f>IF(A1243="c",LEFT(UPPER(B1243)&amp;REPT(" ",20),20),REPT(" ",20))</f>
        <v/>
      </c>
      <c r="X1243" s="10">
        <f>IF(A1243="C",LEFT(UPPER(C1243)&amp;REPT(" ",10),10)," ")</f>
        <v/>
      </c>
      <c r="Y1243" s="10">
        <f>IF(A1243="C",LEFT(UPPER(D1243)&amp;REPT(" ",2),2)," ")</f>
        <v/>
      </c>
      <c r="Z1243" s="10">
        <f>IF(A1243="C",LEFT(UPPER(E1243)&amp;REPT(" ",15),15)," ")</f>
        <v/>
      </c>
      <c r="AA1243" s="10">
        <f>REPT(" ",8)</f>
        <v/>
      </c>
      <c r="AB1243" s="10">
        <f>REPT(" ",4)</f>
        <v/>
      </c>
      <c r="AC1243" s="10">
        <f>LEFT(UPPER(H1243)&amp;REPT(" ",250),250)</f>
        <v/>
      </c>
      <c r="AD1243" s="10">
        <f>TEXT($G$2,"dd/mm/aaaa")</f>
        <v/>
      </c>
      <c r="AE1243" s="10">
        <f>REPT(" ",10)</f>
        <v/>
      </c>
      <c r="AF1243" s="10">
        <f>REPT(" ",20)</f>
        <v/>
      </c>
      <c r="AG1243" s="54">
        <f>REPT(" ",18-LEN(FIXED(F1243,2,TRUE)))&amp;FIXED(F1243,2,TRUE)</f>
        <v/>
      </c>
      <c r="AH1243" s="10">
        <f>LEN(AC1243)+LEN(AG1243)</f>
        <v/>
      </c>
      <c r="AI1243" s="10">
        <f>LEN(L1243)</f>
        <v/>
      </c>
    </row>
    <row r="1244">
      <c r="J1244" s="12">
        <f>IF(F1244&lt;&gt;0,"LANÇAR","")</f>
        <v/>
      </c>
      <c r="L1244" s="13">
        <f>N1244&amp;O1244&amp;P1244&amp;Q1244&amp;R1244&amp;S1244&amp;T1244&amp;U1244&amp;V1244&amp;W1244&amp;X1244&amp;Y1244&amp;Z1244&amp;AA1244&amp;AB1244&amp;AC1244&amp;AD1244&amp;AE1244&amp;AF1244&amp;AG1244</f>
        <v/>
      </c>
      <c r="N1244" s="10">
        <f>TEXT($B$6,"00")</f>
        <v/>
      </c>
      <c r="O1244" s="10">
        <f>REPT(" ",8)</f>
        <v/>
      </c>
      <c r="P1244" s="10">
        <f>RIGHT($B$4,2)</f>
        <v/>
      </c>
      <c r="Q1244" s="10">
        <f>RIGHT($B$5,3)</f>
        <v/>
      </c>
      <c r="R1244" s="10">
        <f>IF(A1244="D",LEFT(UPPER(B1244)&amp;REPT(" ",20),20),REPT(" ",20))</f>
        <v/>
      </c>
      <c r="S1244" s="10">
        <f>IF(A1244="D",LEFT(UPPER(C1244)&amp;REPT(" ",10),10)," ")</f>
        <v/>
      </c>
      <c r="T1244" s="10">
        <f>IF(A1244="D",LEFT(UPPER(D1244)&amp;REPT(" ",2),2)," ")</f>
        <v/>
      </c>
      <c r="U1244" s="10">
        <f>IF(A1244="D",LEFT(UPPER(E1244)&amp;REPT(" ",15),15)," ")</f>
        <v/>
      </c>
      <c r="V1244" s="10">
        <f>REPT(" ",24)</f>
        <v/>
      </c>
      <c r="W1244" s="10">
        <f>IF(A1244="c",LEFT(UPPER(B1244)&amp;REPT(" ",20),20),REPT(" ",20))</f>
        <v/>
      </c>
      <c r="X1244" s="10">
        <f>IF(A1244="C",LEFT(UPPER(C1244)&amp;REPT(" ",10),10)," ")</f>
        <v/>
      </c>
      <c r="Y1244" s="10">
        <f>IF(A1244="C",LEFT(UPPER(D1244)&amp;REPT(" ",2),2)," ")</f>
        <v/>
      </c>
      <c r="Z1244" s="10">
        <f>IF(A1244="C",LEFT(UPPER(E1244)&amp;REPT(" ",15),15)," ")</f>
        <v/>
      </c>
      <c r="AA1244" s="10">
        <f>REPT(" ",8)</f>
        <v/>
      </c>
      <c r="AB1244" s="10">
        <f>REPT(" ",4)</f>
        <v/>
      </c>
      <c r="AC1244" s="10">
        <f>LEFT(UPPER(H1244)&amp;REPT(" ",250),250)</f>
        <v/>
      </c>
      <c r="AD1244" s="10">
        <f>TEXT($G$2,"dd/mm/aaaa")</f>
        <v/>
      </c>
      <c r="AE1244" s="10">
        <f>REPT(" ",10)</f>
        <v/>
      </c>
      <c r="AF1244" s="10">
        <f>REPT(" ",20)</f>
        <v/>
      </c>
      <c r="AG1244" s="54">
        <f>REPT(" ",18-LEN(FIXED(F1244,2,TRUE)))&amp;FIXED(F1244,2,TRUE)</f>
        <v/>
      </c>
      <c r="AH1244" s="10">
        <f>LEN(AC1244)+LEN(AG1244)</f>
        <v/>
      </c>
      <c r="AI1244" s="10">
        <f>LEN(L1244)</f>
        <v/>
      </c>
    </row>
    <row r="1245">
      <c r="J1245" s="12">
        <f>IF(F1245&lt;&gt;0,"LANÇAR","")</f>
        <v/>
      </c>
      <c r="L1245" s="13">
        <f>N1245&amp;O1245&amp;P1245&amp;Q1245&amp;R1245&amp;S1245&amp;T1245&amp;U1245&amp;V1245&amp;W1245&amp;X1245&amp;Y1245&amp;Z1245&amp;AA1245&amp;AB1245&amp;AC1245&amp;AD1245&amp;AE1245&amp;AF1245&amp;AG1245</f>
        <v/>
      </c>
      <c r="N1245" s="10">
        <f>TEXT($B$6,"00")</f>
        <v/>
      </c>
      <c r="O1245" s="10">
        <f>REPT(" ",8)</f>
        <v/>
      </c>
      <c r="P1245" s="10">
        <f>RIGHT($B$4,2)</f>
        <v/>
      </c>
      <c r="Q1245" s="10">
        <f>RIGHT($B$5,3)</f>
        <v/>
      </c>
      <c r="R1245" s="10">
        <f>IF(A1245="D",LEFT(UPPER(B1245)&amp;REPT(" ",20),20),REPT(" ",20))</f>
        <v/>
      </c>
      <c r="S1245" s="10">
        <f>IF(A1245="D",LEFT(UPPER(C1245)&amp;REPT(" ",10),10)," ")</f>
        <v/>
      </c>
      <c r="T1245" s="10">
        <f>IF(A1245="D",LEFT(UPPER(D1245)&amp;REPT(" ",2),2)," ")</f>
        <v/>
      </c>
      <c r="U1245" s="10">
        <f>IF(A1245="D",LEFT(UPPER(E1245)&amp;REPT(" ",15),15)," ")</f>
        <v/>
      </c>
      <c r="V1245" s="10">
        <f>REPT(" ",24)</f>
        <v/>
      </c>
      <c r="W1245" s="10">
        <f>IF(A1245="c",LEFT(UPPER(B1245)&amp;REPT(" ",20),20),REPT(" ",20))</f>
        <v/>
      </c>
      <c r="X1245" s="10">
        <f>IF(A1245="C",LEFT(UPPER(C1245)&amp;REPT(" ",10),10)," ")</f>
        <v/>
      </c>
      <c r="Y1245" s="10">
        <f>IF(A1245="C",LEFT(UPPER(D1245)&amp;REPT(" ",2),2)," ")</f>
        <v/>
      </c>
      <c r="Z1245" s="10">
        <f>IF(A1245="C",LEFT(UPPER(E1245)&amp;REPT(" ",15),15)," ")</f>
        <v/>
      </c>
      <c r="AA1245" s="10">
        <f>REPT(" ",8)</f>
        <v/>
      </c>
      <c r="AB1245" s="10">
        <f>REPT(" ",4)</f>
        <v/>
      </c>
      <c r="AC1245" s="10">
        <f>LEFT(UPPER(H1245)&amp;REPT(" ",250),250)</f>
        <v/>
      </c>
      <c r="AD1245" s="10">
        <f>TEXT($G$2,"dd/mm/aaaa")</f>
        <v/>
      </c>
      <c r="AE1245" s="10">
        <f>REPT(" ",10)</f>
        <v/>
      </c>
      <c r="AF1245" s="10">
        <f>REPT(" ",20)</f>
        <v/>
      </c>
      <c r="AG1245" s="54">
        <f>REPT(" ",18-LEN(FIXED(F1245,2,TRUE)))&amp;FIXED(F1245,2,TRUE)</f>
        <v/>
      </c>
      <c r="AH1245" s="10">
        <f>LEN(AC1245)+LEN(AG1245)</f>
        <v/>
      </c>
      <c r="AI1245" s="10">
        <f>LEN(L1245)</f>
        <v/>
      </c>
    </row>
    <row r="1246">
      <c r="J1246" s="12">
        <f>IF(F1246&lt;&gt;0,"LANÇAR","")</f>
        <v/>
      </c>
      <c r="L1246" s="13">
        <f>N1246&amp;O1246&amp;P1246&amp;Q1246&amp;R1246&amp;S1246&amp;T1246&amp;U1246&amp;V1246&amp;W1246&amp;X1246&amp;Y1246&amp;Z1246&amp;AA1246&amp;AB1246&amp;AC1246&amp;AD1246&amp;AE1246&amp;AF1246&amp;AG1246</f>
        <v/>
      </c>
      <c r="N1246" s="10">
        <f>TEXT($B$6,"00")</f>
        <v/>
      </c>
      <c r="O1246" s="10">
        <f>REPT(" ",8)</f>
        <v/>
      </c>
      <c r="P1246" s="10">
        <f>RIGHT($B$4,2)</f>
        <v/>
      </c>
      <c r="Q1246" s="10">
        <f>RIGHT($B$5,3)</f>
        <v/>
      </c>
      <c r="R1246" s="10">
        <f>IF(A1246="D",LEFT(UPPER(B1246)&amp;REPT(" ",20),20),REPT(" ",20))</f>
        <v/>
      </c>
      <c r="S1246" s="10">
        <f>IF(A1246="D",LEFT(UPPER(C1246)&amp;REPT(" ",10),10)," ")</f>
        <v/>
      </c>
      <c r="T1246" s="10">
        <f>IF(A1246="D",LEFT(UPPER(D1246)&amp;REPT(" ",2),2)," ")</f>
        <v/>
      </c>
      <c r="U1246" s="10">
        <f>IF(A1246="D",LEFT(UPPER(E1246)&amp;REPT(" ",15),15)," ")</f>
        <v/>
      </c>
      <c r="V1246" s="10">
        <f>REPT(" ",24)</f>
        <v/>
      </c>
      <c r="W1246" s="10">
        <f>IF(A1246="c",LEFT(UPPER(B1246)&amp;REPT(" ",20),20),REPT(" ",20))</f>
        <v/>
      </c>
      <c r="X1246" s="10">
        <f>IF(A1246="C",LEFT(UPPER(C1246)&amp;REPT(" ",10),10)," ")</f>
        <v/>
      </c>
      <c r="Y1246" s="10">
        <f>IF(A1246="C",LEFT(UPPER(D1246)&amp;REPT(" ",2),2)," ")</f>
        <v/>
      </c>
      <c r="Z1246" s="10">
        <f>IF(A1246="C",LEFT(UPPER(E1246)&amp;REPT(" ",15),15)," ")</f>
        <v/>
      </c>
      <c r="AA1246" s="10">
        <f>REPT(" ",8)</f>
        <v/>
      </c>
      <c r="AB1246" s="10">
        <f>REPT(" ",4)</f>
        <v/>
      </c>
      <c r="AC1246" s="10">
        <f>LEFT(UPPER(H1246)&amp;REPT(" ",250),250)</f>
        <v/>
      </c>
      <c r="AD1246" s="10">
        <f>TEXT($G$2,"dd/mm/aaaa")</f>
        <v/>
      </c>
      <c r="AE1246" s="10">
        <f>REPT(" ",10)</f>
        <v/>
      </c>
      <c r="AF1246" s="10">
        <f>REPT(" ",20)</f>
        <v/>
      </c>
      <c r="AG1246" s="54">
        <f>REPT(" ",18-LEN(FIXED(F1246,2,TRUE)))&amp;FIXED(F1246,2,TRUE)</f>
        <v/>
      </c>
      <c r="AH1246" s="10">
        <f>LEN(AC1246)+LEN(AG1246)</f>
        <v/>
      </c>
      <c r="AI1246" s="10">
        <f>LEN(L1246)</f>
        <v/>
      </c>
    </row>
    <row r="1247">
      <c r="J1247" s="12">
        <f>IF(F1247&lt;&gt;0,"LANÇAR","")</f>
        <v/>
      </c>
      <c r="L1247" s="13">
        <f>N1247&amp;O1247&amp;P1247&amp;Q1247&amp;R1247&amp;S1247&amp;T1247&amp;U1247&amp;V1247&amp;W1247&amp;X1247&amp;Y1247&amp;Z1247&amp;AA1247&amp;AB1247&amp;AC1247&amp;AD1247&amp;AE1247&amp;AF1247&amp;AG1247</f>
        <v/>
      </c>
      <c r="N1247" s="10">
        <f>TEXT($B$6,"00")</f>
        <v/>
      </c>
      <c r="O1247" s="10">
        <f>REPT(" ",8)</f>
        <v/>
      </c>
      <c r="P1247" s="10">
        <f>RIGHT($B$4,2)</f>
        <v/>
      </c>
      <c r="Q1247" s="10">
        <f>RIGHT($B$5,3)</f>
        <v/>
      </c>
      <c r="R1247" s="10">
        <f>IF(A1247="D",LEFT(UPPER(B1247)&amp;REPT(" ",20),20),REPT(" ",20))</f>
        <v/>
      </c>
      <c r="S1247" s="10">
        <f>IF(A1247="D",LEFT(UPPER(C1247)&amp;REPT(" ",10),10)," ")</f>
        <v/>
      </c>
      <c r="T1247" s="10">
        <f>IF(A1247="D",LEFT(UPPER(D1247)&amp;REPT(" ",2),2)," ")</f>
        <v/>
      </c>
      <c r="U1247" s="10">
        <f>IF(A1247="D",LEFT(UPPER(E1247)&amp;REPT(" ",15),15)," ")</f>
        <v/>
      </c>
      <c r="V1247" s="10">
        <f>REPT(" ",24)</f>
        <v/>
      </c>
      <c r="W1247" s="10">
        <f>IF(A1247="c",LEFT(UPPER(B1247)&amp;REPT(" ",20),20),REPT(" ",20))</f>
        <v/>
      </c>
      <c r="X1247" s="10">
        <f>IF(A1247="C",LEFT(UPPER(C1247)&amp;REPT(" ",10),10)," ")</f>
        <v/>
      </c>
      <c r="Y1247" s="10">
        <f>IF(A1247="C",LEFT(UPPER(D1247)&amp;REPT(" ",2),2)," ")</f>
        <v/>
      </c>
      <c r="Z1247" s="10">
        <f>IF(A1247="C",LEFT(UPPER(E1247)&amp;REPT(" ",15),15)," ")</f>
        <v/>
      </c>
      <c r="AA1247" s="10">
        <f>REPT(" ",8)</f>
        <v/>
      </c>
      <c r="AB1247" s="10">
        <f>REPT(" ",4)</f>
        <v/>
      </c>
      <c r="AC1247" s="10">
        <f>LEFT(UPPER(H1247)&amp;REPT(" ",250),250)</f>
        <v/>
      </c>
      <c r="AD1247" s="10">
        <f>TEXT($G$2,"dd/mm/aaaa")</f>
        <v/>
      </c>
      <c r="AE1247" s="10">
        <f>REPT(" ",10)</f>
        <v/>
      </c>
      <c r="AF1247" s="10">
        <f>REPT(" ",20)</f>
        <v/>
      </c>
      <c r="AG1247" s="54">
        <f>REPT(" ",18-LEN(FIXED(F1247,2,TRUE)))&amp;FIXED(F1247,2,TRUE)</f>
        <v/>
      </c>
      <c r="AH1247" s="10">
        <f>LEN(AC1247)+LEN(AG1247)</f>
        <v/>
      </c>
      <c r="AI1247" s="10">
        <f>LEN(L1247)</f>
        <v/>
      </c>
    </row>
    <row r="1248">
      <c r="J1248" s="12">
        <f>IF(F1248&lt;&gt;0,"LANÇAR","")</f>
        <v/>
      </c>
      <c r="L1248" s="13">
        <f>N1248&amp;O1248&amp;P1248&amp;Q1248&amp;R1248&amp;S1248&amp;T1248&amp;U1248&amp;V1248&amp;W1248&amp;X1248&amp;Y1248&amp;Z1248&amp;AA1248&amp;AB1248&amp;AC1248&amp;AD1248&amp;AE1248&amp;AF1248&amp;AG1248</f>
        <v/>
      </c>
      <c r="N1248" s="10">
        <f>TEXT($B$6,"00")</f>
        <v/>
      </c>
      <c r="O1248" s="10">
        <f>REPT(" ",8)</f>
        <v/>
      </c>
      <c r="P1248" s="10">
        <f>RIGHT($B$4,2)</f>
        <v/>
      </c>
      <c r="Q1248" s="10">
        <f>RIGHT($B$5,3)</f>
        <v/>
      </c>
      <c r="R1248" s="10">
        <f>IF(A1248="D",LEFT(UPPER(B1248)&amp;REPT(" ",20),20),REPT(" ",20))</f>
        <v/>
      </c>
      <c r="S1248" s="10">
        <f>IF(A1248="D",LEFT(UPPER(C1248)&amp;REPT(" ",10),10)," ")</f>
        <v/>
      </c>
      <c r="T1248" s="10">
        <f>IF(A1248="D",LEFT(UPPER(D1248)&amp;REPT(" ",2),2)," ")</f>
        <v/>
      </c>
      <c r="U1248" s="10">
        <f>IF(A1248="D",LEFT(UPPER(E1248)&amp;REPT(" ",15),15)," ")</f>
        <v/>
      </c>
      <c r="V1248" s="10">
        <f>REPT(" ",24)</f>
        <v/>
      </c>
      <c r="W1248" s="10">
        <f>IF(A1248="c",LEFT(UPPER(B1248)&amp;REPT(" ",20),20),REPT(" ",20))</f>
        <v/>
      </c>
      <c r="X1248" s="10">
        <f>IF(A1248="C",LEFT(UPPER(C1248)&amp;REPT(" ",10),10)," ")</f>
        <v/>
      </c>
      <c r="Y1248" s="10">
        <f>IF(A1248="C",LEFT(UPPER(D1248)&amp;REPT(" ",2),2)," ")</f>
        <v/>
      </c>
      <c r="Z1248" s="10">
        <f>IF(A1248="C",LEFT(UPPER(E1248)&amp;REPT(" ",15),15)," ")</f>
        <v/>
      </c>
      <c r="AA1248" s="10">
        <f>REPT(" ",8)</f>
        <v/>
      </c>
      <c r="AB1248" s="10">
        <f>REPT(" ",4)</f>
        <v/>
      </c>
      <c r="AC1248" s="10">
        <f>LEFT(UPPER(H1248)&amp;REPT(" ",250),250)</f>
        <v/>
      </c>
      <c r="AD1248" s="10">
        <f>TEXT($G$2,"dd/mm/aaaa")</f>
        <v/>
      </c>
      <c r="AE1248" s="10">
        <f>REPT(" ",10)</f>
        <v/>
      </c>
      <c r="AF1248" s="10">
        <f>REPT(" ",20)</f>
        <v/>
      </c>
      <c r="AG1248" s="54">
        <f>REPT(" ",18-LEN(FIXED(F1248,2,TRUE)))&amp;FIXED(F1248,2,TRUE)</f>
        <v/>
      </c>
      <c r="AH1248" s="10">
        <f>LEN(AC1248)+LEN(AG1248)</f>
        <v/>
      </c>
      <c r="AI1248" s="10">
        <f>LEN(L1248)</f>
        <v/>
      </c>
    </row>
    <row r="1249">
      <c r="J1249" s="12">
        <f>IF(F1249&lt;&gt;0,"LANÇAR","")</f>
        <v/>
      </c>
      <c r="L1249" s="13">
        <f>N1249&amp;O1249&amp;P1249&amp;Q1249&amp;R1249&amp;S1249&amp;T1249&amp;U1249&amp;V1249&amp;W1249&amp;X1249&amp;Y1249&amp;Z1249&amp;AA1249&amp;AB1249&amp;AC1249&amp;AD1249&amp;AE1249&amp;AF1249&amp;AG1249</f>
        <v/>
      </c>
      <c r="N1249" s="10">
        <f>TEXT($B$6,"00")</f>
        <v/>
      </c>
      <c r="O1249" s="10">
        <f>REPT(" ",8)</f>
        <v/>
      </c>
      <c r="P1249" s="10">
        <f>RIGHT($B$4,2)</f>
        <v/>
      </c>
      <c r="Q1249" s="10">
        <f>RIGHT($B$5,3)</f>
        <v/>
      </c>
      <c r="R1249" s="10">
        <f>IF(A1249="D",LEFT(UPPER(B1249)&amp;REPT(" ",20),20),REPT(" ",20))</f>
        <v/>
      </c>
      <c r="S1249" s="10">
        <f>IF(A1249="D",LEFT(UPPER(C1249)&amp;REPT(" ",10),10)," ")</f>
        <v/>
      </c>
      <c r="T1249" s="10">
        <f>IF(A1249="D",LEFT(UPPER(D1249)&amp;REPT(" ",2),2)," ")</f>
        <v/>
      </c>
      <c r="U1249" s="10">
        <f>IF(A1249="D",LEFT(UPPER(E1249)&amp;REPT(" ",15),15)," ")</f>
        <v/>
      </c>
      <c r="V1249" s="10">
        <f>REPT(" ",24)</f>
        <v/>
      </c>
      <c r="W1249" s="10">
        <f>IF(A1249="c",LEFT(UPPER(B1249)&amp;REPT(" ",20),20),REPT(" ",20))</f>
        <v/>
      </c>
      <c r="X1249" s="10">
        <f>IF(A1249="C",LEFT(UPPER(C1249)&amp;REPT(" ",10),10)," ")</f>
        <v/>
      </c>
      <c r="Y1249" s="10">
        <f>IF(A1249="C",LEFT(UPPER(D1249)&amp;REPT(" ",2),2)," ")</f>
        <v/>
      </c>
      <c r="Z1249" s="10">
        <f>IF(A1249="C",LEFT(UPPER(E1249)&amp;REPT(" ",15),15)," ")</f>
        <v/>
      </c>
      <c r="AA1249" s="10">
        <f>REPT(" ",8)</f>
        <v/>
      </c>
      <c r="AB1249" s="10">
        <f>REPT(" ",4)</f>
        <v/>
      </c>
      <c r="AC1249" s="10">
        <f>LEFT(UPPER(H1249)&amp;REPT(" ",250),250)</f>
        <v/>
      </c>
      <c r="AD1249" s="10">
        <f>TEXT($G$2,"dd/mm/aaaa")</f>
        <v/>
      </c>
      <c r="AE1249" s="10">
        <f>REPT(" ",10)</f>
        <v/>
      </c>
      <c r="AF1249" s="10">
        <f>REPT(" ",20)</f>
        <v/>
      </c>
      <c r="AG1249" s="54">
        <f>REPT(" ",18-LEN(FIXED(F1249,2,TRUE)))&amp;FIXED(F1249,2,TRUE)</f>
        <v/>
      </c>
      <c r="AH1249" s="10">
        <f>LEN(AC1249)+LEN(AG1249)</f>
        <v/>
      </c>
      <c r="AI1249" s="10">
        <f>LEN(L1249)</f>
        <v/>
      </c>
    </row>
    <row r="1250">
      <c r="J1250" s="12">
        <f>IF(F1250&lt;&gt;0,"LANÇAR","")</f>
        <v/>
      </c>
      <c r="L1250" s="13">
        <f>N1250&amp;O1250&amp;P1250&amp;Q1250&amp;R1250&amp;S1250&amp;T1250&amp;U1250&amp;V1250&amp;W1250&amp;X1250&amp;Y1250&amp;Z1250&amp;AA1250&amp;AB1250&amp;AC1250&amp;AD1250&amp;AE1250&amp;AF1250&amp;AG1250</f>
        <v/>
      </c>
      <c r="N1250" s="10">
        <f>TEXT($B$6,"00")</f>
        <v/>
      </c>
      <c r="O1250" s="10">
        <f>REPT(" ",8)</f>
        <v/>
      </c>
      <c r="P1250" s="10">
        <f>RIGHT($B$4,2)</f>
        <v/>
      </c>
      <c r="Q1250" s="10">
        <f>RIGHT($B$5,3)</f>
        <v/>
      </c>
      <c r="R1250" s="10">
        <f>IF(A1250="D",LEFT(UPPER(B1250)&amp;REPT(" ",20),20),REPT(" ",20))</f>
        <v/>
      </c>
      <c r="S1250" s="10">
        <f>IF(A1250="D",LEFT(UPPER(C1250)&amp;REPT(" ",10),10)," ")</f>
        <v/>
      </c>
      <c r="T1250" s="10">
        <f>IF(A1250="D",LEFT(UPPER(D1250)&amp;REPT(" ",2),2)," ")</f>
        <v/>
      </c>
      <c r="U1250" s="10">
        <f>IF(A1250="D",LEFT(UPPER(E1250)&amp;REPT(" ",15),15)," ")</f>
        <v/>
      </c>
      <c r="V1250" s="10">
        <f>REPT(" ",24)</f>
        <v/>
      </c>
      <c r="W1250" s="10">
        <f>IF(A1250="c",LEFT(UPPER(B1250)&amp;REPT(" ",20),20),REPT(" ",20))</f>
        <v/>
      </c>
      <c r="X1250" s="10">
        <f>IF(A1250="C",LEFT(UPPER(C1250)&amp;REPT(" ",10),10)," ")</f>
        <v/>
      </c>
      <c r="Y1250" s="10">
        <f>IF(A1250="C",LEFT(UPPER(D1250)&amp;REPT(" ",2),2)," ")</f>
        <v/>
      </c>
      <c r="Z1250" s="10">
        <f>IF(A1250="C",LEFT(UPPER(E1250)&amp;REPT(" ",15),15)," ")</f>
        <v/>
      </c>
      <c r="AA1250" s="10">
        <f>REPT(" ",8)</f>
        <v/>
      </c>
      <c r="AB1250" s="10">
        <f>REPT(" ",4)</f>
        <v/>
      </c>
      <c r="AC1250" s="10">
        <f>LEFT(UPPER(H1250)&amp;REPT(" ",250),250)</f>
        <v/>
      </c>
      <c r="AD1250" s="10">
        <f>TEXT($G$2,"dd/mm/aaaa")</f>
        <v/>
      </c>
      <c r="AE1250" s="10">
        <f>REPT(" ",10)</f>
        <v/>
      </c>
      <c r="AF1250" s="10">
        <f>REPT(" ",20)</f>
        <v/>
      </c>
      <c r="AG1250" s="54">
        <f>REPT(" ",18-LEN(FIXED(F1250,2,TRUE)))&amp;FIXED(F1250,2,TRUE)</f>
        <v/>
      </c>
      <c r="AH1250" s="10">
        <f>LEN(AC1250)+LEN(AG1250)</f>
        <v/>
      </c>
      <c r="AI1250" s="10">
        <f>LEN(L1250)</f>
        <v/>
      </c>
    </row>
    <row r="1251">
      <c r="J1251" s="12">
        <f>IF(F1251&lt;&gt;0,"LANÇAR","")</f>
        <v/>
      </c>
      <c r="L1251" s="13">
        <f>N1251&amp;O1251&amp;P1251&amp;Q1251&amp;R1251&amp;S1251&amp;T1251&amp;U1251&amp;V1251&amp;W1251&amp;X1251&amp;Y1251&amp;Z1251&amp;AA1251&amp;AB1251&amp;AC1251&amp;AD1251&amp;AE1251&amp;AF1251&amp;AG1251</f>
        <v/>
      </c>
      <c r="N1251" s="10">
        <f>TEXT($B$6,"00")</f>
        <v/>
      </c>
      <c r="O1251" s="10">
        <f>REPT(" ",8)</f>
        <v/>
      </c>
      <c r="P1251" s="10">
        <f>RIGHT($B$4,2)</f>
        <v/>
      </c>
      <c r="Q1251" s="10">
        <f>RIGHT($B$5,3)</f>
        <v/>
      </c>
      <c r="R1251" s="10">
        <f>IF(A1251="D",LEFT(UPPER(B1251)&amp;REPT(" ",20),20),REPT(" ",20))</f>
        <v/>
      </c>
      <c r="S1251" s="10">
        <f>IF(A1251="D",LEFT(UPPER(C1251)&amp;REPT(" ",10),10)," ")</f>
        <v/>
      </c>
      <c r="T1251" s="10">
        <f>IF(A1251="D",LEFT(UPPER(D1251)&amp;REPT(" ",2),2)," ")</f>
        <v/>
      </c>
      <c r="U1251" s="10">
        <f>IF(A1251="D",LEFT(UPPER(E1251)&amp;REPT(" ",15),15)," ")</f>
        <v/>
      </c>
      <c r="V1251" s="10">
        <f>REPT(" ",24)</f>
        <v/>
      </c>
      <c r="W1251" s="10">
        <f>IF(A1251="c",LEFT(UPPER(B1251)&amp;REPT(" ",20),20),REPT(" ",20))</f>
        <v/>
      </c>
      <c r="X1251" s="10">
        <f>IF(A1251="C",LEFT(UPPER(C1251)&amp;REPT(" ",10),10)," ")</f>
        <v/>
      </c>
      <c r="Y1251" s="10">
        <f>IF(A1251="C",LEFT(UPPER(D1251)&amp;REPT(" ",2),2)," ")</f>
        <v/>
      </c>
      <c r="Z1251" s="10">
        <f>IF(A1251="C",LEFT(UPPER(E1251)&amp;REPT(" ",15),15)," ")</f>
        <v/>
      </c>
      <c r="AA1251" s="10">
        <f>REPT(" ",8)</f>
        <v/>
      </c>
      <c r="AB1251" s="10">
        <f>REPT(" ",4)</f>
        <v/>
      </c>
      <c r="AC1251" s="10">
        <f>LEFT(UPPER(H1251)&amp;REPT(" ",250),250)</f>
        <v/>
      </c>
      <c r="AD1251" s="10">
        <f>TEXT($G$2,"dd/mm/aaaa")</f>
        <v/>
      </c>
      <c r="AE1251" s="10">
        <f>REPT(" ",10)</f>
        <v/>
      </c>
      <c r="AF1251" s="10">
        <f>REPT(" ",20)</f>
        <v/>
      </c>
      <c r="AG1251" s="54">
        <f>REPT(" ",18-LEN(FIXED(F1251,2,TRUE)))&amp;FIXED(F1251,2,TRUE)</f>
        <v/>
      </c>
      <c r="AH1251" s="10">
        <f>LEN(AC1251)+LEN(AG1251)</f>
        <v/>
      </c>
      <c r="AI1251" s="10">
        <f>LEN(L1251)</f>
        <v/>
      </c>
    </row>
    <row r="1252">
      <c r="J1252" s="12">
        <f>IF(F1252&lt;&gt;0,"LANÇAR","")</f>
        <v/>
      </c>
      <c r="L1252" s="13">
        <f>N1252&amp;O1252&amp;P1252&amp;Q1252&amp;R1252&amp;S1252&amp;T1252&amp;U1252&amp;V1252&amp;W1252&amp;X1252&amp;Y1252&amp;Z1252&amp;AA1252&amp;AB1252&amp;AC1252&amp;AD1252&amp;AE1252&amp;AF1252&amp;AG1252</f>
        <v/>
      </c>
      <c r="N1252" s="10">
        <f>TEXT($B$6,"00")</f>
        <v/>
      </c>
      <c r="O1252" s="10">
        <f>REPT(" ",8)</f>
        <v/>
      </c>
      <c r="P1252" s="10">
        <f>RIGHT($B$4,2)</f>
        <v/>
      </c>
      <c r="Q1252" s="10">
        <f>RIGHT($B$5,3)</f>
        <v/>
      </c>
      <c r="R1252" s="10">
        <f>IF(A1252="D",LEFT(UPPER(B1252)&amp;REPT(" ",20),20),REPT(" ",20))</f>
        <v/>
      </c>
      <c r="S1252" s="10">
        <f>IF(A1252="D",LEFT(UPPER(C1252)&amp;REPT(" ",10),10)," ")</f>
        <v/>
      </c>
      <c r="T1252" s="10">
        <f>IF(A1252="D",LEFT(UPPER(D1252)&amp;REPT(" ",2),2)," ")</f>
        <v/>
      </c>
      <c r="U1252" s="10">
        <f>IF(A1252="D",LEFT(UPPER(E1252)&amp;REPT(" ",15),15)," ")</f>
        <v/>
      </c>
      <c r="V1252" s="10">
        <f>REPT(" ",24)</f>
        <v/>
      </c>
      <c r="W1252" s="10">
        <f>IF(A1252="c",LEFT(UPPER(B1252)&amp;REPT(" ",20),20),REPT(" ",20))</f>
        <v/>
      </c>
      <c r="X1252" s="10">
        <f>IF(A1252="C",LEFT(UPPER(C1252)&amp;REPT(" ",10),10)," ")</f>
        <v/>
      </c>
      <c r="Y1252" s="10">
        <f>IF(A1252="C",LEFT(UPPER(D1252)&amp;REPT(" ",2),2)," ")</f>
        <v/>
      </c>
      <c r="Z1252" s="10">
        <f>IF(A1252="C",LEFT(UPPER(E1252)&amp;REPT(" ",15),15)," ")</f>
        <v/>
      </c>
      <c r="AA1252" s="10">
        <f>REPT(" ",8)</f>
        <v/>
      </c>
      <c r="AB1252" s="10">
        <f>REPT(" ",4)</f>
        <v/>
      </c>
      <c r="AC1252" s="10">
        <f>LEFT(UPPER(H1252)&amp;REPT(" ",250),250)</f>
        <v/>
      </c>
      <c r="AD1252" s="10">
        <f>TEXT($G$2,"dd/mm/aaaa")</f>
        <v/>
      </c>
      <c r="AE1252" s="10">
        <f>REPT(" ",10)</f>
        <v/>
      </c>
      <c r="AF1252" s="10">
        <f>REPT(" ",20)</f>
        <v/>
      </c>
      <c r="AG1252" s="54">
        <f>REPT(" ",18-LEN(FIXED(F1252,2,TRUE)))&amp;FIXED(F1252,2,TRUE)</f>
        <v/>
      </c>
      <c r="AH1252" s="10">
        <f>LEN(AC1252)+LEN(AG1252)</f>
        <v/>
      </c>
      <c r="AI1252" s="10">
        <f>LEN(L1252)</f>
        <v/>
      </c>
    </row>
    <row r="1253">
      <c r="J1253" s="12">
        <f>IF(F1253&lt;&gt;0,"LANÇAR","")</f>
        <v/>
      </c>
      <c r="L1253" s="13">
        <f>N1253&amp;O1253&amp;P1253&amp;Q1253&amp;R1253&amp;S1253&amp;T1253&amp;U1253&amp;V1253&amp;W1253&amp;X1253&amp;Y1253&amp;Z1253&amp;AA1253&amp;AB1253&amp;AC1253&amp;AD1253&amp;AE1253&amp;AF1253&amp;AG1253</f>
        <v/>
      </c>
      <c r="N1253" s="10">
        <f>TEXT($B$6,"00")</f>
        <v/>
      </c>
      <c r="O1253" s="10">
        <f>REPT(" ",8)</f>
        <v/>
      </c>
      <c r="P1253" s="10">
        <f>RIGHT($B$4,2)</f>
        <v/>
      </c>
      <c r="Q1253" s="10">
        <f>RIGHT($B$5,3)</f>
        <v/>
      </c>
      <c r="R1253" s="10">
        <f>IF(A1253="D",LEFT(UPPER(B1253)&amp;REPT(" ",20),20),REPT(" ",20))</f>
        <v/>
      </c>
      <c r="S1253" s="10">
        <f>IF(A1253="D",LEFT(UPPER(C1253)&amp;REPT(" ",10),10)," ")</f>
        <v/>
      </c>
      <c r="T1253" s="10">
        <f>IF(A1253="D",LEFT(UPPER(D1253)&amp;REPT(" ",2),2)," ")</f>
        <v/>
      </c>
      <c r="U1253" s="10">
        <f>IF(A1253="D",LEFT(UPPER(E1253)&amp;REPT(" ",15),15)," ")</f>
        <v/>
      </c>
      <c r="V1253" s="10">
        <f>REPT(" ",24)</f>
        <v/>
      </c>
      <c r="W1253" s="10">
        <f>IF(A1253="c",LEFT(UPPER(B1253)&amp;REPT(" ",20),20),REPT(" ",20))</f>
        <v/>
      </c>
      <c r="X1253" s="10">
        <f>IF(A1253="C",LEFT(UPPER(C1253)&amp;REPT(" ",10),10)," ")</f>
        <v/>
      </c>
      <c r="Y1253" s="10">
        <f>IF(A1253="C",LEFT(UPPER(D1253)&amp;REPT(" ",2),2)," ")</f>
        <v/>
      </c>
      <c r="Z1253" s="10">
        <f>IF(A1253="C",LEFT(UPPER(E1253)&amp;REPT(" ",15),15)," ")</f>
        <v/>
      </c>
      <c r="AA1253" s="10">
        <f>REPT(" ",8)</f>
        <v/>
      </c>
      <c r="AB1253" s="10">
        <f>REPT(" ",4)</f>
        <v/>
      </c>
      <c r="AC1253" s="10">
        <f>LEFT(UPPER(H1253)&amp;REPT(" ",250),250)</f>
        <v/>
      </c>
      <c r="AD1253" s="10">
        <f>TEXT($G$2,"dd/mm/aaaa")</f>
        <v/>
      </c>
      <c r="AE1253" s="10">
        <f>REPT(" ",10)</f>
        <v/>
      </c>
      <c r="AF1253" s="10">
        <f>REPT(" ",20)</f>
        <v/>
      </c>
      <c r="AG1253" s="54">
        <f>REPT(" ",18-LEN(FIXED(F1253,2,TRUE)))&amp;FIXED(F1253,2,TRUE)</f>
        <v/>
      </c>
      <c r="AH1253" s="10">
        <f>LEN(AC1253)+LEN(AG1253)</f>
        <v/>
      </c>
      <c r="AI1253" s="10">
        <f>LEN(L1253)</f>
        <v/>
      </c>
    </row>
    <row r="1254">
      <c r="J1254" s="12">
        <f>IF(F1254&lt;&gt;0,"LANÇAR","")</f>
        <v/>
      </c>
      <c r="L1254" s="13">
        <f>N1254&amp;O1254&amp;P1254&amp;Q1254&amp;R1254&amp;S1254&amp;T1254&amp;U1254&amp;V1254&amp;W1254&amp;X1254&amp;Y1254&amp;Z1254&amp;AA1254&amp;AB1254&amp;AC1254&amp;AD1254&amp;AE1254&amp;AF1254&amp;AG1254</f>
        <v/>
      </c>
      <c r="N1254" s="10">
        <f>TEXT($B$6,"00")</f>
        <v/>
      </c>
      <c r="O1254" s="10">
        <f>REPT(" ",8)</f>
        <v/>
      </c>
      <c r="P1254" s="10">
        <f>RIGHT($B$4,2)</f>
        <v/>
      </c>
      <c r="Q1254" s="10">
        <f>RIGHT($B$5,3)</f>
        <v/>
      </c>
      <c r="R1254" s="10">
        <f>IF(A1254="D",LEFT(UPPER(B1254)&amp;REPT(" ",20),20),REPT(" ",20))</f>
        <v/>
      </c>
      <c r="S1254" s="10">
        <f>IF(A1254="D",LEFT(UPPER(C1254)&amp;REPT(" ",10),10)," ")</f>
        <v/>
      </c>
      <c r="T1254" s="10">
        <f>IF(A1254="D",LEFT(UPPER(D1254)&amp;REPT(" ",2),2)," ")</f>
        <v/>
      </c>
      <c r="U1254" s="10">
        <f>IF(A1254="D",LEFT(UPPER(E1254)&amp;REPT(" ",15),15)," ")</f>
        <v/>
      </c>
      <c r="V1254" s="10">
        <f>REPT(" ",24)</f>
        <v/>
      </c>
      <c r="W1254" s="10">
        <f>IF(A1254="c",LEFT(UPPER(B1254)&amp;REPT(" ",20),20),REPT(" ",20))</f>
        <v/>
      </c>
      <c r="X1254" s="10">
        <f>IF(A1254="C",LEFT(UPPER(C1254)&amp;REPT(" ",10),10)," ")</f>
        <v/>
      </c>
      <c r="Y1254" s="10">
        <f>IF(A1254="C",LEFT(UPPER(D1254)&amp;REPT(" ",2),2)," ")</f>
        <v/>
      </c>
      <c r="Z1254" s="10">
        <f>IF(A1254="C",LEFT(UPPER(E1254)&amp;REPT(" ",15),15)," ")</f>
        <v/>
      </c>
      <c r="AA1254" s="10">
        <f>REPT(" ",8)</f>
        <v/>
      </c>
      <c r="AB1254" s="10">
        <f>REPT(" ",4)</f>
        <v/>
      </c>
      <c r="AC1254" s="10">
        <f>LEFT(UPPER(H1254)&amp;REPT(" ",250),250)</f>
        <v/>
      </c>
      <c r="AD1254" s="10">
        <f>TEXT($G$2,"dd/mm/aaaa")</f>
        <v/>
      </c>
      <c r="AE1254" s="10">
        <f>REPT(" ",10)</f>
        <v/>
      </c>
      <c r="AF1254" s="10">
        <f>REPT(" ",20)</f>
        <v/>
      </c>
      <c r="AG1254" s="54">
        <f>REPT(" ",18-LEN(FIXED(F1254,2,TRUE)))&amp;FIXED(F1254,2,TRUE)</f>
        <v/>
      </c>
      <c r="AH1254" s="10">
        <f>LEN(AC1254)+LEN(AG1254)</f>
        <v/>
      </c>
      <c r="AI1254" s="10">
        <f>LEN(L1254)</f>
        <v/>
      </c>
    </row>
    <row r="1255">
      <c r="J1255" s="12">
        <f>IF(F1255&lt;&gt;0,"LANÇAR","")</f>
        <v/>
      </c>
      <c r="L1255" s="13">
        <f>N1255&amp;O1255&amp;P1255&amp;Q1255&amp;R1255&amp;S1255&amp;T1255&amp;U1255&amp;V1255&amp;W1255&amp;X1255&amp;Y1255&amp;Z1255&amp;AA1255&amp;AB1255&amp;AC1255&amp;AD1255&amp;AE1255&amp;AF1255&amp;AG1255</f>
        <v/>
      </c>
      <c r="N1255" s="10">
        <f>TEXT($B$6,"00")</f>
        <v/>
      </c>
      <c r="O1255" s="10">
        <f>REPT(" ",8)</f>
        <v/>
      </c>
      <c r="P1255" s="10">
        <f>RIGHT($B$4,2)</f>
        <v/>
      </c>
      <c r="Q1255" s="10">
        <f>RIGHT($B$5,3)</f>
        <v/>
      </c>
      <c r="R1255" s="10">
        <f>IF(A1255="D",LEFT(UPPER(B1255)&amp;REPT(" ",20),20),REPT(" ",20))</f>
        <v/>
      </c>
      <c r="S1255" s="10">
        <f>IF(A1255="D",LEFT(UPPER(C1255)&amp;REPT(" ",10),10)," ")</f>
        <v/>
      </c>
      <c r="T1255" s="10">
        <f>IF(A1255="D",LEFT(UPPER(D1255)&amp;REPT(" ",2),2)," ")</f>
        <v/>
      </c>
      <c r="U1255" s="10">
        <f>IF(A1255="D",LEFT(UPPER(E1255)&amp;REPT(" ",15),15)," ")</f>
        <v/>
      </c>
      <c r="V1255" s="10">
        <f>REPT(" ",24)</f>
        <v/>
      </c>
      <c r="W1255" s="10">
        <f>IF(A1255="c",LEFT(UPPER(B1255)&amp;REPT(" ",20),20),REPT(" ",20))</f>
        <v/>
      </c>
      <c r="X1255" s="10">
        <f>IF(A1255="C",LEFT(UPPER(C1255)&amp;REPT(" ",10),10)," ")</f>
        <v/>
      </c>
      <c r="Y1255" s="10">
        <f>IF(A1255="C",LEFT(UPPER(D1255)&amp;REPT(" ",2),2)," ")</f>
        <v/>
      </c>
      <c r="Z1255" s="10">
        <f>IF(A1255="C",LEFT(UPPER(E1255)&amp;REPT(" ",15),15)," ")</f>
        <v/>
      </c>
      <c r="AA1255" s="10">
        <f>REPT(" ",8)</f>
        <v/>
      </c>
      <c r="AB1255" s="10">
        <f>REPT(" ",4)</f>
        <v/>
      </c>
      <c r="AC1255" s="10">
        <f>LEFT(UPPER(H1255)&amp;REPT(" ",250),250)</f>
        <v/>
      </c>
      <c r="AD1255" s="10">
        <f>TEXT($G$2,"dd/mm/aaaa")</f>
        <v/>
      </c>
      <c r="AE1255" s="10">
        <f>REPT(" ",10)</f>
        <v/>
      </c>
      <c r="AF1255" s="10">
        <f>REPT(" ",20)</f>
        <v/>
      </c>
      <c r="AG1255" s="54">
        <f>REPT(" ",18-LEN(FIXED(F1255,2,TRUE)))&amp;FIXED(F1255,2,TRUE)</f>
        <v/>
      </c>
      <c r="AH1255" s="10">
        <f>LEN(AC1255)+LEN(AG1255)</f>
        <v/>
      </c>
      <c r="AI1255" s="10">
        <f>LEN(L1255)</f>
        <v/>
      </c>
    </row>
    <row r="1256">
      <c r="J1256" s="12">
        <f>IF(F1256&lt;&gt;0,"LANÇAR","")</f>
        <v/>
      </c>
      <c r="L1256" s="13">
        <f>N1256&amp;O1256&amp;P1256&amp;Q1256&amp;R1256&amp;S1256&amp;T1256&amp;U1256&amp;V1256&amp;W1256&amp;X1256&amp;Y1256&amp;Z1256&amp;AA1256&amp;AB1256&amp;AC1256&amp;AD1256&amp;AE1256&amp;AF1256&amp;AG1256</f>
        <v/>
      </c>
      <c r="N1256" s="10">
        <f>TEXT($B$6,"00")</f>
        <v/>
      </c>
      <c r="O1256" s="10">
        <f>REPT(" ",8)</f>
        <v/>
      </c>
      <c r="P1256" s="10">
        <f>RIGHT($B$4,2)</f>
        <v/>
      </c>
      <c r="Q1256" s="10">
        <f>RIGHT($B$5,3)</f>
        <v/>
      </c>
      <c r="R1256" s="10">
        <f>IF(A1256="D",LEFT(UPPER(B1256)&amp;REPT(" ",20),20),REPT(" ",20))</f>
        <v/>
      </c>
      <c r="S1256" s="10">
        <f>IF(A1256="D",LEFT(UPPER(C1256)&amp;REPT(" ",10),10)," ")</f>
        <v/>
      </c>
      <c r="T1256" s="10">
        <f>IF(A1256="D",LEFT(UPPER(D1256)&amp;REPT(" ",2),2)," ")</f>
        <v/>
      </c>
      <c r="U1256" s="10">
        <f>IF(A1256="D",LEFT(UPPER(E1256)&amp;REPT(" ",15),15)," ")</f>
        <v/>
      </c>
      <c r="V1256" s="10">
        <f>REPT(" ",24)</f>
        <v/>
      </c>
      <c r="W1256" s="10">
        <f>IF(A1256="c",LEFT(UPPER(B1256)&amp;REPT(" ",20),20),REPT(" ",20))</f>
        <v/>
      </c>
      <c r="X1256" s="10">
        <f>IF(A1256="C",LEFT(UPPER(C1256)&amp;REPT(" ",10),10)," ")</f>
        <v/>
      </c>
      <c r="Y1256" s="10">
        <f>IF(A1256="C",LEFT(UPPER(D1256)&amp;REPT(" ",2),2)," ")</f>
        <v/>
      </c>
      <c r="Z1256" s="10">
        <f>IF(A1256="C",LEFT(UPPER(E1256)&amp;REPT(" ",15),15)," ")</f>
        <v/>
      </c>
      <c r="AA1256" s="10">
        <f>REPT(" ",8)</f>
        <v/>
      </c>
      <c r="AB1256" s="10">
        <f>REPT(" ",4)</f>
        <v/>
      </c>
      <c r="AC1256" s="10">
        <f>LEFT(UPPER(H1256)&amp;REPT(" ",250),250)</f>
        <v/>
      </c>
      <c r="AD1256" s="10">
        <f>TEXT($G$2,"dd/mm/aaaa")</f>
        <v/>
      </c>
      <c r="AE1256" s="10">
        <f>REPT(" ",10)</f>
        <v/>
      </c>
      <c r="AF1256" s="10">
        <f>REPT(" ",20)</f>
        <v/>
      </c>
      <c r="AG1256" s="54">
        <f>REPT(" ",18-LEN(FIXED(F1256,2,TRUE)))&amp;FIXED(F1256,2,TRUE)</f>
        <v/>
      </c>
      <c r="AH1256" s="10">
        <f>LEN(AC1256)+LEN(AG1256)</f>
        <v/>
      </c>
      <c r="AI1256" s="10">
        <f>LEN(L1256)</f>
        <v/>
      </c>
    </row>
    <row r="1257">
      <c r="J1257" s="12">
        <f>IF(F1257&lt;&gt;0,"LANÇAR","")</f>
        <v/>
      </c>
      <c r="L1257" s="13">
        <f>N1257&amp;O1257&amp;P1257&amp;Q1257&amp;R1257&amp;S1257&amp;T1257&amp;U1257&amp;V1257&amp;W1257&amp;X1257&amp;Y1257&amp;Z1257&amp;AA1257&amp;AB1257&amp;AC1257&amp;AD1257&amp;AE1257&amp;AF1257&amp;AG1257</f>
        <v/>
      </c>
      <c r="N1257" s="10">
        <f>TEXT($B$6,"00")</f>
        <v/>
      </c>
      <c r="O1257" s="10">
        <f>REPT(" ",8)</f>
        <v/>
      </c>
      <c r="P1257" s="10">
        <f>RIGHT($B$4,2)</f>
        <v/>
      </c>
      <c r="Q1257" s="10">
        <f>RIGHT($B$5,3)</f>
        <v/>
      </c>
      <c r="R1257" s="10">
        <f>IF(A1257="D",LEFT(UPPER(B1257)&amp;REPT(" ",20),20),REPT(" ",20))</f>
        <v/>
      </c>
      <c r="S1257" s="10">
        <f>IF(A1257="D",LEFT(UPPER(C1257)&amp;REPT(" ",10),10)," ")</f>
        <v/>
      </c>
      <c r="T1257" s="10">
        <f>IF(A1257="D",LEFT(UPPER(D1257)&amp;REPT(" ",2),2)," ")</f>
        <v/>
      </c>
      <c r="U1257" s="10">
        <f>IF(A1257="D",LEFT(UPPER(E1257)&amp;REPT(" ",15),15)," ")</f>
        <v/>
      </c>
      <c r="V1257" s="10">
        <f>REPT(" ",24)</f>
        <v/>
      </c>
      <c r="W1257" s="10">
        <f>IF(A1257="c",LEFT(UPPER(B1257)&amp;REPT(" ",20),20),REPT(" ",20))</f>
        <v/>
      </c>
      <c r="X1257" s="10">
        <f>IF(A1257="C",LEFT(UPPER(C1257)&amp;REPT(" ",10),10)," ")</f>
        <v/>
      </c>
      <c r="Y1257" s="10">
        <f>IF(A1257="C",LEFT(UPPER(D1257)&amp;REPT(" ",2),2)," ")</f>
        <v/>
      </c>
      <c r="Z1257" s="10">
        <f>IF(A1257="C",LEFT(UPPER(E1257)&amp;REPT(" ",15),15)," ")</f>
        <v/>
      </c>
      <c r="AA1257" s="10">
        <f>REPT(" ",8)</f>
        <v/>
      </c>
      <c r="AB1257" s="10">
        <f>REPT(" ",4)</f>
        <v/>
      </c>
      <c r="AC1257" s="10">
        <f>LEFT(UPPER(H1257)&amp;REPT(" ",250),250)</f>
        <v/>
      </c>
      <c r="AD1257" s="10">
        <f>TEXT($G$2,"dd/mm/aaaa")</f>
        <v/>
      </c>
      <c r="AE1257" s="10">
        <f>REPT(" ",10)</f>
        <v/>
      </c>
      <c r="AF1257" s="10">
        <f>REPT(" ",20)</f>
        <v/>
      </c>
      <c r="AG1257" s="54">
        <f>REPT(" ",18-LEN(FIXED(F1257,2,TRUE)))&amp;FIXED(F1257,2,TRUE)</f>
        <v/>
      </c>
      <c r="AH1257" s="10">
        <f>LEN(AC1257)+LEN(AG1257)</f>
        <v/>
      </c>
      <c r="AI1257" s="10">
        <f>LEN(L1257)</f>
        <v/>
      </c>
    </row>
    <row r="1258">
      <c r="J1258" s="12">
        <f>IF(F1258&lt;&gt;0,"LANÇAR","")</f>
        <v/>
      </c>
      <c r="L1258" s="13">
        <f>N1258&amp;O1258&amp;P1258&amp;Q1258&amp;R1258&amp;S1258&amp;T1258&amp;U1258&amp;V1258&amp;W1258&amp;X1258&amp;Y1258&amp;Z1258&amp;AA1258&amp;AB1258&amp;AC1258&amp;AD1258&amp;AE1258&amp;AF1258&amp;AG1258</f>
        <v/>
      </c>
      <c r="N1258" s="10">
        <f>TEXT($B$6,"00")</f>
        <v/>
      </c>
      <c r="O1258" s="10">
        <f>REPT(" ",8)</f>
        <v/>
      </c>
      <c r="P1258" s="10">
        <f>RIGHT($B$4,2)</f>
        <v/>
      </c>
      <c r="Q1258" s="10">
        <f>RIGHT($B$5,3)</f>
        <v/>
      </c>
      <c r="R1258" s="10">
        <f>IF(A1258="D",LEFT(UPPER(B1258)&amp;REPT(" ",20),20),REPT(" ",20))</f>
        <v/>
      </c>
      <c r="S1258" s="10">
        <f>IF(A1258="D",LEFT(UPPER(C1258)&amp;REPT(" ",10),10)," ")</f>
        <v/>
      </c>
      <c r="T1258" s="10">
        <f>IF(A1258="D",LEFT(UPPER(D1258)&amp;REPT(" ",2),2)," ")</f>
        <v/>
      </c>
      <c r="U1258" s="10">
        <f>IF(A1258="D",LEFT(UPPER(E1258)&amp;REPT(" ",15),15)," ")</f>
        <v/>
      </c>
      <c r="V1258" s="10">
        <f>REPT(" ",24)</f>
        <v/>
      </c>
      <c r="W1258" s="10">
        <f>IF(A1258="c",LEFT(UPPER(B1258)&amp;REPT(" ",20),20),REPT(" ",20))</f>
        <v/>
      </c>
      <c r="X1258" s="10">
        <f>IF(A1258="C",LEFT(UPPER(C1258)&amp;REPT(" ",10),10)," ")</f>
        <v/>
      </c>
      <c r="Y1258" s="10">
        <f>IF(A1258="C",LEFT(UPPER(D1258)&amp;REPT(" ",2),2)," ")</f>
        <v/>
      </c>
      <c r="Z1258" s="10">
        <f>IF(A1258="C",LEFT(UPPER(E1258)&amp;REPT(" ",15),15)," ")</f>
        <v/>
      </c>
      <c r="AA1258" s="10">
        <f>REPT(" ",8)</f>
        <v/>
      </c>
      <c r="AB1258" s="10">
        <f>REPT(" ",4)</f>
        <v/>
      </c>
      <c r="AC1258" s="10">
        <f>LEFT(UPPER(H1258)&amp;REPT(" ",250),250)</f>
        <v/>
      </c>
      <c r="AD1258" s="10">
        <f>TEXT($G$2,"dd/mm/aaaa")</f>
        <v/>
      </c>
      <c r="AE1258" s="10">
        <f>REPT(" ",10)</f>
        <v/>
      </c>
      <c r="AF1258" s="10">
        <f>REPT(" ",20)</f>
        <v/>
      </c>
      <c r="AG1258" s="54">
        <f>REPT(" ",18-LEN(FIXED(F1258,2,TRUE)))&amp;FIXED(F1258,2,TRUE)</f>
        <v/>
      </c>
      <c r="AH1258" s="10">
        <f>LEN(AC1258)+LEN(AG1258)</f>
        <v/>
      </c>
      <c r="AI1258" s="10">
        <f>LEN(L1258)</f>
        <v/>
      </c>
    </row>
    <row r="1259">
      <c r="J1259" s="12">
        <f>IF(F1259&lt;&gt;0,"LANÇAR","")</f>
        <v/>
      </c>
      <c r="L1259" s="13">
        <f>N1259&amp;O1259&amp;P1259&amp;Q1259&amp;R1259&amp;S1259&amp;T1259&amp;U1259&amp;V1259&amp;W1259&amp;X1259&amp;Y1259&amp;Z1259&amp;AA1259&amp;AB1259&amp;AC1259&amp;AD1259&amp;AE1259&amp;AF1259&amp;AG1259</f>
        <v/>
      </c>
      <c r="N1259" s="10">
        <f>TEXT($B$6,"00")</f>
        <v/>
      </c>
      <c r="O1259" s="10">
        <f>REPT(" ",8)</f>
        <v/>
      </c>
      <c r="P1259" s="10">
        <f>RIGHT($B$4,2)</f>
        <v/>
      </c>
      <c r="Q1259" s="10">
        <f>RIGHT($B$5,3)</f>
        <v/>
      </c>
      <c r="R1259" s="10">
        <f>IF(A1259="D",LEFT(UPPER(B1259)&amp;REPT(" ",20),20),REPT(" ",20))</f>
        <v/>
      </c>
      <c r="S1259" s="10">
        <f>IF(A1259="D",LEFT(UPPER(C1259)&amp;REPT(" ",10),10)," ")</f>
        <v/>
      </c>
      <c r="T1259" s="10">
        <f>IF(A1259="D",LEFT(UPPER(D1259)&amp;REPT(" ",2),2)," ")</f>
        <v/>
      </c>
      <c r="U1259" s="10">
        <f>IF(A1259="D",LEFT(UPPER(E1259)&amp;REPT(" ",15),15)," ")</f>
        <v/>
      </c>
      <c r="V1259" s="10">
        <f>REPT(" ",24)</f>
        <v/>
      </c>
      <c r="W1259" s="10">
        <f>IF(A1259="c",LEFT(UPPER(B1259)&amp;REPT(" ",20),20),REPT(" ",20))</f>
        <v/>
      </c>
      <c r="X1259" s="10">
        <f>IF(A1259="C",LEFT(UPPER(C1259)&amp;REPT(" ",10),10)," ")</f>
        <v/>
      </c>
      <c r="Y1259" s="10">
        <f>IF(A1259="C",LEFT(UPPER(D1259)&amp;REPT(" ",2),2)," ")</f>
        <v/>
      </c>
      <c r="Z1259" s="10">
        <f>IF(A1259="C",LEFT(UPPER(E1259)&amp;REPT(" ",15),15)," ")</f>
        <v/>
      </c>
      <c r="AA1259" s="10">
        <f>REPT(" ",8)</f>
        <v/>
      </c>
      <c r="AB1259" s="10">
        <f>REPT(" ",4)</f>
        <v/>
      </c>
      <c r="AC1259" s="10">
        <f>LEFT(UPPER(H1259)&amp;REPT(" ",250),250)</f>
        <v/>
      </c>
      <c r="AD1259" s="10">
        <f>TEXT($G$2,"dd/mm/aaaa")</f>
        <v/>
      </c>
      <c r="AE1259" s="10">
        <f>REPT(" ",10)</f>
        <v/>
      </c>
      <c r="AF1259" s="10">
        <f>REPT(" ",20)</f>
        <v/>
      </c>
      <c r="AG1259" s="54">
        <f>REPT(" ",18-LEN(FIXED(F1259,2,TRUE)))&amp;FIXED(F1259,2,TRUE)</f>
        <v/>
      </c>
      <c r="AH1259" s="10">
        <f>LEN(AC1259)+LEN(AG1259)</f>
        <v/>
      </c>
      <c r="AI1259" s="10">
        <f>LEN(L1259)</f>
        <v/>
      </c>
    </row>
    <row r="1260">
      <c r="J1260" s="12">
        <f>IF(F1260&lt;&gt;0,"LANÇAR","")</f>
        <v/>
      </c>
      <c r="L1260" s="13">
        <f>N1260&amp;O1260&amp;P1260&amp;Q1260&amp;R1260&amp;S1260&amp;T1260&amp;U1260&amp;V1260&amp;W1260&amp;X1260&amp;Y1260&amp;Z1260&amp;AA1260&amp;AB1260&amp;AC1260&amp;AD1260&amp;AE1260&amp;AF1260&amp;AG1260</f>
        <v/>
      </c>
      <c r="N1260" s="10">
        <f>TEXT($B$6,"00")</f>
        <v/>
      </c>
      <c r="O1260" s="10">
        <f>REPT(" ",8)</f>
        <v/>
      </c>
      <c r="P1260" s="10">
        <f>RIGHT($B$4,2)</f>
        <v/>
      </c>
      <c r="Q1260" s="10">
        <f>RIGHT($B$5,3)</f>
        <v/>
      </c>
      <c r="R1260" s="10">
        <f>IF(A1260="D",LEFT(UPPER(B1260)&amp;REPT(" ",20),20),REPT(" ",20))</f>
        <v/>
      </c>
      <c r="S1260" s="10">
        <f>IF(A1260="D",LEFT(UPPER(C1260)&amp;REPT(" ",10),10)," ")</f>
        <v/>
      </c>
      <c r="T1260" s="10">
        <f>IF(A1260="D",LEFT(UPPER(D1260)&amp;REPT(" ",2),2)," ")</f>
        <v/>
      </c>
      <c r="U1260" s="10">
        <f>IF(A1260="D",LEFT(UPPER(E1260)&amp;REPT(" ",15),15)," ")</f>
        <v/>
      </c>
      <c r="V1260" s="10">
        <f>REPT(" ",24)</f>
        <v/>
      </c>
      <c r="W1260" s="10">
        <f>IF(A1260="c",LEFT(UPPER(B1260)&amp;REPT(" ",20),20),REPT(" ",20))</f>
        <v/>
      </c>
      <c r="X1260" s="10">
        <f>IF(A1260="C",LEFT(UPPER(C1260)&amp;REPT(" ",10),10)," ")</f>
        <v/>
      </c>
      <c r="Y1260" s="10">
        <f>IF(A1260="C",LEFT(UPPER(D1260)&amp;REPT(" ",2),2)," ")</f>
        <v/>
      </c>
      <c r="Z1260" s="10">
        <f>IF(A1260="C",LEFT(UPPER(E1260)&amp;REPT(" ",15),15)," ")</f>
        <v/>
      </c>
      <c r="AA1260" s="10">
        <f>REPT(" ",8)</f>
        <v/>
      </c>
      <c r="AB1260" s="10">
        <f>REPT(" ",4)</f>
        <v/>
      </c>
      <c r="AC1260" s="10">
        <f>LEFT(UPPER(H1260)&amp;REPT(" ",250),250)</f>
        <v/>
      </c>
      <c r="AD1260" s="10">
        <f>TEXT($G$2,"dd/mm/aaaa")</f>
        <v/>
      </c>
      <c r="AE1260" s="10">
        <f>REPT(" ",10)</f>
        <v/>
      </c>
      <c r="AF1260" s="10">
        <f>REPT(" ",20)</f>
        <v/>
      </c>
      <c r="AG1260" s="54">
        <f>REPT(" ",18-LEN(FIXED(F1260,2,TRUE)))&amp;FIXED(F1260,2,TRUE)</f>
        <v/>
      </c>
      <c r="AH1260" s="10">
        <f>LEN(AC1260)+LEN(AG1260)</f>
        <v/>
      </c>
      <c r="AI1260" s="10">
        <f>LEN(L1260)</f>
        <v/>
      </c>
    </row>
    <row r="1261">
      <c r="J1261" s="12">
        <f>IF(F1261&lt;&gt;0,"LANÇAR","")</f>
        <v/>
      </c>
      <c r="L1261" s="13">
        <f>N1261&amp;O1261&amp;P1261&amp;Q1261&amp;R1261&amp;S1261&amp;T1261&amp;U1261&amp;V1261&amp;W1261&amp;X1261&amp;Y1261&amp;Z1261&amp;AA1261&amp;AB1261&amp;AC1261&amp;AD1261&amp;AE1261&amp;AF1261&amp;AG1261</f>
        <v/>
      </c>
      <c r="N1261" s="10">
        <f>TEXT($B$6,"00")</f>
        <v/>
      </c>
      <c r="O1261" s="10">
        <f>REPT(" ",8)</f>
        <v/>
      </c>
      <c r="P1261" s="10">
        <f>RIGHT($B$4,2)</f>
        <v/>
      </c>
      <c r="Q1261" s="10">
        <f>RIGHT($B$5,3)</f>
        <v/>
      </c>
      <c r="R1261" s="10">
        <f>IF(A1261="D",LEFT(UPPER(B1261)&amp;REPT(" ",20),20),REPT(" ",20))</f>
        <v/>
      </c>
      <c r="S1261" s="10">
        <f>IF(A1261="D",LEFT(UPPER(C1261)&amp;REPT(" ",10),10)," ")</f>
        <v/>
      </c>
      <c r="T1261" s="10">
        <f>IF(A1261="D",LEFT(UPPER(D1261)&amp;REPT(" ",2),2)," ")</f>
        <v/>
      </c>
      <c r="U1261" s="10">
        <f>IF(A1261="D",LEFT(UPPER(E1261)&amp;REPT(" ",15),15)," ")</f>
        <v/>
      </c>
      <c r="V1261" s="10">
        <f>REPT(" ",24)</f>
        <v/>
      </c>
      <c r="W1261" s="10">
        <f>IF(A1261="c",LEFT(UPPER(B1261)&amp;REPT(" ",20),20),REPT(" ",20))</f>
        <v/>
      </c>
      <c r="X1261" s="10">
        <f>IF(A1261="C",LEFT(UPPER(C1261)&amp;REPT(" ",10),10)," ")</f>
        <v/>
      </c>
      <c r="Y1261" s="10">
        <f>IF(A1261="C",LEFT(UPPER(D1261)&amp;REPT(" ",2),2)," ")</f>
        <v/>
      </c>
      <c r="Z1261" s="10">
        <f>IF(A1261="C",LEFT(UPPER(E1261)&amp;REPT(" ",15),15)," ")</f>
        <v/>
      </c>
      <c r="AA1261" s="10">
        <f>REPT(" ",8)</f>
        <v/>
      </c>
      <c r="AB1261" s="10">
        <f>REPT(" ",4)</f>
        <v/>
      </c>
      <c r="AC1261" s="10">
        <f>LEFT(UPPER(H1261)&amp;REPT(" ",250),250)</f>
        <v/>
      </c>
      <c r="AD1261" s="10">
        <f>TEXT($G$2,"dd/mm/aaaa")</f>
        <v/>
      </c>
      <c r="AE1261" s="10">
        <f>REPT(" ",10)</f>
        <v/>
      </c>
      <c r="AF1261" s="10">
        <f>REPT(" ",20)</f>
        <v/>
      </c>
      <c r="AG1261" s="54">
        <f>REPT(" ",18-LEN(FIXED(F1261,2,TRUE)))&amp;FIXED(F1261,2,TRUE)</f>
        <v/>
      </c>
      <c r="AH1261" s="10">
        <f>LEN(AC1261)+LEN(AG1261)</f>
        <v/>
      </c>
      <c r="AI1261" s="10">
        <f>LEN(L1261)</f>
        <v/>
      </c>
    </row>
    <row r="1262">
      <c r="J1262" s="12">
        <f>IF(F1262&lt;&gt;0,"LANÇAR","")</f>
        <v/>
      </c>
      <c r="L1262" s="13">
        <f>N1262&amp;O1262&amp;P1262&amp;Q1262&amp;R1262&amp;S1262&amp;T1262&amp;U1262&amp;V1262&amp;W1262&amp;X1262&amp;Y1262&amp;Z1262&amp;AA1262&amp;AB1262&amp;AC1262&amp;AD1262&amp;AE1262&amp;AF1262&amp;AG1262</f>
        <v/>
      </c>
      <c r="N1262" s="10">
        <f>TEXT($B$6,"00")</f>
        <v/>
      </c>
      <c r="O1262" s="10">
        <f>REPT(" ",8)</f>
        <v/>
      </c>
      <c r="P1262" s="10">
        <f>RIGHT($B$4,2)</f>
        <v/>
      </c>
      <c r="Q1262" s="10">
        <f>RIGHT($B$5,3)</f>
        <v/>
      </c>
      <c r="R1262" s="10">
        <f>IF(A1262="D",LEFT(UPPER(B1262)&amp;REPT(" ",20),20),REPT(" ",20))</f>
        <v/>
      </c>
      <c r="S1262" s="10">
        <f>IF(A1262="D",LEFT(UPPER(C1262)&amp;REPT(" ",10),10)," ")</f>
        <v/>
      </c>
      <c r="T1262" s="10">
        <f>IF(A1262="D",LEFT(UPPER(D1262)&amp;REPT(" ",2),2)," ")</f>
        <v/>
      </c>
      <c r="U1262" s="10">
        <f>IF(A1262="D",LEFT(UPPER(E1262)&amp;REPT(" ",15),15)," ")</f>
        <v/>
      </c>
      <c r="V1262" s="10">
        <f>REPT(" ",24)</f>
        <v/>
      </c>
      <c r="W1262" s="10">
        <f>IF(A1262="c",LEFT(UPPER(B1262)&amp;REPT(" ",20),20),REPT(" ",20))</f>
        <v/>
      </c>
      <c r="X1262" s="10">
        <f>IF(A1262="C",LEFT(UPPER(C1262)&amp;REPT(" ",10),10)," ")</f>
        <v/>
      </c>
      <c r="Y1262" s="10">
        <f>IF(A1262="C",LEFT(UPPER(D1262)&amp;REPT(" ",2),2)," ")</f>
        <v/>
      </c>
      <c r="Z1262" s="10">
        <f>IF(A1262="C",LEFT(UPPER(E1262)&amp;REPT(" ",15),15)," ")</f>
        <v/>
      </c>
      <c r="AA1262" s="10">
        <f>REPT(" ",8)</f>
        <v/>
      </c>
      <c r="AB1262" s="10">
        <f>REPT(" ",4)</f>
        <v/>
      </c>
      <c r="AC1262" s="10">
        <f>LEFT(UPPER(H1262)&amp;REPT(" ",250),250)</f>
        <v/>
      </c>
      <c r="AD1262" s="10">
        <f>TEXT($G$2,"dd/mm/aaaa")</f>
        <v/>
      </c>
      <c r="AE1262" s="10">
        <f>REPT(" ",10)</f>
        <v/>
      </c>
      <c r="AF1262" s="10">
        <f>REPT(" ",20)</f>
        <v/>
      </c>
      <c r="AG1262" s="54">
        <f>REPT(" ",18-LEN(FIXED(F1262,2,TRUE)))&amp;FIXED(F1262,2,TRUE)</f>
        <v/>
      </c>
      <c r="AH1262" s="10">
        <f>LEN(AC1262)+LEN(AG1262)</f>
        <v/>
      </c>
      <c r="AI1262" s="10">
        <f>LEN(L1262)</f>
        <v/>
      </c>
    </row>
    <row r="1263">
      <c r="J1263" s="12">
        <f>IF(F1263&lt;&gt;0,"LANÇAR","")</f>
        <v/>
      </c>
      <c r="L1263" s="13">
        <f>N1263&amp;O1263&amp;P1263&amp;Q1263&amp;R1263&amp;S1263&amp;T1263&amp;U1263&amp;V1263&amp;W1263&amp;X1263&amp;Y1263&amp;Z1263&amp;AA1263&amp;AB1263&amp;AC1263&amp;AD1263&amp;AE1263&amp;AF1263&amp;AG1263</f>
        <v/>
      </c>
      <c r="N1263" s="10">
        <f>TEXT($B$6,"00")</f>
        <v/>
      </c>
      <c r="O1263" s="10">
        <f>REPT(" ",8)</f>
        <v/>
      </c>
      <c r="P1263" s="10">
        <f>RIGHT($B$4,2)</f>
        <v/>
      </c>
      <c r="Q1263" s="10">
        <f>RIGHT($B$5,3)</f>
        <v/>
      </c>
      <c r="R1263" s="10">
        <f>IF(A1263="D",LEFT(UPPER(B1263)&amp;REPT(" ",20),20),REPT(" ",20))</f>
        <v/>
      </c>
      <c r="S1263" s="10">
        <f>IF(A1263="D",LEFT(UPPER(C1263)&amp;REPT(" ",10),10)," ")</f>
        <v/>
      </c>
      <c r="T1263" s="10">
        <f>IF(A1263="D",LEFT(UPPER(D1263)&amp;REPT(" ",2),2)," ")</f>
        <v/>
      </c>
      <c r="U1263" s="10">
        <f>IF(A1263="D",LEFT(UPPER(E1263)&amp;REPT(" ",15),15)," ")</f>
        <v/>
      </c>
      <c r="V1263" s="10">
        <f>REPT(" ",24)</f>
        <v/>
      </c>
      <c r="W1263" s="10">
        <f>IF(A1263="c",LEFT(UPPER(B1263)&amp;REPT(" ",20),20),REPT(" ",20))</f>
        <v/>
      </c>
      <c r="X1263" s="10">
        <f>IF(A1263="C",LEFT(UPPER(C1263)&amp;REPT(" ",10),10)," ")</f>
        <v/>
      </c>
      <c r="Y1263" s="10">
        <f>IF(A1263="C",LEFT(UPPER(D1263)&amp;REPT(" ",2),2)," ")</f>
        <v/>
      </c>
      <c r="Z1263" s="10">
        <f>IF(A1263="C",LEFT(UPPER(E1263)&amp;REPT(" ",15),15)," ")</f>
        <v/>
      </c>
      <c r="AA1263" s="10">
        <f>REPT(" ",8)</f>
        <v/>
      </c>
      <c r="AB1263" s="10">
        <f>REPT(" ",4)</f>
        <v/>
      </c>
      <c r="AC1263" s="10">
        <f>LEFT(UPPER(H1263)&amp;REPT(" ",250),250)</f>
        <v/>
      </c>
      <c r="AD1263" s="10">
        <f>TEXT($G$2,"dd/mm/aaaa")</f>
        <v/>
      </c>
      <c r="AE1263" s="10">
        <f>REPT(" ",10)</f>
        <v/>
      </c>
      <c r="AF1263" s="10">
        <f>REPT(" ",20)</f>
        <v/>
      </c>
      <c r="AG1263" s="54">
        <f>REPT(" ",18-LEN(FIXED(F1263,2,TRUE)))&amp;FIXED(F1263,2,TRUE)</f>
        <v/>
      </c>
      <c r="AH1263" s="10">
        <f>LEN(AC1263)+LEN(AG1263)</f>
        <v/>
      </c>
      <c r="AI1263" s="10">
        <f>LEN(L1263)</f>
        <v/>
      </c>
    </row>
    <row r="1264">
      <c r="J1264" s="12">
        <f>IF(F1264&lt;&gt;0,"LANÇAR","")</f>
        <v/>
      </c>
      <c r="L1264" s="13">
        <f>N1264&amp;O1264&amp;P1264&amp;Q1264&amp;R1264&amp;S1264&amp;T1264&amp;U1264&amp;V1264&amp;W1264&amp;X1264&amp;Y1264&amp;Z1264&amp;AA1264&amp;AB1264&amp;AC1264&amp;AD1264&amp;AE1264&amp;AF1264&amp;AG1264</f>
        <v/>
      </c>
      <c r="N1264" s="10">
        <f>TEXT($B$6,"00")</f>
        <v/>
      </c>
      <c r="O1264" s="10">
        <f>REPT(" ",8)</f>
        <v/>
      </c>
      <c r="P1264" s="10">
        <f>RIGHT($B$4,2)</f>
        <v/>
      </c>
      <c r="Q1264" s="10">
        <f>RIGHT($B$5,3)</f>
        <v/>
      </c>
      <c r="R1264" s="10">
        <f>IF(A1264="D",LEFT(UPPER(B1264)&amp;REPT(" ",20),20),REPT(" ",20))</f>
        <v/>
      </c>
      <c r="S1264" s="10">
        <f>IF(A1264="D",LEFT(UPPER(C1264)&amp;REPT(" ",10),10)," ")</f>
        <v/>
      </c>
      <c r="T1264" s="10">
        <f>IF(A1264="D",LEFT(UPPER(D1264)&amp;REPT(" ",2),2)," ")</f>
        <v/>
      </c>
      <c r="U1264" s="10">
        <f>IF(A1264="D",LEFT(UPPER(E1264)&amp;REPT(" ",15),15)," ")</f>
        <v/>
      </c>
      <c r="V1264" s="10">
        <f>REPT(" ",24)</f>
        <v/>
      </c>
      <c r="W1264" s="10">
        <f>IF(A1264="c",LEFT(UPPER(B1264)&amp;REPT(" ",20),20),REPT(" ",20))</f>
        <v/>
      </c>
      <c r="X1264" s="10">
        <f>IF(A1264="C",LEFT(UPPER(C1264)&amp;REPT(" ",10),10)," ")</f>
        <v/>
      </c>
      <c r="Y1264" s="10">
        <f>IF(A1264="C",LEFT(UPPER(D1264)&amp;REPT(" ",2),2)," ")</f>
        <v/>
      </c>
      <c r="Z1264" s="10">
        <f>IF(A1264="C",LEFT(UPPER(E1264)&amp;REPT(" ",15),15)," ")</f>
        <v/>
      </c>
      <c r="AA1264" s="10">
        <f>REPT(" ",8)</f>
        <v/>
      </c>
      <c r="AB1264" s="10">
        <f>REPT(" ",4)</f>
        <v/>
      </c>
      <c r="AC1264" s="10">
        <f>LEFT(UPPER(H1264)&amp;REPT(" ",250),250)</f>
        <v/>
      </c>
      <c r="AD1264" s="10">
        <f>TEXT($G$2,"dd/mm/aaaa")</f>
        <v/>
      </c>
      <c r="AE1264" s="10">
        <f>REPT(" ",10)</f>
        <v/>
      </c>
      <c r="AF1264" s="10">
        <f>REPT(" ",20)</f>
        <v/>
      </c>
      <c r="AG1264" s="54">
        <f>REPT(" ",18-LEN(FIXED(F1264,2,TRUE)))&amp;FIXED(F1264,2,TRUE)</f>
        <v/>
      </c>
      <c r="AH1264" s="10">
        <f>LEN(AC1264)+LEN(AG1264)</f>
        <v/>
      </c>
      <c r="AI1264" s="10">
        <f>LEN(L1264)</f>
        <v/>
      </c>
    </row>
    <row r="1265">
      <c r="J1265" s="12">
        <f>IF(F1265&lt;&gt;0,"LANÇAR","")</f>
        <v/>
      </c>
      <c r="L1265" s="13">
        <f>N1265&amp;O1265&amp;P1265&amp;Q1265&amp;R1265&amp;S1265&amp;T1265&amp;U1265&amp;V1265&amp;W1265&amp;X1265&amp;Y1265&amp;Z1265&amp;AA1265&amp;AB1265&amp;AC1265&amp;AD1265&amp;AE1265&amp;AF1265&amp;AG1265</f>
        <v/>
      </c>
      <c r="N1265" s="10">
        <f>TEXT($B$6,"00")</f>
        <v/>
      </c>
      <c r="O1265" s="10">
        <f>REPT(" ",8)</f>
        <v/>
      </c>
      <c r="P1265" s="10">
        <f>RIGHT($B$4,2)</f>
        <v/>
      </c>
      <c r="Q1265" s="10">
        <f>RIGHT($B$5,3)</f>
        <v/>
      </c>
      <c r="R1265" s="10">
        <f>IF(A1265="D",LEFT(UPPER(B1265)&amp;REPT(" ",20),20),REPT(" ",20))</f>
        <v/>
      </c>
      <c r="S1265" s="10">
        <f>IF(A1265="D",LEFT(UPPER(C1265)&amp;REPT(" ",10),10)," ")</f>
        <v/>
      </c>
      <c r="T1265" s="10">
        <f>IF(A1265="D",LEFT(UPPER(D1265)&amp;REPT(" ",2),2)," ")</f>
        <v/>
      </c>
      <c r="U1265" s="10">
        <f>IF(A1265="D",LEFT(UPPER(E1265)&amp;REPT(" ",15),15)," ")</f>
        <v/>
      </c>
      <c r="V1265" s="10">
        <f>REPT(" ",24)</f>
        <v/>
      </c>
      <c r="W1265" s="10">
        <f>IF(A1265="c",LEFT(UPPER(B1265)&amp;REPT(" ",20),20),REPT(" ",20))</f>
        <v/>
      </c>
      <c r="X1265" s="10">
        <f>IF(A1265="C",LEFT(UPPER(C1265)&amp;REPT(" ",10),10)," ")</f>
        <v/>
      </c>
      <c r="Y1265" s="10">
        <f>IF(A1265="C",LEFT(UPPER(D1265)&amp;REPT(" ",2),2)," ")</f>
        <v/>
      </c>
      <c r="Z1265" s="10">
        <f>IF(A1265="C",LEFT(UPPER(E1265)&amp;REPT(" ",15),15)," ")</f>
        <v/>
      </c>
      <c r="AA1265" s="10">
        <f>REPT(" ",8)</f>
        <v/>
      </c>
      <c r="AB1265" s="10">
        <f>REPT(" ",4)</f>
        <v/>
      </c>
      <c r="AC1265" s="10">
        <f>LEFT(UPPER(H1265)&amp;REPT(" ",250),250)</f>
        <v/>
      </c>
      <c r="AD1265" s="10">
        <f>TEXT($G$2,"dd/mm/aaaa")</f>
        <v/>
      </c>
      <c r="AE1265" s="10">
        <f>REPT(" ",10)</f>
        <v/>
      </c>
      <c r="AF1265" s="10">
        <f>REPT(" ",20)</f>
        <v/>
      </c>
      <c r="AG1265" s="54">
        <f>REPT(" ",18-LEN(FIXED(F1265,2,TRUE)))&amp;FIXED(F1265,2,TRUE)</f>
        <v/>
      </c>
      <c r="AH1265" s="10">
        <f>LEN(AC1265)+LEN(AG1265)</f>
        <v/>
      </c>
      <c r="AI1265" s="10">
        <f>LEN(L1265)</f>
        <v/>
      </c>
    </row>
    <row r="1266">
      <c r="J1266" s="12">
        <f>IF(F1266&lt;&gt;0,"LANÇAR","")</f>
        <v/>
      </c>
      <c r="L1266" s="13">
        <f>N1266&amp;O1266&amp;P1266&amp;Q1266&amp;R1266&amp;S1266&amp;T1266&amp;U1266&amp;V1266&amp;W1266&amp;X1266&amp;Y1266&amp;Z1266&amp;AA1266&amp;AB1266&amp;AC1266&amp;AD1266&amp;AE1266&amp;AF1266&amp;AG1266</f>
        <v/>
      </c>
      <c r="N1266" s="10">
        <f>TEXT($B$6,"00")</f>
        <v/>
      </c>
      <c r="O1266" s="10">
        <f>REPT(" ",8)</f>
        <v/>
      </c>
      <c r="P1266" s="10">
        <f>RIGHT($B$4,2)</f>
        <v/>
      </c>
      <c r="Q1266" s="10">
        <f>RIGHT($B$5,3)</f>
        <v/>
      </c>
      <c r="R1266" s="10">
        <f>IF(A1266="D",LEFT(UPPER(B1266)&amp;REPT(" ",20),20),REPT(" ",20))</f>
        <v/>
      </c>
      <c r="S1266" s="10">
        <f>IF(A1266="D",LEFT(UPPER(C1266)&amp;REPT(" ",10),10)," ")</f>
        <v/>
      </c>
      <c r="T1266" s="10">
        <f>IF(A1266="D",LEFT(UPPER(D1266)&amp;REPT(" ",2),2)," ")</f>
        <v/>
      </c>
      <c r="U1266" s="10">
        <f>IF(A1266="D",LEFT(UPPER(E1266)&amp;REPT(" ",15),15)," ")</f>
        <v/>
      </c>
      <c r="V1266" s="10">
        <f>REPT(" ",24)</f>
        <v/>
      </c>
      <c r="W1266" s="10">
        <f>IF(A1266="c",LEFT(UPPER(B1266)&amp;REPT(" ",20),20),REPT(" ",20))</f>
        <v/>
      </c>
      <c r="X1266" s="10">
        <f>IF(A1266="C",LEFT(UPPER(C1266)&amp;REPT(" ",10),10)," ")</f>
        <v/>
      </c>
      <c r="Y1266" s="10">
        <f>IF(A1266="C",LEFT(UPPER(D1266)&amp;REPT(" ",2),2)," ")</f>
        <v/>
      </c>
      <c r="Z1266" s="10">
        <f>IF(A1266="C",LEFT(UPPER(E1266)&amp;REPT(" ",15),15)," ")</f>
        <v/>
      </c>
      <c r="AA1266" s="10">
        <f>REPT(" ",8)</f>
        <v/>
      </c>
      <c r="AB1266" s="10">
        <f>REPT(" ",4)</f>
        <v/>
      </c>
      <c r="AC1266" s="10">
        <f>LEFT(UPPER(H1266)&amp;REPT(" ",250),250)</f>
        <v/>
      </c>
      <c r="AD1266" s="10">
        <f>TEXT($G$2,"dd/mm/aaaa")</f>
        <v/>
      </c>
      <c r="AE1266" s="10">
        <f>REPT(" ",10)</f>
        <v/>
      </c>
      <c r="AF1266" s="10">
        <f>REPT(" ",20)</f>
        <v/>
      </c>
      <c r="AG1266" s="54">
        <f>REPT(" ",18-LEN(FIXED(F1266,2,TRUE)))&amp;FIXED(F1266,2,TRUE)</f>
        <v/>
      </c>
      <c r="AH1266" s="10">
        <f>LEN(AC1266)+LEN(AG1266)</f>
        <v/>
      </c>
      <c r="AI1266" s="10">
        <f>LEN(L1266)</f>
        <v/>
      </c>
    </row>
    <row r="1267">
      <c r="J1267" s="12">
        <f>IF(F1267&lt;&gt;0,"LANÇAR","")</f>
        <v/>
      </c>
      <c r="L1267" s="13">
        <f>N1267&amp;O1267&amp;P1267&amp;Q1267&amp;R1267&amp;S1267&amp;T1267&amp;U1267&amp;V1267&amp;W1267&amp;X1267&amp;Y1267&amp;Z1267&amp;AA1267&amp;AB1267&amp;AC1267&amp;AD1267&amp;AE1267&amp;AF1267&amp;AG1267</f>
        <v/>
      </c>
      <c r="N1267" s="10">
        <f>TEXT($B$6,"00")</f>
        <v/>
      </c>
      <c r="O1267" s="10">
        <f>REPT(" ",8)</f>
        <v/>
      </c>
      <c r="P1267" s="10">
        <f>RIGHT($B$4,2)</f>
        <v/>
      </c>
      <c r="Q1267" s="10">
        <f>RIGHT($B$5,3)</f>
        <v/>
      </c>
      <c r="R1267" s="10">
        <f>IF(A1267="D",LEFT(UPPER(B1267)&amp;REPT(" ",20),20),REPT(" ",20))</f>
        <v/>
      </c>
      <c r="S1267" s="10">
        <f>IF(A1267="D",LEFT(UPPER(C1267)&amp;REPT(" ",10),10)," ")</f>
        <v/>
      </c>
      <c r="T1267" s="10">
        <f>IF(A1267="D",LEFT(UPPER(D1267)&amp;REPT(" ",2),2)," ")</f>
        <v/>
      </c>
      <c r="U1267" s="10">
        <f>IF(A1267="D",LEFT(UPPER(E1267)&amp;REPT(" ",15),15)," ")</f>
        <v/>
      </c>
      <c r="V1267" s="10">
        <f>REPT(" ",24)</f>
        <v/>
      </c>
      <c r="W1267" s="10">
        <f>IF(A1267="c",LEFT(UPPER(B1267)&amp;REPT(" ",20),20),REPT(" ",20))</f>
        <v/>
      </c>
      <c r="X1267" s="10">
        <f>IF(A1267="C",LEFT(UPPER(C1267)&amp;REPT(" ",10),10)," ")</f>
        <v/>
      </c>
      <c r="Y1267" s="10">
        <f>IF(A1267="C",LEFT(UPPER(D1267)&amp;REPT(" ",2),2)," ")</f>
        <v/>
      </c>
      <c r="Z1267" s="10">
        <f>IF(A1267="C",LEFT(UPPER(E1267)&amp;REPT(" ",15),15)," ")</f>
        <v/>
      </c>
      <c r="AA1267" s="10">
        <f>REPT(" ",8)</f>
        <v/>
      </c>
      <c r="AB1267" s="10">
        <f>REPT(" ",4)</f>
        <v/>
      </c>
      <c r="AC1267" s="10">
        <f>LEFT(UPPER(H1267)&amp;REPT(" ",250),250)</f>
        <v/>
      </c>
      <c r="AD1267" s="10">
        <f>TEXT($G$2,"dd/mm/aaaa")</f>
        <v/>
      </c>
      <c r="AE1267" s="10">
        <f>REPT(" ",10)</f>
        <v/>
      </c>
      <c r="AF1267" s="10">
        <f>REPT(" ",20)</f>
        <v/>
      </c>
      <c r="AG1267" s="54">
        <f>REPT(" ",18-LEN(FIXED(F1267,2,TRUE)))&amp;FIXED(F1267,2,TRUE)</f>
        <v/>
      </c>
      <c r="AH1267" s="10">
        <f>LEN(AC1267)+LEN(AG1267)</f>
        <v/>
      </c>
      <c r="AI1267" s="10">
        <f>LEN(L1267)</f>
        <v/>
      </c>
    </row>
    <row r="1268">
      <c r="J1268" s="12">
        <f>IF(F1268&lt;&gt;0,"LANÇAR","")</f>
        <v/>
      </c>
      <c r="L1268" s="13">
        <f>N1268&amp;O1268&amp;P1268&amp;Q1268&amp;R1268&amp;S1268&amp;T1268&amp;U1268&amp;V1268&amp;W1268&amp;X1268&amp;Y1268&amp;Z1268&amp;AA1268&amp;AB1268&amp;AC1268&amp;AD1268&amp;AE1268&amp;AF1268&amp;AG1268</f>
        <v/>
      </c>
      <c r="N1268" s="10">
        <f>TEXT($B$6,"00")</f>
        <v/>
      </c>
      <c r="O1268" s="10">
        <f>REPT(" ",8)</f>
        <v/>
      </c>
      <c r="P1268" s="10">
        <f>RIGHT($B$4,2)</f>
        <v/>
      </c>
      <c r="Q1268" s="10">
        <f>RIGHT($B$5,3)</f>
        <v/>
      </c>
      <c r="R1268" s="10">
        <f>IF(A1268="D",LEFT(UPPER(B1268)&amp;REPT(" ",20),20),REPT(" ",20))</f>
        <v/>
      </c>
      <c r="S1268" s="10">
        <f>IF(A1268="D",LEFT(UPPER(C1268)&amp;REPT(" ",10),10)," ")</f>
        <v/>
      </c>
      <c r="T1268" s="10">
        <f>IF(A1268="D",LEFT(UPPER(D1268)&amp;REPT(" ",2),2)," ")</f>
        <v/>
      </c>
      <c r="U1268" s="10">
        <f>IF(A1268="D",LEFT(UPPER(E1268)&amp;REPT(" ",15),15)," ")</f>
        <v/>
      </c>
      <c r="V1268" s="10">
        <f>REPT(" ",24)</f>
        <v/>
      </c>
      <c r="W1268" s="10">
        <f>IF(A1268="c",LEFT(UPPER(B1268)&amp;REPT(" ",20),20),REPT(" ",20))</f>
        <v/>
      </c>
      <c r="X1268" s="10">
        <f>IF(A1268="C",LEFT(UPPER(C1268)&amp;REPT(" ",10),10)," ")</f>
        <v/>
      </c>
      <c r="Y1268" s="10">
        <f>IF(A1268="C",LEFT(UPPER(D1268)&amp;REPT(" ",2),2)," ")</f>
        <v/>
      </c>
      <c r="Z1268" s="10">
        <f>IF(A1268="C",LEFT(UPPER(E1268)&amp;REPT(" ",15),15)," ")</f>
        <v/>
      </c>
      <c r="AA1268" s="10">
        <f>REPT(" ",8)</f>
        <v/>
      </c>
      <c r="AB1268" s="10">
        <f>REPT(" ",4)</f>
        <v/>
      </c>
      <c r="AC1268" s="10">
        <f>LEFT(UPPER(H1268)&amp;REPT(" ",250),250)</f>
        <v/>
      </c>
      <c r="AD1268" s="10">
        <f>TEXT($G$2,"dd/mm/aaaa")</f>
        <v/>
      </c>
      <c r="AE1268" s="10">
        <f>REPT(" ",10)</f>
        <v/>
      </c>
      <c r="AF1268" s="10">
        <f>REPT(" ",20)</f>
        <v/>
      </c>
      <c r="AG1268" s="54">
        <f>REPT(" ",18-LEN(FIXED(F1268,2,TRUE)))&amp;FIXED(F1268,2,TRUE)</f>
        <v/>
      </c>
      <c r="AH1268" s="10">
        <f>LEN(AC1268)+LEN(AG1268)</f>
        <v/>
      </c>
      <c r="AI1268" s="10">
        <f>LEN(L1268)</f>
        <v/>
      </c>
    </row>
    <row r="1269">
      <c r="J1269" s="12">
        <f>IF(F1269&lt;&gt;0,"LANÇAR","")</f>
        <v/>
      </c>
      <c r="L1269" s="13">
        <f>N1269&amp;O1269&amp;P1269&amp;Q1269&amp;R1269&amp;S1269&amp;T1269&amp;U1269&amp;V1269&amp;W1269&amp;X1269&amp;Y1269&amp;Z1269&amp;AA1269&amp;AB1269&amp;AC1269&amp;AD1269&amp;AE1269&amp;AF1269&amp;AG1269</f>
        <v/>
      </c>
      <c r="N1269" s="10">
        <f>TEXT($B$6,"00")</f>
        <v/>
      </c>
      <c r="O1269" s="10">
        <f>REPT(" ",8)</f>
        <v/>
      </c>
      <c r="P1269" s="10">
        <f>RIGHT($B$4,2)</f>
        <v/>
      </c>
      <c r="Q1269" s="10">
        <f>RIGHT($B$5,3)</f>
        <v/>
      </c>
      <c r="R1269" s="10">
        <f>IF(A1269="D",LEFT(UPPER(B1269)&amp;REPT(" ",20),20),REPT(" ",20))</f>
        <v/>
      </c>
      <c r="S1269" s="10">
        <f>IF(A1269="D",LEFT(UPPER(C1269)&amp;REPT(" ",10),10)," ")</f>
        <v/>
      </c>
      <c r="T1269" s="10">
        <f>IF(A1269="D",LEFT(UPPER(D1269)&amp;REPT(" ",2),2)," ")</f>
        <v/>
      </c>
      <c r="U1269" s="10">
        <f>IF(A1269="D",LEFT(UPPER(E1269)&amp;REPT(" ",15),15)," ")</f>
        <v/>
      </c>
      <c r="V1269" s="10">
        <f>REPT(" ",24)</f>
        <v/>
      </c>
      <c r="W1269" s="10">
        <f>IF(A1269="c",LEFT(UPPER(B1269)&amp;REPT(" ",20),20),REPT(" ",20))</f>
        <v/>
      </c>
      <c r="X1269" s="10">
        <f>IF(A1269="C",LEFT(UPPER(C1269)&amp;REPT(" ",10),10)," ")</f>
        <v/>
      </c>
      <c r="Y1269" s="10">
        <f>IF(A1269="C",LEFT(UPPER(D1269)&amp;REPT(" ",2),2)," ")</f>
        <v/>
      </c>
      <c r="Z1269" s="10">
        <f>IF(A1269="C",LEFT(UPPER(E1269)&amp;REPT(" ",15),15)," ")</f>
        <v/>
      </c>
      <c r="AA1269" s="10">
        <f>REPT(" ",8)</f>
        <v/>
      </c>
      <c r="AB1269" s="10">
        <f>REPT(" ",4)</f>
        <v/>
      </c>
      <c r="AC1269" s="10">
        <f>LEFT(UPPER(H1269)&amp;REPT(" ",250),250)</f>
        <v/>
      </c>
      <c r="AD1269" s="10">
        <f>TEXT($G$2,"dd/mm/aaaa")</f>
        <v/>
      </c>
      <c r="AE1269" s="10">
        <f>REPT(" ",10)</f>
        <v/>
      </c>
      <c r="AF1269" s="10">
        <f>REPT(" ",20)</f>
        <v/>
      </c>
      <c r="AG1269" s="54">
        <f>REPT(" ",18-LEN(FIXED(F1269,2,TRUE)))&amp;FIXED(F1269,2,TRUE)</f>
        <v/>
      </c>
      <c r="AH1269" s="10">
        <f>LEN(AC1269)+LEN(AG1269)</f>
        <v/>
      </c>
      <c r="AI1269" s="10">
        <f>LEN(L1269)</f>
        <v/>
      </c>
    </row>
    <row r="1270">
      <c r="J1270" s="12">
        <f>IF(F1270&lt;&gt;0,"LANÇAR","")</f>
        <v/>
      </c>
      <c r="L1270" s="13">
        <f>N1270&amp;O1270&amp;P1270&amp;Q1270&amp;R1270&amp;S1270&amp;T1270&amp;U1270&amp;V1270&amp;W1270&amp;X1270&amp;Y1270&amp;Z1270&amp;AA1270&amp;AB1270&amp;AC1270&amp;AD1270&amp;AE1270&amp;AF1270&amp;AG1270</f>
        <v/>
      </c>
      <c r="N1270" s="10">
        <f>TEXT($B$6,"00")</f>
        <v/>
      </c>
      <c r="O1270" s="10">
        <f>REPT(" ",8)</f>
        <v/>
      </c>
      <c r="P1270" s="10">
        <f>RIGHT($B$4,2)</f>
        <v/>
      </c>
      <c r="Q1270" s="10">
        <f>RIGHT($B$5,3)</f>
        <v/>
      </c>
      <c r="R1270" s="10">
        <f>IF(A1270="D",LEFT(UPPER(B1270)&amp;REPT(" ",20),20),REPT(" ",20))</f>
        <v/>
      </c>
      <c r="S1270" s="10">
        <f>IF(A1270="D",LEFT(UPPER(C1270)&amp;REPT(" ",10),10)," ")</f>
        <v/>
      </c>
      <c r="T1270" s="10">
        <f>IF(A1270="D",LEFT(UPPER(D1270)&amp;REPT(" ",2),2)," ")</f>
        <v/>
      </c>
      <c r="U1270" s="10">
        <f>IF(A1270="D",LEFT(UPPER(E1270)&amp;REPT(" ",15),15)," ")</f>
        <v/>
      </c>
      <c r="V1270" s="10">
        <f>REPT(" ",24)</f>
        <v/>
      </c>
      <c r="W1270" s="10">
        <f>IF(A1270="c",LEFT(UPPER(B1270)&amp;REPT(" ",20),20),REPT(" ",20))</f>
        <v/>
      </c>
      <c r="X1270" s="10">
        <f>IF(A1270="C",LEFT(UPPER(C1270)&amp;REPT(" ",10),10)," ")</f>
        <v/>
      </c>
      <c r="Y1270" s="10">
        <f>IF(A1270="C",LEFT(UPPER(D1270)&amp;REPT(" ",2),2)," ")</f>
        <v/>
      </c>
      <c r="Z1270" s="10">
        <f>IF(A1270="C",LEFT(UPPER(E1270)&amp;REPT(" ",15),15)," ")</f>
        <v/>
      </c>
      <c r="AA1270" s="10">
        <f>REPT(" ",8)</f>
        <v/>
      </c>
      <c r="AB1270" s="10">
        <f>REPT(" ",4)</f>
        <v/>
      </c>
      <c r="AC1270" s="10">
        <f>LEFT(UPPER(H1270)&amp;REPT(" ",250),250)</f>
        <v/>
      </c>
      <c r="AD1270" s="10">
        <f>TEXT($G$2,"dd/mm/aaaa")</f>
        <v/>
      </c>
      <c r="AE1270" s="10">
        <f>REPT(" ",10)</f>
        <v/>
      </c>
      <c r="AF1270" s="10">
        <f>REPT(" ",20)</f>
        <v/>
      </c>
      <c r="AG1270" s="54">
        <f>REPT(" ",18-LEN(FIXED(F1270,2,TRUE)))&amp;FIXED(F1270,2,TRUE)</f>
        <v/>
      </c>
      <c r="AH1270" s="10">
        <f>LEN(AC1270)+LEN(AG1270)</f>
        <v/>
      </c>
      <c r="AI1270" s="10">
        <f>LEN(L1270)</f>
        <v/>
      </c>
    </row>
    <row r="1271">
      <c r="J1271" s="12">
        <f>IF(F1271&lt;&gt;0,"LANÇAR","")</f>
        <v/>
      </c>
      <c r="L1271" s="13">
        <f>N1271&amp;O1271&amp;P1271&amp;Q1271&amp;R1271&amp;S1271&amp;T1271&amp;U1271&amp;V1271&amp;W1271&amp;X1271&amp;Y1271&amp;Z1271&amp;AA1271&amp;AB1271&amp;AC1271&amp;AD1271&amp;AE1271&amp;AF1271&amp;AG1271</f>
        <v/>
      </c>
      <c r="N1271" s="10">
        <f>TEXT($B$6,"00")</f>
        <v/>
      </c>
      <c r="O1271" s="10">
        <f>REPT(" ",8)</f>
        <v/>
      </c>
      <c r="P1271" s="10">
        <f>RIGHT($B$4,2)</f>
        <v/>
      </c>
      <c r="Q1271" s="10">
        <f>RIGHT($B$5,3)</f>
        <v/>
      </c>
      <c r="R1271" s="10">
        <f>IF(A1271="D",LEFT(UPPER(B1271)&amp;REPT(" ",20),20),REPT(" ",20))</f>
        <v/>
      </c>
      <c r="S1271" s="10">
        <f>IF(A1271="D",LEFT(UPPER(C1271)&amp;REPT(" ",10),10)," ")</f>
        <v/>
      </c>
      <c r="T1271" s="10">
        <f>IF(A1271="D",LEFT(UPPER(D1271)&amp;REPT(" ",2),2)," ")</f>
        <v/>
      </c>
      <c r="U1271" s="10">
        <f>IF(A1271="D",LEFT(UPPER(E1271)&amp;REPT(" ",15),15)," ")</f>
        <v/>
      </c>
      <c r="V1271" s="10">
        <f>REPT(" ",24)</f>
        <v/>
      </c>
      <c r="W1271" s="10">
        <f>IF(A1271="c",LEFT(UPPER(B1271)&amp;REPT(" ",20),20),REPT(" ",20))</f>
        <v/>
      </c>
      <c r="X1271" s="10">
        <f>IF(A1271="C",LEFT(UPPER(C1271)&amp;REPT(" ",10),10)," ")</f>
        <v/>
      </c>
      <c r="Y1271" s="10">
        <f>IF(A1271="C",LEFT(UPPER(D1271)&amp;REPT(" ",2),2)," ")</f>
        <v/>
      </c>
      <c r="Z1271" s="10">
        <f>IF(A1271="C",LEFT(UPPER(E1271)&amp;REPT(" ",15),15)," ")</f>
        <v/>
      </c>
      <c r="AA1271" s="10">
        <f>REPT(" ",8)</f>
        <v/>
      </c>
      <c r="AB1271" s="10">
        <f>REPT(" ",4)</f>
        <v/>
      </c>
      <c r="AC1271" s="10">
        <f>LEFT(UPPER(H1271)&amp;REPT(" ",250),250)</f>
        <v/>
      </c>
      <c r="AD1271" s="10">
        <f>TEXT($G$2,"dd/mm/aaaa")</f>
        <v/>
      </c>
      <c r="AE1271" s="10">
        <f>REPT(" ",10)</f>
        <v/>
      </c>
      <c r="AF1271" s="10">
        <f>REPT(" ",20)</f>
        <v/>
      </c>
      <c r="AG1271" s="54">
        <f>REPT(" ",18-LEN(FIXED(F1271,2,TRUE)))&amp;FIXED(F1271,2,TRUE)</f>
        <v/>
      </c>
      <c r="AH1271" s="10">
        <f>LEN(AC1271)+LEN(AG1271)</f>
        <v/>
      </c>
      <c r="AI1271" s="10">
        <f>LEN(L1271)</f>
        <v/>
      </c>
    </row>
    <row r="1272">
      <c r="J1272" s="12">
        <f>IF(F1272&lt;&gt;0,"LANÇAR","")</f>
        <v/>
      </c>
      <c r="L1272" s="13">
        <f>N1272&amp;O1272&amp;P1272&amp;Q1272&amp;R1272&amp;S1272&amp;T1272&amp;U1272&amp;V1272&amp;W1272&amp;X1272&amp;Y1272&amp;Z1272&amp;AA1272&amp;AB1272&amp;AC1272&amp;AD1272&amp;AE1272&amp;AF1272&amp;AG1272</f>
        <v/>
      </c>
      <c r="N1272" s="10">
        <f>TEXT($B$6,"00")</f>
        <v/>
      </c>
      <c r="O1272" s="10">
        <f>REPT(" ",8)</f>
        <v/>
      </c>
      <c r="P1272" s="10">
        <f>RIGHT($B$4,2)</f>
        <v/>
      </c>
      <c r="Q1272" s="10">
        <f>RIGHT($B$5,3)</f>
        <v/>
      </c>
      <c r="R1272" s="10">
        <f>IF(A1272="D",LEFT(UPPER(B1272)&amp;REPT(" ",20),20),REPT(" ",20))</f>
        <v/>
      </c>
      <c r="S1272" s="10">
        <f>IF(A1272="D",LEFT(UPPER(C1272)&amp;REPT(" ",10),10)," ")</f>
        <v/>
      </c>
      <c r="T1272" s="10">
        <f>IF(A1272="D",LEFT(UPPER(D1272)&amp;REPT(" ",2),2)," ")</f>
        <v/>
      </c>
      <c r="U1272" s="10">
        <f>IF(A1272="D",LEFT(UPPER(E1272)&amp;REPT(" ",15),15)," ")</f>
        <v/>
      </c>
      <c r="V1272" s="10">
        <f>REPT(" ",24)</f>
        <v/>
      </c>
      <c r="W1272" s="10">
        <f>IF(A1272="c",LEFT(UPPER(B1272)&amp;REPT(" ",20),20),REPT(" ",20))</f>
        <v/>
      </c>
      <c r="X1272" s="10">
        <f>IF(A1272="C",LEFT(UPPER(C1272)&amp;REPT(" ",10),10)," ")</f>
        <v/>
      </c>
      <c r="Y1272" s="10">
        <f>IF(A1272="C",LEFT(UPPER(D1272)&amp;REPT(" ",2),2)," ")</f>
        <v/>
      </c>
      <c r="Z1272" s="10">
        <f>IF(A1272="C",LEFT(UPPER(E1272)&amp;REPT(" ",15),15)," ")</f>
        <v/>
      </c>
      <c r="AA1272" s="10">
        <f>REPT(" ",8)</f>
        <v/>
      </c>
      <c r="AB1272" s="10">
        <f>REPT(" ",4)</f>
        <v/>
      </c>
      <c r="AC1272" s="10">
        <f>LEFT(UPPER(H1272)&amp;REPT(" ",250),250)</f>
        <v/>
      </c>
      <c r="AD1272" s="10">
        <f>TEXT($G$2,"dd/mm/aaaa")</f>
        <v/>
      </c>
      <c r="AE1272" s="10">
        <f>REPT(" ",10)</f>
        <v/>
      </c>
      <c r="AF1272" s="10">
        <f>REPT(" ",20)</f>
        <v/>
      </c>
      <c r="AG1272" s="54">
        <f>REPT(" ",18-LEN(FIXED(F1272,2,TRUE)))&amp;FIXED(F1272,2,TRUE)</f>
        <v/>
      </c>
      <c r="AH1272" s="10">
        <f>LEN(AC1272)+LEN(AG1272)</f>
        <v/>
      </c>
      <c r="AI1272" s="10">
        <f>LEN(L1272)</f>
        <v/>
      </c>
    </row>
    <row r="1273">
      <c r="J1273" s="12">
        <f>IF(F1273&lt;&gt;0,"LANÇAR","")</f>
        <v/>
      </c>
      <c r="L1273" s="13">
        <f>N1273&amp;O1273&amp;P1273&amp;Q1273&amp;R1273&amp;S1273&amp;T1273&amp;U1273&amp;V1273&amp;W1273&amp;X1273&amp;Y1273&amp;Z1273&amp;AA1273&amp;AB1273&amp;AC1273&amp;AD1273&amp;AE1273&amp;AF1273&amp;AG1273</f>
        <v/>
      </c>
      <c r="N1273" s="10">
        <f>TEXT($B$6,"00")</f>
        <v/>
      </c>
      <c r="O1273" s="10">
        <f>REPT(" ",8)</f>
        <v/>
      </c>
      <c r="P1273" s="10">
        <f>RIGHT($B$4,2)</f>
        <v/>
      </c>
      <c r="Q1273" s="10">
        <f>RIGHT($B$5,3)</f>
        <v/>
      </c>
      <c r="R1273" s="10">
        <f>IF(A1273="D",LEFT(UPPER(B1273)&amp;REPT(" ",20),20),REPT(" ",20))</f>
        <v/>
      </c>
      <c r="S1273" s="10">
        <f>IF(A1273="D",LEFT(UPPER(C1273)&amp;REPT(" ",10),10)," ")</f>
        <v/>
      </c>
      <c r="T1273" s="10">
        <f>IF(A1273="D",LEFT(UPPER(D1273)&amp;REPT(" ",2),2)," ")</f>
        <v/>
      </c>
      <c r="U1273" s="10">
        <f>IF(A1273="D",LEFT(UPPER(E1273)&amp;REPT(" ",15),15)," ")</f>
        <v/>
      </c>
      <c r="V1273" s="10">
        <f>REPT(" ",24)</f>
        <v/>
      </c>
      <c r="W1273" s="10">
        <f>IF(A1273="c",LEFT(UPPER(B1273)&amp;REPT(" ",20),20),REPT(" ",20))</f>
        <v/>
      </c>
      <c r="X1273" s="10">
        <f>IF(A1273="C",LEFT(UPPER(C1273)&amp;REPT(" ",10),10)," ")</f>
        <v/>
      </c>
      <c r="Y1273" s="10">
        <f>IF(A1273="C",LEFT(UPPER(D1273)&amp;REPT(" ",2),2)," ")</f>
        <v/>
      </c>
      <c r="Z1273" s="10">
        <f>IF(A1273="C",LEFT(UPPER(E1273)&amp;REPT(" ",15),15)," ")</f>
        <v/>
      </c>
      <c r="AA1273" s="10">
        <f>REPT(" ",8)</f>
        <v/>
      </c>
      <c r="AB1273" s="10">
        <f>REPT(" ",4)</f>
        <v/>
      </c>
      <c r="AC1273" s="10">
        <f>LEFT(UPPER(H1273)&amp;REPT(" ",250),250)</f>
        <v/>
      </c>
      <c r="AD1273" s="10">
        <f>TEXT($G$2,"dd/mm/aaaa")</f>
        <v/>
      </c>
      <c r="AE1273" s="10">
        <f>REPT(" ",10)</f>
        <v/>
      </c>
      <c r="AF1273" s="10">
        <f>REPT(" ",20)</f>
        <v/>
      </c>
      <c r="AG1273" s="54">
        <f>REPT(" ",18-LEN(FIXED(F1273,2,TRUE)))&amp;FIXED(F1273,2,TRUE)</f>
        <v/>
      </c>
      <c r="AH1273" s="10">
        <f>LEN(AC1273)+LEN(AG1273)</f>
        <v/>
      </c>
      <c r="AI1273" s="10">
        <f>LEN(L1273)</f>
        <v/>
      </c>
    </row>
    <row r="1274">
      <c r="J1274" s="12">
        <f>IF(F1274&lt;&gt;0,"LANÇAR","")</f>
        <v/>
      </c>
      <c r="L1274" s="13">
        <f>N1274&amp;O1274&amp;P1274&amp;Q1274&amp;R1274&amp;S1274&amp;T1274&amp;U1274&amp;V1274&amp;W1274&amp;X1274&amp;Y1274&amp;Z1274&amp;AA1274&amp;AB1274&amp;AC1274&amp;AD1274&amp;AE1274&amp;AF1274&amp;AG1274</f>
        <v/>
      </c>
      <c r="N1274" s="10">
        <f>TEXT($B$6,"00")</f>
        <v/>
      </c>
      <c r="O1274" s="10">
        <f>REPT(" ",8)</f>
        <v/>
      </c>
      <c r="P1274" s="10">
        <f>RIGHT($B$4,2)</f>
        <v/>
      </c>
      <c r="Q1274" s="10">
        <f>RIGHT($B$5,3)</f>
        <v/>
      </c>
      <c r="R1274" s="10">
        <f>IF(A1274="D",LEFT(UPPER(B1274)&amp;REPT(" ",20),20),REPT(" ",20))</f>
        <v/>
      </c>
      <c r="S1274" s="10">
        <f>IF(A1274="D",LEFT(UPPER(C1274)&amp;REPT(" ",10),10)," ")</f>
        <v/>
      </c>
      <c r="T1274" s="10">
        <f>IF(A1274="D",LEFT(UPPER(D1274)&amp;REPT(" ",2),2)," ")</f>
        <v/>
      </c>
      <c r="U1274" s="10">
        <f>IF(A1274="D",LEFT(UPPER(E1274)&amp;REPT(" ",15),15)," ")</f>
        <v/>
      </c>
      <c r="V1274" s="10">
        <f>REPT(" ",24)</f>
        <v/>
      </c>
      <c r="W1274" s="10">
        <f>IF(A1274="c",LEFT(UPPER(B1274)&amp;REPT(" ",20),20),REPT(" ",20))</f>
        <v/>
      </c>
      <c r="X1274" s="10">
        <f>IF(A1274="C",LEFT(UPPER(C1274)&amp;REPT(" ",10),10)," ")</f>
        <v/>
      </c>
      <c r="Y1274" s="10">
        <f>IF(A1274="C",LEFT(UPPER(D1274)&amp;REPT(" ",2),2)," ")</f>
        <v/>
      </c>
      <c r="Z1274" s="10">
        <f>IF(A1274="C",LEFT(UPPER(E1274)&amp;REPT(" ",15),15)," ")</f>
        <v/>
      </c>
      <c r="AA1274" s="10">
        <f>REPT(" ",8)</f>
        <v/>
      </c>
      <c r="AB1274" s="10">
        <f>REPT(" ",4)</f>
        <v/>
      </c>
      <c r="AC1274" s="10">
        <f>LEFT(UPPER(H1274)&amp;REPT(" ",250),250)</f>
        <v/>
      </c>
      <c r="AD1274" s="10">
        <f>TEXT($G$2,"dd/mm/aaaa")</f>
        <v/>
      </c>
      <c r="AE1274" s="10">
        <f>REPT(" ",10)</f>
        <v/>
      </c>
      <c r="AF1274" s="10">
        <f>REPT(" ",20)</f>
        <v/>
      </c>
      <c r="AG1274" s="54">
        <f>REPT(" ",18-LEN(FIXED(F1274,2,TRUE)))&amp;FIXED(F1274,2,TRUE)</f>
        <v/>
      </c>
      <c r="AH1274" s="10">
        <f>LEN(AC1274)+LEN(AG1274)</f>
        <v/>
      </c>
      <c r="AI1274" s="10">
        <f>LEN(L1274)</f>
        <v/>
      </c>
    </row>
    <row r="1275">
      <c r="J1275" s="12">
        <f>IF(F1275&lt;&gt;0,"LANÇAR","")</f>
        <v/>
      </c>
      <c r="L1275" s="13">
        <f>N1275&amp;O1275&amp;P1275&amp;Q1275&amp;R1275&amp;S1275&amp;T1275&amp;U1275&amp;V1275&amp;W1275&amp;X1275&amp;Y1275&amp;Z1275&amp;AA1275&amp;AB1275&amp;AC1275&amp;AD1275&amp;AE1275&amp;AF1275&amp;AG1275</f>
        <v/>
      </c>
      <c r="N1275" s="10">
        <f>TEXT($B$6,"00")</f>
        <v/>
      </c>
      <c r="O1275" s="10">
        <f>REPT(" ",8)</f>
        <v/>
      </c>
      <c r="P1275" s="10">
        <f>RIGHT($B$4,2)</f>
        <v/>
      </c>
      <c r="Q1275" s="10">
        <f>RIGHT($B$5,3)</f>
        <v/>
      </c>
      <c r="R1275" s="10">
        <f>IF(A1275="D",LEFT(UPPER(B1275)&amp;REPT(" ",20),20),REPT(" ",20))</f>
        <v/>
      </c>
      <c r="S1275" s="10">
        <f>IF(A1275="D",LEFT(UPPER(C1275)&amp;REPT(" ",10),10)," ")</f>
        <v/>
      </c>
      <c r="T1275" s="10">
        <f>IF(A1275="D",LEFT(UPPER(D1275)&amp;REPT(" ",2),2)," ")</f>
        <v/>
      </c>
      <c r="U1275" s="10">
        <f>IF(A1275="D",LEFT(UPPER(E1275)&amp;REPT(" ",15),15)," ")</f>
        <v/>
      </c>
      <c r="V1275" s="10">
        <f>REPT(" ",24)</f>
        <v/>
      </c>
      <c r="W1275" s="10">
        <f>IF(A1275="c",LEFT(UPPER(B1275)&amp;REPT(" ",20),20),REPT(" ",20))</f>
        <v/>
      </c>
      <c r="X1275" s="10">
        <f>IF(A1275="C",LEFT(UPPER(C1275)&amp;REPT(" ",10),10)," ")</f>
        <v/>
      </c>
      <c r="Y1275" s="10">
        <f>IF(A1275="C",LEFT(UPPER(D1275)&amp;REPT(" ",2),2)," ")</f>
        <v/>
      </c>
      <c r="Z1275" s="10">
        <f>IF(A1275="C",LEFT(UPPER(E1275)&amp;REPT(" ",15),15)," ")</f>
        <v/>
      </c>
      <c r="AA1275" s="10">
        <f>REPT(" ",8)</f>
        <v/>
      </c>
      <c r="AB1275" s="10">
        <f>REPT(" ",4)</f>
        <v/>
      </c>
      <c r="AC1275" s="10">
        <f>LEFT(UPPER(H1275)&amp;REPT(" ",250),250)</f>
        <v/>
      </c>
      <c r="AD1275" s="10">
        <f>TEXT($G$2,"dd/mm/aaaa")</f>
        <v/>
      </c>
      <c r="AE1275" s="10">
        <f>REPT(" ",10)</f>
        <v/>
      </c>
      <c r="AF1275" s="10">
        <f>REPT(" ",20)</f>
        <v/>
      </c>
      <c r="AG1275" s="54">
        <f>REPT(" ",18-LEN(FIXED(F1275,2,TRUE)))&amp;FIXED(F1275,2,TRUE)</f>
        <v/>
      </c>
      <c r="AH1275" s="10">
        <f>LEN(AC1275)+LEN(AG1275)</f>
        <v/>
      </c>
      <c r="AI1275" s="10">
        <f>LEN(L1275)</f>
        <v/>
      </c>
    </row>
    <row r="1276">
      <c r="J1276" s="12">
        <f>IF(F1276&lt;&gt;0,"LANÇAR","")</f>
        <v/>
      </c>
      <c r="L1276" s="13">
        <f>N1276&amp;O1276&amp;P1276&amp;Q1276&amp;R1276&amp;S1276&amp;T1276&amp;U1276&amp;V1276&amp;W1276&amp;X1276&amp;Y1276&amp;Z1276&amp;AA1276&amp;AB1276&amp;AC1276&amp;AD1276&amp;AE1276&amp;AF1276&amp;AG1276</f>
        <v/>
      </c>
      <c r="N1276" s="10">
        <f>TEXT($B$6,"00")</f>
        <v/>
      </c>
      <c r="O1276" s="10">
        <f>REPT(" ",8)</f>
        <v/>
      </c>
      <c r="P1276" s="10">
        <f>RIGHT($B$4,2)</f>
        <v/>
      </c>
      <c r="Q1276" s="10">
        <f>RIGHT($B$5,3)</f>
        <v/>
      </c>
      <c r="R1276" s="10">
        <f>IF(A1276="D",LEFT(UPPER(B1276)&amp;REPT(" ",20),20),REPT(" ",20))</f>
        <v/>
      </c>
      <c r="S1276" s="10">
        <f>IF(A1276="D",LEFT(UPPER(C1276)&amp;REPT(" ",10),10)," ")</f>
        <v/>
      </c>
      <c r="T1276" s="10">
        <f>IF(A1276="D",LEFT(UPPER(D1276)&amp;REPT(" ",2),2)," ")</f>
        <v/>
      </c>
      <c r="U1276" s="10">
        <f>IF(A1276="D",LEFT(UPPER(E1276)&amp;REPT(" ",15),15)," ")</f>
        <v/>
      </c>
      <c r="V1276" s="10">
        <f>REPT(" ",24)</f>
        <v/>
      </c>
      <c r="W1276" s="10">
        <f>IF(A1276="c",LEFT(UPPER(B1276)&amp;REPT(" ",20),20),REPT(" ",20))</f>
        <v/>
      </c>
      <c r="X1276" s="10">
        <f>IF(A1276="C",LEFT(UPPER(C1276)&amp;REPT(" ",10),10)," ")</f>
        <v/>
      </c>
      <c r="Y1276" s="10">
        <f>IF(A1276="C",LEFT(UPPER(D1276)&amp;REPT(" ",2),2)," ")</f>
        <v/>
      </c>
      <c r="Z1276" s="10">
        <f>IF(A1276="C",LEFT(UPPER(E1276)&amp;REPT(" ",15),15)," ")</f>
        <v/>
      </c>
      <c r="AA1276" s="10">
        <f>REPT(" ",8)</f>
        <v/>
      </c>
      <c r="AB1276" s="10">
        <f>REPT(" ",4)</f>
        <v/>
      </c>
      <c r="AC1276" s="10">
        <f>LEFT(UPPER(H1276)&amp;REPT(" ",250),250)</f>
        <v/>
      </c>
      <c r="AD1276" s="10">
        <f>TEXT($G$2,"dd/mm/aaaa")</f>
        <v/>
      </c>
      <c r="AE1276" s="10">
        <f>REPT(" ",10)</f>
        <v/>
      </c>
      <c r="AF1276" s="10">
        <f>REPT(" ",20)</f>
        <v/>
      </c>
      <c r="AG1276" s="54">
        <f>REPT(" ",18-LEN(FIXED(F1276,2,TRUE)))&amp;FIXED(F1276,2,TRUE)</f>
        <v/>
      </c>
      <c r="AH1276" s="10">
        <f>LEN(AC1276)+LEN(AG1276)</f>
        <v/>
      </c>
      <c r="AI1276" s="10">
        <f>LEN(L1276)</f>
        <v/>
      </c>
    </row>
    <row r="1277">
      <c r="J1277" s="12">
        <f>IF(F1277&lt;&gt;0,"LANÇAR","")</f>
        <v/>
      </c>
      <c r="L1277" s="13">
        <f>N1277&amp;O1277&amp;P1277&amp;Q1277&amp;R1277&amp;S1277&amp;T1277&amp;U1277&amp;V1277&amp;W1277&amp;X1277&amp;Y1277&amp;Z1277&amp;AA1277&amp;AB1277&amp;AC1277&amp;AD1277&amp;AE1277&amp;AF1277&amp;AG1277</f>
        <v/>
      </c>
      <c r="N1277" s="10">
        <f>TEXT($B$6,"00")</f>
        <v/>
      </c>
      <c r="O1277" s="10">
        <f>REPT(" ",8)</f>
        <v/>
      </c>
      <c r="P1277" s="10">
        <f>RIGHT($B$4,2)</f>
        <v/>
      </c>
      <c r="Q1277" s="10">
        <f>RIGHT($B$5,3)</f>
        <v/>
      </c>
      <c r="R1277" s="10">
        <f>IF(A1277="D",LEFT(UPPER(B1277)&amp;REPT(" ",20),20),REPT(" ",20))</f>
        <v/>
      </c>
      <c r="S1277" s="10">
        <f>IF(A1277="D",LEFT(UPPER(C1277)&amp;REPT(" ",10),10)," ")</f>
        <v/>
      </c>
      <c r="T1277" s="10">
        <f>IF(A1277="D",LEFT(UPPER(D1277)&amp;REPT(" ",2),2)," ")</f>
        <v/>
      </c>
      <c r="U1277" s="10">
        <f>IF(A1277="D",LEFT(UPPER(E1277)&amp;REPT(" ",15),15)," ")</f>
        <v/>
      </c>
      <c r="V1277" s="10">
        <f>REPT(" ",24)</f>
        <v/>
      </c>
      <c r="W1277" s="10">
        <f>IF(A1277="c",LEFT(UPPER(B1277)&amp;REPT(" ",20),20),REPT(" ",20))</f>
        <v/>
      </c>
      <c r="X1277" s="10">
        <f>IF(A1277="C",LEFT(UPPER(C1277)&amp;REPT(" ",10),10)," ")</f>
        <v/>
      </c>
      <c r="Y1277" s="10">
        <f>IF(A1277="C",LEFT(UPPER(D1277)&amp;REPT(" ",2),2)," ")</f>
        <v/>
      </c>
      <c r="Z1277" s="10">
        <f>IF(A1277="C",LEFT(UPPER(E1277)&amp;REPT(" ",15),15)," ")</f>
        <v/>
      </c>
      <c r="AA1277" s="10">
        <f>REPT(" ",8)</f>
        <v/>
      </c>
      <c r="AB1277" s="10">
        <f>REPT(" ",4)</f>
        <v/>
      </c>
      <c r="AC1277" s="10">
        <f>LEFT(UPPER(H1277)&amp;REPT(" ",250),250)</f>
        <v/>
      </c>
      <c r="AD1277" s="10">
        <f>TEXT($G$2,"dd/mm/aaaa")</f>
        <v/>
      </c>
      <c r="AE1277" s="10">
        <f>REPT(" ",10)</f>
        <v/>
      </c>
      <c r="AF1277" s="10">
        <f>REPT(" ",20)</f>
        <v/>
      </c>
      <c r="AG1277" s="54">
        <f>REPT(" ",18-LEN(FIXED(F1277,2,TRUE)))&amp;FIXED(F1277,2,TRUE)</f>
        <v/>
      </c>
      <c r="AH1277" s="10">
        <f>LEN(AC1277)+LEN(AG1277)</f>
        <v/>
      </c>
      <c r="AI1277" s="10">
        <f>LEN(L1277)</f>
        <v/>
      </c>
    </row>
    <row r="1278">
      <c r="J1278" s="12">
        <f>IF(F1278&lt;&gt;0,"LANÇAR","")</f>
        <v/>
      </c>
      <c r="L1278" s="13">
        <f>N1278&amp;O1278&amp;P1278&amp;Q1278&amp;R1278&amp;S1278&amp;T1278&amp;U1278&amp;V1278&amp;W1278&amp;X1278&amp;Y1278&amp;Z1278&amp;AA1278&amp;AB1278&amp;AC1278&amp;AD1278&amp;AE1278&amp;AF1278&amp;AG1278</f>
        <v/>
      </c>
      <c r="N1278" s="10">
        <f>TEXT($B$6,"00")</f>
        <v/>
      </c>
      <c r="O1278" s="10">
        <f>REPT(" ",8)</f>
        <v/>
      </c>
      <c r="P1278" s="10">
        <f>RIGHT($B$4,2)</f>
        <v/>
      </c>
      <c r="Q1278" s="10">
        <f>RIGHT($B$5,3)</f>
        <v/>
      </c>
      <c r="R1278" s="10">
        <f>IF(A1278="D",LEFT(UPPER(B1278)&amp;REPT(" ",20),20),REPT(" ",20))</f>
        <v/>
      </c>
      <c r="S1278" s="10">
        <f>IF(A1278="D",LEFT(UPPER(C1278)&amp;REPT(" ",10),10)," ")</f>
        <v/>
      </c>
      <c r="T1278" s="10">
        <f>IF(A1278="D",LEFT(UPPER(D1278)&amp;REPT(" ",2),2)," ")</f>
        <v/>
      </c>
      <c r="U1278" s="10">
        <f>IF(A1278="D",LEFT(UPPER(E1278)&amp;REPT(" ",15),15)," ")</f>
        <v/>
      </c>
      <c r="V1278" s="10">
        <f>REPT(" ",24)</f>
        <v/>
      </c>
      <c r="W1278" s="10">
        <f>IF(A1278="c",LEFT(UPPER(B1278)&amp;REPT(" ",20),20),REPT(" ",20))</f>
        <v/>
      </c>
      <c r="X1278" s="10">
        <f>IF(A1278="C",LEFT(UPPER(C1278)&amp;REPT(" ",10),10)," ")</f>
        <v/>
      </c>
      <c r="Y1278" s="10">
        <f>IF(A1278="C",LEFT(UPPER(D1278)&amp;REPT(" ",2),2)," ")</f>
        <v/>
      </c>
      <c r="Z1278" s="10">
        <f>IF(A1278="C",LEFT(UPPER(E1278)&amp;REPT(" ",15),15)," ")</f>
        <v/>
      </c>
      <c r="AA1278" s="10">
        <f>REPT(" ",8)</f>
        <v/>
      </c>
      <c r="AB1278" s="10">
        <f>REPT(" ",4)</f>
        <v/>
      </c>
      <c r="AC1278" s="10">
        <f>LEFT(UPPER(H1278)&amp;REPT(" ",250),250)</f>
        <v/>
      </c>
      <c r="AD1278" s="10">
        <f>TEXT($G$2,"dd/mm/aaaa")</f>
        <v/>
      </c>
      <c r="AE1278" s="10">
        <f>REPT(" ",10)</f>
        <v/>
      </c>
      <c r="AF1278" s="10">
        <f>REPT(" ",20)</f>
        <v/>
      </c>
      <c r="AG1278" s="54">
        <f>REPT(" ",18-LEN(FIXED(F1278,2,TRUE)))&amp;FIXED(F1278,2,TRUE)</f>
        <v/>
      </c>
      <c r="AH1278" s="10">
        <f>LEN(AC1278)+LEN(AG1278)</f>
        <v/>
      </c>
      <c r="AI1278" s="10">
        <f>LEN(L1278)</f>
        <v/>
      </c>
    </row>
    <row r="1279">
      <c r="J1279" s="12">
        <f>IF(F1279&lt;&gt;0,"LANÇAR","")</f>
        <v/>
      </c>
      <c r="L1279" s="13">
        <f>N1279&amp;O1279&amp;P1279&amp;Q1279&amp;R1279&amp;S1279&amp;T1279&amp;U1279&amp;V1279&amp;W1279&amp;X1279&amp;Y1279&amp;Z1279&amp;AA1279&amp;AB1279&amp;AC1279&amp;AD1279&amp;AE1279&amp;AF1279&amp;AG1279</f>
        <v/>
      </c>
      <c r="N1279" s="10">
        <f>TEXT($B$6,"00")</f>
        <v/>
      </c>
      <c r="O1279" s="10">
        <f>REPT(" ",8)</f>
        <v/>
      </c>
      <c r="P1279" s="10">
        <f>RIGHT($B$4,2)</f>
        <v/>
      </c>
      <c r="Q1279" s="10">
        <f>RIGHT($B$5,3)</f>
        <v/>
      </c>
      <c r="R1279" s="10">
        <f>IF(A1279="D",LEFT(UPPER(B1279)&amp;REPT(" ",20),20),REPT(" ",20))</f>
        <v/>
      </c>
      <c r="S1279" s="10">
        <f>IF(A1279="D",LEFT(UPPER(C1279)&amp;REPT(" ",10),10)," ")</f>
        <v/>
      </c>
      <c r="T1279" s="10">
        <f>IF(A1279="D",LEFT(UPPER(D1279)&amp;REPT(" ",2),2)," ")</f>
        <v/>
      </c>
      <c r="U1279" s="10">
        <f>IF(A1279="D",LEFT(UPPER(E1279)&amp;REPT(" ",15),15)," ")</f>
        <v/>
      </c>
      <c r="V1279" s="10">
        <f>REPT(" ",24)</f>
        <v/>
      </c>
      <c r="W1279" s="10">
        <f>IF(A1279="c",LEFT(UPPER(B1279)&amp;REPT(" ",20),20),REPT(" ",20))</f>
        <v/>
      </c>
      <c r="X1279" s="10">
        <f>IF(A1279="C",LEFT(UPPER(C1279)&amp;REPT(" ",10),10)," ")</f>
        <v/>
      </c>
      <c r="Y1279" s="10">
        <f>IF(A1279="C",LEFT(UPPER(D1279)&amp;REPT(" ",2),2)," ")</f>
        <v/>
      </c>
      <c r="Z1279" s="10">
        <f>IF(A1279="C",LEFT(UPPER(E1279)&amp;REPT(" ",15),15)," ")</f>
        <v/>
      </c>
      <c r="AA1279" s="10">
        <f>REPT(" ",8)</f>
        <v/>
      </c>
      <c r="AB1279" s="10">
        <f>REPT(" ",4)</f>
        <v/>
      </c>
      <c r="AC1279" s="10">
        <f>LEFT(UPPER(H1279)&amp;REPT(" ",250),250)</f>
        <v/>
      </c>
      <c r="AD1279" s="10">
        <f>TEXT($G$2,"dd/mm/aaaa")</f>
        <v/>
      </c>
      <c r="AE1279" s="10">
        <f>REPT(" ",10)</f>
        <v/>
      </c>
      <c r="AF1279" s="10">
        <f>REPT(" ",20)</f>
        <v/>
      </c>
      <c r="AG1279" s="54">
        <f>REPT(" ",18-LEN(FIXED(F1279,2,TRUE)))&amp;FIXED(F1279,2,TRUE)</f>
        <v/>
      </c>
      <c r="AH1279" s="10">
        <f>LEN(AC1279)+LEN(AG1279)</f>
        <v/>
      </c>
      <c r="AI1279" s="10">
        <f>LEN(L1279)</f>
        <v/>
      </c>
    </row>
    <row r="1280">
      <c r="J1280" s="12">
        <f>IF(F1280&lt;&gt;0,"LANÇAR","")</f>
        <v/>
      </c>
      <c r="L1280" s="13">
        <f>N1280&amp;O1280&amp;P1280&amp;Q1280&amp;R1280&amp;S1280&amp;T1280&amp;U1280&amp;V1280&amp;W1280&amp;X1280&amp;Y1280&amp;Z1280&amp;AA1280&amp;AB1280&amp;AC1280&amp;AD1280&amp;AE1280&amp;AF1280&amp;AG1280</f>
        <v/>
      </c>
      <c r="N1280" s="10">
        <f>TEXT($B$6,"00")</f>
        <v/>
      </c>
      <c r="O1280" s="10">
        <f>REPT(" ",8)</f>
        <v/>
      </c>
      <c r="P1280" s="10">
        <f>RIGHT($B$4,2)</f>
        <v/>
      </c>
      <c r="Q1280" s="10">
        <f>RIGHT($B$5,3)</f>
        <v/>
      </c>
      <c r="R1280" s="10">
        <f>IF(A1280="D",LEFT(UPPER(B1280)&amp;REPT(" ",20),20),REPT(" ",20))</f>
        <v/>
      </c>
      <c r="S1280" s="10">
        <f>IF(A1280="D",LEFT(UPPER(C1280)&amp;REPT(" ",10),10)," ")</f>
        <v/>
      </c>
      <c r="T1280" s="10">
        <f>IF(A1280="D",LEFT(UPPER(D1280)&amp;REPT(" ",2),2)," ")</f>
        <v/>
      </c>
      <c r="U1280" s="10">
        <f>IF(A1280="D",LEFT(UPPER(E1280)&amp;REPT(" ",15),15)," ")</f>
        <v/>
      </c>
      <c r="V1280" s="10">
        <f>REPT(" ",24)</f>
        <v/>
      </c>
      <c r="W1280" s="10">
        <f>IF(A1280="c",LEFT(UPPER(B1280)&amp;REPT(" ",20),20),REPT(" ",20))</f>
        <v/>
      </c>
      <c r="X1280" s="10">
        <f>IF(A1280="C",LEFT(UPPER(C1280)&amp;REPT(" ",10),10)," ")</f>
        <v/>
      </c>
      <c r="Y1280" s="10">
        <f>IF(A1280="C",LEFT(UPPER(D1280)&amp;REPT(" ",2),2)," ")</f>
        <v/>
      </c>
      <c r="Z1280" s="10">
        <f>IF(A1280="C",LEFT(UPPER(E1280)&amp;REPT(" ",15),15)," ")</f>
        <v/>
      </c>
      <c r="AA1280" s="10">
        <f>REPT(" ",8)</f>
        <v/>
      </c>
      <c r="AB1280" s="10">
        <f>REPT(" ",4)</f>
        <v/>
      </c>
      <c r="AC1280" s="10">
        <f>LEFT(UPPER(H1280)&amp;REPT(" ",250),250)</f>
        <v/>
      </c>
      <c r="AD1280" s="10">
        <f>TEXT($G$2,"dd/mm/aaaa")</f>
        <v/>
      </c>
      <c r="AE1280" s="10">
        <f>REPT(" ",10)</f>
        <v/>
      </c>
      <c r="AF1280" s="10">
        <f>REPT(" ",20)</f>
        <v/>
      </c>
      <c r="AG1280" s="54">
        <f>REPT(" ",18-LEN(FIXED(F1280,2,TRUE)))&amp;FIXED(F1280,2,TRUE)</f>
        <v/>
      </c>
      <c r="AH1280" s="10">
        <f>LEN(AC1280)+LEN(AG1280)</f>
        <v/>
      </c>
      <c r="AI1280" s="10">
        <f>LEN(L1280)</f>
        <v/>
      </c>
    </row>
    <row r="1281">
      <c r="J1281" s="12">
        <f>IF(F1281&lt;&gt;0,"LANÇAR","")</f>
        <v/>
      </c>
      <c r="L1281" s="13">
        <f>N1281&amp;O1281&amp;P1281&amp;Q1281&amp;R1281&amp;S1281&amp;T1281&amp;U1281&amp;V1281&amp;W1281&amp;X1281&amp;Y1281&amp;Z1281&amp;AA1281&amp;AB1281&amp;AC1281&amp;AD1281&amp;AE1281&amp;AF1281&amp;AG1281</f>
        <v/>
      </c>
      <c r="N1281" s="10">
        <f>TEXT($B$6,"00")</f>
        <v/>
      </c>
      <c r="O1281" s="10">
        <f>REPT(" ",8)</f>
        <v/>
      </c>
      <c r="P1281" s="10">
        <f>RIGHT($B$4,2)</f>
        <v/>
      </c>
      <c r="Q1281" s="10">
        <f>RIGHT($B$5,3)</f>
        <v/>
      </c>
      <c r="R1281" s="10">
        <f>IF(A1281="D",LEFT(UPPER(B1281)&amp;REPT(" ",20),20),REPT(" ",20))</f>
        <v/>
      </c>
      <c r="S1281" s="10">
        <f>IF(A1281="D",LEFT(UPPER(C1281)&amp;REPT(" ",10),10)," ")</f>
        <v/>
      </c>
      <c r="T1281" s="10">
        <f>IF(A1281="D",LEFT(UPPER(D1281)&amp;REPT(" ",2),2)," ")</f>
        <v/>
      </c>
      <c r="U1281" s="10">
        <f>IF(A1281="D",LEFT(UPPER(E1281)&amp;REPT(" ",15),15)," ")</f>
        <v/>
      </c>
      <c r="V1281" s="10">
        <f>REPT(" ",24)</f>
        <v/>
      </c>
      <c r="W1281" s="10">
        <f>IF(A1281="c",LEFT(UPPER(B1281)&amp;REPT(" ",20),20),REPT(" ",20))</f>
        <v/>
      </c>
      <c r="X1281" s="10">
        <f>IF(A1281="C",LEFT(UPPER(C1281)&amp;REPT(" ",10),10)," ")</f>
        <v/>
      </c>
      <c r="Y1281" s="10">
        <f>IF(A1281="C",LEFT(UPPER(D1281)&amp;REPT(" ",2),2)," ")</f>
        <v/>
      </c>
      <c r="Z1281" s="10">
        <f>IF(A1281="C",LEFT(UPPER(E1281)&amp;REPT(" ",15),15)," ")</f>
        <v/>
      </c>
      <c r="AA1281" s="10">
        <f>REPT(" ",8)</f>
        <v/>
      </c>
      <c r="AB1281" s="10">
        <f>REPT(" ",4)</f>
        <v/>
      </c>
      <c r="AC1281" s="10">
        <f>LEFT(UPPER(H1281)&amp;REPT(" ",250),250)</f>
        <v/>
      </c>
      <c r="AD1281" s="10">
        <f>TEXT($G$2,"dd/mm/aaaa")</f>
        <v/>
      </c>
      <c r="AE1281" s="10">
        <f>REPT(" ",10)</f>
        <v/>
      </c>
      <c r="AF1281" s="10">
        <f>REPT(" ",20)</f>
        <v/>
      </c>
      <c r="AG1281" s="54">
        <f>REPT(" ",18-LEN(FIXED(F1281,2,TRUE)))&amp;FIXED(F1281,2,TRUE)</f>
        <v/>
      </c>
      <c r="AH1281" s="10">
        <f>LEN(AC1281)+LEN(AG1281)</f>
        <v/>
      </c>
      <c r="AI1281" s="10">
        <f>LEN(L1281)</f>
        <v/>
      </c>
    </row>
    <row r="1282">
      <c r="J1282" s="12">
        <f>IF(F1282&lt;&gt;0,"LANÇAR","")</f>
        <v/>
      </c>
      <c r="L1282" s="13">
        <f>N1282&amp;O1282&amp;P1282&amp;Q1282&amp;R1282&amp;S1282&amp;T1282&amp;U1282&amp;V1282&amp;W1282&amp;X1282&amp;Y1282&amp;Z1282&amp;AA1282&amp;AB1282&amp;AC1282&amp;AD1282&amp;AE1282&amp;AF1282&amp;AG1282</f>
        <v/>
      </c>
      <c r="N1282" s="10">
        <f>TEXT($B$6,"00")</f>
        <v/>
      </c>
      <c r="O1282" s="10">
        <f>REPT(" ",8)</f>
        <v/>
      </c>
      <c r="P1282" s="10">
        <f>RIGHT($B$4,2)</f>
        <v/>
      </c>
      <c r="Q1282" s="10">
        <f>RIGHT($B$5,3)</f>
        <v/>
      </c>
      <c r="R1282" s="10">
        <f>IF(A1282="D",LEFT(UPPER(B1282)&amp;REPT(" ",20),20),REPT(" ",20))</f>
        <v/>
      </c>
      <c r="S1282" s="10">
        <f>IF(A1282="D",LEFT(UPPER(C1282)&amp;REPT(" ",10),10)," ")</f>
        <v/>
      </c>
      <c r="T1282" s="10">
        <f>IF(A1282="D",LEFT(UPPER(D1282)&amp;REPT(" ",2),2)," ")</f>
        <v/>
      </c>
      <c r="U1282" s="10">
        <f>IF(A1282="D",LEFT(UPPER(E1282)&amp;REPT(" ",15),15)," ")</f>
        <v/>
      </c>
      <c r="V1282" s="10">
        <f>REPT(" ",24)</f>
        <v/>
      </c>
      <c r="W1282" s="10">
        <f>IF(A1282="c",LEFT(UPPER(B1282)&amp;REPT(" ",20),20),REPT(" ",20))</f>
        <v/>
      </c>
      <c r="X1282" s="10">
        <f>IF(A1282="C",LEFT(UPPER(C1282)&amp;REPT(" ",10),10)," ")</f>
        <v/>
      </c>
      <c r="Y1282" s="10">
        <f>IF(A1282="C",LEFT(UPPER(D1282)&amp;REPT(" ",2),2)," ")</f>
        <v/>
      </c>
      <c r="Z1282" s="10">
        <f>IF(A1282="C",LEFT(UPPER(E1282)&amp;REPT(" ",15),15)," ")</f>
        <v/>
      </c>
      <c r="AA1282" s="10">
        <f>REPT(" ",8)</f>
        <v/>
      </c>
      <c r="AB1282" s="10">
        <f>REPT(" ",4)</f>
        <v/>
      </c>
      <c r="AC1282" s="10">
        <f>LEFT(UPPER(H1282)&amp;REPT(" ",250),250)</f>
        <v/>
      </c>
      <c r="AD1282" s="10">
        <f>TEXT($G$2,"dd/mm/aaaa")</f>
        <v/>
      </c>
      <c r="AE1282" s="10">
        <f>REPT(" ",10)</f>
        <v/>
      </c>
      <c r="AF1282" s="10">
        <f>REPT(" ",20)</f>
        <v/>
      </c>
      <c r="AG1282" s="54">
        <f>REPT(" ",18-LEN(FIXED(F1282,2,TRUE)))&amp;FIXED(F1282,2,TRUE)</f>
        <v/>
      </c>
      <c r="AH1282" s="10">
        <f>LEN(AC1282)+LEN(AG1282)</f>
        <v/>
      </c>
      <c r="AI1282" s="10">
        <f>LEN(L1282)</f>
        <v/>
      </c>
    </row>
    <row r="1283">
      <c r="J1283" s="12">
        <f>IF(F1283&lt;&gt;0,"LANÇAR","")</f>
        <v/>
      </c>
      <c r="L1283" s="13">
        <f>N1283&amp;O1283&amp;P1283&amp;Q1283&amp;R1283&amp;S1283&amp;T1283&amp;U1283&amp;V1283&amp;W1283&amp;X1283&amp;Y1283&amp;Z1283&amp;AA1283&amp;AB1283&amp;AC1283&amp;AD1283&amp;AE1283&amp;AF1283&amp;AG1283</f>
        <v/>
      </c>
      <c r="N1283" s="10">
        <f>TEXT($B$6,"00")</f>
        <v/>
      </c>
      <c r="O1283" s="10">
        <f>REPT(" ",8)</f>
        <v/>
      </c>
      <c r="P1283" s="10">
        <f>RIGHT($B$4,2)</f>
        <v/>
      </c>
      <c r="Q1283" s="10">
        <f>RIGHT($B$5,3)</f>
        <v/>
      </c>
      <c r="R1283" s="10">
        <f>IF(A1283="D",LEFT(UPPER(B1283)&amp;REPT(" ",20),20),REPT(" ",20))</f>
        <v/>
      </c>
      <c r="S1283" s="10">
        <f>IF(A1283="D",LEFT(UPPER(C1283)&amp;REPT(" ",10),10)," ")</f>
        <v/>
      </c>
      <c r="T1283" s="10">
        <f>IF(A1283="D",LEFT(UPPER(D1283)&amp;REPT(" ",2),2)," ")</f>
        <v/>
      </c>
      <c r="U1283" s="10">
        <f>IF(A1283="D",LEFT(UPPER(E1283)&amp;REPT(" ",15),15)," ")</f>
        <v/>
      </c>
      <c r="V1283" s="10">
        <f>REPT(" ",24)</f>
        <v/>
      </c>
      <c r="W1283" s="10">
        <f>IF(A1283="c",LEFT(UPPER(B1283)&amp;REPT(" ",20),20),REPT(" ",20))</f>
        <v/>
      </c>
      <c r="X1283" s="10">
        <f>IF(A1283="C",LEFT(UPPER(C1283)&amp;REPT(" ",10),10)," ")</f>
        <v/>
      </c>
      <c r="Y1283" s="10">
        <f>IF(A1283="C",LEFT(UPPER(D1283)&amp;REPT(" ",2),2)," ")</f>
        <v/>
      </c>
      <c r="Z1283" s="10">
        <f>IF(A1283="C",LEFT(UPPER(E1283)&amp;REPT(" ",15),15)," ")</f>
        <v/>
      </c>
      <c r="AA1283" s="10">
        <f>REPT(" ",8)</f>
        <v/>
      </c>
      <c r="AB1283" s="10">
        <f>REPT(" ",4)</f>
        <v/>
      </c>
      <c r="AC1283" s="10">
        <f>LEFT(UPPER(H1283)&amp;REPT(" ",250),250)</f>
        <v/>
      </c>
      <c r="AD1283" s="10">
        <f>TEXT($G$2,"dd/mm/aaaa")</f>
        <v/>
      </c>
      <c r="AE1283" s="10">
        <f>REPT(" ",10)</f>
        <v/>
      </c>
      <c r="AF1283" s="10">
        <f>REPT(" ",20)</f>
        <v/>
      </c>
      <c r="AG1283" s="54">
        <f>REPT(" ",18-LEN(FIXED(F1283,2,TRUE)))&amp;FIXED(F1283,2,TRUE)</f>
        <v/>
      </c>
      <c r="AH1283" s="10">
        <f>LEN(AC1283)+LEN(AG1283)</f>
        <v/>
      </c>
      <c r="AI1283" s="10">
        <f>LEN(L1283)</f>
        <v/>
      </c>
    </row>
    <row r="1284">
      <c r="J1284" s="12">
        <f>IF(F1284&lt;&gt;0,"LANÇAR","")</f>
        <v/>
      </c>
      <c r="L1284" s="13">
        <f>N1284&amp;O1284&amp;P1284&amp;Q1284&amp;R1284&amp;S1284&amp;T1284&amp;U1284&amp;V1284&amp;W1284&amp;X1284&amp;Y1284&amp;Z1284&amp;AA1284&amp;AB1284&amp;AC1284&amp;AD1284&amp;AE1284&amp;AF1284&amp;AG1284</f>
        <v/>
      </c>
      <c r="N1284" s="10">
        <f>TEXT($B$6,"00")</f>
        <v/>
      </c>
      <c r="O1284" s="10">
        <f>REPT(" ",8)</f>
        <v/>
      </c>
      <c r="P1284" s="10">
        <f>RIGHT($B$4,2)</f>
        <v/>
      </c>
      <c r="Q1284" s="10">
        <f>RIGHT($B$5,3)</f>
        <v/>
      </c>
      <c r="R1284" s="10">
        <f>IF(A1284="D",LEFT(UPPER(B1284)&amp;REPT(" ",20),20),REPT(" ",20))</f>
        <v/>
      </c>
      <c r="S1284" s="10">
        <f>IF(A1284="D",LEFT(UPPER(C1284)&amp;REPT(" ",10),10)," ")</f>
        <v/>
      </c>
      <c r="T1284" s="10">
        <f>IF(A1284="D",LEFT(UPPER(D1284)&amp;REPT(" ",2),2)," ")</f>
        <v/>
      </c>
      <c r="U1284" s="10">
        <f>IF(A1284="D",LEFT(UPPER(E1284)&amp;REPT(" ",15),15)," ")</f>
        <v/>
      </c>
      <c r="V1284" s="10">
        <f>REPT(" ",24)</f>
        <v/>
      </c>
      <c r="W1284" s="10">
        <f>IF(A1284="c",LEFT(UPPER(B1284)&amp;REPT(" ",20),20),REPT(" ",20))</f>
        <v/>
      </c>
      <c r="X1284" s="10">
        <f>IF(A1284="C",LEFT(UPPER(C1284)&amp;REPT(" ",10),10)," ")</f>
        <v/>
      </c>
      <c r="Y1284" s="10">
        <f>IF(A1284="C",LEFT(UPPER(D1284)&amp;REPT(" ",2),2)," ")</f>
        <v/>
      </c>
      <c r="Z1284" s="10">
        <f>IF(A1284="C",LEFT(UPPER(E1284)&amp;REPT(" ",15),15)," ")</f>
        <v/>
      </c>
      <c r="AA1284" s="10">
        <f>REPT(" ",8)</f>
        <v/>
      </c>
      <c r="AB1284" s="10">
        <f>REPT(" ",4)</f>
        <v/>
      </c>
      <c r="AC1284" s="10">
        <f>LEFT(UPPER(H1284)&amp;REPT(" ",250),250)</f>
        <v/>
      </c>
      <c r="AD1284" s="10">
        <f>TEXT($G$2,"dd/mm/aaaa")</f>
        <v/>
      </c>
      <c r="AE1284" s="10">
        <f>REPT(" ",10)</f>
        <v/>
      </c>
      <c r="AF1284" s="10">
        <f>REPT(" ",20)</f>
        <v/>
      </c>
      <c r="AG1284" s="54">
        <f>REPT(" ",18-LEN(FIXED(F1284,2,TRUE)))&amp;FIXED(F1284,2,TRUE)</f>
        <v/>
      </c>
      <c r="AH1284" s="10">
        <f>LEN(AC1284)+LEN(AG1284)</f>
        <v/>
      </c>
      <c r="AI1284" s="10">
        <f>LEN(L1284)</f>
        <v/>
      </c>
    </row>
    <row r="1285">
      <c r="J1285" s="12">
        <f>IF(F1285&lt;&gt;0,"LANÇAR","")</f>
        <v/>
      </c>
      <c r="L1285" s="13">
        <f>N1285&amp;O1285&amp;P1285&amp;Q1285&amp;R1285&amp;S1285&amp;T1285&amp;U1285&amp;V1285&amp;W1285&amp;X1285&amp;Y1285&amp;Z1285&amp;AA1285&amp;AB1285&amp;AC1285&amp;AD1285&amp;AE1285&amp;AF1285&amp;AG1285</f>
        <v/>
      </c>
      <c r="N1285" s="10">
        <f>TEXT($B$6,"00")</f>
        <v/>
      </c>
      <c r="O1285" s="10">
        <f>REPT(" ",8)</f>
        <v/>
      </c>
      <c r="P1285" s="10">
        <f>RIGHT($B$4,2)</f>
        <v/>
      </c>
      <c r="Q1285" s="10">
        <f>RIGHT($B$5,3)</f>
        <v/>
      </c>
      <c r="R1285" s="10">
        <f>IF(A1285="D",LEFT(UPPER(B1285)&amp;REPT(" ",20),20),REPT(" ",20))</f>
        <v/>
      </c>
      <c r="S1285" s="10">
        <f>IF(A1285="D",LEFT(UPPER(C1285)&amp;REPT(" ",10),10)," ")</f>
        <v/>
      </c>
      <c r="T1285" s="10">
        <f>IF(A1285="D",LEFT(UPPER(D1285)&amp;REPT(" ",2),2)," ")</f>
        <v/>
      </c>
      <c r="U1285" s="10">
        <f>IF(A1285="D",LEFT(UPPER(E1285)&amp;REPT(" ",15),15)," ")</f>
        <v/>
      </c>
      <c r="V1285" s="10">
        <f>REPT(" ",24)</f>
        <v/>
      </c>
      <c r="W1285" s="10">
        <f>IF(A1285="c",LEFT(UPPER(B1285)&amp;REPT(" ",20),20),REPT(" ",20))</f>
        <v/>
      </c>
      <c r="X1285" s="10">
        <f>IF(A1285="C",LEFT(UPPER(C1285)&amp;REPT(" ",10),10)," ")</f>
        <v/>
      </c>
      <c r="Y1285" s="10">
        <f>IF(A1285="C",LEFT(UPPER(D1285)&amp;REPT(" ",2),2)," ")</f>
        <v/>
      </c>
      <c r="Z1285" s="10">
        <f>IF(A1285="C",LEFT(UPPER(E1285)&amp;REPT(" ",15),15)," ")</f>
        <v/>
      </c>
      <c r="AA1285" s="10">
        <f>REPT(" ",8)</f>
        <v/>
      </c>
      <c r="AB1285" s="10">
        <f>REPT(" ",4)</f>
        <v/>
      </c>
      <c r="AC1285" s="10">
        <f>LEFT(UPPER(H1285)&amp;REPT(" ",250),250)</f>
        <v/>
      </c>
      <c r="AD1285" s="10">
        <f>TEXT($G$2,"dd/mm/aaaa")</f>
        <v/>
      </c>
      <c r="AE1285" s="10">
        <f>REPT(" ",10)</f>
        <v/>
      </c>
      <c r="AF1285" s="10">
        <f>REPT(" ",20)</f>
        <v/>
      </c>
      <c r="AG1285" s="54">
        <f>REPT(" ",18-LEN(FIXED(F1285,2,TRUE)))&amp;FIXED(F1285,2,TRUE)</f>
        <v/>
      </c>
      <c r="AH1285" s="10">
        <f>LEN(AC1285)+LEN(AG1285)</f>
        <v/>
      </c>
      <c r="AI1285" s="10">
        <f>LEN(L1285)</f>
        <v/>
      </c>
    </row>
    <row r="1286">
      <c r="J1286" s="12">
        <f>IF(F1286&lt;&gt;0,"LANÇAR","")</f>
        <v/>
      </c>
      <c r="L1286" s="13">
        <f>N1286&amp;O1286&amp;P1286&amp;Q1286&amp;R1286&amp;S1286&amp;T1286&amp;U1286&amp;V1286&amp;W1286&amp;X1286&amp;Y1286&amp;Z1286&amp;AA1286&amp;AB1286&amp;AC1286&amp;AD1286&amp;AE1286&amp;AF1286&amp;AG1286</f>
        <v/>
      </c>
      <c r="N1286" s="10">
        <f>TEXT($B$6,"00")</f>
        <v/>
      </c>
      <c r="O1286" s="10">
        <f>REPT(" ",8)</f>
        <v/>
      </c>
      <c r="P1286" s="10">
        <f>RIGHT($B$4,2)</f>
        <v/>
      </c>
      <c r="Q1286" s="10">
        <f>RIGHT($B$5,3)</f>
        <v/>
      </c>
      <c r="R1286" s="10">
        <f>IF(A1286="D",LEFT(UPPER(B1286)&amp;REPT(" ",20),20),REPT(" ",20))</f>
        <v/>
      </c>
      <c r="S1286" s="10">
        <f>IF(A1286="D",LEFT(UPPER(C1286)&amp;REPT(" ",10),10)," ")</f>
        <v/>
      </c>
      <c r="T1286" s="10">
        <f>IF(A1286="D",LEFT(UPPER(D1286)&amp;REPT(" ",2),2)," ")</f>
        <v/>
      </c>
      <c r="U1286" s="10">
        <f>IF(A1286="D",LEFT(UPPER(E1286)&amp;REPT(" ",15),15)," ")</f>
        <v/>
      </c>
      <c r="V1286" s="10">
        <f>REPT(" ",24)</f>
        <v/>
      </c>
      <c r="W1286" s="10">
        <f>IF(A1286="c",LEFT(UPPER(B1286)&amp;REPT(" ",20),20),REPT(" ",20))</f>
        <v/>
      </c>
      <c r="X1286" s="10">
        <f>IF(A1286="C",LEFT(UPPER(C1286)&amp;REPT(" ",10),10)," ")</f>
        <v/>
      </c>
      <c r="Y1286" s="10">
        <f>IF(A1286="C",LEFT(UPPER(D1286)&amp;REPT(" ",2),2)," ")</f>
        <v/>
      </c>
      <c r="Z1286" s="10">
        <f>IF(A1286="C",LEFT(UPPER(E1286)&amp;REPT(" ",15),15)," ")</f>
        <v/>
      </c>
      <c r="AA1286" s="10">
        <f>REPT(" ",8)</f>
        <v/>
      </c>
      <c r="AB1286" s="10">
        <f>REPT(" ",4)</f>
        <v/>
      </c>
      <c r="AC1286" s="10">
        <f>LEFT(UPPER(H1286)&amp;REPT(" ",250),250)</f>
        <v/>
      </c>
      <c r="AD1286" s="10">
        <f>TEXT($G$2,"dd/mm/aaaa")</f>
        <v/>
      </c>
      <c r="AE1286" s="10">
        <f>REPT(" ",10)</f>
        <v/>
      </c>
      <c r="AF1286" s="10">
        <f>REPT(" ",20)</f>
        <v/>
      </c>
      <c r="AG1286" s="54">
        <f>REPT(" ",18-LEN(FIXED(F1286,2,TRUE)))&amp;FIXED(F1286,2,TRUE)</f>
        <v/>
      </c>
      <c r="AH1286" s="10">
        <f>LEN(AC1286)+LEN(AG1286)</f>
        <v/>
      </c>
      <c r="AI1286" s="10">
        <f>LEN(L1286)</f>
        <v/>
      </c>
    </row>
    <row r="1287">
      <c r="J1287" s="12">
        <f>IF(F1287&lt;&gt;0,"LANÇAR","")</f>
        <v/>
      </c>
      <c r="L1287" s="13">
        <f>N1287&amp;O1287&amp;P1287&amp;Q1287&amp;R1287&amp;S1287&amp;T1287&amp;U1287&amp;V1287&amp;W1287&amp;X1287&amp;Y1287&amp;Z1287&amp;AA1287&amp;AB1287&amp;AC1287&amp;AD1287&amp;AE1287&amp;AF1287&amp;AG1287</f>
        <v/>
      </c>
      <c r="N1287" s="10">
        <f>TEXT($B$6,"00")</f>
        <v/>
      </c>
      <c r="O1287" s="10">
        <f>REPT(" ",8)</f>
        <v/>
      </c>
      <c r="P1287" s="10">
        <f>RIGHT($B$4,2)</f>
        <v/>
      </c>
      <c r="Q1287" s="10">
        <f>RIGHT($B$5,3)</f>
        <v/>
      </c>
      <c r="R1287" s="10">
        <f>IF(A1287="D",LEFT(UPPER(B1287)&amp;REPT(" ",20),20),REPT(" ",20))</f>
        <v/>
      </c>
      <c r="S1287" s="10">
        <f>IF(A1287="D",LEFT(UPPER(C1287)&amp;REPT(" ",10),10)," ")</f>
        <v/>
      </c>
      <c r="T1287" s="10">
        <f>IF(A1287="D",LEFT(UPPER(D1287)&amp;REPT(" ",2),2)," ")</f>
        <v/>
      </c>
      <c r="U1287" s="10">
        <f>IF(A1287="D",LEFT(UPPER(E1287)&amp;REPT(" ",15),15)," ")</f>
        <v/>
      </c>
      <c r="V1287" s="10">
        <f>REPT(" ",24)</f>
        <v/>
      </c>
      <c r="W1287" s="10">
        <f>IF(A1287="c",LEFT(UPPER(B1287)&amp;REPT(" ",20),20),REPT(" ",20))</f>
        <v/>
      </c>
      <c r="X1287" s="10">
        <f>IF(A1287="C",LEFT(UPPER(C1287)&amp;REPT(" ",10),10)," ")</f>
        <v/>
      </c>
      <c r="Y1287" s="10">
        <f>IF(A1287="C",LEFT(UPPER(D1287)&amp;REPT(" ",2),2)," ")</f>
        <v/>
      </c>
      <c r="Z1287" s="10">
        <f>IF(A1287="C",LEFT(UPPER(E1287)&amp;REPT(" ",15),15)," ")</f>
        <v/>
      </c>
      <c r="AA1287" s="10">
        <f>REPT(" ",8)</f>
        <v/>
      </c>
      <c r="AB1287" s="10">
        <f>REPT(" ",4)</f>
        <v/>
      </c>
      <c r="AC1287" s="10">
        <f>LEFT(UPPER(H1287)&amp;REPT(" ",250),250)</f>
        <v/>
      </c>
      <c r="AD1287" s="10">
        <f>TEXT($G$2,"dd/mm/aaaa")</f>
        <v/>
      </c>
      <c r="AE1287" s="10">
        <f>REPT(" ",10)</f>
        <v/>
      </c>
      <c r="AF1287" s="10">
        <f>REPT(" ",20)</f>
        <v/>
      </c>
      <c r="AG1287" s="54">
        <f>REPT(" ",18-LEN(FIXED(F1287,2,TRUE)))&amp;FIXED(F1287,2,TRUE)</f>
        <v/>
      </c>
      <c r="AH1287" s="10">
        <f>LEN(AC1287)+LEN(AG1287)</f>
        <v/>
      </c>
      <c r="AI1287" s="10">
        <f>LEN(L1287)</f>
        <v/>
      </c>
    </row>
    <row r="1288">
      <c r="J1288" s="12">
        <f>IF(F1288&lt;&gt;0,"LANÇAR","")</f>
        <v/>
      </c>
      <c r="L1288" s="13">
        <f>N1288&amp;O1288&amp;P1288&amp;Q1288&amp;R1288&amp;S1288&amp;T1288&amp;U1288&amp;V1288&amp;W1288&amp;X1288&amp;Y1288&amp;Z1288&amp;AA1288&amp;AB1288&amp;AC1288&amp;AD1288&amp;AE1288&amp;AF1288&amp;AG1288</f>
        <v/>
      </c>
      <c r="N1288" s="10">
        <f>TEXT($B$6,"00")</f>
        <v/>
      </c>
      <c r="O1288" s="10">
        <f>REPT(" ",8)</f>
        <v/>
      </c>
      <c r="P1288" s="10">
        <f>RIGHT($B$4,2)</f>
        <v/>
      </c>
      <c r="Q1288" s="10">
        <f>RIGHT($B$5,3)</f>
        <v/>
      </c>
      <c r="R1288" s="10">
        <f>IF(A1288="D",LEFT(UPPER(B1288)&amp;REPT(" ",20),20),REPT(" ",20))</f>
        <v/>
      </c>
      <c r="S1288" s="10">
        <f>IF(A1288="D",LEFT(UPPER(C1288)&amp;REPT(" ",10),10)," ")</f>
        <v/>
      </c>
      <c r="T1288" s="10">
        <f>IF(A1288="D",LEFT(UPPER(D1288)&amp;REPT(" ",2),2)," ")</f>
        <v/>
      </c>
      <c r="U1288" s="10">
        <f>IF(A1288="D",LEFT(UPPER(E1288)&amp;REPT(" ",15),15)," ")</f>
        <v/>
      </c>
      <c r="V1288" s="10">
        <f>REPT(" ",24)</f>
        <v/>
      </c>
      <c r="W1288" s="10">
        <f>IF(A1288="c",LEFT(UPPER(B1288)&amp;REPT(" ",20),20),REPT(" ",20))</f>
        <v/>
      </c>
      <c r="X1288" s="10">
        <f>IF(A1288="C",LEFT(UPPER(C1288)&amp;REPT(" ",10),10)," ")</f>
        <v/>
      </c>
      <c r="Y1288" s="10">
        <f>IF(A1288="C",LEFT(UPPER(D1288)&amp;REPT(" ",2),2)," ")</f>
        <v/>
      </c>
      <c r="Z1288" s="10">
        <f>IF(A1288="C",LEFT(UPPER(E1288)&amp;REPT(" ",15),15)," ")</f>
        <v/>
      </c>
      <c r="AA1288" s="10">
        <f>REPT(" ",8)</f>
        <v/>
      </c>
      <c r="AB1288" s="10">
        <f>REPT(" ",4)</f>
        <v/>
      </c>
      <c r="AC1288" s="10">
        <f>LEFT(UPPER(H1288)&amp;REPT(" ",250),250)</f>
        <v/>
      </c>
      <c r="AD1288" s="10">
        <f>TEXT($G$2,"dd/mm/aaaa")</f>
        <v/>
      </c>
      <c r="AE1288" s="10">
        <f>REPT(" ",10)</f>
        <v/>
      </c>
      <c r="AF1288" s="10">
        <f>REPT(" ",20)</f>
        <v/>
      </c>
      <c r="AG1288" s="54">
        <f>REPT(" ",18-LEN(FIXED(F1288,2,TRUE)))&amp;FIXED(F1288,2,TRUE)</f>
        <v/>
      </c>
      <c r="AH1288" s="10">
        <f>LEN(AC1288)+LEN(AG1288)</f>
        <v/>
      </c>
      <c r="AI1288" s="10">
        <f>LEN(L1288)</f>
        <v/>
      </c>
    </row>
    <row r="1289">
      <c r="J1289" s="12">
        <f>IF(F1289&lt;&gt;0,"LANÇAR","")</f>
        <v/>
      </c>
      <c r="L1289" s="13">
        <f>N1289&amp;O1289&amp;P1289&amp;Q1289&amp;R1289&amp;S1289&amp;T1289&amp;U1289&amp;V1289&amp;W1289&amp;X1289&amp;Y1289&amp;Z1289&amp;AA1289&amp;AB1289&amp;AC1289&amp;AD1289&amp;AE1289&amp;AF1289&amp;AG1289</f>
        <v/>
      </c>
      <c r="N1289" s="10">
        <f>TEXT($B$6,"00")</f>
        <v/>
      </c>
      <c r="O1289" s="10">
        <f>REPT(" ",8)</f>
        <v/>
      </c>
      <c r="P1289" s="10">
        <f>RIGHT($B$4,2)</f>
        <v/>
      </c>
      <c r="Q1289" s="10">
        <f>RIGHT($B$5,3)</f>
        <v/>
      </c>
      <c r="R1289" s="10">
        <f>IF(A1289="D",LEFT(UPPER(B1289)&amp;REPT(" ",20),20),REPT(" ",20))</f>
        <v/>
      </c>
      <c r="S1289" s="10">
        <f>IF(A1289="D",LEFT(UPPER(C1289)&amp;REPT(" ",10),10)," ")</f>
        <v/>
      </c>
      <c r="T1289" s="10">
        <f>IF(A1289="D",LEFT(UPPER(D1289)&amp;REPT(" ",2),2)," ")</f>
        <v/>
      </c>
      <c r="U1289" s="10">
        <f>IF(A1289="D",LEFT(UPPER(E1289)&amp;REPT(" ",15),15)," ")</f>
        <v/>
      </c>
      <c r="V1289" s="10">
        <f>REPT(" ",24)</f>
        <v/>
      </c>
      <c r="W1289" s="10">
        <f>IF(A1289="c",LEFT(UPPER(B1289)&amp;REPT(" ",20),20),REPT(" ",20))</f>
        <v/>
      </c>
      <c r="X1289" s="10">
        <f>IF(A1289="C",LEFT(UPPER(C1289)&amp;REPT(" ",10),10)," ")</f>
        <v/>
      </c>
      <c r="Y1289" s="10">
        <f>IF(A1289="C",LEFT(UPPER(D1289)&amp;REPT(" ",2),2)," ")</f>
        <v/>
      </c>
      <c r="Z1289" s="10">
        <f>IF(A1289="C",LEFT(UPPER(E1289)&amp;REPT(" ",15),15)," ")</f>
        <v/>
      </c>
      <c r="AA1289" s="10">
        <f>REPT(" ",8)</f>
        <v/>
      </c>
      <c r="AB1289" s="10">
        <f>REPT(" ",4)</f>
        <v/>
      </c>
      <c r="AC1289" s="10">
        <f>LEFT(UPPER(H1289)&amp;REPT(" ",250),250)</f>
        <v/>
      </c>
      <c r="AD1289" s="10">
        <f>TEXT($G$2,"dd/mm/aaaa")</f>
        <v/>
      </c>
      <c r="AE1289" s="10">
        <f>REPT(" ",10)</f>
        <v/>
      </c>
      <c r="AF1289" s="10">
        <f>REPT(" ",20)</f>
        <v/>
      </c>
      <c r="AG1289" s="54">
        <f>REPT(" ",18-LEN(FIXED(F1289,2,TRUE)))&amp;FIXED(F1289,2,TRUE)</f>
        <v/>
      </c>
      <c r="AH1289" s="10">
        <f>LEN(AC1289)+LEN(AG1289)</f>
        <v/>
      </c>
      <c r="AI1289" s="10">
        <f>LEN(L1289)</f>
        <v/>
      </c>
    </row>
    <row r="1290">
      <c r="J1290" s="12">
        <f>IF(F1290&lt;&gt;0,"LANÇAR","")</f>
        <v/>
      </c>
      <c r="L1290" s="13">
        <f>N1290&amp;O1290&amp;P1290&amp;Q1290&amp;R1290&amp;S1290&amp;T1290&amp;U1290&amp;V1290&amp;W1290&amp;X1290&amp;Y1290&amp;Z1290&amp;AA1290&amp;AB1290&amp;AC1290&amp;AD1290&amp;AE1290&amp;AF1290&amp;AG1290</f>
        <v/>
      </c>
      <c r="N1290" s="10">
        <f>TEXT($B$6,"00")</f>
        <v/>
      </c>
      <c r="O1290" s="10">
        <f>REPT(" ",8)</f>
        <v/>
      </c>
      <c r="P1290" s="10">
        <f>RIGHT($B$4,2)</f>
        <v/>
      </c>
      <c r="Q1290" s="10">
        <f>RIGHT($B$5,3)</f>
        <v/>
      </c>
      <c r="R1290" s="10">
        <f>IF(A1290="D",LEFT(UPPER(B1290)&amp;REPT(" ",20),20),REPT(" ",20))</f>
        <v/>
      </c>
      <c r="S1290" s="10">
        <f>IF(A1290="D",LEFT(UPPER(C1290)&amp;REPT(" ",10),10)," ")</f>
        <v/>
      </c>
      <c r="T1290" s="10">
        <f>IF(A1290="D",LEFT(UPPER(D1290)&amp;REPT(" ",2),2)," ")</f>
        <v/>
      </c>
      <c r="U1290" s="10">
        <f>IF(A1290="D",LEFT(UPPER(E1290)&amp;REPT(" ",15),15)," ")</f>
        <v/>
      </c>
      <c r="V1290" s="10">
        <f>REPT(" ",24)</f>
        <v/>
      </c>
      <c r="W1290" s="10">
        <f>IF(A1290="c",LEFT(UPPER(B1290)&amp;REPT(" ",20),20),REPT(" ",20))</f>
        <v/>
      </c>
      <c r="X1290" s="10">
        <f>IF(A1290="C",LEFT(UPPER(C1290)&amp;REPT(" ",10),10)," ")</f>
        <v/>
      </c>
      <c r="Y1290" s="10">
        <f>IF(A1290="C",LEFT(UPPER(D1290)&amp;REPT(" ",2),2)," ")</f>
        <v/>
      </c>
      <c r="Z1290" s="10">
        <f>IF(A1290="C",LEFT(UPPER(E1290)&amp;REPT(" ",15),15)," ")</f>
        <v/>
      </c>
      <c r="AA1290" s="10">
        <f>REPT(" ",8)</f>
        <v/>
      </c>
      <c r="AB1290" s="10">
        <f>REPT(" ",4)</f>
        <v/>
      </c>
      <c r="AC1290" s="10">
        <f>LEFT(UPPER(H1290)&amp;REPT(" ",250),250)</f>
        <v/>
      </c>
      <c r="AD1290" s="10">
        <f>TEXT($G$2,"dd/mm/aaaa")</f>
        <v/>
      </c>
      <c r="AE1290" s="10">
        <f>REPT(" ",10)</f>
        <v/>
      </c>
      <c r="AF1290" s="10">
        <f>REPT(" ",20)</f>
        <v/>
      </c>
      <c r="AG1290" s="54">
        <f>REPT(" ",18-LEN(FIXED(F1290,2,TRUE)))&amp;FIXED(F1290,2,TRUE)</f>
        <v/>
      </c>
      <c r="AH1290" s="10">
        <f>LEN(AC1290)+LEN(AG1290)</f>
        <v/>
      </c>
      <c r="AI1290" s="10">
        <f>LEN(L1290)</f>
        <v/>
      </c>
    </row>
    <row r="1291">
      <c r="J1291" s="12">
        <f>IF(F1291&lt;&gt;0,"LANÇAR","")</f>
        <v/>
      </c>
      <c r="L1291" s="13">
        <f>N1291&amp;O1291&amp;P1291&amp;Q1291&amp;R1291&amp;S1291&amp;T1291&amp;U1291&amp;V1291&amp;W1291&amp;X1291&amp;Y1291&amp;Z1291&amp;AA1291&amp;AB1291&amp;AC1291&amp;AD1291&amp;AE1291&amp;AF1291&amp;AG1291</f>
        <v/>
      </c>
      <c r="N1291" s="10">
        <f>TEXT($B$6,"00")</f>
        <v/>
      </c>
      <c r="O1291" s="10">
        <f>REPT(" ",8)</f>
        <v/>
      </c>
      <c r="P1291" s="10">
        <f>RIGHT($B$4,2)</f>
        <v/>
      </c>
      <c r="Q1291" s="10">
        <f>RIGHT($B$5,3)</f>
        <v/>
      </c>
      <c r="R1291" s="10">
        <f>IF(A1291="D",LEFT(UPPER(B1291)&amp;REPT(" ",20),20),REPT(" ",20))</f>
        <v/>
      </c>
      <c r="S1291" s="10">
        <f>IF(A1291="D",LEFT(UPPER(C1291)&amp;REPT(" ",10),10)," ")</f>
        <v/>
      </c>
      <c r="T1291" s="10">
        <f>IF(A1291="D",LEFT(UPPER(D1291)&amp;REPT(" ",2),2)," ")</f>
        <v/>
      </c>
      <c r="U1291" s="10">
        <f>IF(A1291="D",LEFT(UPPER(E1291)&amp;REPT(" ",15),15)," ")</f>
        <v/>
      </c>
      <c r="V1291" s="10">
        <f>REPT(" ",24)</f>
        <v/>
      </c>
      <c r="W1291" s="10">
        <f>IF(A1291="c",LEFT(UPPER(B1291)&amp;REPT(" ",20),20),REPT(" ",20))</f>
        <v/>
      </c>
      <c r="X1291" s="10">
        <f>IF(A1291="C",LEFT(UPPER(C1291)&amp;REPT(" ",10),10)," ")</f>
        <v/>
      </c>
      <c r="Y1291" s="10">
        <f>IF(A1291="C",LEFT(UPPER(D1291)&amp;REPT(" ",2),2)," ")</f>
        <v/>
      </c>
      <c r="Z1291" s="10">
        <f>IF(A1291="C",LEFT(UPPER(E1291)&amp;REPT(" ",15),15)," ")</f>
        <v/>
      </c>
      <c r="AA1291" s="10">
        <f>REPT(" ",8)</f>
        <v/>
      </c>
      <c r="AB1291" s="10">
        <f>REPT(" ",4)</f>
        <v/>
      </c>
      <c r="AC1291" s="10">
        <f>LEFT(UPPER(H1291)&amp;REPT(" ",250),250)</f>
        <v/>
      </c>
      <c r="AD1291" s="10">
        <f>TEXT($G$2,"dd/mm/aaaa")</f>
        <v/>
      </c>
      <c r="AE1291" s="10">
        <f>REPT(" ",10)</f>
        <v/>
      </c>
      <c r="AF1291" s="10">
        <f>REPT(" ",20)</f>
        <v/>
      </c>
      <c r="AG1291" s="54">
        <f>REPT(" ",18-LEN(FIXED(F1291,2,TRUE)))&amp;FIXED(F1291,2,TRUE)</f>
        <v/>
      </c>
      <c r="AH1291" s="10">
        <f>LEN(AC1291)+LEN(AG1291)</f>
        <v/>
      </c>
      <c r="AI1291" s="10">
        <f>LEN(L1291)</f>
        <v/>
      </c>
    </row>
    <row r="1292">
      <c r="J1292" s="12">
        <f>IF(F1292&lt;&gt;0,"LANÇAR","")</f>
        <v/>
      </c>
      <c r="L1292" s="13">
        <f>N1292&amp;O1292&amp;P1292&amp;Q1292&amp;R1292&amp;S1292&amp;T1292&amp;U1292&amp;V1292&amp;W1292&amp;X1292&amp;Y1292&amp;Z1292&amp;AA1292&amp;AB1292&amp;AC1292&amp;AD1292&amp;AE1292&amp;AF1292&amp;AG1292</f>
        <v/>
      </c>
      <c r="N1292" s="10">
        <f>TEXT($B$6,"00")</f>
        <v/>
      </c>
      <c r="O1292" s="10">
        <f>REPT(" ",8)</f>
        <v/>
      </c>
      <c r="P1292" s="10">
        <f>RIGHT($B$4,2)</f>
        <v/>
      </c>
      <c r="Q1292" s="10">
        <f>RIGHT($B$5,3)</f>
        <v/>
      </c>
      <c r="R1292" s="10">
        <f>IF(A1292="D",LEFT(UPPER(B1292)&amp;REPT(" ",20),20),REPT(" ",20))</f>
        <v/>
      </c>
      <c r="S1292" s="10">
        <f>IF(A1292="D",LEFT(UPPER(C1292)&amp;REPT(" ",10),10)," ")</f>
        <v/>
      </c>
      <c r="T1292" s="10">
        <f>IF(A1292="D",LEFT(UPPER(D1292)&amp;REPT(" ",2),2)," ")</f>
        <v/>
      </c>
      <c r="U1292" s="10">
        <f>IF(A1292="D",LEFT(UPPER(E1292)&amp;REPT(" ",15),15)," ")</f>
        <v/>
      </c>
      <c r="V1292" s="10">
        <f>REPT(" ",24)</f>
        <v/>
      </c>
      <c r="W1292" s="10">
        <f>IF(A1292="c",LEFT(UPPER(B1292)&amp;REPT(" ",20),20),REPT(" ",20))</f>
        <v/>
      </c>
      <c r="X1292" s="10">
        <f>IF(A1292="C",LEFT(UPPER(C1292)&amp;REPT(" ",10),10)," ")</f>
        <v/>
      </c>
      <c r="Y1292" s="10">
        <f>IF(A1292="C",LEFT(UPPER(D1292)&amp;REPT(" ",2),2)," ")</f>
        <v/>
      </c>
      <c r="Z1292" s="10">
        <f>IF(A1292="C",LEFT(UPPER(E1292)&amp;REPT(" ",15),15)," ")</f>
        <v/>
      </c>
      <c r="AA1292" s="10">
        <f>REPT(" ",8)</f>
        <v/>
      </c>
      <c r="AB1292" s="10">
        <f>REPT(" ",4)</f>
        <v/>
      </c>
      <c r="AC1292" s="10">
        <f>LEFT(UPPER(H1292)&amp;REPT(" ",250),250)</f>
        <v/>
      </c>
      <c r="AD1292" s="10">
        <f>TEXT($G$2,"dd/mm/aaaa")</f>
        <v/>
      </c>
      <c r="AE1292" s="10">
        <f>REPT(" ",10)</f>
        <v/>
      </c>
      <c r="AF1292" s="10">
        <f>REPT(" ",20)</f>
        <v/>
      </c>
      <c r="AG1292" s="54">
        <f>REPT(" ",18-LEN(FIXED(F1292,2,TRUE)))&amp;FIXED(F1292,2,TRUE)</f>
        <v/>
      </c>
      <c r="AH1292" s="10">
        <f>LEN(AC1292)+LEN(AG1292)</f>
        <v/>
      </c>
      <c r="AI1292" s="10">
        <f>LEN(L1292)</f>
        <v/>
      </c>
    </row>
    <row r="1293">
      <c r="J1293" s="12">
        <f>IF(F1293&lt;&gt;0,"LANÇAR","")</f>
        <v/>
      </c>
      <c r="L1293" s="13">
        <f>N1293&amp;O1293&amp;P1293&amp;Q1293&amp;R1293&amp;S1293&amp;T1293&amp;U1293&amp;V1293&amp;W1293&amp;X1293&amp;Y1293&amp;Z1293&amp;AA1293&amp;AB1293&amp;AC1293&amp;AD1293&amp;AE1293&amp;AF1293&amp;AG1293</f>
        <v/>
      </c>
      <c r="N1293" s="10">
        <f>TEXT($B$6,"00")</f>
        <v/>
      </c>
      <c r="O1293" s="10">
        <f>REPT(" ",8)</f>
        <v/>
      </c>
      <c r="P1293" s="10">
        <f>RIGHT($B$4,2)</f>
        <v/>
      </c>
      <c r="Q1293" s="10">
        <f>RIGHT($B$5,3)</f>
        <v/>
      </c>
      <c r="R1293" s="10">
        <f>IF(A1293="D",LEFT(UPPER(B1293)&amp;REPT(" ",20),20),REPT(" ",20))</f>
        <v/>
      </c>
      <c r="S1293" s="10">
        <f>IF(A1293="D",LEFT(UPPER(C1293)&amp;REPT(" ",10),10)," ")</f>
        <v/>
      </c>
      <c r="T1293" s="10">
        <f>IF(A1293="D",LEFT(UPPER(D1293)&amp;REPT(" ",2),2)," ")</f>
        <v/>
      </c>
      <c r="U1293" s="10">
        <f>IF(A1293="D",LEFT(UPPER(E1293)&amp;REPT(" ",15),15)," ")</f>
        <v/>
      </c>
      <c r="V1293" s="10">
        <f>REPT(" ",24)</f>
        <v/>
      </c>
      <c r="W1293" s="10">
        <f>IF(A1293="c",LEFT(UPPER(B1293)&amp;REPT(" ",20),20),REPT(" ",20))</f>
        <v/>
      </c>
      <c r="X1293" s="10">
        <f>IF(A1293="C",LEFT(UPPER(C1293)&amp;REPT(" ",10),10)," ")</f>
        <v/>
      </c>
      <c r="Y1293" s="10">
        <f>IF(A1293="C",LEFT(UPPER(D1293)&amp;REPT(" ",2),2)," ")</f>
        <v/>
      </c>
      <c r="Z1293" s="10">
        <f>IF(A1293="C",LEFT(UPPER(E1293)&amp;REPT(" ",15),15)," ")</f>
        <v/>
      </c>
      <c r="AA1293" s="10">
        <f>REPT(" ",8)</f>
        <v/>
      </c>
      <c r="AB1293" s="10">
        <f>REPT(" ",4)</f>
        <v/>
      </c>
      <c r="AC1293" s="10">
        <f>LEFT(UPPER(H1293)&amp;REPT(" ",250),250)</f>
        <v/>
      </c>
      <c r="AD1293" s="10">
        <f>TEXT($G$2,"dd/mm/aaaa")</f>
        <v/>
      </c>
      <c r="AE1293" s="10">
        <f>REPT(" ",10)</f>
        <v/>
      </c>
      <c r="AF1293" s="10">
        <f>REPT(" ",20)</f>
        <v/>
      </c>
      <c r="AG1293" s="54">
        <f>REPT(" ",18-LEN(FIXED(F1293,2,TRUE)))&amp;FIXED(F1293,2,TRUE)</f>
        <v/>
      </c>
      <c r="AH1293" s="10">
        <f>LEN(AC1293)+LEN(AG1293)</f>
        <v/>
      </c>
      <c r="AI1293" s="10">
        <f>LEN(L1293)</f>
        <v/>
      </c>
    </row>
    <row r="1294">
      <c r="J1294" s="12">
        <f>IF(F1294&lt;&gt;0,"LANÇAR","")</f>
        <v/>
      </c>
      <c r="L1294" s="13">
        <f>N1294&amp;O1294&amp;P1294&amp;Q1294&amp;R1294&amp;S1294&amp;T1294&amp;U1294&amp;V1294&amp;W1294&amp;X1294&amp;Y1294&amp;Z1294&amp;AA1294&amp;AB1294&amp;AC1294&amp;AD1294&amp;AE1294&amp;AF1294&amp;AG1294</f>
        <v/>
      </c>
      <c r="N1294" s="10">
        <f>TEXT($B$6,"00")</f>
        <v/>
      </c>
      <c r="O1294" s="10">
        <f>REPT(" ",8)</f>
        <v/>
      </c>
      <c r="P1294" s="10">
        <f>RIGHT($B$4,2)</f>
        <v/>
      </c>
      <c r="Q1294" s="10">
        <f>RIGHT($B$5,3)</f>
        <v/>
      </c>
      <c r="R1294" s="10">
        <f>IF(A1294="D",LEFT(UPPER(B1294)&amp;REPT(" ",20),20),REPT(" ",20))</f>
        <v/>
      </c>
      <c r="S1294" s="10">
        <f>IF(A1294="D",LEFT(UPPER(C1294)&amp;REPT(" ",10),10)," ")</f>
        <v/>
      </c>
      <c r="T1294" s="10">
        <f>IF(A1294="D",LEFT(UPPER(D1294)&amp;REPT(" ",2),2)," ")</f>
        <v/>
      </c>
      <c r="U1294" s="10">
        <f>IF(A1294="D",LEFT(UPPER(E1294)&amp;REPT(" ",15),15)," ")</f>
        <v/>
      </c>
      <c r="V1294" s="10">
        <f>REPT(" ",24)</f>
        <v/>
      </c>
      <c r="W1294" s="10">
        <f>IF(A1294="c",LEFT(UPPER(B1294)&amp;REPT(" ",20),20),REPT(" ",20))</f>
        <v/>
      </c>
      <c r="X1294" s="10">
        <f>IF(A1294="C",LEFT(UPPER(C1294)&amp;REPT(" ",10),10)," ")</f>
        <v/>
      </c>
      <c r="Y1294" s="10">
        <f>IF(A1294="C",LEFT(UPPER(D1294)&amp;REPT(" ",2),2)," ")</f>
        <v/>
      </c>
      <c r="Z1294" s="10">
        <f>IF(A1294="C",LEFT(UPPER(E1294)&amp;REPT(" ",15),15)," ")</f>
        <v/>
      </c>
      <c r="AA1294" s="10">
        <f>REPT(" ",8)</f>
        <v/>
      </c>
      <c r="AB1294" s="10">
        <f>REPT(" ",4)</f>
        <v/>
      </c>
      <c r="AC1294" s="10">
        <f>LEFT(UPPER(H1294)&amp;REPT(" ",250),250)</f>
        <v/>
      </c>
      <c r="AD1294" s="10">
        <f>TEXT($G$2,"dd/mm/aaaa")</f>
        <v/>
      </c>
      <c r="AE1294" s="10">
        <f>REPT(" ",10)</f>
        <v/>
      </c>
      <c r="AF1294" s="10">
        <f>REPT(" ",20)</f>
        <v/>
      </c>
      <c r="AG1294" s="54">
        <f>REPT(" ",18-LEN(FIXED(F1294,2,TRUE)))&amp;FIXED(F1294,2,TRUE)</f>
        <v/>
      </c>
      <c r="AH1294" s="10">
        <f>LEN(AC1294)+LEN(AG1294)</f>
        <v/>
      </c>
      <c r="AI1294" s="10">
        <f>LEN(L1294)</f>
        <v/>
      </c>
    </row>
    <row r="1295">
      <c r="J1295" s="12">
        <f>IF(F1295&lt;&gt;0,"LANÇAR","")</f>
        <v/>
      </c>
      <c r="L1295" s="13">
        <f>N1295&amp;O1295&amp;P1295&amp;Q1295&amp;R1295&amp;S1295&amp;T1295&amp;U1295&amp;V1295&amp;W1295&amp;X1295&amp;Y1295&amp;Z1295&amp;AA1295&amp;AB1295&amp;AC1295&amp;AD1295&amp;AE1295&amp;AF1295&amp;AG1295</f>
        <v/>
      </c>
      <c r="N1295" s="10">
        <f>TEXT($B$6,"00")</f>
        <v/>
      </c>
      <c r="O1295" s="10">
        <f>REPT(" ",8)</f>
        <v/>
      </c>
      <c r="P1295" s="10">
        <f>RIGHT($B$4,2)</f>
        <v/>
      </c>
      <c r="Q1295" s="10">
        <f>RIGHT($B$5,3)</f>
        <v/>
      </c>
      <c r="R1295" s="10">
        <f>IF(A1295="D",LEFT(UPPER(B1295)&amp;REPT(" ",20),20),REPT(" ",20))</f>
        <v/>
      </c>
      <c r="S1295" s="10">
        <f>IF(A1295="D",LEFT(UPPER(C1295)&amp;REPT(" ",10),10)," ")</f>
        <v/>
      </c>
      <c r="T1295" s="10">
        <f>IF(A1295="D",LEFT(UPPER(D1295)&amp;REPT(" ",2),2)," ")</f>
        <v/>
      </c>
      <c r="U1295" s="10">
        <f>IF(A1295="D",LEFT(UPPER(E1295)&amp;REPT(" ",15),15)," ")</f>
        <v/>
      </c>
      <c r="V1295" s="10">
        <f>REPT(" ",24)</f>
        <v/>
      </c>
      <c r="W1295" s="10">
        <f>IF(A1295="c",LEFT(UPPER(B1295)&amp;REPT(" ",20),20),REPT(" ",20))</f>
        <v/>
      </c>
      <c r="X1295" s="10">
        <f>IF(A1295="C",LEFT(UPPER(C1295)&amp;REPT(" ",10),10)," ")</f>
        <v/>
      </c>
      <c r="Y1295" s="10">
        <f>IF(A1295="C",LEFT(UPPER(D1295)&amp;REPT(" ",2),2)," ")</f>
        <v/>
      </c>
      <c r="Z1295" s="10">
        <f>IF(A1295="C",LEFT(UPPER(E1295)&amp;REPT(" ",15),15)," ")</f>
        <v/>
      </c>
      <c r="AA1295" s="10">
        <f>REPT(" ",8)</f>
        <v/>
      </c>
      <c r="AB1295" s="10">
        <f>REPT(" ",4)</f>
        <v/>
      </c>
      <c r="AC1295" s="10">
        <f>LEFT(UPPER(H1295)&amp;REPT(" ",250),250)</f>
        <v/>
      </c>
      <c r="AD1295" s="10">
        <f>TEXT($G$2,"dd/mm/aaaa")</f>
        <v/>
      </c>
      <c r="AE1295" s="10">
        <f>REPT(" ",10)</f>
        <v/>
      </c>
      <c r="AF1295" s="10">
        <f>REPT(" ",20)</f>
        <v/>
      </c>
      <c r="AG1295" s="54">
        <f>REPT(" ",18-LEN(FIXED(F1295,2,TRUE)))&amp;FIXED(F1295,2,TRUE)</f>
        <v/>
      </c>
      <c r="AH1295" s="10">
        <f>LEN(AC1295)+LEN(AG1295)</f>
        <v/>
      </c>
      <c r="AI1295" s="10">
        <f>LEN(L1295)</f>
        <v/>
      </c>
    </row>
    <row r="1296">
      <c r="J1296" s="12">
        <f>IF(F1296&lt;&gt;0,"LANÇAR","")</f>
        <v/>
      </c>
      <c r="L1296" s="13">
        <f>N1296&amp;O1296&amp;P1296&amp;Q1296&amp;R1296&amp;S1296&amp;T1296&amp;U1296&amp;V1296&amp;W1296&amp;X1296&amp;Y1296&amp;Z1296&amp;AA1296&amp;AB1296&amp;AC1296&amp;AD1296&amp;AE1296&amp;AF1296&amp;AG1296</f>
        <v/>
      </c>
      <c r="N1296" s="10">
        <f>TEXT($B$6,"00")</f>
        <v/>
      </c>
      <c r="O1296" s="10">
        <f>REPT(" ",8)</f>
        <v/>
      </c>
      <c r="P1296" s="10">
        <f>RIGHT($B$4,2)</f>
        <v/>
      </c>
      <c r="Q1296" s="10">
        <f>RIGHT($B$5,3)</f>
        <v/>
      </c>
      <c r="R1296" s="10">
        <f>IF(A1296="D",LEFT(UPPER(B1296)&amp;REPT(" ",20),20),REPT(" ",20))</f>
        <v/>
      </c>
      <c r="S1296" s="10">
        <f>IF(A1296="D",LEFT(UPPER(C1296)&amp;REPT(" ",10),10)," ")</f>
        <v/>
      </c>
      <c r="T1296" s="10">
        <f>IF(A1296="D",LEFT(UPPER(D1296)&amp;REPT(" ",2),2)," ")</f>
        <v/>
      </c>
      <c r="U1296" s="10">
        <f>IF(A1296="D",LEFT(UPPER(E1296)&amp;REPT(" ",15),15)," ")</f>
        <v/>
      </c>
      <c r="V1296" s="10">
        <f>REPT(" ",24)</f>
        <v/>
      </c>
      <c r="W1296" s="10">
        <f>IF(A1296="c",LEFT(UPPER(B1296)&amp;REPT(" ",20),20),REPT(" ",20))</f>
        <v/>
      </c>
      <c r="X1296" s="10">
        <f>IF(A1296="C",LEFT(UPPER(C1296)&amp;REPT(" ",10),10)," ")</f>
        <v/>
      </c>
      <c r="Y1296" s="10">
        <f>IF(A1296="C",LEFT(UPPER(D1296)&amp;REPT(" ",2),2)," ")</f>
        <v/>
      </c>
      <c r="Z1296" s="10">
        <f>IF(A1296="C",LEFT(UPPER(E1296)&amp;REPT(" ",15),15)," ")</f>
        <v/>
      </c>
      <c r="AA1296" s="10">
        <f>REPT(" ",8)</f>
        <v/>
      </c>
      <c r="AB1296" s="10">
        <f>REPT(" ",4)</f>
        <v/>
      </c>
      <c r="AC1296" s="10">
        <f>LEFT(UPPER(H1296)&amp;REPT(" ",250),250)</f>
        <v/>
      </c>
      <c r="AD1296" s="10">
        <f>TEXT($G$2,"dd/mm/aaaa")</f>
        <v/>
      </c>
      <c r="AE1296" s="10">
        <f>REPT(" ",10)</f>
        <v/>
      </c>
      <c r="AF1296" s="10">
        <f>REPT(" ",20)</f>
        <v/>
      </c>
      <c r="AG1296" s="54">
        <f>REPT(" ",18-LEN(FIXED(F1296,2,TRUE)))&amp;FIXED(F1296,2,TRUE)</f>
        <v/>
      </c>
      <c r="AH1296" s="10">
        <f>LEN(AC1296)+LEN(AG1296)</f>
        <v/>
      </c>
      <c r="AI1296" s="10">
        <f>LEN(L1296)</f>
        <v/>
      </c>
    </row>
    <row r="1297">
      <c r="J1297" s="12">
        <f>IF(F1297&lt;&gt;0,"LANÇAR","")</f>
        <v/>
      </c>
      <c r="L1297" s="13">
        <f>N1297&amp;O1297&amp;P1297&amp;Q1297&amp;R1297&amp;S1297&amp;T1297&amp;U1297&amp;V1297&amp;W1297&amp;X1297&amp;Y1297&amp;Z1297&amp;AA1297&amp;AB1297&amp;AC1297&amp;AD1297&amp;AE1297&amp;AF1297&amp;AG1297</f>
        <v/>
      </c>
      <c r="N1297" s="10">
        <f>TEXT($B$6,"00")</f>
        <v/>
      </c>
      <c r="O1297" s="10">
        <f>REPT(" ",8)</f>
        <v/>
      </c>
      <c r="P1297" s="10">
        <f>RIGHT($B$4,2)</f>
        <v/>
      </c>
      <c r="Q1297" s="10">
        <f>RIGHT($B$5,3)</f>
        <v/>
      </c>
      <c r="R1297" s="10">
        <f>IF(A1297="D",LEFT(UPPER(B1297)&amp;REPT(" ",20),20),REPT(" ",20))</f>
        <v/>
      </c>
      <c r="S1297" s="10">
        <f>IF(A1297="D",LEFT(UPPER(C1297)&amp;REPT(" ",10),10)," ")</f>
        <v/>
      </c>
      <c r="T1297" s="10">
        <f>IF(A1297="D",LEFT(UPPER(D1297)&amp;REPT(" ",2),2)," ")</f>
        <v/>
      </c>
      <c r="U1297" s="10">
        <f>IF(A1297="D",LEFT(UPPER(E1297)&amp;REPT(" ",15),15)," ")</f>
        <v/>
      </c>
      <c r="V1297" s="10">
        <f>REPT(" ",24)</f>
        <v/>
      </c>
      <c r="W1297" s="10">
        <f>IF(A1297="c",LEFT(UPPER(B1297)&amp;REPT(" ",20),20),REPT(" ",20))</f>
        <v/>
      </c>
      <c r="X1297" s="10">
        <f>IF(A1297="C",LEFT(UPPER(C1297)&amp;REPT(" ",10),10)," ")</f>
        <v/>
      </c>
      <c r="Y1297" s="10">
        <f>IF(A1297="C",LEFT(UPPER(D1297)&amp;REPT(" ",2),2)," ")</f>
        <v/>
      </c>
      <c r="Z1297" s="10">
        <f>IF(A1297="C",LEFT(UPPER(E1297)&amp;REPT(" ",15),15)," ")</f>
        <v/>
      </c>
      <c r="AA1297" s="10">
        <f>REPT(" ",8)</f>
        <v/>
      </c>
      <c r="AB1297" s="10">
        <f>REPT(" ",4)</f>
        <v/>
      </c>
      <c r="AC1297" s="10">
        <f>LEFT(UPPER(H1297)&amp;REPT(" ",250),250)</f>
        <v/>
      </c>
      <c r="AD1297" s="10">
        <f>TEXT($G$2,"dd/mm/aaaa")</f>
        <v/>
      </c>
      <c r="AE1297" s="10">
        <f>REPT(" ",10)</f>
        <v/>
      </c>
      <c r="AF1297" s="10">
        <f>REPT(" ",20)</f>
        <v/>
      </c>
      <c r="AG1297" s="54">
        <f>REPT(" ",18-LEN(FIXED(F1297,2,TRUE)))&amp;FIXED(F1297,2,TRUE)</f>
        <v/>
      </c>
      <c r="AH1297" s="10">
        <f>LEN(AC1297)+LEN(AG1297)</f>
        <v/>
      </c>
      <c r="AI1297" s="10">
        <f>LEN(L1297)</f>
        <v/>
      </c>
    </row>
    <row r="1298">
      <c r="J1298" s="12">
        <f>IF(F1298&lt;&gt;0,"LANÇAR","")</f>
        <v/>
      </c>
      <c r="L1298" s="13">
        <f>N1298&amp;O1298&amp;P1298&amp;Q1298&amp;R1298&amp;S1298&amp;T1298&amp;U1298&amp;V1298&amp;W1298&amp;X1298&amp;Y1298&amp;Z1298&amp;AA1298&amp;AB1298&amp;AC1298&amp;AD1298&amp;AE1298&amp;AF1298&amp;AG1298</f>
        <v/>
      </c>
      <c r="N1298" s="10">
        <f>TEXT($B$6,"00")</f>
        <v/>
      </c>
      <c r="O1298" s="10">
        <f>REPT(" ",8)</f>
        <v/>
      </c>
      <c r="P1298" s="10">
        <f>RIGHT($B$4,2)</f>
        <v/>
      </c>
      <c r="Q1298" s="10">
        <f>RIGHT($B$5,3)</f>
        <v/>
      </c>
      <c r="R1298" s="10">
        <f>IF(A1298="D",LEFT(UPPER(B1298)&amp;REPT(" ",20),20),REPT(" ",20))</f>
        <v/>
      </c>
      <c r="S1298" s="10">
        <f>IF(A1298="D",LEFT(UPPER(C1298)&amp;REPT(" ",10),10)," ")</f>
        <v/>
      </c>
      <c r="T1298" s="10">
        <f>IF(A1298="D",LEFT(UPPER(D1298)&amp;REPT(" ",2),2)," ")</f>
        <v/>
      </c>
      <c r="U1298" s="10">
        <f>IF(A1298="D",LEFT(UPPER(E1298)&amp;REPT(" ",15),15)," ")</f>
        <v/>
      </c>
      <c r="V1298" s="10">
        <f>REPT(" ",24)</f>
        <v/>
      </c>
      <c r="W1298" s="10">
        <f>IF(A1298="c",LEFT(UPPER(B1298)&amp;REPT(" ",20),20),REPT(" ",20))</f>
        <v/>
      </c>
      <c r="X1298" s="10">
        <f>IF(A1298="C",LEFT(UPPER(C1298)&amp;REPT(" ",10),10)," ")</f>
        <v/>
      </c>
      <c r="Y1298" s="10">
        <f>IF(A1298="C",LEFT(UPPER(D1298)&amp;REPT(" ",2),2)," ")</f>
        <v/>
      </c>
      <c r="Z1298" s="10">
        <f>IF(A1298="C",LEFT(UPPER(E1298)&amp;REPT(" ",15),15)," ")</f>
        <v/>
      </c>
      <c r="AA1298" s="10">
        <f>REPT(" ",8)</f>
        <v/>
      </c>
      <c r="AB1298" s="10">
        <f>REPT(" ",4)</f>
        <v/>
      </c>
      <c r="AC1298" s="10">
        <f>LEFT(UPPER(H1298)&amp;REPT(" ",250),250)</f>
        <v/>
      </c>
      <c r="AD1298" s="10">
        <f>TEXT($G$2,"dd/mm/aaaa")</f>
        <v/>
      </c>
      <c r="AE1298" s="10">
        <f>REPT(" ",10)</f>
        <v/>
      </c>
      <c r="AF1298" s="10">
        <f>REPT(" ",20)</f>
        <v/>
      </c>
      <c r="AG1298" s="54">
        <f>REPT(" ",18-LEN(FIXED(F1298,2,TRUE)))&amp;FIXED(F1298,2,TRUE)</f>
        <v/>
      </c>
      <c r="AH1298" s="10">
        <f>LEN(AC1298)+LEN(AG1298)</f>
        <v/>
      </c>
      <c r="AI1298" s="10">
        <f>LEN(L1298)</f>
        <v/>
      </c>
    </row>
    <row r="1299">
      <c r="J1299" s="12">
        <f>IF(F1299&lt;&gt;0,"LANÇAR","")</f>
        <v/>
      </c>
      <c r="L1299" s="13">
        <f>N1299&amp;O1299&amp;P1299&amp;Q1299&amp;R1299&amp;S1299&amp;T1299&amp;U1299&amp;V1299&amp;W1299&amp;X1299&amp;Y1299&amp;Z1299&amp;AA1299&amp;AB1299&amp;AC1299&amp;AD1299&amp;AE1299&amp;AF1299&amp;AG1299</f>
        <v/>
      </c>
      <c r="N1299" s="10">
        <f>TEXT($B$6,"00")</f>
        <v/>
      </c>
      <c r="O1299" s="10">
        <f>REPT(" ",8)</f>
        <v/>
      </c>
      <c r="P1299" s="10">
        <f>RIGHT($B$4,2)</f>
        <v/>
      </c>
      <c r="Q1299" s="10">
        <f>RIGHT($B$5,3)</f>
        <v/>
      </c>
      <c r="R1299" s="10">
        <f>IF(A1299="D",LEFT(UPPER(B1299)&amp;REPT(" ",20),20),REPT(" ",20))</f>
        <v/>
      </c>
      <c r="S1299" s="10">
        <f>IF(A1299="D",LEFT(UPPER(C1299)&amp;REPT(" ",10),10)," ")</f>
        <v/>
      </c>
      <c r="T1299" s="10">
        <f>IF(A1299="D",LEFT(UPPER(D1299)&amp;REPT(" ",2),2)," ")</f>
        <v/>
      </c>
      <c r="U1299" s="10">
        <f>IF(A1299="D",LEFT(UPPER(E1299)&amp;REPT(" ",15),15)," ")</f>
        <v/>
      </c>
      <c r="V1299" s="10">
        <f>REPT(" ",24)</f>
        <v/>
      </c>
      <c r="W1299" s="10">
        <f>IF(A1299="c",LEFT(UPPER(B1299)&amp;REPT(" ",20),20),REPT(" ",20))</f>
        <v/>
      </c>
      <c r="X1299" s="10">
        <f>IF(A1299="C",LEFT(UPPER(C1299)&amp;REPT(" ",10),10)," ")</f>
        <v/>
      </c>
      <c r="Y1299" s="10">
        <f>IF(A1299="C",LEFT(UPPER(D1299)&amp;REPT(" ",2),2)," ")</f>
        <v/>
      </c>
      <c r="Z1299" s="10">
        <f>IF(A1299="C",LEFT(UPPER(E1299)&amp;REPT(" ",15),15)," ")</f>
        <v/>
      </c>
      <c r="AA1299" s="10">
        <f>REPT(" ",8)</f>
        <v/>
      </c>
      <c r="AB1299" s="10">
        <f>REPT(" ",4)</f>
        <v/>
      </c>
      <c r="AC1299" s="10">
        <f>LEFT(UPPER(H1299)&amp;REPT(" ",250),250)</f>
        <v/>
      </c>
      <c r="AD1299" s="10">
        <f>TEXT($G$2,"dd/mm/aaaa")</f>
        <v/>
      </c>
      <c r="AE1299" s="10">
        <f>REPT(" ",10)</f>
        <v/>
      </c>
      <c r="AF1299" s="10">
        <f>REPT(" ",20)</f>
        <v/>
      </c>
      <c r="AG1299" s="54">
        <f>REPT(" ",18-LEN(FIXED(F1299,2,TRUE)))&amp;FIXED(F1299,2,TRUE)</f>
        <v/>
      </c>
      <c r="AH1299" s="10">
        <f>LEN(AC1299)+LEN(AG1299)</f>
        <v/>
      </c>
      <c r="AI1299" s="10">
        <f>LEN(L1299)</f>
        <v/>
      </c>
    </row>
    <row r="1300">
      <c r="J1300" s="12">
        <f>IF(F1300&lt;&gt;0,"LANÇAR","")</f>
        <v/>
      </c>
      <c r="L1300" s="13">
        <f>N1300&amp;O1300&amp;P1300&amp;Q1300&amp;R1300&amp;S1300&amp;T1300&amp;U1300&amp;V1300&amp;W1300&amp;X1300&amp;Y1300&amp;Z1300&amp;AA1300&amp;AB1300&amp;AC1300&amp;AD1300&amp;AE1300&amp;AF1300&amp;AG1300</f>
        <v/>
      </c>
      <c r="N1300" s="10">
        <f>TEXT($B$6,"00")</f>
        <v/>
      </c>
      <c r="O1300" s="10">
        <f>REPT(" ",8)</f>
        <v/>
      </c>
      <c r="P1300" s="10">
        <f>RIGHT($B$4,2)</f>
        <v/>
      </c>
      <c r="Q1300" s="10">
        <f>RIGHT($B$5,3)</f>
        <v/>
      </c>
      <c r="R1300" s="10">
        <f>IF(A1300="D",LEFT(UPPER(B1300)&amp;REPT(" ",20),20),REPT(" ",20))</f>
        <v/>
      </c>
      <c r="S1300" s="10">
        <f>IF(A1300="D",LEFT(UPPER(C1300)&amp;REPT(" ",10),10)," ")</f>
        <v/>
      </c>
      <c r="T1300" s="10">
        <f>IF(A1300="D",LEFT(UPPER(D1300)&amp;REPT(" ",2),2)," ")</f>
        <v/>
      </c>
      <c r="U1300" s="10">
        <f>IF(A1300="D",LEFT(UPPER(E1300)&amp;REPT(" ",15),15)," ")</f>
        <v/>
      </c>
      <c r="V1300" s="10">
        <f>REPT(" ",24)</f>
        <v/>
      </c>
      <c r="W1300" s="10">
        <f>IF(A1300="c",LEFT(UPPER(B1300)&amp;REPT(" ",20),20),REPT(" ",20))</f>
        <v/>
      </c>
      <c r="X1300" s="10">
        <f>IF(A1300="C",LEFT(UPPER(C1300)&amp;REPT(" ",10),10)," ")</f>
        <v/>
      </c>
      <c r="Y1300" s="10">
        <f>IF(A1300="C",LEFT(UPPER(D1300)&amp;REPT(" ",2),2)," ")</f>
        <v/>
      </c>
      <c r="Z1300" s="10">
        <f>IF(A1300="C",LEFT(UPPER(E1300)&amp;REPT(" ",15),15)," ")</f>
        <v/>
      </c>
      <c r="AA1300" s="10">
        <f>REPT(" ",8)</f>
        <v/>
      </c>
      <c r="AB1300" s="10">
        <f>REPT(" ",4)</f>
        <v/>
      </c>
      <c r="AC1300" s="10">
        <f>LEFT(UPPER(H1300)&amp;REPT(" ",250),250)</f>
        <v/>
      </c>
      <c r="AD1300" s="10">
        <f>TEXT($G$2,"dd/mm/aaaa")</f>
        <v/>
      </c>
      <c r="AE1300" s="10">
        <f>REPT(" ",10)</f>
        <v/>
      </c>
      <c r="AF1300" s="10">
        <f>REPT(" ",20)</f>
        <v/>
      </c>
      <c r="AG1300" s="54">
        <f>REPT(" ",18-LEN(FIXED(F1300,2,TRUE)))&amp;FIXED(F1300,2,TRUE)</f>
        <v/>
      </c>
      <c r="AH1300" s="10">
        <f>LEN(AC1300)+LEN(AG1300)</f>
        <v/>
      </c>
      <c r="AI1300" s="10">
        <f>LEN(L1300)</f>
        <v/>
      </c>
    </row>
    <row r="1301">
      <c r="J1301" s="12">
        <f>IF(F1301&lt;&gt;0,"LANÇAR","")</f>
        <v/>
      </c>
      <c r="L1301" s="13">
        <f>N1301&amp;O1301&amp;P1301&amp;Q1301&amp;R1301&amp;S1301&amp;T1301&amp;U1301&amp;V1301&amp;W1301&amp;X1301&amp;Y1301&amp;Z1301&amp;AA1301&amp;AB1301&amp;AC1301&amp;AD1301&amp;AE1301&amp;AF1301&amp;AG1301</f>
        <v/>
      </c>
      <c r="N1301" s="10">
        <f>TEXT($B$6,"00")</f>
        <v/>
      </c>
      <c r="O1301" s="10">
        <f>REPT(" ",8)</f>
        <v/>
      </c>
      <c r="P1301" s="10">
        <f>RIGHT($B$4,2)</f>
        <v/>
      </c>
      <c r="Q1301" s="10">
        <f>RIGHT($B$5,3)</f>
        <v/>
      </c>
      <c r="R1301" s="10">
        <f>IF(A1301="D",LEFT(UPPER(B1301)&amp;REPT(" ",20),20),REPT(" ",20))</f>
        <v/>
      </c>
      <c r="S1301" s="10">
        <f>IF(A1301="D",LEFT(UPPER(C1301)&amp;REPT(" ",10),10)," ")</f>
        <v/>
      </c>
      <c r="T1301" s="10">
        <f>IF(A1301="D",LEFT(UPPER(D1301)&amp;REPT(" ",2),2)," ")</f>
        <v/>
      </c>
      <c r="U1301" s="10">
        <f>IF(A1301="D",LEFT(UPPER(E1301)&amp;REPT(" ",15),15)," ")</f>
        <v/>
      </c>
      <c r="V1301" s="10">
        <f>REPT(" ",24)</f>
        <v/>
      </c>
      <c r="W1301" s="10">
        <f>IF(A1301="c",LEFT(UPPER(B1301)&amp;REPT(" ",20),20),REPT(" ",20))</f>
        <v/>
      </c>
      <c r="X1301" s="10">
        <f>IF(A1301="C",LEFT(UPPER(C1301)&amp;REPT(" ",10),10)," ")</f>
        <v/>
      </c>
      <c r="Y1301" s="10">
        <f>IF(A1301="C",LEFT(UPPER(D1301)&amp;REPT(" ",2),2)," ")</f>
        <v/>
      </c>
      <c r="Z1301" s="10">
        <f>IF(A1301="C",LEFT(UPPER(E1301)&amp;REPT(" ",15),15)," ")</f>
        <v/>
      </c>
      <c r="AA1301" s="10">
        <f>REPT(" ",8)</f>
        <v/>
      </c>
      <c r="AB1301" s="10">
        <f>REPT(" ",4)</f>
        <v/>
      </c>
      <c r="AC1301" s="10">
        <f>LEFT(UPPER(H1301)&amp;REPT(" ",250),250)</f>
        <v/>
      </c>
      <c r="AD1301" s="10">
        <f>TEXT($G$2,"dd/mm/aaaa")</f>
        <v/>
      </c>
      <c r="AE1301" s="10">
        <f>REPT(" ",10)</f>
        <v/>
      </c>
      <c r="AF1301" s="10">
        <f>REPT(" ",20)</f>
        <v/>
      </c>
      <c r="AG1301" s="54">
        <f>REPT(" ",18-LEN(FIXED(F1301,2,TRUE)))&amp;FIXED(F1301,2,TRUE)</f>
        <v/>
      </c>
      <c r="AH1301" s="10">
        <f>LEN(AC1301)+LEN(AG1301)</f>
        <v/>
      </c>
      <c r="AI1301" s="10">
        <f>LEN(L1301)</f>
        <v/>
      </c>
    </row>
    <row r="1302">
      <c r="J1302" s="12">
        <f>IF(F1302&lt;&gt;0,"LANÇAR","")</f>
        <v/>
      </c>
      <c r="L1302" s="13">
        <f>N1302&amp;O1302&amp;P1302&amp;Q1302&amp;R1302&amp;S1302&amp;T1302&amp;U1302&amp;V1302&amp;W1302&amp;X1302&amp;Y1302&amp;Z1302&amp;AA1302&amp;AB1302&amp;AC1302&amp;AD1302&amp;AE1302&amp;AF1302&amp;AG1302</f>
        <v/>
      </c>
      <c r="N1302" s="10">
        <f>TEXT($B$6,"00")</f>
        <v/>
      </c>
      <c r="O1302" s="10">
        <f>REPT(" ",8)</f>
        <v/>
      </c>
      <c r="P1302" s="10">
        <f>RIGHT($B$4,2)</f>
        <v/>
      </c>
      <c r="Q1302" s="10">
        <f>RIGHT($B$5,3)</f>
        <v/>
      </c>
      <c r="R1302" s="10">
        <f>IF(A1302="D",LEFT(UPPER(B1302)&amp;REPT(" ",20),20),REPT(" ",20))</f>
        <v/>
      </c>
      <c r="S1302" s="10">
        <f>IF(A1302="D",LEFT(UPPER(C1302)&amp;REPT(" ",10),10)," ")</f>
        <v/>
      </c>
      <c r="T1302" s="10">
        <f>IF(A1302="D",LEFT(UPPER(D1302)&amp;REPT(" ",2),2)," ")</f>
        <v/>
      </c>
      <c r="U1302" s="10">
        <f>IF(A1302="D",LEFT(UPPER(E1302)&amp;REPT(" ",15),15)," ")</f>
        <v/>
      </c>
      <c r="V1302" s="10">
        <f>REPT(" ",24)</f>
        <v/>
      </c>
      <c r="W1302" s="10">
        <f>IF(A1302="c",LEFT(UPPER(B1302)&amp;REPT(" ",20),20),REPT(" ",20))</f>
        <v/>
      </c>
      <c r="X1302" s="10">
        <f>IF(A1302="C",LEFT(UPPER(C1302)&amp;REPT(" ",10),10)," ")</f>
        <v/>
      </c>
      <c r="Y1302" s="10">
        <f>IF(A1302="C",LEFT(UPPER(D1302)&amp;REPT(" ",2),2)," ")</f>
        <v/>
      </c>
      <c r="Z1302" s="10">
        <f>IF(A1302="C",LEFT(UPPER(E1302)&amp;REPT(" ",15),15)," ")</f>
        <v/>
      </c>
      <c r="AA1302" s="10">
        <f>REPT(" ",8)</f>
        <v/>
      </c>
      <c r="AB1302" s="10">
        <f>REPT(" ",4)</f>
        <v/>
      </c>
      <c r="AC1302" s="10">
        <f>LEFT(UPPER(H1302)&amp;REPT(" ",250),250)</f>
        <v/>
      </c>
      <c r="AD1302" s="10">
        <f>TEXT($G$2,"dd/mm/aaaa")</f>
        <v/>
      </c>
      <c r="AE1302" s="10">
        <f>REPT(" ",10)</f>
        <v/>
      </c>
      <c r="AF1302" s="10">
        <f>REPT(" ",20)</f>
        <v/>
      </c>
      <c r="AG1302" s="54">
        <f>REPT(" ",18-LEN(FIXED(F1302,2,TRUE)))&amp;FIXED(F1302,2,TRUE)</f>
        <v/>
      </c>
      <c r="AH1302" s="10">
        <f>LEN(AC1302)+LEN(AG1302)</f>
        <v/>
      </c>
      <c r="AI1302" s="10">
        <f>LEN(L1302)</f>
        <v/>
      </c>
    </row>
    <row r="1303">
      <c r="J1303" s="12">
        <f>IF(F1303&lt;&gt;0,"LANÇAR","")</f>
        <v/>
      </c>
      <c r="L1303" s="13">
        <f>N1303&amp;O1303&amp;P1303&amp;Q1303&amp;R1303&amp;S1303&amp;T1303&amp;U1303&amp;V1303&amp;W1303&amp;X1303&amp;Y1303&amp;Z1303&amp;AA1303&amp;AB1303&amp;AC1303&amp;AD1303&amp;AE1303&amp;AF1303&amp;AG1303</f>
        <v/>
      </c>
      <c r="N1303" s="10">
        <f>TEXT($B$6,"00")</f>
        <v/>
      </c>
      <c r="O1303" s="10">
        <f>REPT(" ",8)</f>
        <v/>
      </c>
      <c r="P1303" s="10">
        <f>RIGHT($B$4,2)</f>
        <v/>
      </c>
      <c r="Q1303" s="10">
        <f>RIGHT($B$5,3)</f>
        <v/>
      </c>
      <c r="R1303" s="10">
        <f>IF(A1303="D",LEFT(UPPER(B1303)&amp;REPT(" ",20),20),REPT(" ",20))</f>
        <v/>
      </c>
      <c r="S1303" s="10">
        <f>IF(A1303="D",LEFT(UPPER(C1303)&amp;REPT(" ",10),10)," ")</f>
        <v/>
      </c>
      <c r="T1303" s="10">
        <f>IF(A1303="D",LEFT(UPPER(D1303)&amp;REPT(" ",2),2)," ")</f>
        <v/>
      </c>
      <c r="U1303" s="10">
        <f>IF(A1303="D",LEFT(UPPER(E1303)&amp;REPT(" ",15),15)," ")</f>
        <v/>
      </c>
      <c r="V1303" s="10">
        <f>REPT(" ",24)</f>
        <v/>
      </c>
      <c r="W1303" s="10">
        <f>IF(A1303="c",LEFT(UPPER(B1303)&amp;REPT(" ",20),20),REPT(" ",20))</f>
        <v/>
      </c>
      <c r="X1303" s="10">
        <f>IF(A1303="C",LEFT(UPPER(C1303)&amp;REPT(" ",10),10)," ")</f>
        <v/>
      </c>
      <c r="Y1303" s="10">
        <f>IF(A1303="C",LEFT(UPPER(D1303)&amp;REPT(" ",2),2)," ")</f>
        <v/>
      </c>
      <c r="Z1303" s="10">
        <f>IF(A1303="C",LEFT(UPPER(E1303)&amp;REPT(" ",15),15)," ")</f>
        <v/>
      </c>
      <c r="AA1303" s="10">
        <f>REPT(" ",8)</f>
        <v/>
      </c>
      <c r="AB1303" s="10">
        <f>REPT(" ",4)</f>
        <v/>
      </c>
      <c r="AC1303" s="10">
        <f>LEFT(UPPER(H1303)&amp;REPT(" ",250),250)</f>
        <v/>
      </c>
      <c r="AD1303" s="10">
        <f>TEXT($G$2,"dd/mm/aaaa")</f>
        <v/>
      </c>
      <c r="AE1303" s="10">
        <f>REPT(" ",10)</f>
        <v/>
      </c>
      <c r="AF1303" s="10">
        <f>REPT(" ",20)</f>
        <v/>
      </c>
      <c r="AG1303" s="54">
        <f>REPT(" ",18-LEN(FIXED(F1303,2,TRUE)))&amp;FIXED(F1303,2,TRUE)</f>
        <v/>
      </c>
      <c r="AH1303" s="10">
        <f>LEN(AC1303)+LEN(AG1303)</f>
        <v/>
      </c>
      <c r="AI1303" s="10">
        <f>LEN(L1303)</f>
        <v/>
      </c>
    </row>
    <row r="1304">
      <c r="J1304" s="12">
        <f>IF(F1304&lt;&gt;0,"LANÇAR","")</f>
        <v/>
      </c>
      <c r="L1304" s="13">
        <f>N1304&amp;O1304&amp;P1304&amp;Q1304&amp;R1304&amp;S1304&amp;T1304&amp;U1304&amp;V1304&amp;W1304&amp;X1304&amp;Y1304&amp;Z1304&amp;AA1304&amp;AB1304&amp;AC1304&amp;AD1304&amp;AE1304&amp;AF1304&amp;AG1304</f>
        <v/>
      </c>
      <c r="N1304" s="10">
        <f>TEXT($B$6,"00")</f>
        <v/>
      </c>
      <c r="O1304" s="10">
        <f>REPT(" ",8)</f>
        <v/>
      </c>
      <c r="P1304" s="10">
        <f>RIGHT($B$4,2)</f>
        <v/>
      </c>
      <c r="Q1304" s="10">
        <f>RIGHT($B$5,3)</f>
        <v/>
      </c>
      <c r="R1304" s="10">
        <f>IF(A1304="D",LEFT(UPPER(B1304)&amp;REPT(" ",20),20),REPT(" ",20))</f>
        <v/>
      </c>
      <c r="S1304" s="10">
        <f>IF(A1304="D",LEFT(UPPER(C1304)&amp;REPT(" ",10),10)," ")</f>
        <v/>
      </c>
      <c r="T1304" s="10">
        <f>IF(A1304="D",LEFT(UPPER(D1304)&amp;REPT(" ",2),2)," ")</f>
        <v/>
      </c>
      <c r="U1304" s="10">
        <f>IF(A1304="D",LEFT(UPPER(E1304)&amp;REPT(" ",15),15)," ")</f>
        <v/>
      </c>
      <c r="V1304" s="10">
        <f>REPT(" ",24)</f>
        <v/>
      </c>
      <c r="W1304" s="10">
        <f>IF(A1304="c",LEFT(UPPER(B1304)&amp;REPT(" ",20),20),REPT(" ",20))</f>
        <v/>
      </c>
      <c r="X1304" s="10">
        <f>IF(A1304="C",LEFT(UPPER(C1304)&amp;REPT(" ",10),10)," ")</f>
        <v/>
      </c>
      <c r="Y1304" s="10">
        <f>IF(A1304="C",LEFT(UPPER(D1304)&amp;REPT(" ",2),2)," ")</f>
        <v/>
      </c>
      <c r="Z1304" s="10">
        <f>IF(A1304="C",LEFT(UPPER(E1304)&amp;REPT(" ",15),15)," ")</f>
        <v/>
      </c>
      <c r="AA1304" s="10">
        <f>REPT(" ",8)</f>
        <v/>
      </c>
      <c r="AB1304" s="10">
        <f>REPT(" ",4)</f>
        <v/>
      </c>
      <c r="AC1304" s="10">
        <f>LEFT(UPPER(H1304)&amp;REPT(" ",250),250)</f>
        <v/>
      </c>
      <c r="AD1304" s="10">
        <f>TEXT($G$2,"dd/mm/aaaa")</f>
        <v/>
      </c>
      <c r="AE1304" s="10">
        <f>REPT(" ",10)</f>
        <v/>
      </c>
      <c r="AF1304" s="10">
        <f>REPT(" ",20)</f>
        <v/>
      </c>
      <c r="AG1304" s="54">
        <f>REPT(" ",18-LEN(FIXED(F1304,2,TRUE)))&amp;FIXED(F1304,2,TRUE)</f>
        <v/>
      </c>
      <c r="AH1304" s="10">
        <f>LEN(AC1304)+LEN(AG1304)</f>
        <v/>
      </c>
      <c r="AI1304" s="10">
        <f>LEN(L1304)</f>
        <v/>
      </c>
    </row>
    <row r="1305">
      <c r="J1305" s="12">
        <f>IF(F1305&lt;&gt;0,"LANÇAR","")</f>
        <v/>
      </c>
      <c r="L1305" s="13">
        <f>N1305&amp;O1305&amp;P1305&amp;Q1305&amp;R1305&amp;S1305&amp;T1305&amp;U1305&amp;V1305&amp;W1305&amp;X1305&amp;Y1305&amp;Z1305&amp;AA1305&amp;AB1305&amp;AC1305&amp;AD1305&amp;AE1305&amp;AF1305&amp;AG1305</f>
        <v/>
      </c>
      <c r="N1305" s="10">
        <f>TEXT($B$6,"00")</f>
        <v/>
      </c>
      <c r="O1305" s="10">
        <f>REPT(" ",8)</f>
        <v/>
      </c>
      <c r="P1305" s="10">
        <f>RIGHT($B$4,2)</f>
        <v/>
      </c>
      <c r="Q1305" s="10">
        <f>RIGHT($B$5,3)</f>
        <v/>
      </c>
      <c r="R1305" s="10">
        <f>IF(A1305="D",LEFT(UPPER(B1305)&amp;REPT(" ",20),20),REPT(" ",20))</f>
        <v/>
      </c>
      <c r="S1305" s="10">
        <f>IF(A1305="D",LEFT(UPPER(C1305)&amp;REPT(" ",10),10)," ")</f>
        <v/>
      </c>
      <c r="T1305" s="10">
        <f>IF(A1305="D",LEFT(UPPER(D1305)&amp;REPT(" ",2),2)," ")</f>
        <v/>
      </c>
      <c r="U1305" s="10">
        <f>IF(A1305="D",LEFT(UPPER(E1305)&amp;REPT(" ",15),15)," ")</f>
        <v/>
      </c>
      <c r="V1305" s="10">
        <f>REPT(" ",24)</f>
        <v/>
      </c>
      <c r="W1305" s="10">
        <f>IF(A1305="c",LEFT(UPPER(B1305)&amp;REPT(" ",20),20),REPT(" ",20))</f>
        <v/>
      </c>
      <c r="X1305" s="10">
        <f>IF(A1305="C",LEFT(UPPER(C1305)&amp;REPT(" ",10),10)," ")</f>
        <v/>
      </c>
      <c r="Y1305" s="10">
        <f>IF(A1305="C",LEFT(UPPER(D1305)&amp;REPT(" ",2),2)," ")</f>
        <v/>
      </c>
      <c r="Z1305" s="10">
        <f>IF(A1305="C",LEFT(UPPER(E1305)&amp;REPT(" ",15),15)," ")</f>
        <v/>
      </c>
      <c r="AA1305" s="10">
        <f>REPT(" ",8)</f>
        <v/>
      </c>
      <c r="AB1305" s="10">
        <f>REPT(" ",4)</f>
        <v/>
      </c>
      <c r="AC1305" s="10">
        <f>LEFT(UPPER(H1305)&amp;REPT(" ",250),250)</f>
        <v/>
      </c>
      <c r="AD1305" s="10">
        <f>TEXT($G$2,"dd/mm/aaaa")</f>
        <v/>
      </c>
      <c r="AE1305" s="10">
        <f>REPT(" ",10)</f>
        <v/>
      </c>
      <c r="AF1305" s="10">
        <f>REPT(" ",20)</f>
        <v/>
      </c>
      <c r="AG1305" s="54">
        <f>REPT(" ",18-LEN(FIXED(F1305,2,TRUE)))&amp;FIXED(F1305,2,TRUE)</f>
        <v/>
      </c>
      <c r="AH1305" s="10">
        <f>LEN(AC1305)+LEN(AG1305)</f>
        <v/>
      </c>
      <c r="AI1305" s="10">
        <f>LEN(L1305)</f>
        <v/>
      </c>
    </row>
    <row r="1306">
      <c r="J1306" s="12">
        <f>IF(F1306&lt;&gt;0,"LANÇAR","")</f>
        <v/>
      </c>
      <c r="L1306" s="13">
        <f>N1306&amp;O1306&amp;P1306&amp;Q1306&amp;R1306&amp;S1306&amp;T1306&amp;U1306&amp;V1306&amp;W1306&amp;X1306&amp;Y1306&amp;Z1306&amp;AA1306&amp;AB1306&amp;AC1306&amp;AD1306&amp;AE1306&amp;AF1306&amp;AG1306</f>
        <v/>
      </c>
      <c r="N1306" s="10">
        <f>TEXT($B$6,"00")</f>
        <v/>
      </c>
      <c r="O1306" s="10">
        <f>REPT(" ",8)</f>
        <v/>
      </c>
      <c r="P1306" s="10">
        <f>RIGHT($B$4,2)</f>
        <v/>
      </c>
      <c r="Q1306" s="10">
        <f>RIGHT($B$5,3)</f>
        <v/>
      </c>
      <c r="R1306" s="10">
        <f>IF(A1306="D",LEFT(UPPER(B1306)&amp;REPT(" ",20),20),REPT(" ",20))</f>
        <v/>
      </c>
      <c r="S1306" s="10">
        <f>IF(A1306="D",LEFT(UPPER(C1306)&amp;REPT(" ",10),10)," ")</f>
        <v/>
      </c>
      <c r="T1306" s="10">
        <f>IF(A1306="D",LEFT(UPPER(D1306)&amp;REPT(" ",2),2)," ")</f>
        <v/>
      </c>
      <c r="U1306" s="10">
        <f>IF(A1306="D",LEFT(UPPER(E1306)&amp;REPT(" ",15),15)," ")</f>
        <v/>
      </c>
      <c r="V1306" s="10">
        <f>REPT(" ",24)</f>
        <v/>
      </c>
      <c r="W1306" s="10">
        <f>IF(A1306="c",LEFT(UPPER(B1306)&amp;REPT(" ",20),20),REPT(" ",20))</f>
        <v/>
      </c>
      <c r="X1306" s="10">
        <f>IF(A1306="C",LEFT(UPPER(C1306)&amp;REPT(" ",10),10)," ")</f>
        <v/>
      </c>
      <c r="Y1306" s="10">
        <f>IF(A1306="C",LEFT(UPPER(D1306)&amp;REPT(" ",2),2)," ")</f>
        <v/>
      </c>
      <c r="Z1306" s="10">
        <f>IF(A1306="C",LEFT(UPPER(E1306)&amp;REPT(" ",15),15)," ")</f>
        <v/>
      </c>
      <c r="AA1306" s="10">
        <f>REPT(" ",8)</f>
        <v/>
      </c>
      <c r="AB1306" s="10">
        <f>REPT(" ",4)</f>
        <v/>
      </c>
      <c r="AC1306" s="10">
        <f>LEFT(UPPER(H1306)&amp;REPT(" ",250),250)</f>
        <v/>
      </c>
      <c r="AD1306" s="10">
        <f>TEXT($G$2,"dd/mm/aaaa")</f>
        <v/>
      </c>
      <c r="AE1306" s="10">
        <f>REPT(" ",10)</f>
        <v/>
      </c>
      <c r="AF1306" s="10">
        <f>REPT(" ",20)</f>
        <v/>
      </c>
      <c r="AG1306" s="54">
        <f>REPT(" ",18-LEN(FIXED(F1306,2,TRUE)))&amp;FIXED(F1306,2,TRUE)</f>
        <v/>
      </c>
      <c r="AH1306" s="10">
        <f>LEN(AC1306)+LEN(AG1306)</f>
        <v/>
      </c>
      <c r="AI1306" s="10">
        <f>LEN(L1306)</f>
        <v/>
      </c>
    </row>
    <row r="1307">
      <c r="J1307" s="12">
        <f>IF(F1307&lt;&gt;0,"LANÇAR","")</f>
        <v/>
      </c>
      <c r="L1307" s="13">
        <f>N1307&amp;O1307&amp;P1307&amp;Q1307&amp;R1307&amp;S1307&amp;T1307&amp;U1307&amp;V1307&amp;W1307&amp;X1307&amp;Y1307&amp;Z1307&amp;AA1307&amp;AB1307&amp;AC1307&amp;AD1307&amp;AE1307&amp;AF1307&amp;AG1307</f>
        <v/>
      </c>
      <c r="N1307" s="10">
        <f>TEXT($B$6,"00")</f>
        <v/>
      </c>
      <c r="O1307" s="10">
        <f>REPT(" ",8)</f>
        <v/>
      </c>
      <c r="P1307" s="10">
        <f>RIGHT($B$4,2)</f>
        <v/>
      </c>
      <c r="Q1307" s="10">
        <f>RIGHT($B$5,3)</f>
        <v/>
      </c>
      <c r="R1307" s="10">
        <f>IF(A1307="D",LEFT(UPPER(B1307)&amp;REPT(" ",20),20),REPT(" ",20))</f>
        <v/>
      </c>
      <c r="S1307" s="10">
        <f>IF(A1307="D",LEFT(UPPER(C1307)&amp;REPT(" ",10),10)," ")</f>
        <v/>
      </c>
      <c r="T1307" s="10">
        <f>IF(A1307="D",LEFT(UPPER(D1307)&amp;REPT(" ",2),2)," ")</f>
        <v/>
      </c>
      <c r="U1307" s="10">
        <f>IF(A1307="D",LEFT(UPPER(E1307)&amp;REPT(" ",15),15)," ")</f>
        <v/>
      </c>
      <c r="V1307" s="10">
        <f>REPT(" ",24)</f>
        <v/>
      </c>
      <c r="W1307" s="10">
        <f>IF(A1307="c",LEFT(UPPER(B1307)&amp;REPT(" ",20),20),REPT(" ",20))</f>
        <v/>
      </c>
      <c r="X1307" s="10">
        <f>IF(A1307="C",LEFT(UPPER(C1307)&amp;REPT(" ",10),10)," ")</f>
        <v/>
      </c>
      <c r="Y1307" s="10">
        <f>IF(A1307="C",LEFT(UPPER(D1307)&amp;REPT(" ",2),2)," ")</f>
        <v/>
      </c>
      <c r="Z1307" s="10">
        <f>IF(A1307="C",LEFT(UPPER(E1307)&amp;REPT(" ",15),15)," ")</f>
        <v/>
      </c>
      <c r="AA1307" s="10">
        <f>REPT(" ",8)</f>
        <v/>
      </c>
      <c r="AB1307" s="10">
        <f>REPT(" ",4)</f>
        <v/>
      </c>
      <c r="AC1307" s="10">
        <f>LEFT(UPPER(H1307)&amp;REPT(" ",250),250)</f>
        <v/>
      </c>
      <c r="AD1307" s="10">
        <f>TEXT($G$2,"dd/mm/aaaa")</f>
        <v/>
      </c>
      <c r="AE1307" s="10">
        <f>REPT(" ",10)</f>
        <v/>
      </c>
      <c r="AF1307" s="10">
        <f>REPT(" ",20)</f>
        <v/>
      </c>
      <c r="AG1307" s="54">
        <f>REPT(" ",18-LEN(FIXED(F1307,2,TRUE)))&amp;FIXED(F1307,2,TRUE)</f>
        <v/>
      </c>
      <c r="AH1307" s="10">
        <f>LEN(AC1307)+LEN(AG1307)</f>
        <v/>
      </c>
      <c r="AI1307" s="10">
        <f>LEN(L1307)</f>
        <v/>
      </c>
    </row>
    <row r="1308">
      <c r="J1308" s="12">
        <f>IF(F1308&lt;&gt;0,"LANÇAR","")</f>
        <v/>
      </c>
      <c r="L1308" s="13">
        <f>N1308&amp;O1308&amp;P1308&amp;Q1308&amp;R1308&amp;S1308&amp;T1308&amp;U1308&amp;V1308&amp;W1308&amp;X1308&amp;Y1308&amp;Z1308&amp;AA1308&amp;AB1308&amp;AC1308&amp;AD1308&amp;AE1308&amp;AF1308&amp;AG1308</f>
        <v/>
      </c>
      <c r="N1308" s="10">
        <f>TEXT($B$6,"00")</f>
        <v/>
      </c>
      <c r="O1308" s="10">
        <f>REPT(" ",8)</f>
        <v/>
      </c>
      <c r="P1308" s="10">
        <f>RIGHT($B$4,2)</f>
        <v/>
      </c>
      <c r="Q1308" s="10">
        <f>RIGHT($B$5,3)</f>
        <v/>
      </c>
      <c r="R1308" s="10">
        <f>IF(A1308="D",LEFT(UPPER(B1308)&amp;REPT(" ",20),20),REPT(" ",20))</f>
        <v/>
      </c>
      <c r="S1308" s="10">
        <f>IF(A1308="D",LEFT(UPPER(C1308)&amp;REPT(" ",10),10)," ")</f>
        <v/>
      </c>
      <c r="T1308" s="10">
        <f>IF(A1308="D",LEFT(UPPER(D1308)&amp;REPT(" ",2),2)," ")</f>
        <v/>
      </c>
      <c r="U1308" s="10">
        <f>IF(A1308="D",LEFT(UPPER(E1308)&amp;REPT(" ",15),15)," ")</f>
        <v/>
      </c>
      <c r="V1308" s="10">
        <f>REPT(" ",24)</f>
        <v/>
      </c>
      <c r="W1308" s="10">
        <f>IF(A1308="c",LEFT(UPPER(B1308)&amp;REPT(" ",20),20),REPT(" ",20))</f>
        <v/>
      </c>
      <c r="X1308" s="10">
        <f>IF(A1308="C",LEFT(UPPER(C1308)&amp;REPT(" ",10),10)," ")</f>
        <v/>
      </c>
      <c r="Y1308" s="10">
        <f>IF(A1308="C",LEFT(UPPER(D1308)&amp;REPT(" ",2),2)," ")</f>
        <v/>
      </c>
      <c r="Z1308" s="10">
        <f>IF(A1308="C",LEFT(UPPER(E1308)&amp;REPT(" ",15),15)," ")</f>
        <v/>
      </c>
      <c r="AA1308" s="10">
        <f>REPT(" ",8)</f>
        <v/>
      </c>
      <c r="AB1308" s="10">
        <f>REPT(" ",4)</f>
        <v/>
      </c>
      <c r="AC1308" s="10">
        <f>LEFT(UPPER(H1308)&amp;REPT(" ",250),250)</f>
        <v/>
      </c>
      <c r="AD1308" s="10">
        <f>TEXT($G$2,"dd/mm/aaaa")</f>
        <v/>
      </c>
      <c r="AE1308" s="10">
        <f>REPT(" ",10)</f>
        <v/>
      </c>
      <c r="AF1308" s="10">
        <f>REPT(" ",20)</f>
        <v/>
      </c>
      <c r="AG1308" s="54">
        <f>REPT(" ",18-LEN(FIXED(F1308,2,TRUE)))&amp;FIXED(F1308,2,TRUE)</f>
        <v/>
      </c>
      <c r="AH1308" s="10">
        <f>LEN(AC1308)+LEN(AG1308)</f>
        <v/>
      </c>
      <c r="AI1308" s="10">
        <f>LEN(L1308)</f>
        <v/>
      </c>
    </row>
    <row r="1309">
      <c r="J1309" s="12">
        <f>IF(F1309&lt;&gt;0,"LANÇAR","")</f>
        <v/>
      </c>
      <c r="L1309" s="13">
        <f>N1309&amp;O1309&amp;P1309&amp;Q1309&amp;R1309&amp;S1309&amp;T1309&amp;U1309&amp;V1309&amp;W1309&amp;X1309&amp;Y1309&amp;Z1309&amp;AA1309&amp;AB1309&amp;AC1309&amp;AD1309&amp;AE1309&amp;AF1309&amp;AG1309</f>
        <v/>
      </c>
      <c r="N1309" s="10">
        <f>TEXT($B$6,"00")</f>
        <v/>
      </c>
      <c r="O1309" s="10">
        <f>REPT(" ",8)</f>
        <v/>
      </c>
      <c r="P1309" s="10">
        <f>RIGHT($B$4,2)</f>
        <v/>
      </c>
      <c r="Q1309" s="10">
        <f>RIGHT($B$5,3)</f>
        <v/>
      </c>
      <c r="R1309" s="10">
        <f>IF(A1309="D",LEFT(UPPER(B1309)&amp;REPT(" ",20),20),REPT(" ",20))</f>
        <v/>
      </c>
      <c r="S1309" s="10">
        <f>IF(A1309="D",LEFT(UPPER(C1309)&amp;REPT(" ",10),10)," ")</f>
        <v/>
      </c>
      <c r="T1309" s="10">
        <f>IF(A1309="D",LEFT(UPPER(D1309)&amp;REPT(" ",2),2)," ")</f>
        <v/>
      </c>
      <c r="U1309" s="10">
        <f>IF(A1309="D",LEFT(UPPER(E1309)&amp;REPT(" ",15),15)," ")</f>
        <v/>
      </c>
      <c r="V1309" s="10">
        <f>REPT(" ",24)</f>
        <v/>
      </c>
      <c r="W1309" s="10">
        <f>IF(A1309="c",LEFT(UPPER(B1309)&amp;REPT(" ",20),20),REPT(" ",20))</f>
        <v/>
      </c>
      <c r="X1309" s="10">
        <f>IF(A1309="C",LEFT(UPPER(C1309)&amp;REPT(" ",10),10)," ")</f>
        <v/>
      </c>
      <c r="Y1309" s="10">
        <f>IF(A1309="C",LEFT(UPPER(D1309)&amp;REPT(" ",2),2)," ")</f>
        <v/>
      </c>
      <c r="Z1309" s="10">
        <f>IF(A1309="C",LEFT(UPPER(E1309)&amp;REPT(" ",15),15)," ")</f>
        <v/>
      </c>
      <c r="AA1309" s="10">
        <f>REPT(" ",8)</f>
        <v/>
      </c>
      <c r="AB1309" s="10">
        <f>REPT(" ",4)</f>
        <v/>
      </c>
      <c r="AC1309" s="10">
        <f>LEFT(UPPER(H1309)&amp;REPT(" ",250),250)</f>
        <v/>
      </c>
      <c r="AD1309" s="10">
        <f>TEXT($G$2,"dd/mm/aaaa")</f>
        <v/>
      </c>
      <c r="AE1309" s="10">
        <f>REPT(" ",10)</f>
        <v/>
      </c>
      <c r="AF1309" s="10">
        <f>REPT(" ",20)</f>
        <v/>
      </c>
      <c r="AG1309" s="54">
        <f>REPT(" ",18-LEN(FIXED(F1309,2,TRUE)))&amp;FIXED(F1309,2,TRUE)</f>
        <v/>
      </c>
      <c r="AH1309" s="10">
        <f>LEN(AC1309)+LEN(AG1309)</f>
        <v/>
      </c>
      <c r="AI1309" s="10">
        <f>LEN(L1309)</f>
        <v/>
      </c>
    </row>
    <row r="1310">
      <c r="J1310" s="12">
        <f>IF(F1310&lt;&gt;0,"LANÇAR","")</f>
        <v/>
      </c>
      <c r="L1310" s="13">
        <f>N1310&amp;O1310&amp;P1310&amp;Q1310&amp;R1310&amp;S1310&amp;T1310&amp;U1310&amp;V1310&amp;W1310&amp;X1310&amp;Y1310&amp;Z1310&amp;AA1310&amp;AB1310&amp;AC1310&amp;AD1310&amp;AE1310&amp;AF1310&amp;AG1310</f>
        <v/>
      </c>
      <c r="N1310" s="10">
        <f>TEXT($B$6,"00")</f>
        <v/>
      </c>
      <c r="O1310" s="10">
        <f>REPT(" ",8)</f>
        <v/>
      </c>
      <c r="P1310" s="10">
        <f>RIGHT($B$4,2)</f>
        <v/>
      </c>
      <c r="Q1310" s="10">
        <f>RIGHT($B$5,3)</f>
        <v/>
      </c>
      <c r="R1310" s="10">
        <f>IF(A1310="D",LEFT(UPPER(B1310)&amp;REPT(" ",20),20),REPT(" ",20))</f>
        <v/>
      </c>
      <c r="S1310" s="10">
        <f>IF(A1310="D",LEFT(UPPER(C1310)&amp;REPT(" ",10),10)," ")</f>
        <v/>
      </c>
      <c r="T1310" s="10">
        <f>IF(A1310="D",LEFT(UPPER(D1310)&amp;REPT(" ",2),2)," ")</f>
        <v/>
      </c>
      <c r="U1310" s="10">
        <f>IF(A1310="D",LEFT(UPPER(E1310)&amp;REPT(" ",15),15)," ")</f>
        <v/>
      </c>
      <c r="V1310" s="10">
        <f>REPT(" ",24)</f>
        <v/>
      </c>
      <c r="W1310" s="10">
        <f>IF(A1310="c",LEFT(UPPER(B1310)&amp;REPT(" ",20),20),REPT(" ",20))</f>
        <v/>
      </c>
      <c r="X1310" s="10">
        <f>IF(A1310="C",LEFT(UPPER(C1310)&amp;REPT(" ",10),10)," ")</f>
        <v/>
      </c>
      <c r="Y1310" s="10">
        <f>IF(A1310="C",LEFT(UPPER(D1310)&amp;REPT(" ",2),2)," ")</f>
        <v/>
      </c>
      <c r="Z1310" s="10">
        <f>IF(A1310="C",LEFT(UPPER(E1310)&amp;REPT(" ",15),15)," ")</f>
        <v/>
      </c>
      <c r="AA1310" s="10">
        <f>REPT(" ",8)</f>
        <v/>
      </c>
      <c r="AB1310" s="10">
        <f>REPT(" ",4)</f>
        <v/>
      </c>
      <c r="AC1310" s="10">
        <f>LEFT(UPPER(H1310)&amp;REPT(" ",250),250)</f>
        <v/>
      </c>
      <c r="AD1310" s="10">
        <f>TEXT($G$2,"dd/mm/aaaa")</f>
        <v/>
      </c>
      <c r="AE1310" s="10">
        <f>REPT(" ",10)</f>
        <v/>
      </c>
      <c r="AF1310" s="10">
        <f>REPT(" ",20)</f>
        <v/>
      </c>
      <c r="AG1310" s="54">
        <f>REPT(" ",18-LEN(FIXED(F1310,2,TRUE)))&amp;FIXED(F1310,2,TRUE)</f>
        <v/>
      </c>
      <c r="AH1310" s="10">
        <f>LEN(AC1310)+LEN(AG1310)</f>
        <v/>
      </c>
      <c r="AI1310" s="10">
        <f>LEN(L1310)</f>
        <v/>
      </c>
    </row>
    <row r="1311">
      <c r="J1311" s="12">
        <f>IF(F1311&lt;&gt;0,"LANÇAR","")</f>
        <v/>
      </c>
      <c r="L1311" s="13">
        <f>N1311&amp;O1311&amp;P1311&amp;Q1311&amp;R1311&amp;S1311&amp;T1311&amp;U1311&amp;V1311&amp;W1311&amp;X1311&amp;Y1311&amp;Z1311&amp;AA1311&amp;AB1311&amp;AC1311&amp;AD1311&amp;AE1311&amp;AF1311&amp;AG1311</f>
        <v/>
      </c>
      <c r="N1311" s="10">
        <f>TEXT($B$6,"00")</f>
        <v/>
      </c>
      <c r="O1311" s="10">
        <f>REPT(" ",8)</f>
        <v/>
      </c>
      <c r="P1311" s="10">
        <f>RIGHT($B$4,2)</f>
        <v/>
      </c>
      <c r="Q1311" s="10">
        <f>RIGHT($B$5,3)</f>
        <v/>
      </c>
      <c r="R1311" s="10">
        <f>IF(A1311="D",LEFT(UPPER(B1311)&amp;REPT(" ",20),20),REPT(" ",20))</f>
        <v/>
      </c>
      <c r="S1311" s="10">
        <f>IF(A1311="D",LEFT(UPPER(C1311)&amp;REPT(" ",10),10)," ")</f>
        <v/>
      </c>
      <c r="T1311" s="10">
        <f>IF(A1311="D",LEFT(UPPER(D1311)&amp;REPT(" ",2),2)," ")</f>
        <v/>
      </c>
      <c r="U1311" s="10">
        <f>IF(A1311="D",LEFT(UPPER(E1311)&amp;REPT(" ",15),15)," ")</f>
        <v/>
      </c>
      <c r="V1311" s="10">
        <f>REPT(" ",24)</f>
        <v/>
      </c>
      <c r="W1311" s="10">
        <f>IF(A1311="c",LEFT(UPPER(B1311)&amp;REPT(" ",20),20),REPT(" ",20))</f>
        <v/>
      </c>
      <c r="X1311" s="10">
        <f>IF(A1311="C",LEFT(UPPER(C1311)&amp;REPT(" ",10),10)," ")</f>
        <v/>
      </c>
      <c r="Y1311" s="10">
        <f>IF(A1311="C",LEFT(UPPER(D1311)&amp;REPT(" ",2),2)," ")</f>
        <v/>
      </c>
      <c r="Z1311" s="10">
        <f>IF(A1311="C",LEFT(UPPER(E1311)&amp;REPT(" ",15),15)," ")</f>
        <v/>
      </c>
      <c r="AA1311" s="10">
        <f>REPT(" ",8)</f>
        <v/>
      </c>
      <c r="AB1311" s="10">
        <f>REPT(" ",4)</f>
        <v/>
      </c>
      <c r="AC1311" s="10">
        <f>LEFT(UPPER(H1311)&amp;REPT(" ",250),250)</f>
        <v/>
      </c>
      <c r="AD1311" s="10">
        <f>TEXT($G$2,"dd/mm/aaaa")</f>
        <v/>
      </c>
      <c r="AE1311" s="10">
        <f>REPT(" ",10)</f>
        <v/>
      </c>
      <c r="AF1311" s="10">
        <f>REPT(" ",20)</f>
        <v/>
      </c>
      <c r="AG1311" s="54">
        <f>REPT(" ",18-LEN(FIXED(F1311,2,TRUE)))&amp;FIXED(F1311,2,TRUE)</f>
        <v/>
      </c>
      <c r="AH1311" s="10">
        <f>LEN(AC1311)+LEN(AG1311)</f>
        <v/>
      </c>
      <c r="AI1311" s="10">
        <f>LEN(L1311)</f>
        <v/>
      </c>
    </row>
    <row r="1312">
      <c r="J1312" s="12">
        <f>IF(F1312&lt;&gt;0,"LANÇAR","")</f>
        <v/>
      </c>
      <c r="L1312" s="13">
        <f>N1312&amp;O1312&amp;P1312&amp;Q1312&amp;R1312&amp;S1312&amp;T1312&amp;U1312&amp;V1312&amp;W1312&amp;X1312&amp;Y1312&amp;Z1312&amp;AA1312&amp;AB1312&amp;AC1312&amp;AD1312&amp;AE1312&amp;AF1312&amp;AG1312</f>
        <v/>
      </c>
      <c r="N1312" s="10">
        <f>TEXT($B$6,"00")</f>
        <v/>
      </c>
      <c r="O1312" s="10">
        <f>REPT(" ",8)</f>
        <v/>
      </c>
      <c r="P1312" s="10">
        <f>RIGHT($B$4,2)</f>
        <v/>
      </c>
      <c r="Q1312" s="10">
        <f>RIGHT($B$5,3)</f>
        <v/>
      </c>
      <c r="R1312" s="10">
        <f>IF(A1312="D",LEFT(UPPER(B1312)&amp;REPT(" ",20),20),REPT(" ",20))</f>
        <v/>
      </c>
      <c r="S1312" s="10">
        <f>IF(A1312="D",LEFT(UPPER(C1312)&amp;REPT(" ",10),10)," ")</f>
        <v/>
      </c>
      <c r="T1312" s="10">
        <f>IF(A1312="D",LEFT(UPPER(D1312)&amp;REPT(" ",2),2)," ")</f>
        <v/>
      </c>
      <c r="U1312" s="10">
        <f>IF(A1312="D",LEFT(UPPER(E1312)&amp;REPT(" ",15),15)," ")</f>
        <v/>
      </c>
      <c r="V1312" s="10">
        <f>REPT(" ",24)</f>
        <v/>
      </c>
      <c r="W1312" s="10">
        <f>IF(A1312="c",LEFT(UPPER(B1312)&amp;REPT(" ",20),20),REPT(" ",20))</f>
        <v/>
      </c>
      <c r="X1312" s="10">
        <f>IF(A1312="C",LEFT(UPPER(C1312)&amp;REPT(" ",10),10)," ")</f>
        <v/>
      </c>
      <c r="Y1312" s="10">
        <f>IF(A1312="C",LEFT(UPPER(D1312)&amp;REPT(" ",2),2)," ")</f>
        <v/>
      </c>
      <c r="Z1312" s="10">
        <f>IF(A1312="C",LEFT(UPPER(E1312)&amp;REPT(" ",15),15)," ")</f>
        <v/>
      </c>
      <c r="AA1312" s="10">
        <f>REPT(" ",8)</f>
        <v/>
      </c>
      <c r="AB1312" s="10">
        <f>REPT(" ",4)</f>
        <v/>
      </c>
      <c r="AC1312" s="10">
        <f>LEFT(UPPER(H1312)&amp;REPT(" ",250),250)</f>
        <v/>
      </c>
      <c r="AD1312" s="10">
        <f>TEXT($G$2,"dd/mm/aaaa")</f>
        <v/>
      </c>
      <c r="AE1312" s="10">
        <f>REPT(" ",10)</f>
        <v/>
      </c>
      <c r="AF1312" s="10">
        <f>REPT(" ",20)</f>
        <v/>
      </c>
      <c r="AG1312" s="54">
        <f>REPT(" ",18-LEN(FIXED(F1312,2,TRUE)))&amp;FIXED(F1312,2,TRUE)</f>
        <v/>
      </c>
      <c r="AH1312" s="10">
        <f>LEN(AC1312)+LEN(AG1312)</f>
        <v/>
      </c>
      <c r="AI1312" s="10">
        <f>LEN(L1312)</f>
        <v/>
      </c>
    </row>
    <row r="1313">
      <c r="J1313" s="12">
        <f>IF(F1313&lt;&gt;0,"LANÇAR","")</f>
        <v/>
      </c>
      <c r="L1313" s="13">
        <f>N1313&amp;O1313&amp;P1313&amp;Q1313&amp;R1313&amp;S1313&amp;T1313&amp;U1313&amp;V1313&amp;W1313&amp;X1313&amp;Y1313&amp;Z1313&amp;AA1313&amp;AB1313&amp;AC1313&amp;AD1313&amp;AE1313&amp;AF1313&amp;AG1313</f>
        <v/>
      </c>
      <c r="N1313" s="10">
        <f>TEXT($B$6,"00")</f>
        <v/>
      </c>
      <c r="O1313" s="10">
        <f>REPT(" ",8)</f>
        <v/>
      </c>
      <c r="P1313" s="10">
        <f>RIGHT($B$4,2)</f>
        <v/>
      </c>
      <c r="Q1313" s="10">
        <f>RIGHT($B$5,3)</f>
        <v/>
      </c>
      <c r="R1313" s="10">
        <f>IF(A1313="D",LEFT(UPPER(B1313)&amp;REPT(" ",20),20),REPT(" ",20))</f>
        <v/>
      </c>
      <c r="S1313" s="10">
        <f>IF(A1313="D",LEFT(UPPER(C1313)&amp;REPT(" ",10),10)," ")</f>
        <v/>
      </c>
      <c r="T1313" s="10">
        <f>IF(A1313="D",LEFT(UPPER(D1313)&amp;REPT(" ",2),2)," ")</f>
        <v/>
      </c>
      <c r="U1313" s="10">
        <f>IF(A1313="D",LEFT(UPPER(E1313)&amp;REPT(" ",15),15)," ")</f>
        <v/>
      </c>
      <c r="V1313" s="10">
        <f>REPT(" ",24)</f>
        <v/>
      </c>
      <c r="W1313" s="10">
        <f>IF(A1313="c",LEFT(UPPER(B1313)&amp;REPT(" ",20),20),REPT(" ",20))</f>
        <v/>
      </c>
      <c r="X1313" s="10">
        <f>IF(A1313="C",LEFT(UPPER(C1313)&amp;REPT(" ",10),10)," ")</f>
        <v/>
      </c>
      <c r="Y1313" s="10">
        <f>IF(A1313="C",LEFT(UPPER(D1313)&amp;REPT(" ",2),2)," ")</f>
        <v/>
      </c>
      <c r="Z1313" s="10">
        <f>IF(A1313="C",LEFT(UPPER(E1313)&amp;REPT(" ",15),15)," ")</f>
        <v/>
      </c>
      <c r="AA1313" s="10">
        <f>REPT(" ",8)</f>
        <v/>
      </c>
      <c r="AB1313" s="10">
        <f>REPT(" ",4)</f>
        <v/>
      </c>
      <c r="AC1313" s="10">
        <f>LEFT(UPPER(H1313)&amp;REPT(" ",250),250)</f>
        <v/>
      </c>
      <c r="AD1313" s="10">
        <f>TEXT($G$2,"dd/mm/aaaa")</f>
        <v/>
      </c>
      <c r="AE1313" s="10">
        <f>REPT(" ",10)</f>
        <v/>
      </c>
      <c r="AF1313" s="10">
        <f>REPT(" ",20)</f>
        <v/>
      </c>
      <c r="AG1313" s="54">
        <f>REPT(" ",18-LEN(FIXED(F1313,2,TRUE)))&amp;FIXED(F1313,2,TRUE)</f>
        <v/>
      </c>
      <c r="AH1313" s="10">
        <f>LEN(AC1313)+LEN(AG1313)</f>
        <v/>
      </c>
      <c r="AI1313" s="10">
        <f>LEN(L1313)</f>
        <v/>
      </c>
    </row>
    <row r="1314">
      <c r="J1314" s="12">
        <f>IF(F1314&lt;&gt;0,"LANÇAR","")</f>
        <v/>
      </c>
      <c r="L1314" s="13">
        <f>N1314&amp;O1314&amp;P1314&amp;Q1314&amp;R1314&amp;S1314&amp;T1314&amp;U1314&amp;V1314&amp;W1314&amp;X1314&amp;Y1314&amp;Z1314&amp;AA1314&amp;AB1314&amp;AC1314&amp;AD1314&amp;AE1314&amp;AF1314&amp;AG1314</f>
        <v/>
      </c>
      <c r="N1314" s="10">
        <f>TEXT($B$6,"00")</f>
        <v/>
      </c>
      <c r="O1314" s="10">
        <f>REPT(" ",8)</f>
        <v/>
      </c>
      <c r="P1314" s="10">
        <f>RIGHT($B$4,2)</f>
        <v/>
      </c>
      <c r="Q1314" s="10">
        <f>RIGHT($B$5,3)</f>
        <v/>
      </c>
      <c r="R1314" s="10">
        <f>IF(A1314="D",LEFT(UPPER(B1314)&amp;REPT(" ",20),20),REPT(" ",20))</f>
        <v/>
      </c>
      <c r="S1314" s="10">
        <f>IF(A1314="D",LEFT(UPPER(C1314)&amp;REPT(" ",10),10)," ")</f>
        <v/>
      </c>
      <c r="T1314" s="10">
        <f>IF(A1314="D",LEFT(UPPER(D1314)&amp;REPT(" ",2),2)," ")</f>
        <v/>
      </c>
      <c r="U1314" s="10">
        <f>IF(A1314="D",LEFT(UPPER(E1314)&amp;REPT(" ",15),15)," ")</f>
        <v/>
      </c>
      <c r="V1314" s="10">
        <f>REPT(" ",24)</f>
        <v/>
      </c>
      <c r="W1314" s="10">
        <f>IF(A1314="c",LEFT(UPPER(B1314)&amp;REPT(" ",20),20),REPT(" ",20))</f>
        <v/>
      </c>
      <c r="X1314" s="10">
        <f>IF(A1314="C",LEFT(UPPER(C1314)&amp;REPT(" ",10),10)," ")</f>
        <v/>
      </c>
      <c r="Y1314" s="10">
        <f>IF(A1314="C",LEFT(UPPER(D1314)&amp;REPT(" ",2),2)," ")</f>
        <v/>
      </c>
      <c r="Z1314" s="10">
        <f>IF(A1314="C",LEFT(UPPER(E1314)&amp;REPT(" ",15),15)," ")</f>
        <v/>
      </c>
      <c r="AA1314" s="10">
        <f>REPT(" ",8)</f>
        <v/>
      </c>
      <c r="AB1314" s="10">
        <f>REPT(" ",4)</f>
        <v/>
      </c>
      <c r="AC1314" s="10">
        <f>LEFT(UPPER(H1314)&amp;REPT(" ",250),250)</f>
        <v/>
      </c>
      <c r="AD1314" s="10">
        <f>TEXT($G$2,"dd/mm/aaaa")</f>
        <v/>
      </c>
      <c r="AE1314" s="10">
        <f>REPT(" ",10)</f>
        <v/>
      </c>
      <c r="AF1314" s="10">
        <f>REPT(" ",20)</f>
        <v/>
      </c>
      <c r="AG1314" s="54">
        <f>REPT(" ",18-LEN(FIXED(F1314,2,TRUE)))&amp;FIXED(F1314,2,TRUE)</f>
        <v/>
      </c>
      <c r="AH1314" s="10">
        <f>LEN(AC1314)+LEN(AG1314)</f>
        <v/>
      </c>
      <c r="AI1314" s="10">
        <f>LEN(L1314)</f>
        <v/>
      </c>
    </row>
    <row r="1315">
      <c r="J1315" s="12">
        <f>IF(F1315&lt;&gt;0,"LANÇAR","")</f>
        <v/>
      </c>
      <c r="L1315" s="13">
        <f>N1315&amp;O1315&amp;P1315&amp;Q1315&amp;R1315&amp;S1315&amp;T1315&amp;U1315&amp;V1315&amp;W1315&amp;X1315&amp;Y1315&amp;Z1315&amp;AA1315&amp;AB1315&amp;AC1315&amp;AD1315&amp;AE1315&amp;AF1315&amp;AG1315</f>
        <v/>
      </c>
      <c r="N1315" s="10">
        <f>TEXT($B$6,"00")</f>
        <v/>
      </c>
      <c r="O1315" s="10">
        <f>REPT(" ",8)</f>
        <v/>
      </c>
      <c r="P1315" s="10">
        <f>RIGHT($B$4,2)</f>
        <v/>
      </c>
      <c r="Q1315" s="10">
        <f>RIGHT($B$5,3)</f>
        <v/>
      </c>
      <c r="R1315" s="10">
        <f>IF(A1315="D",LEFT(UPPER(B1315)&amp;REPT(" ",20),20),REPT(" ",20))</f>
        <v/>
      </c>
      <c r="S1315" s="10">
        <f>IF(A1315="D",LEFT(UPPER(C1315)&amp;REPT(" ",10),10)," ")</f>
        <v/>
      </c>
      <c r="T1315" s="10">
        <f>IF(A1315="D",LEFT(UPPER(D1315)&amp;REPT(" ",2),2)," ")</f>
        <v/>
      </c>
      <c r="U1315" s="10">
        <f>IF(A1315="D",LEFT(UPPER(E1315)&amp;REPT(" ",15),15)," ")</f>
        <v/>
      </c>
      <c r="V1315" s="10">
        <f>REPT(" ",24)</f>
        <v/>
      </c>
      <c r="W1315" s="10">
        <f>IF(A1315="c",LEFT(UPPER(B1315)&amp;REPT(" ",20),20),REPT(" ",20))</f>
        <v/>
      </c>
      <c r="X1315" s="10">
        <f>IF(A1315="C",LEFT(UPPER(C1315)&amp;REPT(" ",10),10)," ")</f>
        <v/>
      </c>
      <c r="Y1315" s="10">
        <f>IF(A1315="C",LEFT(UPPER(D1315)&amp;REPT(" ",2),2)," ")</f>
        <v/>
      </c>
      <c r="Z1315" s="10">
        <f>IF(A1315="C",LEFT(UPPER(E1315)&amp;REPT(" ",15),15)," ")</f>
        <v/>
      </c>
      <c r="AA1315" s="10">
        <f>REPT(" ",8)</f>
        <v/>
      </c>
      <c r="AB1315" s="10">
        <f>REPT(" ",4)</f>
        <v/>
      </c>
      <c r="AC1315" s="10">
        <f>LEFT(UPPER(H1315)&amp;REPT(" ",250),250)</f>
        <v/>
      </c>
      <c r="AD1315" s="10">
        <f>TEXT($G$2,"dd/mm/aaaa")</f>
        <v/>
      </c>
      <c r="AE1315" s="10">
        <f>REPT(" ",10)</f>
        <v/>
      </c>
      <c r="AF1315" s="10">
        <f>REPT(" ",20)</f>
        <v/>
      </c>
      <c r="AG1315" s="54">
        <f>REPT(" ",18-LEN(FIXED(F1315,2,TRUE)))&amp;FIXED(F1315,2,TRUE)</f>
        <v/>
      </c>
      <c r="AH1315" s="10">
        <f>LEN(AC1315)+LEN(AG1315)</f>
        <v/>
      </c>
      <c r="AI1315" s="10">
        <f>LEN(L1315)</f>
        <v/>
      </c>
    </row>
    <row r="1316">
      <c r="J1316" s="12">
        <f>IF(F1316&lt;&gt;0,"LANÇAR","")</f>
        <v/>
      </c>
      <c r="L1316" s="13">
        <f>N1316&amp;O1316&amp;P1316&amp;Q1316&amp;R1316&amp;S1316&amp;T1316&amp;U1316&amp;V1316&amp;W1316&amp;X1316&amp;Y1316&amp;Z1316&amp;AA1316&amp;AB1316&amp;AC1316&amp;AD1316&amp;AE1316&amp;AF1316&amp;AG1316</f>
        <v/>
      </c>
      <c r="N1316" s="10">
        <f>TEXT($B$6,"00")</f>
        <v/>
      </c>
      <c r="O1316" s="10">
        <f>REPT(" ",8)</f>
        <v/>
      </c>
      <c r="P1316" s="10">
        <f>RIGHT($B$4,2)</f>
        <v/>
      </c>
      <c r="Q1316" s="10">
        <f>RIGHT($B$5,3)</f>
        <v/>
      </c>
      <c r="R1316" s="10">
        <f>IF(A1316="D",LEFT(UPPER(B1316)&amp;REPT(" ",20),20),REPT(" ",20))</f>
        <v/>
      </c>
      <c r="S1316" s="10">
        <f>IF(A1316="D",LEFT(UPPER(C1316)&amp;REPT(" ",10),10)," ")</f>
        <v/>
      </c>
      <c r="T1316" s="10">
        <f>IF(A1316="D",LEFT(UPPER(D1316)&amp;REPT(" ",2),2)," ")</f>
        <v/>
      </c>
      <c r="U1316" s="10">
        <f>IF(A1316="D",LEFT(UPPER(E1316)&amp;REPT(" ",15),15)," ")</f>
        <v/>
      </c>
      <c r="V1316" s="10">
        <f>REPT(" ",24)</f>
        <v/>
      </c>
      <c r="W1316" s="10">
        <f>IF(A1316="c",LEFT(UPPER(B1316)&amp;REPT(" ",20),20),REPT(" ",20))</f>
        <v/>
      </c>
      <c r="X1316" s="10">
        <f>IF(A1316="C",LEFT(UPPER(C1316)&amp;REPT(" ",10),10)," ")</f>
        <v/>
      </c>
      <c r="Y1316" s="10">
        <f>IF(A1316="C",LEFT(UPPER(D1316)&amp;REPT(" ",2),2)," ")</f>
        <v/>
      </c>
      <c r="Z1316" s="10">
        <f>IF(A1316="C",LEFT(UPPER(E1316)&amp;REPT(" ",15),15)," ")</f>
        <v/>
      </c>
      <c r="AA1316" s="10">
        <f>REPT(" ",8)</f>
        <v/>
      </c>
      <c r="AB1316" s="10">
        <f>REPT(" ",4)</f>
        <v/>
      </c>
      <c r="AC1316" s="10">
        <f>LEFT(UPPER(H1316)&amp;REPT(" ",250),250)</f>
        <v/>
      </c>
      <c r="AD1316" s="10">
        <f>TEXT($G$2,"dd/mm/aaaa")</f>
        <v/>
      </c>
      <c r="AE1316" s="10">
        <f>REPT(" ",10)</f>
        <v/>
      </c>
      <c r="AF1316" s="10">
        <f>REPT(" ",20)</f>
        <v/>
      </c>
      <c r="AG1316" s="54">
        <f>REPT(" ",18-LEN(FIXED(F1316,2,TRUE)))&amp;FIXED(F1316,2,TRUE)</f>
        <v/>
      </c>
      <c r="AH1316" s="10">
        <f>LEN(AC1316)+LEN(AG1316)</f>
        <v/>
      </c>
      <c r="AI1316" s="10">
        <f>LEN(L1316)</f>
        <v/>
      </c>
    </row>
    <row r="1317">
      <c r="J1317" s="12">
        <f>IF(F1317&lt;&gt;0,"LANÇAR","")</f>
        <v/>
      </c>
      <c r="L1317" s="13">
        <f>N1317&amp;O1317&amp;P1317&amp;Q1317&amp;R1317&amp;S1317&amp;T1317&amp;U1317&amp;V1317&amp;W1317&amp;X1317&amp;Y1317&amp;Z1317&amp;AA1317&amp;AB1317&amp;AC1317&amp;AD1317&amp;AE1317&amp;AF1317&amp;AG1317</f>
        <v/>
      </c>
      <c r="N1317" s="10">
        <f>TEXT($B$6,"00")</f>
        <v/>
      </c>
      <c r="O1317" s="10">
        <f>REPT(" ",8)</f>
        <v/>
      </c>
      <c r="P1317" s="10">
        <f>RIGHT($B$4,2)</f>
        <v/>
      </c>
      <c r="Q1317" s="10">
        <f>RIGHT($B$5,3)</f>
        <v/>
      </c>
      <c r="R1317" s="10">
        <f>IF(A1317="D",LEFT(UPPER(B1317)&amp;REPT(" ",20),20),REPT(" ",20))</f>
        <v/>
      </c>
      <c r="S1317" s="10">
        <f>IF(A1317="D",LEFT(UPPER(C1317)&amp;REPT(" ",10),10)," ")</f>
        <v/>
      </c>
      <c r="T1317" s="10">
        <f>IF(A1317="D",LEFT(UPPER(D1317)&amp;REPT(" ",2),2)," ")</f>
        <v/>
      </c>
      <c r="U1317" s="10">
        <f>IF(A1317="D",LEFT(UPPER(E1317)&amp;REPT(" ",15),15)," ")</f>
        <v/>
      </c>
      <c r="V1317" s="10">
        <f>REPT(" ",24)</f>
        <v/>
      </c>
      <c r="W1317" s="10">
        <f>IF(A1317="c",LEFT(UPPER(B1317)&amp;REPT(" ",20),20),REPT(" ",20))</f>
        <v/>
      </c>
      <c r="X1317" s="10">
        <f>IF(A1317="C",LEFT(UPPER(C1317)&amp;REPT(" ",10),10)," ")</f>
        <v/>
      </c>
      <c r="Y1317" s="10">
        <f>IF(A1317="C",LEFT(UPPER(D1317)&amp;REPT(" ",2),2)," ")</f>
        <v/>
      </c>
      <c r="Z1317" s="10">
        <f>IF(A1317="C",LEFT(UPPER(E1317)&amp;REPT(" ",15),15)," ")</f>
        <v/>
      </c>
      <c r="AA1317" s="10">
        <f>REPT(" ",8)</f>
        <v/>
      </c>
      <c r="AB1317" s="10">
        <f>REPT(" ",4)</f>
        <v/>
      </c>
      <c r="AC1317" s="10">
        <f>LEFT(UPPER(H1317)&amp;REPT(" ",250),250)</f>
        <v/>
      </c>
      <c r="AD1317" s="10">
        <f>TEXT($G$2,"dd/mm/aaaa")</f>
        <v/>
      </c>
      <c r="AE1317" s="10">
        <f>REPT(" ",10)</f>
        <v/>
      </c>
      <c r="AF1317" s="10">
        <f>REPT(" ",20)</f>
        <v/>
      </c>
      <c r="AG1317" s="54">
        <f>REPT(" ",18-LEN(FIXED(F1317,2,TRUE)))&amp;FIXED(F1317,2,TRUE)</f>
        <v/>
      </c>
      <c r="AH1317" s="10">
        <f>LEN(AC1317)+LEN(AG1317)</f>
        <v/>
      </c>
      <c r="AI1317" s="10">
        <f>LEN(L1317)</f>
        <v/>
      </c>
    </row>
    <row r="1318">
      <c r="J1318" s="12">
        <f>IF(F1318&lt;&gt;0,"LANÇAR","")</f>
        <v/>
      </c>
      <c r="L1318" s="13">
        <f>N1318&amp;O1318&amp;P1318&amp;Q1318&amp;R1318&amp;S1318&amp;T1318&amp;U1318&amp;V1318&amp;W1318&amp;X1318&amp;Y1318&amp;Z1318&amp;AA1318&amp;AB1318&amp;AC1318&amp;AD1318&amp;AE1318&amp;AF1318&amp;AG1318</f>
        <v/>
      </c>
      <c r="N1318" s="10">
        <f>TEXT($B$6,"00")</f>
        <v/>
      </c>
      <c r="O1318" s="10">
        <f>REPT(" ",8)</f>
        <v/>
      </c>
      <c r="P1318" s="10">
        <f>RIGHT($B$4,2)</f>
        <v/>
      </c>
      <c r="Q1318" s="10">
        <f>RIGHT($B$5,3)</f>
        <v/>
      </c>
      <c r="R1318" s="10">
        <f>IF(A1318="D",LEFT(UPPER(B1318)&amp;REPT(" ",20),20),REPT(" ",20))</f>
        <v/>
      </c>
      <c r="S1318" s="10">
        <f>IF(A1318="D",LEFT(UPPER(C1318)&amp;REPT(" ",10),10)," ")</f>
        <v/>
      </c>
      <c r="T1318" s="10">
        <f>IF(A1318="D",LEFT(UPPER(D1318)&amp;REPT(" ",2),2)," ")</f>
        <v/>
      </c>
      <c r="U1318" s="10">
        <f>IF(A1318="D",LEFT(UPPER(E1318)&amp;REPT(" ",15),15)," ")</f>
        <v/>
      </c>
      <c r="V1318" s="10">
        <f>REPT(" ",24)</f>
        <v/>
      </c>
      <c r="W1318" s="10">
        <f>IF(A1318="c",LEFT(UPPER(B1318)&amp;REPT(" ",20),20),REPT(" ",20))</f>
        <v/>
      </c>
      <c r="X1318" s="10">
        <f>IF(A1318="C",LEFT(UPPER(C1318)&amp;REPT(" ",10),10)," ")</f>
        <v/>
      </c>
      <c r="Y1318" s="10">
        <f>IF(A1318="C",LEFT(UPPER(D1318)&amp;REPT(" ",2),2)," ")</f>
        <v/>
      </c>
      <c r="Z1318" s="10">
        <f>IF(A1318="C",LEFT(UPPER(E1318)&amp;REPT(" ",15),15)," ")</f>
        <v/>
      </c>
      <c r="AA1318" s="10">
        <f>REPT(" ",8)</f>
        <v/>
      </c>
      <c r="AB1318" s="10">
        <f>REPT(" ",4)</f>
        <v/>
      </c>
      <c r="AC1318" s="10">
        <f>LEFT(UPPER(H1318)&amp;REPT(" ",250),250)</f>
        <v/>
      </c>
      <c r="AD1318" s="10">
        <f>TEXT($G$2,"dd/mm/aaaa")</f>
        <v/>
      </c>
      <c r="AE1318" s="10">
        <f>REPT(" ",10)</f>
        <v/>
      </c>
      <c r="AF1318" s="10">
        <f>REPT(" ",20)</f>
        <v/>
      </c>
      <c r="AG1318" s="54">
        <f>REPT(" ",18-LEN(FIXED(F1318,2,TRUE)))&amp;FIXED(F1318,2,TRUE)</f>
        <v/>
      </c>
      <c r="AH1318" s="10">
        <f>LEN(AC1318)+LEN(AG1318)</f>
        <v/>
      </c>
      <c r="AI1318" s="10">
        <f>LEN(L1318)</f>
        <v/>
      </c>
    </row>
    <row r="1319">
      <c r="J1319" s="12">
        <f>IF(F1319&lt;&gt;0,"LANÇAR","")</f>
        <v/>
      </c>
      <c r="L1319" s="13">
        <f>N1319&amp;O1319&amp;P1319&amp;Q1319&amp;R1319&amp;S1319&amp;T1319&amp;U1319&amp;V1319&amp;W1319&amp;X1319&amp;Y1319&amp;Z1319&amp;AA1319&amp;AB1319&amp;AC1319&amp;AD1319&amp;AE1319&amp;AF1319&amp;AG1319</f>
        <v/>
      </c>
      <c r="N1319" s="10">
        <f>TEXT($B$6,"00")</f>
        <v/>
      </c>
      <c r="O1319" s="10">
        <f>REPT(" ",8)</f>
        <v/>
      </c>
      <c r="P1319" s="10">
        <f>RIGHT($B$4,2)</f>
        <v/>
      </c>
      <c r="Q1319" s="10">
        <f>RIGHT($B$5,3)</f>
        <v/>
      </c>
      <c r="R1319" s="10">
        <f>IF(A1319="D",LEFT(UPPER(B1319)&amp;REPT(" ",20),20),REPT(" ",20))</f>
        <v/>
      </c>
      <c r="S1319" s="10">
        <f>IF(A1319="D",LEFT(UPPER(C1319)&amp;REPT(" ",10),10)," ")</f>
        <v/>
      </c>
      <c r="T1319" s="10">
        <f>IF(A1319="D",LEFT(UPPER(D1319)&amp;REPT(" ",2),2)," ")</f>
        <v/>
      </c>
      <c r="U1319" s="10">
        <f>IF(A1319="D",LEFT(UPPER(E1319)&amp;REPT(" ",15),15)," ")</f>
        <v/>
      </c>
      <c r="V1319" s="10">
        <f>REPT(" ",24)</f>
        <v/>
      </c>
      <c r="W1319" s="10">
        <f>IF(A1319="c",LEFT(UPPER(B1319)&amp;REPT(" ",20),20),REPT(" ",20))</f>
        <v/>
      </c>
      <c r="X1319" s="10">
        <f>IF(A1319="C",LEFT(UPPER(C1319)&amp;REPT(" ",10),10)," ")</f>
        <v/>
      </c>
      <c r="Y1319" s="10">
        <f>IF(A1319="C",LEFT(UPPER(D1319)&amp;REPT(" ",2),2)," ")</f>
        <v/>
      </c>
      <c r="Z1319" s="10">
        <f>IF(A1319="C",LEFT(UPPER(E1319)&amp;REPT(" ",15),15)," ")</f>
        <v/>
      </c>
      <c r="AA1319" s="10">
        <f>REPT(" ",8)</f>
        <v/>
      </c>
      <c r="AB1319" s="10">
        <f>REPT(" ",4)</f>
        <v/>
      </c>
      <c r="AC1319" s="10">
        <f>LEFT(UPPER(H1319)&amp;REPT(" ",250),250)</f>
        <v/>
      </c>
      <c r="AD1319" s="10">
        <f>TEXT($G$2,"dd/mm/aaaa")</f>
        <v/>
      </c>
      <c r="AE1319" s="10">
        <f>REPT(" ",10)</f>
        <v/>
      </c>
      <c r="AF1319" s="10">
        <f>REPT(" ",20)</f>
        <v/>
      </c>
      <c r="AG1319" s="54">
        <f>REPT(" ",18-LEN(FIXED(F1319,2,TRUE)))&amp;FIXED(F1319,2,TRUE)</f>
        <v/>
      </c>
      <c r="AH1319" s="10">
        <f>LEN(AC1319)+LEN(AG1319)</f>
        <v/>
      </c>
      <c r="AI1319" s="10">
        <f>LEN(L1319)</f>
        <v/>
      </c>
    </row>
    <row r="1320">
      <c r="J1320" s="12">
        <f>IF(F1320&lt;&gt;0,"LANÇAR","")</f>
        <v/>
      </c>
      <c r="L1320" s="13">
        <f>N1320&amp;O1320&amp;P1320&amp;Q1320&amp;R1320&amp;S1320&amp;T1320&amp;U1320&amp;V1320&amp;W1320&amp;X1320&amp;Y1320&amp;Z1320&amp;AA1320&amp;AB1320&amp;AC1320&amp;AD1320&amp;AE1320&amp;AF1320&amp;AG1320</f>
        <v/>
      </c>
      <c r="N1320" s="10">
        <f>TEXT($B$6,"00")</f>
        <v/>
      </c>
      <c r="O1320" s="10">
        <f>REPT(" ",8)</f>
        <v/>
      </c>
      <c r="P1320" s="10">
        <f>RIGHT($B$4,2)</f>
        <v/>
      </c>
      <c r="Q1320" s="10">
        <f>RIGHT($B$5,3)</f>
        <v/>
      </c>
      <c r="R1320" s="10">
        <f>IF(A1320="D",LEFT(UPPER(B1320)&amp;REPT(" ",20),20),REPT(" ",20))</f>
        <v/>
      </c>
      <c r="S1320" s="10">
        <f>IF(A1320="D",LEFT(UPPER(C1320)&amp;REPT(" ",10),10)," ")</f>
        <v/>
      </c>
      <c r="T1320" s="10">
        <f>IF(A1320="D",LEFT(UPPER(D1320)&amp;REPT(" ",2),2)," ")</f>
        <v/>
      </c>
      <c r="U1320" s="10">
        <f>IF(A1320="D",LEFT(UPPER(E1320)&amp;REPT(" ",15),15)," ")</f>
        <v/>
      </c>
      <c r="V1320" s="10">
        <f>REPT(" ",24)</f>
        <v/>
      </c>
      <c r="W1320" s="10">
        <f>IF(A1320="c",LEFT(UPPER(B1320)&amp;REPT(" ",20),20),REPT(" ",20))</f>
        <v/>
      </c>
      <c r="X1320" s="10">
        <f>IF(A1320="C",LEFT(UPPER(C1320)&amp;REPT(" ",10),10)," ")</f>
        <v/>
      </c>
      <c r="Y1320" s="10">
        <f>IF(A1320="C",LEFT(UPPER(D1320)&amp;REPT(" ",2),2)," ")</f>
        <v/>
      </c>
      <c r="Z1320" s="10">
        <f>IF(A1320="C",LEFT(UPPER(E1320)&amp;REPT(" ",15),15)," ")</f>
        <v/>
      </c>
      <c r="AA1320" s="10">
        <f>REPT(" ",8)</f>
        <v/>
      </c>
      <c r="AB1320" s="10">
        <f>REPT(" ",4)</f>
        <v/>
      </c>
      <c r="AC1320" s="10">
        <f>LEFT(UPPER(H1320)&amp;REPT(" ",250),250)</f>
        <v/>
      </c>
      <c r="AD1320" s="10">
        <f>TEXT($G$2,"dd/mm/aaaa")</f>
        <v/>
      </c>
      <c r="AE1320" s="10">
        <f>REPT(" ",10)</f>
        <v/>
      </c>
      <c r="AF1320" s="10">
        <f>REPT(" ",20)</f>
        <v/>
      </c>
      <c r="AG1320" s="54">
        <f>REPT(" ",18-LEN(FIXED(F1320,2,TRUE)))&amp;FIXED(F1320,2,TRUE)</f>
        <v/>
      </c>
      <c r="AH1320" s="10">
        <f>LEN(AC1320)+LEN(AG1320)</f>
        <v/>
      </c>
      <c r="AI1320" s="10">
        <f>LEN(L1320)</f>
        <v/>
      </c>
    </row>
    <row r="1321">
      <c r="J1321" s="12">
        <f>IF(F1321&lt;&gt;0,"LANÇAR","")</f>
        <v/>
      </c>
      <c r="L1321" s="13">
        <f>N1321&amp;O1321&amp;P1321&amp;Q1321&amp;R1321&amp;S1321&amp;T1321&amp;U1321&amp;V1321&amp;W1321&amp;X1321&amp;Y1321&amp;Z1321&amp;AA1321&amp;AB1321&amp;AC1321&amp;AD1321&amp;AE1321&amp;AF1321&amp;AG1321</f>
        <v/>
      </c>
      <c r="N1321" s="10">
        <f>TEXT($B$6,"00")</f>
        <v/>
      </c>
      <c r="O1321" s="10">
        <f>REPT(" ",8)</f>
        <v/>
      </c>
      <c r="P1321" s="10">
        <f>RIGHT($B$4,2)</f>
        <v/>
      </c>
      <c r="Q1321" s="10">
        <f>RIGHT($B$5,3)</f>
        <v/>
      </c>
      <c r="R1321" s="10">
        <f>IF(A1321="D",LEFT(UPPER(B1321)&amp;REPT(" ",20),20),REPT(" ",20))</f>
        <v/>
      </c>
      <c r="S1321" s="10">
        <f>IF(A1321="D",LEFT(UPPER(C1321)&amp;REPT(" ",10),10)," ")</f>
        <v/>
      </c>
      <c r="T1321" s="10">
        <f>IF(A1321="D",LEFT(UPPER(D1321)&amp;REPT(" ",2),2)," ")</f>
        <v/>
      </c>
      <c r="U1321" s="10">
        <f>IF(A1321="D",LEFT(UPPER(E1321)&amp;REPT(" ",15),15)," ")</f>
        <v/>
      </c>
      <c r="V1321" s="10">
        <f>REPT(" ",24)</f>
        <v/>
      </c>
      <c r="W1321" s="10">
        <f>IF(A1321="c",LEFT(UPPER(B1321)&amp;REPT(" ",20),20),REPT(" ",20))</f>
        <v/>
      </c>
      <c r="X1321" s="10">
        <f>IF(A1321="C",LEFT(UPPER(C1321)&amp;REPT(" ",10),10)," ")</f>
        <v/>
      </c>
      <c r="Y1321" s="10">
        <f>IF(A1321="C",LEFT(UPPER(D1321)&amp;REPT(" ",2),2)," ")</f>
        <v/>
      </c>
      <c r="Z1321" s="10">
        <f>IF(A1321="C",LEFT(UPPER(E1321)&amp;REPT(" ",15),15)," ")</f>
        <v/>
      </c>
      <c r="AA1321" s="10">
        <f>REPT(" ",8)</f>
        <v/>
      </c>
      <c r="AB1321" s="10">
        <f>REPT(" ",4)</f>
        <v/>
      </c>
      <c r="AC1321" s="10">
        <f>LEFT(UPPER(H1321)&amp;REPT(" ",250),250)</f>
        <v/>
      </c>
      <c r="AD1321" s="10">
        <f>TEXT($G$2,"dd/mm/aaaa")</f>
        <v/>
      </c>
      <c r="AE1321" s="10">
        <f>REPT(" ",10)</f>
        <v/>
      </c>
      <c r="AF1321" s="10">
        <f>REPT(" ",20)</f>
        <v/>
      </c>
      <c r="AG1321" s="54">
        <f>REPT(" ",18-LEN(FIXED(F1321,2,TRUE)))&amp;FIXED(F1321,2,TRUE)</f>
        <v/>
      </c>
      <c r="AH1321" s="10">
        <f>LEN(AC1321)+LEN(AG1321)</f>
        <v/>
      </c>
      <c r="AI1321" s="10">
        <f>LEN(L1321)</f>
        <v/>
      </c>
    </row>
    <row r="1322">
      <c r="J1322" s="12">
        <f>IF(F1322&lt;&gt;0,"LANÇAR","")</f>
        <v/>
      </c>
      <c r="L1322" s="13">
        <f>N1322&amp;O1322&amp;P1322&amp;Q1322&amp;R1322&amp;S1322&amp;T1322&amp;U1322&amp;V1322&amp;W1322&amp;X1322&amp;Y1322&amp;Z1322&amp;AA1322&amp;AB1322&amp;AC1322&amp;AD1322&amp;AE1322&amp;AF1322&amp;AG1322</f>
        <v/>
      </c>
      <c r="N1322" s="10">
        <f>TEXT($B$6,"00")</f>
        <v/>
      </c>
      <c r="O1322" s="10">
        <f>REPT(" ",8)</f>
        <v/>
      </c>
      <c r="P1322" s="10">
        <f>RIGHT($B$4,2)</f>
        <v/>
      </c>
      <c r="Q1322" s="10">
        <f>RIGHT($B$5,3)</f>
        <v/>
      </c>
      <c r="R1322" s="10">
        <f>IF(A1322="D",LEFT(UPPER(B1322)&amp;REPT(" ",20),20),REPT(" ",20))</f>
        <v/>
      </c>
      <c r="S1322" s="10">
        <f>IF(A1322="D",LEFT(UPPER(C1322)&amp;REPT(" ",10),10)," ")</f>
        <v/>
      </c>
      <c r="T1322" s="10">
        <f>IF(A1322="D",LEFT(UPPER(D1322)&amp;REPT(" ",2),2)," ")</f>
        <v/>
      </c>
      <c r="U1322" s="10">
        <f>IF(A1322="D",LEFT(UPPER(E1322)&amp;REPT(" ",15),15)," ")</f>
        <v/>
      </c>
      <c r="V1322" s="10">
        <f>REPT(" ",24)</f>
        <v/>
      </c>
      <c r="W1322" s="10">
        <f>IF(A1322="c",LEFT(UPPER(B1322)&amp;REPT(" ",20),20),REPT(" ",20))</f>
        <v/>
      </c>
      <c r="X1322" s="10">
        <f>IF(A1322="C",LEFT(UPPER(C1322)&amp;REPT(" ",10),10)," ")</f>
        <v/>
      </c>
      <c r="Y1322" s="10">
        <f>IF(A1322="C",LEFT(UPPER(D1322)&amp;REPT(" ",2),2)," ")</f>
        <v/>
      </c>
      <c r="Z1322" s="10">
        <f>IF(A1322="C",LEFT(UPPER(E1322)&amp;REPT(" ",15),15)," ")</f>
        <v/>
      </c>
      <c r="AA1322" s="10">
        <f>REPT(" ",8)</f>
        <v/>
      </c>
      <c r="AB1322" s="10">
        <f>REPT(" ",4)</f>
        <v/>
      </c>
      <c r="AC1322" s="10">
        <f>LEFT(UPPER(H1322)&amp;REPT(" ",250),250)</f>
        <v/>
      </c>
      <c r="AD1322" s="10">
        <f>TEXT($G$2,"dd/mm/aaaa")</f>
        <v/>
      </c>
      <c r="AE1322" s="10">
        <f>REPT(" ",10)</f>
        <v/>
      </c>
      <c r="AF1322" s="10">
        <f>REPT(" ",20)</f>
        <v/>
      </c>
      <c r="AG1322" s="54">
        <f>REPT(" ",18-LEN(FIXED(F1322,2,TRUE)))&amp;FIXED(F1322,2,TRUE)</f>
        <v/>
      </c>
      <c r="AH1322" s="10">
        <f>LEN(AC1322)+LEN(AG1322)</f>
        <v/>
      </c>
      <c r="AI1322" s="10">
        <f>LEN(L1322)</f>
        <v/>
      </c>
    </row>
    <row r="1323">
      <c r="J1323" s="12">
        <f>IF(F1323&lt;&gt;0,"LANÇAR","")</f>
        <v/>
      </c>
      <c r="L1323" s="13">
        <f>N1323&amp;O1323&amp;P1323&amp;Q1323&amp;R1323&amp;S1323&amp;T1323&amp;U1323&amp;V1323&amp;W1323&amp;X1323&amp;Y1323&amp;Z1323&amp;AA1323&amp;AB1323&amp;AC1323&amp;AD1323&amp;AE1323&amp;AF1323&amp;AG1323</f>
        <v/>
      </c>
      <c r="N1323" s="10">
        <f>TEXT($B$6,"00")</f>
        <v/>
      </c>
      <c r="O1323" s="10">
        <f>REPT(" ",8)</f>
        <v/>
      </c>
      <c r="P1323" s="10">
        <f>RIGHT($B$4,2)</f>
        <v/>
      </c>
      <c r="Q1323" s="10">
        <f>RIGHT($B$5,3)</f>
        <v/>
      </c>
      <c r="R1323" s="10">
        <f>IF(A1323="D",LEFT(UPPER(B1323)&amp;REPT(" ",20),20),REPT(" ",20))</f>
        <v/>
      </c>
      <c r="S1323" s="10">
        <f>IF(A1323="D",LEFT(UPPER(C1323)&amp;REPT(" ",10),10)," ")</f>
        <v/>
      </c>
      <c r="T1323" s="10">
        <f>IF(A1323="D",LEFT(UPPER(D1323)&amp;REPT(" ",2),2)," ")</f>
        <v/>
      </c>
      <c r="U1323" s="10">
        <f>IF(A1323="D",LEFT(UPPER(E1323)&amp;REPT(" ",15),15)," ")</f>
        <v/>
      </c>
      <c r="V1323" s="10">
        <f>REPT(" ",24)</f>
        <v/>
      </c>
      <c r="W1323" s="10">
        <f>IF(A1323="c",LEFT(UPPER(B1323)&amp;REPT(" ",20),20),REPT(" ",20))</f>
        <v/>
      </c>
      <c r="X1323" s="10">
        <f>IF(A1323="C",LEFT(UPPER(C1323)&amp;REPT(" ",10),10)," ")</f>
        <v/>
      </c>
      <c r="Y1323" s="10">
        <f>IF(A1323="C",LEFT(UPPER(D1323)&amp;REPT(" ",2),2)," ")</f>
        <v/>
      </c>
      <c r="Z1323" s="10">
        <f>IF(A1323="C",LEFT(UPPER(E1323)&amp;REPT(" ",15),15)," ")</f>
        <v/>
      </c>
      <c r="AA1323" s="10">
        <f>REPT(" ",8)</f>
        <v/>
      </c>
      <c r="AB1323" s="10">
        <f>REPT(" ",4)</f>
        <v/>
      </c>
      <c r="AC1323" s="10">
        <f>LEFT(UPPER(H1323)&amp;REPT(" ",250),250)</f>
        <v/>
      </c>
      <c r="AD1323" s="10">
        <f>TEXT($G$2,"dd/mm/aaaa")</f>
        <v/>
      </c>
      <c r="AE1323" s="10">
        <f>REPT(" ",10)</f>
        <v/>
      </c>
      <c r="AF1323" s="10">
        <f>REPT(" ",20)</f>
        <v/>
      </c>
      <c r="AG1323" s="54">
        <f>REPT(" ",18-LEN(FIXED(F1323,2,TRUE)))&amp;FIXED(F1323,2,TRUE)</f>
        <v/>
      </c>
      <c r="AH1323" s="10">
        <f>LEN(AC1323)+LEN(AG1323)</f>
        <v/>
      </c>
      <c r="AI1323" s="10">
        <f>LEN(L1323)</f>
        <v/>
      </c>
    </row>
    <row r="1324">
      <c r="J1324" s="12">
        <f>IF(F1324&lt;&gt;0,"LANÇAR","")</f>
        <v/>
      </c>
      <c r="L1324" s="13">
        <f>N1324&amp;O1324&amp;P1324&amp;Q1324&amp;R1324&amp;S1324&amp;T1324&amp;U1324&amp;V1324&amp;W1324&amp;X1324&amp;Y1324&amp;Z1324&amp;AA1324&amp;AB1324&amp;AC1324&amp;AD1324&amp;AE1324&amp;AF1324&amp;AG1324</f>
        <v/>
      </c>
      <c r="N1324" s="10">
        <f>TEXT($B$6,"00")</f>
        <v/>
      </c>
      <c r="O1324" s="10">
        <f>REPT(" ",8)</f>
        <v/>
      </c>
      <c r="P1324" s="10">
        <f>RIGHT($B$4,2)</f>
        <v/>
      </c>
      <c r="Q1324" s="10">
        <f>RIGHT($B$5,3)</f>
        <v/>
      </c>
      <c r="R1324" s="10">
        <f>IF(A1324="D",LEFT(UPPER(B1324)&amp;REPT(" ",20),20),REPT(" ",20))</f>
        <v/>
      </c>
      <c r="S1324" s="10">
        <f>IF(A1324="D",LEFT(UPPER(C1324)&amp;REPT(" ",10),10)," ")</f>
        <v/>
      </c>
      <c r="T1324" s="10">
        <f>IF(A1324="D",LEFT(UPPER(D1324)&amp;REPT(" ",2),2)," ")</f>
        <v/>
      </c>
      <c r="U1324" s="10">
        <f>IF(A1324="D",LEFT(UPPER(E1324)&amp;REPT(" ",15),15)," ")</f>
        <v/>
      </c>
      <c r="V1324" s="10">
        <f>REPT(" ",24)</f>
        <v/>
      </c>
      <c r="W1324" s="10">
        <f>IF(A1324="c",LEFT(UPPER(B1324)&amp;REPT(" ",20),20),REPT(" ",20))</f>
        <v/>
      </c>
      <c r="X1324" s="10">
        <f>IF(A1324="C",LEFT(UPPER(C1324)&amp;REPT(" ",10),10)," ")</f>
        <v/>
      </c>
      <c r="Y1324" s="10">
        <f>IF(A1324="C",LEFT(UPPER(D1324)&amp;REPT(" ",2),2)," ")</f>
        <v/>
      </c>
      <c r="Z1324" s="10">
        <f>IF(A1324="C",LEFT(UPPER(E1324)&amp;REPT(" ",15),15)," ")</f>
        <v/>
      </c>
      <c r="AA1324" s="10">
        <f>REPT(" ",8)</f>
        <v/>
      </c>
      <c r="AB1324" s="10">
        <f>REPT(" ",4)</f>
        <v/>
      </c>
      <c r="AC1324" s="10">
        <f>LEFT(UPPER(H1324)&amp;REPT(" ",250),250)</f>
        <v/>
      </c>
      <c r="AD1324" s="10">
        <f>TEXT($G$2,"dd/mm/aaaa")</f>
        <v/>
      </c>
      <c r="AE1324" s="10">
        <f>REPT(" ",10)</f>
        <v/>
      </c>
      <c r="AF1324" s="10">
        <f>REPT(" ",20)</f>
        <v/>
      </c>
      <c r="AG1324" s="54">
        <f>REPT(" ",18-LEN(FIXED(F1324,2,TRUE)))&amp;FIXED(F1324,2,TRUE)</f>
        <v/>
      </c>
      <c r="AH1324" s="10">
        <f>LEN(AC1324)+LEN(AG1324)</f>
        <v/>
      </c>
      <c r="AI1324" s="10">
        <f>LEN(L1324)</f>
        <v/>
      </c>
    </row>
    <row r="1325">
      <c r="J1325" s="12">
        <f>IF(F1325&lt;&gt;0,"LANÇAR","")</f>
        <v/>
      </c>
      <c r="L1325" s="13">
        <f>N1325&amp;O1325&amp;P1325&amp;Q1325&amp;R1325&amp;S1325&amp;T1325&amp;U1325&amp;V1325&amp;W1325&amp;X1325&amp;Y1325&amp;Z1325&amp;AA1325&amp;AB1325&amp;AC1325&amp;AD1325&amp;AE1325&amp;AF1325&amp;AG1325</f>
        <v/>
      </c>
      <c r="N1325" s="10">
        <f>TEXT($B$6,"00")</f>
        <v/>
      </c>
      <c r="O1325" s="10">
        <f>REPT(" ",8)</f>
        <v/>
      </c>
      <c r="P1325" s="10">
        <f>RIGHT($B$4,2)</f>
        <v/>
      </c>
      <c r="Q1325" s="10">
        <f>RIGHT($B$5,3)</f>
        <v/>
      </c>
      <c r="R1325" s="10">
        <f>IF(A1325="D",LEFT(UPPER(B1325)&amp;REPT(" ",20),20),REPT(" ",20))</f>
        <v/>
      </c>
      <c r="S1325" s="10">
        <f>IF(A1325="D",LEFT(UPPER(C1325)&amp;REPT(" ",10),10)," ")</f>
        <v/>
      </c>
      <c r="T1325" s="10">
        <f>IF(A1325="D",LEFT(UPPER(D1325)&amp;REPT(" ",2),2)," ")</f>
        <v/>
      </c>
      <c r="U1325" s="10">
        <f>IF(A1325="D",LEFT(UPPER(E1325)&amp;REPT(" ",15),15)," ")</f>
        <v/>
      </c>
      <c r="V1325" s="10">
        <f>REPT(" ",24)</f>
        <v/>
      </c>
      <c r="W1325" s="10">
        <f>IF(A1325="c",LEFT(UPPER(B1325)&amp;REPT(" ",20),20),REPT(" ",20))</f>
        <v/>
      </c>
      <c r="X1325" s="10">
        <f>IF(A1325="C",LEFT(UPPER(C1325)&amp;REPT(" ",10),10)," ")</f>
        <v/>
      </c>
      <c r="Y1325" s="10">
        <f>IF(A1325="C",LEFT(UPPER(D1325)&amp;REPT(" ",2),2)," ")</f>
        <v/>
      </c>
      <c r="Z1325" s="10">
        <f>IF(A1325="C",LEFT(UPPER(E1325)&amp;REPT(" ",15),15)," ")</f>
        <v/>
      </c>
      <c r="AA1325" s="10">
        <f>REPT(" ",8)</f>
        <v/>
      </c>
      <c r="AB1325" s="10">
        <f>REPT(" ",4)</f>
        <v/>
      </c>
      <c r="AC1325" s="10">
        <f>LEFT(UPPER(H1325)&amp;REPT(" ",250),250)</f>
        <v/>
      </c>
      <c r="AD1325" s="10">
        <f>TEXT($G$2,"dd/mm/aaaa")</f>
        <v/>
      </c>
      <c r="AE1325" s="10">
        <f>REPT(" ",10)</f>
        <v/>
      </c>
      <c r="AF1325" s="10">
        <f>REPT(" ",20)</f>
        <v/>
      </c>
      <c r="AG1325" s="54">
        <f>REPT(" ",18-LEN(FIXED(F1325,2,TRUE)))&amp;FIXED(F1325,2,TRUE)</f>
        <v/>
      </c>
      <c r="AH1325" s="10">
        <f>LEN(AC1325)+LEN(AG1325)</f>
        <v/>
      </c>
      <c r="AI1325" s="10">
        <f>LEN(L1325)</f>
        <v/>
      </c>
    </row>
    <row r="1326">
      <c r="J1326" s="12">
        <f>IF(F1326&lt;&gt;0,"LANÇAR","")</f>
        <v/>
      </c>
      <c r="L1326" s="13">
        <f>N1326&amp;O1326&amp;P1326&amp;Q1326&amp;R1326&amp;S1326&amp;T1326&amp;U1326&amp;V1326&amp;W1326&amp;X1326&amp;Y1326&amp;Z1326&amp;AA1326&amp;AB1326&amp;AC1326&amp;AD1326&amp;AE1326&amp;AF1326&amp;AG1326</f>
        <v/>
      </c>
      <c r="N1326" s="10">
        <f>TEXT($B$6,"00")</f>
        <v/>
      </c>
      <c r="O1326" s="10">
        <f>REPT(" ",8)</f>
        <v/>
      </c>
      <c r="P1326" s="10">
        <f>RIGHT($B$4,2)</f>
        <v/>
      </c>
      <c r="Q1326" s="10">
        <f>RIGHT($B$5,3)</f>
        <v/>
      </c>
      <c r="R1326" s="10">
        <f>IF(A1326="D",LEFT(UPPER(B1326)&amp;REPT(" ",20),20),REPT(" ",20))</f>
        <v/>
      </c>
      <c r="S1326" s="10">
        <f>IF(A1326="D",LEFT(UPPER(C1326)&amp;REPT(" ",10),10)," ")</f>
        <v/>
      </c>
      <c r="T1326" s="10">
        <f>IF(A1326="D",LEFT(UPPER(D1326)&amp;REPT(" ",2),2)," ")</f>
        <v/>
      </c>
      <c r="U1326" s="10">
        <f>IF(A1326="D",LEFT(UPPER(E1326)&amp;REPT(" ",15),15)," ")</f>
        <v/>
      </c>
      <c r="V1326" s="10">
        <f>REPT(" ",24)</f>
        <v/>
      </c>
      <c r="W1326" s="10">
        <f>IF(A1326="c",LEFT(UPPER(B1326)&amp;REPT(" ",20),20),REPT(" ",20))</f>
        <v/>
      </c>
      <c r="X1326" s="10">
        <f>IF(A1326="C",LEFT(UPPER(C1326)&amp;REPT(" ",10),10)," ")</f>
        <v/>
      </c>
      <c r="Y1326" s="10">
        <f>IF(A1326="C",LEFT(UPPER(D1326)&amp;REPT(" ",2),2)," ")</f>
        <v/>
      </c>
      <c r="Z1326" s="10">
        <f>IF(A1326="C",LEFT(UPPER(E1326)&amp;REPT(" ",15),15)," ")</f>
        <v/>
      </c>
      <c r="AA1326" s="10">
        <f>REPT(" ",8)</f>
        <v/>
      </c>
      <c r="AB1326" s="10">
        <f>REPT(" ",4)</f>
        <v/>
      </c>
      <c r="AC1326" s="10">
        <f>LEFT(UPPER(H1326)&amp;REPT(" ",250),250)</f>
        <v/>
      </c>
      <c r="AD1326" s="10">
        <f>TEXT($G$2,"dd/mm/aaaa")</f>
        <v/>
      </c>
      <c r="AE1326" s="10">
        <f>REPT(" ",10)</f>
        <v/>
      </c>
      <c r="AF1326" s="10">
        <f>REPT(" ",20)</f>
        <v/>
      </c>
      <c r="AG1326" s="54">
        <f>REPT(" ",18-LEN(FIXED(F1326,2,TRUE)))&amp;FIXED(F1326,2,TRUE)</f>
        <v/>
      </c>
      <c r="AH1326" s="10">
        <f>LEN(AC1326)+LEN(AG1326)</f>
        <v/>
      </c>
      <c r="AI1326" s="10">
        <f>LEN(L1326)</f>
        <v/>
      </c>
    </row>
    <row r="1327">
      <c r="J1327" s="12">
        <f>IF(F1327&lt;&gt;0,"LANÇAR","")</f>
        <v/>
      </c>
      <c r="L1327" s="13">
        <f>N1327&amp;O1327&amp;P1327&amp;Q1327&amp;R1327&amp;S1327&amp;T1327&amp;U1327&amp;V1327&amp;W1327&amp;X1327&amp;Y1327&amp;Z1327&amp;AA1327&amp;AB1327&amp;AC1327&amp;AD1327&amp;AE1327&amp;AF1327&amp;AG1327</f>
        <v/>
      </c>
      <c r="N1327" s="10">
        <f>TEXT($B$6,"00")</f>
        <v/>
      </c>
      <c r="O1327" s="10">
        <f>REPT(" ",8)</f>
        <v/>
      </c>
      <c r="P1327" s="10">
        <f>RIGHT($B$4,2)</f>
        <v/>
      </c>
      <c r="Q1327" s="10">
        <f>RIGHT($B$5,3)</f>
        <v/>
      </c>
      <c r="R1327" s="10">
        <f>IF(A1327="D",LEFT(UPPER(B1327)&amp;REPT(" ",20),20),REPT(" ",20))</f>
        <v/>
      </c>
      <c r="S1327" s="10">
        <f>IF(A1327="D",LEFT(UPPER(C1327)&amp;REPT(" ",10),10)," ")</f>
        <v/>
      </c>
      <c r="T1327" s="10">
        <f>IF(A1327="D",LEFT(UPPER(D1327)&amp;REPT(" ",2),2)," ")</f>
        <v/>
      </c>
      <c r="U1327" s="10">
        <f>IF(A1327="D",LEFT(UPPER(E1327)&amp;REPT(" ",15),15)," ")</f>
        <v/>
      </c>
      <c r="V1327" s="10">
        <f>REPT(" ",24)</f>
        <v/>
      </c>
      <c r="W1327" s="10">
        <f>IF(A1327="c",LEFT(UPPER(B1327)&amp;REPT(" ",20),20),REPT(" ",20))</f>
        <v/>
      </c>
      <c r="X1327" s="10">
        <f>IF(A1327="C",LEFT(UPPER(C1327)&amp;REPT(" ",10),10)," ")</f>
        <v/>
      </c>
      <c r="Y1327" s="10">
        <f>IF(A1327="C",LEFT(UPPER(D1327)&amp;REPT(" ",2),2)," ")</f>
        <v/>
      </c>
      <c r="Z1327" s="10">
        <f>IF(A1327="C",LEFT(UPPER(E1327)&amp;REPT(" ",15),15)," ")</f>
        <v/>
      </c>
      <c r="AA1327" s="10">
        <f>REPT(" ",8)</f>
        <v/>
      </c>
      <c r="AB1327" s="10">
        <f>REPT(" ",4)</f>
        <v/>
      </c>
      <c r="AC1327" s="10">
        <f>LEFT(UPPER(H1327)&amp;REPT(" ",250),250)</f>
        <v/>
      </c>
      <c r="AD1327" s="10">
        <f>TEXT($G$2,"dd/mm/aaaa")</f>
        <v/>
      </c>
      <c r="AE1327" s="10">
        <f>REPT(" ",10)</f>
        <v/>
      </c>
      <c r="AF1327" s="10">
        <f>REPT(" ",20)</f>
        <v/>
      </c>
      <c r="AG1327" s="54">
        <f>REPT(" ",18-LEN(FIXED(F1327,2,TRUE)))&amp;FIXED(F1327,2,TRUE)</f>
        <v/>
      </c>
      <c r="AH1327" s="10">
        <f>LEN(AC1327)+LEN(AG1327)</f>
        <v/>
      </c>
      <c r="AI1327" s="10">
        <f>LEN(L1327)</f>
        <v/>
      </c>
    </row>
    <row r="1328">
      <c r="J1328" s="12">
        <f>IF(F1328&lt;&gt;0,"LANÇAR","")</f>
        <v/>
      </c>
      <c r="L1328" s="13">
        <f>N1328&amp;O1328&amp;P1328&amp;Q1328&amp;R1328&amp;S1328&amp;T1328&amp;U1328&amp;V1328&amp;W1328&amp;X1328&amp;Y1328&amp;Z1328&amp;AA1328&amp;AB1328&amp;AC1328&amp;AD1328&amp;AE1328&amp;AF1328&amp;AG1328</f>
        <v/>
      </c>
      <c r="N1328" s="10">
        <f>TEXT($B$6,"00")</f>
        <v/>
      </c>
      <c r="O1328" s="10">
        <f>REPT(" ",8)</f>
        <v/>
      </c>
      <c r="P1328" s="10">
        <f>RIGHT($B$4,2)</f>
        <v/>
      </c>
      <c r="Q1328" s="10">
        <f>RIGHT($B$5,3)</f>
        <v/>
      </c>
      <c r="R1328" s="10">
        <f>IF(A1328="D",LEFT(UPPER(B1328)&amp;REPT(" ",20),20),REPT(" ",20))</f>
        <v/>
      </c>
      <c r="S1328" s="10">
        <f>IF(A1328="D",LEFT(UPPER(C1328)&amp;REPT(" ",10),10)," ")</f>
        <v/>
      </c>
      <c r="T1328" s="10">
        <f>IF(A1328="D",LEFT(UPPER(D1328)&amp;REPT(" ",2),2)," ")</f>
        <v/>
      </c>
      <c r="U1328" s="10">
        <f>IF(A1328="D",LEFT(UPPER(E1328)&amp;REPT(" ",15),15)," ")</f>
        <v/>
      </c>
      <c r="V1328" s="10">
        <f>REPT(" ",24)</f>
        <v/>
      </c>
      <c r="W1328" s="10">
        <f>IF(A1328="c",LEFT(UPPER(B1328)&amp;REPT(" ",20),20),REPT(" ",20))</f>
        <v/>
      </c>
      <c r="X1328" s="10">
        <f>IF(A1328="C",LEFT(UPPER(C1328)&amp;REPT(" ",10),10)," ")</f>
        <v/>
      </c>
      <c r="Y1328" s="10">
        <f>IF(A1328="C",LEFT(UPPER(D1328)&amp;REPT(" ",2),2)," ")</f>
        <v/>
      </c>
      <c r="Z1328" s="10">
        <f>IF(A1328="C",LEFT(UPPER(E1328)&amp;REPT(" ",15),15)," ")</f>
        <v/>
      </c>
      <c r="AA1328" s="10">
        <f>REPT(" ",8)</f>
        <v/>
      </c>
      <c r="AB1328" s="10">
        <f>REPT(" ",4)</f>
        <v/>
      </c>
      <c r="AC1328" s="10">
        <f>LEFT(UPPER(H1328)&amp;REPT(" ",250),250)</f>
        <v/>
      </c>
      <c r="AD1328" s="10">
        <f>TEXT($G$2,"dd/mm/aaaa")</f>
        <v/>
      </c>
      <c r="AE1328" s="10">
        <f>REPT(" ",10)</f>
        <v/>
      </c>
      <c r="AF1328" s="10">
        <f>REPT(" ",20)</f>
        <v/>
      </c>
      <c r="AG1328" s="54">
        <f>REPT(" ",18-LEN(FIXED(F1328,2,TRUE)))&amp;FIXED(F1328,2,TRUE)</f>
        <v/>
      </c>
      <c r="AH1328" s="10">
        <f>LEN(AC1328)+LEN(AG1328)</f>
        <v/>
      </c>
      <c r="AI1328" s="10">
        <f>LEN(L1328)</f>
        <v/>
      </c>
    </row>
    <row r="1329">
      <c r="J1329" s="12">
        <f>IF(F1329&lt;&gt;0,"LANÇAR","")</f>
        <v/>
      </c>
      <c r="L1329" s="13">
        <f>N1329&amp;O1329&amp;P1329&amp;Q1329&amp;R1329&amp;S1329&amp;T1329&amp;U1329&amp;V1329&amp;W1329&amp;X1329&amp;Y1329&amp;Z1329&amp;AA1329&amp;AB1329&amp;AC1329&amp;AD1329&amp;AE1329&amp;AF1329&amp;AG1329</f>
        <v/>
      </c>
      <c r="N1329" s="10">
        <f>TEXT($B$6,"00")</f>
        <v/>
      </c>
      <c r="O1329" s="10">
        <f>REPT(" ",8)</f>
        <v/>
      </c>
      <c r="P1329" s="10">
        <f>RIGHT($B$4,2)</f>
        <v/>
      </c>
      <c r="Q1329" s="10">
        <f>RIGHT($B$5,3)</f>
        <v/>
      </c>
      <c r="R1329" s="10">
        <f>IF(A1329="D",LEFT(UPPER(B1329)&amp;REPT(" ",20),20),REPT(" ",20))</f>
        <v/>
      </c>
      <c r="S1329" s="10">
        <f>IF(A1329="D",LEFT(UPPER(C1329)&amp;REPT(" ",10),10)," ")</f>
        <v/>
      </c>
      <c r="T1329" s="10">
        <f>IF(A1329="D",LEFT(UPPER(D1329)&amp;REPT(" ",2),2)," ")</f>
        <v/>
      </c>
      <c r="U1329" s="10">
        <f>IF(A1329="D",LEFT(UPPER(E1329)&amp;REPT(" ",15),15)," ")</f>
        <v/>
      </c>
      <c r="V1329" s="10">
        <f>REPT(" ",24)</f>
        <v/>
      </c>
      <c r="W1329" s="10">
        <f>IF(A1329="c",LEFT(UPPER(B1329)&amp;REPT(" ",20),20),REPT(" ",20))</f>
        <v/>
      </c>
      <c r="X1329" s="10">
        <f>IF(A1329="C",LEFT(UPPER(C1329)&amp;REPT(" ",10),10)," ")</f>
        <v/>
      </c>
      <c r="Y1329" s="10">
        <f>IF(A1329="C",LEFT(UPPER(D1329)&amp;REPT(" ",2),2)," ")</f>
        <v/>
      </c>
      <c r="Z1329" s="10">
        <f>IF(A1329="C",LEFT(UPPER(E1329)&amp;REPT(" ",15),15)," ")</f>
        <v/>
      </c>
      <c r="AA1329" s="10">
        <f>REPT(" ",8)</f>
        <v/>
      </c>
      <c r="AB1329" s="10">
        <f>REPT(" ",4)</f>
        <v/>
      </c>
      <c r="AC1329" s="10">
        <f>LEFT(UPPER(H1329)&amp;REPT(" ",250),250)</f>
        <v/>
      </c>
      <c r="AD1329" s="10">
        <f>TEXT($G$2,"dd/mm/aaaa")</f>
        <v/>
      </c>
      <c r="AE1329" s="10">
        <f>REPT(" ",10)</f>
        <v/>
      </c>
      <c r="AF1329" s="10">
        <f>REPT(" ",20)</f>
        <v/>
      </c>
      <c r="AG1329" s="54">
        <f>REPT(" ",18-LEN(FIXED(F1329,2,TRUE)))&amp;FIXED(F1329,2,TRUE)</f>
        <v/>
      </c>
      <c r="AH1329" s="10">
        <f>LEN(AC1329)+LEN(AG1329)</f>
        <v/>
      </c>
      <c r="AI1329" s="10">
        <f>LEN(L1329)</f>
        <v/>
      </c>
    </row>
    <row r="1330">
      <c r="J1330" s="12">
        <f>IF(F1330&lt;&gt;0,"LANÇAR","")</f>
        <v/>
      </c>
      <c r="L1330" s="13">
        <f>N1330&amp;O1330&amp;P1330&amp;Q1330&amp;R1330&amp;S1330&amp;T1330&amp;U1330&amp;V1330&amp;W1330&amp;X1330&amp;Y1330&amp;Z1330&amp;AA1330&amp;AB1330&amp;AC1330&amp;AD1330&amp;AE1330&amp;AF1330&amp;AG1330</f>
        <v/>
      </c>
      <c r="N1330" s="10">
        <f>TEXT($B$6,"00")</f>
        <v/>
      </c>
      <c r="O1330" s="10">
        <f>REPT(" ",8)</f>
        <v/>
      </c>
      <c r="P1330" s="10">
        <f>RIGHT($B$4,2)</f>
        <v/>
      </c>
      <c r="Q1330" s="10">
        <f>RIGHT($B$5,3)</f>
        <v/>
      </c>
      <c r="R1330" s="10">
        <f>IF(A1330="D",LEFT(UPPER(B1330)&amp;REPT(" ",20),20),REPT(" ",20))</f>
        <v/>
      </c>
      <c r="S1330" s="10">
        <f>IF(A1330="D",LEFT(UPPER(C1330)&amp;REPT(" ",10),10)," ")</f>
        <v/>
      </c>
      <c r="T1330" s="10">
        <f>IF(A1330="D",LEFT(UPPER(D1330)&amp;REPT(" ",2),2)," ")</f>
        <v/>
      </c>
      <c r="U1330" s="10">
        <f>IF(A1330="D",LEFT(UPPER(E1330)&amp;REPT(" ",15),15)," ")</f>
        <v/>
      </c>
      <c r="V1330" s="10">
        <f>REPT(" ",24)</f>
        <v/>
      </c>
      <c r="W1330" s="10">
        <f>IF(A1330="c",LEFT(UPPER(B1330)&amp;REPT(" ",20),20),REPT(" ",20))</f>
        <v/>
      </c>
      <c r="X1330" s="10">
        <f>IF(A1330="C",LEFT(UPPER(C1330)&amp;REPT(" ",10),10)," ")</f>
        <v/>
      </c>
      <c r="Y1330" s="10">
        <f>IF(A1330="C",LEFT(UPPER(D1330)&amp;REPT(" ",2),2)," ")</f>
        <v/>
      </c>
      <c r="Z1330" s="10">
        <f>IF(A1330="C",LEFT(UPPER(E1330)&amp;REPT(" ",15),15)," ")</f>
        <v/>
      </c>
      <c r="AA1330" s="10">
        <f>REPT(" ",8)</f>
        <v/>
      </c>
      <c r="AB1330" s="10">
        <f>REPT(" ",4)</f>
        <v/>
      </c>
      <c r="AC1330" s="10">
        <f>LEFT(UPPER(H1330)&amp;REPT(" ",250),250)</f>
        <v/>
      </c>
      <c r="AD1330" s="10">
        <f>TEXT($G$2,"dd/mm/aaaa")</f>
        <v/>
      </c>
      <c r="AE1330" s="10">
        <f>REPT(" ",10)</f>
        <v/>
      </c>
      <c r="AF1330" s="10">
        <f>REPT(" ",20)</f>
        <v/>
      </c>
      <c r="AG1330" s="54">
        <f>REPT(" ",18-LEN(FIXED(F1330,2,TRUE)))&amp;FIXED(F1330,2,TRUE)</f>
        <v/>
      </c>
      <c r="AH1330" s="10">
        <f>LEN(AC1330)+LEN(AG1330)</f>
        <v/>
      </c>
      <c r="AI1330" s="10">
        <f>LEN(L1330)</f>
        <v/>
      </c>
    </row>
    <row r="1331">
      <c r="J1331" s="12">
        <f>IF(F1331&lt;&gt;0,"LANÇAR","")</f>
        <v/>
      </c>
      <c r="L1331" s="13">
        <f>N1331&amp;O1331&amp;P1331&amp;Q1331&amp;R1331&amp;S1331&amp;T1331&amp;U1331&amp;V1331&amp;W1331&amp;X1331&amp;Y1331&amp;Z1331&amp;AA1331&amp;AB1331&amp;AC1331&amp;AD1331&amp;AE1331&amp;AF1331&amp;AG1331</f>
        <v/>
      </c>
      <c r="N1331" s="10">
        <f>TEXT($B$6,"00")</f>
        <v/>
      </c>
      <c r="O1331" s="10">
        <f>REPT(" ",8)</f>
        <v/>
      </c>
      <c r="P1331" s="10">
        <f>RIGHT($B$4,2)</f>
        <v/>
      </c>
      <c r="Q1331" s="10">
        <f>RIGHT($B$5,3)</f>
        <v/>
      </c>
      <c r="R1331" s="10">
        <f>IF(A1331="D",LEFT(UPPER(B1331)&amp;REPT(" ",20),20),REPT(" ",20))</f>
        <v/>
      </c>
      <c r="S1331" s="10">
        <f>IF(A1331="D",LEFT(UPPER(C1331)&amp;REPT(" ",10),10)," ")</f>
        <v/>
      </c>
      <c r="T1331" s="10">
        <f>IF(A1331="D",LEFT(UPPER(D1331)&amp;REPT(" ",2),2)," ")</f>
        <v/>
      </c>
      <c r="U1331" s="10">
        <f>IF(A1331="D",LEFT(UPPER(E1331)&amp;REPT(" ",15),15)," ")</f>
        <v/>
      </c>
      <c r="V1331" s="10">
        <f>REPT(" ",24)</f>
        <v/>
      </c>
      <c r="W1331" s="10">
        <f>IF(A1331="c",LEFT(UPPER(B1331)&amp;REPT(" ",20),20),REPT(" ",20))</f>
        <v/>
      </c>
      <c r="X1331" s="10">
        <f>IF(A1331="C",LEFT(UPPER(C1331)&amp;REPT(" ",10),10)," ")</f>
        <v/>
      </c>
      <c r="Y1331" s="10">
        <f>IF(A1331="C",LEFT(UPPER(D1331)&amp;REPT(" ",2),2)," ")</f>
        <v/>
      </c>
      <c r="Z1331" s="10">
        <f>IF(A1331="C",LEFT(UPPER(E1331)&amp;REPT(" ",15),15)," ")</f>
        <v/>
      </c>
      <c r="AA1331" s="10">
        <f>REPT(" ",8)</f>
        <v/>
      </c>
      <c r="AB1331" s="10">
        <f>REPT(" ",4)</f>
        <v/>
      </c>
      <c r="AC1331" s="10">
        <f>LEFT(UPPER(H1331)&amp;REPT(" ",250),250)</f>
        <v/>
      </c>
      <c r="AD1331" s="10">
        <f>TEXT($G$2,"dd/mm/aaaa")</f>
        <v/>
      </c>
      <c r="AE1331" s="10">
        <f>REPT(" ",10)</f>
        <v/>
      </c>
      <c r="AF1331" s="10">
        <f>REPT(" ",20)</f>
        <v/>
      </c>
      <c r="AG1331" s="54">
        <f>REPT(" ",18-LEN(FIXED(F1331,2,TRUE)))&amp;FIXED(F1331,2,TRUE)</f>
        <v/>
      </c>
      <c r="AH1331" s="10">
        <f>LEN(AC1331)+LEN(AG1331)</f>
        <v/>
      </c>
      <c r="AI1331" s="10">
        <f>LEN(L1331)</f>
        <v/>
      </c>
    </row>
    <row r="1332">
      <c r="J1332" s="12">
        <f>IF(F1332&lt;&gt;0,"LANÇAR","")</f>
        <v/>
      </c>
      <c r="L1332" s="13">
        <f>N1332&amp;O1332&amp;P1332&amp;Q1332&amp;R1332&amp;S1332&amp;T1332&amp;U1332&amp;V1332&amp;W1332&amp;X1332&amp;Y1332&amp;Z1332&amp;AA1332&amp;AB1332&amp;AC1332&amp;AD1332&amp;AE1332&amp;AF1332&amp;AG1332</f>
        <v/>
      </c>
      <c r="N1332" s="10">
        <f>TEXT($B$6,"00")</f>
        <v/>
      </c>
      <c r="O1332" s="10">
        <f>REPT(" ",8)</f>
        <v/>
      </c>
      <c r="P1332" s="10">
        <f>RIGHT($B$4,2)</f>
        <v/>
      </c>
      <c r="Q1332" s="10">
        <f>RIGHT($B$5,3)</f>
        <v/>
      </c>
      <c r="R1332" s="10">
        <f>IF(A1332="D",LEFT(UPPER(B1332)&amp;REPT(" ",20),20),REPT(" ",20))</f>
        <v/>
      </c>
      <c r="S1332" s="10">
        <f>IF(A1332="D",LEFT(UPPER(C1332)&amp;REPT(" ",10),10)," ")</f>
        <v/>
      </c>
      <c r="T1332" s="10">
        <f>IF(A1332="D",LEFT(UPPER(D1332)&amp;REPT(" ",2),2)," ")</f>
        <v/>
      </c>
      <c r="U1332" s="10">
        <f>IF(A1332="D",LEFT(UPPER(E1332)&amp;REPT(" ",15),15)," ")</f>
        <v/>
      </c>
      <c r="V1332" s="10">
        <f>REPT(" ",24)</f>
        <v/>
      </c>
      <c r="W1332" s="10">
        <f>IF(A1332="c",LEFT(UPPER(B1332)&amp;REPT(" ",20),20),REPT(" ",20))</f>
        <v/>
      </c>
      <c r="X1332" s="10">
        <f>IF(A1332="C",LEFT(UPPER(C1332)&amp;REPT(" ",10),10)," ")</f>
        <v/>
      </c>
      <c r="Y1332" s="10">
        <f>IF(A1332="C",LEFT(UPPER(D1332)&amp;REPT(" ",2),2)," ")</f>
        <v/>
      </c>
      <c r="Z1332" s="10">
        <f>IF(A1332="C",LEFT(UPPER(E1332)&amp;REPT(" ",15),15)," ")</f>
        <v/>
      </c>
      <c r="AA1332" s="10">
        <f>REPT(" ",8)</f>
        <v/>
      </c>
      <c r="AB1332" s="10">
        <f>REPT(" ",4)</f>
        <v/>
      </c>
      <c r="AC1332" s="10">
        <f>LEFT(UPPER(H1332)&amp;REPT(" ",250),250)</f>
        <v/>
      </c>
      <c r="AD1332" s="10">
        <f>TEXT($G$2,"dd/mm/aaaa")</f>
        <v/>
      </c>
      <c r="AE1332" s="10">
        <f>REPT(" ",10)</f>
        <v/>
      </c>
      <c r="AF1332" s="10">
        <f>REPT(" ",20)</f>
        <v/>
      </c>
      <c r="AG1332" s="54">
        <f>REPT(" ",18-LEN(FIXED(F1332,2,TRUE)))&amp;FIXED(F1332,2,TRUE)</f>
        <v/>
      </c>
      <c r="AH1332" s="10">
        <f>LEN(AC1332)+LEN(AG1332)</f>
        <v/>
      </c>
      <c r="AI1332" s="10">
        <f>LEN(L1332)</f>
        <v/>
      </c>
    </row>
    <row r="1333">
      <c r="J1333" s="12">
        <f>IF(F1333&lt;&gt;0,"LANÇAR","")</f>
        <v/>
      </c>
      <c r="L1333" s="13">
        <f>N1333&amp;O1333&amp;P1333&amp;Q1333&amp;R1333&amp;S1333&amp;T1333&amp;U1333&amp;V1333&amp;W1333&amp;X1333&amp;Y1333&amp;Z1333&amp;AA1333&amp;AB1333&amp;AC1333&amp;AD1333&amp;AE1333&amp;AF1333&amp;AG1333</f>
        <v/>
      </c>
      <c r="N1333" s="10">
        <f>TEXT($B$6,"00")</f>
        <v/>
      </c>
      <c r="O1333" s="10">
        <f>REPT(" ",8)</f>
        <v/>
      </c>
      <c r="P1333" s="10">
        <f>RIGHT($B$4,2)</f>
        <v/>
      </c>
      <c r="Q1333" s="10">
        <f>RIGHT($B$5,3)</f>
        <v/>
      </c>
      <c r="R1333" s="10">
        <f>IF(A1333="D",LEFT(UPPER(B1333)&amp;REPT(" ",20),20),REPT(" ",20))</f>
        <v/>
      </c>
      <c r="S1333" s="10">
        <f>IF(A1333="D",LEFT(UPPER(C1333)&amp;REPT(" ",10),10)," ")</f>
        <v/>
      </c>
      <c r="T1333" s="10">
        <f>IF(A1333="D",LEFT(UPPER(D1333)&amp;REPT(" ",2),2)," ")</f>
        <v/>
      </c>
      <c r="U1333" s="10">
        <f>IF(A1333="D",LEFT(UPPER(E1333)&amp;REPT(" ",15),15)," ")</f>
        <v/>
      </c>
      <c r="V1333" s="10">
        <f>REPT(" ",24)</f>
        <v/>
      </c>
      <c r="W1333" s="10">
        <f>IF(A1333="c",LEFT(UPPER(B1333)&amp;REPT(" ",20),20),REPT(" ",20))</f>
        <v/>
      </c>
      <c r="X1333" s="10">
        <f>IF(A1333="C",LEFT(UPPER(C1333)&amp;REPT(" ",10),10)," ")</f>
        <v/>
      </c>
      <c r="Y1333" s="10">
        <f>IF(A1333="C",LEFT(UPPER(D1333)&amp;REPT(" ",2),2)," ")</f>
        <v/>
      </c>
      <c r="Z1333" s="10">
        <f>IF(A1333="C",LEFT(UPPER(E1333)&amp;REPT(" ",15),15)," ")</f>
        <v/>
      </c>
      <c r="AA1333" s="10">
        <f>REPT(" ",8)</f>
        <v/>
      </c>
      <c r="AB1333" s="10">
        <f>REPT(" ",4)</f>
        <v/>
      </c>
      <c r="AC1333" s="10">
        <f>LEFT(UPPER(H1333)&amp;REPT(" ",250),250)</f>
        <v/>
      </c>
      <c r="AD1333" s="10">
        <f>TEXT($G$2,"dd/mm/aaaa")</f>
        <v/>
      </c>
      <c r="AE1333" s="10">
        <f>REPT(" ",10)</f>
        <v/>
      </c>
      <c r="AF1333" s="10">
        <f>REPT(" ",20)</f>
        <v/>
      </c>
      <c r="AG1333" s="54">
        <f>REPT(" ",18-LEN(FIXED(F1333,2,TRUE)))&amp;FIXED(F1333,2,TRUE)</f>
        <v/>
      </c>
      <c r="AH1333" s="10">
        <f>LEN(AC1333)+LEN(AG1333)</f>
        <v/>
      </c>
      <c r="AI1333" s="10">
        <f>LEN(L1333)</f>
        <v/>
      </c>
    </row>
    <row r="1334">
      <c r="J1334" s="12">
        <f>IF(F1334&lt;&gt;0,"LANÇAR","")</f>
        <v/>
      </c>
      <c r="L1334" s="13">
        <f>N1334&amp;O1334&amp;P1334&amp;Q1334&amp;R1334&amp;S1334&amp;T1334&amp;U1334&amp;V1334&amp;W1334&amp;X1334&amp;Y1334&amp;Z1334&amp;AA1334&amp;AB1334&amp;AC1334&amp;AD1334&amp;AE1334&amp;AF1334&amp;AG1334</f>
        <v/>
      </c>
      <c r="N1334" s="10">
        <f>TEXT($B$6,"00")</f>
        <v/>
      </c>
      <c r="O1334" s="10">
        <f>REPT(" ",8)</f>
        <v/>
      </c>
      <c r="P1334" s="10">
        <f>RIGHT($B$4,2)</f>
        <v/>
      </c>
      <c r="Q1334" s="10">
        <f>RIGHT($B$5,3)</f>
        <v/>
      </c>
      <c r="R1334" s="10">
        <f>IF(A1334="D",LEFT(UPPER(B1334)&amp;REPT(" ",20),20),REPT(" ",20))</f>
        <v/>
      </c>
      <c r="S1334" s="10">
        <f>IF(A1334="D",LEFT(UPPER(C1334)&amp;REPT(" ",10),10)," ")</f>
        <v/>
      </c>
      <c r="T1334" s="10">
        <f>IF(A1334="D",LEFT(UPPER(D1334)&amp;REPT(" ",2),2)," ")</f>
        <v/>
      </c>
      <c r="U1334" s="10">
        <f>IF(A1334="D",LEFT(UPPER(E1334)&amp;REPT(" ",15),15)," ")</f>
        <v/>
      </c>
      <c r="V1334" s="10">
        <f>REPT(" ",24)</f>
        <v/>
      </c>
      <c r="W1334" s="10">
        <f>IF(A1334="c",LEFT(UPPER(B1334)&amp;REPT(" ",20),20),REPT(" ",20))</f>
        <v/>
      </c>
      <c r="X1334" s="10">
        <f>IF(A1334="C",LEFT(UPPER(C1334)&amp;REPT(" ",10),10)," ")</f>
        <v/>
      </c>
      <c r="Y1334" s="10">
        <f>IF(A1334="C",LEFT(UPPER(D1334)&amp;REPT(" ",2),2)," ")</f>
        <v/>
      </c>
      <c r="Z1334" s="10">
        <f>IF(A1334="C",LEFT(UPPER(E1334)&amp;REPT(" ",15),15)," ")</f>
        <v/>
      </c>
      <c r="AA1334" s="10">
        <f>REPT(" ",8)</f>
        <v/>
      </c>
      <c r="AB1334" s="10">
        <f>REPT(" ",4)</f>
        <v/>
      </c>
      <c r="AC1334" s="10">
        <f>LEFT(UPPER(H1334)&amp;REPT(" ",250),250)</f>
        <v/>
      </c>
      <c r="AD1334" s="10">
        <f>TEXT($G$2,"dd/mm/aaaa")</f>
        <v/>
      </c>
      <c r="AE1334" s="10">
        <f>REPT(" ",10)</f>
        <v/>
      </c>
      <c r="AF1334" s="10">
        <f>REPT(" ",20)</f>
        <v/>
      </c>
      <c r="AG1334" s="54">
        <f>REPT(" ",18-LEN(FIXED(F1334,2,TRUE)))&amp;FIXED(F1334,2,TRUE)</f>
        <v/>
      </c>
      <c r="AH1334" s="10">
        <f>LEN(AC1334)+LEN(AG1334)</f>
        <v/>
      </c>
      <c r="AI1334" s="10">
        <f>LEN(L1334)</f>
        <v/>
      </c>
    </row>
    <row r="1335">
      <c r="J1335" s="12">
        <f>IF(F1335&lt;&gt;0,"LANÇAR","")</f>
        <v/>
      </c>
      <c r="L1335" s="13">
        <f>N1335&amp;O1335&amp;P1335&amp;Q1335&amp;R1335&amp;S1335&amp;T1335&amp;U1335&amp;V1335&amp;W1335&amp;X1335&amp;Y1335&amp;Z1335&amp;AA1335&amp;AB1335&amp;AC1335&amp;AD1335&amp;AE1335&amp;AF1335&amp;AG1335</f>
        <v/>
      </c>
      <c r="N1335" s="10">
        <f>TEXT($B$6,"00")</f>
        <v/>
      </c>
      <c r="O1335" s="10">
        <f>REPT(" ",8)</f>
        <v/>
      </c>
      <c r="P1335" s="10">
        <f>RIGHT($B$4,2)</f>
        <v/>
      </c>
      <c r="Q1335" s="10">
        <f>RIGHT($B$5,3)</f>
        <v/>
      </c>
      <c r="R1335" s="10">
        <f>IF(A1335="D",LEFT(UPPER(B1335)&amp;REPT(" ",20),20),REPT(" ",20))</f>
        <v/>
      </c>
      <c r="S1335" s="10">
        <f>IF(A1335="D",LEFT(UPPER(C1335)&amp;REPT(" ",10),10)," ")</f>
        <v/>
      </c>
      <c r="T1335" s="10">
        <f>IF(A1335="D",LEFT(UPPER(D1335)&amp;REPT(" ",2),2)," ")</f>
        <v/>
      </c>
      <c r="U1335" s="10">
        <f>IF(A1335="D",LEFT(UPPER(E1335)&amp;REPT(" ",15),15)," ")</f>
        <v/>
      </c>
      <c r="V1335" s="10">
        <f>REPT(" ",24)</f>
        <v/>
      </c>
      <c r="W1335" s="10">
        <f>IF(A1335="c",LEFT(UPPER(B1335)&amp;REPT(" ",20),20),REPT(" ",20))</f>
        <v/>
      </c>
      <c r="X1335" s="10">
        <f>IF(A1335="C",LEFT(UPPER(C1335)&amp;REPT(" ",10),10)," ")</f>
        <v/>
      </c>
      <c r="Y1335" s="10">
        <f>IF(A1335="C",LEFT(UPPER(D1335)&amp;REPT(" ",2),2)," ")</f>
        <v/>
      </c>
      <c r="Z1335" s="10">
        <f>IF(A1335="C",LEFT(UPPER(E1335)&amp;REPT(" ",15),15)," ")</f>
        <v/>
      </c>
      <c r="AA1335" s="10">
        <f>REPT(" ",8)</f>
        <v/>
      </c>
      <c r="AB1335" s="10">
        <f>REPT(" ",4)</f>
        <v/>
      </c>
      <c r="AC1335" s="10">
        <f>LEFT(UPPER(H1335)&amp;REPT(" ",250),250)</f>
        <v/>
      </c>
      <c r="AD1335" s="10">
        <f>TEXT($G$2,"dd/mm/aaaa")</f>
        <v/>
      </c>
      <c r="AE1335" s="10">
        <f>REPT(" ",10)</f>
        <v/>
      </c>
      <c r="AF1335" s="10">
        <f>REPT(" ",20)</f>
        <v/>
      </c>
      <c r="AG1335" s="54">
        <f>REPT(" ",18-LEN(FIXED(F1335,2,TRUE)))&amp;FIXED(F1335,2,TRUE)</f>
        <v/>
      </c>
      <c r="AH1335" s="10">
        <f>LEN(AC1335)+LEN(AG1335)</f>
        <v/>
      </c>
      <c r="AI1335" s="10">
        <f>LEN(L1335)</f>
        <v/>
      </c>
    </row>
    <row r="1336">
      <c r="J1336" s="12">
        <f>IF(F1336&lt;&gt;0,"LANÇAR","")</f>
        <v/>
      </c>
      <c r="L1336" s="13">
        <f>N1336&amp;O1336&amp;P1336&amp;Q1336&amp;R1336&amp;S1336&amp;T1336&amp;U1336&amp;V1336&amp;W1336&amp;X1336&amp;Y1336&amp;Z1336&amp;AA1336&amp;AB1336&amp;AC1336&amp;AD1336&amp;AE1336&amp;AF1336&amp;AG1336</f>
        <v/>
      </c>
      <c r="N1336" s="10">
        <f>TEXT($B$6,"00")</f>
        <v/>
      </c>
      <c r="O1336" s="10">
        <f>REPT(" ",8)</f>
        <v/>
      </c>
      <c r="P1336" s="10">
        <f>RIGHT($B$4,2)</f>
        <v/>
      </c>
      <c r="Q1336" s="10">
        <f>RIGHT($B$5,3)</f>
        <v/>
      </c>
      <c r="R1336" s="10">
        <f>IF(A1336="D",LEFT(UPPER(B1336)&amp;REPT(" ",20),20),REPT(" ",20))</f>
        <v/>
      </c>
      <c r="S1336" s="10">
        <f>IF(A1336="D",LEFT(UPPER(C1336)&amp;REPT(" ",10),10)," ")</f>
        <v/>
      </c>
      <c r="T1336" s="10">
        <f>IF(A1336="D",LEFT(UPPER(D1336)&amp;REPT(" ",2),2)," ")</f>
        <v/>
      </c>
      <c r="U1336" s="10">
        <f>IF(A1336="D",LEFT(UPPER(E1336)&amp;REPT(" ",15),15)," ")</f>
        <v/>
      </c>
      <c r="V1336" s="10">
        <f>REPT(" ",24)</f>
        <v/>
      </c>
      <c r="W1336" s="10">
        <f>IF(A1336="c",LEFT(UPPER(B1336)&amp;REPT(" ",20),20),REPT(" ",20))</f>
        <v/>
      </c>
      <c r="X1336" s="10">
        <f>IF(A1336="C",LEFT(UPPER(C1336)&amp;REPT(" ",10),10)," ")</f>
        <v/>
      </c>
      <c r="Y1336" s="10">
        <f>IF(A1336="C",LEFT(UPPER(D1336)&amp;REPT(" ",2),2)," ")</f>
        <v/>
      </c>
      <c r="Z1336" s="10">
        <f>IF(A1336="C",LEFT(UPPER(E1336)&amp;REPT(" ",15),15)," ")</f>
        <v/>
      </c>
      <c r="AA1336" s="10">
        <f>REPT(" ",8)</f>
        <v/>
      </c>
      <c r="AB1336" s="10">
        <f>REPT(" ",4)</f>
        <v/>
      </c>
      <c r="AC1336" s="10">
        <f>LEFT(UPPER(H1336)&amp;REPT(" ",250),250)</f>
        <v/>
      </c>
      <c r="AD1336" s="10">
        <f>TEXT($G$2,"dd/mm/aaaa")</f>
        <v/>
      </c>
      <c r="AE1336" s="10">
        <f>REPT(" ",10)</f>
        <v/>
      </c>
      <c r="AF1336" s="10">
        <f>REPT(" ",20)</f>
        <v/>
      </c>
      <c r="AG1336" s="54">
        <f>REPT(" ",18-LEN(FIXED(F1336,2,TRUE)))&amp;FIXED(F1336,2,TRUE)</f>
        <v/>
      </c>
      <c r="AH1336" s="10">
        <f>LEN(AC1336)+LEN(AG1336)</f>
        <v/>
      </c>
      <c r="AI1336" s="10">
        <f>LEN(L1336)</f>
        <v/>
      </c>
    </row>
    <row r="1337">
      <c r="J1337" s="12">
        <f>IF(F1337&lt;&gt;0,"LANÇAR","")</f>
        <v/>
      </c>
      <c r="L1337" s="13">
        <f>N1337&amp;O1337&amp;P1337&amp;Q1337&amp;R1337&amp;S1337&amp;T1337&amp;U1337&amp;V1337&amp;W1337&amp;X1337&amp;Y1337&amp;Z1337&amp;AA1337&amp;AB1337&amp;AC1337&amp;AD1337&amp;AE1337&amp;AF1337&amp;AG1337</f>
        <v/>
      </c>
      <c r="N1337" s="10">
        <f>TEXT($B$6,"00")</f>
        <v/>
      </c>
      <c r="O1337" s="10">
        <f>REPT(" ",8)</f>
        <v/>
      </c>
      <c r="P1337" s="10">
        <f>RIGHT($B$4,2)</f>
        <v/>
      </c>
      <c r="Q1337" s="10">
        <f>RIGHT($B$5,3)</f>
        <v/>
      </c>
      <c r="R1337" s="10">
        <f>IF(A1337="D",LEFT(UPPER(B1337)&amp;REPT(" ",20),20),REPT(" ",20))</f>
        <v/>
      </c>
      <c r="S1337" s="10">
        <f>IF(A1337="D",LEFT(UPPER(C1337)&amp;REPT(" ",10),10)," ")</f>
        <v/>
      </c>
      <c r="T1337" s="10">
        <f>IF(A1337="D",LEFT(UPPER(D1337)&amp;REPT(" ",2),2)," ")</f>
        <v/>
      </c>
      <c r="U1337" s="10">
        <f>IF(A1337="D",LEFT(UPPER(E1337)&amp;REPT(" ",15),15)," ")</f>
        <v/>
      </c>
      <c r="V1337" s="10">
        <f>REPT(" ",24)</f>
        <v/>
      </c>
      <c r="W1337" s="10">
        <f>IF(A1337="c",LEFT(UPPER(B1337)&amp;REPT(" ",20),20),REPT(" ",20))</f>
        <v/>
      </c>
      <c r="X1337" s="10">
        <f>IF(A1337="C",LEFT(UPPER(C1337)&amp;REPT(" ",10),10)," ")</f>
        <v/>
      </c>
      <c r="Y1337" s="10">
        <f>IF(A1337="C",LEFT(UPPER(D1337)&amp;REPT(" ",2),2)," ")</f>
        <v/>
      </c>
      <c r="Z1337" s="10">
        <f>IF(A1337="C",LEFT(UPPER(E1337)&amp;REPT(" ",15),15)," ")</f>
        <v/>
      </c>
      <c r="AA1337" s="10">
        <f>REPT(" ",8)</f>
        <v/>
      </c>
      <c r="AB1337" s="10">
        <f>REPT(" ",4)</f>
        <v/>
      </c>
      <c r="AC1337" s="10">
        <f>LEFT(UPPER(H1337)&amp;REPT(" ",250),250)</f>
        <v/>
      </c>
      <c r="AD1337" s="10">
        <f>TEXT($G$2,"dd/mm/aaaa")</f>
        <v/>
      </c>
      <c r="AE1337" s="10">
        <f>REPT(" ",10)</f>
        <v/>
      </c>
      <c r="AF1337" s="10">
        <f>REPT(" ",20)</f>
        <v/>
      </c>
      <c r="AG1337" s="54">
        <f>REPT(" ",18-LEN(FIXED(F1337,2,TRUE)))&amp;FIXED(F1337,2,TRUE)</f>
        <v/>
      </c>
      <c r="AH1337" s="10">
        <f>LEN(AC1337)+LEN(AG1337)</f>
        <v/>
      </c>
      <c r="AI1337" s="10">
        <f>LEN(L1337)</f>
        <v/>
      </c>
    </row>
    <row r="1338">
      <c r="J1338" s="12">
        <f>IF(F1338&lt;&gt;0,"LANÇAR","")</f>
        <v/>
      </c>
      <c r="L1338" s="13">
        <f>N1338&amp;O1338&amp;P1338&amp;Q1338&amp;R1338&amp;S1338&amp;T1338&amp;U1338&amp;V1338&amp;W1338&amp;X1338&amp;Y1338&amp;Z1338&amp;AA1338&amp;AB1338&amp;AC1338&amp;AD1338&amp;AE1338&amp;AF1338&amp;AG1338</f>
        <v/>
      </c>
      <c r="N1338" s="10">
        <f>TEXT($B$6,"00")</f>
        <v/>
      </c>
      <c r="O1338" s="10">
        <f>REPT(" ",8)</f>
        <v/>
      </c>
      <c r="P1338" s="10">
        <f>RIGHT($B$4,2)</f>
        <v/>
      </c>
      <c r="Q1338" s="10">
        <f>RIGHT($B$5,3)</f>
        <v/>
      </c>
      <c r="R1338" s="10">
        <f>IF(A1338="D",LEFT(UPPER(B1338)&amp;REPT(" ",20),20),REPT(" ",20))</f>
        <v/>
      </c>
      <c r="S1338" s="10">
        <f>IF(A1338="D",LEFT(UPPER(C1338)&amp;REPT(" ",10),10)," ")</f>
        <v/>
      </c>
      <c r="T1338" s="10">
        <f>IF(A1338="D",LEFT(UPPER(D1338)&amp;REPT(" ",2),2)," ")</f>
        <v/>
      </c>
      <c r="U1338" s="10">
        <f>IF(A1338="D",LEFT(UPPER(E1338)&amp;REPT(" ",15),15)," ")</f>
        <v/>
      </c>
      <c r="V1338" s="10">
        <f>REPT(" ",24)</f>
        <v/>
      </c>
      <c r="W1338" s="10">
        <f>IF(A1338="c",LEFT(UPPER(B1338)&amp;REPT(" ",20),20),REPT(" ",20))</f>
        <v/>
      </c>
      <c r="X1338" s="10">
        <f>IF(A1338="C",LEFT(UPPER(C1338)&amp;REPT(" ",10),10)," ")</f>
        <v/>
      </c>
      <c r="Y1338" s="10">
        <f>IF(A1338="C",LEFT(UPPER(D1338)&amp;REPT(" ",2),2)," ")</f>
        <v/>
      </c>
      <c r="Z1338" s="10">
        <f>IF(A1338="C",LEFT(UPPER(E1338)&amp;REPT(" ",15),15)," ")</f>
        <v/>
      </c>
      <c r="AA1338" s="10">
        <f>REPT(" ",8)</f>
        <v/>
      </c>
      <c r="AB1338" s="10">
        <f>REPT(" ",4)</f>
        <v/>
      </c>
      <c r="AC1338" s="10">
        <f>LEFT(UPPER(H1338)&amp;REPT(" ",250),250)</f>
        <v/>
      </c>
      <c r="AD1338" s="10">
        <f>TEXT($G$2,"dd/mm/aaaa")</f>
        <v/>
      </c>
      <c r="AE1338" s="10">
        <f>REPT(" ",10)</f>
        <v/>
      </c>
      <c r="AF1338" s="10">
        <f>REPT(" ",20)</f>
        <v/>
      </c>
      <c r="AG1338" s="54">
        <f>REPT(" ",18-LEN(FIXED(F1338,2,TRUE)))&amp;FIXED(F1338,2,TRUE)</f>
        <v/>
      </c>
      <c r="AH1338" s="10">
        <f>LEN(AC1338)+LEN(AG1338)</f>
        <v/>
      </c>
      <c r="AI1338" s="10">
        <f>LEN(L1338)</f>
        <v/>
      </c>
    </row>
    <row r="1339">
      <c r="J1339" s="12">
        <f>IF(F1339&lt;&gt;0,"LANÇAR","")</f>
        <v/>
      </c>
      <c r="L1339" s="13">
        <f>N1339&amp;O1339&amp;P1339&amp;Q1339&amp;R1339&amp;S1339&amp;T1339&amp;U1339&amp;V1339&amp;W1339&amp;X1339&amp;Y1339&amp;Z1339&amp;AA1339&amp;AB1339&amp;AC1339&amp;AD1339&amp;AE1339&amp;AF1339&amp;AG1339</f>
        <v/>
      </c>
      <c r="N1339" s="10">
        <f>TEXT($B$6,"00")</f>
        <v/>
      </c>
      <c r="O1339" s="10">
        <f>REPT(" ",8)</f>
        <v/>
      </c>
      <c r="P1339" s="10">
        <f>RIGHT($B$4,2)</f>
        <v/>
      </c>
      <c r="Q1339" s="10">
        <f>RIGHT($B$5,3)</f>
        <v/>
      </c>
      <c r="R1339" s="10">
        <f>IF(A1339="D",LEFT(UPPER(B1339)&amp;REPT(" ",20),20),REPT(" ",20))</f>
        <v/>
      </c>
      <c r="S1339" s="10">
        <f>IF(A1339="D",LEFT(UPPER(C1339)&amp;REPT(" ",10),10)," ")</f>
        <v/>
      </c>
      <c r="T1339" s="10">
        <f>IF(A1339="D",LEFT(UPPER(D1339)&amp;REPT(" ",2),2)," ")</f>
        <v/>
      </c>
      <c r="U1339" s="10">
        <f>IF(A1339="D",LEFT(UPPER(E1339)&amp;REPT(" ",15),15)," ")</f>
        <v/>
      </c>
      <c r="V1339" s="10">
        <f>REPT(" ",24)</f>
        <v/>
      </c>
      <c r="W1339" s="10">
        <f>IF(A1339="c",LEFT(UPPER(B1339)&amp;REPT(" ",20),20),REPT(" ",20))</f>
        <v/>
      </c>
      <c r="X1339" s="10">
        <f>IF(A1339="C",LEFT(UPPER(C1339)&amp;REPT(" ",10),10)," ")</f>
        <v/>
      </c>
      <c r="Y1339" s="10">
        <f>IF(A1339="C",LEFT(UPPER(D1339)&amp;REPT(" ",2),2)," ")</f>
        <v/>
      </c>
      <c r="Z1339" s="10">
        <f>IF(A1339="C",LEFT(UPPER(E1339)&amp;REPT(" ",15),15)," ")</f>
        <v/>
      </c>
      <c r="AA1339" s="10">
        <f>REPT(" ",8)</f>
        <v/>
      </c>
      <c r="AB1339" s="10">
        <f>REPT(" ",4)</f>
        <v/>
      </c>
      <c r="AC1339" s="10">
        <f>LEFT(UPPER(H1339)&amp;REPT(" ",250),250)</f>
        <v/>
      </c>
      <c r="AD1339" s="10">
        <f>TEXT($G$2,"dd/mm/aaaa")</f>
        <v/>
      </c>
      <c r="AE1339" s="10">
        <f>REPT(" ",10)</f>
        <v/>
      </c>
      <c r="AF1339" s="10">
        <f>REPT(" ",20)</f>
        <v/>
      </c>
      <c r="AG1339" s="54">
        <f>REPT(" ",18-LEN(FIXED(F1339,2,TRUE)))&amp;FIXED(F1339,2,TRUE)</f>
        <v/>
      </c>
      <c r="AH1339" s="10">
        <f>LEN(AC1339)+LEN(AG1339)</f>
        <v/>
      </c>
      <c r="AI1339" s="10">
        <f>LEN(L1339)</f>
        <v/>
      </c>
    </row>
    <row r="1340">
      <c r="J1340" s="12">
        <f>IF(F1340&lt;&gt;0,"LANÇAR","")</f>
        <v/>
      </c>
      <c r="L1340" s="13">
        <f>N1340&amp;O1340&amp;P1340&amp;Q1340&amp;R1340&amp;S1340&amp;T1340&amp;U1340&amp;V1340&amp;W1340&amp;X1340&amp;Y1340&amp;Z1340&amp;AA1340&amp;AB1340&amp;AC1340&amp;AD1340&amp;AE1340&amp;AF1340&amp;AG1340</f>
        <v/>
      </c>
      <c r="N1340" s="10">
        <f>TEXT($B$6,"00")</f>
        <v/>
      </c>
      <c r="O1340" s="10">
        <f>REPT(" ",8)</f>
        <v/>
      </c>
      <c r="P1340" s="10">
        <f>RIGHT($B$4,2)</f>
        <v/>
      </c>
      <c r="Q1340" s="10">
        <f>RIGHT($B$5,3)</f>
        <v/>
      </c>
      <c r="R1340" s="10">
        <f>IF(A1340="D",LEFT(UPPER(B1340)&amp;REPT(" ",20),20),REPT(" ",20))</f>
        <v/>
      </c>
      <c r="S1340" s="10">
        <f>IF(A1340="D",LEFT(UPPER(C1340)&amp;REPT(" ",10),10)," ")</f>
        <v/>
      </c>
      <c r="T1340" s="10">
        <f>IF(A1340="D",LEFT(UPPER(D1340)&amp;REPT(" ",2),2)," ")</f>
        <v/>
      </c>
      <c r="U1340" s="10">
        <f>IF(A1340="D",LEFT(UPPER(E1340)&amp;REPT(" ",15),15)," ")</f>
        <v/>
      </c>
      <c r="V1340" s="10">
        <f>REPT(" ",24)</f>
        <v/>
      </c>
      <c r="W1340" s="10">
        <f>IF(A1340="c",LEFT(UPPER(B1340)&amp;REPT(" ",20),20),REPT(" ",20))</f>
        <v/>
      </c>
      <c r="X1340" s="10">
        <f>IF(A1340="C",LEFT(UPPER(C1340)&amp;REPT(" ",10),10)," ")</f>
        <v/>
      </c>
      <c r="Y1340" s="10">
        <f>IF(A1340="C",LEFT(UPPER(D1340)&amp;REPT(" ",2),2)," ")</f>
        <v/>
      </c>
      <c r="Z1340" s="10">
        <f>IF(A1340="C",LEFT(UPPER(E1340)&amp;REPT(" ",15),15)," ")</f>
        <v/>
      </c>
      <c r="AA1340" s="10">
        <f>REPT(" ",8)</f>
        <v/>
      </c>
      <c r="AB1340" s="10">
        <f>REPT(" ",4)</f>
        <v/>
      </c>
      <c r="AC1340" s="10">
        <f>LEFT(UPPER(H1340)&amp;REPT(" ",250),250)</f>
        <v/>
      </c>
      <c r="AD1340" s="10">
        <f>TEXT($G$2,"dd/mm/aaaa")</f>
        <v/>
      </c>
      <c r="AE1340" s="10">
        <f>REPT(" ",10)</f>
        <v/>
      </c>
      <c r="AF1340" s="10">
        <f>REPT(" ",20)</f>
        <v/>
      </c>
      <c r="AG1340" s="54">
        <f>REPT(" ",18-LEN(FIXED(F1340,2,TRUE)))&amp;FIXED(F1340,2,TRUE)</f>
        <v/>
      </c>
      <c r="AH1340" s="10">
        <f>LEN(AC1340)+LEN(AG1340)</f>
        <v/>
      </c>
      <c r="AI1340" s="10">
        <f>LEN(L1340)</f>
        <v/>
      </c>
    </row>
    <row r="1341">
      <c r="J1341" s="12">
        <f>IF(F1341&lt;&gt;0,"LANÇAR","")</f>
        <v/>
      </c>
      <c r="L1341" s="13">
        <f>N1341&amp;O1341&amp;P1341&amp;Q1341&amp;R1341&amp;S1341&amp;T1341&amp;U1341&amp;V1341&amp;W1341&amp;X1341&amp;Y1341&amp;Z1341&amp;AA1341&amp;AB1341&amp;AC1341&amp;AD1341&amp;AE1341&amp;AF1341&amp;AG1341</f>
        <v/>
      </c>
      <c r="N1341" s="10">
        <f>TEXT($B$6,"00")</f>
        <v/>
      </c>
      <c r="O1341" s="10">
        <f>REPT(" ",8)</f>
        <v/>
      </c>
      <c r="P1341" s="10">
        <f>RIGHT($B$4,2)</f>
        <v/>
      </c>
      <c r="Q1341" s="10">
        <f>RIGHT($B$5,3)</f>
        <v/>
      </c>
      <c r="R1341" s="10">
        <f>IF(A1341="D",LEFT(UPPER(B1341)&amp;REPT(" ",20),20),REPT(" ",20))</f>
        <v/>
      </c>
      <c r="S1341" s="10">
        <f>IF(A1341="D",LEFT(UPPER(C1341)&amp;REPT(" ",10),10)," ")</f>
        <v/>
      </c>
      <c r="T1341" s="10">
        <f>IF(A1341="D",LEFT(UPPER(D1341)&amp;REPT(" ",2),2)," ")</f>
        <v/>
      </c>
      <c r="U1341" s="10">
        <f>IF(A1341="D",LEFT(UPPER(E1341)&amp;REPT(" ",15),15)," ")</f>
        <v/>
      </c>
      <c r="V1341" s="10">
        <f>REPT(" ",24)</f>
        <v/>
      </c>
      <c r="W1341" s="10">
        <f>IF(A1341="c",LEFT(UPPER(B1341)&amp;REPT(" ",20),20),REPT(" ",20))</f>
        <v/>
      </c>
      <c r="X1341" s="10">
        <f>IF(A1341="C",LEFT(UPPER(C1341)&amp;REPT(" ",10),10)," ")</f>
        <v/>
      </c>
      <c r="Y1341" s="10">
        <f>IF(A1341="C",LEFT(UPPER(D1341)&amp;REPT(" ",2),2)," ")</f>
        <v/>
      </c>
      <c r="Z1341" s="10">
        <f>IF(A1341="C",LEFT(UPPER(E1341)&amp;REPT(" ",15),15)," ")</f>
        <v/>
      </c>
      <c r="AA1341" s="10">
        <f>REPT(" ",8)</f>
        <v/>
      </c>
      <c r="AB1341" s="10">
        <f>REPT(" ",4)</f>
        <v/>
      </c>
      <c r="AC1341" s="10">
        <f>LEFT(UPPER(H1341)&amp;REPT(" ",250),250)</f>
        <v/>
      </c>
      <c r="AD1341" s="10">
        <f>TEXT($G$2,"dd/mm/aaaa")</f>
        <v/>
      </c>
      <c r="AE1341" s="10">
        <f>REPT(" ",10)</f>
        <v/>
      </c>
      <c r="AF1341" s="10">
        <f>REPT(" ",20)</f>
        <v/>
      </c>
      <c r="AG1341" s="54">
        <f>REPT(" ",18-LEN(FIXED(F1341,2,TRUE)))&amp;FIXED(F1341,2,TRUE)</f>
        <v/>
      </c>
      <c r="AH1341" s="10">
        <f>LEN(AC1341)+LEN(AG1341)</f>
        <v/>
      </c>
      <c r="AI1341" s="10">
        <f>LEN(L1341)</f>
        <v/>
      </c>
    </row>
    <row r="1342">
      <c r="J1342" s="12">
        <f>IF(F1342&lt;&gt;0,"LANÇAR","")</f>
        <v/>
      </c>
      <c r="L1342" s="13">
        <f>N1342&amp;O1342&amp;P1342&amp;Q1342&amp;R1342&amp;S1342&amp;T1342&amp;U1342&amp;V1342&amp;W1342&amp;X1342&amp;Y1342&amp;Z1342&amp;AA1342&amp;AB1342&amp;AC1342&amp;AD1342&amp;AE1342&amp;AF1342&amp;AG1342</f>
        <v/>
      </c>
      <c r="N1342" s="10">
        <f>TEXT($B$6,"00")</f>
        <v/>
      </c>
      <c r="O1342" s="10">
        <f>REPT(" ",8)</f>
        <v/>
      </c>
      <c r="P1342" s="10">
        <f>RIGHT($B$4,2)</f>
        <v/>
      </c>
      <c r="Q1342" s="10">
        <f>RIGHT($B$5,3)</f>
        <v/>
      </c>
      <c r="R1342" s="10">
        <f>IF(A1342="D",LEFT(UPPER(B1342)&amp;REPT(" ",20),20),REPT(" ",20))</f>
        <v/>
      </c>
      <c r="S1342" s="10">
        <f>IF(A1342="D",LEFT(UPPER(C1342)&amp;REPT(" ",10),10)," ")</f>
        <v/>
      </c>
      <c r="T1342" s="10">
        <f>IF(A1342="D",LEFT(UPPER(D1342)&amp;REPT(" ",2),2)," ")</f>
        <v/>
      </c>
      <c r="U1342" s="10">
        <f>IF(A1342="D",LEFT(UPPER(E1342)&amp;REPT(" ",15),15)," ")</f>
        <v/>
      </c>
      <c r="V1342" s="10">
        <f>REPT(" ",24)</f>
        <v/>
      </c>
      <c r="W1342" s="10">
        <f>IF(A1342="c",LEFT(UPPER(B1342)&amp;REPT(" ",20),20),REPT(" ",20))</f>
        <v/>
      </c>
      <c r="X1342" s="10">
        <f>IF(A1342="C",LEFT(UPPER(C1342)&amp;REPT(" ",10),10)," ")</f>
        <v/>
      </c>
      <c r="Y1342" s="10">
        <f>IF(A1342="C",LEFT(UPPER(D1342)&amp;REPT(" ",2),2)," ")</f>
        <v/>
      </c>
      <c r="Z1342" s="10">
        <f>IF(A1342="C",LEFT(UPPER(E1342)&amp;REPT(" ",15),15)," ")</f>
        <v/>
      </c>
      <c r="AA1342" s="10">
        <f>REPT(" ",8)</f>
        <v/>
      </c>
      <c r="AB1342" s="10">
        <f>REPT(" ",4)</f>
        <v/>
      </c>
      <c r="AC1342" s="10">
        <f>LEFT(UPPER(H1342)&amp;REPT(" ",250),250)</f>
        <v/>
      </c>
      <c r="AD1342" s="10">
        <f>TEXT($G$2,"dd/mm/aaaa")</f>
        <v/>
      </c>
      <c r="AE1342" s="10">
        <f>REPT(" ",10)</f>
        <v/>
      </c>
      <c r="AF1342" s="10">
        <f>REPT(" ",20)</f>
        <v/>
      </c>
      <c r="AG1342" s="54">
        <f>REPT(" ",18-LEN(FIXED(F1342,2,TRUE)))&amp;FIXED(F1342,2,TRUE)</f>
        <v/>
      </c>
      <c r="AH1342" s="10">
        <f>LEN(AC1342)+LEN(AG1342)</f>
        <v/>
      </c>
      <c r="AI1342" s="10">
        <f>LEN(L1342)</f>
        <v/>
      </c>
    </row>
    <row r="1343">
      <c r="J1343" s="12">
        <f>IF(F1343&lt;&gt;0,"LANÇAR","")</f>
        <v/>
      </c>
      <c r="L1343" s="13">
        <f>N1343&amp;O1343&amp;P1343&amp;Q1343&amp;R1343&amp;S1343&amp;T1343&amp;U1343&amp;V1343&amp;W1343&amp;X1343&amp;Y1343&amp;Z1343&amp;AA1343&amp;AB1343&amp;AC1343&amp;AD1343&amp;AE1343&amp;AF1343&amp;AG1343</f>
        <v/>
      </c>
      <c r="N1343" s="10">
        <f>TEXT($B$6,"00")</f>
        <v/>
      </c>
      <c r="O1343" s="10">
        <f>REPT(" ",8)</f>
        <v/>
      </c>
      <c r="P1343" s="10">
        <f>RIGHT($B$4,2)</f>
        <v/>
      </c>
      <c r="Q1343" s="10">
        <f>RIGHT($B$5,3)</f>
        <v/>
      </c>
      <c r="R1343" s="10">
        <f>IF(A1343="D",LEFT(UPPER(B1343)&amp;REPT(" ",20),20),REPT(" ",20))</f>
        <v/>
      </c>
      <c r="S1343" s="10">
        <f>IF(A1343="D",LEFT(UPPER(C1343)&amp;REPT(" ",10),10)," ")</f>
        <v/>
      </c>
      <c r="T1343" s="10">
        <f>IF(A1343="D",LEFT(UPPER(D1343)&amp;REPT(" ",2),2)," ")</f>
        <v/>
      </c>
      <c r="U1343" s="10">
        <f>IF(A1343="D",LEFT(UPPER(E1343)&amp;REPT(" ",15),15)," ")</f>
        <v/>
      </c>
      <c r="V1343" s="10">
        <f>REPT(" ",24)</f>
        <v/>
      </c>
      <c r="W1343" s="10">
        <f>IF(A1343="c",LEFT(UPPER(B1343)&amp;REPT(" ",20),20),REPT(" ",20))</f>
        <v/>
      </c>
      <c r="X1343" s="10">
        <f>IF(A1343="C",LEFT(UPPER(C1343)&amp;REPT(" ",10),10)," ")</f>
        <v/>
      </c>
      <c r="Y1343" s="10">
        <f>IF(A1343="C",LEFT(UPPER(D1343)&amp;REPT(" ",2),2)," ")</f>
        <v/>
      </c>
      <c r="Z1343" s="10">
        <f>IF(A1343="C",LEFT(UPPER(E1343)&amp;REPT(" ",15),15)," ")</f>
        <v/>
      </c>
      <c r="AA1343" s="10">
        <f>REPT(" ",8)</f>
        <v/>
      </c>
      <c r="AB1343" s="10">
        <f>REPT(" ",4)</f>
        <v/>
      </c>
      <c r="AC1343" s="10">
        <f>LEFT(UPPER(H1343)&amp;REPT(" ",250),250)</f>
        <v/>
      </c>
      <c r="AD1343" s="10">
        <f>TEXT($G$2,"dd/mm/aaaa")</f>
        <v/>
      </c>
      <c r="AE1343" s="10">
        <f>REPT(" ",10)</f>
        <v/>
      </c>
      <c r="AF1343" s="10">
        <f>REPT(" ",20)</f>
        <v/>
      </c>
      <c r="AG1343" s="54">
        <f>REPT(" ",18-LEN(FIXED(F1343,2,TRUE)))&amp;FIXED(F1343,2,TRUE)</f>
        <v/>
      </c>
      <c r="AH1343" s="10">
        <f>LEN(AC1343)+LEN(AG1343)</f>
        <v/>
      </c>
      <c r="AI1343" s="10">
        <f>LEN(L1343)</f>
        <v/>
      </c>
    </row>
    <row r="1344">
      <c r="J1344" s="12">
        <f>IF(F1344&lt;&gt;0,"LANÇAR","")</f>
        <v/>
      </c>
      <c r="L1344" s="13">
        <f>N1344&amp;O1344&amp;P1344&amp;Q1344&amp;R1344&amp;S1344&amp;T1344&amp;U1344&amp;V1344&amp;W1344&amp;X1344&amp;Y1344&amp;Z1344&amp;AA1344&amp;AB1344&amp;AC1344&amp;AD1344&amp;AE1344&amp;AF1344&amp;AG1344</f>
        <v/>
      </c>
      <c r="N1344" s="10">
        <f>TEXT($B$6,"00")</f>
        <v/>
      </c>
      <c r="O1344" s="10">
        <f>REPT(" ",8)</f>
        <v/>
      </c>
      <c r="P1344" s="10">
        <f>RIGHT($B$4,2)</f>
        <v/>
      </c>
      <c r="Q1344" s="10">
        <f>RIGHT($B$5,3)</f>
        <v/>
      </c>
      <c r="R1344" s="10">
        <f>IF(A1344="D",LEFT(UPPER(B1344)&amp;REPT(" ",20),20),REPT(" ",20))</f>
        <v/>
      </c>
      <c r="S1344" s="10">
        <f>IF(A1344="D",LEFT(UPPER(C1344)&amp;REPT(" ",10),10)," ")</f>
        <v/>
      </c>
      <c r="T1344" s="10">
        <f>IF(A1344="D",LEFT(UPPER(D1344)&amp;REPT(" ",2),2)," ")</f>
        <v/>
      </c>
      <c r="U1344" s="10">
        <f>IF(A1344="D",LEFT(UPPER(E1344)&amp;REPT(" ",15),15)," ")</f>
        <v/>
      </c>
      <c r="V1344" s="10">
        <f>REPT(" ",24)</f>
        <v/>
      </c>
      <c r="W1344" s="10">
        <f>IF(A1344="c",LEFT(UPPER(B1344)&amp;REPT(" ",20),20),REPT(" ",20))</f>
        <v/>
      </c>
      <c r="X1344" s="10">
        <f>IF(A1344="C",LEFT(UPPER(C1344)&amp;REPT(" ",10),10)," ")</f>
        <v/>
      </c>
      <c r="Y1344" s="10">
        <f>IF(A1344="C",LEFT(UPPER(D1344)&amp;REPT(" ",2),2)," ")</f>
        <v/>
      </c>
      <c r="Z1344" s="10">
        <f>IF(A1344="C",LEFT(UPPER(E1344)&amp;REPT(" ",15),15)," ")</f>
        <v/>
      </c>
      <c r="AA1344" s="10">
        <f>REPT(" ",8)</f>
        <v/>
      </c>
      <c r="AB1344" s="10">
        <f>REPT(" ",4)</f>
        <v/>
      </c>
      <c r="AC1344" s="10">
        <f>LEFT(UPPER(H1344)&amp;REPT(" ",250),250)</f>
        <v/>
      </c>
      <c r="AD1344" s="10">
        <f>TEXT($G$2,"dd/mm/aaaa")</f>
        <v/>
      </c>
      <c r="AE1344" s="10">
        <f>REPT(" ",10)</f>
        <v/>
      </c>
      <c r="AF1344" s="10">
        <f>REPT(" ",20)</f>
        <v/>
      </c>
      <c r="AG1344" s="54">
        <f>REPT(" ",18-LEN(FIXED(F1344,2,TRUE)))&amp;FIXED(F1344,2,TRUE)</f>
        <v/>
      </c>
      <c r="AH1344" s="10">
        <f>LEN(AC1344)+LEN(AG1344)</f>
        <v/>
      </c>
      <c r="AI1344" s="10">
        <f>LEN(L1344)</f>
        <v/>
      </c>
    </row>
    <row r="1345">
      <c r="J1345" s="12">
        <f>IF(F1345&lt;&gt;0,"LANÇAR","")</f>
        <v/>
      </c>
      <c r="L1345" s="13">
        <f>N1345&amp;O1345&amp;P1345&amp;Q1345&amp;R1345&amp;S1345&amp;T1345&amp;U1345&amp;V1345&amp;W1345&amp;X1345&amp;Y1345&amp;Z1345&amp;AA1345&amp;AB1345&amp;AC1345&amp;AD1345&amp;AE1345&amp;AF1345&amp;AG1345</f>
        <v/>
      </c>
      <c r="N1345" s="10">
        <f>TEXT($B$6,"00")</f>
        <v/>
      </c>
      <c r="O1345" s="10">
        <f>REPT(" ",8)</f>
        <v/>
      </c>
      <c r="P1345" s="10">
        <f>RIGHT($B$4,2)</f>
        <v/>
      </c>
      <c r="Q1345" s="10">
        <f>RIGHT($B$5,3)</f>
        <v/>
      </c>
      <c r="R1345" s="10">
        <f>IF(A1345="D",LEFT(UPPER(B1345)&amp;REPT(" ",20),20),REPT(" ",20))</f>
        <v/>
      </c>
      <c r="S1345" s="10">
        <f>IF(A1345="D",LEFT(UPPER(C1345)&amp;REPT(" ",10),10)," ")</f>
        <v/>
      </c>
      <c r="T1345" s="10">
        <f>IF(A1345="D",LEFT(UPPER(D1345)&amp;REPT(" ",2),2)," ")</f>
        <v/>
      </c>
      <c r="U1345" s="10">
        <f>IF(A1345="D",LEFT(UPPER(E1345)&amp;REPT(" ",15),15)," ")</f>
        <v/>
      </c>
      <c r="V1345" s="10">
        <f>REPT(" ",24)</f>
        <v/>
      </c>
      <c r="W1345" s="10">
        <f>IF(A1345="c",LEFT(UPPER(B1345)&amp;REPT(" ",20),20),REPT(" ",20))</f>
        <v/>
      </c>
      <c r="X1345" s="10">
        <f>IF(A1345="C",LEFT(UPPER(C1345)&amp;REPT(" ",10),10)," ")</f>
        <v/>
      </c>
      <c r="Y1345" s="10">
        <f>IF(A1345="C",LEFT(UPPER(D1345)&amp;REPT(" ",2),2)," ")</f>
        <v/>
      </c>
      <c r="Z1345" s="10">
        <f>IF(A1345="C",LEFT(UPPER(E1345)&amp;REPT(" ",15),15)," ")</f>
        <v/>
      </c>
      <c r="AA1345" s="10">
        <f>REPT(" ",8)</f>
        <v/>
      </c>
      <c r="AB1345" s="10">
        <f>REPT(" ",4)</f>
        <v/>
      </c>
      <c r="AC1345" s="10">
        <f>LEFT(UPPER(H1345)&amp;REPT(" ",250),250)</f>
        <v/>
      </c>
      <c r="AD1345" s="10">
        <f>TEXT($G$2,"dd/mm/aaaa")</f>
        <v/>
      </c>
      <c r="AE1345" s="10">
        <f>REPT(" ",10)</f>
        <v/>
      </c>
      <c r="AF1345" s="10">
        <f>REPT(" ",20)</f>
        <v/>
      </c>
      <c r="AG1345" s="54">
        <f>REPT(" ",18-LEN(FIXED(F1345,2,TRUE)))&amp;FIXED(F1345,2,TRUE)</f>
        <v/>
      </c>
      <c r="AH1345" s="10">
        <f>LEN(AC1345)+LEN(AG1345)</f>
        <v/>
      </c>
      <c r="AI1345" s="10">
        <f>LEN(L1345)</f>
        <v/>
      </c>
    </row>
    <row r="1346">
      <c r="J1346" s="12">
        <f>IF(F1346&lt;&gt;0,"LANÇAR","")</f>
        <v/>
      </c>
      <c r="L1346" s="13">
        <f>N1346&amp;O1346&amp;P1346&amp;Q1346&amp;R1346&amp;S1346&amp;T1346&amp;U1346&amp;V1346&amp;W1346&amp;X1346&amp;Y1346&amp;Z1346&amp;AA1346&amp;AB1346&amp;AC1346&amp;AD1346&amp;AE1346&amp;AF1346&amp;AG1346</f>
        <v/>
      </c>
      <c r="N1346" s="10">
        <f>TEXT($B$6,"00")</f>
        <v/>
      </c>
      <c r="O1346" s="10">
        <f>REPT(" ",8)</f>
        <v/>
      </c>
      <c r="P1346" s="10">
        <f>RIGHT($B$4,2)</f>
        <v/>
      </c>
      <c r="Q1346" s="10">
        <f>RIGHT($B$5,3)</f>
        <v/>
      </c>
      <c r="R1346" s="10">
        <f>IF(A1346="D",LEFT(UPPER(B1346)&amp;REPT(" ",20),20),REPT(" ",20))</f>
        <v/>
      </c>
      <c r="S1346" s="10">
        <f>IF(A1346="D",LEFT(UPPER(C1346)&amp;REPT(" ",10),10)," ")</f>
        <v/>
      </c>
      <c r="T1346" s="10">
        <f>IF(A1346="D",LEFT(UPPER(D1346)&amp;REPT(" ",2),2)," ")</f>
        <v/>
      </c>
      <c r="U1346" s="10">
        <f>IF(A1346="D",LEFT(UPPER(E1346)&amp;REPT(" ",15),15)," ")</f>
        <v/>
      </c>
      <c r="V1346" s="10">
        <f>REPT(" ",24)</f>
        <v/>
      </c>
      <c r="W1346" s="10">
        <f>IF(A1346="c",LEFT(UPPER(B1346)&amp;REPT(" ",20),20),REPT(" ",20))</f>
        <v/>
      </c>
      <c r="X1346" s="10">
        <f>IF(A1346="C",LEFT(UPPER(C1346)&amp;REPT(" ",10),10)," ")</f>
        <v/>
      </c>
      <c r="Y1346" s="10">
        <f>IF(A1346="C",LEFT(UPPER(D1346)&amp;REPT(" ",2),2)," ")</f>
        <v/>
      </c>
      <c r="Z1346" s="10">
        <f>IF(A1346="C",LEFT(UPPER(E1346)&amp;REPT(" ",15),15)," ")</f>
        <v/>
      </c>
      <c r="AA1346" s="10">
        <f>REPT(" ",8)</f>
        <v/>
      </c>
      <c r="AB1346" s="10">
        <f>REPT(" ",4)</f>
        <v/>
      </c>
      <c r="AC1346" s="10">
        <f>LEFT(UPPER(H1346)&amp;REPT(" ",250),250)</f>
        <v/>
      </c>
      <c r="AD1346" s="10">
        <f>TEXT($G$2,"dd/mm/aaaa")</f>
        <v/>
      </c>
      <c r="AE1346" s="10">
        <f>REPT(" ",10)</f>
        <v/>
      </c>
      <c r="AF1346" s="10">
        <f>REPT(" ",20)</f>
        <v/>
      </c>
      <c r="AG1346" s="54">
        <f>REPT(" ",18-LEN(FIXED(F1346,2,TRUE)))&amp;FIXED(F1346,2,TRUE)</f>
        <v/>
      </c>
      <c r="AH1346" s="10">
        <f>LEN(AC1346)+LEN(AG1346)</f>
        <v/>
      </c>
      <c r="AI1346" s="10">
        <f>LEN(L1346)</f>
        <v/>
      </c>
    </row>
    <row r="1347">
      <c r="J1347" s="12">
        <f>IF(F1347&lt;&gt;0,"LANÇAR","")</f>
        <v/>
      </c>
      <c r="L1347" s="13">
        <f>N1347&amp;O1347&amp;P1347&amp;Q1347&amp;R1347&amp;S1347&amp;T1347&amp;U1347&amp;V1347&amp;W1347&amp;X1347&amp;Y1347&amp;Z1347&amp;AA1347&amp;AB1347&amp;AC1347&amp;AD1347&amp;AE1347&amp;AF1347&amp;AG1347</f>
        <v/>
      </c>
      <c r="N1347" s="10">
        <f>TEXT($B$6,"00")</f>
        <v/>
      </c>
      <c r="O1347" s="10">
        <f>REPT(" ",8)</f>
        <v/>
      </c>
      <c r="P1347" s="10">
        <f>RIGHT($B$4,2)</f>
        <v/>
      </c>
      <c r="Q1347" s="10">
        <f>RIGHT($B$5,3)</f>
        <v/>
      </c>
      <c r="R1347" s="10">
        <f>IF(A1347="D",LEFT(UPPER(B1347)&amp;REPT(" ",20),20),REPT(" ",20))</f>
        <v/>
      </c>
      <c r="S1347" s="10">
        <f>IF(A1347="D",LEFT(UPPER(C1347)&amp;REPT(" ",10),10)," ")</f>
        <v/>
      </c>
      <c r="T1347" s="10">
        <f>IF(A1347="D",LEFT(UPPER(D1347)&amp;REPT(" ",2),2)," ")</f>
        <v/>
      </c>
      <c r="U1347" s="10">
        <f>IF(A1347="D",LEFT(UPPER(E1347)&amp;REPT(" ",15),15)," ")</f>
        <v/>
      </c>
      <c r="V1347" s="10">
        <f>REPT(" ",24)</f>
        <v/>
      </c>
      <c r="W1347" s="10">
        <f>IF(A1347="c",LEFT(UPPER(B1347)&amp;REPT(" ",20),20),REPT(" ",20))</f>
        <v/>
      </c>
      <c r="X1347" s="10">
        <f>IF(A1347="C",LEFT(UPPER(C1347)&amp;REPT(" ",10),10)," ")</f>
        <v/>
      </c>
      <c r="Y1347" s="10">
        <f>IF(A1347="C",LEFT(UPPER(D1347)&amp;REPT(" ",2),2)," ")</f>
        <v/>
      </c>
      <c r="Z1347" s="10">
        <f>IF(A1347="C",LEFT(UPPER(E1347)&amp;REPT(" ",15),15)," ")</f>
        <v/>
      </c>
      <c r="AA1347" s="10">
        <f>REPT(" ",8)</f>
        <v/>
      </c>
      <c r="AB1347" s="10">
        <f>REPT(" ",4)</f>
        <v/>
      </c>
      <c r="AC1347" s="10">
        <f>LEFT(UPPER(H1347)&amp;REPT(" ",250),250)</f>
        <v/>
      </c>
      <c r="AD1347" s="10">
        <f>TEXT($G$2,"dd/mm/aaaa")</f>
        <v/>
      </c>
      <c r="AE1347" s="10">
        <f>REPT(" ",10)</f>
        <v/>
      </c>
      <c r="AF1347" s="10">
        <f>REPT(" ",20)</f>
        <v/>
      </c>
      <c r="AG1347" s="54">
        <f>REPT(" ",18-LEN(FIXED(F1347,2,TRUE)))&amp;FIXED(F1347,2,TRUE)</f>
        <v/>
      </c>
      <c r="AH1347" s="10">
        <f>LEN(AC1347)+LEN(AG1347)</f>
        <v/>
      </c>
      <c r="AI1347" s="10">
        <f>LEN(L1347)</f>
        <v/>
      </c>
    </row>
    <row r="1348">
      <c r="J1348" s="12">
        <f>IF(F1348&lt;&gt;0,"LANÇAR","")</f>
        <v/>
      </c>
      <c r="L1348" s="13">
        <f>N1348&amp;O1348&amp;P1348&amp;Q1348&amp;R1348&amp;S1348&amp;T1348&amp;U1348&amp;V1348&amp;W1348&amp;X1348&amp;Y1348&amp;Z1348&amp;AA1348&amp;AB1348&amp;AC1348&amp;AD1348&amp;AE1348&amp;AF1348&amp;AG1348</f>
        <v/>
      </c>
      <c r="N1348" s="10">
        <f>TEXT($B$6,"00")</f>
        <v/>
      </c>
      <c r="O1348" s="10">
        <f>REPT(" ",8)</f>
        <v/>
      </c>
      <c r="P1348" s="10">
        <f>RIGHT($B$4,2)</f>
        <v/>
      </c>
      <c r="Q1348" s="10">
        <f>RIGHT($B$5,3)</f>
        <v/>
      </c>
      <c r="R1348" s="10">
        <f>IF(A1348="D",LEFT(UPPER(B1348)&amp;REPT(" ",20),20),REPT(" ",20))</f>
        <v/>
      </c>
      <c r="S1348" s="10">
        <f>IF(A1348="D",LEFT(UPPER(C1348)&amp;REPT(" ",10),10)," ")</f>
        <v/>
      </c>
      <c r="T1348" s="10">
        <f>IF(A1348="D",LEFT(UPPER(D1348)&amp;REPT(" ",2),2)," ")</f>
        <v/>
      </c>
      <c r="U1348" s="10">
        <f>IF(A1348="D",LEFT(UPPER(E1348)&amp;REPT(" ",15),15)," ")</f>
        <v/>
      </c>
      <c r="V1348" s="10">
        <f>REPT(" ",24)</f>
        <v/>
      </c>
      <c r="W1348" s="10">
        <f>IF(A1348="c",LEFT(UPPER(B1348)&amp;REPT(" ",20),20),REPT(" ",20))</f>
        <v/>
      </c>
      <c r="X1348" s="10">
        <f>IF(A1348="C",LEFT(UPPER(C1348)&amp;REPT(" ",10),10)," ")</f>
        <v/>
      </c>
      <c r="Y1348" s="10">
        <f>IF(A1348="C",LEFT(UPPER(D1348)&amp;REPT(" ",2),2)," ")</f>
        <v/>
      </c>
      <c r="Z1348" s="10">
        <f>IF(A1348="C",LEFT(UPPER(E1348)&amp;REPT(" ",15),15)," ")</f>
        <v/>
      </c>
      <c r="AA1348" s="10">
        <f>REPT(" ",8)</f>
        <v/>
      </c>
      <c r="AB1348" s="10">
        <f>REPT(" ",4)</f>
        <v/>
      </c>
      <c r="AC1348" s="10">
        <f>LEFT(UPPER(H1348)&amp;REPT(" ",250),250)</f>
        <v/>
      </c>
      <c r="AD1348" s="10">
        <f>TEXT($G$2,"dd/mm/aaaa")</f>
        <v/>
      </c>
      <c r="AE1348" s="10">
        <f>REPT(" ",10)</f>
        <v/>
      </c>
      <c r="AF1348" s="10">
        <f>REPT(" ",20)</f>
        <v/>
      </c>
      <c r="AG1348" s="54">
        <f>REPT(" ",18-LEN(FIXED(F1348,2,TRUE)))&amp;FIXED(F1348,2,TRUE)</f>
        <v/>
      </c>
      <c r="AH1348" s="10">
        <f>LEN(AC1348)+LEN(AG1348)</f>
        <v/>
      </c>
      <c r="AI1348" s="10">
        <f>LEN(L1348)</f>
        <v/>
      </c>
    </row>
    <row r="1349">
      <c r="J1349" s="12">
        <f>IF(F1349&lt;&gt;0,"LANÇAR","")</f>
        <v/>
      </c>
      <c r="L1349" s="13">
        <f>N1349&amp;O1349&amp;P1349&amp;Q1349&amp;R1349&amp;S1349&amp;T1349&amp;U1349&amp;V1349&amp;W1349&amp;X1349&amp;Y1349&amp;Z1349&amp;AA1349&amp;AB1349&amp;AC1349&amp;AD1349&amp;AE1349&amp;AF1349&amp;AG1349</f>
        <v/>
      </c>
      <c r="N1349" s="10">
        <f>TEXT($B$6,"00")</f>
        <v/>
      </c>
      <c r="O1349" s="10">
        <f>REPT(" ",8)</f>
        <v/>
      </c>
      <c r="P1349" s="10">
        <f>RIGHT($B$4,2)</f>
        <v/>
      </c>
      <c r="Q1349" s="10">
        <f>RIGHT($B$5,3)</f>
        <v/>
      </c>
      <c r="R1349" s="10">
        <f>IF(A1349="D",LEFT(UPPER(B1349)&amp;REPT(" ",20),20),REPT(" ",20))</f>
        <v/>
      </c>
      <c r="S1349" s="10">
        <f>IF(A1349="D",LEFT(UPPER(C1349)&amp;REPT(" ",10),10)," ")</f>
        <v/>
      </c>
      <c r="T1349" s="10">
        <f>IF(A1349="D",LEFT(UPPER(D1349)&amp;REPT(" ",2),2)," ")</f>
        <v/>
      </c>
      <c r="U1349" s="10">
        <f>IF(A1349="D",LEFT(UPPER(E1349)&amp;REPT(" ",15),15)," ")</f>
        <v/>
      </c>
      <c r="V1349" s="10">
        <f>REPT(" ",24)</f>
        <v/>
      </c>
      <c r="W1349" s="10">
        <f>IF(A1349="c",LEFT(UPPER(B1349)&amp;REPT(" ",20),20),REPT(" ",20))</f>
        <v/>
      </c>
      <c r="X1349" s="10">
        <f>IF(A1349="C",LEFT(UPPER(C1349)&amp;REPT(" ",10),10)," ")</f>
        <v/>
      </c>
      <c r="Y1349" s="10">
        <f>IF(A1349="C",LEFT(UPPER(D1349)&amp;REPT(" ",2),2)," ")</f>
        <v/>
      </c>
      <c r="Z1349" s="10">
        <f>IF(A1349="C",LEFT(UPPER(E1349)&amp;REPT(" ",15),15)," ")</f>
        <v/>
      </c>
      <c r="AA1349" s="10">
        <f>REPT(" ",8)</f>
        <v/>
      </c>
      <c r="AB1349" s="10">
        <f>REPT(" ",4)</f>
        <v/>
      </c>
      <c r="AC1349" s="10">
        <f>LEFT(UPPER(H1349)&amp;REPT(" ",250),250)</f>
        <v/>
      </c>
      <c r="AD1349" s="10">
        <f>TEXT($G$2,"dd/mm/aaaa")</f>
        <v/>
      </c>
      <c r="AE1349" s="10">
        <f>REPT(" ",10)</f>
        <v/>
      </c>
      <c r="AF1349" s="10">
        <f>REPT(" ",20)</f>
        <v/>
      </c>
      <c r="AG1349" s="54">
        <f>REPT(" ",18-LEN(FIXED(F1349,2,TRUE)))&amp;FIXED(F1349,2,TRUE)</f>
        <v/>
      </c>
      <c r="AH1349" s="10">
        <f>LEN(AC1349)+LEN(AG1349)</f>
        <v/>
      </c>
      <c r="AI1349" s="10">
        <f>LEN(L1349)</f>
        <v/>
      </c>
    </row>
    <row r="1350">
      <c r="J1350" s="12">
        <f>IF(F1350&lt;&gt;0,"LANÇAR","")</f>
        <v/>
      </c>
      <c r="L1350" s="13">
        <f>N1350&amp;O1350&amp;P1350&amp;Q1350&amp;R1350&amp;S1350&amp;T1350&amp;U1350&amp;V1350&amp;W1350&amp;X1350&amp;Y1350&amp;Z1350&amp;AA1350&amp;AB1350&amp;AC1350&amp;AD1350&amp;AE1350&amp;AF1350&amp;AG1350</f>
        <v/>
      </c>
      <c r="N1350" s="10">
        <f>TEXT($B$6,"00")</f>
        <v/>
      </c>
      <c r="O1350" s="10">
        <f>REPT(" ",8)</f>
        <v/>
      </c>
      <c r="P1350" s="10">
        <f>RIGHT($B$4,2)</f>
        <v/>
      </c>
      <c r="Q1350" s="10">
        <f>RIGHT($B$5,3)</f>
        <v/>
      </c>
      <c r="R1350" s="10">
        <f>IF(A1350="D",LEFT(UPPER(B1350)&amp;REPT(" ",20),20),REPT(" ",20))</f>
        <v/>
      </c>
      <c r="S1350" s="10">
        <f>IF(A1350="D",LEFT(UPPER(C1350)&amp;REPT(" ",10),10)," ")</f>
        <v/>
      </c>
      <c r="T1350" s="10">
        <f>IF(A1350="D",LEFT(UPPER(D1350)&amp;REPT(" ",2),2)," ")</f>
        <v/>
      </c>
      <c r="U1350" s="10">
        <f>IF(A1350="D",LEFT(UPPER(E1350)&amp;REPT(" ",15),15)," ")</f>
        <v/>
      </c>
      <c r="V1350" s="10">
        <f>REPT(" ",24)</f>
        <v/>
      </c>
      <c r="W1350" s="10">
        <f>IF(A1350="c",LEFT(UPPER(B1350)&amp;REPT(" ",20),20),REPT(" ",20))</f>
        <v/>
      </c>
      <c r="X1350" s="10">
        <f>IF(A1350="C",LEFT(UPPER(C1350)&amp;REPT(" ",10),10)," ")</f>
        <v/>
      </c>
      <c r="Y1350" s="10">
        <f>IF(A1350="C",LEFT(UPPER(D1350)&amp;REPT(" ",2),2)," ")</f>
        <v/>
      </c>
      <c r="Z1350" s="10">
        <f>IF(A1350="C",LEFT(UPPER(E1350)&amp;REPT(" ",15),15)," ")</f>
        <v/>
      </c>
      <c r="AA1350" s="10">
        <f>REPT(" ",8)</f>
        <v/>
      </c>
      <c r="AB1350" s="10">
        <f>REPT(" ",4)</f>
        <v/>
      </c>
      <c r="AC1350" s="10">
        <f>LEFT(UPPER(H1350)&amp;REPT(" ",250),250)</f>
        <v/>
      </c>
      <c r="AD1350" s="10">
        <f>TEXT($G$2,"dd/mm/aaaa")</f>
        <v/>
      </c>
      <c r="AE1350" s="10">
        <f>REPT(" ",10)</f>
        <v/>
      </c>
      <c r="AF1350" s="10">
        <f>REPT(" ",20)</f>
        <v/>
      </c>
      <c r="AG1350" s="54">
        <f>REPT(" ",18-LEN(FIXED(F1350,2,TRUE)))&amp;FIXED(F1350,2,TRUE)</f>
        <v/>
      </c>
      <c r="AH1350" s="10">
        <f>LEN(AC1350)+LEN(AG1350)</f>
        <v/>
      </c>
      <c r="AI1350" s="10">
        <f>LEN(L1350)</f>
        <v/>
      </c>
    </row>
    <row r="1351">
      <c r="J1351" s="12">
        <f>IF(F1351&lt;&gt;0,"LANÇAR","")</f>
        <v/>
      </c>
      <c r="L1351" s="13">
        <f>N1351&amp;O1351&amp;P1351&amp;Q1351&amp;R1351&amp;S1351&amp;T1351&amp;U1351&amp;V1351&amp;W1351&amp;X1351&amp;Y1351&amp;Z1351&amp;AA1351&amp;AB1351&amp;AC1351&amp;AD1351&amp;AE1351&amp;AF1351&amp;AG1351</f>
        <v/>
      </c>
      <c r="N1351" s="10">
        <f>TEXT($B$6,"00")</f>
        <v/>
      </c>
      <c r="O1351" s="10">
        <f>REPT(" ",8)</f>
        <v/>
      </c>
      <c r="P1351" s="10">
        <f>RIGHT($B$4,2)</f>
        <v/>
      </c>
      <c r="Q1351" s="10">
        <f>RIGHT($B$5,3)</f>
        <v/>
      </c>
      <c r="R1351" s="10">
        <f>IF(A1351="D",LEFT(UPPER(B1351)&amp;REPT(" ",20),20),REPT(" ",20))</f>
        <v/>
      </c>
      <c r="S1351" s="10">
        <f>IF(A1351="D",LEFT(UPPER(C1351)&amp;REPT(" ",10),10)," ")</f>
        <v/>
      </c>
      <c r="T1351" s="10">
        <f>IF(A1351="D",LEFT(UPPER(D1351)&amp;REPT(" ",2),2)," ")</f>
        <v/>
      </c>
      <c r="U1351" s="10">
        <f>IF(A1351="D",LEFT(UPPER(E1351)&amp;REPT(" ",15),15)," ")</f>
        <v/>
      </c>
      <c r="V1351" s="10">
        <f>REPT(" ",24)</f>
        <v/>
      </c>
      <c r="W1351" s="10">
        <f>IF(A1351="c",LEFT(UPPER(B1351)&amp;REPT(" ",20),20),REPT(" ",20))</f>
        <v/>
      </c>
      <c r="X1351" s="10">
        <f>IF(A1351="C",LEFT(UPPER(C1351)&amp;REPT(" ",10),10)," ")</f>
        <v/>
      </c>
      <c r="Y1351" s="10">
        <f>IF(A1351="C",LEFT(UPPER(D1351)&amp;REPT(" ",2),2)," ")</f>
        <v/>
      </c>
      <c r="Z1351" s="10">
        <f>IF(A1351="C",LEFT(UPPER(E1351)&amp;REPT(" ",15),15)," ")</f>
        <v/>
      </c>
      <c r="AA1351" s="10">
        <f>REPT(" ",8)</f>
        <v/>
      </c>
      <c r="AB1351" s="10">
        <f>REPT(" ",4)</f>
        <v/>
      </c>
      <c r="AC1351" s="10">
        <f>LEFT(UPPER(H1351)&amp;REPT(" ",250),250)</f>
        <v/>
      </c>
      <c r="AD1351" s="10">
        <f>TEXT($G$2,"dd/mm/aaaa")</f>
        <v/>
      </c>
      <c r="AE1351" s="10">
        <f>REPT(" ",10)</f>
        <v/>
      </c>
      <c r="AF1351" s="10">
        <f>REPT(" ",20)</f>
        <v/>
      </c>
      <c r="AG1351" s="54">
        <f>REPT(" ",18-LEN(FIXED(F1351,2,TRUE)))&amp;FIXED(F1351,2,TRUE)</f>
        <v/>
      </c>
      <c r="AH1351" s="10">
        <f>LEN(AC1351)+LEN(AG1351)</f>
        <v/>
      </c>
      <c r="AI1351" s="10">
        <f>LEN(L1351)</f>
        <v/>
      </c>
    </row>
    <row r="1352">
      <c r="J1352" s="12">
        <f>IF(F1352&lt;&gt;0,"LANÇAR","")</f>
        <v/>
      </c>
      <c r="L1352" s="13">
        <f>N1352&amp;O1352&amp;P1352&amp;Q1352&amp;R1352&amp;S1352&amp;T1352&amp;U1352&amp;V1352&amp;W1352&amp;X1352&amp;Y1352&amp;Z1352&amp;AA1352&amp;AB1352&amp;AC1352&amp;AD1352&amp;AE1352&amp;AF1352&amp;AG1352</f>
        <v/>
      </c>
      <c r="N1352" s="10">
        <f>TEXT($B$6,"00")</f>
        <v/>
      </c>
      <c r="O1352" s="10">
        <f>REPT(" ",8)</f>
        <v/>
      </c>
      <c r="P1352" s="10">
        <f>RIGHT($B$4,2)</f>
        <v/>
      </c>
      <c r="Q1352" s="10">
        <f>RIGHT($B$5,3)</f>
        <v/>
      </c>
      <c r="R1352" s="10">
        <f>IF(A1352="D",LEFT(UPPER(B1352)&amp;REPT(" ",20),20),REPT(" ",20))</f>
        <v/>
      </c>
      <c r="S1352" s="10">
        <f>IF(A1352="D",LEFT(UPPER(C1352)&amp;REPT(" ",10),10)," ")</f>
        <v/>
      </c>
      <c r="T1352" s="10">
        <f>IF(A1352="D",LEFT(UPPER(D1352)&amp;REPT(" ",2),2)," ")</f>
        <v/>
      </c>
      <c r="U1352" s="10">
        <f>IF(A1352="D",LEFT(UPPER(E1352)&amp;REPT(" ",15),15)," ")</f>
        <v/>
      </c>
      <c r="V1352" s="10">
        <f>REPT(" ",24)</f>
        <v/>
      </c>
      <c r="W1352" s="10">
        <f>IF(A1352="c",LEFT(UPPER(B1352)&amp;REPT(" ",20),20),REPT(" ",20))</f>
        <v/>
      </c>
      <c r="X1352" s="10">
        <f>IF(A1352="C",LEFT(UPPER(C1352)&amp;REPT(" ",10),10)," ")</f>
        <v/>
      </c>
      <c r="Y1352" s="10">
        <f>IF(A1352="C",LEFT(UPPER(D1352)&amp;REPT(" ",2),2)," ")</f>
        <v/>
      </c>
      <c r="Z1352" s="10">
        <f>IF(A1352="C",LEFT(UPPER(E1352)&amp;REPT(" ",15),15)," ")</f>
        <v/>
      </c>
      <c r="AA1352" s="10">
        <f>REPT(" ",8)</f>
        <v/>
      </c>
      <c r="AB1352" s="10">
        <f>REPT(" ",4)</f>
        <v/>
      </c>
      <c r="AC1352" s="10">
        <f>LEFT(UPPER(H1352)&amp;REPT(" ",250),250)</f>
        <v/>
      </c>
      <c r="AD1352" s="10">
        <f>TEXT($G$2,"dd/mm/aaaa")</f>
        <v/>
      </c>
      <c r="AE1352" s="10">
        <f>REPT(" ",10)</f>
        <v/>
      </c>
      <c r="AF1352" s="10">
        <f>REPT(" ",20)</f>
        <v/>
      </c>
      <c r="AG1352" s="54">
        <f>REPT(" ",18-LEN(FIXED(F1352,2,TRUE)))&amp;FIXED(F1352,2,TRUE)</f>
        <v/>
      </c>
      <c r="AH1352" s="10">
        <f>LEN(AC1352)+LEN(AG1352)</f>
        <v/>
      </c>
      <c r="AI1352" s="10">
        <f>LEN(L1352)</f>
        <v/>
      </c>
    </row>
    <row r="1353">
      <c r="J1353" s="12">
        <f>IF(F1353&lt;&gt;0,"LANÇAR","")</f>
        <v/>
      </c>
      <c r="L1353" s="13">
        <f>N1353&amp;O1353&amp;P1353&amp;Q1353&amp;R1353&amp;S1353&amp;T1353&amp;U1353&amp;V1353&amp;W1353&amp;X1353&amp;Y1353&amp;Z1353&amp;AA1353&amp;AB1353&amp;AC1353&amp;AD1353&amp;AE1353&amp;AF1353&amp;AG1353</f>
        <v/>
      </c>
      <c r="N1353" s="10">
        <f>TEXT($B$6,"00")</f>
        <v/>
      </c>
      <c r="O1353" s="10">
        <f>REPT(" ",8)</f>
        <v/>
      </c>
      <c r="P1353" s="10">
        <f>RIGHT($B$4,2)</f>
        <v/>
      </c>
      <c r="Q1353" s="10">
        <f>RIGHT($B$5,3)</f>
        <v/>
      </c>
      <c r="R1353" s="10">
        <f>IF(A1353="D",LEFT(UPPER(B1353)&amp;REPT(" ",20),20),REPT(" ",20))</f>
        <v/>
      </c>
      <c r="S1353" s="10">
        <f>IF(A1353="D",LEFT(UPPER(C1353)&amp;REPT(" ",10),10)," ")</f>
        <v/>
      </c>
      <c r="T1353" s="10">
        <f>IF(A1353="D",LEFT(UPPER(D1353)&amp;REPT(" ",2),2)," ")</f>
        <v/>
      </c>
      <c r="U1353" s="10">
        <f>IF(A1353="D",LEFT(UPPER(E1353)&amp;REPT(" ",15),15)," ")</f>
        <v/>
      </c>
      <c r="V1353" s="10">
        <f>REPT(" ",24)</f>
        <v/>
      </c>
      <c r="W1353" s="10">
        <f>IF(A1353="c",LEFT(UPPER(B1353)&amp;REPT(" ",20),20),REPT(" ",20))</f>
        <v/>
      </c>
      <c r="X1353" s="10">
        <f>IF(A1353="C",LEFT(UPPER(C1353)&amp;REPT(" ",10),10)," ")</f>
        <v/>
      </c>
      <c r="Y1353" s="10">
        <f>IF(A1353="C",LEFT(UPPER(D1353)&amp;REPT(" ",2),2)," ")</f>
        <v/>
      </c>
      <c r="Z1353" s="10">
        <f>IF(A1353="C",LEFT(UPPER(E1353)&amp;REPT(" ",15),15)," ")</f>
        <v/>
      </c>
      <c r="AA1353" s="10">
        <f>REPT(" ",8)</f>
        <v/>
      </c>
      <c r="AB1353" s="10">
        <f>REPT(" ",4)</f>
        <v/>
      </c>
      <c r="AC1353" s="10">
        <f>LEFT(UPPER(H1353)&amp;REPT(" ",250),250)</f>
        <v/>
      </c>
      <c r="AD1353" s="10">
        <f>TEXT($G$2,"dd/mm/aaaa")</f>
        <v/>
      </c>
      <c r="AE1353" s="10">
        <f>REPT(" ",10)</f>
        <v/>
      </c>
      <c r="AF1353" s="10">
        <f>REPT(" ",20)</f>
        <v/>
      </c>
      <c r="AG1353" s="54">
        <f>REPT(" ",18-LEN(FIXED(F1353,2,TRUE)))&amp;FIXED(F1353,2,TRUE)</f>
        <v/>
      </c>
      <c r="AH1353" s="10">
        <f>LEN(AC1353)+LEN(AG1353)</f>
        <v/>
      </c>
      <c r="AI1353" s="10">
        <f>LEN(L1353)</f>
        <v/>
      </c>
    </row>
    <row r="1354">
      <c r="J1354" s="12">
        <f>IF(F1354&lt;&gt;0,"LANÇAR","")</f>
        <v/>
      </c>
      <c r="L1354" s="13">
        <f>N1354&amp;O1354&amp;P1354&amp;Q1354&amp;R1354&amp;S1354&amp;T1354&amp;U1354&amp;V1354&amp;W1354&amp;X1354&amp;Y1354&amp;Z1354&amp;AA1354&amp;AB1354&amp;AC1354&amp;AD1354&amp;AE1354&amp;AF1354&amp;AG1354</f>
        <v/>
      </c>
      <c r="N1354" s="10">
        <f>TEXT($B$6,"00")</f>
        <v/>
      </c>
      <c r="O1354" s="10">
        <f>REPT(" ",8)</f>
        <v/>
      </c>
      <c r="P1354" s="10">
        <f>RIGHT($B$4,2)</f>
        <v/>
      </c>
      <c r="Q1354" s="10">
        <f>RIGHT($B$5,3)</f>
        <v/>
      </c>
      <c r="R1354" s="10">
        <f>IF(A1354="D",LEFT(UPPER(B1354)&amp;REPT(" ",20),20),REPT(" ",20))</f>
        <v/>
      </c>
      <c r="S1354" s="10">
        <f>IF(A1354="D",LEFT(UPPER(C1354)&amp;REPT(" ",10),10)," ")</f>
        <v/>
      </c>
      <c r="T1354" s="10">
        <f>IF(A1354="D",LEFT(UPPER(D1354)&amp;REPT(" ",2),2)," ")</f>
        <v/>
      </c>
      <c r="U1354" s="10">
        <f>IF(A1354="D",LEFT(UPPER(E1354)&amp;REPT(" ",15),15)," ")</f>
        <v/>
      </c>
      <c r="V1354" s="10">
        <f>REPT(" ",24)</f>
        <v/>
      </c>
      <c r="W1354" s="10">
        <f>IF(A1354="c",LEFT(UPPER(B1354)&amp;REPT(" ",20),20),REPT(" ",20))</f>
        <v/>
      </c>
      <c r="X1354" s="10">
        <f>IF(A1354="C",LEFT(UPPER(C1354)&amp;REPT(" ",10),10)," ")</f>
        <v/>
      </c>
      <c r="Y1354" s="10">
        <f>IF(A1354="C",LEFT(UPPER(D1354)&amp;REPT(" ",2),2)," ")</f>
        <v/>
      </c>
      <c r="Z1354" s="10">
        <f>IF(A1354="C",LEFT(UPPER(E1354)&amp;REPT(" ",15),15)," ")</f>
        <v/>
      </c>
      <c r="AA1354" s="10">
        <f>REPT(" ",8)</f>
        <v/>
      </c>
      <c r="AB1354" s="10">
        <f>REPT(" ",4)</f>
        <v/>
      </c>
      <c r="AC1354" s="10">
        <f>LEFT(UPPER(H1354)&amp;REPT(" ",250),250)</f>
        <v/>
      </c>
      <c r="AD1354" s="10">
        <f>TEXT($G$2,"dd/mm/aaaa")</f>
        <v/>
      </c>
      <c r="AE1354" s="10">
        <f>REPT(" ",10)</f>
        <v/>
      </c>
      <c r="AF1354" s="10">
        <f>REPT(" ",20)</f>
        <v/>
      </c>
      <c r="AG1354" s="54">
        <f>REPT(" ",18-LEN(FIXED(F1354,2,TRUE)))&amp;FIXED(F1354,2,TRUE)</f>
        <v/>
      </c>
      <c r="AH1354" s="10">
        <f>LEN(AC1354)+LEN(AG1354)</f>
        <v/>
      </c>
      <c r="AI1354" s="10">
        <f>LEN(L1354)</f>
        <v/>
      </c>
    </row>
    <row r="1355">
      <c r="J1355" s="12">
        <f>IF(F1355&lt;&gt;0,"LANÇAR","")</f>
        <v/>
      </c>
      <c r="L1355" s="13">
        <f>N1355&amp;O1355&amp;P1355&amp;Q1355&amp;R1355&amp;S1355&amp;T1355&amp;U1355&amp;V1355&amp;W1355&amp;X1355&amp;Y1355&amp;Z1355&amp;AA1355&amp;AB1355&amp;AC1355&amp;AD1355&amp;AE1355&amp;AF1355&amp;AG1355</f>
        <v/>
      </c>
      <c r="N1355" s="10">
        <f>TEXT($B$6,"00")</f>
        <v/>
      </c>
      <c r="O1355" s="10">
        <f>REPT(" ",8)</f>
        <v/>
      </c>
      <c r="P1355" s="10">
        <f>RIGHT($B$4,2)</f>
        <v/>
      </c>
      <c r="Q1355" s="10">
        <f>RIGHT($B$5,3)</f>
        <v/>
      </c>
      <c r="R1355" s="10">
        <f>IF(A1355="D",LEFT(UPPER(B1355)&amp;REPT(" ",20),20),REPT(" ",20))</f>
        <v/>
      </c>
      <c r="S1355" s="10">
        <f>IF(A1355="D",LEFT(UPPER(C1355)&amp;REPT(" ",10),10)," ")</f>
        <v/>
      </c>
      <c r="T1355" s="10">
        <f>IF(A1355="D",LEFT(UPPER(D1355)&amp;REPT(" ",2),2)," ")</f>
        <v/>
      </c>
      <c r="U1355" s="10">
        <f>IF(A1355="D",LEFT(UPPER(E1355)&amp;REPT(" ",15),15)," ")</f>
        <v/>
      </c>
      <c r="V1355" s="10">
        <f>REPT(" ",24)</f>
        <v/>
      </c>
      <c r="W1355" s="10">
        <f>IF(A1355="c",LEFT(UPPER(B1355)&amp;REPT(" ",20),20),REPT(" ",20))</f>
        <v/>
      </c>
      <c r="X1355" s="10">
        <f>IF(A1355="C",LEFT(UPPER(C1355)&amp;REPT(" ",10),10)," ")</f>
        <v/>
      </c>
      <c r="Y1355" s="10">
        <f>IF(A1355="C",LEFT(UPPER(D1355)&amp;REPT(" ",2),2)," ")</f>
        <v/>
      </c>
      <c r="Z1355" s="10">
        <f>IF(A1355="C",LEFT(UPPER(E1355)&amp;REPT(" ",15),15)," ")</f>
        <v/>
      </c>
      <c r="AA1355" s="10">
        <f>REPT(" ",8)</f>
        <v/>
      </c>
      <c r="AB1355" s="10">
        <f>REPT(" ",4)</f>
        <v/>
      </c>
      <c r="AC1355" s="10">
        <f>LEFT(UPPER(H1355)&amp;REPT(" ",250),250)</f>
        <v/>
      </c>
      <c r="AD1355" s="10">
        <f>TEXT($G$2,"dd/mm/aaaa")</f>
        <v/>
      </c>
      <c r="AE1355" s="10">
        <f>REPT(" ",10)</f>
        <v/>
      </c>
      <c r="AF1355" s="10">
        <f>REPT(" ",20)</f>
        <v/>
      </c>
      <c r="AG1355" s="54">
        <f>REPT(" ",18-LEN(FIXED(F1355,2,TRUE)))&amp;FIXED(F1355,2,TRUE)</f>
        <v/>
      </c>
      <c r="AH1355" s="10">
        <f>LEN(AC1355)+LEN(AG1355)</f>
        <v/>
      </c>
      <c r="AI1355" s="10">
        <f>LEN(L1355)</f>
        <v/>
      </c>
    </row>
    <row r="1356">
      <c r="J1356" s="12">
        <f>IF(F1356&lt;&gt;0,"LANÇAR","")</f>
        <v/>
      </c>
      <c r="L1356" s="13">
        <f>N1356&amp;O1356&amp;P1356&amp;Q1356&amp;R1356&amp;S1356&amp;T1356&amp;U1356&amp;V1356&amp;W1356&amp;X1356&amp;Y1356&amp;Z1356&amp;AA1356&amp;AB1356&amp;AC1356&amp;AD1356&amp;AE1356&amp;AF1356&amp;AG1356</f>
        <v/>
      </c>
      <c r="N1356" s="10">
        <f>TEXT($B$6,"00")</f>
        <v/>
      </c>
      <c r="O1356" s="10">
        <f>REPT(" ",8)</f>
        <v/>
      </c>
      <c r="P1356" s="10">
        <f>RIGHT($B$4,2)</f>
        <v/>
      </c>
      <c r="Q1356" s="10">
        <f>RIGHT($B$5,3)</f>
        <v/>
      </c>
      <c r="R1356" s="10">
        <f>IF(A1356="D",LEFT(UPPER(B1356)&amp;REPT(" ",20),20),REPT(" ",20))</f>
        <v/>
      </c>
      <c r="S1356" s="10">
        <f>IF(A1356="D",LEFT(UPPER(C1356)&amp;REPT(" ",10),10)," ")</f>
        <v/>
      </c>
      <c r="T1356" s="10">
        <f>IF(A1356="D",LEFT(UPPER(D1356)&amp;REPT(" ",2),2)," ")</f>
        <v/>
      </c>
      <c r="U1356" s="10">
        <f>IF(A1356="D",LEFT(UPPER(E1356)&amp;REPT(" ",15),15)," ")</f>
        <v/>
      </c>
      <c r="V1356" s="10">
        <f>REPT(" ",24)</f>
        <v/>
      </c>
      <c r="W1356" s="10">
        <f>IF(A1356="c",LEFT(UPPER(B1356)&amp;REPT(" ",20),20),REPT(" ",20))</f>
        <v/>
      </c>
      <c r="X1356" s="10">
        <f>IF(A1356="C",LEFT(UPPER(C1356)&amp;REPT(" ",10),10)," ")</f>
        <v/>
      </c>
      <c r="Y1356" s="10">
        <f>IF(A1356="C",LEFT(UPPER(D1356)&amp;REPT(" ",2),2)," ")</f>
        <v/>
      </c>
      <c r="Z1356" s="10">
        <f>IF(A1356="C",LEFT(UPPER(E1356)&amp;REPT(" ",15),15)," ")</f>
        <v/>
      </c>
      <c r="AA1356" s="10">
        <f>REPT(" ",8)</f>
        <v/>
      </c>
      <c r="AB1356" s="10">
        <f>REPT(" ",4)</f>
        <v/>
      </c>
      <c r="AC1356" s="10">
        <f>LEFT(UPPER(H1356)&amp;REPT(" ",250),250)</f>
        <v/>
      </c>
      <c r="AD1356" s="10">
        <f>TEXT($G$2,"dd/mm/aaaa")</f>
        <v/>
      </c>
      <c r="AE1356" s="10">
        <f>REPT(" ",10)</f>
        <v/>
      </c>
      <c r="AF1356" s="10">
        <f>REPT(" ",20)</f>
        <v/>
      </c>
      <c r="AG1356" s="54">
        <f>REPT(" ",18-LEN(FIXED(F1356,2,TRUE)))&amp;FIXED(F1356,2,TRUE)</f>
        <v/>
      </c>
      <c r="AH1356" s="10">
        <f>LEN(AC1356)+LEN(AG1356)</f>
        <v/>
      </c>
      <c r="AI1356" s="10">
        <f>LEN(L1356)</f>
        <v/>
      </c>
    </row>
    <row r="1357">
      <c r="J1357" s="12">
        <f>IF(F1357&lt;&gt;0,"LANÇAR","")</f>
        <v/>
      </c>
      <c r="L1357" s="13">
        <f>N1357&amp;O1357&amp;P1357&amp;Q1357&amp;R1357&amp;S1357&amp;T1357&amp;U1357&amp;V1357&amp;W1357&amp;X1357&amp;Y1357&amp;Z1357&amp;AA1357&amp;AB1357&amp;AC1357&amp;AD1357&amp;AE1357&amp;AF1357&amp;AG1357</f>
        <v/>
      </c>
      <c r="N1357" s="10">
        <f>TEXT($B$6,"00")</f>
        <v/>
      </c>
      <c r="O1357" s="10">
        <f>REPT(" ",8)</f>
        <v/>
      </c>
      <c r="P1357" s="10">
        <f>RIGHT($B$4,2)</f>
        <v/>
      </c>
      <c r="Q1357" s="10">
        <f>RIGHT($B$5,3)</f>
        <v/>
      </c>
      <c r="R1357" s="10">
        <f>IF(A1357="D",LEFT(UPPER(B1357)&amp;REPT(" ",20),20),REPT(" ",20))</f>
        <v/>
      </c>
      <c r="S1357" s="10">
        <f>IF(A1357="D",LEFT(UPPER(C1357)&amp;REPT(" ",10),10)," ")</f>
        <v/>
      </c>
      <c r="T1357" s="10">
        <f>IF(A1357="D",LEFT(UPPER(D1357)&amp;REPT(" ",2),2)," ")</f>
        <v/>
      </c>
      <c r="U1357" s="10">
        <f>IF(A1357="D",LEFT(UPPER(E1357)&amp;REPT(" ",15),15)," ")</f>
        <v/>
      </c>
      <c r="V1357" s="10">
        <f>REPT(" ",24)</f>
        <v/>
      </c>
      <c r="W1357" s="10">
        <f>IF(A1357="c",LEFT(UPPER(B1357)&amp;REPT(" ",20),20),REPT(" ",20))</f>
        <v/>
      </c>
      <c r="X1357" s="10">
        <f>IF(A1357="C",LEFT(UPPER(C1357)&amp;REPT(" ",10),10)," ")</f>
        <v/>
      </c>
      <c r="Y1357" s="10">
        <f>IF(A1357="C",LEFT(UPPER(D1357)&amp;REPT(" ",2),2)," ")</f>
        <v/>
      </c>
      <c r="Z1357" s="10">
        <f>IF(A1357="C",LEFT(UPPER(E1357)&amp;REPT(" ",15),15)," ")</f>
        <v/>
      </c>
      <c r="AA1357" s="10">
        <f>REPT(" ",8)</f>
        <v/>
      </c>
      <c r="AB1357" s="10">
        <f>REPT(" ",4)</f>
        <v/>
      </c>
      <c r="AC1357" s="10">
        <f>LEFT(UPPER(H1357)&amp;REPT(" ",250),250)</f>
        <v/>
      </c>
      <c r="AD1357" s="10">
        <f>TEXT($G$2,"dd/mm/aaaa")</f>
        <v/>
      </c>
      <c r="AE1357" s="10">
        <f>REPT(" ",10)</f>
        <v/>
      </c>
      <c r="AF1357" s="10">
        <f>REPT(" ",20)</f>
        <v/>
      </c>
      <c r="AG1357" s="54">
        <f>REPT(" ",18-LEN(FIXED(F1357,2,TRUE)))&amp;FIXED(F1357,2,TRUE)</f>
        <v/>
      </c>
      <c r="AH1357" s="10">
        <f>LEN(AC1357)+LEN(AG1357)</f>
        <v/>
      </c>
      <c r="AI1357" s="10">
        <f>LEN(L1357)</f>
        <v/>
      </c>
    </row>
    <row r="1358">
      <c r="J1358" s="12">
        <f>IF(F1358&lt;&gt;0,"LANÇAR","")</f>
        <v/>
      </c>
      <c r="L1358" s="13">
        <f>N1358&amp;O1358&amp;P1358&amp;Q1358&amp;R1358&amp;S1358&amp;T1358&amp;U1358&amp;V1358&amp;W1358&amp;X1358&amp;Y1358&amp;Z1358&amp;AA1358&amp;AB1358&amp;AC1358&amp;AD1358&amp;AE1358&amp;AF1358&amp;AG1358</f>
        <v/>
      </c>
      <c r="N1358" s="10">
        <f>TEXT($B$6,"00")</f>
        <v/>
      </c>
      <c r="O1358" s="10">
        <f>REPT(" ",8)</f>
        <v/>
      </c>
      <c r="P1358" s="10">
        <f>RIGHT($B$4,2)</f>
        <v/>
      </c>
      <c r="Q1358" s="10">
        <f>RIGHT($B$5,3)</f>
        <v/>
      </c>
      <c r="R1358" s="10">
        <f>IF(A1358="D",LEFT(UPPER(B1358)&amp;REPT(" ",20),20),REPT(" ",20))</f>
        <v/>
      </c>
      <c r="S1358" s="10">
        <f>IF(A1358="D",LEFT(UPPER(C1358)&amp;REPT(" ",10),10)," ")</f>
        <v/>
      </c>
      <c r="T1358" s="10">
        <f>IF(A1358="D",LEFT(UPPER(D1358)&amp;REPT(" ",2),2)," ")</f>
        <v/>
      </c>
      <c r="U1358" s="10">
        <f>IF(A1358="D",LEFT(UPPER(E1358)&amp;REPT(" ",15),15)," ")</f>
        <v/>
      </c>
      <c r="V1358" s="10">
        <f>REPT(" ",24)</f>
        <v/>
      </c>
      <c r="W1358" s="10">
        <f>IF(A1358="c",LEFT(UPPER(B1358)&amp;REPT(" ",20),20),REPT(" ",20))</f>
        <v/>
      </c>
      <c r="X1358" s="10">
        <f>IF(A1358="C",LEFT(UPPER(C1358)&amp;REPT(" ",10),10)," ")</f>
        <v/>
      </c>
      <c r="Y1358" s="10">
        <f>IF(A1358="C",LEFT(UPPER(D1358)&amp;REPT(" ",2),2)," ")</f>
        <v/>
      </c>
      <c r="Z1358" s="10">
        <f>IF(A1358="C",LEFT(UPPER(E1358)&amp;REPT(" ",15),15)," ")</f>
        <v/>
      </c>
      <c r="AA1358" s="10">
        <f>REPT(" ",8)</f>
        <v/>
      </c>
      <c r="AB1358" s="10">
        <f>REPT(" ",4)</f>
        <v/>
      </c>
      <c r="AC1358" s="10">
        <f>LEFT(UPPER(H1358)&amp;REPT(" ",250),250)</f>
        <v/>
      </c>
      <c r="AD1358" s="10">
        <f>TEXT($G$2,"dd/mm/aaaa")</f>
        <v/>
      </c>
      <c r="AE1358" s="10">
        <f>REPT(" ",10)</f>
        <v/>
      </c>
      <c r="AF1358" s="10">
        <f>REPT(" ",20)</f>
        <v/>
      </c>
      <c r="AG1358" s="54">
        <f>REPT(" ",18-LEN(FIXED(F1358,2,TRUE)))&amp;FIXED(F1358,2,TRUE)</f>
        <v/>
      </c>
      <c r="AH1358" s="10">
        <f>LEN(AC1358)+LEN(AG1358)</f>
        <v/>
      </c>
      <c r="AI1358" s="10">
        <f>LEN(L1358)</f>
        <v/>
      </c>
    </row>
    <row r="1359">
      <c r="J1359" s="12">
        <f>IF(F1359&lt;&gt;0,"LANÇAR","")</f>
        <v/>
      </c>
      <c r="L1359" s="13">
        <f>N1359&amp;O1359&amp;P1359&amp;Q1359&amp;R1359&amp;S1359&amp;T1359&amp;U1359&amp;V1359&amp;W1359&amp;X1359&amp;Y1359&amp;Z1359&amp;AA1359&amp;AB1359&amp;AC1359&amp;AD1359&amp;AE1359&amp;AF1359&amp;AG1359</f>
        <v/>
      </c>
      <c r="N1359" s="10">
        <f>TEXT($B$6,"00")</f>
        <v/>
      </c>
      <c r="O1359" s="10">
        <f>REPT(" ",8)</f>
        <v/>
      </c>
      <c r="P1359" s="10">
        <f>RIGHT($B$4,2)</f>
        <v/>
      </c>
      <c r="Q1359" s="10">
        <f>RIGHT($B$5,3)</f>
        <v/>
      </c>
      <c r="R1359" s="10">
        <f>IF(A1359="D",LEFT(UPPER(B1359)&amp;REPT(" ",20),20),REPT(" ",20))</f>
        <v/>
      </c>
      <c r="S1359" s="10">
        <f>IF(A1359="D",LEFT(UPPER(C1359)&amp;REPT(" ",10),10)," ")</f>
        <v/>
      </c>
      <c r="T1359" s="10">
        <f>IF(A1359="D",LEFT(UPPER(D1359)&amp;REPT(" ",2),2)," ")</f>
        <v/>
      </c>
      <c r="U1359" s="10">
        <f>IF(A1359="D",LEFT(UPPER(E1359)&amp;REPT(" ",15),15)," ")</f>
        <v/>
      </c>
      <c r="V1359" s="10">
        <f>REPT(" ",24)</f>
        <v/>
      </c>
      <c r="W1359" s="10">
        <f>IF(A1359="c",LEFT(UPPER(B1359)&amp;REPT(" ",20),20),REPT(" ",20))</f>
        <v/>
      </c>
      <c r="X1359" s="10">
        <f>IF(A1359="C",LEFT(UPPER(C1359)&amp;REPT(" ",10),10)," ")</f>
        <v/>
      </c>
      <c r="Y1359" s="10">
        <f>IF(A1359="C",LEFT(UPPER(D1359)&amp;REPT(" ",2),2)," ")</f>
        <v/>
      </c>
      <c r="Z1359" s="10">
        <f>IF(A1359="C",LEFT(UPPER(E1359)&amp;REPT(" ",15),15)," ")</f>
        <v/>
      </c>
      <c r="AA1359" s="10">
        <f>REPT(" ",8)</f>
        <v/>
      </c>
      <c r="AB1359" s="10">
        <f>REPT(" ",4)</f>
        <v/>
      </c>
      <c r="AC1359" s="10">
        <f>LEFT(UPPER(H1359)&amp;REPT(" ",250),250)</f>
        <v/>
      </c>
      <c r="AD1359" s="10">
        <f>TEXT($G$2,"dd/mm/aaaa")</f>
        <v/>
      </c>
      <c r="AE1359" s="10">
        <f>REPT(" ",10)</f>
        <v/>
      </c>
      <c r="AF1359" s="10">
        <f>REPT(" ",20)</f>
        <v/>
      </c>
      <c r="AG1359" s="54">
        <f>REPT(" ",18-LEN(FIXED(F1359,2,TRUE)))&amp;FIXED(F1359,2,TRUE)</f>
        <v/>
      </c>
      <c r="AH1359" s="10">
        <f>LEN(AC1359)+LEN(AG1359)</f>
        <v/>
      </c>
      <c r="AI1359" s="10">
        <f>LEN(L1359)</f>
        <v/>
      </c>
    </row>
    <row r="1360">
      <c r="J1360" s="12">
        <f>IF(F1360&lt;&gt;0,"LANÇAR","")</f>
        <v/>
      </c>
      <c r="L1360" s="13">
        <f>N1360&amp;O1360&amp;P1360&amp;Q1360&amp;R1360&amp;S1360&amp;T1360&amp;U1360&amp;V1360&amp;W1360&amp;X1360&amp;Y1360&amp;Z1360&amp;AA1360&amp;AB1360&amp;AC1360&amp;AD1360&amp;AE1360&amp;AF1360&amp;AG1360</f>
        <v/>
      </c>
      <c r="N1360" s="10">
        <f>TEXT($B$6,"00")</f>
        <v/>
      </c>
      <c r="O1360" s="10">
        <f>REPT(" ",8)</f>
        <v/>
      </c>
      <c r="P1360" s="10">
        <f>RIGHT($B$4,2)</f>
        <v/>
      </c>
      <c r="Q1360" s="10">
        <f>RIGHT($B$5,3)</f>
        <v/>
      </c>
      <c r="R1360" s="10">
        <f>IF(A1360="D",LEFT(UPPER(B1360)&amp;REPT(" ",20),20),REPT(" ",20))</f>
        <v/>
      </c>
      <c r="S1360" s="10">
        <f>IF(A1360="D",LEFT(UPPER(C1360)&amp;REPT(" ",10),10)," ")</f>
        <v/>
      </c>
      <c r="T1360" s="10">
        <f>IF(A1360="D",LEFT(UPPER(D1360)&amp;REPT(" ",2),2)," ")</f>
        <v/>
      </c>
      <c r="U1360" s="10">
        <f>IF(A1360="D",LEFT(UPPER(E1360)&amp;REPT(" ",15),15)," ")</f>
        <v/>
      </c>
      <c r="V1360" s="10">
        <f>REPT(" ",24)</f>
        <v/>
      </c>
      <c r="W1360" s="10">
        <f>IF(A1360="c",LEFT(UPPER(B1360)&amp;REPT(" ",20),20),REPT(" ",20))</f>
        <v/>
      </c>
      <c r="X1360" s="10">
        <f>IF(A1360="C",LEFT(UPPER(C1360)&amp;REPT(" ",10),10)," ")</f>
        <v/>
      </c>
      <c r="Y1360" s="10">
        <f>IF(A1360="C",LEFT(UPPER(D1360)&amp;REPT(" ",2),2)," ")</f>
        <v/>
      </c>
      <c r="Z1360" s="10">
        <f>IF(A1360="C",LEFT(UPPER(E1360)&amp;REPT(" ",15),15)," ")</f>
        <v/>
      </c>
      <c r="AA1360" s="10">
        <f>REPT(" ",8)</f>
        <v/>
      </c>
      <c r="AB1360" s="10">
        <f>REPT(" ",4)</f>
        <v/>
      </c>
      <c r="AC1360" s="10">
        <f>LEFT(UPPER(H1360)&amp;REPT(" ",250),250)</f>
        <v/>
      </c>
      <c r="AD1360" s="10">
        <f>TEXT($G$2,"dd/mm/aaaa")</f>
        <v/>
      </c>
      <c r="AE1360" s="10">
        <f>REPT(" ",10)</f>
        <v/>
      </c>
      <c r="AF1360" s="10">
        <f>REPT(" ",20)</f>
        <v/>
      </c>
      <c r="AG1360" s="54">
        <f>REPT(" ",18-LEN(FIXED(F1360,2,TRUE)))&amp;FIXED(F1360,2,TRUE)</f>
        <v/>
      </c>
      <c r="AH1360" s="10">
        <f>LEN(AC1360)+LEN(AG1360)</f>
        <v/>
      </c>
      <c r="AI1360" s="10">
        <f>LEN(L1360)</f>
        <v/>
      </c>
    </row>
    <row r="1361">
      <c r="J1361" s="12">
        <f>IF(F1361&lt;&gt;0,"LANÇAR","")</f>
        <v/>
      </c>
      <c r="L1361" s="13">
        <f>N1361&amp;O1361&amp;P1361&amp;Q1361&amp;R1361&amp;S1361&amp;T1361&amp;U1361&amp;V1361&amp;W1361&amp;X1361&amp;Y1361&amp;Z1361&amp;AA1361&amp;AB1361&amp;AC1361&amp;AD1361&amp;AE1361&amp;AF1361&amp;AG1361</f>
        <v/>
      </c>
      <c r="N1361" s="10">
        <f>TEXT($B$6,"00")</f>
        <v/>
      </c>
      <c r="O1361" s="10">
        <f>REPT(" ",8)</f>
        <v/>
      </c>
      <c r="P1361" s="10">
        <f>RIGHT($B$4,2)</f>
        <v/>
      </c>
      <c r="Q1361" s="10">
        <f>RIGHT($B$5,3)</f>
        <v/>
      </c>
      <c r="R1361" s="10">
        <f>IF(A1361="D",LEFT(UPPER(B1361)&amp;REPT(" ",20),20),REPT(" ",20))</f>
        <v/>
      </c>
      <c r="S1361" s="10">
        <f>IF(A1361="D",LEFT(UPPER(C1361)&amp;REPT(" ",10),10)," ")</f>
        <v/>
      </c>
      <c r="T1361" s="10">
        <f>IF(A1361="D",LEFT(UPPER(D1361)&amp;REPT(" ",2),2)," ")</f>
        <v/>
      </c>
      <c r="U1361" s="10">
        <f>IF(A1361="D",LEFT(UPPER(E1361)&amp;REPT(" ",15),15)," ")</f>
        <v/>
      </c>
      <c r="V1361" s="10">
        <f>REPT(" ",24)</f>
        <v/>
      </c>
      <c r="W1361" s="10">
        <f>IF(A1361="c",LEFT(UPPER(B1361)&amp;REPT(" ",20),20),REPT(" ",20))</f>
        <v/>
      </c>
      <c r="X1361" s="10">
        <f>IF(A1361="C",LEFT(UPPER(C1361)&amp;REPT(" ",10),10)," ")</f>
        <v/>
      </c>
      <c r="Y1361" s="10">
        <f>IF(A1361="C",LEFT(UPPER(D1361)&amp;REPT(" ",2),2)," ")</f>
        <v/>
      </c>
      <c r="Z1361" s="10">
        <f>IF(A1361="C",LEFT(UPPER(E1361)&amp;REPT(" ",15),15)," ")</f>
        <v/>
      </c>
      <c r="AA1361" s="10">
        <f>REPT(" ",8)</f>
        <v/>
      </c>
      <c r="AB1361" s="10">
        <f>REPT(" ",4)</f>
        <v/>
      </c>
      <c r="AC1361" s="10">
        <f>LEFT(UPPER(H1361)&amp;REPT(" ",250),250)</f>
        <v/>
      </c>
      <c r="AD1361" s="10">
        <f>TEXT($G$2,"dd/mm/aaaa")</f>
        <v/>
      </c>
      <c r="AE1361" s="10">
        <f>REPT(" ",10)</f>
        <v/>
      </c>
      <c r="AF1361" s="10">
        <f>REPT(" ",20)</f>
        <v/>
      </c>
      <c r="AG1361" s="54">
        <f>REPT(" ",18-LEN(FIXED(F1361,2,TRUE)))&amp;FIXED(F1361,2,TRUE)</f>
        <v/>
      </c>
      <c r="AH1361" s="10">
        <f>LEN(AC1361)+LEN(AG1361)</f>
        <v/>
      </c>
      <c r="AI1361" s="10">
        <f>LEN(L1361)</f>
        <v/>
      </c>
    </row>
    <row r="1362">
      <c r="J1362" s="12">
        <f>IF(F1362&lt;&gt;0,"LANÇAR","")</f>
        <v/>
      </c>
      <c r="L1362" s="13">
        <f>N1362&amp;O1362&amp;P1362&amp;Q1362&amp;R1362&amp;S1362&amp;T1362&amp;U1362&amp;V1362&amp;W1362&amp;X1362&amp;Y1362&amp;Z1362&amp;AA1362&amp;AB1362&amp;AC1362&amp;AD1362&amp;AE1362&amp;AF1362&amp;AG1362</f>
        <v/>
      </c>
      <c r="N1362" s="10">
        <f>TEXT($B$6,"00")</f>
        <v/>
      </c>
      <c r="O1362" s="10">
        <f>REPT(" ",8)</f>
        <v/>
      </c>
      <c r="P1362" s="10">
        <f>RIGHT($B$4,2)</f>
        <v/>
      </c>
      <c r="Q1362" s="10">
        <f>RIGHT($B$5,3)</f>
        <v/>
      </c>
      <c r="R1362" s="10">
        <f>IF(A1362="D",LEFT(UPPER(B1362)&amp;REPT(" ",20),20),REPT(" ",20))</f>
        <v/>
      </c>
      <c r="S1362" s="10">
        <f>IF(A1362="D",LEFT(UPPER(C1362)&amp;REPT(" ",10),10)," ")</f>
        <v/>
      </c>
      <c r="T1362" s="10">
        <f>IF(A1362="D",LEFT(UPPER(D1362)&amp;REPT(" ",2),2)," ")</f>
        <v/>
      </c>
      <c r="U1362" s="10">
        <f>IF(A1362="D",LEFT(UPPER(E1362)&amp;REPT(" ",15),15)," ")</f>
        <v/>
      </c>
      <c r="V1362" s="10">
        <f>REPT(" ",24)</f>
        <v/>
      </c>
      <c r="W1362" s="10">
        <f>IF(A1362="c",LEFT(UPPER(B1362)&amp;REPT(" ",20),20),REPT(" ",20))</f>
        <v/>
      </c>
      <c r="X1362" s="10">
        <f>IF(A1362="C",LEFT(UPPER(C1362)&amp;REPT(" ",10),10)," ")</f>
        <v/>
      </c>
      <c r="Y1362" s="10">
        <f>IF(A1362="C",LEFT(UPPER(D1362)&amp;REPT(" ",2),2)," ")</f>
        <v/>
      </c>
      <c r="Z1362" s="10">
        <f>IF(A1362="C",LEFT(UPPER(E1362)&amp;REPT(" ",15),15)," ")</f>
        <v/>
      </c>
      <c r="AA1362" s="10">
        <f>REPT(" ",8)</f>
        <v/>
      </c>
      <c r="AB1362" s="10">
        <f>REPT(" ",4)</f>
        <v/>
      </c>
      <c r="AC1362" s="10">
        <f>LEFT(UPPER(H1362)&amp;REPT(" ",250),250)</f>
        <v/>
      </c>
      <c r="AD1362" s="10">
        <f>TEXT($G$2,"dd/mm/aaaa")</f>
        <v/>
      </c>
      <c r="AE1362" s="10">
        <f>REPT(" ",10)</f>
        <v/>
      </c>
      <c r="AF1362" s="10">
        <f>REPT(" ",20)</f>
        <v/>
      </c>
      <c r="AG1362" s="54">
        <f>REPT(" ",18-LEN(FIXED(F1362,2,TRUE)))&amp;FIXED(F1362,2,TRUE)</f>
        <v/>
      </c>
      <c r="AH1362" s="10">
        <f>LEN(AC1362)+LEN(AG1362)</f>
        <v/>
      </c>
      <c r="AI1362" s="10">
        <f>LEN(L1362)</f>
        <v/>
      </c>
    </row>
    <row r="1363">
      <c r="J1363" s="12">
        <f>IF(F1363&lt;&gt;0,"LANÇAR","")</f>
        <v/>
      </c>
      <c r="L1363" s="13">
        <f>N1363&amp;O1363&amp;P1363&amp;Q1363&amp;R1363&amp;S1363&amp;T1363&amp;U1363&amp;V1363&amp;W1363&amp;X1363&amp;Y1363&amp;Z1363&amp;AA1363&amp;AB1363&amp;AC1363&amp;AD1363&amp;AE1363&amp;AF1363&amp;AG1363</f>
        <v/>
      </c>
      <c r="N1363" s="10">
        <f>TEXT($B$6,"00")</f>
        <v/>
      </c>
      <c r="O1363" s="10">
        <f>REPT(" ",8)</f>
        <v/>
      </c>
      <c r="P1363" s="10">
        <f>RIGHT($B$4,2)</f>
        <v/>
      </c>
      <c r="Q1363" s="10">
        <f>RIGHT($B$5,3)</f>
        <v/>
      </c>
      <c r="R1363" s="10">
        <f>IF(A1363="D",LEFT(UPPER(B1363)&amp;REPT(" ",20),20),REPT(" ",20))</f>
        <v/>
      </c>
      <c r="S1363" s="10">
        <f>IF(A1363="D",LEFT(UPPER(C1363)&amp;REPT(" ",10),10)," ")</f>
        <v/>
      </c>
      <c r="T1363" s="10">
        <f>IF(A1363="D",LEFT(UPPER(D1363)&amp;REPT(" ",2),2)," ")</f>
        <v/>
      </c>
      <c r="U1363" s="10">
        <f>IF(A1363="D",LEFT(UPPER(E1363)&amp;REPT(" ",15),15)," ")</f>
        <v/>
      </c>
      <c r="V1363" s="10">
        <f>REPT(" ",24)</f>
        <v/>
      </c>
      <c r="W1363" s="10">
        <f>IF(A1363="c",LEFT(UPPER(B1363)&amp;REPT(" ",20),20),REPT(" ",20))</f>
        <v/>
      </c>
      <c r="X1363" s="10">
        <f>IF(A1363="C",LEFT(UPPER(C1363)&amp;REPT(" ",10),10)," ")</f>
        <v/>
      </c>
      <c r="Y1363" s="10">
        <f>IF(A1363="C",LEFT(UPPER(D1363)&amp;REPT(" ",2),2)," ")</f>
        <v/>
      </c>
      <c r="Z1363" s="10">
        <f>IF(A1363="C",LEFT(UPPER(E1363)&amp;REPT(" ",15),15)," ")</f>
        <v/>
      </c>
      <c r="AA1363" s="10">
        <f>REPT(" ",8)</f>
        <v/>
      </c>
      <c r="AB1363" s="10">
        <f>REPT(" ",4)</f>
        <v/>
      </c>
      <c r="AC1363" s="10">
        <f>LEFT(UPPER(H1363)&amp;REPT(" ",250),250)</f>
        <v/>
      </c>
      <c r="AD1363" s="10">
        <f>TEXT($G$2,"dd/mm/aaaa")</f>
        <v/>
      </c>
      <c r="AE1363" s="10">
        <f>REPT(" ",10)</f>
        <v/>
      </c>
      <c r="AF1363" s="10">
        <f>REPT(" ",20)</f>
        <v/>
      </c>
      <c r="AG1363" s="54">
        <f>REPT(" ",18-LEN(FIXED(F1363,2,TRUE)))&amp;FIXED(F1363,2,TRUE)</f>
        <v/>
      </c>
      <c r="AH1363" s="10">
        <f>LEN(AC1363)+LEN(AG1363)</f>
        <v/>
      </c>
      <c r="AI1363" s="10">
        <f>LEN(L1363)</f>
        <v/>
      </c>
    </row>
    <row r="1364">
      <c r="J1364" s="12">
        <f>IF(F1364&lt;&gt;0,"LANÇAR","")</f>
        <v/>
      </c>
      <c r="L1364" s="13">
        <f>N1364&amp;O1364&amp;P1364&amp;Q1364&amp;R1364&amp;S1364&amp;T1364&amp;U1364&amp;V1364&amp;W1364&amp;X1364&amp;Y1364&amp;Z1364&amp;AA1364&amp;AB1364&amp;AC1364&amp;AD1364&amp;AE1364&amp;AF1364&amp;AG1364</f>
        <v/>
      </c>
      <c r="N1364" s="10">
        <f>TEXT($B$6,"00")</f>
        <v/>
      </c>
      <c r="O1364" s="10">
        <f>REPT(" ",8)</f>
        <v/>
      </c>
      <c r="P1364" s="10">
        <f>RIGHT($B$4,2)</f>
        <v/>
      </c>
      <c r="Q1364" s="10">
        <f>RIGHT($B$5,3)</f>
        <v/>
      </c>
      <c r="R1364" s="10">
        <f>IF(A1364="D",LEFT(UPPER(B1364)&amp;REPT(" ",20),20),REPT(" ",20))</f>
        <v/>
      </c>
      <c r="S1364" s="10">
        <f>IF(A1364="D",LEFT(UPPER(C1364)&amp;REPT(" ",10),10)," ")</f>
        <v/>
      </c>
      <c r="T1364" s="10">
        <f>IF(A1364="D",LEFT(UPPER(D1364)&amp;REPT(" ",2),2)," ")</f>
        <v/>
      </c>
      <c r="U1364" s="10">
        <f>IF(A1364="D",LEFT(UPPER(E1364)&amp;REPT(" ",15),15)," ")</f>
        <v/>
      </c>
      <c r="V1364" s="10">
        <f>REPT(" ",24)</f>
        <v/>
      </c>
      <c r="W1364" s="10">
        <f>IF(A1364="c",LEFT(UPPER(B1364)&amp;REPT(" ",20),20),REPT(" ",20))</f>
        <v/>
      </c>
      <c r="X1364" s="10">
        <f>IF(A1364="C",LEFT(UPPER(C1364)&amp;REPT(" ",10),10)," ")</f>
        <v/>
      </c>
      <c r="Y1364" s="10">
        <f>IF(A1364="C",LEFT(UPPER(D1364)&amp;REPT(" ",2),2)," ")</f>
        <v/>
      </c>
      <c r="Z1364" s="10">
        <f>IF(A1364="C",LEFT(UPPER(E1364)&amp;REPT(" ",15),15)," ")</f>
        <v/>
      </c>
      <c r="AA1364" s="10">
        <f>REPT(" ",8)</f>
        <v/>
      </c>
      <c r="AB1364" s="10">
        <f>REPT(" ",4)</f>
        <v/>
      </c>
      <c r="AC1364" s="10">
        <f>LEFT(UPPER(H1364)&amp;REPT(" ",250),250)</f>
        <v/>
      </c>
      <c r="AD1364" s="10">
        <f>TEXT($G$2,"dd/mm/aaaa")</f>
        <v/>
      </c>
      <c r="AE1364" s="10">
        <f>REPT(" ",10)</f>
        <v/>
      </c>
      <c r="AF1364" s="10">
        <f>REPT(" ",20)</f>
        <v/>
      </c>
      <c r="AG1364" s="54">
        <f>REPT(" ",18-LEN(FIXED(F1364,2,TRUE)))&amp;FIXED(F1364,2,TRUE)</f>
        <v/>
      </c>
      <c r="AH1364" s="10">
        <f>LEN(AC1364)+LEN(AG1364)</f>
        <v/>
      </c>
      <c r="AI1364" s="10">
        <f>LEN(L1364)</f>
        <v/>
      </c>
    </row>
    <row r="1365">
      <c r="J1365" s="12">
        <f>IF(F1365&lt;&gt;0,"LANÇAR","")</f>
        <v/>
      </c>
      <c r="L1365" s="13">
        <f>N1365&amp;O1365&amp;P1365&amp;Q1365&amp;R1365&amp;S1365&amp;T1365&amp;U1365&amp;V1365&amp;W1365&amp;X1365&amp;Y1365&amp;Z1365&amp;AA1365&amp;AB1365&amp;AC1365&amp;AD1365&amp;AE1365&amp;AF1365&amp;AG1365</f>
        <v/>
      </c>
      <c r="N1365" s="10">
        <f>TEXT($B$6,"00")</f>
        <v/>
      </c>
      <c r="O1365" s="10">
        <f>REPT(" ",8)</f>
        <v/>
      </c>
      <c r="P1365" s="10">
        <f>RIGHT($B$4,2)</f>
        <v/>
      </c>
      <c r="Q1365" s="10">
        <f>RIGHT($B$5,3)</f>
        <v/>
      </c>
      <c r="R1365" s="10">
        <f>IF(A1365="D",LEFT(UPPER(B1365)&amp;REPT(" ",20),20),REPT(" ",20))</f>
        <v/>
      </c>
      <c r="S1365" s="10">
        <f>IF(A1365="D",LEFT(UPPER(C1365)&amp;REPT(" ",10),10)," ")</f>
        <v/>
      </c>
      <c r="T1365" s="10">
        <f>IF(A1365="D",LEFT(UPPER(D1365)&amp;REPT(" ",2),2)," ")</f>
        <v/>
      </c>
      <c r="U1365" s="10">
        <f>IF(A1365="D",LEFT(UPPER(E1365)&amp;REPT(" ",15),15)," ")</f>
        <v/>
      </c>
      <c r="V1365" s="10">
        <f>REPT(" ",24)</f>
        <v/>
      </c>
      <c r="W1365" s="10">
        <f>IF(A1365="c",LEFT(UPPER(B1365)&amp;REPT(" ",20),20),REPT(" ",20))</f>
        <v/>
      </c>
      <c r="X1365" s="10">
        <f>IF(A1365="C",LEFT(UPPER(C1365)&amp;REPT(" ",10),10)," ")</f>
        <v/>
      </c>
      <c r="Y1365" s="10">
        <f>IF(A1365="C",LEFT(UPPER(D1365)&amp;REPT(" ",2),2)," ")</f>
        <v/>
      </c>
      <c r="Z1365" s="10">
        <f>IF(A1365="C",LEFT(UPPER(E1365)&amp;REPT(" ",15),15)," ")</f>
        <v/>
      </c>
      <c r="AA1365" s="10">
        <f>REPT(" ",8)</f>
        <v/>
      </c>
      <c r="AB1365" s="10">
        <f>REPT(" ",4)</f>
        <v/>
      </c>
      <c r="AC1365" s="10">
        <f>LEFT(UPPER(H1365)&amp;REPT(" ",250),250)</f>
        <v/>
      </c>
      <c r="AD1365" s="10">
        <f>TEXT($G$2,"dd/mm/aaaa")</f>
        <v/>
      </c>
      <c r="AE1365" s="10">
        <f>REPT(" ",10)</f>
        <v/>
      </c>
      <c r="AF1365" s="10">
        <f>REPT(" ",20)</f>
        <v/>
      </c>
      <c r="AG1365" s="54">
        <f>REPT(" ",18-LEN(FIXED(F1365,2,TRUE)))&amp;FIXED(F1365,2,TRUE)</f>
        <v/>
      </c>
      <c r="AH1365" s="10">
        <f>LEN(AC1365)+LEN(AG1365)</f>
        <v/>
      </c>
      <c r="AI1365" s="10">
        <f>LEN(L1365)</f>
        <v/>
      </c>
    </row>
    <row r="1366">
      <c r="J1366" s="12">
        <f>IF(F1366&lt;&gt;0,"LANÇAR","")</f>
        <v/>
      </c>
      <c r="L1366" s="13">
        <f>N1366&amp;O1366&amp;P1366&amp;Q1366&amp;R1366&amp;S1366&amp;T1366&amp;U1366&amp;V1366&amp;W1366&amp;X1366&amp;Y1366&amp;Z1366&amp;AA1366&amp;AB1366&amp;AC1366&amp;AD1366&amp;AE1366&amp;AF1366&amp;AG1366</f>
        <v/>
      </c>
      <c r="N1366" s="10">
        <f>TEXT($B$6,"00")</f>
        <v/>
      </c>
      <c r="O1366" s="10">
        <f>REPT(" ",8)</f>
        <v/>
      </c>
      <c r="P1366" s="10">
        <f>RIGHT($B$4,2)</f>
        <v/>
      </c>
      <c r="Q1366" s="10">
        <f>RIGHT($B$5,3)</f>
        <v/>
      </c>
      <c r="R1366" s="10">
        <f>IF(A1366="D",LEFT(UPPER(B1366)&amp;REPT(" ",20),20),REPT(" ",20))</f>
        <v/>
      </c>
      <c r="S1366" s="10">
        <f>IF(A1366="D",LEFT(UPPER(C1366)&amp;REPT(" ",10),10)," ")</f>
        <v/>
      </c>
      <c r="T1366" s="10">
        <f>IF(A1366="D",LEFT(UPPER(D1366)&amp;REPT(" ",2),2)," ")</f>
        <v/>
      </c>
      <c r="U1366" s="10">
        <f>IF(A1366="D",LEFT(UPPER(E1366)&amp;REPT(" ",15),15)," ")</f>
        <v/>
      </c>
      <c r="V1366" s="10">
        <f>REPT(" ",24)</f>
        <v/>
      </c>
      <c r="W1366" s="10">
        <f>IF(A1366="c",LEFT(UPPER(B1366)&amp;REPT(" ",20),20),REPT(" ",20))</f>
        <v/>
      </c>
      <c r="X1366" s="10">
        <f>IF(A1366="C",LEFT(UPPER(C1366)&amp;REPT(" ",10),10)," ")</f>
        <v/>
      </c>
      <c r="Y1366" s="10">
        <f>IF(A1366="C",LEFT(UPPER(D1366)&amp;REPT(" ",2),2)," ")</f>
        <v/>
      </c>
      <c r="Z1366" s="10">
        <f>IF(A1366="C",LEFT(UPPER(E1366)&amp;REPT(" ",15),15)," ")</f>
        <v/>
      </c>
      <c r="AA1366" s="10">
        <f>REPT(" ",8)</f>
        <v/>
      </c>
      <c r="AB1366" s="10">
        <f>REPT(" ",4)</f>
        <v/>
      </c>
      <c r="AC1366" s="10">
        <f>LEFT(UPPER(H1366)&amp;REPT(" ",250),250)</f>
        <v/>
      </c>
      <c r="AD1366" s="10">
        <f>TEXT($G$2,"dd/mm/aaaa")</f>
        <v/>
      </c>
      <c r="AE1366" s="10">
        <f>REPT(" ",10)</f>
        <v/>
      </c>
      <c r="AF1366" s="10">
        <f>REPT(" ",20)</f>
        <v/>
      </c>
      <c r="AG1366" s="54">
        <f>REPT(" ",18-LEN(FIXED(F1366,2,TRUE)))&amp;FIXED(F1366,2,TRUE)</f>
        <v/>
      </c>
      <c r="AH1366" s="10">
        <f>LEN(AC1366)+LEN(AG1366)</f>
        <v/>
      </c>
      <c r="AI1366" s="10">
        <f>LEN(L1366)</f>
        <v/>
      </c>
    </row>
    <row r="1367">
      <c r="J1367" s="12">
        <f>IF(F1367&lt;&gt;0,"LANÇAR","")</f>
        <v/>
      </c>
      <c r="L1367" s="13">
        <f>N1367&amp;O1367&amp;P1367&amp;Q1367&amp;R1367&amp;S1367&amp;T1367&amp;U1367&amp;V1367&amp;W1367&amp;X1367&amp;Y1367&amp;Z1367&amp;AA1367&amp;AB1367&amp;AC1367&amp;AD1367&amp;AE1367&amp;AF1367&amp;AG1367</f>
        <v/>
      </c>
      <c r="N1367" s="10">
        <f>TEXT($B$6,"00")</f>
        <v/>
      </c>
      <c r="O1367" s="10">
        <f>REPT(" ",8)</f>
        <v/>
      </c>
      <c r="P1367" s="10">
        <f>RIGHT($B$4,2)</f>
        <v/>
      </c>
      <c r="Q1367" s="10">
        <f>RIGHT($B$5,3)</f>
        <v/>
      </c>
      <c r="R1367" s="10">
        <f>IF(A1367="D",LEFT(UPPER(B1367)&amp;REPT(" ",20),20),REPT(" ",20))</f>
        <v/>
      </c>
      <c r="S1367" s="10">
        <f>IF(A1367="D",LEFT(UPPER(C1367)&amp;REPT(" ",10),10)," ")</f>
        <v/>
      </c>
      <c r="T1367" s="10">
        <f>IF(A1367="D",LEFT(UPPER(D1367)&amp;REPT(" ",2),2)," ")</f>
        <v/>
      </c>
      <c r="U1367" s="10">
        <f>IF(A1367="D",LEFT(UPPER(E1367)&amp;REPT(" ",15),15)," ")</f>
        <v/>
      </c>
      <c r="V1367" s="10">
        <f>REPT(" ",24)</f>
        <v/>
      </c>
      <c r="W1367" s="10">
        <f>IF(A1367="c",LEFT(UPPER(B1367)&amp;REPT(" ",20),20),REPT(" ",20))</f>
        <v/>
      </c>
      <c r="X1367" s="10">
        <f>IF(A1367="C",LEFT(UPPER(C1367)&amp;REPT(" ",10),10)," ")</f>
        <v/>
      </c>
      <c r="Y1367" s="10">
        <f>IF(A1367="C",LEFT(UPPER(D1367)&amp;REPT(" ",2),2)," ")</f>
        <v/>
      </c>
      <c r="Z1367" s="10">
        <f>IF(A1367="C",LEFT(UPPER(E1367)&amp;REPT(" ",15),15)," ")</f>
        <v/>
      </c>
      <c r="AA1367" s="10">
        <f>REPT(" ",8)</f>
        <v/>
      </c>
      <c r="AB1367" s="10">
        <f>REPT(" ",4)</f>
        <v/>
      </c>
      <c r="AC1367" s="10">
        <f>LEFT(UPPER(H1367)&amp;REPT(" ",250),250)</f>
        <v/>
      </c>
      <c r="AD1367" s="10">
        <f>TEXT($G$2,"dd/mm/aaaa")</f>
        <v/>
      </c>
      <c r="AE1367" s="10">
        <f>REPT(" ",10)</f>
        <v/>
      </c>
      <c r="AF1367" s="10">
        <f>REPT(" ",20)</f>
        <v/>
      </c>
      <c r="AG1367" s="54">
        <f>REPT(" ",18-LEN(FIXED(F1367,2,TRUE)))&amp;FIXED(F1367,2,TRUE)</f>
        <v/>
      </c>
      <c r="AH1367" s="10">
        <f>LEN(AC1367)+LEN(AG1367)</f>
        <v/>
      </c>
      <c r="AI1367" s="10">
        <f>LEN(L1367)</f>
        <v/>
      </c>
    </row>
    <row r="1368">
      <c r="J1368" s="12">
        <f>IF(F1368&lt;&gt;0,"LANÇAR","")</f>
        <v/>
      </c>
      <c r="L1368" s="13">
        <f>N1368&amp;O1368&amp;P1368&amp;Q1368&amp;R1368&amp;S1368&amp;T1368&amp;U1368&amp;V1368&amp;W1368&amp;X1368&amp;Y1368&amp;Z1368&amp;AA1368&amp;AB1368&amp;AC1368&amp;AD1368&amp;AE1368&amp;AF1368&amp;AG1368</f>
        <v/>
      </c>
      <c r="N1368" s="10">
        <f>TEXT($B$6,"00")</f>
        <v/>
      </c>
      <c r="O1368" s="10">
        <f>REPT(" ",8)</f>
        <v/>
      </c>
      <c r="P1368" s="10">
        <f>RIGHT($B$4,2)</f>
        <v/>
      </c>
      <c r="Q1368" s="10">
        <f>RIGHT($B$5,3)</f>
        <v/>
      </c>
      <c r="R1368" s="10">
        <f>IF(A1368="D",LEFT(UPPER(B1368)&amp;REPT(" ",20),20),REPT(" ",20))</f>
        <v/>
      </c>
      <c r="S1368" s="10">
        <f>IF(A1368="D",LEFT(UPPER(C1368)&amp;REPT(" ",10),10)," ")</f>
        <v/>
      </c>
      <c r="T1368" s="10">
        <f>IF(A1368="D",LEFT(UPPER(D1368)&amp;REPT(" ",2),2)," ")</f>
        <v/>
      </c>
      <c r="U1368" s="10">
        <f>IF(A1368="D",LEFT(UPPER(E1368)&amp;REPT(" ",15),15)," ")</f>
        <v/>
      </c>
      <c r="V1368" s="10">
        <f>REPT(" ",24)</f>
        <v/>
      </c>
      <c r="W1368" s="10">
        <f>IF(A1368="c",LEFT(UPPER(B1368)&amp;REPT(" ",20),20),REPT(" ",20))</f>
        <v/>
      </c>
      <c r="X1368" s="10">
        <f>IF(A1368="C",LEFT(UPPER(C1368)&amp;REPT(" ",10),10)," ")</f>
        <v/>
      </c>
      <c r="Y1368" s="10">
        <f>IF(A1368="C",LEFT(UPPER(D1368)&amp;REPT(" ",2),2)," ")</f>
        <v/>
      </c>
      <c r="Z1368" s="10">
        <f>IF(A1368="C",LEFT(UPPER(E1368)&amp;REPT(" ",15),15)," ")</f>
        <v/>
      </c>
      <c r="AA1368" s="10">
        <f>REPT(" ",8)</f>
        <v/>
      </c>
      <c r="AB1368" s="10">
        <f>REPT(" ",4)</f>
        <v/>
      </c>
      <c r="AC1368" s="10">
        <f>LEFT(UPPER(H1368)&amp;REPT(" ",250),250)</f>
        <v/>
      </c>
      <c r="AD1368" s="10">
        <f>TEXT($G$2,"dd/mm/aaaa")</f>
        <v/>
      </c>
      <c r="AE1368" s="10">
        <f>REPT(" ",10)</f>
        <v/>
      </c>
      <c r="AF1368" s="10">
        <f>REPT(" ",20)</f>
        <v/>
      </c>
      <c r="AG1368" s="54">
        <f>REPT(" ",18-LEN(FIXED(F1368,2,TRUE)))&amp;FIXED(F1368,2,TRUE)</f>
        <v/>
      </c>
      <c r="AH1368" s="10">
        <f>LEN(AC1368)+LEN(AG1368)</f>
        <v/>
      </c>
      <c r="AI1368" s="10">
        <f>LEN(L1368)</f>
        <v/>
      </c>
    </row>
    <row r="1369">
      <c r="J1369" s="12">
        <f>IF(F1369&lt;&gt;0,"LANÇAR","")</f>
        <v/>
      </c>
      <c r="L1369" s="13">
        <f>N1369&amp;O1369&amp;P1369&amp;Q1369&amp;R1369&amp;S1369&amp;T1369&amp;U1369&amp;V1369&amp;W1369&amp;X1369&amp;Y1369&amp;Z1369&amp;AA1369&amp;AB1369&amp;AC1369&amp;AD1369&amp;AE1369&amp;AF1369&amp;AG1369</f>
        <v/>
      </c>
      <c r="N1369" s="10">
        <f>TEXT($B$6,"00")</f>
        <v/>
      </c>
      <c r="O1369" s="10">
        <f>REPT(" ",8)</f>
        <v/>
      </c>
      <c r="P1369" s="10">
        <f>RIGHT($B$4,2)</f>
        <v/>
      </c>
      <c r="Q1369" s="10">
        <f>RIGHT($B$5,3)</f>
        <v/>
      </c>
      <c r="R1369" s="10">
        <f>IF(A1369="D",LEFT(UPPER(B1369)&amp;REPT(" ",20),20),REPT(" ",20))</f>
        <v/>
      </c>
      <c r="S1369" s="10">
        <f>IF(A1369="D",LEFT(UPPER(C1369)&amp;REPT(" ",10),10)," ")</f>
        <v/>
      </c>
      <c r="T1369" s="10">
        <f>IF(A1369="D",LEFT(UPPER(D1369)&amp;REPT(" ",2),2)," ")</f>
        <v/>
      </c>
      <c r="U1369" s="10">
        <f>IF(A1369="D",LEFT(UPPER(E1369)&amp;REPT(" ",15),15)," ")</f>
        <v/>
      </c>
      <c r="V1369" s="10">
        <f>REPT(" ",24)</f>
        <v/>
      </c>
      <c r="W1369" s="10">
        <f>IF(A1369="c",LEFT(UPPER(B1369)&amp;REPT(" ",20),20),REPT(" ",20))</f>
        <v/>
      </c>
      <c r="X1369" s="10">
        <f>IF(A1369="C",LEFT(UPPER(C1369)&amp;REPT(" ",10),10)," ")</f>
        <v/>
      </c>
      <c r="Y1369" s="10">
        <f>IF(A1369="C",LEFT(UPPER(D1369)&amp;REPT(" ",2),2)," ")</f>
        <v/>
      </c>
      <c r="Z1369" s="10">
        <f>IF(A1369="C",LEFT(UPPER(E1369)&amp;REPT(" ",15),15)," ")</f>
        <v/>
      </c>
      <c r="AA1369" s="10">
        <f>REPT(" ",8)</f>
        <v/>
      </c>
      <c r="AB1369" s="10">
        <f>REPT(" ",4)</f>
        <v/>
      </c>
      <c r="AC1369" s="10">
        <f>LEFT(UPPER(H1369)&amp;REPT(" ",250),250)</f>
        <v/>
      </c>
      <c r="AD1369" s="10">
        <f>TEXT($G$2,"dd/mm/aaaa")</f>
        <v/>
      </c>
      <c r="AE1369" s="10">
        <f>REPT(" ",10)</f>
        <v/>
      </c>
      <c r="AF1369" s="10">
        <f>REPT(" ",20)</f>
        <v/>
      </c>
      <c r="AG1369" s="54">
        <f>REPT(" ",18-LEN(FIXED(F1369,2,TRUE)))&amp;FIXED(F1369,2,TRUE)</f>
        <v/>
      </c>
      <c r="AH1369" s="10">
        <f>LEN(AC1369)+LEN(AG1369)</f>
        <v/>
      </c>
      <c r="AI1369" s="10">
        <f>LEN(L1369)</f>
        <v/>
      </c>
    </row>
    <row r="1370">
      <c r="J1370" s="12">
        <f>IF(F1370&lt;&gt;0,"LANÇAR","")</f>
        <v/>
      </c>
      <c r="L1370" s="13">
        <f>N1370&amp;O1370&amp;P1370&amp;Q1370&amp;R1370&amp;S1370&amp;T1370&amp;U1370&amp;V1370&amp;W1370&amp;X1370&amp;Y1370&amp;Z1370&amp;AA1370&amp;AB1370&amp;AC1370&amp;AD1370&amp;AE1370&amp;AF1370&amp;AG1370</f>
        <v/>
      </c>
      <c r="N1370" s="10">
        <f>TEXT($B$6,"00")</f>
        <v/>
      </c>
      <c r="O1370" s="10">
        <f>REPT(" ",8)</f>
        <v/>
      </c>
      <c r="P1370" s="10">
        <f>RIGHT($B$4,2)</f>
        <v/>
      </c>
      <c r="Q1370" s="10">
        <f>RIGHT($B$5,3)</f>
        <v/>
      </c>
      <c r="R1370" s="10">
        <f>IF(A1370="D",LEFT(UPPER(B1370)&amp;REPT(" ",20),20),REPT(" ",20))</f>
        <v/>
      </c>
      <c r="S1370" s="10">
        <f>IF(A1370="D",LEFT(UPPER(C1370)&amp;REPT(" ",10),10)," ")</f>
        <v/>
      </c>
      <c r="T1370" s="10">
        <f>IF(A1370="D",LEFT(UPPER(D1370)&amp;REPT(" ",2),2)," ")</f>
        <v/>
      </c>
      <c r="U1370" s="10">
        <f>IF(A1370="D",LEFT(UPPER(E1370)&amp;REPT(" ",15),15)," ")</f>
        <v/>
      </c>
      <c r="V1370" s="10">
        <f>REPT(" ",24)</f>
        <v/>
      </c>
      <c r="W1370" s="10">
        <f>IF(A1370="c",LEFT(UPPER(B1370)&amp;REPT(" ",20),20),REPT(" ",20))</f>
        <v/>
      </c>
      <c r="X1370" s="10">
        <f>IF(A1370="C",LEFT(UPPER(C1370)&amp;REPT(" ",10),10)," ")</f>
        <v/>
      </c>
      <c r="Y1370" s="10">
        <f>IF(A1370="C",LEFT(UPPER(D1370)&amp;REPT(" ",2),2)," ")</f>
        <v/>
      </c>
      <c r="Z1370" s="10">
        <f>IF(A1370="C",LEFT(UPPER(E1370)&amp;REPT(" ",15),15)," ")</f>
        <v/>
      </c>
      <c r="AA1370" s="10">
        <f>REPT(" ",8)</f>
        <v/>
      </c>
      <c r="AB1370" s="10">
        <f>REPT(" ",4)</f>
        <v/>
      </c>
      <c r="AC1370" s="10">
        <f>LEFT(UPPER(H1370)&amp;REPT(" ",250),250)</f>
        <v/>
      </c>
      <c r="AD1370" s="10">
        <f>TEXT($G$2,"dd/mm/aaaa")</f>
        <v/>
      </c>
      <c r="AE1370" s="10">
        <f>REPT(" ",10)</f>
        <v/>
      </c>
      <c r="AF1370" s="10">
        <f>REPT(" ",20)</f>
        <v/>
      </c>
      <c r="AG1370" s="54">
        <f>REPT(" ",18-LEN(FIXED(F1370,2,TRUE)))&amp;FIXED(F1370,2,TRUE)</f>
        <v/>
      </c>
      <c r="AH1370" s="10">
        <f>LEN(AC1370)+LEN(AG1370)</f>
        <v/>
      </c>
      <c r="AI1370" s="10">
        <f>LEN(L1370)</f>
        <v/>
      </c>
    </row>
    <row r="1371">
      <c r="J1371" s="12">
        <f>IF(F1371&lt;&gt;0,"LANÇAR","")</f>
        <v/>
      </c>
      <c r="L1371" s="13">
        <f>N1371&amp;O1371&amp;P1371&amp;Q1371&amp;R1371&amp;S1371&amp;T1371&amp;U1371&amp;V1371&amp;W1371&amp;X1371&amp;Y1371&amp;Z1371&amp;AA1371&amp;AB1371&amp;AC1371&amp;AD1371&amp;AE1371&amp;AF1371&amp;AG1371</f>
        <v/>
      </c>
      <c r="N1371" s="10">
        <f>TEXT($B$6,"00")</f>
        <v/>
      </c>
      <c r="O1371" s="10">
        <f>REPT(" ",8)</f>
        <v/>
      </c>
      <c r="P1371" s="10">
        <f>RIGHT($B$4,2)</f>
        <v/>
      </c>
      <c r="Q1371" s="10">
        <f>RIGHT($B$5,3)</f>
        <v/>
      </c>
      <c r="R1371" s="10">
        <f>IF(A1371="D",LEFT(UPPER(B1371)&amp;REPT(" ",20),20),REPT(" ",20))</f>
        <v/>
      </c>
      <c r="S1371" s="10">
        <f>IF(A1371="D",LEFT(UPPER(C1371)&amp;REPT(" ",10),10)," ")</f>
        <v/>
      </c>
      <c r="T1371" s="10">
        <f>IF(A1371="D",LEFT(UPPER(D1371)&amp;REPT(" ",2),2)," ")</f>
        <v/>
      </c>
      <c r="U1371" s="10">
        <f>IF(A1371="D",LEFT(UPPER(E1371)&amp;REPT(" ",15),15)," ")</f>
        <v/>
      </c>
      <c r="V1371" s="10">
        <f>REPT(" ",24)</f>
        <v/>
      </c>
      <c r="W1371" s="10">
        <f>IF(A1371="c",LEFT(UPPER(B1371)&amp;REPT(" ",20),20),REPT(" ",20))</f>
        <v/>
      </c>
      <c r="X1371" s="10">
        <f>IF(A1371="C",LEFT(UPPER(C1371)&amp;REPT(" ",10),10)," ")</f>
        <v/>
      </c>
      <c r="Y1371" s="10">
        <f>IF(A1371="C",LEFT(UPPER(D1371)&amp;REPT(" ",2),2)," ")</f>
        <v/>
      </c>
      <c r="Z1371" s="10">
        <f>IF(A1371="C",LEFT(UPPER(E1371)&amp;REPT(" ",15),15)," ")</f>
        <v/>
      </c>
      <c r="AA1371" s="10">
        <f>REPT(" ",8)</f>
        <v/>
      </c>
      <c r="AB1371" s="10">
        <f>REPT(" ",4)</f>
        <v/>
      </c>
      <c r="AC1371" s="10">
        <f>LEFT(UPPER(H1371)&amp;REPT(" ",250),250)</f>
        <v/>
      </c>
      <c r="AD1371" s="10">
        <f>TEXT($G$2,"dd/mm/aaaa")</f>
        <v/>
      </c>
      <c r="AE1371" s="10">
        <f>REPT(" ",10)</f>
        <v/>
      </c>
      <c r="AF1371" s="10">
        <f>REPT(" ",20)</f>
        <v/>
      </c>
      <c r="AG1371" s="54">
        <f>REPT(" ",18-LEN(FIXED(F1371,2,TRUE)))&amp;FIXED(F1371,2,TRUE)</f>
        <v/>
      </c>
      <c r="AH1371" s="10">
        <f>LEN(AC1371)+LEN(AG1371)</f>
        <v/>
      </c>
      <c r="AI1371" s="10">
        <f>LEN(L1371)</f>
        <v/>
      </c>
    </row>
    <row r="1372">
      <c r="J1372" s="12">
        <f>IF(F1372&lt;&gt;0,"LANÇAR","")</f>
        <v/>
      </c>
      <c r="L1372" s="13">
        <f>N1372&amp;O1372&amp;P1372&amp;Q1372&amp;R1372&amp;S1372&amp;T1372&amp;U1372&amp;V1372&amp;W1372&amp;X1372&amp;Y1372&amp;Z1372&amp;AA1372&amp;AB1372&amp;AC1372&amp;AD1372&amp;AE1372&amp;AF1372&amp;AG1372</f>
        <v/>
      </c>
      <c r="N1372" s="10">
        <f>TEXT($B$6,"00")</f>
        <v/>
      </c>
      <c r="O1372" s="10">
        <f>REPT(" ",8)</f>
        <v/>
      </c>
      <c r="P1372" s="10">
        <f>RIGHT($B$4,2)</f>
        <v/>
      </c>
      <c r="Q1372" s="10">
        <f>RIGHT($B$5,3)</f>
        <v/>
      </c>
      <c r="R1372" s="10">
        <f>IF(A1372="D",LEFT(UPPER(B1372)&amp;REPT(" ",20),20),REPT(" ",20))</f>
        <v/>
      </c>
      <c r="S1372" s="10">
        <f>IF(A1372="D",LEFT(UPPER(C1372)&amp;REPT(" ",10),10)," ")</f>
        <v/>
      </c>
      <c r="T1372" s="10">
        <f>IF(A1372="D",LEFT(UPPER(D1372)&amp;REPT(" ",2),2)," ")</f>
        <v/>
      </c>
      <c r="U1372" s="10">
        <f>IF(A1372="D",LEFT(UPPER(E1372)&amp;REPT(" ",15),15)," ")</f>
        <v/>
      </c>
      <c r="V1372" s="10">
        <f>REPT(" ",24)</f>
        <v/>
      </c>
      <c r="W1372" s="10">
        <f>IF(A1372="c",LEFT(UPPER(B1372)&amp;REPT(" ",20),20),REPT(" ",20))</f>
        <v/>
      </c>
      <c r="X1372" s="10">
        <f>IF(A1372="C",LEFT(UPPER(C1372)&amp;REPT(" ",10),10)," ")</f>
        <v/>
      </c>
      <c r="Y1372" s="10">
        <f>IF(A1372="C",LEFT(UPPER(D1372)&amp;REPT(" ",2),2)," ")</f>
        <v/>
      </c>
      <c r="Z1372" s="10">
        <f>IF(A1372="C",LEFT(UPPER(E1372)&amp;REPT(" ",15),15)," ")</f>
        <v/>
      </c>
      <c r="AA1372" s="10">
        <f>REPT(" ",8)</f>
        <v/>
      </c>
      <c r="AB1372" s="10">
        <f>REPT(" ",4)</f>
        <v/>
      </c>
      <c r="AC1372" s="10">
        <f>LEFT(UPPER(H1372)&amp;REPT(" ",250),250)</f>
        <v/>
      </c>
      <c r="AD1372" s="10">
        <f>TEXT($G$2,"dd/mm/aaaa")</f>
        <v/>
      </c>
      <c r="AE1372" s="10">
        <f>REPT(" ",10)</f>
        <v/>
      </c>
      <c r="AF1372" s="10">
        <f>REPT(" ",20)</f>
        <v/>
      </c>
      <c r="AG1372" s="54">
        <f>REPT(" ",18-LEN(FIXED(F1372,2,TRUE)))&amp;FIXED(F1372,2,TRUE)</f>
        <v/>
      </c>
      <c r="AH1372" s="10">
        <f>LEN(AC1372)+LEN(AG1372)</f>
        <v/>
      </c>
      <c r="AI1372" s="10">
        <f>LEN(L1372)</f>
        <v/>
      </c>
    </row>
    <row r="1373">
      <c r="J1373" s="12">
        <f>IF(F1373&lt;&gt;0,"LANÇAR","")</f>
        <v/>
      </c>
      <c r="L1373" s="13">
        <f>N1373&amp;O1373&amp;P1373&amp;Q1373&amp;R1373&amp;S1373&amp;T1373&amp;U1373&amp;V1373&amp;W1373&amp;X1373&amp;Y1373&amp;Z1373&amp;AA1373&amp;AB1373&amp;AC1373&amp;AD1373&amp;AE1373&amp;AF1373&amp;AG1373</f>
        <v/>
      </c>
      <c r="N1373" s="10">
        <f>TEXT($B$6,"00")</f>
        <v/>
      </c>
      <c r="O1373" s="10">
        <f>REPT(" ",8)</f>
        <v/>
      </c>
      <c r="P1373" s="10">
        <f>RIGHT($B$4,2)</f>
        <v/>
      </c>
      <c r="Q1373" s="10">
        <f>RIGHT($B$5,3)</f>
        <v/>
      </c>
      <c r="R1373" s="10">
        <f>IF(A1373="D",LEFT(UPPER(B1373)&amp;REPT(" ",20),20),REPT(" ",20))</f>
        <v/>
      </c>
      <c r="S1373" s="10">
        <f>IF(A1373="D",LEFT(UPPER(C1373)&amp;REPT(" ",10),10)," ")</f>
        <v/>
      </c>
      <c r="T1373" s="10">
        <f>IF(A1373="D",LEFT(UPPER(D1373)&amp;REPT(" ",2),2)," ")</f>
        <v/>
      </c>
      <c r="U1373" s="10">
        <f>IF(A1373="D",LEFT(UPPER(E1373)&amp;REPT(" ",15),15)," ")</f>
        <v/>
      </c>
      <c r="V1373" s="10">
        <f>REPT(" ",24)</f>
        <v/>
      </c>
      <c r="W1373" s="10">
        <f>IF(A1373="c",LEFT(UPPER(B1373)&amp;REPT(" ",20),20),REPT(" ",20))</f>
        <v/>
      </c>
      <c r="X1373" s="10">
        <f>IF(A1373="C",LEFT(UPPER(C1373)&amp;REPT(" ",10),10)," ")</f>
        <v/>
      </c>
      <c r="Y1373" s="10">
        <f>IF(A1373="C",LEFT(UPPER(D1373)&amp;REPT(" ",2),2)," ")</f>
        <v/>
      </c>
      <c r="Z1373" s="10">
        <f>IF(A1373="C",LEFT(UPPER(E1373)&amp;REPT(" ",15),15)," ")</f>
        <v/>
      </c>
      <c r="AA1373" s="10">
        <f>REPT(" ",8)</f>
        <v/>
      </c>
      <c r="AB1373" s="10">
        <f>REPT(" ",4)</f>
        <v/>
      </c>
      <c r="AC1373" s="10">
        <f>LEFT(UPPER(H1373)&amp;REPT(" ",250),250)</f>
        <v/>
      </c>
      <c r="AD1373" s="10">
        <f>TEXT($G$2,"dd/mm/aaaa")</f>
        <v/>
      </c>
      <c r="AE1373" s="10">
        <f>REPT(" ",10)</f>
        <v/>
      </c>
      <c r="AF1373" s="10">
        <f>REPT(" ",20)</f>
        <v/>
      </c>
      <c r="AG1373" s="54">
        <f>REPT(" ",18-LEN(FIXED(F1373,2,TRUE)))&amp;FIXED(F1373,2,TRUE)</f>
        <v/>
      </c>
      <c r="AH1373" s="10">
        <f>LEN(AC1373)+LEN(AG1373)</f>
        <v/>
      </c>
      <c r="AI1373" s="10">
        <f>LEN(L1373)</f>
        <v/>
      </c>
    </row>
    <row r="1374">
      <c r="J1374" s="12">
        <f>IF(F1374&lt;&gt;0,"LANÇAR","")</f>
        <v/>
      </c>
      <c r="L1374" s="13">
        <f>N1374&amp;O1374&amp;P1374&amp;Q1374&amp;R1374&amp;S1374&amp;T1374&amp;U1374&amp;V1374&amp;W1374&amp;X1374&amp;Y1374&amp;Z1374&amp;AA1374&amp;AB1374&amp;AC1374&amp;AD1374&amp;AE1374&amp;AF1374&amp;AG1374</f>
        <v/>
      </c>
      <c r="N1374" s="10">
        <f>TEXT($B$6,"00")</f>
        <v/>
      </c>
      <c r="O1374" s="10">
        <f>REPT(" ",8)</f>
        <v/>
      </c>
      <c r="P1374" s="10">
        <f>RIGHT($B$4,2)</f>
        <v/>
      </c>
      <c r="Q1374" s="10">
        <f>RIGHT($B$5,3)</f>
        <v/>
      </c>
      <c r="R1374" s="10">
        <f>IF(A1374="D",LEFT(UPPER(B1374)&amp;REPT(" ",20),20),REPT(" ",20))</f>
        <v/>
      </c>
      <c r="S1374" s="10">
        <f>IF(A1374="D",LEFT(UPPER(C1374)&amp;REPT(" ",10),10)," ")</f>
        <v/>
      </c>
      <c r="T1374" s="10">
        <f>IF(A1374="D",LEFT(UPPER(D1374)&amp;REPT(" ",2),2)," ")</f>
        <v/>
      </c>
      <c r="U1374" s="10">
        <f>IF(A1374="D",LEFT(UPPER(E1374)&amp;REPT(" ",15),15)," ")</f>
        <v/>
      </c>
      <c r="V1374" s="10">
        <f>REPT(" ",24)</f>
        <v/>
      </c>
      <c r="W1374" s="10">
        <f>IF(A1374="c",LEFT(UPPER(B1374)&amp;REPT(" ",20),20),REPT(" ",20))</f>
        <v/>
      </c>
      <c r="X1374" s="10">
        <f>IF(A1374="C",LEFT(UPPER(C1374)&amp;REPT(" ",10),10)," ")</f>
        <v/>
      </c>
      <c r="Y1374" s="10">
        <f>IF(A1374="C",LEFT(UPPER(D1374)&amp;REPT(" ",2),2)," ")</f>
        <v/>
      </c>
      <c r="Z1374" s="10">
        <f>IF(A1374="C",LEFT(UPPER(E1374)&amp;REPT(" ",15),15)," ")</f>
        <v/>
      </c>
      <c r="AA1374" s="10">
        <f>REPT(" ",8)</f>
        <v/>
      </c>
      <c r="AB1374" s="10">
        <f>REPT(" ",4)</f>
        <v/>
      </c>
      <c r="AC1374" s="10">
        <f>LEFT(UPPER(H1374)&amp;REPT(" ",250),250)</f>
        <v/>
      </c>
      <c r="AD1374" s="10">
        <f>TEXT($G$2,"dd/mm/aaaa")</f>
        <v/>
      </c>
      <c r="AE1374" s="10">
        <f>REPT(" ",10)</f>
        <v/>
      </c>
      <c r="AF1374" s="10">
        <f>REPT(" ",20)</f>
        <v/>
      </c>
      <c r="AG1374" s="54">
        <f>REPT(" ",18-LEN(FIXED(F1374,2,TRUE)))&amp;FIXED(F1374,2,TRUE)</f>
        <v/>
      </c>
      <c r="AH1374" s="10">
        <f>LEN(AC1374)+LEN(AG1374)</f>
        <v/>
      </c>
      <c r="AI1374" s="10">
        <f>LEN(L1374)</f>
        <v/>
      </c>
    </row>
    <row r="1375">
      <c r="J1375" s="12">
        <f>IF(F1375&lt;&gt;0,"LANÇAR","")</f>
        <v/>
      </c>
      <c r="L1375" s="13">
        <f>N1375&amp;O1375&amp;P1375&amp;Q1375&amp;R1375&amp;S1375&amp;T1375&amp;U1375&amp;V1375&amp;W1375&amp;X1375&amp;Y1375&amp;Z1375&amp;AA1375&amp;AB1375&amp;AC1375&amp;AD1375&amp;AE1375&amp;AF1375&amp;AG1375</f>
        <v/>
      </c>
      <c r="N1375" s="10">
        <f>TEXT($B$6,"00")</f>
        <v/>
      </c>
      <c r="O1375" s="10">
        <f>REPT(" ",8)</f>
        <v/>
      </c>
      <c r="P1375" s="10">
        <f>RIGHT($B$4,2)</f>
        <v/>
      </c>
      <c r="Q1375" s="10">
        <f>RIGHT($B$5,3)</f>
        <v/>
      </c>
      <c r="R1375" s="10">
        <f>IF(A1375="D",LEFT(UPPER(B1375)&amp;REPT(" ",20),20),REPT(" ",20))</f>
        <v/>
      </c>
      <c r="S1375" s="10">
        <f>IF(A1375="D",LEFT(UPPER(C1375)&amp;REPT(" ",10),10)," ")</f>
        <v/>
      </c>
      <c r="T1375" s="10">
        <f>IF(A1375="D",LEFT(UPPER(D1375)&amp;REPT(" ",2),2)," ")</f>
        <v/>
      </c>
      <c r="U1375" s="10">
        <f>IF(A1375="D",LEFT(UPPER(E1375)&amp;REPT(" ",15),15)," ")</f>
        <v/>
      </c>
      <c r="V1375" s="10">
        <f>REPT(" ",24)</f>
        <v/>
      </c>
      <c r="W1375" s="10">
        <f>IF(A1375="c",LEFT(UPPER(B1375)&amp;REPT(" ",20),20),REPT(" ",20))</f>
        <v/>
      </c>
      <c r="X1375" s="10">
        <f>IF(A1375="C",LEFT(UPPER(C1375)&amp;REPT(" ",10),10)," ")</f>
        <v/>
      </c>
      <c r="Y1375" s="10">
        <f>IF(A1375="C",LEFT(UPPER(D1375)&amp;REPT(" ",2),2)," ")</f>
        <v/>
      </c>
      <c r="Z1375" s="10">
        <f>IF(A1375="C",LEFT(UPPER(E1375)&amp;REPT(" ",15),15)," ")</f>
        <v/>
      </c>
      <c r="AA1375" s="10">
        <f>REPT(" ",8)</f>
        <v/>
      </c>
      <c r="AB1375" s="10">
        <f>REPT(" ",4)</f>
        <v/>
      </c>
      <c r="AC1375" s="10">
        <f>LEFT(UPPER(H1375)&amp;REPT(" ",250),250)</f>
        <v/>
      </c>
      <c r="AD1375" s="10">
        <f>TEXT($G$2,"dd/mm/aaaa")</f>
        <v/>
      </c>
      <c r="AE1375" s="10">
        <f>REPT(" ",10)</f>
        <v/>
      </c>
      <c r="AF1375" s="10">
        <f>REPT(" ",20)</f>
        <v/>
      </c>
      <c r="AG1375" s="54">
        <f>REPT(" ",18-LEN(FIXED(F1375,2,TRUE)))&amp;FIXED(F1375,2,TRUE)</f>
        <v/>
      </c>
      <c r="AH1375" s="10">
        <f>LEN(AC1375)+LEN(AG1375)</f>
        <v/>
      </c>
      <c r="AI1375" s="10">
        <f>LEN(L1375)</f>
        <v/>
      </c>
    </row>
    <row r="1376">
      <c r="J1376" s="12">
        <f>IF(F1376&lt;&gt;0,"LANÇAR","")</f>
        <v/>
      </c>
      <c r="L1376" s="13">
        <f>N1376&amp;O1376&amp;P1376&amp;Q1376&amp;R1376&amp;S1376&amp;T1376&amp;U1376&amp;V1376&amp;W1376&amp;X1376&amp;Y1376&amp;Z1376&amp;AA1376&amp;AB1376&amp;AC1376&amp;AD1376&amp;AE1376&amp;AF1376&amp;AG1376</f>
        <v/>
      </c>
      <c r="N1376" s="10">
        <f>TEXT($B$6,"00")</f>
        <v/>
      </c>
      <c r="O1376" s="10">
        <f>REPT(" ",8)</f>
        <v/>
      </c>
      <c r="P1376" s="10">
        <f>RIGHT($B$4,2)</f>
        <v/>
      </c>
      <c r="Q1376" s="10">
        <f>RIGHT($B$5,3)</f>
        <v/>
      </c>
      <c r="R1376" s="10">
        <f>IF(A1376="D",LEFT(UPPER(B1376)&amp;REPT(" ",20),20),REPT(" ",20))</f>
        <v/>
      </c>
      <c r="S1376" s="10">
        <f>IF(A1376="D",LEFT(UPPER(C1376)&amp;REPT(" ",10),10)," ")</f>
        <v/>
      </c>
      <c r="T1376" s="10">
        <f>IF(A1376="D",LEFT(UPPER(D1376)&amp;REPT(" ",2),2)," ")</f>
        <v/>
      </c>
      <c r="U1376" s="10">
        <f>IF(A1376="D",LEFT(UPPER(E1376)&amp;REPT(" ",15),15)," ")</f>
        <v/>
      </c>
      <c r="V1376" s="10">
        <f>REPT(" ",24)</f>
        <v/>
      </c>
      <c r="W1376" s="10">
        <f>IF(A1376="c",LEFT(UPPER(B1376)&amp;REPT(" ",20),20),REPT(" ",20))</f>
        <v/>
      </c>
      <c r="X1376" s="10">
        <f>IF(A1376="C",LEFT(UPPER(C1376)&amp;REPT(" ",10),10)," ")</f>
        <v/>
      </c>
      <c r="Y1376" s="10">
        <f>IF(A1376="C",LEFT(UPPER(D1376)&amp;REPT(" ",2),2)," ")</f>
        <v/>
      </c>
      <c r="Z1376" s="10">
        <f>IF(A1376="C",LEFT(UPPER(E1376)&amp;REPT(" ",15),15)," ")</f>
        <v/>
      </c>
      <c r="AA1376" s="10">
        <f>REPT(" ",8)</f>
        <v/>
      </c>
      <c r="AB1376" s="10">
        <f>REPT(" ",4)</f>
        <v/>
      </c>
      <c r="AC1376" s="10">
        <f>LEFT(UPPER(H1376)&amp;REPT(" ",250),250)</f>
        <v/>
      </c>
      <c r="AD1376" s="10">
        <f>TEXT($G$2,"dd/mm/aaaa")</f>
        <v/>
      </c>
      <c r="AE1376" s="10">
        <f>REPT(" ",10)</f>
        <v/>
      </c>
      <c r="AF1376" s="10">
        <f>REPT(" ",20)</f>
        <v/>
      </c>
      <c r="AG1376" s="54">
        <f>REPT(" ",18-LEN(FIXED(F1376,2,TRUE)))&amp;FIXED(F1376,2,TRUE)</f>
        <v/>
      </c>
      <c r="AH1376" s="10">
        <f>LEN(AC1376)+LEN(AG1376)</f>
        <v/>
      </c>
      <c r="AI1376" s="10">
        <f>LEN(L1376)</f>
        <v/>
      </c>
    </row>
    <row r="1377">
      <c r="J1377" s="12">
        <f>IF(F1377&lt;&gt;0,"LANÇAR","")</f>
        <v/>
      </c>
      <c r="L1377" s="13">
        <f>N1377&amp;O1377&amp;P1377&amp;Q1377&amp;R1377&amp;S1377&amp;T1377&amp;U1377&amp;V1377&amp;W1377&amp;X1377&amp;Y1377&amp;Z1377&amp;AA1377&amp;AB1377&amp;AC1377&amp;AD1377&amp;AE1377&amp;AF1377&amp;AG1377</f>
        <v/>
      </c>
      <c r="N1377" s="10">
        <f>TEXT($B$6,"00")</f>
        <v/>
      </c>
      <c r="O1377" s="10">
        <f>REPT(" ",8)</f>
        <v/>
      </c>
      <c r="P1377" s="10">
        <f>RIGHT($B$4,2)</f>
        <v/>
      </c>
      <c r="Q1377" s="10">
        <f>RIGHT($B$5,3)</f>
        <v/>
      </c>
      <c r="R1377" s="10">
        <f>IF(A1377="D",LEFT(UPPER(B1377)&amp;REPT(" ",20),20),REPT(" ",20))</f>
        <v/>
      </c>
      <c r="S1377" s="10">
        <f>IF(A1377="D",LEFT(UPPER(C1377)&amp;REPT(" ",10),10)," ")</f>
        <v/>
      </c>
      <c r="T1377" s="10">
        <f>IF(A1377="D",LEFT(UPPER(D1377)&amp;REPT(" ",2),2)," ")</f>
        <v/>
      </c>
      <c r="U1377" s="10">
        <f>IF(A1377="D",LEFT(UPPER(E1377)&amp;REPT(" ",15),15)," ")</f>
        <v/>
      </c>
      <c r="V1377" s="10">
        <f>REPT(" ",24)</f>
        <v/>
      </c>
      <c r="W1377" s="10">
        <f>IF(A1377="c",LEFT(UPPER(B1377)&amp;REPT(" ",20),20),REPT(" ",20))</f>
        <v/>
      </c>
      <c r="X1377" s="10">
        <f>IF(A1377="C",LEFT(UPPER(C1377)&amp;REPT(" ",10),10)," ")</f>
        <v/>
      </c>
      <c r="Y1377" s="10">
        <f>IF(A1377="C",LEFT(UPPER(D1377)&amp;REPT(" ",2),2)," ")</f>
        <v/>
      </c>
      <c r="Z1377" s="10">
        <f>IF(A1377="C",LEFT(UPPER(E1377)&amp;REPT(" ",15),15)," ")</f>
        <v/>
      </c>
      <c r="AA1377" s="10">
        <f>REPT(" ",8)</f>
        <v/>
      </c>
      <c r="AB1377" s="10">
        <f>REPT(" ",4)</f>
        <v/>
      </c>
      <c r="AC1377" s="10">
        <f>LEFT(UPPER(H1377)&amp;REPT(" ",250),250)</f>
        <v/>
      </c>
      <c r="AD1377" s="10">
        <f>TEXT($G$2,"dd/mm/aaaa")</f>
        <v/>
      </c>
      <c r="AE1377" s="10">
        <f>REPT(" ",10)</f>
        <v/>
      </c>
      <c r="AF1377" s="10">
        <f>REPT(" ",20)</f>
        <v/>
      </c>
      <c r="AG1377" s="54">
        <f>REPT(" ",18-LEN(FIXED(F1377,2,TRUE)))&amp;FIXED(F1377,2,TRUE)</f>
        <v/>
      </c>
      <c r="AH1377" s="10">
        <f>LEN(AC1377)+LEN(AG1377)</f>
        <v/>
      </c>
      <c r="AI1377" s="10">
        <f>LEN(L1377)</f>
        <v/>
      </c>
    </row>
    <row r="1378">
      <c r="J1378" s="12">
        <f>IF(F1378&lt;&gt;0,"LANÇAR","")</f>
        <v/>
      </c>
      <c r="L1378" s="13">
        <f>N1378&amp;O1378&amp;P1378&amp;Q1378&amp;R1378&amp;S1378&amp;T1378&amp;U1378&amp;V1378&amp;W1378&amp;X1378&amp;Y1378&amp;Z1378&amp;AA1378&amp;AB1378&amp;AC1378&amp;AD1378&amp;AE1378&amp;AF1378&amp;AG1378</f>
        <v/>
      </c>
      <c r="N1378" s="10">
        <f>TEXT($B$6,"00")</f>
        <v/>
      </c>
      <c r="O1378" s="10">
        <f>REPT(" ",8)</f>
        <v/>
      </c>
      <c r="P1378" s="10">
        <f>RIGHT($B$4,2)</f>
        <v/>
      </c>
      <c r="Q1378" s="10">
        <f>RIGHT($B$5,3)</f>
        <v/>
      </c>
      <c r="R1378" s="10">
        <f>IF(A1378="D",LEFT(UPPER(B1378)&amp;REPT(" ",20),20),REPT(" ",20))</f>
        <v/>
      </c>
      <c r="S1378" s="10">
        <f>IF(A1378="D",LEFT(UPPER(C1378)&amp;REPT(" ",10),10)," ")</f>
        <v/>
      </c>
      <c r="T1378" s="10">
        <f>IF(A1378="D",LEFT(UPPER(D1378)&amp;REPT(" ",2),2)," ")</f>
        <v/>
      </c>
      <c r="U1378" s="10">
        <f>IF(A1378="D",LEFT(UPPER(E1378)&amp;REPT(" ",15),15)," ")</f>
        <v/>
      </c>
      <c r="V1378" s="10">
        <f>REPT(" ",24)</f>
        <v/>
      </c>
      <c r="W1378" s="10">
        <f>IF(A1378="c",LEFT(UPPER(B1378)&amp;REPT(" ",20),20),REPT(" ",20))</f>
        <v/>
      </c>
      <c r="X1378" s="10">
        <f>IF(A1378="C",LEFT(UPPER(C1378)&amp;REPT(" ",10),10)," ")</f>
        <v/>
      </c>
      <c r="Y1378" s="10">
        <f>IF(A1378="C",LEFT(UPPER(D1378)&amp;REPT(" ",2),2)," ")</f>
        <v/>
      </c>
      <c r="Z1378" s="10">
        <f>IF(A1378="C",LEFT(UPPER(E1378)&amp;REPT(" ",15),15)," ")</f>
        <v/>
      </c>
      <c r="AA1378" s="10">
        <f>REPT(" ",8)</f>
        <v/>
      </c>
      <c r="AB1378" s="10">
        <f>REPT(" ",4)</f>
        <v/>
      </c>
      <c r="AC1378" s="10">
        <f>LEFT(UPPER(H1378)&amp;REPT(" ",250),250)</f>
        <v/>
      </c>
      <c r="AD1378" s="10">
        <f>TEXT($G$2,"dd/mm/aaaa")</f>
        <v/>
      </c>
      <c r="AE1378" s="10">
        <f>REPT(" ",10)</f>
        <v/>
      </c>
      <c r="AF1378" s="10">
        <f>REPT(" ",20)</f>
        <v/>
      </c>
      <c r="AG1378" s="54">
        <f>REPT(" ",18-LEN(FIXED(F1378,2,TRUE)))&amp;FIXED(F1378,2,TRUE)</f>
        <v/>
      </c>
      <c r="AH1378" s="10">
        <f>LEN(AC1378)+LEN(AG1378)</f>
        <v/>
      </c>
      <c r="AI1378" s="10">
        <f>LEN(L1378)</f>
        <v/>
      </c>
    </row>
    <row r="1379">
      <c r="J1379" s="12">
        <f>IF(F1379&lt;&gt;0,"LANÇAR","")</f>
        <v/>
      </c>
      <c r="L1379" s="13">
        <f>N1379&amp;O1379&amp;P1379&amp;Q1379&amp;R1379&amp;S1379&amp;T1379&amp;U1379&amp;V1379&amp;W1379&amp;X1379&amp;Y1379&amp;Z1379&amp;AA1379&amp;AB1379&amp;AC1379&amp;AD1379&amp;AE1379&amp;AF1379&amp;AG1379</f>
        <v/>
      </c>
      <c r="N1379" s="10">
        <f>TEXT($B$6,"00")</f>
        <v/>
      </c>
      <c r="O1379" s="10">
        <f>REPT(" ",8)</f>
        <v/>
      </c>
      <c r="P1379" s="10">
        <f>RIGHT($B$4,2)</f>
        <v/>
      </c>
      <c r="Q1379" s="10">
        <f>RIGHT($B$5,3)</f>
        <v/>
      </c>
      <c r="R1379" s="10">
        <f>IF(A1379="D",LEFT(UPPER(B1379)&amp;REPT(" ",20),20),REPT(" ",20))</f>
        <v/>
      </c>
      <c r="S1379" s="10">
        <f>IF(A1379="D",LEFT(UPPER(C1379)&amp;REPT(" ",10),10)," ")</f>
        <v/>
      </c>
      <c r="T1379" s="10">
        <f>IF(A1379="D",LEFT(UPPER(D1379)&amp;REPT(" ",2),2)," ")</f>
        <v/>
      </c>
      <c r="U1379" s="10">
        <f>IF(A1379="D",LEFT(UPPER(E1379)&amp;REPT(" ",15),15)," ")</f>
        <v/>
      </c>
      <c r="V1379" s="10">
        <f>REPT(" ",24)</f>
        <v/>
      </c>
      <c r="W1379" s="10">
        <f>IF(A1379="c",LEFT(UPPER(B1379)&amp;REPT(" ",20),20),REPT(" ",20))</f>
        <v/>
      </c>
      <c r="X1379" s="10">
        <f>IF(A1379="C",LEFT(UPPER(C1379)&amp;REPT(" ",10),10)," ")</f>
        <v/>
      </c>
      <c r="Y1379" s="10">
        <f>IF(A1379="C",LEFT(UPPER(D1379)&amp;REPT(" ",2),2)," ")</f>
        <v/>
      </c>
      <c r="Z1379" s="10">
        <f>IF(A1379="C",LEFT(UPPER(E1379)&amp;REPT(" ",15),15)," ")</f>
        <v/>
      </c>
      <c r="AA1379" s="10">
        <f>REPT(" ",8)</f>
        <v/>
      </c>
      <c r="AB1379" s="10">
        <f>REPT(" ",4)</f>
        <v/>
      </c>
      <c r="AC1379" s="10">
        <f>LEFT(UPPER(H1379)&amp;REPT(" ",250),250)</f>
        <v/>
      </c>
      <c r="AD1379" s="10">
        <f>TEXT($G$2,"dd/mm/aaaa")</f>
        <v/>
      </c>
      <c r="AE1379" s="10">
        <f>REPT(" ",10)</f>
        <v/>
      </c>
      <c r="AF1379" s="10">
        <f>REPT(" ",20)</f>
        <v/>
      </c>
      <c r="AG1379" s="54">
        <f>REPT(" ",18-LEN(FIXED(F1379,2,TRUE)))&amp;FIXED(F1379,2,TRUE)</f>
        <v/>
      </c>
      <c r="AH1379" s="10">
        <f>LEN(AC1379)+LEN(AG1379)</f>
        <v/>
      </c>
      <c r="AI1379" s="10">
        <f>LEN(L1379)</f>
        <v/>
      </c>
    </row>
    <row r="1380">
      <c r="J1380" s="12">
        <f>IF(F1380&lt;&gt;0,"LANÇAR","")</f>
        <v/>
      </c>
      <c r="L1380" s="13">
        <f>N1380&amp;O1380&amp;P1380&amp;Q1380&amp;R1380&amp;S1380&amp;T1380&amp;U1380&amp;V1380&amp;W1380&amp;X1380&amp;Y1380&amp;Z1380&amp;AA1380&amp;AB1380&amp;AC1380&amp;AD1380&amp;AE1380&amp;AF1380&amp;AG1380</f>
        <v/>
      </c>
      <c r="N1380" s="10">
        <f>TEXT($B$6,"00")</f>
        <v/>
      </c>
      <c r="O1380" s="10">
        <f>REPT(" ",8)</f>
        <v/>
      </c>
      <c r="P1380" s="10">
        <f>RIGHT($B$4,2)</f>
        <v/>
      </c>
      <c r="Q1380" s="10">
        <f>RIGHT($B$5,3)</f>
        <v/>
      </c>
      <c r="R1380" s="10">
        <f>IF(A1380="D",LEFT(UPPER(B1380)&amp;REPT(" ",20),20),REPT(" ",20))</f>
        <v/>
      </c>
      <c r="S1380" s="10">
        <f>IF(A1380="D",LEFT(UPPER(C1380)&amp;REPT(" ",10),10)," ")</f>
        <v/>
      </c>
      <c r="T1380" s="10">
        <f>IF(A1380="D",LEFT(UPPER(D1380)&amp;REPT(" ",2),2)," ")</f>
        <v/>
      </c>
      <c r="U1380" s="10">
        <f>IF(A1380="D",LEFT(UPPER(E1380)&amp;REPT(" ",15),15)," ")</f>
        <v/>
      </c>
      <c r="V1380" s="10">
        <f>REPT(" ",24)</f>
        <v/>
      </c>
      <c r="W1380" s="10">
        <f>IF(A1380="c",LEFT(UPPER(B1380)&amp;REPT(" ",20),20),REPT(" ",20))</f>
        <v/>
      </c>
      <c r="X1380" s="10">
        <f>IF(A1380="C",LEFT(UPPER(C1380)&amp;REPT(" ",10),10)," ")</f>
        <v/>
      </c>
      <c r="Y1380" s="10">
        <f>IF(A1380="C",LEFT(UPPER(D1380)&amp;REPT(" ",2),2)," ")</f>
        <v/>
      </c>
      <c r="Z1380" s="10">
        <f>IF(A1380="C",LEFT(UPPER(E1380)&amp;REPT(" ",15),15)," ")</f>
        <v/>
      </c>
      <c r="AA1380" s="10">
        <f>REPT(" ",8)</f>
        <v/>
      </c>
      <c r="AB1380" s="10">
        <f>REPT(" ",4)</f>
        <v/>
      </c>
      <c r="AC1380" s="10">
        <f>LEFT(UPPER(H1380)&amp;REPT(" ",250),250)</f>
        <v/>
      </c>
      <c r="AD1380" s="10">
        <f>TEXT($G$2,"dd/mm/aaaa")</f>
        <v/>
      </c>
      <c r="AE1380" s="10">
        <f>REPT(" ",10)</f>
        <v/>
      </c>
      <c r="AF1380" s="10">
        <f>REPT(" ",20)</f>
        <v/>
      </c>
      <c r="AG1380" s="54">
        <f>REPT(" ",18-LEN(FIXED(F1380,2,TRUE)))&amp;FIXED(F1380,2,TRUE)</f>
        <v/>
      </c>
      <c r="AH1380" s="10">
        <f>LEN(AC1380)+LEN(AG1380)</f>
        <v/>
      </c>
      <c r="AI1380" s="10">
        <f>LEN(L1380)</f>
        <v/>
      </c>
    </row>
    <row r="1381">
      <c r="J1381" s="12">
        <f>IF(F1381&lt;&gt;0,"LANÇAR","")</f>
        <v/>
      </c>
      <c r="L1381" s="13">
        <f>N1381&amp;O1381&amp;P1381&amp;Q1381&amp;R1381&amp;S1381&amp;T1381&amp;U1381&amp;V1381&amp;W1381&amp;X1381&amp;Y1381&amp;Z1381&amp;AA1381&amp;AB1381&amp;AC1381&amp;AD1381&amp;AE1381&amp;AF1381&amp;AG1381</f>
        <v/>
      </c>
      <c r="N1381" s="10">
        <f>TEXT($B$6,"00")</f>
        <v/>
      </c>
      <c r="O1381" s="10">
        <f>REPT(" ",8)</f>
        <v/>
      </c>
      <c r="P1381" s="10">
        <f>RIGHT($B$4,2)</f>
        <v/>
      </c>
      <c r="Q1381" s="10">
        <f>RIGHT($B$5,3)</f>
        <v/>
      </c>
      <c r="R1381" s="10">
        <f>IF(A1381="D",LEFT(UPPER(B1381)&amp;REPT(" ",20),20),REPT(" ",20))</f>
        <v/>
      </c>
      <c r="S1381" s="10">
        <f>IF(A1381="D",LEFT(UPPER(C1381)&amp;REPT(" ",10),10)," ")</f>
        <v/>
      </c>
      <c r="T1381" s="10">
        <f>IF(A1381="D",LEFT(UPPER(D1381)&amp;REPT(" ",2),2)," ")</f>
        <v/>
      </c>
      <c r="U1381" s="10">
        <f>IF(A1381="D",LEFT(UPPER(E1381)&amp;REPT(" ",15),15)," ")</f>
        <v/>
      </c>
      <c r="V1381" s="10">
        <f>REPT(" ",24)</f>
        <v/>
      </c>
      <c r="W1381" s="10">
        <f>IF(A1381="c",LEFT(UPPER(B1381)&amp;REPT(" ",20),20),REPT(" ",20))</f>
        <v/>
      </c>
      <c r="X1381" s="10">
        <f>IF(A1381="C",LEFT(UPPER(C1381)&amp;REPT(" ",10),10)," ")</f>
        <v/>
      </c>
      <c r="Y1381" s="10">
        <f>IF(A1381="C",LEFT(UPPER(D1381)&amp;REPT(" ",2),2)," ")</f>
        <v/>
      </c>
      <c r="Z1381" s="10">
        <f>IF(A1381="C",LEFT(UPPER(E1381)&amp;REPT(" ",15),15)," ")</f>
        <v/>
      </c>
      <c r="AA1381" s="10">
        <f>REPT(" ",8)</f>
        <v/>
      </c>
      <c r="AB1381" s="10">
        <f>REPT(" ",4)</f>
        <v/>
      </c>
      <c r="AC1381" s="10">
        <f>LEFT(UPPER(H1381)&amp;REPT(" ",250),250)</f>
        <v/>
      </c>
      <c r="AD1381" s="10">
        <f>TEXT($G$2,"dd/mm/aaaa")</f>
        <v/>
      </c>
      <c r="AE1381" s="10">
        <f>REPT(" ",10)</f>
        <v/>
      </c>
      <c r="AF1381" s="10">
        <f>REPT(" ",20)</f>
        <v/>
      </c>
      <c r="AG1381" s="54">
        <f>REPT(" ",18-LEN(FIXED(F1381,2,TRUE)))&amp;FIXED(F1381,2,TRUE)</f>
        <v/>
      </c>
      <c r="AH1381" s="10">
        <f>LEN(AC1381)+LEN(AG1381)</f>
        <v/>
      </c>
      <c r="AI1381" s="10">
        <f>LEN(L1381)</f>
        <v/>
      </c>
    </row>
    <row r="1382">
      <c r="J1382" s="12">
        <f>IF(F1382&lt;&gt;0,"LANÇAR","")</f>
        <v/>
      </c>
      <c r="L1382" s="13">
        <f>N1382&amp;O1382&amp;P1382&amp;Q1382&amp;R1382&amp;S1382&amp;T1382&amp;U1382&amp;V1382&amp;W1382&amp;X1382&amp;Y1382&amp;Z1382&amp;AA1382&amp;AB1382&amp;AC1382&amp;AD1382&amp;AE1382&amp;AF1382&amp;AG1382</f>
        <v/>
      </c>
      <c r="N1382" s="10">
        <f>TEXT($B$6,"00")</f>
        <v/>
      </c>
      <c r="O1382" s="10">
        <f>REPT(" ",8)</f>
        <v/>
      </c>
      <c r="P1382" s="10">
        <f>RIGHT($B$4,2)</f>
        <v/>
      </c>
      <c r="Q1382" s="10">
        <f>RIGHT($B$5,3)</f>
        <v/>
      </c>
      <c r="R1382" s="10">
        <f>IF(A1382="D",LEFT(UPPER(B1382)&amp;REPT(" ",20),20),REPT(" ",20))</f>
        <v/>
      </c>
      <c r="S1382" s="10">
        <f>IF(A1382="D",LEFT(UPPER(C1382)&amp;REPT(" ",10),10)," ")</f>
        <v/>
      </c>
      <c r="T1382" s="10">
        <f>IF(A1382="D",LEFT(UPPER(D1382)&amp;REPT(" ",2),2)," ")</f>
        <v/>
      </c>
      <c r="U1382" s="10">
        <f>IF(A1382="D",LEFT(UPPER(E1382)&amp;REPT(" ",15),15)," ")</f>
        <v/>
      </c>
      <c r="V1382" s="10">
        <f>REPT(" ",24)</f>
        <v/>
      </c>
      <c r="W1382" s="10">
        <f>IF(A1382="c",LEFT(UPPER(B1382)&amp;REPT(" ",20),20),REPT(" ",20))</f>
        <v/>
      </c>
      <c r="X1382" s="10">
        <f>IF(A1382="C",LEFT(UPPER(C1382)&amp;REPT(" ",10),10)," ")</f>
        <v/>
      </c>
      <c r="Y1382" s="10">
        <f>IF(A1382="C",LEFT(UPPER(D1382)&amp;REPT(" ",2),2)," ")</f>
        <v/>
      </c>
      <c r="Z1382" s="10">
        <f>IF(A1382="C",LEFT(UPPER(E1382)&amp;REPT(" ",15),15)," ")</f>
        <v/>
      </c>
      <c r="AA1382" s="10">
        <f>REPT(" ",8)</f>
        <v/>
      </c>
      <c r="AB1382" s="10">
        <f>REPT(" ",4)</f>
        <v/>
      </c>
      <c r="AC1382" s="10">
        <f>LEFT(UPPER(H1382)&amp;REPT(" ",250),250)</f>
        <v/>
      </c>
      <c r="AD1382" s="10">
        <f>TEXT($G$2,"dd/mm/aaaa")</f>
        <v/>
      </c>
      <c r="AE1382" s="10">
        <f>REPT(" ",10)</f>
        <v/>
      </c>
      <c r="AF1382" s="10">
        <f>REPT(" ",20)</f>
        <v/>
      </c>
      <c r="AG1382" s="54">
        <f>REPT(" ",18-LEN(FIXED(F1382,2,TRUE)))&amp;FIXED(F1382,2,TRUE)</f>
        <v/>
      </c>
      <c r="AH1382" s="10">
        <f>LEN(AC1382)+LEN(AG1382)</f>
        <v/>
      </c>
      <c r="AI1382" s="10">
        <f>LEN(L1382)</f>
        <v/>
      </c>
    </row>
    <row r="1383">
      <c r="J1383" s="12">
        <f>IF(F1383&lt;&gt;0,"LANÇAR","")</f>
        <v/>
      </c>
      <c r="L1383" s="13">
        <f>N1383&amp;O1383&amp;P1383&amp;Q1383&amp;R1383&amp;S1383&amp;T1383&amp;U1383&amp;V1383&amp;W1383&amp;X1383&amp;Y1383&amp;Z1383&amp;AA1383&amp;AB1383&amp;AC1383&amp;AD1383&amp;AE1383&amp;AF1383&amp;AG1383</f>
        <v/>
      </c>
      <c r="N1383" s="10">
        <f>TEXT($B$6,"00")</f>
        <v/>
      </c>
      <c r="O1383" s="10">
        <f>REPT(" ",8)</f>
        <v/>
      </c>
      <c r="P1383" s="10">
        <f>RIGHT($B$4,2)</f>
        <v/>
      </c>
      <c r="Q1383" s="10">
        <f>RIGHT($B$5,3)</f>
        <v/>
      </c>
      <c r="R1383" s="10">
        <f>IF(A1383="D",LEFT(UPPER(B1383)&amp;REPT(" ",20),20),REPT(" ",20))</f>
        <v/>
      </c>
      <c r="S1383" s="10">
        <f>IF(A1383="D",LEFT(UPPER(C1383)&amp;REPT(" ",10),10)," ")</f>
        <v/>
      </c>
      <c r="T1383" s="10">
        <f>IF(A1383="D",LEFT(UPPER(D1383)&amp;REPT(" ",2),2)," ")</f>
        <v/>
      </c>
      <c r="U1383" s="10">
        <f>IF(A1383="D",LEFT(UPPER(E1383)&amp;REPT(" ",15),15)," ")</f>
        <v/>
      </c>
      <c r="V1383" s="10">
        <f>REPT(" ",24)</f>
        <v/>
      </c>
      <c r="W1383" s="10">
        <f>IF(A1383="c",LEFT(UPPER(B1383)&amp;REPT(" ",20),20),REPT(" ",20))</f>
        <v/>
      </c>
      <c r="X1383" s="10">
        <f>IF(A1383="C",LEFT(UPPER(C1383)&amp;REPT(" ",10),10)," ")</f>
        <v/>
      </c>
      <c r="Y1383" s="10">
        <f>IF(A1383="C",LEFT(UPPER(D1383)&amp;REPT(" ",2),2)," ")</f>
        <v/>
      </c>
      <c r="Z1383" s="10">
        <f>IF(A1383="C",LEFT(UPPER(E1383)&amp;REPT(" ",15),15)," ")</f>
        <v/>
      </c>
      <c r="AA1383" s="10">
        <f>REPT(" ",8)</f>
        <v/>
      </c>
      <c r="AB1383" s="10">
        <f>REPT(" ",4)</f>
        <v/>
      </c>
      <c r="AC1383" s="10">
        <f>LEFT(UPPER(H1383)&amp;REPT(" ",250),250)</f>
        <v/>
      </c>
      <c r="AD1383" s="10">
        <f>TEXT($G$2,"dd/mm/aaaa")</f>
        <v/>
      </c>
      <c r="AE1383" s="10">
        <f>REPT(" ",10)</f>
        <v/>
      </c>
      <c r="AF1383" s="10">
        <f>REPT(" ",20)</f>
        <v/>
      </c>
      <c r="AG1383" s="54">
        <f>REPT(" ",18-LEN(FIXED(F1383,2,TRUE)))&amp;FIXED(F1383,2,TRUE)</f>
        <v/>
      </c>
      <c r="AH1383" s="10">
        <f>LEN(AC1383)+LEN(AG1383)</f>
        <v/>
      </c>
      <c r="AI1383" s="10">
        <f>LEN(L1383)</f>
        <v/>
      </c>
    </row>
    <row r="1384">
      <c r="J1384" s="12">
        <f>IF(F1384&lt;&gt;0,"LANÇAR","")</f>
        <v/>
      </c>
      <c r="L1384" s="13">
        <f>N1384&amp;O1384&amp;P1384&amp;Q1384&amp;R1384&amp;S1384&amp;T1384&amp;U1384&amp;V1384&amp;W1384&amp;X1384&amp;Y1384&amp;Z1384&amp;AA1384&amp;AB1384&amp;AC1384&amp;AD1384&amp;AE1384&amp;AF1384&amp;AG1384</f>
        <v/>
      </c>
      <c r="N1384" s="10">
        <f>TEXT($B$6,"00")</f>
        <v/>
      </c>
      <c r="O1384" s="10">
        <f>REPT(" ",8)</f>
        <v/>
      </c>
      <c r="P1384" s="10">
        <f>RIGHT($B$4,2)</f>
        <v/>
      </c>
      <c r="Q1384" s="10">
        <f>RIGHT($B$5,3)</f>
        <v/>
      </c>
      <c r="R1384" s="10">
        <f>IF(A1384="D",LEFT(UPPER(B1384)&amp;REPT(" ",20),20),REPT(" ",20))</f>
        <v/>
      </c>
      <c r="S1384" s="10">
        <f>IF(A1384="D",LEFT(UPPER(C1384)&amp;REPT(" ",10),10)," ")</f>
        <v/>
      </c>
      <c r="T1384" s="10">
        <f>IF(A1384="D",LEFT(UPPER(D1384)&amp;REPT(" ",2),2)," ")</f>
        <v/>
      </c>
      <c r="U1384" s="10">
        <f>IF(A1384="D",LEFT(UPPER(E1384)&amp;REPT(" ",15),15)," ")</f>
        <v/>
      </c>
      <c r="V1384" s="10">
        <f>REPT(" ",24)</f>
        <v/>
      </c>
      <c r="W1384" s="10">
        <f>IF(A1384="c",LEFT(UPPER(B1384)&amp;REPT(" ",20),20),REPT(" ",20))</f>
        <v/>
      </c>
      <c r="X1384" s="10">
        <f>IF(A1384="C",LEFT(UPPER(C1384)&amp;REPT(" ",10),10)," ")</f>
        <v/>
      </c>
      <c r="Y1384" s="10">
        <f>IF(A1384="C",LEFT(UPPER(D1384)&amp;REPT(" ",2),2)," ")</f>
        <v/>
      </c>
      <c r="Z1384" s="10">
        <f>IF(A1384="C",LEFT(UPPER(E1384)&amp;REPT(" ",15),15)," ")</f>
        <v/>
      </c>
      <c r="AA1384" s="10">
        <f>REPT(" ",8)</f>
        <v/>
      </c>
      <c r="AB1384" s="10">
        <f>REPT(" ",4)</f>
        <v/>
      </c>
      <c r="AC1384" s="10">
        <f>LEFT(UPPER(H1384)&amp;REPT(" ",250),250)</f>
        <v/>
      </c>
      <c r="AD1384" s="10">
        <f>TEXT($G$2,"dd/mm/aaaa")</f>
        <v/>
      </c>
      <c r="AE1384" s="10">
        <f>REPT(" ",10)</f>
        <v/>
      </c>
      <c r="AF1384" s="10">
        <f>REPT(" ",20)</f>
        <v/>
      </c>
      <c r="AG1384" s="54">
        <f>REPT(" ",18-LEN(FIXED(F1384,2,TRUE)))&amp;FIXED(F1384,2,TRUE)</f>
        <v/>
      </c>
      <c r="AH1384" s="10">
        <f>LEN(AC1384)+LEN(AG1384)</f>
        <v/>
      </c>
      <c r="AI1384" s="10">
        <f>LEN(L1384)</f>
        <v/>
      </c>
    </row>
    <row r="1385">
      <c r="J1385" s="12">
        <f>IF(F1385&lt;&gt;0,"LANÇAR","")</f>
        <v/>
      </c>
      <c r="L1385" s="13">
        <f>N1385&amp;O1385&amp;P1385&amp;Q1385&amp;R1385&amp;S1385&amp;T1385&amp;U1385&amp;V1385&amp;W1385&amp;X1385&amp;Y1385&amp;Z1385&amp;AA1385&amp;AB1385&amp;AC1385&amp;AD1385&amp;AE1385&amp;AF1385&amp;AG1385</f>
        <v/>
      </c>
      <c r="N1385" s="10">
        <f>TEXT($B$6,"00")</f>
        <v/>
      </c>
      <c r="O1385" s="10">
        <f>REPT(" ",8)</f>
        <v/>
      </c>
      <c r="P1385" s="10">
        <f>RIGHT($B$4,2)</f>
        <v/>
      </c>
      <c r="Q1385" s="10">
        <f>RIGHT($B$5,3)</f>
        <v/>
      </c>
      <c r="R1385" s="10">
        <f>IF(A1385="D",LEFT(UPPER(B1385)&amp;REPT(" ",20),20),REPT(" ",20))</f>
        <v/>
      </c>
      <c r="S1385" s="10">
        <f>IF(A1385="D",LEFT(UPPER(C1385)&amp;REPT(" ",10),10)," ")</f>
        <v/>
      </c>
      <c r="T1385" s="10">
        <f>IF(A1385="D",LEFT(UPPER(D1385)&amp;REPT(" ",2),2)," ")</f>
        <v/>
      </c>
      <c r="U1385" s="10">
        <f>IF(A1385="D",LEFT(UPPER(E1385)&amp;REPT(" ",15),15)," ")</f>
        <v/>
      </c>
      <c r="V1385" s="10">
        <f>REPT(" ",24)</f>
        <v/>
      </c>
      <c r="W1385" s="10">
        <f>IF(A1385="c",LEFT(UPPER(B1385)&amp;REPT(" ",20),20),REPT(" ",20))</f>
        <v/>
      </c>
      <c r="X1385" s="10">
        <f>IF(A1385="C",LEFT(UPPER(C1385)&amp;REPT(" ",10),10)," ")</f>
        <v/>
      </c>
      <c r="Y1385" s="10">
        <f>IF(A1385="C",LEFT(UPPER(D1385)&amp;REPT(" ",2),2)," ")</f>
        <v/>
      </c>
      <c r="Z1385" s="10">
        <f>IF(A1385="C",LEFT(UPPER(E1385)&amp;REPT(" ",15),15)," ")</f>
        <v/>
      </c>
      <c r="AA1385" s="10">
        <f>REPT(" ",8)</f>
        <v/>
      </c>
      <c r="AB1385" s="10">
        <f>REPT(" ",4)</f>
        <v/>
      </c>
      <c r="AC1385" s="10">
        <f>LEFT(UPPER(H1385)&amp;REPT(" ",250),250)</f>
        <v/>
      </c>
      <c r="AD1385" s="10">
        <f>TEXT($G$2,"dd/mm/aaaa")</f>
        <v/>
      </c>
      <c r="AE1385" s="10">
        <f>REPT(" ",10)</f>
        <v/>
      </c>
      <c r="AF1385" s="10">
        <f>REPT(" ",20)</f>
        <v/>
      </c>
      <c r="AG1385" s="54">
        <f>REPT(" ",18-LEN(FIXED(F1385,2,TRUE)))&amp;FIXED(F1385,2,TRUE)</f>
        <v/>
      </c>
      <c r="AH1385" s="10">
        <f>LEN(AC1385)+LEN(AG1385)</f>
        <v/>
      </c>
      <c r="AI1385" s="10">
        <f>LEN(L1385)</f>
        <v/>
      </c>
    </row>
    <row r="1386">
      <c r="J1386" s="12">
        <f>IF(F1386&lt;&gt;0,"LANÇAR","")</f>
        <v/>
      </c>
      <c r="L1386" s="13">
        <f>N1386&amp;O1386&amp;P1386&amp;Q1386&amp;R1386&amp;S1386&amp;T1386&amp;U1386&amp;V1386&amp;W1386&amp;X1386&amp;Y1386&amp;Z1386&amp;AA1386&amp;AB1386&amp;AC1386&amp;AD1386&amp;AE1386&amp;AF1386&amp;AG1386</f>
        <v/>
      </c>
      <c r="N1386" s="10">
        <f>TEXT($B$6,"00")</f>
        <v/>
      </c>
      <c r="O1386" s="10">
        <f>REPT(" ",8)</f>
        <v/>
      </c>
      <c r="P1386" s="10">
        <f>RIGHT($B$4,2)</f>
        <v/>
      </c>
      <c r="Q1386" s="10">
        <f>RIGHT($B$5,3)</f>
        <v/>
      </c>
      <c r="R1386" s="10">
        <f>IF(A1386="D",LEFT(UPPER(B1386)&amp;REPT(" ",20),20),REPT(" ",20))</f>
        <v/>
      </c>
      <c r="S1386" s="10">
        <f>IF(A1386="D",LEFT(UPPER(C1386)&amp;REPT(" ",10),10)," ")</f>
        <v/>
      </c>
      <c r="T1386" s="10">
        <f>IF(A1386="D",LEFT(UPPER(D1386)&amp;REPT(" ",2),2)," ")</f>
        <v/>
      </c>
      <c r="U1386" s="10">
        <f>IF(A1386="D",LEFT(UPPER(E1386)&amp;REPT(" ",15),15)," ")</f>
        <v/>
      </c>
      <c r="V1386" s="10">
        <f>REPT(" ",24)</f>
        <v/>
      </c>
      <c r="W1386" s="10">
        <f>IF(A1386="c",LEFT(UPPER(B1386)&amp;REPT(" ",20),20),REPT(" ",20))</f>
        <v/>
      </c>
      <c r="X1386" s="10">
        <f>IF(A1386="C",LEFT(UPPER(C1386)&amp;REPT(" ",10),10)," ")</f>
        <v/>
      </c>
      <c r="Y1386" s="10">
        <f>IF(A1386="C",LEFT(UPPER(D1386)&amp;REPT(" ",2),2)," ")</f>
        <v/>
      </c>
      <c r="Z1386" s="10">
        <f>IF(A1386="C",LEFT(UPPER(E1386)&amp;REPT(" ",15),15)," ")</f>
        <v/>
      </c>
      <c r="AA1386" s="10">
        <f>REPT(" ",8)</f>
        <v/>
      </c>
      <c r="AB1386" s="10">
        <f>REPT(" ",4)</f>
        <v/>
      </c>
      <c r="AC1386" s="10">
        <f>LEFT(UPPER(H1386)&amp;REPT(" ",250),250)</f>
        <v/>
      </c>
      <c r="AD1386" s="10">
        <f>TEXT($G$2,"dd/mm/aaaa")</f>
        <v/>
      </c>
      <c r="AE1386" s="10">
        <f>REPT(" ",10)</f>
        <v/>
      </c>
      <c r="AF1386" s="10">
        <f>REPT(" ",20)</f>
        <v/>
      </c>
      <c r="AG1386" s="54">
        <f>REPT(" ",18-LEN(FIXED(F1386,2,TRUE)))&amp;FIXED(F1386,2,TRUE)</f>
        <v/>
      </c>
      <c r="AH1386" s="10">
        <f>LEN(AC1386)+LEN(AG1386)</f>
        <v/>
      </c>
      <c r="AI1386" s="10">
        <f>LEN(L1386)</f>
        <v/>
      </c>
    </row>
    <row r="1387">
      <c r="J1387" s="12">
        <f>IF(F1387&lt;&gt;0,"LANÇAR","")</f>
        <v/>
      </c>
      <c r="L1387" s="13">
        <f>N1387&amp;O1387&amp;P1387&amp;Q1387&amp;R1387&amp;S1387&amp;T1387&amp;U1387&amp;V1387&amp;W1387&amp;X1387&amp;Y1387&amp;Z1387&amp;AA1387&amp;AB1387&amp;AC1387&amp;AD1387&amp;AE1387&amp;AF1387&amp;AG1387</f>
        <v/>
      </c>
      <c r="N1387" s="10">
        <f>TEXT($B$6,"00")</f>
        <v/>
      </c>
      <c r="O1387" s="10">
        <f>REPT(" ",8)</f>
        <v/>
      </c>
      <c r="P1387" s="10">
        <f>RIGHT($B$4,2)</f>
        <v/>
      </c>
      <c r="Q1387" s="10">
        <f>RIGHT($B$5,3)</f>
        <v/>
      </c>
      <c r="R1387" s="10">
        <f>IF(A1387="D",LEFT(UPPER(B1387)&amp;REPT(" ",20),20),REPT(" ",20))</f>
        <v/>
      </c>
      <c r="S1387" s="10">
        <f>IF(A1387="D",LEFT(UPPER(C1387)&amp;REPT(" ",10),10)," ")</f>
        <v/>
      </c>
      <c r="T1387" s="10">
        <f>IF(A1387="D",LEFT(UPPER(D1387)&amp;REPT(" ",2),2)," ")</f>
        <v/>
      </c>
      <c r="U1387" s="10">
        <f>IF(A1387="D",LEFT(UPPER(E1387)&amp;REPT(" ",15),15)," ")</f>
        <v/>
      </c>
      <c r="V1387" s="10">
        <f>REPT(" ",24)</f>
        <v/>
      </c>
      <c r="W1387" s="10">
        <f>IF(A1387="c",LEFT(UPPER(B1387)&amp;REPT(" ",20),20),REPT(" ",20))</f>
        <v/>
      </c>
      <c r="X1387" s="10">
        <f>IF(A1387="C",LEFT(UPPER(C1387)&amp;REPT(" ",10),10)," ")</f>
        <v/>
      </c>
      <c r="Y1387" s="10">
        <f>IF(A1387="C",LEFT(UPPER(D1387)&amp;REPT(" ",2),2)," ")</f>
        <v/>
      </c>
      <c r="Z1387" s="10">
        <f>IF(A1387="C",LEFT(UPPER(E1387)&amp;REPT(" ",15),15)," ")</f>
        <v/>
      </c>
      <c r="AA1387" s="10">
        <f>REPT(" ",8)</f>
        <v/>
      </c>
      <c r="AB1387" s="10">
        <f>REPT(" ",4)</f>
        <v/>
      </c>
      <c r="AC1387" s="10">
        <f>LEFT(UPPER(H1387)&amp;REPT(" ",250),250)</f>
        <v/>
      </c>
      <c r="AD1387" s="10">
        <f>TEXT($G$2,"dd/mm/aaaa")</f>
        <v/>
      </c>
      <c r="AE1387" s="10">
        <f>REPT(" ",10)</f>
        <v/>
      </c>
      <c r="AF1387" s="10">
        <f>REPT(" ",20)</f>
        <v/>
      </c>
      <c r="AG1387" s="54">
        <f>REPT(" ",18-LEN(FIXED(F1387,2,TRUE)))&amp;FIXED(F1387,2,TRUE)</f>
        <v/>
      </c>
      <c r="AH1387" s="10">
        <f>LEN(AC1387)+LEN(AG1387)</f>
        <v/>
      </c>
      <c r="AI1387" s="10">
        <f>LEN(L1387)</f>
        <v/>
      </c>
    </row>
    <row r="1388">
      <c r="J1388" s="12">
        <f>IF(F1388&lt;&gt;0,"LANÇAR","")</f>
        <v/>
      </c>
      <c r="L1388" s="13">
        <f>N1388&amp;O1388&amp;P1388&amp;Q1388&amp;R1388&amp;S1388&amp;T1388&amp;U1388&amp;V1388&amp;W1388&amp;X1388&amp;Y1388&amp;Z1388&amp;AA1388&amp;AB1388&amp;AC1388&amp;AD1388&amp;AE1388&amp;AF1388&amp;AG1388</f>
        <v/>
      </c>
      <c r="N1388" s="10">
        <f>TEXT($B$6,"00")</f>
        <v/>
      </c>
      <c r="O1388" s="10">
        <f>REPT(" ",8)</f>
        <v/>
      </c>
      <c r="P1388" s="10">
        <f>RIGHT($B$4,2)</f>
        <v/>
      </c>
      <c r="Q1388" s="10">
        <f>RIGHT($B$5,3)</f>
        <v/>
      </c>
      <c r="R1388" s="10">
        <f>IF(A1388="D",LEFT(UPPER(B1388)&amp;REPT(" ",20),20),REPT(" ",20))</f>
        <v/>
      </c>
      <c r="S1388" s="10">
        <f>IF(A1388="D",LEFT(UPPER(C1388)&amp;REPT(" ",10),10)," ")</f>
        <v/>
      </c>
      <c r="T1388" s="10">
        <f>IF(A1388="D",LEFT(UPPER(D1388)&amp;REPT(" ",2),2)," ")</f>
        <v/>
      </c>
      <c r="U1388" s="10">
        <f>IF(A1388="D",LEFT(UPPER(E1388)&amp;REPT(" ",15),15)," ")</f>
        <v/>
      </c>
      <c r="V1388" s="10">
        <f>REPT(" ",24)</f>
        <v/>
      </c>
      <c r="W1388" s="10">
        <f>IF(A1388="c",LEFT(UPPER(B1388)&amp;REPT(" ",20),20),REPT(" ",20))</f>
        <v/>
      </c>
      <c r="X1388" s="10">
        <f>IF(A1388="C",LEFT(UPPER(C1388)&amp;REPT(" ",10),10)," ")</f>
        <v/>
      </c>
      <c r="Y1388" s="10">
        <f>IF(A1388="C",LEFT(UPPER(D1388)&amp;REPT(" ",2),2)," ")</f>
        <v/>
      </c>
      <c r="Z1388" s="10">
        <f>IF(A1388="C",LEFT(UPPER(E1388)&amp;REPT(" ",15),15)," ")</f>
        <v/>
      </c>
      <c r="AA1388" s="10">
        <f>REPT(" ",8)</f>
        <v/>
      </c>
      <c r="AB1388" s="10">
        <f>REPT(" ",4)</f>
        <v/>
      </c>
      <c r="AC1388" s="10">
        <f>LEFT(UPPER(H1388)&amp;REPT(" ",250),250)</f>
        <v/>
      </c>
      <c r="AD1388" s="10">
        <f>TEXT($G$2,"dd/mm/aaaa")</f>
        <v/>
      </c>
      <c r="AE1388" s="10">
        <f>REPT(" ",10)</f>
        <v/>
      </c>
      <c r="AF1388" s="10">
        <f>REPT(" ",20)</f>
        <v/>
      </c>
      <c r="AG1388" s="54">
        <f>REPT(" ",18-LEN(FIXED(F1388,2,TRUE)))&amp;FIXED(F1388,2,TRUE)</f>
        <v/>
      </c>
      <c r="AH1388" s="10">
        <f>LEN(AC1388)+LEN(AG1388)</f>
        <v/>
      </c>
      <c r="AI1388" s="10">
        <f>LEN(L1388)</f>
        <v/>
      </c>
    </row>
    <row r="1389">
      <c r="J1389" s="12">
        <f>IF(F1389&lt;&gt;0,"LANÇAR","")</f>
        <v/>
      </c>
      <c r="L1389" s="13">
        <f>N1389&amp;O1389&amp;P1389&amp;Q1389&amp;R1389&amp;S1389&amp;T1389&amp;U1389&amp;V1389&amp;W1389&amp;X1389&amp;Y1389&amp;Z1389&amp;AA1389&amp;AB1389&amp;AC1389&amp;AD1389&amp;AE1389&amp;AF1389&amp;AG1389</f>
        <v/>
      </c>
      <c r="N1389" s="10">
        <f>TEXT($B$6,"00")</f>
        <v/>
      </c>
      <c r="O1389" s="10">
        <f>REPT(" ",8)</f>
        <v/>
      </c>
      <c r="P1389" s="10">
        <f>RIGHT($B$4,2)</f>
        <v/>
      </c>
      <c r="Q1389" s="10">
        <f>RIGHT($B$5,3)</f>
        <v/>
      </c>
      <c r="R1389" s="10">
        <f>IF(A1389="D",LEFT(UPPER(B1389)&amp;REPT(" ",20),20),REPT(" ",20))</f>
        <v/>
      </c>
      <c r="S1389" s="10">
        <f>IF(A1389="D",LEFT(UPPER(C1389)&amp;REPT(" ",10),10)," ")</f>
        <v/>
      </c>
      <c r="T1389" s="10">
        <f>IF(A1389="D",LEFT(UPPER(D1389)&amp;REPT(" ",2),2)," ")</f>
        <v/>
      </c>
      <c r="U1389" s="10">
        <f>IF(A1389="D",LEFT(UPPER(E1389)&amp;REPT(" ",15),15)," ")</f>
        <v/>
      </c>
      <c r="V1389" s="10">
        <f>REPT(" ",24)</f>
        <v/>
      </c>
      <c r="W1389" s="10">
        <f>IF(A1389="c",LEFT(UPPER(B1389)&amp;REPT(" ",20),20),REPT(" ",20))</f>
        <v/>
      </c>
      <c r="X1389" s="10">
        <f>IF(A1389="C",LEFT(UPPER(C1389)&amp;REPT(" ",10),10)," ")</f>
        <v/>
      </c>
      <c r="Y1389" s="10">
        <f>IF(A1389="C",LEFT(UPPER(D1389)&amp;REPT(" ",2),2)," ")</f>
        <v/>
      </c>
      <c r="Z1389" s="10">
        <f>IF(A1389="C",LEFT(UPPER(E1389)&amp;REPT(" ",15),15)," ")</f>
        <v/>
      </c>
      <c r="AA1389" s="10">
        <f>REPT(" ",8)</f>
        <v/>
      </c>
      <c r="AB1389" s="10">
        <f>REPT(" ",4)</f>
        <v/>
      </c>
      <c r="AC1389" s="10">
        <f>LEFT(UPPER(H1389)&amp;REPT(" ",250),250)</f>
        <v/>
      </c>
      <c r="AD1389" s="10">
        <f>TEXT($G$2,"dd/mm/aaaa")</f>
        <v/>
      </c>
      <c r="AE1389" s="10">
        <f>REPT(" ",10)</f>
        <v/>
      </c>
      <c r="AF1389" s="10">
        <f>REPT(" ",20)</f>
        <v/>
      </c>
      <c r="AG1389" s="54">
        <f>REPT(" ",18-LEN(FIXED(F1389,2,TRUE)))&amp;FIXED(F1389,2,TRUE)</f>
        <v/>
      </c>
      <c r="AH1389" s="10">
        <f>LEN(AC1389)+LEN(AG1389)</f>
        <v/>
      </c>
      <c r="AI1389" s="10">
        <f>LEN(L1389)</f>
        <v/>
      </c>
    </row>
    <row r="1390">
      <c r="J1390" s="12">
        <f>IF(F1390&lt;&gt;0,"LANÇAR","")</f>
        <v/>
      </c>
      <c r="L1390" s="13">
        <f>N1390&amp;O1390&amp;P1390&amp;Q1390&amp;R1390&amp;S1390&amp;T1390&amp;U1390&amp;V1390&amp;W1390&amp;X1390&amp;Y1390&amp;Z1390&amp;AA1390&amp;AB1390&amp;AC1390&amp;AD1390&amp;AE1390&amp;AF1390&amp;AG1390</f>
        <v/>
      </c>
      <c r="N1390" s="10">
        <f>TEXT($B$6,"00")</f>
        <v/>
      </c>
      <c r="O1390" s="10">
        <f>REPT(" ",8)</f>
        <v/>
      </c>
      <c r="P1390" s="10">
        <f>RIGHT($B$4,2)</f>
        <v/>
      </c>
      <c r="Q1390" s="10">
        <f>RIGHT($B$5,3)</f>
        <v/>
      </c>
      <c r="R1390" s="10">
        <f>IF(A1390="D",LEFT(UPPER(B1390)&amp;REPT(" ",20),20),REPT(" ",20))</f>
        <v/>
      </c>
      <c r="S1390" s="10">
        <f>IF(A1390="D",LEFT(UPPER(C1390)&amp;REPT(" ",10),10)," ")</f>
        <v/>
      </c>
      <c r="T1390" s="10">
        <f>IF(A1390="D",LEFT(UPPER(D1390)&amp;REPT(" ",2),2)," ")</f>
        <v/>
      </c>
      <c r="U1390" s="10">
        <f>IF(A1390="D",LEFT(UPPER(E1390)&amp;REPT(" ",15),15)," ")</f>
        <v/>
      </c>
      <c r="V1390" s="10">
        <f>REPT(" ",24)</f>
        <v/>
      </c>
      <c r="W1390" s="10">
        <f>IF(A1390="c",LEFT(UPPER(B1390)&amp;REPT(" ",20),20),REPT(" ",20))</f>
        <v/>
      </c>
      <c r="X1390" s="10">
        <f>IF(A1390="C",LEFT(UPPER(C1390)&amp;REPT(" ",10),10)," ")</f>
        <v/>
      </c>
      <c r="Y1390" s="10">
        <f>IF(A1390="C",LEFT(UPPER(D1390)&amp;REPT(" ",2),2)," ")</f>
        <v/>
      </c>
      <c r="Z1390" s="10">
        <f>IF(A1390="C",LEFT(UPPER(E1390)&amp;REPT(" ",15),15)," ")</f>
        <v/>
      </c>
      <c r="AA1390" s="10">
        <f>REPT(" ",8)</f>
        <v/>
      </c>
      <c r="AB1390" s="10">
        <f>REPT(" ",4)</f>
        <v/>
      </c>
      <c r="AC1390" s="10">
        <f>LEFT(UPPER(H1390)&amp;REPT(" ",250),250)</f>
        <v/>
      </c>
      <c r="AD1390" s="10">
        <f>TEXT($G$2,"dd/mm/aaaa")</f>
        <v/>
      </c>
      <c r="AE1390" s="10">
        <f>REPT(" ",10)</f>
        <v/>
      </c>
      <c r="AF1390" s="10">
        <f>REPT(" ",20)</f>
        <v/>
      </c>
      <c r="AG1390" s="54">
        <f>REPT(" ",18-LEN(FIXED(F1390,2,TRUE)))&amp;FIXED(F1390,2,TRUE)</f>
        <v/>
      </c>
      <c r="AH1390" s="10">
        <f>LEN(AC1390)+LEN(AG1390)</f>
        <v/>
      </c>
      <c r="AI1390" s="10">
        <f>LEN(L1390)</f>
        <v/>
      </c>
    </row>
    <row r="1391">
      <c r="J1391" s="12">
        <f>IF(F1391&lt;&gt;0,"LANÇAR","")</f>
        <v/>
      </c>
      <c r="L1391" s="13">
        <f>N1391&amp;O1391&amp;P1391&amp;Q1391&amp;R1391&amp;S1391&amp;T1391&amp;U1391&amp;V1391&amp;W1391&amp;X1391&amp;Y1391&amp;Z1391&amp;AA1391&amp;AB1391&amp;AC1391&amp;AD1391&amp;AE1391&amp;AF1391&amp;AG1391</f>
        <v/>
      </c>
      <c r="N1391" s="10">
        <f>TEXT($B$6,"00")</f>
        <v/>
      </c>
      <c r="O1391" s="10">
        <f>REPT(" ",8)</f>
        <v/>
      </c>
      <c r="P1391" s="10">
        <f>RIGHT($B$4,2)</f>
        <v/>
      </c>
      <c r="Q1391" s="10">
        <f>RIGHT($B$5,3)</f>
        <v/>
      </c>
      <c r="R1391" s="10">
        <f>IF(A1391="D",LEFT(UPPER(B1391)&amp;REPT(" ",20),20),REPT(" ",20))</f>
        <v/>
      </c>
      <c r="S1391" s="10">
        <f>IF(A1391="D",LEFT(UPPER(C1391)&amp;REPT(" ",10),10)," ")</f>
        <v/>
      </c>
      <c r="T1391" s="10">
        <f>IF(A1391="D",LEFT(UPPER(D1391)&amp;REPT(" ",2),2)," ")</f>
        <v/>
      </c>
      <c r="U1391" s="10">
        <f>IF(A1391="D",LEFT(UPPER(E1391)&amp;REPT(" ",15),15)," ")</f>
        <v/>
      </c>
      <c r="V1391" s="10">
        <f>REPT(" ",24)</f>
        <v/>
      </c>
      <c r="W1391" s="10">
        <f>IF(A1391="c",LEFT(UPPER(B1391)&amp;REPT(" ",20),20),REPT(" ",20))</f>
        <v/>
      </c>
      <c r="X1391" s="10">
        <f>IF(A1391="C",LEFT(UPPER(C1391)&amp;REPT(" ",10),10)," ")</f>
        <v/>
      </c>
      <c r="Y1391" s="10">
        <f>IF(A1391="C",LEFT(UPPER(D1391)&amp;REPT(" ",2),2)," ")</f>
        <v/>
      </c>
      <c r="Z1391" s="10">
        <f>IF(A1391="C",LEFT(UPPER(E1391)&amp;REPT(" ",15),15)," ")</f>
        <v/>
      </c>
      <c r="AA1391" s="10">
        <f>REPT(" ",8)</f>
        <v/>
      </c>
      <c r="AB1391" s="10">
        <f>REPT(" ",4)</f>
        <v/>
      </c>
      <c r="AC1391" s="10">
        <f>LEFT(UPPER(H1391)&amp;REPT(" ",250),250)</f>
        <v/>
      </c>
      <c r="AD1391" s="10">
        <f>TEXT($G$2,"dd/mm/aaaa")</f>
        <v/>
      </c>
      <c r="AE1391" s="10">
        <f>REPT(" ",10)</f>
        <v/>
      </c>
      <c r="AF1391" s="10">
        <f>REPT(" ",20)</f>
        <v/>
      </c>
      <c r="AG1391" s="54">
        <f>REPT(" ",18-LEN(FIXED(F1391,2,TRUE)))&amp;FIXED(F1391,2,TRUE)</f>
        <v/>
      </c>
      <c r="AH1391" s="10">
        <f>LEN(AC1391)+LEN(AG1391)</f>
        <v/>
      </c>
      <c r="AI1391" s="10">
        <f>LEN(L1391)</f>
        <v/>
      </c>
    </row>
    <row r="1392">
      <c r="J1392" s="12">
        <f>IF(F1392&lt;&gt;0,"LANÇAR","")</f>
        <v/>
      </c>
      <c r="L1392" s="13">
        <f>N1392&amp;O1392&amp;P1392&amp;Q1392&amp;R1392&amp;S1392&amp;T1392&amp;U1392&amp;V1392&amp;W1392&amp;X1392&amp;Y1392&amp;Z1392&amp;AA1392&amp;AB1392&amp;AC1392&amp;AD1392&amp;AE1392&amp;AF1392&amp;AG1392</f>
        <v/>
      </c>
      <c r="N1392" s="10">
        <f>TEXT($B$6,"00")</f>
        <v/>
      </c>
      <c r="O1392" s="10">
        <f>REPT(" ",8)</f>
        <v/>
      </c>
      <c r="P1392" s="10">
        <f>RIGHT($B$4,2)</f>
        <v/>
      </c>
      <c r="Q1392" s="10">
        <f>RIGHT($B$5,3)</f>
        <v/>
      </c>
      <c r="R1392" s="10">
        <f>IF(A1392="D",LEFT(UPPER(B1392)&amp;REPT(" ",20),20),REPT(" ",20))</f>
        <v/>
      </c>
      <c r="S1392" s="10">
        <f>IF(A1392="D",LEFT(UPPER(C1392)&amp;REPT(" ",10),10)," ")</f>
        <v/>
      </c>
      <c r="T1392" s="10">
        <f>IF(A1392="D",LEFT(UPPER(D1392)&amp;REPT(" ",2),2)," ")</f>
        <v/>
      </c>
      <c r="U1392" s="10">
        <f>IF(A1392="D",LEFT(UPPER(E1392)&amp;REPT(" ",15),15)," ")</f>
        <v/>
      </c>
      <c r="V1392" s="10">
        <f>REPT(" ",24)</f>
        <v/>
      </c>
      <c r="W1392" s="10">
        <f>IF(A1392="c",LEFT(UPPER(B1392)&amp;REPT(" ",20),20),REPT(" ",20))</f>
        <v/>
      </c>
      <c r="X1392" s="10">
        <f>IF(A1392="C",LEFT(UPPER(C1392)&amp;REPT(" ",10),10)," ")</f>
        <v/>
      </c>
      <c r="Y1392" s="10">
        <f>IF(A1392="C",LEFT(UPPER(D1392)&amp;REPT(" ",2),2)," ")</f>
        <v/>
      </c>
      <c r="Z1392" s="10">
        <f>IF(A1392="C",LEFT(UPPER(E1392)&amp;REPT(" ",15),15)," ")</f>
        <v/>
      </c>
      <c r="AA1392" s="10">
        <f>REPT(" ",8)</f>
        <v/>
      </c>
      <c r="AB1392" s="10">
        <f>REPT(" ",4)</f>
        <v/>
      </c>
      <c r="AC1392" s="10">
        <f>LEFT(UPPER(H1392)&amp;REPT(" ",250),250)</f>
        <v/>
      </c>
      <c r="AD1392" s="10">
        <f>TEXT($G$2,"dd/mm/aaaa")</f>
        <v/>
      </c>
      <c r="AE1392" s="10">
        <f>REPT(" ",10)</f>
        <v/>
      </c>
      <c r="AF1392" s="10">
        <f>REPT(" ",20)</f>
        <v/>
      </c>
      <c r="AG1392" s="54">
        <f>REPT(" ",18-LEN(FIXED(F1392,2,TRUE)))&amp;FIXED(F1392,2,TRUE)</f>
        <v/>
      </c>
      <c r="AH1392" s="10">
        <f>LEN(AC1392)+LEN(AG1392)</f>
        <v/>
      </c>
      <c r="AI1392" s="10">
        <f>LEN(L1392)</f>
        <v/>
      </c>
    </row>
    <row r="1393">
      <c r="J1393" s="12">
        <f>IF(F1393&lt;&gt;0,"LANÇAR","")</f>
        <v/>
      </c>
      <c r="L1393" s="13">
        <f>N1393&amp;O1393&amp;P1393&amp;Q1393&amp;R1393&amp;S1393&amp;T1393&amp;U1393&amp;V1393&amp;W1393&amp;X1393&amp;Y1393&amp;Z1393&amp;AA1393&amp;AB1393&amp;AC1393&amp;AD1393&amp;AE1393&amp;AF1393&amp;AG1393</f>
        <v/>
      </c>
      <c r="N1393" s="10">
        <f>TEXT($B$6,"00")</f>
        <v/>
      </c>
      <c r="O1393" s="10">
        <f>REPT(" ",8)</f>
        <v/>
      </c>
      <c r="P1393" s="10">
        <f>RIGHT($B$4,2)</f>
        <v/>
      </c>
      <c r="Q1393" s="10">
        <f>RIGHT($B$5,3)</f>
        <v/>
      </c>
      <c r="R1393" s="10">
        <f>IF(A1393="D",LEFT(UPPER(B1393)&amp;REPT(" ",20),20),REPT(" ",20))</f>
        <v/>
      </c>
      <c r="S1393" s="10">
        <f>IF(A1393="D",LEFT(UPPER(C1393)&amp;REPT(" ",10),10)," ")</f>
        <v/>
      </c>
      <c r="T1393" s="10">
        <f>IF(A1393="D",LEFT(UPPER(D1393)&amp;REPT(" ",2),2)," ")</f>
        <v/>
      </c>
      <c r="U1393" s="10">
        <f>IF(A1393="D",LEFT(UPPER(E1393)&amp;REPT(" ",15),15)," ")</f>
        <v/>
      </c>
      <c r="V1393" s="10">
        <f>REPT(" ",24)</f>
        <v/>
      </c>
      <c r="W1393" s="10">
        <f>IF(A1393="c",LEFT(UPPER(B1393)&amp;REPT(" ",20),20),REPT(" ",20))</f>
        <v/>
      </c>
      <c r="X1393" s="10">
        <f>IF(A1393="C",LEFT(UPPER(C1393)&amp;REPT(" ",10),10)," ")</f>
        <v/>
      </c>
      <c r="Y1393" s="10">
        <f>IF(A1393="C",LEFT(UPPER(D1393)&amp;REPT(" ",2),2)," ")</f>
        <v/>
      </c>
      <c r="Z1393" s="10">
        <f>IF(A1393="C",LEFT(UPPER(E1393)&amp;REPT(" ",15),15)," ")</f>
        <v/>
      </c>
      <c r="AA1393" s="10">
        <f>REPT(" ",8)</f>
        <v/>
      </c>
      <c r="AB1393" s="10">
        <f>REPT(" ",4)</f>
        <v/>
      </c>
      <c r="AC1393" s="10">
        <f>LEFT(UPPER(H1393)&amp;REPT(" ",250),250)</f>
        <v/>
      </c>
      <c r="AD1393" s="10">
        <f>TEXT($G$2,"dd/mm/aaaa")</f>
        <v/>
      </c>
      <c r="AE1393" s="10">
        <f>REPT(" ",10)</f>
        <v/>
      </c>
      <c r="AF1393" s="10">
        <f>REPT(" ",20)</f>
        <v/>
      </c>
      <c r="AG1393" s="54">
        <f>REPT(" ",18-LEN(FIXED(F1393,2,TRUE)))&amp;FIXED(F1393,2,TRUE)</f>
        <v/>
      </c>
      <c r="AH1393" s="10">
        <f>LEN(AC1393)+LEN(AG1393)</f>
        <v/>
      </c>
      <c r="AI1393" s="10">
        <f>LEN(L1393)</f>
        <v/>
      </c>
    </row>
    <row r="1394">
      <c r="J1394" s="12">
        <f>IF(F1394&lt;&gt;0,"LANÇAR","")</f>
        <v/>
      </c>
      <c r="L1394" s="13">
        <f>N1394&amp;O1394&amp;P1394&amp;Q1394&amp;R1394&amp;S1394&amp;T1394&amp;U1394&amp;V1394&amp;W1394&amp;X1394&amp;Y1394&amp;Z1394&amp;AA1394&amp;AB1394&amp;AC1394&amp;AD1394&amp;AE1394&amp;AF1394&amp;AG1394</f>
        <v/>
      </c>
      <c r="N1394" s="10">
        <f>TEXT($B$6,"00")</f>
        <v/>
      </c>
      <c r="O1394" s="10">
        <f>REPT(" ",8)</f>
        <v/>
      </c>
      <c r="P1394" s="10">
        <f>RIGHT($B$4,2)</f>
        <v/>
      </c>
      <c r="Q1394" s="10">
        <f>RIGHT($B$5,3)</f>
        <v/>
      </c>
      <c r="R1394" s="10">
        <f>IF(A1394="D",LEFT(UPPER(B1394)&amp;REPT(" ",20),20),REPT(" ",20))</f>
        <v/>
      </c>
      <c r="S1394" s="10">
        <f>IF(A1394="D",LEFT(UPPER(C1394)&amp;REPT(" ",10),10)," ")</f>
        <v/>
      </c>
      <c r="T1394" s="10">
        <f>IF(A1394="D",LEFT(UPPER(D1394)&amp;REPT(" ",2),2)," ")</f>
        <v/>
      </c>
      <c r="U1394" s="10">
        <f>IF(A1394="D",LEFT(UPPER(E1394)&amp;REPT(" ",15),15)," ")</f>
        <v/>
      </c>
      <c r="V1394" s="10">
        <f>REPT(" ",24)</f>
        <v/>
      </c>
      <c r="W1394" s="10">
        <f>IF(A1394="c",LEFT(UPPER(B1394)&amp;REPT(" ",20),20),REPT(" ",20))</f>
        <v/>
      </c>
      <c r="X1394" s="10">
        <f>IF(A1394="C",LEFT(UPPER(C1394)&amp;REPT(" ",10),10)," ")</f>
        <v/>
      </c>
      <c r="Y1394" s="10">
        <f>IF(A1394="C",LEFT(UPPER(D1394)&amp;REPT(" ",2),2)," ")</f>
        <v/>
      </c>
      <c r="Z1394" s="10">
        <f>IF(A1394="C",LEFT(UPPER(E1394)&amp;REPT(" ",15),15)," ")</f>
        <v/>
      </c>
      <c r="AA1394" s="10">
        <f>REPT(" ",8)</f>
        <v/>
      </c>
      <c r="AB1394" s="10">
        <f>REPT(" ",4)</f>
        <v/>
      </c>
      <c r="AC1394" s="10">
        <f>LEFT(UPPER(H1394)&amp;REPT(" ",250),250)</f>
        <v/>
      </c>
      <c r="AD1394" s="10">
        <f>TEXT($G$2,"dd/mm/aaaa")</f>
        <v/>
      </c>
      <c r="AE1394" s="10">
        <f>REPT(" ",10)</f>
        <v/>
      </c>
      <c r="AF1394" s="10">
        <f>REPT(" ",20)</f>
        <v/>
      </c>
      <c r="AG1394" s="54">
        <f>REPT(" ",18-LEN(FIXED(F1394,2,TRUE)))&amp;FIXED(F1394,2,TRUE)</f>
        <v/>
      </c>
      <c r="AH1394" s="10">
        <f>LEN(AC1394)+LEN(AG1394)</f>
        <v/>
      </c>
      <c r="AI1394" s="10">
        <f>LEN(L1394)</f>
        <v/>
      </c>
    </row>
    <row r="1395">
      <c r="J1395" s="12">
        <f>IF(F1395&lt;&gt;0,"LANÇAR","")</f>
        <v/>
      </c>
      <c r="L1395" s="13">
        <f>N1395&amp;O1395&amp;P1395&amp;Q1395&amp;R1395&amp;S1395&amp;T1395&amp;U1395&amp;V1395&amp;W1395&amp;X1395&amp;Y1395&amp;Z1395&amp;AA1395&amp;AB1395&amp;AC1395&amp;AD1395&amp;AE1395&amp;AF1395&amp;AG1395</f>
        <v/>
      </c>
      <c r="N1395" s="10">
        <f>TEXT($B$6,"00")</f>
        <v/>
      </c>
      <c r="O1395" s="10">
        <f>REPT(" ",8)</f>
        <v/>
      </c>
      <c r="P1395" s="10">
        <f>RIGHT($B$4,2)</f>
        <v/>
      </c>
      <c r="Q1395" s="10">
        <f>RIGHT($B$5,3)</f>
        <v/>
      </c>
      <c r="R1395" s="10">
        <f>IF(A1395="D",LEFT(UPPER(B1395)&amp;REPT(" ",20),20),REPT(" ",20))</f>
        <v/>
      </c>
      <c r="S1395" s="10">
        <f>IF(A1395="D",LEFT(UPPER(C1395)&amp;REPT(" ",10),10)," ")</f>
        <v/>
      </c>
      <c r="T1395" s="10">
        <f>IF(A1395="D",LEFT(UPPER(D1395)&amp;REPT(" ",2),2)," ")</f>
        <v/>
      </c>
      <c r="U1395" s="10">
        <f>IF(A1395="D",LEFT(UPPER(E1395)&amp;REPT(" ",15),15)," ")</f>
        <v/>
      </c>
      <c r="V1395" s="10">
        <f>REPT(" ",24)</f>
        <v/>
      </c>
      <c r="W1395" s="10">
        <f>IF(A1395="c",LEFT(UPPER(B1395)&amp;REPT(" ",20),20),REPT(" ",20))</f>
        <v/>
      </c>
      <c r="X1395" s="10">
        <f>IF(A1395="C",LEFT(UPPER(C1395)&amp;REPT(" ",10),10)," ")</f>
        <v/>
      </c>
      <c r="Y1395" s="10">
        <f>IF(A1395="C",LEFT(UPPER(D1395)&amp;REPT(" ",2),2)," ")</f>
        <v/>
      </c>
      <c r="Z1395" s="10">
        <f>IF(A1395="C",LEFT(UPPER(E1395)&amp;REPT(" ",15),15)," ")</f>
        <v/>
      </c>
      <c r="AA1395" s="10">
        <f>REPT(" ",8)</f>
        <v/>
      </c>
      <c r="AB1395" s="10">
        <f>REPT(" ",4)</f>
        <v/>
      </c>
      <c r="AC1395" s="10">
        <f>LEFT(UPPER(H1395)&amp;REPT(" ",250),250)</f>
        <v/>
      </c>
      <c r="AD1395" s="10">
        <f>TEXT($G$2,"dd/mm/aaaa")</f>
        <v/>
      </c>
      <c r="AE1395" s="10">
        <f>REPT(" ",10)</f>
        <v/>
      </c>
      <c r="AF1395" s="10">
        <f>REPT(" ",20)</f>
        <v/>
      </c>
      <c r="AG1395" s="54">
        <f>REPT(" ",18-LEN(FIXED(F1395,2,TRUE)))&amp;FIXED(F1395,2,TRUE)</f>
        <v/>
      </c>
      <c r="AH1395" s="10">
        <f>LEN(AC1395)+LEN(AG1395)</f>
        <v/>
      </c>
      <c r="AI1395" s="10">
        <f>LEN(L1395)</f>
        <v/>
      </c>
    </row>
    <row r="1396">
      <c r="J1396" s="12">
        <f>IF(F1396&lt;&gt;0,"LANÇAR","")</f>
        <v/>
      </c>
      <c r="L1396" s="13">
        <f>N1396&amp;O1396&amp;P1396&amp;Q1396&amp;R1396&amp;S1396&amp;T1396&amp;U1396&amp;V1396&amp;W1396&amp;X1396&amp;Y1396&amp;Z1396&amp;AA1396&amp;AB1396&amp;AC1396&amp;AD1396&amp;AE1396&amp;AF1396&amp;AG1396</f>
        <v/>
      </c>
      <c r="N1396" s="10">
        <f>TEXT($B$6,"00")</f>
        <v/>
      </c>
      <c r="O1396" s="10">
        <f>REPT(" ",8)</f>
        <v/>
      </c>
      <c r="P1396" s="10">
        <f>RIGHT($B$4,2)</f>
        <v/>
      </c>
      <c r="Q1396" s="10">
        <f>RIGHT($B$5,3)</f>
        <v/>
      </c>
      <c r="R1396" s="10">
        <f>IF(A1396="D",LEFT(UPPER(B1396)&amp;REPT(" ",20),20),REPT(" ",20))</f>
        <v/>
      </c>
      <c r="S1396" s="10">
        <f>IF(A1396="D",LEFT(UPPER(C1396)&amp;REPT(" ",10),10)," ")</f>
        <v/>
      </c>
      <c r="T1396" s="10">
        <f>IF(A1396="D",LEFT(UPPER(D1396)&amp;REPT(" ",2),2)," ")</f>
        <v/>
      </c>
      <c r="U1396" s="10">
        <f>IF(A1396="D",LEFT(UPPER(E1396)&amp;REPT(" ",15),15)," ")</f>
        <v/>
      </c>
      <c r="V1396" s="10">
        <f>REPT(" ",24)</f>
        <v/>
      </c>
      <c r="W1396" s="10">
        <f>IF(A1396="c",LEFT(UPPER(B1396)&amp;REPT(" ",20),20),REPT(" ",20))</f>
        <v/>
      </c>
      <c r="X1396" s="10">
        <f>IF(A1396="C",LEFT(UPPER(C1396)&amp;REPT(" ",10),10)," ")</f>
        <v/>
      </c>
      <c r="Y1396" s="10">
        <f>IF(A1396="C",LEFT(UPPER(D1396)&amp;REPT(" ",2),2)," ")</f>
        <v/>
      </c>
      <c r="Z1396" s="10">
        <f>IF(A1396="C",LEFT(UPPER(E1396)&amp;REPT(" ",15),15)," ")</f>
        <v/>
      </c>
      <c r="AA1396" s="10">
        <f>REPT(" ",8)</f>
        <v/>
      </c>
      <c r="AB1396" s="10">
        <f>REPT(" ",4)</f>
        <v/>
      </c>
      <c r="AC1396" s="10">
        <f>LEFT(UPPER(H1396)&amp;REPT(" ",250),250)</f>
        <v/>
      </c>
      <c r="AD1396" s="10">
        <f>TEXT($G$2,"dd/mm/aaaa")</f>
        <v/>
      </c>
      <c r="AE1396" s="10">
        <f>REPT(" ",10)</f>
        <v/>
      </c>
      <c r="AF1396" s="10">
        <f>REPT(" ",20)</f>
        <v/>
      </c>
      <c r="AG1396" s="54">
        <f>REPT(" ",18-LEN(FIXED(F1396,2,TRUE)))&amp;FIXED(F1396,2,TRUE)</f>
        <v/>
      </c>
      <c r="AH1396" s="10">
        <f>LEN(AC1396)+LEN(AG1396)</f>
        <v/>
      </c>
      <c r="AI1396" s="10">
        <f>LEN(L1396)</f>
        <v/>
      </c>
    </row>
    <row r="1397">
      <c r="J1397" s="12">
        <f>IF(F1397&lt;&gt;0,"LANÇAR","")</f>
        <v/>
      </c>
      <c r="L1397" s="13">
        <f>N1397&amp;O1397&amp;P1397&amp;Q1397&amp;R1397&amp;S1397&amp;T1397&amp;U1397&amp;V1397&amp;W1397&amp;X1397&amp;Y1397&amp;Z1397&amp;AA1397&amp;AB1397&amp;AC1397&amp;AD1397&amp;AE1397&amp;AF1397&amp;AG1397</f>
        <v/>
      </c>
      <c r="N1397" s="10">
        <f>TEXT($B$6,"00")</f>
        <v/>
      </c>
      <c r="O1397" s="10">
        <f>REPT(" ",8)</f>
        <v/>
      </c>
      <c r="P1397" s="10">
        <f>RIGHT($B$4,2)</f>
        <v/>
      </c>
      <c r="Q1397" s="10">
        <f>RIGHT($B$5,3)</f>
        <v/>
      </c>
      <c r="R1397" s="10">
        <f>IF(A1397="D",LEFT(UPPER(B1397)&amp;REPT(" ",20),20),REPT(" ",20))</f>
        <v/>
      </c>
      <c r="S1397" s="10">
        <f>IF(A1397="D",LEFT(UPPER(C1397)&amp;REPT(" ",10),10)," ")</f>
        <v/>
      </c>
      <c r="T1397" s="10">
        <f>IF(A1397="D",LEFT(UPPER(D1397)&amp;REPT(" ",2),2)," ")</f>
        <v/>
      </c>
      <c r="U1397" s="10">
        <f>IF(A1397="D",LEFT(UPPER(E1397)&amp;REPT(" ",15),15)," ")</f>
        <v/>
      </c>
      <c r="V1397" s="10">
        <f>REPT(" ",24)</f>
        <v/>
      </c>
      <c r="W1397" s="10">
        <f>IF(A1397="c",LEFT(UPPER(B1397)&amp;REPT(" ",20),20),REPT(" ",20))</f>
        <v/>
      </c>
      <c r="X1397" s="10">
        <f>IF(A1397="C",LEFT(UPPER(C1397)&amp;REPT(" ",10),10)," ")</f>
        <v/>
      </c>
      <c r="Y1397" s="10">
        <f>IF(A1397="C",LEFT(UPPER(D1397)&amp;REPT(" ",2),2)," ")</f>
        <v/>
      </c>
      <c r="Z1397" s="10">
        <f>IF(A1397="C",LEFT(UPPER(E1397)&amp;REPT(" ",15),15)," ")</f>
        <v/>
      </c>
      <c r="AA1397" s="10">
        <f>REPT(" ",8)</f>
        <v/>
      </c>
      <c r="AB1397" s="10">
        <f>REPT(" ",4)</f>
        <v/>
      </c>
      <c r="AC1397" s="10">
        <f>LEFT(UPPER(H1397)&amp;REPT(" ",250),250)</f>
        <v/>
      </c>
      <c r="AD1397" s="10">
        <f>TEXT($G$2,"dd/mm/aaaa")</f>
        <v/>
      </c>
      <c r="AE1397" s="10">
        <f>REPT(" ",10)</f>
        <v/>
      </c>
      <c r="AF1397" s="10">
        <f>REPT(" ",20)</f>
        <v/>
      </c>
      <c r="AG1397" s="54">
        <f>REPT(" ",18-LEN(FIXED(F1397,2,TRUE)))&amp;FIXED(F1397,2,TRUE)</f>
        <v/>
      </c>
      <c r="AH1397" s="10">
        <f>LEN(AC1397)+LEN(AG1397)</f>
        <v/>
      </c>
      <c r="AI1397" s="10">
        <f>LEN(L1397)</f>
        <v/>
      </c>
    </row>
    <row r="1398">
      <c r="J1398" s="12">
        <f>IF(F1398&lt;&gt;0,"LANÇAR","")</f>
        <v/>
      </c>
      <c r="L1398" s="13">
        <f>N1398&amp;O1398&amp;P1398&amp;Q1398&amp;R1398&amp;S1398&amp;T1398&amp;U1398&amp;V1398&amp;W1398&amp;X1398&amp;Y1398&amp;Z1398&amp;AA1398&amp;AB1398&amp;AC1398&amp;AD1398&amp;AE1398&amp;AF1398&amp;AG1398</f>
        <v/>
      </c>
      <c r="N1398" s="10">
        <f>TEXT($B$6,"00")</f>
        <v/>
      </c>
      <c r="O1398" s="10">
        <f>REPT(" ",8)</f>
        <v/>
      </c>
      <c r="P1398" s="10">
        <f>RIGHT($B$4,2)</f>
        <v/>
      </c>
      <c r="Q1398" s="10">
        <f>RIGHT($B$5,3)</f>
        <v/>
      </c>
      <c r="R1398" s="10">
        <f>IF(A1398="D",LEFT(UPPER(B1398)&amp;REPT(" ",20),20),REPT(" ",20))</f>
        <v/>
      </c>
      <c r="S1398" s="10">
        <f>IF(A1398="D",LEFT(UPPER(C1398)&amp;REPT(" ",10),10)," ")</f>
        <v/>
      </c>
      <c r="T1398" s="10">
        <f>IF(A1398="D",LEFT(UPPER(D1398)&amp;REPT(" ",2),2)," ")</f>
        <v/>
      </c>
      <c r="U1398" s="10">
        <f>IF(A1398="D",LEFT(UPPER(E1398)&amp;REPT(" ",15),15)," ")</f>
        <v/>
      </c>
      <c r="V1398" s="10">
        <f>REPT(" ",24)</f>
        <v/>
      </c>
      <c r="W1398" s="10">
        <f>IF(A1398="c",LEFT(UPPER(B1398)&amp;REPT(" ",20),20),REPT(" ",20))</f>
        <v/>
      </c>
      <c r="X1398" s="10">
        <f>IF(A1398="C",LEFT(UPPER(C1398)&amp;REPT(" ",10),10)," ")</f>
        <v/>
      </c>
      <c r="Y1398" s="10">
        <f>IF(A1398="C",LEFT(UPPER(D1398)&amp;REPT(" ",2),2)," ")</f>
        <v/>
      </c>
      <c r="Z1398" s="10">
        <f>IF(A1398="C",LEFT(UPPER(E1398)&amp;REPT(" ",15),15)," ")</f>
        <v/>
      </c>
      <c r="AA1398" s="10">
        <f>REPT(" ",8)</f>
        <v/>
      </c>
      <c r="AB1398" s="10">
        <f>REPT(" ",4)</f>
        <v/>
      </c>
      <c r="AC1398" s="10">
        <f>LEFT(UPPER(H1398)&amp;REPT(" ",250),250)</f>
        <v/>
      </c>
      <c r="AD1398" s="10">
        <f>TEXT($G$2,"dd/mm/aaaa")</f>
        <v/>
      </c>
      <c r="AE1398" s="10">
        <f>REPT(" ",10)</f>
        <v/>
      </c>
      <c r="AF1398" s="10">
        <f>REPT(" ",20)</f>
        <v/>
      </c>
      <c r="AG1398" s="54">
        <f>REPT(" ",18-LEN(FIXED(F1398,2,TRUE)))&amp;FIXED(F1398,2,TRUE)</f>
        <v/>
      </c>
      <c r="AH1398" s="10">
        <f>LEN(AC1398)+LEN(AG1398)</f>
        <v/>
      </c>
      <c r="AI1398" s="10">
        <f>LEN(L1398)</f>
        <v/>
      </c>
    </row>
    <row r="1399">
      <c r="J1399" s="12">
        <f>IF(F1399&lt;&gt;0,"LANÇAR","")</f>
        <v/>
      </c>
      <c r="L1399" s="13">
        <f>N1399&amp;O1399&amp;P1399&amp;Q1399&amp;R1399&amp;S1399&amp;T1399&amp;U1399&amp;V1399&amp;W1399&amp;X1399&amp;Y1399&amp;Z1399&amp;AA1399&amp;AB1399&amp;AC1399&amp;AD1399&amp;AE1399&amp;AF1399&amp;AG1399</f>
        <v/>
      </c>
      <c r="N1399" s="10">
        <f>TEXT($B$6,"00")</f>
        <v/>
      </c>
      <c r="O1399" s="10">
        <f>REPT(" ",8)</f>
        <v/>
      </c>
      <c r="P1399" s="10">
        <f>RIGHT($B$4,2)</f>
        <v/>
      </c>
      <c r="Q1399" s="10">
        <f>RIGHT($B$5,3)</f>
        <v/>
      </c>
      <c r="R1399" s="10">
        <f>IF(A1399="D",LEFT(UPPER(B1399)&amp;REPT(" ",20),20),REPT(" ",20))</f>
        <v/>
      </c>
      <c r="S1399" s="10">
        <f>IF(A1399="D",LEFT(UPPER(C1399)&amp;REPT(" ",10),10)," ")</f>
        <v/>
      </c>
      <c r="T1399" s="10">
        <f>IF(A1399="D",LEFT(UPPER(D1399)&amp;REPT(" ",2),2)," ")</f>
        <v/>
      </c>
      <c r="U1399" s="10">
        <f>IF(A1399="D",LEFT(UPPER(E1399)&amp;REPT(" ",15),15)," ")</f>
        <v/>
      </c>
      <c r="V1399" s="10">
        <f>REPT(" ",24)</f>
        <v/>
      </c>
      <c r="W1399" s="10">
        <f>IF(A1399="c",LEFT(UPPER(B1399)&amp;REPT(" ",20),20),REPT(" ",20))</f>
        <v/>
      </c>
      <c r="X1399" s="10">
        <f>IF(A1399="C",LEFT(UPPER(C1399)&amp;REPT(" ",10),10)," ")</f>
        <v/>
      </c>
      <c r="Y1399" s="10">
        <f>IF(A1399="C",LEFT(UPPER(D1399)&amp;REPT(" ",2),2)," ")</f>
        <v/>
      </c>
      <c r="Z1399" s="10">
        <f>IF(A1399="C",LEFT(UPPER(E1399)&amp;REPT(" ",15),15)," ")</f>
        <v/>
      </c>
      <c r="AA1399" s="10">
        <f>REPT(" ",8)</f>
        <v/>
      </c>
      <c r="AB1399" s="10">
        <f>REPT(" ",4)</f>
        <v/>
      </c>
      <c r="AC1399" s="10">
        <f>LEFT(UPPER(H1399)&amp;REPT(" ",250),250)</f>
        <v/>
      </c>
      <c r="AD1399" s="10">
        <f>TEXT($G$2,"dd/mm/aaaa")</f>
        <v/>
      </c>
      <c r="AE1399" s="10">
        <f>REPT(" ",10)</f>
        <v/>
      </c>
      <c r="AF1399" s="10">
        <f>REPT(" ",20)</f>
        <v/>
      </c>
      <c r="AG1399" s="54">
        <f>REPT(" ",18-LEN(FIXED(F1399,2,TRUE)))&amp;FIXED(F1399,2,TRUE)</f>
        <v/>
      </c>
      <c r="AH1399" s="10">
        <f>LEN(AC1399)+LEN(AG1399)</f>
        <v/>
      </c>
      <c r="AI1399" s="10">
        <f>LEN(L1399)</f>
        <v/>
      </c>
    </row>
    <row r="1400">
      <c r="J1400" s="12">
        <f>IF(F1400&lt;&gt;0,"LANÇAR","")</f>
        <v/>
      </c>
      <c r="L1400" s="13">
        <f>N1400&amp;O1400&amp;P1400&amp;Q1400&amp;R1400&amp;S1400&amp;T1400&amp;U1400&amp;V1400&amp;W1400&amp;X1400&amp;Y1400&amp;Z1400&amp;AA1400&amp;AB1400&amp;AC1400&amp;AD1400&amp;AE1400&amp;AF1400&amp;AG1400</f>
        <v/>
      </c>
      <c r="N1400" s="10">
        <f>TEXT($B$6,"00")</f>
        <v/>
      </c>
      <c r="O1400" s="10">
        <f>REPT(" ",8)</f>
        <v/>
      </c>
      <c r="P1400" s="10">
        <f>RIGHT($B$4,2)</f>
        <v/>
      </c>
      <c r="Q1400" s="10">
        <f>RIGHT($B$5,3)</f>
        <v/>
      </c>
      <c r="R1400" s="10">
        <f>IF(A1400="D",LEFT(UPPER(B1400)&amp;REPT(" ",20),20),REPT(" ",20))</f>
        <v/>
      </c>
      <c r="S1400" s="10">
        <f>IF(A1400="D",LEFT(UPPER(C1400)&amp;REPT(" ",10),10)," ")</f>
        <v/>
      </c>
      <c r="T1400" s="10">
        <f>IF(A1400="D",LEFT(UPPER(D1400)&amp;REPT(" ",2),2)," ")</f>
        <v/>
      </c>
      <c r="U1400" s="10">
        <f>IF(A1400="D",LEFT(UPPER(E1400)&amp;REPT(" ",15),15)," ")</f>
        <v/>
      </c>
      <c r="V1400" s="10">
        <f>REPT(" ",24)</f>
        <v/>
      </c>
      <c r="W1400" s="10">
        <f>IF(A1400="c",LEFT(UPPER(B1400)&amp;REPT(" ",20),20),REPT(" ",20))</f>
        <v/>
      </c>
      <c r="X1400" s="10">
        <f>IF(A1400="C",LEFT(UPPER(C1400)&amp;REPT(" ",10),10)," ")</f>
        <v/>
      </c>
      <c r="Y1400" s="10">
        <f>IF(A1400="C",LEFT(UPPER(D1400)&amp;REPT(" ",2),2)," ")</f>
        <v/>
      </c>
      <c r="Z1400" s="10">
        <f>IF(A1400="C",LEFT(UPPER(E1400)&amp;REPT(" ",15),15)," ")</f>
        <v/>
      </c>
      <c r="AA1400" s="10">
        <f>REPT(" ",8)</f>
        <v/>
      </c>
      <c r="AB1400" s="10">
        <f>REPT(" ",4)</f>
        <v/>
      </c>
      <c r="AC1400" s="10">
        <f>LEFT(UPPER(H1400)&amp;REPT(" ",250),250)</f>
        <v/>
      </c>
      <c r="AD1400" s="10">
        <f>TEXT($G$2,"dd/mm/aaaa")</f>
        <v/>
      </c>
      <c r="AE1400" s="10">
        <f>REPT(" ",10)</f>
        <v/>
      </c>
      <c r="AF1400" s="10">
        <f>REPT(" ",20)</f>
        <v/>
      </c>
      <c r="AG1400" s="54">
        <f>REPT(" ",18-LEN(FIXED(F1400,2,TRUE)))&amp;FIXED(F1400,2,TRUE)</f>
        <v/>
      </c>
      <c r="AH1400" s="10">
        <f>LEN(AC1400)+LEN(AG1400)</f>
        <v/>
      </c>
      <c r="AI1400" s="10">
        <f>LEN(L1400)</f>
        <v/>
      </c>
    </row>
    <row r="1401">
      <c r="J1401" s="12">
        <f>IF(F1401&lt;&gt;0,"LANÇAR","")</f>
        <v/>
      </c>
      <c r="L1401" s="13">
        <f>N1401&amp;O1401&amp;P1401&amp;Q1401&amp;R1401&amp;S1401&amp;T1401&amp;U1401&amp;V1401&amp;W1401&amp;X1401&amp;Y1401&amp;Z1401&amp;AA1401&amp;AB1401&amp;AC1401&amp;AD1401&amp;AE1401&amp;AF1401&amp;AG1401</f>
        <v/>
      </c>
      <c r="N1401" s="10">
        <f>TEXT($B$6,"00")</f>
        <v/>
      </c>
      <c r="O1401" s="10">
        <f>REPT(" ",8)</f>
        <v/>
      </c>
      <c r="P1401" s="10">
        <f>RIGHT($B$4,2)</f>
        <v/>
      </c>
      <c r="Q1401" s="10">
        <f>RIGHT($B$5,3)</f>
        <v/>
      </c>
      <c r="R1401" s="10">
        <f>IF(A1401="D",LEFT(UPPER(B1401)&amp;REPT(" ",20),20),REPT(" ",20))</f>
        <v/>
      </c>
      <c r="S1401" s="10">
        <f>IF(A1401="D",LEFT(UPPER(C1401)&amp;REPT(" ",10),10)," ")</f>
        <v/>
      </c>
      <c r="T1401" s="10">
        <f>IF(A1401="D",LEFT(UPPER(D1401)&amp;REPT(" ",2),2)," ")</f>
        <v/>
      </c>
      <c r="U1401" s="10">
        <f>IF(A1401="D",LEFT(UPPER(E1401)&amp;REPT(" ",15),15)," ")</f>
        <v/>
      </c>
      <c r="V1401" s="10">
        <f>REPT(" ",24)</f>
        <v/>
      </c>
      <c r="W1401" s="10">
        <f>IF(A1401="c",LEFT(UPPER(B1401)&amp;REPT(" ",20),20),REPT(" ",20))</f>
        <v/>
      </c>
      <c r="X1401" s="10">
        <f>IF(A1401="C",LEFT(UPPER(C1401)&amp;REPT(" ",10),10)," ")</f>
        <v/>
      </c>
      <c r="Y1401" s="10">
        <f>IF(A1401="C",LEFT(UPPER(D1401)&amp;REPT(" ",2),2)," ")</f>
        <v/>
      </c>
      <c r="Z1401" s="10">
        <f>IF(A1401="C",LEFT(UPPER(E1401)&amp;REPT(" ",15),15)," ")</f>
        <v/>
      </c>
      <c r="AA1401" s="10">
        <f>REPT(" ",8)</f>
        <v/>
      </c>
      <c r="AB1401" s="10">
        <f>REPT(" ",4)</f>
        <v/>
      </c>
      <c r="AC1401" s="10">
        <f>LEFT(UPPER(H1401)&amp;REPT(" ",250),250)</f>
        <v/>
      </c>
      <c r="AD1401" s="10">
        <f>TEXT($G$2,"dd/mm/aaaa")</f>
        <v/>
      </c>
      <c r="AE1401" s="10">
        <f>REPT(" ",10)</f>
        <v/>
      </c>
      <c r="AF1401" s="10">
        <f>REPT(" ",20)</f>
        <v/>
      </c>
      <c r="AG1401" s="54">
        <f>REPT(" ",18-LEN(FIXED(F1401,2,TRUE)))&amp;FIXED(F1401,2,TRUE)</f>
        <v/>
      </c>
      <c r="AH1401" s="10">
        <f>LEN(AC1401)+LEN(AG1401)</f>
        <v/>
      </c>
      <c r="AI1401" s="10">
        <f>LEN(L1401)</f>
        <v/>
      </c>
    </row>
    <row r="1402">
      <c r="J1402" s="12">
        <f>IF(F1402&lt;&gt;0,"LANÇAR","")</f>
        <v/>
      </c>
      <c r="L1402" s="13">
        <f>N1402&amp;O1402&amp;P1402&amp;Q1402&amp;R1402&amp;S1402&amp;T1402&amp;U1402&amp;V1402&amp;W1402&amp;X1402&amp;Y1402&amp;Z1402&amp;AA1402&amp;AB1402&amp;AC1402&amp;AD1402&amp;AE1402&amp;AF1402&amp;AG1402</f>
        <v/>
      </c>
      <c r="N1402" s="10">
        <f>TEXT($B$6,"00")</f>
        <v/>
      </c>
      <c r="O1402" s="10">
        <f>REPT(" ",8)</f>
        <v/>
      </c>
      <c r="P1402" s="10">
        <f>RIGHT($B$4,2)</f>
        <v/>
      </c>
      <c r="Q1402" s="10">
        <f>RIGHT($B$5,3)</f>
        <v/>
      </c>
      <c r="R1402" s="10">
        <f>IF(A1402="D",LEFT(UPPER(B1402)&amp;REPT(" ",20),20),REPT(" ",20))</f>
        <v/>
      </c>
      <c r="S1402" s="10">
        <f>IF(A1402="D",LEFT(UPPER(C1402)&amp;REPT(" ",10),10)," ")</f>
        <v/>
      </c>
      <c r="T1402" s="10">
        <f>IF(A1402="D",LEFT(UPPER(D1402)&amp;REPT(" ",2),2)," ")</f>
        <v/>
      </c>
      <c r="U1402" s="10">
        <f>IF(A1402="D",LEFT(UPPER(E1402)&amp;REPT(" ",15),15)," ")</f>
        <v/>
      </c>
      <c r="V1402" s="10">
        <f>REPT(" ",24)</f>
        <v/>
      </c>
      <c r="W1402" s="10">
        <f>IF(A1402="c",LEFT(UPPER(B1402)&amp;REPT(" ",20),20),REPT(" ",20))</f>
        <v/>
      </c>
      <c r="X1402" s="10">
        <f>IF(A1402="C",LEFT(UPPER(C1402)&amp;REPT(" ",10),10)," ")</f>
        <v/>
      </c>
      <c r="Y1402" s="10">
        <f>IF(A1402="C",LEFT(UPPER(D1402)&amp;REPT(" ",2),2)," ")</f>
        <v/>
      </c>
      <c r="Z1402" s="10">
        <f>IF(A1402="C",LEFT(UPPER(E1402)&amp;REPT(" ",15),15)," ")</f>
        <v/>
      </c>
      <c r="AA1402" s="10">
        <f>REPT(" ",8)</f>
        <v/>
      </c>
      <c r="AB1402" s="10">
        <f>REPT(" ",4)</f>
        <v/>
      </c>
      <c r="AC1402" s="10">
        <f>LEFT(UPPER(H1402)&amp;REPT(" ",250),250)</f>
        <v/>
      </c>
      <c r="AD1402" s="10">
        <f>TEXT($G$2,"dd/mm/aaaa")</f>
        <v/>
      </c>
      <c r="AE1402" s="10">
        <f>REPT(" ",10)</f>
        <v/>
      </c>
      <c r="AF1402" s="10">
        <f>REPT(" ",20)</f>
        <v/>
      </c>
      <c r="AG1402" s="54">
        <f>REPT(" ",18-LEN(FIXED(F1402,2,TRUE)))&amp;FIXED(F1402,2,TRUE)</f>
        <v/>
      </c>
      <c r="AH1402" s="10">
        <f>LEN(AC1402)+LEN(AG1402)</f>
        <v/>
      </c>
      <c r="AI1402" s="10">
        <f>LEN(L1402)</f>
        <v/>
      </c>
    </row>
    <row r="1403">
      <c r="J1403" s="12">
        <f>IF(F1403&lt;&gt;0,"LANÇAR","")</f>
        <v/>
      </c>
      <c r="L1403" s="13">
        <f>N1403&amp;O1403&amp;P1403&amp;Q1403&amp;R1403&amp;S1403&amp;T1403&amp;U1403&amp;V1403&amp;W1403&amp;X1403&amp;Y1403&amp;Z1403&amp;AA1403&amp;AB1403&amp;AC1403&amp;AD1403&amp;AE1403&amp;AF1403&amp;AG1403</f>
        <v/>
      </c>
      <c r="N1403" s="10">
        <f>TEXT($B$6,"00")</f>
        <v/>
      </c>
      <c r="O1403" s="10">
        <f>REPT(" ",8)</f>
        <v/>
      </c>
      <c r="P1403" s="10">
        <f>RIGHT($B$4,2)</f>
        <v/>
      </c>
      <c r="Q1403" s="10">
        <f>RIGHT($B$5,3)</f>
        <v/>
      </c>
      <c r="R1403" s="10">
        <f>IF(A1403="D",LEFT(UPPER(B1403)&amp;REPT(" ",20),20),REPT(" ",20))</f>
        <v/>
      </c>
      <c r="S1403" s="10">
        <f>IF(A1403="D",LEFT(UPPER(C1403)&amp;REPT(" ",10),10)," ")</f>
        <v/>
      </c>
      <c r="T1403" s="10">
        <f>IF(A1403="D",LEFT(UPPER(D1403)&amp;REPT(" ",2),2)," ")</f>
        <v/>
      </c>
      <c r="U1403" s="10">
        <f>IF(A1403="D",LEFT(UPPER(E1403)&amp;REPT(" ",15),15)," ")</f>
        <v/>
      </c>
      <c r="V1403" s="10">
        <f>REPT(" ",24)</f>
        <v/>
      </c>
      <c r="W1403" s="10">
        <f>IF(A1403="c",LEFT(UPPER(B1403)&amp;REPT(" ",20),20),REPT(" ",20))</f>
        <v/>
      </c>
      <c r="X1403" s="10">
        <f>IF(A1403="C",LEFT(UPPER(C1403)&amp;REPT(" ",10),10)," ")</f>
        <v/>
      </c>
      <c r="Y1403" s="10">
        <f>IF(A1403="C",LEFT(UPPER(D1403)&amp;REPT(" ",2),2)," ")</f>
        <v/>
      </c>
      <c r="Z1403" s="10">
        <f>IF(A1403="C",LEFT(UPPER(E1403)&amp;REPT(" ",15),15)," ")</f>
        <v/>
      </c>
      <c r="AA1403" s="10">
        <f>REPT(" ",8)</f>
        <v/>
      </c>
      <c r="AB1403" s="10">
        <f>REPT(" ",4)</f>
        <v/>
      </c>
      <c r="AC1403" s="10">
        <f>LEFT(UPPER(H1403)&amp;REPT(" ",250),250)</f>
        <v/>
      </c>
      <c r="AD1403" s="10">
        <f>TEXT($G$2,"dd/mm/aaaa")</f>
        <v/>
      </c>
      <c r="AE1403" s="10">
        <f>REPT(" ",10)</f>
        <v/>
      </c>
      <c r="AF1403" s="10">
        <f>REPT(" ",20)</f>
        <v/>
      </c>
      <c r="AG1403" s="54">
        <f>REPT(" ",18-LEN(FIXED(F1403,2,TRUE)))&amp;FIXED(F1403,2,TRUE)</f>
        <v/>
      </c>
      <c r="AH1403" s="10">
        <f>LEN(AC1403)+LEN(AG1403)</f>
        <v/>
      </c>
      <c r="AI1403" s="10">
        <f>LEN(L1403)</f>
        <v/>
      </c>
    </row>
    <row r="1404">
      <c r="J1404" s="12">
        <f>IF(F1404&lt;&gt;0,"LANÇAR","")</f>
        <v/>
      </c>
      <c r="L1404" s="13">
        <f>N1404&amp;O1404&amp;P1404&amp;Q1404&amp;R1404&amp;S1404&amp;T1404&amp;U1404&amp;V1404&amp;W1404&amp;X1404&amp;Y1404&amp;Z1404&amp;AA1404&amp;AB1404&amp;AC1404&amp;AD1404&amp;AE1404&amp;AF1404&amp;AG1404</f>
        <v/>
      </c>
      <c r="N1404" s="10">
        <f>TEXT($B$6,"00")</f>
        <v/>
      </c>
      <c r="O1404" s="10">
        <f>REPT(" ",8)</f>
        <v/>
      </c>
      <c r="P1404" s="10">
        <f>RIGHT($B$4,2)</f>
        <v/>
      </c>
      <c r="Q1404" s="10">
        <f>RIGHT($B$5,3)</f>
        <v/>
      </c>
      <c r="R1404" s="10">
        <f>IF(A1404="D",LEFT(UPPER(B1404)&amp;REPT(" ",20),20),REPT(" ",20))</f>
        <v/>
      </c>
      <c r="S1404" s="10">
        <f>IF(A1404="D",LEFT(UPPER(C1404)&amp;REPT(" ",10),10)," ")</f>
        <v/>
      </c>
      <c r="T1404" s="10">
        <f>IF(A1404="D",LEFT(UPPER(D1404)&amp;REPT(" ",2),2)," ")</f>
        <v/>
      </c>
      <c r="U1404" s="10">
        <f>IF(A1404="D",LEFT(UPPER(E1404)&amp;REPT(" ",15),15)," ")</f>
        <v/>
      </c>
      <c r="V1404" s="10">
        <f>REPT(" ",24)</f>
        <v/>
      </c>
      <c r="W1404" s="10">
        <f>IF(A1404="c",LEFT(UPPER(B1404)&amp;REPT(" ",20),20),REPT(" ",20))</f>
        <v/>
      </c>
      <c r="X1404" s="10">
        <f>IF(A1404="C",LEFT(UPPER(C1404)&amp;REPT(" ",10),10)," ")</f>
        <v/>
      </c>
      <c r="Y1404" s="10">
        <f>IF(A1404="C",LEFT(UPPER(D1404)&amp;REPT(" ",2),2)," ")</f>
        <v/>
      </c>
      <c r="Z1404" s="10">
        <f>IF(A1404="C",LEFT(UPPER(E1404)&amp;REPT(" ",15),15)," ")</f>
        <v/>
      </c>
      <c r="AA1404" s="10">
        <f>REPT(" ",8)</f>
        <v/>
      </c>
      <c r="AB1404" s="10">
        <f>REPT(" ",4)</f>
        <v/>
      </c>
      <c r="AC1404" s="10">
        <f>LEFT(UPPER(H1404)&amp;REPT(" ",250),250)</f>
        <v/>
      </c>
      <c r="AD1404" s="10">
        <f>TEXT($G$2,"dd/mm/aaaa")</f>
        <v/>
      </c>
      <c r="AE1404" s="10">
        <f>REPT(" ",10)</f>
        <v/>
      </c>
      <c r="AF1404" s="10">
        <f>REPT(" ",20)</f>
        <v/>
      </c>
      <c r="AG1404" s="54">
        <f>REPT(" ",18-LEN(FIXED(F1404,2,TRUE)))&amp;FIXED(F1404,2,TRUE)</f>
        <v/>
      </c>
      <c r="AH1404" s="10">
        <f>LEN(AC1404)+LEN(AG1404)</f>
        <v/>
      </c>
      <c r="AI1404" s="10">
        <f>LEN(L1404)</f>
        <v/>
      </c>
    </row>
    <row r="1405">
      <c r="J1405" s="12">
        <f>IF(F1405&lt;&gt;0,"LANÇAR","")</f>
        <v/>
      </c>
      <c r="L1405" s="13">
        <f>N1405&amp;O1405&amp;P1405&amp;Q1405&amp;R1405&amp;S1405&amp;T1405&amp;U1405&amp;V1405&amp;W1405&amp;X1405&amp;Y1405&amp;Z1405&amp;AA1405&amp;AB1405&amp;AC1405&amp;AD1405&amp;AE1405&amp;AF1405&amp;AG1405</f>
        <v/>
      </c>
      <c r="N1405" s="10">
        <f>TEXT($B$6,"00")</f>
        <v/>
      </c>
      <c r="O1405" s="10">
        <f>REPT(" ",8)</f>
        <v/>
      </c>
      <c r="P1405" s="10">
        <f>RIGHT($B$4,2)</f>
        <v/>
      </c>
      <c r="Q1405" s="10">
        <f>RIGHT($B$5,3)</f>
        <v/>
      </c>
      <c r="R1405" s="10">
        <f>IF(A1405="D",LEFT(UPPER(B1405)&amp;REPT(" ",20),20),REPT(" ",20))</f>
        <v/>
      </c>
      <c r="S1405" s="10">
        <f>IF(A1405="D",LEFT(UPPER(C1405)&amp;REPT(" ",10),10)," ")</f>
        <v/>
      </c>
      <c r="T1405" s="10">
        <f>IF(A1405="D",LEFT(UPPER(D1405)&amp;REPT(" ",2),2)," ")</f>
        <v/>
      </c>
      <c r="U1405" s="10">
        <f>IF(A1405="D",LEFT(UPPER(E1405)&amp;REPT(" ",15),15)," ")</f>
        <v/>
      </c>
      <c r="V1405" s="10">
        <f>REPT(" ",24)</f>
        <v/>
      </c>
      <c r="W1405" s="10">
        <f>IF(A1405="c",LEFT(UPPER(B1405)&amp;REPT(" ",20),20),REPT(" ",20))</f>
        <v/>
      </c>
      <c r="X1405" s="10">
        <f>IF(A1405="C",LEFT(UPPER(C1405)&amp;REPT(" ",10),10)," ")</f>
        <v/>
      </c>
      <c r="Y1405" s="10">
        <f>IF(A1405="C",LEFT(UPPER(D1405)&amp;REPT(" ",2),2)," ")</f>
        <v/>
      </c>
      <c r="Z1405" s="10">
        <f>IF(A1405="C",LEFT(UPPER(E1405)&amp;REPT(" ",15),15)," ")</f>
        <v/>
      </c>
      <c r="AA1405" s="10">
        <f>REPT(" ",8)</f>
        <v/>
      </c>
      <c r="AB1405" s="10">
        <f>REPT(" ",4)</f>
        <v/>
      </c>
      <c r="AC1405" s="10">
        <f>LEFT(UPPER(H1405)&amp;REPT(" ",250),250)</f>
        <v/>
      </c>
      <c r="AD1405" s="10">
        <f>TEXT($G$2,"dd/mm/aaaa")</f>
        <v/>
      </c>
      <c r="AE1405" s="10">
        <f>REPT(" ",10)</f>
        <v/>
      </c>
      <c r="AF1405" s="10">
        <f>REPT(" ",20)</f>
        <v/>
      </c>
      <c r="AG1405" s="54">
        <f>REPT(" ",18-LEN(FIXED(F1405,2,TRUE)))&amp;FIXED(F1405,2,TRUE)</f>
        <v/>
      </c>
      <c r="AH1405" s="10">
        <f>LEN(AC1405)+LEN(AG1405)</f>
        <v/>
      </c>
      <c r="AI1405" s="10">
        <f>LEN(L1405)</f>
        <v/>
      </c>
    </row>
    <row r="1406">
      <c r="J1406" s="12">
        <f>IF(F1406&lt;&gt;0,"LANÇAR","")</f>
        <v/>
      </c>
      <c r="L1406" s="13">
        <f>N1406&amp;O1406&amp;P1406&amp;Q1406&amp;R1406&amp;S1406&amp;T1406&amp;U1406&amp;V1406&amp;W1406&amp;X1406&amp;Y1406&amp;Z1406&amp;AA1406&amp;AB1406&amp;AC1406&amp;AD1406&amp;AE1406&amp;AF1406&amp;AG1406</f>
        <v/>
      </c>
      <c r="N1406" s="10">
        <f>TEXT($B$6,"00")</f>
        <v/>
      </c>
      <c r="O1406" s="10">
        <f>REPT(" ",8)</f>
        <v/>
      </c>
      <c r="P1406" s="10">
        <f>RIGHT($B$4,2)</f>
        <v/>
      </c>
      <c r="Q1406" s="10">
        <f>RIGHT($B$5,3)</f>
        <v/>
      </c>
      <c r="R1406" s="10">
        <f>IF(A1406="D",LEFT(UPPER(B1406)&amp;REPT(" ",20),20),REPT(" ",20))</f>
        <v/>
      </c>
      <c r="S1406" s="10">
        <f>IF(A1406="D",LEFT(UPPER(C1406)&amp;REPT(" ",10),10)," ")</f>
        <v/>
      </c>
      <c r="T1406" s="10">
        <f>IF(A1406="D",LEFT(UPPER(D1406)&amp;REPT(" ",2),2)," ")</f>
        <v/>
      </c>
      <c r="U1406" s="10">
        <f>IF(A1406="D",LEFT(UPPER(E1406)&amp;REPT(" ",15),15)," ")</f>
        <v/>
      </c>
      <c r="V1406" s="10">
        <f>REPT(" ",24)</f>
        <v/>
      </c>
      <c r="W1406" s="10">
        <f>IF(A1406="c",LEFT(UPPER(B1406)&amp;REPT(" ",20),20),REPT(" ",20))</f>
        <v/>
      </c>
      <c r="X1406" s="10">
        <f>IF(A1406="C",LEFT(UPPER(C1406)&amp;REPT(" ",10),10)," ")</f>
        <v/>
      </c>
      <c r="Y1406" s="10">
        <f>IF(A1406="C",LEFT(UPPER(D1406)&amp;REPT(" ",2),2)," ")</f>
        <v/>
      </c>
      <c r="Z1406" s="10">
        <f>IF(A1406="C",LEFT(UPPER(E1406)&amp;REPT(" ",15),15)," ")</f>
        <v/>
      </c>
      <c r="AA1406" s="10">
        <f>REPT(" ",8)</f>
        <v/>
      </c>
      <c r="AB1406" s="10">
        <f>REPT(" ",4)</f>
        <v/>
      </c>
      <c r="AC1406" s="10">
        <f>LEFT(UPPER(H1406)&amp;REPT(" ",250),250)</f>
        <v/>
      </c>
      <c r="AD1406" s="10">
        <f>TEXT($G$2,"dd/mm/aaaa")</f>
        <v/>
      </c>
      <c r="AE1406" s="10">
        <f>REPT(" ",10)</f>
        <v/>
      </c>
      <c r="AF1406" s="10">
        <f>REPT(" ",20)</f>
        <v/>
      </c>
      <c r="AG1406" s="54">
        <f>REPT(" ",18-LEN(FIXED(F1406,2,TRUE)))&amp;FIXED(F1406,2,TRUE)</f>
        <v/>
      </c>
      <c r="AH1406" s="10">
        <f>LEN(AC1406)+LEN(AG1406)</f>
        <v/>
      </c>
      <c r="AI1406" s="10">
        <f>LEN(L1406)</f>
        <v/>
      </c>
    </row>
    <row r="1407">
      <c r="J1407" s="12">
        <f>IF(F1407&lt;&gt;0,"LANÇAR","")</f>
        <v/>
      </c>
      <c r="L1407" s="13">
        <f>N1407&amp;O1407&amp;P1407&amp;Q1407&amp;R1407&amp;S1407&amp;T1407&amp;U1407&amp;V1407&amp;W1407&amp;X1407&amp;Y1407&amp;Z1407&amp;AA1407&amp;AB1407&amp;AC1407&amp;AD1407&amp;AE1407&amp;AF1407&amp;AG1407</f>
        <v/>
      </c>
      <c r="N1407" s="10">
        <f>TEXT($B$6,"00")</f>
        <v/>
      </c>
      <c r="O1407" s="10">
        <f>REPT(" ",8)</f>
        <v/>
      </c>
      <c r="P1407" s="10">
        <f>RIGHT($B$4,2)</f>
        <v/>
      </c>
      <c r="Q1407" s="10">
        <f>RIGHT($B$5,3)</f>
        <v/>
      </c>
      <c r="R1407" s="10">
        <f>IF(A1407="D",LEFT(UPPER(B1407)&amp;REPT(" ",20),20),REPT(" ",20))</f>
        <v/>
      </c>
      <c r="S1407" s="10">
        <f>IF(A1407="D",LEFT(UPPER(C1407)&amp;REPT(" ",10),10)," ")</f>
        <v/>
      </c>
      <c r="T1407" s="10">
        <f>IF(A1407="D",LEFT(UPPER(D1407)&amp;REPT(" ",2),2)," ")</f>
        <v/>
      </c>
      <c r="U1407" s="10">
        <f>IF(A1407="D",LEFT(UPPER(E1407)&amp;REPT(" ",15),15)," ")</f>
        <v/>
      </c>
      <c r="V1407" s="10">
        <f>REPT(" ",24)</f>
        <v/>
      </c>
      <c r="W1407" s="10">
        <f>IF(A1407="c",LEFT(UPPER(B1407)&amp;REPT(" ",20),20),REPT(" ",20))</f>
        <v/>
      </c>
      <c r="X1407" s="10">
        <f>IF(A1407="C",LEFT(UPPER(C1407)&amp;REPT(" ",10),10)," ")</f>
        <v/>
      </c>
      <c r="Y1407" s="10">
        <f>IF(A1407="C",LEFT(UPPER(D1407)&amp;REPT(" ",2),2)," ")</f>
        <v/>
      </c>
      <c r="Z1407" s="10">
        <f>IF(A1407="C",LEFT(UPPER(E1407)&amp;REPT(" ",15),15)," ")</f>
        <v/>
      </c>
      <c r="AA1407" s="10">
        <f>REPT(" ",8)</f>
        <v/>
      </c>
      <c r="AB1407" s="10">
        <f>REPT(" ",4)</f>
        <v/>
      </c>
      <c r="AC1407" s="10">
        <f>LEFT(UPPER(H1407)&amp;REPT(" ",250),250)</f>
        <v/>
      </c>
      <c r="AD1407" s="10">
        <f>TEXT($G$2,"dd/mm/aaaa")</f>
        <v/>
      </c>
      <c r="AE1407" s="10">
        <f>REPT(" ",10)</f>
        <v/>
      </c>
      <c r="AF1407" s="10">
        <f>REPT(" ",20)</f>
        <v/>
      </c>
      <c r="AG1407" s="54">
        <f>REPT(" ",18-LEN(FIXED(F1407,2,TRUE)))&amp;FIXED(F1407,2,TRUE)</f>
        <v/>
      </c>
      <c r="AH1407" s="10">
        <f>LEN(AC1407)+LEN(AG1407)</f>
        <v/>
      </c>
      <c r="AI1407" s="10">
        <f>LEN(L1407)</f>
        <v/>
      </c>
    </row>
    <row r="1408">
      <c r="J1408" s="12">
        <f>IF(F1408&lt;&gt;0,"LANÇAR","")</f>
        <v/>
      </c>
      <c r="L1408" s="13">
        <f>N1408&amp;O1408&amp;P1408&amp;Q1408&amp;R1408&amp;S1408&amp;T1408&amp;U1408&amp;V1408&amp;W1408&amp;X1408&amp;Y1408&amp;Z1408&amp;AA1408&amp;AB1408&amp;AC1408&amp;AD1408&amp;AE1408&amp;AF1408&amp;AG1408</f>
        <v/>
      </c>
      <c r="N1408" s="10">
        <f>TEXT($B$6,"00")</f>
        <v/>
      </c>
      <c r="O1408" s="10">
        <f>REPT(" ",8)</f>
        <v/>
      </c>
      <c r="P1408" s="10">
        <f>RIGHT($B$4,2)</f>
        <v/>
      </c>
      <c r="Q1408" s="10">
        <f>RIGHT($B$5,3)</f>
        <v/>
      </c>
      <c r="R1408" s="10">
        <f>IF(A1408="D",LEFT(UPPER(B1408)&amp;REPT(" ",20),20),REPT(" ",20))</f>
        <v/>
      </c>
      <c r="S1408" s="10">
        <f>IF(A1408="D",LEFT(UPPER(C1408)&amp;REPT(" ",10),10)," ")</f>
        <v/>
      </c>
      <c r="T1408" s="10">
        <f>IF(A1408="D",LEFT(UPPER(D1408)&amp;REPT(" ",2),2)," ")</f>
        <v/>
      </c>
      <c r="U1408" s="10">
        <f>IF(A1408="D",LEFT(UPPER(E1408)&amp;REPT(" ",15),15)," ")</f>
        <v/>
      </c>
      <c r="V1408" s="10">
        <f>REPT(" ",24)</f>
        <v/>
      </c>
      <c r="W1408" s="10">
        <f>IF(A1408="c",LEFT(UPPER(B1408)&amp;REPT(" ",20),20),REPT(" ",20))</f>
        <v/>
      </c>
      <c r="X1408" s="10">
        <f>IF(A1408="C",LEFT(UPPER(C1408)&amp;REPT(" ",10),10)," ")</f>
        <v/>
      </c>
      <c r="Y1408" s="10">
        <f>IF(A1408="C",LEFT(UPPER(D1408)&amp;REPT(" ",2),2)," ")</f>
        <v/>
      </c>
      <c r="Z1408" s="10">
        <f>IF(A1408="C",LEFT(UPPER(E1408)&amp;REPT(" ",15),15)," ")</f>
        <v/>
      </c>
      <c r="AA1408" s="10">
        <f>REPT(" ",8)</f>
        <v/>
      </c>
      <c r="AB1408" s="10">
        <f>REPT(" ",4)</f>
        <v/>
      </c>
      <c r="AC1408" s="10">
        <f>LEFT(UPPER(H1408)&amp;REPT(" ",250),250)</f>
        <v/>
      </c>
      <c r="AD1408" s="10">
        <f>TEXT($G$2,"dd/mm/aaaa")</f>
        <v/>
      </c>
      <c r="AE1408" s="10">
        <f>REPT(" ",10)</f>
        <v/>
      </c>
      <c r="AF1408" s="10">
        <f>REPT(" ",20)</f>
        <v/>
      </c>
      <c r="AG1408" s="54">
        <f>REPT(" ",18-LEN(FIXED(F1408,2,TRUE)))&amp;FIXED(F1408,2,TRUE)</f>
        <v/>
      </c>
      <c r="AH1408" s="10">
        <f>LEN(AC1408)+LEN(AG1408)</f>
        <v/>
      </c>
      <c r="AI1408" s="10">
        <f>LEN(L1408)</f>
        <v/>
      </c>
    </row>
    <row r="1409">
      <c r="J1409" s="12">
        <f>IF(F1409&lt;&gt;0,"LANÇAR","")</f>
        <v/>
      </c>
      <c r="L1409" s="13">
        <f>N1409&amp;O1409&amp;P1409&amp;Q1409&amp;R1409&amp;S1409&amp;T1409&amp;U1409&amp;V1409&amp;W1409&amp;X1409&amp;Y1409&amp;Z1409&amp;AA1409&amp;AB1409&amp;AC1409&amp;AD1409&amp;AE1409&amp;AF1409&amp;AG1409</f>
        <v/>
      </c>
      <c r="N1409" s="10">
        <f>TEXT($B$6,"00")</f>
        <v/>
      </c>
      <c r="O1409" s="10">
        <f>REPT(" ",8)</f>
        <v/>
      </c>
      <c r="P1409" s="10">
        <f>RIGHT($B$4,2)</f>
        <v/>
      </c>
      <c r="Q1409" s="10">
        <f>RIGHT($B$5,3)</f>
        <v/>
      </c>
      <c r="R1409" s="10">
        <f>IF(A1409="D",LEFT(UPPER(B1409)&amp;REPT(" ",20),20),REPT(" ",20))</f>
        <v/>
      </c>
      <c r="S1409" s="10">
        <f>IF(A1409="D",LEFT(UPPER(C1409)&amp;REPT(" ",10),10)," ")</f>
        <v/>
      </c>
      <c r="T1409" s="10">
        <f>IF(A1409="D",LEFT(UPPER(D1409)&amp;REPT(" ",2),2)," ")</f>
        <v/>
      </c>
      <c r="U1409" s="10">
        <f>IF(A1409="D",LEFT(UPPER(E1409)&amp;REPT(" ",15),15)," ")</f>
        <v/>
      </c>
      <c r="V1409" s="10">
        <f>REPT(" ",24)</f>
        <v/>
      </c>
      <c r="W1409" s="10">
        <f>IF(A1409="c",LEFT(UPPER(B1409)&amp;REPT(" ",20),20),REPT(" ",20))</f>
        <v/>
      </c>
      <c r="X1409" s="10">
        <f>IF(A1409="C",LEFT(UPPER(C1409)&amp;REPT(" ",10),10)," ")</f>
        <v/>
      </c>
      <c r="Y1409" s="10">
        <f>IF(A1409="C",LEFT(UPPER(D1409)&amp;REPT(" ",2),2)," ")</f>
        <v/>
      </c>
      <c r="Z1409" s="10">
        <f>IF(A1409="C",LEFT(UPPER(E1409)&amp;REPT(" ",15),15)," ")</f>
        <v/>
      </c>
      <c r="AA1409" s="10">
        <f>REPT(" ",8)</f>
        <v/>
      </c>
      <c r="AB1409" s="10">
        <f>REPT(" ",4)</f>
        <v/>
      </c>
      <c r="AC1409" s="10">
        <f>LEFT(UPPER(H1409)&amp;REPT(" ",250),250)</f>
        <v/>
      </c>
      <c r="AD1409" s="10">
        <f>TEXT($G$2,"dd/mm/aaaa")</f>
        <v/>
      </c>
      <c r="AE1409" s="10">
        <f>REPT(" ",10)</f>
        <v/>
      </c>
      <c r="AF1409" s="10">
        <f>REPT(" ",20)</f>
        <v/>
      </c>
      <c r="AG1409" s="54">
        <f>REPT(" ",18-LEN(FIXED(F1409,2,TRUE)))&amp;FIXED(F1409,2,TRUE)</f>
        <v/>
      </c>
      <c r="AH1409" s="10">
        <f>LEN(AC1409)+LEN(AG1409)</f>
        <v/>
      </c>
      <c r="AI1409" s="10">
        <f>LEN(L1409)</f>
        <v/>
      </c>
    </row>
    <row r="1410">
      <c r="J1410" s="12">
        <f>IF(F1410&lt;&gt;0,"LANÇAR","")</f>
        <v/>
      </c>
      <c r="L1410" s="13">
        <f>N1410&amp;O1410&amp;P1410&amp;Q1410&amp;R1410&amp;S1410&amp;T1410&amp;U1410&amp;V1410&amp;W1410&amp;X1410&amp;Y1410&amp;Z1410&amp;AA1410&amp;AB1410&amp;AC1410&amp;AD1410&amp;AE1410&amp;AF1410&amp;AG1410</f>
        <v/>
      </c>
      <c r="N1410" s="10">
        <f>TEXT($B$6,"00")</f>
        <v/>
      </c>
      <c r="O1410" s="10">
        <f>REPT(" ",8)</f>
        <v/>
      </c>
      <c r="P1410" s="10">
        <f>RIGHT($B$4,2)</f>
        <v/>
      </c>
      <c r="Q1410" s="10">
        <f>RIGHT($B$5,3)</f>
        <v/>
      </c>
      <c r="R1410" s="10">
        <f>IF(A1410="D",LEFT(UPPER(B1410)&amp;REPT(" ",20),20),REPT(" ",20))</f>
        <v/>
      </c>
      <c r="S1410" s="10">
        <f>IF(A1410="D",LEFT(UPPER(C1410)&amp;REPT(" ",10),10)," ")</f>
        <v/>
      </c>
      <c r="T1410" s="10">
        <f>IF(A1410="D",LEFT(UPPER(D1410)&amp;REPT(" ",2),2)," ")</f>
        <v/>
      </c>
      <c r="U1410" s="10">
        <f>IF(A1410="D",LEFT(UPPER(E1410)&amp;REPT(" ",15),15)," ")</f>
        <v/>
      </c>
      <c r="V1410" s="10">
        <f>REPT(" ",24)</f>
        <v/>
      </c>
      <c r="W1410" s="10">
        <f>IF(A1410="c",LEFT(UPPER(B1410)&amp;REPT(" ",20),20),REPT(" ",20))</f>
        <v/>
      </c>
      <c r="X1410" s="10">
        <f>IF(A1410="C",LEFT(UPPER(C1410)&amp;REPT(" ",10),10)," ")</f>
        <v/>
      </c>
      <c r="Y1410" s="10">
        <f>IF(A1410="C",LEFT(UPPER(D1410)&amp;REPT(" ",2),2)," ")</f>
        <v/>
      </c>
      <c r="Z1410" s="10">
        <f>IF(A1410="C",LEFT(UPPER(E1410)&amp;REPT(" ",15),15)," ")</f>
        <v/>
      </c>
      <c r="AA1410" s="10">
        <f>REPT(" ",8)</f>
        <v/>
      </c>
      <c r="AB1410" s="10">
        <f>REPT(" ",4)</f>
        <v/>
      </c>
      <c r="AC1410" s="10">
        <f>LEFT(UPPER(H1410)&amp;REPT(" ",250),250)</f>
        <v/>
      </c>
      <c r="AD1410" s="10">
        <f>TEXT($G$2,"dd/mm/aaaa")</f>
        <v/>
      </c>
      <c r="AE1410" s="10">
        <f>REPT(" ",10)</f>
        <v/>
      </c>
      <c r="AF1410" s="10">
        <f>REPT(" ",20)</f>
        <v/>
      </c>
      <c r="AG1410" s="54">
        <f>REPT(" ",18-LEN(FIXED(F1410,2,TRUE)))&amp;FIXED(F1410,2,TRUE)</f>
        <v/>
      </c>
      <c r="AH1410" s="10">
        <f>LEN(AC1410)+LEN(AG1410)</f>
        <v/>
      </c>
      <c r="AI1410" s="10">
        <f>LEN(L1410)</f>
        <v/>
      </c>
    </row>
    <row r="1411">
      <c r="J1411" s="12">
        <f>IF(F1411&lt;&gt;0,"LANÇAR","")</f>
        <v/>
      </c>
      <c r="L1411" s="13">
        <f>N1411&amp;O1411&amp;P1411&amp;Q1411&amp;R1411&amp;S1411&amp;T1411&amp;U1411&amp;V1411&amp;W1411&amp;X1411&amp;Y1411&amp;Z1411&amp;AA1411&amp;AB1411&amp;AC1411&amp;AD1411&amp;AE1411&amp;AF1411&amp;AG1411</f>
        <v/>
      </c>
      <c r="N1411" s="10">
        <f>TEXT($B$6,"00")</f>
        <v/>
      </c>
      <c r="O1411" s="10">
        <f>REPT(" ",8)</f>
        <v/>
      </c>
      <c r="P1411" s="10">
        <f>RIGHT($B$4,2)</f>
        <v/>
      </c>
      <c r="Q1411" s="10">
        <f>RIGHT($B$5,3)</f>
        <v/>
      </c>
      <c r="R1411" s="10">
        <f>IF(A1411="D",LEFT(UPPER(B1411)&amp;REPT(" ",20),20),REPT(" ",20))</f>
        <v/>
      </c>
      <c r="S1411" s="10">
        <f>IF(A1411="D",LEFT(UPPER(C1411)&amp;REPT(" ",10),10)," ")</f>
        <v/>
      </c>
      <c r="T1411" s="10">
        <f>IF(A1411="D",LEFT(UPPER(D1411)&amp;REPT(" ",2),2)," ")</f>
        <v/>
      </c>
      <c r="U1411" s="10">
        <f>IF(A1411="D",LEFT(UPPER(E1411)&amp;REPT(" ",15),15)," ")</f>
        <v/>
      </c>
      <c r="V1411" s="10">
        <f>REPT(" ",24)</f>
        <v/>
      </c>
      <c r="W1411" s="10">
        <f>IF(A1411="c",LEFT(UPPER(B1411)&amp;REPT(" ",20),20),REPT(" ",20))</f>
        <v/>
      </c>
      <c r="X1411" s="10">
        <f>IF(A1411="C",LEFT(UPPER(C1411)&amp;REPT(" ",10),10)," ")</f>
        <v/>
      </c>
      <c r="Y1411" s="10">
        <f>IF(A1411="C",LEFT(UPPER(D1411)&amp;REPT(" ",2),2)," ")</f>
        <v/>
      </c>
      <c r="Z1411" s="10">
        <f>IF(A1411="C",LEFT(UPPER(E1411)&amp;REPT(" ",15),15)," ")</f>
        <v/>
      </c>
      <c r="AA1411" s="10">
        <f>REPT(" ",8)</f>
        <v/>
      </c>
      <c r="AB1411" s="10">
        <f>REPT(" ",4)</f>
        <v/>
      </c>
      <c r="AC1411" s="10">
        <f>LEFT(UPPER(H1411)&amp;REPT(" ",250),250)</f>
        <v/>
      </c>
      <c r="AD1411" s="10">
        <f>TEXT($G$2,"dd/mm/aaaa")</f>
        <v/>
      </c>
      <c r="AE1411" s="10">
        <f>REPT(" ",10)</f>
        <v/>
      </c>
      <c r="AF1411" s="10">
        <f>REPT(" ",20)</f>
        <v/>
      </c>
      <c r="AG1411" s="54">
        <f>REPT(" ",18-LEN(FIXED(F1411,2,TRUE)))&amp;FIXED(F1411,2,TRUE)</f>
        <v/>
      </c>
      <c r="AH1411" s="10">
        <f>LEN(AC1411)+LEN(AG1411)</f>
        <v/>
      </c>
      <c r="AI1411" s="10">
        <f>LEN(L1411)</f>
        <v/>
      </c>
    </row>
    <row r="1412">
      <c r="J1412" s="12">
        <f>IF(F1412&lt;&gt;0,"LANÇAR","")</f>
        <v/>
      </c>
      <c r="L1412" s="13">
        <f>N1412&amp;O1412&amp;P1412&amp;Q1412&amp;R1412&amp;S1412&amp;T1412&amp;U1412&amp;V1412&amp;W1412&amp;X1412&amp;Y1412&amp;Z1412&amp;AA1412&amp;AB1412&amp;AC1412&amp;AD1412&amp;AE1412&amp;AF1412&amp;AG1412</f>
        <v/>
      </c>
      <c r="N1412" s="10">
        <f>TEXT($B$6,"00")</f>
        <v/>
      </c>
      <c r="O1412" s="10">
        <f>REPT(" ",8)</f>
        <v/>
      </c>
      <c r="P1412" s="10">
        <f>RIGHT($B$4,2)</f>
        <v/>
      </c>
      <c r="Q1412" s="10">
        <f>RIGHT($B$5,3)</f>
        <v/>
      </c>
      <c r="R1412" s="10">
        <f>IF(A1412="D",LEFT(UPPER(B1412)&amp;REPT(" ",20),20),REPT(" ",20))</f>
        <v/>
      </c>
      <c r="S1412" s="10">
        <f>IF(A1412="D",LEFT(UPPER(C1412)&amp;REPT(" ",10),10)," ")</f>
        <v/>
      </c>
      <c r="T1412" s="10">
        <f>IF(A1412="D",LEFT(UPPER(D1412)&amp;REPT(" ",2),2)," ")</f>
        <v/>
      </c>
      <c r="U1412" s="10">
        <f>IF(A1412="D",LEFT(UPPER(E1412)&amp;REPT(" ",15),15)," ")</f>
        <v/>
      </c>
      <c r="V1412" s="10">
        <f>REPT(" ",24)</f>
        <v/>
      </c>
      <c r="W1412" s="10">
        <f>IF(A1412="c",LEFT(UPPER(B1412)&amp;REPT(" ",20),20),REPT(" ",20))</f>
        <v/>
      </c>
      <c r="X1412" s="10">
        <f>IF(A1412="C",LEFT(UPPER(C1412)&amp;REPT(" ",10),10)," ")</f>
        <v/>
      </c>
      <c r="Y1412" s="10">
        <f>IF(A1412="C",LEFT(UPPER(D1412)&amp;REPT(" ",2),2)," ")</f>
        <v/>
      </c>
      <c r="Z1412" s="10">
        <f>IF(A1412="C",LEFT(UPPER(E1412)&amp;REPT(" ",15),15)," ")</f>
        <v/>
      </c>
      <c r="AA1412" s="10">
        <f>REPT(" ",8)</f>
        <v/>
      </c>
      <c r="AB1412" s="10">
        <f>REPT(" ",4)</f>
        <v/>
      </c>
      <c r="AC1412" s="10">
        <f>LEFT(UPPER(H1412)&amp;REPT(" ",250),250)</f>
        <v/>
      </c>
      <c r="AD1412" s="10">
        <f>TEXT($G$2,"dd/mm/aaaa")</f>
        <v/>
      </c>
      <c r="AE1412" s="10">
        <f>REPT(" ",10)</f>
        <v/>
      </c>
      <c r="AF1412" s="10">
        <f>REPT(" ",20)</f>
        <v/>
      </c>
      <c r="AG1412" s="54">
        <f>REPT(" ",18-LEN(FIXED(F1412,2,TRUE)))&amp;FIXED(F1412,2,TRUE)</f>
        <v/>
      </c>
      <c r="AH1412" s="10">
        <f>LEN(AC1412)+LEN(AG1412)</f>
        <v/>
      </c>
      <c r="AI1412" s="10">
        <f>LEN(L1412)</f>
        <v/>
      </c>
    </row>
    <row r="1413">
      <c r="J1413" s="12">
        <f>IF(F1413&lt;&gt;0,"LANÇAR","")</f>
        <v/>
      </c>
      <c r="L1413" s="13">
        <f>N1413&amp;O1413&amp;P1413&amp;Q1413&amp;R1413&amp;S1413&amp;T1413&amp;U1413&amp;V1413&amp;W1413&amp;X1413&amp;Y1413&amp;Z1413&amp;AA1413&amp;AB1413&amp;AC1413&amp;AD1413&amp;AE1413&amp;AF1413&amp;AG1413</f>
        <v/>
      </c>
      <c r="N1413" s="10">
        <f>TEXT($B$6,"00")</f>
        <v/>
      </c>
      <c r="O1413" s="10">
        <f>REPT(" ",8)</f>
        <v/>
      </c>
      <c r="P1413" s="10">
        <f>RIGHT($B$4,2)</f>
        <v/>
      </c>
      <c r="Q1413" s="10">
        <f>RIGHT($B$5,3)</f>
        <v/>
      </c>
      <c r="R1413" s="10">
        <f>IF(A1413="D",LEFT(UPPER(B1413)&amp;REPT(" ",20),20),REPT(" ",20))</f>
        <v/>
      </c>
      <c r="S1413" s="10">
        <f>IF(A1413="D",LEFT(UPPER(C1413)&amp;REPT(" ",10),10)," ")</f>
        <v/>
      </c>
      <c r="T1413" s="10">
        <f>IF(A1413="D",LEFT(UPPER(D1413)&amp;REPT(" ",2),2)," ")</f>
        <v/>
      </c>
      <c r="U1413" s="10">
        <f>IF(A1413="D",LEFT(UPPER(E1413)&amp;REPT(" ",15),15)," ")</f>
        <v/>
      </c>
      <c r="V1413" s="10">
        <f>REPT(" ",24)</f>
        <v/>
      </c>
      <c r="W1413" s="10">
        <f>IF(A1413="c",LEFT(UPPER(B1413)&amp;REPT(" ",20),20),REPT(" ",20))</f>
        <v/>
      </c>
      <c r="X1413" s="10">
        <f>IF(A1413="C",LEFT(UPPER(C1413)&amp;REPT(" ",10),10)," ")</f>
        <v/>
      </c>
      <c r="Y1413" s="10">
        <f>IF(A1413="C",LEFT(UPPER(D1413)&amp;REPT(" ",2),2)," ")</f>
        <v/>
      </c>
      <c r="Z1413" s="10">
        <f>IF(A1413="C",LEFT(UPPER(E1413)&amp;REPT(" ",15),15)," ")</f>
        <v/>
      </c>
      <c r="AA1413" s="10">
        <f>REPT(" ",8)</f>
        <v/>
      </c>
      <c r="AB1413" s="10">
        <f>REPT(" ",4)</f>
        <v/>
      </c>
      <c r="AC1413" s="10">
        <f>LEFT(UPPER(H1413)&amp;REPT(" ",250),250)</f>
        <v/>
      </c>
      <c r="AD1413" s="10">
        <f>TEXT($G$2,"dd/mm/aaaa")</f>
        <v/>
      </c>
      <c r="AE1413" s="10">
        <f>REPT(" ",10)</f>
        <v/>
      </c>
      <c r="AF1413" s="10">
        <f>REPT(" ",20)</f>
        <v/>
      </c>
      <c r="AG1413" s="54">
        <f>REPT(" ",18-LEN(FIXED(F1413,2,TRUE)))&amp;FIXED(F1413,2,TRUE)</f>
        <v/>
      </c>
      <c r="AH1413" s="10">
        <f>LEN(AC1413)+LEN(AG1413)</f>
        <v/>
      </c>
      <c r="AI1413" s="10">
        <f>LEN(L1413)</f>
        <v/>
      </c>
    </row>
    <row r="1414">
      <c r="J1414" s="12">
        <f>IF(F1414&lt;&gt;0,"LANÇAR","")</f>
        <v/>
      </c>
      <c r="L1414" s="13">
        <f>N1414&amp;O1414&amp;P1414&amp;Q1414&amp;R1414&amp;S1414&amp;T1414&amp;U1414&amp;V1414&amp;W1414&amp;X1414&amp;Y1414&amp;Z1414&amp;AA1414&amp;AB1414&amp;AC1414&amp;AD1414&amp;AE1414&amp;AF1414&amp;AG1414</f>
        <v/>
      </c>
      <c r="N1414" s="10">
        <f>TEXT($B$6,"00")</f>
        <v/>
      </c>
      <c r="O1414" s="10">
        <f>REPT(" ",8)</f>
        <v/>
      </c>
      <c r="P1414" s="10">
        <f>RIGHT($B$4,2)</f>
        <v/>
      </c>
      <c r="Q1414" s="10">
        <f>RIGHT($B$5,3)</f>
        <v/>
      </c>
      <c r="R1414" s="10">
        <f>IF(A1414="D",LEFT(UPPER(B1414)&amp;REPT(" ",20),20),REPT(" ",20))</f>
        <v/>
      </c>
      <c r="S1414" s="10">
        <f>IF(A1414="D",LEFT(UPPER(C1414)&amp;REPT(" ",10),10)," ")</f>
        <v/>
      </c>
      <c r="T1414" s="10">
        <f>IF(A1414="D",LEFT(UPPER(D1414)&amp;REPT(" ",2),2)," ")</f>
        <v/>
      </c>
      <c r="U1414" s="10">
        <f>IF(A1414="D",LEFT(UPPER(E1414)&amp;REPT(" ",15),15)," ")</f>
        <v/>
      </c>
      <c r="V1414" s="10">
        <f>REPT(" ",24)</f>
        <v/>
      </c>
      <c r="W1414" s="10">
        <f>IF(A1414="c",LEFT(UPPER(B1414)&amp;REPT(" ",20),20),REPT(" ",20))</f>
        <v/>
      </c>
      <c r="X1414" s="10">
        <f>IF(A1414="C",LEFT(UPPER(C1414)&amp;REPT(" ",10),10)," ")</f>
        <v/>
      </c>
      <c r="Y1414" s="10">
        <f>IF(A1414="C",LEFT(UPPER(D1414)&amp;REPT(" ",2),2)," ")</f>
        <v/>
      </c>
      <c r="Z1414" s="10">
        <f>IF(A1414="C",LEFT(UPPER(E1414)&amp;REPT(" ",15),15)," ")</f>
        <v/>
      </c>
      <c r="AA1414" s="10">
        <f>REPT(" ",8)</f>
        <v/>
      </c>
      <c r="AB1414" s="10">
        <f>REPT(" ",4)</f>
        <v/>
      </c>
      <c r="AC1414" s="10">
        <f>LEFT(UPPER(H1414)&amp;REPT(" ",250),250)</f>
        <v/>
      </c>
      <c r="AD1414" s="10">
        <f>TEXT($G$2,"dd/mm/aaaa")</f>
        <v/>
      </c>
      <c r="AE1414" s="10">
        <f>REPT(" ",10)</f>
        <v/>
      </c>
      <c r="AF1414" s="10">
        <f>REPT(" ",20)</f>
        <v/>
      </c>
      <c r="AG1414" s="54">
        <f>REPT(" ",18-LEN(FIXED(F1414,2,TRUE)))&amp;FIXED(F1414,2,TRUE)</f>
        <v/>
      </c>
      <c r="AH1414" s="10">
        <f>LEN(AC1414)+LEN(AG1414)</f>
        <v/>
      </c>
      <c r="AI1414" s="10">
        <f>LEN(L1414)</f>
        <v/>
      </c>
    </row>
    <row r="1415">
      <c r="J1415" s="12">
        <f>IF(F1415&lt;&gt;0,"LANÇAR","")</f>
        <v/>
      </c>
      <c r="L1415" s="13">
        <f>N1415&amp;O1415&amp;P1415&amp;Q1415&amp;R1415&amp;S1415&amp;T1415&amp;U1415&amp;V1415&amp;W1415&amp;X1415&amp;Y1415&amp;Z1415&amp;AA1415&amp;AB1415&amp;AC1415&amp;AD1415&amp;AE1415&amp;AF1415&amp;AG1415</f>
        <v/>
      </c>
      <c r="N1415" s="10">
        <f>TEXT($B$6,"00")</f>
        <v/>
      </c>
      <c r="O1415" s="10">
        <f>REPT(" ",8)</f>
        <v/>
      </c>
      <c r="P1415" s="10">
        <f>RIGHT($B$4,2)</f>
        <v/>
      </c>
      <c r="Q1415" s="10">
        <f>RIGHT($B$5,3)</f>
        <v/>
      </c>
      <c r="R1415" s="10">
        <f>IF(A1415="D",LEFT(UPPER(B1415)&amp;REPT(" ",20),20),REPT(" ",20))</f>
        <v/>
      </c>
      <c r="S1415" s="10">
        <f>IF(A1415="D",LEFT(UPPER(C1415)&amp;REPT(" ",10),10)," ")</f>
        <v/>
      </c>
      <c r="T1415" s="10">
        <f>IF(A1415="D",LEFT(UPPER(D1415)&amp;REPT(" ",2),2)," ")</f>
        <v/>
      </c>
      <c r="U1415" s="10">
        <f>IF(A1415="D",LEFT(UPPER(E1415)&amp;REPT(" ",15),15)," ")</f>
        <v/>
      </c>
      <c r="V1415" s="10">
        <f>REPT(" ",24)</f>
        <v/>
      </c>
      <c r="W1415" s="10">
        <f>IF(A1415="c",LEFT(UPPER(B1415)&amp;REPT(" ",20),20),REPT(" ",20))</f>
        <v/>
      </c>
      <c r="X1415" s="10">
        <f>IF(A1415="C",LEFT(UPPER(C1415)&amp;REPT(" ",10),10)," ")</f>
        <v/>
      </c>
      <c r="Y1415" s="10">
        <f>IF(A1415="C",LEFT(UPPER(D1415)&amp;REPT(" ",2),2)," ")</f>
        <v/>
      </c>
      <c r="Z1415" s="10">
        <f>IF(A1415="C",LEFT(UPPER(E1415)&amp;REPT(" ",15),15)," ")</f>
        <v/>
      </c>
      <c r="AA1415" s="10">
        <f>REPT(" ",8)</f>
        <v/>
      </c>
      <c r="AB1415" s="10">
        <f>REPT(" ",4)</f>
        <v/>
      </c>
      <c r="AC1415" s="10">
        <f>LEFT(UPPER(H1415)&amp;REPT(" ",250),250)</f>
        <v/>
      </c>
      <c r="AD1415" s="10">
        <f>TEXT($G$2,"dd/mm/aaaa")</f>
        <v/>
      </c>
      <c r="AE1415" s="10">
        <f>REPT(" ",10)</f>
        <v/>
      </c>
      <c r="AF1415" s="10">
        <f>REPT(" ",20)</f>
        <v/>
      </c>
      <c r="AG1415" s="54">
        <f>REPT(" ",18-LEN(FIXED(F1415,2,TRUE)))&amp;FIXED(F1415,2,TRUE)</f>
        <v/>
      </c>
      <c r="AH1415" s="10">
        <f>LEN(AC1415)+LEN(AG1415)</f>
        <v/>
      </c>
      <c r="AI1415" s="10">
        <f>LEN(L1415)</f>
        <v/>
      </c>
    </row>
    <row r="1416">
      <c r="J1416" s="12">
        <f>IF(F1416&lt;&gt;0,"LANÇAR","")</f>
        <v/>
      </c>
      <c r="L1416" s="13">
        <f>N1416&amp;O1416&amp;P1416&amp;Q1416&amp;R1416&amp;S1416&amp;T1416&amp;U1416&amp;V1416&amp;W1416&amp;X1416&amp;Y1416&amp;Z1416&amp;AA1416&amp;AB1416&amp;AC1416&amp;AD1416&amp;AE1416&amp;AF1416&amp;AG1416</f>
        <v/>
      </c>
      <c r="N1416" s="10">
        <f>TEXT($B$6,"00")</f>
        <v/>
      </c>
      <c r="O1416" s="10">
        <f>REPT(" ",8)</f>
        <v/>
      </c>
      <c r="P1416" s="10">
        <f>RIGHT($B$4,2)</f>
        <v/>
      </c>
      <c r="Q1416" s="10">
        <f>RIGHT($B$5,3)</f>
        <v/>
      </c>
      <c r="R1416" s="10">
        <f>IF(A1416="D",LEFT(UPPER(B1416)&amp;REPT(" ",20),20),REPT(" ",20))</f>
        <v/>
      </c>
      <c r="S1416" s="10">
        <f>IF(A1416="D",LEFT(UPPER(C1416)&amp;REPT(" ",10),10)," ")</f>
        <v/>
      </c>
      <c r="T1416" s="10">
        <f>IF(A1416="D",LEFT(UPPER(D1416)&amp;REPT(" ",2),2)," ")</f>
        <v/>
      </c>
      <c r="U1416" s="10">
        <f>IF(A1416="D",LEFT(UPPER(E1416)&amp;REPT(" ",15),15)," ")</f>
        <v/>
      </c>
      <c r="V1416" s="10">
        <f>REPT(" ",24)</f>
        <v/>
      </c>
      <c r="W1416" s="10">
        <f>IF(A1416="c",LEFT(UPPER(B1416)&amp;REPT(" ",20),20),REPT(" ",20))</f>
        <v/>
      </c>
      <c r="X1416" s="10">
        <f>IF(A1416="C",LEFT(UPPER(C1416)&amp;REPT(" ",10),10)," ")</f>
        <v/>
      </c>
      <c r="Y1416" s="10">
        <f>IF(A1416="C",LEFT(UPPER(D1416)&amp;REPT(" ",2),2)," ")</f>
        <v/>
      </c>
      <c r="Z1416" s="10">
        <f>IF(A1416="C",LEFT(UPPER(E1416)&amp;REPT(" ",15),15)," ")</f>
        <v/>
      </c>
      <c r="AA1416" s="10">
        <f>REPT(" ",8)</f>
        <v/>
      </c>
      <c r="AB1416" s="10">
        <f>REPT(" ",4)</f>
        <v/>
      </c>
      <c r="AC1416" s="10">
        <f>LEFT(UPPER(H1416)&amp;REPT(" ",250),250)</f>
        <v/>
      </c>
      <c r="AD1416" s="10">
        <f>TEXT($G$2,"dd/mm/aaaa")</f>
        <v/>
      </c>
      <c r="AE1416" s="10">
        <f>REPT(" ",10)</f>
        <v/>
      </c>
      <c r="AF1416" s="10">
        <f>REPT(" ",20)</f>
        <v/>
      </c>
      <c r="AG1416" s="54">
        <f>REPT(" ",18-LEN(FIXED(F1416,2,TRUE)))&amp;FIXED(F1416,2,TRUE)</f>
        <v/>
      </c>
      <c r="AH1416" s="10">
        <f>LEN(AC1416)+LEN(AG1416)</f>
        <v/>
      </c>
      <c r="AI1416" s="10">
        <f>LEN(L1416)</f>
        <v/>
      </c>
    </row>
    <row r="1417">
      <c r="J1417" s="12">
        <f>IF(F1417&lt;&gt;0,"LANÇAR","")</f>
        <v/>
      </c>
      <c r="L1417" s="13">
        <f>N1417&amp;O1417&amp;P1417&amp;Q1417&amp;R1417&amp;S1417&amp;T1417&amp;U1417&amp;V1417&amp;W1417&amp;X1417&amp;Y1417&amp;Z1417&amp;AA1417&amp;AB1417&amp;AC1417&amp;AD1417&amp;AE1417&amp;AF1417&amp;AG1417</f>
        <v/>
      </c>
      <c r="N1417" s="10">
        <f>TEXT($B$6,"00")</f>
        <v/>
      </c>
      <c r="O1417" s="10">
        <f>REPT(" ",8)</f>
        <v/>
      </c>
      <c r="P1417" s="10">
        <f>RIGHT($B$4,2)</f>
        <v/>
      </c>
      <c r="Q1417" s="10">
        <f>RIGHT($B$5,3)</f>
        <v/>
      </c>
      <c r="R1417" s="10">
        <f>IF(A1417="D",LEFT(UPPER(B1417)&amp;REPT(" ",20),20),REPT(" ",20))</f>
        <v/>
      </c>
      <c r="S1417" s="10">
        <f>IF(A1417="D",LEFT(UPPER(C1417)&amp;REPT(" ",10),10)," ")</f>
        <v/>
      </c>
      <c r="T1417" s="10">
        <f>IF(A1417="D",LEFT(UPPER(D1417)&amp;REPT(" ",2),2)," ")</f>
        <v/>
      </c>
      <c r="U1417" s="10">
        <f>IF(A1417="D",LEFT(UPPER(E1417)&amp;REPT(" ",15),15)," ")</f>
        <v/>
      </c>
      <c r="V1417" s="10">
        <f>REPT(" ",24)</f>
        <v/>
      </c>
      <c r="W1417" s="10">
        <f>IF(A1417="c",LEFT(UPPER(B1417)&amp;REPT(" ",20),20),REPT(" ",20))</f>
        <v/>
      </c>
      <c r="X1417" s="10">
        <f>IF(A1417="C",LEFT(UPPER(C1417)&amp;REPT(" ",10),10)," ")</f>
        <v/>
      </c>
      <c r="Y1417" s="10">
        <f>IF(A1417="C",LEFT(UPPER(D1417)&amp;REPT(" ",2),2)," ")</f>
        <v/>
      </c>
      <c r="Z1417" s="10">
        <f>IF(A1417="C",LEFT(UPPER(E1417)&amp;REPT(" ",15),15)," ")</f>
        <v/>
      </c>
      <c r="AA1417" s="10">
        <f>REPT(" ",8)</f>
        <v/>
      </c>
      <c r="AB1417" s="10">
        <f>REPT(" ",4)</f>
        <v/>
      </c>
      <c r="AC1417" s="10">
        <f>LEFT(UPPER(H1417)&amp;REPT(" ",250),250)</f>
        <v/>
      </c>
      <c r="AD1417" s="10">
        <f>TEXT($G$2,"dd/mm/aaaa")</f>
        <v/>
      </c>
      <c r="AE1417" s="10">
        <f>REPT(" ",10)</f>
        <v/>
      </c>
      <c r="AF1417" s="10">
        <f>REPT(" ",20)</f>
        <v/>
      </c>
      <c r="AG1417" s="54">
        <f>REPT(" ",18-LEN(FIXED(F1417,2,TRUE)))&amp;FIXED(F1417,2,TRUE)</f>
        <v/>
      </c>
      <c r="AH1417" s="10">
        <f>LEN(AC1417)+LEN(AG1417)</f>
        <v/>
      </c>
      <c r="AI1417" s="10">
        <f>LEN(L1417)</f>
        <v/>
      </c>
    </row>
    <row r="1418">
      <c r="J1418" s="12">
        <f>IF(F1418&lt;&gt;0,"LANÇAR","")</f>
        <v/>
      </c>
      <c r="L1418" s="13">
        <f>N1418&amp;O1418&amp;P1418&amp;Q1418&amp;R1418&amp;S1418&amp;T1418&amp;U1418&amp;V1418&amp;W1418&amp;X1418&amp;Y1418&amp;Z1418&amp;AA1418&amp;AB1418&amp;AC1418&amp;AD1418&amp;AE1418&amp;AF1418&amp;AG1418</f>
        <v/>
      </c>
      <c r="N1418" s="10">
        <f>TEXT($B$6,"00")</f>
        <v/>
      </c>
      <c r="O1418" s="10">
        <f>REPT(" ",8)</f>
        <v/>
      </c>
      <c r="P1418" s="10">
        <f>RIGHT($B$4,2)</f>
        <v/>
      </c>
      <c r="Q1418" s="10">
        <f>RIGHT($B$5,3)</f>
        <v/>
      </c>
      <c r="R1418" s="10">
        <f>IF(A1418="D",LEFT(UPPER(B1418)&amp;REPT(" ",20),20),REPT(" ",20))</f>
        <v/>
      </c>
      <c r="S1418" s="10">
        <f>IF(A1418="D",LEFT(UPPER(C1418)&amp;REPT(" ",10),10)," ")</f>
        <v/>
      </c>
      <c r="T1418" s="10">
        <f>IF(A1418="D",LEFT(UPPER(D1418)&amp;REPT(" ",2),2)," ")</f>
        <v/>
      </c>
      <c r="U1418" s="10">
        <f>IF(A1418="D",LEFT(UPPER(E1418)&amp;REPT(" ",15),15)," ")</f>
        <v/>
      </c>
      <c r="V1418" s="10">
        <f>REPT(" ",24)</f>
        <v/>
      </c>
      <c r="W1418" s="10">
        <f>IF(A1418="c",LEFT(UPPER(B1418)&amp;REPT(" ",20),20),REPT(" ",20))</f>
        <v/>
      </c>
      <c r="X1418" s="10">
        <f>IF(A1418="C",LEFT(UPPER(C1418)&amp;REPT(" ",10),10)," ")</f>
        <v/>
      </c>
      <c r="Y1418" s="10">
        <f>IF(A1418="C",LEFT(UPPER(D1418)&amp;REPT(" ",2),2)," ")</f>
        <v/>
      </c>
      <c r="Z1418" s="10">
        <f>IF(A1418="C",LEFT(UPPER(E1418)&amp;REPT(" ",15),15)," ")</f>
        <v/>
      </c>
      <c r="AA1418" s="10">
        <f>REPT(" ",8)</f>
        <v/>
      </c>
      <c r="AB1418" s="10">
        <f>REPT(" ",4)</f>
        <v/>
      </c>
      <c r="AC1418" s="10">
        <f>LEFT(UPPER(H1418)&amp;REPT(" ",250),250)</f>
        <v/>
      </c>
      <c r="AD1418" s="10">
        <f>TEXT($G$2,"dd/mm/aaaa")</f>
        <v/>
      </c>
      <c r="AE1418" s="10">
        <f>REPT(" ",10)</f>
        <v/>
      </c>
      <c r="AF1418" s="10">
        <f>REPT(" ",20)</f>
        <v/>
      </c>
      <c r="AG1418" s="54">
        <f>REPT(" ",18-LEN(FIXED(F1418,2,TRUE)))&amp;FIXED(F1418,2,TRUE)</f>
        <v/>
      </c>
      <c r="AH1418" s="10">
        <f>LEN(AC1418)+LEN(AG1418)</f>
        <v/>
      </c>
      <c r="AI1418" s="10">
        <f>LEN(L1418)</f>
        <v/>
      </c>
    </row>
    <row r="1419">
      <c r="J1419" s="12">
        <f>IF(F1419&lt;&gt;0,"LANÇAR","")</f>
        <v/>
      </c>
      <c r="L1419" s="13">
        <f>N1419&amp;O1419&amp;P1419&amp;Q1419&amp;R1419&amp;S1419&amp;T1419&amp;U1419&amp;V1419&amp;W1419&amp;X1419&amp;Y1419&amp;Z1419&amp;AA1419&amp;AB1419&amp;AC1419&amp;AD1419&amp;AE1419&amp;AF1419&amp;AG1419</f>
        <v/>
      </c>
      <c r="N1419" s="10">
        <f>TEXT($B$6,"00")</f>
        <v/>
      </c>
      <c r="O1419" s="10">
        <f>REPT(" ",8)</f>
        <v/>
      </c>
      <c r="P1419" s="10">
        <f>RIGHT($B$4,2)</f>
        <v/>
      </c>
      <c r="Q1419" s="10">
        <f>RIGHT($B$5,3)</f>
        <v/>
      </c>
      <c r="R1419" s="10">
        <f>IF(A1419="D",LEFT(UPPER(B1419)&amp;REPT(" ",20),20),REPT(" ",20))</f>
        <v/>
      </c>
      <c r="S1419" s="10">
        <f>IF(A1419="D",LEFT(UPPER(C1419)&amp;REPT(" ",10),10)," ")</f>
        <v/>
      </c>
      <c r="T1419" s="10">
        <f>IF(A1419="D",LEFT(UPPER(D1419)&amp;REPT(" ",2),2)," ")</f>
        <v/>
      </c>
      <c r="U1419" s="10">
        <f>IF(A1419="D",LEFT(UPPER(E1419)&amp;REPT(" ",15),15)," ")</f>
        <v/>
      </c>
      <c r="V1419" s="10">
        <f>REPT(" ",24)</f>
        <v/>
      </c>
      <c r="W1419" s="10">
        <f>IF(A1419="c",LEFT(UPPER(B1419)&amp;REPT(" ",20),20),REPT(" ",20))</f>
        <v/>
      </c>
      <c r="X1419" s="10">
        <f>IF(A1419="C",LEFT(UPPER(C1419)&amp;REPT(" ",10),10)," ")</f>
        <v/>
      </c>
      <c r="Y1419" s="10">
        <f>IF(A1419="C",LEFT(UPPER(D1419)&amp;REPT(" ",2),2)," ")</f>
        <v/>
      </c>
      <c r="Z1419" s="10">
        <f>IF(A1419="C",LEFT(UPPER(E1419)&amp;REPT(" ",15),15)," ")</f>
        <v/>
      </c>
      <c r="AA1419" s="10">
        <f>REPT(" ",8)</f>
        <v/>
      </c>
      <c r="AB1419" s="10">
        <f>REPT(" ",4)</f>
        <v/>
      </c>
      <c r="AC1419" s="10">
        <f>LEFT(UPPER(H1419)&amp;REPT(" ",250),250)</f>
        <v/>
      </c>
      <c r="AD1419" s="10">
        <f>TEXT($G$2,"dd/mm/aaaa")</f>
        <v/>
      </c>
      <c r="AE1419" s="10">
        <f>REPT(" ",10)</f>
        <v/>
      </c>
      <c r="AF1419" s="10">
        <f>REPT(" ",20)</f>
        <v/>
      </c>
      <c r="AG1419" s="54">
        <f>REPT(" ",18-LEN(FIXED(F1419,2,TRUE)))&amp;FIXED(F1419,2,TRUE)</f>
        <v/>
      </c>
      <c r="AH1419" s="10">
        <f>LEN(AC1419)+LEN(AG1419)</f>
        <v/>
      </c>
      <c r="AI1419" s="10">
        <f>LEN(L1419)</f>
        <v/>
      </c>
    </row>
    <row r="1420">
      <c r="J1420" s="12">
        <f>IF(F1420&lt;&gt;0,"LANÇAR","")</f>
        <v/>
      </c>
      <c r="L1420" s="13">
        <f>N1420&amp;O1420&amp;P1420&amp;Q1420&amp;R1420&amp;S1420&amp;T1420&amp;U1420&amp;V1420&amp;W1420&amp;X1420&amp;Y1420&amp;Z1420&amp;AA1420&amp;AB1420&amp;AC1420&amp;AD1420&amp;AE1420&amp;AF1420&amp;AG1420</f>
        <v/>
      </c>
      <c r="N1420" s="10">
        <f>TEXT($B$6,"00")</f>
        <v/>
      </c>
      <c r="O1420" s="10">
        <f>REPT(" ",8)</f>
        <v/>
      </c>
      <c r="P1420" s="10">
        <f>RIGHT($B$4,2)</f>
        <v/>
      </c>
      <c r="Q1420" s="10">
        <f>RIGHT($B$5,3)</f>
        <v/>
      </c>
      <c r="R1420" s="10">
        <f>IF(A1420="D",LEFT(UPPER(B1420)&amp;REPT(" ",20),20),REPT(" ",20))</f>
        <v/>
      </c>
      <c r="S1420" s="10">
        <f>IF(A1420="D",LEFT(UPPER(C1420)&amp;REPT(" ",10),10)," ")</f>
        <v/>
      </c>
      <c r="T1420" s="10">
        <f>IF(A1420="D",LEFT(UPPER(D1420)&amp;REPT(" ",2),2)," ")</f>
        <v/>
      </c>
      <c r="U1420" s="10">
        <f>IF(A1420="D",LEFT(UPPER(E1420)&amp;REPT(" ",15),15)," ")</f>
        <v/>
      </c>
      <c r="V1420" s="10">
        <f>REPT(" ",24)</f>
        <v/>
      </c>
      <c r="W1420" s="10">
        <f>IF(A1420="c",LEFT(UPPER(B1420)&amp;REPT(" ",20),20),REPT(" ",20))</f>
        <v/>
      </c>
      <c r="X1420" s="10">
        <f>IF(A1420="C",LEFT(UPPER(C1420)&amp;REPT(" ",10),10)," ")</f>
        <v/>
      </c>
      <c r="Y1420" s="10">
        <f>IF(A1420="C",LEFT(UPPER(D1420)&amp;REPT(" ",2),2)," ")</f>
        <v/>
      </c>
      <c r="Z1420" s="10">
        <f>IF(A1420="C",LEFT(UPPER(E1420)&amp;REPT(" ",15),15)," ")</f>
        <v/>
      </c>
      <c r="AA1420" s="10">
        <f>REPT(" ",8)</f>
        <v/>
      </c>
      <c r="AB1420" s="10">
        <f>REPT(" ",4)</f>
        <v/>
      </c>
      <c r="AC1420" s="10">
        <f>LEFT(UPPER(H1420)&amp;REPT(" ",250),250)</f>
        <v/>
      </c>
      <c r="AD1420" s="10">
        <f>TEXT($G$2,"dd/mm/aaaa")</f>
        <v/>
      </c>
      <c r="AE1420" s="10">
        <f>REPT(" ",10)</f>
        <v/>
      </c>
      <c r="AF1420" s="10">
        <f>REPT(" ",20)</f>
        <v/>
      </c>
      <c r="AG1420" s="54">
        <f>REPT(" ",18-LEN(FIXED(F1420,2,TRUE)))&amp;FIXED(F1420,2,TRUE)</f>
        <v/>
      </c>
      <c r="AH1420" s="10">
        <f>LEN(AC1420)+LEN(AG1420)</f>
        <v/>
      </c>
      <c r="AI1420" s="10">
        <f>LEN(L1420)</f>
        <v/>
      </c>
    </row>
    <row r="1421">
      <c r="J1421" s="12">
        <f>IF(F1421&lt;&gt;0,"LANÇAR","")</f>
        <v/>
      </c>
      <c r="L1421" s="13">
        <f>N1421&amp;O1421&amp;P1421&amp;Q1421&amp;R1421&amp;S1421&amp;T1421&amp;U1421&amp;V1421&amp;W1421&amp;X1421&amp;Y1421&amp;Z1421&amp;AA1421&amp;AB1421&amp;AC1421&amp;AD1421&amp;AE1421&amp;AF1421&amp;AG1421</f>
        <v/>
      </c>
      <c r="N1421" s="10">
        <f>TEXT($B$6,"00")</f>
        <v/>
      </c>
      <c r="O1421" s="10">
        <f>REPT(" ",8)</f>
        <v/>
      </c>
      <c r="P1421" s="10">
        <f>RIGHT($B$4,2)</f>
        <v/>
      </c>
      <c r="Q1421" s="10">
        <f>RIGHT($B$5,3)</f>
        <v/>
      </c>
      <c r="R1421" s="10">
        <f>IF(A1421="D",LEFT(UPPER(B1421)&amp;REPT(" ",20),20),REPT(" ",20))</f>
        <v/>
      </c>
      <c r="S1421" s="10">
        <f>IF(A1421="D",LEFT(UPPER(C1421)&amp;REPT(" ",10),10)," ")</f>
        <v/>
      </c>
      <c r="T1421" s="10">
        <f>IF(A1421="D",LEFT(UPPER(D1421)&amp;REPT(" ",2),2)," ")</f>
        <v/>
      </c>
      <c r="U1421" s="10">
        <f>IF(A1421="D",LEFT(UPPER(E1421)&amp;REPT(" ",15),15)," ")</f>
        <v/>
      </c>
      <c r="V1421" s="10">
        <f>REPT(" ",24)</f>
        <v/>
      </c>
      <c r="W1421" s="10">
        <f>IF(A1421="c",LEFT(UPPER(B1421)&amp;REPT(" ",20),20),REPT(" ",20))</f>
        <v/>
      </c>
      <c r="X1421" s="10">
        <f>IF(A1421="C",LEFT(UPPER(C1421)&amp;REPT(" ",10),10)," ")</f>
        <v/>
      </c>
      <c r="Y1421" s="10">
        <f>IF(A1421="C",LEFT(UPPER(D1421)&amp;REPT(" ",2),2)," ")</f>
        <v/>
      </c>
      <c r="Z1421" s="10">
        <f>IF(A1421="C",LEFT(UPPER(E1421)&amp;REPT(" ",15),15)," ")</f>
        <v/>
      </c>
      <c r="AA1421" s="10">
        <f>REPT(" ",8)</f>
        <v/>
      </c>
      <c r="AB1421" s="10">
        <f>REPT(" ",4)</f>
        <v/>
      </c>
      <c r="AC1421" s="10">
        <f>LEFT(UPPER(H1421)&amp;REPT(" ",250),250)</f>
        <v/>
      </c>
      <c r="AD1421" s="10">
        <f>TEXT($G$2,"dd/mm/aaaa")</f>
        <v/>
      </c>
      <c r="AE1421" s="10">
        <f>REPT(" ",10)</f>
        <v/>
      </c>
      <c r="AF1421" s="10">
        <f>REPT(" ",20)</f>
        <v/>
      </c>
      <c r="AG1421" s="54">
        <f>REPT(" ",18-LEN(FIXED(F1421,2,TRUE)))&amp;FIXED(F1421,2,TRUE)</f>
        <v/>
      </c>
      <c r="AH1421" s="10">
        <f>LEN(AC1421)+LEN(AG1421)</f>
        <v/>
      </c>
      <c r="AI1421" s="10">
        <f>LEN(L1421)</f>
        <v/>
      </c>
    </row>
    <row r="1422">
      <c r="J1422" s="12">
        <f>IF(F1422&lt;&gt;0,"LANÇAR","")</f>
        <v/>
      </c>
      <c r="L1422" s="13">
        <f>N1422&amp;O1422&amp;P1422&amp;Q1422&amp;R1422&amp;S1422&amp;T1422&amp;U1422&amp;V1422&amp;W1422&amp;X1422&amp;Y1422&amp;Z1422&amp;AA1422&amp;AB1422&amp;AC1422&amp;AD1422&amp;AE1422&amp;AF1422&amp;AG1422</f>
        <v/>
      </c>
      <c r="N1422" s="10">
        <f>TEXT($B$6,"00")</f>
        <v/>
      </c>
      <c r="O1422" s="10">
        <f>REPT(" ",8)</f>
        <v/>
      </c>
      <c r="P1422" s="10">
        <f>RIGHT($B$4,2)</f>
        <v/>
      </c>
      <c r="Q1422" s="10">
        <f>RIGHT($B$5,3)</f>
        <v/>
      </c>
      <c r="R1422" s="10">
        <f>IF(A1422="D",LEFT(UPPER(B1422)&amp;REPT(" ",20),20),REPT(" ",20))</f>
        <v/>
      </c>
      <c r="S1422" s="10">
        <f>IF(A1422="D",LEFT(UPPER(C1422)&amp;REPT(" ",10),10)," ")</f>
        <v/>
      </c>
      <c r="T1422" s="10">
        <f>IF(A1422="D",LEFT(UPPER(D1422)&amp;REPT(" ",2),2)," ")</f>
        <v/>
      </c>
      <c r="U1422" s="10">
        <f>IF(A1422="D",LEFT(UPPER(E1422)&amp;REPT(" ",15),15)," ")</f>
        <v/>
      </c>
      <c r="V1422" s="10">
        <f>REPT(" ",24)</f>
        <v/>
      </c>
      <c r="W1422" s="10">
        <f>IF(A1422="c",LEFT(UPPER(B1422)&amp;REPT(" ",20),20),REPT(" ",20))</f>
        <v/>
      </c>
      <c r="X1422" s="10">
        <f>IF(A1422="C",LEFT(UPPER(C1422)&amp;REPT(" ",10),10)," ")</f>
        <v/>
      </c>
      <c r="Y1422" s="10">
        <f>IF(A1422="C",LEFT(UPPER(D1422)&amp;REPT(" ",2),2)," ")</f>
        <v/>
      </c>
      <c r="Z1422" s="10">
        <f>IF(A1422="C",LEFT(UPPER(E1422)&amp;REPT(" ",15),15)," ")</f>
        <v/>
      </c>
      <c r="AA1422" s="10">
        <f>REPT(" ",8)</f>
        <v/>
      </c>
      <c r="AB1422" s="10">
        <f>REPT(" ",4)</f>
        <v/>
      </c>
      <c r="AC1422" s="10">
        <f>LEFT(UPPER(H1422)&amp;REPT(" ",250),250)</f>
        <v/>
      </c>
      <c r="AD1422" s="10">
        <f>TEXT($G$2,"dd/mm/aaaa")</f>
        <v/>
      </c>
      <c r="AE1422" s="10">
        <f>REPT(" ",10)</f>
        <v/>
      </c>
      <c r="AF1422" s="10">
        <f>REPT(" ",20)</f>
        <v/>
      </c>
      <c r="AG1422" s="54">
        <f>REPT(" ",18-LEN(FIXED(F1422,2,TRUE)))&amp;FIXED(F1422,2,TRUE)</f>
        <v/>
      </c>
      <c r="AH1422" s="10">
        <f>LEN(AC1422)+LEN(AG1422)</f>
        <v/>
      </c>
      <c r="AI1422" s="10">
        <f>LEN(L1422)</f>
        <v/>
      </c>
    </row>
    <row r="1423">
      <c r="J1423" s="12">
        <f>IF(F1423&lt;&gt;0,"LANÇAR","")</f>
        <v/>
      </c>
      <c r="L1423" s="13">
        <f>N1423&amp;O1423&amp;P1423&amp;Q1423&amp;R1423&amp;S1423&amp;T1423&amp;U1423&amp;V1423&amp;W1423&amp;X1423&amp;Y1423&amp;Z1423&amp;AA1423&amp;AB1423&amp;AC1423&amp;AD1423&amp;AE1423&amp;AF1423&amp;AG1423</f>
        <v/>
      </c>
      <c r="N1423" s="10">
        <f>TEXT($B$6,"00")</f>
        <v/>
      </c>
      <c r="O1423" s="10">
        <f>REPT(" ",8)</f>
        <v/>
      </c>
      <c r="P1423" s="10">
        <f>RIGHT($B$4,2)</f>
        <v/>
      </c>
      <c r="Q1423" s="10">
        <f>RIGHT($B$5,3)</f>
        <v/>
      </c>
      <c r="R1423" s="10">
        <f>IF(A1423="D",LEFT(UPPER(B1423)&amp;REPT(" ",20),20),REPT(" ",20))</f>
        <v/>
      </c>
      <c r="S1423" s="10">
        <f>IF(A1423="D",LEFT(UPPER(C1423)&amp;REPT(" ",10),10)," ")</f>
        <v/>
      </c>
      <c r="T1423" s="10">
        <f>IF(A1423="D",LEFT(UPPER(D1423)&amp;REPT(" ",2),2)," ")</f>
        <v/>
      </c>
      <c r="U1423" s="10">
        <f>IF(A1423="D",LEFT(UPPER(E1423)&amp;REPT(" ",15),15)," ")</f>
        <v/>
      </c>
      <c r="V1423" s="10">
        <f>REPT(" ",24)</f>
        <v/>
      </c>
      <c r="W1423" s="10">
        <f>IF(A1423="c",LEFT(UPPER(B1423)&amp;REPT(" ",20),20),REPT(" ",20))</f>
        <v/>
      </c>
      <c r="X1423" s="10">
        <f>IF(A1423="C",LEFT(UPPER(C1423)&amp;REPT(" ",10),10)," ")</f>
        <v/>
      </c>
      <c r="Y1423" s="10">
        <f>IF(A1423="C",LEFT(UPPER(D1423)&amp;REPT(" ",2),2)," ")</f>
        <v/>
      </c>
      <c r="Z1423" s="10">
        <f>IF(A1423="C",LEFT(UPPER(E1423)&amp;REPT(" ",15),15)," ")</f>
        <v/>
      </c>
      <c r="AA1423" s="10">
        <f>REPT(" ",8)</f>
        <v/>
      </c>
      <c r="AB1423" s="10">
        <f>REPT(" ",4)</f>
        <v/>
      </c>
      <c r="AC1423" s="10">
        <f>LEFT(UPPER(H1423)&amp;REPT(" ",250),250)</f>
        <v/>
      </c>
      <c r="AD1423" s="10">
        <f>TEXT($G$2,"dd/mm/aaaa")</f>
        <v/>
      </c>
      <c r="AE1423" s="10">
        <f>REPT(" ",10)</f>
        <v/>
      </c>
      <c r="AF1423" s="10">
        <f>REPT(" ",20)</f>
        <v/>
      </c>
      <c r="AG1423" s="54">
        <f>REPT(" ",18-LEN(FIXED(F1423,2,TRUE)))&amp;FIXED(F1423,2,TRUE)</f>
        <v/>
      </c>
      <c r="AH1423" s="10">
        <f>LEN(AC1423)+LEN(AG1423)</f>
        <v/>
      </c>
      <c r="AI1423" s="10">
        <f>LEN(L1423)</f>
        <v/>
      </c>
    </row>
    <row r="1424">
      <c r="J1424" s="12">
        <f>IF(F1424&lt;&gt;0,"LANÇAR","")</f>
        <v/>
      </c>
      <c r="L1424" s="13">
        <f>N1424&amp;O1424&amp;P1424&amp;Q1424&amp;R1424&amp;S1424&amp;T1424&amp;U1424&amp;V1424&amp;W1424&amp;X1424&amp;Y1424&amp;Z1424&amp;AA1424&amp;AB1424&amp;AC1424&amp;AD1424&amp;AE1424&amp;AF1424&amp;AG1424</f>
        <v/>
      </c>
      <c r="N1424" s="10">
        <f>TEXT($B$6,"00")</f>
        <v/>
      </c>
      <c r="O1424" s="10">
        <f>REPT(" ",8)</f>
        <v/>
      </c>
      <c r="P1424" s="10">
        <f>RIGHT($B$4,2)</f>
        <v/>
      </c>
      <c r="Q1424" s="10">
        <f>RIGHT($B$5,3)</f>
        <v/>
      </c>
      <c r="R1424" s="10">
        <f>IF(A1424="D",LEFT(UPPER(B1424)&amp;REPT(" ",20),20),REPT(" ",20))</f>
        <v/>
      </c>
      <c r="S1424" s="10">
        <f>IF(A1424="D",LEFT(UPPER(C1424)&amp;REPT(" ",10),10)," ")</f>
        <v/>
      </c>
      <c r="T1424" s="10">
        <f>IF(A1424="D",LEFT(UPPER(D1424)&amp;REPT(" ",2),2)," ")</f>
        <v/>
      </c>
      <c r="U1424" s="10">
        <f>IF(A1424="D",LEFT(UPPER(E1424)&amp;REPT(" ",15),15)," ")</f>
        <v/>
      </c>
      <c r="V1424" s="10">
        <f>REPT(" ",24)</f>
        <v/>
      </c>
      <c r="W1424" s="10">
        <f>IF(A1424="c",LEFT(UPPER(B1424)&amp;REPT(" ",20),20),REPT(" ",20))</f>
        <v/>
      </c>
      <c r="X1424" s="10">
        <f>IF(A1424="C",LEFT(UPPER(C1424)&amp;REPT(" ",10),10)," ")</f>
        <v/>
      </c>
      <c r="Y1424" s="10">
        <f>IF(A1424="C",LEFT(UPPER(D1424)&amp;REPT(" ",2),2)," ")</f>
        <v/>
      </c>
      <c r="Z1424" s="10">
        <f>IF(A1424="C",LEFT(UPPER(E1424)&amp;REPT(" ",15),15)," ")</f>
        <v/>
      </c>
      <c r="AA1424" s="10">
        <f>REPT(" ",8)</f>
        <v/>
      </c>
      <c r="AB1424" s="10">
        <f>REPT(" ",4)</f>
        <v/>
      </c>
      <c r="AC1424" s="10">
        <f>LEFT(UPPER(H1424)&amp;REPT(" ",250),250)</f>
        <v/>
      </c>
      <c r="AD1424" s="10">
        <f>TEXT($G$2,"dd/mm/aaaa")</f>
        <v/>
      </c>
      <c r="AE1424" s="10">
        <f>REPT(" ",10)</f>
        <v/>
      </c>
      <c r="AF1424" s="10">
        <f>REPT(" ",20)</f>
        <v/>
      </c>
      <c r="AG1424" s="54">
        <f>REPT(" ",18-LEN(FIXED(F1424,2,TRUE)))&amp;FIXED(F1424,2,TRUE)</f>
        <v/>
      </c>
      <c r="AH1424" s="10">
        <f>LEN(AC1424)+LEN(AG1424)</f>
        <v/>
      </c>
      <c r="AI1424" s="10">
        <f>LEN(L1424)</f>
        <v/>
      </c>
    </row>
    <row r="1425">
      <c r="J1425" s="12">
        <f>IF(F1425&lt;&gt;0,"LANÇAR","")</f>
        <v/>
      </c>
      <c r="L1425" s="13">
        <f>N1425&amp;O1425&amp;P1425&amp;Q1425&amp;R1425&amp;S1425&amp;T1425&amp;U1425&amp;V1425&amp;W1425&amp;X1425&amp;Y1425&amp;Z1425&amp;AA1425&amp;AB1425&amp;AC1425&amp;AD1425&amp;AE1425&amp;AF1425&amp;AG1425</f>
        <v/>
      </c>
      <c r="N1425" s="10">
        <f>TEXT($B$6,"00")</f>
        <v/>
      </c>
      <c r="O1425" s="10">
        <f>REPT(" ",8)</f>
        <v/>
      </c>
      <c r="P1425" s="10">
        <f>RIGHT($B$4,2)</f>
        <v/>
      </c>
      <c r="Q1425" s="10">
        <f>RIGHT($B$5,3)</f>
        <v/>
      </c>
      <c r="R1425" s="10">
        <f>IF(A1425="D",LEFT(UPPER(B1425)&amp;REPT(" ",20),20),REPT(" ",20))</f>
        <v/>
      </c>
      <c r="S1425" s="10">
        <f>IF(A1425="D",LEFT(UPPER(C1425)&amp;REPT(" ",10),10)," ")</f>
        <v/>
      </c>
      <c r="T1425" s="10">
        <f>IF(A1425="D",LEFT(UPPER(D1425)&amp;REPT(" ",2),2)," ")</f>
        <v/>
      </c>
      <c r="U1425" s="10">
        <f>IF(A1425="D",LEFT(UPPER(E1425)&amp;REPT(" ",15),15)," ")</f>
        <v/>
      </c>
      <c r="V1425" s="10">
        <f>REPT(" ",24)</f>
        <v/>
      </c>
      <c r="W1425" s="10">
        <f>IF(A1425="c",LEFT(UPPER(B1425)&amp;REPT(" ",20),20),REPT(" ",20))</f>
        <v/>
      </c>
      <c r="X1425" s="10">
        <f>IF(A1425="C",LEFT(UPPER(C1425)&amp;REPT(" ",10),10)," ")</f>
        <v/>
      </c>
      <c r="Y1425" s="10">
        <f>IF(A1425="C",LEFT(UPPER(D1425)&amp;REPT(" ",2),2)," ")</f>
        <v/>
      </c>
      <c r="Z1425" s="10">
        <f>IF(A1425="C",LEFT(UPPER(E1425)&amp;REPT(" ",15),15)," ")</f>
        <v/>
      </c>
      <c r="AA1425" s="10">
        <f>REPT(" ",8)</f>
        <v/>
      </c>
      <c r="AB1425" s="10">
        <f>REPT(" ",4)</f>
        <v/>
      </c>
      <c r="AC1425" s="10">
        <f>LEFT(UPPER(H1425)&amp;REPT(" ",250),250)</f>
        <v/>
      </c>
      <c r="AD1425" s="10">
        <f>TEXT($G$2,"dd/mm/aaaa")</f>
        <v/>
      </c>
      <c r="AE1425" s="10">
        <f>REPT(" ",10)</f>
        <v/>
      </c>
      <c r="AF1425" s="10">
        <f>REPT(" ",20)</f>
        <v/>
      </c>
      <c r="AG1425" s="54">
        <f>REPT(" ",18-LEN(FIXED(F1425,2,TRUE)))&amp;FIXED(F1425,2,TRUE)</f>
        <v/>
      </c>
      <c r="AH1425" s="10">
        <f>LEN(AC1425)+LEN(AG1425)</f>
        <v/>
      </c>
      <c r="AI1425" s="10">
        <f>LEN(L1425)</f>
        <v/>
      </c>
    </row>
    <row r="1426">
      <c r="J1426" s="12">
        <f>IF(F1426&lt;&gt;0,"LANÇAR","")</f>
        <v/>
      </c>
      <c r="L1426" s="13">
        <f>N1426&amp;O1426&amp;P1426&amp;Q1426&amp;R1426&amp;S1426&amp;T1426&amp;U1426&amp;V1426&amp;W1426&amp;X1426&amp;Y1426&amp;Z1426&amp;AA1426&amp;AB1426&amp;AC1426&amp;AD1426&amp;AE1426&amp;AF1426&amp;AG1426</f>
        <v/>
      </c>
      <c r="N1426" s="10">
        <f>TEXT($B$6,"00")</f>
        <v/>
      </c>
      <c r="O1426" s="10">
        <f>REPT(" ",8)</f>
        <v/>
      </c>
      <c r="P1426" s="10">
        <f>RIGHT($B$4,2)</f>
        <v/>
      </c>
      <c r="Q1426" s="10">
        <f>RIGHT($B$5,3)</f>
        <v/>
      </c>
      <c r="R1426" s="10">
        <f>IF(A1426="D",LEFT(UPPER(B1426)&amp;REPT(" ",20),20),REPT(" ",20))</f>
        <v/>
      </c>
      <c r="S1426" s="10">
        <f>IF(A1426="D",LEFT(UPPER(C1426)&amp;REPT(" ",10),10)," ")</f>
        <v/>
      </c>
      <c r="T1426" s="10">
        <f>IF(A1426="D",LEFT(UPPER(D1426)&amp;REPT(" ",2),2)," ")</f>
        <v/>
      </c>
      <c r="U1426" s="10">
        <f>IF(A1426="D",LEFT(UPPER(E1426)&amp;REPT(" ",15),15)," ")</f>
        <v/>
      </c>
      <c r="V1426" s="10">
        <f>REPT(" ",24)</f>
        <v/>
      </c>
      <c r="W1426" s="10">
        <f>IF(A1426="c",LEFT(UPPER(B1426)&amp;REPT(" ",20),20),REPT(" ",20))</f>
        <v/>
      </c>
      <c r="X1426" s="10">
        <f>IF(A1426="C",LEFT(UPPER(C1426)&amp;REPT(" ",10),10)," ")</f>
        <v/>
      </c>
      <c r="Y1426" s="10">
        <f>IF(A1426="C",LEFT(UPPER(D1426)&amp;REPT(" ",2),2)," ")</f>
        <v/>
      </c>
      <c r="Z1426" s="10">
        <f>IF(A1426="C",LEFT(UPPER(E1426)&amp;REPT(" ",15),15)," ")</f>
        <v/>
      </c>
      <c r="AA1426" s="10">
        <f>REPT(" ",8)</f>
        <v/>
      </c>
      <c r="AB1426" s="10">
        <f>REPT(" ",4)</f>
        <v/>
      </c>
      <c r="AC1426" s="10">
        <f>LEFT(UPPER(H1426)&amp;REPT(" ",250),250)</f>
        <v/>
      </c>
      <c r="AD1426" s="10">
        <f>TEXT($G$2,"dd/mm/aaaa")</f>
        <v/>
      </c>
      <c r="AE1426" s="10">
        <f>REPT(" ",10)</f>
        <v/>
      </c>
      <c r="AF1426" s="10">
        <f>REPT(" ",20)</f>
        <v/>
      </c>
      <c r="AG1426" s="54">
        <f>REPT(" ",18-LEN(FIXED(F1426,2,TRUE)))&amp;FIXED(F1426,2,TRUE)</f>
        <v/>
      </c>
      <c r="AH1426" s="10">
        <f>LEN(AC1426)+LEN(AG1426)</f>
        <v/>
      </c>
      <c r="AI1426" s="10">
        <f>LEN(L1426)</f>
        <v/>
      </c>
    </row>
    <row r="1427">
      <c r="J1427" s="12">
        <f>IF(F1427&lt;&gt;0,"LANÇAR","")</f>
        <v/>
      </c>
      <c r="L1427" s="13">
        <f>N1427&amp;O1427&amp;P1427&amp;Q1427&amp;R1427&amp;S1427&amp;T1427&amp;U1427&amp;V1427&amp;W1427&amp;X1427&amp;Y1427&amp;Z1427&amp;AA1427&amp;AB1427&amp;AC1427&amp;AD1427&amp;AE1427&amp;AF1427&amp;AG1427</f>
        <v/>
      </c>
      <c r="N1427" s="10">
        <f>TEXT($B$6,"00")</f>
        <v/>
      </c>
      <c r="O1427" s="10">
        <f>REPT(" ",8)</f>
        <v/>
      </c>
      <c r="P1427" s="10">
        <f>RIGHT($B$4,2)</f>
        <v/>
      </c>
      <c r="Q1427" s="10">
        <f>RIGHT($B$5,3)</f>
        <v/>
      </c>
      <c r="R1427" s="10">
        <f>IF(A1427="D",LEFT(UPPER(B1427)&amp;REPT(" ",20),20),REPT(" ",20))</f>
        <v/>
      </c>
      <c r="S1427" s="10">
        <f>IF(A1427="D",LEFT(UPPER(C1427)&amp;REPT(" ",10),10)," ")</f>
        <v/>
      </c>
      <c r="T1427" s="10">
        <f>IF(A1427="D",LEFT(UPPER(D1427)&amp;REPT(" ",2),2)," ")</f>
        <v/>
      </c>
      <c r="U1427" s="10">
        <f>IF(A1427="D",LEFT(UPPER(E1427)&amp;REPT(" ",15),15)," ")</f>
        <v/>
      </c>
      <c r="V1427" s="10">
        <f>REPT(" ",24)</f>
        <v/>
      </c>
      <c r="W1427" s="10">
        <f>IF(A1427="c",LEFT(UPPER(B1427)&amp;REPT(" ",20),20),REPT(" ",20))</f>
        <v/>
      </c>
      <c r="X1427" s="10">
        <f>IF(A1427="C",LEFT(UPPER(C1427)&amp;REPT(" ",10),10)," ")</f>
        <v/>
      </c>
      <c r="Y1427" s="10">
        <f>IF(A1427="C",LEFT(UPPER(D1427)&amp;REPT(" ",2),2)," ")</f>
        <v/>
      </c>
      <c r="Z1427" s="10">
        <f>IF(A1427="C",LEFT(UPPER(E1427)&amp;REPT(" ",15),15)," ")</f>
        <v/>
      </c>
      <c r="AA1427" s="10">
        <f>REPT(" ",8)</f>
        <v/>
      </c>
      <c r="AB1427" s="10">
        <f>REPT(" ",4)</f>
        <v/>
      </c>
      <c r="AC1427" s="10">
        <f>LEFT(UPPER(H1427)&amp;REPT(" ",250),250)</f>
        <v/>
      </c>
      <c r="AD1427" s="10">
        <f>TEXT($G$2,"dd/mm/aaaa")</f>
        <v/>
      </c>
      <c r="AE1427" s="10">
        <f>REPT(" ",10)</f>
        <v/>
      </c>
      <c r="AF1427" s="10">
        <f>REPT(" ",20)</f>
        <v/>
      </c>
      <c r="AG1427" s="54">
        <f>REPT(" ",18-LEN(FIXED(F1427,2,TRUE)))&amp;FIXED(F1427,2,TRUE)</f>
        <v/>
      </c>
      <c r="AH1427" s="10">
        <f>LEN(AC1427)+LEN(AG1427)</f>
        <v/>
      </c>
      <c r="AI1427" s="10">
        <f>LEN(L1427)</f>
        <v/>
      </c>
    </row>
    <row r="1428">
      <c r="J1428" s="12">
        <f>IF(F1428&lt;&gt;0,"LANÇAR","")</f>
        <v/>
      </c>
      <c r="L1428" s="13">
        <f>N1428&amp;O1428&amp;P1428&amp;Q1428&amp;R1428&amp;S1428&amp;T1428&amp;U1428&amp;V1428&amp;W1428&amp;X1428&amp;Y1428&amp;Z1428&amp;AA1428&amp;AB1428&amp;AC1428&amp;AD1428&amp;AE1428&amp;AF1428&amp;AG1428</f>
        <v/>
      </c>
      <c r="N1428" s="10">
        <f>TEXT($B$6,"00")</f>
        <v/>
      </c>
      <c r="O1428" s="10">
        <f>REPT(" ",8)</f>
        <v/>
      </c>
      <c r="P1428" s="10">
        <f>RIGHT($B$4,2)</f>
        <v/>
      </c>
      <c r="Q1428" s="10">
        <f>RIGHT($B$5,3)</f>
        <v/>
      </c>
      <c r="R1428" s="10">
        <f>IF(A1428="D",LEFT(UPPER(B1428)&amp;REPT(" ",20),20),REPT(" ",20))</f>
        <v/>
      </c>
      <c r="S1428" s="10">
        <f>IF(A1428="D",LEFT(UPPER(C1428)&amp;REPT(" ",10),10)," ")</f>
        <v/>
      </c>
      <c r="T1428" s="10">
        <f>IF(A1428="D",LEFT(UPPER(D1428)&amp;REPT(" ",2),2)," ")</f>
        <v/>
      </c>
      <c r="U1428" s="10">
        <f>IF(A1428="D",LEFT(UPPER(E1428)&amp;REPT(" ",15),15)," ")</f>
        <v/>
      </c>
      <c r="V1428" s="10">
        <f>REPT(" ",24)</f>
        <v/>
      </c>
      <c r="W1428" s="10">
        <f>IF(A1428="c",LEFT(UPPER(B1428)&amp;REPT(" ",20),20),REPT(" ",20))</f>
        <v/>
      </c>
      <c r="X1428" s="10">
        <f>IF(A1428="C",LEFT(UPPER(C1428)&amp;REPT(" ",10),10)," ")</f>
        <v/>
      </c>
      <c r="Y1428" s="10">
        <f>IF(A1428="C",LEFT(UPPER(D1428)&amp;REPT(" ",2),2)," ")</f>
        <v/>
      </c>
      <c r="Z1428" s="10">
        <f>IF(A1428="C",LEFT(UPPER(E1428)&amp;REPT(" ",15),15)," ")</f>
        <v/>
      </c>
      <c r="AA1428" s="10">
        <f>REPT(" ",8)</f>
        <v/>
      </c>
      <c r="AB1428" s="10">
        <f>REPT(" ",4)</f>
        <v/>
      </c>
      <c r="AC1428" s="10">
        <f>LEFT(UPPER(H1428)&amp;REPT(" ",250),250)</f>
        <v/>
      </c>
      <c r="AD1428" s="10">
        <f>TEXT($G$2,"dd/mm/aaaa")</f>
        <v/>
      </c>
      <c r="AE1428" s="10">
        <f>REPT(" ",10)</f>
        <v/>
      </c>
      <c r="AF1428" s="10">
        <f>REPT(" ",20)</f>
        <v/>
      </c>
      <c r="AG1428" s="54">
        <f>REPT(" ",18-LEN(FIXED(F1428,2,TRUE)))&amp;FIXED(F1428,2,TRUE)</f>
        <v/>
      </c>
      <c r="AH1428" s="10">
        <f>LEN(AC1428)+LEN(AG1428)</f>
        <v/>
      </c>
      <c r="AI1428" s="10">
        <f>LEN(L1428)</f>
        <v/>
      </c>
    </row>
    <row r="1429">
      <c r="J1429" s="12">
        <f>IF(F1429&lt;&gt;0,"LANÇAR","")</f>
        <v/>
      </c>
      <c r="L1429" s="13">
        <f>N1429&amp;O1429&amp;P1429&amp;Q1429&amp;R1429&amp;S1429&amp;T1429&amp;U1429&amp;V1429&amp;W1429&amp;X1429&amp;Y1429&amp;Z1429&amp;AA1429&amp;AB1429&amp;AC1429&amp;AD1429&amp;AE1429&amp;AF1429&amp;AG1429</f>
        <v/>
      </c>
      <c r="N1429" s="10">
        <f>TEXT($B$6,"00")</f>
        <v/>
      </c>
      <c r="O1429" s="10">
        <f>REPT(" ",8)</f>
        <v/>
      </c>
      <c r="P1429" s="10">
        <f>RIGHT($B$4,2)</f>
        <v/>
      </c>
      <c r="Q1429" s="10">
        <f>RIGHT($B$5,3)</f>
        <v/>
      </c>
      <c r="R1429" s="10">
        <f>IF(A1429="D",LEFT(UPPER(B1429)&amp;REPT(" ",20),20),REPT(" ",20))</f>
        <v/>
      </c>
      <c r="S1429" s="10">
        <f>IF(A1429="D",LEFT(UPPER(C1429)&amp;REPT(" ",10),10)," ")</f>
        <v/>
      </c>
      <c r="T1429" s="10">
        <f>IF(A1429="D",LEFT(UPPER(D1429)&amp;REPT(" ",2),2)," ")</f>
        <v/>
      </c>
      <c r="U1429" s="10">
        <f>IF(A1429="D",LEFT(UPPER(E1429)&amp;REPT(" ",15),15)," ")</f>
        <v/>
      </c>
      <c r="V1429" s="10">
        <f>REPT(" ",24)</f>
        <v/>
      </c>
      <c r="W1429" s="10">
        <f>IF(A1429="c",LEFT(UPPER(B1429)&amp;REPT(" ",20),20),REPT(" ",20))</f>
        <v/>
      </c>
      <c r="X1429" s="10">
        <f>IF(A1429="C",LEFT(UPPER(C1429)&amp;REPT(" ",10),10)," ")</f>
        <v/>
      </c>
      <c r="Y1429" s="10">
        <f>IF(A1429="C",LEFT(UPPER(D1429)&amp;REPT(" ",2),2)," ")</f>
        <v/>
      </c>
      <c r="Z1429" s="10">
        <f>IF(A1429="C",LEFT(UPPER(E1429)&amp;REPT(" ",15),15)," ")</f>
        <v/>
      </c>
      <c r="AA1429" s="10">
        <f>REPT(" ",8)</f>
        <v/>
      </c>
      <c r="AB1429" s="10">
        <f>REPT(" ",4)</f>
        <v/>
      </c>
      <c r="AC1429" s="10">
        <f>LEFT(UPPER(H1429)&amp;REPT(" ",250),250)</f>
        <v/>
      </c>
      <c r="AD1429" s="10">
        <f>TEXT($G$2,"dd/mm/aaaa")</f>
        <v/>
      </c>
      <c r="AE1429" s="10">
        <f>REPT(" ",10)</f>
        <v/>
      </c>
      <c r="AF1429" s="10">
        <f>REPT(" ",20)</f>
        <v/>
      </c>
      <c r="AG1429" s="54">
        <f>REPT(" ",18-LEN(FIXED(F1429,2,TRUE)))&amp;FIXED(F1429,2,TRUE)</f>
        <v/>
      </c>
      <c r="AH1429" s="10">
        <f>LEN(AC1429)+LEN(AG1429)</f>
        <v/>
      </c>
      <c r="AI1429" s="10">
        <f>LEN(L1429)</f>
        <v/>
      </c>
    </row>
    <row r="1430">
      <c r="J1430" s="12">
        <f>IF(F1430&lt;&gt;0,"LANÇAR","")</f>
        <v/>
      </c>
      <c r="L1430" s="13">
        <f>N1430&amp;O1430&amp;P1430&amp;Q1430&amp;R1430&amp;S1430&amp;T1430&amp;U1430&amp;V1430&amp;W1430&amp;X1430&amp;Y1430&amp;Z1430&amp;AA1430&amp;AB1430&amp;AC1430&amp;AD1430&amp;AE1430&amp;AF1430&amp;AG1430</f>
        <v/>
      </c>
      <c r="N1430" s="10">
        <f>TEXT($B$6,"00")</f>
        <v/>
      </c>
      <c r="O1430" s="10">
        <f>REPT(" ",8)</f>
        <v/>
      </c>
      <c r="P1430" s="10">
        <f>RIGHT($B$4,2)</f>
        <v/>
      </c>
      <c r="Q1430" s="10">
        <f>RIGHT($B$5,3)</f>
        <v/>
      </c>
      <c r="R1430" s="10">
        <f>IF(A1430="D",LEFT(UPPER(B1430)&amp;REPT(" ",20),20),REPT(" ",20))</f>
        <v/>
      </c>
      <c r="S1430" s="10">
        <f>IF(A1430="D",LEFT(UPPER(C1430)&amp;REPT(" ",10),10)," ")</f>
        <v/>
      </c>
      <c r="T1430" s="10">
        <f>IF(A1430="D",LEFT(UPPER(D1430)&amp;REPT(" ",2),2)," ")</f>
        <v/>
      </c>
      <c r="U1430" s="10">
        <f>IF(A1430="D",LEFT(UPPER(E1430)&amp;REPT(" ",15),15)," ")</f>
        <v/>
      </c>
      <c r="V1430" s="10">
        <f>REPT(" ",24)</f>
        <v/>
      </c>
      <c r="W1430" s="10">
        <f>IF(A1430="c",LEFT(UPPER(B1430)&amp;REPT(" ",20),20),REPT(" ",20))</f>
        <v/>
      </c>
      <c r="X1430" s="10">
        <f>IF(A1430="C",LEFT(UPPER(C1430)&amp;REPT(" ",10),10)," ")</f>
        <v/>
      </c>
      <c r="Y1430" s="10">
        <f>IF(A1430="C",LEFT(UPPER(D1430)&amp;REPT(" ",2),2)," ")</f>
        <v/>
      </c>
      <c r="Z1430" s="10">
        <f>IF(A1430="C",LEFT(UPPER(E1430)&amp;REPT(" ",15),15)," ")</f>
        <v/>
      </c>
      <c r="AA1430" s="10">
        <f>REPT(" ",8)</f>
        <v/>
      </c>
      <c r="AB1430" s="10">
        <f>REPT(" ",4)</f>
        <v/>
      </c>
      <c r="AC1430" s="10">
        <f>LEFT(UPPER(H1430)&amp;REPT(" ",250),250)</f>
        <v/>
      </c>
      <c r="AD1430" s="10">
        <f>TEXT($G$2,"dd/mm/aaaa")</f>
        <v/>
      </c>
      <c r="AE1430" s="10">
        <f>REPT(" ",10)</f>
        <v/>
      </c>
      <c r="AF1430" s="10">
        <f>REPT(" ",20)</f>
        <v/>
      </c>
      <c r="AG1430" s="54">
        <f>REPT(" ",18-LEN(FIXED(F1430,2,TRUE)))&amp;FIXED(F1430,2,TRUE)</f>
        <v/>
      </c>
      <c r="AH1430" s="10">
        <f>LEN(AC1430)+LEN(AG1430)</f>
        <v/>
      </c>
      <c r="AI1430" s="10">
        <f>LEN(L1430)</f>
        <v/>
      </c>
    </row>
    <row r="1431">
      <c r="J1431" s="12">
        <f>IF(F1431&lt;&gt;0,"LANÇAR","")</f>
        <v/>
      </c>
      <c r="L1431" s="13">
        <f>N1431&amp;O1431&amp;P1431&amp;Q1431&amp;R1431&amp;S1431&amp;T1431&amp;U1431&amp;V1431&amp;W1431&amp;X1431&amp;Y1431&amp;Z1431&amp;AA1431&amp;AB1431&amp;AC1431&amp;AD1431&amp;AE1431&amp;AF1431&amp;AG1431</f>
        <v/>
      </c>
      <c r="N1431" s="10">
        <f>TEXT($B$6,"00")</f>
        <v/>
      </c>
      <c r="O1431" s="10">
        <f>REPT(" ",8)</f>
        <v/>
      </c>
      <c r="P1431" s="10">
        <f>RIGHT($B$4,2)</f>
        <v/>
      </c>
      <c r="Q1431" s="10">
        <f>RIGHT($B$5,3)</f>
        <v/>
      </c>
      <c r="R1431" s="10">
        <f>IF(A1431="D",LEFT(UPPER(B1431)&amp;REPT(" ",20),20),REPT(" ",20))</f>
        <v/>
      </c>
      <c r="S1431" s="10">
        <f>IF(A1431="D",LEFT(UPPER(C1431)&amp;REPT(" ",10),10)," ")</f>
        <v/>
      </c>
      <c r="T1431" s="10">
        <f>IF(A1431="D",LEFT(UPPER(D1431)&amp;REPT(" ",2),2)," ")</f>
        <v/>
      </c>
      <c r="U1431" s="10">
        <f>IF(A1431="D",LEFT(UPPER(E1431)&amp;REPT(" ",15),15)," ")</f>
        <v/>
      </c>
      <c r="V1431" s="10">
        <f>REPT(" ",24)</f>
        <v/>
      </c>
      <c r="W1431" s="10">
        <f>IF(A1431="c",LEFT(UPPER(B1431)&amp;REPT(" ",20),20),REPT(" ",20))</f>
        <v/>
      </c>
      <c r="X1431" s="10">
        <f>IF(A1431="C",LEFT(UPPER(C1431)&amp;REPT(" ",10),10)," ")</f>
        <v/>
      </c>
      <c r="Y1431" s="10">
        <f>IF(A1431="C",LEFT(UPPER(D1431)&amp;REPT(" ",2),2)," ")</f>
        <v/>
      </c>
      <c r="Z1431" s="10">
        <f>IF(A1431="C",LEFT(UPPER(E1431)&amp;REPT(" ",15),15)," ")</f>
        <v/>
      </c>
      <c r="AA1431" s="10">
        <f>REPT(" ",8)</f>
        <v/>
      </c>
      <c r="AB1431" s="10">
        <f>REPT(" ",4)</f>
        <v/>
      </c>
      <c r="AC1431" s="10">
        <f>LEFT(UPPER(H1431)&amp;REPT(" ",250),250)</f>
        <v/>
      </c>
      <c r="AD1431" s="10">
        <f>TEXT($G$2,"dd/mm/aaaa")</f>
        <v/>
      </c>
      <c r="AE1431" s="10">
        <f>REPT(" ",10)</f>
        <v/>
      </c>
      <c r="AF1431" s="10">
        <f>REPT(" ",20)</f>
        <v/>
      </c>
      <c r="AG1431" s="54">
        <f>REPT(" ",18-LEN(FIXED(F1431,2,TRUE)))&amp;FIXED(F1431,2,TRUE)</f>
        <v/>
      </c>
      <c r="AH1431" s="10">
        <f>LEN(AC1431)+LEN(AG1431)</f>
        <v/>
      </c>
      <c r="AI1431" s="10">
        <f>LEN(L1431)</f>
        <v/>
      </c>
    </row>
    <row r="1432">
      <c r="J1432" s="12">
        <f>IF(F1432&lt;&gt;0,"LANÇAR","")</f>
        <v/>
      </c>
      <c r="L1432" s="13">
        <f>N1432&amp;O1432&amp;P1432&amp;Q1432&amp;R1432&amp;S1432&amp;T1432&amp;U1432&amp;V1432&amp;W1432&amp;X1432&amp;Y1432&amp;Z1432&amp;AA1432&amp;AB1432&amp;AC1432&amp;AD1432&amp;AE1432&amp;AF1432&amp;AG1432</f>
        <v/>
      </c>
      <c r="N1432" s="10">
        <f>TEXT($B$6,"00")</f>
        <v/>
      </c>
      <c r="O1432" s="10">
        <f>REPT(" ",8)</f>
        <v/>
      </c>
      <c r="P1432" s="10">
        <f>RIGHT($B$4,2)</f>
        <v/>
      </c>
      <c r="Q1432" s="10">
        <f>RIGHT($B$5,3)</f>
        <v/>
      </c>
      <c r="R1432" s="10">
        <f>IF(A1432="D",LEFT(UPPER(B1432)&amp;REPT(" ",20),20),REPT(" ",20))</f>
        <v/>
      </c>
      <c r="S1432" s="10">
        <f>IF(A1432="D",LEFT(UPPER(C1432)&amp;REPT(" ",10),10)," ")</f>
        <v/>
      </c>
      <c r="T1432" s="10">
        <f>IF(A1432="D",LEFT(UPPER(D1432)&amp;REPT(" ",2),2)," ")</f>
        <v/>
      </c>
      <c r="U1432" s="10">
        <f>IF(A1432="D",LEFT(UPPER(E1432)&amp;REPT(" ",15),15)," ")</f>
        <v/>
      </c>
      <c r="V1432" s="10">
        <f>REPT(" ",24)</f>
        <v/>
      </c>
      <c r="W1432" s="10">
        <f>IF(A1432="c",LEFT(UPPER(B1432)&amp;REPT(" ",20),20),REPT(" ",20))</f>
        <v/>
      </c>
      <c r="X1432" s="10">
        <f>IF(A1432="C",LEFT(UPPER(C1432)&amp;REPT(" ",10),10)," ")</f>
        <v/>
      </c>
      <c r="Y1432" s="10">
        <f>IF(A1432="C",LEFT(UPPER(D1432)&amp;REPT(" ",2),2)," ")</f>
        <v/>
      </c>
      <c r="Z1432" s="10">
        <f>IF(A1432="C",LEFT(UPPER(E1432)&amp;REPT(" ",15),15)," ")</f>
        <v/>
      </c>
      <c r="AA1432" s="10">
        <f>REPT(" ",8)</f>
        <v/>
      </c>
      <c r="AB1432" s="10">
        <f>REPT(" ",4)</f>
        <v/>
      </c>
      <c r="AC1432" s="10">
        <f>LEFT(UPPER(H1432)&amp;REPT(" ",250),250)</f>
        <v/>
      </c>
      <c r="AD1432" s="10">
        <f>TEXT($G$2,"dd/mm/aaaa")</f>
        <v/>
      </c>
      <c r="AE1432" s="10">
        <f>REPT(" ",10)</f>
        <v/>
      </c>
      <c r="AF1432" s="10">
        <f>REPT(" ",20)</f>
        <v/>
      </c>
      <c r="AG1432" s="54">
        <f>REPT(" ",18-LEN(FIXED(F1432,2,TRUE)))&amp;FIXED(F1432,2,TRUE)</f>
        <v/>
      </c>
      <c r="AH1432" s="10">
        <f>LEN(AC1432)+LEN(AG1432)</f>
        <v/>
      </c>
      <c r="AI1432" s="10">
        <f>LEN(L1432)</f>
        <v/>
      </c>
    </row>
    <row r="1433">
      <c r="J1433" s="12">
        <f>IF(F1433&lt;&gt;0,"LANÇAR","")</f>
        <v/>
      </c>
      <c r="L1433" s="13">
        <f>N1433&amp;O1433&amp;P1433&amp;Q1433&amp;R1433&amp;S1433&amp;T1433&amp;U1433&amp;V1433&amp;W1433&amp;X1433&amp;Y1433&amp;Z1433&amp;AA1433&amp;AB1433&amp;AC1433&amp;AD1433&amp;AE1433&amp;AF1433&amp;AG1433</f>
        <v/>
      </c>
      <c r="N1433" s="10">
        <f>TEXT($B$6,"00")</f>
        <v/>
      </c>
      <c r="O1433" s="10">
        <f>REPT(" ",8)</f>
        <v/>
      </c>
      <c r="P1433" s="10">
        <f>RIGHT($B$4,2)</f>
        <v/>
      </c>
      <c r="Q1433" s="10">
        <f>RIGHT($B$5,3)</f>
        <v/>
      </c>
      <c r="R1433" s="10">
        <f>IF(A1433="D",LEFT(UPPER(B1433)&amp;REPT(" ",20),20),REPT(" ",20))</f>
        <v/>
      </c>
      <c r="S1433" s="10">
        <f>IF(A1433="D",LEFT(UPPER(C1433)&amp;REPT(" ",10),10)," ")</f>
        <v/>
      </c>
      <c r="T1433" s="10">
        <f>IF(A1433="D",LEFT(UPPER(D1433)&amp;REPT(" ",2),2)," ")</f>
        <v/>
      </c>
      <c r="U1433" s="10">
        <f>IF(A1433="D",LEFT(UPPER(E1433)&amp;REPT(" ",15),15)," ")</f>
        <v/>
      </c>
      <c r="V1433" s="10">
        <f>REPT(" ",24)</f>
        <v/>
      </c>
      <c r="W1433" s="10">
        <f>IF(A1433="c",LEFT(UPPER(B1433)&amp;REPT(" ",20),20),REPT(" ",20))</f>
        <v/>
      </c>
      <c r="X1433" s="10">
        <f>IF(A1433="C",LEFT(UPPER(C1433)&amp;REPT(" ",10),10)," ")</f>
        <v/>
      </c>
      <c r="Y1433" s="10">
        <f>IF(A1433="C",LEFT(UPPER(D1433)&amp;REPT(" ",2),2)," ")</f>
        <v/>
      </c>
      <c r="Z1433" s="10">
        <f>IF(A1433="C",LEFT(UPPER(E1433)&amp;REPT(" ",15),15)," ")</f>
        <v/>
      </c>
      <c r="AA1433" s="10">
        <f>REPT(" ",8)</f>
        <v/>
      </c>
      <c r="AB1433" s="10">
        <f>REPT(" ",4)</f>
        <v/>
      </c>
      <c r="AC1433" s="10">
        <f>LEFT(UPPER(H1433)&amp;REPT(" ",250),250)</f>
        <v/>
      </c>
      <c r="AD1433" s="10">
        <f>TEXT($G$2,"dd/mm/aaaa")</f>
        <v/>
      </c>
      <c r="AE1433" s="10">
        <f>REPT(" ",10)</f>
        <v/>
      </c>
      <c r="AF1433" s="10">
        <f>REPT(" ",20)</f>
        <v/>
      </c>
      <c r="AG1433" s="54">
        <f>REPT(" ",18-LEN(FIXED(F1433,2,TRUE)))&amp;FIXED(F1433,2,TRUE)</f>
        <v/>
      </c>
      <c r="AH1433" s="10">
        <f>LEN(AC1433)+LEN(AG1433)</f>
        <v/>
      </c>
      <c r="AI1433" s="10">
        <f>LEN(L1433)</f>
        <v/>
      </c>
    </row>
    <row r="1434">
      <c r="J1434" s="12">
        <f>IF(F1434&lt;&gt;0,"LANÇAR","")</f>
        <v/>
      </c>
      <c r="L1434" s="13">
        <f>N1434&amp;O1434&amp;P1434&amp;Q1434&amp;R1434&amp;S1434&amp;T1434&amp;U1434&amp;V1434&amp;W1434&amp;X1434&amp;Y1434&amp;Z1434&amp;AA1434&amp;AB1434&amp;AC1434&amp;AD1434&amp;AE1434&amp;AF1434&amp;AG1434</f>
        <v/>
      </c>
      <c r="N1434" s="10">
        <f>TEXT($B$6,"00")</f>
        <v/>
      </c>
      <c r="O1434" s="10">
        <f>REPT(" ",8)</f>
        <v/>
      </c>
      <c r="P1434" s="10">
        <f>RIGHT($B$4,2)</f>
        <v/>
      </c>
      <c r="Q1434" s="10">
        <f>RIGHT($B$5,3)</f>
        <v/>
      </c>
      <c r="R1434" s="10">
        <f>IF(A1434="D",LEFT(UPPER(B1434)&amp;REPT(" ",20),20),REPT(" ",20))</f>
        <v/>
      </c>
      <c r="S1434" s="10">
        <f>IF(A1434="D",LEFT(UPPER(C1434)&amp;REPT(" ",10),10)," ")</f>
        <v/>
      </c>
      <c r="T1434" s="10">
        <f>IF(A1434="D",LEFT(UPPER(D1434)&amp;REPT(" ",2),2)," ")</f>
        <v/>
      </c>
      <c r="U1434" s="10">
        <f>IF(A1434="D",LEFT(UPPER(E1434)&amp;REPT(" ",15),15)," ")</f>
        <v/>
      </c>
      <c r="V1434" s="10">
        <f>REPT(" ",24)</f>
        <v/>
      </c>
      <c r="W1434" s="10">
        <f>IF(A1434="c",LEFT(UPPER(B1434)&amp;REPT(" ",20),20),REPT(" ",20))</f>
        <v/>
      </c>
      <c r="X1434" s="10">
        <f>IF(A1434="C",LEFT(UPPER(C1434)&amp;REPT(" ",10),10)," ")</f>
        <v/>
      </c>
      <c r="Y1434" s="10">
        <f>IF(A1434="C",LEFT(UPPER(D1434)&amp;REPT(" ",2),2)," ")</f>
        <v/>
      </c>
      <c r="Z1434" s="10">
        <f>IF(A1434="C",LEFT(UPPER(E1434)&amp;REPT(" ",15),15)," ")</f>
        <v/>
      </c>
      <c r="AA1434" s="10">
        <f>REPT(" ",8)</f>
        <v/>
      </c>
      <c r="AB1434" s="10">
        <f>REPT(" ",4)</f>
        <v/>
      </c>
      <c r="AC1434" s="10">
        <f>LEFT(UPPER(H1434)&amp;REPT(" ",250),250)</f>
        <v/>
      </c>
      <c r="AD1434" s="10">
        <f>TEXT($G$2,"dd/mm/aaaa")</f>
        <v/>
      </c>
      <c r="AE1434" s="10">
        <f>REPT(" ",10)</f>
        <v/>
      </c>
      <c r="AF1434" s="10">
        <f>REPT(" ",20)</f>
        <v/>
      </c>
      <c r="AG1434" s="54">
        <f>REPT(" ",18-LEN(FIXED(F1434,2,TRUE)))&amp;FIXED(F1434,2,TRUE)</f>
        <v/>
      </c>
      <c r="AH1434" s="10">
        <f>LEN(AC1434)+LEN(AG1434)</f>
        <v/>
      </c>
      <c r="AI1434" s="10">
        <f>LEN(L1434)</f>
        <v/>
      </c>
    </row>
    <row r="1435">
      <c r="J1435" s="12">
        <f>IF(F1435&lt;&gt;0,"LANÇAR","")</f>
        <v/>
      </c>
      <c r="L1435" s="13">
        <f>N1435&amp;O1435&amp;P1435&amp;Q1435&amp;R1435&amp;S1435&amp;T1435&amp;U1435&amp;V1435&amp;W1435&amp;X1435&amp;Y1435&amp;Z1435&amp;AA1435&amp;AB1435&amp;AC1435&amp;AD1435&amp;AE1435&amp;AF1435&amp;AG1435</f>
        <v/>
      </c>
      <c r="N1435" s="10">
        <f>TEXT($B$6,"00")</f>
        <v/>
      </c>
      <c r="O1435" s="10">
        <f>REPT(" ",8)</f>
        <v/>
      </c>
      <c r="P1435" s="10">
        <f>RIGHT($B$4,2)</f>
        <v/>
      </c>
      <c r="Q1435" s="10">
        <f>RIGHT($B$5,3)</f>
        <v/>
      </c>
      <c r="R1435" s="10">
        <f>IF(A1435="D",LEFT(UPPER(B1435)&amp;REPT(" ",20),20),REPT(" ",20))</f>
        <v/>
      </c>
      <c r="S1435" s="10">
        <f>IF(A1435="D",LEFT(UPPER(C1435)&amp;REPT(" ",10),10)," ")</f>
        <v/>
      </c>
      <c r="T1435" s="10">
        <f>IF(A1435="D",LEFT(UPPER(D1435)&amp;REPT(" ",2),2)," ")</f>
        <v/>
      </c>
      <c r="U1435" s="10">
        <f>IF(A1435="D",LEFT(UPPER(E1435)&amp;REPT(" ",15),15)," ")</f>
        <v/>
      </c>
      <c r="V1435" s="10">
        <f>REPT(" ",24)</f>
        <v/>
      </c>
      <c r="W1435" s="10">
        <f>IF(A1435="c",LEFT(UPPER(B1435)&amp;REPT(" ",20),20),REPT(" ",20))</f>
        <v/>
      </c>
      <c r="X1435" s="10">
        <f>IF(A1435="C",LEFT(UPPER(C1435)&amp;REPT(" ",10),10)," ")</f>
        <v/>
      </c>
      <c r="Y1435" s="10">
        <f>IF(A1435="C",LEFT(UPPER(D1435)&amp;REPT(" ",2),2)," ")</f>
        <v/>
      </c>
      <c r="Z1435" s="10">
        <f>IF(A1435="C",LEFT(UPPER(E1435)&amp;REPT(" ",15),15)," ")</f>
        <v/>
      </c>
      <c r="AA1435" s="10">
        <f>REPT(" ",8)</f>
        <v/>
      </c>
      <c r="AB1435" s="10">
        <f>REPT(" ",4)</f>
        <v/>
      </c>
      <c r="AC1435" s="10">
        <f>LEFT(UPPER(H1435)&amp;REPT(" ",250),250)</f>
        <v/>
      </c>
      <c r="AD1435" s="10">
        <f>TEXT($G$2,"dd/mm/aaaa")</f>
        <v/>
      </c>
      <c r="AE1435" s="10">
        <f>REPT(" ",10)</f>
        <v/>
      </c>
      <c r="AF1435" s="10">
        <f>REPT(" ",20)</f>
        <v/>
      </c>
      <c r="AG1435" s="54">
        <f>REPT(" ",18-LEN(FIXED(F1435,2,TRUE)))&amp;FIXED(F1435,2,TRUE)</f>
        <v/>
      </c>
      <c r="AH1435" s="10">
        <f>LEN(AC1435)+LEN(AG1435)</f>
        <v/>
      </c>
      <c r="AI1435" s="10">
        <f>LEN(L1435)</f>
        <v/>
      </c>
    </row>
    <row r="1436">
      <c r="J1436" s="12">
        <f>IF(F1436&lt;&gt;0,"LANÇAR","")</f>
        <v/>
      </c>
      <c r="L1436" s="13">
        <f>N1436&amp;O1436&amp;P1436&amp;Q1436&amp;R1436&amp;S1436&amp;T1436&amp;U1436&amp;V1436&amp;W1436&amp;X1436&amp;Y1436&amp;Z1436&amp;AA1436&amp;AB1436&amp;AC1436&amp;AD1436&amp;AE1436&amp;AF1436&amp;AG1436</f>
        <v/>
      </c>
      <c r="N1436" s="10">
        <f>TEXT($B$6,"00")</f>
        <v/>
      </c>
      <c r="O1436" s="10">
        <f>REPT(" ",8)</f>
        <v/>
      </c>
      <c r="P1436" s="10">
        <f>RIGHT($B$4,2)</f>
        <v/>
      </c>
      <c r="Q1436" s="10">
        <f>RIGHT($B$5,3)</f>
        <v/>
      </c>
      <c r="R1436" s="10">
        <f>IF(A1436="D",LEFT(UPPER(B1436)&amp;REPT(" ",20),20),REPT(" ",20))</f>
        <v/>
      </c>
      <c r="S1436" s="10">
        <f>IF(A1436="D",LEFT(UPPER(C1436)&amp;REPT(" ",10),10)," ")</f>
        <v/>
      </c>
      <c r="T1436" s="10">
        <f>IF(A1436="D",LEFT(UPPER(D1436)&amp;REPT(" ",2),2)," ")</f>
        <v/>
      </c>
      <c r="U1436" s="10">
        <f>IF(A1436="D",LEFT(UPPER(E1436)&amp;REPT(" ",15),15)," ")</f>
        <v/>
      </c>
      <c r="V1436" s="10">
        <f>REPT(" ",24)</f>
        <v/>
      </c>
      <c r="W1436" s="10">
        <f>IF(A1436="c",LEFT(UPPER(B1436)&amp;REPT(" ",20),20),REPT(" ",20))</f>
        <v/>
      </c>
      <c r="X1436" s="10">
        <f>IF(A1436="C",LEFT(UPPER(C1436)&amp;REPT(" ",10),10)," ")</f>
        <v/>
      </c>
      <c r="Y1436" s="10">
        <f>IF(A1436="C",LEFT(UPPER(D1436)&amp;REPT(" ",2),2)," ")</f>
        <v/>
      </c>
      <c r="Z1436" s="10">
        <f>IF(A1436="C",LEFT(UPPER(E1436)&amp;REPT(" ",15),15)," ")</f>
        <v/>
      </c>
      <c r="AA1436" s="10">
        <f>REPT(" ",8)</f>
        <v/>
      </c>
      <c r="AB1436" s="10">
        <f>REPT(" ",4)</f>
        <v/>
      </c>
      <c r="AC1436" s="10">
        <f>LEFT(UPPER(H1436)&amp;REPT(" ",250),250)</f>
        <v/>
      </c>
      <c r="AD1436" s="10">
        <f>TEXT($G$2,"dd/mm/aaaa")</f>
        <v/>
      </c>
      <c r="AE1436" s="10">
        <f>REPT(" ",10)</f>
        <v/>
      </c>
      <c r="AF1436" s="10">
        <f>REPT(" ",20)</f>
        <v/>
      </c>
      <c r="AG1436" s="54">
        <f>REPT(" ",18-LEN(FIXED(F1436,2,TRUE)))&amp;FIXED(F1436,2,TRUE)</f>
        <v/>
      </c>
      <c r="AH1436" s="10">
        <f>LEN(AC1436)+LEN(AG1436)</f>
        <v/>
      </c>
      <c r="AI1436" s="10">
        <f>LEN(L1436)</f>
        <v/>
      </c>
    </row>
    <row r="1437">
      <c r="J1437" s="12">
        <f>IF(F1437&lt;&gt;0,"LANÇAR","")</f>
        <v/>
      </c>
      <c r="L1437" s="13">
        <f>N1437&amp;O1437&amp;P1437&amp;Q1437&amp;R1437&amp;S1437&amp;T1437&amp;U1437&amp;V1437&amp;W1437&amp;X1437&amp;Y1437&amp;Z1437&amp;AA1437&amp;AB1437&amp;AC1437&amp;AD1437&amp;AE1437&amp;AF1437&amp;AG1437</f>
        <v/>
      </c>
      <c r="N1437" s="10">
        <f>TEXT($B$6,"00")</f>
        <v/>
      </c>
      <c r="O1437" s="10">
        <f>REPT(" ",8)</f>
        <v/>
      </c>
      <c r="P1437" s="10">
        <f>RIGHT($B$4,2)</f>
        <v/>
      </c>
      <c r="Q1437" s="10">
        <f>RIGHT($B$5,3)</f>
        <v/>
      </c>
      <c r="R1437" s="10">
        <f>IF(A1437="D",LEFT(UPPER(B1437)&amp;REPT(" ",20),20),REPT(" ",20))</f>
        <v/>
      </c>
      <c r="S1437" s="10">
        <f>IF(A1437="D",LEFT(UPPER(C1437)&amp;REPT(" ",10),10)," ")</f>
        <v/>
      </c>
      <c r="T1437" s="10">
        <f>IF(A1437="D",LEFT(UPPER(D1437)&amp;REPT(" ",2),2)," ")</f>
        <v/>
      </c>
      <c r="U1437" s="10">
        <f>IF(A1437="D",LEFT(UPPER(E1437)&amp;REPT(" ",15),15)," ")</f>
        <v/>
      </c>
      <c r="V1437" s="10">
        <f>REPT(" ",24)</f>
        <v/>
      </c>
      <c r="W1437" s="10">
        <f>IF(A1437="c",LEFT(UPPER(B1437)&amp;REPT(" ",20),20),REPT(" ",20))</f>
        <v/>
      </c>
      <c r="X1437" s="10">
        <f>IF(A1437="C",LEFT(UPPER(C1437)&amp;REPT(" ",10),10)," ")</f>
        <v/>
      </c>
      <c r="Y1437" s="10">
        <f>IF(A1437="C",LEFT(UPPER(D1437)&amp;REPT(" ",2),2)," ")</f>
        <v/>
      </c>
      <c r="Z1437" s="10">
        <f>IF(A1437="C",LEFT(UPPER(E1437)&amp;REPT(" ",15),15)," ")</f>
        <v/>
      </c>
      <c r="AA1437" s="10">
        <f>REPT(" ",8)</f>
        <v/>
      </c>
      <c r="AB1437" s="10">
        <f>REPT(" ",4)</f>
        <v/>
      </c>
      <c r="AC1437" s="10">
        <f>LEFT(UPPER(H1437)&amp;REPT(" ",250),250)</f>
        <v/>
      </c>
      <c r="AD1437" s="10">
        <f>TEXT($G$2,"dd/mm/aaaa")</f>
        <v/>
      </c>
      <c r="AE1437" s="10">
        <f>REPT(" ",10)</f>
        <v/>
      </c>
      <c r="AF1437" s="10">
        <f>REPT(" ",20)</f>
        <v/>
      </c>
      <c r="AG1437" s="54">
        <f>REPT(" ",18-LEN(FIXED(F1437,2,TRUE)))&amp;FIXED(F1437,2,TRUE)</f>
        <v/>
      </c>
      <c r="AH1437" s="10">
        <f>LEN(AC1437)+LEN(AG1437)</f>
        <v/>
      </c>
      <c r="AI1437" s="10">
        <f>LEN(L1437)</f>
        <v/>
      </c>
    </row>
    <row r="1438">
      <c r="J1438" s="12">
        <f>IF(F1438&lt;&gt;0,"LANÇAR","")</f>
        <v/>
      </c>
      <c r="L1438" s="13">
        <f>N1438&amp;O1438&amp;P1438&amp;Q1438&amp;R1438&amp;S1438&amp;T1438&amp;U1438&amp;V1438&amp;W1438&amp;X1438&amp;Y1438&amp;Z1438&amp;AA1438&amp;AB1438&amp;AC1438&amp;AD1438&amp;AE1438&amp;AF1438&amp;AG1438</f>
        <v/>
      </c>
      <c r="N1438" s="10">
        <f>TEXT($B$6,"00")</f>
        <v/>
      </c>
      <c r="O1438" s="10">
        <f>REPT(" ",8)</f>
        <v/>
      </c>
      <c r="P1438" s="10">
        <f>RIGHT($B$4,2)</f>
        <v/>
      </c>
      <c r="Q1438" s="10">
        <f>RIGHT($B$5,3)</f>
        <v/>
      </c>
      <c r="R1438" s="10">
        <f>IF(A1438="D",LEFT(UPPER(B1438)&amp;REPT(" ",20),20),REPT(" ",20))</f>
        <v/>
      </c>
      <c r="S1438" s="10">
        <f>IF(A1438="D",LEFT(UPPER(C1438)&amp;REPT(" ",10),10)," ")</f>
        <v/>
      </c>
      <c r="T1438" s="10">
        <f>IF(A1438="D",LEFT(UPPER(D1438)&amp;REPT(" ",2),2)," ")</f>
        <v/>
      </c>
      <c r="U1438" s="10">
        <f>IF(A1438="D",LEFT(UPPER(E1438)&amp;REPT(" ",15),15)," ")</f>
        <v/>
      </c>
      <c r="V1438" s="10">
        <f>REPT(" ",24)</f>
        <v/>
      </c>
      <c r="W1438" s="10">
        <f>IF(A1438="c",LEFT(UPPER(B1438)&amp;REPT(" ",20),20),REPT(" ",20))</f>
        <v/>
      </c>
      <c r="X1438" s="10">
        <f>IF(A1438="C",LEFT(UPPER(C1438)&amp;REPT(" ",10),10)," ")</f>
        <v/>
      </c>
      <c r="Y1438" s="10">
        <f>IF(A1438="C",LEFT(UPPER(D1438)&amp;REPT(" ",2),2)," ")</f>
        <v/>
      </c>
      <c r="Z1438" s="10">
        <f>IF(A1438="C",LEFT(UPPER(E1438)&amp;REPT(" ",15),15)," ")</f>
        <v/>
      </c>
      <c r="AA1438" s="10">
        <f>REPT(" ",8)</f>
        <v/>
      </c>
      <c r="AB1438" s="10">
        <f>REPT(" ",4)</f>
        <v/>
      </c>
      <c r="AC1438" s="10">
        <f>LEFT(UPPER(H1438)&amp;REPT(" ",250),250)</f>
        <v/>
      </c>
      <c r="AD1438" s="10">
        <f>TEXT($G$2,"dd/mm/aaaa")</f>
        <v/>
      </c>
      <c r="AE1438" s="10">
        <f>REPT(" ",10)</f>
        <v/>
      </c>
      <c r="AF1438" s="10">
        <f>REPT(" ",20)</f>
        <v/>
      </c>
      <c r="AG1438" s="54">
        <f>REPT(" ",18-LEN(FIXED(F1438,2,TRUE)))&amp;FIXED(F1438,2,TRUE)</f>
        <v/>
      </c>
      <c r="AH1438" s="10">
        <f>LEN(AC1438)+LEN(AG1438)</f>
        <v/>
      </c>
      <c r="AI1438" s="10">
        <f>LEN(L1438)</f>
        <v/>
      </c>
    </row>
    <row r="1439">
      <c r="J1439" s="12">
        <f>IF(F1439&lt;&gt;0,"LANÇAR","")</f>
        <v/>
      </c>
      <c r="L1439" s="13">
        <f>N1439&amp;O1439&amp;P1439&amp;Q1439&amp;R1439&amp;S1439&amp;T1439&amp;U1439&amp;V1439&amp;W1439&amp;X1439&amp;Y1439&amp;Z1439&amp;AA1439&amp;AB1439&amp;AC1439&amp;AD1439&amp;AE1439&amp;AF1439&amp;AG1439</f>
        <v/>
      </c>
      <c r="N1439" s="10">
        <f>TEXT($B$6,"00")</f>
        <v/>
      </c>
      <c r="O1439" s="10">
        <f>REPT(" ",8)</f>
        <v/>
      </c>
      <c r="P1439" s="10">
        <f>RIGHT($B$4,2)</f>
        <v/>
      </c>
      <c r="Q1439" s="10">
        <f>RIGHT($B$5,3)</f>
        <v/>
      </c>
      <c r="R1439" s="10">
        <f>IF(A1439="D",LEFT(UPPER(B1439)&amp;REPT(" ",20),20),REPT(" ",20))</f>
        <v/>
      </c>
      <c r="S1439" s="10">
        <f>IF(A1439="D",LEFT(UPPER(C1439)&amp;REPT(" ",10),10)," ")</f>
        <v/>
      </c>
      <c r="T1439" s="10">
        <f>IF(A1439="D",LEFT(UPPER(D1439)&amp;REPT(" ",2),2)," ")</f>
        <v/>
      </c>
      <c r="U1439" s="10">
        <f>IF(A1439="D",LEFT(UPPER(E1439)&amp;REPT(" ",15),15)," ")</f>
        <v/>
      </c>
      <c r="V1439" s="10">
        <f>REPT(" ",24)</f>
        <v/>
      </c>
      <c r="W1439" s="10">
        <f>IF(A1439="c",LEFT(UPPER(B1439)&amp;REPT(" ",20),20),REPT(" ",20))</f>
        <v/>
      </c>
      <c r="X1439" s="10">
        <f>IF(A1439="C",LEFT(UPPER(C1439)&amp;REPT(" ",10),10)," ")</f>
        <v/>
      </c>
      <c r="Y1439" s="10">
        <f>IF(A1439="C",LEFT(UPPER(D1439)&amp;REPT(" ",2),2)," ")</f>
        <v/>
      </c>
      <c r="Z1439" s="10">
        <f>IF(A1439="C",LEFT(UPPER(E1439)&amp;REPT(" ",15),15)," ")</f>
        <v/>
      </c>
      <c r="AA1439" s="10">
        <f>REPT(" ",8)</f>
        <v/>
      </c>
      <c r="AB1439" s="10">
        <f>REPT(" ",4)</f>
        <v/>
      </c>
      <c r="AC1439" s="10">
        <f>LEFT(UPPER(H1439)&amp;REPT(" ",250),250)</f>
        <v/>
      </c>
      <c r="AD1439" s="10">
        <f>TEXT($G$2,"dd/mm/aaaa")</f>
        <v/>
      </c>
      <c r="AE1439" s="10">
        <f>REPT(" ",10)</f>
        <v/>
      </c>
      <c r="AF1439" s="10">
        <f>REPT(" ",20)</f>
        <v/>
      </c>
      <c r="AG1439" s="54">
        <f>REPT(" ",18-LEN(FIXED(F1439,2,TRUE)))&amp;FIXED(F1439,2,TRUE)</f>
        <v/>
      </c>
      <c r="AH1439" s="10">
        <f>LEN(AC1439)+LEN(AG1439)</f>
        <v/>
      </c>
      <c r="AI1439" s="10">
        <f>LEN(L1439)</f>
        <v/>
      </c>
    </row>
    <row r="1440">
      <c r="J1440" s="12">
        <f>IF(F1440&lt;&gt;0,"LANÇAR","")</f>
        <v/>
      </c>
      <c r="L1440" s="13">
        <f>N1440&amp;O1440&amp;P1440&amp;Q1440&amp;R1440&amp;S1440&amp;T1440&amp;U1440&amp;V1440&amp;W1440&amp;X1440&amp;Y1440&amp;Z1440&amp;AA1440&amp;AB1440&amp;AC1440&amp;AD1440&amp;AE1440&amp;AF1440&amp;AG1440</f>
        <v/>
      </c>
      <c r="N1440" s="10">
        <f>TEXT($B$6,"00")</f>
        <v/>
      </c>
      <c r="O1440" s="10">
        <f>REPT(" ",8)</f>
        <v/>
      </c>
      <c r="P1440" s="10">
        <f>RIGHT($B$4,2)</f>
        <v/>
      </c>
      <c r="Q1440" s="10">
        <f>RIGHT($B$5,3)</f>
        <v/>
      </c>
      <c r="R1440" s="10">
        <f>IF(A1440="D",LEFT(UPPER(B1440)&amp;REPT(" ",20),20),REPT(" ",20))</f>
        <v/>
      </c>
      <c r="S1440" s="10">
        <f>IF(A1440="D",LEFT(UPPER(C1440)&amp;REPT(" ",10),10)," ")</f>
        <v/>
      </c>
      <c r="T1440" s="10">
        <f>IF(A1440="D",LEFT(UPPER(D1440)&amp;REPT(" ",2),2)," ")</f>
        <v/>
      </c>
      <c r="U1440" s="10">
        <f>IF(A1440="D",LEFT(UPPER(E1440)&amp;REPT(" ",15),15)," ")</f>
        <v/>
      </c>
      <c r="V1440" s="10">
        <f>REPT(" ",24)</f>
        <v/>
      </c>
      <c r="W1440" s="10">
        <f>IF(A1440="c",LEFT(UPPER(B1440)&amp;REPT(" ",20),20),REPT(" ",20))</f>
        <v/>
      </c>
      <c r="X1440" s="10">
        <f>IF(A1440="C",LEFT(UPPER(C1440)&amp;REPT(" ",10),10)," ")</f>
        <v/>
      </c>
      <c r="Y1440" s="10">
        <f>IF(A1440="C",LEFT(UPPER(D1440)&amp;REPT(" ",2),2)," ")</f>
        <v/>
      </c>
      <c r="Z1440" s="10">
        <f>IF(A1440="C",LEFT(UPPER(E1440)&amp;REPT(" ",15),15)," ")</f>
        <v/>
      </c>
      <c r="AA1440" s="10">
        <f>REPT(" ",8)</f>
        <v/>
      </c>
      <c r="AB1440" s="10">
        <f>REPT(" ",4)</f>
        <v/>
      </c>
      <c r="AC1440" s="10">
        <f>LEFT(UPPER(H1440)&amp;REPT(" ",250),250)</f>
        <v/>
      </c>
      <c r="AD1440" s="10">
        <f>TEXT($G$2,"dd/mm/aaaa")</f>
        <v/>
      </c>
      <c r="AE1440" s="10">
        <f>REPT(" ",10)</f>
        <v/>
      </c>
      <c r="AF1440" s="10">
        <f>REPT(" ",20)</f>
        <v/>
      </c>
      <c r="AG1440" s="54">
        <f>REPT(" ",18-LEN(FIXED(F1440,2,TRUE)))&amp;FIXED(F1440,2,TRUE)</f>
        <v/>
      </c>
      <c r="AH1440" s="10">
        <f>LEN(AC1440)+LEN(AG1440)</f>
        <v/>
      </c>
      <c r="AI1440" s="10">
        <f>LEN(L1440)</f>
        <v/>
      </c>
    </row>
    <row r="1441">
      <c r="J1441" s="12">
        <f>IF(F1441&lt;&gt;0,"LANÇAR","")</f>
        <v/>
      </c>
      <c r="L1441" s="13">
        <f>N1441&amp;O1441&amp;P1441&amp;Q1441&amp;R1441&amp;S1441&amp;T1441&amp;U1441&amp;V1441&amp;W1441&amp;X1441&amp;Y1441&amp;Z1441&amp;AA1441&amp;AB1441&amp;AC1441&amp;AD1441&amp;AE1441&amp;AF1441&amp;AG1441</f>
        <v/>
      </c>
      <c r="N1441" s="10">
        <f>TEXT($B$6,"00")</f>
        <v/>
      </c>
      <c r="O1441" s="10">
        <f>REPT(" ",8)</f>
        <v/>
      </c>
      <c r="P1441" s="10">
        <f>RIGHT($B$4,2)</f>
        <v/>
      </c>
      <c r="Q1441" s="10">
        <f>RIGHT($B$5,3)</f>
        <v/>
      </c>
      <c r="R1441" s="10">
        <f>IF(A1441="D",LEFT(UPPER(B1441)&amp;REPT(" ",20),20),REPT(" ",20))</f>
        <v/>
      </c>
      <c r="S1441" s="10">
        <f>IF(A1441="D",LEFT(UPPER(C1441)&amp;REPT(" ",10),10)," ")</f>
        <v/>
      </c>
      <c r="T1441" s="10">
        <f>IF(A1441="D",LEFT(UPPER(D1441)&amp;REPT(" ",2),2)," ")</f>
        <v/>
      </c>
      <c r="U1441" s="10">
        <f>IF(A1441="D",LEFT(UPPER(E1441)&amp;REPT(" ",15),15)," ")</f>
        <v/>
      </c>
      <c r="V1441" s="10">
        <f>REPT(" ",24)</f>
        <v/>
      </c>
      <c r="W1441" s="10">
        <f>IF(A1441="c",LEFT(UPPER(B1441)&amp;REPT(" ",20),20),REPT(" ",20))</f>
        <v/>
      </c>
      <c r="X1441" s="10">
        <f>IF(A1441="C",LEFT(UPPER(C1441)&amp;REPT(" ",10),10)," ")</f>
        <v/>
      </c>
      <c r="Y1441" s="10">
        <f>IF(A1441="C",LEFT(UPPER(D1441)&amp;REPT(" ",2),2)," ")</f>
        <v/>
      </c>
      <c r="Z1441" s="10">
        <f>IF(A1441="C",LEFT(UPPER(E1441)&amp;REPT(" ",15),15)," ")</f>
        <v/>
      </c>
      <c r="AA1441" s="10">
        <f>REPT(" ",8)</f>
        <v/>
      </c>
      <c r="AB1441" s="10">
        <f>REPT(" ",4)</f>
        <v/>
      </c>
      <c r="AC1441" s="10">
        <f>LEFT(UPPER(H1441)&amp;REPT(" ",250),250)</f>
        <v/>
      </c>
      <c r="AD1441" s="10">
        <f>TEXT($G$2,"dd/mm/aaaa")</f>
        <v/>
      </c>
      <c r="AE1441" s="10">
        <f>REPT(" ",10)</f>
        <v/>
      </c>
      <c r="AF1441" s="10">
        <f>REPT(" ",20)</f>
        <v/>
      </c>
      <c r="AG1441" s="54">
        <f>REPT(" ",18-LEN(FIXED(F1441,2,TRUE)))&amp;FIXED(F1441,2,TRUE)</f>
        <v/>
      </c>
      <c r="AH1441" s="10">
        <f>LEN(AC1441)+LEN(AG1441)</f>
        <v/>
      </c>
      <c r="AI1441" s="10">
        <f>LEN(L1441)</f>
        <v/>
      </c>
    </row>
    <row r="1442">
      <c r="J1442" s="12">
        <f>IF(F1442&lt;&gt;0,"LANÇAR","")</f>
        <v/>
      </c>
      <c r="L1442" s="13">
        <f>N1442&amp;O1442&amp;P1442&amp;Q1442&amp;R1442&amp;S1442&amp;T1442&amp;U1442&amp;V1442&amp;W1442&amp;X1442&amp;Y1442&amp;Z1442&amp;AA1442&amp;AB1442&amp;AC1442&amp;AD1442&amp;AE1442&amp;AF1442&amp;AG1442</f>
        <v/>
      </c>
      <c r="N1442" s="10">
        <f>TEXT($B$6,"00")</f>
        <v/>
      </c>
      <c r="O1442" s="10">
        <f>REPT(" ",8)</f>
        <v/>
      </c>
      <c r="P1442" s="10">
        <f>RIGHT($B$4,2)</f>
        <v/>
      </c>
      <c r="Q1442" s="10">
        <f>RIGHT($B$5,3)</f>
        <v/>
      </c>
      <c r="R1442" s="10">
        <f>IF(A1442="D",LEFT(UPPER(B1442)&amp;REPT(" ",20),20),REPT(" ",20))</f>
        <v/>
      </c>
      <c r="S1442" s="10">
        <f>IF(A1442="D",LEFT(UPPER(C1442)&amp;REPT(" ",10),10)," ")</f>
        <v/>
      </c>
      <c r="T1442" s="10">
        <f>IF(A1442="D",LEFT(UPPER(D1442)&amp;REPT(" ",2),2)," ")</f>
        <v/>
      </c>
      <c r="U1442" s="10">
        <f>IF(A1442="D",LEFT(UPPER(E1442)&amp;REPT(" ",15),15)," ")</f>
        <v/>
      </c>
      <c r="V1442" s="10">
        <f>REPT(" ",24)</f>
        <v/>
      </c>
      <c r="W1442" s="10">
        <f>IF(A1442="c",LEFT(UPPER(B1442)&amp;REPT(" ",20),20),REPT(" ",20))</f>
        <v/>
      </c>
      <c r="X1442" s="10">
        <f>IF(A1442="C",LEFT(UPPER(C1442)&amp;REPT(" ",10),10)," ")</f>
        <v/>
      </c>
      <c r="Y1442" s="10">
        <f>IF(A1442="C",LEFT(UPPER(D1442)&amp;REPT(" ",2),2)," ")</f>
        <v/>
      </c>
      <c r="Z1442" s="10">
        <f>IF(A1442="C",LEFT(UPPER(E1442)&amp;REPT(" ",15),15)," ")</f>
        <v/>
      </c>
      <c r="AA1442" s="10">
        <f>REPT(" ",8)</f>
        <v/>
      </c>
      <c r="AB1442" s="10">
        <f>REPT(" ",4)</f>
        <v/>
      </c>
      <c r="AC1442" s="10">
        <f>LEFT(UPPER(H1442)&amp;REPT(" ",250),250)</f>
        <v/>
      </c>
      <c r="AD1442" s="10">
        <f>TEXT($G$2,"dd/mm/aaaa")</f>
        <v/>
      </c>
      <c r="AE1442" s="10">
        <f>REPT(" ",10)</f>
        <v/>
      </c>
      <c r="AF1442" s="10">
        <f>REPT(" ",20)</f>
        <v/>
      </c>
      <c r="AG1442" s="54">
        <f>REPT(" ",18-LEN(FIXED(F1442,2,TRUE)))&amp;FIXED(F1442,2,TRUE)</f>
        <v/>
      </c>
      <c r="AH1442" s="10">
        <f>LEN(AC1442)+LEN(AG1442)</f>
        <v/>
      </c>
      <c r="AI1442" s="10">
        <f>LEN(L1442)</f>
        <v/>
      </c>
    </row>
    <row r="1443">
      <c r="J1443" s="12">
        <f>IF(F1443&lt;&gt;0,"LANÇAR","")</f>
        <v/>
      </c>
      <c r="L1443" s="13">
        <f>N1443&amp;O1443&amp;P1443&amp;Q1443&amp;R1443&amp;S1443&amp;T1443&amp;U1443&amp;V1443&amp;W1443&amp;X1443&amp;Y1443&amp;Z1443&amp;AA1443&amp;AB1443&amp;AC1443&amp;AD1443&amp;AE1443&amp;AF1443&amp;AG1443</f>
        <v/>
      </c>
      <c r="N1443" s="10">
        <f>TEXT($B$6,"00")</f>
        <v/>
      </c>
      <c r="O1443" s="10">
        <f>REPT(" ",8)</f>
        <v/>
      </c>
      <c r="P1443" s="10">
        <f>RIGHT($B$4,2)</f>
        <v/>
      </c>
      <c r="Q1443" s="10">
        <f>RIGHT($B$5,3)</f>
        <v/>
      </c>
      <c r="R1443" s="10">
        <f>IF(A1443="D",LEFT(UPPER(B1443)&amp;REPT(" ",20),20),REPT(" ",20))</f>
        <v/>
      </c>
      <c r="S1443" s="10">
        <f>IF(A1443="D",LEFT(UPPER(C1443)&amp;REPT(" ",10),10)," ")</f>
        <v/>
      </c>
      <c r="T1443" s="10">
        <f>IF(A1443="D",LEFT(UPPER(D1443)&amp;REPT(" ",2),2)," ")</f>
        <v/>
      </c>
      <c r="U1443" s="10">
        <f>IF(A1443="D",LEFT(UPPER(E1443)&amp;REPT(" ",15),15)," ")</f>
        <v/>
      </c>
      <c r="V1443" s="10">
        <f>REPT(" ",24)</f>
        <v/>
      </c>
      <c r="W1443" s="10">
        <f>IF(A1443="c",LEFT(UPPER(B1443)&amp;REPT(" ",20),20),REPT(" ",20))</f>
        <v/>
      </c>
      <c r="X1443" s="10">
        <f>IF(A1443="C",LEFT(UPPER(C1443)&amp;REPT(" ",10),10)," ")</f>
        <v/>
      </c>
      <c r="Y1443" s="10">
        <f>IF(A1443="C",LEFT(UPPER(D1443)&amp;REPT(" ",2),2)," ")</f>
        <v/>
      </c>
      <c r="Z1443" s="10">
        <f>IF(A1443="C",LEFT(UPPER(E1443)&amp;REPT(" ",15),15)," ")</f>
        <v/>
      </c>
      <c r="AA1443" s="10">
        <f>REPT(" ",8)</f>
        <v/>
      </c>
      <c r="AB1443" s="10">
        <f>REPT(" ",4)</f>
        <v/>
      </c>
      <c r="AC1443" s="10">
        <f>LEFT(UPPER(H1443)&amp;REPT(" ",250),250)</f>
        <v/>
      </c>
      <c r="AD1443" s="10">
        <f>TEXT($G$2,"dd/mm/aaaa")</f>
        <v/>
      </c>
      <c r="AE1443" s="10">
        <f>REPT(" ",10)</f>
        <v/>
      </c>
      <c r="AF1443" s="10">
        <f>REPT(" ",20)</f>
        <v/>
      </c>
      <c r="AG1443" s="54">
        <f>REPT(" ",18-LEN(FIXED(F1443,2,TRUE)))&amp;FIXED(F1443,2,TRUE)</f>
        <v/>
      </c>
      <c r="AH1443" s="10">
        <f>LEN(AC1443)+LEN(AG1443)</f>
        <v/>
      </c>
      <c r="AI1443" s="10">
        <f>LEN(L1443)</f>
        <v/>
      </c>
    </row>
    <row r="1444">
      <c r="J1444" s="12">
        <f>IF(F1444&lt;&gt;0,"LANÇAR","")</f>
        <v/>
      </c>
      <c r="L1444" s="13">
        <f>N1444&amp;O1444&amp;P1444&amp;Q1444&amp;R1444&amp;S1444&amp;T1444&amp;U1444&amp;V1444&amp;W1444&amp;X1444&amp;Y1444&amp;Z1444&amp;AA1444&amp;AB1444&amp;AC1444&amp;AD1444&amp;AE1444&amp;AF1444&amp;AG1444</f>
        <v/>
      </c>
      <c r="N1444" s="10">
        <f>TEXT($B$6,"00")</f>
        <v/>
      </c>
      <c r="O1444" s="10">
        <f>REPT(" ",8)</f>
        <v/>
      </c>
      <c r="P1444" s="10">
        <f>RIGHT($B$4,2)</f>
        <v/>
      </c>
      <c r="Q1444" s="10">
        <f>RIGHT($B$5,3)</f>
        <v/>
      </c>
      <c r="R1444" s="10">
        <f>IF(A1444="D",LEFT(UPPER(B1444)&amp;REPT(" ",20),20),REPT(" ",20))</f>
        <v/>
      </c>
      <c r="S1444" s="10">
        <f>IF(A1444="D",LEFT(UPPER(C1444)&amp;REPT(" ",10),10)," ")</f>
        <v/>
      </c>
      <c r="T1444" s="10">
        <f>IF(A1444="D",LEFT(UPPER(D1444)&amp;REPT(" ",2),2)," ")</f>
        <v/>
      </c>
      <c r="U1444" s="10">
        <f>IF(A1444="D",LEFT(UPPER(E1444)&amp;REPT(" ",15),15)," ")</f>
        <v/>
      </c>
      <c r="V1444" s="10">
        <f>REPT(" ",24)</f>
        <v/>
      </c>
      <c r="W1444" s="10">
        <f>IF(A1444="c",LEFT(UPPER(B1444)&amp;REPT(" ",20),20),REPT(" ",20))</f>
        <v/>
      </c>
      <c r="X1444" s="10">
        <f>IF(A1444="C",LEFT(UPPER(C1444)&amp;REPT(" ",10),10)," ")</f>
        <v/>
      </c>
      <c r="Y1444" s="10">
        <f>IF(A1444="C",LEFT(UPPER(D1444)&amp;REPT(" ",2),2)," ")</f>
        <v/>
      </c>
      <c r="Z1444" s="10">
        <f>IF(A1444="C",LEFT(UPPER(E1444)&amp;REPT(" ",15),15)," ")</f>
        <v/>
      </c>
      <c r="AA1444" s="10">
        <f>REPT(" ",8)</f>
        <v/>
      </c>
      <c r="AB1444" s="10">
        <f>REPT(" ",4)</f>
        <v/>
      </c>
      <c r="AC1444" s="10">
        <f>LEFT(UPPER(H1444)&amp;REPT(" ",250),250)</f>
        <v/>
      </c>
      <c r="AD1444" s="10">
        <f>TEXT($G$2,"dd/mm/aaaa")</f>
        <v/>
      </c>
      <c r="AE1444" s="10">
        <f>REPT(" ",10)</f>
        <v/>
      </c>
      <c r="AF1444" s="10">
        <f>REPT(" ",20)</f>
        <v/>
      </c>
      <c r="AG1444" s="54">
        <f>REPT(" ",18-LEN(FIXED(F1444,2,TRUE)))&amp;FIXED(F1444,2,TRUE)</f>
        <v/>
      </c>
      <c r="AH1444" s="10">
        <f>LEN(AC1444)+LEN(AG1444)</f>
        <v/>
      </c>
      <c r="AI1444" s="10">
        <f>LEN(L1444)</f>
        <v/>
      </c>
    </row>
    <row r="1445">
      <c r="J1445" s="12">
        <f>IF(F1445&lt;&gt;0,"LANÇAR","")</f>
        <v/>
      </c>
      <c r="L1445" s="13">
        <f>N1445&amp;O1445&amp;P1445&amp;Q1445&amp;R1445&amp;S1445&amp;T1445&amp;U1445&amp;V1445&amp;W1445&amp;X1445&amp;Y1445&amp;Z1445&amp;AA1445&amp;AB1445&amp;AC1445&amp;AD1445&amp;AE1445&amp;AF1445&amp;AG1445</f>
        <v/>
      </c>
      <c r="N1445" s="10">
        <f>TEXT($B$6,"00")</f>
        <v/>
      </c>
      <c r="O1445" s="10">
        <f>REPT(" ",8)</f>
        <v/>
      </c>
      <c r="P1445" s="10">
        <f>RIGHT($B$4,2)</f>
        <v/>
      </c>
      <c r="Q1445" s="10">
        <f>RIGHT($B$5,3)</f>
        <v/>
      </c>
      <c r="R1445" s="10">
        <f>IF(A1445="D",LEFT(UPPER(B1445)&amp;REPT(" ",20),20),REPT(" ",20))</f>
        <v/>
      </c>
      <c r="S1445" s="10">
        <f>IF(A1445="D",LEFT(UPPER(C1445)&amp;REPT(" ",10),10)," ")</f>
        <v/>
      </c>
      <c r="T1445" s="10">
        <f>IF(A1445="D",LEFT(UPPER(D1445)&amp;REPT(" ",2),2)," ")</f>
        <v/>
      </c>
      <c r="U1445" s="10">
        <f>IF(A1445="D",LEFT(UPPER(E1445)&amp;REPT(" ",15),15)," ")</f>
        <v/>
      </c>
      <c r="V1445" s="10">
        <f>REPT(" ",24)</f>
        <v/>
      </c>
      <c r="W1445" s="10">
        <f>IF(A1445="c",LEFT(UPPER(B1445)&amp;REPT(" ",20),20),REPT(" ",20))</f>
        <v/>
      </c>
      <c r="X1445" s="10">
        <f>IF(A1445="C",LEFT(UPPER(C1445)&amp;REPT(" ",10),10)," ")</f>
        <v/>
      </c>
      <c r="Y1445" s="10">
        <f>IF(A1445="C",LEFT(UPPER(D1445)&amp;REPT(" ",2),2)," ")</f>
        <v/>
      </c>
      <c r="Z1445" s="10">
        <f>IF(A1445="C",LEFT(UPPER(E1445)&amp;REPT(" ",15),15)," ")</f>
        <v/>
      </c>
      <c r="AA1445" s="10">
        <f>REPT(" ",8)</f>
        <v/>
      </c>
      <c r="AB1445" s="10">
        <f>REPT(" ",4)</f>
        <v/>
      </c>
      <c r="AC1445" s="10">
        <f>LEFT(UPPER(H1445)&amp;REPT(" ",250),250)</f>
        <v/>
      </c>
      <c r="AD1445" s="10">
        <f>TEXT($G$2,"dd/mm/aaaa")</f>
        <v/>
      </c>
      <c r="AE1445" s="10">
        <f>REPT(" ",10)</f>
        <v/>
      </c>
      <c r="AF1445" s="10">
        <f>REPT(" ",20)</f>
        <v/>
      </c>
      <c r="AG1445" s="54">
        <f>REPT(" ",18-LEN(FIXED(F1445,2,TRUE)))&amp;FIXED(F1445,2,TRUE)</f>
        <v/>
      </c>
      <c r="AH1445" s="10">
        <f>LEN(AC1445)+LEN(AG1445)</f>
        <v/>
      </c>
      <c r="AI1445" s="10">
        <f>LEN(L1445)</f>
        <v/>
      </c>
    </row>
    <row r="1446">
      <c r="J1446" s="12">
        <f>IF(F1446&lt;&gt;0,"LANÇAR","")</f>
        <v/>
      </c>
      <c r="L1446" s="13">
        <f>N1446&amp;O1446&amp;P1446&amp;Q1446&amp;R1446&amp;S1446&amp;T1446&amp;U1446&amp;V1446&amp;W1446&amp;X1446&amp;Y1446&amp;Z1446&amp;AA1446&amp;AB1446&amp;AC1446&amp;AD1446&amp;AE1446&amp;AF1446&amp;AG1446</f>
        <v/>
      </c>
      <c r="N1446" s="10">
        <f>TEXT($B$6,"00")</f>
        <v/>
      </c>
      <c r="O1446" s="10">
        <f>REPT(" ",8)</f>
        <v/>
      </c>
      <c r="P1446" s="10">
        <f>RIGHT($B$4,2)</f>
        <v/>
      </c>
      <c r="Q1446" s="10">
        <f>RIGHT($B$5,3)</f>
        <v/>
      </c>
      <c r="R1446" s="10">
        <f>IF(A1446="D",LEFT(UPPER(B1446)&amp;REPT(" ",20),20),REPT(" ",20))</f>
        <v/>
      </c>
      <c r="S1446" s="10">
        <f>IF(A1446="D",LEFT(UPPER(C1446)&amp;REPT(" ",10),10)," ")</f>
        <v/>
      </c>
      <c r="T1446" s="10">
        <f>IF(A1446="D",LEFT(UPPER(D1446)&amp;REPT(" ",2),2)," ")</f>
        <v/>
      </c>
      <c r="U1446" s="10">
        <f>IF(A1446="D",LEFT(UPPER(E1446)&amp;REPT(" ",15),15)," ")</f>
        <v/>
      </c>
      <c r="V1446" s="10">
        <f>REPT(" ",24)</f>
        <v/>
      </c>
      <c r="W1446" s="10">
        <f>IF(A1446="c",LEFT(UPPER(B1446)&amp;REPT(" ",20),20),REPT(" ",20))</f>
        <v/>
      </c>
      <c r="X1446" s="10">
        <f>IF(A1446="C",LEFT(UPPER(C1446)&amp;REPT(" ",10),10)," ")</f>
        <v/>
      </c>
      <c r="Y1446" s="10">
        <f>IF(A1446="C",LEFT(UPPER(D1446)&amp;REPT(" ",2),2)," ")</f>
        <v/>
      </c>
      <c r="Z1446" s="10">
        <f>IF(A1446="C",LEFT(UPPER(E1446)&amp;REPT(" ",15),15)," ")</f>
        <v/>
      </c>
      <c r="AA1446" s="10">
        <f>REPT(" ",8)</f>
        <v/>
      </c>
      <c r="AB1446" s="10">
        <f>REPT(" ",4)</f>
        <v/>
      </c>
      <c r="AC1446" s="10">
        <f>LEFT(UPPER(H1446)&amp;REPT(" ",250),250)</f>
        <v/>
      </c>
      <c r="AD1446" s="10">
        <f>TEXT($G$2,"dd/mm/aaaa")</f>
        <v/>
      </c>
      <c r="AE1446" s="10">
        <f>REPT(" ",10)</f>
        <v/>
      </c>
      <c r="AF1446" s="10">
        <f>REPT(" ",20)</f>
        <v/>
      </c>
      <c r="AG1446" s="54">
        <f>REPT(" ",18-LEN(FIXED(F1446,2,TRUE)))&amp;FIXED(F1446,2,TRUE)</f>
        <v/>
      </c>
      <c r="AH1446" s="10">
        <f>LEN(AC1446)+LEN(AG1446)</f>
        <v/>
      </c>
      <c r="AI1446" s="10">
        <f>LEN(L1446)</f>
        <v/>
      </c>
    </row>
    <row r="1447">
      <c r="J1447" s="12">
        <f>IF(F1447&lt;&gt;0,"LANÇAR","")</f>
        <v/>
      </c>
      <c r="L1447" s="13">
        <f>N1447&amp;O1447&amp;P1447&amp;Q1447&amp;R1447&amp;S1447&amp;T1447&amp;U1447&amp;V1447&amp;W1447&amp;X1447&amp;Y1447&amp;Z1447&amp;AA1447&amp;AB1447&amp;AC1447&amp;AD1447&amp;AE1447&amp;AF1447&amp;AG1447</f>
        <v/>
      </c>
      <c r="N1447" s="10">
        <f>TEXT($B$6,"00")</f>
        <v/>
      </c>
      <c r="O1447" s="10">
        <f>REPT(" ",8)</f>
        <v/>
      </c>
      <c r="P1447" s="10">
        <f>RIGHT($B$4,2)</f>
        <v/>
      </c>
      <c r="Q1447" s="10">
        <f>RIGHT($B$5,3)</f>
        <v/>
      </c>
      <c r="R1447" s="10">
        <f>IF(A1447="D",LEFT(UPPER(B1447)&amp;REPT(" ",20),20),REPT(" ",20))</f>
        <v/>
      </c>
      <c r="S1447" s="10">
        <f>IF(A1447="D",LEFT(UPPER(C1447)&amp;REPT(" ",10),10)," ")</f>
        <v/>
      </c>
      <c r="T1447" s="10">
        <f>IF(A1447="D",LEFT(UPPER(D1447)&amp;REPT(" ",2),2)," ")</f>
        <v/>
      </c>
      <c r="U1447" s="10">
        <f>IF(A1447="D",LEFT(UPPER(E1447)&amp;REPT(" ",15),15)," ")</f>
        <v/>
      </c>
      <c r="V1447" s="10">
        <f>REPT(" ",24)</f>
        <v/>
      </c>
      <c r="W1447" s="10">
        <f>IF(A1447="c",LEFT(UPPER(B1447)&amp;REPT(" ",20),20),REPT(" ",20))</f>
        <v/>
      </c>
      <c r="X1447" s="10">
        <f>IF(A1447="C",LEFT(UPPER(C1447)&amp;REPT(" ",10),10)," ")</f>
        <v/>
      </c>
      <c r="Y1447" s="10">
        <f>IF(A1447="C",LEFT(UPPER(D1447)&amp;REPT(" ",2),2)," ")</f>
        <v/>
      </c>
      <c r="Z1447" s="10">
        <f>IF(A1447="C",LEFT(UPPER(E1447)&amp;REPT(" ",15),15)," ")</f>
        <v/>
      </c>
      <c r="AA1447" s="10">
        <f>REPT(" ",8)</f>
        <v/>
      </c>
      <c r="AB1447" s="10">
        <f>REPT(" ",4)</f>
        <v/>
      </c>
      <c r="AC1447" s="10">
        <f>LEFT(UPPER(H1447)&amp;REPT(" ",250),250)</f>
        <v/>
      </c>
      <c r="AD1447" s="10">
        <f>TEXT($G$2,"dd/mm/aaaa")</f>
        <v/>
      </c>
      <c r="AE1447" s="10">
        <f>REPT(" ",10)</f>
        <v/>
      </c>
      <c r="AF1447" s="10">
        <f>REPT(" ",20)</f>
        <v/>
      </c>
      <c r="AG1447" s="54">
        <f>REPT(" ",18-LEN(FIXED(F1447,2,TRUE)))&amp;FIXED(F1447,2,TRUE)</f>
        <v/>
      </c>
      <c r="AH1447" s="10">
        <f>LEN(AC1447)+LEN(AG1447)</f>
        <v/>
      </c>
      <c r="AI1447" s="10">
        <f>LEN(L1447)</f>
        <v/>
      </c>
    </row>
    <row r="1448">
      <c r="J1448" s="12">
        <f>IF(F1448&lt;&gt;0,"LANÇAR","")</f>
        <v/>
      </c>
      <c r="L1448" s="13">
        <f>N1448&amp;O1448&amp;P1448&amp;Q1448&amp;R1448&amp;S1448&amp;T1448&amp;U1448&amp;V1448&amp;W1448&amp;X1448&amp;Y1448&amp;Z1448&amp;AA1448&amp;AB1448&amp;AC1448&amp;AD1448&amp;AE1448&amp;AF1448&amp;AG1448</f>
        <v/>
      </c>
      <c r="N1448" s="10">
        <f>TEXT($B$6,"00")</f>
        <v/>
      </c>
      <c r="O1448" s="10">
        <f>REPT(" ",8)</f>
        <v/>
      </c>
      <c r="P1448" s="10">
        <f>RIGHT($B$4,2)</f>
        <v/>
      </c>
      <c r="Q1448" s="10">
        <f>RIGHT($B$5,3)</f>
        <v/>
      </c>
      <c r="R1448" s="10">
        <f>IF(A1448="D",LEFT(UPPER(B1448)&amp;REPT(" ",20),20),REPT(" ",20))</f>
        <v/>
      </c>
      <c r="S1448" s="10">
        <f>IF(A1448="D",LEFT(UPPER(C1448)&amp;REPT(" ",10),10)," ")</f>
        <v/>
      </c>
      <c r="T1448" s="10">
        <f>IF(A1448="D",LEFT(UPPER(D1448)&amp;REPT(" ",2),2)," ")</f>
        <v/>
      </c>
      <c r="U1448" s="10">
        <f>IF(A1448="D",LEFT(UPPER(E1448)&amp;REPT(" ",15),15)," ")</f>
        <v/>
      </c>
      <c r="V1448" s="10">
        <f>REPT(" ",24)</f>
        <v/>
      </c>
      <c r="W1448" s="10">
        <f>IF(A1448="c",LEFT(UPPER(B1448)&amp;REPT(" ",20),20),REPT(" ",20))</f>
        <v/>
      </c>
      <c r="X1448" s="10">
        <f>IF(A1448="C",LEFT(UPPER(C1448)&amp;REPT(" ",10),10)," ")</f>
        <v/>
      </c>
      <c r="Y1448" s="10">
        <f>IF(A1448="C",LEFT(UPPER(D1448)&amp;REPT(" ",2),2)," ")</f>
        <v/>
      </c>
      <c r="Z1448" s="10">
        <f>IF(A1448="C",LEFT(UPPER(E1448)&amp;REPT(" ",15),15)," ")</f>
        <v/>
      </c>
      <c r="AA1448" s="10">
        <f>REPT(" ",8)</f>
        <v/>
      </c>
      <c r="AB1448" s="10">
        <f>REPT(" ",4)</f>
        <v/>
      </c>
      <c r="AC1448" s="10">
        <f>LEFT(UPPER(H1448)&amp;REPT(" ",250),250)</f>
        <v/>
      </c>
      <c r="AD1448" s="10">
        <f>TEXT($G$2,"dd/mm/aaaa")</f>
        <v/>
      </c>
      <c r="AE1448" s="10">
        <f>REPT(" ",10)</f>
        <v/>
      </c>
      <c r="AF1448" s="10">
        <f>REPT(" ",20)</f>
        <v/>
      </c>
      <c r="AG1448" s="54">
        <f>REPT(" ",18-LEN(FIXED(F1448,2,TRUE)))&amp;FIXED(F1448,2,TRUE)</f>
        <v/>
      </c>
      <c r="AH1448" s="10">
        <f>LEN(AC1448)+LEN(AG1448)</f>
        <v/>
      </c>
      <c r="AI1448" s="10">
        <f>LEN(L1448)</f>
        <v/>
      </c>
    </row>
    <row r="1449">
      <c r="J1449" s="12">
        <f>IF(F1449&lt;&gt;0,"LANÇAR","")</f>
        <v/>
      </c>
      <c r="L1449" s="13">
        <f>N1449&amp;O1449&amp;P1449&amp;Q1449&amp;R1449&amp;S1449&amp;T1449&amp;U1449&amp;V1449&amp;W1449&amp;X1449&amp;Y1449&amp;Z1449&amp;AA1449&amp;AB1449&amp;AC1449&amp;AD1449&amp;AE1449&amp;AF1449&amp;AG1449</f>
        <v/>
      </c>
      <c r="N1449" s="10">
        <f>TEXT($B$6,"00")</f>
        <v/>
      </c>
      <c r="O1449" s="10">
        <f>REPT(" ",8)</f>
        <v/>
      </c>
      <c r="P1449" s="10">
        <f>RIGHT($B$4,2)</f>
        <v/>
      </c>
      <c r="Q1449" s="10">
        <f>RIGHT($B$5,3)</f>
        <v/>
      </c>
      <c r="R1449" s="10">
        <f>IF(A1449="D",LEFT(UPPER(B1449)&amp;REPT(" ",20),20),REPT(" ",20))</f>
        <v/>
      </c>
      <c r="S1449" s="10">
        <f>IF(A1449="D",LEFT(UPPER(C1449)&amp;REPT(" ",10),10)," ")</f>
        <v/>
      </c>
      <c r="T1449" s="10">
        <f>IF(A1449="D",LEFT(UPPER(D1449)&amp;REPT(" ",2),2)," ")</f>
        <v/>
      </c>
      <c r="U1449" s="10">
        <f>IF(A1449="D",LEFT(UPPER(E1449)&amp;REPT(" ",15),15)," ")</f>
        <v/>
      </c>
      <c r="V1449" s="10">
        <f>REPT(" ",24)</f>
        <v/>
      </c>
      <c r="W1449" s="10">
        <f>IF(A1449="c",LEFT(UPPER(B1449)&amp;REPT(" ",20),20),REPT(" ",20))</f>
        <v/>
      </c>
      <c r="X1449" s="10">
        <f>IF(A1449="C",LEFT(UPPER(C1449)&amp;REPT(" ",10),10)," ")</f>
        <v/>
      </c>
      <c r="Y1449" s="10">
        <f>IF(A1449="C",LEFT(UPPER(D1449)&amp;REPT(" ",2),2)," ")</f>
        <v/>
      </c>
      <c r="Z1449" s="10">
        <f>IF(A1449="C",LEFT(UPPER(E1449)&amp;REPT(" ",15),15)," ")</f>
        <v/>
      </c>
      <c r="AA1449" s="10">
        <f>REPT(" ",8)</f>
        <v/>
      </c>
      <c r="AB1449" s="10">
        <f>REPT(" ",4)</f>
        <v/>
      </c>
      <c r="AC1449" s="10">
        <f>LEFT(UPPER(H1449)&amp;REPT(" ",250),250)</f>
        <v/>
      </c>
      <c r="AD1449" s="10">
        <f>TEXT($G$2,"dd/mm/aaaa")</f>
        <v/>
      </c>
      <c r="AE1449" s="10">
        <f>REPT(" ",10)</f>
        <v/>
      </c>
      <c r="AF1449" s="10">
        <f>REPT(" ",20)</f>
        <v/>
      </c>
      <c r="AG1449" s="54">
        <f>REPT(" ",18-LEN(FIXED(F1449,2,TRUE)))&amp;FIXED(F1449,2,TRUE)</f>
        <v/>
      </c>
      <c r="AH1449" s="10">
        <f>LEN(AC1449)+LEN(AG1449)</f>
        <v/>
      </c>
      <c r="AI1449" s="10">
        <f>LEN(L1449)</f>
        <v/>
      </c>
    </row>
    <row r="1450">
      <c r="J1450" s="12">
        <f>IF(F1450&lt;&gt;0,"LANÇAR","")</f>
        <v/>
      </c>
      <c r="L1450" s="13">
        <f>N1450&amp;O1450&amp;P1450&amp;Q1450&amp;R1450&amp;S1450&amp;T1450&amp;U1450&amp;V1450&amp;W1450&amp;X1450&amp;Y1450&amp;Z1450&amp;AA1450&amp;AB1450&amp;AC1450&amp;AD1450&amp;AE1450&amp;AF1450&amp;AG1450</f>
        <v/>
      </c>
      <c r="N1450" s="10">
        <f>TEXT($B$6,"00")</f>
        <v/>
      </c>
      <c r="O1450" s="10">
        <f>REPT(" ",8)</f>
        <v/>
      </c>
      <c r="P1450" s="10">
        <f>RIGHT($B$4,2)</f>
        <v/>
      </c>
      <c r="Q1450" s="10">
        <f>RIGHT($B$5,3)</f>
        <v/>
      </c>
      <c r="R1450" s="10">
        <f>IF(A1450="D",LEFT(UPPER(B1450)&amp;REPT(" ",20),20),REPT(" ",20))</f>
        <v/>
      </c>
      <c r="S1450" s="10">
        <f>IF(A1450="D",LEFT(UPPER(C1450)&amp;REPT(" ",10),10)," ")</f>
        <v/>
      </c>
      <c r="T1450" s="10">
        <f>IF(A1450="D",LEFT(UPPER(D1450)&amp;REPT(" ",2),2)," ")</f>
        <v/>
      </c>
      <c r="U1450" s="10">
        <f>IF(A1450="D",LEFT(UPPER(E1450)&amp;REPT(" ",15),15)," ")</f>
        <v/>
      </c>
      <c r="V1450" s="10">
        <f>REPT(" ",24)</f>
        <v/>
      </c>
      <c r="W1450" s="10">
        <f>IF(A1450="c",LEFT(UPPER(B1450)&amp;REPT(" ",20),20),REPT(" ",20))</f>
        <v/>
      </c>
      <c r="X1450" s="10">
        <f>IF(A1450="C",LEFT(UPPER(C1450)&amp;REPT(" ",10),10)," ")</f>
        <v/>
      </c>
      <c r="Y1450" s="10">
        <f>IF(A1450="C",LEFT(UPPER(D1450)&amp;REPT(" ",2),2)," ")</f>
        <v/>
      </c>
      <c r="Z1450" s="10">
        <f>IF(A1450="C",LEFT(UPPER(E1450)&amp;REPT(" ",15),15)," ")</f>
        <v/>
      </c>
      <c r="AA1450" s="10">
        <f>REPT(" ",8)</f>
        <v/>
      </c>
      <c r="AB1450" s="10">
        <f>REPT(" ",4)</f>
        <v/>
      </c>
      <c r="AC1450" s="10">
        <f>LEFT(UPPER(H1450)&amp;REPT(" ",250),250)</f>
        <v/>
      </c>
      <c r="AD1450" s="10">
        <f>TEXT($G$2,"dd/mm/aaaa")</f>
        <v/>
      </c>
      <c r="AE1450" s="10">
        <f>REPT(" ",10)</f>
        <v/>
      </c>
      <c r="AF1450" s="10">
        <f>REPT(" ",20)</f>
        <v/>
      </c>
      <c r="AG1450" s="54">
        <f>REPT(" ",18-LEN(FIXED(F1450,2,TRUE)))&amp;FIXED(F1450,2,TRUE)</f>
        <v/>
      </c>
      <c r="AH1450" s="10">
        <f>LEN(AC1450)+LEN(AG1450)</f>
        <v/>
      </c>
      <c r="AI1450" s="10">
        <f>LEN(L1450)</f>
        <v/>
      </c>
    </row>
    <row r="1451">
      <c r="J1451" s="12">
        <f>IF(F1451&lt;&gt;0,"LANÇAR","")</f>
        <v/>
      </c>
      <c r="L1451" s="13">
        <f>N1451&amp;O1451&amp;P1451&amp;Q1451&amp;R1451&amp;S1451&amp;T1451&amp;U1451&amp;V1451&amp;W1451&amp;X1451&amp;Y1451&amp;Z1451&amp;AA1451&amp;AB1451&amp;AC1451&amp;AD1451&amp;AE1451&amp;AF1451&amp;AG1451</f>
        <v/>
      </c>
      <c r="N1451" s="10">
        <f>TEXT($B$6,"00")</f>
        <v/>
      </c>
      <c r="O1451" s="10">
        <f>REPT(" ",8)</f>
        <v/>
      </c>
      <c r="P1451" s="10">
        <f>RIGHT($B$4,2)</f>
        <v/>
      </c>
      <c r="Q1451" s="10">
        <f>RIGHT($B$5,3)</f>
        <v/>
      </c>
      <c r="R1451" s="10">
        <f>IF(A1451="D",LEFT(UPPER(B1451)&amp;REPT(" ",20),20),REPT(" ",20))</f>
        <v/>
      </c>
      <c r="S1451" s="10">
        <f>IF(A1451="D",LEFT(UPPER(C1451)&amp;REPT(" ",10),10)," ")</f>
        <v/>
      </c>
      <c r="T1451" s="10">
        <f>IF(A1451="D",LEFT(UPPER(D1451)&amp;REPT(" ",2),2)," ")</f>
        <v/>
      </c>
      <c r="U1451" s="10">
        <f>IF(A1451="D",LEFT(UPPER(E1451)&amp;REPT(" ",15),15)," ")</f>
        <v/>
      </c>
      <c r="V1451" s="10">
        <f>REPT(" ",24)</f>
        <v/>
      </c>
      <c r="W1451" s="10">
        <f>IF(A1451="c",LEFT(UPPER(B1451)&amp;REPT(" ",20),20),REPT(" ",20))</f>
        <v/>
      </c>
      <c r="X1451" s="10">
        <f>IF(A1451="C",LEFT(UPPER(C1451)&amp;REPT(" ",10),10)," ")</f>
        <v/>
      </c>
      <c r="Y1451" s="10">
        <f>IF(A1451="C",LEFT(UPPER(D1451)&amp;REPT(" ",2),2)," ")</f>
        <v/>
      </c>
      <c r="Z1451" s="10">
        <f>IF(A1451="C",LEFT(UPPER(E1451)&amp;REPT(" ",15),15)," ")</f>
        <v/>
      </c>
      <c r="AA1451" s="10">
        <f>REPT(" ",8)</f>
        <v/>
      </c>
      <c r="AB1451" s="10">
        <f>REPT(" ",4)</f>
        <v/>
      </c>
      <c r="AC1451" s="10">
        <f>LEFT(UPPER(H1451)&amp;REPT(" ",250),250)</f>
        <v/>
      </c>
      <c r="AD1451" s="10">
        <f>TEXT($G$2,"dd/mm/aaaa")</f>
        <v/>
      </c>
      <c r="AE1451" s="10">
        <f>REPT(" ",10)</f>
        <v/>
      </c>
      <c r="AF1451" s="10">
        <f>REPT(" ",20)</f>
        <v/>
      </c>
      <c r="AG1451" s="54">
        <f>REPT(" ",18-LEN(FIXED(F1451,2,TRUE)))&amp;FIXED(F1451,2,TRUE)</f>
        <v/>
      </c>
      <c r="AH1451" s="10">
        <f>LEN(AC1451)+LEN(AG1451)</f>
        <v/>
      </c>
      <c r="AI1451" s="10">
        <f>LEN(L1451)</f>
        <v/>
      </c>
    </row>
    <row r="1452">
      <c r="J1452" s="12">
        <f>IF(F1452&lt;&gt;0,"LANÇAR","")</f>
        <v/>
      </c>
      <c r="L1452" s="13">
        <f>N1452&amp;O1452&amp;P1452&amp;Q1452&amp;R1452&amp;S1452&amp;T1452&amp;U1452&amp;V1452&amp;W1452&amp;X1452&amp;Y1452&amp;Z1452&amp;AA1452&amp;AB1452&amp;AC1452&amp;AD1452&amp;AE1452&amp;AF1452&amp;AG1452</f>
        <v/>
      </c>
      <c r="N1452" s="10">
        <f>TEXT($B$6,"00")</f>
        <v/>
      </c>
      <c r="O1452" s="10">
        <f>REPT(" ",8)</f>
        <v/>
      </c>
      <c r="P1452" s="10">
        <f>RIGHT($B$4,2)</f>
        <v/>
      </c>
      <c r="Q1452" s="10">
        <f>RIGHT($B$5,3)</f>
        <v/>
      </c>
      <c r="R1452" s="10">
        <f>IF(A1452="D",LEFT(UPPER(B1452)&amp;REPT(" ",20),20),REPT(" ",20))</f>
        <v/>
      </c>
      <c r="S1452" s="10">
        <f>IF(A1452="D",LEFT(UPPER(C1452)&amp;REPT(" ",10),10)," ")</f>
        <v/>
      </c>
      <c r="T1452" s="10">
        <f>IF(A1452="D",LEFT(UPPER(D1452)&amp;REPT(" ",2),2)," ")</f>
        <v/>
      </c>
      <c r="U1452" s="10">
        <f>IF(A1452="D",LEFT(UPPER(E1452)&amp;REPT(" ",15),15)," ")</f>
        <v/>
      </c>
      <c r="V1452" s="10">
        <f>REPT(" ",24)</f>
        <v/>
      </c>
      <c r="W1452" s="10">
        <f>IF(A1452="c",LEFT(UPPER(B1452)&amp;REPT(" ",20),20),REPT(" ",20))</f>
        <v/>
      </c>
      <c r="X1452" s="10">
        <f>IF(A1452="C",LEFT(UPPER(C1452)&amp;REPT(" ",10),10)," ")</f>
        <v/>
      </c>
      <c r="Y1452" s="10">
        <f>IF(A1452="C",LEFT(UPPER(D1452)&amp;REPT(" ",2),2)," ")</f>
        <v/>
      </c>
      <c r="Z1452" s="10">
        <f>IF(A1452="C",LEFT(UPPER(E1452)&amp;REPT(" ",15),15)," ")</f>
        <v/>
      </c>
      <c r="AA1452" s="10">
        <f>REPT(" ",8)</f>
        <v/>
      </c>
      <c r="AB1452" s="10">
        <f>REPT(" ",4)</f>
        <v/>
      </c>
      <c r="AC1452" s="10">
        <f>LEFT(UPPER(H1452)&amp;REPT(" ",250),250)</f>
        <v/>
      </c>
      <c r="AD1452" s="10">
        <f>TEXT($G$2,"dd/mm/aaaa")</f>
        <v/>
      </c>
      <c r="AE1452" s="10">
        <f>REPT(" ",10)</f>
        <v/>
      </c>
      <c r="AF1452" s="10">
        <f>REPT(" ",20)</f>
        <v/>
      </c>
      <c r="AG1452" s="54">
        <f>REPT(" ",18-LEN(FIXED(F1452,2,TRUE)))&amp;FIXED(F1452,2,TRUE)</f>
        <v/>
      </c>
      <c r="AH1452" s="10">
        <f>LEN(AC1452)+LEN(AG1452)</f>
        <v/>
      </c>
      <c r="AI1452" s="10">
        <f>LEN(L1452)</f>
        <v/>
      </c>
    </row>
    <row r="1453">
      <c r="J1453" s="12">
        <f>IF(F1453&lt;&gt;0,"LANÇAR","")</f>
        <v/>
      </c>
      <c r="L1453" s="13">
        <f>N1453&amp;O1453&amp;P1453&amp;Q1453&amp;R1453&amp;S1453&amp;T1453&amp;U1453&amp;V1453&amp;W1453&amp;X1453&amp;Y1453&amp;Z1453&amp;AA1453&amp;AB1453&amp;AC1453&amp;AD1453&amp;AE1453&amp;AF1453&amp;AG1453</f>
        <v/>
      </c>
      <c r="N1453" s="10">
        <f>TEXT($B$6,"00")</f>
        <v/>
      </c>
      <c r="O1453" s="10">
        <f>REPT(" ",8)</f>
        <v/>
      </c>
      <c r="P1453" s="10">
        <f>RIGHT($B$4,2)</f>
        <v/>
      </c>
      <c r="Q1453" s="10">
        <f>RIGHT($B$5,3)</f>
        <v/>
      </c>
      <c r="R1453" s="10">
        <f>IF(A1453="D",LEFT(UPPER(B1453)&amp;REPT(" ",20),20),REPT(" ",20))</f>
        <v/>
      </c>
      <c r="S1453" s="10">
        <f>IF(A1453="D",LEFT(UPPER(C1453)&amp;REPT(" ",10),10)," ")</f>
        <v/>
      </c>
      <c r="T1453" s="10">
        <f>IF(A1453="D",LEFT(UPPER(D1453)&amp;REPT(" ",2),2)," ")</f>
        <v/>
      </c>
      <c r="U1453" s="10">
        <f>IF(A1453="D",LEFT(UPPER(E1453)&amp;REPT(" ",15),15)," ")</f>
        <v/>
      </c>
      <c r="V1453" s="10">
        <f>REPT(" ",24)</f>
        <v/>
      </c>
      <c r="W1453" s="10">
        <f>IF(A1453="c",LEFT(UPPER(B1453)&amp;REPT(" ",20),20),REPT(" ",20))</f>
        <v/>
      </c>
      <c r="X1453" s="10">
        <f>IF(A1453="C",LEFT(UPPER(C1453)&amp;REPT(" ",10),10)," ")</f>
        <v/>
      </c>
      <c r="Y1453" s="10">
        <f>IF(A1453="C",LEFT(UPPER(D1453)&amp;REPT(" ",2),2)," ")</f>
        <v/>
      </c>
      <c r="Z1453" s="10">
        <f>IF(A1453="C",LEFT(UPPER(E1453)&amp;REPT(" ",15),15)," ")</f>
        <v/>
      </c>
      <c r="AA1453" s="10">
        <f>REPT(" ",8)</f>
        <v/>
      </c>
      <c r="AB1453" s="10">
        <f>REPT(" ",4)</f>
        <v/>
      </c>
      <c r="AC1453" s="10">
        <f>LEFT(UPPER(H1453)&amp;REPT(" ",250),250)</f>
        <v/>
      </c>
      <c r="AD1453" s="10">
        <f>TEXT($G$2,"dd/mm/aaaa")</f>
        <v/>
      </c>
      <c r="AE1453" s="10">
        <f>REPT(" ",10)</f>
        <v/>
      </c>
      <c r="AF1453" s="10">
        <f>REPT(" ",20)</f>
        <v/>
      </c>
      <c r="AG1453" s="54">
        <f>REPT(" ",18-LEN(FIXED(F1453,2,TRUE)))&amp;FIXED(F1453,2,TRUE)</f>
        <v/>
      </c>
      <c r="AH1453" s="10">
        <f>LEN(AC1453)+LEN(AG1453)</f>
        <v/>
      </c>
      <c r="AI1453" s="10">
        <f>LEN(L1453)</f>
        <v/>
      </c>
    </row>
    <row r="1454">
      <c r="J1454" s="12">
        <f>IF(F1454&lt;&gt;0,"LANÇAR","")</f>
        <v/>
      </c>
      <c r="L1454" s="13">
        <f>N1454&amp;O1454&amp;P1454&amp;Q1454&amp;R1454&amp;S1454&amp;T1454&amp;U1454&amp;V1454&amp;W1454&amp;X1454&amp;Y1454&amp;Z1454&amp;AA1454&amp;AB1454&amp;AC1454&amp;AD1454&amp;AE1454&amp;AF1454&amp;AG1454</f>
        <v/>
      </c>
      <c r="N1454" s="10">
        <f>TEXT($B$6,"00")</f>
        <v/>
      </c>
      <c r="O1454" s="10">
        <f>REPT(" ",8)</f>
        <v/>
      </c>
      <c r="P1454" s="10">
        <f>RIGHT($B$4,2)</f>
        <v/>
      </c>
      <c r="Q1454" s="10">
        <f>RIGHT($B$5,3)</f>
        <v/>
      </c>
      <c r="R1454" s="10">
        <f>IF(A1454="D",LEFT(UPPER(B1454)&amp;REPT(" ",20),20),REPT(" ",20))</f>
        <v/>
      </c>
      <c r="S1454" s="10">
        <f>IF(A1454="D",LEFT(UPPER(C1454)&amp;REPT(" ",10),10)," ")</f>
        <v/>
      </c>
      <c r="T1454" s="10">
        <f>IF(A1454="D",LEFT(UPPER(D1454)&amp;REPT(" ",2),2)," ")</f>
        <v/>
      </c>
      <c r="U1454" s="10">
        <f>IF(A1454="D",LEFT(UPPER(E1454)&amp;REPT(" ",15),15)," ")</f>
        <v/>
      </c>
      <c r="V1454" s="10">
        <f>REPT(" ",24)</f>
        <v/>
      </c>
      <c r="W1454" s="10">
        <f>IF(A1454="c",LEFT(UPPER(B1454)&amp;REPT(" ",20),20),REPT(" ",20))</f>
        <v/>
      </c>
      <c r="X1454" s="10">
        <f>IF(A1454="C",LEFT(UPPER(C1454)&amp;REPT(" ",10),10)," ")</f>
        <v/>
      </c>
      <c r="Y1454" s="10">
        <f>IF(A1454="C",LEFT(UPPER(D1454)&amp;REPT(" ",2),2)," ")</f>
        <v/>
      </c>
      <c r="Z1454" s="10">
        <f>IF(A1454="C",LEFT(UPPER(E1454)&amp;REPT(" ",15),15)," ")</f>
        <v/>
      </c>
      <c r="AA1454" s="10">
        <f>REPT(" ",8)</f>
        <v/>
      </c>
      <c r="AB1454" s="10">
        <f>REPT(" ",4)</f>
        <v/>
      </c>
      <c r="AC1454" s="10">
        <f>LEFT(UPPER(H1454)&amp;REPT(" ",250),250)</f>
        <v/>
      </c>
      <c r="AD1454" s="10">
        <f>TEXT($G$2,"dd/mm/aaaa")</f>
        <v/>
      </c>
      <c r="AE1454" s="10">
        <f>REPT(" ",10)</f>
        <v/>
      </c>
      <c r="AF1454" s="10">
        <f>REPT(" ",20)</f>
        <v/>
      </c>
      <c r="AG1454" s="54">
        <f>REPT(" ",18-LEN(FIXED(F1454,2,TRUE)))&amp;FIXED(F1454,2,TRUE)</f>
        <v/>
      </c>
      <c r="AH1454" s="10">
        <f>LEN(AC1454)+LEN(AG1454)</f>
        <v/>
      </c>
      <c r="AI1454" s="10">
        <f>LEN(L1454)</f>
        <v/>
      </c>
    </row>
    <row r="1455">
      <c r="J1455" s="12">
        <f>IF(F1455&lt;&gt;0,"LANÇAR","")</f>
        <v/>
      </c>
      <c r="L1455" s="13">
        <f>N1455&amp;O1455&amp;P1455&amp;Q1455&amp;R1455&amp;S1455&amp;T1455&amp;U1455&amp;V1455&amp;W1455&amp;X1455&amp;Y1455&amp;Z1455&amp;AA1455&amp;AB1455&amp;AC1455&amp;AD1455&amp;AE1455&amp;AF1455&amp;AG1455</f>
        <v/>
      </c>
      <c r="N1455" s="10">
        <f>TEXT($B$6,"00")</f>
        <v/>
      </c>
      <c r="O1455" s="10">
        <f>REPT(" ",8)</f>
        <v/>
      </c>
      <c r="P1455" s="10">
        <f>RIGHT($B$4,2)</f>
        <v/>
      </c>
      <c r="Q1455" s="10">
        <f>RIGHT($B$5,3)</f>
        <v/>
      </c>
      <c r="R1455" s="10">
        <f>IF(A1455="D",LEFT(UPPER(B1455)&amp;REPT(" ",20),20),REPT(" ",20))</f>
        <v/>
      </c>
      <c r="S1455" s="10">
        <f>IF(A1455="D",LEFT(UPPER(C1455)&amp;REPT(" ",10),10)," ")</f>
        <v/>
      </c>
      <c r="T1455" s="10">
        <f>IF(A1455="D",LEFT(UPPER(D1455)&amp;REPT(" ",2),2)," ")</f>
        <v/>
      </c>
      <c r="U1455" s="10">
        <f>IF(A1455="D",LEFT(UPPER(E1455)&amp;REPT(" ",15),15)," ")</f>
        <v/>
      </c>
      <c r="V1455" s="10">
        <f>REPT(" ",24)</f>
        <v/>
      </c>
      <c r="W1455" s="10">
        <f>IF(A1455="c",LEFT(UPPER(B1455)&amp;REPT(" ",20),20),REPT(" ",20))</f>
        <v/>
      </c>
      <c r="X1455" s="10">
        <f>IF(A1455="C",LEFT(UPPER(C1455)&amp;REPT(" ",10),10)," ")</f>
        <v/>
      </c>
      <c r="Y1455" s="10">
        <f>IF(A1455="C",LEFT(UPPER(D1455)&amp;REPT(" ",2),2)," ")</f>
        <v/>
      </c>
      <c r="Z1455" s="10">
        <f>IF(A1455="C",LEFT(UPPER(E1455)&amp;REPT(" ",15),15)," ")</f>
        <v/>
      </c>
      <c r="AA1455" s="10">
        <f>REPT(" ",8)</f>
        <v/>
      </c>
      <c r="AB1455" s="10">
        <f>REPT(" ",4)</f>
        <v/>
      </c>
      <c r="AC1455" s="10">
        <f>LEFT(UPPER(H1455)&amp;REPT(" ",250),250)</f>
        <v/>
      </c>
      <c r="AD1455" s="10">
        <f>TEXT($G$2,"dd/mm/aaaa")</f>
        <v/>
      </c>
      <c r="AE1455" s="10">
        <f>REPT(" ",10)</f>
        <v/>
      </c>
      <c r="AF1455" s="10">
        <f>REPT(" ",20)</f>
        <v/>
      </c>
      <c r="AG1455" s="54">
        <f>REPT(" ",18-LEN(FIXED(F1455,2,TRUE)))&amp;FIXED(F1455,2,TRUE)</f>
        <v/>
      </c>
      <c r="AH1455" s="10">
        <f>LEN(AC1455)+LEN(AG1455)</f>
        <v/>
      </c>
      <c r="AI1455" s="10">
        <f>LEN(L1455)</f>
        <v/>
      </c>
    </row>
    <row r="1456">
      <c r="J1456" s="12">
        <f>IF(F1456&lt;&gt;0,"LANÇAR","")</f>
        <v/>
      </c>
      <c r="L1456" s="13">
        <f>N1456&amp;O1456&amp;P1456&amp;Q1456&amp;R1456&amp;S1456&amp;T1456&amp;U1456&amp;V1456&amp;W1456&amp;X1456&amp;Y1456&amp;Z1456&amp;AA1456&amp;AB1456&amp;AC1456&amp;AD1456&amp;AE1456&amp;AF1456&amp;AG1456</f>
        <v/>
      </c>
      <c r="N1456" s="10">
        <f>TEXT($B$6,"00")</f>
        <v/>
      </c>
      <c r="O1456" s="10">
        <f>REPT(" ",8)</f>
        <v/>
      </c>
      <c r="P1456" s="10">
        <f>RIGHT($B$4,2)</f>
        <v/>
      </c>
      <c r="Q1456" s="10">
        <f>RIGHT($B$5,3)</f>
        <v/>
      </c>
      <c r="R1456" s="10">
        <f>IF(A1456="D",LEFT(UPPER(B1456)&amp;REPT(" ",20),20),REPT(" ",20))</f>
        <v/>
      </c>
      <c r="S1456" s="10">
        <f>IF(A1456="D",LEFT(UPPER(C1456)&amp;REPT(" ",10),10)," ")</f>
        <v/>
      </c>
      <c r="T1456" s="10">
        <f>IF(A1456="D",LEFT(UPPER(D1456)&amp;REPT(" ",2),2)," ")</f>
        <v/>
      </c>
      <c r="U1456" s="10">
        <f>IF(A1456="D",LEFT(UPPER(E1456)&amp;REPT(" ",15),15)," ")</f>
        <v/>
      </c>
      <c r="V1456" s="10">
        <f>REPT(" ",24)</f>
        <v/>
      </c>
      <c r="W1456" s="10">
        <f>IF(A1456="c",LEFT(UPPER(B1456)&amp;REPT(" ",20),20),REPT(" ",20))</f>
        <v/>
      </c>
      <c r="X1456" s="10">
        <f>IF(A1456="C",LEFT(UPPER(C1456)&amp;REPT(" ",10),10)," ")</f>
        <v/>
      </c>
      <c r="Y1456" s="10">
        <f>IF(A1456="C",LEFT(UPPER(D1456)&amp;REPT(" ",2),2)," ")</f>
        <v/>
      </c>
      <c r="Z1456" s="10">
        <f>IF(A1456="C",LEFT(UPPER(E1456)&amp;REPT(" ",15),15)," ")</f>
        <v/>
      </c>
      <c r="AA1456" s="10">
        <f>REPT(" ",8)</f>
        <v/>
      </c>
      <c r="AB1456" s="10">
        <f>REPT(" ",4)</f>
        <v/>
      </c>
      <c r="AC1456" s="10">
        <f>LEFT(UPPER(H1456)&amp;REPT(" ",250),250)</f>
        <v/>
      </c>
      <c r="AD1456" s="10">
        <f>TEXT($G$2,"dd/mm/aaaa")</f>
        <v/>
      </c>
      <c r="AE1456" s="10">
        <f>REPT(" ",10)</f>
        <v/>
      </c>
      <c r="AF1456" s="10">
        <f>REPT(" ",20)</f>
        <v/>
      </c>
      <c r="AG1456" s="54">
        <f>REPT(" ",18-LEN(FIXED(F1456,2,TRUE)))&amp;FIXED(F1456,2,TRUE)</f>
        <v/>
      </c>
      <c r="AH1456" s="10">
        <f>LEN(AC1456)+LEN(AG1456)</f>
        <v/>
      </c>
      <c r="AI1456" s="10">
        <f>LEN(L1456)</f>
        <v/>
      </c>
    </row>
    <row r="1457">
      <c r="J1457" s="12">
        <f>IF(F1457&lt;&gt;0,"LANÇAR","")</f>
        <v/>
      </c>
      <c r="L1457" s="13">
        <f>N1457&amp;O1457&amp;P1457&amp;Q1457&amp;R1457&amp;S1457&amp;T1457&amp;U1457&amp;V1457&amp;W1457&amp;X1457&amp;Y1457&amp;Z1457&amp;AA1457&amp;AB1457&amp;AC1457&amp;AD1457&amp;AE1457&amp;AF1457&amp;AG1457</f>
        <v/>
      </c>
      <c r="N1457" s="10">
        <f>TEXT($B$6,"00")</f>
        <v/>
      </c>
      <c r="O1457" s="10">
        <f>REPT(" ",8)</f>
        <v/>
      </c>
      <c r="P1457" s="10">
        <f>RIGHT($B$4,2)</f>
        <v/>
      </c>
      <c r="Q1457" s="10">
        <f>RIGHT($B$5,3)</f>
        <v/>
      </c>
      <c r="R1457" s="10">
        <f>IF(A1457="D",LEFT(UPPER(B1457)&amp;REPT(" ",20),20),REPT(" ",20))</f>
        <v/>
      </c>
      <c r="S1457" s="10">
        <f>IF(A1457="D",LEFT(UPPER(C1457)&amp;REPT(" ",10),10)," ")</f>
        <v/>
      </c>
      <c r="T1457" s="10">
        <f>IF(A1457="D",LEFT(UPPER(D1457)&amp;REPT(" ",2),2)," ")</f>
        <v/>
      </c>
      <c r="U1457" s="10">
        <f>IF(A1457="D",LEFT(UPPER(E1457)&amp;REPT(" ",15),15)," ")</f>
        <v/>
      </c>
      <c r="V1457" s="10">
        <f>REPT(" ",24)</f>
        <v/>
      </c>
      <c r="W1457" s="10">
        <f>IF(A1457="c",LEFT(UPPER(B1457)&amp;REPT(" ",20),20),REPT(" ",20))</f>
        <v/>
      </c>
      <c r="X1457" s="10">
        <f>IF(A1457="C",LEFT(UPPER(C1457)&amp;REPT(" ",10),10)," ")</f>
        <v/>
      </c>
      <c r="Y1457" s="10">
        <f>IF(A1457="C",LEFT(UPPER(D1457)&amp;REPT(" ",2),2)," ")</f>
        <v/>
      </c>
      <c r="Z1457" s="10">
        <f>IF(A1457="C",LEFT(UPPER(E1457)&amp;REPT(" ",15),15)," ")</f>
        <v/>
      </c>
      <c r="AA1457" s="10">
        <f>REPT(" ",8)</f>
        <v/>
      </c>
      <c r="AB1457" s="10">
        <f>REPT(" ",4)</f>
        <v/>
      </c>
      <c r="AC1457" s="10">
        <f>LEFT(UPPER(H1457)&amp;REPT(" ",250),250)</f>
        <v/>
      </c>
      <c r="AD1457" s="10">
        <f>TEXT($G$2,"dd/mm/aaaa")</f>
        <v/>
      </c>
      <c r="AE1457" s="10">
        <f>REPT(" ",10)</f>
        <v/>
      </c>
      <c r="AF1457" s="10">
        <f>REPT(" ",20)</f>
        <v/>
      </c>
      <c r="AG1457" s="54">
        <f>REPT(" ",18-LEN(FIXED(F1457,2,TRUE)))&amp;FIXED(F1457,2,TRUE)</f>
        <v/>
      </c>
      <c r="AH1457" s="10">
        <f>LEN(AC1457)+LEN(AG1457)</f>
        <v/>
      </c>
      <c r="AI1457" s="10">
        <f>LEN(L1457)</f>
        <v/>
      </c>
    </row>
    <row r="1458">
      <c r="J1458" s="12">
        <f>IF(F1458&lt;&gt;0,"LANÇAR","")</f>
        <v/>
      </c>
      <c r="L1458" s="13">
        <f>N1458&amp;O1458&amp;P1458&amp;Q1458&amp;R1458&amp;S1458&amp;T1458&amp;U1458&amp;V1458&amp;W1458&amp;X1458&amp;Y1458&amp;Z1458&amp;AA1458&amp;AB1458&amp;AC1458&amp;AD1458&amp;AE1458&amp;AF1458&amp;AG1458</f>
        <v/>
      </c>
      <c r="N1458" s="10">
        <f>TEXT($B$6,"00")</f>
        <v/>
      </c>
      <c r="O1458" s="10">
        <f>REPT(" ",8)</f>
        <v/>
      </c>
      <c r="P1458" s="10">
        <f>RIGHT($B$4,2)</f>
        <v/>
      </c>
      <c r="Q1458" s="10">
        <f>RIGHT($B$5,3)</f>
        <v/>
      </c>
      <c r="R1458" s="10">
        <f>IF(A1458="D",LEFT(UPPER(B1458)&amp;REPT(" ",20),20),REPT(" ",20))</f>
        <v/>
      </c>
      <c r="S1458" s="10">
        <f>IF(A1458="D",LEFT(UPPER(C1458)&amp;REPT(" ",10),10)," ")</f>
        <v/>
      </c>
      <c r="T1458" s="10">
        <f>IF(A1458="D",LEFT(UPPER(D1458)&amp;REPT(" ",2),2)," ")</f>
        <v/>
      </c>
      <c r="U1458" s="10">
        <f>IF(A1458="D",LEFT(UPPER(E1458)&amp;REPT(" ",15),15)," ")</f>
        <v/>
      </c>
      <c r="V1458" s="10">
        <f>REPT(" ",24)</f>
        <v/>
      </c>
      <c r="W1458" s="10">
        <f>IF(A1458="c",LEFT(UPPER(B1458)&amp;REPT(" ",20),20),REPT(" ",20))</f>
        <v/>
      </c>
      <c r="X1458" s="10">
        <f>IF(A1458="C",LEFT(UPPER(C1458)&amp;REPT(" ",10),10)," ")</f>
        <v/>
      </c>
      <c r="Y1458" s="10">
        <f>IF(A1458="C",LEFT(UPPER(D1458)&amp;REPT(" ",2),2)," ")</f>
        <v/>
      </c>
      <c r="Z1458" s="10">
        <f>IF(A1458="C",LEFT(UPPER(E1458)&amp;REPT(" ",15),15)," ")</f>
        <v/>
      </c>
      <c r="AA1458" s="10">
        <f>REPT(" ",8)</f>
        <v/>
      </c>
      <c r="AB1458" s="10">
        <f>REPT(" ",4)</f>
        <v/>
      </c>
      <c r="AC1458" s="10">
        <f>LEFT(UPPER(H1458)&amp;REPT(" ",250),250)</f>
        <v/>
      </c>
      <c r="AD1458" s="10">
        <f>TEXT($G$2,"dd/mm/aaaa")</f>
        <v/>
      </c>
      <c r="AE1458" s="10">
        <f>REPT(" ",10)</f>
        <v/>
      </c>
      <c r="AF1458" s="10">
        <f>REPT(" ",20)</f>
        <v/>
      </c>
      <c r="AG1458" s="54">
        <f>REPT(" ",18-LEN(FIXED(F1458,2,TRUE)))&amp;FIXED(F1458,2,TRUE)</f>
        <v/>
      </c>
      <c r="AH1458" s="10">
        <f>LEN(AC1458)+LEN(AG1458)</f>
        <v/>
      </c>
      <c r="AI1458" s="10">
        <f>LEN(L1458)</f>
        <v/>
      </c>
    </row>
    <row r="1459">
      <c r="J1459" s="12">
        <f>IF(F1459&lt;&gt;0,"LANÇAR","")</f>
        <v/>
      </c>
      <c r="L1459" s="13">
        <f>N1459&amp;O1459&amp;P1459&amp;Q1459&amp;R1459&amp;S1459&amp;T1459&amp;U1459&amp;V1459&amp;W1459&amp;X1459&amp;Y1459&amp;Z1459&amp;AA1459&amp;AB1459&amp;AC1459&amp;AD1459&amp;AE1459&amp;AF1459&amp;AG1459</f>
        <v/>
      </c>
      <c r="N1459" s="10">
        <f>TEXT($B$6,"00")</f>
        <v/>
      </c>
      <c r="O1459" s="10">
        <f>REPT(" ",8)</f>
        <v/>
      </c>
      <c r="P1459" s="10">
        <f>RIGHT($B$4,2)</f>
        <v/>
      </c>
      <c r="Q1459" s="10">
        <f>RIGHT($B$5,3)</f>
        <v/>
      </c>
      <c r="R1459" s="10">
        <f>IF(A1459="D",LEFT(UPPER(B1459)&amp;REPT(" ",20),20),REPT(" ",20))</f>
        <v/>
      </c>
      <c r="S1459" s="10">
        <f>IF(A1459="D",LEFT(UPPER(C1459)&amp;REPT(" ",10),10)," ")</f>
        <v/>
      </c>
      <c r="T1459" s="10">
        <f>IF(A1459="D",LEFT(UPPER(D1459)&amp;REPT(" ",2),2)," ")</f>
        <v/>
      </c>
      <c r="U1459" s="10">
        <f>IF(A1459="D",LEFT(UPPER(E1459)&amp;REPT(" ",15),15)," ")</f>
        <v/>
      </c>
      <c r="V1459" s="10">
        <f>REPT(" ",24)</f>
        <v/>
      </c>
      <c r="W1459" s="10">
        <f>IF(A1459="c",LEFT(UPPER(B1459)&amp;REPT(" ",20),20),REPT(" ",20))</f>
        <v/>
      </c>
      <c r="X1459" s="10">
        <f>IF(A1459="C",LEFT(UPPER(C1459)&amp;REPT(" ",10),10)," ")</f>
        <v/>
      </c>
      <c r="Y1459" s="10">
        <f>IF(A1459="C",LEFT(UPPER(D1459)&amp;REPT(" ",2),2)," ")</f>
        <v/>
      </c>
      <c r="Z1459" s="10">
        <f>IF(A1459="C",LEFT(UPPER(E1459)&amp;REPT(" ",15),15)," ")</f>
        <v/>
      </c>
      <c r="AA1459" s="10">
        <f>REPT(" ",8)</f>
        <v/>
      </c>
      <c r="AB1459" s="10">
        <f>REPT(" ",4)</f>
        <v/>
      </c>
      <c r="AC1459" s="10">
        <f>LEFT(UPPER(H1459)&amp;REPT(" ",250),250)</f>
        <v/>
      </c>
      <c r="AD1459" s="10">
        <f>TEXT($G$2,"dd/mm/aaaa")</f>
        <v/>
      </c>
      <c r="AE1459" s="10">
        <f>REPT(" ",10)</f>
        <v/>
      </c>
      <c r="AF1459" s="10">
        <f>REPT(" ",20)</f>
        <v/>
      </c>
      <c r="AG1459" s="54">
        <f>REPT(" ",18-LEN(FIXED(F1459,2,TRUE)))&amp;FIXED(F1459,2,TRUE)</f>
        <v/>
      </c>
      <c r="AH1459" s="10">
        <f>LEN(AC1459)+LEN(AG1459)</f>
        <v/>
      </c>
      <c r="AI1459" s="10">
        <f>LEN(L1459)</f>
        <v/>
      </c>
    </row>
    <row r="1460">
      <c r="J1460" s="12">
        <f>IF(F1460&lt;&gt;0,"LANÇAR","")</f>
        <v/>
      </c>
      <c r="L1460" s="13">
        <f>N1460&amp;O1460&amp;P1460&amp;Q1460&amp;R1460&amp;S1460&amp;T1460&amp;U1460&amp;V1460&amp;W1460&amp;X1460&amp;Y1460&amp;Z1460&amp;AA1460&amp;AB1460&amp;AC1460&amp;AD1460&amp;AE1460&amp;AF1460&amp;AG1460</f>
        <v/>
      </c>
      <c r="N1460" s="10">
        <f>TEXT($B$6,"00")</f>
        <v/>
      </c>
      <c r="O1460" s="10">
        <f>REPT(" ",8)</f>
        <v/>
      </c>
      <c r="P1460" s="10">
        <f>RIGHT($B$4,2)</f>
        <v/>
      </c>
      <c r="Q1460" s="10">
        <f>RIGHT($B$5,3)</f>
        <v/>
      </c>
      <c r="R1460" s="10">
        <f>IF(A1460="D",LEFT(UPPER(B1460)&amp;REPT(" ",20),20),REPT(" ",20))</f>
        <v/>
      </c>
      <c r="S1460" s="10">
        <f>IF(A1460="D",LEFT(UPPER(C1460)&amp;REPT(" ",10),10)," ")</f>
        <v/>
      </c>
      <c r="T1460" s="10">
        <f>IF(A1460="D",LEFT(UPPER(D1460)&amp;REPT(" ",2),2)," ")</f>
        <v/>
      </c>
      <c r="U1460" s="10">
        <f>IF(A1460="D",LEFT(UPPER(E1460)&amp;REPT(" ",15),15)," ")</f>
        <v/>
      </c>
      <c r="V1460" s="10">
        <f>REPT(" ",24)</f>
        <v/>
      </c>
      <c r="W1460" s="10">
        <f>IF(A1460="c",LEFT(UPPER(B1460)&amp;REPT(" ",20),20),REPT(" ",20))</f>
        <v/>
      </c>
      <c r="X1460" s="10">
        <f>IF(A1460="C",LEFT(UPPER(C1460)&amp;REPT(" ",10),10)," ")</f>
        <v/>
      </c>
      <c r="Y1460" s="10">
        <f>IF(A1460="C",LEFT(UPPER(D1460)&amp;REPT(" ",2),2)," ")</f>
        <v/>
      </c>
      <c r="Z1460" s="10">
        <f>IF(A1460="C",LEFT(UPPER(E1460)&amp;REPT(" ",15),15)," ")</f>
        <v/>
      </c>
      <c r="AA1460" s="10">
        <f>REPT(" ",8)</f>
        <v/>
      </c>
      <c r="AB1460" s="10">
        <f>REPT(" ",4)</f>
        <v/>
      </c>
      <c r="AC1460" s="10">
        <f>LEFT(UPPER(H1460)&amp;REPT(" ",250),250)</f>
        <v/>
      </c>
      <c r="AD1460" s="10">
        <f>TEXT($G$2,"dd/mm/aaaa")</f>
        <v/>
      </c>
      <c r="AE1460" s="10">
        <f>REPT(" ",10)</f>
        <v/>
      </c>
      <c r="AF1460" s="10">
        <f>REPT(" ",20)</f>
        <v/>
      </c>
      <c r="AG1460" s="54">
        <f>REPT(" ",18-LEN(FIXED(F1460,2,TRUE)))&amp;FIXED(F1460,2,TRUE)</f>
        <v/>
      </c>
      <c r="AH1460" s="10">
        <f>LEN(AC1460)+LEN(AG1460)</f>
        <v/>
      </c>
      <c r="AI1460" s="10">
        <f>LEN(L1460)</f>
        <v/>
      </c>
    </row>
    <row r="1461">
      <c r="J1461" s="12">
        <f>IF(F1461&lt;&gt;0,"LANÇAR","")</f>
        <v/>
      </c>
      <c r="L1461" s="13">
        <f>N1461&amp;O1461&amp;P1461&amp;Q1461&amp;R1461&amp;S1461&amp;T1461&amp;U1461&amp;V1461&amp;W1461&amp;X1461&amp;Y1461&amp;Z1461&amp;AA1461&amp;AB1461&amp;AC1461&amp;AD1461&amp;AE1461&amp;AF1461&amp;AG1461</f>
        <v/>
      </c>
      <c r="N1461" s="10">
        <f>TEXT($B$6,"00")</f>
        <v/>
      </c>
      <c r="O1461" s="10">
        <f>REPT(" ",8)</f>
        <v/>
      </c>
      <c r="P1461" s="10">
        <f>RIGHT($B$4,2)</f>
        <v/>
      </c>
      <c r="Q1461" s="10">
        <f>RIGHT($B$5,3)</f>
        <v/>
      </c>
      <c r="R1461" s="10">
        <f>IF(A1461="D",LEFT(UPPER(B1461)&amp;REPT(" ",20),20),REPT(" ",20))</f>
        <v/>
      </c>
      <c r="S1461" s="10">
        <f>IF(A1461="D",LEFT(UPPER(C1461)&amp;REPT(" ",10),10)," ")</f>
        <v/>
      </c>
      <c r="T1461" s="10">
        <f>IF(A1461="D",LEFT(UPPER(D1461)&amp;REPT(" ",2),2)," ")</f>
        <v/>
      </c>
      <c r="U1461" s="10">
        <f>IF(A1461="D",LEFT(UPPER(E1461)&amp;REPT(" ",15),15)," ")</f>
        <v/>
      </c>
      <c r="V1461" s="10">
        <f>REPT(" ",24)</f>
        <v/>
      </c>
      <c r="W1461" s="10">
        <f>IF(A1461="c",LEFT(UPPER(B1461)&amp;REPT(" ",20),20),REPT(" ",20))</f>
        <v/>
      </c>
      <c r="X1461" s="10">
        <f>IF(A1461="C",LEFT(UPPER(C1461)&amp;REPT(" ",10),10)," ")</f>
        <v/>
      </c>
      <c r="Y1461" s="10">
        <f>IF(A1461="C",LEFT(UPPER(D1461)&amp;REPT(" ",2),2)," ")</f>
        <v/>
      </c>
      <c r="Z1461" s="10">
        <f>IF(A1461="C",LEFT(UPPER(E1461)&amp;REPT(" ",15),15)," ")</f>
        <v/>
      </c>
      <c r="AA1461" s="10">
        <f>REPT(" ",8)</f>
        <v/>
      </c>
      <c r="AB1461" s="10">
        <f>REPT(" ",4)</f>
        <v/>
      </c>
      <c r="AC1461" s="10">
        <f>LEFT(UPPER(H1461)&amp;REPT(" ",250),250)</f>
        <v/>
      </c>
      <c r="AD1461" s="10">
        <f>TEXT($G$2,"dd/mm/aaaa")</f>
        <v/>
      </c>
      <c r="AE1461" s="10">
        <f>REPT(" ",10)</f>
        <v/>
      </c>
      <c r="AF1461" s="10">
        <f>REPT(" ",20)</f>
        <v/>
      </c>
      <c r="AG1461" s="54">
        <f>REPT(" ",18-LEN(FIXED(F1461,2,TRUE)))&amp;FIXED(F1461,2,TRUE)</f>
        <v/>
      </c>
      <c r="AH1461" s="10">
        <f>LEN(AC1461)+LEN(AG1461)</f>
        <v/>
      </c>
      <c r="AI1461" s="10">
        <f>LEN(L1461)</f>
        <v/>
      </c>
    </row>
    <row r="1462">
      <c r="J1462" s="12">
        <f>IF(F1462&lt;&gt;0,"LANÇAR","")</f>
        <v/>
      </c>
      <c r="L1462" s="13">
        <f>N1462&amp;O1462&amp;P1462&amp;Q1462&amp;R1462&amp;S1462&amp;T1462&amp;U1462&amp;V1462&amp;W1462&amp;X1462&amp;Y1462&amp;Z1462&amp;AA1462&amp;AB1462&amp;AC1462&amp;AD1462&amp;AE1462&amp;AF1462&amp;AG1462</f>
        <v/>
      </c>
      <c r="N1462" s="10">
        <f>TEXT($B$6,"00")</f>
        <v/>
      </c>
      <c r="O1462" s="10">
        <f>REPT(" ",8)</f>
        <v/>
      </c>
      <c r="P1462" s="10">
        <f>RIGHT($B$4,2)</f>
        <v/>
      </c>
      <c r="Q1462" s="10">
        <f>RIGHT($B$5,3)</f>
        <v/>
      </c>
      <c r="R1462" s="10">
        <f>IF(A1462="D",LEFT(UPPER(B1462)&amp;REPT(" ",20),20),REPT(" ",20))</f>
        <v/>
      </c>
      <c r="S1462" s="10">
        <f>IF(A1462="D",LEFT(UPPER(C1462)&amp;REPT(" ",10),10)," ")</f>
        <v/>
      </c>
      <c r="T1462" s="10">
        <f>IF(A1462="D",LEFT(UPPER(D1462)&amp;REPT(" ",2),2)," ")</f>
        <v/>
      </c>
      <c r="U1462" s="10">
        <f>IF(A1462="D",LEFT(UPPER(E1462)&amp;REPT(" ",15),15)," ")</f>
        <v/>
      </c>
      <c r="V1462" s="10">
        <f>REPT(" ",24)</f>
        <v/>
      </c>
      <c r="W1462" s="10">
        <f>IF(A1462="c",LEFT(UPPER(B1462)&amp;REPT(" ",20),20),REPT(" ",20))</f>
        <v/>
      </c>
      <c r="X1462" s="10">
        <f>IF(A1462="C",LEFT(UPPER(C1462)&amp;REPT(" ",10),10)," ")</f>
        <v/>
      </c>
      <c r="Y1462" s="10">
        <f>IF(A1462="C",LEFT(UPPER(D1462)&amp;REPT(" ",2),2)," ")</f>
        <v/>
      </c>
      <c r="Z1462" s="10">
        <f>IF(A1462="C",LEFT(UPPER(E1462)&amp;REPT(" ",15),15)," ")</f>
        <v/>
      </c>
      <c r="AA1462" s="10">
        <f>REPT(" ",8)</f>
        <v/>
      </c>
      <c r="AB1462" s="10">
        <f>REPT(" ",4)</f>
        <v/>
      </c>
      <c r="AC1462" s="10">
        <f>LEFT(UPPER(H1462)&amp;REPT(" ",250),250)</f>
        <v/>
      </c>
      <c r="AD1462" s="10">
        <f>TEXT($G$2,"dd/mm/aaaa")</f>
        <v/>
      </c>
      <c r="AE1462" s="10">
        <f>REPT(" ",10)</f>
        <v/>
      </c>
      <c r="AF1462" s="10">
        <f>REPT(" ",20)</f>
        <v/>
      </c>
      <c r="AG1462" s="54">
        <f>REPT(" ",18-LEN(FIXED(F1462,2,TRUE)))&amp;FIXED(F1462,2,TRUE)</f>
        <v/>
      </c>
      <c r="AH1462" s="10">
        <f>LEN(AC1462)+LEN(AG1462)</f>
        <v/>
      </c>
      <c r="AI1462" s="10">
        <f>LEN(L1462)</f>
        <v/>
      </c>
    </row>
    <row r="1463">
      <c r="J1463" s="12">
        <f>IF(F1463&lt;&gt;0,"LANÇAR","")</f>
        <v/>
      </c>
      <c r="L1463" s="13">
        <f>N1463&amp;O1463&amp;P1463&amp;Q1463&amp;R1463&amp;S1463&amp;T1463&amp;U1463&amp;V1463&amp;W1463&amp;X1463&amp;Y1463&amp;Z1463&amp;AA1463&amp;AB1463&amp;AC1463&amp;AD1463&amp;AE1463&amp;AF1463&amp;AG1463</f>
        <v/>
      </c>
      <c r="N1463" s="10">
        <f>TEXT($B$6,"00")</f>
        <v/>
      </c>
      <c r="O1463" s="10">
        <f>REPT(" ",8)</f>
        <v/>
      </c>
      <c r="P1463" s="10">
        <f>RIGHT($B$4,2)</f>
        <v/>
      </c>
      <c r="Q1463" s="10">
        <f>RIGHT($B$5,3)</f>
        <v/>
      </c>
      <c r="R1463" s="10">
        <f>IF(A1463="D",LEFT(UPPER(B1463)&amp;REPT(" ",20),20),REPT(" ",20))</f>
        <v/>
      </c>
      <c r="S1463" s="10">
        <f>IF(A1463="D",LEFT(UPPER(C1463)&amp;REPT(" ",10),10)," ")</f>
        <v/>
      </c>
      <c r="T1463" s="10">
        <f>IF(A1463="D",LEFT(UPPER(D1463)&amp;REPT(" ",2),2)," ")</f>
        <v/>
      </c>
      <c r="U1463" s="10">
        <f>IF(A1463="D",LEFT(UPPER(E1463)&amp;REPT(" ",15),15)," ")</f>
        <v/>
      </c>
      <c r="V1463" s="10">
        <f>REPT(" ",24)</f>
        <v/>
      </c>
      <c r="W1463" s="10">
        <f>IF(A1463="c",LEFT(UPPER(B1463)&amp;REPT(" ",20),20),REPT(" ",20))</f>
        <v/>
      </c>
      <c r="X1463" s="10">
        <f>IF(A1463="C",LEFT(UPPER(C1463)&amp;REPT(" ",10),10)," ")</f>
        <v/>
      </c>
      <c r="Y1463" s="10">
        <f>IF(A1463="C",LEFT(UPPER(D1463)&amp;REPT(" ",2),2)," ")</f>
        <v/>
      </c>
      <c r="Z1463" s="10">
        <f>IF(A1463="C",LEFT(UPPER(E1463)&amp;REPT(" ",15),15)," ")</f>
        <v/>
      </c>
      <c r="AA1463" s="10">
        <f>REPT(" ",8)</f>
        <v/>
      </c>
      <c r="AB1463" s="10">
        <f>REPT(" ",4)</f>
        <v/>
      </c>
      <c r="AC1463" s="10">
        <f>LEFT(UPPER(H1463)&amp;REPT(" ",250),250)</f>
        <v/>
      </c>
      <c r="AD1463" s="10">
        <f>TEXT($G$2,"dd/mm/aaaa")</f>
        <v/>
      </c>
      <c r="AE1463" s="10">
        <f>REPT(" ",10)</f>
        <v/>
      </c>
      <c r="AF1463" s="10">
        <f>REPT(" ",20)</f>
        <v/>
      </c>
      <c r="AG1463" s="54">
        <f>REPT(" ",18-LEN(FIXED(F1463,2,TRUE)))&amp;FIXED(F1463,2,TRUE)</f>
        <v/>
      </c>
      <c r="AH1463" s="10">
        <f>LEN(AC1463)+LEN(AG1463)</f>
        <v/>
      </c>
      <c r="AI1463" s="10">
        <f>LEN(L1463)</f>
        <v/>
      </c>
    </row>
    <row r="1464">
      <c r="J1464" s="12">
        <f>IF(F1464&lt;&gt;0,"LANÇAR","")</f>
        <v/>
      </c>
      <c r="L1464" s="13">
        <f>N1464&amp;O1464&amp;P1464&amp;Q1464&amp;R1464&amp;S1464&amp;T1464&amp;U1464&amp;V1464&amp;W1464&amp;X1464&amp;Y1464&amp;Z1464&amp;AA1464&amp;AB1464&amp;AC1464&amp;AD1464&amp;AE1464&amp;AF1464&amp;AG1464</f>
        <v/>
      </c>
      <c r="N1464" s="10">
        <f>TEXT($B$6,"00")</f>
        <v/>
      </c>
      <c r="O1464" s="10">
        <f>REPT(" ",8)</f>
        <v/>
      </c>
      <c r="P1464" s="10">
        <f>RIGHT($B$4,2)</f>
        <v/>
      </c>
      <c r="Q1464" s="10">
        <f>RIGHT($B$5,3)</f>
        <v/>
      </c>
      <c r="R1464" s="10">
        <f>IF(A1464="D",LEFT(UPPER(B1464)&amp;REPT(" ",20),20),REPT(" ",20))</f>
        <v/>
      </c>
      <c r="S1464" s="10">
        <f>IF(A1464="D",LEFT(UPPER(C1464)&amp;REPT(" ",10),10)," ")</f>
        <v/>
      </c>
      <c r="T1464" s="10">
        <f>IF(A1464="D",LEFT(UPPER(D1464)&amp;REPT(" ",2),2)," ")</f>
        <v/>
      </c>
      <c r="U1464" s="10">
        <f>IF(A1464="D",LEFT(UPPER(E1464)&amp;REPT(" ",15),15)," ")</f>
        <v/>
      </c>
      <c r="V1464" s="10">
        <f>REPT(" ",24)</f>
        <v/>
      </c>
      <c r="W1464" s="10">
        <f>IF(A1464="c",LEFT(UPPER(B1464)&amp;REPT(" ",20),20),REPT(" ",20))</f>
        <v/>
      </c>
      <c r="X1464" s="10">
        <f>IF(A1464="C",LEFT(UPPER(C1464)&amp;REPT(" ",10),10)," ")</f>
        <v/>
      </c>
      <c r="Y1464" s="10">
        <f>IF(A1464="C",LEFT(UPPER(D1464)&amp;REPT(" ",2),2)," ")</f>
        <v/>
      </c>
      <c r="Z1464" s="10">
        <f>IF(A1464="C",LEFT(UPPER(E1464)&amp;REPT(" ",15),15)," ")</f>
        <v/>
      </c>
      <c r="AA1464" s="10">
        <f>REPT(" ",8)</f>
        <v/>
      </c>
      <c r="AB1464" s="10">
        <f>REPT(" ",4)</f>
        <v/>
      </c>
      <c r="AC1464" s="10">
        <f>LEFT(UPPER(H1464)&amp;REPT(" ",250),250)</f>
        <v/>
      </c>
      <c r="AD1464" s="10">
        <f>TEXT($G$2,"dd/mm/aaaa")</f>
        <v/>
      </c>
      <c r="AE1464" s="10">
        <f>REPT(" ",10)</f>
        <v/>
      </c>
      <c r="AF1464" s="10">
        <f>REPT(" ",20)</f>
        <v/>
      </c>
      <c r="AG1464" s="54">
        <f>REPT(" ",18-LEN(FIXED(F1464,2,TRUE)))&amp;FIXED(F1464,2,TRUE)</f>
        <v/>
      </c>
      <c r="AH1464" s="10">
        <f>LEN(AC1464)+LEN(AG1464)</f>
        <v/>
      </c>
      <c r="AI1464" s="10">
        <f>LEN(L1464)</f>
        <v/>
      </c>
    </row>
    <row r="1465">
      <c r="J1465" s="12">
        <f>IF(F1465&lt;&gt;0,"LANÇAR","")</f>
        <v/>
      </c>
      <c r="L1465" s="13">
        <f>N1465&amp;O1465&amp;P1465&amp;Q1465&amp;R1465&amp;S1465&amp;T1465&amp;U1465&amp;V1465&amp;W1465&amp;X1465&amp;Y1465&amp;Z1465&amp;AA1465&amp;AB1465&amp;AC1465&amp;AD1465&amp;AE1465&amp;AF1465&amp;AG1465</f>
        <v/>
      </c>
      <c r="N1465" s="10">
        <f>TEXT($B$6,"00")</f>
        <v/>
      </c>
      <c r="O1465" s="10">
        <f>REPT(" ",8)</f>
        <v/>
      </c>
      <c r="P1465" s="10">
        <f>RIGHT($B$4,2)</f>
        <v/>
      </c>
      <c r="Q1465" s="10">
        <f>RIGHT($B$5,3)</f>
        <v/>
      </c>
      <c r="R1465" s="10">
        <f>IF(A1465="D",LEFT(UPPER(B1465)&amp;REPT(" ",20),20),REPT(" ",20))</f>
        <v/>
      </c>
      <c r="S1465" s="10">
        <f>IF(A1465="D",LEFT(UPPER(C1465)&amp;REPT(" ",10),10)," ")</f>
        <v/>
      </c>
      <c r="T1465" s="10">
        <f>IF(A1465="D",LEFT(UPPER(D1465)&amp;REPT(" ",2),2)," ")</f>
        <v/>
      </c>
      <c r="U1465" s="10">
        <f>IF(A1465="D",LEFT(UPPER(E1465)&amp;REPT(" ",15),15)," ")</f>
        <v/>
      </c>
      <c r="V1465" s="10">
        <f>REPT(" ",24)</f>
        <v/>
      </c>
      <c r="W1465" s="10">
        <f>IF(A1465="c",LEFT(UPPER(B1465)&amp;REPT(" ",20),20),REPT(" ",20))</f>
        <v/>
      </c>
      <c r="X1465" s="10">
        <f>IF(A1465="C",LEFT(UPPER(C1465)&amp;REPT(" ",10),10)," ")</f>
        <v/>
      </c>
      <c r="Y1465" s="10">
        <f>IF(A1465="C",LEFT(UPPER(D1465)&amp;REPT(" ",2),2)," ")</f>
        <v/>
      </c>
      <c r="Z1465" s="10">
        <f>IF(A1465="C",LEFT(UPPER(E1465)&amp;REPT(" ",15),15)," ")</f>
        <v/>
      </c>
      <c r="AA1465" s="10">
        <f>REPT(" ",8)</f>
        <v/>
      </c>
      <c r="AB1465" s="10">
        <f>REPT(" ",4)</f>
        <v/>
      </c>
      <c r="AC1465" s="10">
        <f>LEFT(UPPER(H1465)&amp;REPT(" ",250),250)</f>
        <v/>
      </c>
      <c r="AD1465" s="10">
        <f>TEXT($G$2,"dd/mm/aaaa")</f>
        <v/>
      </c>
      <c r="AE1465" s="10">
        <f>REPT(" ",10)</f>
        <v/>
      </c>
      <c r="AF1465" s="10">
        <f>REPT(" ",20)</f>
        <v/>
      </c>
      <c r="AG1465" s="54">
        <f>REPT(" ",18-LEN(FIXED(F1465,2,TRUE)))&amp;FIXED(F1465,2,TRUE)</f>
        <v/>
      </c>
      <c r="AH1465" s="10">
        <f>LEN(AC1465)+LEN(AG1465)</f>
        <v/>
      </c>
      <c r="AI1465" s="10">
        <f>LEN(L1465)</f>
        <v/>
      </c>
    </row>
    <row r="1466">
      <c r="J1466" s="12">
        <f>IF(F1466&lt;&gt;0,"LANÇAR","")</f>
        <v/>
      </c>
      <c r="L1466" s="13">
        <f>N1466&amp;O1466&amp;P1466&amp;Q1466&amp;R1466&amp;S1466&amp;T1466&amp;U1466&amp;V1466&amp;W1466&amp;X1466&amp;Y1466&amp;Z1466&amp;AA1466&amp;AB1466&amp;AC1466&amp;AD1466&amp;AE1466&amp;AF1466&amp;AG1466</f>
        <v/>
      </c>
      <c r="N1466" s="10">
        <f>TEXT($B$6,"00")</f>
        <v/>
      </c>
      <c r="O1466" s="10">
        <f>REPT(" ",8)</f>
        <v/>
      </c>
      <c r="P1466" s="10">
        <f>RIGHT($B$4,2)</f>
        <v/>
      </c>
      <c r="Q1466" s="10">
        <f>RIGHT($B$5,3)</f>
        <v/>
      </c>
      <c r="R1466" s="10">
        <f>IF(A1466="D",LEFT(UPPER(B1466)&amp;REPT(" ",20),20),REPT(" ",20))</f>
        <v/>
      </c>
      <c r="S1466" s="10">
        <f>IF(A1466="D",LEFT(UPPER(C1466)&amp;REPT(" ",10),10)," ")</f>
        <v/>
      </c>
      <c r="T1466" s="10">
        <f>IF(A1466="D",LEFT(UPPER(D1466)&amp;REPT(" ",2),2)," ")</f>
        <v/>
      </c>
      <c r="U1466" s="10">
        <f>IF(A1466="D",LEFT(UPPER(E1466)&amp;REPT(" ",15),15)," ")</f>
        <v/>
      </c>
      <c r="V1466" s="10">
        <f>REPT(" ",24)</f>
        <v/>
      </c>
      <c r="W1466" s="10">
        <f>IF(A1466="c",LEFT(UPPER(B1466)&amp;REPT(" ",20),20),REPT(" ",20))</f>
        <v/>
      </c>
      <c r="X1466" s="10">
        <f>IF(A1466="C",LEFT(UPPER(C1466)&amp;REPT(" ",10),10)," ")</f>
        <v/>
      </c>
      <c r="Y1466" s="10">
        <f>IF(A1466="C",LEFT(UPPER(D1466)&amp;REPT(" ",2),2)," ")</f>
        <v/>
      </c>
      <c r="Z1466" s="10">
        <f>IF(A1466="C",LEFT(UPPER(E1466)&amp;REPT(" ",15),15)," ")</f>
        <v/>
      </c>
      <c r="AA1466" s="10">
        <f>REPT(" ",8)</f>
        <v/>
      </c>
      <c r="AB1466" s="10">
        <f>REPT(" ",4)</f>
        <v/>
      </c>
      <c r="AC1466" s="10">
        <f>LEFT(UPPER(H1466)&amp;REPT(" ",250),250)</f>
        <v/>
      </c>
      <c r="AD1466" s="10">
        <f>TEXT($G$2,"dd/mm/aaaa")</f>
        <v/>
      </c>
      <c r="AE1466" s="10">
        <f>REPT(" ",10)</f>
        <v/>
      </c>
      <c r="AF1466" s="10">
        <f>REPT(" ",20)</f>
        <v/>
      </c>
      <c r="AG1466" s="54">
        <f>REPT(" ",18-LEN(FIXED(F1466,2,TRUE)))&amp;FIXED(F1466,2,TRUE)</f>
        <v/>
      </c>
      <c r="AH1466" s="10">
        <f>LEN(AC1466)+LEN(AG1466)</f>
        <v/>
      </c>
      <c r="AI1466" s="10">
        <f>LEN(L1466)</f>
        <v/>
      </c>
    </row>
    <row r="1467">
      <c r="J1467" s="12">
        <f>IF(F1467&lt;&gt;0,"LANÇAR","")</f>
        <v/>
      </c>
      <c r="L1467" s="13">
        <f>N1467&amp;O1467&amp;P1467&amp;Q1467&amp;R1467&amp;S1467&amp;T1467&amp;U1467&amp;V1467&amp;W1467&amp;X1467&amp;Y1467&amp;Z1467&amp;AA1467&amp;AB1467&amp;AC1467&amp;AD1467&amp;AE1467&amp;AF1467&amp;AG1467</f>
        <v/>
      </c>
      <c r="N1467" s="10">
        <f>TEXT($B$6,"00")</f>
        <v/>
      </c>
      <c r="O1467" s="10">
        <f>REPT(" ",8)</f>
        <v/>
      </c>
      <c r="P1467" s="10">
        <f>RIGHT($B$4,2)</f>
        <v/>
      </c>
      <c r="Q1467" s="10">
        <f>RIGHT($B$5,3)</f>
        <v/>
      </c>
      <c r="R1467" s="10">
        <f>IF(A1467="D",LEFT(UPPER(B1467)&amp;REPT(" ",20),20),REPT(" ",20))</f>
        <v/>
      </c>
      <c r="S1467" s="10">
        <f>IF(A1467="D",LEFT(UPPER(C1467)&amp;REPT(" ",10),10)," ")</f>
        <v/>
      </c>
      <c r="T1467" s="10">
        <f>IF(A1467="D",LEFT(UPPER(D1467)&amp;REPT(" ",2),2)," ")</f>
        <v/>
      </c>
      <c r="U1467" s="10">
        <f>IF(A1467="D",LEFT(UPPER(E1467)&amp;REPT(" ",15),15)," ")</f>
        <v/>
      </c>
      <c r="V1467" s="10">
        <f>REPT(" ",24)</f>
        <v/>
      </c>
      <c r="W1467" s="10">
        <f>IF(A1467="c",LEFT(UPPER(B1467)&amp;REPT(" ",20),20),REPT(" ",20))</f>
        <v/>
      </c>
      <c r="X1467" s="10">
        <f>IF(A1467="C",LEFT(UPPER(C1467)&amp;REPT(" ",10),10)," ")</f>
        <v/>
      </c>
      <c r="Y1467" s="10">
        <f>IF(A1467="C",LEFT(UPPER(D1467)&amp;REPT(" ",2),2)," ")</f>
        <v/>
      </c>
      <c r="Z1467" s="10">
        <f>IF(A1467="C",LEFT(UPPER(E1467)&amp;REPT(" ",15),15)," ")</f>
        <v/>
      </c>
      <c r="AA1467" s="10">
        <f>REPT(" ",8)</f>
        <v/>
      </c>
      <c r="AB1467" s="10">
        <f>REPT(" ",4)</f>
        <v/>
      </c>
      <c r="AC1467" s="10">
        <f>LEFT(UPPER(H1467)&amp;REPT(" ",250),250)</f>
        <v/>
      </c>
      <c r="AD1467" s="10">
        <f>TEXT($G$2,"dd/mm/aaaa")</f>
        <v/>
      </c>
      <c r="AE1467" s="10">
        <f>REPT(" ",10)</f>
        <v/>
      </c>
      <c r="AF1467" s="10">
        <f>REPT(" ",20)</f>
        <v/>
      </c>
      <c r="AG1467" s="54">
        <f>REPT(" ",18-LEN(FIXED(F1467,2,TRUE)))&amp;FIXED(F1467,2,TRUE)</f>
        <v/>
      </c>
      <c r="AH1467" s="10">
        <f>LEN(AC1467)+LEN(AG1467)</f>
        <v/>
      </c>
      <c r="AI1467" s="10">
        <f>LEN(L1467)</f>
        <v/>
      </c>
    </row>
    <row r="1468">
      <c r="J1468" s="12">
        <f>IF(F1468&lt;&gt;0,"LANÇAR","")</f>
        <v/>
      </c>
      <c r="L1468" s="13">
        <f>N1468&amp;O1468&amp;P1468&amp;Q1468&amp;R1468&amp;S1468&amp;T1468&amp;U1468&amp;V1468&amp;W1468&amp;X1468&amp;Y1468&amp;Z1468&amp;AA1468&amp;AB1468&amp;AC1468&amp;AD1468&amp;AE1468&amp;AF1468&amp;AG1468</f>
        <v/>
      </c>
      <c r="N1468" s="10">
        <f>TEXT($B$6,"00")</f>
        <v/>
      </c>
      <c r="O1468" s="10">
        <f>REPT(" ",8)</f>
        <v/>
      </c>
      <c r="P1468" s="10">
        <f>RIGHT($B$4,2)</f>
        <v/>
      </c>
      <c r="Q1468" s="10">
        <f>RIGHT($B$5,3)</f>
        <v/>
      </c>
      <c r="R1468" s="10">
        <f>IF(A1468="D",LEFT(UPPER(B1468)&amp;REPT(" ",20),20),REPT(" ",20))</f>
        <v/>
      </c>
      <c r="S1468" s="10">
        <f>IF(A1468="D",LEFT(UPPER(C1468)&amp;REPT(" ",10),10)," ")</f>
        <v/>
      </c>
      <c r="T1468" s="10">
        <f>IF(A1468="D",LEFT(UPPER(D1468)&amp;REPT(" ",2),2)," ")</f>
        <v/>
      </c>
      <c r="U1468" s="10">
        <f>IF(A1468="D",LEFT(UPPER(E1468)&amp;REPT(" ",15),15)," ")</f>
        <v/>
      </c>
      <c r="V1468" s="10">
        <f>REPT(" ",24)</f>
        <v/>
      </c>
      <c r="W1468" s="10">
        <f>IF(A1468="c",LEFT(UPPER(B1468)&amp;REPT(" ",20),20),REPT(" ",20))</f>
        <v/>
      </c>
      <c r="X1468" s="10">
        <f>IF(A1468="C",LEFT(UPPER(C1468)&amp;REPT(" ",10),10)," ")</f>
        <v/>
      </c>
      <c r="Y1468" s="10">
        <f>IF(A1468="C",LEFT(UPPER(D1468)&amp;REPT(" ",2),2)," ")</f>
        <v/>
      </c>
      <c r="Z1468" s="10">
        <f>IF(A1468="C",LEFT(UPPER(E1468)&amp;REPT(" ",15),15)," ")</f>
        <v/>
      </c>
      <c r="AA1468" s="10">
        <f>REPT(" ",8)</f>
        <v/>
      </c>
      <c r="AB1468" s="10">
        <f>REPT(" ",4)</f>
        <v/>
      </c>
      <c r="AC1468" s="10">
        <f>LEFT(UPPER(H1468)&amp;REPT(" ",250),250)</f>
        <v/>
      </c>
      <c r="AD1468" s="10">
        <f>TEXT($G$2,"dd/mm/aaaa")</f>
        <v/>
      </c>
      <c r="AE1468" s="10">
        <f>REPT(" ",10)</f>
        <v/>
      </c>
      <c r="AF1468" s="10">
        <f>REPT(" ",20)</f>
        <v/>
      </c>
      <c r="AG1468" s="54">
        <f>REPT(" ",18-LEN(FIXED(F1468,2,TRUE)))&amp;FIXED(F1468,2,TRUE)</f>
        <v/>
      </c>
      <c r="AH1468" s="10">
        <f>LEN(AC1468)+LEN(AG1468)</f>
        <v/>
      </c>
      <c r="AI1468" s="10">
        <f>LEN(L1468)</f>
        <v/>
      </c>
    </row>
    <row r="1469">
      <c r="J1469" s="12">
        <f>IF(F1469&lt;&gt;0,"LANÇAR","")</f>
        <v/>
      </c>
      <c r="L1469" s="13">
        <f>N1469&amp;O1469&amp;P1469&amp;Q1469&amp;R1469&amp;S1469&amp;T1469&amp;U1469&amp;V1469&amp;W1469&amp;X1469&amp;Y1469&amp;Z1469&amp;AA1469&amp;AB1469&amp;AC1469&amp;AD1469&amp;AE1469&amp;AF1469&amp;AG1469</f>
        <v/>
      </c>
      <c r="N1469" s="10">
        <f>TEXT($B$6,"00")</f>
        <v/>
      </c>
      <c r="O1469" s="10">
        <f>REPT(" ",8)</f>
        <v/>
      </c>
      <c r="P1469" s="10">
        <f>RIGHT($B$4,2)</f>
        <v/>
      </c>
      <c r="Q1469" s="10">
        <f>RIGHT($B$5,3)</f>
        <v/>
      </c>
      <c r="R1469" s="10">
        <f>IF(A1469="D",LEFT(UPPER(B1469)&amp;REPT(" ",20),20),REPT(" ",20))</f>
        <v/>
      </c>
      <c r="S1469" s="10">
        <f>IF(A1469="D",LEFT(UPPER(C1469)&amp;REPT(" ",10),10)," ")</f>
        <v/>
      </c>
      <c r="T1469" s="10">
        <f>IF(A1469="D",LEFT(UPPER(D1469)&amp;REPT(" ",2),2)," ")</f>
        <v/>
      </c>
      <c r="U1469" s="10">
        <f>IF(A1469="D",LEFT(UPPER(E1469)&amp;REPT(" ",15),15)," ")</f>
        <v/>
      </c>
      <c r="V1469" s="10">
        <f>REPT(" ",24)</f>
        <v/>
      </c>
      <c r="W1469" s="10">
        <f>IF(A1469="c",LEFT(UPPER(B1469)&amp;REPT(" ",20),20),REPT(" ",20))</f>
        <v/>
      </c>
      <c r="X1469" s="10">
        <f>IF(A1469="C",LEFT(UPPER(C1469)&amp;REPT(" ",10),10)," ")</f>
        <v/>
      </c>
      <c r="Y1469" s="10">
        <f>IF(A1469="C",LEFT(UPPER(D1469)&amp;REPT(" ",2),2)," ")</f>
        <v/>
      </c>
      <c r="Z1469" s="10">
        <f>IF(A1469="C",LEFT(UPPER(E1469)&amp;REPT(" ",15),15)," ")</f>
        <v/>
      </c>
      <c r="AA1469" s="10">
        <f>REPT(" ",8)</f>
        <v/>
      </c>
      <c r="AB1469" s="10">
        <f>REPT(" ",4)</f>
        <v/>
      </c>
      <c r="AC1469" s="10">
        <f>LEFT(UPPER(H1469)&amp;REPT(" ",250),250)</f>
        <v/>
      </c>
      <c r="AD1469" s="10">
        <f>TEXT($G$2,"dd/mm/aaaa")</f>
        <v/>
      </c>
      <c r="AE1469" s="10">
        <f>REPT(" ",10)</f>
        <v/>
      </c>
      <c r="AF1469" s="10">
        <f>REPT(" ",20)</f>
        <v/>
      </c>
      <c r="AG1469" s="54">
        <f>REPT(" ",18-LEN(FIXED(F1469,2,TRUE)))&amp;FIXED(F1469,2,TRUE)</f>
        <v/>
      </c>
      <c r="AH1469" s="10">
        <f>LEN(AC1469)+LEN(AG1469)</f>
        <v/>
      </c>
      <c r="AI1469" s="10">
        <f>LEN(L1469)</f>
        <v/>
      </c>
    </row>
    <row r="1470">
      <c r="J1470" s="12">
        <f>IF(F1470&lt;&gt;0,"LANÇAR","")</f>
        <v/>
      </c>
      <c r="L1470" s="13">
        <f>N1470&amp;O1470&amp;P1470&amp;Q1470&amp;R1470&amp;S1470&amp;T1470&amp;U1470&amp;V1470&amp;W1470&amp;X1470&amp;Y1470&amp;Z1470&amp;AA1470&amp;AB1470&amp;AC1470&amp;AD1470&amp;AE1470&amp;AF1470&amp;AG1470</f>
        <v/>
      </c>
      <c r="N1470" s="10">
        <f>TEXT($B$6,"00")</f>
        <v/>
      </c>
      <c r="O1470" s="10">
        <f>REPT(" ",8)</f>
        <v/>
      </c>
      <c r="P1470" s="10">
        <f>RIGHT($B$4,2)</f>
        <v/>
      </c>
      <c r="Q1470" s="10">
        <f>RIGHT($B$5,3)</f>
        <v/>
      </c>
      <c r="R1470" s="10">
        <f>IF(A1470="D",LEFT(UPPER(B1470)&amp;REPT(" ",20),20),REPT(" ",20))</f>
        <v/>
      </c>
      <c r="S1470" s="10">
        <f>IF(A1470="D",LEFT(UPPER(C1470)&amp;REPT(" ",10),10)," ")</f>
        <v/>
      </c>
      <c r="T1470" s="10">
        <f>IF(A1470="D",LEFT(UPPER(D1470)&amp;REPT(" ",2),2)," ")</f>
        <v/>
      </c>
      <c r="U1470" s="10">
        <f>IF(A1470="D",LEFT(UPPER(E1470)&amp;REPT(" ",15),15)," ")</f>
        <v/>
      </c>
      <c r="V1470" s="10">
        <f>REPT(" ",24)</f>
        <v/>
      </c>
      <c r="W1470" s="10">
        <f>IF(A1470="c",LEFT(UPPER(B1470)&amp;REPT(" ",20),20),REPT(" ",20))</f>
        <v/>
      </c>
      <c r="X1470" s="10">
        <f>IF(A1470="C",LEFT(UPPER(C1470)&amp;REPT(" ",10),10)," ")</f>
        <v/>
      </c>
      <c r="Y1470" s="10">
        <f>IF(A1470="C",LEFT(UPPER(D1470)&amp;REPT(" ",2),2)," ")</f>
        <v/>
      </c>
      <c r="Z1470" s="10">
        <f>IF(A1470="C",LEFT(UPPER(E1470)&amp;REPT(" ",15),15)," ")</f>
        <v/>
      </c>
      <c r="AA1470" s="10">
        <f>REPT(" ",8)</f>
        <v/>
      </c>
      <c r="AB1470" s="10">
        <f>REPT(" ",4)</f>
        <v/>
      </c>
      <c r="AC1470" s="10">
        <f>LEFT(UPPER(H1470)&amp;REPT(" ",250),250)</f>
        <v/>
      </c>
      <c r="AD1470" s="10">
        <f>TEXT($G$2,"dd/mm/aaaa")</f>
        <v/>
      </c>
      <c r="AE1470" s="10">
        <f>REPT(" ",10)</f>
        <v/>
      </c>
      <c r="AF1470" s="10">
        <f>REPT(" ",20)</f>
        <v/>
      </c>
      <c r="AG1470" s="54">
        <f>REPT(" ",18-LEN(FIXED(F1470,2,TRUE)))&amp;FIXED(F1470,2,TRUE)</f>
        <v/>
      </c>
      <c r="AH1470" s="10">
        <f>LEN(AC1470)+LEN(AG1470)</f>
        <v/>
      </c>
      <c r="AI1470" s="10">
        <f>LEN(L1470)</f>
        <v/>
      </c>
    </row>
    <row r="1471">
      <c r="J1471" s="12">
        <f>IF(F1471&lt;&gt;0,"LANÇAR","")</f>
        <v/>
      </c>
      <c r="L1471" s="13">
        <f>N1471&amp;O1471&amp;P1471&amp;Q1471&amp;R1471&amp;S1471&amp;T1471&amp;U1471&amp;V1471&amp;W1471&amp;X1471&amp;Y1471&amp;Z1471&amp;AA1471&amp;AB1471&amp;AC1471&amp;AD1471&amp;AE1471&amp;AF1471&amp;AG1471</f>
        <v/>
      </c>
      <c r="N1471" s="10">
        <f>TEXT($B$6,"00")</f>
        <v/>
      </c>
      <c r="O1471" s="10">
        <f>REPT(" ",8)</f>
        <v/>
      </c>
      <c r="P1471" s="10">
        <f>RIGHT($B$4,2)</f>
        <v/>
      </c>
      <c r="Q1471" s="10">
        <f>RIGHT($B$5,3)</f>
        <v/>
      </c>
      <c r="R1471" s="10">
        <f>IF(A1471="D",LEFT(UPPER(B1471)&amp;REPT(" ",20),20),REPT(" ",20))</f>
        <v/>
      </c>
      <c r="S1471" s="10">
        <f>IF(A1471="D",LEFT(UPPER(C1471)&amp;REPT(" ",10),10)," ")</f>
        <v/>
      </c>
      <c r="T1471" s="10">
        <f>IF(A1471="D",LEFT(UPPER(D1471)&amp;REPT(" ",2),2)," ")</f>
        <v/>
      </c>
      <c r="U1471" s="10">
        <f>IF(A1471="D",LEFT(UPPER(E1471)&amp;REPT(" ",15),15)," ")</f>
        <v/>
      </c>
      <c r="V1471" s="10">
        <f>REPT(" ",24)</f>
        <v/>
      </c>
      <c r="W1471" s="10">
        <f>IF(A1471="c",LEFT(UPPER(B1471)&amp;REPT(" ",20),20),REPT(" ",20))</f>
        <v/>
      </c>
      <c r="X1471" s="10">
        <f>IF(A1471="C",LEFT(UPPER(C1471)&amp;REPT(" ",10),10)," ")</f>
        <v/>
      </c>
      <c r="Y1471" s="10">
        <f>IF(A1471="C",LEFT(UPPER(D1471)&amp;REPT(" ",2),2)," ")</f>
        <v/>
      </c>
      <c r="Z1471" s="10">
        <f>IF(A1471="C",LEFT(UPPER(E1471)&amp;REPT(" ",15),15)," ")</f>
        <v/>
      </c>
      <c r="AA1471" s="10">
        <f>REPT(" ",8)</f>
        <v/>
      </c>
      <c r="AB1471" s="10">
        <f>REPT(" ",4)</f>
        <v/>
      </c>
      <c r="AC1471" s="10">
        <f>LEFT(UPPER(H1471)&amp;REPT(" ",250),250)</f>
        <v/>
      </c>
      <c r="AD1471" s="10">
        <f>TEXT($G$2,"dd/mm/aaaa")</f>
        <v/>
      </c>
      <c r="AE1471" s="10">
        <f>REPT(" ",10)</f>
        <v/>
      </c>
      <c r="AF1471" s="10">
        <f>REPT(" ",20)</f>
        <v/>
      </c>
      <c r="AG1471" s="54">
        <f>REPT(" ",18-LEN(FIXED(F1471,2,TRUE)))&amp;FIXED(F1471,2,TRUE)</f>
        <v/>
      </c>
      <c r="AH1471" s="10">
        <f>LEN(AC1471)+LEN(AG1471)</f>
        <v/>
      </c>
      <c r="AI1471" s="10">
        <f>LEN(L1471)</f>
        <v/>
      </c>
    </row>
    <row r="1472">
      <c r="J1472" s="12">
        <f>IF(F1472&lt;&gt;0,"LANÇAR","")</f>
        <v/>
      </c>
      <c r="L1472" s="13">
        <f>N1472&amp;O1472&amp;P1472&amp;Q1472&amp;R1472&amp;S1472&amp;T1472&amp;U1472&amp;V1472&amp;W1472&amp;X1472&amp;Y1472&amp;Z1472&amp;AA1472&amp;AB1472&amp;AC1472&amp;AD1472&amp;AE1472&amp;AF1472&amp;AG1472</f>
        <v/>
      </c>
      <c r="N1472" s="10">
        <f>TEXT($B$6,"00")</f>
        <v/>
      </c>
      <c r="O1472" s="10">
        <f>REPT(" ",8)</f>
        <v/>
      </c>
      <c r="P1472" s="10">
        <f>RIGHT($B$4,2)</f>
        <v/>
      </c>
      <c r="Q1472" s="10">
        <f>RIGHT($B$5,3)</f>
        <v/>
      </c>
      <c r="R1472" s="10">
        <f>IF(A1472="D",LEFT(UPPER(B1472)&amp;REPT(" ",20),20),REPT(" ",20))</f>
        <v/>
      </c>
      <c r="S1472" s="10">
        <f>IF(A1472="D",LEFT(UPPER(C1472)&amp;REPT(" ",10),10)," ")</f>
        <v/>
      </c>
      <c r="T1472" s="10">
        <f>IF(A1472="D",LEFT(UPPER(D1472)&amp;REPT(" ",2),2)," ")</f>
        <v/>
      </c>
      <c r="U1472" s="10">
        <f>IF(A1472="D",LEFT(UPPER(E1472)&amp;REPT(" ",15),15)," ")</f>
        <v/>
      </c>
      <c r="V1472" s="10">
        <f>REPT(" ",24)</f>
        <v/>
      </c>
      <c r="W1472" s="10">
        <f>IF(A1472="c",LEFT(UPPER(B1472)&amp;REPT(" ",20),20),REPT(" ",20))</f>
        <v/>
      </c>
      <c r="X1472" s="10">
        <f>IF(A1472="C",LEFT(UPPER(C1472)&amp;REPT(" ",10),10)," ")</f>
        <v/>
      </c>
      <c r="Y1472" s="10">
        <f>IF(A1472="C",LEFT(UPPER(D1472)&amp;REPT(" ",2),2)," ")</f>
        <v/>
      </c>
      <c r="Z1472" s="10">
        <f>IF(A1472="C",LEFT(UPPER(E1472)&amp;REPT(" ",15),15)," ")</f>
        <v/>
      </c>
      <c r="AA1472" s="10">
        <f>REPT(" ",8)</f>
        <v/>
      </c>
      <c r="AB1472" s="10">
        <f>REPT(" ",4)</f>
        <v/>
      </c>
      <c r="AC1472" s="10">
        <f>LEFT(UPPER(H1472)&amp;REPT(" ",250),250)</f>
        <v/>
      </c>
      <c r="AD1472" s="10">
        <f>TEXT($G$2,"dd/mm/aaaa")</f>
        <v/>
      </c>
      <c r="AE1472" s="10">
        <f>REPT(" ",10)</f>
        <v/>
      </c>
      <c r="AF1472" s="10">
        <f>REPT(" ",20)</f>
        <v/>
      </c>
      <c r="AG1472" s="54">
        <f>REPT(" ",18-LEN(FIXED(F1472,2,TRUE)))&amp;FIXED(F1472,2,TRUE)</f>
        <v/>
      </c>
      <c r="AH1472" s="10">
        <f>LEN(AC1472)+LEN(AG1472)</f>
        <v/>
      </c>
      <c r="AI1472" s="10">
        <f>LEN(L1472)</f>
        <v/>
      </c>
    </row>
    <row r="1473">
      <c r="J1473" s="12">
        <f>IF(F1473&lt;&gt;0,"LANÇAR","")</f>
        <v/>
      </c>
      <c r="L1473" s="13">
        <f>N1473&amp;O1473&amp;P1473&amp;Q1473&amp;R1473&amp;S1473&amp;T1473&amp;U1473&amp;V1473&amp;W1473&amp;X1473&amp;Y1473&amp;Z1473&amp;AA1473&amp;AB1473&amp;AC1473&amp;AD1473&amp;AE1473&amp;AF1473&amp;AG1473</f>
        <v/>
      </c>
      <c r="N1473" s="10">
        <f>TEXT($B$6,"00")</f>
        <v/>
      </c>
      <c r="O1473" s="10">
        <f>REPT(" ",8)</f>
        <v/>
      </c>
      <c r="P1473" s="10">
        <f>RIGHT($B$4,2)</f>
        <v/>
      </c>
      <c r="Q1473" s="10">
        <f>RIGHT($B$5,3)</f>
        <v/>
      </c>
      <c r="R1473" s="10">
        <f>IF(A1473="D",LEFT(UPPER(B1473)&amp;REPT(" ",20),20),REPT(" ",20))</f>
        <v/>
      </c>
      <c r="S1473" s="10">
        <f>IF(A1473="D",LEFT(UPPER(C1473)&amp;REPT(" ",10),10)," ")</f>
        <v/>
      </c>
      <c r="T1473" s="10">
        <f>IF(A1473="D",LEFT(UPPER(D1473)&amp;REPT(" ",2),2)," ")</f>
        <v/>
      </c>
      <c r="U1473" s="10">
        <f>IF(A1473="D",LEFT(UPPER(E1473)&amp;REPT(" ",15),15)," ")</f>
        <v/>
      </c>
      <c r="V1473" s="10">
        <f>REPT(" ",24)</f>
        <v/>
      </c>
      <c r="W1473" s="10">
        <f>IF(A1473="c",LEFT(UPPER(B1473)&amp;REPT(" ",20),20),REPT(" ",20))</f>
        <v/>
      </c>
      <c r="X1473" s="10">
        <f>IF(A1473="C",LEFT(UPPER(C1473)&amp;REPT(" ",10),10)," ")</f>
        <v/>
      </c>
      <c r="Y1473" s="10">
        <f>IF(A1473="C",LEFT(UPPER(D1473)&amp;REPT(" ",2),2)," ")</f>
        <v/>
      </c>
      <c r="Z1473" s="10">
        <f>IF(A1473="C",LEFT(UPPER(E1473)&amp;REPT(" ",15),15)," ")</f>
        <v/>
      </c>
      <c r="AA1473" s="10">
        <f>REPT(" ",8)</f>
        <v/>
      </c>
      <c r="AB1473" s="10">
        <f>REPT(" ",4)</f>
        <v/>
      </c>
      <c r="AC1473" s="10">
        <f>LEFT(UPPER(H1473)&amp;REPT(" ",250),250)</f>
        <v/>
      </c>
      <c r="AD1473" s="10">
        <f>TEXT($G$2,"dd/mm/aaaa")</f>
        <v/>
      </c>
      <c r="AE1473" s="10">
        <f>REPT(" ",10)</f>
        <v/>
      </c>
      <c r="AF1473" s="10">
        <f>REPT(" ",20)</f>
        <v/>
      </c>
      <c r="AG1473" s="54">
        <f>REPT(" ",18-LEN(FIXED(F1473,2,TRUE)))&amp;FIXED(F1473,2,TRUE)</f>
        <v/>
      </c>
      <c r="AH1473" s="10">
        <f>LEN(AC1473)+LEN(AG1473)</f>
        <v/>
      </c>
      <c r="AI1473" s="10">
        <f>LEN(L1473)</f>
        <v/>
      </c>
    </row>
    <row r="1474">
      <c r="J1474" s="12">
        <f>IF(F1474&lt;&gt;0,"LANÇAR","")</f>
        <v/>
      </c>
      <c r="L1474" s="13">
        <f>N1474&amp;O1474&amp;P1474&amp;Q1474&amp;R1474&amp;S1474&amp;T1474&amp;U1474&amp;V1474&amp;W1474&amp;X1474&amp;Y1474&amp;Z1474&amp;AA1474&amp;AB1474&amp;AC1474&amp;AD1474&amp;AE1474&amp;AF1474&amp;AG1474</f>
        <v/>
      </c>
      <c r="N1474" s="10">
        <f>TEXT($B$6,"00")</f>
        <v/>
      </c>
      <c r="O1474" s="10">
        <f>REPT(" ",8)</f>
        <v/>
      </c>
      <c r="P1474" s="10">
        <f>RIGHT($B$4,2)</f>
        <v/>
      </c>
      <c r="Q1474" s="10">
        <f>RIGHT($B$5,3)</f>
        <v/>
      </c>
      <c r="R1474" s="10">
        <f>IF(A1474="D",LEFT(UPPER(B1474)&amp;REPT(" ",20),20),REPT(" ",20))</f>
        <v/>
      </c>
      <c r="S1474" s="10">
        <f>IF(A1474="D",LEFT(UPPER(C1474)&amp;REPT(" ",10),10)," ")</f>
        <v/>
      </c>
      <c r="T1474" s="10">
        <f>IF(A1474="D",LEFT(UPPER(D1474)&amp;REPT(" ",2),2)," ")</f>
        <v/>
      </c>
      <c r="U1474" s="10">
        <f>IF(A1474="D",LEFT(UPPER(E1474)&amp;REPT(" ",15),15)," ")</f>
        <v/>
      </c>
      <c r="V1474" s="10">
        <f>REPT(" ",24)</f>
        <v/>
      </c>
      <c r="W1474" s="10">
        <f>IF(A1474="c",LEFT(UPPER(B1474)&amp;REPT(" ",20),20),REPT(" ",20))</f>
        <v/>
      </c>
      <c r="X1474" s="10">
        <f>IF(A1474="C",LEFT(UPPER(C1474)&amp;REPT(" ",10),10)," ")</f>
        <v/>
      </c>
      <c r="Y1474" s="10">
        <f>IF(A1474="C",LEFT(UPPER(D1474)&amp;REPT(" ",2),2)," ")</f>
        <v/>
      </c>
      <c r="Z1474" s="10">
        <f>IF(A1474="C",LEFT(UPPER(E1474)&amp;REPT(" ",15),15)," ")</f>
        <v/>
      </c>
      <c r="AA1474" s="10">
        <f>REPT(" ",8)</f>
        <v/>
      </c>
      <c r="AB1474" s="10">
        <f>REPT(" ",4)</f>
        <v/>
      </c>
      <c r="AC1474" s="10">
        <f>LEFT(UPPER(H1474)&amp;REPT(" ",250),250)</f>
        <v/>
      </c>
      <c r="AD1474" s="10">
        <f>TEXT($G$2,"dd/mm/aaaa")</f>
        <v/>
      </c>
      <c r="AE1474" s="10">
        <f>REPT(" ",10)</f>
        <v/>
      </c>
      <c r="AF1474" s="10">
        <f>REPT(" ",20)</f>
        <v/>
      </c>
      <c r="AG1474" s="54">
        <f>REPT(" ",18-LEN(FIXED(F1474,2,TRUE)))&amp;FIXED(F1474,2,TRUE)</f>
        <v/>
      </c>
      <c r="AH1474" s="10">
        <f>LEN(AC1474)+LEN(AG1474)</f>
        <v/>
      </c>
      <c r="AI1474" s="10">
        <f>LEN(L1474)</f>
        <v/>
      </c>
    </row>
    <row r="1475">
      <c r="J1475" s="12">
        <f>IF(F1475&lt;&gt;0,"LANÇAR","")</f>
        <v/>
      </c>
      <c r="L1475" s="13">
        <f>N1475&amp;O1475&amp;P1475&amp;Q1475&amp;R1475&amp;S1475&amp;T1475&amp;U1475&amp;V1475&amp;W1475&amp;X1475&amp;Y1475&amp;Z1475&amp;AA1475&amp;AB1475&amp;AC1475&amp;AD1475&amp;AE1475&amp;AF1475&amp;AG1475</f>
        <v/>
      </c>
      <c r="N1475" s="10">
        <f>TEXT($B$6,"00")</f>
        <v/>
      </c>
      <c r="O1475" s="10">
        <f>REPT(" ",8)</f>
        <v/>
      </c>
      <c r="P1475" s="10">
        <f>RIGHT($B$4,2)</f>
        <v/>
      </c>
      <c r="Q1475" s="10">
        <f>RIGHT($B$5,3)</f>
        <v/>
      </c>
      <c r="R1475" s="10">
        <f>IF(A1475="D",LEFT(UPPER(B1475)&amp;REPT(" ",20),20),REPT(" ",20))</f>
        <v/>
      </c>
      <c r="S1475" s="10">
        <f>IF(A1475="D",LEFT(UPPER(C1475)&amp;REPT(" ",10),10)," ")</f>
        <v/>
      </c>
      <c r="T1475" s="10">
        <f>IF(A1475="D",LEFT(UPPER(D1475)&amp;REPT(" ",2),2)," ")</f>
        <v/>
      </c>
      <c r="U1475" s="10">
        <f>IF(A1475="D",LEFT(UPPER(E1475)&amp;REPT(" ",15),15)," ")</f>
        <v/>
      </c>
      <c r="V1475" s="10">
        <f>REPT(" ",24)</f>
        <v/>
      </c>
      <c r="W1475" s="10">
        <f>IF(A1475="c",LEFT(UPPER(B1475)&amp;REPT(" ",20),20),REPT(" ",20))</f>
        <v/>
      </c>
      <c r="X1475" s="10">
        <f>IF(A1475="C",LEFT(UPPER(C1475)&amp;REPT(" ",10),10)," ")</f>
        <v/>
      </c>
      <c r="Y1475" s="10">
        <f>IF(A1475="C",LEFT(UPPER(D1475)&amp;REPT(" ",2),2)," ")</f>
        <v/>
      </c>
      <c r="Z1475" s="10">
        <f>IF(A1475="C",LEFT(UPPER(E1475)&amp;REPT(" ",15),15)," ")</f>
        <v/>
      </c>
      <c r="AA1475" s="10">
        <f>REPT(" ",8)</f>
        <v/>
      </c>
      <c r="AB1475" s="10">
        <f>REPT(" ",4)</f>
        <v/>
      </c>
      <c r="AC1475" s="10">
        <f>LEFT(UPPER(H1475)&amp;REPT(" ",250),250)</f>
        <v/>
      </c>
      <c r="AD1475" s="10">
        <f>TEXT($G$2,"dd/mm/aaaa")</f>
        <v/>
      </c>
      <c r="AE1475" s="10">
        <f>REPT(" ",10)</f>
        <v/>
      </c>
      <c r="AF1475" s="10">
        <f>REPT(" ",20)</f>
        <v/>
      </c>
      <c r="AG1475" s="54">
        <f>REPT(" ",18-LEN(FIXED(F1475,2,TRUE)))&amp;FIXED(F1475,2,TRUE)</f>
        <v/>
      </c>
      <c r="AH1475" s="10">
        <f>LEN(AC1475)+LEN(AG1475)</f>
        <v/>
      </c>
      <c r="AI1475" s="10">
        <f>LEN(L1475)</f>
        <v/>
      </c>
    </row>
    <row r="1476">
      <c r="J1476" s="12">
        <f>IF(F1476&lt;&gt;0,"LANÇAR","")</f>
        <v/>
      </c>
      <c r="L1476" s="13">
        <f>N1476&amp;O1476&amp;P1476&amp;Q1476&amp;R1476&amp;S1476&amp;T1476&amp;U1476&amp;V1476&amp;W1476&amp;X1476&amp;Y1476&amp;Z1476&amp;AA1476&amp;AB1476&amp;AC1476&amp;AD1476&amp;AE1476&amp;AF1476&amp;AG1476</f>
        <v/>
      </c>
      <c r="N1476" s="10">
        <f>TEXT($B$6,"00")</f>
        <v/>
      </c>
      <c r="O1476" s="10">
        <f>REPT(" ",8)</f>
        <v/>
      </c>
      <c r="P1476" s="10">
        <f>RIGHT($B$4,2)</f>
        <v/>
      </c>
      <c r="Q1476" s="10">
        <f>RIGHT($B$5,3)</f>
        <v/>
      </c>
      <c r="R1476" s="10">
        <f>IF(A1476="D",LEFT(UPPER(B1476)&amp;REPT(" ",20),20),REPT(" ",20))</f>
        <v/>
      </c>
      <c r="S1476" s="10">
        <f>IF(A1476="D",LEFT(UPPER(C1476)&amp;REPT(" ",10),10)," ")</f>
        <v/>
      </c>
      <c r="T1476" s="10">
        <f>IF(A1476="D",LEFT(UPPER(D1476)&amp;REPT(" ",2),2)," ")</f>
        <v/>
      </c>
      <c r="U1476" s="10">
        <f>IF(A1476="D",LEFT(UPPER(E1476)&amp;REPT(" ",15),15)," ")</f>
        <v/>
      </c>
      <c r="V1476" s="10">
        <f>REPT(" ",24)</f>
        <v/>
      </c>
      <c r="W1476" s="10">
        <f>IF(A1476="c",LEFT(UPPER(B1476)&amp;REPT(" ",20),20),REPT(" ",20))</f>
        <v/>
      </c>
      <c r="X1476" s="10">
        <f>IF(A1476="C",LEFT(UPPER(C1476)&amp;REPT(" ",10),10)," ")</f>
        <v/>
      </c>
      <c r="Y1476" s="10">
        <f>IF(A1476="C",LEFT(UPPER(D1476)&amp;REPT(" ",2),2)," ")</f>
        <v/>
      </c>
      <c r="Z1476" s="10">
        <f>IF(A1476="C",LEFT(UPPER(E1476)&amp;REPT(" ",15),15)," ")</f>
        <v/>
      </c>
      <c r="AA1476" s="10">
        <f>REPT(" ",8)</f>
        <v/>
      </c>
      <c r="AB1476" s="10">
        <f>REPT(" ",4)</f>
        <v/>
      </c>
      <c r="AC1476" s="10">
        <f>LEFT(UPPER(H1476)&amp;REPT(" ",250),250)</f>
        <v/>
      </c>
      <c r="AD1476" s="10">
        <f>TEXT($G$2,"dd/mm/aaaa")</f>
        <v/>
      </c>
      <c r="AE1476" s="10">
        <f>REPT(" ",10)</f>
        <v/>
      </c>
      <c r="AF1476" s="10">
        <f>REPT(" ",20)</f>
        <v/>
      </c>
      <c r="AG1476" s="54">
        <f>REPT(" ",18-LEN(FIXED(F1476,2,TRUE)))&amp;FIXED(F1476,2,TRUE)</f>
        <v/>
      </c>
      <c r="AH1476" s="10">
        <f>LEN(AC1476)+LEN(AG1476)</f>
        <v/>
      </c>
      <c r="AI1476" s="10">
        <f>LEN(L1476)</f>
        <v/>
      </c>
    </row>
    <row r="1477">
      <c r="J1477" s="12">
        <f>IF(F1477&lt;&gt;0,"LANÇAR","")</f>
        <v/>
      </c>
      <c r="L1477" s="13">
        <f>N1477&amp;O1477&amp;P1477&amp;Q1477&amp;R1477&amp;S1477&amp;T1477&amp;U1477&amp;V1477&amp;W1477&amp;X1477&amp;Y1477&amp;Z1477&amp;AA1477&amp;AB1477&amp;AC1477&amp;AD1477&amp;AE1477&amp;AF1477&amp;AG1477</f>
        <v/>
      </c>
      <c r="N1477" s="10">
        <f>TEXT($B$6,"00")</f>
        <v/>
      </c>
      <c r="O1477" s="10">
        <f>REPT(" ",8)</f>
        <v/>
      </c>
      <c r="P1477" s="10">
        <f>RIGHT($B$4,2)</f>
        <v/>
      </c>
      <c r="Q1477" s="10">
        <f>RIGHT($B$5,3)</f>
        <v/>
      </c>
      <c r="R1477" s="10">
        <f>IF(A1477="D",LEFT(UPPER(B1477)&amp;REPT(" ",20),20),REPT(" ",20))</f>
        <v/>
      </c>
      <c r="S1477" s="10">
        <f>IF(A1477="D",LEFT(UPPER(C1477)&amp;REPT(" ",10),10)," ")</f>
        <v/>
      </c>
      <c r="T1477" s="10">
        <f>IF(A1477="D",LEFT(UPPER(D1477)&amp;REPT(" ",2),2)," ")</f>
        <v/>
      </c>
      <c r="U1477" s="10">
        <f>IF(A1477="D",LEFT(UPPER(E1477)&amp;REPT(" ",15),15)," ")</f>
        <v/>
      </c>
      <c r="V1477" s="10">
        <f>REPT(" ",24)</f>
        <v/>
      </c>
      <c r="W1477" s="10">
        <f>IF(A1477="c",LEFT(UPPER(B1477)&amp;REPT(" ",20),20),REPT(" ",20))</f>
        <v/>
      </c>
      <c r="X1477" s="10">
        <f>IF(A1477="C",LEFT(UPPER(C1477)&amp;REPT(" ",10),10)," ")</f>
        <v/>
      </c>
      <c r="Y1477" s="10">
        <f>IF(A1477="C",LEFT(UPPER(D1477)&amp;REPT(" ",2),2)," ")</f>
        <v/>
      </c>
      <c r="Z1477" s="10">
        <f>IF(A1477="C",LEFT(UPPER(E1477)&amp;REPT(" ",15),15)," ")</f>
        <v/>
      </c>
      <c r="AA1477" s="10">
        <f>REPT(" ",8)</f>
        <v/>
      </c>
      <c r="AB1477" s="10">
        <f>REPT(" ",4)</f>
        <v/>
      </c>
      <c r="AC1477" s="10">
        <f>LEFT(UPPER(H1477)&amp;REPT(" ",250),250)</f>
        <v/>
      </c>
      <c r="AD1477" s="10">
        <f>TEXT($G$2,"dd/mm/aaaa")</f>
        <v/>
      </c>
      <c r="AE1477" s="10">
        <f>REPT(" ",10)</f>
        <v/>
      </c>
      <c r="AF1477" s="10">
        <f>REPT(" ",20)</f>
        <v/>
      </c>
      <c r="AG1477" s="54">
        <f>REPT(" ",18-LEN(FIXED(F1477,2,TRUE)))&amp;FIXED(F1477,2,TRUE)</f>
        <v/>
      </c>
      <c r="AH1477" s="10">
        <f>LEN(AC1477)+LEN(AG1477)</f>
        <v/>
      </c>
      <c r="AI1477" s="10">
        <f>LEN(L1477)</f>
        <v/>
      </c>
    </row>
    <row r="1478">
      <c r="J1478" s="12">
        <f>IF(F1478&lt;&gt;0,"LANÇAR","")</f>
        <v/>
      </c>
      <c r="L1478" s="13">
        <f>N1478&amp;O1478&amp;P1478&amp;Q1478&amp;R1478&amp;S1478&amp;T1478&amp;U1478&amp;V1478&amp;W1478&amp;X1478&amp;Y1478&amp;Z1478&amp;AA1478&amp;AB1478&amp;AC1478&amp;AD1478&amp;AE1478&amp;AF1478&amp;AG1478</f>
        <v/>
      </c>
      <c r="N1478" s="10">
        <f>TEXT($B$6,"00")</f>
        <v/>
      </c>
      <c r="O1478" s="10">
        <f>REPT(" ",8)</f>
        <v/>
      </c>
      <c r="P1478" s="10">
        <f>RIGHT($B$4,2)</f>
        <v/>
      </c>
      <c r="Q1478" s="10">
        <f>RIGHT($B$5,3)</f>
        <v/>
      </c>
      <c r="R1478" s="10">
        <f>IF(A1478="D",LEFT(UPPER(B1478)&amp;REPT(" ",20),20),REPT(" ",20))</f>
        <v/>
      </c>
      <c r="S1478" s="10">
        <f>IF(A1478="D",LEFT(UPPER(C1478)&amp;REPT(" ",10),10)," ")</f>
        <v/>
      </c>
      <c r="T1478" s="10">
        <f>IF(A1478="D",LEFT(UPPER(D1478)&amp;REPT(" ",2),2)," ")</f>
        <v/>
      </c>
      <c r="U1478" s="10">
        <f>IF(A1478="D",LEFT(UPPER(E1478)&amp;REPT(" ",15),15)," ")</f>
        <v/>
      </c>
      <c r="V1478" s="10">
        <f>REPT(" ",24)</f>
        <v/>
      </c>
      <c r="W1478" s="10">
        <f>IF(A1478="c",LEFT(UPPER(B1478)&amp;REPT(" ",20),20),REPT(" ",20))</f>
        <v/>
      </c>
      <c r="X1478" s="10">
        <f>IF(A1478="C",LEFT(UPPER(C1478)&amp;REPT(" ",10),10)," ")</f>
        <v/>
      </c>
      <c r="Y1478" s="10">
        <f>IF(A1478="C",LEFT(UPPER(D1478)&amp;REPT(" ",2),2)," ")</f>
        <v/>
      </c>
      <c r="Z1478" s="10">
        <f>IF(A1478="C",LEFT(UPPER(E1478)&amp;REPT(" ",15),15)," ")</f>
        <v/>
      </c>
      <c r="AA1478" s="10">
        <f>REPT(" ",8)</f>
        <v/>
      </c>
      <c r="AB1478" s="10">
        <f>REPT(" ",4)</f>
        <v/>
      </c>
      <c r="AC1478" s="10">
        <f>LEFT(UPPER(H1478)&amp;REPT(" ",250),250)</f>
        <v/>
      </c>
      <c r="AD1478" s="10">
        <f>TEXT($G$2,"dd/mm/aaaa")</f>
        <v/>
      </c>
      <c r="AE1478" s="10">
        <f>REPT(" ",10)</f>
        <v/>
      </c>
      <c r="AF1478" s="10">
        <f>REPT(" ",20)</f>
        <v/>
      </c>
      <c r="AG1478" s="54">
        <f>REPT(" ",18-LEN(FIXED(F1478,2,TRUE)))&amp;FIXED(F1478,2,TRUE)</f>
        <v/>
      </c>
      <c r="AH1478" s="10">
        <f>LEN(AC1478)+LEN(AG1478)</f>
        <v/>
      </c>
      <c r="AI1478" s="10">
        <f>LEN(L1478)</f>
        <v/>
      </c>
    </row>
    <row r="1479">
      <c r="J1479" s="12">
        <f>IF(F1479&lt;&gt;0,"LANÇAR","")</f>
        <v/>
      </c>
      <c r="L1479" s="13">
        <f>N1479&amp;O1479&amp;P1479&amp;Q1479&amp;R1479&amp;S1479&amp;T1479&amp;U1479&amp;V1479&amp;W1479&amp;X1479&amp;Y1479&amp;Z1479&amp;AA1479&amp;AB1479&amp;AC1479&amp;AD1479&amp;AE1479&amp;AF1479&amp;AG1479</f>
        <v/>
      </c>
      <c r="N1479" s="10">
        <f>TEXT($B$6,"00")</f>
        <v/>
      </c>
      <c r="O1479" s="10">
        <f>REPT(" ",8)</f>
        <v/>
      </c>
      <c r="P1479" s="10">
        <f>RIGHT($B$4,2)</f>
        <v/>
      </c>
      <c r="Q1479" s="10">
        <f>RIGHT($B$5,3)</f>
        <v/>
      </c>
      <c r="R1479" s="10">
        <f>IF(A1479="D",LEFT(UPPER(B1479)&amp;REPT(" ",20),20),REPT(" ",20))</f>
        <v/>
      </c>
      <c r="S1479" s="10">
        <f>IF(A1479="D",LEFT(UPPER(C1479)&amp;REPT(" ",10),10)," ")</f>
        <v/>
      </c>
      <c r="T1479" s="10">
        <f>IF(A1479="D",LEFT(UPPER(D1479)&amp;REPT(" ",2),2)," ")</f>
        <v/>
      </c>
      <c r="U1479" s="10">
        <f>IF(A1479="D",LEFT(UPPER(E1479)&amp;REPT(" ",15),15)," ")</f>
        <v/>
      </c>
      <c r="V1479" s="10">
        <f>REPT(" ",24)</f>
        <v/>
      </c>
      <c r="W1479" s="10">
        <f>IF(A1479="c",LEFT(UPPER(B1479)&amp;REPT(" ",20),20),REPT(" ",20))</f>
        <v/>
      </c>
      <c r="X1479" s="10">
        <f>IF(A1479="C",LEFT(UPPER(C1479)&amp;REPT(" ",10),10)," ")</f>
        <v/>
      </c>
      <c r="Y1479" s="10">
        <f>IF(A1479="C",LEFT(UPPER(D1479)&amp;REPT(" ",2),2)," ")</f>
        <v/>
      </c>
      <c r="Z1479" s="10">
        <f>IF(A1479="C",LEFT(UPPER(E1479)&amp;REPT(" ",15),15)," ")</f>
        <v/>
      </c>
      <c r="AA1479" s="10">
        <f>REPT(" ",8)</f>
        <v/>
      </c>
      <c r="AB1479" s="10">
        <f>REPT(" ",4)</f>
        <v/>
      </c>
      <c r="AC1479" s="10">
        <f>LEFT(UPPER(H1479)&amp;REPT(" ",250),250)</f>
        <v/>
      </c>
      <c r="AD1479" s="10">
        <f>TEXT($G$2,"dd/mm/aaaa")</f>
        <v/>
      </c>
      <c r="AE1479" s="10">
        <f>REPT(" ",10)</f>
        <v/>
      </c>
      <c r="AF1479" s="10">
        <f>REPT(" ",20)</f>
        <v/>
      </c>
      <c r="AG1479" s="54">
        <f>REPT(" ",18-LEN(FIXED(F1479,2,TRUE)))&amp;FIXED(F1479,2,TRUE)</f>
        <v/>
      </c>
      <c r="AH1479" s="10">
        <f>LEN(AC1479)+LEN(AG1479)</f>
        <v/>
      </c>
      <c r="AI1479" s="10">
        <f>LEN(L1479)</f>
        <v/>
      </c>
    </row>
    <row r="1480">
      <c r="J1480" s="12">
        <f>IF(F1480&lt;&gt;0,"LANÇAR","")</f>
        <v/>
      </c>
      <c r="L1480" s="13">
        <f>N1480&amp;O1480&amp;P1480&amp;Q1480&amp;R1480&amp;S1480&amp;T1480&amp;U1480&amp;V1480&amp;W1480&amp;X1480&amp;Y1480&amp;Z1480&amp;AA1480&amp;AB1480&amp;AC1480&amp;AD1480&amp;AE1480&amp;AF1480&amp;AG1480</f>
        <v/>
      </c>
      <c r="N1480" s="10">
        <f>TEXT($B$6,"00")</f>
        <v/>
      </c>
      <c r="O1480" s="10">
        <f>REPT(" ",8)</f>
        <v/>
      </c>
      <c r="P1480" s="10">
        <f>RIGHT($B$4,2)</f>
        <v/>
      </c>
      <c r="Q1480" s="10">
        <f>RIGHT($B$5,3)</f>
        <v/>
      </c>
      <c r="R1480" s="10">
        <f>IF(A1480="D",LEFT(UPPER(B1480)&amp;REPT(" ",20),20),REPT(" ",20))</f>
        <v/>
      </c>
      <c r="S1480" s="10">
        <f>IF(A1480="D",LEFT(UPPER(C1480)&amp;REPT(" ",10),10)," ")</f>
        <v/>
      </c>
      <c r="T1480" s="10">
        <f>IF(A1480="D",LEFT(UPPER(D1480)&amp;REPT(" ",2),2)," ")</f>
        <v/>
      </c>
      <c r="U1480" s="10">
        <f>IF(A1480="D",LEFT(UPPER(E1480)&amp;REPT(" ",15),15)," ")</f>
        <v/>
      </c>
      <c r="V1480" s="10">
        <f>REPT(" ",24)</f>
        <v/>
      </c>
      <c r="W1480" s="10">
        <f>IF(A1480="c",LEFT(UPPER(B1480)&amp;REPT(" ",20),20),REPT(" ",20))</f>
        <v/>
      </c>
      <c r="X1480" s="10">
        <f>IF(A1480="C",LEFT(UPPER(C1480)&amp;REPT(" ",10),10)," ")</f>
        <v/>
      </c>
      <c r="Y1480" s="10">
        <f>IF(A1480="C",LEFT(UPPER(D1480)&amp;REPT(" ",2),2)," ")</f>
        <v/>
      </c>
      <c r="Z1480" s="10">
        <f>IF(A1480="C",LEFT(UPPER(E1480)&amp;REPT(" ",15),15)," ")</f>
        <v/>
      </c>
      <c r="AA1480" s="10">
        <f>REPT(" ",8)</f>
        <v/>
      </c>
      <c r="AB1480" s="10">
        <f>REPT(" ",4)</f>
        <v/>
      </c>
      <c r="AC1480" s="10">
        <f>LEFT(UPPER(H1480)&amp;REPT(" ",250),250)</f>
        <v/>
      </c>
      <c r="AD1480" s="10">
        <f>TEXT($G$2,"dd/mm/aaaa")</f>
        <v/>
      </c>
      <c r="AE1480" s="10">
        <f>REPT(" ",10)</f>
        <v/>
      </c>
      <c r="AF1480" s="10">
        <f>REPT(" ",20)</f>
        <v/>
      </c>
      <c r="AG1480" s="54">
        <f>REPT(" ",18-LEN(FIXED(F1480,2,TRUE)))&amp;FIXED(F1480,2,TRUE)</f>
        <v/>
      </c>
      <c r="AH1480" s="10">
        <f>LEN(AC1480)+LEN(AG1480)</f>
        <v/>
      </c>
      <c r="AI1480" s="10">
        <f>LEN(L1480)</f>
        <v/>
      </c>
    </row>
    <row r="1481">
      <c r="J1481" s="12">
        <f>IF(F1481&lt;&gt;0,"LANÇAR","")</f>
        <v/>
      </c>
      <c r="L1481" s="13">
        <f>N1481&amp;O1481&amp;P1481&amp;Q1481&amp;R1481&amp;S1481&amp;T1481&amp;U1481&amp;V1481&amp;W1481&amp;X1481&amp;Y1481&amp;Z1481&amp;AA1481&amp;AB1481&amp;AC1481&amp;AD1481&amp;AE1481&amp;AF1481&amp;AG1481</f>
        <v/>
      </c>
      <c r="N1481" s="10">
        <f>TEXT($B$6,"00")</f>
        <v/>
      </c>
      <c r="O1481" s="10">
        <f>REPT(" ",8)</f>
        <v/>
      </c>
      <c r="P1481" s="10">
        <f>RIGHT($B$4,2)</f>
        <v/>
      </c>
      <c r="Q1481" s="10">
        <f>RIGHT($B$5,3)</f>
        <v/>
      </c>
      <c r="R1481" s="10">
        <f>IF(A1481="D",LEFT(UPPER(B1481)&amp;REPT(" ",20),20),REPT(" ",20))</f>
        <v/>
      </c>
      <c r="S1481" s="10">
        <f>IF(A1481="D",LEFT(UPPER(C1481)&amp;REPT(" ",10),10)," ")</f>
        <v/>
      </c>
      <c r="T1481" s="10">
        <f>IF(A1481="D",LEFT(UPPER(D1481)&amp;REPT(" ",2),2)," ")</f>
        <v/>
      </c>
      <c r="U1481" s="10">
        <f>IF(A1481="D",LEFT(UPPER(E1481)&amp;REPT(" ",15),15)," ")</f>
        <v/>
      </c>
      <c r="V1481" s="10">
        <f>REPT(" ",24)</f>
        <v/>
      </c>
      <c r="W1481" s="10">
        <f>IF(A1481="c",LEFT(UPPER(B1481)&amp;REPT(" ",20),20),REPT(" ",20))</f>
        <v/>
      </c>
      <c r="X1481" s="10">
        <f>IF(A1481="C",LEFT(UPPER(C1481)&amp;REPT(" ",10),10)," ")</f>
        <v/>
      </c>
      <c r="Y1481" s="10">
        <f>IF(A1481="C",LEFT(UPPER(D1481)&amp;REPT(" ",2),2)," ")</f>
        <v/>
      </c>
      <c r="Z1481" s="10">
        <f>IF(A1481="C",LEFT(UPPER(E1481)&amp;REPT(" ",15),15)," ")</f>
        <v/>
      </c>
      <c r="AA1481" s="10">
        <f>REPT(" ",8)</f>
        <v/>
      </c>
      <c r="AB1481" s="10">
        <f>REPT(" ",4)</f>
        <v/>
      </c>
      <c r="AC1481" s="10">
        <f>LEFT(UPPER(H1481)&amp;REPT(" ",250),250)</f>
        <v/>
      </c>
      <c r="AD1481" s="10">
        <f>TEXT($G$2,"dd/mm/aaaa")</f>
        <v/>
      </c>
      <c r="AE1481" s="10">
        <f>REPT(" ",10)</f>
        <v/>
      </c>
      <c r="AF1481" s="10">
        <f>REPT(" ",20)</f>
        <v/>
      </c>
      <c r="AG1481" s="54">
        <f>REPT(" ",18-LEN(FIXED(F1481,2,TRUE)))&amp;FIXED(F1481,2,TRUE)</f>
        <v/>
      </c>
      <c r="AH1481" s="10">
        <f>LEN(AC1481)+LEN(AG1481)</f>
        <v/>
      </c>
      <c r="AI1481" s="10">
        <f>LEN(L1481)</f>
        <v/>
      </c>
    </row>
    <row r="1482">
      <c r="J1482" s="12">
        <f>IF(F1482&lt;&gt;0,"LANÇAR","")</f>
        <v/>
      </c>
      <c r="L1482" s="13">
        <f>N1482&amp;O1482&amp;P1482&amp;Q1482&amp;R1482&amp;S1482&amp;T1482&amp;U1482&amp;V1482&amp;W1482&amp;X1482&amp;Y1482&amp;Z1482&amp;AA1482&amp;AB1482&amp;AC1482&amp;AD1482&amp;AE1482&amp;AF1482&amp;AG1482</f>
        <v/>
      </c>
      <c r="N1482" s="10">
        <f>TEXT($B$6,"00")</f>
        <v/>
      </c>
      <c r="O1482" s="10">
        <f>REPT(" ",8)</f>
        <v/>
      </c>
      <c r="P1482" s="10">
        <f>RIGHT($B$4,2)</f>
        <v/>
      </c>
      <c r="Q1482" s="10">
        <f>RIGHT($B$5,3)</f>
        <v/>
      </c>
      <c r="R1482" s="10">
        <f>IF(A1482="D",LEFT(UPPER(B1482)&amp;REPT(" ",20),20),REPT(" ",20))</f>
        <v/>
      </c>
      <c r="S1482" s="10">
        <f>IF(A1482="D",LEFT(UPPER(C1482)&amp;REPT(" ",10),10)," ")</f>
        <v/>
      </c>
      <c r="T1482" s="10">
        <f>IF(A1482="D",LEFT(UPPER(D1482)&amp;REPT(" ",2),2)," ")</f>
        <v/>
      </c>
      <c r="U1482" s="10">
        <f>IF(A1482="D",LEFT(UPPER(E1482)&amp;REPT(" ",15),15)," ")</f>
        <v/>
      </c>
      <c r="V1482" s="10">
        <f>REPT(" ",24)</f>
        <v/>
      </c>
      <c r="W1482" s="10">
        <f>IF(A1482="c",LEFT(UPPER(B1482)&amp;REPT(" ",20),20),REPT(" ",20))</f>
        <v/>
      </c>
      <c r="X1482" s="10">
        <f>IF(A1482="C",LEFT(UPPER(C1482)&amp;REPT(" ",10),10)," ")</f>
        <v/>
      </c>
      <c r="Y1482" s="10">
        <f>IF(A1482="C",LEFT(UPPER(D1482)&amp;REPT(" ",2),2)," ")</f>
        <v/>
      </c>
      <c r="Z1482" s="10">
        <f>IF(A1482="C",LEFT(UPPER(E1482)&amp;REPT(" ",15),15)," ")</f>
        <v/>
      </c>
      <c r="AA1482" s="10">
        <f>REPT(" ",8)</f>
        <v/>
      </c>
      <c r="AB1482" s="10">
        <f>REPT(" ",4)</f>
        <v/>
      </c>
      <c r="AC1482" s="10">
        <f>LEFT(UPPER(H1482)&amp;REPT(" ",250),250)</f>
        <v/>
      </c>
      <c r="AD1482" s="10">
        <f>TEXT($G$2,"dd/mm/aaaa")</f>
        <v/>
      </c>
      <c r="AE1482" s="10">
        <f>REPT(" ",10)</f>
        <v/>
      </c>
      <c r="AF1482" s="10">
        <f>REPT(" ",20)</f>
        <v/>
      </c>
      <c r="AG1482" s="54">
        <f>REPT(" ",18-LEN(FIXED(F1482,2,TRUE)))&amp;FIXED(F1482,2,TRUE)</f>
        <v/>
      </c>
      <c r="AH1482" s="10">
        <f>LEN(AC1482)+LEN(AG1482)</f>
        <v/>
      </c>
      <c r="AI1482" s="10">
        <f>LEN(L1482)</f>
        <v/>
      </c>
    </row>
    <row r="1483">
      <c r="J1483" s="12">
        <f>IF(F1483&lt;&gt;0,"LANÇAR","")</f>
        <v/>
      </c>
      <c r="L1483" s="13">
        <f>N1483&amp;O1483&amp;P1483&amp;Q1483&amp;R1483&amp;S1483&amp;T1483&amp;U1483&amp;V1483&amp;W1483&amp;X1483&amp;Y1483&amp;Z1483&amp;AA1483&amp;AB1483&amp;AC1483&amp;AD1483&amp;AE1483&amp;AF1483&amp;AG1483</f>
        <v/>
      </c>
      <c r="N1483" s="10">
        <f>TEXT($B$6,"00")</f>
        <v/>
      </c>
      <c r="O1483" s="10">
        <f>REPT(" ",8)</f>
        <v/>
      </c>
      <c r="P1483" s="10">
        <f>RIGHT($B$4,2)</f>
        <v/>
      </c>
      <c r="Q1483" s="10">
        <f>RIGHT($B$5,3)</f>
        <v/>
      </c>
      <c r="R1483" s="10">
        <f>IF(A1483="D",LEFT(UPPER(B1483)&amp;REPT(" ",20),20),REPT(" ",20))</f>
        <v/>
      </c>
      <c r="S1483" s="10">
        <f>IF(A1483="D",LEFT(UPPER(C1483)&amp;REPT(" ",10),10)," ")</f>
        <v/>
      </c>
      <c r="T1483" s="10">
        <f>IF(A1483="D",LEFT(UPPER(D1483)&amp;REPT(" ",2),2)," ")</f>
        <v/>
      </c>
      <c r="U1483" s="10">
        <f>IF(A1483="D",LEFT(UPPER(E1483)&amp;REPT(" ",15),15)," ")</f>
        <v/>
      </c>
      <c r="V1483" s="10">
        <f>REPT(" ",24)</f>
        <v/>
      </c>
      <c r="W1483" s="10">
        <f>IF(A1483="c",LEFT(UPPER(B1483)&amp;REPT(" ",20),20),REPT(" ",20))</f>
        <v/>
      </c>
      <c r="X1483" s="10">
        <f>IF(A1483="C",LEFT(UPPER(C1483)&amp;REPT(" ",10),10)," ")</f>
        <v/>
      </c>
      <c r="Y1483" s="10">
        <f>IF(A1483="C",LEFT(UPPER(D1483)&amp;REPT(" ",2),2)," ")</f>
        <v/>
      </c>
      <c r="Z1483" s="10">
        <f>IF(A1483="C",LEFT(UPPER(E1483)&amp;REPT(" ",15),15)," ")</f>
        <v/>
      </c>
      <c r="AA1483" s="10">
        <f>REPT(" ",8)</f>
        <v/>
      </c>
      <c r="AB1483" s="10">
        <f>REPT(" ",4)</f>
        <v/>
      </c>
      <c r="AC1483" s="10">
        <f>LEFT(UPPER(H1483)&amp;REPT(" ",250),250)</f>
        <v/>
      </c>
      <c r="AD1483" s="10">
        <f>TEXT($G$2,"dd/mm/aaaa")</f>
        <v/>
      </c>
      <c r="AE1483" s="10">
        <f>REPT(" ",10)</f>
        <v/>
      </c>
      <c r="AF1483" s="10">
        <f>REPT(" ",20)</f>
        <v/>
      </c>
      <c r="AG1483" s="54">
        <f>REPT(" ",18-LEN(FIXED(F1483,2,TRUE)))&amp;FIXED(F1483,2,TRUE)</f>
        <v/>
      </c>
      <c r="AH1483" s="10">
        <f>LEN(AC1483)+LEN(AG1483)</f>
        <v/>
      </c>
      <c r="AI1483" s="10">
        <f>LEN(L1483)</f>
        <v/>
      </c>
    </row>
    <row r="1484">
      <c r="J1484" s="12">
        <f>IF(F1484&lt;&gt;0,"LANÇAR","")</f>
        <v/>
      </c>
      <c r="L1484" s="13">
        <f>N1484&amp;O1484&amp;P1484&amp;Q1484&amp;R1484&amp;S1484&amp;T1484&amp;U1484&amp;V1484&amp;W1484&amp;X1484&amp;Y1484&amp;Z1484&amp;AA1484&amp;AB1484&amp;AC1484&amp;AD1484&amp;AE1484&amp;AF1484&amp;AG1484</f>
        <v/>
      </c>
      <c r="N1484" s="10">
        <f>TEXT($B$6,"00")</f>
        <v/>
      </c>
      <c r="O1484" s="10">
        <f>REPT(" ",8)</f>
        <v/>
      </c>
      <c r="P1484" s="10">
        <f>RIGHT($B$4,2)</f>
        <v/>
      </c>
      <c r="Q1484" s="10">
        <f>RIGHT($B$5,3)</f>
        <v/>
      </c>
      <c r="R1484" s="10">
        <f>IF(A1484="D",LEFT(UPPER(B1484)&amp;REPT(" ",20),20),REPT(" ",20))</f>
        <v/>
      </c>
      <c r="S1484" s="10">
        <f>IF(A1484="D",LEFT(UPPER(C1484)&amp;REPT(" ",10),10)," ")</f>
        <v/>
      </c>
      <c r="T1484" s="10">
        <f>IF(A1484="D",LEFT(UPPER(D1484)&amp;REPT(" ",2),2)," ")</f>
        <v/>
      </c>
      <c r="U1484" s="10">
        <f>IF(A1484="D",LEFT(UPPER(E1484)&amp;REPT(" ",15),15)," ")</f>
        <v/>
      </c>
      <c r="V1484" s="10">
        <f>REPT(" ",24)</f>
        <v/>
      </c>
      <c r="W1484" s="10">
        <f>IF(A1484="c",LEFT(UPPER(B1484)&amp;REPT(" ",20),20),REPT(" ",20))</f>
        <v/>
      </c>
      <c r="X1484" s="10">
        <f>IF(A1484="C",LEFT(UPPER(C1484)&amp;REPT(" ",10),10)," ")</f>
        <v/>
      </c>
      <c r="Y1484" s="10">
        <f>IF(A1484="C",LEFT(UPPER(D1484)&amp;REPT(" ",2),2)," ")</f>
        <v/>
      </c>
      <c r="Z1484" s="10">
        <f>IF(A1484="C",LEFT(UPPER(E1484)&amp;REPT(" ",15),15)," ")</f>
        <v/>
      </c>
      <c r="AA1484" s="10">
        <f>REPT(" ",8)</f>
        <v/>
      </c>
      <c r="AB1484" s="10">
        <f>REPT(" ",4)</f>
        <v/>
      </c>
      <c r="AC1484" s="10">
        <f>LEFT(UPPER(H1484)&amp;REPT(" ",250),250)</f>
        <v/>
      </c>
      <c r="AD1484" s="10">
        <f>TEXT($G$2,"dd/mm/aaaa")</f>
        <v/>
      </c>
      <c r="AE1484" s="10">
        <f>REPT(" ",10)</f>
        <v/>
      </c>
      <c r="AF1484" s="10">
        <f>REPT(" ",20)</f>
        <v/>
      </c>
      <c r="AG1484" s="54">
        <f>REPT(" ",18-LEN(FIXED(F1484,2,TRUE)))&amp;FIXED(F1484,2,TRUE)</f>
        <v/>
      </c>
      <c r="AH1484" s="10">
        <f>LEN(AC1484)+LEN(AG1484)</f>
        <v/>
      </c>
      <c r="AI1484" s="10">
        <f>LEN(L1484)</f>
        <v/>
      </c>
    </row>
    <row r="1485">
      <c r="J1485" s="12">
        <f>IF(F1485&lt;&gt;0,"LANÇAR","")</f>
        <v/>
      </c>
      <c r="L1485" s="13">
        <f>N1485&amp;O1485&amp;P1485&amp;Q1485&amp;R1485&amp;S1485&amp;T1485&amp;U1485&amp;V1485&amp;W1485&amp;X1485&amp;Y1485&amp;Z1485&amp;AA1485&amp;AB1485&amp;AC1485&amp;AD1485&amp;AE1485&amp;AF1485&amp;AG1485</f>
        <v/>
      </c>
      <c r="N1485" s="10">
        <f>TEXT($B$6,"00")</f>
        <v/>
      </c>
      <c r="O1485" s="10">
        <f>REPT(" ",8)</f>
        <v/>
      </c>
      <c r="P1485" s="10">
        <f>RIGHT($B$4,2)</f>
        <v/>
      </c>
      <c r="Q1485" s="10">
        <f>RIGHT($B$5,3)</f>
        <v/>
      </c>
      <c r="R1485" s="10">
        <f>IF(A1485="D",LEFT(UPPER(B1485)&amp;REPT(" ",20),20),REPT(" ",20))</f>
        <v/>
      </c>
      <c r="S1485" s="10">
        <f>IF(A1485="D",LEFT(UPPER(C1485)&amp;REPT(" ",10),10)," ")</f>
        <v/>
      </c>
      <c r="T1485" s="10">
        <f>IF(A1485="D",LEFT(UPPER(D1485)&amp;REPT(" ",2),2)," ")</f>
        <v/>
      </c>
      <c r="U1485" s="10">
        <f>IF(A1485="D",LEFT(UPPER(E1485)&amp;REPT(" ",15),15)," ")</f>
        <v/>
      </c>
      <c r="V1485" s="10">
        <f>REPT(" ",24)</f>
        <v/>
      </c>
      <c r="W1485" s="10">
        <f>IF(A1485="c",LEFT(UPPER(B1485)&amp;REPT(" ",20),20),REPT(" ",20))</f>
        <v/>
      </c>
      <c r="X1485" s="10">
        <f>IF(A1485="C",LEFT(UPPER(C1485)&amp;REPT(" ",10),10)," ")</f>
        <v/>
      </c>
      <c r="Y1485" s="10">
        <f>IF(A1485="C",LEFT(UPPER(D1485)&amp;REPT(" ",2),2)," ")</f>
        <v/>
      </c>
      <c r="Z1485" s="10">
        <f>IF(A1485="C",LEFT(UPPER(E1485)&amp;REPT(" ",15),15)," ")</f>
        <v/>
      </c>
      <c r="AA1485" s="10">
        <f>REPT(" ",8)</f>
        <v/>
      </c>
      <c r="AB1485" s="10">
        <f>REPT(" ",4)</f>
        <v/>
      </c>
      <c r="AC1485" s="10">
        <f>LEFT(UPPER(H1485)&amp;REPT(" ",250),250)</f>
        <v/>
      </c>
      <c r="AD1485" s="10">
        <f>TEXT($G$2,"dd/mm/aaaa")</f>
        <v/>
      </c>
      <c r="AE1485" s="10">
        <f>REPT(" ",10)</f>
        <v/>
      </c>
      <c r="AF1485" s="10">
        <f>REPT(" ",20)</f>
        <v/>
      </c>
      <c r="AG1485" s="54">
        <f>REPT(" ",18-LEN(FIXED(F1485,2,TRUE)))&amp;FIXED(F1485,2,TRUE)</f>
        <v/>
      </c>
      <c r="AH1485" s="10">
        <f>LEN(AC1485)+LEN(AG1485)</f>
        <v/>
      </c>
      <c r="AI1485" s="10">
        <f>LEN(L1485)</f>
        <v/>
      </c>
    </row>
    <row r="1486">
      <c r="J1486" s="12">
        <f>IF(F1486&lt;&gt;0,"LANÇAR","")</f>
        <v/>
      </c>
      <c r="L1486" s="13">
        <f>N1486&amp;O1486&amp;P1486&amp;Q1486&amp;R1486&amp;S1486&amp;T1486&amp;U1486&amp;V1486&amp;W1486&amp;X1486&amp;Y1486&amp;Z1486&amp;AA1486&amp;AB1486&amp;AC1486&amp;AD1486&amp;AE1486&amp;AF1486&amp;AG1486</f>
        <v/>
      </c>
      <c r="N1486" s="10">
        <f>TEXT($B$6,"00")</f>
        <v/>
      </c>
      <c r="O1486" s="10">
        <f>REPT(" ",8)</f>
        <v/>
      </c>
      <c r="P1486" s="10">
        <f>RIGHT($B$4,2)</f>
        <v/>
      </c>
      <c r="Q1486" s="10">
        <f>RIGHT($B$5,3)</f>
        <v/>
      </c>
      <c r="R1486" s="10">
        <f>IF(A1486="D",LEFT(UPPER(B1486)&amp;REPT(" ",20),20),REPT(" ",20))</f>
        <v/>
      </c>
      <c r="S1486" s="10">
        <f>IF(A1486="D",LEFT(UPPER(C1486)&amp;REPT(" ",10),10)," ")</f>
        <v/>
      </c>
      <c r="T1486" s="10">
        <f>IF(A1486="D",LEFT(UPPER(D1486)&amp;REPT(" ",2),2)," ")</f>
        <v/>
      </c>
      <c r="U1486" s="10">
        <f>IF(A1486="D",LEFT(UPPER(E1486)&amp;REPT(" ",15),15)," ")</f>
        <v/>
      </c>
      <c r="V1486" s="10">
        <f>REPT(" ",24)</f>
        <v/>
      </c>
      <c r="W1486" s="10">
        <f>IF(A1486="c",LEFT(UPPER(B1486)&amp;REPT(" ",20),20),REPT(" ",20))</f>
        <v/>
      </c>
      <c r="X1486" s="10">
        <f>IF(A1486="C",LEFT(UPPER(C1486)&amp;REPT(" ",10),10)," ")</f>
        <v/>
      </c>
      <c r="Y1486" s="10">
        <f>IF(A1486="C",LEFT(UPPER(D1486)&amp;REPT(" ",2),2)," ")</f>
        <v/>
      </c>
      <c r="Z1486" s="10">
        <f>IF(A1486="C",LEFT(UPPER(E1486)&amp;REPT(" ",15),15)," ")</f>
        <v/>
      </c>
      <c r="AA1486" s="10">
        <f>REPT(" ",8)</f>
        <v/>
      </c>
      <c r="AB1486" s="10">
        <f>REPT(" ",4)</f>
        <v/>
      </c>
      <c r="AC1486" s="10">
        <f>LEFT(UPPER(H1486)&amp;REPT(" ",250),250)</f>
        <v/>
      </c>
      <c r="AD1486" s="10">
        <f>TEXT($G$2,"dd/mm/aaaa")</f>
        <v/>
      </c>
      <c r="AE1486" s="10">
        <f>REPT(" ",10)</f>
        <v/>
      </c>
      <c r="AF1486" s="10">
        <f>REPT(" ",20)</f>
        <v/>
      </c>
      <c r="AG1486" s="54">
        <f>REPT(" ",18-LEN(FIXED(F1486,2,TRUE)))&amp;FIXED(F1486,2,TRUE)</f>
        <v/>
      </c>
      <c r="AH1486" s="10">
        <f>LEN(AC1486)+LEN(AG1486)</f>
        <v/>
      </c>
      <c r="AI1486" s="10">
        <f>LEN(L1486)</f>
        <v/>
      </c>
    </row>
    <row r="1487">
      <c r="J1487" s="12">
        <f>IF(F1487&lt;&gt;0,"LANÇAR","")</f>
        <v/>
      </c>
      <c r="L1487" s="13">
        <f>N1487&amp;O1487&amp;P1487&amp;Q1487&amp;R1487&amp;S1487&amp;T1487&amp;U1487&amp;V1487&amp;W1487&amp;X1487&amp;Y1487&amp;Z1487&amp;AA1487&amp;AB1487&amp;AC1487&amp;AD1487&amp;AE1487&amp;AF1487&amp;AG1487</f>
        <v/>
      </c>
      <c r="N1487" s="10">
        <f>TEXT($B$6,"00")</f>
        <v/>
      </c>
      <c r="O1487" s="10">
        <f>REPT(" ",8)</f>
        <v/>
      </c>
      <c r="P1487" s="10">
        <f>RIGHT($B$4,2)</f>
        <v/>
      </c>
      <c r="Q1487" s="10">
        <f>RIGHT($B$5,3)</f>
        <v/>
      </c>
      <c r="R1487" s="10">
        <f>IF(A1487="D",LEFT(UPPER(B1487)&amp;REPT(" ",20),20),REPT(" ",20))</f>
        <v/>
      </c>
      <c r="S1487" s="10">
        <f>IF(A1487="D",LEFT(UPPER(C1487)&amp;REPT(" ",10),10)," ")</f>
        <v/>
      </c>
      <c r="T1487" s="10">
        <f>IF(A1487="D",LEFT(UPPER(D1487)&amp;REPT(" ",2),2)," ")</f>
        <v/>
      </c>
      <c r="U1487" s="10">
        <f>IF(A1487="D",LEFT(UPPER(E1487)&amp;REPT(" ",15),15)," ")</f>
        <v/>
      </c>
      <c r="V1487" s="10">
        <f>REPT(" ",24)</f>
        <v/>
      </c>
      <c r="W1487" s="10">
        <f>IF(A1487="c",LEFT(UPPER(B1487)&amp;REPT(" ",20),20),REPT(" ",20))</f>
        <v/>
      </c>
      <c r="X1487" s="10">
        <f>IF(A1487="C",LEFT(UPPER(C1487)&amp;REPT(" ",10),10)," ")</f>
        <v/>
      </c>
      <c r="Y1487" s="10">
        <f>IF(A1487="C",LEFT(UPPER(D1487)&amp;REPT(" ",2),2)," ")</f>
        <v/>
      </c>
      <c r="Z1487" s="10">
        <f>IF(A1487="C",LEFT(UPPER(E1487)&amp;REPT(" ",15),15)," ")</f>
        <v/>
      </c>
      <c r="AA1487" s="10">
        <f>REPT(" ",8)</f>
        <v/>
      </c>
      <c r="AB1487" s="10">
        <f>REPT(" ",4)</f>
        <v/>
      </c>
      <c r="AC1487" s="10">
        <f>LEFT(UPPER(H1487)&amp;REPT(" ",250),250)</f>
        <v/>
      </c>
      <c r="AD1487" s="10">
        <f>TEXT($G$2,"dd/mm/aaaa")</f>
        <v/>
      </c>
      <c r="AE1487" s="10">
        <f>REPT(" ",10)</f>
        <v/>
      </c>
      <c r="AF1487" s="10">
        <f>REPT(" ",20)</f>
        <v/>
      </c>
      <c r="AG1487" s="54">
        <f>REPT(" ",18-LEN(FIXED(F1487,2,TRUE)))&amp;FIXED(F1487,2,TRUE)</f>
        <v/>
      </c>
      <c r="AH1487" s="10">
        <f>LEN(AC1487)+LEN(AG1487)</f>
        <v/>
      </c>
      <c r="AI1487" s="10">
        <f>LEN(L1487)</f>
        <v/>
      </c>
    </row>
    <row r="1488">
      <c r="J1488" s="12">
        <f>IF(F1488&lt;&gt;0,"LANÇAR","")</f>
        <v/>
      </c>
      <c r="L1488" s="13">
        <f>N1488&amp;O1488&amp;P1488&amp;Q1488&amp;R1488&amp;S1488&amp;T1488&amp;U1488&amp;V1488&amp;W1488&amp;X1488&amp;Y1488&amp;Z1488&amp;AA1488&amp;AB1488&amp;AC1488&amp;AD1488&amp;AE1488&amp;AF1488&amp;AG1488</f>
        <v/>
      </c>
      <c r="N1488" s="10">
        <f>TEXT($B$6,"00")</f>
        <v/>
      </c>
      <c r="O1488" s="10">
        <f>REPT(" ",8)</f>
        <v/>
      </c>
      <c r="P1488" s="10">
        <f>RIGHT($B$4,2)</f>
        <v/>
      </c>
      <c r="Q1488" s="10">
        <f>RIGHT($B$5,3)</f>
        <v/>
      </c>
      <c r="R1488" s="10">
        <f>IF(A1488="D",LEFT(UPPER(B1488)&amp;REPT(" ",20),20),REPT(" ",20))</f>
        <v/>
      </c>
      <c r="S1488" s="10">
        <f>IF(A1488="D",LEFT(UPPER(C1488)&amp;REPT(" ",10),10)," ")</f>
        <v/>
      </c>
      <c r="T1488" s="10">
        <f>IF(A1488="D",LEFT(UPPER(D1488)&amp;REPT(" ",2),2)," ")</f>
        <v/>
      </c>
      <c r="U1488" s="10">
        <f>IF(A1488="D",LEFT(UPPER(E1488)&amp;REPT(" ",15),15)," ")</f>
        <v/>
      </c>
      <c r="V1488" s="10">
        <f>REPT(" ",24)</f>
        <v/>
      </c>
      <c r="W1488" s="10">
        <f>IF(A1488="c",LEFT(UPPER(B1488)&amp;REPT(" ",20),20),REPT(" ",20))</f>
        <v/>
      </c>
      <c r="X1488" s="10">
        <f>IF(A1488="C",LEFT(UPPER(C1488)&amp;REPT(" ",10),10)," ")</f>
        <v/>
      </c>
      <c r="Y1488" s="10">
        <f>IF(A1488="C",LEFT(UPPER(D1488)&amp;REPT(" ",2),2)," ")</f>
        <v/>
      </c>
      <c r="Z1488" s="10">
        <f>IF(A1488="C",LEFT(UPPER(E1488)&amp;REPT(" ",15),15)," ")</f>
        <v/>
      </c>
      <c r="AA1488" s="10">
        <f>REPT(" ",8)</f>
        <v/>
      </c>
      <c r="AB1488" s="10">
        <f>REPT(" ",4)</f>
        <v/>
      </c>
      <c r="AC1488" s="10">
        <f>LEFT(UPPER(H1488)&amp;REPT(" ",250),250)</f>
        <v/>
      </c>
      <c r="AD1488" s="10">
        <f>TEXT($G$2,"dd/mm/aaaa")</f>
        <v/>
      </c>
      <c r="AE1488" s="10">
        <f>REPT(" ",10)</f>
        <v/>
      </c>
      <c r="AF1488" s="10">
        <f>REPT(" ",20)</f>
        <v/>
      </c>
      <c r="AG1488" s="54">
        <f>REPT(" ",18-LEN(FIXED(F1488,2,TRUE)))&amp;FIXED(F1488,2,TRUE)</f>
        <v/>
      </c>
      <c r="AH1488" s="10">
        <f>LEN(AC1488)+LEN(AG1488)</f>
        <v/>
      </c>
      <c r="AI1488" s="10">
        <f>LEN(L1488)</f>
        <v/>
      </c>
    </row>
    <row r="1489">
      <c r="J1489" s="12">
        <f>IF(F1489&lt;&gt;0,"LANÇAR","")</f>
        <v/>
      </c>
      <c r="L1489" s="13">
        <f>N1489&amp;O1489&amp;P1489&amp;Q1489&amp;R1489&amp;S1489&amp;T1489&amp;U1489&amp;V1489&amp;W1489&amp;X1489&amp;Y1489&amp;Z1489&amp;AA1489&amp;AB1489&amp;AC1489&amp;AD1489&amp;AE1489&amp;AF1489&amp;AG1489</f>
        <v/>
      </c>
      <c r="N1489" s="10">
        <f>TEXT($B$6,"00")</f>
        <v/>
      </c>
      <c r="O1489" s="10">
        <f>REPT(" ",8)</f>
        <v/>
      </c>
      <c r="P1489" s="10">
        <f>RIGHT($B$4,2)</f>
        <v/>
      </c>
      <c r="Q1489" s="10">
        <f>RIGHT($B$5,3)</f>
        <v/>
      </c>
      <c r="R1489" s="10">
        <f>IF(A1489="D",LEFT(UPPER(B1489)&amp;REPT(" ",20),20),REPT(" ",20))</f>
        <v/>
      </c>
      <c r="S1489" s="10">
        <f>IF(A1489="D",LEFT(UPPER(C1489)&amp;REPT(" ",10),10)," ")</f>
        <v/>
      </c>
      <c r="T1489" s="10">
        <f>IF(A1489="D",LEFT(UPPER(D1489)&amp;REPT(" ",2),2)," ")</f>
        <v/>
      </c>
      <c r="U1489" s="10">
        <f>IF(A1489="D",LEFT(UPPER(E1489)&amp;REPT(" ",15),15)," ")</f>
        <v/>
      </c>
      <c r="V1489" s="10">
        <f>REPT(" ",24)</f>
        <v/>
      </c>
      <c r="W1489" s="10">
        <f>IF(A1489="c",LEFT(UPPER(B1489)&amp;REPT(" ",20),20),REPT(" ",20))</f>
        <v/>
      </c>
      <c r="X1489" s="10">
        <f>IF(A1489="C",LEFT(UPPER(C1489)&amp;REPT(" ",10),10)," ")</f>
        <v/>
      </c>
      <c r="Y1489" s="10">
        <f>IF(A1489="C",LEFT(UPPER(D1489)&amp;REPT(" ",2),2)," ")</f>
        <v/>
      </c>
      <c r="Z1489" s="10">
        <f>IF(A1489="C",LEFT(UPPER(E1489)&amp;REPT(" ",15),15)," ")</f>
        <v/>
      </c>
      <c r="AA1489" s="10">
        <f>REPT(" ",8)</f>
        <v/>
      </c>
      <c r="AB1489" s="10">
        <f>REPT(" ",4)</f>
        <v/>
      </c>
      <c r="AC1489" s="10">
        <f>LEFT(UPPER(H1489)&amp;REPT(" ",250),250)</f>
        <v/>
      </c>
      <c r="AD1489" s="10">
        <f>TEXT($G$2,"dd/mm/aaaa")</f>
        <v/>
      </c>
      <c r="AE1489" s="10">
        <f>REPT(" ",10)</f>
        <v/>
      </c>
      <c r="AF1489" s="10">
        <f>REPT(" ",20)</f>
        <v/>
      </c>
      <c r="AG1489" s="54">
        <f>REPT(" ",18-LEN(FIXED(F1489,2,TRUE)))&amp;FIXED(F1489,2,TRUE)</f>
        <v/>
      </c>
      <c r="AH1489" s="10">
        <f>LEN(AC1489)+LEN(AG1489)</f>
        <v/>
      </c>
      <c r="AI1489" s="10">
        <f>LEN(L1489)</f>
        <v/>
      </c>
    </row>
    <row r="1490">
      <c r="J1490" s="12">
        <f>IF(F1490&lt;&gt;0,"LANÇAR","")</f>
        <v/>
      </c>
      <c r="L1490" s="13">
        <f>N1490&amp;O1490&amp;P1490&amp;Q1490&amp;R1490&amp;S1490&amp;T1490&amp;U1490&amp;V1490&amp;W1490&amp;X1490&amp;Y1490&amp;Z1490&amp;AA1490&amp;AB1490&amp;AC1490&amp;AD1490&amp;AE1490&amp;AF1490&amp;AG1490</f>
        <v/>
      </c>
      <c r="N1490" s="10">
        <f>TEXT($B$6,"00")</f>
        <v/>
      </c>
      <c r="O1490" s="10">
        <f>REPT(" ",8)</f>
        <v/>
      </c>
      <c r="P1490" s="10">
        <f>RIGHT($B$4,2)</f>
        <v/>
      </c>
      <c r="Q1490" s="10">
        <f>RIGHT($B$5,3)</f>
        <v/>
      </c>
      <c r="R1490" s="10">
        <f>IF(A1490="D",LEFT(UPPER(B1490)&amp;REPT(" ",20),20),REPT(" ",20))</f>
        <v/>
      </c>
      <c r="S1490" s="10">
        <f>IF(A1490="D",LEFT(UPPER(C1490)&amp;REPT(" ",10),10)," ")</f>
        <v/>
      </c>
      <c r="T1490" s="10">
        <f>IF(A1490="D",LEFT(UPPER(D1490)&amp;REPT(" ",2),2)," ")</f>
        <v/>
      </c>
      <c r="U1490" s="10">
        <f>IF(A1490="D",LEFT(UPPER(E1490)&amp;REPT(" ",15),15)," ")</f>
        <v/>
      </c>
      <c r="V1490" s="10">
        <f>REPT(" ",24)</f>
        <v/>
      </c>
      <c r="W1490" s="10">
        <f>IF(A1490="c",LEFT(UPPER(B1490)&amp;REPT(" ",20),20),REPT(" ",20))</f>
        <v/>
      </c>
      <c r="X1490" s="10">
        <f>IF(A1490="C",LEFT(UPPER(C1490)&amp;REPT(" ",10),10)," ")</f>
        <v/>
      </c>
      <c r="Y1490" s="10">
        <f>IF(A1490="C",LEFT(UPPER(D1490)&amp;REPT(" ",2),2)," ")</f>
        <v/>
      </c>
      <c r="Z1490" s="10">
        <f>IF(A1490="C",LEFT(UPPER(E1490)&amp;REPT(" ",15),15)," ")</f>
        <v/>
      </c>
      <c r="AA1490" s="10">
        <f>REPT(" ",8)</f>
        <v/>
      </c>
      <c r="AB1490" s="10">
        <f>REPT(" ",4)</f>
        <v/>
      </c>
      <c r="AC1490" s="10">
        <f>LEFT(UPPER(H1490)&amp;REPT(" ",250),250)</f>
        <v/>
      </c>
      <c r="AD1490" s="10">
        <f>TEXT($G$2,"dd/mm/aaaa")</f>
        <v/>
      </c>
      <c r="AE1490" s="10">
        <f>REPT(" ",10)</f>
        <v/>
      </c>
      <c r="AF1490" s="10">
        <f>REPT(" ",20)</f>
        <v/>
      </c>
      <c r="AG1490" s="54">
        <f>REPT(" ",18-LEN(FIXED(F1490,2,TRUE)))&amp;FIXED(F1490,2,TRUE)</f>
        <v/>
      </c>
      <c r="AH1490" s="10">
        <f>LEN(AC1490)+LEN(AG1490)</f>
        <v/>
      </c>
      <c r="AI1490" s="10">
        <f>LEN(L1490)</f>
        <v/>
      </c>
    </row>
    <row r="1491">
      <c r="J1491" s="12">
        <f>IF(F1491&lt;&gt;0,"LANÇAR","")</f>
        <v/>
      </c>
      <c r="L1491" s="13">
        <f>N1491&amp;O1491&amp;P1491&amp;Q1491&amp;R1491&amp;S1491&amp;T1491&amp;U1491&amp;V1491&amp;W1491&amp;X1491&amp;Y1491&amp;Z1491&amp;AA1491&amp;AB1491&amp;AC1491&amp;AD1491&amp;AE1491&amp;AF1491&amp;AG1491</f>
        <v/>
      </c>
      <c r="N1491" s="10">
        <f>TEXT($B$6,"00")</f>
        <v/>
      </c>
      <c r="O1491" s="10">
        <f>REPT(" ",8)</f>
        <v/>
      </c>
      <c r="P1491" s="10">
        <f>RIGHT($B$4,2)</f>
        <v/>
      </c>
      <c r="Q1491" s="10">
        <f>RIGHT($B$5,3)</f>
        <v/>
      </c>
      <c r="R1491" s="10">
        <f>IF(A1491="D",LEFT(UPPER(B1491)&amp;REPT(" ",20),20),REPT(" ",20))</f>
        <v/>
      </c>
      <c r="S1491" s="10">
        <f>IF(A1491="D",LEFT(UPPER(C1491)&amp;REPT(" ",10),10)," ")</f>
        <v/>
      </c>
      <c r="T1491" s="10">
        <f>IF(A1491="D",LEFT(UPPER(D1491)&amp;REPT(" ",2),2)," ")</f>
        <v/>
      </c>
      <c r="U1491" s="10">
        <f>IF(A1491="D",LEFT(UPPER(E1491)&amp;REPT(" ",15),15)," ")</f>
        <v/>
      </c>
      <c r="V1491" s="10">
        <f>REPT(" ",24)</f>
        <v/>
      </c>
      <c r="W1491" s="10">
        <f>IF(A1491="c",LEFT(UPPER(B1491)&amp;REPT(" ",20),20),REPT(" ",20))</f>
        <v/>
      </c>
      <c r="X1491" s="10">
        <f>IF(A1491="C",LEFT(UPPER(C1491)&amp;REPT(" ",10),10)," ")</f>
        <v/>
      </c>
      <c r="Y1491" s="10">
        <f>IF(A1491="C",LEFT(UPPER(D1491)&amp;REPT(" ",2),2)," ")</f>
        <v/>
      </c>
      <c r="Z1491" s="10">
        <f>IF(A1491="C",LEFT(UPPER(E1491)&amp;REPT(" ",15),15)," ")</f>
        <v/>
      </c>
      <c r="AA1491" s="10">
        <f>REPT(" ",8)</f>
        <v/>
      </c>
      <c r="AB1491" s="10">
        <f>REPT(" ",4)</f>
        <v/>
      </c>
      <c r="AC1491" s="10">
        <f>LEFT(UPPER(H1491)&amp;REPT(" ",250),250)</f>
        <v/>
      </c>
      <c r="AD1491" s="10">
        <f>TEXT($G$2,"dd/mm/aaaa")</f>
        <v/>
      </c>
      <c r="AE1491" s="10">
        <f>REPT(" ",10)</f>
        <v/>
      </c>
      <c r="AF1491" s="10">
        <f>REPT(" ",20)</f>
        <v/>
      </c>
      <c r="AG1491" s="54">
        <f>REPT(" ",18-LEN(FIXED(F1491,2,TRUE)))&amp;FIXED(F1491,2,TRUE)</f>
        <v/>
      </c>
      <c r="AH1491" s="10">
        <f>LEN(AC1491)+LEN(AG1491)</f>
        <v/>
      </c>
      <c r="AI1491" s="10">
        <f>LEN(L1491)</f>
        <v/>
      </c>
    </row>
    <row r="1492">
      <c r="J1492" s="12">
        <f>IF(F1492&lt;&gt;0,"LANÇAR","")</f>
        <v/>
      </c>
      <c r="L1492" s="13">
        <f>N1492&amp;O1492&amp;P1492&amp;Q1492&amp;R1492&amp;S1492&amp;T1492&amp;U1492&amp;V1492&amp;W1492&amp;X1492&amp;Y1492&amp;Z1492&amp;AA1492&amp;AB1492&amp;AC1492&amp;AD1492&amp;AE1492&amp;AF1492&amp;AG1492</f>
        <v/>
      </c>
      <c r="N1492" s="10">
        <f>TEXT($B$6,"00")</f>
        <v/>
      </c>
      <c r="O1492" s="10">
        <f>REPT(" ",8)</f>
        <v/>
      </c>
      <c r="P1492" s="10">
        <f>RIGHT($B$4,2)</f>
        <v/>
      </c>
      <c r="Q1492" s="10">
        <f>RIGHT($B$5,3)</f>
        <v/>
      </c>
      <c r="R1492" s="10">
        <f>IF(A1492="D",LEFT(UPPER(B1492)&amp;REPT(" ",20),20),REPT(" ",20))</f>
        <v/>
      </c>
      <c r="S1492" s="10">
        <f>IF(A1492="D",LEFT(UPPER(C1492)&amp;REPT(" ",10),10)," ")</f>
        <v/>
      </c>
      <c r="T1492" s="10">
        <f>IF(A1492="D",LEFT(UPPER(D1492)&amp;REPT(" ",2),2)," ")</f>
        <v/>
      </c>
      <c r="U1492" s="10">
        <f>IF(A1492="D",LEFT(UPPER(E1492)&amp;REPT(" ",15),15)," ")</f>
        <v/>
      </c>
      <c r="V1492" s="10">
        <f>REPT(" ",24)</f>
        <v/>
      </c>
      <c r="W1492" s="10">
        <f>IF(A1492="c",LEFT(UPPER(B1492)&amp;REPT(" ",20),20),REPT(" ",20))</f>
        <v/>
      </c>
      <c r="X1492" s="10">
        <f>IF(A1492="C",LEFT(UPPER(C1492)&amp;REPT(" ",10),10)," ")</f>
        <v/>
      </c>
      <c r="Y1492" s="10">
        <f>IF(A1492="C",LEFT(UPPER(D1492)&amp;REPT(" ",2),2)," ")</f>
        <v/>
      </c>
      <c r="Z1492" s="10">
        <f>IF(A1492="C",LEFT(UPPER(E1492)&amp;REPT(" ",15),15)," ")</f>
        <v/>
      </c>
      <c r="AA1492" s="10">
        <f>REPT(" ",8)</f>
        <v/>
      </c>
      <c r="AB1492" s="10">
        <f>REPT(" ",4)</f>
        <v/>
      </c>
      <c r="AC1492" s="10">
        <f>LEFT(UPPER(H1492)&amp;REPT(" ",250),250)</f>
        <v/>
      </c>
      <c r="AD1492" s="10">
        <f>TEXT($G$2,"dd/mm/aaaa")</f>
        <v/>
      </c>
      <c r="AE1492" s="10">
        <f>REPT(" ",10)</f>
        <v/>
      </c>
      <c r="AF1492" s="10">
        <f>REPT(" ",20)</f>
        <v/>
      </c>
      <c r="AG1492" s="54">
        <f>REPT(" ",18-LEN(FIXED(F1492,2,TRUE)))&amp;FIXED(F1492,2,TRUE)</f>
        <v/>
      </c>
      <c r="AH1492" s="10">
        <f>LEN(AC1492)+LEN(AG1492)</f>
        <v/>
      </c>
      <c r="AI1492" s="10">
        <f>LEN(L1492)</f>
        <v/>
      </c>
    </row>
    <row r="1493">
      <c r="J1493" s="12">
        <f>IF(F1493&lt;&gt;0,"LANÇAR","")</f>
        <v/>
      </c>
      <c r="L1493" s="13">
        <f>N1493&amp;O1493&amp;P1493&amp;Q1493&amp;R1493&amp;S1493&amp;T1493&amp;U1493&amp;V1493&amp;W1493&amp;X1493&amp;Y1493&amp;Z1493&amp;AA1493&amp;AB1493&amp;AC1493&amp;AD1493&amp;AE1493&amp;AF1493&amp;AG1493</f>
        <v/>
      </c>
      <c r="N1493" s="10">
        <f>TEXT($B$6,"00")</f>
        <v/>
      </c>
      <c r="O1493" s="10">
        <f>REPT(" ",8)</f>
        <v/>
      </c>
      <c r="P1493" s="10">
        <f>RIGHT($B$4,2)</f>
        <v/>
      </c>
      <c r="Q1493" s="10">
        <f>RIGHT($B$5,3)</f>
        <v/>
      </c>
      <c r="R1493" s="10">
        <f>IF(A1493="D",LEFT(UPPER(B1493)&amp;REPT(" ",20),20),REPT(" ",20))</f>
        <v/>
      </c>
      <c r="S1493" s="10">
        <f>IF(A1493="D",LEFT(UPPER(C1493)&amp;REPT(" ",10),10)," ")</f>
        <v/>
      </c>
      <c r="T1493" s="10">
        <f>IF(A1493="D",LEFT(UPPER(D1493)&amp;REPT(" ",2),2)," ")</f>
        <v/>
      </c>
      <c r="U1493" s="10">
        <f>IF(A1493="D",LEFT(UPPER(E1493)&amp;REPT(" ",15),15)," ")</f>
        <v/>
      </c>
      <c r="V1493" s="10">
        <f>REPT(" ",24)</f>
        <v/>
      </c>
      <c r="W1493" s="10">
        <f>IF(A1493="c",LEFT(UPPER(B1493)&amp;REPT(" ",20),20),REPT(" ",20))</f>
        <v/>
      </c>
      <c r="X1493" s="10">
        <f>IF(A1493="C",LEFT(UPPER(C1493)&amp;REPT(" ",10),10)," ")</f>
        <v/>
      </c>
      <c r="Y1493" s="10">
        <f>IF(A1493="C",LEFT(UPPER(D1493)&amp;REPT(" ",2),2)," ")</f>
        <v/>
      </c>
      <c r="Z1493" s="10">
        <f>IF(A1493="C",LEFT(UPPER(E1493)&amp;REPT(" ",15),15)," ")</f>
        <v/>
      </c>
      <c r="AA1493" s="10">
        <f>REPT(" ",8)</f>
        <v/>
      </c>
      <c r="AB1493" s="10">
        <f>REPT(" ",4)</f>
        <v/>
      </c>
      <c r="AC1493" s="10">
        <f>LEFT(UPPER(H1493)&amp;REPT(" ",250),250)</f>
        <v/>
      </c>
      <c r="AD1493" s="10">
        <f>TEXT($G$2,"dd/mm/aaaa")</f>
        <v/>
      </c>
      <c r="AE1493" s="10">
        <f>REPT(" ",10)</f>
        <v/>
      </c>
      <c r="AF1493" s="10">
        <f>REPT(" ",20)</f>
        <v/>
      </c>
      <c r="AG1493" s="54">
        <f>REPT(" ",18-LEN(FIXED(F1493,2,TRUE)))&amp;FIXED(F1493,2,TRUE)</f>
        <v/>
      </c>
      <c r="AH1493" s="10">
        <f>LEN(AC1493)+LEN(AG1493)</f>
        <v/>
      </c>
      <c r="AI1493" s="10">
        <f>LEN(L1493)</f>
        <v/>
      </c>
    </row>
    <row r="1494">
      <c r="J1494" s="12">
        <f>IF(F1494&lt;&gt;0,"LANÇAR","")</f>
        <v/>
      </c>
      <c r="L1494" s="13">
        <f>N1494&amp;O1494&amp;P1494&amp;Q1494&amp;R1494&amp;S1494&amp;T1494&amp;U1494&amp;V1494&amp;W1494&amp;X1494&amp;Y1494&amp;Z1494&amp;AA1494&amp;AB1494&amp;AC1494&amp;AD1494&amp;AE1494&amp;AF1494&amp;AG1494</f>
        <v/>
      </c>
      <c r="N1494" s="10">
        <f>TEXT($B$6,"00")</f>
        <v/>
      </c>
      <c r="O1494" s="10">
        <f>REPT(" ",8)</f>
        <v/>
      </c>
      <c r="P1494" s="10">
        <f>RIGHT($B$4,2)</f>
        <v/>
      </c>
      <c r="Q1494" s="10">
        <f>RIGHT($B$5,3)</f>
        <v/>
      </c>
      <c r="R1494" s="10">
        <f>IF(A1494="D",LEFT(UPPER(B1494)&amp;REPT(" ",20),20),REPT(" ",20))</f>
        <v/>
      </c>
      <c r="S1494" s="10">
        <f>IF(A1494="D",LEFT(UPPER(C1494)&amp;REPT(" ",10),10)," ")</f>
        <v/>
      </c>
      <c r="T1494" s="10">
        <f>IF(A1494="D",LEFT(UPPER(D1494)&amp;REPT(" ",2),2)," ")</f>
        <v/>
      </c>
      <c r="U1494" s="10">
        <f>IF(A1494="D",LEFT(UPPER(E1494)&amp;REPT(" ",15),15)," ")</f>
        <v/>
      </c>
      <c r="V1494" s="10">
        <f>REPT(" ",24)</f>
        <v/>
      </c>
      <c r="W1494" s="10">
        <f>IF(A1494="c",LEFT(UPPER(B1494)&amp;REPT(" ",20),20),REPT(" ",20))</f>
        <v/>
      </c>
      <c r="X1494" s="10">
        <f>IF(A1494="C",LEFT(UPPER(C1494)&amp;REPT(" ",10),10)," ")</f>
        <v/>
      </c>
      <c r="Y1494" s="10">
        <f>IF(A1494="C",LEFT(UPPER(D1494)&amp;REPT(" ",2),2)," ")</f>
        <v/>
      </c>
      <c r="Z1494" s="10">
        <f>IF(A1494="C",LEFT(UPPER(E1494)&amp;REPT(" ",15),15)," ")</f>
        <v/>
      </c>
      <c r="AA1494" s="10">
        <f>REPT(" ",8)</f>
        <v/>
      </c>
      <c r="AB1494" s="10">
        <f>REPT(" ",4)</f>
        <v/>
      </c>
      <c r="AC1494" s="10">
        <f>LEFT(UPPER(H1494)&amp;REPT(" ",250),250)</f>
        <v/>
      </c>
      <c r="AD1494" s="10">
        <f>TEXT($G$2,"dd/mm/aaaa")</f>
        <v/>
      </c>
      <c r="AE1494" s="10">
        <f>REPT(" ",10)</f>
        <v/>
      </c>
      <c r="AF1494" s="10">
        <f>REPT(" ",20)</f>
        <v/>
      </c>
      <c r="AG1494" s="54">
        <f>REPT(" ",18-LEN(FIXED(F1494,2,TRUE)))&amp;FIXED(F1494,2,TRUE)</f>
        <v/>
      </c>
      <c r="AH1494" s="10">
        <f>LEN(AC1494)+LEN(AG1494)</f>
        <v/>
      </c>
      <c r="AI1494" s="10">
        <f>LEN(L1494)</f>
        <v/>
      </c>
    </row>
    <row r="1495">
      <c r="J1495" s="12">
        <f>IF(F1495&lt;&gt;0,"LANÇAR","")</f>
        <v/>
      </c>
      <c r="L1495" s="13">
        <f>N1495&amp;O1495&amp;P1495&amp;Q1495&amp;R1495&amp;S1495&amp;T1495&amp;U1495&amp;V1495&amp;W1495&amp;X1495&amp;Y1495&amp;Z1495&amp;AA1495&amp;AB1495&amp;AC1495&amp;AD1495&amp;AE1495&amp;AF1495&amp;AG1495</f>
        <v/>
      </c>
      <c r="N1495" s="10">
        <f>TEXT($B$6,"00")</f>
        <v/>
      </c>
      <c r="O1495" s="10">
        <f>REPT(" ",8)</f>
        <v/>
      </c>
      <c r="P1495" s="10">
        <f>RIGHT($B$4,2)</f>
        <v/>
      </c>
      <c r="Q1495" s="10">
        <f>RIGHT($B$5,3)</f>
        <v/>
      </c>
      <c r="R1495" s="10">
        <f>IF(A1495="D",LEFT(UPPER(B1495)&amp;REPT(" ",20),20),REPT(" ",20))</f>
        <v/>
      </c>
      <c r="S1495" s="10">
        <f>IF(A1495="D",LEFT(UPPER(C1495)&amp;REPT(" ",10),10)," ")</f>
        <v/>
      </c>
      <c r="T1495" s="10">
        <f>IF(A1495="D",LEFT(UPPER(D1495)&amp;REPT(" ",2),2)," ")</f>
        <v/>
      </c>
      <c r="U1495" s="10">
        <f>IF(A1495="D",LEFT(UPPER(E1495)&amp;REPT(" ",15),15)," ")</f>
        <v/>
      </c>
      <c r="V1495" s="10">
        <f>REPT(" ",24)</f>
        <v/>
      </c>
      <c r="W1495" s="10">
        <f>IF(A1495="c",LEFT(UPPER(B1495)&amp;REPT(" ",20),20),REPT(" ",20))</f>
        <v/>
      </c>
      <c r="X1495" s="10">
        <f>IF(A1495="C",LEFT(UPPER(C1495)&amp;REPT(" ",10),10)," ")</f>
        <v/>
      </c>
      <c r="Y1495" s="10">
        <f>IF(A1495="C",LEFT(UPPER(D1495)&amp;REPT(" ",2),2)," ")</f>
        <v/>
      </c>
      <c r="Z1495" s="10">
        <f>IF(A1495="C",LEFT(UPPER(E1495)&amp;REPT(" ",15),15)," ")</f>
        <v/>
      </c>
      <c r="AA1495" s="10">
        <f>REPT(" ",8)</f>
        <v/>
      </c>
      <c r="AB1495" s="10">
        <f>REPT(" ",4)</f>
        <v/>
      </c>
      <c r="AC1495" s="10">
        <f>LEFT(UPPER(H1495)&amp;REPT(" ",250),250)</f>
        <v/>
      </c>
      <c r="AD1495" s="10">
        <f>TEXT($G$2,"dd/mm/aaaa")</f>
        <v/>
      </c>
      <c r="AE1495" s="10">
        <f>REPT(" ",10)</f>
        <v/>
      </c>
      <c r="AF1495" s="10">
        <f>REPT(" ",20)</f>
        <v/>
      </c>
      <c r="AG1495" s="54">
        <f>REPT(" ",18-LEN(FIXED(F1495,2,TRUE)))&amp;FIXED(F1495,2,TRUE)</f>
        <v/>
      </c>
      <c r="AH1495" s="10">
        <f>LEN(AC1495)+LEN(AG1495)</f>
        <v/>
      </c>
      <c r="AI1495" s="10">
        <f>LEN(L1495)</f>
        <v/>
      </c>
    </row>
    <row r="1496">
      <c r="J1496" s="12">
        <f>IF(F1496&lt;&gt;0,"LANÇAR","")</f>
        <v/>
      </c>
      <c r="L1496" s="13">
        <f>N1496&amp;O1496&amp;P1496&amp;Q1496&amp;R1496&amp;S1496&amp;T1496&amp;U1496&amp;V1496&amp;W1496&amp;X1496&amp;Y1496&amp;Z1496&amp;AA1496&amp;AB1496&amp;AC1496&amp;AD1496&amp;AE1496&amp;AF1496&amp;AG1496</f>
        <v/>
      </c>
      <c r="N1496" s="10">
        <f>TEXT($B$6,"00")</f>
        <v/>
      </c>
      <c r="O1496" s="10">
        <f>REPT(" ",8)</f>
        <v/>
      </c>
      <c r="P1496" s="10">
        <f>RIGHT($B$4,2)</f>
        <v/>
      </c>
      <c r="Q1496" s="10">
        <f>RIGHT($B$5,3)</f>
        <v/>
      </c>
      <c r="R1496" s="10">
        <f>IF(A1496="D",LEFT(UPPER(B1496)&amp;REPT(" ",20),20),REPT(" ",20))</f>
        <v/>
      </c>
      <c r="S1496" s="10">
        <f>IF(A1496="D",LEFT(UPPER(C1496)&amp;REPT(" ",10),10)," ")</f>
        <v/>
      </c>
      <c r="T1496" s="10">
        <f>IF(A1496="D",LEFT(UPPER(D1496)&amp;REPT(" ",2),2)," ")</f>
        <v/>
      </c>
      <c r="U1496" s="10">
        <f>IF(A1496="D",LEFT(UPPER(E1496)&amp;REPT(" ",15),15)," ")</f>
        <v/>
      </c>
      <c r="V1496" s="10">
        <f>REPT(" ",24)</f>
        <v/>
      </c>
      <c r="W1496" s="10">
        <f>IF(A1496="c",LEFT(UPPER(B1496)&amp;REPT(" ",20),20),REPT(" ",20))</f>
        <v/>
      </c>
      <c r="X1496" s="10">
        <f>IF(A1496="C",LEFT(UPPER(C1496)&amp;REPT(" ",10),10)," ")</f>
        <v/>
      </c>
      <c r="Y1496" s="10">
        <f>IF(A1496="C",LEFT(UPPER(D1496)&amp;REPT(" ",2),2)," ")</f>
        <v/>
      </c>
      <c r="Z1496" s="10">
        <f>IF(A1496="C",LEFT(UPPER(E1496)&amp;REPT(" ",15),15)," ")</f>
        <v/>
      </c>
      <c r="AA1496" s="10">
        <f>REPT(" ",8)</f>
        <v/>
      </c>
      <c r="AB1496" s="10">
        <f>REPT(" ",4)</f>
        <v/>
      </c>
      <c r="AC1496" s="10">
        <f>LEFT(UPPER(H1496)&amp;REPT(" ",250),250)</f>
        <v/>
      </c>
      <c r="AD1496" s="10">
        <f>TEXT($G$2,"dd/mm/aaaa")</f>
        <v/>
      </c>
      <c r="AE1496" s="10">
        <f>REPT(" ",10)</f>
        <v/>
      </c>
      <c r="AF1496" s="10">
        <f>REPT(" ",20)</f>
        <v/>
      </c>
      <c r="AG1496" s="54">
        <f>REPT(" ",18-LEN(FIXED(F1496,2,TRUE)))&amp;FIXED(F1496,2,TRUE)</f>
        <v/>
      </c>
      <c r="AH1496" s="10">
        <f>LEN(AC1496)+LEN(AG1496)</f>
        <v/>
      </c>
      <c r="AI1496" s="10">
        <f>LEN(L1496)</f>
        <v/>
      </c>
    </row>
    <row r="1497">
      <c r="J1497" s="12">
        <f>IF(F1497&lt;&gt;0,"LANÇAR","")</f>
        <v/>
      </c>
      <c r="L1497" s="13">
        <f>N1497&amp;O1497&amp;P1497&amp;Q1497&amp;R1497&amp;S1497&amp;T1497&amp;U1497&amp;V1497&amp;W1497&amp;X1497&amp;Y1497&amp;Z1497&amp;AA1497&amp;AB1497&amp;AC1497&amp;AD1497&amp;AE1497&amp;AF1497&amp;AG1497</f>
        <v/>
      </c>
      <c r="N1497" s="10">
        <f>TEXT($B$6,"00")</f>
        <v/>
      </c>
      <c r="O1497" s="10">
        <f>REPT(" ",8)</f>
        <v/>
      </c>
      <c r="P1497" s="10">
        <f>RIGHT($B$4,2)</f>
        <v/>
      </c>
      <c r="Q1497" s="10">
        <f>RIGHT($B$5,3)</f>
        <v/>
      </c>
      <c r="R1497" s="10">
        <f>IF(A1497="D",LEFT(UPPER(B1497)&amp;REPT(" ",20),20),REPT(" ",20))</f>
        <v/>
      </c>
      <c r="S1497" s="10">
        <f>IF(A1497="D",LEFT(UPPER(C1497)&amp;REPT(" ",10),10)," ")</f>
        <v/>
      </c>
      <c r="T1497" s="10">
        <f>IF(A1497="D",LEFT(UPPER(D1497)&amp;REPT(" ",2),2)," ")</f>
        <v/>
      </c>
      <c r="U1497" s="10">
        <f>IF(A1497="D",LEFT(UPPER(E1497)&amp;REPT(" ",15),15)," ")</f>
        <v/>
      </c>
      <c r="V1497" s="10">
        <f>REPT(" ",24)</f>
        <v/>
      </c>
      <c r="W1497" s="10">
        <f>IF(A1497="c",LEFT(UPPER(B1497)&amp;REPT(" ",20),20),REPT(" ",20))</f>
        <v/>
      </c>
      <c r="X1497" s="10">
        <f>IF(A1497="C",LEFT(UPPER(C1497)&amp;REPT(" ",10),10)," ")</f>
        <v/>
      </c>
      <c r="Y1497" s="10">
        <f>IF(A1497="C",LEFT(UPPER(D1497)&amp;REPT(" ",2),2)," ")</f>
        <v/>
      </c>
      <c r="Z1497" s="10">
        <f>IF(A1497="C",LEFT(UPPER(E1497)&amp;REPT(" ",15),15)," ")</f>
        <v/>
      </c>
      <c r="AA1497" s="10">
        <f>REPT(" ",8)</f>
        <v/>
      </c>
      <c r="AB1497" s="10">
        <f>REPT(" ",4)</f>
        <v/>
      </c>
      <c r="AC1497" s="10">
        <f>LEFT(UPPER(H1497)&amp;REPT(" ",250),250)</f>
        <v/>
      </c>
      <c r="AD1497" s="10">
        <f>TEXT($G$2,"dd/mm/aaaa")</f>
        <v/>
      </c>
      <c r="AE1497" s="10">
        <f>REPT(" ",10)</f>
        <v/>
      </c>
      <c r="AF1497" s="10">
        <f>REPT(" ",20)</f>
        <v/>
      </c>
      <c r="AG1497" s="54">
        <f>REPT(" ",18-LEN(FIXED(F1497,2,TRUE)))&amp;FIXED(F1497,2,TRUE)</f>
        <v/>
      </c>
      <c r="AH1497" s="10">
        <f>LEN(AC1497)+LEN(AG1497)</f>
        <v/>
      </c>
      <c r="AI1497" s="10">
        <f>LEN(L1497)</f>
        <v/>
      </c>
    </row>
    <row r="1498">
      <c r="J1498" s="12">
        <f>IF(F1498&lt;&gt;0,"LANÇAR","")</f>
        <v/>
      </c>
      <c r="L1498" s="13">
        <f>N1498&amp;O1498&amp;P1498&amp;Q1498&amp;R1498&amp;S1498&amp;T1498&amp;U1498&amp;V1498&amp;W1498&amp;X1498&amp;Y1498&amp;Z1498&amp;AA1498&amp;AB1498&amp;AC1498&amp;AD1498&amp;AE1498&amp;AF1498&amp;AG1498</f>
        <v/>
      </c>
      <c r="N1498" s="10">
        <f>TEXT($B$6,"00")</f>
        <v/>
      </c>
      <c r="O1498" s="10">
        <f>REPT(" ",8)</f>
        <v/>
      </c>
      <c r="P1498" s="10">
        <f>RIGHT($B$4,2)</f>
        <v/>
      </c>
      <c r="Q1498" s="10">
        <f>RIGHT($B$5,3)</f>
        <v/>
      </c>
      <c r="R1498" s="10">
        <f>IF(A1498="D",LEFT(UPPER(B1498)&amp;REPT(" ",20),20),REPT(" ",20))</f>
        <v/>
      </c>
      <c r="S1498" s="10">
        <f>IF(A1498="D",LEFT(UPPER(C1498)&amp;REPT(" ",10),10)," ")</f>
        <v/>
      </c>
      <c r="T1498" s="10">
        <f>IF(A1498="D",LEFT(UPPER(D1498)&amp;REPT(" ",2),2)," ")</f>
        <v/>
      </c>
      <c r="U1498" s="10">
        <f>IF(A1498="D",LEFT(UPPER(E1498)&amp;REPT(" ",15),15)," ")</f>
        <v/>
      </c>
      <c r="V1498" s="10">
        <f>REPT(" ",24)</f>
        <v/>
      </c>
      <c r="W1498" s="10">
        <f>IF(A1498="c",LEFT(UPPER(B1498)&amp;REPT(" ",20),20),REPT(" ",20))</f>
        <v/>
      </c>
      <c r="X1498" s="10">
        <f>IF(A1498="C",LEFT(UPPER(C1498)&amp;REPT(" ",10),10)," ")</f>
        <v/>
      </c>
      <c r="Y1498" s="10">
        <f>IF(A1498="C",LEFT(UPPER(D1498)&amp;REPT(" ",2),2)," ")</f>
        <v/>
      </c>
      <c r="Z1498" s="10">
        <f>IF(A1498="C",LEFT(UPPER(E1498)&amp;REPT(" ",15),15)," ")</f>
        <v/>
      </c>
      <c r="AA1498" s="10">
        <f>REPT(" ",8)</f>
        <v/>
      </c>
      <c r="AB1498" s="10">
        <f>REPT(" ",4)</f>
        <v/>
      </c>
      <c r="AC1498" s="10">
        <f>LEFT(UPPER(H1498)&amp;REPT(" ",250),250)</f>
        <v/>
      </c>
      <c r="AD1498" s="10">
        <f>TEXT($G$2,"dd/mm/aaaa")</f>
        <v/>
      </c>
      <c r="AE1498" s="10">
        <f>REPT(" ",10)</f>
        <v/>
      </c>
      <c r="AF1498" s="10">
        <f>REPT(" ",20)</f>
        <v/>
      </c>
      <c r="AG1498" s="54">
        <f>REPT(" ",18-LEN(FIXED(F1498,2,TRUE)))&amp;FIXED(F1498,2,TRUE)</f>
        <v/>
      </c>
      <c r="AH1498" s="10">
        <f>LEN(AC1498)+LEN(AG1498)</f>
        <v/>
      </c>
      <c r="AI1498" s="10">
        <f>LEN(L1498)</f>
        <v/>
      </c>
    </row>
    <row r="1499">
      <c r="J1499" s="12">
        <f>IF(F1499&lt;&gt;0,"LANÇAR","")</f>
        <v/>
      </c>
      <c r="L1499" s="13">
        <f>N1499&amp;O1499&amp;P1499&amp;Q1499&amp;R1499&amp;S1499&amp;T1499&amp;U1499&amp;V1499&amp;W1499&amp;X1499&amp;Y1499&amp;Z1499&amp;AA1499&amp;AB1499&amp;AC1499&amp;AD1499&amp;AE1499&amp;AF1499&amp;AG1499</f>
        <v/>
      </c>
      <c r="N1499" s="10">
        <f>TEXT($B$6,"00")</f>
        <v/>
      </c>
      <c r="O1499" s="10">
        <f>REPT(" ",8)</f>
        <v/>
      </c>
      <c r="P1499" s="10">
        <f>RIGHT($B$4,2)</f>
        <v/>
      </c>
      <c r="Q1499" s="10">
        <f>RIGHT($B$5,3)</f>
        <v/>
      </c>
      <c r="R1499" s="10">
        <f>IF(A1499="D",LEFT(UPPER(B1499)&amp;REPT(" ",20),20),REPT(" ",20))</f>
        <v/>
      </c>
      <c r="S1499" s="10">
        <f>IF(A1499="D",LEFT(UPPER(C1499)&amp;REPT(" ",10),10)," ")</f>
        <v/>
      </c>
      <c r="T1499" s="10">
        <f>IF(A1499="D",LEFT(UPPER(D1499)&amp;REPT(" ",2),2)," ")</f>
        <v/>
      </c>
      <c r="U1499" s="10">
        <f>IF(A1499="D",LEFT(UPPER(E1499)&amp;REPT(" ",15),15)," ")</f>
        <v/>
      </c>
      <c r="V1499" s="10">
        <f>REPT(" ",24)</f>
        <v/>
      </c>
      <c r="W1499" s="10">
        <f>IF(A1499="c",LEFT(UPPER(B1499)&amp;REPT(" ",20),20),REPT(" ",20))</f>
        <v/>
      </c>
      <c r="X1499" s="10">
        <f>IF(A1499="C",LEFT(UPPER(C1499)&amp;REPT(" ",10),10)," ")</f>
        <v/>
      </c>
      <c r="Y1499" s="10">
        <f>IF(A1499="C",LEFT(UPPER(D1499)&amp;REPT(" ",2),2)," ")</f>
        <v/>
      </c>
      <c r="Z1499" s="10">
        <f>IF(A1499="C",LEFT(UPPER(E1499)&amp;REPT(" ",15),15)," ")</f>
        <v/>
      </c>
      <c r="AA1499" s="10">
        <f>REPT(" ",8)</f>
        <v/>
      </c>
      <c r="AB1499" s="10">
        <f>REPT(" ",4)</f>
        <v/>
      </c>
      <c r="AC1499" s="10">
        <f>LEFT(UPPER(H1499)&amp;REPT(" ",250),250)</f>
        <v/>
      </c>
      <c r="AD1499" s="10">
        <f>TEXT($G$2,"dd/mm/aaaa")</f>
        <v/>
      </c>
      <c r="AE1499" s="10">
        <f>REPT(" ",10)</f>
        <v/>
      </c>
      <c r="AF1499" s="10">
        <f>REPT(" ",20)</f>
        <v/>
      </c>
      <c r="AG1499" s="54">
        <f>REPT(" ",18-LEN(FIXED(F1499,2,TRUE)))&amp;FIXED(F1499,2,TRUE)</f>
        <v/>
      </c>
      <c r="AH1499" s="10">
        <f>LEN(AC1499)+LEN(AG1499)</f>
        <v/>
      </c>
      <c r="AI1499" s="10">
        <f>LEN(L1499)</f>
        <v/>
      </c>
    </row>
    <row r="1500">
      <c r="J1500" s="12">
        <f>IF(F1500&lt;&gt;0,"LANÇAR","")</f>
        <v/>
      </c>
      <c r="L1500" s="13">
        <f>N1500&amp;O1500&amp;P1500&amp;Q1500&amp;R1500&amp;S1500&amp;T1500&amp;U1500&amp;V1500&amp;W1500&amp;X1500&amp;Y1500&amp;Z1500&amp;AA1500&amp;AB1500&amp;AC1500&amp;AD1500&amp;AE1500&amp;AF1500&amp;AG1500</f>
        <v/>
      </c>
      <c r="N1500" s="10">
        <f>TEXT($B$6,"00")</f>
        <v/>
      </c>
      <c r="O1500" s="10">
        <f>REPT(" ",8)</f>
        <v/>
      </c>
      <c r="P1500" s="10">
        <f>RIGHT($B$4,2)</f>
        <v/>
      </c>
      <c r="Q1500" s="10">
        <f>RIGHT($B$5,3)</f>
        <v/>
      </c>
      <c r="R1500" s="10">
        <f>IF(A1500="D",LEFT(UPPER(B1500)&amp;REPT(" ",20),20),REPT(" ",20))</f>
        <v/>
      </c>
      <c r="S1500" s="10">
        <f>IF(A1500="D",LEFT(UPPER(C1500)&amp;REPT(" ",10),10)," ")</f>
        <v/>
      </c>
      <c r="T1500" s="10">
        <f>IF(A1500="D",LEFT(UPPER(D1500)&amp;REPT(" ",2),2)," ")</f>
        <v/>
      </c>
      <c r="U1500" s="10">
        <f>IF(A1500="D",LEFT(UPPER(E1500)&amp;REPT(" ",15),15)," ")</f>
        <v/>
      </c>
      <c r="V1500" s="10">
        <f>REPT(" ",24)</f>
        <v/>
      </c>
      <c r="W1500" s="10">
        <f>IF(A1500="c",LEFT(UPPER(B1500)&amp;REPT(" ",20),20),REPT(" ",20))</f>
        <v/>
      </c>
      <c r="X1500" s="10">
        <f>IF(A1500="C",LEFT(UPPER(C1500)&amp;REPT(" ",10),10)," ")</f>
        <v/>
      </c>
      <c r="Y1500" s="10">
        <f>IF(A1500="C",LEFT(UPPER(D1500)&amp;REPT(" ",2),2)," ")</f>
        <v/>
      </c>
      <c r="Z1500" s="10">
        <f>IF(A1500="C",LEFT(UPPER(E1500)&amp;REPT(" ",15),15)," ")</f>
        <v/>
      </c>
      <c r="AA1500" s="10">
        <f>REPT(" ",8)</f>
        <v/>
      </c>
      <c r="AB1500" s="10">
        <f>REPT(" ",4)</f>
        <v/>
      </c>
      <c r="AC1500" s="10">
        <f>LEFT(UPPER(H1500)&amp;REPT(" ",250),250)</f>
        <v/>
      </c>
      <c r="AD1500" s="10">
        <f>TEXT($G$2,"dd/mm/aaaa")</f>
        <v/>
      </c>
      <c r="AE1500" s="10">
        <f>REPT(" ",10)</f>
        <v/>
      </c>
      <c r="AF1500" s="10">
        <f>REPT(" ",20)</f>
        <v/>
      </c>
      <c r="AG1500" s="54">
        <f>REPT(" ",18-LEN(FIXED(F1500,2,TRUE)))&amp;FIXED(F1500,2,TRUE)</f>
        <v/>
      </c>
      <c r="AH1500" s="10">
        <f>LEN(AC1500)+LEN(AG1500)</f>
        <v/>
      </c>
      <c r="AI1500" s="10">
        <f>LEN(L1500)</f>
        <v/>
      </c>
    </row>
    <row r="1501">
      <c r="J1501" s="12">
        <f>IF(F1501&lt;&gt;0,"LANÇAR","")</f>
        <v/>
      </c>
      <c r="L1501" s="13">
        <f>N1501&amp;O1501&amp;P1501&amp;Q1501&amp;R1501&amp;S1501&amp;T1501&amp;U1501&amp;V1501&amp;W1501&amp;X1501&amp;Y1501&amp;Z1501&amp;AA1501&amp;AB1501&amp;AC1501&amp;AD1501&amp;AE1501&amp;AF1501&amp;AG1501</f>
        <v/>
      </c>
      <c r="N1501" s="10">
        <f>TEXT($B$6,"00")</f>
        <v/>
      </c>
      <c r="O1501" s="10">
        <f>REPT(" ",8)</f>
        <v/>
      </c>
      <c r="P1501" s="10">
        <f>RIGHT($B$4,2)</f>
        <v/>
      </c>
      <c r="Q1501" s="10">
        <f>RIGHT($B$5,3)</f>
        <v/>
      </c>
      <c r="R1501" s="10">
        <f>IF(A1501="D",LEFT(UPPER(B1501)&amp;REPT(" ",20),20),REPT(" ",20))</f>
        <v/>
      </c>
      <c r="S1501" s="10">
        <f>IF(A1501="D",LEFT(UPPER(C1501)&amp;REPT(" ",10),10)," ")</f>
        <v/>
      </c>
      <c r="T1501" s="10">
        <f>IF(A1501="D",LEFT(UPPER(D1501)&amp;REPT(" ",2),2)," ")</f>
        <v/>
      </c>
      <c r="U1501" s="10">
        <f>IF(A1501="D",LEFT(UPPER(E1501)&amp;REPT(" ",15),15)," ")</f>
        <v/>
      </c>
      <c r="V1501" s="10">
        <f>REPT(" ",24)</f>
        <v/>
      </c>
      <c r="W1501" s="10">
        <f>IF(A1501="c",LEFT(UPPER(B1501)&amp;REPT(" ",20),20),REPT(" ",20))</f>
        <v/>
      </c>
      <c r="X1501" s="10">
        <f>IF(A1501="C",LEFT(UPPER(C1501)&amp;REPT(" ",10),10)," ")</f>
        <v/>
      </c>
      <c r="Y1501" s="10">
        <f>IF(A1501="C",LEFT(UPPER(D1501)&amp;REPT(" ",2),2)," ")</f>
        <v/>
      </c>
      <c r="Z1501" s="10">
        <f>IF(A1501="C",LEFT(UPPER(E1501)&amp;REPT(" ",15),15)," ")</f>
        <v/>
      </c>
      <c r="AA1501" s="10">
        <f>REPT(" ",8)</f>
        <v/>
      </c>
      <c r="AB1501" s="10">
        <f>REPT(" ",4)</f>
        <v/>
      </c>
      <c r="AC1501" s="10">
        <f>LEFT(UPPER(H1501)&amp;REPT(" ",250),250)</f>
        <v/>
      </c>
      <c r="AD1501" s="10">
        <f>TEXT($G$2,"dd/mm/aaaa")</f>
        <v/>
      </c>
      <c r="AE1501" s="10">
        <f>REPT(" ",10)</f>
        <v/>
      </c>
      <c r="AF1501" s="10">
        <f>REPT(" ",20)</f>
        <v/>
      </c>
      <c r="AG1501" s="54">
        <f>REPT(" ",18-LEN(FIXED(F1501,2,TRUE)))&amp;FIXED(F1501,2,TRUE)</f>
        <v/>
      </c>
      <c r="AH1501" s="10">
        <f>LEN(AC1501)+LEN(AG1501)</f>
        <v/>
      </c>
      <c r="AI1501" s="10">
        <f>LEN(L1501)</f>
        <v/>
      </c>
    </row>
    <row r="1502">
      <c r="J1502" s="12">
        <f>IF(F1502&lt;&gt;0,"LANÇAR","")</f>
        <v/>
      </c>
      <c r="L1502" s="13">
        <f>N1502&amp;O1502&amp;P1502&amp;Q1502&amp;R1502&amp;S1502&amp;T1502&amp;U1502&amp;V1502&amp;W1502&amp;X1502&amp;Y1502&amp;Z1502&amp;AA1502&amp;AB1502&amp;AC1502&amp;AD1502&amp;AE1502&amp;AF1502&amp;AG1502</f>
        <v/>
      </c>
      <c r="N1502" s="10">
        <f>TEXT($B$6,"00")</f>
        <v/>
      </c>
      <c r="O1502" s="10">
        <f>REPT(" ",8)</f>
        <v/>
      </c>
      <c r="P1502" s="10">
        <f>RIGHT($B$4,2)</f>
        <v/>
      </c>
      <c r="Q1502" s="10">
        <f>RIGHT($B$5,3)</f>
        <v/>
      </c>
      <c r="R1502" s="10">
        <f>IF(A1502="D",LEFT(UPPER(B1502)&amp;REPT(" ",20),20),REPT(" ",20))</f>
        <v/>
      </c>
      <c r="S1502" s="10">
        <f>IF(A1502="D",LEFT(UPPER(C1502)&amp;REPT(" ",10),10)," ")</f>
        <v/>
      </c>
      <c r="T1502" s="10">
        <f>IF(A1502="D",LEFT(UPPER(D1502)&amp;REPT(" ",2),2)," ")</f>
        <v/>
      </c>
      <c r="U1502" s="10">
        <f>IF(A1502="D",LEFT(UPPER(E1502)&amp;REPT(" ",15),15)," ")</f>
        <v/>
      </c>
      <c r="V1502" s="10">
        <f>REPT(" ",24)</f>
        <v/>
      </c>
      <c r="W1502" s="10">
        <f>IF(A1502="c",LEFT(UPPER(B1502)&amp;REPT(" ",20),20),REPT(" ",20))</f>
        <v/>
      </c>
      <c r="X1502" s="10">
        <f>IF(A1502="C",LEFT(UPPER(C1502)&amp;REPT(" ",10),10)," ")</f>
        <v/>
      </c>
      <c r="Y1502" s="10">
        <f>IF(A1502="C",LEFT(UPPER(D1502)&amp;REPT(" ",2),2)," ")</f>
        <v/>
      </c>
      <c r="Z1502" s="10">
        <f>IF(A1502="C",LEFT(UPPER(E1502)&amp;REPT(" ",15),15)," ")</f>
        <v/>
      </c>
      <c r="AA1502" s="10">
        <f>REPT(" ",8)</f>
        <v/>
      </c>
      <c r="AB1502" s="10">
        <f>REPT(" ",4)</f>
        <v/>
      </c>
      <c r="AC1502" s="10">
        <f>LEFT(UPPER(H1502)&amp;REPT(" ",250),250)</f>
        <v/>
      </c>
      <c r="AD1502" s="10">
        <f>TEXT($G$2,"dd/mm/aaaa")</f>
        <v/>
      </c>
      <c r="AE1502" s="10">
        <f>REPT(" ",10)</f>
        <v/>
      </c>
      <c r="AF1502" s="10">
        <f>REPT(" ",20)</f>
        <v/>
      </c>
      <c r="AG1502" s="54">
        <f>REPT(" ",18-LEN(FIXED(F1502,2,TRUE)))&amp;FIXED(F1502,2,TRUE)</f>
        <v/>
      </c>
      <c r="AH1502" s="10">
        <f>LEN(AC1502)+LEN(AG1502)</f>
        <v/>
      </c>
      <c r="AI1502" s="10">
        <f>LEN(L1502)</f>
        <v/>
      </c>
    </row>
    <row r="1503">
      <c r="J1503" s="12">
        <f>IF(F1503&lt;&gt;0,"LANÇAR","")</f>
        <v/>
      </c>
      <c r="L1503" s="13">
        <f>N1503&amp;O1503&amp;P1503&amp;Q1503&amp;R1503&amp;S1503&amp;T1503&amp;U1503&amp;V1503&amp;W1503&amp;X1503&amp;Y1503&amp;Z1503&amp;AA1503&amp;AB1503&amp;AC1503&amp;AD1503&amp;AE1503&amp;AF1503&amp;AG1503</f>
        <v/>
      </c>
      <c r="N1503" s="10">
        <f>TEXT($B$6,"00")</f>
        <v/>
      </c>
      <c r="O1503" s="10">
        <f>REPT(" ",8)</f>
        <v/>
      </c>
      <c r="P1503" s="10">
        <f>RIGHT($B$4,2)</f>
        <v/>
      </c>
      <c r="Q1503" s="10">
        <f>RIGHT($B$5,3)</f>
        <v/>
      </c>
      <c r="R1503" s="10">
        <f>IF(A1503="D",LEFT(UPPER(B1503)&amp;REPT(" ",20),20),REPT(" ",20))</f>
        <v/>
      </c>
      <c r="S1503" s="10">
        <f>IF(A1503="D",LEFT(UPPER(C1503)&amp;REPT(" ",10),10)," ")</f>
        <v/>
      </c>
      <c r="T1503" s="10">
        <f>IF(A1503="D",LEFT(UPPER(D1503)&amp;REPT(" ",2),2)," ")</f>
        <v/>
      </c>
      <c r="U1503" s="10">
        <f>IF(A1503="D",LEFT(UPPER(E1503)&amp;REPT(" ",15),15)," ")</f>
        <v/>
      </c>
      <c r="V1503" s="10">
        <f>REPT(" ",24)</f>
        <v/>
      </c>
      <c r="W1503" s="10">
        <f>IF(A1503="c",LEFT(UPPER(B1503)&amp;REPT(" ",20),20),REPT(" ",20))</f>
        <v/>
      </c>
      <c r="X1503" s="10">
        <f>IF(A1503="C",LEFT(UPPER(C1503)&amp;REPT(" ",10),10)," ")</f>
        <v/>
      </c>
      <c r="Y1503" s="10">
        <f>IF(A1503="C",LEFT(UPPER(D1503)&amp;REPT(" ",2),2)," ")</f>
        <v/>
      </c>
      <c r="Z1503" s="10">
        <f>IF(A1503="C",LEFT(UPPER(E1503)&amp;REPT(" ",15),15)," ")</f>
        <v/>
      </c>
      <c r="AA1503" s="10">
        <f>REPT(" ",8)</f>
        <v/>
      </c>
      <c r="AB1503" s="10">
        <f>REPT(" ",4)</f>
        <v/>
      </c>
      <c r="AC1503" s="10">
        <f>LEFT(UPPER(H1503)&amp;REPT(" ",250),250)</f>
        <v/>
      </c>
      <c r="AD1503" s="10">
        <f>TEXT($G$2,"dd/mm/aaaa")</f>
        <v/>
      </c>
      <c r="AE1503" s="10">
        <f>REPT(" ",10)</f>
        <v/>
      </c>
      <c r="AF1503" s="10">
        <f>REPT(" ",20)</f>
        <v/>
      </c>
      <c r="AG1503" s="54">
        <f>REPT(" ",18-LEN(FIXED(F1503,2,TRUE)))&amp;FIXED(F1503,2,TRUE)</f>
        <v/>
      </c>
      <c r="AH1503" s="10">
        <f>LEN(AC1503)+LEN(AG1503)</f>
        <v/>
      </c>
      <c r="AI1503" s="10">
        <f>LEN(L1503)</f>
        <v/>
      </c>
    </row>
    <row r="1504">
      <c r="J1504" s="12">
        <f>IF(F1504&lt;&gt;0,"LANÇAR","")</f>
        <v/>
      </c>
      <c r="L1504" s="13">
        <f>N1504&amp;O1504&amp;P1504&amp;Q1504&amp;R1504&amp;S1504&amp;T1504&amp;U1504&amp;V1504&amp;W1504&amp;X1504&amp;Y1504&amp;Z1504&amp;AA1504&amp;AB1504&amp;AC1504&amp;AD1504&amp;AE1504&amp;AF1504&amp;AG1504</f>
        <v/>
      </c>
      <c r="N1504" s="10">
        <f>TEXT($B$6,"00")</f>
        <v/>
      </c>
      <c r="O1504" s="10">
        <f>REPT(" ",8)</f>
        <v/>
      </c>
      <c r="P1504" s="10">
        <f>RIGHT($B$4,2)</f>
        <v/>
      </c>
      <c r="Q1504" s="10">
        <f>RIGHT($B$5,3)</f>
        <v/>
      </c>
      <c r="R1504" s="10">
        <f>IF(A1504="D",LEFT(UPPER(B1504)&amp;REPT(" ",20),20),REPT(" ",20))</f>
        <v/>
      </c>
      <c r="S1504" s="10">
        <f>IF(A1504="D",LEFT(UPPER(C1504)&amp;REPT(" ",10),10)," ")</f>
        <v/>
      </c>
      <c r="T1504" s="10">
        <f>IF(A1504="D",LEFT(UPPER(D1504)&amp;REPT(" ",2),2)," ")</f>
        <v/>
      </c>
      <c r="U1504" s="10">
        <f>IF(A1504="D",LEFT(UPPER(E1504)&amp;REPT(" ",15),15)," ")</f>
        <v/>
      </c>
      <c r="V1504" s="10">
        <f>REPT(" ",24)</f>
        <v/>
      </c>
      <c r="W1504" s="10">
        <f>IF(A1504="c",LEFT(UPPER(B1504)&amp;REPT(" ",20),20),REPT(" ",20))</f>
        <v/>
      </c>
      <c r="X1504" s="10">
        <f>IF(A1504="C",LEFT(UPPER(C1504)&amp;REPT(" ",10),10)," ")</f>
        <v/>
      </c>
      <c r="Y1504" s="10">
        <f>IF(A1504="C",LEFT(UPPER(D1504)&amp;REPT(" ",2),2)," ")</f>
        <v/>
      </c>
      <c r="Z1504" s="10">
        <f>IF(A1504="C",LEFT(UPPER(E1504)&amp;REPT(" ",15),15)," ")</f>
        <v/>
      </c>
      <c r="AA1504" s="10">
        <f>REPT(" ",8)</f>
        <v/>
      </c>
      <c r="AB1504" s="10">
        <f>REPT(" ",4)</f>
        <v/>
      </c>
      <c r="AC1504" s="10">
        <f>LEFT(UPPER(H1504)&amp;REPT(" ",250),250)</f>
        <v/>
      </c>
      <c r="AD1504" s="10">
        <f>TEXT($G$2,"dd/mm/aaaa")</f>
        <v/>
      </c>
      <c r="AE1504" s="10">
        <f>REPT(" ",10)</f>
        <v/>
      </c>
      <c r="AF1504" s="10">
        <f>REPT(" ",20)</f>
        <v/>
      </c>
      <c r="AG1504" s="54">
        <f>REPT(" ",18-LEN(FIXED(F1504,2,TRUE)))&amp;FIXED(F1504,2,TRUE)</f>
        <v/>
      </c>
      <c r="AH1504" s="10">
        <f>LEN(AC1504)+LEN(AG1504)</f>
        <v/>
      </c>
      <c r="AI1504" s="10">
        <f>LEN(L1504)</f>
        <v/>
      </c>
    </row>
    <row r="1505">
      <c r="J1505" s="12">
        <f>IF(F1505&lt;&gt;0,"LANÇAR","")</f>
        <v/>
      </c>
      <c r="L1505" s="13">
        <f>N1505&amp;O1505&amp;P1505&amp;Q1505&amp;R1505&amp;S1505&amp;T1505&amp;U1505&amp;V1505&amp;W1505&amp;X1505&amp;Y1505&amp;Z1505&amp;AA1505&amp;AB1505&amp;AC1505&amp;AD1505&amp;AE1505&amp;AF1505&amp;AG1505</f>
        <v/>
      </c>
      <c r="N1505" s="10">
        <f>TEXT($B$6,"00")</f>
        <v/>
      </c>
      <c r="O1505" s="10">
        <f>REPT(" ",8)</f>
        <v/>
      </c>
      <c r="P1505" s="10">
        <f>RIGHT($B$4,2)</f>
        <v/>
      </c>
      <c r="Q1505" s="10">
        <f>RIGHT($B$5,3)</f>
        <v/>
      </c>
      <c r="R1505" s="10">
        <f>IF(A1505="D",LEFT(UPPER(B1505)&amp;REPT(" ",20),20),REPT(" ",20))</f>
        <v/>
      </c>
      <c r="S1505" s="10">
        <f>IF(A1505="D",LEFT(UPPER(C1505)&amp;REPT(" ",10),10)," ")</f>
        <v/>
      </c>
      <c r="T1505" s="10">
        <f>IF(A1505="D",LEFT(UPPER(D1505)&amp;REPT(" ",2),2)," ")</f>
        <v/>
      </c>
      <c r="U1505" s="10">
        <f>IF(A1505="D",LEFT(UPPER(E1505)&amp;REPT(" ",15),15)," ")</f>
        <v/>
      </c>
      <c r="V1505" s="10">
        <f>REPT(" ",24)</f>
        <v/>
      </c>
      <c r="W1505" s="10">
        <f>IF(A1505="c",LEFT(UPPER(B1505)&amp;REPT(" ",20),20),REPT(" ",20))</f>
        <v/>
      </c>
      <c r="X1505" s="10">
        <f>IF(A1505="C",LEFT(UPPER(C1505)&amp;REPT(" ",10),10)," ")</f>
        <v/>
      </c>
      <c r="Y1505" s="10">
        <f>IF(A1505="C",LEFT(UPPER(D1505)&amp;REPT(" ",2),2)," ")</f>
        <v/>
      </c>
      <c r="Z1505" s="10">
        <f>IF(A1505="C",LEFT(UPPER(E1505)&amp;REPT(" ",15),15)," ")</f>
        <v/>
      </c>
      <c r="AA1505" s="10">
        <f>REPT(" ",8)</f>
        <v/>
      </c>
      <c r="AB1505" s="10">
        <f>REPT(" ",4)</f>
        <v/>
      </c>
      <c r="AC1505" s="10">
        <f>LEFT(UPPER(H1505)&amp;REPT(" ",250),250)</f>
        <v/>
      </c>
      <c r="AD1505" s="10">
        <f>TEXT($G$2,"dd/mm/aaaa")</f>
        <v/>
      </c>
      <c r="AE1505" s="10">
        <f>REPT(" ",10)</f>
        <v/>
      </c>
      <c r="AF1505" s="10">
        <f>REPT(" ",20)</f>
        <v/>
      </c>
      <c r="AG1505" s="54">
        <f>REPT(" ",18-LEN(FIXED(F1505,2,TRUE)))&amp;FIXED(F1505,2,TRUE)</f>
        <v/>
      </c>
      <c r="AH1505" s="10">
        <f>LEN(AC1505)+LEN(AG1505)</f>
        <v/>
      </c>
      <c r="AI1505" s="10">
        <f>LEN(L1505)</f>
        <v/>
      </c>
    </row>
    <row r="1506">
      <c r="J1506" s="12">
        <f>IF(F1506&lt;&gt;0,"LANÇAR","")</f>
        <v/>
      </c>
      <c r="L1506" s="13">
        <f>N1506&amp;O1506&amp;P1506&amp;Q1506&amp;R1506&amp;S1506&amp;T1506&amp;U1506&amp;V1506&amp;W1506&amp;X1506&amp;Y1506&amp;Z1506&amp;AA1506&amp;AB1506&amp;AC1506&amp;AD1506&amp;AE1506&amp;AF1506&amp;AG1506</f>
        <v/>
      </c>
      <c r="N1506" s="10">
        <f>TEXT($B$6,"00")</f>
        <v/>
      </c>
      <c r="O1506" s="10">
        <f>REPT(" ",8)</f>
        <v/>
      </c>
      <c r="P1506" s="10">
        <f>RIGHT($B$4,2)</f>
        <v/>
      </c>
      <c r="Q1506" s="10">
        <f>RIGHT($B$5,3)</f>
        <v/>
      </c>
      <c r="R1506" s="10">
        <f>IF(A1506="D",LEFT(UPPER(B1506)&amp;REPT(" ",20),20),REPT(" ",20))</f>
        <v/>
      </c>
      <c r="S1506" s="10">
        <f>IF(A1506="D",LEFT(UPPER(C1506)&amp;REPT(" ",10),10)," ")</f>
        <v/>
      </c>
      <c r="T1506" s="10">
        <f>IF(A1506="D",LEFT(UPPER(D1506)&amp;REPT(" ",2),2)," ")</f>
        <v/>
      </c>
      <c r="U1506" s="10">
        <f>IF(A1506="D",LEFT(UPPER(E1506)&amp;REPT(" ",15),15)," ")</f>
        <v/>
      </c>
      <c r="V1506" s="10">
        <f>REPT(" ",24)</f>
        <v/>
      </c>
      <c r="W1506" s="10">
        <f>IF(A1506="c",LEFT(UPPER(B1506)&amp;REPT(" ",20),20),REPT(" ",20))</f>
        <v/>
      </c>
      <c r="X1506" s="10">
        <f>IF(A1506="C",LEFT(UPPER(C1506)&amp;REPT(" ",10),10)," ")</f>
        <v/>
      </c>
      <c r="Y1506" s="10">
        <f>IF(A1506="C",LEFT(UPPER(D1506)&amp;REPT(" ",2),2)," ")</f>
        <v/>
      </c>
      <c r="Z1506" s="10">
        <f>IF(A1506="C",LEFT(UPPER(E1506)&amp;REPT(" ",15),15)," ")</f>
        <v/>
      </c>
      <c r="AA1506" s="10">
        <f>REPT(" ",8)</f>
        <v/>
      </c>
      <c r="AB1506" s="10">
        <f>REPT(" ",4)</f>
        <v/>
      </c>
      <c r="AC1506" s="10">
        <f>LEFT(UPPER(H1506)&amp;REPT(" ",250),250)</f>
        <v/>
      </c>
      <c r="AD1506" s="10">
        <f>TEXT($G$2,"dd/mm/aaaa")</f>
        <v/>
      </c>
      <c r="AE1506" s="10">
        <f>REPT(" ",10)</f>
        <v/>
      </c>
      <c r="AF1506" s="10">
        <f>REPT(" ",20)</f>
        <v/>
      </c>
      <c r="AG1506" s="54">
        <f>REPT(" ",18-LEN(FIXED(F1506,2,TRUE)))&amp;FIXED(F1506,2,TRUE)</f>
        <v/>
      </c>
      <c r="AH1506" s="10">
        <f>LEN(AC1506)+LEN(AG1506)</f>
        <v/>
      </c>
      <c r="AI1506" s="10">
        <f>LEN(L1506)</f>
        <v/>
      </c>
    </row>
    <row r="1507">
      <c r="J1507" s="12">
        <f>IF(F1507&lt;&gt;0,"LANÇAR","")</f>
        <v/>
      </c>
      <c r="L1507" s="13">
        <f>N1507&amp;O1507&amp;P1507&amp;Q1507&amp;R1507&amp;S1507&amp;T1507&amp;U1507&amp;V1507&amp;W1507&amp;X1507&amp;Y1507&amp;Z1507&amp;AA1507&amp;AB1507&amp;AC1507&amp;AD1507&amp;AE1507&amp;AF1507&amp;AG1507</f>
        <v/>
      </c>
      <c r="N1507" s="10">
        <f>TEXT($B$6,"00")</f>
        <v/>
      </c>
      <c r="O1507" s="10">
        <f>REPT(" ",8)</f>
        <v/>
      </c>
      <c r="P1507" s="10">
        <f>RIGHT($B$4,2)</f>
        <v/>
      </c>
      <c r="Q1507" s="10">
        <f>RIGHT($B$5,3)</f>
        <v/>
      </c>
      <c r="R1507" s="10">
        <f>IF(A1507="D",LEFT(UPPER(B1507)&amp;REPT(" ",20),20),REPT(" ",20))</f>
        <v/>
      </c>
      <c r="S1507" s="10">
        <f>IF(A1507="D",LEFT(UPPER(C1507)&amp;REPT(" ",10),10)," ")</f>
        <v/>
      </c>
      <c r="T1507" s="10">
        <f>IF(A1507="D",LEFT(UPPER(D1507)&amp;REPT(" ",2),2)," ")</f>
        <v/>
      </c>
      <c r="U1507" s="10">
        <f>IF(A1507="D",LEFT(UPPER(E1507)&amp;REPT(" ",15),15)," ")</f>
        <v/>
      </c>
      <c r="V1507" s="10">
        <f>REPT(" ",24)</f>
        <v/>
      </c>
      <c r="W1507" s="10">
        <f>IF(A1507="c",LEFT(UPPER(B1507)&amp;REPT(" ",20),20),REPT(" ",20))</f>
        <v/>
      </c>
      <c r="X1507" s="10">
        <f>IF(A1507="C",LEFT(UPPER(C1507)&amp;REPT(" ",10),10)," ")</f>
        <v/>
      </c>
      <c r="Y1507" s="10">
        <f>IF(A1507="C",LEFT(UPPER(D1507)&amp;REPT(" ",2),2)," ")</f>
        <v/>
      </c>
      <c r="Z1507" s="10">
        <f>IF(A1507="C",LEFT(UPPER(E1507)&amp;REPT(" ",15),15)," ")</f>
        <v/>
      </c>
      <c r="AA1507" s="10">
        <f>REPT(" ",8)</f>
        <v/>
      </c>
      <c r="AB1507" s="10">
        <f>REPT(" ",4)</f>
        <v/>
      </c>
      <c r="AC1507" s="10">
        <f>LEFT(UPPER(H1507)&amp;REPT(" ",250),250)</f>
        <v/>
      </c>
      <c r="AD1507" s="10">
        <f>TEXT($G$2,"dd/mm/aaaa")</f>
        <v/>
      </c>
      <c r="AE1507" s="10">
        <f>REPT(" ",10)</f>
        <v/>
      </c>
      <c r="AF1507" s="10">
        <f>REPT(" ",20)</f>
        <v/>
      </c>
      <c r="AG1507" s="54">
        <f>REPT(" ",18-LEN(FIXED(F1507,2,TRUE)))&amp;FIXED(F1507,2,TRUE)</f>
        <v/>
      </c>
      <c r="AH1507" s="10">
        <f>LEN(AC1507)+LEN(AG1507)</f>
        <v/>
      </c>
      <c r="AI1507" s="10">
        <f>LEN(L1507)</f>
        <v/>
      </c>
    </row>
    <row r="1508">
      <c r="J1508" s="12">
        <f>IF(F1508&lt;&gt;0,"LANÇAR","")</f>
        <v/>
      </c>
      <c r="L1508" s="13">
        <f>N1508&amp;O1508&amp;P1508&amp;Q1508&amp;R1508&amp;S1508&amp;T1508&amp;U1508&amp;V1508&amp;W1508&amp;X1508&amp;Y1508&amp;Z1508&amp;AA1508&amp;AB1508&amp;AC1508&amp;AD1508&amp;AE1508&amp;AF1508&amp;AG1508</f>
        <v/>
      </c>
      <c r="N1508" s="10">
        <f>TEXT($B$6,"00")</f>
        <v/>
      </c>
      <c r="O1508" s="10">
        <f>REPT(" ",8)</f>
        <v/>
      </c>
      <c r="P1508" s="10">
        <f>RIGHT($B$4,2)</f>
        <v/>
      </c>
      <c r="Q1508" s="10">
        <f>RIGHT($B$5,3)</f>
        <v/>
      </c>
      <c r="R1508" s="10">
        <f>IF(A1508="D",LEFT(UPPER(B1508)&amp;REPT(" ",20),20),REPT(" ",20))</f>
        <v/>
      </c>
      <c r="S1508" s="10">
        <f>IF(A1508="D",LEFT(UPPER(C1508)&amp;REPT(" ",10),10)," ")</f>
        <v/>
      </c>
      <c r="T1508" s="10">
        <f>IF(A1508="D",LEFT(UPPER(D1508)&amp;REPT(" ",2),2)," ")</f>
        <v/>
      </c>
      <c r="U1508" s="10">
        <f>IF(A1508="D",LEFT(UPPER(E1508)&amp;REPT(" ",15),15)," ")</f>
        <v/>
      </c>
      <c r="V1508" s="10">
        <f>REPT(" ",24)</f>
        <v/>
      </c>
      <c r="W1508" s="10">
        <f>IF(A1508="c",LEFT(UPPER(B1508)&amp;REPT(" ",20),20),REPT(" ",20))</f>
        <v/>
      </c>
      <c r="X1508" s="10">
        <f>IF(A1508="C",LEFT(UPPER(C1508)&amp;REPT(" ",10),10)," ")</f>
        <v/>
      </c>
      <c r="Y1508" s="10">
        <f>IF(A1508="C",LEFT(UPPER(D1508)&amp;REPT(" ",2),2)," ")</f>
        <v/>
      </c>
      <c r="Z1508" s="10">
        <f>IF(A1508="C",LEFT(UPPER(E1508)&amp;REPT(" ",15),15)," ")</f>
        <v/>
      </c>
      <c r="AA1508" s="10">
        <f>REPT(" ",8)</f>
        <v/>
      </c>
      <c r="AB1508" s="10">
        <f>REPT(" ",4)</f>
        <v/>
      </c>
      <c r="AC1508" s="10">
        <f>LEFT(UPPER(H1508)&amp;REPT(" ",250),250)</f>
        <v/>
      </c>
      <c r="AD1508" s="10">
        <f>TEXT($G$2,"dd/mm/aaaa")</f>
        <v/>
      </c>
      <c r="AE1508" s="10">
        <f>REPT(" ",10)</f>
        <v/>
      </c>
      <c r="AF1508" s="10">
        <f>REPT(" ",20)</f>
        <v/>
      </c>
      <c r="AG1508" s="54">
        <f>REPT(" ",18-LEN(FIXED(F1508,2,TRUE)))&amp;FIXED(F1508,2,TRUE)</f>
        <v/>
      </c>
      <c r="AH1508" s="10">
        <f>LEN(AC1508)+LEN(AG1508)</f>
        <v/>
      </c>
      <c r="AI1508" s="10">
        <f>LEN(L1508)</f>
        <v/>
      </c>
    </row>
    <row r="1509">
      <c r="J1509" s="12">
        <f>IF(F1509&lt;&gt;0,"LANÇAR","")</f>
        <v/>
      </c>
      <c r="L1509" s="13">
        <f>N1509&amp;O1509&amp;P1509&amp;Q1509&amp;R1509&amp;S1509&amp;T1509&amp;U1509&amp;V1509&amp;W1509&amp;X1509&amp;Y1509&amp;Z1509&amp;AA1509&amp;AB1509&amp;AC1509&amp;AD1509&amp;AE1509&amp;AF1509&amp;AG1509</f>
        <v/>
      </c>
      <c r="N1509" s="10">
        <f>TEXT($B$6,"00")</f>
        <v/>
      </c>
      <c r="O1509" s="10">
        <f>REPT(" ",8)</f>
        <v/>
      </c>
      <c r="P1509" s="10">
        <f>RIGHT($B$4,2)</f>
        <v/>
      </c>
      <c r="Q1509" s="10">
        <f>RIGHT($B$5,3)</f>
        <v/>
      </c>
      <c r="R1509" s="10">
        <f>IF(A1509="D",LEFT(UPPER(B1509)&amp;REPT(" ",20),20),REPT(" ",20))</f>
        <v/>
      </c>
      <c r="S1509" s="10">
        <f>IF(A1509="D",LEFT(UPPER(C1509)&amp;REPT(" ",10),10)," ")</f>
        <v/>
      </c>
      <c r="T1509" s="10">
        <f>IF(A1509="D",LEFT(UPPER(D1509)&amp;REPT(" ",2),2)," ")</f>
        <v/>
      </c>
      <c r="U1509" s="10">
        <f>IF(A1509="D",LEFT(UPPER(E1509)&amp;REPT(" ",15),15)," ")</f>
        <v/>
      </c>
      <c r="V1509" s="10">
        <f>REPT(" ",24)</f>
        <v/>
      </c>
      <c r="W1509" s="10">
        <f>IF(A1509="c",LEFT(UPPER(B1509)&amp;REPT(" ",20),20),REPT(" ",20))</f>
        <v/>
      </c>
      <c r="X1509" s="10">
        <f>IF(A1509="C",LEFT(UPPER(C1509)&amp;REPT(" ",10),10)," ")</f>
        <v/>
      </c>
      <c r="Y1509" s="10">
        <f>IF(A1509="C",LEFT(UPPER(D1509)&amp;REPT(" ",2),2)," ")</f>
        <v/>
      </c>
      <c r="Z1509" s="10">
        <f>IF(A1509="C",LEFT(UPPER(E1509)&amp;REPT(" ",15),15)," ")</f>
        <v/>
      </c>
      <c r="AA1509" s="10">
        <f>REPT(" ",8)</f>
        <v/>
      </c>
      <c r="AB1509" s="10">
        <f>REPT(" ",4)</f>
        <v/>
      </c>
      <c r="AC1509" s="10">
        <f>LEFT(UPPER(H1509)&amp;REPT(" ",250),250)</f>
        <v/>
      </c>
      <c r="AD1509" s="10">
        <f>TEXT($G$2,"dd/mm/aaaa")</f>
        <v/>
      </c>
      <c r="AE1509" s="10">
        <f>REPT(" ",10)</f>
        <v/>
      </c>
      <c r="AF1509" s="10">
        <f>REPT(" ",20)</f>
        <v/>
      </c>
      <c r="AG1509" s="54">
        <f>REPT(" ",18-LEN(FIXED(F1509,2,TRUE)))&amp;FIXED(F1509,2,TRUE)</f>
        <v/>
      </c>
      <c r="AH1509" s="10">
        <f>LEN(AC1509)+LEN(AG1509)</f>
        <v/>
      </c>
      <c r="AI1509" s="10">
        <f>LEN(L1509)</f>
        <v/>
      </c>
    </row>
    <row r="1510">
      <c r="J1510" s="12">
        <f>IF(F1510&lt;&gt;0,"LANÇAR","")</f>
        <v/>
      </c>
      <c r="L1510" s="13">
        <f>N1510&amp;O1510&amp;P1510&amp;Q1510&amp;R1510&amp;S1510&amp;T1510&amp;U1510&amp;V1510&amp;W1510&amp;X1510&amp;Y1510&amp;Z1510&amp;AA1510&amp;AB1510&amp;AC1510&amp;AD1510&amp;AE1510&amp;AF1510&amp;AG1510</f>
        <v/>
      </c>
      <c r="N1510" s="10">
        <f>TEXT($B$6,"00")</f>
        <v/>
      </c>
      <c r="O1510" s="10">
        <f>REPT(" ",8)</f>
        <v/>
      </c>
      <c r="P1510" s="10">
        <f>RIGHT($B$4,2)</f>
        <v/>
      </c>
      <c r="Q1510" s="10">
        <f>RIGHT($B$5,3)</f>
        <v/>
      </c>
      <c r="R1510" s="10">
        <f>IF(A1510="D",LEFT(UPPER(B1510)&amp;REPT(" ",20),20),REPT(" ",20))</f>
        <v/>
      </c>
      <c r="S1510" s="10">
        <f>IF(A1510="D",LEFT(UPPER(C1510)&amp;REPT(" ",10),10)," ")</f>
        <v/>
      </c>
      <c r="T1510" s="10">
        <f>IF(A1510="D",LEFT(UPPER(D1510)&amp;REPT(" ",2),2)," ")</f>
        <v/>
      </c>
      <c r="U1510" s="10">
        <f>IF(A1510="D",LEFT(UPPER(E1510)&amp;REPT(" ",15),15)," ")</f>
        <v/>
      </c>
      <c r="V1510" s="10">
        <f>REPT(" ",24)</f>
        <v/>
      </c>
      <c r="W1510" s="10">
        <f>IF(A1510="c",LEFT(UPPER(B1510)&amp;REPT(" ",20),20),REPT(" ",20))</f>
        <v/>
      </c>
      <c r="X1510" s="10">
        <f>IF(A1510="C",LEFT(UPPER(C1510)&amp;REPT(" ",10),10)," ")</f>
        <v/>
      </c>
      <c r="Y1510" s="10">
        <f>IF(A1510="C",LEFT(UPPER(D1510)&amp;REPT(" ",2),2)," ")</f>
        <v/>
      </c>
      <c r="Z1510" s="10">
        <f>IF(A1510="C",LEFT(UPPER(E1510)&amp;REPT(" ",15),15)," ")</f>
        <v/>
      </c>
      <c r="AA1510" s="10">
        <f>REPT(" ",8)</f>
        <v/>
      </c>
      <c r="AB1510" s="10">
        <f>REPT(" ",4)</f>
        <v/>
      </c>
      <c r="AC1510" s="10">
        <f>LEFT(UPPER(H1510)&amp;REPT(" ",250),250)</f>
        <v/>
      </c>
      <c r="AD1510" s="10">
        <f>TEXT($G$2,"dd/mm/aaaa")</f>
        <v/>
      </c>
      <c r="AE1510" s="10">
        <f>REPT(" ",10)</f>
        <v/>
      </c>
      <c r="AF1510" s="10">
        <f>REPT(" ",20)</f>
        <v/>
      </c>
      <c r="AG1510" s="54">
        <f>REPT(" ",18-LEN(FIXED(F1510,2,TRUE)))&amp;FIXED(F1510,2,TRUE)</f>
        <v/>
      </c>
      <c r="AH1510" s="10">
        <f>LEN(AC1510)+LEN(AG1510)</f>
        <v/>
      </c>
      <c r="AI1510" s="10">
        <f>LEN(L1510)</f>
        <v/>
      </c>
    </row>
    <row r="1511">
      <c r="J1511" s="12">
        <f>IF(F1511&lt;&gt;0,"LANÇAR","")</f>
        <v/>
      </c>
      <c r="L1511" s="13">
        <f>N1511&amp;O1511&amp;P1511&amp;Q1511&amp;R1511&amp;S1511&amp;T1511&amp;U1511&amp;V1511&amp;W1511&amp;X1511&amp;Y1511&amp;Z1511&amp;AA1511&amp;AB1511&amp;AC1511&amp;AD1511&amp;AE1511&amp;AF1511&amp;AG1511</f>
        <v/>
      </c>
      <c r="N1511" s="10">
        <f>TEXT($B$6,"00")</f>
        <v/>
      </c>
      <c r="O1511" s="10">
        <f>REPT(" ",8)</f>
        <v/>
      </c>
      <c r="P1511" s="10">
        <f>RIGHT($B$4,2)</f>
        <v/>
      </c>
      <c r="Q1511" s="10">
        <f>RIGHT($B$5,3)</f>
        <v/>
      </c>
      <c r="R1511" s="10">
        <f>IF(A1511="D",LEFT(UPPER(B1511)&amp;REPT(" ",20),20),REPT(" ",20))</f>
        <v/>
      </c>
      <c r="S1511" s="10">
        <f>IF(A1511="D",LEFT(UPPER(C1511)&amp;REPT(" ",10),10)," ")</f>
        <v/>
      </c>
      <c r="T1511" s="10">
        <f>IF(A1511="D",LEFT(UPPER(D1511)&amp;REPT(" ",2),2)," ")</f>
        <v/>
      </c>
      <c r="U1511" s="10">
        <f>IF(A1511="D",LEFT(UPPER(E1511)&amp;REPT(" ",15),15)," ")</f>
        <v/>
      </c>
      <c r="V1511" s="10">
        <f>REPT(" ",24)</f>
        <v/>
      </c>
      <c r="W1511" s="10">
        <f>IF(A1511="c",LEFT(UPPER(B1511)&amp;REPT(" ",20),20),REPT(" ",20))</f>
        <v/>
      </c>
      <c r="X1511" s="10">
        <f>IF(A1511="C",LEFT(UPPER(C1511)&amp;REPT(" ",10),10)," ")</f>
        <v/>
      </c>
      <c r="Y1511" s="10">
        <f>IF(A1511="C",LEFT(UPPER(D1511)&amp;REPT(" ",2),2)," ")</f>
        <v/>
      </c>
      <c r="Z1511" s="10">
        <f>IF(A1511="C",LEFT(UPPER(E1511)&amp;REPT(" ",15),15)," ")</f>
        <v/>
      </c>
      <c r="AA1511" s="10">
        <f>REPT(" ",8)</f>
        <v/>
      </c>
      <c r="AB1511" s="10">
        <f>REPT(" ",4)</f>
        <v/>
      </c>
      <c r="AC1511" s="10">
        <f>LEFT(UPPER(H1511)&amp;REPT(" ",250),250)</f>
        <v/>
      </c>
      <c r="AD1511" s="10">
        <f>TEXT($G$2,"dd/mm/aaaa")</f>
        <v/>
      </c>
      <c r="AE1511" s="10">
        <f>REPT(" ",10)</f>
        <v/>
      </c>
      <c r="AF1511" s="10">
        <f>REPT(" ",20)</f>
        <v/>
      </c>
      <c r="AG1511" s="54">
        <f>REPT(" ",18-LEN(FIXED(F1511,2,TRUE)))&amp;FIXED(F1511,2,TRUE)</f>
        <v/>
      </c>
      <c r="AH1511" s="10">
        <f>LEN(AC1511)+LEN(AG1511)</f>
        <v/>
      </c>
      <c r="AI1511" s="10">
        <f>LEN(L1511)</f>
        <v/>
      </c>
    </row>
    <row r="1512">
      <c r="J1512" s="12">
        <f>IF(F1512&lt;&gt;0,"LANÇAR","")</f>
        <v/>
      </c>
      <c r="L1512" s="13">
        <f>N1512&amp;O1512&amp;P1512&amp;Q1512&amp;R1512&amp;S1512&amp;T1512&amp;U1512&amp;V1512&amp;W1512&amp;X1512&amp;Y1512&amp;Z1512&amp;AA1512&amp;AB1512&amp;AC1512&amp;AD1512&amp;AE1512&amp;AF1512&amp;AG1512</f>
        <v/>
      </c>
      <c r="N1512" s="10">
        <f>TEXT($B$6,"00")</f>
        <v/>
      </c>
      <c r="O1512" s="10">
        <f>REPT(" ",8)</f>
        <v/>
      </c>
      <c r="P1512" s="10">
        <f>RIGHT($B$4,2)</f>
        <v/>
      </c>
      <c r="Q1512" s="10">
        <f>RIGHT($B$5,3)</f>
        <v/>
      </c>
      <c r="R1512" s="10">
        <f>IF(A1512="D",LEFT(UPPER(B1512)&amp;REPT(" ",20),20),REPT(" ",20))</f>
        <v/>
      </c>
      <c r="S1512" s="10">
        <f>IF(A1512="D",LEFT(UPPER(C1512)&amp;REPT(" ",10),10)," ")</f>
        <v/>
      </c>
      <c r="T1512" s="10">
        <f>IF(A1512="D",LEFT(UPPER(D1512)&amp;REPT(" ",2),2)," ")</f>
        <v/>
      </c>
      <c r="U1512" s="10">
        <f>IF(A1512="D",LEFT(UPPER(E1512)&amp;REPT(" ",15),15)," ")</f>
        <v/>
      </c>
      <c r="V1512" s="10">
        <f>REPT(" ",24)</f>
        <v/>
      </c>
      <c r="W1512" s="10">
        <f>IF(A1512="c",LEFT(UPPER(B1512)&amp;REPT(" ",20),20),REPT(" ",20))</f>
        <v/>
      </c>
      <c r="X1512" s="10">
        <f>IF(A1512="C",LEFT(UPPER(C1512)&amp;REPT(" ",10),10)," ")</f>
        <v/>
      </c>
      <c r="Y1512" s="10">
        <f>IF(A1512="C",LEFT(UPPER(D1512)&amp;REPT(" ",2),2)," ")</f>
        <v/>
      </c>
      <c r="Z1512" s="10">
        <f>IF(A1512="C",LEFT(UPPER(E1512)&amp;REPT(" ",15),15)," ")</f>
        <v/>
      </c>
      <c r="AA1512" s="10">
        <f>REPT(" ",8)</f>
        <v/>
      </c>
      <c r="AB1512" s="10">
        <f>REPT(" ",4)</f>
        <v/>
      </c>
      <c r="AC1512" s="10">
        <f>LEFT(UPPER(H1512)&amp;REPT(" ",250),250)</f>
        <v/>
      </c>
      <c r="AD1512" s="10">
        <f>TEXT($G$2,"dd/mm/aaaa")</f>
        <v/>
      </c>
      <c r="AE1512" s="10">
        <f>REPT(" ",10)</f>
        <v/>
      </c>
      <c r="AF1512" s="10">
        <f>REPT(" ",20)</f>
        <v/>
      </c>
      <c r="AG1512" s="54">
        <f>REPT(" ",18-LEN(FIXED(F1512,2,TRUE)))&amp;FIXED(F1512,2,TRUE)</f>
        <v/>
      </c>
      <c r="AH1512" s="10">
        <f>LEN(AC1512)+LEN(AG1512)</f>
        <v/>
      </c>
      <c r="AI1512" s="10">
        <f>LEN(L1512)</f>
        <v/>
      </c>
    </row>
    <row r="1513">
      <c r="J1513" s="12">
        <f>IF(F1513&lt;&gt;0,"LANÇAR","")</f>
        <v/>
      </c>
      <c r="L1513" s="13">
        <f>N1513&amp;O1513&amp;P1513&amp;Q1513&amp;R1513&amp;S1513&amp;T1513&amp;U1513&amp;V1513&amp;W1513&amp;X1513&amp;Y1513&amp;Z1513&amp;AA1513&amp;AB1513&amp;AC1513&amp;AD1513&amp;AE1513&amp;AF1513&amp;AG1513</f>
        <v/>
      </c>
      <c r="N1513" s="10">
        <f>TEXT($B$6,"00")</f>
        <v/>
      </c>
      <c r="O1513" s="10">
        <f>REPT(" ",8)</f>
        <v/>
      </c>
      <c r="P1513" s="10">
        <f>RIGHT($B$4,2)</f>
        <v/>
      </c>
      <c r="Q1513" s="10">
        <f>RIGHT($B$5,3)</f>
        <v/>
      </c>
      <c r="R1513" s="10">
        <f>IF(A1513="D",LEFT(UPPER(B1513)&amp;REPT(" ",20),20),REPT(" ",20))</f>
        <v/>
      </c>
      <c r="S1513" s="10">
        <f>IF(A1513="D",LEFT(UPPER(C1513)&amp;REPT(" ",10),10)," ")</f>
        <v/>
      </c>
      <c r="T1513" s="10">
        <f>IF(A1513="D",LEFT(UPPER(D1513)&amp;REPT(" ",2),2)," ")</f>
        <v/>
      </c>
      <c r="U1513" s="10">
        <f>IF(A1513="D",LEFT(UPPER(E1513)&amp;REPT(" ",15),15)," ")</f>
        <v/>
      </c>
      <c r="V1513" s="10">
        <f>REPT(" ",24)</f>
        <v/>
      </c>
      <c r="W1513" s="10">
        <f>IF(A1513="c",LEFT(UPPER(B1513)&amp;REPT(" ",20),20),REPT(" ",20))</f>
        <v/>
      </c>
      <c r="X1513" s="10">
        <f>IF(A1513="C",LEFT(UPPER(C1513)&amp;REPT(" ",10),10)," ")</f>
        <v/>
      </c>
      <c r="Y1513" s="10">
        <f>IF(A1513="C",LEFT(UPPER(D1513)&amp;REPT(" ",2),2)," ")</f>
        <v/>
      </c>
      <c r="Z1513" s="10">
        <f>IF(A1513="C",LEFT(UPPER(E1513)&amp;REPT(" ",15),15)," ")</f>
        <v/>
      </c>
      <c r="AA1513" s="10">
        <f>REPT(" ",8)</f>
        <v/>
      </c>
      <c r="AB1513" s="10">
        <f>REPT(" ",4)</f>
        <v/>
      </c>
      <c r="AC1513" s="10">
        <f>LEFT(UPPER(H1513)&amp;REPT(" ",250),250)</f>
        <v/>
      </c>
      <c r="AD1513" s="10">
        <f>TEXT($G$2,"dd/mm/aaaa")</f>
        <v/>
      </c>
      <c r="AE1513" s="10">
        <f>REPT(" ",10)</f>
        <v/>
      </c>
      <c r="AF1513" s="10">
        <f>REPT(" ",20)</f>
        <v/>
      </c>
      <c r="AG1513" s="54">
        <f>REPT(" ",18-LEN(FIXED(F1513,2,TRUE)))&amp;FIXED(F1513,2,TRUE)</f>
        <v/>
      </c>
      <c r="AH1513" s="10">
        <f>LEN(AC1513)+LEN(AG1513)</f>
        <v/>
      </c>
      <c r="AI1513" s="10">
        <f>LEN(L1513)</f>
        <v/>
      </c>
    </row>
    <row r="1514">
      <c r="J1514" s="12">
        <f>IF(F1514&lt;&gt;0,"LANÇAR","")</f>
        <v/>
      </c>
      <c r="L1514" s="13">
        <f>N1514&amp;O1514&amp;P1514&amp;Q1514&amp;R1514&amp;S1514&amp;T1514&amp;U1514&amp;V1514&amp;W1514&amp;X1514&amp;Y1514&amp;Z1514&amp;AA1514&amp;AB1514&amp;AC1514&amp;AD1514&amp;AE1514&amp;AF1514&amp;AG1514</f>
        <v/>
      </c>
      <c r="N1514" s="10">
        <f>TEXT($B$6,"00")</f>
        <v/>
      </c>
      <c r="O1514" s="10">
        <f>REPT(" ",8)</f>
        <v/>
      </c>
      <c r="P1514" s="10">
        <f>RIGHT($B$4,2)</f>
        <v/>
      </c>
      <c r="Q1514" s="10">
        <f>RIGHT($B$5,3)</f>
        <v/>
      </c>
      <c r="R1514" s="10">
        <f>IF(A1514="D",LEFT(UPPER(B1514)&amp;REPT(" ",20),20),REPT(" ",20))</f>
        <v/>
      </c>
      <c r="S1514" s="10">
        <f>IF(A1514="D",LEFT(UPPER(C1514)&amp;REPT(" ",10),10)," ")</f>
        <v/>
      </c>
      <c r="T1514" s="10">
        <f>IF(A1514="D",LEFT(UPPER(D1514)&amp;REPT(" ",2),2)," ")</f>
        <v/>
      </c>
      <c r="U1514" s="10">
        <f>IF(A1514="D",LEFT(UPPER(E1514)&amp;REPT(" ",15),15)," ")</f>
        <v/>
      </c>
      <c r="V1514" s="10">
        <f>REPT(" ",24)</f>
        <v/>
      </c>
      <c r="W1514" s="10">
        <f>IF(A1514="c",LEFT(UPPER(B1514)&amp;REPT(" ",20),20),REPT(" ",20))</f>
        <v/>
      </c>
      <c r="X1514" s="10">
        <f>IF(A1514="C",LEFT(UPPER(C1514)&amp;REPT(" ",10),10)," ")</f>
        <v/>
      </c>
      <c r="Y1514" s="10">
        <f>IF(A1514="C",LEFT(UPPER(D1514)&amp;REPT(" ",2),2)," ")</f>
        <v/>
      </c>
      <c r="Z1514" s="10">
        <f>IF(A1514="C",LEFT(UPPER(E1514)&amp;REPT(" ",15),15)," ")</f>
        <v/>
      </c>
      <c r="AA1514" s="10">
        <f>REPT(" ",8)</f>
        <v/>
      </c>
      <c r="AB1514" s="10">
        <f>REPT(" ",4)</f>
        <v/>
      </c>
      <c r="AC1514" s="10">
        <f>LEFT(UPPER(H1514)&amp;REPT(" ",250),250)</f>
        <v/>
      </c>
      <c r="AD1514" s="10">
        <f>TEXT($G$2,"dd/mm/aaaa")</f>
        <v/>
      </c>
      <c r="AE1514" s="10">
        <f>REPT(" ",10)</f>
        <v/>
      </c>
      <c r="AF1514" s="10">
        <f>REPT(" ",20)</f>
        <v/>
      </c>
      <c r="AG1514" s="54">
        <f>REPT(" ",18-LEN(FIXED(F1514,2,TRUE)))&amp;FIXED(F1514,2,TRUE)</f>
        <v/>
      </c>
      <c r="AH1514" s="10">
        <f>LEN(AC1514)+LEN(AG1514)</f>
        <v/>
      </c>
      <c r="AI1514" s="10">
        <f>LEN(L1514)</f>
        <v/>
      </c>
    </row>
    <row r="1515">
      <c r="J1515" s="12">
        <f>IF(F1515&lt;&gt;0,"LANÇAR","")</f>
        <v/>
      </c>
      <c r="L1515" s="13">
        <f>N1515&amp;O1515&amp;P1515&amp;Q1515&amp;R1515&amp;S1515&amp;T1515&amp;U1515&amp;V1515&amp;W1515&amp;X1515&amp;Y1515&amp;Z1515&amp;AA1515&amp;AB1515&amp;AC1515&amp;AD1515&amp;AE1515&amp;AF1515&amp;AG1515</f>
        <v/>
      </c>
      <c r="N1515" s="10">
        <f>TEXT($B$6,"00")</f>
        <v/>
      </c>
      <c r="O1515" s="10">
        <f>REPT(" ",8)</f>
        <v/>
      </c>
      <c r="P1515" s="10">
        <f>RIGHT($B$4,2)</f>
        <v/>
      </c>
      <c r="Q1515" s="10">
        <f>RIGHT($B$5,3)</f>
        <v/>
      </c>
      <c r="R1515" s="10">
        <f>IF(A1515="D",LEFT(UPPER(B1515)&amp;REPT(" ",20),20),REPT(" ",20))</f>
        <v/>
      </c>
      <c r="S1515" s="10">
        <f>IF(A1515="D",LEFT(UPPER(C1515)&amp;REPT(" ",10),10)," ")</f>
        <v/>
      </c>
      <c r="T1515" s="10">
        <f>IF(A1515="D",LEFT(UPPER(D1515)&amp;REPT(" ",2),2)," ")</f>
        <v/>
      </c>
      <c r="U1515" s="10">
        <f>IF(A1515="D",LEFT(UPPER(E1515)&amp;REPT(" ",15),15)," ")</f>
        <v/>
      </c>
      <c r="V1515" s="10">
        <f>REPT(" ",24)</f>
        <v/>
      </c>
      <c r="W1515" s="10">
        <f>IF(A1515="c",LEFT(UPPER(B1515)&amp;REPT(" ",20),20),REPT(" ",20))</f>
        <v/>
      </c>
      <c r="X1515" s="10">
        <f>IF(A1515="C",LEFT(UPPER(C1515)&amp;REPT(" ",10),10)," ")</f>
        <v/>
      </c>
      <c r="Y1515" s="10">
        <f>IF(A1515="C",LEFT(UPPER(D1515)&amp;REPT(" ",2),2)," ")</f>
        <v/>
      </c>
      <c r="Z1515" s="10">
        <f>IF(A1515="C",LEFT(UPPER(E1515)&amp;REPT(" ",15),15)," ")</f>
        <v/>
      </c>
      <c r="AA1515" s="10">
        <f>REPT(" ",8)</f>
        <v/>
      </c>
      <c r="AB1515" s="10">
        <f>REPT(" ",4)</f>
        <v/>
      </c>
      <c r="AC1515" s="10">
        <f>LEFT(UPPER(H1515)&amp;REPT(" ",250),250)</f>
        <v/>
      </c>
      <c r="AD1515" s="10">
        <f>TEXT($G$2,"dd/mm/aaaa")</f>
        <v/>
      </c>
      <c r="AE1515" s="10">
        <f>REPT(" ",10)</f>
        <v/>
      </c>
      <c r="AF1515" s="10">
        <f>REPT(" ",20)</f>
        <v/>
      </c>
      <c r="AG1515" s="54">
        <f>REPT(" ",18-LEN(FIXED(F1515,2,TRUE)))&amp;FIXED(F1515,2,TRUE)</f>
        <v/>
      </c>
      <c r="AH1515" s="10">
        <f>LEN(AC1515)+LEN(AG1515)</f>
        <v/>
      </c>
      <c r="AI1515" s="10">
        <f>LEN(L1515)</f>
        <v/>
      </c>
    </row>
    <row r="1516">
      <c r="J1516" s="12">
        <f>IF(F1516&lt;&gt;0,"LANÇAR","")</f>
        <v/>
      </c>
      <c r="L1516" s="13">
        <f>N1516&amp;O1516&amp;P1516&amp;Q1516&amp;R1516&amp;S1516&amp;T1516&amp;U1516&amp;V1516&amp;W1516&amp;X1516&amp;Y1516&amp;Z1516&amp;AA1516&amp;AB1516&amp;AC1516&amp;AD1516&amp;AE1516&amp;AF1516&amp;AG1516</f>
        <v/>
      </c>
      <c r="N1516" s="10">
        <f>TEXT($B$6,"00")</f>
        <v/>
      </c>
      <c r="O1516" s="10">
        <f>REPT(" ",8)</f>
        <v/>
      </c>
      <c r="P1516" s="10">
        <f>RIGHT($B$4,2)</f>
        <v/>
      </c>
      <c r="Q1516" s="10">
        <f>RIGHT($B$5,3)</f>
        <v/>
      </c>
      <c r="R1516" s="10">
        <f>IF(A1516="D",LEFT(UPPER(B1516)&amp;REPT(" ",20),20),REPT(" ",20))</f>
        <v/>
      </c>
      <c r="S1516" s="10">
        <f>IF(A1516="D",LEFT(UPPER(C1516)&amp;REPT(" ",10),10)," ")</f>
        <v/>
      </c>
      <c r="T1516" s="10">
        <f>IF(A1516="D",LEFT(UPPER(D1516)&amp;REPT(" ",2),2)," ")</f>
        <v/>
      </c>
      <c r="U1516" s="10">
        <f>IF(A1516="D",LEFT(UPPER(E1516)&amp;REPT(" ",15),15)," ")</f>
        <v/>
      </c>
      <c r="V1516" s="10">
        <f>REPT(" ",24)</f>
        <v/>
      </c>
      <c r="W1516" s="10">
        <f>IF(A1516="c",LEFT(UPPER(B1516)&amp;REPT(" ",20),20),REPT(" ",20))</f>
        <v/>
      </c>
      <c r="X1516" s="10">
        <f>IF(A1516="C",LEFT(UPPER(C1516)&amp;REPT(" ",10),10)," ")</f>
        <v/>
      </c>
      <c r="Y1516" s="10">
        <f>IF(A1516="C",LEFT(UPPER(D1516)&amp;REPT(" ",2),2)," ")</f>
        <v/>
      </c>
      <c r="Z1516" s="10">
        <f>IF(A1516="C",LEFT(UPPER(E1516)&amp;REPT(" ",15),15)," ")</f>
        <v/>
      </c>
      <c r="AA1516" s="10">
        <f>REPT(" ",8)</f>
        <v/>
      </c>
      <c r="AB1516" s="10">
        <f>REPT(" ",4)</f>
        <v/>
      </c>
      <c r="AC1516" s="10">
        <f>LEFT(UPPER(H1516)&amp;REPT(" ",250),250)</f>
        <v/>
      </c>
      <c r="AD1516" s="10">
        <f>TEXT($G$2,"dd/mm/aaaa")</f>
        <v/>
      </c>
      <c r="AE1516" s="10">
        <f>REPT(" ",10)</f>
        <v/>
      </c>
      <c r="AF1516" s="10">
        <f>REPT(" ",20)</f>
        <v/>
      </c>
      <c r="AG1516" s="54">
        <f>REPT(" ",18-LEN(FIXED(F1516,2,TRUE)))&amp;FIXED(F1516,2,TRUE)</f>
        <v/>
      </c>
      <c r="AH1516" s="10">
        <f>LEN(AC1516)+LEN(AG1516)</f>
        <v/>
      </c>
      <c r="AI1516" s="10">
        <f>LEN(L1516)</f>
        <v/>
      </c>
    </row>
    <row r="1517">
      <c r="J1517" s="12">
        <f>IF(F1517&lt;&gt;0,"LANÇAR","")</f>
        <v/>
      </c>
      <c r="L1517" s="13">
        <f>N1517&amp;O1517&amp;P1517&amp;Q1517&amp;R1517&amp;S1517&amp;T1517&amp;U1517&amp;V1517&amp;W1517&amp;X1517&amp;Y1517&amp;Z1517&amp;AA1517&amp;AB1517&amp;AC1517&amp;AD1517&amp;AE1517&amp;AF1517&amp;AG1517</f>
        <v/>
      </c>
      <c r="N1517" s="10">
        <f>TEXT($B$6,"00")</f>
        <v/>
      </c>
      <c r="O1517" s="10">
        <f>REPT(" ",8)</f>
        <v/>
      </c>
      <c r="P1517" s="10">
        <f>RIGHT($B$4,2)</f>
        <v/>
      </c>
      <c r="Q1517" s="10">
        <f>RIGHT($B$5,3)</f>
        <v/>
      </c>
      <c r="R1517" s="10">
        <f>IF(A1517="D",LEFT(UPPER(B1517)&amp;REPT(" ",20),20),REPT(" ",20))</f>
        <v/>
      </c>
      <c r="S1517" s="10">
        <f>IF(A1517="D",LEFT(UPPER(C1517)&amp;REPT(" ",10),10)," ")</f>
        <v/>
      </c>
      <c r="T1517" s="10">
        <f>IF(A1517="D",LEFT(UPPER(D1517)&amp;REPT(" ",2),2)," ")</f>
        <v/>
      </c>
      <c r="U1517" s="10">
        <f>IF(A1517="D",LEFT(UPPER(E1517)&amp;REPT(" ",15),15)," ")</f>
        <v/>
      </c>
      <c r="V1517" s="10">
        <f>REPT(" ",24)</f>
        <v/>
      </c>
      <c r="W1517" s="10">
        <f>IF(A1517="c",LEFT(UPPER(B1517)&amp;REPT(" ",20),20),REPT(" ",20))</f>
        <v/>
      </c>
      <c r="X1517" s="10">
        <f>IF(A1517="C",LEFT(UPPER(C1517)&amp;REPT(" ",10),10)," ")</f>
        <v/>
      </c>
      <c r="Y1517" s="10">
        <f>IF(A1517="C",LEFT(UPPER(D1517)&amp;REPT(" ",2),2)," ")</f>
        <v/>
      </c>
      <c r="Z1517" s="10">
        <f>IF(A1517="C",LEFT(UPPER(E1517)&amp;REPT(" ",15),15)," ")</f>
        <v/>
      </c>
      <c r="AA1517" s="10">
        <f>REPT(" ",8)</f>
        <v/>
      </c>
      <c r="AB1517" s="10">
        <f>REPT(" ",4)</f>
        <v/>
      </c>
      <c r="AC1517" s="10">
        <f>LEFT(UPPER(H1517)&amp;REPT(" ",250),250)</f>
        <v/>
      </c>
      <c r="AD1517" s="10">
        <f>TEXT($G$2,"dd/mm/aaaa")</f>
        <v/>
      </c>
      <c r="AE1517" s="10">
        <f>REPT(" ",10)</f>
        <v/>
      </c>
      <c r="AF1517" s="10">
        <f>REPT(" ",20)</f>
        <v/>
      </c>
      <c r="AG1517" s="54">
        <f>REPT(" ",18-LEN(FIXED(F1517,2,TRUE)))&amp;FIXED(F1517,2,TRUE)</f>
        <v/>
      </c>
      <c r="AH1517" s="10">
        <f>LEN(AC1517)+LEN(AG1517)</f>
        <v/>
      </c>
      <c r="AI1517" s="10">
        <f>LEN(L1517)</f>
        <v/>
      </c>
    </row>
    <row r="1518">
      <c r="J1518" s="12">
        <f>IF(F1518&lt;&gt;0,"LANÇAR","")</f>
        <v/>
      </c>
      <c r="L1518" s="13">
        <f>N1518&amp;O1518&amp;P1518&amp;Q1518&amp;R1518&amp;S1518&amp;T1518&amp;U1518&amp;V1518&amp;W1518&amp;X1518&amp;Y1518&amp;Z1518&amp;AA1518&amp;AB1518&amp;AC1518&amp;AD1518&amp;AE1518&amp;AF1518&amp;AG1518</f>
        <v/>
      </c>
      <c r="N1518" s="10">
        <f>TEXT($B$6,"00")</f>
        <v/>
      </c>
      <c r="O1518" s="10">
        <f>REPT(" ",8)</f>
        <v/>
      </c>
      <c r="P1518" s="10">
        <f>RIGHT($B$4,2)</f>
        <v/>
      </c>
      <c r="Q1518" s="10">
        <f>RIGHT($B$5,3)</f>
        <v/>
      </c>
      <c r="R1518" s="10">
        <f>IF(A1518="D",LEFT(UPPER(B1518)&amp;REPT(" ",20),20),REPT(" ",20))</f>
        <v/>
      </c>
      <c r="S1518" s="10">
        <f>IF(A1518="D",LEFT(UPPER(C1518)&amp;REPT(" ",10),10)," ")</f>
        <v/>
      </c>
      <c r="T1518" s="10">
        <f>IF(A1518="D",LEFT(UPPER(D1518)&amp;REPT(" ",2),2)," ")</f>
        <v/>
      </c>
      <c r="U1518" s="10">
        <f>IF(A1518="D",LEFT(UPPER(E1518)&amp;REPT(" ",15),15)," ")</f>
        <v/>
      </c>
      <c r="V1518" s="10">
        <f>REPT(" ",24)</f>
        <v/>
      </c>
      <c r="W1518" s="10">
        <f>IF(A1518="c",LEFT(UPPER(B1518)&amp;REPT(" ",20),20),REPT(" ",20))</f>
        <v/>
      </c>
      <c r="X1518" s="10">
        <f>IF(A1518="C",LEFT(UPPER(C1518)&amp;REPT(" ",10),10)," ")</f>
        <v/>
      </c>
      <c r="Y1518" s="10">
        <f>IF(A1518="C",LEFT(UPPER(D1518)&amp;REPT(" ",2),2)," ")</f>
        <v/>
      </c>
      <c r="Z1518" s="10">
        <f>IF(A1518="C",LEFT(UPPER(E1518)&amp;REPT(" ",15),15)," ")</f>
        <v/>
      </c>
      <c r="AA1518" s="10">
        <f>REPT(" ",8)</f>
        <v/>
      </c>
      <c r="AB1518" s="10">
        <f>REPT(" ",4)</f>
        <v/>
      </c>
      <c r="AC1518" s="10">
        <f>LEFT(UPPER(H1518)&amp;REPT(" ",250),250)</f>
        <v/>
      </c>
      <c r="AD1518" s="10">
        <f>TEXT($G$2,"dd/mm/aaaa")</f>
        <v/>
      </c>
      <c r="AE1518" s="10">
        <f>REPT(" ",10)</f>
        <v/>
      </c>
      <c r="AF1518" s="10">
        <f>REPT(" ",20)</f>
        <v/>
      </c>
      <c r="AG1518" s="54">
        <f>REPT(" ",18-LEN(FIXED(F1518,2,TRUE)))&amp;FIXED(F1518,2,TRUE)</f>
        <v/>
      </c>
      <c r="AH1518" s="10">
        <f>LEN(AC1518)+LEN(AG1518)</f>
        <v/>
      </c>
      <c r="AI1518" s="10">
        <f>LEN(L1518)</f>
        <v/>
      </c>
    </row>
    <row r="1519">
      <c r="J1519" s="12">
        <f>IF(F1519&lt;&gt;0,"LANÇAR","")</f>
        <v/>
      </c>
      <c r="L1519" s="13">
        <f>N1519&amp;O1519&amp;P1519&amp;Q1519&amp;R1519&amp;S1519&amp;T1519&amp;U1519&amp;V1519&amp;W1519&amp;X1519&amp;Y1519&amp;Z1519&amp;AA1519&amp;AB1519&amp;AC1519&amp;AD1519&amp;AE1519&amp;AF1519&amp;AG1519</f>
        <v/>
      </c>
      <c r="N1519" s="10">
        <f>TEXT($B$6,"00")</f>
        <v/>
      </c>
      <c r="O1519" s="10">
        <f>REPT(" ",8)</f>
        <v/>
      </c>
      <c r="P1519" s="10">
        <f>RIGHT($B$4,2)</f>
        <v/>
      </c>
      <c r="Q1519" s="10">
        <f>RIGHT($B$5,3)</f>
        <v/>
      </c>
      <c r="R1519" s="10">
        <f>IF(A1519="D",LEFT(UPPER(B1519)&amp;REPT(" ",20),20),REPT(" ",20))</f>
        <v/>
      </c>
      <c r="S1519" s="10">
        <f>IF(A1519="D",LEFT(UPPER(C1519)&amp;REPT(" ",10),10)," ")</f>
        <v/>
      </c>
      <c r="T1519" s="10">
        <f>IF(A1519="D",LEFT(UPPER(D1519)&amp;REPT(" ",2),2)," ")</f>
        <v/>
      </c>
      <c r="U1519" s="10">
        <f>IF(A1519="D",LEFT(UPPER(E1519)&amp;REPT(" ",15),15)," ")</f>
        <v/>
      </c>
      <c r="V1519" s="10">
        <f>REPT(" ",24)</f>
        <v/>
      </c>
      <c r="W1519" s="10">
        <f>IF(A1519="c",LEFT(UPPER(B1519)&amp;REPT(" ",20),20),REPT(" ",20))</f>
        <v/>
      </c>
      <c r="X1519" s="10">
        <f>IF(A1519="C",LEFT(UPPER(C1519)&amp;REPT(" ",10),10)," ")</f>
        <v/>
      </c>
      <c r="Y1519" s="10">
        <f>IF(A1519="C",LEFT(UPPER(D1519)&amp;REPT(" ",2),2)," ")</f>
        <v/>
      </c>
      <c r="Z1519" s="10">
        <f>IF(A1519="C",LEFT(UPPER(E1519)&amp;REPT(" ",15),15)," ")</f>
        <v/>
      </c>
      <c r="AA1519" s="10">
        <f>REPT(" ",8)</f>
        <v/>
      </c>
      <c r="AB1519" s="10">
        <f>REPT(" ",4)</f>
        <v/>
      </c>
      <c r="AC1519" s="10">
        <f>LEFT(UPPER(H1519)&amp;REPT(" ",250),250)</f>
        <v/>
      </c>
      <c r="AD1519" s="10">
        <f>TEXT($G$2,"dd/mm/aaaa")</f>
        <v/>
      </c>
      <c r="AE1519" s="10">
        <f>REPT(" ",10)</f>
        <v/>
      </c>
      <c r="AF1519" s="10">
        <f>REPT(" ",20)</f>
        <v/>
      </c>
      <c r="AG1519" s="54">
        <f>REPT(" ",18-LEN(FIXED(F1519,2,TRUE)))&amp;FIXED(F1519,2,TRUE)</f>
        <v/>
      </c>
      <c r="AH1519" s="10">
        <f>LEN(AC1519)+LEN(AG1519)</f>
        <v/>
      </c>
      <c r="AI1519" s="10">
        <f>LEN(L1519)</f>
        <v/>
      </c>
    </row>
    <row r="1520">
      <c r="J1520" s="12">
        <f>IF(F1520&lt;&gt;0,"LANÇAR","")</f>
        <v/>
      </c>
      <c r="L1520" s="13">
        <f>N1520&amp;O1520&amp;P1520&amp;Q1520&amp;R1520&amp;S1520&amp;T1520&amp;U1520&amp;V1520&amp;W1520&amp;X1520&amp;Y1520&amp;Z1520&amp;AA1520&amp;AB1520&amp;AC1520&amp;AD1520&amp;AE1520&amp;AF1520&amp;AG1520</f>
        <v/>
      </c>
      <c r="N1520" s="10">
        <f>TEXT($B$6,"00")</f>
        <v/>
      </c>
      <c r="O1520" s="10">
        <f>REPT(" ",8)</f>
        <v/>
      </c>
      <c r="P1520" s="10">
        <f>RIGHT($B$4,2)</f>
        <v/>
      </c>
      <c r="Q1520" s="10">
        <f>RIGHT($B$5,3)</f>
        <v/>
      </c>
      <c r="R1520" s="10">
        <f>IF(A1520="D",LEFT(UPPER(B1520)&amp;REPT(" ",20),20),REPT(" ",20))</f>
        <v/>
      </c>
      <c r="S1520" s="10">
        <f>IF(A1520="D",LEFT(UPPER(C1520)&amp;REPT(" ",10),10)," ")</f>
        <v/>
      </c>
      <c r="T1520" s="10">
        <f>IF(A1520="D",LEFT(UPPER(D1520)&amp;REPT(" ",2),2)," ")</f>
        <v/>
      </c>
      <c r="U1520" s="10">
        <f>IF(A1520="D",LEFT(UPPER(E1520)&amp;REPT(" ",15),15)," ")</f>
        <v/>
      </c>
      <c r="V1520" s="10">
        <f>REPT(" ",24)</f>
        <v/>
      </c>
      <c r="W1520" s="10">
        <f>IF(A1520="c",LEFT(UPPER(B1520)&amp;REPT(" ",20),20),REPT(" ",20))</f>
        <v/>
      </c>
      <c r="X1520" s="10">
        <f>IF(A1520="C",LEFT(UPPER(C1520)&amp;REPT(" ",10),10)," ")</f>
        <v/>
      </c>
      <c r="Y1520" s="10">
        <f>IF(A1520="C",LEFT(UPPER(D1520)&amp;REPT(" ",2),2)," ")</f>
        <v/>
      </c>
      <c r="Z1520" s="10">
        <f>IF(A1520="C",LEFT(UPPER(E1520)&amp;REPT(" ",15),15)," ")</f>
        <v/>
      </c>
      <c r="AA1520" s="10">
        <f>REPT(" ",8)</f>
        <v/>
      </c>
      <c r="AB1520" s="10">
        <f>REPT(" ",4)</f>
        <v/>
      </c>
      <c r="AC1520" s="10">
        <f>LEFT(UPPER(H1520)&amp;REPT(" ",250),250)</f>
        <v/>
      </c>
      <c r="AD1520" s="10">
        <f>TEXT($G$2,"dd/mm/aaaa")</f>
        <v/>
      </c>
      <c r="AE1520" s="10">
        <f>REPT(" ",10)</f>
        <v/>
      </c>
      <c r="AF1520" s="10">
        <f>REPT(" ",20)</f>
        <v/>
      </c>
      <c r="AG1520" s="54">
        <f>REPT(" ",18-LEN(FIXED(F1520,2,TRUE)))&amp;FIXED(F1520,2,TRUE)</f>
        <v/>
      </c>
      <c r="AH1520" s="10">
        <f>LEN(AC1520)+LEN(AG1520)</f>
        <v/>
      </c>
      <c r="AI1520" s="10">
        <f>LEN(L1520)</f>
        <v/>
      </c>
    </row>
    <row r="1521">
      <c r="J1521" s="12">
        <f>IF(F1521&lt;&gt;0,"LANÇAR","")</f>
        <v/>
      </c>
      <c r="L1521" s="13">
        <f>N1521&amp;O1521&amp;P1521&amp;Q1521&amp;R1521&amp;S1521&amp;T1521&amp;U1521&amp;V1521&amp;W1521&amp;X1521&amp;Y1521&amp;Z1521&amp;AA1521&amp;AB1521&amp;AC1521&amp;AD1521&amp;AE1521&amp;AF1521&amp;AG1521</f>
        <v/>
      </c>
      <c r="N1521" s="10">
        <f>TEXT($B$6,"00")</f>
        <v/>
      </c>
      <c r="O1521" s="10">
        <f>REPT(" ",8)</f>
        <v/>
      </c>
      <c r="P1521" s="10">
        <f>RIGHT($B$4,2)</f>
        <v/>
      </c>
      <c r="Q1521" s="10">
        <f>RIGHT($B$5,3)</f>
        <v/>
      </c>
      <c r="R1521" s="10">
        <f>IF(A1521="D",LEFT(UPPER(B1521)&amp;REPT(" ",20),20),REPT(" ",20))</f>
        <v/>
      </c>
      <c r="S1521" s="10">
        <f>IF(A1521="D",LEFT(UPPER(C1521)&amp;REPT(" ",10),10)," ")</f>
        <v/>
      </c>
      <c r="T1521" s="10">
        <f>IF(A1521="D",LEFT(UPPER(D1521)&amp;REPT(" ",2),2)," ")</f>
        <v/>
      </c>
      <c r="U1521" s="10">
        <f>IF(A1521="D",LEFT(UPPER(E1521)&amp;REPT(" ",15),15)," ")</f>
        <v/>
      </c>
      <c r="V1521" s="10">
        <f>REPT(" ",24)</f>
        <v/>
      </c>
      <c r="W1521" s="10">
        <f>IF(A1521="c",LEFT(UPPER(B1521)&amp;REPT(" ",20),20),REPT(" ",20))</f>
        <v/>
      </c>
      <c r="X1521" s="10">
        <f>IF(A1521="C",LEFT(UPPER(C1521)&amp;REPT(" ",10),10)," ")</f>
        <v/>
      </c>
      <c r="Y1521" s="10">
        <f>IF(A1521="C",LEFT(UPPER(D1521)&amp;REPT(" ",2),2)," ")</f>
        <v/>
      </c>
      <c r="Z1521" s="10">
        <f>IF(A1521="C",LEFT(UPPER(E1521)&amp;REPT(" ",15),15)," ")</f>
        <v/>
      </c>
      <c r="AA1521" s="10">
        <f>REPT(" ",8)</f>
        <v/>
      </c>
      <c r="AB1521" s="10">
        <f>REPT(" ",4)</f>
        <v/>
      </c>
      <c r="AC1521" s="10">
        <f>LEFT(UPPER(H1521)&amp;REPT(" ",250),250)</f>
        <v/>
      </c>
      <c r="AD1521" s="10">
        <f>TEXT($G$2,"dd/mm/aaaa")</f>
        <v/>
      </c>
      <c r="AE1521" s="10">
        <f>REPT(" ",10)</f>
        <v/>
      </c>
      <c r="AF1521" s="10">
        <f>REPT(" ",20)</f>
        <v/>
      </c>
      <c r="AG1521" s="54">
        <f>REPT(" ",18-LEN(FIXED(F1521,2,TRUE)))&amp;FIXED(F1521,2,TRUE)</f>
        <v/>
      </c>
      <c r="AH1521" s="10">
        <f>LEN(AC1521)+LEN(AG1521)</f>
        <v/>
      </c>
      <c r="AI1521" s="10">
        <f>LEN(L1521)</f>
        <v/>
      </c>
    </row>
    <row r="1522">
      <c r="J1522" s="12">
        <f>IF(F1522&lt;&gt;0,"LANÇAR","")</f>
        <v/>
      </c>
      <c r="L1522" s="13">
        <f>N1522&amp;O1522&amp;P1522&amp;Q1522&amp;R1522&amp;S1522&amp;T1522&amp;U1522&amp;V1522&amp;W1522&amp;X1522&amp;Y1522&amp;Z1522&amp;AA1522&amp;AB1522&amp;AC1522&amp;AD1522&amp;AE1522&amp;AF1522&amp;AG1522</f>
        <v/>
      </c>
      <c r="N1522" s="10">
        <f>TEXT($B$6,"00")</f>
        <v/>
      </c>
      <c r="O1522" s="10">
        <f>REPT(" ",8)</f>
        <v/>
      </c>
      <c r="P1522" s="10">
        <f>RIGHT($B$4,2)</f>
        <v/>
      </c>
      <c r="Q1522" s="10">
        <f>RIGHT($B$5,3)</f>
        <v/>
      </c>
      <c r="R1522" s="10">
        <f>IF(A1522="D",LEFT(UPPER(B1522)&amp;REPT(" ",20),20),REPT(" ",20))</f>
        <v/>
      </c>
      <c r="S1522" s="10">
        <f>IF(A1522="D",LEFT(UPPER(C1522)&amp;REPT(" ",10),10)," ")</f>
        <v/>
      </c>
      <c r="T1522" s="10">
        <f>IF(A1522="D",LEFT(UPPER(D1522)&amp;REPT(" ",2),2)," ")</f>
        <v/>
      </c>
      <c r="U1522" s="10">
        <f>IF(A1522="D",LEFT(UPPER(E1522)&amp;REPT(" ",15),15)," ")</f>
        <v/>
      </c>
      <c r="V1522" s="10">
        <f>REPT(" ",24)</f>
        <v/>
      </c>
      <c r="W1522" s="10">
        <f>IF(A1522="c",LEFT(UPPER(B1522)&amp;REPT(" ",20),20),REPT(" ",20))</f>
        <v/>
      </c>
      <c r="X1522" s="10">
        <f>IF(A1522="C",LEFT(UPPER(C1522)&amp;REPT(" ",10),10)," ")</f>
        <v/>
      </c>
      <c r="Y1522" s="10">
        <f>IF(A1522="C",LEFT(UPPER(D1522)&amp;REPT(" ",2),2)," ")</f>
        <v/>
      </c>
      <c r="Z1522" s="10">
        <f>IF(A1522="C",LEFT(UPPER(E1522)&amp;REPT(" ",15),15)," ")</f>
        <v/>
      </c>
      <c r="AA1522" s="10">
        <f>REPT(" ",8)</f>
        <v/>
      </c>
      <c r="AB1522" s="10">
        <f>REPT(" ",4)</f>
        <v/>
      </c>
      <c r="AC1522" s="10">
        <f>LEFT(UPPER(H1522)&amp;REPT(" ",250),250)</f>
        <v/>
      </c>
      <c r="AD1522" s="10">
        <f>TEXT($G$2,"dd/mm/aaaa")</f>
        <v/>
      </c>
      <c r="AE1522" s="10">
        <f>REPT(" ",10)</f>
        <v/>
      </c>
      <c r="AF1522" s="10">
        <f>REPT(" ",20)</f>
        <v/>
      </c>
      <c r="AG1522" s="54">
        <f>REPT(" ",18-LEN(FIXED(F1522,2,TRUE)))&amp;FIXED(F1522,2,TRUE)</f>
        <v/>
      </c>
      <c r="AH1522" s="10">
        <f>LEN(AC1522)+LEN(AG1522)</f>
        <v/>
      </c>
      <c r="AI1522" s="10">
        <f>LEN(L1522)</f>
        <v/>
      </c>
    </row>
    <row r="1523">
      <c r="J1523" s="12">
        <f>IF(F1523&lt;&gt;0,"LANÇAR","")</f>
        <v/>
      </c>
      <c r="L1523" s="13">
        <f>N1523&amp;O1523&amp;P1523&amp;Q1523&amp;R1523&amp;S1523&amp;T1523&amp;U1523&amp;V1523&amp;W1523&amp;X1523&amp;Y1523&amp;Z1523&amp;AA1523&amp;AB1523&amp;AC1523&amp;AD1523&amp;AE1523&amp;AF1523&amp;AG1523</f>
        <v/>
      </c>
      <c r="N1523" s="10">
        <f>TEXT($B$6,"00")</f>
        <v/>
      </c>
      <c r="O1523" s="10">
        <f>REPT(" ",8)</f>
        <v/>
      </c>
      <c r="P1523" s="10">
        <f>RIGHT($B$4,2)</f>
        <v/>
      </c>
      <c r="Q1523" s="10">
        <f>RIGHT($B$5,3)</f>
        <v/>
      </c>
      <c r="R1523" s="10">
        <f>IF(A1523="D",LEFT(UPPER(B1523)&amp;REPT(" ",20),20),REPT(" ",20))</f>
        <v/>
      </c>
      <c r="S1523" s="10">
        <f>IF(A1523="D",LEFT(UPPER(C1523)&amp;REPT(" ",10),10)," ")</f>
        <v/>
      </c>
      <c r="T1523" s="10">
        <f>IF(A1523="D",LEFT(UPPER(D1523)&amp;REPT(" ",2),2)," ")</f>
        <v/>
      </c>
      <c r="U1523" s="10">
        <f>IF(A1523="D",LEFT(UPPER(E1523)&amp;REPT(" ",15),15)," ")</f>
        <v/>
      </c>
      <c r="V1523" s="10">
        <f>REPT(" ",24)</f>
        <v/>
      </c>
      <c r="W1523" s="10">
        <f>IF(A1523="c",LEFT(UPPER(B1523)&amp;REPT(" ",20),20),REPT(" ",20))</f>
        <v/>
      </c>
      <c r="X1523" s="10">
        <f>IF(A1523="C",LEFT(UPPER(C1523)&amp;REPT(" ",10),10)," ")</f>
        <v/>
      </c>
      <c r="Y1523" s="10">
        <f>IF(A1523="C",LEFT(UPPER(D1523)&amp;REPT(" ",2),2)," ")</f>
        <v/>
      </c>
      <c r="Z1523" s="10">
        <f>IF(A1523="C",LEFT(UPPER(E1523)&amp;REPT(" ",15),15)," ")</f>
        <v/>
      </c>
      <c r="AA1523" s="10">
        <f>REPT(" ",8)</f>
        <v/>
      </c>
      <c r="AB1523" s="10">
        <f>REPT(" ",4)</f>
        <v/>
      </c>
      <c r="AC1523" s="10">
        <f>LEFT(UPPER(H1523)&amp;REPT(" ",250),250)</f>
        <v/>
      </c>
      <c r="AD1523" s="10">
        <f>TEXT($G$2,"dd/mm/aaaa")</f>
        <v/>
      </c>
      <c r="AE1523" s="10">
        <f>REPT(" ",10)</f>
        <v/>
      </c>
      <c r="AF1523" s="10">
        <f>REPT(" ",20)</f>
        <v/>
      </c>
      <c r="AG1523" s="54">
        <f>REPT(" ",18-LEN(FIXED(F1523,2,TRUE)))&amp;FIXED(F1523,2,TRUE)</f>
        <v/>
      </c>
      <c r="AH1523" s="10">
        <f>LEN(AC1523)+LEN(AG1523)</f>
        <v/>
      </c>
      <c r="AI1523" s="10">
        <f>LEN(L1523)</f>
        <v/>
      </c>
    </row>
    <row r="1524">
      <c r="J1524" s="12">
        <f>IF(F1524&lt;&gt;0,"LANÇAR","")</f>
        <v/>
      </c>
      <c r="L1524" s="13">
        <f>N1524&amp;O1524&amp;P1524&amp;Q1524&amp;R1524&amp;S1524&amp;T1524&amp;U1524&amp;V1524&amp;W1524&amp;X1524&amp;Y1524&amp;Z1524&amp;AA1524&amp;AB1524&amp;AC1524&amp;AD1524&amp;AE1524&amp;AF1524&amp;AG1524</f>
        <v/>
      </c>
      <c r="N1524" s="10">
        <f>TEXT($B$6,"00")</f>
        <v/>
      </c>
      <c r="O1524" s="10">
        <f>REPT(" ",8)</f>
        <v/>
      </c>
      <c r="P1524" s="10">
        <f>RIGHT($B$4,2)</f>
        <v/>
      </c>
      <c r="Q1524" s="10">
        <f>RIGHT($B$5,3)</f>
        <v/>
      </c>
      <c r="R1524" s="10">
        <f>IF(A1524="D",LEFT(UPPER(B1524)&amp;REPT(" ",20),20),REPT(" ",20))</f>
        <v/>
      </c>
      <c r="S1524" s="10">
        <f>IF(A1524="D",LEFT(UPPER(C1524)&amp;REPT(" ",10),10)," ")</f>
        <v/>
      </c>
      <c r="T1524" s="10">
        <f>IF(A1524="D",LEFT(UPPER(D1524)&amp;REPT(" ",2),2)," ")</f>
        <v/>
      </c>
      <c r="U1524" s="10">
        <f>IF(A1524="D",LEFT(UPPER(E1524)&amp;REPT(" ",15),15)," ")</f>
        <v/>
      </c>
      <c r="V1524" s="10">
        <f>REPT(" ",24)</f>
        <v/>
      </c>
      <c r="W1524" s="10">
        <f>IF(A1524="c",LEFT(UPPER(B1524)&amp;REPT(" ",20),20),REPT(" ",20))</f>
        <v/>
      </c>
      <c r="X1524" s="10">
        <f>IF(A1524="C",LEFT(UPPER(C1524)&amp;REPT(" ",10),10)," ")</f>
        <v/>
      </c>
      <c r="Y1524" s="10">
        <f>IF(A1524="C",LEFT(UPPER(D1524)&amp;REPT(" ",2),2)," ")</f>
        <v/>
      </c>
      <c r="Z1524" s="10">
        <f>IF(A1524="C",LEFT(UPPER(E1524)&amp;REPT(" ",15),15)," ")</f>
        <v/>
      </c>
      <c r="AA1524" s="10">
        <f>REPT(" ",8)</f>
        <v/>
      </c>
      <c r="AB1524" s="10">
        <f>REPT(" ",4)</f>
        <v/>
      </c>
      <c r="AC1524" s="10">
        <f>LEFT(UPPER(H1524)&amp;REPT(" ",250),250)</f>
        <v/>
      </c>
      <c r="AD1524" s="10">
        <f>TEXT($G$2,"dd/mm/aaaa")</f>
        <v/>
      </c>
      <c r="AE1524" s="10">
        <f>REPT(" ",10)</f>
        <v/>
      </c>
      <c r="AF1524" s="10">
        <f>REPT(" ",20)</f>
        <v/>
      </c>
      <c r="AG1524" s="54">
        <f>REPT(" ",18-LEN(FIXED(F1524,2,TRUE)))&amp;FIXED(F1524,2,TRUE)</f>
        <v/>
      </c>
      <c r="AH1524" s="10">
        <f>LEN(AC1524)+LEN(AG1524)</f>
        <v/>
      </c>
      <c r="AI1524" s="10">
        <f>LEN(L1524)</f>
        <v/>
      </c>
    </row>
    <row r="1525">
      <c r="J1525" s="12">
        <f>IF(F1525&lt;&gt;0,"LANÇAR","")</f>
        <v/>
      </c>
      <c r="L1525" s="13">
        <f>N1525&amp;O1525&amp;P1525&amp;Q1525&amp;R1525&amp;S1525&amp;T1525&amp;U1525&amp;V1525&amp;W1525&amp;X1525&amp;Y1525&amp;Z1525&amp;AA1525&amp;AB1525&amp;AC1525&amp;AD1525&amp;AE1525&amp;AF1525&amp;AG1525</f>
        <v/>
      </c>
      <c r="N1525" s="10">
        <f>TEXT($B$6,"00")</f>
        <v/>
      </c>
      <c r="O1525" s="10">
        <f>REPT(" ",8)</f>
        <v/>
      </c>
      <c r="P1525" s="10">
        <f>RIGHT($B$4,2)</f>
        <v/>
      </c>
      <c r="Q1525" s="10">
        <f>RIGHT($B$5,3)</f>
        <v/>
      </c>
      <c r="R1525" s="10">
        <f>IF(A1525="D",LEFT(UPPER(B1525)&amp;REPT(" ",20),20),REPT(" ",20))</f>
        <v/>
      </c>
      <c r="S1525" s="10">
        <f>IF(A1525="D",LEFT(UPPER(C1525)&amp;REPT(" ",10),10)," ")</f>
        <v/>
      </c>
      <c r="T1525" s="10">
        <f>IF(A1525="D",LEFT(UPPER(D1525)&amp;REPT(" ",2),2)," ")</f>
        <v/>
      </c>
      <c r="U1525" s="10">
        <f>IF(A1525="D",LEFT(UPPER(E1525)&amp;REPT(" ",15),15)," ")</f>
        <v/>
      </c>
      <c r="V1525" s="10">
        <f>REPT(" ",24)</f>
        <v/>
      </c>
      <c r="W1525" s="10">
        <f>IF(A1525="c",LEFT(UPPER(B1525)&amp;REPT(" ",20),20),REPT(" ",20))</f>
        <v/>
      </c>
      <c r="X1525" s="10">
        <f>IF(A1525="C",LEFT(UPPER(C1525)&amp;REPT(" ",10),10)," ")</f>
        <v/>
      </c>
      <c r="Y1525" s="10">
        <f>IF(A1525="C",LEFT(UPPER(D1525)&amp;REPT(" ",2),2)," ")</f>
        <v/>
      </c>
      <c r="Z1525" s="10">
        <f>IF(A1525="C",LEFT(UPPER(E1525)&amp;REPT(" ",15),15)," ")</f>
        <v/>
      </c>
      <c r="AA1525" s="10">
        <f>REPT(" ",8)</f>
        <v/>
      </c>
      <c r="AB1525" s="10">
        <f>REPT(" ",4)</f>
        <v/>
      </c>
      <c r="AC1525" s="10">
        <f>LEFT(UPPER(H1525)&amp;REPT(" ",250),250)</f>
        <v/>
      </c>
      <c r="AD1525" s="10">
        <f>TEXT($G$2,"dd/mm/aaaa")</f>
        <v/>
      </c>
      <c r="AE1525" s="10">
        <f>REPT(" ",10)</f>
        <v/>
      </c>
      <c r="AF1525" s="10">
        <f>REPT(" ",20)</f>
        <v/>
      </c>
      <c r="AG1525" s="54">
        <f>REPT(" ",18-LEN(FIXED(F1525,2,TRUE)))&amp;FIXED(F1525,2,TRUE)</f>
        <v/>
      </c>
      <c r="AH1525" s="10">
        <f>LEN(AC1525)+LEN(AG1525)</f>
        <v/>
      </c>
      <c r="AI1525" s="10">
        <f>LEN(L1525)</f>
        <v/>
      </c>
    </row>
    <row r="1526">
      <c r="J1526" s="12">
        <f>IF(F1526&lt;&gt;0,"LANÇAR","")</f>
        <v/>
      </c>
      <c r="L1526" s="13">
        <f>N1526&amp;O1526&amp;P1526&amp;Q1526&amp;R1526&amp;S1526&amp;T1526&amp;U1526&amp;V1526&amp;W1526&amp;X1526&amp;Y1526&amp;Z1526&amp;AA1526&amp;AB1526&amp;AC1526&amp;AD1526&amp;AE1526&amp;AF1526&amp;AG1526</f>
        <v/>
      </c>
      <c r="N1526" s="10">
        <f>TEXT($B$6,"00")</f>
        <v/>
      </c>
      <c r="O1526" s="10">
        <f>REPT(" ",8)</f>
        <v/>
      </c>
      <c r="P1526" s="10">
        <f>RIGHT($B$4,2)</f>
        <v/>
      </c>
      <c r="Q1526" s="10">
        <f>RIGHT($B$5,3)</f>
        <v/>
      </c>
      <c r="R1526" s="10">
        <f>IF(A1526="D",LEFT(UPPER(B1526)&amp;REPT(" ",20),20),REPT(" ",20))</f>
        <v/>
      </c>
      <c r="S1526" s="10">
        <f>IF(A1526="D",LEFT(UPPER(C1526)&amp;REPT(" ",10),10)," ")</f>
        <v/>
      </c>
      <c r="T1526" s="10">
        <f>IF(A1526="D",LEFT(UPPER(D1526)&amp;REPT(" ",2),2)," ")</f>
        <v/>
      </c>
      <c r="U1526" s="10">
        <f>IF(A1526="D",LEFT(UPPER(E1526)&amp;REPT(" ",15),15)," ")</f>
        <v/>
      </c>
      <c r="V1526" s="10">
        <f>REPT(" ",24)</f>
        <v/>
      </c>
      <c r="W1526" s="10">
        <f>IF(A1526="c",LEFT(UPPER(B1526)&amp;REPT(" ",20),20),REPT(" ",20))</f>
        <v/>
      </c>
      <c r="X1526" s="10">
        <f>IF(A1526="C",LEFT(UPPER(C1526)&amp;REPT(" ",10),10)," ")</f>
        <v/>
      </c>
      <c r="Y1526" s="10">
        <f>IF(A1526="C",LEFT(UPPER(D1526)&amp;REPT(" ",2),2)," ")</f>
        <v/>
      </c>
      <c r="Z1526" s="10">
        <f>IF(A1526="C",LEFT(UPPER(E1526)&amp;REPT(" ",15),15)," ")</f>
        <v/>
      </c>
      <c r="AA1526" s="10">
        <f>REPT(" ",8)</f>
        <v/>
      </c>
      <c r="AB1526" s="10">
        <f>REPT(" ",4)</f>
        <v/>
      </c>
      <c r="AC1526" s="10">
        <f>LEFT(UPPER(H1526)&amp;REPT(" ",250),250)</f>
        <v/>
      </c>
      <c r="AD1526" s="10">
        <f>TEXT($G$2,"dd/mm/aaaa")</f>
        <v/>
      </c>
      <c r="AE1526" s="10">
        <f>REPT(" ",10)</f>
        <v/>
      </c>
      <c r="AF1526" s="10">
        <f>REPT(" ",20)</f>
        <v/>
      </c>
      <c r="AG1526" s="54">
        <f>REPT(" ",18-LEN(FIXED(F1526,2,TRUE)))&amp;FIXED(F1526,2,TRUE)</f>
        <v/>
      </c>
      <c r="AH1526" s="10">
        <f>LEN(AC1526)+LEN(AG1526)</f>
        <v/>
      </c>
      <c r="AI1526" s="10">
        <f>LEN(L1526)</f>
        <v/>
      </c>
    </row>
    <row r="1527">
      <c r="J1527" s="12">
        <f>IF(F1527&lt;&gt;0,"LANÇAR","")</f>
        <v/>
      </c>
      <c r="L1527" s="13">
        <f>N1527&amp;O1527&amp;P1527&amp;Q1527&amp;R1527&amp;S1527&amp;T1527&amp;U1527&amp;V1527&amp;W1527&amp;X1527&amp;Y1527&amp;Z1527&amp;AA1527&amp;AB1527&amp;AC1527&amp;AD1527&amp;AE1527&amp;AF1527&amp;AG1527</f>
        <v/>
      </c>
      <c r="N1527" s="10">
        <f>TEXT($B$6,"00")</f>
        <v/>
      </c>
      <c r="O1527" s="10">
        <f>REPT(" ",8)</f>
        <v/>
      </c>
      <c r="P1527" s="10">
        <f>RIGHT($B$4,2)</f>
        <v/>
      </c>
      <c r="Q1527" s="10">
        <f>RIGHT($B$5,3)</f>
        <v/>
      </c>
      <c r="R1527" s="10">
        <f>IF(A1527="D",LEFT(UPPER(B1527)&amp;REPT(" ",20),20),REPT(" ",20))</f>
        <v/>
      </c>
      <c r="S1527" s="10">
        <f>IF(A1527="D",LEFT(UPPER(C1527)&amp;REPT(" ",10),10)," ")</f>
        <v/>
      </c>
      <c r="T1527" s="10">
        <f>IF(A1527="D",LEFT(UPPER(D1527)&amp;REPT(" ",2),2)," ")</f>
        <v/>
      </c>
      <c r="U1527" s="10">
        <f>IF(A1527="D",LEFT(UPPER(E1527)&amp;REPT(" ",15),15)," ")</f>
        <v/>
      </c>
      <c r="V1527" s="10">
        <f>REPT(" ",24)</f>
        <v/>
      </c>
      <c r="W1527" s="10">
        <f>IF(A1527="c",LEFT(UPPER(B1527)&amp;REPT(" ",20),20),REPT(" ",20))</f>
        <v/>
      </c>
      <c r="X1527" s="10">
        <f>IF(A1527="C",LEFT(UPPER(C1527)&amp;REPT(" ",10),10)," ")</f>
        <v/>
      </c>
      <c r="Y1527" s="10">
        <f>IF(A1527="C",LEFT(UPPER(D1527)&amp;REPT(" ",2),2)," ")</f>
        <v/>
      </c>
      <c r="Z1527" s="10">
        <f>IF(A1527="C",LEFT(UPPER(E1527)&amp;REPT(" ",15),15)," ")</f>
        <v/>
      </c>
      <c r="AA1527" s="10">
        <f>REPT(" ",8)</f>
        <v/>
      </c>
      <c r="AB1527" s="10">
        <f>REPT(" ",4)</f>
        <v/>
      </c>
      <c r="AC1527" s="10">
        <f>LEFT(UPPER(H1527)&amp;REPT(" ",250),250)</f>
        <v/>
      </c>
      <c r="AD1527" s="10">
        <f>TEXT($G$2,"dd/mm/aaaa")</f>
        <v/>
      </c>
      <c r="AE1527" s="10">
        <f>REPT(" ",10)</f>
        <v/>
      </c>
      <c r="AF1527" s="10">
        <f>REPT(" ",20)</f>
        <v/>
      </c>
      <c r="AG1527" s="54">
        <f>REPT(" ",18-LEN(FIXED(F1527,2,TRUE)))&amp;FIXED(F1527,2,TRUE)</f>
        <v/>
      </c>
      <c r="AH1527" s="10">
        <f>LEN(AC1527)+LEN(AG1527)</f>
        <v/>
      </c>
      <c r="AI1527" s="10">
        <f>LEN(L1527)</f>
        <v/>
      </c>
    </row>
    <row r="1528">
      <c r="J1528" s="12">
        <f>IF(F1528&lt;&gt;0,"LANÇAR","")</f>
        <v/>
      </c>
      <c r="L1528" s="13">
        <f>N1528&amp;O1528&amp;P1528&amp;Q1528&amp;R1528&amp;S1528&amp;T1528&amp;U1528&amp;V1528&amp;W1528&amp;X1528&amp;Y1528&amp;Z1528&amp;AA1528&amp;AB1528&amp;AC1528&amp;AD1528&amp;AE1528&amp;AF1528&amp;AG1528</f>
        <v/>
      </c>
      <c r="N1528" s="10">
        <f>TEXT($B$6,"00")</f>
        <v/>
      </c>
      <c r="O1528" s="10">
        <f>REPT(" ",8)</f>
        <v/>
      </c>
      <c r="P1528" s="10">
        <f>RIGHT($B$4,2)</f>
        <v/>
      </c>
      <c r="Q1528" s="10">
        <f>RIGHT($B$5,3)</f>
        <v/>
      </c>
      <c r="R1528" s="10">
        <f>IF(A1528="D",LEFT(UPPER(B1528)&amp;REPT(" ",20),20),REPT(" ",20))</f>
        <v/>
      </c>
      <c r="S1528" s="10">
        <f>IF(A1528="D",LEFT(UPPER(C1528)&amp;REPT(" ",10),10)," ")</f>
        <v/>
      </c>
      <c r="T1528" s="10">
        <f>IF(A1528="D",LEFT(UPPER(D1528)&amp;REPT(" ",2),2)," ")</f>
        <v/>
      </c>
      <c r="U1528" s="10">
        <f>IF(A1528="D",LEFT(UPPER(E1528)&amp;REPT(" ",15),15)," ")</f>
        <v/>
      </c>
      <c r="V1528" s="10">
        <f>REPT(" ",24)</f>
        <v/>
      </c>
      <c r="W1528" s="10">
        <f>IF(A1528="c",LEFT(UPPER(B1528)&amp;REPT(" ",20),20),REPT(" ",20))</f>
        <v/>
      </c>
      <c r="X1528" s="10">
        <f>IF(A1528="C",LEFT(UPPER(C1528)&amp;REPT(" ",10),10)," ")</f>
        <v/>
      </c>
      <c r="Y1528" s="10">
        <f>IF(A1528="C",LEFT(UPPER(D1528)&amp;REPT(" ",2),2)," ")</f>
        <v/>
      </c>
      <c r="Z1528" s="10">
        <f>IF(A1528="C",LEFT(UPPER(E1528)&amp;REPT(" ",15),15)," ")</f>
        <v/>
      </c>
      <c r="AA1528" s="10">
        <f>REPT(" ",8)</f>
        <v/>
      </c>
      <c r="AB1528" s="10">
        <f>REPT(" ",4)</f>
        <v/>
      </c>
      <c r="AC1528" s="10">
        <f>LEFT(UPPER(H1528)&amp;REPT(" ",250),250)</f>
        <v/>
      </c>
      <c r="AD1528" s="10">
        <f>TEXT($G$2,"dd/mm/aaaa")</f>
        <v/>
      </c>
      <c r="AE1528" s="10">
        <f>REPT(" ",10)</f>
        <v/>
      </c>
      <c r="AF1528" s="10">
        <f>REPT(" ",20)</f>
        <v/>
      </c>
      <c r="AG1528" s="54">
        <f>REPT(" ",18-LEN(FIXED(F1528,2,TRUE)))&amp;FIXED(F1528,2,TRUE)</f>
        <v/>
      </c>
      <c r="AH1528" s="10">
        <f>LEN(AC1528)+LEN(AG1528)</f>
        <v/>
      </c>
      <c r="AI1528" s="10">
        <f>LEN(L1528)</f>
        <v/>
      </c>
    </row>
    <row r="1529">
      <c r="J1529" s="12">
        <f>IF(F1529&lt;&gt;0,"LANÇAR","")</f>
        <v/>
      </c>
      <c r="L1529" s="13">
        <f>N1529&amp;O1529&amp;P1529&amp;Q1529&amp;R1529&amp;S1529&amp;T1529&amp;U1529&amp;V1529&amp;W1529&amp;X1529&amp;Y1529&amp;Z1529&amp;AA1529&amp;AB1529&amp;AC1529&amp;AD1529&amp;AE1529&amp;AF1529&amp;AG1529</f>
        <v/>
      </c>
      <c r="N1529" s="10">
        <f>TEXT($B$6,"00")</f>
        <v/>
      </c>
      <c r="O1529" s="10">
        <f>REPT(" ",8)</f>
        <v/>
      </c>
      <c r="P1529" s="10">
        <f>RIGHT($B$4,2)</f>
        <v/>
      </c>
      <c r="Q1529" s="10">
        <f>RIGHT($B$5,3)</f>
        <v/>
      </c>
      <c r="R1529" s="10">
        <f>IF(A1529="D",LEFT(UPPER(B1529)&amp;REPT(" ",20),20),REPT(" ",20))</f>
        <v/>
      </c>
      <c r="S1529" s="10">
        <f>IF(A1529="D",LEFT(UPPER(C1529)&amp;REPT(" ",10),10)," ")</f>
        <v/>
      </c>
      <c r="T1529" s="10">
        <f>IF(A1529="D",LEFT(UPPER(D1529)&amp;REPT(" ",2),2)," ")</f>
        <v/>
      </c>
      <c r="U1529" s="10">
        <f>IF(A1529="D",LEFT(UPPER(E1529)&amp;REPT(" ",15),15)," ")</f>
        <v/>
      </c>
      <c r="V1529" s="10">
        <f>REPT(" ",24)</f>
        <v/>
      </c>
      <c r="W1529" s="10">
        <f>IF(A1529="c",LEFT(UPPER(B1529)&amp;REPT(" ",20),20),REPT(" ",20))</f>
        <v/>
      </c>
      <c r="X1529" s="10">
        <f>IF(A1529="C",LEFT(UPPER(C1529)&amp;REPT(" ",10),10)," ")</f>
        <v/>
      </c>
      <c r="Y1529" s="10">
        <f>IF(A1529="C",LEFT(UPPER(D1529)&amp;REPT(" ",2),2)," ")</f>
        <v/>
      </c>
      <c r="Z1529" s="10">
        <f>IF(A1529="C",LEFT(UPPER(E1529)&amp;REPT(" ",15),15)," ")</f>
        <v/>
      </c>
      <c r="AA1529" s="10">
        <f>REPT(" ",8)</f>
        <v/>
      </c>
      <c r="AB1529" s="10">
        <f>REPT(" ",4)</f>
        <v/>
      </c>
      <c r="AC1529" s="10">
        <f>LEFT(UPPER(H1529)&amp;REPT(" ",250),250)</f>
        <v/>
      </c>
      <c r="AD1529" s="10">
        <f>TEXT($G$2,"dd/mm/aaaa")</f>
        <v/>
      </c>
      <c r="AE1529" s="10">
        <f>REPT(" ",10)</f>
        <v/>
      </c>
      <c r="AF1529" s="10">
        <f>REPT(" ",20)</f>
        <v/>
      </c>
      <c r="AG1529" s="54">
        <f>REPT(" ",18-LEN(FIXED(F1529,2,TRUE)))&amp;FIXED(F1529,2,TRUE)</f>
        <v/>
      </c>
      <c r="AH1529" s="10">
        <f>LEN(AC1529)+LEN(AG1529)</f>
        <v/>
      </c>
      <c r="AI1529" s="10">
        <f>LEN(L1529)</f>
        <v/>
      </c>
    </row>
    <row r="1530">
      <c r="J1530" s="12">
        <f>IF(F1530&lt;&gt;0,"LANÇAR","")</f>
        <v/>
      </c>
      <c r="L1530" s="13">
        <f>N1530&amp;O1530&amp;P1530&amp;Q1530&amp;R1530&amp;S1530&amp;T1530&amp;U1530&amp;V1530&amp;W1530&amp;X1530&amp;Y1530&amp;Z1530&amp;AA1530&amp;AB1530&amp;AC1530&amp;AD1530&amp;AE1530&amp;AF1530&amp;AG1530</f>
        <v/>
      </c>
      <c r="N1530" s="10">
        <f>TEXT($B$6,"00")</f>
        <v/>
      </c>
      <c r="O1530" s="10">
        <f>REPT(" ",8)</f>
        <v/>
      </c>
      <c r="P1530" s="10">
        <f>RIGHT($B$4,2)</f>
        <v/>
      </c>
      <c r="Q1530" s="10">
        <f>RIGHT($B$5,3)</f>
        <v/>
      </c>
      <c r="R1530" s="10">
        <f>IF(A1530="D",LEFT(UPPER(B1530)&amp;REPT(" ",20),20),REPT(" ",20))</f>
        <v/>
      </c>
      <c r="S1530" s="10">
        <f>IF(A1530="D",LEFT(UPPER(C1530)&amp;REPT(" ",10),10)," ")</f>
        <v/>
      </c>
      <c r="T1530" s="10">
        <f>IF(A1530="D",LEFT(UPPER(D1530)&amp;REPT(" ",2),2)," ")</f>
        <v/>
      </c>
      <c r="U1530" s="10">
        <f>IF(A1530="D",LEFT(UPPER(E1530)&amp;REPT(" ",15),15)," ")</f>
        <v/>
      </c>
      <c r="V1530" s="10">
        <f>REPT(" ",24)</f>
        <v/>
      </c>
      <c r="W1530" s="10">
        <f>IF(A1530="c",LEFT(UPPER(B1530)&amp;REPT(" ",20),20),REPT(" ",20))</f>
        <v/>
      </c>
      <c r="X1530" s="10">
        <f>IF(A1530="C",LEFT(UPPER(C1530)&amp;REPT(" ",10),10)," ")</f>
        <v/>
      </c>
      <c r="Y1530" s="10">
        <f>IF(A1530="C",LEFT(UPPER(D1530)&amp;REPT(" ",2),2)," ")</f>
        <v/>
      </c>
      <c r="Z1530" s="10">
        <f>IF(A1530="C",LEFT(UPPER(E1530)&amp;REPT(" ",15),15)," ")</f>
        <v/>
      </c>
      <c r="AA1530" s="10">
        <f>REPT(" ",8)</f>
        <v/>
      </c>
      <c r="AB1530" s="10">
        <f>REPT(" ",4)</f>
        <v/>
      </c>
      <c r="AC1530" s="10">
        <f>LEFT(UPPER(H1530)&amp;REPT(" ",250),250)</f>
        <v/>
      </c>
      <c r="AD1530" s="10">
        <f>TEXT($G$2,"dd/mm/aaaa")</f>
        <v/>
      </c>
      <c r="AE1530" s="10">
        <f>REPT(" ",10)</f>
        <v/>
      </c>
      <c r="AF1530" s="10">
        <f>REPT(" ",20)</f>
        <v/>
      </c>
      <c r="AG1530" s="54">
        <f>REPT(" ",18-LEN(FIXED(F1530,2,TRUE)))&amp;FIXED(F1530,2,TRUE)</f>
        <v/>
      </c>
      <c r="AH1530" s="10">
        <f>LEN(AC1530)+LEN(AG1530)</f>
        <v/>
      </c>
      <c r="AI1530" s="10">
        <f>LEN(L1530)</f>
        <v/>
      </c>
    </row>
    <row r="1531">
      <c r="J1531" s="12">
        <f>IF(F1531&lt;&gt;0,"LANÇAR","")</f>
        <v/>
      </c>
      <c r="L1531" s="13">
        <f>N1531&amp;O1531&amp;P1531&amp;Q1531&amp;R1531&amp;S1531&amp;T1531&amp;U1531&amp;V1531&amp;W1531&amp;X1531&amp;Y1531&amp;Z1531&amp;AA1531&amp;AB1531&amp;AC1531&amp;AD1531&amp;AE1531&amp;AF1531&amp;AG1531</f>
        <v/>
      </c>
      <c r="N1531" s="10">
        <f>TEXT($B$6,"00")</f>
        <v/>
      </c>
      <c r="O1531" s="10">
        <f>REPT(" ",8)</f>
        <v/>
      </c>
      <c r="P1531" s="10">
        <f>RIGHT($B$4,2)</f>
        <v/>
      </c>
      <c r="Q1531" s="10">
        <f>RIGHT($B$5,3)</f>
        <v/>
      </c>
      <c r="R1531" s="10">
        <f>IF(A1531="D",LEFT(UPPER(B1531)&amp;REPT(" ",20),20),REPT(" ",20))</f>
        <v/>
      </c>
      <c r="S1531" s="10">
        <f>IF(A1531="D",LEFT(UPPER(C1531)&amp;REPT(" ",10),10)," ")</f>
        <v/>
      </c>
      <c r="T1531" s="10">
        <f>IF(A1531="D",LEFT(UPPER(D1531)&amp;REPT(" ",2),2)," ")</f>
        <v/>
      </c>
      <c r="U1531" s="10">
        <f>IF(A1531="D",LEFT(UPPER(E1531)&amp;REPT(" ",15),15)," ")</f>
        <v/>
      </c>
      <c r="V1531" s="10">
        <f>REPT(" ",24)</f>
        <v/>
      </c>
      <c r="W1531" s="10">
        <f>IF(A1531="c",LEFT(UPPER(B1531)&amp;REPT(" ",20),20),REPT(" ",20))</f>
        <v/>
      </c>
      <c r="X1531" s="10">
        <f>IF(A1531="C",LEFT(UPPER(C1531)&amp;REPT(" ",10),10)," ")</f>
        <v/>
      </c>
      <c r="Y1531" s="10">
        <f>IF(A1531="C",LEFT(UPPER(D1531)&amp;REPT(" ",2),2)," ")</f>
        <v/>
      </c>
      <c r="Z1531" s="10">
        <f>IF(A1531="C",LEFT(UPPER(E1531)&amp;REPT(" ",15),15)," ")</f>
        <v/>
      </c>
      <c r="AA1531" s="10">
        <f>REPT(" ",8)</f>
        <v/>
      </c>
      <c r="AB1531" s="10">
        <f>REPT(" ",4)</f>
        <v/>
      </c>
      <c r="AC1531" s="10">
        <f>LEFT(UPPER(H1531)&amp;REPT(" ",250),250)</f>
        <v/>
      </c>
      <c r="AD1531" s="10">
        <f>TEXT($G$2,"dd/mm/aaaa")</f>
        <v/>
      </c>
      <c r="AE1531" s="10">
        <f>REPT(" ",10)</f>
        <v/>
      </c>
      <c r="AF1531" s="10">
        <f>REPT(" ",20)</f>
        <v/>
      </c>
      <c r="AG1531" s="54">
        <f>REPT(" ",18-LEN(FIXED(F1531,2,TRUE)))&amp;FIXED(F1531,2,TRUE)</f>
        <v/>
      </c>
      <c r="AH1531" s="10">
        <f>LEN(AC1531)+LEN(AG1531)</f>
        <v/>
      </c>
      <c r="AI1531" s="10">
        <f>LEN(L1531)</f>
        <v/>
      </c>
    </row>
    <row r="1532">
      <c r="J1532" s="12">
        <f>IF(F1532&lt;&gt;0,"LANÇAR","")</f>
        <v/>
      </c>
      <c r="L1532" s="13">
        <f>N1532&amp;O1532&amp;P1532&amp;Q1532&amp;R1532&amp;S1532&amp;T1532&amp;U1532&amp;V1532&amp;W1532&amp;X1532&amp;Y1532&amp;Z1532&amp;AA1532&amp;AB1532&amp;AC1532&amp;AD1532&amp;AE1532&amp;AF1532&amp;AG1532</f>
        <v/>
      </c>
      <c r="N1532" s="10">
        <f>TEXT($B$6,"00")</f>
        <v/>
      </c>
      <c r="O1532" s="10">
        <f>REPT(" ",8)</f>
        <v/>
      </c>
      <c r="P1532" s="10">
        <f>RIGHT($B$4,2)</f>
        <v/>
      </c>
      <c r="Q1532" s="10">
        <f>RIGHT($B$5,3)</f>
        <v/>
      </c>
      <c r="R1532" s="10">
        <f>IF(A1532="D",LEFT(UPPER(B1532)&amp;REPT(" ",20),20),REPT(" ",20))</f>
        <v/>
      </c>
      <c r="S1532" s="10">
        <f>IF(A1532="D",LEFT(UPPER(C1532)&amp;REPT(" ",10),10)," ")</f>
        <v/>
      </c>
      <c r="T1532" s="10">
        <f>IF(A1532="D",LEFT(UPPER(D1532)&amp;REPT(" ",2),2)," ")</f>
        <v/>
      </c>
      <c r="U1532" s="10">
        <f>IF(A1532="D",LEFT(UPPER(E1532)&amp;REPT(" ",15),15)," ")</f>
        <v/>
      </c>
      <c r="V1532" s="10">
        <f>REPT(" ",24)</f>
        <v/>
      </c>
      <c r="W1532" s="10">
        <f>IF(A1532="c",LEFT(UPPER(B1532)&amp;REPT(" ",20),20),REPT(" ",20))</f>
        <v/>
      </c>
      <c r="X1532" s="10">
        <f>IF(A1532="C",LEFT(UPPER(C1532)&amp;REPT(" ",10),10)," ")</f>
        <v/>
      </c>
      <c r="Y1532" s="10">
        <f>IF(A1532="C",LEFT(UPPER(D1532)&amp;REPT(" ",2),2)," ")</f>
        <v/>
      </c>
      <c r="Z1532" s="10">
        <f>IF(A1532="C",LEFT(UPPER(E1532)&amp;REPT(" ",15),15)," ")</f>
        <v/>
      </c>
      <c r="AA1532" s="10">
        <f>REPT(" ",8)</f>
        <v/>
      </c>
      <c r="AB1532" s="10">
        <f>REPT(" ",4)</f>
        <v/>
      </c>
      <c r="AC1532" s="10">
        <f>LEFT(UPPER(H1532)&amp;REPT(" ",250),250)</f>
        <v/>
      </c>
      <c r="AD1532" s="10">
        <f>TEXT($G$2,"dd/mm/aaaa")</f>
        <v/>
      </c>
      <c r="AE1532" s="10">
        <f>REPT(" ",10)</f>
        <v/>
      </c>
      <c r="AF1532" s="10">
        <f>REPT(" ",20)</f>
        <v/>
      </c>
      <c r="AG1532" s="54">
        <f>REPT(" ",18-LEN(FIXED(F1532,2,TRUE)))&amp;FIXED(F1532,2,TRUE)</f>
        <v/>
      </c>
      <c r="AH1532" s="10">
        <f>LEN(AC1532)+LEN(AG1532)</f>
        <v/>
      </c>
      <c r="AI1532" s="10">
        <f>LEN(L1532)</f>
        <v/>
      </c>
    </row>
    <row r="1533">
      <c r="J1533" s="12">
        <f>IF(F1533&lt;&gt;0,"LANÇAR","")</f>
        <v/>
      </c>
      <c r="L1533" s="13">
        <f>N1533&amp;O1533&amp;P1533&amp;Q1533&amp;R1533&amp;S1533&amp;T1533&amp;U1533&amp;V1533&amp;W1533&amp;X1533&amp;Y1533&amp;Z1533&amp;AA1533&amp;AB1533&amp;AC1533&amp;AD1533&amp;AE1533&amp;AF1533&amp;AG1533</f>
        <v/>
      </c>
      <c r="N1533" s="10">
        <f>TEXT($B$6,"00")</f>
        <v/>
      </c>
      <c r="O1533" s="10">
        <f>REPT(" ",8)</f>
        <v/>
      </c>
      <c r="P1533" s="10">
        <f>RIGHT($B$4,2)</f>
        <v/>
      </c>
      <c r="Q1533" s="10">
        <f>RIGHT($B$5,3)</f>
        <v/>
      </c>
      <c r="R1533" s="10">
        <f>IF(A1533="D",LEFT(UPPER(B1533)&amp;REPT(" ",20),20),REPT(" ",20))</f>
        <v/>
      </c>
      <c r="S1533" s="10">
        <f>IF(A1533="D",LEFT(UPPER(C1533)&amp;REPT(" ",10),10)," ")</f>
        <v/>
      </c>
      <c r="T1533" s="10">
        <f>IF(A1533="D",LEFT(UPPER(D1533)&amp;REPT(" ",2),2)," ")</f>
        <v/>
      </c>
      <c r="U1533" s="10">
        <f>IF(A1533="D",LEFT(UPPER(E1533)&amp;REPT(" ",15),15)," ")</f>
        <v/>
      </c>
      <c r="V1533" s="10">
        <f>REPT(" ",24)</f>
        <v/>
      </c>
      <c r="W1533" s="10">
        <f>IF(A1533="c",LEFT(UPPER(B1533)&amp;REPT(" ",20),20),REPT(" ",20))</f>
        <v/>
      </c>
      <c r="X1533" s="10">
        <f>IF(A1533="C",LEFT(UPPER(C1533)&amp;REPT(" ",10),10)," ")</f>
        <v/>
      </c>
      <c r="Y1533" s="10">
        <f>IF(A1533="C",LEFT(UPPER(D1533)&amp;REPT(" ",2),2)," ")</f>
        <v/>
      </c>
      <c r="Z1533" s="10">
        <f>IF(A1533="C",LEFT(UPPER(E1533)&amp;REPT(" ",15),15)," ")</f>
        <v/>
      </c>
      <c r="AA1533" s="10">
        <f>REPT(" ",8)</f>
        <v/>
      </c>
      <c r="AB1533" s="10">
        <f>REPT(" ",4)</f>
        <v/>
      </c>
      <c r="AC1533" s="10">
        <f>LEFT(UPPER(H1533)&amp;REPT(" ",250),250)</f>
        <v/>
      </c>
      <c r="AD1533" s="10">
        <f>TEXT($G$2,"dd/mm/aaaa")</f>
        <v/>
      </c>
      <c r="AE1533" s="10">
        <f>REPT(" ",10)</f>
        <v/>
      </c>
      <c r="AF1533" s="10">
        <f>REPT(" ",20)</f>
        <v/>
      </c>
      <c r="AG1533" s="54">
        <f>REPT(" ",18-LEN(FIXED(F1533,2,TRUE)))&amp;FIXED(F1533,2,TRUE)</f>
        <v/>
      </c>
      <c r="AH1533" s="10">
        <f>LEN(AC1533)+LEN(AG1533)</f>
        <v/>
      </c>
      <c r="AI1533" s="10">
        <f>LEN(L1533)</f>
        <v/>
      </c>
    </row>
    <row r="1534">
      <c r="J1534" s="12">
        <f>IF(F1534&lt;&gt;0,"LANÇAR","")</f>
        <v/>
      </c>
      <c r="L1534" s="13">
        <f>N1534&amp;O1534&amp;P1534&amp;Q1534&amp;R1534&amp;S1534&amp;T1534&amp;U1534&amp;V1534&amp;W1534&amp;X1534&amp;Y1534&amp;Z1534&amp;AA1534&amp;AB1534&amp;AC1534&amp;AD1534&amp;AE1534&amp;AF1534&amp;AG1534</f>
        <v/>
      </c>
      <c r="N1534" s="10">
        <f>TEXT($B$6,"00")</f>
        <v/>
      </c>
      <c r="O1534" s="10">
        <f>REPT(" ",8)</f>
        <v/>
      </c>
      <c r="P1534" s="10">
        <f>RIGHT($B$4,2)</f>
        <v/>
      </c>
      <c r="Q1534" s="10">
        <f>RIGHT($B$5,3)</f>
        <v/>
      </c>
      <c r="R1534" s="10">
        <f>IF(A1534="D",LEFT(UPPER(B1534)&amp;REPT(" ",20),20),REPT(" ",20))</f>
        <v/>
      </c>
      <c r="S1534" s="10">
        <f>IF(A1534="D",LEFT(UPPER(C1534)&amp;REPT(" ",10),10)," ")</f>
        <v/>
      </c>
      <c r="T1534" s="10">
        <f>IF(A1534="D",LEFT(UPPER(D1534)&amp;REPT(" ",2),2)," ")</f>
        <v/>
      </c>
      <c r="U1534" s="10">
        <f>IF(A1534="D",LEFT(UPPER(E1534)&amp;REPT(" ",15),15)," ")</f>
        <v/>
      </c>
      <c r="V1534" s="10">
        <f>REPT(" ",24)</f>
        <v/>
      </c>
      <c r="W1534" s="10">
        <f>IF(A1534="c",LEFT(UPPER(B1534)&amp;REPT(" ",20),20),REPT(" ",20))</f>
        <v/>
      </c>
      <c r="X1534" s="10">
        <f>IF(A1534="C",LEFT(UPPER(C1534)&amp;REPT(" ",10),10)," ")</f>
        <v/>
      </c>
      <c r="Y1534" s="10">
        <f>IF(A1534="C",LEFT(UPPER(D1534)&amp;REPT(" ",2),2)," ")</f>
        <v/>
      </c>
      <c r="Z1534" s="10">
        <f>IF(A1534="C",LEFT(UPPER(E1534)&amp;REPT(" ",15),15)," ")</f>
        <v/>
      </c>
      <c r="AA1534" s="10">
        <f>REPT(" ",8)</f>
        <v/>
      </c>
      <c r="AB1534" s="10">
        <f>REPT(" ",4)</f>
        <v/>
      </c>
      <c r="AC1534" s="10">
        <f>LEFT(UPPER(H1534)&amp;REPT(" ",250),250)</f>
        <v/>
      </c>
      <c r="AD1534" s="10">
        <f>TEXT($G$2,"dd/mm/aaaa")</f>
        <v/>
      </c>
      <c r="AE1534" s="10">
        <f>REPT(" ",10)</f>
        <v/>
      </c>
      <c r="AF1534" s="10">
        <f>REPT(" ",20)</f>
        <v/>
      </c>
      <c r="AG1534" s="54">
        <f>REPT(" ",18-LEN(FIXED(F1534,2,TRUE)))&amp;FIXED(F1534,2,TRUE)</f>
        <v/>
      </c>
      <c r="AH1534" s="10">
        <f>LEN(AC1534)+LEN(AG1534)</f>
        <v/>
      </c>
      <c r="AI1534" s="10">
        <f>LEN(L1534)</f>
        <v/>
      </c>
    </row>
    <row r="1535">
      <c r="J1535" s="12">
        <f>IF(F1535&lt;&gt;0,"LANÇAR","")</f>
        <v/>
      </c>
      <c r="L1535" s="13">
        <f>N1535&amp;O1535&amp;P1535&amp;Q1535&amp;R1535&amp;S1535&amp;T1535&amp;U1535&amp;V1535&amp;W1535&amp;X1535&amp;Y1535&amp;Z1535&amp;AA1535&amp;AB1535&amp;AC1535&amp;AD1535&amp;AE1535&amp;AF1535&amp;AG1535</f>
        <v/>
      </c>
      <c r="N1535" s="10">
        <f>TEXT($B$6,"00")</f>
        <v/>
      </c>
      <c r="O1535" s="10">
        <f>REPT(" ",8)</f>
        <v/>
      </c>
      <c r="P1535" s="10">
        <f>RIGHT($B$4,2)</f>
        <v/>
      </c>
      <c r="Q1535" s="10">
        <f>RIGHT($B$5,3)</f>
        <v/>
      </c>
      <c r="R1535" s="10">
        <f>IF(A1535="D",LEFT(UPPER(B1535)&amp;REPT(" ",20),20),REPT(" ",20))</f>
        <v/>
      </c>
      <c r="S1535" s="10">
        <f>IF(A1535="D",LEFT(UPPER(C1535)&amp;REPT(" ",10),10)," ")</f>
        <v/>
      </c>
      <c r="T1535" s="10">
        <f>IF(A1535="D",LEFT(UPPER(D1535)&amp;REPT(" ",2),2)," ")</f>
        <v/>
      </c>
      <c r="U1535" s="10">
        <f>IF(A1535="D",LEFT(UPPER(E1535)&amp;REPT(" ",15),15)," ")</f>
        <v/>
      </c>
      <c r="V1535" s="10">
        <f>REPT(" ",24)</f>
        <v/>
      </c>
      <c r="W1535" s="10">
        <f>IF(A1535="c",LEFT(UPPER(B1535)&amp;REPT(" ",20),20),REPT(" ",20))</f>
        <v/>
      </c>
      <c r="X1535" s="10">
        <f>IF(A1535="C",LEFT(UPPER(C1535)&amp;REPT(" ",10),10)," ")</f>
        <v/>
      </c>
      <c r="Y1535" s="10">
        <f>IF(A1535="C",LEFT(UPPER(D1535)&amp;REPT(" ",2),2)," ")</f>
        <v/>
      </c>
      <c r="Z1535" s="10">
        <f>IF(A1535="C",LEFT(UPPER(E1535)&amp;REPT(" ",15),15)," ")</f>
        <v/>
      </c>
      <c r="AA1535" s="10">
        <f>REPT(" ",8)</f>
        <v/>
      </c>
      <c r="AB1535" s="10">
        <f>REPT(" ",4)</f>
        <v/>
      </c>
      <c r="AC1535" s="10">
        <f>LEFT(UPPER(H1535)&amp;REPT(" ",250),250)</f>
        <v/>
      </c>
      <c r="AD1535" s="10">
        <f>TEXT($G$2,"dd/mm/aaaa")</f>
        <v/>
      </c>
      <c r="AE1535" s="10">
        <f>REPT(" ",10)</f>
        <v/>
      </c>
      <c r="AF1535" s="10">
        <f>REPT(" ",20)</f>
        <v/>
      </c>
      <c r="AG1535" s="54">
        <f>REPT(" ",18-LEN(FIXED(F1535,2,TRUE)))&amp;FIXED(F1535,2,TRUE)</f>
        <v/>
      </c>
      <c r="AH1535" s="10">
        <f>LEN(AC1535)+LEN(AG1535)</f>
        <v/>
      </c>
      <c r="AI1535" s="10">
        <f>LEN(L1535)</f>
        <v/>
      </c>
    </row>
    <row r="1536">
      <c r="J1536" s="12">
        <f>IF(F1536&lt;&gt;0,"LANÇAR","")</f>
        <v/>
      </c>
      <c r="L1536" s="13">
        <f>N1536&amp;O1536&amp;P1536&amp;Q1536&amp;R1536&amp;S1536&amp;T1536&amp;U1536&amp;V1536&amp;W1536&amp;X1536&amp;Y1536&amp;Z1536&amp;AA1536&amp;AB1536&amp;AC1536&amp;AD1536&amp;AE1536&amp;AF1536&amp;AG1536</f>
        <v/>
      </c>
      <c r="N1536" s="10">
        <f>TEXT($B$6,"00")</f>
        <v/>
      </c>
      <c r="O1536" s="10">
        <f>REPT(" ",8)</f>
        <v/>
      </c>
      <c r="P1536" s="10">
        <f>RIGHT($B$4,2)</f>
        <v/>
      </c>
      <c r="Q1536" s="10">
        <f>RIGHT($B$5,3)</f>
        <v/>
      </c>
      <c r="R1536" s="10">
        <f>IF(A1536="D",LEFT(UPPER(B1536)&amp;REPT(" ",20),20),REPT(" ",20))</f>
        <v/>
      </c>
      <c r="S1536" s="10">
        <f>IF(A1536="D",LEFT(UPPER(C1536)&amp;REPT(" ",10),10)," ")</f>
        <v/>
      </c>
      <c r="T1536" s="10">
        <f>IF(A1536="D",LEFT(UPPER(D1536)&amp;REPT(" ",2),2)," ")</f>
        <v/>
      </c>
      <c r="U1536" s="10">
        <f>IF(A1536="D",LEFT(UPPER(E1536)&amp;REPT(" ",15),15)," ")</f>
        <v/>
      </c>
      <c r="V1536" s="10">
        <f>REPT(" ",24)</f>
        <v/>
      </c>
      <c r="W1536" s="10">
        <f>IF(A1536="c",LEFT(UPPER(B1536)&amp;REPT(" ",20),20),REPT(" ",20))</f>
        <v/>
      </c>
      <c r="X1536" s="10">
        <f>IF(A1536="C",LEFT(UPPER(C1536)&amp;REPT(" ",10),10)," ")</f>
        <v/>
      </c>
      <c r="Y1536" s="10">
        <f>IF(A1536="C",LEFT(UPPER(D1536)&amp;REPT(" ",2),2)," ")</f>
        <v/>
      </c>
      <c r="Z1536" s="10">
        <f>IF(A1536="C",LEFT(UPPER(E1536)&amp;REPT(" ",15),15)," ")</f>
        <v/>
      </c>
      <c r="AA1536" s="10">
        <f>REPT(" ",8)</f>
        <v/>
      </c>
      <c r="AB1536" s="10">
        <f>REPT(" ",4)</f>
        <v/>
      </c>
      <c r="AC1536" s="10">
        <f>LEFT(UPPER(H1536)&amp;REPT(" ",250),250)</f>
        <v/>
      </c>
      <c r="AD1536" s="10">
        <f>TEXT($G$2,"dd/mm/aaaa")</f>
        <v/>
      </c>
      <c r="AE1536" s="10">
        <f>REPT(" ",10)</f>
        <v/>
      </c>
      <c r="AF1536" s="10">
        <f>REPT(" ",20)</f>
        <v/>
      </c>
      <c r="AG1536" s="54">
        <f>REPT(" ",18-LEN(FIXED(F1536,2,TRUE)))&amp;FIXED(F1536,2,TRUE)</f>
        <v/>
      </c>
      <c r="AH1536" s="10">
        <f>LEN(AC1536)+LEN(AG1536)</f>
        <v/>
      </c>
      <c r="AI1536" s="10">
        <f>LEN(L1536)</f>
        <v/>
      </c>
    </row>
    <row r="1537">
      <c r="J1537" s="12">
        <f>IF(F1537&lt;&gt;0,"LANÇAR","")</f>
        <v/>
      </c>
      <c r="L1537" s="13">
        <f>N1537&amp;O1537&amp;P1537&amp;Q1537&amp;R1537&amp;S1537&amp;T1537&amp;U1537&amp;V1537&amp;W1537&amp;X1537&amp;Y1537&amp;Z1537&amp;AA1537&amp;AB1537&amp;AC1537&amp;AD1537&amp;AE1537&amp;AF1537&amp;AG1537</f>
        <v/>
      </c>
      <c r="N1537" s="10">
        <f>TEXT($B$6,"00")</f>
        <v/>
      </c>
      <c r="O1537" s="10">
        <f>REPT(" ",8)</f>
        <v/>
      </c>
      <c r="P1537" s="10">
        <f>RIGHT($B$4,2)</f>
        <v/>
      </c>
      <c r="Q1537" s="10">
        <f>RIGHT($B$5,3)</f>
        <v/>
      </c>
      <c r="R1537" s="10">
        <f>IF(A1537="D",LEFT(UPPER(B1537)&amp;REPT(" ",20),20),REPT(" ",20))</f>
        <v/>
      </c>
      <c r="S1537" s="10">
        <f>IF(A1537="D",LEFT(UPPER(C1537)&amp;REPT(" ",10),10)," ")</f>
        <v/>
      </c>
      <c r="T1537" s="10">
        <f>IF(A1537="D",LEFT(UPPER(D1537)&amp;REPT(" ",2),2)," ")</f>
        <v/>
      </c>
      <c r="U1537" s="10">
        <f>IF(A1537="D",LEFT(UPPER(E1537)&amp;REPT(" ",15),15)," ")</f>
        <v/>
      </c>
      <c r="V1537" s="10">
        <f>REPT(" ",24)</f>
        <v/>
      </c>
      <c r="W1537" s="10">
        <f>IF(A1537="c",LEFT(UPPER(B1537)&amp;REPT(" ",20),20),REPT(" ",20))</f>
        <v/>
      </c>
      <c r="X1537" s="10">
        <f>IF(A1537="C",LEFT(UPPER(C1537)&amp;REPT(" ",10),10)," ")</f>
        <v/>
      </c>
      <c r="Y1537" s="10">
        <f>IF(A1537="C",LEFT(UPPER(D1537)&amp;REPT(" ",2),2)," ")</f>
        <v/>
      </c>
      <c r="Z1537" s="10">
        <f>IF(A1537="C",LEFT(UPPER(E1537)&amp;REPT(" ",15),15)," ")</f>
        <v/>
      </c>
      <c r="AA1537" s="10">
        <f>REPT(" ",8)</f>
        <v/>
      </c>
      <c r="AB1537" s="10">
        <f>REPT(" ",4)</f>
        <v/>
      </c>
      <c r="AC1537" s="10">
        <f>LEFT(UPPER(H1537)&amp;REPT(" ",250),250)</f>
        <v/>
      </c>
      <c r="AD1537" s="10">
        <f>TEXT($G$2,"dd/mm/aaaa")</f>
        <v/>
      </c>
      <c r="AE1537" s="10">
        <f>REPT(" ",10)</f>
        <v/>
      </c>
      <c r="AF1537" s="10">
        <f>REPT(" ",20)</f>
        <v/>
      </c>
      <c r="AG1537" s="54">
        <f>REPT(" ",18-LEN(FIXED(F1537,2,TRUE)))&amp;FIXED(F1537,2,TRUE)</f>
        <v/>
      </c>
      <c r="AH1537" s="10">
        <f>LEN(AC1537)+LEN(AG1537)</f>
        <v/>
      </c>
      <c r="AI1537" s="10">
        <f>LEN(L1537)</f>
        <v/>
      </c>
    </row>
    <row r="1538">
      <c r="J1538" s="12">
        <f>IF(F1538&lt;&gt;0,"LANÇAR","")</f>
        <v/>
      </c>
      <c r="L1538" s="13">
        <f>N1538&amp;O1538&amp;P1538&amp;Q1538&amp;R1538&amp;S1538&amp;T1538&amp;U1538&amp;V1538&amp;W1538&amp;X1538&amp;Y1538&amp;Z1538&amp;AA1538&amp;AB1538&amp;AC1538&amp;AD1538&amp;AE1538&amp;AF1538&amp;AG1538</f>
        <v/>
      </c>
      <c r="N1538" s="10">
        <f>TEXT($B$6,"00")</f>
        <v/>
      </c>
      <c r="O1538" s="10">
        <f>REPT(" ",8)</f>
        <v/>
      </c>
      <c r="P1538" s="10">
        <f>RIGHT($B$4,2)</f>
        <v/>
      </c>
      <c r="Q1538" s="10">
        <f>RIGHT($B$5,3)</f>
        <v/>
      </c>
      <c r="R1538" s="10">
        <f>IF(A1538="D",LEFT(UPPER(B1538)&amp;REPT(" ",20),20),REPT(" ",20))</f>
        <v/>
      </c>
      <c r="S1538" s="10">
        <f>IF(A1538="D",LEFT(UPPER(C1538)&amp;REPT(" ",10),10)," ")</f>
        <v/>
      </c>
      <c r="T1538" s="10">
        <f>IF(A1538="D",LEFT(UPPER(D1538)&amp;REPT(" ",2),2)," ")</f>
        <v/>
      </c>
      <c r="U1538" s="10">
        <f>IF(A1538="D",LEFT(UPPER(E1538)&amp;REPT(" ",15),15)," ")</f>
        <v/>
      </c>
      <c r="V1538" s="10">
        <f>REPT(" ",24)</f>
        <v/>
      </c>
      <c r="W1538" s="10">
        <f>IF(A1538="c",LEFT(UPPER(B1538)&amp;REPT(" ",20),20),REPT(" ",20))</f>
        <v/>
      </c>
      <c r="X1538" s="10">
        <f>IF(A1538="C",LEFT(UPPER(C1538)&amp;REPT(" ",10),10)," ")</f>
        <v/>
      </c>
      <c r="Y1538" s="10">
        <f>IF(A1538="C",LEFT(UPPER(D1538)&amp;REPT(" ",2),2)," ")</f>
        <v/>
      </c>
      <c r="Z1538" s="10">
        <f>IF(A1538="C",LEFT(UPPER(E1538)&amp;REPT(" ",15),15)," ")</f>
        <v/>
      </c>
      <c r="AA1538" s="10">
        <f>REPT(" ",8)</f>
        <v/>
      </c>
      <c r="AB1538" s="10">
        <f>REPT(" ",4)</f>
        <v/>
      </c>
      <c r="AC1538" s="10">
        <f>LEFT(UPPER(H1538)&amp;REPT(" ",250),250)</f>
        <v/>
      </c>
      <c r="AD1538" s="10">
        <f>TEXT($G$2,"dd/mm/aaaa")</f>
        <v/>
      </c>
      <c r="AE1538" s="10">
        <f>REPT(" ",10)</f>
        <v/>
      </c>
      <c r="AF1538" s="10">
        <f>REPT(" ",20)</f>
        <v/>
      </c>
      <c r="AG1538" s="54">
        <f>REPT(" ",18-LEN(FIXED(F1538,2,TRUE)))&amp;FIXED(F1538,2,TRUE)</f>
        <v/>
      </c>
      <c r="AH1538" s="10">
        <f>LEN(AC1538)+LEN(AG1538)</f>
        <v/>
      </c>
      <c r="AI1538" s="10">
        <f>LEN(L1538)</f>
        <v/>
      </c>
    </row>
    <row r="1539">
      <c r="J1539" s="12">
        <f>IF(F1539&lt;&gt;0,"LANÇAR","")</f>
        <v/>
      </c>
      <c r="L1539" s="13">
        <f>N1539&amp;O1539&amp;P1539&amp;Q1539&amp;R1539&amp;S1539&amp;T1539&amp;U1539&amp;V1539&amp;W1539&amp;X1539&amp;Y1539&amp;Z1539&amp;AA1539&amp;AB1539&amp;AC1539&amp;AD1539&amp;AE1539&amp;AF1539&amp;AG1539</f>
        <v/>
      </c>
      <c r="N1539" s="10">
        <f>TEXT($B$6,"00")</f>
        <v/>
      </c>
      <c r="O1539" s="10">
        <f>REPT(" ",8)</f>
        <v/>
      </c>
      <c r="P1539" s="10">
        <f>RIGHT($B$4,2)</f>
        <v/>
      </c>
      <c r="Q1539" s="10">
        <f>RIGHT($B$5,3)</f>
        <v/>
      </c>
      <c r="R1539" s="10">
        <f>IF(A1539="D",LEFT(UPPER(B1539)&amp;REPT(" ",20),20),REPT(" ",20))</f>
        <v/>
      </c>
      <c r="S1539" s="10">
        <f>IF(A1539="D",LEFT(UPPER(C1539)&amp;REPT(" ",10),10)," ")</f>
        <v/>
      </c>
      <c r="T1539" s="10">
        <f>IF(A1539="D",LEFT(UPPER(D1539)&amp;REPT(" ",2),2)," ")</f>
        <v/>
      </c>
      <c r="U1539" s="10">
        <f>IF(A1539="D",LEFT(UPPER(E1539)&amp;REPT(" ",15),15)," ")</f>
        <v/>
      </c>
      <c r="V1539" s="10">
        <f>REPT(" ",24)</f>
        <v/>
      </c>
      <c r="W1539" s="10">
        <f>IF(A1539="c",LEFT(UPPER(B1539)&amp;REPT(" ",20),20),REPT(" ",20))</f>
        <v/>
      </c>
      <c r="X1539" s="10">
        <f>IF(A1539="C",LEFT(UPPER(C1539)&amp;REPT(" ",10),10)," ")</f>
        <v/>
      </c>
      <c r="Y1539" s="10">
        <f>IF(A1539="C",LEFT(UPPER(D1539)&amp;REPT(" ",2),2)," ")</f>
        <v/>
      </c>
      <c r="Z1539" s="10">
        <f>IF(A1539="C",LEFT(UPPER(E1539)&amp;REPT(" ",15),15)," ")</f>
        <v/>
      </c>
      <c r="AA1539" s="10">
        <f>REPT(" ",8)</f>
        <v/>
      </c>
      <c r="AB1539" s="10">
        <f>REPT(" ",4)</f>
        <v/>
      </c>
      <c r="AC1539" s="10">
        <f>LEFT(UPPER(H1539)&amp;REPT(" ",250),250)</f>
        <v/>
      </c>
      <c r="AD1539" s="10">
        <f>TEXT($G$2,"dd/mm/aaaa")</f>
        <v/>
      </c>
      <c r="AE1539" s="10">
        <f>REPT(" ",10)</f>
        <v/>
      </c>
      <c r="AF1539" s="10">
        <f>REPT(" ",20)</f>
        <v/>
      </c>
      <c r="AG1539" s="54">
        <f>REPT(" ",18-LEN(FIXED(F1539,2,TRUE)))&amp;FIXED(F1539,2,TRUE)</f>
        <v/>
      </c>
      <c r="AH1539" s="10">
        <f>LEN(AC1539)+LEN(AG1539)</f>
        <v/>
      </c>
      <c r="AI1539" s="10">
        <f>LEN(L1539)</f>
        <v/>
      </c>
    </row>
    <row r="1540">
      <c r="J1540" s="12">
        <f>IF(F1540&lt;&gt;0,"LANÇAR","")</f>
        <v/>
      </c>
      <c r="L1540" s="13">
        <f>N1540&amp;O1540&amp;P1540&amp;Q1540&amp;R1540&amp;S1540&amp;T1540&amp;U1540&amp;V1540&amp;W1540&amp;X1540&amp;Y1540&amp;Z1540&amp;AA1540&amp;AB1540&amp;AC1540&amp;AD1540&amp;AE1540&amp;AF1540&amp;AG1540</f>
        <v/>
      </c>
      <c r="N1540" s="10">
        <f>TEXT($B$6,"00")</f>
        <v/>
      </c>
      <c r="O1540" s="10">
        <f>REPT(" ",8)</f>
        <v/>
      </c>
      <c r="P1540" s="10">
        <f>RIGHT($B$4,2)</f>
        <v/>
      </c>
      <c r="Q1540" s="10">
        <f>RIGHT($B$5,3)</f>
        <v/>
      </c>
      <c r="R1540" s="10">
        <f>IF(A1540="D",LEFT(UPPER(B1540)&amp;REPT(" ",20),20),REPT(" ",20))</f>
        <v/>
      </c>
      <c r="S1540" s="10">
        <f>IF(A1540="D",LEFT(UPPER(C1540)&amp;REPT(" ",10),10)," ")</f>
        <v/>
      </c>
      <c r="T1540" s="10">
        <f>IF(A1540="D",LEFT(UPPER(D1540)&amp;REPT(" ",2),2)," ")</f>
        <v/>
      </c>
      <c r="U1540" s="10">
        <f>IF(A1540="D",LEFT(UPPER(E1540)&amp;REPT(" ",15),15)," ")</f>
        <v/>
      </c>
      <c r="V1540" s="10">
        <f>REPT(" ",24)</f>
        <v/>
      </c>
      <c r="W1540" s="10">
        <f>IF(A1540="c",LEFT(UPPER(B1540)&amp;REPT(" ",20),20),REPT(" ",20))</f>
        <v/>
      </c>
      <c r="X1540" s="10">
        <f>IF(A1540="C",LEFT(UPPER(C1540)&amp;REPT(" ",10),10)," ")</f>
        <v/>
      </c>
      <c r="Y1540" s="10">
        <f>IF(A1540="C",LEFT(UPPER(D1540)&amp;REPT(" ",2),2)," ")</f>
        <v/>
      </c>
      <c r="Z1540" s="10">
        <f>IF(A1540="C",LEFT(UPPER(E1540)&amp;REPT(" ",15),15)," ")</f>
        <v/>
      </c>
      <c r="AA1540" s="10">
        <f>REPT(" ",8)</f>
        <v/>
      </c>
      <c r="AB1540" s="10">
        <f>REPT(" ",4)</f>
        <v/>
      </c>
      <c r="AC1540" s="10">
        <f>LEFT(UPPER(H1540)&amp;REPT(" ",250),250)</f>
        <v/>
      </c>
      <c r="AD1540" s="10">
        <f>TEXT($G$2,"dd/mm/aaaa")</f>
        <v/>
      </c>
      <c r="AE1540" s="10">
        <f>REPT(" ",10)</f>
        <v/>
      </c>
      <c r="AF1540" s="10">
        <f>REPT(" ",20)</f>
        <v/>
      </c>
      <c r="AG1540" s="54">
        <f>REPT(" ",18-LEN(FIXED(F1540,2,TRUE)))&amp;FIXED(F1540,2,TRUE)</f>
        <v/>
      </c>
      <c r="AH1540" s="10">
        <f>LEN(AC1540)+LEN(AG1540)</f>
        <v/>
      </c>
      <c r="AI1540" s="10">
        <f>LEN(L1540)</f>
        <v/>
      </c>
    </row>
    <row r="1541">
      <c r="J1541" s="12">
        <f>IF(F1541&lt;&gt;0,"LANÇAR","")</f>
        <v/>
      </c>
      <c r="L1541" s="13">
        <f>N1541&amp;O1541&amp;P1541&amp;Q1541&amp;R1541&amp;S1541&amp;T1541&amp;U1541&amp;V1541&amp;W1541&amp;X1541&amp;Y1541&amp;Z1541&amp;AA1541&amp;AB1541&amp;AC1541&amp;AD1541&amp;AE1541&amp;AF1541&amp;AG1541</f>
        <v/>
      </c>
      <c r="N1541" s="10">
        <f>TEXT($B$6,"00")</f>
        <v/>
      </c>
      <c r="O1541" s="10">
        <f>REPT(" ",8)</f>
        <v/>
      </c>
      <c r="P1541" s="10">
        <f>RIGHT($B$4,2)</f>
        <v/>
      </c>
      <c r="Q1541" s="10">
        <f>RIGHT($B$5,3)</f>
        <v/>
      </c>
      <c r="R1541" s="10">
        <f>IF(A1541="D",LEFT(UPPER(B1541)&amp;REPT(" ",20),20),REPT(" ",20))</f>
        <v/>
      </c>
      <c r="S1541" s="10">
        <f>IF(A1541="D",LEFT(UPPER(C1541)&amp;REPT(" ",10),10)," ")</f>
        <v/>
      </c>
      <c r="T1541" s="10">
        <f>IF(A1541="D",LEFT(UPPER(D1541)&amp;REPT(" ",2),2)," ")</f>
        <v/>
      </c>
      <c r="U1541" s="10">
        <f>IF(A1541="D",LEFT(UPPER(E1541)&amp;REPT(" ",15),15)," ")</f>
        <v/>
      </c>
      <c r="V1541" s="10">
        <f>REPT(" ",24)</f>
        <v/>
      </c>
      <c r="W1541" s="10">
        <f>IF(A1541="c",LEFT(UPPER(B1541)&amp;REPT(" ",20),20),REPT(" ",20))</f>
        <v/>
      </c>
      <c r="X1541" s="10">
        <f>IF(A1541="C",LEFT(UPPER(C1541)&amp;REPT(" ",10),10)," ")</f>
        <v/>
      </c>
      <c r="Y1541" s="10">
        <f>IF(A1541="C",LEFT(UPPER(D1541)&amp;REPT(" ",2),2)," ")</f>
        <v/>
      </c>
      <c r="Z1541" s="10">
        <f>IF(A1541="C",LEFT(UPPER(E1541)&amp;REPT(" ",15),15)," ")</f>
        <v/>
      </c>
      <c r="AA1541" s="10">
        <f>REPT(" ",8)</f>
        <v/>
      </c>
      <c r="AB1541" s="10">
        <f>REPT(" ",4)</f>
        <v/>
      </c>
      <c r="AC1541" s="10">
        <f>LEFT(UPPER(H1541)&amp;REPT(" ",250),250)</f>
        <v/>
      </c>
      <c r="AD1541" s="10">
        <f>TEXT($G$2,"dd/mm/aaaa")</f>
        <v/>
      </c>
      <c r="AE1541" s="10">
        <f>REPT(" ",10)</f>
        <v/>
      </c>
      <c r="AF1541" s="10">
        <f>REPT(" ",20)</f>
        <v/>
      </c>
      <c r="AG1541" s="54">
        <f>REPT(" ",18-LEN(FIXED(F1541,2,TRUE)))&amp;FIXED(F1541,2,TRUE)</f>
        <v/>
      </c>
      <c r="AH1541" s="10">
        <f>LEN(AC1541)+LEN(AG1541)</f>
        <v/>
      </c>
      <c r="AI1541" s="10">
        <f>LEN(L1541)</f>
        <v/>
      </c>
    </row>
    <row r="1542">
      <c r="J1542" s="12">
        <f>IF(F1542&lt;&gt;0,"LANÇAR","")</f>
        <v/>
      </c>
      <c r="L1542" s="13">
        <f>N1542&amp;O1542&amp;P1542&amp;Q1542&amp;R1542&amp;S1542&amp;T1542&amp;U1542&amp;V1542&amp;W1542&amp;X1542&amp;Y1542&amp;Z1542&amp;AA1542&amp;AB1542&amp;AC1542&amp;AD1542&amp;AE1542&amp;AF1542&amp;AG1542</f>
        <v/>
      </c>
      <c r="N1542" s="10">
        <f>TEXT($B$6,"00")</f>
        <v/>
      </c>
      <c r="O1542" s="10">
        <f>REPT(" ",8)</f>
        <v/>
      </c>
      <c r="P1542" s="10">
        <f>RIGHT($B$4,2)</f>
        <v/>
      </c>
      <c r="Q1542" s="10">
        <f>RIGHT($B$5,3)</f>
        <v/>
      </c>
      <c r="R1542" s="10">
        <f>IF(A1542="D",LEFT(UPPER(B1542)&amp;REPT(" ",20),20),REPT(" ",20))</f>
        <v/>
      </c>
      <c r="S1542" s="10">
        <f>IF(A1542="D",LEFT(UPPER(C1542)&amp;REPT(" ",10),10)," ")</f>
        <v/>
      </c>
      <c r="T1542" s="10">
        <f>IF(A1542="D",LEFT(UPPER(D1542)&amp;REPT(" ",2),2)," ")</f>
        <v/>
      </c>
      <c r="U1542" s="10">
        <f>IF(A1542="D",LEFT(UPPER(E1542)&amp;REPT(" ",15),15)," ")</f>
        <v/>
      </c>
      <c r="V1542" s="10">
        <f>REPT(" ",24)</f>
        <v/>
      </c>
      <c r="W1542" s="10">
        <f>IF(A1542="c",LEFT(UPPER(B1542)&amp;REPT(" ",20),20),REPT(" ",20))</f>
        <v/>
      </c>
      <c r="X1542" s="10">
        <f>IF(A1542="C",LEFT(UPPER(C1542)&amp;REPT(" ",10),10)," ")</f>
        <v/>
      </c>
      <c r="Y1542" s="10">
        <f>IF(A1542="C",LEFT(UPPER(D1542)&amp;REPT(" ",2),2)," ")</f>
        <v/>
      </c>
      <c r="Z1542" s="10">
        <f>IF(A1542="C",LEFT(UPPER(E1542)&amp;REPT(" ",15),15)," ")</f>
        <v/>
      </c>
      <c r="AA1542" s="10">
        <f>REPT(" ",8)</f>
        <v/>
      </c>
      <c r="AB1542" s="10">
        <f>REPT(" ",4)</f>
        <v/>
      </c>
      <c r="AC1542" s="10">
        <f>LEFT(UPPER(H1542)&amp;REPT(" ",250),250)</f>
        <v/>
      </c>
      <c r="AD1542" s="10">
        <f>TEXT($G$2,"dd/mm/aaaa")</f>
        <v/>
      </c>
      <c r="AE1542" s="10">
        <f>REPT(" ",10)</f>
        <v/>
      </c>
      <c r="AF1542" s="10">
        <f>REPT(" ",20)</f>
        <v/>
      </c>
      <c r="AG1542" s="54">
        <f>REPT(" ",18-LEN(FIXED(F1542,2,TRUE)))&amp;FIXED(F1542,2,TRUE)</f>
        <v/>
      </c>
      <c r="AH1542" s="10">
        <f>LEN(AC1542)+LEN(AG1542)</f>
        <v/>
      </c>
      <c r="AI1542" s="10">
        <f>LEN(L1542)</f>
        <v/>
      </c>
    </row>
    <row r="1543">
      <c r="J1543" s="12">
        <f>IF(F1543&lt;&gt;0,"LANÇAR","")</f>
        <v/>
      </c>
      <c r="L1543" s="13">
        <f>N1543&amp;O1543&amp;P1543&amp;Q1543&amp;R1543&amp;S1543&amp;T1543&amp;U1543&amp;V1543&amp;W1543&amp;X1543&amp;Y1543&amp;Z1543&amp;AA1543&amp;AB1543&amp;AC1543&amp;AD1543&amp;AE1543&amp;AF1543&amp;AG1543</f>
        <v/>
      </c>
      <c r="N1543" s="10">
        <f>TEXT($B$6,"00")</f>
        <v/>
      </c>
      <c r="O1543" s="10">
        <f>REPT(" ",8)</f>
        <v/>
      </c>
      <c r="P1543" s="10">
        <f>RIGHT($B$4,2)</f>
        <v/>
      </c>
      <c r="Q1543" s="10">
        <f>RIGHT($B$5,3)</f>
        <v/>
      </c>
      <c r="R1543" s="10">
        <f>IF(A1543="D",LEFT(UPPER(B1543)&amp;REPT(" ",20),20),REPT(" ",20))</f>
        <v/>
      </c>
      <c r="S1543" s="10">
        <f>IF(A1543="D",LEFT(UPPER(C1543)&amp;REPT(" ",10),10)," ")</f>
        <v/>
      </c>
      <c r="T1543" s="10">
        <f>IF(A1543="D",LEFT(UPPER(D1543)&amp;REPT(" ",2),2)," ")</f>
        <v/>
      </c>
      <c r="U1543" s="10">
        <f>IF(A1543="D",LEFT(UPPER(E1543)&amp;REPT(" ",15),15)," ")</f>
        <v/>
      </c>
      <c r="V1543" s="10">
        <f>REPT(" ",24)</f>
        <v/>
      </c>
      <c r="W1543" s="10">
        <f>IF(A1543="c",LEFT(UPPER(B1543)&amp;REPT(" ",20),20),REPT(" ",20))</f>
        <v/>
      </c>
      <c r="X1543" s="10">
        <f>IF(A1543="C",LEFT(UPPER(C1543)&amp;REPT(" ",10),10)," ")</f>
        <v/>
      </c>
      <c r="Y1543" s="10">
        <f>IF(A1543="C",LEFT(UPPER(D1543)&amp;REPT(" ",2),2)," ")</f>
        <v/>
      </c>
      <c r="Z1543" s="10">
        <f>IF(A1543="C",LEFT(UPPER(E1543)&amp;REPT(" ",15),15)," ")</f>
        <v/>
      </c>
      <c r="AA1543" s="10">
        <f>REPT(" ",8)</f>
        <v/>
      </c>
      <c r="AB1543" s="10">
        <f>REPT(" ",4)</f>
        <v/>
      </c>
      <c r="AC1543" s="10">
        <f>LEFT(UPPER(H1543)&amp;REPT(" ",250),250)</f>
        <v/>
      </c>
      <c r="AD1543" s="10">
        <f>TEXT($G$2,"dd/mm/aaaa")</f>
        <v/>
      </c>
      <c r="AE1543" s="10">
        <f>REPT(" ",10)</f>
        <v/>
      </c>
      <c r="AF1543" s="10">
        <f>REPT(" ",20)</f>
        <v/>
      </c>
      <c r="AG1543" s="54">
        <f>REPT(" ",18-LEN(FIXED(F1543,2,TRUE)))&amp;FIXED(F1543,2,TRUE)</f>
        <v/>
      </c>
      <c r="AH1543" s="10">
        <f>LEN(AC1543)+LEN(AG1543)</f>
        <v/>
      </c>
      <c r="AI1543" s="10">
        <f>LEN(L1543)</f>
        <v/>
      </c>
    </row>
    <row r="1544">
      <c r="J1544" s="12">
        <f>IF(F1544&lt;&gt;0,"LANÇAR","")</f>
        <v/>
      </c>
      <c r="L1544" s="13">
        <f>N1544&amp;O1544&amp;P1544&amp;Q1544&amp;R1544&amp;S1544&amp;T1544&amp;U1544&amp;V1544&amp;W1544&amp;X1544&amp;Y1544&amp;Z1544&amp;AA1544&amp;AB1544&amp;AC1544&amp;AD1544&amp;AE1544&amp;AF1544&amp;AG1544</f>
        <v/>
      </c>
      <c r="N1544" s="10">
        <f>TEXT($B$6,"00")</f>
        <v/>
      </c>
      <c r="O1544" s="10">
        <f>REPT(" ",8)</f>
        <v/>
      </c>
      <c r="P1544" s="10">
        <f>RIGHT($B$4,2)</f>
        <v/>
      </c>
      <c r="Q1544" s="10">
        <f>RIGHT($B$5,3)</f>
        <v/>
      </c>
      <c r="R1544" s="10">
        <f>IF(A1544="D",LEFT(UPPER(B1544)&amp;REPT(" ",20),20),REPT(" ",20))</f>
        <v/>
      </c>
      <c r="S1544" s="10">
        <f>IF(A1544="D",LEFT(UPPER(C1544)&amp;REPT(" ",10),10)," ")</f>
        <v/>
      </c>
      <c r="T1544" s="10">
        <f>IF(A1544="D",LEFT(UPPER(D1544)&amp;REPT(" ",2),2)," ")</f>
        <v/>
      </c>
      <c r="U1544" s="10">
        <f>IF(A1544="D",LEFT(UPPER(E1544)&amp;REPT(" ",15),15)," ")</f>
        <v/>
      </c>
      <c r="V1544" s="10">
        <f>REPT(" ",24)</f>
        <v/>
      </c>
      <c r="W1544" s="10">
        <f>IF(A1544="c",LEFT(UPPER(B1544)&amp;REPT(" ",20),20),REPT(" ",20))</f>
        <v/>
      </c>
      <c r="X1544" s="10">
        <f>IF(A1544="C",LEFT(UPPER(C1544)&amp;REPT(" ",10),10)," ")</f>
        <v/>
      </c>
      <c r="Y1544" s="10">
        <f>IF(A1544="C",LEFT(UPPER(D1544)&amp;REPT(" ",2),2)," ")</f>
        <v/>
      </c>
      <c r="Z1544" s="10">
        <f>IF(A1544="C",LEFT(UPPER(E1544)&amp;REPT(" ",15),15)," ")</f>
        <v/>
      </c>
      <c r="AA1544" s="10">
        <f>REPT(" ",8)</f>
        <v/>
      </c>
      <c r="AB1544" s="10">
        <f>REPT(" ",4)</f>
        <v/>
      </c>
      <c r="AC1544" s="10">
        <f>LEFT(UPPER(H1544)&amp;REPT(" ",250),250)</f>
        <v/>
      </c>
      <c r="AD1544" s="10">
        <f>TEXT($G$2,"dd/mm/aaaa")</f>
        <v/>
      </c>
      <c r="AE1544" s="10">
        <f>REPT(" ",10)</f>
        <v/>
      </c>
      <c r="AF1544" s="10">
        <f>REPT(" ",20)</f>
        <v/>
      </c>
      <c r="AG1544" s="54">
        <f>REPT(" ",18-LEN(FIXED(F1544,2,TRUE)))&amp;FIXED(F1544,2,TRUE)</f>
        <v/>
      </c>
      <c r="AH1544" s="10">
        <f>LEN(AC1544)+LEN(AG1544)</f>
        <v/>
      </c>
      <c r="AI1544" s="10">
        <f>LEN(L1544)</f>
        <v/>
      </c>
    </row>
    <row r="1545">
      <c r="J1545" s="12">
        <f>IF(F1545&lt;&gt;0,"LANÇAR","")</f>
        <v/>
      </c>
      <c r="L1545" s="13">
        <f>N1545&amp;O1545&amp;P1545&amp;Q1545&amp;R1545&amp;S1545&amp;T1545&amp;U1545&amp;V1545&amp;W1545&amp;X1545&amp;Y1545&amp;Z1545&amp;AA1545&amp;AB1545&amp;AC1545&amp;AD1545&amp;AE1545&amp;AF1545&amp;AG1545</f>
        <v/>
      </c>
      <c r="N1545" s="10">
        <f>TEXT($B$6,"00")</f>
        <v/>
      </c>
      <c r="O1545" s="10">
        <f>REPT(" ",8)</f>
        <v/>
      </c>
      <c r="P1545" s="10">
        <f>RIGHT($B$4,2)</f>
        <v/>
      </c>
      <c r="Q1545" s="10">
        <f>RIGHT($B$5,3)</f>
        <v/>
      </c>
      <c r="R1545" s="10">
        <f>IF(A1545="D",LEFT(UPPER(B1545)&amp;REPT(" ",20),20),REPT(" ",20))</f>
        <v/>
      </c>
      <c r="S1545" s="10">
        <f>IF(A1545="D",LEFT(UPPER(C1545)&amp;REPT(" ",10),10)," ")</f>
        <v/>
      </c>
      <c r="T1545" s="10">
        <f>IF(A1545="D",LEFT(UPPER(D1545)&amp;REPT(" ",2),2)," ")</f>
        <v/>
      </c>
      <c r="U1545" s="10">
        <f>IF(A1545="D",LEFT(UPPER(E1545)&amp;REPT(" ",15),15)," ")</f>
        <v/>
      </c>
      <c r="V1545" s="10">
        <f>REPT(" ",24)</f>
        <v/>
      </c>
      <c r="W1545" s="10">
        <f>IF(A1545="c",LEFT(UPPER(B1545)&amp;REPT(" ",20),20),REPT(" ",20))</f>
        <v/>
      </c>
      <c r="X1545" s="10">
        <f>IF(A1545="C",LEFT(UPPER(C1545)&amp;REPT(" ",10),10)," ")</f>
        <v/>
      </c>
      <c r="Y1545" s="10">
        <f>IF(A1545="C",LEFT(UPPER(D1545)&amp;REPT(" ",2),2)," ")</f>
        <v/>
      </c>
      <c r="Z1545" s="10">
        <f>IF(A1545="C",LEFT(UPPER(E1545)&amp;REPT(" ",15),15)," ")</f>
        <v/>
      </c>
      <c r="AA1545" s="10">
        <f>REPT(" ",8)</f>
        <v/>
      </c>
      <c r="AB1545" s="10">
        <f>REPT(" ",4)</f>
        <v/>
      </c>
      <c r="AC1545" s="10">
        <f>LEFT(UPPER(H1545)&amp;REPT(" ",250),250)</f>
        <v/>
      </c>
      <c r="AD1545" s="10">
        <f>TEXT($G$2,"dd/mm/aaaa")</f>
        <v/>
      </c>
      <c r="AE1545" s="10">
        <f>REPT(" ",10)</f>
        <v/>
      </c>
      <c r="AF1545" s="10">
        <f>REPT(" ",20)</f>
        <v/>
      </c>
      <c r="AG1545" s="54">
        <f>REPT(" ",18-LEN(FIXED(F1545,2,TRUE)))&amp;FIXED(F1545,2,TRUE)</f>
        <v/>
      </c>
      <c r="AH1545" s="10">
        <f>LEN(AC1545)+LEN(AG1545)</f>
        <v/>
      </c>
      <c r="AI1545" s="10">
        <f>LEN(L1545)</f>
        <v/>
      </c>
    </row>
    <row r="1546">
      <c r="J1546" s="12">
        <f>IF(F1546&lt;&gt;0,"LANÇAR","")</f>
        <v/>
      </c>
      <c r="L1546" s="13">
        <f>N1546&amp;O1546&amp;P1546&amp;Q1546&amp;R1546&amp;S1546&amp;T1546&amp;U1546&amp;V1546&amp;W1546&amp;X1546&amp;Y1546&amp;Z1546&amp;AA1546&amp;AB1546&amp;AC1546&amp;AD1546&amp;AE1546&amp;AF1546&amp;AG1546</f>
        <v/>
      </c>
      <c r="N1546" s="10">
        <f>TEXT($B$6,"00")</f>
        <v/>
      </c>
      <c r="O1546" s="10">
        <f>REPT(" ",8)</f>
        <v/>
      </c>
      <c r="P1546" s="10">
        <f>RIGHT($B$4,2)</f>
        <v/>
      </c>
      <c r="Q1546" s="10">
        <f>RIGHT($B$5,3)</f>
        <v/>
      </c>
      <c r="R1546" s="10">
        <f>IF(A1546="D",LEFT(UPPER(B1546)&amp;REPT(" ",20),20),REPT(" ",20))</f>
        <v/>
      </c>
      <c r="S1546" s="10">
        <f>IF(A1546="D",LEFT(UPPER(C1546)&amp;REPT(" ",10),10)," ")</f>
        <v/>
      </c>
      <c r="T1546" s="10">
        <f>IF(A1546="D",LEFT(UPPER(D1546)&amp;REPT(" ",2),2)," ")</f>
        <v/>
      </c>
      <c r="U1546" s="10">
        <f>IF(A1546="D",LEFT(UPPER(E1546)&amp;REPT(" ",15),15)," ")</f>
        <v/>
      </c>
      <c r="V1546" s="10">
        <f>REPT(" ",24)</f>
        <v/>
      </c>
      <c r="W1546" s="10">
        <f>IF(A1546="c",LEFT(UPPER(B1546)&amp;REPT(" ",20),20),REPT(" ",20))</f>
        <v/>
      </c>
      <c r="X1546" s="10">
        <f>IF(A1546="C",LEFT(UPPER(C1546)&amp;REPT(" ",10),10)," ")</f>
        <v/>
      </c>
      <c r="Y1546" s="10">
        <f>IF(A1546="C",LEFT(UPPER(D1546)&amp;REPT(" ",2),2)," ")</f>
        <v/>
      </c>
      <c r="Z1546" s="10">
        <f>IF(A1546="C",LEFT(UPPER(E1546)&amp;REPT(" ",15),15)," ")</f>
        <v/>
      </c>
      <c r="AA1546" s="10">
        <f>REPT(" ",8)</f>
        <v/>
      </c>
      <c r="AB1546" s="10">
        <f>REPT(" ",4)</f>
        <v/>
      </c>
      <c r="AC1546" s="10">
        <f>LEFT(UPPER(H1546)&amp;REPT(" ",250),250)</f>
        <v/>
      </c>
      <c r="AD1546" s="10">
        <f>TEXT($G$2,"dd/mm/aaaa")</f>
        <v/>
      </c>
      <c r="AE1546" s="10">
        <f>REPT(" ",10)</f>
        <v/>
      </c>
      <c r="AF1546" s="10">
        <f>REPT(" ",20)</f>
        <v/>
      </c>
      <c r="AG1546" s="54">
        <f>REPT(" ",18-LEN(FIXED(F1546,2,TRUE)))&amp;FIXED(F1546,2,TRUE)</f>
        <v/>
      </c>
      <c r="AH1546" s="10">
        <f>LEN(AC1546)+LEN(AG1546)</f>
        <v/>
      </c>
      <c r="AI1546" s="10">
        <f>LEN(L1546)</f>
        <v/>
      </c>
    </row>
    <row r="1547">
      <c r="J1547" s="12">
        <f>IF(F1547&lt;&gt;0,"LANÇAR","")</f>
        <v/>
      </c>
      <c r="L1547" s="13">
        <f>N1547&amp;O1547&amp;P1547&amp;Q1547&amp;R1547&amp;S1547&amp;T1547&amp;U1547&amp;V1547&amp;W1547&amp;X1547&amp;Y1547&amp;Z1547&amp;AA1547&amp;AB1547&amp;AC1547&amp;AD1547&amp;AE1547&amp;AF1547&amp;AG1547</f>
        <v/>
      </c>
      <c r="N1547" s="10">
        <f>TEXT($B$6,"00")</f>
        <v/>
      </c>
      <c r="O1547" s="10">
        <f>REPT(" ",8)</f>
        <v/>
      </c>
      <c r="P1547" s="10">
        <f>RIGHT($B$4,2)</f>
        <v/>
      </c>
      <c r="Q1547" s="10">
        <f>RIGHT($B$5,3)</f>
        <v/>
      </c>
      <c r="R1547" s="10">
        <f>IF(A1547="D",LEFT(UPPER(B1547)&amp;REPT(" ",20),20),REPT(" ",20))</f>
        <v/>
      </c>
      <c r="S1547" s="10">
        <f>IF(A1547="D",LEFT(UPPER(C1547)&amp;REPT(" ",10),10)," ")</f>
        <v/>
      </c>
      <c r="T1547" s="10">
        <f>IF(A1547="D",LEFT(UPPER(D1547)&amp;REPT(" ",2),2)," ")</f>
        <v/>
      </c>
      <c r="U1547" s="10">
        <f>IF(A1547="D",LEFT(UPPER(E1547)&amp;REPT(" ",15),15)," ")</f>
        <v/>
      </c>
      <c r="V1547" s="10">
        <f>REPT(" ",24)</f>
        <v/>
      </c>
      <c r="W1547" s="10">
        <f>IF(A1547="c",LEFT(UPPER(B1547)&amp;REPT(" ",20),20),REPT(" ",20))</f>
        <v/>
      </c>
      <c r="X1547" s="10">
        <f>IF(A1547="C",LEFT(UPPER(C1547)&amp;REPT(" ",10),10)," ")</f>
        <v/>
      </c>
      <c r="Y1547" s="10">
        <f>IF(A1547="C",LEFT(UPPER(D1547)&amp;REPT(" ",2),2)," ")</f>
        <v/>
      </c>
      <c r="Z1547" s="10">
        <f>IF(A1547="C",LEFT(UPPER(E1547)&amp;REPT(" ",15),15)," ")</f>
        <v/>
      </c>
      <c r="AA1547" s="10">
        <f>REPT(" ",8)</f>
        <v/>
      </c>
      <c r="AB1547" s="10">
        <f>REPT(" ",4)</f>
        <v/>
      </c>
      <c r="AC1547" s="10">
        <f>LEFT(UPPER(H1547)&amp;REPT(" ",250),250)</f>
        <v/>
      </c>
      <c r="AD1547" s="10">
        <f>TEXT($G$2,"dd/mm/aaaa")</f>
        <v/>
      </c>
      <c r="AE1547" s="10">
        <f>REPT(" ",10)</f>
        <v/>
      </c>
      <c r="AF1547" s="10">
        <f>REPT(" ",20)</f>
        <v/>
      </c>
      <c r="AG1547" s="54">
        <f>REPT(" ",18-LEN(FIXED(F1547,2,TRUE)))&amp;FIXED(F1547,2,TRUE)</f>
        <v/>
      </c>
      <c r="AH1547" s="10">
        <f>LEN(AC1547)+LEN(AG1547)</f>
        <v/>
      </c>
      <c r="AI1547" s="10">
        <f>LEN(L1547)</f>
        <v/>
      </c>
    </row>
    <row r="1548">
      <c r="J1548" s="12">
        <f>IF(F1548&lt;&gt;0,"LANÇAR","")</f>
        <v/>
      </c>
      <c r="L1548" s="13">
        <f>N1548&amp;O1548&amp;P1548&amp;Q1548&amp;R1548&amp;S1548&amp;T1548&amp;U1548&amp;V1548&amp;W1548&amp;X1548&amp;Y1548&amp;Z1548&amp;AA1548&amp;AB1548&amp;AC1548&amp;AD1548&amp;AE1548&amp;AF1548&amp;AG1548</f>
        <v/>
      </c>
      <c r="N1548" s="10">
        <f>TEXT($B$6,"00")</f>
        <v/>
      </c>
      <c r="O1548" s="10">
        <f>REPT(" ",8)</f>
        <v/>
      </c>
      <c r="P1548" s="10">
        <f>RIGHT($B$4,2)</f>
        <v/>
      </c>
      <c r="Q1548" s="10">
        <f>RIGHT($B$5,3)</f>
        <v/>
      </c>
      <c r="R1548" s="10">
        <f>IF(A1548="D",LEFT(UPPER(B1548)&amp;REPT(" ",20),20),REPT(" ",20))</f>
        <v/>
      </c>
      <c r="S1548" s="10">
        <f>IF(A1548="D",LEFT(UPPER(C1548)&amp;REPT(" ",10),10)," ")</f>
        <v/>
      </c>
      <c r="T1548" s="10">
        <f>IF(A1548="D",LEFT(UPPER(D1548)&amp;REPT(" ",2),2)," ")</f>
        <v/>
      </c>
      <c r="U1548" s="10">
        <f>IF(A1548="D",LEFT(UPPER(E1548)&amp;REPT(" ",15),15)," ")</f>
        <v/>
      </c>
      <c r="V1548" s="10">
        <f>REPT(" ",24)</f>
        <v/>
      </c>
      <c r="W1548" s="10">
        <f>IF(A1548="c",LEFT(UPPER(B1548)&amp;REPT(" ",20),20),REPT(" ",20))</f>
        <v/>
      </c>
      <c r="X1548" s="10">
        <f>IF(A1548="C",LEFT(UPPER(C1548)&amp;REPT(" ",10),10)," ")</f>
        <v/>
      </c>
      <c r="Y1548" s="10">
        <f>IF(A1548="C",LEFT(UPPER(D1548)&amp;REPT(" ",2),2)," ")</f>
        <v/>
      </c>
      <c r="Z1548" s="10">
        <f>IF(A1548="C",LEFT(UPPER(E1548)&amp;REPT(" ",15),15)," ")</f>
        <v/>
      </c>
      <c r="AA1548" s="10">
        <f>REPT(" ",8)</f>
        <v/>
      </c>
      <c r="AB1548" s="10">
        <f>REPT(" ",4)</f>
        <v/>
      </c>
      <c r="AC1548" s="10">
        <f>LEFT(UPPER(H1548)&amp;REPT(" ",250),250)</f>
        <v/>
      </c>
      <c r="AD1548" s="10">
        <f>TEXT($G$2,"dd/mm/aaaa")</f>
        <v/>
      </c>
      <c r="AE1548" s="10">
        <f>REPT(" ",10)</f>
        <v/>
      </c>
      <c r="AF1548" s="10">
        <f>REPT(" ",20)</f>
        <v/>
      </c>
      <c r="AG1548" s="54">
        <f>REPT(" ",18-LEN(FIXED(F1548,2,TRUE)))&amp;FIXED(F1548,2,TRUE)</f>
        <v/>
      </c>
      <c r="AH1548" s="10">
        <f>LEN(AC1548)+LEN(AG1548)</f>
        <v/>
      </c>
      <c r="AI1548" s="10">
        <f>LEN(L1548)</f>
        <v/>
      </c>
    </row>
    <row r="1549">
      <c r="J1549" s="12">
        <f>IF(F1549&lt;&gt;0,"LANÇAR","")</f>
        <v/>
      </c>
      <c r="L1549" s="13">
        <f>N1549&amp;O1549&amp;P1549&amp;Q1549&amp;R1549&amp;S1549&amp;T1549&amp;U1549&amp;V1549&amp;W1549&amp;X1549&amp;Y1549&amp;Z1549&amp;AA1549&amp;AB1549&amp;AC1549&amp;AD1549&amp;AE1549&amp;AF1549&amp;AG1549</f>
        <v/>
      </c>
      <c r="N1549" s="10">
        <f>TEXT($B$6,"00")</f>
        <v/>
      </c>
      <c r="O1549" s="10">
        <f>REPT(" ",8)</f>
        <v/>
      </c>
      <c r="P1549" s="10">
        <f>RIGHT($B$4,2)</f>
        <v/>
      </c>
      <c r="Q1549" s="10">
        <f>RIGHT($B$5,3)</f>
        <v/>
      </c>
      <c r="R1549" s="10">
        <f>IF(A1549="D",LEFT(UPPER(B1549)&amp;REPT(" ",20),20),REPT(" ",20))</f>
        <v/>
      </c>
      <c r="S1549" s="10">
        <f>IF(A1549="D",LEFT(UPPER(C1549)&amp;REPT(" ",10),10)," ")</f>
        <v/>
      </c>
      <c r="T1549" s="10">
        <f>IF(A1549="D",LEFT(UPPER(D1549)&amp;REPT(" ",2),2)," ")</f>
        <v/>
      </c>
      <c r="U1549" s="10">
        <f>IF(A1549="D",LEFT(UPPER(E1549)&amp;REPT(" ",15),15)," ")</f>
        <v/>
      </c>
      <c r="V1549" s="10">
        <f>REPT(" ",24)</f>
        <v/>
      </c>
      <c r="W1549" s="10">
        <f>IF(A1549="c",LEFT(UPPER(B1549)&amp;REPT(" ",20),20),REPT(" ",20))</f>
        <v/>
      </c>
      <c r="X1549" s="10">
        <f>IF(A1549="C",LEFT(UPPER(C1549)&amp;REPT(" ",10),10)," ")</f>
        <v/>
      </c>
      <c r="Y1549" s="10">
        <f>IF(A1549="C",LEFT(UPPER(D1549)&amp;REPT(" ",2),2)," ")</f>
        <v/>
      </c>
      <c r="Z1549" s="10">
        <f>IF(A1549="C",LEFT(UPPER(E1549)&amp;REPT(" ",15),15)," ")</f>
        <v/>
      </c>
      <c r="AA1549" s="10">
        <f>REPT(" ",8)</f>
        <v/>
      </c>
      <c r="AB1549" s="10">
        <f>REPT(" ",4)</f>
        <v/>
      </c>
      <c r="AC1549" s="10">
        <f>LEFT(UPPER(H1549)&amp;REPT(" ",250),250)</f>
        <v/>
      </c>
      <c r="AD1549" s="10">
        <f>TEXT($G$2,"dd/mm/aaaa")</f>
        <v/>
      </c>
      <c r="AE1549" s="10">
        <f>REPT(" ",10)</f>
        <v/>
      </c>
      <c r="AF1549" s="10">
        <f>REPT(" ",20)</f>
        <v/>
      </c>
      <c r="AG1549" s="54">
        <f>REPT(" ",18-LEN(FIXED(F1549,2,TRUE)))&amp;FIXED(F1549,2,TRUE)</f>
        <v/>
      </c>
      <c r="AH1549" s="10">
        <f>LEN(AC1549)+LEN(AG1549)</f>
        <v/>
      </c>
      <c r="AI1549" s="10">
        <f>LEN(L1549)</f>
        <v/>
      </c>
    </row>
    <row r="1550">
      <c r="J1550" s="12">
        <f>IF(F1550&lt;&gt;0,"LANÇAR","")</f>
        <v/>
      </c>
      <c r="L1550" s="13">
        <f>N1550&amp;O1550&amp;P1550&amp;Q1550&amp;R1550&amp;S1550&amp;T1550&amp;U1550&amp;V1550&amp;W1550&amp;X1550&amp;Y1550&amp;Z1550&amp;AA1550&amp;AB1550&amp;AC1550&amp;AD1550&amp;AE1550&amp;AF1550&amp;AG1550</f>
        <v/>
      </c>
      <c r="N1550" s="10">
        <f>TEXT($B$6,"00")</f>
        <v/>
      </c>
      <c r="O1550" s="10">
        <f>REPT(" ",8)</f>
        <v/>
      </c>
      <c r="P1550" s="10">
        <f>RIGHT($B$4,2)</f>
        <v/>
      </c>
      <c r="Q1550" s="10">
        <f>RIGHT($B$5,3)</f>
        <v/>
      </c>
      <c r="R1550" s="10">
        <f>IF(A1550="D",LEFT(UPPER(B1550)&amp;REPT(" ",20),20),REPT(" ",20))</f>
        <v/>
      </c>
      <c r="S1550" s="10">
        <f>IF(A1550="D",LEFT(UPPER(C1550)&amp;REPT(" ",10),10)," ")</f>
        <v/>
      </c>
      <c r="T1550" s="10">
        <f>IF(A1550="D",LEFT(UPPER(D1550)&amp;REPT(" ",2),2)," ")</f>
        <v/>
      </c>
      <c r="U1550" s="10">
        <f>IF(A1550="D",LEFT(UPPER(E1550)&amp;REPT(" ",15),15)," ")</f>
        <v/>
      </c>
      <c r="V1550" s="10">
        <f>REPT(" ",24)</f>
        <v/>
      </c>
      <c r="W1550" s="10">
        <f>IF(A1550="c",LEFT(UPPER(B1550)&amp;REPT(" ",20),20),REPT(" ",20))</f>
        <v/>
      </c>
      <c r="X1550" s="10">
        <f>IF(A1550="C",LEFT(UPPER(C1550)&amp;REPT(" ",10),10)," ")</f>
        <v/>
      </c>
      <c r="Y1550" s="10">
        <f>IF(A1550="C",LEFT(UPPER(D1550)&amp;REPT(" ",2),2)," ")</f>
        <v/>
      </c>
      <c r="Z1550" s="10">
        <f>IF(A1550="C",LEFT(UPPER(E1550)&amp;REPT(" ",15),15)," ")</f>
        <v/>
      </c>
      <c r="AA1550" s="10">
        <f>REPT(" ",8)</f>
        <v/>
      </c>
      <c r="AB1550" s="10">
        <f>REPT(" ",4)</f>
        <v/>
      </c>
      <c r="AC1550" s="10">
        <f>LEFT(UPPER(H1550)&amp;REPT(" ",250),250)</f>
        <v/>
      </c>
      <c r="AD1550" s="10">
        <f>TEXT($G$2,"dd/mm/aaaa")</f>
        <v/>
      </c>
      <c r="AE1550" s="10">
        <f>REPT(" ",10)</f>
        <v/>
      </c>
      <c r="AF1550" s="10">
        <f>REPT(" ",20)</f>
        <v/>
      </c>
      <c r="AG1550" s="54">
        <f>REPT(" ",18-LEN(FIXED(F1550,2,TRUE)))&amp;FIXED(F1550,2,TRUE)</f>
        <v/>
      </c>
      <c r="AH1550" s="10">
        <f>LEN(AC1550)+LEN(AG1550)</f>
        <v/>
      </c>
      <c r="AI1550" s="10">
        <f>LEN(L1550)</f>
        <v/>
      </c>
    </row>
    <row r="1551">
      <c r="J1551" s="12">
        <f>IF(F1551&lt;&gt;0,"LANÇAR","")</f>
        <v/>
      </c>
      <c r="L1551" s="13">
        <f>N1551&amp;O1551&amp;P1551&amp;Q1551&amp;R1551&amp;S1551&amp;T1551&amp;U1551&amp;V1551&amp;W1551&amp;X1551&amp;Y1551&amp;Z1551&amp;AA1551&amp;AB1551&amp;AC1551&amp;AD1551&amp;AE1551&amp;AF1551&amp;AG1551</f>
        <v/>
      </c>
      <c r="N1551" s="10">
        <f>TEXT($B$6,"00")</f>
        <v/>
      </c>
      <c r="O1551" s="10">
        <f>REPT(" ",8)</f>
        <v/>
      </c>
      <c r="P1551" s="10">
        <f>RIGHT($B$4,2)</f>
        <v/>
      </c>
      <c r="Q1551" s="10">
        <f>RIGHT($B$5,3)</f>
        <v/>
      </c>
      <c r="R1551" s="10">
        <f>IF(A1551="D",LEFT(UPPER(B1551)&amp;REPT(" ",20),20),REPT(" ",20))</f>
        <v/>
      </c>
      <c r="S1551" s="10">
        <f>IF(A1551="D",LEFT(UPPER(C1551)&amp;REPT(" ",10),10)," ")</f>
        <v/>
      </c>
      <c r="T1551" s="10">
        <f>IF(A1551="D",LEFT(UPPER(D1551)&amp;REPT(" ",2),2)," ")</f>
        <v/>
      </c>
      <c r="U1551" s="10">
        <f>IF(A1551="D",LEFT(UPPER(E1551)&amp;REPT(" ",15),15)," ")</f>
        <v/>
      </c>
      <c r="V1551" s="10">
        <f>REPT(" ",24)</f>
        <v/>
      </c>
      <c r="W1551" s="10">
        <f>IF(A1551="c",LEFT(UPPER(B1551)&amp;REPT(" ",20),20),REPT(" ",20))</f>
        <v/>
      </c>
      <c r="X1551" s="10">
        <f>IF(A1551="C",LEFT(UPPER(C1551)&amp;REPT(" ",10),10)," ")</f>
        <v/>
      </c>
      <c r="Y1551" s="10">
        <f>IF(A1551="C",LEFT(UPPER(D1551)&amp;REPT(" ",2),2)," ")</f>
        <v/>
      </c>
      <c r="Z1551" s="10">
        <f>IF(A1551="C",LEFT(UPPER(E1551)&amp;REPT(" ",15),15)," ")</f>
        <v/>
      </c>
      <c r="AA1551" s="10">
        <f>REPT(" ",8)</f>
        <v/>
      </c>
      <c r="AB1551" s="10">
        <f>REPT(" ",4)</f>
        <v/>
      </c>
      <c r="AC1551" s="10">
        <f>LEFT(UPPER(H1551)&amp;REPT(" ",250),250)</f>
        <v/>
      </c>
      <c r="AD1551" s="10">
        <f>TEXT($G$2,"dd/mm/aaaa")</f>
        <v/>
      </c>
      <c r="AE1551" s="10">
        <f>REPT(" ",10)</f>
        <v/>
      </c>
      <c r="AF1551" s="10">
        <f>REPT(" ",20)</f>
        <v/>
      </c>
      <c r="AG1551" s="54">
        <f>REPT(" ",18-LEN(FIXED(F1551,2,TRUE)))&amp;FIXED(F1551,2,TRUE)</f>
        <v/>
      </c>
      <c r="AH1551" s="10">
        <f>LEN(AC1551)+LEN(AG1551)</f>
        <v/>
      </c>
      <c r="AI1551" s="10">
        <f>LEN(L1551)</f>
        <v/>
      </c>
    </row>
    <row r="1552">
      <c r="J1552" s="12">
        <f>IF(F1552&lt;&gt;0,"LANÇAR","")</f>
        <v/>
      </c>
      <c r="L1552" s="13">
        <f>N1552&amp;O1552&amp;P1552&amp;Q1552&amp;R1552&amp;S1552&amp;T1552&amp;U1552&amp;V1552&amp;W1552&amp;X1552&amp;Y1552&amp;Z1552&amp;AA1552&amp;AB1552&amp;AC1552&amp;AD1552&amp;AE1552&amp;AF1552&amp;AG1552</f>
        <v/>
      </c>
      <c r="N1552" s="10">
        <f>TEXT($B$6,"00")</f>
        <v/>
      </c>
      <c r="O1552" s="10">
        <f>REPT(" ",8)</f>
        <v/>
      </c>
      <c r="P1552" s="10">
        <f>RIGHT($B$4,2)</f>
        <v/>
      </c>
      <c r="Q1552" s="10">
        <f>RIGHT($B$5,3)</f>
        <v/>
      </c>
      <c r="R1552" s="10">
        <f>IF(A1552="D",LEFT(UPPER(B1552)&amp;REPT(" ",20),20),REPT(" ",20))</f>
        <v/>
      </c>
      <c r="S1552" s="10">
        <f>IF(A1552="D",LEFT(UPPER(C1552)&amp;REPT(" ",10),10)," ")</f>
        <v/>
      </c>
      <c r="T1552" s="10">
        <f>IF(A1552="D",LEFT(UPPER(D1552)&amp;REPT(" ",2),2)," ")</f>
        <v/>
      </c>
      <c r="U1552" s="10">
        <f>IF(A1552="D",LEFT(UPPER(E1552)&amp;REPT(" ",15),15)," ")</f>
        <v/>
      </c>
      <c r="V1552" s="10">
        <f>REPT(" ",24)</f>
        <v/>
      </c>
      <c r="W1552" s="10">
        <f>IF(A1552="c",LEFT(UPPER(B1552)&amp;REPT(" ",20),20),REPT(" ",20))</f>
        <v/>
      </c>
      <c r="X1552" s="10">
        <f>IF(A1552="C",LEFT(UPPER(C1552)&amp;REPT(" ",10),10)," ")</f>
        <v/>
      </c>
      <c r="Y1552" s="10">
        <f>IF(A1552="C",LEFT(UPPER(D1552)&amp;REPT(" ",2),2)," ")</f>
        <v/>
      </c>
      <c r="Z1552" s="10">
        <f>IF(A1552="C",LEFT(UPPER(E1552)&amp;REPT(" ",15),15)," ")</f>
        <v/>
      </c>
      <c r="AA1552" s="10">
        <f>REPT(" ",8)</f>
        <v/>
      </c>
      <c r="AB1552" s="10">
        <f>REPT(" ",4)</f>
        <v/>
      </c>
      <c r="AC1552" s="10">
        <f>LEFT(UPPER(H1552)&amp;REPT(" ",250),250)</f>
        <v/>
      </c>
      <c r="AD1552" s="10">
        <f>TEXT($G$2,"dd/mm/aaaa")</f>
        <v/>
      </c>
      <c r="AE1552" s="10">
        <f>REPT(" ",10)</f>
        <v/>
      </c>
      <c r="AF1552" s="10">
        <f>REPT(" ",20)</f>
        <v/>
      </c>
      <c r="AG1552" s="54">
        <f>REPT(" ",18-LEN(FIXED(F1552,2,TRUE)))&amp;FIXED(F1552,2,TRUE)</f>
        <v/>
      </c>
      <c r="AH1552" s="10">
        <f>LEN(AC1552)+LEN(AG1552)</f>
        <v/>
      </c>
      <c r="AI1552" s="10">
        <f>LEN(L1552)</f>
        <v/>
      </c>
    </row>
    <row r="1553">
      <c r="J1553" s="12">
        <f>IF(F1553&lt;&gt;0,"LANÇAR","")</f>
        <v/>
      </c>
      <c r="L1553" s="13">
        <f>N1553&amp;O1553&amp;P1553&amp;Q1553&amp;R1553&amp;S1553&amp;T1553&amp;U1553&amp;V1553&amp;W1553&amp;X1553&amp;Y1553&amp;Z1553&amp;AA1553&amp;AB1553&amp;AC1553&amp;AD1553&amp;AE1553&amp;AF1553&amp;AG1553</f>
        <v/>
      </c>
      <c r="N1553" s="10">
        <f>TEXT($B$6,"00")</f>
        <v/>
      </c>
      <c r="O1553" s="10">
        <f>REPT(" ",8)</f>
        <v/>
      </c>
      <c r="P1553" s="10">
        <f>RIGHT($B$4,2)</f>
        <v/>
      </c>
      <c r="Q1553" s="10">
        <f>RIGHT($B$5,3)</f>
        <v/>
      </c>
      <c r="R1553" s="10">
        <f>IF(A1553="D",LEFT(UPPER(B1553)&amp;REPT(" ",20),20),REPT(" ",20))</f>
        <v/>
      </c>
      <c r="S1553" s="10">
        <f>IF(A1553="D",LEFT(UPPER(C1553)&amp;REPT(" ",10),10)," ")</f>
        <v/>
      </c>
      <c r="T1553" s="10">
        <f>IF(A1553="D",LEFT(UPPER(D1553)&amp;REPT(" ",2),2)," ")</f>
        <v/>
      </c>
      <c r="U1553" s="10">
        <f>IF(A1553="D",LEFT(UPPER(E1553)&amp;REPT(" ",15),15)," ")</f>
        <v/>
      </c>
      <c r="V1553" s="10">
        <f>REPT(" ",24)</f>
        <v/>
      </c>
      <c r="W1553" s="10">
        <f>IF(A1553="c",LEFT(UPPER(B1553)&amp;REPT(" ",20),20),REPT(" ",20))</f>
        <v/>
      </c>
      <c r="X1553" s="10">
        <f>IF(A1553="C",LEFT(UPPER(C1553)&amp;REPT(" ",10),10)," ")</f>
        <v/>
      </c>
      <c r="Y1553" s="10">
        <f>IF(A1553="C",LEFT(UPPER(D1553)&amp;REPT(" ",2),2)," ")</f>
        <v/>
      </c>
      <c r="Z1553" s="10">
        <f>IF(A1553="C",LEFT(UPPER(E1553)&amp;REPT(" ",15),15)," ")</f>
        <v/>
      </c>
      <c r="AA1553" s="10">
        <f>REPT(" ",8)</f>
        <v/>
      </c>
      <c r="AB1553" s="10">
        <f>REPT(" ",4)</f>
        <v/>
      </c>
      <c r="AC1553" s="10">
        <f>LEFT(UPPER(H1553)&amp;REPT(" ",250),250)</f>
        <v/>
      </c>
      <c r="AD1553" s="10">
        <f>TEXT($G$2,"dd/mm/aaaa")</f>
        <v/>
      </c>
      <c r="AE1553" s="10">
        <f>REPT(" ",10)</f>
        <v/>
      </c>
      <c r="AF1553" s="10">
        <f>REPT(" ",20)</f>
        <v/>
      </c>
      <c r="AG1553" s="54">
        <f>REPT(" ",18-LEN(FIXED(F1553,2,TRUE)))&amp;FIXED(F1553,2,TRUE)</f>
        <v/>
      </c>
      <c r="AH1553" s="10">
        <f>LEN(AC1553)+LEN(AG1553)</f>
        <v/>
      </c>
      <c r="AI1553" s="10">
        <f>LEN(L1553)</f>
        <v/>
      </c>
    </row>
    <row r="1554">
      <c r="J1554" s="12">
        <f>IF(F1554&lt;&gt;0,"LANÇAR","")</f>
        <v/>
      </c>
      <c r="L1554" s="13">
        <f>N1554&amp;O1554&amp;P1554&amp;Q1554&amp;R1554&amp;S1554&amp;T1554&amp;U1554&amp;V1554&amp;W1554&amp;X1554&amp;Y1554&amp;Z1554&amp;AA1554&amp;AB1554&amp;AC1554&amp;AD1554&amp;AE1554&amp;AF1554&amp;AG1554</f>
        <v/>
      </c>
      <c r="N1554" s="10">
        <f>TEXT($B$6,"00")</f>
        <v/>
      </c>
      <c r="O1554" s="10">
        <f>REPT(" ",8)</f>
        <v/>
      </c>
      <c r="P1554" s="10">
        <f>RIGHT($B$4,2)</f>
        <v/>
      </c>
      <c r="Q1554" s="10">
        <f>RIGHT($B$5,3)</f>
        <v/>
      </c>
      <c r="R1554" s="10">
        <f>IF(A1554="D",LEFT(UPPER(B1554)&amp;REPT(" ",20),20),REPT(" ",20))</f>
        <v/>
      </c>
      <c r="S1554" s="10">
        <f>IF(A1554="D",LEFT(UPPER(C1554)&amp;REPT(" ",10),10)," ")</f>
        <v/>
      </c>
      <c r="T1554" s="10">
        <f>IF(A1554="D",LEFT(UPPER(D1554)&amp;REPT(" ",2),2)," ")</f>
        <v/>
      </c>
      <c r="U1554" s="10">
        <f>IF(A1554="D",LEFT(UPPER(E1554)&amp;REPT(" ",15),15)," ")</f>
        <v/>
      </c>
      <c r="V1554" s="10">
        <f>REPT(" ",24)</f>
        <v/>
      </c>
      <c r="W1554" s="10">
        <f>IF(A1554="c",LEFT(UPPER(B1554)&amp;REPT(" ",20),20),REPT(" ",20))</f>
        <v/>
      </c>
      <c r="X1554" s="10">
        <f>IF(A1554="C",LEFT(UPPER(C1554)&amp;REPT(" ",10),10)," ")</f>
        <v/>
      </c>
      <c r="Y1554" s="10">
        <f>IF(A1554="C",LEFT(UPPER(D1554)&amp;REPT(" ",2),2)," ")</f>
        <v/>
      </c>
      <c r="Z1554" s="10">
        <f>IF(A1554="C",LEFT(UPPER(E1554)&amp;REPT(" ",15),15)," ")</f>
        <v/>
      </c>
      <c r="AA1554" s="10">
        <f>REPT(" ",8)</f>
        <v/>
      </c>
      <c r="AB1554" s="10">
        <f>REPT(" ",4)</f>
        <v/>
      </c>
      <c r="AC1554" s="10">
        <f>LEFT(UPPER(H1554)&amp;REPT(" ",250),250)</f>
        <v/>
      </c>
      <c r="AD1554" s="10">
        <f>TEXT($G$2,"dd/mm/aaaa")</f>
        <v/>
      </c>
      <c r="AE1554" s="10">
        <f>REPT(" ",10)</f>
        <v/>
      </c>
      <c r="AF1554" s="10">
        <f>REPT(" ",20)</f>
        <v/>
      </c>
      <c r="AG1554" s="54">
        <f>REPT(" ",18-LEN(FIXED(F1554,2,TRUE)))&amp;FIXED(F1554,2,TRUE)</f>
        <v/>
      </c>
      <c r="AH1554" s="10">
        <f>LEN(AC1554)+LEN(AG1554)</f>
        <v/>
      </c>
      <c r="AI1554" s="10">
        <f>LEN(L1554)</f>
        <v/>
      </c>
    </row>
    <row r="1555">
      <c r="J1555" s="12">
        <f>IF(F1555&lt;&gt;0,"LANÇAR","")</f>
        <v/>
      </c>
      <c r="L1555" s="13">
        <f>N1555&amp;O1555&amp;P1555&amp;Q1555&amp;R1555&amp;S1555&amp;T1555&amp;U1555&amp;V1555&amp;W1555&amp;X1555&amp;Y1555&amp;Z1555&amp;AA1555&amp;AB1555&amp;AC1555&amp;AD1555&amp;AE1555&amp;AF1555&amp;AG1555</f>
        <v/>
      </c>
      <c r="N1555" s="10">
        <f>TEXT($B$6,"00")</f>
        <v/>
      </c>
      <c r="O1555" s="10">
        <f>REPT(" ",8)</f>
        <v/>
      </c>
      <c r="P1555" s="10">
        <f>RIGHT($B$4,2)</f>
        <v/>
      </c>
      <c r="Q1555" s="10">
        <f>RIGHT($B$5,3)</f>
        <v/>
      </c>
      <c r="R1555" s="10">
        <f>IF(A1555="D",LEFT(UPPER(B1555)&amp;REPT(" ",20),20),REPT(" ",20))</f>
        <v/>
      </c>
      <c r="S1555" s="10">
        <f>IF(A1555="D",LEFT(UPPER(C1555)&amp;REPT(" ",10),10)," ")</f>
        <v/>
      </c>
      <c r="T1555" s="10">
        <f>IF(A1555="D",LEFT(UPPER(D1555)&amp;REPT(" ",2),2)," ")</f>
        <v/>
      </c>
      <c r="U1555" s="10">
        <f>IF(A1555="D",LEFT(UPPER(E1555)&amp;REPT(" ",15),15)," ")</f>
        <v/>
      </c>
      <c r="V1555" s="10">
        <f>REPT(" ",24)</f>
        <v/>
      </c>
      <c r="W1555" s="10">
        <f>IF(A1555="c",LEFT(UPPER(B1555)&amp;REPT(" ",20),20),REPT(" ",20))</f>
        <v/>
      </c>
      <c r="X1555" s="10">
        <f>IF(A1555="C",LEFT(UPPER(C1555)&amp;REPT(" ",10),10)," ")</f>
        <v/>
      </c>
      <c r="Y1555" s="10">
        <f>IF(A1555="C",LEFT(UPPER(D1555)&amp;REPT(" ",2),2)," ")</f>
        <v/>
      </c>
      <c r="Z1555" s="10">
        <f>IF(A1555="C",LEFT(UPPER(E1555)&amp;REPT(" ",15),15)," ")</f>
        <v/>
      </c>
      <c r="AA1555" s="10">
        <f>REPT(" ",8)</f>
        <v/>
      </c>
      <c r="AB1555" s="10">
        <f>REPT(" ",4)</f>
        <v/>
      </c>
      <c r="AC1555" s="10">
        <f>LEFT(UPPER(H1555)&amp;REPT(" ",250),250)</f>
        <v/>
      </c>
      <c r="AD1555" s="10">
        <f>TEXT($G$2,"dd/mm/aaaa")</f>
        <v/>
      </c>
      <c r="AE1555" s="10">
        <f>REPT(" ",10)</f>
        <v/>
      </c>
      <c r="AF1555" s="10">
        <f>REPT(" ",20)</f>
        <v/>
      </c>
      <c r="AG1555" s="54">
        <f>REPT(" ",18-LEN(FIXED(F1555,2,TRUE)))&amp;FIXED(F1555,2,TRUE)</f>
        <v/>
      </c>
      <c r="AH1555" s="10">
        <f>LEN(AC1555)+LEN(AG1555)</f>
        <v/>
      </c>
      <c r="AI1555" s="10">
        <f>LEN(L1555)</f>
        <v/>
      </c>
    </row>
    <row r="1556">
      <c r="J1556" s="12">
        <f>IF(F1556&lt;&gt;0,"LANÇAR","")</f>
        <v/>
      </c>
      <c r="L1556" s="13">
        <f>N1556&amp;O1556&amp;P1556&amp;Q1556&amp;R1556&amp;S1556&amp;T1556&amp;U1556&amp;V1556&amp;W1556&amp;X1556&amp;Y1556&amp;Z1556&amp;AA1556&amp;AB1556&amp;AC1556&amp;AD1556&amp;AE1556&amp;AF1556&amp;AG1556</f>
        <v/>
      </c>
      <c r="N1556" s="10">
        <f>TEXT($B$6,"00")</f>
        <v/>
      </c>
      <c r="O1556" s="10">
        <f>REPT(" ",8)</f>
        <v/>
      </c>
      <c r="P1556" s="10">
        <f>RIGHT($B$4,2)</f>
        <v/>
      </c>
      <c r="Q1556" s="10">
        <f>RIGHT($B$5,3)</f>
        <v/>
      </c>
      <c r="R1556" s="10">
        <f>IF(A1556="D",LEFT(UPPER(B1556)&amp;REPT(" ",20),20),REPT(" ",20))</f>
        <v/>
      </c>
      <c r="S1556" s="10">
        <f>IF(A1556="D",LEFT(UPPER(C1556)&amp;REPT(" ",10),10)," ")</f>
        <v/>
      </c>
      <c r="T1556" s="10">
        <f>IF(A1556="D",LEFT(UPPER(D1556)&amp;REPT(" ",2),2)," ")</f>
        <v/>
      </c>
      <c r="U1556" s="10">
        <f>IF(A1556="D",LEFT(UPPER(E1556)&amp;REPT(" ",15),15)," ")</f>
        <v/>
      </c>
      <c r="V1556" s="10">
        <f>REPT(" ",24)</f>
        <v/>
      </c>
      <c r="W1556" s="10">
        <f>IF(A1556="c",LEFT(UPPER(B1556)&amp;REPT(" ",20),20),REPT(" ",20))</f>
        <v/>
      </c>
      <c r="X1556" s="10">
        <f>IF(A1556="C",LEFT(UPPER(C1556)&amp;REPT(" ",10),10)," ")</f>
        <v/>
      </c>
      <c r="Y1556" s="10">
        <f>IF(A1556="C",LEFT(UPPER(D1556)&amp;REPT(" ",2),2)," ")</f>
        <v/>
      </c>
      <c r="Z1556" s="10">
        <f>IF(A1556="C",LEFT(UPPER(E1556)&amp;REPT(" ",15),15)," ")</f>
        <v/>
      </c>
      <c r="AA1556" s="10">
        <f>REPT(" ",8)</f>
        <v/>
      </c>
      <c r="AB1556" s="10">
        <f>REPT(" ",4)</f>
        <v/>
      </c>
      <c r="AC1556" s="10">
        <f>LEFT(UPPER(H1556)&amp;REPT(" ",250),250)</f>
        <v/>
      </c>
      <c r="AD1556" s="10">
        <f>TEXT($G$2,"dd/mm/aaaa")</f>
        <v/>
      </c>
      <c r="AE1556" s="10">
        <f>REPT(" ",10)</f>
        <v/>
      </c>
      <c r="AF1556" s="10">
        <f>REPT(" ",20)</f>
        <v/>
      </c>
      <c r="AG1556" s="54">
        <f>REPT(" ",18-LEN(FIXED(F1556,2,TRUE)))&amp;FIXED(F1556,2,TRUE)</f>
        <v/>
      </c>
      <c r="AH1556" s="10">
        <f>LEN(AC1556)+LEN(AG1556)</f>
        <v/>
      </c>
      <c r="AI1556" s="10">
        <f>LEN(L1556)</f>
        <v/>
      </c>
    </row>
    <row r="1557">
      <c r="J1557" s="12">
        <f>IF(F1557&lt;&gt;0,"LANÇAR","")</f>
        <v/>
      </c>
      <c r="L1557" s="13">
        <f>N1557&amp;O1557&amp;P1557&amp;Q1557&amp;R1557&amp;S1557&amp;T1557&amp;U1557&amp;V1557&amp;W1557&amp;X1557&amp;Y1557&amp;Z1557&amp;AA1557&amp;AB1557&amp;AC1557&amp;AD1557&amp;AE1557&amp;AF1557&amp;AG1557</f>
        <v/>
      </c>
      <c r="N1557" s="10">
        <f>TEXT($B$6,"00")</f>
        <v/>
      </c>
      <c r="O1557" s="10">
        <f>REPT(" ",8)</f>
        <v/>
      </c>
      <c r="P1557" s="10">
        <f>RIGHT($B$4,2)</f>
        <v/>
      </c>
      <c r="Q1557" s="10">
        <f>RIGHT($B$5,3)</f>
        <v/>
      </c>
      <c r="R1557" s="10">
        <f>IF(A1557="D",LEFT(UPPER(B1557)&amp;REPT(" ",20),20),REPT(" ",20))</f>
        <v/>
      </c>
      <c r="S1557" s="10">
        <f>IF(A1557="D",LEFT(UPPER(C1557)&amp;REPT(" ",10),10)," ")</f>
        <v/>
      </c>
      <c r="T1557" s="10">
        <f>IF(A1557="D",LEFT(UPPER(D1557)&amp;REPT(" ",2),2)," ")</f>
        <v/>
      </c>
      <c r="U1557" s="10">
        <f>IF(A1557="D",LEFT(UPPER(E1557)&amp;REPT(" ",15),15)," ")</f>
        <v/>
      </c>
      <c r="V1557" s="10">
        <f>REPT(" ",24)</f>
        <v/>
      </c>
      <c r="W1557" s="10">
        <f>IF(A1557="c",LEFT(UPPER(B1557)&amp;REPT(" ",20),20),REPT(" ",20))</f>
        <v/>
      </c>
      <c r="X1557" s="10">
        <f>IF(A1557="C",LEFT(UPPER(C1557)&amp;REPT(" ",10),10)," ")</f>
        <v/>
      </c>
      <c r="Y1557" s="10">
        <f>IF(A1557="C",LEFT(UPPER(D1557)&amp;REPT(" ",2),2)," ")</f>
        <v/>
      </c>
      <c r="Z1557" s="10">
        <f>IF(A1557="C",LEFT(UPPER(E1557)&amp;REPT(" ",15),15)," ")</f>
        <v/>
      </c>
      <c r="AA1557" s="10">
        <f>REPT(" ",8)</f>
        <v/>
      </c>
      <c r="AB1557" s="10">
        <f>REPT(" ",4)</f>
        <v/>
      </c>
      <c r="AC1557" s="10">
        <f>LEFT(UPPER(H1557)&amp;REPT(" ",250),250)</f>
        <v/>
      </c>
      <c r="AD1557" s="10">
        <f>TEXT($G$2,"dd/mm/aaaa")</f>
        <v/>
      </c>
      <c r="AE1557" s="10">
        <f>REPT(" ",10)</f>
        <v/>
      </c>
      <c r="AF1557" s="10">
        <f>REPT(" ",20)</f>
        <v/>
      </c>
      <c r="AG1557" s="54">
        <f>REPT(" ",18-LEN(FIXED(F1557,2,TRUE)))&amp;FIXED(F1557,2,TRUE)</f>
        <v/>
      </c>
      <c r="AH1557" s="10">
        <f>LEN(AC1557)+LEN(AG1557)</f>
        <v/>
      </c>
      <c r="AI1557" s="10">
        <f>LEN(L1557)</f>
        <v/>
      </c>
    </row>
    <row r="1558">
      <c r="J1558" s="12">
        <f>IF(F1558&lt;&gt;0,"LANÇAR","")</f>
        <v/>
      </c>
      <c r="L1558" s="13">
        <f>N1558&amp;O1558&amp;P1558&amp;Q1558&amp;R1558&amp;S1558&amp;T1558&amp;U1558&amp;V1558&amp;W1558&amp;X1558&amp;Y1558&amp;Z1558&amp;AA1558&amp;AB1558&amp;AC1558&amp;AD1558&amp;AE1558&amp;AF1558&amp;AG1558</f>
        <v/>
      </c>
      <c r="N1558" s="10">
        <f>TEXT($B$6,"00")</f>
        <v/>
      </c>
      <c r="O1558" s="10">
        <f>REPT(" ",8)</f>
        <v/>
      </c>
      <c r="P1558" s="10">
        <f>RIGHT($B$4,2)</f>
        <v/>
      </c>
      <c r="Q1558" s="10">
        <f>RIGHT($B$5,3)</f>
        <v/>
      </c>
      <c r="R1558" s="10">
        <f>IF(A1558="D",LEFT(UPPER(B1558)&amp;REPT(" ",20),20),REPT(" ",20))</f>
        <v/>
      </c>
      <c r="S1558" s="10">
        <f>IF(A1558="D",LEFT(UPPER(C1558)&amp;REPT(" ",10),10)," ")</f>
        <v/>
      </c>
      <c r="T1558" s="10">
        <f>IF(A1558="D",LEFT(UPPER(D1558)&amp;REPT(" ",2),2)," ")</f>
        <v/>
      </c>
      <c r="U1558" s="10">
        <f>IF(A1558="D",LEFT(UPPER(E1558)&amp;REPT(" ",15),15)," ")</f>
        <v/>
      </c>
      <c r="V1558" s="10">
        <f>REPT(" ",24)</f>
        <v/>
      </c>
      <c r="W1558" s="10">
        <f>IF(A1558="c",LEFT(UPPER(B1558)&amp;REPT(" ",20),20),REPT(" ",20))</f>
        <v/>
      </c>
      <c r="X1558" s="10">
        <f>IF(A1558="C",LEFT(UPPER(C1558)&amp;REPT(" ",10),10)," ")</f>
        <v/>
      </c>
      <c r="Y1558" s="10">
        <f>IF(A1558="C",LEFT(UPPER(D1558)&amp;REPT(" ",2),2)," ")</f>
        <v/>
      </c>
      <c r="Z1558" s="10">
        <f>IF(A1558="C",LEFT(UPPER(E1558)&amp;REPT(" ",15),15)," ")</f>
        <v/>
      </c>
      <c r="AA1558" s="10">
        <f>REPT(" ",8)</f>
        <v/>
      </c>
      <c r="AB1558" s="10">
        <f>REPT(" ",4)</f>
        <v/>
      </c>
      <c r="AC1558" s="10">
        <f>LEFT(UPPER(H1558)&amp;REPT(" ",250),250)</f>
        <v/>
      </c>
      <c r="AD1558" s="10">
        <f>TEXT($G$2,"dd/mm/aaaa")</f>
        <v/>
      </c>
      <c r="AE1558" s="10">
        <f>REPT(" ",10)</f>
        <v/>
      </c>
      <c r="AF1558" s="10">
        <f>REPT(" ",20)</f>
        <v/>
      </c>
      <c r="AG1558" s="54">
        <f>REPT(" ",18-LEN(FIXED(F1558,2,TRUE)))&amp;FIXED(F1558,2,TRUE)</f>
        <v/>
      </c>
      <c r="AH1558" s="10">
        <f>LEN(AC1558)+LEN(AG1558)</f>
        <v/>
      </c>
      <c r="AI1558" s="10">
        <f>LEN(L1558)</f>
        <v/>
      </c>
    </row>
    <row r="1559">
      <c r="J1559" s="12">
        <f>IF(F1559&lt;&gt;0,"LANÇAR","")</f>
        <v/>
      </c>
      <c r="L1559" s="13">
        <f>N1559&amp;O1559&amp;P1559&amp;Q1559&amp;R1559&amp;S1559&amp;T1559&amp;U1559&amp;V1559&amp;W1559&amp;X1559&amp;Y1559&amp;Z1559&amp;AA1559&amp;AB1559&amp;AC1559&amp;AD1559&amp;AE1559&amp;AF1559&amp;AG1559</f>
        <v/>
      </c>
      <c r="N1559" s="10">
        <f>TEXT($B$6,"00")</f>
        <v/>
      </c>
      <c r="O1559" s="10">
        <f>REPT(" ",8)</f>
        <v/>
      </c>
      <c r="P1559" s="10">
        <f>RIGHT($B$4,2)</f>
        <v/>
      </c>
      <c r="Q1559" s="10">
        <f>RIGHT($B$5,3)</f>
        <v/>
      </c>
      <c r="R1559" s="10">
        <f>IF(A1559="D",LEFT(UPPER(B1559)&amp;REPT(" ",20),20),REPT(" ",20))</f>
        <v/>
      </c>
      <c r="S1559" s="10">
        <f>IF(A1559="D",LEFT(UPPER(C1559)&amp;REPT(" ",10),10)," ")</f>
        <v/>
      </c>
      <c r="T1559" s="10">
        <f>IF(A1559="D",LEFT(UPPER(D1559)&amp;REPT(" ",2),2)," ")</f>
        <v/>
      </c>
      <c r="U1559" s="10">
        <f>IF(A1559="D",LEFT(UPPER(E1559)&amp;REPT(" ",15),15)," ")</f>
        <v/>
      </c>
      <c r="V1559" s="10">
        <f>REPT(" ",24)</f>
        <v/>
      </c>
      <c r="W1559" s="10">
        <f>IF(A1559="c",LEFT(UPPER(B1559)&amp;REPT(" ",20),20),REPT(" ",20))</f>
        <v/>
      </c>
      <c r="X1559" s="10">
        <f>IF(A1559="C",LEFT(UPPER(C1559)&amp;REPT(" ",10),10)," ")</f>
        <v/>
      </c>
      <c r="Y1559" s="10">
        <f>IF(A1559="C",LEFT(UPPER(D1559)&amp;REPT(" ",2),2)," ")</f>
        <v/>
      </c>
      <c r="Z1559" s="10">
        <f>IF(A1559="C",LEFT(UPPER(E1559)&amp;REPT(" ",15),15)," ")</f>
        <v/>
      </c>
      <c r="AA1559" s="10">
        <f>REPT(" ",8)</f>
        <v/>
      </c>
      <c r="AB1559" s="10">
        <f>REPT(" ",4)</f>
        <v/>
      </c>
      <c r="AC1559" s="10">
        <f>LEFT(UPPER(H1559)&amp;REPT(" ",250),250)</f>
        <v/>
      </c>
      <c r="AD1559" s="10">
        <f>TEXT($G$2,"dd/mm/aaaa")</f>
        <v/>
      </c>
      <c r="AE1559" s="10">
        <f>REPT(" ",10)</f>
        <v/>
      </c>
      <c r="AF1559" s="10">
        <f>REPT(" ",20)</f>
        <v/>
      </c>
      <c r="AG1559" s="54">
        <f>REPT(" ",18-LEN(FIXED(F1559,2,TRUE)))&amp;FIXED(F1559,2,TRUE)</f>
        <v/>
      </c>
      <c r="AH1559" s="10">
        <f>LEN(AC1559)+LEN(AG1559)</f>
        <v/>
      </c>
      <c r="AI1559" s="10">
        <f>LEN(L1559)</f>
        <v/>
      </c>
    </row>
    <row r="1560">
      <c r="J1560" s="12">
        <f>IF(F1560&lt;&gt;0,"LANÇAR","")</f>
        <v/>
      </c>
      <c r="L1560" s="13">
        <f>N1560&amp;O1560&amp;P1560&amp;Q1560&amp;R1560&amp;S1560&amp;T1560&amp;U1560&amp;V1560&amp;W1560&amp;X1560&amp;Y1560&amp;Z1560&amp;AA1560&amp;AB1560&amp;AC1560&amp;AD1560&amp;AE1560&amp;AF1560&amp;AG1560</f>
        <v/>
      </c>
      <c r="N1560" s="10">
        <f>TEXT($B$6,"00")</f>
        <v/>
      </c>
      <c r="O1560" s="10">
        <f>REPT(" ",8)</f>
        <v/>
      </c>
      <c r="P1560" s="10">
        <f>RIGHT($B$4,2)</f>
        <v/>
      </c>
      <c r="Q1560" s="10">
        <f>RIGHT($B$5,3)</f>
        <v/>
      </c>
      <c r="R1560" s="10">
        <f>IF(A1560="D",LEFT(UPPER(B1560)&amp;REPT(" ",20),20),REPT(" ",20))</f>
        <v/>
      </c>
      <c r="S1560" s="10">
        <f>IF(A1560="D",LEFT(UPPER(C1560)&amp;REPT(" ",10),10)," ")</f>
        <v/>
      </c>
      <c r="T1560" s="10">
        <f>IF(A1560="D",LEFT(UPPER(D1560)&amp;REPT(" ",2),2)," ")</f>
        <v/>
      </c>
      <c r="U1560" s="10">
        <f>IF(A1560="D",LEFT(UPPER(E1560)&amp;REPT(" ",15),15)," ")</f>
        <v/>
      </c>
      <c r="V1560" s="10">
        <f>REPT(" ",24)</f>
        <v/>
      </c>
      <c r="W1560" s="10">
        <f>IF(A1560="c",LEFT(UPPER(B1560)&amp;REPT(" ",20),20),REPT(" ",20))</f>
        <v/>
      </c>
      <c r="X1560" s="10">
        <f>IF(A1560="C",LEFT(UPPER(C1560)&amp;REPT(" ",10),10)," ")</f>
        <v/>
      </c>
      <c r="Y1560" s="10">
        <f>IF(A1560="C",LEFT(UPPER(D1560)&amp;REPT(" ",2),2)," ")</f>
        <v/>
      </c>
      <c r="Z1560" s="10">
        <f>IF(A1560="C",LEFT(UPPER(E1560)&amp;REPT(" ",15),15)," ")</f>
        <v/>
      </c>
      <c r="AA1560" s="10">
        <f>REPT(" ",8)</f>
        <v/>
      </c>
      <c r="AB1560" s="10">
        <f>REPT(" ",4)</f>
        <v/>
      </c>
      <c r="AC1560" s="10">
        <f>LEFT(UPPER(H1560)&amp;REPT(" ",250),250)</f>
        <v/>
      </c>
      <c r="AD1560" s="10">
        <f>TEXT($G$2,"dd/mm/aaaa")</f>
        <v/>
      </c>
      <c r="AE1560" s="10">
        <f>REPT(" ",10)</f>
        <v/>
      </c>
      <c r="AF1560" s="10">
        <f>REPT(" ",20)</f>
        <v/>
      </c>
      <c r="AG1560" s="54">
        <f>REPT(" ",18-LEN(FIXED(F1560,2,TRUE)))&amp;FIXED(F1560,2,TRUE)</f>
        <v/>
      </c>
      <c r="AH1560" s="10">
        <f>LEN(AC1560)+LEN(AG1560)</f>
        <v/>
      </c>
      <c r="AI1560" s="10">
        <f>LEN(L1560)</f>
        <v/>
      </c>
    </row>
    <row r="1561">
      <c r="J1561" s="12">
        <f>IF(F1561&lt;&gt;0,"LANÇAR","")</f>
        <v/>
      </c>
      <c r="L1561" s="13">
        <f>N1561&amp;O1561&amp;P1561&amp;Q1561&amp;R1561&amp;S1561&amp;T1561&amp;U1561&amp;V1561&amp;W1561&amp;X1561&amp;Y1561&amp;Z1561&amp;AA1561&amp;AB1561&amp;AC1561&amp;AD1561&amp;AE1561&amp;AF1561&amp;AG1561</f>
        <v/>
      </c>
      <c r="N1561" s="10">
        <f>TEXT($B$6,"00")</f>
        <v/>
      </c>
      <c r="O1561" s="10">
        <f>REPT(" ",8)</f>
        <v/>
      </c>
      <c r="P1561" s="10">
        <f>RIGHT($B$4,2)</f>
        <v/>
      </c>
      <c r="Q1561" s="10">
        <f>RIGHT($B$5,3)</f>
        <v/>
      </c>
      <c r="R1561" s="10">
        <f>IF(A1561="D",LEFT(UPPER(B1561)&amp;REPT(" ",20),20),REPT(" ",20))</f>
        <v/>
      </c>
      <c r="S1561" s="10">
        <f>IF(A1561="D",LEFT(UPPER(C1561)&amp;REPT(" ",10),10)," ")</f>
        <v/>
      </c>
      <c r="T1561" s="10">
        <f>IF(A1561="D",LEFT(UPPER(D1561)&amp;REPT(" ",2),2)," ")</f>
        <v/>
      </c>
      <c r="U1561" s="10">
        <f>IF(A1561="D",LEFT(UPPER(E1561)&amp;REPT(" ",15),15)," ")</f>
        <v/>
      </c>
      <c r="V1561" s="10">
        <f>REPT(" ",24)</f>
        <v/>
      </c>
      <c r="W1561" s="10">
        <f>IF(A1561="c",LEFT(UPPER(B1561)&amp;REPT(" ",20),20),REPT(" ",20))</f>
        <v/>
      </c>
      <c r="X1561" s="10">
        <f>IF(A1561="C",LEFT(UPPER(C1561)&amp;REPT(" ",10),10)," ")</f>
        <v/>
      </c>
      <c r="Y1561" s="10">
        <f>IF(A1561="C",LEFT(UPPER(D1561)&amp;REPT(" ",2),2)," ")</f>
        <v/>
      </c>
      <c r="Z1561" s="10">
        <f>IF(A1561="C",LEFT(UPPER(E1561)&amp;REPT(" ",15),15)," ")</f>
        <v/>
      </c>
      <c r="AA1561" s="10">
        <f>REPT(" ",8)</f>
        <v/>
      </c>
      <c r="AB1561" s="10">
        <f>REPT(" ",4)</f>
        <v/>
      </c>
      <c r="AC1561" s="10">
        <f>LEFT(UPPER(H1561)&amp;REPT(" ",250),250)</f>
        <v/>
      </c>
      <c r="AD1561" s="10">
        <f>TEXT($G$2,"dd/mm/aaaa")</f>
        <v/>
      </c>
      <c r="AE1561" s="10">
        <f>REPT(" ",10)</f>
        <v/>
      </c>
      <c r="AF1561" s="10">
        <f>REPT(" ",20)</f>
        <v/>
      </c>
      <c r="AG1561" s="54">
        <f>REPT(" ",18-LEN(FIXED(F1561,2,TRUE)))&amp;FIXED(F1561,2,TRUE)</f>
        <v/>
      </c>
      <c r="AH1561" s="10">
        <f>LEN(AC1561)+LEN(AG1561)</f>
        <v/>
      </c>
      <c r="AI1561" s="10">
        <f>LEN(L1561)</f>
        <v/>
      </c>
    </row>
    <row r="1562">
      <c r="J1562" s="12">
        <f>IF(F1562&lt;&gt;0,"LANÇAR","")</f>
        <v/>
      </c>
      <c r="L1562" s="13">
        <f>N1562&amp;O1562&amp;P1562&amp;Q1562&amp;R1562&amp;S1562&amp;T1562&amp;U1562&amp;V1562&amp;W1562&amp;X1562&amp;Y1562&amp;Z1562&amp;AA1562&amp;AB1562&amp;AC1562&amp;AD1562&amp;AE1562&amp;AF1562&amp;AG1562</f>
        <v/>
      </c>
      <c r="N1562" s="10">
        <f>TEXT($B$6,"00")</f>
        <v/>
      </c>
      <c r="O1562" s="10">
        <f>REPT(" ",8)</f>
        <v/>
      </c>
      <c r="P1562" s="10">
        <f>RIGHT($B$4,2)</f>
        <v/>
      </c>
      <c r="Q1562" s="10">
        <f>RIGHT($B$5,3)</f>
        <v/>
      </c>
      <c r="R1562" s="10">
        <f>IF(A1562="D",LEFT(UPPER(B1562)&amp;REPT(" ",20),20),REPT(" ",20))</f>
        <v/>
      </c>
      <c r="S1562" s="10">
        <f>IF(A1562="D",LEFT(UPPER(C1562)&amp;REPT(" ",10),10)," ")</f>
        <v/>
      </c>
      <c r="T1562" s="10">
        <f>IF(A1562="D",LEFT(UPPER(D1562)&amp;REPT(" ",2),2)," ")</f>
        <v/>
      </c>
      <c r="U1562" s="10">
        <f>IF(A1562="D",LEFT(UPPER(E1562)&amp;REPT(" ",15),15)," ")</f>
        <v/>
      </c>
      <c r="V1562" s="10">
        <f>REPT(" ",24)</f>
        <v/>
      </c>
      <c r="W1562" s="10">
        <f>IF(A1562="c",LEFT(UPPER(B1562)&amp;REPT(" ",20),20),REPT(" ",20))</f>
        <v/>
      </c>
      <c r="X1562" s="10">
        <f>IF(A1562="C",LEFT(UPPER(C1562)&amp;REPT(" ",10),10)," ")</f>
        <v/>
      </c>
      <c r="Y1562" s="10">
        <f>IF(A1562="C",LEFT(UPPER(D1562)&amp;REPT(" ",2),2)," ")</f>
        <v/>
      </c>
      <c r="Z1562" s="10">
        <f>IF(A1562="C",LEFT(UPPER(E1562)&amp;REPT(" ",15),15)," ")</f>
        <v/>
      </c>
      <c r="AA1562" s="10">
        <f>REPT(" ",8)</f>
        <v/>
      </c>
      <c r="AB1562" s="10">
        <f>REPT(" ",4)</f>
        <v/>
      </c>
      <c r="AC1562" s="10">
        <f>LEFT(UPPER(H1562)&amp;REPT(" ",250),250)</f>
        <v/>
      </c>
      <c r="AD1562" s="10">
        <f>TEXT($G$2,"dd/mm/aaaa")</f>
        <v/>
      </c>
      <c r="AE1562" s="10">
        <f>REPT(" ",10)</f>
        <v/>
      </c>
      <c r="AF1562" s="10">
        <f>REPT(" ",20)</f>
        <v/>
      </c>
      <c r="AG1562" s="54">
        <f>REPT(" ",18-LEN(FIXED(F1562,2,TRUE)))&amp;FIXED(F1562,2,TRUE)</f>
        <v/>
      </c>
      <c r="AH1562" s="10">
        <f>LEN(AC1562)+LEN(AG1562)</f>
        <v/>
      </c>
      <c r="AI1562" s="10">
        <f>LEN(L1562)</f>
        <v/>
      </c>
    </row>
    <row r="1563">
      <c r="J1563" s="12">
        <f>IF(F1563&lt;&gt;0,"LANÇAR","")</f>
        <v/>
      </c>
      <c r="L1563" s="13">
        <f>N1563&amp;O1563&amp;P1563&amp;Q1563&amp;R1563&amp;S1563&amp;T1563&amp;U1563&amp;V1563&amp;W1563&amp;X1563&amp;Y1563&amp;Z1563&amp;AA1563&amp;AB1563&amp;AC1563&amp;AD1563&amp;AE1563&amp;AF1563&amp;AG1563</f>
        <v/>
      </c>
      <c r="N1563" s="10">
        <f>TEXT($B$6,"00")</f>
        <v/>
      </c>
      <c r="O1563" s="10">
        <f>REPT(" ",8)</f>
        <v/>
      </c>
      <c r="P1563" s="10">
        <f>RIGHT($B$4,2)</f>
        <v/>
      </c>
      <c r="Q1563" s="10">
        <f>RIGHT($B$5,3)</f>
        <v/>
      </c>
      <c r="R1563" s="10">
        <f>IF(A1563="D",LEFT(UPPER(B1563)&amp;REPT(" ",20),20),REPT(" ",20))</f>
        <v/>
      </c>
      <c r="S1563" s="10">
        <f>IF(A1563="D",LEFT(UPPER(C1563)&amp;REPT(" ",10),10)," ")</f>
        <v/>
      </c>
      <c r="T1563" s="10">
        <f>IF(A1563="D",LEFT(UPPER(D1563)&amp;REPT(" ",2),2)," ")</f>
        <v/>
      </c>
      <c r="U1563" s="10">
        <f>IF(A1563="D",LEFT(UPPER(E1563)&amp;REPT(" ",15),15)," ")</f>
        <v/>
      </c>
      <c r="V1563" s="10">
        <f>REPT(" ",24)</f>
        <v/>
      </c>
      <c r="W1563" s="10">
        <f>IF(A1563="c",LEFT(UPPER(B1563)&amp;REPT(" ",20),20),REPT(" ",20))</f>
        <v/>
      </c>
      <c r="X1563" s="10">
        <f>IF(A1563="C",LEFT(UPPER(C1563)&amp;REPT(" ",10),10)," ")</f>
        <v/>
      </c>
      <c r="Y1563" s="10">
        <f>IF(A1563="C",LEFT(UPPER(D1563)&amp;REPT(" ",2),2)," ")</f>
        <v/>
      </c>
      <c r="Z1563" s="10">
        <f>IF(A1563="C",LEFT(UPPER(E1563)&amp;REPT(" ",15),15)," ")</f>
        <v/>
      </c>
      <c r="AA1563" s="10">
        <f>REPT(" ",8)</f>
        <v/>
      </c>
      <c r="AB1563" s="10">
        <f>REPT(" ",4)</f>
        <v/>
      </c>
      <c r="AC1563" s="10">
        <f>LEFT(UPPER(H1563)&amp;REPT(" ",250),250)</f>
        <v/>
      </c>
      <c r="AD1563" s="10">
        <f>TEXT($G$2,"dd/mm/aaaa")</f>
        <v/>
      </c>
      <c r="AE1563" s="10">
        <f>REPT(" ",10)</f>
        <v/>
      </c>
      <c r="AF1563" s="10">
        <f>REPT(" ",20)</f>
        <v/>
      </c>
      <c r="AG1563" s="54">
        <f>REPT(" ",18-LEN(FIXED(F1563,2,TRUE)))&amp;FIXED(F1563,2,TRUE)</f>
        <v/>
      </c>
      <c r="AH1563" s="10">
        <f>LEN(AC1563)+LEN(AG1563)</f>
        <v/>
      </c>
      <c r="AI1563" s="10">
        <f>LEN(L1563)</f>
        <v/>
      </c>
    </row>
    <row r="1564">
      <c r="J1564" s="12">
        <f>IF(F1564&lt;&gt;0,"LANÇAR","")</f>
        <v/>
      </c>
      <c r="L1564" s="13">
        <f>N1564&amp;O1564&amp;P1564&amp;Q1564&amp;R1564&amp;S1564&amp;T1564&amp;U1564&amp;V1564&amp;W1564&amp;X1564&amp;Y1564&amp;Z1564&amp;AA1564&amp;AB1564&amp;AC1564&amp;AD1564&amp;AE1564&amp;AF1564&amp;AG1564</f>
        <v/>
      </c>
      <c r="N1564" s="10">
        <f>TEXT($B$6,"00")</f>
        <v/>
      </c>
      <c r="O1564" s="10">
        <f>REPT(" ",8)</f>
        <v/>
      </c>
      <c r="P1564" s="10">
        <f>RIGHT($B$4,2)</f>
        <v/>
      </c>
      <c r="Q1564" s="10">
        <f>RIGHT($B$5,3)</f>
        <v/>
      </c>
      <c r="R1564" s="10">
        <f>IF(A1564="D",LEFT(UPPER(B1564)&amp;REPT(" ",20),20),REPT(" ",20))</f>
        <v/>
      </c>
      <c r="S1564" s="10">
        <f>IF(A1564="D",LEFT(UPPER(C1564)&amp;REPT(" ",10),10)," ")</f>
        <v/>
      </c>
      <c r="T1564" s="10">
        <f>IF(A1564="D",LEFT(UPPER(D1564)&amp;REPT(" ",2),2)," ")</f>
        <v/>
      </c>
      <c r="U1564" s="10">
        <f>IF(A1564="D",LEFT(UPPER(E1564)&amp;REPT(" ",15),15)," ")</f>
        <v/>
      </c>
      <c r="V1564" s="10">
        <f>REPT(" ",24)</f>
        <v/>
      </c>
      <c r="W1564" s="10">
        <f>IF(A1564="c",LEFT(UPPER(B1564)&amp;REPT(" ",20),20),REPT(" ",20))</f>
        <v/>
      </c>
      <c r="X1564" s="10">
        <f>IF(A1564="C",LEFT(UPPER(C1564)&amp;REPT(" ",10),10)," ")</f>
        <v/>
      </c>
      <c r="Y1564" s="10">
        <f>IF(A1564="C",LEFT(UPPER(D1564)&amp;REPT(" ",2),2)," ")</f>
        <v/>
      </c>
      <c r="Z1564" s="10">
        <f>IF(A1564="C",LEFT(UPPER(E1564)&amp;REPT(" ",15),15)," ")</f>
        <v/>
      </c>
      <c r="AA1564" s="10">
        <f>REPT(" ",8)</f>
        <v/>
      </c>
      <c r="AB1564" s="10">
        <f>REPT(" ",4)</f>
        <v/>
      </c>
      <c r="AC1564" s="10">
        <f>LEFT(UPPER(H1564)&amp;REPT(" ",250),250)</f>
        <v/>
      </c>
      <c r="AD1564" s="10">
        <f>TEXT($G$2,"dd/mm/aaaa")</f>
        <v/>
      </c>
      <c r="AE1564" s="10">
        <f>REPT(" ",10)</f>
        <v/>
      </c>
      <c r="AF1564" s="10">
        <f>REPT(" ",20)</f>
        <v/>
      </c>
      <c r="AG1564" s="54">
        <f>REPT(" ",18-LEN(FIXED(F1564,2,TRUE)))&amp;FIXED(F1564,2,TRUE)</f>
        <v/>
      </c>
      <c r="AH1564" s="10">
        <f>LEN(AC1564)+LEN(AG1564)</f>
        <v/>
      </c>
      <c r="AI1564" s="10">
        <f>LEN(L1564)</f>
        <v/>
      </c>
    </row>
    <row r="1565">
      <c r="J1565" s="12">
        <f>IF(F1565&lt;&gt;0,"LANÇAR","")</f>
        <v/>
      </c>
      <c r="L1565" s="13">
        <f>N1565&amp;O1565&amp;P1565&amp;Q1565&amp;R1565&amp;S1565&amp;T1565&amp;U1565&amp;V1565&amp;W1565&amp;X1565&amp;Y1565&amp;Z1565&amp;AA1565&amp;AB1565&amp;AC1565&amp;AD1565&amp;AE1565&amp;AF1565&amp;AG1565</f>
        <v/>
      </c>
      <c r="N1565" s="10">
        <f>TEXT($B$6,"00")</f>
        <v/>
      </c>
      <c r="O1565" s="10">
        <f>REPT(" ",8)</f>
        <v/>
      </c>
      <c r="P1565" s="10">
        <f>RIGHT($B$4,2)</f>
        <v/>
      </c>
      <c r="Q1565" s="10">
        <f>RIGHT($B$5,3)</f>
        <v/>
      </c>
      <c r="R1565" s="10">
        <f>IF(A1565="D",LEFT(UPPER(B1565)&amp;REPT(" ",20),20),REPT(" ",20))</f>
        <v/>
      </c>
      <c r="S1565" s="10">
        <f>IF(A1565="D",LEFT(UPPER(C1565)&amp;REPT(" ",10),10)," ")</f>
        <v/>
      </c>
      <c r="T1565" s="10">
        <f>IF(A1565="D",LEFT(UPPER(D1565)&amp;REPT(" ",2),2)," ")</f>
        <v/>
      </c>
      <c r="U1565" s="10">
        <f>IF(A1565="D",LEFT(UPPER(E1565)&amp;REPT(" ",15),15)," ")</f>
        <v/>
      </c>
      <c r="V1565" s="10">
        <f>REPT(" ",24)</f>
        <v/>
      </c>
      <c r="W1565" s="10">
        <f>IF(A1565="c",LEFT(UPPER(B1565)&amp;REPT(" ",20),20),REPT(" ",20))</f>
        <v/>
      </c>
      <c r="X1565" s="10">
        <f>IF(A1565="C",LEFT(UPPER(C1565)&amp;REPT(" ",10),10)," ")</f>
        <v/>
      </c>
      <c r="Y1565" s="10">
        <f>IF(A1565="C",LEFT(UPPER(D1565)&amp;REPT(" ",2),2)," ")</f>
        <v/>
      </c>
      <c r="Z1565" s="10">
        <f>IF(A1565="C",LEFT(UPPER(E1565)&amp;REPT(" ",15),15)," ")</f>
        <v/>
      </c>
      <c r="AA1565" s="10">
        <f>REPT(" ",8)</f>
        <v/>
      </c>
      <c r="AB1565" s="10">
        <f>REPT(" ",4)</f>
        <v/>
      </c>
      <c r="AC1565" s="10">
        <f>LEFT(UPPER(H1565)&amp;REPT(" ",250),250)</f>
        <v/>
      </c>
      <c r="AD1565" s="10">
        <f>TEXT($G$2,"dd/mm/aaaa")</f>
        <v/>
      </c>
      <c r="AE1565" s="10">
        <f>REPT(" ",10)</f>
        <v/>
      </c>
      <c r="AF1565" s="10">
        <f>REPT(" ",20)</f>
        <v/>
      </c>
      <c r="AG1565" s="54">
        <f>REPT(" ",18-LEN(FIXED(F1565,2,TRUE)))&amp;FIXED(F1565,2,TRUE)</f>
        <v/>
      </c>
      <c r="AH1565" s="10">
        <f>LEN(AC1565)+LEN(AG1565)</f>
        <v/>
      </c>
      <c r="AI1565" s="10">
        <f>LEN(L1565)</f>
        <v/>
      </c>
    </row>
    <row r="1566">
      <c r="J1566" s="12">
        <f>IF(F1566&lt;&gt;0,"LANÇAR","")</f>
        <v/>
      </c>
      <c r="L1566" s="13">
        <f>N1566&amp;O1566&amp;P1566&amp;Q1566&amp;R1566&amp;S1566&amp;T1566&amp;U1566&amp;V1566&amp;W1566&amp;X1566&amp;Y1566&amp;Z1566&amp;AA1566&amp;AB1566&amp;AC1566&amp;AD1566&amp;AE1566&amp;AF1566&amp;AG1566</f>
        <v/>
      </c>
      <c r="N1566" s="10">
        <f>TEXT($B$6,"00")</f>
        <v/>
      </c>
      <c r="O1566" s="10">
        <f>REPT(" ",8)</f>
        <v/>
      </c>
      <c r="P1566" s="10">
        <f>RIGHT($B$4,2)</f>
        <v/>
      </c>
      <c r="Q1566" s="10">
        <f>RIGHT($B$5,3)</f>
        <v/>
      </c>
      <c r="R1566" s="10">
        <f>IF(A1566="D",LEFT(UPPER(B1566)&amp;REPT(" ",20),20),REPT(" ",20))</f>
        <v/>
      </c>
      <c r="S1566" s="10">
        <f>IF(A1566="D",LEFT(UPPER(C1566)&amp;REPT(" ",10),10)," ")</f>
        <v/>
      </c>
      <c r="T1566" s="10">
        <f>IF(A1566="D",LEFT(UPPER(D1566)&amp;REPT(" ",2),2)," ")</f>
        <v/>
      </c>
      <c r="U1566" s="10">
        <f>IF(A1566="D",LEFT(UPPER(E1566)&amp;REPT(" ",15),15)," ")</f>
        <v/>
      </c>
      <c r="V1566" s="10">
        <f>REPT(" ",24)</f>
        <v/>
      </c>
      <c r="W1566" s="10">
        <f>IF(A1566="c",LEFT(UPPER(B1566)&amp;REPT(" ",20),20),REPT(" ",20))</f>
        <v/>
      </c>
      <c r="X1566" s="10">
        <f>IF(A1566="C",LEFT(UPPER(C1566)&amp;REPT(" ",10),10)," ")</f>
        <v/>
      </c>
      <c r="Y1566" s="10">
        <f>IF(A1566="C",LEFT(UPPER(D1566)&amp;REPT(" ",2),2)," ")</f>
        <v/>
      </c>
      <c r="Z1566" s="10">
        <f>IF(A1566="C",LEFT(UPPER(E1566)&amp;REPT(" ",15),15)," ")</f>
        <v/>
      </c>
      <c r="AA1566" s="10">
        <f>REPT(" ",8)</f>
        <v/>
      </c>
      <c r="AB1566" s="10">
        <f>REPT(" ",4)</f>
        <v/>
      </c>
      <c r="AC1566" s="10">
        <f>LEFT(UPPER(H1566)&amp;REPT(" ",250),250)</f>
        <v/>
      </c>
      <c r="AD1566" s="10">
        <f>TEXT($G$2,"dd/mm/aaaa")</f>
        <v/>
      </c>
      <c r="AE1566" s="10">
        <f>REPT(" ",10)</f>
        <v/>
      </c>
      <c r="AF1566" s="10">
        <f>REPT(" ",20)</f>
        <v/>
      </c>
      <c r="AG1566" s="54">
        <f>REPT(" ",18-LEN(FIXED(F1566,2,TRUE)))&amp;FIXED(F1566,2,TRUE)</f>
        <v/>
      </c>
      <c r="AH1566" s="10">
        <f>LEN(AC1566)+LEN(AG1566)</f>
        <v/>
      </c>
      <c r="AI1566" s="10">
        <f>LEN(L1566)</f>
        <v/>
      </c>
    </row>
    <row r="1567">
      <c r="J1567" s="12">
        <f>IF(F1567&lt;&gt;0,"LANÇAR","")</f>
        <v/>
      </c>
      <c r="L1567" s="13">
        <f>N1567&amp;O1567&amp;P1567&amp;Q1567&amp;R1567&amp;S1567&amp;T1567&amp;U1567&amp;V1567&amp;W1567&amp;X1567&amp;Y1567&amp;Z1567&amp;AA1567&amp;AB1567&amp;AC1567&amp;AD1567&amp;AE1567&amp;AF1567&amp;AG1567</f>
        <v/>
      </c>
      <c r="N1567" s="10">
        <f>TEXT($B$6,"00")</f>
        <v/>
      </c>
      <c r="O1567" s="10">
        <f>REPT(" ",8)</f>
        <v/>
      </c>
      <c r="P1567" s="10">
        <f>RIGHT($B$4,2)</f>
        <v/>
      </c>
      <c r="Q1567" s="10">
        <f>RIGHT($B$5,3)</f>
        <v/>
      </c>
      <c r="R1567" s="10">
        <f>IF(A1567="D",LEFT(UPPER(B1567)&amp;REPT(" ",20),20),REPT(" ",20))</f>
        <v/>
      </c>
      <c r="S1567" s="10">
        <f>IF(A1567="D",LEFT(UPPER(C1567)&amp;REPT(" ",10),10)," ")</f>
        <v/>
      </c>
      <c r="T1567" s="10">
        <f>IF(A1567="D",LEFT(UPPER(D1567)&amp;REPT(" ",2),2)," ")</f>
        <v/>
      </c>
      <c r="U1567" s="10">
        <f>IF(A1567="D",LEFT(UPPER(E1567)&amp;REPT(" ",15),15)," ")</f>
        <v/>
      </c>
      <c r="V1567" s="10">
        <f>REPT(" ",24)</f>
        <v/>
      </c>
      <c r="W1567" s="10">
        <f>IF(A1567="c",LEFT(UPPER(B1567)&amp;REPT(" ",20),20),REPT(" ",20))</f>
        <v/>
      </c>
      <c r="X1567" s="10">
        <f>IF(A1567="C",LEFT(UPPER(C1567)&amp;REPT(" ",10),10)," ")</f>
        <v/>
      </c>
      <c r="Y1567" s="10">
        <f>IF(A1567="C",LEFT(UPPER(D1567)&amp;REPT(" ",2),2)," ")</f>
        <v/>
      </c>
      <c r="Z1567" s="10">
        <f>IF(A1567="C",LEFT(UPPER(E1567)&amp;REPT(" ",15),15)," ")</f>
        <v/>
      </c>
      <c r="AA1567" s="10">
        <f>REPT(" ",8)</f>
        <v/>
      </c>
      <c r="AB1567" s="10">
        <f>REPT(" ",4)</f>
        <v/>
      </c>
      <c r="AC1567" s="10">
        <f>LEFT(UPPER(H1567)&amp;REPT(" ",250),250)</f>
        <v/>
      </c>
      <c r="AD1567" s="10">
        <f>TEXT($G$2,"dd/mm/aaaa")</f>
        <v/>
      </c>
      <c r="AE1567" s="10">
        <f>REPT(" ",10)</f>
        <v/>
      </c>
      <c r="AF1567" s="10">
        <f>REPT(" ",20)</f>
        <v/>
      </c>
      <c r="AG1567" s="54">
        <f>REPT(" ",18-LEN(FIXED(F1567,2,TRUE)))&amp;FIXED(F1567,2,TRUE)</f>
        <v/>
      </c>
      <c r="AH1567" s="10">
        <f>LEN(AC1567)+LEN(AG1567)</f>
        <v/>
      </c>
      <c r="AI1567" s="10">
        <f>LEN(L1567)</f>
        <v/>
      </c>
    </row>
    <row r="1568">
      <c r="J1568" s="12">
        <f>IF(F1568&lt;&gt;0,"LANÇAR","")</f>
        <v/>
      </c>
      <c r="L1568" s="13">
        <f>N1568&amp;O1568&amp;P1568&amp;Q1568&amp;R1568&amp;S1568&amp;T1568&amp;U1568&amp;V1568&amp;W1568&amp;X1568&amp;Y1568&amp;Z1568&amp;AA1568&amp;AB1568&amp;AC1568&amp;AD1568&amp;AE1568&amp;AF1568&amp;AG1568</f>
        <v/>
      </c>
      <c r="N1568" s="10">
        <f>TEXT($B$6,"00")</f>
        <v/>
      </c>
      <c r="O1568" s="10">
        <f>REPT(" ",8)</f>
        <v/>
      </c>
      <c r="P1568" s="10">
        <f>RIGHT($B$4,2)</f>
        <v/>
      </c>
      <c r="Q1568" s="10">
        <f>RIGHT($B$5,3)</f>
        <v/>
      </c>
      <c r="R1568" s="10">
        <f>IF(A1568="D",LEFT(UPPER(B1568)&amp;REPT(" ",20),20),REPT(" ",20))</f>
        <v/>
      </c>
      <c r="S1568" s="10">
        <f>IF(A1568="D",LEFT(UPPER(C1568)&amp;REPT(" ",10),10)," ")</f>
        <v/>
      </c>
      <c r="T1568" s="10">
        <f>IF(A1568="D",LEFT(UPPER(D1568)&amp;REPT(" ",2),2)," ")</f>
        <v/>
      </c>
      <c r="U1568" s="10">
        <f>IF(A1568="D",LEFT(UPPER(E1568)&amp;REPT(" ",15),15)," ")</f>
        <v/>
      </c>
      <c r="V1568" s="10">
        <f>REPT(" ",24)</f>
        <v/>
      </c>
      <c r="W1568" s="10">
        <f>IF(A1568="c",LEFT(UPPER(B1568)&amp;REPT(" ",20),20),REPT(" ",20))</f>
        <v/>
      </c>
      <c r="X1568" s="10">
        <f>IF(A1568="C",LEFT(UPPER(C1568)&amp;REPT(" ",10),10)," ")</f>
        <v/>
      </c>
      <c r="Y1568" s="10">
        <f>IF(A1568="C",LEFT(UPPER(D1568)&amp;REPT(" ",2),2)," ")</f>
        <v/>
      </c>
      <c r="Z1568" s="10">
        <f>IF(A1568="C",LEFT(UPPER(E1568)&amp;REPT(" ",15),15)," ")</f>
        <v/>
      </c>
      <c r="AA1568" s="10">
        <f>REPT(" ",8)</f>
        <v/>
      </c>
      <c r="AB1568" s="10">
        <f>REPT(" ",4)</f>
        <v/>
      </c>
      <c r="AC1568" s="10">
        <f>LEFT(UPPER(H1568)&amp;REPT(" ",250),250)</f>
        <v/>
      </c>
      <c r="AD1568" s="10">
        <f>TEXT($G$2,"dd/mm/aaaa")</f>
        <v/>
      </c>
      <c r="AE1568" s="10">
        <f>REPT(" ",10)</f>
        <v/>
      </c>
      <c r="AF1568" s="10">
        <f>REPT(" ",20)</f>
        <v/>
      </c>
      <c r="AG1568" s="54">
        <f>REPT(" ",18-LEN(FIXED(F1568,2,TRUE)))&amp;FIXED(F1568,2,TRUE)</f>
        <v/>
      </c>
      <c r="AH1568" s="10">
        <f>LEN(AC1568)+LEN(AG1568)</f>
        <v/>
      </c>
      <c r="AI1568" s="10">
        <f>LEN(L1568)</f>
        <v/>
      </c>
    </row>
    <row r="1569">
      <c r="J1569" s="12">
        <f>IF(F1569&lt;&gt;0,"LANÇAR","")</f>
        <v/>
      </c>
      <c r="L1569" s="13">
        <f>N1569&amp;O1569&amp;P1569&amp;Q1569&amp;R1569&amp;S1569&amp;T1569&amp;U1569&amp;V1569&amp;W1569&amp;X1569&amp;Y1569&amp;Z1569&amp;AA1569&amp;AB1569&amp;AC1569&amp;AD1569&amp;AE1569&amp;AF1569&amp;AG1569</f>
        <v/>
      </c>
      <c r="N1569" s="10">
        <f>TEXT($B$6,"00")</f>
        <v/>
      </c>
      <c r="O1569" s="10">
        <f>REPT(" ",8)</f>
        <v/>
      </c>
      <c r="P1569" s="10">
        <f>RIGHT($B$4,2)</f>
        <v/>
      </c>
      <c r="Q1569" s="10">
        <f>RIGHT($B$5,3)</f>
        <v/>
      </c>
      <c r="R1569" s="10">
        <f>IF(A1569="D",LEFT(UPPER(B1569)&amp;REPT(" ",20),20),REPT(" ",20))</f>
        <v/>
      </c>
      <c r="S1569" s="10">
        <f>IF(A1569="D",LEFT(UPPER(C1569)&amp;REPT(" ",10),10)," ")</f>
        <v/>
      </c>
      <c r="T1569" s="10">
        <f>IF(A1569="D",LEFT(UPPER(D1569)&amp;REPT(" ",2),2)," ")</f>
        <v/>
      </c>
      <c r="U1569" s="10">
        <f>IF(A1569="D",LEFT(UPPER(E1569)&amp;REPT(" ",15),15)," ")</f>
        <v/>
      </c>
      <c r="V1569" s="10">
        <f>REPT(" ",24)</f>
        <v/>
      </c>
      <c r="W1569" s="10">
        <f>IF(A1569="c",LEFT(UPPER(B1569)&amp;REPT(" ",20),20),REPT(" ",20))</f>
        <v/>
      </c>
      <c r="X1569" s="10">
        <f>IF(A1569="C",LEFT(UPPER(C1569)&amp;REPT(" ",10),10)," ")</f>
        <v/>
      </c>
      <c r="Y1569" s="10">
        <f>IF(A1569="C",LEFT(UPPER(D1569)&amp;REPT(" ",2),2)," ")</f>
        <v/>
      </c>
      <c r="Z1569" s="10">
        <f>IF(A1569="C",LEFT(UPPER(E1569)&amp;REPT(" ",15),15)," ")</f>
        <v/>
      </c>
      <c r="AA1569" s="10">
        <f>REPT(" ",8)</f>
        <v/>
      </c>
      <c r="AB1569" s="10">
        <f>REPT(" ",4)</f>
        <v/>
      </c>
      <c r="AC1569" s="10">
        <f>LEFT(UPPER(H1569)&amp;REPT(" ",250),250)</f>
        <v/>
      </c>
      <c r="AD1569" s="10">
        <f>TEXT($G$2,"dd/mm/aaaa")</f>
        <v/>
      </c>
      <c r="AE1569" s="10">
        <f>REPT(" ",10)</f>
        <v/>
      </c>
      <c r="AF1569" s="10">
        <f>REPT(" ",20)</f>
        <v/>
      </c>
      <c r="AG1569" s="54">
        <f>REPT(" ",18-LEN(FIXED(F1569,2,TRUE)))&amp;FIXED(F1569,2,TRUE)</f>
        <v/>
      </c>
      <c r="AH1569" s="10">
        <f>LEN(AC1569)+LEN(AG1569)</f>
        <v/>
      </c>
      <c r="AI1569" s="10">
        <f>LEN(L1569)</f>
        <v/>
      </c>
    </row>
    <row r="1570">
      <c r="J1570" s="12">
        <f>IF(F1570&lt;&gt;0,"LANÇAR","")</f>
        <v/>
      </c>
      <c r="L1570" s="13">
        <f>N1570&amp;O1570&amp;P1570&amp;Q1570&amp;R1570&amp;S1570&amp;T1570&amp;U1570&amp;V1570&amp;W1570&amp;X1570&amp;Y1570&amp;Z1570&amp;AA1570&amp;AB1570&amp;AC1570&amp;AD1570&amp;AE1570&amp;AF1570&amp;AG1570</f>
        <v/>
      </c>
      <c r="N1570" s="10">
        <f>TEXT($B$6,"00")</f>
        <v/>
      </c>
      <c r="O1570" s="10">
        <f>REPT(" ",8)</f>
        <v/>
      </c>
      <c r="P1570" s="10">
        <f>RIGHT($B$4,2)</f>
        <v/>
      </c>
      <c r="Q1570" s="10">
        <f>RIGHT($B$5,3)</f>
        <v/>
      </c>
      <c r="R1570" s="10">
        <f>IF(A1570="D",LEFT(UPPER(B1570)&amp;REPT(" ",20),20),REPT(" ",20))</f>
        <v/>
      </c>
      <c r="S1570" s="10">
        <f>IF(A1570="D",LEFT(UPPER(C1570)&amp;REPT(" ",10),10)," ")</f>
        <v/>
      </c>
      <c r="T1570" s="10">
        <f>IF(A1570="D",LEFT(UPPER(D1570)&amp;REPT(" ",2),2)," ")</f>
        <v/>
      </c>
      <c r="U1570" s="10">
        <f>IF(A1570="D",LEFT(UPPER(E1570)&amp;REPT(" ",15),15)," ")</f>
        <v/>
      </c>
      <c r="V1570" s="10">
        <f>REPT(" ",24)</f>
        <v/>
      </c>
      <c r="W1570" s="10">
        <f>IF(A1570="c",LEFT(UPPER(B1570)&amp;REPT(" ",20),20),REPT(" ",20))</f>
        <v/>
      </c>
      <c r="X1570" s="10">
        <f>IF(A1570="C",LEFT(UPPER(C1570)&amp;REPT(" ",10),10)," ")</f>
        <v/>
      </c>
      <c r="Y1570" s="10">
        <f>IF(A1570="C",LEFT(UPPER(D1570)&amp;REPT(" ",2),2)," ")</f>
        <v/>
      </c>
      <c r="Z1570" s="10">
        <f>IF(A1570="C",LEFT(UPPER(E1570)&amp;REPT(" ",15),15)," ")</f>
        <v/>
      </c>
      <c r="AA1570" s="10">
        <f>REPT(" ",8)</f>
        <v/>
      </c>
      <c r="AB1570" s="10">
        <f>REPT(" ",4)</f>
        <v/>
      </c>
      <c r="AC1570" s="10">
        <f>LEFT(UPPER(H1570)&amp;REPT(" ",250),250)</f>
        <v/>
      </c>
      <c r="AD1570" s="10">
        <f>TEXT($G$2,"dd/mm/aaaa")</f>
        <v/>
      </c>
      <c r="AE1570" s="10">
        <f>REPT(" ",10)</f>
        <v/>
      </c>
      <c r="AF1570" s="10">
        <f>REPT(" ",20)</f>
        <v/>
      </c>
      <c r="AG1570" s="54">
        <f>REPT(" ",18-LEN(FIXED(F1570,2,TRUE)))&amp;FIXED(F1570,2,TRUE)</f>
        <v/>
      </c>
      <c r="AH1570" s="10">
        <f>LEN(AC1570)+LEN(AG1570)</f>
        <v/>
      </c>
      <c r="AI1570" s="10">
        <f>LEN(L1570)</f>
        <v/>
      </c>
    </row>
    <row r="1571">
      <c r="J1571" s="12">
        <f>IF(F1571&lt;&gt;0,"LANÇAR","")</f>
        <v/>
      </c>
      <c r="L1571" s="13">
        <f>N1571&amp;O1571&amp;P1571&amp;Q1571&amp;R1571&amp;S1571&amp;T1571&amp;U1571&amp;V1571&amp;W1571&amp;X1571&amp;Y1571&amp;Z1571&amp;AA1571&amp;AB1571&amp;AC1571&amp;AD1571&amp;AE1571&amp;AF1571&amp;AG1571</f>
        <v/>
      </c>
      <c r="N1571" s="10">
        <f>TEXT($B$6,"00")</f>
        <v/>
      </c>
      <c r="O1571" s="10">
        <f>REPT(" ",8)</f>
        <v/>
      </c>
      <c r="P1571" s="10">
        <f>RIGHT($B$4,2)</f>
        <v/>
      </c>
      <c r="Q1571" s="10">
        <f>RIGHT($B$5,3)</f>
        <v/>
      </c>
      <c r="R1571" s="10">
        <f>IF(A1571="D",LEFT(UPPER(B1571)&amp;REPT(" ",20),20),REPT(" ",20))</f>
        <v/>
      </c>
      <c r="S1571" s="10">
        <f>IF(A1571="D",LEFT(UPPER(C1571)&amp;REPT(" ",10),10)," ")</f>
        <v/>
      </c>
      <c r="T1571" s="10">
        <f>IF(A1571="D",LEFT(UPPER(D1571)&amp;REPT(" ",2),2)," ")</f>
        <v/>
      </c>
      <c r="U1571" s="10">
        <f>IF(A1571="D",LEFT(UPPER(E1571)&amp;REPT(" ",15),15)," ")</f>
        <v/>
      </c>
      <c r="V1571" s="10">
        <f>REPT(" ",24)</f>
        <v/>
      </c>
      <c r="W1571" s="10">
        <f>IF(A1571="c",LEFT(UPPER(B1571)&amp;REPT(" ",20),20),REPT(" ",20))</f>
        <v/>
      </c>
      <c r="X1571" s="10">
        <f>IF(A1571="C",LEFT(UPPER(C1571)&amp;REPT(" ",10),10)," ")</f>
        <v/>
      </c>
      <c r="Y1571" s="10">
        <f>IF(A1571="C",LEFT(UPPER(D1571)&amp;REPT(" ",2),2)," ")</f>
        <v/>
      </c>
      <c r="Z1571" s="10">
        <f>IF(A1571="C",LEFT(UPPER(E1571)&amp;REPT(" ",15),15)," ")</f>
        <v/>
      </c>
      <c r="AA1571" s="10">
        <f>REPT(" ",8)</f>
        <v/>
      </c>
      <c r="AB1571" s="10">
        <f>REPT(" ",4)</f>
        <v/>
      </c>
      <c r="AC1571" s="10">
        <f>LEFT(UPPER(H1571)&amp;REPT(" ",250),250)</f>
        <v/>
      </c>
      <c r="AD1571" s="10">
        <f>TEXT($G$2,"dd/mm/aaaa")</f>
        <v/>
      </c>
      <c r="AE1571" s="10">
        <f>REPT(" ",10)</f>
        <v/>
      </c>
      <c r="AF1571" s="10">
        <f>REPT(" ",20)</f>
        <v/>
      </c>
      <c r="AG1571" s="54">
        <f>REPT(" ",18-LEN(FIXED(F1571,2,TRUE)))&amp;FIXED(F1571,2,TRUE)</f>
        <v/>
      </c>
      <c r="AH1571" s="10">
        <f>LEN(AC1571)+LEN(AG1571)</f>
        <v/>
      </c>
      <c r="AI1571" s="10">
        <f>LEN(L1571)</f>
        <v/>
      </c>
    </row>
    <row r="1572">
      <c r="J1572" s="12">
        <f>IF(F1572&lt;&gt;0,"LANÇAR","")</f>
        <v/>
      </c>
      <c r="L1572" s="13">
        <f>N1572&amp;O1572&amp;P1572&amp;Q1572&amp;R1572&amp;S1572&amp;T1572&amp;U1572&amp;V1572&amp;W1572&amp;X1572&amp;Y1572&amp;Z1572&amp;AA1572&amp;AB1572&amp;AC1572&amp;AD1572&amp;AE1572&amp;AF1572&amp;AG1572</f>
        <v/>
      </c>
      <c r="N1572" s="10">
        <f>TEXT($B$6,"00")</f>
        <v/>
      </c>
      <c r="O1572" s="10">
        <f>REPT(" ",8)</f>
        <v/>
      </c>
      <c r="P1572" s="10">
        <f>RIGHT($B$4,2)</f>
        <v/>
      </c>
      <c r="Q1572" s="10">
        <f>RIGHT($B$5,3)</f>
        <v/>
      </c>
      <c r="R1572" s="10">
        <f>IF(A1572="D",LEFT(UPPER(B1572)&amp;REPT(" ",20),20),REPT(" ",20))</f>
        <v/>
      </c>
      <c r="S1572" s="10">
        <f>IF(A1572="D",LEFT(UPPER(C1572)&amp;REPT(" ",10),10)," ")</f>
        <v/>
      </c>
      <c r="T1572" s="10">
        <f>IF(A1572="D",LEFT(UPPER(D1572)&amp;REPT(" ",2),2)," ")</f>
        <v/>
      </c>
      <c r="U1572" s="10">
        <f>IF(A1572="D",LEFT(UPPER(E1572)&amp;REPT(" ",15),15)," ")</f>
        <v/>
      </c>
      <c r="V1572" s="10">
        <f>REPT(" ",24)</f>
        <v/>
      </c>
      <c r="W1572" s="10">
        <f>IF(A1572="c",LEFT(UPPER(B1572)&amp;REPT(" ",20),20),REPT(" ",20))</f>
        <v/>
      </c>
      <c r="X1572" s="10">
        <f>IF(A1572="C",LEFT(UPPER(C1572)&amp;REPT(" ",10),10)," ")</f>
        <v/>
      </c>
      <c r="Y1572" s="10">
        <f>IF(A1572="C",LEFT(UPPER(D1572)&amp;REPT(" ",2),2)," ")</f>
        <v/>
      </c>
      <c r="Z1572" s="10">
        <f>IF(A1572="C",LEFT(UPPER(E1572)&amp;REPT(" ",15),15)," ")</f>
        <v/>
      </c>
      <c r="AA1572" s="10">
        <f>REPT(" ",8)</f>
        <v/>
      </c>
      <c r="AB1572" s="10">
        <f>REPT(" ",4)</f>
        <v/>
      </c>
      <c r="AC1572" s="10">
        <f>LEFT(UPPER(H1572)&amp;REPT(" ",250),250)</f>
        <v/>
      </c>
      <c r="AD1572" s="10">
        <f>TEXT($G$2,"dd/mm/aaaa")</f>
        <v/>
      </c>
      <c r="AE1572" s="10">
        <f>REPT(" ",10)</f>
        <v/>
      </c>
      <c r="AF1572" s="10">
        <f>REPT(" ",20)</f>
        <v/>
      </c>
      <c r="AG1572" s="54">
        <f>REPT(" ",18-LEN(FIXED(F1572,2,TRUE)))&amp;FIXED(F1572,2,TRUE)</f>
        <v/>
      </c>
      <c r="AH1572" s="10">
        <f>LEN(AC1572)+LEN(AG1572)</f>
        <v/>
      </c>
      <c r="AI1572" s="10">
        <f>LEN(L1572)</f>
        <v/>
      </c>
    </row>
    <row r="1573">
      <c r="J1573" s="12">
        <f>IF(F1573&lt;&gt;0,"LANÇAR","")</f>
        <v/>
      </c>
      <c r="L1573" s="13">
        <f>N1573&amp;O1573&amp;P1573&amp;Q1573&amp;R1573&amp;S1573&amp;T1573&amp;U1573&amp;V1573&amp;W1573&amp;X1573&amp;Y1573&amp;Z1573&amp;AA1573&amp;AB1573&amp;AC1573&amp;AD1573&amp;AE1573&amp;AF1573&amp;AG1573</f>
        <v/>
      </c>
      <c r="N1573" s="10">
        <f>TEXT($B$6,"00")</f>
        <v/>
      </c>
      <c r="O1573" s="10">
        <f>REPT(" ",8)</f>
        <v/>
      </c>
      <c r="P1573" s="10">
        <f>RIGHT($B$4,2)</f>
        <v/>
      </c>
      <c r="Q1573" s="10">
        <f>RIGHT($B$5,3)</f>
        <v/>
      </c>
      <c r="R1573" s="10">
        <f>IF(A1573="D",LEFT(UPPER(B1573)&amp;REPT(" ",20),20),REPT(" ",20))</f>
        <v/>
      </c>
      <c r="S1573" s="10">
        <f>IF(A1573="D",LEFT(UPPER(C1573)&amp;REPT(" ",10),10)," ")</f>
        <v/>
      </c>
      <c r="T1573" s="10">
        <f>IF(A1573="D",LEFT(UPPER(D1573)&amp;REPT(" ",2),2)," ")</f>
        <v/>
      </c>
      <c r="U1573" s="10">
        <f>IF(A1573="D",LEFT(UPPER(E1573)&amp;REPT(" ",15),15)," ")</f>
        <v/>
      </c>
      <c r="V1573" s="10">
        <f>REPT(" ",24)</f>
        <v/>
      </c>
      <c r="W1573" s="10">
        <f>IF(A1573="c",LEFT(UPPER(B1573)&amp;REPT(" ",20),20),REPT(" ",20))</f>
        <v/>
      </c>
      <c r="X1573" s="10">
        <f>IF(A1573="C",LEFT(UPPER(C1573)&amp;REPT(" ",10),10)," ")</f>
        <v/>
      </c>
      <c r="Y1573" s="10">
        <f>IF(A1573="C",LEFT(UPPER(D1573)&amp;REPT(" ",2),2)," ")</f>
        <v/>
      </c>
      <c r="Z1573" s="10">
        <f>IF(A1573="C",LEFT(UPPER(E1573)&amp;REPT(" ",15),15)," ")</f>
        <v/>
      </c>
      <c r="AA1573" s="10">
        <f>REPT(" ",8)</f>
        <v/>
      </c>
      <c r="AB1573" s="10">
        <f>REPT(" ",4)</f>
        <v/>
      </c>
      <c r="AC1573" s="10">
        <f>LEFT(UPPER(H1573)&amp;REPT(" ",250),250)</f>
        <v/>
      </c>
      <c r="AD1573" s="10">
        <f>TEXT($G$2,"dd/mm/aaaa")</f>
        <v/>
      </c>
      <c r="AE1573" s="10">
        <f>REPT(" ",10)</f>
        <v/>
      </c>
      <c r="AF1573" s="10">
        <f>REPT(" ",20)</f>
        <v/>
      </c>
      <c r="AG1573" s="54">
        <f>REPT(" ",18-LEN(FIXED(F1573,2,TRUE)))&amp;FIXED(F1573,2,TRUE)</f>
        <v/>
      </c>
      <c r="AH1573" s="10">
        <f>LEN(AC1573)+LEN(AG1573)</f>
        <v/>
      </c>
      <c r="AI1573" s="10">
        <f>LEN(L1573)</f>
        <v/>
      </c>
    </row>
    <row r="1574">
      <c r="J1574" s="12">
        <f>IF(F1574&lt;&gt;0,"LANÇAR","")</f>
        <v/>
      </c>
      <c r="L1574" s="13">
        <f>N1574&amp;O1574&amp;P1574&amp;Q1574&amp;R1574&amp;S1574&amp;T1574&amp;U1574&amp;V1574&amp;W1574&amp;X1574&amp;Y1574&amp;Z1574&amp;AA1574&amp;AB1574&amp;AC1574&amp;AD1574&amp;AE1574&amp;AF1574&amp;AG1574</f>
        <v/>
      </c>
      <c r="N1574" s="10">
        <f>TEXT($B$6,"00")</f>
        <v/>
      </c>
      <c r="O1574" s="10">
        <f>REPT(" ",8)</f>
        <v/>
      </c>
      <c r="P1574" s="10">
        <f>RIGHT($B$4,2)</f>
        <v/>
      </c>
      <c r="Q1574" s="10">
        <f>RIGHT($B$5,3)</f>
        <v/>
      </c>
      <c r="R1574" s="10">
        <f>IF(A1574="D",LEFT(UPPER(B1574)&amp;REPT(" ",20),20),REPT(" ",20))</f>
        <v/>
      </c>
      <c r="S1574" s="10">
        <f>IF(A1574="D",LEFT(UPPER(C1574)&amp;REPT(" ",10),10)," ")</f>
        <v/>
      </c>
      <c r="T1574" s="10">
        <f>IF(A1574="D",LEFT(UPPER(D1574)&amp;REPT(" ",2),2)," ")</f>
        <v/>
      </c>
      <c r="U1574" s="10">
        <f>IF(A1574="D",LEFT(UPPER(E1574)&amp;REPT(" ",15),15)," ")</f>
        <v/>
      </c>
      <c r="V1574" s="10">
        <f>REPT(" ",24)</f>
        <v/>
      </c>
      <c r="W1574" s="10">
        <f>IF(A1574="c",LEFT(UPPER(B1574)&amp;REPT(" ",20),20),REPT(" ",20))</f>
        <v/>
      </c>
      <c r="X1574" s="10">
        <f>IF(A1574="C",LEFT(UPPER(C1574)&amp;REPT(" ",10),10)," ")</f>
        <v/>
      </c>
      <c r="Y1574" s="10">
        <f>IF(A1574="C",LEFT(UPPER(D1574)&amp;REPT(" ",2),2)," ")</f>
        <v/>
      </c>
      <c r="Z1574" s="10">
        <f>IF(A1574="C",LEFT(UPPER(E1574)&amp;REPT(" ",15),15)," ")</f>
        <v/>
      </c>
      <c r="AA1574" s="10">
        <f>REPT(" ",8)</f>
        <v/>
      </c>
      <c r="AB1574" s="10">
        <f>REPT(" ",4)</f>
        <v/>
      </c>
      <c r="AC1574" s="10">
        <f>LEFT(UPPER(H1574)&amp;REPT(" ",250),250)</f>
        <v/>
      </c>
      <c r="AD1574" s="10">
        <f>TEXT($G$2,"dd/mm/aaaa")</f>
        <v/>
      </c>
      <c r="AE1574" s="10">
        <f>REPT(" ",10)</f>
        <v/>
      </c>
      <c r="AF1574" s="10">
        <f>REPT(" ",20)</f>
        <v/>
      </c>
      <c r="AG1574" s="54">
        <f>REPT(" ",18-LEN(FIXED(F1574,2,TRUE)))&amp;FIXED(F1574,2,TRUE)</f>
        <v/>
      </c>
      <c r="AH1574" s="10">
        <f>LEN(AC1574)+LEN(AG1574)</f>
        <v/>
      </c>
      <c r="AI1574" s="10">
        <f>LEN(L1574)</f>
        <v/>
      </c>
    </row>
    <row r="1575">
      <c r="J1575" s="12">
        <f>IF(F1575&lt;&gt;0,"LANÇAR","")</f>
        <v/>
      </c>
      <c r="L1575" s="13">
        <f>N1575&amp;O1575&amp;P1575&amp;Q1575&amp;R1575&amp;S1575&amp;T1575&amp;U1575&amp;V1575&amp;W1575&amp;X1575&amp;Y1575&amp;Z1575&amp;AA1575&amp;AB1575&amp;AC1575&amp;AD1575&amp;AE1575&amp;AF1575&amp;AG1575</f>
        <v/>
      </c>
      <c r="N1575" s="10">
        <f>TEXT($B$6,"00")</f>
        <v/>
      </c>
      <c r="O1575" s="10">
        <f>REPT(" ",8)</f>
        <v/>
      </c>
      <c r="P1575" s="10">
        <f>RIGHT($B$4,2)</f>
        <v/>
      </c>
      <c r="Q1575" s="10">
        <f>RIGHT($B$5,3)</f>
        <v/>
      </c>
      <c r="R1575" s="10">
        <f>IF(A1575="D",LEFT(UPPER(B1575)&amp;REPT(" ",20),20),REPT(" ",20))</f>
        <v/>
      </c>
      <c r="S1575" s="10">
        <f>IF(A1575="D",LEFT(UPPER(C1575)&amp;REPT(" ",10),10)," ")</f>
        <v/>
      </c>
      <c r="T1575" s="10">
        <f>IF(A1575="D",LEFT(UPPER(D1575)&amp;REPT(" ",2),2)," ")</f>
        <v/>
      </c>
      <c r="U1575" s="10">
        <f>IF(A1575="D",LEFT(UPPER(E1575)&amp;REPT(" ",15),15)," ")</f>
        <v/>
      </c>
      <c r="V1575" s="10">
        <f>REPT(" ",24)</f>
        <v/>
      </c>
      <c r="W1575" s="10">
        <f>IF(A1575="c",LEFT(UPPER(B1575)&amp;REPT(" ",20),20),REPT(" ",20))</f>
        <v/>
      </c>
      <c r="X1575" s="10">
        <f>IF(A1575="C",LEFT(UPPER(C1575)&amp;REPT(" ",10),10)," ")</f>
        <v/>
      </c>
      <c r="Y1575" s="10">
        <f>IF(A1575="C",LEFT(UPPER(D1575)&amp;REPT(" ",2),2)," ")</f>
        <v/>
      </c>
      <c r="Z1575" s="10">
        <f>IF(A1575="C",LEFT(UPPER(E1575)&amp;REPT(" ",15),15)," ")</f>
        <v/>
      </c>
      <c r="AA1575" s="10">
        <f>REPT(" ",8)</f>
        <v/>
      </c>
      <c r="AB1575" s="10">
        <f>REPT(" ",4)</f>
        <v/>
      </c>
      <c r="AC1575" s="10">
        <f>LEFT(UPPER(H1575)&amp;REPT(" ",250),250)</f>
        <v/>
      </c>
      <c r="AD1575" s="10">
        <f>TEXT($G$2,"dd/mm/aaaa")</f>
        <v/>
      </c>
      <c r="AE1575" s="10">
        <f>REPT(" ",10)</f>
        <v/>
      </c>
      <c r="AF1575" s="10">
        <f>REPT(" ",20)</f>
        <v/>
      </c>
      <c r="AG1575" s="54">
        <f>REPT(" ",18-LEN(FIXED(F1575,2,TRUE)))&amp;FIXED(F1575,2,TRUE)</f>
        <v/>
      </c>
      <c r="AH1575" s="10">
        <f>LEN(AC1575)+LEN(AG1575)</f>
        <v/>
      </c>
      <c r="AI1575" s="10">
        <f>LEN(L1575)</f>
        <v/>
      </c>
    </row>
    <row r="1576">
      <c r="J1576" s="12">
        <f>IF(F1576&lt;&gt;0,"LANÇAR","")</f>
        <v/>
      </c>
      <c r="L1576" s="13">
        <f>N1576&amp;O1576&amp;P1576&amp;Q1576&amp;R1576&amp;S1576&amp;T1576&amp;U1576&amp;V1576&amp;W1576&amp;X1576&amp;Y1576&amp;Z1576&amp;AA1576&amp;AB1576&amp;AC1576&amp;AD1576&amp;AE1576&amp;AF1576&amp;AG1576</f>
        <v/>
      </c>
      <c r="N1576" s="10">
        <f>TEXT($B$6,"00")</f>
        <v/>
      </c>
      <c r="O1576" s="10">
        <f>REPT(" ",8)</f>
        <v/>
      </c>
      <c r="P1576" s="10">
        <f>RIGHT($B$4,2)</f>
        <v/>
      </c>
      <c r="Q1576" s="10">
        <f>RIGHT($B$5,3)</f>
        <v/>
      </c>
      <c r="R1576" s="10">
        <f>IF(A1576="D",LEFT(UPPER(B1576)&amp;REPT(" ",20),20),REPT(" ",20))</f>
        <v/>
      </c>
      <c r="S1576" s="10">
        <f>IF(A1576="D",LEFT(UPPER(C1576)&amp;REPT(" ",10),10)," ")</f>
        <v/>
      </c>
      <c r="T1576" s="10">
        <f>IF(A1576="D",LEFT(UPPER(D1576)&amp;REPT(" ",2),2)," ")</f>
        <v/>
      </c>
      <c r="U1576" s="10">
        <f>IF(A1576="D",LEFT(UPPER(E1576)&amp;REPT(" ",15),15)," ")</f>
        <v/>
      </c>
      <c r="V1576" s="10">
        <f>REPT(" ",24)</f>
        <v/>
      </c>
      <c r="W1576" s="10">
        <f>IF(A1576="c",LEFT(UPPER(B1576)&amp;REPT(" ",20),20),REPT(" ",20))</f>
        <v/>
      </c>
      <c r="X1576" s="10">
        <f>IF(A1576="C",LEFT(UPPER(C1576)&amp;REPT(" ",10),10)," ")</f>
        <v/>
      </c>
      <c r="Y1576" s="10">
        <f>IF(A1576="C",LEFT(UPPER(D1576)&amp;REPT(" ",2),2)," ")</f>
        <v/>
      </c>
      <c r="Z1576" s="10">
        <f>IF(A1576="C",LEFT(UPPER(E1576)&amp;REPT(" ",15),15)," ")</f>
        <v/>
      </c>
      <c r="AA1576" s="10">
        <f>REPT(" ",8)</f>
        <v/>
      </c>
      <c r="AB1576" s="10">
        <f>REPT(" ",4)</f>
        <v/>
      </c>
      <c r="AC1576" s="10">
        <f>LEFT(UPPER(H1576)&amp;REPT(" ",250),250)</f>
        <v/>
      </c>
      <c r="AD1576" s="10">
        <f>TEXT($G$2,"dd/mm/aaaa")</f>
        <v/>
      </c>
      <c r="AE1576" s="10">
        <f>REPT(" ",10)</f>
        <v/>
      </c>
      <c r="AF1576" s="10">
        <f>REPT(" ",20)</f>
        <v/>
      </c>
      <c r="AG1576" s="54">
        <f>REPT(" ",18-LEN(FIXED(F1576,2,TRUE)))&amp;FIXED(F1576,2,TRUE)</f>
        <v/>
      </c>
      <c r="AH1576" s="10">
        <f>LEN(AC1576)+LEN(AG1576)</f>
        <v/>
      </c>
      <c r="AI1576" s="10">
        <f>LEN(L1576)</f>
        <v/>
      </c>
    </row>
    <row r="1577">
      <c r="J1577" s="12">
        <f>IF(F1577&lt;&gt;0,"LANÇAR","")</f>
        <v/>
      </c>
      <c r="L1577" s="13">
        <f>N1577&amp;O1577&amp;P1577&amp;Q1577&amp;R1577&amp;S1577&amp;T1577&amp;U1577&amp;V1577&amp;W1577&amp;X1577&amp;Y1577&amp;Z1577&amp;AA1577&amp;AB1577&amp;AC1577&amp;AD1577&amp;AE1577&amp;AF1577&amp;AG1577</f>
        <v/>
      </c>
      <c r="N1577" s="10">
        <f>TEXT($B$6,"00")</f>
        <v/>
      </c>
      <c r="O1577" s="10">
        <f>REPT(" ",8)</f>
        <v/>
      </c>
      <c r="P1577" s="10">
        <f>RIGHT($B$4,2)</f>
        <v/>
      </c>
      <c r="Q1577" s="10">
        <f>RIGHT($B$5,3)</f>
        <v/>
      </c>
      <c r="R1577" s="10">
        <f>IF(A1577="D",LEFT(UPPER(B1577)&amp;REPT(" ",20),20),REPT(" ",20))</f>
        <v/>
      </c>
      <c r="S1577" s="10">
        <f>IF(A1577="D",LEFT(UPPER(C1577)&amp;REPT(" ",10),10)," ")</f>
        <v/>
      </c>
      <c r="T1577" s="10">
        <f>IF(A1577="D",LEFT(UPPER(D1577)&amp;REPT(" ",2),2)," ")</f>
        <v/>
      </c>
      <c r="U1577" s="10">
        <f>IF(A1577="D",LEFT(UPPER(E1577)&amp;REPT(" ",15),15)," ")</f>
        <v/>
      </c>
      <c r="V1577" s="10">
        <f>REPT(" ",24)</f>
        <v/>
      </c>
      <c r="W1577" s="10">
        <f>IF(A1577="c",LEFT(UPPER(B1577)&amp;REPT(" ",20),20),REPT(" ",20))</f>
        <v/>
      </c>
      <c r="X1577" s="10">
        <f>IF(A1577="C",LEFT(UPPER(C1577)&amp;REPT(" ",10),10)," ")</f>
        <v/>
      </c>
      <c r="Y1577" s="10">
        <f>IF(A1577="C",LEFT(UPPER(D1577)&amp;REPT(" ",2),2)," ")</f>
        <v/>
      </c>
      <c r="Z1577" s="10">
        <f>IF(A1577="C",LEFT(UPPER(E1577)&amp;REPT(" ",15),15)," ")</f>
        <v/>
      </c>
      <c r="AA1577" s="10">
        <f>REPT(" ",8)</f>
        <v/>
      </c>
      <c r="AB1577" s="10">
        <f>REPT(" ",4)</f>
        <v/>
      </c>
      <c r="AC1577" s="10">
        <f>LEFT(UPPER(H1577)&amp;REPT(" ",250),250)</f>
        <v/>
      </c>
      <c r="AD1577" s="10">
        <f>TEXT($G$2,"dd/mm/aaaa")</f>
        <v/>
      </c>
      <c r="AE1577" s="10">
        <f>REPT(" ",10)</f>
        <v/>
      </c>
      <c r="AF1577" s="10">
        <f>REPT(" ",20)</f>
        <v/>
      </c>
      <c r="AG1577" s="54">
        <f>REPT(" ",18-LEN(FIXED(F1577,2,TRUE)))&amp;FIXED(F1577,2,TRUE)</f>
        <v/>
      </c>
      <c r="AH1577" s="10">
        <f>LEN(AC1577)+LEN(AG1577)</f>
        <v/>
      </c>
      <c r="AI1577" s="10">
        <f>LEN(L1577)</f>
        <v/>
      </c>
    </row>
    <row r="1578">
      <c r="J1578" s="12">
        <f>IF(F1578&lt;&gt;0,"LANÇAR","")</f>
        <v/>
      </c>
      <c r="L1578" s="13">
        <f>N1578&amp;O1578&amp;P1578&amp;Q1578&amp;R1578&amp;S1578&amp;T1578&amp;U1578&amp;V1578&amp;W1578&amp;X1578&amp;Y1578&amp;Z1578&amp;AA1578&amp;AB1578&amp;AC1578&amp;AD1578&amp;AE1578&amp;AF1578&amp;AG1578</f>
        <v/>
      </c>
      <c r="N1578" s="10">
        <f>TEXT($B$6,"00")</f>
        <v/>
      </c>
      <c r="O1578" s="10">
        <f>REPT(" ",8)</f>
        <v/>
      </c>
      <c r="P1578" s="10">
        <f>RIGHT($B$4,2)</f>
        <v/>
      </c>
      <c r="Q1578" s="10">
        <f>RIGHT($B$5,3)</f>
        <v/>
      </c>
      <c r="R1578" s="10">
        <f>IF(A1578="D",LEFT(UPPER(B1578)&amp;REPT(" ",20),20),REPT(" ",20))</f>
        <v/>
      </c>
      <c r="S1578" s="10">
        <f>IF(A1578="D",LEFT(UPPER(C1578)&amp;REPT(" ",10),10)," ")</f>
        <v/>
      </c>
      <c r="T1578" s="10">
        <f>IF(A1578="D",LEFT(UPPER(D1578)&amp;REPT(" ",2),2)," ")</f>
        <v/>
      </c>
      <c r="U1578" s="10">
        <f>IF(A1578="D",LEFT(UPPER(E1578)&amp;REPT(" ",15),15)," ")</f>
        <v/>
      </c>
      <c r="V1578" s="10">
        <f>REPT(" ",24)</f>
        <v/>
      </c>
      <c r="W1578" s="10">
        <f>IF(A1578="c",LEFT(UPPER(B1578)&amp;REPT(" ",20),20),REPT(" ",20))</f>
        <v/>
      </c>
      <c r="X1578" s="10">
        <f>IF(A1578="C",LEFT(UPPER(C1578)&amp;REPT(" ",10),10)," ")</f>
        <v/>
      </c>
      <c r="Y1578" s="10">
        <f>IF(A1578="C",LEFT(UPPER(D1578)&amp;REPT(" ",2),2)," ")</f>
        <v/>
      </c>
      <c r="Z1578" s="10">
        <f>IF(A1578="C",LEFT(UPPER(E1578)&amp;REPT(" ",15),15)," ")</f>
        <v/>
      </c>
      <c r="AA1578" s="10">
        <f>REPT(" ",8)</f>
        <v/>
      </c>
      <c r="AB1578" s="10">
        <f>REPT(" ",4)</f>
        <v/>
      </c>
      <c r="AC1578" s="10">
        <f>LEFT(UPPER(H1578)&amp;REPT(" ",250),250)</f>
        <v/>
      </c>
      <c r="AD1578" s="10">
        <f>TEXT($G$2,"dd/mm/aaaa")</f>
        <v/>
      </c>
      <c r="AE1578" s="10">
        <f>REPT(" ",10)</f>
        <v/>
      </c>
      <c r="AF1578" s="10">
        <f>REPT(" ",20)</f>
        <v/>
      </c>
      <c r="AG1578" s="54">
        <f>REPT(" ",18-LEN(FIXED(F1578,2,TRUE)))&amp;FIXED(F1578,2,TRUE)</f>
        <v/>
      </c>
      <c r="AH1578" s="10">
        <f>LEN(AC1578)+LEN(AG1578)</f>
        <v/>
      </c>
      <c r="AI1578" s="10">
        <f>LEN(L1578)</f>
        <v/>
      </c>
    </row>
    <row r="1579">
      <c r="J1579" s="12">
        <f>IF(F1579&lt;&gt;0,"LANÇAR","")</f>
        <v/>
      </c>
      <c r="L1579" s="13">
        <f>N1579&amp;O1579&amp;P1579&amp;Q1579&amp;R1579&amp;S1579&amp;T1579&amp;U1579&amp;V1579&amp;W1579&amp;X1579&amp;Y1579&amp;Z1579&amp;AA1579&amp;AB1579&amp;AC1579&amp;AD1579&amp;AE1579&amp;AF1579&amp;AG1579</f>
        <v/>
      </c>
      <c r="N1579" s="10">
        <f>TEXT($B$6,"00")</f>
        <v/>
      </c>
      <c r="O1579" s="10">
        <f>REPT(" ",8)</f>
        <v/>
      </c>
      <c r="P1579" s="10">
        <f>RIGHT($B$4,2)</f>
        <v/>
      </c>
      <c r="Q1579" s="10">
        <f>RIGHT($B$5,3)</f>
        <v/>
      </c>
      <c r="R1579" s="10">
        <f>IF(A1579="D",LEFT(UPPER(B1579)&amp;REPT(" ",20),20),REPT(" ",20))</f>
        <v/>
      </c>
      <c r="S1579" s="10">
        <f>IF(A1579="D",LEFT(UPPER(C1579)&amp;REPT(" ",10),10)," ")</f>
        <v/>
      </c>
      <c r="T1579" s="10">
        <f>IF(A1579="D",LEFT(UPPER(D1579)&amp;REPT(" ",2),2)," ")</f>
        <v/>
      </c>
      <c r="U1579" s="10">
        <f>IF(A1579="D",LEFT(UPPER(E1579)&amp;REPT(" ",15),15)," ")</f>
        <v/>
      </c>
      <c r="V1579" s="10">
        <f>REPT(" ",24)</f>
        <v/>
      </c>
      <c r="W1579" s="10">
        <f>IF(A1579="c",LEFT(UPPER(B1579)&amp;REPT(" ",20),20),REPT(" ",20))</f>
        <v/>
      </c>
      <c r="X1579" s="10">
        <f>IF(A1579="C",LEFT(UPPER(C1579)&amp;REPT(" ",10),10)," ")</f>
        <v/>
      </c>
      <c r="Y1579" s="10">
        <f>IF(A1579="C",LEFT(UPPER(D1579)&amp;REPT(" ",2),2)," ")</f>
        <v/>
      </c>
      <c r="Z1579" s="10">
        <f>IF(A1579="C",LEFT(UPPER(E1579)&amp;REPT(" ",15),15)," ")</f>
        <v/>
      </c>
      <c r="AA1579" s="10">
        <f>REPT(" ",8)</f>
        <v/>
      </c>
      <c r="AB1579" s="10">
        <f>REPT(" ",4)</f>
        <v/>
      </c>
      <c r="AC1579" s="10">
        <f>LEFT(UPPER(H1579)&amp;REPT(" ",250),250)</f>
        <v/>
      </c>
      <c r="AD1579" s="10">
        <f>TEXT($G$2,"dd/mm/aaaa")</f>
        <v/>
      </c>
      <c r="AE1579" s="10">
        <f>REPT(" ",10)</f>
        <v/>
      </c>
      <c r="AF1579" s="10">
        <f>REPT(" ",20)</f>
        <v/>
      </c>
      <c r="AG1579" s="54">
        <f>REPT(" ",18-LEN(FIXED(F1579,2,TRUE)))&amp;FIXED(F1579,2,TRUE)</f>
        <v/>
      </c>
      <c r="AH1579" s="10">
        <f>LEN(AC1579)+LEN(AG1579)</f>
        <v/>
      </c>
      <c r="AI1579" s="10">
        <f>LEN(L1579)</f>
        <v/>
      </c>
    </row>
    <row r="1580">
      <c r="J1580" s="12">
        <f>IF(F1580&lt;&gt;0,"LANÇAR","")</f>
        <v/>
      </c>
      <c r="L1580" s="13">
        <f>N1580&amp;O1580&amp;P1580&amp;Q1580&amp;R1580&amp;S1580&amp;T1580&amp;U1580&amp;V1580&amp;W1580&amp;X1580&amp;Y1580&amp;Z1580&amp;AA1580&amp;AB1580&amp;AC1580&amp;AD1580&amp;AE1580&amp;AF1580&amp;AG1580</f>
        <v/>
      </c>
      <c r="N1580" s="10">
        <f>TEXT($B$6,"00")</f>
        <v/>
      </c>
      <c r="O1580" s="10">
        <f>REPT(" ",8)</f>
        <v/>
      </c>
      <c r="P1580" s="10">
        <f>RIGHT($B$4,2)</f>
        <v/>
      </c>
      <c r="Q1580" s="10">
        <f>RIGHT($B$5,3)</f>
        <v/>
      </c>
      <c r="R1580" s="10">
        <f>IF(A1580="D",LEFT(UPPER(B1580)&amp;REPT(" ",20),20),REPT(" ",20))</f>
        <v/>
      </c>
      <c r="S1580" s="10">
        <f>IF(A1580="D",LEFT(UPPER(C1580)&amp;REPT(" ",10),10)," ")</f>
        <v/>
      </c>
      <c r="T1580" s="10">
        <f>IF(A1580="D",LEFT(UPPER(D1580)&amp;REPT(" ",2),2)," ")</f>
        <v/>
      </c>
      <c r="U1580" s="10">
        <f>IF(A1580="D",LEFT(UPPER(E1580)&amp;REPT(" ",15),15)," ")</f>
        <v/>
      </c>
      <c r="V1580" s="10">
        <f>REPT(" ",24)</f>
        <v/>
      </c>
      <c r="W1580" s="10">
        <f>IF(A1580="c",LEFT(UPPER(B1580)&amp;REPT(" ",20),20),REPT(" ",20))</f>
        <v/>
      </c>
      <c r="X1580" s="10">
        <f>IF(A1580="C",LEFT(UPPER(C1580)&amp;REPT(" ",10),10)," ")</f>
        <v/>
      </c>
      <c r="Y1580" s="10">
        <f>IF(A1580="C",LEFT(UPPER(D1580)&amp;REPT(" ",2),2)," ")</f>
        <v/>
      </c>
      <c r="Z1580" s="10">
        <f>IF(A1580="C",LEFT(UPPER(E1580)&amp;REPT(" ",15),15)," ")</f>
        <v/>
      </c>
      <c r="AA1580" s="10">
        <f>REPT(" ",8)</f>
        <v/>
      </c>
      <c r="AB1580" s="10">
        <f>REPT(" ",4)</f>
        <v/>
      </c>
      <c r="AC1580" s="10">
        <f>LEFT(UPPER(H1580)&amp;REPT(" ",250),250)</f>
        <v/>
      </c>
      <c r="AD1580" s="10">
        <f>TEXT($G$2,"dd/mm/aaaa")</f>
        <v/>
      </c>
      <c r="AE1580" s="10">
        <f>REPT(" ",10)</f>
        <v/>
      </c>
      <c r="AF1580" s="10">
        <f>REPT(" ",20)</f>
        <v/>
      </c>
      <c r="AG1580" s="54">
        <f>REPT(" ",18-LEN(FIXED(F1580,2,TRUE)))&amp;FIXED(F1580,2,TRUE)</f>
        <v/>
      </c>
      <c r="AH1580" s="10">
        <f>LEN(AC1580)+LEN(AG1580)</f>
        <v/>
      </c>
      <c r="AI1580" s="10">
        <f>LEN(L1580)</f>
        <v/>
      </c>
    </row>
    <row r="1581">
      <c r="J1581" s="12">
        <f>IF(F1581&lt;&gt;0,"LANÇAR","")</f>
        <v/>
      </c>
      <c r="L1581" s="13">
        <f>N1581&amp;O1581&amp;P1581&amp;Q1581&amp;R1581&amp;S1581&amp;T1581&amp;U1581&amp;V1581&amp;W1581&amp;X1581&amp;Y1581&amp;Z1581&amp;AA1581&amp;AB1581&amp;AC1581&amp;AD1581&amp;AE1581&amp;AF1581&amp;AG1581</f>
        <v/>
      </c>
      <c r="N1581" s="10">
        <f>TEXT($B$6,"00")</f>
        <v/>
      </c>
      <c r="O1581" s="10">
        <f>REPT(" ",8)</f>
        <v/>
      </c>
      <c r="P1581" s="10">
        <f>RIGHT($B$4,2)</f>
        <v/>
      </c>
      <c r="Q1581" s="10">
        <f>RIGHT($B$5,3)</f>
        <v/>
      </c>
      <c r="R1581" s="10">
        <f>IF(A1581="D",LEFT(UPPER(B1581)&amp;REPT(" ",20),20),REPT(" ",20))</f>
        <v/>
      </c>
      <c r="S1581" s="10">
        <f>IF(A1581="D",LEFT(UPPER(C1581)&amp;REPT(" ",10),10)," ")</f>
        <v/>
      </c>
      <c r="T1581" s="10">
        <f>IF(A1581="D",LEFT(UPPER(D1581)&amp;REPT(" ",2),2)," ")</f>
        <v/>
      </c>
      <c r="U1581" s="10">
        <f>IF(A1581="D",LEFT(UPPER(E1581)&amp;REPT(" ",15),15)," ")</f>
        <v/>
      </c>
      <c r="V1581" s="10">
        <f>REPT(" ",24)</f>
        <v/>
      </c>
      <c r="W1581" s="10">
        <f>IF(A1581="c",LEFT(UPPER(B1581)&amp;REPT(" ",20),20),REPT(" ",20))</f>
        <v/>
      </c>
      <c r="X1581" s="10">
        <f>IF(A1581="C",LEFT(UPPER(C1581)&amp;REPT(" ",10),10)," ")</f>
        <v/>
      </c>
      <c r="Y1581" s="10">
        <f>IF(A1581="C",LEFT(UPPER(D1581)&amp;REPT(" ",2),2)," ")</f>
        <v/>
      </c>
      <c r="Z1581" s="10">
        <f>IF(A1581="C",LEFT(UPPER(E1581)&amp;REPT(" ",15),15)," ")</f>
        <v/>
      </c>
      <c r="AA1581" s="10">
        <f>REPT(" ",8)</f>
        <v/>
      </c>
      <c r="AB1581" s="10">
        <f>REPT(" ",4)</f>
        <v/>
      </c>
      <c r="AC1581" s="10">
        <f>LEFT(UPPER(H1581)&amp;REPT(" ",250),250)</f>
        <v/>
      </c>
      <c r="AD1581" s="10">
        <f>TEXT($G$2,"dd/mm/aaaa")</f>
        <v/>
      </c>
      <c r="AE1581" s="10">
        <f>REPT(" ",10)</f>
        <v/>
      </c>
      <c r="AF1581" s="10">
        <f>REPT(" ",20)</f>
        <v/>
      </c>
      <c r="AG1581" s="54">
        <f>REPT(" ",18-LEN(FIXED(F1581,2,TRUE)))&amp;FIXED(F1581,2,TRUE)</f>
        <v/>
      </c>
      <c r="AH1581" s="10">
        <f>LEN(AC1581)+LEN(AG1581)</f>
        <v/>
      </c>
      <c r="AI1581" s="10">
        <f>LEN(L1581)</f>
        <v/>
      </c>
    </row>
    <row r="1582">
      <c r="J1582" s="12">
        <f>IF(F1582&lt;&gt;0,"LANÇAR","")</f>
        <v/>
      </c>
      <c r="L1582" s="13">
        <f>N1582&amp;O1582&amp;P1582&amp;Q1582&amp;R1582&amp;S1582&amp;T1582&amp;U1582&amp;V1582&amp;W1582&amp;X1582&amp;Y1582&amp;Z1582&amp;AA1582&amp;AB1582&amp;AC1582&amp;AD1582&amp;AE1582&amp;AF1582&amp;AG1582</f>
        <v/>
      </c>
      <c r="N1582" s="10">
        <f>TEXT($B$6,"00")</f>
        <v/>
      </c>
      <c r="O1582" s="10">
        <f>REPT(" ",8)</f>
        <v/>
      </c>
      <c r="P1582" s="10">
        <f>RIGHT($B$4,2)</f>
        <v/>
      </c>
      <c r="Q1582" s="10">
        <f>RIGHT($B$5,3)</f>
        <v/>
      </c>
      <c r="R1582" s="10">
        <f>IF(A1582="D",LEFT(UPPER(B1582)&amp;REPT(" ",20),20),REPT(" ",20))</f>
        <v/>
      </c>
      <c r="S1582" s="10">
        <f>IF(A1582="D",LEFT(UPPER(C1582)&amp;REPT(" ",10),10)," ")</f>
        <v/>
      </c>
      <c r="T1582" s="10">
        <f>IF(A1582="D",LEFT(UPPER(D1582)&amp;REPT(" ",2),2)," ")</f>
        <v/>
      </c>
      <c r="U1582" s="10">
        <f>IF(A1582="D",LEFT(UPPER(E1582)&amp;REPT(" ",15),15)," ")</f>
        <v/>
      </c>
      <c r="V1582" s="10">
        <f>REPT(" ",24)</f>
        <v/>
      </c>
      <c r="W1582" s="10">
        <f>IF(A1582="c",LEFT(UPPER(B1582)&amp;REPT(" ",20),20),REPT(" ",20))</f>
        <v/>
      </c>
      <c r="X1582" s="10">
        <f>IF(A1582="C",LEFT(UPPER(C1582)&amp;REPT(" ",10),10)," ")</f>
        <v/>
      </c>
      <c r="Y1582" s="10">
        <f>IF(A1582="C",LEFT(UPPER(D1582)&amp;REPT(" ",2),2)," ")</f>
        <v/>
      </c>
      <c r="Z1582" s="10">
        <f>IF(A1582="C",LEFT(UPPER(E1582)&amp;REPT(" ",15),15)," ")</f>
        <v/>
      </c>
      <c r="AA1582" s="10">
        <f>REPT(" ",8)</f>
        <v/>
      </c>
      <c r="AB1582" s="10">
        <f>REPT(" ",4)</f>
        <v/>
      </c>
      <c r="AC1582" s="10">
        <f>LEFT(UPPER(H1582)&amp;REPT(" ",250),250)</f>
        <v/>
      </c>
      <c r="AD1582" s="10">
        <f>TEXT($G$2,"dd/mm/aaaa")</f>
        <v/>
      </c>
      <c r="AE1582" s="10">
        <f>REPT(" ",10)</f>
        <v/>
      </c>
      <c r="AF1582" s="10">
        <f>REPT(" ",20)</f>
        <v/>
      </c>
      <c r="AG1582" s="54">
        <f>REPT(" ",18-LEN(FIXED(F1582,2,TRUE)))&amp;FIXED(F1582,2,TRUE)</f>
        <v/>
      </c>
      <c r="AH1582" s="10">
        <f>LEN(AC1582)+LEN(AG1582)</f>
        <v/>
      </c>
      <c r="AI1582" s="10">
        <f>LEN(L1582)</f>
        <v/>
      </c>
    </row>
    <row r="1583">
      <c r="J1583" s="12">
        <f>IF(F1583&lt;&gt;0,"LANÇAR","")</f>
        <v/>
      </c>
      <c r="L1583" s="13">
        <f>N1583&amp;O1583&amp;P1583&amp;Q1583&amp;R1583&amp;S1583&amp;T1583&amp;U1583&amp;V1583&amp;W1583&amp;X1583&amp;Y1583&amp;Z1583&amp;AA1583&amp;AB1583&amp;AC1583&amp;AD1583&amp;AE1583&amp;AF1583&amp;AG1583</f>
        <v/>
      </c>
      <c r="N1583" s="10">
        <f>TEXT($B$6,"00")</f>
        <v/>
      </c>
      <c r="O1583" s="10">
        <f>REPT(" ",8)</f>
        <v/>
      </c>
      <c r="P1583" s="10">
        <f>RIGHT($B$4,2)</f>
        <v/>
      </c>
      <c r="Q1583" s="10">
        <f>RIGHT($B$5,3)</f>
        <v/>
      </c>
      <c r="R1583" s="10">
        <f>IF(A1583="D",LEFT(UPPER(B1583)&amp;REPT(" ",20),20),REPT(" ",20))</f>
        <v/>
      </c>
      <c r="S1583" s="10">
        <f>IF(A1583="D",LEFT(UPPER(C1583)&amp;REPT(" ",10),10)," ")</f>
        <v/>
      </c>
      <c r="T1583" s="10">
        <f>IF(A1583="D",LEFT(UPPER(D1583)&amp;REPT(" ",2),2)," ")</f>
        <v/>
      </c>
      <c r="U1583" s="10">
        <f>IF(A1583="D",LEFT(UPPER(E1583)&amp;REPT(" ",15),15)," ")</f>
        <v/>
      </c>
      <c r="V1583" s="10">
        <f>REPT(" ",24)</f>
        <v/>
      </c>
      <c r="W1583" s="10">
        <f>IF(A1583="c",LEFT(UPPER(B1583)&amp;REPT(" ",20),20),REPT(" ",20))</f>
        <v/>
      </c>
      <c r="X1583" s="10">
        <f>IF(A1583="C",LEFT(UPPER(C1583)&amp;REPT(" ",10),10)," ")</f>
        <v/>
      </c>
      <c r="Y1583" s="10">
        <f>IF(A1583="C",LEFT(UPPER(D1583)&amp;REPT(" ",2),2)," ")</f>
        <v/>
      </c>
      <c r="Z1583" s="10">
        <f>IF(A1583="C",LEFT(UPPER(E1583)&amp;REPT(" ",15),15)," ")</f>
        <v/>
      </c>
      <c r="AA1583" s="10">
        <f>REPT(" ",8)</f>
        <v/>
      </c>
      <c r="AB1583" s="10">
        <f>REPT(" ",4)</f>
        <v/>
      </c>
      <c r="AC1583" s="10">
        <f>LEFT(UPPER(H1583)&amp;REPT(" ",250),250)</f>
        <v/>
      </c>
      <c r="AD1583" s="10">
        <f>TEXT($G$2,"dd/mm/aaaa")</f>
        <v/>
      </c>
      <c r="AE1583" s="10">
        <f>REPT(" ",10)</f>
        <v/>
      </c>
      <c r="AF1583" s="10">
        <f>REPT(" ",20)</f>
        <v/>
      </c>
      <c r="AG1583" s="54">
        <f>REPT(" ",18-LEN(FIXED(F1583,2,TRUE)))&amp;FIXED(F1583,2,TRUE)</f>
        <v/>
      </c>
      <c r="AH1583" s="10">
        <f>LEN(AC1583)+LEN(AG1583)</f>
        <v/>
      </c>
      <c r="AI1583" s="10">
        <f>LEN(L1583)</f>
        <v/>
      </c>
    </row>
    <row r="1584">
      <c r="J1584" s="12">
        <f>IF(F1584&lt;&gt;0,"LANÇAR","")</f>
        <v/>
      </c>
      <c r="L1584" s="13">
        <f>N1584&amp;O1584&amp;P1584&amp;Q1584&amp;R1584&amp;S1584&amp;T1584&amp;U1584&amp;V1584&amp;W1584&amp;X1584&amp;Y1584&amp;Z1584&amp;AA1584&amp;AB1584&amp;AC1584&amp;AD1584&amp;AE1584&amp;AF1584&amp;AG1584</f>
        <v/>
      </c>
      <c r="N1584" s="10">
        <f>TEXT($B$6,"00")</f>
        <v/>
      </c>
      <c r="O1584" s="10">
        <f>REPT(" ",8)</f>
        <v/>
      </c>
      <c r="P1584" s="10">
        <f>RIGHT($B$4,2)</f>
        <v/>
      </c>
      <c r="Q1584" s="10">
        <f>RIGHT($B$5,3)</f>
        <v/>
      </c>
      <c r="R1584" s="10">
        <f>IF(A1584="D",LEFT(UPPER(B1584)&amp;REPT(" ",20),20),REPT(" ",20))</f>
        <v/>
      </c>
      <c r="S1584" s="10">
        <f>IF(A1584="D",LEFT(UPPER(C1584)&amp;REPT(" ",10),10)," ")</f>
        <v/>
      </c>
      <c r="T1584" s="10">
        <f>IF(A1584="D",LEFT(UPPER(D1584)&amp;REPT(" ",2),2)," ")</f>
        <v/>
      </c>
      <c r="U1584" s="10">
        <f>IF(A1584="D",LEFT(UPPER(E1584)&amp;REPT(" ",15),15)," ")</f>
        <v/>
      </c>
      <c r="V1584" s="10">
        <f>REPT(" ",24)</f>
        <v/>
      </c>
      <c r="W1584" s="10">
        <f>IF(A1584="c",LEFT(UPPER(B1584)&amp;REPT(" ",20),20),REPT(" ",20))</f>
        <v/>
      </c>
      <c r="X1584" s="10">
        <f>IF(A1584="C",LEFT(UPPER(C1584)&amp;REPT(" ",10),10)," ")</f>
        <v/>
      </c>
      <c r="Y1584" s="10">
        <f>IF(A1584="C",LEFT(UPPER(D1584)&amp;REPT(" ",2),2)," ")</f>
        <v/>
      </c>
      <c r="Z1584" s="10">
        <f>IF(A1584="C",LEFT(UPPER(E1584)&amp;REPT(" ",15),15)," ")</f>
        <v/>
      </c>
      <c r="AA1584" s="10">
        <f>REPT(" ",8)</f>
        <v/>
      </c>
      <c r="AB1584" s="10">
        <f>REPT(" ",4)</f>
        <v/>
      </c>
      <c r="AC1584" s="10">
        <f>LEFT(UPPER(H1584)&amp;REPT(" ",250),250)</f>
        <v/>
      </c>
      <c r="AD1584" s="10">
        <f>TEXT($G$2,"dd/mm/aaaa")</f>
        <v/>
      </c>
      <c r="AE1584" s="10">
        <f>REPT(" ",10)</f>
        <v/>
      </c>
      <c r="AF1584" s="10">
        <f>REPT(" ",20)</f>
        <v/>
      </c>
      <c r="AG1584" s="54">
        <f>REPT(" ",18-LEN(FIXED(F1584,2,TRUE)))&amp;FIXED(F1584,2,TRUE)</f>
        <v/>
      </c>
      <c r="AH1584" s="10">
        <f>LEN(AC1584)+LEN(AG1584)</f>
        <v/>
      </c>
      <c r="AI1584" s="10">
        <f>LEN(L1584)</f>
        <v/>
      </c>
    </row>
    <row r="1585">
      <c r="J1585" s="12">
        <f>IF(F1585&lt;&gt;0,"LANÇAR","")</f>
        <v/>
      </c>
      <c r="L1585" s="13">
        <f>N1585&amp;O1585&amp;P1585&amp;Q1585&amp;R1585&amp;S1585&amp;T1585&amp;U1585&amp;V1585&amp;W1585&amp;X1585&amp;Y1585&amp;Z1585&amp;AA1585&amp;AB1585&amp;AC1585&amp;AD1585&amp;AE1585&amp;AF1585&amp;AG1585</f>
        <v/>
      </c>
      <c r="N1585" s="10">
        <f>TEXT($B$6,"00")</f>
        <v/>
      </c>
      <c r="O1585" s="10">
        <f>REPT(" ",8)</f>
        <v/>
      </c>
      <c r="P1585" s="10">
        <f>RIGHT($B$4,2)</f>
        <v/>
      </c>
      <c r="Q1585" s="10">
        <f>RIGHT($B$5,3)</f>
        <v/>
      </c>
      <c r="R1585" s="10">
        <f>IF(A1585="D",LEFT(UPPER(B1585)&amp;REPT(" ",20),20),REPT(" ",20))</f>
        <v/>
      </c>
      <c r="S1585" s="10">
        <f>IF(A1585="D",LEFT(UPPER(C1585)&amp;REPT(" ",10),10)," ")</f>
        <v/>
      </c>
      <c r="T1585" s="10">
        <f>IF(A1585="D",LEFT(UPPER(D1585)&amp;REPT(" ",2),2)," ")</f>
        <v/>
      </c>
      <c r="U1585" s="10">
        <f>IF(A1585="D",LEFT(UPPER(E1585)&amp;REPT(" ",15),15)," ")</f>
        <v/>
      </c>
      <c r="V1585" s="10">
        <f>REPT(" ",24)</f>
        <v/>
      </c>
      <c r="W1585" s="10">
        <f>IF(A1585="c",LEFT(UPPER(B1585)&amp;REPT(" ",20),20),REPT(" ",20))</f>
        <v/>
      </c>
      <c r="X1585" s="10">
        <f>IF(A1585="C",LEFT(UPPER(C1585)&amp;REPT(" ",10),10)," ")</f>
        <v/>
      </c>
      <c r="Y1585" s="10">
        <f>IF(A1585="C",LEFT(UPPER(D1585)&amp;REPT(" ",2),2)," ")</f>
        <v/>
      </c>
      <c r="Z1585" s="10">
        <f>IF(A1585="C",LEFT(UPPER(E1585)&amp;REPT(" ",15),15)," ")</f>
        <v/>
      </c>
      <c r="AA1585" s="10">
        <f>REPT(" ",8)</f>
        <v/>
      </c>
      <c r="AB1585" s="10">
        <f>REPT(" ",4)</f>
        <v/>
      </c>
      <c r="AC1585" s="10">
        <f>LEFT(UPPER(H1585)&amp;REPT(" ",250),250)</f>
        <v/>
      </c>
      <c r="AD1585" s="10">
        <f>TEXT($G$2,"dd/mm/aaaa")</f>
        <v/>
      </c>
      <c r="AE1585" s="10">
        <f>REPT(" ",10)</f>
        <v/>
      </c>
      <c r="AF1585" s="10">
        <f>REPT(" ",20)</f>
        <v/>
      </c>
      <c r="AG1585" s="54">
        <f>REPT(" ",18-LEN(FIXED(F1585,2,TRUE)))&amp;FIXED(F1585,2,TRUE)</f>
        <v/>
      </c>
      <c r="AH1585" s="10">
        <f>LEN(AC1585)+LEN(AG1585)</f>
        <v/>
      </c>
      <c r="AI1585" s="10">
        <f>LEN(L1585)</f>
        <v/>
      </c>
    </row>
    <row r="1586">
      <c r="J1586" s="12">
        <f>IF(F1586&lt;&gt;0,"LANÇAR","")</f>
        <v/>
      </c>
      <c r="L1586" s="13">
        <f>N1586&amp;O1586&amp;P1586&amp;Q1586&amp;R1586&amp;S1586&amp;T1586&amp;U1586&amp;V1586&amp;W1586&amp;X1586&amp;Y1586&amp;Z1586&amp;AA1586&amp;AB1586&amp;AC1586&amp;AD1586&amp;AE1586&amp;AF1586&amp;AG1586</f>
        <v/>
      </c>
      <c r="N1586" s="10">
        <f>TEXT($B$6,"00")</f>
        <v/>
      </c>
      <c r="O1586" s="10">
        <f>REPT(" ",8)</f>
        <v/>
      </c>
      <c r="P1586" s="10">
        <f>RIGHT($B$4,2)</f>
        <v/>
      </c>
      <c r="Q1586" s="10">
        <f>RIGHT($B$5,3)</f>
        <v/>
      </c>
      <c r="R1586" s="10">
        <f>IF(A1586="D",LEFT(UPPER(B1586)&amp;REPT(" ",20),20),REPT(" ",20))</f>
        <v/>
      </c>
      <c r="S1586" s="10">
        <f>IF(A1586="D",LEFT(UPPER(C1586)&amp;REPT(" ",10),10)," ")</f>
        <v/>
      </c>
      <c r="T1586" s="10">
        <f>IF(A1586="D",LEFT(UPPER(D1586)&amp;REPT(" ",2),2)," ")</f>
        <v/>
      </c>
      <c r="U1586" s="10">
        <f>IF(A1586="D",LEFT(UPPER(E1586)&amp;REPT(" ",15),15)," ")</f>
        <v/>
      </c>
      <c r="V1586" s="10">
        <f>REPT(" ",24)</f>
        <v/>
      </c>
      <c r="W1586" s="10">
        <f>IF(A1586="c",LEFT(UPPER(B1586)&amp;REPT(" ",20),20),REPT(" ",20))</f>
        <v/>
      </c>
      <c r="X1586" s="10">
        <f>IF(A1586="C",LEFT(UPPER(C1586)&amp;REPT(" ",10),10)," ")</f>
        <v/>
      </c>
      <c r="Y1586" s="10">
        <f>IF(A1586="C",LEFT(UPPER(D1586)&amp;REPT(" ",2),2)," ")</f>
        <v/>
      </c>
      <c r="Z1586" s="10">
        <f>IF(A1586="C",LEFT(UPPER(E1586)&amp;REPT(" ",15),15)," ")</f>
        <v/>
      </c>
      <c r="AA1586" s="10">
        <f>REPT(" ",8)</f>
        <v/>
      </c>
      <c r="AB1586" s="10">
        <f>REPT(" ",4)</f>
        <v/>
      </c>
      <c r="AC1586" s="10">
        <f>LEFT(UPPER(H1586)&amp;REPT(" ",250),250)</f>
        <v/>
      </c>
      <c r="AD1586" s="10">
        <f>TEXT($G$2,"dd/mm/aaaa")</f>
        <v/>
      </c>
      <c r="AE1586" s="10">
        <f>REPT(" ",10)</f>
        <v/>
      </c>
      <c r="AF1586" s="10">
        <f>REPT(" ",20)</f>
        <v/>
      </c>
      <c r="AG1586" s="54">
        <f>REPT(" ",18-LEN(FIXED(F1586,2,TRUE)))&amp;FIXED(F1586,2,TRUE)</f>
        <v/>
      </c>
      <c r="AH1586" s="10">
        <f>LEN(AC1586)+LEN(AG1586)</f>
        <v/>
      </c>
      <c r="AI1586" s="10">
        <f>LEN(L1586)</f>
        <v/>
      </c>
    </row>
    <row r="1587">
      <c r="J1587" s="12">
        <f>IF(F1587&lt;&gt;0,"LANÇAR","")</f>
        <v/>
      </c>
      <c r="L1587" s="13">
        <f>N1587&amp;O1587&amp;P1587&amp;Q1587&amp;R1587&amp;S1587&amp;T1587&amp;U1587&amp;V1587&amp;W1587&amp;X1587&amp;Y1587&amp;Z1587&amp;AA1587&amp;AB1587&amp;AC1587&amp;AD1587&amp;AE1587&amp;AF1587&amp;AG1587</f>
        <v/>
      </c>
      <c r="N1587" s="10">
        <f>TEXT($B$6,"00")</f>
        <v/>
      </c>
      <c r="O1587" s="10">
        <f>REPT(" ",8)</f>
        <v/>
      </c>
      <c r="P1587" s="10">
        <f>RIGHT($B$4,2)</f>
        <v/>
      </c>
      <c r="Q1587" s="10">
        <f>RIGHT($B$5,3)</f>
        <v/>
      </c>
      <c r="R1587" s="10">
        <f>IF(A1587="D",LEFT(UPPER(B1587)&amp;REPT(" ",20),20),REPT(" ",20))</f>
        <v/>
      </c>
      <c r="S1587" s="10">
        <f>IF(A1587="D",LEFT(UPPER(C1587)&amp;REPT(" ",10),10)," ")</f>
        <v/>
      </c>
      <c r="T1587" s="10">
        <f>IF(A1587="D",LEFT(UPPER(D1587)&amp;REPT(" ",2),2)," ")</f>
        <v/>
      </c>
      <c r="U1587" s="10">
        <f>IF(A1587="D",LEFT(UPPER(E1587)&amp;REPT(" ",15),15)," ")</f>
        <v/>
      </c>
      <c r="V1587" s="10">
        <f>REPT(" ",24)</f>
        <v/>
      </c>
      <c r="W1587" s="10">
        <f>IF(A1587="c",LEFT(UPPER(B1587)&amp;REPT(" ",20),20),REPT(" ",20))</f>
        <v/>
      </c>
      <c r="X1587" s="10">
        <f>IF(A1587="C",LEFT(UPPER(C1587)&amp;REPT(" ",10),10)," ")</f>
        <v/>
      </c>
      <c r="Y1587" s="10">
        <f>IF(A1587="C",LEFT(UPPER(D1587)&amp;REPT(" ",2),2)," ")</f>
        <v/>
      </c>
      <c r="Z1587" s="10">
        <f>IF(A1587="C",LEFT(UPPER(E1587)&amp;REPT(" ",15),15)," ")</f>
        <v/>
      </c>
      <c r="AA1587" s="10">
        <f>REPT(" ",8)</f>
        <v/>
      </c>
      <c r="AB1587" s="10">
        <f>REPT(" ",4)</f>
        <v/>
      </c>
      <c r="AC1587" s="10">
        <f>LEFT(UPPER(H1587)&amp;REPT(" ",250),250)</f>
        <v/>
      </c>
      <c r="AD1587" s="10">
        <f>TEXT($G$2,"dd/mm/aaaa")</f>
        <v/>
      </c>
      <c r="AE1587" s="10">
        <f>REPT(" ",10)</f>
        <v/>
      </c>
      <c r="AF1587" s="10">
        <f>REPT(" ",20)</f>
        <v/>
      </c>
      <c r="AG1587" s="54">
        <f>REPT(" ",18-LEN(FIXED(F1587,2,TRUE)))&amp;FIXED(F1587,2,TRUE)</f>
        <v/>
      </c>
      <c r="AH1587" s="10">
        <f>LEN(AC1587)+LEN(AG1587)</f>
        <v/>
      </c>
      <c r="AI1587" s="10">
        <f>LEN(L1587)</f>
        <v/>
      </c>
    </row>
    <row r="1588">
      <c r="J1588" s="12">
        <f>IF(F1588&lt;&gt;0,"LANÇAR","")</f>
        <v/>
      </c>
      <c r="L1588" s="13">
        <f>N1588&amp;O1588&amp;P1588&amp;Q1588&amp;R1588&amp;S1588&amp;T1588&amp;U1588&amp;V1588&amp;W1588&amp;X1588&amp;Y1588&amp;Z1588&amp;AA1588&amp;AB1588&amp;AC1588&amp;AD1588&amp;AE1588&amp;AF1588&amp;AG1588</f>
        <v/>
      </c>
      <c r="N1588" s="10">
        <f>TEXT($B$6,"00")</f>
        <v/>
      </c>
      <c r="O1588" s="10">
        <f>REPT(" ",8)</f>
        <v/>
      </c>
      <c r="P1588" s="10">
        <f>RIGHT($B$4,2)</f>
        <v/>
      </c>
      <c r="Q1588" s="10">
        <f>RIGHT($B$5,3)</f>
        <v/>
      </c>
      <c r="R1588" s="10">
        <f>IF(A1588="D",LEFT(UPPER(B1588)&amp;REPT(" ",20),20),REPT(" ",20))</f>
        <v/>
      </c>
      <c r="S1588" s="10">
        <f>IF(A1588="D",LEFT(UPPER(C1588)&amp;REPT(" ",10),10)," ")</f>
        <v/>
      </c>
      <c r="T1588" s="10">
        <f>IF(A1588="D",LEFT(UPPER(D1588)&amp;REPT(" ",2),2)," ")</f>
        <v/>
      </c>
      <c r="U1588" s="10">
        <f>IF(A1588="D",LEFT(UPPER(E1588)&amp;REPT(" ",15),15)," ")</f>
        <v/>
      </c>
      <c r="V1588" s="10">
        <f>REPT(" ",24)</f>
        <v/>
      </c>
      <c r="W1588" s="10">
        <f>IF(A1588="c",LEFT(UPPER(B1588)&amp;REPT(" ",20),20),REPT(" ",20))</f>
        <v/>
      </c>
      <c r="X1588" s="10">
        <f>IF(A1588="C",LEFT(UPPER(C1588)&amp;REPT(" ",10),10)," ")</f>
        <v/>
      </c>
      <c r="Y1588" s="10">
        <f>IF(A1588="C",LEFT(UPPER(D1588)&amp;REPT(" ",2),2)," ")</f>
        <v/>
      </c>
      <c r="Z1588" s="10">
        <f>IF(A1588="C",LEFT(UPPER(E1588)&amp;REPT(" ",15),15)," ")</f>
        <v/>
      </c>
      <c r="AA1588" s="10">
        <f>REPT(" ",8)</f>
        <v/>
      </c>
      <c r="AB1588" s="10">
        <f>REPT(" ",4)</f>
        <v/>
      </c>
      <c r="AC1588" s="10">
        <f>LEFT(UPPER(H1588)&amp;REPT(" ",250),250)</f>
        <v/>
      </c>
      <c r="AD1588" s="10">
        <f>TEXT($G$2,"dd/mm/aaaa")</f>
        <v/>
      </c>
      <c r="AE1588" s="10">
        <f>REPT(" ",10)</f>
        <v/>
      </c>
      <c r="AF1588" s="10">
        <f>REPT(" ",20)</f>
        <v/>
      </c>
      <c r="AG1588" s="54">
        <f>REPT(" ",18-LEN(FIXED(F1588,2,TRUE)))&amp;FIXED(F1588,2,TRUE)</f>
        <v/>
      </c>
      <c r="AH1588" s="10">
        <f>LEN(AC1588)+LEN(AG1588)</f>
        <v/>
      </c>
      <c r="AI1588" s="10">
        <f>LEN(L1588)</f>
        <v/>
      </c>
    </row>
    <row r="1589">
      <c r="J1589" s="12">
        <f>IF(F1589&lt;&gt;0,"LANÇAR","")</f>
        <v/>
      </c>
      <c r="L1589" s="13">
        <f>N1589&amp;O1589&amp;P1589&amp;Q1589&amp;R1589&amp;S1589&amp;T1589&amp;U1589&amp;V1589&amp;W1589&amp;X1589&amp;Y1589&amp;Z1589&amp;AA1589&amp;AB1589&amp;AC1589&amp;AD1589&amp;AE1589&amp;AF1589&amp;AG1589</f>
        <v/>
      </c>
      <c r="N1589" s="10">
        <f>TEXT($B$6,"00")</f>
        <v/>
      </c>
      <c r="O1589" s="10">
        <f>REPT(" ",8)</f>
        <v/>
      </c>
      <c r="P1589" s="10">
        <f>RIGHT($B$4,2)</f>
        <v/>
      </c>
      <c r="Q1589" s="10">
        <f>RIGHT($B$5,3)</f>
        <v/>
      </c>
      <c r="R1589" s="10">
        <f>IF(A1589="D",LEFT(UPPER(B1589)&amp;REPT(" ",20),20),REPT(" ",20))</f>
        <v/>
      </c>
      <c r="S1589" s="10">
        <f>IF(A1589="D",LEFT(UPPER(C1589)&amp;REPT(" ",10),10)," ")</f>
        <v/>
      </c>
      <c r="T1589" s="10">
        <f>IF(A1589="D",LEFT(UPPER(D1589)&amp;REPT(" ",2),2)," ")</f>
        <v/>
      </c>
      <c r="U1589" s="10">
        <f>IF(A1589="D",LEFT(UPPER(E1589)&amp;REPT(" ",15),15)," ")</f>
        <v/>
      </c>
      <c r="V1589" s="10">
        <f>REPT(" ",24)</f>
        <v/>
      </c>
      <c r="W1589" s="10">
        <f>IF(A1589="c",LEFT(UPPER(B1589)&amp;REPT(" ",20),20),REPT(" ",20))</f>
        <v/>
      </c>
      <c r="X1589" s="10">
        <f>IF(A1589="C",LEFT(UPPER(C1589)&amp;REPT(" ",10),10)," ")</f>
        <v/>
      </c>
      <c r="Y1589" s="10">
        <f>IF(A1589="C",LEFT(UPPER(D1589)&amp;REPT(" ",2),2)," ")</f>
        <v/>
      </c>
      <c r="Z1589" s="10">
        <f>IF(A1589="C",LEFT(UPPER(E1589)&amp;REPT(" ",15),15)," ")</f>
        <v/>
      </c>
      <c r="AA1589" s="10">
        <f>REPT(" ",8)</f>
        <v/>
      </c>
      <c r="AB1589" s="10">
        <f>REPT(" ",4)</f>
        <v/>
      </c>
      <c r="AC1589" s="10">
        <f>LEFT(UPPER(H1589)&amp;REPT(" ",250),250)</f>
        <v/>
      </c>
      <c r="AD1589" s="10">
        <f>TEXT($G$2,"dd/mm/aaaa")</f>
        <v/>
      </c>
      <c r="AE1589" s="10">
        <f>REPT(" ",10)</f>
        <v/>
      </c>
      <c r="AF1589" s="10">
        <f>REPT(" ",20)</f>
        <v/>
      </c>
      <c r="AG1589" s="54">
        <f>REPT(" ",18-LEN(FIXED(F1589,2,TRUE)))&amp;FIXED(F1589,2,TRUE)</f>
        <v/>
      </c>
      <c r="AH1589" s="10">
        <f>LEN(AC1589)+LEN(AG1589)</f>
        <v/>
      </c>
      <c r="AI1589" s="10">
        <f>LEN(L1589)</f>
        <v/>
      </c>
    </row>
    <row r="1590">
      <c r="J1590" s="12">
        <f>IF(F1590&lt;&gt;0,"LANÇAR","")</f>
        <v/>
      </c>
      <c r="L1590" s="13">
        <f>N1590&amp;O1590&amp;P1590&amp;Q1590&amp;R1590&amp;S1590&amp;T1590&amp;U1590&amp;V1590&amp;W1590&amp;X1590&amp;Y1590&amp;Z1590&amp;AA1590&amp;AB1590&amp;AC1590&amp;AD1590&amp;AE1590&amp;AF1590&amp;AG1590</f>
        <v/>
      </c>
      <c r="N1590" s="10">
        <f>TEXT($B$6,"00")</f>
        <v/>
      </c>
      <c r="O1590" s="10">
        <f>REPT(" ",8)</f>
        <v/>
      </c>
      <c r="P1590" s="10">
        <f>RIGHT($B$4,2)</f>
        <v/>
      </c>
      <c r="Q1590" s="10">
        <f>RIGHT($B$5,3)</f>
        <v/>
      </c>
      <c r="R1590" s="10">
        <f>IF(A1590="D",LEFT(UPPER(B1590)&amp;REPT(" ",20),20),REPT(" ",20))</f>
        <v/>
      </c>
      <c r="S1590" s="10">
        <f>IF(A1590="D",LEFT(UPPER(C1590)&amp;REPT(" ",10),10)," ")</f>
        <v/>
      </c>
      <c r="T1590" s="10">
        <f>IF(A1590="D",LEFT(UPPER(D1590)&amp;REPT(" ",2),2)," ")</f>
        <v/>
      </c>
      <c r="U1590" s="10">
        <f>IF(A1590="D",LEFT(UPPER(E1590)&amp;REPT(" ",15),15)," ")</f>
        <v/>
      </c>
      <c r="V1590" s="10">
        <f>REPT(" ",24)</f>
        <v/>
      </c>
      <c r="W1590" s="10">
        <f>IF(A1590="c",LEFT(UPPER(B1590)&amp;REPT(" ",20),20),REPT(" ",20))</f>
        <v/>
      </c>
      <c r="X1590" s="10">
        <f>IF(A1590="C",LEFT(UPPER(C1590)&amp;REPT(" ",10),10)," ")</f>
        <v/>
      </c>
      <c r="Y1590" s="10">
        <f>IF(A1590="C",LEFT(UPPER(D1590)&amp;REPT(" ",2),2)," ")</f>
        <v/>
      </c>
      <c r="Z1590" s="10">
        <f>IF(A1590="C",LEFT(UPPER(E1590)&amp;REPT(" ",15),15)," ")</f>
        <v/>
      </c>
      <c r="AA1590" s="10">
        <f>REPT(" ",8)</f>
        <v/>
      </c>
      <c r="AB1590" s="10">
        <f>REPT(" ",4)</f>
        <v/>
      </c>
      <c r="AC1590" s="10">
        <f>LEFT(UPPER(H1590)&amp;REPT(" ",250),250)</f>
        <v/>
      </c>
      <c r="AD1590" s="10">
        <f>TEXT($G$2,"dd/mm/aaaa")</f>
        <v/>
      </c>
      <c r="AE1590" s="10">
        <f>REPT(" ",10)</f>
        <v/>
      </c>
      <c r="AF1590" s="10">
        <f>REPT(" ",20)</f>
        <v/>
      </c>
      <c r="AG1590" s="54">
        <f>REPT(" ",18-LEN(FIXED(F1590,2,TRUE)))&amp;FIXED(F1590,2,TRUE)</f>
        <v/>
      </c>
      <c r="AH1590" s="10">
        <f>LEN(AC1590)+LEN(AG1590)</f>
        <v/>
      </c>
      <c r="AI1590" s="10">
        <f>LEN(L1590)</f>
        <v/>
      </c>
    </row>
    <row r="1591">
      <c r="J1591" s="12">
        <f>IF(F1591&lt;&gt;0,"LANÇAR","")</f>
        <v/>
      </c>
      <c r="L1591" s="13">
        <f>N1591&amp;O1591&amp;P1591&amp;Q1591&amp;R1591&amp;S1591&amp;T1591&amp;U1591&amp;V1591&amp;W1591&amp;X1591&amp;Y1591&amp;Z1591&amp;AA1591&amp;AB1591&amp;AC1591&amp;AD1591&amp;AE1591&amp;AF1591&amp;AG1591</f>
        <v/>
      </c>
      <c r="N1591" s="10">
        <f>TEXT($B$6,"00")</f>
        <v/>
      </c>
      <c r="O1591" s="10">
        <f>REPT(" ",8)</f>
        <v/>
      </c>
      <c r="P1591" s="10">
        <f>RIGHT($B$4,2)</f>
        <v/>
      </c>
      <c r="Q1591" s="10">
        <f>RIGHT($B$5,3)</f>
        <v/>
      </c>
      <c r="R1591" s="10">
        <f>IF(A1591="D",LEFT(UPPER(B1591)&amp;REPT(" ",20),20),REPT(" ",20))</f>
        <v/>
      </c>
      <c r="S1591" s="10">
        <f>IF(A1591="D",LEFT(UPPER(C1591)&amp;REPT(" ",10),10)," ")</f>
        <v/>
      </c>
      <c r="T1591" s="10">
        <f>IF(A1591="D",LEFT(UPPER(D1591)&amp;REPT(" ",2),2)," ")</f>
        <v/>
      </c>
      <c r="U1591" s="10">
        <f>IF(A1591="D",LEFT(UPPER(E1591)&amp;REPT(" ",15),15)," ")</f>
        <v/>
      </c>
      <c r="V1591" s="10">
        <f>REPT(" ",24)</f>
        <v/>
      </c>
      <c r="W1591" s="10">
        <f>IF(A1591="c",LEFT(UPPER(B1591)&amp;REPT(" ",20),20),REPT(" ",20))</f>
        <v/>
      </c>
      <c r="X1591" s="10">
        <f>IF(A1591="C",LEFT(UPPER(C1591)&amp;REPT(" ",10),10)," ")</f>
        <v/>
      </c>
      <c r="Y1591" s="10">
        <f>IF(A1591="C",LEFT(UPPER(D1591)&amp;REPT(" ",2),2)," ")</f>
        <v/>
      </c>
      <c r="Z1591" s="10">
        <f>IF(A1591="C",LEFT(UPPER(E1591)&amp;REPT(" ",15),15)," ")</f>
        <v/>
      </c>
      <c r="AA1591" s="10">
        <f>REPT(" ",8)</f>
        <v/>
      </c>
      <c r="AB1591" s="10">
        <f>REPT(" ",4)</f>
        <v/>
      </c>
      <c r="AC1591" s="10">
        <f>LEFT(UPPER(H1591)&amp;REPT(" ",250),250)</f>
        <v/>
      </c>
      <c r="AD1591" s="10">
        <f>TEXT($G$2,"dd/mm/aaaa")</f>
        <v/>
      </c>
      <c r="AE1591" s="10">
        <f>REPT(" ",10)</f>
        <v/>
      </c>
      <c r="AF1591" s="10">
        <f>REPT(" ",20)</f>
        <v/>
      </c>
      <c r="AG1591" s="54">
        <f>REPT(" ",18-LEN(FIXED(F1591,2,TRUE)))&amp;FIXED(F1591,2,TRUE)</f>
        <v/>
      </c>
      <c r="AH1591" s="10">
        <f>LEN(AC1591)+LEN(AG1591)</f>
        <v/>
      </c>
      <c r="AI1591" s="10">
        <f>LEN(L1591)</f>
        <v/>
      </c>
    </row>
    <row r="1592">
      <c r="J1592" s="12">
        <f>IF(F1592&lt;&gt;0,"LANÇAR","")</f>
        <v/>
      </c>
      <c r="L1592" s="13">
        <f>N1592&amp;O1592&amp;P1592&amp;Q1592&amp;R1592&amp;S1592&amp;T1592&amp;U1592&amp;V1592&amp;W1592&amp;X1592&amp;Y1592&amp;Z1592&amp;AA1592&amp;AB1592&amp;AC1592&amp;AD1592&amp;AE1592&amp;AF1592&amp;AG1592</f>
        <v/>
      </c>
      <c r="N1592" s="10">
        <f>TEXT($B$6,"00")</f>
        <v/>
      </c>
      <c r="O1592" s="10">
        <f>REPT(" ",8)</f>
        <v/>
      </c>
      <c r="P1592" s="10">
        <f>RIGHT($B$4,2)</f>
        <v/>
      </c>
      <c r="Q1592" s="10">
        <f>RIGHT($B$5,3)</f>
        <v/>
      </c>
      <c r="R1592" s="10">
        <f>IF(A1592="D",LEFT(UPPER(B1592)&amp;REPT(" ",20),20),REPT(" ",20))</f>
        <v/>
      </c>
      <c r="S1592" s="10">
        <f>IF(A1592="D",LEFT(UPPER(C1592)&amp;REPT(" ",10),10)," ")</f>
        <v/>
      </c>
      <c r="T1592" s="10">
        <f>IF(A1592="D",LEFT(UPPER(D1592)&amp;REPT(" ",2),2)," ")</f>
        <v/>
      </c>
      <c r="U1592" s="10">
        <f>IF(A1592="D",LEFT(UPPER(E1592)&amp;REPT(" ",15),15)," ")</f>
        <v/>
      </c>
      <c r="V1592" s="10">
        <f>REPT(" ",24)</f>
        <v/>
      </c>
      <c r="W1592" s="10">
        <f>IF(A1592="c",LEFT(UPPER(B1592)&amp;REPT(" ",20),20),REPT(" ",20))</f>
        <v/>
      </c>
      <c r="X1592" s="10">
        <f>IF(A1592="C",LEFT(UPPER(C1592)&amp;REPT(" ",10),10)," ")</f>
        <v/>
      </c>
      <c r="Y1592" s="10">
        <f>IF(A1592="C",LEFT(UPPER(D1592)&amp;REPT(" ",2),2)," ")</f>
        <v/>
      </c>
      <c r="Z1592" s="10">
        <f>IF(A1592="C",LEFT(UPPER(E1592)&amp;REPT(" ",15),15)," ")</f>
        <v/>
      </c>
      <c r="AA1592" s="10">
        <f>REPT(" ",8)</f>
        <v/>
      </c>
      <c r="AB1592" s="10">
        <f>REPT(" ",4)</f>
        <v/>
      </c>
      <c r="AC1592" s="10">
        <f>LEFT(UPPER(H1592)&amp;REPT(" ",250),250)</f>
        <v/>
      </c>
      <c r="AD1592" s="10">
        <f>TEXT($G$2,"dd/mm/aaaa")</f>
        <v/>
      </c>
      <c r="AE1592" s="10">
        <f>REPT(" ",10)</f>
        <v/>
      </c>
      <c r="AF1592" s="10">
        <f>REPT(" ",20)</f>
        <v/>
      </c>
      <c r="AG1592" s="54">
        <f>REPT(" ",18-LEN(FIXED(F1592,2,TRUE)))&amp;FIXED(F1592,2,TRUE)</f>
        <v/>
      </c>
      <c r="AH1592" s="10">
        <f>LEN(AC1592)+LEN(AG1592)</f>
        <v/>
      </c>
      <c r="AI1592" s="10">
        <f>LEN(L1592)</f>
        <v/>
      </c>
    </row>
    <row r="1593">
      <c r="J1593" s="12">
        <f>IF(F1593&lt;&gt;0,"LANÇAR","")</f>
        <v/>
      </c>
      <c r="L1593" s="13">
        <f>N1593&amp;O1593&amp;P1593&amp;Q1593&amp;R1593&amp;S1593&amp;T1593&amp;U1593&amp;V1593&amp;W1593&amp;X1593&amp;Y1593&amp;Z1593&amp;AA1593&amp;AB1593&amp;AC1593&amp;AD1593&amp;AE1593&amp;AF1593&amp;AG1593</f>
        <v/>
      </c>
      <c r="N1593" s="10">
        <f>TEXT($B$6,"00")</f>
        <v/>
      </c>
      <c r="O1593" s="10">
        <f>REPT(" ",8)</f>
        <v/>
      </c>
      <c r="P1593" s="10">
        <f>RIGHT($B$4,2)</f>
        <v/>
      </c>
      <c r="Q1593" s="10">
        <f>RIGHT($B$5,3)</f>
        <v/>
      </c>
      <c r="R1593" s="10">
        <f>IF(A1593="D",LEFT(UPPER(B1593)&amp;REPT(" ",20),20),REPT(" ",20))</f>
        <v/>
      </c>
      <c r="S1593" s="10">
        <f>IF(A1593="D",LEFT(UPPER(C1593)&amp;REPT(" ",10),10)," ")</f>
        <v/>
      </c>
      <c r="T1593" s="10">
        <f>IF(A1593="D",LEFT(UPPER(D1593)&amp;REPT(" ",2),2)," ")</f>
        <v/>
      </c>
      <c r="U1593" s="10">
        <f>IF(A1593="D",LEFT(UPPER(E1593)&amp;REPT(" ",15),15)," ")</f>
        <v/>
      </c>
      <c r="V1593" s="10">
        <f>REPT(" ",24)</f>
        <v/>
      </c>
      <c r="W1593" s="10">
        <f>IF(A1593="c",LEFT(UPPER(B1593)&amp;REPT(" ",20),20),REPT(" ",20))</f>
        <v/>
      </c>
      <c r="X1593" s="10">
        <f>IF(A1593="C",LEFT(UPPER(C1593)&amp;REPT(" ",10),10)," ")</f>
        <v/>
      </c>
      <c r="Y1593" s="10">
        <f>IF(A1593="C",LEFT(UPPER(D1593)&amp;REPT(" ",2),2)," ")</f>
        <v/>
      </c>
      <c r="Z1593" s="10">
        <f>IF(A1593="C",LEFT(UPPER(E1593)&amp;REPT(" ",15),15)," ")</f>
        <v/>
      </c>
      <c r="AA1593" s="10">
        <f>REPT(" ",8)</f>
        <v/>
      </c>
      <c r="AB1593" s="10">
        <f>REPT(" ",4)</f>
        <v/>
      </c>
      <c r="AC1593" s="10">
        <f>LEFT(UPPER(H1593)&amp;REPT(" ",250),250)</f>
        <v/>
      </c>
      <c r="AD1593" s="10">
        <f>TEXT($G$2,"dd/mm/aaaa")</f>
        <v/>
      </c>
      <c r="AE1593" s="10">
        <f>REPT(" ",10)</f>
        <v/>
      </c>
      <c r="AF1593" s="10">
        <f>REPT(" ",20)</f>
        <v/>
      </c>
      <c r="AG1593" s="54">
        <f>REPT(" ",18-LEN(FIXED(F1593,2,TRUE)))&amp;FIXED(F1593,2,TRUE)</f>
        <v/>
      </c>
      <c r="AH1593" s="10">
        <f>LEN(AC1593)+LEN(AG1593)</f>
        <v/>
      </c>
      <c r="AI1593" s="10">
        <f>LEN(L1593)</f>
        <v/>
      </c>
    </row>
    <row r="1594">
      <c r="J1594" s="12">
        <f>IF(F1594&lt;&gt;0,"LANÇAR","")</f>
        <v/>
      </c>
      <c r="L1594" s="13">
        <f>N1594&amp;O1594&amp;P1594&amp;Q1594&amp;R1594&amp;S1594&amp;T1594&amp;U1594&amp;V1594&amp;W1594&amp;X1594&amp;Y1594&amp;Z1594&amp;AA1594&amp;AB1594&amp;AC1594&amp;AD1594&amp;AE1594&amp;AF1594&amp;AG1594</f>
        <v/>
      </c>
      <c r="N1594" s="10">
        <f>TEXT($B$6,"00")</f>
        <v/>
      </c>
      <c r="O1594" s="10">
        <f>REPT(" ",8)</f>
        <v/>
      </c>
      <c r="P1594" s="10">
        <f>RIGHT($B$4,2)</f>
        <v/>
      </c>
      <c r="Q1594" s="10">
        <f>RIGHT($B$5,3)</f>
        <v/>
      </c>
      <c r="R1594" s="10">
        <f>IF(A1594="D",LEFT(UPPER(B1594)&amp;REPT(" ",20),20),REPT(" ",20))</f>
        <v/>
      </c>
      <c r="S1594" s="10">
        <f>IF(A1594="D",LEFT(UPPER(C1594)&amp;REPT(" ",10),10)," ")</f>
        <v/>
      </c>
      <c r="T1594" s="10">
        <f>IF(A1594="D",LEFT(UPPER(D1594)&amp;REPT(" ",2),2)," ")</f>
        <v/>
      </c>
      <c r="U1594" s="10">
        <f>IF(A1594="D",LEFT(UPPER(E1594)&amp;REPT(" ",15),15)," ")</f>
        <v/>
      </c>
      <c r="V1594" s="10">
        <f>REPT(" ",24)</f>
        <v/>
      </c>
      <c r="W1594" s="10">
        <f>IF(A1594="c",LEFT(UPPER(B1594)&amp;REPT(" ",20),20),REPT(" ",20))</f>
        <v/>
      </c>
      <c r="X1594" s="10">
        <f>IF(A1594="C",LEFT(UPPER(C1594)&amp;REPT(" ",10),10)," ")</f>
        <v/>
      </c>
      <c r="Y1594" s="10">
        <f>IF(A1594="C",LEFT(UPPER(D1594)&amp;REPT(" ",2),2)," ")</f>
        <v/>
      </c>
      <c r="Z1594" s="10">
        <f>IF(A1594="C",LEFT(UPPER(E1594)&amp;REPT(" ",15),15)," ")</f>
        <v/>
      </c>
      <c r="AA1594" s="10">
        <f>REPT(" ",8)</f>
        <v/>
      </c>
      <c r="AB1594" s="10">
        <f>REPT(" ",4)</f>
        <v/>
      </c>
      <c r="AC1594" s="10">
        <f>LEFT(UPPER(H1594)&amp;REPT(" ",250),250)</f>
        <v/>
      </c>
      <c r="AD1594" s="10">
        <f>TEXT($G$2,"dd/mm/aaaa")</f>
        <v/>
      </c>
      <c r="AE1594" s="10">
        <f>REPT(" ",10)</f>
        <v/>
      </c>
      <c r="AF1594" s="10">
        <f>REPT(" ",20)</f>
        <v/>
      </c>
      <c r="AG1594" s="54">
        <f>REPT(" ",18-LEN(FIXED(F1594,2,TRUE)))&amp;FIXED(F1594,2,TRUE)</f>
        <v/>
      </c>
      <c r="AH1594" s="10">
        <f>LEN(AC1594)+LEN(AG1594)</f>
        <v/>
      </c>
      <c r="AI1594" s="10">
        <f>LEN(L1594)</f>
        <v/>
      </c>
    </row>
    <row r="1595">
      <c r="J1595" s="12">
        <f>IF(F1595&lt;&gt;0,"LANÇAR","")</f>
        <v/>
      </c>
      <c r="L1595" s="13">
        <f>N1595&amp;O1595&amp;P1595&amp;Q1595&amp;R1595&amp;S1595&amp;T1595&amp;U1595&amp;V1595&amp;W1595&amp;X1595&amp;Y1595&amp;Z1595&amp;AA1595&amp;AB1595&amp;AC1595&amp;AD1595&amp;AE1595&amp;AF1595&amp;AG1595</f>
        <v/>
      </c>
      <c r="N1595" s="10">
        <f>TEXT($B$6,"00")</f>
        <v/>
      </c>
      <c r="O1595" s="10">
        <f>REPT(" ",8)</f>
        <v/>
      </c>
      <c r="P1595" s="10">
        <f>RIGHT($B$4,2)</f>
        <v/>
      </c>
      <c r="Q1595" s="10">
        <f>RIGHT($B$5,3)</f>
        <v/>
      </c>
      <c r="R1595" s="10">
        <f>IF(A1595="D",LEFT(UPPER(B1595)&amp;REPT(" ",20),20),REPT(" ",20))</f>
        <v/>
      </c>
      <c r="S1595" s="10">
        <f>IF(A1595="D",LEFT(UPPER(C1595)&amp;REPT(" ",10),10)," ")</f>
        <v/>
      </c>
      <c r="T1595" s="10">
        <f>IF(A1595="D",LEFT(UPPER(D1595)&amp;REPT(" ",2),2)," ")</f>
        <v/>
      </c>
      <c r="U1595" s="10">
        <f>IF(A1595="D",LEFT(UPPER(E1595)&amp;REPT(" ",15),15)," ")</f>
        <v/>
      </c>
      <c r="V1595" s="10">
        <f>REPT(" ",24)</f>
        <v/>
      </c>
      <c r="W1595" s="10">
        <f>IF(A1595="c",LEFT(UPPER(B1595)&amp;REPT(" ",20),20),REPT(" ",20))</f>
        <v/>
      </c>
      <c r="X1595" s="10">
        <f>IF(A1595="C",LEFT(UPPER(C1595)&amp;REPT(" ",10),10)," ")</f>
        <v/>
      </c>
      <c r="Y1595" s="10">
        <f>IF(A1595="C",LEFT(UPPER(D1595)&amp;REPT(" ",2),2)," ")</f>
        <v/>
      </c>
      <c r="Z1595" s="10">
        <f>IF(A1595="C",LEFT(UPPER(E1595)&amp;REPT(" ",15),15)," ")</f>
        <v/>
      </c>
      <c r="AA1595" s="10">
        <f>REPT(" ",8)</f>
        <v/>
      </c>
      <c r="AB1595" s="10">
        <f>REPT(" ",4)</f>
        <v/>
      </c>
      <c r="AC1595" s="10">
        <f>LEFT(UPPER(H1595)&amp;REPT(" ",250),250)</f>
        <v/>
      </c>
      <c r="AD1595" s="10">
        <f>TEXT($G$2,"dd/mm/aaaa")</f>
        <v/>
      </c>
      <c r="AE1595" s="10">
        <f>REPT(" ",10)</f>
        <v/>
      </c>
      <c r="AF1595" s="10">
        <f>REPT(" ",20)</f>
        <v/>
      </c>
      <c r="AG1595" s="54">
        <f>REPT(" ",18-LEN(FIXED(F1595,2,TRUE)))&amp;FIXED(F1595,2,TRUE)</f>
        <v/>
      </c>
      <c r="AH1595" s="10">
        <f>LEN(AC1595)+LEN(AG1595)</f>
        <v/>
      </c>
      <c r="AI1595" s="10">
        <f>LEN(L1595)</f>
        <v/>
      </c>
    </row>
    <row r="1596">
      <c r="J1596" s="12">
        <f>IF(F1596&lt;&gt;0,"LANÇAR","")</f>
        <v/>
      </c>
      <c r="L1596" s="13">
        <f>N1596&amp;O1596&amp;P1596&amp;Q1596&amp;R1596&amp;S1596&amp;T1596&amp;U1596&amp;V1596&amp;W1596&amp;X1596&amp;Y1596&amp;Z1596&amp;AA1596&amp;AB1596&amp;AC1596&amp;AD1596&amp;AE1596&amp;AF1596&amp;AG1596</f>
        <v/>
      </c>
      <c r="N1596" s="10">
        <f>TEXT($B$6,"00")</f>
        <v/>
      </c>
      <c r="O1596" s="10">
        <f>REPT(" ",8)</f>
        <v/>
      </c>
      <c r="P1596" s="10">
        <f>RIGHT($B$4,2)</f>
        <v/>
      </c>
      <c r="Q1596" s="10">
        <f>RIGHT($B$5,3)</f>
        <v/>
      </c>
      <c r="R1596" s="10">
        <f>IF(A1596="D",LEFT(UPPER(B1596)&amp;REPT(" ",20),20),REPT(" ",20))</f>
        <v/>
      </c>
      <c r="S1596" s="10">
        <f>IF(A1596="D",LEFT(UPPER(C1596)&amp;REPT(" ",10),10)," ")</f>
        <v/>
      </c>
      <c r="T1596" s="10">
        <f>IF(A1596="D",LEFT(UPPER(D1596)&amp;REPT(" ",2),2)," ")</f>
        <v/>
      </c>
      <c r="U1596" s="10">
        <f>IF(A1596="D",LEFT(UPPER(E1596)&amp;REPT(" ",15),15)," ")</f>
        <v/>
      </c>
      <c r="V1596" s="10">
        <f>REPT(" ",24)</f>
        <v/>
      </c>
      <c r="W1596" s="10">
        <f>IF(A1596="c",LEFT(UPPER(B1596)&amp;REPT(" ",20),20),REPT(" ",20))</f>
        <v/>
      </c>
      <c r="X1596" s="10">
        <f>IF(A1596="C",LEFT(UPPER(C1596)&amp;REPT(" ",10),10)," ")</f>
        <v/>
      </c>
      <c r="Y1596" s="10">
        <f>IF(A1596="C",LEFT(UPPER(D1596)&amp;REPT(" ",2),2)," ")</f>
        <v/>
      </c>
      <c r="Z1596" s="10">
        <f>IF(A1596="C",LEFT(UPPER(E1596)&amp;REPT(" ",15),15)," ")</f>
        <v/>
      </c>
      <c r="AA1596" s="10">
        <f>REPT(" ",8)</f>
        <v/>
      </c>
      <c r="AB1596" s="10">
        <f>REPT(" ",4)</f>
        <v/>
      </c>
      <c r="AC1596" s="10">
        <f>LEFT(UPPER(H1596)&amp;REPT(" ",250),250)</f>
        <v/>
      </c>
      <c r="AD1596" s="10">
        <f>TEXT($G$2,"dd/mm/aaaa")</f>
        <v/>
      </c>
      <c r="AE1596" s="10">
        <f>REPT(" ",10)</f>
        <v/>
      </c>
      <c r="AF1596" s="10">
        <f>REPT(" ",20)</f>
        <v/>
      </c>
      <c r="AG1596" s="54">
        <f>REPT(" ",18-LEN(FIXED(F1596,2,TRUE)))&amp;FIXED(F1596,2,TRUE)</f>
        <v/>
      </c>
      <c r="AH1596" s="10">
        <f>LEN(AC1596)+LEN(AG1596)</f>
        <v/>
      </c>
      <c r="AI1596" s="10">
        <f>LEN(L1596)</f>
        <v/>
      </c>
    </row>
    <row r="1597">
      <c r="J1597" s="12">
        <f>IF(F1597&lt;&gt;0,"LANÇAR","")</f>
        <v/>
      </c>
      <c r="L1597" s="13">
        <f>N1597&amp;O1597&amp;P1597&amp;Q1597&amp;R1597&amp;S1597&amp;T1597&amp;U1597&amp;V1597&amp;W1597&amp;X1597&amp;Y1597&amp;Z1597&amp;AA1597&amp;AB1597&amp;AC1597&amp;AD1597&amp;AE1597&amp;AF1597&amp;AG1597</f>
        <v/>
      </c>
      <c r="N1597" s="10">
        <f>TEXT($B$6,"00")</f>
        <v/>
      </c>
      <c r="O1597" s="10">
        <f>REPT(" ",8)</f>
        <v/>
      </c>
      <c r="P1597" s="10">
        <f>RIGHT($B$4,2)</f>
        <v/>
      </c>
      <c r="Q1597" s="10">
        <f>RIGHT($B$5,3)</f>
        <v/>
      </c>
      <c r="R1597" s="10">
        <f>IF(A1597="D",LEFT(UPPER(B1597)&amp;REPT(" ",20),20),REPT(" ",20))</f>
        <v/>
      </c>
      <c r="S1597" s="10">
        <f>IF(A1597="D",LEFT(UPPER(C1597)&amp;REPT(" ",10),10)," ")</f>
        <v/>
      </c>
      <c r="T1597" s="10">
        <f>IF(A1597="D",LEFT(UPPER(D1597)&amp;REPT(" ",2),2)," ")</f>
        <v/>
      </c>
      <c r="U1597" s="10">
        <f>IF(A1597="D",LEFT(UPPER(E1597)&amp;REPT(" ",15),15)," ")</f>
        <v/>
      </c>
      <c r="V1597" s="10">
        <f>REPT(" ",24)</f>
        <v/>
      </c>
      <c r="W1597" s="10">
        <f>IF(A1597="c",LEFT(UPPER(B1597)&amp;REPT(" ",20),20),REPT(" ",20))</f>
        <v/>
      </c>
      <c r="X1597" s="10">
        <f>IF(A1597="C",LEFT(UPPER(C1597)&amp;REPT(" ",10),10)," ")</f>
        <v/>
      </c>
      <c r="Y1597" s="10">
        <f>IF(A1597="C",LEFT(UPPER(D1597)&amp;REPT(" ",2),2)," ")</f>
        <v/>
      </c>
      <c r="Z1597" s="10">
        <f>IF(A1597="C",LEFT(UPPER(E1597)&amp;REPT(" ",15),15)," ")</f>
        <v/>
      </c>
      <c r="AA1597" s="10">
        <f>REPT(" ",8)</f>
        <v/>
      </c>
      <c r="AB1597" s="10">
        <f>REPT(" ",4)</f>
        <v/>
      </c>
      <c r="AC1597" s="10">
        <f>LEFT(UPPER(H1597)&amp;REPT(" ",250),250)</f>
        <v/>
      </c>
      <c r="AD1597" s="10">
        <f>TEXT($G$2,"dd/mm/aaaa")</f>
        <v/>
      </c>
      <c r="AE1597" s="10">
        <f>REPT(" ",10)</f>
        <v/>
      </c>
      <c r="AF1597" s="10">
        <f>REPT(" ",20)</f>
        <v/>
      </c>
      <c r="AG1597" s="54">
        <f>REPT(" ",18-LEN(FIXED(F1597,2,TRUE)))&amp;FIXED(F1597,2,TRUE)</f>
        <v/>
      </c>
      <c r="AH1597" s="10">
        <f>LEN(AC1597)+LEN(AG1597)</f>
        <v/>
      </c>
      <c r="AI1597" s="10">
        <f>LEN(L1597)</f>
        <v/>
      </c>
    </row>
    <row r="1598">
      <c r="J1598" s="12">
        <f>IF(F1598&lt;&gt;0,"LANÇAR","")</f>
        <v/>
      </c>
      <c r="L1598" s="13">
        <f>N1598&amp;O1598&amp;P1598&amp;Q1598&amp;R1598&amp;S1598&amp;T1598&amp;U1598&amp;V1598&amp;W1598&amp;X1598&amp;Y1598&amp;Z1598&amp;AA1598&amp;AB1598&amp;AC1598&amp;AD1598&amp;AE1598&amp;AF1598&amp;AG1598</f>
        <v/>
      </c>
      <c r="N1598" s="10">
        <f>TEXT($B$6,"00")</f>
        <v/>
      </c>
      <c r="O1598" s="10">
        <f>REPT(" ",8)</f>
        <v/>
      </c>
      <c r="P1598" s="10">
        <f>RIGHT($B$4,2)</f>
        <v/>
      </c>
      <c r="Q1598" s="10">
        <f>RIGHT($B$5,3)</f>
        <v/>
      </c>
      <c r="R1598" s="10">
        <f>IF(A1598="D",LEFT(UPPER(B1598)&amp;REPT(" ",20),20),REPT(" ",20))</f>
        <v/>
      </c>
      <c r="S1598" s="10">
        <f>IF(A1598="D",LEFT(UPPER(C1598)&amp;REPT(" ",10),10)," ")</f>
        <v/>
      </c>
      <c r="T1598" s="10">
        <f>IF(A1598="D",LEFT(UPPER(D1598)&amp;REPT(" ",2),2)," ")</f>
        <v/>
      </c>
      <c r="U1598" s="10">
        <f>IF(A1598="D",LEFT(UPPER(E1598)&amp;REPT(" ",15),15)," ")</f>
        <v/>
      </c>
      <c r="V1598" s="10">
        <f>REPT(" ",24)</f>
        <v/>
      </c>
      <c r="W1598" s="10">
        <f>IF(A1598="c",LEFT(UPPER(B1598)&amp;REPT(" ",20),20),REPT(" ",20))</f>
        <v/>
      </c>
      <c r="X1598" s="10">
        <f>IF(A1598="C",LEFT(UPPER(C1598)&amp;REPT(" ",10),10)," ")</f>
        <v/>
      </c>
      <c r="Y1598" s="10">
        <f>IF(A1598="C",LEFT(UPPER(D1598)&amp;REPT(" ",2),2)," ")</f>
        <v/>
      </c>
      <c r="Z1598" s="10">
        <f>IF(A1598="C",LEFT(UPPER(E1598)&amp;REPT(" ",15),15)," ")</f>
        <v/>
      </c>
      <c r="AA1598" s="10">
        <f>REPT(" ",8)</f>
        <v/>
      </c>
      <c r="AB1598" s="10">
        <f>REPT(" ",4)</f>
        <v/>
      </c>
      <c r="AC1598" s="10">
        <f>LEFT(UPPER(H1598)&amp;REPT(" ",250),250)</f>
        <v/>
      </c>
      <c r="AD1598" s="10">
        <f>TEXT($G$2,"dd/mm/aaaa")</f>
        <v/>
      </c>
      <c r="AE1598" s="10">
        <f>REPT(" ",10)</f>
        <v/>
      </c>
      <c r="AF1598" s="10">
        <f>REPT(" ",20)</f>
        <v/>
      </c>
      <c r="AG1598" s="54">
        <f>REPT(" ",18-LEN(FIXED(F1598,2,TRUE)))&amp;FIXED(F1598,2,TRUE)</f>
        <v/>
      </c>
      <c r="AH1598" s="10">
        <f>LEN(AC1598)+LEN(AG1598)</f>
        <v/>
      </c>
      <c r="AI1598" s="10">
        <f>LEN(L1598)</f>
        <v/>
      </c>
    </row>
    <row r="1599">
      <c r="J1599" s="12">
        <f>IF(F1599&lt;&gt;0,"LANÇAR","")</f>
        <v/>
      </c>
      <c r="L1599" s="13">
        <f>N1599&amp;O1599&amp;P1599&amp;Q1599&amp;R1599&amp;S1599&amp;T1599&amp;U1599&amp;V1599&amp;W1599&amp;X1599&amp;Y1599&amp;Z1599&amp;AA1599&amp;AB1599&amp;AC1599&amp;AD1599&amp;AE1599&amp;AF1599&amp;AG1599</f>
        <v/>
      </c>
      <c r="N1599" s="10">
        <f>TEXT($B$6,"00")</f>
        <v/>
      </c>
      <c r="O1599" s="10">
        <f>REPT(" ",8)</f>
        <v/>
      </c>
      <c r="P1599" s="10">
        <f>RIGHT($B$4,2)</f>
        <v/>
      </c>
      <c r="Q1599" s="10">
        <f>RIGHT($B$5,3)</f>
        <v/>
      </c>
      <c r="R1599" s="10">
        <f>IF(A1599="D",LEFT(UPPER(B1599)&amp;REPT(" ",20),20),REPT(" ",20))</f>
        <v/>
      </c>
      <c r="S1599" s="10">
        <f>IF(A1599="D",LEFT(UPPER(C1599)&amp;REPT(" ",10),10)," ")</f>
        <v/>
      </c>
      <c r="T1599" s="10">
        <f>IF(A1599="D",LEFT(UPPER(D1599)&amp;REPT(" ",2),2)," ")</f>
        <v/>
      </c>
      <c r="U1599" s="10">
        <f>IF(A1599="D",LEFT(UPPER(E1599)&amp;REPT(" ",15),15)," ")</f>
        <v/>
      </c>
      <c r="V1599" s="10">
        <f>REPT(" ",24)</f>
        <v/>
      </c>
      <c r="W1599" s="10">
        <f>IF(A1599="c",LEFT(UPPER(B1599)&amp;REPT(" ",20),20),REPT(" ",20))</f>
        <v/>
      </c>
      <c r="X1599" s="10">
        <f>IF(A1599="C",LEFT(UPPER(C1599)&amp;REPT(" ",10),10)," ")</f>
        <v/>
      </c>
      <c r="Y1599" s="10">
        <f>IF(A1599="C",LEFT(UPPER(D1599)&amp;REPT(" ",2),2)," ")</f>
        <v/>
      </c>
      <c r="Z1599" s="10">
        <f>IF(A1599="C",LEFT(UPPER(E1599)&amp;REPT(" ",15),15)," ")</f>
        <v/>
      </c>
      <c r="AA1599" s="10">
        <f>REPT(" ",8)</f>
        <v/>
      </c>
      <c r="AB1599" s="10">
        <f>REPT(" ",4)</f>
        <v/>
      </c>
      <c r="AC1599" s="10">
        <f>LEFT(UPPER(H1599)&amp;REPT(" ",250),250)</f>
        <v/>
      </c>
      <c r="AD1599" s="10">
        <f>TEXT($G$2,"dd/mm/aaaa")</f>
        <v/>
      </c>
      <c r="AE1599" s="10">
        <f>REPT(" ",10)</f>
        <v/>
      </c>
      <c r="AF1599" s="10">
        <f>REPT(" ",20)</f>
        <v/>
      </c>
      <c r="AG1599" s="54">
        <f>REPT(" ",18-LEN(FIXED(F1599,2,TRUE)))&amp;FIXED(F1599,2,TRUE)</f>
        <v/>
      </c>
      <c r="AH1599" s="10">
        <f>LEN(AC1599)+LEN(AG1599)</f>
        <v/>
      </c>
      <c r="AI1599" s="10">
        <f>LEN(L1599)</f>
        <v/>
      </c>
    </row>
    <row r="1600">
      <c r="J1600" s="12">
        <f>IF(F1600&lt;&gt;0,"LANÇAR","")</f>
        <v/>
      </c>
      <c r="L1600" s="13">
        <f>N1600&amp;O1600&amp;P1600&amp;Q1600&amp;R1600&amp;S1600&amp;T1600&amp;U1600&amp;V1600&amp;W1600&amp;X1600&amp;Y1600&amp;Z1600&amp;AA1600&amp;AB1600&amp;AC1600&amp;AD1600&amp;AE1600&amp;AF1600&amp;AG1600</f>
        <v/>
      </c>
      <c r="N1600" s="10">
        <f>TEXT($B$6,"00")</f>
        <v/>
      </c>
      <c r="O1600" s="10">
        <f>REPT(" ",8)</f>
        <v/>
      </c>
      <c r="P1600" s="10">
        <f>RIGHT($B$4,2)</f>
        <v/>
      </c>
      <c r="Q1600" s="10">
        <f>RIGHT($B$5,3)</f>
        <v/>
      </c>
      <c r="R1600" s="10">
        <f>IF(A1600="D",LEFT(UPPER(B1600)&amp;REPT(" ",20),20),REPT(" ",20))</f>
        <v/>
      </c>
      <c r="S1600" s="10">
        <f>IF(A1600="D",LEFT(UPPER(C1600)&amp;REPT(" ",10),10)," ")</f>
        <v/>
      </c>
      <c r="T1600" s="10">
        <f>IF(A1600="D",LEFT(UPPER(D1600)&amp;REPT(" ",2),2)," ")</f>
        <v/>
      </c>
      <c r="U1600" s="10">
        <f>IF(A1600="D",LEFT(UPPER(E1600)&amp;REPT(" ",15),15)," ")</f>
        <v/>
      </c>
      <c r="V1600" s="10">
        <f>REPT(" ",24)</f>
        <v/>
      </c>
      <c r="W1600" s="10">
        <f>IF(A1600="c",LEFT(UPPER(B1600)&amp;REPT(" ",20),20),REPT(" ",20))</f>
        <v/>
      </c>
      <c r="X1600" s="10">
        <f>IF(A1600="C",LEFT(UPPER(C1600)&amp;REPT(" ",10),10)," ")</f>
        <v/>
      </c>
      <c r="Y1600" s="10">
        <f>IF(A1600="C",LEFT(UPPER(D1600)&amp;REPT(" ",2),2)," ")</f>
        <v/>
      </c>
      <c r="Z1600" s="10">
        <f>IF(A1600="C",LEFT(UPPER(E1600)&amp;REPT(" ",15),15)," ")</f>
        <v/>
      </c>
      <c r="AA1600" s="10">
        <f>REPT(" ",8)</f>
        <v/>
      </c>
      <c r="AB1600" s="10">
        <f>REPT(" ",4)</f>
        <v/>
      </c>
      <c r="AC1600" s="10">
        <f>LEFT(UPPER(H1600)&amp;REPT(" ",250),250)</f>
        <v/>
      </c>
      <c r="AD1600" s="10">
        <f>TEXT($G$2,"dd/mm/aaaa")</f>
        <v/>
      </c>
      <c r="AE1600" s="10">
        <f>REPT(" ",10)</f>
        <v/>
      </c>
      <c r="AF1600" s="10">
        <f>REPT(" ",20)</f>
        <v/>
      </c>
      <c r="AG1600" s="54">
        <f>REPT(" ",18-LEN(FIXED(F1600,2,TRUE)))&amp;FIXED(F1600,2,TRUE)</f>
        <v/>
      </c>
      <c r="AH1600" s="10">
        <f>LEN(AC1600)+LEN(AG1600)</f>
        <v/>
      </c>
      <c r="AI1600" s="10">
        <f>LEN(L1600)</f>
        <v/>
      </c>
    </row>
    <row r="1601">
      <c r="J1601" s="12">
        <f>IF(F1601&lt;&gt;0,"LANÇAR","")</f>
        <v/>
      </c>
      <c r="L1601" s="13">
        <f>N1601&amp;O1601&amp;P1601&amp;Q1601&amp;R1601&amp;S1601&amp;T1601&amp;U1601&amp;V1601&amp;W1601&amp;X1601&amp;Y1601&amp;Z1601&amp;AA1601&amp;AB1601&amp;AC1601&amp;AD1601&amp;AE1601&amp;AF1601&amp;AG1601</f>
        <v/>
      </c>
      <c r="N1601" s="10">
        <f>TEXT($B$6,"00")</f>
        <v/>
      </c>
      <c r="O1601" s="10">
        <f>REPT(" ",8)</f>
        <v/>
      </c>
      <c r="P1601" s="10">
        <f>RIGHT($B$4,2)</f>
        <v/>
      </c>
      <c r="Q1601" s="10">
        <f>RIGHT($B$5,3)</f>
        <v/>
      </c>
      <c r="R1601" s="10">
        <f>IF(A1601="D",LEFT(UPPER(B1601)&amp;REPT(" ",20),20),REPT(" ",20))</f>
        <v/>
      </c>
      <c r="S1601" s="10">
        <f>IF(A1601="D",LEFT(UPPER(C1601)&amp;REPT(" ",10),10)," ")</f>
        <v/>
      </c>
      <c r="T1601" s="10">
        <f>IF(A1601="D",LEFT(UPPER(D1601)&amp;REPT(" ",2),2)," ")</f>
        <v/>
      </c>
      <c r="U1601" s="10">
        <f>IF(A1601="D",LEFT(UPPER(E1601)&amp;REPT(" ",15),15)," ")</f>
        <v/>
      </c>
      <c r="V1601" s="10">
        <f>REPT(" ",24)</f>
        <v/>
      </c>
      <c r="W1601" s="10">
        <f>IF(A1601="c",LEFT(UPPER(B1601)&amp;REPT(" ",20),20),REPT(" ",20))</f>
        <v/>
      </c>
      <c r="X1601" s="10">
        <f>IF(A1601="C",LEFT(UPPER(C1601)&amp;REPT(" ",10),10)," ")</f>
        <v/>
      </c>
      <c r="Y1601" s="10">
        <f>IF(A1601="C",LEFT(UPPER(D1601)&amp;REPT(" ",2),2)," ")</f>
        <v/>
      </c>
      <c r="Z1601" s="10">
        <f>IF(A1601="C",LEFT(UPPER(E1601)&amp;REPT(" ",15),15)," ")</f>
        <v/>
      </c>
      <c r="AA1601" s="10">
        <f>REPT(" ",8)</f>
        <v/>
      </c>
      <c r="AB1601" s="10">
        <f>REPT(" ",4)</f>
        <v/>
      </c>
      <c r="AC1601" s="10">
        <f>LEFT(UPPER(H1601)&amp;REPT(" ",250),250)</f>
        <v/>
      </c>
      <c r="AD1601" s="10">
        <f>TEXT($G$2,"dd/mm/aaaa")</f>
        <v/>
      </c>
      <c r="AE1601" s="10">
        <f>REPT(" ",10)</f>
        <v/>
      </c>
      <c r="AF1601" s="10">
        <f>REPT(" ",20)</f>
        <v/>
      </c>
      <c r="AG1601" s="54">
        <f>REPT(" ",18-LEN(FIXED(F1601,2,TRUE)))&amp;FIXED(F1601,2,TRUE)</f>
        <v/>
      </c>
      <c r="AH1601" s="10">
        <f>LEN(AC1601)+LEN(AG1601)</f>
        <v/>
      </c>
      <c r="AI1601" s="10">
        <f>LEN(L1601)</f>
        <v/>
      </c>
    </row>
    <row r="1602">
      <c r="J1602" s="12">
        <f>IF(F1602&lt;&gt;0,"LANÇAR","")</f>
        <v/>
      </c>
      <c r="L1602" s="13">
        <f>N1602&amp;O1602&amp;P1602&amp;Q1602&amp;R1602&amp;S1602&amp;T1602&amp;U1602&amp;V1602&amp;W1602&amp;X1602&amp;Y1602&amp;Z1602&amp;AA1602&amp;AB1602&amp;AC1602&amp;AD1602&amp;AE1602&amp;AF1602&amp;AG1602</f>
        <v/>
      </c>
      <c r="N1602" s="10">
        <f>TEXT($B$6,"00")</f>
        <v/>
      </c>
      <c r="O1602" s="10">
        <f>REPT(" ",8)</f>
        <v/>
      </c>
      <c r="P1602" s="10">
        <f>RIGHT($B$4,2)</f>
        <v/>
      </c>
      <c r="Q1602" s="10">
        <f>RIGHT($B$5,3)</f>
        <v/>
      </c>
      <c r="R1602" s="10">
        <f>IF(A1602="D",LEFT(UPPER(B1602)&amp;REPT(" ",20),20),REPT(" ",20))</f>
        <v/>
      </c>
      <c r="S1602" s="10">
        <f>IF(A1602="D",LEFT(UPPER(C1602)&amp;REPT(" ",10),10)," ")</f>
        <v/>
      </c>
      <c r="T1602" s="10">
        <f>IF(A1602="D",LEFT(UPPER(D1602)&amp;REPT(" ",2),2)," ")</f>
        <v/>
      </c>
      <c r="U1602" s="10">
        <f>IF(A1602="D",LEFT(UPPER(E1602)&amp;REPT(" ",15),15)," ")</f>
        <v/>
      </c>
      <c r="V1602" s="10">
        <f>REPT(" ",24)</f>
        <v/>
      </c>
      <c r="W1602" s="10">
        <f>IF(A1602="c",LEFT(UPPER(B1602)&amp;REPT(" ",20),20),REPT(" ",20))</f>
        <v/>
      </c>
      <c r="X1602" s="10">
        <f>IF(A1602="C",LEFT(UPPER(C1602)&amp;REPT(" ",10),10)," ")</f>
        <v/>
      </c>
      <c r="Y1602" s="10">
        <f>IF(A1602="C",LEFT(UPPER(D1602)&amp;REPT(" ",2),2)," ")</f>
        <v/>
      </c>
      <c r="Z1602" s="10">
        <f>IF(A1602="C",LEFT(UPPER(E1602)&amp;REPT(" ",15),15)," ")</f>
        <v/>
      </c>
      <c r="AA1602" s="10">
        <f>REPT(" ",8)</f>
        <v/>
      </c>
      <c r="AB1602" s="10">
        <f>REPT(" ",4)</f>
        <v/>
      </c>
      <c r="AC1602" s="10">
        <f>LEFT(UPPER(H1602)&amp;REPT(" ",250),250)</f>
        <v/>
      </c>
      <c r="AD1602" s="10">
        <f>TEXT($G$2,"dd/mm/aaaa")</f>
        <v/>
      </c>
      <c r="AE1602" s="10">
        <f>REPT(" ",10)</f>
        <v/>
      </c>
      <c r="AF1602" s="10">
        <f>REPT(" ",20)</f>
        <v/>
      </c>
      <c r="AG1602" s="54">
        <f>REPT(" ",18-LEN(FIXED(F1602,2,TRUE)))&amp;FIXED(F1602,2,TRUE)</f>
        <v/>
      </c>
      <c r="AH1602" s="10">
        <f>LEN(AC1602)+LEN(AG1602)</f>
        <v/>
      </c>
      <c r="AI1602" s="10">
        <f>LEN(L1602)</f>
        <v/>
      </c>
    </row>
    <row r="1603">
      <c r="J1603" s="12">
        <f>IF(F1603&lt;&gt;0,"LANÇAR","")</f>
        <v/>
      </c>
      <c r="L1603" s="13">
        <f>N1603&amp;O1603&amp;P1603&amp;Q1603&amp;R1603&amp;S1603&amp;T1603&amp;U1603&amp;V1603&amp;W1603&amp;X1603&amp;Y1603&amp;Z1603&amp;AA1603&amp;AB1603&amp;AC1603&amp;AD1603&amp;AE1603&amp;AF1603&amp;AG1603</f>
        <v/>
      </c>
      <c r="N1603" s="10">
        <f>TEXT($B$6,"00")</f>
        <v/>
      </c>
      <c r="O1603" s="10">
        <f>REPT(" ",8)</f>
        <v/>
      </c>
      <c r="P1603" s="10">
        <f>RIGHT($B$4,2)</f>
        <v/>
      </c>
      <c r="Q1603" s="10">
        <f>RIGHT($B$5,3)</f>
        <v/>
      </c>
      <c r="R1603" s="10">
        <f>IF(A1603="D",LEFT(UPPER(B1603)&amp;REPT(" ",20),20),REPT(" ",20))</f>
        <v/>
      </c>
      <c r="S1603" s="10">
        <f>IF(A1603="D",LEFT(UPPER(C1603)&amp;REPT(" ",10),10)," ")</f>
        <v/>
      </c>
      <c r="T1603" s="10">
        <f>IF(A1603="D",LEFT(UPPER(D1603)&amp;REPT(" ",2),2)," ")</f>
        <v/>
      </c>
      <c r="U1603" s="10">
        <f>IF(A1603="D",LEFT(UPPER(E1603)&amp;REPT(" ",15),15)," ")</f>
        <v/>
      </c>
      <c r="V1603" s="10">
        <f>REPT(" ",24)</f>
        <v/>
      </c>
      <c r="W1603" s="10">
        <f>IF(A1603="c",LEFT(UPPER(B1603)&amp;REPT(" ",20),20),REPT(" ",20))</f>
        <v/>
      </c>
      <c r="X1603" s="10">
        <f>IF(A1603="C",LEFT(UPPER(C1603)&amp;REPT(" ",10),10)," ")</f>
        <v/>
      </c>
      <c r="Y1603" s="10">
        <f>IF(A1603="C",LEFT(UPPER(D1603)&amp;REPT(" ",2),2)," ")</f>
        <v/>
      </c>
      <c r="Z1603" s="10">
        <f>IF(A1603="C",LEFT(UPPER(E1603)&amp;REPT(" ",15),15)," ")</f>
        <v/>
      </c>
      <c r="AA1603" s="10">
        <f>REPT(" ",8)</f>
        <v/>
      </c>
      <c r="AB1603" s="10">
        <f>REPT(" ",4)</f>
        <v/>
      </c>
      <c r="AC1603" s="10">
        <f>LEFT(UPPER(H1603)&amp;REPT(" ",250),250)</f>
        <v/>
      </c>
      <c r="AD1603" s="10">
        <f>TEXT($G$2,"dd/mm/aaaa")</f>
        <v/>
      </c>
      <c r="AE1603" s="10">
        <f>REPT(" ",10)</f>
        <v/>
      </c>
      <c r="AF1603" s="10">
        <f>REPT(" ",20)</f>
        <v/>
      </c>
      <c r="AG1603" s="54">
        <f>REPT(" ",18-LEN(FIXED(F1603,2,TRUE)))&amp;FIXED(F1603,2,TRUE)</f>
        <v/>
      </c>
      <c r="AH1603" s="10">
        <f>LEN(AC1603)+LEN(AG1603)</f>
        <v/>
      </c>
      <c r="AI1603" s="10">
        <f>LEN(L1603)</f>
        <v/>
      </c>
    </row>
    <row r="1604">
      <c r="J1604" s="12">
        <f>IF(F1604&lt;&gt;0,"LANÇAR","")</f>
        <v/>
      </c>
      <c r="L1604" s="13">
        <f>N1604&amp;O1604&amp;P1604&amp;Q1604&amp;R1604&amp;S1604&amp;T1604&amp;U1604&amp;V1604&amp;W1604&amp;X1604&amp;Y1604&amp;Z1604&amp;AA1604&amp;AB1604&amp;AC1604&amp;AD1604&amp;AE1604&amp;AF1604&amp;AG1604</f>
        <v/>
      </c>
      <c r="N1604" s="10">
        <f>TEXT($B$6,"00")</f>
        <v/>
      </c>
      <c r="O1604" s="10">
        <f>REPT(" ",8)</f>
        <v/>
      </c>
      <c r="P1604" s="10">
        <f>RIGHT($B$4,2)</f>
        <v/>
      </c>
      <c r="Q1604" s="10">
        <f>RIGHT($B$5,3)</f>
        <v/>
      </c>
      <c r="R1604" s="10">
        <f>IF(A1604="D",LEFT(UPPER(B1604)&amp;REPT(" ",20),20),REPT(" ",20))</f>
        <v/>
      </c>
      <c r="S1604" s="10">
        <f>IF(A1604="D",LEFT(UPPER(C1604)&amp;REPT(" ",10),10)," ")</f>
        <v/>
      </c>
      <c r="T1604" s="10">
        <f>IF(A1604="D",LEFT(UPPER(D1604)&amp;REPT(" ",2),2)," ")</f>
        <v/>
      </c>
      <c r="U1604" s="10">
        <f>IF(A1604="D",LEFT(UPPER(E1604)&amp;REPT(" ",15),15)," ")</f>
        <v/>
      </c>
      <c r="V1604" s="10">
        <f>REPT(" ",24)</f>
        <v/>
      </c>
      <c r="W1604" s="10">
        <f>IF(A1604="c",LEFT(UPPER(B1604)&amp;REPT(" ",20),20),REPT(" ",20))</f>
        <v/>
      </c>
      <c r="X1604" s="10">
        <f>IF(A1604="C",LEFT(UPPER(C1604)&amp;REPT(" ",10),10)," ")</f>
        <v/>
      </c>
      <c r="Y1604" s="10">
        <f>IF(A1604="C",LEFT(UPPER(D1604)&amp;REPT(" ",2),2)," ")</f>
        <v/>
      </c>
      <c r="Z1604" s="10">
        <f>IF(A1604="C",LEFT(UPPER(E1604)&amp;REPT(" ",15),15)," ")</f>
        <v/>
      </c>
      <c r="AA1604" s="10">
        <f>REPT(" ",8)</f>
        <v/>
      </c>
      <c r="AB1604" s="10">
        <f>REPT(" ",4)</f>
        <v/>
      </c>
      <c r="AC1604" s="10">
        <f>LEFT(UPPER(H1604)&amp;REPT(" ",250),250)</f>
        <v/>
      </c>
      <c r="AD1604" s="10">
        <f>TEXT($G$2,"dd/mm/aaaa")</f>
        <v/>
      </c>
      <c r="AE1604" s="10">
        <f>REPT(" ",10)</f>
        <v/>
      </c>
      <c r="AF1604" s="10">
        <f>REPT(" ",20)</f>
        <v/>
      </c>
      <c r="AG1604" s="54">
        <f>REPT(" ",18-LEN(FIXED(F1604,2,TRUE)))&amp;FIXED(F1604,2,TRUE)</f>
        <v/>
      </c>
      <c r="AH1604" s="10">
        <f>LEN(AC1604)+LEN(AG1604)</f>
        <v/>
      </c>
      <c r="AI1604" s="10">
        <f>LEN(L1604)</f>
        <v/>
      </c>
    </row>
    <row r="1605">
      <c r="J1605" s="12">
        <f>IF(F1605&lt;&gt;0,"LANÇAR","")</f>
        <v/>
      </c>
      <c r="L1605" s="13">
        <f>N1605&amp;O1605&amp;P1605&amp;Q1605&amp;R1605&amp;S1605&amp;T1605&amp;U1605&amp;V1605&amp;W1605&amp;X1605&amp;Y1605&amp;Z1605&amp;AA1605&amp;AB1605&amp;AC1605&amp;AD1605&amp;AE1605&amp;AF1605&amp;AG1605</f>
        <v/>
      </c>
      <c r="N1605" s="10">
        <f>TEXT($B$6,"00")</f>
        <v/>
      </c>
      <c r="O1605" s="10">
        <f>REPT(" ",8)</f>
        <v/>
      </c>
      <c r="P1605" s="10">
        <f>RIGHT($B$4,2)</f>
        <v/>
      </c>
      <c r="Q1605" s="10">
        <f>RIGHT($B$5,3)</f>
        <v/>
      </c>
      <c r="R1605" s="10">
        <f>IF(A1605="D",LEFT(UPPER(B1605)&amp;REPT(" ",20),20),REPT(" ",20))</f>
        <v/>
      </c>
      <c r="S1605" s="10">
        <f>IF(A1605="D",LEFT(UPPER(C1605)&amp;REPT(" ",10),10)," ")</f>
        <v/>
      </c>
      <c r="T1605" s="10">
        <f>IF(A1605="D",LEFT(UPPER(D1605)&amp;REPT(" ",2),2)," ")</f>
        <v/>
      </c>
      <c r="U1605" s="10">
        <f>IF(A1605="D",LEFT(UPPER(E1605)&amp;REPT(" ",15),15)," ")</f>
        <v/>
      </c>
      <c r="V1605" s="10">
        <f>REPT(" ",24)</f>
        <v/>
      </c>
      <c r="W1605" s="10">
        <f>IF(A1605="c",LEFT(UPPER(B1605)&amp;REPT(" ",20),20),REPT(" ",20))</f>
        <v/>
      </c>
      <c r="X1605" s="10">
        <f>IF(A1605="C",LEFT(UPPER(C1605)&amp;REPT(" ",10),10)," ")</f>
        <v/>
      </c>
      <c r="Y1605" s="10">
        <f>IF(A1605="C",LEFT(UPPER(D1605)&amp;REPT(" ",2),2)," ")</f>
        <v/>
      </c>
      <c r="Z1605" s="10">
        <f>IF(A1605="C",LEFT(UPPER(E1605)&amp;REPT(" ",15),15)," ")</f>
        <v/>
      </c>
      <c r="AA1605" s="10">
        <f>REPT(" ",8)</f>
        <v/>
      </c>
      <c r="AB1605" s="10">
        <f>REPT(" ",4)</f>
        <v/>
      </c>
      <c r="AC1605" s="10">
        <f>LEFT(UPPER(H1605)&amp;REPT(" ",250),250)</f>
        <v/>
      </c>
      <c r="AD1605" s="10">
        <f>TEXT($G$2,"dd/mm/aaaa")</f>
        <v/>
      </c>
      <c r="AE1605" s="10">
        <f>REPT(" ",10)</f>
        <v/>
      </c>
      <c r="AF1605" s="10">
        <f>REPT(" ",20)</f>
        <v/>
      </c>
      <c r="AG1605" s="54">
        <f>REPT(" ",18-LEN(FIXED(F1605,2,TRUE)))&amp;FIXED(F1605,2,TRUE)</f>
        <v/>
      </c>
      <c r="AH1605" s="10">
        <f>LEN(AC1605)+LEN(AG1605)</f>
        <v/>
      </c>
      <c r="AI1605" s="10">
        <f>LEN(L1605)</f>
        <v/>
      </c>
    </row>
    <row r="1606">
      <c r="J1606" s="12">
        <f>IF(F1606&lt;&gt;0,"LANÇAR","")</f>
        <v/>
      </c>
      <c r="L1606" s="13">
        <f>N1606&amp;O1606&amp;P1606&amp;Q1606&amp;R1606&amp;S1606&amp;T1606&amp;U1606&amp;V1606&amp;W1606&amp;X1606&amp;Y1606&amp;Z1606&amp;AA1606&amp;AB1606&amp;AC1606&amp;AD1606&amp;AE1606&amp;AF1606&amp;AG1606</f>
        <v/>
      </c>
      <c r="N1606" s="10">
        <f>TEXT($B$6,"00")</f>
        <v/>
      </c>
      <c r="O1606" s="10">
        <f>REPT(" ",8)</f>
        <v/>
      </c>
      <c r="P1606" s="10">
        <f>RIGHT($B$4,2)</f>
        <v/>
      </c>
      <c r="Q1606" s="10">
        <f>RIGHT($B$5,3)</f>
        <v/>
      </c>
      <c r="R1606" s="10">
        <f>IF(A1606="D",LEFT(UPPER(B1606)&amp;REPT(" ",20),20),REPT(" ",20))</f>
        <v/>
      </c>
      <c r="S1606" s="10">
        <f>IF(A1606="D",LEFT(UPPER(C1606)&amp;REPT(" ",10),10)," ")</f>
        <v/>
      </c>
      <c r="T1606" s="10">
        <f>IF(A1606="D",LEFT(UPPER(D1606)&amp;REPT(" ",2),2)," ")</f>
        <v/>
      </c>
      <c r="U1606" s="10">
        <f>IF(A1606="D",LEFT(UPPER(E1606)&amp;REPT(" ",15),15)," ")</f>
        <v/>
      </c>
      <c r="V1606" s="10">
        <f>REPT(" ",24)</f>
        <v/>
      </c>
      <c r="W1606" s="10">
        <f>IF(A1606="c",LEFT(UPPER(B1606)&amp;REPT(" ",20),20),REPT(" ",20))</f>
        <v/>
      </c>
      <c r="X1606" s="10">
        <f>IF(A1606="C",LEFT(UPPER(C1606)&amp;REPT(" ",10),10)," ")</f>
        <v/>
      </c>
      <c r="Y1606" s="10">
        <f>IF(A1606="C",LEFT(UPPER(D1606)&amp;REPT(" ",2),2)," ")</f>
        <v/>
      </c>
      <c r="Z1606" s="10">
        <f>IF(A1606="C",LEFT(UPPER(E1606)&amp;REPT(" ",15),15)," ")</f>
        <v/>
      </c>
      <c r="AA1606" s="10">
        <f>REPT(" ",8)</f>
        <v/>
      </c>
      <c r="AB1606" s="10">
        <f>REPT(" ",4)</f>
        <v/>
      </c>
      <c r="AC1606" s="10">
        <f>LEFT(UPPER(H1606)&amp;REPT(" ",250),250)</f>
        <v/>
      </c>
      <c r="AD1606" s="10">
        <f>TEXT($G$2,"dd/mm/aaaa")</f>
        <v/>
      </c>
      <c r="AE1606" s="10">
        <f>REPT(" ",10)</f>
        <v/>
      </c>
      <c r="AF1606" s="10">
        <f>REPT(" ",20)</f>
        <v/>
      </c>
      <c r="AG1606" s="54">
        <f>REPT(" ",18-LEN(FIXED(F1606,2,TRUE)))&amp;FIXED(F1606,2,TRUE)</f>
        <v/>
      </c>
      <c r="AH1606" s="10">
        <f>LEN(AC1606)+LEN(AG1606)</f>
        <v/>
      </c>
      <c r="AI1606" s="10">
        <f>LEN(L1606)</f>
        <v/>
      </c>
    </row>
    <row r="1607">
      <c r="J1607" s="12">
        <f>IF(F1607&lt;&gt;0,"LANÇAR","")</f>
        <v/>
      </c>
      <c r="L1607" s="13">
        <f>N1607&amp;O1607&amp;P1607&amp;Q1607&amp;R1607&amp;S1607&amp;T1607&amp;U1607&amp;V1607&amp;W1607&amp;X1607&amp;Y1607&amp;Z1607&amp;AA1607&amp;AB1607&amp;AC1607&amp;AD1607&amp;AE1607&amp;AF1607&amp;AG1607</f>
        <v/>
      </c>
      <c r="N1607" s="10">
        <f>TEXT($B$6,"00")</f>
        <v/>
      </c>
      <c r="O1607" s="10">
        <f>REPT(" ",8)</f>
        <v/>
      </c>
      <c r="P1607" s="10">
        <f>RIGHT($B$4,2)</f>
        <v/>
      </c>
      <c r="Q1607" s="10">
        <f>RIGHT($B$5,3)</f>
        <v/>
      </c>
      <c r="R1607" s="10">
        <f>IF(A1607="D",LEFT(UPPER(B1607)&amp;REPT(" ",20),20),REPT(" ",20))</f>
        <v/>
      </c>
      <c r="S1607" s="10">
        <f>IF(A1607="D",LEFT(UPPER(C1607)&amp;REPT(" ",10),10)," ")</f>
        <v/>
      </c>
      <c r="T1607" s="10">
        <f>IF(A1607="D",LEFT(UPPER(D1607)&amp;REPT(" ",2),2)," ")</f>
        <v/>
      </c>
      <c r="U1607" s="10">
        <f>IF(A1607="D",LEFT(UPPER(E1607)&amp;REPT(" ",15),15)," ")</f>
        <v/>
      </c>
      <c r="V1607" s="10">
        <f>REPT(" ",24)</f>
        <v/>
      </c>
      <c r="W1607" s="10">
        <f>IF(A1607="c",LEFT(UPPER(B1607)&amp;REPT(" ",20),20),REPT(" ",20))</f>
        <v/>
      </c>
      <c r="X1607" s="10">
        <f>IF(A1607="C",LEFT(UPPER(C1607)&amp;REPT(" ",10),10)," ")</f>
        <v/>
      </c>
      <c r="Y1607" s="10">
        <f>IF(A1607="C",LEFT(UPPER(D1607)&amp;REPT(" ",2),2)," ")</f>
        <v/>
      </c>
      <c r="Z1607" s="10">
        <f>IF(A1607="C",LEFT(UPPER(E1607)&amp;REPT(" ",15),15)," ")</f>
        <v/>
      </c>
      <c r="AA1607" s="10">
        <f>REPT(" ",8)</f>
        <v/>
      </c>
      <c r="AB1607" s="10">
        <f>REPT(" ",4)</f>
        <v/>
      </c>
      <c r="AC1607" s="10">
        <f>LEFT(UPPER(H1607)&amp;REPT(" ",250),250)</f>
        <v/>
      </c>
      <c r="AD1607" s="10">
        <f>TEXT($G$2,"dd/mm/aaaa")</f>
        <v/>
      </c>
      <c r="AE1607" s="10">
        <f>REPT(" ",10)</f>
        <v/>
      </c>
      <c r="AF1607" s="10">
        <f>REPT(" ",20)</f>
        <v/>
      </c>
      <c r="AG1607" s="54">
        <f>REPT(" ",18-LEN(FIXED(F1607,2,TRUE)))&amp;FIXED(F1607,2,TRUE)</f>
        <v/>
      </c>
      <c r="AH1607" s="10">
        <f>LEN(AC1607)+LEN(AG1607)</f>
        <v/>
      </c>
      <c r="AI1607" s="10">
        <f>LEN(L1607)</f>
        <v/>
      </c>
    </row>
    <row r="1608">
      <c r="J1608" s="12">
        <f>IF(F1608&lt;&gt;0,"LANÇAR","")</f>
        <v/>
      </c>
      <c r="L1608" s="13">
        <f>N1608&amp;O1608&amp;P1608&amp;Q1608&amp;R1608&amp;S1608&amp;T1608&amp;U1608&amp;V1608&amp;W1608&amp;X1608&amp;Y1608&amp;Z1608&amp;AA1608&amp;AB1608&amp;AC1608&amp;AD1608&amp;AE1608&amp;AF1608&amp;AG1608</f>
        <v/>
      </c>
      <c r="N1608" s="10">
        <f>TEXT($B$6,"00")</f>
        <v/>
      </c>
      <c r="O1608" s="10">
        <f>REPT(" ",8)</f>
        <v/>
      </c>
      <c r="P1608" s="10">
        <f>RIGHT($B$4,2)</f>
        <v/>
      </c>
      <c r="Q1608" s="10">
        <f>RIGHT($B$5,3)</f>
        <v/>
      </c>
      <c r="R1608" s="10">
        <f>IF(A1608="D",LEFT(UPPER(B1608)&amp;REPT(" ",20),20),REPT(" ",20))</f>
        <v/>
      </c>
      <c r="S1608" s="10">
        <f>IF(A1608="D",LEFT(UPPER(C1608)&amp;REPT(" ",10),10)," ")</f>
        <v/>
      </c>
      <c r="T1608" s="10">
        <f>IF(A1608="D",LEFT(UPPER(D1608)&amp;REPT(" ",2),2)," ")</f>
        <v/>
      </c>
      <c r="U1608" s="10">
        <f>IF(A1608="D",LEFT(UPPER(E1608)&amp;REPT(" ",15),15)," ")</f>
        <v/>
      </c>
      <c r="V1608" s="10">
        <f>REPT(" ",24)</f>
        <v/>
      </c>
      <c r="W1608" s="10">
        <f>IF(A1608="c",LEFT(UPPER(B1608)&amp;REPT(" ",20),20),REPT(" ",20))</f>
        <v/>
      </c>
      <c r="X1608" s="10">
        <f>IF(A1608="C",LEFT(UPPER(C1608)&amp;REPT(" ",10),10)," ")</f>
        <v/>
      </c>
      <c r="Y1608" s="10">
        <f>IF(A1608="C",LEFT(UPPER(D1608)&amp;REPT(" ",2),2)," ")</f>
        <v/>
      </c>
      <c r="Z1608" s="10">
        <f>IF(A1608="C",LEFT(UPPER(E1608)&amp;REPT(" ",15),15)," ")</f>
        <v/>
      </c>
      <c r="AA1608" s="10">
        <f>REPT(" ",8)</f>
        <v/>
      </c>
      <c r="AB1608" s="10">
        <f>REPT(" ",4)</f>
        <v/>
      </c>
      <c r="AC1608" s="10">
        <f>LEFT(UPPER(H1608)&amp;REPT(" ",250),250)</f>
        <v/>
      </c>
      <c r="AD1608" s="10">
        <f>TEXT($G$2,"dd/mm/aaaa")</f>
        <v/>
      </c>
      <c r="AE1608" s="10">
        <f>REPT(" ",10)</f>
        <v/>
      </c>
      <c r="AF1608" s="10">
        <f>REPT(" ",20)</f>
        <v/>
      </c>
      <c r="AG1608" s="54">
        <f>REPT(" ",18-LEN(FIXED(F1608,2,TRUE)))&amp;FIXED(F1608,2,TRUE)</f>
        <v/>
      </c>
      <c r="AH1608" s="10">
        <f>LEN(AC1608)+LEN(AG1608)</f>
        <v/>
      </c>
      <c r="AI1608" s="10">
        <f>LEN(L1608)</f>
        <v/>
      </c>
    </row>
    <row r="1609">
      <c r="J1609" s="12">
        <f>IF(F1609&lt;&gt;0,"LANÇAR","")</f>
        <v/>
      </c>
      <c r="L1609" s="13">
        <f>N1609&amp;O1609&amp;P1609&amp;Q1609&amp;R1609&amp;S1609&amp;T1609&amp;U1609&amp;V1609&amp;W1609&amp;X1609&amp;Y1609&amp;Z1609&amp;AA1609&amp;AB1609&amp;AC1609&amp;AD1609&amp;AE1609&amp;AF1609&amp;AG1609</f>
        <v/>
      </c>
      <c r="N1609" s="10">
        <f>TEXT($B$6,"00")</f>
        <v/>
      </c>
      <c r="O1609" s="10">
        <f>REPT(" ",8)</f>
        <v/>
      </c>
      <c r="P1609" s="10">
        <f>RIGHT($B$4,2)</f>
        <v/>
      </c>
      <c r="Q1609" s="10">
        <f>RIGHT($B$5,3)</f>
        <v/>
      </c>
      <c r="R1609" s="10">
        <f>IF(A1609="D",LEFT(UPPER(B1609)&amp;REPT(" ",20),20),REPT(" ",20))</f>
        <v/>
      </c>
      <c r="S1609" s="10">
        <f>IF(A1609="D",LEFT(UPPER(C1609)&amp;REPT(" ",10),10)," ")</f>
        <v/>
      </c>
      <c r="T1609" s="10">
        <f>IF(A1609="D",LEFT(UPPER(D1609)&amp;REPT(" ",2),2)," ")</f>
        <v/>
      </c>
      <c r="U1609" s="10">
        <f>IF(A1609="D",LEFT(UPPER(E1609)&amp;REPT(" ",15),15)," ")</f>
        <v/>
      </c>
      <c r="V1609" s="10">
        <f>REPT(" ",24)</f>
        <v/>
      </c>
      <c r="W1609" s="10">
        <f>IF(A1609="c",LEFT(UPPER(B1609)&amp;REPT(" ",20),20),REPT(" ",20))</f>
        <v/>
      </c>
      <c r="X1609" s="10">
        <f>IF(A1609="C",LEFT(UPPER(C1609)&amp;REPT(" ",10),10)," ")</f>
        <v/>
      </c>
      <c r="Y1609" s="10">
        <f>IF(A1609="C",LEFT(UPPER(D1609)&amp;REPT(" ",2),2)," ")</f>
        <v/>
      </c>
      <c r="Z1609" s="10">
        <f>IF(A1609="C",LEFT(UPPER(E1609)&amp;REPT(" ",15),15)," ")</f>
        <v/>
      </c>
      <c r="AA1609" s="10">
        <f>REPT(" ",8)</f>
        <v/>
      </c>
      <c r="AB1609" s="10">
        <f>REPT(" ",4)</f>
        <v/>
      </c>
      <c r="AC1609" s="10">
        <f>LEFT(UPPER(H1609)&amp;REPT(" ",250),250)</f>
        <v/>
      </c>
      <c r="AD1609" s="10">
        <f>TEXT($G$2,"dd/mm/aaaa")</f>
        <v/>
      </c>
      <c r="AE1609" s="10">
        <f>REPT(" ",10)</f>
        <v/>
      </c>
      <c r="AF1609" s="10">
        <f>REPT(" ",20)</f>
        <v/>
      </c>
      <c r="AG1609" s="54">
        <f>REPT(" ",18-LEN(FIXED(F1609,2,TRUE)))&amp;FIXED(F1609,2,TRUE)</f>
        <v/>
      </c>
      <c r="AH1609" s="10">
        <f>LEN(AC1609)+LEN(AG1609)</f>
        <v/>
      </c>
      <c r="AI1609" s="10">
        <f>LEN(L1609)</f>
        <v/>
      </c>
    </row>
    <row r="1610">
      <c r="J1610" s="12">
        <f>IF(F1610&lt;&gt;0,"LANÇAR","")</f>
        <v/>
      </c>
      <c r="L1610" s="13">
        <f>N1610&amp;O1610&amp;P1610&amp;Q1610&amp;R1610&amp;S1610&amp;T1610&amp;U1610&amp;V1610&amp;W1610&amp;X1610&amp;Y1610&amp;Z1610&amp;AA1610&amp;AB1610&amp;AC1610&amp;AD1610&amp;AE1610&amp;AF1610&amp;AG1610</f>
        <v/>
      </c>
      <c r="N1610" s="10">
        <f>TEXT($B$6,"00")</f>
        <v/>
      </c>
      <c r="O1610" s="10">
        <f>REPT(" ",8)</f>
        <v/>
      </c>
      <c r="P1610" s="10">
        <f>RIGHT($B$4,2)</f>
        <v/>
      </c>
      <c r="Q1610" s="10">
        <f>RIGHT($B$5,3)</f>
        <v/>
      </c>
      <c r="R1610" s="10">
        <f>IF(A1610="D",LEFT(UPPER(B1610)&amp;REPT(" ",20),20),REPT(" ",20))</f>
        <v/>
      </c>
      <c r="S1610" s="10">
        <f>IF(A1610="D",LEFT(UPPER(C1610)&amp;REPT(" ",10),10)," ")</f>
        <v/>
      </c>
      <c r="T1610" s="10">
        <f>IF(A1610="D",LEFT(UPPER(D1610)&amp;REPT(" ",2),2)," ")</f>
        <v/>
      </c>
      <c r="U1610" s="10">
        <f>IF(A1610="D",LEFT(UPPER(E1610)&amp;REPT(" ",15),15)," ")</f>
        <v/>
      </c>
      <c r="V1610" s="10">
        <f>REPT(" ",24)</f>
        <v/>
      </c>
      <c r="W1610" s="10">
        <f>IF(A1610="c",LEFT(UPPER(B1610)&amp;REPT(" ",20),20),REPT(" ",20))</f>
        <v/>
      </c>
      <c r="X1610" s="10">
        <f>IF(A1610="C",LEFT(UPPER(C1610)&amp;REPT(" ",10),10)," ")</f>
        <v/>
      </c>
      <c r="Y1610" s="10">
        <f>IF(A1610="C",LEFT(UPPER(D1610)&amp;REPT(" ",2),2)," ")</f>
        <v/>
      </c>
      <c r="Z1610" s="10">
        <f>IF(A1610="C",LEFT(UPPER(E1610)&amp;REPT(" ",15),15)," ")</f>
        <v/>
      </c>
      <c r="AA1610" s="10">
        <f>REPT(" ",8)</f>
        <v/>
      </c>
      <c r="AB1610" s="10">
        <f>REPT(" ",4)</f>
        <v/>
      </c>
      <c r="AC1610" s="10">
        <f>LEFT(UPPER(H1610)&amp;REPT(" ",250),250)</f>
        <v/>
      </c>
      <c r="AD1610" s="10">
        <f>TEXT($G$2,"dd/mm/aaaa")</f>
        <v/>
      </c>
      <c r="AE1610" s="10">
        <f>REPT(" ",10)</f>
        <v/>
      </c>
      <c r="AF1610" s="10">
        <f>REPT(" ",20)</f>
        <v/>
      </c>
      <c r="AG1610" s="54">
        <f>REPT(" ",18-LEN(FIXED(F1610,2,TRUE)))&amp;FIXED(F1610,2,TRUE)</f>
        <v/>
      </c>
      <c r="AH1610" s="10">
        <f>LEN(AC1610)+LEN(AG1610)</f>
        <v/>
      </c>
      <c r="AI1610" s="10">
        <f>LEN(L1610)</f>
        <v/>
      </c>
    </row>
    <row r="1611">
      <c r="J1611" s="12">
        <f>IF(F1611&lt;&gt;0,"LANÇAR","")</f>
        <v/>
      </c>
      <c r="L1611" s="13">
        <f>N1611&amp;O1611&amp;P1611&amp;Q1611&amp;R1611&amp;S1611&amp;T1611&amp;U1611&amp;V1611&amp;W1611&amp;X1611&amp;Y1611&amp;Z1611&amp;AA1611&amp;AB1611&amp;AC1611&amp;AD1611&amp;AE1611&amp;AF1611&amp;AG1611</f>
        <v/>
      </c>
      <c r="N1611" s="10">
        <f>TEXT($B$6,"00")</f>
        <v/>
      </c>
      <c r="O1611" s="10">
        <f>REPT(" ",8)</f>
        <v/>
      </c>
      <c r="P1611" s="10">
        <f>RIGHT($B$4,2)</f>
        <v/>
      </c>
      <c r="Q1611" s="10">
        <f>RIGHT($B$5,3)</f>
        <v/>
      </c>
      <c r="R1611" s="10">
        <f>IF(A1611="D",LEFT(UPPER(B1611)&amp;REPT(" ",20),20),REPT(" ",20))</f>
        <v/>
      </c>
      <c r="S1611" s="10">
        <f>IF(A1611="D",LEFT(UPPER(C1611)&amp;REPT(" ",10),10)," ")</f>
        <v/>
      </c>
      <c r="T1611" s="10">
        <f>IF(A1611="D",LEFT(UPPER(D1611)&amp;REPT(" ",2),2)," ")</f>
        <v/>
      </c>
      <c r="U1611" s="10">
        <f>IF(A1611="D",LEFT(UPPER(E1611)&amp;REPT(" ",15),15)," ")</f>
        <v/>
      </c>
      <c r="V1611" s="10">
        <f>REPT(" ",24)</f>
        <v/>
      </c>
      <c r="W1611" s="10">
        <f>IF(A1611="c",LEFT(UPPER(B1611)&amp;REPT(" ",20),20),REPT(" ",20))</f>
        <v/>
      </c>
      <c r="X1611" s="10">
        <f>IF(A1611="C",LEFT(UPPER(C1611)&amp;REPT(" ",10),10)," ")</f>
        <v/>
      </c>
      <c r="Y1611" s="10">
        <f>IF(A1611="C",LEFT(UPPER(D1611)&amp;REPT(" ",2),2)," ")</f>
        <v/>
      </c>
      <c r="Z1611" s="10">
        <f>IF(A1611="C",LEFT(UPPER(E1611)&amp;REPT(" ",15),15)," ")</f>
        <v/>
      </c>
      <c r="AA1611" s="10">
        <f>REPT(" ",8)</f>
        <v/>
      </c>
      <c r="AB1611" s="10">
        <f>REPT(" ",4)</f>
        <v/>
      </c>
      <c r="AC1611" s="10">
        <f>LEFT(UPPER(H1611)&amp;REPT(" ",250),250)</f>
        <v/>
      </c>
      <c r="AD1611" s="10">
        <f>TEXT($G$2,"dd/mm/aaaa")</f>
        <v/>
      </c>
      <c r="AE1611" s="10">
        <f>REPT(" ",10)</f>
        <v/>
      </c>
      <c r="AF1611" s="10">
        <f>REPT(" ",20)</f>
        <v/>
      </c>
      <c r="AG1611" s="54">
        <f>REPT(" ",18-LEN(FIXED(F1611,2,TRUE)))&amp;FIXED(F1611,2,TRUE)</f>
        <v/>
      </c>
      <c r="AH1611" s="10">
        <f>LEN(AC1611)+LEN(AG1611)</f>
        <v/>
      </c>
      <c r="AI1611" s="10">
        <f>LEN(L1611)</f>
        <v/>
      </c>
    </row>
    <row r="1612">
      <c r="J1612" s="12">
        <f>IF(F1612&lt;&gt;0,"LANÇAR","")</f>
        <v/>
      </c>
      <c r="L1612" s="13">
        <f>N1612&amp;O1612&amp;P1612&amp;Q1612&amp;R1612&amp;S1612&amp;T1612&amp;U1612&amp;V1612&amp;W1612&amp;X1612&amp;Y1612&amp;Z1612&amp;AA1612&amp;AB1612&amp;AC1612&amp;AD1612&amp;AE1612&amp;AF1612&amp;AG1612</f>
        <v/>
      </c>
      <c r="N1612" s="10">
        <f>TEXT($B$6,"00")</f>
        <v/>
      </c>
      <c r="O1612" s="10">
        <f>REPT(" ",8)</f>
        <v/>
      </c>
      <c r="P1612" s="10">
        <f>RIGHT($B$4,2)</f>
        <v/>
      </c>
      <c r="Q1612" s="10">
        <f>RIGHT($B$5,3)</f>
        <v/>
      </c>
      <c r="R1612" s="10">
        <f>IF(A1612="D",LEFT(UPPER(B1612)&amp;REPT(" ",20),20),REPT(" ",20))</f>
        <v/>
      </c>
      <c r="S1612" s="10">
        <f>IF(A1612="D",LEFT(UPPER(C1612)&amp;REPT(" ",10),10)," ")</f>
        <v/>
      </c>
      <c r="T1612" s="10">
        <f>IF(A1612="D",LEFT(UPPER(D1612)&amp;REPT(" ",2),2)," ")</f>
        <v/>
      </c>
      <c r="U1612" s="10">
        <f>IF(A1612="D",LEFT(UPPER(E1612)&amp;REPT(" ",15),15)," ")</f>
        <v/>
      </c>
      <c r="V1612" s="10">
        <f>REPT(" ",24)</f>
        <v/>
      </c>
      <c r="W1612" s="10">
        <f>IF(A1612="c",LEFT(UPPER(B1612)&amp;REPT(" ",20),20),REPT(" ",20))</f>
        <v/>
      </c>
      <c r="X1612" s="10">
        <f>IF(A1612="C",LEFT(UPPER(C1612)&amp;REPT(" ",10),10)," ")</f>
        <v/>
      </c>
      <c r="Y1612" s="10">
        <f>IF(A1612="C",LEFT(UPPER(D1612)&amp;REPT(" ",2),2)," ")</f>
        <v/>
      </c>
      <c r="Z1612" s="10">
        <f>IF(A1612="C",LEFT(UPPER(E1612)&amp;REPT(" ",15),15)," ")</f>
        <v/>
      </c>
      <c r="AA1612" s="10">
        <f>REPT(" ",8)</f>
        <v/>
      </c>
      <c r="AB1612" s="10">
        <f>REPT(" ",4)</f>
        <v/>
      </c>
      <c r="AC1612" s="10">
        <f>LEFT(UPPER(H1612)&amp;REPT(" ",250),250)</f>
        <v/>
      </c>
      <c r="AD1612" s="10">
        <f>TEXT($G$2,"dd/mm/aaaa")</f>
        <v/>
      </c>
      <c r="AE1612" s="10">
        <f>REPT(" ",10)</f>
        <v/>
      </c>
      <c r="AF1612" s="10">
        <f>REPT(" ",20)</f>
        <v/>
      </c>
      <c r="AG1612" s="54">
        <f>REPT(" ",18-LEN(FIXED(F1612,2,TRUE)))&amp;FIXED(F1612,2,TRUE)</f>
        <v/>
      </c>
      <c r="AH1612" s="10">
        <f>LEN(AC1612)+LEN(AG1612)</f>
        <v/>
      </c>
      <c r="AI1612" s="10">
        <f>LEN(L1612)</f>
        <v/>
      </c>
    </row>
    <row r="1613">
      <c r="J1613" s="12">
        <f>IF(F1613&lt;&gt;0,"LANÇAR","")</f>
        <v/>
      </c>
      <c r="L1613" s="13">
        <f>N1613&amp;O1613&amp;P1613&amp;Q1613&amp;R1613&amp;S1613&amp;T1613&amp;U1613&amp;V1613&amp;W1613&amp;X1613&amp;Y1613&amp;Z1613&amp;AA1613&amp;AB1613&amp;AC1613&amp;AD1613&amp;AE1613&amp;AF1613&amp;AG1613</f>
        <v/>
      </c>
      <c r="N1613" s="10">
        <f>TEXT($B$6,"00")</f>
        <v/>
      </c>
      <c r="O1613" s="10">
        <f>REPT(" ",8)</f>
        <v/>
      </c>
      <c r="P1613" s="10">
        <f>RIGHT($B$4,2)</f>
        <v/>
      </c>
      <c r="Q1613" s="10">
        <f>RIGHT($B$5,3)</f>
        <v/>
      </c>
      <c r="R1613" s="10">
        <f>IF(A1613="D",LEFT(UPPER(B1613)&amp;REPT(" ",20),20),REPT(" ",20))</f>
        <v/>
      </c>
      <c r="S1613" s="10">
        <f>IF(A1613="D",LEFT(UPPER(C1613)&amp;REPT(" ",10),10)," ")</f>
        <v/>
      </c>
      <c r="T1613" s="10">
        <f>IF(A1613="D",LEFT(UPPER(D1613)&amp;REPT(" ",2),2)," ")</f>
        <v/>
      </c>
      <c r="U1613" s="10">
        <f>IF(A1613="D",LEFT(UPPER(E1613)&amp;REPT(" ",15),15)," ")</f>
        <v/>
      </c>
      <c r="V1613" s="10">
        <f>REPT(" ",24)</f>
        <v/>
      </c>
      <c r="W1613" s="10">
        <f>IF(A1613="c",LEFT(UPPER(B1613)&amp;REPT(" ",20),20),REPT(" ",20))</f>
        <v/>
      </c>
      <c r="X1613" s="10">
        <f>IF(A1613="C",LEFT(UPPER(C1613)&amp;REPT(" ",10),10)," ")</f>
        <v/>
      </c>
      <c r="Y1613" s="10">
        <f>IF(A1613="C",LEFT(UPPER(D1613)&amp;REPT(" ",2),2)," ")</f>
        <v/>
      </c>
      <c r="Z1613" s="10">
        <f>IF(A1613="C",LEFT(UPPER(E1613)&amp;REPT(" ",15),15)," ")</f>
        <v/>
      </c>
      <c r="AA1613" s="10">
        <f>REPT(" ",8)</f>
        <v/>
      </c>
      <c r="AB1613" s="10">
        <f>REPT(" ",4)</f>
        <v/>
      </c>
      <c r="AC1613" s="10">
        <f>LEFT(UPPER(H1613)&amp;REPT(" ",250),250)</f>
        <v/>
      </c>
      <c r="AD1613" s="10">
        <f>TEXT($G$2,"dd/mm/aaaa")</f>
        <v/>
      </c>
      <c r="AE1613" s="10">
        <f>REPT(" ",10)</f>
        <v/>
      </c>
      <c r="AF1613" s="10">
        <f>REPT(" ",20)</f>
        <v/>
      </c>
      <c r="AG1613" s="54">
        <f>REPT(" ",18-LEN(FIXED(F1613,2,TRUE)))&amp;FIXED(F1613,2,TRUE)</f>
        <v/>
      </c>
      <c r="AH1613" s="10">
        <f>LEN(AC1613)+LEN(AG1613)</f>
        <v/>
      </c>
      <c r="AI1613" s="10">
        <f>LEN(L1613)</f>
        <v/>
      </c>
    </row>
    <row r="1614">
      <c r="J1614" s="12">
        <f>IF(F1614&lt;&gt;0,"LANÇAR","")</f>
        <v/>
      </c>
      <c r="L1614" s="13">
        <f>N1614&amp;O1614&amp;P1614&amp;Q1614&amp;R1614&amp;S1614&amp;T1614&amp;U1614&amp;V1614&amp;W1614&amp;X1614&amp;Y1614&amp;Z1614&amp;AA1614&amp;AB1614&amp;AC1614&amp;AD1614&amp;AE1614&amp;AF1614&amp;AG1614</f>
        <v/>
      </c>
      <c r="N1614" s="10">
        <f>TEXT($B$6,"00")</f>
        <v/>
      </c>
      <c r="O1614" s="10">
        <f>REPT(" ",8)</f>
        <v/>
      </c>
      <c r="P1614" s="10">
        <f>RIGHT($B$4,2)</f>
        <v/>
      </c>
      <c r="Q1614" s="10">
        <f>RIGHT($B$5,3)</f>
        <v/>
      </c>
      <c r="R1614" s="10">
        <f>IF(A1614="D",LEFT(UPPER(B1614)&amp;REPT(" ",20),20),REPT(" ",20))</f>
        <v/>
      </c>
      <c r="S1614" s="10">
        <f>IF(A1614="D",LEFT(UPPER(C1614)&amp;REPT(" ",10),10)," ")</f>
        <v/>
      </c>
      <c r="T1614" s="10">
        <f>IF(A1614="D",LEFT(UPPER(D1614)&amp;REPT(" ",2),2)," ")</f>
        <v/>
      </c>
      <c r="U1614" s="10">
        <f>IF(A1614="D",LEFT(UPPER(E1614)&amp;REPT(" ",15),15)," ")</f>
        <v/>
      </c>
      <c r="V1614" s="10">
        <f>REPT(" ",24)</f>
        <v/>
      </c>
      <c r="W1614" s="10">
        <f>IF(A1614="c",LEFT(UPPER(B1614)&amp;REPT(" ",20),20),REPT(" ",20))</f>
        <v/>
      </c>
      <c r="X1614" s="10">
        <f>IF(A1614="C",LEFT(UPPER(C1614)&amp;REPT(" ",10),10)," ")</f>
        <v/>
      </c>
      <c r="Y1614" s="10">
        <f>IF(A1614="C",LEFT(UPPER(D1614)&amp;REPT(" ",2),2)," ")</f>
        <v/>
      </c>
      <c r="Z1614" s="10">
        <f>IF(A1614="C",LEFT(UPPER(E1614)&amp;REPT(" ",15),15)," ")</f>
        <v/>
      </c>
      <c r="AA1614" s="10">
        <f>REPT(" ",8)</f>
        <v/>
      </c>
      <c r="AB1614" s="10">
        <f>REPT(" ",4)</f>
        <v/>
      </c>
      <c r="AC1614" s="10">
        <f>LEFT(UPPER(H1614)&amp;REPT(" ",250),250)</f>
        <v/>
      </c>
      <c r="AD1614" s="10">
        <f>TEXT($G$2,"dd/mm/aaaa")</f>
        <v/>
      </c>
      <c r="AE1614" s="10">
        <f>REPT(" ",10)</f>
        <v/>
      </c>
      <c r="AF1614" s="10">
        <f>REPT(" ",20)</f>
        <v/>
      </c>
      <c r="AG1614" s="54">
        <f>REPT(" ",18-LEN(FIXED(F1614,2,TRUE)))&amp;FIXED(F1614,2,TRUE)</f>
        <v/>
      </c>
      <c r="AH1614" s="10">
        <f>LEN(AC1614)+LEN(AG1614)</f>
        <v/>
      </c>
      <c r="AI1614" s="10">
        <f>LEN(L1614)</f>
        <v/>
      </c>
    </row>
    <row r="1615">
      <c r="J1615" s="12">
        <f>IF(F1615&lt;&gt;0,"LANÇAR","")</f>
        <v/>
      </c>
      <c r="L1615" s="13">
        <f>N1615&amp;O1615&amp;P1615&amp;Q1615&amp;R1615&amp;S1615&amp;T1615&amp;U1615&amp;V1615&amp;W1615&amp;X1615&amp;Y1615&amp;Z1615&amp;AA1615&amp;AB1615&amp;AC1615&amp;AD1615&amp;AE1615&amp;AF1615&amp;AG1615</f>
        <v/>
      </c>
      <c r="N1615" s="10">
        <f>TEXT($B$6,"00")</f>
        <v/>
      </c>
      <c r="O1615" s="10">
        <f>REPT(" ",8)</f>
        <v/>
      </c>
      <c r="P1615" s="10">
        <f>RIGHT($B$4,2)</f>
        <v/>
      </c>
      <c r="Q1615" s="10">
        <f>RIGHT($B$5,3)</f>
        <v/>
      </c>
      <c r="R1615" s="10">
        <f>IF(A1615="D",LEFT(UPPER(B1615)&amp;REPT(" ",20),20),REPT(" ",20))</f>
        <v/>
      </c>
      <c r="S1615" s="10">
        <f>IF(A1615="D",LEFT(UPPER(C1615)&amp;REPT(" ",10),10)," ")</f>
        <v/>
      </c>
      <c r="T1615" s="10">
        <f>IF(A1615="D",LEFT(UPPER(D1615)&amp;REPT(" ",2),2)," ")</f>
        <v/>
      </c>
      <c r="U1615" s="10">
        <f>IF(A1615="D",LEFT(UPPER(E1615)&amp;REPT(" ",15),15)," ")</f>
        <v/>
      </c>
      <c r="V1615" s="10">
        <f>REPT(" ",24)</f>
        <v/>
      </c>
      <c r="W1615" s="10">
        <f>IF(A1615="c",LEFT(UPPER(B1615)&amp;REPT(" ",20),20),REPT(" ",20))</f>
        <v/>
      </c>
      <c r="X1615" s="10">
        <f>IF(A1615="C",LEFT(UPPER(C1615)&amp;REPT(" ",10),10)," ")</f>
        <v/>
      </c>
      <c r="Y1615" s="10">
        <f>IF(A1615="C",LEFT(UPPER(D1615)&amp;REPT(" ",2),2)," ")</f>
        <v/>
      </c>
      <c r="Z1615" s="10">
        <f>IF(A1615="C",LEFT(UPPER(E1615)&amp;REPT(" ",15),15)," ")</f>
        <v/>
      </c>
      <c r="AA1615" s="10">
        <f>REPT(" ",8)</f>
        <v/>
      </c>
      <c r="AB1615" s="10">
        <f>REPT(" ",4)</f>
        <v/>
      </c>
      <c r="AC1615" s="10">
        <f>LEFT(UPPER(H1615)&amp;REPT(" ",250),250)</f>
        <v/>
      </c>
      <c r="AD1615" s="10">
        <f>TEXT($G$2,"dd/mm/aaaa")</f>
        <v/>
      </c>
      <c r="AE1615" s="10">
        <f>REPT(" ",10)</f>
        <v/>
      </c>
      <c r="AF1615" s="10">
        <f>REPT(" ",20)</f>
        <v/>
      </c>
      <c r="AG1615" s="54">
        <f>REPT(" ",18-LEN(FIXED(F1615,2,TRUE)))&amp;FIXED(F1615,2,TRUE)</f>
        <v/>
      </c>
      <c r="AH1615" s="10">
        <f>LEN(AC1615)+LEN(AG1615)</f>
        <v/>
      </c>
      <c r="AI1615" s="10">
        <f>LEN(L1615)</f>
        <v/>
      </c>
    </row>
    <row r="1616">
      <c r="J1616" s="12">
        <f>IF(F1616&lt;&gt;0,"LANÇAR","")</f>
        <v/>
      </c>
      <c r="L1616" s="13">
        <f>N1616&amp;O1616&amp;P1616&amp;Q1616&amp;R1616&amp;S1616&amp;T1616&amp;U1616&amp;V1616&amp;W1616&amp;X1616&amp;Y1616&amp;Z1616&amp;AA1616&amp;AB1616&amp;AC1616&amp;AD1616&amp;AE1616&amp;AF1616&amp;AG1616</f>
        <v/>
      </c>
      <c r="N1616" s="10">
        <f>TEXT($B$6,"00")</f>
        <v/>
      </c>
      <c r="O1616" s="10">
        <f>REPT(" ",8)</f>
        <v/>
      </c>
      <c r="P1616" s="10">
        <f>RIGHT($B$4,2)</f>
        <v/>
      </c>
      <c r="Q1616" s="10">
        <f>RIGHT($B$5,3)</f>
        <v/>
      </c>
      <c r="R1616" s="10">
        <f>IF(A1616="D",LEFT(UPPER(B1616)&amp;REPT(" ",20),20),REPT(" ",20))</f>
        <v/>
      </c>
      <c r="S1616" s="10">
        <f>IF(A1616="D",LEFT(UPPER(C1616)&amp;REPT(" ",10),10)," ")</f>
        <v/>
      </c>
      <c r="T1616" s="10">
        <f>IF(A1616="D",LEFT(UPPER(D1616)&amp;REPT(" ",2),2)," ")</f>
        <v/>
      </c>
      <c r="U1616" s="10">
        <f>IF(A1616="D",LEFT(UPPER(E1616)&amp;REPT(" ",15),15)," ")</f>
        <v/>
      </c>
      <c r="V1616" s="10">
        <f>REPT(" ",24)</f>
        <v/>
      </c>
      <c r="W1616" s="10">
        <f>IF(A1616="c",LEFT(UPPER(B1616)&amp;REPT(" ",20),20),REPT(" ",20))</f>
        <v/>
      </c>
      <c r="X1616" s="10">
        <f>IF(A1616="C",LEFT(UPPER(C1616)&amp;REPT(" ",10),10)," ")</f>
        <v/>
      </c>
      <c r="Y1616" s="10">
        <f>IF(A1616="C",LEFT(UPPER(D1616)&amp;REPT(" ",2),2)," ")</f>
        <v/>
      </c>
      <c r="Z1616" s="10">
        <f>IF(A1616="C",LEFT(UPPER(E1616)&amp;REPT(" ",15),15)," ")</f>
        <v/>
      </c>
      <c r="AA1616" s="10">
        <f>REPT(" ",8)</f>
        <v/>
      </c>
      <c r="AB1616" s="10">
        <f>REPT(" ",4)</f>
        <v/>
      </c>
      <c r="AC1616" s="10">
        <f>LEFT(UPPER(H1616)&amp;REPT(" ",250),250)</f>
        <v/>
      </c>
      <c r="AD1616" s="10">
        <f>TEXT($G$2,"dd/mm/aaaa")</f>
        <v/>
      </c>
      <c r="AE1616" s="10">
        <f>REPT(" ",10)</f>
        <v/>
      </c>
      <c r="AF1616" s="10">
        <f>REPT(" ",20)</f>
        <v/>
      </c>
      <c r="AG1616" s="54">
        <f>REPT(" ",18-LEN(FIXED(F1616,2,TRUE)))&amp;FIXED(F1616,2,TRUE)</f>
        <v/>
      </c>
      <c r="AH1616" s="10">
        <f>LEN(AC1616)+LEN(AG1616)</f>
        <v/>
      </c>
      <c r="AI1616" s="10">
        <f>LEN(L1616)</f>
        <v/>
      </c>
    </row>
    <row r="1617">
      <c r="J1617" s="12">
        <f>IF(F1617&lt;&gt;0,"LANÇAR","")</f>
        <v/>
      </c>
      <c r="L1617" s="13">
        <f>N1617&amp;O1617&amp;P1617&amp;Q1617&amp;R1617&amp;S1617&amp;T1617&amp;U1617&amp;V1617&amp;W1617&amp;X1617&amp;Y1617&amp;Z1617&amp;AA1617&amp;AB1617&amp;AC1617&amp;AD1617&amp;AE1617&amp;AF1617&amp;AG1617</f>
        <v/>
      </c>
      <c r="N1617" s="10">
        <f>TEXT($B$6,"00")</f>
        <v/>
      </c>
      <c r="O1617" s="10">
        <f>REPT(" ",8)</f>
        <v/>
      </c>
      <c r="P1617" s="10">
        <f>RIGHT($B$4,2)</f>
        <v/>
      </c>
      <c r="Q1617" s="10">
        <f>RIGHT($B$5,3)</f>
        <v/>
      </c>
      <c r="R1617" s="10">
        <f>IF(A1617="D",LEFT(UPPER(B1617)&amp;REPT(" ",20),20),REPT(" ",20))</f>
        <v/>
      </c>
      <c r="S1617" s="10">
        <f>IF(A1617="D",LEFT(UPPER(C1617)&amp;REPT(" ",10),10)," ")</f>
        <v/>
      </c>
      <c r="T1617" s="10">
        <f>IF(A1617="D",LEFT(UPPER(D1617)&amp;REPT(" ",2),2)," ")</f>
        <v/>
      </c>
      <c r="U1617" s="10">
        <f>IF(A1617="D",LEFT(UPPER(E1617)&amp;REPT(" ",15),15)," ")</f>
        <v/>
      </c>
      <c r="V1617" s="10">
        <f>REPT(" ",24)</f>
        <v/>
      </c>
      <c r="W1617" s="10">
        <f>IF(A1617="c",LEFT(UPPER(B1617)&amp;REPT(" ",20),20),REPT(" ",20))</f>
        <v/>
      </c>
      <c r="X1617" s="10">
        <f>IF(A1617="C",LEFT(UPPER(C1617)&amp;REPT(" ",10),10)," ")</f>
        <v/>
      </c>
      <c r="Y1617" s="10">
        <f>IF(A1617="C",LEFT(UPPER(D1617)&amp;REPT(" ",2),2)," ")</f>
        <v/>
      </c>
      <c r="Z1617" s="10">
        <f>IF(A1617="C",LEFT(UPPER(E1617)&amp;REPT(" ",15),15)," ")</f>
        <v/>
      </c>
      <c r="AA1617" s="10">
        <f>REPT(" ",8)</f>
        <v/>
      </c>
      <c r="AB1617" s="10">
        <f>REPT(" ",4)</f>
        <v/>
      </c>
      <c r="AC1617" s="10">
        <f>LEFT(UPPER(H1617)&amp;REPT(" ",250),250)</f>
        <v/>
      </c>
      <c r="AD1617" s="10">
        <f>TEXT($G$2,"dd/mm/aaaa")</f>
        <v/>
      </c>
      <c r="AE1617" s="10">
        <f>REPT(" ",10)</f>
        <v/>
      </c>
      <c r="AF1617" s="10">
        <f>REPT(" ",20)</f>
        <v/>
      </c>
      <c r="AG1617" s="54">
        <f>REPT(" ",18-LEN(FIXED(F1617,2,TRUE)))&amp;FIXED(F1617,2,TRUE)</f>
        <v/>
      </c>
      <c r="AH1617" s="10">
        <f>LEN(AC1617)+LEN(AG1617)</f>
        <v/>
      </c>
      <c r="AI1617" s="10">
        <f>LEN(L1617)</f>
        <v/>
      </c>
    </row>
    <row r="1618">
      <c r="J1618" s="12">
        <f>IF(F1618&lt;&gt;0,"LANÇAR","")</f>
        <v/>
      </c>
      <c r="L1618" s="13">
        <f>N1618&amp;O1618&amp;P1618&amp;Q1618&amp;R1618&amp;S1618&amp;T1618&amp;U1618&amp;V1618&amp;W1618&amp;X1618&amp;Y1618&amp;Z1618&amp;AA1618&amp;AB1618&amp;AC1618&amp;AD1618&amp;AE1618&amp;AF1618&amp;AG1618</f>
        <v/>
      </c>
      <c r="N1618" s="10">
        <f>TEXT($B$6,"00")</f>
        <v/>
      </c>
      <c r="O1618" s="10">
        <f>REPT(" ",8)</f>
        <v/>
      </c>
      <c r="P1618" s="10">
        <f>RIGHT($B$4,2)</f>
        <v/>
      </c>
      <c r="Q1618" s="10">
        <f>RIGHT($B$5,3)</f>
        <v/>
      </c>
      <c r="R1618" s="10">
        <f>IF(A1618="D",LEFT(UPPER(B1618)&amp;REPT(" ",20),20),REPT(" ",20))</f>
        <v/>
      </c>
      <c r="S1618" s="10">
        <f>IF(A1618="D",LEFT(UPPER(C1618)&amp;REPT(" ",10),10)," ")</f>
        <v/>
      </c>
      <c r="T1618" s="10">
        <f>IF(A1618="D",LEFT(UPPER(D1618)&amp;REPT(" ",2),2)," ")</f>
        <v/>
      </c>
      <c r="U1618" s="10">
        <f>IF(A1618="D",LEFT(UPPER(E1618)&amp;REPT(" ",15),15)," ")</f>
        <v/>
      </c>
      <c r="V1618" s="10">
        <f>REPT(" ",24)</f>
        <v/>
      </c>
      <c r="W1618" s="10">
        <f>IF(A1618="c",LEFT(UPPER(B1618)&amp;REPT(" ",20),20),REPT(" ",20))</f>
        <v/>
      </c>
      <c r="X1618" s="10">
        <f>IF(A1618="C",LEFT(UPPER(C1618)&amp;REPT(" ",10),10)," ")</f>
        <v/>
      </c>
      <c r="Y1618" s="10">
        <f>IF(A1618="C",LEFT(UPPER(D1618)&amp;REPT(" ",2),2)," ")</f>
        <v/>
      </c>
      <c r="Z1618" s="10">
        <f>IF(A1618="C",LEFT(UPPER(E1618)&amp;REPT(" ",15),15)," ")</f>
        <v/>
      </c>
      <c r="AA1618" s="10">
        <f>REPT(" ",8)</f>
        <v/>
      </c>
      <c r="AB1618" s="10">
        <f>REPT(" ",4)</f>
        <v/>
      </c>
      <c r="AC1618" s="10">
        <f>LEFT(UPPER(H1618)&amp;REPT(" ",250),250)</f>
        <v/>
      </c>
      <c r="AD1618" s="10">
        <f>TEXT($G$2,"dd/mm/aaaa")</f>
        <v/>
      </c>
      <c r="AE1618" s="10">
        <f>REPT(" ",10)</f>
        <v/>
      </c>
      <c r="AF1618" s="10">
        <f>REPT(" ",20)</f>
        <v/>
      </c>
      <c r="AG1618" s="54">
        <f>REPT(" ",18-LEN(FIXED(F1618,2,TRUE)))&amp;FIXED(F1618,2,TRUE)</f>
        <v/>
      </c>
      <c r="AH1618" s="10">
        <f>LEN(AC1618)+LEN(AG1618)</f>
        <v/>
      </c>
      <c r="AI1618" s="10">
        <f>LEN(L1618)</f>
        <v/>
      </c>
    </row>
    <row r="1619">
      <c r="J1619" s="12">
        <f>IF(F1619&lt;&gt;0,"LANÇAR","")</f>
        <v/>
      </c>
      <c r="L1619" s="13">
        <f>N1619&amp;O1619&amp;P1619&amp;Q1619&amp;R1619&amp;S1619&amp;T1619&amp;U1619&amp;V1619&amp;W1619&amp;X1619&amp;Y1619&amp;Z1619&amp;AA1619&amp;AB1619&amp;AC1619&amp;AD1619&amp;AE1619&amp;AF1619&amp;AG1619</f>
        <v/>
      </c>
      <c r="N1619" s="10">
        <f>TEXT($B$6,"00")</f>
        <v/>
      </c>
      <c r="O1619" s="10">
        <f>REPT(" ",8)</f>
        <v/>
      </c>
      <c r="P1619" s="10">
        <f>RIGHT($B$4,2)</f>
        <v/>
      </c>
      <c r="Q1619" s="10">
        <f>RIGHT($B$5,3)</f>
        <v/>
      </c>
      <c r="R1619" s="10">
        <f>IF(A1619="D",LEFT(UPPER(B1619)&amp;REPT(" ",20),20),REPT(" ",20))</f>
        <v/>
      </c>
      <c r="S1619" s="10">
        <f>IF(A1619="D",LEFT(UPPER(C1619)&amp;REPT(" ",10),10)," ")</f>
        <v/>
      </c>
      <c r="T1619" s="10">
        <f>IF(A1619="D",LEFT(UPPER(D1619)&amp;REPT(" ",2),2)," ")</f>
        <v/>
      </c>
      <c r="U1619" s="10">
        <f>IF(A1619="D",LEFT(UPPER(E1619)&amp;REPT(" ",15),15)," ")</f>
        <v/>
      </c>
      <c r="V1619" s="10">
        <f>REPT(" ",24)</f>
        <v/>
      </c>
      <c r="W1619" s="10">
        <f>IF(A1619="c",LEFT(UPPER(B1619)&amp;REPT(" ",20),20),REPT(" ",20))</f>
        <v/>
      </c>
      <c r="X1619" s="10">
        <f>IF(A1619="C",LEFT(UPPER(C1619)&amp;REPT(" ",10),10)," ")</f>
        <v/>
      </c>
      <c r="Y1619" s="10">
        <f>IF(A1619="C",LEFT(UPPER(D1619)&amp;REPT(" ",2),2)," ")</f>
        <v/>
      </c>
      <c r="Z1619" s="10">
        <f>IF(A1619="C",LEFT(UPPER(E1619)&amp;REPT(" ",15),15)," ")</f>
        <v/>
      </c>
      <c r="AA1619" s="10">
        <f>REPT(" ",8)</f>
        <v/>
      </c>
      <c r="AB1619" s="10">
        <f>REPT(" ",4)</f>
        <v/>
      </c>
      <c r="AC1619" s="10">
        <f>LEFT(UPPER(H1619)&amp;REPT(" ",250),250)</f>
        <v/>
      </c>
      <c r="AD1619" s="10">
        <f>TEXT($G$2,"dd/mm/aaaa")</f>
        <v/>
      </c>
      <c r="AE1619" s="10">
        <f>REPT(" ",10)</f>
        <v/>
      </c>
      <c r="AF1619" s="10">
        <f>REPT(" ",20)</f>
        <v/>
      </c>
      <c r="AG1619" s="54">
        <f>REPT(" ",18-LEN(FIXED(F1619,2,TRUE)))&amp;FIXED(F1619,2,TRUE)</f>
        <v/>
      </c>
      <c r="AH1619" s="10">
        <f>LEN(AC1619)+LEN(AG1619)</f>
        <v/>
      </c>
      <c r="AI1619" s="10">
        <f>LEN(L1619)</f>
        <v/>
      </c>
    </row>
    <row r="1620">
      <c r="J1620" s="12">
        <f>IF(F1620&lt;&gt;0,"LANÇAR","")</f>
        <v/>
      </c>
      <c r="L1620" s="13">
        <f>N1620&amp;O1620&amp;P1620&amp;Q1620&amp;R1620&amp;S1620&amp;T1620&amp;U1620&amp;V1620&amp;W1620&amp;X1620&amp;Y1620&amp;Z1620&amp;AA1620&amp;AB1620&amp;AC1620&amp;AD1620&amp;AE1620&amp;AF1620&amp;AG1620</f>
        <v/>
      </c>
      <c r="N1620" s="10">
        <f>TEXT($B$6,"00")</f>
        <v/>
      </c>
      <c r="O1620" s="10">
        <f>REPT(" ",8)</f>
        <v/>
      </c>
      <c r="P1620" s="10">
        <f>RIGHT($B$4,2)</f>
        <v/>
      </c>
      <c r="Q1620" s="10">
        <f>RIGHT($B$5,3)</f>
        <v/>
      </c>
      <c r="R1620" s="10">
        <f>IF(A1620="D",LEFT(UPPER(B1620)&amp;REPT(" ",20),20),REPT(" ",20))</f>
        <v/>
      </c>
      <c r="S1620" s="10">
        <f>IF(A1620="D",LEFT(UPPER(C1620)&amp;REPT(" ",10),10)," ")</f>
        <v/>
      </c>
      <c r="T1620" s="10">
        <f>IF(A1620="D",LEFT(UPPER(D1620)&amp;REPT(" ",2),2)," ")</f>
        <v/>
      </c>
      <c r="U1620" s="10">
        <f>IF(A1620="D",LEFT(UPPER(E1620)&amp;REPT(" ",15),15)," ")</f>
        <v/>
      </c>
      <c r="V1620" s="10">
        <f>REPT(" ",24)</f>
        <v/>
      </c>
      <c r="W1620" s="10">
        <f>IF(A1620="c",LEFT(UPPER(B1620)&amp;REPT(" ",20),20),REPT(" ",20))</f>
        <v/>
      </c>
      <c r="X1620" s="10">
        <f>IF(A1620="C",LEFT(UPPER(C1620)&amp;REPT(" ",10),10)," ")</f>
        <v/>
      </c>
      <c r="Y1620" s="10">
        <f>IF(A1620="C",LEFT(UPPER(D1620)&amp;REPT(" ",2),2)," ")</f>
        <v/>
      </c>
      <c r="Z1620" s="10">
        <f>IF(A1620="C",LEFT(UPPER(E1620)&amp;REPT(" ",15),15)," ")</f>
        <v/>
      </c>
      <c r="AA1620" s="10">
        <f>REPT(" ",8)</f>
        <v/>
      </c>
      <c r="AB1620" s="10">
        <f>REPT(" ",4)</f>
        <v/>
      </c>
      <c r="AC1620" s="10">
        <f>LEFT(UPPER(H1620)&amp;REPT(" ",250),250)</f>
        <v/>
      </c>
      <c r="AD1620" s="10">
        <f>TEXT($G$2,"dd/mm/aaaa")</f>
        <v/>
      </c>
      <c r="AE1620" s="10">
        <f>REPT(" ",10)</f>
        <v/>
      </c>
      <c r="AF1620" s="10">
        <f>REPT(" ",20)</f>
        <v/>
      </c>
      <c r="AG1620" s="54">
        <f>REPT(" ",18-LEN(FIXED(F1620,2,TRUE)))&amp;FIXED(F1620,2,TRUE)</f>
        <v/>
      </c>
      <c r="AH1620" s="10">
        <f>LEN(AC1620)+LEN(AG1620)</f>
        <v/>
      </c>
      <c r="AI1620" s="10">
        <f>LEN(L1620)</f>
        <v/>
      </c>
    </row>
    <row r="1621">
      <c r="J1621" s="12">
        <f>IF(F1621&lt;&gt;0,"LANÇAR","")</f>
        <v/>
      </c>
      <c r="L1621" s="13">
        <f>N1621&amp;O1621&amp;P1621&amp;Q1621&amp;R1621&amp;S1621&amp;T1621&amp;U1621&amp;V1621&amp;W1621&amp;X1621&amp;Y1621&amp;Z1621&amp;AA1621&amp;AB1621&amp;AC1621&amp;AD1621&amp;AE1621&amp;AF1621&amp;AG1621</f>
        <v/>
      </c>
      <c r="N1621" s="10">
        <f>TEXT($B$6,"00")</f>
        <v/>
      </c>
      <c r="O1621" s="10">
        <f>REPT(" ",8)</f>
        <v/>
      </c>
      <c r="P1621" s="10">
        <f>RIGHT($B$4,2)</f>
        <v/>
      </c>
      <c r="Q1621" s="10">
        <f>RIGHT($B$5,3)</f>
        <v/>
      </c>
      <c r="R1621" s="10">
        <f>IF(A1621="D",LEFT(UPPER(B1621)&amp;REPT(" ",20),20),REPT(" ",20))</f>
        <v/>
      </c>
      <c r="S1621" s="10">
        <f>IF(A1621="D",LEFT(UPPER(C1621)&amp;REPT(" ",10),10)," ")</f>
        <v/>
      </c>
      <c r="T1621" s="10">
        <f>IF(A1621="D",LEFT(UPPER(D1621)&amp;REPT(" ",2),2)," ")</f>
        <v/>
      </c>
      <c r="U1621" s="10">
        <f>IF(A1621="D",LEFT(UPPER(E1621)&amp;REPT(" ",15),15)," ")</f>
        <v/>
      </c>
      <c r="V1621" s="10">
        <f>REPT(" ",24)</f>
        <v/>
      </c>
      <c r="W1621" s="10">
        <f>IF(A1621="c",LEFT(UPPER(B1621)&amp;REPT(" ",20),20),REPT(" ",20))</f>
        <v/>
      </c>
      <c r="X1621" s="10">
        <f>IF(A1621="C",LEFT(UPPER(C1621)&amp;REPT(" ",10),10)," ")</f>
        <v/>
      </c>
      <c r="Y1621" s="10">
        <f>IF(A1621="C",LEFT(UPPER(D1621)&amp;REPT(" ",2),2)," ")</f>
        <v/>
      </c>
      <c r="Z1621" s="10">
        <f>IF(A1621="C",LEFT(UPPER(E1621)&amp;REPT(" ",15),15)," ")</f>
        <v/>
      </c>
      <c r="AA1621" s="10">
        <f>REPT(" ",8)</f>
        <v/>
      </c>
      <c r="AB1621" s="10">
        <f>REPT(" ",4)</f>
        <v/>
      </c>
      <c r="AC1621" s="10">
        <f>LEFT(UPPER(H1621)&amp;REPT(" ",250),250)</f>
        <v/>
      </c>
      <c r="AD1621" s="10">
        <f>TEXT($G$2,"dd/mm/aaaa")</f>
        <v/>
      </c>
      <c r="AE1621" s="10">
        <f>REPT(" ",10)</f>
        <v/>
      </c>
      <c r="AF1621" s="10">
        <f>REPT(" ",20)</f>
        <v/>
      </c>
      <c r="AG1621" s="54">
        <f>REPT(" ",18-LEN(FIXED(F1621,2,TRUE)))&amp;FIXED(F1621,2,TRUE)</f>
        <v/>
      </c>
      <c r="AH1621" s="10">
        <f>LEN(AC1621)+LEN(AG1621)</f>
        <v/>
      </c>
      <c r="AI1621" s="10">
        <f>LEN(L1621)</f>
        <v/>
      </c>
    </row>
    <row r="1622">
      <c r="J1622" s="12">
        <f>IF(F1622&lt;&gt;0,"LANÇAR","")</f>
        <v/>
      </c>
      <c r="L1622" s="13">
        <f>N1622&amp;O1622&amp;P1622&amp;Q1622&amp;R1622&amp;S1622&amp;T1622&amp;U1622&amp;V1622&amp;W1622&amp;X1622&amp;Y1622&amp;Z1622&amp;AA1622&amp;AB1622&amp;AC1622&amp;AD1622&amp;AE1622&amp;AF1622&amp;AG1622</f>
        <v/>
      </c>
      <c r="N1622" s="10">
        <f>TEXT($B$6,"00")</f>
        <v/>
      </c>
      <c r="O1622" s="10">
        <f>REPT(" ",8)</f>
        <v/>
      </c>
      <c r="P1622" s="10">
        <f>RIGHT($B$4,2)</f>
        <v/>
      </c>
      <c r="Q1622" s="10">
        <f>RIGHT($B$5,3)</f>
        <v/>
      </c>
      <c r="R1622" s="10">
        <f>IF(A1622="D",LEFT(UPPER(B1622)&amp;REPT(" ",20),20),REPT(" ",20))</f>
        <v/>
      </c>
      <c r="S1622" s="10">
        <f>IF(A1622="D",LEFT(UPPER(C1622)&amp;REPT(" ",10),10)," ")</f>
        <v/>
      </c>
      <c r="T1622" s="10">
        <f>IF(A1622="D",LEFT(UPPER(D1622)&amp;REPT(" ",2),2)," ")</f>
        <v/>
      </c>
      <c r="U1622" s="10">
        <f>IF(A1622="D",LEFT(UPPER(E1622)&amp;REPT(" ",15),15)," ")</f>
        <v/>
      </c>
      <c r="V1622" s="10">
        <f>REPT(" ",24)</f>
        <v/>
      </c>
      <c r="W1622" s="10">
        <f>IF(A1622="c",LEFT(UPPER(B1622)&amp;REPT(" ",20),20),REPT(" ",20))</f>
        <v/>
      </c>
      <c r="X1622" s="10">
        <f>IF(A1622="C",LEFT(UPPER(C1622)&amp;REPT(" ",10),10)," ")</f>
        <v/>
      </c>
      <c r="Y1622" s="10">
        <f>IF(A1622="C",LEFT(UPPER(D1622)&amp;REPT(" ",2),2)," ")</f>
        <v/>
      </c>
      <c r="Z1622" s="10">
        <f>IF(A1622="C",LEFT(UPPER(E1622)&amp;REPT(" ",15),15)," ")</f>
        <v/>
      </c>
      <c r="AA1622" s="10">
        <f>REPT(" ",8)</f>
        <v/>
      </c>
      <c r="AB1622" s="10">
        <f>REPT(" ",4)</f>
        <v/>
      </c>
      <c r="AC1622" s="10">
        <f>LEFT(UPPER(H1622)&amp;REPT(" ",250),250)</f>
        <v/>
      </c>
      <c r="AD1622" s="10">
        <f>TEXT($G$2,"dd/mm/aaaa")</f>
        <v/>
      </c>
      <c r="AE1622" s="10">
        <f>REPT(" ",10)</f>
        <v/>
      </c>
      <c r="AF1622" s="10">
        <f>REPT(" ",20)</f>
        <v/>
      </c>
      <c r="AG1622" s="54">
        <f>REPT(" ",18-LEN(FIXED(F1622,2,TRUE)))&amp;FIXED(F1622,2,TRUE)</f>
        <v/>
      </c>
      <c r="AH1622" s="10">
        <f>LEN(AC1622)+LEN(AG1622)</f>
        <v/>
      </c>
      <c r="AI1622" s="10">
        <f>LEN(L1622)</f>
        <v/>
      </c>
    </row>
    <row r="1623">
      <c r="J1623" s="12">
        <f>IF(F1623&lt;&gt;0,"LANÇAR","")</f>
        <v/>
      </c>
      <c r="L1623" s="13">
        <f>N1623&amp;O1623&amp;P1623&amp;Q1623&amp;R1623&amp;S1623&amp;T1623&amp;U1623&amp;V1623&amp;W1623&amp;X1623&amp;Y1623&amp;Z1623&amp;AA1623&amp;AB1623&amp;AC1623&amp;AD1623&amp;AE1623&amp;AF1623&amp;AG1623</f>
        <v/>
      </c>
      <c r="N1623" s="10">
        <f>TEXT($B$6,"00")</f>
        <v/>
      </c>
      <c r="O1623" s="10">
        <f>REPT(" ",8)</f>
        <v/>
      </c>
      <c r="P1623" s="10">
        <f>RIGHT($B$4,2)</f>
        <v/>
      </c>
      <c r="Q1623" s="10">
        <f>RIGHT($B$5,3)</f>
        <v/>
      </c>
      <c r="R1623" s="10">
        <f>IF(A1623="D",LEFT(UPPER(B1623)&amp;REPT(" ",20),20),REPT(" ",20))</f>
        <v/>
      </c>
      <c r="S1623" s="10">
        <f>IF(A1623="D",LEFT(UPPER(C1623)&amp;REPT(" ",10),10)," ")</f>
        <v/>
      </c>
      <c r="T1623" s="10">
        <f>IF(A1623="D",LEFT(UPPER(D1623)&amp;REPT(" ",2),2)," ")</f>
        <v/>
      </c>
      <c r="U1623" s="10">
        <f>IF(A1623="D",LEFT(UPPER(E1623)&amp;REPT(" ",15),15)," ")</f>
        <v/>
      </c>
      <c r="V1623" s="10">
        <f>REPT(" ",24)</f>
        <v/>
      </c>
      <c r="W1623" s="10">
        <f>IF(A1623="c",LEFT(UPPER(B1623)&amp;REPT(" ",20),20),REPT(" ",20))</f>
        <v/>
      </c>
      <c r="X1623" s="10">
        <f>IF(A1623="C",LEFT(UPPER(C1623)&amp;REPT(" ",10),10)," ")</f>
        <v/>
      </c>
      <c r="Y1623" s="10">
        <f>IF(A1623="C",LEFT(UPPER(D1623)&amp;REPT(" ",2),2)," ")</f>
        <v/>
      </c>
      <c r="Z1623" s="10">
        <f>IF(A1623="C",LEFT(UPPER(E1623)&amp;REPT(" ",15),15)," ")</f>
        <v/>
      </c>
      <c r="AA1623" s="10">
        <f>REPT(" ",8)</f>
        <v/>
      </c>
      <c r="AB1623" s="10">
        <f>REPT(" ",4)</f>
        <v/>
      </c>
      <c r="AC1623" s="10">
        <f>LEFT(UPPER(H1623)&amp;REPT(" ",250),250)</f>
        <v/>
      </c>
      <c r="AD1623" s="10">
        <f>TEXT($G$2,"dd/mm/aaaa")</f>
        <v/>
      </c>
      <c r="AE1623" s="10">
        <f>REPT(" ",10)</f>
        <v/>
      </c>
      <c r="AF1623" s="10">
        <f>REPT(" ",20)</f>
        <v/>
      </c>
      <c r="AG1623" s="54">
        <f>REPT(" ",18-LEN(FIXED(F1623,2,TRUE)))&amp;FIXED(F1623,2,TRUE)</f>
        <v/>
      </c>
      <c r="AH1623" s="10">
        <f>LEN(AC1623)+LEN(AG1623)</f>
        <v/>
      </c>
      <c r="AI1623" s="10">
        <f>LEN(L1623)</f>
        <v/>
      </c>
    </row>
    <row r="1624">
      <c r="J1624" s="12">
        <f>IF(F1624&lt;&gt;0,"LANÇAR","")</f>
        <v/>
      </c>
      <c r="L1624" s="13">
        <f>N1624&amp;O1624&amp;P1624&amp;Q1624&amp;R1624&amp;S1624&amp;T1624&amp;U1624&amp;V1624&amp;W1624&amp;X1624&amp;Y1624&amp;Z1624&amp;AA1624&amp;AB1624&amp;AC1624&amp;AD1624&amp;AE1624&amp;AF1624&amp;AG1624</f>
        <v/>
      </c>
      <c r="N1624" s="10">
        <f>TEXT($B$6,"00")</f>
        <v/>
      </c>
      <c r="O1624" s="10">
        <f>REPT(" ",8)</f>
        <v/>
      </c>
      <c r="P1624" s="10">
        <f>RIGHT($B$4,2)</f>
        <v/>
      </c>
      <c r="Q1624" s="10">
        <f>RIGHT($B$5,3)</f>
        <v/>
      </c>
      <c r="R1624" s="10">
        <f>IF(A1624="D",LEFT(UPPER(B1624)&amp;REPT(" ",20),20),REPT(" ",20))</f>
        <v/>
      </c>
      <c r="S1624" s="10">
        <f>IF(A1624="D",LEFT(UPPER(C1624)&amp;REPT(" ",10),10)," ")</f>
        <v/>
      </c>
      <c r="T1624" s="10">
        <f>IF(A1624="D",LEFT(UPPER(D1624)&amp;REPT(" ",2),2)," ")</f>
        <v/>
      </c>
      <c r="U1624" s="10">
        <f>IF(A1624="D",LEFT(UPPER(E1624)&amp;REPT(" ",15),15)," ")</f>
        <v/>
      </c>
      <c r="V1624" s="10">
        <f>REPT(" ",24)</f>
        <v/>
      </c>
      <c r="W1624" s="10">
        <f>IF(A1624="c",LEFT(UPPER(B1624)&amp;REPT(" ",20),20),REPT(" ",20))</f>
        <v/>
      </c>
      <c r="X1624" s="10">
        <f>IF(A1624="C",LEFT(UPPER(C1624)&amp;REPT(" ",10),10)," ")</f>
        <v/>
      </c>
      <c r="Y1624" s="10">
        <f>IF(A1624="C",LEFT(UPPER(D1624)&amp;REPT(" ",2),2)," ")</f>
        <v/>
      </c>
      <c r="Z1624" s="10">
        <f>IF(A1624="C",LEFT(UPPER(E1624)&amp;REPT(" ",15),15)," ")</f>
        <v/>
      </c>
      <c r="AA1624" s="10">
        <f>REPT(" ",8)</f>
        <v/>
      </c>
      <c r="AB1624" s="10">
        <f>REPT(" ",4)</f>
        <v/>
      </c>
      <c r="AC1624" s="10">
        <f>LEFT(UPPER(H1624)&amp;REPT(" ",250),250)</f>
        <v/>
      </c>
      <c r="AD1624" s="10">
        <f>TEXT($G$2,"dd/mm/aaaa")</f>
        <v/>
      </c>
      <c r="AE1624" s="10">
        <f>REPT(" ",10)</f>
        <v/>
      </c>
      <c r="AF1624" s="10">
        <f>REPT(" ",20)</f>
        <v/>
      </c>
      <c r="AG1624" s="54">
        <f>REPT(" ",18-LEN(FIXED(F1624,2,TRUE)))&amp;FIXED(F1624,2,TRUE)</f>
        <v/>
      </c>
      <c r="AH1624" s="10">
        <f>LEN(AC1624)+LEN(AG1624)</f>
        <v/>
      </c>
      <c r="AI1624" s="10">
        <f>LEN(L1624)</f>
        <v/>
      </c>
    </row>
    <row r="1625">
      <c r="J1625" s="12">
        <f>IF(F1625&lt;&gt;0,"LANÇAR","")</f>
        <v/>
      </c>
      <c r="L1625" s="13">
        <f>N1625&amp;O1625&amp;P1625&amp;Q1625&amp;R1625&amp;S1625&amp;T1625&amp;U1625&amp;V1625&amp;W1625&amp;X1625&amp;Y1625&amp;Z1625&amp;AA1625&amp;AB1625&amp;AC1625&amp;AD1625&amp;AE1625&amp;AF1625&amp;AG1625</f>
        <v/>
      </c>
      <c r="N1625" s="10">
        <f>TEXT($B$6,"00")</f>
        <v/>
      </c>
      <c r="O1625" s="10">
        <f>REPT(" ",8)</f>
        <v/>
      </c>
      <c r="P1625" s="10">
        <f>RIGHT($B$4,2)</f>
        <v/>
      </c>
      <c r="Q1625" s="10">
        <f>RIGHT($B$5,3)</f>
        <v/>
      </c>
      <c r="R1625" s="10">
        <f>IF(A1625="D",LEFT(UPPER(B1625)&amp;REPT(" ",20),20),REPT(" ",20))</f>
        <v/>
      </c>
      <c r="S1625" s="10">
        <f>IF(A1625="D",LEFT(UPPER(C1625)&amp;REPT(" ",10),10)," ")</f>
        <v/>
      </c>
      <c r="T1625" s="10">
        <f>IF(A1625="D",LEFT(UPPER(D1625)&amp;REPT(" ",2),2)," ")</f>
        <v/>
      </c>
      <c r="U1625" s="10">
        <f>IF(A1625="D",LEFT(UPPER(E1625)&amp;REPT(" ",15),15)," ")</f>
        <v/>
      </c>
      <c r="V1625" s="10">
        <f>REPT(" ",24)</f>
        <v/>
      </c>
      <c r="W1625" s="10">
        <f>IF(A1625="c",LEFT(UPPER(B1625)&amp;REPT(" ",20),20),REPT(" ",20))</f>
        <v/>
      </c>
      <c r="X1625" s="10">
        <f>IF(A1625="C",LEFT(UPPER(C1625)&amp;REPT(" ",10),10)," ")</f>
        <v/>
      </c>
      <c r="Y1625" s="10">
        <f>IF(A1625="C",LEFT(UPPER(D1625)&amp;REPT(" ",2),2)," ")</f>
        <v/>
      </c>
      <c r="Z1625" s="10">
        <f>IF(A1625="C",LEFT(UPPER(E1625)&amp;REPT(" ",15),15)," ")</f>
        <v/>
      </c>
      <c r="AA1625" s="10">
        <f>REPT(" ",8)</f>
        <v/>
      </c>
      <c r="AB1625" s="10">
        <f>REPT(" ",4)</f>
        <v/>
      </c>
      <c r="AC1625" s="10">
        <f>LEFT(UPPER(H1625)&amp;REPT(" ",250),250)</f>
        <v/>
      </c>
      <c r="AD1625" s="10">
        <f>TEXT($G$2,"dd/mm/aaaa")</f>
        <v/>
      </c>
      <c r="AE1625" s="10">
        <f>REPT(" ",10)</f>
        <v/>
      </c>
      <c r="AF1625" s="10">
        <f>REPT(" ",20)</f>
        <v/>
      </c>
      <c r="AG1625" s="54">
        <f>REPT(" ",18-LEN(FIXED(F1625,2,TRUE)))&amp;FIXED(F1625,2,TRUE)</f>
        <v/>
      </c>
      <c r="AH1625" s="10">
        <f>LEN(AC1625)+LEN(AG1625)</f>
        <v/>
      </c>
      <c r="AI1625" s="10">
        <f>LEN(L1625)</f>
        <v/>
      </c>
    </row>
    <row r="1626">
      <c r="J1626" s="12">
        <f>IF(F1626&lt;&gt;0,"LANÇAR","")</f>
        <v/>
      </c>
      <c r="L1626" s="13">
        <f>N1626&amp;O1626&amp;P1626&amp;Q1626&amp;R1626&amp;S1626&amp;T1626&amp;U1626&amp;V1626&amp;W1626&amp;X1626&amp;Y1626&amp;Z1626&amp;AA1626&amp;AB1626&amp;AC1626&amp;AD1626&amp;AE1626&amp;AF1626&amp;AG1626</f>
        <v/>
      </c>
      <c r="N1626" s="10">
        <f>TEXT($B$6,"00")</f>
        <v/>
      </c>
      <c r="O1626" s="10">
        <f>REPT(" ",8)</f>
        <v/>
      </c>
      <c r="P1626" s="10">
        <f>RIGHT($B$4,2)</f>
        <v/>
      </c>
      <c r="Q1626" s="10">
        <f>RIGHT($B$5,3)</f>
        <v/>
      </c>
      <c r="R1626" s="10">
        <f>IF(A1626="D",LEFT(UPPER(B1626)&amp;REPT(" ",20),20),REPT(" ",20))</f>
        <v/>
      </c>
      <c r="S1626" s="10">
        <f>IF(A1626="D",LEFT(UPPER(C1626)&amp;REPT(" ",10),10)," ")</f>
        <v/>
      </c>
      <c r="T1626" s="10">
        <f>IF(A1626="D",LEFT(UPPER(D1626)&amp;REPT(" ",2),2)," ")</f>
        <v/>
      </c>
      <c r="U1626" s="10">
        <f>IF(A1626="D",LEFT(UPPER(E1626)&amp;REPT(" ",15),15)," ")</f>
        <v/>
      </c>
      <c r="V1626" s="10">
        <f>REPT(" ",24)</f>
        <v/>
      </c>
      <c r="W1626" s="10">
        <f>IF(A1626="c",LEFT(UPPER(B1626)&amp;REPT(" ",20),20),REPT(" ",20))</f>
        <v/>
      </c>
      <c r="X1626" s="10">
        <f>IF(A1626="C",LEFT(UPPER(C1626)&amp;REPT(" ",10),10)," ")</f>
        <v/>
      </c>
      <c r="Y1626" s="10">
        <f>IF(A1626="C",LEFT(UPPER(D1626)&amp;REPT(" ",2),2)," ")</f>
        <v/>
      </c>
      <c r="Z1626" s="10">
        <f>IF(A1626="C",LEFT(UPPER(E1626)&amp;REPT(" ",15),15)," ")</f>
        <v/>
      </c>
      <c r="AA1626" s="10">
        <f>REPT(" ",8)</f>
        <v/>
      </c>
      <c r="AB1626" s="10">
        <f>REPT(" ",4)</f>
        <v/>
      </c>
      <c r="AC1626" s="10">
        <f>LEFT(UPPER(H1626)&amp;REPT(" ",250),250)</f>
        <v/>
      </c>
      <c r="AD1626" s="10">
        <f>TEXT($G$2,"dd/mm/aaaa")</f>
        <v/>
      </c>
      <c r="AE1626" s="10">
        <f>REPT(" ",10)</f>
        <v/>
      </c>
      <c r="AF1626" s="10">
        <f>REPT(" ",20)</f>
        <v/>
      </c>
      <c r="AG1626" s="54">
        <f>REPT(" ",18-LEN(FIXED(F1626,2,TRUE)))&amp;FIXED(F1626,2,TRUE)</f>
        <v/>
      </c>
      <c r="AH1626" s="10">
        <f>LEN(AC1626)+LEN(AG1626)</f>
        <v/>
      </c>
      <c r="AI1626" s="10">
        <f>LEN(L1626)</f>
        <v/>
      </c>
    </row>
    <row r="1627">
      <c r="J1627" s="12">
        <f>IF(F1627&lt;&gt;0,"LANÇAR","")</f>
        <v/>
      </c>
      <c r="L1627" s="13">
        <f>N1627&amp;O1627&amp;P1627&amp;Q1627&amp;R1627&amp;S1627&amp;T1627&amp;U1627&amp;V1627&amp;W1627&amp;X1627&amp;Y1627&amp;Z1627&amp;AA1627&amp;AB1627&amp;AC1627&amp;AD1627&amp;AE1627&amp;AF1627&amp;AG1627</f>
        <v/>
      </c>
      <c r="N1627" s="10">
        <f>TEXT($B$6,"00")</f>
        <v/>
      </c>
      <c r="O1627" s="10">
        <f>REPT(" ",8)</f>
        <v/>
      </c>
      <c r="P1627" s="10">
        <f>RIGHT($B$4,2)</f>
        <v/>
      </c>
      <c r="Q1627" s="10">
        <f>RIGHT($B$5,3)</f>
        <v/>
      </c>
      <c r="R1627" s="10">
        <f>IF(A1627="D",LEFT(UPPER(B1627)&amp;REPT(" ",20),20),REPT(" ",20))</f>
        <v/>
      </c>
      <c r="S1627" s="10">
        <f>IF(A1627="D",LEFT(UPPER(C1627)&amp;REPT(" ",10),10)," ")</f>
        <v/>
      </c>
      <c r="T1627" s="10">
        <f>IF(A1627="D",LEFT(UPPER(D1627)&amp;REPT(" ",2),2)," ")</f>
        <v/>
      </c>
      <c r="U1627" s="10">
        <f>IF(A1627="D",LEFT(UPPER(E1627)&amp;REPT(" ",15),15)," ")</f>
        <v/>
      </c>
      <c r="V1627" s="10">
        <f>REPT(" ",24)</f>
        <v/>
      </c>
      <c r="W1627" s="10">
        <f>IF(A1627="c",LEFT(UPPER(B1627)&amp;REPT(" ",20),20),REPT(" ",20))</f>
        <v/>
      </c>
      <c r="X1627" s="10">
        <f>IF(A1627="C",LEFT(UPPER(C1627)&amp;REPT(" ",10),10)," ")</f>
        <v/>
      </c>
      <c r="Y1627" s="10">
        <f>IF(A1627="C",LEFT(UPPER(D1627)&amp;REPT(" ",2),2)," ")</f>
        <v/>
      </c>
      <c r="Z1627" s="10">
        <f>IF(A1627="C",LEFT(UPPER(E1627)&amp;REPT(" ",15),15)," ")</f>
        <v/>
      </c>
      <c r="AA1627" s="10">
        <f>REPT(" ",8)</f>
        <v/>
      </c>
      <c r="AB1627" s="10">
        <f>REPT(" ",4)</f>
        <v/>
      </c>
      <c r="AC1627" s="10">
        <f>LEFT(UPPER(H1627)&amp;REPT(" ",250),250)</f>
        <v/>
      </c>
      <c r="AD1627" s="10">
        <f>TEXT($G$2,"dd/mm/aaaa")</f>
        <v/>
      </c>
      <c r="AE1627" s="10">
        <f>REPT(" ",10)</f>
        <v/>
      </c>
      <c r="AF1627" s="10">
        <f>REPT(" ",20)</f>
        <v/>
      </c>
      <c r="AG1627" s="54">
        <f>REPT(" ",18-LEN(FIXED(F1627,2,TRUE)))&amp;FIXED(F1627,2,TRUE)</f>
        <v/>
      </c>
      <c r="AH1627" s="10">
        <f>LEN(AC1627)+LEN(AG1627)</f>
        <v/>
      </c>
      <c r="AI1627" s="10">
        <f>LEN(L1627)</f>
        <v/>
      </c>
    </row>
    <row r="1628">
      <c r="J1628" s="12">
        <f>IF(F1628&lt;&gt;0,"LANÇAR","")</f>
        <v/>
      </c>
      <c r="L1628" s="13">
        <f>N1628&amp;O1628&amp;P1628&amp;Q1628&amp;R1628&amp;S1628&amp;T1628&amp;U1628&amp;V1628&amp;W1628&amp;X1628&amp;Y1628&amp;Z1628&amp;AA1628&amp;AB1628&amp;AC1628&amp;AD1628&amp;AE1628&amp;AF1628&amp;AG1628</f>
        <v/>
      </c>
      <c r="N1628" s="10">
        <f>TEXT($B$6,"00")</f>
        <v/>
      </c>
      <c r="O1628" s="10">
        <f>REPT(" ",8)</f>
        <v/>
      </c>
      <c r="P1628" s="10">
        <f>RIGHT($B$4,2)</f>
        <v/>
      </c>
      <c r="Q1628" s="10">
        <f>RIGHT($B$5,3)</f>
        <v/>
      </c>
      <c r="R1628" s="10">
        <f>IF(A1628="D",LEFT(UPPER(B1628)&amp;REPT(" ",20),20),REPT(" ",20))</f>
        <v/>
      </c>
      <c r="S1628" s="10">
        <f>IF(A1628="D",LEFT(UPPER(C1628)&amp;REPT(" ",10),10)," ")</f>
        <v/>
      </c>
      <c r="T1628" s="10">
        <f>IF(A1628="D",LEFT(UPPER(D1628)&amp;REPT(" ",2),2)," ")</f>
        <v/>
      </c>
      <c r="U1628" s="10">
        <f>IF(A1628="D",LEFT(UPPER(E1628)&amp;REPT(" ",15),15)," ")</f>
        <v/>
      </c>
      <c r="V1628" s="10">
        <f>REPT(" ",24)</f>
        <v/>
      </c>
      <c r="W1628" s="10">
        <f>IF(A1628="c",LEFT(UPPER(B1628)&amp;REPT(" ",20),20),REPT(" ",20))</f>
        <v/>
      </c>
      <c r="X1628" s="10">
        <f>IF(A1628="C",LEFT(UPPER(C1628)&amp;REPT(" ",10),10)," ")</f>
        <v/>
      </c>
      <c r="Y1628" s="10">
        <f>IF(A1628="C",LEFT(UPPER(D1628)&amp;REPT(" ",2),2)," ")</f>
        <v/>
      </c>
      <c r="Z1628" s="10">
        <f>IF(A1628="C",LEFT(UPPER(E1628)&amp;REPT(" ",15),15)," ")</f>
        <v/>
      </c>
      <c r="AA1628" s="10">
        <f>REPT(" ",8)</f>
        <v/>
      </c>
      <c r="AB1628" s="10">
        <f>REPT(" ",4)</f>
        <v/>
      </c>
      <c r="AC1628" s="10">
        <f>LEFT(UPPER(H1628)&amp;REPT(" ",250),250)</f>
        <v/>
      </c>
      <c r="AD1628" s="10">
        <f>TEXT($G$2,"dd/mm/aaaa")</f>
        <v/>
      </c>
      <c r="AE1628" s="10">
        <f>REPT(" ",10)</f>
        <v/>
      </c>
      <c r="AF1628" s="10">
        <f>REPT(" ",20)</f>
        <v/>
      </c>
      <c r="AG1628" s="54">
        <f>REPT(" ",18-LEN(FIXED(F1628,2,TRUE)))&amp;FIXED(F1628,2,TRUE)</f>
        <v/>
      </c>
      <c r="AH1628" s="10">
        <f>LEN(AC1628)+LEN(AG1628)</f>
        <v/>
      </c>
      <c r="AI1628" s="10">
        <f>LEN(L1628)</f>
        <v/>
      </c>
    </row>
    <row r="1629">
      <c r="J1629" s="12">
        <f>IF(F1629&lt;&gt;0,"LANÇAR","")</f>
        <v/>
      </c>
      <c r="L1629" s="13">
        <f>N1629&amp;O1629&amp;P1629&amp;Q1629&amp;R1629&amp;S1629&amp;T1629&amp;U1629&amp;V1629&amp;W1629&amp;X1629&amp;Y1629&amp;Z1629&amp;AA1629&amp;AB1629&amp;AC1629&amp;AD1629&amp;AE1629&amp;AF1629&amp;AG1629</f>
        <v/>
      </c>
      <c r="N1629" s="10">
        <f>TEXT($B$6,"00")</f>
        <v/>
      </c>
      <c r="O1629" s="10">
        <f>REPT(" ",8)</f>
        <v/>
      </c>
      <c r="P1629" s="10">
        <f>RIGHT($B$4,2)</f>
        <v/>
      </c>
      <c r="Q1629" s="10">
        <f>RIGHT($B$5,3)</f>
        <v/>
      </c>
      <c r="R1629" s="10">
        <f>IF(A1629="D",LEFT(UPPER(B1629)&amp;REPT(" ",20),20),REPT(" ",20))</f>
        <v/>
      </c>
      <c r="S1629" s="10">
        <f>IF(A1629="D",LEFT(UPPER(C1629)&amp;REPT(" ",10),10)," ")</f>
        <v/>
      </c>
      <c r="T1629" s="10">
        <f>IF(A1629="D",LEFT(UPPER(D1629)&amp;REPT(" ",2),2)," ")</f>
        <v/>
      </c>
      <c r="U1629" s="10">
        <f>IF(A1629="D",LEFT(UPPER(E1629)&amp;REPT(" ",15),15)," ")</f>
        <v/>
      </c>
      <c r="V1629" s="10">
        <f>REPT(" ",24)</f>
        <v/>
      </c>
      <c r="W1629" s="10">
        <f>IF(A1629="c",LEFT(UPPER(B1629)&amp;REPT(" ",20),20),REPT(" ",20))</f>
        <v/>
      </c>
      <c r="X1629" s="10">
        <f>IF(A1629="C",LEFT(UPPER(C1629)&amp;REPT(" ",10),10)," ")</f>
        <v/>
      </c>
      <c r="Y1629" s="10">
        <f>IF(A1629="C",LEFT(UPPER(D1629)&amp;REPT(" ",2),2)," ")</f>
        <v/>
      </c>
      <c r="Z1629" s="10">
        <f>IF(A1629="C",LEFT(UPPER(E1629)&amp;REPT(" ",15),15)," ")</f>
        <v/>
      </c>
      <c r="AA1629" s="10">
        <f>REPT(" ",8)</f>
        <v/>
      </c>
      <c r="AB1629" s="10">
        <f>REPT(" ",4)</f>
        <v/>
      </c>
      <c r="AC1629" s="10">
        <f>LEFT(UPPER(H1629)&amp;REPT(" ",250),250)</f>
        <v/>
      </c>
      <c r="AD1629" s="10">
        <f>TEXT($G$2,"dd/mm/aaaa")</f>
        <v/>
      </c>
      <c r="AE1629" s="10">
        <f>REPT(" ",10)</f>
        <v/>
      </c>
      <c r="AF1629" s="10">
        <f>REPT(" ",20)</f>
        <v/>
      </c>
      <c r="AG1629" s="54">
        <f>REPT(" ",18-LEN(FIXED(F1629,2,TRUE)))&amp;FIXED(F1629,2,TRUE)</f>
        <v/>
      </c>
      <c r="AH1629" s="10">
        <f>LEN(AC1629)+LEN(AG1629)</f>
        <v/>
      </c>
      <c r="AI1629" s="10">
        <f>LEN(L1629)</f>
        <v/>
      </c>
    </row>
    <row r="1630">
      <c r="J1630" s="12">
        <f>IF(F1630&lt;&gt;0,"LANÇAR","")</f>
        <v/>
      </c>
      <c r="L1630" s="13">
        <f>N1630&amp;O1630&amp;P1630&amp;Q1630&amp;R1630&amp;S1630&amp;T1630&amp;U1630&amp;V1630&amp;W1630&amp;X1630&amp;Y1630&amp;Z1630&amp;AA1630&amp;AB1630&amp;AC1630&amp;AD1630&amp;AE1630&amp;AF1630&amp;AG1630</f>
        <v/>
      </c>
      <c r="N1630" s="10">
        <f>TEXT($B$6,"00")</f>
        <v/>
      </c>
      <c r="O1630" s="10">
        <f>REPT(" ",8)</f>
        <v/>
      </c>
      <c r="P1630" s="10">
        <f>RIGHT($B$4,2)</f>
        <v/>
      </c>
      <c r="Q1630" s="10">
        <f>RIGHT($B$5,3)</f>
        <v/>
      </c>
      <c r="R1630" s="10">
        <f>IF(A1630="D",LEFT(UPPER(B1630)&amp;REPT(" ",20),20),REPT(" ",20))</f>
        <v/>
      </c>
      <c r="S1630" s="10">
        <f>IF(A1630="D",LEFT(UPPER(C1630)&amp;REPT(" ",10),10)," ")</f>
        <v/>
      </c>
      <c r="T1630" s="10">
        <f>IF(A1630="D",LEFT(UPPER(D1630)&amp;REPT(" ",2),2)," ")</f>
        <v/>
      </c>
      <c r="U1630" s="10">
        <f>IF(A1630="D",LEFT(UPPER(E1630)&amp;REPT(" ",15),15)," ")</f>
        <v/>
      </c>
      <c r="V1630" s="10">
        <f>REPT(" ",24)</f>
        <v/>
      </c>
      <c r="W1630" s="10">
        <f>IF(A1630="c",LEFT(UPPER(B1630)&amp;REPT(" ",20),20),REPT(" ",20))</f>
        <v/>
      </c>
      <c r="X1630" s="10">
        <f>IF(A1630="C",LEFT(UPPER(C1630)&amp;REPT(" ",10),10)," ")</f>
        <v/>
      </c>
      <c r="Y1630" s="10">
        <f>IF(A1630="C",LEFT(UPPER(D1630)&amp;REPT(" ",2),2)," ")</f>
        <v/>
      </c>
      <c r="Z1630" s="10">
        <f>IF(A1630="C",LEFT(UPPER(E1630)&amp;REPT(" ",15),15)," ")</f>
        <v/>
      </c>
      <c r="AA1630" s="10">
        <f>REPT(" ",8)</f>
        <v/>
      </c>
      <c r="AB1630" s="10">
        <f>REPT(" ",4)</f>
        <v/>
      </c>
      <c r="AC1630" s="10">
        <f>LEFT(UPPER(H1630)&amp;REPT(" ",250),250)</f>
        <v/>
      </c>
      <c r="AD1630" s="10">
        <f>TEXT($G$2,"dd/mm/aaaa")</f>
        <v/>
      </c>
      <c r="AE1630" s="10">
        <f>REPT(" ",10)</f>
        <v/>
      </c>
      <c r="AF1630" s="10">
        <f>REPT(" ",20)</f>
        <v/>
      </c>
      <c r="AG1630" s="54">
        <f>REPT(" ",18-LEN(FIXED(F1630,2,TRUE)))&amp;FIXED(F1630,2,TRUE)</f>
        <v/>
      </c>
      <c r="AH1630" s="10">
        <f>LEN(AC1630)+LEN(AG1630)</f>
        <v/>
      </c>
      <c r="AI1630" s="10">
        <f>LEN(L1630)</f>
        <v/>
      </c>
    </row>
    <row r="1631">
      <c r="J1631" s="12">
        <f>IF(F1631&lt;&gt;0,"LANÇAR","")</f>
        <v/>
      </c>
      <c r="L1631" s="13">
        <f>N1631&amp;O1631&amp;P1631&amp;Q1631&amp;R1631&amp;S1631&amp;T1631&amp;U1631&amp;V1631&amp;W1631&amp;X1631&amp;Y1631&amp;Z1631&amp;AA1631&amp;AB1631&amp;AC1631&amp;AD1631&amp;AE1631&amp;AF1631&amp;AG1631</f>
        <v/>
      </c>
      <c r="N1631" s="10">
        <f>TEXT($B$6,"00")</f>
        <v/>
      </c>
      <c r="O1631" s="10">
        <f>REPT(" ",8)</f>
        <v/>
      </c>
      <c r="P1631" s="10">
        <f>RIGHT($B$4,2)</f>
        <v/>
      </c>
      <c r="Q1631" s="10">
        <f>RIGHT($B$5,3)</f>
        <v/>
      </c>
      <c r="R1631" s="10">
        <f>IF(A1631="D",LEFT(UPPER(B1631)&amp;REPT(" ",20),20),REPT(" ",20))</f>
        <v/>
      </c>
      <c r="S1631" s="10">
        <f>IF(A1631="D",LEFT(UPPER(C1631)&amp;REPT(" ",10),10)," ")</f>
        <v/>
      </c>
      <c r="T1631" s="10">
        <f>IF(A1631="D",LEFT(UPPER(D1631)&amp;REPT(" ",2),2)," ")</f>
        <v/>
      </c>
      <c r="U1631" s="10">
        <f>IF(A1631="D",LEFT(UPPER(E1631)&amp;REPT(" ",15),15)," ")</f>
        <v/>
      </c>
      <c r="V1631" s="10">
        <f>REPT(" ",24)</f>
        <v/>
      </c>
      <c r="W1631" s="10">
        <f>IF(A1631="c",LEFT(UPPER(B1631)&amp;REPT(" ",20),20),REPT(" ",20))</f>
        <v/>
      </c>
      <c r="X1631" s="10">
        <f>IF(A1631="C",LEFT(UPPER(C1631)&amp;REPT(" ",10),10)," ")</f>
        <v/>
      </c>
      <c r="Y1631" s="10">
        <f>IF(A1631="C",LEFT(UPPER(D1631)&amp;REPT(" ",2),2)," ")</f>
        <v/>
      </c>
      <c r="Z1631" s="10">
        <f>IF(A1631="C",LEFT(UPPER(E1631)&amp;REPT(" ",15),15)," ")</f>
        <v/>
      </c>
      <c r="AA1631" s="10">
        <f>REPT(" ",8)</f>
        <v/>
      </c>
      <c r="AB1631" s="10">
        <f>REPT(" ",4)</f>
        <v/>
      </c>
      <c r="AC1631" s="10">
        <f>LEFT(UPPER(H1631)&amp;REPT(" ",250),250)</f>
        <v/>
      </c>
      <c r="AD1631" s="10">
        <f>TEXT($G$2,"dd/mm/aaaa")</f>
        <v/>
      </c>
      <c r="AE1631" s="10">
        <f>REPT(" ",10)</f>
        <v/>
      </c>
      <c r="AF1631" s="10">
        <f>REPT(" ",20)</f>
        <v/>
      </c>
      <c r="AG1631" s="54">
        <f>REPT(" ",18-LEN(FIXED(F1631,2,TRUE)))&amp;FIXED(F1631,2,TRUE)</f>
        <v/>
      </c>
      <c r="AH1631" s="10">
        <f>LEN(AC1631)+LEN(AG1631)</f>
        <v/>
      </c>
      <c r="AI1631" s="10">
        <f>LEN(L1631)</f>
        <v/>
      </c>
    </row>
    <row r="1632">
      <c r="J1632" s="12">
        <f>IF(F1632&lt;&gt;0,"LANÇAR","")</f>
        <v/>
      </c>
      <c r="L1632" s="13">
        <f>N1632&amp;O1632&amp;P1632&amp;Q1632&amp;R1632&amp;S1632&amp;T1632&amp;U1632&amp;V1632&amp;W1632&amp;X1632&amp;Y1632&amp;Z1632&amp;AA1632&amp;AB1632&amp;AC1632&amp;AD1632&amp;AE1632&amp;AF1632&amp;AG1632</f>
        <v/>
      </c>
      <c r="N1632" s="10">
        <f>TEXT($B$6,"00")</f>
        <v/>
      </c>
      <c r="O1632" s="10">
        <f>REPT(" ",8)</f>
        <v/>
      </c>
      <c r="P1632" s="10">
        <f>RIGHT($B$4,2)</f>
        <v/>
      </c>
      <c r="Q1632" s="10">
        <f>RIGHT($B$5,3)</f>
        <v/>
      </c>
      <c r="R1632" s="10">
        <f>IF(A1632="D",LEFT(UPPER(B1632)&amp;REPT(" ",20),20),REPT(" ",20))</f>
        <v/>
      </c>
      <c r="S1632" s="10">
        <f>IF(A1632="D",LEFT(UPPER(C1632)&amp;REPT(" ",10),10)," ")</f>
        <v/>
      </c>
      <c r="T1632" s="10">
        <f>IF(A1632="D",LEFT(UPPER(D1632)&amp;REPT(" ",2),2)," ")</f>
        <v/>
      </c>
      <c r="U1632" s="10">
        <f>IF(A1632="D",LEFT(UPPER(E1632)&amp;REPT(" ",15),15)," ")</f>
        <v/>
      </c>
      <c r="V1632" s="10">
        <f>REPT(" ",24)</f>
        <v/>
      </c>
      <c r="W1632" s="10">
        <f>IF(A1632="c",LEFT(UPPER(B1632)&amp;REPT(" ",20),20),REPT(" ",20))</f>
        <v/>
      </c>
      <c r="X1632" s="10">
        <f>IF(A1632="C",LEFT(UPPER(C1632)&amp;REPT(" ",10),10)," ")</f>
        <v/>
      </c>
      <c r="Y1632" s="10">
        <f>IF(A1632="C",LEFT(UPPER(D1632)&amp;REPT(" ",2),2)," ")</f>
        <v/>
      </c>
      <c r="Z1632" s="10">
        <f>IF(A1632="C",LEFT(UPPER(E1632)&amp;REPT(" ",15),15)," ")</f>
        <v/>
      </c>
      <c r="AA1632" s="10">
        <f>REPT(" ",8)</f>
        <v/>
      </c>
      <c r="AB1632" s="10">
        <f>REPT(" ",4)</f>
        <v/>
      </c>
      <c r="AC1632" s="10">
        <f>LEFT(UPPER(H1632)&amp;REPT(" ",250),250)</f>
        <v/>
      </c>
      <c r="AD1632" s="10">
        <f>TEXT($G$2,"dd/mm/aaaa")</f>
        <v/>
      </c>
      <c r="AE1632" s="10">
        <f>REPT(" ",10)</f>
        <v/>
      </c>
      <c r="AF1632" s="10">
        <f>REPT(" ",20)</f>
        <v/>
      </c>
      <c r="AG1632" s="54">
        <f>REPT(" ",18-LEN(FIXED(F1632,2,TRUE)))&amp;FIXED(F1632,2,TRUE)</f>
        <v/>
      </c>
      <c r="AH1632" s="10">
        <f>LEN(AC1632)+LEN(AG1632)</f>
        <v/>
      </c>
      <c r="AI1632" s="10">
        <f>LEN(L1632)</f>
        <v/>
      </c>
    </row>
    <row r="1633">
      <c r="J1633" s="12">
        <f>IF(F1633&lt;&gt;0,"LANÇAR","")</f>
        <v/>
      </c>
      <c r="L1633" s="13">
        <f>N1633&amp;O1633&amp;P1633&amp;Q1633&amp;R1633&amp;S1633&amp;T1633&amp;U1633&amp;V1633&amp;W1633&amp;X1633&amp;Y1633&amp;Z1633&amp;AA1633&amp;AB1633&amp;AC1633&amp;AD1633&amp;AE1633&amp;AF1633&amp;AG1633</f>
        <v/>
      </c>
      <c r="N1633" s="10">
        <f>TEXT($B$6,"00")</f>
        <v/>
      </c>
      <c r="O1633" s="10">
        <f>REPT(" ",8)</f>
        <v/>
      </c>
      <c r="P1633" s="10">
        <f>RIGHT($B$4,2)</f>
        <v/>
      </c>
      <c r="Q1633" s="10">
        <f>RIGHT($B$5,3)</f>
        <v/>
      </c>
      <c r="R1633" s="10">
        <f>IF(A1633="D",LEFT(UPPER(B1633)&amp;REPT(" ",20),20),REPT(" ",20))</f>
        <v/>
      </c>
      <c r="S1633" s="10">
        <f>IF(A1633="D",LEFT(UPPER(C1633)&amp;REPT(" ",10),10)," ")</f>
        <v/>
      </c>
      <c r="T1633" s="10">
        <f>IF(A1633="D",LEFT(UPPER(D1633)&amp;REPT(" ",2),2)," ")</f>
        <v/>
      </c>
      <c r="U1633" s="10">
        <f>IF(A1633="D",LEFT(UPPER(E1633)&amp;REPT(" ",15),15)," ")</f>
        <v/>
      </c>
      <c r="V1633" s="10">
        <f>REPT(" ",24)</f>
        <v/>
      </c>
      <c r="W1633" s="10">
        <f>IF(A1633="c",LEFT(UPPER(B1633)&amp;REPT(" ",20),20),REPT(" ",20))</f>
        <v/>
      </c>
      <c r="X1633" s="10">
        <f>IF(A1633="C",LEFT(UPPER(C1633)&amp;REPT(" ",10),10)," ")</f>
        <v/>
      </c>
      <c r="Y1633" s="10">
        <f>IF(A1633="C",LEFT(UPPER(D1633)&amp;REPT(" ",2),2)," ")</f>
        <v/>
      </c>
      <c r="Z1633" s="10">
        <f>IF(A1633="C",LEFT(UPPER(E1633)&amp;REPT(" ",15),15)," ")</f>
        <v/>
      </c>
      <c r="AA1633" s="10">
        <f>REPT(" ",8)</f>
        <v/>
      </c>
      <c r="AB1633" s="10">
        <f>REPT(" ",4)</f>
        <v/>
      </c>
      <c r="AC1633" s="10">
        <f>LEFT(UPPER(H1633)&amp;REPT(" ",250),250)</f>
        <v/>
      </c>
      <c r="AD1633" s="10">
        <f>TEXT($G$2,"dd/mm/aaaa")</f>
        <v/>
      </c>
      <c r="AE1633" s="10">
        <f>REPT(" ",10)</f>
        <v/>
      </c>
      <c r="AF1633" s="10">
        <f>REPT(" ",20)</f>
        <v/>
      </c>
      <c r="AG1633" s="54">
        <f>REPT(" ",18-LEN(FIXED(F1633,2,TRUE)))&amp;FIXED(F1633,2,TRUE)</f>
        <v/>
      </c>
      <c r="AH1633" s="10">
        <f>LEN(AC1633)+LEN(AG1633)</f>
        <v/>
      </c>
      <c r="AI1633" s="10">
        <f>LEN(L1633)</f>
        <v/>
      </c>
    </row>
    <row r="1634">
      <c r="J1634" s="12">
        <f>IF(F1634&lt;&gt;0,"LANÇAR","")</f>
        <v/>
      </c>
      <c r="L1634" s="13">
        <f>N1634&amp;O1634&amp;P1634&amp;Q1634&amp;R1634&amp;S1634&amp;T1634&amp;U1634&amp;V1634&amp;W1634&amp;X1634&amp;Y1634&amp;Z1634&amp;AA1634&amp;AB1634&amp;AC1634&amp;AD1634&amp;AE1634&amp;AF1634&amp;AG1634</f>
        <v/>
      </c>
      <c r="N1634" s="10">
        <f>TEXT($B$6,"00")</f>
        <v/>
      </c>
      <c r="O1634" s="10">
        <f>REPT(" ",8)</f>
        <v/>
      </c>
      <c r="P1634" s="10">
        <f>RIGHT($B$4,2)</f>
        <v/>
      </c>
      <c r="Q1634" s="10">
        <f>RIGHT($B$5,3)</f>
        <v/>
      </c>
      <c r="R1634" s="10">
        <f>IF(A1634="D",LEFT(UPPER(B1634)&amp;REPT(" ",20),20),REPT(" ",20))</f>
        <v/>
      </c>
      <c r="S1634" s="10">
        <f>IF(A1634="D",LEFT(UPPER(C1634)&amp;REPT(" ",10),10)," ")</f>
        <v/>
      </c>
      <c r="T1634" s="10">
        <f>IF(A1634="D",LEFT(UPPER(D1634)&amp;REPT(" ",2),2)," ")</f>
        <v/>
      </c>
      <c r="U1634" s="10">
        <f>IF(A1634="D",LEFT(UPPER(E1634)&amp;REPT(" ",15),15)," ")</f>
        <v/>
      </c>
      <c r="V1634" s="10">
        <f>REPT(" ",24)</f>
        <v/>
      </c>
      <c r="W1634" s="10">
        <f>IF(A1634="c",LEFT(UPPER(B1634)&amp;REPT(" ",20),20),REPT(" ",20))</f>
        <v/>
      </c>
      <c r="X1634" s="10">
        <f>IF(A1634="C",LEFT(UPPER(C1634)&amp;REPT(" ",10),10)," ")</f>
        <v/>
      </c>
      <c r="Y1634" s="10">
        <f>IF(A1634="C",LEFT(UPPER(D1634)&amp;REPT(" ",2),2)," ")</f>
        <v/>
      </c>
      <c r="Z1634" s="10">
        <f>IF(A1634="C",LEFT(UPPER(E1634)&amp;REPT(" ",15),15)," ")</f>
        <v/>
      </c>
      <c r="AA1634" s="10">
        <f>REPT(" ",8)</f>
        <v/>
      </c>
      <c r="AB1634" s="10">
        <f>REPT(" ",4)</f>
        <v/>
      </c>
      <c r="AC1634" s="10">
        <f>LEFT(UPPER(H1634)&amp;REPT(" ",250),250)</f>
        <v/>
      </c>
      <c r="AD1634" s="10">
        <f>TEXT($G$2,"dd/mm/aaaa")</f>
        <v/>
      </c>
      <c r="AE1634" s="10">
        <f>REPT(" ",10)</f>
        <v/>
      </c>
      <c r="AF1634" s="10">
        <f>REPT(" ",20)</f>
        <v/>
      </c>
      <c r="AG1634" s="54">
        <f>REPT(" ",18-LEN(FIXED(F1634,2,TRUE)))&amp;FIXED(F1634,2,TRUE)</f>
        <v/>
      </c>
      <c r="AH1634" s="10">
        <f>LEN(AC1634)+LEN(AG1634)</f>
        <v/>
      </c>
      <c r="AI1634" s="10">
        <f>LEN(L1634)</f>
        <v/>
      </c>
    </row>
    <row r="1635">
      <c r="J1635" s="12">
        <f>IF(F1635&lt;&gt;0,"LANÇAR","")</f>
        <v/>
      </c>
      <c r="L1635" s="13">
        <f>N1635&amp;O1635&amp;P1635&amp;Q1635&amp;R1635&amp;S1635&amp;T1635&amp;U1635&amp;V1635&amp;W1635&amp;X1635&amp;Y1635&amp;Z1635&amp;AA1635&amp;AB1635&amp;AC1635&amp;AD1635&amp;AE1635&amp;AF1635&amp;AG1635</f>
        <v/>
      </c>
      <c r="N1635" s="10">
        <f>TEXT($B$6,"00")</f>
        <v/>
      </c>
      <c r="O1635" s="10">
        <f>REPT(" ",8)</f>
        <v/>
      </c>
      <c r="P1635" s="10">
        <f>RIGHT($B$4,2)</f>
        <v/>
      </c>
      <c r="Q1635" s="10">
        <f>RIGHT($B$5,3)</f>
        <v/>
      </c>
      <c r="R1635" s="10">
        <f>IF(A1635="D",LEFT(UPPER(B1635)&amp;REPT(" ",20),20),REPT(" ",20))</f>
        <v/>
      </c>
      <c r="S1635" s="10">
        <f>IF(A1635="D",LEFT(UPPER(C1635)&amp;REPT(" ",10),10)," ")</f>
        <v/>
      </c>
      <c r="T1635" s="10">
        <f>IF(A1635="D",LEFT(UPPER(D1635)&amp;REPT(" ",2),2)," ")</f>
        <v/>
      </c>
      <c r="U1635" s="10">
        <f>IF(A1635="D",LEFT(UPPER(E1635)&amp;REPT(" ",15),15)," ")</f>
        <v/>
      </c>
      <c r="V1635" s="10">
        <f>REPT(" ",24)</f>
        <v/>
      </c>
      <c r="W1635" s="10">
        <f>IF(A1635="c",LEFT(UPPER(B1635)&amp;REPT(" ",20),20),REPT(" ",20))</f>
        <v/>
      </c>
      <c r="X1635" s="10">
        <f>IF(A1635="C",LEFT(UPPER(C1635)&amp;REPT(" ",10),10)," ")</f>
        <v/>
      </c>
      <c r="Y1635" s="10">
        <f>IF(A1635="C",LEFT(UPPER(D1635)&amp;REPT(" ",2),2)," ")</f>
        <v/>
      </c>
      <c r="Z1635" s="10">
        <f>IF(A1635="C",LEFT(UPPER(E1635)&amp;REPT(" ",15),15)," ")</f>
        <v/>
      </c>
      <c r="AA1635" s="10">
        <f>REPT(" ",8)</f>
        <v/>
      </c>
      <c r="AB1635" s="10">
        <f>REPT(" ",4)</f>
        <v/>
      </c>
      <c r="AC1635" s="10">
        <f>LEFT(UPPER(H1635)&amp;REPT(" ",250),250)</f>
        <v/>
      </c>
      <c r="AD1635" s="10">
        <f>TEXT($G$2,"dd/mm/aaaa")</f>
        <v/>
      </c>
      <c r="AE1635" s="10">
        <f>REPT(" ",10)</f>
        <v/>
      </c>
      <c r="AF1635" s="10">
        <f>REPT(" ",20)</f>
        <v/>
      </c>
      <c r="AG1635" s="54">
        <f>REPT(" ",18-LEN(FIXED(F1635,2,TRUE)))&amp;FIXED(F1635,2,TRUE)</f>
        <v/>
      </c>
      <c r="AH1635" s="10">
        <f>LEN(AC1635)+LEN(AG1635)</f>
        <v/>
      </c>
      <c r="AI1635" s="10">
        <f>LEN(L1635)</f>
        <v/>
      </c>
    </row>
    <row r="1636">
      <c r="J1636" s="12">
        <f>IF(F1636&lt;&gt;0,"LANÇAR","")</f>
        <v/>
      </c>
      <c r="L1636" s="13">
        <f>N1636&amp;O1636&amp;P1636&amp;Q1636&amp;R1636&amp;S1636&amp;T1636&amp;U1636&amp;V1636&amp;W1636&amp;X1636&amp;Y1636&amp;Z1636&amp;AA1636&amp;AB1636&amp;AC1636&amp;AD1636&amp;AE1636&amp;AF1636&amp;AG1636</f>
        <v/>
      </c>
      <c r="N1636" s="10">
        <f>TEXT($B$6,"00")</f>
        <v/>
      </c>
      <c r="O1636" s="10">
        <f>REPT(" ",8)</f>
        <v/>
      </c>
      <c r="P1636" s="10">
        <f>RIGHT($B$4,2)</f>
        <v/>
      </c>
      <c r="Q1636" s="10">
        <f>RIGHT($B$5,3)</f>
        <v/>
      </c>
      <c r="R1636" s="10">
        <f>IF(A1636="D",LEFT(UPPER(B1636)&amp;REPT(" ",20),20),REPT(" ",20))</f>
        <v/>
      </c>
      <c r="S1636" s="10">
        <f>IF(A1636="D",LEFT(UPPER(C1636)&amp;REPT(" ",10),10)," ")</f>
        <v/>
      </c>
      <c r="T1636" s="10">
        <f>IF(A1636="D",LEFT(UPPER(D1636)&amp;REPT(" ",2),2)," ")</f>
        <v/>
      </c>
      <c r="U1636" s="10">
        <f>IF(A1636="D",LEFT(UPPER(E1636)&amp;REPT(" ",15),15)," ")</f>
        <v/>
      </c>
      <c r="V1636" s="10">
        <f>REPT(" ",24)</f>
        <v/>
      </c>
      <c r="W1636" s="10">
        <f>IF(A1636="c",LEFT(UPPER(B1636)&amp;REPT(" ",20),20),REPT(" ",20))</f>
        <v/>
      </c>
      <c r="X1636" s="10">
        <f>IF(A1636="C",LEFT(UPPER(C1636)&amp;REPT(" ",10),10)," ")</f>
        <v/>
      </c>
      <c r="Y1636" s="10">
        <f>IF(A1636="C",LEFT(UPPER(D1636)&amp;REPT(" ",2),2)," ")</f>
        <v/>
      </c>
      <c r="Z1636" s="10">
        <f>IF(A1636="C",LEFT(UPPER(E1636)&amp;REPT(" ",15),15)," ")</f>
        <v/>
      </c>
      <c r="AA1636" s="10">
        <f>REPT(" ",8)</f>
        <v/>
      </c>
      <c r="AB1636" s="10">
        <f>REPT(" ",4)</f>
        <v/>
      </c>
      <c r="AC1636" s="10">
        <f>LEFT(UPPER(H1636)&amp;REPT(" ",250),250)</f>
        <v/>
      </c>
      <c r="AD1636" s="10">
        <f>TEXT($G$2,"dd/mm/aaaa")</f>
        <v/>
      </c>
      <c r="AE1636" s="10">
        <f>REPT(" ",10)</f>
        <v/>
      </c>
      <c r="AF1636" s="10">
        <f>REPT(" ",20)</f>
        <v/>
      </c>
      <c r="AG1636" s="54">
        <f>REPT(" ",18-LEN(FIXED(F1636,2,TRUE)))&amp;FIXED(F1636,2,TRUE)</f>
        <v/>
      </c>
      <c r="AH1636" s="10">
        <f>LEN(AC1636)+LEN(AG1636)</f>
        <v/>
      </c>
      <c r="AI1636" s="10">
        <f>LEN(L1636)</f>
        <v/>
      </c>
    </row>
    <row r="1637">
      <c r="J1637" s="12">
        <f>IF(F1637&lt;&gt;0,"LANÇAR","")</f>
        <v/>
      </c>
      <c r="L1637" s="13">
        <f>N1637&amp;O1637&amp;P1637&amp;Q1637&amp;R1637&amp;S1637&amp;T1637&amp;U1637&amp;V1637&amp;W1637&amp;X1637&amp;Y1637&amp;Z1637&amp;AA1637&amp;AB1637&amp;AC1637&amp;AD1637&amp;AE1637&amp;AF1637&amp;AG1637</f>
        <v/>
      </c>
      <c r="N1637" s="10">
        <f>TEXT($B$6,"00")</f>
        <v/>
      </c>
      <c r="O1637" s="10">
        <f>REPT(" ",8)</f>
        <v/>
      </c>
      <c r="P1637" s="10">
        <f>RIGHT($B$4,2)</f>
        <v/>
      </c>
      <c r="Q1637" s="10">
        <f>RIGHT($B$5,3)</f>
        <v/>
      </c>
      <c r="R1637" s="10">
        <f>IF(A1637="D",LEFT(UPPER(B1637)&amp;REPT(" ",20),20),REPT(" ",20))</f>
        <v/>
      </c>
      <c r="S1637" s="10">
        <f>IF(A1637="D",LEFT(UPPER(C1637)&amp;REPT(" ",10),10)," ")</f>
        <v/>
      </c>
      <c r="T1637" s="10">
        <f>IF(A1637="D",LEFT(UPPER(D1637)&amp;REPT(" ",2),2)," ")</f>
        <v/>
      </c>
      <c r="U1637" s="10">
        <f>IF(A1637="D",LEFT(UPPER(E1637)&amp;REPT(" ",15),15)," ")</f>
        <v/>
      </c>
      <c r="V1637" s="10">
        <f>REPT(" ",24)</f>
        <v/>
      </c>
      <c r="W1637" s="10">
        <f>IF(A1637="c",LEFT(UPPER(B1637)&amp;REPT(" ",20),20),REPT(" ",20))</f>
        <v/>
      </c>
      <c r="X1637" s="10">
        <f>IF(A1637="C",LEFT(UPPER(C1637)&amp;REPT(" ",10),10)," ")</f>
        <v/>
      </c>
      <c r="Y1637" s="10">
        <f>IF(A1637="C",LEFT(UPPER(D1637)&amp;REPT(" ",2),2)," ")</f>
        <v/>
      </c>
      <c r="Z1637" s="10">
        <f>IF(A1637="C",LEFT(UPPER(E1637)&amp;REPT(" ",15),15)," ")</f>
        <v/>
      </c>
      <c r="AA1637" s="10">
        <f>REPT(" ",8)</f>
        <v/>
      </c>
      <c r="AB1637" s="10">
        <f>REPT(" ",4)</f>
        <v/>
      </c>
      <c r="AC1637" s="10">
        <f>LEFT(UPPER(H1637)&amp;REPT(" ",250),250)</f>
        <v/>
      </c>
      <c r="AD1637" s="10">
        <f>TEXT($G$2,"dd/mm/aaaa")</f>
        <v/>
      </c>
      <c r="AE1637" s="10">
        <f>REPT(" ",10)</f>
        <v/>
      </c>
      <c r="AF1637" s="10">
        <f>REPT(" ",20)</f>
        <v/>
      </c>
      <c r="AG1637" s="54">
        <f>REPT(" ",18-LEN(FIXED(F1637,2,TRUE)))&amp;FIXED(F1637,2,TRUE)</f>
        <v/>
      </c>
      <c r="AH1637" s="10">
        <f>LEN(AC1637)+LEN(AG1637)</f>
        <v/>
      </c>
      <c r="AI1637" s="10">
        <f>LEN(L1637)</f>
        <v/>
      </c>
    </row>
    <row r="1638">
      <c r="J1638" s="12">
        <f>IF(F1638&lt;&gt;0,"LANÇAR","")</f>
        <v/>
      </c>
      <c r="L1638" s="13">
        <f>N1638&amp;O1638&amp;P1638&amp;Q1638&amp;R1638&amp;S1638&amp;T1638&amp;U1638&amp;V1638&amp;W1638&amp;X1638&amp;Y1638&amp;Z1638&amp;AA1638&amp;AB1638&amp;AC1638&amp;AD1638&amp;AE1638&amp;AF1638&amp;AG1638</f>
        <v/>
      </c>
      <c r="N1638" s="10">
        <f>TEXT($B$6,"00")</f>
        <v/>
      </c>
      <c r="O1638" s="10">
        <f>REPT(" ",8)</f>
        <v/>
      </c>
      <c r="P1638" s="10">
        <f>RIGHT($B$4,2)</f>
        <v/>
      </c>
      <c r="Q1638" s="10">
        <f>RIGHT($B$5,3)</f>
        <v/>
      </c>
      <c r="R1638" s="10">
        <f>IF(A1638="D",LEFT(UPPER(B1638)&amp;REPT(" ",20),20),REPT(" ",20))</f>
        <v/>
      </c>
      <c r="S1638" s="10">
        <f>IF(A1638="D",LEFT(UPPER(C1638)&amp;REPT(" ",10),10)," ")</f>
        <v/>
      </c>
      <c r="T1638" s="10">
        <f>IF(A1638="D",LEFT(UPPER(D1638)&amp;REPT(" ",2),2)," ")</f>
        <v/>
      </c>
      <c r="U1638" s="10">
        <f>IF(A1638="D",LEFT(UPPER(E1638)&amp;REPT(" ",15),15)," ")</f>
        <v/>
      </c>
      <c r="V1638" s="10">
        <f>REPT(" ",24)</f>
        <v/>
      </c>
      <c r="W1638" s="10">
        <f>IF(A1638="c",LEFT(UPPER(B1638)&amp;REPT(" ",20),20),REPT(" ",20))</f>
        <v/>
      </c>
      <c r="X1638" s="10">
        <f>IF(A1638="C",LEFT(UPPER(C1638)&amp;REPT(" ",10),10)," ")</f>
        <v/>
      </c>
      <c r="Y1638" s="10">
        <f>IF(A1638="C",LEFT(UPPER(D1638)&amp;REPT(" ",2),2)," ")</f>
        <v/>
      </c>
      <c r="Z1638" s="10">
        <f>IF(A1638="C",LEFT(UPPER(E1638)&amp;REPT(" ",15),15)," ")</f>
        <v/>
      </c>
      <c r="AA1638" s="10">
        <f>REPT(" ",8)</f>
        <v/>
      </c>
      <c r="AB1638" s="10">
        <f>REPT(" ",4)</f>
        <v/>
      </c>
      <c r="AC1638" s="10">
        <f>LEFT(UPPER(H1638)&amp;REPT(" ",250),250)</f>
        <v/>
      </c>
      <c r="AD1638" s="10">
        <f>TEXT($G$2,"dd/mm/aaaa")</f>
        <v/>
      </c>
      <c r="AE1638" s="10">
        <f>REPT(" ",10)</f>
        <v/>
      </c>
      <c r="AF1638" s="10">
        <f>REPT(" ",20)</f>
        <v/>
      </c>
      <c r="AG1638" s="54">
        <f>REPT(" ",18-LEN(FIXED(F1638,2,TRUE)))&amp;FIXED(F1638,2,TRUE)</f>
        <v/>
      </c>
      <c r="AH1638" s="10">
        <f>LEN(AC1638)+LEN(AG1638)</f>
        <v/>
      </c>
      <c r="AI1638" s="10">
        <f>LEN(L1638)</f>
        <v/>
      </c>
    </row>
    <row r="1639">
      <c r="J1639" s="12">
        <f>IF(F1639&lt;&gt;0,"LANÇAR","")</f>
        <v/>
      </c>
      <c r="L1639" s="13">
        <f>N1639&amp;O1639&amp;P1639&amp;Q1639&amp;R1639&amp;S1639&amp;T1639&amp;U1639&amp;V1639&amp;W1639&amp;X1639&amp;Y1639&amp;Z1639&amp;AA1639&amp;AB1639&amp;AC1639&amp;AD1639&amp;AE1639&amp;AF1639&amp;AG1639</f>
        <v/>
      </c>
      <c r="N1639" s="10">
        <f>TEXT($B$6,"00")</f>
        <v/>
      </c>
      <c r="O1639" s="10">
        <f>REPT(" ",8)</f>
        <v/>
      </c>
      <c r="P1639" s="10">
        <f>RIGHT($B$4,2)</f>
        <v/>
      </c>
      <c r="Q1639" s="10">
        <f>RIGHT($B$5,3)</f>
        <v/>
      </c>
      <c r="R1639" s="10">
        <f>IF(A1639="D",LEFT(UPPER(B1639)&amp;REPT(" ",20),20),REPT(" ",20))</f>
        <v/>
      </c>
      <c r="S1639" s="10">
        <f>IF(A1639="D",LEFT(UPPER(C1639)&amp;REPT(" ",10),10)," ")</f>
        <v/>
      </c>
      <c r="T1639" s="10">
        <f>IF(A1639="D",LEFT(UPPER(D1639)&amp;REPT(" ",2),2)," ")</f>
        <v/>
      </c>
      <c r="U1639" s="10">
        <f>IF(A1639="D",LEFT(UPPER(E1639)&amp;REPT(" ",15),15)," ")</f>
        <v/>
      </c>
      <c r="V1639" s="10">
        <f>REPT(" ",24)</f>
        <v/>
      </c>
      <c r="W1639" s="10">
        <f>IF(A1639="c",LEFT(UPPER(B1639)&amp;REPT(" ",20),20),REPT(" ",20))</f>
        <v/>
      </c>
      <c r="X1639" s="10">
        <f>IF(A1639="C",LEFT(UPPER(C1639)&amp;REPT(" ",10),10)," ")</f>
        <v/>
      </c>
      <c r="Y1639" s="10">
        <f>IF(A1639="C",LEFT(UPPER(D1639)&amp;REPT(" ",2),2)," ")</f>
        <v/>
      </c>
      <c r="Z1639" s="10">
        <f>IF(A1639="C",LEFT(UPPER(E1639)&amp;REPT(" ",15),15)," ")</f>
        <v/>
      </c>
      <c r="AA1639" s="10">
        <f>REPT(" ",8)</f>
        <v/>
      </c>
      <c r="AB1639" s="10">
        <f>REPT(" ",4)</f>
        <v/>
      </c>
      <c r="AC1639" s="10">
        <f>LEFT(UPPER(H1639)&amp;REPT(" ",250),250)</f>
        <v/>
      </c>
      <c r="AD1639" s="10">
        <f>TEXT($G$2,"dd/mm/aaaa")</f>
        <v/>
      </c>
      <c r="AE1639" s="10">
        <f>REPT(" ",10)</f>
        <v/>
      </c>
      <c r="AF1639" s="10">
        <f>REPT(" ",20)</f>
        <v/>
      </c>
      <c r="AG1639" s="54">
        <f>REPT(" ",18-LEN(FIXED(F1639,2,TRUE)))&amp;FIXED(F1639,2,TRUE)</f>
        <v/>
      </c>
      <c r="AH1639" s="10">
        <f>LEN(AC1639)+LEN(AG1639)</f>
        <v/>
      </c>
      <c r="AI1639" s="10">
        <f>LEN(L1639)</f>
        <v/>
      </c>
    </row>
    <row r="1640">
      <c r="J1640" s="12">
        <f>IF(F1640&lt;&gt;0,"LANÇAR","")</f>
        <v/>
      </c>
      <c r="L1640" s="13">
        <f>N1640&amp;O1640&amp;P1640&amp;Q1640&amp;R1640&amp;S1640&amp;T1640&amp;U1640&amp;V1640&amp;W1640&amp;X1640&amp;Y1640&amp;Z1640&amp;AA1640&amp;AB1640&amp;AC1640&amp;AD1640&amp;AE1640&amp;AF1640&amp;AG1640</f>
        <v/>
      </c>
      <c r="N1640" s="10">
        <f>TEXT($B$6,"00")</f>
        <v/>
      </c>
      <c r="O1640" s="10">
        <f>REPT(" ",8)</f>
        <v/>
      </c>
      <c r="P1640" s="10">
        <f>RIGHT($B$4,2)</f>
        <v/>
      </c>
      <c r="Q1640" s="10">
        <f>RIGHT($B$5,3)</f>
        <v/>
      </c>
      <c r="R1640" s="10">
        <f>IF(A1640="D",LEFT(UPPER(B1640)&amp;REPT(" ",20),20),REPT(" ",20))</f>
        <v/>
      </c>
      <c r="S1640" s="10">
        <f>IF(A1640="D",LEFT(UPPER(C1640)&amp;REPT(" ",10),10)," ")</f>
        <v/>
      </c>
      <c r="T1640" s="10">
        <f>IF(A1640="D",LEFT(UPPER(D1640)&amp;REPT(" ",2),2)," ")</f>
        <v/>
      </c>
      <c r="U1640" s="10">
        <f>IF(A1640="D",LEFT(UPPER(E1640)&amp;REPT(" ",15),15)," ")</f>
        <v/>
      </c>
      <c r="V1640" s="10">
        <f>REPT(" ",24)</f>
        <v/>
      </c>
      <c r="W1640" s="10">
        <f>IF(A1640="c",LEFT(UPPER(B1640)&amp;REPT(" ",20),20),REPT(" ",20))</f>
        <v/>
      </c>
      <c r="X1640" s="10">
        <f>IF(A1640="C",LEFT(UPPER(C1640)&amp;REPT(" ",10),10)," ")</f>
        <v/>
      </c>
      <c r="Y1640" s="10">
        <f>IF(A1640="C",LEFT(UPPER(D1640)&amp;REPT(" ",2),2)," ")</f>
        <v/>
      </c>
      <c r="Z1640" s="10">
        <f>IF(A1640="C",LEFT(UPPER(E1640)&amp;REPT(" ",15),15)," ")</f>
        <v/>
      </c>
      <c r="AA1640" s="10">
        <f>REPT(" ",8)</f>
        <v/>
      </c>
      <c r="AB1640" s="10">
        <f>REPT(" ",4)</f>
        <v/>
      </c>
      <c r="AC1640" s="10">
        <f>LEFT(UPPER(H1640)&amp;REPT(" ",250),250)</f>
        <v/>
      </c>
      <c r="AD1640" s="10">
        <f>TEXT($G$2,"dd/mm/aaaa")</f>
        <v/>
      </c>
      <c r="AE1640" s="10">
        <f>REPT(" ",10)</f>
        <v/>
      </c>
      <c r="AF1640" s="10">
        <f>REPT(" ",20)</f>
        <v/>
      </c>
      <c r="AG1640" s="54">
        <f>REPT(" ",18-LEN(FIXED(F1640,2,TRUE)))&amp;FIXED(F1640,2,TRUE)</f>
        <v/>
      </c>
      <c r="AH1640" s="10">
        <f>LEN(AC1640)+LEN(AG1640)</f>
        <v/>
      </c>
      <c r="AI1640" s="10">
        <f>LEN(L1640)</f>
        <v/>
      </c>
    </row>
    <row r="1641">
      <c r="J1641" s="12">
        <f>IF(F1641&lt;&gt;0,"LANÇAR","")</f>
        <v/>
      </c>
      <c r="L1641" s="13">
        <f>N1641&amp;O1641&amp;P1641&amp;Q1641&amp;R1641&amp;S1641&amp;T1641&amp;U1641&amp;V1641&amp;W1641&amp;X1641&amp;Y1641&amp;Z1641&amp;AA1641&amp;AB1641&amp;AC1641&amp;AD1641&amp;AE1641&amp;AF1641&amp;AG1641</f>
        <v/>
      </c>
      <c r="N1641" s="10">
        <f>TEXT($B$6,"00")</f>
        <v/>
      </c>
      <c r="O1641" s="10">
        <f>REPT(" ",8)</f>
        <v/>
      </c>
      <c r="P1641" s="10">
        <f>RIGHT($B$4,2)</f>
        <v/>
      </c>
      <c r="Q1641" s="10">
        <f>RIGHT($B$5,3)</f>
        <v/>
      </c>
      <c r="R1641" s="10">
        <f>IF(A1641="D",LEFT(UPPER(B1641)&amp;REPT(" ",20),20),REPT(" ",20))</f>
        <v/>
      </c>
      <c r="S1641" s="10">
        <f>IF(A1641="D",LEFT(UPPER(C1641)&amp;REPT(" ",10),10)," ")</f>
        <v/>
      </c>
      <c r="T1641" s="10">
        <f>IF(A1641="D",LEFT(UPPER(D1641)&amp;REPT(" ",2),2)," ")</f>
        <v/>
      </c>
      <c r="U1641" s="10">
        <f>IF(A1641="D",LEFT(UPPER(E1641)&amp;REPT(" ",15),15)," ")</f>
        <v/>
      </c>
      <c r="V1641" s="10">
        <f>REPT(" ",24)</f>
        <v/>
      </c>
      <c r="W1641" s="10">
        <f>IF(A1641="c",LEFT(UPPER(B1641)&amp;REPT(" ",20),20),REPT(" ",20))</f>
        <v/>
      </c>
      <c r="X1641" s="10">
        <f>IF(A1641="C",LEFT(UPPER(C1641)&amp;REPT(" ",10),10)," ")</f>
        <v/>
      </c>
      <c r="Y1641" s="10">
        <f>IF(A1641="C",LEFT(UPPER(D1641)&amp;REPT(" ",2),2)," ")</f>
        <v/>
      </c>
      <c r="Z1641" s="10">
        <f>IF(A1641="C",LEFT(UPPER(E1641)&amp;REPT(" ",15),15)," ")</f>
        <v/>
      </c>
      <c r="AA1641" s="10">
        <f>REPT(" ",8)</f>
        <v/>
      </c>
      <c r="AB1641" s="10">
        <f>REPT(" ",4)</f>
        <v/>
      </c>
      <c r="AC1641" s="10">
        <f>LEFT(UPPER(H1641)&amp;REPT(" ",250),250)</f>
        <v/>
      </c>
      <c r="AD1641" s="10">
        <f>TEXT($G$2,"dd/mm/aaaa")</f>
        <v/>
      </c>
      <c r="AE1641" s="10">
        <f>REPT(" ",10)</f>
        <v/>
      </c>
      <c r="AF1641" s="10">
        <f>REPT(" ",20)</f>
        <v/>
      </c>
      <c r="AG1641" s="54">
        <f>REPT(" ",18-LEN(FIXED(F1641,2,TRUE)))&amp;FIXED(F1641,2,TRUE)</f>
        <v/>
      </c>
      <c r="AH1641" s="10">
        <f>LEN(AC1641)+LEN(AG1641)</f>
        <v/>
      </c>
      <c r="AI1641" s="10">
        <f>LEN(L1641)</f>
        <v/>
      </c>
    </row>
    <row r="1642">
      <c r="J1642" s="12">
        <f>IF(F1642&lt;&gt;0,"LANÇAR","")</f>
        <v/>
      </c>
      <c r="L1642" s="13">
        <f>N1642&amp;O1642&amp;P1642&amp;Q1642&amp;R1642&amp;S1642&amp;T1642&amp;U1642&amp;V1642&amp;W1642&amp;X1642&amp;Y1642&amp;Z1642&amp;AA1642&amp;AB1642&amp;AC1642&amp;AD1642&amp;AE1642&amp;AF1642&amp;AG1642</f>
        <v/>
      </c>
      <c r="N1642" s="10">
        <f>TEXT($B$6,"00")</f>
        <v/>
      </c>
      <c r="O1642" s="10">
        <f>REPT(" ",8)</f>
        <v/>
      </c>
      <c r="P1642" s="10">
        <f>RIGHT($B$4,2)</f>
        <v/>
      </c>
      <c r="Q1642" s="10">
        <f>RIGHT($B$5,3)</f>
        <v/>
      </c>
      <c r="R1642" s="10">
        <f>IF(A1642="D",LEFT(UPPER(B1642)&amp;REPT(" ",20),20),REPT(" ",20))</f>
        <v/>
      </c>
      <c r="S1642" s="10">
        <f>IF(A1642="D",LEFT(UPPER(C1642)&amp;REPT(" ",10),10)," ")</f>
        <v/>
      </c>
      <c r="T1642" s="10">
        <f>IF(A1642="D",LEFT(UPPER(D1642)&amp;REPT(" ",2),2)," ")</f>
        <v/>
      </c>
      <c r="U1642" s="10">
        <f>IF(A1642="D",LEFT(UPPER(E1642)&amp;REPT(" ",15),15)," ")</f>
        <v/>
      </c>
      <c r="V1642" s="10">
        <f>REPT(" ",24)</f>
        <v/>
      </c>
      <c r="W1642" s="10">
        <f>IF(A1642="c",LEFT(UPPER(B1642)&amp;REPT(" ",20),20),REPT(" ",20))</f>
        <v/>
      </c>
      <c r="X1642" s="10">
        <f>IF(A1642="C",LEFT(UPPER(C1642)&amp;REPT(" ",10),10)," ")</f>
        <v/>
      </c>
      <c r="Y1642" s="10">
        <f>IF(A1642="C",LEFT(UPPER(D1642)&amp;REPT(" ",2),2)," ")</f>
        <v/>
      </c>
      <c r="Z1642" s="10">
        <f>IF(A1642="C",LEFT(UPPER(E1642)&amp;REPT(" ",15),15)," ")</f>
        <v/>
      </c>
      <c r="AA1642" s="10">
        <f>REPT(" ",8)</f>
        <v/>
      </c>
      <c r="AB1642" s="10">
        <f>REPT(" ",4)</f>
        <v/>
      </c>
      <c r="AC1642" s="10">
        <f>LEFT(UPPER(H1642)&amp;REPT(" ",250),250)</f>
        <v/>
      </c>
      <c r="AD1642" s="10">
        <f>TEXT($G$2,"dd/mm/aaaa")</f>
        <v/>
      </c>
      <c r="AE1642" s="10">
        <f>REPT(" ",10)</f>
        <v/>
      </c>
      <c r="AF1642" s="10">
        <f>REPT(" ",20)</f>
        <v/>
      </c>
      <c r="AG1642" s="54">
        <f>REPT(" ",18-LEN(FIXED(F1642,2,TRUE)))&amp;FIXED(F1642,2,TRUE)</f>
        <v/>
      </c>
      <c r="AH1642" s="10">
        <f>LEN(AC1642)+LEN(AG1642)</f>
        <v/>
      </c>
      <c r="AI1642" s="10">
        <f>LEN(L1642)</f>
        <v/>
      </c>
    </row>
    <row r="1643">
      <c r="J1643" s="12">
        <f>IF(F1643&lt;&gt;0,"LANÇAR","")</f>
        <v/>
      </c>
      <c r="L1643" s="13">
        <f>N1643&amp;O1643&amp;P1643&amp;Q1643&amp;R1643&amp;S1643&amp;T1643&amp;U1643&amp;V1643&amp;W1643&amp;X1643&amp;Y1643&amp;Z1643&amp;AA1643&amp;AB1643&amp;AC1643&amp;AD1643&amp;AE1643&amp;AF1643&amp;AG1643</f>
        <v/>
      </c>
      <c r="N1643" s="10">
        <f>TEXT($B$6,"00")</f>
        <v/>
      </c>
      <c r="O1643" s="10">
        <f>REPT(" ",8)</f>
        <v/>
      </c>
      <c r="P1643" s="10">
        <f>RIGHT($B$4,2)</f>
        <v/>
      </c>
      <c r="Q1643" s="10">
        <f>RIGHT($B$5,3)</f>
        <v/>
      </c>
      <c r="R1643" s="10">
        <f>IF(A1643="D",LEFT(UPPER(B1643)&amp;REPT(" ",20),20),REPT(" ",20))</f>
        <v/>
      </c>
      <c r="S1643" s="10">
        <f>IF(A1643="D",LEFT(UPPER(C1643)&amp;REPT(" ",10),10)," ")</f>
        <v/>
      </c>
      <c r="T1643" s="10">
        <f>IF(A1643="D",LEFT(UPPER(D1643)&amp;REPT(" ",2),2)," ")</f>
        <v/>
      </c>
      <c r="U1643" s="10">
        <f>IF(A1643="D",LEFT(UPPER(E1643)&amp;REPT(" ",15),15)," ")</f>
        <v/>
      </c>
      <c r="V1643" s="10">
        <f>REPT(" ",24)</f>
        <v/>
      </c>
      <c r="W1643" s="10">
        <f>IF(A1643="c",LEFT(UPPER(B1643)&amp;REPT(" ",20),20),REPT(" ",20))</f>
        <v/>
      </c>
      <c r="X1643" s="10">
        <f>IF(A1643="C",LEFT(UPPER(C1643)&amp;REPT(" ",10),10)," ")</f>
        <v/>
      </c>
      <c r="Y1643" s="10">
        <f>IF(A1643="C",LEFT(UPPER(D1643)&amp;REPT(" ",2),2)," ")</f>
        <v/>
      </c>
      <c r="Z1643" s="10">
        <f>IF(A1643="C",LEFT(UPPER(E1643)&amp;REPT(" ",15),15)," ")</f>
        <v/>
      </c>
      <c r="AA1643" s="10">
        <f>REPT(" ",8)</f>
        <v/>
      </c>
      <c r="AB1643" s="10">
        <f>REPT(" ",4)</f>
        <v/>
      </c>
      <c r="AC1643" s="10">
        <f>LEFT(UPPER(H1643)&amp;REPT(" ",250),250)</f>
        <v/>
      </c>
      <c r="AD1643" s="10">
        <f>TEXT($G$2,"dd/mm/aaaa")</f>
        <v/>
      </c>
      <c r="AE1643" s="10">
        <f>REPT(" ",10)</f>
        <v/>
      </c>
      <c r="AF1643" s="10">
        <f>REPT(" ",20)</f>
        <v/>
      </c>
      <c r="AG1643" s="54">
        <f>REPT(" ",18-LEN(FIXED(F1643,2,TRUE)))&amp;FIXED(F1643,2,TRUE)</f>
        <v/>
      </c>
      <c r="AH1643" s="10">
        <f>LEN(AC1643)+LEN(AG1643)</f>
        <v/>
      </c>
      <c r="AI1643" s="10">
        <f>LEN(L1643)</f>
        <v/>
      </c>
    </row>
    <row r="1644">
      <c r="J1644" s="12">
        <f>IF(F1644&lt;&gt;0,"LANÇAR","")</f>
        <v/>
      </c>
      <c r="L1644" s="13">
        <f>N1644&amp;O1644&amp;P1644&amp;Q1644&amp;R1644&amp;S1644&amp;T1644&amp;U1644&amp;V1644&amp;W1644&amp;X1644&amp;Y1644&amp;Z1644&amp;AA1644&amp;AB1644&amp;AC1644&amp;AD1644&amp;AE1644&amp;AF1644&amp;AG1644</f>
        <v/>
      </c>
      <c r="N1644" s="10">
        <f>TEXT($B$6,"00")</f>
        <v/>
      </c>
      <c r="O1644" s="10">
        <f>REPT(" ",8)</f>
        <v/>
      </c>
      <c r="P1644" s="10">
        <f>RIGHT($B$4,2)</f>
        <v/>
      </c>
      <c r="Q1644" s="10">
        <f>RIGHT($B$5,3)</f>
        <v/>
      </c>
      <c r="R1644" s="10">
        <f>IF(A1644="D",LEFT(UPPER(B1644)&amp;REPT(" ",20),20),REPT(" ",20))</f>
        <v/>
      </c>
      <c r="S1644" s="10">
        <f>IF(A1644="D",LEFT(UPPER(C1644)&amp;REPT(" ",10),10)," ")</f>
        <v/>
      </c>
      <c r="T1644" s="10">
        <f>IF(A1644="D",LEFT(UPPER(D1644)&amp;REPT(" ",2),2)," ")</f>
        <v/>
      </c>
      <c r="U1644" s="10">
        <f>IF(A1644="D",LEFT(UPPER(E1644)&amp;REPT(" ",15),15)," ")</f>
        <v/>
      </c>
      <c r="V1644" s="10">
        <f>REPT(" ",24)</f>
        <v/>
      </c>
      <c r="W1644" s="10">
        <f>IF(A1644="c",LEFT(UPPER(B1644)&amp;REPT(" ",20),20),REPT(" ",20))</f>
        <v/>
      </c>
      <c r="X1644" s="10">
        <f>IF(A1644="C",LEFT(UPPER(C1644)&amp;REPT(" ",10),10)," ")</f>
        <v/>
      </c>
      <c r="Y1644" s="10">
        <f>IF(A1644="C",LEFT(UPPER(D1644)&amp;REPT(" ",2),2)," ")</f>
        <v/>
      </c>
      <c r="Z1644" s="10">
        <f>IF(A1644="C",LEFT(UPPER(E1644)&amp;REPT(" ",15),15)," ")</f>
        <v/>
      </c>
      <c r="AA1644" s="10">
        <f>REPT(" ",8)</f>
        <v/>
      </c>
      <c r="AB1644" s="10">
        <f>REPT(" ",4)</f>
        <v/>
      </c>
      <c r="AC1644" s="10">
        <f>LEFT(UPPER(H1644)&amp;REPT(" ",250),250)</f>
        <v/>
      </c>
      <c r="AD1644" s="10">
        <f>TEXT($G$2,"dd/mm/aaaa")</f>
        <v/>
      </c>
      <c r="AE1644" s="10">
        <f>REPT(" ",10)</f>
        <v/>
      </c>
      <c r="AF1644" s="10">
        <f>REPT(" ",20)</f>
        <v/>
      </c>
      <c r="AG1644" s="54">
        <f>REPT(" ",18-LEN(FIXED(F1644,2,TRUE)))&amp;FIXED(F1644,2,TRUE)</f>
        <v/>
      </c>
      <c r="AH1644" s="10">
        <f>LEN(AC1644)+LEN(AG1644)</f>
        <v/>
      </c>
      <c r="AI1644" s="10">
        <f>LEN(L1644)</f>
        <v/>
      </c>
    </row>
    <row r="1645">
      <c r="J1645" s="12">
        <f>IF(F1645&lt;&gt;0,"LANÇAR","")</f>
        <v/>
      </c>
      <c r="L1645" s="13">
        <f>N1645&amp;O1645&amp;P1645&amp;Q1645&amp;R1645&amp;S1645&amp;T1645&amp;U1645&amp;V1645&amp;W1645&amp;X1645&amp;Y1645&amp;Z1645&amp;AA1645&amp;AB1645&amp;AC1645&amp;AD1645&amp;AE1645&amp;AF1645&amp;AG1645</f>
        <v/>
      </c>
      <c r="N1645" s="10">
        <f>TEXT($B$6,"00")</f>
        <v/>
      </c>
      <c r="O1645" s="10">
        <f>REPT(" ",8)</f>
        <v/>
      </c>
      <c r="P1645" s="10">
        <f>RIGHT($B$4,2)</f>
        <v/>
      </c>
      <c r="Q1645" s="10">
        <f>RIGHT($B$5,3)</f>
        <v/>
      </c>
      <c r="R1645" s="10">
        <f>IF(A1645="D",LEFT(UPPER(B1645)&amp;REPT(" ",20),20),REPT(" ",20))</f>
        <v/>
      </c>
      <c r="S1645" s="10">
        <f>IF(A1645="D",LEFT(UPPER(C1645)&amp;REPT(" ",10),10)," ")</f>
        <v/>
      </c>
      <c r="T1645" s="10">
        <f>IF(A1645="D",LEFT(UPPER(D1645)&amp;REPT(" ",2),2)," ")</f>
        <v/>
      </c>
      <c r="U1645" s="10">
        <f>IF(A1645="D",LEFT(UPPER(E1645)&amp;REPT(" ",15),15)," ")</f>
        <v/>
      </c>
      <c r="V1645" s="10">
        <f>REPT(" ",24)</f>
        <v/>
      </c>
      <c r="W1645" s="10">
        <f>IF(A1645="c",LEFT(UPPER(B1645)&amp;REPT(" ",20),20),REPT(" ",20))</f>
        <v/>
      </c>
      <c r="X1645" s="10">
        <f>IF(A1645="C",LEFT(UPPER(C1645)&amp;REPT(" ",10),10)," ")</f>
        <v/>
      </c>
      <c r="Y1645" s="10">
        <f>IF(A1645="C",LEFT(UPPER(D1645)&amp;REPT(" ",2),2)," ")</f>
        <v/>
      </c>
      <c r="Z1645" s="10">
        <f>IF(A1645="C",LEFT(UPPER(E1645)&amp;REPT(" ",15),15)," ")</f>
        <v/>
      </c>
      <c r="AA1645" s="10">
        <f>REPT(" ",8)</f>
        <v/>
      </c>
      <c r="AB1645" s="10">
        <f>REPT(" ",4)</f>
        <v/>
      </c>
      <c r="AC1645" s="10">
        <f>LEFT(UPPER(H1645)&amp;REPT(" ",250),250)</f>
        <v/>
      </c>
      <c r="AD1645" s="10">
        <f>TEXT($G$2,"dd/mm/aaaa")</f>
        <v/>
      </c>
      <c r="AE1645" s="10">
        <f>REPT(" ",10)</f>
        <v/>
      </c>
      <c r="AF1645" s="10">
        <f>REPT(" ",20)</f>
        <v/>
      </c>
      <c r="AG1645" s="54">
        <f>REPT(" ",18-LEN(FIXED(F1645,2,TRUE)))&amp;FIXED(F1645,2,TRUE)</f>
        <v/>
      </c>
      <c r="AH1645" s="10">
        <f>LEN(AC1645)+LEN(AG1645)</f>
        <v/>
      </c>
      <c r="AI1645" s="10">
        <f>LEN(L1645)</f>
        <v/>
      </c>
    </row>
    <row r="1646">
      <c r="J1646" s="12">
        <f>IF(F1646&lt;&gt;0,"LANÇAR","")</f>
        <v/>
      </c>
      <c r="L1646" s="13">
        <f>N1646&amp;O1646&amp;P1646&amp;Q1646&amp;R1646&amp;S1646&amp;T1646&amp;U1646&amp;V1646&amp;W1646&amp;X1646&amp;Y1646&amp;Z1646&amp;AA1646&amp;AB1646&amp;AC1646&amp;AD1646&amp;AE1646&amp;AF1646&amp;AG1646</f>
        <v/>
      </c>
      <c r="N1646" s="10">
        <f>TEXT($B$6,"00")</f>
        <v/>
      </c>
      <c r="O1646" s="10">
        <f>REPT(" ",8)</f>
        <v/>
      </c>
      <c r="P1646" s="10">
        <f>RIGHT($B$4,2)</f>
        <v/>
      </c>
      <c r="Q1646" s="10">
        <f>RIGHT($B$5,3)</f>
        <v/>
      </c>
      <c r="R1646" s="10">
        <f>IF(A1646="D",LEFT(UPPER(B1646)&amp;REPT(" ",20),20),REPT(" ",20))</f>
        <v/>
      </c>
      <c r="S1646" s="10">
        <f>IF(A1646="D",LEFT(UPPER(C1646)&amp;REPT(" ",10),10)," ")</f>
        <v/>
      </c>
      <c r="T1646" s="10">
        <f>IF(A1646="D",LEFT(UPPER(D1646)&amp;REPT(" ",2),2)," ")</f>
        <v/>
      </c>
      <c r="U1646" s="10">
        <f>IF(A1646="D",LEFT(UPPER(E1646)&amp;REPT(" ",15),15)," ")</f>
        <v/>
      </c>
      <c r="V1646" s="10">
        <f>REPT(" ",24)</f>
        <v/>
      </c>
      <c r="W1646" s="10">
        <f>IF(A1646="c",LEFT(UPPER(B1646)&amp;REPT(" ",20),20),REPT(" ",20))</f>
        <v/>
      </c>
      <c r="X1646" s="10">
        <f>IF(A1646="C",LEFT(UPPER(C1646)&amp;REPT(" ",10),10)," ")</f>
        <v/>
      </c>
      <c r="Y1646" s="10">
        <f>IF(A1646="C",LEFT(UPPER(D1646)&amp;REPT(" ",2),2)," ")</f>
        <v/>
      </c>
      <c r="Z1646" s="10">
        <f>IF(A1646="C",LEFT(UPPER(E1646)&amp;REPT(" ",15),15)," ")</f>
        <v/>
      </c>
      <c r="AA1646" s="10">
        <f>REPT(" ",8)</f>
        <v/>
      </c>
      <c r="AB1646" s="10">
        <f>REPT(" ",4)</f>
        <v/>
      </c>
      <c r="AC1646" s="10">
        <f>LEFT(UPPER(H1646)&amp;REPT(" ",250),250)</f>
        <v/>
      </c>
      <c r="AD1646" s="10">
        <f>TEXT($G$2,"dd/mm/aaaa")</f>
        <v/>
      </c>
      <c r="AE1646" s="10">
        <f>REPT(" ",10)</f>
        <v/>
      </c>
      <c r="AF1646" s="10">
        <f>REPT(" ",20)</f>
        <v/>
      </c>
      <c r="AG1646" s="54">
        <f>REPT(" ",18-LEN(FIXED(F1646,2,TRUE)))&amp;FIXED(F1646,2,TRUE)</f>
        <v/>
      </c>
      <c r="AH1646" s="10">
        <f>LEN(AC1646)+LEN(AG1646)</f>
        <v/>
      </c>
      <c r="AI1646" s="10">
        <f>LEN(L1646)</f>
        <v/>
      </c>
    </row>
    <row r="1647">
      <c r="J1647" s="12">
        <f>IF(F1647&lt;&gt;0,"LANÇAR","")</f>
        <v/>
      </c>
      <c r="L1647" s="13">
        <f>N1647&amp;O1647&amp;P1647&amp;Q1647&amp;R1647&amp;S1647&amp;T1647&amp;U1647&amp;V1647&amp;W1647&amp;X1647&amp;Y1647&amp;Z1647&amp;AA1647&amp;AB1647&amp;AC1647&amp;AD1647&amp;AE1647&amp;AF1647&amp;AG1647</f>
        <v/>
      </c>
      <c r="N1647" s="10">
        <f>TEXT($B$6,"00")</f>
        <v/>
      </c>
      <c r="O1647" s="10">
        <f>REPT(" ",8)</f>
        <v/>
      </c>
      <c r="P1647" s="10">
        <f>RIGHT($B$4,2)</f>
        <v/>
      </c>
      <c r="Q1647" s="10">
        <f>RIGHT($B$5,3)</f>
        <v/>
      </c>
      <c r="R1647" s="10">
        <f>IF(A1647="D",LEFT(UPPER(B1647)&amp;REPT(" ",20),20),REPT(" ",20))</f>
        <v/>
      </c>
      <c r="S1647" s="10">
        <f>IF(A1647="D",LEFT(UPPER(C1647)&amp;REPT(" ",10),10)," ")</f>
        <v/>
      </c>
      <c r="T1647" s="10">
        <f>IF(A1647="D",LEFT(UPPER(D1647)&amp;REPT(" ",2),2)," ")</f>
        <v/>
      </c>
      <c r="U1647" s="10">
        <f>IF(A1647="D",LEFT(UPPER(E1647)&amp;REPT(" ",15),15)," ")</f>
        <v/>
      </c>
      <c r="V1647" s="10">
        <f>REPT(" ",24)</f>
        <v/>
      </c>
      <c r="W1647" s="10">
        <f>IF(A1647="c",LEFT(UPPER(B1647)&amp;REPT(" ",20),20),REPT(" ",20))</f>
        <v/>
      </c>
      <c r="X1647" s="10">
        <f>IF(A1647="C",LEFT(UPPER(C1647)&amp;REPT(" ",10),10)," ")</f>
        <v/>
      </c>
      <c r="Y1647" s="10">
        <f>IF(A1647="C",LEFT(UPPER(D1647)&amp;REPT(" ",2),2)," ")</f>
        <v/>
      </c>
      <c r="Z1647" s="10">
        <f>IF(A1647="C",LEFT(UPPER(E1647)&amp;REPT(" ",15),15)," ")</f>
        <v/>
      </c>
      <c r="AA1647" s="10">
        <f>REPT(" ",8)</f>
        <v/>
      </c>
      <c r="AB1647" s="10">
        <f>REPT(" ",4)</f>
        <v/>
      </c>
      <c r="AC1647" s="10">
        <f>LEFT(UPPER(H1647)&amp;REPT(" ",250),250)</f>
        <v/>
      </c>
      <c r="AD1647" s="10">
        <f>TEXT($G$2,"dd/mm/aaaa")</f>
        <v/>
      </c>
      <c r="AE1647" s="10">
        <f>REPT(" ",10)</f>
        <v/>
      </c>
      <c r="AF1647" s="10">
        <f>REPT(" ",20)</f>
        <v/>
      </c>
      <c r="AG1647" s="54">
        <f>REPT(" ",18-LEN(FIXED(F1647,2,TRUE)))&amp;FIXED(F1647,2,TRUE)</f>
        <v/>
      </c>
      <c r="AH1647" s="10">
        <f>LEN(AC1647)+LEN(AG1647)</f>
        <v/>
      </c>
      <c r="AI1647" s="10">
        <f>LEN(L1647)</f>
        <v/>
      </c>
    </row>
    <row r="1648">
      <c r="J1648" s="12">
        <f>IF(F1648&lt;&gt;0,"LANÇAR","")</f>
        <v/>
      </c>
      <c r="L1648" s="13">
        <f>N1648&amp;O1648&amp;P1648&amp;Q1648&amp;R1648&amp;S1648&amp;T1648&amp;U1648&amp;V1648&amp;W1648&amp;X1648&amp;Y1648&amp;Z1648&amp;AA1648&amp;AB1648&amp;AC1648&amp;AD1648&amp;AE1648&amp;AF1648&amp;AG1648</f>
        <v/>
      </c>
      <c r="N1648" s="10">
        <f>TEXT($B$6,"00")</f>
        <v/>
      </c>
      <c r="O1648" s="10">
        <f>REPT(" ",8)</f>
        <v/>
      </c>
      <c r="P1648" s="10">
        <f>RIGHT($B$4,2)</f>
        <v/>
      </c>
      <c r="Q1648" s="10">
        <f>RIGHT($B$5,3)</f>
        <v/>
      </c>
      <c r="R1648" s="10">
        <f>IF(A1648="D",LEFT(UPPER(B1648)&amp;REPT(" ",20),20),REPT(" ",20))</f>
        <v/>
      </c>
      <c r="S1648" s="10">
        <f>IF(A1648="D",LEFT(UPPER(C1648)&amp;REPT(" ",10),10)," ")</f>
        <v/>
      </c>
      <c r="T1648" s="10">
        <f>IF(A1648="D",LEFT(UPPER(D1648)&amp;REPT(" ",2),2)," ")</f>
        <v/>
      </c>
      <c r="U1648" s="10">
        <f>IF(A1648="D",LEFT(UPPER(E1648)&amp;REPT(" ",15),15)," ")</f>
        <v/>
      </c>
      <c r="V1648" s="10">
        <f>REPT(" ",24)</f>
        <v/>
      </c>
      <c r="W1648" s="10">
        <f>IF(A1648="c",LEFT(UPPER(B1648)&amp;REPT(" ",20),20),REPT(" ",20))</f>
        <v/>
      </c>
      <c r="X1648" s="10">
        <f>IF(A1648="C",LEFT(UPPER(C1648)&amp;REPT(" ",10),10)," ")</f>
        <v/>
      </c>
      <c r="Y1648" s="10">
        <f>IF(A1648="C",LEFT(UPPER(D1648)&amp;REPT(" ",2),2)," ")</f>
        <v/>
      </c>
      <c r="Z1648" s="10">
        <f>IF(A1648="C",LEFT(UPPER(E1648)&amp;REPT(" ",15),15)," ")</f>
        <v/>
      </c>
      <c r="AA1648" s="10">
        <f>REPT(" ",8)</f>
        <v/>
      </c>
      <c r="AB1648" s="10">
        <f>REPT(" ",4)</f>
        <v/>
      </c>
      <c r="AC1648" s="10">
        <f>LEFT(UPPER(H1648)&amp;REPT(" ",250),250)</f>
        <v/>
      </c>
      <c r="AD1648" s="10">
        <f>TEXT($G$2,"dd/mm/aaaa")</f>
        <v/>
      </c>
      <c r="AE1648" s="10">
        <f>REPT(" ",10)</f>
        <v/>
      </c>
      <c r="AF1648" s="10">
        <f>REPT(" ",20)</f>
        <v/>
      </c>
      <c r="AG1648" s="54">
        <f>REPT(" ",18-LEN(FIXED(F1648,2,TRUE)))&amp;FIXED(F1648,2,TRUE)</f>
        <v/>
      </c>
      <c r="AH1648" s="10">
        <f>LEN(AC1648)+LEN(AG1648)</f>
        <v/>
      </c>
      <c r="AI1648" s="10">
        <f>LEN(L1648)</f>
        <v/>
      </c>
    </row>
    <row r="1649">
      <c r="J1649" s="12">
        <f>IF(F1649&lt;&gt;0,"LANÇAR","")</f>
        <v/>
      </c>
      <c r="L1649" s="13">
        <f>N1649&amp;O1649&amp;P1649&amp;Q1649&amp;R1649&amp;S1649&amp;T1649&amp;U1649&amp;V1649&amp;W1649&amp;X1649&amp;Y1649&amp;Z1649&amp;AA1649&amp;AB1649&amp;AC1649&amp;AD1649&amp;AE1649&amp;AF1649&amp;AG1649</f>
        <v/>
      </c>
      <c r="N1649" s="10">
        <f>TEXT($B$6,"00")</f>
        <v/>
      </c>
      <c r="O1649" s="10">
        <f>REPT(" ",8)</f>
        <v/>
      </c>
      <c r="P1649" s="10">
        <f>RIGHT($B$4,2)</f>
        <v/>
      </c>
      <c r="Q1649" s="10">
        <f>RIGHT($B$5,3)</f>
        <v/>
      </c>
      <c r="R1649" s="10">
        <f>IF(A1649="D",LEFT(UPPER(B1649)&amp;REPT(" ",20),20),REPT(" ",20))</f>
        <v/>
      </c>
      <c r="S1649" s="10">
        <f>IF(A1649="D",LEFT(UPPER(C1649)&amp;REPT(" ",10),10)," ")</f>
        <v/>
      </c>
      <c r="T1649" s="10">
        <f>IF(A1649="D",LEFT(UPPER(D1649)&amp;REPT(" ",2),2)," ")</f>
        <v/>
      </c>
      <c r="U1649" s="10">
        <f>IF(A1649="D",LEFT(UPPER(E1649)&amp;REPT(" ",15),15)," ")</f>
        <v/>
      </c>
      <c r="V1649" s="10">
        <f>REPT(" ",24)</f>
        <v/>
      </c>
      <c r="W1649" s="10">
        <f>IF(A1649="c",LEFT(UPPER(B1649)&amp;REPT(" ",20),20),REPT(" ",20))</f>
        <v/>
      </c>
      <c r="X1649" s="10">
        <f>IF(A1649="C",LEFT(UPPER(C1649)&amp;REPT(" ",10),10)," ")</f>
        <v/>
      </c>
      <c r="Y1649" s="10">
        <f>IF(A1649="C",LEFT(UPPER(D1649)&amp;REPT(" ",2),2)," ")</f>
        <v/>
      </c>
      <c r="Z1649" s="10">
        <f>IF(A1649="C",LEFT(UPPER(E1649)&amp;REPT(" ",15),15)," ")</f>
        <v/>
      </c>
      <c r="AA1649" s="10">
        <f>REPT(" ",8)</f>
        <v/>
      </c>
      <c r="AB1649" s="10">
        <f>REPT(" ",4)</f>
        <v/>
      </c>
      <c r="AC1649" s="10">
        <f>LEFT(UPPER(H1649)&amp;REPT(" ",250),250)</f>
        <v/>
      </c>
      <c r="AD1649" s="10">
        <f>TEXT($G$2,"dd/mm/aaaa")</f>
        <v/>
      </c>
      <c r="AE1649" s="10">
        <f>REPT(" ",10)</f>
        <v/>
      </c>
      <c r="AF1649" s="10">
        <f>REPT(" ",20)</f>
        <v/>
      </c>
      <c r="AG1649" s="54">
        <f>REPT(" ",18-LEN(FIXED(F1649,2,TRUE)))&amp;FIXED(F1649,2,TRUE)</f>
        <v/>
      </c>
      <c r="AH1649" s="10">
        <f>LEN(AC1649)+LEN(AG1649)</f>
        <v/>
      </c>
      <c r="AI1649" s="10">
        <f>LEN(L1649)</f>
        <v/>
      </c>
    </row>
    <row r="1650">
      <c r="J1650" s="12">
        <f>IF(F1650&lt;&gt;0,"LANÇAR","")</f>
        <v/>
      </c>
      <c r="L1650" s="13">
        <f>N1650&amp;O1650&amp;P1650&amp;Q1650&amp;R1650&amp;S1650&amp;T1650&amp;U1650&amp;V1650&amp;W1650&amp;X1650&amp;Y1650&amp;Z1650&amp;AA1650&amp;AB1650&amp;AC1650&amp;AD1650&amp;AE1650&amp;AF1650&amp;AG1650</f>
        <v/>
      </c>
      <c r="N1650" s="10">
        <f>TEXT($B$6,"00")</f>
        <v/>
      </c>
      <c r="O1650" s="10">
        <f>REPT(" ",8)</f>
        <v/>
      </c>
      <c r="P1650" s="10">
        <f>RIGHT($B$4,2)</f>
        <v/>
      </c>
      <c r="Q1650" s="10">
        <f>RIGHT($B$5,3)</f>
        <v/>
      </c>
      <c r="R1650" s="10">
        <f>IF(A1650="D",LEFT(UPPER(B1650)&amp;REPT(" ",20),20),REPT(" ",20))</f>
        <v/>
      </c>
      <c r="S1650" s="10">
        <f>IF(A1650="D",LEFT(UPPER(C1650)&amp;REPT(" ",10),10)," ")</f>
        <v/>
      </c>
      <c r="T1650" s="10">
        <f>IF(A1650="D",LEFT(UPPER(D1650)&amp;REPT(" ",2),2)," ")</f>
        <v/>
      </c>
      <c r="U1650" s="10">
        <f>IF(A1650="D",LEFT(UPPER(E1650)&amp;REPT(" ",15),15)," ")</f>
        <v/>
      </c>
      <c r="V1650" s="10">
        <f>REPT(" ",24)</f>
        <v/>
      </c>
      <c r="W1650" s="10">
        <f>IF(A1650="c",LEFT(UPPER(B1650)&amp;REPT(" ",20),20),REPT(" ",20))</f>
        <v/>
      </c>
      <c r="X1650" s="10">
        <f>IF(A1650="C",LEFT(UPPER(C1650)&amp;REPT(" ",10),10)," ")</f>
        <v/>
      </c>
      <c r="Y1650" s="10">
        <f>IF(A1650="C",LEFT(UPPER(D1650)&amp;REPT(" ",2),2)," ")</f>
        <v/>
      </c>
      <c r="Z1650" s="10">
        <f>IF(A1650="C",LEFT(UPPER(E1650)&amp;REPT(" ",15),15)," ")</f>
        <v/>
      </c>
      <c r="AA1650" s="10">
        <f>REPT(" ",8)</f>
        <v/>
      </c>
      <c r="AB1650" s="10">
        <f>REPT(" ",4)</f>
        <v/>
      </c>
      <c r="AC1650" s="10">
        <f>LEFT(UPPER(H1650)&amp;REPT(" ",250),250)</f>
        <v/>
      </c>
      <c r="AD1650" s="10">
        <f>TEXT($G$2,"dd/mm/aaaa")</f>
        <v/>
      </c>
      <c r="AE1650" s="10">
        <f>REPT(" ",10)</f>
        <v/>
      </c>
      <c r="AF1650" s="10">
        <f>REPT(" ",20)</f>
        <v/>
      </c>
      <c r="AG1650" s="54">
        <f>REPT(" ",18-LEN(FIXED(F1650,2,TRUE)))&amp;FIXED(F1650,2,TRUE)</f>
        <v/>
      </c>
      <c r="AH1650" s="10">
        <f>LEN(AC1650)+LEN(AG1650)</f>
        <v/>
      </c>
      <c r="AI1650" s="10">
        <f>LEN(L1650)</f>
        <v/>
      </c>
    </row>
    <row r="1651">
      <c r="J1651" s="12">
        <f>IF(F1651&lt;&gt;0,"LANÇAR","")</f>
        <v/>
      </c>
      <c r="L1651" s="13">
        <f>N1651&amp;O1651&amp;P1651&amp;Q1651&amp;R1651&amp;S1651&amp;T1651&amp;U1651&amp;V1651&amp;W1651&amp;X1651&amp;Y1651&amp;Z1651&amp;AA1651&amp;AB1651&amp;AC1651&amp;AD1651&amp;AE1651&amp;AF1651&amp;AG1651</f>
        <v/>
      </c>
      <c r="N1651" s="10">
        <f>TEXT($B$6,"00")</f>
        <v/>
      </c>
      <c r="O1651" s="10">
        <f>REPT(" ",8)</f>
        <v/>
      </c>
      <c r="P1651" s="10">
        <f>RIGHT($B$4,2)</f>
        <v/>
      </c>
      <c r="Q1651" s="10">
        <f>RIGHT($B$5,3)</f>
        <v/>
      </c>
      <c r="R1651" s="10">
        <f>IF(A1651="D",LEFT(UPPER(B1651)&amp;REPT(" ",20),20),REPT(" ",20))</f>
        <v/>
      </c>
      <c r="S1651" s="10">
        <f>IF(A1651="D",LEFT(UPPER(C1651)&amp;REPT(" ",10),10)," ")</f>
        <v/>
      </c>
      <c r="T1651" s="10">
        <f>IF(A1651="D",LEFT(UPPER(D1651)&amp;REPT(" ",2),2)," ")</f>
        <v/>
      </c>
      <c r="U1651" s="10">
        <f>IF(A1651="D",LEFT(UPPER(E1651)&amp;REPT(" ",15),15)," ")</f>
        <v/>
      </c>
      <c r="V1651" s="10">
        <f>REPT(" ",24)</f>
        <v/>
      </c>
      <c r="W1651" s="10">
        <f>IF(A1651="c",LEFT(UPPER(B1651)&amp;REPT(" ",20),20),REPT(" ",20))</f>
        <v/>
      </c>
      <c r="X1651" s="10">
        <f>IF(A1651="C",LEFT(UPPER(C1651)&amp;REPT(" ",10),10)," ")</f>
        <v/>
      </c>
      <c r="Y1651" s="10">
        <f>IF(A1651="C",LEFT(UPPER(D1651)&amp;REPT(" ",2),2)," ")</f>
        <v/>
      </c>
      <c r="Z1651" s="10">
        <f>IF(A1651="C",LEFT(UPPER(E1651)&amp;REPT(" ",15),15)," ")</f>
        <v/>
      </c>
      <c r="AA1651" s="10">
        <f>REPT(" ",8)</f>
        <v/>
      </c>
      <c r="AB1651" s="10">
        <f>REPT(" ",4)</f>
        <v/>
      </c>
      <c r="AC1651" s="10">
        <f>LEFT(UPPER(H1651)&amp;REPT(" ",250),250)</f>
        <v/>
      </c>
      <c r="AD1651" s="10">
        <f>TEXT($G$2,"dd/mm/aaaa")</f>
        <v/>
      </c>
      <c r="AE1651" s="10">
        <f>REPT(" ",10)</f>
        <v/>
      </c>
      <c r="AF1651" s="10">
        <f>REPT(" ",20)</f>
        <v/>
      </c>
      <c r="AG1651" s="54">
        <f>REPT(" ",18-LEN(FIXED(F1651,2,TRUE)))&amp;FIXED(F1651,2,TRUE)</f>
        <v/>
      </c>
      <c r="AH1651" s="10">
        <f>LEN(AC1651)+LEN(AG1651)</f>
        <v/>
      </c>
      <c r="AI1651" s="10">
        <f>LEN(L1651)</f>
        <v/>
      </c>
    </row>
    <row r="1652">
      <c r="J1652" s="12">
        <f>IF(F1652&lt;&gt;0,"LANÇAR","")</f>
        <v/>
      </c>
      <c r="L1652" s="13">
        <f>N1652&amp;O1652&amp;P1652&amp;Q1652&amp;R1652&amp;S1652&amp;T1652&amp;U1652&amp;V1652&amp;W1652&amp;X1652&amp;Y1652&amp;Z1652&amp;AA1652&amp;AB1652&amp;AC1652&amp;AD1652&amp;AE1652&amp;AF1652&amp;AG1652</f>
        <v/>
      </c>
      <c r="N1652" s="10">
        <f>TEXT($B$6,"00")</f>
        <v/>
      </c>
      <c r="O1652" s="10">
        <f>REPT(" ",8)</f>
        <v/>
      </c>
      <c r="P1652" s="10">
        <f>RIGHT($B$4,2)</f>
        <v/>
      </c>
      <c r="Q1652" s="10">
        <f>RIGHT($B$5,3)</f>
        <v/>
      </c>
      <c r="R1652" s="10">
        <f>IF(A1652="D",LEFT(UPPER(B1652)&amp;REPT(" ",20),20),REPT(" ",20))</f>
        <v/>
      </c>
      <c r="S1652" s="10">
        <f>IF(A1652="D",LEFT(UPPER(C1652)&amp;REPT(" ",10),10)," ")</f>
        <v/>
      </c>
      <c r="T1652" s="10">
        <f>IF(A1652="D",LEFT(UPPER(D1652)&amp;REPT(" ",2),2)," ")</f>
        <v/>
      </c>
      <c r="U1652" s="10">
        <f>IF(A1652="D",LEFT(UPPER(E1652)&amp;REPT(" ",15),15)," ")</f>
        <v/>
      </c>
      <c r="V1652" s="10">
        <f>REPT(" ",24)</f>
        <v/>
      </c>
      <c r="W1652" s="10">
        <f>IF(A1652="c",LEFT(UPPER(B1652)&amp;REPT(" ",20),20),REPT(" ",20))</f>
        <v/>
      </c>
      <c r="X1652" s="10">
        <f>IF(A1652="C",LEFT(UPPER(C1652)&amp;REPT(" ",10),10)," ")</f>
        <v/>
      </c>
      <c r="Y1652" s="10">
        <f>IF(A1652="C",LEFT(UPPER(D1652)&amp;REPT(" ",2),2)," ")</f>
        <v/>
      </c>
      <c r="Z1652" s="10">
        <f>IF(A1652="C",LEFT(UPPER(E1652)&amp;REPT(" ",15),15)," ")</f>
        <v/>
      </c>
      <c r="AA1652" s="10">
        <f>REPT(" ",8)</f>
        <v/>
      </c>
      <c r="AB1652" s="10">
        <f>REPT(" ",4)</f>
        <v/>
      </c>
      <c r="AC1652" s="10">
        <f>LEFT(UPPER(H1652)&amp;REPT(" ",250),250)</f>
        <v/>
      </c>
      <c r="AD1652" s="10">
        <f>TEXT($G$2,"dd/mm/aaaa")</f>
        <v/>
      </c>
      <c r="AE1652" s="10">
        <f>REPT(" ",10)</f>
        <v/>
      </c>
      <c r="AF1652" s="10">
        <f>REPT(" ",20)</f>
        <v/>
      </c>
      <c r="AG1652" s="54">
        <f>REPT(" ",18-LEN(FIXED(F1652,2,TRUE)))&amp;FIXED(F1652,2,TRUE)</f>
        <v/>
      </c>
      <c r="AH1652" s="10">
        <f>LEN(AC1652)+LEN(AG1652)</f>
        <v/>
      </c>
      <c r="AI1652" s="10">
        <f>LEN(L1652)</f>
        <v/>
      </c>
    </row>
    <row r="1653">
      <c r="J1653" s="12">
        <f>IF(F1653&lt;&gt;0,"LANÇAR","")</f>
        <v/>
      </c>
      <c r="L1653" s="13">
        <f>N1653&amp;O1653&amp;P1653&amp;Q1653&amp;R1653&amp;S1653&amp;T1653&amp;U1653&amp;V1653&amp;W1653&amp;X1653&amp;Y1653&amp;Z1653&amp;AA1653&amp;AB1653&amp;AC1653&amp;AD1653&amp;AE1653&amp;AF1653&amp;AG1653</f>
        <v/>
      </c>
      <c r="N1653" s="10">
        <f>TEXT($B$6,"00")</f>
        <v/>
      </c>
      <c r="O1653" s="10">
        <f>REPT(" ",8)</f>
        <v/>
      </c>
      <c r="P1653" s="10">
        <f>RIGHT($B$4,2)</f>
        <v/>
      </c>
      <c r="Q1653" s="10">
        <f>RIGHT($B$5,3)</f>
        <v/>
      </c>
      <c r="R1653" s="10">
        <f>IF(A1653="D",LEFT(UPPER(B1653)&amp;REPT(" ",20),20),REPT(" ",20))</f>
        <v/>
      </c>
      <c r="S1653" s="10">
        <f>IF(A1653="D",LEFT(UPPER(C1653)&amp;REPT(" ",10),10)," ")</f>
        <v/>
      </c>
      <c r="T1653" s="10">
        <f>IF(A1653="D",LEFT(UPPER(D1653)&amp;REPT(" ",2),2)," ")</f>
        <v/>
      </c>
      <c r="U1653" s="10">
        <f>IF(A1653="D",LEFT(UPPER(E1653)&amp;REPT(" ",15),15)," ")</f>
        <v/>
      </c>
      <c r="V1653" s="10">
        <f>REPT(" ",24)</f>
        <v/>
      </c>
      <c r="W1653" s="10">
        <f>IF(A1653="c",LEFT(UPPER(B1653)&amp;REPT(" ",20),20),REPT(" ",20))</f>
        <v/>
      </c>
      <c r="X1653" s="10">
        <f>IF(A1653="C",LEFT(UPPER(C1653)&amp;REPT(" ",10),10)," ")</f>
        <v/>
      </c>
      <c r="Y1653" s="10">
        <f>IF(A1653="C",LEFT(UPPER(D1653)&amp;REPT(" ",2),2)," ")</f>
        <v/>
      </c>
      <c r="Z1653" s="10">
        <f>IF(A1653="C",LEFT(UPPER(E1653)&amp;REPT(" ",15),15)," ")</f>
        <v/>
      </c>
      <c r="AA1653" s="10">
        <f>REPT(" ",8)</f>
        <v/>
      </c>
      <c r="AB1653" s="10">
        <f>REPT(" ",4)</f>
        <v/>
      </c>
      <c r="AC1653" s="10">
        <f>LEFT(UPPER(H1653)&amp;REPT(" ",250),250)</f>
        <v/>
      </c>
      <c r="AD1653" s="10">
        <f>TEXT($G$2,"dd/mm/aaaa")</f>
        <v/>
      </c>
      <c r="AE1653" s="10">
        <f>REPT(" ",10)</f>
        <v/>
      </c>
      <c r="AF1653" s="10">
        <f>REPT(" ",20)</f>
        <v/>
      </c>
      <c r="AG1653" s="54">
        <f>REPT(" ",18-LEN(FIXED(F1653,2,TRUE)))&amp;FIXED(F1653,2,TRUE)</f>
        <v/>
      </c>
      <c r="AH1653" s="10">
        <f>LEN(AC1653)+LEN(AG1653)</f>
        <v/>
      </c>
      <c r="AI1653" s="10">
        <f>LEN(L1653)</f>
        <v/>
      </c>
    </row>
    <row r="1654">
      <c r="J1654" s="12">
        <f>IF(F1654&lt;&gt;0,"LANÇAR","")</f>
        <v/>
      </c>
      <c r="L1654" s="13">
        <f>N1654&amp;O1654&amp;P1654&amp;Q1654&amp;R1654&amp;S1654&amp;T1654&amp;U1654&amp;V1654&amp;W1654&amp;X1654&amp;Y1654&amp;Z1654&amp;AA1654&amp;AB1654&amp;AC1654&amp;AD1654&amp;AE1654&amp;AF1654&amp;AG1654</f>
        <v/>
      </c>
      <c r="N1654" s="10">
        <f>TEXT($B$6,"00")</f>
        <v/>
      </c>
      <c r="O1654" s="10">
        <f>REPT(" ",8)</f>
        <v/>
      </c>
      <c r="P1654" s="10">
        <f>RIGHT($B$4,2)</f>
        <v/>
      </c>
      <c r="Q1654" s="10">
        <f>RIGHT($B$5,3)</f>
        <v/>
      </c>
      <c r="R1654" s="10">
        <f>IF(A1654="D",LEFT(UPPER(B1654)&amp;REPT(" ",20),20),REPT(" ",20))</f>
        <v/>
      </c>
      <c r="S1654" s="10">
        <f>IF(A1654="D",LEFT(UPPER(C1654)&amp;REPT(" ",10),10)," ")</f>
        <v/>
      </c>
      <c r="T1654" s="10">
        <f>IF(A1654="D",LEFT(UPPER(D1654)&amp;REPT(" ",2),2)," ")</f>
        <v/>
      </c>
      <c r="U1654" s="10">
        <f>IF(A1654="D",LEFT(UPPER(E1654)&amp;REPT(" ",15),15)," ")</f>
        <v/>
      </c>
      <c r="V1654" s="10">
        <f>REPT(" ",24)</f>
        <v/>
      </c>
      <c r="W1654" s="10">
        <f>IF(A1654="c",LEFT(UPPER(B1654)&amp;REPT(" ",20),20),REPT(" ",20))</f>
        <v/>
      </c>
      <c r="X1654" s="10">
        <f>IF(A1654="C",LEFT(UPPER(C1654)&amp;REPT(" ",10),10)," ")</f>
        <v/>
      </c>
      <c r="Y1654" s="10">
        <f>IF(A1654="C",LEFT(UPPER(D1654)&amp;REPT(" ",2),2)," ")</f>
        <v/>
      </c>
      <c r="Z1654" s="10">
        <f>IF(A1654="C",LEFT(UPPER(E1654)&amp;REPT(" ",15),15)," ")</f>
        <v/>
      </c>
      <c r="AA1654" s="10">
        <f>REPT(" ",8)</f>
        <v/>
      </c>
      <c r="AB1654" s="10">
        <f>REPT(" ",4)</f>
        <v/>
      </c>
      <c r="AC1654" s="10">
        <f>LEFT(UPPER(H1654)&amp;REPT(" ",250),250)</f>
        <v/>
      </c>
      <c r="AD1654" s="10">
        <f>TEXT($G$2,"dd/mm/aaaa")</f>
        <v/>
      </c>
      <c r="AE1654" s="10">
        <f>REPT(" ",10)</f>
        <v/>
      </c>
      <c r="AF1654" s="10">
        <f>REPT(" ",20)</f>
        <v/>
      </c>
      <c r="AG1654" s="54">
        <f>REPT(" ",18-LEN(FIXED(F1654,2,TRUE)))&amp;FIXED(F1654,2,TRUE)</f>
        <v/>
      </c>
      <c r="AH1654" s="10">
        <f>LEN(AC1654)+LEN(AG1654)</f>
        <v/>
      </c>
      <c r="AI1654" s="10">
        <f>LEN(L1654)</f>
        <v/>
      </c>
    </row>
    <row r="1655">
      <c r="J1655" s="12">
        <f>IF(F1655&lt;&gt;0,"LANÇAR","")</f>
        <v/>
      </c>
      <c r="L1655" s="13">
        <f>N1655&amp;O1655&amp;P1655&amp;Q1655&amp;R1655&amp;S1655&amp;T1655&amp;U1655&amp;V1655&amp;W1655&amp;X1655&amp;Y1655&amp;Z1655&amp;AA1655&amp;AB1655&amp;AC1655&amp;AD1655&amp;AE1655&amp;AF1655&amp;AG1655</f>
        <v/>
      </c>
      <c r="N1655" s="10">
        <f>TEXT($B$6,"00")</f>
        <v/>
      </c>
      <c r="O1655" s="10">
        <f>REPT(" ",8)</f>
        <v/>
      </c>
      <c r="P1655" s="10">
        <f>RIGHT($B$4,2)</f>
        <v/>
      </c>
      <c r="Q1655" s="10">
        <f>RIGHT($B$5,3)</f>
        <v/>
      </c>
      <c r="R1655" s="10">
        <f>IF(A1655="D",LEFT(UPPER(B1655)&amp;REPT(" ",20),20),REPT(" ",20))</f>
        <v/>
      </c>
      <c r="S1655" s="10">
        <f>IF(A1655="D",LEFT(UPPER(C1655)&amp;REPT(" ",10),10)," ")</f>
        <v/>
      </c>
      <c r="T1655" s="10">
        <f>IF(A1655="D",LEFT(UPPER(D1655)&amp;REPT(" ",2),2)," ")</f>
        <v/>
      </c>
      <c r="U1655" s="10">
        <f>IF(A1655="D",LEFT(UPPER(E1655)&amp;REPT(" ",15),15)," ")</f>
        <v/>
      </c>
      <c r="V1655" s="10">
        <f>REPT(" ",24)</f>
        <v/>
      </c>
      <c r="W1655" s="10">
        <f>IF(A1655="c",LEFT(UPPER(B1655)&amp;REPT(" ",20),20),REPT(" ",20))</f>
        <v/>
      </c>
      <c r="X1655" s="10">
        <f>IF(A1655="C",LEFT(UPPER(C1655)&amp;REPT(" ",10),10)," ")</f>
        <v/>
      </c>
      <c r="Y1655" s="10">
        <f>IF(A1655="C",LEFT(UPPER(D1655)&amp;REPT(" ",2),2)," ")</f>
        <v/>
      </c>
      <c r="Z1655" s="10">
        <f>IF(A1655="C",LEFT(UPPER(E1655)&amp;REPT(" ",15),15)," ")</f>
        <v/>
      </c>
      <c r="AA1655" s="10">
        <f>REPT(" ",8)</f>
        <v/>
      </c>
      <c r="AB1655" s="10">
        <f>REPT(" ",4)</f>
        <v/>
      </c>
      <c r="AC1655" s="10">
        <f>LEFT(UPPER(H1655)&amp;REPT(" ",250),250)</f>
        <v/>
      </c>
      <c r="AD1655" s="10">
        <f>TEXT($G$2,"dd/mm/aaaa")</f>
        <v/>
      </c>
      <c r="AE1655" s="10">
        <f>REPT(" ",10)</f>
        <v/>
      </c>
      <c r="AF1655" s="10">
        <f>REPT(" ",20)</f>
        <v/>
      </c>
      <c r="AG1655" s="54">
        <f>REPT(" ",18-LEN(FIXED(F1655,2,TRUE)))&amp;FIXED(F1655,2,TRUE)</f>
        <v/>
      </c>
      <c r="AH1655" s="10">
        <f>LEN(AC1655)+LEN(AG1655)</f>
        <v/>
      </c>
      <c r="AI1655" s="10">
        <f>LEN(L1655)</f>
        <v/>
      </c>
    </row>
    <row r="1656">
      <c r="J1656" s="12">
        <f>IF(F1656&lt;&gt;0,"LANÇAR","")</f>
        <v/>
      </c>
      <c r="L1656" s="13">
        <f>N1656&amp;O1656&amp;P1656&amp;Q1656&amp;R1656&amp;S1656&amp;T1656&amp;U1656&amp;V1656&amp;W1656&amp;X1656&amp;Y1656&amp;Z1656&amp;AA1656&amp;AB1656&amp;AC1656&amp;AD1656&amp;AE1656&amp;AF1656&amp;AG1656</f>
        <v/>
      </c>
      <c r="N1656" s="10">
        <f>TEXT($B$6,"00")</f>
        <v/>
      </c>
      <c r="O1656" s="10">
        <f>REPT(" ",8)</f>
        <v/>
      </c>
      <c r="P1656" s="10">
        <f>RIGHT($B$4,2)</f>
        <v/>
      </c>
      <c r="Q1656" s="10">
        <f>RIGHT($B$5,3)</f>
        <v/>
      </c>
      <c r="R1656" s="10">
        <f>IF(A1656="D",LEFT(UPPER(B1656)&amp;REPT(" ",20),20),REPT(" ",20))</f>
        <v/>
      </c>
      <c r="S1656" s="10">
        <f>IF(A1656="D",LEFT(UPPER(C1656)&amp;REPT(" ",10),10)," ")</f>
        <v/>
      </c>
      <c r="T1656" s="10">
        <f>IF(A1656="D",LEFT(UPPER(D1656)&amp;REPT(" ",2),2)," ")</f>
        <v/>
      </c>
      <c r="U1656" s="10">
        <f>IF(A1656="D",LEFT(UPPER(E1656)&amp;REPT(" ",15),15)," ")</f>
        <v/>
      </c>
      <c r="V1656" s="10">
        <f>REPT(" ",24)</f>
        <v/>
      </c>
      <c r="W1656" s="10">
        <f>IF(A1656="c",LEFT(UPPER(B1656)&amp;REPT(" ",20),20),REPT(" ",20))</f>
        <v/>
      </c>
      <c r="X1656" s="10">
        <f>IF(A1656="C",LEFT(UPPER(C1656)&amp;REPT(" ",10),10)," ")</f>
        <v/>
      </c>
      <c r="Y1656" s="10">
        <f>IF(A1656="C",LEFT(UPPER(D1656)&amp;REPT(" ",2),2)," ")</f>
        <v/>
      </c>
      <c r="Z1656" s="10">
        <f>IF(A1656="C",LEFT(UPPER(E1656)&amp;REPT(" ",15),15)," ")</f>
        <v/>
      </c>
      <c r="AA1656" s="10">
        <f>REPT(" ",8)</f>
        <v/>
      </c>
      <c r="AB1656" s="10">
        <f>REPT(" ",4)</f>
        <v/>
      </c>
      <c r="AC1656" s="10">
        <f>LEFT(UPPER(H1656)&amp;REPT(" ",250),250)</f>
        <v/>
      </c>
      <c r="AD1656" s="10">
        <f>TEXT($G$2,"dd/mm/aaaa")</f>
        <v/>
      </c>
      <c r="AE1656" s="10">
        <f>REPT(" ",10)</f>
        <v/>
      </c>
      <c r="AF1656" s="10">
        <f>REPT(" ",20)</f>
        <v/>
      </c>
      <c r="AG1656" s="54">
        <f>REPT(" ",18-LEN(FIXED(F1656,2,TRUE)))&amp;FIXED(F1656,2,TRUE)</f>
        <v/>
      </c>
      <c r="AH1656" s="10">
        <f>LEN(AC1656)+LEN(AG1656)</f>
        <v/>
      </c>
      <c r="AI1656" s="10">
        <f>LEN(L1656)</f>
        <v/>
      </c>
    </row>
    <row r="1657">
      <c r="J1657" s="12">
        <f>IF(F1657&lt;&gt;0,"LANÇAR","")</f>
        <v/>
      </c>
      <c r="L1657" s="13">
        <f>N1657&amp;O1657&amp;P1657&amp;Q1657&amp;R1657&amp;S1657&amp;T1657&amp;U1657&amp;V1657&amp;W1657&amp;X1657&amp;Y1657&amp;Z1657&amp;AA1657&amp;AB1657&amp;AC1657&amp;AD1657&amp;AE1657&amp;AF1657&amp;AG1657</f>
        <v/>
      </c>
      <c r="N1657" s="10">
        <f>TEXT($B$6,"00")</f>
        <v/>
      </c>
      <c r="O1657" s="10">
        <f>REPT(" ",8)</f>
        <v/>
      </c>
      <c r="P1657" s="10">
        <f>RIGHT($B$4,2)</f>
        <v/>
      </c>
      <c r="Q1657" s="10">
        <f>RIGHT($B$5,3)</f>
        <v/>
      </c>
      <c r="R1657" s="10">
        <f>IF(A1657="D",LEFT(UPPER(B1657)&amp;REPT(" ",20),20),REPT(" ",20))</f>
        <v/>
      </c>
      <c r="S1657" s="10">
        <f>IF(A1657="D",LEFT(UPPER(C1657)&amp;REPT(" ",10),10)," ")</f>
        <v/>
      </c>
      <c r="T1657" s="10">
        <f>IF(A1657="D",LEFT(UPPER(D1657)&amp;REPT(" ",2),2)," ")</f>
        <v/>
      </c>
      <c r="U1657" s="10">
        <f>IF(A1657="D",LEFT(UPPER(E1657)&amp;REPT(" ",15),15)," ")</f>
        <v/>
      </c>
      <c r="V1657" s="10">
        <f>REPT(" ",24)</f>
        <v/>
      </c>
      <c r="W1657" s="10">
        <f>IF(A1657="c",LEFT(UPPER(B1657)&amp;REPT(" ",20),20),REPT(" ",20))</f>
        <v/>
      </c>
      <c r="X1657" s="10">
        <f>IF(A1657="C",LEFT(UPPER(C1657)&amp;REPT(" ",10),10)," ")</f>
        <v/>
      </c>
      <c r="Y1657" s="10">
        <f>IF(A1657="C",LEFT(UPPER(D1657)&amp;REPT(" ",2),2)," ")</f>
        <v/>
      </c>
      <c r="Z1657" s="10">
        <f>IF(A1657="C",LEFT(UPPER(E1657)&amp;REPT(" ",15),15)," ")</f>
        <v/>
      </c>
      <c r="AA1657" s="10">
        <f>REPT(" ",8)</f>
        <v/>
      </c>
      <c r="AB1657" s="10">
        <f>REPT(" ",4)</f>
        <v/>
      </c>
      <c r="AC1657" s="10">
        <f>LEFT(UPPER(H1657)&amp;REPT(" ",250),250)</f>
        <v/>
      </c>
      <c r="AD1657" s="10">
        <f>TEXT($G$2,"dd/mm/aaaa")</f>
        <v/>
      </c>
      <c r="AE1657" s="10">
        <f>REPT(" ",10)</f>
        <v/>
      </c>
      <c r="AF1657" s="10">
        <f>REPT(" ",20)</f>
        <v/>
      </c>
      <c r="AG1657" s="54">
        <f>REPT(" ",18-LEN(FIXED(F1657,2,TRUE)))&amp;FIXED(F1657,2,TRUE)</f>
        <v/>
      </c>
      <c r="AH1657" s="10">
        <f>LEN(AC1657)+LEN(AG1657)</f>
        <v/>
      </c>
      <c r="AI1657" s="10">
        <f>LEN(L1657)</f>
        <v/>
      </c>
    </row>
    <row r="1658">
      <c r="J1658" s="12">
        <f>IF(F1658&lt;&gt;0,"LANÇAR","")</f>
        <v/>
      </c>
      <c r="L1658" s="13">
        <f>N1658&amp;O1658&amp;P1658&amp;Q1658&amp;R1658&amp;S1658&amp;T1658&amp;U1658&amp;V1658&amp;W1658&amp;X1658&amp;Y1658&amp;Z1658&amp;AA1658&amp;AB1658&amp;AC1658&amp;AD1658&amp;AE1658&amp;AF1658&amp;AG1658</f>
        <v/>
      </c>
      <c r="N1658" s="10">
        <f>TEXT($B$6,"00")</f>
        <v/>
      </c>
      <c r="O1658" s="10">
        <f>REPT(" ",8)</f>
        <v/>
      </c>
      <c r="P1658" s="10">
        <f>RIGHT($B$4,2)</f>
        <v/>
      </c>
      <c r="Q1658" s="10">
        <f>RIGHT($B$5,3)</f>
        <v/>
      </c>
      <c r="R1658" s="10">
        <f>IF(A1658="D",LEFT(UPPER(B1658)&amp;REPT(" ",20),20),REPT(" ",20))</f>
        <v/>
      </c>
      <c r="S1658" s="10">
        <f>IF(A1658="D",LEFT(UPPER(C1658)&amp;REPT(" ",10),10)," ")</f>
        <v/>
      </c>
      <c r="T1658" s="10">
        <f>IF(A1658="D",LEFT(UPPER(D1658)&amp;REPT(" ",2),2)," ")</f>
        <v/>
      </c>
      <c r="U1658" s="10">
        <f>IF(A1658="D",LEFT(UPPER(E1658)&amp;REPT(" ",15),15)," ")</f>
        <v/>
      </c>
      <c r="V1658" s="10">
        <f>REPT(" ",24)</f>
        <v/>
      </c>
      <c r="W1658" s="10">
        <f>IF(A1658="c",LEFT(UPPER(B1658)&amp;REPT(" ",20),20),REPT(" ",20))</f>
        <v/>
      </c>
      <c r="X1658" s="10">
        <f>IF(A1658="C",LEFT(UPPER(C1658)&amp;REPT(" ",10),10)," ")</f>
        <v/>
      </c>
      <c r="Y1658" s="10">
        <f>IF(A1658="C",LEFT(UPPER(D1658)&amp;REPT(" ",2),2)," ")</f>
        <v/>
      </c>
      <c r="Z1658" s="10">
        <f>IF(A1658="C",LEFT(UPPER(E1658)&amp;REPT(" ",15),15)," ")</f>
        <v/>
      </c>
      <c r="AA1658" s="10">
        <f>REPT(" ",8)</f>
        <v/>
      </c>
      <c r="AB1658" s="10">
        <f>REPT(" ",4)</f>
        <v/>
      </c>
      <c r="AC1658" s="10">
        <f>LEFT(UPPER(H1658)&amp;REPT(" ",250),250)</f>
        <v/>
      </c>
      <c r="AD1658" s="10">
        <f>TEXT($G$2,"dd/mm/aaaa")</f>
        <v/>
      </c>
      <c r="AE1658" s="10">
        <f>REPT(" ",10)</f>
        <v/>
      </c>
      <c r="AF1658" s="10">
        <f>REPT(" ",20)</f>
        <v/>
      </c>
      <c r="AG1658" s="54">
        <f>REPT(" ",18-LEN(FIXED(F1658,2,TRUE)))&amp;FIXED(F1658,2,TRUE)</f>
        <v/>
      </c>
      <c r="AH1658" s="10">
        <f>LEN(AC1658)+LEN(AG1658)</f>
        <v/>
      </c>
      <c r="AI1658" s="10">
        <f>LEN(L1658)</f>
        <v/>
      </c>
    </row>
    <row r="1659">
      <c r="J1659" s="12">
        <f>IF(F1659&lt;&gt;0,"LANÇAR","")</f>
        <v/>
      </c>
      <c r="L1659" s="13">
        <f>N1659&amp;O1659&amp;P1659&amp;Q1659&amp;R1659&amp;S1659&amp;T1659&amp;U1659&amp;V1659&amp;W1659&amp;X1659&amp;Y1659&amp;Z1659&amp;AA1659&amp;AB1659&amp;AC1659&amp;AD1659&amp;AE1659&amp;AF1659&amp;AG1659</f>
        <v/>
      </c>
      <c r="N1659" s="10">
        <f>TEXT($B$6,"00")</f>
        <v/>
      </c>
      <c r="O1659" s="10">
        <f>REPT(" ",8)</f>
        <v/>
      </c>
      <c r="P1659" s="10">
        <f>RIGHT($B$4,2)</f>
        <v/>
      </c>
      <c r="Q1659" s="10">
        <f>RIGHT($B$5,3)</f>
        <v/>
      </c>
      <c r="R1659" s="10">
        <f>IF(A1659="D",LEFT(UPPER(B1659)&amp;REPT(" ",20),20),REPT(" ",20))</f>
        <v/>
      </c>
      <c r="S1659" s="10">
        <f>IF(A1659="D",LEFT(UPPER(C1659)&amp;REPT(" ",10),10)," ")</f>
        <v/>
      </c>
      <c r="T1659" s="10">
        <f>IF(A1659="D",LEFT(UPPER(D1659)&amp;REPT(" ",2),2)," ")</f>
        <v/>
      </c>
      <c r="U1659" s="10">
        <f>IF(A1659="D",LEFT(UPPER(E1659)&amp;REPT(" ",15),15)," ")</f>
        <v/>
      </c>
      <c r="V1659" s="10">
        <f>REPT(" ",24)</f>
        <v/>
      </c>
      <c r="W1659" s="10">
        <f>IF(A1659="c",LEFT(UPPER(B1659)&amp;REPT(" ",20),20),REPT(" ",20))</f>
        <v/>
      </c>
      <c r="X1659" s="10">
        <f>IF(A1659="C",LEFT(UPPER(C1659)&amp;REPT(" ",10),10)," ")</f>
        <v/>
      </c>
      <c r="Y1659" s="10">
        <f>IF(A1659="C",LEFT(UPPER(D1659)&amp;REPT(" ",2),2)," ")</f>
        <v/>
      </c>
      <c r="Z1659" s="10">
        <f>IF(A1659="C",LEFT(UPPER(E1659)&amp;REPT(" ",15),15)," ")</f>
        <v/>
      </c>
      <c r="AA1659" s="10">
        <f>REPT(" ",8)</f>
        <v/>
      </c>
      <c r="AB1659" s="10">
        <f>REPT(" ",4)</f>
        <v/>
      </c>
      <c r="AC1659" s="10">
        <f>LEFT(UPPER(H1659)&amp;REPT(" ",250),250)</f>
        <v/>
      </c>
      <c r="AD1659" s="10">
        <f>TEXT($G$2,"dd/mm/aaaa")</f>
        <v/>
      </c>
      <c r="AE1659" s="10">
        <f>REPT(" ",10)</f>
        <v/>
      </c>
      <c r="AF1659" s="10">
        <f>REPT(" ",20)</f>
        <v/>
      </c>
      <c r="AG1659" s="54">
        <f>REPT(" ",18-LEN(FIXED(F1659,2,TRUE)))&amp;FIXED(F1659,2,TRUE)</f>
        <v/>
      </c>
      <c r="AH1659" s="10">
        <f>LEN(AC1659)+LEN(AG1659)</f>
        <v/>
      </c>
      <c r="AI1659" s="10">
        <f>LEN(L1659)</f>
        <v/>
      </c>
    </row>
    <row r="1660">
      <c r="J1660" s="12">
        <f>IF(F1660&lt;&gt;0,"LANÇAR","")</f>
        <v/>
      </c>
      <c r="L1660" s="13">
        <f>N1660&amp;O1660&amp;P1660&amp;Q1660&amp;R1660&amp;S1660&amp;T1660&amp;U1660&amp;V1660&amp;W1660&amp;X1660&amp;Y1660&amp;Z1660&amp;AA1660&amp;AB1660&amp;AC1660&amp;AD1660&amp;AE1660&amp;AF1660&amp;AG1660</f>
        <v/>
      </c>
      <c r="N1660" s="10">
        <f>TEXT($B$6,"00")</f>
        <v/>
      </c>
      <c r="O1660" s="10">
        <f>REPT(" ",8)</f>
        <v/>
      </c>
      <c r="P1660" s="10">
        <f>RIGHT($B$4,2)</f>
        <v/>
      </c>
      <c r="Q1660" s="10">
        <f>RIGHT($B$5,3)</f>
        <v/>
      </c>
      <c r="R1660" s="10">
        <f>IF(A1660="D",LEFT(UPPER(B1660)&amp;REPT(" ",20),20),REPT(" ",20))</f>
        <v/>
      </c>
      <c r="S1660" s="10">
        <f>IF(A1660="D",LEFT(UPPER(C1660)&amp;REPT(" ",10),10)," ")</f>
        <v/>
      </c>
      <c r="T1660" s="10">
        <f>IF(A1660="D",LEFT(UPPER(D1660)&amp;REPT(" ",2),2)," ")</f>
        <v/>
      </c>
      <c r="U1660" s="10">
        <f>IF(A1660="D",LEFT(UPPER(E1660)&amp;REPT(" ",15),15)," ")</f>
        <v/>
      </c>
      <c r="V1660" s="10">
        <f>REPT(" ",24)</f>
        <v/>
      </c>
      <c r="W1660" s="10">
        <f>IF(A1660="c",LEFT(UPPER(B1660)&amp;REPT(" ",20),20),REPT(" ",20))</f>
        <v/>
      </c>
      <c r="X1660" s="10">
        <f>IF(A1660="C",LEFT(UPPER(C1660)&amp;REPT(" ",10),10)," ")</f>
        <v/>
      </c>
      <c r="Y1660" s="10">
        <f>IF(A1660="C",LEFT(UPPER(D1660)&amp;REPT(" ",2),2)," ")</f>
        <v/>
      </c>
      <c r="Z1660" s="10">
        <f>IF(A1660="C",LEFT(UPPER(E1660)&amp;REPT(" ",15),15)," ")</f>
        <v/>
      </c>
      <c r="AA1660" s="10">
        <f>REPT(" ",8)</f>
        <v/>
      </c>
      <c r="AB1660" s="10">
        <f>REPT(" ",4)</f>
        <v/>
      </c>
      <c r="AC1660" s="10">
        <f>LEFT(UPPER(H1660)&amp;REPT(" ",250),250)</f>
        <v/>
      </c>
      <c r="AD1660" s="10">
        <f>TEXT($G$2,"dd/mm/aaaa")</f>
        <v/>
      </c>
      <c r="AE1660" s="10">
        <f>REPT(" ",10)</f>
        <v/>
      </c>
      <c r="AF1660" s="10">
        <f>REPT(" ",20)</f>
        <v/>
      </c>
      <c r="AG1660" s="54">
        <f>REPT(" ",18-LEN(FIXED(F1660,2,TRUE)))&amp;FIXED(F1660,2,TRUE)</f>
        <v/>
      </c>
      <c r="AH1660" s="10">
        <f>LEN(AC1660)+LEN(AG1660)</f>
        <v/>
      </c>
      <c r="AI1660" s="10">
        <f>LEN(L1660)</f>
        <v/>
      </c>
    </row>
    <row r="1661">
      <c r="J1661" s="12">
        <f>IF(F1661&lt;&gt;0,"LANÇAR","")</f>
        <v/>
      </c>
      <c r="L1661" s="13">
        <f>N1661&amp;O1661&amp;P1661&amp;Q1661&amp;R1661&amp;S1661&amp;T1661&amp;U1661&amp;V1661&amp;W1661&amp;X1661&amp;Y1661&amp;Z1661&amp;AA1661&amp;AB1661&amp;AC1661&amp;AD1661&amp;AE1661&amp;AF1661&amp;AG1661</f>
        <v/>
      </c>
      <c r="N1661" s="10">
        <f>TEXT($B$6,"00")</f>
        <v/>
      </c>
      <c r="O1661" s="10">
        <f>REPT(" ",8)</f>
        <v/>
      </c>
      <c r="P1661" s="10">
        <f>RIGHT($B$4,2)</f>
        <v/>
      </c>
      <c r="Q1661" s="10">
        <f>RIGHT($B$5,3)</f>
        <v/>
      </c>
      <c r="R1661" s="10">
        <f>IF(A1661="D",LEFT(UPPER(B1661)&amp;REPT(" ",20),20),REPT(" ",20))</f>
        <v/>
      </c>
      <c r="S1661" s="10">
        <f>IF(A1661="D",LEFT(UPPER(C1661)&amp;REPT(" ",10),10)," ")</f>
        <v/>
      </c>
      <c r="T1661" s="10">
        <f>IF(A1661="D",LEFT(UPPER(D1661)&amp;REPT(" ",2),2)," ")</f>
        <v/>
      </c>
      <c r="U1661" s="10">
        <f>IF(A1661="D",LEFT(UPPER(E1661)&amp;REPT(" ",15),15)," ")</f>
        <v/>
      </c>
      <c r="V1661" s="10">
        <f>REPT(" ",24)</f>
        <v/>
      </c>
      <c r="W1661" s="10">
        <f>IF(A1661="c",LEFT(UPPER(B1661)&amp;REPT(" ",20),20),REPT(" ",20))</f>
        <v/>
      </c>
      <c r="X1661" s="10">
        <f>IF(A1661="C",LEFT(UPPER(C1661)&amp;REPT(" ",10),10)," ")</f>
        <v/>
      </c>
      <c r="Y1661" s="10">
        <f>IF(A1661="C",LEFT(UPPER(D1661)&amp;REPT(" ",2),2)," ")</f>
        <v/>
      </c>
      <c r="Z1661" s="10">
        <f>IF(A1661="C",LEFT(UPPER(E1661)&amp;REPT(" ",15),15)," ")</f>
        <v/>
      </c>
      <c r="AA1661" s="10">
        <f>REPT(" ",8)</f>
        <v/>
      </c>
      <c r="AB1661" s="10">
        <f>REPT(" ",4)</f>
        <v/>
      </c>
      <c r="AC1661" s="10">
        <f>LEFT(UPPER(H1661)&amp;REPT(" ",250),250)</f>
        <v/>
      </c>
      <c r="AD1661" s="10">
        <f>TEXT($G$2,"dd/mm/aaaa")</f>
        <v/>
      </c>
      <c r="AE1661" s="10">
        <f>REPT(" ",10)</f>
        <v/>
      </c>
      <c r="AF1661" s="10">
        <f>REPT(" ",20)</f>
        <v/>
      </c>
      <c r="AG1661" s="54">
        <f>REPT(" ",18-LEN(FIXED(F1661,2,TRUE)))&amp;FIXED(F1661,2,TRUE)</f>
        <v/>
      </c>
      <c r="AH1661" s="10">
        <f>LEN(AC1661)+LEN(AG1661)</f>
        <v/>
      </c>
      <c r="AI1661" s="10">
        <f>LEN(L1661)</f>
        <v/>
      </c>
    </row>
    <row r="1662">
      <c r="J1662" s="12">
        <f>IF(F1662&lt;&gt;0,"LANÇAR","")</f>
        <v/>
      </c>
      <c r="L1662" s="13">
        <f>N1662&amp;O1662&amp;P1662&amp;Q1662&amp;R1662&amp;S1662&amp;T1662&amp;U1662&amp;V1662&amp;W1662&amp;X1662&amp;Y1662&amp;Z1662&amp;AA1662&amp;AB1662&amp;AC1662&amp;AD1662&amp;AE1662&amp;AF1662&amp;AG1662</f>
        <v/>
      </c>
      <c r="N1662" s="10">
        <f>TEXT($B$6,"00")</f>
        <v/>
      </c>
      <c r="O1662" s="10">
        <f>REPT(" ",8)</f>
        <v/>
      </c>
      <c r="P1662" s="10">
        <f>RIGHT($B$4,2)</f>
        <v/>
      </c>
      <c r="Q1662" s="10">
        <f>RIGHT($B$5,3)</f>
        <v/>
      </c>
      <c r="R1662" s="10">
        <f>IF(A1662="D",LEFT(UPPER(B1662)&amp;REPT(" ",20),20),REPT(" ",20))</f>
        <v/>
      </c>
      <c r="S1662" s="10">
        <f>IF(A1662="D",LEFT(UPPER(C1662)&amp;REPT(" ",10),10)," ")</f>
        <v/>
      </c>
      <c r="T1662" s="10">
        <f>IF(A1662="D",LEFT(UPPER(D1662)&amp;REPT(" ",2),2)," ")</f>
        <v/>
      </c>
      <c r="U1662" s="10">
        <f>IF(A1662="D",LEFT(UPPER(E1662)&amp;REPT(" ",15),15)," ")</f>
        <v/>
      </c>
      <c r="V1662" s="10">
        <f>REPT(" ",24)</f>
        <v/>
      </c>
      <c r="W1662" s="10">
        <f>IF(A1662="c",LEFT(UPPER(B1662)&amp;REPT(" ",20),20),REPT(" ",20))</f>
        <v/>
      </c>
      <c r="X1662" s="10">
        <f>IF(A1662="C",LEFT(UPPER(C1662)&amp;REPT(" ",10),10)," ")</f>
        <v/>
      </c>
      <c r="Y1662" s="10">
        <f>IF(A1662="C",LEFT(UPPER(D1662)&amp;REPT(" ",2),2)," ")</f>
        <v/>
      </c>
      <c r="Z1662" s="10">
        <f>IF(A1662="C",LEFT(UPPER(E1662)&amp;REPT(" ",15),15)," ")</f>
        <v/>
      </c>
      <c r="AA1662" s="10">
        <f>REPT(" ",8)</f>
        <v/>
      </c>
      <c r="AB1662" s="10">
        <f>REPT(" ",4)</f>
        <v/>
      </c>
      <c r="AC1662" s="10">
        <f>LEFT(UPPER(H1662)&amp;REPT(" ",250),250)</f>
        <v/>
      </c>
      <c r="AD1662" s="10">
        <f>TEXT($G$2,"dd/mm/aaaa")</f>
        <v/>
      </c>
      <c r="AE1662" s="10">
        <f>REPT(" ",10)</f>
        <v/>
      </c>
      <c r="AF1662" s="10">
        <f>REPT(" ",20)</f>
        <v/>
      </c>
      <c r="AG1662" s="54">
        <f>REPT(" ",18-LEN(FIXED(F1662,2,TRUE)))&amp;FIXED(F1662,2,TRUE)</f>
        <v/>
      </c>
      <c r="AH1662" s="10">
        <f>LEN(AC1662)+LEN(AG1662)</f>
        <v/>
      </c>
      <c r="AI1662" s="10">
        <f>LEN(L1662)</f>
        <v/>
      </c>
    </row>
    <row r="1663">
      <c r="J1663" s="12">
        <f>IF(F1663&lt;&gt;0,"LANÇAR","")</f>
        <v/>
      </c>
      <c r="L1663" s="13">
        <f>N1663&amp;O1663&amp;P1663&amp;Q1663&amp;R1663&amp;S1663&amp;T1663&amp;U1663&amp;V1663&amp;W1663&amp;X1663&amp;Y1663&amp;Z1663&amp;AA1663&amp;AB1663&amp;AC1663&amp;AD1663&amp;AE1663&amp;AF1663&amp;AG1663</f>
        <v/>
      </c>
      <c r="N1663" s="10">
        <f>TEXT($B$6,"00")</f>
        <v/>
      </c>
      <c r="O1663" s="10">
        <f>REPT(" ",8)</f>
        <v/>
      </c>
      <c r="P1663" s="10">
        <f>RIGHT($B$4,2)</f>
        <v/>
      </c>
      <c r="Q1663" s="10">
        <f>RIGHT($B$5,3)</f>
        <v/>
      </c>
      <c r="R1663" s="10">
        <f>IF(A1663="D",LEFT(UPPER(B1663)&amp;REPT(" ",20),20),REPT(" ",20))</f>
        <v/>
      </c>
      <c r="S1663" s="10">
        <f>IF(A1663="D",LEFT(UPPER(C1663)&amp;REPT(" ",10),10)," ")</f>
        <v/>
      </c>
      <c r="T1663" s="10">
        <f>IF(A1663="D",LEFT(UPPER(D1663)&amp;REPT(" ",2),2)," ")</f>
        <v/>
      </c>
      <c r="U1663" s="10">
        <f>IF(A1663="D",LEFT(UPPER(E1663)&amp;REPT(" ",15),15)," ")</f>
        <v/>
      </c>
      <c r="V1663" s="10">
        <f>REPT(" ",24)</f>
        <v/>
      </c>
      <c r="W1663" s="10">
        <f>IF(A1663="c",LEFT(UPPER(B1663)&amp;REPT(" ",20),20),REPT(" ",20))</f>
        <v/>
      </c>
      <c r="X1663" s="10">
        <f>IF(A1663="C",LEFT(UPPER(C1663)&amp;REPT(" ",10),10)," ")</f>
        <v/>
      </c>
      <c r="Y1663" s="10">
        <f>IF(A1663="C",LEFT(UPPER(D1663)&amp;REPT(" ",2),2)," ")</f>
        <v/>
      </c>
      <c r="Z1663" s="10">
        <f>IF(A1663="C",LEFT(UPPER(E1663)&amp;REPT(" ",15),15)," ")</f>
        <v/>
      </c>
      <c r="AA1663" s="10">
        <f>REPT(" ",8)</f>
        <v/>
      </c>
      <c r="AB1663" s="10">
        <f>REPT(" ",4)</f>
        <v/>
      </c>
      <c r="AC1663" s="10">
        <f>LEFT(UPPER(H1663)&amp;REPT(" ",250),250)</f>
        <v/>
      </c>
      <c r="AD1663" s="10">
        <f>TEXT($G$2,"dd/mm/aaaa")</f>
        <v/>
      </c>
      <c r="AE1663" s="10">
        <f>REPT(" ",10)</f>
        <v/>
      </c>
      <c r="AF1663" s="10">
        <f>REPT(" ",20)</f>
        <v/>
      </c>
      <c r="AG1663" s="54">
        <f>REPT(" ",18-LEN(FIXED(F1663,2,TRUE)))&amp;FIXED(F1663,2,TRUE)</f>
        <v/>
      </c>
      <c r="AH1663" s="10">
        <f>LEN(AC1663)+LEN(AG1663)</f>
        <v/>
      </c>
      <c r="AI1663" s="10">
        <f>LEN(L1663)</f>
        <v/>
      </c>
    </row>
    <row r="1664">
      <c r="J1664" s="12">
        <f>IF(F1664&lt;&gt;0,"LANÇAR","")</f>
        <v/>
      </c>
      <c r="L1664" s="13">
        <f>N1664&amp;O1664&amp;P1664&amp;Q1664&amp;R1664&amp;S1664&amp;T1664&amp;U1664&amp;V1664&amp;W1664&amp;X1664&amp;Y1664&amp;Z1664&amp;AA1664&amp;AB1664&amp;AC1664&amp;AD1664&amp;AE1664&amp;AF1664&amp;AG1664</f>
        <v/>
      </c>
      <c r="N1664" s="10">
        <f>TEXT($B$6,"00")</f>
        <v/>
      </c>
      <c r="O1664" s="10">
        <f>REPT(" ",8)</f>
        <v/>
      </c>
      <c r="P1664" s="10">
        <f>RIGHT($B$4,2)</f>
        <v/>
      </c>
      <c r="Q1664" s="10">
        <f>RIGHT($B$5,3)</f>
        <v/>
      </c>
      <c r="R1664" s="10">
        <f>IF(A1664="D",LEFT(UPPER(B1664)&amp;REPT(" ",20),20),REPT(" ",20))</f>
        <v/>
      </c>
      <c r="S1664" s="10">
        <f>IF(A1664="D",LEFT(UPPER(C1664)&amp;REPT(" ",10),10)," ")</f>
        <v/>
      </c>
      <c r="T1664" s="10">
        <f>IF(A1664="D",LEFT(UPPER(D1664)&amp;REPT(" ",2),2)," ")</f>
        <v/>
      </c>
      <c r="U1664" s="10">
        <f>IF(A1664="D",LEFT(UPPER(E1664)&amp;REPT(" ",15),15)," ")</f>
        <v/>
      </c>
      <c r="V1664" s="10">
        <f>REPT(" ",24)</f>
        <v/>
      </c>
      <c r="W1664" s="10">
        <f>IF(A1664="c",LEFT(UPPER(B1664)&amp;REPT(" ",20),20),REPT(" ",20))</f>
        <v/>
      </c>
      <c r="X1664" s="10">
        <f>IF(A1664="C",LEFT(UPPER(C1664)&amp;REPT(" ",10),10)," ")</f>
        <v/>
      </c>
      <c r="Y1664" s="10">
        <f>IF(A1664="C",LEFT(UPPER(D1664)&amp;REPT(" ",2),2)," ")</f>
        <v/>
      </c>
      <c r="Z1664" s="10">
        <f>IF(A1664="C",LEFT(UPPER(E1664)&amp;REPT(" ",15),15)," ")</f>
        <v/>
      </c>
      <c r="AA1664" s="10">
        <f>REPT(" ",8)</f>
        <v/>
      </c>
      <c r="AB1664" s="10">
        <f>REPT(" ",4)</f>
        <v/>
      </c>
      <c r="AC1664" s="10">
        <f>LEFT(UPPER(H1664)&amp;REPT(" ",250),250)</f>
        <v/>
      </c>
      <c r="AD1664" s="10">
        <f>TEXT($G$2,"dd/mm/aaaa")</f>
        <v/>
      </c>
      <c r="AE1664" s="10">
        <f>REPT(" ",10)</f>
        <v/>
      </c>
      <c r="AF1664" s="10">
        <f>REPT(" ",20)</f>
        <v/>
      </c>
      <c r="AG1664" s="54">
        <f>REPT(" ",18-LEN(FIXED(F1664,2,TRUE)))&amp;FIXED(F1664,2,TRUE)</f>
        <v/>
      </c>
      <c r="AH1664" s="10">
        <f>LEN(AC1664)+LEN(AG1664)</f>
        <v/>
      </c>
      <c r="AI1664" s="10">
        <f>LEN(L1664)</f>
        <v/>
      </c>
    </row>
    <row r="1665">
      <c r="J1665" s="12">
        <f>IF(F1665&lt;&gt;0,"LANÇAR","")</f>
        <v/>
      </c>
      <c r="L1665" s="13">
        <f>N1665&amp;O1665&amp;P1665&amp;Q1665&amp;R1665&amp;S1665&amp;T1665&amp;U1665&amp;V1665&amp;W1665&amp;X1665&amp;Y1665&amp;Z1665&amp;AA1665&amp;AB1665&amp;AC1665&amp;AD1665&amp;AE1665&amp;AF1665&amp;AG1665</f>
        <v/>
      </c>
      <c r="N1665" s="10">
        <f>TEXT($B$6,"00")</f>
        <v/>
      </c>
      <c r="O1665" s="10">
        <f>REPT(" ",8)</f>
        <v/>
      </c>
      <c r="P1665" s="10">
        <f>RIGHT($B$4,2)</f>
        <v/>
      </c>
      <c r="Q1665" s="10">
        <f>RIGHT($B$5,3)</f>
        <v/>
      </c>
      <c r="R1665" s="10">
        <f>IF(A1665="D",LEFT(UPPER(B1665)&amp;REPT(" ",20),20),REPT(" ",20))</f>
        <v/>
      </c>
      <c r="S1665" s="10">
        <f>IF(A1665="D",LEFT(UPPER(C1665)&amp;REPT(" ",10),10)," ")</f>
        <v/>
      </c>
      <c r="T1665" s="10">
        <f>IF(A1665="D",LEFT(UPPER(D1665)&amp;REPT(" ",2),2)," ")</f>
        <v/>
      </c>
      <c r="U1665" s="10">
        <f>IF(A1665="D",LEFT(UPPER(E1665)&amp;REPT(" ",15),15)," ")</f>
        <v/>
      </c>
      <c r="V1665" s="10">
        <f>REPT(" ",24)</f>
        <v/>
      </c>
      <c r="W1665" s="10">
        <f>IF(A1665="c",LEFT(UPPER(B1665)&amp;REPT(" ",20),20),REPT(" ",20))</f>
        <v/>
      </c>
      <c r="X1665" s="10">
        <f>IF(A1665="C",LEFT(UPPER(C1665)&amp;REPT(" ",10),10)," ")</f>
        <v/>
      </c>
      <c r="Y1665" s="10">
        <f>IF(A1665="C",LEFT(UPPER(D1665)&amp;REPT(" ",2),2)," ")</f>
        <v/>
      </c>
      <c r="Z1665" s="10">
        <f>IF(A1665="C",LEFT(UPPER(E1665)&amp;REPT(" ",15),15)," ")</f>
        <v/>
      </c>
      <c r="AA1665" s="10">
        <f>REPT(" ",8)</f>
        <v/>
      </c>
      <c r="AB1665" s="10">
        <f>REPT(" ",4)</f>
        <v/>
      </c>
      <c r="AC1665" s="10">
        <f>LEFT(UPPER(H1665)&amp;REPT(" ",250),250)</f>
        <v/>
      </c>
      <c r="AD1665" s="10">
        <f>TEXT($G$2,"dd/mm/aaaa")</f>
        <v/>
      </c>
      <c r="AE1665" s="10">
        <f>REPT(" ",10)</f>
        <v/>
      </c>
      <c r="AF1665" s="10">
        <f>REPT(" ",20)</f>
        <v/>
      </c>
      <c r="AG1665" s="54">
        <f>REPT(" ",18-LEN(FIXED(F1665,2,TRUE)))&amp;FIXED(F1665,2,TRUE)</f>
        <v/>
      </c>
      <c r="AH1665" s="10">
        <f>LEN(AC1665)+LEN(AG1665)</f>
        <v/>
      </c>
      <c r="AI1665" s="10">
        <f>LEN(L1665)</f>
        <v/>
      </c>
    </row>
    <row r="1666">
      <c r="J1666" s="12">
        <f>IF(F1666&lt;&gt;0,"LANÇAR","")</f>
        <v/>
      </c>
      <c r="L1666" s="13">
        <f>N1666&amp;O1666&amp;P1666&amp;Q1666&amp;R1666&amp;S1666&amp;T1666&amp;U1666&amp;V1666&amp;W1666&amp;X1666&amp;Y1666&amp;Z1666&amp;AA1666&amp;AB1666&amp;AC1666&amp;AD1666&amp;AE1666&amp;AF1666&amp;AG1666</f>
        <v/>
      </c>
      <c r="N1666" s="10">
        <f>TEXT($B$6,"00")</f>
        <v/>
      </c>
      <c r="O1666" s="10">
        <f>REPT(" ",8)</f>
        <v/>
      </c>
      <c r="P1666" s="10">
        <f>RIGHT($B$4,2)</f>
        <v/>
      </c>
      <c r="Q1666" s="10">
        <f>RIGHT($B$5,3)</f>
        <v/>
      </c>
      <c r="R1666" s="10">
        <f>IF(A1666="D",LEFT(UPPER(B1666)&amp;REPT(" ",20),20),REPT(" ",20))</f>
        <v/>
      </c>
      <c r="S1666" s="10">
        <f>IF(A1666="D",LEFT(UPPER(C1666)&amp;REPT(" ",10),10)," ")</f>
        <v/>
      </c>
      <c r="T1666" s="10">
        <f>IF(A1666="D",LEFT(UPPER(D1666)&amp;REPT(" ",2),2)," ")</f>
        <v/>
      </c>
      <c r="U1666" s="10">
        <f>IF(A1666="D",LEFT(UPPER(E1666)&amp;REPT(" ",15),15)," ")</f>
        <v/>
      </c>
      <c r="V1666" s="10">
        <f>REPT(" ",24)</f>
        <v/>
      </c>
      <c r="W1666" s="10">
        <f>IF(A1666="c",LEFT(UPPER(B1666)&amp;REPT(" ",20),20),REPT(" ",20))</f>
        <v/>
      </c>
      <c r="X1666" s="10">
        <f>IF(A1666="C",LEFT(UPPER(C1666)&amp;REPT(" ",10),10)," ")</f>
        <v/>
      </c>
      <c r="Y1666" s="10">
        <f>IF(A1666="C",LEFT(UPPER(D1666)&amp;REPT(" ",2),2)," ")</f>
        <v/>
      </c>
      <c r="Z1666" s="10">
        <f>IF(A1666="C",LEFT(UPPER(E1666)&amp;REPT(" ",15),15)," ")</f>
        <v/>
      </c>
      <c r="AA1666" s="10">
        <f>REPT(" ",8)</f>
        <v/>
      </c>
      <c r="AB1666" s="10">
        <f>REPT(" ",4)</f>
        <v/>
      </c>
      <c r="AC1666" s="10">
        <f>LEFT(UPPER(H1666)&amp;REPT(" ",250),250)</f>
        <v/>
      </c>
      <c r="AD1666" s="10">
        <f>TEXT($G$2,"dd/mm/aaaa")</f>
        <v/>
      </c>
      <c r="AE1666" s="10">
        <f>REPT(" ",10)</f>
        <v/>
      </c>
      <c r="AF1666" s="10">
        <f>REPT(" ",20)</f>
        <v/>
      </c>
      <c r="AG1666" s="54">
        <f>REPT(" ",18-LEN(FIXED(F1666,2,TRUE)))&amp;FIXED(F1666,2,TRUE)</f>
        <v/>
      </c>
      <c r="AH1666" s="10">
        <f>LEN(AC1666)+LEN(AG1666)</f>
        <v/>
      </c>
      <c r="AI1666" s="10">
        <f>LEN(L1666)</f>
        <v/>
      </c>
    </row>
    <row r="1667">
      <c r="J1667" s="12">
        <f>IF(F1667&lt;&gt;0,"LANÇAR","")</f>
        <v/>
      </c>
      <c r="L1667" s="13">
        <f>N1667&amp;O1667&amp;P1667&amp;Q1667&amp;R1667&amp;S1667&amp;T1667&amp;U1667&amp;V1667&amp;W1667&amp;X1667&amp;Y1667&amp;Z1667&amp;AA1667&amp;AB1667&amp;AC1667&amp;AD1667&amp;AE1667&amp;AF1667&amp;AG1667</f>
        <v/>
      </c>
      <c r="N1667" s="10">
        <f>TEXT($B$6,"00")</f>
        <v/>
      </c>
      <c r="O1667" s="10">
        <f>REPT(" ",8)</f>
        <v/>
      </c>
      <c r="P1667" s="10">
        <f>RIGHT($B$4,2)</f>
        <v/>
      </c>
      <c r="Q1667" s="10">
        <f>RIGHT($B$5,3)</f>
        <v/>
      </c>
      <c r="R1667" s="10">
        <f>IF(A1667="D",LEFT(UPPER(B1667)&amp;REPT(" ",20),20),REPT(" ",20))</f>
        <v/>
      </c>
      <c r="S1667" s="10">
        <f>IF(A1667="D",LEFT(UPPER(C1667)&amp;REPT(" ",10),10)," ")</f>
        <v/>
      </c>
      <c r="T1667" s="10">
        <f>IF(A1667="D",LEFT(UPPER(D1667)&amp;REPT(" ",2),2)," ")</f>
        <v/>
      </c>
      <c r="U1667" s="10">
        <f>IF(A1667="D",LEFT(UPPER(E1667)&amp;REPT(" ",15),15)," ")</f>
        <v/>
      </c>
      <c r="V1667" s="10">
        <f>REPT(" ",24)</f>
        <v/>
      </c>
      <c r="W1667" s="10">
        <f>IF(A1667="c",LEFT(UPPER(B1667)&amp;REPT(" ",20),20),REPT(" ",20))</f>
        <v/>
      </c>
      <c r="X1667" s="10">
        <f>IF(A1667="C",LEFT(UPPER(C1667)&amp;REPT(" ",10),10)," ")</f>
        <v/>
      </c>
      <c r="Y1667" s="10">
        <f>IF(A1667="C",LEFT(UPPER(D1667)&amp;REPT(" ",2),2)," ")</f>
        <v/>
      </c>
      <c r="Z1667" s="10">
        <f>IF(A1667="C",LEFT(UPPER(E1667)&amp;REPT(" ",15),15)," ")</f>
        <v/>
      </c>
      <c r="AA1667" s="10">
        <f>REPT(" ",8)</f>
        <v/>
      </c>
      <c r="AB1667" s="10">
        <f>REPT(" ",4)</f>
        <v/>
      </c>
      <c r="AC1667" s="10">
        <f>LEFT(UPPER(H1667)&amp;REPT(" ",250),250)</f>
        <v/>
      </c>
      <c r="AD1667" s="10">
        <f>TEXT($G$2,"dd/mm/aaaa")</f>
        <v/>
      </c>
      <c r="AE1667" s="10">
        <f>REPT(" ",10)</f>
        <v/>
      </c>
      <c r="AF1667" s="10">
        <f>REPT(" ",20)</f>
        <v/>
      </c>
      <c r="AG1667" s="54">
        <f>REPT(" ",18-LEN(FIXED(F1667,2,TRUE)))&amp;FIXED(F1667,2,TRUE)</f>
        <v/>
      </c>
      <c r="AH1667" s="10">
        <f>LEN(AC1667)+LEN(AG1667)</f>
        <v/>
      </c>
      <c r="AI1667" s="10">
        <f>LEN(L1667)</f>
        <v/>
      </c>
    </row>
    <row r="1668">
      <c r="J1668" s="12">
        <f>IF(F1668&lt;&gt;0,"LANÇAR","")</f>
        <v/>
      </c>
      <c r="L1668" s="13">
        <f>N1668&amp;O1668&amp;P1668&amp;Q1668&amp;R1668&amp;S1668&amp;T1668&amp;U1668&amp;V1668&amp;W1668&amp;X1668&amp;Y1668&amp;Z1668&amp;AA1668&amp;AB1668&amp;AC1668&amp;AD1668&amp;AE1668&amp;AF1668&amp;AG1668</f>
        <v/>
      </c>
      <c r="N1668" s="10">
        <f>TEXT($B$6,"00")</f>
        <v/>
      </c>
      <c r="O1668" s="10">
        <f>REPT(" ",8)</f>
        <v/>
      </c>
      <c r="P1668" s="10">
        <f>RIGHT($B$4,2)</f>
        <v/>
      </c>
      <c r="Q1668" s="10">
        <f>RIGHT($B$5,3)</f>
        <v/>
      </c>
      <c r="R1668" s="10">
        <f>IF(A1668="D",LEFT(UPPER(B1668)&amp;REPT(" ",20),20),REPT(" ",20))</f>
        <v/>
      </c>
      <c r="S1668" s="10">
        <f>IF(A1668="D",LEFT(UPPER(C1668)&amp;REPT(" ",10),10)," ")</f>
        <v/>
      </c>
      <c r="T1668" s="10">
        <f>IF(A1668="D",LEFT(UPPER(D1668)&amp;REPT(" ",2),2)," ")</f>
        <v/>
      </c>
      <c r="U1668" s="10">
        <f>IF(A1668="D",LEFT(UPPER(E1668)&amp;REPT(" ",15),15)," ")</f>
        <v/>
      </c>
      <c r="V1668" s="10">
        <f>REPT(" ",24)</f>
        <v/>
      </c>
      <c r="W1668" s="10">
        <f>IF(A1668="c",LEFT(UPPER(B1668)&amp;REPT(" ",20),20),REPT(" ",20))</f>
        <v/>
      </c>
      <c r="X1668" s="10">
        <f>IF(A1668="C",LEFT(UPPER(C1668)&amp;REPT(" ",10),10)," ")</f>
        <v/>
      </c>
      <c r="Y1668" s="10">
        <f>IF(A1668="C",LEFT(UPPER(D1668)&amp;REPT(" ",2),2)," ")</f>
        <v/>
      </c>
      <c r="Z1668" s="10">
        <f>IF(A1668="C",LEFT(UPPER(E1668)&amp;REPT(" ",15),15)," ")</f>
        <v/>
      </c>
      <c r="AA1668" s="10">
        <f>REPT(" ",8)</f>
        <v/>
      </c>
      <c r="AB1668" s="10">
        <f>REPT(" ",4)</f>
        <v/>
      </c>
      <c r="AC1668" s="10">
        <f>LEFT(UPPER(H1668)&amp;REPT(" ",250),250)</f>
        <v/>
      </c>
      <c r="AD1668" s="10">
        <f>TEXT($G$2,"dd/mm/aaaa")</f>
        <v/>
      </c>
      <c r="AE1668" s="10">
        <f>REPT(" ",10)</f>
        <v/>
      </c>
      <c r="AF1668" s="10">
        <f>REPT(" ",20)</f>
        <v/>
      </c>
      <c r="AG1668" s="54">
        <f>REPT(" ",18-LEN(FIXED(F1668,2,TRUE)))&amp;FIXED(F1668,2,TRUE)</f>
        <v/>
      </c>
      <c r="AH1668" s="10">
        <f>LEN(AC1668)+LEN(AG1668)</f>
        <v/>
      </c>
      <c r="AI1668" s="10">
        <f>LEN(L1668)</f>
        <v/>
      </c>
    </row>
    <row r="1669">
      <c r="J1669" s="12">
        <f>IF(F1669&lt;&gt;0,"LANÇAR","")</f>
        <v/>
      </c>
      <c r="L1669" s="13">
        <f>N1669&amp;O1669&amp;P1669&amp;Q1669&amp;R1669&amp;S1669&amp;T1669&amp;U1669&amp;V1669&amp;W1669&amp;X1669&amp;Y1669&amp;Z1669&amp;AA1669&amp;AB1669&amp;AC1669&amp;AD1669&amp;AE1669&amp;AF1669&amp;AG1669</f>
        <v/>
      </c>
      <c r="N1669" s="10">
        <f>TEXT($B$6,"00")</f>
        <v/>
      </c>
      <c r="O1669" s="10">
        <f>REPT(" ",8)</f>
        <v/>
      </c>
      <c r="P1669" s="10">
        <f>RIGHT($B$4,2)</f>
        <v/>
      </c>
      <c r="Q1669" s="10">
        <f>RIGHT($B$5,3)</f>
        <v/>
      </c>
      <c r="R1669" s="10">
        <f>IF(A1669="D",LEFT(UPPER(B1669)&amp;REPT(" ",20),20),REPT(" ",20))</f>
        <v/>
      </c>
      <c r="S1669" s="10">
        <f>IF(A1669="D",LEFT(UPPER(C1669)&amp;REPT(" ",10),10)," ")</f>
        <v/>
      </c>
      <c r="T1669" s="10">
        <f>IF(A1669="D",LEFT(UPPER(D1669)&amp;REPT(" ",2),2)," ")</f>
        <v/>
      </c>
      <c r="U1669" s="10">
        <f>IF(A1669="D",LEFT(UPPER(E1669)&amp;REPT(" ",15),15)," ")</f>
        <v/>
      </c>
      <c r="V1669" s="10">
        <f>REPT(" ",24)</f>
        <v/>
      </c>
      <c r="W1669" s="10">
        <f>IF(A1669="c",LEFT(UPPER(B1669)&amp;REPT(" ",20),20),REPT(" ",20))</f>
        <v/>
      </c>
      <c r="X1669" s="10">
        <f>IF(A1669="C",LEFT(UPPER(C1669)&amp;REPT(" ",10),10)," ")</f>
        <v/>
      </c>
      <c r="Y1669" s="10">
        <f>IF(A1669="C",LEFT(UPPER(D1669)&amp;REPT(" ",2),2)," ")</f>
        <v/>
      </c>
      <c r="Z1669" s="10">
        <f>IF(A1669="C",LEFT(UPPER(E1669)&amp;REPT(" ",15),15)," ")</f>
        <v/>
      </c>
      <c r="AA1669" s="10">
        <f>REPT(" ",8)</f>
        <v/>
      </c>
      <c r="AB1669" s="10">
        <f>REPT(" ",4)</f>
        <v/>
      </c>
      <c r="AC1669" s="10">
        <f>LEFT(UPPER(H1669)&amp;REPT(" ",250),250)</f>
        <v/>
      </c>
      <c r="AD1669" s="10">
        <f>TEXT($G$2,"dd/mm/aaaa")</f>
        <v/>
      </c>
      <c r="AE1669" s="10">
        <f>REPT(" ",10)</f>
        <v/>
      </c>
      <c r="AF1669" s="10">
        <f>REPT(" ",20)</f>
        <v/>
      </c>
      <c r="AG1669" s="54">
        <f>REPT(" ",18-LEN(FIXED(F1669,2,TRUE)))&amp;FIXED(F1669,2,TRUE)</f>
        <v/>
      </c>
      <c r="AH1669" s="10">
        <f>LEN(AC1669)+LEN(AG1669)</f>
        <v/>
      </c>
      <c r="AI1669" s="10">
        <f>LEN(L1669)</f>
        <v/>
      </c>
    </row>
    <row r="1670">
      <c r="J1670" s="12">
        <f>IF(F1670&lt;&gt;0,"LANÇAR","")</f>
        <v/>
      </c>
      <c r="L1670" s="13">
        <f>N1670&amp;O1670&amp;P1670&amp;Q1670&amp;R1670&amp;S1670&amp;T1670&amp;U1670&amp;V1670&amp;W1670&amp;X1670&amp;Y1670&amp;Z1670&amp;AA1670&amp;AB1670&amp;AC1670&amp;AD1670&amp;AE1670&amp;AF1670&amp;AG1670</f>
        <v/>
      </c>
      <c r="N1670" s="10">
        <f>TEXT($B$6,"00")</f>
        <v/>
      </c>
      <c r="O1670" s="10">
        <f>REPT(" ",8)</f>
        <v/>
      </c>
      <c r="P1670" s="10">
        <f>RIGHT($B$4,2)</f>
        <v/>
      </c>
      <c r="Q1670" s="10">
        <f>RIGHT($B$5,3)</f>
        <v/>
      </c>
      <c r="R1670" s="10">
        <f>IF(A1670="D",LEFT(UPPER(B1670)&amp;REPT(" ",20),20),REPT(" ",20))</f>
        <v/>
      </c>
      <c r="S1670" s="10">
        <f>IF(A1670="D",LEFT(UPPER(C1670)&amp;REPT(" ",10),10)," ")</f>
        <v/>
      </c>
      <c r="T1670" s="10">
        <f>IF(A1670="D",LEFT(UPPER(D1670)&amp;REPT(" ",2),2)," ")</f>
        <v/>
      </c>
      <c r="U1670" s="10">
        <f>IF(A1670="D",LEFT(UPPER(E1670)&amp;REPT(" ",15),15)," ")</f>
        <v/>
      </c>
      <c r="V1670" s="10">
        <f>REPT(" ",24)</f>
        <v/>
      </c>
      <c r="W1670" s="10">
        <f>IF(A1670="c",LEFT(UPPER(B1670)&amp;REPT(" ",20),20),REPT(" ",20))</f>
        <v/>
      </c>
      <c r="X1670" s="10">
        <f>IF(A1670="C",LEFT(UPPER(C1670)&amp;REPT(" ",10),10)," ")</f>
        <v/>
      </c>
      <c r="Y1670" s="10">
        <f>IF(A1670="C",LEFT(UPPER(D1670)&amp;REPT(" ",2),2)," ")</f>
        <v/>
      </c>
      <c r="Z1670" s="10">
        <f>IF(A1670="C",LEFT(UPPER(E1670)&amp;REPT(" ",15),15)," ")</f>
        <v/>
      </c>
      <c r="AA1670" s="10">
        <f>REPT(" ",8)</f>
        <v/>
      </c>
      <c r="AB1670" s="10">
        <f>REPT(" ",4)</f>
        <v/>
      </c>
      <c r="AC1670" s="10">
        <f>LEFT(UPPER(H1670)&amp;REPT(" ",250),250)</f>
        <v/>
      </c>
      <c r="AD1670" s="10">
        <f>TEXT($G$2,"dd/mm/aaaa")</f>
        <v/>
      </c>
      <c r="AE1670" s="10">
        <f>REPT(" ",10)</f>
        <v/>
      </c>
      <c r="AF1670" s="10">
        <f>REPT(" ",20)</f>
        <v/>
      </c>
      <c r="AG1670" s="54">
        <f>REPT(" ",18-LEN(FIXED(F1670,2,TRUE)))&amp;FIXED(F1670,2,TRUE)</f>
        <v/>
      </c>
      <c r="AH1670" s="10">
        <f>LEN(AC1670)+LEN(AG1670)</f>
        <v/>
      </c>
      <c r="AI1670" s="10">
        <f>LEN(L1670)</f>
        <v/>
      </c>
    </row>
    <row r="1671">
      <c r="J1671" s="12">
        <f>IF(F1671&lt;&gt;0,"LANÇAR","")</f>
        <v/>
      </c>
      <c r="L1671" s="13">
        <f>N1671&amp;O1671&amp;P1671&amp;Q1671&amp;R1671&amp;S1671&amp;T1671&amp;U1671&amp;V1671&amp;W1671&amp;X1671&amp;Y1671&amp;Z1671&amp;AA1671&amp;AB1671&amp;AC1671&amp;AD1671&amp;AE1671&amp;AF1671&amp;AG1671</f>
        <v/>
      </c>
      <c r="N1671" s="10">
        <f>TEXT($B$6,"00")</f>
        <v/>
      </c>
      <c r="O1671" s="10">
        <f>REPT(" ",8)</f>
        <v/>
      </c>
      <c r="P1671" s="10">
        <f>RIGHT($B$4,2)</f>
        <v/>
      </c>
      <c r="Q1671" s="10">
        <f>RIGHT($B$5,3)</f>
        <v/>
      </c>
      <c r="R1671" s="10">
        <f>IF(A1671="D",LEFT(UPPER(B1671)&amp;REPT(" ",20),20),REPT(" ",20))</f>
        <v/>
      </c>
      <c r="S1671" s="10">
        <f>IF(A1671="D",LEFT(UPPER(C1671)&amp;REPT(" ",10),10)," ")</f>
        <v/>
      </c>
      <c r="T1671" s="10">
        <f>IF(A1671="D",LEFT(UPPER(D1671)&amp;REPT(" ",2),2)," ")</f>
        <v/>
      </c>
      <c r="U1671" s="10">
        <f>IF(A1671="D",LEFT(UPPER(E1671)&amp;REPT(" ",15),15)," ")</f>
        <v/>
      </c>
      <c r="V1671" s="10">
        <f>REPT(" ",24)</f>
        <v/>
      </c>
      <c r="W1671" s="10">
        <f>IF(A1671="c",LEFT(UPPER(B1671)&amp;REPT(" ",20),20),REPT(" ",20))</f>
        <v/>
      </c>
      <c r="X1671" s="10">
        <f>IF(A1671="C",LEFT(UPPER(C1671)&amp;REPT(" ",10),10)," ")</f>
        <v/>
      </c>
      <c r="Y1671" s="10">
        <f>IF(A1671="C",LEFT(UPPER(D1671)&amp;REPT(" ",2),2)," ")</f>
        <v/>
      </c>
      <c r="Z1671" s="10">
        <f>IF(A1671="C",LEFT(UPPER(E1671)&amp;REPT(" ",15),15)," ")</f>
        <v/>
      </c>
      <c r="AA1671" s="10">
        <f>REPT(" ",8)</f>
        <v/>
      </c>
      <c r="AB1671" s="10">
        <f>REPT(" ",4)</f>
        <v/>
      </c>
      <c r="AC1671" s="10">
        <f>LEFT(UPPER(H1671)&amp;REPT(" ",250),250)</f>
        <v/>
      </c>
      <c r="AD1671" s="10">
        <f>TEXT($G$2,"dd/mm/aaaa")</f>
        <v/>
      </c>
      <c r="AE1671" s="10">
        <f>REPT(" ",10)</f>
        <v/>
      </c>
      <c r="AF1671" s="10">
        <f>REPT(" ",20)</f>
        <v/>
      </c>
      <c r="AG1671" s="54">
        <f>REPT(" ",18-LEN(FIXED(F1671,2,TRUE)))&amp;FIXED(F1671,2,TRUE)</f>
        <v/>
      </c>
      <c r="AH1671" s="10">
        <f>LEN(AC1671)+LEN(AG1671)</f>
        <v/>
      </c>
      <c r="AI1671" s="10">
        <f>LEN(L1671)</f>
        <v/>
      </c>
    </row>
    <row r="1672">
      <c r="J1672" s="12">
        <f>IF(F1672&lt;&gt;0,"LANÇAR","")</f>
        <v/>
      </c>
      <c r="L1672" s="13">
        <f>N1672&amp;O1672&amp;P1672&amp;Q1672&amp;R1672&amp;S1672&amp;T1672&amp;U1672&amp;V1672&amp;W1672&amp;X1672&amp;Y1672&amp;Z1672&amp;AA1672&amp;AB1672&amp;AC1672&amp;AD1672&amp;AE1672&amp;AF1672&amp;AG1672</f>
        <v/>
      </c>
      <c r="N1672" s="10">
        <f>TEXT($B$6,"00")</f>
        <v/>
      </c>
      <c r="O1672" s="10">
        <f>REPT(" ",8)</f>
        <v/>
      </c>
      <c r="P1672" s="10">
        <f>RIGHT($B$4,2)</f>
        <v/>
      </c>
      <c r="Q1672" s="10">
        <f>RIGHT($B$5,3)</f>
        <v/>
      </c>
      <c r="R1672" s="10">
        <f>IF(A1672="D",LEFT(UPPER(B1672)&amp;REPT(" ",20),20),REPT(" ",20))</f>
        <v/>
      </c>
      <c r="S1672" s="10">
        <f>IF(A1672="D",LEFT(UPPER(C1672)&amp;REPT(" ",10),10)," ")</f>
        <v/>
      </c>
      <c r="T1672" s="10">
        <f>IF(A1672="D",LEFT(UPPER(D1672)&amp;REPT(" ",2),2)," ")</f>
        <v/>
      </c>
      <c r="U1672" s="10">
        <f>IF(A1672="D",LEFT(UPPER(E1672)&amp;REPT(" ",15),15)," ")</f>
        <v/>
      </c>
      <c r="V1672" s="10">
        <f>REPT(" ",24)</f>
        <v/>
      </c>
      <c r="W1672" s="10">
        <f>IF(A1672="c",LEFT(UPPER(B1672)&amp;REPT(" ",20),20),REPT(" ",20))</f>
        <v/>
      </c>
      <c r="X1672" s="10">
        <f>IF(A1672="C",LEFT(UPPER(C1672)&amp;REPT(" ",10),10)," ")</f>
        <v/>
      </c>
      <c r="Y1672" s="10">
        <f>IF(A1672="C",LEFT(UPPER(D1672)&amp;REPT(" ",2),2)," ")</f>
        <v/>
      </c>
      <c r="Z1672" s="10">
        <f>IF(A1672="C",LEFT(UPPER(E1672)&amp;REPT(" ",15),15)," ")</f>
        <v/>
      </c>
      <c r="AA1672" s="10">
        <f>REPT(" ",8)</f>
        <v/>
      </c>
      <c r="AB1672" s="10">
        <f>REPT(" ",4)</f>
        <v/>
      </c>
      <c r="AC1672" s="10">
        <f>LEFT(UPPER(H1672)&amp;REPT(" ",250),250)</f>
        <v/>
      </c>
      <c r="AD1672" s="10">
        <f>TEXT($G$2,"dd/mm/aaaa")</f>
        <v/>
      </c>
      <c r="AE1672" s="10">
        <f>REPT(" ",10)</f>
        <v/>
      </c>
      <c r="AF1672" s="10">
        <f>REPT(" ",20)</f>
        <v/>
      </c>
      <c r="AG1672" s="54">
        <f>REPT(" ",18-LEN(FIXED(F1672,2,TRUE)))&amp;FIXED(F1672,2,TRUE)</f>
        <v/>
      </c>
      <c r="AH1672" s="10">
        <f>LEN(AC1672)+LEN(AG1672)</f>
        <v/>
      </c>
      <c r="AI1672" s="10">
        <f>LEN(L1672)</f>
        <v/>
      </c>
    </row>
    <row r="1673">
      <c r="J1673" s="12">
        <f>IF(F1673&lt;&gt;0,"LANÇAR","")</f>
        <v/>
      </c>
      <c r="L1673" s="13">
        <f>N1673&amp;O1673&amp;P1673&amp;Q1673&amp;R1673&amp;S1673&amp;T1673&amp;U1673&amp;V1673&amp;W1673&amp;X1673&amp;Y1673&amp;Z1673&amp;AA1673&amp;AB1673&amp;AC1673&amp;AD1673&amp;AE1673&amp;AF1673&amp;AG1673</f>
        <v/>
      </c>
      <c r="N1673" s="10">
        <f>TEXT($B$6,"00")</f>
        <v/>
      </c>
      <c r="O1673" s="10">
        <f>REPT(" ",8)</f>
        <v/>
      </c>
      <c r="P1673" s="10">
        <f>RIGHT($B$4,2)</f>
        <v/>
      </c>
      <c r="Q1673" s="10">
        <f>RIGHT($B$5,3)</f>
        <v/>
      </c>
      <c r="R1673" s="10">
        <f>IF(A1673="D",LEFT(UPPER(B1673)&amp;REPT(" ",20),20),REPT(" ",20))</f>
        <v/>
      </c>
      <c r="S1673" s="10">
        <f>IF(A1673="D",LEFT(UPPER(C1673)&amp;REPT(" ",10),10)," ")</f>
        <v/>
      </c>
      <c r="T1673" s="10">
        <f>IF(A1673="D",LEFT(UPPER(D1673)&amp;REPT(" ",2),2)," ")</f>
        <v/>
      </c>
      <c r="U1673" s="10">
        <f>IF(A1673="D",LEFT(UPPER(E1673)&amp;REPT(" ",15),15)," ")</f>
        <v/>
      </c>
      <c r="V1673" s="10">
        <f>REPT(" ",24)</f>
        <v/>
      </c>
      <c r="W1673" s="10">
        <f>IF(A1673="c",LEFT(UPPER(B1673)&amp;REPT(" ",20),20),REPT(" ",20))</f>
        <v/>
      </c>
      <c r="X1673" s="10">
        <f>IF(A1673="C",LEFT(UPPER(C1673)&amp;REPT(" ",10),10)," ")</f>
        <v/>
      </c>
      <c r="Y1673" s="10">
        <f>IF(A1673="C",LEFT(UPPER(D1673)&amp;REPT(" ",2),2)," ")</f>
        <v/>
      </c>
      <c r="Z1673" s="10">
        <f>IF(A1673="C",LEFT(UPPER(E1673)&amp;REPT(" ",15),15)," ")</f>
        <v/>
      </c>
      <c r="AA1673" s="10">
        <f>REPT(" ",8)</f>
        <v/>
      </c>
      <c r="AB1673" s="10">
        <f>REPT(" ",4)</f>
        <v/>
      </c>
      <c r="AC1673" s="10">
        <f>LEFT(UPPER(H1673)&amp;REPT(" ",250),250)</f>
        <v/>
      </c>
      <c r="AD1673" s="10">
        <f>TEXT($G$2,"dd/mm/aaaa")</f>
        <v/>
      </c>
      <c r="AE1673" s="10">
        <f>REPT(" ",10)</f>
        <v/>
      </c>
      <c r="AF1673" s="10">
        <f>REPT(" ",20)</f>
        <v/>
      </c>
      <c r="AG1673" s="54">
        <f>REPT(" ",18-LEN(FIXED(F1673,2,TRUE)))&amp;FIXED(F1673,2,TRUE)</f>
        <v/>
      </c>
      <c r="AH1673" s="10">
        <f>LEN(AC1673)+LEN(AG1673)</f>
        <v/>
      </c>
      <c r="AI1673" s="10">
        <f>LEN(L1673)</f>
        <v/>
      </c>
    </row>
    <row r="1674">
      <c r="J1674" s="12">
        <f>IF(F1674&lt;&gt;0,"LANÇAR","")</f>
        <v/>
      </c>
      <c r="L1674" s="13">
        <f>N1674&amp;O1674&amp;P1674&amp;Q1674&amp;R1674&amp;S1674&amp;T1674&amp;U1674&amp;V1674&amp;W1674&amp;X1674&amp;Y1674&amp;Z1674&amp;AA1674&amp;AB1674&amp;AC1674&amp;AD1674&amp;AE1674&amp;AF1674&amp;AG1674</f>
        <v/>
      </c>
      <c r="N1674" s="10">
        <f>TEXT($B$6,"00")</f>
        <v/>
      </c>
      <c r="O1674" s="10">
        <f>REPT(" ",8)</f>
        <v/>
      </c>
      <c r="P1674" s="10">
        <f>RIGHT($B$4,2)</f>
        <v/>
      </c>
      <c r="Q1674" s="10">
        <f>RIGHT($B$5,3)</f>
        <v/>
      </c>
      <c r="R1674" s="10">
        <f>IF(A1674="D",LEFT(UPPER(B1674)&amp;REPT(" ",20),20),REPT(" ",20))</f>
        <v/>
      </c>
      <c r="S1674" s="10">
        <f>IF(A1674="D",LEFT(UPPER(C1674)&amp;REPT(" ",10),10)," ")</f>
        <v/>
      </c>
      <c r="T1674" s="10">
        <f>IF(A1674="D",LEFT(UPPER(D1674)&amp;REPT(" ",2),2)," ")</f>
        <v/>
      </c>
      <c r="U1674" s="10">
        <f>IF(A1674="D",LEFT(UPPER(E1674)&amp;REPT(" ",15),15)," ")</f>
        <v/>
      </c>
      <c r="V1674" s="10">
        <f>REPT(" ",24)</f>
        <v/>
      </c>
      <c r="W1674" s="10">
        <f>IF(A1674="c",LEFT(UPPER(B1674)&amp;REPT(" ",20),20),REPT(" ",20))</f>
        <v/>
      </c>
      <c r="X1674" s="10">
        <f>IF(A1674="C",LEFT(UPPER(C1674)&amp;REPT(" ",10),10)," ")</f>
        <v/>
      </c>
      <c r="Y1674" s="10">
        <f>IF(A1674="C",LEFT(UPPER(D1674)&amp;REPT(" ",2),2)," ")</f>
        <v/>
      </c>
      <c r="Z1674" s="10">
        <f>IF(A1674="C",LEFT(UPPER(E1674)&amp;REPT(" ",15),15)," ")</f>
        <v/>
      </c>
      <c r="AA1674" s="10">
        <f>REPT(" ",8)</f>
        <v/>
      </c>
      <c r="AB1674" s="10">
        <f>REPT(" ",4)</f>
        <v/>
      </c>
      <c r="AC1674" s="10">
        <f>LEFT(UPPER(H1674)&amp;REPT(" ",250),250)</f>
        <v/>
      </c>
      <c r="AD1674" s="10">
        <f>TEXT($G$2,"dd/mm/aaaa")</f>
        <v/>
      </c>
      <c r="AE1674" s="10">
        <f>REPT(" ",10)</f>
        <v/>
      </c>
      <c r="AF1674" s="10">
        <f>REPT(" ",20)</f>
        <v/>
      </c>
      <c r="AG1674" s="54">
        <f>REPT(" ",18-LEN(FIXED(F1674,2,TRUE)))&amp;FIXED(F1674,2,TRUE)</f>
        <v/>
      </c>
      <c r="AH1674" s="10">
        <f>LEN(AC1674)+LEN(AG1674)</f>
        <v/>
      </c>
      <c r="AI1674" s="10">
        <f>LEN(L1674)</f>
        <v/>
      </c>
    </row>
    <row r="1675">
      <c r="J1675" s="12">
        <f>IF(F1675&lt;&gt;0,"LANÇAR","")</f>
        <v/>
      </c>
      <c r="L1675" s="13">
        <f>N1675&amp;O1675&amp;P1675&amp;Q1675&amp;R1675&amp;S1675&amp;T1675&amp;U1675&amp;V1675&amp;W1675&amp;X1675&amp;Y1675&amp;Z1675&amp;AA1675&amp;AB1675&amp;AC1675&amp;AD1675&amp;AE1675&amp;AF1675&amp;AG1675</f>
        <v/>
      </c>
      <c r="N1675" s="10">
        <f>TEXT($B$6,"00")</f>
        <v/>
      </c>
      <c r="O1675" s="10">
        <f>REPT(" ",8)</f>
        <v/>
      </c>
      <c r="P1675" s="10">
        <f>RIGHT($B$4,2)</f>
        <v/>
      </c>
      <c r="Q1675" s="10">
        <f>RIGHT($B$5,3)</f>
        <v/>
      </c>
      <c r="R1675" s="10">
        <f>IF(A1675="D",LEFT(UPPER(B1675)&amp;REPT(" ",20),20),REPT(" ",20))</f>
        <v/>
      </c>
      <c r="S1675" s="10">
        <f>IF(A1675="D",LEFT(UPPER(C1675)&amp;REPT(" ",10),10)," ")</f>
        <v/>
      </c>
      <c r="T1675" s="10">
        <f>IF(A1675="D",LEFT(UPPER(D1675)&amp;REPT(" ",2),2)," ")</f>
        <v/>
      </c>
      <c r="U1675" s="10">
        <f>IF(A1675="D",LEFT(UPPER(E1675)&amp;REPT(" ",15),15)," ")</f>
        <v/>
      </c>
      <c r="V1675" s="10">
        <f>REPT(" ",24)</f>
        <v/>
      </c>
      <c r="W1675" s="10">
        <f>IF(A1675="c",LEFT(UPPER(B1675)&amp;REPT(" ",20),20),REPT(" ",20))</f>
        <v/>
      </c>
      <c r="X1675" s="10">
        <f>IF(A1675="C",LEFT(UPPER(C1675)&amp;REPT(" ",10),10)," ")</f>
        <v/>
      </c>
      <c r="Y1675" s="10">
        <f>IF(A1675="C",LEFT(UPPER(D1675)&amp;REPT(" ",2),2)," ")</f>
        <v/>
      </c>
      <c r="Z1675" s="10">
        <f>IF(A1675="C",LEFT(UPPER(E1675)&amp;REPT(" ",15),15)," ")</f>
        <v/>
      </c>
      <c r="AA1675" s="10">
        <f>REPT(" ",8)</f>
        <v/>
      </c>
      <c r="AB1675" s="10">
        <f>REPT(" ",4)</f>
        <v/>
      </c>
      <c r="AC1675" s="10">
        <f>LEFT(UPPER(H1675)&amp;REPT(" ",250),250)</f>
        <v/>
      </c>
      <c r="AD1675" s="10">
        <f>TEXT($G$2,"dd/mm/aaaa")</f>
        <v/>
      </c>
      <c r="AE1675" s="10">
        <f>REPT(" ",10)</f>
        <v/>
      </c>
      <c r="AF1675" s="10">
        <f>REPT(" ",20)</f>
        <v/>
      </c>
      <c r="AG1675" s="54">
        <f>REPT(" ",18-LEN(FIXED(F1675,2,TRUE)))&amp;FIXED(F1675,2,TRUE)</f>
        <v/>
      </c>
      <c r="AH1675" s="10">
        <f>LEN(AC1675)+LEN(AG1675)</f>
        <v/>
      </c>
      <c r="AI1675" s="10">
        <f>LEN(L1675)</f>
        <v/>
      </c>
    </row>
    <row r="1676">
      <c r="J1676" s="12">
        <f>IF(F1676&lt;&gt;0,"LANÇAR","")</f>
        <v/>
      </c>
      <c r="L1676" s="13">
        <f>N1676&amp;O1676&amp;P1676&amp;Q1676&amp;R1676&amp;S1676&amp;T1676&amp;U1676&amp;V1676&amp;W1676&amp;X1676&amp;Y1676&amp;Z1676&amp;AA1676&amp;AB1676&amp;AC1676&amp;AD1676&amp;AE1676&amp;AF1676&amp;AG1676</f>
        <v/>
      </c>
      <c r="N1676" s="10">
        <f>TEXT($B$6,"00")</f>
        <v/>
      </c>
      <c r="O1676" s="10">
        <f>REPT(" ",8)</f>
        <v/>
      </c>
      <c r="P1676" s="10">
        <f>RIGHT($B$4,2)</f>
        <v/>
      </c>
      <c r="Q1676" s="10">
        <f>RIGHT($B$5,3)</f>
        <v/>
      </c>
      <c r="R1676" s="10">
        <f>IF(A1676="D",LEFT(UPPER(B1676)&amp;REPT(" ",20),20),REPT(" ",20))</f>
        <v/>
      </c>
      <c r="S1676" s="10">
        <f>IF(A1676="D",LEFT(UPPER(C1676)&amp;REPT(" ",10),10)," ")</f>
        <v/>
      </c>
      <c r="T1676" s="10">
        <f>IF(A1676="D",LEFT(UPPER(D1676)&amp;REPT(" ",2),2)," ")</f>
        <v/>
      </c>
      <c r="U1676" s="10">
        <f>IF(A1676="D",LEFT(UPPER(E1676)&amp;REPT(" ",15),15)," ")</f>
        <v/>
      </c>
      <c r="V1676" s="10">
        <f>REPT(" ",24)</f>
        <v/>
      </c>
      <c r="W1676" s="10">
        <f>IF(A1676="c",LEFT(UPPER(B1676)&amp;REPT(" ",20),20),REPT(" ",20))</f>
        <v/>
      </c>
      <c r="X1676" s="10">
        <f>IF(A1676="C",LEFT(UPPER(C1676)&amp;REPT(" ",10),10)," ")</f>
        <v/>
      </c>
      <c r="Y1676" s="10">
        <f>IF(A1676="C",LEFT(UPPER(D1676)&amp;REPT(" ",2),2)," ")</f>
        <v/>
      </c>
      <c r="Z1676" s="10">
        <f>IF(A1676="C",LEFT(UPPER(E1676)&amp;REPT(" ",15),15)," ")</f>
        <v/>
      </c>
      <c r="AA1676" s="10">
        <f>REPT(" ",8)</f>
        <v/>
      </c>
      <c r="AB1676" s="10">
        <f>REPT(" ",4)</f>
        <v/>
      </c>
      <c r="AC1676" s="10">
        <f>LEFT(UPPER(H1676)&amp;REPT(" ",250),250)</f>
        <v/>
      </c>
      <c r="AD1676" s="10">
        <f>TEXT($G$2,"dd/mm/aaaa")</f>
        <v/>
      </c>
      <c r="AE1676" s="10">
        <f>REPT(" ",10)</f>
        <v/>
      </c>
      <c r="AF1676" s="10">
        <f>REPT(" ",20)</f>
        <v/>
      </c>
      <c r="AG1676" s="54">
        <f>REPT(" ",18-LEN(FIXED(F1676,2,TRUE)))&amp;FIXED(F1676,2,TRUE)</f>
        <v/>
      </c>
      <c r="AH1676" s="10">
        <f>LEN(AC1676)+LEN(AG1676)</f>
        <v/>
      </c>
      <c r="AI1676" s="10">
        <f>LEN(L1676)</f>
        <v/>
      </c>
    </row>
    <row r="1677">
      <c r="J1677" s="12">
        <f>IF(F1677&lt;&gt;0,"LANÇAR","")</f>
        <v/>
      </c>
      <c r="L1677" s="13">
        <f>N1677&amp;O1677&amp;P1677&amp;Q1677&amp;R1677&amp;S1677&amp;T1677&amp;U1677&amp;V1677&amp;W1677&amp;X1677&amp;Y1677&amp;Z1677&amp;AA1677&amp;AB1677&amp;AC1677&amp;AD1677&amp;AE1677&amp;AF1677&amp;AG1677</f>
        <v/>
      </c>
      <c r="N1677" s="10">
        <f>TEXT($B$6,"00")</f>
        <v/>
      </c>
      <c r="O1677" s="10">
        <f>REPT(" ",8)</f>
        <v/>
      </c>
      <c r="P1677" s="10">
        <f>RIGHT($B$4,2)</f>
        <v/>
      </c>
      <c r="Q1677" s="10">
        <f>RIGHT($B$5,3)</f>
        <v/>
      </c>
      <c r="R1677" s="10">
        <f>IF(A1677="D",LEFT(UPPER(B1677)&amp;REPT(" ",20),20),REPT(" ",20))</f>
        <v/>
      </c>
      <c r="S1677" s="10">
        <f>IF(A1677="D",LEFT(UPPER(C1677)&amp;REPT(" ",10),10)," ")</f>
        <v/>
      </c>
      <c r="T1677" s="10">
        <f>IF(A1677="D",LEFT(UPPER(D1677)&amp;REPT(" ",2),2)," ")</f>
        <v/>
      </c>
      <c r="U1677" s="10">
        <f>IF(A1677="D",LEFT(UPPER(E1677)&amp;REPT(" ",15),15)," ")</f>
        <v/>
      </c>
      <c r="V1677" s="10">
        <f>REPT(" ",24)</f>
        <v/>
      </c>
      <c r="W1677" s="10">
        <f>IF(A1677="c",LEFT(UPPER(B1677)&amp;REPT(" ",20),20),REPT(" ",20))</f>
        <v/>
      </c>
      <c r="X1677" s="10">
        <f>IF(A1677="C",LEFT(UPPER(C1677)&amp;REPT(" ",10),10)," ")</f>
        <v/>
      </c>
      <c r="Y1677" s="10">
        <f>IF(A1677="C",LEFT(UPPER(D1677)&amp;REPT(" ",2),2)," ")</f>
        <v/>
      </c>
      <c r="Z1677" s="10">
        <f>IF(A1677="C",LEFT(UPPER(E1677)&amp;REPT(" ",15),15)," ")</f>
        <v/>
      </c>
      <c r="AA1677" s="10">
        <f>REPT(" ",8)</f>
        <v/>
      </c>
      <c r="AB1677" s="10">
        <f>REPT(" ",4)</f>
        <v/>
      </c>
      <c r="AC1677" s="10">
        <f>LEFT(UPPER(H1677)&amp;REPT(" ",250),250)</f>
        <v/>
      </c>
      <c r="AD1677" s="10">
        <f>TEXT($G$2,"dd/mm/aaaa")</f>
        <v/>
      </c>
      <c r="AE1677" s="10">
        <f>REPT(" ",10)</f>
        <v/>
      </c>
      <c r="AF1677" s="10">
        <f>REPT(" ",20)</f>
        <v/>
      </c>
      <c r="AG1677" s="54">
        <f>REPT(" ",18-LEN(FIXED(F1677,2,TRUE)))&amp;FIXED(F1677,2,TRUE)</f>
        <v/>
      </c>
      <c r="AH1677" s="10">
        <f>LEN(AC1677)+LEN(AG1677)</f>
        <v/>
      </c>
      <c r="AI1677" s="10">
        <f>LEN(L1677)</f>
        <v/>
      </c>
    </row>
    <row r="1678">
      <c r="J1678" s="12">
        <f>IF(F1678&lt;&gt;0,"LANÇAR","")</f>
        <v/>
      </c>
      <c r="L1678" s="13">
        <f>N1678&amp;O1678&amp;P1678&amp;Q1678&amp;R1678&amp;S1678&amp;T1678&amp;U1678&amp;V1678&amp;W1678&amp;X1678&amp;Y1678&amp;Z1678&amp;AA1678&amp;AB1678&amp;AC1678&amp;AD1678&amp;AE1678&amp;AF1678&amp;AG1678</f>
        <v/>
      </c>
      <c r="N1678" s="10">
        <f>TEXT($B$6,"00")</f>
        <v/>
      </c>
      <c r="O1678" s="10">
        <f>REPT(" ",8)</f>
        <v/>
      </c>
      <c r="P1678" s="10">
        <f>RIGHT($B$4,2)</f>
        <v/>
      </c>
      <c r="Q1678" s="10">
        <f>RIGHT($B$5,3)</f>
        <v/>
      </c>
      <c r="R1678" s="10">
        <f>IF(A1678="D",LEFT(UPPER(B1678)&amp;REPT(" ",20),20),REPT(" ",20))</f>
        <v/>
      </c>
      <c r="S1678" s="10">
        <f>IF(A1678="D",LEFT(UPPER(C1678)&amp;REPT(" ",10),10)," ")</f>
        <v/>
      </c>
      <c r="T1678" s="10">
        <f>IF(A1678="D",LEFT(UPPER(D1678)&amp;REPT(" ",2),2)," ")</f>
        <v/>
      </c>
      <c r="U1678" s="10">
        <f>IF(A1678="D",LEFT(UPPER(E1678)&amp;REPT(" ",15),15)," ")</f>
        <v/>
      </c>
      <c r="V1678" s="10">
        <f>REPT(" ",24)</f>
        <v/>
      </c>
      <c r="W1678" s="10">
        <f>IF(A1678="c",LEFT(UPPER(B1678)&amp;REPT(" ",20),20),REPT(" ",20))</f>
        <v/>
      </c>
      <c r="X1678" s="10">
        <f>IF(A1678="C",LEFT(UPPER(C1678)&amp;REPT(" ",10),10)," ")</f>
        <v/>
      </c>
      <c r="Y1678" s="10">
        <f>IF(A1678="C",LEFT(UPPER(D1678)&amp;REPT(" ",2),2)," ")</f>
        <v/>
      </c>
      <c r="Z1678" s="10">
        <f>IF(A1678="C",LEFT(UPPER(E1678)&amp;REPT(" ",15),15)," ")</f>
        <v/>
      </c>
      <c r="AA1678" s="10">
        <f>REPT(" ",8)</f>
        <v/>
      </c>
      <c r="AB1678" s="10">
        <f>REPT(" ",4)</f>
        <v/>
      </c>
      <c r="AC1678" s="10">
        <f>LEFT(UPPER(H1678)&amp;REPT(" ",250),250)</f>
        <v/>
      </c>
      <c r="AD1678" s="10">
        <f>TEXT($G$2,"dd/mm/aaaa")</f>
        <v/>
      </c>
      <c r="AE1678" s="10">
        <f>REPT(" ",10)</f>
        <v/>
      </c>
      <c r="AF1678" s="10">
        <f>REPT(" ",20)</f>
        <v/>
      </c>
      <c r="AG1678" s="54">
        <f>REPT(" ",18-LEN(FIXED(F1678,2,TRUE)))&amp;FIXED(F1678,2,TRUE)</f>
        <v/>
      </c>
      <c r="AH1678" s="10">
        <f>LEN(AC1678)+LEN(AG1678)</f>
        <v/>
      </c>
      <c r="AI1678" s="10">
        <f>LEN(L1678)</f>
        <v/>
      </c>
    </row>
    <row r="1679">
      <c r="J1679" s="12">
        <f>IF(F1679&lt;&gt;0,"LANÇAR","")</f>
        <v/>
      </c>
      <c r="L1679" s="13">
        <f>N1679&amp;O1679&amp;P1679&amp;Q1679&amp;R1679&amp;S1679&amp;T1679&amp;U1679&amp;V1679&amp;W1679&amp;X1679&amp;Y1679&amp;Z1679&amp;AA1679&amp;AB1679&amp;AC1679&amp;AD1679&amp;AE1679&amp;AF1679&amp;AG1679</f>
        <v/>
      </c>
      <c r="N1679" s="10">
        <f>TEXT($B$6,"00")</f>
        <v/>
      </c>
      <c r="O1679" s="10">
        <f>REPT(" ",8)</f>
        <v/>
      </c>
      <c r="P1679" s="10">
        <f>RIGHT($B$4,2)</f>
        <v/>
      </c>
      <c r="Q1679" s="10">
        <f>RIGHT($B$5,3)</f>
        <v/>
      </c>
      <c r="R1679" s="10">
        <f>IF(A1679="D",LEFT(UPPER(B1679)&amp;REPT(" ",20),20),REPT(" ",20))</f>
        <v/>
      </c>
      <c r="S1679" s="10">
        <f>IF(A1679="D",LEFT(UPPER(C1679)&amp;REPT(" ",10),10)," ")</f>
        <v/>
      </c>
      <c r="T1679" s="10">
        <f>IF(A1679="D",LEFT(UPPER(D1679)&amp;REPT(" ",2),2)," ")</f>
        <v/>
      </c>
      <c r="U1679" s="10">
        <f>IF(A1679="D",LEFT(UPPER(E1679)&amp;REPT(" ",15),15)," ")</f>
        <v/>
      </c>
      <c r="V1679" s="10">
        <f>REPT(" ",24)</f>
        <v/>
      </c>
      <c r="W1679" s="10">
        <f>IF(A1679="c",LEFT(UPPER(B1679)&amp;REPT(" ",20),20),REPT(" ",20))</f>
        <v/>
      </c>
      <c r="X1679" s="10">
        <f>IF(A1679="C",LEFT(UPPER(C1679)&amp;REPT(" ",10),10)," ")</f>
        <v/>
      </c>
      <c r="Y1679" s="10">
        <f>IF(A1679="C",LEFT(UPPER(D1679)&amp;REPT(" ",2),2)," ")</f>
        <v/>
      </c>
      <c r="Z1679" s="10">
        <f>IF(A1679="C",LEFT(UPPER(E1679)&amp;REPT(" ",15),15)," ")</f>
        <v/>
      </c>
      <c r="AA1679" s="10">
        <f>REPT(" ",8)</f>
        <v/>
      </c>
      <c r="AB1679" s="10">
        <f>REPT(" ",4)</f>
        <v/>
      </c>
      <c r="AC1679" s="10">
        <f>LEFT(UPPER(H1679)&amp;REPT(" ",250),250)</f>
        <v/>
      </c>
      <c r="AD1679" s="10">
        <f>TEXT($G$2,"dd/mm/aaaa")</f>
        <v/>
      </c>
      <c r="AE1679" s="10">
        <f>REPT(" ",10)</f>
        <v/>
      </c>
      <c r="AF1679" s="10">
        <f>REPT(" ",20)</f>
        <v/>
      </c>
      <c r="AG1679" s="54">
        <f>REPT(" ",18-LEN(FIXED(F1679,2,TRUE)))&amp;FIXED(F1679,2,TRUE)</f>
        <v/>
      </c>
      <c r="AH1679" s="10">
        <f>LEN(AC1679)+LEN(AG1679)</f>
        <v/>
      </c>
      <c r="AI1679" s="10">
        <f>LEN(L1679)</f>
        <v/>
      </c>
    </row>
    <row r="1680">
      <c r="J1680" s="12">
        <f>IF(F1680&lt;&gt;0,"LANÇAR","")</f>
        <v/>
      </c>
      <c r="L1680" s="13">
        <f>N1680&amp;O1680&amp;P1680&amp;Q1680&amp;R1680&amp;S1680&amp;T1680&amp;U1680&amp;V1680&amp;W1680&amp;X1680&amp;Y1680&amp;Z1680&amp;AA1680&amp;AB1680&amp;AC1680&amp;AD1680&amp;AE1680&amp;AF1680&amp;AG1680</f>
        <v/>
      </c>
      <c r="N1680" s="10">
        <f>TEXT($B$6,"00")</f>
        <v/>
      </c>
      <c r="O1680" s="10">
        <f>REPT(" ",8)</f>
        <v/>
      </c>
      <c r="P1680" s="10">
        <f>RIGHT($B$4,2)</f>
        <v/>
      </c>
      <c r="Q1680" s="10">
        <f>RIGHT($B$5,3)</f>
        <v/>
      </c>
      <c r="R1680" s="10">
        <f>IF(A1680="D",LEFT(UPPER(B1680)&amp;REPT(" ",20),20),REPT(" ",20))</f>
        <v/>
      </c>
      <c r="S1680" s="10">
        <f>IF(A1680="D",LEFT(UPPER(C1680)&amp;REPT(" ",10),10)," ")</f>
        <v/>
      </c>
      <c r="T1680" s="10">
        <f>IF(A1680="D",LEFT(UPPER(D1680)&amp;REPT(" ",2),2)," ")</f>
        <v/>
      </c>
      <c r="U1680" s="10">
        <f>IF(A1680="D",LEFT(UPPER(E1680)&amp;REPT(" ",15),15)," ")</f>
        <v/>
      </c>
      <c r="V1680" s="10">
        <f>REPT(" ",24)</f>
        <v/>
      </c>
      <c r="W1680" s="10">
        <f>IF(A1680="c",LEFT(UPPER(B1680)&amp;REPT(" ",20),20),REPT(" ",20))</f>
        <v/>
      </c>
      <c r="X1680" s="10">
        <f>IF(A1680="C",LEFT(UPPER(C1680)&amp;REPT(" ",10),10)," ")</f>
        <v/>
      </c>
      <c r="Y1680" s="10">
        <f>IF(A1680="C",LEFT(UPPER(D1680)&amp;REPT(" ",2),2)," ")</f>
        <v/>
      </c>
      <c r="Z1680" s="10">
        <f>IF(A1680="C",LEFT(UPPER(E1680)&amp;REPT(" ",15),15)," ")</f>
        <v/>
      </c>
      <c r="AA1680" s="10">
        <f>REPT(" ",8)</f>
        <v/>
      </c>
      <c r="AB1680" s="10">
        <f>REPT(" ",4)</f>
        <v/>
      </c>
      <c r="AC1680" s="10">
        <f>LEFT(UPPER(H1680)&amp;REPT(" ",250),250)</f>
        <v/>
      </c>
      <c r="AD1680" s="10">
        <f>TEXT($G$2,"dd/mm/aaaa")</f>
        <v/>
      </c>
      <c r="AE1680" s="10">
        <f>REPT(" ",10)</f>
        <v/>
      </c>
      <c r="AF1680" s="10">
        <f>REPT(" ",20)</f>
        <v/>
      </c>
      <c r="AG1680" s="54">
        <f>REPT(" ",18-LEN(FIXED(F1680,2,TRUE)))&amp;FIXED(F1680,2,TRUE)</f>
        <v/>
      </c>
      <c r="AH1680" s="10">
        <f>LEN(AC1680)+LEN(AG1680)</f>
        <v/>
      </c>
      <c r="AI1680" s="10">
        <f>LEN(L1680)</f>
        <v/>
      </c>
    </row>
    <row r="1681">
      <c r="J1681" s="12">
        <f>IF(F1681&lt;&gt;0,"LANÇAR","")</f>
        <v/>
      </c>
      <c r="L1681" s="13">
        <f>N1681&amp;O1681&amp;P1681&amp;Q1681&amp;R1681&amp;S1681&amp;T1681&amp;U1681&amp;V1681&amp;W1681&amp;X1681&amp;Y1681&amp;Z1681&amp;AA1681&amp;AB1681&amp;AC1681&amp;AD1681&amp;AE1681&amp;AF1681&amp;AG1681</f>
        <v/>
      </c>
      <c r="N1681" s="10">
        <f>TEXT($B$6,"00")</f>
        <v/>
      </c>
      <c r="O1681" s="10">
        <f>REPT(" ",8)</f>
        <v/>
      </c>
      <c r="P1681" s="10">
        <f>RIGHT($B$4,2)</f>
        <v/>
      </c>
      <c r="Q1681" s="10">
        <f>RIGHT($B$5,3)</f>
        <v/>
      </c>
      <c r="R1681" s="10">
        <f>IF(A1681="D",LEFT(UPPER(B1681)&amp;REPT(" ",20),20),REPT(" ",20))</f>
        <v/>
      </c>
      <c r="S1681" s="10">
        <f>IF(A1681="D",LEFT(UPPER(C1681)&amp;REPT(" ",10),10)," ")</f>
        <v/>
      </c>
      <c r="T1681" s="10">
        <f>IF(A1681="D",LEFT(UPPER(D1681)&amp;REPT(" ",2),2)," ")</f>
        <v/>
      </c>
      <c r="U1681" s="10">
        <f>IF(A1681="D",LEFT(UPPER(E1681)&amp;REPT(" ",15),15)," ")</f>
        <v/>
      </c>
      <c r="V1681" s="10">
        <f>REPT(" ",24)</f>
        <v/>
      </c>
      <c r="W1681" s="10">
        <f>IF(A1681="c",LEFT(UPPER(B1681)&amp;REPT(" ",20),20),REPT(" ",20))</f>
        <v/>
      </c>
      <c r="X1681" s="10">
        <f>IF(A1681="C",LEFT(UPPER(C1681)&amp;REPT(" ",10),10)," ")</f>
        <v/>
      </c>
      <c r="Y1681" s="10">
        <f>IF(A1681="C",LEFT(UPPER(D1681)&amp;REPT(" ",2),2)," ")</f>
        <v/>
      </c>
      <c r="Z1681" s="10">
        <f>IF(A1681="C",LEFT(UPPER(E1681)&amp;REPT(" ",15),15)," ")</f>
        <v/>
      </c>
      <c r="AA1681" s="10">
        <f>REPT(" ",8)</f>
        <v/>
      </c>
      <c r="AB1681" s="10">
        <f>REPT(" ",4)</f>
        <v/>
      </c>
      <c r="AC1681" s="10">
        <f>LEFT(UPPER(H1681)&amp;REPT(" ",250),250)</f>
        <v/>
      </c>
      <c r="AD1681" s="10">
        <f>TEXT($G$2,"dd/mm/aaaa")</f>
        <v/>
      </c>
      <c r="AE1681" s="10">
        <f>REPT(" ",10)</f>
        <v/>
      </c>
      <c r="AF1681" s="10">
        <f>REPT(" ",20)</f>
        <v/>
      </c>
      <c r="AG1681" s="54">
        <f>REPT(" ",18-LEN(FIXED(F1681,2,TRUE)))&amp;FIXED(F1681,2,TRUE)</f>
        <v/>
      </c>
      <c r="AH1681" s="10">
        <f>LEN(AC1681)+LEN(AG1681)</f>
        <v/>
      </c>
      <c r="AI1681" s="10">
        <f>LEN(L1681)</f>
        <v/>
      </c>
    </row>
    <row r="1682">
      <c r="J1682" s="12">
        <f>IF(F1682&lt;&gt;0,"LANÇAR","")</f>
        <v/>
      </c>
      <c r="L1682" s="13">
        <f>N1682&amp;O1682&amp;P1682&amp;Q1682&amp;R1682&amp;S1682&amp;T1682&amp;U1682&amp;V1682&amp;W1682&amp;X1682&amp;Y1682&amp;Z1682&amp;AA1682&amp;AB1682&amp;AC1682&amp;AD1682&amp;AE1682&amp;AF1682&amp;AG1682</f>
        <v/>
      </c>
      <c r="N1682" s="10">
        <f>TEXT($B$6,"00")</f>
        <v/>
      </c>
      <c r="O1682" s="10">
        <f>REPT(" ",8)</f>
        <v/>
      </c>
      <c r="P1682" s="10">
        <f>RIGHT($B$4,2)</f>
        <v/>
      </c>
      <c r="Q1682" s="10">
        <f>RIGHT($B$5,3)</f>
        <v/>
      </c>
      <c r="R1682" s="10">
        <f>IF(A1682="D",LEFT(UPPER(B1682)&amp;REPT(" ",20),20),REPT(" ",20))</f>
        <v/>
      </c>
      <c r="S1682" s="10">
        <f>IF(A1682="D",LEFT(UPPER(C1682)&amp;REPT(" ",10),10)," ")</f>
        <v/>
      </c>
      <c r="T1682" s="10">
        <f>IF(A1682="D",LEFT(UPPER(D1682)&amp;REPT(" ",2),2)," ")</f>
        <v/>
      </c>
      <c r="U1682" s="10">
        <f>IF(A1682="D",LEFT(UPPER(E1682)&amp;REPT(" ",15),15)," ")</f>
        <v/>
      </c>
      <c r="V1682" s="10">
        <f>REPT(" ",24)</f>
        <v/>
      </c>
      <c r="W1682" s="10">
        <f>IF(A1682="c",LEFT(UPPER(B1682)&amp;REPT(" ",20),20),REPT(" ",20))</f>
        <v/>
      </c>
      <c r="X1682" s="10">
        <f>IF(A1682="C",LEFT(UPPER(C1682)&amp;REPT(" ",10),10)," ")</f>
        <v/>
      </c>
      <c r="Y1682" s="10">
        <f>IF(A1682="C",LEFT(UPPER(D1682)&amp;REPT(" ",2),2)," ")</f>
        <v/>
      </c>
      <c r="Z1682" s="10">
        <f>IF(A1682="C",LEFT(UPPER(E1682)&amp;REPT(" ",15),15)," ")</f>
        <v/>
      </c>
      <c r="AA1682" s="10">
        <f>REPT(" ",8)</f>
        <v/>
      </c>
      <c r="AB1682" s="10">
        <f>REPT(" ",4)</f>
        <v/>
      </c>
      <c r="AC1682" s="10">
        <f>LEFT(UPPER(H1682)&amp;REPT(" ",250),250)</f>
        <v/>
      </c>
      <c r="AD1682" s="10">
        <f>TEXT($G$2,"dd/mm/aaaa")</f>
        <v/>
      </c>
      <c r="AE1682" s="10">
        <f>REPT(" ",10)</f>
        <v/>
      </c>
      <c r="AF1682" s="10">
        <f>REPT(" ",20)</f>
        <v/>
      </c>
      <c r="AG1682" s="54">
        <f>REPT(" ",18-LEN(FIXED(F1682,2,TRUE)))&amp;FIXED(F1682,2,TRUE)</f>
        <v/>
      </c>
      <c r="AH1682" s="10">
        <f>LEN(AC1682)+LEN(AG1682)</f>
        <v/>
      </c>
      <c r="AI1682" s="10">
        <f>LEN(L1682)</f>
        <v/>
      </c>
    </row>
    <row r="1683">
      <c r="J1683" s="12">
        <f>IF(F1683&lt;&gt;0,"LANÇAR","")</f>
        <v/>
      </c>
      <c r="L1683" s="13">
        <f>N1683&amp;O1683&amp;P1683&amp;Q1683&amp;R1683&amp;S1683&amp;T1683&amp;U1683&amp;V1683&amp;W1683&amp;X1683&amp;Y1683&amp;Z1683&amp;AA1683&amp;AB1683&amp;AC1683&amp;AD1683&amp;AE1683&amp;AF1683&amp;AG1683</f>
        <v/>
      </c>
      <c r="N1683" s="10">
        <f>TEXT($B$6,"00")</f>
        <v/>
      </c>
      <c r="O1683" s="10">
        <f>REPT(" ",8)</f>
        <v/>
      </c>
      <c r="P1683" s="10">
        <f>RIGHT($B$4,2)</f>
        <v/>
      </c>
      <c r="Q1683" s="10">
        <f>RIGHT($B$5,3)</f>
        <v/>
      </c>
      <c r="R1683" s="10">
        <f>IF(A1683="D",LEFT(UPPER(B1683)&amp;REPT(" ",20),20),REPT(" ",20))</f>
        <v/>
      </c>
      <c r="S1683" s="10">
        <f>IF(A1683="D",LEFT(UPPER(C1683)&amp;REPT(" ",10),10)," ")</f>
        <v/>
      </c>
      <c r="T1683" s="10">
        <f>IF(A1683="D",LEFT(UPPER(D1683)&amp;REPT(" ",2),2)," ")</f>
        <v/>
      </c>
      <c r="U1683" s="10">
        <f>IF(A1683="D",LEFT(UPPER(E1683)&amp;REPT(" ",15),15)," ")</f>
        <v/>
      </c>
      <c r="V1683" s="10">
        <f>REPT(" ",24)</f>
        <v/>
      </c>
      <c r="W1683" s="10">
        <f>IF(A1683="c",LEFT(UPPER(B1683)&amp;REPT(" ",20),20),REPT(" ",20))</f>
        <v/>
      </c>
      <c r="X1683" s="10">
        <f>IF(A1683="C",LEFT(UPPER(C1683)&amp;REPT(" ",10),10)," ")</f>
        <v/>
      </c>
      <c r="Y1683" s="10">
        <f>IF(A1683="C",LEFT(UPPER(D1683)&amp;REPT(" ",2),2)," ")</f>
        <v/>
      </c>
      <c r="Z1683" s="10">
        <f>IF(A1683="C",LEFT(UPPER(E1683)&amp;REPT(" ",15),15)," ")</f>
        <v/>
      </c>
      <c r="AA1683" s="10">
        <f>REPT(" ",8)</f>
        <v/>
      </c>
      <c r="AB1683" s="10">
        <f>REPT(" ",4)</f>
        <v/>
      </c>
      <c r="AC1683" s="10">
        <f>LEFT(UPPER(H1683)&amp;REPT(" ",250),250)</f>
        <v/>
      </c>
      <c r="AD1683" s="10">
        <f>TEXT($G$2,"dd/mm/aaaa")</f>
        <v/>
      </c>
      <c r="AE1683" s="10">
        <f>REPT(" ",10)</f>
        <v/>
      </c>
      <c r="AF1683" s="10">
        <f>REPT(" ",20)</f>
        <v/>
      </c>
      <c r="AG1683" s="54">
        <f>REPT(" ",18-LEN(FIXED(F1683,2,TRUE)))&amp;FIXED(F1683,2,TRUE)</f>
        <v/>
      </c>
      <c r="AH1683" s="10">
        <f>LEN(AC1683)+LEN(AG1683)</f>
        <v/>
      </c>
      <c r="AI1683" s="10">
        <f>LEN(L1683)</f>
        <v/>
      </c>
    </row>
    <row r="1684">
      <c r="J1684" s="12">
        <f>IF(F1684&lt;&gt;0,"LANÇAR","")</f>
        <v/>
      </c>
      <c r="L1684" s="13">
        <f>N1684&amp;O1684&amp;P1684&amp;Q1684&amp;R1684&amp;S1684&amp;T1684&amp;U1684&amp;V1684&amp;W1684&amp;X1684&amp;Y1684&amp;Z1684&amp;AA1684&amp;AB1684&amp;AC1684&amp;AD1684&amp;AE1684&amp;AF1684&amp;AG1684</f>
        <v/>
      </c>
      <c r="N1684" s="10">
        <f>TEXT($B$6,"00")</f>
        <v/>
      </c>
      <c r="O1684" s="10">
        <f>REPT(" ",8)</f>
        <v/>
      </c>
      <c r="P1684" s="10">
        <f>RIGHT($B$4,2)</f>
        <v/>
      </c>
      <c r="Q1684" s="10">
        <f>RIGHT($B$5,3)</f>
        <v/>
      </c>
      <c r="R1684" s="10">
        <f>IF(A1684="D",LEFT(UPPER(B1684)&amp;REPT(" ",20),20),REPT(" ",20))</f>
        <v/>
      </c>
      <c r="S1684" s="10">
        <f>IF(A1684="D",LEFT(UPPER(C1684)&amp;REPT(" ",10),10)," ")</f>
        <v/>
      </c>
      <c r="T1684" s="10">
        <f>IF(A1684="D",LEFT(UPPER(D1684)&amp;REPT(" ",2),2)," ")</f>
        <v/>
      </c>
      <c r="U1684" s="10">
        <f>IF(A1684="D",LEFT(UPPER(E1684)&amp;REPT(" ",15),15)," ")</f>
        <v/>
      </c>
      <c r="V1684" s="10">
        <f>REPT(" ",24)</f>
        <v/>
      </c>
      <c r="W1684" s="10">
        <f>IF(A1684="c",LEFT(UPPER(B1684)&amp;REPT(" ",20),20),REPT(" ",20))</f>
        <v/>
      </c>
      <c r="X1684" s="10">
        <f>IF(A1684="C",LEFT(UPPER(C1684)&amp;REPT(" ",10),10)," ")</f>
        <v/>
      </c>
      <c r="Y1684" s="10">
        <f>IF(A1684="C",LEFT(UPPER(D1684)&amp;REPT(" ",2),2)," ")</f>
        <v/>
      </c>
      <c r="Z1684" s="10">
        <f>IF(A1684="C",LEFT(UPPER(E1684)&amp;REPT(" ",15),15)," ")</f>
        <v/>
      </c>
      <c r="AA1684" s="10">
        <f>REPT(" ",8)</f>
        <v/>
      </c>
      <c r="AB1684" s="10">
        <f>REPT(" ",4)</f>
        <v/>
      </c>
      <c r="AC1684" s="10">
        <f>LEFT(UPPER(H1684)&amp;REPT(" ",250),250)</f>
        <v/>
      </c>
      <c r="AD1684" s="10">
        <f>TEXT($G$2,"dd/mm/aaaa")</f>
        <v/>
      </c>
      <c r="AE1684" s="10">
        <f>REPT(" ",10)</f>
        <v/>
      </c>
      <c r="AF1684" s="10">
        <f>REPT(" ",20)</f>
        <v/>
      </c>
      <c r="AG1684" s="54">
        <f>REPT(" ",18-LEN(FIXED(F1684,2,TRUE)))&amp;FIXED(F1684,2,TRUE)</f>
        <v/>
      </c>
      <c r="AH1684" s="10">
        <f>LEN(AC1684)+LEN(AG1684)</f>
        <v/>
      </c>
      <c r="AI1684" s="10">
        <f>LEN(L1684)</f>
        <v/>
      </c>
    </row>
    <row r="1685">
      <c r="J1685" s="12">
        <f>IF(F1685&lt;&gt;0,"LANÇAR","")</f>
        <v/>
      </c>
      <c r="L1685" s="13">
        <f>N1685&amp;O1685&amp;P1685&amp;Q1685&amp;R1685&amp;S1685&amp;T1685&amp;U1685&amp;V1685&amp;W1685&amp;X1685&amp;Y1685&amp;Z1685&amp;AA1685&amp;AB1685&amp;AC1685&amp;AD1685&amp;AE1685&amp;AF1685&amp;AG1685</f>
        <v/>
      </c>
      <c r="N1685" s="10">
        <f>TEXT($B$6,"00")</f>
        <v/>
      </c>
      <c r="O1685" s="10">
        <f>REPT(" ",8)</f>
        <v/>
      </c>
      <c r="P1685" s="10">
        <f>RIGHT($B$4,2)</f>
        <v/>
      </c>
      <c r="Q1685" s="10">
        <f>RIGHT($B$5,3)</f>
        <v/>
      </c>
      <c r="R1685" s="10">
        <f>IF(A1685="D",LEFT(UPPER(B1685)&amp;REPT(" ",20),20),REPT(" ",20))</f>
        <v/>
      </c>
      <c r="S1685" s="10">
        <f>IF(A1685="D",LEFT(UPPER(C1685)&amp;REPT(" ",10),10)," ")</f>
        <v/>
      </c>
      <c r="T1685" s="10">
        <f>IF(A1685="D",LEFT(UPPER(D1685)&amp;REPT(" ",2),2)," ")</f>
        <v/>
      </c>
      <c r="U1685" s="10">
        <f>IF(A1685="D",LEFT(UPPER(E1685)&amp;REPT(" ",15),15)," ")</f>
        <v/>
      </c>
      <c r="V1685" s="10">
        <f>REPT(" ",24)</f>
        <v/>
      </c>
      <c r="W1685" s="10">
        <f>IF(A1685="c",LEFT(UPPER(B1685)&amp;REPT(" ",20),20),REPT(" ",20))</f>
        <v/>
      </c>
      <c r="X1685" s="10">
        <f>IF(A1685="C",LEFT(UPPER(C1685)&amp;REPT(" ",10),10)," ")</f>
        <v/>
      </c>
      <c r="Y1685" s="10">
        <f>IF(A1685="C",LEFT(UPPER(D1685)&amp;REPT(" ",2),2)," ")</f>
        <v/>
      </c>
      <c r="Z1685" s="10">
        <f>IF(A1685="C",LEFT(UPPER(E1685)&amp;REPT(" ",15),15)," ")</f>
        <v/>
      </c>
      <c r="AA1685" s="10">
        <f>REPT(" ",8)</f>
        <v/>
      </c>
      <c r="AB1685" s="10">
        <f>REPT(" ",4)</f>
        <v/>
      </c>
      <c r="AC1685" s="10">
        <f>LEFT(UPPER(H1685)&amp;REPT(" ",250),250)</f>
        <v/>
      </c>
      <c r="AD1685" s="10">
        <f>TEXT($G$2,"dd/mm/aaaa")</f>
        <v/>
      </c>
      <c r="AE1685" s="10">
        <f>REPT(" ",10)</f>
        <v/>
      </c>
      <c r="AF1685" s="10">
        <f>REPT(" ",20)</f>
        <v/>
      </c>
      <c r="AG1685" s="54">
        <f>REPT(" ",18-LEN(FIXED(F1685,2,TRUE)))&amp;FIXED(F1685,2,TRUE)</f>
        <v/>
      </c>
      <c r="AH1685" s="10">
        <f>LEN(AC1685)+LEN(AG1685)</f>
        <v/>
      </c>
      <c r="AI1685" s="10">
        <f>LEN(L1685)</f>
        <v/>
      </c>
    </row>
    <row r="1686">
      <c r="J1686" s="12">
        <f>IF(F1686&lt;&gt;0,"LANÇAR","")</f>
        <v/>
      </c>
      <c r="L1686" s="13">
        <f>N1686&amp;O1686&amp;P1686&amp;Q1686&amp;R1686&amp;S1686&amp;T1686&amp;U1686&amp;V1686&amp;W1686&amp;X1686&amp;Y1686&amp;Z1686&amp;AA1686&amp;AB1686&amp;AC1686&amp;AD1686&amp;AE1686&amp;AF1686&amp;AG1686</f>
        <v/>
      </c>
      <c r="N1686" s="10">
        <f>TEXT($B$6,"00")</f>
        <v/>
      </c>
      <c r="O1686" s="10">
        <f>REPT(" ",8)</f>
        <v/>
      </c>
      <c r="P1686" s="10">
        <f>RIGHT($B$4,2)</f>
        <v/>
      </c>
      <c r="Q1686" s="10">
        <f>RIGHT($B$5,3)</f>
        <v/>
      </c>
      <c r="R1686" s="10">
        <f>IF(A1686="D",LEFT(UPPER(B1686)&amp;REPT(" ",20),20),REPT(" ",20))</f>
        <v/>
      </c>
      <c r="S1686" s="10">
        <f>IF(A1686="D",LEFT(UPPER(C1686)&amp;REPT(" ",10),10)," ")</f>
        <v/>
      </c>
      <c r="T1686" s="10">
        <f>IF(A1686="D",LEFT(UPPER(D1686)&amp;REPT(" ",2),2)," ")</f>
        <v/>
      </c>
      <c r="U1686" s="10">
        <f>IF(A1686="D",LEFT(UPPER(E1686)&amp;REPT(" ",15),15)," ")</f>
        <v/>
      </c>
      <c r="V1686" s="10">
        <f>REPT(" ",24)</f>
        <v/>
      </c>
      <c r="W1686" s="10">
        <f>IF(A1686="c",LEFT(UPPER(B1686)&amp;REPT(" ",20),20),REPT(" ",20))</f>
        <v/>
      </c>
      <c r="X1686" s="10">
        <f>IF(A1686="C",LEFT(UPPER(C1686)&amp;REPT(" ",10),10)," ")</f>
        <v/>
      </c>
      <c r="Y1686" s="10">
        <f>IF(A1686="C",LEFT(UPPER(D1686)&amp;REPT(" ",2),2)," ")</f>
        <v/>
      </c>
      <c r="Z1686" s="10">
        <f>IF(A1686="C",LEFT(UPPER(E1686)&amp;REPT(" ",15),15)," ")</f>
        <v/>
      </c>
      <c r="AA1686" s="10">
        <f>REPT(" ",8)</f>
        <v/>
      </c>
      <c r="AB1686" s="10">
        <f>REPT(" ",4)</f>
        <v/>
      </c>
      <c r="AC1686" s="10">
        <f>LEFT(UPPER(H1686)&amp;REPT(" ",250),250)</f>
        <v/>
      </c>
      <c r="AD1686" s="10">
        <f>TEXT($G$2,"dd/mm/aaaa")</f>
        <v/>
      </c>
      <c r="AE1686" s="10">
        <f>REPT(" ",10)</f>
        <v/>
      </c>
      <c r="AF1686" s="10">
        <f>REPT(" ",20)</f>
        <v/>
      </c>
      <c r="AG1686" s="54">
        <f>REPT(" ",18-LEN(FIXED(F1686,2,TRUE)))&amp;FIXED(F1686,2,TRUE)</f>
        <v/>
      </c>
      <c r="AH1686" s="10">
        <f>LEN(AC1686)+LEN(AG1686)</f>
        <v/>
      </c>
      <c r="AI1686" s="10">
        <f>LEN(L1686)</f>
        <v/>
      </c>
    </row>
    <row r="1687">
      <c r="J1687" s="12">
        <f>IF(F1687&lt;&gt;0,"LANÇAR","")</f>
        <v/>
      </c>
      <c r="L1687" s="13">
        <f>N1687&amp;O1687&amp;P1687&amp;Q1687&amp;R1687&amp;S1687&amp;T1687&amp;U1687&amp;V1687&amp;W1687&amp;X1687&amp;Y1687&amp;Z1687&amp;AA1687&amp;AB1687&amp;AC1687&amp;AD1687&amp;AE1687&amp;AF1687&amp;AG1687</f>
        <v/>
      </c>
      <c r="N1687" s="10">
        <f>TEXT($B$6,"00")</f>
        <v/>
      </c>
      <c r="O1687" s="10">
        <f>REPT(" ",8)</f>
        <v/>
      </c>
      <c r="P1687" s="10">
        <f>RIGHT($B$4,2)</f>
        <v/>
      </c>
      <c r="Q1687" s="10">
        <f>RIGHT($B$5,3)</f>
        <v/>
      </c>
      <c r="R1687" s="10">
        <f>IF(A1687="D",LEFT(UPPER(B1687)&amp;REPT(" ",20),20),REPT(" ",20))</f>
        <v/>
      </c>
      <c r="S1687" s="10">
        <f>IF(A1687="D",LEFT(UPPER(C1687)&amp;REPT(" ",10),10)," ")</f>
        <v/>
      </c>
      <c r="T1687" s="10">
        <f>IF(A1687="D",LEFT(UPPER(D1687)&amp;REPT(" ",2),2)," ")</f>
        <v/>
      </c>
      <c r="U1687" s="10">
        <f>IF(A1687="D",LEFT(UPPER(E1687)&amp;REPT(" ",15),15)," ")</f>
        <v/>
      </c>
      <c r="V1687" s="10">
        <f>REPT(" ",24)</f>
        <v/>
      </c>
      <c r="W1687" s="10">
        <f>IF(A1687="c",LEFT(UPPER(B1687)&amp;REPT(" ",20),20),REPT(" ",20))</f>
        <v/>
      </c>
      <c r="X1687" s="10">
        <f>IF(A1687="C",LEFT(UPPER(C1687)&amp;REPT(" ",10),10)," ")</f>
        <v/>
      </c>
      <c r="Y1687" s="10">
        <f>IF(A1687="C",LEFT(UPPER(D1687)&amp;REPT(" ",2),2)," ")</f>
        <v/>
      </c>
      <c r="Z1687" s="10">
        <f>IF(A1687="C",LEFT(UPPER(E1687)&amp;REPT(" ",15),15)," ")</f>
        <v/>
      </c>
      <c r="AA1687" s="10">
        <f>REPT(" ",8)</f>
        <v/>
      </c>
      <c r="AB1687" s="10">
        <f>REPT(" ",4)</f>
        <v/>
      </c>
      <c r="AC1687" s="10">
        <f>LEFT(UPPER(H1687)&amp;REPT(" ",250),250)</f>
        <v/>
      </c>
      <c r="AD1687" s="10">
        <f>TEXT($G$2,"dd/mm/aaaa")</f>
        <v/>
      </c>
      <c r="AE1687" s="10">
        <f>REPT(" ",10)</f>
        <v/>
      </c>
      <c r="AF1687" s="10">
        <f>REPT(" ",20)</f>
        <v/>
      </c>
      <c r="AG1687" s="54">
        <f>REPT(" ",18-LEN(FIXED(F1687,2,TRUE)))&amp;FIXED(F1687,2,TRUE)</f>
        <v/>
      </c>
      <c r="AH1687" s="10">
        <f>LEN(AC1687)+LEN(AG1687)</f>
        <v/>
      </c>
      <c r="AI1687" s="10">
        <f>LEN(L1687)</f>
        <v/>
      </c>
    </row>
    <row r="1688">
      <c r="J1688" s="12">
        <f>IF(F1688&lt;&gt;0,"LANÇAR","")</f>
        <v/>
      </c>
      <c r="L1688" s="13">
        <f>N1688&amp;O1688&amp;P1688&amp;Q1688&amp;R1688&amp;S1688&amp;T1688&amp;U1688&amp;V1688&amp;W1688&amp;X1688&amp;Y1688&amp;Z1688&amp;AA1688&amp;AB1688&amp;AC1688&amp;AD1688&amp;AE1688&amp;AF1688&amp;AG1688</f>
        <v/>
      </c>
      <c r="N1688" s="10">
        <f>TEXT($B$6,"00")</f>
        <v/>
      </c>
      <c r="O1688" s="10">
        <f>REPT(" ",8)</f>
        <v/>
      </c>
      <c r="P1688" s="10">
        <f>RIGHT($B$4,2)</f>
        <v/>
      </c>
      <c r="Q1688" s="10">
        <f>RIGHT($B$5,3)</f>
        <v/>
      </c>
      <c r="R1688" s="10">
        <f>IF(A1688="D",LEFT(UPPER(B1688)&amp;REPT(" ",20),20),REPT(" ",20))</f>
        <v/>
      </c>
      <c r="S1688" s="10">
        <f>IF(A1688="D",LEFT(UPPER(C1688)&amp;REPT(" ",10),10)," ")</f>
        <v/>
      </c>
      <c r="T1688" s="10">
        <f>IF(A1688="D",LEFT(UPPER(D1688)&amp;REPT(" ",2),2)," ")</f>
        <v/>
      </c>
      <c r="U1688" s="10">
        <f>IF(A1688="D",LEFT(UPPER(E1688)&amp;REPT(" ",15),15)," ")</f>
        <v/>
      </c>
      <c r="V1688" s="10">
        <f>REPT(" ",24)</f>
        <v/>
      </c>
      <c r="W1688" s="10">
        <f>IF(A1688="c",LEFT(UPPER(B1688)&amp;REPT(" ",20),20),REPT(" ",20))</f>
        <v/>
      </c>
      <c r="X1688" s="10">
        <f>IF(A1688="C",LEFT(UPPER(C1688)&amp;REPT(" ",10),10)," ")</f>
        <v/>
      </c>
      <c r="Y1688" s="10">
        <f>IF(A1688="C",LEFT(UPPER(D1688)&amp;REPT(" ",2),2)," ")</f>
        <v/>
      </c>
      <c r="Z1688" s="10">
        <f>IF(A1688="C",LEFT(UPPER(E1688)&amp;REPT(" ",15),15)," ")</f>
        <v/>
      </c>
      <c r="AA1688" s="10">
        <f>REPT(" ",8)</f>
        <v/>
      </c>
      <c r="AB1688" s="10">
        <f>REPT(" ",4)</f>
        <v/>
      </c>
      <c r="AC1688" s="10">
        <f>LEFT(UPPER(H1688)&amp;REPT(" ",250),250)</f>
        <v/>
      </c>
      <c r="AD1688" s="10">
        <f>TEXT($G$2,"dd/mm/aaaa")</f>
        <v/>
      </c>
      <c r="AE1688" s="10">
        <f>REPT(" ",10)</f>
        <v/>
      </c>
      <c r="AF1688" s="10">
        <f>REPT(" ",20)</f>
        <v/>
      </c>
      <c r="AG1688" s="54">
        <f>REPT(" ",18-LEN(FIXED(F1688,2,TRUE)))&amp;FIXED(F1688,2,TRUE)</f>
        <v/>
      </c>
      <c r="AH1688" s="10">
        <f>LEN(AC1688)+LEN(AG1688)</f>
        <v/>
      </c>
      <c r="AI1688" s="10">
        <f>LEN(L1688)</f>
        <v/>
      </c>
    </row>
    <row r="1689">
      <c r="J1689" s="12">
        <f>IF(F1689&lt;&gt;0,"LANÇAR","")</f>
        <v/>
      </c>
      <c r="L1689" s="13">
        <f>N1689&amp;O1689&amp;P1689&amp;Q1689&amp;R1689&amp;S1689&amp;T1689&amp;U1689&amp;V1689&amp;W1689&amp;X1689&amp;Y1689&amp;Z1689&amp;AA1689&amp;AB1689&amp;AC1689&amp;AD1689&amp;AE1689&amp;AF1689&amp;AG1689</f>
        <v/>
      </c>
      <c r="N1689" s="10">
        <f>TEXT($B$6,"00")</f>
        <v/>
      </c>
      <c r="O1689" s="10">
        <f>REPT(" ",8)</f>
        <v/>
      </c>
      <c r="P1689" s="10">
        <f>RIGHT($B$4,2)</f>
        <v/>
      </c>
      <c r="Q1689" s="10">
        <f>RIGHT($B$5,3)</f>
        <v/>
      </c>
      <c r="R1689" s="10">
        <f>IF(A1689="D",LEFT(UPPER(B1689)&amp;REPT(" ",20),20),REPT(" ",20))</f>
        <v/>
      </c>
      <c r="S1689" s="10">
        <f>IF(A1689="D",LEFT(UPPER(C1689)&amp;REPT(" ",10),10)," ")</f>
        <v/>
      </c>
      <c r="T1689" s="10">
        <f>IF(A1689="D",LEFT(UPPER(D1689)&amp;REPT(" ",2),2)," ")</f>
        <v/>
      </c>
      <c r="U1689" s="10">
        <f>IF(A1689="D",LEFT(UPPER(E1689)&amp;REPT(" ",15),15)," ")</f>
        <v/>
      </c>
      <c r="V1689" s="10">
        <f>REPT(" ",24)</f>
        <v/>
      </c>
      <c r="W1689" s="10">
        <f>IF(A1689="c",LEFT(UPPER(B1689)&amp;REPT(" ",20),20),REPT(" ",20))</f>
        <v/>
      </c>
      <c r="X1689" s="10">
        <f>IF(A1689="C",LEFT(UPPER(C1689)&amp;REPT(" ",10),10)," ")</f>
        <v/>
      </c>
      <c r="Y1689" s="10">
        <f>IF(A1689="C",LEFT(UPPER(D1689)&amp;REPT(" ",2),2)," ")</f>
        <v/>
      </c>
      <c r="Z1689" s="10">
        <f>IF(A1689="C",LEFT(UPPER(E1689)&amp;REPT(" ",15),15)," ")</f>
        <v/>
      </c>
      <c r="AA1689" s="10">
        <f>REPT(" ",8)</f>
        <v/>
      </c>
      <c r="AB1689" s="10">
        <f>REPT(" ",4)</f>
        <v/>
      </c>
      <c r="AC1689" s="10">
        <f>LEFT(UPPER(H1689)&amp;REPT(" ",250),250)</f>
        <v/>
      </c>
      <c r="AD1689" s="10">
        <f>TEXT($G$2,"dd/mm/aaaa")</f>
        <v/>
      </c>
      <c r="AE1689" s="10">
        <f>REPT(" ",10)</f>
        <v/>
      </c>
      <c r="AF1689" s="10">
        <f>REPT(" ",20)</f>
        <v/>
      </c>
      <c r="AG1689" s="54">
        <f>REPT(" ",18-LEN(FIXED(F1689,2,TRUE)))&amp;FIXED(F1689,2,TRUE)</f>
        <v/>
      </c>
      <c r="AH1689" s="10">
        <f>LEN(AC1689)+LEN(AG1689)</f>
        <v/>
      </c>
      <c r="AI1689" s="10">
        <f>LEN(L1689)</f>
        <v/>
      </c>
    </row>
    <row r="1690">
      <c r="J1690" s="12">
        <f>IF(F1690&lt;&gt;0,"LANÇAR","")</f>
        <v/>
      </c>
      <c r="L1690" s="13">
        <f>N1690&amp;O1690&amp;P1690&amp;Q1690&amp;R1690&amp;S1690&amp;T1690&amp;U1690&amp;V1690&amp;W1690&amp;X1690&amp;Y1690&amp;Z1690&amp;AA1690&amp;AB1690&amp;AC1690&amp;AD1690&amp;AE1690&amp;AF1690&amp;AG1690</f>
        <v/>
      </c>
      <c r="N1690" s="10">
        <f>TEXT($B$6,"00")</f>
        <v/>
      </c>
      <c r="O1690" s="10">
        <f>REPT(" ",8)</f>
        <v/>
      </c>
      <c r="P1690" s="10">
        <f>RIGHT($B$4,2)</f>
        <v/>
      </c>
      <c r="Q1690" s="10">
        <f>RIGHT($B$5,3)</f>
        <v/>
      </c>
      <c r="R1690" s="10">
        <f>IF(A1690="D",LEFT(UPPER(B1690)&amp;REPT(" ",20),20),REPT(" ",20))</f>
        <v/>
      </c>
      <c r="S1690" s="10">
        <f>IF(A1690="D",LEFT(UPPER(C1690)&amp;REPT(" ",10),10)," ")</f>
        <v/>
      </c>
      <c r="T1690" s="10">
        <f>IF(A1690="D",LEFT(UPPER(D1690)&amp;REPT(" ",2),2)," ")</f>
        <v/>
      </c>
      <c r="U1690" s="10">
        <f>IF(A1690="D",LEFT(UPPER(E1690)&amp;REPT(" ",15),15)," ")</f>
        <v/>
      </c>
      <c r="V1690" s="10">
        <f>REPT(" ",24)</f>
        <v/>
      </c>
      <c r="W1690" s="10">
        <f>IF(A1690="c",LEFT(UPPER(B1690)&amp;REPT(" ",20),20),REPT(" ",20))</f>
        <v/>
      </c>
      <c r="X1690" s="10">
        <f>IF(A1690="C",LEFT(UPPER(C1690)&amp;REPT(" ",10),10)," ")</f>
        <v/>
      </c>
      <c r="Y1690" s="10">
        <f>IF(A1690="C",LEFT(UPPER(D1690)&amp;REPT(" ",2),2)," ")</f>
        <v/>
      </c>
      <c r="Z1690" s="10">
        <f>IF(A1690="C",LEFT(UPPER(E1690)&amp;REPT(" ",15),15)," ")</f>
        <v/>
      </c>
      <c r="AA1690" s="10">
        <f>REPT(" ",8)</f>
        <v/>
      </c>
      <c r="AB1690" s="10">
        <f>REPT(" ",4)</f>
        <v/>
      </c>
      <c r="AC1690" s="10">
        <f>LEFT(UPPER(H1690)&amp;REPT(" ",250),250)</f>
        <v/>
      </c>
      <c r="AD1690" s="10">
        <f>TEXT($G$2,"dd/mm/aaaa")</f>
        <v/>
      </c>
      <c r="AE1690" s="10">
        <f>REPT(" ",10)</f>
        <v/>
      </c>
      <c r="AF1690" s="10">
        <f>REPT(" ",20)</f>
        <v/>
      </c>
      <c r="AG1690" s="54">
        <f>REPT(" ",18-LEN(FIXED(F1690,2,TRUE)))&amp;FIXED(F1690,2,TRUE)</f>
        <v/>
      </c>
      <c r="AH1690" s="10">
        <f>LEN(AC1690)+LEN(AG1690)</f>
        <v/>
      </c>
      <c r="AI1690" s="10">
        <f>LEN(L1690)</f>
        <v/>
      </c>
    </row>
    <row r="1691">
      <c r="J1691" s="12">
        <f>IF(F1691&lt;&gt;0,"LANÇAR","")</f>
        <v/>
      </c>
      <c r="L1691" s="13">
        <f>N1691&amp;O1691&amp;P1691&amp;Q1691&amp;R1691&amp;S1691&amp;T1691&amp;U1691&amp;V1691&amp;W1691&amp;X1691&amp;Y1691&amp;Z1691&amp;AA1691&amp;AB1691&amp;AC1691&amp;AD1691&amp;AE1691&amp;AF1691&amp;AG1691</f>
        <v/>
      </c>
      <c r="N1691" s="10">
        <f>TEXT($B$6,"00")</f>
        <v/>
      </c>
      <c r="O1691" s="10">
        <f>REPT(" ",8)</f>
        <v/>
      </c>
      <c r="P1691" s="10">
        <f>RIGHT($B$4,2)</f>
        <v/>
      </c>
      <c r="Q1691" s="10">
        <f>RIGHT($B$5,3)</f>
        <v/>
      </c>
      <c r="R1691" s="10">
        <f>IF(A1691="D",LEFT(UPPER(B1691)&amp;REPT(" ",20),20),REPT(" ",20))</f>
        <v/>
      </c>
      <c r="S1691" s="10">
        <f>IF(A1691="D",LEFT(UPPER(C1691)&amp;REPT(" ",10),10)," ")</f>
        <v/>
      </c>
      <c r="T1691" s="10">
        <f>IF(A1691="D",LEFT(UPPER(D1691)&amp;REPT(" ",2),2)," ")</f>
        <v/>
      </c>
      <c r="U1691" s="10">
        <f>IF(A1691="D",LEFT(UPPER(E1691)&amp;REPT(" ",15),15)," ")</f>
        <v/>
      </c>
      <c r="V1691" s="10">
        <f>REPT(" ",24)</f>
        <v/>
      </c>
      <c r="W1691" s="10">
        <f>IF(A1691="c",LEFT(UPPER(B1691)&amp;REPT(" ",20),20),REPT(" ",20))</f>
        <v/>
      </c>
      <c r="X1691" s="10">
        <f>IF(A1691="C",LEFT(UPPER(C1691)&amp;REPT(" ",10),10)," ")</f>
        <v/>
      </c>
      <c r="Y1691" s="10">
        <f>IF(A1691="C",LEFT(UPPER(D1691)&amp;REPT(" ",2),2)," ")</f>
        <v/>
      </c>
      <c r="Z1691" s="10">
        <f>IF(A1691="C",LEFT(UPPER(E1691)&amp;REPT(" ",15),15)," ")</f>
        <v/>
      </c>
      <c r="AA1691" s="10">
        <f>REPT(" ",8)</f>
        <v/>
      </c>
      <c r="AB1691" s="10">
        <f>REPT(" ",4)</f>
        <v/>
      </c>
      <c r="AC1691" s="10">
        <f>LEFT(UPPER(H1691)&amp;REPT(" ",250),250)</f>
        <v/>
      </c>
      <c r="AD1691" s="10">
        <f>TEXT($G$2,"dd/mm/aaaa")</f>
        <v/>
      </c>
      <c r="AE1691" s="10">
        <f>REPT(" ",10)</f>
        <v/>
      </c>
      <c r="AF1691" s="10">
        <f>REPT(" ",20)</f>
        <v/>
      </c>
      <c r="AG1691" s="54">
        <f>REPT(" ",18-LEN(FIXED(F1691,2,TRUE)))&amp;FIXED(F1691,2,TRUE)</f>
        <v/>
      </c>
      <c r="AH1691" s="10">
        <f>LEN(AC1691)+LEN(AG1691)</f>
        <v/>
      </c>
      <c r="AI1691" s="10">
        <f>LEN(L1691)</f>
        <v/>
      </c>
    </row>
    <row r="1692">
      <c r="J1692" s="12">
        <f>IF(F1692&lt;&gt;0,"LANÇAR","")</f>
        <v/>
      </c>
      <c r="L1692" s="13">
        <f>N1692&amp;O1692&amp;P1692&amp;Q1692&amp;R1692&amp;S1692&amp;T1692&amp;U1692&amp;V1692&amp;W1692&amp;X1692&amp;Y1692&amp;Z1692&amp;AA1692&amp;AB1692&amp;AC1692&amp;AD1692&amp;AE1692&amp;AF1692&amp;AG1692</f>
        <v/>
      </c>
      <c r="N1692" s="10">
        <f>TEXT($B$6,"00")</f>
        <v/>
      </c>
      <c r="O1692" s="10">
        <f>REPT(" ",8)</f>
        <v/>
      </c>
      <c r="P1692" s="10">
        <f>RIGHT($B$4,2)</f>
        <v/>
      </c>
      <c r="Q1692" s="10">
        <f>RIGHT($B$5,3)</f>
        <v/>
      </c>
      <c r="R1692" s="10">
        <f>IF(A1692="D",LEFT(UPPER(B1692)&amp;REPT(" ",20),20),REPT(" ",20))</f>
        <v/>
      </c>
      <c r="S1692" s="10">
        <f>IF(A1692="D",LEFT(UPPER(C1692)&amp;REPT(" ",10),10)," ")</f>
        <v/>
      </c>
      <c r="T1692" s="10">
        <f>IF(A1692="D",LEFT(UPPER(D1692)&amp;REPT(" ",2),2)," ")</f>
        <v/>
      </c>
      <c r="U1692" s="10">
        <f>IF(A1692="D",LEFT(UPPER(E1692)&amp;REPT(" ",15),15)," ")</f>
        <v/>
      </c>
      <c r="V1692" s="10">
        <f>REPT(" ",24)</f>
        <v/>
      </c>
      <c r="W1692" s="10">
        <f>IF(A1692="c",LEFT(UPPER(B1692)&amp;REPT(" ",20),20),REPT(" ",20))</f>
        <v/>
      </c>
      <c r="X1692" s="10">
        <f>IF(A1692="C",LEFT(UPPER(C1692)&amp;REPT(" ",10),10)," ")</f>
        <v/>
      </c>
      <c r="Y1692" s="10">
        <f>IF(A1692="C",LEFT(UPPER(D1692)&amp;REPT(" ",2),2)," ")</f>
        <v/>
      </c>
      <c r="Z1692" s="10">
        <f>IF(A1692="C",LEFT(UPPER(E1692)&amp;REPT(" ",15),15)," ")</f>
        <v/>
      </c>
      <c r="AA1692" s="10">
        <f>REPT(" ",8)</f>
        <v/>
      </c>
      <c r="AB1692" s="10">
        <f>REPT(" ",4)</f>
        <v/>
      </c>
      <c r="AC1692" s="10">
        <f>LEFT(UPPER(H1692)&amp;REPT(" ",250),250)</f>
        <v/>
      </c>
      <c r="AD1692" s="10">
        <f>TEXT($G$2,"dd/mm/aaaa")</f>
        <v/>
      </c>
      <c r="AE1692" s="10">
        <f>REPT(" ",10)</f>
        <v/>
      </c>
      <c r="AF1692" s="10">
        <f>REPT(" ",20)</f>
        <v/>
      </c>
      <c r="AG1692" s="54">
        <f>REPT(" ",18-LEN(FIXED(F1692,2,TRUE)))&amp;FIXED(F1692,2,TRUE)</f>
        <v/>
      </c>
      <c r="AH1692" s="10">
        <f>LEN(AC1692)+LEN(AG1692)</f>
        <v/>
      </c>
      <c r="AI1692" s="10">
        <f>LEN(L1692)</f>
        <v/>
      </c>
    </row>
    <row r="1693">
      <c r="J1693" s="12">
        <f>IF(F1693&lt;&gt;0,"LANÇAR","")</f>
        <v/>
      </c>
      <c r="L1693" s="13">
        <f>N1693&amp;O1693&amp;P1693&amp;Q1693&amp;R1693&amp;S1693&amp;T1693&amp;U1693&amp;V1693&amp;W1693&amp;X1693&amp;Y1693&amp;Z1693&amp;AA1693&amp;AB1693&amp;AC1693&amp;AD1693&amp;AE1693&amp;AF1693&amp;AG1693</f>
        <v/>
      </c>
      <c r="N1693" s="10">
        <f>TEXT($B$6,"00")</f>
        <v/>
      </c>
      <c r="O1693" s="10">
        <f>REPT(" ",8)</f>
        <v/>
      </c>
      <c r="P1693" s="10">
        <f>RIGHT($B$4,2)</f>
        <v/>
      </c>
      <c r="Q1693" s="10">
        <f>RIGHT($B$5,3)</f>
        <v/>
      </c>
      <c r="R1693" s="10">
        <f>IF(A1693="D",LEFT(UPPER(B1693)&amp;REPT(" ",20),20),REPT(" ",20))</f>
        <v/>
      </c>
      <c r="S1693" s="10">
        <f>IF(A1693="D",LEFT(UPPER(C1693)&amp;REPT(" ",10),10)," ")</f>
        <v/>
      </c>
      <c r="T1693" s="10">
        <f>IF(A1693="D",LEFT(UPPER(D1693)&amp;REPT(" ",2),2)," ")</f>
        <v/>
      </c>
      <c r="U1693" s="10">
        <f>IF(A1693="D",LEFT(UPPER(E1693)&amp;REPT(" ",15),15)," ")</f>
        <v/>
      </c>
      <c r="V1693" s="10">
        <f>REPT(" ",24)</f>
        <v/>
      </c>
      <c r="W1693" s="10">
        <f>IF(A1693="c",LEFT(UPPER(B1693)&amp;REPT(" ",20),20),REPT(" ",20))</f>
        <v/>
      </c>
      <c r="X1693" s="10">
        <f>IF(A1693="C",LEFT(UPPER(C1693)&amp;REPT(" ",10),10)," ")</f>
        <v/>
      </c>
      <c r="Y1693" s="10">
        <f>IF(A1693="C",LEFT(UPPER(D1693)&amp;REPT(" ",2),2)," ")</f>
        <v/>
      </c>
      <c r="Z1693" s="10">
        <f>IF(A1693="C",LEFT(UPPER(E1693)&amp;REPT(" ",15),15)," ")</f>
        <v/>
      </c>
      <c r="AA1693" s="10">
        <f>REPT(" ",8)</f>
        <v/>
      </c>
      <c r="AB1693" s="10">
        <f>REPT(" ",4)</f>
        <v/>
      </c>
      <c r="AC1693" s="10">
        <f>LEFT(UPPER(H1693)&amp;REPT(" ",250),250)</f>
        <v/>
      </c>
      <c r="AD1693" s="10">
        <f>TEXT($G$2,"dd/mm/aaaa")</f>
        <v/>
      </c>
      <c r="AE1693" s="10">
        <f>REPT(" ",10)</f>
        <v/>
      </c>
      <c r="AF1693" s="10">
        <f>REPT(" ",20)</f>
        <v/>
      </c>
      <c r="AG1693" s="54">
        <f>REPT(" ",18-LEN(FIXED(F1693,2,TRUE)))&amp;FIXED(F1693,2,TRUE)</f>
        <v/>
      </c>
      <c r="AH1693" s="10">
        <f>LEN(AC1693)+LEN(AG1693)</f>
        <v/>
      </c>
      <c r="AI1693" s="10">
        <f>LEN(L1693)</f>
        <v/>
      </c>
    </row>
    <row r="1694">
      <c r="J1694" s="12">
        <f>IF(F1694&lt;&gt;0,"LANÇAR","")</f>
        <v/>
      </c>
      <c r="L1694" s="13">
        <f>N1694&amp;O1694&amp;P1694&amp;Q1694&amp;R1694&amp;S1694&amp;T1694&amp;U1694&amp;V1694&amp;W1694&amp;X1694&amp;Y1694&amp;Z1694&amp;AA1694&amp;AB1694&amp;AC1694&amp;AD1694&amp;AE1694&amp;AF1694&amp;AG1694</f>
        <v/>
      </c>
      <c r="N1694" s="10">
        <f>TEXT($B$6,"00")</f>
        <v/>
      </c>
      <c r="O1694" s="10">
        <f>REPT(" ",8)</f>
        <v/>
      </c>
      <c r="P1694" s="10">
        <f>RIGHT($B$4,2)</f>
        <v/>
      </c>
      <c r="Q1694" s="10">
        <f>RIGHT($B$5,3)</f>
        <v/>
      </c>
      <c r="R1694" s="10">
        <f>IF(A1694="D",LEFT(UPPER(B1694)&amp;REPT(" ",20),20),REPT(" ",20))</f>
        <v/>
      </c>
      <c r="S1694" s="10">
        <f>IF(A1694="D",LEFT(UPPER(C1694)&amp;REPT(" ",10),10)," ")</f>
        <v/>
      </c>
      <c r="T1694" s="10">
        <f>IF(A1694="D",LEFT(UPPER(D1694)&amp;REPT(" ",2),2)," ")</f>
        <v/>
      </c>
      <c r="U1694" s="10">
        <f>IF(A1694="D",LEFT(UPPER(E1694)&amp;REPT(" ",15),15)," ")</f>
        <v/>
      </c>
      <c r="V1694" s="10">
        <f>REPT(" ",24)</f>
        <v/>
      </c>
      <c r="W1694" s="10">
        <f>IF(A1694="c",LEFT(UPPER(B1694)&amp;REPT(" ",20),20),REPT(" ",20))</f>
        <v/>
      </c>
      <c r="X1694" s="10">
        <f>IF(A1694="C",LEFT(UPPER(C1694)&amp;REPT(" ",10),10)," ")</f>
        <v/>
      </c>
      <c r="Y1694" s="10">
        <f>IF(A1694="C",LEFT(UPPER(D1694)&amp;REPT(" ",2),2)," ")</f>
        <v/>
      </c>
      <c r="Z1694" s="10">
        <f>IF(A1694="C",LEFT(UPPER(E1694)&amp;REPT(" ",15),15)," ")</f>
        <v/>
      </c>
      <c r="AA1694" s="10">
        <f>REPT(" ",8)</f>
        <v/>
      </c>
      <c r="AB1694" s="10">
        <f>REPT(" ",4)</f>
        <v/>
      </c>
      <c r="AC1694" s="10">
        <f>LEFT(UPPER(H1694)&amp;REPT(" ",250),250)</f>
        <v/>
      </c>
      <c r="AD1694" s="10">
        <f>TEXT($G$2,"dd/mm/aaaa")</f>
        <v/>
      </c>
      <c r="AE1694" s="10">
        <f>REPT(" ",10)</f>
        <v/>
      </c>
      <c r="AF1694" s="10">
        <f>REPT(" ",20)</f>
        <v/>
      </c>
      <c r="AG1694" s="54">
        <f>REPT(" ",18-LEN(FIXED(F1694,2,TRUE)))&amp;FIXED(F1694,2,TRUE)</f>
        <v/>
      </c>
      <c r="AH1694" s="10">
        <f>LEN(AC1694)+LEN(AG1694)</f>
        <v/>
      </c>
      <c r="AI1694" s="10">
        <f>LEN(L1694)</f>
        <v/>
      </c>
    </row>
    <row r="1695">
      <c r="J1695" s="12">
        <f>IF(F1695&lt;&gt;0,"LANÇAR","")</f>
        <v/>
      </c>
      <c r="L1695" s="13">
        <f>N1695&amp;O1695&amp;P1695&amp;Q1695&amp;R1695&amp;S1695&amp;T1695&amp;U1695&amp;V1695&amp;W1695&amp;X1695&amp;Y1695&amp;Z1695&amp;AA1695&amp;AB1695&amp;AC1695&amp;AD1695&amp;AE1695&amp;AF1695&amp;AG1695</f>
        <v/>
      </c>
      <c r="N1695" s="10">
        <f>TEXT($B$6,"00")</f>
        <v/>
      </c>
      <c r="O1695" s="10">
        <f>REPT(" ",8)</f>
        <v/>
      </c>
      <c r="P1695" s="10">
        <f>RIGHT($B$4,2)</f>
        <v/>
      </c>
      <c r="Q1695" s="10">
        <f>RIGHT($B$5,3)</f>
        <v/>
      </c>
      <c r="R1695" s="10">
        <f>IF(A1695="D",LEFT(UPPER(B1695)&amp;REPT(" ",20),20),REPT(" ",20))</f>
        <v/>
      </c>
      <c r="S1695" s="10">
        <f>IF(A1695="D",LEFT(UPPER(C1695)&amp;REPT(" ",10),10)," ")</f>
        <v/>
      </c>
      <c r="T1695" s="10">
        <f>IF(A1695="D",LEFT(UPPER(D1695)&amp;REPT(" ",2),2)," ")</f>
        <v/>
      </c>
      <c r="U1695" s="10">
        <f>IF(A1695="D",LEFT(UPPER(E1695)&amp;REPT(" ",15),15)," ")</f>
        <v/>
      </c>
      <c r="V1695" s="10">
        <f>REPT(" ",24)</f>
        <v/>
      </c>
      <c r="W1695" s="10">
        <f>IF(A1695="c",LEFT(UPPER(B1695)&amp;REPT(" ",20),20),REPT(" ",20))</f>
        <v/>
      </c>
      <c r="X1695" s="10">
        <f>IF(A1695="C",LEFT(UPPER(C1695)&amp;REPT(" ",10),10)," ")</f>
        <v/>
      </c>
      <c r="Y1695" s="10">
        <f>IF(A1695="C",LEFT(UPPER(D1695)&amp;REPT(" ",2),2)," ")</f>
        <v/>
      </c>
      <c r="Z1695" s="10">
        <f>IF(A1695="C",LEFT(UPPER(E1695)&amp;REPT(" ",15),15)," ")</f>
        <v/>
      </c>
      <c r="AA1695" s="10">
        <f>REPT(" ",8)</f>
        <v/>
      </c>
      <c r="AB1695" s="10">
        <f>REPT(" ",4)</f>
        <v/>
      </c>
      <c r="AC1695" s="10">
        <f>LEFT(UPPER(H1695)&amp;REPT(" ",250),250)</f>
        <v/>
      </c>
      <c r="AD1695" s="10">
        <f>TEXT($G$2,"dd/mm/aaaa")</f>
        <v/>
      </c>
      <c r="AE1695" s="10">
        <f>REPT(" ",10)</f>
        <v/>
      </c>
      <c r="AF1695" s="10">
        <f>REPT(" ",20)</f>
        <v/>
      </c>
      <c r="AG1695" s="54">
        <f>REPT(" ",18-LEN(FIXED(F1695,2,TRUE)))&amp;FIXED(F1695,2,TRUE)</f>
        <v/>
      </c>
      <c r="AH1695" s="10">
        <f>LEN(AC1695)+LEN(AG1695)</f>
        <v/>
      </c>
      <c r="AI1695" s="10">
        <f>LEN(L1695)</f>
        <v/>
      </c>
    </row>
    <row r="1696">
      <c r="J1696" s="12">
        <f>IF(F1696&lt;&gt;0,"LANÇAR","")</f>
        <v/>
      </c>
      <c r="L1696" s="13">
        <f>N1696&amp;O1696&amp;P1696&amp;Q1696&amp;R1696&amp;S1696&amp;T1696&amp;U1696&amp;V1696&amp;W1696&amp;X1696&amp;Y1696&amp;Z1696&amp;AA1696&amp;AB1696&amp;AC1696&amp;AD1696&amp;AE1696&amp;AF1696&amp;AG1696</f>
        <v/>
      </c>
      <c r="N1696" s="10">
        <f>TEXT($B$6,"00")</f>
        <v/>
      </c>
      <c r="O1696" s="10">
        <f>REPT(" ",8)</f>
        <v/>
      </c>
      <c r="P1696" s="10">
        <f>RIGHT($B$4,2)</f>
        <v/>
      </c>
      <c r="Q1696" s="10">
        <f>RIGHT($B$5,3)</f>
        <v/>
      </c>
      <c r="R1696" s="10">
        <f>IF(A1696="D",LEFT(UPPER(B1696)&amp;REPT(" ",20),20),REPT(" ",20))</f>
        <v/>
      </c>
      <c r="S1696" s="10">
        <f>IF(A1696="D",LEFT(UPPER(C1696)&amp;REPT(" ",10),10)," ")</f>
        <v/>
      </c>
      <c r="T1696" s="10">
        <f>IF(A1696="D",LEFT(UPPER(D1696)&amp;REPT(" ",2),2)," ")</f>
        <v/>
      </c>
      <c r="U1696" s="10">
        <f>IF(A1696="D",LEFT(UPPER(E1696)&amp;REPT(" ",15),15)," ")</f>
        <v/>
      </c>
      <c r="V1696" s="10">
        <f>REPT(" ",24)</f>
        <v/>
      </c>
      <c r="W1696" s="10">
        <f>IF(A1696="c",LEFT(UPPER(B1696)&amp;REPT(" ",20),20),REPT(" ",20))</f>
        <v/>
      </c>
      <c r="X1696" s="10">
        <f>IF(A1696="C",LEFT(UPPER(C1696)&amp;REPT(" ",10),10)," ")</f>
        <v/>
      </c>
      <c r="Y1696" s="10">
        <f>IF(A1696="C",LEFT(UPPER(D1696)&amp;REPT(" ",2),2)," ")</f>
        <v/>
      </c>
      <c r="Z1696" s="10">
        <f>IF(A1696="C",LEFT(UPPER(E1696)&amp;REPT(" ",15),15)," ")</f>
        <v/>
      </c>
      <c r="AA1696" s="10">
        <f>REPT(" ",8)</f>
        <v/>
      </c>
      <c r="AB1696" s="10">
        <f>REPT(" ",4)</f>
        <v/>
      </c>
      <c r="AC1696" s="10">
        <f>LEFT(UPPER(H1696)&amp;REPT(" ",250),250)</f>
        <v/>
      </c>
      <c r="AD1696" s="10">
        <f>TEXT($G$2,"dd/mm/aaaa")</f>
        <v/>
      </c>
      <c r="AE1696" s="10">
        <f>REPT(" ",10)</f>
        <v/>
      </c>
      <c r="AF1696" s="10">
        <f>REPT(" ",20)</f>
        <v/>
      </c>
      <c r="AG1696" s="54">
        <f>REPT(" ",18-LEN(FIXED(F1696,2,TRUE)))&amp;FIXED(F1696,2,TRUE)</f>
        <v/>
      </c>
      <c r="AH1696" s="10">
        <f>LEN(AC1696)+LEN(AG1696)</f>
        <v/>
      </c>
      <c r="AI1696" s="10">
        <f>LEN(L1696)</f>
        <v/>
      </c>
    </row>
    <row r="1697">
      <c r="J1697" s="12">
        <f>IF(F1697&lt;&gt;0,"LANÇAR","")</f>
        <v/>
      </c>
      <c r="L1697" s="13">
        <f>N1697&amp;O1697&amp;P1697&amp;Q1697&amp;R1697&amp;S1697&amp;T1697&amp;U1697&amp;V1697&amp;W1697&amp;X1697&amp;Y1697&amp;Z1697&amp;AA1697&amp;AB1697&amp;AC1697&amp;AD1697&amp;AE1697&amp;AF1697&amp;AG1697</f>
        <v/>
      </c>
      <c r="N1697" s="10">
        <f>TEXT($B$6,"00")</f>
        <v/>
      </c>
      <c r="O1697" s="10">
        <f>REPT(" ",8)</f>
        <v/>
      </c>
      <c r="P1697" s="10">
        <f>RIGHT($B$4,2)</f>
        <v/>
      </c>
      <c r="Q1697" s="10">
        <f>RIGHT($B$5,3)</f>
        <v/>
      </c>
      <c r="R1697" s="10">
        <f>IF(A1697="D",LEFT(UPPER(B1697)&amp;REPT(" ",20),20),REPT(" ",20))</f>
        <v/>
      </c>
      <c r="S1697" s="10">
        <f>IF(A1697="D",LEFT(UPPER(C1697)&amp;REPT(" ",10),10)," ")</f>
        <v/>
      </c>
      <c r="T1697" s="10">
        <f>IF(A1697="D",LEFT(UPPER(D1697)&amp;REPT(" ",2),2)," ")</f>
        <v/>
      </c>
      <c r="U1697" s="10">
        <f>IF(A1697="D",LEFT(UPPER(E1697)&amp;REPT(" ",15),15)," ")</f>
        <v/>
      </c>
      <c r="V1697" s="10">
        <f>REPT(" ",24)</f>
        <v/>
      </c>
      <c r="W1697" s="10">
        <f>IF(A1697="c",LEFT(UPPER(B1697)&amp;REPT(" ",20),20),REPT(" ",20))</f>
        <v/>
      </c>
      <c r="X1697" s="10">
        <f>IF(A1697="C",LEFT(UPPER(C1697)&amp;REPT(" ",10),10)," ")</f>
        <v/>
      </c>
      <c r="Y1697" s="10">
        <f>IF(A1697="C",LEFT(UPPER(D1697)&amp;REPT(" ",2),2)," ")</f>
        <v/>
      </c>
      <c r="Z1697" s="10">
        <f>IF(A1697="C",LEFT(UPPER(E1697)&amp;REPT(" ",15),15)," ")</f>
        <v/>
      </c>
      <c r="AA1697" s="10">
        <f>REPT(" ",8)</f>
        <v/>
      </c>
      <c r="AB1697" s="10">
        <f>REPT(" ",4)</f>
        <v/>
      </c>
      <c r="AC1697" s="10">
        <f>LEFT(UPPER(H1697)&amp;REPT(" ",250),250)</f>
        <v/>
      </c>
      <c r="AD1697" s="10">
        <f>TEXT($G$2,"dd/mm/aaaa")</f>
        <v/>
      </c>
      <c r="AE1697" s="10">
        <f>REPT(" ",10)</f>
        <v/>
      </c>
      <c r="AF1697" s="10">
        <f>REPT(" ",20)</f>
        <v/>
      </c>
      <c r="AG1697" s="54">
        <f>REPT(" ",18-LEN(FIXED(F1697,2,TRUE)))&amp;FIXED(F1697,2,TRUE)</f>
        <v/>
      </c>
      <c r="AH1697" s="10">
        <f>LEN(AC1697)+LEN(AG1697)</f>
        <v/>
      </c>
      <c r="AI1697" s="10">
        <f>LEN(L1697)</f>
        <v/>
      </c>
    </row>
    <row r="1698">
      <c r="J1698" s="12">
        <f>IF(F1698&lt;&gt;0,"LANÇAR","")</f>
        <v/>
      </c>
      <c r="L1698" s="13">
        <f>N1698&amp;O1698&amp;P1698&amp;Q1698&amp;R1698&amp;S1698&amp;T1698&amp;U1698&amp;V1698&amp;W1698&amp;X1698&amp;Y1698&amp;Z1698&amp;AA1698&amp;AB1698&amp;AC1698&amp;AD1698&amp;AE1698&amp;AF1698&amp;AG1698</f>
        <v/>
      </c>
      <c r="N1698" s="10">
        <f>TEXT($B$6,"00")</f>
        <v/>
      </c>
      <c r="O1698" s="10">
        <f>REPT(" ",8)</f>
        <v/>
      </c>
      <c r="P1698" s="10">
        <f>RIGHT($B$4,2)</f>
        <v/>
      </c>
      <c r="Q1698" s="10">
        <f>RIGHT($B$5,3)</f>
        <v/>
      </c>
      <c r="R1698" s="10">
        <f>IF(A1698="D",LEFT(UPPER(B1698)&amp;REPT(" ",20),20),REPT(" ",20))</f>
        <v/>
      </c>
      <c r="S1698" s="10">
        <f>IF(A1698="D",LEFT(UPPER(C1698)&amp;REPT(" ",10),10)," ")</f>
        <v/>
      </c>
      <c r="T1698" s="10">
        <f>IF(A1698="D",LEFT(UPPER(D1698)&amp;REPT(" ",2),2)," ")</f>
        <v/>
      </c>
      <c r="U1698" s="10">
        <f>IF(A1698="D",LEFT(UPPER(E1698)&amp;REPT(" ",15),15)," ")</f>
        <v/>
      </c>
      <c r="V1698" s="10">
        <f>REPT(" ",24)</f>
        <v/>
      </c>
      <c r="W1698" s="10">
        <f>IF(A1698="c",LEFT(UPPER(B1698)&amp;REPT(" ",20),20),REPT(" ",20))</f>
        <v/>
      </c>
      <c r="X1698" s="10">
        <f>IF(A1698="C",LEFT(UPPER(C1698)&amp;REPT(" ",10),10)," ")</f>
        <v/>
      </c>
      <c r="Y1698" s="10">
        <f>IF(A1698="C",LEFT(UPPER(D1698)&amp;REPT(" ",2),2)," ")</f>
        <v/>
      </c>
      <c r="Z1698" s="10">
        <f>IF(A1698="C",LEFT(UPPER(E1698)&amp;REPT(" ",15),15)," ")</f>
        <v/>
      </c>
      <c r="AA1698" s="10">
        <f>REPT(" ",8)</f>
        <v/>
      </c>
      <c r="AB1698" s="10">
        <f>REPT(" ",4)</f>
        <v/>
      </c>
      <c r="AC1698" s="10">
        <f>LEFT(UPPER(H1698)&amp;REPT(" ",250),250)</f>
        <v/>
      </c>
      <c r="AD1698" s="10">
        <f>TEXT($G$2,"dd/mm/aaaa")</f>
        <v/>
      </c>
      <c r="AE1698" s="10">
        <f>REPT(" ",10)</f>
        <v/>
      </c>
      <c r="AF1698" s="10">
        <f>REPT(" ",20)</f>
        <v/>
      </c>
      <c r="AG1698" s="54">
        <f>REPT(" ",18-LEN(FIXED(F1698,2,TRUE)))&amp;FIXED(F1698,2,TRUE)</f>
        <v/>
      </c>
      <c r="AH1698" s="10">
        <f>LEN(AC1698)+LEN(AG1698)</f>
        <v/>
      </c>
      <c r="AI1698" s="10">
        <f>LEN(L1698)</f>
        <v/>
      </c>
    </row>
    <row r="1699">
      <c r="J1699" s="12">
        <f>IF(F1699&lt;&gt;0,"LANÇAR","")</f>
        <v/>
      </c>
      <c r="L1699" s="13">
        <f>N1699&amp;O1699&amp;P1699&amp;Q1699&amp;R1699&amp;S1699&amp;T1699&amp;U1699&amp;V1699&amp;W1699&amp;X1699&amp;Y1699&amp;Z1699&amp;AA1699&amp;AB1699&amp;AC1699&amp;AD1699&amp;AE1699&amp;AF1699&amp;AG1699</f>
        <v/>
      </c>
      <c r="N1699" s="10">
        <f>TEXT($B$6,"00")</f>
        <v/>
      </c>
      <c r="O1699" s="10">
        <f>REPT(" ",8)</f>
        <v/>
      </c>
      <c r="P1699" s="10">
        <f>RIGHT($B$4,2)</f>
        <v/>
      </c>
      <c r="Q1699" s="10">
        <f>RIGHT($B$5,3)</f>
        <v/>
      </c>
      <c r="R1699" s="10">
        <f>IF(A1699="D",LEFT(UPPER(B1699)&amp;REPT(" ",20),20),REPT(" ",20))</f>
        <v/>
      </c>
      <c r="S1699" s="10">
        <f>IF(A1699="D",LEFT(UPPER(C1699)&amp;REPT(" ",10),10)," ")</f>
        <v/>
      </c>
      <c r="T1699" s="10">
        <f>IF(A1699="D",LEFT(UPPER(D1699)&amp;REPT(" ",2),2)," ")</f>
        <v/>
      </c>
      <c r="U1699" s="10">
        <f>IF(A1699="D",LEFT(UPPER(E1699)&amp;REPT(" ",15),15)," ")</f>
        <v/>
      </c>
      <c r="V1699" s="10">
        <f>REPT(" ",24)</f>
        <v/>
      </c>
      <c r="W1699" s="10">
        <f>IF(A1699="c",LEFT(UPPER(B1699)&amp;REPT(" ",20),20),REPT(" ",20))</f>
        <v/>
      </c>
      <c r="X1699" s="10">
        <f>IF(A1699="C",LEFT(UPPER(C1699)&amp;REPT(" ",10),10)," ")</f>
        <v/>
      </c>
      <c r="Y1699" s="10">
        <f>IF(A1699="C",LEFT(UPPER(D1699)&amp;REPT(" ",2),2)," ")</f>
        <v/>
      </c>
      <c r="Z1699" s="10">
        <f>IF(A1699="C",LEFT(UPPER(E1699)&amp;REPT(" ",15),15)," ")</f>
        <v/>
      </c>
      <c r="AA1699" s="10">
        <f>REPT(" ",8)</f>
        <v/>
      </c>
      <c r="AB1699" s="10">
        <f>REPT(" ",4)</f>
        <v/>
      </c>
      <c r="AC1699" s="10">
        <f>LEFT(UPPER(H1699)&amp;REPT(" ",250),250)</f>
        <v/>
      </c>
      <c r="AD1699" s="10">
        <f>TEXT($G$2,"dd/mm/aaaa")</f>
        <v/>
      </c>
      <c r="AE1699" s="10">
        <f>REPT(" ",10)</f>
        <v/>
      </c>
      <c r="AF1699" s="10">
        <f>REPT(" ",20)</f>
        <v/>
      </c>
      <c r="AG1699" s="54">
        <f>REPT(" ",18-LEN(FIXED(F1699,2,TRUE)))&amp;FIXED(F1699,2,TRUE)</f>
        <v/>
      </c>
      <c r="AH1699" s="10">
        <f>LEN(AC1699)+LEN(AG1699)</f>
        <v/>
      </c>
      <c r="AI1699" s="10">
        <f>LEN(L1699)</f>
        <v/>
      </c>
    </row>
    <row r="1700">
      <c r="J1700" s="12">
        <f>IF(F1700&lt;&gt;0,"LANÇAR","")</f>
        <v/>
      </c>
      <c r="L1700" s="13">
        <f>N1700&amp;O1700&amp;P1700&amp;Q1700&amp;R1700&amp;S1700&amp;T1700&amp;U1700&amp;V1700&amp;W1700&amp;X1700&amp;Y1700&amp;Z1700&amp;AA1700&amp;AB1700&amp;AC1700&amp;AD1700&amp;AE1700&amp;AF1700&amp;AG1700</f>
        <v/>
      </c>
      <c r="N1700" s="10">
        <f>TEXT($B$6,"00")</f>
        <v/>
      </c>
      <c r="O1700" s="10">
        <f>REPT(" ",8)</f>
        <v/>
      </c>
      <c r="P1700" s="10">
        <f>RIGHT($B$4,2)</f>
        <v/>
      </c>
      <c r="Q1700" s="10">
        <f>RIGHT($B$5,3)</f>
        <v/>
      </c>
      <c r="R1700" s="10">
        <f>IF(A1700="D",LEFT(UPPER(B1700)&amp;REPT(" ",20),20),REPT(" ",20))</f>
        <v/>
      </c>
      <c r="S1700" s="10">
        <f>IF(A1700="D",LEFT(UPPER(C1700)&amp;REPT(" ",10),10)," ")</f>
        <v/>
      </c>
      <c r="T1700" s="10">
        <f>IF(A1700="D",LEFT(UPPER(D1700)&amp;REPT(" ",2),2)," ")</f>
        <v/>
      </c>
      <c r="U1700" s="10">
        <f>IF(A1700="D",LEFT(UPPER(E1700)&amp;REPT(" ",15),15)," ")</f>
        <v/>
      </c>
      <c r="V1700" s="10">
        <f>REPT(" ",24)</f>
        <v/>
      </c>
      <c r="W1700" s="10">
        <f>IF(A1700="c",LEFT(UPPER(B1700)&amp;REPT(" ",20),20),REPT(" ",20))</f>
        <v/>
      </c>
      <c r="X1700" s="10">
        <f>IF(A1700="C",LEFT(UPPER(C1700)&amp;REPT(" ",10),10)," ")</f>
        <v/>
      </c>
      <c r="Y1700" s="10">
        <f>IF(A1700="C",LEFT(UPPER(D1700)&amp;REPT(" ",2),2)," ")</f>
        <v/>
      </c>
      <c r="Z1700" s="10">
        <f>IF(A1700="C",LEFT(UPPER(E1700)&amp;REPT(" ",15),15)," ")</f>
        <v/>
      </c>
      <c r="AA1700" s="10">
        <f>REPT(" ",8)</f>
        <v/>
      </c>
      <c r="AB1700" s="10">
        <f>REPT(" ",4)</f>
        <v/>
      </c>
      <c r="AC1700" s="10">
        <f>LEFT(UPPER(H1700)&amp;REPT(" ",250),250)</f>
        <v/>
      </c>
      <c r="AD1700" s="10">
        <f>TEXT($G$2,"dd/mm/aaaa")</f>
        <v/>
      </c>
      <c r="AE1700" s="10">
        <f>REPT(" ",10)</f>
        <v/>
      </c>
      <c r="AF1700" s="10">
        <f>REPT(" ",20)</f>
        <v/>
      </c>
      <c r="AG1700" s="54">
        <f>REPT(" ",18-LEN(FIXED(F1700,2,TRUE)))&amp;FIXED(F1700,2,TRUE)</f>
        <v/>
      </c>
      <c r="AH1700" s="10">
        <f>LEN(AC1700)+LEN(AG1700)</f>
        <v/>
      </c>
      <c r="AI1700" s="10">
        <f>LEN(L1700)</f>
        <v/>
      </c>
    </row>
    <row r="1701">
      <c r="J1701" s="12">
        <f>IF(F1701&lt;&gt;0,"LANÇAR","")</f>
        <v/>
      </c>
      <c r="L1701" s="13">
        <f>N1701&amp;O1701&amp;P1701&amp;Q1701&amp;R1701&amp;S1701&amp;T1701&amp;U1701&amp;V1701&amp;W1701&amp;X1701&amp;Y1701&amp;Z1701&amp;AA1701&amp;AB1701&amp;AC1701&amp;AD1701&amp;AE1701&amp;AF1701&amp;AG1701</f>
        <v/>
      </c>
      <c r="N1701" s="10">
        <f>TEXT($B$6,"00")</f>
        <v/>
      </c>
      <c r="O1701" s="10">
        <f>REPT(" ",8)</f>
        <v/>
      </c>
      <c r="P1701" s="10">
        <f>RIGHT($B$4,2)</f>
        <v/>
      </c>
      <c r="Q1701" s="10">
        <f>RIGHT($B$5,3)</f>
        <v/>
      </c>
      <c r="R1701" s="10">
        <f>IF(A1701="D",LEFT(UPPER(B1701)&amp;REPT(" ",20),20),REPT(" ",20))</f>
        <v/>
      </c>
      <c r="S1701" s="10">
        <f>IF(A1701="D",LEFT(UPPER(C1701)&amp;REPT(" ",10),10)," ")</f>
        <v/>
      </c>
      <c r="T1701" s="10">
        <f>IF(A1701="D",LEFT(UPPER(D1701)&amp;REPT(" ",2),2)," ")</f>
        <v/>
      </c>
      <c r="U1701" s="10">
        <f>IF(A1701="D",LEFT(UPPER(E1701)&amp;REPT(" ",15),15)," ")</f>
        <v/>
      </c>
      <c r="V1701" s="10">
        <f>REPT(" ",24)</f>
        <v/>
      </c>
      <c r="W1701" s="10">
        <f>IF(A1701="c",LEFT(UPPER(B1701)&amp;REPT(" ",20),20),REPT(" ",20))</f>
        <v/>
      </c>
      <c r="X1701" s="10">
        <f>IF(A1701="C",LEFT(UPPER(C1701)&amp;REPT(" ",10),10)," ")</f>
        <v/>
      </c>
      <c r="Y1701" s="10">
        <f>IF(A1701="C",LEFT(UPPER(D1701)&amp;REPT(" ",2),2)," ")</f>
        <v/>
      </c>
      <c r="Z1701" s="10">
        <f>IF(A1701="C",LEFT(UPPER(E1701)&amp;REPT(" ",15),15)," ")</f>
        <v/>
      </c>
      <c r="AA1701" s="10">
        <f>REPT(" ",8)</f>
        <v/>
      </c>
      <c r="AB1701" s="10">
        <f>REPT(" ",4)</f>
        <v/>
      </c>
      <c r="AC1701" s="10">
        <f>LEFT(UPPER(H1701)&amp;REPT(" ",250),250)</f>
        <v/>
      </c>
      <c r="AD1701" s="10">
        <f>TEXT($G$2,"dd/mm/aaaa")</f>
        <v/>
      </c>
      <c r="AE1701" s="10">
        <f>REPT(" ",10)</f>
        <v/>
      </c>
      <c r="AF1701" s="10">
        <f>REPT(" ",20)</f>
        <v/>
      </c>
      <c r="AG1701" s="54">
        <f>REPT(" ",18-LEN(FIXED(F1701,2,TRUE)))&amp;FIXED(F1701,2,TRUE)</f>
        <v/>
      </c>
      <c r="AH1701" s="10">
        <f>LEN(AC1701)+LEN(AG1701)</f>
        <v/>
      </c>
      <c r="AI1701" s="10">
        <f>LEN(L1701)</f>
        <v/>
      </c>
    </row>
    <row r="1702">
      <c r="J1702" s="12">
        <f>IF(F1702&lt;&gt;0,"LANÇAR","")</f>
        <v/>
      </c>
      <c r="L1702" s="13">
        <f>N1702&amp;O1702&amp;P1702&amp;Q1702&amp;R1702&amp;S1702&amp;T1702&amp;U1702&amp;V1702&amp;W1702&amp;X1702&amp;Y1702&amp;Z1702&amp;AA1702&amp;AB1702&amp;AC1702&amp;AD1702&amp;AE1702&amp;AF1702&amp;AG1702</f>
        <v/>
      </c>
      <c r="N1702" s="10">
        <f>TEXT($B$6,"00")</f>
        <v/>
      </c>
      <c r="O1702" s="10">
        <f>REPT(" ",8)</f>
        <v/>
      </c>
      <c r="P1702" s="10">
        <f>RIGHT($B$4,2)</f>
        <v/>
      </c>
      <c r="Q1702" s="10">
        <f>RIGHT($B$5,3)</f>
        <v/>
      </c>
      <c r="R1702" s="10">
        <f>IF(A1702="D",LEFT(UPPER(B1702)&amp;REPT(" ",20),20),REPT(" ",20))</f>
        <v/>
      </c>
      <c r="S1702" s="10">
        <f>IF(A1702="D",LEFT(UPPER(C1702)&amp;REPT(" ",10),10)," ")</f>
        <v/>
      </c>
      <c r="T1702" s="10">
        <f>IF(A1702="D",LEFT(UPPER(D1702)&amp;REPT(" ",2),2)," ")</f>
        <v/>
      </c>
      <c r="U1702" s="10">
        <f>IF(A1702="D",LEFT(UPPER(E1702)&amp;REPT(" ",15),15)," ")</f>
        <v/>
      </c>
      <c r="V1702" s="10">
        <f>REPT(" ",24)</f>
        <v/>
      </c>
      <c r="W1702" s="10">
        <f>IF(A1702="c",LEFT(UPPER(B1702)&amp;REPT(" ",20),20),REPT(" ",20))</f>
        <v/>
      </c>
      <c r="X1702" s="10">
        <f>IF(A1702="C",LEFT(UPPER(C1702)&amp;REPT(" ",10),10)," ")</f>
        <v/>
      </c>
      <c r="Y1702" s="10">
        <f>IF(A1702="C",LEFT(UPPER(D1702)&amp;REPT(" ",2),2)," ")</f>
        <v/>
      </c>
      <c r="Z1702" s="10">
        <f>IF(A1702="C",LEFT(UPPER(E1702)&amp;REPT(" ",15),15)," ")</f>
        <v/>
      </c>
      <c r="AA1702" s="10">
        <f>REPT(" ",8)</f>
        <v/>
      </c>
      <c r="AB1702" s="10">
        <f>REPT(" ",4)</f>
        <v/>
      </c>
      <c r="AC1702" s="10">
        <f>LEFT(UPPER(H1702)&amp;REPT(" ",250),250)</f>
        <v/>
      </c>
      <c r="AD1702" s="10">
        <f>TEXT($G$2,"dd/mm/aaaa")</f>
        <v/>
      </c>
      <c r="AE1702" s="10">
        <f>REPT(" ",10)</f>
        <v/>
      </c>
      <c r="AF1702" s="10">
        <f>REPT(" ",20)</f>
        <v/>
      </c>
      <c r="AG1702" s="54">
        <f>REPT(" ",18-LEN(FIXED(F1702,2,TRUE)))&amp;FIXED(F1702,2,TRUE)</f>
        <v/>
      </c>
      <c r="AH1702" s="10">
        <f>LEN(AC1702)+LEN(AG1702)</f>
        <v/>
      </c>
      <c r="AI1702" s="10">
        <f>LEN(L1702)</f>
        <v/>
      </c>
    </row>
    <row r="1703">
      <c r="J1703" s="12">
        <f>IF(F1703&lt;&gt;0,"LANÇAR","")</f>
        <v/>
      </c>
      <c r="L1703" s="13">
        <f>N1703&amp;O1703&amp;P1703&amp;Q1703&amp;R1703&amp;S1703&amp;T1703&amp;U1703&amp;V1703&amp;W1703&amp;X1703&amp;Y1703&amp;Z1703&amp;AA1703&amp;AB1703&amp;AC1703&amp;AD1703&amp;AE1703&amp;AF1703&amp;AG1703</f>
        <v/>
      </c>
      <c r="N1703" s="10">
        <f>TEXT($B$6,"00")</f>
        <v/>
      </c>
      <c r="O1703" s="10">
        <f>REPT(" ",8)</f>
        <v/>
      </c>
      <c r="P1703" s="10">
        <f>RIGHT($B$4,2)</f>
        <v/>
      </c>
      <c r="Q1703" s="10">
        <f>RIGHT($B$5,3)</f>
        <v/>
      </c>
      <c r="R1703" s="10">
        <f>IF(A1703="D",LEFT(UPPER(B1703)&amp;REPT(" ",20),20),REPT(" ",20))</f>
        <v/>
      </c>
      <c r="S1703" s="10">
        <f>IF(A1703="D",LEFT(UPPER(C1703)&amp;REPT(" ",10),10)," ")</f>
        <v/>
      </c>
      <c r="T1703" s="10">
        <f>IF(A1703="D",LEFT(UPPER(D1703)&amp;REPT(" ",2),2)," ")</f>
        <v/>
      </c>
      <c r="U1703" s="10">
        <f>IF(A1703="D",LEFT(UPPER(E1703)&amp;REPT(" ",15),15)," ")</f>
        <v/>
      </c>
      <c r="V1703" s="10">
        <f>REPT(" ",24)</f>
        <v/>
      </c>
      <c r="W1703" s="10">
        <f>IF(A1703="c",LEFT(UPPER(B1703)&amp;REPT(" ",20),20),REPT(" ",20))</f>
        <v/>
      </c>
      <c r="X1703" s="10">
        <f>IF(A1703="C",LEFT(UPPER(C1703)&amp;REPT(" ",10),10)," ")</f>
        <v/>
      </c>
      <c r="Y1703" s="10">
        <f>IF(A1703="C",LEFT(UPPER(D1703)&amp;REPT(" ",2),2)," ")</f>
        <v/>
      </c>
      <c r="Z1703" s="10">
        <f>IF(A1703="C",LEFT(UPPER(E1703)&amp;REPT(" ",15),15)," ")</f>
        <v/>
      </c>
      <c r="AA1703" s="10">
        <f>REPT(" ",8)</f>
        <v/>
      </c>
      <c r="AB1703" s="10">
        <f>REPT(" ",4)</f>
        <v/>
      </c>
      <c r="AC1703" s="10">
        <f>LEFT(UPPER(H1703)&amp;REPT(" ",250),250)</f>
        <v/>
      </c>
      <c r="AD1703" s="10">
        <f>TEXT($G$2,"dd/mm/aaaa")</f>
        <v/>
      </c>
      <c r="AE1703" s="10">
        <f>REPT(" ",10)</f>
        <v/>
      </c>
      <c r="AF1703" s="10">
        <f>REPT(" ",20)</f>
        <v/>
      </c>
      <c r="AG1703" s="54">
        <f>REPT(" ",18-LEN(FIXED(F1703,2,TRUE)))&amp;FIXED(F1703,2,TRUE)</f>
        <v/>
      </c>
      <c r="AH1703" s="10">
        <f>LEN(AC1703)+LEN(AG1703)</f>
        <v/>
      </c>
      <c r="AI1703" s="10">
        <f>LEN(L1703)</f>
        <v/>
      </c>
    </row>
    <row r="1704">
      <c r="J1704" s="12">
        <f>IF(F1704&lt;&gt;0,"LANÇAR","")</f>
        <v/>
      </c>
      <c r="L1704" s="13">
        <f>N1704&amp;O1704&amp;P1704&amp;Q1704&amp;R1704&amp;S1704&amp;T1704&amp;U1704&amp;V1704&amp;W1704&amp;X1704&amp;Y1704&amp;Z1704&amp;AA1704&amp;AB1704&amp;AC1704&amp;AD1704&amp;AE1704&amp;AF1704&amp;AG1704</f>
        <v/>
      </c>
      <c r="N1704" s="10">
        <f>TEXT($B$6,"00")</f>
        <v/>
      </c>
      <c r="O1704" s="10">
        <f>REPT(" ",8)</f>
        <v/>
      </c>
      <c r="P1704" s="10">
        <f>RIGHT($B$4,2)</f>
        <v/>
      </c>
      <c r="Q1704" s="10">
        <f>RIGHT($B$5,3)</f>
        <v/>
      </c>
      <c r="R1704" s="10">
        <f>IF(A1704="D",LEFT(UPPER(B1704)&amp;REPT(" ",20),20),REPT(" ",20))</f>
        <v/>
      </c>
      <c r="S1704" s="10">
        <f>IF(A1704="D",LEFT(UPPER(C1704)&amp;REPT(" ",10),10)," ")</f>
        <v/>
      </c>
      <c r="T1704" s="10">
        <f>IF(A1704="D",LEFT(UPPER(D1704)&amp;REPT(" ",2),2)," ")</f>
        <v/>
      </c>
      <c r="U1704" s="10">
        <f>IF(A1704="D",LEFT(UPPER(E1704)&amp;REPT(" ",15),15)," ")</f>
        <v/>
      </c>
      <c r="V1704" s="10">
        <f>REPT(" ",24)</f>
        <v/>
      </c>
      <c r="W1704" s="10">
        <f>IF(A1704="c",LEFT(UPPER(B1704)&amp;REPT(" ",20),20),REPT(" ",20))</f>
        <v/>
      </c>
      <c r="X1704" s="10">
        <f>IF(A1704="C",LEFT(UPPER(C1704)&amp;REPT(" ",10),10)," ")</f>
        <v/>
      </c>
      <c r="Y1704" s="10">
        <f>IF(A1704="C",LEFT(UPPER(D1704)&amp;REPT(" ",2),2)," ")</f>
        <v/>
      </c>
      <c r="Z1704" s="10">
        <f>IF(A1704="C",LEFT(UPPER(E1704)&amp;REPT(" ",15),15)," ")</f>
        <v/>
      </c>
      <c r="AA1704" s="10">
        <f>REPT(" ",8)</f>
        <v/>
      </c>
      <c r="AB1704" s="10">
        <f>REPT(" ",4)</f>
        <v/>
      </c>
      <c r="AC1704" s="10">
        <f>LEFT(UPPER(H1704)&amp;REPT(" ",250),250)</f>
        <v/>
      </c>
      <c r="AD1704" s="10">
        <f>TEXT($G$2,"dd/mm/aaaa")</f>
        <v/>
      </c>
      <c r="AE1704" s="10">
        <f>REPT(" ",10)</f>
        <v/>
      </c>
      <c r="AF1704" s="10">
        <f>REPT(" ",20)</f>
        <v/>
      </c>
      <c r="AG1704" s="54">
        <f>REPT(" ",18-LEN(FIXED(F1704,2,TRUE)))&amp;FIXED(F1704,2,TRUE)</f>
        <v/>
      </c>
      <c r="AH1704" s="10">
        <f>LEN(AC1704)+LEN(AG1704)</f>
        <v/>
      </c>
      <c r="AI1704" s="10">
        <f>LEN(L1704)</f>
        <v/>
      </c>
    </row>
    <row r="1705">
      <c r="J1705" s="12">
        <f>IF(F1705&lt;&gt;0,"LANÇAR","")</f>
        <v/>
      </c>
      <c r="L1705" s="13">
        <f>N1705&amp;O1705&amp;P1705&amp;Q1705&amp;R1705&amp;S1705&amp;T1705&amp;U1705&amp;V1705&amp;W1705&amp;X1705&amp;Y1705&amp;Z1705&amp;AA1705&amp;AB1705&amp;AC1705&amp;AD1705&amp;AE1705&amp;AF1705&amp;AG1705</f>
        <v/>
      </c>
      <c r="N1705" s="10">
        <f>TEXT($B$6,"00")</f>
        <v/>
      </c>
      <c r="O1705" s="10">
        <f>REPT(" ",8)</f>
        <v/>
      </c>
      <c r="P1705" s="10">
        <f>RIGHT($B$4,2)</f>
        <v/>
      </c>
      <c r="Q1705" s="10">
        <f>RIGHT($B$5,3)</f>
        <v/>
      </c>
      <c r="R1705" s="10">
        <f>IF(A1705="D",LEFT(UPPER(B1705)&amp;REPT(" ",20),20),REPT(" ",20))</f>
        <v/>
      </c>
      <c r="S1705" s="10">
        <f>IF(A1705="D",LEFT(UPPER(C1705)&amp;REPT(" ",10),10)," ")</f>
        <v/>
      </c>
      <c r="T1705" s="10">
        <f>IF(A1705="D",LEFT(UPPER(D1705)&amp;REPT(" ",2),2)," ")</f>
        <v/>
      </c>
      <c r="U1705" s="10">
        <f>IF(A1705="D",LEFT(UPPER(E1705)&amp;REPT(" ",15),15)," ")</f>
        <v/>
      </c>
      <c r="V1705" s="10">
        <f>REPT(" ",24)</f>
        <v/>
      </c>
      <c r="W1705" s="10">
        <f>IF(A1705="c",LEFT(UPPER(B1705)&amp;REPT(" ",20),20),REPT(" ",20))</f>
        <v/>
      </c>
      <c r="X1705" s="10">
        <f>IF(A1705="C",LEFT(UPPER(C1705)&amp;REPT(" ",10),10)," ")</f>
        <v/>
      </c>
      <c r="Y1705" s="10">
        <f>IF(A1705="C",LEFT(UPPER(D1705)&amp;REPT(" ",2),2)," ")</f>
        <v/>
      </c>
      <c r="Z1705" s="10">
        <f>IF(A1705="C",LEFT(UPPER(E1705)&amp;REPT(" ",15),15)," ")</f>
        <v/>
      </c>
      <c r="AA1705" s="10">
        <f>REPT(" ",8)</f>
        <v/>
      </c>
      <c r="AB1705" s="10">
        <f>REPT(" ",4)</f>
        <v/>
      </c>
      <c r="AC1705" s="10">
        <f>LEFT(UPPER(H1705)&amp;REPT(" ",250),250)</f>
        <v/>
      </c>
      <c r="AD1705" s="10">
        <f>TEXT($G$2,"dd/mm/aaaa")</f>
        <v/>
      </c>
      <c r="AE1705" s="10">
        <f>REPT(" ",10)</f>
        <v/>
      </c>
      <c r="AF1705" s="10">
        <f>REPT(" ",20)</f>
        <v/>
      </c>
      <c r="AG1705" s="54">
        <f>REPT(" ",18-LEN(FIXED(F1705,2,TRUE)))&amp;FIXED(F1705,2,TRUE)</f>
        <v/>
      </c>
      <c r="AH1705" s="10">
        <f>LEN(AC1705)+LEN(AG1705)</f>
        <v/>
      </c>
      <c r="AI1705" s="10">
        <f>LEN(L1705)</f>
        <v/>
      </c>
    </row>
    <row r="1706">
      <c r="J1706" s="12">
        <f>IF(F1706&lt;&gt;0,"LANÇAR","")</f>
        <v/>
      </c>
      <c r="L1706" s="13">
        <f>N1706&amp;O1706&amp;P1706&amp;Q1706&amp;R1706&amp;S1706&amp;T1706&amp;U1706&amp;V1706&amp;W1706&amp;X1706&amp;Y1706&amp;Z1706&amp;AA1706&amp;AB1706&amp;AC1706&amp;AD1706&amp;AE1706&amp;AF1706&amp;AG1706</f>
        <v/>
      </c>
      <c r="N1706" s="10">
        <f>TEXT($B$6,"00")</f>
        <v/>
      </c>
      <c r="O1706" s="10">
        <f>REPT(" ",8)</f>
        <v/>
      </c>
      <c r="P1706" s="10">
        <f>RIGHT($B$4,2)</f>
        <v/>
      </c>
      <c r="Q1706" s="10">
        <f>RIGHT($B$5,3)</f>
        <v/>
      </c>
      <c r="R1706" s="10">
        <f>IF(A1706="D",LEFT(UPPER(B1706)&amp;REPT(" ",20),20),REPT(" ",20))</f>
        <v/>
      </c>
      <c r="S1706" s="10">
        <f>IF(A1706="D",LEFT(UPPER(C1706)&amp;REPT(" ",10),10)," ")</f>
        <v/>
      </c>
      <c r="T1706" s="10">
        <f>IF(A1706="D",LEFT(UPPER(D1706)&amp;REPT(" ",2),2)," ")</f>
        <v/>
      </c>
      <c r="U1706" s="10">
        <f>IF(A1706="D",LEFT(UPPER(E1706)&amp;REPT(" ",15),15)," ")</f>
        <v/>
      </c>
      <c r="V1706" s="10">
        <f>REPT(" ",24)</f>
        <v/>
      </c>
      <c r="W1706" s="10">
        <f>IF(A1706="c",LEFT(UPPER(B1706)&amp;REPT(" ",20),20),REPT(" ",20))</f>
        <v/>
      </c>
      <c r="X1706" s="10">
        <f>IF(A1706="C",LEFT(UPPER(C1706)&amp;REPT(" ",10),10)," ")</f>
        <v/>
      </c>
      <c r="Y1706" s="10">
        <f>IF(A1706="C",LEFT(UPPER(D1706)&amp;REPT(" ",2),2)," ")</f>
        <v/>
      </c>
      <c r="Z1706" s="10">
        <f>IF(A1706="C",LEFT(UPPER(E1706)&amp;REPT(" ",15),15)," ")</f>
        <v/>
      </c>
      <c r="AA1706" s="10">
        <f>REPT(" ",8)</f>
        <v/>
      </c>
      <c r="AB1706" s="10">
        <f>REPT(" ",4)</f>
        <v/>
      </c>
      <c r="AC1706" s="10">
        <f>LEFT(UPPER(H1706)&amp;REPT(" ",250),250)</f>
        <v/>
      </c>
      <c r="AD1706" s="10">
        <f>TEXT($G$2,"dd/mm/aaaa")</f>
        <v/>
      </c>
      <c r="AE1706" s="10">
        <f>REPT(" ",10)</f>
        <v/>
      </c>
      <c r="AF1706" s="10">
        <f>REPT(" ",20)</f>
        <v/>
      </c>
      <c r="AG1706" s="54">
        <f>REPT(" ",18-LEN(FIXED(F1706,2,TRUE)))&amp;FIXED(F1706,2,TRUE)</f>
        <v/>
      </c>
      <c r="AH1706" s="10">
        <f>LEN(AC1706)+LEN(AG1706)</f>
        <v/>
      </c>
      <c r="AI1706" s="10">
        <f>LEN(L1706)</f>
        <v/>
      </c>
    </row>
    <row r="1707">
      <c r="J1707" s="12">
        <f>IF(F1707&lt;&gt;0,"LANÇAR","")</f>
        <v/>
      </c>
      <c r="L1707" s="13">
        <f>N1707&amp;O1707&amp;P1707&amp;Q1707&amp;R1707&amp;S1707&amp;T1707&amp;U1707&amp;V1707&amp;W1707&amp;X1707&amp;Y1707&amp;Z1707&amp;AA1707&amp;AB1707&amp;AC1707&amp;AD1707&amp;AE1707&amp;AF1707&amp;AG1707</f>
        <v/>
      </c>
      <c r="N1707" s="10">
        <f>TEXT($B$6,"00")</f>
        <v/>
      </c>
      <c r="O1707" s="10">
        <f>REPT(" ",8)</f>
        <v/>
      </c>
      <c r="P1707" s="10">
        <f>RIGHT($B$4,2)</f>
        <v/>
      </c>
      <c r="Q1707" s="10">
        <f>RIGHT($B$5,3)</f>
        <v/>
      </c>
      <c r="R1707" s="10">
        <f>IF(A1707="D",LEFT(UPPER(B1707)&amp;REPT(" ",20),20),REPT(" ",20))</f>
        <v/>
      </c>
      <c r="S1707" s="10">
        <f>IF(A1707="D",LEFT(UPPER(C1707)&amp;REPT(" ",10),10)," ")</f>
        <v/>
      </c>
      <c r="T1707" s="10">
        <f>IF(A1707="D",LEFT(UPPER(D1707)&amp;REPT(" ",2),2)," ")</f>
        <v/>
      </c>
      <c r="U1707" s="10">
        <f>IF(A1707="D",LEFT(UPPER(E1707)&amp;REPT(" ",15),15)," ")</f>
        <v/>
      </c>
      <c r="V1707" s="10">
        <f>REPT(" ",24)</f>
        <v/>
      </c>
      <c r="W1707" s="10">
        <f>IF(A1707="c",LEFT(UPPER(B1707)&amp;REPT(" ",20),20),REPT(" ",20))</f>
        <v/>
      </c>
      <c r="X1707" s="10">
        <f>IF(A1707="C",LEFT(UPPER(C1707)&amp;REPT(" ",10),10)," ")</f>
        <v/>
      </c>
      <c r="Y1707" s="10">
        <f>IF(A1707="C",LEFT(UPPER(D1707)&amp;REPT(" ",2),2)," ")</f>
        <v/>
      </c>
      <c r="Z1707" s="10">
        <f>IF(A1707="C",LEFT(UPPER(E1707)&amp;REPT(" ",15),15)," ")</f>
        <v/>
      </c>
      <c r="AA1707" s="10">
        <f>REPT(" ",8)</f>
        <v/>
      </c>
      <c r="AB1707" s="10">
        <f>REPT(" ",4)</f>
        <v/>
      </c>
      <c r="AC1707" s="10">
        <f>LEFT(UPPER(H1707)&amp;REPT(" ",250),250)</f>
        <v/>
      </c>
      <c r="AD1707" s="10">
        <f>TEXT($G$2,"dd/mm/aaaa")</f>
        <v/>
      </c>
      <c r="AE1707" s="10">
        <f>REPT(" ",10)</f>
        <v/>
      </c>
      <c r="AF1707" s="10">
        <f>REPT(" ",20)</f>
        <v/>
      </c>
      <c r="AG1707" s="54">
        <f>REPT(" ",18-LEN(FIXED(F1707,2,TRUE)))&amp;FIXED(F1707,2,TRUE)</f>
        <v/>
      </c>
      <c r="AH1707" s="10">
        <f>LEN(AC1707)+LEN(AG1707)</f>
        <v/>
      </c>
      <c r="AI1707" s="10">
        <f>LEN(L1707)</f>
        <v/>
      </c>
    </row>
    <row r="1708">
      <c r="J1708" s="12">
        <f>IF(F1708&lt;&gt;0,"LANÇAR","")</f>
        <v/>
      </c>
      <c r="L1708" s="13">
        <f>N1708&amp;O1708&amp;P1708&amp;Q1708&amp;R1708&amp;S1708&amp;T1708&amp;U1708&amp;V1708&amp;W1708&amp;X1708&amp;Y1708&amp;Z1708&amp;AA1708&amp;AB1708&amp;AC1708&amp;AD1708&amp;AE1708&amp;AF1708&amp;AG1708</f>
        <v/>
      </c>
      <c r="N1708" s="10">
        <f>TEXT($B$6,"00")</f>
        <v/>
      </c>
      <c r="O1708" s="10">
        <f>REPT(" ",8)</f>
        <v/>
      </c>
      <c r="P1708" s="10">
        <f>RIGHT($B$4,2)</f>
        <v/>
      </c>
      <c r="Q1708" s="10">
        <f>RIGHT($B$5,3)</f>
        <v/>
      </c>
      <c r="R1708" s="10">
        <f>IF(A1708="D",LEFT(UPPER(B1708)&amp;REPT(" ",20),20),REPT(" ",20))</f>
        <v/>
      </c>
      <c r="S1708" s="10">
        <f>IF(A1708="D",LEFT(UPPER(C1708)&amp;REPT(" ",10),10)," ")</f>
        <v/>
      </c>
      <c r="T1708" s="10">
        <f>IF(A1708="D",LEFT(UPPER(D1708)&amp;REPT(" ",2),2)," ")</f>
        <v/>
      </c>
      <c r="U1708" s="10">
        <f>IF(A1708="D",LEFT(UPPER(E1708)&amp;REPT(" ",15),15)," ")</f>
        <v/>
      </c>
      <c r="V1708" s="10">
        <f>REPT(" ",24)</f>
        <v/>
      </c>
      <c r="W1708" s="10">
        <f>IF(A1708="c",LEFT(UPPER(B1708)&amp;REPT(" ",20),20),REPT(" ",20))</f>
        <v/>
      </c>
      <c r="X1708" s="10">
        <f>IF(A1708="C",LEFT(UPPER(C1708)&amp;REPT(" ",10),10)," ")</f>
        <v/>
      </c>
      <c r="Y1708" s="10">
        <f>IF(A1708="C",LEFT(UPPER(D1708)&amp;REPT(" ",2),2)," ")</f>
        <v/>
      </c>
      <c r="Z1708" s="10">
        <f>IF(A1708="C",LEFT(UPPER(E1708)&amp;REPT(" ",15),15)," ")</f>
        <v/>
      </c>
      <c r="AA1708" s="10">
        <f>REPT(" ",8)</f>
        <v/>
      </c>
      <c r="AB1708" s="10">
        <f>REPT(" ",4)</f>
        <v/>
      </c>
      <c r="AC1708" s="10">
        <f>LEFT(UPPER(H1708)&amp;REPT(" ",250),250)</f>
        <v/>
      </c>
      <c r="AD1708" s="10">
        <f>TEXT($G$2,"dd/mm/aaaa")</f>
        <v/>
      </c>
      <c r="AE1708" s="10">
        <f>REPT(" ",10)</f>
        <v/>
      </c>
      <c r="AF1708" s="10">
        <f>REPT(" ",20)</f>
        <v/>
      </c>
      <c r="AG1708" s="54">
        <f>REPT(" ",18-LEN(FIXED(F1708,2,TRUE)))&amp;FIXED(F1708,2,TRUE)</f>
        <v/>
      </c>
      <c r="AH1708" s="10">
        <f>LEN(AC1708)+LEN(AG1708)</f>
        <v/>
      </c>
      <c r="AI1708" s="10">
        <f>LEN(L1708)</f>
        <v/>
      </c>
    </row>
    <row r="1709">
      <c r="J1709" s="12">
        <f>IF(F1709&lt;&gt;0,"LANÇAR","")</f>
        <v/>
      </c>
      <c r="L1709" s="13">
        <f>N1709&amp;O1709&amp;P1709&amp;Q1709&amp;R1709&amp;S1709&amp;T1709&amp;U1709&amp;V1709&amp;W1709&amp;X1709&amp;Y1709&amp;Z1709&amp;AA1709&amp;AB1709&amp;AC1709&amp;AD1709&amp;AE1709&amp;AF1709&amp;AG1709</f>
        <v/>
      </c>
      <c r="N1709" s="10">
        <f>TEXT($B$6,"00")</f>
        <v/>
      </c>
      <c r="O1709" s="10">
        <f>REPT(" ",8)</f>
        <v/>
      </c>
      <c r="P1709" s="10">
        <f>RIGHT($B$4,2)</f>
        <v/>
      </c>
      <c r="Q1709" s="10">
        <f>RIGHT($B$5,3)</f>
        <v/>
      </c>
      <c r="R1709" s="10">
        <f>IF(A1709="D",LEFT(UPPER(B1709)&amp;REPT(" ",20),20),REPT(" ",20))</f>
        <v/>
      </c>
      <c r="S1709" s="10">
        <f>IF(A1709="D",LEFT(UPPER(C1709)&amp;REPT(" ",10),10)," ")</f>
        <v/>
      </c>
      <c r="T1709" s="10">
        <f>IF(A1709="D",LEFT(UPPER(D1709)&amp;REPT(" ",2),2)," ")</f>
        <v/>
      </c>
      <c r="U1709" s="10">
        <f>IF(A1709="D",LEFT(UPPER(E1709)&amp;REPT(" ",15),15)," ")</f>
        <v/>
      </c>
      <c r="V1709" s="10">
        <f>REPT(" ",24)</f>
        <v/>
      </c>
      <c r="W1709" s="10">
        <f>IF(A1709="c",LEFT(UPPER(B1709)&amp;REPT(" ",20),20),REPT(" ",20))</f>
        <v/>
      </c>
      <c r="X1709" s="10">
        <f>IF(A1709="C",LEFT(UPPER(C1709)&amp;REPT(" ",10),10)," ")</f>
        <v/>
      </c>
      <c r="Y1709" s="10">
        <f>IF(A1709="C",LEFT(UPPER(D1709)&amp;REPT(" ",2),2)," ")</f>
        <v/>
      </c>
      <c r="Z1709" s="10">
        <f>IF(A1709="C",LEFT(UPPER(E1709)&amp;REPT(" ",15),15)," ")</f>
        <v/>
      </c>
      <c r="AA1709" s="10">
        <f>REPT(" ",8)</f>
        <v/>
      </c>
      <c r="AB1709" s="10">
        <f>REPT(" ",4)</f>
        <v/>
      </c>
      <c r="AC1709" s="10">
        <f>LEFT(UPPER(H1709)&amp;REPT(" ",250),250)</f>
        <v/>
      </c>
      <c r="AD1709" s="10">
        <f>TEXT($G$2,"dd/mm/aaaa")</f>
        <v/>
      </c>
      <c r="AE1709" s="10">
        <f>REPT(" ",10)</f>
        <v/>
      </c>
      <c r="AF1709" s="10">
        <f>REPT(" ",20)</f>
        <v/>
      </c>
      <c r="AG1709" s="54">
        <f>REPT(" ",18-LEN(FIXED(F1709,2,TRUE)))&amp;FIXED(F1709,2,TRUE)</f>
        <v/>
      </c>
      <c r="AH1709" s="10">
        <f>LEN(AC1709)+LEN(AG1709)</f>
        <v/>
      </c>
      <c r="AI1709" s="10">
        <f>LEN(L1709)</f>
        <v/>
      </c>
    </row>
    <row r="1710">
      <c r="J1710" s="12">
        <f>IF(F1710&lt;&gt;0,"LANÇAR","")</f>
        <v/>
      </c>
      <c r="L1710" s="13">
        <f>N1710&amp;O1710&amp;P1710&amp;Q1710&amp;R1710&amp;S1710&amp;T1710&amp;U1710&amp;V1710&amp;W1710&amp;X1710&amp;Y1710&amp;Z1710&amp;AA1710&amp;AB1710&amp;AC1710&amp;AD1710&amp;AE1710&amp;AF1710&amp;AG1710</f>
        <v/>
      </c>
      <c r="N1710" s="10">
        <f>TEXT($B$6,"00")</f>
        <v/>
      </c>
      <c r="O1710" s="10">
        <f>REPT(" ",8)</f>
        <v/>
      </c>
      <c r="P1710" s="10">
        <f>RIGHT($B$4,2)</f>
        <v/>
      </c>
      <c r="Q1710" s="10">
        <f>RIGHT($B$5,3)</f>
        <v/>
      </c>
      <c r="R1710" s="10">
        <f>IF(A1710="D",LEFT(UPPER(B1710)&amp;REPT(" ",20),20),REPT(" ",20))</f>
        <v/>
      </c>
      <c r="S1710" s="10">
        <f>IF(A1710="D",LEFT(UPPER(C1710)&amp;REPT(" ",10),10)," ")</f>
        <v/>
      </c>
      <c r="T1710" s="10">
        <f>IF(A1710="D",LEFT(UPPER(D1710)&amp;REPT(" ",2),2)," ")</f>
        <v/>
      </c>
      <c r="U1710" s="10">
        <f>IF(A1710="D",LEFT(UPPER(E1710)&amp;REPT(" ",15),15)," ")</f>
        <v/>
      </c>
      <c r="V1710" s="10">
        <f>REPT(" ",24)</f>
        <v/>
      </c>
      <c r="W1710" s="10">
        <f>IF(A1710="c",LEFT(UPPER(B1710)&amp;REPT(" ",20),20),REPT(" ",20))</f>
        <v/>
      </c>
      <c r="X1710" s="10">
        <f>IF(A1710="C",LEFT(UPPER(C1710)&amp;REPT(" ",10),10)," ")</f>
        <v/>
      </c>
      <c r="Y1710" s="10">
        <f>IF(A1710="C",LEFT(UPPER(D1710)&amp;REPT(" ",2),2)," ")</f>
        <v/>
      </c>
      <c r="Z1710" s="10">
        <f>IF(A1710="C",LEFT(UPPER(E1710)&amp;REPT(" ",15),15)," ")</f>
        <v/>
      </c>
      <c r="AA1710" s="10">
        <f>REPT(" ",8)</f>
        <v/>
      </c>
      <c r="AB1710" s="10">
        <f>REPT(" ",4)</f>
        <v/>
      </c>
      <c r="AC1710" s="10">
        <f>LEFT(UPPER(H1710)&amp;REPT(" ",250),250)</f>
        <v/>
      </c>
      <c r="AD1710" s="10">
        <f>TEXT($G$2,"dd/mm/aaaa")</f>
        <v/>
      </c>
      <c r="AE1710" s="10">
        <f>REPT(" ",10)</f>
        <v/>
      </c>
      <c r="AF1710" s="10">
        <f>REPT(" ",20)</f>
        <v/>
      </c>
      <c r="AG1710" s="54">
        <f>REPT(" ",18-LEN(FIXED(F1710,2,TRUE)))&amp;FIXED(F1710,2,TRUE)</f>
        <v/>
      </c>
      <c r="AH1710" s="10">
        <f>LEN(AC1710)+LEN(AG1710)</f>
        <v/>
      </c>
      <c r="AI1710" s="10">
        <f>LEN(L1710)</f>
        <v/>
      </c>
    </row>
    <row r="1711">
      <c r="J1711" s="12">
        <f>IF(F1711&lt;&gt;0,"LANÇAR","")</f>
        <v/>
      </c>
      <c r="L1711" s="13">
        <f>N1711&amp;O1711&amp;P1711&amp;Q1711&amp;R1711&amp;S1711&amp;T1711&amp;U1711&amp;V1711&amp;W1711&amp;X1711&amp;Y1711&amp;Z1711&amp;AA1711&amp;AB1711&amp;AC1711&amp;AD1711&amp;AE1711&amp;AF1711&amp;AG1711</f>
        <v/>
      </c>
      <c r="N1711" s="10">
        <f>TEXT($B$6,"00")</f>
        <v/>
      </c>
      <c r="O1711" s="10">
        <f>REPT(" ",8)</f>
        <v/>
      </c>
      <c r="P1711" s="10">
        <f>RIGHT($B$4,2)</f>
        <v/>
      </c>
      <c r="Q1711" s="10">
        <f>RIGHT($B$5,3)</f>
        <v/>
      </c>
      <c r="R1711" s="10">
        <f>IF(A1711="D",LEFT(UPPER(B1711)&amp;REPT(" ",20),20),REPT(" ",20))</f>
        <v/>
      </c>
      <c r="S1711" s="10">
        <f>IF(A1711="D",LEFT(UPPER(C1711)&amp;REPT(" ",10),10)," ")</f>
        <v/>
      </c>
      <c r="T1711" s="10">
        <f>IF(A1711="D",LEFT(UPPER(D1711)&amp;REPT(" ",2),2)," ")</f>
        <v/>
      </c>
      <c r="U1711" s="10">
        <f>IF(A1711="D",LEFT(UPPER(E1711)&amp;REPT(" ",15),15)," ")</f>
        <v/>
      </c>
      <c r="V1711" s="10">
        <f>REPT(" ",24)</f>
        <v/>
      </c>
      <c r="W1711" s="10">
        <f>IF(A1711="c",LEFT(UPPER(B1711)&amp;REPT(" ",20),20),REPT(" ",20))</f>
        <v/>
      </c>
      <c r="X1711" s="10">
        <f>IF(A1711="C",LEFT(UPPER(C1711)&amp;REPT(" ",10),10)," ")</f>
        <v/>
      </c>
      <c r="Y1711" s="10">
        <f>IF(A1711="C",LEFT(UPPER(D1711)&amp;REPT(" ",2),2)," ")</f>
        <v/>
      </c>
      <c r="Z1711" s="10">
        <f>IF(A1711="C",LEFT(UPPER(E1711)&amp;REPT(" ",15),15)," ")</f>
        <v/>
      </c>
      <c r="AA1711" s="10">
        <f>REPT(" ",8)</f>
        <v/>
      </c>
      <c r="AB1711" s="10">
        <f>REPT(" ",4)</f>
        <v/>
      </c>
      <c r="AC1711" s="10">
        <f>LEFT(UPPER(H1711)&amp;REPT(" ",250),250)</f>
        <v/>
      </c>
      <c r="AD1711" s="10">
        <f>TEXT($G$2,"dd/mm/aaaa")</f>
        <v/>
      </c>
      <c r="AE1711" s="10">
        <f>REPT(" ",10)</f>
        <v/>
      </c>
      <c r="AF1711" s="10">
        <f>REPT(" ",20)</f>
        <v/>
      </c>
      <c r="AG1711" s="54">
        <f>REPT(" ",18-LEN(FIXED(F1711,2,TRUE)))&amp;FIXED(F1711,2,TRUE)</f>
        <v/>
      </c>
      <c r="AH1711" s="10">
        <f>LEN(AC1711)+LEN(AG1711)</f>
        <v/>
      </c>
      <c r="AI1711" s="10">
        <f>LEN(L1711)</f>
        <v/>
      </c>
    </row>
    <row r="1712">
      <c r="J1712" s="12">
        <f>IF(F1712&lt;&gt;0,"LANÇAR","")</f>
        <v/>
      </c>
      <c r="L1712" s="13">
        <f>N1712&amp;O1712&amp;P1712&amp;Q1712&amp;R1712&amp;S1712&amp;T1712&amp;U1712&amp;V1712&amp;W1712&amp;X1712&amp;Y1712&amp;Z1712&amp;AA1712&amp;AB1712&amp;AC1712&amp;AD1712&amp;AE1712&amp;AF1712&amp;AG1712</f>
        <v/>
      </c>
      <c r="N1712" s="10">
        <f>TEXT($B$6,"00")</f>
        <v/>
      </c>
      <c r="O1712" s="10">
        <f>REPT(" ",8)</f>
        <v/>
      </c>
      <c r="P1712" s="10">
        <f>RIGHT($B$4,2)</f>
        <v/>
      </c>
      <c r="Q1712" s="10">
        <f>RIGHT($B$5,3)</f>
        <v/>
      </c>
      <c r="R1712" s="10">
        <f>IF(A1712="D",LEFT(UPPER(B1712)&amp;REPT(" ",20),20),REPT(" ",20))</f>
        <v/>
      </c>
      <c r="S1712" s="10">
        <f>IF(A1712="D",LEFT(UPPER(C1712)&amp;REPT(" ",10),10)," ")</f>
        <v/>
      </c>
      <c r="T1712" s="10">
        <f>IF(A1712="D",LEFT(UPPER(D1712)&amp;REPT(" ",2),2)," ")</f>
        <v/>
      </c>
      <c r="U1712" s="10">
        <f>IF(A1712="D",LEFT(UPPER(E1712)&amp;REPT(" ",15),15)," ")</f>
        <v/>
      </c>
      <c r="V1712" s="10">
        <f>REPT(" ",24)</f>
        <v/>
      </c>
      <c r="W1712" s="10">
        <f>IF(A1712="c",LEFT(UPPER(B1712)&amp;REPT(" ",20),20),REPT(" ",20))</f>
        <v/>
      </c>
      <c r="X1712" s="10">
        <f>IF(A1712="C",LEFT(UPPER(C1712)&amp;REPT(" ",10),10)," ")</f>
        <v/>
      </c>
      <c r="Y1712" s="10">
        <f>IF(A1712="C",LEFT(UPPER(D1712)&amp;REPT(" ",2),2)," ")</f>
        <v/>
      </c>
      <c r="Z1712" s="10">
        <f>IF(A1712="C",LEFT(UPPER(E1712)&amp;REPT(" ",15),15)," ")</f>
        <v/>
      </c>
      <c r="AA1712" s="10">
        <f>REPT(" ",8)</f>
        <v/>
      </c>
      <c r="AB1712" s="10">
        <f>REPT(" ",4)</f>
        <v/>
      </c>
      <c r="AC1712" s="10">
        <f>LEFT(UPPER(H1712)&amp;REPT(" ",250),250)</f>
        <v/>
      </c>
      <c r="AD1712" s="10">
        <f>TEXT($G$2,"dd/mm/aaaa")</f>
        <v/>
      </c>
      <c r="AE1712" s="10">
        <f>REPT(" ",10)</f>
        <v/>
      </c>
      <c r="AF1712" s="10">
        <f>REPT(" ",20)</f>
        <v/>
      </c>
      <c r="AG1712" s="54">
        <f>REPT(" ",18-LEN(FIXED(F1712,2,TRUE)))&amp;FIXED(F1712,2,TRUE)</f>
        <v/>
      </c>
      <c r="AH1712" s="10">
        <f>LEN(AC1712)+LEN(AG1712)</f>
        <v/>
      </c>
      <c r="AI1712" s="10">
        <f>LEN(L1712)</f>
        <v/>
      </c>
    </row>
    <row r="1713">
      <c r="J1713" s="12">
        <f>IF(F1713&lt;&gt;0,"LANÇAR","")</f>
        <v/>
      </c>
      <c r="L1713" s="13">
        <f>N1713&amp;O1713&amp;P1713&amp;Q1713&amp;R1713&amp;S1713&amp;T1713&amp;U1713&amp;V1713&amp;W1713&amp;X1713&amp;Y1713&amp;Z1713&amp;AA1713&amp;AB1713&amp;AC1713&amp;AD1713&amp;AE1713&amp;AF1713&amp;AG1713</f>
        <v/>
      </c>
      <c r="N1713" s="10">
        <f>TEXT($B$6,"00")</f>
        <v/>
      </c>
      <c r="O1713" s="10">
        <f>REPT(" ",8)</f>
        <v/>
      </c>
      <c r="P1713" s="10">
        <f>RIGHT($B$4,2)</f>
        <v/>
      </c>
      <c r="Q1713" s="10">
        <f>RIGHT($B$5,3)</f>
        <v/>
      </c>
      <c r="R1713" s="10">
        <f>IF(A1713="D",LEFT(UPPER(B1713)&amp;REPT(" ",20),20),REPT(" ",20))</f>
        <v/>
      </c>
      <c r="S1713" s="10">
        <f>IF(A1713="D",LEFT(UPPER(C1713)&amp;REPT(" ",10),10)," ")</f>
        <v/>
      </c>
      <c r="T1713" s="10">
        <f>IF(A1713="D",LEFT(UPPER(D1713)&amp;REPT(" ",2),2)," ")</f>
        <v/>
      </c>
      <c r="U1713" s="10">
        <f>IF(A1713="D",LEFT(UPPER(E1713)&amp;REPT(" ",15),15)," ")</f>
        <v/>
      </c>
      <c r="V1713" s="10">
        <f>REPT(" ",24)</f>
        <v/>
      </c>
      <c r="W1713" s="10">
        <f>IF(A1713="c",LEFT(UPPER(B1713)&amp;REPT(" ",20),20),REPT(" ",20))</f>
        <v/>
      </c>
      <c r="X1713" s="10">
        <f>IF(A1713="C",LEFT(UPPER(C1713)&amp;REPT(" ",10),10)," ")</f>
        <v/>
      </c>
      <c r="Y1713" s="10">
        <f>IF(A1713="C",LEFT(UPPER(D1713)&amp;REPT(" ",2),2)," ")</f>
        <v/>
      </c>
      <c r="Z1713" s="10">
        <f>IF(A1713="C",LEFT(UPPER(E1713)&amp;REPT(" ",15),15)," ")</f>
        <v/>
      </c>
      <c r="AA1713" s="10">
        <f>REPT(" ",8)</f>
        <v/>
      </c>
      <c r="AB1713" s="10">
        <f>REPT(" ",4)</f>
        <v/>
      </c>
      <c r="AC1713" s="10">
        <f>LEFT(UPPER(H1713)&amp;REPT(" ",250),250)</f>
        <v/>
      </c>
      <c r="AD1713" s="10">
        <f>TEXT($G$2,"dd/mm/aaaa")</f>
        <v/>
      </c>
      <c r="AE1713" s="10">
        <f>REPT(" ",10)</f>
        <v/>
      </c>
      <c r="AF1713" s="10">
        <f>REPT(" ",20)</f>
        <v/>
      </c>
      <c r="AG1713" s="54">
        <f>REPT(" ",18-LEN(FIXED(F1713,2,TRUE)))&amp;FIXED(F1713,2,TRUE)</f>
        <v/>
      </c>
      <c r="AH1713" s="10">
        <f>LEN(AC1713)+LEN(AG1713)</f>
        <v/>
      </c>
      <c r="AI1713" s="10">
        <f>LEN(L1713)</f>
        <v/>
      </c>
    </row>
    <row r="1714">
      <c r="J1714" s="12">
        <f>IF(F1714&lt;&gt;0,"LANÇAR","")</f>
        <v/>
      </c>
      <c r="L1714" s="13">
        <f>N1714&amp;O1714&amp;P1714&amp;Q1714&amp;R1714&amp;S1714&amp;T1714&amp;U1714&amp;V1714&amp;W1714&amp;X1714&amp;Y1714&amp;Z1714&amp;AA1714&amp;AB1714&amp;AC1714&amp;AD1714&amp;AE1714&amp;AF1714&amp;AG1714</f>
        <v/>
      </c>
      <c r="N1714" s="10">
        <f>TEXT($B$6,"00")</f>
        <v/>
      </c>
      <c r="O1714" s="10">
        <f>REPT(" ",8)</f>
        <v/>
      </c>
      <c r="P1714" s="10">
        <f>RIGHT($B$4,2)</f>
        <v/>
      </c>
      <c r="Q1714" s="10">
        <f>RIGHT($B$5,3)</f>
        <v/>
      </c>
      <c r="R1714" s="10">
        <f>IF(A1714="D",LEFT(UPPER(B1714)&amp;REPT(" ",20),20),REPT(" ",20))</f>
        <v/>
      </c>
      <c r="S1714" s="10">
        <f>IF(A1714="D",LEFT(UPPER(C1714)&amp;REPT(" ",10),10)," ")</f>
        <v/>
      </c>
      <c r="T1714" s="10">
        <f>IF(A1714="D",LEFT(UPPER(D1714)&amp;REPT(" ",2),2)," ")</f>
        <v/>
      </c>
      <c r="U1714" s="10">
        <f>IF(A1714="D",LEFT(UPPER(E1714)&amp;REPT(" ",15),15)," ")</f>
        <v/>
      </c>
      <c r="V1714" s="10">
        <f>REPT(" ",24)</f>
        <v/>
      </c>
      <c r="W1714" s="10">
        <f>IF(A1714="c",LEFT(UPPER(B1714)&amp;REPT(" ",20),20),REPT(" ",20))</f>
        <v/>
      </c>
      <c r="X1714" s="10">
        <f>IF(A1714="C",LEFT(UPPER(C1714)&amp;REPT(" ",10),10)," ")</f>
        <v/>
      </c>
      <c r="Y1714" s="10">
        <f>IF(A1714="C",LEFT(UPPER(D1714)&amp;REPT(" ",2),2)," ")</f>
        <v/>
      </c>
      <c r="Z1714" s="10">
        <f>IF(A1714="C",LEFT(UPPER(E1714)&amp;REPT(" ",15),15)," ")</f>
        <v/>
      </c>
      <c r="AA1714" s="10">
        <f>REPT(" ",8)</f>
        <v/>
      </c>
      <c r="AB1714" s="10">
        <f>REPT(" ",4)</f>
        <v/>
      </c>
      <c r="AC1714" s="10">
        <f>LEFT(UPPER(H1714)&amp;REPT(" ",250),250)</f>
        <v/>
      </c>
      <c r="AD1714" s="10">
        <f>TEXT($G$2,"dd/mm/aaaa")</f>
        <v/>
      </c>
      <c r="AE1714" s="10">
        <f>REPT(" ",10)</f>
        <v/>
      </c>
      <c r="AF1714" s="10">
        <f>REPT(" ",20)</f>
        <v/>
      </c>
      <c r="AG1714" s="54">
        <f>REPT(" ",18-LEN(FIXED(F1714,2,TRUE)))&amp;FIXED(F1714,2,TRUE)</f>
        <v/>
      </c>
      <c r="AH1714" s="10">
        <f>LEN(AC1714)+LEN(AG1714)</f>
        <v/>
      </c>
      <c r="AI1714" s="10">
        <f>LEN(L1714)</f>
        <v/>
      </c>
    </row>
    <row r="1715">
      <c r="J1715" s="12">
        <f>IF(F1715&lt;&gt;0,"LANÇAR","")</f>
        <v/>
      </c>
      <c r="L1715" s="13">
        <f>N1715&amp;O1715&amp;P1715&amp;Q1715&amp;R1715&amp;S1715&amp;T1715&amp;U1715&amp;V1715&amp;W1715&amp;X1715&amp;Y1715&amp;Z1715&amp;AA1715&amp;AB1715&amp;AC1715&amp;AD1715&amp;AE1715&amp;AF1715&amp;AG1715</f>
        <v/>
      </c>
      <c r="N1715" s="10">
        <f>TEXT($B$6,"00")</f>
        <v/>
      </c>
      <c r="O1715" s="10">
        <f>REPT(" ",8)</f>
        <v/>
      </c>
      <c r="P1715" s="10">
        <f>RIGHT($B$4,2)</f>
        <v/>
      </c>
      <c r="Q1715" s="10">
        <f>RIGHT($B$5,3)</f>
        <v/>
      </c>
      <c r="R1715" s="10">
        <f>IF(A1715="D",LEFT(UPPER(B1715)&amp;REPT(" ",20),20),REPT(" ",20))</f>
        <v/>
      </c>
      <c r="S1715" s="10">
        <f>IF(A1715="D",LEFT(UPPER(C1715)&amp;REPT(" ",10),10)," ")</f>
        <v/>
      </c>
      <c r="T1715" s="10">
        <f>IF(A1715="D",LEFT(UPPER(D1715)&amp;REPT(" ",2),2)," ")</f>
        <v/>
      </c>
      <c r="U1715" s="10">
        <f>IF(A1715="D",LEFT(UPPER(E1715)&amp;REPT(" ",15),15)," ")</f>
        <v/>
      </c>
      <c r="V1715" s="10">
        <f>REPT(" ",24)</f>
        <v/>
      </c>
      <c r="W1715" s="10">
        <f>IF(A1715="c",LEFT(UPPER(B1715)&amp;REPT(" ",20),20),REPT(" ",20))</f>
        <v/>
      </c>
      <c r="X1715" s="10">
        <f>IF(A1715="C",LEFT(UPPER(C1715)&amp;REPT(" ",10),10)," ")</f>
        <v/>
      </c>
      <c r="Y1715" s="10">
        <f>IF(A1715="C",LEFT(UPPER(D1715)&amp;REPT(" ",2),2)," ")</f>
        <v/>
      </c>
      <c r="Z1715" s="10">
        <f>IF(A1715="C",LEFT(UPPER(E1715)&amp;REPT(" ",15),15)," ")</f>
        <v/>
      </c>
      <c r="AA1715" s="10">
        <f>REPT(" ",8)</f>
        <v/>
      </c>
      <c r="AB1715" s="10">
        <f>REPT(" ",4)</f>
        <v/>
      </c>
      <c r="AC1715" s="10">
        <f>LEFT(UPPER(H1715)&amp;REPT(" ",250),250)</f>
        <v/>
      </c>
      <c r="AD1715" s="10">
        <f>TEXT($G$2,"dd/mm/aaaa")</f>
        <v/>
      </c>
      <c r="AE1715" s="10">
        <f>REPT(" ",10)</f>
        <v/>
      </c>
      <c r="AF1715" s="10">
        <f>REPT(" ",20)</f>
        <v/>
      </c>
      <c r="AG1715" s="54">
        <f>REPT(" ",18-LEN(FIXED(F1715,2,TRUE)))&amp;FIXED(F1715,2,TRUE)</f>
        <v/>
      </c>
      <c r="AH1715" s="10">
        <f>LEN(AC1715)+LEN(AG1715)</f>
        <v/>
      </c>
      <c r="AI1715" s="10">
        <f>LEN(L1715)</f>
        <v/>
      </c>
    </row>
    <row r="1716">
      <c r="J1716" s="12">
        <f>IF(F1716&lt;&gt;0,"LANÇAR","")</f>
        <v/>
      </c>
      <c r="L1716" s="13">
        <f>N1716&amp;O1716&amp;P1716&amp;Q1716&amp;R1716&amp;S1716&amp;T1716&amp;U1716&amp;V1716&amp;W1716&amp;X1716&amp;Y1716&amp;Z1716&amp;AA1716&amp;AB1716&amp;AC1716&amp;AD1716&amp;AE1716&amp;AF1716&amp;AG1716</f>
        <v/>
      </c>
      <c r="N1716" s="10">
        <f>TEXT($B$6,"00")</f>
        <v/>
      </c>
      <c r="O1716" s="10">
        <f>REPT(" ",8)</f>
        <v/>
      </c>
      <c r="P1716" s="10">
        <f>RIGHT($B$4,2)</f>
        <v/>
      </c>
      <c r="Q1716" s="10">
        <f>RIGHT($B$5,3)</f>
        <v/>
      </c>
      <c r="R1716" s="10">
        <f>IF(A1716="D",LEFT(UPPER(B1716)&amp;REPT(" ",20),20),REPT(" ",20))</f>
        <v/>
      </c>
      <c r="S1716" s="10">
        <f>IF(A1716="D",LEFT(UPPER(C1716)&amp;REPT(" ",10),10)," ")</f>
        <v/>
      </c>
      <c r="T1716" s="10">
        <f>IF(A1716="D",LEFT(UPPER(D1716)&amp;REPT(" ",2),2)," ")</f>
        <v/>
      </c>
      <c r="U1716" s="10">
        <f>IF(A1716="D",LEFT(UPPER(E1716)&amp;REPT(" ",15),15)," ")</f>
        <v/>
      </c>
      <c r="V1716" s="10">
        <f>REPT(" ",24)</f>
        <v/>
      </c>
      <c r="W1716" s="10">
        <f>IF(A1716="c",LEFT(UPPER(B1716)&amp;REPT(" ",20),20),REPT(" ",20))</f>
        <v/>
      </c>
      <c r="X1716" s="10">
        <f>IF(A1716="C",LEFT(UPPER(C1716)&amp;REPT(" ",10),10)," ")</f>
        <v/>
      </c>
      <c r="Y1716" s="10">
        <f>IF(A1716="C",LEFT(UPPER(D1716)&amp;REPT(" ",2),2)," ")</f>
        <v/>
      </c>
      <c r="Z1716" s="10">
        <f>IF(A1716="C",LEFT(UPPER(E1716)&amp;REPT(" ",15),15)," ")</f>
        <v/>
      </c>
      <c r="AA1716" s="10">
        <f>REPT(" ",8)</f>
        <v/>
      </c>
      <c r="AB1716" s="10">
        <f>REPT(" ",4)</f>
        <v/>
      </c>
      <c r="AC1716" s="10">
        <f>LEFT(UPPER(H1716)&amp;REPT(" ",250),250)</f>
        <v/>
      </c>
      <c r="AD1716" s="10">
        <f>TEXT($G$2,"dd/mm/aaaa")</f>
        <v/>
      </c>
      <c r="AE1716" s="10">
        <f>REPT(" ",10)</f>
        <v/>
      </c>
      <c r="AF1716" s="10">
        <f>REPT(" ",20)</f>
        <v/>
      </c>
      <c r="AG1716" s="54">
        <f>REPT(" ",18-LEN(FIXED(F1716,2,TRUE)))&amp;FIXED(F1716,2,TRUE)</f>
        <v/>
      </c>
      <c r="AH1716" s="10">
        <f>LEN(AC1716)+LEN(AG1716)</f>
        <v/>
      </c>
      <c r="AI1716" s="10">
        <f>LEN(L1716)</f>
        <v/>
      </c>
    </row>
    <row r="1717">
      <c r="J1717" s="12">
        <f>IF(F1717&lt;&gt;0,"LANÇAR","")</f>
        <v/>
      </c>
      <c r="L1717" s="13">
        <f>N1717&amp;O1717&amp;P1717&amp;Q1717&amp;R1717&amp;S1717&amp;T1717&amp;U1717&amp;V1717&amp;W1717&amp;X1717&amp;Y1717&amp;Z1717&amp;AA1717&amp;AB1717&amp;AC1717&amp;AD1717&amp;AE1717&amp;AF1717&amp;AG1717</f>
        <v/>
      </c>
      <c r="N1717" s="10">
        <f>TEXT($B$6,"00")</f>
        <v/>
      </c>
      <c r="O1717" s="10">
        <f>REPT(" ",8)</f>
        <v/>
      </c>
      <c r="P1717" s="10">
        <f>RIGHT($B$4,2)</f>
        <v/>
      </c>
      <c r="Q1717" s="10">
        <f>RIGHT($B$5,3)</f>
        <v/>
      </c>
      <c r="R1717" s="10">
        <f>IF(A1717="D",LEFT(UPPER(B1717)&amp;REPT(" ",20),20),REPT(" ",20))</f>
        <v/>
      </c>
      <c r="S1717" s="10">
        <f>IF(A1717="D",LEFT(UPPER(C1717)&amp;REPT(" ",10),10)," ")</f>
        <v/>
      </c>
      <c r="T1717" s="10">
        <f>IF(A1717="D",LEFT(UPPER(D1717)&amp;REPT(" ",2),2)," ")</f>
        <v/>
      </c>
      <c r="U1717" s="10">
        <f>IF(A1717="D",LEFT(UPPER(E1717)&amp;REPT(" ",15),15)," ")</f>
        <v/>
      </c>
      <c r="V1717" s="10">
        <f>REPT(" ",24)</f>
        <v/>
      </c>
      <c r="W1717" s="10">
        <f>IF(A1717="c",LEFT(UPPER(B1717)&amp;REPT(" ",20),20),REPT(" ",20))</f>
        <v/>
      </c>
      <c r="X1717" s="10">
        <f>IF(A1717="C",LEFT(UPPER(C1717)&amp;REPT(" ",10),10)," ")</f>
        <v/>
      </c>
      <c r="Y1717" s="10">
        <f>IF(A1717="C",LEFT(UPPER(D1717)&amp;REPT(" ",2),2)," ")</f>
        <v/>
      </c>
      <c r="Z1717" s="10">
        <f>IF(A1717="C",LEFT(UPPER(E1717)&amp;REPT(" ",15),15)," ")</f>
        <v/>
      </c>
      <c r="AA1717" s="10">
        <f>REPT(" ",8)</f>
        <v/>
      </c>
      <c r="AB1717" s="10">
        <f>REPT(" ",4)</f>
        <v/>
      </c>
      <c r="AC1717" s="10">
        <f>LEFT(UPPER(H1717)&amp;REPT(" ",250),250)</f>
        <v/>
      </c>
      <c r="AD1717" s="10">
        <f>TEXT($G$2,"dd/mm/aaaa")</f>
        <v/>
      </c>
      <c r="AE1717" s="10">
        <f>REPT(" ",10)</f>
        <v/>
      </c>
      <c r="AF1717" s="10">
        <f>REPT(" ",20)</f>
        <v/>
      </c>
      <c r="AG1717" s="54">
        <f>REPT(" ",18-LEN(FIXED(F1717,2,TRUE)))&amp;FIXED(F1717,2,TRUE)</f>
        <v/>
      </c>
      <c r="AH1717" s="10">
        <f>LEN(AC1717)+LEN(AG1717)</f>
        <v/>
      </c>
      <c r="AI1717" s="10">
        <f>LEN(L1717)</f>
        <v/>
      </c>
    </row>
    <row r="1718">
      <c r="J1718" s="12">
        <f>IF(F1718&lt;&gt;0,"LANÇAR","")</f>
        <v/>
      </c>
      <c r="L1718" s="13">
        <f>N1718&amp;O1718&amp;P1718&amp;Q1718&amp;R1718&amp;S1718&amp;T1718&amp;U1718&amp;V1718&amp;W1718&amp;X1718&amp;Y1718&amp;Z1718&amp;AA1718&amp;AB1718&amp;AC1718&amp;AD1718&amp;AE1718&amp;AF1718&amp;AG1718</f>
        <v/>
      </c>
      <c r="N1718" s="10">
        <f>TEXT($B$6,"00")</f>
        <v/>
      </c>
      <c r="O1718" s="10">
        <f>REPT(" ",8)</f>
        <v/>
      </c>
      <c r="P1718" s="10">
        <f>RIGHT($B$4,2)</f>
        <v/>
      </c>
      <c r="Q1718" s="10">
        <f>RIGHT($B$5,3)</f>
        <v/>
      </c>
      <c r="R1718" s="10">
        <f>IF(A1718="D",LEFT(UPPER(B1718)&amp;REPT(" ",20),20),REPT(" ",20))</f>
        <v/>
      </c>
      <c r="S1718" s="10">
        <f>IF(A1718="D",LEFT(UPPER(C1718)&amp;REPT(" ",10),10)," ")</f>
        <v/>
      </c>
      <c r="T1718" s="10">
        <f>IF(A1718="D",LEFT(UPPER(D1718)&amp;REPT(" ",2),2)," ")</f>
        <v/>
      </c>
      <c r="U1718" s="10">
        <f>IF(A1718="D",LEFT(UPPER(E1718)&amp;REPT(" ",15),15)," ")</f>
        <v/>
      </c>
      <c r="V1718" s="10">
        <f>REPT(" ",24)</f>
        <v/>
      </c>
      <c r="W1718" s="10">
        <f>IF(A1718="c",LEFT(UPPER(B1718)&amp;REPT(" ",20),20),REPT(" ",20))</f>
        <v/>
      </c>
      <c r="X1718" s="10">
        <f>IF(A1718="C",LEFT(UPPER(C1718)&amp;REPT(" ",10),10)," ")</f>
        <v/>
      </c>
      <c r="Y1718" s="10">
        <f>IF(A1718="C",LEFT(UPPER(D1718)&amp;REPT(" ",2),2)," ")</f>
        <v/>
      </c>
      <c r="Z1718" s="10">
        <f>IF(A1718="C",LEFT(UPPER(E1718)&amp;REPT(" ",15),15)," ")</f>
        <v/>
      </c>
      <c r="AA1718" s="10">
        <f>REPT(" ",8)</f>
        <v/>
      </c>
      <c r="AB1718" s="10">
        <f>REPT(" ",4)</f>
        <v/>
      </c>
      <c r="AC1718" s="10">
        <f>LEFT(UPPER(H1718)&amp;REPT(" ",250),250)</f>
        <v/>
      </c>
      <c r="AD1718" s="10">
        <f>TEXT($G$2,"dd/mm/aaaa")</f>
        <v/>
      </c>
      <c r="AE1718" s="10">
        <f>REPT(" ",10)</f>
        <v/>
      </c>
      <c r="AF1718" s="10">
        <f>REPT(" ",20)</f>
        <v/>
      </c>
      <c r="AG1718" s="54">
        <f>REPT(" ",18-LEN(FIXED(F1718,2,TRUE)))&amp;FIXED(F1718,2,TRUE)</f>
        <v/>
      </c>
      <c r="AH1718" s="10">
        <f>LEN(AC1718)+LEN(AG1718)</f>
        <v/>
      </c>
      <c r="AI1718" s="10">
        <f>LEN(L1718)</f>
        <v/>
      </c>
    </row>
    <row r="1719">
      <c r="J1719" s="12">
        <f>IF(F1719&lt;&gt;0,"LANÇAR","")</f>
        <v/>
      </c>
      <c r="L1719" s="13">
        <f>N1719&amp;O1719&amp;P1719&amp;Q1719&amp;R1719&amp;S1719&amp;T1719&amp;U1719&amp;V1719&amp;W1719&amp;X1719&amp;Y1719&amp;Z1719&amp;AA1719&amp;AB1719&amp;AC1719&amp;AD1719&amp;AE1719&amp;AF1719&amp;AG1719</f>
        <v/>
      </c>
      <c r="N1719" s="10">
        <f>TEXT($B$6,"00")</f>
        <v/>
      </c>
      <c r="O1719" s="10">
        <f>REPT(" ",8)</f>
        <v/>
      </c>
      <c r="P1719" s="10">
        <f>RIGHT($B$4,2)</f>
        <v/>
      </c>
      <c r="Q1719" s="10">
        <f>RIGHT($B$5,3)</f>
        <v/>
      </c>
      <c r="R1719" s="10">
        <f>IF(A1719="D",LEFT(UPPER(B1719)&amp;REPT(" ",20),20),REPT(" ",20))</f>
        <v/>
      </c>
      <c r="S1719" s="10">
        <f>IF(A1719="D",LEFT(UPPER(C1719)&amp;REPT(" ",10),10)," ")</f>
        <v/>
      </c>
      <c r="T1719" s="10">
        <f>IF(A1719="D",LEFT(UPPER(D1719)&amp;REPT(" ",2),2)," ")</f>
        <v/>
      </c>
      <c r="U1719" s="10">
        <f>IF(A1719="D",LEFT(UPPER(E1719)&amp;REPT(" ",15),15)," ")</f>
        <v/>
      </c>
      <c r="V1719" s="10">
        <f>REPT(" ",24)</f>
        <v/>
      </c>
      <c r="W1719" s="10">
        <f>IF(A1719="c",LEFT(UPPER(B1719)&amp;REPT(" ",20),20),REPT(" ",20))</f>
        <v/>
      </c>
      <c r="X1719" s="10">
        <f>IF(A1719="C",LEFT(UPPER(C1719)&amp;REPT(" ",10),10)," ")</f>
        <v/>
      </c>
      <c r="Y1719" s="10">
        <f>IF(A1719="C",LEFT(UPPER(D1719)&amp;REPT(" ",2),2)," ")</f>
        <v/>
      </c>
      <c r="Z1719" s="10">
        <f>IF(A1719="C",LEFT(UPPER(E1719)&amp;REPT(" ",15),15)," ")</f>
        <v/>
      </c>
      <c r="AA1719" s="10">
        <f>REPT(" ",8)</f>
        <v/>
      </c>
      <c r="AB1719" s="10">
        <f>REPT(" ",4)</f>
        <v/>
      </c>
      <c r="AC1719" s="10">
        <f>LEFT(UPPER(H1719)&amp;REPT(" ",250),250)</f>
        <v/>
      </c>
      <c r="AD1719" s="10">
        <f>TEXT($G$2,"dd/mm/aaaa")</f>
        <v/>
      </c>
      <c r="AE1719" s="10">
        <f>REPT(" ",10)</f>
        <v/>
      </c>
      <c r="AF1719" s="10">
        <f>REPT(" ",20)</f>
        <v/>
      </c>
      <c r="AG1719" s="54">
        <f>REPT(" ",18-LEN(FIXED(F1719,2,TRUE)))&amp;FIXED(F1719,2,TRUE)</f>
        <v/>
      </c>
      <c r="AH1719" s="10">
        <f>LEN(AC1719)+LEN(AG1719)</f>
        <v/>
      </c>
      <c r="AI1719" s="10">
        <f>LEN(L1719)</f>
        <v/>
      </c>
    </row>
    <row r="1720">
      <c r="J1720" s="12">
        <f>IF(F1720&lt;&gt;0,"LANÇAR","")</f>
        <v/>
      </c>
      <c r="L1720" s="13">
        <f>N1720&amp;O1720&amp;P1720&amp;Q1720&amp;R1720&amp;S1720&amp;T1720&amp;U1720&amp;V1720&amp;W1720&amp;X1720&amp;Y1720&amp;Z1720&amp;AA1720&amp;AB1720&amp;AC1720&amp;AD1720&amp;AE1720&amp;AF1720&amp;AG1720</f>
        <v/>
      </c>
      <c r="N1720" s="10">
        <f>TEXT($B$6,"00")</f>
        <v/>
      </c>
      <c r="O1720" s="10">
        <f>REPT(" ",8)</f>
        <v/>
      </c>
      <c r="P1720" s="10">
        <f>RIGHT($B$4,2)</f>
        <v/>
      </c>
      <c r="Q1720" s="10">
        <f>RIGHT($B$5,3)</f>
        <v/>
      </c>
      <c r="R1720" s="10">
        <f>IF(A1720="D",LEFT(UPPER(B1720)&amp;REPT(" ",20),20),REPT(" ",20))</f>
        <v/>
      </c>
      <c r="S1720" s="10">
        <f>IF(A1720="D",LEFT(UPPER(C1720)&amp;REPT(" ",10),10)," ")</f>
        <v/>
      </c>
      <c r="T1720" s="10">
        <f>IF(A1720="D",LEFT(UPPER(D1720)&amp;REPT(" ",2),2)," ")</f>
        <v/>
      </c>
      <c r="U1720" s="10">
        <f>IF(A1720="D",LEFT(UPPER(E1720)&amp;REPT(" ",15),15)," ")</f>
        <v/>
      </c>
      <c r="V1720" s="10">
        <f>REPT(" ",24)</f>
        <v/>
      </c>
      <c r="W1720" s="10">
        <f>IF(A1720="c",LEFT(UPPER(B1720)&amp;REPT(" ",20),20),REPT(" ",20))</f>
        <v/>
      </c>
      <c r="X1720" s="10">
        <f>IF(A1720="C",LEFT(UPPER(C1720)&amp;REPT(" ",10),10)," ")</f>
        <v/>
      </c>
      <c r="Y1720" s="10">
        <f>IF(A1720="C",LEFT(UPPER(D1720)&amp;REPT(" ",2),2)," ")</f>
        <v/>
      </c>
      <c r="Z1720" s="10">
        <f>IF(A1720="C",LEFT(UPPER(E1720)&amp;REPT(" ",15),15)," ")</f>
        <v/>
      </c>
      <c r="AA1720" s="10">
        <f>REPT(" ",8)</f>
        <v/>
      </c>
      <c r="AB1720" s="10">
        <f>REPT(" ",4)</f>
        <v/>
      </c>
      <c r="AC1720" s="10">
        <f>LEFT(UPPER(H1720)&amp;REPT(" ",250),250)</f>
        <v/>
      </c>
      <c r="AD1720" s="10">
        <f>TEXT($G$2,"dd/mm/aaaa")</f>
        <v/>
      </c>
      <c r="AE1720" s="10">
        <f>REPT(" ",10)</f>
        <v/>
      </c>
      <c r="AF1720" s="10">
        <f>REPT(" ",20)</f>
        <v/>
      </c>
      <c r="AG1720" s="54">
        <f>REPT(" ",18-LEN(FIXED(F1720,2,TRUE)))&amp;FIXED(F1720,2,TRUE)</f>
        <v/>
      </c>
      <c r="AH1720" s="10">
        <f>LEN(AC1720)+LEN(AG1720)</f>
        <v/>
      </c>
      <c r="AI1720" s="10">
        <f>LEN(L1720)</f>
        <v/>
      </c>
    </row>
    <row r="1721">
      <c r="J1721" s="12">
        <f>IF(F1721&lt;&gt;0,"LANÇAR","")</f>
        <v/>
      </c>
      <c r="L1721" s="13">
        <f>N1721&amp;O1721&amp;P1721&amp;Q1721&amp;R1721&amp;S1721&amp;T1721&amp;U1721&amp;V1721&amp;W1721&amp;X1721&amp;Y1721&amp;Z1721&amp;AA1721&amp;AB1721&amp;AC1721&amp;AD1721&amp;AE1721&amp;AF1721&amp;AG1721</f>
        <v/>
      </c>
      <c r="N1721" s="10">
        <f>TEXT($B$6,"00")</f>
        <v/>
      </c>
      <c r="O1721" s="10">
        <f>REPT(" ",8)</f>
        <v/>
      </c>
      <c r="P1721" s="10">
        <f>RIGHT($B$4,2)</f>
        <v/>
      </c>
      <c r="Q1721" s="10">
        <f>RIGHT($B$5,3)</f>
        <v/>
      </c>
      <c r="R1721" s="10">
        <f>IF(A1721="D",LEFT(UPPER(B1721)&amp;REPT(" ",20),20),REPT(" ",20))</f>
        <v/>
      </c>
      <c r="S1721" s="10">
        <f>IF(A1721="D",LEFT(UPPER(C1721)&amp;REPT(" ",10),10)," ")</f>
        <v/>
      </c>
      <c r="T1721" s="10">
        <f>IF(A1721="D",LEFT(UPPER(D1721)&amp;REPT(" ",2),2)," ")</f>
        <v/>
      </c>
      <c r="U1721" s="10">
        <f>IF(A1721="D",LEFT(UPPER(E1721)&amp;REPT(" ",15),15)," ")</f>
        <v/>
      </c>
      <c r="V1721" s="10">
        <f>REPT(" ",24)</f>
        <v/>
      </c>
      <c r="W1721" s="10">
        <f>IF(A1721="c",LEFT(UPPER(B1721)&amp;REPT(" ",20),20),REPT(" ",20))</f>
        <v/>
      </c>
      <c r="X1721" s="10">
        <f>IF(A1721="C",LEFT(UPPER(C1721)&amp;REPT(" ",10),10)," ")</f>
        <v/>
      </c>
      <c r="Y1721" s="10">
        <f>IF(A1721="C",LEFT(UPPER(D1721)&amp;REPT(" ",2),2)," ")</f>
        <v/>
      </c>
      <c r="Z1721" s="10">
        <f>IF(A1721="C",LEFT(UPPER(E1721)&amp;REPT(" ",15),15)," ")</f>
        <v/>
      </c>
      <c r="AA1721" s="10">
        <f>REPT(" ",8)</f>
        <v/>
      </c>
      <c r="AB1721" s="10">
        <f>REPT(" ",4)</f>
        <v/>
      </c>
      <c r="AC1721" s="10">
        <f>LEFT(UPPER(H1721)&amp;REPT(" ",250),250)</f>
        <v/>
      </c>
      <c r="AD1721" s="10">
        <f>TEXT($G$2,"dd/mm/aaaa")</f>
        <v/>
      </c>
      <c r="AE1721" s="10">
        <f>REPT(" ",10)</f>
        <v/>
      </c>
      <c r="AF1721" s="10">
        <f>REPT(" ",20)</f>
        <v/>
      </c>
      <c r="AG1721" s="54">
        <f>REPT(" ",18-LEN(FIXED(F1721,2,TRUE)))&amp;FIXED(F1721,2,TRUE)</f>
        <v/>
      </c>
      <c r="AH1721" s="10">
        <f>LEN(AC1721)+LEN(AG1721)</f>
        <v/>
      </c>
      <c r="AI1721" s="10">
        <f>LEN(L1721)</f>
        <v/>
      </c>
    </row>
    <row r="1722">
      <c r="J1722" s="12">
        <f>IF(F1722&lt;&gt;0,"LANÇAR","")</f>
        <v/>
      </c>
      <c r="L1722" s="13">
        <f>N1722&amp;O1722&amp;P1722&amp;Q1722&amp;R1722&amp;S1722&amp;T1722&amp;U1722&amp;V1722&amp;W1722&amp;X1722&amp;Y1722&amp;Z1722&amp;AA1722&amp;AB1722&amp;AC1722&amp;AD1722&amp;AE1722&amp;AF1722&amp;AG1722</f>
        <v/>
      </c>
      <c r="N1722" s="10">
        <f>TEXT($B$6,"00")</f>
        <v/>
      </c>
      <c r="O1722" s="10">
        <f>REPT(" ",8)</f>
        <v/>
      </c>
      <c r="P1722" s="10">
        <f>RIGHT($B$4,2)</f>
        <v/>
      </c>
      <c r="Q1722" s="10">
        <f>RIGHT($B$5,3)</f>
        <v/>
      </c>
      <c r="R1722" s="10">
        <f>IF(A1722="D",LEFT(UPPER(B1722)&amp;REPT(" ",20),20),REPT(" ",20))</f>
        <v/>
      </c>
      <c r="S1722" s="10">
        <f>IF(A1722="D",LEFT(UPPER(C1722)&amp;REPT(" ",10),10)," ")</f>
        <v/>
      </c>
      <c r="T1722" s="10">
        <f>IF(A1722="D",LEFT(UPPER(D1722)&amp;REPT(" ",2),2)," ")</f>
        <v/>
      </c>
      <c r="U1722" s="10">
        <f>IF(A1722="D",LEFT(UPPER(E1722)&amp;REPT(" ",15),15)," ")</f>
        <v/>
      </c>
      <c r="V1722" s="10">
        <f>REPT(" ",24)</f>
        <v/>
      </c>
      <c r="W1722" s="10">
        <f>IF(A1722="c",LEFT(UPPER(B1722)&amp;REPT(" ",20),20),REPT(" ",20))</f>
        <v/>
      </c>
      <c r="X1722" s="10">
        <f>IF(A1722="C",LEFT(UPPER(C1722)&amp;REPT(" ",10),10)," ")</f>
        <v/>
      </c>
      <c r="Y1722" s="10">
        <f>IF(A1722="C",LEFT(UPPER(D1722)&amp;REPT(" ",2),2)," ")</f>
        <v/>
      </c>
      <c r="Z1722" s="10">
        <f>IF(A1722="C",LEFT(UPPER(E1722)&amp;REPT(" ",15),15)," ")</f>
        <v/>
      </c>
      <c r="AA1722" s="10">
        <f>REPT(" ",8)</f>
        <v/>
      </c>
      <c r="AB1722" s="10">
        <f>REPT(" ",4)</f>
        <v/>
      </c>
      <c r="AC1722" s="10">
        <f>LEFT(UPPER(H1722)&amp;REPT(" ",250),250)</f>
        <v/>
      </c>
      <c r="AD1722" s="10">
        <f>TEXT($G$2,"dd/mm/aaaa")</f>
        <v/>
      </c>
      <c r="AE1722" s="10">
        <f>REPT(" ",10)</f>
        <v/>
      </c>
      <c r="AF1722" s="10">
        <f>REPT(" ",20)</f>
        <v/>
      </c>
      <c r="AG1722" s="54">
        <f>REPT(" ",18-LEN(FIXED(F1722,2,TRUE)))&amp;FIXED(F1722,2,TRUE)</f>
        <v/>
      </c>
      <c r="AH1722" s="10">
        <f>LEN(AC1722)+LEN(AG1722)</f>
        <v/>
      </c>
      <c r="AI1722" s="10">
        <f>LEN(L1722)</f>
        <v/>
      </c>
    </row>
    <row r="1723">
      <c r="J1723" s="12">
        <f>IF(F1723&lt;&gt;0,"LANÇAR","")</f>
        <v/>
      </c>
      <c r="L1723" s="13">
        <f>N1723&amp;O1723&amp;P1723&amp;Q1723&amp;R1723&amp;S1723&amp;T1723&amp;U1723&amp;V1723&amp;W1723&amp;X1723&amp;Y1723&amp;Z1723&amp;AA1723&amp;AB1723&amp;AC1723&amp;AD1723&amp;AE1723&amp;AF1723&amp;AG1723</f>
        <v/>
      </c>
      <c r="N1723" s="10">
        <f>TEXT($B$6,"00")</f>
        <v/>
      </c>
      <c r="O1723" s="10">
        <f>REPT(" ",8)</f>
        <v/>
      </c>
      <c r="P1723" s="10">
        <f>RIGHT($B$4,2)</f>
        <v/>
      </c>
      <c r="Q1723" s="10">
        <f>RIGHT($B$5,3)</f>
        <v/>
      </c>
      <c r="R1723" s="10">
        <f>IF(A1723="D",LEFT(UPPER(B1723)&amp;REPT(" ",20),20),REPT(" ",20))</f>
        <v/>
      </c>
      <c r="S1723" s="10">
        <f>IF(A1723="D",LEFT(UPPER(C1723)&amp;REPT(" ",10),10)," ")</f>
        <v/>
      </c>
      <c r="T1723" s="10">
        <f>IF(A1723="D",LEFT(UPPER(D1723)&amp;REPT(" ",2),2)," ")</f>
        <v/>
      </c>
      <c r="U1723" s="10">
        <f>IF(A1723="D",LEFT(UPPER(E1723)&amp;REPT(" ",15),15)," ")</f>
        <v/>
      </c>
      <c r="V1723" s="10">
        <f>REPT(" ",24)</f>
        <v/>
      </c>
      <c r="W1723" s="10">
        <f>IF(A1723="c",LEFT(UPPER(B1723)&amp;REPT(" ",20),20),REPT(" ",20))</f>
        <v/>
      </c>
      <c r="X1723" s="10">
        <f>IF(A1723="C",LEFT(UPPER(C1723)&amp;REPT(" ",10),10)," ")</f>
        <v/>
      </c>
      <c r="Y1723" s="10">
        <f>IF(A1723="C",LEFT(UPPER(D1723)&amp;REPT(" ",2),2)," ")</f>
        <v/>
      </c>
      <c r="Z1723" s="10">
        <f>IF(A1723="C",LEFT(UPPER(E1723)&amp;REPT(" ",15),15)," ")</f>
        <v/>
      </c>
      <c r="AA1723" s="10">
        <f>REPT(" ",8)</f>
        <v/>
      </c>
      <c r="AB1723" s="10">
        <f>REPT(" ",4)</f>
        <v/>
      </c>
      <c r="AC1723" s="10">
        <f>LEFT(UPPER(H1723)&amp;REPT(" ",250),250)</f>
        <v/>
      </c>
      <c r="AD1723" s="10">
        <f>TEXT($G$2,"dd/mm/aaaa")</f>
        <v/>
      </c>
      <c r="AE1723" s="10">
        <f>REPT(" ",10)</f>
        <v/>
      </c>
      <c r="AF1723" s="10">
        <f>REPT(" ",20)</f>
        <v/>
      </c>
      <c r="AG1723" s="54">
        <f>REPT(" ",18-LEN(FIXED(F1723,2,TRUE)))&amp;FIXED(F1723,2,TRUE)</f>
        <v/>
      </c>
      <c r="AH1723" s="10">
        <f>LEN(AC1723)+LEN(AG1723)</f>
        <v/>
      </c>
      <c r="AI1723" s="10">
        <f>LEN(L1723)</f>
        <v/>
      </c>
    </row>
    <row r="1724">
      <c r="J1724" s="12">
        <f>IF(F1724&lt;&gt;0,"LANÇAR","")</f>
        <v/>
      </c>
      <c r="L1724" s="13">
        <f>N1724&amp;O1724&amp;P1724&amp;Q1724&amp;R1724&amp;S1724&amp;T1724&amp;U1724&amp;V1724&amp;W1724&amp;X1724&amp;Y1724&amp;Z1724&amp;AA1724&amp;AB1724&amp;AC1724&amp;AD1724&amp;AE1724&amp;AF1724&amp;AG1724</f>
        <v/>
      </c>
      <c r="N1724" s="10">
        <f>TEXT($B$6,"00")</f>
        <v/>
      </c>
      <c r="O1724" s="10">
        <f>REPT(" ",8)</f>
        <v/>
      </c>
      <c r="P1724" s="10">
        <f>RIGHT($B$4,2)</f>
        <v/>
      </c>
      <c r="Q1724" s="10">
        <f>RIGHT($B$5,3)</f>
        <v/>
      </c>
      <c r="R1724" s="10">
        <f>IF(A1724="D",LEFT(UPPER(B1724)&amp;REPT(" ",20),20),REPT(" ",20))</f>
        <v/>
      </c>
      <c r="S1724" s="10">
        <f>IF(A1724="D",LEFT(UPPER(C1724)&amp;REPT(" ",10),10)," ")</f>
        <v/>
      </c>
      <c r="T1724" s="10">
        <f>IF(A1724="D",LEFT(UPPER(D1724)&amp;REPT(" ",2),2)," ")</f>
        <v/>
      </c>
      <c r="U1724" s="10">
        <f>IF(A1724="D",LEFT(UPPER(E1724)&amp;REPT(" ",15),15)," ")</f>
        <v/>
      </c>
      <c r="V1724" s="10">
        <f>REPT(" ",24)</f>
        <v/>
      </c>
      <c r="W1724" s="10">
        <f>IF(A1724="c",LEFT(UPPER(B1724)&amp;REPT(" ",20),20),REPT(" ",20))</f>
        <v/>
      </c>
      <c r="X1724" s="10">
        <f>IF(A1724="C",LEFT(UPPER(C1724)&amp;REPT(" ",10),10)," ")</f>
        <v/>
      </c>
      <c r="Y1724" s="10">
        <f>IF(A1724="C",LEFT(UPPER(D1724)&amp;REPT(" ",2),2)," ")</f>
        <v/>
      </c>
      <c r="Z1724" s="10">
        <f>IF(A1724="C",LEFT(UPPER(E1724)&amp;REPT(" ",15),15)," ")</f>
        <v/>
      </c>
      <c r="AA1724" s="10">
        <f>REPT(" ",8)</f>
        <v/>
      </c>
      <c r="AB1724" s="10">
        <f>REPT(" ",4)</f>
        <v/>
      </c>
      <c r="AC1724" s="10">
        <f>LEFT(UPPER(H1724)&amp;REPT(" ",250),250)</f>
        <v/>
      </c>
      <c r="AD1724" s="10">
        <f>TEXT($G$2,"dd/mm/aaaa")</f>
        <v/>
      </c>
      <c r="AE1724" s="10">
        <f>REPT(" ",10)</f>
        <v/>
      </c>
      <c r="AF1724" s="10">
        <f>REPT(" ",20)</f>
        <v/>
      </c>
      <c r="AG1724" s="54">
        <f>REPT(" ",18-LEN(FIXED(F1724,2,TRUE)))&amp;FIXED(F1724,2,TRUE)</f>
        <v/>
      </c>
      <c r="AH1724" s="10">
        <f>LEN(AC1724)+LEN(AG1724)</f>
        <v/>
      </c>
      <c r="AI1724" s="10">
        <f>LEN(L1724)</f>
        <v/>
      </c>
    </row>
    <row r="1725">
      <c r="J1725" s="12">
        <f>IF(F1725&lt;&gt;0,"LANÇAR","")</f>
        <v/>
      </c>
      <c r="L1725" s="13">
        <f>N1725&amp;O1725&amp;P1725&amp;Q1725&amp;R1725&amp;S1725&amp;T1725&amp;U1725&amp;V1725&amp;W1725&amp;X1725&amp;Y1725&amp;Z1725&amp;AA1725&amp;AB1725&amp;AC1725&amp;AD1725&amp;AE1725&amp;AF1725&amp;AG1725</f>
        <v/>
      </c>
      <c r="N1725" s="10">
        <f>TEXT($B$6,"00")</f>
        <v/>
      </c>
      <c r="O1725" s="10">
        <f>REPT(" ",8)</f>
        <v/>
      </c>
      <c r="P1725" s="10">
        <f>RIGHT($B$4,2)</f>
        <v/>
      </c>
      <c r="Q1725" s="10">
        <f>RIGHT($B$5,3)</f>
        <v/>
      </c>
      <c r="R1725" s="10">
        <f>IF(A1725="D",LEFT(UPPER(B1725)&amp;REPT(" ",20),20),REPT(" ",20))</f>
        <v/>
      </c>
      <c r="S1725" s="10">
        <f>IF(A1725="D",LEFT(UPPER(C1725)&amp;REPT(" ",10),10)," ")</f>
        <v/>
      </c>
      <c r="T1725" s="10">
        <f>IF(A1725="D",LEFT(UPPER(D1725)&amp;REPT(" ",2),2)," ")</f>
        <v/>
      </c>
      <c r="U1725" s="10">
        <f>IF(A1725="D",LEFT(UPPER(E1725)&amp;REPT(" ",15),15)," ")</f>
        <v/>
      </c>
      <c r="V1725" s="10">
        <f>REPT(" ",24)</f>
        <v/>
      </c>
      <c r="W1725" s="10">
        <f>IF(A1725="c",LEFT(UPPER(B1725)&amp;REPT(" ",20),20),REPT(" ",20))</f>
        <v/>
      </c>
      <c r="X1725" s="10">
        <f>IF(A1725="C",LEFT(UPPER(C1725)&amp;REPT(" ",10),10)," ")</f>
        <v/>
      </c>
      <c r="Y1725" s="10">
        <f>IF(A1725="C",LEFT(UPPER(D1725)&amp;REPT(" ",2),2)," ")</f>
        <v/>
      </c>
      <c r="Z1725" s="10">
        <f>IF(A1725="C",LEFT(UPPER(E1725)&amp;REPT(" ",15),15)," ")</f>
        <v/>
      </c>
      <c r="AA1725" s="10">
        <f>REPT(" ",8)</f>
        <v/>
      </c>
      <c r="AB1725" s="10">
        <f>REPT(" ",4)</f>
        <v/>
      </c>
      <c r="AC1725" s="10">
        <f>LEFT(UPPER(H1725)&amp;REPT(" ",250),250)</f>
        <v/>
      </c>
      <c r="AD1725" s="10">
        <f>TEXT($G$2,"dd/mm/aaaa")</f>
        <v/>
      </c>
      <c r="AE1725" s="10">
        <f>REPT(" ",10)</f>
        <v/>
      </c>
      <c r="AF1725" s="10">
        <f>REPT(" ",20)</f>
        <v/>
      </c>
      <c r="AG1725" s="54">
        <f>REPT(" ",18-LEN(FIXED(F1725,2,TRUE)))&amp;FIXED(F1725,2,TRUE)</f>
        <v/>
      </c>
      <c r="AH1725" s="10">
        <f>LEN(AC1725)+LEN(AG1725)</f>
        <v/>
      </c>
      <c r="AI1725" s="10">
        <f>LEN(L1725)</f>
        <v/>
      </c>
    </row>
    <row r="1726">
      <c r="J1726" s="12">
        <f>IF(F1726&lt;&gt;0,"LANÇAR","")</f>
        <v/>
      </c>
      <c r="L1726" s="13">
        <f>N1726&amp;O1726&amp;P1726&amp;Q1726&amp;R1726&amp;S1726&amp;T1726&amp;U1726&amp;V1726&amp;W1726&amp;X1726&amp;Y1726&amp;Z1726&amp;AA1726&amp;AB1726&amp;AC1726&amp;AD1726&amp;AE1726&amp;AF1726&amp;AG1726</f>
        <v/>
      </c>
      <c r="N1726" s="10">
        <f>TEXT($B$6,"00")</f>
        <v/>
      </c>
      <c r="O1726" s="10">
        <f>REPT(" ",8)</f>
        <v/>
      </c>
      <c r="P1726" s="10">
        <f>RIGHT($B$4,2)</f>
        <v/>
      </c>
      <c r="Q1726" s="10">
        <f>RIGHT($B$5,3)</f>
        <v/>
      </c>
      <c r="R1726" s="10">
        <f>IF(A1726="D",LEFT(UPPER(B1726)&amp;REPT(" ",20),20),REPT(" ",20))</f>
        <v/>
      </c>
      <c r="S1726" s="10">
        <f>IF(A1726="D",LEFT(UPPER(C1726)&amp;REPT(" ",10),10)," ")</f>
        <v/>
      </c>
      <c r="T1726" s="10">
        <f>IF(A1726="D",LEFT(UPPER(D1726)&amp;REPT(" ",2),2)," ")</f>
        <v/>
      </c>
      <c r="U1726" s="10">
        <f>IF(A1726="D",LEFT(UPPER(E1726)&amp;REPT(" ",15),15)," ")</f>
        <v/>
      </c>
      <c r="V1726" s="10">
        <f>REPT(" ",24)</f>
        <v/>
      </c>
      <c r="W1726" s="10">
        <f>IF(A1726="c",LEFT(UPPER(B1726)&amp;REPT(" ",20),20),REPT(" ",20))</f>
        <v/>
      </c>
      <c r="X1726" s="10">
        <f>IF(A1726="C",LEFT(UPPER(C1726)&amp;REPT(" ",10),10)," ")</f>
        <v/>
      </c>
      <c r="Y1726" s="10">
        <f>IF(A1726="C",LEFT(UPPER(D1726)&amp;REPT(" ",2),2)," ")</f>
        <v/>
      </c>
      <c r="Z1726" s="10">
        <f>IF(A1726="C",LEFT(UPPER(E1726)&amp;REPT(" ",15),15)," ")</f>
        <v/>
      </c>
      <c r="AA1726" s="10">
        <f>REPT(" ",8)</f>
        <v/>
      </c>
      <c r="AB1726" s="10">
        <f>REPT(" ",4)</f>
        <v/>
      </c>
      <c r="AC1726" s="10">
        <f>LEFT(UPPER(H1726)&amp;REPT(" ",250),250)</f>
        <v/>
      </c>
      <c r="AD1726" s="10">
        <f>TEXT($G$2,"dd/mm/aaaa")</f>
        <v/>
      </c>
      <c r="AE1726" s="10">
        <f>REPT(" ",10)</f>
        <v/>
      </c>
      <c r="AF1726" s="10">
        <f>REPT(" ",20)</f>
        <v/>
      </c>
      <c r="AG1726" s="54">
        <f>REPT(" ",18-LEN(FIXED(F1726,2,TRUE)))&amp;FIXED(F1726,2,TRUE)</f>
        <v/>
      </c>
      <c r="AH1726" s="10">
        <f>LEN(AC1726)+LEN(AG1726)</f>
        <v/>
      </c>
      <c r="AI1726" s="10">
        <f>LEN(L1726)</f>
        <v/>
      </c>
    </row>
    <row r="1727">
      <c r="J1727" s="12">
        <f>IF(F1727&lt;&gt;0,"LANÇAR","")</f>
        <v/>
      </c>
      <c r="L1727" s="13">
        <f>N1727&amp;O1727&amp;P1727&amp;Q1727&amp;R1727&amp;S1727&amp;T1727&amp;U1727&amp;V1727&amp;W1727&amp;X1727&amp;Y1727&amp;Z1727&amp;AA1727&amp;AB1727&amp;AC1727&amp;AD1727&amp;AE1727&amp;AF1727&amp;AG1727</f>
        <v/>
      </c>
      <c r="N1727" s="10">
        <f>TEXT($B$6,"00")</f>
        <v/>
      </c>
      <c r="O1727" s="10">
        <f>REPT(" ",8)</f>
        <v/>
      </c>
      <c r="P1727" s="10">
        <f>RIGHT($B$4,2)</f>
        <v/>
      </c>
      <c r="Q1727" s="10">
        <f>RIGHT($B$5,3)</f>
        <v/>
      </c>
      <c r="R1727" s="10">
        <f>IF(A1727="D",LEFT(UPPER(B1727)&amp;REPT(" ",20),20),REPT(" ",20))</f>
        <v/>
      </c>
      <c r="S1727" s="10">
        <f>IF(A1727="D",LEFT(UPPER(C1727)&amp;REPT(" ",10),10)," ")</f>
        <v/>
      </c>
      <c r="T1727" s="10">
        <f>IF(A1727="D",LEFT(UPPER(D1727)&amp;REPT(" ",2),2)," ")</f>
        <v/>
      </c>
      <c r="U1727" s="10">
        <f>IF(A1727="D",LEFT(UPPER(E1727)&amp;REPT(" ",15),15)," ")</f>
        <v/>
      </c>
      <c r="V1727" s="10">
        <f>REPT(" ",24)</f>
        <v/>
      </c>
      <c r="W1727" s="10">
        <f>IF(A1727="c",LEFT(UPPER(B1727)&amp;REPT(" ",20),20),REPT(" ",20))</f>
        <v/>
      </c>
      <c r="X1727" s="10">
        <f>IF(A1727="C",LEFT(UPPER(C1727)&amp;REPT(" ",10),10)," ")</f>
        <v/>
      </c>
      <c r="Y1727" s="10">
        <f>IF(A1727="C",LEFT(UPPER(D1727)&amp;REPT(" ",2),2)," ")</f>
        <v/>
      </c>
      <c r="Z1727" s="10">
        <f>IF(A1727="C",LEFT(UPPER(E1727)&amp;REPT(" ",15),15)," ")</f>
        <v/>
      </c>
      <c r="AA1727" s="10">
        <f>REPT(" ",8)</f>
        <v/>
      </c>
      <c r="AB1727" s="10">
        <f>REPT(" ",4)</f>
        <v/>
      </c>
      <c r="AC1727" s="10">
        <f>LEFT(UPPER(H1727)&amp;REPT(" ",250),250)</f>
        <v/>
      </c>
      <c r="AD1727" s="10">
        <f>TEXT($G$2,"dd/mm/aaaa")</f>
        <v/>
      </c>
      <c r="AE1727" s="10">
        <f>REPT(" ",10)</f>
        <v/>
      </c>
      <c r="AF1727" s="10">
        <f>REPT(" ",20)</f>
        <v/>
      </c>
      <c r="AG1727" s="54">
        <f>REPT(" ",18-LEN(FIXED(F1727,2,TRUE)))&amp;FIXED(F1727,2,TRUE)</f>
        <v/>
      </c>
      <c r="AH1727" s="10">
        <f>LEN(AC1727)+LEN(AG1727)</f>
        <v/>
      </c>
      <c r="AI1727" s="10">
        <f>LEN(L1727)</f>
        <v/>
      </c>
    </row>
    <row r="1728">
      <c r="J1728" s="12">
        <f>IF(F1728&lt;&gt;0,"LANÇAR","")</f>
        <v/>
      </c>
      <c r="L1728" s="13">
        <f>N1728&amp;O1728&amp;P1728&amp;Q1728&amp;R1728&amp;S1728&amp;T1728&amp;U1728&amp;V1728&amp;W1728&amp;X1728&amp;Y1728&amp;Z1728&amp;AA1728&amp;AB1728&amp;AC1728&amp;AD1728&amp;AE1728&amp;AF1728&amp;AG1728</f>
        <v/>
      </c>
      <c r="N1728" s="10">
        <f>TEXT($B$6,"00")</f>
        <v/>
      </c>
      <c r="O1728" s="10">
        <f>REPT(" ",8)</f>
        <v/>
      </c>
      <c r="P1728" s="10">
        <f>RIGHT($B$4,2)</f>
        <v/>
      </c>
      <c r="Q1728" s="10">
        <f>RIGHT($B$5,3)</f>
        <v/>
      </c>
      <c r="R1728" s="10">
        <f>IF(A1728="D",LEFT(UPPER(B1728)&amp;REPT(" ",20),20),REPT(" ",20))</f>
        <v/>
      </c>
      <c r="S1728" s="10">
        <f>IF(A1728="D",LEFT(UPPER(C1728)&amp;REPT(" ",10),10)," ")</f>
        <v/>
      </c>
      <c r="T1728" s="10">
        <f>IF(A1728="D",LEFT(UPPER(D1728)&amp;REPT(" ",2),2)," ")</f>
        <v/>
      </c>
      <c r="U1728" s="10">
        <f>IF(A1728="D",LEFT(UPPER(E1728)&amp;REPT(" ",15),15)," ")</f>
        <v/>
      </c>
      <c r="V1728" s="10">
        <f>REPT(" ",24)</f>
        <v/>
      </c>
      <c r="W1728" s="10">
        <f>IF(A1728="c",LEFT(UPPER(B1728)&amp;REPT(" ",20),20),REPT(" ",20))</f>
        <v/>
      </c>
      <c r="X1728" s="10">
        <f>IF(A1728="C",LEFT(UPPER(C1728)&amp;REPT(" ",10),10)," ")</f>
        <v/>
      </c>
      <c r="Y1728" s="10">
        <f>IF(A1728="C",LEFT(UPPER(D1728)&amp;REPT(" ",2),2)," ")</f>
        <v/>
      </c>
      <c r="Z1728" s="10">
        <f>IF(A1728="C",LEFT(UPPER(E1728)&amp;REPT(" ",15),15)," ")</f>
        <v/>
      </c>
      <c r="AA1728" s="10">
        <f>REPT(" ",8)</f>
        <v/>
      </c>
      <c r="AB1728" s="10">
        <f>REPT(" ",4)</f>
        <v/>
      </c>
      <c r="AC1728" s="10">
        <f>LEFT(UPPER(H1728)&amp;REPT(" ",250),250)</f>
        <v/>
      </c>
      <c r="AD1728" s="10">
        <f>TEXT($G$2,"dd/mm/aaaa")</f>
        <v/>
      </c>
      <c r="AE1728" s="10">
        <f>REPT(" ",10)</f>
        <v/>
      </c>
      <c r="AF1728" s="10">
        <f>REPT(" ",20)</f>
        <v/>
      </c>
      <c r="AG1728" s="54">
        <f>REPT(" ",18-LEN(FIXED(F1728,2,TRUE)))&amp;FIXED(F1728,2,TRUE)</f>
        <v/>
      </c>
      <c r="AH1728" s="10">
        <f>LEN(AC1728)+LEN(AG1728)</f>
        <v/>
      </c>
      <c r="AI1728" s="10">
        <f>LEN(L1728)</f>
        <v/>
      </c>
    </row>
    <row r="1729">
      <c r="J1729" s="12">
        <f>IF(F1729&lt;&gt;0,"LANÇAR","")</f>
        <v/>
      </c>
      <c r="L1729" s="13">
        <f>N1729&amp;O1729&amp;P1729&amp;Q1729&amp;R1729&amp;S1729&amp;T1729&amp;U1729&amp;V1729&amp;W1729&amp;X1729&amp;Y1729&amp;Z1729&amp;AA1729&amp;AB1729&amp;AC1729&amp;AD1729&amp;AE1729&amp;AF1729&amp;AG1729</f>
        <v/>
      </c>
      <c r="N1729" s="10">
        <f>TEXT($B$6,"00")</f>
        <v/>
      </c>
      <c r="O1729" s="10">
        <f>REPT(" ",8)</f>
        <v/>
      </c>
      <c r="P1729" s="10">
        <f>RIGHT($B$4,2)</f>
        <v/>
      </c>
      <c r="Q1729" s="10">
        <f>RIGHT($B$5,3)</f>
        <v/>
      </c>
      <c r="R1729" s="10">
        <f>IF(A1729="D",LEFT(UPPER(B1729)&amp;REPT(" ",20),20),REPT(" ",20))</f>
        <v/>
      </c>
      <c r="S1729" s="10">
        <f>IF(A1729="D",LEFT(UPPER(C1729)&amp;REPT(" ",10),10)," ")</f>
        <v/>
      </c>
      <c r="T1729" s="10">
        <f>IF(A1729="D",LEFT(UPPER(D1729)&amp;REPT(" ",2),2)," ")</f>
        <v/>
      </c>
      <c r="U1729" s="10">
        <f>IF(A1729="D",LEFT(UPPER(E1729)&amp;REPT(" ",15),15)," ")</f>
        <v/>
      </c>
      <c r="V1729" s="10">
        <f>REPT(" ",24)</f>
        <v/>
      </c>
      <c r="W1729" s="10">
        <f>IF(A1729="c",LEFT(UPPER(B1729)&amp;REPT(" ",20),20),REPT(" ",20))</f>
        <v/>
      </c>
      <c r="X1729" s="10">
        <f>IF(A1729="C",LEFT(UPPER(C1729)&amp;REPT(" ",10),10)," ")</f>
        <v/>
      </c>
      <c r="Y1729" s="10">
        <f>IF(A1729="C",LEFT(UPPER(D1729)&amp;REPT(" ",2),2)," ")</f>
        <v/>
      </c>
      <c r="Z1729" s="10">
        <f>IF(A1729="C",LEFT(UPPER(E1729)&amp;REPT(" ",15),15)," ")</f>
        <v/>
      </c>
      <c r="AA1729" s="10">
        <f>REPT(" ",8)</f>
        <v/>
      </c>
      <c r="AB1729" s="10">
        <f>REPT(" ",4)</f>
        <v/>
      </c>
      <c r="AC1729" s="10">
        <f>LEFT(UPPER(H1729)&amp;REPT(" ",250),250)</f>
        <v/>
      </c>
      <c r="AD1729" s="10">
        <f>TEXT($G$2,"dd/mm/aaaa")</f>
        <v/>
      </c>
      <c r="AE1729" s="10">
        <f>REPT(" ",10)</f>
        <v/>
      </c>
      <c r="AF1729" s="10">
        <f>REPT(" ",20)</f>
        <v/>
      </c>
      <c r="AG1729" s="54">
        <f>REPT(" ",18-LEN(FIXED(F1729,2,TRUE)))&amp;FIXED(F1729,2,TRUE)</f>
        <v/>
      </c>
      <c r="AH1729" s="10">
        <f>LEN(AC1729)+LEN(AG1729)</f>
        <v/>
      </c>
      <c r="AI1729" s="10">
        <f>LEN(L1729)</f>
        <v/>
      </c>
    </row>
    <row r="1730">
      <c r="J1730" s="12">
        <f>IF(F1730&lt;&gt;0,"LANÇAR","")</f>
        <v/>
      </c>
      <c r="L1730" s="13">
        <f>N1730&amp;O1730&amp;P1730&amp;Q1730&amp;R1730&amp;S1730&amp;T1730&amp;U1730&amp;V1730&amp;W1730&amp;X1730&amp;Y1730&amp;Z1730&amp;AA1730&amp;AB1730&amp;AC1730&amp;AD1730&amp;AE1730&amp;AF1730&amp;AG1730</f>
        <v/>
      </c>
      <c r="N1730" s="10">
        <f>TEXT($B$6,"00")</f>
        <v/>
      </c>
      <c r="O1730" s="10">
        <f>REPT(" ",8)</f>
        <v/>
      </c>
      <c r="P1730" s="10">
        <f>RIGHT($B$4,2)</f>
        <v/>
      </c>
      <c r="Q1730" s="10">
        <f>RIGHT($B$5,3)</f>
        <v/>
      </c>
      <c r="R1730" s="10">
        <f>IF(A1730="D",LEFT(UPPER(B1730)&amp;REPT(" ",20),20),REPT(" ",20))</f>
        <v/>
      </c>
      <c r="S1730" s="10">
        <f>IF(A1730="D",LEFT(UPPER(C1730)&amp;REPT(" ",10),10)," ")</f>
        <v/>
      </c>
      <c r="T1730" s="10">
        <f>IF(A1730="D",LEFT(UPPER(D1730)&amp;REPT(" ",2),2)," ")</f>
        <v/>
      </c>
      <c r="U1730" s="10">
        <f>IF(A1730="D",LEFT(UPPER(E1730)&amp;REPT(" ",15),15)," ")</f>
        <v/>
      </c>
      <c r="V1730" s="10">
        <f>REPT(" ",24)</f>
        <v/>
      </c>
      <c r="W1730" s="10">
        <f>IF(A1730="c",LEFT(UPPER(B1730)&amp;REPT(" ",20),20),REPT(" ",20))</f>
        <v/>
      </c>
      <c r="X1730" s="10">
        <f>IF(A1730="C",LEFT(UPPER(C1730)&amp;REPT(" ",10),10)," ")</f>
        <v/>
      </c>
      <c r="Y1730" s="10">
        <f>IF(A1730="C",LEFT(UPPER(D1730)&amp;REPT(" ",2),2)," ")</f>
        <v/>
      </c>
      <c r="Z1730" s="10">
        <f>IF(A1730="C",LEFT(UPPER(E1730)&amp;REPT(" ",15),15)," ")</f>
        <v/>
      </c>
      <c r="AA1730" s="10">
        <f>REPT(" ",8)</f>
        <v/>
      </c>
      <c r="AB1730" s="10">
        <f>REPT(" ",4)</f>
        <v/>
      </c>
      <c r="AC1730" s="10">
        <f>LEFT(UPPER(H1730)&amp;REPT(" ",250),250)</f>
        <v/>
      </c>
      <c r="AD1730" s="10">
        <f>TEXT($G$2,"dd/mm/aaaa")</f>
        <v/>
      </c>
      <c r="AE1730" s="10">
        <f>REPT(" ",10)</f>
        <v/>
      </c>
      <c r="AF1730" s="10">
        <f>REPT(" ",20)</f>
        <v/>
      </c>
      <c r="AG1730" s="54">
        <f>REPT(" ",18-LEN(FIXED(F1730,2,TRUE)))&amp;FIXED(F1730,2,TRUE)</f>
        <v/>
      </c>
      <c r="AH1730" s="10">
        <f>LEN(AC1730)+LEN(AG1730)</f>
        <v/>
      </c>
      <c r="AI1730" s="10">
        <f>LEN(L1730)</f>
        <v/>
      </c>
    </row>
    <row r="1731">
      <c r="J1731" s="12">
        <f>IF(F1731&lt;&gt;0,"LANÇAR","")</f>
        <v/>
      </c>
      <c r="L1731" s="13">
        <f>N1731&amp;O1731&amp;P1731&amp;Q1731&amp;R1731&amp;S1731&amp;T1731&amp;U1731&amp;V1731&amp;W1731&amp;X1731&amp;Y1731&amp;Z1731&amp;AA1731&amp;AB1731&amp;AC1731&amp;AD1731&amp;AE1731&amp;AF1731&amp;AG1731</f>
        <v/>
      </c>
      <c r="N1731" s="10">
        <f>TEXT($B$6,"00")</f>
        <v/>
      </c>
      <c r="O1731" s="10">
        <f>REPT(" ",8)</f>
        <v/>
      </c>
      <c r="P1731" s="10">
        <f>RIGHT($B$4,2)</f>
        <v/>
      </c>
      <c r="Q1731" s="10">
        <f>RIGHT($B$5,3)</f>
        <v/>
      </c>
      <c r="R1731" s="10">
        <f>IF(A1731="D",LEFT(UPPER(B1731)&amp;REPT(" ",20),20),REPT(" ",20))</f>
        <v/>
      </c>
      <c r="S1731" s="10">
        <f>IF(A1731="D",LEFT(UPPER(C1731)&amp;REPT(" ",10),10)," ")</f>
        <v/>
      </c>
      <c r="T1731" s="10">
        <f>IF(A1731="D",LEFT(UPPER(D1731)&amp;REPT(" ",2),2)," ")</f>
        <v/>
      </c>
      <c r="U1731" s="10">
        <f>IF(A1731="D",LEFT(UPPER(E1731)&amp;REPT(" ",15),15)," ")</f>
        <v/>
      </c>
      <c r="V1731" s="10">
        <f>REPT(" ",24)</f>
        <v/>
      </c>
      <c r="W1731" s="10">
        <f>IF(A1731="c",LEFT(UPPER(B1731)&amp;REPT(" ",20),20),REPT(" ",20))</f>
        <v/>
      </c>
      <c r="X1731" s="10">
        <f>IF(A1731="C",LEFT(UPPER(C1731)&amp;REPT(" ",10),10)," ")</f>
        <v/>
      </c>
      <c r="Y1731" s="10">
        <f>IF(A1731="C",LEFT(UPPER(D1731)&amp;REPT(" ",2),2)," ")</f>
        <v/>
      </c>
      <c r="Z1731" s="10">
        <f>IF(A1731="C",LEFT(UPPER(E1731)&amp;REPT(" ",15),15)," ")</f>
        <v/>
      </c>
      <c r="AA1731" s="10">
        <f>REPT(" ",8)</f>
        <v/>
      </c>
      <c r="AB1731" s="10">
        <f>REPT(" ",4)</f>
        <v/>
      </c>
      <c r="AC1731" s="10">
        <f>LEFT(UPPER(H1731)&amp;REPT(" ",250),250)</f>
        <v/>
      </c>
      <c r="AD1731" s="10">
        <f>TEXT($G$2,"dd/mm/aaaa")</f>
        <v/>
      </c>
      <c r="AE1731" s="10">
        <f>REPT(" ",10)</f>
        <v/>
      </c>
      <c r="AF1731" s="10">
        <f>REPT(" ",20)</f>
        <v/>
      </c>
      <c r="AG1731" s="54">
        <f>REPT(" ",18-LEN(FIXED(F1731,2,TRUE)))&amp;FIXED(F1731,2,TRUE)</f>
        <v/>
      </c>
      <c r="AH1731" s="10">
        <f>LEN(AC1731)+LEN(AG1731)</f>
        <v/>
      </c>
      <c r="AI1731" s="10">
        <f>LEN(L1731)</f>
        <v/>
      </c>
    </row>
    <row r="1732">
      <c r="J1732" s="12">
        <f>IF(F1732&lt;&gt;0,"LANÇAR","")</f>
        <v/>
      </c>
      <c r="L1732" s="13">
        <f>N1732&amp;O1732&amp;P1732&amp;Q1732&amp;R1732&amp;S1732&amp;T1732&amp;U1732&amp;V1732&amp;W1732&amp;X1732&amp;Y1732&amp;Z1732&amp;AA1732&amp;AB1732&amp;AC1732&amp;AD1732&amp;AE1732&amp;AF1732&amp;AG1732</f>
        <v/>
      </c>
      <c r="N1732" s="10">
        <f>TEXT($B$6,"00")</f>
        <v/>
      </c>
      <c r="O1732" s="10">
        <f>REPT(" ",8)</f>
        <v/>
      </c>
      <c r="P1732" s="10">
        <f>RIGHT($B$4,2)</f>
        <v/>
      </c>
      <c r="Q1732" s="10">
        <f>RIGHT($B$5,3)</f>
        <v/>
      </c>
      <c r="R1732" s="10">
        <f>IF(A1732="D",LEFT(UPPER(B1732)&amp;REPT(" ",20),20),REPT(" ",20))</f>
        <v/>
      </c>
      <c r="S1732" s="10">
        <f>IF(A1732="D",LEFT(UPPER(C1732)&amp;REPT(" ",10),10)," ")</f>
        <v/>
      </c>
      <c r="T1732" s="10">
        <f>IF(A1732="D",LEFT(UPPER(D1732)&amp;REPT(" ",2),2)," ")</f>
        <v/>
      </c>
      <c r="U1732" s="10">
        <f>IF(A1732="D",LEFT(UPPER(E1732)&amp;REPT(" ",15),15)," ")</f>
        <v/>
      </c>
      <c r="V1732" s="10">
        <f>REPT(" ",24)</f>
        <v/>
      </c>
      <c r="W1732" s="10">
        <f>IF(A1732="c",LEFT(UPPER(B1732)&amp;REPT(" ",20),20),REPT(" ",20))</f>
        <v/>
      </c>
      <c r="X1732" s="10">
        <f>IF(A1732="C",LEFT(UPPER(C1732)&amp;REPT(" ",10),10)," ")</f>
        <v/>
      </c>
      <c r="Y1732" s="10">
        <f>IF(A1732="C",LEFT(UPPER(D1732)&amp;REPT(" ",2),2)," ")</f>
        <v/>
      </c>
      <c r="Z1732" s="10">
        <f>IF(A1732="C",LEFT(UPPER(E1732)&amp;REPT(" ",15),15)," ")</f>
        <v/>
      </c>
      <c r="AA1732" s="10">
        <f>REPT(" ",8)</f>
        <v/>
      </c>
      <c r="AB1732" s="10">
        <f>REPT(" ",4)</f>
        <v/>
      </c>
      <c r="AC1732" s="10">
        <f>LEFT(UPPER(H1732)&amp;REPT(" ",250),250)</f>
        <v/>
      </c>
      <c r="AD1732" s="10">
        <f>TEXT($G$2,"dd/mm/aaaa")</f>
        <v/>
      </c>
      <c r="AE1732" s="10">
        <f>REPT(" ",10)</f>
        <v/>
      </c>
      <c r="AF1732" s="10">
        <f>REPT(" ",20)</f>
        <v/>
      </c>
      <c r="AG1732" s="54">
        <f>REPT(" ",18-LEN(FIXED(F1732,2,TRUE)))&amp;FIXED(F1732,2,TRUE)</f>
        <v/>
      </c>
      <c r="AH1732" s="10">
        <f>LEN(AC1732)+LEN(AG1732)</f>
        <v/>
      </c>
      <c r="AI1732" s="10">
        <f>LEN(L1732)</f>
        <v/>
      </c>
    </row>
    <row r="1733">
      <c r="J1733" s="12">
        <f>IF(F1733&lt;&gt;0,"LANÇAR","")</f>
        <v/>
      </c>
      <c r="L1733" s="13">
        <f>N1733&amp;O1733&amp;P1733&amp;Q1733&amp;R1733&amp;S1733&amp;T1733&amp;U1733&amp;V1733&amp;W1733&amp;X1733&amp;Y1733&amp;Z1733&amp;AA1733&amp;AB1733&amp;AC1733&amp;AD1733&amp;AE1733&amp;AF1733&amp;AG1733</f>
        <v/>
      </c>
      <c r="N1733" s="10">
        <f>TEXT($B$6,"00")</f>
        <v/>
      </c>
      <c r="O1733" s="10">
        <f>REPT(" ",8)</f>
        <v/>
      </c>
      <c r="P1733" s="10">
        <f>RIGHT($B$4,2)</f>
        <v/>
      </c>
      <c r="Q1733" s="10">
        <f>RIGHT($B$5,3)</f>
        <v/>
      </c>
      <c r="R1733" s="10">
        <f>IF(A1733="D",LEFT(UPPER(B1733)&amp;REPT(" ",20),20),REPT(" ",20))</f>
        <v/>
      </c>
      <c r="S1733" s="10">
        <f>IF(A1733="D",LEFT(UPPER(C1733)&amp;REPT(" ",10),10)," ")</f>
        <v/>
      </c>
      <c r="T1733" s="10">
        <f>IF(A1733="D",LEFT(UPPER(D1733)&amp;REPT(" ",2),2)," ")</f>
        <v/>
      </c>
      <c r="U1733" s="10">
        <f>IF(A1733="D",LEFT(UPPER(E1733)&amp;REPT(" ",15),15)," ")</f>
        <v/>
      </c>
      <c r="V1733" s="10">
        <f>REPT(" ",24)</f>
        <v/>
      </c>
      <c r="W1733" s="10">
        <f>IF(A1733="c",LEFT(UPPER(B1733)&amp;REPT(" ",20),20),REPT(" ",20))</f>
        <v/>
      </c>
      <c r="X1733" s="10">
        <f>IF(A1733="C",LEFT(UPPER(C1733)&amp;REPT(" ",10),10)," ")</f>
        <v/>
      </c>
      <c r="Y1733" s="10">
        <f>IF(A1733="C",LEFT(UPPER(D1733)&amp;REPT(" ",2),2)," ")</f>
        <v/>
      </c>
      <c r="Z1733" s="10">
        <f>IF(A1733="C",LEFT(UPPER(E1733)&amp;REPT(" ",15),15)," ")</f>
        <v/>
      </c>
      <c r="AA1733" s="10">
        <f>REPT(" ",8)</f>
        <v/>
      </c>
      <c r="AB1733" s="10">
        <f>REPT(" ",4)</f>
        <v/>
      </c>
      <c r="AC1733" s="10">
        <f>LEFT(UPPER(H1733)&amp;REPT(" ",250),250)</f>
        <v/>
      </c>
      <c r="AD1733" s="10">
        <f>TEXT($G$2,"dd/mm/aaaa")</f>
        <v/>
      </c>
      <c r="AE1733" s="10">
        <f>REPT(" ",10)</f>
        <v/>
      </c>
      <c r="AF1733" s="10">
        <f>REPT(" ",20)</f>
        <v/>
      </c>
      <c r="AG1733" s="54">
        <f>REPT(" ",18-LEN(FIXED(F1733,2,TRUE)))&amp;FIXED(F1733,2,TRUE)</f>
        <v/>
      </c>
      <c r="AH1733" s="10">
        <f>LEN(AC1733)+LEN(AG1733)</f>
        <v/>
      </c>
      <c r="AI1733" s="10">
        <f>LEN(L1733)</f>
        <v/>
      </c>
    </row>
    <row r="1734">
      <c r="J1734" s="12">
        <f>IF(F1734&lt;&gt;0,"LANÇAR","")</f>
        <v/>
      </c>
      <c r="L1734" s="13">
        <f>N1734&amp;O1734&amp;P1734&amp;Q1734&amp;R1734&amp;S1734&amp;T1734&amp;U1734&amp;V1734&amp;W1734&amp;X1734&amp;Y1734&amp;Z1734&amp;AA1734&amp;AB1734&amp;AC1734&amp;AD1734&amp;AE1734&amp;AF1734&amp;AG1734</f>
        <v/>
      </c>
      <c r="N1734" s="10">
        <f>TEXT($B$6,"00")</f>
        <v/>
      </c>
      <c r="O1734" s="10">
        <f>REPT(" ",8)</f>
        <v/>
      </c>
      <c r="P1734" s="10">
        <f>RIGHT($B$4,2)</f>
        <v/>
      </c>
      <c r="Q1734" s="10">
        <f>RIGHT($B$5,3)</f>
        <v/>
      </c>
      <c r="R1734" s="10">
        <f>IF(A1734="D",LEFT(UPPER(B1734)&amp;REPT(" ",20),20),REPT(" ",20))</f>
        <v/>
      </c>
      <c r="S1734" s="10">
        <f>IF(A1734="D",LEFT(UPPER(C1734)&amp;REPT(" ",10),10)," ")</f>
        <v/>
      </c>
      <c r="T1734" s="10">
        <f>IF(A1734="D",LEFT(UPPER(D1734)&amp;REPT(" ",2),2)," ")</f>
        <v/>
      </c>
      <c r="U1734" s="10">
        <f>IF(A1734="D",LEFT(UPPER(E1734)&amp;REPT(" ",15),15)," ")</f>
        <v/>
      </c>
      <c r="V1734" s="10">
        <f>REPT(" ",24)</f>
        <v/>
      </c>
      <c r="W1734" s="10">
        <f>IF(A1734="c",LEFT(UPPER(B1734)&amp;REPT(" ",20),20),REPT(" ",20))</f>
        <v/>
      </c>
      <c r="X1734" s="10">
        <f>IF(A1734="C",LEFT(UPPER(C1734)&amp;REPT(" ",10),10)," ")</f>
        <v/>
      </c>
      <c r="Y1734" s="10">
        <f>IF(A1734="C",LEFT(UPPER(D1734)&amp;REPT(" ",2),2)," ")</f>
        <v/>
      </c>
      <c r="Z1734" s="10">
        <f>IF(A1734="C",LEFT(UPPER(E1734)&amp;REPT(" ",15),15)," ")</f>
        <v/>
      </c>
      <c r="AA1734" s="10">
        <f>REPT(" ",8)</f>
        <v/>
      </c>
      <c r="AB1734" s="10">
        <f>REPT(" ",4)</f>
        <v/>
      </c>
      <c r="AC1734" s="10">
        <f>LEFT(UPPER(H1734)&amp;REPT(" ",250),250)</f>
        <v/>
      </c>
      <c r="AD1734" s="10">
        <f>TEXT($G$2,"dd/mm/aaaa")</f>
        <v/>
      </c>
      <c r="AE1734" s="10">
        <f>REPT(" ",10)</f>
        <v/>
      </c>
      <c r="AF1734" s="10">
        <f>REPT(" ",20)</f>
        <v/>
      </c>
      <c r="AG1734" s="54">
        <f>REPT(" ",18-LEN(FIXED(F1734,2,TRUE)))&amp;FIXED(F1734,2,TRUE)</f>
        <v/>
      </c>
      <c r="AH1734" s="10">
        <f>LEN(AC1734)+LEN(AG1734)</f>
        <v/>
      </c>
      <c r="AI1734" s="10">
        <f>LEN(L1734)</f>
        <v/>
      </c>
    </row>
    <row r="1735">
      <c r="J1735" s="12">
        <f>IF(F1735&lt;&gt;0,"LANÇAR","")</f>
        <v/>
      </c>
      <c r="L1735" s="13">
        <f>N1735&amp;O1735&amp;P1735&amp;Q1735&amp;R1735&amp;S1735&amp;T1735&amp;U1735&amp;V1735&amp;W1735&amp;X1735&amp;Y1735&amp;Z1735&amp;AA1735&amp;AB1735&amp;AC1735&amp;AD1735&amp;AE1735&amp;AF1735&amp;AG1735</f>
        <v/>
      </c>
      <c r="N1735" s="10">
        <f>TEXT($B$6,"00")</f>
        <v/>
      </c>
      <c r="O1735" s="10">
        <f>REPT(" ",8)</f>
        <v/>
      </c>
      <c r="P1735" s="10">
        <f>RIGHT($B$4,2)</f>
        <v/>
      </c>
      <c r="Q1735" s="10">
        <f>RIGHT($B$5,3)</f>
        <v/>
      </c>
      <c r="R1735" s="10">
        <f>IF(A1735="D",LEFT(UPPER(B1735)&amp;REPT(" ",20),20),REPT(" ",20))</f>
        <v/>
      </c>
      <c r="S1735" s="10">
        <f>IF(A1735="D",LEFT(UPPER(C1735)&amp;REPT(" ",10),10)," ")</f>
        <v/>
      </c>
      <c r="T1735" s="10">
        <f>IF(A1735="D",LEFT(UPPER(D1735)&amp;REPT(" ",2),2)," ")</f>
        <v/>
      </c>
      <c r="U1735" s="10">
        <f>IF(A1735="D",LEFT(UPPER(E1735)&amp;REPT(" ",15),15)," ")</f>
        <v/>
      </c>
      <c r="V1735" s="10">
        <f>REPT(" ",24)</f>
        <v/>
      </c>
      <c r="W1735" s="10">
        <f>IF(A1735="c",LEFT(UPPER(B1735)&amp;REPT(" ",20),20),REPT(" ",20))</f>
        <v/>
      </c>
      <c r="X1735" s="10">
        <f>IF(A1735="C",LEFT(UPPER(C1735)&amp;REPT(" ",10),10)," ")</f>
        <v/>
      </c>
      <c r="Y1735" s="10">
        <f>IF(A1735="C",LEFT(UPPER(D1735)&amp;REPT(" ",2),2)," ")</f>
        <v/>
      </c>
      <c r="Z1735" s="10">
        <f>IF(A1735="C",LEFT(UPPER(E1735)&amp;REPT(" ",15),15)," ")</f>
        <v/>
      </c>
      <c r="AA1735" s="10">
        <f>REPT(" ",8)</f>
        <v/>
      </c>
      <c r="AB1735" s="10">
        <f>REPT(" ",4)</f>
        <v/>
      </c>
      <c r="AC1735" s="10">
        <f>LEFT(UPPER(H1735)&amp;REPT(" ",250),250)</f>
        <v/>
      </c>
      <c r="AD1735" s="10">
        <f>TEXT($G$2,"dd/mm/aaaa")</f>
        <v/>
      </c>
      <c r="AE1735" s="10">
        <f>REPT(" ",10)</f>
        <v/>
      </c>
      <c r="AF1735" s="10">
        <f>REPT(" ",20)</f>
        <v/>
      </c>
      <c r="AG1735" s="54">
        <f>REPT(" ",18-LEN(FIXED(F1735,2,TRUE)))&amp;FIXED(F1735,2,TRUE)</f>
        <v/>
      </c>
      <c r="AH1735" s="10">
        <f>LEN(AC1735)+LEN(AG1735)</f>
        <v/>
      </c>
      <c r="AI1735" s="10">
        <f>LEN(L1735)</f>
        <v/>
      </c>
    </row>
    <row r="1736">
      <c r="J1736" s="12">
        <f>IF(F1736&lt;&gt;0,"LANÇAR","")</f>
        <v/>
      </c>
      <c r="L1736" s="13">
        <f>N1736&amp;O1736&amp;P1736&amp;Q1736&amp;R1736&amp;S1736&amp;T1736&amp;U1736&amp;V1736&amp;W1736&amp;X1736&amp;Y1736&amp;Z1736&amp;AA1736&amp;AB1736&amp;AC1736&amp;AD1736&amp;AE1736&amp;AF1736&amp;AG1736</f>
        <v/>
      </c>
      <c r="N1736" s="10">
        <f>TEXT($B$6,"00")</f>
        <v/>
      </c>
      <c r="O1736" s="10">
        <f>REPT(" ",8)</f>
        <v/>
      </c>
      <c r="P1736" s="10">
        <f>RIGHT($B$4,2)</f>
        <v/>
      </c>
      <c r="Q1736" s="10">
        <f>RIGHT($B$5,3)</f>
        <v/>
      </c>
      <c r="R1736" s="10">
        <f>IF(A1736="D",LEFT(UPPER(B1736)&amp;REPT(" ",20),20),REPT(" ",20))</f>
        <v/>
      </c>
      <c r="S1736" s="10">
        <f>IF(A1736="D",LEFT(UPPER(C1736)&amp;REPT(" ",10),10)," ")</f>
        <v/>
      </c>
      <c r="T1736" s="10">
        <f>IF(A1736="D",LEFT(UPPER(D1736)&amp;REPT(" ",2),2)," ")</f>
        <v/>
      </c>
      <c r="U1736" s="10">
        <f>IF(A1736="D",LEFT(UPPER(E1736)&amp;REPT(" ",15),15)," ")</f>
        <v/>
      </c>
      <c r="V1736" s="10">
        <f>REPT(" ",24)</f>
        <v/>
      </c>
      <c r="W1736" s="10">
        <f>IF(A1736="c",LEFT(UPPER(B1736)&amp;REPT(" ",20),20),REPT(" ",20))</f>
        <v/>
      </c>
      <c r="X1736" s="10">
        <f>IF(A1736="C",LEFT(UPPER(C1736)&amp;REPT(" ",10),10)," ")</f>
        <v/>
      </c>
      <c r="Y1736" s="10">
        <f>IF(A1736="C",LEFT(UPPER(D1736)&amp;REPT(" ",2),2)," ")</f>
        <v/>
      </c>
      <c r="Z1736" s="10">
        <f>IF(A1736="C",LEFT(UPPER(E1736)&amp;REPT(" ",15),15)," ")</f>
        <v/>
      </c>
      <c r="AA1736" s="10">
        <f>REPT(" ",8)</f>
        <v/>
      </c>
      <c r="AB1736" s="10">
        <f>REPT(" ",4)</f>
        <v/>
      </c>
      <c r="AC1736" s="10">
        <f>LEFT(UPPER(H1736)&amp;REPT(" ",250),250)</f>
        <v/>
      </c>
      <c r="AD1736" s="10">
        <f>TEXT($G$2,"dd/mm/aaaa")</f>
        <v/>
      </c>
      <c r="AE1736" s="10">
        <f>REPT(" ",10)</f>
        <v/>
      </c>
      <c r="AF1736" s="10">
        <f>REPT(" ",20)</f>
        <v/>
      </c>
      <c r="AG1736" s="54">
        <f>REPT(" ",18-LEN(FIXED(F1736,2,TRUE)))&amp;FIXED(F1736,2,TRUE)</f>
        <v/>
      </c>
      <c r="AH1736" s="10">
        <f>LEN(AC1736)+LEN(AG1736)</f>
        <v/>
      </c>
      <c r="AI1736" s="10">
        <f>LEN(L1736)</f>
        <v/>
      </c>
    </row>
    <row r="1737">
      <c r="J1737" s="12">
        <f>IF(F1737&lt;&gt;0,"LANÇAR","")</f>
        <v/>
      </c>
      <c r="L1737" s="13">
        <f>N1737&amp;O1737&amp;P1737&amp;Q1737&amp;R1737&amp;S1737&amp;T1737&amp;U1737&amp;V1737&amp;W1737&amp;X1737&amp;Y1737&amp;Z1737&amp;AA1737&amp;AB1737&amp;AC1737&amp;AD1737&amp;AE1737&amp;AF1737&amp;AG1737</f>
        <v/>
      </c>
      <c r="N1737" s="10">
        <f>TEXT($B$6,"00")</f>
        <v/>
      </c>
      <c r="O1737" s="10">
        <f>REPT(" ",8)</f>
        <v/>
      </c>
      <c r="P1737" s="10">
        <f>RIGHT($B$4,2)</f>
        <v/>
      </c>
      <c r="Q1737" s="10">
        <f>RIGHT($B$5,3)</f>
        <v/>
      </c>
      <c r="R1737" s="10">
        <f>IF(A1737="D",LEFT(UPPER(B1737)&amp;REPT(" ",20),20),REPT(" ",20))</f>
        <v/>
      </c>
      <c r="S1737" s="10">
        <f>IF(A1737="D",LEFT(UPPER(C1737)&amp;REPT(" ",10),10)," ")</f>
        <v/>
      </c>
      <c r="T1737" s="10">
        <f>IF(A1737="D",LEFT(UPPER(D1737)&amp;REPT(" ",2),2)," ")</f>
        <v/>
      </c>
      <c r="U1737" s="10">
        <f>IF(A1737="D",LEFT(UPPER(E1737)&amp;REPT(" ",15),15)," ")</f>
        <v/>
      </c>
      <c r="V1737" s="10">
        <f>REPT(" ",24)</f>
        <v/>
      </c>
      <c r="W1737" s="10">
        <f>IF(A1737="c",LEFT(UPPER(B1737)&amp;REPT(" ",20),20),REPT(" ",20))</f>
        <v/>
      </c>
      <c r="X1737" s="10">
        <f>IF(A1737="C",LEFT(UPPER(C1737)&amp;REPT(" ",10),10)," ")</f>
        <v/>
      </c>
      <c r="Y1737" s="10">
        <f>IF(A1737="C",LEFT(UPPER(D1737)&amp;REPT(" ",2),2)," ")</f>
        <v/>
      </c>
      <c r="Z1737" s="10">
        <f>IF(A1737="C",LEFT(UPPER(E1737)&amp;REPT(" ",15),15)," ")</f>
        <v/>
      </c>
      <c r="AA1737" s="10">
        <f>REPT(" ",8)</f>
        <v/>
      </c>
      <c r="AB1737" s="10">
        <f>REPT(" ",4)</f>
        <v/>
      </c>
      <c r="AC1737" s="10">
        <f>LEFT(UPPER(H1737)&amp;REPT(" ",250),250)</f>
        <v/>
      </c>
      <c r="AD1737" s="10">
        <f>TEXT($G$2,"dd/mm/aaaa")</f>
        <v/>
      </c>
      <c r="AE1737" s="10">
        <f>REPT(" ",10)</f>
        <v/>
      </c>
      <c r="AF1737" s="10">
        <f>REPT(" ",20)</f>
        <v/>
      </c>
      <c r="AG1737" s="54">
        <f>REPT(" ",18-LEN(FIXED(F1737,2,TRUE)))&amp;FIXED(F1737,2,TRUE)</f>
        <v/>
      </c>
      <c r="AH1737" s="10">
        <f>LEN(AC1737)+LEN(AG1737)</f>
        <v/>
      </c>
      <c r="AI1737" s="10">
        <f>LEN(L1737)</f>
        <v/>
      </c>
    </row>
    <row r="1738">
      <c r="J1738" s="12">
        <f>IF(F1738&lt;&gt;0,"LANÇAR","")</f>
        <v/>
      </c>
      <c r="L1738" s="13">
        <f>N1738&amp;O1738&amp;P1738&amp;Q1738&amp;R1738&amp;S1738&amp;T1738&amp;U1738&amp;V1738&amp;W1738&amp;X1738&amp;Y1738&amp;Z1738&amp;AA1738&amp;AB1738&amp;AC1738&amp;AD1738&amp;AE1738&amp;AF1738&amp;AG1738</f>
        <v/>
      </c>
      <c r="N1738" s="10">
        <f>TEXT($B$6,"00")</f>
        <v/>
      </c>
      <c r="O1738" s="10">
        <f>REPT(" ",8)</f>
        <v/>
      </c>
      <c r="P1738" s="10">
        <f>RIGHT($B$4,2)</f>
        <v/>
      </c>
      <c r="Q1738" s="10">
        <f>RIGHT($B$5,3)</f>
        <v/>
      </c>
      <c r="R1738" s="10">
        <f>IF(A1738="D",LEFT(UPPER(B1738)&amp;REPT(" ",20),20),REPT(" ",20))</f>
        <v/>
      </c>
      <c r="S1738" s="10">
        <f>IF(A1738="D",LEFT(UPPER(C1738)&amp;REPT(" ",10),10)," ")</f>
        <v/>
      </c>
      <c r="T1738" s="10">
        <f>IF(A1738="D",LEFT(UPPER(D1738)&amp;REPT(" ",2),2)," ")</f>
        <v/>
      </c>
      <c r="U1738" s="10">
        <f>IF(A1738="D",LEFT(UPPER(E1738)&amp;REPT(" ",15),15)," ")</f>
        <v/>
      </c>
      <c r="V1738" s="10">
        <f>REPT(" ",24)</f>
        <v/>
      </c>
      <c r="W1738" s="10">
        <f>IF(A1738="c",LEFT(UPPER(B1738)&amp;REPT(" ",20),20),REPT(" ",20))</f>
        <v/>
      </c>
      <c r="X1738" s="10">
        <f>IF(A1738="C",LEFT(UPPER(C1738)&amp;REPT(" ",10),10)," ")</f>
        <v/>
      </c>
      <c r="Y1738" s="10">
        <f>IF(A1738="C",LEFT(UPPER(D1738)&amp;REPT(" ",2),2)," ")</f>
        <v/>
      </c>
      <c r="Z1738" s="10">
        <f>IF(A1738="C",LEFT(UPPER(E1738)&amp;REPT(" ",15),15)," ")</f>
        <v/>
      </c>
      <c r="AA1738" s="10">
        <f>REPT(" ",8)</f>
        <v/>
      </c>
      <c r="AB1738" s="10">
        <f>REPT(" ",4)</f>
        <v/>
      </c>
      <c r="AC1738" s="10">
        <f>LEFT(UPPER(H1738)&amp;REPT(" ",250),250)</f>
        <v/>
      </c>
      <c r="AD1738" s="10">
        <f>TEXT($G$2,"dd/mm/aaaa")</f>
        <v/>
      </c>
      <c r="AE1738" s="10">
        <f>REPT(" ",10)</f>
        <v/>
      </c>
      <c r="AF1738" s="10">
        <f>REPT(" ",20)</f>
        <v/>
      </c>
      <c r="AG1738" s="54">
        <f>REPT(" ",18-LEN(FIXED(F1738,2,TRUE)))&amp;FIXED(F1738,2,TRUE)</f>
        <v/>
      </c>
      <c r="AH1738" s="10">
        <f>LEN(AC1738)+LEN(AG1738)</f>
        <v/>
      </c>
      <c r="AI1738" s="10">
        <f>LEN(L1738)</f>
        <v/>
      </c>
    </row>
    <row r="1739">
      <c r="J1739" s="12">
        <f>IF(F1739&lt;&gt;0,"LANÇAR","")</f>
        <v/>
      </c>
      <c r="L1739" s="13">
        <f>N1739&amp;O1739&amp;P1739&amp;Q1739&amp;R1739&amp;S1739&amp;T1739&amp;U1739&amp;V1739&amp;W1739&amp;X1739&amp;Y1739&amp;Z1739&amp;AA1739&amp;AB1739&amp;AC1739&amp;AD1739&amp;AE1739&amp;AF1739&amp;AG1739</f>
        <v/>
      </c>
      <c r="N1739" s="10">
        <f>TEXT($B$6,"00")</f>
        <v/>
      </c>
      <c r="O1739" s="10">
        <f>REPT(" ",8)</f>
        <v/>
      </c>
      <c r="P1739" s="10">
        <f>RIGHT($B$4,2)</f>
        <v/>
      </c>
      <c r="Q1739" s="10">
        <f>RIGHT($B$5,3)</f>
        <v/>
      </c>
      <c r="R1739" s="10">
        <f>IF(A1739="D",LEFT(UPPER(B1739)&amp;REPT(" ",20),20),REPT(" ",20))</f>
        <v/>
      </c>
      <c r="S1739" s="10">
        <f>IF(A1739="D",LEFT(UPPER(C1739)&amp;REPT(" ",10),10)," ")</f>
        <v/>
      </c>
      <c r="T1739" s="10">
        <f>IF(A1739="D",LEFT(UPPER(D1739)&amp;REPT(" ",2),2)," ")</f>
        <v/>
      </c>
      <c r="U1739" s="10">
        <f>IF(A1739="D",LEFT(UPPER(E1739)&amp;REPT(" ",15),15)," ")</f>
        <v/>
      </c>
      <c r="V1739" s="10">
        <f>REPT(" ",24)</f>
        <v/>
      </c>
      <c r="W1739" s="10">
        <f>IF(A1739="c",LEFT(UPPER(B1739)&amp;REPT(" ",20),20),REPT(" ",20))</f>
        <v/>
      </c>
      <c r="X1739" s="10">
        <f>IF(A1739="C",LEFT(UPPER(C1739)&amp;REPT(" ",10),10)," ")</f>
        <v/>
      </c>
      <c r="Y1739" s="10">
        <f>IF(A1739="C",LEFT(UPPER(D1739)&amp;REPT(" ",2),2)," ")</f>
        <v/>
      </c>
      <c r="Z1739" s="10">
        <f>IF(A1739="C",LEFT(UPPER(E1739)&amp;REPT(" ",15),15)," ")</f>
        <v/>
      </c>
      <c r="AA1739" s="10">
        <f>REPT(" ",8)</f>
        <v/>
      </c>
      <c r="AB1739" s="10">
        <f>REPT(" ",4)</f>
        <v/>
      </c>
      <c r="AC1739" s="10">
        <f>LEFT(UPPER(H1739)&amp;REPT(" ",250),250)</f>
        <v/>
      </c>
      <c r="AD1739" s="10">
        <f>TEXT($G$2,"dd/mm/aaaa")</f>
        <v/>
      </c>
      <c r="AE1739" s="10">
        <f>REPT(" ",10)</f>
        <v/>
      </c>
      <c r="AF1739" s="10">
        <f>REPT(" ",20)</f>
        <v/>
      </c>
      <c r="AG1739" s="54">
        <f>REPT(" ",18-LEN(FIXED(F1739,2,TRUE)))&amp;FIXED(F1739,2,TRUE)</f>
        <v/>
      </c>
      <c r="AH1739" s="10">
        <f>LEN(AC1739)+LEN(AG1739)</f>
        <v/>
      </c>
      <c r="AI1739" s="10">
        <f>LEN(L1739)</f>
        <v/>
      </c>
    </row>
    <row r="1740">
      <c r="J1740" s="12">
        <f>IF(F1740&lt;&gt;0,"LANÇAR","")</f>
        <v/>
      </c>
      <c r="L1740" s="13">
        <f>N1740&amp;O1740&amp;P1740&amp;Q1740&amp;R1740&amp;S1740&amp;T1740&amp;U1740&amp;V1740&amp;W1740&amp;X1740&amp;Y1740&amp;Z1740&amp;AA1740&amp;AB1740&amp;AC1740&amp;AD1740&amp;AE1740&amp;AF1740&amp;AG1740</f>
        <v/>
      </c>
      <c r="N1740" s="10">
        <f>TEXT($B$6,"00")</f>
        <v/>
      </c>
      <c r="O1740" s="10">
        <f>REPT(" ",8)</f>
        <v/>
      </c>
      <c r="P1740" s="10">
        <f>RIGHT($B$4,2)</f>
        <v/>
      </c>
      <c r="Q1740" s="10">
        <f>RIGHT($B$5,3)</f>
        <v/>
      </c>
      <c r="R1740" s="10">
        <f>IF(A1740="D",LEFT(UPPER(B1740)&amp;REPT(" ",20),20),REPT(" ",20))</f>
        <v/>
      </c>
      <c r="S1740" s="10">
        <f>IF(A1740="D",LEFT(UPPER(C1740)&amp;REPT(" ",10),10)," ")</f>
        <v/>
      </c>
      <c r="T1740" s="10">
        <f>IF(A1740="D",LEFT(UPPER(D1740)&amp;REPT(" ",2),2)," ")</f>
        <v/>
      </c>
      <c r="U1740" s="10">
        <f>IF(A1740="D",LEFT(UPPER(E1740)&amp;REPT(" ",15),15)," ")</f>
        <v/>
      </c>
      <c r="V1740" s="10">
        <f>REPT(" ",24)</f>
        <v/>
      </c>
      <c r="W1740" s="10">
        <f>IF(A1740="c",LEFT(UPPER(B1740)&amp;REPT(" ",20),20),REPT(" ",20))</f>
        <v/>
      </c>
      <c r="X1740" s="10">
        <f>IF(A1740="C",LEFT(UPPER(C1740)&amp;REPT(" ",10),10)," ")</f>
        <v/>
      </c>
      <c r="Y1740" s="10">
        <f>IF(A1740="C",LEFT(UPPER(D1740)&amp;REPT(" ",2),2)," ")</f>
        <v/>
      </c>
      <c r="Z1740" s="10">
        <f>IF(A1740="C",LEFT(UPPER(E1740)&amp;REPT(" ",15),15)," ")</f>
        <v/>
      </c>
      <c r="AA1740" s="10">
        <f>REPT(" ",8)</f>
        <v/>
      </c>
      <c r="AB1740" s="10">
        <f>REPT(" ",4)</f>
        <v/>
      </c>
      <c r="AC1740" s="10">
        <f>LEFT(UPPER(H1740)&amp;REPT(" ",250),250)</f>
        <v/>
      </c>
      <c r="AD1740" s="10">
        <f>TEXT($G$2,"dd/mm/aaaa")</f>
        <v/>
      </c>
      <c r="AE1740" s="10">
        <f>REPT(" ",10)</f>
        <v/>
      </c>
      <c r="AF1740" s="10">
        <f>REPT(" ",20)</f>
        <v/>
      </c>
      <c r="AG1740" s="54">
        <f>REPT(" ",18-LEN(FIXED(F1740,2,TRUE)))&amp;FIXED(F1740,2,TRUE)</f>
        <v/>
      </c>
      <c r="AH1740" s="10">
        <f>LEN(AC1740)+LEN(AG1740)</f>
        <v/>
      </c>
      <c r="AI1740" s="10">
        <f>LEN(L1740)</f>
        <v/>
      </c>
    </row>
    <row r="1741">
      <c r="J1741" s="12">
        <f>IF(F1741&lt;&gt;0,"LANÇAR","")</f>
        <v/>
      </c>
      <c r="L1741" s="13">
        <f>N1741&amp;O1741&amp;P1741&amp;Q1741&amp;R1741&amp;S1741&amp;T1741&amp;U1741&amp;V1741&amp;W1741&amp;X1741&amp;Y1741&amp;Z1741&amp;AA1741&amp;AB1741&amp;AC1741&amp;AD1741&amp;AE1741&amp;AF1741&amp;AG1741</f>
        <v/>
      </c>
      <c r="N1741" s="10">
        <f>TEXT($B$6,"00")</f>
        <v/>
      </c>
      <c r="O1741" s="10">
        <f>REPT(" ",8)</f>
        <v/>
      </c>
      <c r="P1741" s="10">
        <f>RIGHT($B$4,2)</f>
        <v/>
      </c>
      <c r="Q1741" s="10">
        <f>RIGHT($B$5,3)</f>
        <v/>
      </c>
      <c r="R1741" s="10">
        <f>IF(A1741="D",LEFT(UPPER(B1741)&amp;REPT(" ",20),20),REPT(" ",20))</f>
        <v/>
      </c>
      <c r="S1741" s="10">
        <f>IF(A1741="D",LEFT(UPPER(C1741)&amp;REPT(" ",10),10)," ")</f>
        <v/>
      </c>
      <c r="T1741" s="10">
        <f>IF(A1741="D",LEFT(UPPER(D1741)&amp;REPT(" ",2),2)," ")</f>
        <v/>
      </c>
      <c r="U1741" s="10">
        <f>IF(A1741="D",LEFT(UPPER(E1741)&amp;REPT(" ",15),15)," ")</f>
        <v/>
      </c>
      <c r="V1741" s="10">
        <f>REPT(" ",24)</f>
        <v/>
      </c>
      <c r="W1741" s="10">
        <f>IF(A1741="c",LEFT(UPPER(B1741)&amp;REPT(" ",20),20),REPT(" ",20))</f>
        <v/>
      </c>
      <c r="X1741" s="10">
        <f>IF(A1741="C",LEFT(UPPER(C1741)&amp;REPT(" ",10),10)," ")</f>
        <v/>
      </c>
      <c r="Y1741" s="10">
        <f>IF(A1741="C",LEFT(UPPER(D1741)&amp;REPT(" ",2),2)," ")</f>
        <v/>
      </c>
      <c r="Z1741" s="10">
        <f>IF(A1741="C",LEFT(UPPER(E1741)&amp;REPT(" ",15),15)," ")</f>
        <v/>
      </c>
      <c r="AA1741" s="10">
        <f>REPT(" ",8)</f>
        <v/>
      </c>
      <c r="AB1741" s="10">
        <f>REPT(" ",4)</f>
        <v/>
      </c>
      <c r="AC1741" s="10">
        <f>LEFT(UPPER(H1741)&amp;REPT(" ",250),250)</f>
        <v/>
      </c>
      <c r="AD1741" s="10">
        <f>TEXT($G$2,"dd/mm/aaaa")</f>
        <v/>
      </c>
      <c r="AE1741" s="10">
        <f>REPT(" ",10)</f>
        <v/>
      </c>
      <c r="AF1741" s="10">
        <f>REPT(" ",20)</f>
        <v/>
      </c>
      <c r="AG1741" s="54">
        <f>REPT(" ",18-LEN(FIXED(F1741,2,TRUE)))&amp;FIXED(F1741,2,TRUE)</f>
        <v/>
      </c>
      <c r="AH1741" s="10">
        <f>LEN(AC1741)+LEN(AG1741)</f>
        <v/>
      </c>
      <c r="AI1741" s="10">
        <f>LEN(L1741)</f>
        <v/>
      </c>
    </row>
    <row r="1742">
      <c r="J1742" s="12">
        <f>IF(F1742&lt;&gt;0,"LANÇAR","")</f>
        <v/>
      </c>
      <c r="L1742" s="13">
        <f>N1742&amp;O1742&amp;P1742&amp;Q1742&amp;R1742&amp;S1742&amp;T1742&amp;U1742&amp;V1742&amp;W1742&amp;X1742&amp;Y1742&amp;Z1742&amp;AA1742&amp;AB1742&amp;AC1742&amp;AD1742&amp;AE1742&amp;AF1742&amp;AG1742</f>
        <v/>
      </c>
      <c r="N1742" s="10">
        <f>TEXT($B$6,"00")</f>
        <v/>
      </c>
      <c r="O1742" s="10">
        <f>REPT(" ",8)</f>
        <v/>
      </c>
      <c r="P1742" s="10">
        <f>RIGHT($B$4,2)</f>
        <v/>
      </c>
      <c r="Q1742" s="10">
        <f>RIGHT($B$5,3)</f>
        <v/>
      </c>
      <c r="R1742" s="10">
        <f>IF(A1742="D",LEFT(UPPER(B1742)&amp;REPT(" ",20),20),REPT(" ",20))</f>
        <v/>
      </c>
      <c r="S1742" s="10">
        <f>IF(A1742="D",LEFT(UPPER(C1742)&amp;REPT(" ",10),10)," ")</f>
        <v/>
      </c>
      <c r="T1742" s="10">
        <f>IF(A1742="D",LEFT(UPPER(D1742)&amp;REPT(" ",2),2)," ")</f>
        <v/>
      </c>
      <c r="U1742" s="10">
        <f>IF(A1742="D",LEFT(UPPER(E1742)&amp;REPT(" ",15),15)," ")</f>
        <v/>
      </c>
      <c r="V1742" s="10">
        <f>REPT(" ",24)</f>
        <v/>
      </c>
      <c r="W1742" s="10">
        <f>IF(A1742="c",LEFT(UPPER(B1742)&amp;REPT(" ",20),20),REPT(" ",20))</f>
        <v/>
      </c>
      <c r="X1742" s="10">
        <f>IF(A1742="C",LEFT(UPPER(C1742)&amp;REPT(" ",10),10)," ")</f>
        <v/>
      </c>
      <c r="Y1742" s="10">
        <f>IF(A1742="C",LEFT(UPPER(D1742)&amp;REPT(" ",2),2)," ")</f>
        <v/>
      </c>
      <c r="Z1742" s="10">
        <f>IF(A1742="C",LEFT(UPPER(E1742)&amp;REPT(" ",15),15)," ")</f>
        <v/>
      </c>
      <c r="AA1742" s="10">
        <f>REPT(" ",8)</f>
        <v/>
      </c>
      <c r="AB1742" s="10">
        <f>REPT(" ",4)</f>
        <v/>
      </c>
      <c r="AC1742" s="10">
        <f>LEFT(UPPER(H1742)&amp;REPT(" ",250),250)</f>
        <v/>
      </c>
      <c r="AD1742" s="10">
        <f>TEXT($G$2,"dd/mm/aaaa")</f>
        <v/>
      </c>
      <c r="AE1742" s="10">
        <f>REPT(" ",10)</f>
        <v/>
      </c>
      <c r="AF1742" s="10">
        <f>REPT(" ",20)</f>
        <v/>
      </c>
      <c r="AG1742" s="54">
        <f>REPT(" ",18-LEN(FIXED(F1742,2,TRUE)))&amp;FIXED(F1742,2,TRUE)</f>
        <v/>
      </c>
      <c r="AH1742" s="10">
        <f>LEN(AC1742)+LEN(AG1742)</f>
        <v/>
      </c>
      <c r="AI1742" s="10">
        <f>LEN(L1742)</f>
        <v/>
      </c>
    </row>
    <row r="1743">
      <c r="J1743" s="12">
        <f>IF(F1743&lt;&gt;0,"LANÇAR","")</f>
        <v/>
      </c>
      <c r="L1743" s="13">
        <f>N1743&amp;O1743&amp;P1743&amp;Q1743&amp;R1743&amp;S1743&amp;T1743&amp;U1743&amp;V1743&amp;W1743&amp;X1743&amp;Y1743&amp;Z1743&amp;AA1743&amp;AB1743&amp;AC1743&amp;AD1743&amp;AE1743&amp;AF1743&amp;AG1743</f>
        <v/>
      </c>
      <c r="N1743" s="10">
        <f>TEXT($B$6,"00")</f>
        <v/>
      </c>
      <c r="O1743" s="10">
        <f>REPT(" ",8)</f>
        <v/>
      </c>
      <c r="P1743" s="10">
        <f>RIGHT($B$4,2)</f>
        <v/>
      </c>
      <c r="Q1743" s="10">
        <f>RIGHT($B$5,3)</f>
        <v/>
      </c>
      <c r="R1743" s="10">
        <f>IF(A1743="D",LEFT(UPPER(B1743)&amp;REPT(" ",20),20),REPT(" ",20))</f>
        <v/>
      </c>
      <c r="S1743" s="10">
        <f>IF(A1743="D",LEFT(UPPER(C1743)&amp;REPT(" ",10),10)," ")</f>
        <v/>
      </c>
      <c r="T1743" s="10">
        <f>IF(A1743="D",LEFT(UPPER(D1743)&amp;REPT(" ",2),2)," ")</f>
        <v/>
      </c>
      <c r="U1743" s="10">
        <f>IF(A1743="D",LEFT(UPPER(E1743)&amp;REPT(" ",15),15)," ")</f>
        <v/>
      </c>
      <c r="V1743" s="10">
        <f>REPT(" ",24)</f>
        <v/>
      </c>
      <c r="W1743" s="10">
        <f>IF(A1743="c",LEFT(UPPER(B1743)&amp;REPT(" ",20),20),REPT(" ",20))</f>
        <v/>
      </c>
      <c r="X1743" s="10">
        <f>IF(A1743="C",LEFT(UPPER(C1743)&amp;REPT(" ",10),10)," ")</f>
        <v/>
      </c>
      <c r="Y1743" s="10">
        <f>IF(A1743="C",LEFT(UPPER(D1743)&amp;REPT(" ",2),2)," ")</f>
        <v/>
      </c>
      <c r="Z1743" s="10">
        <f>IF(A1743="C",LEFT(UPPER(E1743)&amp;REPT(" ",15),15)," ")</f>
        <v/>
      </c>
      <c r="AA1743" s="10">
        <f>REPT(" ",8)</f>
        <v/>
      </c>
      <c r="AB1743" s="10">
        <f>REPT(" ",4)</f>
        <v/>
      </c>
      <c r="AC1743" s="10">
        <f>LEFT(UPPER(H1743)&amp;REPT(" ",250),250)</f>
        <v/>
      </c>
      <c r="AD1743" s="10">
        <f>TEXT($G$2,"dd/mm/aaaa")</f>
        <v/>
      </c>
      <c r="AE1743" s="10">
        <f>REPT(" ",10)</f>
        <v/>
      </c>
      <c r="AF1743" s="10">
        <f>REPT(" ",20)</f>
        <v/>
      </c>
      <c r="AG1743" s="54">
        <f>REPT(" ",18-LEN(FIXED(F1743,2,TRUE)))&amp;FIXED(F1743,2,TRUE)</f>
        <v/>
      </c>
      <c r="AH1743" s="10">
        <f>LEN(AC1743)+LEN(AG1743)</f>
        <v/>
      </c>
      <c r="AI1743" s="10">
        <f>LEN(L1743)</f>
        <v/>
      </c>
    </row>
    <row r="1744">
      <c r="J1744" s="12">
        <f>IF(F1744&lt;&gt;0,"LANÇAR","")</f>
        <v/>
      </c>
      <c r="L1744" s="13">
        <f>N1744&amp;O1744&amp;P1744&amp;Q1744&amp;R1744&amp;S1744&amp;T1744&amp;U1744&amp;V1744&amp;W1744&amp;X1744&amp;Y1744&amp;Z1744&amp;AA1744&amp;AB1744&amp;AC1744&amp;AD1744&amp;AE1744&amp;AF1744&amp;AG1744</f>
        <v/>
      </c>
      <c r="N1744" s="10">
        <f>TEXT($B$6,"00")</f>
        <v/>
      </c>
      <c r="O1744" s="10">
        <f>REPT(" ",8)</f>
        <v/>
      </c>
      <c r="P1744" s="10">
        <f>RIGHT($B$4,2)</f>
        <v/>
      </c>
      <c r="Q1744" s="10">
        <f>RIGHT($B$5,3)</f>
        <v/>
      </c>
      <c r="R1744" s="10">
        <f>IF(A1744="D",LEFT(UPPER(B1744)&amp;REPT(" ",20),20),REPT(" ",20))</f>
        <v/>
      </c>
      <c r="S1744" s="10">
        <f>IF(A1744="D",LEFT(UPPER(C1744)&amp;REPT(" ",10),10)," ")</f>
        <v/>
      </c>
      <c r="T1744" s="10">
        <f>IF(A1744="D",LEFT(UPPER(D1744)&amp;REPT(" ",2),2)," ")</f>
        <v/>
      </c>
      <c r="U1744" s="10">
        <f>IF(A1744="D",LEFT(UPPER(E1744)&amp;REPT(" ",15),15)," ")</f>
        <v/>
      </c>
      <c r="V1744" s="10">
        <f>REPT(" ",24)</f>
        <v/>
      </c>
      <c r="W1744" s="10">
        <f>IF(A1744="c",LEFT(UPPER(B1744)&amp;REPT(" ",20),20),REPT(" ",20))</f>
        <v/>
      </c>
      <c r="X1744" s="10">
        <f>IF(A1744="C",LEFT(UPPER(C1744)&amp;REPT(" ",10),10)," ")</f>
        <v/>
      </c>
      <c r="Y1744" s="10">
        <f>IF(A1744="C",LEFT(UPPER(D1744)&amp;REPT(" ",2),2)," ")</f>
        <v/>
      </c>
      <c r="Z1744" s="10">
        <f>IF(A1744="C",LEFT(UPPER(E1744)&amp;REPT(" ",15),15)," ")</f>
        <v/>
      </c>
      <c r="AA1744" s="10">
        <f>REPT(" ",8)</f>
        <v/>
      </c>
      <c r="AB1744" s="10">
        <f>REPT(" ",4)</f>
        <v/>
      </c>
      <c r="AC1744" s="10">
        <f>LEFT(UPPER(H1744)&amp;REPT(" ",250),250)</f>
        <v/>
      </c>
      <c r="AD1744" s="10">
        <f>TEXT($G$2,"dd/mm/aaaa")</f>
        <v/>
      </c>
      <c r="AE1744" s="10">
        <f>REPT(" ",10)</f>
        <v/>
      </c>
      <c r="AF1744" s="10">
        <f>REPT(" ",20)</f>
        <v/>
      </c>
      <c r="AG1744" s="54">
        <f>REPT(" ",18-LEN(FIXED(F1744,2,TRUE)))&amp;FIXED(F1744,2,TRUE)</f>
        <v/>
      </c>
      <c r="AH1744" s="10">
        <f>LEN(AC1744)+LEN(AG1744)</f>
        <v/>
      </c>
      <c r="AI1744" s="10">
        <f>LEN(L1744)</f>
        <v/>
      </c>
    </row>
    <row r="1745">
      <c r="J1745" s="12">
        <f>IF(F1745&lt;&gt;0,"LANÇAR","")</f>
        <v/>
      </c>
      <c r="L1745" s="13">
        <f>N1745&amp;O1745&amp;P1745&amp;Q1745&amp;R1745&amp;S1745&amp;T1745&amp;U1745&amp;V1745&amp;W1745&amp;X1745&amp;Y1745&amp;Z1745&amp;AA1745&amp;AB1745&amp;AC1745&amp;AD1745&amp;AE1745&amp;AF1745&amp;AG1745</f>
        <v/>
      </c>
      <c r="N1745" s="10">
        <f>TEXT($B$6,"00")</f>
        <v/>
      </c>
      <c r="O1745" s="10">
        <f>REPT(" ",8)</f>
        <v/>
      </c>
      <c r="P1745" s="10">
        <f>RIGHT($B$4,2)</f>
        <v/>
      </c>
      <c r="Q1745" s="10">
        <f>RIGHT($B$5,3)</f>
        <v/>
      </c>
      <c r="R1745" s="10">
        <f>IF(A1745="D",LEFT(UPPER(B1745)&amp;REPT(" ",20),20),REPT(" ",20))</f>
        <v/>
      </c>
      <c r="S1745" s="10">
        <f>IF(A1745="D",LEFT(UPPER(C1745)&amp;REPT(" ",10),10)," ")</f>
        <v/>
      </c>
      <c r="T1745" s="10">
        <f>IF(A1745="D",LEFT(UPPER(D1745)&amp;REPT(" ",2),2)," ")</f>
        <v/>
      </c>
      <c r="U1745" s="10">
        <f>IF(A1745="D",LEFT(UPPER(E1745)&amp;REPT(" ",15),15)," ")</f>
        <v/>
      </c>
      <c r="V1745" s="10">
        <f>REPT(" ",24)</f>
        <v/>
      </c>
      <c r="W1745" s="10">
        <f>IF(A1745="c",LEFT(UPPER(B1745)&amp;REPT(" ",20),20),REPT(" ",20))</f>
        <v/>
      </c>
      <c r="X1745" s="10">
        <f>IF(A1745="C",LEFT(UPPER(C1745)&amp;REPT(" ",10),10)," ")</f>
        <v/>
      </c>
      <c r="Y1745" s="10">
        <f>IF(A1745="C",LEFT(UPPER(D1745)&amp;REPT(" ",2),2)," ")</f>
        <v/>
      </c>
      <c r="Z1745" s="10">
        <f>IF(A1745="C",LEFT(UPPER(E1745)&amp;REPT(" ",15),15)," ")</f>
        <v/>
      </c>
      <c r="AA1745" s="10">
        <f>REPT(" ",8)</f>
        <v/>
      </c>
      <c r="AB1745" s="10">
        <f>REPT(" ",4)</f>
        <v/>
      </c>
      <c r="AC1745" s="10">
        <f>LEFT(UPPER(H1745)&amp;REPT(" ",250),250)</f>
        <v/>
      </c>
      <c r="AD1745" s="10">
        <f>TEXT($G$2,"dd/mm/aaaa")</f>
        <v/>
      </c>
      <c r="AE1745" s="10">
        <f>REPT(" ",10)</f>
        <v/>
      </c>
      <c r="AF1745" s="10">
        <f>REPT(" ",20)</f>
        <v/>
      </c>
      <c r="AG1745" s="54">
        <f>REPT(" ",18-LEN(FIXED(F1745,2,TRUE)))&amp;FIXED(F1745,2,TRUE)</f>
        <v/>
      </c>
      <c r="AH1745" s="10">
        <f>LEN(AC1745)+LEN(AG1745)</f>
        <v/>
      </c>
      <c r="AI1745" s="10">
        <f>LEN(L1745)</f>
        <v/>
      </c>
    </row>
    <row r="1746">
      <c r="J1746" s="12">
        <f>IF(F1746&lt;&gt;0,"LANÇAR","")</f>
        <v/>
      </c>
      <c r="L1746" s="13">
        <f>N1746&amp;O1746&amp;P1746&amp;Q1746&amp;R1746&amp;S1746&amp;T1746&amp;U1746&amp;V1746&amp;W1746&amp;X1746&amp;Y1746&amp;Z1746&amp;AA1746&amp;AB1746&amp;AC1746&amp;AD1746&amp;AE1746&amp;AF1746&amp;AG1746</f>
        <v/>
      </c>
      <c r="N1746" s="10">
        <f>TEXT($B$6,"00")</f>
        <v/>
      </c>
      <c r="O1746" s="10">
        <f>REPT(" ",8)</f>
        <v/>
      </c>
      <c r="P1746" s="10">
        <f>RIGHT($B$4,2)</f>
        <v/>
      </c>
      <c r="Q1746" s="10">
        <f>RIGHT($B$5,3)</f>
        <v/>
      </c>
      <c r="R1746" s="10">
        <f>IF(A1746="D",LEFT(UPPER(B1746)&amp;REPT(" ",20),20),REPT(" ",20))</f>
        <v/>
      </c>
      <c r="S1746" s="10">
        <f>IF(A1746="D",LEFT(UPPER(C1746)&amp;REPT(" ",10),10)," ")</f>
        <v/>
      </c>
      <c r="T1746" s="10">
        <f>IF(A1746="D",LEFT(UPPER(D1746)&amp;REPT(" ",2),2)," ")</f>
        <v/>
      </c>
      <c r="U1746" s="10">
        <f>IF(A1746="D",LEFT(UPPER(E1746)&amp;REPT(" ",15),15)," ")</f>
        <v/>
      </c>
      <c r="V1746" s="10">
        <f>REPT(" ",24)</f>
        <v/>
      </c>
      <c r="W1746" s="10">
        <f>IF(A1746="c",LEFT(UPPER(B1746)&amp;REPT(" ",20),20),REPT(" ",20))</f>
        <v/>
      </c>
      <c r="X1746" s="10">
        <f>IF(A1746="C",LEFT(UPPER(C1746)&amp;REPT(" ",10),10)," ")</f>
        <v/>
      </c>
      <c r="Y1746" s="10">
        <f>IF(A1746="C",LEFT(UPPER(D1746)&amp;REPT(" ",2),2)," ")</f>
        <v/>
      </c>
      <c r="Z1746" s="10">
        <f>IF(A1746="C",LEFT(UPPER(E1746)&amp;REPT(" ",15),15)," ")</f>
        <v/>
      </c>
      <c r="AA1746" s="10">
        <f>REPT(" ",8)</f>
        <v/>
      </c>
      <c r="AB1746" s="10">
        <f>REPT(" ",4)</f>
        <v/>
      </c>
      <c r="AC1746" s="10">
        <f>LEFT(UPPER(H1746)&amp;REPT(" ",250),250)</f>
        <v/>
      </c>
      <c r="AD1746" s="10">
        <f>TEXT($G$2,"dd/mm/aaaa")</f>
        <v/>
      </c>
      <c r="AE1746" s="10">
        <f>REPT(" ",10)</f>
        <v/>
      </c>
      <c r="AF1746" s="10">
        <f>REPT(" ",20)</f>
        <v/>
      </c>
      <c r="AG1746" s="54">
        <f>REPT(" ",18-LEN(FIXED(F1746,2,TRUE)))&amp;FIXED(F1746,2,TRUE)</f>
        <v/>
      </c>
      <c r="AH1746" s="10">
        <f>LEN(AC1746)+LEN(AG1746)</f>
        <v/>
      </c>
      <c r="AI1746" s="10">
        <f>LEN(L1746)</f>
        <v/>
      </c>
    </row>
    <row r="1747">
      <c r="J1747" s="12">
        <f>IF(F1747&lt;&gt;0,"LANÇAR","")</f>
        <v/>
      </c>
      <c r="L1747" s="13">
        <f>N1747&amp;O1747&amp;P1747&amp;Q1747&amp;R1747&amp;S1747&amp;T1747&amp;U1747&amp;V1747&amp;W1747&amp;X1747&amp;Y1747&amp;Z1747&amp;AA1747&amp;AB1747&amp;AC1747&amp;AD1747&amp;AE1747&amp;AF1747&amp;AG1747</f>
        <v/>
      </c>
      <c r="N1747" s="10">
        <f>TEXT($B$6,"00")</f>
        <v/>
      </c>
      <c r="O1747" s="10">
        <f>REPT(" ",8)</f>
        <v/>
      </c>
      <c r="P1747" s="10">
        <f>RIGHT($B$4,2)</f>
        <v/>
      </c>
      <c r="Q1747" s="10">
        <f>RIGHT($B$5,3)</f>
        <v/>
      </c>
      <c r="R1747" s="10">
        <f>IF(A1747="D",LEFT(UPPER(B1747)&amp;REPT(" ",20),20),REPT(" ",20))</f>
        <v/>
      </c>
      <c r="S1747" s="10">
        <f>IF(A1747="D",LEFT(UPPER(C1747)&amp;REPT(" ",10),10)," ")</f>
        <v/>
      </c>
      <c r="T1747" s="10">
        <f>IF(A1747="D",LEFT(UPPER(D1747)&amp;REPT(" ",2),2)," ")</f>
        <v/>
      </c>
      <c r="U1747" s="10">
        <f>IF(A1747="D",LEFT(UPPER(E1747)&amp;REPT(" ",15),15)," ")</f>
        <v/>
      </c>
      <c r="V1747" s="10">
        <f>REPT(" ",24)</f>
        <v/>
      </c>
      <c r="W1747" s="10">
        <f>IF(A1747="c",LEFT(UPPER(B1747)&amp;REPT(" ",20),20),REPT(" ",20))</f>
        <v/>
      </c>
      <c r="X1747" s="10">
        <f>IF(A1747="C",LEFT(UPPER(C1747)&amp;REPT(" ",10),10)," ")</f>
        <v/>
      </c>
      <c r="Y1747" s="10">
        <f>IF(A1747="C",LEFT(UPPER(D1747)&amp;REPT(" ",2),2)," ")</f>
        <v/>
      </c>
      <c r="Z1747" s="10">
        <f>IF(A1747="C",LEFT(UPPER(E1747)&amp;REPT(" ",15),15)," ")</f>
        <v/>
      </c>
      <c r="AA1747" s="10">
        <f>REPT(" ",8)</f>
        <v/>
      </c>
      <c r="AB1747" s="10">
        <f>REPT(" ",4)</f>
        <v/>
      </c>
      <c r="AC1747" s="10">
        <f>LEFT(UPPER(H1747)&amp;REPT(" ",250),250)</f>
        <v/>
      </c>
      <c r="AD1747" s="10">
        <f>TEXT($G$2,"dd/mm/aaaa")</f>
        <v/>
      </c>
      <c r="AE1747" s="10">
        <f>REPT(" ",10)</f>
        <v/>
      </c>
      <c r="AF1747" s="10">
        <f>REPT(" ",20)</f>
        <v/>
      </c>
      <c r="AG1747" s="54">
        <f>REPT(" ",18-LEN(FIXED(F1747,2,TRUE)))&amp;FIXED(F1747,2,TRUE)</f>
        <v/>
      </c>
      <c r="AH1747" s="10">
        <f>LEN(AC1747)+LEN(AG1747)</f>
        <v/>
      </c>
      <c r="AI1747" s="10">
        <f>LEN(L1747)</f>
        <v/>
      </c>
    </row>
    <row r="1748">
      <c r="J1748" s="12">
        <f>IF(F1748&lt;&gt;0,"LANÇAR","")</f>
        <v/>
      </c>
      <c r="L1748" s="13">
        <f>N1748&amp;O1748&amp;P1748&amp;Q1748&amp;R1748&amp;S1748&amp;T1748&amp;U1748&amp;V1748&amp;W1748&amp;X1748&amp;Y1748&amp;Z1748&amp;AA1748&amp;AB1748&amp;AC1748&amp;AD1748&amp;AE1748&amp;AF1748&amp;AG1748</f>
        <v/>
      </c>
      <c r="N1748" s="10">
        <f>TEXT($B$6,"00")</f>
        <v/>
      </c>
      <c r="O1748" s="10">
        <f>REPT(" ",8)</f>
        <v/>
      </c>
      <c r="P1748" s="10">
        <f>RIGHT($B$4,2)</f>
        <v/>
      </c>
      <c r="Q1748" s="10">
        <f>RIGHT($B$5,3)</f>
        <v/>
      </c>
      <c r="R1748" s="10">
        <f>IF(A1748="D",LEFT(UPPER(B1748)&amp;REPT(" ",20),20),REPT(" ",20))</f>
        <v/>
      </c>
      <c r="S1748" s="10">
        <f>IF(A1748="D",LEFT(UPPER(C1748)&amp;REPT(" ",10),10)," ")</f>
        <v/>
      </c>
      <c r="T1748" s="10">
        <f>IF(A1748="D",LEFT(UPPER(D1748)&amp;REPT(" ",2),2)," ")</f>
        <v/>
      </c>
      <c r="U1748" s="10">
        <f>IF(A1748="D",LEFT(UPPER(E1748)&amp;REPT(" ",15),15)," ")</f>
        <v/>
      </c>
      <c r="V1748" s="10">
        <f>REPT(" ",24)</f>
        <v/>
      </c>
      <c r="W1748" s="10">
        <f>IF(A1748="c",LEFT(UPPER(B1748)&amp;REPT(" ",20),20),REPT(" ",20))</f>
        <v/>
      </c>
      <c r="X1748" s="10">
        <f>IF(A1748="C",LEFT(UPPER(C1748)&amp;REPT(" ",10),10)," ")</f>
        <v/>
      </c>
      <c r="Y1748" s="10">
        <f>IF(A1748="C",LEFT(UPPER(D1748)&amp;REPT(" ",2),2)," ")</f>
        <v/>
      </c>
      <c r="Z1748" s="10">
        <f>IF(A1748="C",LEFT(UPPER(E1748)&amp;REPT(" ",15),15)," ")</f>
        <v/>
      </c>
      <c r="AA1748" s="10">
        <f>REPT(" ",8)</f>
        <v/>
      </c>
      <c r="AB1748" s="10">
        <f>REPT(" ",4)</f>
        <v/>
      </c>
      <c r="AC1748" s="10">
        <f>LEFT(UPPER(H1748)&amp;REPT(" ",250),250)</f>
        <v/>
      </c>
      <c r="AD1748" s="10">
        <f>TEXT($G$2,"dd/mm/aaaa")</f>
        <v/>
      </c>
      <c r="AE1748" s="10">
        <f>REPT(" ",10)</f>
        <v/>
      </c>
      <c r="AF1748" s="10">
        <f>REPT(" ",20)</f>
        <v/>
      </c>
      <c r="AG1748" s="54">
        <f>REPT(" ",18-LEN(FIXED(F1748,2,TRUE)))&amp;FIXED(F1748,2,TRUE)</f>
        <v/>
      </c>
      <c r="AH1748" s="10">
        <f>LEN(AC1748)+LEN(AG1748)</f>
        <v/>
      </c>
      <c r="AI1748" s="10">
        <f>LEN(L1748)</f>
        <v/>
      </c>
    </row>
    <row r="1749">
      <c r="J1749" s="12">
        <f>IF(F1749&lt;&gt;0,"LANÇAR","")</f>
        <v/>
      </c>
      <c r="L1749" s="13">
        <f>N1749&amp;O1749&amp;P1749&amp;Q1749&amp;R1749&amp;S1749&amp;T1749&amp;U1749&amp;V1749&amp;W1749&amp;X1749&amp;Y1749&amp;Z1749&amp;AA1749&amp;AB1749&amp;AC1749&amp;AD1749&amp;AE1749&amp;AF1749&amp;AG1749</f>
        <v/>
      </c>
      <c r="N1749" s="10">
        <f>TEXT($B$6,"00")</f>
        <v/>
      </c>
      <c r="O1749" s="10">
        <f>REPT(" ",8)</f>
        <v/>
      </c>
      <c r="P1749" s="10">
        <f>RIGHT($B$4,2)</f>
        <v/>
      </c>
      <c r="Q1749" s="10">
        <f>RIGHT($B$5,3)</f>
        <v/>
      </c>
      <c r="R1749" s="10">
        <f>IF(A1749="D",LEFT(UPPER(B1749)&amp;REPT(" ",20),20),REPT(" ",20))</f>
        <v/>
      </c>
      <c r="S1749" s="10">
        <f>IF(A1749="D",LEFT(UPPER(C1749)&amp;REPT(" ",10),10)," ")</f>
        <v/>
      </c>
      <c r="T1749" s="10">
        <f>IF(A1749="D",LEFT(UPPER(D1749)&amp;REPT(" ",2),2)," ")</f>
        <v/>
      </c>
      <c r="U1749" s="10">
        <f>IF(A1749="D",LEFT(UPPER(E1749)&amp;REPT(" ",15),15)," ")</f>
        <v/>
      </c>
      <c r="V1749" s="10">
        <f>REPT(" ",24)</f>
        <v/>
      </c>
      <c r="W1749" s="10">
        <f>IF(A1749="c",LEFT(UPPER(B1749)&amp;REPT(" ",20),20),REPT(" ",20))</f>
        <v/>
      </c>
      <c r="X1749" s="10">
        <f>IF(A1749="C",LEFT(UPPER(C1749)&amp;REPT(" ",10),10)," ")</f>
        <v/>
      </c>
      <c r="Y1749" s="10">
        <f>IF(A1749="C",LEFT(UPPER(D1749)&amp;REPT(" ",2),2)," ")</f>
        <v/>
      </c>
      <c r="Z1749" s="10">
        <f>IF(A1749="C",LEFT(UPPER(E1749)&amp;REPT(" ",15),15)," ")</f>
        <v/>
      </c>
      <c r="AA1749" s="10">
        <f>REPT(" ",8)</f>
        <v/>
      </c>
      <c r="AB1749" s="10">
        <f>REPT(" ",4)</f>
        <v/>
      </c>
      <c r="AC1749" s="10">
        <f>LEFT(UPPER(H1749)&amp;REPT(" ",250),250)</f>
        <v/>
      </c>
      <c r="AD1749" s="10">
        <f>TEXT($G$2,"dd/mm/aaaa")</f>
        <v/>
      </c>
      <c r="AE1749" s="10">
        <f>REPT(" ",10)</f>
        <v/>
      </c>
      <c r="AF1749" s="10">
        <f>REPT(" ",20)</f>
        <v/>
      </c>
      <c r="AG1749" s="54">
        <f>REPT(" ",18-LEN(FIXED(F1749,2,TRUE)))&amp;FIXED(F1749,2,TRUE)</f>
        <v/>
      </c>
      <c r="AH1749" s="10">
        <f>LEN(AC1749)+LEN(AG1749)</f>
        <v/>
      </c>
      <c r="AI1749" s="10">
        <f>LEN(L1749)</f>
        <v/>
      </c>
    </row>
    <row r="1750">
      <c r="J1750" s="12">
        <f>IF(F1750&lt;&gt;0,"LANÇAR","")</f>
        <v/>
      </c>
      <c r="L1750" s="13">
        <f>N1750&amp;O1750&amp;P1750&amp;Q1750&amp;R1750&amp;S1750&amp;T1750&amp;U1750&amp;V1750&amp;W1750&amp;X1750&amp;Y1750&amp;Z1750&amp;AA1750&amp;AB1750&amp;AC1750&amp;AD1750&amp;AE1750&amp;AF1750&amp;AG1750</f>
        <v/>
      </c>
      <c r="N1750" s="10">
        <f>TEXT($B$6,"00")</f>
        <v/>
      </c>
      <c r="O1750" s="10">
        <f>REPT(" ",8)</f>
        <v/>
      </c>
      <c r="P1750" s="10">
        <f>RIGHT($B$4,2)</f>
        <v/>
      </c>
      <c r="Q1750" s="10">
        <f>RIGHT($B$5,3)</f>
        <v/>
      </c>
      <c r="R1750" s="10">
        <f>IF(A1750="D",LEFT(UPPER(B1750)&amp;REPT(" ",20),20),REPT(" ",20))</f>
        <v/>
      </c>
      <c r="S1750" s="10">
        <f>IF(A1750="D",LEFT(UPPER(C1750)&amp;REPT(" ",10),10)," ")</f>
        <v/>
      </c>
      <c r="T1750" s="10">
        <f>IF(A1750="D",LEFT(UPPER(D1750)&amp;REPT(" ",2),2)," ")</f>
        <v/>
      </c>
      <c r="U1750" s="10">
        <f>IF(A1750="D",LEFT(UPPER(E1750)&amp;REPT(" ",15),15)," ")</f>
        <v/>
      </c>
      <c r="V1750" s="10">
        <f>REPT(" ",24)</f>
        <v/>
      </c>
      <c r="W1750" s="10">
        <f>IF(A1750="c",LEFT(UPPER(B1750)&amp;REPT(" ",20),20),REPT(" ",20))</f>
        <v/>
      </c>
      <c r="X1750" s="10">
        <f>IF(A1750="C",LEFT(UPPER(C1750)&amp;REPT(" ",10),10)," ")</f>
        <v/>
      </c>
      <c r="Y1750" s="10">
        <f>IF(A1750="C",LEFT(UPPER(D1750)&amp;REPT(" ",2),2)," ")</f>
        <v/>
      </c>
      <c r="Z1750" s="10">
        <f>IF(A1750="C",LEFT(UPPER(E1750)&amp;REPT(" ",15),15)," ")</f>
        <v/>
      </c>
      <c r="AA1750" s="10">
        <f>REPT(" ",8)</f>
        <v/>
      </c>
      <c r="AB1750" s="10">
        <f>REPT(" ",4)</f>
        <v/>
      </c>
      <c r="AC1750" s="10">
        <f>LEFT(UPPER(H1750)&amp;REPT(" ",250),250)</f>
        <v/>
      </c>
      <c r="AD1750" s="10">
        <f>TEXT($G$2,"dd/mm/aaaa")</f>
        <v/>
      </c>
      <c r="AE1750" s="10">
        <f>REPT(" ",10)</f>
        <v/>
      </c>
      <c r="AF1750" s="10">
        <f>REPT(" ",20)</f>
        <v/>
      </c>
      <c r="AG1750" s="54">
        <f>REPT(" ",18-LEN(FIXED(F1750,2,TRUE)))&amp;FIXED(F1750,2,TRUE)</f>
        <v/>
      </c>
      <c r="AH1750" s="10">
        <f>LEN(AC1750)+LEN(AG1750)</f>
        <v/>
      </c>
      <c r="AI1750" s="10">
        <f>LEN(L1750)</f>
        <v/>
      </c>
    </row>
    <row r="1751">
      <c r="J1751" s="12">
        <f>IF(F1751&lt;&gt;0,"LANÇAR","")</f>
        <v/>
      </c>
      <c r="L1751" s="13">
        <f>N1751&amp;O1751&amp;P1751&amp;Q1751&amp;R1751&amp;S1751&amp;T1751&amp;U1751&amp;V1751&amp;W1751&amp;X1751&amp;Y1751&amp;Z1751&amp;AA1751&amp;AB1751&amp;AC1751&amp;AD1751&amp;AE1751&amp;AF1751&amp;AG1751</f>
        <v/>
      </c>
      <c r="N1751" s="10">
        <f>TEXT($B$6,"00")</f>
        <v/>
      </c>
      <c r="O1751" s="10">
        <f>REPT(" ",8)</f>
        <v/>
      </c>
      <c r="P1751" s="10">
        <f>RIGHT($B$4,2)</f>
        <v/>
      </c>
      <c r="Q1751" s="10">
        <f>RIGHT($B$5,3)</f>
        <v/>
      </c>
      <c r="R1751" s="10">
        <f>IF(A1751="D",LEFT(UPPER(B1751)&amp;REPT(" ",20),20),REPT(" ",20))</f>
        <v/>
      </c>
      <c r="S1751" s="10">
        <f>IF(A1751="D",LEFT(UPPER(C1751)&amp;REPT(" ",10),10)," ")</f>
        <v/>
      </c>
      <c r="T1751" s="10">
        <f>IF(A1751="D",LEFT(UPPER(D1751)&amp;REPT(" ",2),2)," ")</f>
        <v/>
      </c>
      <c r="U1751" s="10">
        <f>IF(A1751="D",LEFT(UPPER(E1751)&amp;REPT(" ",15),15)," ")</f>
        <v/>
      </c>
      <c r="V1751" s="10">
        <f>REPT(" ",24)</f>
        <v/>
      </c>
      <c r="W1751" s="10">
        <f>IF(A1751="c",LEFT(UPPER(B1751)&amp;REPT(" ",20),20),REPT(" ",20))</f>
        <v/>
      </c>
      <c r="X1751" s="10">
        <f>IF(A1751="C",LEFT(UPPER(C1751)&amp;REPT(" ",10),10)," ")</f>
        <v/>
      </c>
      <c r="Y1751" s="10">
        <f>IF(A1751="C",LEFT(UPPER(D1751)&amp;REPT(" ",2),2)," ")</f>
        <v/>
      </c>
      <c r="Z1751" s="10">
        <f>IF(A1751="C",LEFT(UPPER(E1751)&amp;REPT(" ",15),15)," ")</f>
        <v/>
      </c>
      <c r="AA1751" s="10">
        <f>REPT(" ",8)</f>
        <v/>
      </c>
      <c r="AB1751" s="10">
        <f>REPT(" ",4)</f>
        <v/>
      </c>
      <c r="AC1751" s="10">
        <f>LEFT(UPPER(H1751)&amp;REPT(" ",250),250)</f>
        <v/>
      </c>
      <c r="AD1751" s="10">
        <f>TEXT($G$2,"dd/mm/aaaa")</f>
        <v/>
      </c>
      <c r="AE1751" s="10">
        <f>REPT(" ",10)</f>
        <v/>
      </c>
      <c r="AF1751" s="10">
        <f>REPT(" ",20)</f>
        <v/>
      </c>
      <c r="AG1751" s="54">
        <f>REPT(" ",18-LEN(FIXED(F1751,2,TRUE)))&amp;FIXED(F1751,2,TRUE)</f>
        <v/>
      </c>
      <c r="AH1751" s="10">
        <f>LEN(AC1751)+LEN(AG1751)</f>
        <v/>
      </c>
      <c r="AI1751" s="10">
        <f>LEN(L1751)</f>
        <v/>
      </c>
    </row>
    <row r="1752">
      <c r="J1752" s="12">
        <f>IF(F1752&lt;&gt;0,"LANÇAR","")</f>
        <v/>
      </c>
      <c r="L1752" s="13">
        <f>N1752&amp;O1752&amp;P1752&amp;Q1752&amp;R1752&amp;S1752&amp;T1752&amp;U1752&amp;V1752&amp;W1752&amp;X1752&amp;Y1752&amp;Z1752&amp;AA1752&amp;AB1752&amp;AC1752&amp;AD1752&amp;AE1752&amp;AF1752&amp;AG1752</f>
        <v/>
      </c>
      <c r="N1752" s="10">
        <f>TEXT($B$6,"00")</f>
        <v/>
      </c>
      <c r="O1752" s="10">
        <f>REPT(" ",8)</f>
        <v/>
      </c>
      <c r="P1752" s="10">
        <f>RIGHT($B$4,2)</f>
        <v/>
      </c>
      <c r="Q1752" s="10">
        <f>RIGHT($B$5,3)</f>
        <v/>
      </c>
      <c r="R1752" s="10">
        <f>IF(A1752="D",LEFT(UPPER(B1752)&amp;REPT(" ",20),20),REPT(" ",20))</f>
        <v/>
      </c>
      <c r="S1752" s="10">
        <f>IF(A1752="D",LEFT(UPPER(C1752)&amp;REPT(" ",10),10)," ")</f>
        <v/>
      </c>
      <c r="T1752" s="10">
        <f>IF(A1752="D",LEFT(UPPER(D1752)&amp;REPT(" ",2),2)," ")</f>
        <v/>
      </c>
      <c r="U1752" s="10">
        <f>IF(A1752="D",LEFT(UPPER(E1752)&amp;REPT(" ",15),15)," ")</f>
        <v/>
      </c>
      <c r="V1752" s="10">
        <f>REPT(" ",24)</f>
        <v/>
      </c>
      <c r="W1752" s="10">
        <f>IF(A1752="c",LEFT(UPPER(B1752)&amp;REPT(" ",20),20),REPT(" ",20))</f>
        <v/>
      </c>
      <c r="X1752" s="10">
        <f>IF(A1752="C",LEFT(UPPER(C1752)&amp;REPT(" ",10),10)," ")</f>
        <v/>
      </c>
      <c r="Y1752" s="10">
        <f>IF(A1752="C",LEFT(UPPER(D1752)&amp;REPT(" ",2),2)," ")</f>
        <v/>
      </c>
      <c r="Z1752" s="10">
        <f>IF(A1752="C",LEFT(UPPER(E1752)&amp;REPT(" ",15),15)," ")</f>
        <v/>
      </c>
      <c r="AA1752" s="10">
        <f>REPT(" ",8)</f>
        <v/>
      </c>
      <c r="AB1752" s="10">
        <f>REPT(" ",4)</f>
        <v/>
      </c>
      <c r="AC1752" s="10">
        <f>LEFT(UPPER(H1752)&amp;REPT(" ",250),250)</f>
        <v/>
      </c>
      <c r="AD1752" s="10">
        <f>TEXT($G$2,"dd/mm/aaaa")</f>
        <v/>
      </c>
      <c r="AE1752" s="10">
        <f>REPT(" ",10)</f>
        <v/>
      </c>
      <c r="AF1752" s="10">
        <f>REPT(" ",20)</f>
        <v/>
      </c>
      <c r="AG1752" s="54">
        <f>REPT(" ",18-LEN(FIXED(F1752,2,TRUE)))&amp;FIXED(F1752,2,TRUE)</f>
        <v/>
      </c>
      <c r="AH1752" s="10">
        <f>LEN(AC1752)+LEN(AG1752)</f>
        <v/>
      </c>
      <c r="AI1752" s="10">
        <f>LEN(L1752)</f>
        <v/>
      </c>
    </row>
    <row r="1753">
      <c r="J1753" s="12">
        <f>IF(F1753&lt;&gt;0,"LANÇAR","")</f>
        <v/>
      </c>
      <c r="L1753" s="13">
        <f>N1753&amp;O1753&amp;P1753&amp;Q1753&amp;R1753&amp;S1753&amp;T1753&amp;U1753&amp;V1753&amp;W1753&amp;X1753&amp;Y1753&amp;Z1753&amp;AA1753&amp;AB1753&amp;AC1753&amp;AD1753&amp;AE1753&amp;AF1753&amp;AG1753</f>
        <v/>
      </c>
      <c r="N1753" s="10">
        <f>TEXT($B$6,"00")</f>
        <v/>
      </c>
      <c r="O1753" s="10">
        <f>REPT(" ",8)</f>
        <v/>
      </c>
      <c r="P1753" s="10">
        <f>RIGHT($B$4,2)</f>
        <v/>
      </c>
      <c r="Q1753" s="10">
        <f>RIGHT($B$5,3)</f>
        <v/>
      </c>
      <c r="R1753" s="10">
        <f>IF(A1753="D",LEFT(UPPER(B1753)&amp;REPT(" ",20),20),REPT(" ",20))</f>
        <v/>
      </c>
      <c r="S1753" s="10">
        <f>IF(A1753="D",LEFT(UPPER(C1753)&amp;REPT(" ",10),10)," ")</f>
        <v/>
      </c>
      <c r="T1753" s="10">
        <f>IF(A1753="D",LEFT(UPPER(D1753)&amp;REPT(" ",2),2)," ")</f>
        <v/>
      </c>
      <c r="U1753" s="10">
        <f>IF(A1753="D",LEFT(UPPER(E1753)&amp;REPT(" ",15),15)," ")</f>
        <v/>
      </c>
      <c r="V1753" s="10">
        <f>REPT(" ",24)</f>
        <v/>
      </c>
      <c r="W1753" s="10">
        <f>IF(A1753="c",LEFT(UPPER(B1753)&amp;REPT(" ",20),20),REPT(" ",20))</f>
        <v/>
      </c>
      <c r="X1753" s="10">
        <f>IF(A1753="C",LEFT(UPPER(C1753)&amp;REPT(" ",10),10)," ")</f>
        <v/>
      </c>
      <c r="Y1753" s="10">
        <f>IF(A1753="C",LEFT(UPPER(D1753)&amp;REPT(" ",2),2)," ")</f>
        <v/>
      </c>
      <c r="Z1753" s="10">
        <f>IF(A1753="C",LEFT(UPPER(E1753)&amp;REPT(" ",15),15)," ")</f>
        <v/>
      </c>
      <c r="AA1753" s="10">
        <f>REPT(" ",8)</f>
        <v/>
      </c>
      <c r="AB1753" s="10">
        <f>REPT(" ",4)</f>
        <v/>
      </c>
      <c r="AC1753" s="10">
        <f>LEFT(UPPER(H1753)&amp;REPT(" ",250),250)</f>
        <v/>
      </c>
      <c r="AD1753" s="10">
        <f>TEXT($G$2,"dd/mm/aaaa")</f>
        <v/>
      </c>
      <c r="AE1753" s="10">
        <f>REPT(" ",10)</f>
        <v/>
      </c>
      <c r="AF1753" s="10">
        <f>REPT(" ",20)</f>
        <v/>
      </c>
      <c r="AG1753" s="54">
        <f>REPT(" ",18-LEN(FIXED(F1753,2,TRUE)))&amp;FIXED(F1753,2,TRUE)</f>
        <v/>
      </c>
      <c r="AH1753" s="10">
        <f>LEN(AC1753)+LEN(AG1753)</f>
        <v/>
      </c>
      <c r="AI1753" s="10">
        <f>LEN(L1753)</f>
        <v/>
      </c>
    </row>
    <row r="1754">
      <c r="J1754" s="12">
        <f>IF(F1754&lt;&gt;0,"LANÇAR","")</f>
        <v/>
      </c>
      <c r="L1754" s="13">
        <f>N1754&amp;O1754&amp;P1754&amp;Q1754&amp;R1754&amp;S1754&amp;T1754&amp;U1754&amp;V1754&amp;W1754&amp;X1754&amp;Y1754&amp;Z1754&amp;AA1754&amp;AB1754&amp;AC1754&amp;AD1754&amp;AE1754&amp;AF1754&amp;AG1754</f>
        <v/>
      </c>
      <c r="N1754" s="10">
        <f>TEXT($B$6,"00")</f>
        <v/>
      </c>
      <c r="O1754" s="10">
        <f>REPT(" ",8)</f>
        <v/>
      </c>
      <c r="P1754" s="10">
        <f>RIGHT($B$4,2)</f>
        <v/>
      </c>
      <c r="Q1754" s="10">
        <f>RIGHT($B$5,3)</f>
        <v/>
      </c>
      <c r="R1754" s="10">
        <f>IF(A1754="D",LEFT(UPPER(B1754)&amp;REPT(" ",20),20),REPT(" ",20))</f>
        <v/>
      </c>
      <c r="S1754" s="10">
        <f>IF(A1754="D",LEFT(UPPER(C1754)&amp;REPT(" ",10),10)," ")</f>
        <v/>
      </c>
      <c r="T1754" s="10">
        <f>IF(A1754="D",LEFT(UPPER(D1754)&amp;REPT(" ",2),2)," ")</f>
        <v/>
      </c>
      <c r="U1754" s="10">
        <f>IF(A1754="D",LEFT(UPPER(E1754)&amp;REPT(" ",15),15)," ")</f>
        <v/>
      </c>
      <c r="V1754" s="10">
        <f>REPT(" ",24)</f>
        <v/>
      </c>
      <c r="W1754" s="10">
        <f>IF(A1754="c",LEFT(UPPER(B1754)&amp;REPT(" ",20),20),REPT(" ",20))</f>
        <v/>
      </c>
      <c r="X1754" s="10">
        <f>IF(A1754="C",LEFT(UPPER(C1754)&amp;REPT(" ",10),10)," ")</f>
        <v/>
      </c>
      <c r="Y1754" s="10">
        <f>IF(A1754="C",LEFT(UPPER(D1754)&amp;REPT(" ",2),2)," ")</f>
        <v/>
      </c>
      <c r="Z1754" s="10">
        <f>IF(A1754="C",LEFT(UPPER(E1754)&amp;REPT(" ",15),15)," ")</f>
        <v/>
      </c>
      <c r="AA1754" s="10">
        <f>REPT(" ",8)</f>
        <v/>
      </c>
      <c r="AB1754" s="10">
        <f>REPT(" ",4)</f>
        <v/>
      </c>
      <c r="AC1754" s="10">
        <f>LEFT(UPPER(H1754)&amp;REPT(" ",250),250)</f>
        <v/>
      </c>
      <c r="AD1754" s="10">
        <f>TEXT($G$2,"dd/mm/aaaa")</f>
        <v/>
      </c>
      <c r="AE1754" s="10">
        <f>REPT(" ",10)</f>
        <v/>
      </c>
      <c r="AF1754" s="10">
        <f>REPT(" ",20)</f>
        <v/>
      </c>
      <c r="AG1754" s="54">
        <f>REPT(" ",18-LEN(FIXED(F1754,2,TRUE)))&amp;FIXED(F1754,2,TRUE)</f>
        <v/>
      </c>
      <c r="AH1754" s="10">
        <f>LEN(AC1754)+LEN(AG1754)</f>
        <v/>
      </c>
      <c r="AI1754" s="10">
        <f>LEN(L1754)</f>
        <v/>
      </c>
    </row>
    <row r="1755">
      <c r="J1755" s="12">
        <f>IF(F1755&lt;&gt;0,"LANÇAR","")</f>
        <v/>
      </c>
      <c r="L1755" s="13">
        <f>N1755&amp;O1755&amp;P1755&amp;Q1755&amp;R1755&amp;S1755&amp;T1755&amp;U1755&amp;V1755&amp;W1755&amp;X1755&amp;Y1755&amp;Z1755&amp;AA1755&amp;AB1755&amp;AC1755&amp;AD1755&amp;AE1755&amp;AF1755&amp;AG1755</f>
        <v/>
      </c>
      <c r="N1755" s="10">
        <f>TEXT($B$6,"00")</f>
        <v/>
      </c>
      <c r="O1755" s="10">
        <f>REPT(" ",8)</f>
        <v/>
      </c>
      <c r="P1755" s="10">
        <f>RIGHT($B$4,2)</f>
        <v/>
      </c>
      <c r="Q1755" s="10">
        <f>RIGHT($B$5,3)</f>
        <v/>
      </c>
      <c r="R1755" s="10">
        <f>IF(A1755="D",LEFT(UPPER(B1755)&amp;REPT(" ",20),20),REPT(" ",20))</f>
        <v/>
      </c>
      <c r="S1755" s="10">
        <f>IF(A1755="D",LEFT(UPPER(C1755)&amp;REPT(" ",10),10)," ")</f>
        <v/>
      </c>
      <c r="T1755" s="10">
        <f>IF(A1755="D",LEFT(UPPER(D1755)&amp;REPT(" ",2),2)," ")</f>
        <v/>
      </c>
      <c r="U1755" s="10">
        <f>IF(A1755="D",LEFT(UPPER(E1755)&amp;REPT(" ",15),15)," ")</f>
        <v/>
      </c>
      <c r="V1755" s="10">
        <f>REPT(" ",24)</f>
        <v/>
      </c>
      <c r="W1755" s="10">
        <f>IF(A1755="c",LEFT(UPPER(B1755)&amp;REPT(" ",20),20),REPT(" ",20))</f>
        <v/>
      </c>
      <c r="X1755" s="10">
        <f>IF(A1755="C",LEFT(UPPER(C1755)&amp;REPT(" ",10),10)," ")</f>
        <v/>
      </c>
      <c r="Y1755" s="10">
        <f>IF(A1755="C",LEFT(UPPER(D1755)&amp;REPT(" ",2),2)," ")</f>
        <v/>
      </c>
      <c r="Z1755" s="10">
        <f>IF(A1755="C",LEFT(UPPER(E1755)&amp;REPT(" ",15),15)," ")</f>
        <v/>
      </c>
      <c r="AA1755" s="10">
        <f>REPT(" ",8)</f>
        <v/>
      </c>
      <c r="AB1755" s="10">
        <f>REPT(" ",4)</f>
        <v/>
      </c>
      <c r="AC1755" s="10">
        <f>LEFT(UPPER(H1755)&amp;REPT(" ",250),250)</f>
        <v/>
      </c>
      <c r="AD1755" s="10">
        <f>TEXT($G$2,"dd/mm/aaaa")</f>
        <v/>
      </c>
      <c r="AE1755" s="10">
        <f>REPT(" ",10)</f>
        <v/>
      </c>
      <c r="AF1755" s="10">
        <f>REPT(" ",20)</f>
        <v/>
      </c>
      <c r="AG1755" s="54">
        <f>REPT(" ",18-LEN(FIXED(F1755,2,TRUE)))&amp;FIXED(F1755,2,TRUE)</f>
        <v/>
      </c>
      <c r="AH1755" s="10">
        <f>LEN(AC1755)+LEN(AG1755)</f>
        <v/>
      </c>
      <c r="AI1755" s="10">
        <f>LEN(L1755)</f>
        <v/>
      </c>
    </row>
    <row r="1756">
      <c r="J1756" s="12">
        <f>IF(F1756&lt;&gt;0,"LANÇAR","")</f>
        <v/>
      </c>
      <c r="L1756" s="13">
        <f>N1756&amp;O1756&amp;P1756&amp;Q1756&amp;R1756&amp;S1756&amp;T1756&amp;U1756&amp;V1756&amp;W1756&amp;X1756&amp;Y1756&amp;Z1756&amp;AA1756&amp;AB1756&amp;AC1756&amp;AD1756&amp;AE1756&amp;AF1756&amp;AG1756</f>
        <v/>
      </c>
      <c r="N1756" s="10">
        <f>TEXT($B$6,"00")</f>
        <v/>
      </c>
      <c r="O1756" s="10">
        <f>REPT(" ",8)</f>
        <v/>
      </c>
      <c r="P1756" s="10">
        <f>RIGHT($B$4,2)</f>
        <v/>
      </c>
      <c r="Q1756" s="10">
        <f>RIGHT($B$5,3)</f>
        <v/>
      </c>
      <c r="R1756" s="10">
        <f>IF(A1756="D",LEFT(UPPER(B1756)&amp;REPT(" ",20),20),REPT(" ",20))</f>
        <v/>
      </c>
      <c r="S1756" s="10">
        <f>IF(A1756="D",LEFT(UPPER(C1756)&amp;REPT(" ",10),10)," ")</f>
        <v/>
      </c>
      <c r="T1756" s="10">
        <f>IF(A1756="D",LEFT(UPPER(D1756)&amp;REPT(" ",2),2)," ")</f>
        <v/>
      </c>
      <c r="U1756" s="10">
        <f>IF(A1756="D",LEFT(UPPER(E1756)&amp;REPT(" ",15),15)," ")</f>
        <v/>
      </c>
      <c r="V1756" s="10">
        <f>REPT(" ",24)</f>
        <v/>
      </c>
      <c r="W1756" s="10">
        <f>IF(A1756="c",LEFT(UPPER(B1756)&amp;REPT(" ",20),20),REPT(" ",20))</f>
        <v/>
      </c>
      <c r="X1756" s="10">
        <f>IF(A1756="C",LEFT(UPPER(C1756)&amp;REPT(" ",10),10)," ")</f>
        <v/>
      </c>
      <c r="Y1756" s="10">
        <f>IF(A1756="C",LEFT(UPPER(D1756)&amp;REPT(" ",2),2)," ")</f>
        <v/>
      </c>
      <c r="Z1756" s="10">
        <f>IF(A1756="C",LEFT(UPPER(E1756)&amp;REPT(" ",15),15)," ")</f>
        <v/>
      </c>
      <c r="AA1756" s="10">
        <f>REPT(" ",8)</f>
        <v/>
      </c>
      <c r="AB1756" s="10">
        <f>REPT(" ",4)</f>
        <v/>
      </c>
      <c r="AC1756" s="10">
        <f>LEFT(UPPER(H1756)&amp;REPT(" ",250),250)</f>
        <v/>
      </c>
      <c r="AD1756" s="10">
        <f>TEXT($G$2,"dd/mm/aaaa")</f>
        <v/>
      </c>
      <c r="AE1756" s="10">
        <f>REPT(" ",10)</f>
        <v/>
      </c>
      <c r="AF1756" s="10">
        <f>REPT(" ",20)</f>
        <v/>
      </c>
      <c r="AG1756" s="54">
        <f>REPT(" ",18-LEN(FIXED(F1756,2,TRUE)))&amp;FIXED(F1756,2,TRUE)</f>
        <v/>
      </c>
      <c r="AH1756" s="10">
        <f>LEN(AC1756)+LEN(AG1756)</f>
        <v/>
      </c>
      <c r="AI1756" s="10">
        <f>LEN(L1756)</f>
        <v/>
      </c>
    </row>
    <row r="1757">
      <c r="J1757" s="12">
        <f>IF(F1757&lt;&gt;0,"LANÇAR","")</f>
        <v/>
      </c>
      <c r="L1757" s="13">
        <f>N1757&amp;O1757&amp;P1757&amp;Q1757&amp;R1757&amp;S1757&amp;T1757&amp;U1757&amp;V1757&amp;W1757&amp;X1757&amp;Y1757&amp;Z1757&amp;AA1757&amp;AB1757&amp;AC1757&amp;AD1757&amp;AE1757&amp;AF1757&amp;AG1757</f>
        <v/>
      </c>
      <c r="N1757" s="10">
        <f>TEXT($B$6,"00")</f>
        <v/>
      </c>
      <c r="O1757" s="10">
        <f>REPT(" ",8)</f>
        <v/>
      </c>
      <c r="P1757" s="10">
        <f>RIGHT($B$4,2)</f>
        <v/>
      </c>
      <c r="Q1757" s="10">
        <f>RIGHT($B$5,3)</f>
        <v/>
      </c>
      <c r="R1757" s="10">
        <f>IF(A1757="D",LEFT(UPPER(B1757)&amp;REPT(" ",20),20),REPT(" ",20))</f>
        <v/>
      </c>
      <c r="S1757" s="10">
        <f>IF(A1757="D",LEFT(UPPER(C1757)&amp;REPT(" ",10),10)," ")</f>
        <v/>
      </c>
      <c r="T1757" s="10">
        <f>IF(A1757="D",LEFT(UPPER(D1757)&amp;REPT(" ",2),2)," ")</f>
        <v/>
      </c>
      <c r="U1757" s="10">
        <f>IF(A1757="D",LEFT(UPPER(E1757)&amp;REPT(" ",15),15)," ")</f>
        <v/>
      </c>
      <c r="V1757" s="10">
        <f>REPT(" ",24)</f>
        <v/>
      </c>
      <c r="W1757" s="10">
        <f>IF(A1757="c",LEFT(UPPER(B1757)&amp;REPT(" ",20),20),REPT(" ",20))</f>
        <v/>
      </c>
      <c r="X1757" s="10">
        <f>IF(A1757="C",LEFT(UPPER(C1757)&amp;REPT(" ",10),10)," ")</f>
        <v/>
      </c>
      <c r="Y1757" s="10">
        <f>IF(A1757="C",LEFT(UPPER(D1757)&amp;REPT(" ",2),2)," ")</f>
        <v/>
      </c>
      <c r="Z1757" s="10">
        <f>IF(A1757="C",LEFT(UPPER(E1757)&amp;REPT(" ",15),15)," ")</f>
        <v/>
      </c>
      <c r="AA1757" s="10">
        <f>REPT(" ",8)</f>
        <v/>
      </c>
      <c r="AB1757" s="10">
        <f>REPT(" ",4)</f>
        <v/>
      </c>
      <c r="AC1757" s="10">
        <f>LEFT(UPPER(H1757)&amp;REPT(" ",250),250)</f>
        <v/>
      </c>
      <c r="AD1757" s="10">
        <f>TEXT($G$2,"dd/mm/aaaa")</f>
        <v/>
      </c>
      <c r="AE1757" s="10">
        <f>REPT(" ",10)</f>
        <v/>
      </c>
      <c r="AF1757" s="10">
        <f>REPT(" ",20)</f>
        <v/>
      </c>
      <c r="AG1757" s="54">
        <f>REPT(" ",18-LEN(FIXED(F1757,2,TRUE)))&amp;FIXED(F1757,2,TRUE)</f>
        <v/>
      </c>
      <c r="AH1757" s="10">
        <f>LEN(AC1757)+LEN(AG1757)</f>
        <v/>
      </c>
      <c r="AI1757" s="10">
        <f>LEN(L1757)</f>
        <v/>
      </c>
    </row>
    <row r="1758">
      <c r="J1758" s="12">
        <f>IF(F1758&lt;&gt;0,"LANÇAR","")</f>
        <v/>
      </c>
      <c r="L1758" s="13">
        <f>N1758&amp;O1758&amp;P1758&amp;Q1758&amp;R1758&amp;S1758&amp;T1758&amp;U1758&amp;V1758&amp;W1758&amp;X1758&amp;Y1758&amp;Z1758&amp;AA1758&amp;AB1758&amp;AC1758&amp;AD1758&amp;AE1758&amp;AF1758&amp;AG1758</f>
        <v/>
      </c>
      <c r="N1758" s="10">
        <f>TEXT($B$6,"00")</f>
        <v/>
      </c>
      <c r="O1758" s="10">
        <f>REPT(" ",8)</f>
        <v/>
      </c>
      <c r="P1758" s="10">
        <f>RIGHT($B$4,2)</f>
        <v/>
      </c>
      <c r="Q1758" s="10">
        <f>RIGHT($B$5,3)</f>
        <v/>
      </c>
      <c r="R1758" s="10">
        <f>IF(A1758="D",LEFT(UPPER(B1758)&amp;REPT(" ",20),20),REPT(" ",20))</f>
        <v/>
      </c>
      <c r="S1758" s="10">
        <f>IF(A1758="D",LEFT(UPPER(C1758)&amp;REPT(" ",10),10)," ")</f>
        <v/>
      </c>
      <c r="T1758" s="10">
        <f>IF(A1758="D",LEFT(UPPER(D1758)&amp;REPT(" ",2),2)," ")</f>
        <v/>
      </c>
      <c r="U1758" s="10">
        <f>IF(A1758="D",LEFT(UPPER(E1758)&amp;REPT(" ",15),15)," ")</f>
        <v/>
      </c>
      <c r="V1758" s="10">
        <f>REPT(" ",24)</f>
        <v/>
      </c>
      <c r="W1758" s="10">
        <f>IF(A1758="c",LEFT(UPPER(B1758)&amp;REPT(" ",20),20),REPT(" ",20))</f>
        <v/>
      </c>
      <c r="X1758" s="10">
        <f>IF(A1758="C",LEFT(UPPER(C1758)&amp;REPT(" ",10),10)," ")</f>
        <v/>
      </c>
      <c r="Y1758" s="10">
        <f>IF(A1758="C",LEFT(UPPER(D1758)&amp;REPT(" ",2),2)," ")</f>
        <v/>
      </c>
      <c r="Z1758" s="10">
        <f>IF(A1758="C",LEFT(UPPER(E1758)&amp;REPT(" ",15),15)," ")</f>
        <v/>
      </c>
      <c r="AA1758" s="10">
        <f>REPT(" ",8)</f>
        <v/>
      </c>
      <c r="AB1758" s="10">
        <f>REPT(" ",4)</f>
        <v/>
      </c>
      <c r="AC1758" s="10">
        <f>LEFT(UPPER(H1758)&amp;REPT(" ",250),250)</f>
        <v/>
      </c>
      <c r="AD1758" s="10">
        <f>TEXT($G$2,"dd/mm/aaaa")</f>
        <v/>
      </c>
      <c r="AE1758" s="10">
        <f>REPT(" ",10)</f>
        <v/>
      </c>
      <c r="AF1758" s="10">
        <f>REPT(" ",20)</f>
        <v/>
      </c>
      <c r="AG1758" s="54">
        <f>REPT(" ",18-LEN(FIXED(F1758,2,TRUE)))&amp;FIXED(F1758,2,TRUE)</f>
        <v/>
      </c>
      <c r="AH1758" s="10">
        <f>LEN(AC1758)+LEN(AG1758)</f>
        <v/>
      </c>
      <c r="AI1758" s="10">
        <f>LEN(L1758)</f>
        <v/>
      </c>
    </row>
    <row r="1759">
      <c r="J1759" s="12">
        <f>IF(F1759&lt;&gt;0,"LANÇAR","")</f>
        <v/>
      </c>
      <c r="L1759" s="13">
        <f>N1759&amp;O1759&amp;P1759&amp;Q1759&amp;R1759&amp;S1759&amp;T1759&amp;U1759&amp;V1759&amp;W1759&amp;X1759&amp;Y1759&amp;Z1759&amp;AA1759&amp;AB1759&amp;AC1759&amp;AD1759&amp;AE1759&amp;AF1759&amp;AG1759</f>
        <v/>
      </c>
      <c r="N1759" s="10">
        <f>TEXT($B$6,"00")</f>
        <v/>
      </c>
      <c r="O1759" s="10">
        <f>REPT(" ",8)</f>
        <v/>
      </c>
      <c r="P1759" s="10">
        <f>RIGHT($B$4,2)</f>
        <v/>
      </c>
      <c r="Q1759" s="10">
        <f>RIGHT($B$5,3)</f>
        <v/>
      </c>
      <c r="R1759" s="10">
        <f>IF(A1759="D",LEFT(UPPER(B1759)&amp;REPT(" ",20),20),REPT(" ",20))</f>
        <v/>
      </c>
      <c r="S1759" s="10">
        <f>IF(A1759="D",LEFT(UPPER(C1759)&amp;REPT(" ",10),10)," ")</f>
        <v/>
      </c>
      <c r="T1759" s="10">
        <f>IF(A1759="D",LEFT(UPPER(D1759)&amp;REPT(" ",2),2)," ")</f>
        <v/>
      </c>
      <c r="U1759" s="10">
        <f>IF(A1759="D",LEFT(UPPER(E1759)&amp;REPT(" ",15),15)," ")</f>
        <v/>
      </c>
      <c r="V1759" s="10">
        <f>REPT(" ",24)</f>
        <v/>
      </c>
      <c r="W1759" s="10">
        <f>IF(A1759="c",LEFT(UPPER(B1759)&amp;REPT(" ",20),20),REPT(" ",20))</f>
        <v/>
      </c>
      <c r="X1759" s="10">
        <f>IF(A1759="C",LEFT(UPPER(C1759)&amp;REPT(" ",10),10)," ")</f>
        <v/>
      </c>
      <c r="Y1759" s="10">
        <f>IF(A1759="C",LEFT(UPPER(D1759)&amp;REPT(" ",2),2)," ")</f>
        <v/>
      </c>
      <c r="Z1759" s="10">
        <f>IF(A1759="C",LEFT(UPPER(E1759)&amp;REPT(" ",15),15)," ")</f>
        <v/>
      </c>
      <c r="AA1759" s="10">
        <f>REPT(" ",8)</f>
        <v/>
      </c>
      <c r="AB1759" s="10">
        <f>REPT(" ",4)</f>
        <v/>
      </c>
      <c r="AC1759" s="10">
        <f>LEFT(UPPER(H1759)&amp;REPT(" ",250),250)</f>
        <v/>
      </c>
      <c r="AD1759" s="10">
        <f>TEXT($G$2,"dd/mm/aaaa")</f>
        <v/>
      </c>
      <c r="AE1759" s="10">
        <f>REPT(" ",10)</f>
        <v/>
      </c>
      <c r="AF1759" s="10">
        <f>REPT(" ",20)</f>
        <v/>
      </c>
      <c r="AG1759" s="54">
        <f>REPT(" ",18-LEN(FIXED(F1759,2,TRUE)))&amp;FIXED(F1759,2,TRUE)</f>
        <v/>
      </c>
      <c r="AH1759" s="10">
        <f>LEN(AC1759)+LEN(AG1759)</f>
        <v/>
      </c>
      <c r="AI1759" s="10">
        <f>LEN(L1759)</f>
        <v/>
      </c>
    </row>
    <row r="1760">
      <c r="J1760" s="12">
        <f>IF(F1760&lt;&gt;0,"LANÇAR","")</f>
        <v/>
      </c>
      <c r="L1760" s="13">
        <f>N1760&amp;O1760&amp;P1760&amp;Q1760&amp;R1760&amp;S1760&amp;T1760&amp;U1760&amp;V1760&amp;W1760&amp;X1760&amp;Y1760&amp;Z1760&amp;AA1760&amp;AB1760&amp;AC1760&amp;AD1760&amp;AE1760&amp;AF1760&amp;AG1760</f>
        <v/>
      </c>
      <c r="N1760" s="10">
        <f>TEXT($B$6,"00")</f>
        <v/>
      </c>
      <c r="O1760" s="10">
        <f>REPT(" ",8)</f>
        <v/>
      </c>
      <c r="P1760" s="10">
        <f>RIGHT($B$4,2)</f>
        <v/>
      </c>
      <c r="Q1760" s="10">
        <f>RIGHT($B$5,3)</f>
        <v/>
      </c>
      <c r="R1760" s="10">
        <f>IF(A1760="D",LEFT(UPPER(B1760)&amp;REPT(" ",20),20),REPT(" ",20))</f>
        <v/>
      </c>
      <c r="S1760" s="10">
        <f>IF(A1760="D",LEFT(UPPER(C1760)&amp;REPT(" ",10),10)," ")</f>
        <v/>
      </c>
      <c r="T1760" s="10">
        <f>IF(A1760="D",LEFT(UPPER(D1760)&amp;REPT(" ",2),2)," ")</f>
        <v/>
      </c>
      <c r="U1760" s="10">
        <f>IF(A1760="D",LEFT(UPPER(E1760)&amp;REPT(" ",15),15)," ")</f>
        <v/>
      </c>
      <c r="V1760" s="10">
        <f>REPT(" ",24)</f>
        <v/>
      </c>
      <c r="W1760" s="10">
        <f>IF(A1760="c",LEFT(UPPER(B1760)&amp;REPT(" ",20),20),REPT(" ",20))</f>
        <v/>
      </c>
      <c r="X1760" s="10">
        <f>IF(A1760="C",LEFT(UPPER(C1760)&amp;REPT(" ",10),10)," ")</f>
        <v/>
      </c>
      <c r="Y1760" s="10">
        <f>IF(A1760="C",LEFT(UPPER(D1760)&amp;REPT(" ",2),2)," ")</f>
        <v/>
      </c>
      <c r="Z1760" s="10">
        <f>IF(A1760="C",LEFT(UPPER(E1760)&amp;REPT(" ",15),15)," ")</f>
        <v/>
      </c>
      <c r="AA1760" s="10">
        <f>REPT(" ",8)</f>
        <v/>
      </c>
      <c r="AB1760" s="10">
        <f>REPT(" ",4)</f>
        <v/>
      </c>
      <c r="AC1760" s="10">
        <f>LEFT(UPPER(H1760)&amp;REPT(" ",250),250)</f>
        <v/>
      </c>
      <c r="AD1760" s="10">
        <f>TEXT($G$2,"dd/mm/aaaa")</f>
        <v/>
      </c>
      <c r="AE1760" s="10">
        <f>REPT(" ",10)</f>
        <v/>
      </c>
      <c r="AF1760" s="10">
        <f>REPT(" ",20)</f>
        <v/>
      </c>
      <c r="AG1760" s="54">
        <f>REPT(" ",18-LEN(FIXED(F1760,2,TRUE)))&amp;FIXED(F1760,2,TRUE)</f>
        <v/>
      </c>
      <c r="AH1760" s="10">
        <f>LEN(AC1760)+LEN(AG1760)</f>
        <v/>
      </c>
      <c r="AI1760" s="10">
        <f>LEN(L1760)</f>
        <v/>
      </c>
    </row>
    <row r="1761">
      <c r="J1761" s="12">
        <f>IF(F1761&lt;&gt;0,"LANÇAR","")</f>
        <v/>
      </c>
      <c r="L1761" s="13">
        <f>N1761&amp;O1761&amp;P1761&amp;Q1761&amp;R1761&amp;S1761&amp;T1761&amp;U1761&amp;V1761&amp;W1761&amp;X1761&amp;Y1761&amp;Z1761&amp;AA1761&amp;AB1761&amp;AC1761&amp;AD1761&amp;AE1761&amp;AF1761&amp;AG1761</f>
        <v/>
      </c>
      <c r="N1761" s="10">
        <f>TEXT($B$6,"00")</f>
        <v/>
      </c>
      <c r="O1761" s="10">
        <f>REPT(" ",8)</f>
        <v/>
      </c>
      <c r="P1761" s="10">
        <f>RIGHT($B$4,2)</f>
        <v/>
      </c>
      <c r="Q1761" s="10">
        <f>RIGHT($B$5,3)</f>
        <v/>
      </c>
      <c r="R1761" s="10">
        <f>IF(A1761="D",LEFT(UPPER(B1761)&amp;REPT(" ",20),20),REPT(" ",20))</f>
        <v/>
      </c>
      <c r="S1761" s="10">
        <f>IF(A1761="D",LEFT(UPPER(C1761)&amp;REPT(" ",10),10)," ")</f>
        <v/>
      </c>
      <c r="T1761" s="10">
        <f>IF(A1761="D",LEFT(UPPER(D1761)&amp;REPT(" ",2),2)," ")</f>
        <v/>
      </c>
      <c r="U1761" s="10">
        <f>IF(A1761="D",LEFT(UPPER(E1761)&amp;REPT(" ",15),15)," ")</f>
        <v/>
      </c>
      <c r="V1761" s="10">
        <f>REPT(" ",24)</f>
        <v/>
      </c>
      <c r="W1761" s="10">
        <f>IF(A1761="c",LEFT(UPPER(B1761)&amp;REPT(" ",20),20),REPT(" ",20))</f>
        <v/>
      </c>
      <c r="X1761" s="10">
        <f>IF(A1761="C",LEFT(UPPER(C1761)&amp;REPT(" ",10),10)," ")</f>
        <v/>
      </c>
      <c r="Y1761" s="10">
        <f>IF(A1761="C",LEFT(UPPER(D1761)&amp;REPT(" ",2),2)," ")</f>
        <v/>
      </c>
      <c r="Z1761" s="10">
        <f>IF(A1761="C",LEFT(UPPER(E1761)&amp;REPT(" ",15),15)," ")</f>
        <v/>
      </c>
      <c r="AA1761" s="10">
        <f>REPT(" ",8)</f>
        <v/>
      </c>
      <c r="AB1761" s="10">
        <f>REPT(" ",4)</f>
        <v/>
      </c>
      <c r="AC1761" s="10">
        <f>LEFT(UPPER(H1761)&amp;REPT(" ",250),250)</f>
        <v/>
      </c>
      <c r="AD1761" s="10">
        <f>TEXT($G$2,"dd/mm/aaaa")</f>
        <v/>
      </c>
      <c r="AE1761" s="10">
        <f>REPT(" ",10)</f>
        <v/>
      </c>
      <c r="AF1761" s="10">
        <f>REPT(" ",20)</f>
        <v/>
      </c>
      <c r="AG1761" s="54">
        <f>REPT(" ",18-LEN(FIXED(F1761,2,TRUE)))&amp;FIXED(F1761,2,TRUE)</f>
        <v/>
      </c>
      <c r="AH1761" s="10">
        <f>LEN(AC1761)+LEN(AG1761)</f>
        <v/>
      </c>
      <c r="AI1761" s="10">
        <f>LEN(L1761)</f>
        <v/>
      </c>
    </row>
    <row r="1762">
      <c r="J1762" s="12">
        <f>IF(F1762&lt;&gt;0,"LANÇAR","")</f>
        <v/>
      </c>
      <c r="L1762" s="13">
        <f>N1762&amp;O1762&amp;P1762&amp;Q1762&amp;R1762&amp;S1762&amp;T1762&amp;U1762&amp;V1762&amp;W1762&amp;X1762&amp;Y1762&amp;Z1762&amp;AA1762&amp;AB1762&amp;AC1762&amp;AD1762&amp;AE1762&amp;AF1762&amp;AG1762</f>
        <v/>
      </c>
      <c r="N1762" s="10">
        <f>TEXT($B$6,"00")</f>
        <v/>
      </c>
      <c r="O1762" s="10">
        <f>REPT(" ",8)</f>
        <v/>
      </c>
      <c r="P1762" s="10">
        <f>RIGHT($B$4,2)</f>
        <v/>
      </c>
      <c r="Q1762" s="10">
        <f>RIGHT($B$5,3)</f>
        <v/>
      </c>
      <c r="R1762" s="10">
        <f>IF(A1762="D",LEFT(UPPER(B1762)&amp;REPT(" ",20),20),REPT(" ",20))</f>
        <v/>
      </c>
      <c r="S1762" s="10">
        <f>IF(A1762="D",LEFT(UPPER(C1762)&amp;REPT(" ",10),10)," ")</f>
        <v/>
      </c>
      <c r="T1762" s="10">
        <f>IF(A1762="D",LEFT(UPPER(D1762)&amp;REPT(" ",2),2)," ")</f>
        <v/>
      </c>
      <c r="U1762" s="10">
        <f>IF(A1762="D",LEFT(UPPER(E1762)&amp;REPT(" ",15),15)," ")</f>
        <v/>
      </c>
      <c r="V1762" s="10">
        <f>REPT(" ",24)</f>
        <v/>
      </c>
      <c r="W1762" s="10">
        <f>IF(A1762="c",LEFT(UPPER(B1762)&amp;REPT(" ",20),20),REPT(" ",20))</f>
        <v/>
      </c>
      <c r="X1762" s="10">
        <f>IF(A1762="C",LEFT(UPPER(C1762)&amp;REPT(" ",10),10)," ")</f>
        <v/>
      </c>
      <c r="Y1762" s="10">
        <f>IF(A1762="C",LEFT(UPPER(D1762)&amp;REPT(" ",2),2)," ")</f>
        <v/>
      </c>
      <c r="Z1762" s="10">
        <f>IF(A1762="C",LEFT(UPPER(E1762)&amp;REPT(" ",15),15)," ")</f>
        <v/>
      </c>
      <c r="AA1762" s="10">
        <f>REPT(" ",8)</f>
        <v/>
      </c>
      <c r="AB1762" s="10">
        <f>REPT(" ",4)</f>
        <v/>
      </c>
      <c r="AC1762" s="10">
        <f>LEFT(UPPER(H1762)&amp;REPT(" ",250),250)</f>
        <v/>
      </c>
      <c r="AD1762" s="10">
        <f>TEXT($G$2,"dd/mm/aaaa")</f>
        <v/>
      </c>
      <c r="AE1762" s="10">
        <f>REPT(" ",10)</f>
        <v/>
      </c>
      <c r="AF1762" s="10">
        <f>REPT(" ",20)</f>
        <v/>
      </c>
      <c r="AG1762" s="54">
        <f>REPT(" ",18-LEN(FIXED(F1762,2,TRUE)))&amp;FIXED(F1762,2,TRUE)</f>
        <v/>
      </c>
      <c r="AH1762" s="10">
        <f>LEN(AC1762)+LEN(AG1762)</f>
        <v/>
      </c>
      <c r="AI1762" s="10">
        <f>LEN(L1762)</f>
        <v/>
      </c>
    </row>
    <row r="1763">
      <c r="J1763" s="12">
        <f>IF(F1763&lt;&gt;0,"LANÇAR","")</f>
        <v/>
      </c>
      <c r="L1763" s="13">
        <f>N1763&amp;O1763&amp;P1763&amp;Q1763&amp;R1763&amp;S1763&amp;T1763&amp;U1763&amp;V1763&amp;W1763&amp;X1763&amp;Y1763&amp;Z1763&amp;AA1763&amp;AB1763&amp;AC1763&amp;AD1763&amp;AE1763&amp;AF1763&amp;AG1763</f>
        <v/>
      </c>
      <c r="N1763" s="10">
        <f>TEXT($B$6,"00")</f>
        <v/>
      </c>
      <c r="O1763" s="10">
        <f>REPT(" ",8)</f>
        <v/>
      </c>
      <c r="P1763" s="10">
        <f>RIGHT($B$4,2)</f>
        <v/>
      </c>
      <c r="Q1763" s="10">
        <f>RIGHT($B$5,3)</f>
        <v/>
      </c>
      <c r="R1763" s="10">
        <f>IF(A1763="D",LEFT(UPPER(B1763)&amp;REPT(" ",20),20),REPT(" ",20))</f>
        <v/>
      </c>
      <c r="S1763" s="10">
        <f>IF(A1763="D",LEFT(UPPER(C1763)&amp;REPT(" ",10),10)," ")</f>
        <v/>
      </c>
      <c r="T1763" s="10">
        <f>IF(A1763="D",LEFT(UPPER(D1763)&amp;REPT(" ",2),2)," ")</f>
        <v/>
      </c>
      <c r="U1763" s="10">
        <f>IF(A1763="D",LEFT(UPPER(E1763)&amp;REPT(" ",15),15)," ")</f>
        <v/>
      </c>
      <c r="V1763" s="10">
        <f>REPT(" ",24)</f>
        <v/>
      </c>
      <c r="W1763" s="10">
        <f>IF(A1763="c",LEFT(UPPER(B1763)&amp;REPT(" ",20),20),REPT(" ",20))</f>
        <v/>
      </c>
      <c r="X1763" s="10">
        <f>IF(A1763="C",LEFT(UPPER(C1763)&amp;REPT(" ",10),10)," ")</f>
        <v/>
      </c>
      <c r="Y1763" s="10">
        <f>IF(A1763="C",LEFT(UPPER(D1763)&amp;REPT(" ",2),2)," ")</f>
        <v/>
      </c>
      <c r="Z1763" s="10">
        <f>IF(A1763="C",LEFT(UPPER(E1763)&amp;REPT(" ",15),15)," ")</f>
        <v/>
      </c>
      <c r="AA1763" s="10">
        <f>REPT(" ",8)</f>
        <v/>
      </c>
      <c r="AB1763" s="10">
        <f>REPT(" ",4)</f>
        <v/>
      </c>
      <c r="AC1763" s="10">
        <f>LEFT(UPPER(H1763)&amp;REPT(" ",250),250)</f>
        <v/>
      </c>
      <c r="AD1763" s="10">
        <f>TEXT($G$2,"dd/mm/aaaa")</f>
        <v/>
      </c>
      <c r="AE1763" s="10">
        <f>REPT(" ",10)</f>
        <v/>
      </c>
      <c r="AF1763" s="10">
        <f>REPT(" ",20)</f>
        <v/>
      </c>
      <c r="AG1763" s="54">
        <f>REPT(" ",18-LEN(FIXED(F1763,2,TRUE)))&amp;FIXED(F1763,2,TRUE)</f>
        <v/>
      </c>
      <c r="AH1763" s="10">
        <f>LEN(AC1763)+LEN(AG1763)</f>
        <v/>
      </c>
      <c r="AI1763" s="10">
        <f>LEN(L1763)</f>
        <v/>
      </c>
    </row>
    <row r="1764">
      <c r="J1764" s="12">
        <f>IF(F1764&lt;&gt;0,"LANÇAR","")</f>
        <v/>
      </c>
      <c r="L1764" s="13">
        <f>N1764&amp;O1764&amp;P1764&amp;Q1764&amp;R1764&amp;S1764&amp;T1764&amp;U1764&amp;V1764&amp;W1764&amp;X1764&amp;Y1764&amp;Z1764&amp;AA1764&amp;AB1764&amp;AC1764&amp;AD1764&amp;AE1764&amp;AF1764&amp;AG1764</f>
        <v/>
      </c>
      <c r="N1764" s="10">
        <f>TEXT($B$6,"00")</f>
        <v/>
      </c>
      <c r="O1764" s="10">
        <f>REPT(" ",8)</f>
        <v/>
      </c>
      <c r="P1764" s="10">
        <f>RIGHT($B$4,2)</f>
        <v/>
      </c>
      <c r="Q1764" s="10">
        <f>RIGHT($B$5,3)</f>
        <v/>
      </c>
      <c r="R1764" s="10">
        <f>IF(A1764="D",LEFT(UPPER(B1764)&amp;REPT(" ",20),20),REPT(" ",20))</f>
        <v/>
      </c>
      <c r="S1764" s="10">
        <f>IF(A1764="D",LEFT(UPPER(C1764)&amp;REPT(" ",10),10)," ")</f>
        <v/>
      </c>
      <c r="T1764" s="10">
        <f>IF(A1764="D",LEFT(UPPER(D1764)&amp;REPT(" ",2),2)," ")</f>
        <v/>
      </c>
      <c r="U1764" s="10">
        <f>IF(A1764="D",LEFT(UPPER(E1764)&amp;REPT(" ",15),15)," ")</f>
        <v/>
      </c>
      <c r="V1764" s="10">
        <f>REPT(" ",24)</f>
        <v/>
      </c>
      <c r="W1764" s="10">
        <f>IF(A1764="c",LEFT(UPPER(B1764)&amp;REPT(" ",20),20),REPT(" ",20))</f>
        <v/>
      </c>
      <c r="X1764" s="10">
        <f>IF(A1764="C",LEFT(UPPER(C1764)&amp;REPT(" ",10),10)," ")</f>
        <v/>
      </c>
      <c r="Y1764" s="10">
        <f>IF(A1764="C",LEFT(UPPER(D1764)&amp;REPT(" ",2),2)," ")</f>
        <v/>
      </c>
      <c r="Z1764" s="10">
        <f>IF(A1764="C",LEFT(UPPER(E1764)&amp;REPT(" ",15),15)," ")</f>
        <v/>
      </c>
      <c r="AA1764" s="10">
        <f>REPT(" ",8)</f>
        <v/>
      </c>
      <c r="AB1764" s="10">
        <f>REPT(" ",4)</f>
        <v/>
      </c>
      <c r="AC1764" s="10">
        <f>LEFT(UPPER(H1764)&amp;REPT(" ",250),250)</f>
        <v/>
      </c>
      <c r="AD1764" s="10">
        <f>TEXT($G$2,"dd/mm/aaaa")</f>
        <v/>
      </c>
      <c r="AE1764" s="10">
        <f>REPT(" ",10)</f>
        <v/>
      </c>
      <c r="AF1764" s="10">
        <f>REPT(" ",20)</f>
        <v/>
      </c>
      <c r="AG1764" s="54">
        <f>REPT(" ",18-LEN(FIXED(F1764,2,TRUE)))&amp;FIXED(F1764,2,TRUE)</f>
        <v/>
      </c>
      <c r="AH1764" s="10">
        <f>LEN(AC1764)+LEN(AG1764)</f>
        <v/>
      </c>
      <c r="AI1764" s="10">
        <f>LEN(L1764)</f>
        <v/>
      </c>
    </row>
    <row r="1765">
      <c r="J1765" s="12">
        <f>IF(F1765&lt;&gt;0,"LANÇAR","")</f>
        <v/>
      </c>
      <c r="L1765" s="13">
        <f>N1765&amp;O1765&amp;P1765&amp;Q1765&amp;R1765&amp;S1765&amp;T1765&amp;U1765&amp;V1765&amp;W1765&amp;X1765&amp;Y1765&amp;Z1765&amp;AA1765&amp;AB1765&amp;AC1765&amp;AD1765&amp;AE1765&amp;AF1765&amp;AG1765</f>
        <v/>
      </c>
      <c r="N1765" s="10">
        <f>TEXT($B$6,"00")</f>
        <v/>
      </c>
      <c r="O1765" s="10">
        <f>REPT(" ",8)</f>
        <v/>
      </c>
      <c r="P1765" s="10">
        <f>RIGHT($B$4,2)</f>
        <v/>
      </c>
      <c r="Q1765" s="10">
        <f>RIGHT($B$5,3)</f>
        <v/>
      </c>
      <c r="R1765" s="10">
        <f>IF(A1765="D",LEFT(UPPER(B1765)&amp;REPT(" ",20),20),REPT(" ",20))</f>
        <v/>
      </c>
      <c r="S1765" s="10">
        <f>IF(A1765="D",LEFT(UPPER(C1765)&amp;REPT(" ",10),10)," ")</f>
        <v/>
      </c>
      <c r="T1765" s="10">
        <f>IF(A1765="D",LEFT(UPPER(D1765)&amp;REPT(" ",2),2)," ")</f>
        <v/>
      </c>
      <c r="U1765" s="10">
        <f>IF(A1765="D",LEFT(UPPER(E1765)&amp;REPT(" ",15),15)," ")</f>
        <v/>
      </c>
      <c r="V1765" s="10">
        <f>REPT(" ",24)</f>
        <v/>
      </c>
      <c r="W1765" s="10">
        <f>IF(A1765="c",LEFT(UPPER(B1765)&amp;REPT(" ",20),20),REPT(" ",20))</f>
        <v/>
      </c>
      <c r="X1765" s="10">
        <f>IF(A1765="C",LEFT(UPPER(C1765)&amp;REPT(" ",10),10)," ")</f>
        <v/>
      </c>
      <c r="Y1765" s="10">
        <f>IF(A1765="C",LEFT(UPPER(D1765)&amp;REPT(" ",2),2)," ")</f>
        <v/>
      </c>
      <c r="Z1765" s="10">
        <f>IF(A1765="C",LEFT(UPPER(E1765)&amp;REPT(" ",15),15)," ")</f>
        <v/>
      </c>
      <c r="AA1765" s="10">
        <f>REPT(" ",8)</f>
        <v/>
      </c>
      <c r="AB1765" s="10">
        <f>REPT(" ",4)</f>
        <v/>
      </c>
      <c r="AC1765" s="10">
        <f>LEFT(UPPER(H1765)&amp;REPT(" ",250),250)</f>
        <v/>
      </c>
      <c r="AD1765" s="10">
        <f>TEXT($G$2,"dd/mm/aaaa")</f>
        <v/>
      </c>
      <c r="AE1765" s="10">
        <f>REPT(" ",10)</f>
        <v/>
      </c>
      <c r="AF1765" s="10">
        <f>REPT(" ",20)</f>
        <v/>
      </c>
      <c r="AG1765" s="54">
        <f>REPT(" ",18-LEN(FIXED(F1765,2,TRUE)))&amp;FIXED(F1765,2,TRUE)</f>
        <v/>
      </c>
      <c r="AH1765" s="10">
        <f>LEN(AC1765)+LEN(AG1765)</f>
        <v/>
      </c>
      <c r="AI1765" s="10">
        <f>LEN(L1765)</f>
        <v/>
      </c>
    </row>
    <row r="1766">
      <c r="J1766" s="12">
        <f>IF(F1766&lt;&gt;0,"LANÇAR","")</f>
        <v/>
      </c>
      <c r="L1766" s="13">
        <f>N1766&amp;O1766&amp;P1766&amp;Q1766&amp;R1766&amp;S1766&amp;T1766&amp;U1766&amp;V1766&amp;W1766&amp;X1766&amp;Y1766&amp;Z1766&amp;AA1766&amp;AB1766&amp;AC1766&amp;AD1766&amp;AE1766&amp;AF1766&amp;AG1766</f>
        <v/>
      </c>
      <c r="N1766" s="10">
        <f>TEXT($B$6,"00")</f>
        <v/>
      </c>
      <c r="O1766" s="10">
        <f>REPT(" ",8)</f>
        <v/>
      </c>
      <c r="P1766" s="10">
        <f>RIGHT($B$4,2)</f>
        <v/>
      </c>
      <c r="Q1766" s="10">
        <f>RIGHT($B$5,3)</f>
        <v/>
      </c>
      <c r="R1766" s="10">
        <f>IF(A1766="D",LEFT(UPPER(B1766)&amp;REPT(" ",20),20),REPT(" ",20))</f>
        <v/>
      </c>
      <c r="S1766" s="10">
        <f>IF(A1766="D",LEFT(UPPER(C1766)&amp;REPT(" ",10),10)," ")</f>
        <v/>
      </c>
      <c r="T1766" s="10">
        <f>IF(A1766="D",LEFT(UPPER(D1766)&amp;REPT(" ",2),2)," ")</f>
        <v/>
      </c>
      <c r="U1766" s="10">
        <f>IF(A1766="D",LEFT(UPPER(E1766)&amp;REPT(" ",15),15)," ")</f>
        <v/>
      </c>
      <c r="V1766" s="10">
        <f>REPT(" ",24)</f>
        <v/>
      </c>
      <c r="W1766" s="10">
        <f>IF(A1766="c",LEFT(UPPER(B1766)&amp;REPT(" ",20),20),REPT(" ",20))</f>
        <v/>
      </c>
      <c r="X1766" s="10">
        <f>IF(A1766="C",LEFT(UPPER(C1766)&amp;REPT(" ",10),10)," ")</f>
        <v/>
      </c>
      <c r="Y1766" s="10">
        <f>IF(A1766="C",LEFT(UPPER(D1766)&amp;REPT(" ",2),2)," ")</f>
        <v/>
      </c>
      <c r="Z1766" s="10">
        <f>IF(A1766="C",LEFT(UPPER(E1766)&amp;REPT(" ",15),15)," ")</f>
        <v/>
      </c>
      <c r="AA1766" s="10">
        <f>REPT(" ",8)</f>
        <v/>
      </c>
      <c r="AB1766" s="10">
        <f>REPT(" ",4)</f>
        <v/>
      </c>
      <c r="AC1766" s="10">
        <f>LEFT(UPPER(H1766)&amp;REPT(" ",250),250)</f>
        <v/>
      </c>
      <c r="AD1766" s="10">
        <f>TEXT($G$2,"dd/mm/aaaa")</f>
        <v/>
      </c>
      <c r="AE1766" s="10">
        <f>REPT(" ",10)</f>
        <v/>
      </c>
      <c r="AF1766" s="10">
        <f>REPT(" ",20)</f>
        <v/>
      </c>
      <c r="AG1766" s="54">
        <f>REPT(" ",18-LEN(FIXED(F1766,2,TRUE)))&amp;FIXED(F1766,2,TRUE)</f>
        <v/>
      </c>
      <c r="AH1766" s="10">
        <f>LEN(AC1766)+LEN(AG1766)</f>
        <v/>
      </c>
      <c r="AI1766" s="10">
        <f>LEN(L1766)</f>
        <v/>
      </c>
    </row>
    <row r="1767">
      <c r="J1767" s="12">
        <f>IF(F1767&lt;&gt;0,"LANÇAR","")</f>
        <v/>
      </c>
      <c r="L1767" s="13">
        <f>N1767&amp;O1767&amp;P1767&amp;Q1767&amp;R1767&amp;S1767&amp;T1767&amp;U1767&amp;V1767&amp;W1767&amp;X1767&amp;Y1767&amp;Z1767&amp;AA1767&amp;AB1767&amp;AC1767&amp;AD1767&amp;AE1767&amp;AF1767&amp;AG1767</f>
        <v/>
      </c>
      <c r="N1767" s="10">
        <f>TEXT($B$6,"00")</f>
        <v/>
      </c>
      <c r="O1767" s="10">
        <f>REPT(" ",8)</f>
        <v/>
      </c>
      <c r="P1767" s="10">
        <f>RIGHT($B$4,2)</f>
        <v/>
      </c>
      <c r="Q1767" s="10">
        <f>RIGHT($B$5,3)</f>
        <v/>
      </c>
      <c r="R1767" s="10">
        <f>IF(A1767="D",LEFT(UPPER(B1767)&amp;REPT(" ",20),20),REPT(" ",20))</f>
        <v/>
      </c>
      <c r="S1767" s="10">
        <f>IF(A1767="D",LEFT(UPPER(C1767)&amp;REPT(" ",10),10)," ")</f>
        <v/>
      </c>
      <c r="T1767" s="10">
        <f>IF(A1767="D",LEFT(UPPER(D1767)&amp;REPT(" ",2),2)," ")</f>
        <v/>
      </c>
      <c r="U1767" s="10">
        <f>IF(A1767="D",LEFT(UPPER(E1767)&amp;REPT(" ",15),15)," ")</f>
        <v/>
      </c>
      <c r="V1767" s="10">
        <f>REPT(" ",24)</f>
        <v/>
      </c>
      <c r="W1767" s="10">
        <f>IF(A1767="c",LEFT(UPPER(B1767)&amp;REPT(" ",20),20),REPT(" ",20))</f>
        <v/>
      </c>
      <c r="X1767" s="10">
        <f>IF(A1767="C",LEFT(UPPER(C1767)&amp;REPT(" ",10),10)," ")</f>
        <v/>
      </c>
      <c r="Y1767" s="10">
        <f>IF(A1767="C",LEFT(UPPER(D1767)&amp;REPT(" ",2),2)," ")</f>
        <v/>
      </c>
      <c r="Z1767" s="10">
        <f>IF(A1767="C",LEFT(UPPER(E1767)&amp;REPT(" ",15),15)," ")</f>
        <v/>
      </c>
      <c r="AA1767" s="10">
        <f>REPT(" ",8)</f>
        <v/>
      </c>
      <c r="AB1767" s="10">
        <f>REPT(" ",4)</f>
        <v/>
      </c>
      <c r="AC1767" s="10">
        <f>LEFT(UPPER(H1767)&amp;REPT(" ",250),250)</f>
        <v/>
      </c>
      <c r="AD1767" s="10">
        <f>TEXT($G$2,"dd/mm/aaaa")</f>
        <v/>
      </c>
      <c r="AE1767" s="10">
        <f>REPT(" ",10)</f>
        <v/>
      </c>
      <c r="AF1767" s="10">
        <f>REPT(" ",20)</f>
        <v/>
      </c>
      <c r="AG1767" s="54">
        <f>REPT(" ",18-LEN(FIXED(F1767,2,TRUE)))&amp;FIXED(F1767,2,TRUE)</f>
        <v/>
      </c>
      <c r="AH1767" s="10">
        <f>LEN(AC1767)+LEN(AG1767)</f>
        <v/>
      </c>
      <c r="AI1767" s="10">
        <f>LEN(L1767)</f>
        <v/>
      </c>
    </row>
    <row r="1768">
      <c r="J1768" s="12">
        <f>IF(F1768&lt;&gt;0,"LANÇAR","")</f>
        <v/>
      </c>
      <c r="L1768" s="13">
        <f>N1768&amp;O1768&amp;P1768&amp;Q1768&amp;R1768&amp;S1768&amp;T1768&amp;U1768&amp;V1768&amp;W1768&amp;X1768&amp;Y1768&amp;Z1768&amp;AA1768&amp;AB1768&amp;AC1768&amp;AD1768&amp;AE1768&amp;AF1768&amp;AG1768</f>
        <v/>
      </c>
      <c r="N1768" s="10">
        <f>TEXT($B$6,"00")</f>
        <v/>
      </c>
      <c r="O1768" s="10">
        <f>REPT(" ",8)</f>
        <v/>
      </c>
      <c r="P1768" s="10">
        <f>RIGHT($B$4,2)</f>
        <v/>
      </c>
      <c r="Q1768" s="10">
        <f>RIGHT($B$5,3)</f>
        <v/>
      </c>
      <c r="R1768" s="10">
        <f>IF(A1768="D",LEFT(UPPER(B1768)&amp;REPT(" ",20),20),REPT(" ",20))</f>
        <v/>
      </c>
      <c r="S1768" s="10">
        <f>IF(A1768="D",LEFT(UPPER(C1768)&amp;REPT(" ",10),10)," ")</f>
        <v/>
      </c>
      <c r="T1768" s="10">
        <f>IF(A1768="D",LEFT(UPPER(D1768)&amp;REPT(" ",2),2)," ")</f>
        <v/>
      </c>
      <c r="U1768" s="10">
        <f>IF(A1768="D",LEFT(UPPER(E1768)&amp;REPT(" ",15),15)," ")</f>
        <v/>
      </c>
      <c r="V1768" s="10">
        <f>REPT(" ",24)</f>
        <v/>
      </c>
      <c r="W1768" s="10">
        <f>IF(A1768="c",LEFT(UPPER(B1768)&amp;REPT(" ",20),20),REPT(" ",20))</f>
        <v/>
      </c>
      <c r="X1768" s="10">
        <f>IF(A1768="C",LEFT(UPPER(C1768)&amp;REPT(" ",10),10)," ")</f>
        <v/>
      </c>
      <c r="Y1768" s="10">
        <f>IF(A1768="C",LEFT(UPPER(D1768)&amp;REPT(" ",2),2)," ")</f>
        <v/>
      </c>
      <c r="Z1768" s="10">
        <f>IF(A1768="C",LEFT(UPPER(E1768)&amp;REPT(" ",15),15)," ")</f>
        <v/>
      </c>
      <c r="AA1768" s="10">
        <f>REPT(" ",8)</f>
        <v/>
      </c>
      <c r="AB1768" s="10">
        <f>REPT(" ",4)</f>
        <v/>
      </c>
      <c r="AC1768" s="10">
        <f>LEFT(UPPER(H1768)&amp;REPT(" ",250),250)</f>
        <v/>
      </c>
      <c r="AD1768" s="10">
        <f>TEXT($G$2,"dd/mm/aaaa")</f>
        <v/>
      </c>
      <c r="AE1768" s="10">
        <f>REPT(" ",10)</f>
        <v/>
      </c>
      <c r="AF1768" s="10">
        <f>REPT(" ",20)</f>
        <v/>
      </c>
      <c r="AG1768" s="54">
        <f>REPT(" ",18-LEN(FIXED(F1768,2,TRUE)))&amp;FIXED(F1768,2,TRUE)</f>
        <v/>
      </c>
      <c r="AH1768" s="10">
        <f>LEN(AC1768)+LEN(AG1768)</f>
        <v/>
      </c>
      <c r="AI1768" s="10">
        <f>LEN(L1768)</f>
        <v/>
      </c>
    </row>
    <row r="1769">
      <c r="J1769" s="12">
        <f>IF(F1769&lt;&gt;0,"LANÇAR","")</f>
        <v/>
      </c>
      <c r="L1769" s="13">
        <f>N1769&amp;O1769&amp;P1769&amp;Q1769&amp;R1769&amp;S1769&amp;T1769&amp;U1769&amp;V1769&amp;W1769&amp;X1769&amp;Y1769&amp;Z1769&amp;AA1769&amp;AB1769&amp;AC1769&amp;AD1769&amp;AE1769&amp;AF1769&amp;AG1769</f>
        <v/>
      </c>
      <c r="N1769" s="10">
        <f>TEXT($B$6,"00")</f>
        <v/>
      </c>
      <c r="O1769" s="10">
        <f>REPT(" ",8)</f>
        <v/>
      </c>
      <c r="P1769" s="10">
        <f>RIGHT($B$4,2)</f>
        <v/>
      </c>
      <c r="Q1769" s="10">
        <f>RIGHT($B$5,3)</f>
        <v/>
      </c>
      <c r="R1769" s="10">
        <f>IF(A1769="D",LEFT(UPPER(B1769)&amp;REPT(" ",20),20),REPT(" ",20))</f>
        <v/>
      </c>
      <c r="S1769" s="10">
        <f>IF(A1769="D",LEFT(UPPER(C1769)&amp;REPT(" ",10),10)," ")</f>
        <v/>
      </c>
      <c r="T1769" s="10">
        <f>IF(A1769="D",LEFT(UPPER(D1769)&amp;REPT(" ",2),2)," ")</f>
        <v/>
      </c>
      <c r="U1769" s="10">
        <f>IF(A1769="D",LEFT(UPPER(E1769)&amp;REPT(" ",15),15)," ")</f>
        <v/>
      </c>
      <c r="V1769" s="10">
        <f>REPT(" ",24)</f>
        <v/>
      </c>
      <c r="W1769" s="10">
        <f>IF(A1769="c",LEFT(UPPER(B1769)&amp;REPT(" ",20),20),REPT(" ",20))</f>
        <v/>
      </c>
      <c r="X1769" s="10">
        <f>IF(A1769="C",LEFT(UPPER(C1769)&amp;REPT(" ",10),10)," ")</f>
        <v/>
      </c>
      <c r="Y1769" s="10">
        <f>IF(A1769="C",LEFT(UPPER(D1769)&amp;REPT(" ",2),2)," ")</f>
        <v/>
      </c>
      <c r="Z1769" s="10">
        <f>IF(A1769="C",LEFT(UPPER(E1769)&amp;REPT(" ",15),15)," ")</f>
        <v/>
      </c>
      <c r="AA1769" s="10">
        <f>REPT(" ",8)</f>
        <v/>
      </c>
      <c r="AB1769" s="10">
        <f>REPT(" ",4)</f>
        <v/>
      </c>
      <c r="AC1769" s="10">
        <f>LEFT(UPPER(H1769)&amp;REPT(" ",250),250)</f>
        <v/>
      </c>
      <c r="AD1769" s="10">
        <f>TEXT($G$2,"dd/mm/aaaa")</f>
        <v/>
      </c>
      <c r="AE1769" s="10">
        <f>REPT(" ",10)</f>
        <v/>
      </c>
      <c r="AF1769" s="10">
        <f>REPT(" ",20)</f>
        <v/>
      </c>
      <c r="AG1769" s="54">
        <f>REPT(" ",18-LEN(FIXED(F1769,2,TRUE)))&amp;FIXED(F1769,2,TRUE)</f>
        <v/>
      </c>
      <c r="AH1769" s="10">
        <f>LEN(AC1769)+LEN(AG1769)</f>
        <v/>
      </c>
      <c r="AI1769" s="10">
        <f>LEN(L1769)</f>
        <v/>
      </c>
    </row>
    <row r="1770">
      <c r="J1770" s="12">
        <f>IF(F1770&lt;&gt;0,"LANÇAR","")</f>
        <v/>
      </c>
      <c r="L1770" s="13">
        <f>N1770&amp;O1770&amp;P1770&amp;Q1770&amp;R1770&amp;S1770&amp;T1770&amp;U1770&amp;V1770&amp;W1770&amp;X1770&amp;Y1770&amp;Z1770&amp;AA1770&amp;AB1770&amp;AC1770&amp;AD1770&amp;AE1770&amp;AF1770&amp;AG1770</f>
        <v/>
      </c>
      <c r="N1770" s="10">
        <f>TEXT($B$6,"00")</f>
        <v/>
      </c>
      <c r="O1770" s="10">
        <f>REPT(" ",8)</f>
        <v/>
      </c>
      <c r="P1770" s="10">
        <f>RIGHT($B$4,2)</f>
        <v/>
      </c>
      <c r="Q1770" s="10">
        <f>RIGHT($B$5,3)</f>
        <v/>
      </c>
      <c r="R1770" s="10">
        <f>IF(A1770="D",LEFT(UPPER(B1770)&amp;REPT(" ",20),20),REPT(" ",20))</f>
        <v/>
      </c>
      <c r="S1770" s="10">
        <f>IF(A1770="D",LEFT(UPPER(C1770)&amp;REPT(" ",10),10)," ")</f>
        <v/>
      </c>
      <c r="T1770" s="10">
        <f>IF(A1770="D",LEFT(UPPER(D1770)&amp;REPT(" ",2),2)," ")</f>
        <v/>
      </c>
      <c r="U1770" s="10">
        <f>IF(A1770="D",LEFT(UPPER(E1770)&amp;REPT(" ",15),15)," ")</f>
        <v/>
      </c>
      <c r="V1770" s="10">
        <f>REPT(" ",24)</f>
        <v/>
      </c>
      <c r="W1770" s="10">
        <f>IF(A1770="c",LEFT(UPPER(B1770)&amp;REPT(" ",20),20),REPT(" ",20))</f>
        <v/>
      </c>
      <c r="X1770" s="10">
        <f>IF(A1770="C",LEFT(UPPER(C1770)&amp;REPT(" ",10),10)," ")</f>
        <v/>
      </c>
      <c r="Y1770" s="10">
        <f>IF(A1770="C",LEFT(UPPER(D1770)&amp;REPT(" ",2),2)," ")</f>
        <v/>
      </c>
      <c r="Z1770" s="10">
        <f>IF(A1770="C",LEFT(UPPER(E1770)&amp;REPT(" ",15),15)," ")</f>
        <v/>
      </c>
      <c r="AA1770" s="10">
        <f>REPT(" ",8)</f>
        <v/>
      </c>
      <c r="AB1770" s="10">
        <f>REPT(" ",4)</f>
        <v/>
      </c>
      <c r="AC1770" s="10">
        <f>LEFT(UPPER(H1770)&amp;REPT(" ",250),250)</f>
        <v/>
      </c>
      <c r="AD1770" s="10">
        <f>TEXT($G$2,"dd/mm/aaaa")</f>
        <v/>
      </c>
      <c r="AE1770" s="10">
        <f>REPT(" ",10)</f>
        <v/>
      </c>
      <c r="AF1770" s="10">
        <f>REPT(" ",20)</f>
        <v/>
      </c>
      <c r="AG1770" s="54">
        <f>REPT(" ",18-LEN(FIXED(F1770,2,TRUE)))&amp;FIXED(F1770,2,TRUE)</f>
        <v/>
      </c>
      <c r="AH1770" s="10">
        <f>LEN(AC1770)+LEN(AG1770)</f>
        <v/>
      </c>
      <c r="AI1770" s="10">
        <f>LEN(L1770)</f>
        <v/>
      </c>
    </row>
    <row r="1771">
      <c r="J1771" s="12">
        <f>IF(F1771&lt;&gt;0,"LANÇAR","")</f>
        <v/>
      </c>
      <c r="L1771" s="13">
        <f>N1771&amp;O1771&amp;P1771&amp;Q1771&amp;R1771&amp;S1771&amp;T1771&amp;U1771&amp;V1771&amp;W1771&amp;X1771&amp;Y1771&amp;Z1771&amp;AA1771&amp;AB1771&amp;AC1771&amp;AD1771&amp;AE1771&amp;AF1771&amp;AG1771</f>
        <v/>
      </c>
      <c r="N1771" s="10">
        <f>TEXT($B$6,"00")</f>
        <v/>
      </c>
      <c r="O1771" s="10">
        <f>REPT(" ",8)</f>
        <v/>
      </c>
      <c r="P1771" s="10">
        <f>RIGHT($B$4,2)</f>
        <v/>
      </c>
      <c r="Q1771" s="10">
        <f>RIGHT($B$5,3)</f>
        <v/>
      </c>
      <c r="R1771" s="10">
        <f>IF(A1771="D",LEFT(UPPER(B1771)&amp;REPT(" ",20),20),REPT(" ",20))</f>
        <v/>
      </c>
      <c r="S1771" s="10">
        <f>IF(A1771="D",LEFT(UPPER(C1771)&amp;REPT(" ",10),10)," ")</f>
        <v/>
      </c>
      <c r="T1771" s="10">
        <f>IF(A1771="D",LEFT(UPPER(D1771)&amp;REPT(" ",2),2)," ")</f>
        <v/>
      </c>
      <c r="U1771" s="10">
        <f>IF(A1771="D",LEFT(UPPER(E1771)&amp;REPT(" ",15),15)," ")</f>
        <v/>
      </c>
      <c r="V1771" s="10">
        <f>REPT(" ",24)</f>
        <v/>
      </c>
      <c r="W1771" s="10">
        <f>IF(A1771="c",LEFT(UPPER(B1771)&amp;REPT(" ",20),20),REPT(" ",20))</f>
        <v/>
      </c>
      <c r="X1771" s="10">
        <f>IF(A1771="C",LEFT(UPPER(C1771)&amp;REPT(" ",10),10)," ")</f>
        <v/>
      </c>
      <c r="Y1771" s="10">
        <f>IF(A1771="C",LEFT(UPPER(D1771)&amp;REPT(" ",2),2)," ")</f>
        <v/>
      </c>
      <c r="Z1771" s="10">
        <f>IF(A1771="C",LEFT(UPPER(E1771)&amp;REPT(" ",15),15)," ")</f>
        <v/>
      </c>
      <c r="AA1771" s="10">
        <f>REPT(" ",8)</f>
        <v/>
      </c>
      <c r="AB1771" s="10">
        <f>REPT(" ",4)</f>
        <v/>
      </c>
      <c r="AC1771" s="10">
        <f>LEFT(UPPER(H1771)&amp;REPT(" ",250),250)</f>
        <v/>
      </c>
      <c r="AD1771" s="10">
        <f>TEXT($G$2,"dd/mm/aaaa")</f>
        <v/>
      </c>
      <c r="AE1771" s="10">
        <f>REPT(" ",10)</f>
        <v/>
      </c>
      <c r="AF1771" s="10">
        <f>REPT(" ",20)</f>
        <v/>
      </c>
      <c r="AG1771" s="54">
        <f>REPT(" ",18-LEN(FIXED(F1771,2,TRUE)))&amp;FIXED(F1771,2,TRUE)</f>
        <v/>
      </c>
      <c r="AH1771" s="10">
        <f>LEN(AC1771)+LEN(AG1771)</f>
        <v/>
      </c>
      <c r="AI1771" s="10">
        <f>LEN(L1771)</f>
        <v/>
      </c>
    </row>
    <row r="1772">
      <c r="J1772" s="12">
        <f>IF(F1772&lt;&gt;0,"LANÇAR","")</f>
        <v/>
      </c>
      <c r="L1772" s="13">
        <f>N1772&amp;O1772&amp;P1772&amp;Q1772&amp;R1772&amp;S1772&amp;T1772&amp;U1772&amp;V1772&amp;W1772&amp;X1772&amp;Y1772&amp;Z1772&amp;AA1772&amp;AB1772&amp;AC1772&amp;AD1772&amp;AE1772&amp;AF1772&amp;AG1772</f>
        <v/>
      </c>
      <c r="N1772" s="10">
        <f>TEXT($B$6,"00")</f>
        <v/>
      </c>
      <c r="O1772" s="10">
        <f>REPT(" ",8)</f>
        <v/>
      </c>
      <c r="P1772" s="10">
        <f>RIGHT($B$4,2)</f>
        <v/>
      </c>
      <c r="Q1772" s="10">
        <f>RIGHT($B$5,3)</f>
        <v/>
      </c>
      <c r="R1772" s="10">
        <f>IF(A1772="D",LEFT(UPPER(B1772)&amp;REPT(" ",20),20),REPT(" ",20))</f>
        <v/>
      </c>
      <c r="S1772" s="10">
        <f>IF(A1772="D",LEFT(UPPER(C1772)&amp;REPT(" ",10),10)," ")</f>
        <v/>
      </c>
      <c r="T1772" s="10">
        <f>IF(A1772="D",LEFT(UPPER(D1772)&amp;REPT(" ",2),2)," ")</f>
        <v/>
      </c>
      <c r="U1772" s="10">
        <f>IF(A1772="D",LEFT(UPPER(E1772)&amp;REPT(" ",15),15)," ")</f>
        <v/>
      </c>
      <c r="V1772" s="10">
        <f>REPT(" ",24)</f>
        <v/>
      </c>
      <c r="W1772" s="10">
        <f>IF(A1772="c",LEFT(UPPER(B1772)&amp;REPT(" ",20),20),REPT(" ",20))</f>
        <v/>
      </c>
      <c r="X1772" s="10">
        <f>IF(A1772="C",LEFT(UPPER(C1772)&amp;REPT(" ",10),10)," ")</f>
        <v/>
      </c>
      <c r="Y1772" s="10">
        <f>IF(A1772="C",LEFT(UPPER(D1772)&amp;REPT(" ",2),2)," ")</f>
        <v/>
      </c>
      <c r="Z1772" s="10">
        <f>IF(A1772="C",LEFT(UPPER(E1772)&amp;REPT(" ",15),15)," ")</f>
        <v/>
      </c>
      <c r="AA1772" s="10">
        <f>REPT(" ",8)</f>
        <v/>
      </c>
      <c r="AB1772" s="10">
        <f>REPT(" ",4)</f>
        <v/>
      </c>
      <c r="AC1772" s="10">
        <f>LEFT(UPPER(H1772)&amp;REPT(" ",250),250)</f>
        <v/>
      </c>
      <c r="AD1772" s="10">
        <f>TEXT($G$2,"dd/mm/aaaa")</f>
        <v/>
      </c>
      <c r="AE1772" s="10">
        <f>REPT(" ",10)</f>
        <v/>
      </c>
      <c r="AF1772" s="10">
        <f>REPT(" ",20)</f>
        <v/>
      </c>
      <c r="AG1772" s="54">
        <f>REPT(" ",18-LEN(FIXED(F1772,2,TRUE)))&amp;FIXED(F1772,2,TRUE)</f>
        <v/>
      </c>
      <c r="AH1772" s="10">
        <f>LEN(AC1772)+LEN(AG1772)</f>
        <v/>
      </c>
      <c r="AI1772" s="10">
        <f>LEN(L1772)</f>
        <v/>
      </c>
    </row>
    <row r="1773">
      <c r="J1773" s="12">
        <f>IF(F1773&lt;&gt;0,"LANÇAR","")</f>
        <v/>
      </c>
      <c r="L1773" s="13">
        <f>N1773&amp;O1773&amp;P1773&amp;Q1773&amp;R1773&amp;S1773&amp;T1773&amp;U1773&amp;V1773&amp;W1773&amp;X1773&amp;Y1773&amp;Z1773&amp;AA1773&amp;AB1773&amp;AC1773&amp;AD1773&amp;AE1773&amp;AF1773&amp;AG1773</f>
        <v/>
      </c>
      <c r="N1773" s="10">
        <f>TEXT($B$6,"00")</f>
        <v/>
      </c>
      <c r="O1773" s="10">
        <f>REPT(" ",8)</f>
        <v/>
      </c>
      <c r="P1773" s="10">
        <f>RIGHT($B$4,2)</f>
        <v/>
      </c>
      <c r="Q1773" s="10">
        <f>RIGHT($B$5,3)</f>
        <v/>
      </c>
      <c r="R1773" s="10">
        <f>IF(A1773="D",LEFT(UPPER(B1773)&amp;REPT(" ",20),20),REPT(" ",20))</f>
        <v/>
      </c>
      <c r="S1773" s="10">
        <f>IF(A1773="D",LEFT(UPPER(C1773)&amp;REPT(" ",10),10)," ")</f>
        <v/>
      </c>
      <c r="T1773" s="10">
        <f>IF(A1773="D",LEFT(UPPER(D1773)&amp;REPT(" ",2),2)," ")</f>
        <v/>
      </c>
      <c r="U1773" s="10">
        <f>IF(A1773="D",LEFT(UPPER(E1773)&amp;REPT(" ",15),15)," ")</f>
        <v/>
      </c>
      <c r="V1773" s="10">
        <f>REPT(" ",24)</f>
        <v/>
      </c>
      <c r="W1773" s="10">
        <f>IF(A1773="c",LEFT(UPPER(B1773)&amp;REPT(" ",20),20),REPT(" ",20))</f>
        <v/>
      </c>
      <c r="X1773" s="10">
        <f>IF(A1773="C",LEFT(UPPER(C1773)&amp;REPT(" ",10),10)," ")</f>
        <v/>
      </c>
      <c r="Y1773" s="10">
        <f>IF(A1773="C",LEFT(UPPER(D1773)&amp;REPT(" ",2),2)," ")</f>
        <v/>
      </c>
      <c r="Z1773" s="10">
        <f>IF(A1773="C",LEFT(UPPER(E1773)&amp;REPT(" ",15),15)," ")</f>
        <v/>
      </c>
      <c r="AA1773" s="10">
        <f>REPT(" ",8)</f>
        <v/>
      </c>
      <c r="AB1773" s="10">
        <f>REPT(" ",4)</f>
        <v/>
      </c>
      <c r="AC1773" s="10">
        <f>LEFT(UPPER(H1773)&amp;REPT(" ",250),250)</f>
        <v/>
      </c>
      <c r="AD1773" s="10">
        <f>TEXT($G$2,"dd/mm/aaaa")</f>
        <v/>
      </c>
      <c r="AE1773" s="10">
        <f>REPT(" ",10)</f>
        <v/>
      </c>
      <c r="AF1773" s="10">
        <f>REPT(" ",20)</f>
        <v/>
      </c>
      <c r="AG1773" s="54">
        <f>REPT(" ",18-LEN(FIXED(F1773,2,TRUE)))&amp;FIXED(F1773,2,TRUE)</f>
        <v/>
      </c>
      <c r="AH1773" s="10">
        <f>LEN(AC1773)+LEN(AG1773)</f>
        <v/>
      </c>
      <c r="AI1773" s="10">
        <f>LEN(L1773)</f>
        <v/>
      </c>
    </row>
    <row r="1774">
      <c r="J1774" s="12">
        <f>IF(F1774&lt;&gt;0,"LANÇAR","")</f>
        <v/>
      </c>
      <c r="L1774" s="13">
        <f>N1774&amp;O1774&amp;P1774&amp;Q1774&amp;R1774&amp;S1774&amp;T1774&amp;U1774&amp;V1774&amp;W1774&amp;X1774&amp;Y1774&amp;Z1774&amp;AA1774&amp;AB1774&amp;AC1774&amp;AD1774&amp;AE1774&amp;AF1774&amp;AG1774</f>
        <v/>
      </c>
      <c r="N1774" s="10">
        <f>TEXT($B$6,"00")</f>
        <v/>
      </c>
      <c r="O1774" s="10">
        <f>REPT(" ",8)</f>
        <v/>
      </c>
      <c r="P1774" s="10">
        <f>RIGHT($B$4,2)</f>
        <v/>
      </c>
      <c r="Q1774" s="10">
        <f>RIGHT($B$5,3)</f>
        <v/>
      </c>
      <c r="R1774" s="10">
        <f>IF(A1774="D",LEFT(UPPER(B1774)&amp;REPT(" ",20),20),REPT(" ",20))</f>
        <v/>
      </c>
      <c r="S1774" s="10">
        <f>IF(A1774="D",LEFT(UPPER(C1774)&amp;REPT(" ",10),10)," ")</f>
        <v/>
      </c>
      <c r="T1774" s="10">
        <f>IF(A1774="D",LEFT(UPPER(D1774)&amp;REPT(" ",2),2)," ")</f>
        <v/>
      </c>
      <c r="U1774" s="10">
        <f>IF(A1774="D",LEFT(UPPER(E1774)&amp;REPT(" ",15),15)," ")</f>
        <v/>
      </c>
      <c r="V1774" s="10">
        <f>REPT(" ",24)</f>
        <v/>
      </c>
      <c r="W1774" s="10">
        <f>IF(A1774="c",LEFT(UPPER(B1774)&amp;REPT(" ",20),20),REPT(" ",20))</f>
        <v/>
      </c>
      <c r="X1774" s="10">
        <f>IF(A1774="C",LEFT(UPPER(C1774)&amp;REPT(" ",10),10)," ")</f>
        <v/>
      </c>
      <c r="Y1774" s="10">
        <f>IF(A1774="C",LEFT(UPPER(D1774)&amp;REPT(" ",2),2)," ")</f>
        <v/>
      </c>
      <c r="Z1774" s="10">
        <f>IF(A1774="C",LEFT(UPPER(E1774)&amp;REPT(" ",15),15)," ")</f>
        <v/>
      </c>
      <c r="AA1774" s="10">
        <f>REPT(" ",8)</f>
        <v/>
      </c>
      <c r="AB1774" s="10">
        <f>REPT(" ",4)</f>
        <v/>
      </c>
      <c r="AC1774" s="10">
        <f>LEFT(UPPER(H1774)&amp;REPT(" ",250),250)</f>
        <v/>
      </c>
      <c r="AD1774" s="10">
        <f>TEXT($G$2,"dd/mm/aaaa")</f>
        <v/>
      </c>
      <c r="AE1774" s="10">
        <f>REPT(" ",10)</f>
        <v/>
      </c>
      <c r="AF1774" s="10">
        <f>REPT(" ",20)</f>
        <v/>
      </c>
      <c r="AG1774" s="54">
        <f>REPT(" ",18-LEN(FIXED(F1774,2,TRUE)))&amp;FIXED(F1774,2,TRUE)</f>
        <v/>
      </c>
      <c r="AH1774" s="10">
        <f>LEN(AC1774)+LEN(AG1774)</f>
        <v/>
      </c>
      <c r="AI1774" s="10">
        <f>LEN(L1774)</f>
        <v/>
      </c>
    </row>
    <row r="1775">
      <c r="J1775" s="12">
        <f>IF(F1775&lt;&gt;0,"LANÇAR","")</f>
        <v/>
      </c>
      <c r="L1775" s="13">
        <f>N1775&amp;O1775&amp;P1775&amp;Q1775&amp;R1775&amp;S1775&amp;T1775&amp;U1775&amp;V1775&amp;W1775&amp;X1775&amp;Y1775&amp;Z1775&amp;AA1775&amp;AB1775&amp;AC1775&amp;AD1775&amp;AE1775&amp;AF1775&amp;AG1775</f>
        <v/>
      </c>
      <c r="N1775" s="10">
        <f>TEXT($B$6,"00")</f>
        <v/>
      </c>
      <c r="O1775" s="10">
        <f>REPT(" ",8)</f>
        <v/>
      </c>
      <c r="P1775" s="10">
        <f>RIGHT($B$4,2)</f>
        <v/>
      </c>
      <c r="Q1775" s="10">
        <f>RIGHT($B$5,3)</f>
        <v/>
      </c>
      <c r="R1775" s="10">
        <f>IF(A1775="D",LEFT(UPPER(B1775)&amp;REPT(" ",20),20),REPT(" ",20))</f>
        <v/>
      </c>
      <c r="S1775" s="10">
        <f>IF(A1775="D",LEFT(UPPER(C1775)&amp;REPT(" ",10),10)," ")</f>
        <v/>
      </c>
      <c r="T1775" s="10">
        <f>IF(A1775="D",LEFT(UPPER(D1775)&amp;REPT(" ",2),2)," ")</f>
        <v/>
      </c>
      <c r="U1775" s="10">
        <f>IF(A1775="D",LEFT(UPPER(E1775)&amp;REPT(" ",15),15)," ")</f>
        <v/>
      </c>
      <c r="V1775" s="10">
        <f>REPT(" ",24)</f>
        <v/>
      </c>
      <c r="W1775" s="10">
        <f>IF(A1775="c",LEFT(UPPER(B1775)&amp;REPT(" ",20),20),REPT(" ",20))</f>
        <v/>
      </c>
      <c r="X1775" s="10">
        <f>IF(A1775="C",LEFT(UPPER(C1775)&amp;REPT(" ",10),10)," ")</f>
        <v/>
      </c>
      <c r="Y1775" s="10">
        <f>IF(A1775="C",LEFT(UPPER(D1775)&amp;REPT(" ",2),2)," ")</f>
        <v/>
      </c>
      <c r="Z1775" s="10">
        <f>IF(A1775="C",LEFT(UPPER(E1775)&amp;REPT(" ",15),15)," ")</f>
        <v/>
      </c>
      <c r="AA1775" s="10">
        <f>REPT(" ",8)</f>
        <v/>
      </c>
      <c r="AB1775" s="10">
        <f>REPT(" ",4)</f>
        <v/>
      </c>
      <c r="AC1775" s="10">
        <f>LEFT(UPPER(H1775)&amp;REPT(" ",250),250)</f>
        <v/>
      </c>
      <c r="AD1775" s="10">
        <f>TEXT($G$2,"dd/mm/aaaa")</f>
        <v/>
      </c>
      <c r="AE1775" s="10">
        <f>REPT(" ",10)</f>
        <v/>
      </c>
      <c r="AF1775" s="10">
        <f>REPT(" ",20)</f>
        <v/>
      </c>
      <c r="AG1775" s="54">
        <f>REPT(" ",18-LEN(FIXED(F1775,2,TRUE)))&amp;FIXED(F1775,2,TRUE)</f>
        <v/>
      </c>
      <c r="AH1775" s="10">
        <f>LEN(AC1775)+LEN(AG1775)</f>
        <v/>
      </c>
      <c r="AI1775" s="10">
        <f>LEN(L1775)</f>
        <v/>
      </c>
    </row>
    <row r="1776">
      <c r="J1776" s="12">
        <f>IF(F1776&lt;&gt;0,"LANÇAR","")</f>
        <v/>
      </c>
      <c r="L1776" s="13">
        <f>N1776&amp;O1776&amp;P1776&amp;Q1776&amp;R1776&amp;S1776&amp;T1776&amp;U1776&amp;V1776&amp;W1776&amp;X1776&amp;Y1776&amp;Z1776&amp;AA1776&amp;AB1776&amp;AC1776&amp;AD1776&amp;AE1776&amp;AF1776&amp;AG1776</f>
        <v/>
      </c>
      <c r="N1776" s="10">
        <f>TEXT($B$6,"00")</f>
        <v/>
      </c>
      <c r="O1776" s="10">
        <f>REPT(" ",8)</f>
        <v/>
      </c>
      <c r="P1776" s="10">
        <f>RIGHT($B$4,2)</f>
        <v/>
      </c>
      <c r="Q1776" s="10">
        <f>RIGHT($B$5,3)</f>
        <v/>
      </c>
      <c r="R1776" s="10">
        <f>IF(A1776="D",LEFT(UPPER(B1776)&amp;REPT(" ",20),20),REPT(" ",20))</f>
        <v/>
      </c>
      <c r="S1776" s="10">
        <f>IF(A1776="D",LEFT(UPPER(C1776)&amp;REPT(" ",10),10)," ")</f>
        <v/>
      </c>
      <c r="T1776" s="10">
        <f>IF(A1776="D",LEFT(UPPER(D1776)&amp;REPT(" ",2),2)," ")</f>
        <v/>
      </c>
      <c r="U1776" s="10">
        <f>IF(A1776="D",LEFT(UPPER(E1776)&amp;REPT(" ",15),15)," ")</f>
        <v/>
      </c>
      <c r="V1776" s="10">
        <f>REPT(" ",24)</f>
        <v/>
      </c>
      <c r="W1776" s="10">
        <f>IF(A1776="c",LEFT(UPPER(B1776)&amp;REPT(" ",20),20),REPT(" ",20))</f>
        <v/>
      </c>
      <c r="X1776" s="10">
        <f>IF(A1776="C",LEFT(UPPER(C1776)&amp;REPT(" ",10),10)," ")</f>
        <v/>
      </c>
      <c r="Y1776" s="10">
        <f>IF(A1776="C",LEFT(UPPER(D1776)&amp;REPT(" ",2),2)," ")</f>
        <v/>
      </c>
      <c r="Z1776" s="10">
        <f>IF(A1776="C",LEFT(UPPER(E1776)&amp;REPT(" ",15),15)," ")</f>
        <v/>
      </c>
      <c r="AA1776" s="10">
        <f>REPT(" ",8)</f>
        <v/>
      </c>
      <c r="AB1776" s="10">
        <f>REPT(" ",4)</f>
        <v/>
      </c>
      <c r="AC1776" s="10">
        <f>LEFT(UPPER(H1776)&amp;REPT(" ",250),250)</f>
        <v/>
      </c>
      <c r="AD1776" s="10">
        <f>TEXT($G$2,"dd/mm/aaaa")</f>
        <v/>
      </c>
      <c r="AE1776" s="10">
        <f>REPT(" ",10)</f>
        <v/>
      </c>
      <c r="AF1776" s="10">
        <f>REPT(" ",20)</f>
        <v/>
      </c>
      <c r="AG1776" s="54">
        <f>REPT(" ",18-LEN(FIXED(F1776,2,TRUE)))&amp;FIXED(F1776,2,TRUE)</f>
        <v/>
      </c>
      <c r="AH1776" s="10">
        <f>LEN(AC1776)+LEN(AG1776)</f>
        <v/>
      </c>
      <c r="AI1776" s="10">
        <f>LEN(L1776)</f>
        <v/>
      </c>
    </row>
    <row r="1777">
      <c r="J1777" s="12">
        <f>IF(F1777&lt;&gt;0,"LANÇAR","")</f>
        <v/>
      </c>
      <c r="L1777" s="13">
        <f>N1777&amp;O1777&amp;P1777&amp;Q1777&amp;R1777&amp;S1777&amp;T1777&amp;U1777&amp;V1777&amp;W1777&amp;X1777&amp;Y1777&amp;Z1777&amp;AA1777&amp;AB1777&amp;AC1777&amp;AD1777&amp;AE1777&amp;AF1777&amp;AG1777</f>
        <v/>
      </c>
      <c r="N1777" s="10">
        <f>TEXT($B$6,"00")</f>
        <v/>
      </c>
      <c r="O1777" s="10">
        <f>REPT(" ",8)</f>
        <v/>
      </c>
      <c r="P1777" s="10">
        <f>RIGHT($B$4,2)</f>
        <v/>
      </c>
      <c r="Q1777" s="10">
        <f>RIGHT($B$5,3)</f>
        <v/>
      </c>
      <c r="R1777" s="10">
        <f>IF(A1777="D",LEFT(UPPER(B1777)&amp;REPT(" ",20),20),REPT(" ",20))</f>
        <v/>
      </c>
      <c r="S1777" s="10">
        <f>IF(A1777="D",LEFT(UPPER(C1777)&amp;REPT(" ",10),10)," ")</f>
        <v/>
      </c>
      <c r="T1777" s="10">
        <f>IF(A1777="D",LEFT(UPPER(D1777)&amp;REPT(" ",2),2)," ")</f>
        <v/>
      </c>
      <c r="U1777" s="10">
        <f>IF(A1777="D",LEFT(UPPER(E1777)&amp;REPT(" ",15),15)," ")</f>
        <v/>
      </c>
      <c r="V1777" s="10">
        <f>REPT(" ",24)</f>
        <v/>
      </c>
      <c r="W1777" s="10">
        <f>IF(A1777="c",LEFT(UPPER(B1777)&amp;REPT(" ",20),20),REPT(" ",20))</f>
        <v/>
      </c>
      <c r="X1777" s="10">
        <f>IF(A1777="C",LEFT(UPPER(C1777)&amp;REPT(" ",10),10)," ")</f>
        <v/>
      </c>
      <c r="Y1777" s="10">
        <f>IF(A1777="C",LEFT(UPPER(D1777)&amp;REPT(" ",2),2)," ")</f>
        <v/>
      </c>
      <c r="Z1777" s="10">
        <f>IF(A1777="C",LEFT(UPPER(E1777)&amp;REPT(" ",15),15)," ")</f>
        <v/>
      </c>
      <c r="AA1777" s="10">
        <f>REPT(" ",8)</f>
        <v/>
      </c>
      <c r="AB1777" s="10">
        <f>REPT(" ",4)</f>
        <v/>
      </c>
      <c r="AC1777" s="10">
        <f>LEFT(UPPER(H1777)&amp;REPT(" ",250),250)</f>
        <v/>
      </c>
      <c r="AD1777" s="10">
        <f>TEXT($G$2,"dd/mm/aaaa")</f>
        <v/>
      </c>
      <c r="AE1777" s="10">
        <f>REPT(" ",10)</f>
        <v/>
      </c>
      <c r="AF1777" s="10">
        <f>REPT(" ",20)</f>
        <v/>
      </c>
      <c r="AG1777" s="54">
        <f>REPT(" ",18-LEN(FIXED(F1777,2,TRUE)))&amp;FIXED(F1777,2,TRUE)</f>
        <v/>
      </c>
      <c r="AH1777" s="10">
        <f>LEN(AC1777)+LEN(AG1777)</f>
        <v/>
      </c>
      <c r="AI1777" s="10">
        <f>LEN(L1777)</f>
        <v/>
      </c>
    </row>
    <row r="1778">
      <c r="J1778" s="12">
        <f>IF(F1778&lt;&gt;0,"LANÇAR","")</f>
        <v/>
      </c>
      <c r="L1778" s="13">
        <f>N1778&amp;O1778&amp;P1778&amp;Q1778&amp;R1778&amp;S1778&amp;T1778&amp;U1778&amp;V1778&amp;W1778&amp;X1778&amp;Y1778&amp;Z1778&amp;AA1778&amp;AB1778&amp;AC1778&amp;AD1778&amp;AE1778&amp;AF1778&amp;AG1778</f>
        <v/>
      </c>
      <c r="N1778" s="10">
        <f>TEXT($B$6,"00")</f>
        <v/>
      </c>
      <c r="O1778" s="10">
        <f>REPT(" ",8)</f>
        <v/>
      </c>
      <c r="P1778" s="10">
        <f>RIGHT($B$4,2)</f>
        <v/>
      </c>
      <c r="Q1778" s="10">
        <f>RIGHT($B$5,3)</f>
        <v/>
      </c>
      <c r="R1778" s="10">
        <f>IF(A1778="D",LEFT(UPPER(B1778)&amp;REPT(" ",20),20),REPT(" ",20))</f>
        <v/>
      </c>
      <c r="S1778" s="10">
        <f>IF(A1778="D",LEFT(UPPER(C1778)&amp;REPT(" ",10),10)," ")</f>
        <v/>
      </c>
      <c r="T1778" s="10">
        <f>IF(A1778="D",LEFT(UPPER(D1778)&amp;REPT(" ",2),2)," ")</f>
        <v/>
      </c>
      <c r="U1778" s="10">
        <f>IF(A1778="D",LEFT(UPPER(E1778)&amp;REPT(" ",15),15)," ")</f>
        <v/>
      </c>
      <c r="V1778" s="10">
        <f>REPT(" ",24)</f>
        <v/>
      </c>
      <c r="W1778" s="10">
        <f>IF(A1778="c",LEFT(UPPER(B1778)&amp;REPT(" ",20),20),REPT(" ",20))</f>
        <v/>
      </c>
      <c r="X1778" s="10">
        <f>IF(A1778="C",LEFT(UPPER(C1778)&amp;REPT(" ",10),10)," ")</f>
        <v/>
      </c>
      <c r="Y1778" s="10">
        <f>IF(A1778="C",LEFT(UPPER(D1778)&amp;REPT(" ",2),2)," ")</f>
        <v/>
      </c>
      <c r="Z1778" s="10">
        <f>IF(A1778="C",LEFT(UPPER(E1778)&amp;REPT(" ",15),15)," ")</f>
        <v/>
      </c>
      <c r="AA1778" s="10">
        <f>REPT(" ",8)</f>
        <v/>
      </c>
      <c r="AB1778" s="10">
        <f>REPT(" ",4)</f>
        <v/>
      </c>
      <c r="AC1778" s="10">
        <f>LEFT(UPPER(H1778)&amp;REPT(" ",250),250)</f>
        <v/>
      </c>
      <c r="AD1778" s="10">
        <f>TEXT($G$2,"dd/mm/aaaa")</f>
        <v/>
      </c>
      <c r="AE1778" s="10">
        <f>REPT(" ",10)</f>
        <v/>
      </c>
      <c r="AF1778" s="10">
        <f>REPT(" ",20)</f>
        <v/>
      </c>
      <c r="AG1778" s="54">
        <f>REPT(" ",18-LEN(FIXED(F1778,2,TRUE)))&amp;FIXED(F1778,2,TRUE)</f>
        <v/>
      </c>
      <c r="AH1778" s="10">
        <f>LEN(AC1778)+LEN(AG1778)</f>
        <v/>
      </c>
      <c r="AI1778" s="10">
        <f>LEN(L1778)</f>
        <v/>
      </c>
    </row>
    <row r="1779">
      <c r="J1779" s="12">
        <f>IF(F1779&lt;&gt;0,"LANÇAR","")</f>
        <v/>
      </c>
      <c r="L1779" s="13">
        <f>N1779&amp;O1779&amp;P1779&amp;Q1779&amp;R1779&amp;S1779&amp;T1779&amp;U1779&amp;V1779&amp;W1779&amp;X1779&amp;Y1779&amp;Z1779&amp;AA1779&amp;AB1779&amp;AC1779&amp;AD1779&amp;AE1779&amp;AF1779&amp;AG1779</f>
        <v/>
      </c>
      <c r="N1779" s="10">
        <f>TEXT($B$6,"00")</f>
        <v/>
      </c>
      <c r="O1779" s="10">
        <f>REPT(" ",8)</f>
        <v/>
      </c>
      <c r="P1779" s="10">
        <f>RIGHT($B$4,2)</f>
        <v/>
      </c>
      <c r="Q1779" s="10">
        <f>RIGHT($B$5,3)</f>
        <v/>
      </c>
      <c r="R1779" s="10">
        <f>IF(A1779="D",LEFT(UPPER(B1779)&amp;REPT(" ",20),20),REPT(" ",20))</f>
        <v/>
      </c>
      <c r="S1779" s="10">
        <f>IF(A1779="D",LEFT(UPPER(C1779)&amp;REPT(" ",10),10)," ")</f>
        <v/>
      </c>
      <c r="T1779" s="10">
        <f>IF(A1779="D",LEFT(UPPER(D1779)&amp;REPT(" ",2),2)," ")</f>
        <v/>
      </c>
      <c r="U1779" s="10">
        <f>IF(A1779="D",LEFT(UPPER(E1779)&amp;REPT(" ",15),15)," ")</f>
        <v/>
      </c>
      <c r="V1779" s="10">
        <f>REPT(" ",24)</f>
        <v/>
      </c>
      <c r="W1779" s="10">
        <f>IF(A1779="c",LEFT(UPPER(B1779)&amp;REPT(" ",20),20),REPT(" ",20))</f>
        <v/>
      </c>
      <c r="X1779" s="10">
        <f>IF(A1779="C",LEFT(UPPER(C1779)&amp;REPT(" ",10),10)," ")</f>
        <v/>
      </c>
      <c r="Y1779" s="10">
        <f>IF(A1779="C",LEFT(UPPER(D1779)&amp;REPT(" ",2),2)," ")</f>
        <v/>
      </c>
      <c r="Z1779" s="10">
        <f>IF(A1779="C",LEFT(UPPER(E1779)&amp;REPT(" ",15),15)," ")</f>
        <v/>
      </c>
      <c r="AA1779" s="10">
        <f>REPT(" ",8)</f>
        <v/>
      </c>
      <c r="AB1779" s="10">
        <f>REPT(" ",4)</f>
        <v/>
      </c>
      <c r="AC1779" s="10">
        <f>LEFT(UPPER(H1779)&amp;REPT(" ",250),250)</f>
        <v/>
      </c>
      <c r="AD1779" s="10">
        <f>TEXT($G$2,"dd/mm/aaaa")</f>
        <v/>
      </c>
      <c r="AE1779" s="10">
        <f>REPT(" ",10)</f>
        <v/>
      </c>
      <c r="AF1779" s="10">
        <f>REPT(" ",20)</f>
        <v/>
      </c>
      <c r="AG1779" s="54">
        <f>REPT(" ",18-LEN(FIXED(F1779,2,TRUE)))&amp;FIXED(F1779,2,TRUE)</f>
        <v/>
      </c>
      <c r="AH1779" s="10">
        <f>LEN(AC1779)+LEN(AG1779)</f>
        <v/>
      </c>
      <c r="AI1779" s="10">
        <f>LEN(L1779)</f>
        <v/>
      </c>
    </row>
    <row r="1780">
      <c r="J1780" s="12">
        <f>IF(F1780&lt;&gt;0,"LANÇAR","")</f>
        <v/>
      </c>
      <c r="L1780" s="13">
        <f>N1780&amp;O1780&amp;P1780&amp;Q1780&amp;R1780&amp;S1780&amp;T1780&amp;U1780&amp;V1780&amp;W1780&amp;X1780&amp;Y1780&amp;Z1780&amp;AA1780&amp;AB1780&amp;AC1780&amp;AD1780&amp;AE1780&amp;AF1780&amp;AG1780</f>
        <v/>
      </c>
      <c r="N1780" s="10">
        <f>TEXT($B$6,"00")</f>
        <v/>
      </c>
      <c r="O1780" s="10">
        <f>REPT(" ",8)</f>
        <v/>
      </c>
      <c r="P1780" s="10">
        <f>RIGHT($B$4,2)</f>
        <v/>
      </c>
      <c r="Q1780" s="10">
        <f>RIGHT($B$5,3)</f>
        <v/>
      </c>
      <c r="R1780" s="10">
        <f>IF(A1780="D",LEFT(UPPER(B1780)&amp;REPT(" ",20),20),REPT(" ",20))</f>
        <v/>
      </c>
      <c r="S1780" s="10">
        <f>IF(A1780="D",LEFT(UPPER(C1780)&amp;REPT(" ",10),10)," ")</f>
        <v/>
      </c>
      <c r="T1780" s="10">
        <f>IF(A1780="D",LEFT(UPPER(D1780)&amp;REPT(" ",2),2)," ")</f>
        <v/>
      </c>
      <c r="U1780" s="10">
        <f>IF(A1780="D",LEFT(UPPER(E1780)&amp;REPT(" ",15),15)," ")</f>
        <v/>
      </c>
      <c r="V1780" s="10">
        <f>REPT(" ",24)</f>
        <v/>
      </c>
      <c r="W1780" s="10">
        <f>IF(A1780="c",LEFT(UPPER(B1780)&amp;REPT(" ",20),20),REPT(" ",20))</f>
        <v/>
      </c>
      <c r="X1780" s="10">
        <f>IF(A1780="C",LEFT(UPPER(C1780)&amp;REPT(" ",10),10)," ")</f>
        <v/>
      </c>
      <c r="Y1780" s="10">
        <f>IF(A1780="C",LEFT(UPPER(D1780)&amp;REPT(" ",2),2)," ")</f>
        <v/>
      </c>
      <c r="Z1780" s="10">
        <f>IF(A1780="C",LEFT(UPPER(E1780)&amp;REPT(" ",15),15)," ")</f>
        <v/>
      </c>
      <c r="AA1780" s="10">
        <f>REPT(" ",8)</f>
        <v/>
      </c>
      <c r="AB1780" s="10">
        <f>REPT(" ",4)</f>
        <v/>
      </c>
      <c r="AC1780" s="10">
        <f>LEFT(UPPER(H1780)&amp;REPT(" ",250),250)</f>
        <v/>
      </c>
      <c r="AD1780" s="10">
        <f>TEXT($G$2,"dd/mm/aaaa")</f>
        <v/>
      </c>
      <c r="AE1780" s="10">
        <f>REPT(" ",10)</f>
        <v/>
      </c>
      <c r="AF1780" s="10">
        <f>REPT(" ",20)</f>
        <v/>
      </c>
      <c r="AG1780" s="54">
        <f>REPT(" ",18-LEN(FIXED(F1780,2,TRUE)))&amp;FIXED(F1780,2,TRUE)</f>
        <v/>
      </c>
      <c r="AH1780" s="10">
        <f>LEN(AC1780)+LEN(AG1780)</f>
        <v/>
      </c>
      <c r="AI1780" s="10">
        <f>LEN(L1780)</f>
        <v/>
      </c>
    </row>
    <row r="1781">
      <c r="J1781" s="12">
        <f>IF(F1781&lt;&gt;0,"LANÇAR","")</f>
        <v/>
      </c>
      <c r="L1781" s="13">
        <f>N1781&amp;O1781&amp;P1781&amp;Q1781&amp;R1781&amp;S1781&amp;T1781&amp;U1781&amp;V1781&amp;W1781&amp;X1781&amp;Y1781&amp;Z1781&amp;AA1781&amp;AB1781&amp;AC1781&amp;AD1781&amp;AE1781&amp;AF1781&amp;AG1781</f>
        <v/>
      </c>
      <c r="N1781" s="10">
        <f>TEXT($B$6,"00")</f>
        <v/>
      </c>
      <c r="O1781" s="10">
        <f>REPT(" ",8)</f>
        <v/>
      </c>
      <c r="P1781" s="10">
        <f>RIGHT($B$4,2)</f>
        <v/>
      </c>
      <c r="Q1781" s="10">
        <f>RIGHT($B$5,3)</f>
        <v/>
      </c>
      <c r="R1781" s="10">
        <f>IF(A1781="D",LEFT(UPPER(B1781)&amp;REPT(" ",20),20),REPT(" ",20))</f>
        <v/>
      </c>
      <c r="S1781" s="10">
        <f>IF(A1781="D",LEFT(UPPER(C1781)&amp;REPT(" ",10),10)," ")</f>
        <v/>
      </c>
      <c r="T1781" s="10">
        <f>IF(A1781="D",LEFT(UPPER(D1781)&amp;REPT(" ",2),2)," ")</f>
        <v/>
      </c>
      <c r="U1781" s="10">
        <f>IF(A1781="D",LEFT(UPPER(E1781)&amp;REPT(" ",15),15)," ")</f>
        <v/>
      </c>
      <c r="V1781" s="10">
        <f>REPT(" ",24)</f>
        <v/>
      </c>
      <c r="W1781" s="10">
        <f>IF(A1781="c",LEFT(UPPER(B1781)&amp;REPT(" ",20),20),REPT(" ",20))</f>
        <v/>
      </c>
      <c r="X1781" s="10">
        <f>IF(A1781="C",LEFT(UPPER(C1781)&amp;REPT(" ",10),10)," ")</f>
        <v/>
      </c>
      <c r="Y1781" s="10">
        <f>IF(A1781="C",LEFT(UPPER(D1781)&amp;REPT(" ",2),2)," ")</f>
        <v/>
      </c>
      <c r="Z1781" s="10">
        <f>IF(A1781="C",LEFT(UPPER(E1781)&amp;REPT(" ",15),15)," ")</f>
        <v/>
      </c>
      <c r="AA1781" s="10">
        <f>REPT(" ",8)</f>
        <v/>
      </c>
      <c r="AB1781" s="10">
        <f>REPT(" ",4)</f>
        <v/>
      </c>
      <c r="AC1781" s="10">
        <f>LEFT(UPPER(H1781)&amp;REPT(" ",250),250)</f>
        <v/>
      </c>
      <c r="AD1781" s="10">
        <f>TEXT($G$2,"dd/mm/aaaa")</f>
        <v/>
      </c>
      <c r="AE1781" s="10">
        <f>REPT(" ",10)</f>
        <v/>
      </c>
      <c r="AF1781" s="10">
        <f>REPT(" ",20)</f>
        <v/>
      </c>
      <c r="AG1781" s="54">
        <f>REPT(" ",18-LEN(FIXED(F1781,2,TRUE)))&amp;FIXED(F1781,2,TRUE)</f>
        <v/>
      </c>
      <c r="AH1781" s="10">
        <f>LEN(AC1781)+LEN(AG1781)</f>
        <v/>
      </c>
      <c r="AI1781" s="10">
        <f>LEN(L1781)</f>
        <v/>
      </c>
    </row>
    <row r="1782">
      <c r="J1782" s="12">
        <f>IF(F1782&lt;&gt;0,"LANÇAR","")</f>
        <v/>
      </c>
      <c r="L1782" s="13">
        <f>N1782&amp;O1782&amp;P1782&amp;Q1782&amp;R1782&amp;S1782&amp;T1782&amp;U1782&amp;V1782&amp;W1782&amp;X1782&amp;Y1782&amp;Z1782&amp;AA1782&amp;AB1782&amp;AC1782&amp;AD1782&amp;AE1782&amp;AF1782&amp;AG1782</f>
        <v/>
      </c>
      <c r="N1782" s="10">
        <f>TEXT($B$6,"00")</f>
        <v/>
      </c>
      <c r="O1782" s="10">
        <f>REPT(" ",8)</f>
        <v/>
      </c>
      <c r="P1782" s="10">
        <f>RIGHT($B$4,2)</f>
        <v/>
      </c>
      <c r="Q1782" s="10">
        <f>RIGHT($B$5,3)</f>
        <v/>
      </c>
      <c r="R1782" s="10">
        <f>IF(A1782="D",LEFT(UPPER(B1782)&amp;REPT(" ",20),20),REPT(" ",20))</f>
        <v/>
      </c>
      <c r="S1782" s="10">
        <f>IF(A1782="D",LEFT(UPPER(C1782)&amp;REPT(" ",10),10)," ")</f>
        <v/>
      </c>
      <c r="T1782" s="10">
        <f>IF(A1782="D",LEFT(UPPER(D1782)&amp;REPT(" ",2),2)," ")</f>
        <v/>
      </c>
      <c r="U1782" s="10">
        <f>IF(A1782="D",LEFT(UPPER(E1782)&amp;REPT(" ",15),15)," ")</f>
        <v/>
      </c>
      <c r="V1782" s="10">
        <f>REPT(" ",24)</f>
        <v/>
      </c>
      <c r="W1782" s="10">
        <f>IF(A1782="c",LEFT(UPPER(B1782)&amp;REPT(" ",20),20),REPT(" ",20))</f>
        <v/>
      </c>
      <c r="X1782" s="10">
        <f>IF(A1782="C",LEFT(UPPER(C1782)&amp;REPT(" ",10),10)," ")</f>
        <v/>
      </c>
      <c r="Y1782" s="10">
        <f>IF(A1782="C",LEFT(UPPER(D1782)&amp;REPT(" ",2),2)," ")</f>
        <v/>
      </c>
      <c r="Z1782" s="10">
        <f>IF(A1782="C",LEFT(UPPER(E1782)&amp;REPT(" ",15),15)," ")</f>
        <v/>
      </c>
      <c r="AA1782" s="10">
        <f>REPT(" ",8)</f>
        <v/>
      </c>
      <c r="AB1782" s="10">
        <f>REPT(" ",4)</f>
        <v/>
      </c>
      <c r="AC1782" s="10">
        <f>LEFT(UPPER(H1782)&amp;REPT(" ",250),250)</f>
        <v/>
      </c>
      <c r="AD1782" s="10">
        <f>TEXT($G$2,"dd/mm/aaaa")</f>
        <v/>
      </c>
      <c r="AE1782" s="10">
        <f>REPT(" ",10)</f>
        <v/>
      </c>
      <c r="AF1782" s="10">
        <f>REPT(" ",20)</f>
        <v/>
      </c>
      <c r="AG1782" s="54">
        <f>REPT(" ",18-LEN(FIXED(F1782,2,TRUE)))&amp;FIXED(F1782,2,TRUE)</f>
        <v/>
      </c>
      <c r="AH1782" s="10">
        <f>LEN(AC1782)+LEN(AG1782)</f>
        <v/>
      </c>
      <c r="AI1782" s="10">
        <f>LEN(L1782)</f>
        <v/>
      </c>
    </row>
    <row r="1783">
      <c r="J1783" s="12">
        <f>IF(F1783&lt;&gt;0,"LANÇAR","")</f>
        <v/>
      </c>
      <c r="L1783" s="13">
        <f>N1783&amp;O1783&amp;P1783&amp;Q1783&amp;R1783&amp;S1783&amp;T1783&amp;U1783&amp;V1783&amp;W1783&amp;X1783&amp;Y1783&amp;Z1783&amp;AA1783&amp;AB1783&amp;AC1783&amp;AD1783&amp;AE1783&amp;AF1783&amp;AG1783</f>
        <v/>
      </c>
      <c r="N1783" s="10">
        <f>TEXT($B$6,"00")</f>
        <v/>
      </c>
      <c r="O1783" s="10">
        <f>REPT(" ",8)</f>
        <v/>
      </c>
      <c r="P1783" s="10">
        <f>RIGHT($B$4,2)</f>
        <v/>
      </c>
      <c r="Q1783" s="10">
        <f>RIGHT($B$5,3)</f>
        <v/>
      </c>
      <c r="R1783" s="10">
        <f>IF(A1783="D",LEFT(UPPER(B1783)&amp;REPT(" ",20),20),REPT(" ",20))</f>
        <v/>
      </c>
      <c r="S1783" s="10">
        <f>IF(A1783="D",LEFT(UPPER(C1783)&amp;REPT(" ",10),10)," ")</f>
        <v/>
      </c>
      <c r="T1783" s="10">
        <f>IF(A1783="D",LEFT(UPPER(D1783)&amp;REPT(" ",2),2)," ")</f>
        <v/>
      </c>
      <c r="U1783" s="10">
        <f>IF(A1783="D",LEFT(UPPER(E1783)&amp;REPT(" ",15),15)," ")</f>
        <v/>
      </c>
      <c r="V1783" s="10">
        <f>REPT(" ",24)</f>
        <v/>
      </c>
      <c r="W1783" s="10">
        <f>IF(A1783="c",LEFT(UPPER(B1783)&amp;REPT(" ",20),20),REPT(" ",20))</f>
        <v/>
      </c>
      <c r="X1783" s="10">
        <f>IF(A1783="C",LEFT(UPPER(C1783)&amp;REPT(" ",10),10)," ")</f>
        <v/>
      </c>
      <c r="Y1783" s="10">
        <f>IF(A1783="C",LEFT(UPPER(D1783)&amp;REPT(" ",2),2)," ")</f>
        <v/>
      </c>
      <c r="Z1783" s="10">
        <f>IF(A1783="C",LEFT(UPPER(E1783)&amp;REPT(" ",15),15)," ")</f>
        <v/>
      </c>
      <c r="AA1783" s="10">
        <f>REPT(" ",8)</f>
        <v/>
      </c>
      <c r="AB1783" s="10">
        <f>REPT(" ",4)</f>
        <v/>
      </c>
      <c r="AC1783" s="10">
        <f>LEFT(UPPER(H1783)&amp;REPT(" ",250),250)</f>
        <v/>
      </c>
      <c r="AD1783" s="10">
        <f>TEXT($G$2,"dd/mm/aaaa")</f>
        <v/>
      </c>
      <c r="AE1783" s="10">
        <f>REPT(" ",10)</f>
        <v/>
      </c>
      <c r="AF1783" s="10">
        <f>REPT(" ",20)</f>
        <v/>
      </c>
      <c r="AG1783" s="54">
        <f>REPT(" ",18-LEN(FIXED(F1783,2,TRUE)))&amp;FIXED(F1783,2,TRUE)</f>
        <v/>
      </c>
      <c r="AH1783" s="10">
        <f>LEN(AC1783)+LEN(AG1783)</f>
        <v/>
      </c>
      <c r="AI1783" s="10">
        <f>LEN(L1783)</f>
        <v/>
      </c>
    </row>
    <row r="1784">
      <c r="J1784" s="12">
        <f>IF(F1784&lt;&gt;0,"LANÇAR","")</f>
        <v/>
      </c>
      <c r="L1784" s="13">
        <f>N1784&amp;O1784&amp;P1784&amp;Q1784&amp;R1784&amp;S1784&amp;T1784&amp;U1784&amp;V1784&amp;W1784&amp;X1784&amp;Y1784&amp;Z1784&amp;AA1784&amp;AB1784&amp;AC1784&amp;AD1784&amp;AE1784&amp;AF1784&amp;AG1784</f>
        <v/>
      </c>
      <c r="N1784" s="10">
        <f>TEXT($B$6,"00")</f>
        <v/>
      </c>
      <c r="O1784" s="10">
        <f>REPT(" ",8)</f>
        <v/>
      </c>
      <c r="P1784" s="10">
        <f>RIGHT($B$4,2)</f>
        <v/>
      </c>
      <c r="Q1784" s="10">
        <f>RIGHT($B$5,3)</f>
        <v/>
      </c>
      <c r="R1784" s="10">
        <f>IF(A1784="D",LEFT(UPPER(B1784)&amp;REPT(" ",20),20),REPT(" ",20))</f>
        <v/>
      </c>
      <c r="S1784" s="10">
        <f>IF(A1784="D",LEFT(UPPER(C1784)&amp;REPT(" ",10),10)," ")</f>
        <v/>
      </c>
      <c r="T1784" s="10">
        <f>IF(A1784="D",LEFT(UPPER(D1784)&amp;REPT(" ",2),2)," ")</f>
        <v/>
      </c>
      <c r="U1784" s="10">
        <f>IF(A1784="D",LEFT(UPPER(E1784)&amp;REPT(" ",15),15)," ")</f>
        <v/>
      </c>
      <c r="V1784" s="10">
        <f>REPT(" ",24)</f>
        <v/>
      </c>
      <c r="W1784" s="10">
        <f>IF(A1784="c",LEFT(UPPER(B1784)&amp;REPT(" ",20),20),REPT(" ",20))</f>
        <v/>
      </c>
      <c r="X1784" s="10">
        <f>IF(A1784="C",LEFT(UPPER(C1784)&amp;REPT(" ",10),10)," ")</f>
        <v/>
      </c>
      <c r="Y1784" s="10">
        <f>IF(A1784="C",LEFT(UPPER(D1784)&amp;REPT(" ",2),2)," ")</f>
        <v/>
      </c>
      <c r="Z1784" s="10">
        <f>IF(A1784="C",LEFT(UPPER(E1784)&amp;REPT(" ",15),15)," ")</f>
        <v/>
      </c>
      <c r="AA1784" s="10">
        <f>REPT(" ",8)</f>
        <v/>
      </c>
      <c r="AB1784" s="10">
        <f>REPT(" ",4)</f>
        <v/>
      </c>
      <c r="AC1784" s="10">
        <f>LEFT(UPPER(H1784)&amp;REPT(" ",250),250)</f>
        <v/>
      </c>
      <c r="AD1784" s="10">
        <f>TEXT($G$2,"dd/mm/aaaa")</f>
        <v/>
      </c>
      <c r="AE1784" s="10">
        <f>REPT(" ",10)</f>
        <v/>
      </c>
      <c r="AF1784" s="10">
        <f>REPT(" ",20)</f>
        <v/>
      </c>
      <c r="AG1784" s="54">
        <f>REPT(" ",18-LEN(FIXED(F1784,2,TRUE)))&amp;FIXED(F1784,2,TRUE)</f>
        <v/>
      </c>
      <c r="AH1784" s="10">
        <f>LEN(AC1784)+LEN(AG1784)</f>
        <v/>
      </c>
      <c r="AI1784" s="10">
        <f>LEN(L1784)</f>
        <v/>
      </c>
    </row>
    <row r="1785">
      <c r="J1785" s="12">
        <f>IF(F1785&lt;&gt;0,"LANÇAR","")</f>
        <v/>
      </c>
      <c r="L1785" s="13">
        <f>N1785&amp;O1785&amp;P1785&amp;Q1785&amp;R1785&amp;S1785&amp;T1785&amp;U1785&amp;V1785&amp;W1785&amp;X1785&amp;Y1785&amp;Z1785&amp;AA1785&amp;AB1785&amp;AC1785&amp;AD1785&amp;AE1785&amp;AF1785&amp;AG1785</f>
        <v/>
      </c>
      <c r="N1785" s="10">
        <f>TEXT($B$6,"00")</f>
        <v/>
      </c>
      <c r="O1785" s="10">
        <f>REPT(" ",8)</f>
        <v/>
      </c>
      <c r="P1785" s="10">
        <f>RIGHT($B$4,2)</f>
        <v/>
      </c>
      <c r="Q1785" s="10">
        <f>RIGHT($B$5,3)</f>
        <v/>
      </c>
      <c r="R1785" s="10">
        <f>IF(A1785="D",LEFT(UPPER(B1785)&amp;REPT(" ",20),20),REPT(" ",20))</f>
        <v/>
      </c>
      <c r="S1785" s="10">
        <f>IF(A1785="D",LEFT(UPPER(C1785)&amp;REPT(" ",10),10)," ")</f>
        <v/>
      </c>
      <c r="T1785" s="10">
        <f>IF(A1785="D",LEFT(UPPER(D1785)&amp;REPT(" ",2),2)," ")</f>
        <v/>
      </c>
      <c r="U1785" s="10">
        <f>IF(A1785="D",LEFT(UPPER(E1785)&amp;REPT(" ",15),15)," ")</f>
        <v/>
      </c>
      <c r="V1785" s="10">
        <f>REPT(" ",24)</f>
        <v/>
      </c>
      <c r="W1785" s="10">
        <f>IF(A1785="c",LEFT(UPPER(B1785)&amp;REPT(" ",20),20),REPT(" ",20))</f>
        <v/>
      </c>
      <c r="X1785" s="10">
        <f>IF(A1785="C",LEFT(UPPER(C1785)&amp;REPT(" ",10),10)," ")</f>
        <v/>
      </c>
      <c r="Y1785" s="10">
        <f>IF(A1785="C",LEFT(UPPER(D1785)&amp;REPT(" ",2),2)," ")</f>
        <v/>
      </c>
      <c r="Z1785" s="10">
        <f>IF(A1785="C",LEFT(UPPER(E1785)&amp;REPT(" ",15),15)," ")</f>
        <v/>
      </c>
      <c r="AA1785" s="10">
        <f>REPT(" ",8)</f>
        <v/>
      </c>
      <c r="AB1785" s="10">
        <f>REPT(" ",4)</f>
        <v/>
      </c>
      <c r="AC1785" s="10">
        <f>LEFT(UPPER(H1785)&amp;REPT(" ",250),250)</f>
        <v/>
      </c>
      <c r="AD1785" s="10">
        <f>TEXT($G$2,"dd/mm/aaaa")</f>
        <v/>
      </c>
      <c r="AE1785" s="10">
        <f>REPT(" ",10)</f>
        <v/>
      </c>
      <c r="AF1785" s="10">
        <f>REPT(" ",20)</f>
        <v/>
      </c>
      <c r="AG1785" s="54">
        <f>REPT(" ",18-LEN(FIXED(F1785,2,TRUE)))&amp;FIXED(F1785,2,TRUE)</f>
        <v/>
      </c>
      <c r="AH1785" s="10">
        <f>LEN(AC1785)+LEN(AG1785)</f>
        <v/>
      </c>
      <c r="AI1785" s="10">
        <f>LEN(L1785)</f>
        <v/>
      </c>
    </row>
    <row r="1786">
      <c r="J1786" s="12">
        <f>IF(F1786&lt;&gt;0,"LANÇAR","")</f>
        <v/>
      </c>
      <c r="L1786" s="13">
        <f>N1786&amp;O1786&amp;P1786&amp;Q1786&amp;R1786&amp;S1786&amp;T1786&amp;U1786&amp;V1786&amp;W1786&amp;X1786&amp;Y1786&amp;Z1786&amp;AA1786&amp;AB1786&amp;AC1786&amp;AD1786&amp;AE1786&amp;AF1786&amp;AG1786</f>
        <v/>
      </c>
      <c r="N1786" s="10">
        <f>TEXT($B$6,"00")</f>
        <v/>
      </c>
      <c r="O1786" s="10">
        <f>REPT(" ",8)</f>
        <v/>
      </c>
      <c r="P1786" s="10">
        <f>RIGHT($B$4,2)</f>
        <v/>
      </c>
      <c r="Q1786" s="10">
        <f>RIGHT($B$5,3)</f>
        <v/>
      </c>
      <c r="R1786" s="10">
        <f>IF(A1786="D",LEFT(UPPER(B1786)&amp;REPT(" ",20),20),REPT(" ",20))</f>
        <v/>
      </c>
      <c r="S1786" s="10">
        <f>IF(A1786="D",LEFT(UPPER(C1786)&amp;REPT(" ",10),10)," ")</f>
        <v/>
      </c>
      <c r="T1786" s="10">
        <f>IF(A1786="D",LEFT(UPPER(D1786)&amp;REPT(" ",2),2)," ")</f>
        <v/>
      </c>
      <c r="U1786" s="10">
        <f>IF(A1786="D",LEFT(UPPER(E1786)&amp;REPT(" ",15),15)," ")</f>
        <v/>
      </c>
      <c r="V1786" s="10">
        <f>REPT(" ",24)</f>
        <v/>
      </c>
      <c r="W1786" s="10">
        <f>IF(A1786="c",LEFT(UPPER(B1786)&amp;REPT(" ",20),20),REPT(" ",20))</f>
        <v/>
      </c>
      <c r="X1786" s="10">
        <f>IF(A1786="C",LEFT(UPPER(C1786)&amp;REPT(" ",10),10)," ")</f>
        <v/>
      </c>
      <c r="Y1786" s="10">
        <f>IF(A1786="C",LEFT(UPPER(D1786)&amp;REPT(" ",2),2)," ")</f>
        <v/>
      </c>
      <c r="Z1786" s="10">
        <f>IF(A1786="C",LEFT(UPPER(E1786)&amp;REPT(" ",15),15)," ")</f>
        <v/>
      </c>
      <c r="AA1786" s="10">
        <f>REPT(" ",8)</f>
        <v/>
      </c>
      <c r="AB1786" s="10">
        <f>REPT(" ",4)</f>
        <v/>
      </c>
      <c r="AC1786" s="10">
        <f>LEFT(UPPER(H1786)&amp;REPT(" ",250),250)</f>
        <v/>
      </c>
      <c r="AD1786" s="10">
        <f>TEXT($G$2,"dd/mm/aaaa")</f>
        <v/>
      </c>
      <c r="AE1786" s="10">
        <f>REPT(" ",10)</f>
        <v/>
      </c>
      <c r="AF1786" s="10">
        <f>REPT(" ",20)</f>
        <v/>
      </c>
      <c r="AG1786" s="54">
        <f>REPT(" ",18-LEN(FIXED(F1786,2,TRUE)))&amp;FIXED(F1786,2,TRUE)</f>
        <v/>
      </c>
      <c r="AH1786" s="10">
        <f>LEN(AC1786)+LEN(AG1786)</f>
        <v/>
      </c>
      <c r="AI1786" s="10">
        <f>LEN(L1786)</f>
        <v/>
      </c>
    </row>
    <row r="1787">
      <c r="J1787" s="12">
        <f>IF(F1787&lt;&gt;0,"LANÇAR","")</f>
        <v/>
      </c>
      <c r="L1787" s="13">
        <f>N1787&amp;O1787&amp;P1787&amp;Q1787&amp;R1787&amp;S1787&amp;T1787&amp;U1787&amp;V1787&amp;W1787&amp;X1787&amp;Y1787&amp;Z1787&amp;AA1787&amp;AB1787&amp;AC1787&amp;AD1787&amp;AE1787&amp;AF1787&amp;AG1787</f>
        <v/>
      </c>
      <c r="N1787" s="10">
        <f>TEXT($B$6,"00")</f>
        <v/>
      </c>
      <c r="O1787" s="10">
        <f>REPT(" ",8)</f>
        <v/>
      </c>
      <c r="P1787" s="10">
        <f>RIGHT($B$4,2)</f>
        <v/>
      </c>
      <c r="Q1787" s="10">
        <f>RIGHT($B$5,3)</f>
        <v/>
      </c>
      <c r="R1787" s="10">
        <f>IF(A1787="D",LEFT(UPPER(B1787)&amp;REPT(" ",20),20),REPT(" ",20))</f>
        <v/>
      </c>
      <c r="S1787" s="10">
        <f>IF(A1787="D",LEFT(UPPER(C1787)&amp;REPT(" ",10),10)," ")</f>
        <v/>
      </c>
      <c r="T1787" s="10">
        <f>IF(A1787="D",LEFT(UPPER(D1787)&amp;REPT(" ",2),2)," ")</f>
        <v/>
      </c>
      <c r="U1787" s="10">
        <f>IF(A1787="D",LEFT(UPPER(E1787)&amp;REPT(" ",15),15)," ")</f>
        <v/>
      </c>
      <c r="V1787" s="10">
        <f>REPT(" ",24)</f>
        <v/>
      </c>
      <c r="W1787" s="10">
        <f>IF(A1787="c",LEFT(UPPER(B1787)&amp;REPT(" ",20),20),REPT(" ",20))</f>
        <v/>
      </c>
      <c r="X1787" s="10">
        <f>IF(A1787="C",LEFT(UPPER(C1787)&amp;REPT(" ",10),10)," ")</f>
        <v/>
      </c>
      <c r="Y1787" s="10">
        <f>IF(A1787="C",LEFT(UPPER(D1787)&amp;REPT(" ",2),2)," ")</f>
        <v/>
      </c>
      <c r="Z1787" s="10">
        <f>IF(A1787="C",LEFT(UPPER(E1787)&amp;REPT(" ",15),15)," ")</f>
        <v/>
      </c>
      <c r="AA1787" s="10">
        <f>REPT(" ",8)</f>
        <v/>
      </c>
      <c r="AB1787" s="10">
        <f>REPT(" ",4)</f>
        <v/>
      </c>
      <c r="AC1787" s="10">
        <f>LEFT(UPPER(H1787)&amp;REPT(" ",250),250)</f>
        <v/>
      </c>
      <c r="AD1787" s="10">
        <f>TEXT($G$2,"dd/mm/aaaa")</f>
        <v/>
      </c>
      <c r="AE1787" s="10">
        <f>REPT(" ",10)</f>
        <v/>
      </c>
      <c r="AF1787" s="10">
        <f>REPT(" ",20)</f>
        <v/>
      </c>
      <c r="AG1787" s="54">
        <f>REPT(" ",18-LEN(FIXED(F1787,2,TRUE)))&amp;FIXED(F1787,2,TRUE)</f>
        <v/>
      </c>
      <c r="AH1787" s="10">
        <f>LEN(AC1787)+LEN(AG1787)</f>
        <v/>
      </c>
      <c r="AI1787" s="10">
        <f>LEN(L1787)</f>
        <v/>
      </c>
    </row>
    <row r="1788">
      <c r="J1788" s="12">
        <f>IF(F1788&lt;&gt;0,"LANÇAR","")</f>
        <v/>
      </c>
      <c r="L1788" s="13">
        <f>N1788&amp;O1788&amp;P1788&amp;Q1788&amp;R1788&amp;S1788&amp;T1788&amp;U1788&amp;V1788&amp;W1788&amp;X1788&amp;Y1788&amp;Z1788&amp;AA1788&amp;AB1788&amp;AC1788&amp;AD1788&amp;AE1788&amp;AF1788&amp;AG1788</f>
        <v/>
      </c>
      <c r="N1788" s="10">
        <f>TEXT($B$6,"00")</f>
        <v/>
      </c>
      <c r="O1788" s="10">
        <f>REPT(" ",8)</f>
        <v/>
      </c>
      <c r="P1788" s="10">
        <f>RIGHT($B$4,2)</f>
        <v/>
      </c>
      <c r="Q1788" s="10">
        <f>RIGHT($B$5,3)</f>
        <v/>
      </c>
      <c r="R1788" s="10">
        <f>IF(A1788="D",LEFT(UPPER(B1788)&amp;REPT(" ",20),20),REPT(" ",20))</f>
        <v/>
      </c>
      <c r="S1788" s="10">
        <f>IF(A1788="D",LEFT(UPPER(C1788)&amp;REPT(" ",10),10)," ")</f>
        <v/>
      </c>
      <c r="T1788" s="10">
        <f>IF(A1788="D",LEFT(UPPER(D1788)&amp;REPT(" ",2),2)," ")</f>
        <v/>
      </c>
      <c r="U1788" s="10">
        <f>IF(A1788="D",LEFT(UPPER(E1788)&amp;REPT(" ",15),15)," ")</f>
        <v/>
      </c>
      <c r="V1788" s="10">
        <f>REPT(" ",24)</f>
        <v/>
      </c>
      <c r="W1788" s="10">
        <f>IF(A1788="c",LEFT(UPPER(B1788)&amp;REPT(" ",20),20),REPT(" ",20))</f>
        <v/>
      </c>
      <c r="X1788" s="10">
        <f>IF(A1788="C",LEFT(UPPER(C1788)&amp;REPT(" ",10),10)," ")</f>
        <v/>
      </c>
      <c r="Y1788" s="10">
        <f>IF(A1788="C",LEFT(UPPER(D1788)&amp;REPT(" ",2),2)," ")</f>
        <v/>
      </c>
      <c r="Z1788" s="10">
        <f>IF(A1788="C",LEFT(UPPER(E1788)&amp;REPT(" ",15),15)," ")</f>
        <v/>
      </c>
      <c r="AA1788" s="10">
        <f>REPT(" ",8)</f>
        <v/>
      </c>
      <c r="AB1788" s="10">
        <f>REPT(" ",4)</f>
        <v/>
      </c>
      <c r="AC1788" s="10">
        <f>LEFT(UPPER(H1788)&amp;REPT(" ",250),250)</f>
        <v/>
      </c>
      <c r="AD1788" s="10">
        <f>TEXT($G$2,"dd/mm/aaaa")</f>
        <v/>
      </c>
      <c r="AE1788" s="10">
        <f>REPT(" ",10)</f>
        <v/>
      </c>
      <c r="AF1788" s="10">
        <f>REPT(" ",20)</f>
        <v/>
      </c>
      <c r="AG1788" s="54">
        <f>REPT(" ",18-LEN(FIXED(F1788,2,TRUE)))&amp;FIXED(F1788,2,TRUE)</f>
        <v/>
      </c>
      <c r="AH1788" s="10">
        <f>LEN(AC1788)+LEN(AG1788)</f>
        <v/>
      </c>
      <c r="AI1788" s="10">
        <f>LEN(L1788)</f>
        <v/>
      </c>
    </row>
    <row r="1789">
      <c r="J1789" s="12">
        <f>IF(F1789&lt;&gt;0,"LANÇAR","")</f>
        <v/>
      </c>
      <c r="L1789" s="13">
        <f>N1789&amp;O1789&amp;P1789&amp;Q1789&amp;R1789&amp;S1789&amp;T1789&amp;U1789&amp;V1789&amp;W1789&amp;X1789&amp;Y1789&amp;Z1789&amp;AA1789&amp;AB1789&amp;AC1789&amp;AD1789&amp;AE1789&amp;AF1789&amp;AG1789</f>
        <v/>
      </c>
      <c r="N1789" s="10">
        <f>TEXT($B$6,"00")</f>
        <v/>
      </c>
      <c r="O1789" s="10">
        <f>REPT(" ",8)</f>
        <v/>
      </c>
      <c r="P1789" s="10">
        <f>RIGHT($B$4,2)</f>
        <v/>
      </c>
      <c r="Q1789" s="10">
        <f>RIGHT($B$5,3)</f>
        <v/>
      </c>
      <c r="R1789" s="10">
        <f>IF(A1789="D",LEFT(UPPER(B1789)&amp;REPT(" ",20),20),REPT(" ",20))</f>
        <v/>
      </c>
      <c r="S1789" s="10">
        <f>IF(A1789="D",LEFT(UPPER(C1789)&amp;REPT(" ",10),10)," ")</f>
        <v/>
      </c>
      <c r="T1789" s="10">
        <f>IF(A1789="D",LEFT(UPPER(D1789)&amp;REPT(" ",2),2)," ")</f>
        <v/>
      </c>
      <c r="U1789" s="10">
        <f>IF(A1789="D",LEFT(UPPER(E1789)&amp;REPT(" ",15),15)," ")</f>
        <v/>
      </c>
      <c r="V1789" s="10">
        <f>REPT(" ",24)</f>
        <v/>
      </c>
      <c r="W1789" s="10">
        <f>IF(A1789="c",LEFT(UPPER(B1789)&amp;REPT(" ",20),20),REPT(" ",20))</f>
        <v/>
      </c>
      <c r="X1789" s="10">
        <f>IF(A1789="C",LEFT(UPPER(C1789)&amp;REPT(" ",10),10)," ")</f>
        <v/>
      </c>
      <c r="Y1789" s="10">
        <f>IF(A1789="C",LEFT(UPPER(D1789)&amp;REPT(" ",2),2)," ")</f>
        <v/>
      </c>
      <c r="Z1789" s="10">
        <f>IF(A1789="C",LEFT(UPPER(E1789)&amp;REPT(" ",15),15)," ")</f>
        <v/>
      </c>
      <c r="AA1789" s="10">
        <f>REPT(" ",8)</f>
        <v/>
      </c>
      <c r="AB1789" s="10">
        <f>REPT(" ",4)</f>
        <v/>
      </c>
      <c r="AC1789" s="10">
        <f>LEFT(UPPER(H1789)&amp;REPT(" ",250),250)</f>
        <v/>
      </c>
      <c r="AD1789" s="10">
        <f>TEXT($G$2,"dd/mm/aaaa")</f>
        <v/>
      </c>
      <c r="AE1789" s="10">
        <f>REPT(" ",10)</f>
        <v/>
      </c>
      <c r="AF1789" s="10">
        <f>REPT(" ",20)</f>
        <v/>
      </c>
      <c r="AG1789" s="54">
        <f>REPT(" ",18-LEN(FIXED(F1789,2,TRUE)))&amp;FIXED(F1789,2,TRUE)</f>
        <v/>
      </c>
      <c r="AH1789" s="10">
        <f>LEN(AC1789)+LEN(AG1789)</f>
        <v/>
      </c>
      <c r="AI1789" s="10">
        <f>LEN(L1789)</f>
        <v/>
      </c>
    </row>
    <row r="1790">
      <c r="J1790" s="12">
        <f>IF(F1790&lt;&gt;0,"LANÇAR","")</f>
        <v/>
      </c>
      <c r="L1790" s="13">
        <f>N1790&amp;O1790&amp;P1790&amp;Q1790&amp;R1790&amp;S1790&amp;T1790&amp;U1790&amp;V1790&amp;W1790&amp;X1790&amp;Y1790&amp;Z1790&amp;AA1790&amp;AB1790&amp;AC1790&amp;AD1790&amp;AE1790&amp;AF1790&amp;AG1790</f>
        <v/>
      </c>
      <c r="N1790" s="10">
        <f>TEXT($B$6,"00")</f>
        <v/>
      </c>
      <c r="O1790" s="10">
        <f>REPT(" ",8)</f>
        <v/>
      </c>
      <c r="P1790" s="10">
        <f>RIGHT($B$4,2)</f>
        <v/>
      </c>
      <c r="Q1790" s="10">
        <f>RIGHT($B$5,3)</f>
        <v/>
      </c>
      <c r="R1790" s="10">
        <f>IF(A1790="D",LEFT(UPPER(B1790)&amp;REPT(" ",20),20),REPT(" ",20))</f>
        <v/>
      </c>
      <c r="S1790" s="10">
        <f>IF(A1790="D",LEFT(UPPER(C1790)&amp;REPT(" ",10),10)," ")</f>
        <v/>
      </c>
      <c r="T1790" s="10">
        <f>IF(A1790="D",LEFT(UPPER(D1790)&amp;REPT(" ",2),2)," ")</f>
        <v/>
      </c>
      <c r="U1790" s="10">
        <f>IF(A1790="D",LEFT(UPPER(E1790)&amp;REPT(" ",15),15)," ")</f>
        <v/>
      </c>
      <c r="V1790" s="10">
        <f>REPT(" ",24)</f>
        <v/>
      </c>
      <c r="W1790" s="10">
        <f>IF(A1790="c",LEFT(UPPER(B1790)&amp;REPT(" ",20),20),REPT(" ",20))</f>
        <v/>
      </c>
      <c r="X1790" s="10">
        <f>IF(A1790="C",LEFT(UPPER(C1790)&amp;REPT(" ",10),10)," ")</f>
        <v/>
      </c>
      <c r="Y1790" s="10">
        <f>IF(A1790="C",LEFT(UPPER(D1790)&amp;REPT(" ",2),2)," ")</f>
        <v/>
      </c>
      <c r="Z1790" s="10">
        <f>IF(A1790="C",LEFT(UPPER(E1790)&amp;REPT(" ",15),15)," ")</f>
        <v/>
      </c>
      <c r="AA1790" s="10">
        <f>REPT(" ",8)</f>
        <v/>
      </c>
      <c r="AB1790" s="10">
        <f>REPT(" ",4)</f>
        <v/>
      </c>
      <c r="AC1790" s="10">
        <f>LEFT(UPPER(H1790)&amp;REPT(" ",250),250)</f>
        <v/>
      </c>
      <c r="AD1790" s="10">
        <f>TEXT($G$2,"dd/mm/aaaa")</f>
        <v/>
      </c>
      <c r="AE1790" s="10">
        <f>REPT(" ",10)</f>
        <v/>
      </c>
      <c r="AF1790" s="10">
        <f>REPT(" ",20)</f>
        <v/>
      </c>
      <c r="AG1790" s="54">
        <f>REPT(" ",18-LEN(FIXED(F1790,2,TRUE)))&amp;FIXED(F1790,2,TRUE)</f>
        <v/>
      </c>
      <c r="AH1790" s="10">
        <f>LEN(AC1790)+LEN(AG1790)</f>
        <v/>
      </c>
      <c r="AI1790" s="10">
        <f>LEN(L1790)</f>
        <v/>
      </c>
    </row>
    <row r="1791">
      <c r="J1791" s="12">
        <f>IF(F1791&lt;&gt;0,"LANÇAR","")</f>
        <v/>
      </c>
      <c r="L1791" s="13">
        <f>N1791&amp;O1791&amp;P1791&amp;Q1791&amp;R1791&amp;S1791&amp;T1791&amp;U1791&amp;V1791&amp;W1791&amp;X1791&amp;Y1791&amp;Z1791&amp;AA1791&amp;AB1791&amp;AC1791&amp;AD1791&amp;AE1791&amp;AF1791&amp;AG1791</f>
        <v/>
      </c>
      <c r="N1791" s="10">
        <f>TEXT($B$6,"00")</f>
        <v/>
      </c>
      <c r="O1791" s="10">
        <f>REPT(" ",8)</f>
        <v/>
      </c>
      <c r="P1791" s="10">
        <f>RIGHT($B$4,2)</f>
        <v/>
      </c>
      <c r="Q1791" s="10">
        <f>RIGHT($B$5,3)</f>
        <v/>
      </c>
      <c r="R1791" s="10">
        <f>IF(A1791="D",LEFT(UPPER(B1791)&amp;REPT(" ",20),20),REPT(" ",20))</f>
        <v/>
      </c>
      <c r="S1791" s="10">
        <f>IF(A1791="D",LEFT(UPPER(C1791)&amp;REPT(" ",10),10)," ")</f>
        <v/>
      </c>
      <c r="T1791" s="10">
        <f>IF(A1791="D",LEFT(UPPER(D1791)&amp;REPT(" ",2),2)," ")</f>
        <v/>
      </c>
      <c r="U1791" s="10">
        <f>IF(A1791="D",LEFT(UPPER(E1791)&amp;REPT(" ",15),15)," ")</f>
        <v/>
      </c>
      <c r="V1791" s="10">
        <f>REPT(" ",24)</f>
        <v/>
      </c>
      <c r="W1791" s="10">
        <f>IF(A1791="c",LEFT(UPPER(B1791)&amp;REPT(" ",20),20),REPT(" ",20))</f>
        <v/>
      </c>
      <c r="X1791" s="10">
        <f>IF(A1791="C",LEFT(UPPER(C1791)&amp;REPT(" ",10),10)," ")</f>
        <v/>
      </c>
      <c r="Y1791" s="10">
        <f>IF(A1791="C",LEFT(UPPER(D1791)&amp;REPT(" ",2),2)," ")</f>
        <v/>
      </c>
      <c r="Z1791" s="10">
        <f>IF(A1791="C",LEFT(UPPER(E1791)&amp;REPT(" ",15),15)," ")</f>
        <v/>
      </c>
      <c r="AA1791" s="10">
        <f>REPT(" ",8)</f>
        <v/>
      </c>
      <c r="AB1791" s="10">
        <f>REPT(" ",4)</f>
        <v/>
      </c>
      <c r="AC1791" s="10">
        <f>LEFT(UPPER(H1791)&amp;REPT(" ",250),250)</f>
        <v/>
      </c>
      <c r="AD1791" s="10">
        <f>TEXT($G$2,"dd/mm/aaaa")</f>
        <v/>
      </c>
      <c r="AE1791" s="10">
        <f>REPT(" ",10)</f>
        <v/>
      </c>
      <c r="AF1791" s="10">
        <f>REPT(" ",20)</f>
        <v/>
      </c>
      <c r="AG1791" s="54">
        <f>REPT(" ",18-LEN(FIXED(F1791,2,TRUE)))&amp;FIXED(F1791,2,TRUE)</f>
        <v/>
      </c>
      <c r="AH1791" s="10">
        <f>LEN(AC1791)+LEN(AG1791)</f>
        <v/>
      </c>
      <c r="AI1791" s="10">
        <f>LEN(L1791)</f>
        <v/>
      </c>
    </row>
    <row r="1792">
      <c r="J1792" s="12">
        <f>IF(F1792&lt;&gt;0,"LANÇAR","")</f>
        <v/>
      </c>
      <c r="L1792" s="13">
        <f>N1792&amp;O1792&amp;P1792&amp;Q1792&amp;R1792&amp;S1792&amp;T1792&amp;U1792&amp;V1792&amp;W1792&amp;X1792&amp;Y1792&amp;Z1792&amp;AA1792&amp;AB1792&amp;AC1792&amp;AD1792&amp;AE1792&amp;AF1792&amp;AG1792</f>
        <v/>
      </c>
      <c r="N1792" s="10">
        <f>TEXT($B$6,"00")</f>
        <v/>
      </c>
      <c r="O1792" s="10">
        <f>REPT(" ",8)</f>
        <v/>
      </c>
      <c r="P1792" s="10">
        <f>RIGHT($B$4,2)</f>
        <v/>
      </c>
      <c r="Q1792" s="10">
        <f>RIGHT($B$5,3)</f>
        <v/>
      </c>
      <c r="R1792" s="10">
        <f>IF(A1792="D",LEFT(UPPER(B1792)&amp;REPT(" ",20),20),REPT(" ",20))</f>
        <v/>
      </c>
      <c r="S1792" s="10">
        <f>IF(A1792="D",LEFT(UPPER(C1792)&amp;REPT(" ",10),10)," ")</f>
        <v/>
      </c>
      <c r="T1792" s="10">
        <f>IF(A1792="D",LEFT(UPPER(D1792)&amp;REPT(" ",2),2)," ")</f>
        <v/>
      </c>
      <c r="U1792" s="10">
        <f>IF(A1792="D",LEFT(UPPER(E1792)&amp;REPT(" ",15),15)," ")</f>
        <v/>
      </c>
      <c r="V1792" s="10">
        <f>REPT(" ",24)</f>
        <v/>
      </c>
      <c r="W1792" s="10">
        <f>IF(A1792="c",LEFT(UPPER(B1792)&amp;REPT(" ",20),20),REPT(" ",20))</f>
        <v/>
      </c>
      <c r="X1792" s="10">
        <f>IF(A1792="C",LEFT(UPPER(C1792)&amp;REPT(" ",10),10)," ")</f>
        <v/>
      </c>
      <c r="Y1792" s="10">
        <f>IF(A1792="C",LEFT(UPPER(D1792)&amp;REPT(" ",2),2)," ")</f>
        <v/>
      </c>
      <c r="Z1792" s="10">
        <f>IF(A1792="C",LEFT(UPPER(E1792)&amp;REPT(" ",15),15)," ")</f>
        <v/>
      </c>
      <c r="AA1792" s="10">
        <f>REPT(" ",8)</f>
        <v/>
      </c>
      <c r="AB1792" s="10">
        <f>REPT(" ",4)</f>
        <v/>
      </c>
      <c r="AC1792" s="10">
        <f>LEFT(UPPER(H1792)&amp;REPT(" ",250),250)</f>
        <v/>
      </c>
      <c r="AD1792" s="10">
        <f>TEXT($G$2,"dd/mm/aaaa")</f>
        <v/>
      </c>
      <c r="AE1792" s="10">
        <f>REPT(" ",10)</f>
        <v/>
      </c>
      <c r="AF1792" s="10">
        <f>REPT(" ",20)</f>
        <v/>
      </c>
      <c r="AG1792" s="54">
        <f>REPT(" ",18-LEN(FIXED(F1792,2,TRUE)))&amp;FIXED(F1792,2,TRUE)</f>
        <v/>
      </c>
      <c r="AH1792" s="10">
        <f>LEN(AC1792)+LEN(AG1792)</f>
        <v/>
      </c>
      <c r="AI1792" s="10">
        <f>LEN(L1792)</f>
        <v/>
      </c>
    </row>
    <row r="1793">
      <c r="J1793" s="12">
        <f>IF(F1793&lt;&gt;0,"LANÇAR","")</f>
        <v/>
      </c>
      <c r="L1793" s="13">
        <f>N1793&amp;O1793&amp;P1793&amp;Q1793&amp;R1793&amp;S1793&amp;T1793&amp;U1793&amp;V1793&amp;W1793&amp;X1793&amp;Y1793&amp;Z1793&amp;AA1793&amp;AB1793&amp;AC1793&amp;AD1793&amp;AE1793&amp;AF1793&amp;AG1793</f>
        <v/>
      </c>
      <c r="N1793" s="10">
        <f>TEXT($B$6,"00")</f>
        <v/>
      </c>
      <c r="O1793" s="10">
        <f>REPT(" ",8)</f>
        <v/>
      </c>
      <c r="P1793" s="10">
        <f>RIGHT($B$4,2)</f>
        <v/>
      </c>
      <c r="Q1793" s="10">
        <f>RIGHT($B$5,3)</f>
        <v/>
      </c>
      <c r="R1793" s="10">
        <f>IF(A1793="D",LEFT(UPPER(B1793)&amp;REPT(" ",20),20),REPT(" ",20))</f>
        <v/>
      </c>
      <c r="S1793" s="10">
        <f>IF(A1793="D",LEFT(UPPER(C1793)&amp;REPT(" ",10),10)," ")</f>
        <v/>
      </c>
      <c r="T1793" s="10">
        <f>IF(A1793="D",LEFT(UPPER(D1793)&amp;REPT(" ",2),2)," ")</f>
        <v/>
      </c>
      <c r="U1793" s="10">
        <f>IF(A1793="D",LEFT(UPPER(E1793)&amp;REPT(" ",15),15)," ")</f>
        <v/>
      </c>
      <c r="V1793" s="10">
        <f>REPT(" ",24)</f>
        <v/>
      </c>
      <c r="W1793" s="10">
        <f>IF(A1793="c",LEFT(UPPER(B1793)&amp;REPT(" ",20),20),REPT(" ",20))</f>
        <v/>
      </c>
      <c r="X1793" s="10">
        <f>IF(A1793="C",LEFT(UPPER(C1793)&amp;REPT(" ",10),10)," ")</f>
        <v/>
      </c>
      <c r="Y1793" s="10">
        <f>IF(A1793="C",LEFT(UPPER(D1793)&amp;REPT(" ",2),2)," ")</f>
        <v/>
      </c>
      <c r="Z1793" s="10">
        <f>IF(A1793="C",LEFT(UPPER(E1793)&amp;REPT(" ",15),15)," ")</f>
        <v/>
      </c>
      <c r="AA1793" s="10">
        <f>REPT(" ",8)</f>
        <v/>
      </c>
      <c r="AB1793" s="10">
        <f>REPT(" ",4)</f>
        <v/>
      </c>
      <c r="AC1793" s="10">
        <f>LEFT(UPPER(H1793)&amp;REPT(" ",250),250)</f>
        <v/>
      </c>
      <c r="AD1793" s="10">
        <f>TEXT($G$2,"dd/mm/aaaa")</f>
        <v/>
      </c>
      <c r="AE1793" s="10">
        <f>REPT(" ",10)</f>
        <v/>
      </c>
      <c r="AF1793" s="10">
        <f>REPT(" ",20)</f>
        <v/>
      </c>
      <c r="AG1793" s="54">
        <f>REPT(" ",18-LEN(FIXED(F1793,2,TRUE)))&amp;FIXED(F1793,2,TRUE)</f>
        <v/>
      </c>
      <c r="AH1793" s="10">
        <f>LEN(AC1793)+LEN(AG1793)</f>
        <v/>
      </c>
      <c r="AI1793" s="10">
        <f>LEN(L1793)</f>
        <v/>
      </c>
    </row>
    <row r="1794">
      <c r="J1794" s="12">
        <f>IF(F1794&lt;&gt;0,"LANÇAR","")</f>
        <v/>
      </c>
      <c r="L1794" s="13">
        <f>N1794&amp;O1794&amp;P1794&amp;Q1794&amp;R1794&amp;S1794&amp;T1794&amp;U1794&amp;V1794&amp;W1794&amp;X1794&amp;Y1794&amp;Z1794&amp;AA1794&amp;AB1794&amp;AC1794&amp;AD1794&amp;AE1794&amp;AF1794&amp;AG1794</f>
        <v/>
      </c>
      <c r="N1794" s="10">
        <f>TEXT($B$6,"00")</f>
        <v/>
      </c>
      <c r="O1794" s="10">
        <f>REPT(" ",8)</f>
        <v/>
      </c>
      <c r="P1794" s="10">
        <f>RIGHT($B$4,2)</f>
        <v/>
      </c>
      <c r="Q1794" s="10">
        <f>RIGHT($B$5,3)</f>
        <v/>
      </c>
      <c r="R1794" s="10">
        <f>IF(A1794="D",LEFT(UPPER(B1794)&amp;REPT(" ",20),20),REPT(" ",20))</f>
        <v/>
      </c>
      <c r="S1794" s="10">
        <f>IF(A1794="D",LEFT(UPPER(C1794)&amp;REPT(" ",10),10)," ")</f>
        <v/>
      </c>
      <c r="T1794" s="10">
        <f>IF(A1794="D",LEFT(UPPER(D1794)&amp;REPT(" ",2),2)," ")</f>
        <v/>
      </c>
      <c r="U1794" s="10">
        <f>IF(A1794="D",LEFT(UPPER(E1794)&amp;REPT(" ",15),15)," ")</f>
        <v/>
      </c>
      <c r="V1794" s="10">
        <f>REPT(" ",24)</f>
        <v/>
      </c>
      <c r="W1794" s="10">
        <f>IF(A1794="c",LEFT(UPPER(B1794)&amp;REPT(" ",20),20),REPT(" ",20))</f>
        <v/>
      </c>
      <c r="X1794" s="10">
        <f>IF(A1794="C",LEFT(UPPER(C1794)&amp;REPT(" ",10),10)," ")</f>
        <v/>
      </c>
      <c r="Y1794" s="10">
        <f>IF(A1794="C",LEFT(UPPER(D1794)&amp;REPT(" ",2),2)," ")</f>
        <v/>
      </c>
      <c r="Z1794" s="10">
        <f>IF(A1794="C",LEFT(UPPER(E1794)&amp;REPT(" ",15),15)," ")</f>
        <v/>
      </c>
      <c r="AA1794" s="10">
        <f>REPT(" ",8)</f>
        <v/>
      </c>
      <c r="AB1794" s="10">
        <f>REPT(" ",4)</f>
        <v/>
      </c>
      <c r="AC1794" s="10">
        <f>LEFT(UPPER(H1794)&amp;REPT(" ",250),250)</f>
        <v/>
      </c>
      <c r="AD1794" s="10">
        <f>TEXT($G$2,"dd/mm/aaaa")</f>
        <v/>
      </c>
      <c r="AE1794" s="10">
        <f>REPT(" ",10)</f>
        <v/>
      </c>
      <c r="AF1794" s="10">
        <f>REPT(" ",20)</f>
        <v/>
      </c>
      <c r="AG1794" s="54">
        <f>REPT(" ",18-LEN(FIXED(F1794,2,TRUE)))&amp;FIXED(F1794,2,TRUE)</f>
        <v/>
      </c>
      <c r="AH1794" s="10">
        <f>LEN(AC1794)+LEN(AG1794)</f>
        <v/>
      </c>
      <c r="AI1794" s="10">
        <f>LEN(L1794)</f>
        <v/>
      </c>
    </row>
    <row r="1795">
      <c r="J1795" s="12">
        <f>IF(F1795&lt;&gt;0,"LANÇAR","")</f>
        <v/>
      </c>
      <c r="L1795" s="13">
        <f>N1795&amp;O1795&amp;P1795&amp;Q1795&amp;R1795&amp;S1795&amp;T1795&amp;U1795&amp;V1795&amp;W1795&amp;X1795&amp;Y1795&amp;Z1795&amp;AA1795&amp;AB1795&amp;AC1795&amp;AD1795&amp;AE1795&amp;AF1795&amp;AG1795</f>
        <v/>
      </c>
      <c r="N1795" s="10">
        <f>TEXT($B$6,"00")</f>
        <v/>
      </c>
      <c r="O1795" s="10">
        <f>REPT(" ",8)</f>
        <v/>
      </c>
      <c r="P1795" s="10">
        <f>RIGHT($B$4,2)</f>
        <v/>
      </c>
      <c r="Q1795" s="10">
        <f>RIGHT($B$5,3)</f>
        <v/>
      </c>
      <c r="R1795" s="10">
        <f>IF(A1795="D",LEFT(UPPER(B1795)&amp;REPT(" ",20),20),REPT(" ",20))</f>
        <v/>
      </c>
      <c r="S1795" s="10">
        <f>IF(A1795="D",LEFT(UPPER(C1795)&amp;REPT(" ",10),10)," ")</f>
        <v/>
      </c>
      <c r="T1795" s="10">
        <f>IF(A1795="D",LEFT(UPPER(D1795)&amp;REPT(" ",2),2)," ")</f>
        <v/>
      </c>
      <c r="U1795" s="10">
        <f>IF(A1795="D",LEFT(UPPER(E1795)&amp;REPT(" ",15),15)," ")</f>
        <v/>
      </c>
      <c r="V1795" s="10">
        <f>REPT(" ",24)</f>
        <v/>
      </c>
      <c r="W1795" s="10">
        <f>IF(A1795="c",LEFT(UPPER(B1795)&amp;REPT(" ",20),20),REPT(" ",20))</f>
        <v/>
      </c>
      <c r="X1795" s="10">
        <f>IF(A1795="C",LEFT(UPPER(C1795)&amp;REPT(" ",10),10)," ")</f>
        <v/>
      </c>
      <c r="Y1795" s="10">
        <f>IF(A1795="C",LEFT(UPPER(D1795)&amp;REPT(" ",2),2)," ")</f>
        <v/>
      </c>
      <c r="Z1795" s="10">
        <f>IF(A1795="C",LEFT(UPPER(E1795)&amp;REPT(" ",15),15)," ")</f>
        <v/>
      </c>
      <c r="AA1795" s="10">
        <f>REPT(" ",8)</f>
        <v/>
      </c>
      <c r="AB1795" s="10">
        <f>REPT(" ",4)</f>
        <v/>
      </c>
      <c r="AC1795" s="10">
        <f>LEFT(UPPER(H1795)&amp;REPT(" ",250),250)</f>
        <v/>
      </c>
      <c r="AD1795" s="10">
        <f>TEXT($G$2,"dd/mm/aaaa")</f>
        <v/>
      </c>
      <c r="AE1795" s="10">
        <f>REPT(" ",10)</f>
        <v/>
      </c>
      <c r="AF1795" s="10">
        <f>REPT(" ",20)</f>
        <v/>
      </c>
      <c r="AG1795" s="54">
        <f>REPT(" ",18-LEN(FIXED(F1795,2,TRUE)))&amp;FIXED(F1795,2,TRUE)</f>
        <v/>
      </c>
      <c r="AH1795" s="10">
        <f>LEN(AC1795)+LEN(AG1795)</f>
        <v/>
      </c>
      <c r="AI1795" s="10">
        <f>LEN(L1795)</f>
        <v/>
      </c>
    </row>
    <row r="1796">
      <c r="J1796" s="12">
        <f>IF(F1796&lt;&gt;0,"LANÇAR","")</f>
        <v/>
      </c>
      <c r="L1796" s="13">
        <f>N1796&amp;O1796&amp;P1796&amp;Q1796&amp;R1796&amp;S1796&amp;T1796&amp;U1796&amp;V1796&amp;W1796&amp;X1796&amp;Y1796&amp;Z1796&amp;AA1796&amp;AB1796&amp;AC1796&amp;AD1796&amp;AE1796&amp;AF1796&amp;AG1796</f>
        <v/>
      </c>
      <c r="N1796" s="10">
        <f>TEXT($B$6,"00")</f>
        <v/>
      </c>
      <c r="O1796" s="10">
        <f>REPT(" ",8)</f>
        <v/>
      </c>
      <c r="P1796" s="10">
        <f>RIGHT($B$4,2)</f>
        <v/>
      </c>
      <c r="Q1796" s="10">
        <f>RIGHT($B$5,3)</f>
        <v/>
      </c>
      <c r="R1796" s="10">
        <f>IF(A1796="D",LEFT(UPPER(B1796)&amp;REPT(" ",20),20),REPT(" ",20))</f>
        <v/>
      </c>
      <c r="S1796" s="10">
        <f>IF(A1796="D",LEFT(UPPER(C1796)&amp;REPT(" ",10),10)," ")</f>
        <v/>
      </c>
      <c r="T1796" s="10">
        <f>IF(A1796="D",LEFT(UPPER(D1796)&amp;REPT(" ",2),2)," ")</f>
        <v/>
      </c>
      <c r="U1796" s="10">
        <f>IF(A1796="D",LEFT(UPPER(E1796)&amp;REPT(" ",15),15)," ")</f>
        <v/>
      </c>
      <c r="V1796" s="10">
        <f>REPT(" ",24)</f>
        <v/>
      </c>
      <c r="W1796" s="10">
        <f>IF(A1796="c",LEFT(UPPER(B1796)&amp;REPT(" ",20),20),REPT(" ",20))</f>
        <v/>
      </c>
      <c r="X1796" s="10">
        <f>IF(A1796="C",LEFT(UPPER(C1796)&amp;REPT(" ",10),10)," ")</f>
        <v/>
      </c>
      <c r="Y1796" s="10">
        <f>IF(A1796="C",LEFT(UPPER(D1796)&amp;REPT(" ",2),2)," ")</f>
        <v/>
      </c>
      <c r="Z1796" s="10">
        <f>IF(A1796="C",LEFT(UPPER(E1796)&amp;REPT(" ",15),15)," ")</f>
        <v/>
      </c>
      <c r="AA1796" s="10">
        <f>REPT(" ",8)</f>
        <v/>
      </c>
      <c r="AB1796" s="10">
        <f>REPT(" ",4)</f>
        <v/>
      </c>
      <c r="AC1796" s="10">
        <f>LEFT(UPPER(H1796)&amp;REPT(" ",250),250)</f>
        <v/>
      </c>
      <c r="AD1796" s="10">
        <f>TEXT($G$2,"dd/mm/aaaa")</f>
        <v/>
      </c>
      <c r="AE1796" s="10">
        <f>REPT(" ",10)</f>
        <v/>
      </c>
      <c r="AF1796" s="10">
        <f>REPT(" ",20)</f>
        <v/>
      </c>
      <c r="AG1796" s="54">
        <f>REPT(" ",18-LEN(FIXED(F1796,2,TRUE)))&amp;FIXED(F1796,2,TRUE)</f>
        <v/>
      </c>
      <c r="AH1796" s="10">
        <f>LEN(AC1796)+LEN(AG1796)</f>
        <v/>
      </c>
      <c r="AI1796" s="10">
        <f>LEN(L1796)</f>
        <v/>
      </c>
    </row>
    <row r="1797">
      <c r="J1797" s="12">
        <f>IF(F1797&lt;&gt;0,"LANÇAR","")</f>
        <v/>
      </c>
      <c r="L1797" s="13">
        <f>N1797&amp;O1797&amp;P1797&amp;Q1797&amp;R1797&amp;S1797&amp;T1797&amp;U1797&amp;V1797&amp;W1797&amp;X1797&amp;Y1797&amp;Z1797&amp;AA1797&amp;AB1797&amp;AC1797&amp;AD1797&amp;AE1797&amp;AF1797&amp;AG1797</f>
        <v/>
      </c>
      <c r="N1797" s="10">
        <f>TEXT($B$6,"00")</f>
        <v/>
      </c>
      <c r="O1797" s="10">
        <f>REPT(" ",8)</f>
        <v/>
      </c>
      <c r="P1797" s="10">
        <f>RIGHT($B$4,2)</f>
        <v/>
      </c>
      <c r="Q1797" s="10">
        <f>RIGHT($B$5,3)</f>
        <v/>
      </c>
      <c r="R1797" s="10">
        <f>IF(A1797="D",LEFT(UPPER(B1797)&amp;REPT(" ",20),20),REPT(" ",20))</f>
        <v/>
      </c>
      <c r="S1797" s="10">
        <f>IF(A1797="D",LEFT(UPPER(C1797)&amp;REPT(" ",10),10)," ")</f>
        <v/>
      </c>
      <c r="T1797" s="10">
        <f>IF(A1797="D",LEFT(UPPER(D1797)&amp;REPT(" ",2),2)," ")</f>
        <v/>
      </c>
      <c r="U1797" s="10">
        <f>IF(A1797="D",LEFT(UPPER(E1797)&amp;REPT(" ",15),15)," ")</f>
        <v/>
      </c>
      <c r="V1797" s="10">
        <f>REPT(" ",24)</f>
        <v/>
      </c>
      <c r="W1797" s="10">
        <f>IF(A1797="c",LEFT(UPPER(B1797)&amp;REPT(" ",20),20),REPT(" ",20))</f>
        <v/>
      </c>
      <c r="X1797" s="10">
        <f>IF(A1797="C",LEFT(UPPER(C1797)&amp;REPT(" ",10),10)," ")</f>
        <v/>
      </c>
      <c r="Y1797" s="10">
        <f>IF(A1797="C",LEFT(UPPER(D1797)&amp;REPT(" ",2),2)," ")</f>
        <v/>
      </c>
      <c r="Z1797" s="10">
        <f>IF(A1797="C",LEFT(UPPER(E1797)&amp;REPT(" ",15),15)," ")</f>
        <v/>
      </c>
      <c r="AA1797" s="10">
        <f>REPT(" ",8)</f>
        <v/>
      </c>
      <c r="AB1797" s="10">
        <f>REPT(" ",4)</f>
        <v/>
      </c>
      <c r="AC1797" s="10">
        <f>LEFT(UPPER(H1797)&amp;REPT(" ",250),250)</f>
        <v/>
      </c>
      <c r="AD1797" s="10">
        <f>TEXT($G$2,"dd/mm/aaaa")</f>
        <v/>
      </c>
      <c r="AE1797" s="10">
        <f>REPT(" ",10)</f>
        <v/>
      </c>
      <c r="AF1797" s="10">
        <f>REPT(" ",20)</f>
        <v/>
      </c>
      <c r="AG1797" s="54">
        <f>REPT(" ",18-LEN(FIXED(F1797,2,TRUE)))&amp;FIXED(F1797,2,TRUE)</f>
        <v/>
      </c>
      <c r="AH1797" s="10">
        <f>LEN(AC1797)+LEN(AG1797)</f>
        <v/>
      </c>
      <c r="AI1797" s="10">
        <f>LEN(L1797)</f>
        <v/>
      </c>
    </row>
    <row r="1798">
      <c r="J1798" s="12">
        <f>IF(F1798&lt;&gt;0,"LANÇAR","")</f>
        <v/>
      </c>
      <c r="L1798" s="13">
        <f>N1798&amp;O1798&amp;P1798&amp;Q1798&amp;R1798&amp;S1798&amp;T1798&amp;U1798&amp;V1798&amp;W1798&amp;X1798&amp;Y1798&amp;Z1798&amp;AA1798&amp;AB1798&amp;AC1798&amp;AD1798&amp;AE1798&amp;AF1798&amp;AG1798</f>
        <v/>
      </c>
      <c r="N1798" s="10">
        <f>TEXT($B$6,"00")</f>
        <v/>
      </c>
      <c r="O1798" s="10">
        <f>REPT(" ",8)</f>
        <v/>
      </c>
      <c r="P1798" s="10">
        <f>RIGHT($B$4,2)</f>
        <v/>
      </c>
      <c r="Q1798" s="10">
        <f>RIGHT($B$5,3)</f>
        <v/>
      </c>
      <c r="R1798" s="10">
        <f>IF(A1798="D",LEFT(UPPER(B1798)&amp;REPT(" ",20),20),REPT(" ",20))</f>
        <v/>
      </c>
      <c r="S1798" s="10">
        <f>IF(A1798="D",LEFT(UPPER(C1798)&amp;REPT(" ",10),10)," ")</f>
        <v/>
      </c>
      <c r="T1798" s="10">
        <f>IF(A1798="D",LEFT(UPPER(D1798)&amp;REPT(" ",2),2)," ")</f>
        <v/>
      </c>
      <c r="U1798" s="10">
        <f>IF(A1798="D",LEFT(UPPER(E1798)&amp;REPT(" ",15),15)," ")</f>
        <v/>
      </c>
      <c r="V1798" s="10">
        <f>REPT(" ",24)</f>
        <v/>
      </c>
      <c r="W1798" s="10">
        <f>IF(A1798="c",LEFT(UPPER(B1798)&amp;REPT(" ",20),20),REPT(" ",20))</f>
        <v/>
      </c>
      <c r="X1798" s="10">
        <f>IF(A1798="C",LEFT(UPPER(C1798)&amp;REPT(" ",10),10)," ")</f>
        <v/>
      </c>
      <c r="Y1798" s="10">
        <f>IF(A1798="C",LEFT(UPPER(D1798)&amp;REPT(" ",2),2)," ")</f>
        <v/>
      </c>
      <c r="Z1798" s="10">
        <f>IF(A1798="C",LEFT(UPPER(E1798)&amp;REPT(" ",15),15)," ")</f>
        <v/>
      </c>
      <c r="AA1798" s="10">
        <f>REPT(" ",8)</f>
        <v/>
      </c>
      <c r="AB1798" s="10">
        <f>REPT(" ",4)</f>
        <v/>
      </c>
      <c r="AC1798" s="10">
        <f>LEFT(UPPER(H1798)&amp;REPT(" ",250),250)</f>
        <v/>
      </c>
      <c r="AD1798" s="10">
        <f>TEXT($G$2,"dd/mm/aaaa")</f>
        <v/>
      </c>
      <c r="AE1798" s="10">
        <f>REPT(" ",10)</f>
        <v/>
      </c>
      <c r="AF1798" s="10">
        <f>REPT(" ",20)</f>
        <v/>
      </c>
      <c r="AG1798" s="54">
        <f>REPT(" ",18-LEN(FIXED(F1798,2,TRUE)))&amp;FIXED(F1798,2,TRUE)</f>
        <v/>
      </c>
      <c r="AH1798" s="10">
        <f>LEN(AC1798)+LEN(AG1798)</f>
        <v/>
      </c>
      <c r="AI1798" s="10">
        <f>LEN(L1798)</f>
        <v/>
      </c>
    </row>
    <row r="1799">
      <c r="J1799" s="12">
        <f>IF(F1799&lt;&gt;0,"LANÇAR","")</f>
        <v/>
      </c>
      <c r="L1799" s="13">
        <f>N1799&amp;O1799&amp;P1799&amp;Q1799&amp;R1799&amp;S1799&amp;T1799&amp;U1799&amp;V1799&amp;W1799&amp;X1799&amp;Y1799&amp;Z1799&amp;AA1799&amp;AB1799&amp;AC1799&amp;AD1799&amp;AE1799&amp;AF1799&amp;AG1799</f>
        <v/>
      </c>
      <c r="N1799" s="10">
        <f>TEXT($B$6,"00")</f>
        <v/>
      </c>
      <c r="O1799" s="10">
        <f>REPT(" ",8)</f>
        <v/>
      </c>
      <c r="P1799" s="10">
        <f>RIGHT($B$4,2)</f>
        <v/>
      </c>
      <c r="Q1799" s="10">
        <f>RIGHT($B$5,3)</f>
        <v/>
      </c>
      <c r="R1799" s="10">
        <f>IF(A1799="D",LEFT(UPPER(B1799)&amp;REPT(" ",20),20),REPT(" ",20))</f>
        <v/>
      </c>
      <c r="S1799" s="10">
        <f>IF(A1799="D",LEFT(UPPER(C1799)&amp;REPT(" ",10),10)," ")</f>
        <v/>
      </c>
      <c r="T1799" s="10">
        <f>IF(A1799="D",LEFT(UPPER(D1799)&amp;REPT(" ",2),2)," ")</f>
        <v/>
      </c>
      <c r="U1799" s="10">
        <f>IF(A1799="D",LEFT(UPPER(E1799)&amp;REPT(" ",15),15)," ")</f>
        <v/>
      </c>
      <c r="V1799" s="10">
        <f>REPT(" ",24)</f>
        <v/>
      </c>
      <c r="W1799" s="10">
        <f>IF(A1799="c",LEFT(UPPER(B1799)&amp;REPT(" ",20),20),REPT(" ",20))</f>
        <v/>
      </c>
      <c r="X1799" s="10">
        <f>IF(A1799="C",LEFT(UPPER(C1799)&amp;REPT(" ",10),10)," ")</f>
        <v/>
      </c>
      <c r="Y1799" s="10">
        <f>IF(A1799="C",LEFT(UPPER(D1799)&amp;REPT(" ",2),2)," ")</f>
        <v/>
      </c>
      <c r="Z1799" s="10">
        <f>IF(A1799="C",LEFT(UPPER(E1799)&amp;REPT(" ",15),15)," ")</f>
        <v/>
      </c>
      <c r="AA1799" s="10">
        <f>REPT(" ",8)</f>
        <v/>
      </c>
      <c r="AB1799" s="10">
        <f>REPT(" ",4)</f>
        <v/>
      </c>
      <c r="AC1799" s="10">
        <f>LEFT(UPPER(H1799)&amp;REPT(" ",250),250)</f>
        <v/>
      </c>
      <c r="AD1799" s="10">
        <f>TEXT($G$2,"dd/mm/aaaa")</f>
        <v/>
      </c>
      <c r="AE1799" s="10">
        <f>REPT(" ",10)</f>
        <v/>
      </c>
      <c r="AF1799" s="10">
        <f>REPT(" ",20)</f>
        <v/>
      </c>
      <c r="AG1799" s="54">
        <f>REPT(" ",18-LEN(FIXED(F1799,2,TRUE)))&amp;FIXED(F1799,2,TRUE)</f>
        <v/>
      </c>
      <c r="AH1799" s="10">
        <f>LEN(AC1799)+LEN(AG1799)</f>
        <v/>
      </c>
      <c r="AI1799" s="10">
        <f>LEN(L1799)</f>
        <v/>
      </c>
    </row>
    <row r="1800">
      <c r="J1800" s="12">
        <f>IF(F1800&lt;&gt;0,"LANÇAR","")</f>
        <v/>
      </c>
      <c r="L1800" s="13">
        <f>N1800&amp;O1800&amp;P1800&amp;Q1800&amp;R1800&amp;S1800&amp;T1800&amp;U1800&amp;V1800&amp;W1800&amp;X1800&amp;Y1800&amp;Z1800&amp;AA1800&amp;AB1800&amp;AC1800&amp;AD1800&amp;AE1800&amp;AF1800&amp;AG1800</f>
        <v/>
      </c>
      <c r="N1800" s="10">
        <f>TEXT($B$6,"00")</f>
        <v/>
      </c>
      <c r="O1800" s="10">
        <f>REPT(" ",8)</f>
        <v/>
      </c>
      <c r="P1800" s="10">
        <f>RIGHT($B$4,2)</f>
        <v/>
      </c>
      <c r="Q1800" s="10">
        <f>RIGHT($B$5,3)</f>
        <v/>
      </c>
      <c r="R1800" s="10">
        <f>IF(A1800="D",LEFT(UPPER(B1800)&amp;REPT(" ",20),20),REPT(" ",20))</f>
        <v/>
      </c>
      <c r="S1800" s="10">
        <f>IF(A1800="D",LEFT(UPPER(C1800)&amp;REPT(" ",10),10)," ")</f>
        <v/>
      </c>
      <c r="T1800" s="10">
        <f>IF(A1800="D",LEFT(UPPER(D1800)&amp;REPT(" ",2),2)," ")</f>
        <v/>
      </c>
      <c r="U1800" s="10">
        <f>IF(A1800="D",LEFT(UPPER(E1800)&amp;REPT(" ",15),15)," ")</f>
        <v/>
      </c>
      <c r="V1800" s="10">
        <f>REPT(" ",24)</f>
        <v/>
      </c>
      <c r="W1800" s="10">
        <f>IF(A1800="c",LEFT(UPPER(B1800)&amp;REPT(" ",20),20),REPT(" ",20))</f>
        <v/>
      </c>
      <c r="X1800" s="10">
        <f>IF(A1800="C",LEFT(UPPER(C1800)&amp;REPT(" ",10),10)," ")</f>
        <v/>
      </c>
      <c r="Y1800" s="10">
        <f>IF(A1800="C",LEFT(UPPER(D1800)&amp;REPT(" ",2),2)," ")</f>
        <v/>
      </c>
      <c r="Z1800" s="10">
        <f>IF(A1800="C",LEFT(UPPER(E1800)&amp;REPT(" ",15),15)," ")</f>
        <v/>
      </c>
      <c r="AA1800" s="10">
        <f>REPT(" ",8)</f>
        <v/>
      </c>
      <c r="AB1800" s="10">
        <f>REPT(" ",4)</f>
        <v/>
      </c>
      <c r="AC1800" s="10">
        <f>LEFT(UPPER(H1800)&amp;REPT(" ",250),250)</f>
        <v/>
      </c>
      <c r="AD1800" s="10">
        <f>TEXT($G$2,"dd/mm/aaaa")</f>
        <v/>
      </c>
      <c r="AE1800" s="10">
        <f>REPT(" ",10)</f>
        <v/>
      </c>
      <c r="AF1800" s="10">
        <f>REPT(" ",20)</f>
        <v/>
      </c>
      <c r="AG1800" s="54">
        <f>REPT(" ",18-LEN(FIXED(F1800,2,TRUE)))&amp;FIXED(F1800,2,TRUE)</f>
        <v/>
      </c>
      <c r="AH1800" s="10">
        <f>LEN(AC1800)+LEN(AG1800)</f>
        <v/>
      </c>
      <c r="AI1800" s="10">
        <f>LEN(L1800)</f>
        <v/>
      </c>
    </row>
    <row r="1801">
      <c r="J1801" s="12">
        <f>IF(F1801&lt;&gt;0,"LANÇAR","")</f>
        <v/>
      </c>
      <c r="L1801" s="13">
        <f>N1801&amp;O1801&amp;P1801&amp;Q1801&amp;R1801&amp;S1801&amp;T1801&amp;U1801&amp;V1801&amp;W1801&amp;X1801&amp;Y1801&amp;Z1801&amp;AA1801&amp;AB1801&amp;AC1801&amp;AD1801&amp;AE1801&amp;AF1801&amp;AG1801</f>
        <v/>
      </c>
      <c r="N1801" s="10">
        <f>TEXT($B$6,"00")</f>
        <v/>
      </c>
      <c r="O1801" s="10">
        <f>REPT(" ",8)</f>
        <v/>
      </c>
      <c r="P1801" s="10">
        <f>RIGHT($B$4,2)</f>
        <v/>
      </c>
      <c r="Q1801" s="10">
        <f>RIGHT($B$5,3)</f>
        <v/>
      </c>
      <c r="R1801" s="10">
        <f>IF(A1801="D",LEFT(UPPER(B1801)&amp;REPT(" ",20),20),REPT(" ",20))</f>
        <v/>
      </c>
      <c r="S1801" s="10">
        <f>IF(A1801="D",LEFT(UPPER(C1801)&amp;REPT(" ",10),10)," ")</f>
        <v/>
      </c>
      <c r="T1801" s="10">
        <f>IF(A1801="D",LEFT(UPPER(D1801)&amp;REPT(" ",2),2)," ")</f>
        <v/>
      </c>
      <c r="U1801" s="10">
        <f>IF(A1801="D",LEFT(UPPER(E1801)&amp;REPT(" ",15),15)," ")</f>
        <v/>
      </c>
      <c r="V1801" s="10">
        <f>REPT(" ",24)</f>
        <v/>
      </c>
      <c r="W1801" s="10">
        <f>IF(A1801="c",LEFT(UPPER(B1801)&amp;REPT(" ",20),20),REPT(" ",20))</f>
        <v/>
      </c>
      <c r="X1801" s="10">
        <f>IF(A1801="C",LEFT(UPPER(C1801)&amp;REPT(" ",10),10)," ")</f>
        <v/>
      </c>
      <c r="Y1801" s="10">
        <f>IF(A1801="C",LEFT(UPPER(D1801)&amp;REPT(" ",2),2)," ")</f>
        <v/>
      </c>
      <c r="Z1801" s="10">
        <f>IF(A1801="C",LEFT(UPPER(E1801)&amp;REPT(" ",15),15)," ")</f>
        <v/>
      </c>
      <c r="AA1801" s="10">
        <f>REPT(" ",8)</f>
        <v/>
      </c>
      <c r="AB1801" s="10">
        <f>REPT(" ",4)</f>
        <v/>
      </c>
      <c r="AC1801" s="10">
        <f>LEFT(UPPER(H1801)&amp;REPT(" ",250),250)</f>
        <v/>
      </c>
      <c r="AD1801" s="10">
        <f>TEXT($G$2,"dd/mm/aaaa")</f>
        <v/>
      </c>
      <c r="AE1801" s="10">
        <f>REPT(" ",10)</f>
        <v/>
      </c>
      <c r="AF1801" s="10">
        <f>REPT(" ",20)</f>
        <v/>
      </c>
      <c r="AG1801" s="54">
        <f>REPT(" ",18-LEN(FIXED(F1801,2,TRUE)))&amp;FIXED(F1801,2,TRUE)</f>
        <v/>
      </c>
      <c r="AH1801" s="10">
        <f>LEN(AC1801)+LEN(AG1801)</f>
        <v/>
      </c>
      <c r="AI1801" s="10">
        <f>LEN(L1801)</f>
        <v/>
      </c>
    </row>
    <row r="1802">
      <c r="J1802" s="12">
        <f>IF(F1802&lt;&gt;0,"LANÇAR","")</f>
        <v/>
      </c>
      <c r="L1802" s="13">
        <f>N1802&amp;O1802&amp;P1802&amp;Q1802&amp;R1802&amp;S1802&amp;T1802&amp;U1802&amp;V1802&amp;W1802&amp;X1802&amp;Y1802&amp;Z1802&amp;AA1802&amp;AB1802&amp;AC1802&amp;AD1802&amp;AE1802&amp;AF1802&amp;AG1802</f>
        <v/>
      </c>
      <c r="N1802" s="10">
        <f>TEXT($B$6,"00")</f>
        <v/>
      </c>
      <c r="O1802" s="10">
        <f>REPT(" ",8)</f>
        <v/>
      </c>
      <c r="P1802" s="10">
        <f>RIGHT($B$4,2)</f>
        <v/>
      </c>
      <c r="Q1802" s="10">
        <f>RIGHT($B$5,3)</f>
        <v/>
      </c>
      <c r="R1802" s="10">
        <f>IF(A1802="D",LEFT(UPPER(B1802)&amp;REPT(" ",20),20),REPT(" ",20))</f>
        <v/>
      </c>
      <c r="S1802" s="10">
        <f>IF(A1802="D",LEFT(UPPER(C1802)&amp;REPT(" ",10),10)," ")</f>
        <v/>
      </c>
      <c r="T1802" s="10">
        <f>IF(A1802="D",LEFT(UPPER(D1802)&amp;REPT(" ",2),2)," ")</f>
        <v/>
      </c>
      <c r="U1802" s="10">
        <f>IF(A1802="D",LEFT(UPPER(E1802)&amp;REPT(" ",15),15)," ")</f>
        <v/>
      </c>
      <c r="V1802" s="10">
        <f>REPT(" ",24)</f>
        <v/>
      </c>
      <c r="W1802" s="10">
        <f>IF(A1802="c",LEFT(UPPER(B1802)&amp;REPT(" ",20),20),REPT(" ",20))</f>
        <v/>
      </c>
      <c r="X1802" s="10">
        <f>IF(A1802="C",LEFT(UPPER(C1802)&amp;REPT(" ",10),10)," ")</f>
        <v/>
      </c>
      <c r="Y1802" s="10">
        <f>IF(A1802="C",LEFT(UPPER(D1802)&amp;REPT(" ",2),2)," ")</f>
        <v/>
      </c>
      <c r="Z1802" s="10">
        <f>IF(A1802="C",LEFT(UPPER(E1802)&amp;REPT(" ",15),15)," ")</f>
        <v/>
      </c>
      <c r="AA1802" s="10">
        <f>REPT(" ",8)</f>
        <v/>
      </c>
      <c r="AB1802" s="10">
        <f>REPT(" ",4)</f>
        <v/>
      </c>
      <c r="AC1802" s="10">
        <f>LEFT(UPPER(H1802)&amp;REPT(" ",250),250)</f>
        <v/>
      </c>
      <c r="AD1802" s="10">
        <f>TEXT($G$2,"dd/mm/aaaa")</f>
        <v/>
      </c>
      <c r="AE1802" s="10">
        <f>REPT(" ",10)</f>
        <v/>
      </c>
      <c r="AF1802" s="10">
        <f>REPT(" ",20)</f>
        <v/>
      </c>
      <c r="AG1802" s="54">
        <f>REPT(" ",18-LEN(FIXED(F1802,2,TRUE)))&amp;FIXED(F1802,2,TRUE)</f>
        <v/>
      </c>
      <c r="AH1802" s="10">
        <f>LEN(AC1802)+LEN(AG1802)</f>
        <v/>
      </c>
      <c r="AI1802" s="10">
        <f>LEN(L1802)</f>
        <v/>
      </c>
    </row>
    <row r="1803">
      <c r="J1803" s="12">
        <f>IF(F1803&lt;&gt;0,"LANÇAR","")</f>
        <v/>
      </c>
      <c r="L1803" s="13">
        <f>N1803&amp;O1803&amp;P1803&amp;Q1803&amp;R1803&amp;S1803&amp;T1803&amp;U1803&amp;V1803&amp;W1803&amp;X1803&amp;Y1803&amp;Z1803&amp;AA1803&amp;AB1803&amp;AC1803&amp;AD1803&amp;AE1803&amp;AF1803&amp;AG1803</f>
        <v/>
      </c>
      <c r="N1803" s="10">
        <f>TEXT($B$6,"00")</f>
        <v/>
      </c>
      <c r="O1803" s="10">
        <f>REPT(" ",8)</f>
        <v/>
      </c>
      <c r="P1803" s="10">
        <f>RIGHT($B$4,2)</f>
        <v/>
      </c>
      <c r="Q1803" s="10">
        <f>RIGHT($B$5,3)</f>
        <v/>
      </c>
      <c r="R1803" s="10">
        <f>IF(A1803="D",LEFT(UPPER(B1803)&amp;REPT(" ",20),20),REPT(" ",20))</f>
        <v/>
      </c>
      <c r="S1803" s="10">
        <f>IF(A1803="D",LEFT(UPPER(C1803)&amp;REPT(" ",10),10)," ")</f>
        <v/>
      </c>
      <c r="T1803" s="10">
        <f>IF(A1803="D",LEFT(UPPER(D1803)&amp;REPT(" ",2),2)," ")</f>
        <v/>
      </c>
      <c r="U1803" s="10">
        <f>IF(A1803="D",LEFT(UPPER(E1803)&amp;REPT(" ",15),15)," ")</f>
        <v/>
      </c>
      <c r="V1803" s="10">
        <f>REPT(" ",24)</f>
        <v/>
      </c>
      <c r="W1803" s="10">
        <f>IF(A1803="c",LEFT(UPPER(B1803)&amp;REPT(" ",20),20),REPT(" ",20))</f>
        <v/>
      </c>
      <c r="X1803" s="10">
        <f>IF(A1803="C",LEFT(UPPER(C1803)&amp;REPT(" ",10),10)," ")</f>
        <v/>
      </c>
      <c r="Y1803" s="10">
        <f>IF(A1803="C",LEFT(UPPER(D1803)&amp;REPT(" ",2),2)," ")</f>
        <v/>
      </c>
      <c r="Z1803" s="10">
        <f>IF(A1803="C",LEFT(UPPER(E1803)&amp;REPT(" ",15),15)," ")</f>
        <v/>
      </c>
      <c r="AA1803" s="10">
        <f>REPT(" ",8)</f>
        <v/>
      </c>
      <c r="AB1803" s="10">
        <f>REPT(" ",4)</f>
        <v/>
      </c>
      <c r="AC1803" s="10">
        <f>LEFT(UPPER(H1803)&amp;REPT(" ",250),250)</f>
        <v/>
      </c>
      <c r="AD1803" s="10">
        <f>TEXT($G$2,"dd/mm/aaaa")</f>
        <v/>
      </c>
      <c r="AE1803" s="10">
        <f>REPT(" ",10)</f>
        <v/>
      </c>
      <c r="AF1803" s="10">
        <f>REPT(" ",20)</f>
        <v/>
      </c>
      <c r="AG1803" s="54">
        <f>REPT(" ",18-LEN(FIXED(F1803,2,TRUE)))&amp;FIXED(F1803,2,TRUE)</f>
        <v/>
      </c>
      <c r="AH1803" s="10">
        <f>LEN(AC1803)+LEN(AG1803)</f>
        <v/>
      </c>
      <c r="AI1803" s="10">
        <f>LEN(L1803)</f>
        <v/>
      </c>
    </row>
    <row r="1804">
      <c r="J1804" s="12">
        <f>IF(F1804&lt;&gt;0,"LANÇAR","")</f>
        <v/>
      </c>
      <c r="L1804" s="13">
        <f>N1804&amp;O1804&amp;P1804&amp;Q1804&amp;R1804&amp;S1804&amp;T1804&amp;U1804&amp;V1804&amp;W1804&amp;X1804&amp;Y1804&amp;Z1804&amp;AA1804&amp;AB1804&amp;AC1804&amp;AD1804&amp;AE1804&amp;AF1804&amp;AG1804</f>
        <v/>
      </c>
      <c r="N1804" s="10">
        <f>TEXT($B$6,"00")</f>
        <v/>
      </c>
      <c r="O1804" s="10">
        <f>REPT(" ",8)</f>
        <v/>
      </c>
      <c r="P1804" s="10">
        <f>RIGHT($B$4,2)</f>
        <v/>
      </c>
      <c r="Q1804" s="10">
        <f>RIGHT($B$5,3)</f>
        <v/>
      </c>
      <c r="R1804" s="10">
        <f>IF(A1804="D",LEFT(UPPER(B1804)&amp;REPT(" ",20),20),REPT(" ",20))</f>
        <v/>
      </c>
      <c r="S1804" s="10">
        <f>IF(A1804="D",LEFT(UPPER(C1804)&amp;REPT(" ",10),10)," ")</f>
        <v/>
      </c>
      <c r="T1804" s="10">
        <f>IF(A1804="D",LEFT(UPPER(D1804)&amp;REPT(" ",2),2)," ")</f>
        <v/>
      </c>
      <c r="U1804" s="10">
        <f>IF(A1804="D",LEFT(UPPER(E1804)&amp;REPT(" ",15),15)," ")</f>
        <v/>
      </c>
      <c r="V1804" s="10">
        <f>REPT(" ",24)</f>
        <v/>
      </c>
      <c r="W1804" s="10">
        <f>IF(A1804="c",LEFT(UPPER(B1804)&amp;REPT(" ",20),20),REPT(" ",20))</f>
        <v/>
      </c>
      <c r="X1804" s="10">
        <f>IF(A1804="C",LEFT(UPPER(C1804)&amp;REPT(" ",10),10)," ")</f>
        <v/>
      </c>
      <c r="Y1804" s="10">
        <f>IF(A1804="C",LEFT(UPPER(D1804)&amp;REPT(" ",2),2)," ")</f>
        <v/>
      </c>
      <c r="Z1804" s="10">
        <f>IF(A1804="C",LEFT(UPPER(E1804)&amp;REPT(" ",15),15)," ")</f>
        <v/>
      </c>
      <c r="AA1804" s="10">
        <f>REPT(" ",8)</f>
        <v/>
      </c>
      <c r="AB1804" s="10">
        <f>REPT(" ",4)</f>
        <v/>
      </c>
      <c r="AC1804" s="10">
        <f>LEFT(UPPER(H1804)&amp;REPT(" ",250),250)</f>
        <v/>
      </c>
      <c r="AD1804" s="10">
        <f>TEXT($G$2,"dd/mm/aaaa")</f>
        <v/>
      </c>
      <c r="AE1804" s="10">
        <f>REPT(" ",10)</f>
        <v/>
      </c>
      <c r="AF1804" s="10">
        <f>REPT(" ",20)</f>
        <v/>
      </c>
      <c r="AG1804" s="54">
        <f>REPT(" ",18-LEN(FIXED(F1804,2,TRUE)))&amp;FIXED(F1804,2,TRUE)</f>
        <v/>
      </c>
      <c r="AH1804" s="10">
        <f>LEN(AC1804)+LEN(AG1804)</f>
        <v/>
      </c>
      <c r="AI1804" s="10">
        <f>LEN(L1804)</f>
        <v/>
      </c>
    </row>
    <row r="1805">
      <c r="J1805" s="12">
        <f>IF(F1805&lt;&gt;0,"LANÇAR","")</f>
        <v/>
      </c>
      <c r="L1805" s="13">
        <f>N1805&amp;O1805&amp;P1805&amp;Q1805&amp;R1805&amp;S1805&amp;T1805&amp;U1805&amp;V1805&amp;W1805&amp;X1805&amp;Y1805&amp;Z1805&amp;AA1805&amp;AB1805&amp;AC1805&amp;AD1805&amp;AE1805&amp;AF1805&amp;AG1805</f>
        <v/>
      </c>
      <c r="N1805" s="10">
        <f>TEXT($B$6,"00")</f>
        <v/>
      </c>
      <c r="O1805" s="10">
        <f>REPT(" ",8)</f>
        <v/>
      </c>
      <c r="P1805" s="10">
        <f>RIGHT($B$4,2)</f>
        <v/>
      </c>
      <c r="Q1805" s="10">
        <f>RIGHT($B$5,3)</f>
        <v/>
      </c>
      <c r="R1805" s="10">
        <f>IF(A1805="D",LEFT(UPPER(B1805)&amp;REPT(" ",20),20),REPT(" ",20))</f>
        <v/>
      </c>
      <c r="S1805" s="10">
        <f>IF(A1805="D",LEFT(UPPER(C1805)&amp;REPT(" ",10),10)," ")</f>
        <v/>
      </c>
      <c r="T1805" s="10">
        <f>IF(A1805="D",LEFT(UPPER(D1805)&amp;REPT(" ",2),2)," ")</f>
        <v/>
      </c>
      <c r="U1805" s="10">
        <f>IF(A1805="D",LEFT(UPPER(E1805)&amp;REPT(" ",15),15)," ")</f>
        <v/>
      </c>
      <c r="V1805" s="10">
        <f>REPT(" ",24)</f>
        <v/>
      </c>
      <c r="W1805" s="10">
        <f>IF(A1805="c",LEFT(UPPER(B1805)&amp;REPT(" ",20),20),REPT(" ",20))</f>
        <v/>
      </c>
      <c r="X1805" s="10">
        <f>IF(A1805="C",LEFT(UPPER(C1805)&amp;REPT(" ",10),10)," ")</f>
        <v/>
      </c>
      <c r="Y1805" s="10">
        <f>IF(A1805="C",LEFT(UPPER(D1805)&amp;REPT(" ",2),2)," ")</f>
        <v/>
      </c>
      <c r="Z1805" s="10">
        <f>IF(A1805="C",LEFT(UPPER(E1805)&amp;REPT(" ",15),15)," ")</f>
        <v/>
      </c>
      <c r="AA1805" s="10">
        <f>REPT(" ",8)</f>
        <v/>
      </c>
      <c r="AB1805" s="10">
        <f>REPT(" ",4)</f>
        <v/>
      </c>
      <c r="AC1805" s="10">
        <f>LEFT(UPPER(H1805)&amp;REPT(" ",250),250)</f>
        <v/>
      </c>
      <c r="AD1805" s="10">
        <f>TEXT($G$2,"dd/mm/aaaa")</f>
        <v/>
      </c>
      <c r="AE1805" s="10">
        <f>REPT(" ",10)</f>
        <v/>
      </c>
      <c r="AF1805" s="10">
        <f>REPT(" ",20)</f>
        <v/>
      </c>
      <c r="AG1805" s="54">
        <f>REPT(" ",18-LEN(FIXED(F1805,2,TRUE)))&amp;FIXED(F1805,2,TRUE)</f>
        <v/>
      </c>
      <c r="AH1805" s="10">
        <f>LEN(AC1805)+LEN(AG1805)</f>
        <v/>
      </c>
      <c r="AI1805" s="10">
        <f>LEN(L1805)</f>
        <v/>
      </c>
    </row>
    <row r="1806">
      <c r="J1806" s="12">
        <f>IF(F1806&lt;&gt;0,"LANÇAR","")</f>
        <v/>
      </c>
      <c r="L1806" s="13">
        <f>N1806&amp;O1806&amp;P1806&amp;Q1806&amp;R1806&amp;S1806&amp;T1806&amp;U1806&amp;V1806&amp;W1806&amp;X1806&amp;Y1806&amp;Z1806&amp;AA1806&amp;AB1806&amp;AC1806&amp;AD1806&amp;AE1806&amp;AF1806&amp;AG1806</f>
        <v/>
      </c>
      <c r="N1806" s="10">
        <f>TEXT($B$6,"00")</f>
        <v/>
      </c>
      <c r="O1806" s="10">
        <f>REPT(" ",8)</f>
        <v/>
      </c>
      <c r="P1806" s="10">
        <f>RIGHT($B$4,2)</f>
        <v/>
      </c>
      <c r="Q1806" s="10">
        <f>RIGHT($B$5,3)</f>
        <v/>
      </c>
      <c r="R1806" s="10">
        <f>IF(A1806="D",LEFT(UPPER(B1806)&amp;REPT(" ",20),20),REPT(" ",20))</f>
        <v/>
      </c>
      <c r="S1806" s="10">
        <f>IF(A1806="D",LEFT(UPPER(C1806)&amp;REPT(" ",10),10)," ")</f>
        <v/>
      </c>
      <c r="T1806" s="10">
        <f>IF(A1806="D",LEFT(UPPER(D1806)&amp;REPT(" ",2),2)," ")</f>
        <v/>
      </c>
      <c r="U1806" s="10">
        <f>IF(A1806="D",LEFT(UPPER(E1806)&amp;REPT(" ",15),15)," ")</f>
        <v/>
      </c>
      <c r="V1806" s="10">
        <f>REPT(" ",24)</f>
        <v/>
      </c>
      <c r="W1806" s="10">
        <f>IF(A1806="c",LEFT(UPPER(B1806)&amp;REPT(" ",20),20),REPT(" ",20))</f>
        <v/>
      </c>
      <c r="X1806" s="10">
        <f>IF(A1806="C",LEFT(UPPER(C1806)&amp;REPT(" ",10),10)," ")</f>
        <v/>
      </c>
      <c r="Y1806" s="10">
        <f>IF(A1806="C",LEFT(UPPER(D1806)&amp;REPT(" ",2),2)," ")</f>
        <v/>
      </c>
      <c r="Z1806" s="10">
        <f>IF(A1806="C",LEFT(UPPER(E1806)&amp;REPT(" ",15),15)," ")</f>
        <v/>
      </c>
      <c r="AA1806" s="10">
        <f>REPT(" ",8)</f>
        <v/>
      </c>
      <c r="AB1806" s="10">
        <f>REPT(" ",4)</f>
        <v/>
      </c>
      <c r="AC1806" s="10">
        <f>LEFT(UPPER(H1806)&amp;REPT(" ",250),250)</f>
        <v/>
      </c>
      <c r="AD1806" s="10">
        <f>TEXT($G$2,"dd/mm/aaaa")</f>
        <v/>
      </c>
      <c r="AE1806" s="10">
        <f>REPT(" ",10)</f>
        <v/>
      </c>
      <c r="AF1806" s="10">
        <f>REPT(" ",20)</f>
        <v/>
      </c>
      <c r="AG1806" s="54">
        <f>REPT(" ",18-LEN(FIXED(F1806,2,TRUE)))&amp;FIXED(F1806,2,TRUE)</f>
        <v/>
      </c>
      <c r="AH1806" s="10">
        <f>LEN(AC1806)+LEN(AG1806)</f>
        <v/>
      </c>
      <c r="AI1806" s="10">
        <f>LEN(L1806)</f>
        <v/>
      </c>
    </row>
    <row r="1807">
      <c r="J1807" s="12">
        <f>IF(F1807&lt;&gt;0,"LANÇAR","")</f>
        <v/>
      </c>
      <c r="L1807" s="13">
        <f>N1807&amp;O1807&amp;P1807&amp;Q1807&amp;R1807&amp;S1807&amp;T1807&amp;U1807&amp;V1807&amp;W1807&amp;X1807&amp;Y1807&amp;Z1807&amp;AA1807&amp;AB1807&amp;AC1807&amp;AD1807&amp;AE1807&amp;AF1807&amp;AG1807</f>
        <v/>
      </c>
      <c r="N1807" s="10">
        <f>TEXT($B$6,"00")</f>
        <v/>
      </c>
      <c r="O1807" s="10">
        <f>REPT(" ",8)</f>
        <v/>
      </c>
      <c r="P1807" s="10">
        <f>RIGHT($B$4,2)</f>
        <v/>
      </c>
      <c r="Q1807" s="10">
        <f>RIGHT($B$5,3)</f>
        <v/>
      </c>
      <c r="R1807" s="10">
        <f>IF(A1807="D",LEFT(UPPER(B1807)&amp;REPT(" ",20),20),REPT(" ",20))</f>
        <v/>
      </c>
      <c r="S1807" s="10">
        <f>IF(A1807="D",LEFT(UPPER(C1807)&amp;REPT(" ",10),10)," ")</f>
        <v/>
      </c>
      <c r="T1807" s="10">
        <f>IF(A1807="D",LEFT(UPPER(D1807)&amp;REPT(" ",2),2)," ")</f>
        <v/>
      </c>
      <c r="U1807" s="10">
        <f>IF(A1807="D",LEFT(UPPER(E1807)&amp;REPT(" ",15),15)," ")</f>
        <v/>
      </c>
      <c r="V1807" s="10">
        <f>REPT(" ",24)</f>
        <v/>
      </c>
      <c r="W1807" s="10">
        <f>IF(A1807="c",LEFT(UPPER(B1807)&amp;REPT(" ",20),20),REPT(" ",20))</f>
        <v/>
      </c>
      <c r="X1807" s="10">
        <f>IF(A1807="C",LEFT(UPPER(C1807)&amp;REPT(" ",10),10)," ")</f>
        <v/>
      </c>
      <c r="Y1807" s="10">
        <f>IF(A1807="C",LEFT(UPPER(D1807)&amp;REPT(" ",2),2)," ")</f>
        <v/>
      </c>
      <c r="Z1807" s="10">
        <f>IF(A1807="C",LEFT(UPPER(E1807)&amp;REPT(" ",15),15)," ")</f>
        <v/>
      </c>
      <c r="AA1807" s="10">
        <f>REPT(" ",8)</f>
        <v/>
      </c>
      <c r="AB1807" s="10">
        <f>REPT(" ",4)</f>
        <v/>
      </c>
      <c r="AC1807" s="10">
        <f>LEFT(UPPER(H1807)&amp;REPT(" ",250),250)</f>
        <v/>
      </c>
      <c r="AD1807" s="10">
        <f>TEXT($G$2,"dd/mm/aaaa")</f>
        <v/>
      </c>
      <c r="AE1807" s="10">
        <f>REPT(" ",10)</f>
        <v/>
      </c>
      <c r="AF1807" s="10">
        <f>REPT(" ",20)</f>
        <v/>
      </c>
      <c r="AG1807" s="54">
        <f>REPT(" ",18-LEN(FIXED(F1807,2,TRUE)))&amp;FIXED(F1807,2,TRUE)</f>
        <v/>
      </c>
      <c r="AH1807" s="10">
        <f>LEN(AC1807)+LEN(AG1807)</f>
        <v/>
      </c>
      <c r="AI1807" s="10">
        <f>LEN(L1807)</f>
        <v/>
      </c>
    </row>
    <row r="1808">
      <c r="J1808" s="12">
        <f>IF(F1808&lt;&gt;0,"LANÇAR","")</f>
        <v/>
      </c>
      <c r="L1808" s="13">
        <f>N1808&amp;O1808&amp;P1808&amp;Q1808&amp;R1808&amp;S1808&amp;T1808&amp;U1808&amp;V1808&amp;W1808&amp;X1808&amp;Y1808&amp;Z1808&amp;AA1808&amp;AB1808&amp;AC1808&amp;AD1808&amp;AE1808&amp;AF1808&amp;AG1808</f>
        <v/>
      </c>
      <c r="N1808" s="10">
        <f>TEXT($B$6,"00")</f>
        <v/>
      </c>
      <c r="O1808" s="10">
        <f>REPT(" ",8)</f>
        <v/>
      </c>
      <c r="P1808" s="10">
        <f>RIGHT($B$4,2)</f>
        <v/>
      </c>
      <c r="Q1808" s="10">
        <f>RIGHT($B$5,3)</f>
        <v/>
      </c>
      <c r="R1808" s="10">
        <f>IF(A1808="D",LEFT(UPPER(B1808)&amp;REPT(" ",20),20),REPT(" ",20))</f>
        <v/>
      </c>
      <c r="S1808" s="10">
        <f>IF(A1808="D",LEFT(UPPER(C1808)&amp;REPT(" ",10),10)," ")</f>
        <v/>
      </c>
      <c r="T1808" s="10">
        <f>IF(A1808="D",LEFT(UPPER(D1808)&amp;REPT(" ",2),2)," ")</f>
        <v/>
      </c>
      <c r="U1808" s="10">
        <f>IF(A1808="D",LEFT(UPPER(E1808)&amp;REPT(" ",15),15)," ")</f>
        <v/>
      </c>
      <c r="V1808" s="10">
        <f>REPT(" ",24)</f>
        <v/>
      </c>
      <c r="W1808" s="10">
        <f>IF(A1808="c",LEFT(UPPER(B1808)&amp;REPT(" ",20),20),REPT(" ",20))</f>
        <v/>
      </c>
      <c r="X1808" s="10">
        <f>IF(A1808="C",LEFT(UPPER(C1808)&amp;REPT(" ",10),10)," ")</f>
        <v/>
      </c>
      <c r="Y1808" s="10">
        <f>IF(A1808="C",LEFT(UPPER(D1808)&amp;REPT(" ",2),2)," ")</f>
        <v/>
      </c>
      <c r="Z1808" s="10">
        <f>IF(A1808="C",LEFT(UPPER(E1808)&amp;REPT(" ",15),15)," ")</f>
        <v/>
      </c>
      <c r="AA1808" s="10">
        <f>REPT(" ",8)</f>
        <v/>
      </c>
      <c r="AB1808" s="10">
        <f>REPT(" ",4)</f>
        <v/>
      </c>
      <c r="AC1808" s="10">
        <f>LEFT(UPPER(H1808)&amp;REPT(" ",250),250)</f>
        <v/>
      </c>
      <c r="AD1808" s="10">
        <f>TEXT($G$2,"dd/mm/aaaa")</f>
        <v/>
      </c>
      <c r="AE1808" s="10">
        <f>REPT(" ",10)</f>
        <v/>
      </c>
      <c r="AF1808" s="10">
        <f>REPT(" ",20)</f>
        <v/>
      </c>
      <c r="AG1808" s="54">
        <f>REPT(" ",18-LEN(FIXED(F1808,2,TRUE)))&amp;FIXED(F1808,2,TRUE)</f>
        <v/>
      </c>
      <c r="AH1808" s="10">
        <f>LEN(AC1808)+LEN(AG1808)</f>
        <v/>
      </c>
      <c r="AI1808" s="10">
        <f>LEN(L1808)</f>
        <v/>
      </c>
    </row>
    <row r="1809">
      <c r="J1809" s="12">
        <f>IF(F1809&lt;&gt;0,"LANÇAR","")</f>
        <v/>
      </c>
      <c r="L1809" s="13">
        <f>N1809&amp;O1809&amp;P1809&amp;Q1809&amp;R1809&amp;S1809&amp;T1809&amp;U1809&amp;V1809&amp;W1809&amp;X1809&amp;Y1809&amp;Z1809&amp;AA1809&amp;AB1809&amp;AC1809&amp;AD1809&amp;AE1809&amp;AF1809&amp;AG1809</f>
        <v/>
      </c>
      <c r="N1809" s="10">
        <f>TEXT($B$6,"00")</f>
        <v/>
      </c>
      <c r="O1809" s="10">
        <f>REPT(" ",8)</f>
        <v/>
      </c>
      <c r="P1809" s="10">
        <f>RIGHT($B$4,2)</f>
        <v/>
      </c>
      <c r="Q1809" s="10">
        <f>RIGHT($B$5,3)</f>
        <v/>
      </c>
      <c r="R1809" s="10">
        <f>IF(A1809="D",LEFT(UPPER(B1809)&amp;REPT(" ",20),20),REPT(" ",20))</f>
        <v/>
      </c>
      <c r="S1809" s="10">
        <f>IF(A1809="D",LEFT(UPPER(C1809)&amp;REPT(" ",10),10)," ")</f>
        <v/>
      </c>
      <c r="T1809" s="10">
        <f>IF(A1809="D",LEFT(UPPER(D1809)&amp;REPT(" ",2),2)," ")</f>
        <v/>
      </c>
      <c r="U1809" s="10">
        <f>IF(A1809="D",LEFT(UPPER(E1809)&amp;REPT(" ",15),15)," ")</f>
        <v/>
      </c>
      <c r="V1809" s="10">
        <f>REPT(" ",24)</f>
        <v/>
      </c>
      <c r="W1809" s="10">
        <f>IF(A1809="c",LEFT(UPPER(B1809)&amp;REPT(" ",20),20),REPT(" ",20))</f>
        <v/>
      </c>
      <c r="X1809" s="10">
        <f>IF(A1809="C",LEFT(UPPER(C1809)&amp;REPT(" ",10),10)," ")</f>
        <v/>
      </c>
      <c r="Y1809" s="10">
        <f>IF(A1809="C",LEFT(UPPER(D1809)&amp;REPT(" ",2),2)," ")</f>
        <v/>
      </c>
      <c r="Z1809" s="10">
        <f>IF(A1809="C",LEFT(UPPER(E1809)&amp;REPT(" ",15),15)," ")</f>
        <v/>
      </c>
      <c r="AA1809" s="10">
        <f>REPT(" ",8)</f>
        <v/>
      </c>
      <c r="AB1809" s="10">
        <f>REPT(" ",4)</f>
        <v/>
      </c>
      <c r="AC1809" s="10">
        <f>LEFT(UPPER(H1809)&amp;REPT(" ",250),250)</f>
        <v/>
      </c>
      <c r="AD1809" s="10">
        <f>TEXT($G$2,"dd/mm/aaaa")</f>
        <v/>
      </c>
      <c r="AE1809" s="10">
        <f>REPT(" ",10)</f>
        <v/>
      </c>
      <c r="AF1809" s="10">
        <f>REPT(" ",20)</f>
        <v/>
      </c>
      <c r="AG1809" s="54">
        <f>REPT(" ",18-LEN(FIXED(F1809,2,TRUE)))&amp;FIXED(F1809,2,TRUE)</f>
        <v/>
      </c>
      <c r="AH1809" s="10">
        <f>LEN(AC1809)+LEN(AG1809)</f>
        <v/>
      </c>
      <c r="AI1809" s="10">
        <f>LEN(L1809)</f>
        <v/>
      </c>
    </row>
    <row r="1810">
      <c r="J1810" s="12">
        <f>IF(F1810&lt;&gt;0,"LANÇAR","")</f>
        <v/>
      </c>
      <c r="L1810" s="13">
        <f>N1810&amp;O1810&amp;P1810&amp;Q1810&amp;R1810&amp;S1810&amp;T1810&amp;U1810&amp;V1810&amp;W1810&amp;X1810&amp;Y1810&amp;Z1810&amp;AA1810&amp;AB1810&amp;AC1810&amp;AD1810&amp;AE1810&amp;AF1810&amp;AG1810</f>
        <v/>
      </c>
      <c r="N1810" s="10">
        <f>TEXT($B$6,"00")</f>
        <v/>
      </c>
      <c r="O1810" s="10">
        <f>REPT(" ",8)</f>
        <v/>
      </c>
      <c r="P1810" s="10">
        <f>RIGHT($B$4,2)</f>
        <v/>
      </c>
      <c r="Q1810" s="10">
        <f>RIGHT($B$5,3)</f>
        <v/>
      </c>
      <c r="R1810" s="10">
        <f>IF(A1810="D",LEFT(UPPER(B1810)&amp;REPT(" ",20),20),REPT(" ",20))</f>
        <v/>
      </c>
      <c r="S1810" s="10">
        <f>IF(A1810="D",LEFT(UPPER(C1810)&amp;REPT(" ",10),10)," ")</f>
        <v/>
      </c>
      <c r="T1810" s="10">
        <f>IF(A1810="D",LEFT(UPPER(D1810)&amp;REPT(" ",2),2)," ")</f>
        <v/>
      </c>
      <c r="U1810" s="10">
        <f>IF(A1810="D",LEFT(UPPER(E1810)&amp;REPT(" ",15),15)," ")</f>
        <v/>
      </c>
      <c r="V1810" s="10">
        <f>REPT(" ",24)</f>
        <v/>
      </c>
      <c r="W1810" s="10">
        <f>IF(A1810="c",LEFT(UPPER(B1810)&amp;REPT(" ",20),20),REPT(" ",20))</f>
        <v/>
      </c>
      <c r="X1810" s="10">
        <f>IF(A1810="C",LEFT(UPPER(C1810)&amp;REPT(" ",10),10)," ")</f>
        <v/>
      </c>
      <c r="Y1810" s="10">
        <f>IF(A1810="C",LEFT(UPPER(D1810)&amp;REPT(" ",2),2)," ")</f>
        <v/>
      </c>
      <c r="Z1810" s="10">
        <f>IF(A1810="C",LEFT(UPPER(E1810)&amp;REPT(" ",15),15)," ")</f>
        <v/>
      </c>
      <c r="AA1810" s="10">
        <f>REPT(" ",8)</f>
        <v/>
      </c>
      <c r="AB1810" s="10">
        <f>REPT(" ",4)</f>
        <v/>
      </c>
      <c r="AC1810" s="10">
        <f>LEFT(UPPER(H1810)&amp;REPT(" ",250),250)</f>
        <v/>
      </c>
      <c r="AD1810" s="10">
        <f>TEXT($G$2,"dd/mm/aaaa")</f>
        <v/>
      </c>
      <c r="AE1810" s="10">
        <f>REPT(" ",10)</f>
        <v/>
      </c>
      <c r="AF1810" s="10">
        <f>REPT(" ",20)</f>
        <v/>
      </c>
      <c r="AG1810" s="54">
        <f>REPT(" ",18-LEN(FIXED(F1810,2,TRUE)))&amp;FIXED(F1810,2,TRUE)</f>
        <v/>
      </c>
      <c r="AH1810" s="10">
        <f>LEN(AC1810)+LEN(AG1810)</f>
        <v/>
      </c>
      <c r="AI1810" s="10">
        <f>LEN(L1810)</f>
        <v/>
      </c>
    </row>
    <row r="1811">
      <c r="J1811" s="12">
        <f>IF(F1811&lt;&gt;0,"LANÇAR","")</f>
        <v/>
      </c>
      <c r="L1811" s="13">
        <f>N1811&amp;O1811&amp;P1811&amp;Q1811&amp;R1811&amp;S1811&amp;T1811&amp;U1811&amp;V1811&amp;W1811&amp;X1811&amp;Y1811&amp;Z1811&amp;AA1811&amp;AB1811&amp;AC1811&amp;AD1811&amp;AE1811&amp;AF1811&amp;AG1811</f>
        <v/>
      </c>
      <c r="N1811" s="10">
        <f>TEXT($B$6,"00")</f>
        <v/>
      </c>
      <c r="O1811" s="10">
        <f>REPT(" ",8)</f>
        <v/>
      </c>
      <c r="P1811" s="10">
        <f>RIGHT($B$4,2)</f>
        <v/>
      </c>
      <c r="Q1811" s="10">
        <f>RIGHT($B$5,3)</f>
        <v/>
      </c>
      <c r="R1811" s="10">
        <f>IF(A1811="D",LEFT(UPPER(B1811)&amp;REPT(" ",20),20),REPT(" ",20))</f>
        <v/>
      </c>
      <c r="S1811" s="10">
        <f>IF(A1811="D",LEFT(UPPER(C1811)&amp;REPT(" ",10),10)," ")</f>
        <v/>
      </c>
      <c r="T1811" s="10">
        <f>IF(A1811="D",LEFT(UPPER(D1811)&amp;REPT(" ",2),2)," ")</f>
        <v/>
      </c>
      <c r="U1811" s="10">
        <f>IF(A1811="D",LEFT(UPPER(E1811)&amp;REPT(" ",15),15)," ")</f>
        <v/>
      </c>
      <c r="V1811" s="10">
        <f>REPT(" ",24)</f>
        <v/>
      </c>
      <c r="W1811" s="10">
        <f>IF(A1811="c",LEFT(UPPER(B1811)&amp;REPT(" ",20),20),REPT(" ",20))</f>
        <v/>
      </c>
      <c r="X1811" s="10">
        <f>IF(A1811="C",LEFT(UPPER(C1811)&amp;REPT(" ",10),10)," ")</f>
        <v/>
      </c>
      <c r="Y1811" s="10">
        <f>IF(A1811="C",LEFT(UPPER(D1811)&amp;REPT(" ",2),2)," ")</f>
        <v/>
      </c>
      <c r="Z1811" s="10">
        <f>IF(A1811="C",LEFT(UPPER(E1811)&amp;REPT(" ",15),15)," ")</f>
        <v/>
      </c>
      <c r="AA1811" s="10">
        <f>REPT(" ",8)</f>
        <v/>
      </c>
      <c r="AB1811" s="10">
        <f>REPT(" ",4)</f>
        <v/>
      </c>
      <c r="AC1811" s="10">
        <f>LEFT(UPPER(H1811)&amp;REPT(" ",250),250)</f>
        <v/>
      </c>
      <c r="AD1811" s="10">
        <f>TEXT($G$2,"dd/mm/aaaa")</f>
        <v/>
      </c>
      <c r="AE1811" s="10">
        <f>REPT(" ",10)</f>
        <v/>
      </c>
      <c r="AF1811" s="10">
        <f>REPT(" ",20)</f>
        <v/>
      </c>
      <c r="AG1811" s="54">
        <f>REPT(" ",18-LEN(FIXED(F1811,2,TRUE)))&amp;FIXED(F1811,2,TRUE)</f>
        <v/>
      </c>
      <c r="AH1811" s="10">
        <f>LEN(AC1811)+LEN(AG1811)</f>
        <v/>
      </c>
      <c r="AI1811" s="10">
        <f>LEN(L1811)</f>
        <v/>
      </c>
    </row>
    <row r="1812">
      <c r="J1812" s="12">
        <f>IF(F1812&lt;&gt;0,"LANÇAR","")</f>
        <v/>
      </c>
      <c r="L1812" s="13">
        <f>N1812&amp;O1812&amp;P1812&amp;Q1812&amp;R1812&amp;S1812&amp;T1812&amp;U1812&amp;V1812&amp;W1812&amp;X1812&amp;Y1812&amp;Z1812&amp;AA1812&amp;AB1812&amp;AC1812&amp;AD1812&amp;AE1812&amp;AF1812&amp;AG1812</f>
        <v/>
      </c>
      <c r="N1812" s="10">
        <f>TEXT($B$6,"00")</f>
        <v/>
      </c>
      <c r="O1812" s="10">
        <f>REPT(" ",8)</f>
        <v/>
      </c>
      <c r="P1812" s="10">
        <f>RIGHT($B$4,2)</f>
        <v/>
      </c>
      <c r="Q1812" s="10">
        <f>RIGHT($B$5,3)</f>
        <v/>
      </c>
      <c r="R1812" s="10">
        <f>IF(A1812="D",LEFT(UPPER(B1812)&amp;REPT(" ",20),20),REPT(" ",20))</f>
        <v/>
      </c>
      <c r="S1812" s="10">
        <f>IF(A1812="D",LEFT(UPPER(C1812)&amp;REPT(" ",10),10)," ")</f>
        <v/>
      </c>
      <c r="T1812" s="10">
        <f>IF(A1812="D",LEFT(UPPER(D1812)&amp;REPT(" ",2),2)," ")</f>
        <v/>
      </c>
      <c r="U1812" s="10">
        <f>IF(A1812="D",LEFT(UPPER(E1812)&amp;REPT(" ",15),15)," ")</f>
        <v/>
      </c>
      <c r="V1812" s="10">
        <f>REPT(" ",24)</f>
        <v/>
      </c>
      <c r="W1812" s="10">
        <f>IF(A1812="c",LEFT(UPPER(B1812)&amp;REPT(" ",20),20),REPT(" ",20))</f>
        <v/>
      </c>
      <c r="X1812" s="10">
        <f>IF(A1812="C",LEFT(UPPER(C1812)&amp;REPT(" ",10),10)," ")</f>
        <v/>
      </c>
      <c r="Y1812" s="10">
        <f>IF(A1812="C",LEFT(UPPER(D1812)&amp;REPT(" ",2),2)," ")</f>
        <v/>
      </c>
      <c r="Z1812" s="10">
        <f>IF(A1812="C",LEFT(UPPER(E1812)&amp;REPT(" ",15),15)," ")</f>
        <v/>
      </c>
      <c r="AA1812" s="10">
        <f>REPT(" ",8)</f>
        <v/>
      </c>
      <c r="AB1812" s="10">
        <f>REPT(" ",4)</f>
        <v/>
      </c>
      <c r="AC1812" s="10">
        <f>LEFT(UPPER(H1812)&amp;REPT(" ",250),250)</f>
        <v/>
      </c>
      <c r="AD1812" s="10">
        <f>TEXT($G$2,"dd/mm/aaaa")</f>
        <v/>
      </c>
      <c r="AE1812" s="10">
        <f>REPT(" ",10)</f>
        <v/>
      </c>
      <c r="AF1812" s="10">
        <f>REPT(" ",20)</f>
        <v/>
      </c>
      <c r="AG1812" s="54">
        <f>REPT(" ",18-LEN(FIXED(F1812,2,TRUE)))&amp;FIXED(F1812,2,TRUE)</f>
        <v/>
      </c>
      <c r="AH1812" s="10">
        <f>LEN(AC1812)+LEN(AG1812)</f>
        <v/>
      </c>
      <c r="AI1812" s="10">
        <f>LEN(L1812)</f>
        <v/>
      </c>
    </row>
    <row r="1813">
      <c r="J1813" s="12">
        <f>IF(F1813&lt;&gt;0,"LANÇAR","")</f>
        <v/>
      </c>
      <c r="L1813" s="13">
        <f>N1813&amp;O1813&amp;P1813&amp;Q1813&amp;R1813&amp;S1813&amp;T1813&amp;U1813&amp;V1813&amp;W1813&amp;X1813&amp;Y1813&amp;Z1813&amp;AA1813&amp;AB1813&amp;AC1813&amp;AD1813&amp;AE1813&amp;AF1813&amp;AG1813</f>
        <v/>
      </c>
      <c r="N1813" s="10">
        <f>TEXT($B$6,"00")</f>
        <v/>
      </c>
      <c r="O1813" s="10">
        <f>REPT(" ",8)</f>
        <v/>
      </c>
      <c r="P1813" s="10">
        <f>RIGHT($B$4,2)</f>
        <v/>
      </c>
      <c r="Q1813" s="10">
        <f>RIGHT($B$5,3)</f>
        <v/>
      </c>
      <c r="R1813" s="10">
        <f>IF(A1813="D",LEFT(UPPER(B1813)&amp;REPT(" ",20),20),REPT(" ",20))</f>
        <v/>
      </c>
      <c r="S1813" s="10">
        <f>IF(A1813="D",LEFT(UPPER(C1813)&amp;REPT(" ",10),10)," ")</f>
        <v/>
      </c>
      <c r="T1813" s="10">
        <f>IF(A1813="D",LEFT(UPPER(D1813)&amp;REPT(" ",2),2)," ")</f>
        <v/>
      </c>
      <c r="U1813" s="10">
        <f>IF(A1813="D",LEFT(UPPER(E1813)&amp;REPT(" ",15),15)," ")</f>
        <v/>
      </c>
      <c r="V1813" s="10">
        <f>REPT(" ",24)</f>
        <v/>
      </c>
      <c r="W1813" s="10">
        <f>IF(A1813="c",LEFT(UPPER(B1813)&amp;REPT(" ",20),20),REPT(" ",20))</f>
        <v/>
      </c>
      <c r="X1813" s="10">
        <f>IF(A1813="C",LEFT(UPPER(C1813)&amp;REPT(" ",10),10)," ")</f>
        <v/>
      </c>
      <c r="Y1813" s="10">
        <f>IF(A1813="C",LEFT(UPPER(D1813)&amp;REPT(" ",2),2)," ")</f>
        <v/>
      </c>
      <c r="Z1813" s="10">
        <f>IF(A1813="C",LEFT(UPPER(E1813)&amp;REPT(" ",15),15)," ")</f>
        <v/>
      </c>
      <c r="AA1813" s="10">
        <f>REPT(" ",8)</f>
        <v/>
      </c>
      <c r="AB1813" s="10">
        <f>REPT(" ",4)</f>
        <v/>
      </c>
      <c r="AC1813" s="10">
        <f>LEFT(UPPER(H1813)&amp;REPT(" ",250),250)</f>
        <v/>
      </c>
      <c r="AD1813" s="10">
        <f>TEXT($G$2,"dd/mm/aaaa")</f>
        <v/>
      </c>
      <c r="AE1813" s="10">
        <f>REPT(" ",10)</f>
        <v/>
      </c>
      <c r="AF1813" s="10">
        <f>REPT(" ",20)</f>
        <v/>
      </c>
      <c r="AG1813" s="54">
        <f>REPT(" ",18-LEN(FIXED(F1813,2,TRUE)))&amp;FIXED(F1813,2,TRUE)</f>
        <v/>
      </c>
      <c r="AH1813" s="10">
        <f>LEN(AC1813)+LEN(AG1813)</f>
        <v/>
      </c>
      <c r="AI1813" s="10">
        <f>LEN(L1813)</f>
        <v/>
      </c>
    </row>
    <row r="1814">
      <c r="J1814" s="12">
        <f>IF(F1814&lt;&gt;0,"LANÇAR","")</f>
        <v/>
      </c>
      <c r="L1814" s="13">
        <f>N1814&amp;O1814&amp;P1814&amp;Q1814&amp;R1814&amp;S1814&amp;T1814&amp;U1814&amp;V1814&amp;W1814&amp;X1814&amp;Y1814&amp;Z1814&amp;AA1814&amp;AB1814&amp;AC1814&amp;AD1814&amp;AE1814&amp;AF1814&amp;AG1814</f>
        <v/>
      </c>
      <c r="N1814" s="10">
        <f>TEXT($B$6,"00")</f>
        <v/>
      </c>
      <c r="O1814" s="10">
        <f>REPT(" ",8)</f>
        <v/>
      </c>
      <c r="P1814" s="10">
        <f>RIGHT($B$4,2)</f>
        <v/>
      </c>
      <c r="Q1814" s="10">
        <f>RIGHT($B$5,3)</f>
        <v/>
      </c>
      <c r="R1814" s="10">
        <f>IF(A1814="D",LEFT(UPPER(B1814)&amp;REPT(" ",20),20),REPT(" ",20))</f>
        <v/>
      </c>
      <c r="S1814" s="10">
        <f>IF(A1814="D",LEFT(UPPER(C1814)&amp;REPT(" ",10),10)," ")</f>
        <v/>
      </c>
      <c r="T1814" s="10">
        <f>IF(A1814="D",LEFT(UPPER(D1814)&amp;REPT(" ",2),2)," ")</f>
        <v/>
      </c>
      <c r="U1814" s="10">
        <f>IF(A1814="D",LEFT(UPPER(E1814)&amp;REPT(" ",15),15)," ")</f>
        <v/>
      </c>
      <c r="V1814" s="10">
        <f>REPT(" ",24)</f>
        <v/>
      </c>
      <c r="W1814" s="10">
        <f>IF(A1814="c",LEFT(UPPER(B1814)&amp;REPT(" ",20),20),REPT(" ",20))</f>
        <v/>
      </c>
      <c r="X1814" s="10">
        <f>IF(A1814="C",LEFT(UPPER(C1814)&amp;REPT(" ",10),10)," ")</f>
        <v/>
      </c>
      <c r="Y1814" s="10">
        <f>IF(A1814="C",LEFT(UPPER(D1814)&amp;REPT(" ",2),2)," ")</f>
        <v/>
      </c>
      <c r="Z1814" s="10">
        <f>IF(A1814="C",LEFT(UPPER(E1814)&amp;REPT(" ",15),15)," ")</f>
        <v/>
      </c>
      <c r="AA1814" s="10">
        <f>REPT(" ",8)</f>
        <v/>
      </c>
      <c r="AB1814" s="10">
        <f>REPT(" ",4)</f>
        <v/>
      </c>
      <c r="AC1814" s="10">
        <f>LEFT(UPPER(H1814)&amp;REPT(" ",250),250)</f>
        <v/>
      </c>
      <c r="AD1814" s="10">
        <f>TEXT($G$2,"dd/mm/aaaa")</f>
        <v/>
      </c>
      <c r="AE1814" s="10">
        <f>REPT(" ",10)</f>
        <v/>
      </c>
      <c r="AF1814" s="10">
        <f>REPT(" ",20)</f>
        <v/>
      </c>
      <c r="AG1814" s="54">
        <f>REPT(" ",18-LEN(FIXED(F1814,2,TRUE)))&amp;FIXED(F1814,2,TRUE)</f>
        <v/>
      </c>
      <c r="AH1814" s="10">
        <f>LEN(AC1814)+LEN(AG1814)</f>
        <v/>
      </c>
      <c r="AI1814" s="10">
        <f>LEN(L1814)</f>
        <v/>
      </c>
    </row>
    <row r="1815">
      <c r="J1815" s="12">
        <f>IF(F1815&lt;&gt;0,"LANÇAR","")</f>
        <v/>
      </c>
      <c r="L1815" s="13">
        <f>N1815&amp;O1815&amp;P1815&amp;Q1815&amp;R1815&amp;S1815&amp;T1815&amp;U1815&amp;V1815&amp;W1815&amp;X1815&amp;Y1815&amp;Z1815&amp;AA1815&amp;AB1815&amp;AC1815&amp;AD1815&amp;AE1815&amp;AF1815&amp;AG1815</f>
        <v/>
      </c>
      <c r="N1815" s="10">
        <f>TEXT($B$6,"00")</f>
        <v/>
      </c>
      <c r="O1815" s="10">
        <f>REPT(" ",8)</f>
        <v/>
      </c>
      <c r="P1815" s="10">
        <f>RIGHT($B$4,2)</f>
        <v/>
      </c>
      <c r="Q1815" s="10">
        <f>RIGHT($B$5,3)</f>
        <v/>
      </c>
      <c r="R1815" s="10">
        <f>IF(A1815="D",LEFT(UPPER(B1815)&amp;REPT(" ",20),20),REPT(" ",20))</f>
        <v/>
      </c>
      <c r="S1815" s="10">
        <f>IF(A1815="D",LEFT(UPPER(C1815)&amp;REPT(" ",10),10)," ")</f>
        <v/>
      </c>
      <c r="T1815" s="10">
        <f>IF(A1815="D",LEFT(UPPER(D1815)&amp;REPT(" ",2),2)," ")</f>
        <v/>
      </c>
      <c r="U1815" s="10">
        <f>IF(A1815="D",LEFT(UPPER(E1815)&amp;REPT(" ",15),15)," ")</f>
        <v/>
      </c>
      <c r="V1815" s="10">
        <f>REPT(" ",24)</f>
        <v/>
      </c>
      <c r="W1815" s="10">
        <f>IF(A1815="c",LEFT(UPPER(B1815)&amp;REPT(" ",20),20),REPT(" ",20))</f>
        <v/>
      </c>
      <c r="X1815" s="10">
        <f>IF(A1815="C",LEFT(UPPER(C1815)&amp;REPT(" ",10),10)," ")</f>
        <v/>
      </c>
      <c r="Y1815" s="10">
        <f>IF(A1815="C",LEFT(UPPER(D1815)&amp;REPT(" ",2),2)," ")</f>
        <v/>
      </c>
      <c r="Z1815" s="10">
        <f>IF(A1815="C",LEFT(UPPER(E1815)&amp;REPT(" ",15),15)," ")</f>
        <v/>
      </c>
      <c r="AA1815" s="10">
        <f>REPT(" ",8)</f>
        <v/>
      </c>
      <c r="AB1815" s="10">
        <f>REPT(" ",4)</f>
        <v/>
      </c>
      <c r="AC1815" s="10">
        <f>LEFT(UPPER(H1815)&amp;REPT(" ",250),250)</f>
        <v/>
      </c>
      <c r="AD1815" s="10">
        <f>TEXT($G$2,"dd/mm/aaaa")</f>
        <v/>
      </c>
      <c r="AE1815" s="10">
        <f>REPT(" ",10)</f>
        <v/>
      </c>
      <c r="AF1815" s="10">
        <f>REPT(" ",20)</f>
        <v/>
      </c>
      <c r="AG1815" s="54">
        <f>REPT(" ",18-LEN(FIXED(F1815,2,TRUE)))&amp;FIXED(F1815,2,TRUE)</f>
        <v/>
      </c>
      <c r="AH1815" s="10">
        <f>LEN(AC1815)+LEN(AG1815)</f>
        <v/>
      </c>
      <c r="AI1815" s="10">
        <f>LEN(L1815)</f>
        <v/>
      </c>
    </row>
    <row r="1816">
      <c r="J1816" s="12">
        <f>IF(F1816&lt;&gt;0,"LANÇAR","")</f>
        <v/>
      </c>
      <c r="L1816" s="13">
        <f>N1816&amp;O1816&amp;P1816&amp;Q1816&amp;R1816&amp;S1816&amp;T1816&amp;U1816&amp;V1816&amp;W1816&amp;X1816&amp;Y1816&amp;Z1816&amp;AA1816&amp;AB1816&amp;AC1816&amp;AD1816&amp;AE1816&amp;AF1816&amp;AG1816</f>
        <v/>
      </c>
      <c r="N1816" s="10">
        <f>TEXT($B$6,"00")</f>
        <v/>
      </c>
      <c r="O1816" s="10">
        <f>REPT(" ",8)</f>
        <v/>
      </c>
      <c r="P1816" s="10">
        <f>RIGHT($B$4,2)</f>
        <v/>
      </c>
      <c r="Q1816" s="10">
        <f>RIGHT($B$5,3)</f>
        <v/>
      </c>
      <c r="R1816" s="10">
        <f>IF(A1816="D",LEFT(UPPER(B1816)&amp;REPT(" ",20),20),REPT(" ",20))</f>
        <v/>
      </c>
      <c r="S1816" s="10">
        <f>IF(A1816="D",LEFT(UPPER(C1816)&amp;REPT(" ",10),10)," ")</f>
        <v/>
      </c>
      <c r="T1816" s="10">
        <f>IF(A1816="D",LEFT(UPPER(D1816)&amp;REPT(" ",2),2)," ")</f>
        <v/>
      </c>
      <c r="U1816" s="10">
        <f>IF(A1816="D",LEFT(UPPER(E1816)&amp;REPT(" ",15),15)," ")</f>
        <v/>
      </c>
      <c r="V1816" s="10">
        <f>REPT(" ",24)</f>
        <v/>
      </c>
      <c r="W1816" s="10">
        <f>IF(A1816="c",LEFT(UPPER(B1816)&amp;REPT(" ",20),20),REPT(" ",20))</f>
        <v/>
      </c>
      <c r="X1816" s="10">
        <f>IF(A1816="C",LEFT(UPPER(C1816)&amp;REPT(" ",10),10)," ")</f>
        <v/>
      </c>
      <c r="Y1816" s="10">
        <f>IF(A1816="C",LEFT(UPPER(D1816)&amp;REPT(" ",2),2)," ")</f>
        <v/>
      </c>
      <c r="Z1816" s="10">
        <f>IF(A1816="C",LEFT(UPPER(E1816)&amp;REPT(" ",15),15)," ")</f>
        <v/>
      </c>
      <c r="AA1816" s="10">
        <f>REPT(" ",8)</f>
        <v/>
      </c>
      <c r="AB1816" s="10">
        <f>REPT(" ",4)</f>
        <v/>
      </c>
      <c r="AC1816" s="10">
        <f>LEFT(UPPER(H1816)&amp;REPT(" ",250),250)</f>
        <v/>
      </c>
      <c r="AD1816" s="10">
        <f>TEXT($G$2,"dd/mm/aaaa")</f>
        <v/>
      </c>
      <c r="AE1816" s="10">
        <f>REPT(" ",10)</f>
        <v/>
      </c>
      <c r="AF1816" s="10">
        <f>REPT(" ",20)</f>
        <v/>
      </c>
      <c r="AG1816" s="54">
        <f>REPT(" ",18-LEN(FIXED(F1816,2,TRUE)))&amp;FIXED(F1816,2,TRUE)</f>
        <v/>
      </c>
      <c r="AH1816" s="10">
        <f>LEN(AC1816)+LEN(AG1816)</f>
        <v/>
      </c>
      <c r="AI1816" s="10">
        <f>LEN(L1816)</f>
        <v/>
      </c>
    </row>
    <row r="1817">
      <c r="J1817" s="12">
        <f>IF(F1817&lt;&gt;0,"LANÇAR","")</f>
        <v/>
      </c>
      <c r="L1817" s="13">
        <f>N1817&amp;O1817&amp;P1817&amp;Q1817&amp;R1817&amp;S1817&amp;T1817&amp;U1817&amp;V1817&amp;W1817&amp;X1817&amp;Y1817&amp;Z1817&amp;AA1817&amp;AB1817&amp;AC1817&amp;AD1817&amp;AE1817&amp;AF1817&amp;AG1817</f>
        <v/>
      </c>
      <c r="N1817" s="10">
        <f>TEXT($B$6,"00")</f>
        <v/>
      </c>
      <c r="O1817" s="10">
        <f>REPT(" ",8)</f>
        <v/>
      </c>
      <c r="P1817" s="10">
        <f>RIGHT($B$4,2)</f>
        <v/>
      </c>
      <c r="Q1817" s="10">
        <f>RIGHT($B$5,3)</f>
        <v/>
      </c>
      <c r="R1817" s="10">
        <f>IF(A1817="D",LEFT(UPPER(B1817)&amp;REPT(" ",20),20),REPT(" ",20))</f>
        <v/>
      </c>
      <c r="S1817" s="10">
        <f>IF(A1817="D",LEFT(UPPER(C1817)&amp;REPT(" ",10),10)," ")</f>
        <v/>
      </c>
      <c r="T1817" s="10">
        <f>IF(A1817="D",LEFT(UPPER(D1817)&amp;REPT(" ",2),2)," ")</f>
        <v/>
      </c>
      <c r="U1817" s="10">
        <f>IF(A1817="D",LEFT(UPPER(E1817)&amp;REPT(" ",15),15)," ")</f>
        <v/>
      </c>
      <c r="V1817" s="10">
        <f>REPT(" ",24)</f>
        <v/>
      </c>
      <c r="W1817" s="10">
        <f>IF(A1817="c",LEFT(UPPER(B1817)&amp;REPT(" ",20),20),REPT(" ",20))</f>
        <v/>
      </c>
      <c r="X1817" s="10">
        <f>IF(A1817="C",LEFT(UPPER(C1817)&amp;REPT(" ",10),10)," ")</f>
        <v/>
      </c>
      <c r="Y1817" s="10">
        <f>IF(A1817="C",LEFT(UPPER(D1817)&amp;REPT(" ",2),2)," ")</f>
        <v/>
      </c>
      <c r="Z1817" s="10">
        <f>IF(A1817="C",LEFT(UPPER(E1817)&amp;REPT(" ",15),15)," ")</f>
        <v/>
      </c>
      <c r="AA1817" s="10">
        <f>REPT(" ",8)</f>
        <v/>
      </c>
      <c r="AB1817" s="10">
        <f>REPT(" ",4)</f>
        <v/>
      </c>
      <c r="AC1817" s="10">
        <f>LEFT(UPPER(H1817)&amp;REPT(" ",250),250)</f>
        <v/>
      </c>
      <c r="AD1817" s="10">
        <f>TEXT($G$2,"dd/mm/aaaa")</f>
        <v/>
      </c>
      <c r="AE1817" s="10">
        <f>REPT(" ",10)</f>
        <v/>
      </c>
      <c r="AF1817" s="10">
        <f>REPT(" ",20)</f>
        <v/>
      </c>
      <c r="AG1817" s="54">
        <f>REPT(" ",18-LEN(FIXED(F1817,2,TRUE)))&amp;FIXED(F1817,2,TRUE)</f>
        <v/>
      </c>
      <c r="AH1817" s="10">
        <f>LEN(AC1817)+LEN(AG1817)</f>
        <v/>
      </c>
      <c r="AI1817" s="10">
        <f>LEN(L1817)</f>
        <v/>
      </c>
    </row>
    <row r="1818">
      <c r="J1818" s="12">
        <f>IF(F1818&lt;&gt;0,"LANÇAR","")</f>
        <v/>
      </c>
      <c r="L1818" s="13">
        <f>N1818&amp;O1818&amp;P1818&amp;Q1818&amp;R1818&amp;S1818&amp;T1818&amp;U1818&amp;V1818&amp;W1818&amp;X1818&amp;Y1818&amp;Z1818&amp;AA1818&amp;AB1818&amp;AC1818&amp;AD1818&amp;AE1818&amp;AF1818&amp;AG1818</f>
        <v/>
      </c>
      <c r="N1818" s="10">
        <f>TEXT($B$6,"00")</f>
        <v/>
      </c>
      <c r="O1818" s="10">
        <f>REPT(" ",8)</f>
        <v/>
      </c>
      <c r="P1818" s="10">
        <f>RIGHT($B$4,2)</f>
        <v/>
      </c>
      <c r="Q1818" s="10">
        <f>RIGHT($B$5,3)</f>
        <v/>
      </c>
      <c r="R1818" s="10">
        <f>IF(A1818="D",LEFT(UPPER(B1818)&amp;REPT(" ",20),20),REPT(" ",20))</f>
        <v/>
      </c>
      <c r="S1818" s="10">
        <f>IF(A1818="D",LEFT(UPPER(C1818)&amp;REPT(" ",10),10)," ")</f>
        <v/>
      </c>
      <c r="T1818" s="10">
        <f>IF(A1818="D",LEFT(UPPER(D1818)&amp;REPT(" ",2),2)," ")</f>
        <v/>
      </c>
      <c r="U1818" s="10">
        <f>IF(A1818="D",LEFT(UPPER(E1818)&amp;REPT(" ",15),15)," ")</f>
        <v/>
      </c>
      <c r="V1818" s="10">
        <f>REPT(" ",24)</f>
        <v/>
      </c>
      <c r="W1818" s="10">
        <f>IF(A1818="c",LEFT(UPPER(B1818)&amp;REPT(" ",20),20),REPT(" ",20))</f>
        <v/>
      </c>
      <c r="X1818" s="10">
        <f>IF(A1818="C",LEFT(UPPER(C1818)&amp;REPT(" ",10),10)," ")</f>
        <v/>
      </c>
      <c r="Y1818" s="10">
        <f>IF(A1818="C",LEFT(UPPER(D1818)&amp;REPT(" ",2),2)," ")</f>
        <v/>
      </c>
      <c r="Z1818" s="10">
        <f>IF(A1818="C",LEFT(UPPER(E1818)&amp;REPT(" ",15),15)," ")</f>
        <v/>
      </c>
      <c r="AA1818" s="10">
        <f>REPT(" ",8)</f>
        <v/>
      </c>
      <c r="AB1818" s="10">
        <f>REPT(" ",4)</f>
        <v/>
      </c>
      <c r="AC1818" s="10">
        <f>LEFT(UPPER(H1818)&amp;REPT(" ",250),250)</f>
        <v/>
      </c>
      <c r="AD1818" s="10">
        <f>TEXT($G$2,"dd/mm/aaaa")</f>
        <v/>
      </c>
      <c r="AE1818" s="10">
        <f>REPT(" ",10)</f>
        <v/>
      </c>
      <c r="AF1818" s="10">
        <f>REPT(" ",20)</f>
        <v/>
      </c>
      <c r="AG1818" s="54">
        <f>REPT(" ",18-LEN(FIXED(F1818,2,TRUE)))&amp;FIXED(F1818,2,TRUE)</f>
        <v/>
      </c>
      <c r="AH1818" s="10">
        <f>LEN(AC1818)+LEN(AG1818)</f>
        <v/>
      </c>
      <c r="AI1818" s="10">
        <f>LEN(L1818)</f>
        <v/>
      </c>
    </row>
    <row r="1819">
      <c r="J1819" s="12">
        <f>IF(F1819&lt;&gt;0,"LANÇAR","")</f>
        <v/>
      </c>
      <c r="L1819" s="13">
        <f>N1819&amp;O1819&amp;P1819&amp;Q1819&amp;R1819&amp;S1819&amp;T1819&amp;U1819&amp;V1819&amp;W1819&amp;X1819&amp;Y1819&amp;Z1819&amp;AA1819&amp;AB1819&amp;AC1819&amp;AD1819&amp;AE1819&amp;AF1819&amp;AG1819</f>
        <v/>
      </c>
      <c r="N1819" s="10">
        <f>TEXT($B$6,"00")</f>
        <v/>
      </c>
      <c r="O1819" s="10">
        <f>REPT(" ",8)</f>
        <v/>
      </c>
      <c r="P1819" s="10">
        <f>RIGHT($B$4,2)</f>
        <v/>
      </c>
      <c r="Q1819" s="10">
        <f>RIGHT($B$5,3)</f>
        <v/>
      </c>
      <c r="R1819" s="10">
        <f>IF(A1819="D",LEFT(UPPER(B1819)&amp;REPT(" ",20),20),REPT(" ",20))</f>
        <v/>
      </c>
      <c r="S1819" s="10">
        <f>IF(A1819="D",LEFT(UPPER(C1819)&amp;REPT(" ",10),10)," ")</f>
        <v/>
      </c>
      <c r="T1819" s="10">
        <f>IF(A1819="D",LEFT(UPPER(D1819)&amp;REPT(" ",2),2)," ")</f>
        <v/>
      </c>
      <c r="U1819" s="10">
        <f>IF(A1819="D",LEFT(UPPER(E1819)&amp;REPT(" ",15),15)," ")</f>
        <v/>
      </c>
      <c r="V1819" s="10">
        <f>REPT(" ",24)</f>
        <v/>
      </c>
      <c r="W1819" s="10">
        <f>IF(A1819="c",LEFT(UPPER(B1819)&amp;REPT(" ",20),20),REPT(" ",20))</f>
        <v/>
      </c>
      <c r="X1819" s="10">
        <f>IF(A1819="C",LEFT(UPPER(C1819)&amp;REPT(" ",10),10)," ")</f>
        <v/>
      </c>
      <c r="Y1819" s="10">
        <f>IF(A1819="C",LEFT(UPPER(D1819)&amp;REPT(" ",2),2)," ")</f>
        <v/>
      </c>
      <c r="Z1819" s="10">
        <f>IF(A1819="C",LEFT(UPPER(E1819)&amp;REPT(" ",15),15)," ")</f>
        <v/>
      </c>
      <c r="AA1819" s="10">
        <f>REPT(" ",8)</f>
        <v/>
      </c>
      <c r="AB1819" s="10">
        <f>REPT(" ",4)</f>
        <v/>
      </c>
      <c r="AC1819" s="10">
        <f>LEFT(UPPER(H1819)&amp;REPT(" ",250),250)</f>
        <v/>
      </c>
      <c r="AD1819" s="10">
        <f>TEXT($G$2,"dd/mm/aaaa")</f>
        <v/>
      </c>
      <c r="AE1819" s="10">
        <f>REPT(" ",10)</f>
        <v/>
      </c>
      <c r="AF1819" s="10">
        <f>REPT(" ",20)</f>
        <v/>
      </c>
      <c r="AG1819" s="54">
        <f>REPT(" ",18-LEN(FIXED(F1819,2,TRUE)))&amp;FIXED(F1819,2,TRUE)</f>
        <v/>
      </c>
      <c r="AH1819" s="10">
        <f>LEN(AC1819)+LEN(AG1819)</f>
        <v/>
      </c>
      <c r="AI1819" s="10">
        <f>LEN(L1819)</f>
        <v/>
      </c>
    </row>
    <row r="1820">
      <c r="J1820" s="12">
        <f>IF(F1820&lt;&gt;0,"LANÇAR","")</f>
        <v/>
      </c>
      <c r="L1820" s="13">
        <f>N1820&amp;O1820&amp;P1820&amp;Q1820&amp;R1820&amp;S1820&amp;T1820&amp;U1820&amp;V1820&amp;W1820&amp;X1820&amp;Y1820&amp;Z1820&amp;AA1820&amp;AB1820&amp;AC1820&amp;AD1820&amp;AE1820&amp;AF1820&amp;AG1820</f>
        <v/>
      </c>
      <c r="N1820" s="10">
        <f>TEXT($B$6,"00")</f>
        <v/>
      </c>
      <c r="O1820" s="10">
        <f>REPT(" ",8)</f>
        <v/>
      </c>
      <c r="P1820" s="10">
        <f>RIGHT($B$4,2)</f>
        <v/>
      </c>
      <c r="Q1820" s="10">
        <f>RIGHT($B$5,3)</f>
        <v/>
      </c>
      <c r="R1820" s="10">
        <f>IF(A1820="D",LEFT(UPPER(B1820)&amp;REPT(" ",20),20),REPT(" ",20))</f>
        <v/>
      </c>
      <c r="S1820" s="10">
        <f>IF(A1820="D",LEFT(UPPER(C1820)&amp;REPT(" ",10),10)," ")</f>
        <v/>
      </c>
      <c r="T1820" s="10">
        <f>IF(A1820="D",LEFT(UPPER(D1820)&amp;REPT(" ",2),2)," ")</f>
        <v/>
      </c>
      <c r="U1820" s="10">
        <f>IF(A1820="D",LEFT(UPPER(E1820)&amp;REPT(" ",15),15)," ")</f>
        <v/>
      </c>
      <c r="V1820" s="10">
        <f>REPT(" ",24)</f>
        <v/>
      </c>
      <c r="W1820" s="10">
        <f>IF(A1820="c",LEFT(UPPER(B1820)&amp;REPT(" ",20),20),REPT(" ",20))</f>
        <v/>
      </c>
      <c r="X1820" s="10">
        <f>IF(A1820="C",LEFT(UPPER(C1820)&amp;REPT(" ",10),10)," ")</f>
        <v/>
      </c>
      <c r="Y1820" s="10">
        <f>IF(A1820="C",LEFT(UPPER(D1820)&amp;REPT(" ",2),2)," ")</f>
        <v/>
      </c>
      <c r="Z1820" s="10">
        <f>IF(A1820="C",LEFT(UPPER(E1820)&amp;REPT(" ",15),15)," ")</f>
        <v/>
      </c>
      <c r="AA1820" s="10">
        <f>REPT(" ",8)</f>
        <v/>
      </c>
      <c r="AB1820" s="10">
        <f>REPT(" ",4)</f>
        <v/>
      </c>
      <c r="AC1820" s="10">
        <f>LEFT(UPPER(H1820)&amp;REPT(" ",250),250)</f>
        <v/>
      </c>
      <c r="AD1820" s="10">
        <f>TEXT($G$2,"dd/mm/aaaa")</f>
        <v/>
      </c>
      <c r="AE1820" s="10">
        <f>REPT(" ",10)</f>
        <v/>
      </c>
      <c r="AF1820" s="10">
        <f>REPT(" ",20)</f>
        <v/>
      </c>
      <c r="AG1820" s="54">
        <f>REPT(" ",18-LEN(FIXED(F1820,2,TRUE)))&amp;FIXED(F1820,2,TRUE)</f>
        <v/>
      </c>
      <c r="AH1820" s="10">
        <f>LEN(AC1820)+LEN(AG1820)</f>
        <v/>
      </c>
      <c r="AI1820" s="10">
        <f>LEN(L1820)</f>
        <v/>
      </c>
    </row>
    <row r="1821">
      <c r="J1821" s="12">
        <f>IF(F1821&lt;&gt;0,"LANÇAR","")</f>
        <v/>
      </c>
      <c r="L1821" s="13">
        <f>N1821&amp;O1821&amp;P1821&amp;Q1821&amp;R1821&amp;S1821&amp;T1821&amp;U1821&amp;V1821&amp;W1821&amp;X1821&amp;Y1821&amp;Z1821&amp;AA1821&amp;AB1821&amp;AC1821&amp;AD1821&amp;AE1821&amp;AF1821&amp;AG1821</f>
        <v/>
      </c>
      <c r="N1821" s="10">
        <f>TEXT($B$6,"00")</f>
        <v/>
      </c>
      <c r="O1821" s="10">
        <f>REPT(" ",8)</f>
        <v/>
      </c>
      <c r="P1821" s="10">
        <f>RIGHT($B$4,2)</f>
        <v/>
      </c>
      <c r="Q1821" s="10">
        <f>RIGHT($B$5,3)</f>
        <v/>
      </c>
      <c r="R1821" s="10">
        <f>IF(A1821="D",LEFT(UPPER(B1821)&amp;REPT(" ",20),20),REPT(" ",20))</f>
        <v/>
      </c>
      <c r="S1821" s="10">
        <f>IF(A1821="D",LEFT(UPPER(C1821)&amp;REPT(" ",10),10)," ")</f>
        <v/>
      </c>
      <c r="T1821" s="10">
        <f>IF(A1821="D",LEFT(UPPER(D1821)&amp;REPT(" ",2),2)," ")</f>
        <v/>
      </c>
      <c r="U1821" s="10">
        <f>IF(A1821="D",LEFT(UPPER(E1821)&amp;REPT(" ",15),15)," ")</f>
        <v/>
      </c>
      <c r="V1821" s="10">
        <f>REPT(" ",24)</f>
        <v/>
      </c>
      <c r="W1821" s="10">
        <f>IF(A1821="c",LEFT(UPPER(B1821)&amp;REPT(" ",20),20),REPT(" ",20))</f>
        <v/>
      </c>
      <c r="X1821" s="10">
        <f>IF(A1821="C",LEFT(UPPER(C1821)&amp;REPT(" ",10),10)," ")</f>
        <v/>
      </c>
      <c r="Y1821" s="10">
        <f>IF(A1821="C",LEFT(UPPER(D1821)&amp;REPT(" ",2),2)," ")</f>
        <v/>
      </c>
      <c r="Z1821" s="10">
        <f>IF(A1821="C",LEFT(UPPER(E1821)&amp;REPT(" ",15),15)," ")</f>
        <v/>
      </c>
      <c r="AA1821" s="10">
        <f>REPT(" ",8)</f>
        <v/>
      </c>
      <c r="AB1821" s="10">
        <f>REPT(" ",4)</f>
        <v/>
      </c>
      <c r="AC1821" s="10">
        <f>LEFT(UPPER(H1821)&amp;REPT(" ",250),250)</f>
        <v/>
      </c>
      <c r="AD1821" s="10">
        <f>TEXT($G$2,"dd/mm/aaaa")</f>
        <v/>
      </c>
      <c r="AE1821" s="10">
        <f>REPT(" ",10)</f>
        <v/>
      </c>
      <c r="AF1821" s="10">
        <f>REPT(" ",20)</f>
        <v/>
      </c>
      <c r="AG1821" s="54">
        <f>REPT(" ",18-LEN(FIXED(F1821,2,TRUE)))&amp;FIXED(F1821,2,TRUE)</f>
        <v/>
      </c>
      <c r="AH1821" s="10">
        <f>LEN(AC1821)+LEN(AG1821)</f>
        <v/>
      </c>
      <c r="AI1821" s="10">
        <f>LEN(L1821)</f>
        <v/>
      </c>
    </row>
    <row r="1822">
      <c r="J1822" s="12">
        <f>IF(F1822&lt;&gt;0,"LANÇAR","")</f>
        <v/>
      </c>
      <c r="L1822" s="13">
        <f>N1822&amp;O1822&amp;P1822&amp;Q1822&amp;R1822&amp;S1822&amp;T1822&amp;U1822&amp;V1822&amp;W1822&amp;X1822&amp;Y1822&amp;Z1822&amp;AA1822&amp;AB1822&amp;AC1822&amp;AD1822&amp;AE1822&amp;AF1822&amp;AG1822</f>
        <v/>
      </c>
      <c r="N1822" s="10">
        <f>TEXT($B$6,"00")</f>
        <v/>
      </c>
      <c r="O1822" s="10">
        <f>REPT(" ",8)</f>
        <v/>
      </c>
      <c r="P1822" s="10">
        <f>RIGHT($B$4,2)</f>
        <v/>
      </c>
      <c r="Q1822" s="10">
        <f>RIGHT($B$5,3)</f>
        <v/>
      </c>
      <c r="R1822" s="10">
        <f>IF(A1822="D",LEFT(UPPER(B1822)&amp;REPT(" ",20),20),REPT(" ",20))</f>
        <v/>
      </c>
      <c r="S1822" s="10">
        <f>IF(A1822="D",LEFT(UPPER(C1822)&amp;REPT(" ",10),10)," ")</f>
        <v/>
      </c>
      <c r="T1822" s="10">
        <f>IF(A1822="D",LEFT(UPPER(D1822)&amp;REPT(" ",2),2)," ")</f>
        <v/>
      </c>
      <c r="U1822" s="10">
        <f>IF(A1822="D",LEFT(UPPER(E1822)&amp;REPT(" ",15),15)," ")</f>
        <v/>
      </c>
      <c r="V1822" s="10">
        <f>REPT(" ",24)</f>
        <v/>
      </c>
      <c r="W1822" s="10">
        <f>IF(A1822="c",LEFT(UPPER(B1822)&amp;REPT(" ",20),20),REPT(" ",20))</f>
        <v/>
      </c>
      <c r="X1822" s="10">
        <f>IF(A1822="C",LEFT(UPPER(C1822)&amp;REPT(" ",10),10)," ")</f>
        <v/>
      </c>
      <c r="Y1822" s="10">
        <f>IF(A1822="C",LEFT(UPPER(D1822)&amp;REPT(" ",2),2)," ")</f>
        <v/>
      </c>
      <c r="Z1822" s="10">
        <f>IF(A1822="C",LEFT(UPPER(E1822)&amp;REPT(" ",15),15)," ")</f>
        <v/>
      </c>
      <c r="AA1822" s="10">
        <f>REPT(" ",8)</f>
        <v/>
      </c>
      <c r="AB1822" s="10">
        <f>REPT(" ",4)</f>
        <v/>
      </c>
      <c r="AC1822" s="10">
        <f>LEFT(UPPER(H1822)&amp;REPT(" ",250),250)</f>
        <v/>
      </c>
      <c r="AD1822" s="10">
        <f>TEXT($G$2,"dd/mm/aaaa")</f>
        <v/>
      </c>
      <c r="AE1822" s="10">
        <f>REPT(" ",10)</f>
        <v/>
      </c>
      <c r="AF1822" s="10">
        <f>REPT(" ",20)</f>
        <v/>
      </c>
      <c r="AG1822" s="54">
        <f>REPT(" ",18-LEN(FIXED(F1822,2,TRUE)))&amp;FIXED(F1822,2,TRUE)</f>
        <v/>
      </c>
      <c r="AH1822" s="10">
        <f>LEN(AC1822)+LEN(AG1822)</f>
        <v/>
      </c>
      <c r="AI1822" s="10">
        <f>LEN(L1822)</f>
        <v/>
      </c>
    </row>
    <row r="1823">
      <c r="J1823" s="12">
        <f>IF(F1823&lt;&gt;0,"LANÇAR","")</f>
        <v/>
      </c>
      <c r="L1823" s="13">
        <f>N1823&amp;O1823&amp;P1823&amp;Q1823&amp;R1823&amp;S1823&amp;T1823&amp;U1823&amp;V1823&amp;W1823&amp;X1823&amp;Y1823&amp;Z1823&amp;AA1823&amp;AB1823&amp;AC1823&amp;AD1823&amp;AE1823&amp;AF1823&amp;AG1823</f>
        <v/>
      </c>
      <c r="N1823" s="10">
        <f>TEXT($B$6,"00")</f>
        <v/>
      </c>
      <c r="O1823" s="10">
        <f>REPT(" ",8)</f>
        <v/>
      </c>
      <c r="P1823" s="10">
        <f>RIGHT($B$4,2)</f>
        <v/>
      </c>
      <c r="Q1823" s="10">
        <f>RIGHT($B$5,3)</f>
        <v/>
      </c>
      <c r="R1823" s="10">
        <f>IF(A1823="D",LEFT(UPPER(B1823)&amp;REPT(" ",20),20),REPT(" ",20))</f>
        <v/>
      </c>
      <c r="S1823" s="10">
        <f>IF(A1823="D",LEFT(UPPER(C1823)&amp;REPT(" ",10),10)," ")</f>
        <v/>
      </c>
      <c r="T1823" s="10">
        <f>IF(A1823="D",LEFT(UPPER(D1823)&amp;REPT(" ",2),2)," ")</f>
        <v/>
      </c>
      <c r="U1823" s="10">
        <f>IF(A1823="D",LEFT(UPPER(E1823)&amp;REPT(" ",15),15)," ")</f>
        <v/>
      </c>
      <c r="V1823" s="10">
        <f>REPT(" ",24)</f>
        <v/>
      </c>
      <c r="W1823" s="10">
        <f>IF(A1823="c",LEFT(UPPER(B1823)&amp;REPT(" ",20),20),REPT(" ",20))</f>
        <v/>
      </c>
      <c r="X1823" s="10">
        <f>IF(A1823="C",LEFT(UPPER(C1823)&amp;REPT(" ",10),10)," ")</f>
        <v/>
      </c>
      <c r="Y1823" s="10">
        <f>IF(A1823="C",LEFT(UPPER(D1823)&amp;REPT(" ",2),2)," ")</f>
        <v/>
      </c>
      <c r="Z1823" s="10">
        <f>IF(A1823="C",LEFT(UPPER(E1823)&amp;REPT(" ",15),15)," ")</f>
        <v/>
      </c>
      <c r="AA1823" s="10">
        <f>REPT(" ",8)</f>
        <v/>
      </c>
      <c r="AB1823" s="10">
        <f>REPT(" ",4)</f>
        <v/>
      </c>
      <c r="AC1823" s="10">
        <f>LEFT(UPPER(H1823)&amp;REPT(" ",250),250)</f>
        <v/>
      </c>
      <c r="AD1823" s="10">
        <f>TEXT($G$2,"dd/mm/aaaa")</f>
        <v/>
      </c>
      <c r="AE1823" s="10">
        <f>REPT(" ",10)</f>
        <v/>
      </c>
      <c r="AF1823" s="10">
        <f>REPT(" ",20)</f>
        <v/>
      </c>
      <c r="AG1823" s="54">
        <f>REPT(" ",18-LEN(FIXED(F1823,2,TRUE)))&amp;FIXED(F1823,2,TRUE)</f>
        <v/>
      </c>
      <c r="AH1823" s="10">
        <f>LEN(AC1823)+LEN(AG1823)</f>
        <v/>
      </c>
      <c r="AI1823" s="10">
        <f>LEN(L1823)</f>
        <v/>
      </c>
    </row>
    <row r="1824">
      <c r="J1824" s="12">
        <f>IF(F1824&lt;&gt;0,"LANÇAR","")</f>
        <v/>
      </c>
      <c r="L1824" s="13">
        <f>N1824&amp;O1824&amp;P1824&amp;Q1824&amp;R1824&amp;S1824&amp;T1824&amp;U1824&amp;V1824&amp;W1824&amp;X1824&amp;Y1824&amp;Z1824&amp;AA1824&amp;AB1824&amp;AC1824&amp;AD1824&amp;AE1824&amp;AF1824&amp;AG1824</f>
        <v/>
      </c>
      <c r="N1824" s="10">
        <f>TEXT($B$6,"00")</f>
        <v/>
      </c>
      <c r="O1824" s="10">
        <f>REPT(" ",8)</f>
        <v/>
      </c>
      <c r="P1824" s="10">
        <f>RIGHT($B$4,2)</f>
        <v/>
      </c>
      <c r="Q1824" s="10">
        <f>RIGHT($B$5,3)</f>
        <v/>
      </c>
      <c r="R1824" s="10">
        <f>IF(A1824="D",LEFT(UPPER(B1824)&amp;REPT(" ",20),20),REPT(" ",20))</f>
        <v/>
      </c>
      <c r="S1824" s="10">
        <f>IF(A1824="D",LEFT(UPPER(C1824)&amp;REPT(" ",10),10)," ")</f>
        <v/>
      </c>
      <c r="T1824" s="10">
        <f>IF(A1824="D",LEFT(UPPER(D1824)&amp;REPT(" ",2),2)," ")</f>
        <v/>
      </c>
      <c r="U1824" s="10">
        <f>IF(A1824="D",LEFT(UPPER(E1824)&amp;REPT(" ",15),15)," ")</f>
        <v/>
      </c>
      <c r="V1824" s="10">
        <f>REPT(" ",24)</f>
        <v/>
      </c>
      <c r="W1824" s="10">
        <f>IF(A1824="c",LEFT(UPPER(B1824)&amp;REPT(" ",20),20),REPT(" ",20))</f>
        <v/>
      </c>
      <c r="X1824" s="10">
        <f>IF(A1824="C",LEFT(UPPER(C1824)&amp;REPT(" ",10),10)," ")</f>
        <v/>
      </c>
      <c r="Y1824" s="10">
        <f>IF(A1824="C",LEFT(UPPER(D1824)&amp;REPT(" ",2),2)," ")</f>
        <v/>
      </c>
      <c r="Z1824" s="10">
        <f>IF(A1824="C",LEFT(UPPER(E1824)&amp;REPT(" ",15),15)," ")</f>
        <v/>
      </c>
      <c r="AA1824" s="10">
        <f>REPT(" ",8)</f>
        <v/>
      </c>
      <c r="AB1824" s="10">
        <f>REPT(" ",4)</f>
        <v/>
      </c>
      <c r="AC1824" s="10">
        <f>LEFT(UPPER(H1824)&amp;REPT(" ",250),250)</f>
        <v/>
      </c>
      <c r="AD1824" s="10">
        <f>TEXT($G$2,"dd/mm/aaaa")</f>
        <v/>
      </c>
      <c r="AE1824" s="10">
        <f>REPT(" ",10)</f>
        <v/>
      </c>
      <c r="AF1824" s="10">
        <f>REPT(" ",20)</f>
        <v/>
      </c>
      <c r="AG1824" s="54">
        <f>REPT(" ",18-LEN(FIXED(F1824,2,TRUE)))&amp;FIXED(F1824,2,TRUE)</f>
        <v/>
      </c>
      <c r="AH1824" s="10">
        <f>LEN(AC1824)+LEN(AG1824)</f>
        <v/>
      </c>
      <c r="AI1824" s="10">
        <f>LEN(L1824)</f>
        <v/>
      </c>
    </row>
    <row r="1825">
      <c r="J1825" s="12">
        <f>IF(F1825&lt;&gt;0,"LANÇAR","")</f>
        <v/>
      </c>
      <c r="L1825" s="13">
        <f>N1825&amp;O1825&amp;P1825&amp;Q1825&amp;R1825&amp;S1825&amp;T1825&amp;U1825&amp;V1825&amp;W1825&amp;X1825&amp;Y1825&amp;Z1825&amp;AA1825&amp;AB1825&amp;AC1825&amp;AD1825&amp;AE1825&amp;AF1825&amp;AG1825</f>
        <v/>
      </c>
      <c r="N1825" s="10">
        <f>TEXT($B$6,"00")</f>
        <v/>
      </c>
      <c r="O1825" s="10">
        <f>REPT(" ",8)</f>
        <v/>
      </c>
      <c r="P1825" s="10">
        <f>RIGHT($B$4,2)</f>
        <v/>
      </c>
      <c r="Q1825" s="10">
        <f>RIGHT($B$5,3)</f>
        <v/>
      </c>
      <c r="R1825" s="10">
        <f>IF(A1825="D",LEFT(UPPER(B1825)&amp;REPT(" ",20),20),REPT(" ",20))</f>
        <v/>
      </c>
      <c r="S1825" s="10">
        <f>IF(A1825="D",LEFT(UPPER(C1825)&amp;REPT(" ",10),10)," ")</f>
        <v/>
      </c>
      <c r="T1825" s="10">
        <f>IF(A1825="D",LEFT(UPPER(D1825)&amp;REPT(" ",2),2)," ")</f>
        <v/>
      </c>
      <c r="U1825" s="10">
        <f>IF(A1825="D",LEFT(UPPER(E1825)&amp;REPT(" ",15),15)," ")</f>
        <v/>
      </c>
      <c r="V1825" s="10">
        <f>REPT(" ",24)</f>
        <v/>
      </c>
      <c r="W1825" s="10">
        <f>IF(A1825="c",LEFT(UPPER(B1825)&amp;REPT(" ",20),20),REPT(" ",20))</f>
        <v/>
      </c>
      <c r="X1825" s="10">
        <f>IF(A1825="C",LEFT(UPPER(C1825)&amp;REPT(" ",10),10)," ")</f>
        <v/>
      </c>
      <c r="Y1825" s="10">
        <f>IF(A1825="C",LEFT(UPPER(D1825)&amp;REPT(" ",2),2)," ")</f>
        <v/>
      </c>
      <c r="Z1825" s="10">
        <f>IF(A1825="C",LEFT(UPPER(E1825)&amp;REPT(" ",15),15)," ")</f>
        <v/>
      </c>
      <c r="AA1825" s="10">
        <f>REPT(" ",8)</f>
        <v/>
      </c>
      <c r="AB1825" s="10">
        <f>REPT(" ",4)</f>
        <v/>
      </c>
      <c r="AC1825" s="10">
        <f>LEFT(UPPER(H1825)&amp;REPT(" ",250),250)</f>
        <v/>
      </c>
      <c r="AD1825" s="10">
        <f>TEXT($G$2,"dd/mm/aaaa")</f>
        <v/>
      </c>
      <c r="AE1825" s="10">
        <f>REPT(" ",10)</f>
        <v/>
      </c>
      <c r="AF1825" s="10">
        <f>REPT(" ",20)</f>
        <v/>
      </c>
      <c r="AG1825" s="54">
        <f>REPT(" ",18-LEN(FIXED(F1825,2,TRUE)))&amp;FIXED(F1825,2,TRUE)</f>
        <v/>
      </c>
      <c r="AH1825" s="10">
        <f>LEN(AC1825)+LEN(AG1825)</f>
        <v/>
      </c>
      <c r="AI1825" s="10">
        <f>LEN(L1825)</f>
        <v/>
      </c>
    </row>
    <row r="1826">
      <c r="J1826" s="12">
        <f>IF(F1826&lt;&gt;0,"LANÇAR","")</f>
        <v/>
      </c>
      <c r="L1826" s="13">
        <f>N1826&amp;O1826&amp;P1826&amp;Q1826&amp;R1826&amp;S1826&amp;T1826&amp;U1826&amp;V1826&amp;W1826&amp;X1826&amp;Y1826&amp;Z1826&amp;AA1826&amp;AB1826&amp;AC1826&amp;AD1826&amp;AE1826&amp;AF1826&amp;AG1826</f>
        <v/>
      </c>
      <c r="N1826" s="10">
        <f>TEXT($B$6,"00")</f>
        <v/>
      </c>
      <c r="O1826" s="10">
        <f>REPT(" ",8)</f>
        <v/>
      </c>
      <c r="P1826" s="10">
        <f>RIGHT($B$4,2)</f>
        <v/>
      </c>
      <c r="Q1826" s="10">
        <f>RIGHT($B$5,3)</f>
        <v/>
      </c>
      <c r="R1826" s="10">
        <f>IF(A1826="D",LEFT(UPPER(B1826)&amp;REPT(" ",20),20),REPT(" ",20))</f>
        <v/>
      </c>
      <c r="S1826" s="10">
        <f>IF(A1826="D",LEFT(UPPER(C1826)&amp;REPT(" ",10),10)," ")</f>
        <v/>
      </c>
      <c r="T1826" s="10">
        <f>IF(A1826="D",LEFT(UPPER(D1826)&amp;REPT(" ",2),2)," ")</f>
        <v/>
      </c>
      <c r="U1826" s="10">
        <f>IF(A1826="D",LEFT(UPPER(E1826)&amp;REPT(" ",15),15)," ")</f>
        <v/>
      </c>
      <c r="V1826" s="10">
        <f>REPT(" ",24)</f>
        <v/>
      </c>
      <c r="W1826" s="10">
        <f>IF(A1826="c",LEFT(UPPER(B1826)&amp;REPT(" ",20),20),REPT(" ",20))</f>
        <v/>
      </c>
      <c r="X1826" s="10">
        <f>IF(A1826="C",LEFT(UPPER(C1826)&amp;REPT(" ",10),10)," ")</f>
        <v/>
      </c>
      <c r="Y1826" s="10">
        <f>IF(A1826="C",LEFT(UPPER(D1826)&amp;REPT(" ",2),2)," ")</f>
        <v/>
      </c>
      <c r="Z1826" s="10">
        <f>IF(A1826="C",LEFT(UPPER(E1826)&amp;REPT(" ",15),15)," ")</f>
        <v/>
      </c>
      <c r="AA1826" s="10">
        <f>REPT(" ",8)</f>
        <v/>
      </c>
      <c r="AB1826" s="10">
        <f>REPT(" ",4)</f>
        <v/>
      </c>
      <c r="AC1826" s="10">
        <f>LEFT(UPPER(H1826)&amp;REPT(" ",250),250)</f>
        <v/>
      </c>
      <c r="AD1826" s="10">
        <f>TEXT($G$2,"dd/mm/aaaa")</f>
        <v/>
      </c>
      <c r="AE1826" s="10">
        <f>REPT(" ",10)</f>
        <v/>
      </c>
      <c r="AF1826" s="10">
        <f>REPT(" ",20)</f>
        <v/>
      </c>
      <c r="AG1826" s="54">
        <f>REPT(" ",18-LEN(FIXED(F1826,2,TRUE)))&amp;FIXED(F1826,2,TRUE)</f>
        <v/>
      </c>
      <c r="AH1826" s="10">
        <f>LEN(AC1826)+LEN(AG1826)</f>
        <v/>
      </c>
      <c r="AI1826" s="10">
        <f>LEN(L1826)</f>
        <v/>
      </c>
    </row>
    <row r="1827">
      <c r="J1827" s="12">
        <f>IF(F1827&lt;&gt;0,"LANÇAR","")</f>
        <v/>
      </c>
      <c r="L1827" s="13">
        <f>N1827&amp;O1827&amp;P1827&amp;Q1827&amp;R1827&amp;S1827&amp;T1827&amp;U1827&amp;V1827&amp;W1827&amp;X1827&amp;Y1827&amp;Z1827&amp;AA1827&amp;AB1827&amp;AC1827&amp;AD1827&amp;AE1827&amp;AF1827&amp;AG1827</f>
        <v/>
      </c>
      <c r="N1827" s="10">
        <f>TEXT($B$6,"00")</f>
        <v/>
      </c>
      <c r="O1827" s="10">
        <f>REPT(" ",8)</f>
        <v/>
      </c>
      <c r="P1827" s="10">
        <f>RIGHT($B$4,2)</f>
        <v/>
      </c>
      <c r="Q1827" s="10">
        <f>RIGHT($B$5,3)</f>
        <v/>
      </c>
      <c r="R1827" s="10">
        <f>IF(A1827="D",LEFT(UPPER(B1827)&amp;REPT(" ",20),20),REPT(" ",20))</f>
        <v/>
      </c>
      <c r="S1827" s="10">
        <f>IF(A1827="D",LEFT(UPPER(C1827)&amp;REPT(" ",10),10)," ")</f>
        <v/>
      </c>
      <c r="T1827" s="10">
        <f>IF(A1827="D",LEFT(UPPER(D1827)&amp;REPT(" ",2),2)," ")</f>
        <v/>
      </c>
      <c r="U1827" s="10">
        <f>IF(A1827="D",LEFT(UPPER(E1827)&amp;REPT(" ",15),15)," ")</f>
        <v/>
      </c>
      <c r="V1827" s="10">
        <f>REPT(" ",24)</f>
        <v/>
      </c>
      <c r="W1827" s="10">
        <f>IF(A1827="c",LEFT(UPPER(B1827)&amp;REPT(" ",20),20),REPT(" ",20))</f>
        <v/>
      </c>
      <c r="X1827" s="10">
        <f>IF(A1827="C",LEFT(UPPER(C1827)&amp;REPT(" ",10),10)," ")</f>
        <v/>
      </c>
      <c r="Y1827" s="10">
        <f>IF(A1827="C",LEFT(UPPER(D1827)&amp;REPT(" ",2),2)," ")</f>
        <v/>
      </c>
      <c r="Z1827" s="10">
        <f>IF(A1827="C",LEFT(UPPER(E1827)&amp;REPT(" ",15),15)," ")</f>
        <v/>
      </c>
      <c r="AA1827" s="10">
        <f>REPT(" ",8)</f>
        <v/>
      </c>
      <c r="AB1827" s="10">
        <f>REPT(" ",4)</f>
        <v/>
      </c>
      <c r="AC1827" s="10">
        <f>LEFT(UPPER(H1827)&amp;REPT(" ",250),250)</f>
        <v/>
      </c>
      <c r="AD1827" s="10">
        <f>TEXT($G$2,"dd/mm/aaaa")</f>
        <v/>
      </c>
      <c r="AE1827" s="10">
        <f>REPT(" ",10)</f>
        <v/>
      </c>
      <c r="AF1827" s="10">
        <f>REPT(" ",20)</f>
        <v/>
      </c>
      <c r="AG1827" s="54">
        <f>REPT(" ",18-LEN(FIXED(F1827,2,TRUE)))&amp;FIXED(F1827,2,TRUE)</f>
        <v/>
      </c>
      <c r="AH1827" s="10">
        <f>LEN(AC1827)+LEN(AG1827)</f>
        <v/>
      </c>
      <c r="AI1827" s="10">
        <f>LEN(L1827)</f>
        <v/>
      </c>
    </row>
    <row r="1828">
      <c r="J1828" s="12">
        <f>IF(F1828&lt;&gt;0,"LANÇAR","")</f>
        <v/>
      </c>
      <c r="L1828" s="13">
        <f>N1828&amp;O1828&amp;P1828&amp;Q1828&amp;R1828&amp;S1828&amp;T1828&amp;U1828&amp;V1828&amp;W1828&amp;X1828&amp;Y1828&amp;Z1828&amp;AA1828&amp;AB1828&amp;AC1828&amp;AD1828&amp;AE1828&amp;AF1828&amp;AG1828</f>
        <v/>
      </c>
      <c r="N1828" s="10">
        <f>TEXT($B$6,"00")</f>
        <v/>
      </c>
      <c r="O1828" s="10">
        <f>REPT(" ",8)</f>
        <v/>
      </c>
      <c r="P1828" s="10">
        <f>RIGHT($B$4,2)</f>
        <v/>
      </c>
      <c r="Q1828" s="10">
        <f>RIGHT($B$5,3)</f>
        <v/>
      </c>
      <c r="R1828" s="10">
        <f>IF(A1828="D",LEFT(UPPER(B1828)&amp;REPT(" ",20),20),REPT(" ",20))</f>
        <v/>
      </c>
      <c r="S1828" s="10">
        <f>IF(A1828="D",LEFT(UPPER(C1828)&amp;REPT(" ",10),10)," ")</f>
        <v/>
      </c>
      <c r="T1828" s="10">
        <f>IF(A1828="D",LEFT(UPPER(D1828)&amp;REPT(" ",2),2)," ")</f>
        <v/>
      </c>
      <c r="U1828" s="10">
        <f>IF(A1828="D",LEFT(UPPER(E1828)&amp;REPT(" ",15),15)," ")</f>
        <v/>
      </c>
      <c r="V1828" s="10">
        <f>REPT(" ",24)</f>
        <v/>
      </c>
      <c r="W1828" s="10">
        <f>IF(A1828="c",LEFT(UPPER(B1828)&amp;REPT(" ",20),20),REPT(" ",20))</f>
        <v/>
      </c>
      <c r="X1828" s="10">
        <f>IF(A1828="C",LEFT(UPPER(C1828)&amp;REPT(" ",10),10)," ")</f>
        <v/>
      </c>
      <c r="Y1828" s="10">
        <f>IF(A1828="C",LEFT(UPPER(D1828)&amp;REPT(" ",2),2)," ")</f>
        <v/>
      </c>
      <c r="Z1828" s="10">
        <f>IF(A1828="C",LEFT(UPPER(E1828)&amp;REPT(" ",15),15)," ")</f>
        <v/>
      </c>
      <c r="AA1828" s="10">
        <f>REPT(" ",8)</f>
        <v/>
      </c>
      <c r="AB1828" s="10">
        <f>REPT(" ",4)</f>
        <v/>
      </c>
      <c r="AC1828" s="10">
        <f>LEFT(UPPER(H1828)&amp;REPT(" ",250),250)</f>
        <v/>
      </c>
      <c r="AD1828" s="10">
        <f>TEXT($G$2,"dd/mm/aaaa")</f>
        <v/>
      </c>
      <c r="AE1828" s="10">
        <f>REPT(" ",10)</f>
        <v/>
      </c>
      <c r="AF1828" s="10">
        <f>REPT(" ",20)</f>
        <v/>
      </c>
      <c r="AG1828" s="54">
        <f>REPT(" ",18-LEN(FIXED(F1828,2,TRUE)))&amp;FIXED(F1828,2,TRUE)</f>
        <v/>
      </c>
      <c r="AH1828" s="10">
        <f>LEN(AC1828)+LEN(AG1828)</f>
        <v/>
      </c>
      <c r="AI1828" s="10">
        <f>LEN(L1828)</f>
        <v/>
      </c>
    </row>
    <row r="1829">
      <c r="J1829" s="12">
        <f>IF(F1829&lt;&gt;0,"LANÇAR","")</f>
        <v/>
      </c>
      <c r="L1829" s="13">
        <f>N1829&amp;O1829&amp;P1829&amp;Q1829&amp;R1829&amp;S1829&amp;T1829&amp;U1829&amp;V1829&amp;W1829&amp;X1829&amp;Y1829&amp;Z1829&amp;AA1829&amp;AB1829&amp;AC1829&amp;AD1829&amp;AE1829&amp;AF1829&amp;AG1829</f>
        <v/>
      </c>
      <c r="N1829" s="10">
        <f>TEXT($B$6,"00")</f>
        <v/>
      </c>
      <c r="O1829" s="10">
        <f>REPT(" ",8)</f>
        <v/>
      </c>
      <c r="P1829" s="10">
        <f>RIGHT($B$4,2)</f>
        <v/>
      </c>
      <c r="Q1829" s="10">
        <f>RIGHT($B$5,3)</f>
        <v/>
      </c>
      <c r="R1829" s="10">
        <f>IF(A1829="D",LEFT(UPPER(B1829)&amp;REPT(" ",20),20),REPT(" ",20))</f>
        <v/>
      </c>
      <c r="S1829" s="10">
        <f>IF(A1829="D",LEFT(UPPER(C1829)&amp;REPT(" ",10),10)," ")</f>
        <v/>
      </c>
      <c r="T1829" s="10">
        <f>IF(A1829="D",LEFT(UPPER(D1829)&amp;REPT(" ",2),2)," ")</f>
        <v/>
      </c>
      <c r="U1829" s="10">
        <f>IF(A1829="D",LEFT(UPPER(E1829)&amp;REPT(" ",15),15)," ")</f>
        <v/>
      </c>
      <c r="V1829" s="10">
        <f>REPT(" ",24)</f>
        <v/>
      </c>
      <c r="W1829" s="10">
        <f>IF(A1829="c",LEFT(UPPER(B1829)&amp;REPT(" ",20),20),REPT(" ",20))</f>
        <v/>
      </c>
      <c r="X1829" s="10">
        <f>IF(A1829="C",LEFT(UPPER(C1829)&amp;REPT(" ",10),10)," ")</f>
        <v/>
      </c>
      <c r="Y1829" s="10">
        <f>IF(A1829="C",LEFT(UPPER(D1829)&amp;REPT(" ",2),2)," ")</f>
        <v/>
      </c>
      <c r="Z1829" s="10">
        <f>IF(A1829="C",LEFT(UPPER(E1829)&amp;REPT(" ",15),15)," ")</f>
        <v/>
      </c>
      <c r="AA1829" s="10">
        <f>REPT(" ",8)</f>
        <v/>
      </c>
      <c r="AB1829" s="10">
        <f>REPT(" ",4)</f>
        <v/>
      </c>
      <c r="AC1829" s="10">
        <f>LEFT(UPPER(H1829)&amp;REPT(" ",250),250)</f>
        <v/>
      </c>
      <c r="AD1829" s="10">
        <f>TEXT($G$2,"dd/mm/aaaa")</f>
        <v/>
      </c>
      <c r="AE1829" s="10">
        <f>REPT(" ",10)</f>
        <v/>
      </c>
      <c r="AF1829" s="10">
        <f>REPT(" ",20)</f>
        <v/>
      </c>
      <c r="AG1829" s="54">
        <f>REPT(" ",18-LEN(FIXED(F1829,2,TRUE)))&amp;FIXED(F1829,2,TRUE)</f>
        <v/>
      </c>
      <c r="AH1829" s="10">
        <f>LEN(AC1829)+LEN(AG1829)</f>
        <v/>
      </c>
      <c r="AI1829" s="10">
        <f>LEN(L1829)</f>
        <v/>
      </c>
    </row>
    <row r="1830">
      <c r="J1830" s="12">
        <f>IF(F1830&lt;&gt;0,"LANÇAR","")</f>
        <v/>
      </c>
      <c r="L1830" s="13">
        <f>N1830&amp;O1830&amp;P1830&amp;Q1830&amp;R1830&amp;S1830&amp;T1830&amp;U1830&amp;V1830&amp;W1830&amp;X1830&amp;Y1830&amp;Z1830&amp;AA1830&amp;AB1830&amp;AC1830&amp;AD1830&amp;AE1830&amp;AF1830&amp;AG1830</f>
        <v/>
      </c>
      <c r="N1830" s="10">
        <f>TEXT($B$6,"00")</f>
        <v/>
      </c>
      <c r="O1830" s="10">
        <f>REPT(" ",8)</f>
        <v/>
      </c>
      <c r="P1830" s="10">
        <f>RIGHT($B$4,2)</f>
        <v/>
      </c>
      <c r="Q1830" s="10">
        <f>RIGHT($B$5,3)</f>
        <v/>
      </c>
      <c r="R1830" s="10">
        <f>IF(A1830="D",LEFT(UPPER(B1830)&amp;REPT(" ",20),20),REPT(" ",20))</f>
        <v/>
      </c>
      <c r="S1830" s="10">
        <f>IF(A1830="D",LEFT(UPPER(C1830)&amp;REPT(" ",10),10)," ")</f>
        <v/>
      </c>
      <c r="T1830" s="10">
        <f>IF(A1830="D",LEFT(UPPER(D1830)&amp;REPT(" ",2),2)," ")</f>
        <v/>
      </c>
      <c r="U1830" s="10">
        <f>IF(A1830="D",LEFT(UPPER(E1830)&amp;REPT(" ",15),15)," ")</f>
        <v/>
      </c>
      <c r="V1830" s="10">
        <f>REPT(" ",24)</f>
        <v/>
      </c>
      <c r="W1830" s="10">
        <f>IF(A1830="c",LEFT(UPPER(B1830)&amp;REPT(" ",20),20),REPT(" ",20))</f>
        <v/>
      </c>
      <c r="X1830" s="10">
        <f>IF(A1830="C",LEFT(UPPER(C1830)&amp;REPT(" ",10),10)," ")</f>
        <v/>
      </c>
      <c r="Y1830" s="10">
        <f>IF(A1830="C",LEFT(UPPER(D1830)&amp;REPT(" ",2),2)," ")</f>
        <v/>
      </c>
      <c r="Z1830" s="10">
        <f>IF(A1830="C",LEFT(UPPER(E1830)&amp;REPT(" ",15),15)," ")</f>
        <v/>
      </c>
      <c r="AA1830" s="10">
        <f>REPT(" ",8)</f>
        <v/>
      </c>
      <c r="AB1830" s="10">
        <f>REPT(" ",4)</f>
        <v/>
      </c>
      <c r="AC1830" s="10">
        <f>LEFT(UPPER(H1830)&amp;REPT(" ",250),250)</f>
        <v/>
      </c>
      <c r="AD1830" s="10">
        <f>TEXT($G$2,"dd/mm/aaaa")</f>
        <v/>
      </c>
      <c r="AE1830" s="10">
        <f>REPT(" ",10)</f>
        <v/>
      </c>
      <c r="AF1830" s="10">
        <f>REPT(" ",20)</f>
        <v/>
      </c>
      <c r="AG1830" s="54">
        <f>REPT(" ",18-LEN(FIXED(F1830,2,TRUE)))&amp;FIXED(F1830,2,TRUE)</f>
        <v/>
      </c>
      <c r="AH1830" s="10">
        <f>LEN(AC1830)+LEN(AG1830)</f>
        <v/>
      </c>
      <c r="AI1830" s="10">
        <f>LEN(L1830)</f>
        <v/>
      </c>
    </row>
    <row r="1831">
      <c r="J1831" s="12">
        <f>IF(F1831&lt;&gt;0,"LANÇAR","")</f>
        <v/>
      </c>
      <c r="L1831" s="13">
        <f>N1831&amp;O1831&amp;P1831&amp;Q1831&amp;R1831&amp;S1831&amp;T1831&amp;U1831&amp;V1831&amp;W1831&amp;X1831&amp;Y1831&amp;Z1831&amp;AA1831&amp;AB1831&amp;AC1831&amp;AD1831&amp;AE1831&amp;AF1831&amp;AG1831</f>
        <v/>
      </c>
      <c r="N1831" s="10">
        <f>TEXT($B$6,"00")</f>
        <v/>
      </c>
      <c r="O1831" s="10">
        <f>REPT(" ",8)</f>
        <v/>
      </c>
      <c r="P1831" s="10">
        <f>RIGHT($B$4,2)</f>
        <v/>
      </c>
      <c r="Q1831" s="10">
        <f>RIGHT($B$5,3)</f>
        <v/>
      </c>
      <c r="R1831" s="10">
        <f>IF(A1831="D",LEFT(UPPER(B1831)&amp;REPT(" ",20),20),REPT(" ",20))</f>
        <v/>
      </c>
      <c r="S1831" s="10">
        <f>IF(A1831="D",LEFT(UPPER(C1831)&amp;REPT(" ",10),10)," ")</f>
        <v/>
      </c>
      <c r="T1831" s="10">
        <f>IF(A1831="D",LEFT(UPPER(D1831)&amp;REPT(" ",2),2)," ")</f>
        <v/>
      </c>
      <c r="U1831" s="10">
        <f>IF(A1831="D",LEFT(UPPER(E1831)&amp;REPT(" ",15),15)," ")</f>
        <v/>
      </c>
      <c r="V1831" s="10">
        <f>REPT(" ",24)</f>
        <v/>
      </c>
      <c r="W1831" s="10">
        <f>IF(A1831="c",LEFT(UPPER(B1831)&amp;REPT(" ",20),20),REPT(" ",20))</f>
        <v/>
      </c>
      <c r="X1831" s="10">
        <f>IF(A1831="C",LEFT(UPPER(C1831)&amp;REPT(" ",10),10)," ")</f>
        <v/>
      </c>
      <c r="Y1831" s="10">
        <f>IF(A1831="C",LEFT(UPPER(D1831)&amp;REPT(" ",2),2)," ")</f>
        <v/>
      </c>
      <c r="Z1831" s="10">
        <f>IF(A1831="C",LEFT(UPPER(E1831)&amp;REPT(" ",15),15)," ")</f>
        <v/>
      </c>
      <c r="AA1831" s="10">
        <f>REPT(" ",8)</f>
        <v/>
      </c>
      <c r="AB1831" s="10">
        <f>REPT(" ",4)</f>
        <v/>
      </c>
      <c r="AC1831" s="10">
        <f>LEFT(UPPER(H1831)&amp;REPT(" ",250),250)</f>
        <v/>
      </c>
      <c r="AD1831" s="10">
        <f>TEXT($G$2,"dd/mm/aaaa")</f>
        <v/>
      </c>
      <c r="AE1831" s="10">
        <f>REPT(" ",10)</f>
        <v/>
      </c>
      <c r="AF1831" s="10">
        <f>REPT(" ",20)</f>
        <v/>
      </c>
      <c r="AG1831" s="54">
        <f>REPT(" ",18-LEN(FIXED(F1831,2,TRUE)))&amp;FIXED(F1831,2,TRUE)</f>
        <v/>
      </c>
      <c r="AH1831" s="10">
        <f>LEN(AC1831)+LEN(AG1831)</f>
        <v/>
      </c>
      <c r="AI1831" s="10">
        <f>LEN(L1831)</f>
        <v/>
      </c>
    </row>
    <row r="1832">
      <c r="J1832" s="12">
        <f>IF(F1832&lt;&gt;0,"LANÇAR","")</f>
        <v/>
      </c>
      <c r="L1832" s="13">
        <f>N1832&amp;O1832&amp;P1832&amp;Q1832&amp;R1832&amp;S1832&amp;T1832&amp;U1832&amp;V1832&amp;W1832&amp;X1832&amp;Y1832&amp;Z1832&amp;AA1832&amp;AB1832&amp;AC1832&amp;AD1832&amp;AE1832&amp;AF1832&amp;AG1832</f>
        <v/>
      </c>
      <c r="N1832" s="10">
        <f>TEXT($B$6,"00")</f>
        <v/>
      </c>
      <c r="O1832" s="10">
        <f>REPT(" ",8)</f>
        <v/>
      </c>
      <c r="P1832" s="10">
        <f>RIGHT($B$4,2)</f>
        <v/>
      </c>
      <c r="Q1832" s="10">
        <f>RIGHT($B$5,3)</f>
        <v/>
      </c>
      <c r="R1832" s="10">
        <f>IF(A1832="D",LEFT(UPPER(B1832)&amp;REPT(" ",20),20),REPT(" ",20))</f>
        <v/>
      </c>
      <c r="S1832" s="10">
        <f>IF(A1832="D",LEFT(UPPER(C1832)&amp;REPT(" ",10),10)," ")</f>
        <v/>
      </c>
      <c r="T1832" s="10">
        <f>IF(A1832="D",LEFT(UPPER(D1832)&amp;REPT(" ",2),2)," ")</f>
        <v/>
      </c>
      <c r="U1832" s="10">
        <f>IF(A1832="D",LEFT(UPPER(E1832)&amp;REPT(" ",15),15)," ")</f>
        <v/>
      </c>
      <c r="V1832" s="10">
        <f>REPT(" ",24)</f>
        <v/>
      </c>
      <c r="W1832" s="10">
        <f>IF(A1832="c",LEFT(UPPER(B1832)&amp;REPT(" ",20),20),REPT(" ",20))</f>
        <v/>
      </c>
      <c r="X1832" s="10">
        <f>IF(A1832="C",LEFT(UPPER(C1832)&amp;REPT(" ",10),10)," ")</f>
        <v/>
      </c>
      <c r="Y1832" s="10">
        <f>IF(A1832="C",LEFT(UPPER(D1832)&amp;REPT(" ",2),2)," ")</f>
        <v/>
      </c>
      <c r="Z1832" s="10">
        <f>IF(A1832="C",LEFT(UPPER(E1832)&amp;REPT(" ",15),15)," ")</f>
        <v/>
      </c>
      <c r="AA1832" s="10">
        <f>REPT(" ",8)</f>
        <v/>
      </c>
      <c r="AB1832" s="10">
        <f>REPT(" ",4)</f>
        <v/>
      </c>
      <c r="AC1832" s="10">
        <f>LEFT(UPPER(H1832)&amp;REPT(" ",250),250)</f>
        <v/>
      </c>
      <c r="AD1832" s="10">
        <f>TEXT($G$2,"dd/mm/aaaa")</f>
        <v/>
      </c>
      <c r="AE1832" s="10">
        <f>REPT(" ",10)</f>
        <v/>
      </c>
      <c r="AF1832" s="10">
        <f>REPT(" ",20)</f>
        <v/>
      </c>
      <c r="AG1832" s="54">
        <f>REPT(" ",18-LEN(FIXED(F1832,2,TRUE)))&amp;FIXED(F1832,2,TRUE)</f>
        <v/>
      </c>
      <c r="AH1832" s="10">
        <f>LEN(AC1832)+LEN(AG1832)</f>
        <v/>
      </c>
      <c r="AI1832" s="10">
        <f>LEN(L1832)</f>
        <v/>
      </c>
    </row>
    <row r="1833">
      <c r="J1833" s="12">
        <f>IF(F1833&lt;&gt;0,"LANÇAR","")</f>
        <v/>
      </c>
      <c r="L1833" s="13">
        <f>N1833&amp;O1833&amp;P1833&amp;Q1833&amp;R1833&amp;S1833&amp;T1833&amp;U1833&amp;V1833&amp;W1833&amp;X1833&amp;Y1833&amp;Z1833&amp;AA1833&amp;AB1833&amp;AC1833&amp;AD1833&amp;AE1833&amp;AF1833&amp;AG1833</f>
        <v/>
      </c>
      <c r="N1833" s="10">
        <f>TEXT($B$6,"00")</f>
        <v/>
      </c>
      <c r="O1833" s="10">
        <f>REPT(" ",8)</f>
        <v/>
      </c>
      <c r="P1833" s="10">
        <f>RIGHT($B$4,2)</f>
        <v/>
      </c>
      <c r="Q1833" s="10">
        <f>RIGHT($B$5,3)</f>
        <v/>
      </c>
      <c r="R1833" s="10">
        <f>IF(A1833="D",LEFT(UPPER(B1833)&amp;REPT(" ",20),20),REPT(" ",20))</f>
        <v/>
      </c>
      <c r="S1833" s="10">
        <f>IF(A1833="D",LEFT(UPPER(C1833)&amp;REPT(" ",10),10)," ")</f>
        <v/>
      </c>
      <c r="T1833" s="10">
        <f>IF(A1833="D",LEFT(UPPER(D1833)&amp;REPT(" ",2),2)," ")</f>
        <v/>
      </c>
      <c r="U1833" s="10">
        <f>IF(A1833="D",LEFT(UPPER(E1833)&amp;REPT(" ",15),15)," ")</f>
        <v/>
      </c>
      <c r="V1833" s="10">
        <f>REPT(" ",24)</f>
        <v/>
      </c>
      <c r="W1833" s="10">
        <f>IF(A1833="c",LEFT(UPPER(B1833)&amp;REPT(" ",20),20),REPT(" ",20))</f>
        <v/>
      </c>
      <c r="X1833" s="10">
        <f>IF(A1833="C",LEFT(UPPER(C1833)&amp;REPT(" ",10),10)," ")</f>
        <v/>
      </c>
      <c r="Y1833" s="10">
        <f>IF(A1833="C",LEFT(UPPER(D1833)&amp;REPT(" ",2),2)," ")</f>
        <v/>
      </c>
      <c r="Z1833" s="10">
        <f>IF(A1833="C",LEFT(UPPER(E1833)&amp;REPT(" ",15),15)," ")</f>
        <v/>
      </c>
      <c r="AA1833" s="10">
        <f>REPT(" ",8)</f>
        <v/>
      </c>
      <c r="AB1833" s="10">
        <f>REPT(" ",4)</f>
        <v/>
      </c>
      <c r="AC1833" s="10">
        <f>LEFT(UPPER(H1833)&amp;REPT(" ",250),250)</f>
        <v/>
      </c>
      <c r="AD1833" s="10">
        <f>TEXT($G$2,"dd/mm/aaaa")</f>
        <v/>
      </c>
      <c r="AE1833" s="10">
        <f>REPT(" ",10)</f>
        <v/>
      </c>
      <c r="AF1833" s="10">
        <f>REPT(" ",20)</f>
        <v/>
      </c>
      <c r="AG1833" s="54">
        <f>REPT(" ",18-LEN(FIXED(F1833,2,TRUE)))&amp;FIXED(F1833,2,TRUE)</f>
        <v/>
      </c>
      <c r="AH1833" s="10">
        <f>LEN(AC1833)+LEN(AG1833)</f>
        <v/>
      </c>
      <c r="AI1833" s="10">
        <f>LEN(L1833)</f>
        <v/>
      </c>
    </row>
    <row r="1834">
      <c r="J1834" s="12">
        <f>IF(F1834&lt;&gt;0,"LANÇAR","")</f>
        <v/>
      </c>
      <c r="L1834" s="13">
        <f>N1834&amp;O1834&amp;P1834&amp;Q1834&amp;R1834&amp;S1834&amp;T1834&amp;U1834&amp;V1834&amp;W1834&amp;X1834&amp;Y1834&amp;Z1834&amp;AA1834&amp;AB1834&amp;AC1834&amp;AD1834&amp;AE1834&amp;AF1834&amp;AG1834</f>
        <v/>
      </c>
      <c r="N1834" s="10">
        <f>TEXT($B$6,"00")</f>
        <v/>
      </c>
      <c r="O1834" s="10">
        <f>REPT(" ",8)</f>
        <v/>
      </c>
      <c r="P1834" s="10">
        <f>RIGHT($B$4,2)</f>
        <v/>
      </c>
      <c r="Q1834" s="10">
        <f>RIGHT($B$5,3)</f>
        <v/>
      </c>
      <c r="R1834" s="10">
        <f>IF(A1834="D",LEFT(UPPER(B1834)&amp;REPT(" ",20),20),REPT(" ",20))</f>
        <v/>
      </c>
      <c r="S1834" s="10">
        <f>IF(A1834="D",LEFT(UPPER(C1834)&amp;REPT(" ",10),10)," ")</f>
        <v/>
      </c>
      <c r="T1834" s="10">
        <f>IF(A1834="D",LEFT(UPPER(D1834)&amp;REPT(" ",2),2)," ")</f>
        <v/>
      </c>
      <c r="U1834" s="10">
        <f>IF(A1834="D",LEFT(UPPER(E1834)&amp;REPT(" ",15),15)," ")</f>
        <v/>
      </c>
      <c r="V1834" s="10">
        <f>REPT(" ",24)</f>
        <v/>
      </c>
      <c r="W1834" s="10">
        <f>IF(A1834="c",LEFT(UPPER(B1834)&amp;REPT(" ",20),20),REPT(" ",20))</f>
        <v/>
      </c>
      <c r="X1834" s="10">
        <f>IF(A1834="C",LEFT(UPPER(C1834)&amp;REPT(" ",10),10)," ")</f>
        <v/>
      </c>
      <c r="Y1834" s="10">
        <f>IF(A1834="C",LEFT(UPPER(D1834)&amp;REPT(" ",2),2)," ")</f>
        <v/>
      </c>
      <c r="Z1834" s="10">
        <f>IF(A1834="C",LEFT(UPPER(E1834)&amp;REPT(" ",15),15)," ")</f>
        <v/>
      </c>
      <c r="AA1834" s="10">
        <f>REPT(" ",8)</f>
        <v/>
      </c>
      <c r="AB1834" s="10">
        <f>REPT(" ",4)</f>
        <v/>
      </c>
      <c r="AC1834" s="10">
        <f>LEFT(UPPER(H1834)&amp;REPT(" ",250),250)</f>
        <v/>
      </c>
      <c r="AD1834" s="10">
        <f>TEXT($G$2,"dd/mm/aaaa")</f>
        <v/>
      </c>
      <c r="AE1834" s="10">
        <f>REPT(" ",10)</f>
        <v/>
      </c>
      <c r="AF1834" s="10">
        <f>REPT(" ",20)</f>
        <v/>
      </c>
      <c r="AG1834" s="54">
        <f>REPT(" ",18-LEN(FIXED(F1834,2,TRUE)))&amp;FIXED(F1834,2,TRUE)</f>
        <v/>
      </c>
      <c r="AH1834" s="10">
        <f>LEN(AC1834)+LEN(AG1834)</f>
        <v/>
      </c>
      <c r="AI1834" s="10">
        <f>LEN(L1834)</f>
        <v/>
      </c>
    </row>
    <row r="1835">
      <c r="J1835" s="12">
        <f>IF(F1835&lt;&gt;0,"LANÇAR","")</f>
        <v/>
      </c>
      <c r="L1835" s="13">
        <f>N1835&amp;O1835&amp;P1835&amp;Q1835&amp;R1835&amp;S1835&amp;T1835&amp;U1835&amp;V1835&amp;W1835&amp;X1835&amp;Y1835&amp;Z1835&amp;AA1835&amp;AB1835&amp;AC1835&amp;AD1835&amp;AE1835&amp;AF1835&amp;AG1835</f>
        <v/>
      </c>
      <c r="N1835" s="10">
        <f>TEXT($B$6,"00")</f>
        <v/>
      </c>
      <c r="O1835" s="10">
        <f>REPT(" ",8)</f>
        <v/>
      </c>
      <c r="P1835" s="10">
        <f>RIGHT($B$4,2)</f>
        <v/>
      </c>
      <c r="Q1835" s="10">
        <f>RIGHT($B$5,3)</f>
        <v/>
      </c>
      <c r="R1835" s="10">
        <f>IF(A1835="D",LEFT(UPPER(B1835)&amp;REPT(" ",20),20),REPT(" ",20))</f>
        <v/>
      </c>
      <c r="S1835" s="10">
        <f>IF(A1835="D",LEFT(UPPER(C1835)&amp;REPT(" ",10),10)," ")</f>
        <v/>
      </c>
      <c r="T1835" s="10">
        <f>IF(A1835="D",LEFT(UPPER(D1835)&amp;REPT(" ",2),2)," ")</f>
        <v/>
      </c>
      <c r="U1835" s="10">
        <f>IF(A1835="D",LEFT(UPPER(E1835)&amp;REPT(" ",15),15)," ")</f>
        <v/>
      </c>
      <c r="V1835" s="10">
        <f>REPT(" ",24)</f>
        <v/>
      </c>
      <c r="W1835" s="10">
        <f>IF(A1835="c",LEFT(UPPER(B1835)&amp;REPT(" ",20),20),REPT(" ",20))</f>
        <v/>
      </c>
      <c r="X1835" s="10">
        <f>IF(A1835="C",LEFT(UPPER(C1835)&amp;REPT(" ",10),10)," ")</f>
        <v/>
      </c>
      <c r="Y1835" s="10">
        <f>IF(A1835="C",LEFT(UPPER(D1835)&amp;REPT(" ",2),2)," ")</f>
        <v/>
      </c>
      <c r="Z1835" s="10">
        <f>IF(A1835="C",LEFT(UPPER(E1835)&amp;REPT(" ",15),15)," ")</f>
        <v/>
      </c>
      <c r="AA1835" s="10">
        <f>REPT(" ",8)</f>
        <v/>
      </c>
      <c r="AB1835" s="10">
        <f>REPT(" ",4)</f>
        <v/>
      </c>
      <c r="AC1835" s="10">
        <f>LEFT(UPPER(H1835)&amp;REPT(" ",250),250)</f>
        <v/>
      </c>
      <c r="AD1835" s="10">
        <f>TEXT($G$2,"dd/mm/aaaa")</f>
        <v/>
      </c>
      <c r="AE1835" s="10">
        <f>REPT(" ",10)</f>
        <v/>
      </c>
      <c r="AF1835" s="10">
        <f>REPT(" ",20)</f>
        <v/>
      </c>
      <c r="AG1835" s="54">
        <f>REPT(" ",18-LEN(FIXED(F1835,2,TRUE)))&amp;FIXED(F1835,2,TRUE)</f>
        <v/>
      </c>
      <c r="AH1835" s="10">
        <f>LEN(AC1835)+LEN(AG1835)</f>
        <v/>
      </c>
      <c r="AI1835" s="10">
        <f>LEN(L1835)</f>
        <v/>
      </c>
    </row>
    <row r="1836">
      <c r="J1836" s="12">
        <f>IF(F1836&lt;&gt;0,"LANÇAR","")</f>
        <v/>
      </c>
      <c r="L1836" s="13">
        <f>N1836&amp;O1836&amp;P1836&amp;Q1836&amp;R1836&amp;S1836&amp;T1836&amp;U1836&amp;V1836&amp;W1836&amp;X1836&amp;Y1836&amp;Z1836&amp;AA1836&amp;AB1836&amp;AC1836&amp;AD1836&amp;AE1836&amp;AF1836&amp;AG1836</f>
        <v/>
      </c>
      <c r="N1836" s="10">
        <f>TEXT($B$6,"00")</f>
        <v/>
      </c>
      <c r="O1836" s="10">
        <f>REPT(" ",8)</f>
        <v/>
      </c>
      <c r="P1836" s="10">
        <f>RIGHT($B$4,2)</f>
        <v/>
      </c>
      <c r="Q1836" s="10">
        <f>RIGHT($B$5,3)</f>
        <v/>
      </c>
      <c r="R1836" s="10">
        <f>IF(A1836="D",LEFT(UPPER(B1836)&amp;REPT(" ",20),20),REPT(" ",20))</f>
        <v/>
      </c>
      <c r="S1836" s="10">
        <f>IF(A1836="D",LEFT(UPPER(C1836)&amp;REPT(" ",10),10)," ")</f>
        <v/>
      </c>
      <c r="T1836" s="10">
        <f>IF(A1836="D",LEFT(UPPER(D1836)&amp;REPT(" ",2),2)," ")</f>
        <v/>
      </c>
      <c r="U1836" s="10">
        <f>IF(A1836="D",LEFT(UPPER(E1836)&amp;REPT(" ",15),15)," ")</f>
        <v/>
      </c>
      <c r="V1836" s="10">
        <f>REPT(" ",24)</f>
        <v/>
      </c>
      <c r="W1836" s="10">
        <f>IF(A1836="c",LEFT(UPPER(B1836)&amp;REPT(" ",20),20),REPT(" ",20))</f>
        <v/>
      </c>
      <c r="X1836" s="10">
        <f>IF(A1836="C",LEFT(UPPER(C1836)&amp;REPT(" ",10),10)," ")</f>
        <v/>
      </c>
      <c r="Y1836" s="10">
        <f>IF(A1836="C",LEFT(UPPER(D1836)&amp;REPT(" ",2),2)," ")</f>
        <v/>
      </c>
      <c r="Z1836" s="10">
        <f>IF(A1836="C",LEFT(UPPER(E1836)&amp;REPT(" ",15),15)," ")</f>
        <v/>
      </c>
      <c r="AA1836" s="10">
        <f>REPT(" ",8)</f>
        <v/>
      </c>
      <c r="AB1836" s="10">
        <f>REPT(" ",4)</f>
        <v/>
      </c>
      <c r="AC1836" s="10">
        <f>LEFT(UPPER(H1836)&amp;REPT(" ",250),250)</f>
        <v/>
      </c>
      <c r="AD1836" s="10">
        <f>TEXT($G$2,"dd/mm/aaaa")</f>
        <v/>
      </c>
      <c r="AE1836" s="10">
        <f>REPT(" ",10)</f>
        <v/>
      </c>
      <c r="AF1836" s="10">
        <f>REPT(" ",20)</f>
        <v/>
      </c>
      <c r="AG1836" s="54">
        <f>REPT(" ",18-LEN(FIXED(F1836,2,TRUE)))&amp;FIXED(F1836,2,TRUE)</f>
        <v/>
      </c>
      <c r="AH1836" s="10">
        <f>LEN(AC1836)+LEN(AG1836)</f>
        <v/>
      </c>
      <c r="AI1836" s="10">
        <f>LEN(L1836)</f>
        <v/>
      </c>
    </row>
    <row r="1837">
      <c r="J1837" s="12">
        <f>IF(F1837&lt;&gt;0,"LANÇAR","")</f>
        <v/>
      </c>
      <c r="L1837" s="13">
        <f>N1837&amp;O1837&amp;P1837&amp;Q1837&amp;R1837&amp;S1837&amp;T1837&amp;U1837&amp;V1837&amp;W1837&amp;X1837&amp;Y1837&amp;Z1837&amp;AA1837&amp;AB1837&amp;AC1837&amp;AD1837&amp;AE1837&amp;AF1837&amp;AG1837</f>
        <v/>
      </c>
      <c r="N1837" s="10">
        <f>TEXT($B$6,"00")</f>
        <v/>
      </c>
      <c r="O1837" s="10">
        <f>REPT(" ",8)</f>
        <v/>
      </c>
      <c r="P1837" s="10">
        <f>RIGHT($B$4,2)</f>
        <v/>
      </c>
      <c r="Q1837" s="10">
        <f>RIGHT($B$5,3)</f>
        <v/>
      </c>
      <c r="R1837" s="10">
        <f>IF(A1837="D",LEFT(UPPER(B1837)&amp;REPT(" ",20),20),REPT(" ",20))</f>
        <v/>
      </c>
      <c r="S1837" s="10">
        <f>IF(A1837="D",LEFT(UPPER(C1837)&amp;REPT(" ",10),10)," ")</f>
        <v/>
      </c>
      <c r="T1837" s="10">
        <f>IF(A1837="D",LEFT(UPPER(D1837)&amp;REPT(" ",2),2)," ")</f>
        <v/>
      </c>
      <c r="U1837" s="10">
        <f>IF(A1837="D",LEFT(UPPER(E1837)&amp;REPT(" ",15),15)," ")</f>
        <v/>
      </c>
      <c r="V1837" s="10">
        <f>REPT(" ",24)</f>
        <v/>
      </c>
      <c r="W1837" s="10">
        <f>IF(A1837="c",LEFT(UPPER(B1837)&amp;REPT(" ",20),20),REPT(" ",20))</f>
        <v/>
      </c>
      <c r="X1837" s="10">
        <f>IF(A1837="C",LEFT(UPPER(C1837)&amp;REPT(" ",10),10)," ")</f>
        <v/>
      </c>
      <c r="Y1837" s="10">
        <f>IF(A1837="C",LEFT(UPPER(D1837)&amp;REPT(" ",2),2)," ")</f>
        <v/>
      </c>
      <c r="Z1837" s="10">
        <f>IF(A1837="C",LEFT(UPPER(E1837)&amp;REPT(" ",15),15)," ")</f>
        <v/>
      </c>
      <c r="AA1837" s="10">
        <f>REPT(" ",8)</f>
        <v/>
      </c>
      <c r="AB1837" s="10">
        <f>REPT(" ",4)</f>
        <v/>
      </c>
      <c r="AC1837" s="10">
        <f>LEFT(UPPER(H1837)&amp;REPT(" ",250),250)</f>
        <v/>
      </c>
      <c r="AD1837" s="10">
        <f>TEXT($G$2,"dd/mm/aaaa")</f>
        <v/>
      </c>
      <c r="AE1837" s="10">
        <f>REPT(" ",10)</f>
        <v/>
      </c>
      <c r="AF1837" s="10">
        <f>REPT(" ",20)</f>
        <v/>
      </c>
      <c r="AG1837" s="54">
        <f>REPT(" ",18-LEN(FIXED(F1837,2,TRUE)))&amp;FIXED(F1837,2,TRUE)</f>
        <v/>
      </c>
      <c r="AH1837" s="10">
        <f>LEN(AC1837)+LEN(AG1837)</f>
        <v/>
      </c>
      <c r="AI1837" s="10">
        <f>LEN(L1837)</f>
        <v/>
      </c>
    </row>
    <row r="1838">
      <c r="J1838" s="12">
        <f>IF(F1838&lt;&gt;0,"LANÇAR","")</f>
        <v/>
      </c>
      <c r="L1838" s="13">
        <f>N1838&amp;O1838&amp;P1838&amp;Q1838&amp;R1838&amp;S1838&amp;T1838&amp;U1838&amp;V1838&amp;W1838&amp;X1838&amp;Y1838&amp;Z1838&amp;AA1838&amp;AB1838&amp;AC1838&amp;AD1838&amp;AE1838&amp;AF1838&amp;AG1838</f>
        <v/>
      </c>
      <c r="N1838" s="10">
        <f>TEXT($B$6,"00")</f>
        <v/>
      </c>
      <c r="O1838" s="10">
        <f>REPT(" ",8)</f>
        <v/>
      </c>
      <c r="P1838" s="10">
        <f>RIGHT($B$4,2)</f>
        <v/>
      </c>
      <c r="Q1838" s="10">
        <f>RIGHT($B$5,3)</f>
        <v/>
      </c>
      <c r="R1838" s="10">
        <f>IF(A1838="D",LEFT(UPPER(B1838)&amp;REPT(" ",20),20),REPT(" ",20))</f>
        <v/>
      </c>
      <c r="S1838" s="10">
        <f>IF(A1838="D",LEFT(UPPER(C1838)&amp;REPT(" ",10),10)," ")</f>
        <v/>
      </c>
      <c r="T1838" s="10">
        <f>IF(A1838="D",LEFT(UPPER(D1838)&amp;REPT(" ",2),2)," ")</f>
        <v/>
      </c>
      <c r="U1838" s="10">
        <f>IF(A1838="D",LEFT(UPPER(E1838)&amp;REPT(" ",15),15)," ")</f>
        <v/>
      </c>
      <c r="V1838" s="10">
        <f>REPT(" ",24)</f>
        <v/>
      </c>
      <c r="W1838" s="10">
        <f>IF(A1838="c",LEFT(UPPER(B1838)&amp;REPT(" ",20),20),REPT(" ",20))</f>
        <v/>
      </c>
      <c r="X1838" s="10">
        <f>IF(A1838="C",LEFT(UPPER(C1838)&amp;REPT(" ",10),10)," ")</f>
        <v/>
      </c>
      <c r="Y1838" s="10">
        <f>IF(A1838="C",LEFT(UPPER(D1838)&amp;REPT(" ",2),2)," ")</f>
        <v/>
      </c>
      <c r="Z1838" s="10">
        <f>IF(A1838="C",LEFT(UPPER(E1838)&amp;REPT(" ",15),15)," ")</f>
        <v/>
      </c>
      <c r="AA1838" s="10">
        <f>REPT(" ",8)</f>
        <v/>
      </c>
      <c r="AB1838" s="10">
        <f>REPT(" ",4)</f>
        <v/>
      </c>
      <c r="AC1838" s="10">
        <f>LEFT(UPPER(H1838)&amp;REPT(" ",250),250)</f>
        <v/>
      </c>
      <c r="AD1838" s="10">
        <f>TEXT($G$2,"dd/mm/aaaa")</f>
        <v/>
      </c>
      <c r="AE1838" s="10">
        <f>REPT(" ",10)</f>
        <v/>
      </c>
      <c r="AF1838" s="10">
        <f>REPT(" ",20)</f>
        <v/>
      </c>
      <c r="AG1838" s="54">
        <f>REPT(" ",18-LEN(FIXED(F1838,2,TRUE)))&amp;FIXED(F1838,2,TRUE)</f>
        <v/>
      </c>
      <c r="AH1838" s="10">
        <f>LEN(AC1838)+LEN(AG1838)</f>
        <v/>
      </c>
      <c r="AI1838" s="10">
        <f>LEN(L1838)</f>
        <v/>
      </c>
    </row>
    <row r="1839">
      <c r="J1839" s="12">
        <f>IF(F1839&lt;&gt;0,"LANÇAR","")</f>
        <v/>
      </c>
      <c r="L1839" s="13">
        <f>N1839&amp;O1839&amp;P1839&amp;Q1839&amp;R1839&amp;S1839&amp;T1839&amp;U1839&amp;V1839&amp;W1839&amp;X1839&amp;Y1839&amp;Z1839&amp;AA1839&amp;AB1839&amp;AC1839&amp;AD1839&amp;AE1839&amp;AF1839&amp;AG1839</f>
        <v/>
      </c>
      <c r="N1839" s="10">
        <f>TEXT($B$6,"00")</f>
        <v/>
      </c>
      <c r="O1839" s="10">
        <f>REPT(" ",8)</f>
        <v/>
      </c>
      <c r="P1839" s="10">
        <f>RIGHT($B$4,2)</f>
        <v/>
      </c>
      <c r="Q1839" s="10">
        <f>RIGHT($B$5,3)</f>
        <v/>
      </c>
      <c r="R1839" s="10">
        <f>IF(A1839="D",LEFT(UPPER(B1839)&amp;REPT(" ",20),20),REPT(" ",20))</f>
        <v/>
      </c>
      <c r="S1839" s="10">
        <f>IF(A1839="D",LEFT(UPPER(C1839)&amp;REPT(" ",10),10)," ")</f>
        <v/>
      </c>
      <c r="T1839" s="10">
        <f>IF(A1839="D",LEFT(UPPER(D1839)&amp;REPT(" ",2),2)," ")</f>
        <v/>
      </c>
      <c r="U1839" s="10">
        <f>IF(A1839="D",LEFT(UPPER(E1839)&amp;REPT(" ",15),15)," ")</f>
        <v/>
      </c>
      <c r="V1839" s="10">
        <f>REPT(" ",24)</f>
        <v/>
      </c>
      <c r="W1839" s="10">
        <f>IF(A1839="c",LEFT(UPPER(B1839)&amp;REPT(" ",20),20),REPT(" ",20))</f>
        <v/>
      </c>
      <c r="X1839" s="10">
        <f>IF(A1839="C",LEFT(UPPER(C1839)&amp;REPT(" ",10),10)," ")</f>
        <v/>
      </c>
      <c r="Y1839" s="10">
        <f>IF(A1839="C",LEFT(UPPER(D1839)&amp;REPT(" ",2),2)," ")</f>
        <v/>
      </c>
      <c r="Z1839" s="10">
        <f>IF(A1839="C",LEFT(UPPER(E1839)&amp;REPT(" ",15),15)," ")</f>
        <v/>
      </c>
      <c r="AA1839" s="10">
        <f>REPT(" ",8)</f>
        <v/>
      </c>
      <c r="AB1839" s="10">
        <f>REPT(" ",4)</f>
        <v/>
      </c>
      <c r="AC1839" s="10">
        <f>LEFT(UPPER(H1839)&amp;REPT(" ",250),250)</f>
        <v/>
      </c>
      <c r="AD1839" s="10">
        <f>TEXT($G$2,"dd/mm/aaaa")</f>
        <v/>
      </c>
      <c r="AE1839" s="10">
        <f>REPT(" ",10)</f>
        <v/>
      </c>
      <c r="AF1839" s="10">
        <f>REPT(" ",20)</f>
        <v/>
      </c>
      <c r="AG1839" s="54">
        <f>REPT(" ",18-LEN(FIXED(F1839,2,TRUE)))&amp;FIXED(F1839,2,TRUE)</f>
        <v/>
      </c>
      <c r="AH1839" s="10">
        <f>LEN(AC1839)+LEN(AG1839)</f>
        <v/>
      </c>
      <c r="AI1839" s="10">
        <f>LEN(L1839)</f>
        <v/>
      </c>
    </row>
    <row r="1840">
      <c r="J1840" s="12">
        <f>IF(F1840&lt;&gt;0,"LANÇAR","")</f>
        <v/>
      </c>
      <c r="L1840" s="13">
        <f>N1840&amp;O1840&amp;P1840&amp;Q1840&amp;R1840&amp;S1840&amp;T1840&amp;U1840&amp;V1840&amp;W1840&amp;X1840&amp;Y1840&amp;Z1840&amp;AA1840&amp;AB1840&amp;AC1840&amp;AD1840&amp;AE1840&amp;AF1840&amp;AG1840</f>
        <v/>
      </c>
      <c r="N1840" s="10">
        <f>TEXT($B$6,"00")</f>
        <v/>
      </c>
      <c r="O1840" s="10">
        <f>REPT(" ",8)</f>
        <v/>
      </c>
      <c r="P1840" s="10">
        <f>RIGHT($B$4,2)</f>
        <v/>
      </c>
      <c r="Q1840" s="10">
        <f>RIGHT($B$5,3)</f>
        <v/>
      </c>
      <c r="R1840" s="10">
        <f>IF(A1840="D",LEFT(UPPER(B1840)&amp;REPT(" ",20),20),REPT(" ",20))</f>
        <v/>
      </c>
      <c r="S1840" s="10">
        <f>IF(A1840="D",LEFT(UPPER(C1840)&amp;REPT(" ",10),10)," ")</f>
        <v/>
      </c>
      <c r="T1840" s="10">
        <f>IF(A1840="D",LEFT(UPPER(D1840)&amp;REPT(" ",2),2)," ")</f>
        <v/>
      </c>
      <c r="U1840" s="10">
        <f>IF(A1840="D",LEFT(UPPER(E1840)&amp;REPT(" ",15),15)," ")</f>
        <v/>
      </c>
      <c r="V1840" s="10">
        <f>REPT(" ",24)</f>
        <v/>
      </c>
      <c r="W1840" s="10">
        <f>IF(A1840="c",LEFT(UPPER(B1840)&amp;REPT(" ",20),20),REPT(" ",20))</f>
        <v/>
      </c>
      <c r="X1840" s="10">
        <f>IF(A1840="C",LEFT(UPPER(C1840)&amp;REPT(" ",10),10)," ")</f>
        <v/>
      </c>
      <c r="Y1840" s="10">
        <f>IF(A1840="C",LEFT(UPPER(D1840)&amp;REPT(" ",2),2)," ")</f>
        <v/>
      </c>
      <c r="Z1840" s="10">
        <f>IF(A1840="C",LEFT(UPPER(E1840)&amp;REPT(" ",15),15)," ")</f>
        <v/>
      </c>
      <c r="AA1840" s="10">
        <f>REPT(" ",8)</f>
        <v/>
      </c>
      <c r="AB1840" s="10">
        <f>REPT(" ",4)</f>
        <v/>
      </c>
      <c r="AC1840" s="10">
        <f>LEFT(UPPER(H1840)&amp;REPT(" ",250),250)</f>
        <v/>
      </c>
      <c r="AD1840" s="10">
        <f>TEXT($G$2,"dd/mm/aaaa")</f>
        <v/>
      </c>
      <c r="AE1840" s="10">
        <f>REPT(" ",10)</f>
        <v/>
      </c>
      <c r="AF1840" s="10">
        <f>REPT(" ",20)</f>
        <v/>
      </c>
      <c r="AG1840" s="54">
        <f>REPT(" ",18-LEN(FIXED(F1840,2,TRUE)))&amp;FIXED(F1840,2,TRUE)</f>
        <v/>
      </c>
      <c r="AH1840" s="10">
        <f>LEN(AC1840)+LEN(AG1840)</f>
        <v/>
      </c>
      <c r="AI1840" s="10">
        <f>LEN(L1840)</f>
        <v/>
      </c>
    </row>
    <row r="1841">
      <c r="J1841" s="12">
        <f>IF(F1841&lt;&gt;0,"LANÇAR","")</f>
        <v/>
      </c>
      <c r="L1841" s="13">
        <f>N1841&amp;O1841&amp;P1841&amp;Q1841&amp;R1841&amp;S1841&amp;T1841&amp;U1841&amp;V1841&amp;W1841&amp;X1841&amp;Y1841&amp;Z1841&amp;AA1841&amp;AB1841&amp;AC1841&amp;AD1841&amp;AE1841&amp;AF1841&amp;AG1841</f>
        <v/>
      </c>
      <c r="N1841" s="10">
        <f>TEXT($B$6,"00")</f>
        <v/>
      </c>
      <c r="O1841" s="10">
        <f>REPT(" ",8)</f>
        <v/>
      </c>
      <c r="P1841" s="10">
        <f>RIGHT($B$4,2)</f>
        <v/>
      </c>
      <c r="Q1841" s="10">
        <f>RIGHT($B$5,3)</f>
        <v/>
      </c>
      <c r="R1841" s="10">
        <f>IF(A1841="D",LEFT(UPPER(B1841)&amp;REPT(" ",20),20),REPT(" ",20))</f>
        <v/>
      </c>
      <c r="S1841" s="10">
        <f>IF(A1841="D",LEFT(UPPER(C1841)&amp;REPT(" ",10),10)," ")</f>
        <v/>
      </c>
      <c r="T1841" s="10">
        <f>IF(A1841="D",LEFT(UPPER(D1841)&amp;REPT(" ",2),2)," ")</f>
        <v/>
      </c>
      <c r="U1841" s="10">
        <f>IF(A1841="D",LEFT(UPPER(E1841)&amp;REPT(" ",15),15)," ")</f>
        <v/>
      </c>
      <c r="V1841" s="10">
        <f>REPT(" ",24)</f>
        <v/>
      </c>
      <c r="W1841" s="10">
        <f>IF(A1841="c",LEFT(UPPER(B1841)&amp;REPT(" ",20),20),REPT(" ",20))</f>
        <v/>
      </c>
      <c r="X1841" s="10">
        <f>IF(A1841="C",LEFT(UPPER(C1841)&amp;REPT(" ",10),10)," ")</f>
        <v/>
      </c>
      <c r="Y1841" s="10">
        <f>IF(A1841="C",LEFT(UPPER(D1841)&amp;REPT(" ",2),2)," ")</f>
        <v/>
      </c>
      <c r="Z1841" s="10">
        <f>IF(A1841="C",LEFT(UPPER(E1841)&amp;REPT(" ",15),15)," ")</f>
        <v/>
      </c>
      <c r="AA1841" s="10">
        <f>REPT(" ",8)</f>
        <v/>
      </c>
      <c r="AB1841" s="10">
        <f>REPT(" ",4)</f>
        <v/>
      </c>
      <c r="AC1841" s="10">
        <f>LEFT(UPPER(H1841)&amp;REPT(" ",250),250)</f>
        <v/>
      </c>
      <c r="AD1841" s="10">
        <f>TEXT($G$2,"dd/mm/aaaa")</f>
        <v/>
      </c>
      <c r="AE1841" s="10">
        <f>REPT(" ",10)</f>
        <v/>
      </c>
      <c r="AF1841" s="10">
        <f>REPT(" ",20)</f>
        <v/>
      </c>
      <c r="AG1841" s="54">
        <f>REPT(" ",18-LEN(FIXED(F1841,2,TRUE)))&amp;FIXED(F1841,2,TRUE)</f>
        <v/>
      </c>
      <c r="AH1841" s="10">
        <f>LEN(AC1841)+LEN(AG1841)</f>
        <v/>
      </c>
      <c r="AI1841" s="10">
        <f>LEN(L1841)</f>
        <v/>
      </c>
    </row>
    <row r="1842">
      <c r="J1842" s="12">
        <f>IF(F1842&lt;&gt;0,"LANÇAR","")</f>
        <v/>
      </c>
      <c r="L1842" s="13">
        <f>N1842&amp;O1842&amp;P1842&amp;Q1842&amp;R1842&amp;S1842&amp;T1842&amp;U1842&amp;V1842&amp;W1842&amp;X1842&amp;Y1842&amp;Z1842&amp;AA1842&amp;AB1842&amp;AC1842&amp;AD1842&amp;AE1842&amp;AF1842&amp;AG1842</f>
        <v/>
      </c>
      <c r="N1842" s="10">
        <f>TEXT($B$6,"00")</f>
        <v/>
      </c>
      <c r="O1842" s="10">
        <f>REPT(" ",8)</f>
        <v/>
      </c>
      <c r="P1842" s="10">
        <f>RIGHT($B$4,2)</f>
        <v/>
      </c>
      <c r="Q1842" s="10">
        <f>RIGHT($B$5,3)</f>
        <v/>
      </c>
      <c r="R1842" s="10">
        <f>IF(A1842="D",LEFT(UPPER(B1842)&amp;REPT(" ",20),20),REPT(" ",20))</f>
        <v/>
      </c>
      <c r="S1842" s="10">
        <f>IF(A1842="D",LEFT(UPPER(C1842)&amp;REPT(" ",10),10)," ")</f>
        <v/>
      </c>
      <c r="T1842" s="10">
        <f>IF(A1842="D",LEFT(UPPER(D1842)&amp;REPT(" ",2),2)," ")</f>
        <v/>
      </c>
      <c r="U1842" s="10">
        <f>IF(A1842="D",LEFT(UPPER(E1842)&amp;REPT(" ",15),15)," ")</f>
        <v/>
      </c>
      <c r="V1842" s="10">
        <f>REPT(" ",24)</f>
        <v/>
      </c>
      <c r="W1842" s="10">
        <f>IF(A1842="c",LEFT(UPPER(B1842)&amp;REPT(" ",20),20),REPT(" ",20))</f>
        <v/>
      </c>
      <c r="X1842" s="10">
        <f>IF(A1842="C",LEFT(UPPER(C1842)&amp;REPT(" ",10),10)," ")</f>
        <v/>
      </c>
      <c r="Y1842" s="10">
        <f>IF(A1842="C",LEFT(UPPER(D1842)&amp;REPT(" ",2),2)," ")</f>
        <v/>
      </c>
      <c r="Z1842" s="10">
        <f>IF(A1842="C",LEFT(UPPER(E1842)&amp;REPT(" ",15),15)," ")</f>
        <v/>
      </c>
      <c r="AA1842" s="10">
        <f>REPT(" ",8)</f>
        <v/>
      </c>
      <c r="AB1842" s="10">
        <f>REPT(" ",4)</f>
        <v/>
      </c>
      <c r="AC1842" s="10">
        <f>LEFT(UPPER(H1842)&amp;REPT(" ",250),250)</f>
        <v/>
      </c>
      <c r="AD1842" s="10">
        <f>TEXT($G$2,"dd/mm/aaaa")</f>
        <v/>
      </c>
      <c r="AE1842" s="10">
        <f>REPT(" ",10)</f>
        <v/>
      </c>
      <c r="AF1842" s="10">
        <f>REPT(" ",20)</f>
        <v/>
      </c>
      <c r="AG1842" s="54">
        <f>REPT(" ",18-LEN(FIXED(F1842,2,TRUE)))&amp;FIXED(F1842,2,TRUE)</f>
        <v/>
      </c>
      <c r="AH1842" s="10">
        <f>LEN(AC1842)+LEN(AG1842)</f>
        <v/>
      </c>
      <c r="AI1842" s="10">
        <f>LEN(L1842)</f>
        <v/>
      </c>
    </row>
    <row r="1843">
      <c r="J1843" s="12">
        <f>IF(F1843&lt;&gt;0,"LANÇAR","")</f>
        <v/>
      </c>
      <c r="L1843" s="13">
        <f>N1843&amp;O1843&amp;P1843&amp;Q1843&amp;R1843&amp;S1843&amp;T1843&amp;U1843&amp;V1843&amp;W1843&amp;X1843&amp;Y1843&amp;Z1843&amp;AA1843&amp;AB1843&amp;AC1843&amp;AD1843&amp;AE1843&amp;AF1843&amp;AG1843</f>
        <v/>
      </c>
      <c r="N1843" s="10">
        <f>TEXT($B$6,"00")</f>
        <v/>
      </c>
      <c r="O1843" s="10">
        <f>REPT(" ",8)</f>
        <v/>
      </c>
      <c r="P1843" s="10">
        <f>RIGHT($B$4,2)</f>
        <v/>
      </c>
      <c r="Q1843" s="10">
        <f>RIGHT($B$5,3)</f>
        <v/>
      </c>
      <c r="R1843" s="10">
        <f>IF(A1843="D",LEFT(UPPER(B1843)&amp;REPT(" ",20),20),REPT(" ",20))</f>
        <v/>
      </c>
      <c r="S1843" s="10">
        <f>IF(A1843="D",LEFT(UPPER(C1843)&amp;REPT(" ",10),10)," ")</f>
        <v/>
      </c>
      <c r="T1843" s="10">
        <f>IF(A1843="D",LEFT(UPPER(D1843)&amp;REPT(" ",2),2)," ")</f>
        <v/>
      </c>
      <c r="U1843" s="10">
        <f>IF(A1843="D",LEFT(UPPER(E1843)&amp;REPT(" ",15),15)," ")</f>
        <v/>
      </c>
      <c r="V1843" s="10">
        <f>REPT(" ",24)</f>
        <v/>
      </c>
      <c r="W1843" s="10">
        <f>IF(A1843="c",LEFT(UPPER(B1843)&amp;REPT(" ",20),20),REPT(" ",20))</f>
        <v/>
      </c>
      <c r="X1843" s="10">
        <f>IF(A1843="C",LEFT(UPPER(C1843)&amp;REPT(" ",10),10)," ")</f>
        <v/>
      </c>
      <c r="Y1843" s="10">
        <f>IF(A1843="C",LEFT(UPPER(D1843)&amp;REPT(" ",2),2)," ")</f>
        <v/>
      </c>
      <c r="Z1843" s="10">
        <f>IF(A1843="C",LEFT(UPPER(E1843)&amp;REPT(" ",15),15)," ")</f>
        <v/>
      </c>
      <c r="AA1843" s="10">
        <f>REPT(" ",8)</f>
        <v/>
      </c>
      <c r="AB1843" s="10">
        <f>REPT(" ",4)</f>
        <v/>
      </c>
      <c r="AC1843" s="10">
        <f>LEFT(UPPER(H1843)&amp;REPT(" ",250),250)</f>
        <v/>
      </c>
      <c r="AD1843" s="10">
        <f>TEXT($G$2,"dd/mm/aaaa")</f>
        <v/>
      </c>
      <c r="AE1843" s="10">
        <f>REPT(" ",10)</f>
        <v/>
      </c>
      <c r="AF1843" s="10">
        <f>REPT(" ",20)</f>
        <v/>
      </c>
      <c r="AG1843" s="54">
        <f>REPT(" ",18-LEN(FIXED(F1843,2,TRUE)))&amp;FIXED(F1843,2,TRUE)</f>
        <v/>
      </c>
      <c r="AH1843" s="10">
        <f>LEN(AC1843)+LEN(AG1843)</f>
        <v/>
      </c>
      <c r="AI1843" s="10">
        <f>LEN(L1843)</f>
        <v/>
      </c>
    </row>
    <row r="1844">
      <c r="J1844" s="12">
        <f>IF(F1844&lt;&gt;0,"LANÇAR","")</f>
        <v/>
      </c>
      <c r="L1844" s="13">
        <f>N1844&amp;O1844&amp;P1844&amp;Q1844&amp;R1844&amp;S1844&amp;T1844&amp;U1844&amp;V1844&amp;W1844&amp;X1844&amp;Y1844&amp;Z1844&amp;AA1844&amp;AB1844&amp;AC1844&amp;AD1844&amp;AE1844&amp;AF1844&amp;AG1844</f>
        <v/>
      </c>
      <c r="N1844" s="10">
        <f>TEXT($B$6,"00")</f>
        <v/>
      </c>
      <c r="O1844" s="10">
        <f>REPT(" ",8)</f>
        <v/>
      </c>
      <c r="P1844" s="10">
        <f>RIGHT($B$4,2)</f>
        <v/>
      </c>
      <c r="Q1844" s="10">
        <f>RIGHT($B$5,3)</f>
        <v/>
      </c>
      <c r="R1844" s="10">
        <f>IF(A1844="D",LEFT(UPPER(B1844)&amp;REPT(" ",20),20),REPT(" ",20))</f>
        <v/>
      </c>
      <c r="S1844" s="10">
        <f>IF(A1844="D",LEFT(UPPER(C1844)&amp;REPT(" ",10),10)," ")</f>
        <v/>
      </c>
      <c r="T1844" s="10">
        <f>IF(A1844="D",LEFT(UPPER(D1844)&amp;REPT(" ",2),2)," ")</f>
        <v/>
      </c>
      <c r="U1844" s="10">
        <f>IF(A1844="D",LEFT(UPPER(E1844)&amp;REPT(" ",15),15)," ")</f>
        <v/>
      </c>
      <c r="V1844" s="10">
        <f>REPT(" ",24)</f>
        <v/>
      </c>
      <c r="W1844" s="10">
        <f>IF(A1844="c",LEFT(UPPER(B1844)&amp;REPT(" ",20),20),REPT(" ",20))</f>
        <v/>
      </c>
      <c r="X1844" s="10">
        <f>IF(A1844="C",LEFT(UPPER(C1844)&amp;REPT(" ",10),10)," ")</f>
        <v/>
      </c>
      <c r="Y1844" s="10">
        <f>IF(A1844="C",LEFT(UPPER(D1844)&amp;REPT(" ",2),2)," ")</f>
        <v/>
      </c>
      <c r="Z1844" s="10">
        <f>IF(A1844="C",LEFT(UPPER(E1844)&amp;REPT(" ",15),15)," ")</f>
        <v/>
      </c>
      <c r="AA1844" s="10">
        <f>REPT(" ",8)</f>
        <v/>
      </c>
      <c r="AB1844" s="10">
        <f>REPT(" ",4)</f>
        <v/>
      </c>
      <c r="AC1844" s="10">
        <f>LEFT(UPPER(H1844)&amp;REPT(" ",250),250)</f>
        <v/>
      </c>
      <c r="AD1844" s="10">
        <f>TEXT($G$2,"dd/mm/aaaa")</f>
        <v/>
      </c>
      <c r="AE1844" s="10">
        <f>REPT(" ",10)</f>
        <v/>
      </c>
      <c r="AF1844" s="10">
        <f>REPT(" ",20)</f>
        <v/>
      </c>
      <c r="AG1844" s="54">
        <f>REPT(" ",18-LEN(FIXED(F1844,2,TRUE)))&amp;FIXED(F1844,2,TRUE)</f>
        <v/>
      </c>
      <c r="AH1844" s="10">
        <f>LEN(AC1844)+LEN(AG1844)</f>
        <v/>
      </c>
      <c r="AI1844" s="10">
        <f>LEN(L1844)</f>
        <v/>
      </c>
    </row>
    <row r="1845">
      <c r="J1845" s="12">
        <f>IF(F1845&lt;&gt;0,"LANÇAR","")</f>
        <v/>
      </c>
      <c r="L1845" s="13">
        <f>N1845&amp;O1845&amp;P1845&amp;Q1845&amp;R1845&amp;S1845&amp;T1845&amp;U1845&amp;V1845&amp;W1845&amp;X1845&amp;Y1845&amp;Z1845&amp;AA1845&amp;AB1845&amp;AC1845&amp;AD1845&amp;AE1845&amp;AF1845&amp;AG1845</f>
        <v/>
      </c>
      <c r="N1845" s="10">
        <f>TEXT($B$6,"00")</f>
        <v/>
      </c>
      <c r="O1845" s="10">
        <f>REPT(" ",8)</f>
        <v/>
      </c>
      <c r="P1845" s="10">
        <f>RIGHT($B$4,2)</f>
        <v/>
      </c>
      <c r="Q1845" s="10">
        <f>RIGHT($B$5,3)</f>
        <v/>
      </c>
      <c r="R1845" s="10">
        <f>IF(A1845="D",LEFT(UPPER(B1845)&amp;REPT(" ",20),20),REPT(" ",20))</f>
        <v/>
      </c>
      <c r="S1845" s="10">
        <f>IF(A1845="D",LEFT(UPPER(C1845)&amp;REPT(" ",10),10)," ")</f>
        <v/>
      </c>
      <c r="T1845" s="10">
        <f>IF(A1845="D",LEFT(UPPER(D1845)&amp;REPT(" ",2),2)," ")</f>
        <v/>
      </c>
      <c r="U1845" s="10">
        <f>IF(A1845="D",LEFT(UPPER(E1845)&amp;REPT(" ",15),15)," ")</f>
        <v/>
      </c>
      <c r="V1845" s="10">
        <f>REPT(" ",24)</f>
        <v/>
      </c>
      <c r="W1845" s="10">
        <f>IF(A1845="c",LEFT(UPPER(B1845)&amp;REPT(" ",20),20),REPT(" ",20))</f>
        <v/>
      </c>
      <c r="X1845" s="10">
        <f>IF(A1845="C",LEFT(UPPER(C1845)&amp;REPT(" ",10),10)," ")</f>
        <v/>
      </c>
      <c r="Y1845" s="10">
        <f>IF(A1845="C",LEFT(UPPER(D1845)&amp;REPT(" ",2),2)," ")</f>
        <v/>
      </c>
      <c r="Z1845" s="10">
        <f>IF(A1845="C",LEFT(UPPER(E1845)&amp;REPT(" ",15),15)," ")</f>
        <v/>
      </c>
      <c r="AA1845" s="10">
        <f>REPT(" ",8)</f>
        <v/>
      </c>
      <c r="AB1845" s="10">
        <f>REPT(" ",4)</f>
        <v/>
      </c>
      <c r="AC1845" s="10">
        <f>LEFT(UPPER(H1845)&amp;REPT(" ",250),250)</f>
        <v/>
      </c>
      <c r="AD1845" s="10">
        <f>TEXT($G$2,"dd/mm/aaaa")</f>
        <v/>
      </c>
      <c r="AE1845" s="10">
        <f>REPT(" ",10)</f>
        <v/>
      </c>
      <c r="AF1845" s="10">
        <f>REPT(" ",20)</f>
        <v/>
      </c>
      <c r="AG1845" s="54">
        <f>REPT(" ",18-LEN(FIXED(F1845,2,TRUE)))&amp;FIXED(F1845,2,TRUE)</f>
        <v/>
      </c>
      <c r="AH1845" s="10">
        <f>LEN(AC1845)+LEN(AG1845)</f>
        <v/>
      </c>
      <c r="AI1845" s="10">
        <f>LEN(L1845)</f>
        <v/>
      </c>
    </row>
    <row r="1846">
      <c r="J1846" s="12">
        <f>IF(F1846&lt;&gt;0,"LANÇAR","")</f>
        <v/>
      </c>
      <c r="L1846" s="13">
        <f>N1846&amp;O1846&amp;P1846&amp;Q1846&amp;R1846&amp;S1846&amp;T1846&amp;U1846&amp;V1846&amp;W1846&amp;X1846&amp;Y1846&amp;Z1846&amp;AA1846&amp;AB1846&amp;AC1846&amp;AD1846&amp;AE1846&amp;AF1846&amp;AG1846</f>
        <v/>
      </c>
      <c r="N1846" s="10">
        <f>TEXT($B$6,"00")</f>
        <v/>
      </c>
      <c r="O1846" s="10">
        <f>REPT(" ",8)</f>
        <v/>
      </c>
      <c r="P1846" s="10">
        <f>RIGHT($B$4,2)</f>
        <v/>
      </c>
      <c r="Q1846" s="10">
        <f>RIGHT($B$5,3)</f>
        <v/>
      </c>
      <c r="R1846" s="10">
        <f>IF(A1846="D",LEFT(UPPER(B1846)&amp;REPT(" ",20),20),REPT(" ",20))</f>
        <v/>
      </c>
      <c r="S1846" s="10">
        <f>IF(A1846="D",LEFT(UPPER(C1846)&amp;REPT(" ",10),10)," ")</f>
        <v/>
      </c>
      <c r="T1846" s="10">
        <f>IF(A1846="D",LEFT(UPPER(D1846)&amp;REPT(" ",2),2)," ")</f>
        <v/>
      </c>
      <c r="U1846" s="10">
        <f>IF(A1846="D",LEFT(UPPER(E1846)&amp;REPT(" ",15),15)," ")</f>
        <v/>
      </c>
      <c r="V1846" s="10">
        <f>REPT(" ",24)</f>
        <v/>
      </c>
      <c r="W1846" s="10">
        <f>IF(A1846="c",LEFT(UPPER(B1846)&amp;REPT(" ",20),20),REPT(" ",20))</f>
        <v/>
      </c>
      <c r="X1846" s="10">
        <f>IF(A1846="C",LEFT(UPPER(C1846)&amp;REPT(" ",10),10)," ")</f>
        <v/>
      </c>
      <c r="Y1846" s="10">
        <f>IF(A1846="C",LEFT(UPPER(D1846)&amp;REPT(" ",2),2)," ")</f>
        <v/>
      </c>
      <c r="Z1846" s="10">
        <f>IF(A1846="C",LEFT(UPPER(E1846)&amp;REPT(" ",15),15)," ")</f>
        <v/>
      </c>
      <c r="AA1846" s="10">
        <f>REPT(" ",8)</f>
        <v/>
      </c>
      <c r="AB1846" s="10">
        <f>REPT(" ",4)</f>
        <v/>
      </c>
      <c r="AC1846" s="10">
        <f>LEFT(UPPER(H1846)&amp;REPT(" ",250),250)</f>
        <v/>
      </c>
      <c r="AD1846" s="10">
        <f>TEXT($G$2,"dd/mm/aaaa")</f>
        <v/>
      </c>
      <c r="AE1846" s="10">
        <f>REPT(" ",10)</f>
        <v/>
      </c>
      <c r="AF1846" s="10">
        <f>REPT(" ",20)</f>
        <v/>
      </c>
      <c r="AG1846" s="54">
        <f>REPT(" ",18-LEN(FIXED(F1846,2,TRUE)))&amp;FIXED(F1846,2,TRUE)</f>
        <v/>
      </c>
      <c r="AH1846" s="10">
        <f>LEN(AC1846)+LEN(AG1846)</f>
        <v/>
      </c>
      <c r="AI1846" s="10">
        <f>LEN(L1846)</f>
        <v/>
      </c>
    </row>
    <row r="1847">
      <c r="J1847" s="12">
        <f>IF(F1847&lt;&gt;0,"LANÇAR","")</f>
        <v/>
      </c>
      <c r="L1847" s="13">
        <f>N1847&amp;O1847&amp;P1847&amp;Q1847&amp;R1847&amp;S1847&amp;T1847&amp;U1847&amp;V1847&amp;W1847&amp;X1847&amp;Y1847&amp;Z1847&amp;AA1847&amp;AB1847&amp;AC1847&amp;AD1847&amp;AE1847&amp;AF1847&amp;AG1847</f>
        <v/>
      </c>
      <c r="N1847" s="10">
        <f>TEXT($B$6,"00")</f>
        <v/>
      </c>
      <c r="O1847" s="10">
        <f>REPT(" ",8)</f>
        <v/>
      </c>
      <c r="P1847" s="10">
        <f>RIGHT($B$4,2)</f>
        <v/>
      </c>
      <c r="Q1847" s="10">
        <f>RIGHT($B$5,3)</f>
        <v/>
      </c>
      <c r="R1847" s="10">
        <f>IF(A1847="D",LEFT(UPPER(B1847)&amp;REPT(" ",20),20),REPT(" ",20))</f>
        <v/>
      </c>
      <c r="S1847" s="10">
        <f>IF(A1847="D",LEFT(UPPER(C1847)&amp;REPT(" ",10),10)," ")</f>
        <v/>
      </c>
      <c r="T1847" s="10">
        <f>IF(A1847="D",LEFT(UPPER(D1847)&amp;REPT(" ",2),2)," ")</f>
        <v/>
      </c>
      <c r="U1847" s="10">
        <f>IF(A1847="D",LEFT(UPPER(E1847)&amp;REPT(" ",15),15)," ")</f>
        <v/>
      </c>
      <c r="V1847" s="10">
        <f>REPT(" ",24)</f>
        <v/>
      </c>
      <c r="W1847" s="10">
        <f>IF(A1847="c",LEFT(UPPER(B1847)&amp;REPT(" ",20),20),REPT(" ",20))</f>
        <v/>
      </c>
      <c r="X1847" s="10">
        <f>IF(A1847="C",LEFT(UPPER(C1847)&amp;REPT(" ",10),10)," ")</f>
        <v/>
      </c>
      <c r="Y1847" s="10">
        <f>IF(A1847="C",LEFT(UPPER(D1847)&amp;REPT(" ",2),2)," ")</f>
        <v/>
      </c>
      <c r="Z1847" s="10">
        <f>IF(A1847="C",LEFT(UPPER(E1847)&amp;REPT(" ",15),15)," ")</f>
        <v/>
      </c>
      <c r="AA1847" s="10">
        <f>REPT(" ",8)</f>
        <v/>
      </c>
      <c r="AB1847" s="10">
        <f>REPT(" ",4)</f>
        <v/>
      </c>
      <c r="AC1847" s="10">
        <f>LEFT(UPPER(H1847)&amp;REPT(" ",250),250)</f>
        <v/>
      </c>
      <c r="AD1847" s="10">
        <f>TEXT($G$2,"dd/mm/aaaa")</f>
        <v/>
      </c>
      <c r="AE1847" s="10">
        <f>REPT(" ",10)</f>
        <v/>
      </c>
      <c r="AF1847" s="10">
        <f>REPT(" ",20)</f>
        <v/>
      </c>
      <c r="AG1847" s="54">
        <f>REPT(" ",18-LEN(FIXED(F1847,2,TRUE)))&amp;FIXED(F1847,2,TRUE)</f>
        <v/>
      </c>
      <c r="AH1847" s="10">
        <f>LEN(AC1847)+LEN(AG1847)</f>
        <v/>
      </c>
      <c r="AI1847" s="10">
        <f>LEN(L1847)</f>
        <v/>
      </c>
    </row>
    <row r="1848">
      <c r="J1848" s="12">
        <f>IF(F1848&lt;&gt;0,"LANÇAR","")</f>
        <v/>
      </c>
      <c r="L1848" s="13">
        <f>N1848&amp;O1848&amp;P1848&amp;Q1848&amp;R1848&amp;S1848&amp;T1848&amp;U1848&amp;V1848&amp;W1848&amp;X1848&amp;Y1848&amp;Z1848&amp;AA1848&amp;AB1848&amp;AC1848&amp;AD1848&amp;AE1848&amp;AF1848&amp;AG1848</f>
        <v/>
      </c>
      <c r="N1848" s="10">
        <f>TEXT($B$6,"00")</f>
        <v/>
      </c>
      <c r="O1848" s="10">
        <f>REPT(" ",8)</f>
        <v/>
      </c>
      <c r="P1848" s="10">
        <f>RIGHT($B$4,2)</f>
        <v/>
      </c>
      <c r="Q1848" s="10">
        <f>RIGHT($B$5,3)</f>
        <v/>
      </c>
      <c r="R1848" s="10">
        <f>IF(A1848="D",LEFT(UPPER(B1848)&amp;REPT(" ",20),20),REPT(" ",20))</f>
        <v/>
      </c>
      <c r="S1848" s="10">
        <f>IF(A1848="D",LEFT(UPPER(C1848)&amp;REPT(" ",10),10)," ")</f>
        <v/>
      </c>
      <c r="T1848" s="10">
        <f>IF(A1848="D",LEFT(UPPER(D1848)&amp;REPT(" ",2),2)," ")</f>
        <v/>
      </c>
      <c r="U1848" s="10">
        <f>IF(A1848="D",LEFT(UPPER(E1848)&amp;REPT(" ",15),15)," ")</f>
        <v/>
      </c>
      <c r="V1848" s="10">
        <f>REPT(" ",24)</f>
        <v/>
      </c>
      <c r="W1848" s="10">
        <f>IF(A1848="c",LEFT(UPPER(B1848)&amp;REPT(" ",20),20),REPT(" ",20))</f>
        <v/>
      </c>
      <c r="X1848" s="10">
        <f>IF(A1848="C",LEFT(UPPER(C1848)&amp;REPT(" ",10),10)," ")</f>
        <v/>
      </c>
      <c r="Y1848" s="10">
        <f>IF(A1848="C",LEFT(UPPER(D1848)&amp;REPT(" ",2),2)," ")</f>
        <v/>
      </c>
      <c r="Z1848" s="10">
        <f>IF(A1848="C",LEFT(UPPER(E1848)&amp;REPT(" ",15),15)," ")</f>
        <v/>
      </c>
      <c r="AA1848" s="10">
        <f>REPT(" ",8)</f>
        <v/>
      </c>
      <c r="AB1848" s="10">
        <f>REPT(" ",4)</f>
        <v/>
      </c>
      <c r="AC1848" s="10">
        <f>LEFT(UPPER(H1848)&amp;REPT(" ",250),250)</f>
        <v/>
      </c>
      <c r="AD1848" s="10">
        <f>TEXT($G$2,"dd/mm/aaaa")</f>
        <v/>
      </c>
      <c r="AE1848" s="10">
        <f>REPT(" ",10)</f>
        <v/>
      </c>
      <c r="AF1848" s="10">
        <f>REPT(" ",20)</f>
        <v/>
      </c>
      <c r="AG1848" s="54">
        <f>REPT(" ",18-LEN(FIXED(F1848,2,TRUE)))&amp;FIXED(F1848,2,TRUE)</f>
        <v/>
      </c>
      <c r="AH1848" s="10">
        <f>LEN(AC1848)+LEN(AG1848)</f>
        <v/>
      </c>
      <c r="AI1848" s="10">
        <f>LEN(L1848)</f>
        <v/>
      </c>
    </row>
    <row r="1849">
      <c r="J1849" s="12">
        <f>IF(F1849&lt;&gt;0,"LANÇAR","")</f>
        <v/>
      </c>
      <c r="L1849" s="13">
        <f>N1849&amp;O1849&amp;P1849&amp;Q1849&amp;R1849&amp;S1849&amp;T1849&amp;U1849&amp;V1849&amp;W1849&amp;X1849&amp;Y1849&amp;Z1849&amp;AA1849&amp;AB1849&amp;AC1849&amp;AD1849&amp;AE1849&amp;AF1849&amp;AG1849</f>
        <v/>
      </c>
      <c r="N1849" s="10">
        <f>TEXT($B$6,"00")</f>
        <v/>
      </c>
      <c r="O1849" s="10">
        <f>REPT(" ",8)</f>
        <v/>
      </c>
      <c r="P1849" s="10">
        <f>RIGHT($B$4,2)</f>
        <v/>
      </c>
      <c r="Q1849" s="10">
        <f>RIGHT($B$5,3)</f>
        <v/>
      </c>
      <c r="R1849" s="10">
        <f>IF(A1849="D",LEFT(UPPER(B1849)&amp;REPT(" ",20),20),REPT(" ",20))</f>
        <v/>
      </c>
      <c r="S1849" s="10">
        <f>IF(A1849="D",LEFT(UPPER(C1849)&amp;REPT(" ",10),10)," ")</f>
        <v/>
      </c>
      <c r="T1849" s="10">
        <f>IF(A1849="D",LEFT(UPPER(D1849)&amp;REPT(" ",2),2)," ")</f>
        <v/>
      </c>
      <c r="U1849" s="10">
        <f>IF(A1849="D",LEFT(UPPER(E1849)&amp;REPT(" ",15),15)," ")</f>
        <v/>
      </c>
      <c r="V1849" s="10">
        <f>REPT(" ",24)</f>
        <v/>
      </c>
      <c r="W1849" s="10">
        <f>IF(A1849="c",LEFT(UPPER(B1849)&amp;REPT(" ",20),20),REPT(" ",20))</f>
        <v/>
      </c>
      <c r="X1849" s="10">
        <f>IF(A1849="C",LEFT(UPPER(C1849)&amp;REPT(" ",10),10)," ")</f>
        <v/>
      </c>
      <c r="Y1849" s="10">
        <f>IF(A1849="C",LEFT(UPPER(D1849)&amp;REPT(" ",2),2)," ")</f>
        <v/>
      </c>
      <c r="Z1849" s="10">
        <f>IF(A1849="C",LEFT(UPPER(E1849)&amp;REPT(" ",15),15)," ")</f>
        <v/>
      </c>
      <c r="AA1849" s="10">
        <f>REPT(" ",8)</f>
        <v/>
      </c>
      <c r="AB1849" s="10">
        <f>REPT(" ",4)</f>
        <v/>
      </c>
      <c r="AC1849" s="10">
        <f>LEFT(UPPER(H1849)&amp;REPT(" ",250),250)</f>
        <v/>
      </c>
      <c r="AD1849" s="10">
        <f>TEXT($G$2,"dd/mm/aaaa")</f>
        <v/>
      </c>
      <c r="AE1849" s="10">
        <f>REPT(" ",10)</f>
        <v/>
      </c>
      <c r="AF1849" s="10">
        <f>REPT(" ",20)</f>
        <v/>
      </c>
      <c r="AG1849" s="54">
        <f>REPT(" ",18-LEN(FIXED(F1849,2,TRUE)))&amp;FIXED(F1849,2,TRUE)</f>
        <v/>
      </c>
      <c r="AH1849" s="10">
        <f>LEN(AC1849)+LEN(AG1849)</f>
        <v/>
      </c>
      <c r="AI1849" s="10">
        <f>LEN(L1849)</f>
        <v/>
      </c>
    </row>
    <row r="1850">
      <c r="J1850" s="12">
        <f>IF(F1850&lt;&gt;0,"LANÇAR","")</f>
        <v/>
      </c>
      <c r="L1850" s="13">
        <f>N1850&amp;O1850&amp;P1850&amp;Q1850&amp;R1850&amp;S1850&amp;T1850&amp;U1850&amp;V1850&amp;W1850&amp;X1850&amp;Y1850&amp;Z1850&amp;AA1850&amp;AB1850&amp;AC1850&amp;AD1850&amp;AE1850&amp;AF1850&amp;AG1850</f>
        <v/>
      </c>
      <c r="N1850" s="10">
        <f>TEXT($B$6,"00")</f>
        <v/>
      </c>
      <c r="O1850" s="10">
        <f>REPT(" ",8)</f>
        <v/>
      </c>
      <c r="P1850" s="10">
        <f>RIGHT($B$4,2)</f>
        <v/>
      </c>
      <c r="Q1850" s="10">
        <f>RIGHT($B$5,3)</f>
        <v/>
      </c>
      <c r="R1850" s="10">
        <f>IF(A1850="D",LEFT(UPPER(B1850)&amp;REPT(" ",20),20),REPT(" ",20))</f>
        <v/>
      </c>
      <c r="S1850" s="10">
        <f>IF(A1850="D",LEFT(UPPER(C1850)&amp;REPT(" ",10),10)," ")</f>
        <v/>
      </c>
      <c r="T1850" s="10">
        <f>IF(A1850="D",LEFT(UPPER(D1850)&amp;REPT(" ",2),2)," ")</f>
        <v/>
      </c>
      <c r="U1850" s="10">
        <f>IF(A1850="D",LEFT(UPPER(E1850)&amp;REPT(" ",15),15)," ")</f>
        <v/>
      </c>
      <c r="V1850" s="10">
        <f>REPT(" ",24)</f>
        <v/>
      </c>
      <c r="W1850" s="10">
        <f>IF(A1850="c",LEFT(UPPER(B1850)&amp;REPT(" ",20),20),REPT(" ",20))</f>
        <v/>
      </c>
      <c r="X1850" s="10">
        <f>IF(A1850="C",LEFT(UPPER(C1850)&amp;REPT(" ",10),10)," ")</f>
        <v/>
      </c>
      <c r="Y1850" s="10">
        <f>IF(A1850="C",LEFT(UPPER(D1850)&amp;REPT(" ",2),2)," ")</f>
        <v/>
      </c>
      <c r="Z1850" s="10">
        <f>IF(A1850="C",LEFT(UPPER(E1850)&amp;REPT(" ",15),15)," ")</f>
        <v/>
      </c>
      <c r="AA1850" s="10">
        <f>REPT(" ",8)</f>
        <v/>
      </c>
      <c r="AB1850" s="10">
        <f>REPT(" ",4)</f>
        <v/>
      </c>
      <c r="AC1850" s="10">
        <f>LEFT(UPPER(H1850)&amp;REPT(" ",250),250)</f>
        <v/>
      </c>
      <c r="AD1850" s="10">
        <f>TEXT($G$2,"dd/mm/aaaa")</f>
        <v/>
      </c>
      <c r="AE1850" s="10">
        <f>REPT(" ",10)</f>
        <v/>
      </c>
      <c r="AF1850" s="10">
        <f>REPT(" ",20)</f>
        <v/>
      </c>
      <c r="AG1850" s="54">
        <f>REPT(" ",18-LEN(FIXED(F1850,2,TRUE)))&amp;FIXED(F1850,2,TRUE)</f>
        <v/>
      </c>
      <c r="AH1850" s="10">
        <f>LEN(AC1850)+LEN(AG1850)</f>
        <v/>
      </c>
      <c r="AI1850" s="10">
        <f>LEN(L1850)</f>
        <v/>
      </c>
    </row>
    <row r="1851">
      <c r="J1851" s="12">
        <f>IF(F1851&lt;&gt;0,"LANÇAR","")</f>
        <v/>
      </c>
      <c r="L1851" s="13">
        <f>N1851&amp;O1851&amp;P1851&amp;Q1851&amp;R1851&amp;S1851&amp;T1851&amp;U1851&amp;V1851&amp;W1851&amp;X1851&amp;Y1851&amp;Z1851&amp;AA1851&amp;AB1851&amp;AC1851&amp;AD1851&amp;AE1851&amp;AF1851&amp;AG1851</f>
        <v/>
      </c>
      <c r="N1851" s="10">
        <f>TEXT($B$6,"00")</f>
        <v/>
      </c>
      <c r="O1851" s="10">
        <f>REPT(" ",8)</f>
        <v/>
      </c>
      <c r="P1851" s="10">
        <f>RIGHT($B$4,2)</f>
        <v/>
      </c>
      <c r="Q1851" s="10">
        <f>RIGHT($B$5,3)</f>
        <v/>
      </c>
      <c r="R1851" s="10">
        <f>IF(A1851="D",LEFT(UPPER(B1851)&amp;REPT(" ",20),20),REPT(" ",20))</f>
        <v/>
      </c>
      <c r="S1851" s="10">
        <f>IF(A1851="D",LEFT(UPPER(C1851)&amp;REPT(" ",10),10)," ")</f>
        <v/>
      </c>
      <c r="T1851" s="10">
        <f>IF(A1851="D",LEFT(UPPER(D1851)&amp;REPT(" ",2),2)," ")</f>
        <v/>
      </c>
      <c r="U1851" s="10">
        <f>IF(A1851="D",LEFT(UPPER(E1851)&amp;REPT(" ",15),15)," ")</f>
        <v/>
      </c>
      <c r="V1851" s="10">
        <f>REPT(" ",24)</f>
        <v/>
      </c>
      <c r="W1851" s="10">
        <f>IF(A1851="c",LEFT(UPPER(B1851)&amp;REPT(" ",20),20),REPT(" ",20))</f>
        <v/>
      </c>
      <c r="X1851" s="10">
        <f>IF(A1851="C",LEFT(UPPER(C1851)&amp;REPT(" ",10),10)," ")</f>
        <v/>
      </c>
      <c r="Y1851" s="10">
        <f>IF(A1851="C",LEFT(UPPER(D1851)&amp;REPT(" ",2),2)," ")</f>
        <v/>
      </c>
      <c r="Z1851" s="10">
        <f>IF(A1851="C",LEFT(UPPER(E1851)&amp;REPT(" ",15),15)," ")</f>
        <v/>
      </c>
      <c r="AA1851" s="10">
        <f>REPT(" ",8)</f>
        <v/>
      </c>
      <c r="AB1851" s="10">
        <f>REPT(" ",4)</f>
        <v/>
      </c>
      <c r="AC1851" s="10">
        <f>LEFT(UPPER(H1851)&amp;REPT(" ",250),250)</f>
        <v/>
      </c>
      <c r="AD1851" s="10">
        <f>TEXT($G$2,"dd/mm/aaaa")</f>
        <v/>
      </c>
      <c r="AE1851" s="10">
        <f>REPT(" ",10)</f>
        <v/>
      </c>
      <c r="AF1851" s="10">
        <f>REPT(" ",20)</f>
        <v/>
      </c>
      <c r="AG1851" s="54">
        <f>REPT(" ",18-LEN(FIXED(F1851,2,TRUE)))&amp;FIXED(F1851,2,TRUE)</f>
        <v/>
      </c>
      <c r="AH1851" s="10">
        <f>LEN(AC1851)+LEN(AG1851)</f>
        <v/>
      </c>
      <c r="AI1851" s="10">
        <f>LEN(L1851)</f>
        <v/>
      </c>
    </row>
    <row r="1852">
      <c r="J1852" s="12">
        <f>IF(F1852&lt;&gt;0,"LANÇAR","")</f>
        <v/>
      </c>
      <c r="L1852" s="13">
        <f>N1852&amp;O1852&amp;P1852&amp;Q1852&amp;R1852&amp;S1852&amp;T1852&amp;U1852&amp;V1852&amp;W1852&amp;X1852&amp;Y1852&amp;Z1852&amp;AA1852&amp;AB1852&amp;AC1852&amp;AD1852&amp;AE1852&amp;AF1852&amp;AG1852</f>
        <v/>
      </c>
      <c r="N1852" s="10">
        <f>TEXT($B$6,"00")</f>
        <v/>
      </c>
      <c r="O1852" s="10">
        <f>REPT(" ",8)</f>
        <v/>
      </c>
      <c r="P1852" s="10">
        <f>RIGHT($B$4,2)</f>
        <v/>
      </c>
      <c r="Q1852" s="10">
        <f>RIGHT($B$5,3)</f>
        <v/>
      </c>
      <c r="R1852" s="10">
        <f>IF(A1852="D",LEFT(UPPER(B1852)&amp;REPT(" ",20),20),REPT(" ",20))</f>
        <v/>
      </c>
      <c r="S1852" s="10">
        <f>IF(A1852="D",LEFT(UPPER(C1852)&amp;REPT(" ",10),10)," ")</f>
        <v/>
      </c>
      <c r="T1852" s="10">
        <f>IF(A1852="D",LEFT(UPPER(D1852)&amp;REPT(" ",2),2)," ")</f>
        <v/>
      </c>
      <c r="U1852" s="10">
        <f>IF(A1852="D",LEFT(UPPER(E1852)&amp;REPT(" ",15),15)," ")</f>
        <v/>
      </c>
      <c r="V1852" s="10">
        <f>REPT(" ",24)</f>
        <v/>
      </c>
      <c r="W1852" s="10">
        <f>IF(A1852="c",LEFT(UPPER(B1852)&amp;REPT(" ",20),20),REPT(" ",20))</f>
        <v/>
      </c>
      <c r="X1852" s="10">
        <f>IF(A1852="C",LEFT(UPPER(C1852)&amp;REPT(" ",10),10)," ")</f>
        <v/>
      </c>
      <c r="Y1852" s="10">
        <f>IF(A1852="C",LEFT(UPPER(D1852)&amp;REPT(" ",2),2)," ")</f>
        <v/>
      </c>
      <c r="Z1852" s="10">
        <f>IF(A1852="C",LEFT(UPPER(E1852)&amp;REPT(" ",15),15)," ")</f>
        <v/>
      </c>
      <c r="AA1852" s="10">
        <f>REPT(" ",8)</f>
        <v/>
      </c>
      <c r="AB1852" s="10">
        <f>REPT(" ",4)</f>
        <v/>
      </c>
      <c r="AC1852" s="10">
        <f>LEFT(UPPER(H1852)&amp;REPT(" ",250),250)</f>
        <v/>
      </c>
      <c r="AD1852" s="10">
        <f>TEXT($G$2,"dd/mm/aaaa")</f>
        <v/>
      </c>
      <c r="AE1852" s="10">
        <f>REPT(" ",10)</f>
        <v/>
      </c>
      <c r="AF1852" s="10">
        <f>REPT(" ",20)</f>
        <v/>
      </c>
      <c r="AG1852" s="54">
        <f>REPT(" ",18-LEN(FIXED(F1852,2,TRUE)))&amp;FIXED(F1852,2,TRUE)</f>
        <v/>
      </c>
      <c r="AH1852" s="10">
        <f>LEN(AC1852)+LEN(AG1852)</f>
        <v/>
      </c>
      <c r="AI1852" s="10">
        <f>LEN(L1852)</f>
        <v/>
      </c>
    </row>
    <row r="1853">
      <c r="J1853" s="12">
        <f>IF(F1853&lt;&gt;0,"LANÇAR","")</f>
        <v/>
      </c>
      <c r="L1853" s="13">
        <f>N1853&amp;O1853&amp;P1853&amp;Q1853&amp;R1853&amp;S1853&amp;T1853&amp;U1853&amp;V1853&amp;W1853&amp;X1853&amp;Y1853&amp;Z1853&amp;AA1853&amp;AB1853&amp;AC1853&amp;AD1853&amp;AE1853&amp;AF1853&amp;AG1853</f>
        <v/>
      </c>
      <c r="N1853" s="10">
        <f>TEXT($B$6,"00")</f>
        <v/>
      </c>
      <c r="O1853" s="10">
        <f>REPT(" ",8)</f>
        <v/>
      </c>
      <c r="P1853" s="10">
        <f>RIGHT($B$4,2)</f>
        <v/>
      </c>
      <c r="Q1853" s="10">
        <f>RIGHT($B$5,3)</f>
        <v/>
      </c>
      <c r="R1853" s="10">
        <f>IF(A1853="D",LEFT(UPPER(B1853)&amp;REPT(" ",20),20),REPT(" ",20))</f>
        <v/>
      </c>
      <c r="S1853" s="10">
        <f>IF(A1853="D",LEFT(UPPER(C1853)&amp;REPT(" ",10),10)," ")</f>
        <v/>
      </c>
      <c r="T1853" s="10">
        <f>IF(A1853="D",LEFT(UPPER(D1853)&amp;REPT(" ",2),2)," ")</f>
        <v/>
      </c>
      <c r="U1853" s="10">
        <f>IF(A1853="D",LEFT(UPPER(E1853)&amp;REPT(" ",15),15)," ")</f>
        <v/>
      </c>
      <c r="V1853" s="10">
        <f>REPT(" ",24)</f>
        <v/>
      </c>
      <c r="W1853" s="10">
        <f>IF(A1853="c",LEFT(UPPER(B1853)&amp;REPT(" ",20),20),REPT(" ",20))</f>
        <v/>
      </c>
      <c r="X1853" s="10">
        <f>IF(A1853="C",LEFT(UPPER(C1853)&amp;REPT(" ",10),10)," ")</f>
        <v/>
      </c>
      <c r="Y1853" s="10">
        <f>IF(A1853="C",LEFT(UPPER(D1853)&amp;REPT(" ",2),2)," ")</f>
        <v/>
      </c>
      <c r="Z1853" s="10">
        <f>IF(A1853="C",LEFT(UPPER(E1853)&amp;REPT(" ",15),15)," ")</f>
        <v/>
      </c>
      <c r="AA1853" s="10">
        <f>REPT(" ",8)</f>
        <v/>
      </c>
      <c r="AB1853" s="10">
        <f>REPT(" ",4)</f>
        <v/>
      </c>
      <c r="AC1853" s="10">
        <f>LEFT(UPPER(H1853)&amp;REPT(" ",250),250)</f>
        <v/>
      </c>
      <c r="AD1853" s="10">
        <f>TEXT($G$2,"dd/mm/aaaa")</f>
        <v/>
      </c>
      <c r="AE1853" s="10">
        <f>REPT(" ",10)</f>
        <v/>
      </c>
      <c r="AF1853" s="10">
        <f>REPT(" ",20)</f>
        <v/>
      </c>
      <c r="AG1853" s="54">
        <f>REPT(" ",18-LEN(FIXED(F1853,2,TRUE)))&amp;FIXED(F1853,2,TRUE)</f>
        <v/>
      </c>
      <c r="AH1853" s="10">
        <f>LEN(AC1853)+LEN(AG1853)</f>
        <v/>
      </c>
      <c r="AI1853" s="10">
        <f>LEN(L1853)</f>
        <v/>
      </c>
    </row>
    <row r="1854">
      <c r="J1854" s="12">
        <f>IF(F1854&lt;&gt;0,"LANÇAR","")</f>
        <v/>
      </c>
      <c r="L1854" s="13">
        <f>N1854&amp;O1854&amp;P1854&amp;Q1854&amp;R1854&amp;S1854&amp;T1854&amp;U1854&amp;V1854&amp;W1854&amp;X1854&amp;Y1854&amp;Z1854&amp;AA1854&amp;AB1854&amp;AC1854&amp;AD1854&amp;AE1854&amp;AF1854&amp;AG1854</f>
        <v/>
      </c>
      <c r="N1854" s="10">
        <f>TEXT($B$6,"00")</f>
        <v/>
      </c>
      <c r="O1854" s="10">
        <f>REPT(" ",8)</f>
        <v/>
      </c>
      <c r="P1854" s="10">
        <f>RIGHT($B$4,2)</f>
        <v/>
      </c>
      <c r="Q1854" s="10">
        <f>RIGHT($B$5,3)</f>
        <v/>
      </c>
      <c r="R1854" s="10">
        <f>IF(A1854="D",LEFT(UPPER(B1854)&amp;REPT(" ",20),20),REPT(" ",20))</f>
        <v/>
      </c>
      <c r="S1854" s="10">
        <f>IF(A1854="D",LEFT(UPPER(C1854)&amp;REPT(" ",10),10)," ")</f>
        <v/>
      </c>
      <c r="T1854" s="10">
        <f>IF(A1854="D",LEFT(UPPER(D1854)&amp;REPT(" ",2),2)," ")</f>
        <v/>
      </c>
      <c r="U1854" s="10">
        <f>IF(A1854="D",LEFT(UPPER(E1854)&amp;REPT(" ",15),15)," ")</f>
        <v/>
      </c>
      <c r="V1854" s="10">
        <f>REPT(" ",24)</f>
        <v/>
      </c>
      <c r="W1854" s="10">
        <f>IF(A1854="c",LEFT(UPPER(B1854)&amp;REPT(" ",20),20),REPT(" ",20))</f>
        <v/>
      </c>
      <c r="X1854" s="10">
        <f>IF(A1854="C",LEFT(UPPER(C1854)&amp;REPT(" ",10),10)," ")</f>
        <v/>
      </c>
      <c r="Y1854" s="10">
        <f>IF(A1854="C",LEFT(UPPER(D1854)&amp;REPT(" ",2),2)," ")</f>
        <v/>
      </c>
      <c r="Z1854" s="10">
        <f>IF(A1854="C",LEFT(UPPER(E1854)&amp;REPT(" ",15),15)," ")</f>
        <v/>
      </c>
      <c r="AA1854" s="10">
        <f>REPT(" ",8)</f>
        <v/>
      </c>
      <c r="AB1854" s="10">
        <f>REPT(" ",4)</f>
        <v/>
      </c>
      <c r="AC1854" s="10">
        <f>LEFT(UPPER(H1854)&amp;REPT(" ",250),250)</f>
        <v/>
      </c>
      <c r="AD1854" s="10">
        <f>TEXT($G$2,"dd/mm/aaaa")</f>
        <v/>
      </c>
      <c r="AE1854" s="10">
        <f>REPT(" ",10)</f>
        <v/>
      </c>
      <c r="AF1854" s="10">
        <f>REPT(" ",20)</f>
        <v/>
      </c>
      <c r="AG1854" s="54">
        <f>REPT(" ",18-LEN(FIXED(F1854,2,TRUE)))&amp;FIXED(F1854,2,TRUE)</f>
        <v/>
      </c>
      <c r="AH1854" s="10">
        <f>LEN(AC1854)+LEN(AG1854)</f>
        <v/>
      </c>
      <c r="AI1854" s="10">
        <f>LEN(L1854)</f>
        <v/>
      </c>
    </row>
    <row r="1855">
      <c r="J1855" s="12">
        <f>IF(F1855&lt;&gt;0,"LANÇAR","")</f>
        <v/>
      </c>
      <c r="L1855" s="13">
        <f>N1855&amp;O1855&amp;P1855&amp;Q1855&amp;R1855&amp;S1855&amp;T1855&amp;U1855&amp;V1855&amp;W1855&amp;X1855&amp;Y1855&amp;Z1855&amp;AA1855&amp;AB1855&amp;AC1855&amp;AD1855&amp;AE1855&amp;AF1855&amp;AG1855</f>
        <v/>
      </c>
      <c r="N1855" s="10">
        <f>TEXT($B$6,"00")</f>
        <v/>
      </c>
      <c r="O1855" s="10">
        <f>REPT(" ",8)</f>
        <v/>
      </c>
      <c r="P1855" s="10">
        <f>RIGHT($B$4,2)</f>
        <v/>
      </c>
      <c r="Q1855" s="10">
        <f>RIGHT($B$5,3)</f>
        <v/>
      </c>
      <c r="R1855" s="10">
        <f>IF(A1855="D",LEFT(UPPER(B1855)&amp;REPT(" ",20),20),REPT(" ",20))</f>
        <v/>
      </c>
      <c r="S1855" s="10">
        <f>IF(A1855="D",LEFT(UPPER(C1855)&amp;REPT(" ",10),10)," ")</f>
        <v/>
      </c>
      <c r="T1855" s="10">
        <f>IF(A1855="D",LEFT(UPPER(D1855)&amp;REPT(" ",2),2)," ")</f>
        <v/>
      </c>
      <c r="U1855" s="10">
        <f>IF(A1855="D",LEFT(UPPER(E1855)&amp;REPT(" ",15),15)," ")</f>
        <v/>
      </c>
      <c r="V1855" s="10">
        <f>REPT(" ",24)</f>
        <v/>
      </c>
      <c r="W1855" s="10">
        <f>IF(A1855="c",LEFT(UPPER(B1855)&amp;REPT(" ",20),20),REPT(" ",20))</f>
        <v/>
      </c>
      <c r="X1855" s="10">
        <f>IF(A1855="C",LEFT(UPPER(C1855)&amp;REPT(" ",10),10)," ")</f>
        <v/>
      </c>
      <c r="Y1855" s="10">
        <f>IF(A1855="C",LEFT(UPPER(D1855)&amp;REPT(" ",2),2)," ")</f>
        <v/>
      </c>
      <c r="Z1855" s="10">
        <f>IF(A1855="C",LEFT(UPPER(E1855)&amp;REPT(" ",15),15)," ")</f>
        <v/>
      </c>
      <c r="AA1855" s="10">
        <f>REPT(" ",8)</f>
        <v/>
      </c>
      <c r="AB1855" s="10">
        <f>REPT(" ",4)</f>
        <v/>
      </c>
      <c r="AC1855" s="10">
        <f>LEFT(UPPER(H1855)&amp;REPT(" ",250),250)</f>
        <v/>
      </c>
      <c r="AD1855" s="10">
        <f>TEXT($G$2,"dd/mm/aaaa")</f>
        <v/>
      </c>
      <c r="AE1855" s="10">
        <f>REPT(" ",10)</f>
        <v/>
      </c>
      <c r="AF1855" s="10">
        <f>REPT(" ",20)</f>
        <v/>
      </c>
      <c r="AG1855" s="54">
        <f>REPT(" ",18-LEN(FIXED(F1855,2,TRUE)))&amp;FIXED(F1855,2,TRUE)</f>
        <v/>
      </c>
      <c r="AH1855" s="10">
        <f>LEN(AC1855)+LEN(AG1855)</f>
        <v/>
      </c>
      <c r="AI1855" s="10">
        <f>LEN(L1855)</f>
        <v/>
      </c>
    </row>
    <row r="1856">
      <c r="J1856" s="12">
        <f>IF(F1856&lt;&gt;0,"LANÇAR","")</f>
        <v/>
      </c>
      <c r="L1856" s="13">
        <f>N1856&amp;O1856&amp;P1856&amp;Q1856&amp;R1856&amp;S1856&amp;T1856&amp;U1856&amp;V1856&amp;W1856&amp;X1856&amp;Y1856&amp;Z1856&amp;AA1856&amp;AB1856&amp;AC1856&amp;AD1856&amp;AE1856&amp;AF1856&amp;AG1856</f>
        <v/>
      </c>
      <c r="N1856" s="10">
        <f>TEXT($B$6,"00")</f>
        <v/>
      </c>
      <c r="O1856" s="10">
        <f>REPT(" ",8)</f>
        <v/>
      </c>
      <c r="P1856" s="10">
        <f>RIGHT($B$4,2)</f>
        <v/>
      </c>
      <c r="Q1856" s="10">
        <f>RIGHT($B$5,3)</f>
        <v/>
      </c>
      <c r="R1856" s="10">
        <f>IF(A1856="D",LEFT(UPPER(B1856)&amp;REPT(" ",20),20),REPT(" ",20))</f>
        <v/>
      </c>
      <c r="S1856" s="10">
        <f>IF(A1856="D",LEFT(UPPER(C1856)&amp;REPT(" ",10),10)," ")</f>
        <v/>
      </c>
      <c r="T1856" s="10">
        <f>IF(A1856="D",LEFT(UPPER(D1856)&amp;REPT(" ",2),2)," ")</f>
        <v/>
      </c>
      <c r="U1856" s="10">
        <f>IF(A1856="D",LEFT(UPPER(E1856)&amp;REPT(" ",15),15)," ")</f>
        <v/>
      </c>
      <c r="V1856" s="10">
        <f>REPT(" ",24)</f>
        <v/>
      </c>
      <c r="W1856" s="10">
        <f>IF(A1856="c",LEFT(UPPER(B1856)&amp;REPT(" ",20),20),REPT(" ",20))</f>
        <v/>
      </c>
      <c r="X1856" s="10">
        <f>IF(A1856="C",LEFT(UPPER(C1856)&amp;REPT(" ",10),10)," ")</f>
        <v/>
      </c>
      <c r="Y1856" s="10">
        <f>IF(A1856="C",LEFT(UPPER(D1856)&amp;REPT(" ",2),2)," ")</f>
        <v/>
      </c>
      <c r="Z1856" s="10">
        <f>IF(A1856="C",LEFT(UPPER(E1856)&amp;REPT(" ",15),15)," ")</f>
        <v/>
      </c>
      <c r="AA1856" s="10">
        <f>REPT(" ",8)</f>
        <v/>
      </c>
      <c r="AB1856" s="10">
        <f>REPT(" ",4)</f>
        <v/>
      </c>
      <c r="AC1856" s="10">
        <f>LEFT(UPPER(H1856)&amp;REPT(" ",250),250)</f>
        <v/>
      </c>
      <c r="AD1856" s="10">
        <f>TEXT($G$2,"dd/mm/aaaa")</f>
        <v/>
      </c>
      <c r="AE1856" s="10">
        <f>REPT(" ",10)</f>
        <v/>
      </c>
      <c r="AF1856" s="10">
        <f>REPT(" ",20)</f>
        <v/>
      </c>
      <c r="AG1856" s="54">
        <f>REPT(" ",18-LEN(FIXED(F1856,2,TRUE)))&amp;FIXED(F1856,2,TRUE)</f>
        <v/>
      </c>
      <c r="AH1856" s="10">
        <f>LEN(AC1856)+LEN(AG1856)</f>
        <v/>
      </c>
      <c r="AI1856" s="10">
        <f>LEN(L1856)</f>
        <v/>
      </c>
    </row>
    <row r="1857">
      <c r="J1857" s="12">
        <f>IF(F1857&lt;&gt;0,"LANÇAR","")</f>
        <v/>
      </c>
      <c r="L1857" s="13">
        <f>N1857&amp;O1857&amp;P1857&amp;Q1857&amp;R1857&amp;S1857&amp;T1857&amp;U1857&amp;V1857&amp;W1857&amp;X1857&amp;Y1857&amp;Z1857&amp;AA1857&amp;AB1857&amp;AC1857&amp;AD1857&amp;AE1857&amp;AF1857&amp;AG1857</f>
        <v/>
      </c>
      <c r="N1857" s="10">
        <f>TEXT($B$6,"00")</f>
        <v/>
      </c>
      <c r="O1857" s="10">
        <f>REPT(" ",8)</f>
        <v/>
      </c>
      <c r="P1857" s="10">
        <f>RIGHT($B$4,2)</f>
        <v/>
      </c>
      <c r="Q1857" s="10">
        <f>RIGHT($B$5,3)</f>
        <v/>
      </c>
      <c r="R1857" s="10">
        <f>IF(A1857="D",LEFT(UPPER(B1857)&amp;REPT(" ",20),20),REPT(" ",20))</f>
        <v/>
      </c>
      <c r="S1857" s="10">
        <f>IF(A1857="D",LEFT(UPPER(C1857)&amp;REPT(" ",10),10)," ")</f>
        <v/>
      </c>
      <c r="T1857" s="10">
        <f>IF(A1857="D",LEFT(UPPER(D1857)&amp;REPT(" ",2),2)," ")</f>
        <v/>
      </c>
      <c r="U1857" s="10">
        <f>IF(A1857="D",LEFT(UPPER(E1857)&amp;REPT(" ",15),15)," ")</f>
        <v/>
      </c>
      <c r="V1857" s="10">
        <f>REPT(" ",24)</f>
        <v/>
      </c>
      <c r="W1857" s="10">
        <f>IF(A1857="c",LEFT(UPPER(B1857)&amp;REPT(" ",20),20),REPT(" ",20))</f>
        <v/>
      </c>
      <c r="X1857" s="10">
        <f>IF(A1857="C",LEFT(UPPER(C1857)&amp;REPT(" ",10),10)," ")</f>
        <v/>
      </c>
      <c r="Y1857" s="10">
        <f>IF(A1857="C",LEFT(UPPER(D1857)&amp;REPT(" ",2),2)," ")</f>
        <v/>
      </c>
      <c r="Z1857" s="10">
        <f>IF(A1857="C",LEFT(UPPER(E1857)&amp;REPT(" ",15),15)," ")</f>
        <v/>
      </c>
      <c r="AA1857" s="10">
        <f>REPT(" ",8)</f>
        <v/>
      </c>
      <c r="AB1857" s="10">
        <f>REPT(" ",4)</f>
        <v/>
      </c>
      <c r="AC1857" s="10">
        <f>LEFT(UPPER(H1857)&amp;REPT(" ",250),250)</f>
        <v/>
      </c>
      <c r="AD1857" s="10">
        <f>TEXT($G$2,"dd/mm/aaaa")</f>
        <v/>
      </c>
      <c r="AE1857" s="10">
        <f>REPT(" ",10)</f>
        <v/>
      </c>
      <c r="AF1857" s="10">
        <f>REPT(" ",20)</f>
        <v/>
      </c>
      <c r="AG1857" s="54">
        <f>REPT(" ",18-LEN(FIXED(F1857,2,TRUE)))&amp;FIXED(F1857,2,TRUE)</f>
        <v/>
      </c>
      <c r="AH1857" s="10">
        <f>LEN(AC1857)+LEN(AG1857)</f>
        <v/>
      </c>
      <c r="AI1857" s="10">
        <f>LEN(L1857)</f>
        <v/>
      </c>
    </row>
    <row r="1858">
      <c r="J1858" s="12">
        <f>IF(F1858&lt;&gt;0,"LANÇAR","")</f>
        <v/>
      </c>
      <c r="L1858" s="13">
        <f>N1858&amp;O1858&amp;P1858&amp;Q1858&amp;R1858&amp;S1858&amp;T1858&amp;U1858&amp;V1858&amp;W1858&amp;X1858&amp;Y1858&amp;Z1858&amp;AA1858&amp;AB1858&amp;AC1858&amp;AD1858&amp;AE1858&amp;AF1858&amp;AG1858</f>
        <v/>
      </c>
      <c r="N1858" s="10">
        <f>TEXT($B$6,"00")</f>
        <v/>
      </c>
      <c r="O1858" s="10">
        <f>REPT(" ",8)</f>
        <v/>
      </c>
      <c r="P1858" s="10">
        <f>RIGHT($B$4,2)</f>
        <v/>
      </c>
      <c r="Q1858" s="10">
        <f>RIGHT($B$5,3)</f>
        <v/>
      </c>
      <c r="R1858" s="10">
        <f>IF(A1858="D",LEFT(UPPER(B1858)&amp;REPT(" ",20),20),REPT(" ",20))</f>
        <v/>
      </c>
      <c r="S1858" s="10">
        <f>IF(A1858="D",LEFT(UPPER(C1858)&amp;REPT(" ",10),10)," ")</f>
        <v/>
      </c>
      <c r="T1858" s="10">
        <f>IF(A1858="D",LEFT(UPPER(D1858)&amp;REPT(" ",2),2)," ")</f>
        <v/>
      </c>
      <c r="U1858" s="10">
        <f>IF(A1858="D",LEFT(UPPER(E1858)&amp;REPT(" ",15),15)," ")</f>
        <v/>
      </c>
      <c r="V1858" s="10">
        <f>REPT(" ",24)</f>
        <v/>
      </c>
      <c r="W1858" s="10">
        <f>IF(A1858="c",LEFT(UPPER(B1858)&amp;REPT(" ",20),20),REPT(" ",20))</f>
        <v/>
      </c>
      <c r="X1858" s="10">
        <f>IF(A1858="C",LEFT(UPPER(C1858)&amp;REPT(" ",10),10)," ")</f>
        <v/>
      </c>
      <c r="Y1858" s="10">
        <f>IF(A1858="C",LEFT(UPPER(D1858)&amp;REPT(" ",2),2)," ")</f>
        <v/>
      </c>
      <c r="Z1858" s="10">
        <f>IF(A1858="C",LEFT(UPPER(E1858)&amp;REPT(" ",15),15)," ")</f>
        <v/>
      </c>
      <c r="AA1858" s="10">
        <f>REPT(" ",8)</f>
        <v/>
      </c>
      <c r="AB1858" s="10">
        <f>REPT(" ",4)</f>
        <v/>
      </c>
      <c r="AC1858" s="10">
        <f>LEFT(UPPER(H1858)&amp;REPT(" ",250),250)</f>
        <v/>
      </c>
      <c r="AD1858" s="10">
        <f>TEXT($G$2,"dd/mm/aaaa")</f>
        <v/>
      </c>
      <c r="AE1858" s="10">
        <f>REPT(" ",10)</f>
        <v/>
      </c>
      <c r="AF1858" s="10">
        <f>REPT(" ",20)</f>
        <v/>
      </c>
      <c r="AG1858" s="54">
        <f>REPT(" ",18-LEN(FIXED(F1858,2,TRUE)))&amp;FIXED(F1858,2,TRUE)</f>
        <v/>
      </c>
      <c r="AH1858" s="10">
        <f>LEN(AC1858)+LEN(AG1858)</f>
        <v/>
      </c>
      <c r="AI1858" s="10">
        <f>LEN(L1858)</f>
        <v/>
      </c>
    </row>
    <row r="1859">
      <c r="J1859" s="12">
        <f>IF(F1859&lt;&gt;0,"LANÇAR","")</f>
        <v/>
      </c>
      <c r="L1859" s="13">
        <f>N1859&amp;O1859&amp;P1859&amp;Q1859&amp;R1859&amp;S1859&amp;T1859&amp;U1859&amp;V1859&amp;W1859&amp;X1859&amp;Y1859&amp;Z1859&amp;AA1859&amp;AB1859&amp;AC1859&amp;AD1859&amp;AE1859&amp;AF1859&amp;AG1859</f>
        <v/>
      </c>
      <c r="N1859" s="10">
        <f>TEXT($B$6,"00")</f>
        <v/>
      </c>
      <c r="O1859" s="10">
        <f>REPT(" ",8)</f>
        <v/>
      </c>
      <c r="P1859" s="10">
        <f>RIGHT($B$4,2)</f>
        <v/>
      </c>
      <c r="Q1859" s="10">
        <f>RIGHT($B$5,3)</f>
        <v/>
      </c>
      <c r="R1859" s="10">
        <f>IF(A1859="D",LEFT(UPPER(B1859)&amp;REPT(" ",20),20),REPT(" ",20))</f>
        <v/>
      </c>
      <c r="S1859" s="10">
        <f>IF(A1859="D",LEFT(UPPER(C1859)&amp;REPT(" ",10),10)," ")</f>
        <v/>
      </c>
      <c r="T1859" s="10">
        <f>IF(A1859="D",LEFT(UPPER(D1859)&amp;REPT(" ",2),2)," ")</f>
        <v/>
      </c>
      <c r="U1859" s="10">
        <f>IF(A1859="D",LEFT(UPPER(E1859)&amp;REPT(" ",15),15)," ")</f>
        <v/>
      </c>
      <c r="V1859" s="10">
        <f>REPT(" ",24)</f>
        <v/>
      </c>
      <c r="W1859" s="10">
        <f>IF(A1859="c",LEFT(UPPER(B1859)&amp;REPT(" ",20),20),REPT(" ",20))</f>
        <v/>
      </c>
      <c r="X1859" s="10">
        <f>IF(A1859="C",LEFT(UPPER(C1859)&amp;REPT(" ",10),10)," ")</f>
        <v/>
      </c>
      <c r="Y1859" s="10">
        <f>IF(A1859="C",LEFT(UPPER(D1859)&amp;REPT(" ",2),2)," ")</f>
        <v/>
      </c>
      <c r="Z1859" s="10">
        <f>IF(A1859="C",LEFT(UPPER(E1859)&amp;REPT(" ",15),15)," ")</f>
        <v/>
      </c>
      <c r="AA1859" s="10">
        <f>REPT(" ",8)</f>
        <v/>
      </c>
      <c r="AB1859" s="10">
        <f>REPT(" ",4)</f>
        <v/>
      </c>
      <c r="AC1859" s="10">
        <f>LEFT(UPPER(H1859)&amp;REPT(" ",250),250)</f>
        <v/>
      </c>
      <c r="AD1859" s="10">
        <f>TEXT($G$2,"dd/mm/aaaa")</f>
        <v/>
      </c>
      <c r="AE1859" s="10">
        <f>REPT(" ",10)</f>
        <v/>
      </c>
      <c r="AF1859" s="10">
        <f>REPT(" ",20)</f>
        <v/>
      </c>
      <c r="AG1859" s="54">
        <f>REPT(" ",18-LEN(FIXED(F1859,2,TRUE)))&amp;FIXED(F1859,2,TRUE)</f>
        <v/>
      </c>
      <c r="AH1859" s="10">
        <f>LEN(AC1859)+LEN(AG1859)</f>
        <v/>
      </c>
      <c r="AI1859" s="10">
        <f>LEN(L1859)</f>
        <v/>
      </c>
    </row>
    <row r="1860">
      <c r="J1860" s="12">
        <f>IF(F1860&lt;&gt;0,"LANÇAR","")</f>
        <v/>
      </c>
      <c r="L1860" s="13">
        <f>N1860&amp;O1860&amp;P1860&amp;Q1860&amp;R1860&amp;S1860&amp;T1860&amp;U1860&amp;V1860&amp;W1860&amp;X1860&amp;Y1860&amp;Z1860&amp;AA1860&amp;AB1860&amp;AC1860&amp;AD1860&amp;AE1860&amp;AF1860&amp;AG1860</f>
        <v/>
      </c>
      <c r="N1860" s="10">
        <f>TEXT($B$6,"00")</f>
        <v/>
      </c>
      <c r="O1860" s="10">
        <f>REPT(" ",8)</f>
        <v/>
      </c>
      <c r="P1860" s="10">
        <f>RIGHT($B$4,2)</f>
        <v/>
      </c>
      <c r="Q1860" s="10">
        <f>RIGHT($B$5,3)</f>
        <v/>
      </c>
      <c r="R1860" s="10">
        <f>IF(A1860="D",LEFT(UPPER(B1860)&amp;REPT(" ",20),20),REPT(" ",20))</f>
        <v/>
      </c>
      <c r="S1860" s="10">
        <f>IF(A1860="D",LEFT(UPPER(C1860)&amp;REPT(" ",10),10)," ")</f>
        <v/>
      </c>
      <c r="T1860" s="10">
        <f>IF(A1860="D",LEFT(UPPER(D1860)&amp;REPT(" ",2),2)," ")</f>
        <v/>
      </c>
      <c r="U1860" s="10">
        <f>IF(A1860="D",LEFT(UPPER(E1860)&amp;REPT(" ",15),15)," ")</f>
        <v/>
      </c>
      <c r="V1860" s="10">
        <f>REPT(" ",24)</f>
        <v/>
      </c>
      <c r="W1860" s="10">
        <f>IF(A1860="c",LEFT(UPPER(B1860)&amp;REPT(" ",20),20),REPT(" ",20))</f>
        <v/>
      </c>
      <c r="X1860" s="10">
        <f>IF(A1860="C",LEFT(UPPER(C1860)&amp;REPT(" ",10),10)," ")</f>
        <v/>
      </c>
      <c r="Y1860" s="10">
        <f>IF(A1860="C",LEFT(UPPER(D1860)&amp;REPT(" ",2),2)," ")</f>
        <v/>
      </c>
      <c r="Z1860" s="10">
        <f>IF(A1860="C",LEFT(UPPER(E1860)&amp;REPT(" ",15),15)," ")</f>
        <v/>
      </c>
      <c r="AA1860" s="10">
        <f>REPT(" ",8)</f>
        <v/>
      </c>
      <c r="AB1860" s="10">
        <f>REPT(" ",4)</f>
        <v/>
      </c>
      <c r="AC1860" s="10">
        <f>LEFT(UPPER(H1860)&amp;REPT(" ",250),250)</f>
        <v/>
      </c>
      <c r="AD1860" s="10">
        <f>TEXT($G$2,"dd/mm/aaaa")</f>
        <v/>
      </c>
      <c r="AE1860" s="10">
        <f>REPT(" ",10)</f>
        <v/>
      </c>
      <c r="AF1860" s="10">
        <f>REPT(" ",20)</f>
        <v/>
      </c>
      <c r="AG1860" s="54">
        <f>REPT(" ",18-LEN(FIXED(F1860,2,TRUE)))&amp;FIXED(F1860,2,TRUE)</f>
        <v/>
      </c>
      <c r="AH1860" s="10">
        <f>LEN(AC1860)+LEN(AG1860)</f>
        <v/>
      </c>
      <c r="AI1860" s="10">
        <f>LEN(L1860)</f>
        <v/>
      </c>
    </row>
    <row r="1861">
      <c r="J1861" s="12">
        <f>IF(F1861&lt;&gt;0,"LANÇAR","")</f>
        <v/>
      </c>
      <c r="L1861" s="13">
        <f>N1861&amp;O1861&amp;P1861&amp;Q1861&amp;R1861&amp;S1861&amp;T1861&amp;U1861&amp;V1861&amp;W1861&amp;X1861&amp;Y1861&amp;Z1861&amp;AA1861&amp;AB1861&amp;AC1861&amp;AD1861&amp;AE1861&amp;AF1861&amp;AG1861</f>
        <v/>
      </c>
      <c r="N1861" s="10">
        <f>TEXT($B$6,"00")</f>
        <v/>
      </c>
      <c r="O1861" s="10">
        <f>REPT(" ",8)</f>
        <v/>
      </c>
      <c r="P1861" s="10">
        <f>RIGHT($B$4,2)</f>
        <v/>
      </c>
      <c r="Q1861" s="10">
        <f>RIGHT($B$5,3)</f>
        <v/>
      </c>
      <c r="R1861" s="10">
        <f>IF(A1861="D",LEFT(UPPER(B1861)&amp;REPT(" ",20),20),REPT(" ",20))</f>
        <v/>
      </c>
      <c r="S1861" s="10">
        <f>IF(A1861="D",LEFT(UPPER(C1861)&amp;REPT(" ",10),10)," ")</f>
        <v/>
      </c>
      <c r="T1861" s="10">
        <f>IF(A1861="D",LEFT(UPPER(D1861)&amp;REPT(" ",2),2)," ")</f>
        <v/>
      </c>
      <c r="U1861" s="10">
        <f>IF(A1861="D",LEFT(UPPER(E1861)&amp;REPT(" ",15),15)," ")</f>
        <v/>
      </c>
      <c r="V1861" s="10">
        <f>REPT(" ",24)</f>
        <v/>
      </c>
      <c r="W1861" s="10">
        <f>IF(A1861="c",LEFT(UPPER(B1861)&amp;REPT(" ",20),20),REPT(" ",20))</f>
        <v/>
      </c>
      <c r="X1861" s="10">
        <f>IF(A1861="C",LEFT(UPPER(C1861)&amp;REPT(" ",10),10)," ")</f>
        <v/>
      </c>
      <c r="Y1861" s="10">
        <f>IF(A1861="C",LEFT(UPPER(D1861)&amp;REPT(" ",2),2)," ")</f>
        <v/>
      </c>
      <c r="Z1861" s="10">
        <f>IF(A1861="C",LEFT(UPPER(E1861)&amp;REPT(" ",15),15)," ")</f>
        <v/>
      </c>
      <c r="AA1861" s="10">
        <f>REPT(" ",8)</f>
        <v/>
      </c>
      <c r="AB1861" s="10">
        <f>REPT(" ",4)</f>
        <v/>
      </c>
      <c r="AC1861" s="10">
        <f>LEFT(UPPER(H1861)&amp;REPT(" ",250),250)</f>
        <v/>
      </c>
      <c r="AD1861" s="10">
        <f>TEXT($G$2,"dd/mm/aaaa")</f>
        <v/>
      </c>
      <c r="AE1861" s="10">
        <f>REPT(" ",10)</f>
        <v/>
      </c>
      <c r="AF1861" s="10">
        <f>REPT(" ",20)</f>
        <v/>
      </c>
      <c r="AG1861" s="54">
        <f>REPT(" ",18-LEN(FIXED(F1861,2,TRUE)))&amp;FIXED(F1861,2,TRUE)</f>
        <v/>
      </c>
      <c r="AH1861" s="10">
        <f>LEN(AC1861)+LEN(AG1861)</f>
        <v/>
      </c>
      <c r="AI1861" s="10">
        <f>LEN(L1861)</f>
        <v/>
      </c>
    </row>
    <row r="1862">
      <c r="J1862" s="12">
        <f>IF(F1862&lt;&gt;0,"LANÇAR","")</f>
        <v/>
      </c>
      <c r="L1862" s="13">
        <f>N1862&amp;O1862&amp;P1862&amp;Q1862&amp;R1862&amp;S1862&amp;T1862&amp;U1862&amp;V1862&amp;W1862&amp;X1862&amp;Y1862&amp;Z1862&amp;AA1862&amp;AB1862&amp;AC1862&amp;AD1862&amp;AE1862&amp;AF1862&amp;AG1862</f>
        <v/>
      </c>
      <c r="N1862" s="10">
        <f>TEXT($B$6,"00")</f>
        <v/>
      </c>
      <c r="O1862" s="10">
        <f>REPT(" ",8)</f>
        <v/>
      </c>
      <c r="P1862" s="10">
        <f>RIGHT($B$4,2)</f>
        <v/>
      </c>
      <c r="Q1862" s="10">
        <f>RIGHT($B$5,3)</f>
        <v/>
      </c>
      <c r="R1862" s="10">
        <f>IF(A1862="D",LEFT(UPPER(B1862)&amp;REPT(" ",20),20),REPT(" ",20))</f>
        <v/>
      </c>
      <c r="S1862" s="10">
        <f>IF(A1862="D",LEFT(UPPER(C1862)&amp;REPT(" ",10),10)," ")</f>
        <v/>
      </c>
      <c r="T1862" s="10">
        <f>IF(A1862="D",LEFT(UPPER(D1862)&amp;REPT(" ",2),2)," ")</f>
        <v/>
      </c>
      <c r="U1862" s="10">
        <f>IF(A1862="D",LEFT(UPPER(E1862)&amp;REPT(" ",15),15)," ")</f>
        <v/>
      </c>
      <c r="V1862" s="10">
        <f>REPT(" ",24)</f>
        <v/>
      </c>
      <c r="W1862" s="10">
        <f>IF(A1862="c",LEFT(UPPER(B1862)&amp;REPT(" ",20),20),REPT(" ",20))</f>
        <v/>
      </c>
      <c r="X1862" s="10">
        <f>IF(A1862="C",LEFT(UPPER(C1862)&amp;REPT(" ",10),10)," ")</f>
        <v/>
      </c>
      <c r="Y1862" s="10">
        <f>IF(A1862="C",LEFT(UPPER(D1862)&amp;REPT(" ",2),2)," ")</f>
        <v/>
      </c>
      <c r="Z1862" s="10">
        <f>IF(A1862="C",LEFT(UPPER(E1862)&amp;REPT(" ",15),15)," ")</f>
        <v/>
      </c>
      <c r="AA1862" s="10">
        <f>REPT(" ",8)</f>
        <v/>
      </c>
      <c r="AB1862" s="10">
        <f>REPT(" ",4)</f>
        <v/>
      </c>
      <c r="AC1862" s="10">
        <f>LEFT(UPPER(H1862)&amp;REPT(" ",250),250)</f>
        <v/>
      </c>
      <c r="AD1862" s="10">
        <f>TEXT($G$2,"dd/mm/aaaa")</f>
        <v/>
      </c>
      <c r="AE1862" s="10">
        <f>REPT(" ",10)</f>
        <v/>
      </c>
      <c r="AF1862" s="10">
        <f>REPT(" ",20)</f>
        <v/>
      </c>
      <c r="AG1862" s="54">
        <f>REPT(" ",18-LEN(FIXED(F1862,2,TRUE)))&amp;FIXED(F1862,2,TRUE)</f>
        <v/>
      </c>
      <c r="AH1862" s="10">
        <f>LEN(AC1862)+LEN(AG1862)</f>
        <v/>
      </c>
      <c r="AI1862" s="10">
        <f>LEN(L1862)</f>
        <v/>
      </c>
    </row>
    <row r="1863">
      <c r="J1863" s="12">
        <f>IF(F1863&lt;&gt;0,"LANÇAR","")</f>
        <v/>
      </c>
      <c r="L1863" s="13">
        <f>N1863&amp;O1863&amp;P1863&amp;Q1863&amp;R1863&amp;S1863&amp;T1863&amp;U1863&amp;V1863&amp;W1863&amp;X1863&amp;Y1863&amp;Z1863&amp;AA1863&amp;AB1863&amp;AC1863&amp;AD1863&amp;AE1863&amp;AF1863&amp;AG1863</f>
        <v/>
      </c>
      <c r="N1863" s="10">
        <f>TEXT($B$6,"00")</f>
        <v/>
      </c>
      <c r="O1863" s="10">
        <f>REPT(" ",8)</f>
        <v/>
      </c>
      <c r="P1863" s="10">
        <f>RIGHT($B$4,2)</f>
        <v/>
      </c>
      <c r="Q1863" s="10">
        <f>RIGHT($B$5,3)</f>
        <v/>
      </c>
      <c r="R1863" s="10">
        <f>IF(A1863="D",LEFT(UPPER(B1863)&amp;REPT(" ",20),20),REPT(" ",20))</f>
        <v/>
      </c>
      <c r="S1863" s="10">
        <f>IF(A1863="D",LEFT(UPPER(C1863)&amp;REPT(" ",10),10)," ")</f>
        <v/>
      </c>
      <c r="T1863" s="10">
        <f>IF(A1863="D",LEFT(UPPER(D1863)&amp;REPT(" ",2),2)," ")</f>
        <v/>
      </c>
      <c r="U1863" s="10">
        <f>IF(A1863="D",LEFT(UPPER(E1863)&amp;REPT(" ",15),15)," ")</f>
        <v/>
      </c>
      <c r="V1863" s="10">
        <f>REPT(" ",24)</f>
        <v/>
      </c>
      <c r="W1863" s="10">
        <f>IF(A1863="c",LEFT(UPPER(B1863)&amp;REPT(" ",20),20),REPT(" ",20))</f>
        <v/>
      </c>
      <c r="X1863" s="10">
        <f>IF(A1863="C",LEFT(UPPER(C1863)&amp;REPT(" ",10),10)," ")</f>
        <v/>
      </c>
      <c r="Y1863" s="10">
        <f>IF(A1863="C",LEFT(UPPER(D1863)&amp;REPT(" ",2),2)," ")</f>
        <v/>
      </c>
      <c r="Z1863" s="10">
        <f>IF(A1863="C",LEFT(UPPER(E1863)&amp;REPT(" ",15),15)," ")</f>
        <v/>
      </c>
      <c r="AA1863" s="10">
        <f>REPT(" ",8)</f>
        <v/>
      </c>
      <c r="AB1863" s="10">
        <f>REPT(" ",4)</f>
        <v/>
      </c>
      <c r="AC1863" s="10">
        <f>LEFT(UPPER(H1863)&amp;REPT(" ",250),250)</f>
        <v/>
      </c>
      <c r="AD1863" s="10">
        <f>TEXT($G$2,"dd/mm/aaaa")</f>
        <v/>
      </c>
      <c r="AE1863" s="10">
        <f>REPT(" ",10)</f>
        <v/>
      </c>
      <c r="AF1863" s="10">
        <f>REPT(" ",20)</f>
        <v/>
      </c>
      <c r="AG1863" s="54">
        <f>REPT(" ",18-LEN(FIXED(F1863,2,TRUE)))&amp;FIXED(F1863,2,TRUE)</f>
        <v/>
      </c>
      <c r="AH1863" s="10">
        <f>LEN(AC1863)+LEN(AG1863)</f>
        <v/>
      </c>
      <c r="AI1863" s="10">
        <f>LEN(L1863)</f>
        <v/>
      </c>
    </row>
    <row r="1864">
      <c r="J1864" s="12">
        <f>IF(F1864&lt;&gt;0,"LANÇAR","")</f>
        <v/>
      </c>
      <c r="L1864" s="13">
        <f>N1864&amp;O1864&amp;P1864&amp;Q1864&amp;R1864&amp;S1864&amp;T1864&amp;U1864&amp;V1864&amp;W1864&amp;X1864&amp;Y1864&amp;Z1864&amp;AA1864&amp;AB1864&amp;AC1864&amp;AD1864&amp;AE1864&amp;AF1864&amp;AG1864</f>
        <v/>
      </c>
      <c r="N1864" s="10">
        <f>TEXT($B$6,"00")</f>
        <v/>
      </c>
      <c r="O1864" s="10">
        <f>REPT(" ",8)</f>
        <v/>
      </c>
      <c r="P1864" s="10">
        <f>RIGHT($B$4,2)</f>
        <v/>
      </c>
      <c r="Q1864" s="10">
        <f>RIGHT($B$5,3)</f>
        <v/>
      </c>
      <c r="R1864" s="10">
        <f>IF(A1864="D",LEFT(UPPER(B1864)&amp;REPT(" ",20),20),REPT(" ",20))</f>
        <v/>
      </c>
      <c r="S1864" s="10">
        <f>IF(A1864="D",LEFT(UPPER(C1864)&amp;REPT(" ",10),10)," ")</f>
        <v/>
      </c>
      <c r="T1864" s="10">
        <f>IF(A1864="D",LEFT(UPPER(D1864)&amp;REPT(" ",2),2)," ")</f>
        <v/>
      </c>
      <c r="U1864" s="10">
        <f>IF(A1864="D",LEFT(UPPER(E1864)&amp;REPT(" ",15),15)," ")</f>
        <v/>
      </c>
      <c r="V1864" s="10">
        <f>REPT(" ",24)</f>
        <v/>
      </c>
      <c r="W1864" s="10">
        <f>IF(A1864="c",LEFT(UPPER(B1864)&amp;REPT(" ",20),20),REPT(" ",20))</f>
        <v/>
      </c>
      <c r="X1864" s="10">
        <f>IF(A1864="C",LEFT(UPPER(C1864)&amp;REPT(" ",10),10)," ")</f>
        <v/>
      </c>
      <c r="Y1864" s="10">
        <f>IF(A1864="C",LEFT(UPPER(D1864)&amp;REPT(" ",2),2)," ")</f>
        <v/>
      </c>
      <c r="Z1864" s="10">
        <f>IF(A1864="C",LEFT(UPPER(E1864)&amp;REPT(" ",15),15)," ")</f>
        <v/>
      </c>
      <c r="AA1864" s="10">
        <f>REPT(" ",8)</f>
        <v/>
      </c>
      <c r="AB1864" s="10">
        <f>REPT(" ",4)</f>
        <v/>
      </c>
      <c r="AC1864" s="10">
        <f>LEFT(UPPER(H1864)&amp;REPT(" ",250),250)</f>
        <v/>
      </c>
      <c r="AD1864" s="10">
        <f>TEXT($G$2,"dd/mm/aaaa")</f>
        <v/>
      </c>
      <c r="AE1864" s="10">
        <f>REPT(" ",10)</f>
        <v/>
      </c>
      <c r="AF1864" s="10">
        <f>REPT(" ",20)</f>
        <v/>
      </c>
      <c r="AG1864" s="54">
        <f>REPT(" ",18-LEN(FIXED(F1864,2,TRUE)))&amp;FIXED(F1864,2,TRUE)</f>
        <v/>
      </c>
      <c r="AH1864" s="10">
        <f>LEN(AC1864)+LEN(AG1864)</f>
        <v/>
      </c>
      <c r="AI1864" s="10">
        <f>LEN(L1864)</f>
        <v/>
      </c>
    </row>
    <row r="1865">
      <c r="J1865" s="12">
        <f>IF(F1865&lt;&gt;0,"LANÇAR","")</f>
        <v/>
      </c>
      <c r="L1865" s="13">
        <f>N1865&amp;O1865&amp;P1865&amp;Q1865&amp;R1865&amp;S1865&amp;T1865&amp;U1865&amp;V1865&amp;W1865&amp;X1865&amp;Y1865&amp;Z1865&amp;AA1865&amp;AB1865&amp;AC1865&amp;AD1865&amp;AE1865&amp;AF1865&amp;AG1865</f>
        <v/>
      </c>
      <c r="N1865" s="10">
        <f>TEXT($B$6,"00")</f>
        <v/>
      </c>
      <c r="O1865" s="10">
        <f>REPT(" ",8)</f>
        <v/>
      </c>
      <c r="P1865" s="10">
        <f>RIGHT($B$4,2)</f>
        <v/>
      </c>
      <c r="Q1865" s="10">
        <f>RIGHT($B$5,3)</f>
        <v/>
      </c>
      <c r="R1865" s="10">
        <f>IF(A1865="D",LEFT(UPPER(B1865)&amp;REPT(" ",20),20),REPT(" ",20))</f>
        <v/>
      </c>
      <c r="S1865" s="10">
        <f>IF(A1865="D",LEFT(UPPER(C1865)&amp;REPT(" ",10),10)," ")</f>
        <v/>
      </c>
      <c r="T1865" s="10">
        <f>IF(A1865="D",LEFT(UPPER(D1865)&amp;REPT(" ",2),2)," ")</f>
        <v/>
      </c>
      <c r="U1865" s="10">
        <f>IF(A1865="D",LEFT(UPPER(E1865)&amp;REPT(" ",15),15)," ")</f>
        <v/>
      </c>
      <c r="V1865" s="10">
        <f>REPT(" ",24)</f>
        <v/>
      </c>
      <c r="W1865" s="10">
        <f>IF(A1865="c",LEFT(UPPER(B1865)&amp;REPT(" ",20),20),REPT(" ",20))</f>
        <v/>
      </c>
      <c r="X1865" s="10">
        <f>IF(A1865="C",LEFT(UPPER(C1865)&amp;REPT(" ",10),10)," ")</f>
        <v/>
      </c>
      <c r="Y1865" s="10">
        <f>IF(A1865="C",LEFT(UPPER(D1865)&amp;REPT(" ",2),2)," ")</f>
        <v/>
      </c>
      <c r="Z1865" s="10">
        <f>IF(A1865="C",LEFT(UPPER(E1865)&amp;REPT(" ",15),15)," ")</f>
        <v/>
      </c>
      <c r="AA1865" s="10">
        <f>REPT(" ",8)</f>
        <v/>
      </c>
      <c r="AB1865" s="10">
        <f>REPT(" ",4)</f>
        <v/>
      </c>
      <c r="AC1865" s="10">
        <f>LEFT(UPPER(H1865)&amp;REPT(" ",250),250)</f>
        <v/>
      </c>
      <c r="AD1865" s="10">
        <f>TEXT($G$2,"dd/mm/aaaa")</f>
        <v/>
      </c>
      <c r="AE1865" s="10">
        <f>REPT(" ",10)</f>
        <v/>
      </c>
      <c r="AF1865" s="10">
        <f>REPT(" ",20)</f>
        <v/>
      </c>
      <c r="AG1865" s="54">
        <f>REPT(" ",18-LEN(FIXED(F1865,2,TRUE)))&amp;FIXED(F1865,2,TRUE)</f>
        <v/>
      </c>
      <c r="AH1865" s="10">
        <f>LEN(AC1865)+LEN(AG1865)</f>
        <v/>
      </c>
      <c r="AI1865" s="10">
        <f>LEN(L1865)</f>
        <v/>
      </c>
    </row>
    <row r="1866">
      <c r="J1866" s="12">
        <f>IF(F1866&lt;&gt;0,"LANÇAR","")</f>
        <v/>
      </c>
      <c r="L1866" s="13">
        <f>N1866&amp;O1866&amp;P1866&amp;Q1866&amp;R1866&amp;S1866&amp;T1866&amp;U1866&amp;V1866&amp;W1866&amp;X1866&amp;Y1866&amp;Z1866&amp;AA1866&amp;AB1866&amp;AC1866&amp;AD1866&amp;AE1866&amp;AF1866&amp;AG1866</f>
        <v/>
      </c>
      <c r="N1866" s="10">
        <f>TEXT($B$6,"00")</f>
        <v/>
      </c>
      <c r="O1866" s="10">
        <f>REPT(" ",8)</f>
        <v/>
      </c>
      <c r="P1866" s="10">
        <f>RIGHT($B$4,2)</f>
        <v/>
      </c>
      <c r="Q1866" s="10">
        <f>RIGHT($B$5,3)</f>
        <v/>
      </c>
      <c r="R1866" s="10">
        <f>IF(A1866="D",LEFT(UPPER(B1866)&amp;REPT(" ",20),20),REPT(" ",20))</f>
        <v/>
      </c>
      <c r="S1866" s="10">
        <f>IF(A1866="D",LEFT(UPPER(C1866)&amp;REPT(" ",10),10)," ")</f>
        <v/>
      </c>
      <c r="T1866" s="10">
        <f>IF(A1866="D",LEFT(UPPER(D1866)&amp;REPT(" ",2),2)," ")</f>
        <v/>
      </c>
      <c r="U1866" s="10">
        <f>IF(A1866="D",LEFT(UPPER(E1866)&amp;REPT(" ",15),15)," ")</f>
        <v/>
      </c>
      <c r="V1866" s="10">
        <f>REPT(" ",24)</f>
        <v/>
      </c>
      <c r="W1866" s="10">
        <f>IF(A1866="c",LEFT(UPPER(B1866)&amp;REPT(" ",20),20),REPT(" ",20))</f>
        <v/>
      </c>
      <c r="X1866" s="10">
        <f>IF(A1866="C",LEFT(UPPER(C1866)&amp;REPT(" ",10),10)," ")</f>
        <v/>
      </c>
      <c r="Y1866" s="10">
        <f>IF(A1866="C",LEFT(UPPER(D1866)&amp;REPT(" ",2),2)," ")</f>
        <v/>
      </c>
      <c r="Z1866" s="10">
        <f>IF(A1866="C",LEFT(UPPER(E1866)&amp;REPT(" ",15),15)," ")</f>
        <v/>
      </c>
      <c r="AA1866" s="10">
        <f>REPT(" ",8)</f>
        <v/>
      </c>
      <c r="AB1866" s="10">
        <f>REPT(" ",4)</f>
        <v/>
      </c>
      <c r="AC1866" s="10">
        <f>LEFT(UPPER(H1866)&amp;REPT(" ",250),250)</f>
        <v/>
      </c>
      <c r="AD1866" s="10">
        <f>TEXT($G$2,"dd/mm/aaaa")</f>
        <v/>
      </c>
      <c r="AE1866" s="10">
        <f>REPT(" ",10)</f>
        <v/>
      </c>
      <c r="AF1866" s="10">
        <f>REPT(" ",20)</f>
        <v/>
      </c>
      <c r="AG1866" s="54">
        <f>REPT(" ",18-LEN(FIXED(F1866,2,TRUE)))&amp;FIXED(F1866,2,TRUE)</f>
        <v/>
      </c>
      <c r="AH1866" s="10">
        <f>LEN(AC1866)+LEN(AG1866)</f>
        <v/>
      </c>
      <c r="AI1866" s="10">
        <f>LEN(L1866)</f>
        <v/>
      </c>
    </row>
    <row r="1867">
      <c r="J1867" s="12">
        <f>IF(F1867&lt;&gt;0,"LANÇAR","")</f>
        <v/>
      </c>
      <c r="L1867" s="13">
        <f>N1867&amp;O1867&amp;P1867&amp;Q1867&amp;R1867&amp;S1867&amp;T1867&amp;U1867&amp;V1867&amp;W1867&amp;X1867&amp;Y1867&amp;Z1867&amp;AA1867&amp;AB1867&amp;AC1867&amp;AD1867&amp;AE1867&amp;AF1867&amp;AG1867</f>
        <v/>
      </c>
      <c r="N1867" s="10">
        <f>TEXT($B$6,"00")</f>
        <v/>
      </c>
      <c r="O1867" s="10">
        <f>REPT(" ",8)</f>
        <v/>
      </c>
      <c r="P1867" s="10">
        <f>RIGHT($B$4,2)</f>
        <v/>
      </c>
      <c r="Q1867" s="10">
        <f>RIGHT($B$5,3)</f>
        <v/>
      </c>
      <c r="R1867" s="10">
        <f>IF(A1867="D",LEFT(UPPER(B1867)&amp;REPT(" ",20),20),REPT(" ",20))</f>
        <v/>
      </c>
      <c r="S1867" s="10">
        <f>IF(A1867="D",LEFT(UPPER(C1867)&amp;REPT(" ",10),10)," ")</f>
        <v/>
      </c>
      <c r="T1867" s="10">
        <f>IF(A1867="D",LEFT(UPPER(D1867)&amp;REPT(" ",2),2)," ")</f>
        <v/>
      </c>
      <c r="U1867" s="10">
        <f>IF(A1867="D",LEFT(UPPER(E1867)&amp;REPT(" ",15),15)," ")</f>
        <v/>
      </c>
      <c r="V1867" s="10">
        <f>REPT(" ",24)</f>
        <v/>
      </c>
      <c r="W1867" s="10">
        <f>IF(A1867="c",LEFT(UPPER(B1867)&amp;REPT(" ",20),20),REPT(" ",20))</f>
        <v/>
      </c>
      <c r="X1867" s="10">
        <f>IF(A1867="C",LEFT(UPPER(C1867)&amp;REPT(" ",10),10)," ")</f>
        <v/>
      </c>
      <c r="Y1867" s="10">
        <f>IF(A1867="C",LEFT(UPPER(D1867)&amp;REPT(" ",2),2)," ")</f>
        <v/>
      </c>
      <c r="Z1867" s="10">
        <f>IF(A1867="C",LEFT(UPPER(E1867)&amp;REPT(" ",15),15)," ")</f>
        <v/>
      </c>
      <c r="AA1867" s="10">
        <f>REPT(" ",8)</f>
        <v/>
      </c>
      <c r="AB1867" s="10">
        <f>REPT(" ",4)</f>
        <v/>
      </c>
      <c r="AC1867" s="10">
        <f>LEFT(UPPER(H1867)&amp;REPT(" ",250),250)</f>
        <v/>
      </c>
      <c r="AD1867" s="10">
        <f>TEXT($G$2,"dd/mm/aaaa")</f>
        <v/>
      </c>
      <c r="AE1867" s="10">
        <f>REPT(" ",10)</f>
        <v/>
      </c>
      <c r="AF1867" s="10">
        <f>REPT(" ",20)</f>
        <v/>
      </c>
      <c r="AG1867" s="54">
        <f>REPT(" ",18-LEN(FIXED(F1867,2,TRUE)))&amp;FIXED(F1867,2,TRUE)</f>
        <v/>
      </c>
      <c r="AH1867" s="10">
        <f>LEN(AC1867)+LEN(AG1867)</f>
        <v/>
      </c>
      <c r="AI1867" s="10">
        <f>LEN(L1867)</f>
        <v/>
      </c>
    </row>
    <row r="1868">
      <c r="J1868" s="12">
        <f>IF(F1868&lt;&gt;0,"LANÇAR","")</f>
        <v/>
      </c>
      <c r="L1868" s="13">
        <f>N1868&amp;O1868&amp;P1868&amp;Q1868&amp;R1868&amp;S1868&amp;T1868&amp;U1868&amp;V1868&amp;W1868&amp;X1868&amp;Y1868&amp;Z1868&amp;AA1868&amp;AB1868&amp;AC1868&amp;AD1868&amp;AE1868&amp;AF1868&amp;AG1868</f>
        <v/>
      </c>
      <c r="N1868" s="10">
        <f>TEXT($B$6,"00")</f>
        <v/>
      </c>
      <c r="O1868" s="10">
        <f>REPT(" ",8)</f>
        <v/>
      </c>
      <c r="P1868" s="10">
        <f>RIGHT($B$4,2)</f>
        <v/>
      </c>
      <c r="Q1868" s="10">
        <f>RIGHT($B$5,3)</f>
        <v/>
      </c>
      <c r="R1868" s="10">
        <f>IF(A1868="D",LEFT(UPPER(B1868)&amp;REPT(" ",20),20),REPT(" ",20))</f>
        <v/>
      </c>
      <c r="S1868" s="10">
        <f>IF(A1868="D",LEFT(UPPER(C1868)&amp;REPT(" ",10),10)," ")</f>
        <v/>
      </c>
      <c r="T1868" s="10">
        <f>IF(A1868="D",LEFT(UPPER(D1868)&amp;REPT(" ",2),2)," ")</f>
        <v/>
      </c>
      <c r="U1868" s="10">
        <f>IF(A1868="D",LEFT(UPPER(E1868)&amp;REPT(" ",15),15)," ")</f>
        <v/>
      </c>
      <c r="V1868" s="10">
        <f>REPT(" ",24)</f>
        <v/>
      </c>
      <c r="W1868" s="10">
        <f>IF(A1868="c",LEFT(UPPER(B1868)&amp;REPT(" ",20),20),REPT(" ",20))</f>
        <v/>
      </c>
      <c r="X1868" s="10">
        <f>IF(A1868="C",LEFT(UPPER(C1868)&amp;REPT(" ",10),10)," ")</f>
        <v/>
      </c>
      <c r="Y1868" s="10">
        <f>IF(A1868="C",LEFT(UPPER(D1868)&amp;REPT(" ",2),2)," ")</f>
        <v/>
      </c>
      <c r="Z1868" s="10">
        <f>IF(A1868="C",LEFT(UPPER(E1868)&amp;REPT(" ",15),15)," ")</f>
        <v/>
      </c>
      <c r="AA1868" s="10">
        <f>REPT(" ",8)</f>
        <v/>
      </c>
      <c r="AB1868" s="10">
        <f>REPT(" ",4)</f>
        <v/>
      </c>
      <c r="AC1868" s="10">
        <f>LEFT(UPPER(H1868)&amp;REPT(" ",250),250)</f>
        <v/>
      </c>
      <c r="AD1868" s="10">
        <f>TEXT($G$2,"dd/mm/aaaa")</f>
        <v/>
      </c>
      <c r="AE1868" s="10">
        <f>REPT(" ",10)</f>
        <v/>
      </c>
      <c r="AF1868" s="10">
        <f>REPT(" ",20)</f>
        <v/>
      </c>
      <c r="AG1868" s="54">
        <f>REPT(" ",18-LEN(FIXED(F1868,2,TRUE)))&amp;FIXED(F1868,2,TRUE)</f>
        <v/>
      </c>
      <c r="AH1868" s="10">
        <f>LEN(AC1868)+LEN(AG1868)</f>
        <v/>
      </c>
      <c r="AI1868" s="10">
        <f>LEN(L1868)</f>
        <v/>
      </c>
    </row>
    <row r="1869">
      <c r="J1869" s="12">
        <f>IF(F1869&lt;&gt;0,"LANÇAR","")</f>
        <v/>
      </c>
      <c r="L1869" s="13">
        <f>N1869&amp;O1869&amp;P1869&amp;Q1869&amp;R1869&amp;S1869&amp;T1869&amp;U1869&amp;V1869&amp;W1869&amp;X1869&amp;Y1869&amp;Z1869&amp;AA1869&amp;AB1869&amp;AC1869&amp;AD1869&amp;AE1869&amp;AF1869&amp;AG1869</f>
        <v/>
      </c>
      <c r="N1869" s="10">
        <f>TEXT($B$6,"00")</f>
        <v/>
      </c>
      <c r="O1869" s="10">
        <f>REPT(" ",8)</f>
        <v/>
      </c>
      <c r="P1869" s="10">
        <f>RIGHT($B$4,2)</f>
        <v/>
      </c>
      <c r="Q1869" s="10">
        <f>RIGHT($B$5,3)</f>
        <v/>
      </c>
      <c r="R1869" s="10">
        <f>IF(A1869="D",LEFT(UPPER(B1869)&amp;REPT(" ",20),20),REPT(" ",20))</f>
        <v/>
      </c>
      <c r="S1869" s="10">
        <f>IF(A1869="D",LEFT(UPPER(C1869)&amp;REPT(" ",10),10)," ")</f>
        <v/>
      </c>
      <c r="T1869" s="10">
        <f>IF(A1869="D",LEFT(UPPER(D1869)&amp;REPT(" ",2),2)," ")</f>
        <v/>
      </c>
      <c r="U1869" s="10">
        <f>IF(A1869="D",LEFT(UPPER(E1869)&amp;REPT(" ",15),15)," ")</f>
        <v/>
      </c>
      <c r="V1869" s="10">
        <f>REPT(" ",24)</f>
        <v/>
      </c>
      <c r="W1869" s="10">
        <f>IF(A1869="c",LEFT(UPPER(B1869)&amp;REPT(" ",20),20),REPT(" ",20))</f>
        <v/>
      </c>
      <c r="X1869" s="10">
        <f>IF(A1869="C",LEFT(UPPER(C1869)&amp;REPT(" ",10),10)," ")</f>
        <v/>
      </c>
      <c r="Y1869" s="10">
        <f>IF(A1869="C",LEFT(UPPER(D1869)&amp;REPT(" ",2),2)," ")</f>
        <v/>
      </c>
      <c r="Z1869" s="10">
        <f>IF(A1869="C",LEFT(UPPER(E1869)&amp;REPT(" ",15),15)," ")</f>
        <v/>
      </c>
      <c r="AA1869" s="10">
        <f>REPT(" ",8)</f>
        <v/>
      </c>
      <c r="AB1869" s="10">
        <f>REPT(" ",4)</f>
        <v/>
      </c>
      <c r="AC1869" s="10">
        <f>LEFT(UPPER(H1869)&amp;REPT(" ",250),250)</f>
        <v/>
      </c>
      <c r="AD1869" s="10">
        <f>TEXT($G$2,"dd/mm/aaaa")</f>
        <v/>
      </c>
      <c r="AE1869" s="10">
        <f>REPT(" ",10)</f>
        <v/>
      </c>
      <c r="AF1869" s="10">
        <f>REPT(" ",20)</f>
        <v/>
      </c>
      <c r="AG1869" s="54">
        <f>REPT(" ",18-LEN(FIXED(F1869,2,TRUE)))&amp;FIXED(F1869,2,TRUE)</f>
        <v/>
      </c>
      <c r="AH1869" s="10">
        <f>LEN(AC1869)+LEN(AG1869)</f>
        <v/>
      </c>
      <c r="AI1869" s="10">
        <f>LEN(L1869)</f>
        <v/>
      </c>
    </row>
    <row r="1870">
      <c r="J1870" s="12">
        <f>IF(F1870&lt;&gt;0,"LANÇAR","")</f>
        <v/>
      </c>
      <c r="L1870" s="13">
        <f>N1870&amp;O1870&amp;P1870&amp;Q1870&amp;R1870&amp;S1870&amp;T1870&amp;U1870&amp;V1870&amp;W1870&amp;X1870&amp;Y1870&amp;Z1870&amp;AA1870&amp;AB1870&amp;AC1870&amp;AD1870&amp;AE1870&amp;AF1870&amp;AG1870</f>
        <v/>
      </c>
      <c r="N1870" s="10">
        <f>TEXT($B$6,"00")</f>
        <v/>
      </c>
      <c r="O1870" s="10">
        <f>REPT(" ",8)</f>
        <v/>
      </c>
      <c r="P1870" s="10">
        <f>RIGHT($B$4,2)</f>
        <v/>
      </c>
      <c r="Q1870" s="10">
        <f>RIGHT($B$5,3)</f>
        <v/>
      </c>
      <c r="R1870" s="10">
        <f>IF(A1870="D",LEFT(UPPER(B1870)&amp;REPT(" ",20),20),REPT(" ",20))</f>
        <v/>
      </c>
      <c r="S1870" s="10">
        <f>IF(A1870="D",LEFT(UPPER(C1870)&amp;REPT(" ",10),10)," ")</f>
        <v/>
      </c>
      <c r="T1870" s="10">
        <f>IF(A1870="D",LEFT(UPPER(D1870)&amp;REPT(" ",2),2)," ")</f>
        <v/>
      </c>
      <c r="U1870" s="10">
        <f>IF(A1870="D",LEFT(UPPER(E1870)&amp;REPT(" ",15),15)," ")</f>
        <v/>
      </c>
      <c r="V1870" s="10">
        <f>REPT(" ",24)</f>
        <v/>
      </c>
      <c r="W1870" s="10">
        <f>IF(A1870="c",LEFT(UPPER(B1870)&amp;REPT(" ",20),20),REPT(" ",20))</f>
        <v/>
      </c>
      <c r="X1870" s="10">
        <f>IF(A1870="C",LEFT(UPPER(C1870)&amp;REPT(" ",10),10)," ")</f>
        <v/>
      </c>
      <c r="Y1870" s="10">
        <f>IF(A1870="C",LEFT(UPPER(D1870)&amp;REPT(" ",2),2)," ")</f>
        <v/>
      </c>
      <c r="Z1870" s="10">
        <f>IF(A1870="C",LEFT(UPPER(E1870)&amp;REPT(" ",15),15)," ")</f>
        <v/>
      </c>
      <c r="AA1870" s="10">
        <f>REPT(" ",8)</f>
        <v/>
      </c>
      <c r="AB1870" s="10">
        <f>REPT(" ",4)</f>
        <v/>
      </c>
      <c r="AC1870" s="10">
        <f>LEFT(UPPER(H1870)&amp;REPT(" ",250),250)</f>
        <v/>
      </c>
      <c r="AD1870" s="10">
        <f>TEXT($G$2,"dd/mm/aaaa")</f>
        <v/>
      </c>
      <c r="AE1870" s="10">
        <f>REPT(" ",10)</f>
        <v/>
      </c>
      <c r="AF1870" s="10">
        <f>REPT(" ",20)</f>
        <v/>
      </c>
      <c r="AG1870" s="54">
        <f>REPT(" ",18-LEN(FIXED(F1870,2,TRUE)))&amp;FIXED(F1870,2,TRUE)</f>
        <v/>
      </c>
      <c r="AH1870" s="10">
        <f>LEN(AC1870)+LEN(AG1870)</f>
        <v/>
      </c>
      <c r="AI1870" s="10">
        <f>LEN(L1870)</f>
        <v/>
      </c>
    </row>
    <row r="1871">
      <c r="J1871" s="12">
        <f>IF(F1871&lt;&gt;0,"LANÇAR","")</f>
        <v/>
      </c>
      <c r="L1871" s="13">
        <f>N1871&amp;O1871&amp;P1871&amp;Q1871&amp;R1871&amp;S1871&amp;T1871&amp;U1871&amp;V1871&amp;W1871&amp;X1871&amp;Y1871&amp;Z1871&amp;AA1871&amp;AB1871&amp;AC1871&amp;AD1871&amp;AE1871&amp;AF1871&amp;AG1871</f>
        <v/>
      </c>
      <c r="N1871" s="10">
        <f>TEXT($B$6,"00")</f>
        <v/>
      </c>
      <c r="O1871" s="10">
        <f>REPT(" ",8)</f>
        <v/>
      </c>
      <c r="P1871" s="10">
        <f>RIGHT($B$4,2)</f>
        <v/>
      </c>
      <c r="Q1871" s="10">
        <f>RIGHT($B$5,3)</f>
        <v/>
      </c>
      <c r="R1871" s="10">
        <f>IF(A1871="D",LEFT(UPPER(B1871)&amp;REPT(" ",20),20),REPT(" ",20))</f>
        <v/>
      </c>
      <c r="S1871" s="10">
        <f>IF(A1871="D",LEFT(UPPER(C1871)&amp;REPT(" ",10),10)," ")</f>
        <v/>
      </c>
      <c r="T1871" s="10">
        <f>IF(A1871="D",LEFT(UPPER(D1871)&amp;REPT(" ",2),2)," ")</f>
        <v/>
      </c>
      <c r="U1871" s="10">
        <f>IF(A1871="D",LEFT(UPPER(E1871)&amp;REPT(" ",15),15)," ")</f>
        <v/>
      </c>
      <c r="V1871" s="10">
        <f>REPT(" ",24)</f>
        <v/>
      </c>
      <c r="W1871" s="10">
        <f>IF(A1871="c",LEFT(UPPER(B1871)&amp;REPT(" ",20),20),REPT(" ",20))</f>
        <v/>
      </c>
      <c r="X1871" s="10">
        <f>IF(A1871="C",LEFT(UPPER(C1871)&amp;REPT(" ",10),10)," ")</f>
        <v/>
      </c>
      <c r="Y1871" s="10">
        <f>IF(A1871="C",LEFT(UPPER(D1871)&amp;REPT(" ",2),2)," ")</f>
        <v/>
      </c>
      <c r="Z1871" s="10">
        <f>IF(A1871="C",LEFT(UPPER(E1871)&amp;REPT(" ",15),15)," ")</f>
        <v/>
      </c>
      <c r="AA1871" s="10">
        <f>REPT(" ",8)</f>
        <v/>
      </c>
      <c r="AB1871" s="10">
        <f>REPT(" ",4)</f>
        <v/>
      </c>
      <c r="AC1871" s="10">
        <f>LEFT(UPPER(H1871)&amp;REPT(" ",250),250)</f>
        <v/>
      </c>
      <c r="AD1871" s="10">
        <f>TEXT($G$2,"dd/mm/aaaa")</f>
        <v/>
      </c>
      <c r="AE1871" s="10">
        <f>REPT(" ",10)</f>
        <v/>
      </c>
      <c r="AF1871" s="10">
        <f>REPT(" ",20)</f>
        <v/>
      </c>
      <c r="AG1871" s="54">
        <f>REPT(" ",18-LEN(FIXED(F1871,2,TRUE)))&amp;FIXED(F1871,2,TRUE)</f>
        <v/>
      </c>
      <c r="AH1871" s="10">
        <f>LEN(AC1871)+LEN(AG1871)</f>
        <v/>
      </c>
      <c r="AI1871" s="10">
        <f>LEN(L1871)</f>
        <v/>
      </c>
    </row>
    <row r="1872">
      <c r="J1872" s="12">
        <f>IF(F1872&lt;&gt;0,"LANÇAR","")</f>
        <v/>
      </c>
      <c r="L1872" s="13">
        <f>N1872&amp;O1872&amp;P1872&amp;Q1872&amp;R1872&amp;S1872&amp;T1872&amp;U1872&amp;V1872&amp;W1872&amp;X1872&amp;Y1872&amp;Z1872&amp;AA1872&amp;AB1872&amp;AC1872&amp;AD1872&amp;AE1872&amp;AF1872&amp;AG1872</f>
        <v/>
      </c>
      <c r="N1872" s="10">
        <f>TEXT($B$6,"00")</f>
        <v/>
      </c>
      <c r="O1872" s="10">
        <f>REPT(" ",8)</f>
        <v/>
      </c>
      <c r="P1872" s="10">
        <f>RIGHT($B$4,2)</f>
        <v/>
      </c>
      <c r="Q1872" s="10">
        <f>RIGHT($B$5,3)</f>
        <v/>
      </c>
      <c r="R1872" s="10">
        <f>IF(A1872="D",LEFT(UPPER(B1872)&amp;REPT(" ",20),20),REPT(" ",20))</f>
        <v/>
      </c>
      <c r="S1872" s="10">
        <f>IF(A1872="D",LEFT(UPPER(C1872)&amp;REPT(" ",10),10)," ")</f>
        <v/>
      </c>
      <c r="T1872" s="10">
        <f>IF(A1872="D",LEFT(UPPER(D1872)&amp;REPT(" ",2),2)," ")</f>
        <v/>
      </c>
      <c r="U1872" s="10">
        <f>IF(A1872="D",LEFT(UPPER(E1872)&amp;REPT(" ",15),15)," ")</f>
        <v/>
      </c>
      <c r="V1872" s="10">
        <f>REPT(" ",24)</f>
        <v/>
      </c>
      <c r="W1872" s="10">
        <f>IF(A1872="c",LEFT(UPPER(B1872)&amp;REPT(" ",20),20),REPT(" ",20))</f>
        <v/>
      </c>
      <c r="X1872" s="10">
        <f>IF(A1872="C",LEFT(UPPER(C1872)&amp;REPT(" ",10),10)," ")</f>
        <v/>
      </c>
      <c r="Y1872" s="10">
        <f>IF(A1872="C",LEFT(UPPER(D1872)&amp;REPT(" ",2),2)," ")</f>
        <v/>
      </c>
      <c r="Z1872" s="10">
        <f>IF(A1872="C",LEFT(UPPER(E1872)&amp;REPT(" ",15),15)," ")</f>
        <v/>
      </c>
      <c r="AA1872" s="10">
        <f>REPT(" ",8)</f>
        <v/>
      </c>
      <c r="AB1872" s="10">
        <f>REPT(" ",4)</f>
        <v/>
      </c>
      <c r="AC1872" s="10">
        <f>LEFT(UPPER(H1872)&amp;REPT(" ",250),250)</f>
        <v/>
      </c>
      <c r="AD1872" s="10">
        <f>TEXT($G$2,"dd/mm/aaaa")</f>
        <v/>
      </c>
      <c r="AE1872" s="10">
        <f>REPT(" ",10)</f>
        <v/>
      </c>
      <c r="AF1872" s="10">
        <f>REPT(" ",20)</f>
        <v/>
      </c>
      <c r="AG1872" s="54">
        <f>REPT(" ",18-LEN(FIXED(F1872,2,TRUE)))&amp;FIXED(F1872,2,TRUE)</f>
        <v/>
      </c>
      <c r="AH1872" s="10">
        <f>LEN(AC1872)+LEN(AG1872)</f>
        <v/>
      </c>
      <c r="AI1872" s="10">
        <f>LEN(L1872)</f>
        <v/>
      </c>
    </row>
    <row r="1873">
      <c r="J1873" s="12">
        <f>IF(F1873&lt;&gt;0,"LANÇAR","")</f>
        <v/>
      </c>
      <c r="L1873" s="13">
        <f>N1873&amp;O1873&amp;P1873&amp;Q1873&amp;R1873&amp;S1873&amp;T1873&amp;U1873&amp;V1873&amp;W1873&amp;X1873&amp;Y1873&amp;Z1873&amp;AA1873&amp;AB1873&amp;AC1873&amp;AD1873&amp;AE1873&amp;AF1873&amp;AG1873</f>
        <v/>
      </c>
      <c r="N1873" s="10">
        <f>TEXT($B$6,"00")</f>
        <v/>
      </c>
      <c r="O1873" s="10">
        <f>REPT(" ",8)</f>
        <v/>
      </c>
      <c r="P1873" s="10">
        <f>RIGHT($B$4,2)</f>
        <v/>
      </c>
      <c r="Q1873" s="10">
        <f>RIGHT($B$5,3)</f>
        <v/>
      </c>
      <c r="R1873" s="10">
        <f>IF(A1873="D",LEFT(UPPER(B1873)&amp;REPT(" ",20),20),REPT(" ",20))</f>
        <v/>
      </c>
      <c r="S1873" s="10">
        <f>IF(A1873="D",LEFT(UPPER(C1873)&amp;REPT(" ",10),10)," ")</f>
        <v/>
      </c>
      <c r="T1873" s="10">
        <f>IF(A1873="D",LEFT(UPPER(D1873)&amp;REPT(" ",2),2)," ")</f>
        <v/>
      </c>
      <c r="U1873" s="10">
        <f>IF(A1873="D",LEFT(UPPER(E1873)&amp;REPT(" ",15),15)," ")</f>
        <v/>
      </c>
      <c r="V1873" s="10">
        <f>REPT(" ",24)</f>
        <v/>
      </c>
      <c r="W1873" s="10">
        <f>IF(A1873="c",LEFT(UPPER(B1873)&amp;REPT(" ",20),20),REPT(" ",20))</f>
        <v/>
      </c>
      <c r="X1873" s="10">
        <f>IF(A1873="C",LEFT(UPPER(C1873)&amp;REPT(" ",10),10)," ")</f>
        <v/>
      </c>
      <c r="Y1873" s="10">
        <f>IF(A1873="C",LEFT(UPPER(D1873)&amp;REPT(" ",2),2)," ")</f>
        <v/>
      </c>
      <c r="Z1873" s="10">
        <f>IF(A1873="C",LEFT(UPPER(E1873)&amp;REPT(" ",15),15)," ")</f>
        <v/>
      </c>
      <c r="AA1873" s="10">
        <f>REPT(" ",8)</f>
        <v/>
      </c>
      <c r="AB1873" s="10">
        <f>REPT(" ",4)</f>
        <v/>
      </c>
      <c r="AC1873" s="10">
        <f>LEFT(UPPER(H1873)&amp;REPT(" ",250),250)</f>
        <v/>
      </c>
      <c r="AD1873" s="10">
        <f>TEXT($G$2,"dd/mm/aaaa")</f>
        <v/>
      </c>
      <c r="AE1873" s="10">
        <f>REPT(" ",10)</f>
        <v/>
      </c>
      <c r="AF1873" s="10">
        <f>REPT(" ",20)</f>
        <v/>
      </c>
      <c r="AG1873" s="54">
        <f>REPT(" ",18-LEN(FIXED(F1873,2,TRUE)))&amp;FIXED(F1873,2,TRUE)</f>
        <v/>
      </c>
      <c r="AH1873" s="10">
        <f>LEN(AC1873)+LEN(AG1873)</f>
        <v/>
      </c>
      <c r="AI1873" s="10">
        <f>LEN(L1873)</f>
        <v/>
      </c>
    </row>
    <row r="1874">
      <c r="J1874" s="12">
        <f>IF(F1874&lt;&gt;0,"LANÇAR","")</f>
        <v/>
      </c>
      <c r="L1874" s="13">
        <f>N1874&amp;O1874&amp;P1874&amp;Q1874&amp;R1874&amp;S1874&amp;T1874&amp;U1874&amp;V1874&amp;W1874&amp;X1874&amp;Y1874&amp;Z1874&amp;AA1874&amp;AB1874&amp;AC1874&amp;AD1874&amp;AE1874&amp;AF1874&amp;AG1874</f>
        <v/>
      </c>
      <c r="N1874" s="10">
        <f>TEXT($B$6,"00")</f>
        <v/>
      </c>
      <c r="O1874" s="10">
        <f>REPT(" ",8)</f>
        <v/>
      </c>
      <c r="P1874" s="10">
        <f>RIGHT($B$4,2)</f>
        <v/>
      </c>
      <c r="Q1874" s="10">
        <f>RIGHT($B$5,3)</f>
        <v/>
      </c>
      <c r="R1874" s="10">
        <f>IF(A1874="D",LEFT(UPPER(B1874)&amp;REPT(" ",20),20),REPT(" ",20))</f>
        <v/>
      </c>
      <c r="S1874" s="10">
        <f>IF(A1874="D",LEFT(UPPER(C1874)&amp;REPT(" ",10),10)," ")</f>
        <v/>
      </c>
      <c r="T1874" s="10">
        <f>IF(A1874="D",LEFT(UPPER(D1874)&amp;REPT(" ",2),2)," ")</f>
        <v/>
      </c>
      <c r="U1874" s="10">
        <f>IF(A1874="D",LEFT(UPPER(E1874)&amp;REPT(" ",15),15)," ")</f>
        <v/>
      </c>
      <c r="V1874" s="10">
        <f>REPT(" ",24)</f>
        <v/>
      </c>
      <c r="W1874" s="10">
        <f>IF(A1874="c",LEFT(UPPER(B1874)&amp;REPT(" ",20),20),REPT(" ",20))</f>
        <v/>
      </c>
      <c r="X1874" s="10">
        <f>IF(A1874="C",LEFT(UPPER(C1874)&amp;REPT(" ",10),10)," ")</f>
        <v/>
      </c>
      <c r="Y1874" s="10">
        <f>IF(A1874="C",LEFT(UPPER(D1874)&amp;REPT(" ",2),2)," ")</f>
        <v/>
      </c>
      <c r="Z1874" s="10">
        <f>IF(A1874="C",LEFT(UPPER(E1874)&amp;REPT(" ",15),15)," ")</f>
        <v/>
      </c>
      <c r="AA1874" s="10">
        <f>REPT(" ",8)</f>
        <v/>
      </c>
      <c r="AB1874" s="10">
        <f>REPT(" ",4)</f>
        <v/>
      </c>
      <c r="AC1874" s="10">
        <f>LEFT(UPPER(H1874)&amp;REPT(" ",250),250)</f>
        <v/>
      </c>
      <c r="AD1874" s="10">
        <f>TEXT($G$2,"dd/mm/aaaa")</f>
        <v/>
      </c>
      <c r="AE1874" s="10">
        <f>REPT(" ",10)</f>
        <v/>
      </c>
      <c r="AF1874" s="10">
        <f>REPT(" ",20)</f>
        <v/>
      </c>
      <c r="AG1874" s="54">
        <f>REPT(" ",18-LEN(FIXED(F1874,2,TRUE)))&amp;FIXED(F1874,2,TRUE)</f>
        <v/>
      </c>
      <c r="AH1874" s="10">
        <f>LEN(AC1874)+LEN(AG1874)</f>
        <v/>
      </c>
      <c r="AI1874" s="10">
        <f>LEN(L1874)</f>
        <v/>
      </c>
    </row>
    <row r="1875">
      <c r="J1875" s="12">
        <f>IF(F1875&lt;&gt;0,"LANÇAR","")</f>
        <v/>
      </c>
      <c r="L1875" s="13">
        <f>N1875&amp;O1875&amp;P1875&amp;Q1875&amp;R1875&amp;S1875&amp;T1875&amp;U1875&amp;V1875&amp;W1875&amp;X1875&amp;Y1875&amp;Z1875&amp;AA1875&amp;AB1875&amp;AC1875&amp;AD1875&amp;AE1875&amp;AF1875&amp;AG1875</f>
        <v/>
      </c>
      <c r="N1875" s="10">
        <f>TEXT($B$6,"00")</f>
        <v/>
      </c>
      <c r="O1875" s="10">
        <f>REPT(" ",8)</f>
        <v/>
      </c>
      <c r="P1875" s="10">
        <f>RIGHT($B$4,2)</f>
        <v/>
      </c>
      <c r="Q1875" s="10">
        <f>RIGHT($B$5,3)</f>
        <v/>
      </c>
      <c r="R1875" s="10">
        <f>IF(A1875="D",LEFT(UPPER(B1875)&amp;REPT(" ",20),20),REPT(" ",20))</f>
        <v/>
      </c>
      <c r="S1875" s="10">
        <f>IF(A1875="D",LEFT(UPPER(C1875)&amp;REPT(" ",10),10)," ")</f>
        <v/>
      </c>
      <c r="T1875" s="10">
        <f>IF(A1875="D",LEFT(UPPER(D1875)&amp;REPT(" ",2),2)," ")</f>
        <v/>
      </c>
      <c r="U1875" s="10">
        <f>IF(A1875="D",LEFT(UPPER(E1875)&amp;REPT(" ",15),15)," ")</f>
        <v/>
      </c>
      <c r="V1875" s="10">
        <f>REPT(" ",24)</f>
        <v/>
      </c>
      <c r="W1875" s="10">
        <f>IF(A1875="c",LEFT(UPPER(B1875)&amp;REPT(" ",20),20),REPT(" ",20))</f>
        <v/>
      </c>
      <c r="X1875" s="10">
        <f>IF(A1875="C",LEFT(UPPER(C1875)&amp;REPT(" ",10),10)," ")</f>
        <v/>
      </c>
      <c r="Y1875" s="10">
        <f>IF(A1875="C",LEFT(UPPER(D1875)&amp;REPT(" ",2),2)," ")</f>
        <v/>
      </c>
      <c r="Z1875" s="10">
        <f>IF(A1875="C",LEFT(UPPER(E1875)&amp;REPT(" ",15),15)," ")</f>
        <v/>
      </c>
      <c r="AA1875" s="10">
        <f>REPT(" ",8)</f>
        <v/>
      </c>
      <c r="AB1875" s="10">
        <f>REPT(" ",4)</f>
        <v/>
      </c>
      <c r="AC1875" s="10">
        <f>LEFT(UPPER(H1875)&amp;REPT(" ",250),250)</f>
        <v/>
      </c>
      <c r="AD1875" s="10">
        <f>TEXT($G$2,"dd/mm/aaaa")</f>
        <v/>
      </c>
      <c r="AE1875" s="10">
        <f>REPT(" ",10)</f>
        <v/>
      </c>
      <c r="AF1875" s="10">
        <f>REPT(" ",20)</f>
        <v/>
      </c>
      <c r="AG1875" s="54">
        <f>REPT(" ",18-LEN(FIXED(F1875,2,TRUE)))&amp;FIXED(F1875,2,TRUE)</f>
        <v/>
      </c>
      <c r="AH1875" s="10">
        <f>LEN(AC1875)+LEN(AG1875)</f>
        <v/>
      </c>
      <c r="AI1875" s="10">
        <f>LEN(L1875)</f>
        <v/>
      </c>
    </row>
    <row r="1876">
      <c r="J1876" s="12">
        <f>IF(F1876&lt;&gt;0,"LANÇAR","")</f>
        <v/>
      </c>
      <c r="L1876" s="13">
        <f>N1876&amp;O1876&amp;P1876&amp;Q1876&amp;R1876&amp;S1876&amp;T1876&amp;U1876&amp;V1876&amp;W1876&amp;X1876&amp;Y1876&amp;Z1876&amp;AA1876&amp;AB1876&amp;AC1876&amp;AD1876&amp;AE1876&amp;AF1876&amp;AG1876</f>
        <v/>
      </c>
      <c r="N1876" s="10">
        <f>TEXT($B$6,"00")</f>
        <v/>
      </c>
      <c r="O1876" s="10">
        <f>REPT(" ",8)</f>
        <v/>
      </c>
      <c r="P1876" s="10">
        <f>RIGHT($B$4,2)</f>
        <v/>
      </c>
      <c r="Q1876" s="10">
        <f>RIGHT($B$5,3)</f>
        <v/>
      </c>
      <c r="R1876" s="10">
        <f>IF(A1876="D",LEFT(UPPER(B1876)&amp;REPT(" ",20),20),REPT(" ",20))</f>
        <v/>
      </c>
      <c r="S1876" s="10">
        <f>IF(A1876="D",LEFT(UPPER(C1876)&amp;REPT(" ",10),10)," ")</f>
        <v/>
      </c>
      <c r="T1876" s="10">
        <f>IF(A1876="D",LEFT(UPPER(D1876)&amp;REPT(" ",2),2)," ")</f>
        <v/>
      </c>
      <c r="U1876" s="10">
        <f>IF(A1876="D",LEFT(UPPER(E1876)&amp;REPT(" ",15),15)," ")</f>
        <v/>
      </c>
      <c r="V1876" s="10">
        <f>REPT(" ",24)</f>
        <v/>
      </c>
      <c r="W1876" s="10">
        <f>IF(A1876="c",LEFT(UPPER(B1876)&amp;REPT(" ",20),20),REPT(" ",20))</f>
        <v/>
      </c>
      <c r="X1876" s="10">
        <f>IF(A1876="C",LEFT(UPPER(C1876)&amp;REPT(" ",10),10)," ")</f>
        <v/>
      </c>
      <c r="Y1876" s="10">
        <f>IF(A1876="C",LEFT(UPPER(D1876)&amp;REPT(" ",2),2)," ")</f>
        <v/>
      </c>
      <c r="Z1876" s="10">
        <f>IF(A1876="C",LEFT(UPPER(E1876)&amp;REPT(" ",15),15)," ")</f>
        <v/>
      </c>
      <c r="AA1876" s="10">
        <f>REPT(" ",8)</f>
        <v/>
      </c>
      <c r="AB1876" s="10">
        <f>REPT(" ",4)</f>
        <v/>
      </c>
      <c r="AC1876" s="10">
        <f>LEFT(UPPER(H1876)&amp;REPT(" ",250),250)</f>
        <v/>
      </c>
      <c r="AD1876" s="10">
        <f>TEXT($G$2,"dd/mm/aaaa")</f>
        <v/>
      </c>
      <c r="AE1876" s="10">
        <f>REPT(" ",10)</f>
        <v/>
      </c>
      <c r="AF1876" s="10">
        <f>REPT(" ",20)</f>
        <v/>
      </c>
      <c r="AG1876" s="54">
        <f>REPT(" ",18-LEN(FIXED(F1876,2,TRUE)))&amp;FIXED(F1876,2,TRUE)</f>
        <v/>
      </c>
      <c r="AH1876" s="10">
        <f>LEN(AC1876)+LEN(AG1876)</f>
        <v/>
      </c>
      <c r="AI1876" s="10">
        <f>LEN(L1876)</f>
        <v/>
      </c>
    </row>
    <row r="1877">
      <c r="J1877" s="12">
        <f>IF(F1877&lt;&gt;0,"LANÇAR","")</f>
        <v/>
      </c>
      <c r="L1877" s="13">
        <f>N1877&amp;O1877&amp;P1877&amp;Q1877&amp;R1877&amp;S1877&amp;T1877&amp;U1877&amp;V1877&amp;W1877&amp;X1877&amp;Y1877&amp;Z1877&amp;AA1877&amp;AB1877&amp;AC1877&amp;AD1877&amp;AE1877&amp;AF1877&amp;AG1877</f>
        <v/>
      </c>
      <c r="N1877" s="10">
        <f>TEXT($B$6,"00")</f>
        <v/>
      </c>
      <c r="O1877" s="10">
        <f>REPT(" ",8)</f>
        <v/>
      </c>
      <c r="P1877" s="10">
        <f>RIGHT($B$4,2)</f>
        <v/>
      </c>
      <c r="Q1877" s="10">
        <f>RIGHT($B$5,3)</f>
        <v/>
      </c>
      <c r="R1877" s="10">
        <f>IF(A1877="D",LEFT(UPPER(B1877)&amp;REPT(" ",20),20),REPT(" ",20))</f>
        <v/>
      </c>
      <c r="S1877" s="10">
        <f>IF(A1877="D",LEFT(UPPER(C1877)&amp;REPT(" ",10),10)," ")</f>
        <v/>
      </c>
      <c r="T1877" s="10">
        <f>IF(A1877="D",LEFT(UPPER(D1877)&amp;REPT(" ",2),2)," ")</f>
        <v/>
      </c>
      <c r="U1877" s="10">
        <f>IF(A1877="D",LEFT(UPPER(E1877)&amp;REPT(" ",15),15)," ")</f>
        <v/>
      </c>
      <c r="V1877" s="10">
        <f>REPT(" ",24)</f>
        <v/>
      </c>
      <c r="W1877" s="10">
        <f>IF(A1877="c",LEFT(UPPER(B1877)&amp;REPT(" ",20),20),REPT(" ",20))</f>
        <v/>
      </c>
      <c r="X1877" s="10">
        <f>IF(A1877="C",LEFT(UPPER(C1877)&amp;REPT(" ",10),10)," ")</f>
        <v/>
      </c>
      <c r="Y1877" s="10">
        <f>IF(A1877="C",LEFT(UPPER(D1877)&amp;REPT(" ",2),2)," ")</f>
        <v/>
      </c>
      <c r="Z1877" s="10">
        <f>IF(A1877="C",LEFT(UPPER(E1877)&amp;REPT(" ",15),15)," ")</f>
        <v/>
      </c>
      <c r="AA1877" s="10">
        <f>REPT(" ",8)</f>
        <v/>
      </c>
      <c r="AB1877" s="10">
        <f>REPT(" ",4)</f>
        <v/>
      </c>
      <c r="AC1877" s="10">
        <f>LEFT(UPPER(H1877)&amp;REPT(" ",250),250)</f>
        <v/>
      </c>
      <c r="AD1877" s="10">
        <f>TEXT($G$2,"dd/mm/aaaa")</f>
        <v/>
      </c>
      <c r="AE1877" s="10">
        <f>REPT(" ",10)</f>
        <v/>
      </c>
      <c r="AF1877" s="10">
        <f>REPT(" ",20)</f>
        <v/>
      </c>
      <c r="AG1877" s="54">
        <f>REPT(" ",18-LEN(FIXED(F1877,2,TRUE)))&amp;FIXED(F1877,2,TRUE)</f>
        <v/>
      </c>
      <c r="AH1877" s="10">
        <f>LEN(AC1877)+LEN(AG1877)</f>
        <v/>
      </c>
      <c r="AI1877" s="10">
        <f>LEN(L1877)</f>
        <v/>
      </c>
    </row>
    <row r="1878">
      <c r="J1878" s="12">
        <f>IF(F1878&lt;&gt;0,"LANÇAR","")</f>
        <v/>
      </c>
      <c r="L1878" s="13">
        <f>N1878&amp;O1878&amp;P1878&amp;Q1878&amp;R1878&amp;S1878&amp;T1878&amp;U1878&amp;V1878&amp;W1878&amp;X1878&amp;Y1878&amp;Z1878&amp;AA1878&amp;AB1878&amp;AC1878&amp;AD1878&amp;AE1878&amp;AF1878&amp;AG1878</f>
        <v/>
      </c>
      <c r="N1878" s="10">
        <f>TEXT($B$6,"00")</f>
        <v/>
      </c>
      <c r="O1878" s="10">
        <f>REPT(" ",8)</f>
        <v/>
      </c>
      <c r="P1878" s="10">
        <f>RIGHT($B$4,2)</f>
        <v/>
      </c>
      <c r="Q1878" s="10">
        <f>RIGHT($B$5,3)</f>
        <v/>
      </c>
      <c r="R1878" s="10">
        <f>IF(A1878="D",LEFT(UPPER(B1878)&amp;REPT(" ",20),20),REPT(" ",20))</f>
        <v/>
      </c>
      <c r="S1878" s="10">
        <f>IF(A1878="D",LEFT(UPPER(C1878)&amp;REPT(" ",10),10)," ")</f>
        <v/>
      </c>
      <c r="T1878" s="10">
        <f>IF(A1878="D",LEFT(UPPER(D1878)&amp;REPT(" ",2),2)," ")</f>
        <v/>
      </c>
      <c r="U1878" s="10">
        <f>IF(A1878="D",LEFT(UPPER(E1878)&amp;REPT(" ",15),15)," ")</f>
        <v/>
      </c>
      <c r="V1878" s="10">
        <f>REPT(" ",24)</f>
        <v/>
      </c>
      <c r="W1878" s="10">
        <f>IF(A1878="c",LEFT(UPPER(B1878)&amp;REPT(" ",20),20),REPT(" ",20))</f>
        <v/>
      </c>
      <c r="X1878" s="10">
        <f>IF(A1878="C",LEFT(UPPER(C1878)&amp;REPT(" ",10),10)," ")</f>
        <v/>
      </c>
      <c r="Y1878" s="10">
        <f>IF(A1878="C",LEFT(UPPER(D1878)&amp;REPT(" ",2),2)," ")</f>
        <v/>
      </c>
      <c r="Z1878" s="10">
        <f>IF(A1878="C",LEFT(UPPER(E1878)&amp;REPT(" ",15),15)," ")</f>
        <v/>
      </c>
      <c r="AA1878" s="10">
        <f>REPT(" ",8)</f>
        <v/>
      </c>
      <c r="AB1878" s="10">
        <f>REPT(" ",4)</f>
        <v/>
      </c>
      <c r="AC1878" s="10">
        <f>LEFT(UPPER(H1878)&amp;REPT(" ",250),250)</f>
        <v/>
      </c>
      <c r="AD1878" s="10">
        <f>TEXT($G$2,"dd/mm/aaaa")</f>
        <v/>
      </c>
      <c r="AE1878" s="10">
        <f>REPT(" ",10)</f>
        <v/>
      </c>
      <c r="AF1878" s="10">
        <f>REPT(" ",20)</f>
        <v/>
      </c>
      <c r="AG1878" s="54">
        <f>REPT(" ",18-LEN(FIXED(F1878,2,TRUE)))&amp;FIXED(F1878,2,TRUE)</f>
        <v/>
      </c>
      <c r="AH1878" s="10">
        <f>LEN(AC1878)+LEN(AG1878)</f>
        <v/>
      </c>
      <c r="AI1878" s="10">
        <f>LEN(L1878)</f>
        <v/>
      </c>
    </row>
    <row r="1879">
      <c r="J1879" s="12">
        <f>IF(F1879&lt;&gt;0,"LANÇAR","")</f>
        <v/>
      </c>
      <c r="L1879" s="13">
        <f>N1879&amp;O1879&amp;P1879&amp;Q1879&amp;R1879&amp;S1879&amp;T1879&amp;U1879&amp;V1879&amp;W1879&amp;X1879&amp;Y1879&amp;Z1879&amp;AA1879&amp;AB1879&amp;AC1879&amp;AD1879&amp;AE1879&amp;AF1879&amp;AG1879</f>
        <v/>
      </c>
      <c r="N1879" s="10">
        <f>TEXT($B$6,"00")</f>
        <v/>
      </c>
      <c r="O1879" s="10">
        <f>REPT(" ",8)</f>
        <v/>
      </c>
      <c r="P1879" s="10">
        <f>RIGHT($B$4,2)</f>
        <v/>
      </c>
      <c r="Q1879" s="10">
        <f>RIGHT($B$5,3)</f>
        <v/>
      </c>
      <c r="R1879" s="10">
        <f>IF(A1879="D",LEFT(UPPER(B1879)&amp;REPT(" ",20),20),REPT(" ",20))</f>
        <v/>
      </c>
      <c r="S1879" s="10">
        <f>IF(A1879="D",LEFT(UPPER(C1879)&amp;REPT(" ",10),10)," ")</f>
        <v/>
      </c>
      <c r="T1879" s="10">
        <f>IF(A1879="D",LEFT(UPPER(D1879)&amp;REPT(" ",2),2)," ")</f>
        <v/>
      </c>
      <c r="U1879" s="10">
        <f>IF(A1879="D",LEFT(UPPER(E1879)&amp;REPT(" ",15),15)," ")</f>
        <v/>
      </c>
      <c r="V1879" s="10">
        <f>REPT(" ",24)</f>
        <v/>
      </c>
      <c r="W1879" s="10">
        <f>IF(A1879="c",LEFT(UPPER(B1879)&amp;REPT(" ",20),20),REPT(" ",20))</f>
        <v/>
      </c>
      <c r="X1879" s="10">
        <f>IF(A1879="C",LEFT(UPPER(C1879)&amp;REPT(" ",10),10)," ")</f>
        <v/>
      </c>
      <c r="Y1879" s="10">
        <f>IF(A1879="C",LEFT(UPPER(D1879)&amp;REPT(" ",2),2)," ")</f>
        <v/>
      </c>
      <c r="Z1879" s="10">
        <f>IF(A1879="C",LEFT(UPPER(E1879)&amp;REPT(" ",15),15)," ")</f>
        <v/>
      </c>
      <c r="AA1879" s="10">
        <f>REPT(" ",8)</f>
        <v/>
      </c>
      <c r="AB1879" s="10">
        <f>REPT(" ",4)</f>
        <v/>
      </c>
      <c r="AC1879" s="10">
        <f>LEFT(UPPER(H1879)&amp;REPT(" ",250),250)</f>
        <v/>
      </c>
      <c r="AD1879" s="10">
        <f>TEXT($G$2,"dd/mm/aaaa")</f>
        <v/>
      </c>
      <c r="AE1879" s="10">
        <f>REPT(" ",10)</f>
        <v/>
      </c>
      <c r="AF1879" s="10">
        <f>REPT(" ",20)</f>
        <v/>
      </c>
      <c r="AG1879" s="54">
        <f>REPT(" ",18-LEN(FIXED(F1879,2,TRUE)))&amp;FIXED(F1879,2,TRUE)</f>
        <v/>
      </c>
      <c r="AH1879" s="10">
        <f>LEN(AC1879)+LEN(AG1879)</f>
        <v/>
      </c>
      <c r="AI1879" s="10">
        <f>LEN(L1879)</f>
        <v/>
      </c>
    </row>
    <row r="1880">
      <c r="J1880" s="12">
        <f>IF(F1880&lt;&gt;0,"LANÇAR","")</f>
        <v/>
      </c>
      <c r="L1880" s="13">
        <f>N1880&amp;O1880&amp;P1880&amp;Q1880&amp;R1880&amp;S1880&amp;T1880&amp;U1880&amp;V1880&amp;W1880&amp;X1880&amp;Y1880&amp;Z1880&amp;AA1880&amp;AB1880&amp;AC1880&amp;AD1880&amp;AE1880&amp;AF1880&amp;AG1880</f>
        <v/>
      </c>
      <c r="N1880" s="10">
        <f>TEXT($B$6,"00")</f>
        <v/>
      </c>
      <c r="O1880" s="10">
        <f>REPT(" ",8)</f>
        <v/>
      </c>
      <c r="P1880" s="10">
        <f>RIGHT($B$4,2)</f>
        <v/>
      </c>
      <c r="Q1880" s="10">
        <f>RIGHT($B$5,3)</f>
        <v/>
      </c>
      <c r="R1880" s="10">
        <f>IF(A1880="D",LEFT(UPPER(B1880)&amp;REPT(" ",20),20),REPT(" ",20))</f>
        <v/>
      </c>
      <c r="S1880" s="10">
        <f>IF(A1880="D",LEFT(UPPER(C1880)&amp;REPT(" ",10),10)," ")</f>
        <v/>
      </c>
      <c r="T1880" s="10">
        <f>IF(A1880="D",LEFT(UPPER(D1880)&amp;REPT(" ",2),2)," ")</f>
        <v/>
      </c>
      <c r="U1880" s="10">
        <f>IF(A1880="D",LEFT(UPPER(E1880)&amp;REPT(" ",15),15)," ")</f>
        <v/>
      </c>
      <c r="V1880" s="10">
        <f>REPT(" ",24)</f>
        <v/>
      </c>
      <c r="W1880" s="10">
        <f>IF(A1880="c",LEFT(UPPER(B1880)&amp;REPT(" ",20),20),REPT(" ",20))</f>
        <v/>
      </c>
      <c r="X1880" s="10">
        <f>IF(A1880="C",LEFT(UPPER(C1880)&amp;REPT(" ",10),10)," ")</f>
        <v/>
      </c>
      <c r="Y1880" s="10">
        <f>IF(A1880="C",LEFT(UPPER(D1880)&amp;REPT(" ",2),2)," ")</f>
        <v/>
      </c>
      <c r="Z1880" s="10">
        <f>IF(A1880="C",LEFT(UPPER(E1880)&amp;REPT(" ",15),15)," ")</f>
        <v/>
      </c>
      <c r="AA1880" s="10">
        <f>REPT(" ",8)</f>
        <v/>
      </c>
      <c r="AB1880" s="10">
        <f>REPT(" ",4)</f>
        <v/>
      </c>
      <c r="AC1880" s="10">
        <f>LEFT(UPPER(H1880)&amp;REPT(" ",250),250)</f>
        <v/>
      </c>
      <c r="AD1880" s="10">
        <f>TEXT($G$2,"dd/mm/aaaa")</f>
        <v/>
      </c>
      <c r="AE1880" s="10">
        <f>REPT(" ",10)</f>
        <v/>
      </c>
      <c r="AF1880" s="10">
        <f>REPT(" ",20)</f>
        <v/>
      </c>
      <c r="AG1880" s="54">
        <f>REPT(" ",18-LEN(FIXED(F1880,2,TRUE)))&amp;FIXED(F1880,2,TRUE)</f>
        <v/>
      </c>
      <c r="AH1880" s="10">
        <f>LEN(AC1880)+LEN(AG1880)</f>
        <v/>
      </c>
      <c r="AI1880" s="10">
        <f>LEN(L1880)</f>
        <v/>
      </c>
    </row>
    <row r="1881">
      <c r="J1881" s="12">
        <f>IF(F1881&lt;&gt;0,"LANÇAR","")</f>
        <v/>
      </c>
      <c r="L1881" s="13">
        <f>N1881&amp;O1881&amp;P1881&amp;Q1881&amp;R1881&amp;S1881&amp;T1881&amp;U1881&amp;V1881&amp;W1881&amp;X1881&amp;Y1881&amp;Z1881&amp;AA1881&amp;AB1881&amp;AC1881&amp;AD1881&amp;AE1881&amp;AF1881&amp;AG1881</f>
        <v/>
      </c>
      <c r="N1881" s="10">
        <f>TEXT($B$6,"00")</f>
        <v/>
      </c>
      <c r="O1881" s="10">
        <f>REPT(" ",8)</f>
        <v/>
      </c>
      <c r="P1881" s="10">
        <f>RIGHT($B$4,2)</f>
        <v/>
      </c>
      <c r="Q1881" s="10">
        <f>RIGHT($B$5,3)</f>
        <v/>
      </c>
      <c r="R1881" s="10">
        <f>IF(A1881="D",LEFT(UPPER(B1881)&amp;REPT(" ",20),20),REPT(" ",20))</f>
        <v/>
      </c>
      <c r="S1881" s="10">
        <f>IF(A1881="D",LEFT(UPPER(C1881)&amp;REPT(" ",10),10)," ")</f>
        <v/>
      </c>
      <c r="T1881" s="10">
        <f>IF(A1881="D",LEFT(UPPER(D1881)&amp;REPT(" ",2),2)," ")</f>
        <v/>
      </c>
      <c r="U1881" s="10">
        <f>IF(A1881="D",LEFT(UPPER(E1881)&amp;REPT(" ",15),15)," ")</f>
        <v/>
      </c>
      <c r="V1881" s="10">
        <f>REPT(" ",24)</f>
        <v/>
      </c>
      <c r="W1881" s="10">
        <f>IF(A1881="c",LEFT(UPPER(B1881)&amp;REPT(" ",20),20),REPT(" ",20))</f>
        <v/>
      </c>
      <c r="X1881" s="10">
        <f>IF(A1881="C",LEFT(UPPER(C1881)&amp;REPT(" ",10),10)," ")</f>
        <v/>
      </c>
      <c r="Y1881" s="10">
        <f>IF(A1881="C",LEFT(UPPER(D1881)&amp;REPT(" ",2),2)," ")</f>
        <v/>
      </c>
      <c r="Z1881" s="10">
        <f>IF(A1881="C",LEFT(UPPER(E1881)&amp;REPT(" ",15),15)," ")</f>
        <v/>
      </c>
      <c r="AA1881" s="10">
        <f>REPT(" ",8)</f>
        <v/>
      </c>
      <c r="AB1881" s="10">
        <f>REPT(" ",4)</f>
        <v/>
      </c>
      <c r="AC1881" s="10">
        <f>LEFT(UPPER(H1881)&amp;REPT(" ",250),250)</f>
        <v/>
      </c>
      <c r="AD1881" s="10">
        <f>TEXT($G$2,"dd/mm/aaaa")</f>
        <v/>
      </c>
      <c r="AE1881" s="10">
        <f>REPT(" ",10)</f>
        <v/>
      </c>
      <c r="AF1881" s="10">
        <f>REPT(" ",20)</f>
        <v/>
      </c>
      <c r="AG1881" s="54">
        <f>REPT(" ",18-LEN(FIXED(F1881,2,TRUE)))&amp;FIXED(F1881,2,TRUE)</f>
        <v/>
      </c>
      <c r="AH1881" s="10">
        <f>LEN(AC1881)+LEN(AG1881)</f>
        <v/>
      </c>
      <c r="AI1881" s="10">
        <f>LEN(L1881)</f>
        <v/>
      </c>
    </row>
    <row r="1882">
      <c r="J1882" s="12">
        <f>IF(F1882&lt;&gt;0,"LANÇAR","")</f>
        <v/>
      </c>
      <c r="L1882" s="13">
        <f>N1882&amp;O1882&amp;P1882&amp;Q1882&amp;R1882&amp;S1882&amp;T1882&amp;U1882&amp;V1882&amp;W1882&amp;X1882&amp;Y1882&amp;Z1882&amp;AA1882&amp;AB1882&amp;AC1882&amp;AD1882&amp;AE1882&amp;AF1882&amp;AG1882</f>
        <v/>
      </c>
      <c r="N1882" s="10">
        <f>TEXT($B$6,"00")</f>
        <v/>
      </c>
      <c r="O1882" s="10">
        <f>REPT(" ",8)</f>
        <v/>
      </c>
      <c r="P1882" s="10">
        <f>RIGHT($B$4,2)</f>
        <v/>
      </c>
      <c r="Q1882" s="10">
        <f>RIGHT($B$5,3)</f>
        <v/>
      </c>
      <c r="R1882" s="10">
        <f>IF(A1882="D",LEFT(UPPER(B1882)&amp;REPT(" ",20),20),REPT(" ",20))</f>
        <v/>
      </c>
      <c r="S1882" s="10">
        <f>IF(A1882="D",LEFT(UPPER(C1882)&amp;REPT(" ",10),10)," ")</f>
        <v/>
      </c>
      <c r="T1882" s="10">
        <f>IF(A1882="D",LEFT(UPPER(D1882)&amp;REPT(" ",2),2)," ")</f>
        <v/>
      </c>
      <c r="U1882" s="10">
        <f>IF(A1882="D",LEFT(UPPER(E1882)&amp;REPT(" ",15),15)," ")</f>
        <v/>
      </c>
      <c r="V1882" s="10">
        <f>REPT(" ",24)</f>
        <v/>
      </c>
      <c r="W1882" s="10">
        <f>IF(A1882="c",LEFT(UPPER(B1882)&amp;REPT(" ",20),20),REPT(" ",20))</f>
        <v/>
      </c>
      <c r="X1882" s="10">
        <f>IF(A1882="C",LEFT(UPPER(C1882)&amp;REPT(" ",10),10)," ")</f>
        <v/>
      </c>
      <c r="Y1882" s="10">
        <f>IF(A1882="C",LEFT(UPPER(D1882)&amp;REPT(" ",2),2)," ")</f>
        <v/>
      </c>
      <c r="Z1882" s="10">
        <f>IF(A1882="C",LEFT(UPPER(E1882)&amp;REPT(" ",15),15)," ")</f>
        <v/>
      </c>
      <c r="AA1882" s="10">
        <f>REPT(" ",8)</f>
        <v/>
      </c>
      <c r="AB1882" s="10">
        <f>REPT(" ",4)</f>
        <v/>
      </c>
      <c r="AC1882" s="10">
        <f>LEFT(UPPER(H1882)&amp;REPT(" ",250),250)</f>
        <v/>
      </c>
      <c r="AD1882" s="10">
        <f>TEXT($G$2,"dd/mm/aaaa")</f>
        <v/>
      </c>
      <c r="AE1882" s="10">
        <f>REPT(" ",10)</f>
        <v/>
      </c>
      <c r="AF1882" s="10">
        <f>REPT(" ",20)</f>
        <v/>
      </c>
      <c r="AG1882" s="54">
        <f>REPT(" ",18-LEN(FIXED(F1882,2,TRUE)))&amp;FIXED(F1882,2,TRUE)</f>
        <v/>
      </c>
      <c r="AH1882" s="10">
        <f>LEN(AC1882)+LEN(AG1882)</f>
        <v/>
      </c>
      <c r="AI1882" s="10">
        <f>LEN(L1882)</f>
        <v/>
      </c>
    </row>
    <row r="1883">
      <c r="J1883" s="12">
        <f>IF(F1883&lt;&gt;0,"LANÇAR","")</f>
        <v/>
      </c>
      <c r="L1883" s="13">
        <f>N1883&amp;O1883&amp;P1883&amp;Q1883&amp;R1883&amp;S1883&amp;T1883&amp;U1883&amp;V1883&amp;W1883&amp;X1883&amp;Y1883&amp;Z1883&amp;AA1883&amp;AB1883&amp;AC1883&amp;AD1883&amp;AE1883&amp;AF1883&amp;AG1883</f>
        <v/>
      </c>
      <c r="N1883" s="10">
        <f>TEXT($B$6,"00")</f>
        <v/>
      </c>
      <c r="O1883" s="10">
        <f>REPT(" ",8)</f>
        <v/>
      </c>
      <c r="P1883" s="10">
        <f>RIGHT($B$4,2)</f>
        <v/>
      </c>
      <c r="Q1883" s="10">
        <f>RIGHT($B$5,3)</f>
        <v/>
      </c>
      <c r="R1883" s="10">
        <f>IF(A1883="D",LEFT(UPPER(B1883)&amp;REPT(" ",20),20),REPT(" ",20))</f>
        <v/>
      </c>
      <c r="S1883" s="10">
        <f>IF(A1883="D",LEFT(UPPER(C1883)&amp;REPT(" ",10),10)," ")</f>
        <v/>
      </c>
      <c r="T1883" s="10">
        <f>IF(A1883="D",LEFT(UPPER(D1883)&amp;REPT(" ",2),2)," ")</f>
        <v/>
      </c>
      <c r="U1883" s="10">
        <f>IF(A1883="D",LEFT(UPPER(E1883)&amp;REPT(" ",15),15)," ")</f>
        <v/>
      </c>
      <c r="V1883" s="10">
        <f>REPT(" ",24)</f>
        <v/>
      </c>
      <c r="W1883" s="10">
        <f>IF(A1883="c",LEFT(UPPER(B1883)&amp;REPT(" ",20),20),REPT(" ",20))</f>
        <v/>
      </c>
      <c r="X1883" s="10">
        <f>IF(A1883="C",LEFT(UPPER(C1883)&amp;REPT(" ",10),10)," ")</f>
        <v/>
      </c>
      <c r="Y1883" s="10">
        <f>IF(A1883="C",LEFT(UPPER(D1883)&amp;REPT(" ",2),2)," ")</f>
        <v/>
      </c>
      <c r="Z1883" s="10">
        <f>IF(A1883="C",LEFT(UPPER(E1883)&amp;REPT(" ",15),15)," ")</f>
        <v/>
      </c>
      <c r="AA1883" s="10">
        <f>REPT(" ",8)</f>
        <v/>
      </c>
      <c r="AB1883" s="10">
        <f>REPT(" ",4)</f>
        <v/>
      </c>
      <c r="AC1883" s="10">
        <f>LEFT(UPPER(H1883)&amp;REPT(" ",250),250)</f>
        <v/>
      </c>
      <c r="AD1883" s="10">
        <f>TEXT($G$2,"dd/mm/aaaa")</f>
        <v/>
      </c>
      <c r="AE1883" s="10">
        <f>REPT(" ",10)</f>
        <v/>
      </c>
      <c r="AF1883" s="10">
        <f>REPT(" ",20)</f>
        <v/>
      </c>
      <c r="AG1883" s="54">
        <f>REPT(" ",18-LEN(FIXED(F1883,2,TRUE)))&amp;FIXED(F1883,2,TRUE)</f>
        <v/>
      </c>
      <c r="AH1883" s="10">
        <f>LEN(AC1883)+LEN(AG1883)</f>
        <v/>
      </c>
      <c r="AI1883" s="10">
        <f>LEN(L1883)</f>
        <v/>
      </c>
    </row>
    <row r="1884">
      <c r="J1884" s="12">
        <f>IF(F1884&lt;&gt;0,"LANÇAR","")</f>
        <v/>
      </c>
      <c r="L1884" s="13">
        <f>N1884&amp;O1884&amp;P1884&amp;Q1884&amp;R1884&amp;S1884&amp;T1884&amp;U1884&amp;V1884&amp;W1884&amp;X1884&amp;Y1884&amp;Z1884&amp;AA1884&amp;AB1884&amp;AC1884&amp;AD1884&amp;AE1884&amp;AF1884&amp;AG1884</f>
        <v/>
      </c>
      <c r="N1884" s="10">
        <f>TEXT($B$6,"00")</f>
        <v/>
      </c>
      <c r="O1884" s="10">
        <f>REPT(" ",8)</f>
        <v/>
      </c>
      <c r="P1884" s="10">
        <f>RIGHT($B$4,2)</f>
        <v/>
      </c>
      <c r="Q1884" s="10">
        <f>RIGHT($B$5,3)</f>
        <v/>
      </c>
      <c r="R1884" s="10">
        <f>IF(A1884="D",LEFT(UPPER(B1884)&amp;REPT(" ",20),20),REPT(" ",20))</f>
        <v/>
      </c>
      <c r="S1884" s="10">
        <f>IF(A1884="D",LEFT(UPPER(C1884)&amp;REPT(" ",10),10)," ")</f>
        <v/>
      </c>
      <c r="T1884" s="10">
        <f>IF(A1884="D",LEFT(UPPER(D1884)&amp;REPT(" ",2),2)," ")</f>
        <v/>
      </c>
      <c r="U1884" s="10">
        <f>IF(A1884="D",LEFT(UPPER(E1884)&amp;REPT(" ",15),15)," ")</f>
        <v/>
      </c>
      <c r="V1884" s="10">
        <f>REPT(" ",24)</f>
        <v/>
      </c>
      <c r="W1884" s="10">
        <f>IF(A1884="c",LEFT(UPPER(B1884)&amp;REPT(" ",20),20),REPT(" ",20))</f>
        <v/>
      </c>
      <c r="X1884" s="10">
        <f>IF(A1884="C",LEFT(UPPER(C1884)&amp;REPT(" ",10),10)," ")</f>
        <v/>
      </c>
      <c r="Y1884" s="10">
        <f>IF(A1884="C",LEFT(UPPER(D1884)&amp;REPT(" ",2),2)," ")</f>
        <v/>
      </c>
      <c r="Z1884" s="10">
        <f>IF(A1884="C",LEFT(UPPER(E1884)&amp;REPT(" ",15),15)," ")</f>
        <v/>
      </c>
      <c r="AA1884" s="10">
        <f>REPT(" ",8)</f>
        <v/>
      </c>
      <c r="AB1884" s="10">
        <f>REPT(" ",4)</f>
        <v/>
      </c>
      <c r="AC1884" s="10">
        <f>LEFT(UPPER(H1884)&amp;REPT(" ",250),250)</f>
        <v/>
      </c>
      <c r="AD1884" s="10">
        <f>TEXT($G$2,"dd/mm/aaaa")</f>
        <v/>
      </c>
      <c r="AE1884" s="10">
        <f>REPT(" ",10)</f>
        <v/>
      </c>
      <c r="AF1884" s="10">
        <f>REPT(" ",20)</f>
        <v/>
      </c>
      <c r="AG1884" s="54">
        <f>REPT(" ",18-LEN(FIXED(F1884,2,TRUE)))&amp;FIXED(F1884,2,TRUE)</f>
        <v/>
      </c>
      <c r="AH1884" s="10">
        <f>LEN(AC1884)+LEN(AG1884)</f>
        <v/>
      </c>
      <c r="AI1884" s="10">
        <f>LEN(L1884)</f>
        <v/>
      </c>
    </row>
    <row r="1885">
      <c r="J1885" s="12">
        <f>IF(F1885&lt;&gt;0,"LANÇAR","")</f>
        <v/>
      </c>
      <c r="L1885" s="13">
        <f>N1885&amp;O1885&amp;P1885&amp;Q1885&amp;R1885&amp;S1885&amp;T1885&amp;U1885&amp;V1885&amp;W1885&amp;X1885&amp;Y1885&amp;Z1885&amp;AA1885&amp;AB1885&amp;AC1885&amp;AD1885&amp;AE1885&amp;AF1885&amp;AG1885</f>
        <v/>
      </c>
      <c r="N1885" s="10">
        <f>TEXT($B$6,"00")</f>
        <v/>
      </c>
      <c r="O1885" s="10">
        <f>REPT(" ",8)</f>
        <v/>
      </c>
      <c r="P1885" s="10">
        <f>RIGHT($B$4,2)</f>
        <v/>
      </c>
      <c r="Q1885" s="10">
        <f>RIGHT($B$5,3)</f>
        <v/>
      </c>
      <c r="R1885" s="10">
        <f>IF(A1885="D",LEFT(UPPER(B1885)&amp;REPT(" ",20),20),REPT(" ",20))</f>
        <v/>
      </c>
      <c r="S1885" s="10">
        <f>IF(A1885="D",LEFT(UPPER(C1885)&amp;REPT(" ",10),10)," ")</f>
        <v/>
      </c>
      <c r="T1885" s="10">
        <f>IF(A1885="D",LEFT(UPPER(D1885)&amp;REPT(" ",2),2)," ")</f>
        <v/>
      </c>
      <c r="U1885" s="10">
        <f>IF(A1885="D",LEFT(UPPER(E1885)&amp;REPT(" ",15),15)," ")</f>
        <v/>
      </c>
      <c r="V1885" s="10">
        <f>REPT(" ",24)</f>
        <v/>
      </c>
      <c r="W1885" s="10">
        <f>IF(A1885="c",LEFT(UPPER(B1885)&amp;REPT(" ",20),20),REPT(" ",20))</f>
        <v/>
      </c>
      <c r="X1885" s="10">
        <f>IF(A1885="C",LEFT(UPPER(C1885)&amp;REPT(" ",10),10)," ")</f>
        <v/>
      </c>
      <c r="Y1885" s="10">
        <f>IF(A1885="C",LEFT(UPPER(D1885)&amp;REPT(" ",2),2)," ")</f>
        <v/>
      </c>
      <c r="Z1885" s="10">
        <f>IF(A1885="C",LEFT(UPPER(E1885)&amp;REPT(" ",15),15)," ")</f>
        <v/>
      </c>
      <c r="AA1885" s="10">
        <f>REPT(" ",8)</f>
        <v/>
      </c>
      <c r="AB1885" s="10">
        <f>REPT(" ",4)</f>
        <v/>
      </c>
      <c r="AC1885" s="10">
        <f>LEFT(UPPER(H1885)&amp;REPT(" ",250),250)</f>
        <v/>
      </c>
      <c r="AD1885" s="10">
        <f>TEXT($G$2,"dd/mm/aaaa")</f>
        <v/>
      </c>
      <c r="AE1885" s="10">
        <f>REPT(" ",10)</f>
        <v/>
      </c>
      <c r="AF1885" s="10">
        <f>REPT(" ",20)</f>
        <v/>
      </c>
      <c r="AG1885" s="54">
        <f>REPT(" ",18-LEN(FIXED(F1885,2,TRUE)))&amp;FIXED(F1885,2,TRUE)</f>
        <v/>
      </c>
      <c r="AH1885" s="10">
        <f>LEN(AC1885)+LEN(AG1885)</f>
        <v/>
      </c>
      <c r="AI1885" s="10">
        <f>LEN(L1885)</f>
        <v/>
      </c>
    </row>
    <row r="1886">
      <c r="J1886" s="12">
        <f>IF(F1886&lt;&gt;0,"LANÇAR","")</f>
        <v/>
      </c>
      <c r="L1886" s="13">
        <f>N1886&amp;O1886&amp;P1886&amp;Q1886&amp;R1886&amp;S1886&amp;T1886&amp;U1886&amp;V1886&amp;W1886&amp;X1886&amp;Y1886&amp;Z1886&amp;AA1886&amp;AB1886&amp;AC1886&amp;AD1886&amp;AE1886&amp;AF1886&amp;AG1886</f>
        <v/>
      </c>
      <c r="N1886" s="10">
        <f>TEXT($B$6,"00")</f>
        <v/>
      </c>
      <c r="O1886" s="10">
        <f>REPT(" ",8)</f>
        <v/>
      </c>
      <c r="P1886" s="10">
        <f>RIGHT($B$4,2)</f>
        <v/>
      </c>
      <c r="Q1886" s="10">
        <f>RIGHT($B$5,3)</f>
        <v/>
      </c>
      <c r="R1886" s="10">
        <f>IF(A1886="D",LEFT(UPPER(B1886)&amp;REPT(" ",20),20),REPT(" ",20))</f>
        <v/>
      </c>
      <c r="S1886" s="10">
        <f>IF(A1886="D",LEFT(UPPER(C1886)&amp;REPT(" ",10),10)," ")</f>
        <v/>
      </c>
      <c r="T1886" s="10">
        <f>IF(A1886="D",LEFT(UPPER(D1886)&amp;REPT(" ",2),2)," ")</f>
        <v/>
      </c>
      <c r="U1886" s="10">
        <f>IF(A1886="D",LEFT(UPPER(E1886)&amp;REPT(" ",15),15)," ")</f>
        <v/>
      </c>
      <c r="V1886" s="10">
        <f>REPT(" ",24)</f>
        <v/>
      </c>
      <c r="W1886" s="10">
        <f>IF(A1886="c",LEFT(UPPER(B1886)&amp;REPT(" ",20),20),REPT(" ",20))</f>
        <v/>
      </c>
      <c r="X1886" s="10">
        <f>IF(A1886="C",LEFT(UPPER(C1886)&amp;REPT(" ",10),10)," ")</f>
        <v/>
      </c>
      <c r="Y1886" s="10">
        <f>IF(A1886="C",LEFT(UPPER(D1886)&amp;REPT(" ",2),2)," ")</f>
        <v/>
      </c>
      <c r="Z1886" s="10">
        <f>IF(A1886="C",LEFT(UPPER(E1886)&amp;REPT(" ",15),15)," ")</f>
        <v/>
      </c>
      <c r="AA1886" s="10">
        <f>REPT(" ",8)</f>
        <v/>
      </c>
      <c r="AB1886" s="10">
        <f>REPT(" ",4)</f>
        <v/>
      </c>
      <c r="AC1886" s="10">
        <f>LEFT(UPPER(H1886)&amp;REPT(" ",250),250)</f>
        <v/>
      </c>
      <c r="AD1886" s="10">
        <f>TEXT($G$2,"dd/mm/aaaa")</f>
        <v/>
      </c>
      <c r="AE1886" s="10">
        <f>REPT(" ",10)</f>
        <v/>
      </c>
      <c r="AF1886" s="10">
        <f>REPT(" ",20)</f>
        <v/>
      </c>
      <c r="AG1886" s="54">
        <f>REPT(" ",18-LEN(FIXED(F1886,2,TRUE)))&amp;FIXED(F1886,2,TRUE)</f>
        <v/>
      </c>
      <c r="AH1886" s="10">
        <f>LEN(AC1886)+LEN(AG1886)</f>
        <v/>
      </c>
      <c r="AI1886" s="10">
        <f>LEN(L1886)</f>
        <v/>
      </c>
    </row>
    <row r="1887">
      <c r="J1887" s="12">
        <f>IF(F1887&lt;&gt;0,"LANÇAR","")</f>
        <v/>
      </c>
      <c r="L1887" s="13">
        <f>N1887&amp;O1887&amp;P1887&amp;Q1887&amp;R1887&amp;S1887&amp;T1887&amp;U1887&amp;V1887&amp;W1887&amp;X1887&amp;Y1887&amp;Z1887&amp;AA1887&amp;AB1887&amp;AC1887&amp;AD1887&amp;AE1887&amp;AF1887&amp;AG1887</f>
        <v/>
      </c>
      <c r="N1887" s="10">
        <f>TEXT($B$6,"00")</f>
        <v/>
      </c>
      <c r="O1887" s="10">
        <f>REPT(" ",8)</f>
        <v/>
      </c>
      <c r="P1887" s="10">
        <f>RIGHT($B$4,2)</f>
        <v/>
      </c>
      <c r="Q1887" s="10">
        <f>RIGHT($B$5,3)</f>
        <v/>
      </c>
      <c r="R1887" s="10">
        <f>IF(A1887="D",LEFT(UPPER(B1887)&amp;REPT(" ",20),20),REPT(" ",20))</f>
        <v/>
      </c>
      <c r="S1887" s="10">
        <f>IF(A1887="D",LEFT(UPPER(C1887)&amp;REPT(" ",10),10)," ")</f>
        <v/>
      </c>
      <c r="T1887" s="10">
        <f>IF(A1887="D",LEFT(UPPER(D1887)&amp;REPT(" ",2),2)," ")</f>
        <v/>
      </c>
      <c r="U1887" s="10">
        <f>IF(A1887="D",LEFT(UPPER(E1887)&amp;REPT(" ",15),15)," ")</f>
        <v/>
      </c>
      <c r="V1887" s="10">
        <f>REPT(" ",24)</f>
        <v/>
      </c>
      <c r="W1887" s="10">
        <f>IF(A1887="c",LEFT(UPPER(B1887)&amp;REPT(" ",20),20),REPT(" ",20))</f>
        <v/>
      </c>
      <c r="X1887" s="10">
        <f>IF(A1887="C",LEFT(UPPER(C1887)&amp;REPT(" ",10),10)," ")</f>
        <v/>
      </c>
      <c r="Y1887" s="10">
        <f>IF(A1887="C",LEFT(UPPER(D1887)&amp;REPT(" ",2),2)," ")</f>
        <v/>
      </c>
      <c r="Z1887" s="10">
        <f>IF(A1887="C",LEFT(UPPER(E1887)&amp;REPT(" ",15),15)," ")</f>
        <v/>
      </c>
      <c r="AA1887" s="10">
        <f>REPT(" ",8)</f>
        <v/>
      </c>
      <c r="AB1887" s="10">
        <f>REPT(" ",4)</f>
        <v/>
      </c>
      <c r="AC1887" s="10">
        <f>LEFT(UPPER(H1887)&amp;REPT(" ",250),250)</f>
        <v/>
      </c>
      <c r="AD1887" s="10">
        <f>TEXT($G$2,"dd/mm/aaaa")</f>
        <v/>
      </c>
      <c r="AE1887" s="10">
        <f>REPT(" ",10)</f>
        <v/>
      </c>
      <c r="AF1887" s="10">
        <f>REPT(" ",20)</f>
        <v/>
      </c>
      <c r="AG1887" s="54">
        <f>REPT(" ",18-LEN(FIXED(F1887,2,TRUE)))&amp;FIXED(F1887,2,TRUE)</f>
        <v/>
      </c>
      <c r="AH1887" s="10">
        <f>LEN(AC1887)+LEN(AG1887)</f>
        <v/>
      </c>
      <c r="AI1887" s="10">
        <f>LEN(L1887)</f>
        <v/>
      </c>
    </row>
    <row r="1888">
      <c r="J1888" s="12">
        <f>IF(F1888&lt;&gt;0,"LANÇAR","")</f>
        <v/>
      </c>
      <c r="L1888" s="13">
        <f>N1888&amp;O1888&amp;P1888&amp;Q1888&amp;R1888&amp;S1888&amp;T1888&amp;U1888&amp;V1888&amp;W1888&amp;X1888&amp;Y1888&amp;Z1888&amp;AA1888&amp;AB1888&amp;AC1888&amp;AD1888&amp;AE1888&amp;AF1888&amp;AG1888</f>
        <v/>
      </c>
      <c r="N1888" s="10">
        <f>TEXT($B$6,"00")</f>
        <v/>
      </c>
      <c r="O1888" s="10">
        <f>REPT(" ",8)</f>
        <v/>
      </c>
      <c r="P1888" s="10">
        <f>RIGHT($B$4,2)</f>
        <v/>
      </c>
      <c r="Q1888" s="10">
        <f>RIGHT($B$5,3)</f>
        <v/>
      </c>
      <c r="R1888" s="10">
        <f>IF(A1888="D",LEFT(UPPER(B1888)&amp;REPT(" ",20),20),REPT(" ",20))</f>
        <v/>
      </c>
      <c r="S1888" s="10">
        <f>IF(A1888="D",LEFT(UPPER(C1888)&amp;REPT(" ",10),10)," ")</f>
        <v/>
      </c>
      <c r="T1888" s="10">
        <f>IF(A1888="D",LEFT(UPPER(D1888)&amp;REPT(" ",2),2)," ")</f>
        <v/>
      </c>
      <c r="U1888" s="10">
        <f>IF(A1888="D",LEFT(UPPER(E1888)&amp;REPT(" ",15),15)," ")</f>
        <v/>
      </c>
      <c r="V1888" s="10">
        <f>REPT(" ",24)</f>
        <v/>
      </c>
      <c r="W1888" s="10">
        <f>IF(A1888="c",LEFT(UPPER(B1888)&amp;REPT(" ",20),20),REPT(" ",20))</f>
        <v/>
      </c>
      <c r="X1888" s="10">
        <f>IF(A1888="C",LEFT(UPPER(C1888)&amp;REPT(" ",10),10)," ")</f>
        <v/>
      </c>
      <c r="Y1888" s="10">
        <f>IF(A1888="C",LEFT(UPPER(D1888)&amp;REPT(" ",2),2)," ")</f>
        <v/>
      </c>
      <c r="Z1888" s="10">
        <f>IF(A1888="C",LEFT(UPPER(E1888)&amp;REPT(" ",15),15)," ")</f>
        <v/>
      </c>
      <c r="AA1888" s="10">
        <f>REPT(" ",8)</f>
        <v/>
      </c>
      <c r="AB1888" s="10">
        <f>REPT(" ",4)</f>
        <v/>
      </c>
      <c r="AC1888" s="10">
        <f>LEFT(UPPER(H1888)&amp;REPT(" ",250),250)</f>
        <v/>
      </c>
      <c r="AD1888" s="10">
        <f>TEXT($G$2,"dd/mm/aaaa")</f>
        <v/>
      </c>
      <c r="AE1888" s="10">
        <f>REPT(" ",10)</f>
        <v/>
      </c>
      <c r="AF1888" s="10">
        <f>REPT(" ",20)</f>
        <v/>
      </c>
      <c r="AG1888" s="54">
        <f>REPT(" ",18-LEN(FIXED(F1888,2,TRUE)))&amp;FIXED(F1888,2,TRUE)</f>
        <v/>
      </c>
      <c r="AH1888" s="10">
        <f>LEN(AC1888)+LEN(AG1888)</f>
        <v/>
      </c>
      <c r="AI1888" s="10">
        <f>LEN(L1888)</f>
        <v/>
      </c>
    </row>
    <row r="1889">
      <c r="J1889" s="12">
        <f>IF(F1889&lt;&gt;0,"LANÇAR","")</f>
        <v/>
      </c>
      <c r="L1889" s="13">
        <f>N1889&amp;O1889&amp;P1889&amp;Q1889&amp;R1889&amp;S1889&amp;T1889&amp;U1889&amp;V1889&amp;W1889&amp;X1889&amp;Y1889&amp;Z1889&amp;AA1889&amp;AB1889&amp;AC1889&amp;AD1889&amp;AE1889&amp;AF1889&amp;AG1889</f>
        <v/>
      </c>
      <c r="N1889" s="10">
        <f>TEXT($B$6,"00")</f>
        <v/>
      </c>
      <c r="O1889" s="10">
        <f>REPT(" ",8)</f>
        <v/>
      </c>
      <c r="P1889" s="10">
        <f>RIGHT($B$4,2)</f>
        <v/>
      </c>
      <c r="Q1889" s="10">
        <f>RIGHT($B$5,3)</f>
        <v/>
      </c>
      <c r="R1889" s="10">
        <f>IF(A1889="D",LEFT(UPPER(B1889)&amp;REPT(" ",20),20),REPT(" ",20))</f>
        <v/>
      </c>
      <c r="S1889" s="10">
        <f>IF(A1889="D",LEFT(UPPER(C1889)&amp;REPT(" ",10),10)," ")</f>
        <v/>
      </c>
      <c r="T1889" s="10">
        <f>IF(A1889="D",LEFT(UPPER(D1889)&amp;REPT(" ",2),2)," ")</f>
        <v/>
      </c>
      <c r="U1889" s="10">
        <f>IF(A1889="D",LEFT(UPPER(E1889)&amp;REPT(" ",15),15)," ")</f>
        <v/>
      </c>
      <c r="V1889" s="10">
        <f>REPT(" ",24)</f>
        <v/>
      </c>
      <c r="W1889" s="10">
        <f>IF(A1889="c",LEFT(UPPER(B1889)&amp;REPT(" ",20),20),REPT(" ",20))</f>
        <v/>
      </c>
      <c r="X1889" s="10">
        <f>IF(A1889="C",LEFT(UPPER(C1889)&amp;REPT(" ",10),10)," ")</f>
        <v/>
      </c>
      <c r="Y1889" s="10">
        <f>IF(A1889="C",LEFT(UPPER(D1889)&amp;REPT(" ",2),2)," ")</f>
        <v/>
      </c>
      <c r="Z1889" s="10">
        <f>IF(A1889="C",LEFT(UPPER(E1889)&amp;REPT(" ",15),15)," ")</f>
        <v/>
      </c>
      <c r="AA1889" s="10">
        <f>REPT(" ",8)</f>
        <v/>
      </c>
      <c r="AB1889" s="10">
        <f>REPT(" ",4)</f>
        <v/>
      </c>
      <c r="AC1889" s="10">
        <f>LEFT(UPPER(H1889)&amp;REPT(" ",250),250)</f>
        <v/>
      </c>
      <c r="AD1889" s="10">
        <f>TEXT($G$2,"dd/mm/aaaa")</f>
        <v/>
      </c>
      <c r="AE1889" s="10">
        <f>REPT(" ",10)</f>
        <v/>
      </c>
      <c r="AF1889" s="10">
        <f>REPT(" ",20)</f>
        <v/>
      </c>
      <c r="AG1889" s="54">
        <f>REPT(" ",18-LEN(FIXED(F1889,2,TRUE)))&amp;FIXED(F1889,2,TRUE)</f>
        <v/>
      </c>
      <c r="AH1889" s="10">
        <f>LEN(AC1889)+LEN(AG1889)</f>
        <v/>
      </c>
      <c r="AI1889" s="10">
        <f>LEN(L1889)</f>
        <v/>
      </c>
    </row>
    <row r="1890">
      <c r="J1890" s="12">
        <f>IF(F1890&lt;&gt;0,"LANÇAR","")</f>
        <v/>
      </c>
      <c r="L1890" s="13">
        <f>N1890&amp;O1890&amp;P1890&amp;Q1890&amp;R1890&amp;S1890&amp;T1890&amp;U1890&amp;V1890&amp;W1890&amp;X1890&amp;Y1890&amp;Z1890&amp;AA1890&amp;AB1890&amp;AC1890&amp;AD1890&amp;AE1890&amp;AF1890&amp;AG1890</f>
        <v/>
      </c>
      <c r="N1890" s="10">
        <f>TEXT($B$6,"00")</f>
        <v/>
      </c>
      <c r="O1890" s="10">
        <f>REPT(" ",8)</f>
        <v/>
      </c>
      <c r="P1890" s="10">
        <f>RIGHT($B$4,2)</f>
        <v/>
      </c>
      <c r="Q1890" s="10">
        <f>RIGHT($B$5,3)</f>
        <v/>
      </c>
      <c r="R1890" s="10">
        <f>IF(A1890="D",LEFT(UPPER(B1890)&amp;REPT(" ",20),20),REPT(" ",20))</f>
        <v/>
      </c>
      <c r="S1890" s="10">
        <f>IF(A1890="D",LEFT(UPPER(C1890)&amp;REPT(" ",10),10)," ")</f>
        <v/>
      </c>
      <c r="T1890" s="10">
        <f>IF(A1890="D",LEFT(UPPER(D1890)&amp;REPT(" ",2),2)," ")</f>
        <v/>
      </c>
      <c r="U1890" s="10">
        <f>IF(A1890="D",LEFT(UPPER(E1890)&amp;REPT(" ",15),15)," ")</f>
        <v/>
      </c>
      <c r="V1890" s="10">
        <f>REPT(" ",24)</f>
        <v/>
      </c>
      <c r="W1890" s="10">
        <f>IF(A1890="c",LEFT(UPPER(B1890)&amp;REPT(" ",20),20),REPT(" ",20))</f>
        <v/>
      </c>
      <c r="X1890" s="10">
        <f>IF(A1890="C",LEFT(UPPER(C1890)&amp;REPT(" ",10),10)," ")</f>
        <v/>
      </c>
      <c r="Y1890" s="10">
        <f>IF(A1890="C",LEFT(UPPER(D1890)&amp;REPT(" ",2),2)," ")</f>
        <v/>
      </c>
      <c r="Z1890" s="10">
        <f>IF(A1890="C",LEFT(UPPER(E1890)&amp;REPT(" ",15),15)," ")</f>
        <v/>
      </c>
      <c r="AA1890" s="10">
        <f>REPT(" ",8)</f>
        <v/>
      </c>
      <c r="AB1890" s="10">
        <f>REPT(" ",4)</f>
        <v/>
      </c>
      <c r="AC1890" s="10">
        <f>LEFT(UPPER(H1890)&amp;REPT(" ",250),250)</f>
        <v/>
      </c>
      <c r="AD1890" s="10">
        <f>TEXT($G$2,"dd/mm/aaaa")</f>
        <v/>
      </c>
      <c r="AE1890" s="10">
        <f>REPT(" ",10)</f>
        <v/>
      </c>
      <c r="AF1890" s="10">
        <f>REPT(" ",20)</f>
        <v/>
      </c>
      <c r="AG1890" s="54">
        <f>REPT(" ",18-LEN(FIXED(F1890,2,TRUE)))&amp;FIXED(F1890,2,TRUE)</f>
        <v/>
      </c>
      <c r="AH1890" s="10">
        <f>LEN(AC1890)+LEN(AG1890)</f>
        <v/>
      </c>
      <c r="AI1890" s="10">
        <f>LEN(L1890)</f>
        <v/>
      </c>
    </row>
    <row r="1891">
      <c r="J1891" s="12">
        <f>IF(F1891&lt;&gt;0,"LANÇAR","")</f>
        <v/>
      </c>
      <c r="L1891" s="13">
        <f>N1891&amp;O1891&amp;P1891&amp;Q1891&amp;R1891&amp;S1891&amp;T1891&amp;U1891&amp;V1891&amp;W1891&amp;X1891&amp;Y1891&amp;Z1891&amp;AA1891&amp;AB1891&amp;AC1891&amp;AD1891&amp;AE1891&amp;AF1891&amp;AG1891</f>
        <v/>
      </c>
      <c r="N1891" s="10">
        <f>TEXT($B$6,"00")</f>
        <v/>
      </c>
      <c r="O1891" s="10">
        <f>REPT(" ",8)</f>
        <v/>
      </c>
      <c r="P1891" s="10">
        <f>RIGHT($B$4,2)</f>
        <v/>
      </c>
      <c r="Q1891" s="10">
        <f>RIGHT($B$5,3)</f>
        <v/>
      </c>
      <c r="R1891" s="10">
        <f>IF(A1891="D",LEFT(UPPER(B1891)&amp;REPT(" ",20),20),REPT(" ",20))</f>
        <v/>
      </c>
      <c r="S1891" s="10">
        <f>IF(A1891="D",LEFT(UPPER(C1891)&amp;REPT(" ",10),10)," ")</f>
        <v/>
      </c>
      <c r="T1891" s="10">
        <f>IF(A1891="D",LEFT(UPPER(D1891)&amp;REPT(" ",2),2)," ")</f>
        <v/>
      </c>
      <c r="U1891" s="10">
        <f>IF(A1891="D",LEFT(UPPER(E1891)&amp;REPT(" ",15),15)," ")</f>
        <v/>
      </c>
      <c r="V1891" s="10">
        <f>REPT(" ",24)</f>
        <v/>
      </c>
      <c r="W1891" s="10">
        <f>IF(A1891="c",LEFT(UPPER(B1891)&amp;REPT(" ",20),20),REPT(" ",20))</f>
        <v/>
      </c>
      <c r="X1891" s="10">
        <f>IF(A1891="C",LEFT(UPPER(C1891)&amp;REPT(" ",10),10)," ")</f>
        <v/>
      </c>
      <c r="Y1891" s="10">
        <f>IF(A1891="C",LEFT(UPPER(D1891)&amp;REPT(" ",2),2)," ")</f>
        <v/>
      </c>
      <c r="Z1891" s="10">
        <f>IF(A1891="C",LEFT(UPPER(E1891)&amp;REPT(" ",15),15)," ")</f>
        <v/>
      </c>
      <c r="AA1891" s="10">
        <f>REPT(" ",8)</f>
        <v/>
      </c>
      <c r="AB1891" s="10">
        <f>REPT(" ",4)</f>
        <v/>
      </c>
      <c r="AC1891" s="10">
        <f>LEFT(UPPER(H1891)&amp;REPT(" ",250),250)</f>
        <v/>
      </c>
      <c r="AD1891" s="10">
        <f>TEXT($G$2,"dd/mm/aaaa")</f>
        <v/>
      </c>
      <c r="AE1891" s="10">
        <f>REPT(" ",10)</f>
        <v/>
      </c>
      <c r="AF1891" s="10">
        <f>REPT(" ",20)</f>
        <v/>
      </c>
      <c r="AG1891" s="54">
        <f>REPT(" ",18-LEN(FIXED(F1891,2,TRUE)))&amp;FIXED(F1891,2,TRUE)</f>
        <v/>
      </c>
      <c r="AH1891" s="10">
        <f>LEN(AC1891)+LEN(AG1891)</f>
        <v/>
      </c>
      <c r="AI1891" s="10">
        <f>LEN(L1891)</f>
        <v/>
      </c>
    </row>
    <row r="1892">
      <c r="J1892" s="12">
        <f>IF(F1892&lt;&gt;0,"LANÇAR","")</f>
        <v/>
      </c>
      <c r="L1892" s="13">
        <f>N1892&amp;O1892&amp;P1892&amp;Q1892&amp;R1892&amp;S1892&amp;T1892&amp;U1892&amp;V1892&amp;W1892&amp;X1892&amp;Y1892&amp;Z1892&amp;AA1892&amp;AB1892&amp;AC1892&amp;AD1892&amp;AE1892&amp;AF1892&amp;AG1892</f>
        <v/>
      </c>
      <c r="N1892" s="10">
        <f>TEXT($B$6,"00")</f>
        <v/>
      </c>
      <c r="O1892" s="10">
        <f>REPT(" ",8)</f>
        <v/>
      </c>
      <c r="P1892" s="10">
        <f>RIGHT($B$4,2)</f>
        <v/>
      </c>
      <c r="Q1892" s="10">
        <f>RIGHT($B$5,3)</f>
        <v/>
      </c>
      <c r="R1892" s="10">
        <f>IF(A1892="D",LEFT(UPPER(B1892)&amp;REPT(" ",20),20),REPT(" ",20))</f>
        <v/>
      </c>
      <c r="S1892" s="10">
        <f>IF(A1892="D",LEFT(UPPER(C1892)&amp;REPT(" ",10),10)," ")</f>
        <v/>
      </c>
      <c r="T1892" s="10">
        <f>IF(A1892="D",LEFT(UPPER(D1892)&amp;REPT(" ",2),2)," ")</f>
        <v/>
      </c>
      <c r="U1892" s="10">
        <f>IF(A1892="D",LEFT(UPPER(E1892)&amp;REPT(" ",15),15)," ")</f>
        <v/>
      </c>
      <c r="V1892" s="10">
        <f>REPT(" ",24)</f>
        <v/>
      </c>
      <c r="W1892" s="10">
        <f>IF(A1892="c",LEFT(UPPER(B1892)&amp;REPT(" ",20),20),REPT(" ",20))</f>
        <v/>
      </c>
      <c r="X1892" s="10">
        <f>IF(A1892="C",LEFT(UPPER(C1892)&amp;REPT(" ",10),10)," ")</f>
        <v/>
      </c>
      <c r="Y1892" s="10">
        <f>IF(A1892="C",LEFT(UPPER(D1892)&amp;REPT(" ",2),2)," ")</f>
        <v/>
      </c>
      <c r="Z1892" s="10">
        <f>IF(A1892="C",LEFT(UPPER(E1892)&amp;REPT(" ",15),15)," ")</f>
        <v/>
      </c>
      <c r="AA1892" s="10">
        <f>REPT(" ",8)</f>
        <v/>
      </c>
      <c r="AB1892" s="10">
        <f>REPT(" ",4)</f>
        <v/>
      </c>
      <c r="AC1892" s="10">
        <f>LEFT(UPPER(H1892)&amp;REPT(" ",250),250)</f>
        <v/>
      </c>
      <c r="AD1892" s="10">
        <f>TEXT($G$2,"dd/mm/aaaa")</f>
        <v/>
      </c>
      <c r="AE1892" s="10">
        <f>REPT(" ",10)</f>
        <v/>
      </c>
      <c r="AF1892" s="10">
        <f>REPT(" ",20)</f>
        <v/>
      </c>
      <c r="AG1892" s="54">
        <f>REPT(" ",18-LEN(FIXED(F1892,2,TRUE)))&amp;FIXED(F1892,2,TRUE)</f>
        <v/>
      </c>
      <c r="AH1892" s="10">
        <f>LEN(AC1892)+LEN(AG1892)</f>
        <v/>
      </c>
      <c r="AI1892" s="10">
        <f>LEN(L1892)</f>
        <v/>
      </c>
    </row>
    <row r="1893">
      <c r="J1893" s="12">
        <f>IF(F1893&lt;&gt;0,"LANÇAR","")</f>
        <v/>
      </c>
      <c r="L1893" s="13">
        <f>N1893&amp;O1893&amp;P1893&amp;Q1893&amp;R1893&amp;S1893&amp;T1893&amp;U1893&amp;V1893&amp;W1893&amp;X1893&amp;Y1893&amp;Z1893&amp;AA1893&amp;AB1893&amp;AC1893&amp;AD1893&amp;AE1893&amp;AF1893&amp;AG1893</f>
        <v/>
      </c>
      <c r="N1893" s="10">
        <f>TEXT($B$6,"00")</f>
        <v/>
      </c>
      <c r="O1893" s="10">
        <f>REPT(" ",8)</f>
        <v/>
      </c>
      <c r="P1893" s="10">
        <f>RIGHT($B$4,2)</f>
        <v/>
      </c>
      <c r="Q1893" s="10">
        <f>RIGHT($B$5,3)</f>
        <v/>
      </c>
      <c r="R1893" s="10">
        <f>IF(A1893="D",LEFT(UPPER(B1893)&amp;REPT(" ",20),20),REPT(" ",20))</f>
        <v/>
      </c>
      <c r="S1893" s="10">
        <f>IF(A1893="D",LEFT(UPPER(C1893)&amp;REPT(" ",10),10)," ")</f>
        <v/>
      </c>
      <c r="T1893" s="10">
        <f>IF(A1893="D",LEFT(UPPER(D1893)&amp;REPT(" ",2),2)," ")</f>
        <v/>
      </c>
      <c r="U1893" s="10">
        <f>IF(A1893="D",LEFT(UPPER(E1893)&amp;REPT(" ",15),15)," ")</f>
        <v/>
      </c>
      <c r="V1893" s="10">
        <f>REPT(" ",24)</f>
        <v/>
      </c>
      <c r="W1893" s="10">
        <f>IF(A1893="c",LEFT(UPPER(B1893)&amp;REPT(" ",20),20),REPT(" ",20))</f>
        <v/>
      </c>
      <c r="X1893" s="10">
        <f>IF(A1893="C",LEFT(UPPER(C1893)&amp;REPT(" ",10),10)," ")</f>
        <v/>
      </c>
      <c r="Y1893" s="10">
        <f>IF(A1893="C",LEFT(UPPER(D1893)&amp;REPT(" ",2),2)," ")</f>
        <v/>
      </c>
      <c r="Z1893" s="10">
        <f>IF(A1893="C",LEFT(UPPER(E1893)&amp;REPT(" ",15),15)," ")</f>
        <v/>
      </c>
      <c r="AA1893" s="10">
        <f>REPT(" ",8)</f>
        <v/>
      </c>
      <c r="AB1893" s="10">
        <f>REPT(" ",4)</f>
        <v/>
      </c>
      <c r="AC1893" s="10">
        <f>LEFT(UPPER(H1893)&amp;REPT(" ",250),250)</f>
        <v/>
      </c>
      <c r="AD1893" s="10">
        <f>TEXT($G$2,"dd/mm/aaaa")</f>
        <v/>
      </c>
      <c r="AE1893" s="10">
        <f>REPT(" ",10)</f>
        <v/>
      </c>
      <c r="AF1893" s="10">
        <f>REPT(" ",20)</f>
        <v/>
      </c>
      <c r="AG1893" s="54">
        <f>REPT(" ",18-LEN(FIXED(F1893,2,TRUE)))&amp;FIXED(F1893,2,TRUE)</f>
        <v/>
      </c>
      <c r="AH1893" s="10">
        <f>LEN(AC1893)+LEN(AG1893)</f>
        <v/>
      </c>
      <c r="AI1893" s="10">
        <f>LEN(L1893)</f>
        <v/>
      </c>
    </row>
    <row r="1894">
      <c r="J1894" s="12">
        <f>IF(F1894&lt;&gt;0,"LANÇAR","")</f>
        <v/>
      </c>
      <c r="L1894" s="13">
        <f>N1894&amp;O1894&amp;P1894&amp;Q1894&amp;R1894&amp;S1894&amp;T1894&amp;U1894&amp;V1894&amp;W1894&amp;X1894&amp;Y1894&amp;Z1894&amp;AA1894&amp;AB1894&amp;AC1894&amp;AD1894&amp;AE1894&amp;AF1894&amp;AG1894</f>
        <v/>
      </c>
      <c r="N1894" s="10">
        <f>TEXT($B$6,"00")</f>
        <v/>
      </c>
      <c r="O1894" s="10">
        <f>REPT(" ",8)</f>
        <v/>
      </c>
      <c r="P1894" s="10">
        <f>RIGHT($B$4,2)</f>
        <v/>
      </c>
      <c r="Q1894" s="10">
        <f>RIGHT($B$5,3)</f>
        <v/>
      </c>
      <c r="R1894" s="10">
        <f>IF(A1894="D",LEFT(UPPER(B1894)&amp;REPT(" ",20),20),REPT(" ",20))</f>
        <v/>
      </c>
      <c r="S1894" s="10">
        <f>IF(A1894="D",LEFT(UPPER(C1894)&amp;REPT(" ",10),10)," ")</f>
        <v/>
      </c>
      <c r="T1894" s="10">
        <f>IF(A1894="D",LEFT(UPPER(D1894)&amp;REPT(" ",2),2)," ")</f>
        <v/>
      </c>
      <c r="U1894" s="10">
        <f>IF(A1894="D",LEFT(UPPER(E1894)&amp;REPT(" ",15),15)," ")</f>
        <v/>
      </c>
      <c r="V1894" s="10">
        <f>REPT(" ",24)</f>
        <v/>
      </c>
      <c r="W1894" s="10">
        <f>IF(A1894="c",LEFT(UPPER(B1894)&amp;REPT(" ",20),20),REPT(" ",20))</f>
        <v/>
      </c>
      <c r="X1894" s="10">
        <f>IF(A1894="C",LEFT(UPPER(C1894)&amp;REPT(" ",10),10)," ")</f>
        <v/>
      </c>
      <c r="Y1894" s="10">
        <f>IF(A1894="C",LEFT(UPPER(D1894)&amp;REPT(" ",2),2)," ")</f>
        <v/>
      </c>
      <c r="Z1894" s="10">
        <f>IF(A1894="C",LEFT(UPPER(E1894)&amp;REPT(" ",15),15)," ")</f>
        <v/>
      </c>
      <c r="AA1894" s="10">
        <f>REPT(" ",8)</f>
        <v/>
      </c>
      <c r="AB1894" s="10">
        <f>REPT(" ",4)</f>
        <v/>
      </c>
      <c r="AC1894" s="10">
        <f>LEFT(UPPER(H1894)&amp;REPT(" ",250),250)</f>
        <v/>
      </c>
      <c r="AD1894" s="10">
        <f>TEXT($G$2,"dd/mm/aaaa")</f>
        <v/>
      </c>
      <c r="AE1894" s="10">
        <f>REPT(" ",10)</f>
        <v/>
      </c>
      <c r="AF1894" s="10">
        <f>REPT(" ",20)</f>
        <v/>
      </c>
      <c r="AG1894" s="54">
        <f>REPT(" ",18-LEN(FIXED(F1894,2,TRUE)))&amp;FIXED(F1894,2,TRUE)</f>
        <v/>
      </c>
      <c r="AH1894" s="10">
        <f>LEN(AC1894)+LEN(AG1894)</f>
        <v/>
      </c>
      <c r="AI1894" s="10">
        <f>LEN(L1894)</f>
        <v/>
      </c>
    </row>
    <row r="1895">
      <c r="J1895" s="12">
        <f>IF(F1895&lt;&gt;0,"LANÇAR","")</f>
        <v/>
      </c>
      <c r="L1895" s="13">
        <f>N1895&amp;O1895&amp;P1895&amp;Q1895&amp;R1895&amp;S1895&amp;T1895&amp;U1895&amp;V1895&amp;W1895&amp;X1895&amp;Y1895&amp;Z1895&amp;AA1895&amp;AB1895&amp;AC1895&amp;AD1895&amp;AE1895&amp;AF1895&amp;AG1895</f>
        <v/>
      </c>
      <c r="N1895" s="10">
        <f>TEXT($B$6,"00")</f>
        <v/>
      </c>
      <c r="O1895" s="10">
        <f>REPT(" ",8)</f>
        <v/>
      </c>
      <c r="P1895" s="10">
        <f>RIGHT($B$4,2)</f>
        <v/>
      </c>
      <c r="Q1895" s="10">
        <f>RIGHT($B$5,3)</f>
        <v/>
      </c>
      <c r="R1895" s="10">
        <f>IF(A1895="D",LEFT(UPPER(B1895)&amp;REPT(" ",20),20),REPT(" ",20))</f>
        <v/>
      </c>
      <c r="S1895" s="10">
        <f>IF(A1895="D",LEFT(UPPER(C1895)&amp;REPT(" ",10),10)," ")</f>
        <v/>
      </c>
      <c r="T1895" s="10">
        <f>IF(A1895="D",LEFT(UPPER(D1895)&amp;REPT(" ",2),2)," ")</f>
        <v/>
      </c>
      <c r="U1895" s="10">
        <f>IF(A1895="D",LEFT(UPPER(E1895)&amp;REPT(" ",15),15)," ")</f>
        <v/>
      </c>
      <c r="V1895" s="10">
        <f>REPT(" ",24)</f>
        <v/>
      </c>
      <c r="W1895" s="10">
        <f>IF(A1895="c",LEFT(UPPER(B1895)&amp;REPT(" ",20),20),REPT(" ",20))</f>
        <v/>
      </c>
      <c r="X1895" s="10">
        <f>IF(A1895="C",LEFT(UPPER(C1895)&amp;REPT(" ",10),10)," ")</f>
        <v/>
      </c>
      <c r="Y1895" s="10">
        <f>IF(A1895="C",LEFT(UPPER(D1895)&amp;REPT(" ",2),2)," ")</f>
        <v/>
      </c>
      <c r="Z1895" s="10">
        <f>IF(A1895="C",LEFT(UPPER(E1895)&amp;REPT(" ",15),15)," ")</f>
        <v/>
      </c>
      <c r="AA1895" s="10">
        <f>REPT(" ",8)</f>
        <v/>
      </c>
      <c r="AB1895" s="10">
        <f>REPT(" ",4)</f>
        <v/>
      </c>
      <c r="AC1895" s="10">
        <f>LEFT(UPPER(H1895)&amp;REPT(" ",250),250)</f>
        <v/>
      </c>
      <c r="AD1895" s="10">
        <f>TEXT($G$2,"dd/mm/aaaa")</f>
        <v/>
      </c>
      <c r="AE1895" s="10">
        <f>REPT(" ",10)</f>
        <v/>
      </c>
      <c r="AF1895" s="10">
        <f>REPT(" ",20)</f>
        <v/>
      </c>
      <c r="AG1895" s="54">
        <f>REPT(" ",18-LEN(FIXED(F1895,2,TRUE)))&amp;FIXED(F1895,2,TRUE)</f>
        <v/>
      </c>
      <c r="AH1895" s="10">
        <f>LEN(AC1895)+LEN(AG1895)</f>
        <v/>
      </c>
      <c r="AI1895" s="10">
        <f>LEN(L1895)</f>
        <v/>
      </c>
    </row>
    <row r="1896">
      <c r="J1896" s="12">
        <f>IF(F1896&lt;&gt;0,"LANÇAR","")</f>
        <v/>
      </c>
      <c r="L1896" s="13">
        <f>N1896&amp;O1896&amp;P1896&amp;Q1896&amp;R1896&amp;S1896&amp;T1896&amp;U1896&amp;V1896&amp;W1896&amp;X1896&amp;Y1896&amp;Z1896&amp;AA1896&amp;AB1896&amp;AC1896&amp;AD1896&amp;AE1896&amp;AF1896&amp;AG1896</f>
        <v/>
      </c>
      <c r="N1896" s="10">
        <f>TEXT($B$6,"00")</f>
        <v/>
      </c>
      <c r="O1896" s="10">
        <f>REPT(" ",8)</f>
        <v/>
      </c>
      <c r="P1896" s="10">
        <f>RIGHT($B$4,2)</f>
        <v/>
      </c>
      <c r="Q1896" s="10">
        <f>RIGHT($B$5,3)</f>
        <v/>
      </c>
      <c r="R1896" s="10">
        <f>IF(A1896="D",LEFT(UPPER(B1896)&amp;REPT(" ",20),20),REPT(" ",20))</f>
        <v/>
      </c>
      <c r="S1896" s="10">
        <f>IF(A1896="D",LEFT(UPPER(C1896)&amp;REPT(" ",10),10)," ")</f>
        <v/>
      </c>
      <c r="T1896" s="10">
        <f>IF(A1896="D",LEFT(UPPER(D1896)&amp;REPT(" ",2),2)," ")</f>
        <v/>
      </c>
      <c r="U1896" s="10">
        <f>IF(A1896="D",LEFT(UPPER(E1896)&amp;REPT(" ",15),15)," ")</f>
        <v/>
      </c>
      <c r="V1896" s="10">
        <f>REPT(" ",24)</f>
        <v/>
      </c>
      <c r="W1896" s="10">
        <f>IF(A1896="c",LEFT(UPPER(B1896)&amp;REPT(" ",20),20),REPT(" ",20))</f>
        <v/>
      </c>
      <c r="X1896" s="10">
        <f>IF(A1896="C",LEFT(UPPER(C1896)&amp;REPT(" ",10),10)," ")</f>
        <v/>
      </c>
      <c r="Y1896" s="10">
        <f>IF(A1896="C",LEFT(UPPER(D1896)&amp;REPT(" ",2),2)," ")</f>
        <v/>
      </c>
      <c r="Z1896" s="10">
        <f>IF(A1896="C",LEFT(UPPER(E1896)&amp;REPT(" ",15),15)," ")</f>
        <v/>
      </c>
      <c r="AA1896" s="10">
        <f>REPT(" ",8)</f>
        <v/>
      </c>
      <c r="AB1896" s="10">
        <f>REPT(" ",4)</f>
        <v/>
      </c>
      <c r="AC1896" s="10">
        <f>LEFT(UPPER(H1896)&amp;REPT(" ",250),250)</f>
        <v/>
      </c>
      <c r="AD1896" s="10">
        <f>TEXT($G$2,"dd/mm/aaaa")</f>
        <v/>
      </c>
      <c r="AE1896" s="10">
        <f>REPT(" ",10)</f>
        <v/>
      </c>
      <c r="AF1896" s="10">
        <f>REPT(" ",20)</f>
        <v/>
      </c>
      <c r="AG1896" s="54">
        <f>REPT(" ",18-LEN(FIXED(F1896,2,TRUE)))&amp;FIXED(F1896,2,TRUE)</f>
        <v/>
      </c>
      <c r="AH1896" s="10">
        <f>LEN(AC1896)+LEN(AG1896)</f>
        <v/>
      </c>
      <c r="AI1896" s="10">
        <f>LEN(L1896)</f>
        <v/>
      </c>
    </row>
    <row r="1897">
      <c r="J1897" s="12">
        <f>IF(F1897&lt;&gt;0,"LANÇAR","")</f>
        <v/>
      </c>
      <c r="L1897" s="13">
        <f>N1897&amp;O1897&amp;P1897&amp;Q1897&amp;R1897&amp;S1897&amp;T1897&amp;U1897&amp;V1897&amp;W1897&amp;X1897&amp;Y1897&amp;Z1897&amp;AA1897&amp;AB1897&amp;AC1897&amp;AD1897&amp;AE1897&amp;AF1897&amp;AG1897</f>
        <v/>
      </c>
      <c r="N1897" s="10">
        <f>TEXT($B$6,"00")</f>
        <v/>
      </c>
      <c r="O1897" s="10">
        <f>REPT(" ",8)</f>
        <v/>
      </c>
      <c r="P1897" s="10">
        <f>RIGHT($B$4,2)</f>
        <v/>
      </c>
      <c r="Q1897" s="10">
        <f>RIGHT($B$5,3)</f>
        <v/>
      </c>
      <c r="R1897" s="10">
        <f>IF(A1897="D",LEFT(UPPER(B1897)&amp;REPT(" ",20),20),REPT(" ",20))</f>
        <v/>
      </c>
      <c r="S1897" s="10">
        <f>IF(A1897="D",LEFT(UPPER(C1897)&amp;REPT(" ",10),10)," ")</f>
        <v/>
      </c>
      <c r="T1897" s="10">
        <f>IF(A1897="D",LEFT(UPPER(D1897)&amp;REPT(" ",2),2)," ")</f>
        <v/>
      </c>
      <c r="U1897" s="10">
        <f>IF(A1897="D",LEFT(UPPER(E1897)&amp;REPT(" ",15),15)," ")</f>
        <v/>
      </c>
      <c r="V1897" s="10">
        <f>REPT(" ",24)</f>
        <v/>
      </c>
      <c r="W1897" s="10">
        <f>IF(A1897="c",LEFT(UPPER(B1897)&amp;REPT(" ",20),20),REPT(" ",20))</f>
        <v/>
      </c>
      <c r="X1897" s="10">
        <f>IF(A1897="C",LEFT(UPPER(C1897)&amp;REPT(" ",10),10)," ")</f>
        <v/>
      </c>
      <c r="Y1897" s="10">
        <f>IF(A1897="C",LEFT(UPPER(D1897)&amp;REPT(" ",2),2)," ")</f>
        <v/>
      </c>
      <c r="Z1897" s="10">
        <f>IF(A1897="C",LEFT(UPPER(E1897)&amp;REPT(" ",15),15)," ")</f>
        <v/>
      </c>
      <c r="AA1897" s="10">
        <f>REPT(" ",8)</f>
        <v/>
      </c>
      <c r="AB1897" s="10">
        <f>REPT(" ",4)</f>
        <v/>
      </c>
      <c r="AC1897" s="10">
        <f>LEFT(UPPER(H1897)&amp;REPT(" ",250),250)</f>
        <v/>
      </c>
      <c r="AD1897" s="10">
        <f>TEXT($G$2,"dd/mm/aaaa")</f>
        <v/>
      </c>
      <c r="AE1897" s="10">
        <f>REPT(" ",10)</f>
        <v/>
      </c>
      <c r="AF1897" s="10">
        <f>REPT(" ",20)</f>
        <v/>
      </c>
      <c r="AG1897" s="54">
        <f>REPT(" ",18-LEN(FIXED(F1897,2,TRUE)))&amp;FIXED(F1897,2,TRUE)</f>
        <v/>
      </c>
      <c r="AH1897" s="10">
        <f>LEN(AC1897)+LEN(AG1897)</f>
        <v/>
      </c>
      <c r="AI1897" s="10">
        <f>LEN(L1897)</f>
        <v/>
      </c>
    </row>
    <row r="1898">
      <c r="J1898" s="12">
        <f>IF(F1898&lt;&gt;0,"LANÇAR","")</f>
        <v/>
      </c>
      <c r="L1898" s="13">
        <f>N1898&amp;O1898&amp;P1898&amp;Q1898&amp;R1898&amp;S1898&amp;T1898&amp;U1898&amp;V1898&amp;W1898&amp;X1898&amp;Y1898&amp;Z1898&amp;AA1898&amp;AB1898&amp;AC1898&amp;AD1898&amp;AE1898&amp;AF1898&amp;AG1898</f>
        <v/>
      </c>
      <c r="N1898" s="10">
        <f>TEXT($B$6,"00")</f>
        <v/>
      </c>
      <c r="O1898" s="10">
        <f>REPT(" ",8)</f>
        <v/>
      </c>
      <c r="P1898" s="10">
        <f>RIGHT($B$4,2)</f>
        <v/>
      </c>
      <c r="Q1898" s="10">
        <f>RIGHT($B$5,3)</f>
        <v/>
      </c>
      <c r="R1898" s="10">
        <f>IF(A1898="D",LEFT(UPPER(B1898)&amp;REPT(" ",20),20),REPT(" ",20))</f>
        <v/>
      </c>
      <c r="S1898" s="10">
        <f>IF(A1898="D",LEFT(UPPER(C1898)&amp;REPT(" ",10),10)," ")</f>
        <v/>
      </c>
      <c r="T1898" s="10">
        <f>IF(A1898="D",LEFT(UPPER(D1898)&amp;REPT(" ",2),2)," ")</f>
        <v/>
      </c>
      <c r="U1898" s="10">
        <f>IF(A1898="D",LEFT(UPPER(E1898)&amp;REPT(" ",15),15)," ")</f>
        <v/>
      </c>
      <c r="V1898" s="10">
        <f>REPT(" ",24)</f>
        <v/>
      </c>
      <c r="W1898" s="10">
        <f>IF(A1898="c",LEFT(UPPER(B1898)&amp;REPT(" ",20),20),REPT(" ",20))</f>
        <v/>
      </c>
      <c r="X1898" s="10">
        <f>IF(A1898="C",LEFT(UPPER(C1898)&amp;REPT(" ",10),10)," ")</f>
        <v/>
      </c>
      <c r="Y1898" s="10">
        <f>IF(A1898="C",LEFT(UPPER(D1898)&amp;REPT(" ",2),2)," ")</f>
        <v/>
      </c>
      <c r="Z1898" s="10">
        <f>IF(A1898="C",LEFT(UPPER(E1898)&amp;REPT(" ",15),15)," ")</f>
        <v/>
      </c>
      <c r="AA1898" s="10">
        <f>REPT(" ",8)</f>
        <v/>
      </c>
      <c r="AB1898" s="10">
        <f>REPT(" ",4)</f>
        <v/>
      </c>
      <c r="AC1898" s="10">
        <f>LEFT(UPPER(H1898)&amp;REPT(" ",250),250)</f>
        <v/>
      </c>
      <c r="AD1898" s="10">
        <f>TEXT($G$2,"dd/mm/aaaa")</f>
        <v/>
      </c>
      <c r="AE1898" s="10">
        <f>REPT(" ",10)</f>
        <v/>
      </c>
      <c r="AF1898" s="10">
        <f>REPT(" ",20)</f>
        <v/>
      </c>
      <c r="AG1898" s="54">
        <f>REPT(" ",18-LEN(FIXED(F1898,2,TRUE)))&amp;FIXED(F1898,2,TRUE)</f>
        <v/>
      </c>
      <c r="AH1898" s="10">
        <f>LEN(AC1898)+LEN(AG1898)</f>
        <v/>
      </c>
      <c r="AI1898" s="10">
        <f>LEN(L1898)</f>
        <v/>
      </c>
    </row>
    <row r="1899">
      <c r="J1899" s="12">
        <f>IF(F1899&lt;&gt;0,"LANÇAR","")</f>
        <v/>
      </c>
      <c r="L1899" s="13">
        <f>N1899&amp;O1899&amp;P1899&amp;Q1899&amp;R1899&amp;S1899&amp;T1899&amp;U1899&amp;V1899&amp;W1899&amp;X1899&amp;Y1899&amp;Z1899&amp;AA1899&amp;AB1899&amp;AC1899&amp;AD1899&amp;AE1899&amp;AF1899&amp;AG1899</f>
        <v/>
      </c>
      <c r="N1899" s="10">
        <f>TEXT($B$6,"00")</f>
        <v/>
      </c>
      <c r="O1899" s="10">
        <f>REPT(" ",8)</f>
        <v/>
      </c>
      <c r="P1899" s="10">
        <f>RIGHT($B$4,2)</f>
        <v/>
      </c>
      <c r="Q1899" s="10">
        <f>RIGHT($B$5,3)</f>
        <v/>
      </c>
      <c r="R1899" s="10">
        <f>IF(A1899="D",LEFT(UPPER(B1899)&amp;REPT(" ",20),20),REPT(" ",20))</f>
        <v/>
      </c>
      <c r="S1899" s="10">
        <f>IF(A1899="D",LEFT(UPPER(C1899)&amp;REPT(" ",10),10)," ")</f>
        <v/>
      </c>
      <c r="T1899" s="10">
        <f>IF(A1899="D",LEFT(UPPER(D1899)&amp;REPT(" ",2),2)," ")</f>
        <v/>
      </c>
      <c r="U1899" s="10">
        <f>IF(A1899="D",LEFT(UPPER(E1899)&amp;REPT(" ",15),15)," ")</f>
        <v/>
      </c>
      <c r="V1899" s="10">
        <f>REPT(" ",24)</f>
        <v/>
      </c>
      <c r="W1899" s="10">
        <f>IF(A1899="c",LEFT(UPPER(B1899)&amp;REPT(" ",20),20),REPT(" ",20))</f>
        <v/>
      </c>
      <c r="X1899" s="10">
        <f>IF(A1899="C",LEFT(UPPER(C1899)&amp;REPT(" ",10),10)," ")</f>
        <v/>
      </c>
      <c r="Y1899" s="10">
        <f>IF(A1899="C",LEFT(UPPER(D1899)&amp;REPT(" ",2),2)," ")</f>
        <v/>
      </c>
      <c r="Z1899" s="10">
        <f>IF(A1899="C",LEFT(UPPER(E1899)&amp;REPT(" ",15),15)," ")</f>
        <v/>
      </c>
      <c r="AA1899" s="10">
        <f>REPT(" ",8)</f>
        <v/>
      </c>
      <c r="AB1899" s="10">
        <f>REPT(" ",4)</f>
        <v/>
      </c>
      <c r="AC1899" s="10">
        <f>LEFT(UPPER(H1899)&amp;REPT(" ",250),250)</f>
        <v/>
      </c>
      <c r="AD1899" s="10">
        <f>TEXT($G$2,"dd/mm/aaaa")</f>
        <v/>
      </c>
      <c r="AE1899" s="10">
        <f>REPT(" ",10)</f>
        <v/>
      </c>
      <c r="AF1899" s="10">
        <f>REPT(" ",20)</f>
        <v/>
      </c>
      <c r="AG1899" s="54">
        <f>REPT(" ",18-LEN(FIXED(F1899,2,TRUE)))&amp;FIXED(F1899,2,TRUE)</f>
        <v/>
      </c>
      <c r="AH1899" s="10">
        <f>LEN(AC1899)+LEN(AG1899)</f>
        <v/>
      </c>
      <c r="AI1899" s="10">
        <f>LEN(L1899)</f>
        <v/>
      </c>
    </row>
    <row r="1900">
      <c r="J1900" s="12">
        <f>IF(F1900&lt;&gt;0,"LANÇAR","")</f>
        <v/>
      </c>
      <c r="L1900" s="13">
        <f>N1900&amp;O1900&amp;P1900&amp;Q1900&amp;R1900&amp;S1900&amp;T1900&amp;U1900&amp;V1900&amp;W1900&amp;X1900&amp;Y1900&amp;Z1900&amp;AA1900&amp;AB1900&amp;AC1900&amp;AD1900&amp;AE1900&amp;AF1900&amp;AG1900</f>
        <v/>
      </c>
      <c r="N1900" s="10">
        <f>TEXT($B$6,"00")</f>
        <v/>
      </c>
      <c r="O1900" s="10">
        <f>REPT(" ",8)</f>
        <v/>
      </c>
      <c r="P1900" s="10">
        <f>RIGHT($B$4,2)</f>
        <v/>
      </c>
      <c r="Q1900" s="10">
        <f>RIGHT($B$5,3)</f>
        <v/>
      </c>
      <c r="R1900" s="10">
        <f>IF(A1900="D",LEFT(UPPER(B1900)&amp;REPT(" ",20),20),REPT(" ",20))</f>
        <v/>
      </c>
      <c r="S1900" s="10">
        <f>IF(A1900="D",LEFT(UPPER(C1900)&amp;REPT(" ",10),10)," ")</f>
        <v/>
      </c>
      <c r="T1900" s="10">
        <f>IF(A1900="D",LEFT(UPPER(D1900)&amp;REPT(" ",2),2)," ")</f>
        <v/>
      </c>
      <c r="U1900" s="10">
        <f>IF(A1900="D",LEFT(UPPER(E1900)&amp;REPT(" ",15),15)," ")</f>
        <v/>
      </c>
      <c r="V1900" s="10">
        <f>REPT(" ",24)</f>
        <v/>
      </c>
      <c r="W1900" s="10">
        <f>IF(A1900="c",LEFT(UPPER(B1900)&amp;REPT(" ",20),20),REPT(" ",20))</f>
        <v/>
      </c>
      <c r="X1900" s="10">
        <f>IF(A1900="C",LEFT(UPPER(C1900)&amp;REPT(" ",10),10)," ")</f>
        <v/>
      </c>
      <c r="Y1900" s="10">
        <f>IF(A1900="C",LEFT(UPPER(D1900)&amp;REPT(" ",2),2)," ")</f>
        <v/>
      </c>
      <c r="Z1900" s="10">
        <f>IF(A1900="C",LEFT(UPPER(E1900)&amp;REPT(" ",15),15)," ")</f>
        <v/>
      </c>
      <c r="AA1900" s="10">
        <f>REPT(" ",8)</f>
        <v/>
      </c>
      <c r="AB1900" s="10">
        <f>REPT(" ",4)</f>
        <v/>
      </c>
      <c r="AC1900" s="10">
        <f>LEFT(UPPER(H1900)&amp;REPT(" ",250),250)</f>
        <v/>
      </c>
      <c r="AD1900" s="10">
        <f>TEXT($G$2,"dd/mm/aaaa")</f>
        <v/>
      </c>
      <c r="AE1900" s="10">
        <f>REPT(" ",10)</f>
        <v/>
      </c>
      <c r="AF1900" s="10">
        <f>REPT(" ",20)</f>
        <v/>
      </c>
      <c r="AG1900" s="54">
        <f>REPT(" ",18-LEN(FIXED(F1900,2,TRUE)))&amp;FIXED(F1900,2,TRUE)</f>
        <v/>
      </c>
      <c r="AH1900" s="10">
        <f>LEN(AC1900)+LEN(AG1900)</f>
        <v/>
      </c>
      <c r="AI1900" s="10">
        <f>LEN(L1900)</f>
        <v/>
      </c>
    </row>
    <row r="1901">
      <c r="J1901" s="12">
        <f>IF(F1901&lt;&gt;0,"LANÇAR","")</f>
        <v/>
      </c>
      <c r="L1901" s="13">
        <f>N1901&amp;O1901&amp;P1901&amp;Q1901&amp;R1901&amp;S1901&amp;T1901&amp;U1901&amp;V1901&amp;W1901&amp;X1901&amp;Y1901&amp;Z1901&amp;AA1901&amp;AB1901&amp;AC1901&amp;AD1901&amp;AE1901&amp;AF1901&amp;AG1901</f>
        <v/>
      </c>
      <c r="N1901" s="10">
        <f>TEXT($B$6,"00")</f>
        <v/>
      </c>
      <c r="O1901" s="10">
        <f>REPT(" ",8)</f>
        <v/>
      </c>
      <c r="P1901" s="10">
        <f>RIGHT($B$4,2)</f>
        <v/>
      </c>
      <c r="Q1901" s="10">
        <f>RIGHT($B$5,3)</f>
        <v/>
      </c>
      <c r="R1901" s="10">
        <f>IF(A1901="D",LEFT(UPPER(B1901)&amp;REPT(" ",20),20),REPT(" ",20))</f>
        <v/>
      </c>
      <c r="S1901" s="10">
        <f>IF(A1901="D",LEFT(UPPER(C1901)&amp;REPT(" ",10),10)," ")</f>
        <v/>
      </c>
      <c r="T1901" s="10">
        <f>IF(A1901="D",LEFT(UPPER(D1901)&amp;REPT(" ",2),2)," ")</f>
        <v/>
      </c>
      <c r="U1901" s="10">
        <f>IF(A1901="D",LEFT(UPPER(E1901)&amp;REPT(" ",15),15)," ")</f>
        <v/>
      </c>
      <c r="V1901" s="10">
        <f>REPT(" ",24)</f>
        <v/>
      </c>
      <c r="W1901" s="10">
        <f>IF(A1901="c",LEFT(UPPER(B1901)&amp;REPT(" ",20),20),REPT(" ",20))</f>
        <v/>
      </c>
      <c r="X1901" s="10">
        <f>IF(A1901="C",LEFT(UPPER(C1901)&amp;REPT(" ",10),10)," ")</f>
        <v/>
      </c>
      <c r="Y1901" s="10">
        <f>IF(A1901="C",LEFT(UPPER(D1901)&amp;REPT(" ",2),2)," ")</f>
        <v/>
      </c>
      <c r="Z1901" s="10">
        <f>IF(A1901="C",LEFT(UPPER(E1901)&amp;REPT(" ",15),15)," ")</f>
        <v/>
      </c>
      <c r="AA1901" s="10">
        <f>REPT(" ",8)</f>
        <v/>
      </c>
      <c r="AB1901" s="10">
        <f>REPT(" ",4)</f>
        <v/>
      </c>
      <c r="AC1901" s="10">
        <f>LEFT(UPPER(H1901)&amp;REPT(" ",250),250)</f>
        <v/>
      </c>
      <c r="AD1901" s="10">
        <f>TEXT($G$2,"dd/mm/aaaa")</f>
        <v/>
      </c>
      <c r="AE1901" s="10">
        <f>REPT(" ",10)</f>
        <v/>
      </c>
      <c r="AF1901" s="10">
        <f>REPT(" ",20)</f>
        <v/>
      </c>
      <c r="AG1901" s="54">
        <f>REPT(" ",18-LEN(FIXED(F1901,2,TRUE)))&amp;FIXED(F1901,2,TRUE)</f>
        <v/>
      </c>
      <c r="AH1901" s="10">
        <f>LEN(AC1901)+LEN(AG1901)</f>
        <v/>
      </c>
      <c r="AI1901" s="10">
        <f>LEN(L1901)</f>
        <v/>
      </c>
    </row>
    <row r="1902">
      <c r="J1902" s="12">
        <f>IF(F1902&lt;&gt;0,"LANÇAR","")</f>
        <v/>
      </c>
      <c r="L1902" s="13">
        <f>N1902&amp;O1902&amp;P1902&amp;Q1902&amp;R1902&amp;S1902&amp;T1902&amp;U1902&amp;V1902&amp;W1902&amp;X1902&amp;Y1902&amp;Z1902&amp;AA1902&amp;AB1902&amp;AC1902&amp;AD1902&amp;AE1902&amp;AF1902&amp;AG1902</f>
        <v/>
      </c>
      <c r="N1902" s="10">
        <f>TEXT($B$6,"00")</f>
        <v/>
      </c>
      <c r="O1902" s="10">
        <f>REPT(" ",8)</f>
        <v/>
      </c>
      <c r="P1902" s="10">
        <f>RIGHT($B$4,2)</f>
        <v/>
      </c>
      <c r="Q1902" s="10">
        <f>RIGHT($B$5,3)</f>
        <v/>
      </c>
      <c r="R1902" s="10">
        <f>IF(A1902="D",LEFT(UPPER(B1902)&amp;REPT(" ",20),20),REPT(" ",20))</f>
        <v/>
      </c>
      <c r="S1902" s="10">
        <f>IF(A1902="D",LEFT(UPPER(C1902)&amp;REPT(" ",10),10)," ")</f>
        <v/>
      </c>
      <c r="T1902" s="10">
        <f>IF(A1902="D",LEFT(UPPER(D1902)&amp;REPT(" ",2),2)," ")</f>
        <v/>
      </c>
      <c r="U1902" s="10">
        <f>IF(A1902="D",LEFT(UPPER(E1902)&amp;REPT(" ",15),15)," ")</f>
        <v/>
      </c>
      <c r="V1902" s="10">
        <f>REPT(" ",24)</f>
        <v/>
      </c>
      <c r="W1902" s="10">
        <f>IF(A1902="c",LEFT(UPPER(B1902)&amp;REPT(" ",20),20),REPT(" ",20))</f>
        <v/>
      </c>
      <c r="X1902" s="10">
        <f>IF(A1902="C",LEFT(UPPER(C1902)&amp;REPT(" ",10),10)," ")</f>
        <v/>
      </c>
      <c r="Y1902" s="10">
        <f>IF(A1902="C",LEFT(UPPER(D1902)&amp;REPT(" ",2),2)," ")</f>
        <v/>
      </c>
      <c r="Z1902" s="10">
        <f>IF(A1902="C",LEFT(UPPER(E1902)&amp;REPT(" ",15),15)," ")</f>
        <v/>
      </c>
      <c r="AA1902" s="10">
        <f>REPT(" ",8)</f>
        <v/>
      </c>
      <c r="AB1902" s="10">
        <f>REPT(" ",4)</f>
        <v/>
      </c>
      <c r="AC1902" s="10">
        <f>LEFT(UPPER(H1902)&amp;REPT(" ",250),250)</f>
        <v/>
      </c>
      <c r="AD1902" s="10">
        <f>TEXT($G$2,"dd/mm/aaaa")</f>
        <v/>
      </c>
      <c r="AE1902" s="10">
        <f>REPT(" ",10)</f>
        <v/>
      </c>
      <c r="AF1902" s="10">
        <f>REPT(" ",20)</f>
        <v/>
      </c>
      <c r="AG1902" s="54">
        <f>REPT(" ",18-LEN(FIXED(F1902,2,TRUE)))&amp;FIXED(F1902,2,TRUE)</f>
        <v/>
      </c>
      <c r="AH1902" s="10">
        <f>LEN(AC1902)+LEN(AG1902)</f>
        <v/>
      </c>
      <c r="AI1902" s="10">
        <f>LEN(L1902)</f>
        <v/>
      </c>
    </row>
    <row r="1903">
      <c r="J1903" s="12">
        <f>IF(F1903&lt;&gt;0,"LANÇAR","")</f>
        <v/>
      </c>
      <c r="L1903" s="13">
        <f>N1903&amp;O1903&amp;P1903&amp;Q1903&amp;R1903&amp;S1903&amp;T1903&amp;U1903&amp;V1903&amp;W1903&amp;X1903&amp;Y1903&amp;Z1903&amp;AA1903&amp;AB1903&amp;AC1903&amp;AD1903&amp;AE1903&amp;AF1903&amp;AG1903</f>
        <v/>
      </c>
      <c r="N1903" s="10">
        <f>TEXT($B$6,"00")</f>
        <v/>
      </c>
      <c r="O1903" s="10">
        <f>REPT(" ",8)</f>
        <v/>
      </c>
      <c r="P1903" s="10">
        <f>RIGHT($B$4,2)</f>
        <v/>
      </c>
      <c r="Q1903" s="10">
        <f>RIGHT($B$5,3)</f>
        <v/>
      </c>
      <c r="R1903" s="10">
        <f>IF(A1903="D",LEFT(UPPER(B1903)&amp;REPT(" ",20),20),REPT(" ",20))</f>
        <v/>
      </c>
      <c r="S1903" s="10">
        <f>IF(A1903="D",LEFT(UPPER(C1903)&amp;REPT(" ",10),10)," ")</f>
        <v/>
      </c>
      <c r="T1903" s="10">
        <f>IF(A1903="D",LEFT(UPPER(D1903)&amp;REPT(" ",2),2)," ")</f>
        <v/>
      </c>
      <c r="U1903" s="10">
        <f>IF(A1903="D",LEFT(UPPER(E1903)&amp;REPT(" ",15),15)," ")</f>
        <v/>
      </c>
      <c r="V1903" s="10">
        <f>REPT(" ",24)</f>
        <v/>
      </c>
      <c r="W1903" s="10">
        <f>IF(A1903="c",LEFT(UPPER(B1903)&amp;REPT(" ",20),20),REPT(" ",20))</f>
        <v/>
      </c>
      <c r="X1903" s="10">
        <f>IF(A1903="C",LEFT(UPPER(C1903)&amp;REPT(" ",10),10)," ")</f>
        <v/>
      </c>
      <c r="Y1903" s="10">
        <f>IF(A1903="C",LEFT(UPPER(D1903)&amp;REPT(" ",2),2)," ")</f>
        <v/>
      </c>
      <c r="Z1903" s="10">
        <f>IF(A1903="C",LEFT(UPPER(E1903)&amp;REPT(" ",15),15)," ")</f>
        <v/>
      </c>
      <c r="AA1903" s="10">
        <f>REPT(" ",8)</f>
        <v/>
      </c>
      <c r="AB1903" s="10">
        <f>REPT(" ",4)</f>
        <v/>
      </c>
      <c r="AC1903" s="10">
        <f>LEFT(UPPER(H1903)&amp;REPT(" ",250),250)</f>
        <v/>
      </c>
      <c r="AD1903" s="10">
        <f>TEXT($G$2,"dd/mm/aaaa")</f>
        <v/>
      </c>
      <c r="AE1903" s="10">
        <f>REPT(" ",10)</f>
        <v/>
      </c>
      <c r="AF1903" s="10">
        <f>REPT(" ",20)</f>
        <v/>
      </c>
      <c r="AG1903" s="54">
        <f>REPT(" ",18-LEN(FIXED(F1903,2,TRUE)))&amp;FIXED(F1903,2,TRUE)</f>
        <v/>
      </c>
      <c r="AH1903" s="10">
        <f>LEN(AC1903)+LEN(AG1903)</f>
        <v/>
      </c>
      <c r="AI1903" s="10">
        <f>LEN(L1903)</f>
        <v/>
      </c>
    </row>
    <row r="1904">
      <c r="J1904" s="12">
        <f>IF(F1904&lt;&gt;0,"LANÇAR","")</f>
        <v/>
      </c>
      <c r="L1904" s="13">
        <f>N1904&amp;O1904&amp;P1904&amp;Q1904&amp;R1904&amp;S1904&amp;T1904&amp;U1904&amp;V1904&amp;W1904&amp;X1904&amp;Y1904&amp;Z1904&amp;AA1904&amp;AB1904&amp;AC1904&amp;AD1904&amp;AE1904&amp;AF1904&amp;AG1904</f>
        <v/>
      </c>
      <c r="N1904" s="10">
        <f>TEXT($B$6,"00")</f>
        <v/>
      </c>
      <c r="O1904" s="10">
        <f>REPT(" ",8)</f>
        <v/>
      </c>
      <c r="P1904" s="10">
        <f>RIGHT($B$4,2)</f>
        <v/>
      </c>
      <c r="Q1904" s="10">
        <f>RIGHT($B$5,3)</f>
        <v/>
      </c>
      <c r="R1904" s="10">
        <f>IF(A1904="D",LEFT(UPPER(B1904)&amp;REPT(" ",20),20),REPT(" ",20))</f>
        <v/>
      </c>
      <c r="S1904" s="10">
        <f>IF(A1904="D",LEFT(UPPER(C1904)&amp;REPT(" ",10),10)," ")</f>
        <v/>
      </c>
      <c r="T1904" s="10">
        <f>IF(A1904="D",LEFT(UPPER(D1904)&amp;REPT(" ",2),2)," ")</f>
        <v/>
      </c>
      <c r="U1904" s="10">
        <f>IF(A1904="D",LEFT(UPPER(E1904)&amp;REPT(" ",15),15)," ")</f>
        <v/>
      </c>
      <c r="V1904" s="10">
        <f>REPT(" ",24)</f>
        <v/>
      </c>
      <c r="W1904" s="10">
        <f>IF(A1904="c",LEFT(UPPER(B1904)&amp;REPT(" ",20),20),REPT(" ",20))</f>
        <v/>
      </c>
      <c r="X1904" s="10">
        <f>IF(A1904="C",LEFT(UPPER(C1904)&amp;REPT(" ",10),10)," ")</f>
        <v/>
      </c>
      <c r="Y1904" s="10">
        <f>IF(A1904="C",LEFT(UPPER(D1904)&amp;REPT(" ",2),2)," ")</f>
        <v/>
      </c>
      <c r="Z1904" s="10">
        <f>IF(A1904="C",LEFT(UPPER(E1904)&amp;REPT(" ",15),15)," ")</f>
        <v/>
      </c>
      <c r="AA1904" s="10">
        <f>REPT(" ",8)</f>
        <v/>
      </c>
      <c r="AB1904" s="10">
        <f>REPT(" ",4)</f>
        <v/>
      </c>
      <c r="AC1904" s="10">
        <f>LEFT(UPPER(H1904)&amp;REPT(" ",250),250)</f>
        <v/>
      </c>
      <c r="AD1904" s="10">
        <f>TEXT($G$2,"dd/mm/aaaa")</f>
        <v/>
      </c>
      <c r="AE1904" s="10">
        <f>REPT(" ",10)</f>
        <v/>
      </c>
      <c r="AF1904" s="10">
        <f>REPT(" ",20)</f>
        <v/>
      </c>
      <c r="AG1904" s="54">
        <f>REPT(" ",18-LEN(FIXED(F1904,2,TRUE)))&amp;FIXED(F1904,2,TRUE)</f>
        <v/>
      </c>
      <c r="AH1904" s="10">
        <f>LEN(AC1904)+LEN(AG1904)</f>
        <v/>
      </c>
      <c r="AI1904" s="10">
        <f>LEN(L1904)</f>
        <v/>
      </c>
    </row>
    <row r="1905">
      <c r="J1905" s="12">
        <f>IF(F1905&lt;&gt;0,"LANÇAR","")</f>
        <v/>
      </c>
      <c r="L1905" s="13">
        <f>N1905&amp;O1905&amp;P1905&amp;Q1905&amp;R1905&amp;S1905&amp;T1905&amp;U1905&amp;V1905&amp;W1905&amp;X1905&amp;Y1905&amp;Z1905&amp;AA1905&amp;AB1905&amp;AC1905&amp;AD1905&amp;AE1905&amp;AF1905&amp;AG1905</f>
        <v/>
      </c>
      <c r="N1905" s="10">
        <f>TEXT($B$6,"00")</f>
        <v/>
      </c>
      <c r="O1905" s="10">
        <f>REPT(" ",8)</f>
        <v/>
      </c>
      <c r="P1905" s="10">
        <f>RIGHT($B$4,2)</f>
        <v/>
      </c>
      <c r="Q1905" s="10">
        <f>RIGHT($B$5,3)</f>
        <v/>
      </c>
      <c r="R1905" s="10">
        <f>IF(A1905="D",LEFT(UPPER(B1905)&amp;REPT(" ",20),20),REPT(" ",20))</f>
        <v/>
      </c>
      <c r="S1905" s="10">
        <f>IF(A1905="D",LEFT(UPPER(C1905)&amp;REPT(" ",10),10)," ")</f>
        <v/>
      </c>
      <c r="T1905" s="10">
        <f>IF(A1905="D",LEFT(UPPER(D1905)&amp;REPT(" ",2),2)," ")</f>
        <v/>
      </c>
      <c r="U1905" s="10">
        <f>IF(A1905="D",LEFT(UPPER(E1905)&amp;REPT(" ",15),15)," ")</f>
        <v/>
      </c>
      <c r="V1905" s="10">
        <f>REPT(" ",24)</f>
        <v/>
      </c>
      <c r="W1905" s="10">
        <f>IF(A1905="c",LEFT(UPPER(B1905)&amp;REPT(" ",20),20),REPT(" ",20))</f>
        <v/>
      </c>
      <c r="X1905" s="10">
        <f>IF(A1905="C",LEFT(UPPER(C1905)&amp;REPT(" ",10),10)," ")</f>
        <v/>
      </c>
      <c r="Y1905" s="10">
        <f>IF(A1905="C",LEFT(UPPER(D1905)&amp;REPT(" ",2),2)," ")</f>
        <v/>
      </c>
      <c r="Z1905" s="10">
        <f>IF(A1905="C",LEFT(UPPER(E1905)&amp;REPT(" ",15),15)," ")</f>
        <v/>
      </c>
      <c r="AA1905" s="10">
        <f>REPT(" ",8)</f>
        <v/>
      </c>
      <c r="AB1905" s="10">
        <f>REPT(" ",4)</f>
        <v/>
      </c>
      <c r="AC1905" s="10">
        <f>LEFT(UPPER(H1905)&amp;REPT(" ",250),250)</f>
        <v/>
      </c>
      <c r="AD1905" s="10">
        <f>TEXT($G$2,"dd/mm/aaaa")</f>
        <v/>
      </c>
      <c r="AE1905" s="10">
        <f>REPT(" ",10)</f>
        <v/>
      </c>
      <c r="AF1905" s="10">
        <f>REPT(" ",20)</f>
        <v/>
      </c>
      <c r="AG1905" s="54">
        <f>REPT(" ",18-LEN(FIXED(F1905,2,TRUE)))&amp;FIXED(F1905,2,TRUE)</f>
        <v/>
      </c>
      <c r="AH1905" s="10">
        <f>LEN(AC1905)+LEN(AG1905)</f>
        <v/>
      </c>
      <c r="AI1905" s="10">
        <f>LEN(L1905)</f>
        <v/>
      </c>
    </row>
    <row r="1906">
      <c r="J1906" s="12">
        <f>IF(F1906&lt;&gt;0,"LANÇAR","")</f>
        <v/>
      </c>
      <c r="L1906" s="13">
        <f>N1906&amp;O1906&amp;P1906&amp;Q1906&amp;R1906&amp;S1906&amp;T1906&amp;U1906&amp;V1906&amp;W1906&amp;X1906&amp;Y1906&amp;Z1906&amp;AA1906&amp;AB1906&amp;AC1906&amp;AD1906&amp;AE1906&amp;AF1906&amp;AG1906</f>
        <v/>
      </c>
      <c r="N1906" s="10">
        <f>TEXT($B$6,"00")</f>
        <v/>
      </c>
      <c r="O1906" s="10">
        <f>REPT(" ",8)</f>
        <v/>
      </c>
      <c r="P1906" s="10">
        <f>RIGHT($B$4,2)</f>
        <v/>
      </c>
      <c r="Q1906" s="10">
        <f>RIGHT($B$5,3)</f>
        <v/>
      </c>
      <c r="R1906" s="10">
        <f>IF(A1906="D",LEFT(UPPER(B1906)&amp;REPT(" ",20),20),REPT(" ",20))</f>
        <v/>
      </c>
      <c r="S1906" s="10">
        <f>IF(A1906="D",LEFT(UPPER(C1906)&amp;REPT(" ",10),10)," ")</f>
        <v/>
      </c>
      <c r="T1906" s="10">
        <f>IF(A1906="D",LEFT(UPPER(D1906)&amp;REPT(" ",2),2)," ")</f>
        <v/>
      </c>
      <c r="U1906" s="10">
        <f>IF(A1906="D",LEFT(UPPER(E1906)&amp;REPT(" ",15),15)," ")</f>
        <v/>
      </c>
      <c r="V1906" s="10">
        <f>REPT(" ",24)</f>
        <v/>
      </c>
      <c r="W1906" s="10">
        <f>IF(A1906="c",LEFT(UPPER(B1906)&amp;REPT(" ",20),20),REPT(" ",20))</f>
        <v/>
      </c>
      <c r="X1906" s="10">
        <f>IF(A1906="C",LEFT(UPPER(C1906)&amp;REPT(" ",10),10)," ")</f>
        <v/>
      </c>
      <c r="Y1906" s="10">
        <f>IF(A1906="C",LEFT(UPPER(D1906)&amp;REPT(" ",2),2)," ")</f>
        <v/>
      </c>
      <c r="Z1906" s="10">
        <f>IF(A1906="C",LEFT(UPPER(E1906)&amp;REPT(" ",15),15)," ")</f>
        <v/>
      </c>
      <c r="AA1906" s="10">
        <f>REPT(" ",8)</f>
        <v/>
      </c>
      <c r="AB1906" s="10">
        <f>REPT(" ",4)</f>
        <v/>
      </c>
      <c r="AC1906" s="10">
        <f>LEFT(UPPER(H1906)&amp;REPT(" ",250),250)</f>
        <v/>
      </c>
      <c r="AD1906" s="10">
        <f>TEXT($G$2,"dd/mm/aaaa")</f>
        <v/>
      </c>
      <c r="AE1906" s="10">
        <f>REPT(" ",10)</f>
        <v/>
      </c>
      <c r="AF1906" s="10">
        <f>REPT(" ",20)</f>
        <v/>
      </c>
      <c r="AG1906" s="54">
        <f>REPT(" ",18-LEN(FIXED(F1906,2,TRUE)))&amp;FIXED(F1906,2,TRUE)</f>
        <v/>
      </c>
      <c r="AH1906" s="10">
        <f>LEN(AC1906)+LEN(AG1906)</f>
        <v/>
      </c>
      <c r="AI1906" s="10">
        <f>LEN(L1906)</f>
        <v/>
      </c>
    </row>
    <row r="1907">
      <c r="J1907" s="12">
        <f>IF(F1907&lt;&gt;0,"LANÇAR","")</f>
        <v/>
      </c>
      <c r="L1907" s="13">
        <f>N1907&amp;O1907&amp;P1907&amp;Q1907&amp;R1907&amp;S1907&amp;T1907&amp;U1907&amp;V1907&amp;W1907&amp;X1907&amp;Y1907&amp;Z1907&amp;AA1907&amp;AB1907&amp;AC1907&amp;AD1907&amp;AE1907&amp;AF1907&amp;AG1907</f>
        <v/>
      </c>
      <c r="N1907" s="10">
        <f>TEXT($B$6,"00")</f>
        <v/>
      </c>
      <c r="O1907" s="10">
        <f>REPT(" ",8)</f>
        <v/>
      </c>
      <c r="P1907" s="10">
        <f>RIGHT($B$4,2)</f>
        <v/>
      </c>
      <c r="Q1907" s="10">
        <f>RIGHT($B$5,3)</f>
        <v/>
      </c>
      <c r="R1907" s="10">
        <f>IF(A1907="D",LEFT(UPPER(B1907)&amp;REPT(" ",20),20),REPT(" ",20))</f>
        <v/>
      </c>
      <c r="S1907" s="10">
        <f>IF(A1907="D",LEFT(UPPER(C1907)&amp;REPT(" ",10),10)," ")</f>
        <v/>
      </c>
      <c r="T1907" s="10">
        <f>IF(A1907="D",LEFT(UPPER(D1907)&amp;REPT(" ",2),2)," ")</f>
        <v/>
      </c>
      <c r="U1907" s="10">
        <f>IF(A1907="D",LEFT(UPPER(E1907)&amp;REPT(" ",15),15)," ")</f>
        <v/>
      </c>
      <c r="V1907" s="10">
        <f>REPT(" ",24)</f>
        <v/>
      </c>
      <c r="W1907" s="10">
        <f>IF(A1907="c",LEFT(UPPER(B1907)&amp;REPT(" ",20),20),REPT(" ",20))</f>
        <v/>
      </c>
      <c r="X1907" s="10">
        <f>IF(A1907="C",LEFT(UPPER(C1907)&amp;REPT(" ",10),10)," ")</f>
        <v/>
      </c>
      <c r="Y1907" s="10">
        <f>IF(A1907="C",LEFT(UPPER(D1907)&amp;REPT(" ",2),2)," ")</f>
        <v/>
      </c>
      <c r="Z1907" s="10">
        <f>IF(A1907="C",LEFT(UPPER(E1907)&amp;REPT(" ",15),15)," ")</f>
        <v/>
      </c>
      <c r="AA1907" s="10">
        <f>REPT(" ",8)</f>
        <v/>
      </c>
      <c r="AB1907" s="10">
        <f>REPT(" ",4)</f>
        <v/>
      </c>
      <c r="AC1907" s="10">
        <f>LEFT(UPPER(H1907)&amp;REPT(" ",250),250)</f>
        <v/>
      </c>
      <c r="AD1907" s="10">
        <f>TEXT($G$2,"dd/mm/aaaa")</f>
        <v/>
      </c>
      <c r="AE1907" s="10">
        <f>REPT(" ",10)</f>
        <v/>
      </c>
      <c r="AF1907" s="10">
        <f>REPT(" ",20)</f>
        <v/>
      </c>
      <c r="AG1907" s="54">
        <f>REPT(" ",18-LEN(FIXED(F1907,2,TRUE)))&amp;FIXED(F1907,2,TRUE)</f>
        <v/>
      </c>
      <c r="AH1907" s="10">
        <f>LEN(AC1907)+LEN(AG1907)</f>
        <v/>
      </c>
      <c r="AI1907" s="10">
        <f>LEN(L1907)</f>
        <v/>
      </c>
    </row>
    <row r="1908">
      <c r="J1908" s="12">
        <f>IF(F1908&lt;&gt;0,"LANÇAR","")</f>
        <v/>
      </c>
      <c r="L1908" s="13">
        <f>N1908&amp;O1908&amp;P1908&amp;Q1908&amp;R1908&amp;S1908&amp;T1908&amp;U1908&amp;V1908&amp;W1908&amp;X1908&amp;Y1908&amp;Z1908&amp;AA1908&amp;AB1908&amp;AC1908&amp;AD1908&amp;AE1908&amp;AF1908&amp;AG1908</f>
        <v/>
      </c>
      <c r="N1908" s="10">
        <f>TEXT($B$6,"00")</f>
        <v/>
      </c>
      <c r="O1908" s="10">
        <f>REPT(" ",8)</f>
        <v/>
      </c>
      <c r="P1908" s="10">
        <f>RIGHT($B$4,2)</f>
        <v/>
      </c>
      <c r="Q1908" s="10">
        <f>RIGHT($B$5,3)</f>
        <v/>
      </c>
      <c r="R1908" s="10">
        <f>IF(A1908="D",LEFT(UPPER(B1908)&amp;REPT(" ",20),20),REPT(" ",20))</f>
        <v/>
      </c>
      <c r="S1908" s="10">
        <f>IF(A1908="D",LEFT(UPPER(C1908)&amp;REPT(" ",10),10)," ")</f>
        <v/>
      </c>
      <c r="T1908" s="10">
        <f>IF(A1908="D",LEFT(UPPER(D1908)&amp;REPT(" ",2),2)," ")</f>
        <v/>
      </c>
      <c r="U1908" s="10">
        <f>IF(A1908="D",LEFT(UPPER(E1908)&amp;REPT(" ",15),15)," ")</f>
        <v/>
      </c>
      <c r="V1908" s="10">
        <f>REPT(" ",24)</f>
        <v/>
      </c>
      <c r="W1908" s="10">
        <f>IF(A1908="c",LEFT(UPPER(B1908)&amp;REPT(" ",20),20),REPT(" ",20))</f>
        <v/>
      </c>
      <c r="X1908" s="10">
        <f>IF(A1908="C",LEFT(UPPER(C1908)&amp;REPT(" ",10),10)," ")</f>
        <v/>
      </c>
      <c r="Y1908" s="10">
        <f>IF(A1908="C",LEFT(UPPER(D1908)&amp;REPT(" ",2),2)," ")</f>
        <v/>
      </c>
      <c r="Z1908" s="10">
        <f>IF(A1908="C",LEFT(UPPER(E1908)&amp;REPT(" ",15),15)," ")</f>
        <v/>
      </c>
      <c r="AA1908" s="10">
        <f>REPT(" ",8)</f>
        <v/>
      </c>
      <c r="AB1908" s="10">
        <f>REPT(" ",4)</f>
        <v/>
      </c>
      <c r="AC1908" s="10">
        <f>LEFT(UPPER(H1908)&amp;REPT(" ",250),250)</f>
        <v/>
      </c>
      <c r="AD1908" s="10">
        <f>TEXT($G$2,"dd/mm/aaaa")</f>
        <v/>
      </c>
      <c r="AE1908" s="10">
        <f>REPT(" ",10)</f>
        <v/>
      </c>
      <c r="AF1908" s="10">
        <f>REPT(" ",20)</f>
        <v/>
      </c>
      <c r="AG1908" s="54">
        <f>REPT(" ",18-LEN(FIXED(F1908,2,TRUE)))&amp;FIXED(F1908,2,TRUE)</f>
        <v/>
      </c>
      <c r="AH1908" s="10">
        <f>LEN(AC1908)+LEN(AG1908)</f>
        <v/>
      </c>
      <c r="AI1908" s="10">
        <f>LEN(L1908)</f>
        <v/>
      </c>
    </row>
    <row r="1909">
      <c r="J1909" s="12">
        <f>IF(F1909&lt;&gt;0,"LANÇAR","")</f>
        <v/>
      </c>
      <c r="L1909" s="13">
        <f>N1909&amp;O1909&amp;P1909&amp;Q1909&amp;R1909&amp;S1909&amp;T1909&amp;U1909&amp;V1909&amp;W1909&amp;X1909&amp;Y1909&amp;Z1909&amp;AA1909&amp;AB1909&amp;AC1909&amp;AD1909&amp;AE1909&amp;AF1909&amp;AG1909</f>
        <v/>
      </c>
      <c r="N1909" s="10">
        <f>TEXT($B$6,"00")</f>
        <v/>
      </c>
      <c r="O1909" s="10">
        <f>REPT(" ",8)</f>
        <v/>
      </c>
      <c r="P1909" s="10">
        <f>RIGHT($B$4,2)</f>
        <v/>
      </c>
      <c r="Q1909" s="10">
        <f>RIGHT($B$5,3)</f>
        <v/>
      </c>
      <c r="R1909" s="10">
        <f>IF(A1909="D",LEFT(UPPER(B1909)&amp;REPT(" ",20),20),REPT(" ",20))</f>
        <v/>
      </c>
      <c r="S1909" s="10">
        <f>IF(A1909="D",LEFT(UPPER(C1909)&amp;REPT(" ",10),10)," ")</f>
        <v/>
      </c>
      <c r="T1909" s="10">
        <f>IF(A1909="D",LEFT(UPPER(D1909)&amp;REPT(" ",2),2)," ")</f>
        <v/>
      </c>
      <c r="U1909" s="10">
        <f>IF(A1909="D",LEFT(UPPER(E1909)&amp;REPT(" ",15),15)," ")</f>
        <v/>
      </c>
      <c r="V1909" s="10">
        <f>REPT(" ",24)</f>
        <v/>
      </c>
      <c r="W1909" s="10">
        <f>IF(A1909="c",LEFT(UPPER(B1909)&amp;REPT(" ",20),20),REPT(" ",20))</f>
        <v/>
      </c>
      <c r="X1909" s="10">
        <f>IF(A1909="C",LEFT(UPPER(C1909)&amp;REPT(" ",10),10)," ")</f>
        <v/>
      </c>
      <c r="Y1909" s="10">
        <f>IF(A1909="C",LEFT(UPPER(D1909)&amp;REPT(" ",2),2)," ")</f>
        <v/>
      </c>
      <c r="Z1909" s="10">
        <f>IF(A1909="C",LEFT(UPPER(E1909)&amp;REPT(" ",15),15)," ")</f>
        <v/>
      </c>
      <c r="AA1909" s="10">
        <f>REPT(" ",8)</f>
        <v/>
      </c>
      <c r="AB1909" s="10">
        <f>REPT(" ",4)</f>
        <v/>
      </c>
      <c r="AC1909" s="10">
        <f>LEFT(UPPER(H1909)&amp;REPT(" ",250),250)</f>
        <v/>
      </c>
      <c r="AD1909" s="10">
        <f>TEXT($G$2,"dd/mm/aaaa")</f>
        <v/>
      </c>
      <c r="AE1909" s="10">
        <f>REPT(" ",10)</f>
        <v/>
      </c>
      <c r="AF1909" s="10">
        <f>REPT(" ",20)</f>
        <v/>
      </c>
      <c r="AG1909" s="54">
        <f>REPT(" ",18-LEN(FIXED(F1909,2,TRUE)))&amp;FIXED(F1909,2,TRUE)</f>
        <v/>
      </c>
      <c r="AH1909" s="10">
        <f>LEN(AC1909)+LEN(AG1909)</f>
        <v/>
      </c>
      <c r="AI1909" s="10">
        <f>LEN(L1909)</f>
        <v/>
      </c>
    </row>
    <row r="1910">
      <c r="J1910" s="12">
        <f>IF(F1910&lt;&gt;0,"LANÇAR","")</f>
        <v/>
      </c>
      <c r="L1910" s="13">
        <f>N1910&amp;O1910&amp;P1910&amp;Q1910&amp;R1910&amp;S1910&amp;T1910&amp;U1910&amp;V1910&amp;W1910&amp;X1910&amp;Y1910&amp;Z1910&amp;AA1910&amp;AB1910&amp;AC1910&amp;AD1910&amp;AE1910&amp;AF1910&amp;AG1910</f>
        <v/>
      </c>
      <c r="N1910" s="10">
        <f>TEXT($B$6,"00")</f>
        <v/>
      </c>
      <c r="O1910" s="10">
        <f>REPT(" ",8)</f>
        <v/>
      </c>
      <c r="P1910" s="10">
        <f>RIGHT($B$4,2)</f>
        <v/>
      </c>
      <c r="Q1910" s="10">
        <f>RIGHT($B$5,3)</f>
        <v/>
      </c>
      <c r="R1910" s="10">
        <f>IF(A1910="D",LEFT(UPPER(B1910)&amp;REPT(" ",20),20),REPT(" ",20))</f>
        <v/>
      </c>
      <c r="S1910" s="10">
        <f>IF(A1910="D",LEFT(UPPER(C1910)&amp;REPT(" ",10),10)," ")</f>
        <v/>
      </c>
      <c r="T1910" s="10">
        <f>IF(A1910="D",LEFT(UPPER(D1910)&amp;REPT(" ",2),2)," ")</f>
        <v/>
      </c>
      <c r="U1910" s="10">
        <f>IF(A1910="D",LEFT(UPPER(E1910)&amp;REPT(" ",15),15)," ")</f>
        <v/>
      </c>
      <c r="V1910" s="10">
        <f>REPT(" ",24)</f>
        <v/>
      </c>
      <c r="W1910" s="10">
        <f>IF(A1910="c",LEFT(UPPER(B1910)&amp;REPT(" ",20),20),REPT(" ",20))</f>
        <v/>
      </c>
      <c r="X1910" s="10">
        <f>IF(A1910="C",LEFT(UPPER(C1910)&amp;REPT(" ",10),10)," ")</f>
        <v/>
      </c>
      <c r="Y1910" s="10">
        <f>IF(A1910="C",LEFT(UPPER(D1910)&amp;REPT(" ",2),2)," ")</f>
        <v/>
      </c>
      <c r="Z1910" s="10">
        <f>IF(A1910="C",LEFT(UPPER(E1910)&amp;REPT(" ",15),15)," ")</f>
        <v/>
      </c>
      <c r="AA1910" s="10">
        <f>REPT(" ",8)</f>
        <v/>
      </c>
      <c r="AB1910" s="10">
        <f>REPT(" ",4)</f>
        <v/>
      </c>
      <c r="AC1910" s="10">
        <f>LEFT(UPPER(H1910)&amp;REPT(" ",250),250)</f>
        <v/>
      </c>
      <c r="AD1910" s="10">
        <f>TEXT($G$2,"dd/mm/aaaa")</f>
        <v/>
      </c>
      <c r="AE1910" s="10">
        <f>REPT(" ",10)</f>
        <v/>
      </c>
      <c r="AF1910" s="10">
        <f>REPT(" ",20)</f>
        <v/>
      </c>
      <c r="AG1910" s="54">
        <f>REPT(" ",18-LEN(FIXED(F1910,2,TRUE)))&amp;FIXED(F1910,2,TRUE)</f>
        <v/>
      </c>
      <c r="AH1910" s="10">
        <f>LEN(AC1910)+LEN(AG1910)</f>
        <v/>
      </c>
      <c r="AI1910" s="10">
        <f>LEN(L1910)</f>
        <v/>
      </c>
    </row>
    <row r="1911">
      <c r="J1911" s="12">
        <f>IF(F1911&lt;&gt;0,"LANÇAR","")</f>
        <v/>
      </c>
      <c r="L1911" s="13">
        <f>N1911&amp;O1911&amp;P1911&amp;Q1911&amp;R1911&amp;S1911&amp;T1911&amp;U1911&amp;V1911&amp;W1911&amp;X1911&amp;Y1911&amp;Z1911&amp;AA1911&amp;AB1911&amp;AC1911&amp;AD1911&amp;AE1911&amp;AF1911&amp;AG1911</f>
        <v/>
      </c>
      <c r="N1911" s="10">
        <f>TEXT($B$6,"00")</f>
        <v/>
      </c>
      <c r="O1911" s="10">
        <f>REPT(" ",8)</f>
        <v/>
      </c>
      <c r="P1911" s="10">
        <f>RIGHT($B$4,2)</f>
        <v/>
      </c>
      <c r="Q1911" s="10">
        <f>RIGHT($B$5,3)</f>
        <v/>
      </c>
      <c r="R1911" s="10">
        <f>IF(A1911="D",LEFT(UPPER(B1911)&amp;REPT(" ",20),20),REPT(" ",20))</f>
        <v/>
      </c>
      <c r="S1911" s="10">
        <f>IF(A1911="D",LEFT(UPPER(C1911)&amp;REPT(" ",10),10)," ")</f>
        <v/>
      </c>
      <c r="T1911" s="10">
        <f>IF(A1911="D",LEFT(UPPER(D1911)&amp;REPT(" ",2),2)," ")</f>
        <v/>
      </c>
      <c r="U1911" s="10">
        <f>IF(A1911="D",LEFT(UPPER(E1911)&amp;REPT(" ",15),15)," ")</f>
        <v/>
      </c>
      <c r="V1911" s="10">
        <f>REPT(" ",24)</f>
        <v/>
      </c>
      <c r="W1911" s="10">
        <f>IF(A1911="c",LEFT(UPPER(B1911)&amp;REPT(" ",20),20),REPT(" ",20))</f>
        <v/>
      </c>
      <c r="X1911" s="10">
        <f>IF(A1911="C",LEFT(UPPER(C1911)&amp;REPT(" ",10),10)," ")</f>
        <v/>
      </c>
      <c r="Y1911" s="10">
        <f>IF(A1911="C",LEFT(UPPER(D1911)&amp;REPT(" ",2),2)," ")</f>
        <v/>
      </c>
      <c r="Z1911" s="10">
        <f>IF(A1911="C",LEFT(UPPER(E1911)&amp;REPT(" ",15),15)," ")</f>
        <v/>
      </c>
      <c r="AA1911" s="10">
        <f>REPT(" ",8)</f>
        <v/>
      </c>
      <c r="AB1911" s="10">
        <f>REPT(" ",4)</f>
        <v/>
      </c>
      <c r="AC1911" s="10">
        <f>LEFT(UPPER(H1911)&amp;REPT(" ",250),250)</f>
        <v/>
      </c>
      <c r="AD1911" s="10">
        <f>TEXT($G$2,"dd/mm/aaaa")</f>
        <v/>
      </c>
      <c r="AE1911" s="10">
        <f>REPT(" ",10)</f>
        <v/>
      </c>
      <c r="AF1911" s="10">
        <f>REPT(" ",20)</f>
        <v/>
      </c>
      <c r="AG1911" s="54">
        <f>REPT(" ",18-LEN(FIXED(F1911,2,TRUE)))&amp;FIXED(F1911,2,TRUE)</f>
        <v/>
      </c>
      <c r="AH1911" s="10">
        <f>LEN(AC1911)+LEN(AG1911)</f>
        <v/>
      </c>
      <c r="AI1911" s="10">
        <f>LEN(L1911)</f>
        <v/>
      </c>
    </row>
    <row r="1912">
      <c r="J1912" s="12">
        <f>IF(F1912&lt;&gt;0,"LANÇAR","")</f>
        <v/>
      </c>
      <c r="L1912" s="13">
        <f>N1912&amp;O1912&amp;P1912&amp;Q1912&amp;R1912&amp;S1912&amp;T1912&amp;U1912&amp;V1912&amp;W1912&amp;X1912&amp;Y1912&amp;Z1912&amp;AA1912&amp;AB1912&amp;AC1912&amp;AD1912&amp;AE1912&amp;AF1912&amp;AG1912</f>
        <v/>
      </c>
      <c r="N1912" s="10">
        <f>TEXT($B$6,"00")</f>
        <v/>
      </c>
      <c r="O1912" s="10">
        <f>REPT(" ",8)</f>
        <v/>
      </c>
      <c r="P1912" s="10">
        <f>RIGHT($B$4,2)</f>
        <v/>
      </c>
      <c r="Q1912" s="10">
        <f>RIGHT($B$5,3)</f>
        <v/>
      </c>
      <c r="R1912" s="10">
        <f>IF(A1912="D",LEFT(UPPER(B1912)&amp;REPT(" ",20),20),REPT(" ",20))</f>
        <v/>
      </c>
      <c r="S1912" s="10">
        <f>IF(A1912="D",LEFT(UPPER(C1912)&amp;REPT(" ",10),10)," ")</f>
        <v/>
      </c>
      <c r="T1912" s="10">
        <f>IF(A1912="D",LEFT(UPPER(D1912)&amp;REPT(" ",2),2)," ")</f>
        <v/>
      </c>
      <c r="U1912" s="10">
        <f>IF(A1912="D",LEFT(UPPER(E1912)&amp;REPT(" ",15),15)," ")</f>
        <v/>
      </c>
      <c r="V1912" s="10">
        <f>REPT(" ",24)</f>
        <v/>
      </c>
      <c r="W1912" s="10">
        <f>IF(A1912="c",LEFT(UPPER(B1912)&amp;REPT(" ",20),20),REPT(" ",20))</f>
        <v/>
      </c>
      <c r="X1912" s="10">
        <f>IF(A1912="C",LEFT(UPPER(C1912)&amp;REPT(" ",10),10)," ")</f>
        <v/>
      </c>
      <c r="Y1912" s="10">
        <f>IF(A1912="C",LEFT(UPPER(D1912)&amp;REPT(" ",2),2)," ")</f>
        <v/>
      </c>
      <c r="Z1912" s="10">
        <f>IF(A1912="C",LEFT(UPPER(E1912)&amp;REPT(" ",15),15)," ")</f>
        <v/>
      </c>
      <c r="AA1912" s="10">
        <f>REPT(" ",8)</f>
        <v/>
      </c>
      <c r="AB1912" s="10">
        <f>REPT(" ",4)</f>
        <v/>
      </c>
      <c r="AC1912" s="10">
        <f>LEFT(UPPER(H1912)&amp;REPT(" ",250),250)</f>
        <v/>
      </c>
      <c r="AD1912" s="10">
        <f>TEXT($G$2,"dd/mm/aaaa")</f>
        <v/>
      </c>
      <c r="AE1912" s="10">
        <f>REPT(" ",10)</f>
        <v/>
      </c>
      <c r="AF1912" s="10">
        <f>REPT(" ",20)</f>
        <v/>
      </c>
      <c r="AG1912" s="54">
        <f>REPT(" ",18-LEN(FIXED(F1912,2,TRUE)))&amp;FIXED(F1912,2,TRUE)</f>
        <v/>
      </c>
      <c r="AH1912" s="10">
        <f>LEN(AC1912)+LEN(AG1912)</f>
        <v/>
      </c>
      <c r="AI1912" s="10">
        <f>LEN(L1912)</f>
        <v/>
      </c>
    </row>
    <row r="1913">
      <c r="J1913" s="12">
        <f>IF(F1913&lt;&gt;0,"LANÇAR","")</f>
        <v/>
      </c>
      <c r="L1913" s="13">
        <f>N1913&amp;O1913&amp;P1913&amp;Q1913&amp;R1913&amp;S1913&amp;T1913&amp;U1913&amp;V1913&amp;W1913&amp;X1913&amp;Y1913&amp;Z1913&amp;AA1913&amp;AB1913&amp;AC1913&amp;AD1913&amp;AE1913&amp;AF1913&amp;AG1913</f>
        <v/>
      </c>
      <c r="N1913" s="10">
        <f>TEXT($B$6,"00")</f>
        <v/>
      </c>
      <c r="O1913" s="10">
        <f>REPT(" ",8)</f>
        <v/>
      </c>
      <c r="P1913" s="10">
        <f>RIGHT($B$4,2)</f>
        <v/>
      </c>
      <c r="Q1913" s="10">
        <f>RIGHT($B$5,3)</f>
        <v/>
      </c>
      <c r="R1913" s="10">
        <f>IF(A1913="D",LEFT(UPPER(B1913)&amp;REPT(" ",20),20),REPT(" ",20))</f>
        <v/>
      </c>
      <c r="S1913" s="10">
        <f>IF(A1913="D",LEFT(UPPER(C1913)&amp;REPT(" ",10),10)," ")</f>
        <v/>
      </c>
      <c r="T1913" s="10">
        <f>IF(A1913="D",LEFT(UPPER(D1913)&amp;REPT(" ",2),2)," ")</f>
        <v/>
      </c>
      <c r="U1913" s="10">
        <f>IF(A1913="D",LEFT(UPPER(E1913)&amp;REPT(" ",15),15)," ")</f>
        <v/>
      </c>
      <c r="V1913" s="10">
        <f>REPT(" ",24)</f>
        <v/>
      </c>
      <c r="W1913" s="10">
        <f>IF(A1913="c",LEFT(UPPER(B1913)&amp;REPT(" ",20),20),REPT(" ",20))</f>
        <v/>
      </c>
      <c r="X1913" s="10">
        <f>IF(A1913="C",LEFT(UPPER(C1913)&amp;REPT(" ",10),10)," ")</f>
        <v/>
      </c>
      <c r="Y1913" s="10">
        <f>IF(A1913="C",LEFT(UPPER(D1913)&amp;REPT(" ",2),2)," ")</f>
        <v/>
      </c>
      <c r="Z1913" s="10">
        <f>IF(A1913="C",LEFT(UPPER(E1913)&amp;REPT(" ",15),15)," ")</f>
        <v/>
      </c>
      <c r="AA1913" s="10">
        <f>REPT(" ",8)</f>
        <v/>
      </c>
      <c r="AB1913" s="10">
        <f>REPT(" ",4)</f>
        <v/>
      </c>
      <c r="AC1913" s="10">
        <f>LEFT(UPPER(H1913)&amp;REPT(" ",250),250)</f>
        <v/>
      </c>
      <c r="AD1913" s="10">
        <f>TEXT($G$2,"dd/mm/aaaa")</f>
        <v/>
      </c>
      <c r="AE1913" s="10">
        <f>REPT(" ",10)</f>
        <v/>
      </c>
      <c r="AF1913" s="10">
        <f>REPT(" ",20)</f>
        <v/>
      </c>
      <c r="AG1913" s="54">
        <f>REPT(" ",18-LEN(FIXED(F1913,2,TRUE)))&amp;FIXED(F1913,2,TRUE)</f>
        <v/>
      </c>
      <c r="AH1913" s="10">
        <f>LEN(AC1913)+LEN(AG1913)</f>
        <v/>
      </c>
      <c r="AI1913" s="10">
        <f>LEN(L1913)</f>
        <v/>
      </c>
    </row>
    <row r="1914">
      <c r="J1914" s="12">
        <f>IF(F1914&lt;&gt;0,"LANÇAR","")</f>
        <v/>
      </c>
      <c r="L1914" s="13">
        <f>N1914&amp;O1914&amp;P1914&amp;Q1914&amp;R1914&amp;S1914&amp;T1914&amp;U1914&amp;V1914&amp;W1914&amp;X1914&amp;Y1914&amp;Z1914&amp;AA1914&amp;AB1914&amp;AC1914&amp;AD1914&amp;AE1914&amp;AF1914&amp;AG1914</f>
        <v/>
      </c>
      <c r="N1914" s="10">
        <f>TEXT($B$6,"00")</f>
        <v/>
      </c>
      <c r="O1914" s="10">
        <f>REPT(" ",8)</f>
        <v/>
      </c>
      <c r="P1914" s="10">
        <f>RIGHT($B$4,2)</f>
        <v/>
      </c>
      <c r="Q1914" s="10">
        <f>RIGHT($B$5,3)</f>
        <v/>
      </c>
      <c r="R1914" s="10">
        <f>IF(A1914="D",LEFT(UPPER(B1914)&amp;REPT(" ",20),20),REPT(" ",20))</f>
        <v/>
      </c>
      <c r="S1914" s="10">
        <f>IF(A1914="D",LEFT(UPPER(C1914)&amp;REPT(" ",10),10)," ")</f>
        <v/>
      </c>
      <c r="T1914" s="10">
        <f>IF(A1914="D",LEFT(UPPER(D1914)&amp;REPT(" ",2),2)," ")</f>
        <v/>
      </c>
      <c r="U1914" s="10">
        <f>IF(A1914="D",LEFT(UPPER(E1914)&amp;REPT(" ",15),15)," ")</f>
        <v/>
      </c>
      <c r="V1914" s="10">
        <f>REPT(" ",24)</f>
        <v/>
      </c>
      <c r="W1914" s="10">
        <f>IF(A1914="c",LEFT(UPPER(B1914)&amp;REPT(" ",20),20),REPT(" ",20))</f>
        <v/>
      </c>
      <c r="X1914" s="10">
        <f>IF(A1914="C",LEFT(UPPER(C1914)&amp;REPT(" ",10),10)," ")</f>
        <v/>
      </c>
      <c r="Y1914" s="10">
        <f>IF(A1914="C",LEFT(UPPER(D1914)&amp;REPT(" ",2),2)," ")</f>
        <v/>
      </c>
      <c r="Z1914" s="10">
        <f>IF(A1914="C",LEFT(UPPER(E1914)&amp;REPT(" ",15),15)," ")</f>
        <v/>
      </c>
      <c r="AA1914" s="10">
        <f>REPT(" ",8)</f>
        <v/>
      </c>
      <c r="AB1914" s="10">
        <f>REPT(" ",4)</f>
        <v/>
      </c>
      <c r="AC1914" s="10">
        <f>LEFT(UPPER(H1914)&amp;REPT(" ",250),250)</f>
        <v/>
      </c>
      <c r="AD1914" s="10">
        <f>TEXT($G$2,"dd/mm/aaaa")</f>
        <v/>
      </c>
      <c r="AE1914" s="10">
        <f>REPT(" ",10)</f>
        <v/>
      </c>
      <c r="AF1914" s="10">
        <f>REPT(" ",20)</f>
        <v/>
      </c>
      <c r="AG1914" s="54">
        <f>REPT(" ",18-LEN(FIXED(F1914,2,TRUE)))&amp;FIXED(F1914,2,TRUE)</f>
        <v/>
      </c>
      <c r="AH1914" s="10">
        <f>LEN(AC1914)+LEN(AG1914)</f>
        <v/>
      </c>
      <c r="AI1914" s="10">
        <f>LEN(L1914)</f>
        <v/>
      </c>
    </row>
    <row r="1915">
      <c r="J1915" s="12">
        <f>IF(F1915&lt;&gt;0,"LANÇAR","")</f>
        <v/>
      </c>
      <c r="L1915" s="13">
        <f>N1915&amp;O1915&amp;P1915&amp;Q1915&amp;R1915&amp;S1915&amp;T1915&amp;U1915&amp;V1915&amp;W1915&amp;X1915&amp;Y1915&amp;Z1915&amp;AA1915&amp;AB1915&amp;AC1915&amp;AD1915&amp;AE1915&amp;AF1915&amp;AG1915</f>
        <v/>
      </c>
      <c r="N1915" s="10">
        <f>TEXT($B$6,"00")</f>
        <v/>
      </c>
      <c r="O1915" s="10">
        <f>REPT(" ",8)</f>
        <v/>
      </c>
      <c r="P1915" s="10">
        <f>RIGHT($B$4,2)</f>
        <v/>
      </c>
      <c r="Q1915" s="10">
        <f>RIGHT($B$5,3)</f>
        <v/>
      </c>
      <c r="R1915" s="10">
        <f>IF(A1915="D",LEFT(UPPER(B1915)&amp;REPT(" ",20),20),REPT(" ",20))</f>
        <v/>
      </c>
      <c r="S1915" s="10">
        <f>IF(A1915="D",LEFT(UPPER(C1915)&amp;REPT(" ",10),10)," ")</f>
        <v/>
      </c>
      <c r="T1915" s="10">
        <f>IF(A1915="D",LEFT(UPPER(D1915)&amp;REPT(" ",2),2)," ")</f>
        <v/>
      </c>
      <c r="U1915" s="10">
        <f>IF(A1915="D",LEFT(UPPER(E1915)&amp;REPT(" ",15),15)," ")</f>
        <v/>
      </c>
      <c r="V1915" s="10">
        <f>REPT(" ",24)</f>
        <v/>
      </c>
      <c r="W1915" s="10">
        <f>IF(A1915="c",LEFT(UPPER(B1915)&amp;REPT(" ",20),20),REPT(" ",20))</f>
        <v/>
      </c>
      <c r="X1915" s="10">
        <f>IF(A1915="C",LEFT(UPPER(C1915)&amp;REPT(" ",10),10)," ")</f>
        <v/>
      </c>
      <c r="Y1915" s="10">
        <f>IF(A1915="C",LEFT(UPPER(D1915)&amp;REPT(" ",2),2)," ")</f>
        <v/>
      </c>
      <c r="Z1915" s="10">
        <f>IF(A1915="C",LEFT(UPPER(E1915)&amp;REPT(" ",15),15)," ")</f>
        <v/>
      </c>
      <c r="AA1915" s="10">
        <f>REPT(" ",8)</f>
        <v/>
      </c>
      <c r="AB1915" s="10">
        <f>REPT(" ",4)</f>
        <v/>
      </c>
      <c r="AC1915" s="10">
        <f>LEFT(UPPER(H1915)&amp;REPT(" ",250),250)</f>
        <v/>
      </c>
      <c r="AD1915" s="10">
        <f>TEXT($G$2,"dd/mm/aaaa")</f>
        <v/>
      </c>
      <c r="AE1915" s="10">
        <f>REPT(" ",10)</f>
        <v/>
      </c>
      <c r="AF1915" s="10">
        <f>REPT(" ",20)</f>
        <v/>
      </c>
      <c r="AG1915" s="54">
        <f>REPT(" ",18-LEN(FIXED(F1915,2,TRUE)))&amp;FIXED(F1915,2,TRUE)</f>
        <v/>
      </c>
      <c r="AH1915" s="10">
        <f>LEN(AC1915)+LEN(AG1915)</f>
        <v/>
      </c>
      <c r="AI1915" s="10">
        <f>LEN(L1915)</f>
        <v/>
      </c>
    </row>
    <row r="1916">
      <c r="J1916" s="12">
        <f>IF(F1916&lt;&gt;0,"LANÇAR","")</f>
        <v/>
      </c>
      <c r="L1916" s="13">
        <f>N1916&amp;O1916&amp;P1916&amp;Q1916&amp;R1916&amp;S1916&amp;T1916&amp;U1916&amp;V1916&amp;W1916&amp;X1916&amp;Y1916&amp;Z1916&amp;AA1916&amp;AB1916&amp;AC1916&amp;AD1916&amp;AE1916&amp;AF1916&amp;AG1916</f>
        <v/>
      </c>
      <c r="N1916" s="10">
        <f>TEXT($B$6,"00")</f>
        <v/>
      </c>
      <c r="O1916" s="10">
        <f>REPT(" ",8)</f>
        <v/>
      </c>
      <c r="P1916" s="10">
        <f>RIGHT($B$4,2)</f>
        <v/>
      </c>
      <c r="Q1916" s="10">
        <f>RIGHT($B$5,3)</f>
        <v/>
      </c>
      <c r="R1916" s="10">
        <f>IF(A1916="D",LEFT(UPPER(B1916)&amp;REPT(" ",20),20),REPT(" ",20))</f>
        <v/>
      </c>
      <c r="S1916" s="10">
        <f>IF(A1916="D",LEFT(UPPER(C1916)&amp;REPT(" ",10),10)," ")</f>
        <v/>
      </c>
      <c r="T1916" s="10">
        <f>IF(A1916="D",LEFT(UPPER(D1916)&amp;REPT(" ",2),2)," ")</f>
        <v/>
      </c>
      <c r="U1916" s="10">
        <f>IF(A1916="D",LEFT(UPPER(E1916)&amp;REPT(" ",15),15)," ")</f>
        <v/>
      </c>
      <c r="V1916" s="10">
        <f>REPT(" ",24)</f>
        <v/>
      </c>
      <c r="W1916" s="10">
        <f>IF(A1916="c",LEFT(UPPER(B1916)&amp;REPT(" ",20),20),REPT(" ",20))</f>
        <v/>
      </c>
      <c r="X1916" s="10">
        <f>IF(A1916="C",LEFT(UPPER(C1916)&amp;REPT(" ",10),10)," ")</f>
        <v/>
      </c>
      <c r="Y1916" s="10">
        <f>IF(A1916="C",LEFT(UPPER(D1916)&amp;REPT(" ",2),2)," ")</f>
        <v/>
      </c>
      <c r="Z1916" s="10">
        <f>IF(A1916="C",LEFT(UPPER(E1916)&amp;REPT(" ",15),15)," ")</f>
        <v/>
      </c>
      <c r="AA1916" s="10">
        <f>REPT(" ",8)</f>
        <v/>
      </c>
      <c r="AB1916" s="10">
        <f>REPT(" ",4)</f>
        <v/>
      </c>
      <c r="AC1916" s="10">
        <f>LEFT(UPPER(H1916)&amp;REPT(" ",250),250)</f>
        <v/>
      </c>
      <c r="AD1916" s="10">
        <f>TEXT($G$2,"dd/mm/aaaa")</f>
        <v/>
      </c>
      <c r="AE1916" s="10">
        <f>REPT(" ",10)</f>
        <v/>
      </c>
      <c r="AF1916" s="10">
        <f>REPT(" ",20)</f>
        <v/>
      </c>
      <c r="AG1916" s="54">
        <f>REPT(" ",18-LEN(FIXED(F1916,2,TRUE)))&amp;FIXED(F1916,2,TRUE)</f>
        <v/>
      </c>
      <c r="AH1916" s="10">
        <f>LEN(AC1916)+LEN(AG1916)</f>
        <v/>
      </c>
      <c r="AI1916" s="10">
        <f>LEN(L1916)</f>
        <v/>
      </c>
    </row>
    <row r="1917">
      <c r="J1917" s="12">
        <f>IF(F1917&lt;&gt;0,"LANÇAR","")</f>
        <v/>
      </c>
      <c r="L1917" s="13">
        <f>N1917&amp;O1917&amp;P1917&amp;Q1917&amp;R1917&amp;S1917&amp;T1917&amp;U1917&amp;V1917&amp;W1917&amp;X1917&amp;Y1917&amp;Z1917&amp;AA1917&amp;AB1917&amp;AC1917&amp;AD1917&amp;AE1917&amp;AF1917&amp;AG1917</f>
        <v/>
      </c>
      <c r="N1917" s="10">
        <f>TEXT($B$6,"00")</f>
        <v/>
      </c>
      <c r="O1917" s="10">
        <f>REPT(" ",8)</f>
        <v/>
      </c>
      <c r="P1917" s="10">
        <f>RIGHT($B$4,2)</f>
        <v/>
      </c>
      <c r="Q1917" s="10">
        <f>RIGHT($B$5,3)</f>
        <v/>
      </c>
      <c r="R1917" s="10">
        <f>IF(A1917="D",LEFT(UPPER(B1917)&amp;REPT(" ",20),20),REPT(" ",20))</f>
        <v/>
      </c>
      <c r="S1917" s="10">
        <f>IF(A1917="D",LEFT(UPPER(C1917)&amp;REPT(" ",10),10)," ")</f>
        <v/>
      </c>
      <c r="T1917" s="10">
        <f>IF(A1917="D",LEFT(UPPER(D1917)&amp;REPT(" ",2),2)," ")</f>
        <v/>
      </c>
      <c r="U1917" s="10">
        <f>IF(A1917="D",LEFT(UPPER(E1917)&amp;REPT(" ",15),15)," ")</f>
        <v/>
      </c>
      <c r="V1917" s="10">
        <f>REPT(" ",24)</f>
        <v/>
      </c>
      <c r="W1917" s="10">
        <f>IF(A1917="c",LEFT(UPPER(B1917)&amp;REPT(" ",20),20),REPT(" ",20))</f>
        <v/>
      </c>
      <c r="X1917" s="10">
        <f>IF(A1917="C",LEFT(UPPER(C1917)&amp;REPT(" ",10),10)," ")</f>
        <v/>
      </c>
      <c r="Y1917" s="10">
        <f>IF(A1917="C",LEFT(UPPER(D1917)&amp;REPT(" ",2),2)," ")</f>
        <v/>
      </c>
      <c r="Z1917" s="10">
        <f>IF(A1917="C",LEFT(UPPER(E1917)&amp;REPT(" ",15),15)," ")</f>
        <v/>
      </c>
      <c r="AA1917" s="10">
        <f>REPT(" ",8)</f>
        <v/>
      </c>
      <c r="AB1917" s="10">
        <f>REPT(" ",4)</f>
        <v/>
      </c>
      <c r="AC1917" s="10">
        <f>LEFT(UPPER(H1917)&amp;REPT(" ",250),250)</f>
        <v/>
      </c>
      <c r="AD1917" s="10">
        <f>TEXT($G$2,"dd/mm/aaaa")</f>
        <v/>
      </c>
      <c r="AE1917" s="10">
        <f>REPT(" ",10)</f>
        <v/>
      </c>
      <c r="AF1917" s="10">
        <f>REPT(" ",20)</f>
        <v/>
      </c>
      <c r="AG1917" s="54">
        <f>REPT(" ",18-LEN(FIXED(F1917,2,TRUE)))&amp;FIXED(F1917,2,TRUE)</f>
        <v/>
      </c>
      <c r="AH1917" s="10">
        <f>LEN(AC1917)+LEN(AG1917)</f>
        <v/>
      </c>
      <c r="AI1917" s="10">
        <f>LEN(L1917)</f>
        <v/>
      </c>
    </row>
    <row r="1918">
      <c r="J1918" s="12">
        <f>IF(F1918&lt;&gt;0,"LANÇAR","")</f>
        <v/>
      </c>
      <c r="L1918" s="13">
        <f>N1918&amp;O1918&amp;P1918&amp;Q1918&amp;R1918&amp;S1918&amp;T1918&amp;U1918&amp;V1918&amp;W1918&amp;X1918&amp;Y1918&amp;Z1918&amp;AA1918&amp;AB1918&amp;AC1918&amp;AD1918&amp;AE1918&amp;AF1918&amp;AG1918</f>
        <v/>
      </c>
      <c r="N1918" s="10">
        <f>TEXT($B$6,"00")</f>
        <v/>
      </c>
      <c r="O1918" s="10">
        <f>REPT(" ",8)</f>
        <v/>
      </c>
      <c r="P1918" s="10">
        <f>RIGHT($B$4,2)</f>
        <v/>
      </c>
      <c r="Q1918" s="10">
        <f>RIGHT($B$5,3)</f>
        <v/>
      </c>
      <c r="R1918" s="10">
        <f>IF(A1918="D",LEFT(UPPER(B1918)&amp;REPT(" ",20),20),REPT(" ",20))</f>
        <v/>
      </c>
      <c r="S1918" s="10">
        <f>IF(A1918="D",LEFT(UPPER(C1918)&amp;REPT(" ",10),10)," ")</f>
        <v/>
      </c>
      <c r="T1918" s="10">
        <f>IF(A1918="D",LEFT(UPPER(D1918)&amp;REPT(" ",2),2)," ")</f>
        <v/>
      </c>
      <c r="U1918" s="10">
        <f>IF(A1918="D",LEFT(UPPER(E1918)&amp;REPT(" ",15),15)," ")</f>
        <v/>
      </c>
      <c r="V1918" s="10">
        <f>REPT(" ",24)</f>
        <v/>
      </c>
      <c r="W1918" s="10">
        <f>IF(A1918="c",LEFT(UPPER(B1918)&amp;REPT(" ",20),20),REPT(" ",20))</f>
        <v/>
      </c>
      <c r="X1918" s="10">
        <f>IF(A1918="C",LEFT(UPPER(C1918)&amp;REPT(" ",10),10)," ")</f>
        <v/>
      </c>
      <c r="Y1918" s="10">
        <f>IF(A1918="C",LEFT(UPPER(D1918)&amp;REPT(" ",2),2)," ")</f>
        <v/>
      </c>
      <c r="Z1918" s="10">
        <f>IF(A1918="C",LEFT(UPPER(E1918)&amp;REPT(" ",15),15)," ")</f>
        <v/>
      </c>
      <c r="AA1918" s="10">
        <f>REPT(" ",8)</f>
        <v/>
      </c>
      <c r="AB1918" s="10">
        <f>REPT(" ",4)</f>
        <v/>
      </c>
      <c r="AC1918" s="10">
        <f>LEFT(UPPER(H1918)&amp;REPT(" ",250),250)</f>
        <v/>
      </c>
      <c r="AD1918" s="10">
        <f>TEXT($G$2,"dd/mm/aaaa")</f>
        <v/>
      </c>
      <c r="AE1918" s="10">
        <f>REPT(" ",10)</f>
        <v/>
      </c>
      <c r="AF1918" s="10">
        <f>REPT(" ",20)</f>
        <v/>
      </c>
      <c r="AG1918" s="54">
        <f>REPT(" ",18-LEN(FIXED(F1918,2,TRUE)))&amp;FIXED(F1918,2,TRUE)</f>
        <v/>
      </c>
      <c r="AH1918" s="10">
        <f>LEN(AC1918)+LEN(AG1918)</f>
        <v/>
      </c>
      <c r="AI1918" s="10">
        <f>LEN(L1918)</f>
        <v/>
      </c>
    </row>
    <row r="1919">
      <c r="J1919" s="12">
        <f>IF(F1919&lt;&gt;0,"LANÇAR","")</f>
        <v/>
      </c>
      <c r="L1919" s="13">
        <f>N1919&amp;O1919&amp;P1919&amp;Q1919&amp;R1919&amp;S1919&amp;T1919&amp;U1919&amp;V1919&amp;W1919&amp;X1919&amp;Y1919&amp;Z1919&amp;AA1919&amp;AB1919&amp;AC1919&amp;AD1919&amp;AE1919&amp;AF1919&amp;AG1919</f>
        <v/>
      </c>
      <c r="N1919" s="10">
        <f>TEXT($B$6,"00")</f>
        <v/>
      </c>
      <c r="O1919" s="10">
        <f>REPT(" ",8)</f>
        <v/>
      </c>
      <c r="P1919" s="10">
        <f>RIGHT($B$4,2)</f>
        <v/>
      </c>
      <c r="Q1919" s="10">
        <f>RIGHT($B$5,3)</f>
        <v/>
      </c>
      <c r="R1919" s="10">
        <f>IF(A1919="D",LEFT(UPPER(B1919)&amp;REPT(" ",20),20),REPT(" ",20))</f>
        <v/>
      </c>
      <c r="S1919" s="10">
        <f>IF(A1919="D",LEFT(UPPER(C1919)&amp;REPT(" ",10),10)," ")</f>
        <v/>
      </c>
      <c r="T1919" s="10">
        <f>IF(A1919="D",LEFT(UPPER(D1919)&amp;REPT(" ",2),2)," ")</f>
        <v/>
      </c>
      <c r="U1919" s="10">
        <f>IF(A1919="D",LEFT(UPPER(E1919)&amp;REPT(" ",15),15)," ")</f>
        <v/>
      </c>
      <c r="V1919" s="10">
        <f>REPT(" ",24)</f>
        <v/>
      </c>
      <c r="W1919" s="10">
        <f>IF(A1919="c",LEFT(UPPER(B1919)&amp;REPT(" ",20),20),REPT(" ",20))</f>
        <v/>
      </c>
      <c r="X1919" s="10">
        <f>IF(A1919="C",LEFT(UPPER(C1919)&amp;REPT(" ",10),10)," ")</f>
        <v/>
      </c>
      <c r="Y1919" s="10">
        <f>IF(A1919="C",LEFT(UPPER(D1919)&amp;REPT(" ",2),2)," ")</f>
        <v/>
      </c>
      <c r="Z1919" s="10">
        <f>IF(A1919="C",LEFT(UPPER(E1919)&amp;REPT(" ",15),15)," ")</f>
        <v/>
      </c>
      <c r="AA1919" s="10">
        <f>REPT(" ",8)</f>
        <v/>
      </c>
      <c r="AB1919" s="10">
        <f>REPT(" ",4)</f>
        <v/>
      </c>
      <c r="AC1919" s="10">
        <f>LEFT(UPPER(H1919)&amp;REPT(" ",250),250)</f>
        <v/>
      </c>
      <c r="AD1919" s="10">
        <f>TEXT($G$2,"dd/mm/aaaa")</f>
        <v/>
      </c>
      <c r="AE1919" s="10">
        <f>REPT(" ",10)</f>
        <v/>
      </c>
      <c r="AF1919" s="10">
        <f>REPT(" ",20)</f>
        <v/>
      </c>
      <c r="AG1919" s="54">
        <f>REPT(" ",18-LEN(FIXED(F1919,2,TRUE)))&amp;FIXED(F1919,2,TRUE)</f>
        <v/>
      </c>
      <c r="AH1919" s="10">
        <f>LEN(AC1919)+LEN(AG1919)</f>
        <v/>
      </c>
      <c r="AI1919" s="10">
        <f>LEN(L1919)</f>
        <v/>
      </c>
    </row>
    <row r="1920">
      <c r="J1920" s="12">
        <f>IF(F1920&lt;&gt;0,"LANÇAR","")</f>
        <v/>
      </c>
      <c r="L1920" s="13">
        <f>N1920&amp;O1920&amp;P1920&amp;Q1920&amp;R1920&amp;S1920&amp;T1920&amp;U1920&amp;V1920&amp;W1920&amp;X1920&amp;Y1920&amp;Z1920&amp;AA1920&amp;AB1920&amp;AC1920&amp;AD1920&amp;AE1920&amp;AF1920&amp;AG1920</f>
        <v/>
      </c>
      <c r="N1920" s="10">
        <f>TEXT($B$6,"00")</f>
        <v/>
      </c>
      <c r="O1920" s="10">
        <f>REPT(" ",8)</f>
        <v/>
      </c>
      <c r="P1920" s="10">
        <f>RIGHT($B$4,2)</f>
        <v/>
      </c>
      <c r="Q1920" s="10">
        <f>RIGHT($B$5,3)</f>
        <v/>
      </c>
      <c r="R1920" s="10">
        <f>IF(A1920="D",LEFT(UPPER(B1920)&amp;REPT(" ",20),20),REPT(" ",20))</f>
        <v/>
      </c>
      <c r="S1920" s="10">
        <f>IF(A1920="D",LEFT(UPPER(C1920)&amp;REPT(" ",10),10)," ")</f>
        <v/>
      </c>
      <c r="T1920" s="10">
        <f>IF(A1920="D",LEFT(UPPER(D1920)&amp;REPT(" ",2),2)," ")</f>
        <v/>
      </c>
      <c r="U1920" s="10">
        <f>IF(A1920="D",LEFT(UPPER(E1920)&amp;REPT(" ",15),15)," ")</f>
        <v/>
      </c>
      <c r="V1920" s="10">
        <f>REPT(" ",24)</f>
        <v/>
      </c>
      <c r="W1920" s="10">
        <f>IF(A1920="c",LEFT(UPPER(B1920)&amp;REPT(" ",20),20),REPT(" ",20))</f>
        <v/>
      </c>
      <c r="X1920" s="10">
        <f>IF(A1920="C",LEFT(UPPER(C1920)&amp;REPT(" ",10),10)," ")</f>
        <v/>
      </c>
      <c r="Y1920" s="10">
        <f>IF(A1920="C",LEFT(UPPER(D1920)&amp;REPT(" ",2),2)," ")</f>
        <v/>
      </c>
      <c r="Z1920" s="10">
        <f>IF(A1920="C",LEFT(UPPER(E1920)&amp;REPT(" ",15),15)," ")</f>
        <v/>
      </c>
      <c r="AA1920" s="10">
        <f>REPT(" ",8)</f>
        <v/>
      </c>
      <c r="AB1920" s="10">
        <f>REPT(" ",4)</f>
        <v/>
      </c>
      <c r="AC1920" s="10">
        <f>LEFT(UPPER(H1920)&amp;REPT(" ",250),250)</f>
        <v/>
      </c>
      <c r="AD1920" s="10">
        <f>TEXT($G$2,"dd/mm/aaaa")</f>
        <v/>
      </c>
      <c r="AE1920" s="10">
        <f>REPT(" ",10)</f>
        <v/>
      </c>
      <c r="AF1920" s="10">
        <f>REPT(" ",20)</f>
        <v/>
      </c>
      <c r="AG1920" s="54">
        <f>REPT(" ",18-LEN(FIXED(F1920,2,TRUE)))&amp;FIXED(F1920,2,TRUE)</f>
        <v/>
      </c>
      <c r="AH1920" s="10">
        <f>LEN(AC1920)+LEN(AG1920)</f>
        <v/>
      </c>
      <c r="AI1920" s="10">
        <f>LEN(L1920)</f>
        <v/>
      </c>
    </row>
    <row r="1921">
      <c r="J1921" s="12">
        <f>IF(F1921&lt;&gt;0,"LANÇAR","")</f>
        <v/>
      </c>
      <c r="L1921" s="13">
        <f>N1921&amp;O1921&amp;P1921&amp;Q1921&amp;R1921&amp;S1921&amp;T1921&amp;U1921&amp;V1921&amp;W1921&amp;X1921&amp;Y1921&amp;Z1921&amp;AA1921&amp;AB1921&amp;AC1921&amp;AD1921&amp;AE1921&amp;AF1921&amp;AG1921</f>
        <v/>
      </c>
      <c r="N1921" s="10">
        <f>TEXT($B$6,"00")</f>
        <v/>
      </c>
      <c r="O1921" s="10">
        <f>REPT(" ",8)</f>
        <v/>
      </c>
      <c r="P1921" s="10">
        <f>RIGHT($B$4,2)</f>
        <v/>
      </c>
      <c r="Q1921" s="10">
        <f>RIGHT($B$5,3)</f>
        <v/>
      </c>
      <c r="R1921" s="10">
        <f>IF(A1921="D",LEFT(UPPER(B1921)&amp;REPT(" ",20),20),REPT(" ",20))</f>
        <v/>
      </c>
      <c r="S1921" s="10">
        <f>IF(A1921="D",LEFT(UPPER(C1921)&amp;REPT(" ",10),10)," ")</f>
        <v/>
      </c>
      <c r="T1921" s="10">
        <f>IF(A1921="D",LEFT(UPPER(D1921)&amp;REPT(" ",2),2)," ")</f>
        <v/>
      </c>
      <c r="U1921" s="10">
        <f>IF(A1921="D",LEFT(UPPER(E1921)&amp;REPT(" ",15),15)," ")</f>
        <v/>
      </c>
      <c r="V1921" s="10">
        <f>REPT(" ",24)</f>
        <v/>
      </c>
      <c r="W1921" s="10">
        <f>IF(A1921="c",LEFT(UPPER(B1921)&amp;REPT(" ",20),20),REPT(" ",20))</f>
        <v/>
      </c>
      <c r="X1921" s="10">
        <f>IF(A1921="C",LEFT(UPPER(C1921)&amp;REPT(" ",10),10)," ")</f>
        <v/>
      </c>
      <c r="Y1921" s="10">
        <f>IF(A1921="C",LEFT(UPPER(D1921)&amp;REPT(" ",2),2)," ")</f>
        <v/>
      </c>
      <c r="Z1921" s="10">
        <f>IF(A1921="C",LEFT(UPPER(E1921)&amp;REPT(" ",15),15)," ")</f>
        <v/>
      </c>
      <c r="AA1921" s="10">
        <f>REPT(" ",8)</f>
        <v/>
      </c>
      <c r="AB1921" s="10">
        <f>REPT(" ",4)</f>
        <v/>
      </c>
      <c r="AC1921" s="10">
        <f>LEFT(UPPER(H1921)&amp;REPT(" ",250),250)</f>
        <v/>
      </c>
      <c r="AD1921" s="10">
        <f>TEXT($G$2,"dd/mm/aaaa")</f>
        <v/>
      </c>
      <c r="AE1921" s="10">
        <f>REPT(" ",10)</f>
        <v/>
      </c>
      <c r="AF1921" s="10">
        <f>REPT(" ",20)</f>
        <v/>
      </c>
      <c r="AG1921" s="54">
        <f>REPT(" ",18-LEN(FIXED(F1921,2,TRUE)))&amp;FIXED(F1921,2,TRUE)</f>
        <v/>
      </c>
      <c r="AH1921" s="10">
        <f>LEN(AC1921)+LEN(AG1921)</f>
        <v/>
      </c>
      <c r="AI1921" s="10">
        <f>LEN(L1921)</f>
        <v/>
      </c>
    </row>
    <row r="1922">
      <c r="J1922" s="12">
        <f>IF(F1922&lt;&gt;0,"LANÇAR","")</f>
        <v/>
      </c>
      <c r="L1922" s="13">
        <f>N1922&amp;O1922&amp;P1922&amp;Q1922&amp;R1922&amp;S1922&amp;T1922&amp;U1922&amp;V1922&amp;W1922&amp;X1922&amp;Y1922&amp;Z1922&amp;AA1922&amp;AB1922&amp;AC1922&amp;AD1922&amp;AE1922&amp;AF1922&amp;AG1922</f>
        <v/>
      </c>
      <c r="N1922" s="10">
        <f>TEXT($B$6,"00")</f>
        <v/>
      </c>
      <c r="O1922" s="10">
        <f>REPT(" ",8)</f>
        <v/>
      </c>
      <c r="P1922" s="10">
        <f>RIGHT($B$4,2)</f>
        <v/>
      </c>
      <c r="Q1922" s="10">
        <f>RIGHT($B$5,3)</f>
        <v/>
      </c>
      <c r="R1922" s="10">
        <f>IF(A1922="D",LEFT(UPPER(B1922)&amp;REPT(" ",20),20),REPT(" ",20))</f>
        <v/>
      </c>
      <c r="S1922" s="10">
        <f>IF(A1922="D",LEFT(UPPER(C1922)&amp;REPT(" ",10),10)," ")</f>
        <v/>
      </c>
      <c r="T1922" s="10">
        <f>IF(A1922="D",LEFT(UPPER(D1922)&amp;REPT(" ",2),2)," ")</f>
        <v/>
      </c>
      <c r="U1922" s="10">
        <f>IF(A1922="D",LEFT(UPPER(E1922)&amp;REPT(" ",15),15)," ")</f>
        <v/>
      </c>
      <c r="V1922" s="10">
        <f>REPT(" ",24)</f>
        <v/>
      </c>
      <c r="W1922" s="10">
        <f>IF(A1922="c",LEFT(UPPER(B1922)&amp;REPT(" ",20),20),REPT(" ",20))</f>
        <v/>
      </c>
      <c r="X1922" s="10">
        <f>IF(A1922="C",LEFT(UPPER(C1922)&amp;REPT(" ",10),10)," ")</f>
        <v/>
      </c>
      <c r="Y1922" s="10">
        <f>IF(A1922="C",LEFT(UPPER(D1922)&amp;REPT(" ",2),2)," ")</f>
        <v/>
      </c>
      <c r="Z1922" s="10">
        <f>IF(A1922="C",LEFT(UPPER(E1922)&amp;REPT(" ",15),15)," ")</f>
        <v/>
      </c>
      <c r="AA1922" s="10">
        <f>REPT(" ",8)</f>
        <v/>
      </c>
      <c r="AB1922" s="10">
        <f>REPT(" ",4)</f>
        <v/>
      </c>
      <c r="AC1922" s="10">
        <f>LEFT(UPPER(H1922)&amp;REPT(" ",250),250)</f>
        <v/>
      </c>
      <c r="AD1922" s="10">
        <f>TEXT($G$2,"dd/mm/aaaa")</f>
        <v/>
      </c>
      <c r="AE1922" s="10">
        <f>REPT(" ",10)</f>
        <v/>
      </c>
      <c r="AF1922" s="10">
        <f>REPT(" ",20)</f>
        <v/>
      </c>
      <c r="AG1922" s="54">
        <f>REPT(" ",18-LEN(FIXED(F1922,2,TRUE)))&amp;FIXED(F1922,2,TRUE)</f>
        <v/>
      </c>
      <c r="AH1922" s="10">
        <f>LEN(AC1922)+LEN(AG1922)</f>
        <v/>
      </c>
      <c r="AI1922" s="10">
        <f>LEN(L1922)</f>
        <v/>
      </c>
    </row>
    <row r="1923">
      <c r="J1923" s="12">
        <f>IF(F1923&lt;&gt;0,"LANÇAR","")</f>
        <v/>
      </c>
      <c r="L1923" s="13">
        <f>N1923&amp;O1923&amp;P1923&amp;Q1923&amp;R1923&amp;S1923&amp;T1923&amp;U1923&amp;V1923&amp;W1923&amp;X1923&amp;Y1923&amp;Z1923&amp;AA1923&amp;AB1923&amp;AC1923&amp;AD1923&amp;AE1923&amp;AF1923&amp;AG1923</f>
        <v/>
      </c>
      <c r="N1923" s="10">
        <f>TEXT($B$6,"00")</f>
        <v/>
      </c>
      <c r="O1923" s="10">
        <f>REPT(" ",8)</f>
        <v/>
      </c>
      <c r="P1923" s="10">
        <f>RIGHT($B$4,2)</f>
        <v/>
      </c>
      <c r="Q1923" s="10">
        <f>RIGHT($B$5,3)</f>
        <v/>
      </c>
      <c r="R1923" s="10">
        <f>IF(A1923="D",LEFT(UPPER(B1923)&amp;REPT(" ",20),20),REPT(" ",20))</f>
        <v/>
      </c>
      <c r="S1923" s="10">
        <f>IF(A1923="D",LEFT(UPPER(C1923)&amp;REPT(" ",10),10)," ")</f>
        <v/>
      </c>
      <c r="T1923" s="10">
        <f>IF(A1923="D",LEFT(UPPER(D1923)&amp;REPT(" ",2),2)," ")</f>
        <v/>
      </c>
      <c r="U1923" s="10">
        <f>IF(A1923="D",LEFT(UPPER(E1923)&amp;REPT(" ",15),15)," ")</f>
        <v/>
      </c>
      <c r="V1923" s="10">
        <f>REPT(" ",24)</f>
        <v/>
      </c>
      <c r="W1923" s="10">
        <f>IF(A1923="c",LEFT(UPPER(B1923)&amp;REPT(" ",20),20),REPT(" ",20))</f>
        <v/>
      </c>
      <c r="X1923" s="10">
        <f>IF(A1923="C",LEFT(UPPER(C1923)&amp;REPT(" ",10),10)," ")</f>
        <v/>
      </c>
      <c r="Y1923" s="10">
        <f>IF(A1923="C",LEFT(UPPER(D1923)&amp;REPT(" ",2),2)," ")</f>
        <v/>
      </c>
      <c r="Z1923" s="10">
        <f>IF(A1923="C",LEFT(UPPER(E1923)&amp;REPT(" ",15),15)," ")</f>
        <v/>
      </c>
      <c r="AA1923" s="10">
        <f>REPT(" ",8)</f>
        <v/>
      </c>
      <c r="AB1923" s="10">
        <f>REPT(" ",4)</f>
        <v/>
      </c>
      <c r="AC1923" s="10">
        <f>LEFT(UPPER(H1923)&amp;REPT(" ",250),250)</f>
        <v/>
      </c>
      <c r="AD1923" s="10">
        <f>TEXT($G$2,"dd/mm/aaaa")</f>
        <v/>
      </c>
      <c r="AE1923" s="10">
        <f>REPT(" ",10)</f>
        <v/>
      </c>
      <c r="AF1923" s="10">
        <f>REPT(" ",20)</f>
        <v/>
      </c>
      <c r="AG1923" s="54">
        <f>REPT(" ",18-LEN(FIXED(F1923,2,TRUE)))&amp;FIXED(F1923,2,TRUE)</f>
        <v/>
      </c>
      <c r="AH1923" s="10">
        <f>LEN(AC1923)+LEN(AG1923)</f>
        <v/>
      </c>
      <c r="AI1923" s="10">
        <f>LEN(L1923)</f>
        <v/>
      </c>
    </row>
    <row r="1924">
      <c r="J1924" s="12">
        <f>IF(F1924&lt;&gt;0,"LANÇAR","")</f>
        <v/>
      </c>
      <c r="L1924" s="13">
        <f>N1924&amp;O1924&amp;P1924&amp;Q1924&amp;R1924&amp;S1924&amp;T1924&amp;U1924&amp;V1924&amp;W1924&amp;X1924&amp;Y1924&amp;Z1924&amp;AA1924&amp;AB1924&amp;AC1924&amp;AD1924&amp;AE1924&amp;AF1924&amp;AG1924</f>
        <v/>
      </c>
      <c r="N1924" s="10">
        <f>TEXT($B$6,"00")</f>
        <v/>
      </c>
      <c r="O1924" s="10">
        <f>REPT(" ",8)</f>
        <v/>
      </c>
      <c r="P1924" s="10">
        <f>RIGHT($B$4,2)</f>
        <v/>
      </c>
      <c r="Q1924" s="10">
        <f>RIGHT($B$5,3)</f>
        <v/>
      </c>
      <c r="R1924" s="10">
        <f>IF(A1924="D",LEFT(UPPER(B1924)&amp;REPT(" ",20),20),REPT(" ",20))</f>
        <v/>
      </c>
      <c r="S1924" s="10">
        <f>IF(A1924="D",LEFT(UPPER(C1924)&amp;REPT(" ",10),10)," ")</f>
        <v/>
      </c>
      <c r="T1924" s="10">
        <f>IF(A1924="D",LEFT(UPPER(D1924)&amp;REPT(" ",2),2)," ")</f>
        <v/>
      </c>
      <c r="U1924" s="10">
        <f>IF(A1924="D",LEFT(UPPER(E1924)&amp;REPT(" ",15),15)," ")</f>
        <v/>
      </c>
      <c r="V1924" s="10">
        <f>REPT(" ",24)</f>
        <v/>
      </c>
      <c r="W1924" s="10">
        <f>IF(A1924="c",LEFT(UPPER(B1924)&amp;REPT(" ",20),20),REPT(" ",20))</f>
        <v/>
      </c>
      <c r="X1924" s="10">
        <f>IF(A1924="C",LEFT(UPPER(C1924)&amp;REPT(" ",10),10)," ")</f>
        <v/>
      </c>
      <c r="Y1924" s="10">
        <f>IF(A1924="C",LEFT(UPPER(D1924)&amp;REPT(" ",2),2)," ")</f>
        <v/>
      </c>
      <c r="Z1924" s="10">
        <f>IF(A1924="C",LEFT(UPPER(E1924)&amp;REPT(" ",15),15)," ")</f>
        <v/>
      </c>
      <c r="AA1924" s="10">
        <f>REPT(" ",8)</f>
        <v/>
      </c>
      <c r="AB1924" s="10">
        <f>REPT(" ",4)</f>
        <v/>
      </c>
      <c r="AC1924" s="10">
        <f>LEFT(UPPER(H1924)&amp;REPT(" ",250),250)</f>
        <v/>
      </c>
      <c r="AD1924" s="10">
        <f>TEXT($G$2,"dd/mm/aaaa")</f>
        <v/>
      </c>
      <c r="AE1924" s="10">
        <f>REPT(" ",10)</f>
        <v/>
      </c>
      <c r="AF1924" s="10">
        <f>REPT(" ",20)</f>
        <v/>
      </c>
      <c r="AG1924" s="54">
        <f>REPT(" ",18-LEN(FIXED(F1924,2,TRUE)))&amp;FIXED(F1924,2,TRUE)</f>
        <v/>
      </c>
      <c r="AH1924" s="10">
        <f>LEN(AC1924)+LEN(AG1924)</f>
        <v/>
      </c>
      <c r="AI1924" s="10">
        <f>LEN(L1924)</f>
        <v/>
      </c>
    </row>
    <row r="1925">
      <c r="J1925" s="12">
        <f>IF(F1925&lt;&gt;0,"LANÇAR","")</f>
        <v/>
      </c>
      <c r="L1925" s="13">
        <f>N1925&amp;O1925&amp;P1925&amp;Q1925&amp;R1925&amp;S1925&amp;T1925&amp;U1925&amp;V1925&amp;W1925&amp;X1925&amp;Y1925&amp;Z1925&amp;AA1925&amp;AB1925&amp;AC1925&amp;AD1925&amp;AE1925&amp;AF1925&amp;AG1925</f>
        <v/>
      </c>
      <c r="N1925" s="10">
        <f>TEXT($B$6,"00")</f>
        <v/>
      </c>
      <c r="O1925" s="10">
        <f>REPT(" ",8)</f>
        <v/>
      </c>
      <c r="P1925" s="10">
        <f>RIGHT($B$4,2)</f>
        <v/>
      </c>
      <c r="Q1925" s="10">
        <f>RIGHT($B$5,3)</f>
        <v/>
      </c>
      <c r="R1925" s="10">
        <f>IF(A1925="D",LEFT(UPPER(B1925)&amp;REPT(" ",20),20),REPT(" ",20))</f>
        <v/>
      </c>
      <c r="S1925" s="10">
        <f>IF(A1925="D",LEFT(UPPER(C1925)&amp;REPT(" ",10),10)," ")</f>
        <v/>
      </c>
      <c r="T1925" s="10">
        <f>IF(A1925="D",LEFT(UPPER(D1925)&amp;REPT(" ",2),2)," ")</f>
        <v/>
      </c>
      <c r="U1925" s="10">
        <f>IF(A1925="D",LEFT(UPPER(E1925)&amp;REPT(" ",15),15)," ")</f>
        <v/>
      </c>
      <c r="V1925" s="10">
        <f>REPT(" ",24)</f>
        <v/>
      </c>
      <c r="W1925" s="10">
        <f>IF(A1925="c",LEFT(UPPER(B1925)&amp;REPT(" ",20),20),REPT(" ",20))</f>
        <v/>
      </c>
      <c r="X1925" s="10">
        <f>IF(A1925="C",LEFT(UPPER(C1925)&amp;REPT(" ",10),10)," ")</f>
        <v/>
      </c>
      <c r="Y1925" s="10">
        <f>IF(A1925="C",LEFT(UPPER(D1925)&amp;REPT(" ",2),2)," ")</f>
        <v/>
      </c>
      <c r="Z1925" s="10">
        <f>IF(A1925="C",LEFT(UPPER(E1925)&amp;REPT(" ",15),15)," ")</f>
        <v/>
      </c>
      <c r="AA1925" s="10">
        <f>REPT(" ",8)</f>
        <v/>
      </c>
      <c r="AB1925" s="10">
        <f>REPT(" ",4)</f>
        <v/>
      </c>
      <c r="AC1925" s="10">
        <f>LEFT(UPPER(H1925)&amp;REPT(" ",250),250)</f>
        <v/>
      </c>
      <c r="AD1925" s="10">
        <f>TEXT($G$2,"dd/mm/aaaa")</f>
        <v/>
      </c>
      <c r="AE1925" s="10">
        <f>REPT(" ",10)</f>
        <v/>
      </c>
      <c r="AF1925" s="10">
        <f>REPT(" ",20)</f>
        <v/>
      </c>
      <c r="AG1925" s="54">
        <f>REPT(" ",18-LEN(FIXED(F1925,2,TRUE)))&amp;FIXED(F1925,2,TRUE)</f>
        <v/>
      </c>
      <c r="AH1925" s="10">
        <f>LEN(AC1925)+LEN(AG1925)</f>
        <v/>
      </c>
      <c r="AI1925" s="10">
        <f>LEN(L1925)</f>
        <v/>
      </c>
    </row>
    <row r="1926">
      <c r="J1926" s="12">
        <f>IF(F1926&lt;&gt;0,"LANÇAR","")</f>
        <v/>
      </c>
      <c r="L1926" s="13">
        <f>N1926&amp;O1926&amp;P1926&amp;Q1926&amp;R1926&amp;S1926&amp;T1926&amp;U1926&amp;V1926&amp;W1926&amp;X1926&amp;Y1926&amp;Z1926&amp;AA1926&amp;AB1926&amp;AC1926&amp;AD1926&amp;AE1926&amp;AF1926&amp;AG1926</f>
        <v/>
      </c>
      <c r="N1926" s="10">
        <f>TEXT($B$6,"00")</f>
        <v/>
      </c>
      <c r="O1926" s="10">
        <f>REPT(" ",8)</f>
        <v/>
      </c>
      <c r="P1926" s="10">
        <f>RIGHT($B$4,2)</f>
        <v/>
      </c>
      <c r="Q1926" s="10">
        <f>RIGHT($B$5,3)</f>
        <v/>
      </c>
      <c r="R1926" s="10">
        <f>IF(A1926="D",LEFT(UPPER(B1926)&amp;REPT(" ",20),20),REPT(" ",20))</f>
        <v/>
      </c>
      <c r="S1926" s="10">
        <f>IF(A1926="D",LEFT(UPPER(C1926)&amp;REPT(" ",10),10)," ")</f>
        <v/>
      </c>
      <c r="T1926" s="10">
        <f>IF(A1926="D",LEFT(UPPER(D1926)&amp;REPT(" ",2),2)," ")</f>
        <v/>
      </c>
      <c r="U1926" s="10">
        <f>IF(A1926="D",LEFT(UPPER(E1926)&amp;REPT(" ",15),15)," ")</f>
        <v/>
      </c>
      <c r="V1926" s="10">
        <f>REPT(" ",24)</f>
        <v/>
      </c>
      <c r="W1926" s="10">
        <f>IF(A1926="c",LEFT(UPPER(B1926)&amp;REPT(" ",20),20),REPT(" ",20))</f>
        <v/>
      </c>
      <c r="X1926" s="10">
        <f>IF(A1926="C",LEFT(UPPER(C1926)&amp;REPT(" ",10),10)," ")</f>
        <v/>
      </c>
      <c r="Y1926" s="10">
        <f>IF(A1926="C",LEFT(UPPER(D1926)&amp;REPT(" ",2),2)," ")</f>
        <v/>
      </c>
      <c r="Z1926" s="10">
        <f>IF(A1926="C",LEFT(UPPER(E1926)&amp;REPT(" ",15),15)," ")</f>
        <v/>
      </c>
      <c r="AA1926" s="10">
        <f>REPT(" ",8)</f>
        <v/>
      </c>
      <c r="AB1926" s="10">
        <f>REPT(" ",4)</f>
        <v/>
      </c>
      <c r="AC1926" s="10">
        <f>LEFT(UPPER(H1926)&amp;REPT(" ",250),250)</f>
        <v/>
      </c>
      <c r="AD1926" s="10">
        <f>TEXT($G$2,"dd/mm/aaaa")</f>
        <v/>
      </c>
      <c r="AE1926" s="10">
        <f>REPT(" ",10)</f>
        <v/>
      </c>
      <c r="AF1926" s="10">
        <f>REPT(" ",20)</f>
        <v/>
      </c>
      <c r="AG1926" s="54">
        <f>REPT(" ",18-LEN(FIXED(F1926,2,TRUE)))&amp;FIXED(F1926,2,TRUE)</f>
        <v/>
      </c>
      <c r="AH1926" s="10">
        <f>LEN(AC1926)+LEN(AG1926)</f>
        <v/>
      </c>
      <c r="AI1926" s="10">
        <f>LEN(L1926)</f>
        <v/>
      </c>
    </row>
    <row r="1927">
      <c r="J1927" s="12">
        <f>IF(F1927&lt;&gt;0,"LANÇAR","")</f>
        <v/>
      </c>
      <c r="L1927" s="13">
        <f>N1927&amp;O1927&amp;P1927&amp;Q1927&amp;R1927&amp;S1927&amp;T1927&amp;U1927&amp;V1927&amp;W1927&amp;X1927&amp;Y1927&amp;Z1927&amp;AA1927&amp;AB1927&amp;AC1927&amp;AD1927&amp;AE1927&amp;AF1927&amp;AG1927</f>
        <v/>
      </c>
      <c r="N1927" s="10">
        <f>TEXT($B$6,"00")</f>
        <v/>
      </c>
      <c r="O1927" s="10">
        <f>REPT(" ",8)</f>
        <v/>
      </c>
      <c r="P1927" s="10">
        <f>RIGHT($B$4,2)</f>
        <v/>
      </c>
      <c r="Q1927" s="10">
        <f>RIGHT($B$5,3)</f>
        <v/>
      </c>
      <c r="R1927" s="10">
        <f>IF(A1927="D",LEFT(UPPER(B1927)&amp;REPT(" ",20),20),REPT(" ",20))</f>
        <v/>
      </c>
      <c r="S1927" s="10">
        <f>IF(A1927="D",LEFT(UPPER(C1927)&amp;REPT(" ",10),10)," ")</f>
        <v/>
      </c>
      <c r="T1927" s="10">
        <f>IF(A1927="D",LEFT(UPPER(D1927)&amp;REPT(" ",2),2)," ")</f>
        <v/>
      </c>
      <c r="U1927" s="10">
        <f>IF(A1927="D",LEFT(UPPER(E1927)&amp;REPT(" ",15),15)," ")</f>
        <v/>
      </c>
      <c r="V1927" s="10">
        <f>REPT(" ",24)</f>
        <v/>
      </c>
      <c r="W1927" s="10">
        <f>IF(A1927="c",LEFT(UPPER(B1927)&amp;REPT(" ",20),20),REPT(" ",20))</f>
        <v/>
      </c>
      <c r="X1927" s="10">
        <f>IF(A1927="C",LEFT(UPPER(C1927)&amp;REPT(" ",10),10)," ")</f>
        <v/>
      </c>
      <c r="Y1927" s="10">
        <f>IF(A1927="C",LEFT(UPPER(D1927)&amp;REPT(" ",2),2)," ")</f>
        <v/>
      </c>
      <c r="Z1927" s="10">
        <f>IF(A1927="C",LEFT(UPPER(E1927)&amp;REPT(" ",15),15)," ")</f>
        <v/>
      </c>
      <c r="AA1927" s="10">
        <f>REPT(" ",8)</f>
        <v/>
      </c>
      <c r="AB1927" s="10">
        <f>REPT(" ",4)</f>
        <v/>
      </c>
      <c r="AC1927" s="10">
        <f>LEFT(UPPER(H1927)&amp;REPT(" ",250),250)</f>
        <v/>
      </c>
      <c r="AD1927" s="10">
        <f>TEXT($G$2,"dd/mm/aaaa")</f>
        <v/>
      </c>
      <c r="AE1927" s="10">
        <f>REPT(" ",10)</f>
        <v/>
      </c>
      <c r="AF1927" s="10">
        <f>REPT(" ",20)</f>
        <v/>
      </c>
      <c r="AG1927" s="54">
        <f>REPT(" ",18-LEN(FIXED(F1927,2,TRUE)))&amp;FIXED(F1927,2,TRUE)</f>
        <v/>
      </c>
      <c r="AH1927" s="10">
        <f>LEN(AC1927)+LEN(AG1927)</f>
        <v/>
      </c>
      <c r="AI1927" s="10">
        <f>LEN(L1927)</f>
        <v/>
      </c>
    </row>
    <row r="1928">
      <c r="J1928" s="12">
        <f>IF(F1928&lt;&gt;0,"LANÇAR","")</f>
        <v/>
      </c>
      <c r="L1928" s="13">
        <f>N1928&amp;O1928&amp;P1928&amp;Q1928&amp;R1928&amp;S1928&amp;T1928&amp;U1928&amp;V1928&amp;W1928&amp;X1928&amp;Y1928&amp;Z1928&amp;AA1928&amp;AB1928&amp;AC1928&amp;AD1928&amp;AE1928&amp;AF1928&amp;AG1928</f>
        <v/>
      </c>
      <c r="N1928" s="10">
        <f>TEXT($B$6,"00")</f>
        <v/>
      </c>
      <c r="O1928" s="10">
        <f>REPT(" ",8)</f>
        <v/>
      </c>
      <c r="P1928" s="10">
        <f>RIGHT($B$4,2)</f>
        <v/>
      </c>
      <c r="Q1928" s="10">
        <f>RIGHT($B$5,3)</f>
        <v/>
      </c>
      <c r="R1928" s="10">
        <f>IF(A1928="D",LEFT(UPPER(B1928)&amp;REPT(" ",20),20),REPT(" ",20))</f>
        <v/>
      </c>
      <c r="S1928" s="10">
        <f>IF(A1928="D",LEFT(UPPER(C1928)&amp;REPT(" ",10),10)," ")</f>
        <v/>
      </c>
      <c r="T1928" s="10">
        <f>IF(A1928="D",LEFT(UPPER(D1928)&amp;REPT(" ",2),2)," ")</f>
        <v/>
      </c>
      <c r="U1928" s="10">
        <f>IF(A1928="D",LEFT(UPPER(E1928)&amp;REPT(" ",15),15)," ")</f>
        <v/>
      </c>
      <c r="V1928" s="10">
        <f>REPT(" ",24)</f>
        <v/>
      </c>
      <c r="W1928" s="10">
        <f>IF(A1928="c",LEFT(UPPER(B1928)&amp;REPT(" ",20),20),REPT(" ",20))</f>
        <v/>
      </c>
      <c r="X1928" s="10">
        <f>IF(A1928="C",LEFT(UPPER(C1928)&amp;REPT(" ",10),10)," ")</f>
        <v/>
      </c>
      <c r="Y1928" s="10">
        <f>IF(A1928="C",LEFT(UPPER(D1928)&amp;REPT(" ",2),2)," ")</f>
        <v/>
      </c>
      <c r="Z1928" s="10">
        <f>IF(A1928="C",LEFT(UPPER(E1928)&amp;REPT(" ",15),15)," ")</f>
        <v/>
      </c>
      <c r="AA1928" s="10">
        <f>REPT(" ",8)</f>
        <v/>
      </c>
      <c r="AB1928" s="10">
        <f>REPT(" ",4)</f>
        <v/>
      </c>
      <c r="AC1928" s="10">
        <f>LEFT(UPPER(H1928)&amp;REPT(" ",250),250)</f>
        <v/>
      </c>
      <c r="AD1928" s="10">
        <f>TEXT($G$2,"dd/mm/aaaa")</f>
        <v/>
      </c>
      <c r="AE1928" s="10">
        <f>REPT(" ",10)</f>
        <v/>
      </c>
      <c r="AF1928" s="10">
        <f>REPT(" ",20)</f>
        <v/>
      </c>
      <c r="AG1928" s="54">
        <f>REPT(" ",18-LEN(FIXED(F1928,2,TRUE)))&amp;FIXED(F1928,2,TRUE)</f>
        <v/>
      </c>
      <c r="AH1928" s="10">
        <f>LEN(AC1928)+LEN(AG1928)</f>
        <v/>
      </c>
      <c r="AI1928" s="10">
        <f>LEN(L1928)</f>
        <v/>
      </c>
    </row>
    <row r="1929">
      <c r="J1929" s="12">
        <f>IF(F1929&lt;&gt;0,"LANÇAR","")</f>
        <v/>
      </c>
      <c r="L1929" s="13">
        <f>N1929&amp;O1929&amp;P1929&amp;Q1929&amp;R1929&amp;S1929&amp;T1929&amp;U1929&amp;V1929&amp;W1929&amp;X1929&amp;Y1929&amp;Z1929&amp;AA1929&amp;AB1929&amp;AC1929&amp;AD1929&amp;AE1929&amp;AF1929&amp;AG1929</f>
        <v/>
      </c>
      <c r="N1929" s="10">
        <f>TEXT($B$6,"00")</f>
        <v/>
      </c>
      <c r="O1929" s="10">
        <f>REPT(" ",8)</f>
        <v/>
      </c>
      <c r="P1929" s="10">
        <f>RIGHT($B$4,2)</f>
        <v/>
      </c>
      <c r="Q1929" s="10">
        <f>RIGHT($B$5,3)</f>
        <v/>
      </c>
      <c r="R1929" s="10">
        <f>IF(A1929="D",LEFT(UPPER(B1929)&amp;REPT(" ",20),20),REPT(" ",20))</f>
        <v/>
      </c>
      <c r="S1929" s="10">
        <f>IF(A1929="D",LEFT(UPPER(C1929)&amp;REPT(" ",10),10)," ")</f>
        <v/>
      </c>
      <c r="T1929" s="10">
        <f>IF(A1929="D",LEFT(UPPER(D1929)&amp;REPT(" ",2),2)," ")</f>
        <v/>
      </c>
      <c r="U1929" s="10">
        <f>IF(A1929="D",LEFT(UPPER(E1929)&amp;REPT(" ",15),15)," ")</f>
        <v/>
      </c>
      <c r="V1929" s="10">
        <f>REPT(" ",24)</f>
        <v/>
      </c>
      <c r="W1929" s="10">
        <f>IF(A1929="c",LEFT(UPPER(B1929)&amp;REPT(" ",20),20),REPT(" ",20))</f>
        <v/>
      </c>
      <c r="X1929" s="10">
        <f>IF(A1929="C",LEFT(UPPER(C1929)&amp;REPT(" ",10),10)," ")</f>
        <v/>
      </c>
      <c r="Y1929" s="10">
        <f>IF(A1929="C",LEFT(UPPER(D1929)&amp;REPT(" ",2),2)," ")</f>
        <v/>
      </c>
      <c r="Z1929" s="10">
        <f>IF(A1929="C",LEFT(UPPER(E1929)&amp;REPT(" ",15),15)," ")</f>
        <v/>
      </c>
      <c r="AA1929" s="10">
        <f>REPT(" ",8)</f>
        <v/>
      </c>
      <c r="AB1929" s="10">
        <f>REPT(" ",4)</f>
        <v/>
      </c>
      <c r="AC1929" s="10">
        <f>LEFT(UPPER(H1929)&amp;REPT(" ",250),250)</f>
        <v/>
      </c>
      <c r="AD1929" s="10">
        <f>TEXT($G$2,"dd/mm/aaaa")</f>
        <v/>
      </c>
      <c r="AE1929" s="10">
        <f>REPT(" ",10)</f>
        <v/>
      </c>
      <c r="AF1929" s="10">
        <f>REPT(" ",20)</f>
        <v/>
      </c>
      <c r="AG1929" s="54">
        <f>REPT(" ",18-LEN(FIXED(F1929,2,TRUE)))&amp;FIXED(F1929,2,TRUE)</f>
        <v/>
      </c>
      <c r="AH1929" s="10">
        <f>LEN(AC1929)+LEN(AG1929)</f>
        <v/>
      </c>
      <c r="AI1929" s="10">
        <f>LEN(L1929)</f>
        <v/>
      </c>
    </row>
    <row r="1930">
      <c r="J1930" s="12">
        <f>IF(F1930&lt;&gt;0,"LANÇAR","")</f>
        <v/>
      </c>
      <c r="L1930" s="13">
        <f>N1930&amp;O1930&amp;P1930&amp;Q1930&amp;R1930&amp;S1930&amp;T1930&amp;U1930&amp;V1930&amp;W1930&amp;X1930&amp;Y1930&amp;Z1930&amp;AA1930&amp;AB1930&amp;AC1930&amp;AD1930&amp;AE1930&amp;AF1930&amp;AG1930</f>
        <v/>
      </c>
      <c r="N1930" s="10">
        <f>TEXT($B$6,"00")</f>
        <v/>
      </c>
      <c r="O1930" s="10">
        <f>REPT(" ",8)</f>
        <v/>
      </c>
      <c r="P1930" s="10">
        <f>RIGHT($B$4,2)</f>
        <v/>
      </c>
      <c r="Q1930" s="10">
        <f>RIGHT($B$5,3)</f>
        <v/>
      </c>
      <c r="R1930" s="10">
        <f>IF(A1930="D",LEFT(UPPER(B1930)&amp;REPT(" ",20),20),REPT(" ",20))</f>
        <v/>
      </c>
      <c r="S1930" s="10">
        <f>IF(A1930="D",LEFT(UPPER(C1930)&amp;REPT(" ",10),10)," ")</f>
        <v/>
      </c>
      <c r="T1930" s="10">
        <f>IF(A1930="D",LEFT(UPPER(D1930)&amp;REPT(" ",2),2)," ")</f>
        <v/>
      </c>
      <c r="U1930" s="10">
        <f>IF(A1930="D",LEFT(UPPER(E1930)&amp;REPT(" ",15),15)," ")</f>
        <v/>
      </c>
      <c r="V1930" s="10">
        <f>REPT(" ",24)</f>
        <v/>
      </c>
      <c r="W1930" s="10">
        <f>IF(A1930="c",LEFT(UPPER(B1930)&amp;REPT(" ",20),20),REPT(" ",20))</f>
        <v/>
      </c>
      <c r="X1930" s="10">
        <f>IF(A1930="C",LEFT(UPPER(C1930)&amp;REPT(" ",10),10)," ")</f>
        <v/>
      </c>
      <c r="Y1930" s="10">
        <f>IF(A1930="C",LEFT(UPPER(D1930)&amp;REPT(" ",2),2)," ")</f>
        <v/>
      </c>
      <c r="Z1930" s="10">
        <f>IF(A1930="C",LEFT(UPPER(E1930)&amp;REPT(" ",15),15)," ")</f>
        <v/>
      </c>
      <c r="AA1930" s="10">
        <f>REPT(" ",8)</f>
        <v/>
      </c>
      <c r="AB1930" s="10">
        <f>REPT(" ",4)</f>
        <v/>
      </c>
      <c r="AC1930" s="10">
        <f>LEFT(UPPER(H1930)&amp;REPT(" ",250),250)</f>
        <v/>
      </c>
      <c r="AD1930" s="10">
        <f>TEXT($G$2,"dd/mm/aaaa")</f>
        <v/>
      </c>
      <c r="AE1930" s="10">
        <f>REPT(" ",10)</f>
        <v/>
      </c>
      <c r="AF1930" s="10">
        <f>REPT(" ",20)</f>
        <v/>
      </c>
      <c r="AG1930" s="54">
        <f>REPT(" ",18-LEN(FIXED(F1930,2,TRUE)))&amp;FIXED(F1930,2,TRUE)</f>
        <v/>
      </c>
      <c r="AH1930" s="10">
        <f>LEN(AC1930)+LEN(AG1930)</f>
        <v/>
      </c>
      <c r="AI1930" s="10">
        <f>LEN(L1930)</f>
        <v/>
      </c>
    </row>
    <row r="1931">
      <c r="J1931" s="12">
        <f>IF(F1931&lt;&gt;0,"LANÇAR","")</f>
        <v/>
      </c>
      <c r="L1931" s="13">
        <f>N1931&amp;O1931&amp;P1931&amp;Q1931&amp;R1931&amp;S1931&amp;T1931&amp;U1931&amp;V1931&amp;W1931&amp;X1931&amp;Y1931&amp;Z1931&amp;AA1931&amp;AB1931&amp;AC1931&amp;AD1931&amp;AE1931&amp;AF1931&amp;AG1931</f>
        <v/>
      </c>
      <c r="N1931" s="10">
        <f>TEXT($B$6,"00")</f>
        <v/>
      </c>
      <c r="O1931" s="10">
        <f>REPT(" ",8)</f>
        <v/>
      </c>
      <c r="P1931" s="10">
        <f>RIGHT($B$4,2)</f>
        <v/>
      </c>
      <c r="Q1931" s="10">
        <f>RIGHT($B$5,3)</f>
        <v/>
      </c>
      <c r="R1931" s="10">
        <f>IF(A1931="D",LEFT(UPPER(B1931)&amp;REPT(" ",20),20),REPT(" ",20))</f>
        <v/>
      </c>
      <c r="S1931" s="10">
        <f>IF(A1931="D",LEFT(UPPER(C1931)&amp;REPT(" ",10),10)," ")</f>
        <v/>
      </c>
      <c r="T1931" s="10">
        <f>IF(A1931="D",LEFT(UPPER(D1931)&amp;REPT(" ",2),2)," ")</f>
        <v/>
      </c>
      <c r="U1931" s="10">
        <f>IF(A1931="D",LEFT(UPPER(E1931)&amp;REPT(" ",15),15)," ")</f>
        <v/>
      </c>
      <c r="V1931" s="10">
        <f>REPT(" ",24)</f>
        <v/>
      </c>
      <c r="W1931" s="10">
        <f>IF(A1931="c",LEFT(UPPER(B1931)&amp;REPT(" ",20),20),REPT(" ",20))</f>
        <v/>
      </c>
      <c r="X1931" s="10">
        <f>IF(A1931="C",LEFT(UPPER(C1931)&amp;REPT(" ",10),10)," ")</f>
        <v/>
      </c>
      <c r="Y1931" s="10">
        <f>IF(A1931="C",LEFT(UPPER(D1931)&amp;REPT(" ",2),2)," ")</f>
        <v/>
      </c>
      <c r="Z1931" s="10">
        <f>IF(A1931="C",LEFT(UPPER(E1931)&amp;REPT(" ",15),15)," ")</f>
        <v/>
      </c>
      <c r="AA1931" s="10">
        <f>REPT(" ",8)</f>
        <v/>
      </c>
      <c r="AB1931" s="10">
        <f>REPT(" ",4)</f>
        <v/>
      </c>
      <c r="AC1931" s="10">
        <f>LEFT(UPPER(H1931)&amp;REPT(" ",250),250)</f>
        <v/>
      </c>
      <c r="AD1931" s="10">
        <f>TEXT($G$2,"dd/mm/aaaa")</f>
        <v/>
      </c>
      <c r="AE1931" s="10">
        <f>REPT(" ",10)</f>
        <v/>
      </c>
      <c r="AF1931" s="10">
        <f>REPT(" ",20)</f>
        <v/>
      </c>
      <c r="AG1931" s="54">
        <f>REPT(" ",18-LEN(FIXED(F1931,2,TRUE)))&amp;FIXED(F1931,2,TRUE)</f>
        <v/>
      </c>
      <c r="AH1931" s="10">
        <f>LEN(AC1931)+LEN(AG1931)</f>
        <v/>
      </c>
      <c r="AI1931" s="10">
        <f>LEN(L1931)</f>
        <v/>
      </c>
    </row>
    <row r="1932">
      <c r="J1932" s="12">
        <f>IF(F1932&lt;&gt;0,"LANÇAR","")</f>
        <v/>
      </c>
      <c r="L1932" s="13">
        <f>N1932&amp;O1932&amp;P1932&amp;Q1932&amp;R1932&amp;S1932&amp;T1932&amp;U1932&amp;V1932&amp;W1932&amp;X1932&amp;Y1932&amp;Z1932&amp;AA1932&amp;AB1932&amp;AC1932&amp;AD1932&amp;AE1932&amp;AF1932&amp;AG1932</f>
        <v/>
      </c>
      <c r="N1932" s="10">
        <f>TEXT($B$6,"00")</f>
        <v/>
      </c>
      <c r="O1932" s="10">
        <f>REPT(" ",8)</f>
        <v/>
      </c>
      <c r="P1932" s="10">
        <f>RIGHT($B$4,2)</f>
        <v/>
      </c>
      <c r="Q1932" s="10">
        <f>RIGHT($B$5,3)</f>
        <v/>
      </c>
      <c r="R1932" s="10">
        <f>IF(A1932="D",LEFT(UPPER(B1932)&amp;REPT(" ",20),20),REPT(" ",20))</f>
        <v/>
      </c>
      <c r="S1932" s="10">
        <f>IF(A1932="D",LEFT(UPPER(C1932)&amp;REPT(" ",10),10)," ")</f>
        <v/>
      </c>
      <c r="T1932" s="10">
        <f>IF(A1932="D",LEFT(UPPER(D1932)&amp;REPT(" ",2),2)," ")</f>
        <v/>
      </c>
      <c r="U1932" s="10">
        <f>IF(A1932="D",LEFT(UPPER(E1932)&amp;REPT(" ",15),15)," ")</f>
        <v/>
      </c>
      <c r="V1932" s="10">
        <f>REPT(" ",24)</f>
        <v/>
      </c>
      <c r="W1932" s="10">
        <f>IF(A1932="c",LEFT(UPPER(B1932)&amp;REPT(" ",20),20),REPT(" ",20))</f>
        <v/>
      </c>
      <c r="X1932" s="10">
        <f>IF(A1932="C",LEFT(UPPER(C1932)&amp;REPT(" ",10),10)," ")</f>
        <v/>
      </c>
      <c r="Y1932" s="10">
        <f>IF(A1932="C",LEFT(UPPER(D1932)&amp;REPT(" ",2),2)," ")</f>
        <v/>
      </c>
      <c r="Z1932" s="10">
        <f>IF(A1932="C",LEFT(UPPER(E1932)&amp;REPT(" ",15),15)," ")</f>
        <v/>
      </c>
      <c r="AA1932" s="10">
        <f>REPT(" ",8)</f>
        <v/>
      </c>
      <c r="AB1932" s="10">
        <f>REPT(" ",4)</f>
        <v/>
      </c>
      <c r="AC1932" s="10">
        <f>LEFT(UPPER(H1932)&amp;REPT(" ",250),250)</f>
        <v/>
      </c>
      <c r="AD1932" s="10">
        <f>TEXT($G$2,"dd/mm/aaaa")</f>
        <v/>
      </c>
      <c r="AE1932" s="10">
        <f>REPT(" ",10)</f>
        <v/>
      </c>
      <c r="AF1932" s="10">
        <f>REPT(" ",20)</f>
        <v/>
      </c>
      <c r="AG1932" s="54">
        <f>REPT(" ",18-LEN(FIXED(F1932,2,TRUE)))&amp;FIXED(F1932,2,TRUE)</f>
        <v/>
      </c>
      <c r="AH1932" s="10">
        <f>LEN(AC1932)+LEN(AG1932)</f>
        <v/>
      </c>
      <c r="AI1932" s="10">
        <f>LEN(L1932)</f>
        <v/>
      </c>
    </row>
    <row r="1933">
      <c r="J1933" s="12">
        <f>IF(F1933&lt;&gt;0,"LANÇAR","")</f>
        <v/>
      </c>
      <c r="L1933" s="13">
        <f>N1933&amp;O1933&amp;P1933&amp;Q1933&amp;R1933&amp;S1933&amp;T1933&amp;U1933&amp;V1933&amp;W1933&amp;X1933&amp;Y1933&amp;Z1933&amp;AA1933&amp;AB1933&amp;AC1933&amp;AD1933&amp;AE1933&amp;AF1933&amp;AG1933</f>
        <v/>
      </c>
      <c r="N1933" s="10">
        <f>TEXT($B$6,"00")</f>
        <v/>
      </c>
      <c r="O1933" s="10">
        <f>REPT(" ",8)</f>
        <v/>
      </c>
      <c r="P1933" s="10">
        <f>RIGHT($B$4,2)</f>
        <v/>
      </c>
      <c r="Q1933" s="10">
        <f>RIGHT($B$5,3)</f>
        <v/>
      </c>
      <c r="R1933" s="10">
        <f>IF(A1933="D",LEFT(UPPER(B1933)&amp;REPT(" ",20),20),REPT(" ",20))</f>
        <v/>
      </c>
      <c r="S1933" s="10">
        <f>IF(A1933="D",LEFT(UPPER(C1933)&amp;REPT(" ",10),10)," ")</f>
        <v/>
      </c>
      <c r="T1933" s="10">
        <f>IF(A1933="D",LEFT(UPPER(D1933)&amp;REPT(" ",2),2)," ")</f>
        <v/>
      </c>
      <c r="U1933" s="10">
        <f>IF(A1933="D",LEFT(UPPER(E1933)&amp;REPT(" ",15),15)," ")</f>
        <v/>
      </c>
      <c r="V1933" s="10">
        <f>REPT(" ",24)</f>
        <v/>
      </c>
      <c r="W1933" s="10">
        <f>IF(A1933="c",LEFT(UPPER(B1933)&amp;REPT(" ",20),20),REPT(" ",20))</f>
        <v/>
      </c>
      <c r="X1933" s="10">
        <f>IF(A1933="C",LEFT(UPPER(C1933)&amp;REPT(" ",10),10)," ")</f>
        <v/>
      </c>
      <c r="Y1933" s="10">
        <f>IF(A1933="C",LEFT(UPPER(D1933)&amp;REPT(" ",2),2)," ")</f>
        <v/>
      </c>
      <c r="Z1933" s="10">
        <f>IF(A1933="C",LEFT(UPPER(E1933)&amp;REPT(" ",15),15)," ")</f>
        <v/>
      </c>
      <c r="AA1933" s="10">
        <f>REPT(" ",8)</f>
        <v/>
      </c>
      <c r="AB1933" s="10">
        <f>REPT(" ",4)</f>
        <v/>
      </c>
      <c r="AC1933" s="10">
        <f>LEFT(UPPER(H1933)&amp;REPT(" ",250),250)</f>
        <v/>
      </c>
      <c r="AD1933" s="10">
        <f>TEXT($G$2,"dd/mm/aaaa")</f>
        <v/>
      </c>
      <c r="AE1933" s="10">
        <f>REPT(" ",10)</f>
        <v/>
      </c>
      <c r="AF1933" s="10">
        <f>REPT(" ",20)</f>
        <v/>
      </c>
      <c r="AG1933" s="54">
        <f>REPT(" ",18-LEN(FIXED(F1933,2,TRUE)))&amp;FIXED(F1933,2,TRUE)</f>
        <v/>
      </c>
      <c r="AH1933" s="10">
        <f>LEN(AC1933)+LEN(AG1933)</f>
        <v/>
      </c>
      <c r="AI1933" s="10">
        <f>LEN(L1933)</f>
        <v/>
      </c>
    </row>
    <row r="1934">
      <c r="J1934" s="12">
        <f>IF(F1934&lt;&gt;0,"LANÇAR","")</f>
        <v/>
      </c>
      <c r="L1934" s="13">
        <f>N1934&amp;O1934&amp;P1934&amp;Q1934&amp;R1934&amp;S1934&amp;T1934&amp;U1934&amp;V1934&amp;W1934&amp;X1934&amp;Y1934&amp;Z1934&amp;AA1934&amp;AB1934&amp;AC1934&amp;AD1934&amp;AE1934&amp;AF1934&amp;AG1934</f>
        <v/>
      </c>
      <c r="N1934" s="10">
        <f>TEXT($B$6,"00")</f>
        <v/>
      </c>
      <c r="O1934" s="10">
        <f>REPT(" ",8)</f>
        <v/>
      </c>
      <c r="P1934" s="10">
        <f>RIGHT($B$4,2)</f>
        <v/>
      </c>
      <c r="Q1934" s="10">
        <f>RIGHT($B$5,3)</f>
        <v/>
      </c>
      <c r="R1934" s="10">
        <f>IF(A1934="D",LEFT(UPPER(B1934)&amp;REPT(" ",20),20),REPT(" ",20))</f>
        <v/>
      </c>
      <c r="S1934" s="10">
        <f>IF(A1934="D",LEFT(UPPER(C1934)&amp;REPT(" ",10),10)," ")</f>
        <v/>
      </c>
      <c r="T1934" s="10">
        <f>IF(A1934="D",LEFT(UPPER(D1934)&amp;REPT(" ",2),2)," ")</f>
        <v/>
      </c>
      <c r="U1934" s="10">
        <f>IF(A1934="D",LEFT(UPPER(E1934)&amp;REPT(" ",15),15)," ")</f>
        <v/>
      </c>
      <c r="V1934" s="10">
        <f>REPT(" ",24)</f>
        <v/>
      </c>
      <c r="W1934" s="10">
        <f>IF(A1934="c",LEFT(UPPER(B1934)&amp;REPT(" ",20),20),REPT(" ",20))</f>
        <v/>
      </c>
      <c r="X1934" s="10">
        <f>IF(A1934="C",LEFT(UPPER(C1934)&amp;REPT(" ",10),10)," ")</f>
        <v/>
      </c>
      <c r="Y1934" s="10">
        <f>IF(A1934="C",LEFT(UPPER(D1934)&amp;REPT(" ",2),2)," ")</f>
        <v/>
      </c>
      <c r="Z1934" s="10">
        <f>IF(A1934="C",LEFT(UPPER(E1934)&amp;REPT(" ",15),15)," ")</f>
        <v/>
      </c>
      <c r="AA1934" s="10">
        <f>REPT(" ",8)</f>
        <v/>
      </c>
      <c r="AB1934" s="10">
        <f>REPT(" ",4)</f>
        <v/>
      </c>
      <c r="AC1934" s="10">
        <f>LEFT(UPPER(H1934)&amp;REPT(" ",250),250)</f>
        <v/>
      </c>
      <c r="AD1934" s="10">
        <f>TEXT($G$2,"dd/mm/aaaa")</f>
        <v/>
      </c>
      <c r="AE1934" s="10">
        <f>REPT(" ",10)</f>
        <v/>
      </c>
      <c r="AF1934" s="10">
        <f>REPT(" ",20)</f>
        <v/>
      </c>
      <c r="AG1934" s="54">
        <f>REPT(" ",18-LEN(FIXED(F1934,2,TRUE)))&amp;FIXED(F1934,2,TRUE)</f>
        <v/>
      </c>
      <c r="AH1934" s="10">
        <f>LEN(AC1934)+LEN(AG1934)</f>
        <v/>
      </c>
      <c r="AI1934" s="10">
        <f>LEN(L1934)</f>
        <v/>
      </c>
    </row>
    <row r="1935">
      <c r="J1935" s="12">
        <f>IF(F1935&lt;&gt;0,"LANÇAR","")</f>
        <v/>
      </c>
      <c r="L1935" s="13">
        <f>N1935&amp;O1935&amp;P1935&amp;Q1935&amp;R1935&amp;S1935&amp;T1935&amp;U1935&amp;V1935&amp;W1935&amp;X1935&amp;Y1935&amp;Z1935&amp;AA1935&amp;AB1935&amp;AC1935&amp;AD1935&amp;AE1935&amp;AF1935&amp;AG1935</f>
        <v/>
      </c>
      <c r="N1935" s="10">
        <f>TEXT($B$6,"00")</f>
        <v/>
      </c>
      <c r="O1935" s="10">
        <f>REPT(" ",8)</f>
        <v/>
      </c>
      <c r="P1935" s="10">
        <f>RIGHT($B$4,2)</f>
        <v/>
      </c>
      <c r="Q1935" s="10">
        <f>RIGHT($B$5,3)</f>
        <v/>
      </c>
      <c r="R1935" s="10">
        <f>IF(A1935="D",LEFT(UPPER(B1935)&amp;REPT(" ",20),20),REPT(" ",20))</f>
        <v/>
      </c>
      <c r="S1935" s="10">
        <f>IF(A1935="D",LEFT(UPPER(C1935)&amp;REPT(" ",10),10)," ")</f>
        <v/>
      </c>
      <c r="T1935" s="10">
        <f>IF(A1935="D",LEFT(UPPER(D1935)&amp;REPT(" ",2),2)," ")</f>
        <v/>
      </c>
      <c r="U1935" s="10">
        <f>IF(A1935="D",LEFT(UPPER(E1935)&amp;REPT(" ",15),15)," ")</f>
        <v/>
      </c>
      <c r="V1935" s="10">
        <f>REPT(" ",24)</f>
        <v/>
      </c>
      <c r="W1935" s="10">
        <f>IF(A1935="c",LEFT(UPPER(B1935)&amp;REPT(" ",20),20),REPT(" ",20))</f>
        <v/>
      </c>
      <c r="X1935" s="10">
        <f>IF(A1935="C",LEFT(UPPER(C1935)&amp;REPT(" ",10),10)," ")</f>
        <v/>
      </c>
      <c r="Y1935" s="10">
        <f>IF(A1935="C",LEFT(UPPER(D1935)&amp;REPT(" ",2),2)," ")</f>
        <v/>
      </c>
      <c r="Z1935" s="10">
        <f>IF(A1935="C",LEFT(UPPER(E1935)&amp;REPT(" ",15),15)," ")</f>
        <v/>
      </c>
      <c r="AA1935" s="10">
        <f>REPT(" ",8)</f>
        <v/>
      </c>
      <c r="AB1935" s="10">
        <f>REPT(" ",4)</f>
        <v/>
      </c>
      <c r="AC1935" s="10">
        <f>LEFT(UPPER(H1935)&amp;REPT(" ",250),250)</f>
        <v/>
      </c>
      <c r="AD1935" s="10">
        <f>TEXT($G$2,"dd/mm/aaaa")</f>
        <v/>
      </c>
      <c r="AE1935" s="10">
        <f>REPT(" ",10)</f>
        <v/>
      </c>
      <c r="AF1935" s="10">
        <f>REPT(" ",20)</f>
        <v/>
      </c>
      <c r="AG1935" s="54">
        <f>REPT(" ",18-LEN(FIXED(F1935,2,TRUE)))&amp;FIXED(F1935,2,TRUE)</f>
        <v/>
      </c>
      <c r="AH1935" s="10">
        <f>LEN(AC1935)+LEN(AG1935)</f>
        <v/>
      </c>
      <c r="AI1935" s="10">
        <f>LEN(L1935)</f>
        <v/>
      </c>
    </row>
    <row r="1936">
      <c r="J1936" s="12">
        <f>IF(F1936&lt;&gt;0,"LANÇAR","")</f>
        <v/>
      </c>
      <c r="L1936" s="13">
        <f>N1936&amp;O1936&amp;P1936&amp;Q1936&amp;R1936&amp;S1936&amp;T1936&amp;U1936&amp;V1936&amp;W1936&amp;X1936&amp;Y1936&amp;Z1936&amp;AA1936&amp;AB1936&amp;AC1936&amp;AD1936&amp;AE1936&amp;AF1936&amp;AG1936</f>
        <v/>
      </c>
      <c r="N1936" s="10">
        <f>TEXT($B$6,"00")</f>
        <v/>
      </c>
      <c r="O1936" s="10">
        <f>REPT(" ",8)</f>
        <v/>
      </c>
      <c r="P1936" s="10">
        <f>RIGHT($B$4,2)</f>
        <v/>
      </c>
      <c r="Q1936" s="10">
        <f>RIGHT($B$5,3)</f>
        <v/>
      </c>
      <c r="R1936" s="10">
        <f>IF(A1936="D",LEFT(UPPER(B1936)&amp;REPT(" ",20),20),REPT(" ",20))</f>
        <v/>
      </c>
      <c r="S1936" s="10">
        <f>IF(A1936="D",LEFT(UPPER(C1936)&amp;REPT(" ",10),10)," ")</f>
        <v/>
      </c>
      <c r="T1936" s="10">
        <f>IF(A1936="D",LEFT(UPPER(D1936)&amp;REPT(" ",2),2)," ")</f>
        <v/>
      </c>
      <c r="U1936" s="10">
        <f>IF(A1936="D",LEFT(UPPER(E1936)&amp;REPT(" ",15),15)," ")</f>
        <v/>
      </c>
      <c r="V1936" s="10">
        <f>REPT(" ",24)</f>
        <v/>
      </c>
      <c r="W1936" s="10">
        <f>IF(A1936="c",LEFT(UPPER(B1936)&amp;REPT(" ",20),20),REPT(" ",20))</f>
        <v/>
      </c>
      <c r="X1936" s="10">
        <f>IF(A1936="C",LEFT(UPPER(C1936)&amp;REPT(" ",10),10)," ")</f>
        <v/>
      </c>
      <c r="Y1936" s="10">
        <f>IF(A1936="C",LEFT(UPPER(D1936)&amp;REPT(" ",2),2)," ")</f>
        <v/>
      </c>
      <c r="Z1936" s="10">
        <f>IF(A1936="C",LEFT(UPPER(E1936)&amp;REPT(" ",15),15)," ")</f>
        <v/>
      </c>
      <c r="AA1936" s="10">
        <f>REPT(" ",8)</f>
        <v/>
      </c>
      <c r="AB1936" s="10">
        <f>REPT(" ",4)</f>
        <v/>
      </c>
      <c r="AC1936" s="10">
        <f>LEFT(UPPER(H1936)&amp;REPT(" ",250),250)</f>
        <v/>
      </c>
      <c r="AD1936" s="10">
        <f>TEXT($G$2,"dd/mm/aaaa")</f>
        <v/>
      </c>
      <c r="AE1936" s="10">
        <f>REPT(" ",10)</f>
        <v/>
      </c>
      <c r="AF1936" s="10">
        <f>REPT(" ",20)</f>
        <v/>
      </c>
      <c r="AG1936" s="54">
        <f>REPT(" ",18-LEN(FIXED(F1936,2,TRUE)))&amp;FIXED(F1936,2,TRUE)</f>
        <v/>
      </c>
      <c r="AH1936" s="10">
        <f>LEN(AC1936)+LEN(AG1936)</f>
        <v/>
      </c>
      <c r="AI1936" s="10">
        <f>LEN(L1936)</f>
        <v/>
      </c>
    </row>
    <row r="1937">
      <c r="J1937" s="12">
        <f>IF(F1937&lt;&gt;0,"LANÇAR","")</f>
        <v/>
      </c>
      <c r="L1937" s="13">
        <f>N1937&amp;O1937&amp;P1937&amp;Q1937&amp;R1937&amp;S1937&amp;T1937&amp;U1937&amp;V1937&amp;W1937&amp;X1937&amp;Y1937&amp;Z1937&amp;AA1937&amp;AB1937&amp;AC1937&amp;AD1937&amp;AE1937&amp;AF1937&amp;AG1937</f>
        <v/>
      </c>
      <c r="N1937" s="10">
        <f>TEXT($B$6,"00")</f>
        <v/>
      </c>
      <c r="O1937" s="10">
        <f>REPT(" ",8)</f>
        <v/>
      </c>
      <c r="P1937" s="10">
        <f>RIGHT($B$4,2)</f>
        <v/>
      </c>
      <c r="Q1937" s="10">
        <f>RIGHT($B$5,3)</f>
        <v/>
      </c>
      <c r="R1937" s="10">
        <f>IF(A1937="D",LEFT(UPPER(B1937)&amp;REPT(" ",20),20),REPT(" ",20))</f>
        <v/>
      </c>
      <c r="S1937" s="10">
        <f>IF(A1937="D",LEFT(UPPER(C1937)&amp;REPT(" ",10),10)," ")</f>
        <v/>
      </c>
      <c r="T1937" s="10">
        <f>IF(A1937="D",LEFT(UPPER(D1937)&amp;REPT(" ",2),2)," ")</f>
        <v/>
      </c>
      <c r="U1937" s="10">
        <f>IF(A1937="D",LEFT(UPPER(E1937)&amp;REPT(" ",15),15)," ")</f>
        <v/>
      </c>
      <c r="V1937" s="10">
        <f>REPT(" ",24)</f>
        <v/>
      </c>
      <c r="W1937" s="10">
        <f>IF(A1937="c",LEFT(UPPER(B1937)&amp;REPT(" ",20),20),REPT(" ",20))</f>
        <v/>
      </c>
      <c r="X1937" s="10">
        <f>IF(A1937="C",LEFT(UPPER(C1937)&amp;REPT(" ",10),10)," ")</f>
        <v/>
      </c>
      <c r="Y1937" s="10">
        <f>IF(A1937="C",LEFT(UPPER(D1937)&amp;REPT(" ",2),2)," ")</f>
        <v/>
      </c>
      <c r="Z1937" s="10">
        <f>IF(A1937="C",LEFT(UPPER(E1937)&amp;REPT(" ",15),15)," ")</f>
        <v/>
      </c>
      <c r="AA1937" s="10">
        <f>REPT(" ",8)</f>
        <v/>
      </c>
      <c r="AB1937" s="10">
        <f>REPT(" ",4)</f>
        <v/>
      </c>
      <c r="AC1937" s="10">
        <f>LEFT(UPPER(H1937)&amp;REPT(" ",250),250)</f>
        <v/>
      </c>
      <c r="AD1937" s="10">
        <f>TEXT($G$2,"dd/mm/aaaa")</f>
        <v/>
      </c>
      <c r="AE1937" s="10">
        <f>REPT(" ",10)</f>
        <v/>
      </c>
      <c r="AF1937" s="10">
        <f>REPT(" ",20)</f>
        <v/>
      </c>
      <c r="AG1937" s="54">
        <f>REPT(" ",18-LEN(FIXED(F1937,2,TRUE)))&amp;FIXED(F1937,2,TRUE)</f>
        <v/>
      </c>
      <c r="AH1937" s="10">
        <f>LEN(AC1937)+LEN(AG1937)</f>
        <v/>
      </c>
      <c r="AI1937" s="10">
        <f>LEN(L1937)</f>
        <v/>
      </c>
    </row>
    <row r="1938">
      <c r="J1938" s="12">
        <f>IF(F1938&lt;&gt;0,"LANÇAR","")</f>
        <v/>
      </c>
      <c r="L1938" s="13">
        <f>N1938&amp;O1938&amp;P1938&amp;Q1938&amp;R1938&amp;S1938&amp;T1938&amp;U1938&amp;V1938&amp;W1938&amp;X1938&amp;Y1938&amp;Z1938&amp;AA1938&amp;AB1938&amp;AC1938&amp;AD1938&amp;AE1938&amp;AF1938&amp;AG1938</f>
        <v/>
      </c>
      <c r="N1938" s="10">
        <f>TEXT($B$6,"00")</f>
        <v/>
      </c>
      <c r="O1938" s="10">
        <f>REPT(" ",8)</f>
        <v/>
      </c>
      <c r="P1938" s="10">
        <f>RIGHT($B$4,2)</f>
        <v/>
      </c>
      <c r="Q1938" s="10">
        <f>RIGHT($B$5,3)</f>
        <v/>
      </c>
      <c r="R1938" s="10">
        <f>IF(A1938="D",LEFT(UPPER(B1938)&amp;REPT(" ",20),20),REPT(" ",20))</f>
        <v/>
      </c>
      <c r="S1938" s="10">
        <f>IF(A1938="D",LEFT(UPPER(C1938)&amp;REPT(" ",10),10)," ")</f>
        <v/>
      </c>
      <c r="T1938" s="10">
        <f>IF(A1938="D",LEFT(UPPER(D1938)&amp;REPT(" ",2),2)," ")</f>
        <v/>
      </c>
      <c r="U1938" s="10">
        <f>IF(A1938="D",LEFT(UPPER(E1938)&amp;REPT(" ",15),15)," ")</f>
        <v/>
      </c>
      <c r="V1938" s="10">
        <f>REPT(" ",24)</f>
        <v/>
      </c>
      <c r="W1938" s="10">
        <f>IF(A1938="c",LEFT(UPPER(B1938)&amp;REPT(" ",20),20),REPT(" ",20))</f>
        <v/>
      </c>
      <c r="X1938" s="10">
        <f>IF(A1938="C",LEFT(UPPER(C1938)&amp;REPT(" ",10),10)," ")</f>
        <v/>
      </c>
      <c r="Y1938" s="10">
        <f>IF(A1938="C",LEFT(UPPER(D1938)&amp;REPT(" ",2),2)," ")</f>
        <v/>
      </c>
      <c r="Z1938" s="10">
        <f>IF(A1938="C",LEFT(UPPER(E1938)&amp;REPT(" ",15),15)," ")</f>
        <v/>
      </c>
      <c r="AA1938" s="10">
        <f>REPT(" ",8)</f>
        <v/>
      </c>
      <c r="AB1938" s="10">
        <f>REPT(" ",4)</f>
        <v/>
      </c>
      <c r="AC1938" s="10">
        <f>LEFT(UPPER(H1938)&amp;REPT(" ",250),250)</f>
        <v/>
      </c>
      <c r="AD1938" s="10">
        <f>TEXT($G$2,"dd/mm/aaaa")</f>
        <v/>
      </c>
      <c r="AE1938" s="10">
        <f>REPT(" ",10)</f>
        <v/>
      </c>
      <c r="AF1938" s="10">
        <f>REPT(" ",20)</f>
        <v/>
      </c>
      <c r="AG1938" s="54">
        <f>REPT(" ",18-LEN(FIXED(F1938,2,TRUE)))&amp;FIXED(F1938,2,TRUE)</f>
        <v/>
      </c>
      <c r="AH1938" s="10">
        <f>LEN(AC1938)+LEN(AG1938)</f>
        <v/>
      </c>
      <c r="AI1938" s="10">
        <f>LEN(L1938)</f>
        <v/>
      </c>
    </row>
    <row r="1939">
      <c r="J1939" s="12">
        <f>IF(F1939&lt;&gt;0,"LANÇAR","")</f>
        <v/>
      </c>
      <c r="L1939" s="13">
        <f>N1939&amp;O1939&amp;P1939&amp;Q1939&amp;R1939&amp;S1939&amp;T1939&amp;U1939&amp;V1939&amp;W1939&amp;X1939&amp;Y1939&amp;Z1939&amp;AA1939&amp;AB1939&amp;AC1939&amp;AD1939&amp;AE1939&amp;AF1939&amp;AG1939</f>
        <v/>
      </c>
      <c r="N1939" s="10">
        <f>TEXT($B$6,"00")</f>
        <v/>
      </c>
      <c r="O1939" s="10">
        <f>REPT(" ",8)</f>
        <v/>
      </c>
      <c r="P1939" s="10">
        <f>RIGHT($B$4,2)</f>
        <v/>
      </c>
      <c r="Q1939" s="10">
        <f>RIGHT($B$5,3)</f>
        <v/>
      </c>
      <c r="R1939" s="10">
        <f>IF(A1939="D",LEFT(UPPER(B1939)&amp;REPT(" ",20),20),REPT(" ",20))</f>
        <v/>
      </c>
      <c r="S1939" s="10">
        <f>IF(A1939="D",LEFT(UPPER(C1939)&amp;REPT(" ",10),10)," ")</f>
        <v/>
      </c>
      <c r="T1939" s="10">
        <f>IF(A1939="D",LEFT(UPPER(D1939)&amp;REPT(" ",2),2)," ")</f>
        <v/>
      </c>
      <c r="U1939" s="10">
        <f>IF(A1939="D",LEFT(UPPER(E1939)&amp;REPT(" ",15),15)," ")</f>
        <v/>
      </c>
      <c r="V1939" s="10">
        <f>REPT(" ",24)</f>
        <v/>
      </c>
      <c r="W1939" s="10">
        <f>IF(A1939="c",LEFT(UPPER(B1939)&amp;REPT(" ",20),20),REPT(" ",20))</f>
        <v/>
      </c>
      <c r="X1939" s="10">
        <f>IF(A1939="C",LEFT(UPPER(C1939)&amp;REPT(" ",10),10)," ")</f>
        <v/>
      </c>
      <c r="Y1939" s="10">
        <f>IF(A1939="C",LEFT(UPPER(D1939)&amp;REPT(" ",2),2)," ")</f>
        <v/>
      </c>
      <c r="Z1939" s="10">
        <f>IF(A1939="C",LEFT(UPPER(E1939)&amp;REPT(" ",15),15)," ")</f>
        <v/>
      </c>
      <c r="AA1939" s="10">
        <f>REPT(" ",8)</f>
        <v/>
      </c>
      <c r="AB1939" s="10">
        <f>REPT(" ",4)</f>
        <v/>
      </c>
      <c r="AC1939" s="10">
        <f>LEFT(UPPER(H1939)&amp;REPT(" ",250),250)</f>
        <v/>
      </c>
      <c r="AD1939" s="10">
        <f>TEXT($G$2,"dd/mm/aaaa")</f>
        <v/>
      </c>
      <c r="AE1939" s="10">
        <f>REPT(" ",10)</f>
        <v/>
      </c>
      <c r="AF1939" s="10">
        <f>REPT(" ",20)</f>
        <v/>
      </c>
      <c r="AG1939" s="54">
        <f>REPT(" ",18-LEN(FIXED(F1939,2,TRUE)))&amp;FIXED(F1939,2,TRUE)</f>
        <v/>
      </c>
      <c r="AH1939" s="10">
        <f>LEN(AC1939)+LEN(AG1939)</f>
        <v/>
      </c>
      <c r="AI1939" s="10">
        <f>LEN(L1939)</f>
        <v/>
      </c>
    </row>
    <row r="1940">
      <c r="J1940" s="12">
        <f>IF(F1940&lt;&gt;0,"LANÇAR","")</f>
        <v/>
      </c>
      <c r="L1940" s="13">
        <f>N1940&amp;O1940&amp;P1940&amp;Q1940&amp;R1940&amp;S1940&amp;T1940&amp;U1940&amp;V1940&amp;W1940&amp;X1940&amp;Y1940&amp;Z1940&amp;AA1940&amp;AB1940&amp;AC1940&amp;AD1940&amp;AE1940&amp;AF1940&amp;AG1940</f>
        <v/>
      </c>
      <c r="N1940" s="10">
        <f>TEXT($B$6,"00")</f>
        <v/>
      </c>
      <c r="O1940" s="10">
        <f>REPT(" ",8)</f>
        <v/>
      </c>
      <c r="P1940" s="10">
        <f>RIGHT($B$4,2)</f>
        <v/>
      </c>
      <c r="Q1940" s="10">
        <f>RIGHT($B$5,3)</f>
        <v/>
      </c>
      <c r="R1940" s="10">
        <f>IF(A1940="D",LEFT(UPPER(B1940)&amp;REPT(" ",20),20),REPT(" ",20))</f>
        <v/>
      </c>
      <c r="S1940" s="10">
        <f>IF(A1940="D",LEFT(UPPER(C1940)&amp;REPT(" ",10),10)," ")</f>
        <v/>
      </c>
      <c r="T1940" s="10">
        <f>IF(A1940="D",LEFT(UPPER(D1940)&amp;REPT(" ",2),2)," ")</f>
        <v/>
      </c>
      <c r="U1940" s="10">
        <f>IF(A1940="D",LEFT(UPPER(E1940)&amp;REPT(" ",15),15)," ")</f>
        <v/>
      </c>
      <c r="V1940" s="10">
        <f>REPT(" ",24)</f>
        <v/>
      </c>
      <c r="W1940" s="10">
        <f>IF(A1940="c",LEFT(UPPER(B1940)&amp;REPT(" ",20),20),REPT(" ",20))</f>
        <v/>
      </c>
      <c r="X1940" s="10">
        <f>IF(A1940="C",LEFT(UPPER(C1940)&amp;REPT(" ",10),10)," ")</f>
        <v/>
      </c>
      <c r="Y1940" s="10">
        <f>IF(A1940="C",LEFT(UPPER(D1940)&amp;REPT(" ",2),2)," ")</f>
        <v/>
      </c>
      <c r="Z1940" s="10">
        <f>IF(A1940="C",LEFT(UPPER(E1940)&amp;REPT(" ",15),15)," ")</f>
        <v/>
      </c>
      <c r="AA1940" s="10">
        <f>REPT(" ",8)</f>
        <v/>
      </c>
      <c r="AB1940" s="10">
        <f>REPT(" ",4)</f>
        <v/>
      </c>
      <c r="AC1940" s="10">
        <f>LEFT(UPPER(H1940)&amp;REPT(" ",250),250)</f>
        <v/>
      </c>
      <c r="AD1940" s="10">
        <f>TEXT($G$2,"dd/mm/aaaa")</f>
        <v/>
      </c>
      <c r="AE1940" s="10">
        <f>REPT(" ",10)</f>
        <v/>
      </c>
      <c r="AF1940" s="10">
        <f>REPT(" ",20)</f>
        <v/>
      </c>
      <c r="AG1940" s="54">
        <f>REPT(" ",18-LEN(FIXED(F1940,2,TRUE)))&amp;FIXED(F1940,2,TRUE)</f>
        <v/>
      </c>
      <c r="AH1940" s="10">
        <f>LEN(AC1940)+LEN(AG1940)</f>
        <v/>
      </c>
      <c r="AI1940" s="10">
        <f>LEN(L1940)</f>
        <v/>
      </c>
    </row>
    <row r="1941">
      <c r="J1941" s="12">
        <f>IF(F1941&lt;&gt;0,"LANÇAR","")</f>
        <v/>
      </c>
      <c r="L1941" s="13">
        <f>N1941&amp;O1941&amp;P1941&amp;Q1941&amp;R1941&amp;S1941&amp;T1941&amp;U1941&amp;V1941&amp;W1941&amp;X1941&amp;Y1941&amp;Z1941&amp;AA1941&amp;AB1941&amp;AC1941&amp;AD1941&amp;AE1941&amp;AF1941&amp;AG1941</f>
        <v/>
      </c>
      <c r="N1941" s="10">
        <f>TEXT($B$6,"00")</f>
        <v/>
      </c>
      <c r="O1941" s="10">
        <f>REPT(" ",8)</f>
        <v/>
      </c>
      <c r="P1941" s="10">
        <f>RIGHT($B$4,2)</f>
        <v/>
      </c>
      <c r="Q1941" s="10">
        <f>RIGHT($B$5,3)</f>
        <v/>
      </c>
      <c r="R1941" s="10">
        <f>IF(A1941="D",LEFT(UPPER(B1941)&amp;REPT(" ",20),20),REPT(" ",20))</f>
        <v/>
      </c>
      <c r="S1941" s="10">
        <f>IF(A1941="D",LEFT(UPPER(C1941)&amp;REPT(" ",10),10)," ")</f>
        <v/>
      </c>
      <c r="T1941" s="10">
        <f>IF(A1941="D",LEFT(UPPER(D1941)&amp;REPT(" ",2),2)," ")</f>
        <v/>
      </c>
      <c r="U1941" s="10">
        <f>IF(A1941="D",LEFT(UPPER(E1941)&amp;REPT(" ",15),15)," ")</f>
        <v/>
      </c>
      <c r="V1941" s="10">
        <f>REPT(" ",24)</f>
        <v/>
      </c>
      <c r="W1941" s="10">
        <f>IF(A1941="c",LEFT(UPPER(B1941)&amp;REPT(" ",20),20),REPT(" ",20))</f>
        <v/>
      </c>
      <c r="X1941" s="10">
        <f>IF(A1941="C",LEFT(UPPER(C1941)&amp;REPT(" ",10),10)," ")</f>
        <v/>
      </c>
      <c r="Y1941" s="10">
        <f>IF(A1941="C",LEFT(UPPER(D1941)&amp;REPT(" ",2),2)," ")</f>
        <v/>
      </c>
      <c r="Z1941" s="10">
        <f>IF(A1941="C",LEFT(UPPER(E1941)&amp;REPT(" ",15),15)," ")</f>
        <v/>
      </c>
      <c r="AA1941" s="10">
        <f>REPT(" ",8)</f>
        <v/>
      </c>
      <c r="AB1941" s="10">
        <f>REPT(" ",4)</f>
        <v/>
      </c>
      <c r="AC1941" s="10">
        <f>LEFT(UPPER(H1941)&amp;REPT(" ",250),250)</f>
        <v/>
      </c>
      <c r="AD1941" s="10">
        <f>TEXT($G$2,"dd/mm/aaaa")</f>
        <v/>
      </c>
      <c r="AE1941" s="10">
        <f>REPT(" ",10)</f>
        <v/>
      </c>
      <c r="AF1941" s="10">
        <f>REPT(" ",20)</f>
        <v/>
      </c>
      <c r="AG1941" s="54">
        <f>REPT(" ",18-LEN(FIXED(F1941,2,TRUE)))&amp;FIXED(F1941,2,TRUE)</f>
        <v/>
      </c>
      <c r="AH1941" s="10">
        <f>LEN(AC1941)+LEN(AG1941)</f>
        <v/>
      </c>
      <c r="AI1941" s="10">
        <f>LEN(L1941)</f>
        <v/>
      </c>
    </row>
    <row r="1942">
      <c r="J1942" s="12">
        <f>IF(F1942&lt;&gt;0,"LANÇAR","")</f>
        <v/>
      </c>
      <c r="L1942" s="13">
        <f>N1942&amp;O1942&amp;P1942&amp;Q1942&amp;R1942&amp;S1942&amp;T1942&amp;U1942&amp;V1942&amp;W1942&amp;X1942&amp;Y1942&amp;Z1942&amp;AA1942&amp;AB1942&amp;AC1942&amp;AD1942&amp;AE1942&amp;AF1942&amp;AG1942</f>
        <v/>
      </c>
      <c r="N1942" s="10">
        <f>TEXT($B$6,"00")</f>
        <v/>
      </c>
      <c r="O1942" s="10">
        <f>REPT(" ",8)</f>
        <v/>
      </c>
      <c r="P1942" s="10">
        <f>RIGHT($B$4,2)</f>
        <v/>
      </c>
      <c r="Q1942" s="10">
        <f>RIGHT($B$5,3)</f>
        <v/>
      </c>
      <c r="R1942" s="10">
        <f>IF(A1942="D",LEFT(UPPER(B1942)&amp;REPT(" ",20),20),REPT(" ",20))</f>
        <v/>
      </c>
      <c r="S1942" s="10">
        <f>IF(A1942="D",LEFT(UPPER(C1942)&amp;REPT(" ",10),10)," ")</f>
        <v/>
      </c>
      <c r="T1942" s="10">
        <f>IF(A1942="D",LEFT(UPPER(D1942)&amp;REPT(" ",2),2)," ")</f>
        <v/>
      </c>
      <c r="U1942" s="10">
        <f>IF(A1942="D",LEFT(UPPER(E1942)&amp;REPT(" ",15),15)," ")</f>
        <v/>
      </c>
      <c r="V1942" s="10">
        <f>REPT(" ",24)</f>
        <v/>
      </c>
      <c r="W1942" s="10">
        <f>IF(A1942="c",LEFT(UPPER(B1942)&amp;REPT(" ",20),20),REPT(" ",20))</f>
        <v/>
      </c>
      <c r="X1942" s="10">
        <f>IF(A1942="C",LEFT(UPPER(C1942)&amp;REPT(" ",10),10)," ")</f>
        <v/>
      </c>
      <c r="Y1942" s="10">
        <f>IF(A1942="C",LEFT(UPPER(D1942)&amp;REPT(" ",2),2)," ")</f>
        <v/>
      </c>
      <c r="Z1942" s="10">
        <f>IF(A1942="C",LEFT(UPPER(E1942)&amp;REPT(" ",15),15)," ")</f>
        <v/>
      </c>
      <c r="AA1942" s="10">
        <f>REPT(" ",8)</f>
        <v/>
      </c>
      <c r="AB1942" s="10">
        <f>REPT(" ",4)</f>
        <v/>
      </c>
      <c r="AC1942" s="10">
        <f>LEFT(UPPER(H1942)&amp;REPT(" ",250),250)</f>
        <v/>
      </c>
      <c r="AD1942" s="10">
        <f>TEXT($G$2,"dd/mm/aaaa")</f>
        <v/>
      </c>
      <c r="AE1942" s="10">
        <f>REPT(" ",10)</f>
        <v/>
      </c>
      <c r="AF1942" s="10">
        <f>REPT(" ",20)</f>
        <v/>
      </c>
      <c r="AG1942" s="54">
        <f>REPT(" ",18-LEN(FIXED(F1942,2,TRUE)))&amp;FIXED(F1942,2,TRUE)</f>
        <v/>
      </c>
      <c r="AH1942" s="10">
        <f>LEN(AC1942)+LEN(AG1942)</f>
        <v/>
      </c>
      <c r="AI1942" s="10">
        <f>LEN(L1942)</f>
        <v/>
      </c>
    </row>
    <row r="1943">
      <c r="J1943" s="12">
        <f>IF(F1943&lt;&gt;0,"LANÇAR","")</f>
        <v/>
      </c>
      <c r="L1943" s="13">
        <f>N1943&amp;O1943&amp;P1943&amp;Q1943&amp;R1943&amp;S1943&amp;T1943&amp;U1943&amp;V1943&amp;W1943&amp;X1943&amp;Y1943&amp;Z1943&amp;AA1943&amp;AB1943&amp;AC1943&amp;AD1943&amp;AE1943&amp;AF1943&amp;AG1943</f>
        <v/>
      </c>
      <c r="N1943" s="10">
        <f>TEXT($B$6,"00")</f>
        <v/>
      </c>
      <c r="O1943" s="10">
        <f>REPT(" ",8)</f>
        <v/>
      </c>
      <c r="P1943" s="10">
        <f>RIGHT($B$4,2)</f>
        <v/>
      </c>
      <c r="Q1943" s="10">
        <f>RIGHT($B$5,3)</f>
        <v/>
      </c>
      <c r="R1943" s="10">
        <f>IF(A1943="D",LEFT(UPPER(B1943)&amp;REPT(" ",20),20),REPT(" ",20))</f>
        <v/>
      </c>
      <c r="S1943" s="10">
        <f>IF(A1943="D",LEFT(UPPER(C1943)&amp;REPT(" ",10),10)," ")</f>
        <v/>
      </c>
      <c r="T1943" s="10">
        <f>IF(A1943="D",LEFT(UPPER(D1943)&amp;REPT(" ",2),2)," ")</f>
        <v/>
      </c>
      <c r="U1943" s="10">
        <f>IF(A1943="D",LEFT(UPPER(E1943)&amp;REPT(" ",15),15)," ")</f>
        <v/>
      </c>
      <c r="V1943" s="10">
        <f>REPT(" ",24)</f>
        <v/>
      </c>
      <c r="W1943" s="10">
        <f>IF(A1943="c",LEFT(UPPER(B1943)&amp;REPT(" ",20),20),REPT(" ",20))</f>
        <v/>
      </c>
      <c r="X1943" s="10">
        <f>IF(A1943="C",LEFT(UPPER(C1943)&amp;REPT(" ",10),10)," ")</f>
        <v/>
      </c>
      <c r="Y1943" s="10">
        <f>IF(A1943="C",LEFT(UPPER(D1943)&amp;REPT(" ",2),2)," ")</f>
        <v/>
      </c>
      <c r="Z1943" s="10">
        <f>IF(A1943="C",LEFT(UPPER(E1943)&amp;REPT(" ",15),15)," ")</f>
        <v/>
      </c>
      <c r="AA1943" s="10">
        <f>REPT(" ",8)</f>
        <v/>
      </c>
      <c r="AB1943" s="10">
        <f>REPT(" ",4)</f>
        <v/>
      </c>
      <c r="AC1943" s="10">
        <f>LEFT(UPPER(H1943)&amp;REPT(" ",250),250)</f>
        <v/>
      </c>
      <c r="AD1943" s="10">
        <f>TEXT($G$2,"dd/mm/aaaa")</f>
        <v/>
      </c>
      <c r="AE1943" s="10">
        <f>REPT(" ",10)</f>
        <v/>
      </c>
      <c r="AF1943" s="10">
        <f>REPT(" ",20)</f>
        <v/>
      </c>
      <c r="AG1943" s="54">
        <f>REPT(" ",18-LEN(FIXED(F1943,2,TRUE)))&amp;FIXED(F1943,2,TRUE)</f>
        <v/>
      </c>
      <c r="AH1943" s="10">
        <f>LEN(AC1943)+LEN(AG1943)</f>
        <v/>
      </c>
      <c r="AI1943" s="10">
        <f>LEN(L1943)</f>
        <v/>
      </c>
    </row>
    <row r="1944">
      <c r="J1944" s="12">
        <f>IF(F1944&lt;&gt;0,"LANÇAR","")</f>
        <v/>
      </c>
      <c r="L1944" s="13">
        <f>N1944&amp;O1944&amp;P1944&amp;Q1944&amp;R1944&amp;S1944&amp;T1944&amp;U1944&amp;V1944&amp;W1944&amp;X1944&amp;Y1944&amp;Z1944&amp;AA1944&amp;AB1944&amp;AC1944&amp;AD1944&amp;AE1944&amp;AF1944&amp;AG1944</f>
        <v/>
      </c>
      <c r="N1944" s="10">
        <f>TEXT($B$6,"00")</f>
        <v/>
      </c>
      <c r="O1944" s="10">
        <f>REPT(" ",8)</f>
        <v/>
      </c>
      <c r="P1944" s="10">
        <f>RIGHT($B$4,2)</f>
        <v/>
      </c>
      <c r="Q1944" s="10">
        <f>RIGHT($B$5,3)</f>
        <v/>
      </c>
      <c r="R1944" s="10">
        <f>IF(A1944="D",LEFT(UPPER(B1944)&amp;REPT(" ",20),20),REPT(" ",20))</f>
        <v/>
      </c>
      <c r="S1944" s="10">
        <f>IF(A1944="D",LEFT(UPPER(C1944)&amp;REPT(" ",10),10)," ")</f>
        <v/>
      </c>
      <c r="T1944" s="10">
        <f>IF(A1944="D",LEFT(UPPER(D1944)&amp;REPT(" ",2),2)," ")</f>
        <v/>
      </c>
      <c r="U1944" s="10">
        <f>IF(A1944="D",LEFT(UPPER(E1944)&amp;REPT(" ",15),15)," ")</f>
        <v/>
      </c>
      <c r="V1944" s="10">
        <f>REPT(" ",24)</f>
        <v/>
      </c>
      <c r="W1944" s="10">
        <f>IF(A1944="c",LEFT(UPPER(B1944)&amp;REPT(" ",20),20),REPT(" ",20))</f>
        <v/>
      </c>
      <c r="X1944" s="10">
        <f>IF(A1944="C",LEFT(UPPER(C1944)&amp;REPT(" ",10),10)," ")</f>
        <v/>
      </c>
      <c r="Y1944" s="10">
        <f>IF(A1944="C",LEFT(UPPER(D1944)&amp;REPT(" ",2),2)," ")</f>
        <v/>
      </c>
      <c r="Z1944" s="10">
        <f>IF(A1944="C",LEFT(UPPER(E1944)&amp;REPT(" ",15),15)," ")</f>
        <v/>
      </c>
      <c r="AA1944" s="10">
        <f>REPT(" ",8)</f>
        <v/>
      </c>
      <c r="AB1944" s="10">
        <f>REPT(" ",4)</f>
        <v/>
      </c>
      <c r="AC1944" s="10">
        <f>LEFT(UPPER(H1944)&amp;REPT(" ",250),250)</f>
        <v/>
      </c>
      <c r="AD1944" s="10">
        <f>TEXT($G$2,"dd/mm/aaaa")</f>
        <v/>
      </c>
      <c r="AE1944" s="10">
        <f>REPT(" ",10)</f>
        <v/>
      </c>
      <c r="AF1944" s="10">
        <f>REPT(" ",20)</f>
        <v/>
      </c>
      <c r="AG1944" s="54">
        <f>REPT(" ",18-LEN(FIXED(F1944,2,TRUE)))&amp;FIXED(F1944,2,TRUE)</f>
        <v/>
      </c>
      <c r="AH1944" s="10">
        <f>LEN(AC1944)+LEN(AG1944)</f>
        <v/>
      </c>
      <c r="AI1944" s="10">
        <f>LEN(L1944)</f>
        <v/>
      </c>
    </row>
    <row r="1945">
      <c r="J1945" s="12">
        <f>IF(F1945&lt;&gt;0,"LANÇAR","")</f>
        <v/>
      </c>
      <c r="L1945" s="13">
        <f>N1945&amp;O1945&amp;P1945&amp;Q1945&amp;R1945&amp;S1945&amp;T1945&amp;U1945&amp;V1945&amp;W1945&amp;X1945&amp;Y1945&amp;Z1945&amp;AA1945&amp;AB1945&amp;AC1945&amp;AD1945&amp;AE1945&amp;AF1945&amp;AG1945</f>
        <v/>
      </c>
      <c r="N1945" s="10">
        <f>TEXT($B$6,"00")</f>
        <v/>
      </c>
      <c r="O1945" s="10">
        <f>REPT(" ",8)</f>
        <v/>
      </c>
      <c r="P1945" s="10">
        <f>RIGHT($B$4,2)</f>
        <v/>
      </c>
      <c r="Q1945" s="10">
        <f>RIGHT($B$5,3)</f>
        <v/>
      </c>
      <c r="R1945" s="10">
        <f>IF(A1945="D",LEFT(UPPER(B1945)&amp;REPT(" ",20),20),REPT(" ",20))</f>
        <v/>
      </c>
      <c r="S1945" s="10">
        <f>IF(A1945="D",LEFT(UPPER(C1945)&amp;REPT(" ",10),10)," ")</f>
        <v/>
      </c>
      <c r="T1945" s="10">
        <f>IF(A1945="D",LEFT(UPPER(D1945)&amp;REPT(" ",2),2)," ")</f>
        <v/>
      </c>
      <c r="U1945" s="10">
        <f>IF(A1945="D",LEFT(UPPER(E1945)&amp;REPT(" ",15),15)," ")</f>
        <v/>
      </c>
      <c r="V1945" s="10">
        <f>REPT(" ",24)</f>
        <v/>
      </c>
      <c r="W1945" s="10">
        <f>IF(A1945="c",LEFT(UPPER(B1945)&amp;REPT(" ",20),20),REPT(" ",20))</f>
        <v/>
      </c>
      <c r="X1945" s="10">
        <f>IF(A1945="C",LEFT(UPPER(C1945)&amp;REPT(" ",10),10)," ")</f>
        <v/>
      </c>
      <c r="Y1945" s="10">
        <f>IF(A1945="C",LEFT(UPPER(D1945)&amp;REPT(" ",2),2)," ")</f>
        <v/>
      </c>
      <c r="Z1945" s="10">
        <f>IF(A1945="C",LEFT(UPPER(E1945)&amp;REPT(" ",15),15)," ")</f>
        <v/>
      </c>
      <c r="AA1945" s="10">
        <f>REPT(" ",8)</f>
        <v/>
      </c>
      <c r="AB1945" s="10">
        <f>REPT(" ",4)</f>
        <v/>
      </c>
      <c r="AC1945" s="10">
        <f>LEFT(UPPER(H1945)&amp;REPT(" ",250),250)</f>
        <v/>
      </c>
      <c r="AD1945" s="10">
        <f>TEXT($G$2,"dd/mm/aaaa")</f>
        <v/>
      </c>
      <c r="AE1945" s="10">
        <f>REPT(" ",10)</f>
        <v/>
      </c>
      <c r="AF1945" s="10">
        <f>REPT(" ",20)</f>
        <v/>
      </c>
      <c r="AG1945" s="54">
        <f>REPT(" ",18-LEN(FIXED(F1945,2,TRUE)))&amp;FIXED(F1945,2,TRUE)</f>
        <v/>
      </c>
      <c r="AH1945" s="10">
        <f>LEN(AC1945)+LEN(AG1945)</f>
        <v/>
      </c>
      <c r="AI1945" s="10">
        <f>LEN(L1945)</f>
        <v/>
      </c>
    </row>
    <row r="1946">
      <c r="J1946" s="12">
        <f>IF(F1946&lt;&gt;0,"LANÇAR","")</f>
        <v/>
      </c>
      <c r="L1946" s="13">
        <f>N1946&amp;O1946&amp;P1946&amp;Q1946&amp;R1946&amp;S1946&amp;T1946&amp;U1946&amp;V1946&amp;W1946&amp;X1946&amp;Y1946&amp;Z1946&amp;AA1946&amp;AB1946&amp;AC1946&amp;AD1946&amp;AE1946&amp;AF1946&amp;AG1946</f>
        <v/>
      </c>
      <c r="N1946" s="10">
        <f>TEXT($B$6,"00")</f>
        <v/>
      </c>
      <c r="O1946" s="10">
        <f>REPT(" ",8)</f>
        <v/>
      </c>
      <c r="P1946" s="10">
        <f>RIGHT($B$4,2)</f>
        <v/>
      </c>
      <c r="Q1946" s="10">
        <f>RIGHT($B$5,3)</f>
        <v/>
      </c>
      <c r="R1946" s="10">
        <f>IF(A1946="D",LEFT(UPPER(B1946)&amp;REPT(" ",20),20),REPT(" ",20))</f>
        <v/>
      </c>
      <c r="S1946" s="10">
        <f>IF(A1946="D",LEFT(UPPER(C1946)&amp;REPT(" ",10),10)," ")</f>
        <v/>
      </c>
      <c r="T1946" s="10">
        <f>IF(A1946="D",LEFT(UPPER(D1946)&amp;REPT(" ",2),2)," ")</f>
        <v/>
      </c>
      <c r="U1946" s="10">
        <f>IF(A1946="D",LEFT(UPPER(E1946)&amp;REPT(" ",15),15)," ")</f>
        <v/>
      </c>
      <c r="V1946" s="10">
        <f>REPT(" ",24)</f>
        <v/>
      </c>
      <c r="W1946" s="10">
        <f>IF(A1946="c",LEFT(UPPER(B1946)&amp;REPT(" ",20),20),REPT(" ",20))</f>
        <v/>
      </c>
      <c r="X1946" s="10">
        <f>IF(A1946="C",LEFT(UPPER(C1946)&amp;REPT(" ",10),10)," ")</f>
        <v/>
      </c>
      <c r="Y1946" s="10">
        <f>IF(A1946="C",LEFT(UPPER(D1946)&amp;REPT(" ",2),2)," ")</f>
        <v/>
      </c>
      <c r="Z1946" s="10">
        <f>IF(A1946="C",LEFT(UPPER(E1946)&amp;REPT(" ",15),15)," ")</f>
        <v/>
      </c>
      <c r="AA1946" s="10">
        <f>REPT(" ",8)</f>
        <v/>
      </c>
      <c r="AB1946" s="10">
        <f>REPT(" ",4)</f>
        <v/>
      </c>
      <c r="AC1946" s="10">
        <f>LEFT(UPPER(H1946)&amp;REPT(" ",250),250)</f>
        <v/>
      </c>
      <c r="AD1946" s="10">
        <f>TEXT($G$2,"dd/mm/aaaa")</f>
        <v/>
      </c>
      <c r="AE1946" s="10">
        <f>REPT(" ",10)</f>
        <v/>
      </c>
      <c r="AF1946" s="10">
        <f>REPT(" ",20)</f>
        <v/>
      </c>
      <c r="AG1946" s="54">
        <f>REPT(" ",18-LEN(FIXED(F1946,2,TRUE)))&amp;FIXED(F1946,2,TRUE)</f>
        <v/>
      </c>
      <c r="AH1946" s="10">
        <f>LEN(AC1946)+LEN(AG1946)</f>
        <v/>
      </c>
      <c r="AI1946" s="10">
        <f>LEN(L1946)</f>
        <v/>
      </c>
    </row>
    <row r="1947">
      <c r="J1947" s="12">
        <f>IF(F1947&lt;&gt;0,"LANÇAR","")</f>
        <v/>
      </c>
      <c r="L1947" s="13">
        <f>N1947&amp;O1947&amp;P1947&amp;Q1947&amp;R1947&amp;S1947&amp;T1947&amp;U1947&amp;V1947&amp;W1947&amp;X1947&amp;Y1947&amp;Z1947&amp;AA1947&amp;AB1947&amp;AC1947&amp;AD1947&amp;AE1947&amp;AF1947&amp;AG1947</f>
        <v/>
      </c>
      <c r="N1947" s="10">
        <f>TEXT($B$6,"00")</f>
        <v/>
      </c>
      <c r="O1947" s="10">
        <f>REPT(" ",8)</f>
        <v/>
      </c>
      <c r="P1947" s="10">
        <f>RIGHT($B$4,2)</f>
        <v/>
      </c>
      <c r="Q1947" s="10">
        <f>RIGHT($B$5,3)</f>
        <v/>
      </c>
      <c r="R1947" s="10">
        <f>IF(A1947="D",LEFT(UPPER(B1947)&amp;REPT(" ",20),20),REPT(" ",20))</f>
        <v/>
      </c>
      <c r="S1947" s="10">
        <f>IF(A1947="D",LEFT(UPPER(C1947)&amp;REPT(" ",10),10)," ")</f>
        <v/>
      </c>
      <c r="T1947" s="10">
        <f>IF(A1947="D",LEFT(UPPER(D1947)&amp;REPT(" ",2),2)," ")</f>
        <v/>
      </c>
      <c r="U1947" s="10">
        <f>IF(A1947="D",LEFT(UPPER(E1947)&amp;REPT(" ",15),15)," ")</f>
        <v/>
      </c>
      <c r="V1947" s="10">
        <f>REPT(" ",24)</f>
        <v/>
      </c>
      <c r="W1947" s="10">
        <f>IF(A1947="c",LEFT(UPPER(B1947)&amp;REPT(" ",20),20),REPT(" ",20))</f>
        <v/>
      </c>
      <c r="X1947" s="10">
        <f>IF(A1947="C",LEFT(UPPER(C1947)&amp;REPT(" ",10),10)," ")</f>
        <v/>
      </c>
      <c r="Y1947" s="10">
        <f>IF(A1947="C",LEFT(UPPER(D1947)&amp;REPT(" ",2),2)," ")</f>
        <v/>
      </c>
      <c r="Z1947" s="10">
        <f>IF(A1947="C",LEFT(UPPER(E1947)&amp;REPT(" ",15),15)," ")</f>
        <v/>
      </c>
      <c r="AA1947" s="10">
        <f>REPT(" ",8)</f>
        <v/>
      </c>
      <c r="AB1947" s="10">
        <f>REPT(" ",4)</f>
        <v/>
      </c>
      <c r="AC1947" s="10">
        <f>LEFT(UPPER(H1947)&amp;REPT(" ",250),250)</f>
        <v/>
      </c>
      <c r="AD1947" s="10">
        <f>TEXT($G$2,"dd/mm/aaaa")</f>
        <v/>
      </c>
      <c r="AE1947" s="10">
        <f>REPT(" ",10)</f>
        <v/>
      </c>
      <c r="AF1947" s="10">
        <f>REPT(" ",20)</f>
        <v/>
      </c>
      <c r="AG1947" s="54">
        <f>REPT(" ",18-LEN(FIXED(F1947,2,TRUE)))&amp;FIXED(F1947,2,TRUE)</f>
        <v/>
      </c>
      <c r="AH1947" s="10">
        <f>LEN(AC1947)+LEN(AG1947)</f>
        <v/>
      </c>
      <c r="AI1947" s="10">
        <f>LEN(L1947)</f>
        <v/>
      </c>
    </row>
    <row r="1948">
      <c r="J1948" s="12">
        <f>IF(F1948&lt;&gt;0,"LANÇAR","")</f>
        <v/>
      </c>
      <c r="L1948" s="13">
        <f>N1948&amp;O1948&amp;P1948&amp;Q1948&amp;R1948&amp;S1948&amp;T1948&amp;U1948&amp;V1948&amp;W1948&amp;X1948&amp;Y1948&amp;Z1948&amp;AA1948&amp;AB1948&amp;AC1948&amp;AD1948&amp;AE1948&amp;AF1948&amp;AG1948</f>
        <v/>
      </c>
      <c r="N1948" s="10">
        <f>TEXT($B$6,"00")</f>
        <v/>
      </c>
      <c r="O1948" s="10">
        <f>REPT(" ",8)</f>
        <v/>
      </c>
      <c r="P1948" s="10">
        <f>RIGHT($B$4,2)</f>
        <v/>
      </c>
      <c r="Q1948" s="10">
        <f>RIGHT($B$5,3)</f>
        <v/>
      </c>
      <c r="R1948" s="10">
        <f>IF(A1948="D",LEFT(UPPER(B1948)&amp;REPT(" ",20),20),REPT(" ",20))</f>
        <v/>
      </c>
      <c r="S1948" s="10">
        <f>IF(A1948="D",LEFT(UPPER(C1948)&amp;REPT(" ",10),10)," ")</f>
        <v/>
      </c>
      <c r="T1948" s="10">
        <f>IF(A1948="D",LEFT(UPPER(D1948)&amp;REPT(" ",2),2)," ")</f>
        <v/>
      </c>
      <c r="U1948" s="10">
        <f>IF(A1948="D",LEFT(UPPER(E1948)&amp;REPT(" ",15),15)," ")</f>
        <v/>
      </c>
      <c r="V1948" s="10">
        <f>REPT(" ",24)</f>
        <v/>
      </c>
      <c r="W1948" s="10">
        <f>IF(A1948="c",LEFT(UPPER(B1948)&amp;REPT(" ",20),20),REPT(" ",20))</f>
        <v/>
      </c>
      <c r="X1948" s="10">
        <f>IF(A1948="C",LEFT(UPPER(C1948)&amp;REPT(" ",10),10)," ")</f>
        <v/>
      </c>
      <c r="Y1948" s="10">
        <f>IF(A1948="C",LEFT(UPPER(D1948)&amp;REPT(" ",2),2)," ")</f>
        <v/>
      </c>
      <c r="Z1948" s="10">
        <f>IF(A1948="C",LEFT(UPPER(E1948)&amp;REPT(" ",15),15)," ")</f>
        <v/>
      </c>
      <c r="AA1948" s="10">
        <f>REPT(" ",8)</f>
        <v/>
      </c>
      <c r="AB1948" s="10">
        <f>REPT(" ",4)</f>
        <v/>
      </c>
      <c r="AC1948" s="10">
        <f>LEFT(UPPER(H1948)&amp;REPT(" ",250),250)</f>
        <v/>
      </c>
      <c r="AD1948" s="10">
        <f>TEXT($G$2,"dd/mm/aaaa")</f>
        <v/>
      </c>
      <c r="AE1948" s="10">
        <f>REPT(" ",10)</f>
        <v/>
      </c>
      <c r="AF1948" s="10">
        <f>REPT(" ",20)</f>
        <v/>
      </c>
      <c r="AG1948" s="54">
        <f>REPT(" ",18-LEN(FIXED(F1948,2,TRUE)))&amp;FIXED(F1948,2,TRUE)</f>
        <v/>
      </c>
      <c r="AH1948" s="10">
        <f>LEN(AC1948)+LEN(AG1948)</f>
        <v/>
      </c>
      <c r="AI1948" s="10">
        <f>LEN(L1948)</f>
        <v/>
      </c>
    </row>
    <row r="1949">
      <c r="J1949" s="12">
        <f>IF(F1949&lt;&gt;0,"LANÇAR","")</f>
        <v/>
      </c>
      <c r="L1949" s="13">
        <f>N1949&amp;O1949&amp;P1949&amp;Q1949&amp;R1949&amp;S1949&amp;T1949&amp;U1949&amp;V1949&amp;W1949&amp;X1949&amp;Y1949&amp;Z1949&amp;AA1949&amp;AB1949&amp;AC1949&amp;AD1949&amp;AE1949&amp;AF1949&amp;AG1949</f>
        <v/>
      </c>
      <c r="N1949" s="10">
        <f>TEXT($B$6,"00")</f>
        <v/>
      </c>
      <c r="O1949" s="10">
        <f>REPT(" ",8)</f>
        <v/>
      </c>
      <c r="P1949" s="10">
        <f>RIGHT($B$4,2)</f>
        <v/>
      </c>
      <c r="Q1949" s="10">
        <f>RIGHT($B$5,3)</f>
        <v/>
      </c>
      <c r="R1949" s="10">
        <f>IF(A1949="D",LEFT(UPPER(B1949)&amp;REPT(" ",20),20),REPT(" ",20))</f>
        <v/>
      </c>
      <c r="S1949" s="10">
        <f>IF(A1949="D",LEFT(UPPER(C1949)&amp;REPT(" ",10),10)," ")</f>
        <v/>
      </c>
      <c r="T1949" s="10">
        <f>IF(A1949="D",LEFT(UPPER(D1949)&amp;REPT(" ",2),2)," ")</f>
        <v/>
      </c>
      <c r="U1949" s="10">
        <f>IF(A1949="D",LEFT(UPPER(E1949)&amp;REPT(" ",15),15)," ")</f>
        <v/>
      </c>
      <c r="V1949" s="10">
        <f>REPT(" ",24)</f>
        <v/>
      </c>
      <c r="W1949" s="10">
        <f>IF(A1949="c",LEFT(UPPER(B1949)&amp;REPT(" ",20),20),REPT(" ",20))</f>
        <v/>
      </c>
      <c r="X1949" s="10">
        <f>IF(A1949="C",LEFT(UPPER(C1949)&amp;REPT(" ",10),10)," ")</f>
        <v/>
      </c>
      <c r="Y1949" s="10">
        <f>IF(A1949="C",LEFT(UPPER(D1949)&amp;REPT(" ",2),2)," ")</f>
        <v/>
      </c>
      <c r="Z1949" s="10">
        <f>IF(A1949="C",LEFT(UPPER(E1949)&amp;REPT(" ",15),15)," ")</f>
        <v/>
      </c>
      <c r="AA1949" s="10">
        <f>REPT(" ",8)</f>
        <v/>
      </c>
      <c r="AB1949" s="10">
        <f>REPT(" ",4)</f>
        <v/>
      </c>
      <c r="AC1949" s="10">
        <f>LEFT(UPPER(H1949)&amp;REPT(" ",250),250)</f>
        <v/>
      </c>
      <c r="AD1949" s="10">
        <f>TEXT($G$2,"dd/mm/aaaa")</f>
        <v/>
      </c>
      <c r="AE1949" s="10">
        <f>REPT(" ",10)</f>
        <v/>
      </c>
      <c r="AF1949" s="10">
        <f>REPT(" ",20)</f>
        <v/>
      </c>
      <c r="AG1949" s="54">
        <f>REPT(" ",18-LEN(FIXED(F1949,2,TRUE)))&amp;FIXED(F1949,2,TRUE)</f>
        <v/>
      </c>
      <c r="AH1949" s="10">
        <f>LEN(AC1949)+LEN(AG1949)</f>
        <v/>
      </c>
      <c r="AI1949" s="10">
        <f>LEN(L1949)</f>
        <v/>
      </c>
    </row>
    <row r="1950">
      <c r="J1950" s="12">
        <f>IF(F1950&lt;&gt;0,"LANÇAR","")</f>
        <v/>
      </c>
      <c r="L1950" s="13">
        <f>N1950&amp;O1950&amp;P1950&amp;Q1950&amp;R1950&amp;S1950&amp;T1950&amp;U1950&amp;V1950&amp;W1950&amp;X1950&amp;Y1950&amp;Z1950&amp;AA1950&amp;AB1950&amp;AC1950&amp;AD1950&amp;AE1950&amp;AF1950&amp;AG1950</f>
        <v/>
      </c>
      <c r="N1950" s="10">
        <f>TEXT($B$6,"00")</f>
        <v/>
      </c>
      <c r="O1950" s="10">
        <f>REPT(" ",8)</f>
        <v/>
      </c>
      <c r="P1950" s="10">
        <f>RIGHT($B$4,2)</f>
        <v/>
      </c>
      <c r="Q1950" s="10">
        <f>RIGHT($B$5,3)</f>
        <v/>
      </c>
      <c r="R1950" s="10">
        <f>IF(A1950="D",LEFT(UPPER(B1950)&amp;REPT(" ",20),20),REPT(" ",20))</f>
        <v/>
      </c>
      <c r="S1950" s="10">
        <f>IF(A1950="D",LEFT(UPPER(C1950)&amp;REPT(" ",10),10)," ")</f>
        <v/>
      </c>
      <c r="T1950" s="10">
        <f>IF(A1950="D",LEFT(UPPER(D1950)&amp;REPT(" ",2),2)," ")</f>
        <v/>
      </c>
      <c r="U1950" s="10">
        <f>IF(A1950="D",LEFT(UPPER(E1950)&amp;REPT(" ",15),15)," ")</f>
        <v/>
      </c>
      <c r="V1950" s="10">
        <f>REPT(" ",24)</f>
        <v/>
      </c>
      <c r="W1950" s="10">
        <f>IF(A1950="c",LEFT(UPPER(B1950)&amp;REPT(" ",20),20),REPT(" ",20))</f>
        <v/>
      </c>
      <c r="X1950" s="10">
        <f>IF(A1950="C",LEFT(UPPER(C1950)&amp;REPT(" ",10),10)," ")</f>
        <v/>
      </c>
      <c r="Y1950" s="10">
        <f>IF(A1950="C",LEFT(UPPER(D1950)&amp;REPT(" ",2),2)," ")</f>
        <v/>
      </c>
      <c r="Z1950" s="10">
        <f>IF(A1950="C",LEFT(UPPER(E1950)&amp;REPT(" ",15),15)," ")</f>
        <v/>
      </c>
      <c r="AA1950" s="10">
        <f>REPT(" ",8)</f>
        <v/>
      </c>
      <c r="AB1950" s="10">
        <f>REPT(" ",4)</f>
        <v/>
      </c>
      <c r="AC1950" s="10">
        <f>LEFT(UPPER(H1950)&amp;REPT(" ",250),250)</f>
        <v/>
      </c>
      <c r="AD1950" s="10">
        <f>TEXT($G$2,"dd/mm/aaaa")</f>
        <v/>
      </c>
      <c r="AE1950" s="10">
        <f>REPT(" ",10)</f>
        <v/>
      </c>
      <c r="AF1950" s="10">
        <f>REPT(" ",20)</f>
        <v/>
      </c>
      <c r="AG1950" s="54">
        <f>REPT(" ",18-LEN(FIXED(F1950,2,TRUE)))&amp;FIXED(F1950,2,TRUE)</f>
        <v/>
      </c>
      <c r="AH1950" s="10">
        <f>LEN(AC1950)+LEN(AG1950)</f>
        <v/>
      </c>
      <c r="AI1950" s="10">
        <f>LEN(L1950)</f>
        <v/>
      </c>
    </row>
    <row r="1951">
      <c r="J1951" s="12">
        <f>IF(F1951&lt;&gt;0,"LANÇAR","")</f>
        <v/>
      </c>
      <c r="L1951" s="13">
        <f>N1951&amp;O1951&amp;P1951&amp;Q1951&amp;R1951&amp;S1951&amp;T1951&amp;U1951&amp;V1951&amp;W1951&amp;X1951&amp;Y1951&amp;Z1951&amp;AA1951&amp;AB1951&amp;AC1951&amp;AD1951&amp;AE1951&amp;AF1951&amp;AG1951</f>
        <v/>
      </c>
      <c r="N1951" s="10">
        <f>TEXT($B$6,"00")</f>
        <v/>
      </c>
      <c r="O1951" s="10">
        <f>REPT(" ",8)</f>
        <v/>
      </c>
      <c r="P1951" s="10">
        <f>RIGHT($B$4,2)</f>
        <v/>
      </c>
      <c r="Q1951" s="10">
        <f>RIGHT($B$5,3)</f>
        <v/>
      </c>
      <c r="R1951" s="10">
        <f>IF(A1951="D",LEFT(UPPER(B1951)&amp;REPT(" ",20),20),REPT(" ",20))</f>
        <v/>
      </c>
      <c r="S1951" s="10">
        <f>IF(A1951="D",LEFT(UPPER(C1951)&amp;REPT(" ",10),10)," ")</f>
        <v/>
      </c>
      <c r="T1951" s="10">
        <f>IF(A1951="D",LEFT(UPPER(D1951)&amp;REPT(" ",2),2)," ")</f>
        <v/>
      </c>
      <c r="U1951" s="10">
        <f>IF(A1951="D",LEFT(UPPER(E1951)&amp;REPT(" ",15),15)," ")</f>
        <v/>
      </c>
      <c r="V1951" s="10">
        <f>REPT(" ",24)</f>
        <v/>
      </c>
      <c r="W1951" s="10">
        <f>IF(A1951="c",LEFT(UPPER(B1951)&amp;REPT(" ",20),20),REPT(" ",20))</f>
        <v/>
      </c>
      <c r="X1951" s="10">
        <f>IF(A1951="C",LEFT(UPPER(C1951)&amp;REPT(" ",10),10)," ")</f>
        <v/>
      </c>
      <c r="Y1951" s="10">
        <f>IF(A1951="C",LEFT(UPPER(D1951)&amp;REPT(" ",2),2)," ")</f>
        <v/>
      </c>
      <c r="Z1951" s="10">
        <f>IF(A1951="C",LEFT(UPPER(E1951)&amp;REPT(" ",15),15)," ")</f>
        <v/>
      </c>
      <c r="AA1951" s="10">
        <f>REPT(" ",8)</f>
        <v/>
      </c>
      <c r="AB1951" s="10">
        <f>REPT(" ",4)</f>
        <v/>
      </c>
      <c r="AC1951" s="10">
        <f>LEFT(UPPER(H1951)&amp;REPT(" ",250),250)</f>
        <v/>
      </c>
      <c r="AD1951" s="10">
        <f>TEXT($G$2,"dd/mm/aaaa")</f>
        <v/>
      </c>
      <c r="AE1951" s="10">
        <f>REPT(" ",10)</f>
        <v/>
      </c>
      <c r="AF1951" s="10">
        <f>REPT(" ",20)</f>
        <v/>
      </c>
      <c r="AG1951" s="54">
        <f>REPT(" ",18-LEN(FIXED(F1951,2,TRUE)))&amp;FIXED(F1951,2,TRUE)</f>
        <v/>
      </c>
      <c r="AH1951" s="10">
        <f>LEN(AC1951)+LEN(AG1951)</f>
        <v/>
      </c>
      <c r="AI1951" s="10">
        <f>LEN(L1951)</f>
        <v/>
      </c>
    </row>
    <row r="1952">
      <c r="J1952" s="12">
        <f>IF(F1952&lt;&gt;0,"LANÇAR","")</f>
        <v/>
      </c>
      <c r="L1952" s="13">
        <f>N1952&amp;O1952&amp;P1952&amp;Q1952&amp;R1952&amp;S1952&amp;T1952&amp;U1952&amp;V1952&amp;W1952&amp;X1952&amp;Y1952&amp;Z1952&amp;AA1952&amp;AB1952&amp;AC1952&amp;AD1952&amp;AE1952&amp;AF1952&amp;AG1952</f>
        <v/>
      </c>
      <c r="N1952" s="10">
        <f>TEXT($B$6,"00")</f>
        <v/>
      </c>
      <c r="O1952" s="10">
        <f>REPT(" ",8)</f>
        <v/>
      </c>
      <c r="P1952" s="10">
        <f>RIGHT($B$4,2)</f>
        <v/>
      </c>
      <c r="Q1952" s="10">
        <f>RIGHT($B$5,3)</f>
        <v/>
      </c>
      <c r="R1952" s="10">
        <f>IF(A1952="D",LEFT(UPPER(B1952)&amp;REPT(" ",20),20),REPT(" ",20))</f>
        <v/>
      </c>
      <c r="S1952" s="10">
        <f>IF(A1952="D",LEFT(UPPER(C1952)&amp;REPT(" ",10),10)," ")</f>
        <v/>
      </c>
      <c r="T1952" s="10">
        <f>IF(A1952="D",LEFT(UPPER(D1952)&amp;REPT(" ",2),2)," ")</f>
        <v/>
      </c>
      <c r="U1952" s="10">
        <f>IF(A1952="D",LEFT(UPPER(E1952)&amp;REPT(" ",15),15)," ")</f>
        <v/>
      </c>
      <c r="V1952" s="10">
        <f>REPT(" ",24)</f>
        <v/>
      </c>
      <c r="W1952" s="10">
        <f>IF(A1952="c",LEFT(UPPER(B1952)&amp;REPT(" ",20),20),REPT(" ",20))</f>
        <v/>
      </c>
      <c r="X1952" s="10">
        <f>IF(A1952="C",LEFT(UPPER(C1952)&amp;REPT(" ",10),10)," ")</f>
        <v/>
      </c>
      <c r="Y1952" s="10">
        <f>IF(A1952="C",LEFT(UPPER(D1952)&amp;REPT(" ",2),2)," ")</f>
        <v/>
      </c>
      <c r="Z1952" s="10">
        <f>IF(A1952="C",LEFT(UPPER(E1952)&amp;REPT(" ",15),15)," ")</f>
        <v/>
      </c>
      <c r="AA1952" s="10">
        <f>REPT(" ",8)</f>
        <v/>
      </c>
      <c r="AB1952" s="10">
        <f>REPT(" ",4)</f>
        <v/>
      </c>
      <c r="AC1952" s="10">
        <f>LEFT(UPPER(H1952)&amp;REPT(" ",250),250)</f>
        <v/>
      </c>
      <c r="AD1952" s="10">
        <f>TEXT($G$2,"dd/mm/aaaa")</f>
        <v/>
      </c>
      <c r="AE1952" s="10">
        <f>REPT(" ",10)</f>
        <v/>
      </c>
      <c r="AF1952" s="10">
        <f>REPT(" ",20)</f>
        <v/>
      </c>
      <c r="AG1952" s="54">
        <f>REPT(" ",18-LEN(FIXED(F1952,2,TRUE)))&amp;FIXED(F1952,2,TRUE)</f>
        <v/>
      </c>
      <c r="AH1952" s="10">
        <f>LEN(AC1952)+LEN(AG1952)</f>
        <v/>
      </c>
      <c r="AI1952" s="10">
        <f>LEN(L1952)</f>
        <v/>
      </c>
    </row>
    <row r="1953">
      <c r="J1953" s="12">
        <f>IF(F1953&lt;&gt;0,"LANÇAR","")</f>
        <v/>
      </c>
      <c r="L1953" s="13">
        <f>N1953&amp;O1953&amp;P1953&amp;Q1953&amp;R1953&amp;S1953&amp;T1953&amp;U1953&amp;V1953&amp;W1953&amp;X1953&amp;Y1953&amp;Z1953&amp;AA1953&amp;AB1953&amp;AC1953&amp;AD1953&amp;AE1953&amp;AF1953&amp;AG1953</f>
        <v/>
      </c>
      <c r="N1953" s="10">
        <f>TEXT($B$6,"00")</f>
        <v/>
      </c>
      <c r="O1953" s="10">
        <f>REPT(" ",8)</f>
        <v/>
      </c>
      <c r="P1953" s="10">
        <f>RIGHT($B$4,2)</f>
        <v/>
      </c>
      <c r="Q1953" s="10">
        <f>RIGHT($B$5,3)</f>
        <v/>
      </c>
      <c r="R1953" s="10">
        <f>IF(A1953="D",LEFT(UPPER(B1953)&amp;REPT(" ",20),20),REPT(" ",20))</f>
        <v/>
      </c>
      <c r="S1953" s="10">
        <f>IF(A1953="D",LEFT(UPPER(C1953)&amp;REPT(" ",10),10)," ")</f>
        <v/>
      </c>
      <c r="T1953" s="10">
        <f>IF(A1953="D",LEFT(UPPER(D1953)&amp;REPT(" ",2),2)," ")</f>
        <v/>
      </c>
      <c r="U1953" s="10">
        <f>IF(A1953="D",LEFT(UPPER(E1953)&amp;REPT(" ",15),15)," ")</f>
        <v/>
      </c>
      <c r="V1953" s="10">
        <f>REPT(" ",24)</f>
        <v/>
      </c>
      <c r="W1953" s="10">
        <f>IF(A1953="c",LEFT(UPPER(B1953)&amp;REPT(" ",20),20),REPT(" ",20))</f>
        <v/>
      </c>
      <c r="X1953" s="10">
        <f>IF(A1953="C",LEFT(UPPER(C1953)&amp;REPT(" ",10),10)," ")</f>
        <v/>
      </c>
      <c r="Y1953" s="10">
        <f>IF(A1953="C",LEFT(UPPER(D1953)&amp;REPT(" ",2),2)," ")</f>
        <v/>
      </c>
      <c r="Z1953" s="10">
        <f>IF(A1953="C",LEFT(UPPER(E1953)&amp;REPT(" ",15),15)," ")</f>
        <v/>
      </c>
      <c r="AA1953" s="10">
        <f>REPT(" ",8)</f>
        <v/>
      </c>
      <c r="AB1953" s="10">
        <f>REPT(" ",4)</f>
        <v/>
      </c>
      <c r="AC1953" s="10">
        <f>LEFT(UPPER(H1953)&amp;REPT(" ",250),250)</f>
        <v/>
      </c>
      <c r="AD1953" s="10">
        <f>TEXT($G$2,"dd/mm/aaaa")</f>
        <v/>
      </c>
      <c r="AE1953" s="10">
        <f>REPT(" ",10)</f>
        <v/>
      </c>
      <c r="AF1953" s="10">
        <f>REPT(" ",20)</f>
        <v/>
      </c>
      <c r="AG1953" s="54">
        <f>REPT(" ",18-LEN(FIXED(F1953,2,TRUE)))&amp;FIXED(F1953,2,TRUE)</f>
        <v/>
      </c>
      <c r="AH1953" s="10">
        <f>LEN(AC1953)+LEN(AG1953)</f>
        <v/>
      </c>
      <c r="AI1953" s="10">
        <f>LEN(L1953)</f>
        <v/>
      </c>
    </row>
    <row r="1954">
      <c r="J1954" s="12">
        <f>IF(F1954&lt;&gt;0,"LANÇAR","")</f>
        <v/>
      </c>
      <c r="L1954" s="13">
        <f>N1954&amp;O1954&amp;P1954&amp;Q1954&amp;R1954&amp;S1954&amp;T1954&amp;U1954&amp;V1954&amp;W1954&amp;X1954&amp;Y1954&amp;Z1954&amp;AA1954&amp;AB1954&amp;AC1954&amp;AD1954&amp;AE1954&amp;AF1954&amp;AG1954</f>
        <v/>
      </c>
      <c r="N1954" s="10">
        <f>TEXT($B$6,"00")</f>
        <v/>
      </c>
      <c r="O1954" s="10">
        <f>REPT(" ",8)</f>
        <v/>
      </c>
      <c r="P1954" s="10">
        <f>RIGHT($B$4,2)</f>
        <v/>
      </c>
      <c r="Q1954" s="10">
        <f>RIGHT($B$5,3)</f>
        <v/>
      </c>
      <c r="R1954" s="10">
        <f>IF(A1954="D",LEFT(UPPER(B1954)&amp;REPT(" ",20),20),REPT(" ",20))</f>
        <v/>
      </c>
      <c r="S1954" s="10">
        <f>IF(A1954="D",LEFT(UPPER(C1954)&amp;REPT(" ",10),10)," ")</f>
        <v/>
      </c>
      <c r="T1954" s="10">
        <f>IF(A1954="D",LEFT(UPPER(D1954)&amp;REPT(" ",2),2)," ")</f>
        <v/>
      </c>
      <c r="U1954" s="10">
        <f>IF(A1954="D",LEFT(UPPER(E1954)&amp;REPT(" ",15),15)," ")</f>
        <v/>
      </c>
      <c r="V1954" s="10">
        <f>REPT(" ",24)</f>
        <v/>
      </c>
      <c r="W1954" s="10">
        <f>IF(A1954="c",LEFT(UPPER(B1954)&amp;REPT(" ",20),20),REPT(" ",20))</f>
        <v/>
      </c>
      <c r="X1954" s="10">
        <f>IF(A1954="C",LEFT(UPPER(C1954)&amp;REPT(" ",10),10)," ")</f>
        <v/>
      </c>
      <c r="Y1954" s="10">
        <f>IF(A1954="C",LEFT(UPPER(D1954)&amp;REPT(" ",2),2)," ")</f>
        <v/>
      </c>
      <c r="Z1954" s="10">
        <f>IF(A1954="C",LEFT(UPPER(E1954)&amp;REPT(" ",15),15)," ")</f>
        <v/>
      </c>
      <c r="AA1954" s="10">
        <f>REPT(" ",8)</f>
        <v/>
      </c>
      <c r="AB1954" s="10">
        <f>REPT(" ",4)</f>
        <v/>
      </c>
      <c r="AC1954" s="10">
        <f>LEFT(UPPER(H1954)&amp;REPT(" ",250),250)</f>
        <v/>
      </c>
      <c r="AD1954" s="10">
        <f>TEXT($G$2,"dd/mm/aaaa")</f>
        <v/>
      </c>
      <c r="AE1954" s="10">
        <f>REPT(" ",10)</f>
        <v/>
      </c>
      <c r="AF1954" s="10">
        <f>REPT(" ",20)</f>
        <v/>
      </c>
      <c r="AG1954" s="54">
        <f>REPT(" ",18-LEN(FIXED(F1954,2,TRUE)))&amp;FIXED(F1954,2,TRUE)</f>
        <v/>
      </c>
      <c r="AH1954" s="10">
        <f>LEN(AC1954)+LEN(AG1954)</f>
        <v/>
      </c>
      <c r="AI1954" s="10">
        <f>LEN(L1954)</f>
        <v/>
      </c>
    </row>
    <row r="1955">
      <c r="J1955" s="12">
        <f>IF(F1955&lt;&gt;0,"LANÇAR","")</f>
        <v/>
      </c>
      <c r="L1955" s="13">
        <f>N1955&amp;O1955&amp;P1955&amp;Q1955&amp;R1955&amp;S1955&amp;T1955&amp;U1955&amp;V1955&amp;W1955&amp;X1955&amp;Y1955&amp;Z1955&amp;AA1955&amp;AB1955&amp;AC1955&amp;AD1955&amp;AE1955&amp;AF1955&amp;AG1955</f>
        <v/>
      </c>
      <c r="N1955" s="10">
        <f>TEXT($B$6,"00")</f>
        <v/>
      </c>
      <c r="O1955" s="10">
        <f>REPT(" ",8)</f>
        <v/>
      </c>
      <c r="P1955" s="10">
        <f>RIGHT($B$4,2)</f>
        <v/>
      </c>
      <c r="Q1955" s="10">
        <f>RIGHT($B$5,3)</f>
        <v/>
      </c>
      <c r="R1955" s="10">
        <f>IF(A1955="D",LEFT(UPPER(B1955)&amp;REPT(" ",20),20),REPT(" ",20))</f>
        <v/>
      </c>
      <c r="S1955" s="10">
        <f>IF(A1955="D",LEFT(UPPER(C1955)&amp;REPT(" ",10),10)," ")</f>
        <v/>
      </c>
      <c r="T1955" s="10">
        <f>IF(A1955="D",LEFT(UPPER(D1955)&amp;REPT(" ",2),2)," ")</f>
        <v/>
      </c>
      <c r="U1955" s="10">
        <f>IF(A1955="D",LEFT(UPPER(E1955)&amp;REPT(" ",15),15)," ")</f>
        <v/>
      </c>
      <c r="V1955" s="10">
        <f>REPT(" ",24)</f>
        <v/>
      </c>
      <c r="W1955" s="10">
        <f>IF(A1955="c",LEFT(UPPER(B1955)&amp;REPT(" ",20),20),REPT(" ",20))</f>
        <v/>
      </c>
      <c r="X1955" s="10">
        <f>IF(A1955="C",LEFT(UPPER(C1955)&amp;REPT(" ",10),10)," ")</f>
        <v/>
      </c>
      <c r="Y1955" s="10">
        <f>IF(A1955="C",LEFT(UPPER(D1955)&amp;REPT(" ",2),2)," ")</f>
        <v/>
      </c>
      <c r="Z1955" s="10">
        <f>IF(A1955="C",LEFT(UPPER(E1955)&amp;REPT(" ",15),15)," ")</f>
        <v/>
      </c>
      <c r="AA1955" s="10">
        <f>REPT(" ",8)</f>
        <v/>
      </c>
      <c r="AB1955" s="10">
        <f>REPT(" ",4)</f>
        <v/>
      </c>
      <c r="AC1955" s="10">
        <f>LEFT(UPPER(H1955)&amp;REPT(" ",250),250)</f>
        <v/>
      </c>
      <c r="AD1955" s="10">
        <f>TEXT($G$2,"dd/mm/aaaa")</f>
        <v/>
      </c>
      <c r="AE1955" s="10">
        <f>REPT(" ",10)</f>
        <v/>
      </c>
      <c r="AF1955" s="10">
        <f>REPT(" ",20)</f>
        <v/>
      </c>
      <c r="AG1955" s="54">
        <f>REPT(" ",18-LEN(FIXED(F1955,2,TRUE)))&amp;FIXED(F1955,2,TRUE)</f>
        <v/>
      </c>
      <c r="AH1955" s="10">
        <f>LEN(AC1955)+LEN(AG1955)</f>
        <v/>
      </c>
      <c r="AI1955" s="10">
        <f>LEN(L1955)</f>
        <v/>
      </c>
    </row>
    <row r="1956">
      <c r="J1956" s="12">
        <f>IF(F1956&lt;&gt;0,"LANÇAR","")</f>
        <v/>
      </c>
      <c r="L1956" s="13">
        <f>N1956&amp;O1956&amp;P1956&amp;Q1956&amp;R1956&amp;S1956&amp;T1956&amp;U1956&amp;V1956&amp;W1956&amp;X1956&amp;Y1956&amp;Z1956&amp;AA1956&amp;AB1956&amp;AC1956&amp;AD1956&amp;AE1956&amp;AF1956&amp;AG1956</f>
        <v/>
      </c>
      <c r="N1956" s="10">
        <f>TEXT($B$6,"00")</f>
        <v/>
      </c>
      <c r="O1956" s="10">
        <f>REPT(" ",8)</f>
        <v/>
      </c>
      <c r="P1956" s="10">
        <f>RIGHT($B$4,2)</f>
        <v/>
      </c>
      <c r="Q1956" s="10">
        <f>RIGHT($B$5,3)</f>
        <v/>
      </c>
      <c r="R1956" s="10">
        <f>IF(A1956="D",LEFT(UPPER(B1956)&amp;REPT(" ",20),20),REPT(" ",20))</f>
        <v/>
      </c>
      <c r="S1956" s="10">
        <f>IF(A1956="D",LEFT(UPPER(C1956)&amp;REPT(" ",10),10)," ")</f>
        <v/>
      </c>
      <c r="T1956" s="10">
        <f>IF(A1956="D",LEFT(UPPER(D1956)&amp;REPT(" ",2),2)," ")</f>
        <v/>
      </c>
      <c r="U1956" s="10">
        <f>IF(A1956="D",LEFT(UPPER(E1956)&amp;REPT(" ",15),15)," ")</f>
        <v/>
      </c>
      <c r="V1956" s="10">
        <f>REPT(" ",24)</f>
        <v/>
      </c>
      <c r="W1956" s="10">
        <f>IF(A1956="c",LEFT(UPPER(B1956)&amp;REPT(" ",20),20),REPT(" ",20))</f>
        <v/>
      </c>
      <c r="X1956" s="10">
        <f>IF(A1956="C",LEFT(UPPER(C1956)&amp;REPT(" ",10),10)," ")</f>
        <v/>
      </c>
      <c r="Y1956" s="10">
        <f>IF(A1956="C",LEFT(UPPER(D1956)&amp;REPT(" ",2),2)," ")</f>
        <v/>
      </c>
      <c r="Z1956" s="10">
        <f>IF(A1956="C",LEFT(UPPER(E1956)&amp;REPT(" ",15),15)," ")</f>
        <v/>
      </c>
      <c r="AA1956" s="10">
        <f>REPT(" ",8)</f>
        <v/>
      </c>
      <c r="AB1956" s="10">
        <f>REPT(" ",4)</f>
        <v/>
      </c>
      <c r="AC1956" s="10">
        <f>LEFT(UPPER(H1956)&amp;REPT(" ",250),250)</f>
        <v/>
      </c>
      <c r="AD1956" s="10">
        <f>TEXT($G$2,"dd/mm/aaaa")</f>
        <v/>
      </c>
      <c r="AE1956" s="10">
        <f>REPT(" ",10)</f>
        <v/>
      </c>
      <c r="AF1956" s="10">
        <f>REPT(" ",20)</f>
        <v/>
      </c>
      <c r="AG1956" s="54">
        <f>REPT(" ",18-LEN(FIXED(F1956,2,TRUE)))&amp;FIXED(F1956,2,TRUE)</f>
        <v/>
      </c>
      <c r="AH1956" s="10">
        <f>LEN(AC1956)+LEN(AG1956)</f>
        <v/>
      </c>
      <c r="AI1956" s="10">
        <f>LEN(L1956)</f>
        <v/>
      </c>
    </row>
    <row r="1957">
      <c r="J1957" s="12">
        <f>IF(F1957&lt;&gt;0,"LANÇAR","")</f>
        <v/>
      </c>
      <c r="L1957" s="13">
        <f>N1957&amp;O1957&amp;P1957&amp;Q1957&amp;R1957&amp;S1957&amp;T1957&amp;U1957&amp;V1957&amp;W1957&amp;X1957&amp;Y1957&amp;Z1957&amp;AA1957&amp;AB1957&amp;AC1957&amp;AD1957&amp;AE1957&amp;AF1957&amp;AG1957</f>
        <v/>
      </c>
      <c r="N1957" s="10">
        <f>TEXT($B$6,"00")</f>
        <v/>
      </c>
      <c r="O1957" s="10">
        <f>REPT(" ",8)</f>
        <v/>
      </c>
      <c r="P1957" s="10">
        <f>RIGHT($B$4,2)</f>
        <v/>
      </c>
      <c r="Q1957" s="10">
        <f>RIGHT($B$5,3)</f>
        <v/>
      </c>
      <c r="R1957" s="10">
        <f>IF(A1957="D",LEFT(UPPER(B1957)&amp;REPT(" ",20),20),REPT(" ",20))</f>
        <v/>
      </c>
      <c r="S1957" s="10">
        <f>IF(A1957="D",LEFT(UPPER(C1957)&amp;REPT(" ",10),10)," ")</f>
        <v/>
      </c>
      <c r="T1957" s="10">
        <f>IF(A1957="D",LEFT(UPPER(D1957)&amp;REPT(" ",2),2)," ")</f>
        <v/>
      </c>
      <c r="U1957" s="10">
        <f>IF(A1957="D",LEFT(UPPER(E1957)&amp;REPT(" ",15),15)," ")</f>
        <v/>
      </c>
      <c r="V1957" s="10">
        <f>REPT(" ",24)</f>
        <v/>
      </c>
      <c r="W1957" s="10">
        <f>IF(A1957="c",LEFT(UPPER(B1957)&amp;REPT(" ",20),20),REPT(" ",20))</f>
        <v/>
      </c>
      <c r="X1957" s="10">
        <f>IF(A1957="C",LEFT(UPPER(C1957)&amp;REPT(" ",10),10)," ")</f>
        <v/>
      </c>
      <c r="Y1957" s="10">
        <f>IF(A1957="C",LEFT(UPPER(D1957)&amp;REPT(" ",2),2)," ")</f>
        <v/>
      </c>
      <c r="Z1957" s="10">
        <f>IF(A1957="C",LEFT(UPPER(E1957)&amp;REPT(" ",15),15)," ")</f>
        <v/>
      </c>
      <c r="AA1957" s="10">
        <f>REPT(" ",8)</f>
        <v/>
      </c>
      <c r="AB1957" s="10">
        <f>REPT(" ",4)</f>
        <v/>
      </c>
      <c r="AC1957" s="10">
        <f>LEFT(UPPER(H1957)&amp;REPT(" ",250),250)</f>
        <v/>
      </c>
      <c r="AD1957" s="10">
        <f>TEXT($G$2,"dd/mm/aaaa")</f>
        <v/>
      </c>
      <c r="AE1957" s="10">
        <f>REPT(" ",10)</f>
        <v/>
      </c>
      <c r="AF1957" s="10">
        <f>REPT(" ",20)</f>
        <v/>
      </c>
      <c r="AG1957" s="54">
        <f>REPT(" ",18-LEN(FIXED(F1957,2,TRUE)))&amp;FIXED(F1957,2,TRUE)</f>
        <v/>
      </c>
      <c r="AH1957" s="10">
        <f>LEN(AC1957)+LEN(AG1957)</f>
        <v/>
      </c>
      <c r="AI1957" s="10">
        <f>LEN(L1957)</f>
        <v/>
      </c>
    </row>
    <row r="1958">
      <c r="J1958" s="12">
        <f>IF(F1958&lt;&gt;0,"LANÇAR","")</f>
        <v/>
      </c>
      <c r="L1958" s="13">
        <f>N1958&amp;O1958&amp;P1958&amp;Q1958&amp;R1958&amp;S1958&amp;T1958&amp;U1958&amp;V1958&amp;W1958&amp;X1958&amp;Y1958&amp;Z1958&amp;AA1958&amp;AB1958&amp;AC1958&amp;AD1958&amp;AE1958&amp;AF1958&amp;AG1958</f>
        <v/>
      </c>
      <c r="N1958" s="10">
        <f>TEXT($B$6,"00")</f>
        <v/>
      </c>
      <c r="O1958" s="10">
        <f>REPT(" ",8)</f>
        <v/>
      </c>
      <c r="P1958" s="10">
        <f>RIGHT($B$4,2)</f>
        <v/>
      </c>
      <c r="Q1958" s="10">
        <f>RIGHT($B$5,3)</f>
        <v/>
      </c>
      <c r="R1958" s="10">
        <f>IF(A1958="D",LEFT(UPPER(B1958)&amp;REPT(" ",20),20),REPT(" ",20))</f>
        <v/>
      </c>
      <c r="S1958" s="10">
        <f>IF(A1958="D",LEFT(UPPER(C1958)&amp;REPT(" ",10),10)," ")</f>
        <v/>
      </c>
      <c r="T1958" s="10">
        <f>IF(A1958="D",LEFT(UPPER(D1958)&amp;REPT(" ",2),2)," ")</f>
        <v/>
      </c>
      <c r="U1958" s="10">
        <f>IF(A1958="D",LEFT(UPPER(E1958)&amp;REPT(" ",15),15)," ")</f>
        <v/>
      </c>
      <c r="V1958" s="10">
        <f>REPT(" ",24)</f>
        <v/>
      </c>
      <c r="W1958" s="10">
        <f>IF(A1958="c",LEFT(UPPER(B1958)&amp;REPT(" ",20),20),REPT(" ",20))</f>
        <v/>
      </c>
      <c r="X1958" s="10">
        <f>IF(A1958="C",LEFT(UPPER(C1958)&amp;REPT(" ",10),10)," ")</f>
        <v/>
      </c>
      <c r="Y1958" s="10">
        <f>IF(A1958="C",LEFT(UPPER(D1958)&amp;REPT(" ",2),2)," ")</f>
        <v/>
      </c>
      <c r="Z1958" s="10">
        <f>IF(A1958="C",LEFT(UPPER(E1958)&amp;REPT(" ",15),15)," ")</f>
        <v/>
      </c>
      <c r="AA1958" s="10">
        <f>REPT(" ",8)</f>
        <v/>
      </c>
      <c r="AB1958" s="10">
        <f>REPT(" ",4)</f>
        <v/>
      </c>
      <c r="AC1958" s="10">
        <f>LEFT(UPPER(H1958)&amp;REPT(" ",250),250)</f>
        <v/>
      </c>
      <c r="AD1958" s="10">
        <f>TEXT($G$2,"dd/mm/aaaa")</f>
        <v/>
      </c>
      <c r="AE1958" s="10">
        <f>REPT(" ",10)</f>
        <v/>
      </c>
      <c r="AF1958" s="10">
        <f>REPT(" ",20)</f>
        <v/>
      </c>
      <c r="AG1958" s="54">
        <f>REPT(" ",18-LEN(FIXED(F1958,2,TRUE)))&amp;FIXED(F1958,2,TRUE)</f>
        <v/>
      </c>
      <c r="AH1958" s="10">
        <f>LEN(AC1958)+LEN(AG1958)</f>
        <v/>
      </c>
      <c r="AI1958" s="10">
        <f>LEN(L1958)</f>
        <v/>
      </c>
    </row>
    <row r="1959">
      <c r="J1959" s="12">
        <f>IF(F1959&lt;&gt;0,"LANÇAR","")</f>
        <v/>
      </c>
      <c r="L1959" s="13">
        <f>N1959&amp;O1959&amp;P1959&amp;Q1959&amp;R1959&amp;S1959&amp;T1959&amp;U1959&amp;V1959&amp;W1959&amp;X1959&amp;Y1959&amp;Z1959&amp;AA1959&amp;AB1959&amp;AC1959&amp;AD1959&amp;AE1959&amp;AF1959&amp;AG1959</f>
        <v/>
      </c>
      <c r="N1959" s="10">
        <f>TEXT($B$6,"00")</f>
        <v/>
      </c>
      <c r="O1959" s="10">
        <f>REPT(" ",8)</f>
        <v/>
      </c>
      <c r="P1959" s="10">
        <f>RIGHT($B$4,2)</f>
        <v/>
      </c>
      <c r="Q1959" s="10">
        <f>RIGHT($B$5,3)</f>
        <v/>
      </c>
      <c r="R1959" s="10">
        <f>IF(A1959="D",LEFT(UPPER(B1959)&amp;REPT(" ",20),20),REPT(" ",20))</f>
        <v/>
      </c>
      <c r="S1959" s="10">
        <f>IF(A1959="D",LEFT(UPPER(C1959)&amp;REPT(" ",10),10)," ")</f>
        <v/>
      </c>
      <c r="T1959" s="10">
        <f>IF(A1959="D",LEFT(UPPER(D1959)&amp;REPT(" ",2),2)," ")</f>
        <v/>
      </c>
      <c r="U1959" s="10">
        <f>IF(A1959="D",LEFT(UPPER(E1959)&amp;REPT(" ",15),15)," ")</f>
        <v/>
      </c>
      <c r="V1959" s="10">
        <f>REPT(" ",24)</f>
        <v/>
      </c>
      <c r="W1959" s="10">
        <f>IF(A1959="c",LEFT(UPPER(B1959)&amp;REPT(" ",20),20),REPT(" ",20))</f>
        <v/>
      </c>
      <c r="X1959" s="10">
        <f>IF(A1959="C",LEFT(UPPER(C1959)&amp;REPT(" ",10),10)," ")</f>
        <v/>
      </c>
      <c r="Y1959" s="10">
        <f>IF(A1959="C",LEFT(UPPER(D1959)&amp;REPT(" ",2),2)," ")</f>
        <v/>
      </c>
      <c r="Z1959" s="10">
        <f>IF(A1959="C",LEFT(UPPER(E1959)&amp;REPT(" ",15),15)," ")</f>
        <v/>
      </c>
      <c r="AA1959" s="10">
        <f>REPT(" ",8)</f>
        <v/>
      </c>
      <c r="AB1959" s="10">
        <f>REPT(" ",4)</f>
        <v/>
      </c>
      <c r="AC1959" s="10">
        <f>LEFT(UPPER(H1959)&amp;REPT(" ",250),250)</f>
        <v/>
      </c>
      <c r="AD1959" s="10">
        <f>TEXT($G$2,"dd/mm/aaaa")</f>
        <v/>
      </c>
      <c r="AE1959" s="10">
        <f>REPT(" ",10)</f>
        <v/>
      </c>
      <c r="AF1959" s="10">
        <f>REPT(" ",20)</f>
        <v/>
      </c>
      <c r="AG1959" s="54">
        <f>REPT(" ",18-LEN(FIXED(F1959,2,TRUE)))&amp;FIXED(F1959,2,TRUE)</f>
        <v/>
      </c>
      <c r="AH1959" s="10">
        <f>LEN(AC1959)+LEN(AG1959)</f>
        <v/>
      </c>
      <c r="AI1959" s="10">
        <f>LEN(L1959)</f>
        <v/>
      </c>
    </row>
    <row r="1960">
      <c r="J1960" s="12">
        <f>IF(F1960&lt;&gt;0,"LANÇAR","")</f>
        <v/>
      </c>
      <c r="L1960" s="13">
        <f>N1960&amp;O1960&amp;P1960&amp;Q1960&amp;R1960&amp;S1960&amp;T1960&amp;U1960&amp;V1960&amp;W1960&amp;X1960&amp;Y1960&amp;Z1960&amp;AA1960&amp;AB1960&amp;AC1960&amp;AD1960&amp;AE1960&amp;AF1960&amp;AG1960</f>
        <v/>
      </c>
      <c r="N1960" s="10">
        <f>TEXT($B$6,"00")</f>
        <v/>
      </c>
      <c r="O1960" s="10">
        <f>REPT(" ",8)</f>
        <v/>
      </c>
      <c r="P1960" s="10">
        <f>RIGHT($B$4,2)</f>
        <v/>
      </c>
      <c r="Q1960" s="10">
        <f>RIGHT($B$5,3)</f>
        <v/>
      </c>
      <c r="R1960" s="10">
        <f>IF(A1960="D",LEFT(UPPER(B1960)&amp;REPT(" ",20),20),REPT(" ",20))</f>
        <v/>
      </c>
      <c r="S1960" s="10">
        <f>IF(A1960="D",LEFT(UPPER(C1960)&amp;REPT(" ",10),10)," ")</f>
        <v/>
      </c>
      <c r="T1960" s="10">
        <f>IF(A1960="D",LEFT(UPPER(D1960)&amp;REPT(" ",2),2)," ")</f>
        <v/>
      </c>
      <c r="U1960" s="10">
        <f>IF(A1960="D",LEFT(UPPER(E1960)&amp;REPT(" ",15),15)," ")</f>
        <v/>
      </c>
      <c r="V1960" s="10">
        <f>REPT(" ",24)</f>
        <v/>
      </c>
      <c r="W1960" s="10">
        <f>IF(A1960="c",LEFT(UPPER(B1960)&amp;REPT(" ",20),20),REPT(" ",20))</f>
        <v/>
      </c>
      <c r="X1960" s="10">
        <f>IF(A1960="C",LEFT(UPPER(C1960)&amp;REPT(" ",10),10)," ")</f>
        <v/>
      </c>
      <c r="Y1960" s="10">
        <f>IF(A1960="C",LEFT(UPPER(D1960)&amp;REPT(" ",2),2)," ")</f>
        <v/>
      </c>
      <c r="Z1960" s="10">
        <f>IF(A1960="C",LEFT(UPPER(E1960)&amp;REPT(" ",15),15)," ")</f>
        <v/>
      </c>
      <c r="AA1960" s="10">
        <f>REPT(" ",8)</f>
        <v/>
      </c>
      <c r="AB1960" s="10">
        <f>REPT(" ",4)</f>
        <v/>
      </c>
      <c r="AC1960" s="10">
        <f>LEFT(UPPER(H1960)&amp;REPT(" ",250),250)</f>
        <v/>
      </c>
      <c r="AD1960" s="10">
        <f>TEXT($G$2,"dd/mm/aaaa")</f>
        <v/>
      </c>
      <c r="AE1960" s="10">
        <f>REPT(" ",10)</f>
        <v/>
      </c>
      <c r="AF1960" s="10">
        <f>REPT(" ",20)</f>
        <v/>
      </c>
      <c r="AG1960" s="54">
        <f>REPT(" ",18-LEN(FIXED(F1960,2,TRUE)))&amp;FIXED(F1960,2,TRUE)</f>
        <v/>
      </c>
      <c r="AH1960" s="10">
        <f>LEN(AC1960)+LEN(AG1960)</f>
        <v/>
      </c>
      <c r="AI1960" s="10">
        <f>LEN(L1960)</f>
        <v/>
      </c>
    </row>
    <row r="1961">
      <c r="J1961" s="12">
        <f>IF(F1961&lt;&gt;0,"LANÇAR","")</f>
        <v/>
      </c>
      <c r="L1961" s="13">
        <f>N1961&amp;O1961&amp;P1961&amp;Q1961&amp;R1961&amp;S1961&amp;T1961&amp;U1961&amp;V1961&amp;W1961&amp;X1961&amp;Y1961&amp;Z1961&amp;AA1961&amp;AB1961&amp;AC1961&amp;AD1961&amp;AE1961&amp;AF1961&amp;AG1961</f>
        <v/>
      </c>
      <c r="N1961" s="10">
        <f>TEXT($B$6,"00")</f>
        <v/>
      </c>
      <c r="O1961" s="10">
        <f>REPT(" ",8)</f>
        <v/>
      </c>
      <c r="P1961" s="10">
        <f>RIGHT($B$4,2)</f>
        <v/>
      </c>
      <c r="Q1961" s="10">
        <f>RIGHT($B$5,3)</f>
        <v/>
      </c>
      <c r="R1961" s="10">
        <f>IF(A1961="D",LEFT(UPPER(B1961)&amp;REPT(" ",20),20),REPT(" ",20))</f>
        <v/>
      </c>
      <c r="S1961" s="10">
        <f>IF(A1961="D",LEFT(UPPER(C1961)&amp;REPT(" ",10),10)," ")</f>
        <v/>
      </c>
      <c r="T1961" s="10">
        <f>IF(A1961="D",LEFT(UPPER(D1961)&amp;REPT(" ",2),2)," ")</f>
        <v/>
      </c>
      <c r="U1961" s="10">
        <f>IF(A1961="D",LEFT(UPPER(E1961)&amp;REPT(" ",15),15)," ")</f>
        <v/>
      </c>
      <c r="V1961" s="10">
        <f>REPT(" ",24)</f>
        <v/>
      </c>
      <c r="W1961" s="10">
        <f>IF(A1961="c",LEFT(UPPER(B1961)&amp;REPT(" ",20),20),REPT(" ",20))</f>
        <v/>
      </c>
      <c r="X1961" s="10">
        <f>IF(A1961="C",LEFT(UPPER(C1961)&amp;REPT(" ",10),10)," ")</f>
        <v/>
      </c>
      <c r="Y1961" s="10">
        <f>IF(A1961="C",LEFT(UPPER(D1961)&amp;REPT(" ",2),2)," ")</f>
        <v/>
      </c>
      <c r="Z1961" s="10">
        <f>IF(A1961="C",LEFT(UPPER(E1961)&amp;REPT(" ",15),15)," ")</f>
        <v/>
      </c>
      <c r="AA1961" s="10">
        <f>REPT(" ",8)</f>
        <v/>
      </c>
      <c r="AB1961" s="10">
        <f>REPT(" ",4)</f>
        <v/>
      </c>
      <c r="AC1961" s="10">
        <f>LEFT(UPPER(H1961)&amp;REPT(" ",250),250)</f>
        <v/>
      </c>
      <c r="AD1961" s="10">
        <f>TEXT($G$2,"dd/mm/aaaa")</f>
        <v/>
      </c>
      <c r="AE1961" s="10">
        <f>REPT(" ",10)</f>
        <v/>
      </c>
      <c r="AF1961" s="10">
        <f>REPT(" ",20)</f>
        <v/>
      </c>
      <c r="AG1961" s="54">
        <f>REPT(" ",18-LEN(FIXED(F1961,2,TRUE)))&amp;FIXED(F1961,2,TRUE)</f>
        <v/>
      </c>
      <c r="AH1961" s="10">
        <f>LEN(AC1961)+LEN(AG1961)</f>
        <v/>
      </c>
      <c r="AI1961" s="10">
        <f>LEN(L1961)</f>
        <v/>
      </c>
    </row>
    <row r="1962">
      <c r="J1962" s="12">
        <f>IF(F1962&lt;&gt;0,"LANÇAR","")</f>
        <v/>
      </c>
      <c r="L1962" s="13">
        <f>N1962&amp;O1962&amp;P1962&amp;Q1962&amp;R1962&amp;S1962&amp;T1962&amp;U1962&amp;V1962&amp;W1962&amp;X1962&amp;Y1962&amp;Z1962&amp;AA1962&amp;AB1962&amp;AC1962&amp;AD1962&amp;AE1962&amp;AF1962&amp;AG1962</f>
        <v/>
      </c>
      <c r="N1962" s="10">
        <f>TEXT($B$6,"00")</f>
        <v/>
      </c>
      <c r="O1962" s="10">
        <f>REPT(" ",8)</f>
        <v/>
      </c>
      <c r="P1962" s="10">
        <f>RIGHT($B$4,2)</f>
        <v/>
      </c>
      <c r="Q1962" s="10">
        <f>RIGHT($B$5,3)</f>
        <v/>
      </c>
      <c r="R1962" s="10">
        <f>IF(A1962="D",LEFT(UPPER(B1962)&amp;REPT(" ",20),20),REPT(" ",20))</f>
        <v/>
      </c>
      <c r="S1962" s="10">
        <f>IF(A1962="D",LEFT(UPPER(C1962)&amp;REPT(" ",10),10)," ")</f>
        <v/>
      </c>
      <c r="T1962" s="10">
        <f>IF(A1962="D",LEFT(UPPER(D1962)&amp;REPT(" ",2),2)," ")</f>
        <v/>
      </c>
      <c r="U1962" s="10">
        <f>IF(A1962="D",LEFT(UPPER(E1962)&amp;REPT(" ",15),15)," ")</f>
        <v/>
      </c>
      <c r="V1962" s="10">
        <f>REPT(" ",24)</f>
        <v/>
      </c>
      <c r="W1962" s="10">
        <f>IF(A1962="c",LEFT(UPPER(B1962)&amp;REPT(" ",20),20),REPT(" ",20))</f>
        <v/>
      </c>
      <c r="X1962" s="10">
        <f>IF(A1962="C",LEFT(UPPER(C1962)&amp;REPT(" ",10),10)," ")</f>
        <v/>
      </c>
      <c r="Y1962" s="10">
        <f>IF(A1962="C",LEFT(UPPER(D1962)&amp;REPT(" ",2),2)," ")</f>
        <v/>
      </c>
      <c r="Z1962" s="10">
        <f>IF(A1962="C",LEFT(UPPER(E1962)&amp;REPT(" ",15),15)," ")</f>
        <v/>
      </c>
      <c r="AA1962" s="10">
        <f>REPT(" ",8)</f>
        <v/>
      </c>
      <c r="AB1962" s="10">
        <f>REPT(" ",4)</f>
        <v/>
      </c>
      <c r="AC1962" s="10">
        <f>LEFT(UPPER(H1962)&amp;REPT(" ",250),250)</f>
        <v/>
      </c>
      <c r="AD1962" s="10">
        <f>TEXT($G$2,"dd/mm/aaaa")</f>
        <v/>
      </c>
      <c r="AE1962" s="10">
        <f>REPT(" ",10)</f>
        <v/>
      </c>
      <c r="AF1962" s="10">
        <f>REPT(" ",20)</f>
        <v/>
      </c>
      <c r="AG1962" s="54">
        <f>REPT(" ",18-LEN(FIXED(F1962,2,TRUE)))&amp;FIXED(F1962,2,TRUE)</f>
        <v/>
      </c>
      <c r="AH1962" s="10">
        <f>LEN(AC1962)+LEN(AG1962)</f>
        <v/>
      </c>
      <c r="AI1962" s="10">
        <f>LEN(L1962)</f>
        <v/>
      </c>
    </row>
    <row r="1963">
      <c r="J1963" s="12">
        <f>IF(F1963&lt;&gt;0,"LANÇAR","")</f>
        <v/>
      </c>
      <c r="L1963" s="13">
        <f>N1963&amp;O1963&amp;P1963&amp;Q1963&amp;R1963&amp;S1963&amp;T1963&amp;U1963&amp;V1963&amp;W1963&amp;X1963&amp;Y1963&amp;Z1963&amp;AA1963&amp;AB1963&amp;AC1963&amp;AD1963&amp;AE1963&amp;AF1963&amp;AG1963</f>
        <v/>
      </c>
      <c r="N1963" s="10">
        <f>TEXT($B$6,"00")</f>
        <v/>
      </c>
      <c r="O1963" s="10">
        <f>REPT(" ",8)</f>
        <v/>
      </c>
      <c r="P1963" s="10">
        <f>RIGHT($B$4,2)</f>
        <v/>
      </c>
      <c r="Q1963" s="10">
        <f>RIGHT($B$5,3)</f>
        <v/>
      </c>
      <c r="R1963" s="10">
        <f>IF(A1963="D",LEFT(UPPER(B1963)&amp;REPT(" ",20),20),REPT(" ",20))</f>
        <v/>
      </c>
      <c r="S1963" s="10">
        <f>IF(A1963="D",LEFT(UPPER(C1963)&amp;REPT(" ",10),10)," ")</f>
        <v/>
      </c>
      <c r="T1963" s="10">
        <f>IF(A1963="D",LEFT(UPPER(D1963)&amp;REPT(" ",2),2)," ")</f>
        <v/>
      </c>
      <c r="U1963" s="10">
        <f>IF(A1963="D",LEFT(UPPER(E1963)&amp;REPT(" ",15),15)," ")</f>
        <v/>
      </c>
      <c r="V1963" s="10">
        <f>REPT(" ",24)</f>
        <v/>
      </c>
      <c r="W1963" s="10">
        <f>IF(A1963="c",LEFT(UPPER(B1963)&amp;REPT(" ",20),20),REPT(" ",20))</f>
        <v/>
      </c>
      <c r="X1963" s="10">
        <f>IF(A1963="C",LEFT(UPPER(C1963)&amp;REPT(" ",10),10)," ")</f>
        <v/>
      </c>
      <c r="Y1963" s="10">
        <f>IF(A1963="C",LEFT(UPPER(D1963)&amp;REPT(" ",2),2)," ")</f>
        <v/>
      </c>
      <c r="Z1963" s="10">
        <f>IF(A1963="C",LEFT(UPPER(E1963)&amp;REPT(" ",15),15)," ")</f>
        <v/>
      </c>
      <c r="AA1963" s="10">
        <f>REPT(" ",8)</f>
        <v/>
      </c>
      <c r="AB1963" s="10">
        <f>REPT(" ",4)</f>
        <v/>
      </c>
      <c r="AC1963" s="10">
        <f>LEFT(UPPER(H1963)&amp;REPT(" ",250),250)</f>
        <v/>
      </c>
      <c r="AD1963" s="10">
        <f>TEXT($G$2,"dd/mm/aaaa")</f>
        <v/>
      </c>
      <c r="AE1963" s="10">
        <f>REPT(" ",10)</f>
        <v/>
      </c>
      <c r="AF1963" s="10">
        <f>REPT(" ",20)</f>
        <v/>
      </c>
      <c r="AG1963" s="54">
        <f>REPT(" ",18-LEN(FIXED(F1963,2,TRUE)))&amp;FIXED(F1963,2,TRUE)</f>
        <v/>
      </c>
      <c r="AH1963" s="10">
        <f>LEN(AC1963)+LEN(AG1963)</f>
        <v/>
      </c>
      <c r="AI1963" s="10">
        <f>LEN(L1963)</f>
        <v/>
      </c>
    </row>
    <row r="1964">
      <c r="J1964" s="12">
        <f>IF(F1964&lt;&gt;0,"LANÇAR","")</f>
        <v/>
      </c>
      <c r="L1964" s="13">
        <f>N1964&amp;O1964&amp;P1964&amp;Q1964&amp;R1964&amp;S1964&amp;T1964&amp;U1964&amp;V1964&amp;W1964&amp;X1964&amp;Y1964&amp;Z1964&amp;AA1964&amp;AB1964&amp;AC1964&amp;AD1964&amp;AE1964&amp;AF1964&amp;AG1964</f>
        <v/>
      </c>
      <c r="N1964" s="10">
        <f>TEXT($B$6,"00")</f>
        <v/>
      </c>
      <c r="O1964" s="10">
        <f>REPT(" ",8)</f>
        <v/>
      </c>
      <c r="P1964" s="10">
        <f>RIGHT($B$4,2)</f>
        <v/>
      </c>
      <c r="Q1964" s="10">
        <f>RIGHT($B$5,3)</f>
        <v/>
      </c>
      <c r="R1964" s="10">
        <f>IF(A1964="D",LEFT(UPPER(B1964)&amp;REPT(" ",20),20),REPT(" ",20))</f>
        <v/>
      </c>
      <c r="S1964" s="10">
        <f>IF(A1964="D",LEFT(UPPER(C1964)&amp;REPT(" ",10),10)," ")</f>
        <v/>
      </c>
      <c r="T1964" s="10">
        <f>IF(A1964="D",LEFT(UPPER(D1964)&amp;REPT(" ",2),2)," ")</f>
        <v/>
      </c>
      <c r="U1964" s="10">
        <f>IF(A1964="D",LEFT(UPPER(E1964)&amp;REPT(" ",15),15)," ")</f>
        <v/>
      </c>
      <c r="V1964" s="10">
        <f>REPT(" ",24)</f>
        <v/>
      </c>
      <c r="W1964" s="10">
        <f>IF(A1964="c",LEFT(UPPER(B1964)&amp;REPT(" ",20),20),REPT(" ",20))</f>
        <v/>
      </c>
      <c r="X1964" s="10">
        <f>IF(A1964="C",LEFT(UPPER(C1964)&amp;REPT(" ",10),10)," ")</f>
        <v/>
      </c>
      <c r="Y1964" s="10">
        <f>IF(A1964="C",LEFT(UPPER(D1964)&amp;REPT(" ",2),2)," ")</f>
        <v/>
      </c>
      <c r="Z1964" s="10">
        <f>IF(A1964="C",LEFT(UPPER(E1964)&amp;REPT(" ",15),15)," ")</f>
        <v/>
      </c>
      <c r="AA1964" s="10">
        <f>REPT(" ",8)</f>
        <v/>
      </c>
      <c r="AB1964" s="10">
        <f>REPT(" ",4)</f>
        <v/>
      </c>
      <c r="AC1964" s="10">
        <f>LEFT(UPPER(H1964)&amp;REPT(" ",250),250)</f>
        <v/>
      </c>
      <c r="AD1964" s="10">
        <f>TEXT($G$2,"dd/mm/aaaa")</f>
        <v/>
      </c>
      <c r="AE1964" s="10">
        <f>REPT(" ",10)</f>
        <v/>
      </c>
      <c r="AF1964" s="10">
        <f>REPT(" ",20)</f>
        <v/>
      </c>
      <c r="AG1964" s="54">
        <f>REPT(" ",18-LEN(FIXED(F1964,2,TRUE)))&amp;FIXED(F1964,2,TRUE)</f>
        <v/>
      </c>
      <c r="AH1964" s="10">
        <f>LEN(AC1964)+LEN(AG1964)</f>
        <v/>
      </c>
      <c r="AI1964" s="10">
        <f>LEN(L1964)</f>
        <v/>
      </c>
    </row>
    <row r="1965">
      <c r="J1965" s="12">
        <f>IF(F1965&lt;&gt;0,"LANÇAR","")</f>
        <v/>
      </c>
      <c r="L1965" s="13">
        <f>N1965&amp;O1965&amp;P1965&amp;Q1965&amp;R1965&amp;S1965&amp;T1965&amp;U1965&amp;V1965&amp;W1965&amp;X1965&amp;Y1965&amp;Z1965&amp;AA1965&amp;AB1965&amp;AC1965&amp;AD1965&amp;AE1965&amp;AF1965&amp;AG1965</f>
        <v/>
      </c>
      <c r="N1965" s="10">
        <f>TEXT($B$6,"00")</f>
        <v/>
      </c>
      <c r="O1965" s="10">
        <f>REPT(" ",8)</f>
        <v/>
      </c>
      <c r="P1965" s="10">
        <f>RIGHT($B$4,2)</f>
        <v/>
      </c>
      <c r="Q1965" s="10">
        <f>RIGHT($B$5,3)</f>
        <v/>
      </c>
      <c r="R1965" s="10">
        <f>IF(A1965="D",LEFT(UPPER(B1965)&amp;REPT(" ",20),20),REPT(" ",20))</f>
        <v/>
      </c>
      <c r="S1965" s="10">
        <f>IF(A1965="D",LEFT(UPPER(C1965)&amp;REPT(" ",10),10)," ")</f>
        <v/>
      </c>
      <c r="T1965" s="10">
        <f>IF(A1965="D",LEFT(UPPER(D1965)&amp;REPT(" ",2),2)," ")</f>
        <v/>
      </c>
      <c r="U1965" s="10">
        <f>IF(A1965="D",LEFT(UPPER(E1965)&amp;REPT(" ",15),15)," ")</f>
        <v/>
      </c>
      <c r="V1965" s="10">
        <f>REPT(" ",24)</f>
        <v/>
      </c>
      <c r="W1965" s="10">
        <f>IF(A1965="c",LEFT(UPPER(B1965)&amp;REPT(" ",20),20),REPT(" ",20))</f>
        <v/>
      </c>
      <c r="X1965" s="10">
        <f>IF(A1965="C",LEFT(UPPER(C1965)&amp;REPT(" ",10),10)," ")</f>
        <v/>
      </c>
      <c r="Y1965" s="10">
        <f>IF(A1965="C",LEFT(UPPER(D1965)&amp;REPT(" ",2),2)," ")</f>
        <v/>
      </c>
      <c r="Z1965" s="10">
        <f>IF(A1965="C",LEFT(UPPER(E1965)&amp;REPT(" ",15),15)," ")</f>
        <v/>
      </c>
      <c r="AA1965" s="10">
        <f>REPT(" ",8)</f>
        <v/>
      </c>
      <c r="AB1965" s="10">
        <f>REPT(" ",4)</f>
        <v/>
      </c>
      <c r="AC1965" s="10">
        <f>LEFT(UPPER(H1965)&amp;REPT(" ",250),250)</f>
        <v/>
      </c>
      <c r="AD1965" s="10">
        <f>TEXT($G$2,"dd/mm/aaaa")</f>
        <v/>
      </c>
      <c r="AE1965" s="10">
        <f>REPT(" ",10)</f>
        <v/>
      </c>
      <c r="AF1965" s="10">
        <f>REPT(" ",20)</f>
        <v/>
      </c>
      <c r="AG1965" s="54">
        <f>REPT(" ",18-LEN(FIXED(F1965,2,TRUE)))&amp;FIXED(F1965,2,TRUE)</f>
        <v/>
      </c>
      <c r="AH1965" s="10">
        <f>LEN(AC1965)+LEN(AG1965)</f>
        <v/>
      </c>
      <c r="AI1965" s="10">
        <f>LEN(L1965)</f>
        <v/>
      </c>
    </row>
    <row r="1966">
      <c r="J1966" s="12">
        <f>IF(F1966&lt;&gt;0,"LANÇAR","")</f>
        <v/>
      </c>
      <c r="L1966" s="13">
        <f>N1966&amp;O1966&amp;P1966&amp;Q1966&amp;R1966&amp;S1966&amp;T1966&amp;U1966&amp;V1966&amp;W1966&amp;X1966&amp;Y1966&amp;Z1966&amp;AA1966&amp;AB1966&amp;AC1966&amp;AD1966&amp;AE1966&amp;AF1966&amp;AG1966</f>
        <v/>
      </c>
      <c r="N1966" s="10">
        <f>TEXT($B$6,"00")</f>
        <v/>
      </c>
      <c r="O1966" s="10">
        <f>REPT(" ",8)</f>
        <v/>
      </c>
      <c r="P1966" s="10">
        <f>RIGHT($B$4,2)</f>
        <v/>
      </c>
      <c r="Q1966" s="10">
        <f>RIGHT($B$5,3)</f>
        <v/>
      </c>
      <c r="R1966" s="10">
        <f>IF(A1966="D",LEFT(UPPER(B1966)&amp;REPT(" ",20),20),REPT(" ",20))</f>
        <v/>
      </c>
      <c r="S1966" s="10">
        <f>IF(A1966="D",LEFT(UPPER(C1966)&amp;REPT(" ",10),10)," ")</f>
        <v/>
      </c>
      <c r="T1966" s="10">
        <f>IF(A1966="D",LEFT(UPPER(D1966)&amp;REPT(" ",2),2)," ")</f>
        <v/>
      </c>
      <c r="U1966" s="10">
        <f>IF(A1966="D",LEFT(UPPER(E1966)&amp;REPT(" ",15),15)," ")</f>
        <v/>
      </c>
      <c r="V1966" s="10">
        <f>REPT(" ",24)</f>
        <v/>
      </c>
      <c r="W1966" s="10">
        <f>IF(A1966="c",LEFT(UPPER(B1966)&amp;REPT(" ",20),20),REPT(" ",20))</f>
        <v/>
      </c>
      <c r="X1966" s="10">
        <f>IF(A1966="C",LEFT(UPPER(C1966)&amp;REPT(" ",10),10)," ")</f>
        <v/>
      </c>
      <c r="Y1966" s="10">
        <f>IF(A1966="C",LEFT(UPPER(D1966)&amp;REPT(" ",2),2)," ")</f>
        <v/>
      </c>
      <c r="Z1966" s="10">
        <f>IF(A1966="C",LEFT(UPPER(E1966)&amp;REPT(" ",15),15)," ")</f>
        <v/>
      </c>
      <c r="AA1966" s="10">
        <f>REPT(" ",8)</f>
        <v/>
      </c>
      <c r="AB1966" s="10">
        <f>REPT(" ",4)</f>
        <v/>
      </c>
      <c r="AC1966" s="10">
        <f>LEFT(UPPER(H1966)&amp;REPT(" ",250),250)</f>
        <v/>
      </c>
      <c r="AD1966" s="10">
        <f>TEXT($G$2,"dd/mm/aaaa")</f>
        <v/>
      </c>
      <c r="AE1966" s="10">
        <f>REPT(" ",10)</f>
        <v/>
      </c>
      <c r="AF1966" s="10">
        <f>REPT(" ",20)</f>
        <v/>
      </c>
      <c r="AG1966" s="54">
        <f>REPT(" ",18-LEN(FIXED(F1966,2,TRUE)))&amp;FIXED(F1966,2,TRUE)</f>
        <v/>
      </c>
      <c r="AH1966" s="10">
        <f>LEN(AC1966)+LEN(AG1966)</f>
        <v/>
      </c>
      <c r="AI1966" s="10">
        <f>LEN(L1966)</f>
        <v/>
      </c>
    </row>
    <row r="1967">
      <c r="J1967" s="12">
        <f>IF(F1967&lt;&gt;0,"LANÇAR","")</f>
        <v/>
      </c>
      <c r="L1967" s="13">
        <f>N1967&amp;O1967&amp;P1967&amp;Q1967&amp;R1967&amp;S1967&amp;T1967&amp;U1967&amp;V1967&amp;W1967&amp;X1967&amp;Y1967&amp;Z1967&amp;AA1967&amp;AB1967&amp;AC1967&amp;AD1967&amp;AE1967&amp;AF1967&amp;AG1967</f>
        <v/>
      </c>
      <c r="N1967" s="10">
        <f>TEXT($B$6,"00")</f>
        <v/>
      </c>
      <c r="O1967" s="10">
        <f>REPT(" ",8)</f>
        <v/>
      </c>
      <c r="P1967" s="10">
        <f>RIGHT($B$4,2)</f>
        <v/>
      </c>
      <c r="Q1967" s="10">
        <f>RIGHT($B$5,3)</f>
        <v/>
      </c>
      <c r="R1967" s="10">
        <f>IF(A1967="D",LEFT(UPPER(B1967)&amp;REPT(" ",20),20),REPT(" ",20))</f>
        <v/>
      </c>
      <c r="S1967" s="10">
        <f>IF(A1967="D",LEFT(UPPER(C1967)&amp;REPT(" ",10),10)," ")</f>
        <v/>
      </c>
      <c r="T1967" s="10">
        <f>IF(A1967="D",LEFT(UPPER(D1967)&amp;REPT(" ",2),2)," ")</f>
        <v/>
      </c>
      <c r="U1967" s="10">
        <f>IF(A1967="D",LEFT(UPPER(E1967)&amp;REPT(" ",15),15)," ")</f>
        <v/>
      </c>
      <c r="V1967" s="10">
        <f>REPT(" ",24)</f>
        <v/>
      </c>
      <c r="W1967" s="10">
        <f>IF(A1967="c",LEFT(UPPER(B1967)&amp;REPT(" ",20),20),REPT(" ",20))</f>
        <v/>
      </c>
      <c r="X1967" s="10">
        <f>IF(A1967="C",LEFT(UPPER(C1967)&amp;REPT(" ",10),10)," ")</f>
        <v/>
      </c>
      <c r="Y1967" s="10">
        <f>IF(A1967="C",LEFT(UPPER(D1967)&amp;REPT(" ",2),2)," ")</f>
        <v/>
      </c>
      <c r="Z1967" s="10">
        <f>IF(A1967="C",LEFT(UPPER(E1967)&amp;REPT(" ",15),15)," ")</f>
        <v/>
      </c>
      <c r="AA1967" s="10">
        <f>REPT(" ",8)</f>
        <v/>
      </c>
      <c r="AB1967" s="10">
        <f>REPT(" ",4)</f>
        <v/>
      </c>
      <c r="AC1967" s="10">
        <f>LEFT(UPPER(H1967)&amp;REPT(" ",250),250)</f>
        <v/>
      </c>
      <c r="AD1967" s="10">
        <f>TEXT($G$2,"dd/mm/aaaa")</f>
        <v/>
      </c>
      <c r="AE1967" s="10">
        <f>REPT(" ",10)</f>
        <v/>
      </c>
      <c r="AF1967" s="10">
        <f>REPT(" ",20)</f>
        <v/>
      </c>
      <c r="AG1967" s="54">
        <f>REPT(" ",18-LEN(FIXED(F1967,2,TRUE)))&amp;FIXED(F1967,2,TRUE)</f>
        <v/>
      </c>
      <c r="AH1967" s="10">
        <f>LEN(AC1967)+LEN(AG1967)</f>
        <v/>
      </c>
      <c r="AI1967" s="10">
        <f>LEN(L1967)</f>
        <v/>
      </c>
    </row>
    <row r="1968">
      <c r="J1968" s="12">
        <f>IF(F1968&lt;&gt;0,"LANÇAR","")</f>
        <v/>
      </c>
      <c r="L1968" s="13">
        <f>N1968&amp;O1968&amp;P1968&amp;Q1968&amp;R1968&amp;S1968&amp;T1968&amp;U1968&amp;V1968&amp;W1968&amp;X1968&amp;Y1968&amp;Z1968&amp;AA1968&amp;AB1968&amp;AC1968&amp;AD1968&amp;AE1968&amp;AF1968&amp;AG1968</f>
        <v/>
      </c>
      <c r="N1968" s="10">
        <f>TEXT($B$6,"00")</f>
        <v/>
      </c>
      <c r="O1968" s="10">
        <f>REPT(" ",8)</f>
        <v/>
      </c>
      <c r="P1968" s="10">
        <f>RIGHT($B$4,2)</f>
        <v/>
      </c>
      <c r="Q1968" s="10">
        <f>RIGHT($B$5,3)</f>
        <v/>
      </c>
      <c r="R1968" s="10">
        <f>IF(A1968="D",LEFT(UPPER(B1968)&amp;REPT(" ",20),20),REPT(" ",20))</f>
        <v/>
      </c>
      <c r="S1968" s="10">
        <f>IF(A1968="D",LEFT(UPPER(C1968)&amp;REPT(" ",10),10)," ")</f>
        <v/>
      </c>
      <c r="T1968" s="10">
        <f>IF(A1968="D",LEFT(UPPER(D1968)&amp;REPT(" ",2),2)," ")</f>
        <v/>
      </c>
      <c r="U1968" s="10">
        <f>IF(A1968="D",LEFT(UPPER(E1968)&amp;REPT(" ",15),15)," ")</f>
        <v/>
      </c>
      <c r="V1968" s="10">
        <f>REPT(" ",24)</f>
        <v/>
      </c>
      <c r="W1968" s="10">
        <f>IF(A1968="c",LEFT(UPPER(B1968)&amp;REPT(" ",20),20),REPT(" ",20))</f>
        <v/>
      </c>
      <c r="X1968" s="10">
        <f>IF(A1968="C",LEFT(UPPER(C1968)&amp;REPT(" ",10),10)," ")</f>
        <v/>
      </c>
      <c r="Y1968" s="10">
        <f>IF(A1968="C",LEFT(UPPER(D1968)&amp;REPT(" ",2),2)," ")</f>
        <v/>
      </c>
      <c r="Z1968" s="10">
        <f>IF(A1968="C",LEFT(UPPER(E1968)&amp;REPT(" ",15),15)," ")</f>
        <v/>
      </c>
      <c r="AA1968" s="10">
        <f>REPT(" ",8)</f>
        <v/>
      </c>
      <c r="AB1968" s="10">
        <f>REPT(" ",4)</f>
        <v/>
      </c>
      <c r="AC1968" s="10">
        <f>LEFT(UPPER(H1968)&amp;REPT(" ",250),250)</f>
        <v/>
      </c>
      <c r="AD1968" s="10">
        <f>TEXT($G$2,"dd/mm/aaaa")</f>
        <v/>
      </c>
      <c r="AE1968" s="10">
        <f>REPT(" ",10)</f>
        <v/>
      </c>
      <c r="AF1968" s="10">
        <f>REPT(" ",20)</f>
        <v/>
      </c>
      <c r="AG1968" s="54">
        <f>REPT(" ",18-LEN(FIXED(F1968,2,TRUE)))&amp;FIXED(F1968,2,TRUE)</f>
        <v/>
      </c>
      <c r="AH1968" s="10">
        <f>LEN(AC1968)+LEN(AG1968)</f>
        <v/>
      </c>
      <c r="AI1968" s="10">
        <f>LEN(L1968)</f>
        <v/>
      </c>
    </row>
    <row r="1969">
      <c r="J1969" s="12">
        <f>IF(F1969&lt;&gt;0,"LANÇAR","")</f>
        <v/>
      </c>
      <c r="L1969" s="13">
        <f>N1969&amp;O1969&amp;P1969&amp;Q1969&amp;R1969&amp;S1969&amp;T1969&amp;U1969&amp;V1969&amp;W1969&amp;X1969&amp;Y1969&amp;Z1969&amp;AA1969&amp;AB1969&amp;AC1969&amp;AD1969&amp;AE1969&amp;AF1969&amp;AG1969</f>
        <v/>
      </c>
      <c r="N1969" s="10">
        <f>TEXT($B$6,"00")</f>
        <v/>
      </c>
      <c r="O1969" s="10">
        <f>REPT(" ",8)</f>
        <v/>
      </c>
      <c r="P1969" s="10">
        <f>RIGHT($B$4,2)</f>
        <v/>
      </c>
      <c r="Q1969" s="10">
        <f>RIGHT($B$5,3)</f>
        <v/>
      </c>
      <c r="R1969" s="10">
        <f>IF(A1969="D",LEFT(UPPER(B1969)&amp;REPT(" ",20),20),REPT(" ",20))</f>
        <v/>
      </c>
      <c r="S1969" s="10">
        <f>IF(A1969="D",LEFT(UPPER(C1969)&amp;REPT(" ",10),10)," ")</f>
        <v/>
      </c>
      <c r="T1969" s="10">
        <f>IF(A1969="D",LEFT(UPPER(D1969)&amp;REPT(" ",2),2)," ")</f>
        <v/>
      </c>
      <c r="U1969" s="10">
        <f>IF(A1969="D",LEFT(UPPER(E1969)&amp;REPT(" ",15),15)," ")</f>
        <v/>
      </c>
      <c r="V1969" s="10">
        <f>REPT(" ",24)</f>
        <v/>
      </c>
      <c r="W1969" s="10">
        <f>IF(A1969="c",LEFT(UPPER(B1969)&amp;REPT(" ",20),20),REPT(" ",20))</f>
        <v/>
      </c>
      <c r="X1969" s="10">
        <f>IF(A1969="C",LEFT(UPPER(C1969)&amp;REPT(" ",10),10)," ")</f>
        <v/>
      </c>
      <c r="Y1969" s="10">
        <f>IF(A1969="C",LEFT(UPPER(D1969)&amp;REPT(" ",2),2)," ")</f>
        <v/>
      </c>
      <c r="Z1969" s="10">
        <f>IF(A1969="C",LEFT(UPPER(E1969)&amp;REPT(" ",15),15)," ")</f>
        <v/>
      </c>
      <c r="AA1969" s="10">
        <f>REPT(" ",8)</f>
        <v/>
      </c>
      <c r="AB1969" s="10">
        <f>REPT(" ",4)</f>
        <v/>
      </c>
      <c r="AC1969" s="10">
        <f>LEFT(UPPER(H1969)&amp;REPT(" ",250),250)</f>
        <v/>
      </c>
      <c r="AD1969" s="10">
        <f>TEXT($G$2,"dd/mm/aaaa")</f>
        <v/>
      </c>
      <c r="AE1969" s="10">
        <f>REPT(" ",10)</f>
        <v/>
      </c>
      <c r="AF1969" s="10">
        <f>REPT(" ",20)</f>
        <v/>
      </c>
      <c r="AG1969" s="54">
        <f>REPT(" ",18-LEN(FIXED(F1969,2,TRUE)))&amp;FIXED(F1969,2,TRUE)</f>
        <v/>
      </c>
      <c r="AH1969" s="10">
        <f>LEN(AC1969)+LEN(AG1969)</f>
        <v/>
      </c>
      <c r="AI1969" s="10">
        <f>LEN(L1969)</f>
        <v/>
      </c>
    </row>
    <row r="1970">
      <c r="J1970" s="12">
        <f>IF(F1970&lt;&gt;0,"LANÇAR","")</f>
        <v/>
      </c>
      <c r="L1970" s="13">
        <f>N1970&amp;O1970&amp;P1970&amp;Q1970&amp;R1970&amp;S1970&amp;T1970&amp;U1970&amp;V1970&amp;W1970&amp;X1970&amp;Y1970&amp;Z1970&amp;AA1970&amp;AB1970&amp;AC1970&amp;AD1970&amp;AE1970&amp;AF1970&amp;AG1970</f>
        <v/>
      </c>
      <c r="N1970" s="10">
        <f>TEXT($B$6,"00")</f>
        <v/>
      </c>
      <c r="O1970" s="10">
        <f>REPT(" ",8)</f>
        <v/>
      </c>
      <c r="P1970" s="10">
        <f>RIGHT($B$4,2)</f>
        <v/>
      </c>
      <c r="Q1970" s="10">
        <f>RIGHT($B$5,3)</f>
        <v/>
      </c>
      <c r="R1970" s="10">
        <f>IF(A1970="D",LEFT(UPPER(B1970)&amp;REPT(" ",20),20),REPT(" ",20))</f>
        <v/>
      </c>
      <c r="S1970" s="10">
        <f>IF(A1970="D",LEFT(UPPER(C1970)&amp;REPT(" ",10),10)," ")</f>
        <v/>
      </c>
      <c r="T1970" s="10">
        <f>IF(A1970="D",LEFT(UPPER(D1970)&amp;REPT(" ",2),2)," ")</f>
        <v/>
      </c>
      <c r="U1970" s="10">
        <f>IF(A1970="D",LEFT(UPPER(E1970)&amp;REPT(" ",15),15)," ")</f>
        <v/>
      </c>
      <c r="V1970" s="10">
        <f>REPT(" ",24)</f>
        <v/>
      </c>
      <c r="W1970" s="10">
        <f>IF(A1970="c",LEFT(UPPER(B1970)&amp;REPT(" ",20),20),REPT(" ",20))</f>
        <v/>
      </c>
      <c r="X1970" s="10">
        <f>IF(A1970="C",LEFT(UPPER(C1970)&amp;REPT(" ",10),10)," ")</f>
        <v/>
      </c>
      <c r="Y1970" s="10">
        <f>IF(A1970="C",LEFT(UPPER(D1970)&amp;REPT(" ",2),2)," ")</f>
        <v/>
      </c>
      <c r="Z1970" s="10">
        <f>IF(A1970="C",LEFT(UPPER(E1970)&amp;REPT(" ",15),15)," ")</f>
        <v/>
      </c>
      <c r="AA1970" s="10">
        <f>REPT(" ",8)</f>
        <v/>
      </c>
      <c r="AB1970" s="10">
        <f>REPT(" ",4)</f>
        <v/>
      </c>
      <c r="AC1970" s="10">
        <f>LEFT(UPPER(H1970)&amp;REPT(" ",250),250)</f>
        <v/>
      </c>
      <c r="AD1970" s="10">
        <f>TEXT($G$2,"dd/mm/aaaa")</f>
        <v/>
      </c>
      <c r="AE1970" s="10">
        <f>REPT(" ",10)</f>
        <v/>
      </c>
      <c r="AF1970" s="10">
        <f>REPT(" ",20)</f>
        <v/>
      </c>
      <c r="AG1970" s="54">
        <f>REPT(" ",18-LEN(FIXED(F1970,2,TRUE)))&amp;FIXED(F1970,2,TRUE)</f>
        <v/>
      </c>
      <c r="AH1970" s="10">
        <f>LEN(AC1970)+LEN(AG1970)</f>
        <v/>
      </c>
      <c r="AI1970" s="10">
        <f>LEN(L1970)</f>
        <v/>
      </c>
    </row>
    <row r="1971">
      <c r="J1971" s="12">
        <f>IF(F1971&lt;&gt;0,"LANÇAR","")</f>
        <v/>
      </c>
      <c r="L1971" s="13">
        <f>N1971&amp;O1971&amp;P1971&amp;Q1971&amp;R1971&amp;S1971&amp;T1971&amp;U1971&amp;V1971&amp;W1971&amp;X1971&amp;Y1971&amp;Z1971&amp;AA1971&amp;AB1971&amp;AC1971&amp;AD1971&amp;AE1971&amp;AF1971&amp;AG1971</f>
        <v/>
      </c>
      <c r="N1971" s="10">
        <f>TEXT($B$6,"00")</f>
        <v/>
      </c>
      <c r="O1971" s="10">
        <f>REPT(" ",8)</f>
        <v/>
      </c>
      <c r="P1971" s="10">
        <f>RIGHT($B$4,2)</f>
        <v/>
      </c>
      <c r="Q1971" s="10">
        <f>RIGHT($B$5,3)</f>
        <v/>
      </c>
      <c r="R1971" s="10">
        <f>IF(A1971="D",LEFT(UPPER(B1971)&amp;REPT(" ",20),20),REPT(" ",20))</f>
        <v/>
      </c>
      <c r="S1971" s="10">
        <f>IF(A1971="D",LEFT(UPPER(C1971)&amp;REPT(" ",10),10)," ")</f>
        <v/>
      </c>
      <c r="T1971" s="10">
        <f>IF(A1971="D",LEFT(UPPER(D1971)&amp;REPT(" ",2),2)," ")</f>
        <v/>
      </c>
      <c r="U1971" s="10">
        <f>IF(A1971="D",LEFT(UPPER(E1971)&amp;REPT(" ",15),15)," ")</f>
        <v/>
      </c>
      <c r="V1971" s="10">
        <f>REPT(" ",24)</f>
        <v/>
      </c>
      <c r="W1971" s="10">
        <f>IF(A1971="c",LEFT(UPPER(B1971)&amp;REPT(" ",20),20),REPT(" ",20))</f>
        <v/>
      </c>
      <c r="X1971" s="10">
        <f>IF(A1971="C",LEFT(UPPER(C1971)&amp;REPT(" ",10),10)," ")</f>
        <v/>
      </c>
      <c r="Y1971" s="10">
        <f>IF(A1971="C",LEFT(UPPER(D1971)&amp;REPT(" ",2),2)," ")</f>
        <v/>
      </c>
      <c r="Z1971" s="10">
        <f>IF(A1971="C",LEFT(UPPER(E1971)&amp;REPT(" ",15),15)," ")</f>
        <v/>
      </c>
      <c r="AA1971" s="10">
        <f>REPT(" ",8)</f>
        <v/>
      </c>
      <c r="AB1971" s="10">
        <f>REPT(" ",4)</f>
        <v/>
      </c>
      <c r="AC1971" s="10">
        <f>LEFT(UPPER(H1971)&amp;REPT(" ",250),250)</f>
        <v/>
      </c>
      <c r="AD1971" s="10">
        <f>TEXT($G$2,"dd/mm/aaaa")</f>
        <v/>
      </c>
      <c r="AE1971" s="10">
        <f>REPT(" ",10)</f>
        <v/>
      </c>
      <c r="AF1971" s="10">
        <f>REPT(" ",20)</f>
        <v/>
      </c>
      <c r="AG1971" s="54">
        <f>REPT(" ",18-LEN(FIXED(F1971,2,TRUE)))&amp;FIXED(F1971,2,TRUE)</f>
        <v/>
      </c>
      <c r="AH1971" s="10">
        <f>LEN(AC1971)+LEN(AG1971)</f>
        <v/>
      </c>
      <c r="AI1971" s="10">
        <f>LEN(L1971)</f>
        <v/>
      </c>
    </row>
    <row r="1972">
      <c r="J1972" s="12">
        <f>IF(F1972&lt;&gt;0,"LANÇAR","")</f>
        <v/>
      </c>
      <c r="L1972" s="13">
        <f>N1972&amp;O1972&amp;P1972&amp;Q1972&amp;R1972&amp;S1972&amp;T1972&amp;U1972&amp;V1972&amp;W1972&amp;X1972&amp;Y1972&amp;Z1972&amp;AA1972&amp;AB1972&amp;AC1972&amp;AD1972&amp;AE1972&amp;AF1972&amp;AG1972</f>
        <v/>
      </c>
      <c r="N1972" s="10">
        <f>TEXT($B$6,"00")</f>
        <v/>
      </c>
      <c r="O1972" s="10">
        <f>REPT(" ",8)</f>
        <v/>
      </c>
      <c r="P1972" s="10">
        <f>RIGHT($B$4,2)</f>
        <v/>
      </c>
      <c r="Q1972" s="10">
        <f>RIGHT($B$5,3)</f>
        <v/>
      </c>
      <c r="R1972" s="10">
        <f>IF(A1972="D",LEFT(UPPER(B1972)&amp;REPT(" ",20),20),REPT(" ",20))</f>
        <v/>
      </c>
      <c r="S1972" s="10">
        <f>IF(A1972="D",LEFT(UPPER(C1972)&amp;REPT(" ",10),10)," ")</f>
        <v/>
      </c>
      <c r="T1972" s="10">
        <f>IF(A1972="D",LEFT(UPPER(D1972)&amp;REPT(" ",2),2)," ")</f>
        <v/>
      </c>
      <c r="U1972" s="10">
        <f>IF(A1972="D",LEFT(UPPER(E1972)&amp;REPT(" ",15),15)," ")</f>
        <v/>
      </c>
      <c r="V1972" s="10">
        <f>REPT(" ",24)</f>
        <v/>
      </c>
      <c r="W1972" s="10">
        <f>IF(A1972="c",LEFT(UPPER(B1972)&amp;REPT(" ",20),20),REPT(" ",20))</f>
        <v/>
      </c>
      <c r="X1972" s="10">
        <f>IF(A1972="C",LEFT(UPPER(C1972)&amp;REPT(" ",10),10)," ")</f>
        <v/>
      </c>
      <c r="Y1972" s="10">
        <f>IF(A1972="C",LEFT(UPPER(D1972)&amp;REPT(" ",2),2)," ")</f>
        <v/>
      </c>
      <c r="Z1972" s="10">
        <f>IF(A1972="C",LEFT(UPPER(E1972)&amp;REPT(" ",15),15)," ")</f>
        <v/>
      </c>
      <c r="AA1972" s="10">
        <f>REPT(" ",8)</f>
        <v/>
      </c>
      <c r="AB1972" s="10">
        <f>REPT(" ",4)</f>
        <v/>
      </c>
      <c r="AC1972" s="10">
        <f>LEFT(UPPER(H1972)&amp;REPT(" ",250),250)</f>
        <v/>
      </c>
      <c r="AD1972" s="10">
        <f>TEXT($G$2,"dd/mm/aaaa")</f>
        <v/>
      </c>
      <c r="AE1972" s="10">
        <f>REPT(" ",10)</f>
        <v/>
      </c>
      <c r="AF1972" s="10">
        <f>REPT(" ",20)</f>
        <v/>
      </c>
      <c r="AG1972" s="54">
        <f>REPT(" ",18-LEN(FIXED(F1972,2,TRUE)))&amp;FIXED(F1972,2,TRUE)</f>
        <v/>
      </c>
      <c r="AH1972" s="10">
        <f>LEN(AC1972)+LEN(AG1972)</f>
        <v/>
      </c>
      <c r="AI1972" s="10">
        <f>LEN(L1972)</f>
        <v/>
      </c>
    </row>
    <row r="1973">
      <c r="J1973" s="12">
        <f>IF(F1973&lt;&gt;0,"LANÇAR","")</f>
        <v/>
      </c>
      <c r="L1973" s="13">
        <f>N1973&amp;O1973&amp;P1973&amp;Q1973&amp;R1973&amp;S1973&amp;T1973&amp;U1973&amp;V1973&amp;W1973&amp;X1973&amp;Y1973&amp;Z1973&amp;AA1973&amp;AB1973&amp;AC1973&amp;AD1973&amp;AE1973&amp;AF1973&amp;AG1973</f>
        <v/>
      </c>
      <c r="N1973" s="10">
        <f>TEXT($B$6,"00")</f>
        <v/>
      </c>
      <c r="O1973" s="10">
        <f>REPT(" ",8)</f>
        <v/>
      </c>
      <c r="P1973" s="10">
        <f>RIGHT($B$4,2)</f>
        <v/>
      </c>
      <c r="Q1973" s="10">
        <f>RIGHT($B$5,3)</f>
        <v/>
      </c>
      <c r="R1973" s="10">
        <f>IF(A1973="D",LEFT(UPPER(B1973)&amp;REPT(" ",20),20),REPT(" ",20))</f>
        <v/>
      </c>
      <c r="S1973" s="10">
        <f>IF(A1973="D",LEFT(UPPER(C1973)&amp;REPT(" ",10),10)," ")</f>
        <v/>
      </c>
      <c r="T1973" s="10">
        <f>IF(A1973="D",LEFT(UPPER(D1973)&amp;REPT(" ",2),2)," ")</f>
        <v/>
      </c>
      <c r="U1973" s="10">
        <f>IF(A1973="D",LEFT(UPPER(E1973)&amp;REPT(" ",15),15)," ")</f>
        <v/>
      </c>
      <c r="V1973" s="10">
        <f>REPT(" ",24)</f>
        <v/>
      </c>
      <c r="W1973" s="10">
        <f>IF(A1973="c",LEFT(UPPER(B1973)&amp;REPT(" ",20),20),REPT(" ",20))</f>
        <v/>
      </c>
      <c r="X1973" s="10">
        <f>IF(A1973="C",LEFT(UPPER(C1973)&amp;REPT(" ",10),10)," ")</f>
        <v/>
      </c>
      <c r="Y1973" s="10">
        <f>IF(A1973="C",LEFT(UPPER(D1973)&amp;REPT(" ",2),2)," ")</f>
        <v/>
      </c>
      <c r="Z1973" s="10">
        <f>IF(A1973="C",LEFT(UPPER(E1973)&amp;REPT(" ",15),15)," ")</f>
        <v/>
      </c>
      <c r="AA1973" s="10">
        <f>REPT(" ",8)</f>
        <v/>
      </c>
      <c r="AB1973" s="10">
        <f>REPT(" ",4)</f>
        <v/>
      </c>
      <c r="AC1973" s="10">
        <f>LEFT(UPPER(H1973)&amp;REPT(" ",250),250)</f>
        <v/>
      </c>
      <c r="AD1973" s="10">
        <f>TEXT($G$2,"dd/mm/aaaa")</f>
        <v/>
      </c>
      <c r="AE1973" s="10">
        <f>REPT(" ",10)</f>
        <v/>
      </c>
      <c r="AF1973" s="10">
        <f>REPT(" ",20)</f>
        <v/>
      </c>
      <c r="AG1973" s="54">
        <f>REPT(" ",18-LEN(FIXED(F1973,2,TRUE)))&amp;FIXED(F1973,2,TRUE)</f>
        <v/>
      </c>
      <c r="AH1973" s="10">
        <f>LEN(AC1973)+LEN(AG1973)</f>
        <v/>
      </c>
      <c r="AI1973" s="10">
        <f>LEN(L1973)</f>
        <v/>
      </c>
    </row>
    <row r="1974">
      <c r="J1974" s="12">
        <f>IF(F1974&lt;&gt;0,"LANÇAR","")</f>
        <v/>
      </c>
      <c r="L1974" s="13">
        <f>N1974&amp;O1974&amp;P1974&amp;Q1974&amp;R1974&amp;S1974&amp;T1974&amp;U1974&amp;V1974&amp;W1974&amp;X1974&amp;Y1974&amp;Z1974&amp;AA1974&amp;AB1974&amp;AC1974&amp;AD1974&amp;AE1974&amp;AF1974&amp;AG1974</f>
        <v/>
      </c>
      <c r="N1974" s="10">
        <f>TEXT($B$6,"00")</f>
        <v/>
      </c>
      <c r="O1974" s="10">
        <f>REPT(" ",8)</f>
        <v/>
      </c>
      <c r="P1974" s="10">
        <f>RIGHT($B$4,2)</f>
        <v/>
      </c>
      <c r="Q1974" s="10">
        <f>RIGHT($B$5,3)</f>
        <v/>
      </c>
      <c r="R1974" s="10">
        <f>IF(A1974="D",LEFT(UPPER(B1974)&amp;REPT(" ",20),20),REPT(" ",20))</f>
        <v/>
      </c>
      <c r="S1974" s="10">
        <f>IF(A1974="D",LEFT(UPPER(C1974)&amp;REPT(" ",10),10)," ")</f>
        <v/>
      </c>
      <c r="T1974" s="10">
        <f>IF(A1974="D",LEFT(UPPER(D1974)&amp;REPT(" ",2),2)," ")</f>
        <v/>
      </c>
      <c r="U1974" s="10">
        <f>IF(A1974="D",LEFT(UPPER(E1974)&amp;REPT(" ",15),15)," ")</f>
        <v/>
      </c>
      <c r="V1974" s="10">
        <f>REPT(" ",24)</f>
        <v/>
      </c>
      <c r="W1974" s="10">
        <f>IF(A1974="c",LEFT(UPPER(B1974)&amp;REPT(" ",20),20),REPT(" ",20))</f>
        <v/>
      </c>
      <c r="X1974" s="10">
        <f>IF(A1974="C",LEFT(UPPER(C1974)&amp;REPT(" ",10),10)," ")</f>
        <v/>
      </c>
      <c r="Y1974" s="10">
        <f>IF(A1974="C",LEFT(UPPER(D1974)&amp;REPT(" ",2),2)," ")</f>
        <v/>
      </c>
      <c r="Z1974" s="10">
        <f>IF(A1974="C",LEFT(UPPER(E1974)&amp;REPT(" ",15),15)," ")</f>
        <v/>
      </c>
      <c r="AA1974" s="10">
        <f>REPT(" ",8)</f>
        <v/>
      </c>
      <c r="AB1974" s="10">
        <f>REPT(" ",4)</f>
        <v/>
      </c>
      <c r="AC1974" s="10">
        <f>LEFT(UPPER(H1974)&amp;REPT(" ",250),250)</f>
        <v/>
      </c>
      <c r="AD1974" s="10">
        <f>TEXT($G$2,"dd/mm/aaaa")</f>
        <v/>
      </c>
      <c r="AE1974" s="10">
        <f>REPT(" ",10)</f>
        <v/>
      </c>
      <c r="AF1974" s="10">
        <f>REPT(" ",20)</f>
        <v/>
      </c>
      <c r="AG1974" s="54">
        <f>REPT(" ",18-LEN(FIXED(F1974,2,TRUE)))&amp;FIXED(F1974,2,TRUE)</f>
        <v/>
      </c>
      <c r="AH1974" s="10">
        <f>LEN(AC1974)+LEN(AG1974)</f>
        <v/>
      </c>
      <c r="AI1974" s="10">
        <f>LEN(L1974)</f>
        <v/>
      </c>
    </row>
    <row r="1975">
      <c r="J1975" s="12">
        <f>IF(F1975&lt;&gt;0,"LANÇAR","")</f>
        <v/>
      </c>
      <c r="L1975" s="13">
        <f>N1975&amp;O1975&amp;P1975&amp;Q1975&amp;R1975&amp;S1975&amp;T1975&amp;U1975&amp;V1975&amp;W1975&amp;X1975&amp;Y1975&amp;Z1975&amp;AA1975&amp;AB1975&amp;AC1975&amp;AD1975&amp;AE1975&amp;AF1975&amp;AG1975</f>
        <v/>
      </c>
      <c r="N1975" s="10">
        <f>TEXT($B$6,"00")</f>
        <v/>
      </c>
      <c r="O1975" s="10">
        <f>REPT(" ",8)</f>
        <v/>
      </c>
      <c r="P1975" s="10">
        <f>RIGHT($B$4,2)</f>
        <v/>
      </c>
      <c r="Q1975" s="10">
        <f>RIGHT($B$5,3)</f>
        <v/>
      </c>
      <c r="R1975" s="10">
        <f>IF(A1975="D",LEFT(UPPER(B1975)&amp;REPT(" ",20),20),REPT(" ",20))</f>
        <v/>
      </c>
      <c r="S1975" s="10">
        <f>IF(A1975="D",LEFT(UPPER(C1975)&amp;REPT(" ",10),10)," ")</f>
        <v/>
      </c>
      <c r="T1975" s="10">
        <f>IF(A1975="D",LEFT(UPPER(D1975)&amp;REPT(" ",2),2)," ")</f>
        <v/>
      </c>
      <c r="U1975" s="10">
        <f>IF(A1975="D",LEFT(UPPER(E1975)&amp;REPT(" ",15),15)," ")</f>
        <v/>
      </c>
      <c r="V1975" s="10">
        <f>REPT(" ",24)</f>
        <v/>
      </c>
      <c r="W1975" s="10">
        <f>IF(A1975="c",LEFT(UPPER(B1975)&amp;REPT(" ",20),20),REPT(" ",20))</f>
        <v/>
      </c>
      <c r="X1975" s="10">
        <f>IF(A1975="C",LEFT(UPPER(C1975)&amp;REPT(" ",10),10)," ")</f>
        <v/>
      </c>
      <c r="Y1975" s="10">
        <f>IF(A1975="C",LEFT(UPPER(D1975)&amp;REPT(" ",2),2)," ")</f>
        <v/>
      </c>
      <c r="Z1975" s="10">
        <f>IF(A1975="C",LEFT(UPPER(E1975)&amp;REPT(" ",15),15)," ")</f>
        <v/>
      </c>
      <c r="AA1975" s="10">
        <f>REPT(" ",8)</f>
        <v/>
      </c>
      <c r="AB1975" s="10">
        <f>REPT(" ",4)</f>
        <v/>
      </c>
      <c r="AC1975" s="10">
        <f>LEFT(UPPER(H1975)&amp;REPT(" ",250),250)</f>
        <v/>
      </c>
      <c r="AD1975" s="10">
        <f>TEXT($G$2,"dd/mm/aaaa")</f>
        <v/>
      </c>
      <c r="AE1975" s="10">
        <f>REPT(" ",10)</f>
        <v/>
      </c>
      <c r="AF1975" s="10">
        <f>REPT(" ",20)</f>
        <v/>
      </c>
      <c r="AG1975" s="54">
        <f>REPT(" ",18-LEN(FIXED(F1975,2,TRUE)))&amp;FIXED(F1975,2,TRUE)</f>
        <v/>
      </c>
      <c r="AH1975" s="10">
        <f>LEN(AC1975)+LEN(AG1975)</f>
        <v/>
      </c>
      <c r="AI1975" s="10">
        <f>LEN(L1975)</f>
        <v/>
      </c>
    </row>
    <row r="1976">
      <c r="J1976" s="12">
        <f>IF(F1976&lt;&gt;0,"LANÇAR","")</f>
        <v/>
      </c>
      <c r="L1976" s="13">
        <f>N1976&amp;O1976&amp;P1976&amp;Q1976&amp;R1976&amp;S1976&amp;T1976&amp;U1976&amp;V1976&amp;W1976&amp;X1976&amp;Y1976&amp;Z1976&amp;AA1976&amp;AB1976&amp;AC1976&amp;AD1976&amp;AE1976&amp;AF1976&amp;AG1976</f>
        <v/>
      </c>
      <c r="N1976" s="10">
        <f>TEXT($B$6,"00")</f>
        <v/>
      </c>
      <c r="O1976" s="10">
        <f>REPT(" ",8)</f>
        <v/>
      </c>
      <c r="P1976" s="10">
        <f>RIGHT($B$4,2)</f>
        <v/>
      </c>
      <c r="Q1976" s="10">
        <f>RIGHT($B$5,3)</f>
        <v/>
      </c>
      <c r="R1976" s="10">
        <f>IF(A1976="D",LEFT(UPPER(B1976)&amp;REPT(" ",20),20),REPT(" ",20))</f>
        <v/>
      </c>
      <c r="S1976" s="10">
        <f>IF(A1976="D",LEFT(UPPER(C1976)&amp;REPT(" ",10),10)," ")</f>
        <v/>
      </c>
      <c r="T1976" s="10">
        <f>IF(A1976="D",LEFT(UPPER(D1976)&amp;REPT(" ",2),2)," ")</f>
        <v/>
      </c>
      <c r="U1976" s="10">
        <f>IF(A1976="D",LEFT(UPPER(E1976)&amp;REPT(" ",15),15)," ")</f>
        <v/>
      </c>
      <c r="V1976" s="10">
        <f>REPT(" ",24)</f>
        <v/>
      </c>
      <c r="W1976" s="10">
        <f>IF(A1976="c",LEFT(UPPER(B1976)&amp;REPT(" ",20),20),REPT(" ",20))</f>
        <v/>
      </c>
      <c r="X1976" s="10">
        <f>IF(A1976="C",LEFT(UPPER(C1976)&amp;REPT(" ",10),10)," ")</f>
        <v/>
      </c>
      <c r="Y1976" s="10">
        <f>IF(A1976="C",LEFT(UPPER(D1976)&amp;REPT(" ",2),2)," ")</f>
        <v/>
      </c>
      <c r="Z1976" s="10">
        <f>IF(A1976="C",LEFT(UPPER(E1976)&amp;REPT(" ",15),15)," ")</f>
        <v/>
      </c>
      <c r="AA1976" s="10">
        <f>REPT(" ",8)</f>
        <v/>
      </c>
      <c r="AB1976" s="10">
        <f>REPT(" ",4)</f>
        <v/>
      </c>
      <c r="AC1976" s="10">
        <f>LEFT(UPPER(H1976)&amp;REPT(" ",250),250)</f>
        <v/>
      </c>
      <c r="AD1976" s="10">
        <f>TEXT($G$2,"dd/mm/aaaa")</f>
        <v/>
      </c>
      <c r="AE1976" s="10">
        <f>REPT(" ",10)</f>
        <v/>
      </c>
      <c r="AF1976" s="10">
        <f>REPT(" ",20)</f>
        <v/>
      </c>
      <c r="AG1976" s="54">
        <f>REPT(" ",18-LEN(FIXED(F1976,2,TRUE)))&amp;FIXED(F1976,2,TRUE)</f>
        <v/>
      </c>
      <c r="AH1976" s="10">
        <f>LEN(AC1976)+LEN(AG1976)</f>
        <v/>
      </c>
      <c r="AI1976" s="10">
        <f>LEN(L1976)</f>
        <v/>
      </c>
    </row>
    <row r="1977">
      <c r="J1977" s="12">
        <f>IF(F1977&lt;&gt;0,"LANÇAR","")</f>
        <v/>
      </c>
      <c r="L1977" s="13">
        <f>N1977&amp;O1977&amp;P1977&amp;Q1977&amp;R1977&amp;S1977&amp;T1977&amp;U1977&amp;V1977&amp;W1977&amp;X1977&amp;Y1977&amp;Z1977&amp;AA1977&amp;AB1977&amp;AC1977&amp;AD1977&amp;AE1977&amp;AF1977&amp;AG1977</f>
        <v/>
      </c>
      <c r="N1977" s="10">
        <f>TEXT($B$6,"00")</f>
        <v/>
      </c>
      <c r="O1977" s="10">
        <f>REPT(" ",8)</f>
        <v/>
      </c>
      <c r="P1977" s="10">
        <f>RIGHT($B$4,2)</f>
        <v/>
      </c>
      <c r="Q1977" s="10">
        <f>RIGHT($B$5,3)</f>
        <v/>
      </c>
      <c r="R1977" s="10">
        <f>IF(A1977="D",LEFT(UPPER(B1977)&amp;REPT(" ",20),20),REPT(" ",20))</f>
        <v/>
      </c>
      <c r="S1977" s="10">
        <f>IF(A1977="D",LEFT(UPPER(C1977)&amp;REPT(" ",10),10)," ")</f>
        <v/>
      </c>
      <c r="T1977" s="10">
        <f>IF(A1977="D",LEFT(UPPER(D1977)&amp;REPT(" ",2),2)," ")</f>
        <v/>
      </c>
      <c r="U1977" s="10">
        <f>IF(A1977="D",LEFT(UPPER(E1977)&amp;REPT(" ",15),15)," ")</f>
        <v/>
      </c>
      <c r="V1977" s="10">
        <f>REPT(" ",24)</f>
        <v/>
      </c>
      <c r="W1977" s="10">
        <f>IF(A1977="c",LEFT(UPPER(B1977)&amp;REPT(" ",20),20),REPT(" ",20))</f>
        <v/>
      </c>
      <c r="X1977" s="10">
        <f>IF(A1977="C",LEFT(UPPER(C1977)&amp;REPT(" ",10),10)," ")</f>
        <v/>
      </c>
      <c r="Y1977" s="10">
        <f>IF(A1977="C",LEFT(UPPER(D1977)&amp;REPT(" ",2),2)," ")</f>
        <v/>
      </c>
      <c r="Z1977" s="10">
        <f>IF(A1977="C",LEFT(UPPER(E1977)&amp;REPT(" ",15),15)," ")</f>
        <v/>
      </c>
      <c r="AA1977" s="10">
        <f>REPT(" ",8)</f>
        <v/>
      </c>
      <c r="AB1977" s="10">
        <f>REPT(" ",4)</f>
        <v/>
      </c>
      <c r="AC1977" s="10">
        <f>LEFT(UPPER(H1977)&amp;REPT(" ",250),250)</f>
        <v/>
      </c>
      <c r="AD1977" s="10">
        <f>TEXT($G$2,"dd/mm/aaaa")</f>
        <v/>
      </c>
      <c r="AE1977" s="10">
        <f>REPT(" ",10)</f>
        <v/>
      </c>
      <c r="AF1977" s="10">
        <f>REPT(" ",20)</f>
        <v/>
      </c>
      <c r="AG1977" s="54">
        <f>REPT(" ",18-LEN(FIXED(F1977,2,TRUE)))&amp;FIXED(F1977,2,TRUE)</f>
        <v/>
      </c>
      <c r="AH1977" s="10">
        <f>LEN(AC1977)+LEN(AG1977)</f>
        <v/>
      </c>
      <c r="AI1977" s="10">
        <f>LEN(L1977)</f>
        <v/>
      </c>
    </row>
    <row r="1978">
      <c r="J1978" s="12">
        <f>IF(F1978&lt;&gt;0,"LANÇAR","")</f>
        <v/>
      </c>
      <c r="L1978" s="13">
        <f>N1978&amp;O1978&amp;P1978&amp;Q1978&amp;R1978&amp;S1978&amp;T1978&amp;U1978&amp;V1978&amp;W1978&amp;X1978&amp;Y1978&amp;Z1978&amp;AA1978&amp;AB1978&amp;AC1978&amp;AD1978&amp;AE1978&amp;AF1978&amp;AG1978</f>
        <v/>
      </c>
      <c r="N1978" s="10">
        <f>TEXT($B$6,"00")</f>
        <v/>
      </c>
      <c r="O1978" s="10">
        <f>REPT(" ",8)</f>
        <v/>
      </c>
      <c r="P1978" s="10">
        <f>RIGHT($B$4,2)</f>
        <v/>
      </c>
      <c r="Q1978" s="10">
        <f>RIGHT($B$5,3)</f>
        <v/>
      </c>
      <c r="R1978" s="10">
        <f>IF(A1978="D",LEFT(UPPER(B1978)&amp;REPT(" ",20),20),REPT(" ",20))</f>
        <v/>
      </c>
      <c r="S1978" s="10">
        <f>IF(A1978="D",LEFT(UPPER(C1978)&amp;REPT(" ",10),10)," ")</f>
        <v/>
      </c>
      <c r="T1978" s="10">
        <f>IF(A1978="D",LEFT(UPPER(D1978)&amp;REPT(" ",2),2)," ")</f>
        <v/>
      </c>
      <c r="U1978" s="10">
        <f>IF(A1978="D",LEFT(UPPER(E1978)&amp;REPT(" ",15),15)," ")</f>
        <v/>
      </c>
      <c r="V1978" s="10">
        <f>REPT(" ",24)</f>
        <v/>
      </c>
      <c r="W1978" s="10">
        <f>IF(A1978="c",LEFT(UPPER(B1978)&amp;REPT(" ",20),20),REPT(" ",20))</f>
        <v/>
      </c>
      <c r="X1978" s="10">
        <f>IF(A1978="C",LEFT(UPPER(C1978)&amp;REPT(" ",10),10)," ")</f>
        <v/>
      </c>
      <c r="Y1978" s="10">
        <f>IF(A1978="C",LEFT(UPPER(D1978)&amp;REPT(" ",2),2)," ")</f>
        <v/>
      </c>
      <c r="Z1978" s="10">
        <f>IF(A1978="C",LEFT(UPPER(E1978)&amp;REPT(" ",15),15)," ")</f>
        <v/>
      </c>
      <c r="AA1978" s="10">
        <f>REPT(" ",8)</f>
        <v/>
      </c>
      <c r="AB1978" s="10">
        <f>REPT(" ",4)</f>
        <v/>
      </c>
      <c r="AC1978" s="10">
        <f>LEFT(UPPER(H1978)&amp;REPT(" ",250),250)</f>
        <v/>
      </c>
      <c r="AD1978" s="10">
        <f>TEXT($G$2,"dd/mm/aaaa")</f>
        <v/>
      </c>
      <c r="AE1978" s="10">
        <f>REPT(" ",10)</f>
        <v/>
      </c>
      <c r="AF1978" s="10">
        <f>REPT(" ",20)</f>
        <v/>
      </c>
      <c r="AG1978" s="54">
        <f>REPT(" ",18-LEN(FIXED(F1978,2,TRUE)))&amp;FIXED(F1978,2,TRUE)</f>
        <v/>
      </c>
      <c r="AH1978" s="10">
        <f>LEN(AC1978)+LEN(AG1978)</f>
        <v/>
      </c>
      <c r="AI1978" s="10">
        <f>LEN(L1978)</f>
        <v/>
      </c>
    </row>
    <row r="1979">
      <c r="J1979" s="12">
        <f>IF(F1979&lt;&gt;0,"LANÇAR","")</f>
        <v/>
      </c>
      <c r="L1979" s="13">
        <f>N1979&amp;O1979&amp;P1979&amp;Q1979&amp;R1979&amp;S1979&amp;T1979&amp;U1979&amp;V1979&amp;W1979&amp;X1979&amp;Y1979&amp;Z1979&amp;AA1979&amp;AB1979&amp;AC1979&amp;AD1979&amp;AE1979&amp;AF1979&amp;AG1979</f>
        <v/>
      </c>
      <c r="N1979" s="10">
        <f>TEXT($B$6,"00")</f>
        <v/>
      </c>
      <c r="O1979" s="10">
        <f>REPT(" ",8)</f>
        <v/>
      </c>
      <c r="P1979" s="10">
        <f>RIGHT($B$4,2)</f>
        <v/>
      </c>
      <c r="Q1979" s="10">
        <f>RIGHT($B$5,3)</f>
        <v/>
      </c>
      <c r="R1979" s="10">
        <f>IF(A1979="D",LEFT(UPPER(B1979)&amp;REPT(" ",20),20),REPT(" ",20))</f>
        <v/>
      </c>
      <c r="S1979" s="10">
        <f>IF(A1979="D",LEFT(UPPER(C1979)&amp;REPT(" ",10),10)," ")</f>
        <v/>
      </c>
      <c r="T1979" s="10">
        <f>IF(A1979="D",LEFT(UPPER(D1979)&amp;REPT(" ",2),2)," ")</f>
        <v/>
      </c>
      <c r="U1979" s="10">
        <f>IF(A1979="D",LEFT(UPPER(E1979)&amp;REPT(" ",15),15)," ")</f>
        <v/>
      </c>
      <c r="V1979" s="10">
        <f>REPT(" ",24)</f>
        <v/>
      </c>
      <c r="W1979" s="10">
        <f>IF(A1979="c",LEFT(UPPER(B1979)&amp;REPT(" ",20),20),REPT(" ",20))</f>
        <v/>
      </c>
      <c r="X1979" s="10">
        <f>IF(A1979="C",LEFT(UPPER(C1979)&amp;REPT(" ",10),10)," ")</f>
        <v/>
      </c>
      <c r="Y1979" s="10">
        <f>IF(A1979="C",LEFT(UPPER(D1979)&amp;REPT(" ",2),2)," ")</f>
        <v/>
      </c>
      <c r="Z1979" s="10">
        <f>IF(A1979="C",LEFT(UPPER(E1979)&amp;REPT(" ",15),15)," ")</f>
        <v/>
      </c>
      <c r="AA1979" s="10">
        <f>REPT(" ",8)</f>
        <v/>
      </c>
      <c r="AB1979" s="10">
        <f>REPT(" ",4)</f>
        <v/>
      </c>
      <c r="AC1979" s="10">
        <f>LEFT(UPPER(H1979)&amp;REPT(" ",250),250)</f>
        <v/>
      </c>
      <c r="AD1979" s="10">
        <f>TEXT($G$2,"dd/mm/aaaa")</f>
        <v/>
      </c>
      <c r="AE1979" s="10">
        <f>REPT(" ",10)</f>
        <v/>
      </c>
      <c r="AF1979" s="10">
        <f>REPT(" ",20)</f>
        <v/>
      </c>
      <c r="AG1979" s="54">
        <f>REPT(" ",18-LEN(FIXED(F1979,2,TRUE)))&amp;FIXED(F1979,2,TRUE)</f>
        <v/>
      </c>
      <c r="AH1979" s="10">
        <f>LEN(AC1979)+LEN(AG1979)</f>
        <v/>
      </c>
      <c r="AI1979" s="10">
        <f>LEN(L1979)</f>
        <v/>
      </c>
    </row>
    <row r="1980">
      <c r="J1980" s="12">
        <f>IF(F1980&lt;&gt;0,"LANÇAR","")</f>
        <v/>
      </c>
      <c r="L1980" s="13">
        <f>N1980&amp;O1980&amp;P1980&amp;Q1980&amp;R1980&amp;S1980&amp;T1980&amp;U1980&amp;V1980&amp;W1980&amp;X1980&amp;Y1980&amp;Z1980&amp;AA1980&amp;AB1980&amp;AC1980&amp;AD1980&amp;AE1980&amp;AF1980&amp;AG1980</f>
        <v/>
      </c>
      <c r="N1980" s="10">
        <f>TEXT($B$6,"00")</f>
        <v/>
      </c>
      <c r="O1980" s="10">
        <f>REPT(" ",8)</f>
        <v/>
      </c>
      <c r="P1980" s="10">
        <f>RIGHT($B$4,2)</f>
        <v/>
      </c>
      <c r="Q1980" s="10">
        <f>RIGHT($B$5,3)</f>
        <v/>
      </c>
      <c r="R1980" s="10">
        <f>IF(A1980="D",LEFT(UPPER(B1980)&amp;REPT(" ",20),20),REPT(" ",20))</f>
        <v/>
      </c>
      <c r="S1980" s="10">
        <f>IF(A1980="D",LEFT(UPPER(C1980)&amp;REPT(" ",10),10)," ")</f>
        <v/>
      </c>
      <c r="T1980" s="10">
        <f>IF(A1980="D",LEFT(UPPER(D1980)&amp;REPT(" ",2),2)," ")</f>
        <v/>
      </c>
      <c r="U1980" s="10">
        <f>IF(A1980="D",LEFT(UPPER(E1980)&amp;REPT(" ",15),15)," ")</f>
        <v/>
      </c>
      <c r="V1980" s="10">
        <f>REPT(" ",24)</f>
        <v/>
      </c>
      <c r="W1980" s="10">
        <f>IF(A1980="c",LEFT(UPPER(B1980)&amp;REPT(" ",20),20),REPT(" ",20))</f>
        <v/>
      </c>
      <c r="X1980" s="10">
        <f>IF(A1980="C",LEFT(UPPER(C1980)&amp;REPT(" ",10),10)," ")</f>
        <v/>
      </c>
      <c r="Y1980" s="10">
        <f>IF(A1980="C",LEFT(UPPER(D1980)&amp;REPT(" ",2),2)," ")</f>
        <v/>
      </c>
      <c r="Z1980" s="10">
        <f>IF(A1980="C",LEFT(UPPER(E1980)&amp;REPT(" ",15),15)," ")</f>
        <v/>
      </c>
      <c r="AA1980" s="10">
        <f>REPT(" ",8)</f>
        <v/>
      </c>
      <c r="AB1980" s="10">
        <f>REPT(" ",4)</f>
        <v/>
      </c>
      <c r="AC1980" s="10">
        <f>LEFT(UPPER(H1980)&amp;REPT(" ",250),250)</f>
        <v/>
      </c>
      <c r="AD1980" s="10">
        <f>TEXT($G$2,"dd/mm/aaaa")</f>
        <v/>
      </c>
      <c r="AE1980" s="10">
        <f>REPT(" ",10)</f>
        <v/>
      </c>
      <c r="AF1980" s="10">
        <f>REPT(" ",20)</f>
        <v/>
      </c>
      <c r="AG1980" s="54">
        <f>REPT(" ",18-LEN(FIXED(F1980,2,TRUE)))&amp;FIXED(F1980,2,TRUE)</f>
        <v/>
      </c>
      <c r="AH1980" s="10">
        <f>LEN(AC1980)+LEN(AG1980)</f>
        <v/>
      </c>
      <c r="AI1980" s="10">
        <f>LEN(L1980)</f>
        <v/>
      </c>
    </row>
    <row r="1981">
      <c r="J1981" s="12">
        <f>IF(F1981&lt;&gt;0,"LANÇAR","")</f>
        <v/>
      </c>
      <c r="L1981" s="13">
        <f>N1981&amp;O1981&amp;P1981&amp;Q1981&amp;R1981&amp;S1981&amp;T1981&amp;U1981&amp;V1981&amp;W1981&amp;X1981&amp;Y1981&amp;Z1981&amp;AA1981&amp;AB1981&amp;AC1981&amp;AD1981&amp;AE1981&amp;AF1981&amp;AG1981</f>
        <v/>
      </c>
      <c r="N1981" s="10">
        <f>TEXT($B$6,"00")</f>
        <v/>
      </c>
      <c r="O1981" s="10">
        <f>REPT(" ",8)</f>
        <v/>
      </c>
      <c r="P1981" s="10">
        <f>RIGHT($B$4,2)</f>
        <v/>
      </c>
      <c r="Q1981" s="10">
        <f>RIGHT($B$5,3)</f>
        <v/>
      </c>
      <c r="R1981" s="10">
        <f>IF(A1981="D",LEFT(UPPER(B1981)&amp;REPT(" ",20),20),REPT(" ",20))</f>
        <v/>
      </c>
      <c r="S1981" s="10">
        <f>IF(A1981="D",LEFT(UPPER(C1981)&amp;REPT(" ",10),10)," ")</f>
        <v/>
      </c>
      <c r="T1981" s="10">
        <f>IF(A1981="D",LEFT(UPPER(D1981)&amp;REPT(" ",2),2)," ")</f>
        <v/>
      </c>
      <c r="U1981" s="10">
        <f>IF(A1981="D",LEFT(UPPER(E1981)&amp;REPT(" ",15),15)," ")</f>
        <v/>
      </c>
      <c r="V1981" s="10">
        <f>REPT(" ",24)</f>
        <v/>
      </c>
      <c r="W1981" s="10">
        <f>IF(A1981="c",LEFT(UPPER(B1981)&amp;REPT(" ",20),20),REPT(" ",20))</f>
        <v/>
      </c>
      <c r="X1981" s="10">
        <f>IF(A1981="C",LEFT(UPPER(C1981)&amp;REPT(" ",10),10)," ")</f>
        <v/>
      </c>
      <c r="Y1981" s="10">
        <f>IF(A1981="C",LEFT(UPPER(D1981)&amp;REPT(" ",2),2)," ")</f>
        <v/>
      </c>
      <c r="Z1981" s="10">
        <f>IF(A1981="C",LEFT(UPPER(E1981)&amp;REPT(" ",15),15)," ")</f>
        <v/>
      </c>
      <c r="AA1981" s="10">
        <f>REPT(" ",8)</f>
        <v/>
      </c>
      <c r="AB1981" s="10">
        <f>REPT(" ",4)</f>
        <v/>
      </c>
      <c r="AC1981" s="10">
        <f>LEFT(UPPER(H1981)&amp;REPT(" ",250),250)</f>
        <v/>
      </c>
      <c r="AD1981" s="10">
        <f>TEXT($G$2,"dd/mm/aaaa")</f>
        <v/>
      </c>
      <c r="AE1981" s="10">
        <f>REPT(" ",10)</f>
        <v/>
      </c>
      <c r="AF1981" s="10">
        <f>REPT(" ",20)</f>
        <v/>
      </c>
      <c r="AG1981" s="54">
        <f>REPT(" ",18-LEN(FIXED(F1981,2,TRUE)))&amp;FIXED(F1981,2,TRUE)</f>
        <v/>
      </c>
      <c r="AH1981" s="10">
        <f>LEN(AC1981)+LEN(AG1981)</f>
        <v/>
      </c>
      <c r="AI1981" s="10">
        <f>LEN(L1981)</f>
        <v/>
      </c>
    </row>
    <row r="1982">
      <c r="J1982" s="12">
        <f>IF(F1982&lt;&gt;0,"LANÇAR","")</f>
        <v/>
      </c>
      <c r="L1982" s="13">
        <f>N1982&amp;O1982&amp;P1982&amp;Q1982&amp;R1982&amp;S1982&amp;T1982&amp;U1982&amp;V1982&amp;W1982&amp;X1982&amp;Y1982&amp;Z1982&amp;AA1982&amp;AB1982&amp;AC1982&amp;AD1982&amp;AE1982&amp;AF1982&amp;AG1982</f>
        <v/>
      </c>
      <c r="N1982" s="10">
        <f>TEXT($B$6,"00")</f>
        <v/>
      </c>
      <c r="O1982" s="10">
        <f>REPT(" ",8)</f>
        <v/>
      </c>
      <c r="P1982" s="10">
        <f>RIGHT($B$4,2)</f>
        <v/>
      </c>
      <c r="Q1982" s="10">
        <f>RIGHT($B$5,3)</f>
        <v/>
      </c>
      <c r="R1982" s="10">
        <f>IF(A1982="D",LEFT(UPPER(B1982)&amp;REPT(" ",20),20),REPT(" ",20))</f>
        <v/>
      </c>
      <c r="S1982" s="10">
        <f>IF(A1982="D",LEFT(UPPER(C1982)&amp;REPT(" ",10),10)," ")</f>
        <v/>
      </c>
      <c r="T1982" s="10">
        <f>IF(A1982="D",LEFT(UPPER(D1982)&amp;REPT(" ",2),2)," ")</f>
        <v/>
      </c>
      <c r="U1982" s="10">
        <f>IF(A1982="D",LEFT(UPPER(E1982)&amp;REPT(" ",15),15)," ")</f>
        <v/>
      </c>
      <c r="V1982" s="10">
        <f>REPT(" ",24)</f>
        <v/>
      </c>
      <c r="W1982" s="10">
        <f>IF(A1982="c",LEFT(UPPER(B1982)&amp;REPT(" ",20),20),REPT(" ",20))</f>
        <v/>
      </c>
      <c r="X1982" s="10">
        <f>IF(A1982="C",LEFT(UPPER(C1982)&amp;REPT(" ",10),10)," ")</f>
        <v/>
      </c>
      <c r="Y1982" s="10">
        <f>IF(A1982="C",LEFT(UPPER(D1982)&amp;REPT(" ",2),2)," ")</f>
        <v/>
      </c>
      <c r="Z1982" s="10">
        <f>IF(A1982="C",LEFT(UPPER(E1982)&amp;REPT(" ",15),15)," ")</f>
        <v/>
      </c>
      <c r="AA1982" s="10">
        <f>REPT(" ",8)</f>
        <v/>
      </c>
      <c r="AB1982" s="10">
        <f>REPT(" ",4)</f>
        <v/>
      </c>
      <c r="AC1982" s="10">
        <f>LEFT(UPPER(H1982)&amp;REPT(" ",250),250)</f>
        <v/>
      </c>
      <c r="AD1982" s="10">
        <f>TEXT($G$2,"dd/mm/aaaa")</f>
        <v/>
      </c>
      <c r="AE1982" s="10">
        <f>REPT(" ",10)</f>
        <v/>
      </c>
      <c r="AF1982" s="10">
        <f>REPT(" ",20)</f>
        <v/>
      </c>
      <c r="AG1982" s="54">
        <f>REPT(" ",18-LEN(FIXED(F1982,2,TRUE)))&amp;FIXED(F1982,2,TRUE)</f>
        <v/>
      </c>
      <c r="AH1982" s="10">
        <f>LEN(AC1982)+LEN(AG1982)</f>
        <v/>
      </c>
      <c r="AI1982" s="10">
        <f>LEN(L1982)</f>
        <v/>
      </c>
    </row>
    <row r="1983">
      <c r="J1983" s="12">
        <f>IF(F1983&lt;&gt;0,"LANÇAR","")</f>
        <v/>
      </c>
      <c r="L1983" s="13">
        <f>N1983&amp;O1983&amp;P1983&amp;Q1983&amp;R1983&amp;S1983&amp;T1983&amp;U1983&amp;V1983&amp;W1983&amp;X1983&amp;Y1983&amp;Z1983&amp;AA1983&amp;AB1983&amp;AC1983&amp;AD1983&amp;AE1983&amp;AF1983&amp;AG1983</f>
        <v/>
      </c>
      <c r="N1983" s="10">
        <f>TEXT($B$6,"00")</f>
        <v/>
      </c>
      <c r="O1983" s="10">
        <f>REPT(" ",8)</f>
        <v/>
      </c>
      <c r="P1983" s="10">
        <f>RIGHT($B$4,2)</f>
        <v/>
      </c>
      <c r="Q1983" s="10">
        <f>RIGHT($B$5,3)</f>
        <v/>
      </c>
      <c r="R1983" s="10">
        <f>IF(A1983="D",LEFT(UPPER(B1983)&amp;REPT(" ",20),20),REPT(" ",20))</f>
        <v/>
      </c>
      <c r="S1983" s="10">
        <f>IF(A1983="D",LEFT(UPPER(C1983)&amp;REPT(" ",10),10)," ")</f>
        <v/>
      </c>
      <c r="T1983" s="10">
        <f>IF(A1983="D",LEFT(UPPER(D1983)&amp;REPT(" ",2),2)," ")</f>
        <v/>
      </c>
      <c r="U1983" s="10">
        <f>IF(A1983="D",LEFT(UPPER(E1983)&amp;REPT(" ",15),15)," ")</f>
        <v/>
      </c>
      <c r="V1983" s="10">
        <f>REPT(" ",24)</f>
        <v/>
      </c>
      <c r="W1983" s="10">
        <f>IF(A1983="c",LEFT(UPPER(B1983)&amp;REPT(" ",20),20),REPT(" ",20))</f>
        <v/>
      </c>
      <c r="X1983" s="10">
        <f>IF(A1983="C",LEFT(UPPER(C1983)&amp;REPT(" ",10),10)," ")</f>
        <v/>
      </c>
      <c r="Y1983" s="10">
        <f>IF(A1983="C",LEFT(UPPER(D1983)&amp;REPT(" ",2),2)," ")</f>
        <v/>
      </c>
      <c r="Z1983" s="10">
        <f>IF(A1983="C",LEFT(UPPER(E1983)&amp;REPT(" ",15),15)," ")</f>
        <v/>
      </c>
      <c r="AA1983" s="10">
        <f>REPT(" ",8)</f>
        <v/>
      </c>
      <c r="AB1983" s="10">
        <f>REPT(" ",4)</f>
        <v/>
      </c>
      <c r="AC1983" s="10">
        <f>LEFT(UPPER(H1983)&amp;REPT(" ",250),250)</f>
        <v/>
      </c>
      <c r="AD1983" s="10">
        <f>TEXT($G$2,"dd/mm/aaaa")</f>
        <v/>
      </c>
      <c r="AE1983" s="10">
        <f>REPT(" ",10)</f>
        <v/>
      </c>
      <c r="AF1983" s="10">
        <f>REPT(" ",20)</f>
        <v/>
      </c>
      <c r="AG1983" s="54">
        <f>REPT(" ",18-LEN(FIXED(F1983,2,TRUE)))&amp;FIXED(F1983,2,TRUE)</f>
        <v/>
      </c>
      <c r="AH1983" s="10">
        <f>LEN(AC1983)+LEN(AG1983)</f>
        <v/>
      </c>
      <c r="AI1983" s="10">
        <f>LEN(L1983)</f>
        <v/>
      </c>
    </row>
    <row r="1984">
      <c r="J1984" s="12">
        <f>IF(F1984&lt;&gt;0,"LANÇAR","")</f>
        <v/>
      </c>
      <c r="L1984" s="13">
        <f>N1984&amp;O1984&amp;P1984&amp;Q1984&amp;R1984&amp;S1984&amp;T1984&amp;U1984&amp;V1984&amp;W1984&amp;X1984&amp;Y1984&amp;Z1984&amp;AA1984&amp;AB1984&amp;AC1984&amp;AD1984&amp;AE1984&amp;AF1984&amp;AG1984</f>
        <v/>
      </c>
      <c r="N1984" s="10">
        <f>TEXT($B$6,"00")</f>
        <v/>
      </c>
      <c r="O1984" s="10">
        <f>REPT(" ",8)</f>
        <v/>
      </c>
      <c r="P1984" s="10">
        <f>RIGHT($B$4,2)</f>
        <v/>
      </c>
      <c r="Q1984" s="10">
        <f>RIGHT($B$5,3)</f>
        <v/>
      </c>
      <c r="R1984" s="10">
        <f>IF(A1984="D",LEFT(UPPER(B1984)&amp;REPT(" ",20),20),REPT(" ",20))</f>
        <v/>
      </c>
      <c r="S1984" s="10">
        <f>IF(A1984="D",LEFT(UPPER(C1984)&amp;REPT(" ",10),10)," ")</f>
        <v/>
      </c>
      <c r="T1984" s="10">
        <f>IF(A1984="D",LEFT(UPPER(D1984)&amp;REPT(" ",2),2)," ")</f>
        <v/>
      </c>
      <c r="U1984" s="10">
        <f>IF(A1984="D",LEFT(UPPER(E1984)&amp;REPT(" ",15),15)," ")</f>
        <v/>
      </c>
      <c r="V1984" s="10">
        <f>REPT(" ",24)</f>
        <v/>
      </c>
      <c r="W1984" s="10">
        <f>IF(A1984="c",LEFT(UPPER(B1984)&amp;REPT(" ",20),20),REPT(" ",20))</f>
        <v/>
      </c>
      <c r="X1984" s="10">
        <f>IF(A1984="C",LEFT(UPPER(C1984)&amp;REPT(" ",10),10)," ")</f>
        <v/>
      </c>
      <c r="Y1984" s="10">
        <f>IF(A1984="C",LEFT(UPPER(D1984)&amp;REPT(" ",2),2)," ")</f>
        <v/>
      </c>
      <c r="Z1984" s="10">
        <f>IF(A1984="C",LEFT(UPPER(E1984)&amp;REPT(" ",15),15)," ")</f>
        <v/>
      </c>
      <c r="AA1984" s="10">
        <f>REPT(" ",8)</f>
        <v/>
      </c>
      <c r="AB1984" s="10">
        <f>REPT(" ",4)</f>
        <v/>
      </c>
      <c r="AC1984" s="10">
        <f>LEFT(UPPER(H1984)&amp;REPT(" ",250),250)</f>
        <v/>
      </c>
      <c r="AD1984" s="10">
        <f>TEXT($G$2,"dd/mm/aaaa")</f>
        <v/>
      </c>
      <c r="AE1984" s="10">
        <f>REPT(" ",10)</f>
        <v/>
      </c>
      <c r="AF1984" s="10">
        <f>REPT(" ",20)</f>
        <v/>
      </c>
      <c r="AG1984" s="54">
        <f>REPT(" ",18-LEN(FIXED(F1984,2,TRUE)))&amp;FIXED(F1984,2,TRUE)</f>
        <v/>
      </c>
      <c r="AH1984" s="10">
        <f>LEN(AC1984)+LEN(AG1984)</f>
        <v/>
      </c>
      <c r="AI1984" s="10">
        <f>LEN(L1984)</f>
        <v/>
      </c>
    </row>
    <row r="1985">
      <c r="J1985" s="12">
        <f>IF(F1985&lt;&gt;0,"LANÇAR","")</f>
        <v/>
      </c>
      <c r="L1985" s="13">
        <f>N1985&amp;O1985&amp;P1985&amp;Q1985&amp;R1985&amp;S1985&amp;T1985&amp;U1985&amp;V1985&amp;W1985&amp;X1985&amp;Y1985&amp;Z1985&amp;AA1985&amp;AB1985&amp;AC1985&amp;AD1985&amp;AE1985&amp;AF1985&amp;AG1985</f>
        <v/>
      </c>
      <c r="N1985" s="10">
        <f>TEXT($B$6,"00")</f>
        <v/>
      </c>
      <c r="O1985" s="10">
        <f>REPT(" ",8)</f>
        <v/>
      </c>
      <c r="P1985" s="10">
        <f>RIGHT($B$4,2)</f>
        <v/>
      </c>
      <c r="Q1985" s="10">
        <f>RIGHT($B$5,3)</f>
        <v/>
      </c>
      <c r="R1985" s="10">
        <f>IF(A1985="D",LEFT(UPPER(B1985)&amp;REPT(" ",20),20),REPT(" ",20))</f>
        <v/>
      </c>
      <c r="S1985" s="10">
        <f>IF(A1985="D",LEFT(UPPER(C1985)&amp;REPT(" ",10),10)," ")</f>
        <v/>
      </c>
      <c r="T1985" s="10">
        <f>IF(A1985="D",LEFT(UPPER(D1985)&amp;REPT(" ",2),2)," ")</f>
        <v/>
      </c>
      <c r="U1985" s="10">
        <f>IF(A1985="D",LEFT(UPPER(E1985)&amp;REPT(" ",15),15)," ")</f>
        <v/>
      </c>
      <c r="V1985" s="10">
        <f>REPT(" ",24)</f>
        <v/>
      </c>
      <c r="W1985" s="10">
        <f>IF(A1985="c",LEFT(UPPER(B1985)&amp;REPT(" ",20),20),REPT(" ",20))</f>
        <v/>
      </c>
      <c r="X1985" s="10">
        <f>IF(A1985="C",LEFT(UPPER(C1985)&amp;REPT(" ",10),10)," ")</f>
        <v/>
      </c>
      <c r="Y1985" s="10">
        <f>IF(A1985="C",LEFT(UPPER(D1985)&amp;REPT(" ",2),2)," ")</f>
        <v/>
      </c>
      <c r="Z1985" s="10">
        <f>IF(A1985="C",LEFT(UPPER(E1985)&amp;REPT(" ",15),15)," ")</f>
        <v/>
      </c>
      <c r="AA1985" s="10">
        <f>REPT(" ",8)</f>
        <v/>
      </c>
      <c r="AB1985" s="10">
        <f>REPT(" ",4)</f>
        <v/>
      </c>
      <c r="AC1985" s="10">
        <f>LEFT(UPPER(H1985)&amp;REPT(" ",250),250)</f>
        <v/>
      </c>
      <c r="AD1985" s="10">
        <f>TEXT($G$2,"dd/mm/aaaa")</f>
        <v/>
      </c>
      <c r="AE1985" s="10">
        <f>REPT(" ",10)</f>
        <v/>
      </c>
      <c r="AF1985" s="10">
        <f>REPT(" ",20)</f>
        <v/>
      </c>
      <c r="AG1985" s="54">
        <f>REPT(" ",18-LEN(FIXED(F1985,2,TRUE)))&amp;FIXED(F1985,2,TRUE)</f>
        <v/>
      </c>
      <c r="AH1985" s="10">
        <f>LEN(AC1985)+LEN(AG1985)</f>
        <v/>
      </c>
      <c r="AI1985" s="10">
        <f>LEN(L1985)</f>
        <v/>
      </c>
    </row>
    <row r="1986">
      <c r="J1986" s="12">
        <f>IF(F1986&lt;&gt;0,"LANÇAR","")</f>
        <v/>
      </c>
      <c r="L1986" s="13">
        <f>N1986&amp;O1986&amp;P1986&amp;Q1986&amp;R1986&amp;S1986&amp;T1986&amp;U1986&amp;V1986&amp;W1986&amp;X1986&amp;Y1986&amp;Z1986&amp;AA1986&amp;AB1986&amp;AC1986&amp;AD1986&amp;AE1986&amp;AF1986&amp;AG1986</f>
        <v/>
      </c>
      <c r="N1986" s="10">
        <f>TEXT($B$6,"00")</f>
        <v/>
      </c>
      <c r="O1986" s="10">
        <f>REPT(" ",8)</f>
        <v/>
      </c>
      <c r="P1986" s="10">
        <f>RIGHT($B$4,2)</f>
        <v/>
      </c>
      <c r="Q1986" s="10">
        <f>RIGHT($B$5,3)</f>
        <v/>
      </c>
      <c r="R1986" s="10">
        <f>IF(A1986="D",LEFT(UPPER(B1986)&amp;REPT(" ",20),20),REPT(" ",20))</f>
        <v/>
      </c>
      <c r="S1986" s="10">
        <f>IF(A1986="D",LEFT(UPPER(C1986)&amp;REPT(" ",10),10)," ")</f>
        <v/>
      </c>
      <c r="T1986" s="10">
        <f>IF(A1986="D",LEFT(UPPER(D1986)&amp;REPT(" ",2),2)," ")</f>
        <v/>
      </c>
      <c r="U1986" s="10">
        <f>IF(A1986="D",LEFT(UPPER(E1986)&amp;REPT(" ",15),15)," ")</f>
        <v/>
      </c>
      <c r="V1986" s="10">
        <f>REPT(" ",24)</f>
        <v/>
      </c>
      <c r="W1986" s="10">
        <f>IF(A1986="c",LEFT(UPPER(B1986)&amp;REPT(" ",20),20),REPT(" ",20))</f>
        <v/>
      </c>
      <c r="X1986" s="10">
        <f>IF(A1986="C",LEFT(UPPER(C1986)&amp;REPT(" ",10),10)," ")</f>
        <v/>
      </c>
      <c r="Y1986" s="10">
        <f>IF(A1986="C",LEFT(UPPER(D1986)&amp;REPT(" ",2),2)," ")</f>
        <v/>
      </c>
      <c r="Z1986" s="10">
        <f>IF(A1986="C",LEFT(UPPER(E1986)&amp;REPT(" ",15),15)," ")</f>
        <v/>
      </c>
      <c r="AA1986" s="10">
        <f>REPT(" ",8)</f>
        <v/>
      </c>
      <c r="AB1986" s="10">
        <f>REPT(" ",4)</f>
        <v/>
      </c>
      <c r="AC1986" s="10">
        <f>LEFT(UPPER(H1986)&amp;REPT(" ",250),250)</f>
        <v/>
      </c>
      <c r="AD1986" s="10">
        <f>TEXT($G$2,"dd/mm/aaaa")</f>
        <v/>
      </c>
      <c r="AE1986" s="10">
        <f>REPT(" ",10)</f>
        <v/>
      </c>
      <c r="AF1986" s="10">
        <f>REPT(" ",20)</f>
        <v/>
      </c>
      <c r="AG1986" s="54">
        <f>REPT(" ",18-LEN(FIXED(F1986,2,TRUE)))&amp;FIXED(F1986,2,TRUE)</f>
        <v/>
      </c>
      <c r="AH1986" s="10">
        <f>LEN(AC1986)+LEN(AG1986)</f>
        <v/>
      </c>
      <c r="AI1986" s="10">
        <f>LEN(L1986)</f>
        <v/>
      </c>
    </row>
    <row r="1987">
      <c r="J1987" s="12">
        <f>IF(F1987&lt;&gt;0,"LANÇAR","")</f>
        <v/>
      </c>
      <c r="L1987" s="13">
        <f>N1987&amp;O1987&amp;P1987&amp;Q1987&amp;R1987&amp;S1987&amp;T1987&amp;U1987&amp;V1987&amp;W1987&amp;X1987&amp;Y1987&amp;Z1987&amp;AA1987&amp;AB1987&amp;AC1987&amp;AD1987&amp;AE1987&amp;AF1987&amp;AG1987</f>
        <v/>
      </c>
      <c r="N1987" s="10">
        <f>TEXT($B$6,"00")</f>
        <v/>
      </c>
      <c r="O1987" s="10">
        <f>REPT(" ",8)</f>
        <v/>
      </c>
      <c r="P1987" s="10">
        <f>RIGHT($B$4,2)</f>
        <v/>
      </c>
      <c r="Q1987" s="10">
        <f>RIGHT($B$5,3)</f>
        <v/>
      </c>
      <c r="R1987" s="10">
        <f>IF(A1987="D",LEFT(UPPER(B1987)&amp;REPT(" ",20),20),REPT(" ",20))</f>
        <v/>
      </c>
      <c r="S1987" s="10">
        <f>IF(A1987="D",LEFT(UPPER(C1987)&amp;REPT(" ",10),10)," ")</f>
        <v/>
      </c>
      <c r="T1987" s="10">
        <f>IF(A1987="D",LEFT(UPPER(D1987)&amp;REPT(" ",2),2)," ")</f>
        <v/>
      </c>
      <c r="U1987" s="10">
        <f>IF(A1987="D",LEFT(UPPER(E1987)&amp;REPT(" ",15),15)," ")</f>
        <v/>
      </c>
      <c r="V1987" s="10">
        <f>REPT(" ",24)</f>
        <v/>
      </c>
      <c r="W1987" s="10">
        <f>IF(A1987="c",LEFT(UPPER(B1987)&amp;REPT(" ",20),20),REPT(" ",20))</f>
        <v/>
      </c>
      <c r="X1987" s="10">
        <f>IF(A1987="C",LEFT(UPPER(C1987)&amp;REPT(" ",10),10)," ")</f>
        <v/>
      </c>
      <c r="Y1987" s="10">
        <f>IF(A1987="C",LEFT(UPPER(D1987)&amp;REPT(" ",2),2)," ")</f>
        <v/>
      </c>
      <c r="Z1987" s="10">
        <f>IF(A1987="C",LEFT(UPPER(E1987)&amp;REPT(" ",15),15)," ")</f>
        <v/>
      </c>
      <c r="AA1987" s="10">
        <f>REPT(" ",8)</f>
        <v/>
      </c>
      <c r="AB1987" s="10">
        <f>REPT(" ",4)</f>
        <v/>
      </c>
      <c r="AC1987" s="10">
        <f>LEFT(UPPER(H1987)&amp;REPT(" ",250),250)</f>
        <v/>
      </c>
      <c r="AD1987" s="10">
        <f>TEXT($G$2,"dd/mm/aaaa")</f>
        <v/>
      </c>
      <c r="AE1987" s="10">
        <f>REPT(" ",10)</f>
        <v/>
      </c>
      <c r="AF1987" s="10">
        <f>REPT(" ",20)</f>
        <v/>
      </c>
      <c r="AG1987" s="54">
        <f>REPT(" ",18-LEN(FIXED(F1987,2,TRUE)))&amp;FIXED(F1987,2,TRUE)</f>
        <v/>
      </c>
      <c r="AH1987" s="10">
        <f>LEN(AC1987)+LEN(AG1987)</f>
        <v/>
      </c>
      <c r="AI1987" s="10">
        <f>LEN(L1987)</f>
        <v/>
      </c>
    </row>
    <row r="1988">
      <c r="J1988" s="12">
        <f>IF(F1988&lt;&gt;0,"LANÇAR","")</f>
        <v/>
      </c>
      <c r="L1988" s="13">
        <f>N1988&amp;O1988&amp;P1988&amp;Q1988&amp;R1988&amp;S1988&amp;T1988&amp;U1988&amp;V1988&amp;W1988&amp;X1988&amp;Y1988&amp;Z1988&amp;AA1988&amp;AB1988&amp;AC1988&amp;AD1988&amp;AE1988&amp;AF1988&amp;AG1988</f>
        <v/>
      </c>
      <c r="N1988" s="10">
        <f>TEXT($B$6,"00")</f>
        <v/>
      </c>
      <c r="O1988" s="10">
        <f>REPT(" ",8)</f>
        <v/>
      </c>
      <c r="P1988" s="10">
        <f>RIGHT($B$4,2)</f>
        <v/>
      </c>
      <c r="Q1988" s="10">
        <f>RIGHT($B$5,3)</f>
        <v/>
      </c>
      <c r="R1988" s="10">
        <f>IF(A1988="D",LEFT(UPPER(B1988)&amp;REPT(" ",20),20),REPT(" ",20))</f>
        <v/>
      </c>
      <c r="S1988" s="10">
        <f>IF(A1988="D",LEFT(UPPER(C1988)&amp;REPT(" ",10),10)," ")</f>
        <v/>
      </c>
      <c r="T1988" s="10">
        <f>IF(A1988="D",LEFT(UPPER(D1988)&amp;REPT(" ",2),2)," ")</f>
        <v/>
      </c>
      <c r="U1988" s="10">
        <f>IF(A1988="D",LEFT(UPPER(E1988)&amp;REPT(" ",15),15)," ")</f>
        <v/>
      </c>
      <c r="V1988" s="10">
        <f>REPT(" ",24)</f>
        <v/>
      </c>
      <c r="W1988" s="10">
        <f>IF(A1988="c",LEFT(UPPER(B1988)&amp;REPT(" ",20),20),REPT(" ",20))</f>
        <v/>
      </c>
      <c r="X1988" s="10">
        <f>IF(A1988="C",LEFT(UPPER(C1988)&amp;REPT(" ",10),10)," ")</f>
        <v/>
      </c>
      <c r="Y1988" s="10">
        <f>IF(A1988="C",LEFT(UPPER(D1988)&amp;REPT(" ",2),2)," ")</f>
        <v/>
      </c>
      <c r="Z1988" s="10">
        <f>IF(A1988="C",LEFT(UPPER(E1988)&amp;REPT(" ",15),15)," ")</f>
        <v/>
      </c>
      <c r="AA1988" s="10">
        <f>REPT(" ",8)</f>
        <v/>
      </c>
      <c r="AB1988" s="10">
        <f>REPT(" ",4)</f>
        <v/>
      </c>
      <c r="AC1988" s="10">
        <f>LEFT(UPPER(H1988)&amp;REPT(" ",250),250)</f>
        <v/>
      </c>
      <c r="AD1988" s="10">
        <f>TEXT($G$2,"dd/mm/aaaa")</f>
        <v/>
      </c>
      <c r="AE1988" s="10">
        <f>REPT(" ",10)</f>
        <v/>
      </c>
      <c r="AF1988" s="10">
        <f>REPT(" ",20)</f>
        <v/>
      </c>
      <c r="AG1988" s="54">
        <f>REPT(" ",18-LEN(FIXED(F1988,2,TRUE)))&amp;FIXED(F1988,2,TRUE)</f>
        <v/>
      </c>
      <c r="AH1988" s="10">
        <f>LEN(AC1988)+LEN(AG1988)</f>
        <v/>
      </c>
      <c r="AI1988" s="10">
        <f>LEN(L1988)</f>
        <v/>
      </c>
    </row>
    <row r="1989">
      <c r="J1989" s="12">
        <f>IF(F1989&lt;&gt;0,"LANÇAR","")</f>
        <v/>
      </c>
      <c r="L1989" s="13">
        <f>N1989&amp;O1989&amp;P1989&amp;Q1989&amp;R1989&amp;S1989&amp;T1989&amp;U1989&amp;V1989&amp;W1989&amp;X1989&amp;Y1989&amp;Z1989&amp;AA1989&amp;AB1989&amp;AC1989&amp;AD1989&amp;AE1989&amp;AF1989&amp;AG1989</f>
        <v/>
      </c>
      <c r="N1989" s="10">
        <f>TEXT($B$6,"00")</f>
        <v/>
      </c>
      <c r="O1989" s="10">
        <f>REPT(" ",8)</f>
        <v/>
      </c>
      <c r="P1989" s="10">
        <f>RIGHT($B$4,2)</f>
        <v/>
      </c>
      <c r="Q1989" s="10">
        <f>RIGHT($B$5,3)</f>
        <v/>
      </c>
      <c r="R1989" s="10">
        <f>IF(A1989="D",LEFT(UPPER(B1989)&amp;REPT(" ",20),20),REPT(" ",20))</f>
        <v/>
      </c>
      <c r="S1989" s="10">
        <f>IF(A1989="D",LEFT(UPPER(C1989)&amp;REPT(" ",10),10)," ")</f>
        <v/>
      </c>
      <c r="T1989" s="10">
        <f>IF(A1989="D",LEFT(UPPER(D1989)&amp;REPT(" ",2),2)," ")</f>
        <v/>
      </c>
      <c r="U1989" s="10">
        <f>IF(A1989="D",LEFT(UPPER(E1989)&amp;REPT(" ",15),15)," ")</f>
        <v/>
      </c>
      <c r="V1989" s="10">
        <f>REPT(" ",24)</f>
        <v/>
      </c>
      <c r="W1989" s="10">
        <f>IF(A1989="c",LEFT(UPPER(B1989)&amp;REPT(" ",20),20),REPT(" ",20))</f>
        <v/>
      </c>
      <c r="X1989" s="10">
        <f>IF(A1989="C",LEFT(UPPER(C1989)&amp;REPT(" ",10),10)," ")</f>
        <v/>
      </c>
      <c r="Y1989" s="10">
        <f>IF(A1989="C",LEFT(UPPER(D1989)&amp;REPT(" ",2),2)," ")</f>
        <v/>
      </c>
      <c r="Z1989" s="10">
        <f>IF(A1989="C",LEFT(UPPER(E1989)&amp;REPT(" ",15),15)," ")</f>
        <v/>
      </c>
      <c r="AA1989" s="10">
        <f>REPT(" ",8)</f>
        <v/>
      </c>
      <c r="AB1989" s="10">
        <f>REPT(" ",4)</f>
        <v/>
      </c>
      <c r="AC1989" s="10">
        <f>LEFT(UPPER(H1989)&amp;REPT(" ",250),250)</f>
        <v/>
      </c>
      <c r="AD1989" s="10">
        <f>TEXT($G$2,"dd/mm/aaaa")</f>
        <v/>
      </c>
      <c r="AE1989" s="10">
        <f>REPT(" ",10)</f>
        <v/>
      </c>
      <c r="AF1989" s="10">
        <f>REPT(" ",20)</f>
        <v/>
      </c>
      <c r="AG1989" s="54">
        <f>REPT(" ",18-LEN(FIXED(F1989,2,TRUE)))&amp;FIXED(F1989,2,TRUE)</f>
        <v/>
      </c>
      <c r="AH1989" s="10">
        <f>LEN(AC1989)+LEN(AG1989)</f>
        <v/>
      </c>
      <c r="AI1989" s="10">
        <f>LEN(L1989)</f>
        <v/>
      </c>
    </row>
    <row r="1990">
      <c r="J1990" s="12">
        <f>IF(F1990&lt;&gt;0,"LANÇAR","")</f>
        <v/>
      </c>
      <c r="L1990" s="13">
        <f>N1990&amp;O1990&amp;P1990&amp;Q1990&amp;R1990&amp;S1990&amp;T1990&amp;U1990&amp;V1990&amp;W1990&amp;X1990&amp;Y1990&amp;Z1990&amp;AA1990&amp;AB1990&amp;AC1990&amp;AD1990&amp;AE1990&amp;AF1990&amp;AG1990</f>
        <v/>
      </c>
      <c r="N1990" s="10">
        <f>TEXT($B$6,"00")</f>
        <v/>
      </c>
      <c r="O1990" s="10">
        <f>REPT(" ",8)</f>
        <v/>
      </c>
      <c r="P1990" s="10">
        <f>RIGHT($B$4,2)</f>
        <v/>
      </c>
      <c r="Q1990" s="10">
        <f>RIGHT($B$5,3)</f>
        <v/>
      </c>
      <c r="R1990" s="10">
        <f>IF(A1990="D",LEFT(UPPER(B1990)&amp;REPT(" ",20),20),REPT(" ",20))</f>
        <v/>
      </c>
      <c r="S1990" s="10">
        <f>IF(A1990="D",LEFT(UPPER(C1990)&amp;REPT(" ",10),10)," ")</f>
        <v/>
      </c>
      <c r="T1990" s="10">
        <f>IF(A1990="D",LEFT(UPPER(D1990)&amp;REPT(" ",2),2)," ")</f>
        <v/>
      </c>
      <c r="U1990" s="10">
        <f>IF(A1990="D",LEFT(UPPER(E1990)&amp;REPT(" ",15),15)," ")</f>
        <v/>
      </c>
      <c r="V1990" s="10">
        <f>REPT(" ",24)</f>
        <v/>
      </c>
      <c r="W1990" s="10">
        <f>IF(A1990="c",LEFT(UPPER(B1990)&amp;REPT(" ",20),20),REPT(" ",20))</f>
        <v/>
      </c>
      <c r="X1990" s="10">
        <f>IF(A1990="C",LEFT(UPPER(C1990)&amp;REPT(" ",10),10)," ")</f>
        <v/>
      </c>
      <c r="Y1990" s="10">
        <f>IF(A1990="C",LEFT(UPPER(D1990)&amp;REPT(" ",2),2)," ")</f>
        <v/>
      </c>
      <c r="Z1990" s="10">
        <f>IF(A1990="C",LEFT(UPPER(E1990)&amp;REPT(" ",15),15)," ")</f>
        <v/>
      </c>
      <c r="AA1990" s="10">
        <f>REPT(" ",8)</f>
        <v/>
      </c>
      <c r="AB1990" s="10">
        <f>REPT(" ",4)</f>
        <v/>
      </c>
      <c r="AC1990" s="10">
        <f>LEFT(UPPER(H1990)&amp;REPT(" ",250),250)</f>
        <v/>
      </c>
      <c r="AD1990" s="10">
        <f>TEXT($G$2,"dd/mm/aaaa")</f>
        <v/>
      </c>
      <c r="AE1990" s="10">
        <f>REPT(" ",10)</f>
        <v/>
      </c>
      <c r="AF1990" s="10">
        <f>REPT(" ",20)</f>
        <v/>
      </c>
      <c r="AG1990" s="54">
        <f>REPT(" ",18-LEN(FIXED(F1990,2,TRUE)))&amp;FIXED(F1990,2,TRUE)</f>
        <v/>
      </c>
      <c r="AH1990" s="10">
        <f>LEN(AC1990)+LEN(AG1990)</f>
        <v/>
      </c>
      <c r="AI1990" s="10">
        <f>LEN(L1990)</f>
        <v/>
      </c>
    </row>
    <row r="1991">
      <c r="J1991" s="12">
        <f>IF(F1991&lt;&gt;0,"LANÇAR","")</f>
        <v/>
      </c>
      <c r="L1991" s="13">
        <f>N1991&amp;O1991&amp;P1991&amp;Q1991&amp;R1991&amp;S1991&amp;T1991&amp;U1991&amp;V1991&amp;W1991&amp;X1991&amp;Y1991&amp;Z1991&amp;AA1991&amp;AB1991&amp;AC1991&amp;AD1991&amp;AE1991&amp;AF1991&amp;AG1991</f>
        <v/>
      </c>
      <c r="N1991" s="10">
        <f>TEXT($B$6,"00")</f>
        <v/>
      </c>
      <c r="O1991" s="10">
        <f>REPT(" ",8)</f>
        <v/>
      </c>
      <c r="P1991" s="10">
        <f>RIGHT($B$4,2)</f>
        <v/>
      </c>
      <c r="Q1991" s="10">
        <f>RIGHT($B$5,3)</f>
        <v/>
      </c>
      <c r="R1991" s="10">
        <f>IF(A1991="D",LEFT(UPPER(B1991)&amp;REPT(" ",20),20),REPT(" ",20))</f>
        <v/>
      </c>
      <c r="S1991" s="10">
        <f>IF(A1991="D",LEFT(UPPER(C1991)&amp;REPT(" ",10),10)," ")</f>
        <v/>
      </c>
      <c r="T1991" s="10">
        <f>IF(A1991="D",LEFT(UPPER(D1991)&amp;REPT(" ",2),2)," ")</f>
        <v/>
      </c>
      <c r="U1991" s="10">
        <f>IF(A1991="D",LEFT(UPPER(E1991)&amp;REPT(" ",15),15)," ")</f>
        <v/>
      </c>
      <c r="V1991" s="10">
        <f>REPT(" ",24)</f>
        <v/>
      </c>
      <c r="W1991" s="10">
        <f>IF(A1991="c",LEFT(UPPER(B1991)&amp;REPT(" ",20),20),REPT(" ",20))</f>
        <v/>
      </c>
      <c r="X1991" s="10">
        <f>IF(A1991="C",LEFT(UPPER(C1991)&amp;REPT(" ",10),10)," ")</f>
        <v/>
      </c>
      <c r="Y1991" s="10">
        <f>IF(A1991="C",LEFT(UPPER(D1991)&amp;REPT(" ",2),2)," ")</f>
        <v/>
      </c>
      <c r="Z1991" s="10">
        <f>IF(A1991="C",LEFT(UPPER(E1991)&amp;REPT(" ",15),15)," ")</f>
        <v/>
      </c>
      <c r="AA1991" s="10">
        <f>REPT(" ",8)</f>
        <v/>
      </c>
      <c r="AB1991" s="10">
        <f>REPT(" ",4)</f>
        <v/>
      </c>
      <c r="AC1991" s="10">
        <f>LEFT(UPPER(H1991)&amp;REPT(" ",250),250)</f>
        <v/>
      </c>
      <c r="AD1991" s="10">
        <f>TEXT($G$2,"dd/mm/aaaa")</f>
        <v/>
      </c>
      <c r="AE1991" s="10">
        <f>REPT(" ",10)</f>
        <v/>
      </c>
      <c r="AF1991" s="10">
        <f>REPT(" ",20)</f>
        <v/>
      </c>
      <c r="AG1991" s="54">
        <f>REPT(" ",18-LEN(FIXED(F1991,2,TRUE)))&amp;FIXED(F1991,2,TRUE)</f>
        <v/>
      </c>
      <c r="AH1991" s="10">
        <f>LEN(AC1991)+LEN(AG1991)</f>
        <v/>
      </c>
      <c r="AI1991" s="10">
        <f>LEN(L1991)</f>
        <v/>
      </c>
    </row>
    <row r="1992">
      <c r="J1992" s="12">
        <f>IF(F1992&lt;&gt;0,"LANÇAR","")</f>
        <v/>
      </c>
      <c r="L1992" s="13">
        <f>N1992&amp;O1992&amp;P1992&amp;Q1992&amp;R1992&amp;S1992&amp;T1992&amp;U1992&amp;V1992&amp;W1992&amp;X1992&amp;Y1992&amp;Z1992&amp;AA1992&amp;AB1992&amp;AC1992&amp;AD1992&amp;AE1992&amp;AF1992&amp;AG1992</f>
        <v/>
      </c>
      <c r="N1992" s="10">
        <f>TEXT($B$6,"00")</f>
        <v/>
      </c>
      <c r="O1992" s="10">
        <f>REPT(" ",8)</f>
        <v/>
      </c>
      <c r="P1992" s="10">
        <f>RIGHT($B$4,2)</f>
        <v/>
      </c>
      <c r="Q1992" s="10">
        <f>RIGHT($B$5,3)</f>
        <v/>
      </c>
      <c r="R1992" s="10">
        <f>IF(A1992="D",LEFT(UPPER(B1992)&amp;REPT(" ",20),20),REPT(" ",20))</f>
        <v/>
      </c>
      <c r="S1992" s="10">
        <f>IF(A1992="D",LEFT(UPPER(C1992)&amp;REPT(" ",10),10)," ")</f>
        <v/>
      </c>
      <c r="T1992" s="10">
        <f>IF(A1992="D",LEFT(UPPER(D1992)&amp;REPT(" ",2),2)," ")</f>
        <v/>
      </c>
      <c r="U1992" s="10">
        <f>IF(A1992="D",LEFT(UPPER(E1992)&amp;REPT(" ",15),15)," ")</f>
        <v/>
      </c>
      <c r="V1992" s="10">
        <f>REPT(" ",24)</f>
        <v/>
      </c>
      <c r="W1992" s="10">
        <f>IF(A1992="c",LEFT(UPPER(B1992)&amp;REPT(" ",20),20),REPT(" ",20))</f>
        <v/>
      </c>
      <c r="X1992" s="10">
        <f>IF(A1992="C",LEFT(UPPER(C1992)&amp;REPT(" ",10),10)," ")</f>
        <v/>
      </c>
      <c r="Y1992" s="10">
        <f>IF(A1992="C",LEFT(UPPER(D1992)&amp;REPT(" ",2),2)," ")</f>
        <v/>
      </c>
      <c r="Z1992" s="10">
        <f>IF(A1992="C",LEFT(UPPER(E1992)&amp;REPT(" ",15),15)," ")</f>
        <v/>
      </c>
      <c r="AA1992" s="10">
        <f>REPT(" ",8)</f>
        <v/>
      </c>
      <c r="AB1992" s="10">
        <f>REPT(" ",4)</f>
        <v/>
      </c>
      <c r="AC1992" s="10">
        <f>LEFT(UPPER(H1992)&amp;REPT(" ",250),250)</f>
        <v/>
      </c>
      <c r="AD1992" s="10">
        <f>TEXT($G$2,"dd/mm/aaaa")</f>
        <v/>
      </c>
      <c r="AE1992" s="10">
        <f>REPT(" ",10)</f>
        <v/>
      </c>
      <c r="AF1992" s="10">
        <f>REPT(" ",20)</f>
        <v/>
      </c>
      <c r="AG1992" s="54">
        <f>REPT(" ",18-LEN(FIXED(F1992,2,TRUE)))&amp;FIXED(F1992,2,TRUE)</f>
        <v/>
      </c>
      <c r="AH1992" s="10">
        <f>LEN(AC1992)+LEN(AG1992)</f>
        <v/>
      </c>
      <c r="AI1992" s="10">
        <f>LEN(L1992)</f>
        <v/>
      </c>
    </row>
    <row r="1993">
      <c r="J1993" s="12">
        <f>IF(F1993&lt;&gt;0,"LANÇAR","")</f>
        <v/>
      </c>
      <c r="L1993" s="13">
        <f>N1993&amp;O1993&amp;P1993&amp;Q1993&amp;R1993&amp;S1993&amp;T1993&amp;U1993&amp;V1993&amp;W1993&amp;X1993&amp;Y1993&amp;Z1993&amp;AA1993&amp;AB1993&amp;AC1993&amp;AD1993&amp;AE1993&amp;AF1993&amp;AG1993</f>
        <v/>
      </c>
      <c r="N1993" s="10">
        <f>TEXT($B$6,"00")</f>
        <v/>
      </c>
      <c r="O1993" s="10">
        <f>REPT(" ",8)</f>
        <v/>
      </c>
      <c r="P1993" s="10">
        <f>RIGHT($B$4,2)</f>
        <v/>
      </c>
      <c r="Q1993" s="10">
        <f>RIGHT($B$5,3)</f>
        <v/>
      </c>
      <c r="R1993" s="10">
        <f>IF(A1993="D",LEFT(UPPER(B1993)&amp;REPT(" ",20),20),REPT(" ",20))</f>
        <v/>
      </c>
      <c r="S1993" s="10">
        <f>IF(A1993="D",LEFT(UPPER(C1993)&amp;REPT(" ",10),10)," ")</f>
        <v/>
      </c>
      <c r="T1993" s="10">
        <f>IF(A1993="D",LEFT(UPPER(D1993)&amp;REPT(" ",2),2)," ")</f>
        <v/>
      </c>
      <c r="U1993" s="10">
        <f>IF(A1993="D",LEFT(UPPER(E1993)&amp;REPT(" ",15),15)," ")</f>
        <v/>
      </c>
      <c r="V1993" s="10">
        <f>REPT(" ",24)</f>
        <v/>
      </c>
      <c r="W1993" s="10">
        <f>IF(A1993="c",LEFT(UPPER(B1993)&amp;REPT(" ",20),20),REPT(" ",20))</f>
        <v/>
      </c>
      <c r="X1993" s="10">
        <f>IF(A1993="C",LEFT(UPPER(C1993)&amp;REPT(" ",10),10)," ")</f>
        <v/>
      </c>
      <c r="Y1993" s="10">
        <f>IF(A1993="C",LEFT(UPPER(D1993)&amp;REPT(" ",2),2)," ")</f>
        <v/>
      </c>
      <c r="Z1993" s="10">
        <f>IF(A1993="C",LEFT(UPPER(E1993)&amp;REPT(" ",15),15)," ")</f>
        <v/>
      </c>
      <c r="AA1993" s="10">
        <f>REPT(" ",8)</f>
        <v/>
      </c>
      <c r="AB1993" s="10">
        <f>REPT(" ",4)</f>
        <v/>
      </c>
      <c r="AC1993" s="10">
        <f>LEFT(UPPER(H1993)&amp;REPT(" ",250),250)</f>
        <v/>
      </c>
      <c r="AD1993" s="10">
        <f>TEXT($G$2,"dd/mm/aaaa")</f>
        <v/>
      </c>
      <c r="AE1993" s="10">
        <f>REPT(" ",10)</f>
        <v/>
      </c>
      <c r="AF1993" s="10">
        <f>REPT(" ",20)</f>
        <v/>
      </c>
      <c r="AG1993" s="54">
        <f>REPT(" ",18-LEN(FIXED(F1993,2,TRUE)))&amp;FIXED(F1993,2,TRUE)</f>
        <v/>
      </c>
      <c r="AH1993" s="10">
        <f>LEN(AC1993)+LEN(AG1993)</f>
        <v/>
      </c>
      <c r="AI1993" s="10">
        <f>LEN(L1993)</f>
        <v/>
      </c>
    </row>
    <row r="1994">
      <c r="J1994" s="12">
        <f>IF(F1994&lt;&gt;0,"LANÇAR","")</f>
        <v/>
      </c>
      <c r="L1994" s="13">
        <f>N1994&amp;O1994&amp;P1994&amp;Q1994&amp;R1994&amp;S1994&amp;T1994&amp;U1994&amp;V1994&amp;W1994&amp;X1994&amp;Y1994&amp;Z1994&amp;AA1994&amp;AB1994&amp;AC1994&amp;AD1994&amp;AE1994&amp;AF1994&amp;AG1994</f>
        <v/>
      </c>
      <c r="N1994" s="10">
        <f>TEXT($B$6,"00")</f>
        <v/>
      </c>
      <c r="O1994" s="10">
        <f>REPT(" ",8)</f>
        <v/>
      </c>
      <c r="P1994" s="10">
        <f>RIGHT($B$4,2)</f>
        <v/>
      </c>
      <c r="Q1994" s="10">
        <f>RIGHT($B$5,3)</f>
        <v/>
      </c>
      <c r="R1994" s="10">
        <f>IF(A1994="D",LEFT(UPPER(B1994)&amp;REPT(" ",20),20),REPT(" ",20))</f>
        <v/>
      </c>
      <c r="S1994" s="10">
        <f>IF(A1994="D",LEFT(UPPER(C1994)&amp;REPT(" ",10),10)," ")</f>
        <v/>
      </c>
      <c r="T1994" s="10">
        <f>IF(A1994="D",LEFT(UPPER(D1994)&amp;REPT(" ",2),2)," ")</f>
        <v/>
      </c>
      <c r="U1994" s="10">
        <f>IF(A1994="D",LEFT(UPPER(E1994)&amp;REPT(" ",15),15)," ")</f>
        <v/>
      </c>
      <c r="V1994" s="10">
        <f>REPT(" ",24)</f>
        <v/>
      </c>
      <c r="W1994" s="10">
        <f>IF(A1994="c",LEFT(UPPER(B1994)&amp;REPT(" ",20),20),REPT(" ",20))</f>
        <v/>
      </c>
      <c r="X1994" s="10">
        <f>IF(A1994="C",LEFT(UPPER(C1994)&amp;REPT(" ",10),10)," ")</f>
        <v/>
      </c>
      <c r="Y1994" s="10">
        <f>IF(A1994="C",LEFT(UPPER(D1994)&amp;REPT(" ",2),2)," ")</f>
        <v/>
      </c>
      <c r="Z1994" s="10">
        <f>IF(A1994="C",LEFT(UPPER(E1994)&amp;REPT(" ",15),15)," ")</f>
        <v/>
      </c>
      <c r="AA1994" s="10">
        <f>REPT(" ",8)</f>
        <v/>
      </c>
      <c r="AB1994" s="10">
        <f>REPT(" ",4)</f>
        <v/>
      </c>
      <c r="AC1994" s="10">
        <f>LEFT(UPPER(H1994)&amp;REPT(" ",250),250)</f>
        <v/>
      </c>
      <c r="AD1994" s="10">
        <f>TEXT($G$2,"dd/mm/aaaa")</f>
        <v/>
      </c>
      <c r="AE1994" s="10">
        <f>REPT(" ",10)</f>
        <v/>
      </c>
      <c r="AF1994" s="10">
        <f>REPT(" ",20)</f>
        <v/>
      </c>
      <c r="AG1994" s="54">
        <f>REPT(" ",18-LEN(FIXED(F1994,2,TRUE)))&amp;FIXED(F1994,2,TRUE)</f>
        <v/>
      </c>
      <c r="AH1994" s="10">
        <f>LEN(AC1994)+LEN(AG1994)</f>
        <v/>
      </c>
      <c r="AI1994" s="10">
        <f>LEN(L1994)</f>
        <v/>
      </c>
    </row>
    <row r="1995">
      <c r="J1995" s="12">
        <f>IF(F1995&lt;&gt;0,"LANÇAR","")</f>
        <v/>
      </c>
      <c r="L1995" s="13">
        <f>N1995&amp;O1995&amp;P1995&amp;Q1995&amp;R1995&amp;S1995&amp;T1995&amp;U1995&amp;V1995&amp;W1995&amp;X1995&amp;Y1995&amp;Z1995&amp;AA1995&amp;AB1995&amp;AC1995&amp;AD1995&amp;AE1995&amp;AF1995&amp;AG1995</f>
        <v/>
      </c>
      <c r="N1995" s="10">
        <f>TEXT($B$6,"00")</f>
        <v/>
      </c>
      <c r="O1995" s="10">
        <f>REPT(" ",8)</f>
        <v/>
      </c>
      <c r="P1995" s="10">
        <f>RIGHT($B$4,2)</f>
        <v/>
      </c>
      <c r="Q1995" s="10">
        <f>RIGHT($B$5,3)</f>
        <v/>
      </c>
      <c r="R1995" s="10">
        <f>IF(A1995="D",LEFT(UPPER(B1995)&amp;REPT(" ",20),20),REPT(" ",20))</f>
        <v/>
      </c>
      <c r="S1995" s="10">
        <f>IF(A1995="D",LEFT(UPPER(C1995)&amp;REPT(" ",10),10)," ")</f>
        <v/>
      </c>
      <c r="T1995" s="10">
        <f>IF(A1995="D",LEFT(UPPER(D1995)&amp;REPT(" ",2),2)," ")</f>
        <v/>
      </c>
      <c r="U1995" s="10">
        <f>IF(A1995="D",LEFT(UPPER(E1995)&amp;REPT(" ",15),15)," ")</f>
        <v/>
      </c>
      <c r="V1995" s="10">
        <f>REPT(" ",24)</f>
        <v/>
      </c>
      <c r="W1995" s="10">
        <f>IF(A1995="c",LEFT(UPPER(B1995)&amp;REPT(" ",20),20),REPT(" ",20))</f>
        <v/>
      </c>
      <c r="X1995" s="10">
        <f>IF(A1995="C",LEFT(UPPER(C1995)&amp;REPT(" ",10),10)," ")</f>
        <v/>
      </c>
      <c r="Y1995" s="10">
        <f>IF(A1995="C",LEFT(UPPER(D1995)&amp;REPT(" ",2),2)," ")</f>
        <v/>
      </c>
      <c r="Z1995" s="10">
        <f>IF(A1995="C",LEFT(UPPER(E1995)&amp;REPT(" ",15),15)," ")</f>
        <v/>
      </c>
      <c r="AA1995" s="10">
        <f>REPT(" ",8)</f>
        <v/>
      </c>
      <c r="AB1995" s="10">
        <f>REPT(" ",4)</f>
        <v/>
      </c>
      <c r="AC1995" s="10">
        <f>LEFT(UPPER(H1995)&amp;REPT(" ",250),250)</f>
        <v/>
      </c>
      <c r="AD1995" s="10">
        <f>TEXT($G$2,"dd/mm/aaaa")</f>
        <v/>
      </c>
      <c r="AE1995" s="10">
        <f>REPT(" ",10)</f>
        <v/>
      </c>
      <c r="AF1995" s="10">
        <f>REPT(" ",20)</f>
        <v/>
      </c>
      <c r="AG1995" s="54">
        <f>REPT(" ",18-LEN(FIXED(F1995,2,TRUE)))&amp;FIXED(F1995,2,TRUE)</f>
        <v/>
      </c>
      <c r="AH1995" s="10">
        <f>LEN(AC1995)+LEN(AG1995)</f>
        <v/>
      </c>
      <c r="AI1995" s="10">
        <f>LEN(L1995)</f>
        <v/>
      </c>
    </row>
    <row r="1996">
      <c r="J1996" s="12">
        <f>IF(F1996&lt;&gt;0,"LANÇAR","")</f>
        <v/>
      </c>
      <c r="L1996" s="13">
        <f>N1996&amp;O1996&amp;P1996&amp;Q1996&amp;R1996&amp;S1996&amp;T1996&amp;U1996&amp;V1996&amp;W1996&amp;X1996&amp;Y1996&amp;Z1996&amp;AA1996&amp;AB1996&amp;AC1996&amp;AD1996&amp;AE1996&amp;AF1996&amp;AG1996</f>
        <v/>
      </c>
      <c r="N1996" s="10">
        <f>TEXT($B$6,"00")</f>
        <v/>
      </c>
      <c r="O1996" s="10">
        <f>REPT(" ",8)</f>
        <v/>
      </c>
      <c r="P1996" s="10">
        <f>RIGHT($B$4,2)</f>
        <v/>
      </c>
      <c r="Q1996" s="10">
        <f>RIGHT($B$5,3)</f>
        <v/>
      </c>
      <c r="R1996" s="10">
        <f>IF(A1996="D",LEFT(UPPER(B1996)&amp;REPT(" ",20),20),REPT(" ",20))</f>
        <v/>
      </c>
      <c r="S1996" s="10">
        <f>IF(A1996="D",LEFT(UPPER(C1996)&amp;REPT(" ",10),10)," ")</f>
        <v/>
      </c>
      <c r="T1996" s="10">
        <f>IF(A1996="D",LEFT(UPPER(D1996)&amp;REPT(" ",2),2)," ")</f>
        <v/>
      </c>
      <c r="U1996" s="10">
        <f>IF(A1996="D",LEFT(UPPER(E1996)&amp;REPT(" ",15),15)," ")</f>
        <v/>
      </c>
      <c r="V1996" s="10">
        <f>REPT(" ",24)</f>
        <v/>
      </c>
      <c r="W1996" s="10">
        <f>IF(A1996="c",LEFT(UPPER(B1996)&amp;REPT(" ",20),20),REPT(" ",20))</f>
        <v/>
      </c>
      <c r="X1996" s="10">
        <f>IF(A1996="C",LEFT(UPPER(C1996)&amp;REPT(" ",10),10)," ")</f>
        <v/>
      </c>
      <c r="Y1996" s="10">
        <f>IF(A1996="C",LEFT(UPPER(D1996)&amp;REPT(" ",2),2)," ")</f>
        <v/>
      </c>
      <c r="Z1996" s="10">
        <f>IF(A1996="C",LEFT(UPPER(E1996)&amp;REPT(" ",15),15)," ")</f>
        <v/>
      </c>
      <c r="AA1996" s="10">
        <f>REPT(" ",8)</f>
        <v/>
      </c>
      <c r="AB1996" s="10">
        <f>REPT(" ",4)</f>
        <v/>
      </c>
      <c r="AC1996" s="10">
        <f>LEFT(UPPER(H1996)&amp;REPT(" ",250),250)</f>
        <v/>
      </c>
      <c r="AD1996" s="10">
        <f>TEXT($G$2,"dd/mm/aaaa")</f>
        <v/>
      </c>
      <c r="AE1996" s="10">
        <f>REPT(" ",10)</f>
        <v/>
      </c>
      <c r="AF1996" s="10">
        <f>REPT(" ",20)</f>
        <v/>
      </c>
      <c r="AG1996" s="54">
        <f>REPT(" ",18-LEN(FIXED(F1996,2,TRUE)))&amp;FIXED(F1996,2,TRUE)</f>
        <v/>
      </c>
      <c r="AH1996" s="10">
        <f>LEN(AC1996)+LEN(AG1996)</f>
        <v/>
      </c>
      <c r="AI1996" s="10">
        <f>LEN(L1996)</f>
        <v/>
      </c>
    </row>
    <row r="1997">
      <c r="J1997" s="12">
        <f>IF(F1997&lt;&gt;0,"LANÇAR","")</f>
        <v/>
      </c>
      <c r="L1997" s="13">
        <f>N1997&amp;O1997&amp;P1997&amp;Q1997&amp;R1997&amp;S1997&amp;T1997&amp;U1997&amp;V1997&amp;W1997&amp;X1997&amp;Y1997&amp;Z1997&amp;AA1997&amp;AB1997&amp;AC1997&amp;AD1997&amp;AE1997&amp;AF1997&amp;AG1997</f>
        <v/>
      </c>
      <c r="N1997" s="10">
        <f>TEXT($B$6,"00")</f>
        <v/>
      </c>
      <c r="O1997" s="10">
        <f>REPT(" ",8)</f>
        <v/>
      </c>
      <c r="P1997" s="10">
        <f>RIGHT($B$4,2)</f>
        <v/>
      </c>
      <c r="Q1997" s="10">
        <f>RIGHT($B$5,3)</f>
        <v/>
      </c>
      <c r="R1997" s="10">
        <f>IF(A1997="D",LEFT(UPPER(B1997)&amp;REPT(" ",20),20),REPT(" ",20))</f>
        <v/>
      </c>
      <c r="S1997" s="10">
        <f>IF(A1997="D",LEFT(UPPER(C1997)&amp;REPT(" ",10),10)," ")</f>
        <v/>
      </c>
      <c r="T1997" s="10">
        <f>IF(A1997="D",LEFT(UPPER(D1997)&amp;REPT(" ",2),2)," ")</f>
        <v/>
      </c>
      <c r="U1997" s="10">
        <f>IF(A1997="D",LEFT(UPPER(E1997)&amp;REPT(" ",15),15)," ")</f>
        <v/>
      </c>
      <c r="V1997" s="10">
        <f>REPT(" ",24)</f>
        <v/>
      </c>
      <c r="W1997" s="10">
        <f>IF(A1997="c",LEFT(UPPER(B1997)&amp;REPT(" ",20),20),REPT(" ",20))</f>
        <v/>
      </c>
      <c r="X1997" s="10">
        <f>IF(A1997="C",LEFT(UPPER(C1997)&amp;REPT(" ",10),10)," ")</f>
        <v/>
      </c>
      <c r="Y1997" s="10">
        <f>IF(A1997="C",LEFT(UPPER(D1997)&amp;REPT(" ",2),2)," ")</f>
        <v/>
      </c>
      <c r="Z1997" s="10">
        <f>IF(A1997="C",LEFT(UPPER(E1997)&amp;REPT(" ",15),15)," ")</f>
        <v/>
      </c>
      <c r="AA1997" s="10">
        <f>REPT(" ",8)</f>
        <v/>
      </c>
      <c r="AB1997" s="10">
        <f>REPT(" ",4)</f>
        <v/>
      </c>
      <c r="AC1997" s="10">
        <f>LEFT(UPPER(H1997)&amp;REPT(" ",250),250)</f>
        <v/>
      </c>
      <c r="AD1997" s="10">
        <f>TEXT($G$2,"dd/mm/aaaa")</f>
        <v/>
      </c>
      <c r="AE1997" s="10">
        <f>REPT(" ",10)</f>
        <v/>
      </c>
      <c r="AF1997" s="10">
        <f>REPT(" ",20)</f>
        <v/>
      </c>
      <c r="AG1997" s="54">
        <f>REPT(" ",18-LEN(FIXED(F1997,2,TRUE)))&amp;FIXED(F1997,2,TRUE)</f>
        <v/>
      </c>
      <c r="AH1997" s="10">
        <f>LEN(AC1997)+LEN(AG1997)</f>
        <v/>
      </c>
      <c r="AI1997" s="10">
        <f>LEN(L1997)</f>
        <v/>
      </c>
    </row>
    <row r="1998">
      <c r="J1998" s="12">
        <f>IF(F1998&lt;&gt;0,"LANÇAR","")</f>
        <v/>
      </c>
      <c r="L1998" s="13">
        <f>N1998&amp;O1998&amp;P1998&amp;Q1998&amp;R1998&amp;S1998&amp;T1998&amp;U1998&amp;V1998&amp;W1998&amp;X1998&amp;Y1998&amp;Z1998&amp;AA1998&amp;AB1998&amp;AC1998&amp;AD1998&amp;AE1998&amp;AF1998&amp;AG1998</f>
        <v/>
      </c>
      <c r="N1998" s="10">
        <f>TEXT($B$6,"00")</f>
        <v/>
      </c>
      <c r="O1998" s="10">
        <f>REPT(" ",8)</f>
        <v/>
      </c>
      <c r="P1998" s="10">
        <f>RIGHT($B$4,2)</f>
        <v/>
      </c>
      <c r="Q1998" s="10">
        <f>RIGHT($B$5,3)</f>
        <v/>
      </c>
      <c r="R1998" s="10">
        <f>IF(A1998="D",LEFT(UPPER(B1998)&amp;REPT(" ",20),20),REPT(" ",20))</f>
        <v/>
      </c>
      <c r="S1998" s="10">
        <f>IF(A1998="D",LEFT(UPPER(C1998)&amp;REPT(" ",10),10)," ")</f>
        <v/>
      </c>
      <c r="T1998" s="10">
        <f>IF(A1998="D",LEFT(UPPER(D1998)&amp;REPT(" ",2),2)," ")</f>
        <v/>
      </c>
      <c r="U1998" s="10">
        <f>IF(A1998="D",LEFT(UPPER(E1998)&amp;REPT(" ",15),15)," ")</f>
        <v/>
      </c>
      <c r="V1998" s="10">
        <f>REPT(" ",24)</f>
        <v/>
      </c>
      <c r="W1998" s="10">
        <f>IF(A1998="c",LEFT(UPPER(B1998)&amp;REPT(" ",20),20),REPT(" ",20))</f>
        <v/>
      </c>
      <c r="X1998" s="10">
        <f>IF(A1998="C",LEFT(UPPER(C1998)&amp;REPT(" ",10),10)," ")</f>
        <v/>
      </c>
      <c r="Y1998" s="10">
        <f>IF(A1998="C",LEFT(UPPER(D1998)&amp;REPT(" ",2),2)," ")</f>
        <v/>
      </c>
      <c r="Z1998" s="10">
        <f>IF(A1998="C",LEFT(UPPER(E1998)&amp;REPT(" ",15),15)," ")</f>
        <v/>
      </c>
      <c r="AA1998" s="10">
        <f>REPT(" ",8)</f>
        <v/>
      </c>
      <c r="AB1998" s="10">
        <f>REPT(" ",4)</f>
        <v/>
      </c>
      <c r="AC1998" s="10">
        <f>LEFT(UPPER(H1998)&amp;REPT(" ",250),250)</f>
        <v/>
      </c>
      <c r="AD1998" s="10">
        <f>TEXT($G$2,"dd/mm/aaaa")</f>
        <v/>
      </c>
      <c r="AE1998" s="10">
        <f>REPT(" ",10)</f>
        <v/>
      </c>
      <c r="AF1998" s="10">
        <f>REPT(" ",20)</f>
        <v/>
      </c>
      <c r="AG1998" s="54">
        <f>REPT(" ",18-LEN(FIXED(F1998,2,TRUE)))&amp;FIXED(F1998,2,TRUE)</f>
        <v/>
      </c>
      <c r="AH1998" s="10">
        <f>LEN(AC1998)+LEN(AG1998)</f>
        <v/>
      </c>
      <c r="AI1998" s="10">
        <f>LEN(L1998)</f>
        <v/>
      </c>
    </row>
    <row r="1999">
      <c r="J1999" s="12">
        <f>IF(F1999&lt;&gt;0,"LANÇAR","")</f>
        <v/>
      </c>
      <c r="L1999" s="13">
        <f>N1999&amp;O1999&amp;P1999&amp;Q1999&amp;R1999&amp;S1999&amp;T1999&amp;U1999&amp;V1999&amp;W1999&amp;X1999&amp;Y1999&amp;Z1999&amp;AA1999&amp;AB1999&amp;AC1999&amp;AD1999&amp;AE1999&amp;AF1999&amp;AG1999</f>
        <v/>
      </c>
      <c r="N1999" s="10">
        <f>TEXT($B$6,"00")</f>
        <v/>
      </c>
      <c r="O1999" s="10">
        <f>REPT(" ",8)</f>
        <v/>
      </c>
      <c r="P1999" s="10">
        <f>RIGHT($B$4,2)</f>
        <v/>
      </c>
      <c r="Q1999" s="10">
        <f>RIGHT($B$5,3)</f>
        <v/>
      </c>
      <c r="R1999" s="10">
        <f>IF(A1999="D",LEFT(UPPER(B1999)&amp;REPT(" ",20),20),REPT(" ",20))</f>
        <v/>
      </c>
      <c r="S1999" s="10">
        <f>IF(A1999="D",LEFT(UPPER(C1999)&amp;REPT(" ",10),10)," ")</f>
        <v/>
      </c>
      <c r="T1999" s="10">
        <f>IF(A1999="D",LEFT(UPPER(D1999)&amp;REPT(" ",2),2)," ")</f>
        <v/>
      </c>
      <c r="U1999" s="10">
        <f>IF(A1999="D",LEFT(UPPER(E1999)&amp;REPT(" ",15),15)," ")</f>
        <v/>
      </c>
      <c r="V1999" s="10">
        <f>REPT(" ",24)</f>
        <v/>
      </c>
      <c r="W1999" s="10">
        <f>IF(A1999="c",LEFT(UPPER(B1999)&amp;REPT(" ",20),20),REPT(" ",20))</f>
        <v/>
      </c>
      <c r="X1999" s="10">
        <f>IF(A1999="C",LEFT(UPPER(C1999)&amp;REPT(" ",10),10)," ")</f>
        <v/>
      </c>
      <c r="Y1999" s="10">
        <f>IF(A1999="C",LEFT(UPPER(D1999)&amp;REPT(" ",2),2)," ")</f>
        <v/>
      </c>
      <c r="Z1999" s="10">
        <f>IF(A1999="C",LEFT(UPPER(E1999)&amp;REPT(" ",15),15)," ")</f>
        <v/>
      </c>
      <c r="AA1999" s="10">
        <f>REPT(" ",8)</f>
        <v/>
      </c>
      <c r="AB1999" s="10">
        <f>REPT(" ",4)</f>
        <v/>
      </c>
      <c r="AC1999" s="10">
        <f>LEFT(UPPER(H1999)&amp;REPT(" ",250),250)</f>
        <v/>
      </c>
      <c r="AD1999" s="10">
        <f>TEXT($G$2,"dd/mm/aaaa")</f>
        <v/>
      </c>
      <c r="AE1999" s="10">
        <f>REPT(" ",10)</f>
        <v/>
      </c>
      <c r="AF1999" s="10">
        <f>REPT(" ",20)</f>
        <v/>
      </c>
      <c r="AG1999" s="54">
        <f>REPT(" ",18-LEN(FIXED(F1999,2,TRUE)))&amp;FIXED(F1999,2,TRUE)</f>
        <v/>
      </c>
      <c r="AH1999" s="10">
        <f>LEN(AC1999)+LEN(AG1999)</f>
        <v/>
      </c>
      <c r="AI1999" s="10">
        <f>LEN(L1999)</f>
        <v/>
      </c>
    </row>
    <row r="2000">
      <c r="J2000" s="12">
        <f>IF(F2000&lt;&gt;0,"LANÇAR","")</f>
        <v/>
      </c>
      <c r="L2000" s="13">
        <f>N2000&amp;O2000&amp;P2000&amp;Q2000&amp;R2000&amp;S2000&amp;T2000&amp;U2000&amp;V2000&amp;W2000&amp;X2000&amp;Y2000&amp;Z2000&amp;AA2000&amp;AB2000&amp;AC2000&amp;AD2000&amp;AE2000&amp;AF2000&amp;AG2000</f>
        <v/>
      </c>
      <c r="N2000" s="10">
        <f>TEXT($B$6,"00")</f>
        <v/>
      </c>
      <c r="O2000" s="10">
        <f>REPT(" ",8)</f>
        <v/>
      </c>
      <c r="P2000" s="10">
        <f>RIGHT($B$4,2)</f>
        <v/>
      </c>
      <c r="Q2000" s="10">
        <f>RIGHT($B$5,3)</f>
        <v/>
      </c>
      <c r="R2000" s="10">
        <f>IF(A2000="D",LEFT(UPPER(B2000)&amp;REPT(" ",20),20),REPT(" ",20))</f>
        <v/>
      </c>
      <c r="S2000" s="10">
        <f>IF(A2000="D",LEFT(UPPER(C2000)&amp;REPT(" ",10),10)," ")</f>
        <v/>
      </c>
      <c r="T2000" s="10">
        <f>IF(A2000="D",LEFT(UPPER(D2000)&amp;REPT(" ",2),2)," ")</f>
        <v/>
      </c>
      <c r="U2000" s="10">
        <f>IF(A2000="D",LEFT(UPPER(E2000)&amp;REPT(" ",15),15)," ")</f>
        <v/>
      </c>
      <c r="V2000" s="10">
        <f>REPT(" ",24)</f>
        <v/>
      </c>
      <c r="W2000" s="10">
        <f>IF(A2000="c",LEFT(UPPER(B2000)&amp;REPT(" ",20),20),REPT(" ",20))</f>
        <v/>
      </c>
      <c r="X2000" s="10">
        <f>IF(A2000="C",LEFT(UPPER(C2000)&amp;REPT(" ",10),10)," ")</f>
        <v/>
      </c>
      <c r="Y2000" s="10">
        <f>IF(A2000="C",LEFT(UPPER(D2000)&amp;REPT(" ",2),2)," ")</f>
        <v/>
      </c>
      <c r="Z2000" s="10">
        <f>IF(A2000="C",LEFT(UPPER(E2000)&amp;REPT(" ",15),15)," ")</f>
        <v/>
      </c>
      <c r="AA2000" s="10">
        <f>REPT(" ",8)</f>
        <v/>
      </c>
      <c r="AB2000" s="10">
        <f>REPT(" ",4)</f>
        <v/>
      </c>
      <c r="AC2000" s="10">
        <f>LEFT(UPPER(H2000)&amp;REPT(" ",250),250)</f>
        <v/>
      </c>
      <c r="AD2000" s="10">
        <f>TEXT($G$2,"dd/mm/aaaa")</f>
        <v/>
      </c>
      <c r="AE2000" s="10">
        <f>REPT(" ",10)</f>
        <v/>
      </c>
      <c r="AF2000" s="10">
        <f>REPT(" ",20)</f>
        <v/>
      </c>
      <c r="AG2000" s="54">
        <f>REPT(" ",18-LEN(FIXED(F2000,2,TRUE)))&amp;FIXED(F2000,2,TRUE)</f>
        <v/>
      </c>
      <c r="AH2000" s="10">
        <f>LEN(AC2000)+LEN(AG2000)</f>
        <v/>
      </c>
      <c r="AI2000" s="10">
        <f>LEN(L2000)</f>
        <v/>
      </c>
    </row>
    <row r="2001">
      <c r="J2001" s="12">
        <f>IF(F2001&lt;&gt;0,"LANÇAR","")</f>
        <v/>
      </c>
      <c r="L2001" s="13">
        <f>N2001&amp;O2001&amp;P2001&amp;Q2001&amp;R2001&amp;S2001&amp;T2001&amp;U2001&amp;V2001&amp;W2001&amp;X2001&amp;Y2001&amp;Z2001&amp;AA2001&amp;AB2001&amp;AC2001&amp;AD2001&amp;AE2001&amp;AF2001&amp;AG2001</f>
        <v/>
      </c>
      <c r="N2001" s="10">
        <f>TEXT($B$6,"00")</f>
        <v/>
      </c>
      <c r="O2001" s="10">
        <f>REPT(" ",8)</f>
        <v/>
      </c>
      <c r="P2001" s="10">
        <f>RIGHT($B$4,2)</f>
        <v/>
      </c>
      <c r="Q2001" s="10">
        <f>RIGHT($B$5,3)</f>
        <v/>
      </c>
      <c r="R2001" s="10">
        <f>IF(A2001="D",LEFT(UPPER(B2001)&amp;REPT(" ",20),20),REPT(" ",20))</f>
        <v/>
      </c>
      <c r="S2001" s="10">
        <f>IF(A2001="D",LEFT(UPPER(C2001)&amp;REPT(" ",10),10)," ")</f>
        <v/>
      </c>
      <c r="T2001" s="10">
        <f>IF(A2001="D",LEFT(UPPER(D2001)&amp;REPT(" ",2),2)," ")</f>
        <v/>
      </c>
      <c r="U2001" s="10">
        <f>IF(A2001="D",LEFT(UPPER(E2001)&amp;REPT(" ",15),15)," ")</f>
        <v/>
      </c>
      <c r="V2001" s="10">
        <f>REPT(" ",24)</f>
        <v/>
      </c>
      <c r="W2001" s="10">
        <f>IF(A2001="c",LEFT(UPPER(B2001)&amp;REPT(" ",20),20),REPT(" ",20))</f>
        <v/>
      </c>
      <c r="X2001" s="10">
        <f>IF(A2001="C",LEFT(UPPER(C2001)&amp;REPT(" ",10),10)," ")</f>
        <v/>
      </c>
      <c r="Y2001" s="10">
        <f>IF(A2001="C",LEFT(UPPER(D2001)&amp;REPT(" ",2),2)," ")</f>
        <v/>
      </c>
      <c r="Z2001" s="10">
        <f>IF(A2001="C",LEFT(UPPER(E2001)&amp;REPT(" ",15),15)," ")</f>
        <v/>
      </c>
      <c r="AA2001" s="10">
        <f>REPT(" ",8)</f>
        <v/>
      </c>
      <c r="AB2001" s="10">
        <f>REPT(" ",4)</f>
        <v/>
      </c>
      <c r="AC2001" s="10">
        <f>LEFT(UPPER(H2001)&amp;REPT(" ",250),250)</f>
        <v/>
      </c>
      <c r="AD2001" s="10">
        <f>TEXT($G$2,"dd/mm/aaaa")</f>
        <v/>
      </c>
      <c r="AE2001" s="10">
        <f>REPT(" ",10)</f>
        <v/>
      </c>
      <c r="AF2001" s="10">
        <f>REPT(" ",20)</f>
        <v/>
      </c>
      <c r="AG2001" s="54">
        <f>REPT(" ",18-LEN(FIXED(F2001,2,TRUE)))&amp;FIXED(F2001,2,TRUE)</f>
        <v/>
      </c>
      <c r="AH2001" s="10">
        <f>LEN(AC2001)+LEN(AG2001)</f>
        <v/>
      </c>
      <c r="AI2001" s="10">
        <f>LEN(L2001)</f>
        <v/>
      </c>
    </row>
    <row r="2002">
      <c r="J2002" s="12">
        <f>IF(F2002&lt;&gt;0,"LANÇAR","")</f>
        <v/>
      </c>
      <c r="L2002" s="13">
        <f>N2002&amp;O2002&amp;P2002&amp;Q2002&amp;R2002&amp;S2002&amp;T2002&amp;U2002&amp;V2002&amp;W2002&amp;X2002&amp;Y2002&amp;Z2002&amp;AA2002&amp;AB2002&amp;AC2002&amp;AD2002&amp;AE2002&amp;AF2002&amp;AG2002</f>
        <v/>
      </c>
      <c r="N2002" s="10">
        <f>TEXT($B$6,"00")</f>
        <v/>
      </c>
      <c r="O2002" s="10">
        <f>REPT(" ",8)</f>
        <v/>
      </c>
      <c r="P2002" s="10">
        <f>RIGHT($B$4,2)</f>
        <v/>
      </c>
      <c r="Q2002" s="10">
        <f>RIGHT($B$5,3)</f>
        <v/>
      </c>
      <c r="R2002" s="10">
        <f>IF(A2002="D",LEFT(UPPER(B2002)&amp;REPT(" ",20),20),REPT(" ",20))</f>
        <v/>
      </c>
      <c r="S2002" s="10">
        <f>IF(A2002="D",LEFT(UPPER(C2002)&amp;REPT(" ",10),10)," ")</f>
        <v/>
      </c>
      <c r="T2002" s="10">
        <f>IF(A2002="D",LEFT(UPPER(D2002)&amp;REPT(" ",2),2)," ")</f>
        <v/>
      </c>
      <c r="U2002" s="10">
        <f>IF(A2002="D",LEFT(UPPER(E2002)&amp;REPT(" ",15),15)," ")</f>
        <v/>
      </c>
      <c r="V2002" s="10">
        <f>REPT(" ",24)</f>
        <v/>
      </c>
      <c r="W2002" s="10">
        <f>IF(A2002="c",LEFT(UPPER(B2002)&amp;REPT(" ",20),20),REPT(" ",20))</f>
        <v/>
      </c>
      <c r="X2002" s="10">
        <f>IF(A2002="C",LEFT(UPPER(C2002)&amp;REPT(" ",10),10)," ")</f>
        <v/>
      </c>
      <c r="Y2002" s="10">
        <f>IF(A2002="C",LEFT(UPPER(D2002)&amp;REPT(" ",2),2)," ")</f>
        <v/>
      </c>
      <c r="Z2002" s="10">
        <f>IF(A2002="C",LEFT(UPPER(E2002)&amp;REPT(" ",15),15)," ")</f>
        <v/>
      </c>
      <c r="AA2002" s="10">
        <f>REPT(" ",8)</f>
        <v/>
      </c>
      <c r="AB2002" s="10">
        <f>REPT(" ",4)</f>
        <v/>
      </c>
      <c r="AC2002" s="10">
        <f>LEFT(UPPER(H2002)&amp;REPT(" ",250),250)</f>
        <v/>
      </c>
      <c r="AD2002" s="10">
        <f>TEXT($G$2,"dd/mm/aaaa")</f>
        <v/>
      </c>
      <c r="AE2002" s="10">
        <f>REPT(" ",10)</f>
        <v/>
      </c>
      <c r="AF2002" s="10">
        <f>REPT(" ",20)</f>
        <v/>
      </c>
      <c r="AG2002" s="54">
        <f>REPT(" ",18-LEN(FIXED(F2002,2,TRUE)))&amp;FIXED(F2002,2,TRUE)</f>
        <v/>
      </c>
      <c r="AH2002" s="10">
        <f>LEN(AC2002)+LEN(AG2002)</f>
        <v/>
      </c>
      <c r="AI2002" s="10">
        <f>LEN(L2002)</f>
        <v/>
      </c>
    </row>
    <row r="2003">
      <c r="J2003" s="12">
        <f>IF(F2003&lt;&gt;0,"LANÇAR","")</f>
        <v/>
      </c>
      <c r="L2003" s="13">
        <f>N2003&amp;O2003&amp;P2003&amp;Q2003&amp;R2003&amp;S2003&amp;T2003&amp;U2003&amp;V2003&amp;W2003&amp;X2003&amp;Y2003&amp;Z2003&amp;AA2003&amp;AB2003&amp;AC2003&amp;AD2003&amp;AE2003&amp;AF2003&amp;AG2003</f>
        <v/>
      </c>
      <c r="N2003" s="10">
        <f>TEXT($B$6,"00")</f>
        <v/>
      </c>
      <c r="O2003" s="10">
        <f>REPT(" ",8)</f>
        <v/>
      </c>
      <c r="P2003" s="10">
        <f>RIGHT($B$4,2)</f>
        <v/>
      </c>
      <c r="Q2003" s="10">
        <f>RIGHT($B$5,3)</f>
        <v/>
      </c>
      <c r="R2003" s="10">
        <f>IF(A2003="D",LEFT(UPPER(B2003)&amp;REPT(" ",20),20),REPT(" ",20))</f>
        <v/>
      </c>
      <c r="S2003" s="10">
        <f>IF(A2003="D",LEFT(UPPER(C2003)&amp;REPT(" ",10),10)," ")</f>
        <v/>
      </c>
      <c r="T2003" s="10">
        <f>IF(A2003="D",LEFT(UPPER(D2003)&amp;REPT(" ",2),2)," ")</f>
        <v/>
      </c>
      <c r="U2003" s="10">
        <f>IF(A2003="D",LEFT(UPPER(E2003)&amp;REPT(" ",15),15)," ")</f>
        <v/>
      </c>
      <c r="V2003" s="10">
        <f>REPT(" ",24)</f>
        <v/>
      </c>
      <c r="W2003" s="10">
        <f>IF(A2003="c",LEFT(UPPER(B2003)&amp;REPT(" ",20),20),REPT(" ",20))</f>
        <v/>
      </c>
      <c r="X2003" s="10">
        <f>IF(A2003="C",LEFT(UPPER(C2003)&amp;REPT(" ",10),10)," ")</f>
        <v/>
      </c>
      <c r="Y2003" s="10">
        <f>IF(A2003="C",LEFT(UPPER(D2003)&amp;REPT(" ",2),2)," ")</f>
        <v/>
      </c>
      <c r="Z2003" s="10">
        <f>IF(A2003="C",LEFT(UPPER(E2003)&amp;REPT(" ",15),15)," ")</f>
        <v/>
      </c>
      <c r="AA2003" s="10">
        <f>REPT(" ",8)</f>
        <v/>
      </c>
      <c r="AB2003" s="10">
        <f>REPT(" ",4)</f>
        <v/>
      </c>
      <c r="AC2003" s="10">
        <f>LEFT(UPPER(H2003)&amp;REPT(" ",250),250)</f>
        <v/>
      </c>
      <c r="AD2003" s="10">
        <f>TEXT($G$2,"dd/mm/aaaa")</f>
        <v/>
      </c>
      <c r="AE2003" s="10">
        <f>REPT(" ",10)</f>
        <v/>
      </c>
      <c r="AF2003" s="10">
        <f>REPT(" ",20)</f>
        <v/>
      </c>
      <c r="AG2003" s="54">
        <f>REPT(" ",18-LEN(FIXED(F2003,2,TRUE)))&amp;FIXED(F2003,2,TRUE)</f>
        <v/>
      </c>
      <c r="AH2003" s="10">
        <f>LEN(AC2003)+LEN(AG2003)</f>
        <v/>
      </c>
      <c r="AI2003" s="10">
        <f>LEN(L2003)</f>
        <v/>
      </c>
    </row>
    <row r="2004">
      <c r="J2004" s="12">
        <f>IF(F2004&lt;&gt;0,"LANÇAR","")</f>
        <v/>
      </c>
      <c r="L2004" s="13">
        <f>N2004&amp;O2004&amp;P2004&amp;Q2004&amp;R2004&amp;S2004&amp;T2004&amp;U2004&amp;V2004&amp;W2004&amp;X2004&amp;Y2004&amp;Z2004&amp;AA2004&amp;AB2004&amp;AC2004&amp;AD2004&amp;AE2004&amp;AF2004&amp;AG2004</f>
        <v/>
      </c>
      <c r="N2004" s="10">
        <f>TEXT($B$6,"00")</f>
        <v/>
      </c>
      <c r="O2004" s="10">
        <f>REPT(" ",8)</f>
        <v/>
      </c>
      <c r="P2004" s="10">
        <f>RIGHT($B$4,2)</f>
        <v/>
      </c>
      <c r="Q2004" s="10">
        <f>RIGHT($B$5,3)</f>
        <v/>
      </c>
      <c r="R2004" s="10">
        <f>IF(A2004="D",LEFT(UPPER(B2004)&amp;REPT(" ",20),20),REPT(" ",20))</f>
        <v/>
      </c>
      <c r="S2004" s="10">
        <f>IF(A2004="D",LEFT(UPPER(C2004)&amp;REPT(" ",10),10)," ")</f>
        <v/>
      </c>
      <c r="T2004" s="10">
        <f>IF(A2004="D",LEFT(UPPER(D2004)&amp;REPT(" ",2),2)," ")</f>
        <v/>
      </c>
      <c r="U2004" s="10">
        <f>IF(A2004="D",LEFT(UPPER(E2004)&amp;REPT(" ",15),15)," ")</f>
        <v/>
      </c>
      <c r="V2004" s="10">
        <f>REPT(" ",24)</f>
        <v/>
      </c>
      <c r="W2004" s="10">
        <f>IF(A2004="c",LEFT(UPPER(B2004)&amp;REPT(" ",20),20),REPT(" ",20))</f>
        <v/>
      </c>
      <c r="X2004" s="10">
        <f>IF(A2004="C",LEFT(UPPER(C2004)&amp;REPT(" ",10),10)," ")</f>
        <v/>
      </c>
      <c r="Y2004" s="10">
        <f>IF(A2004="C",LEFT(UPPER(D2004)&amp;REPT(" ",2),2)," ")</f>
        <v/>
      </c>
      <c r="Z2004" s="10">
        <f>IF(A2004="C",LEFT(UPPER(E2004)&amp;REPT(" ",15),15)," ")</f>
        <v/>
      </c>
      <c r="AA2004" s="10">
        <f>REPT(" ",8)</f>
        <v/>
      </c>
      <c r="AB2004" s="10">
        <f>REPT(" ",4)</f>
        <v/>
      </c>
      <c r="AC2004" s="10">
        <f>LEFT(UPPER(H2004)&amp;REPT(" ",250),250)</f>
        <v/>
      </c>
      <c r="AD2004" s="10">
        <f>TEXT($G$2,"dd/mm/aaaa")</f>
        <v/>
      </c>
      <c r="AE2004" s="10">
        <f>REPT(" ",10)</f>
        <v/>
      </c>
      <c r="AF2004" s="10">
        <f>REPT(" ",20)</f>
        <v/>
      </c>
      <c r="AG2004" s="54">
        <f>REPT(" ",18-LEN(FIXED(F2004,2,TRUE)))&amp;FIXED(F2004,2,TRUE)</f>
        <v/>
      </c>
      <c r="AH2004" s="10">
        <f>LEN(AC2004)+LEN(AG2004)</f>
        <v/>
      </c>
      <c r="AI2004" s="10">
        <f>LEN(L2004)</f>
        <v/>
      </c>
    </row>
    <row r="2005">
      <c r="J2005" s="12">
        <f>IF(F2005&lt;&gt;0,"LANÇAR","")</f>
        <v/>
      </c>
      <c r="L2005" s="13">
        <f>N2005&amp;O2005&amp;P2005&amp;Q2005&amp;R2005&amp;S2005&amp;T2005&amp;U2005&amp;V2005&amp;W2005&amp;X2005&amp;Y2005&amp;Z2005&amp;AA2005&amp;AB2005&amp;AC2005&amp;AD2005&amp;AE2005&amp;AF2005&amp;AG2005</f>
        <v/>
      </c>
      <c r="N2005" s="10">
        <f>TEXT($B$6,"00")</f>
        <v/>
      </c>
      <c r="O2005" s="10">
        <f>REPT(" ",8)</f>
        <v/>
      </c>
      <c r="P2005" s="10">
        <f>RIGHT($B$4,2)</f>
        <v/>
      </c>
      <c r="Q2005" s="10">
        <f>RIGHT($B$5,3)</f>
        <v/>
      </c>
      <c r="R2005" s="10">
        <f>IF(A2005="D",LEFT(UPPER(B2005)&amp;REPT(" ",20),20),REPT(" ",20))</f>
        <v/>
      </c>
      <c r="S2005" s="10">
        <f>IF(A2005="D",LEFT(UPPER(C2005)&amp;REPT(" ",10),10)," ")</f>
        <v/>
      </c>
      <c r="T2005" s="10">
        <f>IF(A2005="D",LEFT(UPPER(D2005)&amp;REPT(" ",2),2)," ")</f>
        <v/>
      </c>
      <c r="U2005" s="10">
        <f>IF(A2005="D",LEFT(UPPER(E2005)&amp;REPT(" ",15),15)," ")</f>
        <v/>
      </c>
      <c r="V2005" s="10">
        <f>REPT(" ",24)</f>
        <v/>
      </c>
      <c r="W2005" s="10">
        <f>IF(A2005="c",LEFT(UPPER(B2005)&amp;REPT(" ",20),20),REPT(" ",20))</f>
        <v/>
      </c>
      <c r="X2005" s="10">
        <f>IF(A2005="C",LEFT(UPPER(C2005)&amp;REPT(" ",10),10)," ")</f>
        <v/>
      </c>
      <c r="Y2005" s="10">
        <f>IF(A2005="C",LEFT(UPPER(D2005)&amp;REPT(" ",2),2)," ")</f>
        <v/>
      </c>
      <c r="Z2005" s="10">
        <f>IF(A2005="C",LEFT(UPPER(E2005)&amp;REPT(" ",15),15)," ")</f>
        <v/>
      </c>
      <c r="AA2005" s="10">
        <f>REPT(" ",8)</f>
        <v/>
      </c>
      <c r="AB2005" s="10">
        <f>REPT(" ",4)</f>
        <v/>
      </c>
      <c r="AC2005" s="10">
        <f>LEFT(UPPER(H2005)&amp;REPT(" ",250),250)</f>
        <v/>
      </c>
      <c r="AD2005" s="10">
        <f>TEXT($G$2,"dd/mm/aaaa")</f>
        <v/>
      </c>
      <c r="AE2005" s="10">
        <f>REPT(" ",10)</f>
        <v/>
      </c>
      <c r="AF2005" s="10">
        <f>REPT(" ",20)</f>
        <v/>
      </c>
      <c r="AG2005" s="54">
        <f>REPT(" ",18-LEN(FIXED(F2005,2,TRUE)))&amp;FIXED(F2005,2,TRUE)</f>
        <v/>
      </c>
      <c r="AH2005" s="10">
        <f>LEN(AC2005)+LEN(AG2005)</f>
        <v/>
      </c>
      <c r="AI2005" s="10">
        <f>LEN(L2005)</f>
        <v/>
      </c>
    </row>
    <row r="2006">
      <c r="J2006" s="12">
        <f>IF(F2006&lt;&gt;0,"LANÇAR","")</f>
        <v/>
      </c>
      <c r="L2006" s="13">
        <f>N2006&amp;O2006&amp;P2006&amp;Q2006&amp;R2006&amp;S2006&amp;T2006&amp;U2006&amp;V2006&amp;W2006&amp;X2006&amp;Y2006&amp;Z2006&amp;AA2006&amp;AB2006&amp;AC2006&amp;AD2006&amp;AE2006&amp;AF2006&amp;AG2006</f>
        <v/>
      </c>
      <c r="N2006" s="10">
        <f>TEXT($B$6,"00")</f>
        <v/>
      </c>
      <c r="O2006" s="10">
        <f>REPT(" ",8)</f>
        <v/>
      </c>
      <c r="P2006" s="10">
        <f>RIGHT($B$4,2)</f>
        <v/>
      </c>
      <c r="Q2006" s="10">
        <f>RIGHT($B$5,3)</f>
        <v/>
      </c>
      <c r="R2006" s="10">
        <f>IF(A2006="D",LEFT(UPPER(B2006)&amp;REPT(" ",20),20),REPT(" ",20))</f>
        <v/>
      </c>
      <c r="S2006" s="10">
        <f>IF(A2006="D",LEFT(UPPER(C2006)&amp;REPT(" ",10),10)," ")</f>
        <v/>
      </c>
      <c r="T2006" s="10">
        <f>IF(A2006="D",LEFT(UPPER(D2006)&amp;REPT(" ",2),2)," ")</f>
        <v/>
      </c>
      <c r="U2006" s="10">
        <f>IF(A2006="D",LEFT(UPPER(E2006)&amp;REPT(" ",15),15)," ")</f>
        <v/>
      </c>
      <c r="V2006" s="10">
        <f>REPT(" ",24)</f>
        <v/>
      </c>
      <c r="W2006" s="10">
        <f>IF(A2006="c",LEFT(UPPER(B2006)&amp;REPT(" ",20),20),REPT(" ",20))</f>
        <v/>
      </c>
      <c r="X2006" s="10">
        <f>IF(A2006="C",LEFT(UPPER(C2006)&amp;REPT(" ",10),10)," ")</f>
        <v/>
      </c>
      <c r="Y2006" s="10">
        <f>IF(A2006="C",LEFT(UPPER(D2006)&amp;REPT(" ",2),2)," ")</f>
        <v/>
      </c>
      <c r="Z2006" s="10">
        <f>IF(A2006="C",LEFT(UPPER(E2006)&amp;REPT(" ",15),15)," ")</f>
        <v/>
      </c>
      <c r="AA2006" s="10">
        <f>REPT(" ",8)</f>
        <v/>
      </c>
      <c r="AB2006" s="10">
        <f>REPT(" ",4)</f>
        <v/>
      </c>
      <c r="AC2006" s="10">
        <f>LEFT(UPPER(H2006)&amp;REPT(" ",250),250)</f>
        <v/>
      </c>
      <c r="AD2006" s="10">
        <f>TEXT($G$2,"dd/mm/aaaa")</f>
        <v/>
      </c>
      <c r="AE2006" s="10">
        <f>REPT(" ",10)</f>
        <v/>
      </c>
      <c r="AF2006" s="10">
        <f>REPT(" ",20)</f>
        <v/>
      </c>
      <c r="AG2006" s="54">
        <f>REPT(" ",18-LEN(FIXED(F2006,2,TRUE)))&amp;FIXED(F2006,2,TRUE)</f>
        <v/>
      </c>
      <c r="AH2006" s="10">
        <f>LEN(AC2006)+LEN(AG2006)</f>
        <v/>
      </c>
      <c r="AI2006" s="10">
        <f>LEN(L2006)</f>
        <v/>
      </c>
    </row>
    <row r="2007">
      <c r="J2007" s="12">
        <f>IF(F2007&lt;&gt;0,"LANÇAR","")</f>
        <v/>
      </c>
      <c r="L2007" s="13">
        <f>N2007&amp;O2007&amp;P2007&amp;Q2007&amp;R2007&amp;S2007&amp;T2007&amp;U2007&amp;V2007&amp;W2007&amp;X2007&amp;Y2007&amp;Z2007&amp;AA2007&amp;AB2007&amp;AC2007&amp;AD2007&amp;AE2007&amp;AF2007&amp;AG2007</f>
        <v/>
      </c>
      <c r="N2007" s="10">
        <f>TEXT($B$6,"00")</f>
        <v/>
      </c>
      <c r="O2007" s="10">
        <f>REPT(" ",8)</f>
        <v/>
      </c>
      <c r="P2007" s="10">
        <f>RIGHT($B$4,2)</f>
        <v/>
      </c>
      <c r="Q2007" s="10">
        <f>RIGHT($B$5,3)</f>
        <v/>
      </c>
      <c r="R2007" s="10">
        <f>IF(A2007="D",LEFT(UPPER(B2007)&amp;REPT(" ",20),20),REPT(" ",20))</f>
        <v/>
      </c>
      <c r="S2007" s="10">
        <f>IF(A2007="D",LEFT(UPPER(C2007)&amp;REPT(" ",10),10)," ")</f>
        <v/>
      </c>
      <c r="T2007" s="10">
        <f>IF(A2007="D",LEFT(UPPER(D2007)&amp;REPT(" ",2),2)," ")</f>
        <v/>
      </c>
      <c r="U2007" s="10">
        <f>IF(A2007="D",LEFT(UPPER(E2007)&amp;REPT(" ",15),15)," ")</f>
        <v/>
      </c>
      <c r="V2007" s="10">
        <f>REPT(" ",24)</f>
        <v/>
      </c>
      <c r="W2007" s="10">
        <f>IF(A2007="c",LEFT(UPPER(B2007)&amp;REPT(" ",20),20),REPT(" ",20))</f>
        <v/>
      </c>
      <c r="X2007" s="10">
        <f>IF(A2007="C",LEFT(UPPER(C2007)&amp;REPT(" ",10),10)," ")</f>
        <v/>
      </c>
      <c r="Y2007" s="10">
        <f>IF(A2007="C",LEFT(UPPER(D2007)&amp;REPT(" ",2),2)," ")</f>
        <v/>
      </c>
      <c r="Z2007" s="10">
        <f>IF(A2007="C",LEFT(UPPER(E2007)&amp;REPT(" ",15),15)," ")</f>
        <v/>
      </c>
      <c r="AA2007" s="10">
        <f>REPT(" ",8)</f>
        <v/>
      </c>
      <c r="AB2007" s="10">
        <f>REPT(" ",4)</f>
        <v/>
      </c>
      <c r="AC2007" s="10">
        <f>LEFT(UPPER(H2007)&amp;REPT(" ",250),250)</f>
        <v/>
      </c>
      <c r="AD2007" s="10">
        <f>TEXT($G$2,"dd/mm/aaaa")</f>
        <v/>
      </c>
      <c r="AE2007" s="10">
        <f>REPT(" ",10)</f>
        <v/>
      </c>
      <c r="AF2007" s="10">
        <f>REPT(" ",20)</f>
        <v/>
      </c>
      <c r="AG2007" s="54">
        <f>REPT(" ",18-LEN(FIXED(F2007,2,TRUE)))&amp;FIXED(F2007,2,TRUE)</f>
        <v/>
      </c>
      <c r="AH2007" s="10">
        <f>LEN(AC2007)+LEN(AG2007)</f>
        <v/>
      </c>
      <c r="AI2007" s="10">
        <f>LEN(L2007)</f>
        <v/>
      </c>
    </row>
    <row r="2008">
      <c r="J2008" s="12">
        <f>IF(F2008&lt;&gt;0,"LANÇAR","")</f>
        <v/>
      </c>
      <c r="L2008" s="13">
        <f>N2008&amp;O2008&amp;P2008&amp;Q2008&amp;R2008&amp;S2008&amp;T2008&amp;U2008&amp;V2008&amp;W2008&amp;X2008&amp;Y2008&amp;Z2008&amp;AA2008&amp;AB2008&amp;AC2008&amp;AD2008&amp;AE2008&amp;AF2008&amp;AG2008</f>
        <v/>
      </c>
      <c r="N2008" s="10">
        <f>TEXT($B$6,"00")</f>
        <v/>
      </c>
      <c r="O2008" s="10">
        <f>REPT(" ",8)</f>
        <v/>
      </c>
      <c r="P2008" s="10">
        <f>RIGHT($B$4,2)</f>
        <v/>
      </c>
      <c r="Q2008" s="10">
        <f>RIGHT($B$5,3)</f>
        <v/>
      </c>
      <c r="R2008" s="10">
        <f>IF(A2008="D",LEFT(UPPER(B2008)&amp;REPT(" ",20),20),REPT(" ",20))</f>
        <v/>
      </c>
      <c r="S2008" s="10">
        <f>IF(A2008="D",LEFT(UPPER(C2008)&amp;REPT(" ",10),10)," ")</f>
        <v/>
      </c>
      <c r="T2008" s="10">
        <f>IF(A2008="D",LEFT(UPPER(D2008)&amp;REPT(" ",2),2)," ")</f>
        <v/>
      </c>
      <c r="U2008" s="10">
        <f>IF(A2008="D",LEFT(UPPER(E2008)&amp;REPT(" ",15),15)," ")</f>
        <v/>
      </c>
      <c r="V2008" s="10">
        <f>REPT(" ",24)</f>
        <v/>
      </c>
      <c r="W2008" s="10">
        <f>IF(A2008="c",LEFT(UPPER(B2008)&amp;REPT(" ",20),20),REPT(" ",20))</f>
        <v/>
      </c>
      <c r="X2008" s="10">
        <f>IF(A2008="C",LEFT(UPPER(C2008)&amp;REPT(" ",10),10)," ")</f>
        <v/>
      </c>
      <c r="Y2008" s="10">
        <f>IF(A2008="C",LEFT(UPPER(D2008)&amp;REPT(" ",2),2)," ")</f>
        <v/>
      </c>
      <c r="Z2008" s="10">
        <f>IF(A2008="C",LEFT(UPPER(E2008)&amp;REPT(" ",15),15)," ")</f>
        <v/>
      </c>
      <c r="AA2008" s="10">
        <f>REPT(" ",8)</f>
        <v/>
      </c>
      <c r="AB2008" s="10">
        <f>REPT(" ",4)</f>
        <v/>
      </c>
      <c r="AC2008" s="10">
        <f>LEFT(UPPER(H2008)&amp;REPT(" ",250),250)</f>
        <v/>
      </c>
      <c r="AD2008" s="10">
        <f>TEXT($G$2,"dd/mm/aaaa")</f>
        <v/>
      </c>
      <c r="AE2008" s="10">
        <f>REPT(" ",10)</f>
        <v/>
      </c>
      <c r="AF2008" s="10">
        <f>REPT(" ",20)</f>
        <v/>
      </c>
      <c r="AG2008" s="54">
        <f>REPT(" ",18-LEN(FIXED(F2008,2,TRUE)))&amp;FIXED(F2008,2,TRUE)</f>
        <v/>
      </c>
      <c r="AH2008" s="10">
        <f>LEN(AC2008)+LEN(AG2008)</f>
        <v/>
      </c>
      <c r="AI2008" s="10">
        <f>LEN(L2008)</f>
        <v/>
      </c>
    </row>
    <row r="2009">
      <c r="J2009" s="12">
        <f>IF(F2009&lt;&gt;0,"LANÇAR","")</f>
        <v/>
      </c>
      <c r="L2009" s="13">
        <f>N2009&amp;O2009&amp;P2009&amp;Q2009&amp;R2009&amp;S2009&amp;T2009&amp;U2009&amp;V2009&amp;W2009&amp;X2009&amp;Y2009&amp;Z2009&amp;AA2009&amp;AB2009&amp;AC2009&amp;AD2009&amp;AE2009&amp;AF2009&amp;AG2009</f>
        <v/>
      </c>
      <c r="N2009" s="10">
        <f>TEXT($B$6,"00")</f>
        <v/>
      </c>
      <c r="O2009" s="10">
        <f>REPT(" ",8)</f>
        <v/>
      </c>
      <c r="P2009" s="10">
        <f>RIGHT($B$4,2)</f>
        <v/>
      </c>
      <c r="Q2009" s="10">
        <f>RIGHT($B$5,3)</f>
        <v/>
      </c>
      <c r="R2009" s="10">
        <f>IF(A2009="D",LEFT(UPPER(B2009)&amp;REPT(" ",20),20),REPT(" ",20))</f>
        <v/>
      </c>
      <c r="S2009" s="10">
        <f>IF(A2009="D",LEFT(UPPER(C2009)&amp;REPT(" ",10),10)," ")</f>
        <v/>
      </c>
      <c r="T2009" s="10">
        <f>IF(A2009="D",LEFT(UPPER(D2009)&amp;REPT(" ",2),2)," ")</f>
        <v/>
      </c>
      <c r="U2009" s="10">
        <f>IF(A2009="D",LEFT(UPPER(E2009)&amp;REPT(" ",15),15)," ")</f>
        <v/>
      </c>
      <c r="V2009" s="10">
        <f>REPT(" ",24)</f>
        <v/>
      </c>
      <c r="W2009" s="10">
        <f>IF(A2009="c",LEFT(UPPER(B2009)&amp;REPT(" ",20),20),REPT(" ",20))</f>
        <v/>
      </c>
      <c r="X2009" s="10">
        <f>IF(A2009="C",LEFT(UPPER(C2009)&amp;REPT(" ",10),10)," ")</f>
        <v/>
      </c>
      <c r="Y2009" s="10">
        <f>IF(A2009="C",LEFT(UPPER(D2009)&amp;REPT(" ",2),2)," ")</f>
        <v/>
      </c>
      <c r="Z2009" s="10">
        <f>IF(A2009="C",LEFT(UPPER(E2009)&amp;REPT(" ",15),15)," ")</f>
        <v/>
      </c>
      <c r="AA2009" s="10">
        <f>REPT(" ",8)</f>
        <v/>
      </c>
      <c r="AB2009" s="10">
        <f>REPT(" ",4)</f>
        <v/>
      </c>
      <c r="AC2009" s="10">
        <f>LEFT(UPPER(H2009)&amp;REPT(" ",250),250)</f>
        <v/>
      </c>
      <c r="AD2009" s="10">
        <f>TEXT($G$2,"dd/mm/aaaa")</f>
        <v/>
      </c>
      <c r="AE2009" s="10">
        <f>REPT(" ",10)</f>
        <v/>
      </c>
      <c r="AF2009" s="10">
        <f>REPT(" ",20)</f>
        <v/>
      </c>
      <c r="AG2009" s="54">
        <f>REPT(" ",18-LEN(FIXED(F2009,2,TRUE)))&amp;FIXED(F2009,2,TRUE)</f>
        <v/>
      </c>
      <c r="AH2009" s="10">
        <f>LEN(AC2009)+LEN(AG2009)</f>
        <v/>
      </c>
      <c r="AI2009" s="10">
        <f>LEN(L2009)</f>
        <v/>
      </c>
    </row>
    <row r="2010">
      <c r="J2010" s="12">
        <f>IF(F2010&lt;&gt;0,"LANÇAR","")</f>
        <v/>
      </c>
      <c r="L2010" s="13">
        <f>N2010&amp;O2010&amp;P2010&amp;Q2010&amp;R2010&amp;S2010&amp;T2010&amp;U2010&amp;V2010&amp;W2010&amp;X2010&amp;Y2010&amp;Z2010&amp;AA2010&amp;AB2010&amp;AC2010&amp;AD2010&amp;AE2010&amp;AF2010&amp;AG2010</f>
        <v/>
      </c>
      <c r="N2010" s="10">
        <f>TEXT($B$6,"00")</f>
        <v/>
      </c>
      <c r="O2010" s="10">
        <f>REPT(" ",8)</f>
        <v/>
      </c>
      <c r="P2010" s="10">
        <f>RIGHT($B$4,2)</f>
        <v/>
      </c>
      <c r="Q2010" s="10">
        <f>RIGHT($B$5,3)</f>
        <v/>
      </c>
      <c r="R2010" s="10">
        <f>IF(A2010="D",LEFT(UPPER(B2010)&amp;REPT(" ",20),20),REPT(" ",20))</f>
        <v/>
      </c>
      <c r="S2010" s="10">
        <f>IF(A2010="D",LEFT(UPPER(C2010)&amp;REPT(" ",10),10)," ")</f>
        <v/>
      </c>
      <c r="T2010" s="10">
        <f>IF(A2010="D",LEFT(UPPER(D2010)&amp;REPT(" ",2),2)," ")</f>
        <v/>
      </c>
      <c r="U2010" s="10">
        <f>IF(A2010="D",LEFT(UPPER(E2010)&amp;REPT(" ",15),15)," ")</f>
        <v/>
      </c>
      <c r="V2010" s="10">
        <f>REPT(" ",24)</f>
        <v/>
      </c>
      <c r="W2010" s="10">
        <f>IF(A2010="c",LEFT(UPPER(B2010)&amp;REPT(" ",20),20),REPT(" ",20))</f>
        <v/>
      </c>
      <c r="X2010" s="10">
        <f>IF(A2010="C",LEFT(UPPER(C2010)&amp;REPT(" ",10),10)," ")</f>
        <v/>
      </c>
      <c r="Y2010" s="10">
        <f>IF(A2010="C",LEFT(UPPER(D2010)&amp;REPT(" ",2),2)," ")</f>
        <v/>
      </c>
      <c r="Z2010" s="10">
        <f>IF(A2010="C",LEFT(UPPER(E2010)&amp;REPT(" ",15),15)," ")</f>
        <v/>
      </c>
      <c r="AA2010" s="10">
        <f>REPT(" ",8)</f>
        <v/>
      </c>
      <c r="AB2010" s="10">
        <f>REPT(" ",4)</f>
        <v/>
      </c>
      <c r="AC2010" s="10">
        <f>LEFT(UPPER(H2010)&amp;REPT(" ",250),250)</f>
        <v/>
      </c>
      <c r="AD2010" s="10">
        <f>TEXT($G$2,"dd/mm/aaaa")</f>
        <v/>
      </c>
      <c r="AE2010" s="10">
        <f>REPT(" ",10)</f>
        <v/>
      </c>
      <c r="AF2010" s="10">
        <f>REPT(" ",20)</f>
        <v/>
      </c>
      <c r="AG2010" s="54">
        <f>REPT(" ",18-LEN(FIXED(F2010,2,TRUE)))&amp;FIXED(F2010,2,TRUE)</f>
        <v/>
      </c>
      <c r="AH2010" s="10">
        <f>LEN(AC2010)+LEN(AG2010)</f>
        <v/>
      </c>
      <c r="AI2010" s="10">
        <f>LEN(L2010)</f>
        <v/>
      </c>
    </row>
    <row r="2011">
      <c r="J2011" s="12">
        <f>IF(F2011&lt;&gt;0,"LANÇAR","")</f>
        <v/>
      </c>
      <c r="L2011" s="13">
        <f>N2011&amp;O2011&amp;P2011&amp;Q2011&amp;R2011&amp;S2011&amp;T2011&amp;U2011&amp;V2011&amp;W2011&amp;X2011&amp;Y2011&amp;Z2011&amp;AA2011&amp;AB2011&amp;AC2011&amp;AD2011&amp;AE2011&amp;AF2011&amp;AG2011</f>
        <v/>
      </c>
      <c r="N2011" s="10">
        <f>TEXT($B$6,"00")</f>
        <v/>
      </c>
      <c r="O2011" s="10">
        <f>REPT(" ",8)</f>
        <v/>
      </c>
      <c r="P2011" s="10">
        <f>RIGHT($B$4,2)</f>
        <v/>
      </c>
      <c r="Q2011" s="10">
        <f>RIGHT($B$5,3)</f>
        <v/>
      </c>
      <c r="R2011" s="10">
        <f>IF(A2011="D",LEFT(UPPER(B2011)&amp;REPT(" ",20),20),REPT(" ",20))</f>
        <v/>
      </c>
      <c r="S2011" s="10">
        <f>IF(A2011="D",LEFT(UPPER(C2011)&amp;REPT(" ",10),10)," ")</f>
        <v/>
      </c>
      <c r="T2011" s="10">
        <f>IF(A2011="D",LEFT(UPPER(D2011)&amp;REPT(" ",2),2)," ")</f>
        <v/>
      </c>
      <c r="U2011" s="10">
        <f>IF(A2011="D",LEFT(UPPER(E2011)&amp;REPT(" ",15),15)," ")</f>
        <v/>
      </c>
      <c r="V2011" s="10">
        <f>REPT(" ",24)</f>
        <v/>
      </c>
      <c r="W2011" s="10">
        <f>IF(A2011="c",LEFT(UPPER(B2011)&amp;REPT(" ",20),20),REPT(" ",20))</f>
        <v/>
      </c>
      <c r="X2011" s="10">
        <f>IF(A2011="C",LEFT(UPPER(C2011)&amp;REPT(" ",10),10)," ")</f>
        <v/>
      </c>
      <c r="Y2011" s="10">
        <f>IF(A2011="C",LEFT(UPPER(D2011)&amp;REPT(" ",2),2)," ")</f>
        <v/>
      </c>
      <c r="Z2011" s="10">
        <f>IF(A2011="C",LEFT(UPPER(E2011)&amp;REPT(" ",15),15)," ")</f>
        <v/>
      </c>
      <c r="AA2011" s="10">
        <f>REPT(" ",8)</f>
        <v/>
      </c>
      <c r="AB2011" s="10">
        <f>REPT(" ",4)</f>
        <v/>
      </c>
      <c r="AC2011" s="10">
        <f>LEFT(UPPER(H2011)&amp;REPT(" ",250),250)</f>
        <v/>
      </c>
      <c r="AD2011" s="10">
        <f>TEXT($G$2,"dd/mm/aaaa")</f>
        <v/>
      </c>
      <c r="AE2011" s="10">
        <f>REPT(" ",10)</f>
        <v/>
      </c>
      <c r="AF2011" s="10">
        <f>REPT(" ",20)</f>
        <v/>
      </c>
      <c r="AG2011" s="54">
        <f>REPT(" ",18-LEN(FIXED(F2011,2,TRUE)))&amp;FIXED(F2011,2,TRUE)</f>
        <v/>
      </c>
      <c r="AH2011" s="10">
        <f>LEN(AC2011)+LEN(AG2011)</f>
        <v/>
      </c>
      <c r="AI2011" s="10">
        <f>LEN(L2011)</f>
        <v/>
      </c>
    </row>
    <row r="2012">
      <c r="J2012" s="12">
        <f>IF(F2012&lt;&gt;0,"LANÇAR","")</f>
        <v/>
      </c>
      <c r="L2012" s="13">
        <f>N2012&amp;O2012&amp;P2012&amp;Q2012&amp;R2012&amp;S2012&amp;T2012&amp;U2012&amp;V2012&amp;W2012&amp;X2012&amp;Y2012&amp;Z2012&amp;AA2012&amp;AB2012&amp;AC2012&amp;AD2012&amp;AE2012&amp;AF2012&amp;AG2012</f>
        <v/>
      </c>
      <c r="N2012" s="10">
        <f>TEXT($B$6,"00")</f>
        <v/>
      </c>
      <c r="O2012" s="10">
        <f>REPT(" ",8)</f>
        <v/>
      </c>
      <c r="P2012" s="10">
        <f>RIGHT($B$4,2)</f>
        <v/>
      </c>
      <c r="Q2012" s="10">
        <f>RIGHT($B$5,3)</f>
        <v/>
      </c>
      <c r="R2012" s="10">
        <f>IF(A2012="D",LEFT(UPPER(B2012)&amp;REPT(" ",20),20),REPT(" ",20))</f>
        <v/>
      </c>
      <c r="S2012" s="10">
        <f>IF(A2012="D",LEFT(UPPER(C2012)&amp;REPT(" ",10),10)," ")</f>
        <v/>
      </c>
      <c r="T2012" s="10">
        <f>IF(A2012="D",LEFT(UPPER(D2012)&amp;REPT(" ",2),2)," ")</f>
        <v/>
      </c>
      <c r="U2012" s="10">
        <f>IF(A2012="D",LEFT(UPPER(E2012)&amp;REPT(" ",15),15)," ")</f>
        <v/>
      </c>
      <c r="V2012" s="10">
        <f>REPT(" ",24)</f>
        <v/>
      </c>
      <c r="W2012" s="10">
        <f>IF(A2012="c",LEFT(UPPER(B2012)&amp;REPT(" ",20),20),REPT(" ",20))</f>
        <v/>
      </c>
      <c r="X2012" s="10">
        <f>IF(A2012="C",LEFT(UPPER(C2012)&amp;REPT(" ",10),10)," ")</f>
        <v/>
      </c>
      <c r="Y2012" s="10">
        <f>IF(A2012="C",LEFT(UPPER(D2012)&amp;REPT(" ",2),2)," ")</f>
        <v/>
      </c>
      <c r="Z2012" s="10">
        <f>IF(A2012="C",LEFT(UPPER(E2012)&amp;REPT(" ",15),15)," ")</f>
        <v/>
      </c>
      <c r="AA2012" s="10">
        <f>REPT(" ",8)</f>
        <v/>
      </c>
      <c r="AB2012" s="10">
        <f>REPT(" ",4)</f>
        <v/>
      </c>
      <c r="AC2012" s="10">
        <f>LEFT(UPPER(H2012)&amp;REPT(" ",250),250)</f>
        <v/>
      </c>
      <c r="AD2012" s="10">
        <f>TEXT($G$2,"dd/mm/aaaa")</f>
        <v/>
      </c>
      <c r="AE2012" s="10">
        <f>REPT(" ",10)</f>
        <v/>
      </c>
      <c r="AF2012" s="10">
        <f>REPT(" ",20)</f>
        <v/>
      </c>
      <c r="AG2012" s="54">
        <f>REPT(" ",18-LEN(FIXED(F2012,2,TRUE)))&amp;FIXED(F2012,2,TRUE)</f>
        <v/>
      </c>
      <c r="AH2012" s="10">
        <f>LEN(AC2012)+LEN(AG2012)</f>
        <v/>
      </c>
      <c r="AI2012" s="10">
        <f>LEN(L2012)</f>
        <v/>
      </c>
    </row>
    <row r="2013">
      <c r="J2013" s="12">
        <f>IF(F2013&lt;&gt;0,"LANÇAR","")</f>
        <v/>
      </c>
      <c r="L2013" s="13">
        <f>N2013&amp;O2013&amp;P2013&amp;Q2013&amp;R2013&amp;S2013&amp;T2013&amp;U2013&amp;V2013&amp;W2013&amp;X2013&amp;Y2013&amp;Z2013&amp;AA2013&amp;AB2013&amp;AC2013&amp;AD2013&amp;AE2013&amp;AF2013&amp;AG2013</f>
        <v/>
      </c>
      <c r="N2013" s="10">
        <f>TEXT($B$6,"00")</f>
        <v/>
      </c>
      <c r="O2013" s="10">
        <f>REPT(" ",8)</f>
        <v/>
      </c>
      <c r="P2013" s="10">
        <f>RIGHT($B$4,2)</f>
        <v/>
      </c>
      <c r="Q2013" s="10">
        <f>RIGHT($B$5,3)</f>
        <v/>
      </c>
      <c r="R2013" s="10">
        <f>IF(A2013="D",LEFT(UPPER(B2013)&amp;REPT(" ",20),20),REPT(" ",20))</f>
        <v/>
      </c>
      <c r="S2013" s="10">
        <f>IF(A2013="D",LEFT(UPPER(C2013)&amp;REPT(" ",10),10)," ")</f>
        <v/>
      </c>
      <c r="T2013" s="10">
        <f>IF(A2013="D",LEFT(UPPER(D2013)&amp;REPT(" ",2),2)," ")</f>
        <v/>
      </c>
      <c r="U2013" s="10">
        <f>IF(A2013="D",LEFT(UPPER(E2013)&amp;REPT(" ",15),15)," ")</f>
        <v/>
      </c>
      <c r="V2013" s="10">
        <f>REPT(" ",24)</f>
        <v/>
      </c>
      <c r="W2013" s="10">
        <f>IF(A2013="c",LEFT(UPPER(B2013)&amp;REPT(" ",20),20),REPT(" ",20))</f>
        <v/>
      </c>
      <c r="X2013" s="10">
        <f>IF(A2013="C",LEFT(UPPER(C2013)&amp;REPT(" ",10),10)," ")</f>
        <v/>
      </c>
      <c r="Y2013" s="10">
        <f>IF(A2013="C",LEFT(UPPER(D2013)&amp;REPT(" ",2),2)," ")</f>
        <v/>
      </c>
      <c r="Z2013" s="10">
        <f>IF(A2013="C",LEFT(UPPER(E2013)&amp;REPT(" ",15),15)," ")</f>
        <v/>
      </c>
      <c r="AA2013" s="10">
        <f>REPT(" ",8)</f>
        <v/>
      </c>
      <c r="AB2013" s="10">
        <f>REPT(" ",4)</f>
        <v/>
      </c>
      <c r="AC2013" s="10">
        <f>LEFT(UPPER(H2013)&amp;REPT(" ",250),250)</f>
        <v/>
      </c>
      <c r="AD2013" s="10">
        <f>TEXT($G$2,"dd/mm/aaaa")</f>
        <v/>
      </c>
      <c r="AE2013" s="10">
        <f>REPT(" ",10)</f>
        <v/>
      </c>
      <c r="AF2013" s="10">
        <f>REPT(" ",20)</f>
        <v/>
      </c>
      <c r="AG2013" s="54">
        <f>REPT(" ",18-LEN(FIXED(F2013,2,TRUE)))&amp;FIXED(F2013,2,TRUE)</f>
        <v/>
      </c>
      <c r="AH2013" s="10">
        <f>LEN(AC2013)+LEN(AG2013)</f>
        <v/>
      </c>
      <c r="AI2013" s="10">
        <f>LEN(L2013)</f>
        <v/>
      </c>
    </row>
    <row r="2014">
      <c r="J2014" s="12">
        <f>IF(F2014&lt;&gt;0,"LANÇAR","")</f>
        <v/>
      </c>
      <c r="L2014" s="13">
        <f>N2014&amp;O2014&amp;P2014&amp;Q2014&amp;R2014&amp;S2014&amp;T2014&amp;U2014&amp;V2014&amp;W2014&amp;X2014&amp;Y2014&amp;Z2014&amp;AA2014&amp;AB2014&amp;AC2014&amp;AD2014&amp;AE2014&amp;AF2014&amp;AG2014</f>
        <v/>
      </c>
      <c r="N2014" s="10">
        <f>TEXT($B$6,"00")</f>
        <v/>
      </c>
      <c r="O2014" s="10">
        <f>REPT(" ",8)</f>
        <v/>
      </c>
      <c r="P2014" s="10">
        <f>RIGHT($B$4,2)</f>
        <v/>
      </c>
      <c r="Q2014" s="10">
        <f>RIGHT($B$5,3)</f>
        <v/>
      </c>
      <c r="R2014" s="10">
        <f>IF(A2014="D",LEFT(UPPER(B2014)&amp;REPT(" ",20),20),REPT(" ",20))</f>
        <v/>
      </c>
      <c r="S2014" s="10">
        <f>IF(A2014="D",LEFT(UPPER(C2014)&amp;REPT(" ",10),10)," ")</f>
        <v/>
      </c>
      <c r="T2014" s="10">
        <f>IF(A2014="D",LEFT(UPPER(D2014)&amp;REPT(" ",2),2)," ")</f>
        <v/>
      </c>
      <c r="U2014" s="10">
        <f>IF(A2014="D",LEFT(UPPER(E2014)&amp;REPT(" ",15),15)," ")</f>
        <v/>
      </c>
      <c r="V2014" s="10">
        <f>REPT(" ",24)</f>
        <v/>
      </c>
      <c r="W2014" s="10">
        <f>IF(A2014="c",LEFT(UPPER(B2014)&amp;REPT(" ",20),20),REPT(" ",20))</f>
        <v/>
      </c>
      <c r="X2014" s="10">
        <f>IF(A2014="C",LEFT(UPPER(C2014)&amp;REPT(" ",10),10)," ")</f>
        <v/>
      </c>
      <c r="Y2014" s="10">
        <f>IF(A2014="C",LEFT(UPPER(D2014)&amp;REPT(" ",2),2)," ")</f>
        <v/>
      </c>
      <c r="Z2014" s="10">
        <f>IF(A2014="C",LEFT(UPPER(E2014)&amp;REPT(" ",15),15)," ")</f>
        <v/>
      </c>
      <c r="AA2014" s="10">
        <f>REPT(" ",8)</f>
        <v/>
      </c>
      <c r="AB2014" s="10">
        <f>REPT(" ",4)</f>
        <v/>
      </c>
      <c r="AC2014" s="10">
        <f>LEFT(UPPER(H2014)&amp;REPT(" ",250),250)</f>
        <v/>
      </c>
      <c r="AD2014" s="10">
        <f>TEXT($G$2,"dd/mm/aaaa")</f>
        <v/>
      </c>
      <c r="AE2014" s="10">
        <f>REPT(" ",10)</f>
        <v/>
      </c>
      <c r="AF2014" s="10">
        <f>REPT(" ",20)</f>
        <v/>
      </c>
      <c r="AG2014" s="54">
        <f>REPT(" ",18-LEN(FIXED(F2014,2,TRUE)))&amp;FIXED(F2014,2,TRUE)</f>
        <v/>
      </c>
      <c r="AH2014" s="10">
        <f>LEN(AC2014)+LEN(AG2014)</f>
        <v/>
      </c>
      <c r="AI2014" s="10">
        <f>LEN(L2014)</f>
        <v/>
      </c>
    </row>
    <row r="2015">
      <c r="J2015" s="12">
        <f>IF(F2015&lt;&gt;0,"LANÇAR","")</f>
        <v/>
      </c>
      <c r="L2015" s="13">
        <f>N2015&amp;O2015&amp;P2015&amp;Q2015&amp;R2015&amp;S2015&amp;T2015&amp;U2015&amp;V2015&amp;W2015&amp;X2015&amp;Y2015&amp;Z2015&amp;AA2015&amp;AB2015&amp;AC2015&amp;AD2015&amp;AE2015&amp;AF2015&amp;AG2015</f>
        <v/>
      </c>
      <c r="N2015" s="10">
        <f>TEXT($B$6,"00")</f>
        <v/>
      </c>
      <c r="O2015" s="10">
        <f>REPT(" ",8)</f>
        <v/>
      </c>
      <c r="P2015" s="10">
        <f>RIGHT($B$4,2)</f>
        <v/>
      </c>
      <c r="Q2015" s="10">
        <f>RIGHT($B$5,3)</f>
        <v/>
      </c>
      <c r="R2015" s="10">
        <f>IF(A2015="D",LEFT(UPPER(B2015)&amp;REPT(" ",20),20),REPT(" ",20))</f>
        <v/>
      </c>
      <c r="S2015" s="10">
        <f>IF(A2015="D",LEFT(UPPER(C2015)&amp;REPT(" ",10),10)," ")</f>
        <v/>
      </c>
      <c r="T2015" s="10">
        <f>IF(A2015="D",LEFT(UPPER(D2015)&amp;REPT(" ",2),2)," ")</f>
        <v/>
      </c>
      <c r="U2015" s="10">
        <f>IF(A2015="D",LEFT(UPPER(E2015)&amp;REPT(" ",15),15)," ")</f>
        <v/>
      </c>
      <c r="V2015" s="10">
        <f>REPT(" ",24)</f>
        <v/>
      </c>
      <c r="W2015" s="10">
        <f>IF(A2015="c",LEFT(UPPER(B2015)&amp;REPT(" ",20),20),REPT(" ",20))</f>
        <v/>
      </c>
      <c r="X2015" s="10">
        <f>IF(A2015="C",LEFT(UPPER(C2015)&amp;REPT(" ",10),10)," ")</f>
        <v/>
      </c>
      <c r="Y2015" s="10">
        <f>IF(A2015="C",LEFT(UPPER(D2015)&amp;REPT(" ",2),2)," ")</f>
        <v/>
      </c>
      <c r="Z2015" s="10">
        <f>IF(A2015="C",LEFT(UPPER(E2015)&amp;REPT(" ",15),15)," ")</f>
        <v/>
      </c>
      <c r="AA2015" s="10">
        <f>REPT(" ",8)</f>
        <v/>
      </c>
      <c r="AB2015" s="10">
        <f>REPT(" ",4)</f>
        <v/>
      </c>
      <c r="AC2015" s="10">
        <f>LEFT(UPPER(H2015)&amp;REPT(" ",250),250)</f>
        <v/>
      </c>
      <c r="AD2015" s="10">
        <f>TEXT($G$2,"dd/mm/aaaa")</f>
        <v/>
      </c>
      <c r="AE2015" s="10">
        <f>REPT(" ",10)</f>
        <v/>
      </c>
      <c r="AF2015" s="10">
        <f>REPT(" ",20)</f>
        <v/>
      </c>
      <c r="AG2015" s="54">
        <f>REPT(" ",18-LEN(FIXED(F2015,2,TRUE)))&amp;FIXED(F2015,2,TRUE)</f>
        <v/>
      </c>
      <c r="AH2015" s="10">
        <f>LEN(AC2015)+LEN(AG2015)</f>
        <v/>
      </c>
      <c r="AI2015" s="10">
        <f>LEN(L2015)</f>
        <v/>
      </c>
    </row>
    <row r="2016">
      <c r="J2016" s="12">
        <f>IF(F2016&lt;&gt;0,"LANÇAR","")</f>
        <v/>
      </c>
      <c r="L2016" s="13">
        <f>N2016&amp;O2016&amp;P2016&amp;Q2016&amp;R2016&amp;S2016&amp;T2016&amp;U2016&amp;V2016&amp;W2016&amp;X2016&amp;Y2016&amp;Z2016&amp;AA2016&amp;AB2016&amp;AC2016&amp;AD2016&amp;AE2016&amp;AF2016&amp;AG2016</f>
        <v/>
      </c>
      <c r="N2016" s="10">
        <f>TEXT($B$6,"00")</f>
        <v/>
      </c>
      <c r="O2016" s="10">
        <f>REPT(" ",8)</f>
        <v/>
      </c>
      <c r="P2016" s="10">
        <f>RIGHT($B$4,2)</f>
        <v/>
      </c>
      <c r="Q2016" s="10">
        <f>RIGHT($B$5,3)</f>
        <v/>
      </c>
      <c r="R2016" s="10">
        <f>IF(A2016="D",LEFT(UPPER(B2016)&amp;REPT(" ",20),20),REPT(" ",20))</f>
        <v/>
      </c>
      <c r="S2016" s="10">
        <f>IF(A2016="D",LEFT(UPPER(C2016)&amp;REPT(" ",10),10)," ")</f>
        <v/>
      </c>
      <c r="T2016" s="10">
        <f>IF(A2016="D",LEFT(UPPER(D2016)&amp;REPT(" ",2),2)," ")</f>
        <v/>
      </c>
      <c r="U2016" s="10">
        <f>IF(A2016="D",LEFT(UPPER(E2016)&amp;REPT(" ",15),15)," ")</f>
        <v/>
      </c>
      <c r="V2016" s="10">
        <f>REPT(" ",24)</f>
        <v/>
      </c>
      <c r="W2016" s="10">
        <f>IF(A2016="c",LEFT(UPPER(B2016)&amp;REPT(" ",20),20),REPT(" ",20))</f>
        <v/>
      </c>
      <c r="X2016" s="10">
        <f>IF(A2016="C",LEFT(UPPER(C2016)&amp;REPT(" ",10),10)," ")</f>
        <v/>
      </c>
      <c r="Y2016" s="10">
        <f>IF(A2016="C",LEFT(UPPER(D2016)&amp;REPT(" ",2),2)," ")</f>
        <v/>
      </c>
      <c r="Z2016" s="10">
        <f>IF(A2016="C",LEFT(UPPER(E2016)&amp;REPT(" ",15),15)," ")</f>
        <v/>
      </c>
      <c r="AA2016" s="10">
        <f>REPT(" ",8)</f>
        <v/>
      </c>
      <c r="AB2016" s="10">
        <f>REPT(" ",4)</f>
        <v/>
      </c>
      <c r="AC2016" s="10">
        <f>LEFT(UPPER(H2016)&amp;REPT(" ",250),250)</f>
        <v/>
      </c>
      <c r="AD2016" s="10">
        <f>TEXT($G$2,"dd/mm/aaaa")</f>
        <v/>
      </c>
      <c r="AE2016" s="10">
        <f>REPT(" ",10)</f>
        <v/>
      </c>
      <c r="AF2016" s="10">
        <f>REPT(" ",20)</f>
        <v/>
      </c>
      <c r="AG2016" s="54">
        <f>REPT(" ",18-LEN(FIXED(F2016,2,TRUE)))&amp;FIXED(F2016,2,TRUE)</f>
        <v/>
      </c>
      <c r="AH2016" s="10">
        <f>LEN(AC2016)+LEN(AG2016)</f>
        <v/>
      </c>
      <c r="AI2016" s="10">
        <f>LEN(L2016)</f>
        <v/>
      </c>
    </row>
    <row r="2017">
      <c r="J2017" s="12">
        <f>IF(F2017&lt;&gt;0,"LANÇAR","")</f>
        <v/>
      </c>
      <c r="L2017" s="13">
        <f>N2017&amp;O2017&amp;P2017&amp;Q2017&amp;R2017&amp;S2017&amp;T2017&amp;U2017&amp;V2017&amp;W2017&amp;X2017&amp;Y2017&amp;Z2017&amp;AA2017&amp;AB2017&amp;AC2017&amp;AD2017&amp;AE2017&amp;AF2017&amp;AG2017</f>
        <v/>
      </c>
      <c r="N2017" s="10">
        <f>TEXT($B$6,"00")</f>
        <v/>
      </c>
      <c r="O2017" s="10">
        <f>REPT(" ",8)</f>
        <v/>
      </c>
      <c r="P2017" s="10">
        <f>RIGHT($B$4,2)</f>
        <v/>
      </c>
      <c r="Q2017" s="10">
        <f>RIGHT($B$5,3)</f>
        <v/>
      </c>
      <c r="R2017" s="10">
        <f>IF(A2017="D",LEFT(UPPER(B2017)&amp;REPT(" ",20),20),REPT(" ",20))</f>
        <v/>
      </c>
      <c r="S2017" s="10">
        <f>IF(A2017="D",LEFT(UPPER(C2017)&amp;REPT(" ",10),10)," ")</f>
        <v/>
      </c>
      <c r="T2017" s="10">
        <f>IF(A2017="D",LEFT(UPPER(D2017)&amp;REPT(" ",2),2)," ")</f>
        <v/>
      </c>
      <c r="U2017" s="10">
        <f>IF(A2017="D",LEFT(UPPER(E2017)&amp;REPT(" ",15),15)," ")</f>
        <v/>
      </c>
      <c r="V2017" s="10">
        <f>REPT(" ",24)</f>
        <v/>
      </c>
      <c r="W2017" s="10">
        <f>IF(A2017="c",LEFT(UPPER(B2017)&amp;REPT(" ",20),20),REPT(" ",20))</f>
        <v/>
      </c>
      <c r="X2017" s="10">
        <f>IF(A2017="C",LEFT(UPPER(C2017)&amp;REPT(" ",10),10)," ")</f>
        <v/>
      </c>
      <c r="Y2017" s="10">
        <f>IF(A2017="C",LEFT(UPPER(D2017)&amp;REPT(" ",2),2)," ")</f>
        <v/>
      </c>
      <c r="Z2017" s="10">
        <f>IF(A2017="C",LEFT(UPPER(E2017)&amp;REPT(" ",15),15)," ")</f>
        <v/>
      </c>
      <c r="AA2017" s="10">
        <f>REPT(" ",8)</f>
        <v/>
      </c>
      <c r="AB2017" s="10">
        <f>REPT(" ",4)</f>
        <v/>
      </c>
      <c r="AC2017" s="10">
        <f>LEFT(UPPER(H2017)&amp;REPT(" ",250),250)</f>
        <v/>
      </c>
      <c r="AD2017" s="10">
        <f>TEXT($G$2,"dd/mm/aaaa")</f>
        <v/>
      </c>
      <c r="AE2017" s="10">
        <f>REPT(" ",10)</f>
        <v/>
      </c>
      <c r="AF2017" s="10">
        <f>REPT(" ",20)</f>
        <v/>
      </c>
      <c r="AG2017" s="54">
        <f>REPT(" ",18-LEN(FIXED(F2017,2,TRUE)))&amp;FIXED(F2017,2,TRUE)</f>
        <v/>
      </c>
      <c r="AH2017" s="10">
        <f>LEN(AC2017)+LEN(AG2017)</f>
        <v/>
      </c>
      <c r="AI2017" s="10">
        <f>LEN(L2017)</f>
        <v/>
      </c>
    </row>
    <row r="2018">
      <c r="J2018" s="12">
        <f>IF(F2018&lt;&gt;0,"LANÇAR","")</f>
        <v/>
      </c>
      <c r="L2018" s="13">
        <f>N2018&amp;O2018&amp;P2018&amp;Q2018&amp;R2018&amp;S2018&amp;T2018&amp;U2018&amp;V2018&amp;W2018&amp;X2018&amp;Y2018&amp;Z2018&amp;AA2018&amp;AB2018&amp;AC2018&amp;AD2018&amp;AE2018&amp;AF2018&amp;AG2018</f>
        <v/>
      </c>
      <c r="N2018" s="10">
        <f>TEXT($B$6,"00")</f>
        <v/>
      </c>
      <c r="O2018" s="10">
        <f>REPT(" ",8)</f>
        <v/>
      </c>
      <c r="P2018" s="10">
        <f>RIGHT($B$4,2)</f>
        <v/>
      </c>
      <c r="Q2018" s="10">
        <f>RIGHT($B$5,3)</f>
        <v/>
      </c>
      <c r="R2018" s="10">
        <f>IF(A2018="D",LEFT(UPPER(B2018)&amp;REPT(" ",20),20),REPT(" ",20))</f>
        <v/>
      </c>
      <c r="S2018" s="10">
        <f>IF(A2018="D",LEFT(UPPER(C2018)&amp;REPT(" ",10),10)," ")</f>
        <v/>
      </c>
      <c r="T2018" s="10">
        <f>IF(A2018="D",LEFT(UPPER(D2018)&amp;REPT(" ",2),2)," ")</f>
        <v/>
      </c>
      <c r="U2018" s="10">
        <f>IF(A2018="D",LEFT(UPPER(E2018)&amp;REPT(" ",15),15)," ")</f>
        <v/>
      </c>
      <c r="V2018" s="10">
        <f>REPT(" ",24)</f>
        <v/>
      </c>
      <c r="W2018" s="10">
        <f>IF(A2018="c",LEFT(UPPER(B2018)&amp;REPT(" ",20),20),REPT(" ",20))</f>
        <v/>
      </c>
      <c r="X2018" s="10">
        <f>IF(A2018="C",LEFT(UPPER(C2018)&amp;REPT(" ",10),10)," ")</f>
        <v/>
      </c>
      <c r="Y2018" s="10">
        <f>IF(A2018="C",LEFT(UPPER(D2018)&amp;REPT(" ",2),2)," ")</f>
        <v/>
      </c>
      <c r="Z2018" s="10">
        <f>IF(A2018="C",LEFT(UPPER(E2018)&amp;REPT(" ",15),15)," ")</f>
        <v/>
      </c>
      <c r="AA2018" s="10">
        <f>REPT(" ",8)</f>
        <v/>
      </c>
      <c r="AB2018" s="10">
        <f>REPT(" ",4)</f>
        <v/>
      </c>
      <c r="AC2018" s="10">
        <f>LEFT(UPPER(H2018)&amp;REPT(" ",250),250)</f>
        <v/>
      </c>
      <c r="AD2018" s="10">
        <f>TEXT($G$2,"dd/mm/aaaa")</f>
        <v/>
      </c>
      <c r="AE2018" s="10">
        <f>REPT(" ",10)</f>
        <v/>
      </c>
      <c r="AF2018" s="10">
        <f>REPT(" ",20)</f>
        <v/>
      </c>
      <c r="AG2018" s="54">
        <f>REPT(" ",18-LEN(FIXED(F2018,2,TRUE)))&amp;FIXED(F2018,2,TRUE)</f>
        <v/>
      </c>
      <c r="AH2018" s="10">
        <f>LEN(AC2018)+LEN(AG2018)</f>
        <v/>
      </c>
      <c r="AI2018" s="10">
        <f>LEN(L2018)</f>
        <v/>
      </c>
    </row>
    <row r="2019">
      <c r="J2019" s="12">
        <f>IF(F2019&lt;&gt;0,"LANÇAR","")</f>
        <v/>
      </c>
      <c r="L2019" s="13">
        <f>N2019&amp;O2019&amp;P2019&amp;Q2019&amp;R2019&amp;S2019&amp;T2019&amp;U2019&amp;V2019&amp;W2019&amp;X2019&amp;Y2019&amp;Z2019&amp;AA2019&amp;AB2019&amp;AC2019&amp;AD2019&amp;AE2019&amp;AF2019&amp;AG2019</f>
        <v/>
      </c>
      <c r="N2019" s="10">
        <f>TEXT($B$6,"00")</f>
        <v/>
      </c>
      <c r="O2019" s="10">
        <f>REPT(" ",8)</f>
        <v/>
      </c>
      <c r="P2019" s="10">
        <f>RIGHT($B$4,2)</f>
        <v/>
      </c>
      <c r="Q2019" s="10">
        <f>RIGHT($B$5,3)</f>
        <v/>
      </c>
      <c r="R2019" s="10">
        <f>IF(A2019="D",LEFT(UPPER(B2019)&amp;REPT(" ",20),20),REPT(" ",20))</f>
        <v/>
      </c>
      <c r="S2019" s="10">
        <f>IF(A2019="D",LEFT(UPPER(C2019)&amp;REPT(" ",10),10)," ")</f>
        <v/>
      </c>
      <c r="T2019" s="10">
        <f>IF(A2019="D",LEFT(UPPER(D2019)&amp;REPT(" ",2),2)," ")</f>
        <v/>
      </c>
      <c r="U2019" s="10">
        <f>IF(A2019="D",LEFT(UPPER(E2019)&amp;REPT(" ",15),15)," ")</f>
        <v/>
      </c>
      <c r="V2019" s="10">
        <f>REPT(" ",24)</f>
        <v/>
      </c>
      <c r="W2019" s="10">
        <f>IF(A2019="c",LEFT(UPPER(B2019)&amp;REPT(" ",20),20),REPT(" ",20))</f>
        <v/>
      </c>
      <c r="X2019" s="10">
        <f>IF(A2019="C",LEFT(UPPER(C2019)&amp;REPT(" ",10),10)," ")</f>
        <v/>
      </c>
      <c r="Y2019" s="10">
        <f>IF(A2019="C",LEFT(UPPER(D2019)&amp;REPT(" ",2),2)," ")</f>
        <v/>
      </c>
      <c r="Z2019" s="10">
        <f>IF(A2019="C",LEFT(UPPER(E2019)&amp;REPT(" ",15),15)," ")</f>
        <v/>
      </c>
      <c r="AA2019" s="10">
        <f>REPT(" ",8)</f>
        <v/>
      </c>
      <c r="AB2019" s="10">
        <f>REPT(" ",4)</f>
        <v/>
      </c>
      <c r="AC2019" s="10">
        <f>LEFT(UPPER(H2019)&amp;REPT(" ",250),250)</f>
        <v/>
      </c>
      <c r="AD2019" s="10">
        <f>TEXT($G$2,"dd/mm/aaaa")</f>
        <v/>
      </c>
      <c r="AE2019" s="10">
        <f>REPT(" ",10)</f>
        <v/>
      </c>
      <c r="AF2019" s="10">
        <f>REPT(" ",20)</f>
        <v/>
      </c>
      <c r="AG2019" s="54">
        <f>REPT(" ",18-LEN(FIXED(F2019,2,TRUE)))&amp;FIXED(F2019,2,TRUE)</f>
        <v/>
      </c>
      <c r="AH2019" s="10">
        <f>LEN(AC2019)+LEN(AG2019)</f>
        <v/>
      </c>
      <c r="AI2019" s="10">
        <f>LEN(L2019)</f>
        <v/>
      </c>
    </row>
    <row r="2020">
      <c r="J2020" s="12">
        <f>IF(F2020&lt;&gt;0,"LANÇAR","")</f>
        <v/>
      </c>
      <c r="L2020" s="13">
        <f>N2020&amp;O2020&amp;P2020&amp;Q2020&amp;R2020&amp;S2020&amp;T2020&amp;U2020&amp;V2020&amp;W2020&amp;X2020&amp;Y2020&amp;Z2020&amp;AA2020&amp;AB2020&amp;AC2020&amp;AD2020&amp;AE2020&amp;AF2020&amp;AG2020</f>
        <v/>
      </c>
      <c r="N2020" s="10">
        <f>TEXT($B$6,"00")</f>
        <v/>
      </c>
      <c r="O2020" s="10">
        <f>REPT(" ",8)</f>
        <v/>
      </c>
      <c r="P2020" s="10">
        <f>RIGHT($B$4,2)</f>
        <v/>
      </c>
      <c r="Q2020" s="10">
        <f>RIGHT($B$5,3)</f>
        <v/>
      </c>
      <c r="R2020" s="10">
        <f>IF(A2020="D",LEFT(UPPER(B2020)&amp;REPT(" ",20),20),REPT(" ",20))</f>
        <v/>
      </c>
      <c r="S2020" s="10">
        <f>IF(A2020="D",LEFT(UPPER(C2020)&amp;REPT(" ",10),10)," ")</f>
        <v/>
      </c>
      <c r="T2020" s="10">
        <f>IF(A2020="D",LEFT(UPPER(D2020)&amp;REPT(" ",2),2)," ")</f>
        <v/>
      </c>
      <c r="U2020" s="10">
        <f>IF(A2020="D",LEFT(UPPER(E2020)&amp;REPT(" ",15),15)," ")</f>
        <v/>
      </c>
      <c r="V2020" s="10">
        <f>REPT(" ",24)</f>
        <v/>
      </c>
      <c r="W2020" s="10">
        <f>IF(A2020="c",LEFT(UPPER(B2020)&amp;REPT(" ",20),20),REPT(" ",20))</f>
        <v/>
      </c>
      <c r="X2020" s="10">
        <f>IF(A2020="C",LEFT(UPPER(C2020)&amp;REPT(" ",10),10)," ")</f>
        <v/>
      </c>
      <c r="Y2020" s="10">
        <f>IF(A2020="C",LEFT(UPPER(D2020)&amp;REPT(" ",2),2)," ")</f>
        <v/>
      </c>
      <c r="Z2020" s="10">
        <f>IF(A2020="C",LEFT(UPPER(E2020)&amp;REPT(" ",15),15)," ")</f>
        <v/>
      </c>
      <c r="AA2020" s="10">
        <f>REPT(" ",8)</f>
        <v/>
      </c>
      <c r="AB2020" s="10">
        <f>REPT(" ",4)</f>
        <v/>
      </c>
      <c r="AC2020" s="10">
        <f>LEFT(UPPER(H2020)&amp;REPT(" ",250),250)</f>
        <v/>
      </c>
      <c r="AD2020" s="10">
        <f>TEXT($G$2,"dd/mm/aaaa")</f>
        <v/>
      </c>
      <c r="AE2020" s="10">
        <f>REPT(" ",10)</f>
        <v/>
      </c>
      <c r="AF2020" s="10">
        <f>REPT(" ",20)</f>
        <v/>
      </c>
      <c r="AG2020" s="54">
        <f>REPT(" ",18-LEN(FIXED(F2020,2,TRUE)))&amp;FIXED(F2020,2,TRUE)</f>
        <v/>
      </c>
      <c r="AH2020" s="10">
        <f>LEN(AC2020)+LEN(AG2020)</f>
        <v/>
      </c>
      <c r="AI2020" s="10">
        <f>LEN(L2020)</f>
        <v/>
      </c>
    </row>
    <row r="2021">
      <c r="J2021" s="12">
        <f>IF(F2021&lt;&gt;0,"LANÇAR","")</f>
        <v/>
      </c>
      <c r="L2021" s="13">
        <f>N2021&amp;O2021&amp;P2021&amp;Q2021&amp;R2021&amp;S2021&amp;T2021&amp;U2021&amp;V2021&amp;W2021&amp;X2021&amp;Y2021&amp;Z2021&amp;AA2021&amp;AB2021&amp;AC2021&amp;AD2021&amp;AE2021&amp;AF2021&amp;AG2021</f>
        <v/>
      </c>
      <c r="N2021" s="10">
        <f>TEXT($B$6,"00")</f>
        <v/>
      </c>
      <c r="O2021" s="10">
        <f>REPT(" ",8)</f>
        <v/>
      </c>
      <c r="P2021" s="10">
        <f>RIGHT($B$4,2)</f>
        <v/>
      </c>
      <c r="Q2021" s="10">
        <f>RIGHT($B$5,3)</f>
        <v/>
      </c>
      <c r="R2021" s="10">
        <f>IF(A2021="D",LEFT(UPPER(B2021)&amp;REPT(" ",20),20),REPT(" ",20))</f>
        <v/>
      </c>
      <c r="S2021" s="10">
        <f>IF(A2021="D",LEFT(UPPER(C2021)&amp;REPT(" ",10),10)," ")</f>
        <v/>
      </c>
      <c r="T2021" s="10">
        <f>IF(A2021="D",LEFT(UPPER(D2021)&amp;REPT(" ",2),2)," ")</f>
        <v/>
      </c>
      <c r="U2021" s="10">
        <f>IF(A2021="D",LEFT(UPPER(E2021)&amp;REPT(" ",15),15)," ")</f>
        <v/>
      </c>
      <c r="V2021" s="10">
        <f>REPT(" ",24)</f>
        <v/>
      </c>
      <c r="W2021" s="10">
        <f>IF(A2021="c",LEFT(UPPER(B2021)&amp;REPT(" ",20),20),REPT(" ",20))</f>
        <v/>
      </c>
      <c r="X2021" s="10">
        <f>IF(A2021="C",LEFT(UPPER(C2021)&amp;REPT(" ",10),10)," ")</f>
        <v/>
      </c>
      <c r="Y2021" s="10">
        <f>IF(A2021="C",LEFT(UPPER(D2021)&amp;REPT(" ",2),2)," ")</f>
        <v/>
      </c>
      <c r="Z2021" s="10">
        <f>IF(A2021="C",LEFT(UPPER(E2021)&amp;REPT(" ",15),15)," ")</f>
        <v/>
      </c>
      <c r="AA2021" s="10">
        <f>REPT(" ",8)</f>
        <v/>
      </c>
      <c r="AB2021" s="10">
        <f>REPT(" ",4)</f>
        <v/>
      </c>
      <c r="AC2021" s="10">
        <f>LEFT(UPPER(H2021)&amp;REPT(" ",250),250)</f>
        <v/>
      </c>
      <c r="AD2021" s="10">
        <f>TEXT($G$2,"dd/mm/aaaa")</f>
        <v/>
      </c>
      <c r="AE2021" s="10">
        <f>REPT(" ",10)</f>
        <v/>
      </c>
      <c r="AF2021" s="10">
        <f>REPT(" ",20)</f>
        <v/>
      </c>
      <c r="AG2021" s="54">
        <f>REPT(" ",18-LEN(FIXED(F2021,2,TRUE)))&amp;FIXED(F2021,2,TRUE)</f>
        <v/>
      </c>
      <c r="AH2021" s="10">
        <f>LEN(AC2021)+LEN(AG2021)</f>
        <v/>
      </c>
      <c r="AI2021" s="10">
        <f>LEN(L2021)</f>
        <v/>
      </c>
    </row>
    <row r="2022">
      <c r="J2022" s="12">
        <f>IF(F2022&lt;&gt;0,"LANÇAR","")</f>
        <v/>
      </c>
      <c r="L2022" s="13">
        <f>N2022&amp;O2022&amp;P2022&amp;Q2022&amp;R2022&amp;S2022&amp;T2022&amp;U2022&amp;V2022&amp;W2022&amp;X2022&amp;Y2022&amp;Z2022&amp;AA2022&amp;AB2022&amp;AC2022&amp;AD2022&amp;AE2022&amp;AF2022&amp;AG2022</f>
        <v/>
      </c>
      <c r="N2022" s="10">
        <f>TEXT($B$6,"00")</f>
        <v/>
      </c>
      <c r="O2022" s="10">
        <f>REPT(" ",8)</f>
        <v/>
      </c>
      <c r="P2022" s="10">
        <f>RIGHT($B$4,2)</f>
        <v/>
      </c>
      <c r="Q2022" s="10">
        <f>RIGHT($B$5,3)</f>
        <v/>
      </c>
      <c r="R2022" s="10">
        <f>IF(A2022="D",LEFT(UPPER(B2022)&amp;REPT(" ",20),20),REPT(" ",20))</f>
        <v/>
      </c>
      <c r="S2022" s="10">
        <f>IF(A2022="D",LEFT(UPPER(C2022)&amp;REPT(" ",10),10)," ")</f>
        <v/>
      </c>
      <c r="T2022" s="10">
        <f>IF(A2022="D",LEFT(UPPER(D2022)&amp;REPT(" ",2),2)," ")</f>
        <v/>
      </c>
      <c r="U2022" s="10">
        <f>IF(A2022="D",LEFT(UPPER(E2022)&amp;REPT(" ",15),15)," ")</f>
        <v/>
      </c>
      <c r="V2022" s="10">
        <f>REPT(" ",24)</f>
        <v/>
      </c>
      <c r="W2022" s="10">
        <f>IF(A2022="c",LEFT(UPPER(B2022)&amp;REPT(" ",20),20),REPT(" ",20))</f>
        <v/>
      </c>
      <c r="X2022" s="10">
        <f>IF(A2022="C",LEFT(UPPER(C2022)&amp;REPT(" ",10),10)," ")</f>
        <v/>
      </c>
      <c r="Y2022" s="10">
        <f>IF(A2022="C",LEFT(UPPER(D2022)&amp;REPT(" ",2),2)," ")</f>
        <v/>
      </c>
      <c r="Z2022" s="10">
        <f>IF(A2022="C",LEFT(UPPER(E2022)&amp;REPT(" ",15),15)," ")</f>
        <v/>
      </c>
      <c r="AA2022" s="10">
        <f>REPT(" ",8)</f>
        <v/>
      </c>
      <c r="AB2022" s="10">
        <f>REPT(" ",4)</f>
        <v/>
      </c>
      <c r="AC2022" s="10">
        <f>LEFT(UPPER(H2022)&amp;REPT(" ",250),250)</f>
        <v/>
      </c>
      <c r="AD2022" s="10">
        <f>TEXT($G$2,"dd/mm/aaaa")</f>
        <v/>
      </c>
      <c r="AE2022" s="10">
        <f>REPT(" ",10)</f>
        <v/>
      </c>
      <c r="AF2022" s="10">
        <f>REPT(" ",20)</f>
        <v/>
      </c>
      <c r="AG2022" s="54">
        <f>REPT(" ",18-LEN(FIXED(F2022,2,TRUE)))&amp;FIXED(F2022,2,TRUE)</f>
        <v/>
      </c>
      <c r="AH2022" s="10">
        <f>LEN(AC2022)+LEN(AG2022)</f>
        <v/>
      </c>
      <c r="AI2022" s="10">
        <f>LEN(L2022)</f>
        <v/>
      </c>
    </row>
    <row r="2023">
      <c r="J2023" s="12">
        <f>IF(F2023&lt;&gt;0,"LANÇAR","")</f>
        <v/>
      </c>
      <c r="L2023" s="13">
        <f>N2023&amp;O2023&amp;P2023&amp;Q2023&amp;R2023&amp;S2023&amp;T2023&amp;U2023&amp;V2023&amp;W2023&amp;X2023&amp;Y2023&amp;Z2023&amp;AA2023&amp;AB2023&amp;AC2023&amp;AD2023&amp;AE2023&amp;AF2023&amp;AG2023</f>
        <v/>
      </c>
      <c r="N2023" s="10">
        <f>TEXT($B$6,"00")</f>
        <v/>
      </c>
      <c r="O2023" s="10">
        <f>REPT(" ",8)</f>
        <v/>
      </c>
      <c r="P2023" s="10">
        <f>RIGHT($B$4,2)</f>
        <v/>
      </c>
      <c r="Q2023" s="10">
        <f>RIGHT($B$5,3)</f>
        <v/>
      </c>
      <c r="R2023" s="10">
        <f>IF(A2023="D",LEFT(UPPER(B2023)&amp;REPT(" ",20),20),REPT(" ",20))</f>
        <v/>
      </c>
      <c r="S2023" s="10">
        <f>IF(A2023="D",LEFT(UPPER(C2023)&amp;REPT(" ",10),10)," ")</f>
        <v/>
      </c>
      <c r="T2023" s="10">
        <f>IF(A2023="D",LEFT(UPPER(D2023)&amp;REPT(" ",2),2)," ")</f>
        <v/>
      </c>
      <c r="U2023" s="10">
        <f>IF(A2023="D",LEFT(UPPER(E2023)&amp;REPT(" ",15),15)," ")</f>
        <v/>
      </c>
      <c r="V2023" s="10">
        <f>REPT(" ",24)</f>
        <v/>
      </c>
      <c r="W2023" s="10">
        <f>IF(A2023="c",LEFT(UPPER(B2023)&amp;REPT(" ",20),20),REPT(" ",20))</f>
        <v/>
      </c>
      <c r="X2023" s="10">
        <f>IF(A2023="C",LEFT(UPPER(C2023)&amp;REPT(" ",10),10)," ")</f>
        <v/>
      </c>
      <c r="Y2023" s="10">
        <f>IF(A2023="C",LEFT(UPPER(D2023)&amp;REPT(" ",2),2)," ")</f>
        <v/>
      </c>
      <c r="Z2023" s="10">
        <f>IF(A2023="C",LEFT(UPPER(E2023)&amp;REPT(" ",15),15)," ")</f>
        <v/>
      </c>
      <c r="AA2023" s="10">
        <f>REPT(" ",8)</f>
        <v/>
      </c>
      <c r="AB2023" s="10">
        <f>REPT(" ",4)</f>
        <v/>
      </c>
      <c r="AC2023" s="10">
        <f>LEFT(UPPER(H2023)&amp;REPT(" ",250),250)</f>
        <v/>
      </c>
      <c r="AD2023" s="10">
        <f>TEXT($G$2,"dd/mm/aaaa")</f>
        <v/>
      </c>
      <c r="AE2023" s="10">
        <f>REPT(" ",10)</f>
        <v/>
      </c>
      <c r="AF2023" s="10">
        <f>REPT(" ",20)</f>
        <v/>
      </c>
      <c r="AG2023" s="54">
        <f>REPT(" ",18-LEN(FIXED(F2023,2,TRUE)))&amp;FIXED(F2023,2,TRUE)</f>
        <v/>
      </c>
      <c r="AH2023" s="10">
        <f>LEN(AC2023)+LEN(AG2023)</f>
        <v/>
      </c>
      <c r="AI2023" s="10">
        <f>LEN(L2023)</f>
        <v/>
      </c>
    </row>
    <row r="2024">
      <c r="J2024" s="12">
        <f>IF(F2024&lt;&gt;0,"LANÇAR","")</f>
        <v/>
      </c>
      <c r="L2024" s="13">
        <f>N2024&amp;O2024&amp;P2024&amp;Q2024&amp;R2024&amp;S2024&amp;T2024&amp;U2024&amp;V2024&amp;W2024&amp;X2024&amp;Y2024&amp;Z2024&amp;AA2024&amp;AB2024&amp;AC2024&amp;AD2024&amp;AE2024&amp;AF2024&amp;AG2024</f>
        <v/>
      </c>
      <c r="N2024" s="10">
        <f>TEXT($B$6,"00")</f>
        <v/>
      </c>
      <c r="O2024" s="10">
        <f>REPT(" ",8)</f>
        <v/>
      </c>
      <c r="P2024" s="10">
        <f>RIGHT($B$4,2)</f>
        <v/>
      </c>
      <c r="Q2024" s="10">
        <f>RIGHT($B$5,3)</f>
        <v/>
      </c>
      <c r="R2024" s="10">
        <f>IF(A2024="D",LEFT(UPPER(B2024)&amp;REPT(" ",20),20),REPT(" ",20))</f>
        <v/>
      </c>
      <c r="S2024" s="10">
        <f>IF(A2024="D",LEFT(UPPER(C2024)&amp;REPT(" ",10),10)," ")</f>
        <v/>
      </c>
      <c r="T2024" s="10">
        <f>IF(A2024="D",LEFT(UPPER(D2024)&amp;REPT(" ",2),2)," ")</f>
        <v/>
      </c>
      <c r="U2024" s="10">
        <f>IF(A2024="D",LEFT(UPPER(E2024)&amp;REPT(" ",15),15)," ")</f>
        <v/>
      </c>
      <c r="V2024" s="10">
        <f>REPT(" ",24)</f>
        <v/>
      </c>
      <c r="W2024" s="10">
        <f>IF(A2024="c",LEFT(UPPER(B2024)&amp;REPT(" ",20),20),REPT(" ",20))</f>
        <v/>
      </c>
      <c r="X2024" s="10">
        <f>IF(A2024="C",LEFT(UPPER(C2024)&amp;REPT(" ",10),10)," ")</f>
        <v/>
      </c>
      <c r="Y2024" s="10">
        <f>IF(A2024="C",LEFT(UPPER(D2024)&amp;REPT(" ",2),2)," ")</f>
        <v/>
      </c>
      <c r="Z2024" s="10">
        <f>IF(A2024="C",LEFT(UPPER(E2024)&amp;REPT(" ",15),15)," ")</f>
        <v/>
      </c>
      <c r="AA2024" s="10">
        <f>REPT(" ",8)</f>
        <v/>
      </c>
      <c r="AB2024" s="10">
        <f>REPT(" ",4)</f>
        <v/>
      </c>
      <c r="AC2024" s="10">
        <f>LEFT(UPPER(H2024)&amp;REPT(" ",250),250)</f>
        <v/>
      </c>
      <c r="AD2024" s="10">
        <f>TEXT($G$2,"dd/mm/aaaa")</f>
        <v/>
      </c>
      <c r="AE2024" s="10">
        <f>REPT(" ",10)</f>
        <v/>
      </c>
      <c r="AF2024" s="10">
        <f>REPT(" ",20)</f>
        <v/>
      </c>
      <c r="AG2024" s="54">
        <f>REPT(" ",18-LEN(FIXED(F2024,2,TRUE)))&amp;FIXED(F2024,2,TRUE)</f>
        <v/>
      </c>
      <c r="AH2024" s="10">
        <f>LEN(AC2024)+LEN(AG2024)</f>
        <v/>
      </c>
      <c r="AI2024" s="10">
        <f>LEN(L2024)</f>
        <v/>
      </c>
    </row>
    <row r="2025">
      <c r="J2025" s="12">
        <f>IF(F2025&lt;&gt;0,"LANÇAR","")</f>
        <v/>
      </c>
      <c r="L2025" s="13">
        <f>N2025&amp;O2025&amp;P2025&amp;Q2025&amp;R2025&amp;S2025&amp;T2025&amp;U2025&amp;V2025&amp;W2025&amp;X2025&amp;Y2025&amp;Z2025&amp;AA2025&amp;AB2025&amp;AC2025&amp;AD2025&amp;AE2025&amp;AF2025&amp;AG2025</f>
        <v/>
      </c>
      <c r="N2025" s="10">
        <f>TEXT($B$6,"00")</f>
        <v/>
      </c>
      <c r="O2025" s="10">
        <f>REPT(" ",8)</f>
        <v/>
      </c>
      <c r="P2025" s="10">
        <f>RIGHT($B$4,2)</f>
        <v/>
      </c>
      <c r="Q2025" s="10">
        <f>RIGHT($B$5,3)</f>
        <v/>
      </c>
      <c r="R2025" s="10">
        <f>IF(A2025="D",LEFT(UPPER(B2025)&amp;REPT(" ",20),20),REPT(" ",20))</f>
        <v/>
      </c>
      <c r="S2025" s="10">
        <f>IF(A2025="D",LEFT(UPPER(C2025)&amp;REPT(" ",10),10)," ")</f>
        <v/>
      </c>
      <c r="T2025" s="10">
        <f>IF(A2025="D",LEFT(UPPER(D2025)&amp;REPT(" ",2),2)," ")</f>
        <v/>
      </c>
      <c r="U2025" s="10">
        <f>IF(A2025="D",LEFT(UPPER(E2025)&amp;REPT(" ",15),15)," ")</f>
        <v/>
      </c>
      <c r="V2025" s="10">
        <f>REPT(" ",24)</f>
        <v/>
      </c>
      <c r="W2025" s="10">
        <f>IF(A2025="c",LEFT(UPPER(B2025)&amp;REPT(" ",20),20),REPT(" ",20))</f>
        <v/>
      </c>
      <c r="X2025" s="10">
        <f>IF(A2025="C",LEFT(UPPER(C2025)&amp;REPT(" ",10),10)," ")</f>
        <v/>
      </c>
      <c r="Y2025" s="10">
        <f>IF(A2025="C",LEFT(UPPER(D2025)&amp;REPT(" ",2),2)," ")</f>
        <v/>
      </c>
      <c r="Z2025" s="10">
        <f>IF(A2025="C",LEFT(UPPER(E2025)&amp;REPT(" ",15),15)," ")</f>
        <v/>
      </c>
      <c r="AA2025" s="10">
        <f>REPT(" ",8)</f>
        <v/>
      </c>
      <c r="AB2025" s="10">
        <f>REPT(" ",4)</f>
        <v/>
      </c>
      <c r="AC2025" s="10">
        <f>LEFT(UPPER(H2025)&amp;REPT(" ",250),250)</f>
        <v/>
      </c>
      <c r="AD2025" s="10">
        <f>TEXT($G$2,"dd/mm/aaaa")</f>
        <v/>
      </c>
      <c r="AE2025" s="10">
        <f>REPT(" ",10)</f>
        <v/>
      </c>
      <c r="AF2025" s="10">
        <f>REPT(" ",20)</f>
        <v/>
      </c>
      <c r="AG2025" s="54">
        <f>REPT(" ",18-LEN(FIXED(F2025,2,TRUE)))&amp;FIXED(F2025,2,TRUE)</f>
        <v/>
      </c>
      <c r="AH2025" s="10">
        <f>LEN(AC2025)+LEN(AG2025)</f>
        <v/>
      </c>
      <c r="AI2025" s="10">
        <f>LEN(L2025)</f>
        <v/>
      </c>
    </row>
    <row r="2026">
      <c r="J2026" s="12">
        <f>IF(F2026&lt;&gt;0,"LANÇAR","")</f>
        <v/>
      </c>
      <c r="L2026" s="13">
        <f>N2026&amp;O2026&amp;P2026&amp;Q2026&amp;R2026&amp;S2026&amp;T2026&amp;U2026&amp;V2026&amp;W2026&amp;X2026&amp;Y2026&amp;Z2026&amp;AA2026&amp;AB2026&amp;AC2026&amp;AD2026&amp;AE2026&amp;AF2026&amp;AG2026</f>
        <v/>
      </c>
      <c r="N2026" s="10">
        <f>TEXT($B$6,"00")</f>
        <v/>
      </c>
      <c r="O2026" s="10">
        <f>REPT(" ",8)</f>
        <v/>
      </c>
      <c r="P2026" s="10">
        <f>RIGHT($B$4,2)</f>
        <v/>
      </c>
      <c r="Q2026" s="10">
        <f>RIGHT($B$5,3)</f>
        <v/>
      </c>
      <c r="R2026" s="10">
        <f>IF(A2026="D",LEFT(UPPER(B2026)&amp;REPT(" ",20),20),REPT(" ",20))</f>
        <v/>
      </c>
      <c r="S2026" s="10">
        <f>IF(A2026="D",LEFT(UPPER(C2026)&amp;REPT(" ",10),10)," ")</f>
        <v/>
      </c>
      <c r="T2026" s="10">
        <f>IF(A2026="D",LEFT(UPPER(D2026)&amp;REPT(" ",2),2)," ")</f>
        <v/>
      </c>
      <c r="U2026" s="10">
        <f>IF(A2026="D",LEFT(UPPER(E2026)&amp;REPT(" ",15),15)," ")</f>
        <v/>
      </c>
      <c r="V2026" s="10">
        <f>REPT(" ",24)</f>
        <v/>
      </c>
      <c r="W2026" s="10">
        <f>IF(A2026="c",LEFT(UPPER(B2026)&amp;REPT(" ",20),20),REPT(" ",20))</f>
        <v/>
      </c>
      <c r="X2026" s="10">
        <f>IF(A2026="C",LEFT(UPPER(C2026)&amp;REPT(" ",10),10)," ")</f>
        <v/>
      </c>
      <c r="Y2026" s="10">
        <f>IF(A2026="C",LEFT(UPPER(D2026)&amp;REPT(" ",2),2)," ")</f>
        <v/>
      </c>
      <c r="Z2026" s="10">
        <f>IF(A2026="C",LEFT(UPPER(E2026)&amp;REPT(" ",15),15)," ")</f>
        <v/>
      </c>
      <c r="AA2026" s="10">
        <f>REPT(" ",8)</f>
        <v/>
      </c>
      <c r="AB2026" s="10">
        <f>REPT(" ",4)</f>
        <v/>
      </c>
      <c r="AC2026" s="10">
        <f>LEFT(UPPER(H2026)&amp;REPT(" ",250),250)</f>
        <v/>
      </c>
      <c r="AD2026" s="10">
        <f>TEXT($G$2,"dd/mm/aaaa")</f>
        <v/>
      </c>
      <c r="AE2026" s="10">
        <f>REPT(" ",10)</f>
        <v/>
      </c>
      <c r="AF2026" s="10">
        <f>REPT(" ",20)</f>
        <v/>
      </c>
      <c r="AG2026" s="54">
        <f>REPT(" ",18-LEN(FIXED(F2026,2,TRUE)))&amp;FIXED(F2026,2,TRUE)</f>
        <v/>
      </c>
      <c r="AH2026" s="10">
        <f>LEN(AC2026)+LEN(AG2026)</f>
        <v/>
      </c>
      <c r="AI2026" s="10">
        <f>LEN(L2026)</f>
        <v/>
      </c>
    </row>
    <row r="2027">
      <c r="J2027" s="12">
        <f>IF(F2027&lt;&gt;0,"LANÇAR","")</f>
        <v/>
      </c>
      <c r="L2027" s="13">
        <f>N2027&amp;O2027&amp;P2027&amp;Q2027&amp;R2027&amp;S2027&amp;T2027&amp;U2027&amp;V2027&amp;W2027&amp;X2027&amp;Y2027&amp;Z2027&amp;AA2027&amp;AB2027&amp;AC2027&amp;AD2027&amp;AE2027&amp;AF2027&amp;AG2027</f>
        <v/>
      </c>
      <c r="N2027" s="10">
        <f>TEXT($B$6,"00")</f>
        <v/>
      </c>
      <c r="O2027" s="10">
        <f>REPT(" ",8)</f>
        <v/>
      </c>
      <c r="P2027" s="10">
        <f>RIGHT($B$4,2)</f>
        <v/>
      </c>
      <c r="Q2027" s="10">
        <f>RIGHT($B$5,3)</f>
        <v/>
      </c>
      <c r="R2027" s="10">
        <f>IF(A2027="D",LEFT(UPPER(B2027)&amp;REPT(" ",20),20),REPT(" ",20))</f>
        <v/>
      </c>
      <c r="S2027" s="10">
        <f>IF(A2027="D",LEFT(UPPER(C2027)&amp;REPT(" ",10),10)," ")</f>
        <v/>
      </c>
      <c r="T2027" s="10">
        <f>IF(A2027="D",LEFT(UPPER(D2027)&amp;REPT(" ",2),2)," ")</f>
        <v/>
      </c>
      <c r="U2027" s="10">
        <f>IF(A2027="D",LEFT(UPPER(E2027)&amp;REPT(" ",15),15)," ")</f>
        <v/>
      </c>
      <c r="V2027" s="10">
        <f>REPT(" ",24)</f>
        <v/>
      </c>
      <c r="W2027" s="10">
        <f>IF(A2027="c",LEFT(UPPER(B2027)&amp;REPT(" ",20),20),REPT(" ",20))</f>
        <v/>
      </c>
      <c r="X2027" s="10">
        <f>IF(A2027="C",LEFT(UPPER(C2027)&amp;REPT(" ",10),10)," ")</f>
        <v/>
      </c>
      <c r="Y2027" s="10">
        <f>IF(A2027="C",LEFT(UPPER(D2027)&amp;REPT(" ",2),2)," ")</f>
        <v/>
      </c>
      <c r="Z2027" s="10">
        <f>IF(A2027="C",LEFT(UPPER(E2027)&amp;REPT(" ",15),15)," ")</f>
        <v/>
      </c>
      <c r="AA2027" s="10">
        <f>REPT(" ",8)</f>
        <v/>
      </c>
      <c r="AB2027" s="10">
        <f>REPT(" ",4)</f>
        <v/>
      </c>
      <c r="AC2027" s="10">
        <f>LEFT(UPPER(H2027)&amp;REPT(" ",250),250)</f>
        <v/>
      </c>
      <c r="AD2027" s="10">
        <f>TEXT($G$2,"dd/mm/aaaa")</f>
        <v/>
      </c>
      <c r="AE2027" s="10">
        <f>REPT(" ",10)</f>
        <v/>
      </c>
      <c r="AF2027" s="10">
        <f>REPT(" ",20)</f>
        <v/>
      </c>
      <c r="AG2027" s="54">
        <f>REPT(" ",18-LEN(FIXED(F2027,2,TRUE)))&amp;FIXED(F2027,2,TRUE)</f>
        <v/>
      </c>
      <c r="AH2027" s="10">
        <f>LEN(AC2027)+LEN(AG2027)</f>
        <v/>
      </c>
      <c r="AI2027" s="10">
        <f>LEN(L2027)</f>
        <v/>
      </c>
    </row>
    <row r="2028">
      <c r="J2028" s="12">
        <f>IF(F2028&lt;&gt;0,"LANÇAR","")</f>
        <v/>
      </c>
      <c r="L2028" s="13">
        <f>N2028&amp;O2028&amp;P2028&amp;Q2028&amp;R2028&amp;S2028&amp;T2028&amp;U2028&amp;V2028&amp;W2028&amp;X2028&amp;Y2028&amp;Z2028&amp;AA2028&amp;AB2028&amp;AC2028&amp;AD2028&amp;AE2028&amp;AF2028&amp;AG2028</f>
        <v/>
      </c>
      <c r="N2028" s="10">
        <f>TEXT($B$6,"00")</f>
        <v/>
      </c>
      <c r="O2028" s="10">
        <f>REPT(" ",8)</f>
        <v/>
      </c>
      <c r="P2028" s="10">
        <f>RIGHT($B$4,2)</f>
        <v/>
      </c>
      <c r="Q2028" s="10">
        <f>RIGHT($B$5,3)</f>
        <v/>
      </c>
      <c r="R2028" s="10">
        <f>IF(A2028="D",LEFT(UPPER(B2028)&amp;REPT(" ",20),20),REPT(" ",20))</f>
        <v/>
      </c>
      <c r="S2028" s="10">
        <f>IF(A2028="D",LEFT(UPPER(C2028)&amp;REPT(" ",10),10)," ")</f>
        <v/>
      </c>
      <c r="T2028" s="10">
        <f>IF(A2028="D",LEFT(UPPER(D2028)&amp;REPT(" ",2),2)," ")</f>
        <v/>
      </c>
      <c r="U2028" s="10">
        <f>IF(A2028="D",LEFT(UPPER(E2028)&amp;REPT(" ",15),15)," ")</f>
        <v/>
      </c>
      <c r="V2028" s="10">
        <f>REPT(" ",24)</f>
        <v/>
      </c>
      <c r="W2028" s="10">
        <f>IF(A2028="c",LEFT(UPPER(B2028)&amp;REPT(" ",20),20),REPT(" ",20))</f>
        <v/>
      </c>
      <c r="X2028" s="10">
        <f>IF(A2028="C",LEFT(UPPER(C2028)&amp;REPT(" ",10),10)," ")</f>
        <v/>
      </c>
      <c r="Y2028" s="10">
        <f>IF(A2028="C",LEFT(UPPER(D2028)&amp;REPT(" ",2),2)," ")</f>
        <v/>
      </c>
      <c r="Z2028" s="10">
        <f>IF(A2028="C",LEFT(UPPER(E2028)&amp;REPT(" ",15),15)," ")</f>
        <v/>
      </c>
      <c r="AA2028" s="10">
        <f>REPT(" ",8)</f>
        <v/>
      </c>
      <c r="AB2028" s="10">
        <f>REPT(" ",4)</f>
        <v/>
      </c>
      <c r="AC2028" s="10">
        <f>LEFT(UPPER(H2028)&amp;REPT(" ",250),250)</f>
        <v/>
      </c>
      <c r="AD2028" s="10">
        <f>TEXT($G$2,"dd/mm/aaaa")</f>
        <v/>
      </c>
      <c r="AE2028" s="10">
        <f>REPT(" ",10)</f>
        <v/>
      </c>
      <c r="AF2028" s="10">
        <f>REPT(" ",20)</f>
        <v/>
      </c>
      <c r="AG2028" s="54">
        <f>REPT(" ",18-LEN(FIXED(F2028,2,TRUE)))&amp;FIXED(F2028,2,TRUE)</f>
        <v/>
      </c>
      <c r="AH2028" s="10">
        <f>LEN(AC2028)+LEN(AG2028)</f>
        <v/>
      </c>
      <c r="AI2028" s="10">
        <f>LEN(L2028)</f>
        <v/>
      </c>
    </row>
    <row r="2029">
      <c r="J2029" s="12">
        <f>IF(F2029&lt;&gt;0,"LANÇAR","")</f>
        <v/>
      </c>
      <c r="L2029" s="13">
        <f>N2029&amp;O2029&amp;P2029&amp;Q2029&amp;R2029&amp;S2029&amp;T2029&amp;U2029&amp;V2029&amp;W2029&amp;X2029&amp;Y2029&amp;Z2029&amp;AA2029&amp;AB2029&amp;AC2029&amp;AD2029&amp;AE2029&amp;AF2029&amp;AG2029</f>
        <v/>
      </c>
      <c r="N2029" s="10">
        <f>TEXT($B$6,"00")</f>
        <v/>
      </c>
      <c r="O2029" s="10">
        <f>REPT(" ",8)</f>
        <v/>
      </c>
      <c r="P2029" s="10">
        <f>RIGHT($B$4,2)</f>
        <v/>
      </c>
      <c r="Q2029" s="10">
        <f>RIGHT($B$5,3)</f>
        <v/>
      </c>
      <c r="R2029" s="10">
        <f>IF(A2029="D",LEFT(UPPER(B2029)&amp;REPT(" ",20),20),REPT(" ",20))</f>
        <v/>
      </c>
      <c r="S2029" s="10">
        <f>IF(A2029="D",LEFT(UPPER(C2029)&amp;REPT(" ",10),10)," ")</f>
        <v/>
      </c>
      <c r="T2029" s="10">
        <f>IF(A2029="D",LEFT(UPPER(D2029)&amp;REPT(" ",2),2)," ")</f>
        <v/>
      </c>
      <c r="U2029" s="10">
        <f>IF(A2029="D",LEFT(UPPER(E2029)&amp;REPT(" ",15),15)," ")</f>
        <v/>
      </c>
      <c r="V2029" s="10">
        <f>REPT(" ",24)</f>
        <v/>
      </c>
      <c r="W2029" s="10">
        <f>IF(A2029="c",LEFT(UPPER(B2029)&amp;REPT(" ",20),20),REPT(" ",20))</f>
        <v/>
      </c>
      <c r="X2029" s="10">
        <f>IF(A2029="C",LEFT(UPPER(C2029)&amp;REPT(" ",10),10)," ")</f>
        <v/>
      </c>
      <c r="Y2029" s="10">
        <f>IF(A2029="C",LEFT(UPPER(D2029)&amp;REPT(" ",2),2)," ")</f>
        <v/>
      </c>
      <c r="Z2029" s="10">
        <f>IF(A2029="C",LEFT(UPPER(E2029)&amp;REPT(" ",15),15)," ")</f>
        <v/>
      </c>
      <c r="AA2029" s="10">
        <f>REPT(" ",8)</f>
        <v/>
      </c>
      <c r="AB2029" s="10">
        <f>REPT(" ",4)</f>
        <v/>
      </c>
      <c r="AC2029" s="10">
        <f>LEFT(UPPER(H2029)&amp;REPT(" ",250),250)</f>
        <v/>
      </c>
      <c r="AD2029" s="10">
        <f>TEXT($G$2,"dd/mm/aaaa")</f>
        <v/>
      </c>
      <c r="AE2029" s="10">
        <f>REPT(" ",10)</f>
        <v/>
      </c>
      <c r="AF2029" s="10">
        <f>REPT(" ",20)</f>
        <v/>
      </c>
      <c r="AG2029" s="54">
        <f>REPT(" ",18-LEN(FIXED(F2029,2,TRUE)))&amp;FIXED(F2029,2,TRUE)</f>
        <v/>
      </c>
      <c r="AH2029" s="10">
        <f>LEN(AC2029)+LEN(AG2029)</f>
        <v/>
      </c>
      <c r="AI2029" s="10">
        <f>LEN(L2029)</f>
        <v/>
      </c>
    </row>
    <row r="2030">
      <c r="J2030" s="12">
        <f>IF(F2030&lt;&gt;0,"LANÇAR","")</f>
        <v/>
      </c>
      <c r="L2030" s="13">
        <f>N2030&amp;O2030&amp;P2030&amp;Q2030&amp;R2030&amp;S2030&amp;T2030&amp;U2030&amp;V2030&amp;W2030&amp;X2030&amp;Y2030&amp;Z2030&amp;AA2030&amp;AB2030&amp;AC2030&amp;AD2030&amp;AE2030&amp;AF2030&amp;AG2030</f>
        <v/>
      </c>
      <c r="N2030" s="10">
        <f>TEXT($B$6,"00")</f>
        <v/>
      </c>
      <c r="O2030" s="10">
        <f>REPT(" ",8)</f>
        <v/>
      </c>
      <c r="P2030" s="10">
        <f>RIGHT($B$4,2)</f>
        <v/>
      </c>
      <c r="Q2030" s="10">
        <f>RIGHT($B$5,3)</f>
        <v/>
      </c>
      <c r="R2030" s="10">
        <f>IF(A2030="D",LEFT(UPPER(B2030)&amp;REPT(" ",20),20),REPT(" ",20))</f>
        <v/>
      </c>
      <c r="S2030" s="10">
        <f>IF(A2030="D",LEFT(UPPER(C2030)&amp;REPT(" ",10),10)," ")</f>
        <v/>
      </c>
      <c r="T2030" s="10">
        <f>IF(A2030="D",LEFT(UPPER(D2030)&amp;REPT(" ",2),2)," ")</f>
        <v/>
      </c>
      <c r="U2030" s="10">
        <f>IF(A2030="D",LEFT(UPPER(E2030)&amp;REPT(" ",15),15)," ")</f>
        <v/>
      </c>
      <c r="V2030" s="10">
        <f>REPT(" ",24)</f>
        <v/>
      </c>
      <c r="W2030" s="10">
        <f>IF(A2030="c",LEFT(UPPER(B2030)&amp;REPT(" ",20),20),REPT(" ",20))</f>
        <v/>
      </c>
      <c r="X2030" s="10">
        <f>IF(A2030="C",LEFT(UPPER(C2030)&amp;REPT(" ",10),10)," ")</f>
        <v/>
      </c>
      <c r="Y2030" s="10">
        <f>IF(A2030="C",LEFT(UPPER(D2030)&amp;REPT(" ",2),2)," ")</f>
        <v/>
      </c>
      <c r="Z2030" s="10">
        <f>IF(A2030="C",LEFT(UPPER(E2030)&amp;REPT(" ",15),15)," ")</f>
        <v/>
      </c>
      <c r="AA2030" s="10">
        <f>REPT(" ",8)</f>
        <v/>
      </c>
      <c r="AB2030" s="10">
        <f>REPT(" ",4)</f>
        <v/>
      </c>
      <c r="AC2030" s="10">
        <f>LEFT(UPPER(H2030)&amp;REPT(" ",250),250)</f>
        <v/>
      </c>
      <c r="AD2030" s="10">
        <f>TEXT($G$2,"dd/mm/aaaa")</f>
        <v/>
      </c>
      <c r="AE2030" s="10">
        <f>REPT(" ",10)</f>
        <v/>
      </c>
      <c r="AF2030" s="10">
        <f>REPT(" ",20)</f>
        <v/>
      </c>
      <c r="AG2030" s="54">
        <f>REPT(" ",18-LEN(FIXED(F2030,2,TRUE)))&amp;FIXED(F2030,2,TRUE)</f>
        <v/>
      </c>
      <c r="AH2030" s="10">
        <f>LEN(AC2030)+LEN(AG2030)</f>
        <v/>
      </c>
      <c r="AI2030" s="10">
        <f>LEN(L2030)</f>
        <v/>
      </c>
    </row>
    <row r="2031">
      <c r="J2031" s="12">
        <f>IF(F2031&lt;&gt;0,"LANÇAR","")</f>
        <v/>
      </c>
      <c r="L2031" s="13">
        <f>N2031&amp;O2031&amp;P2031&amp;Q2031&amp;R2031&amp;S2031&amp;T2031&amp;U2031&amp;V2031&amp;W2031&amp;X2031&amp;Y2031&amp;Z2031&amp;AA2031&amp;AB2031&amp;AC2031&amp;AD2031&amp;AE2031&amp;AF2031&amp;AG2031</f>
        <v/>
      </c>
      <c r="N2031" s="10">
        <f>TEXT($B$6,"00")</f>
        <v/>
      </c>
      <c r="O2031" s="10">
        <f>REPT(" ",8)</f>
        <v/>
      </c>
      <c r="P2031" s="10">
        <f>RIGHT($B$4,2)</f>
        <v/>
      </c>
      <c r="Q2031" s="10">
        <f>RIGHT($B$5,3)</f>
        <v/>
      </c>
      <c r="R2031" s="10">
        <f>IF(A2031="D",LEFT(UPPER(B2031)&amp;REPT(" ",20),20),REPT(" ",20))</f>
        <v/>
      </c>
      <c r="S2031" s="10">
        <f>IF(A2031="D",LEFT(UPPER(C2031)&amp;REPT(" ",10),10)," ")</f>
        <v/>
      </c>
      <c r="T2031" s="10">
        <f>IF(A2031="D",LEFT(UPPER(D2031)&amp;REPT(" ",2),2)," ")</f>
        <v/>
      </c>
      <c r="U2031" s="10">
        <f>IF(A2031="D",LEFT(UPPER(E2031)&amp;REPT(" ",15),15)," ")</f>
        <v/>
      </c>
      <c r="V2031" s="10">
        <f>REPT(" ",24)</f>
        <v/>
      </c>
      <c r="W2031" s="10">
        <f>IF(A2031="c",LEFT(UPPER(B2031)&amp;REPT(" ",20),20),REPT(" ",20))</f>
        <v/>
      </c>
      <c r="X2031" s="10">
        <f>IF(A2031="C",LEFT(UPPER(C2031)&amp;REPT(" ",10),10)," ")</f>
        <v/>
      </c>
      <c r="Y2031" s="10">
        <f>IF(A2031="C",LEFT(UPPER(D2031)&amp;REPT(" ",2),2)," ")</f>
        <v/>
      </c>
      <c r="Z2031" s="10">
        <f>IF(A2031="C",LEFT(UPPER(E2031)&amp;REPT(" ",15),15)," ")</f>
        <v/>
      </c>
      <c r="AA2031" s="10">
        <f>REPT(" ",8)</f>
        <v/>
      </c>
      <c r="AB2031" s="10">
        <f>REPT(" ",4)</f>
        <v/>
      </c>
      <c r="AC2031" s="10">
        <f>LEFT(UPPER(H2031)&amp;REPT(" ",250),250)</f>
        <v/>
      </c>
      <c r="AD2031" s="10">
        <f>TEXT($G$2,"dd/mm/aaaa")</f>
        <v/>
      </c>
      <c r="AE2031" s="10">
        <f>REPT(" ",10)</f>
        <v/>
      </c>
      <c r="AF2031" s="10">
        <f>REPT(" ",20)</f>
        <v/>
      </c>
      <c r="AG2031" s="54">
        <f>REPT(" ",18-LEN(FIXED(F2031,2,TRUE)))&amp;FIXED(F2031,2,TRUE)</f>
        <v/>
      </c>
      <c r="AH2031" s="10">
        <f>LEN(AC2031)+LEN(AG2031)</f>
        <v/>
      </c>
      <c r="AI2031" s="10">
        <f>LEN(L2031)</f>
        <v/>
      </c>
    </row>
    <row r="2032">
      <c r="J2032" s="12">
        <f>IF(F2032&lt;&gt;0,"LANÇAR","")</f>
        <v/>
      </c>
      <c r="L2032" s="13">
        <f>N2032&amp;O2032&amp;P2032&amp;Q2032&amp;R2032&amp;S2032&amp;T2032&amp;U2032&amp;V2032&amp;W2032&amp;X2032&amp;Y2032&amp;Z2032&amp;AA2032&amp;AB2032&amp;AC2032&amp;AD2032&amp;AE2032&amp;AF2032&amp;AG2032</f>
        <v/>
      </c>
      <c r="N2032" s="10">
        <f>TEXT($B$6,"00")</f>
        <v/>
      </c>
      <c r="O2032" s="10">
        <f>REPT(" ",8)</f>
        <v/>
      </c>
      <c r="P2032" s="10">
        <f>RIGHT($B$4,2)</f>
        <v/>
      </c>
      <c r="Q2032" s="10">
        <f>RIGHT($B$5,3)</f>
        <v/>
      </c>
      <c r="R2032" s="10">
        <f>IF(A2032="D",LEFT(UPPER(B2032)&amp;REPT(" ",20),20),REPT(" ",20))</f>
        <v/>
      </c>
      <c r="S2032" s="10">
        <f>IF(A2032="D",LEFT(UPPER(C2032)&amp;REPT(" ",10),10)," ")</f>
        <v/>
      </c>
      <c r="T2032" s="10">
        <f>IF(A2032="D",LEFT(UPPER(D2032)&amp;REPT(" ",2),2)," ")</f>
        <v/>
      </c>
      <c r="U2032" s="10">
        <f>IF(A2032="D",LEFT(UPPER(E2032)&amp;REPT(" ",15),15)," ")</f>
        <v/>
      </c>
      <c r="V2032" s="10">
        <f>REPT(" ",24)</f>
        <v/>
      </c>
      <c r="W2032" s="10">
        <f>IF(A2032="c",LEFT(UPPER(B2032)&amp;REPT(" ",20),20),REPT(" ",20))</f>
        <v/>
      </c>
      <c r="X2032" s="10">
        <f>IF(A2032="C",LEFT(UPPER(C2032)&amp;REPT(" ",10),10)," ")</f>
        <v/>
      </c>
      <c r="Y2032" s="10">
        <f>IF(A2032="C",LEFT(UPPER(D2032)&amp;REPT(" ",2),2)," ")</f>
        <v/>
      </c>
      <c r="Z2032" s="10">
        <f>IF(A2032="C",LEFT(UPPER(E2032)&amp;REPT(" ",15),15)," ")</f>
        <v/>
      </c>
      <c r="AA2032" s="10">
        <f>REPT(" ",8)</f>
        <v/>
      </c>
      <c r="AB2032" s="10">
        <f>REPT(" ",4)</f>
        <v/>
      </c>
      <c r="AC2032" s="10">
        <f>LEFT(UPPER(H2032)&amp;REPT(" ",250),250)</f>
        <v/>
      </c>
      <c r="AD2032" s="10">
        <f>TEXT($G$2,"dd/mm/aaaa")</f>
        <v/>
      </c>
      <c r="AE2032" s="10">
        <f>REPT(" ",10)</f>
        <v/>
      </c>
      <c r="AF2032" s="10">
        <f>REPT(" ",20)</f>
        <v/>
      </c>
      <c r="AG2032" s="54">
        <f>REPT(" ",18-LEN(FIXED(F2032,2,TRUE)))&amp;FIXED(F2032,2,TRUE)</f>
        <v/>
      </c>
      <c r="AH2032" s="10">
        <f>LEN(AC2032)+LEN(AG2032)</f>
        <v/>
      </c>
      <c r="AI2032" s="10">
        <f>LEN(L2032)</f>
        <v/>
      </c>
    </row>
    <row r="2033">
      <c r="J2033" s="12">
        <f>IF(F2033&lt;&gt;0,"LANÇAR","")</f>
        <v/>
      </c>
      <c r="L2033" s="13">
        <f>N2033&amp;O2033&amp;P2033&amp;Q2033&amp;R2033&amp;S2033&amp;T2033&amp;U2033&amp;V2033&amp;W2033&amp;X2033&amp;Y2033&amp;Z2033&amp;AA2033&amp;AB2033&amp;AC2033&amp;AD2033&amp;AE2033&amp;AF2033&amp;AG2033</f>
        <v/>
      </c>
      <c r="N2033" s="10">
        <f>TEXT($B$6,"00")</f>
        <v/>
      </c>
      <c r="O2033" s="10">
        <f>REPT(" ",8)</f>
        <v/>
      </c>
      <c r="P2033" s="10">
        <f>RIGHT($B$4,2)</f>
        <v/>
      </c>
      <c r="Q2033" s="10">
        <f>RIGHT($B$5,3)</f>
        <v/>
      </c>
      <c r="R2033" s="10">
        <f>IF(A2033="D",LEFT(UPPER(B2033)&amp;REPT(" ",20),20),REPT(" ",20))</f>
        <v/>
      </c>
      <c r="S2033" s="10">
        <f>IF(A2033="D",LEFT(UPPER(C2033)&amp;REPT(" ",10),10)," ")</f>
        <v/>
      </c>
      <c r="T2033" s="10">
        <f>IF(A2033="D",LEFT(UPPER(D2033)&amp;REPT(" ",2),2)," ")</f>
        <v/>
      </c>
      <c r="U2033" s="10">
        <f>IF(A2033="D",LEFT(UPPER(E2033)&amp;REPT(" ",15),15)," ")</f>
        <v/>
      </c>
      <c r="V2033" s="10">
        <f>REPT(" ",24)</f>
        <v/>
      </c>
      <c r="W2033" s="10">
        <f>IF(A2033="c",LEFT(UPPER(B2033)&amp;REPT(" ",20),20),REPT(" ",20))</f>
        <v/>
      </c>
      <c r="X2033" s="10">
        <f>IF(A2033="C",LEFT(UPPER(C2033)&amp;REPT(" ",10),10)," ")</f>
        <v/>
      </c>
      <c r="Y2033" s="10">
        <f>IF(A2033="C",LEFT(UPPER(D2033)&amp;REPT(" ",2),2)," ")</f>
        <v/>
      </c>
      <c r="Z2033" s="10">
        <f>IF(A2033="C",LEFT(UPPER(E2033)&amp;REPT(" ",15),15)," ")</f>
        <v/>
      </c>
      <c r="AA2033" s="10">
        <f>REPT(" ",8)</f>
        <v/>
      </c>
      <c r="AB2033" s="10">
        <f>REPT(" ",4)</f>
        <v/>
      </c>
      <c r="AC2033" s="10">
        <f>LEFT(UPPER(H2033)&amp;REPT(" ",250),250)</f>
        <v/>
      </c>
      <c r="AD2033" s="10">
        <f>TEXT($G$2,"dd/mm/aaaa")</f>
        <v/>
      </c>
      <c r="AE2033" s="10">
        <f>REPT(" ",10)</f>
        <v/>
      </c>
      <c r="AF2033" s="10">
        <f>REPT(" ",20)</f>
        <v/>
      </c>
      <c r="AG2033" s="54">
        <f>REPT(" ",18-LEN(FIXED(F2033,2,TRUE)))&amp;FIXED(F2033,2,TRUE)</f>
        <v/>
      </c>
      <c r="AH2033" s="10">
        <f>LEN(AC2033)+LEN(AG2033)</f>
        <v/>
      </c>
      <c r="AI2033" s="10">
        <f>LEN(L2033)</f>
        <v/>
      </c>
    </row>
    <row r="2034">
      <c r="J2034" s="12">
        <f>IF(F2034&lt;&gt;0,"LANÇAR","")</f>
        <v/>
      </c>
      <c r="L2034" s="13">
        <f>N2034&amp;O2034&amp;P2034&amp;Q2034&amp;R2034&amp;S2034&amp;T2034&amp;U2034&amp;V2034&amp;W2034&amp;X2034&amp;Y2034&amp;Z2034&amp;AA2034&amp;AB2034&amp;AC2034&amp;AD2034&amp;AE2034&amp;AF2034&amp;AG2034</f>
        <v/>
      </c>
      <c r="N2034" s="10">
        <f>TEXT($B$6,"00")</f>
        <v/>
      </c>
      <c r="O2034" s="10">
        <f>REPT(" ",8)</f>
        <v/>
      </c>
      <c r="P2034" s="10">
        <f>RIGHT($B$4,2)</f>
        <v/>
      </c>
      <c r="Q2034" s="10">
        <f>RIGHT($B$5,3)</f>
        <v/>
      </c>
      <c r="R2034" s="10">
        <f>IF(A2034="D",LEFT(UPPER(B2034)&amp;REPT(" ",20),20),REPT(" ",20))</f>
        <v/>
      </c>
      <c r="S2034" s="10">
        <f>IF(A2034="D",LEFT(UPPER(C2034)&amp;REPT(" ",10),10)," ")</f>
        <v/>
      </c>
      <c r="T2034" s="10">
        <f>IF(A2034="D",LEFT(UPPER(D2034)&amp;REPT(" ",2),2)," ")</f>
        <v/>
      </c>
      <c r="U2034" s="10">
        <f>IF(A2034="D",LEFT(UPPER(E2034)&amp;REPT(" ",15),15)," ")</f>
        <v/>
      </c>
      <c r="V2034" s="10">
        <f>REPT(" ",24)</f>
        <v/>
      </c>
      <c r="W2034" s="10">
        <f>IF(A2034="c",LEFT(UPPER(B2034)&amp;REPT(" ",20),20),REPT(" ",20))</f>
        <v/>
      </c>
      <c r="X2034" s="10">
        <f>IF(A2034="C",LEFT(UPPER(C2034)&amp;REPT(" ",10),10)," ")</f>
        <v/>
      </c>
      <c r="Y2034" s="10">
        <f>IF(A2034="C",LEFT(UPPER(D2034)&amp;REPT(" ",2),2)," ")</f>
        <v/>
      </c>
      <c r="Z2034" s="10">
        <f>IF(A2034="C",LEFT(UPPER(E2034)&amp;REPT(" ",15),15)," ")</f>
        <v/>
      </c>
      <c r="AA2034" s="10">
        <f>REPT(" ",8)</f>
        <v/>
      </c>
      <c r="AB2034" s="10">
        <f>REPT(" ",4)</f>
        <v/>
      </c>
      <c r="AC2034" s="10">
        <f>LEFT(UPPER(H2034)&amp;REPT(" ",250),250)</f>
        <v/>
      </c>
      <c r="AD2034" s="10">
        <f>TEXT($G$2,"dd/mm/aaaa")</f>
        <v/>
      </c>
      <c r="AE2034" s="10">
        <f>REPT(" ",10)</f>
        <v/>
      </c>
      <c r="AF2034" s="10">
        <f>REPT(" ",20)</f>
        <v/>
      </c>
      <c r="AG2034" s="54">
        <f>REPT(" ",18-LEN(FIXED(F2034,2,TRUE)))&amp;FIXED(F2034,2,TRUE)</f>
        <v/>
      </c>
      <c r="AH2034" s="10">
        <f>LEN(AC2034)+LEN(AG2034)</f>
        <v/>
      </c>
      <c r="AI2034" s="10">
        <f>LEN(L2034)</f>
        <v/>
      </c>
    </row>
    <row r="2035">
      <c r="J2035" s="12">
        <f>IF(F2035&lt;&gt;0,"LANÇAR","")</f>
        <v/>
      </c>
      <c r="L2035" s="13">
        <f>N2035&amp;O2035&amp;P2035&amp;Q2035&amp;R2035&amp;S2035&amp;T2035&amp;U2035&amp;V2035&amp;W2035&amp;X2035&amp;Y2035&amp;Z2035&amp;AA2035&amp;AB2035&amp;AC2035&amp;AD2035&amp;AE2035&amp;AF2035&amp;AG2035</f>
        <v/>
      </c>
      <c r="N2035" s="10">
        <f>TEXT($B$6,"00")</f>
        <v/>
      </c>
      <c r="O2035" s="10">
        <f>REPT(" ",8)</f>
        <v/>
      </c>
      <c r="P2035" s="10">
        <f>RIGHT($B$4,2)</f>
        <v/>
      </c>
      <c r="Q2035" s="10">
        <f>RIGHT($B$5,3)</f>
        <v/>
      </c>
      <c r="R2035" s="10">
        <f>IF(A2035="D",LEFT(UPPER(B2035)&amp;REPT(" ",20),20),REPT(" ",20))</f>
        <v/>
      </c>
      <c r="S2035" s="10">
        <f>IF(A2035="D",LEFT(UPPER(C2035)&amp;REPT(" ",10),10)," ")</f>
        <v/>
      </c>
      <c r="T2035" s="10">
        <f>IF(A2035="D",LEFT(UPPER(D2035)&amp;REPT(" ",2),2)," ")</f>
        <v/>
      </c>
      <c r="U2035" s="10">
        <f>IF(A2035="D",LEFT(UPPER(E2035)&amp;REPT(" ",15),15)," ")</f>
        <v/>
      </c>
      <c r="V2035" s="10">
        <f>REPT(" ",24)</f>
        <v/>
      </c>
      <c r="W2035" s="10">
        <f>IF(A2035="c",LEFT(UPPER(B2035)&amp;REPT(" ",20),20),REPT(" ",20))</f>
        <v/>
      </c>
      <c r="X2035" s="10">
        <f>IF(A2035="C",LEFT(UPPER(C2035)&amp;REPT(" ",10),10)," ")</f>
        <v/>
      </c>
      <c r="Y2035" s="10">
        <f>IF(A2035="C",LEFT(UPPER(D2035)&amp;REPT(" ",2),2)," ")</f>
        <v/>
      </c>
      <c r="Z2035" s="10">
        <f>IF(A2035="C",LEFT(UPPER(E2035)&amp;REPT(" ",15),15)," ")</f>
        <v/>
      </c>
      <c r="AA2035" s="10">
        <f>REPT(" ",8)</f>
        <v/>
      </c>
      <c r="AB2035" s="10">
        <f>REPT(" ",4)</f>
        <v/>
      </c>
      <c r="AC2035" s="10">
        <f>LEFT(UPPER(H2035)&amp;REPT(" ",250),250)</f>
        <v/>
      </c>
      <c r="AD2035" s="10">
        <f>TEXT($G$2,"dd/mm/aaaa")</f>
        <v/>
      </c>
      <c r="AE2035" s="10">
        <f>REPT(" ",10)</f>
        <v/>
      </c>
      <c r="AF2035" s="10">
        <f>REPT(" ",20)</f>
        <v/>
      </c>
      <c r="AG2035" s="54">
        <f>REPT(" ",18-LEN(FIXED(F2035,2,TRUE)))&amp;FIXED(F2035,2,TRUE)</f>
        <v/>
      </c>
      <c r="AH2035" s="10">
        <f>LEN(AC2035)+LEN(AG2035)</f>
        <v/>
      </c>
      <c r="AI2035" s="10">
        <f>LEN(L2035)</f>
        <v/>
      </c>
    </row>
    <row r="2036">
      <c r="J2036" s="12">
        <f>IF(F2036&lt;&gt;0,"LANÇAR","")</f>
        <v/>
      </c>
      <c r="L2036" s="13">
        <f>N2036&amp;O2036&amp;P2036&amp;Q2036&amp;R2036&amp;S2036&amp;T2036&amp;U2036&amp;V2036&amp;W2036&amp;X2036&amp;Y2036&amp;Z2036&amp;AA2036&amp;AB2036&amp;AC2036&amp;AD2036&amp;AE2036&amp;AF2036&amp;AG2036</f>
        <v/>
      </c>
      <c r="N2036" s="10">
        <f>TEXT($B$6,"00")</f>
        <v/>
      </c>
      <c r="O2036" s="10">
        <f>REPT(" ",8)</f>
        <v/>
      </c>
      <c r="P2036" s="10">
        <f>RIGHT($B$4,2)</f>
        <v/>
      </c>
      <c r="Q2036" s="10">
        <f>RIGHT($B$5,3)</f>
        <v/>
      </c>
      <c r="R2036" s="10">
        <f>IF(A2036="D",LEFT(UPPER(B2036)&amp;REPT(" ",20),20),REPT(" ",20))</f>
        <v/>
      </c>
      <c r="S2036" s="10">
        <f>IF(A2036="D",LEFT(UPPER(C2036)&amp;REPT(" ",10),10)," ")</f>
        <v/>
      </c>
      <c r="T2036" s="10">
        <f>IF(A2036="D",LEFT(UPPER(D2036)&amp;REPT(" ",2),2)," ")</f>
        <v/>
      </c>
      <c r="U2036" s="10">
        <f>IF(A2036="D",LEFT(UPPER(E2036)&amp;REPT(" ",15),15)," ")</f>
        <v/>
      </c>
      <c r="V2036" s="10">
        <f>REPT(" ",24)</f>
        <v/>
      </c>
      <c r="W2036" s="10">
        <f>IF(A2036="c",LEFT(UPPER(B2036)&amp;REPT(" ",20),20),REPT(" ",20))</f>
        <v/>
      </c>
      <c r="X2036" s="10">
        <f>IF(A2036="C",LEFT(UPPER(C2036)&amp;REPT(" ",10),10)," ")</f>
        <v/>
      </c>
      <c r="Y2036" s="10">
        <f>IF(A2036="C",LEFT(UPPER(D2036)&amp;REPT(" ",2),2)," ")</f>
        <v/>
      </c>
      <c r="Z2036" s="10">
        <f>IF(A2036="C",LEFT(UPPER(E2036)&amp;REPT(" ",15),15)," ")</f>
        <v/>
      </c>
      <c r="AA2036" s="10">
        <f>REPT(" ",8)</f>
        <v/>
      </c>
      <c r="AB2036" s="10">
        <f>REPT(" ",4)</f>
        <v/>
      </c>
      <c r="AC2036" s="10">
        <f>LEFT(UPPER(H2036)&amp;REPT(" ",250),250)</f>
        <v/>
      </c>
      <c r="AD2036" s="10">
        <f>TEXT($G$2,"dd/mm/aaaa")</f>
        <v/>
      </c>
      <c r="AE2036" s="10">
        <f>REPT(" ",10)</f>
        <v/>
      </c>
      <c r="AF2036" s="10">
        <f>REPT(" ",20)</f>
        <v/>
      </c>
      <c r="AG2036" s="54">
        <f>REPT(" ",18-LEN(FIXED(F2036,2,TRUE)))&amp;FIXED(F2036,2,TRUE)</f>
        <v/>
      </c>
      <c r="AH2036" s="10">
        <f>LEN(AC2036)+LEN(AG2036)</f>
        <v/>
      </c>
      <c r="AI2036" s="10">
        <f>LEN(L2036)</f>
        <v/>
      </c>
    </row>
    <row r="2037">
      <c r="J2037" s="12">
        <f>IF(F2037&lt;&gt;0,"LANÇAR","")</f>
        <v/>
      </c>
      <c r="L2037" s="13">
        <f>N2037&amp;O2037&amp;P2037&amp;Q2037&amp;R2037&amp;S2037&amp;T2037&amp;U2037&amp;V2037&amp;W2037&amp;X2037&amp;Y2037&amp;Z2037&amp;AA2037&amp;AB2037&amp;AC2037&amp;AD2037&amp;AE2037&amp;AF2037&amp;AG2037</f>
        <v/>
      </c>
      <c r="N2037" s="10">
        <f>TEXT($B$6,"00")</f>
        <v/>
      </c>
      <c r="O2037" s="10">
        <f>REPT(" ",8)</f>
        <v/>
      </c>
      <c r="P2037" s="10">
        <f>RIGHT($B$4,2)</f>
        <v/>
      </c>
      <c r="Q2037" s="10">
        <f>RIGHT($B$5,3)</f>
        <v/>
      </c>
      <c r="R2037" s="10">
        <f>IF(A2037="D",LEFT(UPPER(B2037)&amp;REPT(" ",20),20),REPT(" ",20))</f>
        <v/>
      </c>
      <c r="S2037" s="10">
        <f>IF(A2037="D",LEFT(UPPER(C2037)&amp;REPT(" ",10),10)," ")</f>
        <v/>
      </c>
      <c r="T2037" s="10">
        <f>IF(A2037="D",LEFT(UPPER(D2037)&amp;REPT(" ",2),2)," ")</f>
        <v/>
      </c>
      <c r="U2037" s="10">
        <f>IF(A2037="D",LEFT(UPPER(E2037)&amp;REPT(" ",15),15)," ")</f>
        <v/>
      </c>
      <c r="V2037" s="10">
        <f>REPT(" ",24)</f>
        <v/>
      </c>
      <c r="W2037" s="10">
        <f>IF(A2037="c",LEFT(UPPER(B2037)&amp;REPT(" ",20),20),REPT(" ",20))</f>
        <v/>
      </c>
      <c r="X2037" s="10">
        <f>IF(A2037="C",LEFT(UPPER(C2037)&amp;REPT(" ",10),10)," ")</f>
        <v/>
      </c>
      <c r="Y2037" s="10">
        <f>IF(A2037="C",LEFT(UPPER(D2037)&amp;REPT(" ",2),2)," ")</f>
        <v/>
      </c>
      <c r="Z2037" s="10">
        <f>IF(A2037="C",LEFT(UPPER(E2037)&amp;REPT(" ",15),15)," ")</f>
        <v/>
      </c>
      <c r="AA2037" s="10">
        <f>REPT(" ",8)</f>
        <v/>
      </c>
      <c r="AB2037" s="10">
        <f>REPT(" ",4)</f>
        <v/>
      </c>
      <c r="AC2037" s="10">
        <f>LEFT(UPPER(H2037)&amp;REPT(" ",250),250)</f>
        <v/>
      </c>
      <c r="AD2037" s="10">
        <f>TEXT($G$2,"dd/mm/aaaa")</f>
        <v/>
      </c>
      <c r="AE2037" s="10">
        <f>REPT(" ",10)</f>
        <v/>
      </c>
      <c r="AF2037" s="10">
        <f>REPT(" ",20)</f>
        <v/>
      </c>
      <c r="AG2037" s="54">
        <f>REPT(" ",18-LEN(FIXED(F2037,2,TRUE)))&amp;FIXED(F2037,2,TRUE)</f>
        <v/>
      </c>
      <c r="AH2037" s="10">
        <f>LEN(AC2037)+LEN(AG2037)</f>
        <v/>
      </c>
      <c r="AI2037" s="10">
        <f>LEN(L2037)</f>
        <v/>
      </c>
    </row>
    <row r="2038">
      <c r="J2038" s="12">
        <f>IF(F2038&lt;&gt;0,"LANÇAR","")</f>
        <v/>
      </c>
      <c r="L2038" s="13">
        <f>N2038&amp;O2038&amp;P2038&amp;Q2038&amp;R2038&amp;S2038&amp;T2038&amp;U2038&amp;V2038&amp;W2038&amp;X2038&amp;Y2038&amp;Z2038&amp;AA2038&amp;AB2038&amp;AC2038&amp;AD2038&amp;AE2038&amp;AF2038&amp;AG2038</f>
        <v/>
      </c>
      <c r="N2038" s="10">
        <f>TEXT($B$6,"00")</f>
        <v/>
      </c>
      <c r="O2038" s="10">
        <f>REPT(" ",8)</f>
        <v/>
      </c>
      <c r="P2038" s="10">
        <f>RIGHT($B$4,2)</f>
        <v/>
      </c>
      <c r="Q2038" s="10">
        <f>RIGHT($B$5,3)</f>
        <v/>
      </c>
      <c r="R2038" s="10">
        <f>IF(A2038="D",LEFT(UPPER(B2038)&amp;REPT(" ",20),20),REPT(" ",20))</f>
        <v/>
      </c>
      <c r="S2038" s="10">
        <f>IF(A2038="D",LEFT(UPPER(C2038)&amp;REPT(" ",10),10)," ")</f>
        <v/>
      </c>
      <c r="T2038" s="10">
        <f>IF(A2038="D",LEFT(UPPER(D2038)&amp;REPT(" ",2),2)," ")</f>
        <v/>
      </c>
      <c r="U2038" s="10">
        <f>IF(A2038="D",LEFT(UPPER(E2038)&amp;REPT(" ",15),15)," ")</f>
        <v/>
      </c>
      <c r="V2038" s="10">
        <f>REPT(" ",24)</f>
        <v/>
      </c>
      <c r="W2038" s="10">
        <f>IF(A2038="c",LEFT(UPPER(B2038)&amp;REPT(" ",20),20),REPT(" ",20))</f>
        <v/>
      </c>
      <c r="X2038" s="10">
        <f>IF(A2038="C",LEFT(UPPER(C2038)&amp;REPT(" ",10),10)," ")</f>
        <v/>
      </c>
      <c r="Y2038" s="10">
        <f>IF(A2038="C",LEFT(UPPER(D2038)&amp;REPT(" ",2),2)," ")</f>
        <v/>
      </c>
      <c r="Z2038" s="10">
        <f>IF(A2038="C",LEFT(UPPER(E2038)&amp;REPT(" ",15),15)," ")</f>
        <v/>
      </c>
      <c r="AA2038" s="10">
        <f>REPT(" ",8)</f>
        <v/>
      </c>
      <c r="AB2038" s="10">
        <f>REPT(" ",4)</f>
        <v/>
      </c>
      <c r="AC2038" s="10">
        <f>LEFT(UPPER(H2038)&amp;REPT(" ",250),250)</f>
        <v/>
      </c>
      <c r="AD2038" s="10">
        <f>TEXT($G$2,"dd/mm/aaaa")</f>
        <v/>
      </c>
      <c r="AE2038" s="10">
        <f>REPT(" ",10)</f>
        <v/>
      </c>
      <c r="AF2038" s="10">
        <f>REPT(" ",20)</f>
        <v/>
      </c>
      <c r="AG2038" s="54">
        <f>REPT(" ",18-LEN(FIXED(F2038,2,TRUE)))&amp;FIXED(F2038,2,TRUE)</f>
        <v/>
      </c>
      <c r="AH2038" s="10">
        <f>LEN(AC2038)+LEN(AG2038)</f>
        <v/>
      </c>
      <c r="AI2038" s="10">
        <f>LEN(L2038)</f>
        <v/>
      </c>
    </row>
    <row r="2039">
      <c r="J2039" s="12">
        <f>IF(F2039&lt;&gt;0,"LANÇAR","")</f>
        <v/>
      </c>
      <c r="L2039" s="13">
        <f>N2039&amp;O2039&amp;P2039&amp;Q2039&amp;R2039&amp;S2039&amp;T2039&amp;U2039&amp;V2039&amp;W2039&amp;X2039&amp;Y2039&amp;Z2039&amp;AA2039&amp;AB2039&amp;AC2039&amp;AD2039&amp;AE2039&amp;AF2039&amp;AG2039</f>
        <v/>
      </c>
      <c r="N2039" s="10">
        <f>TEXT($B$6,"00")</f>
        <v/>
      </c>
      <c r="O2039" s="10">
        <f>REPT(" ",8)</f>
        <v/>
      </c>
      <c r="P2039" s="10">
        <f>RIGHT($B$4,2)</f>
        <v/>
      </c>
      <c r="Q2039" s="10">
        <f>RIGHT($B$5,3)</f>
        <v/>
      </c>
      <c r="R2039" s="10">
        <f>IF(A2039="D",LEFT(UPPER(B2039)&amp;REPT(" ",20),20),REPT(" ",20))</f>
        <v/>
      </c>
      <c r="S2039" s="10">
        <f>IF(A2039="D",LEFT(UPPER(C2039)&amp;REPT(" ",10),10)," ")</f>
        <v/>
      </c>
      <c r="T2039" s="10">
        <f>IF(A2039="D",LEFT(UPPER(D2039)&amp;REPT(" ",2),2)," ")</f>
        <v/>
      </c>
      <c r="U2039" s="10">
        <f>IF(A2039="D",LEFT(UPPER(E2039)&amp;REPT(" ",15),15)," ")</f>
        <v/>
      </c>
      <c r="V2039" s="10">
        <f>REPT(" ",24)</f>
        <v/>
      </c>
      <c r="W2039" s="10">
        <f>IF(A2039="c",LEFT(UPPER(B2039)&amp;REPT(" ",20),20),REPT(" ",20))</f>
        <v/>
      </c>
      <c r="X2039" s="10">
        <f>IF(A2039="C",LEFT(UPPER(C2039)&amp;REPT(" ",10),10)," ")</f>
        <v/>
      </c>
      <c r="Y2039" s="10">
        <f>IF(A2039="C",LEFT(UPPER(D2039)&amp;REPT(" ",2),2)," ")</f>
        <v/>
      </c>
      <c r="Z2039" s="10">
        <f>IF(A2039="C",LEFT(UPPER(E2039)&amp;REPT(" ",15),15)," ")</f>
        <v/>
      </c>
      <c r="AA2039" s="10">
        <f>REPT(" ",8)</f>
        <v/>
      </c>
      <c r="AB2039" s="10">
        <f>REPT(" ",4)</f>
        <v/>
      </c>
      <c r="AC2039" s="10">
        <f>LEFT(UPPER(H2039)&amp;REPT(" ",250),250)</f>
        <v/>
      </c>
      <c r="AD2039" s="10">
        <f>TEXT($G$2,"dd/mm/aaaa")</f>
        <v/>
      </c>
      <c r="AE2039" s="10">
        <f>REPT(" ",10)</f>
        <v/>
      </c>
      <c r="AF2039" s="10">
        <f>REPT(" ",20)</f>
        <v/>
      </c>
      <c r="AG2039" s="54">
        <f>REPT(" ",18-LEN(FIXED(F2039,2,TRUE)))&amp;FIXED(F2039,2,TRUE)</f>
        <v/>
      </c>
      <c r="AH2039" s="10">
        <f>LEN(AC2039)+LEN(AG2039)</f>
        <v/>
      </c>
      <c r="AI2039" s="10">
        <f>LEN(L2039)</f>
        <v/>
      </c>
    </row>
    <row r="2040">
      <c r="J2040" s="12">
        <f>IF(F2040&lt;&gt;0,"LANÇAR","")</f>
        <v/>
      </c>
      <c r="L2040" s="13">
        <f>N2040&amp;O2040&amp;P2040&amp;Q2040&amp;R2040&amp;S2040&amp;T2040&amp;U2040&amp;V2040&amp;W2040&amp;X2040&amp;Y2040&amp;Z2040&amp;AA2040&amp;AB2040&amp;AC2040&amp;AD2040&amp;AE2040&amp;AF2040&amp;AG2040</f>
        <v/>
      </c>
      <c r="N2040" s="10">
        <f>TEXT($B$6,"00")</f>
        <v/>
      </c>
      <c r="O2040" s="10">
        <f>REPT(" ",8)</f>
        <v/>
      </c>
      <c r="P2040" s="10">
        <f>RIGHT($B$4,2)</f>
        <v/>
      </c>
      <c r="Q2040" s="10">
        <f>RIGHT($B$5,3)</f>
        <v/>
      </c>
      <c r="R2040" s="10">
        <f>IF(A2040="D",LEFT(UPPER(B2040)&amp;REPT(" ",20),20),REPT(" ",20))</f>
        <v/>
      </c>
      <c r="S2040" s="10">
        <f>IF(A2040="D",LEFT(UPPER(C2040)&amp;REPT(" ",10),10)," ")</f>
        <v/>
      </c>
      <c r="T2040" s="10">
        <f>IF(A2040="D",LEFT(UPPER(D2040)&amp;REPT(" ",2),2)," ")</f>
        <v/>
      </c>
      <c r="U2040" s="10">
        <f>IF(A2040="D",LEFT(UPPER(E2040)&amp;REPT(" ",15),15)," ")</f>
        <v/>
      </c>
      <c r="V2040" s="10">
        <f>REPT(" ",24)</f>
        <v/>
      </c>
      <c r="W2040" s="10">
        <f>IF(A2040="c",LEFT(UPPER(B2040)&amp;REPT(" ",20),20),REPT(" ",20))</f>
        <v/>
      </c>
      <c r="X2040" s="10">
        <f>IF(A2040="C",LEFT(UPPER(C2040)&amp;REPT(" ",10),10)," ")</f>
        <v/>
      </c>
      <c r="Y2040" s="10">
        <f>IF(A2040="C",LEFT(UPPER(D2040)&amp;REPT(" ",2),2)," ")</f>
        <v/>
      </c>
      <c r="Z2040" s="10">
        <f>IF(A2040="C",LEFT(UPPER(E2040)&amp;REPT(" ",15),15)," ")</f>
        <v/>
      </c>
      <c r="AA2040" s="10">
        <f>REPT(" ",8)</f>
        <v/>
      </c>
      <c r="AB2040" s="10">
        <f>REPT(" ",4)</f>
        <v/>
      </c>
      <c r="AC2040" s="10">
        <f>LEFT(UPPER(H2040)&amp;REPT(" ",250),250)</f>
        <v/>
      </c>
      <c r="AD2040" s="10">
        <f>TEXT($G$2,"dd/mm/aaaa")</f>
        <v/>
      </c>
      <c r="AE2040" s="10">
        <f>REPT(" ",10)</f>
        <v/>
      </c>
      <c r="AF2040" s="10">
        <f>REPT(" ",20)</f>
        <v/>
      </c>
      <c r="AG2040" s="54">
        <f>REPT(" ",18-LEN(FIXED(F2040,2,TRUE)))&amp;FIXED(F2040,2,TRUE)</f>
        <v/>
      </c>
      <c r="AH2040" s="10">
        <f>LEN(AC2040)+LEN(AG2040)</f>
        <v/>
      </c>
      <c r="AI2040" s="10">
        <f>LEN(L2040)</f>
        <v/>
      </c>
    </row>
    <row r="2041">
      <c r="J2041" s="12">
        <f>IF(F2041&lt;&gt;0,"LANÇAR","")</f>
        <v/>
      </c>
      <c r="L2041" s="13">
        <f>N2041&amp;O2041&amp;P2041&amp;Q2041&amp;R2041&amp;S2041&amp;T2041&amp;U2041&amp;V2041&amp;W2041&amp;X2041&amp;Y2041&amp;Z2041&amp;AA2041&amp;AB2041&amp;AC2041&amp;AD2041&amp;AE2041&amp;AF2041&amp;AG2041</f>
        <v/>
      </c>
      <c r="N2041" s="10">
        <f>TEXT($B$6,"00")</f>
        <v/>
      </c>
      <c r="O2041" s="10">
        <f>REPT(" ",8)</f>
        <v/>
      </c>
      <c r="P2041" s="10">
        <f>RIGHT($B$4,2)</f>
        <v/>
      </c>
      <c r="Q2041" s="10">
        <f>RIGHT($B$5,3)</f>
        <v/>
      </c>
      <c r="R2041" s="10">
        <f>IF(A2041="D",LEFT(UPPER(B2041)&amp;REPT(" ",20),20),REPT(" ",20))</f>
        <v/>
      </c>
      <c r="S2041" s="10">
        <f>IF(A2041="D",LEFT(UPPER(C2041)&amp;REPT(" ",10),10)," ")</f>
        <v/>
      </c>
      <c r="T2041" s="10">
        <f>IF(A2041="D",LEFT(UPPER(D2041)&amp;REPT(" ",2),2)," ")</f>
        <v/>
      </c>
      <c r="U2041" s="10">
        <f>IF(A2041="D",LEFT(UPPER(E2041)&amp;REPT(" ",15),15)," ")</f>
        <v/>
      </c>
      <c r="V2041" s="10">
        <f>REPT(" ",24)</f>
        <v/>
      </c>
      <c r="W2041" s="10">
        <f>IF(A2041="c",LEFT(UPPER(B2041)&amp;REPT(" ",20),20),REPT(" ",20))</f>
        <v/>
      </c>
      <c r="X2041" s="10">
        <f>IF(A2041="C",LEFT(UPPER(C2041)&amp;REPT(" ",10),10)," ")</f>
        <v/>
      </c>
      <c r="Y2041" s="10">
        <f>IF(A2041="C",LEFT(UPPER(D2041)&amp;REPT(" ",2),2)," ")</f>
        <v/>
      </c>
      <c r="Z2041" s="10">
        <f>IF(A2041="C",LEFT(UPPER(E2041)&amp;REPT(" ",15),15)," ")</f>
        <v/>
      </c>
      <c r="AA2041" s="10">
        <f>REPT(" ",8)</f>
        <v/>
      </c>
      <c r="AB2041" s="10">
        <f>REPT(" ",4)</f>
        <v/>
      </c>
      <c r="AC2041" s="10">
        <f>LEFT(UPPER(H2041)&amp;REPT(" ",250),250)</f>
        <v/>
      </c>
      <c r="AD2041" s="10">
        <f>TEXT($G$2,"dd/mm/aaaa")</f>
        <v/>
      </c>
      <c r="AE2041" s="10">
        <f>REPT(" ",10)</f>
        <v/>
      </c>
      <c r="AF2041" s="10">
        <f>REPT(" ",20)</f>
        <v/>
      </c>
      <c r="AG2041" s="54">
        <f>REPT(" ",18-LEN(FIXED(F2041,2,TRUE)))&amp;FIXED(F2041,2,TRUE)</f>
        <v/>
      </c>
      <c r="AH2041" s="10">
        <f>LEN(AC2041)+LEN(AG2041)</f>
        <v/>
      </c>
      <c r="AI2041" s="10">
        <f>LEN(L2041)</f>
        <v/>
      </c>
    </row>
    <row r="2042">
      <c r="J2042" s="12">
        <f>IF(F2042&lt;&gt;0,"LANÇAR","")</f>
        <v/>
      </c>
      <c r="L2042" s="13">
        <f>N2042&amp;O2042&amp;P2042&amp;Q2042&amp;R2042&amp;S2042&amp;T2042&amp;U2042&amp;V2042&amp;W2042&amp;X2042&amp;Y2042&amp;Z2042&amp;AA2042&amp;AB2042&amp;AC2042&amp;AD2042&amp;AE2042&amp;AF2042&amp;AG2042</f>
        <v/>
      </c>
      <c r="N2042" s="10">
        <f>TEXT($B$6,"00")</f>
        <v/>
      </c>
      <c r="O2042" s="10">
        <f>REPT(" ",8)</f>
        <v/>
      </c>
      <c r="P2042" s="10">
        <f>RIGHT($B$4,2)</f>
        <v/>
      </c>
      <c r="Q2042" s="10">
        <f>RIGHT($B$5,3)</f>
        <v/>
      </c>
      <c r="R2042" s="10">
        <f>IF(A2042="D",LEFT(UPPER(B2042)&amp;REPT(" ",20),20),REPT(" ",20))</f>
        <v/>
      </c>
      <c r="S2042" s="10">
        <f>IF(A2042="D",LEFT(UPPER(C2042)&amp;REPT(" ",10),10)," ")</f>
        <v/>
      </c>
      <c r="T2042" s="10">
        <f>IF(A2042="D",LEFT(UPPER(D2042)&amp;REPT(" ",2),2)," ")</f>
        <v/>
      </c>
      <c r="U2042" s="10">
        <f>IF(A2042="D",LEFT(UPPER(E2042)&amp;REPT(" ",15),15)," ")</f>
        <v/>
      </c>
      <c r="V2042" s="10">
        <f>REPT(" ",24)</f>
        <v/>
      </c>
      <c r="W2042" s="10">
        <f>IF(A2042="c",LEFT(UPPER(B2042)&amp;REPT(" ",20),20),REPT(" ",20))</f>
        <v/>
      </c>
      <c r="X2042" s="10">
        <f>IF(A2042="C",LEFT(UPPER(C2042)&amp;REPT(" ",10),10)," ")</f>
        <v/>
      </c>
      <c r="Y2042" s="10">
        <f>IF(A2042="C",LEFT(UPPER(D2042)&amp;REPT(" ",2),2)," ")</f>
        <v/>
      </c>
      <c r="Z2042" s="10">
        <f>IF(A2042="C",LEFT(UPPER(E2042)&amp;REPT(" ",15),15)," ")</f>
        <v/>
      </c>
      <c r="AA2042" s="10">
        <f>REPT(" ",8)</f>
        <v/>
      </c>
      <c r="AB2042" s="10">
        <f>REPT(" ",4)</f>
        <v/>
      </c>
      <c r="AC2042" s="10">
        <f>LEFT(UPPER(H2042)&amp;REPT(" ",250),250)</f>
        <v/>
      </c>
      <c r="AD2042" s="10">
        <f>TEXT($G$2,"dd/mm/aaaa")</f>
        <v/>
      </c>
      <c r="AE2042" s="10">
        <f>REPT(" ",10)</f>
        <v/>
      </c>
      <c r="AF2042" s="10">
        <f>REPT(" ",20)</f>
        <v/>
      </c>
      <c r="AG2042" s="54">
        <f>REPT(" ",18-LEN(FIXED(F2042,2,TRUE)))&amp;FIXED(F2042,2,TRUE)</f>
        <v/>
      </c>
      <c r="AH2042" s="10">
        <f>LEN(AC2042)+LEN(AG2042)</f>
        <v/>
      </c>
      <c r="AI2042" s="10">
        <f>LEN(L2042)</f>
        <v/>
      </c>
    </row>
    <row r="2043">
      <c r="J2043" s="12">
        <f>IF(F2043&lt;&gt;0,"LANÇAR","")</f>
        <v/>
      </c>
      <c r="L2043" s="13">
        <f>N2043&amp;O2043&amp;P2043&amp;Q2043&amp;R2043&amp;S2043&amp;T2043&amp;U2043&amp;V2043&amp;W2043&amp;X2043&amp;Y2043&amp;Z2043&amp;AA2043&amp;AB2043&amp;AC2043&amp;AD2043&amp;AE2043&amp;AF2043&amp;AG2043</f>
        <v/>
      </c>
      <c r="N2043" s="10">
        <f>TEXT($B$6,"00")</f>
        <v/>
      </c>
      <c r="O2043" s="10">
        <f>REPT(" ",8)</f>
        <v/>
      </c>
      <c r="P2043" s="10">
        <f>RIGHT($B$4,2)</f>
        <v/>
      </c>
      <c r="Q2043" s="10">
        <f>RIGHT($B$5,3)</f>
        <v/>
      </c>
      <c r="R2043" s="10">
        <f>IF(A2043="D",LEFT(UPPER(B2043)&amp;REPT(" ",20),20),REPT(" ",20))</f>
        <v/>
      </c>
      <c r="S2043" s="10">
        <f>IF(A2043="D",LEFT(UPPER(C2043)&amp;REPT(" ",10),10)," ")</f>
        <v/>
      </c>
      <c r="T2043" s="10">
        <f>IF(A2043="D",LEFT(UPPER(D2043)&amp;REPT(" ",2),2)," ")</f>
        <v/>
      </c>
      <c r="U2043" s="10">
        <f>IF(A2043="D",LEFT(UPPER(E2043)&amp;REPT(" ",15),15)," ")</f>
        <v/>
      </c>
      <c r="V2043" s="10">
        <f>REPT(" ",24)</f>
        <v/>
      </c>
      <c r="W2043" s="10">
        <f>IF(A2043="c",LEFT(UPPER(B2043)&amp;REPT(" ",20),20),REPT(" ",20))</f>
        <v/>
      </c>
      <c r="X2043" s="10">
        <f>IF(A2043="C",LEFT(UPPER(C2043)&amp;REPT(" ",10),10)," ")</f>
        <v/>
      </c>
      <c r="Y2043" s="10">
        <f>IF(A2043="C",LEFT(UPPER(D2043)&amp;REPT(" ",2),2)," ")</f>
        <v/>
      </c>
      <c r="Z2043" s="10">
        <f>IF(A2043="C",LEFT(UPPER(E2043)&amp;REPT(" ",15),15)," ")</f>
        <v/>
      </c>
      <c r="AA2043" s="10">
        <f>REPT(" ",8)</f>
        <v/>
      </c>
      <c r="AB2043" s="10">
        <f>REPT(" ",4)</f>
        <v/>
      </c>
      <c r="AC2043" s="10">
        <f>LEFT(UPPER(H2043)&amp;REPT(" ",250),250)</f>
        <v/>
      </c>
      <c r="AD2043" s="10">
        <f>TEXT($G$2,"dd/mm/aaaa")</f>
        <v/>
      </c>
      <c r="AE2043" s="10">
        <f>REPT(" ",10)</f>
        <v/>
      </c>
      <c r="AF2043" s="10">
        <f>REPT(" ",20)</f>
        <v/>
      </c>
      <c r="AG2043" s="54">
        <f>REPT(" ",18-LEN(FIXED(F2043,2,TRUE)))&amp;FIXED(F2043,2,TRUE)</f>
        <v/>
      </c>
      <c r="AH2043" s="10">
        <f>LEN(AC2043)+LEN(AG2043)</f>
        <v/>
      </c>
      <c r="AI2043" s="10">
        <f>LEN(L2043)</f>
        <v/>
      </c>
    </row>
    <row r="2044">
      <c r="J2044" s="12">
        <f>IF(F2044&lt;&gt;0,"LANÇAR","")</f>
        <v/>
      </c>
      <c r="L2044" s="13">
        <f>N2044&amp;O2044&amp;P2044&amp;Q2044&amp;R2044&amp;S2044&amp;T2044&amp;U2044&amp;V2044&amp;W2044&amp;X2044&amp;Y2044&amp;Z2044&amp;AA2044&amp;AB2044&amp;AC2044&amp;AD2044&amp;AE2044&amp;AF2044&amp;AG2044</f>
        <v/>
      </c>
      <c r="N2044" s="10">
        <f>TEXT($B$6,"00")</f>
        <v/>
      </c>
      <c r="O2044" s="10">
        <f>REPT(" ",8)</f>
        <v/>
      </c>
      <c r="P2044" s="10">
        <f>RIGHT($B$4,2)</f>
        <v/>
      </c>
      <c r="Q2044" s="10">
        <f>RIGHT($B$5,3)</f>
        <v/>
      </c>
      <c r="R2044" s="10">
        <f>IF(A2044="D",LEFT(UPPER(B2044)&amp;REPT(" ",20),20),REPT(" ",20))</f>
        <v/>
      </c>
      <c r="S2044" s="10">
        <f>IF(A2044="D",LEFT(UPPER(C2044)&amp;REPT(" ",10),10)," ")</f>
        <v/>
      </c>
      <c r="T2044" s="10">
        <f>IF(A2044="D",LEFT(UPPER(D2044)&amp;REPT(" ",2),2)," ")</f>
        <v/>
      </c>
      <c r="U2044" s="10">
        <f>IF(A2044="D",LEFT(UPPER(E2044)&amp;REPT(" ",15),15)," ")</f>
        <v/>
      </c>
      <c r="V2044" s="10">
        <f>REPT(" ",24)</f>
        <v/>
      </c>
      <c r="W2044" s="10">
        <f>IF(A2044="c",LEFT(UPPER(B2044)&amp;REPT(" ",20),20),REPT(" ",20))</f>
        <v/>
      </c>
      <c r="X2044" s="10">
        <f>IF(A2044="C",LEFT(UPPER(C2044)&amp;REPT(" ",10),10)," ")</f>
        <v/>
      </c>
      <c r="Y2044" s="10">
        <f>IF(A2044="C",LEFT(UPPER(D2044)&amp;REPT(" ",2),2)," ")</f>
        <v/>
      </c>
      <c r="Z2044" s="10">
        <f>IF(A2044="C",LEFT(UPPER(E2044)&amp;REPT(" ",15),15)," ")</f>
        <v/>
      </c>
      <c r="AA2044" s="10">
        <f>REPT(" ",8)</f>
        <v/>
      </c>
      <c r="AB2044" s="10">
        <f>REPT(" ",4)</f>
        <v/>
      </c>
      <c r="AC2044" s="10">
        <f>LEFT(UPPER(H2044)&amp;REPT(" ",250),250)</f>
        <v/>
      </c>
      <c r="AD2044" s="10">
        <f>TEXT($G$2,"dd/mm/aaaa")</f>
        <v/>
      </c>
      <c r="AE2044" s="10">
        <f>REPT(" ",10)</f>
        <v/>
      </c>
      <c r="AF2044" s="10">
        <f>REPT(" ",20)</f>
        <v/>
      </c>
      <c r="AG2044" s="54">
        <f>REPT(" ",18-LEN(FIXED(F2044,2,TRUE)))&amp;FIXED(F2044,2,TRUE)</f>
        <v/>
      </c>
      <c r="AH2044" s="10">
        <f>LEN(AC2044)+LEN(AG2044)</f>
        <v/>
      </c>
      <c r="AI2044" s="10">
        <f>LEN(L2044)</f>
        <v/>
      </c>
    </row>
    <row r="2045">
      <c r="J2045" s="12">
        <f>IF(F2045&lt;&gt;0,"LANÇAR","")</f>
        <v/>
      </c>
      <c r="L2045" s="13">
        <f>N2045&amp;O2045&amp;P2045&amp;Q2045&amp;R2045&amp;S2045&amp;T2045&amp;U2045&amp;V2045&amp;W2045&amp;X2045&amp;Y2045&amp;Z2045&amp;AA2045&amp;AB2045&amp;AC2045&amp;AD2045&amp;AE2045&amp;AF2045&amp;AG2045</f>
        <v/>
      </c>
      <c r="N2045" s="10">
        <f>TEXT($B$6,"00")</f>
        <v/>
      </c>
      <c r="O2045" s="10">
        <f>REPT(" ",8)</f>
        <v/>
      </c>
      <c r="P2045" s="10">
        <f>RIGHT($B$4,2)</f>
        <v/>
      </c>
      <c r="Q2045" s="10">
        <f>RIGHT($B$5,3)</f>
        <v/>
      </c>
      <c r="R2045" s="10">
        <f>IF(A2045="D",LEFT(UPPER(B2045)&amp;REPT(" ",20),20),REPT(" ",20))</f>
        <v/>
      </c>
      <c r="S2045" s="10">
        <f>IF(A2045="D",LEFT(UPPER(C2045)&amp;REPT(" ",10),10)," ")</f>
        <v/>
      </c>
      <c r="T2045" s="10">
        <f>IF(A2045="D",LEFT(UPPER(D2045)&amp;REPT(" ",2),2)," ")</f>
        <v/>
      </c>
      <c r="U2045" s="10">
        <f>IF(A2045="D",LEFT(UPPER(E2045)&amp;REPT(" ",15),15)," ")</f>
        <v/>
      </c>
      <c r="V2045" s="10">
        <f>REPT(" ",24)</f>
        <v/>
      </c>
      <c r="W2045" s="10">
        <f>IF(A2045="c",LEFT(UPPER(B2045)&amp;REPT(" ",20),20),REPT(" ",20))</f>
        <v/>
      </c>
      <c r="X2045" s="10">
        <f>IF(A2045="C",LEFT(UPPER(C2045)&amp;REPT(" ",10),10)," ")</f>
        <v/>
      </c>
      <c r="Y2045" s="10">
        <f>IF(A2045="C",LEFT(UPPER(D2045)&amp;REPT(" ",2),2)," ")</f>
        <v/>
      </c>
      <c r="Z2045" s="10">
        <f>IF(A2045="C",LEFT(UPPER(E2045)&amp;REPT(" ",15),15)," ")</f>
        <v/>
      </c>
      <c r="AA2045" s="10">
        <f>REPT(" ",8)</f>
        <v/>
      </c>
      <c r="AB2045" s="10">
        <f>REPT(" ",4)</f>
        <v/>
      </c>
      <c r="AC2045" s="10">
        <f>LEFT(UPPER(H2045)&amp;REPT(" ",250),250)</f>
        <v/>
      </c>
      <c r="AD2045" s="10">
        <f>TEXT($G$2,"dd/mm/aaaa")</f>
        <v/>
      </c>
      <c r="AE2045" s="10">
        <f>REPT(" ",10)</f>
        <v/>
      </c>
      <c r="AF2045" s="10">
        <f>REPT(" ",20)</f>
        <v/>
      </c>
      <c r="AG2045" s="54">
        <f>REPT(" ",18-LEN(FIXED(F2045,2,TRUE)))&amp;FIXED(F2045,2,TRUE)</f>
        <v/>
      </c>
      <c r="AH2045" s="10">
        <f>LEN(AC2045)+LEN(AG2045)</f>
        <v/>
      </c>
      <c r="AI2045" s="10">
        <f>LEN(L2045)</f>
        <v/>
      </c>
    </row>
    <row r="2046">
      <c r="J2046" s="12">
        <f>IF(F2046&lt;&gt;0,"LANÇAR","")</f>
        <v/>
      </c>
      <c r="L2046" s="13">
        <f>N2046&amp;O2046&amp;P2046&amp;Q2046&amp;R2046&amp;S2046&amp;T2046&amp;U2046&amp;V2046&amp;W2046&amp;X2046&amp;Y2046&amp;Z2046&amp;AA2046&amp;AB2046&amp;AC2046&amp;AD2046&amp;AE2046&amp;AF2046&amp;AG2046</f>
        <v/>
      </c>
      <c r="N2046" s="10">
        <f>TEXT($B$6,"00")</f>
        <v/>
      </c>
      <c r="O2046" s="10">
        <f>REPT(" ",8)</f>
        <v/>
      </c>
      <c r="P2046" s="10">
        <f>RIGHT($B$4,2)</f>
        <v/>
      </c>
      <c r="Q2046" s="10">
        <f>RIGHT($B$5,3)</f>
        <v/>
      </c>
      <c r="R2046" s="10">
        <f>IF(A2046="D",LEFT(UPPER(B2046)&amp;REPT(" ",20),20),REPT(" ",20))</f>
        <v/>
      </c>
      <c r="S2046" s="10">
        <f>IF(A2046="D",LEFT(UPPER(C2046)&amp;REPT(" ",10),10)," ")</f>
        <v/>
      </c>
      <c r="T2046" s="10">
        <f>IF(A2046="D",LEFT(UPPER(D2046)&amp;REPT(" ",2),2)," ")</f>
        <v/>
      </c>
      <c r="U2046" s="10">
        <f>IF(A2046="D",LEFT(UPPER(E2046)&amp;REPT(" ",15),15)," ")</f>
        <v/>
      </c>
      <c r="V2046" s="10">
        <f>REPT(" ",24)</f>
        <v/>
      </c>
      <c r="W2046" s="10">
        <f>IF(A2046="c",LEFT(UPPER(B2046)&amp;REPT(" ",20),20),REPT(" ",20))</f>
        <v/>
      </c>
      <c r="X2046" s="10">
        <f>IF(A2046="C",LEFT(UPPER(C2046)&amp;REPT(" ",10),10)," ")</f>
        <v/>
      </c>
      <c r="Y2046" s="10">
        <f>IF(A2046="C",LEFT(UPPER(D2046)&amp;REPT(" ",2),2)," ")</f>
        <v/>
      </c>
      <c r="Z2046" s="10">
        <f>IF(A2046="C",LEFT(UPPER(E2046)&amp;REPT(" ",15),15)," ")</f>
        <v/>
      </c>
      <c r="AA2046" s="10">
        <f>REPT(" ",8)</f>
        <v/>
      </c>
      <c r="AB2046" s="10">
        <f>REPT(" ",4)</f>
        <v/>
      </c>
      <c r="AC2046" s="10">
        <f>LEFT(UPPER(H2046)&amp;REPT(" ",250),250)</f>
        <v/>
      </c>
      <c r="AD2046" s="10">
        <f>TEXT($G$2,"dd/mm/aaaa")</f>
        <v/>
      </c>
      <c r="AE2046" s="10">
        <f>REPT(" ",10)</f>
        <v/>
      </c>
      <c r="AF2046" s="10">
        <f>REPT(" ",20)</f>
        <v/>
      </c>
      <c r="AG2046" s="54">
        <f>REPT(" ",18-LEN(FIXED(F2046,2,TRUE)))&amp;FIXED(F2046,2,TRUE)</f>
        <v/>
      </c>
      <c r="AH2046" s="10">
        <f>LEN(AC2046)+LEN(AG2046)</f>
        <v/>
      </c>
      <c r="AI2046" s="10">
        <f>LEN(L2046)</f>
        <v/>
      </c>
    </row>
    <row r="2047">
      <c r="J2047" s="12">
        <f>IF(F2047&lt;&gt;0,"LANÇAR","")</f>
        <v/>
      </c>
      <c r="L2047" s="13">
        <f>N2047&amp;O2047&amp;P2047&amp;Q2047&amp;R2047&amp;S2047&amp;T2047&amp;U2047&amp;V2047&amp;W2047&amp;X2047&amp;Y2047&amp;Z2047&amp;AA2047&amp;AB2047&amp;AC2047&amp;AD2047&amp;AE2047&amp;AF2047&amp;AG2047</f>
        <v/>
      </c>
      <c r="N2047" s="10">
        <f>TEXT($B$6,"00")</f>
        <v/>
      </c>
      <c r="O2047" s="10">
        <f>REPT(" ",8)</f>
        <v/>
      </c>
      <c r="P2047" s="10">
        <f>RIGHT($B$4,2)</f>
        <v/>
      </c>
      <c r="Q2047" s="10">
        <f>RIGHT($B$5,3)</f>
        <v/>
      </c>
      <c r="R2047" s="10">
        <f>IF(A2047="D",LEFT(UPPER(B2047)&amp;REPT(" ",20),20),REPT(" ",20))</f>
        <v/>
      </c>
      <c r="S2047" s="10">
        <f>IF(A2047="D",LEFT(UPPER(C2047)&amp;REPT(" ",10),10)," ")</f>
        <v/>
      </c>
      <c r="T2047" s="10">
        <f>IF(A2047="D",LEFT(UPPER(D2047)&amp;REPT(" ",2),2)," ")</f>
        <v/>
      </c>
      <c r="U2047" s="10">
        <f>IF(A2047="D",LEFT(UPPER(E2047)&amp;REPT(" ",15),15)," ")</f>
        <v/>
      </c>
      <c r="V2047" s="10">
        <f>REPT(" ",24)</f>
        <v/>
      </c>
      <c r="W2047" s="10">
        <f>IF(A2047="c",LEFT(UPPER(B2047)&amp;REPT(" ",20),20),REPT(" ",20))</f>
        <v/>
      </c>
      <c r="X2047" s="10">
        <f>IF(A2047="C",LEFT(UPPER(C2047)&amp;REPT(" ",10),10)," ")</f>
        <v/>
      </c>
      <c r="Y2047" s="10">
        <f>IF(A2047="C",LEFT(UPPER(D2047)&amp;REPT(" ",2),2)," ")</f>
        <v/>
      </c>
      <c r="Z2047" s="10">
        <f>IF(A2047="C",LEFT(UPPER(E2047)&amp;REPT(" ",15),15)," ")</f>
        <v/>
      </c>
      <c r="AA2047" s="10">
        <f>REPT(" ",8)</f>
        <v/>
      </c>
      <c r="AB2047" s="10">
        <f>REPT(" ",4)</f>
        <v/>
      </c>
      <c r="AC2047" s="10">
        <f>LEFT(UPPER(H2047)&amp;REPT(" ",250),250)</f>
        <v/>
      </c>
      <c r="AD2047" s="10">
        <f>TEXT($G$2,"dd/mm/aaaa")</f>
        <v/>
      </c>
      <c r="AE2047" s="10">
        <f>REPT(" ",10)</f>
        <v/>
      </c>
      <c r="AF2047" s="10">
        <f>REPT(" ",20)</f>
        <v/>
      </c>
      <c r="AG2047" s="54">
        <f>REPT(" ",18-LEN(FIXED(F2047,2,TRUE)))&amp;FIXED(F2047,2,TRUE)</f>
        <v/>
      </c>
      <c r="AH2047" s="10">
        <f>LEN(AC2047)+LEN(AG2047)</f>
        <v/>
      </c>
      <c r="AI2047" s="10">
        <f>LEN(L2047)</f>
        <v/>
      </c>
    </row>
    <row r="2048">
      <c r="J2048" s="12">
        <f>IF(F2048&lt;&gt;0,"LANÇAR","")</f>
        <v/>
      </c>
      <c r="L2048" s="13">
        <f>N2048&amp;O2048&amp;P2048&amp;Q2048&amp;R2048&amp;S2048&amp;T2048&amp;U2048&amp;V2048&amp;W2048&amp;X2048&amp;Y2048&amp;Z2048&amp;AA2048&amp;AB2048&amp;AC2048&amp;AD2048&amp;AE2048&amp;AF2048&amp;AG2048</f>
        <v/>
      </c>
      <c r="N2048" s="10">
        <f>TEXT($B$6,"00")</f>
        <v/>
      </c>
      <c r="O2048" s="10">
        <f>REPT(" ",8)</f>
        <v/>
      </c>
      <c r="P2048" s="10">
        <f>RIGHT($B$4,2)</f>
        <v/>
      </c>
      <c r="Q2048" s="10">
        <f>RIGHT($B$5,3)</f>
        <v/>
      </c>
      <c r="R2048" s="10">
        <f>IF(A2048="D",LEFT(UPPER(B2048)&amp;REPT(" ",20),20),REPT(" ",20))</f>
        <v/>
      </c>
      <c r="S2048" s="10">
        <f>IF(A2048="D",LEFT(UPPER(C2048)&amp;REPT(" ",10),10)," ")</f>
        <v/>
      </c>
      <c r="T2048" s="10">
        <f>IF(A2048="D",LEFT(UPPER(D2048)&amp;REPT(" ",2),2)," ")</f>
        <v/>
      </c>
      <c r="U2048" s="10">
        <f>IF(A2048="D",LEFT(UPPER(E2048)&amp;REPT(" ",15),15)," ")</f>
        <v/>
      </c>
      <c r="V2048" s="10">
        <f>REPT(" ",24)</f>
        <v/>
      </c>
      <c r="W2048" s="10">
        <f>IF(A2048="c",LEFT(UPPER(B2048)&amp;REPT(" ",20),20),REPT(" ",20))</f>
        <v/>
      </c>
      <c r="X2048" s="10">
        <f>IF(A2048="C",LEFT(UPPER(C2048)&amp;REPT(" ",10),10)," ")</f>
        <v/>
      </c>
      <c r="Y2048" s="10">
        <f>IF(A2048="C",LEFT(UPPER(D2048)&amp;REPT(" ",2),2)," ")</f>
        <v/>
      </c>
      <c r="Z2048" s="10">
        <f>IF(A2048="C",LEFT(UPPER(E2048)&amp;REPT(" ",15),15)," ")</f>
        <v/>
      </c>
      <c r="AA2048" s="10">
        <f>REPT(" ",8)</f>
        <v/>
      </c>
      <c r="AB2048" s="10">
        <f>REPT(" ",4)</f>
        <v/>
      </c>
      <c r="AC2048" s="10">
        <f>LEFT(UPPER(H2048)&amp;REPT(" ",250),250)</f>
        <v/>
      </c>
      <c r="AD2048" s="10">
        <f>TEXT($G$2,"dd/mm/aaaa")</f>
        <v/>
      </c>
      <c r="AE2048" s="10">
        <f>REPT(" ",10)</f>
        <v/>
      </c>
      <c r="AF2048" s="10">
        <f>REPT(" ",20)</f>
        <v/>
      </c>
      <c r="AG2048" s="54">
        <f>REPT(" ",18-LEN(FIXED(F2048,2,TRUE)))&amp;FIXED(F2048,2,TRUE)</f>
        <v/>
      </c>
      <c r="AH2048" s="10">
        <f>LEN(AC2048)+LEN(AG2048)</f>
        <v/>
      </c>
      <c r="AI2048" s="10">
        <f>LEN(L2048)</f>
        <v/>
      </c>
    </row>
    <row r="2049">
      <c r="J2049" s="12">
        <f>IF(F2049&lt;&gt;0,"LANÇAR","")</f>
        <v/>
      </c>
      <c r="L2049" s="13">
        <f>N2049&amp;O2049&amp;P2049&amp;Q2049&amp;R2049&amp;S2049&amp;T2049&amp;U2049&amp;V2049&amp;W2049&amp;X2049&amp;Y2049&amp;Z2049&amp;AA2049&amp;AB2049&amp;AC2049&amp;AD2049&amp;AE2049&amp;AF2049&amp;AG2049</f>
        <v/>
      </c>
      <c r="N2049" s="10">
        <f>TEXT($B$6,"00")</f>
        <v/>
      </c>
      <c r="O2049" s="10">
        <f>REPT(" ",8)</f>
        <v/>
      </c>
      <c r="P2049" s="10">
        <f>RIGHT($B$4,2)</f>
        <v/>
      </c>
      <c r="Q2049" s="10">
        <f>RIGHT($B$5,3)</f>
        <v/>
      </c>
      <c r="R2049" s="10">
        <f>IF(A2049="D",LEFT(UPPER(B2049)&amp;REPT(" ",20),20),REPT(" ",20))</f>
        <v/>
      </c>
      <c r="S2049" s="10">
        <f>IF(A2049="D",LEFT(UPPER(C2049)&amp;REPT(" ",10),10)," ")</f>
        <v/>
      </c>
      <c r="T2049" s="10">
        <f>IF(A2049="D",LEFT(UPPER(D2049)&amp;REPT(" ",2),2)," ")</f>
        <v/>
      </c>
      <c r="U2049" s="10">
        <f>IF(A2049="D",LEFT(UPPER(E2049)&amp;REPT(" ",15),15)," ")</f>
        <v/>
      </c>
      <c r="V2049" s="10">
        <f>REPT(" ",24)</f>
        <v/>
      </c>
      <c r="W2049" s="10">
        <f>IF(A2049="c",LEFT(UPPER(B2049)&amp;REPT(" ",20),20),REPT(" ",20))</f>
        <v/>
      </c>
      <c r="X2049" s="10">
        <f>IF(A2049="C",LEFT(UPPER(C2049)&amp;REPT(" ",10),10)," ")</f>
        <v/>
      </c>
      <c r="Y2049" s="10">
        <f>IF(A2049="C",LEFT(UPPER(D2049)&amp;REPT(" ",2),2)," ")</f>
        <v/>
      </c>
      <c r="Z2049" s="10">
        <f>IF(A2049="C",LEFT(UPPER(E2049)&amp;REPT(" ",15),15)," ")</f>
        <v/>
      </c>
      <c r="AA2049" s="10">
        <f>REPT(" ",8)</f>
        <v/>
      </c>
      <c r="AB2049" s="10">
        <f>REPT(" ",4)</f>
        <v/>
      </c>
      <c r="AC2049" s="10">
        <f>LEFT(UPPER(H2049)&amp;REPT(" ",250),250)</f>
        <v/>
      </c>
      <c r="AD2049" s="10">
        <f>TEXT($G$2,"dd/mm/aaaa")</f>
        <v/>
      </c>
      <c r="AE2049" s="10">
        <f>REPT(" ",10)</f>
        <v/>
      </c>
      <c r="AF2049" s="10">
        <f>REPT(" ",20)</f>
        <v/>
      </c>
      <c r="AG2049" s="54">
        <f>REPT(" ",18-LEN(FIXED(F2049,2,TRUE)))&amp;FIXED(F2049,2,TRUE)</f>
        <v/>
      </c>
      <c r="AH2049" s="10">
        <f>LEN(AC2049)+LEN(AG2049)</f>
        <v/>
      </c>
      <c r="AI2049" s="10">
        <f>LEN(L2049)</f>
        <v/>
      </c>
    </row>
    <row r="2050">
      <c r="J2050" s="12">
        <f>IF(F2050&lt;&gt;0,"LANÇAR","")</f>
        <v/>
      </c>
      <c r="L2050" s="13">
        <f>N2050&amp;O2050&amp;P2050&amp;Q2050&amp;R2050&amp;S2050&amp;T2050&amp;U2050&amp;V2050&amp;W2050&amp;X2050&amp;Y2050&amp;Z2050&amp;AA2050&amp;AB2050&amp;AC2050&amp;AD2050&amp;AE2050&amp;AF2050&amp;AG2050</f>
        <v/>
      </c>
      <c r="N2050" s="10">
        <f>TEXT($B$6,"00")</f>
        <v/>
      </c>
      <c r="O2050" s="10">
        <f>REPT(" ",8)</f>
        <v/>
      </c>
      <c r="P2050" s="10">
        <f>RIGHT($B$4,2)</f>
        <v/>
      </c>
      <c r="Q2050" s="10">
        <f>RIGHT($B$5,3)</f>
        <v/>
      </c>
      <c r="R2050" s="10">
        <f>IF(A2050="D",LEFT(UPPER(B2050)&amp;REPT(" ",20),20),REPT(" ",20))</f>
        <v/>
      </c>
      <c r="S2050" s="10">
        <f>IF(A2050="D",LEFT(UPPER(C2050)&amp;REPT(" ",10),10)," ")</f>
        <v/>
      </c>
      <c r="T2050" s="10">
        <f>IF(A2050="D",LEFT(UPPER(D2050)&amp;REPT(" ",2),2)," ")</f>
        <v/>
      </c>
      <c r="U2050" s="10">
        <f>IF(A2050="D",LEFT(UPPER(E2050)&amp;REPT(" ",15),15)," ")</f>
        <v/>
      </c>
      <c r="V2050" s="10">
        <f>REPT(" ",24)</f>
        <v/>
      </c>
      <c r="W2050" s="10">
        <f>IF(A2050="c",LEFT(UPPER(B2050)&amp;REPT(" ",20),20),REPT(" ",20))</f>
        <v/>
      </c>
      <c r="X2050" s="10">
        <f>IF(A2050="C",LEFT(UPPER(C2050)&amp;REPT(" ",10),10)," ")</f>
        <v/>
      </c>
      <c r="Y2050" s="10">
        <f>IF(A2050="C",LEFT(UPPER(D2050)&amp;REPT(" ",2),2)," ")</f>
        <v/>
      </c>
      <c r="Z2050" s="10">
        <f>IF(A2050="C",LEFT(UPPER(E2050)&amp;REPT(" ",15),15)," ")</f>
        <v/>
      </c>
      <c r="AA2050" s="10">
        <f>REPT(" ",8)</f>
        <v/>
      </c>
      <c r="AB2050" s="10">
        <f>REPT(" ",4)</f>
        <v/>
      </c>
      <c r="AC2050" s="10">
        <f>LEFT(UPPER(H2050)&amp;REPT(" ",250),250)</f>
        <v/>
      </c>
      <c r="AD2050" s="10">
        <f>TEXT($G$2,"dd/mm/aaaa")</f>
        <v/>
      </c>
      <c r="AE2050" s="10">
        <f>REPT(" ",10)</f>
        <v/>
      </c>
      <c r="AF2050" s="10">
        <f>REPT(" ",20)</f>
        <v/>
      </c>
      <c r="AG2050" s="54">
        <f>REPT(" ",18-LEN(FIXED(F2050,2,TRUE)))&amp;FIXED(F2050,2,TRUE)</f>
        <v/>
      </c>
      <c r="AH2050" s="10">
        <f>LEN(AC2050)+LEN(AG2050)</f>
        <v/>
      </c>
      <c r="AI2050" s="10">
        <f>LEN(L2050)</f>
        <v/>
      </c>
    </row>
    <row r="2051">
      <c r="J2051" s="12">
        <f>IF(F2051&lt;&gt;0,"LANÇAR","")</f>
        <v/>
      </c>
      <c r="L2051" s="13">
        <f>N2051&amp;O2051&amp;P2051&amp;Q2051&amp;R2051&amp;S2051&amp;T2051&amp;U2051&amp;V2051&amp;W2051&amp;X2051&amp;Y2051&amp;Z2051&amp;AA2051&amp;AB2051&amp;AC2051&amp;AD2051&amp;AE2051&amp;AF2051&amp;AG2051</f>
        <v/>
      </c>
      <c r="N2051" s="10">
        <f>TEXT($B$6,"00")</f>
        <v/>
      </c>
      <c r="O2051" s="10">
        <f>REPT(" ",8)</f>
        <v/>
      </c>
      <c r="P2051" s="10">
        <f>RIGHT($B$4,2)</f>
        <v/>
      </c>
      <c r="Q2051" s="10">
        <f>RIGHT($B$5,3)</f>
        <v/>
      </c>
      <c r="R2051" s="10">
        <f>IF(A2051="D",LEFT(UPPER(B2051)&amp;REPT(" ",20),20),REPT(" ",20))</f>
        <v/>
      </c>
      <c r="S2051" s="10">
        <f>IF(A2051="D",LEFT(UPPER(C2051)&amp;REPT(" ",10),10)," ")</f>
        <v/>
      </c>
      <c r="T2051" s="10">
        <f>IF(A2051="D",LEFT(UPPER(D2051)&amp;REPT(" ",2),2)," ")</f>
        <v/>
      </c>
      <c r="U2051" s="10">
        <f>IF(A2051="D",LEFT(UPPER(E2051)&amp;REPT(" ",15),15)," ")</f>
        <v/>
      </c>
      <c r="V2051" s="10">
        <f>REPT(" ",24)</f>
        <v/>
      </c>
      <c r="W2051" s="10">
        <f>IF(A2051="c",LEFT(UPPER(B2051)&amp;REPT(" ",20),20),REPT(" ",20))</f>
        <v/>
      </c>
      <c r="X2051" s="10">
        <f>IF(A2051="C",LEFT(UPPER(C2051)&amp;REPT(" ",10),10)," ")</f>
        <v/>
      </c>
      <c r="Y2051" s="10">
        <f>IF(A2051="C",LEFT(UPPER(D2051)&amp;REPT(" ",2),2)," ")</f>
        <v/>
      </c>
      <c r="Z2051" s="10">
        <f>IF(A2051="C",LEFT(UPPER(E2051)&amp;REPT(" ",15),15)," ")</f>
        <v/>
      </c>
      <c r="AA2051" s="10">
        <f>REPT(" ",8)</f>
        <v/>
      </c>
      <c r="AB2051" s="10">
        <f>REPT(" ",4)</f>
        <v/>
      </c>
      <c r="AC2051" s="10">
        <f>LEFT(UPPER(H2051)&amp;REPT(" ",250),250)</f>
        <v/>
      </c>
      <c r="AD2051" s="10">
        <f>TEXT($G$2,"dd/mm/aaaa")</f>
        <v/>
      </c>
      <c r="AE2051" s="10">
        <f>REPT(" ",10)</f>
        <v/>
      </c>
      <c r="AF2051" s="10">
        <f>REPT(" ",20)</f>
        <v/>
      </c>
      <c r="AG2051" s="54">
        <f>REPT(" ",18-LEN(FIXED(F2051,2,TRUE)))&amp;FIXED(F2051,2,TRUE)</f>
        <v/>
      </c>
      <c r="AH2051" s="10">
        <f>LEN(AC2051)+LEN(AG2051)</f>
        <v/>
      </c>
      <c r="AI2051" s="10">
        <f>LEN(L2051)</f>
        <v/>
      </c>
    </row>
    <row r="2052">
      <c r="J2052" s="12">
        <f>IF(F2052&lt;&gt;0,"LANÇAR","")</f>
        <v/>
      </c>
      <c r="L2052" s="13">
        <f>N2052&amp;O2052&amp;P2052&amp;Q2052&amp;R2052&amp;S2052&amp;T2052&amp;U2052&amp;V2052&amp;W2052&amp;X2052&amp;Y2052&amp;Z2052&amp;AA2052&amp;AB2052&amp;AC2052&amp;AD2052&amp;AE2052&amp;AF2052&amp;AG2052</f>
        <v/>
      </c>
      <c r="N2052" s="10">
        <f>TEXT($B$6,"00")</f>
        <v/>
      </c>
      <c r="O2052" s="10">
        <f>REPT(" ",8)</f>
        <v/>
      </c>
      <c r="P2052" s="10">
        <f>RIGHT($B$4,2)</f>
        <v/>
      </c>
      <c r="Q2052" s="10">
        <f>RIGHT($B$5,3)</f>
        <v/>
      </c>
      <c r="R2052" s="10">
        <f>IF(A2052="D",LEFT(UPPER(B2052)&amp;REPT(" ",20),20),REPT(" ",20))</f>
        <v/>
      </c>
      <c r="S2052" s="10">
        <f>IF(A2052="D",LEFT(UPPER(C2052)&amp;REPT(" ",10),10)," ")</f>
        <v/>
      </c>
      <c r="T2052" s="10">
        <f>IF(A2052="D",LEFT(UPPER(D2052)&amp;REPT(" ",2),2)," ")</f>
        <v/>
      </c>
      <c r="U2052" s="10">
        <f>IF(A2052="D",LEFT(UPPER(E2052)&amp;REPT(" ",15),15)," ")</f>
        <v/>
      </c>
      <c r="V2052" s="10">
        <f>REPT(" ",24)</f>
        <v/>
      </c>
      <c r="W2052" s="10">
        <f>IF(A2052="c",LEFT(UPPER(B2052)&amp;REPT(" ",20),20),REPT(" ",20))</f>
        <v/>
      </c>
      <c r="X2052" s="10">
        <f>IF(A2052="C",LEFT(UPPER(C2052)&amp;REPT(" ",10),10)," ")</f>
        <v/>
      </c>
      <c r="Y2052" s="10">
        <f>IF(A2052="C",LEFT(UPPER(D2052)&amp;REPT(" ",2),2)," ")</f>
        <v/>
      </c>
      <c r="Z2052" s="10">
        <f>IF(A2052="C",LEFT(UPPER(E2052)&amp;REPT(" ",15),15)," ")</f>
        <v/>
      </c>
      <c r="AA2052" s="10">
        <f>REPT(" ",8)</f>
        <v/>
      </c>
      <c r="AB2052" s="10">
        <f>REPT(" ",4)</f>
        <v/>
      </c>
      <c r="AC2052" s="10">
        <f>LEFT(UPPER(H2052)&amp;REPT(" ",250),250)</f>
        <v/>
      </c>
      <c r="AD2052" s="10">
        <f>TEXT($G$2,"dd/mm/aaaa")</f>
        <v/>
      </c>
      <c r="AE2052" s="10">
        <f>REPT(" ",10)</f>
        <v/>
      </c>
      <c r="AF2052" s="10">
        <f>REPT(" ",20)</f>
        <v/>
      </c>
      <c r="AG2052" s="54">
        <f>REPT(" ",18-LEN(FIXED(F2052,2,TRUE)))&amp;FIXED(F2052,2,TRUE)</f>
        <v/>
      </c>
      <c r="AH2052" s="10">
        <f>LEN(AC2052)+LEN(AG2052)</f>
        <v/>
      </c>
      <c r="AI2052" s="10">
        <f>LEN(L2052)</f>
        <v/>
      </c>
    </row>
    <row r="2053">
      <c r="J2053" s="12">
        <f>IF(F2053&lt;&gt;0,"LANÇAR","")</f>
        <v/>
      </c>
      <c r="L2053" s="13">
        <f>N2053&amp;O2053&amp;P2053&amp;Q2053&amp;R2053&amp;S2053&amp;T2053&amp;U2053&amp;V2053&amp;W2053&amp;X2053&amp;Y2053&amp;Z2053&amp;AA2053&amp;AB2053&amp;AC2053&amp;AD2053&amp;AE2053&amp;AF2053&amp;AG2053</f>
        <v/>
      </c>
      <c r="N2053" s="10">
        <f>TEXT($B$6,"00")</f>
        <v/>
      </c>
      <c r="O2053" s="10">
        <f>REPT(" ",8)</f>
        <v/>
      </c>
      <c r="P2053" s="10">
        <f>RIGHT($B$4,2)</f>
        <v/>
      </c>
      <c r="Q2053" s="10">
        <f>RIGHT($B$5,3)</f>
        <v/>
      </c>
      <c r="R2053" s="10">
        <f>IF(A2053="D",LEFT(UPPER(B2053)&amp;REPT(" ",20),20),REPT(" ",20))</f>
        <v/>
      </c>
      <c r="S2053" s="10">
        <f>IF(A2053="D",LEFT(UPPER(C2053)&amp;REPT(" ",10),10)," ")</f>
        <v/>
      </c>
      <c r="T2053" s="10">
        <f>IF(A2053="D",LEFT(UPPER(D2053)&amp;REPT(" ",2),2)," ")</f>
        <v/>
      </c>
      <c r="U2053" s="10">
        <f>IF(A2053="D",LEFT(UPPER(E2053)&amp;REPT(" ",15),15)," ")</f>
        <v/>
      </c>
      <c r="V2053" s="10">
        <f>REPT(" ",24)</f>
        <v/>
      </c>
      <c r="W2053" s="10">
        <f>IF(A2053="c",LEFT(UPPER(B2053)&amp;REPT(" ",20),20),REPT(" ",20))</f>
        <v/>
      </c>
      <c r="X2053" s="10">
        <f>IF(A2053="C",LEFT(UPPER(C2053)&amp;REPT(" ",10),10)," ")</f>
        <v/>
      </c>
      <c r="Y2053" s="10">
        <f>IF(A2053="C",LEFT(UPPER(D2053)&amp;REPT(" ",2),2)," ")</f>
        <v/>
      </c>
      <c r="Z2053" s="10">
        <f>IF(A2053="C",LEFT(UPPER(E2053)&amp;REPT(" ",15),15)," ")</f>
        <v/>
      </c>
      <c r="AA2053" s="10">
        <f>REPT(" ",8)</f>
        <v/>
      </c>
      <c r="AB2053" s="10">
        <f>REPT(" ",4)</f>
        <v/>
      </c>
      <c r="AC2053" s="10">
        <f>LEFT(UPPER(H2053)&amp;REPT(" ",250),250)</f>
        <v/>
      </c>
      <c r="AD2053" s="10">
        <f>TEXT($G$2,"dd/mm/aaaa")</f>
        <v/>
      </c>
      <c r="AE2053" s="10">
        <f>REPT(" ",10)</f>
        <v/>
      </c>
      <c r="AF2053" s="10">
        <f>REPT(" ",20)</f>
        <v/>
      </c>
      <c r="AG2053" s="54">
        <f>REPT(" ",18-LEN(FIXED(F2053,2,TRUE)))&amp;FIXED(F2053,2,TRUE)</f>
        <v/>
      </c>
      <c r="AH2053" s="10">
        <f>LEN(AC2053)+LEN(AG2053)</f>
        <v/>
      </c>
      <c r="AI2053" s="10">
        <f>LEN(L2053)</f>
        <v/>
      </c>
    </row>
    <row r="2054">
      <c r="J2054" s="12">
        <f>IF(F2054&lt;&gt;0,"LANÇAR","")</f>
        <v/>
      </c>
      <c r="L2054" s="13">
        <f>N2054&amp;O2054&amp;P2054&amp;Q2054&amp;R2054&amp;S2054&amp;T2054&amp;U2054&amp;V2054&amp;W2054&amp;X2054&amp;Y2054&amp;Z2054&amp;AA2054&amp;AB2054&amp;AC2054&amp;AD2054&amp;AE2054&amp;AF2054&amp;AG2054</f>
        <v/>
      </c>
      <c r="N2054" s="10">
        <f>TEXT($B$6,"00")</f>
        <v/>
      </c>
      <c r="O2054" s="10">
        <f>REPT(" ",8)</f>
        <v/>
      </c>
      <c r="P2054" s="10">
        <f>RIGHT($B$4,2)</f>
        <v/>
      </c>
      <c r="Q2054" s="10">
        <f>RIGHT($B$5,3)</f>
        <v/>
      </c>
      <c r="R2054" s="10">
        <f>IF(A2054="D",LEFT(UPPER(B2054)&amp;REPT(" ",20),20),REPT(" ",20))</f>
        <v/>
      </c>
      <c r="S2054" s="10">
        <f>IF(A2054="D",LEFT(UPPER(C2054)&amp;REPT(" ",10),10)," ")</f>
        <v/>
      </c>
      <c r="T2054" s="10">
        <f>IF(A2054="D",LEFT(UPPER(D2054)&amp;REPT(" ",2),2)," ")</f>
        <v/>
      </c>
      <c r="U2054" s="10">
        <f>IF(A2054="D",LEFT(UPPER(E2054)&amp;REPT(" ",15),15)," ")</f>
        <v/>
      </c>
      <c r="V2054" s="10">
        <f>REPT(" ",24)</f>
        <v/>
      </c>
      <c r="W2054" s="10">
        <f>IF(A2054="c",LEFT(UPPER(B2054)&amp;REPT(" ",20),20),REPT(" ",20))</f>
        <v/>
      </c>
      <c r="X2054" s="10">
        <f>IF(A2054="C",LEFT(UPPER(C2054)&amp;REPT(" ",10),10)," ")</f>
        <v/>
      </c>
      <c r="Y2054" s="10">
        <f>IF(A2054="C",LEFT(UPPER(D2054)&amp;REPT(" ",2),2)," ")</f>
        <v/>
      </c>
      <c r="Z2054" s="10">
        <f>IF(A2054="C",LEFT(UPPER(E2054)&amp;REPT(" ",15),15)," ")</f>
        <v/>
      </c>
      <c r="AA2054" s="10">
        <f>REPT(" ",8)</f>
        <v/>
      </c>
      <c r="AB2054" s="10">
        <f>REPT(" ",4)</f>
        <v/>
      </c>
      <c r="AC2054" s="10">
        <f>LEFT(UPPER(H2054)&amp;REPT(" ",250),250)</f>
        <v/>
      </c>
      <c r="AD2054" s="10">
        <f>TEXT($G$2,"dd/mm/aaaa")</f>
        <v/>
      </c>
      <c r="AE2054" s="10">
        <f>REPT(" ",10)</f>
        <v/>
      </c>
      <c r="AF2054" s="10">
        <f>REPT(" ",20)</f>
        <v/>
      </c>
      <c r="AG2054" s="54">
        <f>REPT(" ",18-LEN(FIXED(F2054,2,TRUE)))&amp;FIXED(F2054,2,TRUE)</f>
        <v/>
      </c>
      <c r="AH2054" s="10">
        <f>LEN(AC2054)+LEN(AG2054)</f>
        <v/>
      </c>
      <c r="AI2054" s="10">
        <f>LEN(L2054)</f>
        <v/>
      </c>
    </row>
    <row r="2055">
      <c r="J2055" s="12">
        <f>IF(F2055&lt;&gt;0,"LANÇAR","")</f>
        <v/>
      </c>
      <c r="L2055" s="13">
        <f>N2055&amp;O2055&amp;P2055&amp;Q2055&amp;R2055&amp;S2055&amp;T2055&amp;U2055&amp;V2055&amp;W2055&amp;X2055&amp;Y2055&amp;Z2055&amp;AA2055&amp;AB2055&amp;AC2055&amp;AD2055&amp;AE2055&amp;AF2055&amp;AG2055</f>
        <v/>
      </c>
      <c r="N2055" s="10">
        <f>TEXT($B$6,"00")</f>
        <v/>
      </c>
      <c r="O2055" s="10">
        <f>REPT(" ",8)</f>
        <v/>
      </c>
      <c r="P2055" s="10">
        <f>RIGHT($B$4,2)</f>
        <v/>
      </c>
      <c r="Q2055" s="10">
        <f>RIGHT($B$5,3)</f>
        <v/>
      </c>
      <c r="R2055" s="10">
        <f>IF(A2055="D",LEFT(UPPER(B2055)&amp;REPT(" ",20),20),REPT(" ",20))</f>
        <v/>
      </c>
      <c r="S2055" s="10">
        <f>IF(A2055="D",LEFT(UPPER(C2055)&amp;REPT(" ",10),10)," ")</f>
        <v/>
      </c>
      <c r="T2055" s="10">
        <f>IF(A2055="D",LEFT(UPPER(D2055)&amp;REPT(" ",2),2)," ")</f>
        <v/>
      </c>
      <c r="U2055" s="10">
        <f>IF(A2055="D",LEFT(UPPER(E2055)&amp;REPT(" ",15),15)," ")</f>
        <v/>
      </c>
      <c r="V2055" s="10">
        <f>REPT(" ",24)</f>
        <v/>
      </c>
      <c r="W2055" s="10">
        <f>IF(A2055="c",LEFT(UPPER(B2055)&amp;REPT(" ",20),20),REPT(" ",20))</f>
        <v/>
      </c>
      <c r="X2055" s="10">
        <f>IF(A2055="C",LEFT(UPPER(C2055)&amp;REPT(" ",10),10)," ")</f>
        <v/>
      </c>
      <c r="Y2055" s="10">
        <f>IF(A2055="C",LEFT(UPPER(D2055)&amp;REPT(" ",2),2)," ")</f>
        <v/>
      </c>
      <c r="Z2055" s="10">
        <f>IF(A2055="C",LEFT(UPPER(E2055)&amp;REPT(" ",15),15)," ")</f>
        <v/>
      </c>
      <c r="AA2055" s="10">
        <f>REPT(" ",8)</f>
        <v/>
      </c>
      <c r="AB2055" s="10">
        <f>REPT(" ",4)</f>
        <v/>
      </c>
      <c r="AC2055" s="10">
        <f>LEFT(UPPER(H2055)&amp;REPT(" ",250),250)</f>
        <v/>
      </c>
      <c r="AD2055" s="10">
        <f>TEXT($G$2,"dd/mm/aaaa")</f>
        <v/>
      </c>
      <c r="AE2055" s="10">
        <f>REPT(" ",10)</f>
        <v/>
      </c>
      <c r="AF2055" s="10">
        <f>REPT(" ",20)</f>
        <v/>
      </c>
      <c r="AG2055" s="54">
        <f>REPT(" ",18-LEN(FIXED(F2055,2,TRUE)))&amp;FIXED(F2055,2,TRUE)</f>
        <v/>
      </c>
      <c r="AH2055" s="10">
        <f>LEN(AC2055)+LEN(AG2055)</f>
        <v/>
      </c>
      <c r="AI2055" s="10">
        <f>LEN(L2055)</f>
        <v/>
      </c>
    </row>
    <row r="2056">
      <c r="J2056" s="12">
        <f>IF(F2056&lt;&gt;0,"LANÇAR","")</f>
        <v/>
      </c>
      <c r="L2056" s="13">
        <f>N2056&amp;O2056&amp;P2056&amp;Q2056&amp;R2056&amp;S2056&amp;T2056&amp;U2056&amp;V2056&amp;W2056&amp;X2056&amp;Y2056&amp;Z2056&amp;AA2056&amp;AB2056&amp;AC2056&amp;AD2056&amp;AE2056&amp;AF2056&amp;AG2056</f>
        <v/>
      </c>
      <c r="N2056" s="10">
        <f>TEXT($B$6,"00")</f>
        <v/>
      </c>
      <c r="O2056" s="10">
        <f>REPT(" ",8)</f>
        <v/>
      </c>
      <c r="P2056" s="10">
        <f>RIGHT($B$4,2)</f>
        <v/>
      </c>
      <c r="Q2056" s="10">
        <f>RIGHT($B$5,3)</f>
        <v/>
      </c>
      <c r="R2056" s="10">
        <f>IF(A2056="D",LEFT(UPPER(B2056)&amp;REPT(" ",20),20),REPT(" ",20))</f>
        <v/>
      </c>
      <c r="S2056" s="10">
        <f>IF(A2056="D",LEFT(UPPER(C2056)&amp;REPT(" ",10),10)," ")</f>
        <v/>
      </c>
      <c r="T2056" s="10">
        <f>IF(A2056="D",LEFT(UPPER(D2056)&amp;REPT(" ",2),2)," ")</f>
        <v/>
      </c>
      <c r="U2056" s="10">
        <f>IF(A2056="D",LEFT(UPPER(E2056)&amp;REPT(" ",15),15)," ")</f>
        <v/>
      </c>
      <c r="V2056" s="10">
        <f>REPT(" ",24)</f>
        <v/>
      </c>
      <c r="W2056" s="10">
        <f>IF(A2056="c",LEFT(UPPER(B2056)&amp;REPT(" ",20),20),REPT(" ",20))</f>
        <v/>
      </c>
      <c r="X2056" s="10">
        <f>IF(A2056="C",LEFT(UPPER(C2056)&amp;REPT(" ",10),10)," ")</f>
        <v/>
      </c>
      <c r="Y2056" s="10">
        <f>IF(A2056="C",LEFT(UPPER(D2056)&amp;REPT(" ",2),2)," ")</f>
        <v/>
      </c>
      <c r="Z2056" s="10">
        <f>IF(A2056="C",LEFT(UPPER(E2056)&amp;REPT(" ",15),15)," ")</f>
        <v/>
      </c>
      <c r="AA2056" s="10">
        <f>REPT(" ",8)</f>
        <v/>
      </c>
      <c r="AB2056" s="10">
        <f>REPT(" ",4)</f>
        <v/>
      </c>
      <c r="AC2056" s="10">
        <f>LEFT(UPPER(H2056)&amp;REPT(" ",250),250)</f>
        <v/>
      </c>
      <c r="AD2056" s="10">
        <f>TEXT($G$2,"dd/mm/aaaa")</f>
        <v/>
      </c>
      <c r="AE2056" s="10">
        <f>REPT(" ",10)</f>
        <v/>
      </c>
      <c r="AF2056" s="10">
        <f>REPT(" ",20)</f>
        <v/>
      </c>
      <c r="AG2056" s="54">
        <f>REPT(" ",18-LEN(FIXED(F2056,2,TRUE)))&amp;FIXED(F2056,2,TRUE)</f>
        <v/>
      </c>
      <c r="AH2056" s="10">
        <f>LEN(AC2056)+LEN(AG2056)</f>
        <v/>
      </c>
      <c r="AI2056" s="10">
        <f>LEN(L2056)</f>
        <v/>
      </c>
    </row>
    <row r="2057">
      <c r="J2057" s="12">
        <f>IF(F2057&lt;&gt;0,"LANÇAR","")</f>
        <v/>
      </c>
      <c r="L2057" s="13">
        <f>N2057&amp;O2057&amp;P2057&amp;Q2057&amp;R2057&amp;S2057&amp;T2057&amp;U2057&amp;V2057&amp;W2057&amp;X2057&amp;Y2057&amp;Z2057&amp;AA2057&amp;AB2057&amp;AC2057&amp;AD2057&amp;AE2057&amp;AF2057&amp;AG2057</f>
        <v/>
      </c>
      <c r="N2057" s="10">
        <f>TEXT($B$6,"00")</f>
        <v/>
      </c>
      <c r="O2057" s="10">
        <f>REPT(" ",8)</f>
        <v/>
      </c>
      <c r="P2057" s="10">
        <f>RIGHT($B$4,2)</f>
        <v/>
      </c>
      <c r="Q2057" s="10">
        <f>RIGHT($B$5,3)</f>
        <v/>
      </c>
      <c r="R2057" s="10">
        <f>IF(A2057="D",LEFT(UPPER(B2057)&amp;REPT(" ",20),20),REPT(" ",20))</f>
        <v/>
      </c>
      <c r="S2057" s="10">
        <f>IF(A2057="D",LEFT(UPPER(C2057)&amp;REPT(" ",10),10)," ")</f>
        <v/>
      </c>
      <c r="T2057" s="10">
        <f>IF(A2057="D",LEFT(UPPER(D2057)&amp;REPT(" ",2),2)," ")</f>
        <v/>
      </c>
      <c r="U2057" s="10">
        <f>IF(A2057="D",LEFT(UPPER(E2057)&amp;REPT(" ",15),15)," ")</f>
        <v/>
      </c>
      <c r="V2057" s="10">
        <f>REPT(" ",24)</f>
        <v/>
      </c>
      <c r="W2057" s="10">
        <f>IF(A2057="c",LEFT(UPPER(B2057)&amp;REPT(" ",20),20),REPT(" ",20))</f>
        <v/>
      </c>
      <c r="X2057" s="10">
        <f>IF(A2057="C",LEFT(UPPER(C2057)&amp;REPT(" ",10),10)," ")</f>
        <v/>
      </c>
      <c r="Y2057" s="10">
        <f>IF(A2057="C",LEFT(UPPER(D2057)&amp;REPT(" ",2),2)," ")</f>
        <v/>
      </c>
      <c r="Z2057" s="10">
        <f>IF(A2057="C",LEFT(UPPER(E2057)&amp;REPT(" ",15),15)," ")</f>
        <v/>
      </c>
      <c r="AA2057" s="10">
        <f>REPT(" ",8)</f>
        <v/>
      </c>
      <c r="AB2057" s="10">
        <f>REPT(" ",4)</f>
        <v/>
      </c>
      <c r="AC2057" s="10">
        <f>LEFT(UPPER(H2057)&amp;REPT(" ",250),250)</f>
        <v/>
      </c>
      <c r="AD2057" s="10">
        <f>TEXT($G$2,"dd/mm/aaaa")</f>
        <v/>
      </c>
      <c r="AE2057" s="10">
        <f>REPT(" ",10)</f>
        <v/>
      </c>
      <c r="AF2057" s="10">
        <f>REPT(" ",20)</f>
        <v/>
      </c>
      <c r="AG2057" s="54">
        <f>REPT(" ",18-LEN(FIXED(F2057,2,TRUE)))&amp;FIXED(F2057,2,TRUE)</f>
        <v/>
      </c>
      <c r="AH2057" s="10">
        <f>LEN(AC2057)+LEN(AG2057)</f>
        <v/>
      </c>
      <c r="AI2057" s="10">
        <f>LEN(L2057)</f>
        <v/>
      </c>
    </row>
    <row r="2058">
      <c r="J2058" s="12">
        <f>IF(F2058&lt;&gt;0,"LANÇAR","")</f>
        <v/>
      </c>
      <c r="L2058" s="13">
        <f>N2058&amp;O2058&amp;P2058&amp;Q2058&amp;R2058&amp;S2058&amp;T2058&amp;U2058&amp;V2058&amp;W2058&amp;X2058&amp;Y2058&amp;Z2058&amp;AA2058&amp;AB2058&amp;AC2058&amp;AD2058&amp;AE2058&amp;AF2058&amp;AG2058</f>
        <v/>
      </c>
      <c r="N2058" s="10">
        <f>TEXT($B$6,"00")</f>
        <v/>
      </c>
      <c r="O2058" s="10">
        <f>REPT(" ",8)</f>
        <v/>
      </c>
      <c r="P2058" s="10">
        <f>RIGHT($B$4,2)</f>
        <v/>
      </c>
      <c r="Q2058" s="10">
        <f>RIGHT($B$5,3)</f>
        <v/>
      </c>
      <c r="R2058" s="10">
        <f>IF(A2058="D",LEFT(UPPER(B2058)&amp;REPT(" ",20),20),REPT(" ",20))</f>
        <v/>
      </c>
      <c r="S2058" s="10">
        <f>IF(A2058="D",LEFT(UPPER(C2058)&amp;REPT(" ",10),10)," ")</f>
        <v/>
      </c>
      <c r="T2058" s="10">
        <f>IF(A2058="D",LEFT(UPPER(D2058)&amp;REPT(" ",2),2)," ")</f>
        <v/>
      </c>
      <c r="U2058" s="10">
        <f>IF(A2058="D",LEFT(UPPER(E2058)&amp;REPT(" ",15),15)," ")</f>
        <v/>
      </c>
      <c r="V2058" s="10">
        <f>REPT(" ",24)</f>
        <v/>
      </c>
      <c r="W2058" s="10">
        <f>IF(A2058="c",LEFT(UPPER(B2058)&amp;REPT(" ",20),20),REPT(" ",20))</f>
        <v/>
      </c>
      <c r="X2058" s="10">
        <f>IF(A2058="C",LEFT(UPPER(C2058)&amp;REPT(" ",10),10)," ")</f>
        <v/>
      </c>
      <c r="Y2058" s="10">
        <f>IF(A2058="C",LEFT(UPPER(D2058)&amp;REPT(" ",2),2)," ")</f>
        <v/>
      </c>
      <c r="Z2058" s="10">
        <f>IF(A2058="C",LEFT(UPPER(E2058)&amp;REPT(" ",15),15)," ")</f>
        <v/>
      </c>
      <c r="AA2058" s="10">
        <f>REPT(" ",8)</f>
        <v/>
      </c>
      <c r="AB2058" s="10">
        <f>REPT(" ",4)</f>
        <v/>
      </c>
      <c r="AC2058" s="10">
        <f>LEFT(UPPER(H2058)&amp;REPT(" ",250),250)</f>
        <v/>
      </c>
      <c r="AD2058" s="10">
        <f>TEXT($G$2,"dd/mm/aaaa")</f>
        <v/>
      </c>
      <c r="AE2058" s="10">
        <f>REPT(" ",10)</f>
        <v/>
      </c>
      <c r="AF2058" s="10">
        <f>REPT(" ",20)</f>
        <v/>
      </c>
      <c r="AG2058" s="54">
        <f>REPT(" ",18-LEN(FIXED(F2058,2,TRUE)))&amp;FIXED(F2058,2,TRUE)</f>
        <v/>
      </c>
      <c r="AH2058" s="10">
        <f>LEN(AC2058)+LEN(AG2058)</f>
        <v/>
      </c>
      <c r="AI2058" s="10">
        <f>LEN(L2058)</f>
        <v/>
      </c>
    </row>
    <row r="2059">
      <c r="J2059" s="12">
        <f>IF(F2059&lt;&gt;0,"LANÇAR","")</f>
        <v/>
      </c>
      <c r="L2059" s="13">
        <f>N2059&amp;O2059&amp;P2059&amp;Q2059&amp;R2059&amp;S2059&amp;T2059&amp;U2059&amp;V2059&amp;W2059&amp;X2059&amp;Y2059&amp;Z2059&amp;AA2059&amp;AB2059&amp;AC2059&amp;AD2059&amp;AE2059&amp;AF2059&amp;AG2059</f>
        <v/>
      </c>
      <c r="N2059" s="10">
        <f>TEXT($B$6,"00")</f>
        <v/>
      </c>
      <c r="O2059" s="10">
        <f>REPT(" ",8)</f>
        <v/>
      </c>
      <c r="P2059" s="10">
        <f>RIGHT($B$4,2)</f>
        <v/>
      </c>
      <c r="Q2059" s="10">
        <f>RIGHT($B$5,3)</f>
        <v/>
      </c>
      <c r="R2059" s="10">
        <f>IF(A2059="D",LEFT(UPPER(B2059)&amp;REPT(" ",20),20),REPT(" ",20))</f>
        <v/>
      </c>
      <c r="S2059" s="10">
        <f>IF(A2059="D",LEFT(UPPER(C2059)&amp;REPT(" ",10),10)," ")</f>
        <v/>
      </c>
      <c r="T2059" s="10">
        <f>IF(A2059="D",LEFT(UPPER(D2059)&amp;REPT(" ",2),2)," ")</f>
        <v/>
      </c>
      <c r="U2059" s="10">
        <f>IF(A2059="D",LEFT(UPPER(E2059)&amp;REPT(" ",15),15)," ")</f>
        <v/>
      </c>
      <c r="V2059" s="10">
        <f>REPT(" ",24)</f>
        <v/>
      </c>
      <c r="W2059" s="10">
        <f>IF(A2059="c",LEFT(UPPER(B2059)&amp;REPT(" ",20),20),REPT(" ",20))</f>
        <v/>
      </c>
      <c r="X2059" s="10">
        <f>IF(A2059="C",LEFT(UPPER(C2059)&amp;REPT(" ",10),10)," ")</f>
        <v/>
      </c>
      <c r="Y2059" s="10">
        <f>IF(A2059="C",LEFT(UPPER(D2059)&amp;REPT(" ",2),2)," ")</f>
        <v/>
      </c>
      <c r="Z2059" s="10">
        <f>IF(A2059="C",LEFT(UPPER(E2059)&amp;REPT(" ",15),15)," ")</f>
        <v/>
      </c>
      <c r="AA2059" s="10">
        <f>REPT(" ",8)</f>
        <v/>
      </c>
      <c r="AB2059" s="10">
        <f>REPT(" ",4)</f>
        <v/>
      </c>
      <c r="AC2059" s="10">
        <f>LEFT(UPPER(H2059)&amp;REPT(" ",250),250)</f>
        <v/>
      </c>
      <c r="AD2059" s="10">
        <f>TEXT($G$2,"dd/mm/aaaa")</f>
        <v/>
      </c>
      <c r="AE2059" s="10">
        <f>REPT(" ",10)</f>
        <v/>
      </c>
      <c r="AF2059" s="10">
        <f>REPT(" ",20)</f>
        <v/>
      </c>
      <c r="AG2059" s="54">
        <f>REPT(" ",18-LEN(FIXED(F2059,2,TRUE)))&amp;FIXED(F2059,2,TRUE)</f>
        <v/>
      </c>
      <c r="AH2059" s="10">
        <f>LEN(AC2059)+LEN(AG2059)</f>
        <v/>
      </c>
      <c r="AI2059" s="10">
        <f>LEN(L2059)</f>
        <v/>
      </c>
    </row>
    <row r="2060">
      <c r="J2060" s="12">
        <f>IF(F2060&lt;&gt;0,"LANÇAR","")</f>
        <v/>
      </c>
      <c r="L2060" s="13">
        <f>N2060&amp;O2060&amp;P2060&amp;Q2060&amp;R2060&amp;S2060&amp;T2060&amp;U2060&amp;V2060&amp;W2060&amp;X2060&amp;Y2060&amp;Z2060&amp;AA2060&amp;AB2060&amp;AC2060&amp;AD2060&amp;AE2060&amp;AF2060&amp;AG2060</f>
        <v/>
      </c>
      <c r="N2060" s="10">
        <f>TEXT($B$6,"00")</f>
        <v/>
      </c>
      <c r="O2060" s="10">
        <f>REPT(" ",8)</f>
        <v/>
      </c>
      <c r="P2060" s="10">
        <f>RIGHT($B$4,2)</f>
        <v/>
      </c>
      <c r="Q2060" s="10">
        <f>RIGHT($B$5,3)</f>
        <v/>
      </c>
      <c r="R2060" s="10">
        <f>IF(A2060="D",LEFT(UPPER(B2060)&amp;REPT(" ",20),20),REPT(" ",20))</f>
        <v/>
      </c>
      <c r="S2060" s="10">
        <f>IF(A2060="D",LEFT(UPPER(C2060)&amp;REPT(" ",10),10)," ")</f>
        <v/>
      </c>
      <c r="T2060" s="10">
        <f>IF(A2060="D",LEFT(UPPER(D2060)&amp;REPT(" ",2),2)," ")</f>
        <v/>
      </c>
      <c r="U2060" s="10">
        <f>IF(A2060="D",LEFT(UPPER(E2060)&amp;REPT(" ",15),15)," ")</f>
        <v/>
      </c>
      <c r="V2060" s="10">
        <f>REPT(" ",24)</f>
        <v/>
      </c>
      <c r="W2060" s="10">
        <f>IF(A2060="c",LEFT(UPPER(B2060)&amp;REPT(" ",20),20),REPT(" ",20))</f>
        <v/>
      </c>
      <c r="X2060" s="10">
        <f>IF(A2060="C",LEFT(UPPER(C2060)&amp;REPT(" ",10),10)," ")</f>
        <v/>
      </c>
      <c r="Y2060" s="10">
        <f>IF(A2060="C",LEFT(UPPER(D2060)&amp;REPT(" ",2),2)," ")</f>
        <v/>
      </c>
      <c r="Z2060" s="10">
        <f>IF(A2060="C",LEFT(UPPER(E2060)&amp;REPT(" ",15),15)," ")</f>
        <v/>
      </c>
      <c r="AA2060" s="10">
        <f>REPT(" ",8)</f>
        <v/>
      </c>
      <c r="AB2060" s="10">
        <f>REPT(" ",4)</f>
        <v/>
      </c>
      <c r="AC2060" s="10">
        <f>LEFT(UPPER(H2060)&amp;REPT(" ",250),250)</f>
        <v/>
      </c>
      <c r="AD2060" s="10">
        <f>TEXT($G$2,"dd/mm/aaaa")</f>
        <v/>
      </c>
      <c r="AE2060" s="10">
        <f>REPT(" ",10)</f>
        <v/>
      </c>
      <c r="AF2060" s="10">
        <f>REPT(" ",20)</f>
        <v/>
      </c>
      <c r="AG2060" s="54">
        <f>REPT(" ",18-LEN(FIXED(F2060,2,TRUE)))&amp;FIXED(F2060,2,TRUE)</f>
        <v/>
      </c>
      <c r="AH2060" s="10">
        <f>LEN(AC2060)+LEN(AG2060)</f>
        <v/>
      </c>
      <c r="AI2060" s="10">
        <f>LEN(L2060)</f>
        <v/>
      </c>
    </row>
    <row r="2061">
      <c r="J2061" s="12">
        <f>IF(F2061&lt;&gt;0,"LANÇAR","")</f>
        <v/>
      </c>
      <c r="L2061" s="13">
        <f>N2061&amp;O2061&amp;P2061&amp;Q2061&amp;R2061&amp;S2061&amp;T2061&amp;U2061&amp;V2061&amp;W2061&amp;X2061&amp;Y2061&amp;Z2061&amp;AA2061&amp;AB2061&amp;AC2061&amp;AD2061&amp;AE2061&amp;AF2061&amp;AG2061</f>
        <v/>
      </c>
      <c r="N2061" s="10">
        <f>TEXT($B$6,"00")</f>
        <v/>
      </c>
      <c r="O2061" s="10">
        <f>REPT(" ",8)</f>
        <v/>
      </c>
      <c r="P2061" s="10">
        <f>RIGHT($B$4,2)</f>
        <v/>
      </c>
      <c r="Q2061" s="10">
        <f>RIGHT($B$5,3)</f>
        <v/>
      </c>
      <c r="R2061" s="10">
        <f>IF(A2061="D",LEFT(UPPER(B2061)&amp;REPT(" ",20),20),REPT(" ",20))</f>
        <v/>
      </c>
      <c r="S2061" s="10">
        <f>IF(A2061="D",LEFT(UPPER(C2061)&amp;REPT(" ",10),10)," ")</f>
        <v/>
      </c>
      <c r="T2061" s="10">
        <f>IF(A2061="D",LEFT(UPPER(D2061)&amp;REPT(" ",2),2)," ")</f>
        <v/>
      </c>
      <c r="U2061" s="10">
        <f>IF(A2061="D",LEFT(UPPER(E2061)&amp;REPT(" ",15),15)," ")</f>
        <v/>
      </c>
      <c r="V2061" s="10">
        <f>REPT(" ",24)</f>
        <v/>
      </c>
      <c r="W2061" s="10">
        <f>IF(A2061="c",LEFT(UPPER(B2061)&amp;REPT(" ",20),20),REPT(" ",20))</f>
        <v/>
      </c>
      <c r="X2061" s="10">
        <f>IF(A2061="C",LEFT(UPPER(C2061)&amp;REPT(" ",10),10)," ")</f>
        <v/>
      </c>
      <c r="Y2061" s="10">
        <f>IF(A2061="C",LEFT(UPPER(D2061)&amp;REPT(" ",2),2)," ")</f>
        <v/>
      </c>
      <c r="Z2061" s="10">
        <f>IF(A2061="C",LEFT(UPPER(E2061)&amp;REPT(" ",15),15)," ")</f>
        <v/>
      </c>
      <c r="AA2061" s="10">
        <f>REPT(" ",8)</f>
        <v/>
      </c>
      <c r="AB2061" s="10">
        <f>REPT(" ",4)</f>
        <v/>
      </c>
      <c r="AC2061" s="10">
        <f>LEFT(UPPER(H2061)&amp;REPT(" ",250),250)</f>
        <v/>
      </c>
      <c r="AD2061" s="10">
        <f>TEXT($G$2,"dd/mm/aaaa")</f>
        <v/>
      </c>
      <c r="AE2061" s="10">
        <f>REPT(" ",10)</f>
        <v/>
      </c>
      <c r="AF2061" s="10">
        <f>REPT(" ",20)</f>
        <v/>
      </c>
      <c r="AG2061" s="54">
        <f>REPT(" ",18-LEN(FIXED(F2061,2,TRUE)))&amp;FIXED(F2061,2,TRUE)</f>
        <v/>
      </c>
      <c r="AH2061" s="10">
        <f>LEN(AC2061)+LEN(AG2061)</f>
        <v/>
      </c>
      <c r="AI2061" s="10">
        <f>LEN(L2061)</f>
        <v/>
      </c>
    </row>
    <row r="2062">
      <c r="J2062" s="12">
        <f>IF(F2062&lt;&gt;0,"LANÇAR","")</f>
        <v/>
      </c>
      <c r="L2062" s="13">
        <f>N2062&amp;O2062&amp;P2062&amp;Q2062&amp;R2062&amp;S2062&amp;T2062&amp;U2062&amp;V2062&amp;W2062&amp;X2062&amp;Y2062&amp;Z2062&amp;AA2062&amp;AB2062&amp;AC2062&amp;AD2062&amp;AE2062&amp;AF2062&amp;AG2062</f>
        <v/>
      </c>
      <c r="N2062" s="10">
        <f>TEXT($B$6,"00")</f>
        <v/>
      </c>
      <c r="O2062" s="10">
        <f>REPT(" ",8)</f>
        <v/>
      </c>
      <c r="P2062" s="10">
        <f>RIGHT($B$4,2)</f>
        <v/>
      </c>
      <c r="Q2062" s="10">
        <f>RIGHT($B$5,3)</f>
        <v/>
      </c>
      <c r="R2062" s="10">
        <f>IF(A2062="D",LEFT(UPPER(B2062)&amp;REPT(" ",20),20),REPT(" ",20))</f>
        <v/>
      </c>
      <c r="S2062" s="10">
        <f>IF(A2062="D",LEFT(UPPER(C2062)&amp;REPT(" ",10),10)," ")</f>
        <v/>
      </c>
      <c r="T2062" s="10">
        <f>IF(A2062="D",LEFT(UPPER(D2062)&amp;REPT(" ",2),2)," ")</f>
        <v/>
      </c>
      <c r="U2062" s="10">
        <f>IF(A2062="D",LEFT(UPPER(E2062)&amp;REPT(" ",15),15)," ")</f>
        <v/>
      </c>
      <c r="V2062" s="10">
        <f>REPT(" ",24)</f>
        <v/>
      </c>
      <c r="W2062" s="10">
        <f>IF(A2062="c",LEFT(UPPER(B2062)&amp;REPT(" ",20),20),REPT(" ",20))</f>
        <v/>
      </c>
      <c r="X2062" s="10">
        <f>IF(A2062="C",LEFT(UPPER(C2062)&amp;REPT(" ",10),10)," ")</f>
        <v/>
      </c>
      <c r="Y2062" s="10">
        <f>IF(A2062="C",LEFT(UPPER(D2062)&amp;REPT(" ",2),2)," ")</f>
        <v/>
      </c>
      <c r="Z2062" s="10">
        <f>IF(A2062="C",LEFT(UPPER(E2062)&amp;REPT(" ",15),15)," ")</f>
        <v/>
      </c>
      <c r="AA2062" s="10">
        <f>REPT(" ",8)</f>
        <v/>
      </c>
      <c r="AB2062" s="10">
        <f>REPT(" ",4)</f>
        <v/>
      </c>
      <c r="AC2062" s="10">
        <f>LEFT(UPPER(H2062)&amp;REPT(" ",250),250)</f>
        <v/>
      </c>
      <c r="AD2062" s="10">
        <f>TEXT($G$2,"dd/mm/aaaa")</f>
        <v/>
      </c>
      <c r="AE2062" s="10">
        <f>REPT(" ",10)</f>
        <v/>
      </c>
      <c r="AF2062" s="10">
        <f>REPT(" ",20)</f>
        <v/>
      </c>
      <c r="AG2062" s="54">
        <f>REPT(" ",18-LEN(FIXED(F2062,2,TRUE)))&amp;FIXED(F2062,2,TRUE)</f>
        <v/>
      </c>
      <c r="AH2062" s="10">
        <f>LEN(AC2062)+LEN(AG2062)</f>
        <v/>
      </c>
      <c r="AI2062" s="10">
        <f>LEN(L2062)</f>
        <v/>
      </c>
    </row>
    <row r="2063">
      <c r="J2063" s="12">
        <f>IF(F2063&lt;&gt;0,"LANÇAR","")</f>
        <v/>
      </c>
      <c r="L2063" s="13">
        <f>N2063&amp;O2063&amp;P2063&amp;Q2063&amp;R2063&amp;S2063&amp;T2063&amp;U2063&amp;V2063&amp;W2063&amp;X2063&amp;Y2063&amp;Z2063&amp;AA2063&amp;AB2063&amp;AC2063&amp;AD2063&amp;AE2063&amp;AF2063&amp;AG2063</f>
        <v/>
      </c>
      <c r="N2063" s="10">
        <f>TEXT($B$6,"00")</f>
        <v/>
      </c>
      <c r="O2063" s="10">
        <f>REPT(" ",8)</f>
        <v/>
      </c>
      <c r="P2063" s="10">
        <f>RIGHT($B$4,2)</f>
        <v/>
      </c>
      <c r="Q2063" s="10">
        <f>RIGHT($B$5,3)</f>
        <v/>
      </c>
      <c r="R2063" s="10">
        <f>IF(A2063="D",LEFT(UPPER(B2063)&amp;REPT(" ",20),20),REPT(" ",20))</f>
        <v/>
      </c>
      <c r="S2063" s="10">
        <f>IF(A2063="D",LEFT(UPPER(C2063)&amp;REPT(" ",10),10)," ")</f>
        <v/>
      </c>
      <c r="T2063" s="10">
        <f>IF(A2063="D",LEFT(UPPER(D2063)&amp;REPT(" ",2),2)," ")</f>
        <v/>
      </c>
      <c r="U2063" s="10">
        <f>IF(A2063="D",LEFT(UPPER(E2063)&amp;REPT(" ",15),15)," ")</f>
        <v/>
      </c>
      <c r="V2063" s="10">
        <f>REPT(" ",24)</f>
        <v/>
      </c>
      <c r="W2063" s="10">
        <f>IF(A2063="c",LEFT(UPPER(B2063)&amp;REPT(" ",20),20),REPT(" ",20))</f>
        <v/>
      </c>
      <c r="X2063" s="10">
        <f>IF(A2063="C",LEFT(UPPER(C2063)&amp;REPT(" ",10),10)," ")</f>
        <v/>
      </c>
      <c r="Y2063" s="10">
        <f>IF(A2063="C",LEFT(UPPER(D2063)&amp;REPT(" ",2),2)," ")</f>
        <v/>
      </c>
      <c r="Z2063" s="10">
        <f>IF(A2063="C",LEFT(UPPER(E2063)&amp;REPT(" ",15),15)," ")</f>
        <v/>
      </c>
      <c r="AA2063" s="10">
        <f>REPT(" ",8)</f>
        <v/>
      </c>
      <c r="AB2063" s="10">
        <f>REPT(" ",4)</f>
        <v/>
      </c>
      <c r="AC2063" s="10">
        <f>LEFT(UPPER(H2063)&amp;REPT(" ",250),250)</f>
        <v/>
      </c>
      <c r="AD2063" s="10">
        <f>TEXT($G$2,"dd/mm/aaaa")</f>
        <v/>
      </c>
      <c r="AE2063" s="10">
        <f>REPT(" ",10)</f>
        <v/>
      </c>
      <c r="AF2063" s="10">
        <f>REPT(" ",20)</f>
        <v/>
      </c>
      <c r="AG2063" s="54">
        <f>REPT(" ",18-LEN(FIXED(F2063,2,TRUE)))&amp;FIXED(F2063,2,TRUE)</f>
        <v/>
      </c>
      <c r="AH2063" s="10">
        <f>LEN(AC2063)+LEN(AG2063)</f>
        <v/>
      </c>
      <c r="AI2063" s="10">
        <f>LEN(L2063)</f>
        <v/>
      </c>
    </row>
    <row r="2064">
      <c r="J2064" s="12">
        <f>IF(F2064&lt;&gt;0,"LANÇAR","")</f>
        <v/>
      </c>
      <c r="L2064" s="13">
        <f>N2064&amp;O2064&amp;P2064&amp;Q2064&amp;R2064&amp;S2064&amp;T2064&amp;U2064&amp;V2064&amp;W2064&amp;X2064&amp;Y2064&amp;Z2064&amp;AA2064&amp;AB2064&amp;AC2064&amp;AD2064&amp;AE2064&amp;AF2064&amp;AG2064</f>
        <v/>
      </c>
      <c r="N2064" s="10">
        <f>TEXT($B$6,"00")</f>
        <v/>
      </c>
      <c r="O2064" s="10">
        <f>REPT(" ",8)</f>
        <v/>
      </c>
      <c r="P2064" s="10">
        <f>RIGHT($B$4,2)</f>
        <v/>
      </c>
      <c r="Q2064" s="10">
        <f>RIGHT($B$5,3)</f>
        <v/>
      </c>
      <c r="R2064" s="10">
        <f>IF(A2064="D",LEFT(UPPER(B2064)&amp;REPT(" ",20),20),REPT(" ",20))</f>
        <v/>
      </c>
      <c r="S2064" s="10">
        <f>IF(A2064="D",LEFT(UPPER(C2064)&amp;REPT(" ",10),10)," ")</f>
        <v/>
      </c>
      <c r="T2064" s="10">
        <f>IF(A2064="D",LEFT(UPPER(D2064)&amp;REPT(" ",2),2)," ")</f>
        <v/>
      </c>
      <c r="U2064" s="10">
        <f>IF(A2064="D",LEFT(UPPER(E2064)&amp;REPT(" ",15),15)," ")</f>
        <v/>
      </c>
      <c r="V2064" s="10">
        <f>REPT(" ",24)</f>
        <v/>
      </c>
      <c r="W2064" s="10">
        <f>IF(A2064="c",LEFT(UPPER(B2064)&amp;REPT(" ",20),20),REPT(" ",20))</f>
        <v/>
      </c>
      <c r="X2064" s="10">
        <f>IF(A2064="C",LEFT(UPPER(C2064)&amp;REPT(" ",10),10)," ")</f>
        <v/>
      </c>
      <c r="Y2064" s="10">
        <f>IF(A2064="C",LEFT(UPPER(D2064)&amp;REPT(" ",2),2)," ")</f>
        <v/>
      </c>
      <c r="Z2064" s="10">
        <f>IF(A2064="C",LEFT(UPPER(E2064)&amp;REPT(" ",15),15)," ")</f>
        <v/>
      </c>
      <c r="AA2064" s="10">
        <f>REPT(" ",8)</f>
        <v/>
      </c>
      <c r="AB2064" s="10">
        <f>REPT(" ",4)</f>
        <v/>
      </c>
      <c r="AC2064" s="10">
        <f>LEFT(UPPER(H2064)&amp;REPT(" ",250),250)</f>
        <v/>
      </c>
      <c r="AD2064" s="10">
        <f>TEXT($G$2,"dd/mm/aaaa")</f>
        <v/>
      </c>
      <c r="AE2064" s="10">
        <f>REPT(" ",10)</f>
        <v/>
      </c>
      <c r="AF2064" s="10">
        <f>REPT(" ",20)</f>
        <v/>
      </c>
      <c r="AG2064" s="54">
        <f>REPT(" ",18-LEN(FIXED(F2064,2,TRUE)))&amp;FIXED(F2064,2,TRUE)</f>
        <v/>
      </c>
      <c r="AH2064" s="10">
        <f>LEN(AC2064)+LEN(AG2064)</f>
        <v/>
      </c>
      <c r="AI2064" s="10">
        <f>LEN(L2064)</f>
        <v/>
      </c>
    </row>
    <row r="2065">
      <c r="J2065" s="12">
        <f>IF(F2065&lt;&gt;0,"LANÇAR","")</f>
        <v/>
      </c>
      <c r="L2065" s="13">
        <f>N2065&amp;O2065&amp;P2065&amp;Q2065&amp;R2065&amp;S2065&amp;T2065&amp;U2065&amp;V2065&amp;W2065&amp;X2065&amp;Y2065&amp;Z2065&amp;AA2065&amp;AB2065&amp;AC2065&amp;AD2065&amp;AE2065&amp;AF2065&amp;AG2065</f>
        <v/>
      </c>
      <c r="N2065" s="10">
        <f>TEXT($B$6,"00")</f>
        <v/>
      </c>
      <c r="O2065" s="10">
        <f>REPT(" ",8)</f>
        <v/>
      </c>
      <c r="P2065" s="10">
        <f>RIGHT($B$4,2)</f>
        <v/>
      </c>
      <c r="Q2065" s="10">
        <f>RIGHT($B$5,3)</f>
        <v/>
      </c>
      <c r="R2065" s="10">
        <f>IF(A2065="D",LEFT(UPPER(B2065)&amp;REPT(" ",20),20),REPT(" ",20))</f>
        <v/>
      </c>
      <c r="S2065" s="10">
        <f>IF(A2065="D",LEFT(UPPER(C2065)&amp;REPT(" ",10),10)," ")</f>
        <v/>
      </c>
      <c r="T2065" s="10">
        <f>IF(A2065="D",LEFT(UPPER(D2065)&amp;REPT(" ",2),2)," ")</f>
        <v/>
      </c>
      <c r="U2065" s="10">
        <f>IF(A2065="D",LEFT(UPPER(E2065)&amp;REPT(" ",15),15)," ")</f>
        <v/>
      </c>
      <c r="V2065" s="10">
        <f>REPT(" ",24)</f>
        <v/>
      </c>
      <c r="W2065" s="10">
        <f>IF(A2065="c",LEFT(UPPER(B2065)&amp;REPT(" ",20),20),REPT(" ",20))</f>
        <v/>
      </c>
      <c r="X2065" s="10">
        <f>IF(A2065="C",LEFT(UPPER(C2065)&amp;REPT(" ",10),10)," ")</f>
        <v/>
      </c>
      <c r="Y2065" s="10">
        <f>IF(A2065="C",LEFT(UPPER(D2065)&amp;REPT(" ",2),2)," ")</f>
        <v/>
      </c>
      <c r="Z2065" s="10">
        <f>IF(A2065="C",LEFT(UPPER(E2065)&amp;REPT(" ",15),15)," ")</f>
        <v/>
      </c>
      <c r="AA2065" s="10">
        <f>REPT(" ",8)</f>
        <v/>
      </c>
      <c r="AB2065" s="10">
        <f>REPT(" ",4)</f>
        <v/>
      </c>
      <c r="AC2065" s="10">
        <f>LEFT(UPPER(H2065)&amp;REPT(" ",250),250)</f>
        <v/>
      </c>
      <c r="AD2065" s="10">
        <f>TEXT($G$2,"dd/mm/aaaa")</f>
        <v/>
      </c>
      <c r="AE2065" s="10">
        <f>REPT(" ",10)</f>
        <v/>
      </c>
      <c r="AF2065" s="10">
        <f>REPT(" ",20)</f>
        <v/>
      </c>
      <c r="AG2065" s="54">
        <f>REPT(" ",18-LEN(FIXED(F2065,2,TRUE)))&amp;FIXED(F2065,2,TRUE)</f>
        <v/>
      </c>
      <c r="AH2065" s="10">
        <f>LEN(AC2065)+LEN(AG2065)</f>
        <v/>
      </c>
      <c r="AI2065" s="10">
        <f>LEN(L2065)</f>
        <v/>
      </c>
    </row>
    <row r="2066">
      <c r="J2066" s="12">
        <f>IF(F2066&lt;&gt;0,"LANÇAR","")</f>
        <v/>
      </c>
      <c r="L2066" s="13">
        <f>N2066&amp;O2066&amp;P2066&amp;Q2066&amp;R2066&amp;S2066&amp;T2066&amp;U2066&amp;V2066&amp;W2066&amp;X2066&amp;Y2066&amp;Z2066&amp;AA2066&amp;AB2066&amp;AC2066&amp;AD2066&amp;AE2066&amp;AF2066&amp;AG2066</f>
        <v/>
      </c>
      <c r="N2066" s="10">
        <f>TEXT($B$6,"00")</f>
        <v/>
      </c>
      <c r="O2066" s="10">
        <f>REPT(" ",8)</f>
        <v/>
      </c>
      <c r="P2066" s="10">
        <f>RIGHT($B$4,2)</f>
        <v/>
      </c>
      <c r="Q2066" s="10">
        <f>RIGHT($B$5,3)</f>
        <v/>
      </c>
      <c r="R2066" s="10">
        <f>IF(A2066="D",LEFT(UPPER(B2066)&amp;REPT(" ",20),20),REPT(" ",20))</f>
        <v/>
      </c>
      <c r="S2066" s="10">
        <f>IF(A2066="D",LEFT(UPPER(C2066)&amp;REPT(" ",10),10)," ")</f>
        <v/>
      </c>
      <c r="T2066" s="10">
        <f>IF(A2066="D",LEFT(UPPER(D2066)&amp;REPT(" ",2),2)," ")</f>
        <v/>
      </c>
      <c r="U2066" s="10">
        <f>IF(A2066="D",LEFT(UPPER(E2066)&amp;REPT(" ",15),15)," ")</f>
        <v/>
      </c>
      <c r="V2066" s="10">
        <f>REPT(" ",24)</f>
        <v/>
      </c>
      <c r="W2066" s="10">
        <f>IF(A2066="c",LEFT(UPPER(B2066)&amp;REPT(" ",20),20),REPT(" ",20))</f>
        <v/>
      </c>
      <c r="X2066" s="10">
        <f>IF(A2066="C",LEFT(UPPER(C2066)&amp;REPT(" ",10),10)," ")</f>
        <v/>
      </c>
      <c r="Y2066" s="10">
        <f>IF(A2066="C",LEFT(UPPER(D2066)&amp;REPT(" ",2),2)," ")</f>
        <v/>
      </c>
      <c r="Z2066" s="10">
        <f>IF(A2066="C",LEFT(UPPER(E2066)&amp;REPT(" ",15),15)," ")</f>
        <v/>
      </c>
      <c r="AA2066" s="10">
        <f>REPT(" ",8)</f>
        <v/>
      </c>
      <c r="AB2066" s="10">
        <f>REPT(" ",4)</f>
        <v/>
      </c>
      <c r="AC2066" s="10">
        <f>LEFT(UPPER(H2066)&amp;REPT(" ",250),250)</f>
        <v/>
      </c>
      <c r="AD2066" s="10">
        <f>TEXT($G$2,"dd/mm/aaaa")</f>
        <v/>
      </c>
      <c r="AE2066" s="10">
        <f>REPT(" ",10)</f>
        <v/>
      </c>
      <c r="AF2066" s="10">
        <f>REPT(" ",20)</f>
        <v/>
      </c>
      <c r="AG2066" s="54">
        <f>REPT(" ",18-LEN(FIXED(F2066,2,TRUE)))&amp;FIXED(F2066,2,TRUE)</f>
        <v/>
      </c>
      <c r="AH2066" s="10">
        <f>LEN(AC2066)+LEN(AG2066)</f>
        <v/>
      </c>
      <c r="AI2066" s="10">
        <f>LEN(L2066)</f>
        <v/>
      </c>
    </row>
    <row r="2067">
      <c r="J2067" s="12">
        <f>IF(F2067&lt;&gt;0,"LANÇAR","")</f>
        <v/>
      </c>
      <c r="L2067" s="13">
        <f>N2067&amp;O2067&amp;P2067&amp;Q2067&amp;R2067&amp;S2067&amp;T2067&amp;U2067&amp;V2067&amp;W2067&amp;X2067&amp;Y2067&amp;Z2067&amp;AA2067&amp;AB2067&amp;AC2067&amp;AD2067&amp;AE2067&amp;AF2067&amp;AG2067</f>
        <v/>
      </c>
      <c r="N2067" s="10">
        <f>TEXT($B$6,"00")</f>
        <v/>
      </c>
      <c r="O2067" s="10">
        <f>REPT(" ",8)</f>
        <v/>
      </c>
      <c r="P2067" s="10">
        <f>RIGHT($B$4,2)</f>
        <v/>
      </c>
      <c r="Q2067" s="10">
        <f>RIGHT($B$5,3)</f>
        <v/>
      </c>
      <c r="R2067" s="10">
        <f>IF(A2067="D",LEFT(UPPER(B2067)&amp;REPT(" ",20),20),REPT(" ",20))</f>
        <v/>
      </c>
      <c r="S2067" s="10">
        <f>IF(A2067="D",LEFT(UPPER(C2067)&amp;REPT(" ",10),10)," ")</f>
        <v/>
      </c>
      <c r="T2067" s="10">
        <f>IF(A2067="D",LEFT(UPPER(D2067)&amp;REPT(" ",2),2)," ")</f>
        <v/>
      </c>
      <c r="U2067" s="10">
        <f>IF(A2067="D",LEFT(UPPER(E2067)&amp;REPT(" ",15),15)," ")</f>
        <v/>
      </c>
      <c r="V2067" s="10">
        <f>REPT(" ",24)</f>
        <v/>
      </c>
      <c r="W2067" s="10">
        <f>IF(A2067="c",LEFT(UPPER(B2067)&amp;REPT(" ",20),20),REPT(" ",20))</f>
        <v/>
      </c>
      <c r="X2067" s="10">
        <f>IF(A2067="C",LEFT(UPPER(C2067)&amp;REPT(" ",10),10)," ")</f>
        <v/>
      </c>
      <c r="Y2067" s="10">
        <f>IF(A2067="C",LEFT(UPPER(D2067)&amp;REPT(" ",2),2)," ")</f>
        <v/>
      </c>
      <c r="Z2067" s="10">
        <f>IF(A2067="C",LEFT(UPPER(E2067)&amp;REPT(" ",15),15)," ")</f>
        <v/>
      </c>
      <c r="AA2067" s="10">
        <f>REPT(" ",8)</f>
        <v/>
      </c>
      <c r="AB2067" s="10">
        <f>REPT(" ",4)</f>
        <v/>
      </c>
      <c r="AC2067" s="10">
        <f>LEFT(UPPER(H2067)&amp;REPT(" ",250),250)</f>
        <v/>
      </c>
      <c r="AD2067" s="10">
        <f>TEXT($G$2,"dd/mm/aaaa")</f>
        <v/>
      </c>
      <c r="AE2067" s="10">
        <f>REPT(" ",10)</f>
        <v/>
      </c>
      <c r="AF2067" s="10">
        <f>REPT(" ",20)</f>
        <v/>
      </c>
      <c r="AG2067" s="54">
        <f>REPT(" ",18-LEN(FIXED(F2067,2,TRUE)))&amp;FIXED(F2067,2,TRUE)</f>
        <v/>
      </c>
      <c r="AH2067" s="10">
        <f>LEN(AC2067)+LEN(AG2067)</f>
        <v/>
      </c>
      <c r="AI2067" s="10">
        <f>LEN(L2067)</f>
        <v/>
      </c>
    </row>
    <row r="2068">
      <c r="J2068" s="12">
        <f>IF(F2068&lt;&gt;0,"LANÇAR","")</f>
        <v/>
      </c>
      <c r="L2068" s="13">
        <f>N2068&amp;O2068&amp;P2068&amp;Q2068&amp;R2068&amp;S2068&amp;T2068&amp;U2068&amp;V2068&amp;W2068&amp;X2068&amp;Y2068&amp;Z2068&amp;AA2068&amp;AB2068&amp;AC2068&amp;AD2068&amp;AE2068&amp;AF2068&amp;AG2068</f>
        <v/>
      </c>
      <c r="N2068" s="10">
        <f>TEXT($B$6,"00")</f>
        <v/>
      </c>
      <c r="O2068" s="10">
        <f>REPT(" ",8)</f>
        <v/>
      </c>
      <c r="P2068" s="10">
        <f>RIGHT($B$4,2)</f>
        <v/>
      </c>
      <c r="Q2068" s="10">
        <f>RIGHT($B$5,3)</f>
        <v/>
      </c>
      <c r="R2068" s="10">
        <f>IF(A2068="D",LEFT(UPPER(B2068)&amp;REPT(" ",20),20),REPT(" ",20))</f>
        <v/>
      </c>
      <c r="S2068" s="10">
        <f>IF(A2068="D",LEFT(UPPER(C2068)&amp;REPT(" ",10),10)," ")</f>
        <v/>
      </c>
      <c r="T2068" s="10">
        <f>IF(A2068="D",LEFT(UPPER(D2068)&amp;REPT(" ",2),2)," ")</f>
        <v/>
      </c>
      <c r="U2068" s="10">
        <f>IF(A2068="D",LEFT(UPPER(E2068)&amp;REPT(" ",15),15)," ")</f>
        <v/>
      </c>
      <c r="V2068" s="10">
        <f>REPT(" ",24)</f>
        <v/>
      </c>
      <c r="W2068" s="10">
        <f>IF(A2068="c",LEFT(UPPER(B2068)&amp;REPT(" ",20),20),REPT(" ",20))</f>
        <v/>
      </c>
      <c r="X2068" s="10">
        <f>IF(A2068="C",LEFT(UPPER(C2068)&amp;REPT(" ",10),10)," ")</f>
        <v/>
      </c>
      <c r="Y2068" s="10">
        <f>IF(A2068="C",LEFT(UPPER(D2068)&amp;REPT(" ",2),2)," ")</f>
        <v/>
      </c>
      <c r="Z2068" s="10">
        <f>IF(A2068="C",LEFT(UPPER(E2068)&amp;REPT(" ",15),15)," ")</f>
        <v/>
      </c>
      <c r="AA2068" s="10">
        <f>REPT(" ",8)</f>
        <v/>
      </c>
      <c r="AB2068" s="10">
        <f>REPT(" ",4)</f>
        <v/>
      </c>
      <c r="AC2068" s="10">
        <f>LEFT(UPPER(H2068)&amp;REPT(" ",250),250)</f>
        <v/>
      </c>
      <c r="AD2068" s="10">
        <f>TEXT($G$2,"dd/mm/aaaa")</f>
        <v/>
      </c>
      <c r="AE2068" s="10">
        <f>REPT(" ",10)</f>
        <v/>
      </c>
      <c r="AF2068" s="10">
        <f>REPT(" ",20)</f>
        <v/>
      </c>
      <c r="AG2068" s="54">
        <f>REPT(" ",18-LEN(FIXED(F2068,2,TRUE)))&amp;FIXED(F2068,2,TRUE)</f>
        <v/>
      </c>
      <c r="AH2068" s="10">
        <f>LEN(AC2068)+LEN(AG2068)</f>
        <v/>
      </c>
      <c r="AI2068" s="10">
        <f>LEN(L2068)</f>
        <v/>
      </c>
    </row>
    <row r="2069">
      <c r="J2069" s="12">
        <f>IF(F2069&lt;&gt;0,"LANÇAR","")</f>
        <v/>
      </c>
      <c r="L2069" s="13">
        <f>N2069&amp;O2069&amp;P2069&amp;Q2069&amp;R2069&amp;S2069&amp;T2069&amp;U2069&amp;V2069&amp;W2069&amp;X2069&amp;Y2069&amp;Z2069&amp;AA2069&amp;AB2069&amp;AC2069&amp;AD2069&amp;AE2069&amp;AF2069&amp;AG2069</f>
        <v/>
      </c>
      <c r="N2069" s="10">
        <f>TEXT($B$6,"00")</f>
        <v/>
      </c>
      <c r="O2069" s="10">
        <f>REPT(" ",8)</f>
        <v/>
      </c>
      <c r="P2069" s="10">
        <f>RIGHT($B$4,2)</f>
        <v/>
      </c>
      <c r="Q2069" s="10">
        <f>RIGHT($B$5,3)</f>
        <v/>
      </c>
      <c r="R2069" s="10">
        <f>IF(A2069="D",LEFT(UPPER(B2069)&amp;REPT(" ",20),20),REPT(" ",20))</f>
        <v/>
      </c>
      <c r="S2069" s="10">
        <f>IF(A2069="D",LEFT(UPPER(C2069)&amp;REPT(" ",10),10)," ")</f>
        <v/>
      </c>
      <c r="T2069" s="10">
        <f>IF(A2069="D",LEFT(UPPER(D2069)&amp;REPT(" ",2),2)," ")</f>
        <v/>
      </c>
      <c r="U2069" s="10">
        <f>IF(A2069="D",LEFT(UPPER(E2069)&amp;REPT(" ",15),15)," ")</f>
        <v/>
      </c>
      <c r="V2069" s="10">
        <f>REPT(" ",24)</f>
        <v/>
      </c>
      <c r="W2069" s="10">
        <f>IF(A2069="c",LEFT(UPPER(B2069)&amp;REPT(" ",20),20),REPT(" ",20))</f>
        <v/>
      </c>
      <c r="X2069" s="10">
        <f>IF(A2069="C",LEFT(UPPER(C2069)&amp;REPT(" ",10),10)," ")</f>
        <v/>
      </c>
      <c r="Y2069" s="10">
        <f>IF(A2069="C",LEFT(UPPER(D2069)&amp;REPT(" ",2),2)," ")</f>
        <v/>
      </c>
      <c r="Z2069" s="10">
        <f>IF(A2069="C",LEFT(UPPER(E2069)&amp;REPT(" ",15),15)," ")</f>
        <v/>
      </c>
      <c r="AA2069" s="10">
        <f>REPT(" ",8)</f>
        <v/>
      </c>
      <c r="AB2069" s="10">
        <f>REPT(" ",4)</f>
        <v/>
      </c>
      <c r="AC2069" s="10">
        <f>LEFT(UPPER(H2069)&amp;REPT(" ",250),250)</f>
        <v/>
      </c>
      <c r="AD2069" s="10">
        <f>TEXT($G$2,"dd/mm/aaaa")</f>
        <v/>
      </c>
      <c r="AE2069" s="10">
        <f>REPT(" ",10)</f>
        <v/>
      </c>
      <c r="AF2069" s="10">
        <f>REPT(" ",20)</f>
        <v/>
      </c>
      <c r="AG2069" s="54">
        <f>REPT(" ",18-LEN(FIXED(F2069,2,TRUE)))&amp;FIXED(F2069,2,TRUE)</f>
        <v/>
      </c>
      <c r="AH2069" s="10">
        <f>LEN(AC2069)+LEN(AG2069)</f>
        <v/>
      </c>
      <c r="AI2069" s="10">
        <f>LEN(L2069)</f>
        <v/>
      </c>
    </row>
    <row r="2070">
      <c r="J2070" s="12">
        <f>IF(F2070&lt;&gt;0,"LANÇAR","")</f>
        <v/>
      </c>
      <c r="L2070" s="13">
        <f>N2070&amp;O2070&amp;P2070&amp;Q2070&amp;R2070&amp;S2070&amp;T2070&amp;U2070&amp;V2070&amp;W2070&amp;X2070&amp;Y2070&amp;Z2070&amp;AA2070&amp;AB2070&amp;AC2070&amp;AD2070&amp;AE2070&amp;AF2070&amp;AG2070</f>
        <v/>
      </c>
      <c r="N2070" s="10">
        <f>TEXT($B$6,"00")</f>
        <v/>
      </c>
      <c r="O2070" s="10">
        <f>REPT(" ",8)</f>
        <v/>
      </c>
      <c r="P2070" s="10">
        <f>RIGHT($B$4,2)</f>
        <v/>
      </c>
      <c r="Q2070" s="10">
        <f>RIGHT($B$5,3)</f>
        <v/>
      </c>
      <c r="R2070" s="10">
        <f>IF(A2070="D",LEFT(UPPER(B2070)&amp;REPT(" ",20),20),REPT(" ",20))</f>
        <v/>
      </c>
      <c r="S2070" s="10">
        <f>IF(A2070="D",LEFT(UPPER(C2070)&amp;REPT(" ",10),10)," ")</f>
        <v/>
      </c>
      <c r="T2070" s="10">
        <f>IF(A2070="D",LEFT(UPPER(D2070)&amp;REPT(" ",2),2)," ")</f>
        <v/>
      </c>
      <c r="U2070" s="10">
        <f>IF(A2070="D",LEFT(UPPER(E2070)&amp;REPT(" ",15),15)," ")</f>
        <v/>
      </c>
      <c r="V2070" s="10">
        <f>REPT(" ",24)</f>
        <v/>
      </c>
      <c r="W2070" s="10">
        <f>IF(A2070="c",LEFT(UPPER(B2070)&amp;REPT(" ",20),20),REPT(" ",20))</f>
        <v/>
      </c>
      <c r="X2070" s="10">
        <f>IF(A2070="C",LEFT(UPPER(C2070)&amp;REPT(" ",10),10)," ")</f>
        <v/>
      </c>
      <c r="Y2070" s="10">
        <f>IF(A2070="C",LEFT(UPPER(D2070)&amp;REPT(" ",2),2)," ")</f>
        <v/>
      </c>
      <c r="Z2070" s="10">
        <f>IF(A2070="C",LEFT(UPPER(E2070)&amp;REPT(" ",15),15)," ")</f>
        <v/>
      </c>
      <c r="AA2070" s="10">
        <f>REPT(" ",8)</f>
        <v/>
      </c>
      <c r="AB2070" s="10">
        <f>REPT(" ",4)</f>
        <v/>
      </c>
      <c r="AC2070" s="10">
        <f>LEFT(UPPER(H2070)&amp;REPT(" ",250),250)</f>
        <v/>
      </c>
      <c r="AD2070" s="10">
        <f>TEXT($G$2,"dd/mm/aaaa")</f>
        <v/>
      </c>
      <c r="AE2070" s="10">
        <f>REPT(" ",10)</f>
        <v/>
      </c>
      <c r="AF2070" s="10">
        <f>REPT(" ",20)</f>
        <v/>
      </c>
      <c r="AG2070" s="54">
        <f>REPT(" ",18-LEN(FIXED(F2070,2,TRUE)))&amp;FIXED(F2070,2,TRUE)</f>
        <v/>
      </c>
      <c r="AH2070" s="10">
        <f>LEN(AC2070)+LEN(AG2070)</f>
        <v/>
      </c>
      <c r="AI2070" s="10">
        <f>LEN(L2070)</f>
        <v/>
      </c>
    </row>
    <row r="2071">
      <c r="J2071" s="12">
        <f>IF(F2071&lt;&gt;0,"LANÇAR","")</f>
        <v/>
      </c>
      <c r="L2071" s="13">
        <f>N2071&amp;O2071&amp;P2071&amp;Q2071&amp;R2071&amp;S2071&amp;T2071&amp;U2071&amp;V2071&amp;W2071&amp;X2071&amp;Y2071&amp;Z2071&amp;AA2071&amp;AB2071&amp;AC2071&amp;AD2071&amp;AE2071&amp;AF2071&amp;AG2071</f>
        <v/>
      </c>
      <c r="N2071" s="10">
        <f>TEXT($B$6,"00")</f>
        <v/>
      </c>
      <c r="O2071" s="10">
        <f>REPT(" ",8)</f>
        <v/>
      </c>
      <c r="P2071" s="10">
        <f>RIGHT($B$4,2)</f>
        <v/>
      </c>
      <c r="Q2071" s="10">
        <f>RIGHT($B$5,3)</f>
        <v/>
      </c>
      <c r="R2071" s="10">
        <f>IF(A2071="D",LEFT(UPPER(B2071)&amp;REPT(" ",20),20),REPT(" ",20))</f>
        <v/>
      </c>
      <c r="S2071" s="10">
        <f>IF(A2071="D",LEFT(UPPER(C2071)&amp;REPT(" ",10),10)," ")</f>
        <v/>
      </c>
      <c r="T2071" s="10">
        <f>IF(A2071="D",LEFT(UPPER(D2071)&amp;REPT(" ",2),2)," ")</f>
        <v/>
      </c>
      <c r="U2071" s="10">
        <f>IF(A2071="D",LEFT(UPPER(E2071)&amp;REPT(" ",15),15)," ")</f>
        <v/>
      </c>
      <c r="V2071" s="10">
        <f>REPT(" ",24)</f>
        <v/>
      </c>
      <c r="W2071" s="10">
        <f>IF(A2071="c",LEFT(UPPER(B2071)&amp;REPT(" ",20),20),REPT(" ",20))</f>
        <v/>
      </c>
      <c r="X2071" s="10">
        <f>IF(A2071="C",LEFT(UPPER(C2071)&amp;REPT(" ",10),10)," ")</f>
        <v/>
      </c>
      <c r="Y2071" s="10">
        <f>IF(A2071="C",LEFT(UPPER(D2071)&amp;REPT(" ",2),2)," ")</f>
        <v/>
      </c>
      <c r="Z2071" s="10">
        <f>IF(A2071="C",LEFT(UPPER(E2071)&amp;REPT(" ",15),15)," ")</f>
        <v/>
      </c>
      <c r="AA2071" s="10">
        <f>REPT(" ",8)</f>
        <v/>
      </c>
      <c r="AB2071" s="10">
        <f>REPT(" ",4)</f>
        <v/>
      </c>
      <c r="AC2071" s="10">
        <f>LEFT(UPPER(H2071)&amp;REPT(" ",250),250)</f>
        <v/>
      </c>
      <c r="AD2071" s="10">
        <f>TEXT($G$2,"dd/mm/aaaa")</f>
        <v/>
      </c>
      <c r="AE2071" s="10">
        <f>REPT(" ",10)</f>
        <v/>
      </c>
      <c r="AF2071" s="10">
        <f>REPT(" ",20)</f>
        <v/>
      </c>
      <c r="AG2071" s="54">
        <f>REPT(" ",18-LEN(FIXED(F2071,2,TRUE)))&amp;FIXED(F2071,2,TRUE)</f>
        <v/>
      </c>
      <c r="AH2071" s="10">
        <f>LEN(AC2071)+LEN(AG2071)</f>
        <v/>
      </c>
      <c r="AI2071" s="10">
        <f>LEN(L2071)</f>
        <v/>
      </c>
    </row>
    <row r="2072">
      <c r="J2072" s="12">
        <f>IF(F2072&lt;&gt;0,"LANÇAR","")</f>
        <v/>
      </c>
      <c r="L2072" s="13">
        <f>N2072&amp;O2072&amp;P2072&amp;Q2072&amp;R2072&amp;S2072&amp;T2072&amp;U2072&amp;V2072&amp;W2072&amp;X2072&amp;Y2072&amp;Z2072&amp;AA2072&amp;AB2072&amp;AC2072&amp;AD2072&amp;AE2072&amp;AF2072&amp;AG2072</f>
        <v/>
      </c>
      <c r="N2072" s="10">
        <f>TEXT($B$6,"00")</f>
        <v/>
      </c>
      <c r="O2072" s="10">
        <f>REPT(" ",8)</f>
        <v/>
      </c>
      <c r="P2072" s="10">
        <f>RIGHT($B$4,2)</f>
        <v/>
      </c>
      <c r="Q2072" s="10">
        <f>RIGHT($B$5,3)</f>
        <v/>
      </c>
      <c r="R2072" s="10">
        <f>IF(A2072="D",LEFT(UPPER(B2072)&amp;REPT(" ",20),20),REPT(" ",20))</f>
        <v/>
      </c>
      <c r="S2072" s="10">
        <f>IF(A2072="D",LEFT(UPPER(C2072)&amp;REPT(" ",10),10)," ")</f>
        <v/>
      </c>
      <c r="T2072" s="10">
        <f>IF(A2072="D",LEFT(UPPER(D2072)&amp;REPT(" ",2),2)," ")</f>
        <v/>
      </c>
      <c r="U2072" s="10">
        <f>IF(A2072="D",LEFT(UPPER(E2072)&amp;REPT(" ",15),15)," ")</f>
        <v/>
      </c>
      <c r="V2072" s="10">
        <f>REPT(" ",24)</f>
        <v/>
      </c>
      <c r="W2072" s="10">
        <f>IF(A2072="c",LEFT(UPPER(B2072)&amp;REPT(" ",20),20),REPT(" ",20))</f>
        <v/>
      </c>
      <c r="X2072" s="10">
        <f>IF(A2072="C",LEFT(UPPER(C2072)&amp;REPT(" ",10),10)," ")</f>
        <v/>
      </c>
      <c r="Y2072" s="10">
        <f>IF(A2072="C",LEFT(UPPER(D2072)&amp;REPT(" ",2),2)," ")</f>
        <v/>
      </c>
      <c r="Z2072" s="10">
        <f>IF(A2072="C",LEFT(UPPER(E2072)&amp;REPT(" ",15),15)," ")</f>
        <v/>
      </c>
      <c r="AA2072" s="10">
        <f>REPT(" ",8)</f>
        <v/>
      </c>
      <c r="AB2072" s="10">
        <f>REPT(" ",4)</f>
        <v/>
      </c>
      <c r="AC2072" s="10">
        <f>LEFT(UPPER(H2072)&amp;REPT(" ",250),250)</f>
        <v/>
      </c>
      <c r="AD2072" s="10">
        <f>TEXT($G$2,"dd/mm/aaaa")</f>
        <v/>
      </c>
      <c r="AE2072" s="10">
        <f>REPT(" ",10)</f>
        <v/>
      </c>
      <c r="AF2072" s="10">
        <f>REPT(" ",20)</f>
        <v/>
      </c>
      <c r="AG2072" s="54">
        <f>REPT(" ",18-LEN(FIXED(F2072,2,TRUE)))&amp;FIXED(F2072,2,TRUE)</f>
        <v/>
      </c>
      <c r="AH2072" s="10">
        <f>LEN(AC2072)+LEN(AG2072)</f>
        <v/>
      </c>
      <c r="AI2072" s="10">
        <f>LEN(L2072)</f>
        <v/>
      </c>
    </row>
    <row r="2073">
      <c r="J2073" s="12">
        <f>IF(F2073&lt;&gt;0,"LANÇAR","")</f>
        <v/>
      </c>
      <c r="L2073" s="13">
        <f>N2073&amp;O2073&amp;P2073&amp;Q2073&amp;R2073&amp;S2073&amp;T2073&amp;U2073&amp;V2073&amp;W2073&amp;X2073&amp;Y2073&amp;Z2073&amp;AA2073&amp;AB2073&amp;AC2073&amp;AD2073&amp;AE2073&amp;AF2073&amp;AG2073</f>
        <v/>
      </c>
      <c r="N2073" s="10">
        <f>TEXT($B$6,"00")</f>
        <v/>
      </c>
      <c r="O2073" s="10">
        <f>REPT(" ",8)</f>
        <v/>
      </c>
      <c r="P2073" s="10">
        <f>RIGHT($B$4,2)</f>
        <v/>
      </c>
      <c r="Q2073" s="10">
        <f>RIGHT($B$5,3)</f>
        <v/>
      </c>
      <c r="R2073" s="10">
        <f>IF(A2073="D",LEFT(UPPER(B2073)&amp;REPT(" ",20),20),REPT(" ",20))</f>
        <v/>
      </c>
      <c r="S2073" s="10">
        <f>IF(A2073="D",LEFT(UPPER(C2073)&amp;REPT(" ",10),10)," ")</f>
        <v/>
      </c>
      <c r="T2073" s="10">
        <f>IF(A2073="D",LEFT(UPPER(D2073)&amp;REPT(" ",2),2)," ")</f>
        <v/>
      </c>
      <c r="U2073" s="10">
        <f>IF(A2073="D",LEFT(UPPER(E2073)&amp;REPT(" ",15),15)," ")</f>
        <v/>
      </c>
      <c r="V2073" s="10">
        <f>REPT(" ",24)</f>
        <v/>
      </c>
      <c r="W2073" s="10">
        <f>IF(A2073="c",LEFT(UPPER(B2073)&amp;REPT(" ",20),20),REPT(" ",20))</f>
        <v/>
      </c>
      <c r="X2073" s="10">
        <f>IF(A2073="C",LEFT(UPPER(C2073)&amp;REPT(" ",10),10)," ")</f>
        <v/>
      </c>
      <c r="Y2073" s="10">
        <f>IF(A2073="C",LEFT(UPPER(D2073)&amp;REPT(" ",2),2)," ")</f>
        <v/>
      </c>
      <c r="Z2073" s="10">
        <f>IF(A2073="C",LEFT(UPPER(E2073)&amp;REPT(" ",15),15)," ")</f>
        <v/>
      </c>
      <c r="AA2073" s="10">
        <f>REPT(" ",8)</f>
        <v/>
      </c>
      <c r="AB2073" s="10">
        <f>REPT(" ",4)</f>
        <v/>
      </c>
      <c r="AC2073" s="10">
        <f>LEFT(UPPER(H2073)&amp;REPT(" ",250),250)</f>
        <v/>
      </c>
      <c r="AD2073" s="10">
        <f>TEXT($G$2,"dd/mm/aaaa")</f>
        <v/>
      </c>
      <c r="AE2073" s="10">
        <f>REPT(" ",10)</f>
        <v/>
      </c>
      <c r="AF2073" s="10">
        <f>REPT(" ",20)</f>
        <v/>
      </c>
      <c r="AG2073" s="54">
        <f>REPT(" ",18-LEN(FIXED(F2073,2,TRUE)))&amp;FIXED(F2073,2,TRUE)</f>
        <v/>
      </c>
      <c r="AH2073" s="10">
        <f>LEN(AC2073)+LEN(AG2073)</f>
        <v/>
      </c>
      <c r="AI2073" s="10">
        <f>LEN(L2073)</f>
        <v/>
      </c>
    </row>
    <row r="2074">
      <c r="J2074" s="12">
        <f>IF(F2074&lt;&gt;0,"LANÇAR","")</f>
        <v/>
      </c>
      <c r="L2074" s="13">
        <f>N2074&amp;O2074&amp;P2074&amp;Q2074&amp;R2074&amp;S2074&amp;T2074&amp;U2074&amp;V2074&amp;W2074&amp;X2074&amp;Y2074&amp;Z2074&amp;AA2074&amp;AB2074&amp;AC2074&amp;AD2074&amp;AE2074&amp;AF2074&amp;AG2074</f>
        <v/>
      </c>
      <c r="N2074" s="10">
        <f>TEXT($B$6,"00")</f>
        <v/>
      </c>
      <c r="O2074" s="10">
        <f>REPT(" ",8)</f>
        <v/>
      </c>
      <c r="P2074" s="10">
        <f>RIGHT($B$4,2)</f>
        <v/>
      </c>
      <c r="Q2074" s="10">
        <f>RIGHT($B$5,3)</f>
        <v/>
      </c>
      <c r="R2074" s="10">
        <f>IF(A2074="D",LEFT(UPPER(B2074)&amp;REPT(" ",20),20),REPT(" ",20))</f>
        <v/>
      </c>
      <c r="S2074" s="10">
        <f>IF(A2074="D",LEFT(UPPER(C2074)&amp;REPT(" ",10),10)," ")</f>
        <v/>
      </c>
      <c r="T2074" s="10">
        <f>IF(A2074="D",LEFT(UPPER(D2074)&amp;REPT(" ",2),2)," ")</f>
        <v/>
      </c>
      <c r="U2074" s="10">
        <f>IF(A2074="D",LEFT(UPPER(E2074)&amp;REPT(" ",15),15)," ")</f>
        <v/>
      </c>
      <c r="V2074" s="10">
        <f>REPT(" ",24)</f>
        <v/>
      </c>
      <c r="W2074" s="10">
        <f>IF(A2074="c",LEFT(UPPER(B2074)&amp;REPT(" ",20),20),REPT(" ",20))</f>
        <v/>
      </c>
      <c r="X2074" s="10">
        <f>IF(A2074="C",LEFT(UPPER(C2074)&amp;REPT(" ",10),10)," ")</f>
        <v/>
      </c>
      <c r="Y2074" s="10">
        <f>IF(A2074="C",LEFT(UPPER(D2074)&amp;REPT(" ",2),2)," ")</f>
        <v/>
      </c>
      <c r="Z2074" s="10">
        <f>IF(A2074="C",LEFT(UPPER(E2074)&amp;REPT(" ",15),15)," ")</f>
        <v/>
      </c>
      <c r="AA2074" s="10">
        <f>REPT(" ",8)</f>
        <v/>
      </c>
      <c r="AB2074" s="10">
        <f>REPT(" ",4)</f>
        <v/>
      </c>
      <c r="AC2074" s="10">
        <f>LEFT(UPPER(H2074)&amp;REPT(" ",250),250)</f>
        <v/>
      </c>
      <c r="AD2074" s="10">
        <f>TEXT($G$2,"dd/mm/aaaa")</f>
        <v/>
      </c>
      <c r="AE2074" s="10">
        <f>REPT(" ",10)</f>
        <v/>
      </c>
      <c r="AF2074" s="10">
        <f>REPT(" ",20)</f>
        <v/>
      </c>
      <c r="AG2074" s="54">
        <f>REPT(" ",18-LEN(FIXED(F2074,2,TRUE)))&amp;FIXED(F2074,2,TRUE)</f>
        <v/>
      </c>
      <c r="AH2074" s="10">
        <f>LEN(AC2074)+LEN(AG2074)</f>
        <v/>
      </c>
      <c r="AI2074" s="10">
        <f>LEN(L2074)</f>
        <v/>
      </c>
    </row>
    <row r="2075">
      <c r="J2075" s="12">
        <f>IF(F2075&lt;&gt;0,"LANÇAR","")</f>
        <v/>
      </c>
      <c r="L2075" s="13">
        <f>N2075&amp;O2075&amp;P2075&amp;Q2075&amp;R2075&amp;S2075&amp;T2075&amp;U2075&amp;V2075&amp;W2075&amp;X2075&amp;Y2075&amp;Z2075&amp;AA2075&amp;AB2075&amp;AC2075&amp;AD2075&amp;AE2075&amp;AF2075&amp;AG2075</f>
        <v/>
      </c>
      <c r="N2075" s="10">
        <f>TEXT($B$6,"00")</f>
        <v/>
      </c>
      <c r="O2075" s="10">
        <f>REPT(" ",8)</f>
        <v/>
      </c>
      <c r="P2075" s="10">
        <f>RIGHT($B$4,2)</f>
        <v/>
      </c>
      <c r="Q2075" s="10">
        <f>RIGHT($B$5,3)</f>
        <v/>
      </c>
      <c r="R2075" s="10">
        <f>IF(A2075="D",LEFT(UPPER(B2075)&amp;REPT(" ",20),20),REPT(" ",20))</f>
        <v/>
      </c>
      <c r="S2075" s="10">
        <f>IF(A2075="D",LEFT(UPPER(C2075)&amp;REPT(" ",10),10)," ")</f>
        <v/>
      </c>
      <c r="T2075" s="10">
        <f>IF(A2075="D",LEFT(UPPER(D2075)&amp;REPT(" ",2),2)," ")</f>
        <v/>
      </c>
      <c r="U2075" s="10">
        <f>IF(A2075="D",LEFT(UPPER(E2075)&amp;REPT(" ",15),15)," ")</f>
        <v/>
      </c>
      <c r="V2075" s="10">
        <f>REPT(" ",24)</f>
        <v/>
      </c>
      <c r="W2075" s="10">
        <f>IF(A2075="c",LEFT(UPPER(B2075)&amp;REPT(" ",20),20),REPT(" ",20))</f>
        <v/>
      </c>
      <c r="X2075" s="10">
        <f>IF(A2075="C",LEFT(UPPER(C2075)&amp;REPT(" ",10),10)," ")</f>
        <v/>
      </c>
      <c r="Y2075" s="10">
        <f>IF(A2075="C",LEFT(UPPER(D2075)&amp;REPT(" ",2),2)," ")</f>
        <v/>
      </c>
      <c r="Z2075" s="10">
        <f>IF(A2075="C",LEFT(UPPER(E2075)&amp;REPT(" ",15),15)," ")</f>
        <v/>
      </c>
      <c r="AA2075" s="10">
        <f>REPT(" ",8)</f>
        <v/>
      </c>
      <c r="AB2075" s="10">
        <f>REPT(" ",4)</f>
        <v/>
      </c>
      <c r="AC2075" s="10">
        <f>LEFT(UPPER(H2075)&amp;REPT(" ",250),250)</f>
        <v/>
      </c>
      <c r="AD2075" s="10">
        <f>TEXT($G$2,"dd/mm/aaaa")</f>
        <v/>
      </c>
      <c r="AE2075" s="10">
        <f>REPT(" ",10)</f>
        <v/>
      </c>
      <c r="AF2075" s="10">
        <f>REPT(" ",20)</f>
        <v/>
      </c>
      <c r="AG2075" s="54">
        <f>REPT(" ",18-LEN(FIXED(F2075,2,TRUE)))&amp;FIXED(F2075,2,TRUE)</f>
        <v/>
      </c>
      <c r="AH2075" s="10">
        <f>LEN(AC2075)+LEN(AG2075)</f>
        <v/>
      </c>
      <c r="AI2075" s="10">
        <f>LEN(L2075)</f>
        <v/>
      </c>
    </row>
    <row r="2076">
      <c r="J2076" s="12">
        <f>IF(F2076&lt;&gt;0,"LANÇAR","")</f>
        <v/>
      </c>
      <c r="L2076" s="13">
        <f>N2076&amp;O2076&amp;P2076&amp;Q2076&amp;R2076&amp;S2076&amp;T2076&amp;U2076&amp;V2076&amp;W2076&amp;X2076&amp;Y2076&amp;Z2076&amp;AA2076&amp;AB2076&amp;AC2076&amp;AD2076&amp;AE2076&amp;AF2076&amp;AG2076</f>
        <v/>
      </c>
      <c r="N2076" s="10">
        <f>TEXT($B$6,"00")</f>
        <v/>
      </c>
      <c r="O2076" s="10">
        <f>REPT(" ",8)</f>
        <v/>
      </c>
      <c r="P2076" s="10">
        <f>RIGHT($B$4,2)</f>
        <v/>
      </c>
      <c r="Q2076" s="10">
        <f>RIGHT($B$5,3)</f>
        <v/>
      </c>
      <c r="R2076" s="10">
        <f>IF(A2076="D",LEFT(UPPER(B2076)&amp;REPT(" ",20),20),REPT(" ",20))</f>
        <v/>
      </c>
      <c r="S2076" s="10">
        <f>IF(A2076="D",LEFT(UPPER(C2076)&amp;REPT(" ",10),10)," ")</f>
        <v/>
      </c>
      <c r="T2076" s="10">
        <f>IF(A2076="D",LEFT(UPPER(D2076)&amp;REPT(" ",2),2)," ")</f>
        <v/>
      </c>
      <c r="U2076" s="10">
        <f>IF(A2076="D",LEFT(UPPER(E2076)&amp;REPT(" ",15),15)," ")</f>
        <v/>
      </c>
      <c r="V2076" s="10">
        <f>REPT(" ",24)</f>
        <v/>
      </c>
      <c r="W2076" s="10">
        <f>IF(A2076="c",LEFT(UPPER(B2076)&amp;REPT(" ",20),20),REPT(" ",20))</f>
        <v/>
      </c>
      <c r="X2076" s="10">
        <f>IF(A2076="C",LEFT(UPPER(C2076)&amp;REPT(" ",10),10)," ")</f>
        <v/>
      </c>
      <c r="Y2076" s="10">
        <f>IF(A2076="C",LEFT(UPPER(D2076)&amp;REPT(" ",2),2)," ")</f>
        <v/>
      </c>
      <c r="Z2076" s="10">
        <f>IF(A2076="C",LEFT(UPPER(E2076)&amp;REPT(" ",15),15)," ")</f>
        <v/>
      </c>
      <c r="AA2076" s="10">
        <f>REPT(" ",8)</f>
        <v/>
      </c>
      <c r="AB2076" s="10">
        <f>REPT(" ",4)</f>
        <v/>
      </c>
      <c r="AC2076" s="10">
        <f>LEFT(UPPER(H2076)&amp;REPT(" ",250),250)</f>
        <v/>
      </c>
      <c r="AD2076" s="10">
        <f>TEXT($G$2,"dd/mm/aaaa")</f>
        <v/>
      </c>
      <c r="AE2076" s="10">
        <f>REPT(" ",10)</f>
        <v/>
      </c>
      <c r="AF2076" s="10">
        <f>REPT(" ",20)</f>
        <v/>
      </c>
      <c r="AG2076" s="54">
        <f>REPT(" ",18-LEN(FIXED(F2076,2,TRUE)))&amp;FIXED(F2076,2,TRUE)</f>
        <v/>
      </c>
      <c r="AH2076" s="10">
        <f>LEN(AC2076)+LEN(AG2076)</f>
        <v/>
      </c>
      <c r="AI2076" s="10">
        <f>LEN(L2076)</f>
        <v/>
      </c>
    </row>
    <row r="2077">
      <c r="J2077" s="12">
        <f>IF(F2077&lt;&gt;0,"LANÇAR","")</f>
        <v/>
      </c>
      <c r="L2077" s="13">
        <f>N2077&amp;O2077&amp;P2077&amp;Q2077&amp;R2077&amp;S2077&amp;T2077&amp;U2077&amp;V2077&amp;W2077&amp;X2077&amp;Y2077&amp;Z2077&amp;AA2077&amp;AB2077&amp;AC2077&amp;AD2077&amp;AE2077&amp;AF2077&amp;AG2077</f>
        <v/>
      </c>
      <c r="N2077" s="10">
        <f>TEXT($B$6,"00")</f>
        <v/>
      </c>
      <c r="O2077" s="10">
        <f>REPT(" ",8)</f>
        <v/>
      </c>
      <c r="P2077" s="10">
        <f>RIGHT($B$4,2)</f>
        <v/>
      </c>
      <c r="Q2077" s="10">
        <f>RIGHT($B$5,3)</f>
        <v/>
      </c>
      <c r="R2077" s="10">
        <f>IF(A2077="D",LEFT(UPPER(B2077)&amp;REPT(" ",20),20),REPT(" ",20))</f>
        <v/>
      </c>
      <c r="S2077" s="10">
        <f>IF(A2077="D",LEFT(UPPER(C2077)&amp;REPT(" ",10),10)," ")</f>
        <v/>
      </c>
      <c r="T2077" s="10">
        <f>IF(A2077="D",LEFT(UPPER(D2077)&amp;REPT(" ",2),2)," ")</f>
        <v/>
      </c>
      <c r="U2077" s="10">
        <f>IF(A2077="D",LEFT(UPPER(E2077)&amp;REPT(" ",15),15)," ")</f>
        <v/>
      </c>
      <c r="V2077" s="10">
        <f>REPT(" ",24)</f>
        <v/>
      </c>
      <c r="W2077" s="10">
        <f>IF(A2077="c",LEFT(UPPER(B2077)&amp;REPT(" ",20),20),REPT(" ",20))</f>
        <v/>
      </c>
      <c r="X2077" s="10">
        <f>IF(A2077="C",LEFT(UPPER(C2077)&amp;REPT(" ",10),10)," ")</f>
        <v/>
      </c>
      <c r="Y2077" s="10">
        <f>IF(A2077="C",LEFT(UPPER(D2077)&amp;REPT(" ",2),2)," ")</f>
        <v/>
      </c>
      <c r="Z2077" s="10">
        <f>IF(A2077="C",LEFT(UPPER(E2077)&amp;REPT(" ",15),15)," ")</f>
        <v/>
      </c>
      <c r="AA2077" s="10">
        <f>REPT(" ",8)</f>
        <v/>
      </c>
      <c r="AB2077" s="10">
        <f>REPT(" ",4)</f>
        <v/>
      </c>
      <c r="AC2077" s="10">
        <f>LEFT(UPPER(H2077)&amp;REPT(" ",250),250)</f>
        <v/>
      </c>
      <c r="AD2077" s="10">
        <f>TEXT($G$2,"dd/mm/aaaa")</f>
        <v/>
      </c>
      <c r="AE2077" s="10">
        <f>REPT(" ",10)</f>
        <v/>
      </c>
      <c r="AF2077" s="10">
        <f>REPT(" ",20)</f>
        <v/>
      </c>
      <c r="AG2077" s="54">
        <f>REPT(" ",18-LEN(FIXED(F2077,2,TRUE)))&amp;FIXED(F2077,2,TRUE)</f>
        <v/>
      </c>
      <c r="AH2077" s="10">
        <f>LEN(AC2077)+LEN(AG2077)</f>
        <v/>
      </c>
      <c r="AI2077" s="10">
        <f>LEN(L2077)</f>
        <v/>
      </c>
    </row>
    <row r="2078">
      <c r="J2078" s="12">
        <f>IF(F2078&lt;&gt;0,"LANÇAR","")</f>
        <v/>
      </c>
      <c r="L2078" s="13">
        <f>N2078&amp;O2078&amp;P2078&amp;Q2078&amp;R2078&amp;S2078&amp;T2078&amp;U2078&amp;V2078&amp;W2078&amp;X2078&amp;Y2078&amp;Z2078&amp;AA2078&amp;AB2078&amp;AC2078&amp;AD2078&amp;AE2078&amp;AF2078&amp;AG2078</f>
        <v/>
      </c>
      <c r="N2078" s="10">
        <f>TEXT($B$6,"00")</f>
        <v/>
      </c>
      <c r="O2078" s="10">
        <f>REPT(" ",8)</f>
        <v/>
      </c>
      <c r="P2078" s="10">
        <f>RIGHT($B$4,2)</f>
        <v/>
      </c>
      <c r="Q2078" s="10">
        <f>RIGHT($B$5,3)</f>
        <v/>
      </c>
      <c r="R2078" s="10">
        <f>IF(A2078="D",LEFT(UPPER(B2078)&amp;REPT(" ",20),20),REPT(" ",20))</f>
        <v/>
      </c>
      <c r="S2078" s="10">
        <f>IF(A2078="D",LEFT(UPPER(C2078)&amp;REPT(" ",10),10)," ")</f>
        <v/>
      </c>
      <c r="T2078" s="10">
        <f>IF(A2078="D",LEFT(UPPER(D2078)&amp;REPT(" ",2),2)," ")</f>
        <v/>
      </c>
      <c r="U2078" s="10">
        <f>IF(A2078="D",LEFT(UPPER(E2078)&amp;REPT(" ",15),15)," ")</f>
        <v/>
      </c>
      <c r="V2078" s="10">
        <f>REPT(" ",24)</f>
        <v/>
      </c>
      <c r="W2078" s="10">
        <f>IF(A2078="c",LEFT(UPPER(B2078)&amp;REPT(" ",20),20),REPT(" ",20))</f>
        <v/>
      </c>
      <c r="X2078" s="10">
        <f>IF(A2078="C",LEFT(UPPER(C2078)&amp;REPT(" ",10),10)," ")</f>
        <v/>
      </c>
      <c r="Y2078" s="10">
        <f>IF(A2078="C",LEFT(UPPER(D2078)&amp;REPT(" ",2),2)," ")</f>
        <v/>
      </c>
      <c r="Z2078" s="10">
        <f>IF(A2078="C",LEFT(UPPER(E2078)&amp;REPT(" ",15),15)," ")</f>
        <v/>
      </c>
      <c r="AA2078" s="10">
        <f>REPT(" ",8)</f>
        <v/>
      </c>
      <c r="AB2078" s="10">
        <f>REPT(" ",4)</f>
        <v/>
      </c>
      <c r="AC2078" s="10">
        <f>LEFT(UPPER(H2078)&amp;REPT(" ",250),250)</f>
        <v/>
      </c>
      <c r="AD2078" s="10">
        <f>TEXT($G$2,"dd/mm/aaaa")</f>
        <v/>
      </c>
      <c r="AE2078" s="10">
        <f>REPT(" ",10)</f>
        <v/>
      </c>
      <c r="AF2078" s="10">
        <f>REPT(" ",20)</f>
        <v/>
      </c>
      <c r="AG2078" s="54">
        <f>REPT(" ",18-LEN(FIXED(F2078,2,TRUE)))&amp;FIXED(F2078,2,TRUE)</f>
        <v/>
      </c>
      <c r="AH2078" s="10">
        <f>LEN(AC2078)+LEN(AG2078)</f>
        <v/>
      </c>
      <c r="AI2078" s="10">
        <f>LEN(L2078)</f>
        <v/>
      </c>
    </row>
    <row r="2079">
      <c r="J2079" s="12">
        <f>IF(F2079&lt;&gt;0,"LANÇAR","")</f>
        <v/>
      </c>
      <c r="L2079" s="13">
        <f>N2079&amp;O2079&amp;P2079&amp;Q2079&amp;R2079&amp;S2079&amp;T2079&amp;U2079&amp;V2079&amp;W2079&amp;X2079&amp;Y2079&amp;Z2079&amp;AA2079&amp;AB2079&amp;AC2079&amp;AD2079&amp;AE2079&amp;AF2079&amp;AG2079</f>
        <v/>
      </c>
      <c r="N2079" s="10">
        <f>TEXT($B$6,"00")</f>
        <v/>
      </c>
      <c r="O2079" s="10">
        <f>REPT(" ",8)</f>
        <v/>
      </c>
      <c r="P2079" s="10">
        <f>RIGHT($B$4,2)</f>
        <v/>
      </c>
      <c r="Q2079" s="10">
        <f>RIGHT($B$5,3)</f>
        <v/>
      </c>
      <c r="R2079" s="10">
        <f>IF(A2079="D",LEFT(UPPER(B2079)&amp;REPT(" ",20),20),REPT(" ",20))</f>
        <v/>
      </c>
      <c r="S2079" s="10">
        <f>IF(A2079="D",LEFT(UPPER(C2079)&amp;REPT(" ",10),10)," ")</f>
        <v/>
      </c>
      <c r="T2079" s="10">
        <f>IF(A2079="D",LEFT(UPPER(D2079)&amp;REPT(" ",2),2)," ")</f>
        <v/>
      </c>
      <c r="U2079" s="10">
        <f>IF(A2079="D",LEFT(UPPER(E2079)&amp;REPT(" ",15),15)," ")</f>
        <v/>
      </c>
      <c r="V2079" s="10">
        <f>REPT(" ",24)</f>
        <v/>
      </c>
      <c r="W2079" s="10">
        <f>IF(A2079="c",LEFT(UPPER(B2079)&amp;REPT(" ",20),20),REPT(" ",20))</f>
        <v/>
      </c>
      <c r="X2079" s="10">
        <f>IF(A2079="C",LEFT(UPPER(C2079)&amp;REPT(" ",10),10)," ")</f>
        <v/>
      </c>
      <c r="Y2079" s="10">
        <f>IF(A2079="C",LEFT(UPPER(D2079)&amp;REPT(" ",2),2)," ")</f>
        <v/>
      </c>
      <c r="Z2079" s="10">
        <f>IF(A2079="C",LEFT(UPPER(E2079)&amp;REPT(" ",15),15)," ")</f>
        <v/>
      </c>
      <c r="AA2079" s="10">
        <f>REPT(" ",8)</f>
        <v/>
      </c>
      <c r="AB2079" s="10">
        <f>REPT(" ",4)</f>
        <v/>
      </c>
      <c r="AC2079" s="10">
        <f>LEFT(UPPER(H2079)&amp;REPT(" ",250),250)</f>
        <v/>
      </c>
      <c r="AD2079" s="10">
        <f>TEXT($G$2,"dd/mm/aaaa")</f>
        <v/>
      </c>
      <c r="AE2079" s="10">
        <f>REPT(" ",10)</f>
        <v/>
      </c>
      <c r="AF2079" s="10">
        <f>REPT(" ",20)</f>
        <v/>
      </c>
      <c r="AG2079" s="54">
        <f>REPT(" ",18-LEN(FIXED(F2079,2,TRUE)))&amp;FIXED(F2079,2,TRUE)</f>
        <v/>
      </c>
      <c r="AH2079" s="10">
        <f>LEN(AC2079)+LEN(AG2079)</f>
        <v/>
      </c>
      <c r="AI2079" s="10">
        <f>LEN(L2079)</f>
        <v/>
      </c>
    </row>
    <row r="2080">
      <c r="J2080" s="12">
        <f>IF(F2080&lt;&gt;0,"LANÇAR","")</f>
        <v/>
      </c>
      <c r="L2080" s="13">
        <f>N2080&amp;O2080&amp;P2080&amp;Q2080&amp;R2080&amp;S2080&amp;T2080&amp;U2080&amp;V2080&amp;W2080&amp;X2080&amp;Y2080&amp;Z2080&amp;AA2080&amp;AB2080&amp;AC2080&amp;AD2080&amp;AE2080&amp;AF2080&amp;AG2080</f>
        <v/>
      </c>
      <c r="N2080" s="10">
        <f>TEXT($B$6,"00")</f>
        <v/>
      </c>
      <c r="O2080" s="10">
        <f>REPT(" ",8)</f>
        <v/>
      </c>
      <c r="P2080" s="10">
        <f>RIGHT($B$4,2)</f>
        <v/>
      </c>
      <c r="Q2080" s="10">
        <f>RIGHT($B$5,3)</f>
        <v/>
      </c>
      <c r="R2080" s="10">
        <f>IF(A2080="D",LEFT(UPPER(B2080)&amp;REPT(" ",20),20),REPT(" ",20))</f>
        <v/>
      </c>
      <c r="S2080" s="10">
        <f>IF(A2080="D",LEFT(UPPER(C2080)&amp;REPT(" ",10),10)," ")</f>
        <v/>
      </c>
      <c r="T2080" s="10">
        <f>IF(A2080="D",LEFT(UPPER(D2080)&amp;REPT(" ",2),2)," ")</f>
        <v/>
      </c>
      <c r="U2080" s="10">
        <f>IF(A2080="D",LEFT(UPPER(E2080)&amp;REPT(" ",15),15)," ")</f>
        <v/>
      </c>
      <c r="V2080" s="10">
        <f>REPT(" ",24)</f>
        <v/>
      </c>
      <c r="W2080" s="10">
        <f>IF(A2080="c",LEFT(UPPER(B2080)&amp;REPT(" ",20),20),REPT(" ",20))</f>
        <v/>
      </c>
      <c r="X2080" s="10">
        <f>IF(A2080="C",LEFT(UPPER(C2080)&amp;REPT(" ",10),10)," ")</f>
        <v/>
      </c>
      <c r="Y2080" s="10">
        <f>IF(A2080="C",LEFT(UPPER(D2080)&amp;REPT(" ",2),2)," ")</f>
        <v/>
      </c>
      <c r="Z2080" s="10">
        <f>IF(A2080="C",LEFT(UPPER(E2080)&amp;REPT(" ",15),15)," ")</f>
        <v/>
      </c>
      <c r="AA2080" s="10">
        <f>REPT(" ",8)</f>
        <v/>
      </c>
      <c r="AB2080" s="10">
        <f>REPT(" ",4)</f>
        <v/>
      </c>
      <c r="AC2080" s="10">
        <f>LEFT(UPPER(H2080)&amp;REPT(" ",250),250)</f>
        <v/>
      </c>
      <c r="AD2080" s="10">
        <f>TEXT($G$2,"dd/mm/aaaa")</f>
        <v/>
      </c>
      <c r="AE2080" s="10">
        <f>REPT(" ",10)</f>
        <v/>
      </c>
      <c r="AF2080" s="10">
        <f>REPT(" ",20)</f>
        <v/>
      </c>
      <c r="AG2080" s="54">
        <f>REPT(" ",18-LEN(FIXED(F2080,2,TRUE)))&amp;FIXED(F2080,2,TRUE)</f>
        <v/>
      </c>
      <c r="AH2080" s="10">
        <f>LEN(AC2080)+LEN(AG2080)</f>
        <v/>
      </c>
      <c r="AI2080" s="10">
        <f>LEN(L2080)</f>
        <v/>
      </c>
    </row>
    <row r="2081">
      <c r="J2081" s="12">
        <f>IF(F2081&lt;&gt;0,"LANÇAR","")</f>
        <v/>
      </c>
      <c r="L2081" s="13">
        <f>N2081&amp;O2081&amp;P2081&amp;Q2081&amp;R2081&amp;S2081&amp;T2081&amp;U2081&amp;V2081&amp;W2081&amp;X2081&amp;Y2081&amp;Z2081&amp;AA2081&amp;AB2081&amp;AC2081&amp;AD2081&amp;AE2081&amp;AF2081&amp;AG2081</f>
        <v/>
      </c>
      <c r="N2081" s="10">
        <f>TEXT($B$6,"00")</f>
        <v/>
      </c>
      <c r="O2081" s="10">
        <f>REPT(" ",8)</f>
        <v/>
      </c>
      <c r="P2081" s="10">
        <f>RIGHT($B$4,2)</f>
        <v/>
      </c>
      <c r="Q2081" s="10">
        <f>RIGHT($B$5,3)</f>
        <v/>
      </c>
      <c r="R2081" s="10">
        <f>IF(A2081="D",LEFT(UPPER(B2081)&amp;REPT(" ",20),20),REPT(" ",20))</f>
        <v/>
      </c>
      <c r="S2081" s="10">
        <f>IF(A2081="D",LEFT(UPPER(C2081)&amp;REPT(" ",10),10)," ")</f>
        <v/>
      </c>
      <c r="T2081" s="10">
        <f>IF(A2081="D",LEFT(UPPER(D2081)&amp;REPT(" ",2),2)," ")</f>
        <v/>
      </c>
      <c r="U2081" s="10">
        <f>IF(A2081="D",LEFT(UPPER(E2081)&amp;REPT(" ",15),15)," ")</f>
        <v/>
      </c>
      <c r="V2081" s="10">
        <f>REPT(" ",24)</f>
        <v/>
      </c>
      <c r="W2081" s="10">
        <f>IF(A2081="c",LEFT(UPPER(B2081)&amp;REPT(" ",20),20),REPT(" ",20))</f>
        <v/>
      </c>
      <c r="X2081" s="10">
        <f>IF(A2081="C",LEFT(UPPER(C2081)&amp;REPT(" ",10),10)," ")</f>
        <v/>
      </c>
      <c r="Y2081" s="10">
        <f>IF(A2081="C",LEFT(UPPER(D2081)&amp;REPT(" ",2),2)," ")</f>
        <v/>
      </c>
      <c r="Z2081" s="10">
        <f>IF(A2081="C",LEFT(UPPER(E2081)&amp;REPT(" ",15),15)," ")</f>
        <v/>
      </c>
      <c r="AA2081" s="10">
        <f>REPT(" ",8)</f>
        <v/>
      </c>
      <c r="AB2081" s="10">
        <f>REPT(" ",4)</f>
        <v/>
      </c>
      <c r="AC2081" s="10">
        <f>LEFT(UPPER(H2081)&amp;REPT(" ",250),250)</f>
        <v/>
      </c>
      <c r="AD2081" s="10">
        <f>TEXT($G$2,"dd/mm/aaaa")</f>
        <v/>
      </c>
      <c r="AE2081" s="10">
        <f>REPT(" ",10)</f>
        <v/>
      </c>
      <c r="AF2081" s="10">
        <f>REPT(" ",20)</f>
        <v/>
      </c>
      <c r="AG2081" s="54">
        <f>REPT(" ",18-LEN(FIXED(F2081,2,TRUE)))&amp;FIXED(F2081,2,TRUE)</f>
        <v/>
      </c>
      <c r="AH2081" s="10">
        <f>LEN(AC2081)+LEN(AG2081)</f>
        <v/>
      </c>
      <c r="AI2081" s="10">
        <f>LEN(L2081)</f>
        <v/>
      </c>
    </row>
    <row r="2082">
      <c r="J2082" s="12">
        <f>IF(F2082&lt;&gt;0,"LANÇAR","")</f>
        <v/>
      </c>
      <c r="L2082" s="13">
        <f>N2082&amp;O2082&amp;P2082&amp;Q2082&amp;R2082&amp;S2082&amp;T2082&amp;U2082&amp;V2082&amp;W2082&amp;X2082&amp;Y2082&amp;Z2082&amp;AA2082&amp;AB2082&amp;AC2082&amp;AD2082&amp;AE2082&amp;AF2082&amp;AG2082</f>
        <v/>
      </c>
      <c r="N2082" s="10">
        <f>TEXT($B$6,"00")</f>
        <v/>
      </c>
      <c r="O2082" s="10">
        <f>REPT(" ",8)</f>
        <v/>
      </c>
      <c r="P2082" s="10">
        <f>RIGHT($B$4,2)</f>
        <v/>
      </c>
      <c r="Q2082" s="10">
        <f>RIGHT($B$5,3)</f>
        <v/>
      </c>
      <c r="R2082" s="10">
        <f>IF(A2082="D",LEFT(UPPER(B2082)&amp;REPT(" ",20),20),REPT(" ",20))</f>
        <v/>
      </c>
      <c r="S2082" s="10">
        <f>IF(A2082="D",LEFT(UPPER(C2082)&amp;REPT(" ",10),10)," ")</f>
        <v/>
      </c>
      <c r="T2082" s="10">
        <f>IF(A2082="D",LEFT(UPPER(D2082)&amp;REPT(" ",2),2)," ")</f>
        <v/>
      </c>
      <c r="U2082" s="10">
        <f>IF(A2082="D",LEFT(UPPER(E2082)&amp;REPT(" ",15),15)," ")</f>
        <v/>
      </c>
      <c r="V2082" s="10">
        <f>REPT(" ",24)</f>
        <v/>
      </c>
      <c r="W2082" s="10">
        <f>IF(A2082="c",LEFT(UPPER(B2082)&amp;REPT(" ",20),20),REPT(" ",20))</f>
        <v/>
      </c>
      <c r="X2082" s="10">
        <f>IF(A2082="C",LEFT(UPPER(C2082)&amp;REPT(" ",10),10)," ")</f>
        <v/>
      </c>
      <c r="Y2082" s="10">
        <f>IF(A2082="C",LEFT(UPPER(D2082)&amp;REPT(" ",2),2)," ")</f>
        <v/>
      </c>
      <c r="Z2082" s="10">
        <f>IF(A2082="C",LEFT(UPPER(E2082)&amp;REPT(" ",15),15)," ")</f>
        <v/>
      </c>
      <c r="AA2082" s="10">
        <f>REPT(" ",8)</f>
        <v/>
      </c>
      <c r="AB2082" s="10">
        <f>REPT(" ",4)</f>
        <v/>
      </c>
      <c r="AC2082" s="10">
        <f>LEFT(UPPER(H2082)&amp;REPT(" ",250),250)</f>
        <v/>
      </c>
      <c r="AD2082" s="10">
        <f>TEXT($G$2,"dd/mm/aaaa")</f>
        <v/>
      </c>
      <c r="AE2082" s="10">
        <f>REPT(" ",10)</f>
        <v/>
      </c>
      <c r="AF2082" s="10">
        <f>REPT(" ",20)</f>
        <v/>
      </c>
      <c r="AG2082" s="54">
        <f>REPT(" ",18-LEN(FIXED(F2082,2,TRUE)))&amp;FIXED(F2082,2,TRUE)</f>
        <v/>
      </c>
      <c r="AH2082" s="10">
        <f>LEN(AC2082)+LEN(AG2082)</f>
        <v/>
      </c>
      <c r="AI2082" s="10">
        <f>LEN(L2082)</f>
        <v/>
      </c>
    </row>
    <row r="2083">
      <c r="J2083" s="12">
        <f>IF(F2083&lt;&gt;0,"LANÇAR","")</f>
        <v/>
      </c>
      <c r="L2083" s="13">
        <f>N2083&amp;O2083&amp;P2083&amp;Q2083&amp;R2083&amp;S2083&amp;T2083&amp;U2083&amp;V2083&amp;W2083&amp;X2083&amp;Y2083&amp;Z2083&amp;AA2083&amp;AB2083&amp;AC2083&amp;AD2083&amp;AE2083&amp;AF2083&amp;AG2083</f>
        <v/>
      </c>
      <c r="N2083" s="10">
        <f>TEXT($B$6,"00")</f>
        <v/>
      </c>
      <c r="O2083" s="10">
        <f>REPT(" ",8)</f>
        <v/>
      </c>
      <c r="P2083" s="10">
        <f>RIGHT($B$4,2)</f>
        <v/>
      </c>
      <c r="Q2083" s="10">
        <f>RIGHT($B$5,3)</f>
        <v/>
      </c>
      <c r="R2083" s="10">
        <f>IF(A2083="D",LEFT(UPPER(B2083)&amp;REPT(" ",20),20),REPT(" ",20))</f>
        <v/>
      </c>
      <c r="S2083" s="10">
        <f>IF(A2083="D",LEFT(UPPER(C2083)&amp;REPT(" ",10),10)," ")</f>
        <v/>
      </c>
      <c r="T2083" s="10">
        <f>IF(A2083="D",LEFT(UPPER(D2083)&amp;REPT(" ",2),2)," ")</f>
        <v/>
      </c>
      <c r="U2083" s="10">
        <f>IF(A2083="D",LEFT(UPPER(E2083)&amp;REPT(" ",15),15)," ")</f>
        <v/>
      </c>
      <c r="V2083" s="10">
        <f>REPT(" ",24)</f>
        <v/>
      </c>
      <c r="W2083" s="10">
        <f>IF(A2083="c",LEFT(UPPER(B2083)&amp;REPT(" ",20),20),REPT(" ",20))</f>
        <v/>
      </c>
      <c r="X2083" s="10">
        <f>IF(A2083="C",LEFT(UPPER(C2083)&amp;REPT(" ",10),10)," ")</f>
        <v/>
      </c>
      <c r="Y2083" s="10">
        <f>IF(A2083="C",LEFT(UPPER(D2083)&amp;REPT(" ",2),2)," ")</f>
        <v/>
      </c>
      <c r="Z2083" s="10">
        <f>IF(A2083="C",LEFT(UPPER(E2083)&amp;REPT(" ",15),15)," ")</f>
        <v/>
      </c>
      <c r="AA2083" s="10">
        <f>REPT(" ",8)</f>
        <v/>
      </c>
      <c r="AB2083" s="10">
        <f>REPT(" ",4)</f>
        <v/>
      </c>
      <c r="AC2083" s="10">
        <f>LEFT(UPPER(H2083)&amp;REPT(" ",250),250)</f>
        <v/>
      </c>
      <c r="AD2083" s="10">
        <f>TEXT($G$2,"dd/mm/aaaa")</f>
        <v/>
      </c>
      <c r="AE2083" s="10">
        <f>REPT(" ",10)</f>
        <v/>
      </c>
      <c r="AF2083" s="10">
        <f>REPT(" ",20)</f>
        <v/>
      </c>
      <c r="AG2083" s="54">
        <f>REPT(" ",18-LEN(FIXED(F2083,2,TRUE)))&amp;FIXED(F2083,2,TRUE)</f>
        <v/>
      </c>
      <c r="AH2083" s="10">
        <f>LEN(AC2083)+LEN(AG2083)</f>
        <v/>
      </c>
      <c r="AI2083" s="10">
        <f>LEN(L2083)</f>
        <v/>
      </c>
    </row>
    <row r="2084">
      <c r="J2084" s="12">
        <f>IF(F2084&lt;&gt;0,"LANÇAR","")</f>
        <v/>
      </c>
      <c r="L2084" s="13">
        <f>N2084&amp;O2084&amp;P2084&amp;Q2084&amp;R2084&amp;S2084&amp;T2084&amp;U2084&amp;V2084&amp;W2084&amp;X2084&amp;Y2084&amp;Z2084&amp;AA2084&amp;AB2084&amp;AC2084&amp;AD2084&amp;AE2084&amp;AF2084&amp;AG2084</f>
        <v/>
      </c>
      <c r="N2084" s="10">
        <f>TEXT($B$6,"00")</f>
        <v/>
      </c>
      <c r="O2084" s="10">
        <f>REPT(" ",8)</f>
        <v/>
      </c>
      <c r="P2084" s="10">
        <f>RIGHT($B$4,2)</f>
        <v/>
      </c>
      <c r="Q2084" s="10">
        <f>RIGHT($B$5,3)</f>
        <v/>
      </c>
      <c r="R2084" s="10">
        <f>IF(A2084="D",LEFT(UPPER(B2084)&amp;REPT(" ",20),20),REPT(" ",20))</f>
        <v/>
      </c>
      <c r="S2084" s="10">
        <f>IF(A2084="D",LEFT(UPPER(C2084)&amp;REPT(" ",10),10)," ")</f>
        <v/>
      </c>
      <c r="T2084" s="10">
        <f>IF(A2084="D",LEFT(UPPER(D2084)&amp;REPT(" ",2),2)," ")</f>
        <v/>
      </c>
      <c r="U2084" s="10">
        <f>IF(A2084="D",LEFT(UPPER(E2084)&amp;REPT(" ",15),15)," ")</f>
        <v/>
      </c>
      <c r="V2084" s="10">
        <f>REPT(" ",24)</f>
        <v/>
      </c>
      <c r="W2084" s="10">
        <f>IF(A2084="c",LEFT(UPPER(B2084)&amp;REPT(" ",20),20),REPT(" ",20))</f>
        <v/>
      </c>
      <c r="X2084" s="10">
        <f>IF(A2084="C",LEFT(UPPER(C2084)&amp;REPT(" ",10),10)," ")</f>
        <v/>
      </c>
      <c r="Y2084" s="10">
        <f>IF(A2084="C",LEFT(UPPER(D2084)&amp;REPT(" ",2),2)," ")</f>
        <v/>
      </c>
      <c r="Z2084" s="10">
        <f>IF(A2084="C",LEFT(UPPER(E2084)&amp;REPT(" ",15),15)," ")</f>
        <v/>
      </c>
      <c r="AA2084" s="10">
        <f>REPT(" ",8)</f>
        <v/>
      </c>
      <c r="AB2084" s="10">
        <f>REPT(" ",4)</f>
        <v/>
      </c>
      <c r="AC2084" s="10">
        <f>LEFT(UPPER(H2084)&amp;REPT(" ",250),250)</f>
        <v/>
      </c>
      <c r="AD2084" s="10">
        <f>TEXT($G$2,"dd/mm/aaaa")</f>
        <v/>
      </c>
      <c r="AE2084" s="10">
        <f>REPT(" ",10)</f>
        <v/>
      </c>
      <c r="AF2084" s="10">
        <f>REPT(" ",20)</f>
        <v/>
      </c>
      <c r="AG2084" s="54">
        <f>REPT(" ",18-LEN(FIXED(F2084,2,TRUE)))&amp;FIXED(F2084,2,TRUE)</f>
        <v/>
      </c>
      <c r="AH2084" s="10">
        <f>LEN(AC2084)+LEN(AG2084)</f>
        <v/>
      </c>
      <c r="AI2084" s="10">
        <f>LEN(L2084)</f>
        <v/>
      </c>
    </row>
    <row r="2085">
      <c r="J2085" s="12">
        <f>IF(F2085&lt;&gt;0,"LANÇAR","")</f>
        <v/>
      </c>
      <c r="L2085" s="13">
        <f>N2085&amp;O2085&amp;P2085&amp;Q2085&amp;R2085&amp;S2085&amp;T2085&amp;U2085&amp;V2085&amp;W2085&amp;X2085&amp;Y2085&amp;Z2085&amp;AA2085&amp;AB2085&amp;AC2085&amp;AD2085&amp;AE2085&amp;AF2085&amp;AG2085</f>
        <v/>
      </c>
      <c r="N2085" s="10">
        <f>TEXT($B$6,"00")</f>
        <v/>
      </c>
      <c r="O2085" s="10">
        <f>REPT(" ",8)</f>
        <v/>
      </c>
      <c r="P2085" s="10">
        <f>RIGHT($B$4,2)</f>
        <v/>
      </c>
      <c r="Q2085" s="10">
        <f>RIGHT($B$5,3)</f>
        <v/>
      </c>
      <c r="R2085" s="10">
        <f>IF(A2085="D",LEFT(UPPER(B2085)&amp;REPT(" ",20),20),REPT(" ",20))</f>
        <v/>
      </c>
      <c r="S2085" s="10">
        <f>IF(A2085="D",LEFT(UPPER(C2085)&amp;REPT(" ",10),10)," ")</f>
        <v/>
      </c>
      <c r="T2085" s="10">
        <f>IF(A2085="D",LEFT(UPPER(D2085)&amp;REPT(" ",2),2)," ")</f>
        <v/>
      </c>
      <c r="U2085" s="10">
        <f>IF(A2085="D",LEFT(UPPER(E2085)&amp;REPT(" ",15),15)," ")</f>
        <v/>
      </c>
      <c r="V2085" s="10">
        <f>REPT(" ",24)</f>
        <v/>
      </c>
      <c r="W2085" s="10">
        <f>IF(A2085="c",LEFT(UPPER(B2085)&amp;REPT(" ",20),20),REPT(" ",20))</f>
        <v/>
      </c>
      <c r="X2085" s="10">
        <f>IF(A2085="C",LEFT(UPPER(C2085)&amp;REPT(" ",10),10)," ")</f>
        <v/>
      </c>
      <c r="Y2085" s="10">
        <f>IF(A2085="C",LEFT(UPPER(D2085)&amp;REPT(" ",2),2)," ")</f>
        <v/>
      </c>
      <c r="Z2085" s="10">
        <f>IF(A2085="C",LEFT(UPPER(E2085)&amp;REPT(" ",15),15)," ")</f>
        <v/>
      </c>
      <c r="AA2085" s="10">
        <f>REPT(" ",8)</f>
        <v/>
      </c>
      <c r="AB2085" s="10">
        <f>REPT(" ",4)</f>
        <v/>
      </c>
      <c r="AC2085" s="10">
        <f>LEFT(UPPER(H2085)&amp;REPT(" ",250),250)</f>
        <v/>
      </c>
      <c r="AD2085" s="10">
        <f>TEXT($G$2,"dd/mm/aaaa")</f>
        <v/>
      </c>
      <c r="AE2085" s="10">
        <f>REPT(" ",10)</f>
        <v/>
      </c>
      <c r="AF2085" s="10">
        <f>REPT(" ",20)</f>
        <v/>
      </c>
      <c r="AG2085" s="54">
        <f>REPT(" ",18-LEN(FIXED(F2085,2,TRUE)))&amp;FIXED(F2085,2,TRUE)</f>
        <v/>
      </c>
      <c r="AH2085" s="10">
        <f>LEN(AC2085)+LEN(AG2085)</f>
        <v/>
      </c>
      <c r="AI2085" s="10">
        <f>LEN(L2085)</f>
        <v/>
      </c>
    </row>
    <row r="2086">
      <c r="J2086" s="12">
        <f>IF(F2086&lt;&gt;0,"LANÇAR","")</f>
        <v/>
      </c>
      <c r="L2086" s="13">
        <f>N2086&amp;O2086&amp;P2086&amp;Q2086&amp;R2086&amp;S2086&amp;T2086&amp;U2086&amp;V2086&amp;W2086&amp;X2086&amp;Y2086&amp;Z2086&amp;AA2086&amp;AB2086&amp;AC2086&amp;AD2086&amp;AE2086&amp;AF2086&amp;AG2086</f>
        <v/>
      </c>
      <c r="N2086" s="10">
        <f>TEXT($B$6,"00")</f>
        <v/>
      </c>
      <c r="O2086" s="10">
        <f>REPT(" ",8)</f>
        <v/>
      </c>
      <c r="P2086" s="10">
        <f>RIGHT($B$4,2)</f>
        <v/>
      </c>
      <c r="Q2086" s="10">
        <f>RIGHT($B$5,3)</f>
        <v/>
      </c>
      <c r="R2086" s="10">
        <f>IF(A2086="D",LEFT(UPPER(B2086)&amp;REPT(" ",20),20),REPT(" ",20))</f>
        <v/>
      </c>
      <c r="S2086" s="10">
        <f>IF(A2086="D",LEFT(UPPER(C2086)&amp;REPT(" ",10),10)," ")</f>
        <v/>
      </c>
      <c r="T2086" s="10">
        <f>IF(A2086="D",LEFT(UPPER(D2086)&amp;REPT(" ",2),2)," ")</f>
        <v/>
      </c>
      <c r="U2086" s="10">
        <f>IF(A2086="D",LEFT(UPPER(E2086)&amp;REPT(" ",15),15)," ")</f>
        <v/>
      </c>
      <c r="V2086" s="10">
        <f>REPT(" ",24)</f>
        <v/>
      </c>
      <c r="W2086" s="10">
        <f>IF(A2086="c",LEFT(UPPER(B2086)&amp;REPT(" ",20),20),REPT(" ",20))</f>
        <v/>
      </c>
      <c r="X2086" s="10">
        <f>IF(A2086="C",LEFT(UPPER(C2086)&amp;REPT(" ",10),10)," ")</f>
        <v/>
      </c>
      <c r="Y2086" s="10">
        <f>IF(A2086="C",LEFT(UPPER(D2086)&amp;REPT(" ",2),2)," ")</f>
        <v/>
      </c>
      <c r="Z2086" s="10">
        <f>IF(A2086="C",LEFT(UPPER(E2086)&amp;REPT(" ",15),15)," ")</f>
        <v/>
      </c>
      <c r="AA2086" s="10">
        <f>REPT(" ",8)</f>
        <v/>
      </c>
      <c r="AB2086" s="10">
        <f>REPT(" ",4)</f>
        <v/>
      </c>
      <c r="AC2086" s="10">
        <f>LEFT(UPPER(H2086)&amp;REPT(" ",250),250)</f>
        <v/>
      </c>
      <c r="AD2086" s="10">
        <f>TEXT($G$2,"dd/mm/aaaa")</f>
        <v/>
      </c>
      <c r="AE2086" s="10">
        <f>REPT(" ",10)</f>
        <v/>
      </c>
      <c r="AF2086" s="10">
        <f>REPT(" ",20)</f>
        <v/>
      </c>
      <c r="AG2086" s="54">
        <f>REPT(" ",18-LEN(FIXED(F2086,2,TRUE)))&amp;FIXED(F2086,2,TRUE)</f>
        <v/>
      </c>
      <c r="AH2086" s="10">
        <f>LEN(AC2086)+LEN(AG2086)</f>
        <v/>
      </c>
      <c r="AI2086" s="10">
        <f>LEN(L2086)</f>
        <v/>
      </c>
    </row>
    <row r="2087">
      <c r="J2087" s="12">
        <f>IF(F2087&lt;&gt;0,"LANÇAR","")</f>
        <v/>
      </c>
      <c r="L2087" s="13">
        <f>N2087&amp;O2087&amp;P2087&amp;Q2087&amp;R2087&amp;S2087&amp;T2087&amp;U2087&amp;V2087&amp;W2087&amp;X2087&amp;Y2087&amp;Z2087&amp;AA2087&amp;AB2087&amp;AC2087&amp;AD2087&amp;AE2087&amp;AF2087&amp;AG2087</f>
        <v/>
      </c>
      <c r="N2087" s="10">
        <f>TEXT($B$6,"00")</f>
        <v/>
      </c>
      <c r="O2087" s="10">
        <f>REPT(" ",8)</f>
        <v/>
      </c>
      <c r="P2087" s="10">
        <f>RIGHT($B$4,2)</f>
        <v/>
      </c>
      <c r="Q2087" s="10">
        <f>RIGHT($B$5,3)</f>
        <v/>
      </c>
      <c r="R2087" s="10">
        <f>IF(A2087="D",LEFT(UPPER(B2087)&amp;REPT(" ",20),20),REPT(" ",20))</f>
        <v/>
      </c>
      <c r="S2087" s="10">
        <f>IF(A2087="D",LEFT(UPPER(C2087)&amp;REPT(" ",10),10)," ")</f>
        <v/>
      </c>
      <c r="T2087" s="10">
        <f>IF(A2087="D",LEFT(UPPER(D2087)&amp;REPT(" ",2),2)," ")</f>
        <v/>
      </c>
      <c r="U2087" s="10">
        <f>IF(A2087="D",LEFT(UPPER(E2087)&amp;REPT(" ",15),15)," ")</f>
        <v/>
      </c>
      <c r="V2087" s="10">
        <f>REPT(" ",24)</f>
        <v/>
      </c>
      <c r="W2087" s="10">
        <f>IF(A2087="c",LEFT(UPPER(B2087)&amp;REPT(" ",20),20),REPT(" ",20))</f>
        <v/>
      </c>
      <c r="X2087" s="10">
        <f>IF(A2087="C",LEFT(UPPER(C2087)&amp;REPT(" ",10),10)," ")</f>
        <v/>
      </c>
      <c r="Y2087" s="10">
        <f>IF(A2087="C",LEFT(UPPER(D2087)&amp;REPT(" ",2),2)," ")</f>
        <v/>
      </c>
      <c r="Z2087" s="10">
        <f>IF(A2087="C",LEFT(UPPER(E2087)&amp;REPT(" ",15),15)," ")</f>
        <v/>
      </c>
      <c r="AA2087" s="10">
        <f>REPT(" ",8)</f>
        <v/>
      </c>
      <c r="AB2087" s="10">
        <f>REPT(" ",4)</f>
        <v/>
      </c>
      <c r="AC2087" s="10">
        <f>LEFT(UPPER(H2087)&amp;REPT(" ",250),250)</f>
        <v/>
      </c>
      <c r="AD2087" s="10">
        <f>TEXT($G$2,"dd/mm/aaaa")</f>
        <v/>
      </c>
      <c r="AE2087" s="10">
        <f>REPT(" ",10)</f>
        <v/>
      </c>
      <c r="AF2087" s="10">
        <f>REPT(" ",20)</f>
        <v/>
      </c>
      <c r="AG2087" s="54">
        <f>REPT(" ",18-LEN(FIXED(F2087,2,TRUE)))&amp;FIXED(F2087,2,TRUE)</f>
        <v/>
      </c>
      <c r="AH2087" s="10">
        <f>LEN(AC2087)+LEN(AG2087)</f>
        <v/>
      </c>
      <c r="AI2087" s="10">
        <f>LEN(L2087)</f>
        <v/>
      </c>
    </row>
    <row r="2088">
      <c r="J2088" s="12">
        <f>IF(F2088&lt;&gt;0,"LANÇAR","")</f>
        <v/>
      </c>
      <c r="L2088" s="13">
        <f>N2088&amp;O2088&amp;P2088&amp;Q2088&amp;R2088&amp;S2088&amp;T2088&amp;U2088&amp;V2088&amp;W2088&amp;X2088&amp;Y2088&amp;Z2088&amp;AA2088&amp;AB2088&amp;AC2088&amp;AD2088&amp;AE2088&amp;AF2088&amp;AG2088</f>
        <v/>
      </c>
      <c r="N2088" s="10">
        <f>TEXT($B$6,"00")</f>
        <v/>
      </c>
      <c r="O2088" s="10">
        <f>REPT(" ",8)</f>
        <v/>
      </c>
      <c r="P2088" s="10">
        <f>RIGHT($B$4,2)</f>
        <v/>
      </c>
      <c r="Q2088" s="10">
        <f>RIGHT($B$5,3)</f>
        <v/>
      </c>
      <c r="R2088" s="10">
        <f>IF(A2088="D",LEFT(UPPER(B2088)&amp;REPT(" ",20),20),REPT(" ",20))</f>
        <v/>
      </c>
      <c r="S2088" s="10">
        <f>IF(A2088="D",LEFT(UPPER(C2088)&amp;REPT(" ",10),10)," ")</f>
        <v/>
      </c>
      <c r="T2088" s="10">
        <f>IF(A2088="D",LEFT(UPPER(D2088)&amp;REPT(" ",2),2)," ")</f>
        <v/>
      </c>
      <c r="U2088" s="10">
        <f>IF(A2088="D",LEFT(UPPER(E2088)&amp;REPT(" ",15),15)," ")</f>
        <v/>
      </c>
      <c r="V2088" s="10">
        <f>REPT(" ",24)</f>
        <v/>
      </c>
      <c r="W2088" s="10">
        <f>IF(A2088="c",LEFT(UPPER(B2088)&amp;REPT(" ",20),20),REPT(" ",20))</f>
        <v/>
      </c>
      <c r="X2088" s="10">
        <f>IF(A2088="C",LEFT(UPPER(C2088)&amp;REPT(" ",10),10)," ")</f>
        <v/>
      </c>
      <c r="Y2088" s="10">
        <f>IF(A2088="C",LEFT(UPPER(D2088)&amp;REPT(" ",2),2)," ")</f>
        <v/>
      </c>
      <c r="Z2088" s="10">
        <f>IF(A2088="C",LEFT(UPPER(E2088)&amp;REPT(" ",15),15)," ")</f>
        <v/>
      </c>
      <c r="AA2088" s="10">
        <f>REPT(" ",8)</f>
        <v/>
      </c>
      <c r="AB2088" s="10">
        <f>REPT(" ",4)</f>
        <v/>
      </c>
      <c r="AC2088" s="10">
        <f>LEFT(UPPER(H2088)&amp;REPT(" ",250),250)</f>
        <v/>
      </c>
      <c r="AD2088" s="10">
        <f>TEXT($G$2,"dd/mm/aaaa")</f>
        <v/>
      </c>
      <c r="AE2088" s="10">
        <f>REPT(" ",10)</f>
        <v/>
      </c>
      <c r="AF2088" s="10">
        <f>REPT(" ",20)</f>
        <v/>
      </c>
      <c r="AG2088" s="54">
        <f>REPT(" ",18-LEN(FIXED(F2088,2,TRUE)))&amp;FIXED(F2088,2,TRUE)</f>
        <v/>
      </c>
      <c r="AH2088" s="10">
        <f>LEN(AC2088)+LEN(AG2088)</f>
        <v/>
      </c>
      <c r="AI2088" s="10">
        <f>LEN(L2088)</f>
        <v/>
      </c>
    </row>
    <row r="2089">
      <c r="J2089" s="12">
        <f>IF(F2089&lt;&gt;0,"LANÇAR","")</f>
        <v/>
      </c>
      <c r="L2089" s="13">
        <f>N2089&amp;O2089&amp;P2089&amp;Q2089&amp;R2089&amp;S2089&amp;T2089&amp;U2089&amp;V2089&amp;W2089&amp;X2089&amp;Y2089&amp;Z2089&amp;AA2089&amp;AB2089&amp;AC2089&amp;AD2089&amp;AE2089&amp;AF2089&amp;AG2089</f>
        <v/>
      </c>
      <c r="N2089" s="10">
        <f>TEXT($B$6,"00")</f>
        <v/>
      </c>
      <c r="O2089" s="10">
        <f>REPT(" ",8)</f>
        <v/>
      </c>
      <c r="P2089" s="10">
        <f>RIGHT($B$4,2)</f>
        <v/>
      </c>
      <c r="Q2089" s="10">
        <f>RIGHT($B$5,3)</f>
        <v/>
      </c>
      <c r="R2089" s="10">
        <f>IF(A2089="D",LEFT(UPPER(B2089)&amp;REPT(" ",20),20),REPT(" ",20))</f>
        <v/>
      </c>
      <c r="S2089" s="10">
        <f>IF(A2089="D",LEFT(UPPER(C2089)&amp;REPT(" ",10),10)," ")</f>
        <v/>
      </c>
      <c r="T2089" s="10">
        <f>IF(A2089="D",LEFT(UPPER(D2089)&amp;REPT(" ",2),2)," ")</f>
        <v/>
      </c>
      <c r="U2089" s="10">
        <f>IF(A2089="D",LEFT(UPPER(E2089)&amp;REPT(" ",15),15)," ")</f>
        <v/>
      </c>
      <c r="V2089" s="10">
        <f>REPT(" ",24)</f>
        <v/>
      </c>
      <c r="W2089" s="10">
        <f>IF(A2089="c",LEFT(UPPER(B2089)&amp;REPT(" ",20),20),REPT(" ",20))</f>
        <v/>
      </c>
      <c r="X2089" s="10">
        <f>IF(A2089="C",LEFT(UPPER(C2089)&amp;REPT(" ",10),10)," ")</f>
        <v/>
      </c>
      <c r="Y2089" s="10">
        <f>IF(A2089="C",LEFT(UPPER(D2089)&amp;REPT(" ",2),2)," ")</f>
        <v/>
      </c>
      <c r="Z2089" s="10">
        <f>IF(A2089="C",LEFT(UPPER(E2089)&amp;REPT(" ",15),15)," ")</f>
        <v/>
      </c>
      <c r="AA2089" s="10">
        <f>REPT(" ",8)</f>
        <v/>
      </c>
      <c r="AB2089" s="10">
        <f>REPT(" ",4)</f>
        <v/>
      </c>
      <c r="AC2089" s="10">
        <f>LEFT(UPPER(H2089)&amp;REPT(" ",250),250)</f>
        <v/>
      </c>
      <c r="AD2089" s="10">
        <f>TEXT($G$2,"dd/mm/aaaa")</f>
        <v/>
      </c>
      <c r="AE2089" s="10">
        <f>REPT(" ",10)</f>
        <v/>
      </c>
      <c r="AF2089" s="10">
        <f>REPT(" ",20)</f>
        <v/>
      </c>
      <c r="AG2089" s="54">
        <f>REPT(" ",18-LEN(FIXED(F2089,2,TRUE)))&amp;FIXED(F2089,2,TRUE)</f>
        <v/>
      </c>
      <c r="AH2089" s="10">
        <f>LEN(AC2089)+LEN(AG2089)</f>
        <v/>
      </c>
      <c r="AI2089" s="10">
        <f>LEN(L2089)</f>
        <v/>
      </c>
    </row>
    <row r="2090">
      <c r="J2090" s="12">
        <f>IF(F2090&lt;&gt;0,"LANÇAR","")</f>
        <v/>
      </c>
      <c r="L2090" s="13">
        <f>N2090&amp;O2090&amp;P2090&amp;Q2090&amp;R2090&amp;S2090&amp;T2090&amp;U2090&amp;V2090&amp;W2090&amp;X2090&amp;Y2090&amp;Z2090&amp;AA2090&amp;AB2090&amp;AC2090&amp;AD2090&amp;AE2090&amp;AF2090&amp;AG2090</f>
        <v/>
      </c>
      <c r="N2090" s="10">
        <f>TEXT($B$6,"00")</f>
        <v/>
      </c>
      <c r="O2090" s="10">
        <f>REPT(" ",8)</f>
        <v/>
      </c>
      <c r="P2090" s="10">
        <f>RIGHT($B$4,2)</f>
        <v/>
      </c>
      <c r="Q2090" s="10">
        <f>RIGHT($B$5,3)</f>
        <v/>
      </c>
      <c r="R2090" s="10">
        <f>IF(A2090="D",LEFT(UPPER(B2090)&amp;REPT(" ",20),20),REPT(" ",20))</f>
        <v/>
      </c>
      <c r="S2090" s="10">
        <f>IF(A2090="D",LEFT(UPPER(C2090)&amp;REPT(" ",10),10)," ")</f>
        <v/>
      </c>
      <c r="T2090" s="10">
        <f>IF(A2090="D",LEFT(UPPER(D2090)&amp;REPT(" ",2),2)," ")</f>
        <v/>
      </c>
      <c r="U2090" s="10">
        <f>IF(A2090="D",LEFT(UPPER(E2090)&amp;REPT(" ",15),15)," ")</f>
        <v/>
      </c>
      <c r="V2090" s="10">
        <f>REPT(" ",24)</f>
        <v/>
      </c>
      <c r="W2090" s="10">
        <f>IF(A2090="c",LEFT(UPPER(B2090)&amp;REPT(" ",20),20),REPT(" ",20))</f>
        <v/>
      </c>
      <c r="X2090" s="10">
        <f>IF(A2090="C",LEFT(UPPER(C2090)&amp;REPT(" ",10),10)," ")</f>
        <v/>
      </c>
      <c r="Y2090" s="10">
        <f>IF(A2090="C",LEFT(UPPER(D2090)&amp;REPT(" ",2),2)," ")</f>
        <v/>
      </c>
      <c r="Z2090" s="10">
        <f>IF(A2090="C",LEFT(UPPER(E2090)&amp;REPT(" ",15),15)," ")</f>
        <v/>
      </c>
      <c r="AA2090" s="10">
        <f>REPT(" ",8)</f>
        <v/>
      </c>
      <c r="AB2090" s="10">
        <f>REPT(" ",4)</f>
        <v/>
      </c>
      <c r="AC2090" s="10">
        <f>LEFT(UPPER(H2090)&amp;REPT(" ",250),250)</f>
        <v/>
      </c>
      <c r="AD2090" s="10">
        <f>TEXT($G$2,"dd/mm/aaaa")</f>
        <v/>
      </c>
      <c r="AE2090" s="10">
        <f>REPT(" ",10)</f>
        <v/>
      </c>
      <c r="AF2090" s="10">
        <f>REPT(" ",20)</f>
        <v/>
      </c>
      <c r="AG2090" s="54">
        <f>REPT(" ",18-LEN(FIXED(F2090,2,TRUE)))&amp;FIXED(F2090,2,TRUE)</f>
        <v/>
      </c>
      <c r="AH2090" s="10">
        <f>LEN(AC2090)+LEN(AG2090)</f>
        <v/>
      </c>
      <c r="AI2090" s="10">
        <f>LEN(L2090)</f>
        <v/>
      </c>
    </row>
    <row r="2091">
      <c r="J2091" s="12">
        <f>IF(F2091&lt;&gt;0,"LANÇAR","")</f>
        <v/>
      </c>
      <c r="L2091" s="13">
        <f>N2091&amp;O2091&amp;P2091&amp;Q2091&amp;R2091&amp;S2091&amp;T2091&amp;U2091&amp;V2091&amp;W2091&amp;X2091&amp;Y2091&amp;Z2091&amp;AA2091&amp;AB2091&amp;AC2091&amp;AD2091&amp;AE2091&amp;AF2091&amp;AG2091</f>
        <v/>
      </c>
      <c r="N2091" s="10">
        <f>TEXT($B$6,"00")</f>
        <v/>
      </c>
      <c r="O2091" s="10">
        <f>REPT(" ",8)</f>
        <v/>
      </c>
      <c r="P2091" s="10">
        <f>RIGHT($B$4,2)</f>
        <v/>
      </c>
      <c r="Q2091" s="10">
        <f>RIGHT($B$5,3)</f>
        <v/>
      </c>
      <c r="R2091" s="10">
        <f>IF(A2091="D",LEFT(UPPER(B2091)&amp;REPT(" ",20),20),REPT(" ",20))</f>
        <v/>
      </c>
      <c r="S2091" s="10">
        <f>IF(A2091="D",LEFT(UPPER(C2091)&amp;REPT(" ",10),10)," ")</f>
        <v/>
      </c>
      <c r="T2091" s="10">
        <f>IF(A2091="D",LEFT(UPPER(D2091)&amp;REPT(" ",2),2)," ")</f>
        <v/>
      </c>
      <c r="U2091" s="10">
        <f>IF(A2091="D",LEFT(UPPER(E2091)&amp;REPT(" ",15),15)," ")</f>
        <v/>
      </c>
      <c r="V2091" s="10">
        <f>REPT(" ",24)</f>
        <v/>
      </c>
      <c r="W2091" s="10">
        <f>IF(A2091="c",LEFT(UPPER(B2091)&amp;REPT(" ",20),20),REPT(" ",20))</f>
        <v/>
      </c>
      <c r="X2091" s="10">
        <f>IF(A2091="C",LEFT(UPPER(C2091)&amp;REPT(" ",10),10)," ")</f>
        <v/>
      </c>
      <c r="Y2091" s="10">
        <f>IF(A2091="C",LEFT(UPPER(D2091)&amp;REPT(" ",2),2)," ")</f>
        <v/>
      </c>
      <c r="Z2091" s="10">
        <f>IF(A2091="C",LEFT(UPPER(E2091)&amp;REPT(" ",15),15)," ")</f>
        <v/>
      </c>
      <c r="AA2091" s="10">
        <f>REPT(" ",8)</f>
        <v/>
      </c>
      <c r="AB2091" s="10">
        <f>REPT(" ",4)</f>
        <v/>
      </c>
      <c r="AC2091" s="10">
        <f>LEFT(UPPER(H2091)&amp;REPT(" ",250),250)</f>
        <v/>
      </c>
      <c r="AD2091" s="10">
        <f>TEXT($G$2,"dd/mm/aaaa")</f>
        <v/>
      </c>
      <c r="AE2091" s="10">
        <f>REPT(" ",10)</f>
        <v/>
      </c>
      <c r="AF2091" s="10">
        <f>REPT(" ",20)</f>
        <v/>
      </c>
      <c r="AG2091" s="54">
        <f>REPT(" ",18-LEN(FIXED(F2091,2,TRUE)))&amp;FIXED(F2091,2,TRUE)</f>
        <v/>
      </c>
      <c r="AH2091" s="10">
        <f>LEN(AC2091)+LEN(AG2091)</f>
        <v/>
      </c>
      <c r="AI2091" s="10">
        <f>LEN(L2091)</f>
        <v/>
      </c>
    </row>
    <row r="2092">
      <c r="J2092" s="12">
        <f>IF(F2092&lt;&gt;0,"LANÇAR","")</f>
        <v/>
      </c>
      <c r="L2092" s="13">
        <f>N2092&amp;O2092&amp;P2092&amp;Q2092&amp;R2092&amp;S2092&amp;T2092&amp;U2092&amp;V2092&amp;W2092&amp;X2092&amp;Y2092&amp;Z2092&amp;AA2092&amp;AB2092&amp;AC2092&amp;AD2092&amp;AE2092&amp;AF2092&amp;AG2092</f>
        <v/>
      </c>
      <c r="N2092" s="10">
        <f>TEXT($B$6,"00")</f>
        <v/>
      </c>
      <c r="O2092" s="10">
        <f>REPT(" ",8)</f>
        <v/>
      </c>
      <c r="P2092" s="10">
        <f>RIGHT($B$4,2)</f>
        <v/>
      </c>
      <c r="Q2092" s="10">
        <f>RIGHT($B$5,3)</f>
        <v/>
      </c>
      <c r="R2092" s="10">
        <f>IF(A2092="D",LEFT(UPPER(B2092)&amp;REPT(" ",20),20),REPT(" ",20))</f>
        <v/>
      </c>
      <c r="S2092" s="10">
        <f>IF(A2092="D",LEFT(UPPER(C2092)&amp;REPT(" ",10),10)," ")</f>
        <v/>
      </c>
      <c r="T2092" s="10">
        <f>IF(A2092="D",LEFT(UPPER(D2092)&amp;REPT(" ",2),2)," ")</f>
        <v/>
      </c>
      <c r="U2092" s="10">
        <f>IF(A2092="D",LEFT(UPPER(E2092)&amp;REPT(" ",15),15)," ")</f>
        <v/>
      </c>
      <c r="V2092" s="10">
        <f>REPT(" ",24)</f>
        <v/>
      </c>
      <c r="W2092" s="10">
        <f>IF(A2092="c",LEFT(UPPER(B2092)&amp;REPT(" ",20),20),REPT(" ",20))</f>
        <v/>
      </c>
      <c r="X2092" s="10">
        <f>IF(A2092="C",LEFT(UPPER(C2092)&amp;REPT(" ",10),10)," ")</f>
        <v/>
      </c>
      <c r="Y2092" s="10">
        <f>IF(A2092="C",LEFT(UPPER(D2092)&amp;REPT(" ",2),2)," ")</f>
        <v/>
      </c>
      <c r="Z2092" s="10">
        <f>IF(A2092="C",LEFT(UPPER(E2092)&amp;REPT(" ",15),15)," ")</f>
        <v/>
      </c>
      <c r="AA2092" s="10">
        <f>REPT(" ",8)</f>
        <v/>
      </c>
      <c r="AB2092" s="10">
        <f>REPT(" ",4)</f>
        <v/>
      </c>
      <c r="AC2092" s="10">
        <f>LEFT(UPPER(H2092)&amp;REPT(" ",250),250)</f>
        <v/>
      </c>
      <c r="AD2092" s="10">
        <f>TEXT($G$2,"dd/mm/aaaa")</f>
        <v/>
      </c>
      <c r="AE2092" s="10">
        <f>REPT(" ",10)</f>
        <v/>
      </c>
      <c r="AF2092" s="10">
        <f>REPT(" ",20)</f>
        <v/>
      </c>
      <c r="AG2092" s="54">
        <f>REPT(" ",18-LEN(FIXED(F2092,2,TRUE)))&amp;FIXED(F2092,2,TRUE)</f>
        <v/>
      </c>
      <c r="AH2092" s="10">
        <f>LEN(AC2092)+LEN(AG2092)</f>
        <v/>
      </c>
      <c r="AI2092" s="10">
        <f>LEN(L2092)</f>
        <v/>
      </c>
    </row>
    <row r="2093">
      <c r="J2093" s="12">
        <f>IF(F2093&lt;&gt;0,"LANÇAR","")</f>
        <v/>
      </c>
      <c r="L2093" s="13">
        <f>N2093&amp;O2093&amp;P2093&amp;Q2093&amp;R2093&amp;S2093&amp;T2093&amp;U2093&amp;V2093&amp;W2093&amp;X2093&amp;Y2093&amp;Z2093&amp;AA2093&amp;AB2093&amp;AC2093&amp;AD2093&amp;AE2093&amp;AF2093&amp;AG2093</f>
        <v/>
      </c>
      <c r="N2093" s="10">
        <f>TEXT($B$6,"00")</f>
        <v/>
      </c>
      <c r="O2093" s="10">
        <f>REPT(" ",8)</f>
        <v/>
      </c>
      <c r="P2093" s="10">
        <f>RIGHT($B$4,2)</f>
        <v/>
      </c>
      <c r="Q2093" s="10">
        <f>RIGHT($B$5,3)</f>
        <v/>
      </c>
      <c r="R2093" s="10">
        <f>IF(A2093="D",LEFT(UPPER(B2093)&amp;REPT(" ",20),20),REPT(" ",20))</f>
        <v/>
      </c>
      <c r="S2093" s="10">
        <f>IF(A2093="D",LEFT(UPPER(C2093)&amp;REPT(" ",10),10)," ")</f>
        <v/>
      </c>
      <c r="T2093" s="10">
        <f>IF(A2093="D",LEFT(UPPER(D2093)&amp;REPT(" ",2),2)," ")</f>
        <v/>
      </c>
      <c r="U2093" s="10">
        <f>IF(A2093="D",LEFT(UPPER(E2093)&amp;REPT(" ",15),15)," ")</f>
        <v/>
      </c>
      <c r="V2093" s="10">
        <f>REPT(" ",24)</f>
        <v/>
      </c>
      <c r="W2093" s="10">
        <f>IF(A2093="c",LEFT(UPPER(B2093)&amp;REPT(" ",20),20),REPT(" ",20))</f>
        <v/>
      </c>
      <c r="X2093" s="10">
        <f>IF(A2093="C",LEFT(UPPER(C2093)&amp;REPT(" ",10),10)," ")</f>
        <v/>
      </c>
      <c r="Y2093" s="10">
        <f>IF(A2093="C",LEFT(UPPER(D2093)&amp;REPT(" ",2),2)," ")</f>
        <v/>
      </c>
      <c r="Z2093" s="10">
        <f>IF(A2093="C",LEFT(UPPER(E2093)&amp;REPT(" ",15),15)," ")</f>
        <v/>
      </c>
      <c r="AA2093" s="10">
        <f>REPT(" ",8)</f>
        <v/>
      </c>
      <c r="AB2093" s="10">
        <f>REPT(" ",4)</f>
        <v/>
      </c>
      <c r="AC2093" s="10">
        <f>LEFT(UPPER(H2093)&amp;REPT(" ",250),250)</f>
        <v/>
      </c>
      <c r="AD2093" s="10">
        <f>TEXT($G$2,"dd/mm/aaaa")</f>
        <v/>
      </c>
      <c r="AE2093" s="10">
        <f>REPT(" ",10)</f>
        <v/>
      </c>
      <c r="AF2093" s="10">
        <f>REPT(" ",20)</f>
        <v/>
      </c>
      <c r="AG2093" s="54">
        <f>REPT(" ",18-LEN(FIXED(F2093,2,TRUE)))&amp;FIXED(F2093,2,TRUE)</f>
        <v/>
      </c>
      <c r="AH2093" s="10">
        <f>LEN(AC2093)+LEN(AG2093)</f>
        <v/>
      </c>
      <c r="AI2093" s="10">
        <f>LEN(L2093)</f>
        <v/>
      </c>
    </row>
    <row r="2094">
      <c r="J2094" s="12">
        <f>IF(F2094&lt;&gt;0,"LANÇAR","")</f>
        <v/>
      </c>
      <c r="L2094" s="13">
        <f>N2094&amp;O2094&amp;P2094&amp;Q2094&amp;R2094&amp;S2094&amp;T2094&amp;U2094&amp;V2094&amp;W2094&amp;X2094&amp;Y2094&amp;Z2094&amp;AA2094&amp;AB2094&amp;AC2094&amp;AD2094&amp;AE2094&amp;AF2094&amp;AG2094</f>
        <v/>
      </c>
      <c r="N2094" s="10">
        <f>TEXT($B$6,"00")</f>
        <v/>
      </c>
      <c r="O2094" s="10">
        <f>REPT(" ",8)</f>
        <v/>
      </c>
      <c r="P2094" s="10">
        <f>RIGHT($B$4,2)</f>
        <v/>
      </c>
      <c r="Q2094" s="10">
        <f>RIGHT($B$5,3)</f>
        <v/>
      </c>
      <c r="R2094" s="10">
        <f>IF(A2094="D",LEFT(UPPER(B2094)&amp;REPT(" ",20),20),REPT(" ",20))</f>
        <v/>
      </c>
      <c r="S2094" s="10">
        <f>IF(A2094="D",LEFT(UPPER(C2094)&amp;REPT(" ",10),10)," ")</f>
        <v/>
      </c>
      <c r="T2094" s="10">
        <f>IF(A2094="D",LEFT(UPPER(D2094)&amp;REPT(" ",2),2)," ")</f>
        <v/>
      </c>
      <c r="U2094" s="10">
        <f>IF(A2094="D",LEFT(UPPER(E2094)&amp;REPT(" ",15),15)," ")</f>
        <v/>
      </c>
      <c r="V2094" s="10">
        <f>REPT(" ",24)</f>
        <v/>
      </c>
      <c r="W2094" s="10">
        <f>IF(A2094="c",LEFT(UPPER(B2094)&amp;REPT(" ",20),20),REPT(" ",20))</f>
        <v/>
      </c>
      <c r="X2094" s="10">
        <f>IF(A2094="C",LEFT(UPPER(C2094)&amp;REPT(" ",10),10)," ")</f>
        <v/>
      </c>
      <c r="Y2094" s="10">
        <f>IF(A2094="C",LEFT(UPPER(D2094)&amp;REPT(" ",2),2)," ")</f>
        <v/>
      </c>
      <c r="Z2094" s="10">
        <f>IF(A2094="C",LEFT(UPPER(E2094)&amp;REPT(" ",15),15)," ")</f>
        <v/>
      </c>
      <c r="AA2094" s="10">
        <f>REPT(" ",8)</f>
        <v/>
      </c>
      <c r="AB2094" s="10">
        <f>REPT(" ",4)</f>
        <v/>
      </c>
      <c r="AC2094" s="10">
        <f>LEFT(UPPER(H2094)&amp;REPT(" ",250),250)</f>
        <v/>
      </c>
      <c r="AD2094" s="10">
        <f>TEXT($G$2,"dd/mm/aaaa")</f>
        <v/>
      </c>
      <c r="AE2094" s="10">
        <f>REPT(" ",10)</f>
        <v/>
      </c>
      <c r="AF2094" s="10">
        <f>REPT(" ",20)</f>
        <v/>
      </c>
      <c r="AG2094" s="54">
        <f>REPT(" ",18-LEN(FIXED(F2094,2,TRUE)))&amp;FIXED(F2094,2,TRUE)</f>
        <v/>
      </c>
      <c r="AH2094" s="10">
        <f>LEN(AC2094)+LEN(AG2094)</f>
        <v/>
      </c>
      <c r="AI2094" s="10">
        <f>LEN(L2094)</f>
        <v/>
      </c>
    </row>
    <row r="2095">
      <c r="J2095" s="12">
        <f>IF(F2095&lt;&gt;0,"LANÇAR","")</f>
        <v/>
      </c>
      <c r="L2095" s="13">
        <f>N2095&amp;O2095&amp;P2095&amp;Q2095&amp;R2095&amp;S2095&amp;T2095&amp;U2095&amp;V2095&amp;W2095&amp;X2095&amp;Y2095&amp;Z2095&amp;AA2095&amp;AB2095&amp;AC2095&amp;AD2095&amp;AE2095&amp;AF2095&amp;AG2095</f>
        <v/>
      </c>
      <c r="N2095" s="10">
        <f>TEXT($B$6,"00")</f>
        <v/>
      </c>
      <c r="O2095" s="10">
        <f>REPT(" ",8)</f>
        <v/>
      </c>
      <c r="P2095" s="10">
        <f>RIGHT($B$4,2)</f>
        <v/>
      </c>
      <c r="Q2095" s="10">
        <f>RIGHT($B$5,3)</f>
        <v/>
      </c>
      <c r="R2095" s="10">
        <f>IF(A2095="D",LEFT(UPPER(B2095)&amp;REPT(" ",20),20),REPT(" ",20))</f>
        <v/>
      </c>
      <c r="S2095" s="10">
        <f>IF(A2095="D",LEFT(UPPER(C2095)&amp;REPT(" ",10),10)," ")</f>
        <v/>
      </c>
      <c r="T2095" s="10">
        <f>IF(A2095="D",LEFT(UPPER(D2095)&amp;REPT(" ",2),2)," ")</f>
        <v/>
      </c>
      <c r="U2095" s="10">
        <f>IF(A2095="D",LEFT(UPPER(E2095)&amp;REPT(" ",15),15)," ")</f>
        <v/>
      </c>
      <c r="V2095" s="10">
        <f>REPT(" ",24)</f>
        <v/>
      </c>
      <c r="W2095" s="10">
        <f>IF(A2095="c",LEFT(UPPER(B2095)&amp;REPT(" ",20),20),REPT(" ",20))</f>
        <v/>
      </c>
      <c r="X2095" s="10">
        <f>IF(A2095="C",LEFT(UPPER(C2095)&amp;REPT(" ",10),10)," ")</f>
        <v/>
      </c>
      <c r="Y2095" s="10">
        <f>IF(A2095="C",LEFT(UPPER(D2095)&amp;REPT(" ",2),2)," ")</f>
        <v/>
      </c>
      <c r="Z2095" s="10">
        <f>IF(A2095="C",LEFT(UPPER(E2095)&amp;REPT(" ",15),15)," ")</f>
        <v/>
      </c>
      <c r="AA2095" s="10">
        <f>REPT(" ",8)</f>
        <v/>
      </c>
      <c r="AB2095" s="10">
        <f>REPT(" ",4)</f>
        <v/>
      </c>
      <c r="AC2095" s="10">
        <f>LEFT(UPPER(H2095)&amp;REPT(" ",250),250)</f>
        <v/>
      </c>
      <c r="AD2095" s="10">
        <f>TEXT($G$2,"dd/mm/aaaa")</f>
        <v/>
      </c>
      <c r="AE2095" s="10">
        <f>REPT(" ",10)</f>
        <v/>
      </c>
      <c r="AF2095" s="10">
        <f>REPT(" ",20)</f>
        <v/>
      </c>
      <c r="AG2095" s="54">
        <f>REPT(" ",18-LEN(FIXED(F2095,2,TRUE)))&amp;FIXED(F2095,2,TRUE)</f>
        <v/>
      </c>
      <c r="AH2095" s="10">
        <f>LEN(AC2095)+LEN(AG2095)</f>
        <v/>
      </c>
      <c r="AI2095" s="10">
        <f>LEN(L2095)</f>
        <v/>
      </c>
    </row>
    <row r="2096">
      <c r="J2096" s="12">
        <f>IF(F2096&lt;&gt;0,"LANÇAR","")</f>
        <v/>
      </c>
      <c r="L2096" s="13">
        <f>N2096&amp;O2096&amp;P2096&amp;Q2096&amp;R2096&amp;S2096&amp;T2096&amp;U2096&amp;V2096&amp;W2096&amp;X2096&amp;Y2096&amp;Z2096&amp;AA2096&amp;AB2096&amp;AC2096&amp;AD2096&amp;AE2096&amp;AF2096&amp;AG2096</f>
        <v/>
      </c>
      <c r="N2096" s="10">
        <f>TEXT($B$6,"00")</f>
        <v/>
      </c>
      <c r="O2096" s="10">
        <f>REPT(" ",8)</f>
        <v/>
      </c>
      <c r="P2096" s="10">
        <f>RIGHT($B$4,2)</f>
        <v/>
      </c>
      <c r="Q2096" s="10">
        <f>RIGHT($B$5,3)</f>
        <v/>
      </c>
      <c r="R2096" s="10">
        <f>IF(A2096="D",LEFT(UPPER(B2096)&amp;REPT(" ",20),20),REPT(" ",20))</f>
        <v/>
      </c>
      <c r="S2096" s="10">
        <f>IF(A2096="D",LEFT(UPPER(C2096)&amp;REPT(" ",10),10)," ")</f>
        <v/>
      </c>
      <c r="T2096" s="10">
        <f>IF(A2096="D",LEFT(UPPER(D2096)&amp;REPT(" ",2),2)," ")</f>
        <v/>
      </c>
      <c r="U2096" s="10">
        <f>IF(A2096="D",LEFT(UPPER(E2096)&amp;REPT(" ",15),15)," ")</f>
        <v/>
      </c>
      <c r="V2096" s="10">
        <f>REPT(" ",24)</f>
        <v/>
      </c>
      <c r="W2096" s="10">
        <f>IF(A2096="c",LEFT(UPPER(B2096)&amp;REPT(" ",20),20),REPT(" ",20))</f>
        <v/>
      </c>
      <c r="X2096" s="10">
        <f>IF(A2096="C",LEFT(UPPER(C2096)&amp;REPT(" ",10),10)," ")</f>
        <v/>
      </c>
      <c r="Y2096" s="10">
        <f>IF(A2096="C",LEFT(UPPER(D2096)&amp;REPT(" ",2),2)," ")</f>
        <v/>
      </c>
      <c r="Z2096" s="10">
        <f>IF(A2096="C",LEFT(UPPER(E2096)&amp;REPT(" ",15),15)," ")</f>
        <v/>
      </c>
      <c r="AA2096" s="10">
        <f>REPT(" ",8)</f>
        <v/>
      </c>
      <c r="AB2096" s="10">
        <f>REPT(" ",4)</f>
        <v/>
      </c>
      <c r="AC2096" s="10">
        <f>LEFT(UPPER(H2096)&amp;REPT(" ",250),250)</f>
        <v/>
      </c>
      <c r="AD2096" s="10">
        <f>TEXT($G$2,"dd/mm/aaaa")</f>
        <v/>
      </c>
      <c r="AE2096" s="10">
        <f>REPT(" ",10)</f>
        <v/>
      </c>
      <c r="AF2096" s="10">
        <f>REPT(" ",20)</f>
        <v/>
      </c>
      <c r="AG2096" s="54">
        <f>REPT(" ",18-LEN(FIXED(F2096,2,TRUE)))&amp;FIXED(F2096,2,TRUE)</f>
        <v/>
      </c>
      <c r="AH2096" s="10">
        <f>LEN(AC2096)+LEN(AG2096)</f>
        <v/>
      </c>
      <c r="AI2096" s="10">
        <f>LEN(L2096)</f>
        <v/>
      </c>
    </row>
    <row r="2097">
      <c r="J2097" s="12">
        <f>IF(F2097&lt;&gt;0,"LANÇAR","")</f>
        <v/>
      </c>
      <c r="L2097" s="13">
        <f>N2097&amp;O2097&amp;P2097&amp;Q2097&amp;R2097&amp;S2097&amp;T2097&amp;U2097&amp;V2097&amp;W2097&amp;X2097&amp;Y2097&amp;Z2097&amp;AA2097&amp;AB2097&amp;AC2097&amp;AD2097&amp;AE2097&amp;AF2097&amp;AG2097</f>
        <v/>
      </c>
      <c r="N2097" s="10">
        <f>TEXT($B$6,"00")</f>
        <v/>
      </c>
      <c r="O2097" s="10">
        <f>REPT(" ",8)</f>
        <v/>
      </c>
      <c r="P2097" s="10">
        <f>RIGHT($B$4,2)</f>
        <v/>
      </c>
      <c r="Q2097" s="10">
        <f>RIGHT($B$5,3)</f>
        <v/>
      </c>
      <c r="R2097" s="10">
        <f>IF(A2097="D",LEFT(UPPER(B2097)&amp;REPT(" ",20),20),REPT(" ",20))</f>
        <v/>
      </c>
      <c r="S2097" s="10">
        <f>IF(A2097="D",LEFT(UPPER(C2097)&amp;REPT(" ",10),10)," ")</f>
        <v/>
      </c>
      <c r="T2097" s="10">
        <f>IF(A2097="D",LEFT(UPPER(D2097)&amp;REPT(" ",2),2)," ")</f>
        <v/>
      </c>
      <c r="U2097" s="10">
        <f>IF(A2097="D",LEFT(UPPER(E2097)&amp;REPT(" ",15),15)," ")</f>
        <v/>
      </c>
      <c r="V2097" s="10">
        <f>REPT(" ",24)</f>
        <v/>
      </c>
      <c r="W2097" s="10">
        <f>IF(A2097="c",LEFT(UPPER(B2097)&amp;REPT(" ",20),20),REPT(" ",20))</f>
        <v/>
      </c>
      <c r="X2097" s="10">
        <f>IF(A2097="C",LEFT(UPPER(C2097)&amp;REPT(" ",10),10)," ")</f>
        <v/>
      </c>
      <c r="Y2097" s="10">
        <f>IF(A2097="C",LEFT(UPPER(D2097)&amp;REPT(" ",2),2)," ")</f>
        <v/>
      </c>
      <c r="Z2097" s="10">
        <f>IF(A2097="C",LEFT(UPPER(E2097)&amp;REPT(" ",15),15)," ")</f>
        <v/>
      </c>
      <c r="AA2097" s="10">
        <f>REPT(" ",8)</f>
        <v/>
      </c>
      <c r="AB2097" s="10">
        <f>REPT(" ",4)</f>
        <v/>
      </c>
      <c r="AC2097" s="10">
        <f>LEFT(UPPER(H2097)&amp;REPT(" ",250),250)</f>
        <v/>
      </c>
      <c r="AD2097" s="10">
        <f>TEXT($G$2,"dd/mm/aaaa")</f>
        <v/>
      </c>
      <c r="AE2097" s="10">
        <f>REPT(" ",10)</f>
        <v/>
      </c>
      <c r="AF2097" s="10">
        <f>REPT(" ",20)</f>
        <v/>
      </c>
      <c r="AG2097" s="54">
        <f>REPT(" ",18-LEN(FIXED(F2097,2,TRUE)))&amp;FIXED(F2097,2,TRUE)</f>
        <v/>
      </c>
      <c r="AH2097" s="10">
        <f>LEN(AC2097)+LEN(AG2097)</f>
        <v/>
      </c>
      <c r="AI2097" s="10">
        <f>LEN(L2097)</f>
        <v/>
      </c>
    </row>
    <row r="2098">
      <c r="J2098" s="12">
        <f>IF(F2098&lt;&gt;0,"LANÇAR","")</f>
        <v/>
      </c>
      <c r="L2098" s="13">
        <f>N2098&amp;O2098&amp;P2098&amp;Q2098&amp;R2098&amp;S2098&amp;T2098&amp;U2098&amp;V2098&amp;W2098&amp;X2098&amp;Y2098&amp;Z2098&amp;AA2098&amp;AB2098&amp;AC2098&amp;AD2098&amp;AE2098&amp;AF2098&amp;AG2098</f>
        <v/>
      </c>
      <c r="N2098" s="10">
        <f>TEXT($B$6,"00")</f>
        <v/>
      </c>
      <c r="O2098" s="10">
        <f>REPT(" ",8)</f>
        <v/>
      </c>
      <c r="P2098" s="10">
        <f>RIGHT($B$4,2)</f>
        <v/>
      </c>
      <c r="Q2098" s="10">
        <f>RIGHT($B$5,3)</f>
        <v/>
      </c>
      <c r="R2098" s="10">
        <f>IF(A2098="D",LEFT(UPPER(B2098)&amp;REPT(" ",20),20),REPT(" ",20))</f>
        <v/>
      </c>
      <c r="S2098" s="10">
        <f>IF(A2098="D",LEFT(UPPER(C2098)&amp;REPT(" ",10),10)," ")</f>
        <v/>
      </c>
      <c r="T2098" s="10">
        <f>IF(A2098="D",LEFT(UPPER(D2098)&amp;REPT(" ",2),2)," ")</f>
        <v/>
      </c>
      <c r="U2098" s="10">
        <f>IF(A2098="D",LEFT(UPPER(E2098)&amp;REPT(" ",15),15)," ")</f>
        <v/>
      </c>
      <c r="V2098" s="10">
        <f>REPT(" ",24)</f>
        <v/>
      </c>
      <c r="W2098" s="10">
        <f>IF(A2098="c",LEFT(UPPER(B2098)&amp;REPT(" ",20),20),REPT(" ",20))</f>
        <v/>
      </c>
      <c r="X2098" s="10">
        <f>IF(A2098="C",LEFT(UPPER(C2098)&amp;REPT(" ",10),10)," ")</f>
        <v/>
      </c>
      <c r="Y2098" s="10">
        <f>IF(A2098="C",LEFT(UPPER(D2098)&amp;REPT(" ",2),2)," ")</f>
        <v/>
      </c>
      <c r="Z2098" s="10">
        <f>IF(A2098="C",LEFT(UPPER(E2098)&amp;REPT(" ",15),15)," ")</f>
        <v/>
      </c>
      <c r="AA2098" s="10">
        <f>REPT(" ",8)</f>
        <v/>
      </c>
      <c r="AB2098" s="10">
        <f>REPT(" ",4)</f>
        <v/>
      </c>
      <c r="AC2098" s="10">
        <f>LEFT(UPPER(H2098)&amp;REPT(" ",250),250)</f>
        <v/>
      </c>
      <c r="AD2098" s="10">
        <f>TEXT($G$2,"dd/mm/aaaa")</f>
        <v/>
      </c>
      <c r="AE2098" s="10">
        <f>REPT(" ",10)</f>
        <v/>
      </c>
      <c r="AF2098" s="10">
        <f>REPT(" ",20)</f>
        <v/>
      </c>
      <c r="AG2098" s="54">
        <f>REPT(" ",18-LEN(FIXED(F2098,2,TRUE)))&amp;FIXED(F2098,2,TRUE)</f>
        <v/>
      </c>
      <c r="AH2098" s="10">
        <f>LEN(AC2098)+LEN(AG2098)</f>
        <v/>
      </c>
      <c r="AI2098" s="10">
        <f>LEN(L2098)</f>
        <v/>
      </c>
    </row>
    <row r="2099">
      <c r="J2099" s="12">
        <f>IF(F2099&lt;&gt;0,"LANÇAR","")</f>
        <v/>
      </c>
      <c r="L2099" s="13">
        <f>N2099&amp;O2099&amp;P2099&amp;Q2099&amp;R2099&amp;S2099&amp;T2099&amp;U2099&amp;V2099&amp;W2099&amp;X2099&amp;Y2099&amp;Z2099&amp;AA2099&amp;AB2099&amp;AC2099&amp;AD2099&amp;AE2099&amp;AF2099&amp;AG2099</f>
        <v/>
      </c>
      <c r="N2099" s="10">
        <f>TEXT($B$6,"00")</f>
        <v/>
      </c>
      <c r="O2099" s="10">
        <f>REPT(" ",8)</f>
        <v/>
      </c>
      <c r="P2099" s="10">
        <f>RIGHT($B$4,2)</f>
        <v/>
      </c>
      <c r="Q2099" s="10">
        <f>RIGHT($B$5,3)</f>
        <v/>
      </c>
      <c r="R2099" s="10">
        <f>IF(A2099="D",LEFT(UPPER(B2099)&amp;REPT(" ",20),20),REPT(" ",20))</f>
        <v/>
      </c>
      <c r="S2099" s="10">
        <f>IF(A2099="D",LEFT(UPPER(C2099)&amp;REPT(" ",10),10)," ")</f>
        <v/>
      </c>
      <c r="T2099" s="10">
        <f>IF(A2099="D",LEFT(UPPER(D2099)&amp;REPT(" ",2),2)," ")</f>
        <v/>
      </c>
      <c r="U2099" s="10">
        <f>IF(A2099="D",LEFT(UPPER(E2099)&amp;REPT(" ",15),15)," ")</f>
        <v/>
      </c>
      <c r="V2099" s="10">
        <f>REPT(" ",24)</f>
        <v/>
      </c>
      <c r="W2099" s="10">
        <f>IF(A2099="c",LEFT(UPPER(B2099)&amp;REPT(" ",20),20),REPT(" ",20))</f>
        <v/>
      </c>
      <c r="X2099" s="10">
        <f>IF(A2099="C",LEFT(UPPER(C2099)&amp;REPT(" ",10),10)," ")</f>
        <v/>
      </c>
      <c r="Y2099" s="10">
        <f>IF(A2099="C",LEFT(UPPER(D2099)&amp;REPT(" ",2),2)," ")</f>
        <v/>
      </c>
      <c r="Z2099" s="10">
        <f>IF(A2099="C",LEFT(UPPER(E2099)&amp;REPT(" ",15),15)," ")</f>
        <v/>
      </c>
      <c r="AA2099" s="10">
        <f>REPT(" ",8)</f>
        <v/>
      </c>
      <c r="AB2099" s="10">
        <f>REPT(" ",4)</f>
        <v/>
      </c>
      <c r="AC2099" s="10">
        <f>LEFT(UPPER(H2099)&amp;REPT(" ",250),250)</f>
        <v/>
      </c>
      <c r="AD2099" s="10">
        <f>TEXT($G$2,"dd/mm/aaaa")</f>
        <v/>
      </c>
      <c r="AE2099" s="10">
        <f>REPT(" ",10)</f>
        <v/>
      </c>
      <c r="AF2099" s="10">
        <f>REPT(" ",20)</f>
        <v/>
      </c>
      <c r="AG2099" s="54">
        <f>REPT(" ",18-LEN(FIXED(F2099,2,TRUE)))&amp;FIXED(F2099,2,TRUE)</f>
        <v/>
      </c>
      <c r="AH2099" s="10">
        <f>LEN(AC2099)+LEN(AG2099)</f>
        <v/>
      </c>
      <c r="AI2099" s="10">
        <f>LEN(L2099)</f>
        <v/>
      </c>
    </row>
    <row r="2100">
      <c r="J2100" s="12">
        <f>IF(F2100&lt;&gt;0,"LANÇAR","")</f>
        <v/>
      </c>
      <c r="L2100" s="13">
        <f>N2100&amp;O2100&amp;P2100&amp;Q2100&amp;R2100&amp;S2100&amp;T2100&amp;U2100&amp;V2100&amp;W2100&amp;X2100&amp;Y2100&amp;Z2100&amp;AA2100&amp;AB2100&amp;AC2100&amp;AD2100&amp;AE2100&amp;AF2100&amp;AG2100</f>
        <v/>
      </c>
      <c r="N2100" s="10">
        <f>TEXT($B$6,"00")</f>
        <v/>
      </c>
      <c r="O2100" s="10">
        <f>REPT(" ",8)</f>
        <v/>
      </c>
      <c r="P2100" s="10">
        <f>RIGHT($B$4,2)</f>
        <v/>
      </c>
      <c r="Q2100" s="10">
        <f>RIGHT($B$5,3)</f>
        <v/>
      </c>
      <c r="R2100" s="10">
        <f>IF(A2100="D",LEFT(UPPER(B2100)&amp;REPT(" ",20),20),REPT(" ",20))</f>
        <v/>
      </c>
      <c r="S2100" s="10">
        <f>IF(A2100="D",LEFT(UPPER(C2100)&amp;REPT(" ",10),10)," ")</f>
        <v/>
      </c>
      <c r="T2100" s="10">
        <f>IF(A2100="D",LEFT(UPPER(D2100)&amp;REPT(" ",2),2)," ")</f>
        <v/>
      </c>
      <c r="U2100" s="10">
        <f>IF(A2100="D",LEFT(UPPER(E2100)&amp;REPT(" ",15),15)," ")</f>
        <v/>
      </c>
      <c r="V2100" s="10">
        <f>REPT(" ",24)</f>
        <v/>
      </c>
      <c r="W2100" s="10">
        <f>IF(A2100="c",LEFT(UPPER(B2100)&amp;REPT(" ",20),20),REPT(" ",20))</f>
        <v/>
      </c>
      <c r="X2100" s="10">
        <f>IF(A2100="C",LEFT(UPPER(C2100)&amp;REPT(" ",10),10)," ")</f>
        <v/>
      </c>
      <c r="Y2100" s="10">
        <f>IF(A2100="C",LEFT(UPPER(D2100)&amp;REPT(" ",2),2)," ")</f>
        <v/>
      </c>
      <c r="Z2100" s="10">
        <f>IF(A2100="C",LEFT(UPPER(E2100)&amp;REPT(" ",15),15)," ")</f>
        <v/>
      </c>
      <c r="AA2100" s="10">
        <f>REPT(" ",8)</f>
        <v/>
      </c>
      <c r="AB2100" s="10">
        <f>REPT(" ",4)</f>
        <v/>
      </c>
      <c r="AC2100" s="10">
        <f>LEFT(UPPER(H2100)&amp;REPT(" ",250),250)</f>
        <v/>
      </c>
      <c r="AD2100" s="10">
        <f>TEXT($G$2,"dd/mm/aaaa")</f>
        <v/>
      </c>
      <c r="AE2100" s="10">
        <f>REPT(" ",10)</f>
        <v/>
      </c>
      <c r="AF2100" s="10">
        <f>REPT(" ",20)</f>
        <v/>
      </c>
      <c r="AG2100" s="54">
        <f>REPT(" ",18-LEN(FIXED(F2100,2,TRUE)))&amp;FIXED(F2100,2,TRUE)</f>
        <v/>
      </c>
      <c r="AH2100" s="10">
        <f>LEN(AC2100)+LEN(AG2100)</f>
        <v/>
      </c>
      <c r="AI2100" s="10">
        <f>LEN(L2100)</f>
        <v/>
      </c>
    </row>
    <row r="2101">
      <c r="J2101" s="12">
        <f>IF(F2101&lt;&gt;0,"LANÇAR","")</f>
        <v/>
      </c>
      <c r="L2101" s="13">
        <f>N2101&amp;O2101&amp;P2101&amp;Q2101&amp;R2101&amp;S2101&amp;T2101&amp;U2101&amp;V2101&amp;W2101&amp;X2101&amp;Y2101&amp;Z2101&amp;AA2101&amp;AB2101&amp;AC2101&amp;AD2101&amp;AE2101&amp;AF2101&amp;AG2101</f>
        <v/>
      </c>
      <c r="N2101" s="10">
        <f>TEXT($B$6,"00")</f>
        <v/>
      </c>
      <c r="O2101" s="10">
        <f>REPT(" ",8)</f>
        <v/>
      </c>
      <c r="P2101" s="10">
        <f>RIGHT($B$4,2)</f>
        <v/>
      </c>
      <c r="Q2101" s="10">
        <f>RIGHT($B$5,3)</f>
        <v/>
      </c>
      <c r="R2101" s="10">
        <f>IF(A2101="D",LEFT(UPPER(B2101)&amp;REPT(" ",20),20),REPT(" ",20))</f>
        <v/>
      </c>
      <c r="S2101" s="10">
        <f>IF(A2101="D",LEFT(UPPER(C2101)&amp;REPT(" ",10),10)," ")</f>
        <v/>
      </c>
      <c r="T2101" s="10">
        <f>IF(A2101="D",LEFT(UPPER(D2101)&amp;REPT(" ",2),2)," ")</f>
        <v/>
      </c>
      <c r="U2101" s="10">
        <f>IF(A2101="D",LEFT(UPPER(E2101)&amp;REPT(" ",15),15)," ")</f>
        <v/>
      </c>
      <c r="V2101" s="10">
        <f>REPT(" ",24)</f>
        <v/>
      </c>
      <c r="W2101" s="10">
        <f>IF(A2101="c",LEFT(UPPER(B2101)&amp;REPT(" ",20),20),REPT(" ",20))</f>
        <v/>
      </c>
      <c r="X2101" s="10">
        <f>IF(A2101="C",LEFT(UPPER(C2101)&amp;REPT(" ",10),10)," ")</f>
        <v/>
      </c>
      <c r="Y2101" s="10">
        <f>IF(A2101="C",LEFT(UPPER(D2101)&amp;REPT(" ",2),2)," ")</f>
        <v/>
      </c>
      <c r="Z2101" s="10">
        <f>IF(A2101="C",LEFT(UPPER(E2101)&amp;REPT(" ",15),15)," ")</f>
        <v/>
      </c>
      <c r="AA2101" s="10">
        <f>REPT(" ",8)</f>
        <v/>
      </c>
      <c r="AB2101" s="10">
        <f>REPT(" ",4)</f>
        <v/>
      </c>
      <c r="AC2101" s="10">
        <f>LEFT(UPPER(H2101)&amp;REPT(" ",250),250)</f>
        <v/>
      </c>
      <c r="AD2101" s="10">
        <f>TEXT($G$2,"dd/mm/aaaa")</f>
        <v/>
      </c>
      <c r="AE2101" s="10">
        <f>REPT(" ",10)</f>
        <v/>
      </c>
      <c r="AF2101" s="10">
        <f>REPT(" ",20)</f>
        <v/>
      </c>
      <c r="AG2101" s="54">
        <f>REPT(" ",18-LEN(FIXED(F2101,2,TRUE)))&amp;FIXED(F2101,2,TRUE)</f>
        <v/>
      </c>
      <c r="AH2101" s="10">
        <f>LEN(AC2101)+LEN(AG2101)</f>
        <v/>
      </c>
      <c r="AI2101" s="10">
        <f>LEN(L2101)</f>
        <v/>
      </c>
    </row>
    <row r="2102">
      <c r="J2102" s="12">
        <f>IF(F2102&lt;&gt;0,"LANÇAR","")</f>
        <v/>
      </c>
      <c r="L2102" s="13">
        <f>N2102&amp;O2102&amp;P2102&amp;Q2102&amp;R2102&amp;S2102&amp;T2102&amp;U2102&amp;V2102&amp;W2102&amp;X2102&amp;Y2102&amp;Z2102&amp;AA2102&amp;AB2102&amp;AC2102&amp;AD2102&amp;AE2102&amp;AF2102&amp;AG2102</f>
        <v/>
      </c>
      <c r="N2102" s="10">
        <f>TEXT($B$6,"00")</f>
        <v/>
      </c>
      <c r="O2102" s="10">
        <f>REPT(" ",8)</f>
        <v/>
      </c>
      <c r="P2102" s="10">
        <f>RIGHT($B$4,2)</f>
        <v/>
      </c>
      <c r="Q2102" s="10">
        <f>RIGHT($B$5,3)</f>
        <v/>
      </c>
      <c r="R2102" s="10">
        <f>IF(A2102="D",LEFT(UPPER(B2102)&amp;REPT(" ",20),20),REPT(" ",20))</f>
        <v/>
      </c>
      <c r="S2102" s="10">
        <f>IF(A2102="D",LEFT(UPPER(C2102)&amp;REPT(" ",10),10)," ")</f>
        <v/>
      </c>
      <c r="T2102" s="10">
        <f>IF(A2102="D",LEFT(UPPER(D2102)&amp;REPT(" ",2),2)," ")</f>
        <v/>
      </c>
      <c r="U2102" s="10">
        <f>IF(A2102="D",LEFT(UPPER(E2102)&amp;REPT(" ",15),15)," ")</f>
        <v/>
      </c>
      <c r="V2102" s="10">
        <f>REPT(" ",24)</f>
        <v/>
      </c>
      <c r="W2102" s="10">
        <f>IF(A2102="c",LEFT(UPPER(B2102)&amp;REPT(" ",20),20),REPT(" ",20))</f>
        <v/>
      </c>
      <c r="X2102" s="10">
        <f>IF(A2102="C",LEFT(UPPER(C2102)&amp;REPT(" ",10),10)," ")</f>
        <v/>
      </c>
      <c r="Y2102" s="10">
        <f>IF(A2102="C",LEFT(UPPER(D2102)&amp;REPT(" ",2),2)," ")</f>
        <v/>
      </c>
      <c r="Z2102" s="10">
        <f>IF(A2102="C",LEFT(UPPER(E2102)&amp;REPT(" ",15),15)," ")</f>
        <v/>
      </c>
      <c r="AA2102" s="10">
        <f>REPT(" ",8)</f>
        <v/>
      </c>
      <c r="AB2102" s="10">
        <f>REPT(" ",4)</f>
        <v/>
      </c>
      <c r="AC2102" s="10">
        <f>LEFT(UPPER(H2102)&amp;REPT(" ",250),250)</f>
        <v/>
      </c>
      <c r="AD2102" s="10">
        <f>TEXT($G$2,"dd/mm/aaaa")</f>
        <v/>
      </c>
      <c r="AE2102" s="10">
        <f>REPT(" ",10)</f>
        <v/>
      </c>
      <c r="AF2102" s="10">
        <f>REPT(" ",20)</f>
        <v/>
      </c>
      <c r="AG2102" s="54">
        <f>REPT(" ",18-LEN(FIXED(F2102,2,TRUE)))&amp;FIXED(F2102,2,TRUE)</f>
        <v/>
      </c>
      <c r="AH2102" s="10">
        <f>LEN(AC2102)+LEN(AG2102)</f>
        <v/>
      </c>
      <c r="AI2102" s="10">
        <f>LEN(L2102)</f>
        <v/>
      </c>
    </row>
    <row r="2103">
      <c r="J2103" s="12">
        <f>IF(F2103&lt;&gt;0,"LANÇAR","")</f>
        <v/>
      </c>
      <c r="L2103" s="13">
        <f>N2103&amp;O2103&amp;P2103&amp;Q2103&amp;R2103&amp;S2103&amp;T2103&amp;U2103&amp;V2103&amp;W2103&amp;X2103&amp;Y2103&amp;Z2103&amp;AA2103&amp;AB2103&amp;AC2103&amp;AD2103&amp;AE2103&amp;AF2103&amp;AG2103</f>
        <v/>
      </c>
      <c r="N2103" s="10">
        <f>TEXT($B$6,"00")</f>
        <v/>
      </c>
      <c r="O2103" s="10">
        <f>REPT(" ",8)</f>
        <v/>
      </c>
      <c r="P2103" s="10">
        <f>RIGHT($B$4,2)</f>
        <v/>
      </c>
      <c r="Q2103" s="10">
        <f>RIGHT($B$5,3)</f>
        <v/>
      </c>
      <c r="R2103" s="10">
        <f>IF(A2103="D",LEFT(UPPER(B2103)&amp;REPT(" ",20),20),REPT(" ",20))</f>
        <v/>
      </c>
      <c r="S2103" s="10">
        <f>IF(A2103="D",LEFT(UPPER(C2103)&amp;REPT(" ",10),10)," ")</f>
        <v/>
      </c>
      <c r="T2103" s="10">
        <f>IF(A2103="D",LEFT(UPPER(D2103)&amp;REPT(" ",2),2)," ")</f>
        <v/>
      </c>
      <c r="U2103" s="10">
        <f>IF(A2103="D",LEFT(UPPER(E2103)&amp;REPT(" ",15),15)," ")</f>
        <v/>
      </c>
      <c r="V2103" s="10">
        <f>REPT(" ",24)</f>
        <v/>
      </c>
      <c r="W2103" s="10">
        <f>IF(A2103="c",LEFT(UPPER(B2103)&amp;REPT(" ",20),20),REPT(" ",20))</f>
        <v/>
      </c>
      <c r="X2103" s="10">
        <f>IF(A2103="C",LEFT(UPPER(C2103)&amp;REPT(" ",10),10)," ")</f>
        <v/>
      </c>
      <c r="Y2103" s="10">
        <f>IF(A2103="C",LEFT(UPPER(D2103)&amp;REPT(" ",2),2)," ")</f>
        <v/>
      </c>
      <c r="Z2103" s="10">
        <f>IF(A2103="C",LEFT(UPPER(E2103)&amp;REPT(" ",15),15)," ")</f>
        <v/>
      </c>
      <c r="AA2103" s="10">
        <f>REPT(" ",8)</f>
        <v/>
      </c>
      <c r="AB2103" s="10">
        <f>REPT(" ",4)</f>
        <v/>
      </c>
      <c r="AC2103" s="10">
        <f>LEFT(UPPER(H2103)&amp;REPT(" ",250),250)</f>
        <v/>
      </c>
      <c r="AD2103" s="10">
        <f>TEXT($G$2,"dd/mm/aaaa")</f>
        <v/>
      </c>
      <c r="AE2103" s="10">
        <f>REPT(" ",10)</f>
        <v/>
      </c>
      <c r="AF2103" s="10">
        <f>REPT(" ",20)</f>
        <v/>
      </c>
      <c r="AG2103" s="54">
        <f>REPT(" ",18-LEN(FIXED(F2103,2,TRUE)))&amp;FIXED(F2103,2,TRUE)</f>
        <v/>
      </c>
      <c r="AH2103" s="10">
        <f>LEN(AC2103)+LEN(AG2103)</f>
        <v/>
      </c>
      <c r="AI2103" s="10">
        <f>LEN(L2103)</f>
        <v/>
      </c>
    </row>
    <row r="2104">
      <c r="J2104" s="12">
        <f>IF(F2104&lt;&gt;0,"LANÇAR","")</f>
        <v/>
      </c>
      <c r="L2104" s="13">
        <f>N2104&amp;O2104&amp;P2104&amp;Q2104&amp;R2104&amp;S2104&amp;T2104&amp;U2104&amp;V2104&amp;W2104&amp;X2104&amp;Y2104&amp;Z2104&amp;AA2104&amp;AB2104&amp;AC2104&amp;AD2104&amp;AE2104&amp;AF2104&amp;AG2104</f>
        <v/>
      </c>
      <c r="N2104" s="10">
        <f>TEXT($B$6,"00")</f>
        <v/>
      </c>
      <c r="O2104" s="10">
        <f>REPT(" ",8)</f>
        <v/>
      </c>
      <c r="P2104" s="10">
        <f>RIGHT($B$4,2)</f>
        <v/>
      </c>
      <c r="Q2104" s="10">
        <f>RIGHT($B$5,3)</f>
        <v/>
      </c>
      <c r="R2104" s="10">
        <f>IF(A2104="D",LEFT(UPPER(B2104)&amp;REPT(" ",20),20),REPT(" ",20))</f>
        <v/>
      </c>
      <c r="S2104" s="10">
        <f>IF(A2104="D",LEFT(UPPER(C2104)&amp;REPT(" ",10),10)," ")</f>
        <v/>
      </c>
      <c r="T2104" s="10">
        <f>IF(A2104="D",LEFT(UPPER(D2104)&amp;REPT(" ",2),2)," ")</f>
        <v/>
      </c>
      <c r="U2104" s="10">
        <f>IF(A2104="D",LEFT(UPPER(E2104)&amp;REPT(" ",15),15)," ")</f>
        <v/>
      </c>
      <c r="V2104" s="10">
        <f>REPT(" ",24)</f>
        <v/>
      </c>
      <c r="W2104" s="10">
        <f>IF(A2104="c",LEFT(UPPER(B2104)&amp;REPT(" ",20),20),REPT(" ",20))</f>
        <v/>
      </c>
      <c r="X2104" s="10">
        <f>IF(A2104="C",LEFT(UPPER(C2104)&amp;REPT(" ",10),10)," ")</f>
        <v/>
      </c>
      <c r="Y2104" s="10">
        <f>IF(A2104="C",LEFT(UPPER(D2104)&amp;REPT(" ",2),2)," ")</f>
        <v/>
      </c>
      <c r="Z2104" s="10">
        <f>IF(A2104="C",LEFT(UPPER(E2104)&amp;REPT(" ",15),15)," ")</f>
        <v/>
      </c>
      <c r="AA2104" s="10">
        <f>REPT(" ",8)</f>
        <v/>
      </c>
      <c r="AB2104" s="10">
        <f>REPT(" ",4)</f>
        <v/>
      </c>
      <c r="AC2104" s="10">
        <f>LEFT(UPPER(H2104)&amp;REPT(" ",250),250)</f>
        <v/>
      </c>
      <c r="AD2104" s="10">
        <f>TEXT($G$2,"dd/mm/aaaa")</f>
        <v/>
      </c>
      <c r="AE2104" s="10">
        <f>REPT(" ",10)</f>
        <v/>
      </c>
      <c r="AF2104" s="10">
        <f>REPT(" ",20)</f>
        <v/>
      </c>
      <c r="AG2104" s="54">
        <f>REPT(" ",18-LEN(FIXED(F2104,2,TRUE)))&amp;FIXED(F2104,2,TRUE)</f>
        <v/>
      </c>
      <c r="AH2104" s="10">
        <f>LEN(AC2104)+LEN(AG2104)</f>
        <v/>
      </c>
      <c r="AI2104" s="10">
        <f>LEN(L2104)</f>
        <v/>
      </c>
    </row>
    <row r="2105">
      <c r="J2105" s="12">
        <f>IF(F2105&lt;&gt;0,"LANÇAR","")</f>
        <v/>
      </c>
      <c r="L2105" s="13">
        <f>N2105&amp;O2105&amp;P2105&amp;Q2105&amp;R2105&amp;S2105&amp;T2105&amp;U2105&amp;V2105&amp;W2105&amp;X2105&amp;Y2105&amp;Z2105&amp;AA2105&amp;AB2105&amp;AC2105&amp;AD2105&amp;AE2105&amp;AF2105&amp;AG2105</f>
        <v/>
      </c>
      <c r="N2105" s="10">
        <f>TEXT($B$6,"00")</f>
        <v/>
      </c>
      <c r="O2105" s="10">
        <f>REPT(" ",8)</f>
        <v/>
      </c>
      <c r="P2105" s="10">
        <f>RIGHT($B$4,2)</f>
        <v/>
      </c>
      <c r="Q2105" s="10">
        <f>RIGHT($B$5,3)</f>
        <v/>
      </c>
      <c r="R2105" s="10">
        <f>IF(A2105="D",LEFT(UPPER(B2105)&amp;REPT(" ",20),20),REPT(" ",20))</f>
        <v/>
      </c>
      <c r="S2105" s="10">
        <f>IF(A2105="D",LEFT(UPPER(C2105)&amp;REPT(" ",10),10)," ")</f>
        <v/>
      </c>
      <c r="T2105" s="10">
        <f>IF(A2105="D",LEFT(UPPER(D2105)&amp;REPT(" ",2),2)," ")</f>
        <v/>
      </c>
      <c r="U2105" s="10">
        <f>IF(A2105="D",LEFT(UPPER(E2105)&amp;REPT(" ",15),15)," ")</f>
        <v/>
      </c>
      <c r="V2105" s="10">
        <f>REPT(" ",24)</f>
        <v/>
      </c>
      <c r="W2105" s="10">
        <f>IF(A2105="c",LEFT(UPPER(B2105)&amp;REPT(" ",20),20),REPT(" ",20))</f>
        <v/>
      </c>
      <c r="X2105" s="10">
        <f>IF(A2105="C",LEFT(UPPER(C2105)&amp;REPT(" ",10),10)," ")</f>
        <v/>
      </c>
      <c r="Y2105" s="10">
        <f>IF(A2105="C",LEFT(UPPER(D2105)&amp;REPT(" ",2),2)," ")</f>
        <v/>
      </c>
      <c r="Z2105" s="10">
        <f>IF(A2105="C",LEFT(UPPER(E2105)&amp;REPT(" ",15),15)," ")</f>
        <v/>
      </c>
      <c r="AA2105" s="10">
        <f>REPT(" ",8)</f>
        <v/>
      </c>
      <c r="AB2105" s="10">
        <f>REPT(" ",4)</f>
        <v/>
      </c>
      <c r="AC2105" s="10">
        <f>LEFT(UPPER(H2105)&amp;REPT(" ",250),250)</f>
        <v/>
      </c>
      <c r="AD2105" s="10">
        <f>TEXT($G$2,"dd/mm/aaaa")</f>
        <v/>
      </c>
      <c r="AE2105" s="10">
        <f>REPT(" ",10)</f>
        <v/>
      </c>
      <c r="AF2105" s="10">
        <f>REPT(" ",20)</f>
        <v/>
      </c>
      <c r="AG2105" s="54">
        <f>REPT(" ",18-LEN(FIXED(F2105,2,TRUE)))&amp;FIXED(F2105,2,TRUE)</f>
        <v/>
      </c>
      <c r="AH2105" s="10">
        <f>LEN(AC2105)+LEN(AG2105)</f>
        <v/>
      </c>
      <c r="AI2105" s="10">
        <f>LEN(L2105)</f>
        <v/>
      </c>
    </row>
    <row r="2106">
      <c r="J2106" s="12">
        <f>IF(F2106&lt;&gt;0,"LANÇAR","")</f>
        <v/>
      </c>
      <c r="L2106" s="13">
        <f>N2106&amp;O2106&amp;P2106&amp;Q2106&amp;R2106&amp;S2106&amp;T2106&amp;U2106&amp;V2106&amp;W2106&amp;X2106&amp;Y2106&amp;Z2106&amp;AA2106&amp;AB2106&amp;AC2106&amp;AD2106&amp;AE2106&amp;AF2106&amp;AG2106</f>
        <v/>
      </c>
      <c r="N2106" s="10">
        <f>TEXT($B$6,"00")</f>
        <v/>
      </c>
      <c r="O2106" s="10">
        <f>REPT(" ",8)</f>
        <v/>
      </c>
      <c r="P2106" s="10">
        <f>RIGHT($B$4,2)</f>
        <v/>
      </c>
      <c r="Q2106" s="10">
        <f>RIGHT($B$5,3)</f>
        <v/>
      </c>
      <c r="R2106" s="10">
        <f>IF(A2106="D",LEFT(UPPER(B2106)&amp;REPT(" ",20),20),REPT(" ",20))</f>
        <v/>
      </c>
      <c r="S2106" s="10">
        <f>IF(A2106="D",LEFT(UPPER(C2106)&amp;REPT(" ",10),10)," ")</f>
        <v/>
      </c>
      <c r="T2106" s="10">
        <f>IF(A2106="D",LEFT(UPPER(D2106)&amp;REPT(" ",2),2)," ")</f>
        <v/>
      </c>
      <c r="U2106" s="10">
        <f>IF(A2106="D",LEFT(UPPER(E2106)&amp;REPT(" ",15),15)," ")</f>
        <v/>
      </c>
      <c r="V2106" s="10">
        <f>REPT(" ",24)</f>
        <v/>
      </c>
      <c r="W2106" s="10">
        <f>IF(A2106="c",LEFT(UPPER(B2106)&amp;REPT(" ",20),20),REPT(" ",20))</f>
        <v/>
      </c>
      <c r="X2106" s="10">
        <f>IF(A2106="C",LEFT(UPPER(C2106)&amp;REPT(" ",10),10)," ")</f>
        <v/>
      </c>
      <c r="Y2106" s="10">
        <f>IF(A2106="C",LEFT(UPPER(D2106)&amp;REPT(" ",2),2)," ")</f>
        <v/>
      </c>
      <c r="Z2106" s="10">
        <f>IF(A2106="C",LEFT(UPPER(E2106)&amp;REPT(" ",15),15)," ")</f>
        <v/>
      </c>
      <c r="AA2106" s="10">
        <f>REPT(" ",8)</f>
        <v/>
      </c>
      <c r="AB2106" s="10">
        <f>REPT(" ",4)</f>
        <v/>
      </c>
      <c r="AC2106" s="10">
        <f>LEFT(UPPER(H2106)&amp;REPT(" ",250),250)</f>
        <v/>
      </c>
      <c r="AD2106" s="10">
        <f>TEXT($G$2,"dd/mm/aaaa")</f>
        <v/>
      </c>
      <c r="AE2106" s="10">
        <f>REPT(" ",10)</f>
        <v/>
      </c>
      <c r="AF2106" s="10">
        <f>REPT(" ",20)</f>
        <v/>
      </c>
      <c r="AG2106" s="54">
        <f>REPT(" ",18-LEN(FIXED(F2106,2,TRUE)))&amp;FIXED(F2106,2,TRUE)</f>
        <v/>
      </c>
      <c r="AH2106" s="10">
        <f>LEN(AC2106)+LEN(AG2106)</f>
        <v/>
      </c>
      <c r="AI2106" s="10">
        <f>LEN(L2106)</f>
        <v/>
      </c>
    </row>
    <row r="2107">
      <c r="J2107" s="12">
        <f>IF(F2107&lt;&gt;0,"LANÇAR","")</f>
        <v/>
      </c>
      <c r="L2107" s="13">
        <f>N2107&amp;O2107&amp;P2107&amp;Q2107&amp;R2107&amp;S2107&amp;T2107&amp;U2107&amp;V2107&amp;W2107&amp;X2107&amp;Y2107&amp;Z2107&amp;AA2107&amp;AB2107&amp;AC2107&amp;AD2107&amp;AE2107&amp;AF2107&amp;AG2107</f>
        <v/>
      </c>
      <c r="N2107" s="10">
        <f>TEXT($B$6,"00")</f>
        <v/>
      </c>
      <c r="O2107" s="10">
        <f>REPT(" ",8)</f>
        <v/>
      </c>
      <c r="P2107" s="10">
        <f>RIGHT($B$4,2)</f>
        <v/>
      </c>
      <c r="Q2107" s="10">
        <f>RIGHT($B$5,3)</f>
        <v/>
      </c>
      <c r="R2107" s="10">
        <f>IF(A2107="D",LEFT(UPPER(B2107)&amp;REPT(" ",20),20),REPT(" ",20))</f>
        <v/>
      </c>
      <c r="S2107" s="10">
        <f>IF(A2107="D",LEFT(UPPER(C2107)&amp;REPT(" ",10),10)," ")</f>
        <v/>
      </c>
      <c r="T2107" s="10">
        <f>IF(A2107="D",LEFT(UPPER(D2107)&amp;REPT(" ",2),2)," ")</f>
        <v/>
      </c>
      <c r="U2107" s="10">
        <f>IF(A2107="D",LEFT(UPPER(E2107)&amp;REPT(" ",15),15)," ")</f>
        <v/>
      </c>
      <c r="V2107" s="10">
        <f>REPT(" ",24)</f>
        <v/>
      </c>
      <c r="W2107" s="10">
        <f>IF(A2107="c",LEFT(UPPER(B2107)&amp;REPT(" ",20),20),REPT(" ",20))</f>
        <v/>
      </c>
      <c r="X2107" s="10">
        <f>IF(A2107="C",LEFT(UPPER(C2107)&amp;REPT(" ",10),10)," ")</f>
        <v/>
      </c>
      <c r="Y2107" s="10">
        <f>IF(A2107="C",LEFT(UPPER(D2107)&amp;REPT(" ",2),2)," ")</f>
        <v/>
      </c>
      <c r="Z2107" s="10">
        <f>IF(A2107="C",LEFT(UPPER(E2107)&amp;REPT(" ",15),15)," ")</f>
        <v/>
      </c>
      <c r="AA2107" s="10">
        <f>REPT(" ",8)</f>
        <v/>
      </c>
      <c r="AB2107" s="10">
        <f>REPT(" ",4)</f>
        <v/>
      </c>
      <c r="AC2107" s="10">
        <f>LEFT(UPPER(H2107)&amp;REPT(" ",250),250)</f>
        <v/>
      </c>
      <c r="AD2107" s="10">
        <f>TEXT($G$2,"dd/mm/aaaa")</f>
        <v/>
      </c>
      <c r="AE2107" s="10">
        <f>REPT(" ",10)</f>
        <v/>
      </c>
      <c r="AF2107" s="10">
        <f>REPT(" ",20)</f>
        <v/>
      </c>
      <c r="AG2107" s="54">
        <f>REPT(" ",18-LEN(FIXED(F2107,2,TRUE)))&amp;FIXED(F2107,2,TRUE)</f>
        <v/>
      </c>
      <c r="AH2107" s="10">
        <f>LEN(AC2107)+LEN(AG2107)</f>
        <v/>
      </c>
      <c r="AI2107" s="10">
        <f>LEN(L2107)</f>
        <v/>
      </c>
    </row>
    <row r="2108">
      <c r="J2108" s="12">
        <f>IF(F2108&lt;&gt;0,"LANÇAR","")</f>
        <v/>
      </c>
      <c r="L2108" s="13">
        <f>N2108&amp;O2108&amp;P2108&amp;Q2108&amp;R2108&amp;S2108&amp;T2108&amp;U2108&amp;V2108&amp;W2108&amp;X2108&amp;Y2108&amp;Z2108&amp;AA2108&amp;AB2108&amp;AC2108&amp;AD2108&amp;AE2108&amp;AF2108&amp;AG2108</f>
        <v/>
      </c>
      <c r="N2108" s="10">
        <f>TEXT($B$6,"00")</f>
        <v/>
      </c>
      <c r="O2108" s="10">
        <f>REPT(" ",8)</f>
        <v/>
      </c>
      <c r="P2108" s="10">
        <f>RIGHT($B$4,2)</f>
        <v/>
      </c>
      <c r="Q2108" s="10">
        <f>RIGHT($B$5,3)</f>
        <v/>
      </c>
      <c r="R2108" s="10">
        <f>IF(A2108="D",LEFT(UPPER(B2108)&amp;REPT(" ",20),20),REPT(" ",20))</f>
        <v/>
      </c>
      <c r="S2108" s="10">
        <f>IF(A2108="D",LEFT(UPPER(C2108)&amp;REPT(" ",10),10)," ")</f>
        <v/>
      </c>
      <c r="T2108" s="10">
        <f>IF(A2108="D",LEFT(UPPER(D2108)&amp;REPT(" ",2),2)," ")</f>
        <v/>
      </c>
      <c r="U2108" s="10">
        <f>IF(A2108="D",LEFT(UPPER(E2108)&amp;REPT(" ",15),15)," ")</f>
        <v/>
      </c>
      <c r="V2108" s="10">
        <f>REPT(" ",24)</f>
        <v/>
      </c>
      <c r="W2108" s="10">
        <f>IF(A2108="c",LEFT(UPPER(B2108)&amp;REPT(" ",20),20),REPT(" ",20))</f>
        <v/>
      </c>
      <c r="X2108" s="10">
        <f>IF(A2108="C",LEFT(UPPER(C2108)&amp;REPT(" ",10),10)," ")</f>
        <v/>
      </c>
      <c r="Y2108" s="10">
        <f>IF(A2108="C",LEFT(UPPER(D2108)&amp;REPT(" ",2),2)," ")</f>
        <v/>
      </c>
      <c r="Z2108" s="10">
        <f>IF(A2108="C",LEFT(UPPER(E2108)&amp;REPT(" ",15),15)," ")</f>
        <v/>
      </c>
      <c r="AA2108" s="10">
        <f>REPT(" ",8)</f>
        <v/>
      </c>
      <c r="AB2108" s="10">
        <f>REPT(" ",4)</f>
        <v/>
      </c>
      <c r="AC2108" s="10">
        <f>LEFT(UPPER(H2108)&amp;REPT(" ",250),250)</f>
        <v/>
      </c>
      <c r="AD2108" s="10">
        <f>TEXT($G$2,"dd/mm/aaaa")</f>
        <v/>
      </c>
      <c r="AE2108" s="10">
        <f>REPT(" ",10)</f>
        <v/>
      </c>
      <c r="AF2108" s="10">
        <f>REPT(" ",20)</f>
        <v/>
      </c>
      <c r="AG2108" s="54">
        <f>REPT(" ",18-LEN(FIXED(F2108,2,TRUE)))&amp;FIXED(F2108,2,TRUE)</f>
        <v/>
      </c>
      <c r="AH2108" s="10">
        <f>LEN(AC2108)+LEN(AG2108)</f>
        <v/>
      </c>
      <c r="AI2108" s="10">
        <f>LEN(L2108)</f>
        <v/>
      </c>
    </row>
    <row r="2109">
      <c r="J2109" s="12">
        <f>IF(F2109&lt;&gt;0,"LANÇAR","")</f>
        <v/>
      </c>
      <c r="L2109" s="13">
        <f>N2109&amp;O2109&amp;P2109&amp;Q2109&amp;R2109&amp;S2109&amp;T2109&amp;U2109&amp;V2109&amp;W2109&amp;X2109&amp;Y2109&amp;Z2109&amp;AA2109&amp;AB2109&amp;AC2109&amp;AD2109&amp;AE2109&amp;AF2109&amp;AG2109</f>
        <v/>
      </c>
      <c r="N2109" s="10">
        <f>TEXT($B$6,"00")</f>
        <v/>
      </c>
      <c r="O2109" s="10">
        <f>REPT(" ",8)</f>
        <v/>
      </c>
      <c r="P2109" s="10">
        <f>RIGHT($B$4,2)</f>
        <v/>
      </c>
      <c r="Q2109" s="10">
        <f>RIGHT($B$5,3)</f>
        <v/>
      </c>
      <c r="R2109" s="10">
        <f>IF(A2109="D",LEFT(UPPER(B2109)&amp;REPT(" ",20),20),REPT(" ",20))</f>
        <v/>
      </c>
      <c r="S2109" s="10">
        <f>IF(A2109="D",LEFT(UPPER(C2109)&amp;REPT(" ",10),10)," ")</f>
        <v/>
      </c>
      <c r="T2109" s="10">
        <f>IF(A2109="D",LEFT(UPPER(D2109)&amp;REPT(" ",2),2)," ")</f>
        <v/>
      </c>
      <c r="U2109" s="10">
        <f>IF(A2109="D",LEFT(UPPER(E2109)&amp;REPT(" ",15),15)," ")</f>
        <v/>
      </c>
      <c r="V2109" s="10">
        <f>REPT(" ",24)</f>
        <v/>
      </c>
      <c r="W2109" s="10">
        <f>IF(A2109="c",LEFT(UPPER(B2109)&amp;REPT(" ",20),20),REPT(" ",20))</f>
        <v/>
      </c>
      <c r="X2109" s="10">
        <f>IF(A2109="C",LEFT(UPPER(C2109)&amp;REPT(" ",10),10)," ")</f>
        <v/>
      </c>
      <c r="Y2109" s="10">
        <f>IF(A2109="C",LEFT(UPPER(D2109)&amp;REPT(" ",2),2)," ")</f>
        <v/>
      </c>
      <c r="Z2109" s="10">
        <f>IF(A2109="C",LEFT(UPPER(E2109)&amp;REPT(" ",15),15)," ")</f>
        <v/>
      </c>
      <c r="AA2109" s="10">
        <f>REPT(" ",8)</f>
        <v/>
      </c>
      <c r="AB2109" s="10">
        <f>REPT(" ",4)</f>
        <v/>
      </c>
      <c r="AC2109" s="10">
        <f>LEFT(UPPER(H2109)&amp;REPT(" ",250),250)</f>
        <v/>
      </c>
      <c r="AD2109" s="10">
        <f>TEXT($G$2,"dd/mm/aaaa")</f>
        <v/>
      </c>
      <c r="AE2109" s="10">
        <f>REPT(" ",10)</f>
        <v/>
      </c>
      <c r="AF2109" s="10">
        <f>REPT(" ",20)</f>
        <v/>
      </c>
      <c r="AG2109" s="54">
        <f>REPT(" ",18-LEN(FIXED(F2109,2,TRUE)))&amp;FIXED(F2109,2,TRUE)</f>
        <v/>
      </c>
      <c r="AH2109" s="10">
        <f>LEN(AC2109)+LEN(AG2109)</f>
        <v/>
      </c>
      <c r="AI2109" s="10">
        <f>LEN(L2109)</f>
        <v/>
      </c>
    </row>
    <row r="2110">
      <c r="J2110" s="12">
        <f>IF(F2110&lt;&gt;0,"LANÇAR","")</f>
        <v/>
      </c>
      <c r="L2110" s="13">
        <f>N2110&amp;O2110&amp;P2110&amp;Q2110&amp;R2110&amp;S2110&amp;T2110&amp;U2110&amp;V2110&amp;W2110&amp;X2110&amp;Y2110&amp;Z2110&amp;AA2110&amp;AB2110&amp;AC2110&amp;AD2110&amp;AE2110&amp;AF2110&amp;AG2110</f>
        <v/>
      </c>
      <c r="N2110" s="10">
        <f>TEXT($B$6,"00")</f>
        <v/>
      </c>
      <c r="O2110" s="10">
        <f>REPT(" ",8)</f>
        <v/>
      </c>
      <c r="P2110" s="10">
        <f>RIGHT($B$4,2)</f>
        <v/>
      </c>
      <c r="Q2110" s="10">
        <f>RIGHT($B$5,3)</f>
        <v/>
      </c>
      <c r="R2110" s="10">
        <f>IF(A2110="D",LEFT(UPPER(B2110)&amp;REPT(" ",20),20),REPT(" ",20))</f>
        <v/>
      </c>
      <c r="S2110" s="10">
        <f>IF(A2110="D",LEFT(UPPER(C2110)&amp;REPT(" ",10),10)," ")</f>
        <v/>
      </c>
      <c r="T2110" s="10">
        <f>IF(A2110="D",LEFT(UPPER(D2110)&amp;REPT(" ",2),2)," ")</f>
        <v/>
      </c>
      <c r="U2110" s="10">
        <f>IF(A2110="D",LEFT(UPPER(E2110)&amp;REPT(" ",15),15)," ")</f>
        <v/>
      </c>
      <c r="V2110" s="10">
        <f>REPT(" ",24)</f>
        <v/>
      </c>
      <c r="W2110" s="10">
        <f>IF(A2110="c",LEFT(UPPER(B2110)&amp;REPT(" ",20),20),REPT(" ",20))</f>
        <v/>
      </c>
      <c r="X2110" s="10">
        <f>IF(A2110="C",LEFT(UPPER(C2110)&amp;REPT(" ",10),10)," ")</f>
        <v/>
      </c>
      <c r="Y2110" s="10">
        <f>IF(A2110="C",LEFT(UPPER(D2110)&amp;REPT(" ",2),2)," ")</f>
        <v/>
      </c>
      <c r="Z2110" s="10">
        <f>IF(A2110="C",LEFT(UPPER(E2110)&amp;REPT(" ",15),15)," ")</f>
        <v/>
      </c>
      <c r="AA2110" s="10">
        <f>REPT(" ",8)</f>
        <v/>
      </c>
      <c r="AB2110" s="10">
        <f>REPT(" ",4)</f>
        <v/>
      </c>
      <c r="AC2110" s="10">
        <f>LEFT(UPPER(H2110)&amp;REPT(" ",250),250)</f>
        <v/>
      </c>
      <c r="AD2110" s="10">
        <f>TEXT($G$2,"dd/mm/aaaa")</f>
        <v/>
      </c>
      <c r="AE2110" s="10">
        <f>REPT(" ",10)</f>
        <v/>
      </c>
      <c r="AF2110" s="10">
        <f>REPT(" ",20)</f>
        <v/>
      </c>
      <c r="AG2110" s="54">
        <f>REPT(" ",18-LEN(FIXED(F2110,2,TRUE)))&amp;FIXED(F2110,2,TRUE)</f>
        <v/>
      </c>
      <c r="AH2110" s="10">
        <f>LEN(AC2110)+LEN(AG2110)</f>
        <v/>
      </c>
      <c r="AI2110" s="10">
        <f>LEN(L2110)</f>
        <v/>
      </c>
    </row>
    <row r="2111">
      <c r="J2111" s="12">
        <f>IF(F2111&lt;&gt;0,"LANÇAR","")</f>
        <v/>
      </c>
      <c r="L2111" s="13">
        <f>N2111&amp;O2111&amp;P2111&amp;Q2111&amp;R2111&amp;S2111&amp;T2111&amp;U2111&amp;V2111&amp;W2111&amp;X2111&amp;Y2111&amp;Z2111&amp;AA2111&amp;AB2111&amp;AC2111&amp;AD2111&amp;AE2111&amp;AF2111&amp;AG2111</f>
        <v/>
      </c>
      <c r="N2111" s="10">
        <f>TEXT($B$6,"00")</f>
        <v/>
      </c>
      <c r="O2111" s="10">
        <f>REPT(" ",8)</f>
        <v/>
      </c>
      <c r="P2111" s="10">
        <f>RIGHT($B$4,2)</f>
        <v/>
      </c>
      <c r="Q2111" s="10">
        <f>RIGHT($B$5,3)</f>
        <v/>
      </c>
      <c r="R2111" s="10">
        <f>IF(A2111="D",LEFT(UPPER(B2111)&amp;REPT(" ",20),20),REPT(" ",20))</f>
        <v/>
      </c>
      <c r="S2111" s="10">
        <f>IF(A2111="D",LEFT(UPPER(C2111)&amp;REPT(" ",10),10)," ")</f>
        <v/>
      </c>
      <c r="T2111" s="10">
        <f>IF(A2111="D",LEFT(UPPER(D2111)&amp;REPT(" ",2),2)," ")</f>
        <v/>
      </c>
      <c r="U2111" s="10">
        <f>IF(A2111="D",LEFT(UPPER(E2111)&amp;REPT(" ",15),15)," ")</f>
        <v/>
      </c>
      <c r="V2111" s="10">
        <f>REPT(" ",24)</f>
        <v/>
      </c>
      <c r="W2111" s="10">
        <f>IF(A2111="c",LEFT(UPPER(B2111)&amp;REPT(" ",20),20),REPT(" ",20))</f>
        <v/>
      </c>
      <c r="X2111" s="10">
        <f>IF(A2111="C",LEFT(UPPER(C2111)&amp;REPT(" ",10),10)," ")</f>
        <v/>
      </c>
      <c r="Y2111" s="10">
        <f>IF(A2111="C",LEFT(UPPER(D2111)&amp;REPT(" ",2),2)," ")</f>
        <v/>
      </c>
      <c r="Z2111" s="10">
        <f>IF(A2111="C",LEFT(UPPER(E2111)&amp;REPT(" ",15),15)," ")</f>
        <v/>
      </c>
      <c r="AA2111" s="10">
        <f>REPT(" ",8)</f>
        <v/>
      </c>
      <c r="AB2111" s="10">
        <f>REPT(" ",4)</f>
        <v/>
      </c>
      <c r="AC2111" s="10">
        <f>LEFT(UPPER(H2111)&amp;REPT(" ",250),250)</f>
        <v/>
      </c>
      <c r="AD2111" s="10">
        <f>TEXT($G$2,"dd/mm/aaaa")</f>
        <v/>
      </c>
      <c r="AE2111" s="10">
        <f>REPT(" ",10)</f>
        <v/>
      </c>
      <c r="AF2111" s="10">
        <f>REPT(" ",20)</f>
        <v/>
      </c>
      <c r="AG2111" s="54">
        <f>REPT(" ",18-LEN(FIXED(F2111,2,TRUE)))&amp;FIXED(F2111,2,TRUE)</f>
        <v/>
      </c>
      <c r="AH2111" s="10">
        <f>LEN(AC2111)+LEN(AG2111)</f>
        <v/>
      </c>
      <c r="AI2111" s="10">
        <f>LEN(L2111)</f>
        <v/>
      </c>
    </row>
    <row r="2112">
      <c r="J2112" s="12">
        <f>IF(F2112&lt;&gt;0,"LANÇAR","")</f>
        <v/>
      </c>
      <c r="L2112" s="13">
        <f>N2112&amp;O2112&amp;P2112&amp;Q2112&amp;R2112&amp;S2112&amp;T2112&amp;U2112&amp;V2112&amp;W2112&amp;X2112&amp;Y2112&amp;Z2112&amp;AA2112&amp;AB2112&amp;AC2112&amp;AD2112&amp;AE2112&amp;AF2112&amp;AG2112</f>
        <v/>
      </c>
      <c r="N2112" s="10">
        <f>TEXT($B$6,"00")</f>
        <v/>
      </c>
      <c r="O2112" s="10">
        <f>REPT(" ",8)</f>
        <v/>
      </c>
      <c r="P2112" s="10">
        <f>RIGHT($B$4,2)</f>
        <v/>
      </c>
      <c r="Q2112" s="10">
        <f>RIGHT($B$5,3)</f>
        <v/>
      </c>
      <c r="R2112" s="10">
        <f>IF(A2112="D",LEFT(UPPER(B2112)&amp;REPT(" ",20),20),REPT(" ",20))</f>
        <v/>
      </c>
      <c r="S2112" s="10">
        <f>IF(A2112="D",LEFT(UPPER(C2112)&amp;REPT(" ",10),10)," ")</f>
        <v/>
      </c>
      <c r="T2112" s="10">
        <f>IF(A2112="D",LEFT(UPPER(D2112)&amp;REPT(" ",2),2)," ")</f>
        <v/>
      </c>
      <c r="U2112" s="10">
        <f>IF(A2112="D",LEFT(UPPER(E2112)&amp;REPT(" ",15),15)," ")</f>
        <v/>
      </c>
      <c r="V2112" s="10">
        <f>REPT(" ",24)</f>
        <v/>
      </c>
      <c r="W2112" s="10">
        <f>IF(A2112="c",LEFT(UPPER(B2112)&amp;REPT(" ",20),20),REPT(" ",20))</f>
        <v/>
      </c>
      <c r="X2112" s="10">
        <f>IF(A2112="C",LEFT(UPPER(C2112)&amp;REPT(" ",10),10)," ")</f>
        <v/>
      </c>
      <c r="Y2112" s="10">
        <f>IF(A2112="C",LEFT(UPPER(D2112)&amp;REPT(" ",2),2)," ")</f>
        <v/>
      </c>
      <c r="Z2112" s="10">
        <f>IF(A2112="C",LEFT(UPPER(E2112)&amp;REPT(" ",15),15)," ")</f>
        <v/>
      </c>
      <c r="AA2112" s="10">
        <f>REPT(" ",8)</f>
        <v/>
      </c>
      <c r="AB2112" s="10">
        <f>REPT(" ",4)</f>
        <v/>
      </c>
      <c r="AC2112" s="10">
        <f>LEFT(UPPER(H2112)&amp;REPT(" ",250),250)</f>
        <v/>
      </c>
      <c r="AD2112" s="10">
        <f>TEXT($G$2,"dd/mm/aaaa")</f>
        <v/>
      </c>
      <c r="AE2112" s="10">
        <f>REPT(" ",10)</f>
        <v/>
      </c>
      <c r="AF2112" s="10">
        <f>REPT(" ",20)</f>
        <v/>
      </c>
      <c r="AG2112" s="54">
        <f>REPT(" ",18-LEN(FIXED(F2112,2,TRUE)))&amp;FIXED(F2112,2,TRUE)</f>
        <v/>
      </c>
      <c r="AH2112" s="10">
        <f>LEN(AC2112)+LEN(AG2112)</f>
        <v/>
      </c>
      <c r="AI2112" s="10">
        <f>LEN(L2112)</f>
        <v/>
      </c>
    </row>
    <row r="2113">
      <c r="J2113" s="12">
        <f>IF(F2113&lt;&gt;0,"LANÇAR","")</f>
        <v/>
      </c>
      <c r="L2113" s="13">
        <f>N2113&amp;O2113&amp;P2113&amp;Q2113&amp;R2113&amp;S2113&amp;T2113&amp;U2113&amp;V2113&amp;W2113&amp;X2113&amp;Y2113&amp;Z2113&amp;AA2113&amp;AB2113&amp;AC2113&amp;AD2113&amp;AE2113&amp;AF2113&amp;AG2113</f>
        <v/>
      </c>
      <c r="N2113" s="10">
        <f>TEXT($B$6,"00")</f>
        <v/>
      </c>
      <c r="O2113" s="10">
        <f>REPT(" ",8)</f>
        <v/>
      </c>
      <c r="P2113" s="10">
        <f>RIGHT($B$4,2)</f>
        <v/>
      </c>
      <c r="Q2113" s="10">
        <f>RIGHT($B$5,3)</f>
        <v/>
      </c>
      <c r="R2113" s="10">
        <f>IF(A2113="D",LEFT(UPPER(B2113)&amp;REPT(" ",20),20),REPT(" ",20))</f>
        <v/>
      </c>
      <c r="S2113" s="10">
        <f>IF(A2113="D",LEFT(UPPER(C2113)&amp;REPT(" ",10),10)," ")</f>
        <v/>
      </c>
      <c r="T2113" s="10">
        <f>IF(A2113="D",LEFT(UPPER(D2113)&amp;REPT(" ",2),2)," ")</f>
        <v/>
      </c>
      <c r="U2113" s="10">
        <f>IF(A2113="D",LEFT(UPPER(E2113)&amp;REPT(" ",15),15)," ")</f>
        <v/>
      </c>
      <c r="V2113" s="10">
        <f>REPT(" ",24)</f>
        <v/>
      </c>
      <c r="W2113" s="10">
        <f>IF(A2113="c",LEFT(UPPER(B2113)&amp;REPT(" ",20),20),REPT(" ",20))</f>
        <v/>
      </c>
      <c r="X2113" s="10">
        <f>IF(A2113="C",LEFT(UPPER(C2113)&amp;REPT(" ",10),10)," ")</f>
        <v/>
      </c>
      <c r="Y2113" s="10">
        <f>IF(A2113="C",LEFT(UPPER(D2113)&amp;REPT(" ",2),2)," ")</f>
        <v/>
      </c>
      <c r="Z2113" s="10">
        <f>IF(A2113="C",LEFT(UPPER(E2113)&amp;REPT(" ",15),15)," ")</f>
        <v/>
      </c>
      <c r="AA2113" s="10">
        <f>REPT(" ",8)</f>
        <v/>
      </c>
      <c r="AB2113" s="10">
        <f>REPT(" ",4)</f>
        <v/>
      </c>
      <c r="AC2113" s="10">
        <f>LEFT(UPPER(H2113)&amp;REPT(" ",250),250)</f>
        <v/>
      </c>
      <c r="AD2113" s="10">
        <f>TEXT($G$2,"dd/mm/aaaa")</f>
        <v/>
      </c>
      <c r="AE2113" s="10">
        <f>REPT(" ",10)</f>
        <v/>
      </c>
      <c r="AF2113" s="10">
        <f>REPT(" ",20)</f>
        <v/>
      </c>
      <c r="AG2113" s="54">
        <f>REPT(" ",18-LEN(FIXED(F2113,2,TRUE)))&amp;FIXED(F2113,2,TRUE)</f>
        <v/>
      </c>
      <c r="AH2113" s="10">
        <f>LEN(AC2113)+LEN(AG2113)</f>
        <v/>
      </c>
      <c r="AI2113" s="10">
        <f>LEN(L2113)</f>
        <v/>
      </c>
    </row>
    <row r="2114">
      <c r="J2114" s="12">
        <f>IF(F2114&lt;&gt;0,"LANÇAR","")</f>
        <v/>
      </c>
      <c r="L2114" s="13">
        <f>N2114&amp;O2114&amp;P2114&amp;Q2114&amp;R2114&amp;S2114&amp;T2114&amp;U2114&amp;V2114&amp;W2114&amp;X2114&amp;Y2114&amp;Z2114&amp;AA2114&amp;AB2114&amp;AC2114&amp;AD2114&amp;AE2114&amp;AF2114&amp;AG2114</f>
        <v/>
      </c>
      <c r="N2114" s="10">
        <f>TEXT($B$6,"00")</f>
        <v/>
      </c>
      <c r="O2114" s="10">
        <f>REPT(" ",8)</f>
        <v/>
      </c>
      <c r="P2114" s="10">
        <f>RIGHT($B$4,2)</f>
        <v/>
      </c>
      <c r="Q2114" s="10">
        <f>RIGHT($B$5,3)</f>
        <v/>
      </c>
      <c r="R2114" s="10">
        <f>IF(A2114="D",LEFT(UPPER(B2114)&amp;REPT(" ",20),20),REPT(" ",20))</f>
        <v/>
      </c>
      <c r="S2114" s="10">
        <f>IF(A2114="D",LEFT(UPPER(C2114)&amp;REPT(" ",10),10)," ")</f>
        <v/>
      </c>
      <c r="T2114" s="10">
        <f>IF(A2114="D",LEFT(UPPER(D2114)&amp;REPT(" ",2),2)," ")</f>
        <v/>
      </c>
      <c r="U2114" s="10">
        <f>IF(A2114="D",LEFT(UPPER(E2114)&amp;REPT(" ",15),15)," ")</f>
        <v/>
      </c>
      <c r="V2114" s="10">
        <f>REPT(" ",24)</f>
        <v/>
      </c>
      <c r="W2114" s="10">
        <f>IF(A2114="c",LEFT(UPPER(B2114)&amp;REPT(" ",20),20),REPT(" ",20))</f>
        <v/>
      </c>
      <c r="X2114" s="10">
        <f>IF(A2114="C",LEFT(UPPER(C2114)&amp;REPT(" ",10),10)," ")</f>
        <v/>
      </c>
      <c r="Y2114" s="10">
        <f>IF(A2114="C",LEFT(UPPER(D2114)&amp;REPT(" ",2),2)," ")</f>
        <v/>
      </c>
      <c r="Z2114" s="10">
        <f>IF(A2114="C",LEFT(UPPER(E2114)&amp;REPT(" ",15),15)," ")</f>
        <v/>
      </c>
      <c r="AA2114" s="10">
        <f>REPT(" ",8)</f>
        <v/>
      </c>
      <c r="AB2114" s="10">
        <f>REPT(" ",4)</f>
        <v/>
      </c>
      <c r="AC2114" s="10">
        <f>LEFT(UPPER(H2114)&amp;REPT(" ",250),250)</f>
        <v/>
      </c>
      <c r="AD2114" s="10">
        <f>TEXT($G$2,"dd/mm/aaaa")</f>
        <v/>
      </c>
      <c r="AE2114" s="10">
        <f>REPT(" ",10)</f>
        <v/>
      </c>
      <c r="AF2114" s="10">
        <f>REPT(" ",20)</f>
        <v/>
      </c>
      <c r="AG2114" s="54">
        <f>REPT(" ",18-LEN(FIXED(F2114,2,TRUE)))&amp;FIXED(F2114,2,TRUE)</f>
        <v/>
      </c>
      <c r="AH2114" s="10">
        <f>LEN(AC2114)+LEN(AG2114)</f>
        <v/>
      </c>
      <c r="AI2114" s="10">
        <f>LEN(L2114)</f>
        <v/>
      </c>
    </row>
    <row r="2115">
      <c r="J2115" s="12">
        <f>IF(F2115&lt;&gt;0,"LANÇAR","")</f>
        <v/>
      </c>
      <c r="L2115" s="13">
        <f>N2115&amp;O2115&amp;P2115&amp;Q2115&amp;R2115&amp;S2115&amp;T2115&amp;U2115&amp;V2115&amp;W2115&amp;X2115&amp;Y2115&amp;Z2115&amp;AA2115&amp;AB2115&amp;AC2115&amp;AD2115&amp;AE2115&amp;AF2115&amp;AG2115</f>
        <v/>
      </c>
      <c r="N2115" s="10">
        <f>TEXT($B$6,"00")</f>
        <v/>
      </c>
      <c r="O2115" s="10">
        <f>REPT(" ",8)</f>
        <v/>
      </c>
      <c r="P2115" s="10">
        <f>RIGHT($B$4,2)</f>
        <v/>
      </c>
      <c r="Q2115" s="10">
        <f>RIGHT($B$5,3)</f>
        <v/>
      </c>
      <c r="R2115" s="10">
        <f>IF(A2115="D",LEFT(UPPER(B2115)&amp;REPT(" ",20),20),REPT(" ",20))</f>
        <v/>
      </c>
      <c r="S2115" s="10">
        <f>IF(A2115="D",LEFT(UPPER(C2115)&amp;REPT(" ",10),10)," ")</f>
        <v/>
      </c>
      <c r="T2115" s="10">
        <f>IF(A2115="D",LEFT(UPPER(D2115)&amp;REPT(" ",2),2)," ")</f>
        <v/>
      </c>
      <c r="U2115" s="10">
        <f>IF(A2115="D",LEFT(UPPER(E2115)&amp;REPT(" ",15),15)," ")</f>
        <v/>
      </c>
      <c r="V2115" s="10">
        <f>REPT(" ",24)</f>
        <v/>
      </c>
      <c r="W2115" s="10">
        <f>IF(A2115="c",LEFT(UPPER(B2115)&amp;REPT(" ",20),20),REPT(" ",20))</f>
        <v/>
      </c>
      <c r="X2115" s="10">
        <f>IF(A2115="C",LEFT(UPPER(C2115)&amp;REPT(" ",10),10)," ")</f>
        <v/>
      </c>
      <c r="Y2115" s="10">
        <f>IF(A2115="C",LEFT(UPPER(D2115)&amp;REPT(" ",2),2)," ")</f>
        <v/>
      </c>
      <c r="Z2115" s="10">
        <f>IF(A2115="C",LEFT(UPPER(E2115)&amp;REPT(" ",15),15)," ")</f>
        <v/>
      </c>
      <c r="AA2115" s="10">
        <f>REPT(" ",8)</f>
        <v/>
      </c>
      <c r="AB2115" s="10">
        <f>REPT(" ",4)</f>
        <v/>
      </c>
      <c r="AC2115" s="10">
        <f>LEFT(UPPER(H2115)&amp;REPT(" ",250),250)</f>
        <v/>
      </c>
      <c r="AD2115" s="10">
        <f>TEXT($G$2,"dd/mm/aaaa")</f>
        <v/>
      </c>
      <c r="AE2115" s="10">
        <f>REPT(" ",10)</f>
        <v/>
      </c>
      <c r="AF2115" s="10">
        <f>REPT(" ",20)</f>
        <v/>
      </c>
      <c r="AG2115" s="54">
        <f>REPT(" ",18-LEN(FIXED(F2115,2,TRUE)))&amp;FIXED(F2115,2,TRUE)</f>
        <v/>
      </c>
      <c r="AH2115" s="10">
        <f>LEN(AC2115)+LEN(AG2115)</f>
        <v/>
      </c>
      <c r="AI2115" s="10">
        <f>LEN(L2115)</f>
        <v/>
      </c>
    </row>
    <row r="2116">
      <c r="J2116" s="12">
        <f>IF(F2116&lt;&gt;0,"LANÇAR","")</f>
        <v/>
      </c>
      <c r="L2116" s="13">
        <f>N2116&amp;O2116&amp;P2116&amp;Q2116&amp;R2116&amp;S2116&amp;T2116&amp;U2116&amp;V2116&amp;W2116&amp;X2116&amp;Y2116&amp;Z2116&amp;AA2116&amp;AB2116&amp;AC2116&amp;AD2116&amp;AE2116&amp;AF2116&amp;AG2116</f>
        <v/>
      </c>
      <c r="N2116" s="10">
        <f>TEXT($B$6,"00")</f>
        <v/>
      </c>
      <c r="O2116" s="10">
        <f>REPT(" ",8)</f>
        <v/>
      </c>
      <c r="P2116" s="10">
        <f>RIGHT($B$4,2)</f>
        <v/>
      </c>
      <c r="Q2116" s="10">
        <f>RIGHT($B$5,3)</f>
        <v/>
      </c>
      <c r="R2116" s="10">
        <f>IF(A2116="D",LEFT(UPPER(B2116)&amp;REPT(" ",20),20),REPT(" ",20))</f>
        <v/>
      </c>
      <c r="S2116" s="10">
        <f>IF(A2116="D",LEFT(UPPER(C2116)&amp;REPT(" ",10),10)," ")</f>
        <v/>
      </c>
      <c r="T2116" s="10">
        <f>IF(A2116="D",LEFT(UPPER(D2116)&amp;REPT(" ",2),2)," ")</f>
        <v/>
      </c>
      <c r="U2116" s="10">
        <f>IF(A2116="D",LEFT(UPPER(E2116)&amp;REPT(" ",15),15)," ")</f>
        <v/>
      </c>
      <c r="V2116" s="10">
        <f>REPT(" ",24)</f>
        <v/>
      </c>
      <c r="W2116" s="10">
        <f>IF(A2116="c",LEFT(UPPER(B2116)&amp;REPT(" ",20),20),REPT(" ",20))</f>
        <v/>
      </c>
      <c r="X2116" s="10">
        <f>IF(A2116="C",LEFT(UPPER(C2116)&amp;REPT(" ",10),10)," ")</f>
        <v/>
      </c>
      <c r="Y2116" s="10">
        <f>IF(A2116="C",LEFT(UPPER(D2116)&amp;REPT(" ",2),2)," ")</f>
        <v/>
      </c>
      <c r="Z2116" s="10">
        <f>IF(A2116="C",LEFT(UPPER(E2116)&amp;REPT(" ",15),15)," ")</f>
        <v/>
      </c>
      <c r="AA2116" s="10">
        <f>REPT(" ",8)</f>
        <v/>
      </c>
      <c r="AB2116" s="10">
        <f>REPT(" ",4)</f>
        <v/>
      </c>
      <c r="AC2116" s="10">
        <f>LEFT(UPPER(H2116)&amp;REPT(" ",250),250)</f>
        <v/>
      </c>
      <c r="AD2116" s="10">
        <f>TEXT($G$2,"dd/mm/aaaa")</f>
        <v/>
      </c>
      <c r="AE2116" s="10">
        <f>REPT(" ",10)</f>
        <v/>
      </c>
      <c r="AF2116" s="10">
        <f>REPT(" ",20)</f>
        <v/>
      </c>
      <c r="AG2116" s="54">
        <f>REPT(" ",18-LEN(FIXED(F2116,2,TRUE)))&amp;FIXED(F2116,2,TRUE)</f>
        <v/>
      </c>
      <c r="AH2116" s="10">
        <f>LEN(AC2116)+LEN(AG2116)</f>
        <v/>
      </c>
      <c r="AI2116" s="10">
        <f>LEN(L2116)</f>
        <v/>
      </c>
    </row>
    <row r="2117">
      <c r="J2117" s="12">
        <f>IF(F2117&lt;&gt;0,"LANÇAR","")</f>
        <v/>
      </c>
      <c r="L2117" s="13">
        <f>N2117&amp;O2117&amp;P2117&amp;Q2117&amp;R2117&amp;S2117&amp;T2117&amp;U2117&amp;V2117&amp;W2117&amp;X2117&amp;Y2117&amp;Z2117&amp;AA2117&amp;AB2117&amp;AC2117&amp;AD2117&amp;AE2117&amp;AF2117&amp;AG2117</f>
        <v/>
      </c>
      <c r="N2117" s="10">
        <f>TEXT($B$6,"00")</f>
        <v/>
      </c>
      <c r="O2117" s="10">
        <f>REPT(" ",8)</f>
        <v/>
      </c>
      <c r="P2117" s="10">
        <f>RIGHT($B$4,2)</f>
        <v/>
      </c>
      <c r="Q2117" s="10">
        <f>RIGHT($B$5,3)</f>
        <v/>
      </c>
      <c r="R2117" s="10">
        <f>IF(A2117="D",LEFT(UPPER(B2117)&amp;REPT(" ",20),20),REPT(" ",20))</f>
        <v/>
      </c>
      <c r="S2117" s="10">
        <f>IF(A2117="D",LEFT(UPPER(C2117)&amp;REPT(" ",10),10)," ")</f>
        <v/>
      </c>
      <c r="T2117" s="10">
        <f>IF(A2117="D",LEFT(UPPER(D2117)&amp;REPT(" ",2),2)," ")</f>
        <v/>
      </c>
      <c r="U2117" s="10">
        <f>IF(A2117="D",LEFT(UPPER(E2117)&amp;REPT(" ",15),15)," ")</f>
        <v/>
      </c>
      <c r="V2117" s="10">
        <f>REPT(" ",24)</f>
        <v/>
      </c>
      <c r="W2117" s="10">
        <f>IF(A2117="c",LEFT(UPPER(B2117)&amp;REPT(" ",20),20),REPT(" ",20))</f>
        <v/>
      </c>
      <c r="X2117" s="10">
        <f>IF(A2117="C",LEFT(UPPER(C2117)&amp;REPT(" ",10),10)," ")</f>
        <v/>
      </c>
      <c r="Y2117" s="10">
        <f>IF(A2117="C",LEFT(UPPER(D2117)&amp;REPT(" ",2),2)," ")</f>
        <v/>
      </c>
      <c r="Z2117" s="10">
        <f>IF(A2117="C",LEFT(UPPER(E2117)&amp;REPT(" ",15),15)," ")</f>
        <v/>
      </c>
      <c r="AA2117" s="10">
        <f>REPT(" ",8)</f>
        <v/>
      </c>
      <c r="AB2117" s="10">
        <f>REPT(" ",4)</f>
        <v/>
      </c>
      <c r="AC2117" s="10">
        <f>LEFT(UPPER(H2117)&amp;REPT(" ",250),250)</f>
        <v/>
      </c>
      <c r="AD2117" s="10">
        <f>TEXT($G$2,"dd/mm/aaaa")</f>
        <v/>
      </c>
      <c r="AE2117" s="10">
        <f>REPT(" ",10)</f>
        <v/>
      </c>
      <c r="AF2117" s="10">
        <f>REPT(" ",20)</f>
        <v/>
      </c>
      <c r="AG2117" s="54">
        <f>REPT(" ",18-LEN(FIXED(F2117,2,TRUE)))&amp;FIXED(F2117,2,TRUE)</f>
        <v/>
      </c>
      <c r="AH2117" s="10">
        <f>LEN(AC2117)+LEN(AG2117)</f>
        <v/>
      </c>
      <c r="AI2117" s="10">
        <f>LEN(L2117)</f>
        <v/>
      </c>
    </row>
    <row r="2118">
      <c r="J2118" s="12">
        <f>IF(F2118&lt;&gt;0,"LANÇAR","")</f>
        <v/>
      </c>
      <c r="L2118" s="13">
        <f>N2118&amp;O2118&amp;P2118&amp;Q2118&amp;R2118&amp;S2118&amp;T2118&amp;U2118&amp;V2118&amp;W2118&amp;X2118&amp;Y2118&amp;Z2118&amp;AA2118&amp;AB2118&amp;AC2118&amp;AD2118&amp;AE2118&amp;AF2118&amp;AG2118</f>
        <v/>
      </c>
      <c r="N2118" s="10">
        <f>TEXT($B$6,"00")</f>
        <v/>
      </c>
      <c r="O2118" s="10">
        <f>REPT(" ",8)</f>
        <v/>
      </c>
      <c r="P2118" s="10">
        <f>RIGHT($B$4,2)</f>
        <v/>
      </c>
      <c r="Q2118" s="10">
        <f>RIGHT($B$5,3)</f>
        <v/>
      </c>
      <c r="R2118" s="10">
        <f>IF(A2118="D",LEFT(UPPER(B2118)&amp;REPT(" ",20),20),REPT(" ",20))</f>
        <v/>
      </c>
      <c r="S2118" s="10">
        <f>IF(A2118="D",LEFT(UPPER(C2118)&amp;REPT(" ",10),10)," ")</f>
        <v/>
      </c>
      <c r="T2118" s="10">
        <f>IF(A2118="D",LEFT(UPPER(D2118)&amp;REPT(" ",2),2)," ")</f>
        <v/>
      </c>
      <c r="U2118" s="10">
        <f>IF(A2118="D",LEFT(UPPER(E2118)&amp;REPT(" ",15),15)," ")</f>
        <v/>
      </c>
      <c r="V2118" s="10">
        <f>REPT(" ",24)</f>
        <v/>
      </c>
      <c r="W2118" s="10">
        <f>IF(A2118="c",LEFT(UPPER(B2118)&amp;REPT(" ",20),20),REPT(" ",20))</f>
        <v/>
      </c>
      <c r="X2118" s="10">
        <f>IF(A2118="C",LEFT(UPPER(C2118)&amp;REPT(" ",10),10)," ")</f>
        <v/>
      </c>
      <c r="Y2118" s="10">
        <f>IF(A2118="C",LEFT(UPPER(D2118)&amp;REPT(" ",2),2)," ")</f>
        <v/>
      </c>
      <c r="Z2118" s="10">
        <f>IF(A2118="C",LEFT(UPPER(E2118)&amp;REPT(" ",15),15)," ")</f>
        <v/>
      </c>
      <c r="AA2118" s="10">
        <f>REPT(" ",8)</f>
        <v/>
      </c>
      <c r="AB2118" s="10">
        <f>REPT(" ",4)</f>
        <v/>
      </c>
      <c r="AC2118" s="10">
        <f>LEFT(UPPER(H2118)&amp;REPT(" ",250),250)</f>
        <v/>
      </c>
      <c r="AD2118" s="10">
        <f>TEXT($G$2,"dd/mm/aaaa")</f>
        <v/>
      </c>
      <c r="AE2118" s="10">
        <f>REPT(" ",10)</f>
        <v/>
      </c>
      <c r="AF2118" s="10">
        <f>REPT(" ",20)</f>
        <v/>
      </c>
      <c r="AG2118" s="54">
        <f>REPT(" ",18-LEN(FIXED(F2118,2,TRUE)))&amp;FIXED(F2118,2,TRUE)</f>
        <v/>
      </c>
      <c r="AH2118" s="10">
        <f>LEN(AC2118)+LEN(AG2118)</f>
        <v/>
      </c>
      <c r="AI2118" s="10">
        <f>LEN(L2118)</f>
        <v/>
      </c>
    </row>
    <row r="2119">
      <c r="J2119" s="12">
        <f>IF(F2119&lt;&gt;0,"LANÇAR","")</f>
        <v/>
      </c>
      <c r="L2119" s="13">
        <f>N2119&amp;O2119&amp;P2119&amp;Q2119&amp;R2119&amp;S2119&amp;T2119&amp;U2119&amp;V2119&amp;W2119&amp;X2119&amp;Y2119&amp;Z2119&amp;AA2119&amp;AB2119&amp;AC2119&amp;AD2119&amp;AE2119&amp;AF2119&amp;AG2119</f>
        <v/>
      </c>
      <c r="N2119" s="10">
        <f>TEXT($B$6,"00")</f>
        <v/>
      </c>
      <c r="O2119" s="10">
        <f>REPT(" ",8)</f>
        <v/>
      </c>
      <c r="P2119" s="10">
        <f>RIGHT($B$4,2)</f>
        <v/>
      </c>
      <c r="Q2119" s="10">
        <f>RIGHT($B$5,3)</f>
        <v/>
      </c>
      <c r="R2119" s="10">
        <f>IF(A2119="D",LEFT(UPPER(B2119)&amp;REPT(" ",20),20),REPT(" ",20))</f>
        <v/>
      </c>
      <c r="S2119" s="10">
        <f>IF(A2119="D",LEFT(UPPER(C2119)&amp;REPT(" ",10),10)," ")</f>
        <v/>
      </c>
      <c r="T2119" s="10">
        <f>IF(A2119="D",LEFT(UPPER(D2119)&amp;REPT(" ",2),2)," ")</f>
        <v/>
      </c>
      <c r="U2119" s="10">
        <f>IF(A2119="D",LEFT(UPPER(E2119)&amp;REPT(" ",15),15)," ")</f>
        <v/>
      </c>
      <c r="V2119" s="10">
        <f>REPT(" ",24)</f>
        <v/>
      </c>
      <c r="W2119" s="10">
        <f>IF(A2119="c",LEFT(UPPER(B2119)&amp;REPT(" ",20),20),REPT(" ",20))</f>
        <v/>
      </c>
      <c r="X2119" s="10">
        <f>IF(A2119="C",LEFT(UPPER(C2119)&amp;REPT(" ",10),10)," ")</f>
        <v/>
      </c>
      <c r="Y2119" s="10">
        <f>IF(A2119="C",LEFT(UPPER(D2119)&amp;REPT(" ",2),2)," ")</f>
        <v/>
      </c>
      <c r="Z2119" s="10">
        <f>IF(A2119="C",LEFT(UPPER(E2119)&amp;REPT(" ",15),15)," ")</f>
        <v/>
      </c>
      <c r="AA2119" s="10">
        <f>REPT(" ",8)</f>
        <v/>
      </c>
      <c r="AB2119" s="10">
        <f>REPT(" ",4)</f>
        <v/>
      </c>
      <c r="AC2119" s="10">
        <f>LEFT(UPPER(H2119)&amp;REPT(" ",250),250)</f>
        <v/>
      </c>
      <c r="AD2119" s="10">
        <f>TEXT($G$2,"dd/mm/aaaa")</f>
        <v/>
      </c>
      <c r="AE2119" s="10">
        <f>REPT(" ",10)</f>
        <v/>
      </c>
      <c r="AF2119" s="10">
        <f>REPT(" ",20)</f>
        <v/>
      </c>
      <c r="AG2119" s="54">
        <f>REPT(" ",18-LEN(FIXED(F2119,2,TRUE)))&amp;FIXED(F2119,2,TRUE)</f>
        <v/>
      </c>
      <c r="AH2119" s="10">
        <f>LEN(AC2119)+LEN(AG2119)</f>
        <v/>
      </c>
      <c r="AI2119" s="10">
        <f>LEN(L2119)</f>
        <v/>
      </c>
    </row>
    <row r="2120">
      <c r="J2120" s="12">
        <f>IF(F2120&lt;&gt;0,"LANÇAR","")</f>
        <v/>
      </c>
      <c r="L2120" s="13">
        <f>N2120&amp;O2120&amp;P2120&amp;Q2120&amp;R2120&amp;S2120&amp;T2120&amp;U2120&amp;V2120&amp;W2120&amp;X2120&amp;Y2120&amp;Z2120&amp;AA2120&amp;AB2120&amp;AC2120&amp;AD2120&amp;AE2120&amp;AF2120&amp;AG2120</f>
        <v/>
      </c>
      <c r="N2120" s="10">
        <f>TEXT($B$6,"00")</f>
        <v/>
      </c>
      <c r="O2120" s="10">
        <f>REPT(" ",8)</f>
        <v/>
      </c>
      <c r="P2120" s="10">
        <f>RIGHT($B$4,2)</f>
        <v/>
      </c>
      <c r="Q2120" s="10">
        <f>RIGHT($B$5,3)</f>
        <v/>
      </c>
      <c r="R2120" s="10">
        <f>IF(A2120="D",LEFT(UPPER(B2120)&amp;REPT(" ",20),20),REPT(" ",20))</f>
        <v/>
      </c>
      <c r="S2120" s="10">
        <f>IF(A2120="D",LEFT(UPPER(C2120)&amp;REPT(" ",10),10)," ")</f>
        <v/>
      </c>
      <c r="T2120" s="10">
        <f>IF(A2120="D",LEFT(UPPER(D2120)&amp;REPT(" ",2),2)," ")</f>
        <v/>
      </c>
      <c r="U2120" s="10">
        <f>IF(A2120="D",LEFT(UPPER(E2120)&amp;REPT(" ",15),15)," ")</f>
        <v/>
      </c>
      <c r="V2120" s="10">
        <f>REPT(" ",24)</f>
        <v/>
      </c>
      <c r="W2120" s="10">
        <f>IF(A2120="c",LEFT(UPPER(B2120)&amp;REPT(" ",20),20),REPT(" ",20))</f>
        <v/>
      </c>
      <c r="X2120" s="10">
        <f>IF(A2120="C",LEFT(UPPER(C2120)&amp;REPT(" ",10),10)," ")</f>
        <v/>
      </c>
      <c r="Y2120" s="10">
        <f>IF(A2120="C",LEFT(UPPER(D2120)&amp;REPT(" ",2),2)," ")</f>
        <v/>
      </c>
      <c r="Z2120" s="10">
        <f>IF(A2120="C",LEFT(UPPER(E2120)&amp;REPT(" ",15),15)," ")</f>
        <v/>
      </c>
      <c r="AA2120" s="10">
        <f>REPT(" ",8)</f>
        <v/>
      </c>
      <c r="AB2120" s="10">
        <f>REPT(" ",4)</f>
        <v/>
      </c>
      <c r="AC2120" s="10">
        <f>LEFT(UPPER(H2120)&amp;REPT(" ",250),250)</f>
        <v/>
      </c>
      <c r="AD2120" s="10">
        <f>TEXT($G$2,"dd/mm/aaaa")</f>
        <v/>
      </c>
      <c r="AE2120" s="10">
        <f>REPT(" ",10)</f>
        <v/>
      </c>
      <c r="AF2120" s="10">
        <f>REPT(" ",20)</f>
        <v/>
      </c>
      <c r="AG2120" s="54">
        <f>REPT(" ",18-LEN(FIXED(F2120,2,TRUE)))&amp;FIXED(F2120,2,TRUE)</f>
        <v/>
      </c>
      <c r="AH2120" s="10">
        <f>LEN(AC2120)+LEN(AG2120)</f>
        <v/>
      </c>
      <c r="AI2120" s="10">
        <f>LEN(L2120)</f>
        <v/>
      </c>
    </row>
    <row r="2121">
      <c r="J2121" s="12">
        <f>IF(F2121&lt;&gt;0,"LANÇAR","")</f>
        <v/>
      </c>
      <c r="L2121" s="13">
        <f>N2121&amp;O2121&amp;P2121&amp;Q2121&amp;R2121&amp;S2121&amp;T2121&amp;U2121&amp;V2121&amp;W2121&amp;X2121&amp;Y2121&amp;Z2121&amp;AA2121&amp;AB2121&amp;AC2121&amp;AD2121&amp;AE2121&amp;AF2121&amp;AG2121</f>
        <v/>
      </c>
      <c r="N2121" s="10">
        <f>TEXT($B$6,"00")</f>
        <v/>
      </c>
      <c r="O2121" s="10">
        <f>REPT(" ",8)</f>
        <v/>
      </c>
      <c r="P2121" s="10">
        <f>RIGHT($B$4,2)</f>
        <v/>
      </c>
      <c r="Q2121" s="10">
        <f>RIGHT($B$5,3)</f>
        <v/>
      </c>
      <c r="R2121" s="10">
        <f>IF(A2121="D",LEFT(UPPER(B2121)&amp;REPT(" ",20),20),REPT(" ",20))</f>
        <v/>
      </c>
      <c r="S2121" s="10">
        <f>IF(A2121="D",LEFT(UPPER(C2121)&amp;REPT(" ",10),10)," ")</f>
        <v/>
      </c>
      <c r="T2121" s="10">
        <f>IF(A2121="D",LEFT(UPPER(D2121)&amp;REPT(" ",2),2)," ")</f>
        <v/>
      </c>
      <c r="U2121" s="10">
        <f>IF(A2121="D",LEFT(UPPER(E2121)&amp;REPT(" ",15),15)," ")</f>
        <v/>
      </c>
      <c r="V2121" s="10">
        <f>REPT(" ",24)</f>
        <v/>
      </c>
      <c r="W2121" s="10">
        <f>IF(A2121="c",LEFT(UPPER(B2121)&amp;REPT(" ",20),20),REPT(" ",20))</f>
        <v/>
      </c>
      <c r="X2121" s="10">
        <f>IF(A2121="C",LEFT(UPPER(C2121)&amp;REPT(" ",10),10)," ")</f>
        <v/>
      </c>
      <c r="Y2121" s="10">
        <f>IF(A2121="C",LEFT(UPPER(D2121)&amp;REPT(" ",2),2)," ")</f>
        <v/>
      </c>
      <c r="Z2121" s="10">
        <f>IF(A2121="C",LEFT(UPPER(E2121)&amp;REPT(" ",15),15)," ")</f>
        <v/>
      </c>
      <c r="AA2121" s="10">
        <f>REPT(" ",8)</f>
        <v/>
      </c>
      <c r="AB2121" s="10">
        <f>REPT(" ",4)</f>
        <v/>
      </c>
      <c r="AC2121" s="10">
        <f>LEFT(UPPER(H2121)&amp;REPT(" ",250),250)</f>
        <v/>
      </c>
      <c r="AD2121" s="10">
        <f>TEXT($G$2,"dd/mm/aaaa")</f>
        <v/>
      </c>
      <c r="AE2121" s="10">
        <f>REPT(" ",10)</f>
        <v/>
      </c>
      <c r="AF2121" s="10">
        <f>REPT(" ",20)</f>
        <v/>
      </c>
      <c r="AG2121" s="54">
        <f>REPT(" ",18-LEN(FIXED(F2121,2,TRUE)))&amp;FIXED(F2121,2,TRUE)</f>
        <v/>
      </c>
      <c r="AH2121" s="10">
        <f>LEN(AC2121)+LEN(AG2121)</f>
        <v/>
      </c>
      <c r="AI2121" s="10">
        <f>LEN(L2121)</f>
        <v/>
      </c>
    </row>
    <row r="2122">
      <c r="J2122" s="12">
        <f>IF(F2122&lt;&gt;0,"LANÇAR","")</f>
        <v/>
      </c>
      <c r="L2122" s="13">
        <f>N2122&amp;O2122&amp;P2122&amp;Q2122&amp;R2122&amp;S2122&amp;T2122&amp;U2122&amp;V2122&amp;W2122&amp;X2122&amp;Y2122&amp;Z2122&amp;AA2122&amp;AB2122&amp;AC2122&amp;AD2122&amp;AE2122&amp;AF2122&amp;AG2122</f>
        <v/>
      </c>
      <c r="N2122" s="10">
        <f>TEXT($B$6,"00")</f>
        <v/>
      </c>
      <c r="O2122" s="10">
        <f>REPT(" ",8)</f>
        <v/>
      </c>
      <c r="P2122" s="10">
        <f>RIGHT($B$4,2)</f>
        <v/>
      </c>
      <c r="Q2122" s="10">
        <f>RIGHT($B$5,3)</f>
        <v/>
      </c>
      <c r="R2122" s="10">
        <f>IF(A2122="D",LEFT(UPPER(B2122)&amp;REPT(" ",20),20),REPT(" ",20))</f>
        <v/>
      </c>
      <c r="S2122" s="10">
        <f>IF(A2122="D",LEFT(UPPER(C2122)&amp;REPT(" ",10),10)," ")</f>
        <v/>
      </c>
      <c r="T2122" s="10">
        <f>IF(A2122="D",LEFT(UPPER(D2122)&amp;REPT(" ",2),2)," ")</f>
        <v/>
      </c>
      <c r="U2122" s="10">
        <f>IF(A2122="D",LEFT(UPPER(E2122)&amp;REPT(" ",15),15)," ")</f>
        <v/>
      </c>
      <c r="V2122" s="10">
        <f>REPT(" ",24)</f>
        <v/>
      </c>
      <c r="W2122" s="10">
        <f>IF(A2122="c",LEFT(UPPER(B2122)&amp;REPT(" ",20),20),REPT(" ",20))</f>
        <v/>
      </c>
      <c r="X2122" s="10">
        <f>IF(A2122="C",LEFT(UPPER(C2122)&amp;REPT(" ",10),10)," ")</f>
        <v/>
      </c>
      <c r="Y2122" s="10">
        <f>IF(A2122="C",LEFT(UPPER(D2122)&amp;REPT(" ",2),2)," ")</f>
        <v/>
      </c>
      <c r="Z2122" s="10">
        <f>IF(A2122="C",LEFT(UPPER(E2122)&amp;REPT(" ",15),15)," ")</f>
        <v/>
      </c>
      <c r="AA2122" s="10">
        <f>REPT(" ",8)</f>
        <v/>
      </c>
      <c r="AB2122" s="10">
        <f>REPT(" ",4)</f>
        <v/>
      </c>
      <c r="AC2122" s="10">
        <f>LEFT(UPPER(H2122)&amp;REPT(" ",250),250)</f>
        <v/>
      </c>
      <c r="AD2122" s="10">
        <f>TEXT($G$2,"dd/mm/aaaa")</f>
        <v/>
      </c>
      <c r="AE2122" s="10">
        <f>REPT(" ",10)</f>
        <v/>
      </c>
      <c r="AF2122" s="10">
        <f>REPT(" ",20)</f>
        <v/>
      </c>
      <c r="AG2122" s="54">
        <f>REPT(" ",18-LEN(FIXED(F2122,2,TRUE)))&amp;FIXED(F2122,2,TRUE)</f>
        <v/>
      </c>
      <c r="AH2122" s="10">
        <f>LEN(AC2122)+LEN(AG2122)</f>
        <v/>
      </c>
      <c r="AI2122" s="10">
        <f>LEN(L2122)</f>
        <v/>
      </c>
    </row>
    <row r="2123">
      <c r="J2123" s="12">
        <f>IF(F2123&lt;&gt;0,"LANÇAR","")</f>
        <v/>
      </c>
      <c r="L2123" s="13">
        <f>N2123&amp;O2123&amp;P2123&amp;Q2123&amp;R2123&amp;S2123&amp;T2123&amp;U2123&amp;V2123&amp;W2123&amp;X2123&amp;Y2123&amp;Z2123&amp;AA2123&amp;AB2123&amp;AC2123&amp;AD2123&amp;AE2123&amp;AF2123&amp;AG2123</f>
        <v/>
      </c>
      <c r="N2123" s="10">
        <f>TEXT($B$6,"00")</f>
        <v/>
      </c>
      <c r="O2123" s="10">
        <f>REPT(" ",8)</f>
        <v/>
      </c>
      <c r="P2123" s="10">
        <f>RIGHT($B$4,2)</f>
        <v/>
      </c>
      <c r="Q2123" s="10">
        <f>RIGHT($B$5,3)</f>
        <v/>
      </c>
      <c r="R2123" s="10">
        <f>IF(A2123="D",LEFT(UPPER(B2123)&amp;REPT(" ",20),20),REPT(" ",20))</f>
        <v/>
      </c>
      <c r="S2123" s="10">
        <f>IF(A2123="D",LEFT(UPPER(C2123)&amp;REPT(" ",10),10)," ")</f>
        <v/>
      </c>
      <c r="T2123" s="10">
        <f>IF(A2123="D",LEFT(UPPER(D2123)&amp;REPT(" ",2),2)," ")</f>
        <v/>
      </c>
      <c r="U2123" s="10">
        <f>IF(A2123="D",LEFT(UPPER(E2123)&amp;REPT(" ",15),15)," ")</f>
        <v/>
      </c>
      <c r="V2123" s="10">
        <f>REPT(" ",24)</f>
        <v/>
      </c>
      <c r="W2123" s="10">
        <f>IF(A2123="c",LEFT(UPPER(B2123)&amp;REPT(" ",20),20),REPT(" ",20))</f>
        <v/>
      </c>
      <c r="X2123" s="10">
        <f>IF(A2123="C",LEFT(UPPER(C2123)&amp;REPT(" ",10),10)," ")</f>
        <v/>
      </c>
      <c r="Y2123" s="10">
        <f>IF(A2123="C",LEFT(UPPER(D2123)&amp;REPT(" ",2),2)," ")</f>
        <v/>
      </c>
      <c r="Z2123" s="10">
        <f>IF(A2123="C",LEFT(UPPER(E2123)&amp;REPT(" ",15),15)," ")</f>
        <v/>
      </c>
      <c r="AA2123" s="10">
        <f>REPT(" ",8)</f>
        <v/>
      </c>
      <c r="AB2123" s="10">
        <f>REPT(" ",4)</f>
        <v/>
      </c>
      <c r="AC2123" s="10">
        <f>LEFT(UPPER(H2123)&amp;REPT(" ",250),250)</f>
        <v/>
      </c>
      <c r="AD2123" s="10">
        <f>TEXT($G$2,"dd/mm/aaaa")</f>
        <v/>
      </c>
      <c r="AE2123" s="10">
        <f>REPT(" ",10)</f>
        <v/>
      </c>
      <c r="AF2123" s="10">
        <f>REPT(" ",20)</f>
        <v/>
      </c>
      <c r="AG2123" s="54">
        <f>REPT(" ",18-LEN(FIXED(F2123,2,TRUE)))&amp;FIXED(F2123,2,TRUE)</f>
        <v/>
      </c>
      <c r="AH2123" s="10">
        <f>LEN(AC2123)+LEN(AG2123)</f>
        <v/>
      </c>
      <c r="AI2123" s="10">
        <f>LEN(L2123)</f>
        <v/>
      </c>
    </row>
    <row r="2124">
      <c r="J2124" s="12">
        <f>IF(F2124&lt;&gt;0,"LANÇAR","")</f>
        <v/>
      </c>
      <c r="L2124" s="13">
        <f>N2124&amp;O2124&amp;P2124&amp;Q2124&amp;R2124&amp;S2124&amp;T2124&amp;U2124&amp;V2124&amp;W2124&amp;X2124&amp;Y2124&amp;Z2124&amp;AA2124&amp;AB2124&amp;AC2124&amp;AD2124&amp;AE2124&amp;AF2124&amp;AG2124</f>
        <v/>
      </c>
      <c r="N2124" s="10">
        <f>TEXT($B$6,"00")</f>
        <v/>
      </c>
      <c r="O2124" s="10">
        <f>REPT(" ",8)</f>
        <v/>
      </c>
      <c r="P2124" s="10">
        <f>RIGHT($B$4,2)</f>
        <v/>
      </c>
      <c r="Q2124" s="10">
        <f>RIGHT($B$5,3)</f>
        <v/>
      </c>
      <c r="R2124" s="10">
        <f>IF(A2124="D",LEFT(UPPER(B2124)&amp;REPT(" ",20),20),REPT(" ",20))</f>
        <v/>
      </c>
      <c r="S2124" s="10">
        <f>IF(A2124="D",LEFT(UPPER(C2124)&amp;REPT(" ",10),10)," ")</f>
        <v/>
      </c>
      <c r="T2124" s="10">
        <f>IF(A2124="D",LEFT(UPPER(D2124)&amp;REPT(" ",2),2)," ")</f>
        <v/>
      </c>
      <c r="U2124" s="10">
        <f>IF(A2124="D",LEFT(UPPER(E2124)&amp;REPT(" ",15),15)," ")</f>
        <v/>
      </c>
      <c r="V2124" s="10">
        <f>REPT(" ",24)</f>
        <v/>
      </c>
      <c r="W2124" s="10">
        <f>IF(A2124="c",LEFT(UPPER(B2124)&amp;REPT(" ",20),20),REPT(" ",20))</f>
        <v/>
      </c>
      <c r="X2124" s="10">
        <f>IF(A2124="C",LEFT(UPPER(C2124)&amp;REPT(" ",10),10)," ")</f>
        <v/>
      </c>
      <c r="Y2124" s="10">
        <f>IF(A2124="C",LEFT(UPPER(D2124)&amp;REPT(" ",2),2)," ")</f>
        <v/>
      </c>
      <c r="Z2124" s="10">
        <f>IF(A2124="C",LEFT(UPPER(E2124)&amp;REPT(" ",15),15)," ")</f>
        <v/>
      </c>
      <c r="AA2124" s="10">
        <f>REPT(" ",8)</f>
        <v/>
      </c>
      <c r="AB2124" s="10">
        <f>REPT(" ",4)</f>
        <v/>
      </c>
      <c r="AC2124" s="10">
        <f>LEFT(UPPER(H2124)&amp;REPT(" ",250),250)</f>
        <v/>
      </c>
      <c r="AD2124" s="10">
        <f>TEXT($G$2,"dd/mm/aaaa")</f>
        <v/>
      </c>
      <c r="AE2124" s="10">
        <f>REPT(" ",10)</f>
        <v/>
      </c>
      <c r="AF2124" s="10">
        <f>REPT(" ",20)</f>
        <v/>
      </c>
      <c r="AG2124" s="54">
        <f>REPT(" ",18-LEN(FIXED(F2124,2,TRUE)))&amp;FIXED(F2124,2,TRUE)</f>
        <v/>
      </c>
      <c r="AH2124" s="10">
        <f>LEN(AC2124)+LEN(AG2124)</f>
        <v/>
      </c>
      <c r="AI2124" s="10">
        <f>LEN(L2124)</f>
        <v/>
      </c>
    </row>
    <row r="2125">
      <c r="J2125" s="12">
        <f>IF(F2125&lt;&gt;0,"LANÇAR","")</f>
        <v/>
      </c>
      <c r="L2125" s="13">
        <f>N2125&amp;O2125&amp;P2125&amp;Q2125&amp;R2125&amp;S2125&amp;T2125&amp;U2125&amp;V2125&amp;W2125&amp;X2125&amp;Y2125&amp;Z2125&amp;AA2125&amp;AB2125&amp;AC2125&amp;AD2125&amp;AE2125&amp;AF2125&amp;AG2125</f>
        <v/>
      </c>
      <c r="N2125" s="10">
        <f>TEXT($B$6,"00")</f>
        <v/>
      </c>
      <c r="O2125" s="10">
        <f>REPT(" ",8)</f>
        <v/>
      </c>
      <c r="P2125" s="10">
        <f>RIGHT($B$4,2)</f>
        <v/>
      </c>
      <c r="Q2125" s="10">
        <f>RIGHT($B$5,3)</f>
        <v/>
      </c>
      <c r="R2125" s="10">
        <f>IF(A2125="D",LEFT(UPPER(B2125)&amp;REPT(" ",20),20),REPT(" ",20))</f>
        <v/>
      </c>
      <c r="S2125" s="10">
        <f>IF(A2125="D",LEFT(UPPER(C2125)&amp;REPT(" ",10),10)," ")</f>
        <v/>
      </c>
      <c r="T2125" s="10">
        <f>IF(A2125="D",LEFT(UPPER(D2125)&amp;REPT(" ",2),2)," ")</f>
        <v/>
      </c>
      <c r="U2125" s="10">
        <f>IF(A2125="D",LEFT(UPPER(E2125)&amp;REPT(" ",15),15)," ")</f>
        <v/>
      </c>
      <c r="V2125" s="10">
        <f>REPT(" ",24)</f>
        <v/>
      </c>
      <c r="W2125" s="10">
        <f>IF(A2125="c",LEFT(UPPER(B2125)&amp;REPT(" ",20),20),REPT(" ",20))</f>
        <v/>
      </c>
      <c r="X2125" s="10">
        <f>IF(A2125="C",LEFT(UPPER(C2125)&amp;REPT(" ",10),10)," ")</f>
        <v/>
      </c>
      <c r="Y2125" s="10">
        <f>IF(A2125="C",LEFT(UPPER(D2125)&amp;REPT(" ",2),2)," ")</f>
        <v/>
      </c>
      <c r="Z2125" s="10">
        <f>IF(A2125="C",LEFT(UPPER(E2125)&amp;REPT(" ",15),15)," ")</f>
        <v/>
      </c>
      <c r="AA2125" s="10">
        <f>REPT(" ",8)</f>
        <v/>
      </c>
      <c r="AB2125" s="10">
        <f>REPT(" ",4)</f>
        <v/>
      </c>
      <c r="AC2125" s="10">
        <f>LEFT(UPPER(H2125)&amp;REPT(" ",250),250)</f>
        <v/>
      </c>
      <c r="AD2125" s="10">
        <f>TEXT($G$2,"dd/mm/aaaa")</f>
        <v/>
      </c>
      <c r="AE2125" s="10">
        <f>REPT(" ",10)</f>
        <v/>
      </c>
      <c r="AF2125" s="10">
        <f>REPT(" ",20)</f>
        <v/>
      </c>
      <c r="AG2125" s="54">
        <f>REPT(" ",18-LEN(FIXED(F2125,2,TRUE)))&amp;FIXED(F2125,2,TRUE)</f>
        <v/>
      </c>
      <c r="AH2125" s="10">
        <f>LEN(AC2125)+LEN(AG2125)</f>
        <v/>
      </c>
      <c r="AI2125" s="10">
        <f>LEN(L2125)</f>
        <v/>
      </c>
    </row>
    <row r="2126">
      <c r="J2126" s="12">
        <f>IF(F2126&lt;&gt;0,"LANÇAR","")</f>
        <v/>
      </c>
      <c r="L2126" s="13">
        <f>N2126&amp;O2126&amp;P2126&amp;Q2126&amp;R2126&amp;S2126&amp;T2126&amp;U2126&amp;V2126&amp;W2126&amp;X2126&amp;Y2126&amp;Z2126&amp;AA2126&amp;AB2126&amp;AC2126&amp;AD2126&amp;AE2126&amp;AF2126&amp;AG2126</f>
        <v/>
      </c>
      <c r="N2126" s="10">
        <f>TEXT($B$6,"00")</f>
        <v/>
      </c>
      <c r="O2126" s="10">
        <f>REPT(" ",8)</f>
        <v/>
      </c>
      <c r="P2126" s="10">
        <f>RIGHT($B$4,2)</f>
        <v/>
      </c>
      <c r="Q2126" s="10">
        <f>RIGHT($B$5,3)</f>
        <v/>
      </c>
      <c r="R2126" s="10">
        <f>IF(A2126="D",LEFT(UPPER(B2126)&amp;REPT(" ",20),20),REPT(" ",20))</f>
        <v/>
      </c>
      <c r="S2126" s="10">
        <f>IF(A2126="D",LEFT(UPPER(C2126)&amp;REPT(" ",10),10)," ")</f>
        <v/>
      </c>
      <c r="T2126" s="10">
        <f>IF(A2126="D",LEFT(UPPER(D2126)&amp;REPT(" ",2),2)," ")</f>
        <v/>
      </c>
      <c r="U2126" s="10">
        <f>IF(A2126="D",LEFT(UPPER(E2126)&amp;REPT(" ",15),15)," ")</f>
        <v/>
      </c>
      <c r="V2126" s="10">
        <f>REPT(" ",24)</f>
        <v/>
      </c>
      <c r="W2126" s="10">
        <f>IF(A2126="c",LEFT(UPPER(B2126)&amp;REPT(" ",20),20),REPT(" ",20))</f>
        <v/>
      </c>
      <c r="X2126" s="10">
        <f>IF(A2126="C",LEFT(UPPER(C2126)&amp;REPT(" ",10),10)," ")</f>
        <v/>
      </c>
      <c r="Y2126" s="10">
        <f>IF(A2126="C",LEFT(UPPER(D2126)&amp;REPT(" ",2),2)," ")</f>
        <v/>
      </c>
      <c r="Z2126" s="10">
        <f>IF(A2126="C",LEFT(UPPER(E2126)&amp;REPT(" ",15),15)," ")</f>
        <v/>
      </c>
      <c r="AA2126" s="10">
        <f>REPT(" ",8)</f>
        <v/>
      </c>
      <c r="AB2126" s="10">
        <f>REPT(" ",4)</f>
        <v/>
      </c>
      <c r="AC2126" s="10">
        <f>LEFT(UPPER(H2126)&amp;REPT(" ",250),250)</f>
        <v/>
      </c>
      <c r="AD2126" s="10">
        <f>TEXT($G$2,"dd/mm/aaaa")</f>
        <v/>
      </c>
      <c r="AE2126" s="10">
        <f>REPT(" ",10)</f>
        <v/>
      </c>
      <c r="AF2126" s="10">
        <f>REPT(" ",20)</f>
        <v/>
      </c>
      <c r="AG2126" s="54">
        <f>REPT(" ",18-LEN(FIXED(F2126,2,TRUE)))&amp;FIXED(F2126,2,TRUE)</f>
        <v/>
      </c>
      <c r="AH2126" s="10">
        <f>LEN(AC2126)+LEN(AG2126)</f>
        <v/>
      </c>
      <c r="AI2126" s="10">
        <f>LEN(L2126)</f>
        <v/>
      </c>
    </row>
    <row r="2127">
      <c r="J2127" s="12">
        <f>IF(F2127&lt;&gt;0,"LANÇAR","")</f>
        <v/>
      </c>
      <c r="L2127" s="13">
        <f>N2127&amp;O2127&amp;P2127&amp;Q2127&amp;R2127&amp;S2127&amp;T2127&amp;U2127&amp;V2127&amp;W2127&amp;X2127&amp;Y2127&amp;Z2127&amp;AA2127&amp;AB2127&amp;AC2127&amp;AD2127&amp;AE2127&amp;AF2127&amp;AG2127</f>
        <v/>
      </c>
      <c r="N2127" s="10">
        <f>TEXT($B$6,"00")</f>
        <v/>
      </c>
      <c r="O2127" s="10">
        <f>REPT(" ",8)</f>
        <v/>
      </c>
      <c r="P2127" s="10">
        <f>RIGHT($B$4,2)</f>
        <v/>
      </c>
      <c r="Q2127" s="10">
        <f>RIGHT($B$5,3)</f>
        <v/>
      </c>
      <c r="R2127" s="10">
        <f>IF(A2127="D",LEFT(UPPER(B2127)&amp;REPT(" ",20),20),REPT(" ",20))</f>
        <v/>
      </c>
      <c r="S2127" s="10">
        <f>IF(A2127="D",LEFT(UPPER(C2127)&amp;REPT(" ",10),10)," ")</f>
        <v/>
      </c>
      <c r="T2127" s="10">
        <f>IF(A2127="D",LEFT(UPPER(D2127)&amp;REPT(" ",2),2)," ")</f>
        <v/>
      </c>
      <c r="U2127" s="10">
        <f>IF(A2127="D",LEFT(UPPER(E2127)&amp;REPT(" ",15),15)," ")</f>
        <v/>
      </c>
      <c r="V2127" s="10">
        <f>REPT(" ",24)</f>
        <v/>
      </c>
      <c r="W2127" s="10">
        <f>IF(A2127="c",LEFT(UPPER(B2127)&amp;REPT(" ",20),20),REPT(" ",20))</f>
        <v/>
      </c>
      <c r="X2127" s="10">
        <f>IF(A2127="C",LEFT(UPPER(C2127)&amp;REPT(" ",10),10)," ")</f>
        <v/>
      </c>
      <c r="Y2127" s="10">
        <f>IF(A2127="C",LEFT(UPPER(D2127)&amp;REPT(" ",2),2)," ")</f>
        <v/>
      </c>
      <c r="Z2127" s="10">
        <f>IF(A2127="C",LEFT(UPPER(E2127)&amp;REPT(" ",15),15)," ")</f>
        <v/>
      </c>
      <c r="AA2127" s="10">
        <f>REPT(" ",8)</f>
        <v/>
      </c>
      <c r="AB2127" s="10">
        <f>REPT(" ",4)</f>
        <v/>
      </c>
      <c r="AC2127" s="10">
        <f>LEFT(UPPER(H2127)&amp;REPT(" ",250),250)</f>
        <v/>
      </c>
      <c r="AD2127" s="10">
        <f>TEXT($G$2,"dd/mm/aaaa")</f>
        <v/>
      </c>
      <c r="AE2127" s="10">
        <f>REPT(" ",10)</f>
        <v/>
      </c>
      <c r="AF2127" s="10">
        <f>REPT(" ",20)</f>
        <v/>
      </c>
      <c r="AG2127" s="54">
        <f>REPT(" ",18-LEN(FIXED(F2127,2,TRUE)))&amp;FIXED(F2127,2,TRUE)</f>
        <v/>
      </c>
      <c r="AH2127" s="10">
        <f>LEN(AC2127)+LEN(AG2127)</f>
        <v/>
      </c>
      <c r="AI2127" s="10">
        <f>LEN(L2127)</f>
        <v/>
      </c>
    </row>
    <row r="2128">
      <c r="J2128" s="12">
        <f>IF(F2128&lt;&gt;0,"LANÇAR","")</f>
        <v/>
      </c>
      <c r="L2128" s="13">
        <f>N2128&amp;O2128&amp;P2128&amp;Q2128&amp;R2128&amp;S2128&amp;T2128&amp;U2128&amp;V2128&amp;W2128&amp;X2128&amp;Y2128&amp;Z2128&amp;AA2128&amp;AB2128&amp;AC2128&amp;AD2128&amp;AE2128&amp;AF2128&amp;AG2128</f>
        <v/>
      </c>
      <c r="N2128" s="10">
        <f>TEXT($B$6,"00")</f>
        <v/>
      </c>
      <c r="O2128" s="10">
        <f>REPT(" ",8)</f>
        <v/>
      </c>
      <c r="P2128" s="10">
        <f>RIGHT($B$4,2)</f>
        <v/>
      </c>
      <c r="Q2128" s="10">
        <f>RIGHT($B$5,3)</f>
        <v/>
      </c>
      <c r="R2128" s="10">
        <f>IF(A2128="D",LEFT(UPPER(B2128)&amp;REPT(" ",20),20),REPT(" ",20))</f>
        <v/>
      </c>
      <c r="S2128" s="10">
        <f>IF(A2128="D",LEFT(UPPER(C2128)&amp;REPT(" ",10),10)," ")</f>
        <v/>
      </c>
      <c r="T2128" s="10">
        <f>IF(A2128="D",LEFT(UPPER(D2128)&amp;REPT(" ",2),2)," ")</f>
        <v/>
      </c>
      <c r="U2128" s="10">
        <f>IF(A2128="D",LEFT(UPPER(E2128)&amp;REPT(" ",15),15)," ")</f>
        <v/>
      </c>
      <c r="V2128" s="10">
        <f>REPT(" ",24)</f>
        <v/>
      </c>
      <c r="W2128" s="10">
        <f>IF(A2128="c",LEFT(UPPER(B2128)&amp;REPT(" ",20),20),REPT(" ",20))</f>
        <v/>
      </c>
      <c r="X2128" s="10">
        <f>IF(A2128="C",LEFT(UPPER(C2128)&amp;REPT(" ",10),10)," ")</f>
        <v/>
      </c>
      <c r="Y2128" s="10">
        <f>IF(A2128="C",LEFT(UPPER(D2128)&amp;REPT(" ",2),2)," ")</f>
        <v/>
      </c>
      <c r="Z2128" s="10">
        <f>IF(A2128="C",LEFT(UPPER(E2128)&amp;REPT(" ",15),15)," ")</f>
        <v/>
      </c>
      <c r="AA2128" s="10">
        <f>REPT(" ",8)</f>
        <v/>
      </c>
      <c r="AB2128" s="10">
        <f>REPT(" ",4)</f>
        <v/>
      </c>
      <c r="AC2128" s="10">
        <f>LEFT(UPPER(H2128)&amp;REPT(" ",250),250)</f>
        <v/>
      </c>
      <c r="AD2128" s="10">
        <f>TEXT($G$2,"dd/mm/aaaa")</f>
        <v/>
      </c>
      <c r="AE2128" s="10">
        <f>REPT(" ",10)</f>
        <v/>
      </c>
      <c r="AF2128" s="10">
        <f>REPT(" ",20)</f>
        <v/>
      </c>
      <c r="AG2128" s="54">
        <f>REPT(" ",18-LEN(FIXED(F2128,2,TRUE)))&amp;FIXED(F2128,2,TRUE)</f>
        <v/>
      </c>
      <c r="AH2128" s="10">
        <f>LEN(AC2128)+LEN(AG2128)</f>
        <v/>
      </c>
      <c r="AI2128" s="10">
        <f>LEN(L2128)</f>
        <v/>
      </c>
    </row>
    <row r="2129">
      <c r="J2129" s="12">
        <f>IF(F2129&lt;&gt;0,"LANÇAR","")</f>
        <v/>
      </c>
      <c r="L2129" s="13">
        <f>N2129&amp;O2129&amp;P2129&amp;Q2129&amp;R2129&amp;S2129&amp;T2129&amp;U2129&amp;V2129&amp;W2129&amp;X2129&amp;Y2129&amp;Z2129&amp;AA2129&amp;AB2129&amp;AC2129&amp;AD2129&amp;AE2129&amp;AF2129&amp;AG2129</f>
        <v/>
      </c>
      <c r="N2129" s="10">
        <f>TEXT($B$6,"00")</f>
        <v/>
      </c>
      <c r="O2129" s="10">
        <f>REPT(" ",8)</f>
        <v/>
      </c>
      <c r="P2129" s="10">
        <f>RIGHT($B$4,2)</f>
        <v/>
      </c>
      <c r="Q2129" s="10">
        <f>RIGHT($B$5,3)</f>
        <v/>
      </c>
      <c r="R2129" s="10">
        <f>IF(A2129="D",LEFT(UPPER(B2129)&amp;REPT(" ",20),20),REPT(" ",20))</f>
        <v/>
      </c>
      <c r="S2129" s="10">
        <f>IF(A2129="D",LEFT(UPPER(C2129)&amp;REPT(" ",10),10)," ")</f>
        <v/>
      </c>
      <c r="T2129" s="10">
        <f>IF(A2129="D",LEFT(UPPER(D2129)&amp;REPT(" ",2),2)," ")</f>
        <v/>
      </c>
      <c r="U2129" s="10">
        <f>IF(A2129="D",LEFT(UPPER(E2129)&amp;REPT(" ",15),15)," ")</f>
        <v/>
      </c>
      <c r="V2129" s="10">
        <f>REPT(" ",24)</f>
        <v/>
      </c>
      <c r="W2129" s="10">
        <f>IF(A2129="c",LEFT(UPPER(B2129)&amp;REPT(" ",20),20),REPT(" ",20))</f>
        <v/>
      </c>
      <c r="X2129" s="10">
        <f>IF(A2129="C",LEFT(UPPER(C2129)&amp;REPT(" ",10),10)," ")</f>
        <v/>
      </c>
      <c r="Y2129" s="10">
        <f>IF(A2129="C",LEFT(UPPER(D2129)&amp;REPT(" ",2),2)," ")</f>
        <v/>
      </c>
      <c r="Z2129" s="10">
        <f>IF(A2129="C",LEFT(UPPER(E2129)&amp;REPT(" ",15),15)," ")</f>
        <v/>
      </c>
      <c r="AA2129" s="10">
        <f>REPT(" ",8)</f>
        <v/>
      </c>
      <c r="AB2129" s="10">
        <f>REPT(" ",4)</f>
        <v/>
      </c>
      <c r="AC2129" s="10">
        <f>LEFT(UPPER(H2129)&amp;REPT(" ",250),250)</f>
        <v/>
      </c>
      <c r="AD2129" s="10">
        <f>TEXT($G$2,"dd/mm/aaaa")</f>
        <v/>
      </c>
      <c r="AE2129" s="10">
        <f>REPT(" ",10)</f>
        <v/>
      </c>
      <c r="AF2129" s="10">
        <f>REPT(" ",20)</f>
        <v/>
      </c>
      <c r="AG2129" s="54">
        <f>REPT(" ",18-LEN(FIXED(F2129,2,TRUE)))&amp;FIXED(F2129,2,TRUE)</f>
        <v/>
      </c>
      <c r="AH2129" s="10">
        <f>LEN(AC2129)+LEN(AG2129)</f>
        <v/>
      </c>
      <c r="AI2129" s="10">
        <f>LEN(L2129)</f>
        <v/>
      </c>
    </row>
    <row r="2130">
      <c r="J2130" s="12">
        <f>IF(F2130&lt;&gt;0,"LANÇAR","")</f>
        <v/>
      </c>
      <c r="L2130" s="13">
        <f>N2130&amp;O2130&amp;P2130&amp;Q2130&amp;R2130&amp;S2130&amp;T2130&amp;U2130&amp;V2130&amp;W2130&amp;X2130&amp;Y2130&amp;Z2130&amp;AA2130&amp;AB2130&amp;AC2130&amp;AD2130&amp;AE2130&amp;AF2130&amp;AG2130</f>
        <v/>
      </c>
      <c r="N2130" s="10">
        <f>TEXT($B$6,"00")</f>
        <v/>
      </c>
      <c r="O2130" s="10">
        <f>REPT(" ",8)</f>
        <v/>
      </c>
      <c r="P2130" s="10">
        <f>RIGHT($B$4,2)</f>
        <v/>
      </c>
      <c r="Q2130" s="10">
        <f>RIGHT($B$5,3)</f>
        <v/>
      </c>
      <c r="R2130" s="10">
        <f>IF(A2130="D",LEFT(UPPER(B2130)&amp;REPT(" ",20),20),REPT(" ",20))</f>
        <v/>
      </c>
      <c r="S2130" s="10">
        <f>IF(A2130="D",LEFT(UPPER(C2130)&amp;REPT(" ",10),10)," ")</f>
        <v/>
      </c>
      <c r="T2130" s="10">
        <f>IF(A2130="D",LEFT(UPPER(D2130)&amp;REPT(" ",2),2)," ")</f>
        <v/>
      </c>
      <c r="U2130" s="10">
        <f>IF(A2130="D",LEFT(UPPER(E2130)&amp;REPT(" ",15),15)," ")</f>
        <v/>
      </c>
      <c r="V2130" s="10">
        <f>REPT(" ",24)</f>
        <v/>
      </c>
      <c r="W2130" s="10">
        <f>IF(A2130="c",LEFT(UPPER(B2130)&amp;REPT(" ",20),20),REPT(" ",20))</f>
        <v/>
      </c>
      <c r="X2130" s="10">
        <f>IF(A2130="C",LEFT(UPPER(C2130)&amp;REPT(" ",10),10)," ")</f>
        <v/>
      </c>
      <c r="Y2130" s="10">
        <f>IF(A2130="C",LEFT(UPPER(D2130)&amp;REPT(" ",2),2)," ")</f>
        <v/>
      </c>
      <c r="Z2130" s="10">
        <f>IF(A2130="C",LEFT(UPPER(E2130)&amp;REPT(" ",15),15)," ")</f>
        <v/>
      </c>
      <c r="AA2130" s="10">
        <f>REPT(" ",8)</f>
        <v/>
      </c>
      <c r="AB2130" s="10">
        <f>REPT(" ",4)</f>
        <v/>
      </c>
      <c r="AC2130" s="10">
        <f>LEFT(UPPER(H2130)&amp;REPT(" ",250),250)</f>
        <v/>
      </c>
      <c r="AD2130" s="10">
        <f>TEXT($G$2,"dd/mm/aaaa")</f>
        <v/>
      </c>
      <c r="AE2130" s="10">
        <f>REPT(" ",10)</f>
        <v/>
      </c>
      <c r="AF2130" s="10">
        <f>REPT(" ",20)</f>
        <v/>
      </c>
      <c r="AG2130" s="54">
        <f>REPT(" ",18-LEN(FIXED(F2130,2,TRUE)))&amp;FIXED(F2130,2,TRUE)</f>
        <v/>
      </c>
      <c r="AH2130" s="10">
        <f>LEN(AC2130)+LEN(AG2130)</f>
        <v/>
      </c>
      <c r="AI2130" s="10">
        <f>LEN(L2130)</f>
        <v/>
      </c>
    </row>
    <row r="2131">
      <c r="J2131" s="12">
        <f>IF(F2131&lt;&gt;0,"LANÇAR","")</f>
        <v/>
      </c>
      <c r="L2131" s="13">
        <f>N2131&amp;O2131&amp;P2131&amp;Q2131&amp;R2131&amp;S2131&amp;T2131&amp;U2131&amp;V2131&amp;W2131&amp;X2131&amp;Y2131&amp;Z2131&amp;AA2131&amp;AB2131&amp;AC2131&amp;AD2131&amp;AE2131&amp;AF2131&amp;AG2131</f>
        <v/>
      </c>
      <c r="N2131" s="10">
        <f>TEXT($B$6,"00")</f>
        <v/>
      </c>
      <c r="O2131" s="10">
        <f>REPT(" ",8)</f>
        <v/>
      </c>
      <c r="P2131" s="10">
        <f>RIGHT($B$4,2)</f>
        <v/>
      </c>
      <c r="Q2131" s="10">
        <f>RIGHT($B$5,3)</f>
        <v/>
      </c>
      <c r="R2131" s="10">
        <f>IF(A2131="D",LEFT(UPPER(B2131)&amp;REPT(" ",20),20),REPT(" ",20))</f>
        <v/>
      </c>
      <c r="S2131" s="10">
        <f>IF(A2131="D",LEFT(UPPER(C2131)&amp;REPT(" ",10),10)," ")</f>
        <v/>
      </c>
      <c r="T2131" s="10">
        <f>IF(A2131="D",LEFT(UPPER(D2131)&amp;REPT(" ",2),2)," ")</f>
        <v/>
      </c>
      <c r="U2131" s="10">
        <f>IF(A2131="D",LEFT(UPPER(E2131)&amp;REPT(" ",15),15)," ")</f>
        <v/>
      </c>
      <c r="V2131" s="10">
        <f>REPT(" ",24)</f>
        <v/>
      </c>
      <c r="W2131" s="10">
        <f>IF(A2131="c",LEFT(UPPER(B2131)&amp;REPT(" ",20),20),REPT(" ",20))</f>
        <v/>
      </c>
      <c r="X2131" s="10">
        <f>IF(A2131="C",LEFT(UPPER(C2131)&amp;REPT(" ",10),10)," ")</f>
        <v/>
      </c>
      <c r="Y2131" s="10">
        <f>IF(A2131="C",LEFT(UPPER(D2131)&amp;REPT(" ",2),2)," ")</f>
        <v/>
      </c>
      <c r="Z2131" s="10">
        <f>IF(A2131="C",LEFT(UPPER(E2131)&amp;REPT(" ",15),15)," ")</f>
        <v/>
      </c>
      <c r="AA2131" s="10">
        <f>REPT(" ",8)</f>
        <v/>
      </c>
      <c r="AB2131" s="10">
        <f>REPT(" ",4)</f>
        <v/>
      </c>
      <c r="AC2131" s="10">
        <f>LEFT(UPPER(H2131)&amp;REPT(" ",250),250)</f>
        <v/>
      </c>
      <c r="AD2131" s="10">
        <f>TEXT($G$2,"dd/mm/aaaa")</f>
        <v/>
      </c>
      <c r="AE2131" s="10">
        <f>REPT(" ",10)</f>
        <v/>
      </c>
      <c r="AF2131" s="10">
        <f>REPT(" ",20)</f>
        <v/>
      </c>
      <c r="AG2131" s="54">
        <f>REPT(" ",18-LEN(FIXED(F2131,2,TRUE)))&amp;FIXED(F2131,2,TRUE)</f>
        <v/>
      </c>
      <c r="AH2131" s="10">
        <f>LEN(AC2131)+LEN(AG2131)</f>
        <v/>
      </c>
      <c r="AI2131" s="10">
        <f>LEN(L2131)</f>
        <v/>
      </c>
    </row>
    <row r="2132">
      <c r="J2132" s="12">
        <f>IF(F2132&lt;&gt;0,"LANÇAR","")</f>
        <v/>
      </c>
      <c r="L2132" s="13">
        <f>N2132&amp;O2132&amp;P2132&amp;Q2132&amp;R2132&amp;S2132&amp;T2132&amp;U2132&amp;V2132&amp;W2132&amp;X2132&amp;Y2132&amp;Z2132&amp;AA2132&amp;AB2132&amp;AC2132&amp;AD2132&amp;AE2132&amp;AF2132&amp;AG2132</f>
        <v/>
      </c>
      <c r="N2132" s="10">
        <f>TEXT($B$6,"00")</f>
        <v/>
      </c>
      <c r="O2132" s="10">
        <f>REPT(" ",8)</f>
        <v/>
      </c>
      <c r="P2132" s="10">
        <f>RIGHT($B$4,2)</f>
        <v/>
      </c>
      <c r="Q2132" s="10">
        <f>RIGHT($B$5,3)</f>
        <v/>
      </c>
      <c r="R2132" s="10">
        <f>IF(A2132="D",LEFT(UPPER(B2132)&amp;REPT(" ",20),20),REPT(" ",20))</f>
        <v/>
      </c>
      <c r="S2132" s="10">
        <f>IF(A2132="D",LEFT(UPPER(C2132)&amp;REPT(" ",10),10)," ")</f>
        <v/>
      </c>
      <c r="T2132" s="10">
        <f>IF(A2132="D",LEFT(UPPER(D2132)&amp;REPT(" ",2),2)," ")</f>
        <v/>
      </c>
      <c r="U2132" s="10">
        <f>IF(A2132="D",LEFT(UPPER(E2132)&amp;REPT(" ",15),15)," ")</f>
        <v/>
      </c>
      <c r="V2132" s="10">
        <f>REPT(" ",24)</f>
        <v/>
      </c>
      <c r="W2132" s="10">
        <f>IF(A2132="c",LEFT(UPPER(B2132)&amp;REPT(" ",20),20),REPT(" ",20))</f>
        <v/>
      </c>
      <c r="X2132" s="10">
        <f>IF(A2132="C",LEFT(UPPER(C2132)&amp;REPT(" ",10),10)," ")</f>
        <v/>
      </c>
      <c r="Y2132" s="10">
        <f>IF(A2132="C",LEFT(UPPER(D2132)&amp;REPT(" ",2),2)," ")</f>
        <v/>
      </c>
      <c r="Z2132" s="10">
        <f>IF(A2132="C",LEFT(UPPER(E2132)&amp;REPT(" ",15),15)," ")</f>
        <v/>
      </c>
      <c r="AA2132" s="10">
        <f>REPT(" ",8)</f>
        <v/>
      </c>
      <c r="AB2132" s="10">
        <f>REPT(" ",4)</f>
        <v/>
      </c>
      <c r="AC2132" s="10">
        <f>LEFT(UPPER(H2132)&amp;REPT(" ",250),250)</f>
        <v/>
      </c>
      <c r="AD2132" s="10">
        <f>TEXT($G$2,"dd/mm/aaaa")</f>
        <v/>
      </c>
      <c r="AE2132" s="10">
        <f>REPT(" ",10)</f>
        <v/>
      </c>
      <c r="AF2132" s="10">
        <f>REPT(" ",20)</f>
        <v/>
      </c>
      <c r="AG2132" s="54">
        <f>REPT(" ",18-LEN(FIXED(F2132,2,TRUE)))&amp;FIXED(F2132,2,TRUE)</f>
        <v/>
      </c>
      <c r="AH2132" s="10">
        <f>LEN(AC2132)+LEN(AG2132)</f>
        <v/>
      </c>
      <c r="AI2132" s="10">
        <f>LEN(L2132)</f>
        <v/>
      </c>
    </row>
    <row r="2133">
      <c r="J2133" s="12">
        <f>IF(F2133&lt;&gt;0,"LANÇAR","")</f>
        <v/>
      </c>
      <c r="L2133" s="13">
        <f>N2133&amp;O2133&amp;P2133&amp;Q2133&amp;R2133&amp;S2133&amp;T2133&amp;U2133&amp;V2133&amp;W2133&amp;X2133&amp;Y2133&amp;Z2133&amp;AA2133&amp;AB2133&amp;AC2133&amp;AD2133&amp;AE2133&amp;AF2133&amp;AG2133</f>
        <v/>
      </c>
      <c r="N2133" s="10">
        <f>TEXT($B$6,"00")</f>
        <v/>
      </c>
      <c r="O2133" s="10">
        <f>REPT(" ",8)</f>
        <v/>
      </c>
      <c r="P2133" s="10">
        <f>RIGHT($B$4,2)</f>
        <v/>
      </c>
      <c r="Q2133" s="10">
        <f>RIGHT($B$5,3)</f>
        <v/>
      </c>
      <c r="R2133" s="10">
        <f>IF(A2133="D",LEFT(UPPER(B2133)&amp;REPT(" ",20),20),REPT(" ",20))</f>
        <v/>
      </c>
      <c r="S2133" s="10">
        <f>IF(A2133="D",LEFT(UPPER(C2133)&amp;REPT(" ",10),10)," ")</f>
        <v/>
      </c>
      <c r="T2133" s="10">
        <f>IF(A2133="D",LEFT(UPPER(D2133)&amp;REPT(" ",2),2)," ")</f>
        <v/>
      </c>
      <c r="U2133" s="10">
        <f>IF(A2133="D",LEFT(UPPER(E2133)&amp;REPT(" ",15),15)," ")</f>
        <v/>
      </c>
      <c r="V2133" s="10">
        <f>REPT(" ",24)</f>
        <v/>
      </c>
      <c r="W2133" s="10">
        <f>IF(A2133="c",LEFT(UPPER(B2133)&amp;REPT(" ",20),20),REPT(" ",20))</f>
        <v/>
      </c>
      <c r="X2133" s="10">
        <f>IF(A2133="C",LEFT(UPPER(C2133)&amp;REPT(" ",10),10)," ")</f>
        <v/>
      </c>
      <c r="Y2133" s="10">
        <f>IF(A2133="C",LEFT(UPPER(D2133)&amp;REPT(" ",2),2)," ")</f>
        <v/>
      </c>
      <c r="Z2133" s="10">
        <f>IF(A2133="C",LEFT(UPPER(E2133)&amp;REPT(" ",15),15)," ")</f>
        <v/>
      </c>
      <c r="AA2133" s="10">
        <f>REPT(" ",8)</f>
        <v/>
      </c>
      <c r="AB2133" s="10">
        <f>REPT(" ",4)</f>
        <v/>
      </c>
      <c r="AC2133" s="10">
        <f>LEFT(UPPER(H2133)&amp;REPT(" ",250),250)</f>
        <v/>
      </c>
      <c r="AD2133" s="10">
        <f>TEXT($G$2,"dd/mm/aaaa")</f>
        <v/>
      </c>
      <c r="AE2133" s="10">
        <f>REPT(" ",10)</f>
        <v/>
      </c>
      <c r="AF2133" s="10">
        <f>REPT(" ",20)</f>
        <v/>
      </c>
      <c r="AG2133" s="54">
        <f>REPT(" ",18-LEN(FIXED(F2133,2,TRUE)))&amp;FIXED(F2133,2,TRUE)</f>
        <v/>
      </c>
      <c r="AH2133" s="10">
        <f>LEN(AC2133)+LEN(AG2133)</f>
        <v/>
      </c>
      <c r="AI2133" s="10">
        <f>LEN(L2133)</f>
        <v/>
      </c>
    </row>
    <row r="2134">
      <c r="J2134" s="12">
        <f>IF(F2134&lt;&gt;0,"LANÇAR","")</f>
        <v/>
      </c>
      <c r="L2134" s="13">
        <f>N2134&amp;O2134&amp;P2134&amp;Q2134&amp;R2134&amp;S2134&amp;T2134&amp;U2134&amp;V2134&amp;W2134&amp;X2134&amp;Y2134&amp;Z2134&amp;AA2134&amp;AB2134&amp;AC2134&amp;AD2134&amp;AE2134&amp;AF2134&amp;AG2134</f>
        <v/>
      </c>
      <c r="N2134" s="10">
        <f>TEXT($B$6,"00")</f>
        <v/>
      </c>
      <c r="O2134" s="10">
        <f>REPT(" ",8)</f>
        <v/>
      </c>
      <c r="P2134" s="10">
        <f>RIGHT($B$4,2)</f>
        <v/>
      </c>
      <c r="Q2134" s="10">
        <f>RIGHT($B$5,3)</f>
        <v/>
      </c>
      <c r="R2134" s="10">
        <f>IF(A2134="D",LEFT(UPPER(B2134)&amp;REPT(" ",20),20),REPT(" ",20))</f>
        <v/>
      </c>
      <c r="S2134" s="10">
        <f>IF(A2134="D",LEFT(UPPER(C2134)&amp;REPT(" ",10),10)," ")</f>
        <v/>
      </c>
      <c r="T2134" s="10">
        <f>IF(A2134="D",LEFT(UPPER(D2134)&amp;REPT(" ",2),2)," ")</f>
        <v/>
      </c>
      <c r="U2134" s="10">
        <f>IF(A2134="D",LEFT(UPPER(E2134)&amp;REPT(" ",15),15)," ")</f>
        <v/>
      </c>
      <c r="V2134" s="10">
        <f>REPT(" ",24)</f>
        <v/>
      </c>
      <c r="W2134" s="10">
        <f>IF(A2134="c",LEFT(UPPER(B2134)&amp;REPT(" ",20),20),REPT(" ",20))</f>
        <v/>
      </c>
      <c r="X2134" s="10">
        <f>IF(A2134="C",LEFT(UPPER(C2134)&amp;REPT(" ",10),10)," ")</f>
        <v/>
      </c>
      <c r="Y2134" s="10">
        <f>IF(A2134="C",LEFT(UPPER(D2134)&amp;REPT(" ",2),2)," ")</f>
        <v/>
      </c>
      <c r="Z2134" s="10">
        <f>IF(A2134="C",LEFT(UPPER(E2134)&amp;REPT(" ",15),15)," ")</f>
        <v/>
      </c>
      <c r="AA2134" s="10">
        <f>REPT(" ",8)</f>
        <v/>
      </c>
      <c r="AB2134" s="10">
        <f>REPT(" ",4)</f>
        <v/>
      </c>
      <c r="AC2134" s="10">
        <f>LEFT(UPPER(H2134)&amp;REPT(" ",250),250)</f>
        <v/>
      </c>
      <c r="AD2134" s="10">
        <f>TEXT($G$2,"dd/mm/aaaa")</f>
        <v/>
      </c>
      <c r="AE2134" s="10">
        <f>REPT(" ",10)</f>
        <v/>
      </c>
      <c r="AF2134" s="10">
        <f>REPT(" ",20)</f>
        <v/>
      </c>
      <c r="AG2134" s="54">
        <f>REPT(" ",18-LEN(FIXED(F2134,2,TRUE)))&amp;FIXED(F2134,2,TRUE)</f>
        <v/>
      </c>
      <c r="AH2134" s="10">
        <f>LEN(AC2134)+LEN(AG2134)</f>
        <v/>
      </c>
      <c r="AI2134" s="10">
        <f>LEN(L2134)</f>
        <v/>
      </c>
    </row>
    <row r="2135">
      <c r="J2135" s="12">
        <f>IF(F2135&lt;&gt;0,"LANÇAR","")</f>
        <v/>
      </c>
      <c r="L2135" s="13">
        <f>N2135&amp;O2135&amp;P2135&amp;Q2135&amp;R2135&amp;S2135&amp;T2135&amp;U2135&amp;V2135&amp;W2135&amp;X2135&amp;Y2135&amp;Z2135&amp;AA2135&amp;AB2135&amp;AC2135&amp;AD2135&amp;AE2135&amp;AF2135&amp;AG2135</f>
        <v/>
      </c>
      <c r="N2135" s="10">
        <f>TEXT($B$6,"00")</f>
        <v/>
      </c>
      <c r="O2135" s="10">
        <f>REPT(" ",8)</f>
        <v/>
      </c>
      <c r="P2135" s="10">
        <f>RIGHT($B$4,2)</f>
        <v/>
      </c>
      <c r="Q2135" s="10">
        <f>RIGHT($B$5,3)</f>
        <v/>
      </c>
      <c r="R2135" s="10">
        <f>IF(A2135="D",LEFT(UPPER(B2135)&amp;REPT(" ",20),20),REPT(" ",20))</f>
        <v/>
      </c>
      <c r="S2135" s="10">
        <f>IF(A2135="D",LEFT(UPPER(C2135)&amp;REPT(" ",10),10)," ")</f>
        <v/>
      </c>
      <c r="T2135" s="10">
        <f>IF(A2135="D",LEFT(UPPER(D2135)&amp;REPT(" ",2),2)," ")</f>
        <v/>
      </c>
      <c r="U2135" s="10">
        <f>IF(A2135="D",LEFT(UPPER(E2135)&amp;REPT(" ",15),15)," ")</f>
        <v/>
      </c>
      <c r="V2135" s="10">
        <f>REPT(" ",24)</f>
        <v/>
      </c>
      <c r="W2135" s="10">
        <f>IF(A2135="c",LEFT(UPPER(B2135)&amp;REPT(" ",20),20),REPT(" ",20))</f>
        <v/>
      </c>
      <c r="X2135" s="10">
        <f>IF(A2135="C",LEFT(UPPER(C2135)&amp;REPT(" ",10),10)," ")</f>
        <v/>
      </c>
      <c r="Y2135" s="10">
        <f>IF(A2135="C",LEFT(UPPER(D2135)&amp;REPT(" ",2),2)," ")</f>
        <v/>
      </c>
      <c r="Z2135" s="10">
        <f>IF(A2135="C",LEFT(UPPER(E2135)&amp;REPT(" ",15),15)," ")</f>
        <v/>
      </c>
      <c r="AA2135" s="10">
        <f>REPT(" ",8)</f>
        <v/>
      </c>
      <c r="AB2135" s="10">
        <f>REPT(" ",4)</f>
        <v/>
      </c>
      <c r="AC2135" s="10">
        <f>LEFT(UPPER(H2135)&amp;REPT(" ",250),250)</f>
        <v/>
      </c>
      <c r="AD2135" s="10">
        <f>TEXT($G$2,"dd/mm/aaaa")</f>
        <v/>
      </c>
      <c r="AE2135" s="10">
        <f>REPT(" ",10)</f>
        <v/>
      </c>
      <c r="AF2135" s="10">
        <f>REPT(" ",20)</f>
        <v/>
      </c>
      <c r="AG2135" s="54">
        <f>REPT(" ",18-LEN(FIXED(F2135,2,TRUE)))&amp;FIXED(F2135,2,TRUE)</f>
        <v/>
      </c>
      <c r="AH2135" s="10">
        <f>LEN(AC2135)+LEN(AG2135)</f>
        <v/>
      </c>
      <c r="AI2135" s="10">
        <f>LEN(L2135)</f>
        <v/>
      </c>
    </row>
    <row r="2136">
      <c r="J2136" s="12">
        <f>IF(F2136&lt;&gt;0,"LANÇAR","")</f>
        <v/>
      </c>
      <c r="L2136" s="13">
        <f>N2136&amp;O2136&amp;P2136&amp;Q2136&amp;R2136&amp;S2136&amp;T2136&amp;U2136&amp;V2136&amp;W2136&amp;X2136&amp;Y2136&amp;Z2136&amp;AA2136&amp;AB2136&amp;AC2136&amp;AD2136&amp;AE2136&amp;AF2136&amp;AG2136</f>
        <v/>
      </c>
      <c r="N2136" s="10">
        <f>TEXT($B$6,"00")</f>
        <v/>
      </c>
      <c r="O2136" s="10">
        <f>REPT(" ",8)</f>
        <v/>
      </c>
      <c r="P2136" s="10">
        <f>RIGHT($B$4,2)</f>
        <v/>
      </c>
      <c r="Q2136" s="10">
        <f>RIGHT($B$5,3)</f>
        <v/>
      </c>
      <c r="R2136" s="10">
        <f>IF(A2136="D",LEFT(UPPER(B2136)&amp;REPT(" ",20),20),REPT(" ",20))</f>
        <v/>
      </c>
      <c r="S2136" s="10">
        <f>IF(A2136="D",LEFT(UPPER(C2136)&amp;REPT(" ",10),10)," ")</f>
        <v/>
      </c>
      <c r="T2136" s="10">
        <f>IF(A2136="D",LEFT(UPPER(D2136)&amp;REPT(" ",2),2)," ")</f>
        <v/>
      </c>
      <c r="U2136" s="10">
        <f>IF(A2136="D",LEFT(UPPER(E2136)&amp;REPT(" ",15),15)," ")</f>
        <v/>
      </c>
      <c r="V2136" s="10">
        <f>REPT(" ",24)</f>
        <v/>
      </c>
      <c r="W2136" s="10">
        <f>IF(A2136="c",LEFT(UPPER(B2136)&amp;REPT(" ",20),20),REPT(" ",20))</f>
        <v/>
      </c>
      <c r="X2136" s="10">
        <f>IF(A2136="C",LEFT(UPPER(C2136)&amp;REPT(" ",10),10)," ")</f>
        <v/>
      </c>
      <c r="Y2136" s="10">
        <f>IF(A2136="C",LEFT(UPPER(D2136)&amp;REPT(" ",2),2)," ")</f>
        <v/>
      </c>
      <c r="Z2136" s="10">
        <f>IF(A2136="C",LEFT(UPPER(E2136)&amp;REPT(" ",15),15)," ")</f>
        <v/>
      </c>
      <c r="AA2136" s="10">
        <f>REPT(" ",8)</f>
        <v/>
      </c>
      <c r="AB2136" s="10">
        <f>REPT(" ",4)</f>
        <v/>
      </c>
      <c r="AC2136" s="10">
        <f>LEFT(UPPER(H2136)&amp;REPT(" ",250),250)</f>
        <v/>
      </c>
      <c r="AD2136" s="10">
        <f>TEXT($G$2,"dd/mm/aaaa")</f>
        <v/>
      </c>
      <c r="AE2136" s="10">
        <f>REPT(" ",10)</f>
        <v/>
      </c>
      <c r="AF2136" s="10">
        <f>REPT(" ",20)</f>
        <v/>
      </c>
      <c r="AG2136" s="54">
        <f>REPT(" ",18-LEN(FIXED(F2136,2,TRUE)))&amp;FIXED(F2136,2,TRUE)</f>
        <v/>
      </c>
      <c r="AH2136" s="10">
        <f>LEN(AC2136)+LEN(AG2136)</f>
        <v/>
      </c>
      <c r="AI2136" s="10">
        <f>LEN(L2136)</f>
        <v/>
      </c>
    </row>
    <row r="2137">
      <c r="J2137" s="12">
        <f>IF(F2137&lt;&gt;0,"LANÇAR","")</f>
        <v/>
      </c>
      <c r="L2137" s="13">
        <f>N2137&amp;O2137&amp;P2137&amp;Q2137&amp;R2137&amp;S2137&amp;T2137&amp;U2137&amp;V2137&amp;W2137&amp;X2137&amp;Y2137&amp;Z2137&amp;AA2137&amp;AB2137&amp;AC2137&amp;AD2137&amp;AE2137&amp;AF2137&amp;AG2137</f>
        <v/>
      </c>
      <c r="N2137" s="10">
        <f>TEXT($B$6,"00")</f>
        <v/>
      </c>
      <c r="O2137" s="10">
        <f>REPT(" ",8)</f>
        <v/>
      </c>
      <c r="P2137" s="10">
        <f>RIGHT($B$4,2)</f>
        <v/>
      </c>
      <c r="Q2137" s="10">
        <f>RIGHT($B$5,3)</f>
        <v/>
      </c>
      <c r="R2137" s="10">
        <f>IF(A2137="D",LEFT(UPPER(B2137)&amp;REPT(" ",20),20),REPT(" ",20))</f>
        <v/>
      </c>
      <c r="S2137" s="10">
        <f>IF(A2137="D",LEFT(UPPER(C2137)&amp;REPT(" ",10),10)," ")</f>
        <v/>
      </c>
      <c r="T2137" s="10">
        <f>IF(A2137="D",LEFT(UPPER(D2137)&amp;REPT(" ",2),2)," ")</f>
        <v/>
      </c>
      <c r="U2137" s="10">
        <f>IF(A2137="D",LEFT(UPPER(E2137)&amp;REPT(" ",15),15)," ")</f>
        <v/>
      </c>
      <c r="V2137" s="10">
        <f>REPT(" ",24)</f>
        <v/>
      </c>
      <c r="W2137" s="10">
        <f>IF(A2137="c",LEFT(UPPER(B2137)&amp;REPT(" ",20),20),REPT(" ",20))</f>
        <v/>
      </c>
      <c r="X2137" s="10">
        <f>IF(A2137="C",LEFT(UPPER(C2137)&amp;REPT(" ",10),10)," ")</f>
        <v/>
      </c>
      <c r="Y2137" s="10">
        <f>IF(A2137="C",LEFT(UPPER(D2137)&amp;REPT(" ",2),2)," ")</f>
        <v/>
      </c>
      <c r="Z2137" s="10">
        <f>IF(A2137="C",LEFT(UPPER(E2137)&amp;REPT(" ",15),15)," ")</f>
        <v/>
      </c>
      <c r="AA2137" s="10">
        <f>REPT(" ",8)</f>
        <v/>
      </c>
      <c r="AB2137" s="10">
        <f>REPT(" ",4)</f>
        <v/>
      </c>
      <c r="AC2137" s="10">
        <f>LEFT(UPPER(H2137)&amp;REPT(" ",250),250)</f>
        <v/>
      </c>
      <c r="AD2137" s="10">
        <f>TEXT($G$2,"dd/mm/aaaa")</f>
        <v/>
      </c>
      <c r="AE2137" s="10">
        <f>REPT(" ",10)</f>
        <v/>
      </c>
      <c r="AF2137" s="10">
        <f>REPT(" ",20)</f>
        <v/>
      </c>
      <c r="AG2137" s="54">
        <f>REPT(" ",18-LEN(FIXED(F2137,2,TRUE)))&amp;FIXED(F2137,2,TRUE)</f>
        <v/>
      </c>
      <c r="AH2137" s="10">
        <f>LEN(AC2137)+LEN(AG2137)</f>
        <v/>
      </c>
      <c r="AI2137" s="10">
        <f>LEN(L2137)</f>
        <v/>
      </c>
    </row>
    <row r="2138">
      <c r="J2138" s="12">
        <f>IF(F2138&lt;&gt;0,"LANÇAR","")</f>
        <v/>
      </c>
      <c r="L2138" s="13">
        <f>N2138&amp;O2138&amp;P2138&amp;Q2138&amp;R2138&amp;S2138&amp;T2138&amp;U2138&amp;V2138&amp;W2138&amp;X2138&amp;Y2138&amp;Z2138&amp;AA2138&amp;AB2138&amp;AC2138&amp;AD2138&amp;AE2138&amp;AF2138&amp;AG2138</f>
        <v/>
      </c>
      <c r="N2138" s="10">
        <f>TEXT($B$6,"00")</f>
        <v/>
      </c>
      <c r="O2138" s="10">
        <f>REPT(" ",8)</f>
        <v/>
      </c>
      <c r="P2138" s="10">
        <f>RIGHT($B$4,2)</f>
        <v/>
      </c>
      <c r="Q2138" s="10">
        <f>RIGHT($B$5,3)</f>
        <v/>
      </c>
      <c r="R2138" s="10">
        <f>IF(A2138="D",LEFT(UPPER(B2138)&amp;REPT(" ",20),20),REPT(" ",20))</f>
        <v/>
      </c>
      <c r="S2138" s="10">
        <f>IF(A2138="D",LEFT(UPPER(C2138)&amp;REPT(" ",10),10)," ")</f>
        <v/>
      </c>
      <c r="T2138" s="10">
        <f>IF(A2138="D",LEFT(UPPER(D2138)&amp;REPT(" ",2),2)," ")</f>
        <v/>
      </c>
      <c r="U2138" s="10">
        <f>IF(A2138="D",LEFT(UPPER(E2138)&amp;REPT(" ",15),15)," ")</f>
        <v/>
      </c>
      <c r="V2138" s="10">
        <f>REPT(" ",24)</f>
        <v/>
      </c>
      <c r="W2138" s="10">
        <f>IF(A2138="c",LEFT(UPPER(B2138)&amp;REPT(" ",20),20),REPT(" ",20))</f>
        <v/>
      </c>
      <c r="X2138" s="10">
        <f>IF(A2138="C",LEFT(UPPER(C2138)&amp;REPT(" ",10),10)," ")</f>
        <v/>
      </c>
      <c r="Y2138" s="10">
        <f>IF(A2138="C",LEFT(UPPER(D2138)&amp;REPT(" ",2),2)," ")</f>
        <v/>
      </c>
      <c r="Z2138" s="10">
        <f>IF(A2138="C",LEFT(UPPER(E2138)&amp;REPT(" ",15),15)," ")</f>
        <v/>
      </c>
      <c r="AA2138" s="10">
        <f>REPT(" ",8)</f>
        <v/>
      </c>
      <c r="AB2138" s="10">
        <f>REPT(" ",4)</f>
        <v/>
      </c>
      <c r="AC2138" s="10">
        <f>LEFT(UPPER(H2138)&amp;REPT(" ",250),250)</f>
        <v/>
      </c>
      <c r="AD2138" s="10">
        <f>TEXT($G$2,"dd/mm/aaaa")</f>
        <v/>
      </c>
      <c r="AE2138" s="10">
        <f>REPT(" ",10)</f>
        <v/>
      </c>
      <c r="AF2138" s="10">
        <f>REPT(" ",20)</f>
        <v/>
      </c>
      <c r="AG2138" s="54">
        <f>REPT(" ",18-LEN(FIXED(F2138,2,TRUE)))&amp;FIXED(F2138,2,TRUE)</f>
        <v/>
      </c>
      <c r="AH2138" s="10">
        <f>LEN(AC2138)+LEN(AG2138)</f>
        <v/>
      </c>
      <c r="AI2138" s="10">
        <f>LEN(L2138)</f>
        <v/>
      </c>
    </row>
    <row r="2139">
      <c r="J2139" s="12">
        <f>IF(F2139&lt;&gt;0,"LANÇAR","")</f>
        <v/>
      </c>
      <c r="L2139" s="13">
        <f>N2139&amp;O2139&amp;P2139&amp;Q2139&amp;R2139&amp;S2139&amp;T2139&amp;U2139&amp;V2139&amp;W2139&amp;X2139&amp;Y2139&amp;Z2139&amp;AA2139&amp;AB2139&amp;AC2139&amp;AD2139&amp;AE2139&amp;AF2139&amp;AG2139</f>
        <v/>
      </c>
      <c r="N2139" s="10">
        <f>TEXT($B$6,"00")</f>
        <v/>
      </c>
      <c r="O2139" s="10">
        <f>REPT(" ",8)</f>
        <v/>
      </c>
      <c r="P2139" s="10">
        <f>RIGHT($B$4,2)</f>
        <v/>
      </c>
      <c r="Q2139" s="10">
        <f>RIGHT($B$5,3)</f>
        <v/>
      </c>
      <c r="R2139" s="10">
        <f>IF(A2139="D",LEFT(UPPER(B2139)&amp;REPT(" ",20),20),REPT(" ",20))</f>
        <v/>
      </c>
      <c r="S2139" s="10">
        <f>IF(A2139="D",LEFT(UPPER(C2139)&amp;REPT(" ",10),10)," ")</f>
        <v/>
      </c>
      <c r="T2139" s="10">
        <f>IF(A2139="D",LEFT(UPPER(D2139)&amp;REPT(" ",2),2)," ")</f>
        <v/>
      </c>
      <c r="U2139" s="10">
        <f>IF(A2139="D",LEFT(UPPER(E2139)&amp;REPT(" ",15),15)," ")</f>
        <v/>
      </c>
      <c r="V2139" s="10">
        <f>REPT(" ",24)</f>
        <v/>
      </c>
      <c r="W2139" s="10">
        <f>IF(A2139="c",LEFT(UPPER(B2139)&amp;REPT(" ",20),20),REPT(" ",20))</f>
        <v/>
      </c>
      <c r="X2139" s="10">
        <f>IF(A2139="C",LEFT(UPPER(C2139)&amp;REPT(" ",10),10)," ")</f>
        <v/>
      </c>
      <c r="Y2139" s="10">
        <f>IF(A2139="C",LEFT(UPPER(D2139)&amp;REPT(" ",2),2)," ")</f>
        <v/>
      </c>
      <c r="Z2139" s="10">
        <f>IF(A2139="C",LEFT(UPPER(E2139)&amp;REPT(" ",15),15)," ")</f>
        <v/>
      </c>
      <c r="AA2139" s="10">
        <f>REPT(" ",8)</f>
        <v/>
      </c>
      <c r="AB2139" s="10">
        <f>REPT(" ",4)</f>
        <v/>
      </c>
      <c r="AC2139" s="10">
        <f>LEFT(UPPER(H2139)&amp;REPT(" ",250),250)</f>
        <v/>
      </c>
      <c r="AD2139" s="10">
        <f>TEXT($G$2,"dd/mm/aaaa")</f>
        <v/>
      </c>
      <c r="AE2139" s="10">
        <f>REPT(" ",10)</f>
        <v/>
      </c>
      <c r="AF2139" s="10">
        <f>REPT(" ",20)</f>
        <v/>
      </c>
      <c r="AG2139" s="54">
        <f>REPT(" ",18-LEN(FIXED(F2139,2,TRUE)))&amp;FIXED(F2139,2,TRUE)</f>
        <v/>
      </c>
      <c r="AH2139" s="10">
        <f>LEN(AC2139)+LEN(AG2139)</f>
        <v/>
      </c>
      <c r="AI2139" s="10">
        <f>LEN(L2139)</f>
        <v/>
      </c>
    </row>
    <row r="2140">
      <c r="J2140" s="12">
        <f>IF(F2140&lt;&gt;0,"LANÇAR","")</f>
        <v/>
      </c>
      <c r="L2140" s="13">
        <f>N2140&amp;O2140&amp;P2140&amp;Q2140&amp;R2140&amp;S2140&amp;T2140&amp;U2140&amp;V2140&amp;W2140&amp;X2140&amp;Y2140&amp;Z2140&amp;AA2140&amp;AB2140&amp;AC2140&amp;AD2140&amp;AE2140&amp;AF2140&amp;AG2140</f>
        <v/>
      </c>
      <c r="N2140" s="10">
        <f>TEXT($B$6,"00")</f>
        <v/>
      </c>
      <c r="O2140" s="10">
        <f>REPT(" ",8)</f>
        <v/>
      </c>
      <c r="P2140" s="10">
        <f>RIGHT($B$4,2)</f>
        <v/>
      </c>
      <c r="Q2140" s="10">
        <f>RIGHT($B$5,3)</f>
        <v/>
      </c>
      <c r="R2140" s="10">
        <f>IF(A2140="D",LEFT(UPPER(B2140)&amp;REPT(" ",20),20),REPT(" ",20))</f>
        <v/>
      </c>
      <c r="S2140" s="10">
        <f>IF(A2140="D",LEFT(UPPER(C2140)&amp;REPT(" ",10),10)," ")</f>
        <v/>
      </c>
      <c r="T2140" s="10">
        <f>IF(A2140="D",LEFT(UPPER(D2140)&amp;REPT(" ",2),2)," ")</f>
        <v/>
      </c>
      <c r="U2140" s="10">
        <f>IF(A2140="D",LEFT(UPPER(E2140)&amp;REPT(" ",15),15)," ")</f>
        <v/>
      </c>
      <c r="V2140" s="10">
        <f>REPT(" ",24)</f>
        <v/>
      </c>
      <c r="W2140" s="10">
        <f>IF(A2140="c",LEFT(UPPER(B2140)&amp;REPT(" ",20),20),REPT(" ",20))</f>
        <v/>
      </c>
      <c r="X2140" s="10">
        <f>IF(A2140="C",LEFT(UPPER(C2140)&amp;REPT(" ",10),10)," ")</f>
        <v/>
      </c>
      <c r="Y2140" s="10">
        <f>IF(A2140="C",LEFT(UPPER(D2140)&amp;REPT(" ",2),2)," ")</f>
        <v/>
      </c>
      <c r="Z2140" s="10">
        <f>IF(A2140="C",LEFT(UPPER(E2140)&amp;REPT(" ",15),15)," ")</f>
        <v/>
      </c>
      <c r="AA2140" s="10">
        <f>REPT(" ",8)</f>
        <v/>
      </c>
      <c r="AB2140" s="10">
        <f>REPT(" ",4)</f>
        <v/>
      </c>
      <c r="AC2140" s="10">
        <f>LEFT(UPPER(H2140)&amp;REPT(" ",250),250)</f>
        <v/>
      </c>
      <c r="AD2140" s="10">
        <f>TEXT($G$2,"dd/mm/aaaa")</f>
        <v/>
      </c>
      <c r="AE2140" s="10">
        <f>REPT(" ",10)</f>
        <v/>
      </c>
      <c r="AF2140" s="10">
        <f>REPT(" ",20)</f>
        <v/>
      </c>
      <c r="AG2140" s="54">
        <f>REPT(" ",18-LEN(FIXED(F2140,2,TRUE)))&amp;FIXED(F2140,2,TRUE)</f>
        <v/>
      </c>
      <c r="AH2140" s="10">
        <f>LEN(AC2140)+LEN(AG2140)</f>
        <v/>
      </c>
      <c r="AI2140" s="10">
        <f>LEN(L2140)</f>
        <v/>
      </c>
    </row>
    <row r="2141">
      <c r="J2141" s="12">
        <f>IF(F2141&lt;&gt;0,"LANÇAR","")</f>
        <v/>
      </c>
      <c r="L2141" s="13">
        <f>N2141&amp;O2141&amp;P2141&amp;Q2141&amp;R2141&amp;S2141&amp;T2141&amp;U2141&amp;V2141&amp;W2141&amp;X2141&amp;Y2141&amp;Z2141&amp;AA2141&amp;AB2141&amp;AC2141&amp;AD2141&amp;AE2141&amp;AF2141&amp;AG2141</f>
        <v/>
      </c>
      <c r="N2141" s="10">
        <f>TEXT($B$6,"00")</f>
        <v/>
      </c>
      <c r="O2141" s="10">
        <f>REPT(" ",8)</f>
        <v/>
      </c>
      <c r="P2141" s="10">
        <f>RIGHT($B$4,2)</f>
        <v/>
      </c>
      <c r="Q2141" s="10">
        <f>RIGHT($B$5,3)</f>
        <v/>
      </c>
      <c r="R2141" s="10">
        <f>IF(A2141="D",LEFT(UPPER(B2141)&amp;REPT(" ",20),20),REPT(" ",20))</f>
        <v/>
      </c>
      <c r="S2141" s="10">
        <f>IF(A2141="D",LEFT(UPPER(C2141)&amp;REPT(" ",10),10)," ")</f>
        <v/>
      </c>
      <c r="T2141" s="10">
        <f>IF(A2141="D",LEFT(UPPER(D2141)&amp;REPT(" ",2),2)," ")</f>
        <v/>
      </c>
      <c r="U2141" s="10">
        <f>IF(A2141="D",LEFT(UPPER(E2141)&amp;REPT(" ",15),15)," ")</f>
        <v/>
      </c>
      <c r="V2141" s="10">
        <f>REPT(" ",24)</f>
        <v/>
      </c>
      <c r="W2141" s="10">
        <f>IF(A2141="c",LEFT(UPPER(B2141)&amp;REPT(" ",20),20),REPT(" ",20))</f>
        <v/>
      </c>
      <c r="X2141" s="10">
        <f>IF(A2141="C",LEFT(UPPER(C2141)&amp;REPT(" ",10),10)," ")</f>
        <v/>
      </c>
      <c r="Y2141" s="10">
        <f>IF(A2141="C",LEFT(UPPER(D2141)&amp;REPT(" ",2),2)," ")</f>
        <v/>
      </c>
      <c r="Z2141" s="10">
        <f>IF(A2141="C",LEFT(UPPER(E2141)&amp;REPT(" ",15),15)," ")</f>
        <v/>
      </c>
      <c r="AA2141" s="10">
        <f>REPT(" ",8)</f>
        <v/>
      </c>
      <c r="AB2141" s="10">
        <f>REPT(" ",4)</f>
        <v/>
      </c>
      <c r="AC2141" s="10">
        <f>LEFT(UPPER(H2141)&amp;REPT(" ",250),250)</f>
        <v/>
      </c>
      <c r="AD2141" s="10">
        <f>TEXT($G$2,"dd/mm/aaaa")</f>
        <v/>
      </c>
      <c r="AE2141" s="10">
        <f>REPT(" ",10)</f>
        <v/>
      </c>
      <c r="AF2141" s="10">
        <f>REPT(" ",20)</f>
        <v/>
      </c>
      <c r="AG2141" s="54">
        <f>REPT(" ",18-LEN(FIXED(F2141,2,TRUE)))&amp;FIXED(F2141,2,TRUE)</f>
        <v/>
      </c>
      <c r="AH2141" s="10">
        <f>LEN(AC2141)+LEN(AG2141)</f>
        <v/>
      </c>
      <c r="AI2141" s="10">
        <f>LEN(L2141)</f>
        <v/>
      </c>
    </row>
    <row r="2142">
      <c r="J2142" s="12">
        <f>IF(F2142&lt;&gt;0,"LANÇAR","")</f>
        <v/>
      </c>
      <c r="L2142" s="13">
        <f>N2142&amp;O2142&amp;P2142&amp;Q2142&amp;R2142&amp;S2142&amp;T2142&amp;U2142&amp;V2142&amp;W2142&amp;X2142&amp;Y2142&amp;Z2142&amp;AA2142&amp;AB2142&amp;AC2142&amp;AD2142&amp;AE2142&amp;AF2142&amp;AG2142</f>
        <v/>
      </c>
      <c r="N2142" s="10">
        <f>TEXT($B$6,"00")</f>
        <v/>
      </c>
      <c r="O2142" s="10">
        <f>REPT(" ",8)</f>
        <v/>
      </c>
      <c r="P2142" s="10">
        <f>RIGHT($B$4,2)</f>
        <v/>
      </c>
      <c r="Q2142" s="10">
        <f>RIGHT($B$5,3)</f>
        <v/>
      </c>
      <c r="R2142" s="10">
        <f>IF(A2142="D",LEFT(UPPER(B2142)&amp;REPT(" ",20),20),REPT(" ",20))</f>
        <v/>
      </c>
      <c r="S2142" s="10">
        <f>IF(A2142="D",LEFT(UPPER(C2142)&amp;REPT(" ",10),10)," ")</f>
        <v/>
      </c>
      <c r="T2142" s="10">
        <f>IF(A2142="D",LEFT(UPPER(D2142)&amp;REPT(" ",2),2)," ")</f>
        <v/>
      </c>
      <c r="U2142" s="10">
        <f>IF(A2142="D",LEFT(UPPER(E2142)&amp;REPT(" ",15),15)," ")</f>
        <v/>
      </c>
      <c r="V2142" s="10">
        <f>REPT(" ",24)</f>
        <v/>
      </c>
      <c r="W2142" s="10">
        <f>IF(A2142="c",LEFT(UPPER(B2142)&amp;REPT(" ",20),20),REPT(" ",20))</f>
        <v/>
      </c>
      <c r="X2142" s="10">
        <f>IF(A2142="C",LEFT(UPPER(C2142)&amp;REPT(" ",10),10)," ")</f>
        <v/>
      </c>
      <c r="Y2142" s="10">
        <f>IF(A2142="C",LEFT(UPPER(D2142)&amp;REPT(" ",2),2)," ")</f>
        <v/>
      </c>
      <c r="Z2142" s="10">
        <f>IF(A2142="C",LEFT(UPPER(E2142)&amp;REPT(" ",15),15)," ")</f>
        <v/>
      </c>
      <c r="AA2142" s="10">
        <f>REPT(" ",8)</f>
        <v/>
      </c>
      <c r="AB2142" s="10">
        <f>REPT(" ",4)</f>
        <v/>
      </c>
      <c r="AC2142" s="10">
        <f>LEFT(UPPER(H2142)&amp;REPT(" ",250),250)</f>
        <v/>
      </c>
      <c r="AD2142" s="10">
        <f>TEXT($G$2,"dd/mm/aaaa")</f>
        <v/>
      </c>
      <c r="AE2142" s="10">
        <f>REPT(" ",10)</f>
        <v/>
      </c>
      <c r="AF2142" s="10">
        <f>REPT(" ",20)</f>
        <v/>
      </c>
      <c r="AG2142" s="54">
        <f>REPT(" ",18-LEN(FIXED(F2142,2,TRUE)))&amp;FIXED(F2142,2,TRUE)</f>
        <v/>
      </c>
      <c r="AH2142" s="10">
        <f>LEN(AC2142)+LEN(AG2142)</f>
        <v/>
      </c>
      <c r="AI2142" s="10">
        <f>LEN(L2142)</f>
        <v/>
      </c>
    </row>
    <row r="2143">
      <c r="J2143" s="12">
        <f>IF(F2143&lt;&gt;0,"LANÇAR","")</f>
        <v/>
      </c>
      <c r="L2143" s="13">
        <f>N2143&amp;O2143&amp;P2143&amp;Q2143&amp;R2143&amp;S2143&amp;T2143&amp;U2143&amp;V2143&amp;W2143&amp;X2143&amp;Y2143&amp;Z2143&amp;AA2143&amp;AB2143&amp;AC2143&amp;AD2143&amp;AE2143&amp;AF2143&amp;AG2143</f>
        <v/>
      </c>
      <c r="N2143" s="10">
        <f>TEXT($B$6,"00")</f>
        <v/>
      </c>
      <c r="O2143" s="10">
        <f>REPT(" ",8)</f>
        <v/>
      </c>
      <c r="P2143" s="10">
        <f>RIGHT($B$4,2)</f>
        <v/>
      </c>
      <c r="Q2143" s="10">
        <f>RIGHT($B$5,3)</f>
        <v/>
      </c>
      <c r="R2143" s="10">
        <f>IF(A2143="D",LEFT(UPPER(B2143)&amp;REPT(" ",20),20),REPT(" ",20))</f>
        <v/>
      </c>
      <c r="S2143" s="10">
        <f>IF(A2143="D",LEFT(UPPER(C2143)&amp;REPT(" ",10),10)," ")</f>
        <v/>
      </c>
      <c r="T2143" s="10">
        <f>IF(A2143="D",LEFT(UPPER(D2143)&amp;REPT(" ",2),2)," ")</f>
        <v/>
      </c>
      <c r="U2143" s="10">
        <f>IF(A2143="D",LEFT(UPPER(E2143)&amp;REPT(" ",15),15)," ")</f>
        <v/>
      </c>
      <c r="V2143" s="10">
        <f>REPT(" ",24)</f>
        <v/>
      </c>
      <c r="W2143" s="10">
        <f>IF(A2143="c",LEFT(UPPER(B2143)&amp;REPT(" ",20),20),REPT(" ",20))</f>
        <v/>
      </c>
      <c r="X2143" s="10">
        <f>IF(A2143="C",LEFT(UPPER(C2143)&amp;REPT(" ",10),10)," ")</f>
        <v/>
      </c>
      <c r="Y2143" s="10">
        <f>IF(A2143="C",LEFT(UPPER(D2143)&amp;REPT(" ",2),2)," ")</f>
        <v/>
      </c>
      <c r="Z2143" s="10">
        <f>IF(A2143="C",LEFT(UPPER(E2143)&amp;REPT(" ",15),15)," ")</f>
        <v/>
      </c>
      <c r="AA2143" s="10">
        <f>REPT(" ",8)</f>
        <v/>
      </c>
      <c r="AB2143" s="10">
        <f>REPT(" ",4)</f>
        <v/>
      </c>
      <c r="AC2143" s="10">
        <f>LEFT(UPPER(H2143)&amp;REPT(" ",250),250)</f>
        <v/>
      </c>
      <c r="AD2143" s="10">
        <f>TEXT($G$2,"dd/mm/aaaa")</f>
        <v/>
      </c>
      <c r="AE2143" s="10">
        <f>REPT(" ",10)</f>
        <v/>
      </c>
      <c r="AF2143" s="10">
        <f>REPT(" ",20)</f>
        <v/>
      </c>
      <c r="AG2143" s="54">
        <f>REPT(" ",18-LEN(FIXED(F2143,2,TRUE)))&amp;FIXED(F2143,2,TRUE)</f>
        <v/>
      </c>
      <c r="AH2143" s="10">
        <f>LEN(AC2143)+LEN(AG2143)</f>
        <v/>
      </c>
      <c r="AI2143" s="10">
        <f>LEN(L2143)</f>
        <v/>
      </c>
    </row>
    <row r="2144">
      <c r="J2144" s="12">
        <f>IF(F2144&lt;&gt;0,"LANÇAR","")</f>
        <v/>
      </c>
      <c r="L2144" s="13">
        <f>N2144&amp;O2144&amp;P2144&amp;Q2144&amp;R2144&amp;S2144&amp;T2144&amp;U2144&amp;V2144&amp;W2144&amp;X2144&amp;Y2144&amp;Z2144&amp;AA2144&amp;AB2144&amp;AC2144&amp;AD2144&amp;AE2144&amp;AF2144&amp;AG2144</f>
        <v/>
      </c>
      <c r="N2144" s="10">
        <f>TEXT($B$6,"00")</f>
        <v/>
      </c>
      <c r="O2144" s="10">
        <f>REPT(" ",8)</f>
        <v/>
      </c>
      <c r="P2144" s="10">
        <f>RIGHT($B$4,2)</f>
        <v/>
      </c>
      <c r="Q2144" s="10">
        <f>RIGHT($B$5,3)</f>
        <v/>
      </c>
      <c r="R2144" s="10">
        <f>IF(A2144="D",LEFT(UPPER(B2144)&amp;REPT(" ",20),20),REPT(" ",20))</f>
        <v/>
      </c>
      <c r="S2144" s="10">
        <f>IF(A2144="D",LEFT(UPPER(C2144)&amp;REPT(" ",10),10)," ")</f>
        <v/>
      </c>
      <c r="T2144" s="10">
        <f>IF(A2144="D",LEFT(UPPER(D2144)&amp;REPT(" ",2),2)," ")</f>
        <v/>
      </c>
      <c r="U2144" s="10">
        <f>IF(A2144="D",LEFT(UPPER(E2144)&amp;REPT(" ",15),15)," ")</f>
        <v/>
      </c>
      <c r="V2144" s="10">
        <f>REPT(" ",24)</f>
        <v/>
      </c>
      <c r="W2144" s="10">
        <f>IF(A2144="c",LEFT(UPPER(B2144)&amp;REPT(" ",20),20),REPT(" ",20))</f>
        <v/>
      </c>
      <c r="X2144" s="10">
        <f>IF(A2144="C",LEFT(UPPER(C2144)&amp;REPT(" ",10),10)," ")</f>
        <v/>
      </c>
      <c r="Y2144" s="10">
        <f>IF(A2144="C",LEFT(UPPER(D2144)&amp;REPT(" ",2),2)," ")</f>
        <v/>
      </c>
      <c r="Z2144" s="10">
        <f>IF(A2144="C",LEFT(UPPER(E2144)&amp;REPT(" ",15),15)," ")</f>
        <v/>
      </c>
      <c r="AA2144" s="10">
        <f>REPT(" ",8)</f>
        <v/>
      </c>
      <c r="AB2144" s="10">
        <f>REPT(" ",4)</f>
        <v/>
      </c>
      <c r="AC2144" s="10">
        <f>LEFT(UPPER(H2144)&amp;REPT(" ",250),250)</f>
        <v/>
      </c>
      <c r="AD2144" s="10">
        <f>TEXT($G$2,"dd/mm/aaaa")</f>
        <v/>
      </c>
      <c r="AE2144" s="10">
        <f>REPT(" ",10)</f>
        <v/>
      </c>
      <c r="AF2144" s="10">
        <f>REPT(" ",20)</f>
        <v/>
      </c>
      <c r="AG2144" s="54">
        <f>REPT(" ",18-LEN(FIXED(F2144,2,TRUE)))&amp;FIXED(F2144,2,TRUE)</f>
        <v/>
      </c>
      <c r="AH2144" s="10">
        <f>LEN(AC2144)+LEN(AG2144)</f>
        <v/>
      </c>
      <c r="AI2144" s="10">
        <f>LEN(L2144)</f>
        <v/>
      </c>
    </row>
    <row r="2145">
      <c r="J2145" s="12">
        <f>IF(F2145&lt;&gt;0,"LANÇAR","")</f>
        <v/>
      </c>
      <c r="L2145" s="13">
        <f>N2145&amp;O2145&amp;P2145&amp;Q2145&amp;R2145&amp;S2145&amp;T2145&amp;U2145&amp;V2145&amp;W2145&amp;X2145&amp;Y2145&amp;Z2145&amp;AA2145&amp;AB2145&amp;AC2145&amp;AD2145&amp;AE2145&amp;AF2145&amp;AG2145</f>
        <v/>
      </c>
      <c r="N2145" s="10">
        <f>TEXT($B$6,"00")</f>
        <v/>
      </c>
      <c r="O2145" s="10">
        <f>REPT(" ",8)</f>
        <v/>
      </c>
      <c r="P2145" s="10">
        <f>RIGHT($B$4,2)</f>
        <v/>
      </c>
      <c r="Q2145" s="10">
        <f>RIGHT($B$5,3)</f>
        <v/>
      </c>
      <c r="R2145" s="10">
        <f>IF(A2145="D",LEFT(UPPER(B2145)&amp;REPT(" ",20),20),REPT(" ",20))</f>
        <v/>
      </c>
      <c r="S2145" s="10">
        <f>IF(A2145="D",LEFT(UPPER(C2145)&amp;REPT(" ",10),10)," ")</f>
        <v/>
      </c>
      <c r="T2145" s="10">
        <f>IF(A2145="D",LEFT(UPPER(D2145)&amp;REPT(" ",2),2)," ")</f>
        <v/>
      </c>
      <c r="U2145" s="10">
        <f>IF(A2145="D",LEFT(UPPER(E2145)&amp;REPT(" ",15),15)," ")</f>
        <v/>
      </c>
      <c r="V2145" s="10">
        <f>REPT(" ",24)</f>
        <v/>
      </c>
      <c r="W2145" s="10">
        <f>IF(A2145="c",LEFT(UPPER(B2145)&amp;REPT(" ",20),20),REPT(" ",20))</f>
        <v/>
      </c>
      <c r="X2145" s="10">
        <f>IF(A2145="C",LEFT(UPPER(C2145)&amp;REPT(" ",10),10)," ")</f>
        <v/>
      </c>
      <c r="Y2145" s="10">
        <f>IF(A2145="C",LEFT(UPPER(D2145)&amp;REPT(" ",2),2)," ")</f>
        <v/>
      </c>
      <c r="Z2145" s="10">
        <f>IF(A2145="C",LEFT(UPPER(E2145)&amp;REPT(" ",15),15)," ")</f>
        <v/>
      </c>
      <c r="AA2145" s="10">
        <f>REPT(" ",8)</f>
        <v/>
      </c>
      <c r="AB2145" s="10">
        <f>REPT(" ",4)</f>
        <v/>
      </c>
      <c r="AC2145" s="10">
        <f>LEFT(UPPER(H2145)&amp;REPT(" ",250),250)</f>
        <v/>
      </c>
      <c r="AD2145" s="10">
        <f>TEXT($G$2,"dd/mm/aaaa")</f>
        <v/>
      </c>
      <c r="AE2145" s="10">
        <f>REPT(" ",10)</f>
        <v/>
      </c>
      <c r="AF2145" s="10">
        <f>REPT(" ",20)</f>
        <v/>
      </c>
      <c r="AG2145" s="54">
        <f>REPT(" ",18-LEN(FIXED(F2145,2,TRUE)))&amp;FIXED(F2145,2,TRUE)</f>
        <v/>
      </c>
      <c r="AH2145" s="10">
        <f>LEN(AC2145)+LEN(AG2145)</f>
        <v/>
      </c>
      <c r="AI2145" s="10">
        <f>LEN(L2145)</f>
        <v/>
      </c>
    </row>
    <row r="2146">
      <c r="J2146" s="12">
        <f>IF(F2146&lt;&gt;0,"LANÇAR","")</f>
        <v/>
      </c>
      <c r="L2146" s="13">
        <f>N2146&amp;O2146&amp;P2146&amp;Q2146&amp;R2146&amp;S2146&amp;T2146&amp;U2146&amp;V2146&amp;W2146&amp;X2146&amp;Y2146&amp;Z2146&amp;AA2146&amp;AB2146&amp;AC2146&amp;AD2146&amp;AE2146&amp;AF2146&amp;AG2146</f>
        <v/>
      </c>
      <c r="N2146" s="10">
        <f>TEXT($B$6,"00")</f>
        <v/>
      </c>
      <c r="O2146" s="10">
        <f>REPT(" ",8)</f>
        <v/>
      </c>
      <c r="P2146" s="10">
        <f>RIGHT($B$4,2)</f>
        <v/>
      </c>
      <c r="Q2146" s="10">
        <f>RIGHT($B$5,3)</f>
        <v/>
      </c>
      <c r="R2146" s="10">
        <f>IF(A2146="D",LEFT(UPPER(B2146)&amp;REPT(" ",20),20),REPT(" ",20))</f>
        <v/>
      </c>
      <c r="S2146" s="10">
        <f>IF(A2146="D",LEFT(UPPER(C2146)&amp;REPT(" ",10),10)," ")</f>
        <v/>
      </c>
      <c r="T2146" s="10">
        <f>IF(A2146="D",LEFT(UPPER(D2146)&amp;REPT(" ",2),2)," ")</f>
        <v/>
      </c>
      <c r="U2146" s="10">
        <f>IF(A2146="D",LEFT(UPPER(E2146)&amp;REPT(" ",15),15)," ")</f>
        <v/>
      </c>
      <c r="V2146" s="10">
        <f>REPT(" ",24)</f>
        <v/>
      </c>
      <c r="W2146" s="10">
        <f>IF(A2146="c",LEFT(UPPER(B2146)&amp;REPT(" ",20),20),REPT(" ",20))</f>
        <v/>
      </c>
      <c r="X2146" s="10">
        <f>IF(A2146="C",LEFT(UPPER(C2146)&amp;REPT(" ",10),10)," ")</f>
        <v/>
      </c>
      <c r="Y2146" s="10">
        <f>IF(A2146="C",LEFT(UPPER(D2146)&amp;REPT(" ",2),2)," ")</f>
        <v/>
      </c>
      <c r="Z2146" s="10">
        <f>IF(A2146="C",LEFT(UPPER(E2146)&amp;REPT(" ",15),15)," ")</f>
        <v/>
      </c>
      <c r="AA2146" s="10">
        <f>REPT(" ",8)</f>
        <v/>
      </c>
      <c r="AB2146" s="10">
        <f>REPT(" ",4)</f>
        <v/>
      </c>
      <c r="AC2146" s="10">
        <f>LEFT(UPPER(H2146)&amp;REPT(" ",250),250)</f>
        <v/>
      </c>
      <c r="AD2146" s="10">
        <f>TEXT($G$2,"dd/mm/aaaa")</f>
        <v/>
      </c>
      <c r="AE2146" s="10">
        <f>REPT(" ",10)</f>
        <v/>
      </c>
      <c r="AF2146" s="10">
        <f>REPT(" ",20)</f>
        <v/>
      </c>
      <c r="AG2146" s="54">
        <f>REPT(" ",18-LEN(FIXED(F2146,2,TRUE)))&amp;FIXED(F2146,2,TRUE)</f>
        <v/>
      </c>
      <c r="AH2146" s="10">
        <f>LEN(AC2146)+LEN(AG2146)</f>
        <v/>
      </c>
      <c r="AI2146" s="10">
        <f>LEN(L2146)</f>
        <v/>
      </c>
    </row>
    <row r="2147">
      <c r="J2147" s="12">
        <f>IF(F2147&lt;&gt;0,"LANÇAR","")</f>
        <v/>
      </c>
      <c r="L2147" s="13">
        <f>N2147&amp;O2147&amp;P2147&amp;Q2147&amp;R2147&amp;S2147&amp;T2147&amp;U2147&amp;V2147&amp;W2147&amp;X2147&amp;Y2147&amp;Z2147&amp;AA2147&amp;AB2147&amp;AC2147&amp;AD2147&amp;AE2147&amp;AF2147&amp;AG2147</f>
        <v/>
      </c>
      <c r="N2147" s="10">
        <f>TEXT($B$6,"00")</f>
        <v/>
      </c>
      <c r="O2147" s="10">
        <f>REPT(" ",8)</f>
        <v/>
      </c>
      <c r="P2147" s="10">
        <f>RIGHT($B$4,2)</f>
        <v/>
      </c>
      <c r="Q2147" s="10">
        <f>RIGHT($B$5,3)</f>
        <v/>
      </c>
      <c r="R2147" s="10">
        <f>IF(A2147="D",LEFT(UPPER(B2147)&amp;REPT(" ",20),20),REPT(" ",20))</f>
        <v/>
      </c>
      <c r="S2147" s="10">
        <f>IF(A2147="D",LEFT(UPPER(C2147)&amp;REPT(" ",10),10)," ")</f>
        <v/>
      </c>
      <c r="T2147" s="10">
        <f>IF(A2147="D",LEFT(UPPER(D2147)&amp;REPT(" ",2),2)," ")</f>
        <v/>
      </c>
      <c r="U2147" s="10">
        <f>IF(A2147="D",LEFT(UPPER(E2147)&amp;REPT(" ",15),15)," ")</f>
        <v/>
      </c>
      <c r="V2147" s="10">
        <f>REPT(" ",24)</f>
        <v/>
      </c>
      <c r="W2147" s="10">
        <f>IF(A2147="c",LEFT(UPPER(B2147)&amp;REPT(" ",20),20),REPT(" ",20))</f>
        <v/>
      </c>
      <c r="X2147" s="10">
        <f>IF(A2147="C",LEFT(UPPER(C2147)&amp;REPT(" ",10),10)," ")</f>
        <v/>
      </c>
      <c r="Y2147" s="10">
        <f>IF(A2147="C",LEFT(UPPER(D2147)&amp;REPT(" ",2),2)," ")</f>
        <v/>
      </c>
      <c r="Z2147" s="10">
        <f>IF(A2147="C",LEFT(UPPER(E2147)&amp;REPT(" ",15),15)," ")</f>
        <v/>
      </c>
      <c r="AA2147" s="10">
        <f>REPT(" ",8)</f>
        <v/>
      </c>
      <c r="AB2147" s="10">
        <f>REPT(" ",4)</f>
        <v/>
      </c>
      <c r="AC2147" s="10">
        <f>LEFT(UPPER(H2147)&amp;REPT(" ",250),250)</f>
        <v/>
      </c>
      <c r="AD2147" s="10">
        <f>TEXT($G$2,"dd/mm/aaaa")</f>
        <v/>
      </c>
      <c r="AE2147" s="10">
        <f>REPT(" ",10)</f>
        <v/>
      </c>
      <c r="AF2147" s="10">
        <f>REPT(" ",20)</f>
        <v/>
      </c>
      <c r="AG2147" s="54">
        <f>REPT(" ",18-LEN(FIXED(F2147,2,TRUE)))&amp;FIXED(F2147,2,TRUE)</f>
        <v/>
      </c>
      <c r="AH2147" s="10">
        <f>LEN(AC2147)+LEN(AG2147)</f>
        <v/>
      </c>
      <c r="AI2147" s="10">
        <f>LEN(L2147)</f>
        <v/>
      </c>
    </row>
    <row r="2148">
      <c r="J2148" s="12">
        <f>IF(F2148&lt;&gt;0,"LANÇAR","")</f>
        <v/>
      </c>
      <c r="L2148" s="13">
        <f>N2148&amp;O2148&amp;P2148&amp;Q2148&amp;R2148&amp;S2148&amp;T2148&amp;U2148&amp;V2148&amp;W2148&amp;X2148&amp;Y2148&amp;Z2148&amp;AA2148&amp;AB2148&amp;AC2148&amp;AD2148&amp;AE2148&amp;AF2148&amp;AG2148</f>
        <v/>
      </c>
      <c r="N2148" s="10">
        <f>TEXT($B$6,"00")</f>
        <v/>
      </c>
      <c r="O2148" s="10">
        <f>REPT(" ",8)</f>
        <v/>
      </c>
      <c r="P2148" s="10">
        <f>RIGHT($B$4,2)</f>
        <v/>
      </c>
      <c r="Q2148" s="10">
        <f>RIGHT($B$5,3)</f>
        <v/>
      </c>
      <c r="R2148" s="10">
        <f>IF(A2148="D",LEFT(UPPER(B2148)&amp;REPT(" ",20),20),REPT(" ",20))</f>
        <v/>
      </c>
      <c r="S2148" s="10">
        <f>IF(A2148="D",LEFT(UPPER(C2148)&amp;REPT(" ",10),10)," ")</f>
        <v/>
      </c>
      <c r="T2148" s="10">
        <f>IF(A2148="D",LEFT(UPPER(D2148)&amp;REPT(" ",2),2)," ")</f>
        <v/>
      </c>
      <c r="U2148" s="10">
        <f>IF(A2148="D",LEFT(UPPER(E2148)&amp;REPT(" ",15),15)," ")</f>
        <v/>
      </c>
      <c r="V2148" s="10">
        <f>REPT(" ",24)</f>
        <v/>
      </c>
      <c r="W2148" s="10">
        <f>IF(A2148="c",LEFT(UPPER(B2148)&amp;REPT(" ",20),20),REPT(" ",20))</f>
        <v/>
      </c>
      <c r="X2148" s="10">
        <f>IF(A2148="C",LEFT(UPPER(C2148)&amp;REPT(" ",10),10)," ")</f>
        <v/>
      </c>
      <c r="Y2148" s="10">
        <f>IF(A2148="C",LEFT(UPPER(D2148)&amp;REPT(" ",2),2)," ")</f>
        <v/>
      </c>
      <c r="Z2148" s="10">
        <f>IF(A2148="C",LEFT(UPPER(E2148)&amp;REPT(" ",15),15)," ")</f>
        <v/>
      </c>
      <c r="AA2148" s="10">
        <f>REPT(" ",8)</f>
        <v/>
      </c>
      <c r="AB2148" s="10">
        <f>REPT(" ",4)</f>
        <v/>
      </c>
      <c r="AC2148" s="10">
        <f>LEFT(UPPER(H2148)&amp;REPT(" ",250),250)</f>
        <v/>
      </c>
      <c r="AD2148" s="10">
        <f>TEXT($G$2,"dd/mm/aaaa")</f>
        <v/>
      </c>
      <c r="AE2148" s="10">
        <f>REPT(" ",10)</f>
        <v/>
      </c>
      <c r="AF2148" s="10">
        <f>REPT(" ",20)</f>
        <v/>
      </c>
      <c r="AG2148" s="54">
        <f>REPT(" ",18-LEN(FIXED(F2148,2,TRUE)))&amp;FIXED(F2148,2,TRUE)</f>
        <v/>
      </c>
      <c r="AH2148" s="10">
        <f>LEN(AC2148)+LEN(AG2148)</f>
        <v/>
      </c>
      <c r="AI2148" s="10">
        <f>LEN(L2148)</f>
        <v/>
      </c>
    </row>
    <row r="2149">
      <c r="J2149" s="12">
        <f>IF(F2149&lt;&gt;0,"LANÇAR","")</f>
        <v/>
      </c>
      <c r="L2149" s="13">
        <f>N2149&amp;O2149&amp;P2149&amp;Q2149&amp;R2149&amp;S2149&amp;T2149&amp;U2149&amp;V2149&amp;W2149&amp;X2149&amp;Y2149&amp;Z2149&amp;AA2149&amp;AB2149&amp;AC2149&amp;AD2149&amp;AE2149&amp;AF2149&amp;AG2149</f>
        <v/>
      </c>
      <c r="N2149" s="10">
        <f>TEXT($B$6,"00")</f>
        <v/>
      </c>
      <c r="O2149" s="10">
        <f>REPT(" ",8)</f>
        <v/>
      </c>
      <c r="P2149" s="10">
        <f>RIGHT($B$4,2)</f>
        <v/>
      </c>
      <c r="Q2149" s="10">
        <f>RIGHT($B$5,3)</f>
        <v/>
      </c>
      <c r="R2149" s="10">
        <f>IF(A2149="D",LEFT(UPPER(B2149)&amp;REPT(" ",20),20),REPT(" ",20))</f>
        <v/>
      </c>
      <c r="S2149" s="10">
        <f>IF(A2149="D",LEFT(UPPER(C2149)&amp;REPT(" ",10),10)," ")</f>
        <v/>
      </c>
      <c r="T2149" s="10">
        <f>IF(A2149="D",LEFT(UPPER(D2149)&amp;REPT(" ",2),2)," ")</f>
        <v/>
      </c>
      <c r="U2149" s="10">
        <f>IF(A2149="D",LEFT(UPPER(E2149)&amp;REPT(" ",15),15)," ")</f>
        <v/>
      </c>
      <c r="V2149" s="10">
        <f>REPT(" ",24)</f>
        <v/>
      </c>
      <c r="W2149" s="10">
        <f>IF(A2149="c",LEFT(UPPER(B2149)&amp;REPT(" ",20),20),REPT(" ",20))</f>
        <v/>
      </c>
      <c r="X2149" s="10">
        <f>IF(A2149="C",LEFT(UPPER(C2149)&amp;REPT(" ",10),10)," ")</f>
        <v/>
      </c>
      <c r="Y2149" s="10">
        <f>IF(A2149="C",LEFT(UPPER(D2149)&amp;REPT(" ",2),2)," ")</f>
        <v/>
      </c>
      <c r="Z2149" s="10">
        <f>IF(A2149="C",LEFT(UPPER(E2149)&amp;REPT(" ",15),15)," ")</f>
        <v/>
      </c>
      <c r="AA2149" s="10">
        <f>REPT(" ",8)</f>
        <v/>
      </c>
      <c r="AB2149" s="10">
        <f>REPT(" ",4)</f>
        <v/>
      </c>
      <c r="AC2149" s="10">
        <f>LEFT(UPPER(H2149)&amp;REPT(" ",250),250)</f>
        <v/>
      </c>
      <c r="AD2149" s="10">
        <f>TEXT($G$2,"dd/mm/aaaa")</f>
        <v/>
      </c>
      <c r="AE2149" s="10">
        <f>REPT(" ",10)</f>
        <v/>
      </c>
      <c r="AF2149" s="10">
        <f>REPT(" ",20)</f>
        <v/>
      </c>
      <c r="AG2149" s="54">
        <f>REPT(" ",18-LEN(FIXED(F2149,2,TRUE)))&amp;FIXED(F2149,2,TRUE)</f>
        <v/>
      </c>
      <c r="AH2149" s="10">
        <f>LEN(AC2149)+LEN(AG2149)</f>
        <v/>
      </c>
      <c r="AI2149" s="10">
        <f>LEN(L2149)</f>
        <v/>
      </c>
    </row>
    <row r="2150">
      <c r="J2150" s="12">
        <f>IF(F2150&lt;&gt;0,"LANÇAR","")</f>
        <v/>
      </c>
      <c r="L2150" s="13">
        <f>N2150&amp;O2150&amp;P2150&amp;Q2150&amp;R2150&amp;S2150&amp;T2150&amp;U2150&amp;V2150&amp;W2150&amp;X2150&amp;Y2150&amp;Z2150&amp;AA2150&amp;AB2150&amp;AC2150&amp;AD2150&amp;AE2150&amp;AF2150&amp;AG2150</f>
        <v/>
      </c>
      <c r="N2150" s="10">
        <f>TEXT($B$6,"00")</f>
        <v/>
      </c>
      <c r="O2150" s="10">
        <f>REPT(" ",8)</f>
        <v/>
      </c>
      <c r="P2150" s="10">
        <f>RIGHT($B$4,2)</f>
        <v/>
      </c>
      <c r="Q2150" s="10">
        <f>RIGHT($B$5,3)</f>
        <v/>
      </c>
      <c r="R2150" s="10">
        <f>IF(A2150="D",LEFT(UPPER(B2150)&amp;REPT(" ",20),20),REPT(" ",20))</f>
        <v/>
      </c>
      <c r="S2150" s="10">
        <f>IF(A2150="D",LEFT(UPPER(C2150)&amp;REPT(" ",10),10)," ")</f>
        <v/>
      </c>
      <c r="T2150" s="10">
        <f>IF(A2150="D",LEFT(UPPER(D2150)&amp;REPT(" ",2),2)," ")</f>
        <v/>
      </c>
      <c r="U2150" s="10">
        <f>IF(A2150="D",LEFT(UPPER(E2150)&amp;REPT(" ",15),15)," ")</f>
        <v/>
      </c>
      <c r="V2150" s="10">
        <f>REPT(" ",24)</f>
        <v/>
      </c>
      <c r="W2150" s="10">
        <f>IF(A2150="c",LEFT(UPPER(B2150)&amp;REPT(" ",20),20),REPT(" ",20))</f>
        <v/>
      </c>
      <c r="X2150" s="10">
        <f>IF(A2150="C",LEFT(UPPER(C2150)&amp;REPT(" ",10),10)," ")</f>
        <v/>
      </c>
      <c r="Y2150" s="10">
        <f>IF(A2150="C",LEFT(UPPER(D2150)&amp;REPT(" ",2),2)," ")</f>
        <v/>
      </c>
      <c r="Z2150" s="10">
        <f>IF(A2150="C",LEFT(UPPER(E2150)&amp;REPT(" ",15),15)," ")</f>
        <v/>
      </c>
      <c r="AA2150" s="10">
        <f>REPT(" ",8)</f>
        <v/>
      </c>
      <c r="AB2150" s="10">
        <f>REPT(" ",4)</f>
        <v/>
      </c>
      <c r="AC2150" s="10">
        <f>LEFT(UPPER(H2150)&amp;REPT(" ",250),250)</f>
        <v/>
      </c>
      <c r="AD2150" s="10">
        <f>TEXT($G$2,"dd/mm/aaaa")</f>
        <v/>
      </c>
      <c r="AE2150" s="10">
        <f>REPT(" ",10)</f>
        <v/>
      </c>
      <c r="AF2150" s="10">
        <f>REPT(" ",20)</f>
        <v/>
      </c>
      <c r="AG2150" s="54">
        <f>REPT(" ",18-LEN(FIXED(F2150,2,TRUE)))&amp;FIXED(F2150,2,TRUE)</f>
        <v/>
      </c>
      <c r="AH2150" s="10">
        <f>LEN(AC2150)+LEN(AG2150)</f>
        <v/>
      </c>
      <c r="AI2150" s="10">
        <f>LEN(L2150)</f>
        <v/>
      </c>
    </row>
    <row r="2151">
      <c r="J2151" s="12">
        <f>IF(F2151&lt;&gt;0,"LANÇAR","")</f>
        <v/>
      </c>
      <c r="L2151" s="13">
        <f>N2151&amp;O2151&amp;P2151&amp;Q2151&amp;R2151&amp;S2151&amp;T2151&amp;U2151&amp;V2151&amp;W2151&amp;X2151&amp;Y2151&amp;Z2151&amp;AA2151&amp;AB2151&amp;AC2151&amp;AD2151&amp;AE2151&amp;AF2151&amp;AG2151</f>
        <v/>
      </c>
      <c r="N2151" s="10">
        <f>TEXT($B$6,"00")</f>
        <v/>
      </c>
      <c r="O2151" s="10">
        <f>REPT(" ",8)</f>
        <v/>
      </c>
      <c r="P2151" s="10">
        <f>RIGHT($B$4,2)</f>
        <v/>
      </c>
      <c r="Q2151" s="10">
        <f>RIGHT($B$5,3)</f>
        <v/>
      </c>
      <c r="R2151" s="10">
        <f>IF(A2151="D",LEFT(UPPER(B2151)&amp;REPT(" ",20),20),REPT(" ",20))</f>
        <v/>
      </c>
      <c r="S2151" s="10">
        <f>IF(A2151="D",LEFT(UPPER(C2151)&amp;REPT(" ",10),10)," ")</f>
        <v/>
      </c>
      <c r="T2151" s="10">
        <f>IF(A2151="D",LEFT(UPPER(D2151)&amp;REPT(" ",2),2)," ")</f>
        <v/>
      </c>
      <c r="U2151" s="10">
        <f>IF(A2151="D",LEFT(UPPER(E2151)&amp;REPT(" ",15),15)," ")</f>
        <v/>
      </c>
      <c r="V2151" s="10">
        <f>REPT(" ",24)</f>
        <v/>
      </c>
      <c r="W2151" s="10">
        <f>IF(A2151="c",LEFT(UPPER(B2151)&amp;REPT(" ",20),20),REPT(" ",20))</f>
        <v/>
      </c>
      <c r="X2151" s="10">
        <f>IF(A2151="C",LEFT(UPPER(C2151)&amp;REPT(" ",10),10)," ")</f>
        <v/>
      </c>
      <c r="Y2151" s="10">
        <f>IF(A2151="C",LEFT(UPPER(D2151)&amp;REPT(" ",2),2)," ")</f>
        <v/>
      </c>
      <c r="Z2151" s="10">
        <f>IF(A2151="C",LEFT(UPPER(E2151)&amp;REPT(" ",15),15)," ")</f>
        <v/>
      </c>
      <c r="AA2151" s="10">
        <f>REPT(" ",8)</f>
        <v/>
      </c>
      <c r="AB2151" s="10">
        <f>REPT(" ",4)</f>
        <v/>
      </c>
      <c r="AC2151" s="10">
        <f>LEFT(UPPER(H2151)&amp;REPT(" ",250),250)</f>
        <v/>
      </c>
      <c r="AD2151" s="10">
        <f>TEXT($G$2,"dd/mm/aaaa")</f>
        <v/>
      </c>
      <c r="AE2151" s="10">
        <f>REPT(" ",10)</f>
        <v/>
      </c>
      <c r="AF2151" s="10">
        <f>REPT(" ",20)</f>
        <v/>
      </c>
      <c r="AG2151" s="54">
        <f>REPT(" ",18-LEN(FIXED(F2151,2,TRUE)))&amp;FIXED(F2151,2,TRUE)</f>
        <v/>
      </c>
      <c r="AH2151" s="10">
        <f>LEN(AC2151)+LEN(AG2151)</f>
        <v/>
      </c>
      <c r="AI2151" s="10">
        <f>LEN(L2151)</f>
        <v/>
      </c>
    </row>
    <row r="2152">
      <c r="J2152" s="12">
        <f>IF(F2152&lt;&gt;0,"LANÇAR","")</f>
        <v/>
      </c>
      <c r="L2152" s="13">
        <f>N2152&amp;O2152&amp;P2152&amp;Q2152&amp;R2152&amp;S2152&amp;T2152&amp;U2152&amp;V2152&amp;W2152&amp;X2152&amp;Y2152&amp;Z2152&amp;AA2152&amp;AB2152&amp;AC2152&amp;AD2152&amp;AE2152&amp;AF2152&amp;AG2152</f>
        <v/>
      </c>
      <c r="N2152" s="10">
        <f>TEXT($B$6,"00")</f>
        <v/>
      </c>
      <c r="O2152" s="10">
        <f>REPT(" ",8)</f>
        <v/>
      </c>
      <c r="P2152" s="10">
        <f>RIGHT($B$4,2)</f>
        <v/>
      </c>
      <c r="Q2152" s="10">
        <f>RIGHT($B$5,3)</f>
        <v/>
      </c>
      <c r="R2152" s="10">
        <f>IF(A2152="D",LEFT(UPPER(B2152)&amp;REPT(" ",20),20),REPT(" ",20))</f>
        <v/>
      </c>
      <c r="S2152" s="10">
        <f>IF(A2152="D",LEFT(UPPER(C2152)&amp;REPT(" ",10),10)," ")</f>
        <v/>
      </c>
      <c r="T2152" s="10">
        <f>IF(A2152="D",LEFT(UPPER(D2152)&amp;REPT(" ",2),2)," ")</f>
        <v/>
      </c>
      <c r="U2152" s="10">
        <f>IF(A2152="D",LEFT(UPPER(E2152)&amp;REPT(" ",15),15)," ")</f>
        <v/>
      </c>
      <c r="V2152" s="10">
        <f>REPT(" ",24)</f>
        <v/>
      </c>
      <c r="W2152" s="10">
        <f>IF(A2152="c",LEFT(UPPER(B2152)&amp;REPT(" ",20),20),REPT(" ",20))</f>
        <v/>
      </c>
      <c r="X2152" s="10">
        <f>IF(A2152="C",LEFT(UPPER(C2152)&amp;REPT(" ",10),10)," ")</f>
        <v/>
      </c>
      <c r="Y2152" s="10">
        <f>IF(A2152="C",LEFT(UPPER(D2152)&amp;REPT(" ",2),2)," ")</f>
        <v/>
      </c>
      <c r="Z2152" s="10">
        <f>IF(A2152="C",LEFT(UPPER(E2152)&amp;REPT(" ",15),15)," ")</f>
        <v/>
      </c>
      <c r="AA2152" s="10">
        <f>REPT(" ",8)</f>
        <v/>
      </c>
      <c r="AB2152" s="10">
        <f>REPT(" ",4)</f>
        <v/>
      </c>
      <c r="AC2152" s="10">
        <f>LEFT(UPPER(H2152)&amp;REPT(" ",250),250)</f>
        <v/>
      </c>
      <c r="AD2152" s="10">
        <f>TEXT($G$2,"dd/mm/aaaa")</f>
        <v/>
      </c>
      <c r="AE2152" s="10">
        <f>REPT(" ",10)</f>
        <v/>
      </c>
      <c r="AF2152" s="10">
        <f>REPT(" ",20)</f>
        <v/>
      </c>
      <c r="AG2152" s="54">
        <f>REPT(" ",18-LEN(FIXED(F2152,2,TRUE)))&amp;FIXED(F2152,2,TRUE)</f>
        <v/>
      </c>
      <c r="AH2152" s="10">
        <f>LEN(AC2152)+LEN(AG2152)</f>
        <v/>
      </c>
      <c r="AI2152" s="10">
        <f>LEN(L2152)</f>
        <v/>
      </c>
    </row>
    <row r="2153">
      <c r="J2153" s="12">
        <f>IF(F2153&lt;&gt;0,"LANÇAR","")</f>
        <v/>
      </c>
      <c r="L2153" s="13">
        <f>N2153&amp;O2153&amp;P2153&amp;Q2153&amp;R2153&amp;S2153&amp;T2153&amp;U2153&amp;V2153&amp;W2153&amp;X2153&amp;Y2153&amp;Z2153&amp;AA2153&amp;AB2153&amp;AC2153&amp;AD2153&amp;AE2153&amp;AF2153&amp;AG2153</f>
        <v/>
      </c>
      <c r="N2153" s="10">
        <f>TEXT($B$6,"00")</f>
        <v/>
      </c>
      <c r="O2153" s="10">
        <f>REPT(" ",8)</f>
        <v/>
      </c>
      <c r="P2153" s="10">
        <f>RIGHT($B$4,2)</f>
        <v/>
      </c>
      <c r="Q2153" s="10">
        <f>RIGHT($B$5,3)</f>
        <v/>
      </c>
      <c r="R2153" s="10">
        <f>IF(A2153="D",LEFT(UPPER(B2153)&amp;REPT(" ",20),20),REPT(" ",20))</f>
        <v/>
      </c>
      <c r="S2153" s="10">
        <f>IF(A2153="D",LEFT(UPPER(C2153)&amp;REPT(" ",10),10)," ")</f>
        <v/>
      </c>
      <c r="T2153" s="10">
        <f>IF(A2153="D",LEFT(UPPER(D2153)&amp;REPT(" ",2),2)," ")</f>
        <v/>
      </c>
      <c r="U2153" s="10">
        <f>IF(A2153="D",LEFT(UPPER(E2153)&amp;REPT(" ",15),15)," ")</f>
        <v/>
      </c>
      <c r="V2153" s="10">
        <f>REPT(" ",24)</f>
        <v/>
      </c>
      <c r="W2153" s="10">
        <f>IF(A2153="c",LEFT(UPPER(B2153)&amp;REPT(" ",20),20),REPT(" ",20))</f>
        <v/>
      </c>
      <c r="X2153" s="10">
        <f>IF(A2153="C",LEFT(UPPER(C2153)&amp;REPT(" ",10),10)," ")</f>
        <v/>
      </c>
      <c r="Y2153" s="10">
        <f>IF(A2153="C",LEFT(UPPER(D2153)&amp;REPT(" ",2),2)," ")</f>
        <v/>
      </c>
      <c r="Z2153" s="10">
        <f>IF(A2153="C",LEFT(UPPER(E2153)&amp;REPT(" ",15),15)," ")</f>
        <v/>
      </c>
      <c r="AA2153" s="10">
        <f>REPT(" ",8)</f>
        <v/>
      </c>
      <c r="AB2153" s="10">
        <f>REPT(" ",4)</f>
        <v/>
      </c>
      <c r="AC2153" s="10">
        <f>LEFT(UPPER(H2153)&amp;REPT(" ",250),250)</f>
        <v/>
      </c>
      <c r="AD2153" s="10">
        <f>TEXT($G$2,"dd/mm/aaaa")</f>
        <v/>
      </c>
      <c r="AE2153" s="10">
        <f>REPT(" ",10)</f>
        <v/>
      </c>
      <c r="AF2153" s="10">
        <f>REPT(" ",20)</f>
        <v/>
      </c>
      <c r="AG2153" s="54">
        <f>REPT(" ",18-LEN(FIXED(F2153,2,TRUE)))&amp;FIXED(F2153,2,TRUE)</f>
        <v/>
      </c>
      <c r="AH2153" s="10">
        <f>LEN(AC2153)+LEN(AG2153)</f>
        <v/>
      </c>
      <c r="AI2153" s="10">
        <f>LEN(L2153)</f>
        <v/>
      </c>
    </row>
    <row r="2154">
      <c r="J2154" s="12">
        <f>IF(F2154&lt;&gt;0,"LANÇAR","")</f>
        <v/>
      </c>
      <c r="L2154" s="13">
        <f>N2154&amp;O2154&amp;P2154&amp;Q2154&amp;R2154&amp;S2154&amp;T2154&amp;U2154&amp;V2154&amp;W2154&amp;X2154&amp;Y2154&amp;Z2154&amp;AA2154&amp;AB2154&amp;AC2154&amp;AD2154&amp;AE2154&amp;AF2154&amp;AG2154</f>
        <v/>
      </c>
      <c r="N2154" s="10">
        <f>TEXT($B$6,"00")</f>
        <v/>
      </c>
      <c r="O2154" s="10">
        <f>REPT(" ",8)</f>
        <v/>
      </c>
      <c r="P2154" s="10">
        <f>RIGHT($B$4,2)</f>
        <v/>
      </c>
      <c r="Q2154" s="10">
        <f>RIGHT($B$5,3)</f>
        <v/>
      </c>
      <c r="R2154" s="10">
        <f>IF(A2154="D",LEFT(UPPER(B2154)&amp;REPT(" ",20),20),REPT(" ",20))</f>
        <v/>
      </c>
      <c r="S2154" s="10">
        <f>IF(A2154="D",LEFT(UPPER(C2154)&amp;REPT(" ",10),10)," ")</f>
        <v/>
      </c>
      <c r="T2154" s="10">
        <f>IF(A2154="D",LEFT(UPPER(D2154)&amp;REPT(" ",2),2)," ")</f>
        <v/>
      </c>
      <c r="U2154" s="10">
        <f>IF(A2154="D",LEFT(UPPER(E2154)&amp;REPT(" ",15),15)," ")</f>
        <v/>
      </c>
      <c r="V2154" s="10">
        <f>REPT(" ",24)</f>
        <v/>
      </c>
      <c r="W2154" s="10">
        <f>IF(A2154="c",LEFT(UPPER(B2154)&amp;REPT(" ",20),20),REPT(" ",20))</f>
        <v/>
      </c>
      <c r="X2154" s="10">
        <f>IF(A2154="C",LEFT(UPPER(C2154)&amp;REPT(" ",10),10)," ")</f>
        <v/>
      </c>
      <c r="Y2154" s="10">
        <f>IF(A2154="C",LEFT(UPPER(D2154)&amp;REPT(" ",2),2)," ")</f>
        <v/>
      </c>
      <c r="Z2154" s="10">
        <f>IF(A2154="C",LEFT(UPPER(E2154)&amp;REPT(" ",15),15)," ")</f>
        <v/>
      </c>
      <c r="AA2154" s="10">
        <f>REPT(" ",8)</f>
        <v/>
      </c>
      <c r="AB2154" s="10">
        <f>REPT(" ",4)</f>
        <v/>
      </c>
      <c r="AC2154" s="10">
        <f>LEFT(UPPER(H2154)&amp;REPT(" ",250),250)</f>
        <v/>
      </c>
      <c r="AD2154" s="10">
        <f>TEXT($G$2,"dd/mm/aaaa")</f>
        <v/>
      </c>
      <c r="AE2154" s="10">
        <f>REPT(" ",10)</f>
        <v/>
      </c>
      <c r="AF2154" s="10">
        <f>REPT(" ",20)</f>
        <v/>
      </c>
      <c r="AG2154" s="54">
        <f>REPT(" ",18-LEN(FIXED(F2154,2,TRUE)))&amp;FIXED(F2154,2,TRUE)</f>
        <v/>
      </c>
      <c r="AH2154" s="10">
        <f>LEN(AC2154)+LEN(AG2154)</f>
        <v/>
      </c>
      <c r="AI2154" s="10">
        <f>LEN(L2154)</f>
        <v/>
      </c>
    </row>
    <row r="2155">
      <c r="J2155" s="12">
        <f>IF(F2155&lt;&gt;0,"LANÇAR","")</f>
        <v/>
      </c>
      <c r="L2155" s="13">
        <f>N2155&amp;O2155&amp;P2155&amp;Q2155&amp;R2155&amp;S2155&amp;T2155&amp;U2155&amp;V2155&amp;W2155&amp;X2155&amp;Y2155&amp;Z2155&amp;AA2155&amp;AB2155&amp;AC2155&amp;AD2155&amp;AE2155&amp;AF2155&amp;AG2155</f>
        <v/>
      </c>
      <c r="N2155" s="10">
        <f>TEXT($B$6,"00")</f>
        <v/>
      </c>
      <c r="O2155" s="10">
        <f>REPT(" ",8)</f>
        <v/>
      </c>
      <c r="P2155" s="10">
        <f>RIGHT($B$4,2)</f>
        <v/>
      </c>
      <c r="Q2155" s="10">
        <f>RIGHT($B$5,3)</f>
        <v/>
      </c>
      <c r="R2155" s="10">
        <f>IF(A2155="D",LEFT(UPPER(B2155)&amp;REPT(" ",20),20),REPT(" ",20))</f>
        <v/>
      </c>
      <c r="S2155" s="10">
        <f>IF(A2155="D",LEFT(UPPER(C2155)&amp;REPT(" ",10),10)," ")</f>
        <v/>
      </c>
      <c r="T2155" s="10">
        <f>IF(A2155="D",LEFT(UPPER(D2155)&amp;REPT(" ",2),2)," ")</f>
        <v/>
      </c>
      <c r="U2155" s="10">
        <f>IF(A2155="D",LEFT(UPPER(E2155)&amp;REPT(" ",15),15)," ")</f>
        <v/>
      </c>
      <c r="V2155" s="10">
        <f>REPT(" ",24)</f>
        <v/>
      </c>
      <c r="W2155" s="10">
        <f>IF(A2155="c",LEFT(UPPER(B2155)&amp;REPT(" ",20),20),REPT(" ",20))</f>
        <v/>
      </c>
      <c r="X2155" s="10">
        <f>IF(A2155="C",LEFT(UPPER(C2155)&amp;REPT(" ",10),10)," ")</f>
        <v/>
      </c>
      <c r="Y2155" s="10">
        <f>IF(A2155="C",LEFT(UPPER(D2155)&amp;REPT(" ",2),2)," ")</f>
        <v/>
      </c>
      <c r="Z2155" s="10">
        <f>IF(A2155="C",LEFT(UPPER(E2155)&amp;REPT(" ",15),15)," ")</f>
        <v/>
      </c>
      <c r="AA2155" s="10">
        <f>REPT(" ",8)</f>
        <v/>
      </c>
      <c r="AB2155" s="10">
        <f>REPT(" ",4)</f>
        <v/>
      </c>
      <c r="AC2155" s="10">
        <f>LEFT(UPPER(H2155)&amp;REPT(" ",250),250)</f>
        <v/>
      </c>
      <c r="AD2155" s="10">
        <f>TEXT($G$2,"dd/mm/aaaa")</f>
        <v/>
      </c>
      <c r="AE2155" s="10">
        <f>REPT(" ",10)</f>
        <v/>
      </c>
      <c r="AF2155" s="10">
        <f>REPT(" ",20)</f>
        <v/>
      </c>
      <c r="AG2155" s="54">
        <f>REPT(" ",18-LEN(FIXED(F2155,2,TRUE)))&amp;FIXED(F2155,2,TRUE)</f>
        <v/>
      </c>
      <c r="AH2155" s="10">
        <f>LEN(AC2155)+LEN(AG2155)</f>
        <v/>
      </c>
      <c r="AI2155" s="10">
        <f>LEN(L2155)</f>
        <v/>
      </c>
    </row>
    <row r="2156">
      <c r="J2156" s="12">
        <f>IF(F2156&lt;&gt;0,"LANÇAR","")</f>
        <v/>
      </c>
      <c r="L2156" s="13">
        <f>N2156&amp;O2156&amp;P2156&amp;Q2156&amp;R2156&amp;S2156&amp;T2156&amp;U2156&amp;V2156&amp;W2156&amp;X2156&amp;Y2156&amp;Z2156&amp;AA2156&amp;AB2156&amp;AC2156&amp;AD2156&amp;AE2156&amp;AF2156&amp;AG2156</f>
        <v/>
      </c>
      <c r="N2156" s="10">
        <f>TEXT($B$6,"00")</f>
        <v/>
      </c>
      <c r="O2156" s="10">
        <f>REPT(" ",8)</f>
        <v/>
      </c>
      <c r="P2156" s="10">
        <f>RIGHT($B$4,2)</f>
        <v/>
      </c>
      <c r="Q2156" s="10">
        <f>RIGHT($B$5,3)</f>
        <v/>
      </c>
      <c r="R2156" s="10">
        <f>IF(A2156="D",LEFT(UPPER(B2156)&amp;REPT(" ",20),20),REPT(" ",20))</f>
        <v/>
      </c>
      <c r="S2156" s="10">
        <f>IF(A2156="D",LEFT(UPPER(C2156)&amp;REPT(" ",10),10)," ")</f>
        <v/>
      </c>
      <c r="T2156" s="10">
        <f>IF(A2156="D",LEFT(UPPER(D2156)&amp;REPT(" ",2),2)," ")</f>
        <v/>
      </c>
      <c r="U2156" s="10">
        <f>IF(A2156="D",LEFT(UPPER(E2156)&amp;REPT(" ",15),15)," ")</f>
        <v/>
      </c>
      <c r="V2156" s="10">
        <f>REPT(" ",24)</f>
        <v/>
      </c>
      <c r="W2156" s="10">
        <f>IF(A2156="c",LEFT(UPPER(B2156)&amp;REPT(" ",20),20),REPT(" ",20))</f>
        <v/>
      </c>
      <c r="X2156" s="10">
        <f>IF(A2156="C",LEFT(UPPER(C2156)&amp;REPT(" ",10),10)," ")</f>
        <v/>
      </c>
      <c r="Y2156" s="10">
        <f>IF(A2156="C",LEFT(UPPER(D2156)&amp;REPT(" ",2),2)," ")</f>
        <v/>
      </c>
      <c r="Z2156" s="10">
        <f>IF(A2156="C",LEFT(UPPER(E2156)&amp;REPT(" ",15),15)," ")</f>
        <v/>
      </c>
      <c r="AA2156" s="10">
        <f>REPT(" ",8)</f>
        <v/>
      </c>
      <c r="AB2156" s="10">
        <f>REPT(" ",4)</f>
        <v/>
      </c>
      <c r="AC2156" s="10">
        <f>LEFT(UPPER(H2156)&amp;REPT(" ",250),250)</f>
        <v/>
      </c>
      <c r="AD2156" s="10">
        <f>TEXT($G$2,"dd/mm/aaaa")</f>
        <v/>
      </c>
      <c r="AE2156" s="10">
        <f>REPT(" ",10)</f>
        <v/>
      </c>
      <c r="AF2156" s="10">
        <f>REPT(" ",20)</f>
        <v/>
      </c>
      <c r="AG2156" s="54">
        <f>REPT(" ",18-LEN(FIXED(F2156,2,TRUE)))&amp;FIXED(F2156,2,TRUE)</f>
        <v/>
      </c>
      <c r="AH2156" s="10">
        <f>LEN(AC2156)+LEN(AG2156)</f>
        <v/>
      </c>
      <c r="AI2156" s="10">
        <f>LEN(L2156)</f>
        <v/>
      </c>
    </row>
    <row r="2157">
      <c r="J2157" s="12">
        <f>IF(F2157&lt;&gt;0,"LANÇAR","")</f>
        <v/>
      </c>
      <c r="L2157" s="13">
        <f>N2157&amp;O2157&amp;P2157&amp;Q2157&amp;R2157&amp;S2157&amp;T2157&amp;U2157&amp;V2157&amp;W2157&amp;X2157&amp;Y2157&amp;Z2157&amp;AA2157&amp;AB2157&amp;AC2157&amp;AD2157&amp;AE2157&amp;AF2157&amp;AG2157</f>
        <v/>
      </c>
      <c r="N2157" s="10">
        <f>TEXT($B$6,"00")</f>
        <v/>
      </c>
      <c r="O2157" s="10">
        <f>REPT(" ",8)</f>
        <v/>
      </c>
      <c r="P2157" s="10">
        <f>RIGHT($B$4,2)</f>
        <v/>
      </c>
      <c r="Q2157" s="10">
        <f>RIGHT($B$5,3)</f>
        <v/>
      </c>
      <c r="R2157" s="10">
        <f>IF(A2157="D",LEFT(UPPER(B2157)&amp;REPT(" ",20),20),REPT(" ",20))</f>
        <v/>
      </c>
      <c r="S2157" s="10">
        <f>IF(A2157="D",LEFT(UPPER(C2157)&amp;REPT(" ",10),10)," ")</f>
        <v/>
      </c>
      <c r="T2157" s="10">
        <f>IF(A2157="D",LEFT(UPPER(D2157)&amp;REPT(" ",2),2)," ")</f>
        <v/>
      </c>
      <c r="U2157" s="10">
        <f>IF(A2157="D",LEFT(UPPER(E2157)&amp;REPT(" ",15),15)," ")</f>
        <v/>
      </c>
      <c r="V2157" s="10">
        <f>REPT(" ",24)</f>
        <v/>
      </c>
      <c r="W2157" s="10">
        <f>IF(A2157="c",LEFT(UPPER(B2157)&amp;REPT(" ",20),20),REPT(" ",20))</f>
        <v/>
      </c>
      <c r="X2157" s="10">
        <f>IF(A2157="C",LEFT(UPPER(C2157)&amp;REPT(" ",10),10)," ")</f>
        <v/>
      </c>
      <c r="Y2157" s="10">
        <f>IF(A2157="C",LEFT(UPPER(D2157)&amp;REPT(" ",2),2)," ")</f>
        <v/>
      </c>
      <c r="Z2157" s="10">
        <f>IF(A2157="C",LEFT(UPPER(E2157)&amp;REPT(" ",15),15)," ")</f>
        <v/>
      </c>
      <c r="AA2157" s="10">
        <f>REPT(" ",8)</f>
        <v/>
      </c>
      <c r="AB2157" s="10">
        <f>REPT(" ",4)</f>
        <v/>
      </c>
      <c r="AC2157" s="10">
        <f>LEFT(UPPER(H2157)&amp;REPT(" ",250),250)</f>
        <v/>
      </c>
      <c r="AD2157" s="10">
        <f>TEXT($G$2,"dd/mm/aaaa")</f>
        <v/>
      </c>
      <c r="AE2157" s="10">
        <f>REPT(" ",10)</f>
        <v/>
      </c>
      <c r="AF2157" s="10">
        <f>REPT(" ",20)</f>
        <v/>
      </c>
      <c r="AG2157" s="54">
        <f>REPT(" ",18-LEN(FIXED(F2157,2,TRUE)))&amp;FIXED(F2157,2,TRUE)</f>
        <v/>
      </c>
      <c r="AH2157" s="10">
        <f>LEN(AC2157)+LEN(AG2157)</f>
        <v/>
      </c>
      <c r="AI2157" s="10">
        <f>LEN(L2157)</f>
        <v/>
      </c>
    </row>
    <row r="2158">
      <c r="J2158" s="12">
        <f>IF(F2158&lt;&gt;0,"LANÇAR","")</f>
        <v/>
      </c>
      <c r="L2158" s="13">
        <f>N2158&amp;O2158&amp;P2158&amp;Q2158&amp;R2158&amp;S2158&amp;T2158&amp;U2158&amp;V2158&amp;W2158&amp;X2158&amp;Y2158&amp;Z2158&amp;AA2158&amp;AB2158&amp;AC2158&amp;AD2158&amp;AE2158&amp;AF2158&amp;AG2158</f>
        <v/>
      </c>
      <c r="N2158" s="10">
        <f>TEXT($B$6,"00")</f>
        <v/>
      </c>
      <c r="O2158" s="10">
        <f>REPT(" ",8)</f>
        <v/>
      </c>
      <c r="P2158" s="10">
        <f>RIGHT($B$4,2)</f>
        <v/>
      </c>
      <c r="Q2158" s="10">
        <f>RIGHT($B$5,3)</f>
        <v/>
      </c>
      <c r="R2158" s="10">
        <f>IF(A2158="D",LEFT(UPPER(B2158)&amp;REPT(" ",20),20),REPT(" ",20))</f>
        <v/>
      </c>
      <c r="S2158" s="10">
        <f>IF(A2158="D",LEFT(UPPER(C2158)&amp;REPT(" ",10),10)," ")</f>
        <v/>
      </c>
      <c r="T2158" s="10">
        <f>IF(A2158="D",LEFT(UPPER(D2158)&amp;REPT(" ",2),2)," ")</f>
        <v/>
      </c>
      <c r="U2158" s="10">
        <f>IF(A2158="D",LEFT(UPPER(E2158)&amp;REPT(" ",15),15)," ")</f>
        <v/>
      </c>
      <c r="V2158" s="10">
        <f>REPT(" ",24)</f>
        <v/>
      </c>
      <c r="W2158" s="10">
        <f>IF(A2158="c",LEFT(UPPER(B2158)&amp;REPT(" ",20),20),REPT(" ",20))</f>
        <v/>
      </c>
      <c r="X2158" s="10">
        <f>IF(A2158="C",LEFT(UPPER(C2158)&amp;REPT(" ",10),10)," ")</f>
        <v/>
      </c>
      <c r="Y2158" s="10">
        <f>IF(A2158="C",LEFT(UPPER(D2158)&amp;REPT(" ",2),2)," ")</f>
        <v/>
      </c>
      <c r="Z2158" s="10">
        <f>IF(A2158="C",LEFT(UPPER(E2158)&amp;REPT(" ",15),15)," ")</f>
        <v/>
      </c>
      <c r="AA2158" s="10">
        <f>REPT(" ",8)</f>
        <v/>
      </c>
      <c r="AB2158" s="10">
        <f>REPT(" ",4)</f>
        <v/>
      </c>
      <c r="AC2158" s="10">
        <f>LEFT(UPPER(H2158)&amp;REPT(" ",250),250)</f>
        <v/>
      </c>
      <c r="AD2158" s="10">
        <f>TEXT($G$2,"dd/mm/aaaa")</f>
        <v/>
      </c>
      <c r="AE2158" s="10">
        <f>REPT(" ",10)</f>
        <v/>
      </c>
      <c r="AF2158" s="10">
        <f>REPT(" ",20)</f>
        <v/>
      </c>
      <c r="AG2158" s="54">
        <f>REPT(" ",18-LEN(FIXED(F2158,2,TRUE)))&amp;FIXED(F2158,2,TRUE)</f>
        <v/>
      </c>
      <c r="AH2158" s="10">
        <f>LEN(AC2158)+LEN(AG2158)</f>
        <v/>
      </c>
      <c r="AI2158" s="10">
        <f>LEN(L2158)</f>
        <v/>
      </c>
    </row>
    <row r="2159">
      <c r="J2159" s="12">
        <f>IF(F2159&lt;&gt;0,"LANÇAR","")</f>
        <v/>
      </c>
      <c r="L2159" s="13">
        <f>N2159&amp;O2159&amp;P2159&amp;Q2159&amp;R2159&amp;S2159&amp;T2159&amp;U2159&amp;V2159&amp;W2159&amp;X2159&amp;Y2159&amp;Z2159&amp;AA2159&amp;AB2159&amp;AC2159&amp;AD2159&amp;AE2159&amp;AF2159&amp;AG2159</f>
        <v/>
      </c>
      <c r="N2159" s="10">
        <f>TEXT($B$6,"00")</f>
        <v/>
      </c>
      <c r="O2159" s="10">
        <f>REPT(" ",8)</f>
        <v/>
      </c>
      <c r="P2159" s="10">
        <f>RIGHT($B$4,2)</f>
        <v/>
      </c>
      <c r="Q2159" s="10">
        <f>RIGHT($B$5,3)</f>
        <v/>
      </c>
      <c r="R2159" s="10">
        <f>IF(A2159="D",LEFT(UPPER(B2159)&amp;REPT(" ",20),20),REPT(" ",20))</f>
        <v/>
      </c>
      <c r="S2159" s="10">
        <f>IF(A2159="D",LEFT(UPPER(C2159)&amp;REPT(" ",10),10)," ")</f>
        <v/>
      </c>
      <c r="T2159" s="10">
        <f>IF(A2159="D",LEFT(UPPER(D2159)&amp;REPT(" ",2),2)," ")</f>
        <v/>
      </c>
      <c r="U2159" s="10">
        <f>IF(A2159="D",LEFT(UPPER(E2159)&amp;REPT(" ",15),15)," ")</f>
        <v/>
      </c>
      <c r="V2159" s="10">
        <f>REPT(" ",24)</f>
        <v/>
      </c>
      <c r="W2159" s="10">
        <f>IF(A2159="c",LEFT(UPPER(B2159)&amp;REPT(" ",20),20),REPT(" ",20))</f>
        <v/>
      </c>
      <c r="X2159" s="10">
        <f>IF(A2159="C",LEFT(UPPER(C2159)&amp;REPT(" ",10),10)," ")</f>
        <v/>
      </c>
      <c r="Y2159" s="10">
        <f>IF(A2159="C",LEFT(UPPER(D2159)&amp;REPT(" ",2),2)," ")</f>
        <v/>
      </c>
      <c r="Z2159" s="10">
        <f>IF(A2159="C",LEFT(UPPER(E2159)&amp;REPT(" ",15),15)," ")</f>
        <v/>
      </c>
      <c r="AA2159" s="10">
        <f>REPT(" ",8)</f>
        <v/>
      </c>
      <c r="AB2159" s="10">
        <f>REPT(" ",4)</f>
        <v/>
      </c>
      <c r="AC2159" s="10">
        <f>LEFT(UPPER(H2159)&amp;REPT(" ",250),250)</f>
        <v/>
      </c>
      <c r="AD2159" s="10">
        <f>TEXT($G$2,"dd/mm/aaaa")</f>
        <v/>
      </c>
      <c r="AE2159" s="10">
        <f>REPT(" ",10)</f>
        <v/>
      </c>
      <c r="AF2159" s="10">
        <f>REPT(" ",20)</f>
        <v/>
      </c>
      <c r="AG2159" s="54">
        <f>REPT(" ",18-LEN(FIXED(F2159,2,TRUE)))&amp;FIXED(F2159,2,TRUE)</f>
        <v/>
      </c>
      <c r="AH2159" s="10">
        <f>LEN(AC2159)+LEN(AG2159)</f>
        <v/>
      </c>
      <c r="AI2159" s="10">
        <f>LEN(L2159)</f>
        <v/>
      </c>
    </row>
    <row r="2160">
      <c r="J2160" s="12">
        <f>IF(F2160&lt;&gt;0,"LANÇAR","")</f>
        <v/>
      </c>
      <c r="L2160" s="13">
        <f>N2160&amp;O2160&amp;P2160&amp;Q2160&amp;R2160&amp;S2160&amp;T2160&amp;U2160&amp;V2160&amp;W2160&amp;X2160&amp;Y2160&amp;Z2160&amp;AA2160&amp;AB2160&amp;AC2160&amp;AD2160&amp;AE2160&amp;AF2160&amp;AG2160</f>
        <v/>
      </c>
      <c r="N2160" s="10">
        <f>TEXT($B$6,"00")</f>
        <v/>
      </c>
      <c r="O2160" s="10">
        <f>REPT(" ",8)</f>
        <v/>
      </c>
      <c r="P2160" s="10">
        <f>RIGHT($B$4,2)</f>
        <v/>
      </c>
      <c r="Q2160" s="10">
        <f>RIGHT($B$5,3)</f>
        <v/>
      </c>
      <c r="R2160" s="10">
        <f>IF(A2160="D",LEFT(UPPER(B2160)&amp;REPT(" ",20),20),REPT(" ",20))</f>
        <v/>
      </c>
      <c r="S2160" s="10">
        <f>IF(A2160="D",LEFT(UPPER(C2160)&amp;REPT(" ",10),10)," ")</f>
        <v/>
      </c>
      <c r="T2160" s="10">
        <f>IF(A2160="D",LEFT(UPPER(D2160)&amp;REPT(" ",2),2)," ")</f>
        <v/>
      </c>
      <c r="U2160" s="10">
        <f>IF(A2160="D",LEFT(UPPER(E2160)&amp;REPT(" ",15),15)," ")</f>
        <v/>
      </c>
      <c r="V2160" s="10">
        <f>REPT(" ",24)</f>
        <v/>
      </c>
      <c r="W2160" s="10">
        <f>IF(A2160="c",LEFT(UPPER(B2160)&amp;REPT(" ",20),20),REPT(" ",20))</f>
        <v/>
      </c>
      <c r="X2160" s="10">
        <f>IF(A2160="C",LEFT(UPPER(C2160)&amp;REPT(" ",10),10)," ")</f>
        <v/>
      </c>
      <c r="Y2160" s="10">
        <f>IF(A2160="C",LEFT(UPPER(D2160)&amp;REPT(" ",2),2)," ")</f>
        <v/>
      </c>
      <c r="Z2160" s="10">
        <f>IF(A2160="C",LEFT(UPPER(E2160)&amp;REPT(" ",15),15)," ")</f>
        <v/>
      </c>
      <c r="AA2160" s="10">
        <f>REPT(" ",8)</f>
        <v/>
      </c>
      <c r="AB2160" s="10">
        <f>REPT(" ",4)</f>
        <v/>
      </c>
      <c r="AC2160" s="10">
        <f>LEFT(UPPER(H2160)&amp;REPT(" ",250),250)</f>
        <v/>
      </c>
      <c r="AD2160" s="10">
        <f>TEXT($G$2,"dd/mm/aaaa")</f>
        <v/>
      </c>
      <c r="AE2160" s="10">
        <f>REPT(" ",10)</f>
        <v/>
      </c>
      <c r="AF2160" s="10">
        <f>REPT(" ",20)</f>
        <v/>
      </c>
      <c r="AG2160" s="54">
        <f>REPT(" ",18-LEN(FIXED(F2160,2,TRUE)))&amp;FIXED(F2160,2,TRUE)</f>
        <v/>
      </c>
      <c r="AH2160" s="10">
        <f>LEN(AC2160)+LEN(AG2160)</f>
        <v/>
      </c>
      <c r="AI2160" s="10">
        <f>LEN(L2160)</f>
        <v/>
      </c>
    </row>
    <row r="2161">
      <c r="J2161" s="12">
        <f>IF(F2161&lt;&gt;0,"LANÇAR","")</f>
        <v/>
      </c>
      <c r="L2161" s="13">
        <f>N2161&amp;O2161&amp;P2161&amp;Q2161&amp;R2161&amp;S2161&amp;T2161&amp;U2161&amp;V2161&amp;W2161&amp;X2161&amp;Y2161&amp;Z2161&amp;AA2161&amp;AB2161&amp;AC2161&amp;AD2161&amp;AE2161&amp;AF2161&amp;AG2161</f>
        <v/>
      </c>
      <c r="N2161" s="10">
        <f>TEXT($B$6,"00")</f>
        <v/>
      </c>
      <c r="O2161" s="10">
        <f>REPT(" ",8)</f>
        <v/>
      </c>
      <c r="P2161" s="10">
        <f>RIGHT($B$4,2)</f>
        <v/>
      </c>
      <c r="Q2161" s="10">
        <f>RIGHT($B$5,3)</f>
        <v/>
      </c>
      <c r="R2161" s="10">
        <f>IF(A2161="D",LEFT(UPPER(B2161)&amp;REPT(" ",20),20),REPT(" ",20))</f>
        <v/>
      </c>
      <c r="S2161" s="10">
        <f>IF(A2161="D",LEFT(UPPER(C2161)&amp;REPT(" ",10),10)," ")</f>
        <v/>
      </c>
      <c r="T2161" s="10">
        <f>IF(A2161="D",LEFT(UPPER(D2161)&amp;REPT(" ",2),2)," ")</f>
        <v/>
      </c>
      <c r="U2161" s="10">
        <f>IF(A2161="D",LEFT(UPPER(E2161)&amp;REPT(" ",15),15)," ")</f>
        <v/>
      </c>
      <c r="V2161" s="10">
        <f>REPT(" ",24)</f>
        <v/>
      </c>
      <c r="W2161" s="10">
        <f>IF(A2161="c",LEFT(UPPER(B2161)&amp;REPT(" ",20),20),REPT(" ",20))</f>
        <v/>
      </c>
      <c r="X2161" s="10">
        <f>IF(A2161="C",LEFT(UPPER(C2161)&amp;REPT(" ",10),10)," ")</f>
        <v/>
      </c>
      <c r="Y2161" s="10">
        <f>IF(A2161="C",LEFT(UPPER(D2161)&amp;REPT(" ",2),2)," ")</f>
        <v/>
      </c>
      <c r="Z2161" s="10">
        <f>IF(A2161="C",LEFT(UPPER(E2161)&amp;REPT(" ",15),15)," ")</f>
        <v/>
      </c>
      <c r="AA2161" s="10">
        <f>REPT(" ",8)</f>
        <v/>
      </c>
      <c r="AB2161" s="10">
        <f>REPT(" ",4)</f>
        <v/>
      </c>
      <c r="AC2161" s="10">
        <f>LEFT(UPPER(H2161)&amp;REPT(" ",250),250)</f>
        <v/>
      </c>
      <c r="AD2161" s="10">
        <f>TEXT($G$2,"dd/mm/aaaa")</f>
        <v/>
      </c>
      <c r="AE2161" s="10">
        <f>REPT(" ",10)</f>
        <v/>
      </c>
      <c r="AF2161" s="10">
        <f>REPT(" ",20)</f>
        <v/>
      </c>
      <c r="AG2161" s="54">
        <f>REPT(" ",18-LEN(FIXED(F2161,2,TRUE)))&amp;FIXED(F2161,2,TRUE)</f>
        <v/>
      </c>
      <c r="AH2161" s="10">
        <f>LEN(AC2161)+LEN(AG2161)</f>
        <v/>
      </c>
      <c r="AI2161" s="10">
        <f>LEN(L2161)</f>
        <v/>
      </c>
    </row>
    <row r="2162">
      <c r="J2162" s="12">
        <f>IF(F2162&lt;&gt;0,"LANÇAR","")</f>
        <v/>
      </c>
      <c r="L2162" s="13">
        <f>N2162&amp;O2162&amp;P2162&amp;Q2162&amp;R2162&amp;S2162&amp;T2162&amp;U2162&amp;V2162&amp;W2162&amp;X2162&amp;Y2162&amp;Z2162&amp;AA2162&amp;AB2162&amp;AC2162&amp;AD2162&amp;AE2162&amp;AF2162&amp;AG2162</f>
        <v/>
      </c>
      <c r="N2162" s="10">
        <f>TEXT($B$6,"00")</f>
        <v/>
      </c>
      <c r="O2162" s="10">
        <f>REPT(" ",8)</f>
        <v/>
      </c>
      <c r="P2162" s="10">
        <f>RIGHT($B$4,2)</f>
        <v/>
      </c>
      <c r="Q2162" s="10">
        <f>RIGHT($B$5,3)</f>
        <v/>
      </c>
      <c r="R2162" s="10">
        <f>IF(A2162="D",LEFT(UPPER(B2162)&amp;REPT(" ",20),20),REPT(" ",20))</f>
        <v/>
      </c>
      <c r="S2162" s="10">
        <f>IF(A2162="D",LEFT(UPPER(C2162)&amp;REPT(" ",10),10)," ")</f>
        <v/>
      </c>
      <c r="T2162" s="10">
        <f>IF(A2162="D",LEFT(UPPER(D2162)&amp;REPT(" ",2),2)," ")</f>
        <v/>
      </c>
      <c r="U2162" s="10">
        <f>IF(A2162="D",LEFT(UPPER(E2162)&amp;REPT(" ",15),15)," ")</f>
        <v/>
      </c>
      <c r="V2162" s="10">
        <f>REPT(" ",24)</f>
        <v/>
      </c>
      <c r="W2162" s="10">
        <f>IF(A2162="c",LEFT(UPPER(B2162)&amp;REPT(" ",20),20),REPT(" ",20))</f>
        <v/>
      </c>
      <c r="X2162" s="10">
        <f>IF(A2162="C",LEFT(UPPER(C2162)&amp;REPT(" ",10),10)," ")</f>
        <v/>
      </c>
      <c r="Y2162" s="10">
        <f>IF(A2162="C",LEFT(UPPER(D2162)&amp;REPT(" ",2),2)," ")</f>
        <v/>
      </c>
      <c r="Z2162" s="10">
        <f>IF(A2162="C",LEFT(UPPER(E2162)&amp;REPT(" ",15),15)," ")</f>
        <v/>
      </c>
      <c r="AA2162" s="10">
        <f>REPT(" ",8)</f>
        <v/>
      </c>
      <c r="AB2162" s="10">
        <f>REPT(" ",4)</f>
        <v/>
      </c>
      <c r="AC2162" s="10">
        <f>LEFT(UPPER(H2162)&amp;REPT(" ",250),250)</f>
        <v/>
      </c>
      <c r="AD2162" s="10">
        <f>TEXT($G$2,"dd/mm/aaaa")</f>
        <v/>
      </c>
      <c r="AE2162" s="10">
        <f>REPT(" ",10)</f>
        <v/>
      </c>
      <c r="AF2162" s="10">
        <f>REPT(" ",20)</f>
        <v/>
      </c>
      <c r="AG2162" s="54">
        <f>REPT(" ",18-LEN(FIXED(F2162,2,TRUE)))&amp;FIXED(F2162,2,TRUE)</f>
        <v/>
      </c>
      <c r="AH2162" s="10">
        <f>LEN(AC2162)+LEN(AG2162)</f>
        <v/>
      </c>
      <c r="AI2162" s="10">
        <f>LEN(L2162)</f>
        <v/>
      </c>
    </row>
    <row r="2163">
      <c r="J2163" s="12">
        <f>IF(F2163&lt;&gt;0,"LANÇAR","")</f>
        <v/>
      </c>
      <c r="L2163" s="13">
        <f>N2163&amp;O2163&amp;P2163&amp;Q2163&amp;R2163&amp;S2163&amp;T2163&amp;U2163&amp;V2163&amp;W2163&amp;X2163&amp;Y2163&amp;Z2163&amp;AA2163&amp;AB2163&amp;AC2163&amp;AD2163&amp;AE2163&amp;AF2163&amp;AG2163</f>
        <v/>
      </c>
      <c r="N2163" s="10">
        <f>TEXT($B$6,"00")</f>
        <v/>
      </c>
      <c r="O2163" s="10">
        <f>REPT(" ",8)</f>
        <v/>
      </c>
      <c r="P2163" s="10">
        <f>RIGHT($B$4,2)</f>
        <v/>
      </c>
      <c r="Q2163" s="10">
        <f>RIGHT($B$5,3)</f>
        <v/>
      </c>
      <c r="R2163" s="10">
        <f>IF(A2163="D",LEFT(UPPER(B2163)&amp;REPT(" ",20),20),REPT(" ",20))</f>
        <v/>
      </c>
      <c r="S2163" s="10">
        <f>IF(A2163="D",LEFT(UPPER(C2163)&amp;REPT(" ",10),10)," ")</f>
        <v/>
      </c>
      <c r="T2163" s="10">
        <f>IF(A2163="D",LEFT(UPPER(D2163)&amp;REPT(" ",2),2)," ")</f>
        <v/>
      </c>
      <c r="U2163" s="10">
        <f>IF(A2163="D",LEFT(UPPER(E2163)&amp;REPT(" ",15),15)," ")</f>
        <v/>
      </c>
      <c r="V2163" s="10">
        <f>REPT(" ",24)</f>
        <v/>
      </c>
      <c r="W2163" s="10">
        <f>IF(A2163="c",LEFT(UPPER(B2163)&amp;REPT(" ",20),20),REPT(" ",20))</f>
        <v/>
      </c>
      <c r="X2163" s="10">
        <f>IF(A2163="C",LEFT(UPPER(C2163)&amp;REPT(" ",10),10)," ")</f>
        <v/>
      </c>
      <c r="Y2163" s="10">
        <f>IF(A2163="C",LEFT(UPPER(D2163)&amp;REPT(" ",2),2)," ")</f>
        <v/>
      </c>
      <c r="Z2163" s="10">
        <f>IF(A2163="C",LEFT(UPPER(E2163)&amp;REPT(" ",15),15)," ")</f>
        <v/>
      </c>
      <c r="AA2163" s="10">
        <f>REPT(" ",8)</f>
        <v/>
      </c>
      <c r="AB2163" s="10">
        <f>REPT(" ",4)</f>
        <v/>
      </c>
      <c r="AC2163" s="10">
        <f>LEFT(UPPER(H2163)&amp;REPT(" ",250),250)</f>
        <v/>
      </c>
      <c r="AD2163" s="10">
        <f>TEXT($G$2,"dd/mm/aaaa")</f>
        <v/>
      </c>
      <c r="AE2163" s="10">
        <f>REPT(" ",10)</f>
        <v/>
      </c>
      <c r="AF2163" s="10">
        <f>REPT(" ",20)</f>
        <v/>
      </c>
      <c r="AG2163" s="54">
        <f>REPT(" ",18-LEN(FIXED(F2163,2,TRUE)))&amp;FIXED(F2163,2,TRUE)</f>
        <v/>
      </c>
      <c r="AH2163" s="10">
        <f>LEN(AC2163)+LEN(AG2163)</f>
        <v/>
      </c>
      <c r="AI2163" s="10">
        <f>LEN(L2163)</f>
        <v/>
      </c>
    </row>
    <row r="2164">
      <c r="J2164" s="12">
        <f>IF(F2164&lt;&gt;0,"LANÇAR","")</f>
        <v/>
      </c>
      <c r="L2164" s="13">
        <f>N2164&amp;O2164&amp;P2164&amp;Q2164&amp;R2164&amp;S2164&amp;T2164&amp;U2164&amp;V2164&amp;W2164&amp;X2164&amp;Y2164&amp;Z2164&amp;AA2164&amp;AB2164&amp;AC2164&amp;AD2164&amp;AE2164&amp;AF2164&amp;AG2164</f>
        <v/>
      </c>
      <c r="N2164" s="10">
        <f>TEXT($B$6,"00")</f>
        <v/>
      </c>
      <c r="O2164" s="10">
        <f>REPT(" ",8)</f>
        <v/>
      </c>
      <c r="P2164" s="10">
        <f>RIGHT($B$4,2)</f>
        <v/>
      </c>
      <c r="Q2164" s="10">
        <f>RIGHT($B$5,3)</f>
        <v/>
      </c>
      <c r="R2164" s="10">
        <f>IF(A2164="D",LEFT(UPPER(B2164)&amp;REPT(" ",20),20),REPT(" ",20))</f>
        <v/>
      </c>
      <c r="S2164" s="10">
        <f>IF(A2164="D",LEFT(UPPER(C2164)&amp;REPT(" ",10),10)," ")</f>
        <v/>
      </c>
      <c r="T2164" s="10">
        <f>IF(A2164="D",LEFT(UPPER(D2164)&amp;REPT(" ",2),2)," ")</f>
        <v/>
      </c>
      <c r="U2164" s="10">
        <f>IF(A2164="D",LEFT(UPPER(E2164)&amp;REPT(" ",15),15)," ")</f>
        <v/>
      </c>
      <c r="V2164" s="10">
        <f>REPT(" ",24)</f>
        <v/>
      </c>
      <c r="W2164" s="10">
        <f>IF(A2164="c",LEFT(UPPER(B2164)&amp;REPT(" ",20),20),REPT(" ",20))</f>
        <v/>
      </c>
      <c r="X2164" s="10">
        <f>IF(A2164="C",LEFT(UPPER(C2164)&amp;REPT(" ",10),10)," ")</f>
        <v/>
      </c>
      <c r="Y2164" s="10">
        <f>IF(A2164="C",LEFT(UPPER(D2164)&amp;REPT(" ",2),2)," ")</f>
        <v/>
      </c>
      <c r="Z2164" s="10">
        <f>IF(A2164="C",LEFT(UPPER(E2164)&amp;REPT(" ",15),15)," ")</f>
        <v/>
      </c>
      <c r="AA2164" s="10">
        <f>REPT(" ",8)</f>
        <v/>
      </c>
      <c r="AB2164" s="10">
        <f>REPT(" ",4)</f>
        <v/>
      </c>
      <c r="AC2164" s="10">
        <f>LEFT(UPPER(H2164)&amp;REPT(" ",250),250)</f>
        <v/>
      </c>
      <c r="AD2164" s="10">
        <f>TEXT($G$2,"dd/mm/aaaa")</f>
        <v/>
      </c>
      <c r="AE2164" s="10">
        <f>REPT(" ",10)</f>
        <v/>
      </c>
      <c r="AF2164" s="10">
        <f>REPT(" ",20)</f>
        <v/>
      </c>
      <c r="AG2164" s="54">
        <f>REPT(" ",18-LEN(FIXED(F2164,2,TRUE)))&amp;FIXED(F2164,2,TRUE)</f>
        <v/>
      </c>
      <c r="AH2164" s="10">
        <f>LEN(AC2164)+LEN(AG2164)</f>
        <v/>
      </c>
      <c r="AI2164" s="10">
        <f>LEN(L2164)</f>
        <v/>
      </c>
    </row>
    <row r="2165">
      <c r="J2165" s="12">
        <f>IF(F2165&lt;&gt;0,"LANÇAR","")</f>
        <v/>
      </c>
      <c r="L2165" s="13">
        <f>N2165&amp;O2165&amp;P2165&amp;Q2165&amp;R2165&amp;S2165&amp;T2165&amp;U2165&amp;V2165&amp;W2165&amp;X2165&amp;Y2165&amp;Z2165&amp;AA2165&amp;AB2165&amp;AC2165&amp;AD2165&amp;AE2165&amp;AF2165&amp;AG2165</f>
        <v/>
      </c>
      <c r="N2165" s="10">
        <f>TEXT($B$6,"00")</f>
        <v/>
      </c>
      <c r="O2165" s="10">
        <f>REPT(" ",8)</f>
        <v/>
      </c>
      <c r="P2165" s="10">
        <f>RIGHT($B$4,2)</f>
        <v/>
      </c>
      <c r="Q2165" s="10">
        <f>RIGHT($B$5,3)</f>
        <v/>
      </c>
      <c r="R2165" s="10">
        <f>IF(A2165="D",LEFT(UPPER(B2165)&amp;REPT(" ",20),20),REPT(" ",20))</f>
        <v/>
      </c>
      <c r="S2165" s="10">
        <f>IF(A2165="D",LEFT(UPPER(C2165)&amp;REPT(" ",10),10)," ")</f>
        <v/>
      </c>
      <c r="T2165" s="10">
        <f>IF(A2165="D",LEFT(UPPER(D2165)&amp;REPT(" ",2),2)," ")</f>
        <v/>
      </c>
      <c r="U2165" s="10">
        <f>IF(A2165="D",LEFT(UPPER(E2165)&amp;REPT(" ",15),15)," ")</f>
        <v/>
      </c>
      <c r="V2165" s="10">
        <f>REPT(" ",24)</f>
        <v/>
      </c>
      <c r="W2165" s="10">
        <f>IF(A2165="c",LEFT(UPPER(B2165)&amp;REPT(" ",20),20),REPT(" ",20))</f>
        <v/>
      </c>
      <c r="X2165" s="10">
        <f>IF(A2165="C",LEFT(UPPER(C2165)&amp;REPT(" ",10),10)," ")</f>
        <v/>
      </c>
      <c r="Y2165" s="10">
        <f>IF(A2165="C",LEFT(UPPER(D2165)&amp;REPT(" ",2),2)," ")</f>
        <v/>
      </c>
      <c r="Z2165" s="10">
        <f>IF(A2165="C",LEFT(UPPER(E2165)&amp;REPT(" ",15),15)," ")</f>
        <v/>
      </c>
      <c r="AA2165" s="10">
        <f>REPT(" ",8)</f>
        <v/>
      </c>
      <c r="AB2165" s="10">
        <f>REPT(" ",4)</f>
        <v/>
      </c>
      <c r="AC2165" s="10">
        <f>LEFT(UPPER(H2165)&amp;REPT(" ",250),250)</f>
        <v/>
      </c>
      <c r="AD2165" s="10">
        <f>TEXT($G$2,"dd/mm/aaaa")</f>
        <v/>
      </c>
      <c r="AE2165" s="10">
        <f>REPT(" ",10)</f>
        <v/>
      </c>
      <c r="AF2165" s="10">
        <f>REPT(" ",20)</f>
        <v/>
      </c>
      <c r="AG2165" s="54">
        <f>REPT(" ",18-LEN(FIXED(F2165,2,TRUE)))&amp;FIXED(F2165,2,TRUE)</f>
        <v/>
      </c>
      <c r="AH2165" s="10">
        <f>LEN(AC2165)+LEN(AG2165)</f>
        <v/>
      </c>
      <c r="AI2165" s="10">
        <f>LEN(L2165)</f>
        <v/>
      </c>
    </row>
    <row r="2166">
      <c r="J2166" s="12">
        <f>IF(F2166&lt;&gt;0,"LANÇAR","")</f>
        <v/>
      </c>
      <c r="L2166" s="13">
        <f>N2166&amp;O2166&amp;P2166&amp;Q2166&amp;R2166&amp;S2166&amp;T2166&amp;U2166&amp;V2166&amp;W2166&amp;X2166&amp;Y2166&amp;Z2166&amp;AA2166&amp;AB2166&amp;AC2166&amp;AD2166&amp;AE2166&amp;AF2166&amp;AG2166</f>
        <v/>
      </c>
      <c r="N2166" s="10">
        <f>TEXT($B$6,"00")</f>
        <v/>
      </c>
      <c r="O2166" s="10">
        <f>REPT(" ",8)</f>
        <v/>
      </c>
      <c r="P2166" s="10">
        <f>RIGHT($B$4,2)</f>
        <v/>
      </c>
      <c r="Q2166" s="10">
        <f>RIGHT($B$5,3)</f>
        <v/>
      </c>
      <c r="R2166" s="10">
        <f>IF(A2166="D",LEFT(UPPER(B2166)&amp;REPT(" ",20),20),REPT(" ",20))</f>
        <v/>
      </c>
      <c r="S2166" s="10">
        <f>IF(A2166="D",LEFT(UPPER(C2166)&amp;REPT(" ",10),10)," ")</f>
        <v/>
      </c>
      <c r="T2166" s="10">
        <f>IF(A2166="D",LEFT(UPPER(D2166)&amp;REPT(" ",2),2)," ")</f>
        <v/>
      </c>
      <c r="U2166" s="10">
        <f>IF(A2166="D",LEFT(UPPER(E2166)&amp;REPT(" ",15),15)," ")</f>
        <v/>
      </c>
      <c r="V2166" s="10">
        <f>REPT(" ",24)</f>
        <v/>
      </c>
      <c r="W2166" s="10">
        <f>IF(A2166="c",LEFT(UPPER(B2166)&amp;REPT(" ",20),20),REPT(" ",20))</f>
        <v/>
      </c>
      <c r="X2166" s="10">
        <f>IF(A2166="C",LEFT(UPPER(C2166)&amp;REPT(" ",10),10)," ")</f>
        <v/>
      </c>
      <c r="Y2166" s="10">
        <f>IF(A2166="C",LEFT(UPPER(D2166)&amp;REPT(" ",2),2)," ")</f>
        <v/>
      </c>
      <c r="Z2166" s="10">
        <f>IF(A2166="C",LEFT(UPPER(E2166)&amp;REPT(" ",15),15)," ")</f>
        <v/>
      </c>
      <c r="AA2166" s="10">
        <f>REPT(" ",8)</f>
        <v/>
      </c>
      <c r="AB2166" s="10">
        <f>REPT(" ",4)</f>
        <v/>
      </c>
      <c r="AC2166" s="10">
        <f>LEFT(UPPER(H2166)&amp;REPT(" ",250),250)</f>
        <v/>
      </c>
      <c r="AD2166" s="10">
        <f>TEXT($G$2,"dd/mm/aaaa")</f>
        <v/>
      </c>
      <c r="AE2166" s="10">
        <f>REPT(" ",10)</f>
        <v/>
      </c>
      <c r="AF2166" s="10">
        <f>REPT(" ",20)</f>
        <v/>
      </c>
      <c r="AG2166" s="54">
        <f>REPT(" ",18-LEN(FIXED(F2166,2,TRUE)))&amp;FIXED(F2166,2,TRUE)</f>
        <v/>
      </c>
      <c r="AH2166" s="10">
        <f>LEN(AC2166)+LEN(AG2166)</f>
        <v/>
      </c>
      <c r="AI2166" s="10">
        <f>LEN(L2166)</f>
        <v/>
      </c>
    </row>
    <row r="2167">
      <c r="J2167" s="12">
        <f>IF(F2167&lt;&gt;0,"LANÇAR","")</f>
        <v/>
      </c>
      <c r="L2167" s="13">
        <f>N2167&amp;O2167&amp;P2167&amp;Q2167&amp;R2167&amp;S2167&amp;T2167&amp;U2167&amp;V2167&amp;W2167&amp;X2167&amp;Y2167&amp;Z2167&amp;AA2167&amp;AB2167&amp;AC2167&amp;AD2167&amp;AE2167&amp;AF2167&amp;AG2167</f>
        <v/>
      </c>
      <c r="N2167" s="10">
        <f>TEXT($B$6,"00")</f>
        <v/>
      </c>
      <c r="O2167" s="10">
        <f>REPT(" ",8)</f>
        <v/>
      </c>
      <c r="P2167" s="10">
        <f>RIGHT($B$4,2)</f>
        <v/>
      </c>
      <c r="Q2167" s="10">
        <f>RIGHT($B$5,3)</f>
        <v/>
      </c>
      <c r="R2167" s="10">
        <f>IF(A2167="D",LEFT(UPPER(B2167)&amp;REPT(" ",20),20),REPT(" ",20))</f>
        <v/>
      </c>
      <c r="S2167" s="10">
        <f>IF(A2167="D",LEFT(UPPER(C2167)&amp;REPT(" ",10),10)," ")</f>
        <v/>
      </c>
      <c r="T2167" s="10">
        <f>IF(A2167="D",LEFT(UPPER(D2167)&amp;REPT(" ",2),2)," ")</f>
        <v/>
      </c>
      <c r="U2167" s="10">
        <f>IF(A2167="D",LEFT(UPPER(E2167)&amp;REPT(" ",15),15)," ")</f>
        <v/>
      </c>
      <c r="V2167" s="10">
        <f>REPT(" ",24)</f>
        <v/>
      </c>
      <c r="W2167" s="10">
        <f>IF(A2167="c",LEFT(UPPER(B2167)&amp;REPT(" ",20),20),REPT(" ",20))</f>
        <v/>
      </c>
      <c r="X2167" s="10">
        <f>IF(A2167="C",LEFT(UPPER(C2167)&amp;REPT(" ",10),10)," ")</f>
        <v/>
      </c>
      <c r="Y2167" s="10">
        <f>IF(A2167="C",LEFT(UPPER(D2167)&amp;REPT(" ",2),2)," ")</f>
        <v/>
      </c>
      <c r="Z2167" s="10">
        <f>IF(A2167="C",LEFT(UPPER(E2167)&amp;REPT(" ",15),15)," ")</f>
        <v/>
      </c>
      <c r="AA2167" s="10">
        <f>REPT(" ",8)</f>
        <v/>
      </c>
      <c r="AB2167" s="10">
        <f>REPT(" ",4)</f>
        <v/>
      </c>
      <c r="AC2167" s="10">
        <f>LEFT(UPPER(H2167)&amp;REPT(" ",250),250)</f>
        <v/>
      </c>
      <c r="AD2167" s="10">
        <f>TEXT($G$2,"dd/mm/aaaa")</f>
        <v/>
      </c>
      <c r="AE2167" s="10">
        <f>REPT(" ",10)</f>
        <v/>
      </c>
      <c r="AF2167" s="10">
        <f>REPT(" ",20)</f>
        <v/>
      </c>
      <c r="AG2167" s="54">
        <f>REPT(" ",18-LEN(FIXED(F2167,2,TRUE)))&amp;FIXED(F2167,2,TRUE)</f>
        <v/>
      </c>
      <c r="AH2167" s="10">
        <f>LEN(AC2167)+LEN(AG2167)</f>
        <v/>
      </c>
      <c r="AI2167" s="10">
        <f>LEN(L2167)</f>
        <v/>
      </c>
    </row>
    <row r="2168">
      <c r="J2168" s="12">
        <f>IF(F2168&lt;&gt;0,"LANÇAR","")</f>
        <v/>
      </c>
      <c r="L2168" s="13">
        <f>N2168&amp;O2168&amp;P2168&amp;Q2168&amp;R2168&amp;S2168&amp;T2168&amp;U2168&amp;V2168&amp;W2168&amp;X2168&amp;Y2168&amp;Z2168&amp;AA2168&amp;AB2168&amp;AC2168&amp;AD2168&amp;AE2168&amp;AF2168&amp;AG2168</f>
        <v/>
      </c>
      <c r="N2168" s="10">
        <f>TEXT($B$6,"00")</f>
        <v/>
      </c>
      <c r="O2168" s="10">
        <f>REPT(" ",8)</f>
        <v/>
      </c>
      <c r="P2168" s="10">
        <f>RIGHT($B$4,2)</f>
        <v/>
      </c>
      <c r="Q2168" s="10">
        <f>RIGHT($B$5,3)</f>
        <v/>
      </c>
      <c r="R2168" s="10">
        <f>IF(A2168="D",LEFT(UPPER(B2168)&amp;REPT(" ",20),20),REPT(" ",20))</f>
        <v/>
      </c>
      <c r="S2168" s="10">
        <f>IF(A2168="D",LEFT(UPPER(C2168)&amp;REPT(" ",10),10)," ")</f>
        <v/>
      </c>
      <c r="T2168" s="10">
        <f>IF(A2168="D",LEFT(UPPER(D2168)&amp;REPT(" ",2),2)," ")</f>
        <v/>
      </c>
      <c r="U2168" s="10">
        <f>IF(A2168="D",LEFT(UPPER(E2168)&amp;REPT(" ",15),15)," ")</f>
        <v/>
      </c>
      <c r="V2168" s="10">
        <f>REPT(" ",24)</f>
        <v/>
      </c>
      <c r="W2168" s="10">
        <f>IF(A2168="c",LEFT(UPPER(B2168)&amp;REPT(" ",20),20),REPT(" ",20))</f>
        <v/>
      </c>
      <c r="X2168" s="10">
        <f>IF(A2168="C",LEFT(UPPER(C2168)&amp;REPT(" ",10),10)," ")</f>
        <v/>
      </c>
      <c r="Y2168" s="10">
        <f>IF(A2168="C",LEFT(UPPER(D2168)&amp;REPT(" ",2),2)," ")</f>
        <v/>
      </c>
      <c r="Z2168" s="10">
        <f>IF(A2168="C",LEFT(UPPER(E2168)&amp;REPT(" ",15),15)," ")</f>
        <v/>
      </c>
      <c r="AA2168" s="10">
        <f>REPT(" ",8)</f>
        <v/>
      </c>
      <c r="AB2168" s="10">
        <f>REPT(" ",4)</f>
        <v/>
      </c>
      <c r="AC2168" s="10">
        <f>LEFT(UPPER(H2168)&amp;REPT(" ",250),250)</f>
        <v/>
      </c>
      <c r="AD2168" s="10">
        <f>TEXT($G$2,"dd/mm/aaaa")</f>
        <v/>
      </c>
      <c r="AE2168" s="10">
        <f>REPT(" ",10)</f>
        <v/>
      </c>
      <c r="AF2168" s="10">
        <f>REPT(" ",20)</f>
        <v/>
      </c>
      <c r="AG2168" s="54">
        <f>REPT(" ",18-LEN(FIXED(F2168,2,TRUE)))&amp;FIXED(F2168,2,TRUE)</f>
        <v/>
      </c>
      <c r="AH2168" s="10">
        <f>LEN(AC2168)+LEN(AG2168)</f>
        <v/>
      </c>
      <c r="AI2168" s="10">
        <f>LEN(L2168)</f>
        <v/>
      </c>
    </row>
    <row r="2169">
      <c r="J2169" s="12">
        <f>IF(F2169&lt;&gt;0,"LANÇAR","")</f>
        <v/>
      </c>
      <c r="L2169" s="13">
        <f>N2169&amp;O2169&amp;P2169&amp;Q2169&amp;R2169&amp;S2169&amp;T2169&amp;U2169&amp;V2169&amp;W2169&amp;X2169&amp;Y2169&amp;Z2169&amp;AA2169&amp;AB2169&amp;AC2169&amp;AD2169&amp;AE2169&amp;AF2169&amp;AG2169</f>
        <v/>
      </c>
      <c r="N2169" s="10">
        <f>TEXT($B$6,"00")</f>
        <v/>
      </c>
      <c r="O2169" s="10">
        <f>REPT(" ",8)</f>
        <v/>
      </c>
      <c r="P2169" s="10">
        <f>RIGHT($B$4,2)</f>
        <v/>
      </c>
      <c r="Q2169" s="10">
        <f>RIGHT($B$5,3)</f>
        <v/>
      </c>
      <c r="R2169" s="10">
        <f>IF(A2169="D",LEFT(UPPER(B2169)&amp;REPT(" ",20),20),REPT(" ",20))</f>
        <v/>
      </c>
      <c r="S2169" s="10">
        <f>IF(A2169="D",LEFT(UPPER(C2169)&amp;REPT(" ",10),10)," ")</f>
        <v/>
      </c>
      <c r="T2169" s="10">
        <f>IF(A2169="D",LEFT(UPPER(D2169)&amp;REPT(" ",2),2)," ")</f>
        <v/>
      </c>
      <c r="U2169" s="10">
        <f>IF(A2169="D",LEFT(UPPER(E2169)&amp;REPT(" ",15),15)," ")</f>
        <v/>
      </c>
      <c r="V2169" s="10">
        <f>REPT(" ",24)</f>
        <v/>
      </c>
      <c r="W2169" s="10">
        <f>IF(A2169="c",LEFT(UPPER(B2169)&amp;REPT(" ",20),20),REPT(" ",20))</f>
        <v/>
      </c>
      <c r="X2169" s="10">
        <f>IF(A2169="C",LEFT(UPPER(C2169)&amp;REPT(" ",10),10)," ")</f>
        <v/>
      </c>
      <c r="Y2169" s="10">
        <f>IF(A2169="C",LEFT(UPPER(D2169)&amp;REPT(" ",2),2)," ")</f>
        <v/>
      </c>
      <c r="Z2169" s="10">
        <f>IF(A2169="C",LEFT(UPPER(E2169)&amp;REPT(" ",15),15)," ")</f>
        <v/>
      </c>
      <c r="AA2169" s="10">
        <f>REPT(" ",8)</f>
        <v/>
      </c>
      <c r="AB2169" s="10">
        <f>REPT(" ",4)</f>
        <v/>
      </c>
      <c r="AC2169" s="10">
        <f>LEFT(UPPER(H2169)&amp;REPT(" ",250),250)</f>
        <v/>
      </c>
      <c r="AD2169" s="10">
        <f>TEXT($G$2,"dd/mm/aaaa")</f>
        <v/>
      </c>
      <c r="AE2169" s="10">
        <f>REPT(" ",10)</f>
        <v/>
      </c>
      <c r="AF2169" s="10">
        <f>REPT(" ",20)</f>
        <v/>
      </c>
      <c r="AG2169" s="54">
        <f>REPT(" ",18-LEN(FIXED(F2169,2,TRUE)))&amp;FIXED(F2169,2,TRUE)</f>
        <v/>
      </c>
      <c r="AH2169" s="10">
        <f>LEN(AC2169)+LEN(AG2169)</f>
        <v/>
      </c>
      <c r="AI2169" s="10">
        <f>LEN(L2169)</f>
        <v/>
      </c>
    </row>
    <row r="2170">
      <c r="J2170" s="12">
        <f>IF(F2170&lt;&gt;0,"LANÇAR","")</f>
        <v/>
      </c>
      <c r="L2170" s="13">
        <f>N2170&amp;O2170&amp;P2170&amp;Q2170&amp;R2170&amp;S2170&amp;T2170&amp;U2170&amp;V2170&amp;W2170&amp;X2170&amp;Y2170&amp;Z2170&amp;AA2170&amp;AB2170&amp;AC2170&amp;AD2170&amp;AE2170&amp;AF2170&amp;AG2170</f>
        <v/>
      </c>
      <c r="N2170" s="10">
        <f>TEXT($B$6,"00")</f>
        <v/>
      </c>
      <c r="O2170" s="10">
        <f>REPT(" ",8)</f>
        <v/>
      </c>
      <c r="P2170" s="10">
        <f>RIGHT($B$4,2)</f>
        <v/>
      </c>
      <c r="Q2170" s="10">
        <f>RIGHT($B$5,3)</f>
        <v/>
      </c>
      <c r="R2170" s="10">
        <f>IF(A2170="D",LEFT(UPPER(B2170)&amp;REPT(" ",20),20),REPT(" ",20))</f>
        <v/>
      </c>
      <c r="S2170" s="10">
        <f>IF(A2170="D",LEFT(UPPER(C2170)&amp;REPT(" ",10),10)," ")</f>
        <v/>
      </c>
      <c r="T2170" s="10">
        <f>IF(A2170="D",LEFT(UPPER(D2170)&amp;REPT(" ",2),2)," ")</f>
        <v/>
      </c>
      <c r="U2170" s="10">
        <f>IF(A2170="D",LEFT(UPPER(E2170)&amp;REPT(" ",15),15)," ")</f>
        <v/>
      </c>
      <c r="V2170" s="10">
        <f>REPT(" ",24)</f>
        <v/>
      </c>
      <c r="W2170" s="10">
        <f>IF(A2170="c",LEFT(UPPER(B2170)&amp;REPT(" ",20),20),REPT(" ",20))</f>
        <v/>
      </c>
      <c r="X2170" s="10">
        <f>IF(A2170="C",LEFT(UPPER(C2170)&amp;REPT(" ",10),10)," ")</f>
        <v/>
      </c>
      <c r="Y2170" s="10">
        <f>IF(A2170="C",LEFT(UPPER(D2170)&amp;REPT(" ",2),2)," ")</f>
        <v/>
      </c>
      <c r="Z2170" s="10">
        <f>IF(A2170="C",LEFT(UPPER(E2170)&amp;REPT(" ",15),15)," ")</f>
        <v/>
      </c>
      <c r="AA2170" s="10">
        <f>REPT(" ",8)</f>
        <v/>
      </c>
      <c r="AB2170" s="10">
        <f>REPT(" ",4)</f>
        <v/>
      </c>
      <c r="AC2170" s="10">
        <f>LEFT(UPPER(H2170)&amp;REPT(" ",250),250)</f>
        <v/>
      </c>
      <c r="AD2170" s="10">
        <f>TEXT($G$2,"dd/mm/aaaa")</f>
        <v/>
      </c>
      <c r="AE2170" s="10">
        <f>REPT(" ",10)</f>
        <v/>
      </c>
      <c r="AF2170" s="10">
        <f>REPT(" ",20)</f>
        <v/>
      </c>
      <c r="AG2170" s="54">
        <f>REPT(" ",18-LEN(FIXED(F2170,2,TRUE)))&amp;FIXED(F2170,2,TRUE)</f>
        <v/>
      </c>
      <c r="AH2170" s="10">
        <f>LEN(AC2170)+LEN(AG2170)</f>
        <v/>
      </c>
      <c r="AI2170" s="10">
        <f>LEN(L2170)</f>
        <v/>
      </c>
    </row>
    <row r="2171">
      <c r="J2171" s="12">
        <f>IF(F2171&lt;&gt;0,"LANÇAR","")</f>
        <v/>
      </c>
      <c r="L2171" s="13">
        <f>N2171&amp;O2171&amp;P2171&amp;Q2171&amp;R2171&amp;S2171&amp;T2171&amp;U2171&amp;V2171&amp;W2171&amp;X2171&amp;Y2171&amp;Z2171&amp;AA2171&amp;AB2171&amp;AC2171&amp;AD2171&amp;AE2171&amp;AF2171&amp;AG2171</f>
        <v/>
      </c>
      <c r="N2171" s="10">
        <f>TEXT($B$6,"00")</f>
        <v/>
      </c>
      <c r="O2171" s="10">
        <f>REPT(" ",8)</f>
        <v/>
      </c>
      <c r="P2171" s="10">
        <f>RIGHT($B$4,2)</f>
        <v/>
      </c>
      <c r="Q2171" s="10">
        <f>RIGHT($B$5,3)</f>
        <v/>
      </c>
      <c r="R2171" s="10">
        <f>IF(A2171="D",LEFT(UPPER(B2171)&amp;REPT(" ",20),20),REPT(" ",20))</f>
        <v/>
      </c>
      <c r="S2171" s="10">
        <f>IF(A2171="D",LEFT(UPPER(C2171)&amp;REPT(" ",10),10)," ")</f>
        <v/>
      </c>
      <c r="T2171" s="10">
        <f>IF(A2171="D",LEFT(UPPER(D2171)&amp;REPT(" ",2),2)," ")</f>
        <v/>
      </c>
      <c r="U2171" s="10">
        <f>IF(A2171="D",LEFT(UPPER(E2171)&amp;REPT(" ",15),15)," ")</f>
        <v/>
      </c>
      <c r="V2171" s="10">
        <f>REPT(" ",24)</f>
        <v/>
      </c>
      <c r="W2171" s="10">
        <f>IF(A2171="c",LEFT(UPPER(B2171)&amp;REPT(" ",20),20),REPT(" ",20))</f>
        <v/>
      </c>
      <c r="X2171" s="10">
        <f>IF(A2171="C",LEFT(UPPER(C2171)&amp;REPT(" ",10),10)," ")</f>
        <v/>
      </c>
      <c r="Y2171" s="10">
        <f>IF(A2171="C",LEFT(UPPER(D2171)&amp;REPT(" ",2),2)," ")</f>
        <v/>
      </c>
      <c r="Z2171" s="10">
        <f>IF(A2171="C",LEFT(UPPER(E2171)&amp;REPT(" ",15),15)," ")</f>
        <v/>
      </c>
      <c r="AA2171" s="10">
        <f>REPT(" ",8)</f>
        <v/>
      </c>
      <c r="AB2171" s="10">
        <f>REPT(" ",4)</f>
        <v/>
      </c>
      <c r="AC2171" s="10">
        <f>LEFT(UPPER(H2171)&amp;REPT(" ",250),250)</f>
        <v/>
      </c>
      <c r="AD2171" s="10">
        <f>TEXT($G$2,"dd/mm/aaaa")</f>
        <v/>
      </c>
      <c r="AE2171" s="10">
        <f>REPT(" ",10)</f>
        <v/>
      </c>
      <c r="AF2171" s="10">
        <f>REPT(" ",20)</f>
        <v/>
      </c>
      <c r="AG2171" s="54">
        <f>REPT(" ",18-LEN(FIXED(F2171,2,TRUE)))&amp;FIXED(F2171,2,TRUE)</f>
        <v/>
      </c>
      <c r="AH2171" s="10">
        <f>LEN(AC2171)+LEN(AG2171)</f>
        <v/>
      </c>
      <c r="AI2171" s="10">
        <f>LEN(L2171)</f>
        <v/>
      </c>
    </row>
    <row r="2172">
      <c r="J2172" s="12">
        <f>IF(F2172&lt;&gt;0,"LANÇAR","")</f>
        <v/>
      </c>
      <c r="L2172" s="13">
        <f>N2172&amp;O2172&amp;P2172&amp;Q2172&amp;R2172&amp;S2172&amp;T2172&amp;U2172&amp;V2172&amp;W2172&amp;X2172&amp;Y2172&amp;Z2172&amp;AA2172&amp;AB2172&amp;AC2172&amp;AD2172&amp;AE2172&amp;AF2172&amp;AG2172</f>
        <v/>
      </c>
      <c r="N2172" s="10">
        <f>TEXT($B$6,"00")</f>
        <v/>
      </c>
      <c r="O2172" s="10">
        <f>REPT(" ",8)</f>
        <v/>
      </c>
      <c r="P2172" s="10">
        <f>RIGHT($B$4,2)</f>
        <v/>
      </c>
      <c r="Q2172" s="10">
        <f>RIGHT($B$5,3)</f>
        <v/>
      </c>
      <c r="R2172" s="10">
        <f>IF(A2172="D",LEFT(UPPER(B2172)&amp;REPT(" ",20),20),REPT(" ",20))</f>
        <v/>
      </c>
      <c r="S2172" s="10">
        <f>IF(A2172="D",LEFT(UPPER(C2172)&amp;REPT(" ",10),10)," ")</f>
        <v/>
      </c>
      <c r="T2172" s="10">
        <f>IF(A2172="D",LEFT(UPPER(D2172)&amp;REPT(" ",2),2)," ")</f>
        <v/>
      </c>
      <c r="U2172" s="10">
        <f>IF(A2172="D",LEFT(UPPER(E2172)&amp;REPT(" ",15),15)," ")</f>
        <v/>
      </c>
      <c r="V2172" s="10">
        <f>REPT(" ",24)</f>
        <v/>
      </c>
      <c r="W2172" s="10">
        <f>IF(A2172="c",LEFT(UPPER(B2172)&amp;REPT(" ",20),20),REPT(" ",20))</f>
        <v/>
      </c>
      <c r="X2172" s="10">
        <f>IF(A2172="C",LEFT(UPPER(C2172)&amp;REPT(" ",10),10)," ")</f>
        <v/>
      </c>
      <c r="Y2172" s="10">
        <f>IF(A2172="C",LEFT(UPPER(D2172)&amp;REPT(" ",2),2)," ")</f>
        <v/>
      </c>
      <c r="Z2172" s="10">
        <f>IF(A2172="C",LEFT(UPPER(E2172)&amp;REPT(" ",15),15)," ")</f>
        <v/>
      </c>
      <c r="AA2172" s="10">
        <f>REPT(" ",8)</f>
        <v/>
      </c>
      <c r="AB2172" s="10">
        <f>REPT(" ",4)</f>
        <v/>
      </c>
      <c r="AC2172" s="10">
        <f>LEFT(UPPER(H2172)&amp;REPT(" ",250),250)</f>
        <v/>
      </c>
      <c r="AD2172" s="10">
        <f>TEXT($G$2,"dd/mm/aaaa")</f>
        <v/>
      </c>
      <c r="AE2172" s="10">
        <f>REPT(" ",10)</f>
        <v/>
      </c>
      <c r="AF2172" s="10">
        <f>REPT(" ",20)</f>
        <v/>
      </c>
      <c r="AG2172" s="54">
        <f>REPT(" ",18-LEN(FIXED(F2172,2,TRUE)))&amp;FIXED(F2172,2,TRUE)</f>
        <v/>
      </c>
      <c r="AH2172" s="10">
        <f>LEN(AC2172)+LEN(AG2172)</f>
        <v/>
      </c>
      <c r="AI2172" s="10">
        <f>LEN(L2172)</f>
        <v/>
      </c>
    </row>
    <row r="2173">
      <c r="J2173" s="12">
        <f>IF(F2173&lt;&gt;0,"LANÇAR","")</f>
        <v/>
      </c>
      <c r="L2173" s="13">
        <f>N2173&amp;O2173&amp;P2173&amp;Q2173&amp;R2173&amp;S2173&amp;T2173&amp;U2173&amp;V2173&amp;W2173&amp;X2173&amp;Y2173&amp;Z2173&amp;AA2173&amp;AB2173&amp;AC2173&amp;AD2173&amp;AE2173&amp;AF2173&amp;AG2173</f>
        <v/>
      </c>
      <c r="N2173" s="10">
        <f>TEXT($B$6,"00")</f>
        <v/>
      </c>
      <c r="O2173" s="10">
        <f>REPT(" ",8)</f>
        <v/>
      </c>
      <c r="P2173" s="10">
        <f>RIGHT($B$4,2)</f>
        <v/>
      </c>
      <c r="Q2173" s="10">
        <f>RIGHT($B$5,3)</f>
        <v/>
      </c>
      <c r="R2173" s="10">
        <f>IF(A2173="D",LEFT(UPPER(B2173)&amp;REPT(" ",20),20),REPT(" ",20))</f>
        <v/>
      </c>
      <c r="S2173" s="10">
        <f>IF(A2173="D",LEFT(UPPER(C2173)&amp;REPT(" ",10),10)," ")</f>
        <v/>
      </c>
      <c r="T2173" s="10">
        <f>IF(A2173="D",LEFT(UPPER(D2173)&amp;REPT(" ",2),2)," ")</f>
        <v/>
      </c>
      <c r="U2173" s="10">
        <f>IF(A2173="D",LEFT(UPPER(E2173)&amp;REPT(" ",15),15)," ")</f>
        <v/>
      </c>
      <c r="V2173" s="10">
        <f>REPT(" ",24)</f>
        <v/>
      </c>
      <c r="W2173" s="10">
        <f>IF(A2173="c",LEFT(UPPER(B2173)&amp;REPT(" ",20),20),REPT(" ",20))</f>
        <v/>
      </c>
      <c r="X2173" s="10">
        <f>IF(A2173="C",LEFT(UPPER(C2173)&amp;REPT(" ",10),10)," ")</f>
        <v/>
      </c>
      <c r="Y2173" s="10">
        <f>IF(A2173="C",LEFT(UPPER(D2173)&amp;REPT(" ",2),2)," ")</f>
        <v/>
      </c>
      <c r="Z2173" s="10">
        <f>IF(A2173="C",LEFT(UPPER(E2173)&amp;REPT(" ",15),15)," ")</f>
        <v/>
      </c>
      <c r="AA2173" s="10">
        <f>REPT(" ",8)</f>
        <v/>
      </c>
      <c r="AB2173" s="10">
        <f>REPT(" ",4)</f>
        <v/>
      </c>
      <c r="AC2173" s="10">
        <f>LEFT(UPPER(H2173)&amp;REPT(" ",250),250)</f>
        <v/>
      </c>
      <c r="AD2173" s="10">
        <f>TEXT($G$2,"dd/mm/aaaa")</f>
        <v/>
      </c>
      <c r="AE2173" s="10">
        <f>REPT(" ",10)</f>
        <v/>
      </c>
      <c r="AF2173" s="10">
        <f>REPT(" ",20)</f>
        <v/>
      </c>
      <c r="AG2173" s="54">
        <f>REPT(" ",18-LEN(FIXED(F2173,2,TRUE)))&amp;FIXED(F2173,2,TRUE)</f>
        <v/>
      </c>
      <c r="AH2173" s="10">
        <f>LEN(AC2173)+LEN(AG2173)</f>
        <v/>
      </c>
      <c r="AI2173" s="10">
        <f>LEN(L2173)</f>
        <v/>
      </c>
    </row>
    <row r="2174">
      <c r="J2174" s="12">
        <f>IF(F2174&lt;&gt;0,"LANÇAR","")</f>
        <v/>
      </c>
      <c r="L2174" s="13">
        <f>N2174&amp;O2174&amp;P2174&amp;Q2174&amp;R2174&amp;S2174&amp;T2174&amp;U2174&amp;V2174&amp;W2174&amp;X2174&amp;Y2174&amp;Z2174&amp;AA2174&amp;AB2174&amp;AC2174&amp;AD2174&amp;AE2174&amp;AF2174&amp;AG2174</f>
        <v/>
      </c>
      <c r="N2174" s="10">
        <f>TEXT($B$6,"00")</f>
        <v/>
      </c>
      <c r="O2174" s="10">
        <f>REPT(" ",8)</f>
        <v/>
      </c>
      <c r="P2174" s="10">
        <f>RIGHT($B$4,2)</f>
        <v/>
      </c>
      <c r="Q2174" s="10">
        <f>RIGHT($B$5,3)</f>
        <v/>
      </c>
      <c r="R2174" s="10">
        <f>IF(A2174="D",LEFT(UPPER(B2174)&amp;REPT(" ",20),20),REPT(" ",20))</f>
        <v/>
      </c>
      <c r="S2174" s="10">
        <f>IF(A2174="D",LEFT(UPPER(C2174)&amp;REPT(" ",10),10)," ")</f>
        <v/>
      </c>
      <c r="T2174" s="10">
        <f>IF(A2174="D",LEFT(UPPER(D2174)&amp;REPT(" ",2),2)," ")</f>
        <v/>
      </c>
      <c r="U2174" s="10">
        <f>IF(A2174="D",LEFT(UPPER(E2174)&amp;REPT(" ",15),15)," ")</f>
        <v/>
      </c>
      <c r="V2174" s="10">
        <f>REPT(" ",24)</f>
        <v/>
      </c>
      <c r="W2174" s="10">
        <f>IF(A2174="c",LEFT(UPPER(B2174)&amp;REPT(" ",20),20),REPT(" ",20))</f>
        <v/>
      </c>
      <c r="X2174" s="10">
        <f>IF(A2174="C",LEFT(UPPER(C2174)&amp;REPT(" ",10),10)," ")</f>
        <v/>
      </c>
      <c r="Y2174" s="10">
        <f>IF(A2174="C",LEFT(UPPER(D2174)&amp;REPT(" ",2),2)," ")</f>
        <v/>
      </c>
      <c r="Z2174" s="10">
        <f>IF(A2174="C",LEFT(UPPER(E2174)&amp;REPT(" ",15),15)," ")</f>
        <v/>
      </c>
      <c r="AA2174" s="10">
        <f>REPT(" ",8)</f>
        <v/>
      </c>
      <c r="AB2174" s="10">
        <f>REPT(" ",4)</f>
        <v/>
      </c>
      <c r="AC2174" s="10">
        <f>LEFT(UPPER(H2174)&amp;REPT(" ",250),250)</f>
        <v/>
      </c>
      <c r="AD2174" s="10">
        <f>TEXT($G$2,"dd/mm/aaaa")</f>
        <v/>
      </c>
      <c r="AE2174" s="10">
        <f>REPT(" ",10)</f>
        <v/>
      </c>
      <c r="AF2174" s="10">
        <f>REPT(" ",20)</f>
        <v/>
      </c>
      <c r="AG2174" s="54">
        <f>REPT(" ",18-LEN(FIXED(F2174,2,TRUE)))&amp;FIXED(F2174,2,TRUE)</f>
        <v/>
      </c>
      <c r="AH2174" s="10">
        <f>LEN(AC2174)+LEN(AG2174)</f>
        <v/>
      </c>
      <c r="AI2174" s="10">
        <f>LEN(L2174)</f>
        <v/>
      </c>
    </row>
    <row r="2175">
      <c r="J2175" s="12">
        <f>IF(F2175&lt;&gt;0,"LANÇAR","")</f>
        <v/>
      </c>
      <c r="L2175" s="13">
        <f>N2175&amp;O2175&amp;P2175&amp;Q2175&amp;R2175&amp;S2175&amp;T2175&amp;U2175&amp;V2175&amp;W2175&amp;X2175&amp;Y2175&amp;Z2175&amp;AA2175&amp;AB2175&amp;AC2175&amp;AD2175&amp;AE2175&amp;AF2175&amp;AG2175</f>
        <v/>
      </c>
      <c r="N2175" s="10">
        <f>TEXT($B$6,"00")</f>
        <v/>
      </c>
      <c r="O2175" s="10">
        <f>REPT(" ",8)</f>
        <v/>
      </c>
      <c r="P2175" s="10">
        <f>RIGHT($B$4,2)</f>
        <v/>
      </c>
      <c r="Q2175" s="10">
        <f>RIGHT($B$5,3)</f>
        <v/>
      </c>
      <c r="R2175" s="10">
        <f>IF(A2175="D",LEFT(UPPER(B2175)&amp;REPT(" ",20),20),REPT(" ",20))</f>
        <v/>
      </c>
      <c r="S2175" s="10">
        <f>IF(A2175="D",LEFT(UPPER(C2175)&amp;REPT(" ",10),10)," ")</f>
        <v/>
      </c>
      <c r="T2175" s="10">
        <f>IF(A2175="D",LEFT(UPPER(D2175)&amp;REPT(" ",2),2)," ")</f>
        <v/>
      </c>
      <c r="U2175" s="10">
        <f>IF(A2175="D",LEFT(UPPER(E2175)&amp;REPT(" ",15),15)," ")</f>
        <v/>
      </c>
      <c r="V2175" s="10">
        <f>REPT(" ",24)</f>
        <v/>
      </c>
      <c r="W2175" s="10">
        <f>IF(A2175="c",LEFT(UPPER(B2175)&amp;REPT(" ",20),20),REPT(" ",20))</f>
        <v/>
      </c>
      <c r="X2175" s="10">
        <f>IF(A2175="C",LEFT(UPPER(C2175)&amp;REPT(" ",10),10)," ")</f>
        <v/>
      </c>
      <c r="Y2175" s="10">
        <f>IF(A2175="C",LEFT(UPPER(D2175)&amp;REPT(" ",2),2)," ")</f>
        <v/>
      </c>
      <c r="Z2175" s="10">
        <f>IF(A2175="C",LEFT(UPPER(E2175)&amp;REPT(" ",15),15)," ")</f>
        <v/>
      </c>
      <c r="AA2175" s="10">
        <f>REPT(" ",8)</f>
        <v/>
      </c>
      <c r="AB2175" s="10">
        <f>REPT(" ",4)</f>
        <v/>
      </c>
      <c r="AC2175" s="10">
        <f>LEFT(UPPER(H2175)&amp;REPT(" ",250),250)</f>
        <v/>
      </c>
      <c r="AD2175" s="10">
        <f>TEXT($G$2,"dd/mm/aaaa")</f>
        <v/>
      </c>
      <c r="AE2175" s="10">
        <f>REPT(" ",10)</f>
        <v/>
      </c>
      <c r="AF2175" s="10">
        <f>REPT(" ",20)</f>
        <v/>
      </c>
      <c r="AG2175" s="54">
        <f>REPT(" ",18-LEN(FIXED(F2175,2,TRUE)))&amp;FIXED(F2175,2,TRUE)</f>
        <v/>
      </c>
      <c r="AH2175" s="10">
        <f>LEN(AC2175)+LEN(AG2175)</f>
        <v/>
      </c>
      <c r="AI2175" s="10">
        <f>LEN(L2175)</f>
        <v/>
      </c>
    </row>
    <row r="2176">
      <c r="J2176" s="12">
        <f>IF(F2176&lt;&gt;0,"LANÇAR","")</f>
        <v/>
      </c>
      <c r="L2176" s="13">
        <f>N2176&amp;O2176&amp;P2176&amp;Q2176&amp;R2176&amp;S2176&amp;T2176&amp;U2176&amp;V2176&amp;W2176&amp;X2176&amp;Y2176&amp;Z2176&amp;AA2176&amp;AB2176&amp;AC2176&amp;AD2176&amp;AE2176&amp;AF2176&amp;AG2176</f>
        <v/>
      </c>
      <c r="N2176" s="10">
        <f>TEXT($B$6,"00")</f>
        <v/>
      </c>
      <c r="O2176" s="10">
        <f>REPT(" ",8)</f>
        <v/>
      </c>
      <c r="P2176" s="10">
        <f>RIGHT($B$4,2)</f>
        <v/>
      </c>
      <c r="Q2176" s="10">
        <f>RIGHT($B$5,3)</f>
        <v/>
      </c>
      <c r="R2176" s="10">
        <f>IF(A2176="D",LEFT(UPPER(B2176)&amp;REPT(" ",20),20),REPT(" ",20))</f>
        <v/>
      </c>
      <c r="S2176" s="10">
        <f>IF(A2176="D",LEFT(UPPER(C2176)&amp;REPT(" ",10),10)," ")</f>
        <v/>
      </c>
      <c r="T2176" s="10">
        <f>IF(A2176="D",LEFT(UPPER(D2176)&amp;REPT(" ",2),2)," ")</f>
        <v/>
      </c>
      <c r="U2176" s="10">
        <f>IF(A2176="D",LEFT(UPPER(E2176)&amp;REPT(" ",15),15)," ")</f>
        <v/>
      </c>
      <c r="V2176" s="10">
        <f>REPT(" ",24)</f>
        <v/>
      </c>
      <c r="W2176" s="10">
        <f>IF(A2176="c",LEFT(UPPER(B2176)&amp;REPT(" ",20),20),REPT(" ",20))</f>
        <v/>
      </c>
      <c r="X2176" s="10">
        <f>IF(A2176="C",LEFT(UPPER(C2176)&amp;REPT(" ",10),10)," ")</f>
        <v/>
      </c>
      <c r="Y2176" s="10">
        <f>IF(A2176="C",LEFT(UPPER(D2176)&amp;REPT(" ",2),2)," ")</f>
        <v/>
      </c>
      <c r="Z2176" s="10">
        <f>IF(A2176="C",LEFT(UPPER(E2176)&amp;REPT(" ",15),15)," ")</f>
        <v/>
      </c>
      <c r="AA2176" s="10">
        <f>REPT(" ",8)</f>
        <v/>
      </c>
      <c r="AB2176" s="10">
        <f>REPT(" ",4)</f>
        <v/>
      </c>
      <c r="AC2176" s="10">
        <f>LEFT(UPPER(H2176)&amp;REPT(" ",250),250)</f>
        <v/>
      </c>
      <c r="AD2176" s="10">
        <f>TEXT($G$2,"dd/mm/aaaa")</f>
        <v/>
      </c>
      <c r="AE2176" s="10">
        <f>REPT(" ",10)</f>
        <v/>
      </c>
      <c r="AF2176" s="10">
        <f>REPT(" ",20)</f>
        <v/>
      </c>
      <c r="AG2176" s="54">
        <f>REPT(" ",18-LEN(FIXED(F2176,2,TRUE)))&amp;FIXED(F2176,2,TRUE)</f>
        <v/>
      </c>
      <c r="AH2176" s="10">
        <f>LEN(AC2176)+LEN(AG2176)</f>
        <v/>
      </c>
      <c r="AI2176" s="10">
        <f>LEN(L2176)</f>
        <v/>
      </c>
    </row>
    <row r="2177">
      <c r="J2177" s="12">
        <f>IF(F2177&lt;&gt;0,"LANÇAR","")</f>
        <v/>
      </c>
      <c r="L2177" s="13">
        <f>N2177&amp;O2177&amp;P2177&amp;Q2177&amp;R2177&amp;S2177&amp;T2177&amp;U2177&amp;V2177&amp;W2177&amp;X2177&amp;Y2177&amp;Z2177&amp;AA2177&amp;AB2177&amp;AC2177&amp;AD2177&amp;AE2177&amp;AF2177&amp;AG2177</f>
        <v/>
      </c>
      <c r="N2177" s="10">
        <f>TEXT($B$6,"00")</f>
        <v/>
      </c>
      <c r="O2177" s="10">
        <f>REPT(" ",8)</f>
        <v/>
      </c>
      <c r="P2177" s="10">
        <f>RIGHT($B$4,2)</f>
        <v/>
      </c>
      <c r="Q2177" s="10">
        <f>RIGHT($B$5,3)</f>
        <v/>
      </c>
      <c r="R2177" s="10">
        <f>IF(A2177="D",LEFT(UPPER(B2177)&amp;REPT(" ",20),20),REPT(" ",20))</f>
        <v/>
      </c>
      <c r="S2177" s="10">
        <f>IF(A2177="D",LEFT(UPPER(C2177)&amp;REPT(" ",10),10)," ")</f>
        <v/>
      </c>
      <c r="T2177" s="10">
        <f>IF(A2177="D",LEFT(UPPER(D2177)&amp;REPT(" ",2),2)," ")</f>
        <v/>
      </c>
      <c r="U2177" s="10">
        <f>IF(A2177="D",LEFT(UPPER(E2177)&amp;REPT(" ",15),15)," ")</f>
        <v/>
      </c>
      <c r="V2177" s="10">
        <f>REPT(" ",24)</f>
        <v/>
      </c>
      <c r="W2177" s="10">
        <f>IF(A2177="c",LEFT(UPPER(B2177)&amp;REPT(" ",20),20),REPT(" ",20))</f>
        <v/>
      </c>
      <c r="X2177" s="10">
        <f>IF(A2177="C",LEFT(UPPER(C2177)&amp;REPT(" ",10),10)," ")</f>
        <v/>
      </c>
      <c r="Y2177" s="10">
        <f>IF(A2177="C",LEFT(UPPER(D2177)&amp;REPT(" ",2),2)," ")</f>
        <v/>
      </c>
      <c r="Z2177" s="10">
        <f>IF(A2177="C",LEFT(UPPER(E2177)&amp;REPT(" ",15),15)," ")</f>
        <v/>
      </c>
      <c r="AA2177" s="10">
        <f>REPT(" ",8)</f>
        <v/>
      </c>
      <c r="AB2177" s="10">
        <f>REPT(" ",4)</f>
        <v/>
      </c>
      <c r="AC2177" s="10">
        <f>LEFT(UPPER(H2177)&amp;REPT(" ",250),250)</f>
        <v/>
      </c>
      <c r="AD2177" s="10">
        <f>TEXT($G$2,"dd/mm/aaaa")</f>
        <v/>
      </c>
      <c r="AE2177" s="10">
        <f>REPT(" ",10)</f>
        <v/>
      </c>
      <c r="AF2177" s="10">
        <f>REPT(" ",20)</f>
        <v/>
      </c>
      <c r="AG2177" s="54">
        <f>REPT(" ",18-LEN(FIXED(F2177,2,TRUE)))&amp;FIXED(F2177,2,TRUE)</f>
        <v/>
      </c>
      <c r="AH2177" s="10">
        <f>LEN(AC2177)+LEN(AG2177)</f>
        <v/>
      </c>
      <c r="AI2177" s="10">
        <f>LEN(L2177)</f>
        <v/>
      </c>
    </row>
    <row r="2178">
      <c r="J2178" s="12">
        <f>IF(F2178&lt;&gt;0,"LANÇAR","")</f>
        <v/>
      </c>
      <c r="L2178" s="13">
        <f>N2178&amp;O2178&amp;P2178&amp;Q2178&amp;R2178&amp;S2178&amp;T2178&amp;U2178&amp;V2178&amp;W2178&amp;X2178&amp;Y2178&amp;Z2178&amp;AA2178&amp;AB2178&amp;AC2178&amp;AD2178&amp;AE2178&amp;AF2178&amp;AG2178</f>
        <v/>
      </c>
      <c r="N2178" s="10">
        <f>TEXT($B$6,"00")</f>
        <v/>
      </c>
      <c r="O2178" s="10">
        <f>REPT(" ",8)</f>
        <v/>
      </c>
      <c r="P2178" s="10">
        <f>RIGHT($B$4,2)</f>
        <v/>
      </c>
      <c r="Q2178" s="10">
        <f>RIGHT($B$5,3)</f>
        <v/>
      </c>
      <c r="R2178" s="10">
        <f>IF(A2178="D",LEFT(UPPER(B2178)&amp;REPT(" ",20),20),REPT(" ",20))</f>
        <v/>
      </c>
      <c r="S2178" s="10">
        <f>IF(A2178="D",LEFT(UPPER(C2178)&amp;REPT(" ",10),10)," ")</f>
        <v/>
      </c>
      <c r="T2178" s="10">
        <f>IF(A2178="D",LEFT(UPPER(D2178)&amp;REPT(" ",2),2)," ")</f>
        <v/>
      </c>
      <c r="U2178" s="10">
        <f>IF(A2178="D",LEFT(UPPER(E2178)&amp;REPT(" ",15),15)," ")</f>
        <v/>
      </c>
      <c r="V2178" s="10">
        <f>REPT(" ",24)</f>
        <v/>
      </c>
      <c r="W2178" s="10">
        <f>IF(A2178="c",LEFT(UPPER(B2178)&amp;REPT(" ",20),20),REPT(" ",20))</f>
        <v/>
      </c>
      <c r="X2178" s="10">
        <f>IF(A2178="C",LEFT(UPPER(C2178)&amp;REPT(" ",10),10)," ")</f>
        <v/>
      </c>
      <c r="Y2178" s="10">
        <f>IF(A2178="C",LEFT(UPPER(D2178)&amp;REPT(" ",2),2)," ")</f>
        <v/>
      </c>
      <c r="Z2178" s="10">
        <f>IF(A2178="C",LEFT(UPPER(E2178)&amp;REPT(" ",15),15)," ")</f>
        <v/>
      </c>
      <c r="AA2178" s="10">
        <f>REPT(" ",8)</f>
        <v/>
      </c>
      <c r="AB2178" s="10">
        <f>REPT(" ",4)</f>
        <v/>
      </c>
      <c r="AC2178" s="10">
        <f>LEFT(UPPER(H2178)&amp;REPT(" ",250),250)</f>
        <v/>
      </c>
      <c r="AD2178" s="10">
        <f>TEXT($G$2,"dd/mm/aaaa")</f>
        <v/>
      </c>
      <c r="AE2178" s="10">
        <f>REPT(" ",10)</f>
        <v/>
      </c>
      <c r="AF2178" s="10">
        <f>REPT(" ",20)</f>
        <v/>
      </c>
      <c r="AG2178" s="54">
        <f>REPT(" ",18-LEN(FIXED(F2178,2,TRUE)))&amp;FIXED(F2178,2,TRUE)</f>
        <v/>
      </c>
      <c r="AH2178" s="10">
        <f>LEN(AC2178)+LEN(AG2178)</f>
        <v/>
      </c>
      <c r="AI2178" s="10">
        <f>LEN(L2178)</f>
        <v/>
      </c>
    </row>
    <row r="2179">
      <c r="J2179" s="12">
        <f>IF(F2179&lt;&gt;0,"LANÇAR","")</f>
        <v/>
      </c>
      <c r="L2179" s="13">
        <f>N2179&amp;O2179&amp;P2179&amp;Q2179&amp;R2179&amp;S2179&amp;T2179&amp;U2179&amp;V2179&amp;W2179&amp;X2179&amp;Y2179&amp;Z2179&amp;AA2179&amp;AB2179&amp;AC2179&amp;AD2179&amp;AE2179&amp;AF2179&amp;AG2179</f>
        <v/>
      </c>
      <c r="N2179" s="10">
        <f>TEXT($B$6,"00")</f>
        <v/>
      </c>
      <c r="O2179" s="10">
        <f>REPT(" ",8)</f>
        <v/>
      </c>
      <c r="P2179" s="10">
        <f>RIGHT($B$4,2)</f>
        <v/>
      </c>
      <c r="Q2179" s="10">
        <f>RIGHT($B$5,3)</f>
        <v/>
      </c>
      <c r="R2179" s="10">
        <f>IF(A2179="D",LEFT(UPPER(B2179)&amp;REPT(" ",20),20),REPT(" ",20))</f>
        <v/>
      </c>
      <c r="S2179" s="10">
        <f>IF(A2179="D",LEFT(UPPER(C2179)&amp;REPT(" ",10),10)," ")</f>
        <v/>
      </c>
      <c r="T2179" s="10">
        <f>IF(A2179="D",LEFT(UPPER(D2179)&amp;REPT(" ",2),2)," ")</f>
        <v/>
      </c>
      <c r="U2179" s="10">
        <f>IF(A2179="D",LEFT(UPPER(E2179)&amp;REPT(" ",15),15)," ")</f>
        <v/>
      </c>
      <c r="V2179" s="10">
        <f>REPT(" ",24)</f>
        <v/>
      </c>
      <c r="W2179" s="10">
        <f>IF(A2179="c",LEFT(UPPER(B2179)&amp;REPT(" ",20),20),REPT(" ",20))</f>
        <v/>
      </c>
      <c r="X2179" s="10">
        <f>IF(A2179="C",LEFT(UPPER(C2179)&amp;REPT(" ",10),10)," ")</f>
        <v/>
      </c>
      <c r="Y2179" s="10">
        <f>IF(A2179="C",LEFT(UPPER(D2179)&amp;REPT(" ",2),2)," ")</f>
        <v/>
      </c>
      <c r="Z2179" s="10">
        <f>IF(A2179="C",LEFT(UPPER(E2179)&amp;REPT(" ",15),15)," ")</f>
        <v/>
      </c>
      <c r="AA2179" s="10">
        <f>REPT(" ",8)</f>
        <v/>
      </c>
      <c r="AB2179" s="10">
        <f>REPT(" ",4)</f>
        <v/>
      </c>
      <c r="AC2179" s="10">
        <f>LEFT(UPPER(H2179)&amp;REPT(" ",250),250)</f>
        <v/>
      </c>
      <c r="AD2179" s="10">
        <f>TEXT($G$2,"dd/mm/aaaa")</f>
        <v/>
      </c>
      <c r="AE2179" s="10">
        <f>REPT(" ",10)</f>
        <v/>
      </c>
      <c r="AF2179" s="10">
        <f>REPT(" ",20)</f>
        <v/>
      </c>
      <c r="AG2179" s="54">
        <f>REPT(" ",18-LEN(FIXED(F2179,2,TRUE)))&amp;FIXED(F2179,2,TRUE)</f>
        <v/>
      </c>
      <c r="AH2179" s="10">
        <f>LEN(AC2179)+LEN(AG2179)</f>
        <v/>
      </c>
      <c r="AI2179" s="10">
        <f>LEN(L2179)</f>
        <v/>
      </c>
    </row>
    <row r="2180">
      <c r="J2180" s="12">
        <f>IF(F2180&lt;&gt;0,"LANÇAR","")</f>
        <v/>
      </c>
      <c r="L2180" s="13">
        <f>N2180&amp;O2180&amp;P2180&amp;Q2180&amp;R2180&amp;S2180&amp;T2180&amp;U2180&amp;V2180&amp;W2180&amp;X2180&amp;Y2180&amp;Z2180&amp;AA2180&amp;AB2180&amp;AC2180&amp;AD2180&amp;AE2180&amp;AF2180&amp;AG2180</f>
        <v/>
      </c>
      <c r="N2180" s="10">
        <f>TEXT($B$6,"00")</f>
        <v/>
      </c>
      <c r="O2180" s="10">
        <f>REPT(" ",8)</f>
        <v/>
      </c>
      <c r="P2180" s="10">
        <f>RIGHT($B$4,2)</f>
        <v/>
      </c>
      <c r="Q2180" s="10">
        <f>RIGHT($B$5,3)</f>
        <v/>
      </c>
      <c r="R2180" s="10">
        <f>IF(A2180="D",LEFT(UPPER(B2180)&amp;REPT(" ",20),20),REPT(" ",20))</f>
        <v/>
      </c>
      <c r="S2180" s="10">
        <f>IF(A2180="D",LEFT(UPPER(C2180)&amp;REPT(" ",10),10)," ")</f>
        <v/>
      </c>
      <c r="T2180" s="10">
        <f>IF(A2180="D",LEFT(UPPER(D2180)&amp;REPT(" ",2),2)," ")</f>
        <v/>
      </c>
      <c r="U2180" s="10">
        <f>IF(A2180="D",LEFT(UPPER(E2180)&amp;REPT(" ",15),15)," ")</f>
        <v/>
      </c>
      <c r="V2180" s="10">
        <f>REPT(" ",24)</f>
        <v/>
      </c>
      <c r="W2180" s="10">
        <f>IF(A2180="c",LEFT(UPPER(B2180)&amp;REPT(" ",20),20),REPT(" ",20))</f>
        <v/>
      </c>
      <c r="X2180" s="10">
        <f>IF(A2180="C",LEFT(UPPER(C2180)&amp;REPT(" ",10),10)," ")</f>
        <v/>
      </c>
      <c r="Y2180" s="10">
        <f>IF(A2180="C",LEFT(UPPER(D2180)&amp;REPT(" ",2),2)," ")</f>
        <v/>
      </c>
      <c r="Z2180" s="10">
        <f>IF(A2180="C",LEFT(UPPER(E2180)&amp;REPT(" ",15),15)," ")</f>
        <v/>
      </c>
      <c r="AA2180" s="10">
        <f>REPT(" ",8)</f>
        <v/>
      </c>
      <c r="AB2180" s="10">
        <f>REPT(" ",4)</f>
        <v/>
      </c>
      <c r="AC2180" s="10">
        <f>LEFT(UPPER(H2180)&amp;REPT(" ",250),250)</f>
        <v/>
      </c>
      <c r="AD2180" s="10">
        <f>TEXT($G$2,"dd/mm/aaaa")</f>
        <v/>
      </c>
      <c r="AE2180" s="10">
        <f>REPT(" ",10)</f>
        <v/>
      </c>
      <c r="AF2180" s="10">
        <f>REPT(" ",20)</f>
        <v/>
      </c>
      <c r="AG2180" s="54">
        <f>REPT(" ",18-LEN(FIXED(F2180,2,TRUE)))&amp;FIXED(F2180,2,TRUE)</f>
        <v/>
      </c>
      <c r="AH2180" s="10">
        <f>LEN(AC2180)+LEN(AG2180)</f>
        <v/>
      </c>
      <c r="AI2180" s="10">
        <f>LEN(L2180)</f>
        <v/>
      </c>
    </row>
    <row r="2181">
      <c r="J2181" s="12">
        <f>IF(F2181&lt;&gt;0,"LANÇAR","")</f>
        <v/>
      </c>
      <c r="L2181" s="13">
        <f>N2181&amp;O2181&amp;P2181&amp;Q2181&amp;R2181&amp;S2181&amp;T2181&amp;U2181&amp;V2181&amp;W2181&amp;X2181&amp;Y2181&amp;Z2181&amp;AA2181&amp;AB2181&amp;AC2181&amp;AD2181&amp;AE2181&amp;AF2181&amp;AG2181</f>
        <v/>
      </c>
      <c r="N2181" s="10">
        <f>TEXT($B$6,"00")</f>
        <v/>
      </c>
      <c r="O2181" s="10">
        <f>REPT(" ",8)</f>
        <v/>
      </c>
      <c r="P2181" s="10">
        <f>RIGHT($B$4,2)</f>
        <v/>
      </c>
      <c r="Q2181" s="10">
        <f>RIGHT($B$5,3)</f>
        <v/>
      </c>
      <c r="R2181" s="10">
        <f>IF(A2181="D",LEFT(UPPER(B2181)&amp;REPT(" ",20),20),REPT(" ",20))</f>
        <v/>
      </c>
      <c r="S2181" s="10">
        <f>IF(A2181="D",LEFT(UPPER(C2181)&amp;REPT(" ",10),10)," ")</f>
        <v/>
      </c>
      <c r="T2181" s="10">
        <f>IF(A2181="D",LEFT(UPPER(D2181)&amp;REPT(" ",2),2)," ")</f>
        <v/>
      </c>
      <c r="U2181" s="10">
        <f>IF(A2181="D",LEFT(UPPER(E2181)&amp;REPT(" ",15),15)," ")</f>
        <v/>
      </c>
      <c r="V2181" s="10">
        <f>REPT(" ",24)</f>
        <v/>
      </c>
      <c r="W2181" s="10">
        <f>IF(A2181="c",LEFT(UPPER(B2181)&amp;REPT(" ",20),20),REPT(" ",20))</f>
        <v/>
      </c>
      <c r="X2181" s="10">
        <f>IF(A2181="C",LEFT(UPPER(C2181)&amp;REPT(" ",10),10)," ")</f>
        <v/>
      </c>
      <c r="Y2181" s="10">
        <f>IF(A2181="C",LEFT(UPPER(D2181)&amp;REPT(" ",2),2)," ")</f>
        <v/>
      </c>
      <c r="Z2181" s="10">
        <f>IF(A2181="C",LEFT(UPPER(E2181)&amp;REPT(" ",15),15)," ")</f>
        <v/>
      </c>
      <c r="AA2181" s="10">
        <f>REPT(" ",8)</f>
        <v/>
      </c>
      <c r="AB2181" s="10">
        <f>REPT(" ",4)</f>
        <v/>
      </c>
      <c r="AC2181" s="10">
        <f>LEFT(UPPER(H2181)&amp;REPT(" ",250),250)</f>
        <v/>
      </c>
      <c r="AD2181" s="10">
        <f>TEXT($G$2,"dd/mm/aaaa")</f>
        <v/>
      </c>
      <c r="AE2181" s="10">
        <f>REPT(" ",10)</f>
        <v/>
      </c>
      <c r="AF2181" s="10">
        <f>REPT(" ",20)</f>
        <v/>
      </c>
      <c r="AG2181" s="54">
        <f>REPT(" ",18-LEN(FIXED(F2181,2,TRUE)))&amp;FIXED(F2181,2,TRUE)</f>
        <v/>
      </c>
      <c r="AH2181" s="10">
        <f>LEN(AC2181)+LEN(AG2181)</f>
        <v/>
      </c>
      <c r="AI2181" s="10">
        <f>LEN(L2181)</f>
        <v/>
      </c>
    </row>
    <row r="2182">
      <c r="J2182" s="12">
        <f>IF(F2182&lt;&gt;0,"LANÇAR","")</f>
        <v/>
      </c>
      <c r="L2182" s="13">
        <f>N2182&amp;O2182&amp;P2182&amp;Q2182&amp;R2182&amp;S2182&amp;T2182&amp;U2182&amp;V2182&amp;W2182&amp;X2182&amp;Y2182&amp;Z2182&amp;AA2182&amp;AB2182&amp;AC2182&amp;AD2182&amp;AE2182&amp;AF2182&amp;AG2182</f>
        <v/>
      </c>
      <c r="N2182" s="10">
        <f>TEXT($B$6,"00")</f>
        <v/>
      </c>
      <c r="O2182" s="10">
        <f>REPT(" ",8)</f>
        <v/>
      </c>
      <c r="P2182" s="10">
        <f>RIGHT($B$4,2)</f>
        <v/>
      </c>
      <c r="Q2182" s="10">
        <f>RIGHT($B$5,3)</f>
        <v/>
      </c>
      <c r="R2182" s="10">
        <f>IF(A2182="D",LEFT(UPPER(B2182)&amp;REPT(" ",20),20),REPT(" ",20))</f>
        <v/>
      </c>
      <c r="S2182" s="10">
        <f>IF(A2182="D",LEFT(UPPER(C2182)&amp;REPT(" ",10),10)," ")</f>
        <v/>
      </c>
      <c r="T2182" s="10">
        <f>IF(A2182="D",LEFT(UPPER(D2182)&amp;REPT(" ",2),2)," ")</f>
        <v/>
      </c>
      <c r="U2182" s="10">
        <f>IF(A2182="D",LEFT(UPPER(E2182)&amp;REPT(" ",15),15)," ")</f>
        <v/>
      </c>
      <c r="V2182" s="10">
        <f>REPT(" ",24)</f>
        <v/>
      </c>
      <c r="W2182" s="10">
        <f>IF(A2182="c",LEFT(UPPER(B2182)&amp;REPT(" ",20),20),REPT(" ",20))</f>
        <v/>
      </c>
      <c r="X2182" s="10">
        <f>IF(A2182="C",LEFT(UPPER(C2182)&amp;REPT(" ",10),10)," ")</f>
        <v/>
      </c>
      <c r="Y2182" s="10">
        <f>IF(A2182="C",LEFT(UPPER(D2182)&amp;REPT(" ",2),2)," ")</f>
        <v/>
      </c>
      <c r="Z2182" s="10">
        <f>IF(A2182="C",LEFT(UPPER(E2182)&amp;REPT(" ",15),15)," ")</f>
        <v/>
      </c>
      <c r="AA2182" s="10">
        <f>REPT(" ",8)</f>
        <v/>
      </c>
      <c r="AB2182" s="10">
        <f>REPT(" ",4)</f>
        <v/>
      </c>
      <c r="AC2182" s="10">
        <f>LEFT(UPPER(H2182)&amp;REPT(" ",250),250)</f>
        <v/>
      </c>
      <c r="AD2182" s="10">
        <f>TEXT($G$2,"dd/mm/aaaa")</f>
        <v/>
      </c>
      <c r="AE2182" s="10">
        <f>REPT(" ",10)</f>
        <v/>
      </c>
      <c r="AF2182" s="10">
        <f>REPT(" ",20)</f>
        <v/>
      </c>
      <c r="AG2182" s="54">
        <f>REPT(" ",18-LEN(FIXED(F2182,2,TRUE)))&amp;FIXED(F2182,2,TRUE)</f>
        <v/>
      </c>
      <c r="AH2182" s="10">
        <f>LEN(AC2182)+LEN(AG2182)</f>
        <v/>
      </c>
      <c r="AI2182" s="10">
        <f>LEN(L2182)</f>
        <v/>
      </c>
    </row>
    <row r="2183">
      <c r="J2183" s="12">
        <f>IF(F2183&lt;&gt;0,"LANÇAR","")</f>
        <v/>
      </c>
      <c r="L2183" s="13">
        <f>N2183&amp;O2183&amp;P2183&amp;Q2183&amp;R2183&amp;S2183&amp;T2183&amp;U2183&amp;V2183&amp;W2183&amp;X2183&amp;Y2183&amp;Z2183&amp;AA2183&amp;AB2183&amp;AC2183&amp;AD2183&amp;AE2183&amp;AF2183&amp;AG2183</f>
        <v/>
      </c>
      <c r="N2183" s="10">
        <f>TEXT($B$6,"00")</f>
        <v/>
      </c>
      <c r="O2183" s="10">
        <f>REPT(" ",8)</f>
        <v/>
      </c>
      <c r="P2183" s="10">
        <f>RIGHT($B$4,2)</f>
        <v/>
      </c>
      <c r="Q2183" s="10">
        <f>RIGHT($B$5,3)</f>
        <v/>
      </c>
      <c r="R2183" s="10">
        <f>IF(A2183="D",LEFT(UPPER(B2183)&amp;REPT(" ",20),20),REPT(" ",20))</f>
        <v/>
      </c>
      <c r="S2183" s="10">
        <f>IF(A2183="D",LEFT(UPPER(C2183)&amp;REPT(" ",10),10)," ")</f>
        <v/>
      </c>
      <c r="T2183" s="10">
        <f>IF(A2183="D",LEFT(UPPER(D2183)&amp;REPT(" ",2),2)," ")</f>
        <v/>
      </c>
      <c r="U2183" s="10">
        <f>IF(A2183="D",LEFT(UPPER(E2183)&amp;REPT(" ",15),15)," ")</f>
        <v/>
      </c>
      <c r="V2183" s="10">
        <f>REPT(" ",24)</f>
        <v/>
      </c>
      <c r="W2183" s="10">
        <f>IF(A2183="c",LEFT(UPPER(B2183)&amp;REPT(" ",20),20),REPT(" ",20))</f>
        <v/>
      </c>
      <c r="X2183" s="10">
        <f>IF(A2183="C",LEFT(UPPER(C2183)&amp;REPT(" ",10),10)," ")</f>
        <v/>
      </c>
      <c r="Y2183" s="10">
        <f>IF(A2183="C",LEFT(UPPER(D2183)&amp;REPT(" ",2),2)," ")</f>
        <v/>
      </c>
      <c r="Z2183" s="10">
        <f>IF(A2183="C",LEFT(UPPER(E2183)&amp;REPT(" ",15),15)," ")</f>
        <v/>
      </c>
      <c r="AA2183" s="10">
        <f>REPT(" ",8)</f>
        <v/>
      </c>
      <c r="AB2183" s="10">
        <f>REPT(" ",4)</f>
        <v/>
      </c>
      <c r="AC2183" s="10">
        <f>LEFT(UPPER(H2183)&amp;REPT(" ",250),250)</f>
        <v/>
      </c>
      <c r="AD2183" s="10">
        <f>TEXT($G$2,"dd/mm/aaaa")</f>
        <v/>
      </c>
      <c r="AE2183" s="10">
        <f>REPT(" ",10)</f>
        <v/>
      </c>
      <c r="AF2183" s="10">
        <f>REPT(" ",20)</f>
        <v/>
      </c>
      <c r="AG2183" s="54">
        <f>REPT(" ",18-LEN(FIXED(F2183,2,TRUE)))&amp;FIXED(F2183,2,TRUE)</f>
        <v/>
      </c>
      <c r="AH2183" s="10">
        <f>LEN(AC2183)+LEN(AG2183)</f>
        <v/>
      </c>
      <c r="AI2183" s="10">
        <f>LEN(L2183)</f>
        <v/>
      </c>
    </row>
    <row r="2184">
      <c r="J2184" s="12">
        <f>IF(F2184&lt;&gt;0,"LANÇAR","")</f>
        <v/>
      </c>
      <c r="L2184" s="13">
        <f>N2184&amp;O2184&amp;P2184&amp;Q2184&amp;R2184&amp;S2184&amp;T2184&amp;U2184&amp;V2184&amp;W2184&amp;X2184&amp;Y2184&amp;Z2184&amp;AA2184&amp;AB2184&amp;AC2184&amp;AD2184&amp;AE2184&amp;AF2184&amp;AG2184</f>
        <v/>
      </c>
      <c r="N2184" s="10">
        <f>TEXT($B$6,"00")</f>
        <v/>
      </c>
      <c r="O2184" s="10">
        <f>REPT(" ",8)</f>
        <v/>
      </c>
      <c r="P2184" s="10">
        <f>RIGHT($B$4,2)</f>
        <v/>
      </c>
      <c r="Q2184" s="10">
        <f>RIGHT($B$5,3)</f>
        <v/>
      </c>
      <c r="R2184" s="10">
        <f>IF(A2184="D",LEFT(UPPER(B2184)&amp;REPT(" ",20),20),REPT(" ",20))</f>
        <v/>
      </c>
      <c r="S2184" s="10">
        <f>IF(A2184="D",LEFT(UPPER(C2184)&amp;REPT(" ",10),10)," ")</f>
        <v/>
      </c>
      <c r="T2184" s="10">
        <f>IF(A2184="D",LEFT(UPPER(D2184)&amp;REPT(" ",2),2)," ")</f>
        <v/>
      </c>
      <c r="U2184" s="10">
        <f>IF(A2184="D",LEFT(UPPER(E2184)&amp;REPT(" ",15),15)," ")</f>
        <v/>
      </c>
      <c r="V2184" s="10">
        <f>REPT(" ",24)</f>
        <v/>
      </c>
      <c r="W2184" s="10">
        <f>IF(A2184="c",LEFT(UPPER(B2184)&amp;REPT(" ",20),20),REPT(" ",20))</f>
        <v/>
      </c>
      <c r="X2184" s="10">
        <f>IF(A2184="C",LEFT(UPPER(C2184)&amp;REPT(" ",10),10)," ")</f>
        <v/>
      </c>
      <c r="Y2184" s="10">
        <f>IF(A2184="C",LEFT(UPPER(D2184)&amp;REPT(" ",2),2)," ")</f>
        <v/>
      </c>
      <c r="Z2184" s="10">
        <f>IF(A2184="C",LEFT(UPPER(E2184)&amp;REPT(" ",15),15)," ")</f>
        <v/>
      </c>
      <c r="AA2184" s="10">
        <f>REPT(" ",8)</f>
        <v/>
      </c>
      <c r="AB2184" s="10">
        <f>REPT(" ",4)</f>
        <v/>
      </c>
      <c r="AC2184" s="10">
        <f>LEFT(UPPER(H2184)&amp;REPT(" ",250),250)</f>
        <v/>
      </c>
      <c r="AD2184" s="10">
        <f>TEXT($G$2,"dd/mm/aaaa")</f>
        <v/>
      </c>
      <c r="AE2184" s="10">
        <f>REPT(" ",10)</f>
        <v/>
      </c>
      <c r="AF2184" s="10">
        <f>REPT(" ",20)</f>
        <v/>
      </c>
      <c r="AG2184" s="54">
        <f>REPT(" ",18-LEN(FIXED(F2184,2,TRUE)))&amp;FIXED(F2184,2,TRUE)</f>
        <v/>
      </c>
      <c r="AH2184" s="10">
        <f>LEN(AC2184)+LEN(AG2184)</f>
        <v/>
      </c>
      <c r="AI2184" s="10">
        <f>LEN(L2184)</f>
        <v/>
      </c>
    </row>
    <row r="2185">
      <c r="J2185" s="12">
        <f>IF(F2185&lt;&gt;0,"LANÇAR","")</f>
        <v/>
      </c>
      <c r="L2185" s="13">
        <f>N2185&amp;O2185&amp;P2185&amp;Q2185&amp;R2185&amp;S2185&amp;T2185&amp;U2185&amp;V2185&amp;W2185&amp;X2185&amp;Y2185&amp;Z2185&amp;AA2185&amp;AB2185&amp;AC2185&amp;AD2185&amp;AE2185&amp;AF2185&amp;AG2185</f>
        <v/>
      </c>
      <c r="N2185" s="10">
        <f>TEXT($B$6,"00")</f>
        <v/>
      </c>
      <c r="O2185" s="10">
        <f>REPT(" ",8)</f>
        <v/>
      </c>
      <c r="P2185" s="10">
        <f>RIGHT($B$4,2)</f>
        <v/>
      </c>
      <c r="Q2185" s="10">
        <f>RIGHT($B$5,3)</f>
        <v/>
      </c>
      <c r="R2185" s="10">
        <f>IF(A2185="D",LEFT(UPPER(B2185)&amp;REPT(" ",20),20),REPT(" ",20))</f>
        <v/>
      </c>
      <c r="S2185" s="10">
        <f>IF(A2185="D",LEFT(UPPER(C2185)&amp;REPT(" ",10),10)," ")</f>
        <v/>
      </c>
      <c r="T2185" s="10">
        <f>IF(A2185="D",LEFT(UPPER(D2185)&amp;REPT(" ",2),2)," ")</f>
        <v/>
      </c>
      <c r="U2185" s="10">
        <f>IF(A2185="D",LEFT(UPPER(E2185)&amp;REPT(" ",15),15)," ")</f>
        <v/>
      </c>
      <c r="V2185" s="10">
        <f>REPT(" ",24)</f>
        <v/>
      </c>
      <c r="W2185" s="10">
        <f>IF(A2185="c",LEFT(UPPER(B2185)&amp;REPT(" ",20),20),REPT(" ",20))</f>
        <v/>
      </c>
      <c r="X2185" s="10">
        <f>IF(A2185="C",LEFT(UPPER(C2185)&amp;REPT(" ",10),10)," ")</f>
        <v/>
      </c>
      <c r="Y2185" s="10">
        <f>IF(A2185="C",LEFT(UPPER(D2185)&amp;REPT(" ",2),2)," ")</f>
        <v/>
      </c>
      <c r="Z2185" s="10">
        <f>IF(A2185="C",LEFT(UPPER(E2185)&amp;REPT(" ",15),15)," ")</f>
        <v/>
      </c>
      <c r="AA2185" s="10">
        <f>REPT(" ",8)</f>
        <v/>
      </c>
      <c r="AB2185" s="10">
        <f>REPT(" ",4)</f>
        <v/>
      </c>
      <c r="AC2185" s="10">
        <f>LEFT(UPPER(H2185)&amp;REPT(" ",250),250)</f>
        <v/>
      </c>
      <c r="AD2185" s="10">
        <f>TEXT($G$2,"dd/mm/aaaa")</f>
        <v/>
      </c>
      <c r="AE2185" s="10">
        <f>REPT(" ",10)</f>
        <v/>
      </c>
      <c r="AF2185" s="10">
        <f>REPT(" ",20)</f>
        <v/>
      </c>
      <c r="AG2185" s="54">
        <f>REPT(" ",18-LEN(FIXED(F2185,2,TRUE)))&amp;FIXED(F2185,2,TRUE)</f>
        <v/>
      </c>
      <c r="AH2185" s="10">
        <f>LEN(AC2185)+LEN(AG2185)</f>
        <v/>
      </c>
      <c r="AI2185" s="10">
        <f>LEN(L2185)</f>
        <v/>
      </c>
    </row>
    <row r="2186">
      <c r="J2186" s="12">
        <f>IF(F2186&lt;&gt;0,"LANÇAR","")</f>
        <v/>
      </c>
      <c r="L2186" s="13">
        <f>N2186&amp;O2186&amp;P2186&amp;Q2186&amp;R2186&amp;S2186&amp;T2186&amp;U2186&amp;V2186&amp;W2186&amp;X2186&amp;Y2186&amp;Z2186&amp;AA2186&amp;AB2186&amp;AC2186&amp;AD2186&amp;AE2186&amp;AF2186&amp;AG2186</f>
        <v/>
      </c>
      <c r="N2186" s="10">
        <f>TEXT($B$6,"00")</f>
        <v/>
      </c>
      <c r="O2186" s="10">
        <f>REPT(" ",8)</f>
        <v/>
      </c>
      <c r="P2186" s="10">
        <f>RIGHT($B$4,2)</f>
        <v/>
      </c>
      <c r="Q2186" s="10">
        <f>RIGHT($B$5,3)</f>
        <v/>
      </c>
      <c r="R2186" s="10">
        <f>IF(A2186="D",LEFT(UPPER(B2186)&amp;REPT(" ",20),20),REPT(" ",20))</f>
        <v/>
      </c>
      <c r="S2186" s="10">
        <f>IF(A2186="D",LEFT(UPPER(C2186)&amp;REPT(" ",10),10)," ")</f>
        <v/>
      </c>
      <c r="T2186" s="10">
        <f>IF(A2186="D",LEFT(UPPER(D2186)&amp;REPT(" ",2),2)," ")</f>
        <v/>
      </c>
      <c r="U2186" s="10">
        <f>IF(A2186="D",LEFT(UPPER(E2186)&amp;REPT(" ",15),15)," ")</f>
        <v/>
      </c>
      <c r="V2186" s="10">
        <f>REPT(" ",24)</f>
        <v/>
      </c>
      <c r="W2186" s="10">
        <f>IF(A2186="c",LEFT(UPPER(B2186)&amp;REPT(" ",20),20),REPT(" ",20))</f>
        <v/>
      </c>
      <c r="X2186" s="10">
        <f>IF(A2186="C",LEFT(UPPER(C2186)&amp;REPT(" ",10),10)," ")</f>
        <v/>
      </c>
      <c r="Y2186" s="10">
        <f>IF(A2186="C",LEFT(UPPER(D2186)&amp;REPT(" ",2),2)," ")</f>
        <v/>
      </c>
      <c r="Z2186" s="10">
        <f>IF(A2186="C",LEFT(UPPER(E2186)&amp;REPT(" ",15),15)," ")</f>
        <v/>
      </c>
      <c r="AA2186" s="10">
        <f>REPT(" ",8)</f>
        <v/>
      </c>
      <c r="AB2186" s="10">
        <f>REPT(" ",4)</f>
        <v/>
      </c>
      <c r="AC2186" s="10">
        <f>LEFT(UPPER(H2186)&amp;REPT(" ",250),250)</f>
        <v/>
      </c>
      <c r="AD2186" s="10">
        <f>TEXT($G$2,"dd/mm/aaaa")</f>
        <v/>
      </c>
      <c r="AE2186" s="10">
        <f>REPT(" ",10)</f>
        <v/>
      </c>
      <c r="AF2186" s="10">
        <f>REPT(" ",20)</f>
        <v/>
      </c>
      <c r="AG2186" s="54">
        <f>REPT(" ",18-LEN(FIXED(F2186,2,TRUE)))&amp;FIXED(F2186,2,TRUE)</f>
        <v/>
      </c>
      <c r="AH2186" s="10">
        <f>LEN(AC2186)+LEN(AG2186)</f>
        <v/>
      </c>
      <c r="AI2186" s="10">
        <f>LEN(L2186)</f>
        <v/>
      </c>
    </row>
    <row r="2187">
      <c r="J2187" s="12">
        <f>IF(F2187&lt;&gt;0,"LANÇAR","")</f>
        <v/>
      </c>
      <c r="L2187" s="13">
        <f>N2187&amp;O2187&amp;P2187&amp;Q2187&amp;R2187&amp;S2187&amp;T2187&amp;U2187&amp;V2187&amp;W2187&amp;X2187&amp;Y2187&amp;Z2187&amp;AA2187&amp;AB2187&amp;AC2187&amp;AD2187&amp;AE2187&amp;AF2187&amp;AG2187</f>
        <v/>
      </c>
      <c r="N2187" s="10">
        <f>TEXT($B$6,"00")</f>
        <v/>
      </c>
      <c r="O2187" s="10">
        <f>REPT(" ",8)</f>
        <v/>
      </c>
      <c r="P2187" s="10">
        <f>RIGHT($B$4,2)</f>
        <v/>
      </c>
      <c r="Q2187" s="10">
        <f>RIGHT($B$5,3)</f>
        <v/>
      </c>
      <c r="R2187" s="10">
        <f>IF(A2187="D",LEFT(UPPER(B2187)&amp;REPT(" ",20),20),REPT(" ",20))</f>
        <v/>
      </c>
      <c r="S2187" s="10">
        <f>IF(A2187="D",LEFT(UPPER(C2187)&amp;REPT(" ",10),10)," ")</f>
        <v/>
      </c>
      <c r="T2187" s="10">
        <f>IF(A2187="D",LEFT(UPPER(D2187)&amp;REPT(" ",2),2)," ")</f>
        <v/>
      </c>
      <c r="U2187" s="10">
        <f>IF(A2187="D",LEFT(UPPER(E2187)&amp;REPT(" ",15),15)," ")</f>
        <v/>
      </c>
      <c r="V2187" s="10">
        <f>REPT(" ",24)</f>
        <v/>
      </c>
      <c r="W2187" s="10">
        <f>IF(A2187="c",LEFT(UPPER(B2187)&amp;REPT(" ",20),20),REPT(" ",20))</f>
        <v/>
      </c>
      <c r="X2187" s="10">
        <f>IF(A2187="C",LEFT(UPPER(C2187)&amp;REPT(" ",10),10)," ")</f>
        <v/>
      </c>
      <c r="Y2187" s="10">
        <f>IF(A2187="C",LEFT(UPPER(D2187)&amp;REPT(" ",2),2)," ")</f>
        <v/>
      </c>
      <c r="Z2187" s="10">
        <f>IF(A2187="C",LEFT(UPPER(E2187)&amp;REPT(" ",15),15)," ")</f>
        <v/>
      </c>
      <c r="AA2187" s="10">
        <f>REPT(" ",8)</f>
        <v/>
      </c>
      <c r="AB2187" s="10">
        <f>REPT(" ",4)</f>
        <v/>
      </c>
      <c r="AC2187" s="10">
        <f>LEFT(UPPER(H2187)&amp;REPT(" ",250),250)</f>
        <v/>
      </c>
      <c r="AD2187" s="10">
        <f>TEXT($G$2,"dd/mm/aaaa")</f>
        <v/>
      </c>
      <c r="AE2187" s="10">
        <f>REPT(" ",10)</f>
        <v/>
      </c>
      <c r="AF2187" s="10">
        <f>REPT(" ",20)</f>
        <v/>
      </c>
      <c r="AG2187" s="54">
        <f>REPT(" ",18-LEN(FIXED(F2187,2,TRUE)))&amp;FIXED(F2187,2,TRUE)</f>
        <v/>
      </c>
      <c r="AH2187" s="10">
        <f>LEN(AC2187)+LEN(AG2187)</f>
        <v/>
      </c>
      <c r="AI2187" s="10">
        <f>LEN(L2187)</f>
        <v/>
      </c>
    </row>
    <row r="2188">
      <c r="J2188" s="12">
        <f>IF(F2188&lt;&gt;0,"LANÇAR","")</f>
        <v/>
      </c>
      <c r="L2188" s="13">
        <f>N2188&amp;O2188&amp;P2188&amp;Q2188&amp;R2188&amp;S2188&amp;T2188&amp;U2188&amp;V2188&amp;W2188&amp;X2188&amp;Y2188&amp;Z2188&amp;AA2188&amp;AB2188&amp;AC2188&amp;AD2188&amp;AE2188&amp;AF2188&amp;AG2188</f>
        <v/>
      </c>
      <c r="N2188" s="10">
        <f>TEXT($B$6,"00")</f>
        <v/>
      </c>
      <c r="O2188" s="10">
        <f>REPT(" ",8)</f>
        <v/>
      </c>
      <c r="P2188" s="10">
        <f>RIGHT($B$4,2)</f>
        <v/>
      </c>
      <c r="Q2188" s="10">
        <f>RIGHT($B$5,3)</f>
        <v/>
      </c>
      <c r="R2188" s="10">
        <f>IF(A2188="D",LEFT(UPPER(B2188)&amp;REPT(" ",20),20),REPT(" ",20))</f>
        <v/>
      </c>
      <c r="S2188" s="10">
        <f>IF(A2188="D",LEFT(UPPER(C2188)&amp;REPT(" ",10),10)," ")</f>
        <v/>
      </c>
      <c r="T2188" s="10">
        <f>IF(A2188="D",LEFT(UPPER(D2188)&amp;REPT(" ",2),2)," ")</f>
        <v/>
      </c>
      <c r="U2188" s="10">
        <f>IF(A2188="D",LEFT(UPPER(E2188)&amp;REPT(" ",15),15)," ")</f>
        <v/>
      </c>
      <c r="V2188" s="10">
        <f>REPT(" ",24)</f>
        <v/>
      </c>
      <c r="W2188" s="10">
        <f>IF(A2188="c",LEFT(UPPER(B2188)&amp;REPT(" ",20),20),REPT(" ",20))</f>
        <v/>
      </c>
      <c r="X2188" s="10">
        <f>IF(A2188="C",LEFT(UPPER(C2188)&amp;REPT(" ",10),10)," ")</f>
        <v/>
      </c>
      <c r="Y2188" s="10">
        <f>IF(A2188="C",LEFT(UPPER(D2188)&amp;REPT(" ",2),2)," ")</f>
        <v/>
      </c>
      <c r="Z2188" s="10">
        <f>IF(A2188="C",LEFT(UPPER(E2188)&amp;REPT(" ",15),15)," ")</f>
        <v/>
      </c>
      <c r="AA2188" s="10">
        <f>REPT(" ",8)</f>
        <v/>
      </c>
      <c r="AB2188" s="10">
        <f>REPT(" ",4)</f>
        <v/>
      </c>
      <c r="AC2188" s="10">
        <f>LEFT(UPPER(H2188)&amp;REPT(" ",250),250)</f>
        <v/>
      </c>
      <c r="AD2188" s="10">
        <f>TEXT($G$2,"dd/mm/aaaa")</f>
        <v/>
      </c>
      <c r="AE2188" s="10">
        <f>REPT(" ",10)</f>
        <v/>
      </c>
      <c r="AF2188" s="10">
        <f>REPT(" ",20)</f>
        <v/>
      </c>
      <c r="AG2188" s="54">
        <f>REPT(" ",18-LEN(FIXED(F2188,2,TRUE)))&amp;FIXED(F2188,2,TRUE)</f>
        <v/>
      </c>
      <c r="AH2188" s="10">
        <f>LEN(AC2188)+LEN(AG2188)</f>
        <v/>
      </c>
      <c r="AI2188" s="10">
        <f>LEN(L2188)</f>
        <v/>
      </c>
    </row>
    <row r="2189">
      <c r="J2189" s="12">
        <f>IF(F2189&lt;&gt;0,"LANÇAR","")</f>
        <v/>
      </c>
      <c r="L2189" s="13">
        <f>N2189&amp;O2189&amp;P2189&amp;Q2189&amp;R2189&amp;S2189&amp;T2189&amp;U2189&amp;V2189&amp;W2189&amp;X2189&amp;Y2189&amp;Z2189&amp;AA2189&amp;AB2189&amp;AC2189&amp;AD2189&amp;AE2189&amp;AF2189&amp;AG2189</f>
        <v/>
      </c>
      <c r="N2189" s="10">
        <f>TEXT($B$6,"00")</f>
        <v/>
      </c>
      <c r="O2189" s="10">
        <f>REPT(" ",8)</f>
        <v/>
      </c>
      <c r="P2189" s="10">
        <f>RIGHT($B$4,2)</f>
        <v/>
      </c>
      <c r="Q2189" s="10">
        <f>RIGHT($B$5,3)</f>
        <v/>
      </c>
      <c r="R2189" s="10">
        <f>IF(A2189="D",LEFT(UPPER(B2189)&amp;REPT(" ",20),20),REPT(" ",20))</f>
        <v/>
      </c>
      <c r="S2189" s="10">
        <f>IF(A2189="D",LEFT(UPPER(C2189)&amp;REPT(" ",10),10)," ")</f>
        <v/>
      </c>
      <c r="T2189" s="10">
        <f>IF(A2189="D",LEFT(UPPER(D2189)&amp;REPT(" ",2),2)," ")</f>
        <v/>
      </c>
      <c r="U2189" s="10">
        <f>IF(A2189="D",LEFT(UPPER(E2189)&amp;REPT(" ",15),15)," ")</f>
        <v/>
      </c>
      <c r="V2189" s="10">
        <f>REPT(" ",24)</f>
        <v/>
      </c>
      <c r="W2189" s="10">
        <f>IF(A2189="c",LEFT(UPPER(B2189)&amp;REPT(" ",20),20),REPT(" ",20))</f>
        <v/>
      </c>
      <c r="X2189" s="10">
        <f>IF(A2189="C",LEFT(UPPER(C2189)&amp;REPT(" ",10),10)," ")</f>
        <v/>
      </c>
      <c r="Y2189" s="10">
        <f>IF(A2189="C",LEFT(UPPER(D2189)&amp;REPT(" ",2),2)," ")</f>
        <v/>
      </c>
      <c r="Z2189" s="10">
        <f>IF(A2189="C",LEFT(UPPER(E2189)&amp;REPT(" ",15),15)," ")</f>
        <v/>
      </c>
      <c r="AA2189" s="10">
        <f>REPT(" ",8)</f>
        <v/>
      </c>
      <c r="AB2189" s="10">
        <f>REPT(" ",4)</f>
        <v/>
      </c>
      <c r="AC2189" s="10">
        <f>LEFT(UPPER(H2189)&amp;REPT(" ",250),250)</f>
        <v/>
      </c>
      <c r="AD2189" s="10">
        <f>TEXT($G$2,"dd/mm/aaaa")</f>
        <v/>
      </c>
      <c r="AE2189" s="10">
        <f>REPT(" ",10)</f>
        <v/>
      </c>
      <c r="AF2189" s="10">
        <f>REPT(" ",20)</f>
        <v/>
      </c>
      <c r="AG2189" s="54">
        <f>REPT(" ",18-LEN(FIXED(F2189,2,TRUE)))&amp;FIXED(F2189,2,TRUE)</f>
        <v/>
      </c>
      <c r="AH2189" s="10">
        <f>LEN(AC2189)+LEN(AG2189)</f>
        <v/>
      </c>
      <c r="AI2189" s="10">
        <f>LEN(L2189)</f>
        <v/>
      </c>
    </row>
    <row r="2190">
      <c r="J2190" s="12">
        <f>IF(F2190&lt;&gt;0,"LANÇAR","")</f>
        <v/>
      </c>
      <c r="L2190" s="13">
        <f>N2190&amp;O2190&amp;P2190&amp;Q2190&amp;R2190&amp;S2190&amp;T2190&amp;U2190&amp;V2190&amp;W2190&amp;X2190&amp;Y2190&amp;Z2190&amp;AA2190&amp;AB2190&amp;AC2190&amp;AD2190&amp;AE2190&amp;AF2190&amp;AG2190</f>
        <v/>
      </c>
      <c r="N2190" s="10">
        <f>TEXT($B$6,"00")</f>
        <v/>
      </c>
      <c r="O2190" s="10">
        <f>REPT(" ",8)</f>
        <v/>
      </c>
      <c r="P2190" s="10">
        <f>RIGHT($B$4,2)</f>
        <v/>
      </c>
      <c r="Q2190" s="10">
        <f>RIGHT($B$5,3)</f>
        <v/>
      </c>
      <c r="R2190" s="10">
        <f>IF(A2190="D",LEFT(UPPER(B2190)&amp;REPT(" ",20),20),REPT(" ",20))</f>
        <v/>
      </c>
      <c r="S2190" s="10">
        <f>IF(A2190="D",LEFT(UPPER(C2190)&amp;REPT(" ",10),10)," ")</f>
        <v/>
      </c>
      <c r="T2190" s="10">
        <f>IF(A2190="D",LEFT(UPPER(D2190)&amp;REPT(" ",2),2)," ")</f>
        <v/>
      </c>
      <c r="U2190" s="10">
        <f>IF(A2190="D",LEFT(UPPER(E2190)&amp;REPT(" ",15),15)," ")</f>
        <v/>
      </c>
      <c r="V2190" s="10">
        <f>REPT(" ",24)</f>
        <v/>
      </c>
      <c r="W2190" s="10">
        <f>IF(A2190="c",LEFT(UPPER(B2190)&amp;REPT(" ",20),20),REPT(" ",20))</f>
        <v/>
      </c>
      <c r="X2190" s="10">
        <f>IF(A2190="C",LEFT(UPPER(C2190)&amp;REPT(" ",10),10)," ")</f>
        <v/>
      </c>
      <c r="Y2190" s="10">
        <f>IF(A2190="C",LEFT(UPPER(D2190)&amp;REPT(" ",2),2)," ")</f>
        <v/>
      </c>
      <c r="Z2190" s="10">
        <f>IF(A2190="C",LEFT(UPPER(E2190)&amp;REPT(" ",15),15)," ")</f>
        <v/>
      </c>
      <c r="AA2190" s="10">
        <f>REPT(" ",8)</f>
        <v/>
      </c>
      <c r="AB2190" s="10">
        <f>REPT(" ",4)</f>
        <v/>
      </c>
      <c r="AC2190" s="10">
        <f>LEFT(UPPER(H2190)&amp;REPT(" ",250),250)</f>
        <v/>
      </c>
      <c r="AD2190" s="10">
        <f>TEXT($G$2,"dd/mm/aaaa")</f>
        <v/>
      </c>
      <c r="AE2190" s="10">
        <f>REPT(" ",10)</f>
        <v/>
      </c>
      <c r="AF2190" s="10">
        <f>REPT(" ",20)</f>
        <v/>
      </c>
      <c r="AG2190" s="54">
        <f>REPT(" ",18-LEN(FIXED(F2190,2,TRUE)))&amp;FIXED(F2190,2,TRUE)</f>
        <v/>
      </c>
      <c r="AH2190" s="10">
        <f>LEN(AC2190)+LEN(AG2190)</f>
        <v/>
      </c>
      <c r="AI2190" s="10">
        <f>LEN(L2190)</f>
        <v/>
      </c>
    </row>
    <row r="2191">
      <c r="J2191" s="12">
        <f>IF(F2191&lt;&gt;0,"LANÇAR","")</f>
        <v/>
      </c>
      <c r="L2191" s="13">
        <f>N2191&amp;O2191&amp;P2191&amp;Q2191&amp;R2191&amp;S2191&amp;T2191&amp;U2191&amp;V2191&amp;W2191&amp;X2191&amp;Y2191&amp;Z2191&amp;AA2191&amp;AB2191&amp;AC2191&amp;AD2191&amp;AE2191&amp;AF2191&amp;AG2191</f>
        <v/>
      </c>
      <c r="N2191" s="10">
        <f>TEXT($B$6,"00")</f>
        <v/>
      </c>
      <c r="O2191" s="10">
        <f>REPT(" ",8)</f>
        <v/>
      </c>
      <c r="P2191" s="10">
        <f>RIGHT($B$4,2)</f>
        <v/>
      </c>
      <c r="Q2191" s="10">
        <f>RIGHT($B$5,3)</f>
        <v/>
      </c>
      <c r="R2191" s="10">
        <f>IF(A2191="D",LEFT(UPPER(B2191)&amp;REPT(" ",20),20),REPT(" ",20))</f>
        <v/>
      </c>
      <c r="S2191" s="10">
        <f>IF(A2191="D",LEFT(UPPER(C2191)&amp;REPT(" ",10),10)," ")</f>
        <v/>
      </c>
      <c r="T2191" s="10">
        <f>IF(A2191="D",LEFT(UPPER(D2191)&amp;REPT(" ",2),2)," ")</f>
        <v/>
      </c>
      <c r="U2191" s="10">
        <f>IF(A2191="D",LEFT(UPPER(E2191)&amp;REPT(" ",15),15)," ")</f>
        <v/>
      </c>
      <c r="V2191" s="10">
        <f>REPT(" ",24)</f>
        <v/>
      </c>
      <c r="W2191" s="10">
        <f>IF(A2191="c",LEFT(UPPER(B2191)&amp;REPT(" ",20),20),REPT(" ",20))</f>
        <v/>
      </c>
      <c r="X2191" s="10">
        <f>IF(A2191="C",LEFT(UPPER(C2191)&amp;REPT(" ",10),10)," ")</f>
        <v/>
      </c>
      <c r="Y2191" s="10">
        <f>IF(A2191="C",LEFT(UPPER(D2191)&amp;REPT(" ",2),2)," ")</f>
        <v/>
      </c>
      <c r="Z2191" s="10">
        <f>IF(A2191="C",LEFT(UPPER(E2191)&amp;REPT(" ",15),15)," ")</f>
        <v/>
      </c>
      <c r="AA2191" s="10">
        <f>REPT(" ",8)</f>
        <v/>
      </c>
      <c r="AB2191" s="10">
        <f>REPT(" ",4)</f>
        <v/>
      </c>
      <c r="AC2191" s="10">
        <f>LEFT(UPPER(H2191)&amp;REPT(" ",250),250)</f>
        <v/>
      </c>
      <c r="AD2191" s="10">
        <f>TEXT($G$2,"dd/mm/aaaa")</f>
        <v/>
      </c>
      <c r="AE2191" s="10">
        <f>REPT(" ",10)</f>
        <v/>
      </c>
      <c r="AF2191" s="10">
        <f>REPT(" ",20)</f>
        <v/>
      </c>
      <c r="AG2191" s="54">
        <f>REPT(" ",18-LEN(FIXED(F2191,2,TRUE)))&amp;FIXED(F2191,2,TRUE)</f>
        <v/>
      </c>
      <c r="AH2191" s="10">
        <f>LEN(AC2191)+LEN(AG2191)</f>
        <v/>
      </c>
      <c r="AI2191" s="10">
        <f>LEN(L2191)</f>
        <v/>
      </c>
    </row>
    <row r="2192">
      <c r="J2192" s="12">
        <f>IF(F2192&lt;&gt;0,"LANÇAR","")</f>
        <v/>
      </c>
      <c r="L2192" s="13">
        <f>N2192&amp;O2192&amp;P2192&amp;Q2192&amp;R2192&amp;S2192&amp;T2192&amp;U2192&amp;V2192&amp;W2192&amp;X2192&amp;Y2192&amp;Z2192&amp;AA2192&amp;AB2192&amp;AC2192&amp;AD2192&amp;AE2192&amp;AF2192&amp;AG2192</f>
        <v/>
      </c>
      <c r="N2192" s="10">
        <f>TEXT($B$6,"00")</f>
        <v/>
      </c>
      <c r="O2192" s="10">
        <f>REPT(" ",8)</f>
        <v/>
      </c>
      <c r="P2192" s="10">
        <f>RIGHT($B$4,2)</f>
        <v/>
      </c>
      <c r="Q2192" s="10">
        <f>RIGHT($B$5,3)</f>
        <v/>
      </c>
      <c r="R2192" s="10">
        <f>IF(A2192="D",LEFT(UPPER(B2192)&amp;REPT(" ",20),20),REPT(" ",20))</f>
        <v/>
      </c>
      <c r="S2192" s="10">
        <f>IF(A2192="D",LEFT(UPPER(C2192)&amp;REPT(" ",10),10)," ")</f>
        <v/>
      </c>
      <c r="T2192" s="10">
        <f>IF(A2192="D",LEFT(UPPER(D2192)&amp;REPT(" ",2),2)," ")</f>
        <v/>
      </c>
      <c r="U2192" s="10">
        <f>IF(A2192="D",LEFT(UPPER(E2192)&amp;REPT(" ",15),15)," ")</f>
        <v/>
      </c>
      <c r="V2192" s="10">
        <f>REPT(" ",24)</f>
        <v/>
      </c>
      <c r="W2192" s="10">
        <f>IF(A2192="c",LEFT(UPPER(B2192)&amp;REPT(" ",20),20),REPT(" ",20))</f>
        <v/>
      </c>
      <c r="X2192" s="10">
        <f>IF(A2192="C",LEFT(UPPER(C2192)&amp;REPT(" ",10),10)," ")</f>
        <v/>
      </c>
      <c r="Y2192" s="10">
        <f>IF(A2192="C",LEFT(UPPER(D2192)&amp;REPT(" ",2),2)," ")</f>
        <v/>
      </c>
      <c r="Z2192" s="10">
        <f>IF(A2192="C",LEFT(UPPER(E2192)&amp;REPT(" ",15),15)," ")</f>
        <v/>
      </c>
      <c r="AA2192" s="10">
        <f>REPT(" ",8)</f>
        <v/>
      </c>
      <c r="AB2192" s="10">
        <f>REPT(" ",4)</f>
        <v/>
      </c>
      <c r="AC2192" s="10">
        <f>LEFT(UPPER(H2192)&amp;REPT(" ",250),250)</f>
        <v/>
      </c>
      <c r="AD2192" s="10">
        <f>TEXT($G$2,"dd/mm/aaaa")</f>
        <v/>
      </c>
      <c r="AE2192" s="10">
        <f>REPT(" ",10)</f>
        <v/>
      </c>
      <c r="AF2192" s="10">
        <f>REPT(" ",20)</f>
        <v/>
      </c>
      <c r="AG2192" s="54">
        <f>REPT(" ",18-LEN(FIXED(F2192,2,TRUE)))&amp;FIXED(F2192,2,TRUE)</f>
        <v/>
      </c>
      <c r="AH2192" s="10">
        <f>LEN(AC2192)+LEN(AG2192)</f>
        <v/>
      </c>
      <c r="AI2192" s="10">
        <f>LEN(L2192)</f>
        <v/>
      </c>
    </row>
    <row r="2193">
      <c r="J2193" s="12">
        <f>IF(F2193&lt;&gt;0,"LANÇAR","")</f>
        <v/>
      </c>
      <c r="L2193" s="13">
        <f>N2193&amp;O2193&amp;P2193&amp;Q2193&amp;R2193&amp;S2193&amp;T2193&amp;U2193&amp;V2193&amp;W2193&amp;X2193&amp;Y2193&amp;Z2193&amp;AA2193&amp;AB2193&amp;AC2193&amp;AD2193&amp;AE2193&amp;AF2193&amp;AG2193</f>
        <v/>
      </c>
      <c r="N2193" s="10">
        <f>TEXT($B$6,"00")</f>
        <v/>
      </c>
      <c r="O2193" s="10">
        <f>REPT(" ",8)</f>
        <v/>
      </c>
      <c r="P2193" s="10">
        <f>RIGHT($B$4,2)</f>
        <v/>
      </c>
      <c r="Q2193" s="10">
        <f>RIGHT($B$5,3)</f>
        <v/>
      </c>
      <c r="R2193" s="10">
        <f>IF(A2193="D",LEFT(UPPER(B2193)&amp;REPT(" ",20),20),REPT(" ",20))</f>
        <v/>
      </c>
      <c r="S2193" s="10">
        <f>IF(A2193="D",LEFT(UPPER(C2193)&amp;REPT(" ",10),10)," ")</f>
        <v/>
      </c>
      <c r="T2193" s="10">
        <f>IF(A2193="D",LEFT(UPPER(D2193)&amp;REPT(" ",2),2)," ")</f>
        <v/>
      </c>
      <c r="U2193" s="10">
        <f>IF(A2193="D",LEFT(UPPER(E2193)&amp;REPT(" ",15),15)," ")</f>
        <v/>
      </c>
      <c r="V2193" s="10">
        <f>REPT(" ",24)</f>
        <v/>
      </c>
      <c r="W2193" s="10">
        <f>IF(A2193="c",LEFT(UPPER(B2193)&amp;REPT(" ",20),20),REPT(" ",20))</f>
        <v/>
      </c>
      <c r="X2193" s="10">
        <f>IF(A2193="C",LEFT(UPPER(C2193)&amp;REPT(" ",10),10)," ")</f>
        <v/>
      </c>
      <c r="Y2193" s="10">
        <f>IF(A2193="C",LEFT(UPPER(D2193)&amp;REPT(" ",2),2)," ")</f>
        <v/>
      </c>
      <c r="Z2193" s="10">
        <f>IF(A2193="C",LEFT(UPPER(E2193)&amp;REPT(" ",15),15)," ")</f>
        <v/>
      </c>
      <c r="AA2193" s="10">
        <f>REPT(" ",8)</f>
        <v/>
      </c>
      <c r="AB2193" s="10">
        <f>REPT(" ",4)</f>
        <v/>
      </c>
      <c r="AC2193" s="10">
        <f>LEFT(UPPER(H2193)&amp;REPT(" ",250),250)</f>
        <v/>
      </c>
      <c r="AD2193" s="10">
        <f>TEXT($G$2,"dd/mm/aaaa")</f>
        <v/>
      </c>
      <c r="AE2193" s="10">
        <f>REPT(" ",10)</f>
        <v/>
      </c>
      <c r="AF2193" s="10">
        <f>REPT(" ",20)</f>
        <v/>
      </c>
      <c r="AG2193" s="54">
        <f>REPT(" ",18-LEN(FIXED(F2193,2,TRUE)))&amp;FIXED(F2193,2,TRUE)</f>
        <v/>
      </c>
      <c r="AH2193" s="10">
        <f>LEN(AC2193)+LEN(AG2193)</f>
        <v/>
      </c>
      <c r="AI2193" s="10">
        <f>LEN(L2193)</f>
        <v/>
      </c>
    </row>
    <row r="2194">
      <c r="J2194" s="12">
        <f>IF(F2194&lt;&gt;0,"LANÇAR","")</f>
        <v/>
      </c>
      <c r="L2194" s="13">
        <f>N2194&amp;O2194&amp;P2194&amp;Q2194&amp;R2194&amp;S2194&amp;T2194&amp;U2194&amp;V2194&amp;W2194&amp;X2194&amp;Y2194&amp;Z2194&amp;AA2194&amp;AB2194&amp;AC2194&amp;AD2194&amp;AE2194&amp;AF2194&amp;AG2194</f>
        <v/>
      </c>
      <c r="N2194" s="10">
        <f>TEXT($B$6,"00")</f>
        <v/>
      </c>
      <c r="O2194" s="10">
        <f>REPT(" ",8)</f>
        <v/>
      </c>
      <c r="P2194" s="10">
        <f>RIGHT($B$4,2)</f>
        <v/>
      </c>
      <c r="Q2194" s="10">
        <f>RIGHT($B$5,3)</f>
        <v/>
      </c>
      <c r="R2194" s="10">
        <f>IF(A2194="D",LEFT(UPPER(B2194)&amp;REPT(" ",20),20),REPT(" ",20))</f>
        <v/>
      </c>
      <c r="S2194" s="10">
        <f>IF(A2194="D",LEFT(UPPER(C2194)&amp;REPT(" ",10),10)," ")</f>
        <v/>
      </c>
      <c r="T2194" s="10">
        <f>IF(A2194="D",LEFT(UPPER(D2194)&amp;REPT(" ",2),2)," ")</f>
        <v/>
      </c>
      <c r="U2194" s="10">
        <f>IF(A2194="D",LEFT(UPPER(E2194)&amp;REPT(" ",15),15)," ")</f>
        <v/>
      </c>
      <c r="V2194" s="10">
        <f>REPT(" ",24)</f>
        <v/>
      </c>
      <c r="W2194" s="10">
        <f>IF(A2194="c",LEFT(UPPER(B2194)&amp;REPT(" ",20),20),REPT(" ",20))</f>
        <v/>
      </c>
      <c r="X2194" s="10">
        <f>IF(A2194="C",LEFT(UPPER(C2194)&amp;REPT(" ",10),10)," ")</f>
        <v/>
      </c>
      <c r="Y2194" s="10">
        <f>IF(A2194="C",LEFT(UPPER(D2194)&amp;REPT(" ",2),2)," ")</f>
        <v/>
      </c>
      <c r="Z2194" s="10">
        <f>IF(A2194="C",LEFT(UPPER(E2194)&amp;REPT(" ",15),15)," ")</f>
        <v/>
      </c>
      <c r="AA2194" s="10">
        <f>REPT(" ",8)</f>
        <v/>
      </c>
      <c r="AB2194" s="10">
        <f>REPT(" ",4)</f>
        <v/>
      </c>
      <c r="AC2194" s="10">
        <f>LEFT(UPPER(H2194)&amp;REPT(" ",250),250)</f>
        <v/>
      </c>
      <c r="AD2194" s="10">
        <f>TEXT($G$2,"dd/mm/aaaa")</f>
        <v/>
      </c>
      <c r="AE2194" s="10">
        <f>REPT(" ",10)</f>
        <v/>
      </c>
      <c r="AF2194" s="10">
        <f>REPT(" ",20)</f>
        <v/>
      </c>
      <c r="AG2194" s="54">
        <f>REPT(" ",18-LEN(FIXED(F2194,2,TRUE)))&amp;FIXED(F2194,2,TRUE)</f>
        <v/>
      </c>
      <c r="AH2194" s="10">
        <f>LEN(AC2194)+LEN(AG2194)</f>
        <v/>
      </c>
      <c r="AI2194" s="10">
        <f>LEN(L2194)</f>
        <v/>
      </c>
    </row>
    <row r="2195">
      <c r="J2195" s="12">
        <f>IF(F2195&lt;&gt;0,"LANÇAR","")</f>
        <v/>
      </c>
      <c r="L2195" s="13">
        <f>N2195&amp;O2195&amp;P2195&amp;Q2195&amp;R2195&amp;S2195&amp;T2195&amp;U2195&amp;V2195&amp;W2195&amp;X2195&amp;Y2195&amp;Z2195&amp;AA2195&amp;AB2195&amp;AC2195&amp;AD2195&amp;AE2195&amp;AF2195&amp;AG2195</f>
        <v/>
      </c>
      <c r="N2195" s="10">
        <f>TEXT($B$6,"00")</f>
        <v/>
      </c>
      <c r="O2195" s="10">
        <f>REPT(" ",8)</f>
        <v/>
      </c>
      <c r="P2195" s="10">
        <f>RIGHT($B$4,2)</f>
        <v/>
      </c>
      <c r="Q2195" s="10">
        <f>RIGHT($B$5,3)</f>
        <v/>
      </c>
      <c r="R2195" s="10">
        <f>IF(A2195="D",LEFT(UPPER(B2195)&amp;REPT(" ",20),20),REPT(" ",20))</f>
        <v/>
      </c>
      <c r="S2195" s="10">
        <f>IF(A2195="D",LEFT(UPPER(C2195)&amp;REPT(" ",10),10)," ")</f>
        <v/>
      </c>
      <c r="T2195" s="10">
        <f>IF(A2195="D",LEFT(UPPER(D2195)&amp;REPT(" ",2),2)," ")</f>
        <v/>
      </c>
      <c r="U2195" s="10">
        <f>IF(A2195="D",LEFT(UPPER(E2195)&amp;REPT(" ",15),15)," ")</f>
        <v/>
      </c>
      <c r="V2195" s="10">
        <f>REPT(" ",24)</f>
        <v/>
      </c>
      <c r="W2195" s="10">
        <f>IF(A2195="c",LEFT(UPPER(B2195)&amp;REPT(" ",20),20),REPT(" ",20))</f>
        <v/>
      </c>
      <c r="X2195" s="10">
        <f>IF(A2195="C",LEFT(UPPER(C2195)&amp;REPT(" ",10),10)," ")</f>
        <v/>
      </c>
      <c r="Y2195" s="10">
        <f>IF(A2195="C",LEFT(UPPER(D2195)&amp;REPT(" ",2),2)," ")</f>
        <v/>
      </c>
      <c r="Z2195" s="10">
        <f>IF(A2195="C",LEFT(UPPER(E2195)&amp;REPT(" ",15),15)," ")</f>
        <v/>
      </c>
      <c r="AA2195" s="10">
        <f>REPT(" ",8)</f>
        <v/>
      </c>
      <c r="AB2195" s="10">
        <f>REPT(" ",4)</f>
        <v/>
      </c>
      <c r="AC2195" s="10">
        <f>LEFT(UPPER(H2195)&amp;REPT(" ",250),250)</f>
        <v/>
      </c>
      <c r="AD2195" s="10">
        <f>TEXT($G$2,"dd/mm/aaaa")</f>
        <v/>
      </c>
      <c r="AE2195" s="10">
        <f>REPT(" ",10)</f>
        <v/>
      </c>
      <c r="AF2195" s="10">
        <f>REPT(" ",20)</f>
        <v/>
      </c>
      <c r="AG2195" s="54">
        <f>REPT(" ",18-LEN(FIXED(F2195,2,TRUE)))&amp;FIXED(F2195,2,TRUE)</f>
        <v/>
      </c>
      <c r="AH2195" s="10">
        <f>LEN(AC2195)+LEN(AG2195)</f>
        <v/>
      </c>
      <c r="AI2195" s="10">
        <f>LEN(L2195)</f>
        <v/>
      </c>
    </row>
    <row r="2196">
      <c r="J2196" s="12">
        <f>IF(F2196&lt;&gt;0,"LANÇAR","")</f>
        <v/>
      </c>
      <c r="L2196" s="13">
        <f>N2196&amp;O2196&amp;P2196&amp;Q2196&amp;R2196&amp;S2196&amp;T2196&amp;U2196&amp;V2196&amp;W2196&amp;X2196&amp;Y2196&amp;Z2196&amp;AA2196&amp;AB2196&amp;AC2196&amp;AD2196&amp;AE2196&amp;AF2196&amp;AG2196</f>
        <v/>
      </c>
      <c r="N2196" s="10">
        <f>TEXT($B$6,"00")</f>
        <v/>
      </c>
      <c r="O2196" s="10">
        <f>REPT(" ",8)</f>
        <v/>
      </c>
      <c r="P2196" s="10">
        <f>RIGHT($B$4,2)</f>
        <v/>
      </c>
      <c r="Q2196" s="10">
        <f>RIGHT($B$5,3)</f>
        <v/>
      </c>
      <c r="R2196" s="10">
        <f>IF(A2196="D",LEFT(UPPER(B2196)&amp;REPT(" ",20),20),REPT(" ",20))</f>
        <v/>
      </c>
      <c r="S2196" s="10">
        <f>IF(A2196="D",LEFT(UPPER(C2196)&amp;REPT(" ",10),10)," ")</f>
        <v/>
      </c>
      <c r="T2196" s="10">
        <f>IF(A2196="D",LEFT(UPPER(D2196)&amp;REPT(" ",2),2)," ")</f>
        <v/>
      </c>
      <c r="U2196" s="10">
        <f>IF(A2196="D",LEFT(UPPER(E2196)&amp;REPT(" ",15),15)," ")</f>
        <v/>
      </c>
      <c r="V2196" s="10">
        <f>REPT(" ",24)</f>
        <v/>
      </c>
      <c r="W2196" s="10">
        <f>IF(A2196="c",LEFT(UPPER(B2196)&amp;REPT(" ",20),20),REPT(" ",20))</f>
        <v/>
      </c>
      <c r="X2196" s="10">
        <f>IF(A2196="C",LEFT(UPPER(C2196)&amp;REPT(" ",10),10)," ")</f>
        <v/>
      </c>
      <c r="Y2196" s="10">
        <f>IF(A2196="C",LEFT(UPPER(D2196)&amp;REPT(" ",2),2)," ")</f>
        <v/>
      </c>
      <c r="Z2196" s="10">
        <f>IF(A2196="C",LEFT(UPPER(E2196)&amp;REPT(" ",15),15)," ")</f>
        <v/>
      </c>
      <c r="AA2196" s="10">
        <f>REPT(" ",8)</f>
        <v/>
      </c>
      <c r="AB2196" s="10">
        <f>REPT(" ",4)</f>
        <v/>
      </c>
      <c r="AC2196" s="10">
        <f>LEFT(UPPER(H2196)&amp;REPT(" ",250),250)</f>
        <v/>
      </c>
      <c r="AD2196" s="10">
        <f>TEXT($G$2,"dd/mm/aaaa")</f>
        <v/>
      </c>
      <c r="AE2196" s="10">
        <f>REPT(" ",10)</f>
        <v/>
      </c>
      <c r="AF2196" s="10">
        <f>REPT(" ",20)</f>
        <v/>
      </c>
      <c r="AG2196" s="54">
        <f>REPT(" ",18-LEN(FIXED(F2196,2,TRUE)))&amp;FIXED(F2196,2,TRUE)</f>
        <v/>
      </c>
      <c r="AH2196" s="10">
        <f>LEN(AC2196)+LEN(AG2196)</f>
        <v/>
      </c>
      <c r="AI2196" s="10">
        <f>LEN(L2196)</f>
        <v/>
      </c>
    </row>
    <row r="2197">
      <c r="J2197" s="12">
        <f>IF(F2197&lt;&gt;0,"LANÇAR","")</f>
        <v/>
      </c>
      <c r="L2197" s="13">
        <f>N2197&amp;O2197&amp;P2197&amp;Q2197&amp;R2197&amp;S2197&amp;T2197&amp;U2197&amp;V2197&amp;W2197&amp;X2197&amp;Y2197&amp;Z2197&amp;AA2197&amp;AB2197&amp;AC2197&amp;AD2197&amp;AE2197&amp;AF2197&amp;AG2197</f>
        <v/>
      </c>
      <c r="N2197" s="10">
        <f>TEXT($B$6,"00")</f>
        <v/>
      </c>
      <c r="O2197" s="10">
        <f>REPT(" ",8)</f>
        <v/>
      </c>
      <c r="P2197" s="10">
        <f>RIGHT($B$4,2)</f>
        <v/>
      </c>
      <c r="Q2197" s="10">
        <f>RIGHT($B$5,3)</f>
        <v/>
      </c>
      <c r="R2197" s="10">
        <f>IF(A2197="D",LEFT(UPPER(B2197)&amp;REPT(" ",20),20),REPT(" ",20))</f>
        <v/>
      </c>
      <c r="S2197" s="10">
        <f>IF(A2197="D",LEFT(UPPER(C2197)&amp;REPT(" ",10),10)," ")</f>
        <v/>
      </c>
      <c r="T2197" s="10">
        <f>IF(A2197="D",LEFT(UPPER(D2197)&amp;REPT(" ",2),2)," ")</f>
        <v/>
      </c>
      <c r="U2197" s="10">
        <f>IF(A2197="D",LEFT(UPPER(E2197)&amp;REPT(" ",15),15)," ")</f>
        <v/>
      </c>
      <c r="V2197" s="10">
        <f>REPT(" ",24)</f>
        <v/>
      </c>
      <c r="W2197" s="10">
        <f>IF(A2197="c",LEFT(UPPER(B2197)&amp;REPT(" ",20),20),REPT(" ",20))</f>
        <v/>
      </c>
      <c r="X2197" s="10">
        <f>IF(A2197="C",LEFT(UPPER(C2197)&amp;REPT(" ",10),10)," ")</f>
        <v/>
      </c>
      <c r="Y2197" s="10">
        <f>IF(A2197="C",LEFT(UPPER(D2197)&amp;REPT(" ",2),2)," ")</f>
        <v/>
      </c>
      <c r="Z2197" s="10">
        <f>IF(A2197="C",LEFT(UPPER(E2197)&amp;REPT(" ",15),15)," ")</f>
        <v/>
      </c>
      <c r="AA2197" s="10">
        <f>REPT(" ",8)</f>
        <v/>
      </c>
      <c r="AB2197" s="10">
        <f>REPT(" ",4)</f>
        <v/>
      </c>
      <c r="AC2197" s="10">
        <f>LEFT(UPPER(H2197)&amp;REPT(" ",250),250)</f>
        <v/>
      </c>
      <c r="AD2197" s="10">
        <f>TEXT($G$2,"dd/mm/aaaa")</f>
        <v/>
      </c>
      <c r="AE2197" s="10">
        <f>REPT(" ",10)</f>
        <v/>
      </c>
      <c r="AF2197" s="10">
        <f>REPT(" ",20)</f>
        <v/>
      </c>
      <c r="AG2197" s="54">
        <f>REPT(" ",18-LEN(FIXED(F2197,2,TRUE)))&amp;FIXED(F2197,2,TRUE)</f>
        <v/>
      </c>
      <c r="AH2197" s="10">
        <f>LEN(AC2197)+LEN(AG2197)</f>
        <v/>
      </c>
      <c r="AI2197" s="10">
        <f>LEN(L2197)</f>
        <v/>
      </c>
    </row>
    <row r="2198">
      <c r="J2198" s="12">
        <f>IF(F2198&lt;&gt;0,"LANÇAR","")</f>
        <v/>
      </c>
      <c r="L2198" s="13">
        <f>N2198&amp;O2198&amp;P2198&amp;Q2198&amp;R2198&amp;S2198&amp;T2198&amp;U2198&amp;V2198&amp;W2198&amp;X2198&amp;Y2198&amp;Z2198&amp;AA2198&amp;AB2198&amp;AC2198&amp;AD2198&amp;AE2198&amp;AF2198&amp;AG2198</f>
        <v/>
      </c>
      <c r="N2198" s="10">
        <f>TEXT($B$6,"00")</f>
        <v/>
      </c>
      <c r="O2198" s="10">
        <f>REPT(" ",8)</f>
        <v/>
      </c>
      <c r="P2198" s="10">
        <f>RIGHT($B$4,2)</f>
        <v/>
      </c>
      <c r="Q2198" s="10">
        <f>RIGHT($B$5,3)</f>
        <v/>
      </c>
      <c r="R2198" s="10">
        <f>IF(A2198="D",LEFT(UPPER(B2198)&amp;REPT(" ",20),20),REPT(" ",20))</f>
        <v/>
      </c>
      <c r="S2198" s="10">
        <f>IF(A2198="D",LEFT(UPPER(C2198)&amp;REPT(" ",10),10)," ")</f>
        <v/>
      </c>
      <c r="T2198" s="10">
        <f>IF(A2198="D",LEFT(UPPER(D2198)&amp;REPT(" ",2),2)," ")</f>
        <v/>
      </c>
      <c r="U2198" s="10">
        <f>IF(A2198="D",LEFT(UPPER(E2198)&amp;REPT(" ",15),15)," ")</f>
        <v/>
      </c>
      <c r="V2198" s="10">
        <f>REPT(" ",24)</f>
        <v/>
      </c>
      <c r="W2198" s="10">
        <f>IF(A2198="c",LEFT(UPPER(B2198)&amp;REPT(" ",20),20),REPT(" ",20))</f>
        <v/>
      </c>
      <c r="X2198" s="10">
        <f>IF(A2198="C",LEFT(UPPER(C2198)&amp;REPT(" ",10),10)," ")</f>
        <v/>
      </c>
      <c r="Y2198" s="10">
        <f>IF(A2198="C",LEFT(UPPER(D2198)&amp;REPT(" ",2),2)," ")</f>
        <v/>
      </c>
      <c r="Z2198" s="10">
        <f>IF(A2198="C",LEFT(UPPER(E2198)&amp;REPT(" ",15),15)," ")</f>
        <v/>
      </c>
      <c r="AA2198" s="10">
        <f>REPT(" ",8)</f>
        <v/>
      </c>
      <c r="AB2198" s="10">
        <f>REPT(" ",4)</f>
        <v/>
      </c>
      <c r="AC2198" s="10">
        <f>LEFT(UPPER(H2198)&amp;REPT(" ",250),250)</f>
        <v/>
      </c>
      <c r="AD2198" s="10">
        <f>TEXT($G$2,"dd/mm/aaaa")</f>
        <v/>
      </c>
      <c r="AE2198" s="10">
        <f>REPT(" ",10)</f>
        <v/>
      </c>
      <c r="AF2198" s="10">
        <f>REPT(" ",20)</f>
        <v/>
      </c>
      <c r="AG2198" s="54">
        <f>REPT(" ",18-LEN(FIXED(F2198,2,TRUE)))&amp;FIXED(F2198,2,TRUE)</f>
        <v/>
      </c>
      <c r="AH2198" s="10">
        <f>LEN(AC2198)+LEN(AG2198)</f>
        <v/>
      </c>
      <c r="AI2198" s="10">
        <f>LEN(L2198)</f>
        <v/>
      </c>
    </row>
    <row r="2199">
      <c r="J2199" s="12">
        <f>IF(F2199&lt;&gt;0,"LANÇAR","")</f>
        <v/>
      </c>
      <c r="L2199" s="13">
        <f>N2199&amp;O2199&amp;P2199&amp;Q2199&amp;R2199&amp;S2199&amp;T2199&amp;U2199&amp;V2199&amp;W2199&amp;X2199&amp;Y2199&amp;Z2199&amp;AA2199&amp;AB2199&amp;AC2199&amp;AD2199&amp;AE2199&amp;AF2199&amp;AG2199</f>
        <v/>
      </c>
      <c r="N2199" s="10">
        <f>TEXT($B$6,"00")</f>
        <v/>
      </c>
      <c r="O2199" s="10">
        <f>REPT(" ",8)</f>
        <v/>
      </c>
      <c r="P2199" s="10">
        <f>RIGHT($B$4,2)</f>
        <v/>
      </c>
      <c r="Q2199" s="10">
        <f>RIGHT($B$5,3)</f>
        <v/>
      </c>
      <c r="R2199" s="10">
        <f>IF(A2199="D",LEFT(UPPER(B2199)&amp;REPT(" ",20),20),REPT(" ",20))</f>
        <v/>
      </c>
      <c r="S2199" s="10">
        <f>IF(A2199="D",LEFT(UPPER(C2199)&amp;REPT(" ",10),10)," ")</f>
        <v/>
      </c>
      <c r="T2199" s="10">
        <f>IF(A2199="D",LEFT(UPPER(D2199)&amp;REPT(" ",2),2)," ")</f>
        <v/>
      </c>
      <c r="U2199" s="10">
        <f>IF(A2199="D",LEFT(UPPER(E2199)&amp;REPT(" ",15),15)," ")</f>
        <v/>
      </c>
      <c r="V2199" s="10">
        <f>REPT(" ",24)</f>
        <v/>
      </c>
      <c r="W2199" s="10">
        <f>IF(A2199="c",LEFT(UPPER(B2199)&amp;REPT(" ",20),20),REPT(" ",20))</f>
        <v/>
      </c>
      <c r="X2199" s="10">
        <f>IF(A2199="C",LEFT(UPPER(C2199)&amp;REPT(" ",10),10)," ")</f>
        <v/>
      </c>
      <c r="Y2199" s="10">
        <f>IF(A2199="C",LEFT(UPPER(D2199)&amp;REPT(" ",2),2)," ")</f>
        <v/>
      </c>
      <c r="Z2199" s="10">
        <f>IF(A2199="C",LEFT(UPPER(E2199)&amp;REPT(" ",15),15)," ")</f>
        <v/>
      </c>
      <c r="AA2199" s="10">
        <f>REPT(" ",8)</f>
        <v/>
      </c>
      <c r="AB2199" s="10">
        <f>REPT(" ",4)</f>
        <v/>
      </c>
      <c r="AC2199" s="10">
        <f>LEFT(UPPER(H2199)&amp;REPT(" ",250),250)</f>
        <v/>
      </c>
      <c r="AD2199" s="10">
        <f>TEXT($G$2,"dd/mm/aaaa")</f>
        <v/>
      </c>
      <c r="AE2199" s="10">
        <f>REPT(" ",10)</f>
        <v/>
      </c>
      <c r="AF2199" s="10">
        <f>REPT(" ",20)</f>
        <v/>
      </c>
      <c r="AG2199" s="54">
        <f>REPT(" ",18-LEN(FIXED(F2199,2,TRUE)))&amp;FIXED(F2199,2,TRUE)</f>
        <v/>
      </c>
      <c r="AH2199" s="10">
        <f>LEN(AC2199)+LEN(AG2199)</f>
        <v/>
      </c>
      <c r="AI2199" s="10">
        <f>LEN(L2199)</f>
        <v/>
      </c>
    </row>
    <row r="2200">
      <c r="J2200" s="12">
        <f>IF(F2200&lt;&gt;0,"LANÇAR","")</f>
        <v/>
      </c>
      <c r="L2200" s="13">
        <f>N2200&amp;O2200&amp;P2200&amp;Q2200&amp;R2200&amp;S2200&amp;T2200&amp;U2200&amp;V2200&amp;W2200&amp;X2200&amp;Y2200&amp;Z2200&amp;AA2200&amp;AB2200&amp;AC2200&amp;AD2200&amp;AE2200&amp;AF2200&amp;AG2200</f>
        <v/>
      </c>
      <c r="N2200" s="10">
        <f>TEXT($B$6,"00")</f>
        <v/>
      </c>
      <c r="O2200" s="10">
        <f>REPT(" ",8)</f>
        <v/>
      </c>
      <c r="P2200" s="10">
        <f>RIGHT($B$4,2)</f>
        <v/>
      </c>
      <c r="Q2200" s="10">
        <f>RIGHT($B$5,3)</f>
        <v/>
      </c>
      <c r="R2200" s="10">
        <f>IF(A2200="D",LEFT(UPPER(B2200)&amp;REPT(" ",20),20),REPT(" ",20))</f>
        <v/>
      </c>
      <c r="S2200" s="10">
        <f>IF(A2200="D",LEFT(UPPER(C2200)&amp;REPT(" ",10),10)," ")</f>
        <v/>
      </c>
      <c r="T2200" s="10">
        <f>IF(A2200="D",LEFT(UPPER(D2200)&amp;REPT(" ",2),2)," ")</f>
        <v/>
      </c>
      <c r="U2200" s="10">
        <f>IF(A2200="D",LEFT(UPPER(E2200)&amp;REPT(" ",15),15)," ")</f>
        <v/>
      </c>
      <c r="V2200" s="10">
        <f>REPT(" ",24)</f>
        <v/>
      </c>
      <c r="W2200" s="10">
        <f>IF(A2200="c",LEFT(UPPER(B2200)&amp;REPT(" ",20),20),REPT(" ",20))</f>
        <v/>
      </c>
      <c r="X2200" s="10">
        <f>IF(A2200="C",LEFT(UPPER(C2200)&amp;REPT(" ",10),10)," ")</f>
        <v/>
      </c>
      <c r="Y2200" s="10">
        <f>IF(A2200="C",LEFT(UPPER(D2200)&amp;REPT(" ",2),2)," ")</f>
        <v/>
      </c>
      <c r="Z2200" s="10">
        <f>IF(A2200="C",LEFT(UPPER(E2200)&amp;REPT(" ",15),15)," ")</f>
        <v/>
      </c>
      <c r="AA2200" s="10">
        <f>REPT(" ",8)</f>
        <v/>
      </c>
      <c r="AB2200" s="10">
        <f>REPT(" ",4)</f>
        <v/>
      </c>
      <c r="AC2200" s="10">
        <f>LEFT(UPPER(H2200)&amp;REPT(" ",250),250)</f>
        <v/>
      </c>
      <c r="AD2200" s="10">
        <f>TEXT($G$2,"dd/mm/aaaa")</f>
        <v/>
      </c>
      <c r="AE2200" s="10">
        <f>REPT(" ",10)</f>
        <v/>
      </c>
      <c r="AF2200" s="10">
        <f>REPT(" ",20)</f>
        <v/>
      </c>
      <c r="AG2200" s="54">
        <f>REPT(" ",18-LEN(FIXED(F2200,2,TRUE)))&amp;FIXED(F2200,2,TRUE)</f>
        <v/>
      </c>
      <c r="AH2200" s="10">
        <f>LEN(AC2200)+LEN(AG2200)</f>
        <v/>
      </c>
      <c r="AI2200" s="10">
        <f>LEN(L2200)</f>
        <v/>
      </c>
    </row>
    <row r="2201">
      <c r="J2201" s="12">
        <f>IF(F2201&lt;&gt;0,"LANÇAR","")</f>
        <v/>
      </c>
      <c r="L2201" s="13">
        <f>N2201&amp;O2201&amp;P2201&amp;Q2201&amp;R2201&amp;S2201&amp;T2201&amp;U2201&amp;V2201&amp;W2201&amp;X2201&amp;Y2201&amp;Z2201&amp;AA2201&amp;AB2201&amp;AC2201&amp;AD2201&amp;AE2201&amp;AF2201&amp;AG2201</f>
        <v/>
      </c>
      <c r="N2201" s="10">
        <f>TEXT($B$6,"00")</f>
        <v/>
      </c>
      <c r="O2201" s="10">
        <f>REPT(" ",8)</f>
        <v/>
      </c>
      <c r="P2201" s="10">
        <f>RIGHT($B$4,2)</f>
        <v/>
      </c>
      <c r="Q2201" s="10">
        <f>RIGHT($B$5,3)</f>
        <v/>
      </c>
      <c r="R2201" s="10">
        <f>IF(A2201="D",LEFT(UPPER(B2201)&amp;REPT(" ",20),20),REPT(" ",20))</f>
        <v/>
      </c>
      <c r="S2201" s="10">
        <f>IF(A2201="D",LEFT(UPPER(C2201)&amp;REPT(" ",10),10)," ")</f>
        <v/>
      </c>
      <c r="T2201" s="10">
        <f>IF(A2201="D",LEFT(UPPER(D2201)&amp;REPT(" ",2),2)," ")</f>
        <v/>
      </c>
      <c r="U2201" s="10">
        <f>IF(A2201="D",LEFT(UPPER(E2201)&amp;REPT(" ",15),15)," ")</f>
        <v/>
      </c>
      <c r="V2201" s="10">
        <f>REPT(" ",24)</f>
        <v/>
      </c>
      <c r="W2201" s="10">
        <f>IF(A2201="c",LEFT(UPPER(B2201)&amp;REPT(" ",20),20),REPT(" ",20))</f>
        <v/>
      </c>
      <c r="X2201" s="10">
        <f>IF(A2201="C",LEFT(UPPER(C2201)&amp;REPT(" ",10),10)," ")</f>
        <v/>
      </c>
      <c r="Y2201" s="10">
        <f>IF(A2201="C",LEFT(UPPER(D2201)&amp;REPT(" ",2),2)," ")</f>
        <v/>
      </c>
      <c r="Z2201" s="10">
        <f>IF(A2201="C",LEFT(UPPER(E2201)&amp;REPT(" ",15),15)," ")</f>
        <v/>
      </c>
      <c r="AA2201" s="10">
        <f>REPT(" ",8)</f>
        <v/>
      </c>
      <c r="AB2201" s="10">
        <f>REPT(" ",4)</f>
        <v/>
      </c>
      <c r="AC2201" s="10">
        <f>LEFT(UPPER(H2201)&amp;REPT(" ",250),250)</f>
        <v/>
      </c>
      <c r="AD2201" s="10">
        <f>TEXT($G$2,"dd/mm/aaaa")</f>
        <v/>
      </c>
      <c r="AE2201" s="10">
        <f>REPT(" ",10)</f>
        <v/>
      </c>
      <c r="AF2201" s="10">
        <f>REPT(" ",20)</f>
        <v/>
      </c>
      <c r="AG2201" s="54">
        <f>REPT(" ",18-LEN(FIXED(F2201,2,TRUE)))&amp;FIXED(F2201,2,TRUE)</f>
        <v/>
      </c>
      <c r="AH2201" s="10">
        <f>LEN(AC2201)+LEN(AG2201)</f>
        <v/>
      </c>
      <c r="AI2201" s="10">
        <f>LEN(L2201)</f>
        <v/>
      </c>
    </row>
    <row r="2202">
      <c r="J2202" s="12">
        <f>IF(F2202&lt;&gt;0,"LANÇAR","")</f>
        <v/>
      </c>
      <c r="L2202" s="13">
        <f>N2202&amp;O2202&amp;P2202&amp;Q2202&amp;R2202&amp;S2202&amp;T2202&amp;U2202&amp;V2202&amp;W2202&amp;X2202&amp;Y2202&amp;Z2202&amp;AA2202&amp;AB2202&amp;AC2202&amp;AD2202&amp;AE2202&amp;AF2202&amp;AG2202</f>
        <v/>
      </c>
      <c r="N2202" s="10">
        <f>TEXT($B$6,"00")</f>
        <v/>
      </c>
      <c r="O2202" s="10">
        <f>REPT(" ",8)</f>
        <v/>
      </c>
      <c r="P2202" s="10">
        <f>RIGHT($B$4,2)</f>
        <v/>
      </c>
      <c r="Q2202" s="10">
        <f>RIGHT($B$5,3)</f>
        <v/>
      </c>
      <c r="R2202" s="10">
        <f>IF(A2202="D",LEFT(UPPER(B2202)&amp;REPT(" ",20),20),REPT(" ",20))</f>
        <v/>
      </c>
      <c r="S2202" s="10">
        <f>IF(A2202="D",LEFT(UPPER(C2202)&amp;REPT(" ",10),10)," ")</f>
        <v/>
      </c>
      <c r="T2202" s="10">
        <f>IF(A2202="D",LEFT(UPPER(D2202)&amp;REPT(" ",2),2)," ")</f>
        <v/>
      </c>
      <c r="U2202" s="10">
        <f>IF(A2202="D",LEFT(UPPER(E2202)&amp;REPT(" ",15),15)," ")</f>
        <v/>
      </c>
      <c r="V2202" s="10">
        <f>REPT(" ",24)</f>
        <v/>
      </c>
      <c r="W2202" s="10">
        <f>IF(A2202="c",LEFT(UPPER(B2202)&amp;REPT(" ",20),20),REPT(" ",20))</f>
        <v/>
      </c>
      <c r="X2202" s="10">
        <f>IF(A2202="C",LEFT(UPPER(C2202)&amp;REPT(" ",10),10)," ")</f>
        <v/>
      </c>
      <c r="Y2202" s="10">
        <f>IF(A2202="C",LEFT(UPPER(D2202)&amp;REPT(" ",2),2)," ")</f>
        <v/>
      </c>
      <c r="Z2202" s="10">
        <f>IF(A2202="C",LEFT(UPPER(E2202)&amp;REPT(" ",15),15)," ")</f>
        <v/>
      </c>
      <c r="AA2202" s="10">
        <f>REPT(" ",8)</f>
        <v/>
      </c>
      <c r="AB2202" s="10">
        <f>REPT(" ",4)</f>
        <v/>
      </c>
      <c r="AC2202" s="10">
        <f>LEFT(UPPER(H2202)&amp;REPT(" ",250),250)</f>
        <v/>
      </c>
      <c r="AD2202" s="10">
        <f>TEXT($G$2,"dd/mm/aaaa")</f>
        <v/>
      </c>
      <c r="AE2202" s="10">
        <f>REPT(" ",10)</f>
        <v/>
      </c>
      <c r="AF2202" s="10">
        <f>REPT(" ",20)</f>
        <v/>
      </c>
      <c r="AG2202" s="54">
        <f>REPT(" ",18-LEN(FIXED(F2202,2,TRUE)))&amp;FIXED(F2202,2,TRUE)</f>
        <v/>
      </c>
      <c r="AH2202" s="10">
        <f>LEN(AC2202)+LEN(AG2202)</f>
        <v/>
      </c>
      <c r="AI2202" s="10">
        <f>LEN(L2202)</f>
        <v/>
      </c>
    </row>
    <row r="2203">
      <c r="J2203" s="12">
        <f>IF(F2203&lt;&gt;0,"LANÇAR","")</f>
        <v/>
      </c>
      <c r="L2203" s="13">
        <f>N2203&amp;O2203&amp;P2203&amp;Q2203&amp;R2203&amp;S2203&amp;T2203&amp;U2203&amp;V2203&amp;W2203&amp;X2203&amp;Y2203&amp;Z2203&amp;AA2203&amp;AB2203&amp;AC2203&amp;AD2203&amp;AE2203&amp;AF2203&amp;AG2203</f>
        <v/>
      </c>
      <c r="N2203" s="10">
        <f>TEXT($B$6,"00")</f>
        <v/>
      </c>
      <c r="O2203" s="10">
        <f>REPT(" ",8)</f>
        <v/>
      </c>
      <c r="P2203" s="10">
        <f>RIGHT($B$4,2)</f>
        <v/>
      </c>
      <c r="Q2203" s="10">
        <f>RIGHT($B$5,3)</f>
        <v/>
      </c>
      <c r="R2203" s="10">
        <f>IF(A2203="D",LEFT(UPPER(B2203)&amp;REPT(" ",20),20),REPT(" ",20))</f>
        <v/>
      </c>
      <c r="S2203" s="10">
        <f>IF(A2203="D",LEFT(UPPER(C2203)&amp;REPT(" ",10),10)," ")</f>
        <v/>
      </c>
      <c r="T2203" s="10">
        <f>IF(A2203="D",LEFT(UPPER(D2203)&amp;REPT(" ",2),2)," ")</f>
        <v/>
      </c>
      <c r="U2203" s="10">
        <f>IF(A2203="D",LEFT(UPPER(E2203)&amp;REPT(" ",15),15)," ")</f>
        <v/>
      </c>
      <c r="V2203" s="10">
        <f>REPT(" ",24)</f>
        <v/>
      </c>
      <c r="W2203" s="10">
        <f>IF(A2203="c",LEFT(UPPER(B2203)&amp;REPT(" ",20),20),REPT(" ",20))</f>
        <v/>
      </c>
      <c r="X2203" s="10">
        <f>IF(A2203="C",LEFT(UPPER(C2203)&amp;REPT(" ",10),10)," ")</f>
        <v/>
      </c>
      <c r="Y2203" s="10">
        <f>IF(A2203="C",LEFT(UPPER(D2203)&amp;REPT(" ",2),2)," ")</f>
        <v/>
      </c>
      <c r="Z2203" s="10">
        <f>IF(A2203="C",LEFT(UPPER(E2203)&amp;REPT(" ",15),15)," ")</f>
        <v/>
      </c>
      <c r="AA2203" s="10">
        <f>REPT(" ",8)</f>
        <v/>
      </c>
      <c r="AB2203" s="10">
        <f>REPT(" ",4)</f>
        <v/>
      </c>
      <c r="AC2203" s="10">
        <f>LEFT(UPPER(H2203)&amp;REPT(" ",250),250)</f>
        <v/>
      </c>
      <c r="AD2203" s="10">
        <f>TEXT($G$2,"dd/mm/aaaa")</f>
        <v/>
      </c>
      <c r="AE2203" s="10">
        <f>REPT(" ",10)</f>
        <v/>
      </c>
      <c r="AF2203" s="10">
        <f>REPT(" ",20)</f>
        <v/>
      </c>
      <c r="AG2203" s="54">
        <f>REPT(" ",18-LEN(FIXED(F2203,2,TRUE)))&amp;FIXED(F2203,2,TRUE)</f>
        <v/>
      </c>
      <c r="AH2203" s="10">
        <f>LEN(AC2203)+LEN(AG2203)</f>
        <v/>
      </c>
      <c r="AI2203" s="10">
        <f>LEN(L2203)</f>
        <v/>
      </c>
    </row>
    <row r="2204">
      <c r="J2204" s="12">
        <f>IF(F2204&lt;&gt;0,"LANÇAR","")</f>
        <v/>
      </c>
      <c r="L2204" s="13">
        <f>N2204&amp;O2204&amp;P2204&amp;Q2204&amp;R2204&amp;S2204&amp;T2204&amp;U2204&amp;V2204&amp;W2204&amp;X2204&amp;Y2204&amp;Z2204&amp;AA2204&amp;AB2204&amp;AC2204&amp;AD2204&amp;AE2204&amp;AF2204&amp;AG2204</f>
        <v/>
      </c>
      <c r="N2204" s="10">
        <f>TEXT($B$6,"00")</f>
        <v/>
      </c>
      <c r="O2204" s="10">
        <f>REPT(" ",8)</f>
        <v/>
      </c>
      <c r="P2204" s="10">
        <f>RIGHT($B$4,2)</f>
        <v/>
      </c>
      <c r="Q2204" s="10">
        <f>RIGHT($B$5,3)</f>
        <v/>
      </c>
      <c r="R2204" s="10">
        <f>IF(A2204="D",LEFT(UPPER(B2204)&amp;REPT(" ",20),20),REPT(" ",20))</f>
        <v/>
      </c>
      <c r="S2204" s="10">
        <f>IF(A2204="D",LEFT(UPPER(C2204)&amp;REPT(" ",10),10)," ")</f>
        <v/>
      </c>
      <c r="T2204" s="10">
        <f>IF(A2204="D",LEFT(UPPER(D2204)&amp;REPT(" ",2),2)," ")</f>
        <v/>
      </c>
      <c r="U2204" s="10">
        <f>IF(A2204="D",LEFT(UPPER(E2204)&amp;REPT(" ",15),15)," ")</f>
        <v/>
      </c>
      <c r="V2204" s="10">
        <f>REPT(" ",24)</f>
        <v/>
      </c>
      <c r="W2204" s="10">
        <f>IF(A2204="c",LEFT(UPPER(B2204)&amp;REPT(" ",20),20),REPT(" ",20))</f>
        <v/>
      </c>
      <c r="X2204" s="10">
        <f>IF(A2204="C",LEFT(UPPER(C2204)&amp;REPT(" ",10),10)," ")</f>
        <v/>
      </c>
      <c r="Y2204" s="10">
        <f>IF(A2204="C",LEFT(UPPER(D2204)&amp;REPT(" ",2),2)," ")</f>
        <v/>
      </c>
      <c r="Z2204" s="10">
        <f>IF(A2204="C",LEFT(UPPER(E2204)&amp;REPT(" ",15),15)," ")</f>
        <v/>
      </c>
      <c r="AA2204" s="10">
        <f>REPT(" ",8)</f>
        <v/>
      </c>
      <c r="AB2204" s="10">
        <f>REPT(" ",4)</f>
        <v/>
      </c>
      <c r="AC2204" s="10">
        <f>LEFT(UPPER(H2204)&amp;REPT(" ",250),250)</f>
        <v/>
      </c>
      <c r="AD2204" s="10">
        <f>TEXT($G$2,"dd/mm/aaaa")</f>
        <v/>
      </c>
      <c r="AE2204" s="10">
        <f>REPT(" ",10)</f>
        <v/>
      </c>
      <c r="AF2204" s="10">
        <f>REPT(" ",20)</f>
        <v/>
      </c>
      <c r="AG2204" s="54">
        <f>REPT(" ",18-LEN(FIXED(F2204,2,TRUE)))&amp;FIXED(F2204,2,TRUE)</f>
        <v/>
      </c>
      <c r="AH2204" s="10">
        <f>LEN(AC2204)+LEN(AG2204)</f>
        <v/>
      </c>
      <c r="AI2204" s="10">
        <f>LEN(L2204)</f>
        <v/>
      </c>
    </row>
    <row r="2205">
      <c r="J2205" s="12">
        <f>IF(F2205&lt;&gt;0,"LANÇAR","")</f>
        <v/>
      </c>
      <c r="L2205" s="13">
        <f>N2205&amp;O2205&amp;P2205&amp;Q2205&amp;R2205&amp;S2205&amp;T2205&amp;U2205&amp;V2205&amp;W2205&amp;X2205&amp;Y2205&amp;Z2205&amp;AA2205&amp;AB2205&amp;AC2205&amp;AD2205&amp;AE2205&amp;AF2205&amp;AG2205</f>
        <v/>
      </c>
      <c r="N2205" s="10">
        <f>TEXT($B$6,"00")</f>
        <v/>
      </c>
      <c r="O2205" s="10">
        <f>REPT(" ",8)</f>
        <v/>
      </c>
      <c r="P2205" s="10">
        <f>RIGHT($B$4,2)</f>
        <v/>
      </c>
      <c r="Q2205" s="10">
        <f>RIGHT($B$5,3)</f>
        <v/>
      </c>
      <c r="R2205" s="10">
        <f>IF(A2205="D",LEFT(UPPER(B2205)&amp;REPT(" ",20),20),REPT(" ",20))</f>
        <v/>
      </c>
      <c r="S2205" s="10">
        <f>IF(A2205="D",LEFT(UPPER(C2205)&amp;REPT(" ",10),10)," ")</f>
        <v/>
      </c>
      <c r="T2205" s="10">
        <f>IF(A2205="D",LEFT(UPPER(D2205)&amp;REPT(" ",2),2)," ")</f>
        <v/>
      </c>
      <c r="U2205" s="10">
        <f>IF(A2205="D",LEFT(UPPER(E2205)&amp;REPT(" ",15),15)," ")</f>
        <v/>
      </c>
      <c r="V2205" s="10">
        <f>REPT(" ",24)</f>
        <v/>
      </c>
      <c r="W2205" s="10">
        <f>IF(A2205="c",LEFT(UPPER(B2205)&amp;REPT(" ",20),20),REPT(" ",20))</f>
        <v/>
      </c>
      <c r="X2205" s="10">
        <f>IF(A2205="C",LEFT(UPPER(C2205)&amp;REPT(" ",10),10)," ")</f>
        <v/>
      </c>
      <c r="Y2205" s="10">
        <f>IF(A2205="C",LEFT(UPPER(D2205)&amp;REPT(" ",2),2)," ")</f>
        <v/>
      </c>
      <c r="Z2205" s="10">
        <f>IF(A2205="C",LEFT(UPPER(E2205)&amp;REPT(" ",15),15)," ")</f>
        <v/>
      </c>
      <c r="AA2205" s="10">
        <f>REPT(" ",8)</f>
        <v/>
      </c>
      <c r="AB2205" s="10">
        <f>REPT(" ",4)</f>
        <v/>
      </c>
      <c r="AC2205" s="10">
        <f>LEFT(UPPER(H2205)&amp;REPT(" ",250),250)</f>
        <v/>
      </c>
      <c r="AD2205" s="10">
        <f>TEXT($G$2,"dd/mm/aaaa")</f>
        <v/>
      </c>
      <c r="AE2205" s="10">
        <f>REPT(" ",10)</f>
        <v/>
      </c>
      <c r="AF2205" s="10">
        <f>REPT(" ",20)</f>
        <v/>
      </c>
      <c r="AG2205" s="54">
        <f>REPT(" ",18-LEN(FIXED(F2205,2,TRUE)))&amp;FIXED(F2205,2,TRUE)</f>
        <v/>
      </c>
      <c r="AH2205" s="10">
        <f>LEN(AC2205)+LEN(AG2205)</f>
        <v/>
      </c>
      <c r="AI2205" s="10">
        <f>LEN(L2205)</f>
        <v/>
      </c>
    </row>
    <row r="2206">
      <c r="J2206" s="12">
        <f>IF(F2206&lt;&gt;0,"LANÇAR","")</f>
        <v/>
      </c>
      <c r="L2206" s="13">
        <f>N2206&amp;O2206&amp;P2206&amp;Q2206&amp;R2206&amp;S2206&amp;T2206&amp;U2206&amp;V2206&amp;W2206&amp;X2206&amp;Y2206&amp;Z2206&amp;AA2206&amp;AB2206&amp;AC2206&amp;AD2206&amp;AE2206&amp;AF2206&amp;AG2206</f>
        <v/>
      </c>
      <c r="N2206" s="10">
        <f>TEXT($B$6,"00")</f>
        <v/>
      </c>
      <c r="O2206" s="10">
        <f>REPT(" ",8)</f>
        <v/>
      </c>
      <c r="P2206" s="10">
        <f>RIGHT($B$4,2)</f>
        <v/>
      </c>
      <c r="Q2206" s="10">
        <f>RIGHT($B$5,3)</f>
        <v/>
      </c>
      <c r="R2206" s="10">
        <f>IF(A2206="D",LEFT(UPPER(B2206)&amp;REPT(" ",20),20),REPT(" ",20))</f>
        <v/>
      </c>
      <c r="S2206" s="10">
        <f>IF(A2206="D",LEFT(UPPER(C2206)&amp;REPT(" ",10),10)," ")</f>
        <v/>
      </c>
      <c r="T2206" s="10">
        <f>IF(A2206="D",LEFT(UPPER(D2206)&amp;REPT(" ",2),2)," ")</f>
        <v/>
      </c>
      <c r="U2206" s="10">
        <f>IF(A2206="D",LEFT(UPPER(E2206)&amp;REPT(" ",15),15)," ")</f>
        <v/>
      </c>
      <c r="V2206" s="10">
        <f>REPT(" ",24)</f>
        <v/>
      </c>
      <c r="W2206" s="10">
        <f>IF(A2206="c",LEFT(UPPER(B2206)&amp;REPT(" ",20),20),REPT(" ",20))</f>
        <v/>
      </c>
      <c r="X2206" s="10">
        <f>IF(A2206="C",LEFT(UPPER(C2206)&amp;REPT(" ",10),10)," ")</f>
        <v/>
      </c>
      <c r="Y2206" s="10">
        <f>IF(A2206="C",LEFT(UPPER(D2206)&amp;REPT(" ",2),2)," ")</f>
        <v/>
      </c>
      <c r="Z2206" s="10">
        <f>IF(A2206="C",LEFT(UPPER(E2206)&amp;REPT(" ",15),15)," ")</f>
        <v/>
      </c>
      <c r="AA2206" s="10">
        <f>REPT(" ",8)</f>
        <v/>
      </c>
      <c r="AB2206" s="10">
        <f>REPT(" ",4)</f>
        <v/>
      </c>
      <c r="AC2206" s="10">
        <f>LEFT(UPPER(H2206)&amp;REPT(" ",250),250)</f>
        <v/>
      </c>
      <c r="AD2206" s="10">
        <f>TEXT($G$2,"dd/mm/aaaa")</f>
        <v/>
      </c>
      <c r="AE2206" s="10">
        <f>REPT(" ",10)</f>
        <v/>
      </c>
      <c r="AF2206" s="10">
        <f>REPT(" ",20)</f>
        <v/>
      </c>
      <c r="AG2206" s="54">
        <f>REPT(" ",18-LEN(FIXED(F2206,2,TRUE)))&amp;FIXED(F2206,2,TRUE)</f>
        <v/>
      </c>
      <c r="AH2206" s="10">
        <f>LEN(AC2206)+LEN(AG2206)</f>
        <v/>
      </c>
      <c r="AI2206" s="10">
        <f>LEN(L2206)</f>
        <v/>
      </c>
    </row>
    <row r="2207">
      <c r="J2207" s="12">
        <f>IF(F2207&lt;&gt;0,"LANÇAR","")</f>
        <v/>
      </c>
      <c r="L2207" s="13">
        <f>N2207&amp;O2207&amp;P2207&amp;Q2207&amp;R2207&amp;S2207&amp;T2207&amp;U2207&amp;V2207&amp;W2207&amp;X2207&amp;Y2207&amp;Z2207&amp;AA2207&amp;AB2207&amp;AC2207&amp;AD2207&amp;AE2207&amp;AF2207&amp;AG2207</f>
        <v/>
      </c>
      <c r="N2207" s="10">
        <f>TEXT($B$6,"00")</f>
        <v/>
      </c>
      <c r="O2207" s="10">
        <f>REPT(" ",8)</f>
        <v/>
      </c>
      <c r="P2207" s="10">
        <f>RIGHT($B$4,2)</f>
        <v/>
      </c>
      <c r="Q2207" s="10">
        <f>RIGHT($B$5,3)</f>
        <v/>
      </c>
      <c r="R2207" s="10">
        <f>IF(A2207="D",LEFT(UPPER(B2207)&amp;REPT(" ",20),20),REPT(" ",20))</f>
        <v/>
      </c>
      <c r="S2207" s="10">
        <f>IF(A2207="D",LEFT(UPPER(C2207)&amp;REPT(" ",10),10)," ")</f>
        <v/>
      </c>
      <c r="T2207" s="10">
        <f>IF(A2207="D",LEFT(UPPER(D2207)&amp;REPT(" ",2),2)," ")</f>
        <v/>
      </c>
      <c r="U2207" s="10">
        <f>IF(A2207="D",LEFT(UPPER(E2207)&amp;REPT(" ",15),15)," ")</f>
        <v/>
      </c>
      <c r="V2207" s="10">
        <f>REPT(" ",24)</f>
        <v/>
      </c>
      <c r="W2207" s="10">
        <f>IF(A2207="c",LEFT(UPPER(B2207)&amp;REPT(" ",20),20),REPT(" ",20))</f>
        <v/>
      </c>
      <c r="X2207" s="10">
        <f>IF(A2207="C",LEFT(UPPER(C2207)&amp;REPT(" ",10),10)," ")</f>
        <v/>
      </c>
      <c r="Y2207" s="10">
        <f>IF(A2207="C",LEFT(UPPER(D2207)&amp;REPT(" ",2),2)," ")</f>
        <v/>
      </c>
      <c r="Z2207" s="10">
        <f>IF(A2207="C",LEFT(UPPER(E2207)&amp;REPT(" ",15),15)," ")</f>
        <v/>
      </c>
      <c r="AA2207" s="10">
        <f>REPT(" ",8)</f>
        <v/>
      </c>
      <c r="AB2207" s="10">
        <f>REPT(" ",4)</f>
        <v/>
      </c>
      <c r="AC2207" s="10">
        <f>LEFT(UPPER(H2207)&amp;REPT(" ",250),250)</f>
        <v/>
      </c>
      <c r="AD2207" s="10">
        <f>TEXT($G$2,"dd/mm/aaaa")</f>
        <v/>
      </c>
      <c r="AE2207" s="10">
        <f>REPT(" ",10)</f>
        <v/>
      </c>
      <c r="AF2207" s="10">
        <f>REPT(" ",20)</f>
        <v/>
      </c>
      <c r="AG2207" s="54">
        <f>REPT(" ",18-LEN(FIXED(F2207,2,TRUE)))&amp;FIXED(F2207,2,TRUE)</f>
        <v/>
      </c>
      <c r="AH2207" s="10">
        <f>LEN(AC2207)+LEN(AG2207)</f>
        <v/>
      </c>
      <c r="AI2207" s="10">
        <f>LEN(L2207)</f>
        <v/>
      </c>
    </row>
    <row r="2208">
      <c r="J2208" s="12">
        <f>IF(F2208&lt;&gt;0,"LANÇAR","")</f>
        <v/>
      </c>
      <c r="L2208" s="13">
        <f>N2208&amp;O2208&amp;P2208&amp;Q2208&amp;R2208&amp;S2208&amp;T2208&amp;U2208&amp;V2208&amp;W2208&amp;X2208&amp;Y2208&amp;Z2208&amp;AA2208&amp;AB2208&amp;AC2208&amp;AD2208&amp;AE2208&amp;AF2208&amp;AG2208</f>
        <v/>
      </c>
      <c r="N2208" s="10">
        <f>TEXT($B$6,"00")</f>
        <v/>
      </c>
      <c r="O2208" s="10">
        <f>REPT(" ",8)</f>
        <v/>
      </c>
      <c r="P2208" s="10">
        <f>RIGHT($B$4,2)</f>
        <v/>
      </c>
      <c r="Q2208" s="10">
        <f>RIGHT($B$5,3)</f>
        <v/>
      </c>
      <c r="R2208" s="10">
        <f>IF(A2208="D",LEFT(UPPER(B2208)&amp;REPT(" ",20),20),REPT(" ",20))</f>
        <v/>
      </c>
      <c r="S2208" s="10">
        <f>IF(A2208="D",LEFT(UPPER(C2208)&amp;REPT(" ",10),10)," ")</f>
        <v/>
      </c>
      <c r="T2208" s="10">
        <f>IF(A2208="D",LEFT(UPPER(D2208)&amp;REPT(" ",2),2)," ")</f>
        <v/>
      </c>
      <c r="U2208" s="10">
        <f>IF(A2208="D",LEFT(UPPER(E2208)&amp;REPT(" ",15),15)," ")</f>
        <v/>
      </c>
      <c r="V2208" s="10">
        <f>REPT(" ",24)</f>
        <v/>
      </c>
      <c r="W2208" s="10">
        <f>IF(A2208="c",LEFT(UPPER(B2208)&amp;REPT(" ",20),20),REPT(" ",20))</f>
        <v/>
      </c>
      <c r="X2208" s="10">
        <f>IF(A2208="C",LEFT(UPPER(C2208)&amp;REPT(" ",10),10)," ")</f>
        <v/>
      </c>
      <c r="Y2208" s="10">
        <f>IF(A2208="C",LEFT(UPPER(D2208)&amp;REPT(" ",2),2)," ")</f>
        <v/>
      </c>
      <c r="Z2208" s="10">
        <f>IF(A2208="C",LEFT(UPPER(E2208)&amp;REPT(" ",15),15)," ")</f>
        <v/>
      </c>
      <c r="AA2208" s="10">
        <f>REPT(" ",8)</f>
        <v/>
      </c>
      <c r="AB2208" s="10">
        <f>REPT(" ",4)</f>
        <v/>
      </c>
      <c r="AC2208" s="10">
        <f>LEFT(UPPER(H2208)&amp;REPT(" ",250),250)</f>
        <v/>
      </c>
      <c r="AD2208" s="10">
        <f>TEXT($G$2,"dd/mm/aaaa")</f>
        <v/>
      </c>
      <c r="AE2208" s="10">
        <f>REPT(" ",10)</f>
        <v/>
      </c>
      <c r="AF2208" s="10">
        <f>REPT(" ",20)</f>
        <v/>
      </c>
      <c r="AG2208" s="54">
        <f>REPT(" ",18-LEN(FIXED(F2208,2,TRUE)))&amp;FIXED(F2208,2,TRUE)</f>
        <v/>
      </c>
      <c r="AH2208" s="10">
        <f>LEN(AC2208)+LEN(AG2208)</f>
        <v/>
      </c>
      <c r="AI2208" s="10">
        <f>LEN(L2208)</f>
        <v/>
      </c>
    </row>
    <row r="2209">
      <c r="J2209" s="12">
        <f>IF(F2209&lt;&gt;0,"LANÇAR","")</f>
        <v/>
      </c>
      <c r="L2209" s="13">
        <f>N2209&amp;O2209&amp;P2209&amp;Q2209&amp;R2209&amp;S2209&amp;T2209&amp;U2209&amp;V2209&amp;W2209&amp;X2209&amp;Y2209&amp;Z2209&amp;AA2209&amp;AB2209&amp;AC2209&amp;AD2209&amp;AE2209&amp;AF2209&amp;AG2209</f>
        <v/>
      </c>
      <c r="N2209" s="10">
        <f>TEXT($B$6,"00")</f>
        <v/>
      </c>
      <c r="O2209" s="10">
        <f>REPT(" ",8)</f>
        <v/>
      </c>
      <c r="P2209" s="10">
        <f>RIGHT($B$4,2)</f>
        <v/>
      </c>
      <c r="Q2209" s="10">
        <f>RIGHT($B$5,3)</f>
        <v/>
      </c>
      <c r="R2209" s="10">
        <f>IF(A2209="D",LEFT(UPPER(B2209)&amp;REPT(" ",20),20),REPT(" ",20))</f>
        <v/>
      </c>
      <c r="S2209" s="10">
        <f>IF(A2209="D",LEFT(UPPER(C2209)&amp;REPT(" ",10),10)," ")</f>
        <v/>
      </c>
      <c r="T2209" s="10">
        <f>IF(A2209="D",LEFT(UPPER(D2209)&amp;REPT(" ",2),2)," ")</f>
        <v/>
      </c>
      <c r="U2209" s="10">
        <f>IF(A2209="D",LEFT(UPPER(E2209)&amp;REPT(" ",15),15)," ")</f>
        <v/>
      </c>
      <c r="V2209" s="10">
        <f>REPT(" ",24)</f>
        <v/>
      </c>
      <c r="W2209" s="10">
        <f>IF(A2209="c",LEFT(UPPER(B2209)&amp;REPT(" ",20),20),REPT(" ",20))</f>
        <v/>
      </c>
      <c r="X2209" s="10">
        <f>IF(A2209="C",LEFT(UPPER(C2209)&amp;REPT(" ",10),10)," ")</f>
        <v/>
      </c>
      <c r="Y2209" s="10">
        <f>IF(A2209="C",LEFT(UPPER(D2209)&amp;REPT(" ",2),2)," ")</f>
        <v/>
      </c>
      <c r="Z2209" s="10">
        <f>IF(A2209="C",LEFT(UPPER(E2209)&amp;REPT(" ",15),15)," ")</f>
        <v/>
      </c>
      <c r="AA2209" s="10">
        <f>REPT(" ",8)</f>
        <v/>
      </c>
      <c r="AB2209" s="10">
        <f>REPT(" ",4)</f>
        <v/>
      </c>
      <c r="AC2209" s="10">
        <f>LEFT(UPPER(H2209)&amp;REPT(" ",250),250)</f>
        <v/>
      </c>
      <c r="AD2209" s="10">
        <f>TEXT($G$2,"dd/mm/aaaa")</f>
        <v/>
      </c>
      <c r="AE2209" s="10">
        <f>REPT(" ",10)</f>
        <v/>
      </c>
      <c r="AF2209" s="10">
        <f>REPT(" ",20)</f>
        <v/>
      </c>
      <c r="AG2209" s="54">
        <f>REPT(" ",18-LEN(FIXED(F2209,2,TRUE)))&amp;FIXED(F2209,2,TRUE)</f>
        <v/>
      </c>
      <c r="AH2209" s="10">
        <f>LEN(AC2209)+LEN(AG2209)</f>
        <v/>
      </c>
      <c r="AI2209" s="10">
        <f>LEN(L2209)</f>
        <v/>
      </c>
    </row>
    <row r="2210">
      <c r="J2210" s="12">
        <f>IF(F2210&lt;&gt;0,"LANÇAR","")</f>
        <v/>
      </c>
      <c r="L2210" s="13">
        <f>N2210&amp;O2210&amp;P2210&amp;Q2210&amp;R2210&amp;S2210&amp;T2210&amp;U2210&amp;V2210&amp;W2210&amp;X2210&amp;Y2210&amp;Z2210&amp;AA2210&amp;AB2210&amp;AC2210&amp;AD2210&amp;AE2210&amp;AF2210&amp;AG2210</f>
        <v/>
      </c>
      <c r="N2210" s="10">
        <f>TEXT($B$6,"00")</f>
        <v/>
      </c>
      <c r="O2210" s="10">
        <f>REPT(" ",8)</f>
        <v/>
      </c>
      <c r="P2210" s="10">
        <f>RIGHT($B$4,2)</f>
        <v/>
      </c>
      <c r="Q2210" s="10">
        <f>RIGHT($B$5,3)</f>
        <v/>
      </c>
      <c r="R2210" s="10">
        <f>IF(A2210="D",LEFT(UPPER(B2210)&amp;REPT(" ",20),20),REPT(" ",20))</f>
        <v/>
      </c>
      <c r="S2210" s="10">
        <f>IF(A2210="D",LEFT(UPPER(C2210)&amp;REPT(" ",10),10)," ")</f>
        <v/>
      </c>
      <c r="T2210" s="10">
        <f>IF(A2210="D",LEFT(UPPER(D2210)&amp;REPT(" ",2),2)," ")</f>
        <v/>
      </c>
      <c r="U2210" s="10">
        <f>IF(A2210="D",LEFT(UPPER(E2210)&amp;REPT(" ",15),15)," ")</f>
        <v/>
      </c>
      <c r="V2210" s="10">
        <f>REPT(" ",24)</f>
        <v/>
      </c>
      <c r="W2210" s="10">
        <f>IF(A2210="c",LEFT(UPPER(B2210)&amp;REPT(" ",20),20),REPT(" ",20))</f>
        <v/>
      </c>
      <c r="X2210" s="10">
        <f>IF(A2210="C",LEFT(UPPER(C2210)&amp;REPT(" ",10),10)," ")</f>
        <v/>
      </c>
      <c r="Y2210" s="10">
        <f>IF(A2210="C",LEFT(UPPER(D2210)&amp;REPT(" ",2),2)," ")</f>
        <v/>
      </c>
      <c r="Z2210" s="10">
        <f>IF(A2210="C",LEFT(UPPER(E2210)&amp;REPT(" ",15),15)," ")</f>
        <v/>
      </c>
      <c r="AA2210" s="10">
        <f>REPT(" ",8)</f>
        <v/>
      </c>
      <c r="AB2210" s="10">
        <f>REPT(" ",4)</f>
        <v/>
      </c>
      <c r="AC2210" s="10">
        <f>LEFT(UPPER(H2210)&amp;REPT(" ",250),250)</f>
        <v/>
      </c>
      <c r="AD2210" s="10">
        <f>TEXT($G$2,"dd/mm/aaaa")</f>
        <v/>
      </c>
      <c r="AE2210" s="10">
        <f>REPT(" ",10)</f>
        <v/>
      </c>
      <c r="AF2210" s="10">
        <f>REPT(" ",20)</f>
        <v/>
      </c>
      <c r="AG2210" s="54">
        <f>REPT(" ",18-LEN(FIXED(F2210,2,TRUE)))&amp;FIXED(F2210,2,TRUE)</f>
        <v/>
      </c>
      <c r="AH2210" s="10">
        <f>LEN(AC2210)+LEN(AG2210)</f>
        <v/>
      </c>
      <c r="AI2210" s="10">
        <f>LEN(L2210)</f>
        <v/>
      </c>
    </row>
    <row r="2211">
      <c r="J2211" s="12">
        <f>IF(F2211&lt;&gt;0,"LANÇAR","")</f>
        <v/>
      </c>
      <c r="L2211" s="13">
        <f>N2211&amp;O2211&amp;P2211&amp;Q2211&amp;R2211&amp;S2211&amp;T2211&amp;U2211&amp;V2211&amp;W2211&amp;X2211&amp;Y2211&amp;Z2211&amp;AA2211&amp;AB2211&amp;AC2211&amp;AD2211&amp;AE2211&amp;AF2211&amp;AG2211</f>
        <v/>
      </c>
      <c r="N2211" s="10">
        <f>TEXT($B$6,"00")</f>
        <v/>
      </c>
      <c r="O2211" s="10">
        <f>REPT(" ",8)</f>
        <v/>
      </c>
      <c r="P2211" s="10">
        <f>RIGHT($B$4,2)</f>
        <v/>
      </c>
      <c r="Q2211" s="10">
        <f>RIGHT($B$5,3)</f>
        <v/>
      </c>
      <c r="R2211" s="10">
        <f>IF(A2211="D",LEFT(UPPER(B2211)&amp;REPT(" ",20),20),REPT(" ",20))</f>
        <v/>
      </c>
      <c r="S2211" s="10">
        <f>IF(A2211="D",LEFT(UPPER(C2211)&amp;REPT(" ",10),10)," ")</f>
        <v/>
      </c>
      <c r="T2211" s="10">
        <f>IF(A2211="D",LEFT(UPPER(D2211)&amp;REPT(" ",2),2)," ")</f>
        <v/>
      </c>
      <c r="U2211" s="10">
        <f>IF(A2211="D",LEFT(UPPER(E2211)&amp;REPT(" ",15),15)," ")</f>
        <v/>
      </c>
      <c r="V2211" s="10">
        <f>REPT(" ",24)</f>
        <v/>
      </c>
      <c r="W2211" s="10">
        <f>IF(A2211="c",LEFT(UPPER(B2211)&amp;REPT(" ",20),20),REPT(" ",20))</f>
        <v/>
      </c>
      <c r="X2211" s="10">
        <f>IF(A2211="C",LEFT(UPPER(C2211)&amp;REPT(" ",10),10)," ")</f>
        <v/>
      </c>
      <c r="Y2211" s="10">
        <f>IF(A2211="C",LEFT(UPPER(D2211)&amp;REPT(" ",2),2)," ")</f>
        <v/>
      </c>
      <c r="Z2211" s="10">
        <f>IF(A2211="C",LEFT(UPPER(E2211)&amp;REPT(" ",15),15)," ")</f>
        <v/>
      </c>
      <c r="AA2211" s="10">
        <f>REPT(" ",8)</f>
        <v/>
      </c>
      <c r="AB2211" s="10">
        <f>REPT(" ",4)</f>
        <v/>
      </c>
      <c r="AC2211" s="10">
        <f>LEFT(UPPER(H2211)&amp;REPT(" ",250),250)</f>
        <v/>
      </c>
      <c r="AD2211" s="10">
        <f>TEXT($G$2,"dd/mm/aaaa")</f>
        <v/>
      </c>
      <c r="AE2211" s="10">
        <f>REPT(" ",10)</f>
        <v/>
      </c>
      <c r="AF2211" s="10">
        <f>REPT(" ",20)</f>
        <v/>
      </c>
      <c r="AG2211" s="54">
        <f>REPT(" ",18-LEN(FIXED(F2211,2,TRUE)))&amp;FIXED(F2211,2,TRUE)</f>
        <v/>
      </c>
      <c r="AH2211" s="10">
        <f>LEN(AC2211)+LEN(AG2211)</f>
        <v/>
      </c>
      <c r="AI2211" s="10">
        <f>LEN(L2211)</f>
        <v/>
      </c>
    </row>
    <row r="2212">
      <c r="J2212" s="12">
        <f>IF(F2212&lt;&gt;0,"LANÇAR","")</f>
        <v/>
      </c>
      <c r="L2212" s="13">
        <f>N2212&amp;O2212&amp;P2212&amp;Q2212&amp;R2212&amp;S2212&amp;T2212&amp;U2212&amp;V2212&amp;W2212&amp;X2212&amp;Y2212&amp;Z2212&amp;AA2212&amp;AB2212&amp;AC2212&amp;AD2212&amp;AE2212&amp;AF2212&amp;AG2212</f>
        <v/>
      </c>
      <c r="N2212" s="10">
        <f>TEXT($B$6,"00")</f>
        <v/>
      </c>
      <c r="O2212" s="10">
        <f>REPT(" ",8)</f>
        <v/>
      </c>
      <c r="P2212" s="10">
        <f>RIGHT($B$4,2)</f>
        <v/>
      </c>
      <c r="Q2212" s="10">
        <f>RIGHT($B$5,3)</f>
        <v/>
      </c>
      <c r="R2212" s="10">
        <f>IF(A2212="D",LEFT(UPPER(B2212)&amp;REPT(" ",20),20),REPT(" ",20))</f>
        <v/>
      </c>
      <c r="S2212" s="10">
        <f>IF(A2212="D",LEFT(UPPER(C2212)&amp;REPT(" ",10),10)," ")</f>
        <v/>
      </c>
      <c r="T2212" s="10">
        <f>IF(A2212="D",LEFT(UPPER(D2212)&amp;REPT(" ",2),2)," ")</f>
        <v/>
      </c>
      <c r="U2212" s="10">
        <f>IF(A2212="D",LEFT(UPPER(E2212)&amp;REPT(" ",15),15)," ")</f>
        <v/>
      </c>
      <c r="V2212" s="10">
        <f>REPT(" ",24)</f>
        <v/>
      </c>
      <c r="W2212" s="10">
        <f>IF(A2212="c",LEFT(UPPER(B2212)&amp;REPT(" ",20),20),REPT(" ",20))</f>
        <v/>
      </c>
      <c r="X2212" s="10">
        <f>IF(A2212="C",LEFT(UPPER(C2212)&amp;REPT(" ",10),10)," ")</f>
        <v/>
      </c>
      <c r="Y2212" s="10">
        <f>IF(A2212="C",LEFT(UPPER(D2212)&amp;REPT(" ",2),2)," ")</f>
        <v/>
      </c>
      <c r="Z2212" s="10">
        <f>IF(A2212="C",LEFT(UPPER(E2212)&amp;REPT(" ",15),15)," ")</f>
        <v/>
      </c>
      <c r="AA2212" s="10">
        <f>REPT(" ",8)</f>
        <v/>
      </c>
      <c r="AB2212" s="10">
        <f>REPT(" ",4)</f>
        <v/>
      </c>
      <c r="AC2212" s="10">
        <f>LEFT(UPPER(H2212)&amp;REPT(" ",250),250)</f>
        <v/>
      </c>
      <c r="AD2212" s="10">
        <f>TEXT($G$2,"dd/mm/aaaa")</f>
        <v/>
      </c>
      <c r="AE2212" s="10">
        <f>REPT(" ",10)</f>
        <v/>
      </c>
      <c r="AF2212" s="10">
        <f>REPT(" ",20)</f>
        <v/>
      </c>
      <c r="AG2212" s="54">
        <f>REPT(" ",18-LEN(FIXED(F2212,2,TRUE)))&amp;FIXED(F2212,2,TRUE)</f>
        <v/>
      </c>
      <c r="AH2212" s="10">
        <f>LEN(AC2212)+LEN(AG2212)</f>
        <v/>
      </c>
      <c r="AI2212" s="10">
        <f>LEN(L2212)</f>
        <v/>
      </c>
    </row>
    <row r="2213">
      <c r="J2213" s="12">
        <f>IF(F2213&lt;&gt;0,"LANÇAR","")</f>
        <v/>
      </c>
      <c r="L2213" s="13">
        <f>N2213&amp;O2213&amp;P2213&amp;Q2213&amp;R2213&amp;S2213&amp;T2213&amp;U2213&amp;V2213&amp;W2213&amp;X2213&amp;Y2213&amp;Z2213&amp;AA2213&amp;AB2213&amp;AC2213&amp;AD2213&amp;AE2213&amp;AF2213&amp;AG2213</f>
        <v/>
      </c>
      <c r="N2213" s="10">
        <f>TEXT($B$6,"00")</f>
        <v/>
      </c>
      <c r="O2213" s="10">
        <f>REPT(" ",8)</f>
        <v/>
      </c>
      <c r="P2213" s="10">
        <f>RIGHT($B$4,2)</f>
        <v/>
      </c>
      <c r="Q2213" s="10">
        <f>RIGHT($B$5,3)</f>
        <v/>
      </c>
      <c r="R2213" s="10">
        <f>IF(A2213="D",LEFT(UPPER(B2213)&amp;REPT(" ",20),20),REPT(" ",20))</f>
        <v/>
      </c>
      <c r="S2213" s="10">
        <f>IF(A2213="D",LEFT(UPPER(C2213)&amp;REPT(" ",10),10)," ")</f>
        <v/>
      </c>
      <c r="T2213" s="10">
        <f>IF(A2213="D",LEFT(UPPER(D2213)&amp;REPT(" ",2),2)," ")</f>
        <v/>
      </c>
      <c r="U2213" s="10">
        <f>IF(A2213="D",LEFT(UPPER(E2213)&amp;REPT(" ",15),15)," ")</f>
        <v/>
      </c>
      <c r="V2213" s="10">
        <f>REPT(" ",24)</f>
        <v/>
      </c>
      <c r="W2213" s="10">
        <f>IF(A2213="c",LEFT(UPPER(B2213)&amp;REPT(" ",20),20),REPT(" ",20))</f>
        <v/>
      </c>
      <c r="X2213" s="10">
        <f>IF(A2213="C",LEFT(UPPER(C2213)&amp;REPT(" ",10),10)," ")</f>
        <v/>
      </c>
      <c r="Y2213" s="10">
        <f>IF(A2213="C",LEFT(UPPER(D2213)&amp;REPT(" ",2),2)," ")</f>
        <v/>
      </c>
      <c r="Z2213" s="10">
        <f>IF(A2213="C",LEFT(UPPER(E2213)&amp;REPT(" ",15),15)," ")</f>
        <v/>
      </c>
      <c r="AA2213" s="10">
        <f>REPT(" ",8)</f>
        <v/>
      </c>
      <c r="AB2213" s="10">
        <f>REPT(" ",4)</f>
        <v/>
      </c>
      <c r="AC2213" s="10">
        <f>LEFT(UPPER(H2213)&amp;REPT(" ",250),250)</f>
        <v/>
      </c>
      <c r="AD2213" s="10">
        <f>TEXT($G$2,"dd/mm/aaaa")</f>
        <v/>
      </c>
      <c r="AE2213" s="10">
        <f>REPT(" ",10)</f>
        <v/>
      </c>
      <c r="AF2213" s="10">
        <f>REPT(" ",20)</f>
        <v/>
      </c>
      <c r="AG2213" s="54">
        <f>REPT(" ",18-LEN(FIXED(F2213,2,TRUE)))&amp;FIXED(F2213,2,TRUE)</f>
        <v/>
      </c>
      <c r="AH2213" s="10">
        <f>LEN(AC2213)+LEN(AG2213)</f>
        <v/>
      </c>
      <c r="AI2213" s="10">
        <f>LEN(L2213)</f>
        <v/>
      </c>
    </row>
    <row r="2214">
      <c r="J2214" s="12">
        <f>IF(F2214&lt;&gt;0,"LANÇAR","")</f>
        <v/>
      </c>
      <c r="L2214" s="13">
        <f>N2214&amp;O2214&amp;P2214&amp;Q2214&amp;R2214&amp;S2214&amp;T2214&amp;U2214&amp;V2214&amp;W2214&amp;X2214&amp;Y2214&amp;Z2214&amp;AA2214&amp;AB2214&amp;AC2214&amp;AD2214&amp;AE2214&amp;AF2214&amp;AG2214</f>
        <v/>
      </c>
      <c r="N2214" s="10">
        <f>TEXT($B$6,"00")</f>
        <v/>
      </c>
      <c r="O2214" s="10">
        <f>REPT(" ",8)</f>
        <v/>
      </c>
      <c r="P2214" s="10">
        <f>RIGHT($B$4,2)</f>
        <v/>
      </c>
      <c r="Q2214" s="10">
        <f>RIGHT($B$5,3)</f>
        <v/>
      </c>
      <c r="R2214" s="10">
        <f>IF(A2214="D",LEFT(UPPER(B2214)&amp;REPT(" ",20),20),REPT(" ",20))</f>
        <v/>
      </c>
      <c r="S2214" s="10">
        <f>IF(A2214="D",LEFT(UPPER(C2214)&amp;REPT(" ",10),10)," ")</f>
        <v/>
      </c>
      <c r="T2214" s="10">
        <f>IF(A2214="D",LEFT(UPPER(D2214)&amp;REPT(" ",2),2)," ")</f>
        <v/>
      </c>
      <c r="U2214" s="10">
        <f>IF(A2214="D",LEFT(UPPER(E2214)&amp;REPT(" ",15),15)," ")</f>
        <v/>
      </c>
      <c r="V2214" s="10">
        <f>REPT(" ",24)</f>
        <v/>
      </c>
      <c r="W2214" s="10">
        <f>IF(A2214="c",LEFT(UPPER(B2214)&amp;REPT(" ",20),20),REPT(" ",20))</f>
        <v/>
      </c>
      <c r="X2214" s="10">
        <f>IF(A2214="C",LEFT(UPPER(C2214)&amp;REPT(" ",10),10)," ")</f>
        <v/>
      </c>
      <c r="Y2214" s="10">
        <f>IF(A2214="C",LEFT(UPPER(D2214)&amp;REPT(" ",2),2)," ")</f>
        <v/>
      </c>
      <c r="Z2214" s="10">
        <f>IF(A2214="C",LEFT(UPPER(E2214)&amp;REPT(" ",15),15)," ")</f>
        <v/>
      </c>
      <c r="AA2214" s="10">
        <f>REPT(" ",8)</f>
        <v/>
      </c>
      <c r="AB2214" s="10">
        <f>REPT(" ",4)</f>
        <v/>
      </c>
      <c r="AC2214" s="10">
        <f>LEFT(UPPER(H2214)&amp;REPT(" ",250),250)</f>
        <v/>
      </c>
      <c r="AD2214" s="10">
        <f>TEXT($G$2,"dd/mm/aaaa")</f>
        <v/>
      </c>
      <c r="AE2214" s="10">
        <f>REPT(" ",10)</f>
        <v/>
      </c>
      <c r="AF2214" s="10">
        <f>REPT(" ",20)</f>
        <v/>
      </c>
      <c r="AG2214" s="54">
        <f>REPT(" ",18-LEN(FIXED(F2214,2,TRUE)))&amp;FIXED(F2214,2,TRUE)</f>
        <v/>
      </c>
      <c r="AH2214" s="10">
        <f>LEN(AC2214)+LEN(AG2214)</f>
        <v/>
      </c>
      <c r="AI2214" s="10">
        <f>LEN(L2214)</f>
        <v/>
      </c>
    </row>
    <row r="2215">
      <c r="J2215" s="12">
        <f>IF(F2215&lt;&gt;0,"LANÇAR","")</f>
        <v/>
      </c>
      <c r="L2215" s="13">
        <f>N2215&amp;O2215&amp;P2215&amp;Q2215&amp;R2215&amp;S2215&amp;T2215&amp;U2215&amp;V2215&amp;W2215&amp;X2215&amp;Y2215&amp;Z2215&amp;AA2215&amp;AB2215&amp;AC2215&amp;AD2215&amp;AE2215&amp;AF2215&amp;AG2215</f>
        <v/>
      </c>
      <c r="N2215" s="10">
        <f>TEXT($B$6,"00")</f>
        <v/>
      </c>
      <c r="O2215" s="10">
        <f>REPT(" ",8)</f>
        <v/>
      </c>
      <c r="P2215" s="10">
        <f>RIGHT($B$4,2)</f>
        <v/>
      </c>
      <c r="Q2215" s="10">
        <f>RIGHT($B$5,3)</f>
        <v/>
      </c>
      <c r="R2215" s="10">
        <f>IF(A2215="D",LEFT(UPPER(B2215)&amp;REPT(" ",20),20),REPT(" ",20))</f>
        <v/>
      </c>
      <c r="S2215" s="10">
        <f>IF(A2215="D",LEFT(UPPER(C2215)&amp;REPT(" ",10),10)," ")</f>
        <v/>
      </c>
      <c r="T2215" s="10">
        <f>IF(A2215="D",LEFT(UPPER(D2215)&amp;REPT(" ",2),2)," ")</f>
        <v/>
      </c>
      <c r="U2215" s="10">
        <f>IF(A2215="D",LEFT(UPPER(E2215)&amp;REPT(" ",15),15)," ")</f>
        <v/>
      </c>
      <c r="V2215" s="10">
        <f>REPT(" ",24)</f>
        <v/>
      </c>
      <c r="W2215" s="10">
        <f>IF(A2215="c",LEFT(UPPER(B2215)&amp;REPT(" ",20),20),REPT(" ",20))</f>
        <v/>
      </c>
      <c r="X2215" s="10">
        <f>IF(A2215="C",LEFT(UPPER(C2215)&amp;REPT(" ",10),10)," ")</f>
        <v/>
      </c>
      <c r="Y2215" s="10">
        <f>IF(A2215="C",LEFT(UPPER(D2215)&amp;REPT(" ",2),2)," ")</f>
        <v/>
      </c>
      <c r="Z2215" s="10">
        <f>IF(A2215="C",LEFT(UPPER(E2215)&amp;REPT(" ",15),15)," ")</f>
        <v/>
      </c>
      <c r="AA2215" s="10">
        <f>REPT(" ",8)</f>
        <v/>
      </c>
      <c r="AB2215" s="10">
        <f>REPT(" ",4)</f>
        <v/>
      </c>
      <c r="AC2215" s="10">
        <f>LEFT(UPPER(H2215)&amp;REPT(" ",250),250)</f>
        <v/>
      </c>
      <c r="AD2215" s="10">
        <f>TEXT($G$2,"dd/mm/aaaa")</f>
        <v/>
      </c>
      <c r="AE2215" s="10">
        <f>REPT(" ",10)</f>
        <v/>
      </c>
      <c r="AF2215" s="10">
        <f>REPT(" ",20)</f>
        <v/>
      </c>
      <c r="AG2215" s="54">
        <f>REPT(" ",18-LEN(FIXED(F2215,2,TRUE)))&amp;FIXED(F2215,2,TRUE)</f>
        <v/>
      </c>
      <c r="AH2215" s="10">
        <f>LEN(AC2215)+LEN(AG2215)</f>
        <v/>
      </c>
      <c r="AI2215" s="10">
        <f>LEN(L2215)</f>
        <v/>
      </c>
    </row>
    <row r="2216">
      <c r="J2216" s="12">
        <f>IF(F2216&lt;&gt;0,"LANÇAR","")</f>
        <v/>
      </c>
      <c r="L2216" s="13">
        <f>N2216&amp;O2216&amp;P2216&amp;Q2216&amp;R2216&amp;S2216&amp;T2216&amp;U2216&amp;V2216&amp;W2216&amp;X2216&amp;Y2216&amp;Z2216&amp;AA2216&amp;AB2216&amp;AC2216&amp;AD2216&amp;AE2216&amp;AF2216&amp;AG2216</f>
        <v/>
      </c>
      <c r="N2216" s="10">
        <f>TEXT($B$6,"00")</f>
        <v/>
      </c>
      <c r="O2216" s="10">
        <f>REPT(" ",8)</f>
        <v/>
      </c>
      <c r="P2216" s="10">
        <f>RIGHT($B$4,2)</f>
        <v/>
      </c>
      <c r="Q2216" s="10">
        <f>RIGHT($B$5,3)</f>
        <v/>
      </c>
      <c r="R2216" s="10">
        <f>IF(A2216="D",LEFT(UPPER(B2216)&amp;REPT(" ",20),20),REPT(" ",20))</f>
        <v/>
      </c>
      <c r="S2216" s="10">
        <f>IF(A2216="D",LEFT(UPPER(C2216)&amp;REPT(" ",10),10)," ")</f>
        <v/>
      </c>
      <c r="T2216" s="10">
        <f>IF(A2216="D",LEFT(UPPER(D2216)&amp;REPT(" ",2),2)," ")</f>
        <v/>
      </c>
      <c r="U2216" s="10">
        <f>IF(A2216="D",LEFT(UPPER(E2216)&amp;REPT(" ",15),15)," ")</f>
        <v/>
      </c>
      <c r="V2216" s="10">
        <f>REPT(" ",24)</f>
        <v/>
      </c>
      <c r="W2216" s="10">
        <f>IF(A2216="c",LEFT(UPPER(B2216)&amp;REPT(" ",20),20),REPT(" ",20))</f>
        <v/>
      </c>
      <c r="X2216" s="10">
        <f>IF(A2216="C",LEFT(UPPER(C2216)&amp;REPT(" ",10),10)," ")</f>
        <v/>
      </c>
      <c r="Y2216" s="10">
        <f>IF(A2216="C",LEFT(UPPER(D2216)&amp;REPT(" ",2),2)," ")</f>
        <v/>
      </c>
      <c r="Z2216" s="10">
        <f>IF(A2216="C",LEFT(UPPER(E2216)&amp;REPT(" ",15),15)," ")</f>
        <v/>
      </c>
      <c r="AA2216" s="10">
        <f>REPT(" ",8)</f>
        <v/>
      </c>
      <c r="AB2216" s="10">
        <f>REPT(" ",4)</f>
        <v/>
      </c>
      <c r="AC2216" s="10">
        <f>LEFT(UPPER(H2216)&amp;REPT(" ",250),250)</f>
        <v/>
      </c>
      <c r="AD2216" s="10">
        <f>TEXT($G$2,"dd/mm/aaaa")</f>
        <v/>
      </c>
      <c r="AE2216" s="10">
        <f>REPT(" ",10)</f>
        <v/>
      </c>
      <c r="AF2216" s="10">
        <f>REPT(" ",20)</f>
        <v/>
      </c>
      <c r="AG2216" s="54">
        <f>REPT(" ",18-LEN(FIXED(F2216,2,TRUE)))&amp;FIXED(F2216,2,TRUE)</f>
        <v/>
      </c>
      <c r="AH2216" s="10">
        <f>LEN(AC2216)+LEN(AG2216)</f>
        <v/>
      </c>
      <c r="AI2216" s="10">
        <f>LEN(L2216)</f>
        <v/>
      </c>
    </row>
    <row r="2217">
      <c r="J2217" s="12">
        <f>IF(F2217&lt;&gt;0,"LANÇAR","")</f>
        <v/>
      </c>
      <c r="L2217" s="13">
        <f>N2217&amp;O2217&amp;P2217&amp;Q2217&amp;R2217&amp;S2217&amp;T2217&amp;U2217&amp;V2217&amp;W2217&amp;X2217&amp;Y2217&amp;Z2217&amp;AA2217&amp;AB2217&amp;AC2217&amp;AD2217&amp;AE2217&amp;AF2217&amp;AG2217</f>
        <v/>
      </c>
      <c r="N2217" s="10">
        <f>TEXT($B$6,"00")</f>
        <v/>
      </c>
      <c r="O2217" s="10">
        <f>REPT(" ",8)</f>
        <v/>
      </c>
      <c r="P2217" s="10">
        <f>RIGHT($B$4,2)</f>
        <v/>
      </c>
      <c r="Q2217" s="10">
        <f>RIGHT($B$5,3)</f>
        <v/>
      </c>
      <c r="R2217" s="10">
        <f>IF(A2217="D",LEFT(UPPER(B2217)&amp;REPT(" ",20),20),REPT(" ",20))</f>
        <v/>
      </c>
      <c r="S2217" s="10">
        <f>IF(A2217="D",LEFT(UPPER(C2217)&amp;REPT(" ",10),10)," ")</f>
        <v/>
      </c>
      <c r="T2217" s="10">
        <f>IF(A2217="D",LEFT(UPPER(D2217)&amp;REPT(" ",2),2)," ")</f>
        <v/>
      </c>
      <c r="U2217" s="10">
        <f>IF(A2217="D",LEFT(UPPER(E2217)&amp;REPT(" ",15),15)," ")</f>
        <v/>
      </c>
      <c r="V2217" s="10">
        <f>REPT(" ",24)</f>
        <v/>
      </c>
      <c r="W2217" s="10">
        <f>IF(A2217="c",LEFT(UPPER(B2217)&amp;REPT(" ",20),20),REPT(" ",20))</f>
        <v/>
      </c>
      <c r="X2217" s="10">
        <f>IF(A2217="C",LEFT(UPPER(C2217)&amp;REPT(" ",10),10)," ")</f>
        <v/>
      </c>
      <c r="Y2217" s="10">
        <f>IF(A2217="C",LEFT(UPPER(D2217)&amp;REPT(" ",2),2)," ")</f>
        <v/>
      </c>
      <c r="Z2217" s="10">
        <f>IF(A2217="C",LEFT(UPPER(E2217)&amp;REPT(" ",15),15)," ")</f>
        <v/>
      </c>
      <c r="AA2217" s="10">
        <f>REPT(" ",8)</f>
        <v/>
      </c>
      <c r="AB2217" s="10">
        <f>REPT(" ",4)</f>
        <v/>
      </c>
      <c r="AC2217" s="10">
        <f>LEFT(UPPER(H2217)&amp;REPT(" ",250),250)</f>
        <v/>
      </c>
      <c r="AD2217" s="10">
        <f>TEXT($G$2,"dd/mm/aaaa")</f>
        <v/>
      </c>
      <c r="AE2217" s="10">
        <f>REPT(" ",10)</f>
        <v/>
      </c>
      <c r="AF2217" s="10">
        <f>REPT(" ",20)</f>
        <v/>
      </c>
      <c r="AG2217" s="54">
        <f>REPT(" ",18-LEN(FIXED(F2217,2,TRUE)))&amp;FIXED(F2217,2,TRUE)</f>
        <v/>
      </c>
      <c r="AH2217" s="10">
        <f>LEN(AC2217)+LEN(AG2217)</f>
        <v/>
      </c>
      <c r="AI2217" s="10">
        <f>LEN(L2217)</f>
        <v/>
      </c>
    </row>
    <row r="2218">
      <c r="J2218" s="12">
        <f>IF(F2218&lt;&gt;0,"LANÇAR","")</f>
        <v/>
      </c>
      <c r="L2218" s="13">
        <f>N2218&amp;O2218&amp;P2218&amp;Q2218&amp;R2218&amp;S2218&amp;T2218&amp;U2218&amp;V2218&amp;W2218&amp;X2218&amp;Y2218&amp;Z2218&amp;AA2218&amp;AB2218&amp;AC2218&amp;AD2218&amp;AE2218&amp;AF2218&amp;AG2218</f>
        <v/>
      </c>
      <c r="N2218" s="10">
        <f>TEXT($B$6,"00")</f>
        <v/>
      </c>
      <c r="O2218" s="10">
        <f>REPT(" ",8)</f>
        <v/>
      </c>
      <c r="P2218" s="10">
        <f>RIGHT($B$4,2)</f>
        <v/>
      </c>
      <c r="Q2218" s="10">
        <f>RIGHT($B$5,3)</f>
        <v/>
      </c>
      <c r="R2218" s="10">
        <f>IF(A2218="D",LEFT(UPPER(B2218)&amp;REPT(" ",20),20),REPT(" ",20))</f>
        <v/>
      </c>
      <c r="S2218" s="10">
        <f>IF(A2218="D",LEFT(UPPER(C2218)&amp;REPT(" ",10),10)," ")</f>
        <v/>
      </c>
      <c r="T2218" s="10">
        <f>IF(A2218="D",LEFT(UPPER(D2218)&amp;REPT(" ",2),2)," ")</f>
        <v/>
      </c>
      <c r="U2218" s="10">
        <f>IF(A2218="D",LEFT(UPPER(E2218)&amp;REPT(" ",15),15)," ")</f>
        <v/>
      </c>
      <c r="V2218" s="10">
        <f>REPT(" ",24)</f>
        <v/>
      </c>
      <c r="W2218" s="10">
        <f>IF(A2218="c",LEFT(UPPER(B2218)&amp;REPT(" ",20),20),REPT(" ",20))</f>
        <v/>
      </c>
      <c r="X2218" s="10">
        <f>IF(A2218="C",LEFT(UPPER(C2218)&amp;REPT(" ",10),10)," ")</f>
        <v/>
      </c>
      <c r="Y2218" s="10">
        <f>IF(A2218="C",LEFT(UPPER(D2218)&amp;REPT(" ",2),2)," ")</f>
        <v/>
      </c>
      <c r="Z2218" s="10">
        <f>IF(A2218="C",LEFT(UPPER(E2218)&amp;REPT(" ",15),15)," ")</f>
        <v/>
      </c>
      <c r="AA2218" s="10">
        <f>REPT(" ",8)</f>
        <v/>
      </c>
      <c r="AB2218" s="10">
        <f>REPT(" ",4)</f>
        <v/>
      </c>
      <c r="AC2218" s="10">
        <f>LEFT(UPPER(H2218)&amp;REPT(" ",250),250)</f>
        <v/>
      </c>
      <c r="AD2218" s="10">
        <f>TEXT($G$2,"dd/mm/aaaa")</f>
        <v/>
      </c>
      <c r="AE2218" s="10">
        <f>REPT(" ",10)</f>
        <v/>
      </c>
      <c r="AF2218" s="10">
        <f>REPT(" ",20)</f>
        <v/>
      </c>
      <c r="AG2218" s="54">
        <f>REPT(" ",18-LEN(FIXED(F2218,2,TRUE)))&amp;FIXED(F2218,2,TRUE)</f>
        <v/>
      </c>
      <c r="AH2218" s="10">
        <f>LEN(AC2218)+LEN(AG2218)</f>
        <v/>
      </c>
      <c r="AI2218" s="10">
        <f>LEN(L2218)</f>
        <v/>
      </c>
    </row>
    <row r="2219">
      <c r="J2219" s="12">
        <f>IF(F2219&lt;&gt;0,"LANÇAR","")</f>
        <v/>
      </c>
      <c r="L2219" s="13">
        <f>N2219&amp;O2219&amp;P2219&amp;Q2219&amp;R2219&amp;S2219&amp;T2219&amp;U2219&amp;V2219&amp;W2219&amp;X2219&amp;Y2219&amp;Z2219&amp;AA2219&amp;AB2219&amp;AC2219&amp;AD2219&amp;AE2219&amp;AF2219&amp;AG2219</f>
        <v/>
      </c>
      <c r="N2219" s="10">
        <f>TEXT($B$6,"00")</f>
        <v/>
      </c>
      <c r="O2219" s="10">
        <f>REPT(" ",8)</f>
        <v/>
      </c>
      <c r="P2219" s="10">
        <f>RIGHT($B$4,2)</f>
        <v/>
      </c>
      <c r="Q2219" s="10">
        <f>RIGHT($B$5,3)</f>
        <v/>
      </c>
      <c r="R2219" s="10">
        <f>IF(A2219="D",LEFT(UPPER(B2219)&amp;REPT(" ",20),20),REPT(" ",20))</f>
        <v/>
      </c>
      <c r="S2219" s="10">
        <f>IF(A2219="D",LEFT(UPPER(C2219)&amp;REPT(" ",10),10)," ")</f>
        <v/>
      </c>
      <c r="T2219" s="10">
        <f>IF(A2219="D",LEFT(UPPER(D2219)&amp;REPT(" ",2),2)," ")</f>
        <v/>
      </c>
      <c r="U2219" s="10">
        <f>IF(A2219="D",LEFT(UPPER(E2219)&amp;REPT(" ",15),15)," ")</f>
        <v/>
      </c>
      <c r="V2219" s="10">
        <f>REPT(" ",24)</f>
        <v/>
      </c>
      <c r="W2219" s="10">
        <f>IF(A2219="c",LEFT(UPPER(B2219)&amp;REPT(" ",20),20),REPT(" ",20))</f>
        <v/>
      </c>
      <c r="X2219" s="10">
        <f>IF(A2219="C",LEFT(UPPER(C2219)&amp;REPT(" ",10),10)," ")</f>
        <v/>
      </c>
      <c r="Y2219" s="10">
        <f>IF(A2219="C",LEFT(UPPER(D2219)&amp;REPT(" ",2),2)," ")</f>
        <v/>
      </c>
      <c r="Z2219" s="10">
        <f>IF(A2219="C",LEFT(UPPER(E2219)&amp;REPT(" ",15),15)," ")</f>
        <v/>
      </c>
      <c r="AA2219" s="10">
        <f>REPT(" ",8)</f>
        <v/>
      </c>
      <c r="AB2219" s="10">
        <f>REPT(" ",4)</f>
        <v/>
      </c>
      <c r="AC2219" s="10">
        <f>LEFT(UPPER(H2219)&amp;REPT(" ",250),250)</f>
        <v/>
      </c>
      <c r="AD2219" s="10">
        <f>TEXT($G$2,"dd/mm/aaaa")</f>
        <v/>
      </c>
      <c r="AE2219" s="10">
        <f>REPT(" ",10)</f>
        <v/>
      </c>
      <c r="AF2219" s="10">
        <f>REPT(" ",20)</f>
        <v/>
      </c>
      <c r="AG2219" s="54">
        <f>REPT(" ",18-LEN(FIXED(F2219,2,TRUE)))&amp;FIXED(F2219,2,TRUE)</f>
        <v/>
      </c>
      <c r="AH2219" s="10">
        <f>LEN(AC2219)+LEN(AG2219)</f>
        <v/>
      </c>
      <c r="AI2219" s="10">
        <f>LEN(L2219)</f>
        <v/>
      </c>
    </row>
    <row r="2220">
      <c r="J2220" s="12">
        <f>IF(F2220&lt;&gt;0,"LANÇAR","")</f>
        <v/>
      </c>
      <c r="L2220" s="13">
        <f>N2220&amp;O2220&amp;P2220&amp;Q2220&amp;R2220&amp;S2220&amp;T2220&amp;U2220&amp;V2220&amp;W2220&amp;X2220&amp;Y2220&amp;Z2220&amp;AA2220&amp;AB2220&amp;AC2220&amp;AD2220&amp;AE2220&amp;AF2220&amp;AG2220</f>
        <v/>
      </c>
      <c r="N2220" s="10">
        <f>TEXT($B$6,"00")</f>
        <v/>
      </c>
      <c r="O2220" s="10">
        <f>REPT(" ",8)</f>
        <v/>
      </c>
      <c r="P2220" s="10">
        <f>RIGHT($B$4,2)</f>
        <v/>
      </c>
      <c r="Q2220" s="10">
        <f>RIGHT($B$5,3)</f>
        <v/>
      </c>
      <c r="R2220" s="10">
        <f>IF(A2220="D",LEFT(UPPER(B2220)&amp;REPT(" ",20),20),REPT(" ",20))</f>
        <v/>
      </c>
      <c r="S2220" s="10">
        <f>IF(A2220="D",LEFT(UPPER(C2220)&amp;REPT(" ",10),10)," ")</f>
        <v/>
      </c>
      <c r="T2220" s="10">
        <f>IF(A2220="D",LEFT(UPPER(D2220)&amp;REPT(" ",2),2)," ")</f>
        <v/>
      </c>
      <c r="U2220" s="10">
        <f>IF(A2220="D",LEFT(UPPER(E2220)&amp;REPT(" ",15),15)," ")</f>
        <v/>
      </c>
      <c r="V2220" s="10">
        <f>REPT(" ",24)</f>
        <v/>
      </c>
      <c r="W2220" s="10">
        <f>IF(A2220="c",LEFT(UPPER(B2220)&amp;REPT(" ",20),20),REPT(" ",20))</f>
        <v/>
      </c>
      <c r="X2220" s="10">
        <f>IF(A2220="C",LEFT(UPPER(C2220)&amp;REPT(" ",10),10)," ")</f>
        <v/>
      </c>
      <c r="Y2220" s="10">
        <f>IF(A2220="C",LEFT(UPPER(D2220)&amp;REPT(" ",2),2)," ")</f>
        <v/>
      </c>
      <c r="Z2220" s="10">
        <f>IF(A2220="C",LEFT(UPPER(E2220)&amp;REPT(" ",15),15)," ")</f>
        <v/>
      </c>
      <c r="AA2220" s="10">
        <f>REPT(" ",8)</f>
        <v/>
      </c>
      <c r="AB2220" s="10">
        <f>REPT(" ",4)</f>
        <v/>
      </c>
      <c r="AC2220" s="10">
        <f>LEFT(UPPER(H2220)&amp;REPT(" ",250),250)</f>
        <v/>
      </c>
      <c r="AD2220" s="10">
        <f>TEXT($G$2,"dd/mm/aaaa")</f>
        <v/>
      </c>
      <c r="AE2220" s="10">
        <f>REPT(" ",10)</f>
        <v/>
      </c>
      <c r="AF2220" s="10">
        <f>REPT(" ",20)</f>
        <v/>
      </c>
      <c r="AG2220" s="54">
        <f>REPT(" ",18-LEN(FIXED(F2220,2,TRUE)))&amp;FIXED(F2220,2,TRUE)</f>
        <v/>
      </c>
      <c r="AH2220" s="10">
        <f>LEN(AC2220)+LEN(AG2220)</f>
        <v/>
      </c>
      <c r="AI2220" s="10">
        <f>LEN(L2220)</f>
        <v/>
      </c>
    </row>
    <row r="2221">
      <c r="J2221" s="12">
        <f>IF(F2221&lt;&gt;0,"LANÇAR","")</f>
        <v/>
      </c>
      <c r="L2221" s="13">
        <f>N2221&amp;O2221&amp;P2221&amp;Q2221&amp;R2221&amp;S2221&amp;T2221&amp;U2221&amp;V2221&amp;W2221&amp;X2221&amp;Y2221&amp;Z2221&amp;AA2221&amp;AB2221&amp;AC2221&amp;AD2221&amp;AE2221&amp;AF2221&amp;AG2221</f>
        <v/>
      </c>
      <c r="N2221" s="10">
        <f>TEXT($B$6,"00")</f>
        <v/>
      </c>
      <c r="O2221" s="10">
        <f>REPT(" ",8)</f>
        <v/>
      </c>
      <c r="P2221" s="10">
        <f>RIGHT($B$4,2)</f>
        <v/>
      </c>
      <c r="Q2221" s="10">
        <f>RIGHT($B$5,3)</f>
        <v/>
      </c>
      <c r="R2221" s="10">
        <f>IF(A2221="D",LEFT(UPPER(B2221)&amp;REPT(" ",20),20),REPT(" ",20))</f>
        <v/>
      </c>
      <c r="S2221" s="10">
        <f>IF(A2221="D",LEFT(UPPER(C2221)&amp;REPT(" ",10),10)," ")</f>
        <v/>
      </c>
      <c r="T2221" s="10">
        <f>IF(A2221="D",LEFT(UPPER(D2221)&amp;REPT(" ",2),2)," ")</f>
        <v/>
      </c>
      <c r="U2221" s="10">
        <f>IF(A2221="D",LEFT(UPPER(E2221)&amp;REPT(" ",15),15)," ")</f>
        <v/>
      </c>
      <c r="V2221" s="10">
        <f>REPT(" ",24)</f>
        <v/>
      </c>
      <c r="W2221" s="10">
        <f>IF(A2221="c",LEFT(UPPER(B2221)&amp;REPT(" ",20),20),REPT(" ",20))</f>
        <v/>
      </c>
      <c r="X2221" s="10">
        <f>IF(A2221="C",LEFT(UPPER(C2221)&amp;REPT(" ",10),10)," ")</f>
        <v/>
      </c>
      <c r="Y2221" s="10">
        <f>IF(A2221="C",LEFT(UPPER(D2221)&amp;REPT(" ",2),2)," ")</f>
        <v/>
      </c>
      <c r="Z2221" s="10">
        <f>IF(A2221="C",LEFT(UPPER(E2221)&amp;REPT(" ",15),15)," ")</f>
        <v/>
      </c>
      <c r="AA2221" s="10">
        <f>REPT(" ",8)</f>
        <v/>
      </c>
      <c r="AB2221" s="10">
        <f>REPT(" ",4)</f>
        <v/>
      </c>
      <c r="AC2221" s="10">
        <f>LEFT(UPPER(H2221)&amp;REPT(" ",250),250)</f>
        <v/>
      </c>
      <c r="AD2221" s="10">
        <f>TEXT($G$2,"dd/mm/aaaa")</f>
        <v/>
      </c>
      <c r="AE2221" s="10">
        <f>REPT(" ",10)</f>
        <v/>
      </c>
      <c r="AF2221" s="10">
        <f>REPT(" ",20)</f>
        <v/>
      </c>
      <c r="AG2221" s="54">
        <f>REPT(" ",18-LEN(FIXED(F2221,2,TRUE)))&amp;FIXED(F2221,2,TRUE)</f>
        <v/>
      </c>
      <c r="AH2221" s="10">
        <f>LEN(AC2221)+LEN(AG2221)</f>
        <v/>
      </c>
      <c r="AI2221" s="10">
        <f>LEN(L2221)</f>
        <v/>
      </c>
    </row>
    <row r="2222">
      <c r="J2222" s="12">
        <f>IF(F2222&lt;&gt;0,"LANÇAR","")</f>
        <v/>
      </c>
      <c r="L2222" s="13">
        <f>N2222&amp;O2222&amp;P2222&amp;Q2222&amp;R2222&amp;S2222&amp;T2222&amp;U2222&amp;V2222&amp;W2222&amp;X2222&amp;Y2222&amp;Z2222&amp;AA2222&amp;AB2222&amp;AC2222&amp;AD2222&amp;AE2222&amp;AF2222&amp;AG2222</f>
        <v/>
      </c>
      <c r="N2222" s="10">
        <f>TEXT($B$6,"00")</f>
        <v/>
      </c>
      <c r="O2222" s="10">
        <f>REPT(" ",8)</f>
        <v/>
      </c>
      <c r="P2222" s="10">
        <f>RIGHT($B$4,2)</f>
        <v/>
      </c>
      <c r="Q2222" s="10">
        <f>RIGHT($B$5,3)</f>
        <v/>
      </c>
      <c r="R2222" s="10">
        <f>IF(A2222="D",LEFT(UPPER(B2222)&amp;REPT(" ",20),20),REPT(" ",20))</f>
        <v/>
      </c>
      <c r="S2222" s="10">
        <f>IF(A2222="D",LEFT(UPPER(C2222)&amp;REPT(" ",10),10)," ")</f>
        <v/>
      </c>
      <c r="T2222" s="10">
        <f>IF(A2222="D",LEFT(UPPER(D2222)&amp;REPT(" ",2),2)," ")</f>
        <v/>
      </c>
      <c r="U2222" s="10">
        <f>IF(A2222="D",LEFT(UPPER(E2222)&amp;REPT(" ",15),15)," ")</f>
        <v/>
      </c>
      <c r="V2222" s="10">
        <f>REPT(" ",24)</f>
        <v/>
      </c>
      <c r="W2222" s="10">
        <f>IF(A2222="c",LEFT(UPPER(B2222)&amp;REPT(" ",20),20),REPT(" ",20))</f>
        <v/>
      </c>
      <c r="X2222" s="10">
        <f>IF(A2222="C",LEFT(UPPER(C2222)&amp;REPT(" ",10),10)," ")</f>
        <v/>
      </c>
      <c r="Y2222" s="10">
        <f>IF(A2222="C",LEFT(UPPER(D2222)&amp;REPT(" ",2),2)," ")</f>
        <v/>
      </c>
      <c r="Z2222" s="10">
        <f>IF(A2222="C",LEFT(UPPER(E2222)&amp;REPT(" ",15),15)," ")</f>
        <v/>
      </c>
      <c r="AA2222" s="10">
        <f>REPT(" ",8)</f>
        <v/>
      </c>
      <c r="AB2222" s="10">
        <f>REPT(" ",4)</f>
        <v/>
      </c>
      <c r="AC2222" s="10">
        <f>LEFT(UPPER(H2222)&amp;REPT(" ",250),250)</f>
        <v/>
      </c>
      <c r="AD2222" s="10">
        <f>TEXT($G$2,"dd/mm/aaaa")</f>
        <v/>
      </c>
      <c r="AE2222" s="10">
        <f>REPT(" ",10)</f>
        <v/>
      </c>
      <c r="AF2222" s="10">
        <f>REPT(" ",20)</f>
        <v/>
      </c>
      <c r="AG2222" s="54">
        <f>REPT(" ",18-LEN(FIXED(F2222,2,TRUE)))&amp;FIXED(F2222,2,TRUE)</f>
        <v/>
      </c>
      <c r="AH2222" s="10">
        <f>LEN(AC2222)+LEN(AG2222)</f>
        <v/>
      </c>
      <c r="AI2222" s="10">
        <f>LEN(L2222)</f>
        <v/>
      </c>
    </row>
    <row r="2223">
      <c r="J2223" s="12">
        <f>IF(F2223&lt;&gt;0,"LANÇAR","")</f>
        <v/>
      </c>
      <c r="L2223" s="13">
        <f>N2223&amp;O2223&amp;P2223&amp;Q2223&amp;R2223&amp;S2223&amp;T2223&amp;U2223&amp;V2223&amp;W2223&amp;X2223&amp;Y2223&amp;Z2223&amp;AA2223&amp;AB2223&amp;AC2223&amp;AD2223&amp;AE2223&amp;AF2223&amp;AG2223</f>
        <v/>
      </c>
      <c r="N2223" s="10">
        <f>TEXT($B$6,"00")</f>
        <v/>
      </c>
      <c r="O2223" s="10">
        <f>REPT(" ",8)</f>
        <v/>
      </c>
      <c r="P2223" s="10">
        <f>RIGHT($B$4,2)</f>
        <v/>
      </c>
      <c r="Q2223" s="10">
        <f>RIGHT($B$5,3)</f>
        <v/>
      </c>
      <c r="R2223" s="10">
        <f>IF(A2223="D",LEFT(UPPER(B2223)&amp;REPT(" ",20),20),REPT(" ",20))</f>
        <v/>
      </c>
      <c r="S2223" s="10">
        <f>IF(A2223="D",LEFT(UPPER(C2223)&amp;REPT(" ",10),10)," ")</f>
        <v/>
      </c>
      <c r="T2223" s="10">
        <f>IF(A2223="D",LEFT(UPPER(D2223)&amp;REPT(" ",2),2)," ")</f>
        <v/>
      </c>
      <c r="U2223" s="10">
        <f>IF(A2223="D",LEFT(UPPER(E2223)&amp;REPT(" ",15),15)," ")</f>
        <v/>
      </c>
      <c r="V2223" s="10">
        <f>REPT(" ",24)</f>
        <v/>
      </c>
      <c r="W2223" s="10">
        <f>IF(A2223="c",LEFT(UPPER(B2223)&amp;REPT(" ",20),20),REPT(" ",20))</f>
        <v/>
      </c>
      <c r="X2223" s="10">
        <f>IF(A2223="C",LEFT(UPPER(C2223)&amp;REPT(" ",10),10)," ")</f>
        <v/>
      </c>
      <c r="Y2223" s="10">
        <f>IF(A2223="C",LEFT(UPPER(D2223)&amp;REPT(" ",2),2)," ")</f>
        <v/>
      </c>
      <c r="Z2223" s="10">
        <f>IF(A2223="C",LEFT(UPPER(E2223)&amp;REPT(" ",15),15)," ")</f>
        <v/>
      </c>
      <c r="AA2223" s="10">
        <f>REPT(" ",8)</f>
        <v/>
      </c>
      <c r="AB2223" s="10">
        <f>REPT(" ",4)</f>
        <v/>
      </c>
      <c r="AC2223" s="10">
        <f>LEFT(UPPER(H2223)&amp;REPT(" ",250),250)</f>
        <v/>
      </c>
      <c r="AD2223" s="10">
        <f>TEXT($G$2,"dd/mm/aaaa")</f>
        <v/>
      </c>
      <c r="AE2223" s="10">
        <f>REPT(" ",10)</f>
        <v/>
      </c>
      <c r="AF2223" s="10">
        <f>REPT(" ",20)</f>
        <v/>
      </c>
      <c r="AG2223" s="54">
        <f>REPT(" ",18-LEN(FIXED(F2223,2,TRUE)))&amp;FIXED(F2223,2,TRUE)</f>
        <v/>
      </c>
      <c r="AH2223" s="10">
        <f>LEN(AC2223)+LEN(AG2223)</f>
        <v/>
      </c>
      <c r="AI2223" s="10">
        <f>LEN(L2223)</f>
        <v/>
      </c>
    </row>
    <row r="2224">
      <c r="J2224" s="12">
        <f>IF(F2224&lt;&gt;0,"LANÇAR","")</f>
        <v/>
      </c>
      <c r="L2224" s="13">
        <f>N2224&amp;O2224&amp;P2224&amp;Q2224&amp;R2224&amp;S2224&amp;T2224&amp;U2224&amp;V2224&amp;W2224&amp;X2224&amp;Y2224&amp;Z2224&amp;AA2224&amp;AB2224&amp;AC2224&amp;AD2224&amp;AE2224&amp;AF2224&amp;AG2224</f>
        <v/>
      </c>
      <c r="N2224" s="10">
        <f>TEXT($B$6,"00")</f>
        <v/>
      </c>
      <c r="O2224" s="10">
        <f>REPT(" ",8)</f>
        <v/>
      </c>
      <c r="P2224" s="10">
        <f>RIGHT($B$4,2)</f>
        <v/>
      </c>
      <c r="Q2224" s="10">
        <f>RIGHT($B$5,3)</f>
        <v/>
      </c>
      <c r="R2224" s="10">
        <f>IF(A2224="D",LEFT(UPPER(B2224)&amp;REPT(" ",20),20),REPT(" ",20))</f>
        <v/>
      </c>
      <c r="S2224" s="10">
        <f>IF(A2224="D",LEFT(UPPER(C2224)&amp;REPT(" ",10),10)," ")</f>
        <v/>
      </c>
      <c r="T2224" s="10">
        <f>IF(A2224="D",LEFT(UPPER(D2224)&amp;REPT(" ",2),2)," ")</f>
        <v/>
      </c>
      <c r="U2224" s="10">
        <f>IF(A2224="D",LEFT(UPPER(E2224)&amp;REPT(" ",15),15)," ")</f>
        <v/>
      </c>
      <c r="V2224" s="10">
        <f>REPT(" ",24)</f>
        <v/>
      </c>
      <c r="W2224" s="10">
        <f>IF(A2224="c",LEFT(UPPER(B2224)&amp;REPT(" ",20),20),REPT(" ",20))</f>
        <v/>
      </c>
      <c r="X2224" s="10">
        <f>IF(A2224="C",LEFT(UPPER(C2224)&amp;REPT(" ",10),10)," ")</f>
        <v/>
      </c>
      <c r="Y2224" s="10">
        <f>IF(A2224="C",LEFT(UPPER(D2224)&amp;REPT(" ",2),2)," ")</f>
        <v/>
      </c>
      <c r="Z2224" s="10">
        <f>IF(A2224="C",LEFT(UPPER(E2224)&amp;REPT(" ",15),15)," ")</f>
        <v/>
      </c>
      <c r="AA2224" s="10">
        <f>REPT(" ",8)</f>
        <v/>
      </c>
      <c r="AB2224" s="10">
        <f>REPT(" ",4)</f>
        <v/>
      </c>
      <c r="AC2224" s="10">
        <f>LEFT(UPPER(H2224)&amp;REPT(" ",250),250)</f>
        <v/>
      </c>
      <c r="AD2224" s="10">
        <f>TEXT($G$2,"dd/mm/aaaa")</f>
        <v/>
      </c>
      <c r="AE2224" s="10">
        <f>REPT(" ",10)</f>
        <v/>
      </c>
      <c r="AF2224" s="10">
        <f>REPT(" ",20)</f>
        <v/>
      </c>
      <c r="AG2224" s="54">
        <f>REPT(" ",18-LEN(FIXED(F2224,2,TRUE)))&amp;FIXED(F2224,2,TRUE)</f>
        <v/>
      </c>
      <c r="AH2224" s="10">
        <f>LEN(AC2224)+LEN(AG2224)</f>
        <v/>
      </c>
      <c r="AI2224" s="10">
        <f>LEN(L2224)</f>
        <v/>
      </c>
    </row>
    <row r="2225">
      <c r="J2225" s="12">
        <f>IF(F2225&lt;&gt;0,"LANÇAR","")</f>
        <v/>
      </c>
      <c r="L2225" s="13">
        <f>N2225&amp;O2225&amp;P2225&amp;Q2225&amp;R2225&amp;S2225&amp;T2225&amp;U2225&amp;V2225&amp;W2225&amp;X2225&amp;Y2225&amp;Z2225&amp;AA2225&amp;AB2225&amp;AC2225&amp;AD2225&amp;AE2225&amp;AF2225&amp;AG2225</f>
        <v/>
      </c>
      <c r="N2225" s="10">
        <f>TEXT($B$6,"00")</f>
        <v/>
      </c>
      <c r="O2225" s="10">
        <f>REPT(" ",8)</f>
        <v/>
      </c>
      <c r="P2225" s="10">
        <f>RIGHT($B$4,2)</f>
        <v/>
      </c>
      <c r="Q2225" s="10">
        <f>RIGHT($B$5,3)</f>
        <v/>
      </c>
      <c r="R2225" s="10">
        <f>IF(A2225="D",LEFT(UPPER(B2225)&amp;REPT(" ",20),20),REPT(" ",20))</f>
        <v/>
      </c>
      <c r="S2225" s="10">
        <f>IF(A2225="D",LEFT(UPPER(C2225)&amp;REPT(" ",10),10)," ")</f>
        <v/>
      </c>
      <c r="T2225" s="10">
        <f>IF(A2225="D",LEFT(UPPER(D2225)&amp;REPT(" ",2),2)," ")</f>
        <v/>
      </c>
      <c r="U2225" s="10">
        <f>IF(A2225="D",LEFT(UPPER(E2225)&amp;REPT(" ",15),15)," ")</f>
        <v/>
      </c>
      <c r="V2225" s="10">
        <f>REPT(" ",24)</f>
        <v/>
      </c>
      <c r="W2225" s="10">
        <f>IF(A2225="c",LEFT(UPPER(B2225)&amp;REPT(" ",20),20),REPT(" ",20))</f>
        <v/>
      </c>
      <c r="X2225" s="10">
        <f>IF(A2225="C",LEFT(UPPER(C2225)&amp;REPT(" ",10),10)," ")</f>
        <v/>
      </c>
      <c r="Y2225" s="10">
        <f>IF(A2225="C",LEFT(UPPER(D2225)&amp;REPT(" ",2),2)," ")</f>
        <v/>
      </c>
      <c r="Z2225" s="10">
        <f>IF(A2225="C",LEFT(UPPER(E2225)&amp;REPT(" ",15),15)," ")</f>
        <v/>
      </c>
      <c r="AA2225" s="10">
        <f>REPT(" ",8)</f>
        <v/>
      </c>
      <c r="AB2225" s="10">
        <f>REPT(" ",4)</f>
        <v/>
      </c>
      <c r="AC2225" s="10">
        <f>LEFT(UPPER(H2225)&amp;REPT(" ",250),250)</f>
        <v/>
      </c>
      <c r="AD2225" s="10">
        <f>TEXT($G$2,"dd/mm/aaaa")</f>
        <v/>
      </c>
      <c r="AE2225" s="10">
        <f>REPT(" ",10)</f>
        <v/>
      </c>
      <c r="AF2225" s="10">
        <f>REPT(" ",20)</f>
        <v/>
      </c>
      <c r="AG2225" s="54">
        <f>REPT(" ",18-LEN(FIXED(F2225,2,TRUE)))&amp;FIXED(F2225,2,TRUE)</f>
        <v/>
      </c>
      <c r="AH2225" s="10">
        <f>LEN(AC2225)+LEN(AG2225)</f>
        <v/>
      </c>
      <c r="AI2225" s="10">
        <f>LEN(L2225)</f>
        <v/>
      </c>
    </row>
    <row r="2226">
      <c r="J2226" s="12">
        <f>IF(F2226&lt;&gt;0,"LANÇAR","")</f>
        <v/>
      </c>
      <c r="L2226" s="13">
        <f>N2226&amp;O2226&amp;P2226&amp;Q2226&amp;R2226&amp;S2226&amp;T2226&amp;U2226&amp;V2226&amp;W2226&amp;X2226&amp;Y2226&amp;Z2226&amp;AA2226&amp;AB2226&amp;AC2226&amp;AD2226&amp;AE2226&amp;AF2226&amp;AG2226</f>
        <v/>
      </c>
      <c r="N2226" s="10">
        <f>TEXT($B$6,"00")</f>
        <v/>
      </c>
      <c r="O2226" s="10">
        <f>REPT(" ",8)</f>
        <v/>
      </c>
      <c r="P2226" s="10">
        <f>RIGHT($B$4,2)</f>
        <v/>
      </c>
      <c r="Q2226" s="10">
        <f>RIGHT($B$5,3)</f>
        <v/>
      </c>
      <c r="R2226" s="10">
        <f>IF(A2226="D",LEFT(UPPER(B2226)&amp;REPT(" ",20),20),REPT(" ",20))</f>
        <v/>
      </c>
      <c r="S2226" s="10">
        <f>IF(A2226="D",LEFT(UPPER(C2226)&amp;REPT(" ",10),10)," ")</f>
        <v/>
      </c>
      <c r="T2226" s="10">
        <f>IF(A2226="D",LEFT(UPPER(D2226)&amp;REPT(" ",2),2)," ")</f>
        <v/>
      </c>
      <c r="U2226" s="10">
        <f>IF(A2226="D",LEFT(UPPER(E2226)&amp;REPT(" ",15),15)," ")</f>
        <v/>
      </c>
      <c r="V2226" s="10">
        <f>REPT(" ",24)</f>
        <v/>
      </c>
      <c r="W2226" s="10">
        <f>IF(A2226="c",LEFT(UPPER(B2226)&amp;REPT(" ",20),20),REPT(" ",20))</f>
        <v/>
      </c>
      <c r="X2226" s="10">
        <f>IF(A2226="C",LEFT(UPPER(C2226)&amp;REPT(" ",10),10)," ")</f>
        <v/>
      </c>
      <c r="Y2226" s="10">
        <f>IF(A2226="C",LEFT(UPPER(D2226)&amp;REPT(" ",2),2)," ")</f>
        <v/>
      </c>
      <c r="Z2226" s="10">
        <f>IF(A2226="C",LEFT(UPPER(E2226)&amp;REPT(" ",15),15)," ")</f>
        <v/>
      </c>
      <c r="AA2226" s="10">
        <f>REPT(" ",8)</f>
        <v/>
      </c>
      <c r="AB2226" s="10">
        <f>REPT(" ",4)</f>
        <v/>
      </c>
      <c r="AC2226" s="10">
        <f>LEFT(UPPER(H2226)&amp;REPT(" ",250),250)</f>
        <v/>
      </c>
      <c r="AD2226" s="10">
        <f>TEXT($G$2,"dd/mm/aaaa")</f>
        <v/>
      </c>
      <c r="AE2226" s="10">
        <f>REPT(" ",10)</f>
        <v/>
      </c>
      <c r="AF2226" s="10">
        <f>REPT(" ",20)</f>
        <v/>
      </c>
      <c r="AG2226" s="54">
        <f>REPT(" ",18-LEN(FIXED(F2226,2,TRUE)))&amp;FIXED(F2226,2,TRUE)</f>
        <v/>
      </c>
      <c r="AH2226" s="10">
        <f>LEN(AC2226)+LEN(AG2226)</f>
        <v/>
      </c>
      <c r="AI2226" s="10">
        <f>LEN(L2226)</f>
        <v/>
      </c>
    </row>
    <row r="2227">
      <c r="J2227" s="12">
        <f>IF(F2227&lt;&gt;0,"LANÇAR","")</f>
        <v/>
      </c>
      <c r="L2227" s="13">
        <f>N2227&amp;O2227&amp;P2227&amp;Q2227&amp;R2227&amp;S2227&amp;T2227&amp;U2227&amp;V2227&amp;W2227&amp;X2227&amp;Y2227&amp;Z2227&amp;AA2227&amp;AB2227&amp;AC2227&amp;AD2227&amp;AE2227&amp;AF2227&amp;AG2227</f>
        <v/>
      </c>
      <c r="N2227" s="10">
        <f>TEXT($B$6,"00")</f>
        <v/>
      </c>
      <c r="O2227" s="10">
        <f>REPT(" ",8)</f>
        <v/>
      </c>
      <c r="P2227" s="10">
        <f>RIGHT($B$4,2)</f>
        <v/>
      </c>
      <c r="Q2227" s="10">
        <f>RIGHT($B$5,3)</f>
        <v/>
      </c>
      <c r="R2227" s="10">
        <f>IF(A2227="D",LEFT(UPPER(B2227)&amp;REPT(" ",20),20),REPT(" ",20))</f>
        <v/>
      </c>
      <c r="S2227" s="10">
        <f>IF(A2227="D",LEFT(UPPER(C2227)&amp;REPT(" ",10),10)," ")</f>
        <v/>
      </c>
      <c r="T2227" s="10">
        <f>IF(A2227="D",LEFT(UPPER(D2227)&amp;REPT(" ",2),2)," ")</f>
        <v/>
      </c>
      <c r="U2227" s="10">
        <f>IF(A2227="D",LEFT(UPPER(E2227)&amp;REPT(" ",15),15)," ")</f>
        <v/>
      </c>
      <c r="V2227" s="10">
        <f>REPT(" ",24)</f>
        <v/>
      </c>
      <c r="W2227" s="10">
        <f>IF(A2227="c",LEFT(UPPER(B2227)&amp;REPT(" ",20),20),REPT(" ",20))</f>
        <v/>
      </c>
      <c r="X2227" s="10">
        <f>IF(A2227="C",LEFT(UPPER(C2227)&amp;REPT(" ",10),10)," ")</f>
        <v/>
      </c>
      <c r="Y2227" s="10">
        <f>IF(A2227="C",LEFT(UPPER(D2227)&amp;REPT(" ",2),2)," ")</f>
        <v/>
      </c>
      <c r="Z2227" s="10">
        <f>IF(A2227="C",LEFT(UPPER(E2227)&amp;REPT(" ",15),15)," ")</f>
        <v/>
      </c>
      <c r="AA2227" s="10">
        <f>REPT(" ",8)</f>
        <v/>
      </c>
      <c r="AB2227" s="10">
        <f>REPT(" ",4)</f>
        <v/>
      </c>
      <c r="AC2227" s="10">
        <f>LEFT(UPPER(H2227)&amp;REPT(" ",250),250)</f>
        <v/>
      </c>
      <c r="AD2227" s="10">
        <f>TEXT($G$2,"dd/mm/aaaa")</f>
        <v/>
      </c>
      <c r="AE2227" s="10">
        <f>REPT(" ",10)</f>
        <v/>
      </c>
      <c r="AF2227" s="10">
        <f>REPT(" ",20)</f>
        <v/>
      </c>
      <c r="AG2227" s="54">
        <f>REPT(" ",18-LEN(FIXED(F2227,2,TRUE)))&amp;FIXED(F2227,2,TRUE)</f>
        <v/>
      </c>
      <c r="AH2227" s="10">
        <f>LEN(AC2227)+LEN(AG2227)</f>
        <v/>
      </c>
      <c r="AI2227" s="10">
        <f>LEN(L2227)</f>
        <v/>
      </c>
    </row>
    <row r="2228">
      <c r="J2228" s="12">
        <f>IF(F2228&lt;&gt;0,"LANÇAR","")</f>
        <v/>
      </c>
      <c r="L2228" s="13">
        <f>N2228&amp;O2228&amp;P2228&amp;Q2228&amp;R2228&amp;S2228&amp;T2228&amp;U2228&amp;V2228&amp;W2228&amp;X2228&amp;Y2228&amp;Z2228&amp;AA2228&amp;AB2228&amp;AC2228&amp;AD2228&amp;AE2228&amp;AF2228&amp;AG2228</f>
        <v/>
      </c>
      <c r="N2228" s="10">
        <f>TEXT($B$6,"00")</f>
        <v/>
      </c>
      <c r="O2228" s="10">
        <f>REPT(" ",8)</f>
        <v/>
      </c>
      <c r="P2228" s="10">
        <f>RIGHT($B$4,2)</f>
        <v/>
      </c>
      <c r="Q2228" s="10">
        <f>RIGHT($B$5,3)</f>
        <v/>
      </c>
      <c r="R2228" s="10">
        <f>IF(A2228="D",LEFT(UPPER(B2228)&amp;REPT(" ",20),20),REPT(" ",20))</f>
        <v/>
      </c>
      <c r="S2228" s="10">
        <f>IF(A2228="D",LEFT(UPPER(C2228)&amp;REPT(" ",10),10)," ")</f>
        <v/>
      </c>
      <c r="T2228" s="10">
        <f>IF(A2228="D",LEFT(UPPER(D2228)&amp;REPT(" ",2),2)," ")</f>
        <v/>
      </c>
      <c r="U2228" s="10">
        <f>IF(A2228="D",LEFT(UPPER(E2228)&amp;REPT(" ",15),15)," ")</f>
        <v/>
      </c>
      <c r="V2228" s="10">
        <f>REPT(" ",24)</f>
        <v/>
      </c>
      <c r="W2228" s="10">
        <f>IF(A2228="c",LEFT(UPPER(B2228)&amp;REPT(" ",20),20),REPT(" ",20))</f>
        <v/>
      </c>
      <c r="X2228" s="10">
        <f>IF(A2228="C",LEFT(UPPER(C2228)&amp;REPT(" ",10),10)," ")</f>
        <v/>
      </c>
      <c r="Y2228" s="10">
        <f>IF(A2228="C",LEFT(UPPER(D2228)&amp;REPT(" ",2),2)," ")</f>
        <v/>
      </c>
      <c r="Z2228" s="10">
        <f>IF(A2228="C",LEFT(UPPER(E2228)&amp;REPT(" ",15),15)," ")</f>
        <v/>
      </c>
      <c r="AA2228" s="10">
        <f>REPT(" ",8)</f>
        <v/>
      </c>
      <c r="AB2228" s="10">
        <f>REPT(" ",4)</f>
        <v/>
      </c>
      <c r="AC2228" s="10">
        <f>LEFT(UPPER(H2228)&amp;REPT(" ",250),250)</f>
        <v/>
      </c>
      <c r="AD2228" s="10">
        <f>TEXT($G$2,"dd/mm/aaaa")</f>
        <v/>
      </c>
      <c r="AE2228" s="10">
        <f>REPT(" ",10)</f>
        <v/>
      </c>
      <c r="AF2228" s="10">
        <f>REPT(" ",20)</f>
        <v/>
      </c>
      <c r="AG2228" s="54">
        <f>REPT(" ",18-LEN(FIXED(F2228,2,TRUE)))&amp;FIXED(F2228,2,TRUE)</f>
        <v/>
      </c>
      <c r="AH2228" s="10">
        <f>LEN(AC2228)+LEN(AG2228)</f>
        <v/>
      </c>
      <c r="AI2228" s="10">
        <f>LEN(L2228)</f>
        <v/>
      </c>
    </row>
    <row r="2229">
      <c r="J2229" s="12">
        <f>IF(F2229&lt;&gt;0,"LANÇAR","")</f>
        <v/>
      </c>
      <c r="L2229" s="13">
        <f>N2229&amp;O2229&amp;P2229&amp;Q2229&amp;R2229&amp;S2229&amp;T2229&amp;U2229&amp;V2229&amp;W2229&amp;X2229&amp;Y2229&amp;Z2229&amp;AA2229&amp;AB2229&amp;AC2229&amp;AD2229&amp;AE2229&amp;AF2229&amp;AG2229</f>
        <v/>
      </c>
      <c r="N2229" s="10">
        <f>TEXT($B$6,"00")</f>
        <v/>
      </c>
      <c r="O2229" s="10">
        <f>REPT(" ",8)</f>
        <v/>
      </c>
      <c r="P2229" s="10">
        <f>RIGHT($B$4,2)</f>
        <v/>
      </c>
      <c r="Q2229" s="10">
        <f>RIGHT($B$5,3)</f>
        <v/>
      </c>
      <c r="R2229" s="10">
        <f>IF(A2229="D",LEFT(UPPER(B2229)&amp;REPT(" ",20),20),REPT(" ",20))</f>
        <v/>
      </c>
      <c r="S2229" s="10">
        <f>IF(A2229="D",LEFT(UPPER(C2229)&amp;REPT(" ",10),10)," ")</f>
        <v/>
      </c>
      <c r="T2229" s="10">
        <f>IF(A2229="D",LEFT(UPPER(D2229)&amp;REPT(" ",2),2)," ")</f>
        <v/>
      </c>
      <c r="U2229" s="10">
        <f>IF(A2229="D",LEFT(UPPER(E2229)&amp;REPT(" ",15),15)," ")</f>
        <v/>
      </c>
      <c r="V2229" s="10">
        <f>REPT(" ",24)</f>
        <v/>
      </c>
      <c r="W2229" s="10">
        <f>IF(A2229="c",LEFT(UPPER(B2229)&amp;REPT(" ",20),20),REPT(" ",20))</f>
        <v/>
      </c>
      <c r="X2229" s="10">
        <f>IF(A2229="C",LEFT(UPPER(C2229)&amp;REPT(" ",10),10)," ")</f>
        <v/>
      </c>
      <c r="Y2229" s="10">
        <f>IF(A2229="C",LEFT(UPPER(D2229)&amp;REPT(" ",2),2)," ")</f>
        <v/>
      </c>
      <c r="Z2229" s="10">
        <f>IF(A2229="C",LEFT(UPPER(E2229)&amp;REPT(" ",15),15)," ")</f>
        <v/>
      </c>
      <c r="AA2229" s="10">
        <f>REPT(" ",8)</f>
        <v/>
      </c>
      <c r="AB2229" s="10">
        <f>REPT(" ",4)</f>
        <v/>
      </c>
      <c r="AC2229" s="10">
        <f>LEFT(UPPER(H2229)&amp;REPT(" ",250),250)</f>
        <v/>
      </c>
      <c r="AD2229" s="10">
        <f>TEXT($G$2,"dd/mm/aaaa")</f>
        <v/>
      </c>
      <c r="AE2229" s="10">
        <f>REPT(" ",10)</f>
        <v/>
      </c>
      <c r="AF2229" s="10">
        <f>REPT(" ",20)</f>
        <v/>
      </c>
      <c r="AG2229" s="54">
        <f>REPT(" ",18-LEN(FIXED(F2229,2,TRUE)))&amp;FIXED(F2229,2,TRUE)</f>
        <v/>
      </c>
      <c r="AH2229" s="10">
        <f>LEN(AC2229)+LEN(AG2229)</f>
        <v/>
      </c>
      <c r="AI2229" s="10">
        <f>LEN(L2229)</f>
        <v/>
      </c>
    </row>
    <row r="2230">
      <c r="J2230" s="12">
        <f>IF(F2230&lt;&gt;0,"LANÇAR","")</f>
        <v/>
      </c>
      <c r="L2230" s="13">
        <f>N2230&amp;O2230&amp;P2230&amp;Q2230&amp;R2230&amp;S2230&amp;T2230&amp;U2230&amp;V2230&amp;W2230&amp;X2230&amp;Y2230&amp;Z2230&amp;AA2230&amp;AB2230&amp;AC2230&amp;AD2230&amp;AE2230&amp;AF2230&amp;AG2230</f>
        <v/>
      </c>
      <c r="N2230" s="10">
        <f>TEXT($B$6,"00")</f>
        <v/>
      </c>
      <c r="O2230" s="10">
        <f>REPT(" ",8)</f>
        <v/>
      </c>
      <c r="P2230" s="10">
        <f>RIGHT($B$4,2)</f>
        <v/>
      </c>
      <c r="Q2230" s="10">
        <f>RIGHT($B$5,3)</f>
        <v/>
      </c>
      <c r="R2230" s="10">
        <f>IF(A2230="D",LEFT(UPPER(B2230)&amp;REPT(" ",20),20),REPT(" ",20))</f>
        <v/>
      </c>
      <c r="S2230" s="10">
        <f>IF(A2230="D",LEFT(UPPER(C2230)&amp;REPT(" ",10),10)," ")</f>
        <v/>
      </c>
      <c r="T2230" s="10">
        <f>IF(A2230="D",LEFT(UPPER(D2230)&amp;REPT(" ",2),2)," ")</f>
        <v/>
      </c>
      <c r="U2230" s="10">
        <f>IF(A2230="D",LEFT(UPPER(E2230)&amp;REPT(" ",15),15)," ")</f>
        <v/>
      </c>
      <c r="V2230" s="10">
        <f>REPT(" ",24)</f>
        <v/>
      </c>
      <c r="W2230" s="10">
        <f>IF(A2230="c",LEFT(UPPER(B2230)&amp;REPT(" ",20),20),REPT(" ",20))</f>
        <v/>
      </c>
      <c r="X2230" s="10">
        <f>IF(A2230="C",LEFT(UPPER(C2230)&amp;REPT(" ",10),10)," ")</f>
        <v/>
      </c>
      <c r="Y2230" s="10">
        <f>IF(A2230="C",LEFT(UPPER(D2230)&amp;REPT(" ",2),2)," ")</f>
        <v/>
      </c>
      <c r="Z2230" s="10">
        <f>IF(A2230="C",LEFT(UPPER(E2230)&amp;REPT(" ",15),15)," ")</f>
        <v/>
      </c>
      <c r="AA2230" s="10">
        <f>REPT(" ",8)</f>
        <v/>
      </c>
      <c r="AB2230" s="10">
        <f>REPT(" ",4)</f>
        <v/>
      </c>
      <c r="AC2230" s="10">
        <f>LEFT(UPPER(H2230)&amp;REPT(" ",250),250)</f>
        <v/>
      </c>
      <c r="AD2230" s="10">
        <f>TEXT($G$2,"dd/mm/aaaa")</f>
        <v/>
      </c>
      <c r="AE2230" s="10">
        <f>REPT(" ",10)</f>
        <v/>
      </c>
      <c r="AF2230" s="10">
        <f>REPT(" ",20)</f>
        <v/>
      </c>
      <c r="AG2230" s="54">
        <f>REPT(" ",18-LEN(FIXED(F2230,2,TRUE)))&amp;FIXED(F2230,2,TRUE)</f>
        <v/>
      </c>
      <c r="AH2230" s="10">
        <f>LEN(AC2230)+LEN(AG2230)</f>
        <v/>
      </c>
      <c r="AI2230" s="10">
        <f>LEN(L2230)</f>
        <v/>
      </c>
    </row>
    <row r="2231">
      <c r="J2231" s="12">
        <f>IF(F2231&lt;&gt;0,"LANÇAR","")</f>
        <v/>
      </c>
      <c r="L2231" s="13">
        <f>N2231&amp;O2231&amp;P2231&amp;Q2231&amp;R2231&amp;S2231&amp;T2231&amp;U2231&amp;V2231&amp;W2231&amp;X2231&amp;Y2231&amp;Z2231&amp;AA2231&amp;AB2231&amp;AC2231&amp;AD2231&amp;AE2231&amp;AF2231&amp;AG2231</f>
        <v/>
      </c>
      <c r="N2231" s="10">
        <f>TEXT($B$6,"00")</f>
        <v/>
      </c>
      <c r="O2231" s="10">
        <f>REPT(" ",8)</f>
        <v/>
      </c>
      <c r="P2231" s="10">
        <f>RIGHT($B$4,2)</f>
        <v/>
      </c>
      <c r="Q2231" s="10">
        <f>RIGHT($B$5,3)</f>
        <v/>
      </c>
      <c r="R2231" s="10">
        <f>IF(A2231="D",LEFT(UPPER(B2231)&amp;REPT(" ",20),20),REPT(" ",20))</f>
        <v/>
      </c>
      <c r="S2231" s="10">
        <f>IF(A2231="D",LEFT(UPPER(C2231)&amp;REPT(" ",10),10)," ")</f>
        <v/>
      </c>
      <c r="T2231" s="10">
        <f>IF(A2231="D",LEFT(UPPER(D2231)&amp;REPT(" ",2),2)," ")</f>
        <v/>
      </c>
      <c r="U2231" s="10">
        <f>IF(A2231="D",LEFT(UPPER(E2231)&amp;REPT(" ",15),15)," ")</f>
        <v/>
      </c>
      <c r="V2231" s="10">
        <f>REPT(" ",24)</f>
        <v/>
      </c>
      <c r="W2231" s="10">
        <f>IF(A2231="c",LEFT(UPPER(B2231)&amp;REPT(" ",20),20),REPT(" ",20))</f>
        <v/>
      </c>
      <c r="X2231" s="10">
        <f>IF(A2231="C",LEFT(UPPER(C2231)&amp;REPT(" ",10),10)," ")</f>
        <v/>
      </c>
      <c r="Y2231" s="10">
        <f>IF(A2231="C",LEFT(UPPER(D2231)&amp;REPT(" ",2),2)," ")</f>
        <v/>
      </c>
      <c r="Z2231" s="10">
        <f>IF(A2231="C",LEFT(UPPER(E2231)&amp;REPT(" ",15),15)," ")</f>
        <v/>
      </c>
      <c r="AA2231" s="10">
        <f>REPT(" ",8)</f>
        <v/>
      </c>
      <c r="AB2231" s="10">
        <f>REPT(" ",4)</f>
        <v/>
      </c>
      <c r="AC2231" s="10">
        <f>LEFT(UPPER(H2231)&amp;REPT(" ",250),250)</f>
        <v/>
      </c>
      <c r="AD2231" s="10">
        <f>TEXT($G$2,"dd/mm/aaaa")</f>
        <v/>
      </c>
      <c r="AE2231" s="10">
        <f>REPT(" ",10)</f>
        <v/>
      </c>
      <c r="AF2231" s="10">
        <f>REPT(" ",20)</f>
        <v/>
      </c>
      <c r="AG2231" s="54">
        <f>REPT(" ",18-LEN(FIXED(F2231,2,TRUE)))&amp;FIXED(F2231,2,TRUE)</f>
        <v/>
      </c>
      <c r="AH2231" s="10">
        <f>LEN(AC2231)+LEN(AG2231)</f>
        <v/>
      </c>
      <c r="AI2231" s="10">
        <f>LEN(L2231)</f>
        <v/>
      </c>
    </row>
    <row r="2232">
      <c r="J2232" s="12">
        <f>IF(F2232&lt;&gt;0,"LANÇAR","")</f>
        <v/>
      </c>
      <c r="L2232" s="13">
        <f>N2232&amp;O2232&amp;P2232&amp;Q2232&amp;R2232&amp;S2232&amp;T2232&amp;U2232&amp;V2232&amp;W2232&amp;X2232&amp;Y2232&amp;Z2232&amp;AA2232&amp;AB2232&amp;AC2232&amp;AD2232&amp;AE2232&amp;AF2232&amp;AG2232</f>
        <v/>
      </c>
      <c r="N2232" s="10">
        <f>TEXT($B$6,"00")</f>
        <v/>
      </c>
      <c r="O2232" s="10">
        <f>REPT(" ",8)</f>
        <v/>
      </c>
      <c r="P2232" s="10">
        <f>RIGHT($B$4,2)</f>
        <v/>
      </c>
      <c r="Q2232" s="10">
        <f>RIGHT($B$5,3)</f>
        <v/>
      </c>
      <c r="R2232" s="10">
        <f>IF(A2232="D",LEFT(UPPER(B2232)&amp;REPT(" ",20),20),REPT(" ",20))</f>
        <v/>
      </c>
      <c r="S2232" s="10">
        <f>IF(A2232="D",LEFT(UPPER(C2232)&amp;REPT(" ",10),10)," ")</f>
        <v/>
      </c>
      <c r="T2232" s="10">
        <f>IF(A2232="D",LEFT(UPPER(D2232)&amp;REPT(" ",2),2)," ")</f>
        <v/>
      </c>
      <c r="U2232" s="10">
        <f>IF(A2232="D",LEFT(UPPER(E2232)&amp;REPT(" ",15),15)," ")</f>
        <v/>
      </c>
      <c r="V2232" s="10">
        <f>REPT(" ",24)</f>
        <v/>
      </c>
      <c r="W2232" s="10">
        <f>IF(A2232="c",LEFT(UPPER(B2232)&amp;REPT(" ",20),20),REPT(" ",20))</f>
        <v/>
      </c>
      <c r="X2232" s="10">
        <f>IF(A2232="C",LEFT(UPPER(C2232)&amp;REPT(" ",10),10)," ")</f>
        <v/>
      </c>
      <c r="Y2232" s="10">
        <f>IF(A2232="C",LEFT(UPPER(D2232)&amp;REPT(" ",2),2)," ")</f>
        <v/>
      </c>
      <c r="Z2232" s="10">
        <f>IF(A2232="C",LEFT(UPPER(E2232)&amp;REPT(" ",15),15)," ")</f>
        <v/>
      </c>
      <c r="AA2232" s="10">
        <f>REPT(" ",8)</f>
        <v/>
      </c>
      <c r="AB2232" s="10">
        <f>REPT(" ",4)</f>
        <v/>
      </c>
      <c r="AC2232" s="10">
        <f>LEFT(UPPER(H2232)&amp;REPT(" ",250),250)</f>
        <v/>
      </c>
      <c r="AD2232" s="10">
        <f>TEXT($G$2,"dd/mm/aaaa")</f>
        <v/>
      </c>
      <c r="AE2232" s="10">
        <f>REPT(" ",10)</f>
        <v/>
      </c>
      <c r="AF2232" s="10">
        <f>REPT(" ",20)</f>
        <v/>
      </c>
      <c r="AG2232" s="54">
        <f>REPT(" ",18-LEN(FIXED(F2232,2,TRUE)))&amp;FIXED(F2232,2,TRUE)</f>
        <v/>
      </c>
      <c r="AH2232" s="10">
        <f>LEN(AC2232)+LEN(AG2232)</f>
        <v/>
      </c>
      <c r="AI2232" s="10">
        <f>LEN(L2232)</f>
        <v/>
      </c>
    </row>
    <row r="2233">
      <c r="J2233" s="12">
        <f>IF(F2233&lt;&gt;0,"LANÇAR","")</f>
        <v/>
      </c>
      <c r="L2233" s="13">
        <f>N2233&amp;O2233&amp;P2233&amp;Q2233&amp;R2233&amp;S2233&amp;T2233&amp;U2233&amp;V2233&amp;W2233&amp;X2233&amp;Y2233&amp;Z2233&amp;AA2233&amp;AB2233&amp;AC2233&amp;AD2233&amp;AE2233&amp;AF2233&amp;AG2233</f>
        <v/>
      </c>
      <c r="N2233" s="10">
        <f>TEXT($B$6,"00")</f>
        <v/>
      </c>
      <c r="O2233" s="10">
        <f>REPT(" ",8)</f>
        <v/>
      </c>
      <c r="P2233" s="10">
        <f>RIGHT($B$4,2)</f>
        <v/>
      </c>
      <c r="Q2233" s="10">
        <f>RIGHT($B$5,3)</f>
        <v/>
      </c>
      <c r="R2233" s="10">
        <f>IF(A2233="D",LEFT(UPPER(B2233)&amp;REPT(" ",20),20),REPT(" ",20))</f>
        <v/>
      </c>
      <c r="S2233" s="10">
        <f>IF(A2233="D",LEFT(UPPER(C2233)&amp;REPT(" ",10),10)," ")</f>
        <v/>
      </c>
      <c r="T2233" s="10">
        <f>IF(A2233="D",LEFT(UPPER(D2233)&amp;REPT(" ",2),2)," ")</f>
        <v/>
      </c>
      <c r="U2233" s="10">
        <f>IF(A2233="D",LEFT(UPPER(E2233)&amp;REPT(" ",15),15)," ")</f>
        <v/>
      </c>
      <c r="V2233" s="10">
        <f>REPT(" ",24)</f>
        <v/>
      </c>
      <c r="W2233" s="10">
        <f>IF(A2233="c",LEFT(UPPER(B2233)&amp;REPT(" ",20),20),REPT(" ",20))</f>
        <v/>
      </c>
      <c r="X2233" s="10">
        <f>IF(A2233="C",LEFT(UPPER(C2233)&amp;REPT(" ",10),10)," ")</f>
        <v/>
      </c>
      <c r="Y2233" s="10">
        <f>IF(A2233="C",LEFT(UPPER(D2233)&amp;REPT(" ",2),2)," ")</f>
        <v/>
      </c>
      <c r="Z2233" s="10">
        <f>IF(A2233="C",LEFT(UPPER(E2233)&amp;REPT(" ",15),15)," ")</f>
        <v/>
      </c>
      <c r="AA2233" s="10">
        <f>REPT(" ",8)</f>
        <v/>
      </c>
      <c r="AB2233" s="10">
        <f>REPT(" ",4)</f>
        <v/>
      </c>
      <c r="AC2233" s="10">
        <f>LEFT(UPPER(H2233)&amp;REPT(" ",250),250)</f>
        <v/>
      </c>
      <c r="AD2233" s="10">
        <f>TEXT($G$2,"dd/mm/aaaa")</f>
        <v/>
      </c>
      <c r="AE2233" s="10">
        <f>REPT(" ",10)</f>
        <v/>
      </c>
      <c r="AF2233" s="10">
        <f>REPT(" ",20)</f>
        <v/>
      </c>
      <c r="AG2233" s="54">
        <f>REPT(" ",18-LEN(FIXED(F2233,2,TRUE)))&amp;FIXED(F2233,2,TRUE)</f>
        <v/>
      </c>
      <c r="AH2233" s="10">
        <f>LEN(AC2233)+LEN(AG2233)</f>
        <v/>
      </c>
      <c r="AI2233" s="10">
        <f>LEN(L2233)</f>
        <v/>
      </c>
    </row>
    <row r="2234">
      <c r="J2234" s="12">
        <f>IF(F2234&lt;&gt;0,"LANÇAR","")</f>
        <v/>
      </c>
      <c r="L2234" s="13">
        <f>N2234&amp;O2234&amp;P2234&amp;Q2234&amp;R2234&amp;S2234&amp;T2234&amp;U2234&amp;V2234&amp;W2234&amp;X2234&amp;Y2234&amp;Z2234&amp;AA2234&amp;AB2234&amp;AC2234&amp;AD2234&amp;AE2234&amp;AF2234&amp;AG2234</f>
        <v/>
      </c>
      <c r="N2234" s="10">
        <f>TEXT($B$6,"00")</f>
        <v/>
      </c>
      <c r="O2234" s="10">
        <f>REPT(" ",8)</f>
        <v/>
      </c>
      <c r="P2234" s="10">
        <f>RIGHT($B$4,2)</f>
        <v/>
      </c>
      <c r="Q2234" s="10">
        <f>RIGHT($B$5,3)</f>
        <v/>
      </c>
      <c r="R2234" s="10">
        <f>IF(A2234="D",LEFT(UPPER(B2234)&amp;REPT(" ",20),20),REPT(" ",20))</f>
        <v/>
      </c>
      <c r="S2234" s="10">
        <f>IF(A2234="D",LEFT(UPPER(C2234)&amp;REPT(" ",10),10)," ")</f>
        <v/>
      </c>
      <c r="T2234" s="10">
        <f>IF(A2234="D",LEFT(UPPER(D2234)&amp;REPT(" ",2),2)," ")</f>
        <v/>
      </c>
      <c r="U2234" s="10">
        <f>IF(A2234="D",LEFT(UPPER(E2234)&amp;REPT(" ",15),15)," ")</f>
        <v/>
      </c>
      <c r="V2234" s="10">
        <f>REPT(" ",24)</f>
        <v/>
      </c>
      <c r="W2234" s="10">
        <f>IF(A2234="c",LEFT(UPPER(B2234)&amp;REPT(" ",20),20),REPT(" ",20))</f>
        <v/>
      </c>
      <c r="X2234" s="10">
        <f>IF(A2234="C",LEFT(UPPER(C2234)&amp;REPT(" ",10),10)," ")</f>
        <v/>
      </c>
      <c r="Y2234" s="10">
        <f>IF(A2234="C",LEFT(UPPER(D2234)&amp;REPT(" ",2),2)," ")</f>
        <v/>
      </c>
      <c r="Z2234" s="10">
        <f>IF(A2234="C",LEFT(UPPER(E2234)&amp;REPT(" ",15),15)," ")</f>
        <v/>
      </c>
      <c r="AA2234" s="10">
        <f>REPT(" ",8)</f>
        <v/>
      </c>
      <c r="AB2234" s="10">
        <f>REPT(" ",4)</f>
        <v/>
      </c>
      <c r="AC2234" s="10">
        <f>LEFT(UPPER(H2234)&amp;REPT(" ",250),250)</f>
        <v/>
      </c>
      <c r="AD2234" s="10">
        <f>TEXT($G$2,"dd/mm/aaaa")</f>
        <v/>
      </c>
      <c r="AE2234" s="10">
        <f>REPT(" ",10)</f>
        <v/>
      </c>
      <c r="AF2234" s="10">
        <f>REPT(" ",20)</f>
        <v/>
      </c>
      <c r="AG2234" s="54">
        <f>REPT(" ",18-LEN(FIXED(F2234,2,TRUE)))&amp;FIXED(F2234,2,TRUE)</f>
        <v/>
      </c>
      <c r="AH2234" s="10">
        <f>LEN(AC2234)+LEN(AG2234)</f>
        <v/>
      </c>
      <c r="AI2234" s="10">
        <f>LEN(L2234)</f>
        <v/>
      </c>
    </row>
    <row r="2235">
      <c r="J2235" s="12">
        <f>IF(F2235&lt;&gt;0,"LANÇAR","")</f>
        <v/>
      </c>
      <c r="L2235" s="13">
        <f>N2235&amp;O2235&amp;P2235&amp;Q2235&amp;R2235&amp;S2235&amp;T2235&amp;U2235&amp;V2235&amp;W2235&amp;X2235&amp;Y2235&amp;Z2235&amp;AA2235&amp;AB2235&amp;AC2235&amp;AD2235&amp;AE2235&amp;AF2235&amp;AG2235</f>
        <v/>
      </c>
      <c r="N2235" s="10">
        <f>TEXT($B$6,"00")</f>
        <v/>
      </c>
      <c r="O2235" s="10">
        <f>REPT(" ",8)</f>
        <v/>
      </c>
      <c r="P2235" s="10">
        <f>RIGHT($B$4,2)</f>
        <v/>
      </c>
      <c r="Q2235" s="10">
        <f>RIGHT($B$5,3)</f>
        <v/>
      </c>
      <c r="R2235" s="10">
        <f>IF(A2235="D",LEFT(UPPER(B2235)&amp;REPT(" ",20),20),REPT(" ",20))</f>
        <v/>
      </c>
      <c r="S2235" s="10">
        <f>IF(A2235="D",LEFT(UPPER(C2235)&amp;REPT(" ",10),10)," ")</f>
        <v/>
      </c>
      <c r="T2235" s="10">
        <f>IF(A2235="D",LEFT(UPPER(D2235)&amp;REPT(" ",2),2)," ")</f>
        <v/>
      </c>
      <c r="U2235" s="10">
        <f>IF(A2235="D",LEFT(UPPER(E2235)&amp;REPT(" ",15),15)," ")</f>
        <v/>
      </c>
      <c r="V2235" s="10">
        <f>REPT(" ",24)</f>
        <v/>
      </c>
      <c r="W2235" s="10">
        <f>IF(A2235="c",LEFT(UPPER(B2235)&amp;REPT(" ",20),20),REPT(" ",20))</f>
        <v/>
      </c>
      <c r="X2235" s="10">
        <f>IF(A2235="C",LEFT(UPPER(C2235)&amp;REPT(" ",10),10)," ")</f>
        <v/>
      </c>
      <c r="Y2235" s="10">
        <f>IF(A2235="C",LEFT(UPPER(D2235)&amp;REPT(" ",2),2)," ")</f>
        <v/>
      </c>
      <c r="Z2235" s="10">
        <f>IF(A2235="C",LEFT(UPPER(E2235)&amp;REPT(" ",15),15)," ")</f>
        <v/>
      </c>
      <c r="AA2235" s="10">
        <f>REPT(" ",8)</f>
        <v/>
      </c>
      <c r="AB2235" s="10">
        <f>REPT(" ",4)</f>
        <v/>
      </c>
      <c r="AC2235" s="10">
        <f>LEFT(UPPER(H2235)&amp;REPT(" ",250),250)</f>
        <v/>
      </c>
      <c r="AD2235" s="10">
        <f>TEXT($G$2,"dd/mm/aaaa")</f>
        <v/>
      </c>
      <c r="AE2235" s="10">
        <f>REPT(" ",10)</f>
        <v/>
      </c>
      <c r="AF2235" s="10">
        <f>REPT(" ",20)</f>
        <v/>
      </c>
      <c r="AG2235" s="54">
        <f>REPT(" ",18-LEN(FIXED(F2235,2,TRUE)))&amp;FIXED(F2235,2,TRUE)</f>
        <v/>
      </c>
      <c r="AH2235" s="10">
        <f>LEN(AC2235)+LEN(AG2235)</f>
        <v/>
      </c>
      <c r="AI2235" s="10">
        <f>LEN(L2235)</f>
        <v/>
      </c>
    </row>
    <row r="2236">
      <c r="J2236" s="12">
        <f>IF(F2236&lt;&gt;0,"LANÇAR","")</f>
        <v/>
      </c>
      <c r="L2236" s="13">
        <f>N2236&amp;O2236&amp;P2236&amp;Q2236&amp;R2236&amp;S2236&amp;T2236&amp;U2236&amp;V2236&amp;W2236&amp;X2236&amp;Y2236&amp;Z2236&amp;AA2236&amp;AB2236&amp;AC2236&amp;AD2236&amp;AE2236&amp;AF2236&amp;AG2236</f>
        <v/>
      </c>
      <c r="N2236" s="10">
        <f>TEXT($B$6,"00")</f>
        <v/>
      </c>
      <c r="O2236" s="10">
        <f>REPT(" ",8)</f>
        <v/>
      </c>
      <c r="P2236" s="10">
        <f>RIGHT($B$4,2)</f>
        <v/>
      </c>
      <c r="Q2236" s="10">
        <f>RIGHT($B$5,3)</f>
        <v/>
      </c>
      <c r="R2236" s="10">
        <f>IF(A2236="D",LEFT(UPPER(B2236)&amp;REPT(" ",20),20),REPT(" ",20))</f>
        <v/>
      </c>
      <c r="S2236" s="10">
        <f>IF(A2236="D",LEFT(UPPER(C2236)&amp;REPT(" ",10),10)," ")</f>
        <v/>
      </c>
      <c r="T2236" s="10">
        <f>IF(A2236="D",LEFT(UPPER(D2236)&amp;REPT(" ",2),2)," ")</f>
        <v/>
      </c>
      <c r="U2236" s="10">
        <f>IF(A2236="D",LEFT(UPPER(E2236)&amp;REPT(" ",15),15)," ")</f>
        <v/>
      </c>
      <c r="V2236" s="10">
        <f>REPT(" ",24)</f>
        <v/>
      </c>
      <c r="W2236" s="10">
        <f>IF(A2236="c",LEFT(UPPER(B2236)&amp;REPT(" ",20),20),REPT(" ",20))</f>
        <v/>
      </c>
      <c r="X2236" s="10">
        <f>IF(A2236="C",LEFT(UPPER(C2236)&amp;REPT(" ",10),10)," ")</f>
        <v/>
      </c>
      <c r="Y2236" s="10">
        <f>IF(A2236="C",LEFT(UPPER(D2236)&amp;REPT(" ",2),2)," ")</f>
        <v/>
      </c>
      <c r="Z2236" s="10">
        <f>IF(A2236="C",LEFT(UPPER(E2236)&amp;REPT(" ",15),15)," ")</f>
        <v/>
      </c>
      <c r="AA2236" s="10">
        <f>REPT(" ",8)</f>
        <v/>
      </c>
      <c r="AB2236" s="10">
        <f>REPT(" ",4)</f>
        <v/>
      </c>
      <c r="AC2236" s="10">
        <f>LEFT(UPPER(H2236)&amp;REPT(" ",250),250)</f>
        <v/>
      </c>
      <c r="AD2236" s="10">
        <f>TEXT($G$2,"dd/mm/aaaa")</f>
        <v/>
      </c>
      <c r="AE2236" s="10">
        <f>REPT(" ",10)</f>
        <v/>
      </c>
      <c r="AF2236" s="10">
        <f>REPT(" ",20)</f>
        <v/>
      </c>
      <c r="AG2236" s="54">
        <f>REPT(" ",18-LEN(FIXED(F2236,2,TRUE)))&amp;FIXED(F2236,2,TRUE)</f>
        <v/>
      </c>
      <c r="AH2236" s="10">
        <f>LEN(AC2236)+LEN(AG2236)</f>
        <v/>
      </c>
      <c r="AI2236" s="10">
        <f>LEN(L2236)</f>
        <v/>
      </c>
    </row>
    <row r="2237">
      <c r="J2237" s="12">
        <f>IF(F2237&lt;&gt;0,"LANÇAR","")</f>
        <v/>
      </c>
      <c r="L2237" s="13">
        <f>N2237&amp;O2237&amp;P2237&amp;Q2237&amp;R2237&amp;S2237&amp;T2237&amp;U2237&amp;V2237&amp;W2237&amp;X2237&amp;Y2237&amp;Z2237&amp;AA2237&amp;AB2237&amp;AC2237&amp;AD2237&amp;AE2237&amp;AF2237&amp;AG2237</f>
        <v/>
      </c>
      <c r="N2237" s="10">
        <f>TEXT($B$6,"00")</f>
        <v/>
      </c>
      <c r="O2237" s="10">
        <f>REPT(" ",8)</f>
        <v/>
      </c>
      <c r="P2237" s="10">
        <f>RIGHT($B$4,2)</f>
        <v/>
      </c>
      <c r="Q2237" s="10">
        <f>RIGHT($B$5,3)</f>
        <v/>
      </c>
      <c r="R2237" s="10">
        <f>IF(A2237="D",LEFT(UPPER(B2237)&amp;REPT(" ",20),20),REPT(" ",20))</f>
        <v/>
      </c>
      <c r="S2237" s="10">
        <f>IF(A2237="D",LEFT(UPPER(C2237)&amp;REPT(" ",10),10)," ")</f>
        <v/>
      </c>
      <c r="T2237" s="10">
        <f>IF(A2237="D",LEFT(UPPER(D2237)&amp;REPT(" ",2),2)," ")</f>
        <v/>
      </c>
      <c r="U2237" s="10">
        <f>IF(A2237="D",LEFT(UPPER(E2237)&amp;REPT(" ",15),15)," ")</f>
        <v/>
      </c>
      <c r="V2237" s="10">
        <f>REPT(" ",24)</f>
        <v/>
      </c>
      <c r="W2237" s="10">
        <f>IF(A2237="c",LEFT(UPPER(B2237)&amp;REPT(" ",20),20),REPT(" ",20))</f>
        <v/>
      </c>
      <c r="X2237" s="10">
        <f>IF(A2237="C",LEFT(UPPER(C2237)&amp;REPT(" ",10),10)," ")</f>
        <v/>
      </c>
      <c r="Y2237" s="10">
        <f>IF(A2237="C",LEFT(UPPER(D2237)&amp;REPT(" ",2),2)," ")</f>
        <v/>
      </c>
      <c r="Z2237" s="10">
        <f>IF(A2237="C",LEFT(UPPER(E2237)&amp;REPT(" ",15),15)," ")</f>
        <v/>
      </c>
      <c r="AA2237" s="10">
        <f>REPT(" ",8)</f>
        <v/>
      </c>
      <c r="AB2237" s="10">
        <f>REPT(" ",4)</f>
        <v/>
      </c>
      <c r="AC2237" s="10">
        <f>LEFT(UPPER(H2237)&amp;REPT(" ",250),250)</f>
        <v/>
      </c>
      <c r="AD2237" s="10">
        <f>TEXT($G$2,"dd/mm/aaaa")</f>
        <v/>
      </c>
      <c r="AE2237" s="10">
        <f>REPT(" ",10)</f>
        <v/>
      </c>
      <c r="AF2237" s="10">
        <f>REPT(" ",20)</f>
        <v/>
      </c>
      <c r="AG2237" s="54">
        <f>REPT(" ",18-LEN(FIXED(F2237,2,TRUE)))&amp;FIXED(F2237,2,TRUE)</f>
        <v/>
      </c>
      <c r="AH2237" s="10">
        <f>LEN(AC2237)+LEN(AG2237)</f>
        <v/>
      </c>
      <c r="AI2237" s="10">
        <f>LEN(L2237)</f>
        <v/>
      </c>
    </row>
    <row r="2238">
      <c r="J2238" s="12">
        <f>IF(F2238&lt;&gt;0,"LANÇAR","")</f>
        <v/>
      </c>
      <c r="L2238" s="13">
        <f>N2238&amp;O2238&amp;P2238&amp;Q2238&amp;R2238&amp;S2238&amp;T2238&amp;U2238&amp;V2238&amp;W2238&amp;X2238&amp;Y2238&amp;Z2238&amp;AA2238&amp;AB2238&amp;AC2238&amp;AD2238&amp;AE2238&amp;AF2238&amp;AG2238</f>
        <v/>
      </c>
      <c r="N2238" s="10">
        <f>TEXT($B$6,"00")</f>
        <v/>
      </c>
      <c r="O2238" s="10">
        <f>REPT(" ",8)</f>
        <v/>
      </c>
      <c r="P2238" s="10">
        <f>RIGHT($B$4,2)</f>
        <v/>
      </c>
      <c r="Q2238" s="10">
        <f>RIGHT($B$5,3)</f>
        <v/>
      </c>
      <c r="R2238" s="10">
        <f>IF(A2238="D",LEFT(UPPER(B2238)&amp;REPT(" ",20),20),REPT(" ",20))</f>
        <v/>
      </c>
      <c r="S2238" s="10">
        <f>IF(A2238="D",LEFT(UPPER(C2238)&amp;REPT(" ",10),10)," ")</f>
        <v/>
      </c>
      <c r="T2238" s="10">
        <f>IF(A2238="D",LEFT(UPPER(D2238)&amp;REPT(" ",2),2)," ")</f>
        <v/>
      </c>
      <c r="U2238" s="10">
        <f>IF(A2238="D",LEFT(UPPER(E2238)&amp;REPT(" ",15),15)," ")</f>
        <v/>
      </c>
      <c r="V2238" s="10">
        <f>REPT(" ",24)</f>
        <v/>
      </c>
      <c r="W2238" s="10">
        <f>IF(A2238="c",LEFT(UPPER(B2238)&amp;REPT(" ",20),20),REPT(" ",20))</f>
        <v/>
      </c>
      <c r="X2238" s="10">
        <f>IF(A2238="C",LEFT(UPPER(C2238)&amp;REPT(" ",10),10)," ")</f>
        <v/>
      </c>
      <c r="Y2238" s="10">
        <f>IF(A2238="C",LEFT(UPPER(D2238)&amp;REPT(" ",2),2)," ")</f>
        <v/>
      </c>
      <c r="Z2238" s="10">
        <f>IF(A2238="C",LEFT(UPPER(E2238)&amp;REPT(" ",15),15)," ")</f>
        <v/>
      </c>
      <c r="AA2238" s="10">
        <f>REPT(" ",8)</f>
        <v/>
      </c>
      <c r="AB2238" s="10">
        <f>REPT(" ",4)</f>
        <v/>
      </c>
      <c r="AC2238" s="10">
        <f>LEFT(UPPER(H2238)&amp;REPT(" ",250),250)</f>
        <v/>
      </c>
      <c r="AD2238" s="10">
        <f>TEXT($G$2,"dd/mm/aaaa")</f>
        <v/>
      </c>
      <c r="AE2238" s="10">
        <f>REPT(" ",10)</f>
        <v/>
      </c>
      <c r="AF2238" s="10">
        <f>REPT(" ",20)</f>
        <v/>
      </c>
      <c r="AG2238" s="54">
        <f>REPT(" ",18-LEN(FIXED(F2238,2,TRUE)))&amp;FIXED(F2238,2,TRUE)</f>
        <v/>
      </c>
      <c r="AH2238" s="10">
        <f>LEN(AC2238)+LEN(AG2238)</f>
        <v/>
      </c>
      <c r="AI2238" s="10">
        <f>LEN(L2238)</f>
        <v/>
      </c>
    </row>
    <row r="2239">
      <c r="J2239" s="12">
        <f>IF(F2239&lt;&gt;0,"LANÇAR","")</f>
        <v/>
      </c>
      <c r="L2239" s="13">
        <f>N2239&amp;O2239&amp;P2239&amp;Q2239&amp;R2239&amp;S2239&amp;T2239&amp;U2239&amp;V2239&amp;W2239&amp;X2239&amp;Y2239&amp;Z2239&amp;AA2239&amp;AB2239&amp;AC2239&amp;AD2239&amp;AE2239&amp;AF2239&amp;AG2239</f>
        <v/>
      </c>
      <c r="N2239" s="10">
        <f>TEXT($B$6,"00")</f>
        <v/>
      </c>
      <c r="O2239" s="10">
        <f>REPT(" ",8)</f>
        <v/>
      </c>
      <c r="P2239" s="10">
        <f>RIGHT($B$4,2)</f>
        <v/>
      </c>
      <c r="Q2239" s="10">
        <f>RIGHT($B$5,3)</f>
        <v/>
      </c>
      <c r="R2239" s="10">
        <f>IF(A2239="D",LEFT(UPPER(B2239)&amp;REPT(" ",20),20),REPT(" ",20))</f>
        <v/>
      </c>
      <c r="S2239" s="10">
        <f>IF(A2239="D",LEFT(UPPER(C2239)&amp;REPT(" ",10),10)," ")</f>
        <v/>
      </c>
      <c r="T2239" s="10">
        <f>IF(A2239="D",LEFT(UPPER(D2239)&amp;REPT(" ",2),2)," ")</f>
        <v/>
      </c>
      <c r="U2239" s="10">
        <f>IF(A2239="D",LEFT(UPPER(E2239)&amp;REPT(" ",15),15)," ")</f>
        <v/>
      </c>
      <c r="V2239" s="10">
        <f>REPT(" ",24)</f>
        <v/>
      </c>
      <c r="W2239" s="10">
        <f>IF(A2239="c",LEFT(UPPER(B2239)&amp;REPT(" ",20),20),REPT(" ",20))</f>
        <v/>
      </c>
      <c r="X2239" s="10">
        <f>IF(A2239="C",LEFT(UPPER(C2239)&amp;REPT(" ",10),10)," ")</f>
        <v/>
      </c>
      <c r="Y2239" s="10">
        <f>IF(A2239="C",LEFT(UPPER(D2239)&amp;REPT(" ",2),2)," ")</f>
        <v/>
      </c>
      <c r="Z2239" s="10">
        <f>IF(A2239="C",LEFT(UPPER(E2239)&amp;REPT(" ",15),15)," ")</f>
        <v/>
      </c>
      <c r="AA2239" s="10">
        <f>REPT(" ",8)</f>
        <v/>
      </c>
      <c r="AB2239" s="10">
        <f>REPT(" ",4)</f>
        <v/>
      </c>
      <c r="AC2239" s="10">
        <f>LEFT(UPPER(H2239)&amp;REPT(" ",250),250)</f>
        <v/>
      </c>
      <c r="AD2239" s="10">
        <f>TEXT($G$2,"dd/mm/aaaa")</f>
        <v/>
      </c>
      <c r="AE2239" s="10">
        <f>REPT(" ",10)</f>
        <v/>
      </c>
      <c r="AF2239" s="10">
        <f>REPT(" ",20)</f>
        <v/>
      </c>
      <c r="AG2239" s="54">
        <f>REPT(" ",18-LEN(FIXED(F2239,2,TRUE)))&amp;FIXED(F2239,2,TRUE)</f>
        <v/>
      </c>
      <c r="AH2239" s="10">
        <f>LEN(AC2239)+LEN(AG2239)</f>
        <v/>
      </c>
      <c r="AI2239" s="10">
        <f>LEN(L2239)</f>
        <v/>
      </c>
    </row>
    <row r="2240">
      <c r="J2240" s="12">
        <f>IF(F2240&lt;&gt;0,"LANÇAR","")</f>
        <v/>
      </c>
      <c r="L2240" s="13">
        <f>N2240&amp;O2240&amp;P2240&amp;Q2240&amp;R2240&amp;S2240&amp;T2240&amp;U2240&amp;V2240&amp;W2240&amp;X2240&amp;Y2240&amp;Z2240&amp;AA2240&amp;AB2240&amp;AC2240&amp;AD2240&amp;AE2240&amp;AF2240&amp;AG2240</f>
        <v/>
      </c>
      <c r="N2240" s="10">
        <f>TEXT($B$6,"00")</f>
        <v/>
      </c>
      <c r="O2240" s="10">
        <f>REPT(" ",8)</f>
        <v/>
      </c>
      <c r="P2240" s="10">
        <f>RIGHT($B$4,2)</f>
        <v/>
      </c>
      <c r="Q2240" s="10">
        <f>RIGHT($B$5,3)</f>
        <v/>
      </c>
      <c r="R2240" s="10">
        <f>IF(A2240="D",LEFT(UPPER(B2240)&amp;REPT(" ",20),20),REPT(" ",20))</f>
        <v/>
      </c>
      <c r="S2240" s="10">
        <f>IF(A2240="D",LEFT(UPPER(C2240)&amp;REPT(" ",10),10)," ")</f>
        <v/>
      </c>
      <c r="T2240" s="10">
        <f>IF(A2240="D",LEFT(UPPER(D2240)&amp;REPT(" ",2),2)," ")</f>
        <v/>
      </c>
      <c r="U2240" s="10">
        <f>IF(A2240="D",LEFT(UPPER(E2240)&amp;REPT(" ",15),15)," ")</f>
        <v/>
      </c>
      <c r="V2240" s="10">
        <f>REPT(" ",24)</f>
        <v/>
      </c>
      <c r="W2240" s="10">
        <f>IF(A2240="c",LEFT(UPPER(B2240)&amp;REPT(" ",20),20),REPT(" ",20))</f>
        <v/>
      </c>
      <c r="X2240" s="10">
        <f>IF(A2240="C",LEFT(UPPER(C2240)&amp;REPT(" ",10),10)," ")</f>
        <v/>
      </c>
      <c r="Y2240" s="10">
        <f>IF(A2240="C",LEFT(UPPER(D2240)&amp;REPT(" ",2),2)," ")</f>
        <v/>
      </c>
      <c r="Z2240" s="10">
        <f>IF(A2240="C",LEFT(UPPER(E2240)&amp;REPT(" ",15),15)," ")</f>
        <v/>
      </c>
      <c r="AA2240" s="10">
        <f>REPT(" ",8)</f>
        <v/>
      </c>
      <c r="AB2240" s="10">
        <f>REPT(" ",4)</f>
        <v/>
      </c>
      <c r="AC2240" s="10">
        <f>LEFT(UPPER(H2240)&amp;REPT(" ",250),250)</f>
        <v/>
      </c>
      <c r="AD2240" s="10">
        <f>TEXT($G$2,"dd/mm/aaaa")</f>
        <v/>
      </c>
      <c r="AE2240" s="10">
        <f>REPT(" ",10)</f>
        <v/>
      </c>
      <c r="AF2240" s="10">
        <f>REPT(" ",20)</f>
        <v/>
      </c>
      <c r="AG2240" s="54">
        <f>REPT(" ",18-LEN(FIXED(F2240,2,TRUE)))&amp;FIXED(F2240,2,TRUE)</f>
        <v/>
      </c>
      <c r="AH2240" s="10">
        <f>LEN(AC2240)+LEN(AG2240)</f>
        <v/>
      </c>
      <c r="AI2240" s="10">
        <f>LEN(L2240)</f>
        <v/>
      </c>
    </row>
    <row r="2241">
      <c r="J2241" s="12">
        <f>IF(F2241&lt;&gt;0,"LANÇAR","")</f>
        <v/>
      </c>
      <c r="L2241" s="13">
        <f>N2241&amp;O2241&amp;P2241&amp;Q2241&amp;R2241&amp;S2241&amp;T2241&amp;U2241&amp;V2241&amp;W2241&amp;X2241&amp;Y2241&amp;Z2241&amp;AA2241&amp;AB2241&amp;AC2241&amp;AD2241&amp;AE2241&amp;AF2241&amp;AG2241</f>
        <v/>
      </c>
      <c r="N2241" s="10">
        <f>TEXT($B$6,"00")</f>
        <v/>
      </c>
      <c r="O2241" s="10">
        <f>REPT(" ",8)</f>
        <v/>
      </c>
      <c r="P2241" s="10">
        <f>RIGHT($B$4,2)</f>
        <v/>
      </c>
      <c r="Q2241" s="10">
        <f>RIGHT($B$5,3)</f>
        <v/>
      </c>
      <c r="R2241" s="10">
        <f>IF(A2241="D",LEFT(UPPER(B2241)&amp;REPT(" ",20),20),REPT(" ",20))</f>
        <v/>
      </c>
      <c r="S2241" s="10">
        <f>IF(A2241="D",LEFT(UPPER(C2241)&amp;REPT(" ",10),10)," ")</f>
        <v/>
      </c>
      <c r="T2241" s="10">
        <f>IF(A2241="D",LEFT(UPPER(D2241)&amp;REPT(" ",2),2)," ")</f>
        <v/>
      </c>
      <c r="U2241" s="10">
        <f>IF(A2241="D",LEFT(UPPER(E2241)&amp;REPT(" ",15),15)," ")</f>
        <v/>
      </c>
      <c r="V2241" s="10">
        <f>REPT(" ",24)</f>
        <v/>
      </c>
      <c r="W2241" s="10">
        <f>IF(A2241="c",LEFT(UPPER(B2241)&amp;REPT(" ",20),20),REPT(" ",20))</f>
        <v/>
      </c>
      <c r="X2241" s="10">
        <f>IF(A2241="C",LEFT(UPPER(C2241)&amp;REPT(" ",10),10)," ")</f>
        <v/>
      </c>
      <c r="Y2241" s="10">
        <f>IF(A2241="C",LEFT(UPPER(D2241)&amp;REPT(" ",2),2)," ")</f>
        <v/>
      </c>
      <c r="Z2241" s="10">
        <f>IF(A2241="C",LEFT(UPPER(E2241)&amp;REPT(" ",15),15)," ")</f>
        <v/>
      </c>
      <c r="AA2241" s="10">
        <f>REPT(" ",8)</f>
        <v/>
      </c>
      <c r="AB2241" s="10">
        <f>REPT(" ",4)</f>
        <v/>
      </c>
      <c r="AC2241" s="10">
        <f>LEFT(UPPER(H2241)&amp;REPT(" ",250),250)</f>
        <v/>
      </c>
      <c r="AD2241" s="10">
        <f>TEXT($G$2,"dd/mm/aaaa")</f>
        <v/>
      </c>
      <c r="AE2241" s="10">
        <f>REPT(" ",10)</f>
        <v/>
      </c>
      <c r="AF2241" s="10">
        <f>REPT(" ",20)</f>
        <v/>
      </c>
      <c r="AG2241" s="54">
        <f>REPT(" ",18-LEN(FIXED(F2241,2,TRUE)))&amp;FIXED(F2241,2,TRUE)</f>
        <v/>
      </c>
      <c r="AH2241" s="10">
        <f>LEN(AC2241)+LEN(AG2241)</f>
        <v/>
      </c>
      <c r="AI2241" s="10">
        <f>LEN(L2241)</f>
        <v/>
      </c>
    </row>
    <row r="2242">
      <c r="J2242" s="12">
        <f>IF(F2242&lt;&gt;0,"LANÇAR","")</f>
        <v/>
      </c>
      <c r="L2242" s="13">
        <f>N2242&amp;O2242&amp;P2242&amp;Q2242&amp;R2242&amp;S2242&amp;T2242&amp;U2242&amp;V2242&amp;W2242&amp;X2242&amp;Y2242&amp;Z2242&amp;AA2242&amp;AB2242&amp;AC2242&amp;AD2242&amp;AE2242&amp;AF2242&amp;AG2242</f>
        <v/>
      </c>
      <c r="N2242" s="10">
        <f>TEXT($B$6,"00")</f>
        <v/>
      </c>
      <c r="O2242" s="10">
        <f>REPT(" ",8)</f>
        <v/>
      </c>
      <c r="P2242" s="10">
        <f>RIGHT($B$4,2)</f>
        <v/>
      </c>
      <c r="Q2242" s="10">
        <f>RIGHT($B$5,3)</f>
        <v/>
      </c>
      <c r="R2242" s="10">
        <f>IF(A2242="D",LEFT(UPPER(B2242)&amp;REPT(" ",20),20),REPT(" ",20))</f>
        <v/>
      </c>
      <c r="S2242" s="10">
        <f>IF(A2242="D",LEFT(UPPER(C2242)&amp;REPT(" ",10),10)," ")</f>
        <v/>
      </c>
      <c r="T2242" s="10">
        <f>IF(A2242="D",LEFT(UPPER(D2242)&amp;REPT(" ",2),2)," ")</f>
        <v/>
      </c>
      <c r="U2242" s="10">
        <f>IF(A2242="D",LEFT(UPPER(E2242)&amp;REPT(" ",15),15)," ")</f>
        <v/>
      </c>
      <c r="V2242" s="10">
        <f>REPT(" ",24)</f>
        <v/>
      </c>
      <c r="W2242" s="10">
        <f>IF(A2242="c",LEFT(UPPER(B2242)&amp;REPT(" ",20),20),REPT(" ",20))</f>
        <v/>
      </c>
      <c r="X2242" s="10">
        <f>IF(A2242="C",LEFT(UPPER(C2242)&amp;REPT(" ",10),10)," ")</f>
        <v/>
      </c>
      <c r="Y2242" s="10">
        <f>IF(A2242="C",LEFT(UPPER(D2242)&amp;REPT(" ",2),2)," ")</f>
        <v/>
      </c>
      <c r="Z2242" s="10">
        <f>IF(A2242="C",LEFT(UPPER(E2242)&amp;REPT(" ",15),15)," ")</f>
        <v/>
      </c>
      <c r="AA2242" s="10">
        <f>REPT(" ",8)</f>
        <v/>
      </c>
      <c r="AB2242" s="10">
        <f>REPT(" ",4)</f>
        <v/>
      </c>
      <c r="AC2242" s="10">
        <f>LEFT(UPPER(H2242)&amp;REPT(" ",250),250)</f>
        <v/>
      </c>
      <c r="AD2242" s="10">
        <f>TEXT($G$2,"dd/mm/aaaa")</f>
        <v/>
      </c>
      <c r="AE2242" s="10">
        <f>REPT(" ",10)</f>
        <v/>
      </c>
      <c r="AF2242" s="10">
        <f>REPT(" ",20)</f>
        <v/>
      </c>
      <c r="AG2242" s="54">
        <f>REPT(" ",18-LEN(FIXED(F2242,2,TRUE)))&amp;FIXED(F2242,2,TRUE)</f>
        <v/>
      </c>
      <c r="AH2242" s="10">
        <f>LEN(AC2242)+LEN(AG2242)</f>
        <v/>
      </c>
      <c r="AI2242" s="10">
        <f>LEN(L2242)</f>
        <v/>
      </c>
    </row>
    <row r="2243">
      <c r="J2243" s="12">
        <f>IF(F2243&lt;&gt;0,"LANÇAR","")</f>
        <v/>
      </c>
      <c r="L2243" s="13">
        <f>N2243&amp;O2243&amp;P2243&amp;Q2243&amp;R2243&amp;S2243&amp;T2243&amp;U2243&amp;V2243&amp;W2243&amp;X2243&amp;Y2243&amp;Z2243&amp;AA2243&amp;AB2243&amp;AC2243&amp;AD2243&amp;AE2243&amp;AF2243&amp;AG2243</f>
        <v/>
      </c>
      <c r="N2243" s="10">
        <f>TEXT($B$6,"00")</f>
        <v/>
      </c>
      <c r="O2243" s="10">
        <f>REPT(" ",8)</f>
        <v/>
      </c>
      <c r="P2243" s="10">
        <f>RIGHT($B$4,2)</f>
        <v/>
      </c>
      <c r="Q2243" s="10">
        <f>RIGHT($B$5,3)</f>
        <v/>
      </c>
      <c r="R2243" s="10">
        <f>IF(A2243="D",LEFT(UPPER(B2243)&amp;REPT(" ",20),20),REPT(" ",20))</f>
        <v/>
      </c>
      <c r="S2243" s="10">
        <f>IF(A2243="D",LEFT(UPPER(C2243)&amp;REPT(" ",10),10)," ")</f>
        <v/>
      </c>
      <c r="T2243" s="10">
        <f>IF(A2243="D",LEFT(UPPER(D2243)&amp;REPT(" ",2),2)," ")</f>
        <v/>
      </c>
      <c r="U2243" s="10">
        <f>IF(A2243="D",LEFT(UPPER(E2243)&amp;REPT(" ",15),15)," ")</f>
        <v/>
      </c>
      <c r="V2243" s="10">
        <f>REPT(" ",24)</f>
        <v/>
      </c>
      <c r="W2243" s="10">
        <f>IF(A2243="c",LEFT(UPPER(B2243)&amp;REPT(" ",20),20),REPT(" ",20))</f>
        <v/>
      </c>
      <c r="X2243" s="10">
        <f>IF(A2243="C",LEFT(UPPER(C2243)&amp;REPT(" ",10),10)," ")</f>
        <v/>
      </c>
      <c r="Y2243" s="10">
        <f>IF(A2243="C",LEFT(UPPER(D2243)&amp;REPT(" ",2),2)," ")</f>
        <v/>
      </c>
      <c r="Z2243" s="10">
        <f>IF(A2243="C",LEFT(UPPER(E2243)&amp;REPT(" ",15),15)," ")</f>
        <v/>
      </c>
      <c r="AA2243" s="10">
        <f>REPT(" ",8)</f>
        <v/>
      </c>
      <c r="AB2243" s="10">
        <f>REPT(" ",4)</f>
        <v/>
      </c>
      <c r="AC2243" s="10">
        <f>LEFT(UPPER(H2243)&amp;REPT(" ",250),250)</f>
        <v/>
      </c>
      <c r="AD2243" s="10">
        <f>TEXT($G$2,"dd/mm/aaaa")</f>
        <v/>
      </c>
      <c r="AE2243" s="10">
        <f>REPT(" ",10)</f>
        <v/>
      </c>
      <c r="AF2243" s="10">
        <f>REPT(" ",20)</f>
        <v/>
      </c>
      <c r="AG2243" s="54">
        <f>REPT(" ",18-LEN(FIXED(F2243,2,TRUE)))&amp;FIXED(F2243,2,TRUE)</f>
        <v/>
      </c>
      <c r="AH2243" s="10">
        <f>LEN(AC2243)+LEN(AG2243)</f>
        <v/>
      </c>
      <c r="AI2243" s="10">
        <f>LEN(L2243)</f>
        <v/>
      </c>
    </row>
    <row r="2244">
      <c r="J2244" s="12">
        <f>IF(F2244&lt;&gt;0,"LANÇAR","")</f>
        <v/>
      </c>
      <c r="L2244" s="13">
        <f>N2244&amp;O2244&amp;P2244&amp;Q2244&amp;R2244&amp;S2244&amp;T2244&amp;U2244&amp;V2244&amp;W2244&amp;X2244&amp;Y2244&amp;Z2244&amp;AA2244&amp;AB2244&amp;AC2244&amp;AD2244&amp;AE2244&amp;AF2244&amp;AG2244</f>
        <v/>
      </c>
      <c r="N2244" s="10">
        <f>TEXT($B$6,"00")</f>
        <v/>
      </c>
      <c r="O2244" s="10">
        <f>REPT(" ",8)</f>
        <v/>
      </c>
      <c r="P2244" s="10">
        <f>RIGHT($B$4,2)</f>
        <v/>
      </c>
      <c r="Q2244" s="10">
        <f>RIGHT($B$5,3)</f>
        <v/>
      </c>
      <c r="R2244" s="10">
        <f>IF(A2244="D",LEFT(UPPER(B2244)&amp;REPT(" ",20),20),REPT(" ",20))</f>
        <v/>
      </c>
      <c r="S2244" s="10">
        <f>IF(A2244="D",LEFT(UPPER(C2244)&amp;REPT(" ",10),10)," ")</f>
        <v/>
      </c>
      <c r="T2244" s="10">
        <f>IF(A2244="D",LEFT(UPPER(D2244)&amp;REPT(" ",2),2)," ")</f>
        <v/>
      </c>
      <c r="U2244" s="10">
        <f>IF(A2244="D",LEFT(UPPER(E2244)&amp;REPT(" ",15),15)," ")</f>
        <v/>
      </c>
      <c r="V2244" s="10">
        <f>REPT(" ",24)</f>
        <v/>
      </c>
      <c r="W2244" s="10">
        <f>IF(A2244="c",LEFT(UPPER(B2244)&amp;REPT(" ",20),20),REPT(" ",20))</f>
        <v/>
      </c>
      <c r="X2244" s="10">
        <f>IF(A2244="C",LEFT(UPPER(C2244)&amp;REPT(" ",10),10)," ")</f>
        <v/>
      </c>
      <c r="Y2244" s="10">
        <f>IF(A2244="C",LEFT(UPPER(D2244)&amp;REPT(" ",2),2)," ")</f>
        <v/>
      </c>
      <c r="Z2244" s="10">
        <f>IF(A2244="C",LEFT(UPPER(E2244)&amp;REPT(" ",15),15)," ")</f>
        <v/>
      </c>
      <c r="AA2244" s="10">
        <f>REPT(" ",8)</f>
        <v/>
      </c>
      <c r="AB2244" s="10">
        <f>REPT(" ",4)</f>
        <v/>
      </c>
      <c r="AC2244" s="10">
        <f>LEFT(UPPER(H2244)&amp;REPT(" ",250),250)</f>
        <v/>
      </c>
      <c r="AD2244" s="10">
        <f>TEXT($G$2,"dd/mm/aaaa")</f>
        <v/>
      </c>
      <c r="AE2244" s="10">
        <f>REPT(" ",10)</f>
        <v/>
      </c>
      <c r="AF2244" s="10">
        <f>REPT(" ",20)</f>
        <v/>
      </c>
      <c r="AG2244" s="54">
        <f>REPT(" ",18-LEN(FIXED(F2244,2,TRUE)))&amp;FIXED(F2244,2,TRUE)</f>
        <v/>
      </c>
      <c r="AH2244" s="10">
        <f>LEN(AC2244)+LEN(AG2244)</f>
        <v/>
      </c>
      <c r="AI2244" s="10">
        <f>LEN(L2244)</f>
        <v/>
      </c>
    </row>
    <row r="2245">
      <c r="J2245" s="12">
        <f>IF(F2245&lt;&gt;0,"LANÇAR","")</f>
        <v/>
      </c>
      <c r="L2245" s="13">
        <f>N2245&amp;O2245&amp;P2245&amp;Q2245&amp;R2245&amp;S2245&amp;T2245&amp;U2245&amp;V2245&amp;W2245&amp;X2245&amp;Y2245&amp;Z2245&amp;AA2245&amp;AB2245&amp;AC2245&amp;AD2245&amp;AE2245&amp;AF2245&amp;AG2245</f>
        <v/>
      </c>
      <c r="N2245" s="10">
        <f>TEXT($B$6,"00")</f>
        <v/>
      </c>
      <c r="O2245" s="10">
        <f>REPT(" ",8)</f>
        <v/>
      </c>
      <c r="P2245" s="10">
        <f>RIGHT($B$4,2)</f>
        <v/>
      </c>
      <c r="Q2245" s="10">
        <f>RIGHT($B$5,3)</f>
        <v/>
      </c>
      <c r="R2245" s="10">
        <f>IF(A2245="D",LEFT(UPPER(B2245)&amp;REPT(" ",20),20),REPT(" ",20))</f>
        <v/>
      </c>
      <c r="S2245" s="10">
        <f>IF(A2245="D",LEFT(UPPER(C2245)&amp;REPT(" ",10),10)," ")</f>
        <v/>
      </c>
      <c r="T2245" s="10">
        <f>IF(A2245="D",LEFT(UPPER(D2245)&amp;REPT(" ",2),2)," ")</f>
        <v/>
      </c>
      <c r="U2245" s="10">
        <f>IF(A2245="D",LEFT(UPPER(E2245)&amp;REPT(" ",15),15)," ")</f>
        <v/>
      </c>
      <c r="V2245" s="10">
        <f>REPT(" ",24)</f>
        <v/>
      </c>
      <c r="W2245" s="10">
        <f>IF(A2245="c",LEFT(UPPER(B2245)&amp;REPT(" ",20),20),REPT(" ",20))</f>
        <v/>
      </c>
      <c r="X2245" s="10">
        <f>IF(A2245="C",LEFT(UPPER(C2245)&amp;REPT(" ",10),10)," ")</f>
        <v/>
      </c>
      <c r="Y2245" s="10">
        <f>IF(A2245="C",LEFT(UPPER(D2245)&amp;REPT(" ",2),2)," ")</f>
        <v/>
      </c>
      <c r="Z2245" s="10">
        <f>IF(A2245="C",LEFT(UPPER(E2245)&amp;REPT(" ",15),15)," ")</f>
        <v/>
      </c>
      <c r="AA2245" s="10">
        <f>REPT(" ",8)</f>
        <v/>
      </c>
      <c r="AB2245" s="10">
        <f>REPT(" ",4)</f>
        <v/>
      </c>
      <c r="AC2245" s="10">
        <f>LEFT(UPPER(H2245)&amp;REPT(" ",250),250)</f>
        <v/>
      </c>
      <c r="AD2245" s="10">
        <f>TEXT($G$2,"dd/mm/aaaa")</f>
        <v/>
      </c>
      <c r="AE2245" s="10">
        <f>REPT(" ",10)</f>
        <v/>
      </c>
      <c r="AF2245" s="10">
        <f>REPT(" ",20)</f>
        <v/>
      </c>
      <c r="AG2245" s="54">
        <f>REPT(" ",18-LEN(FIXED(F2245,2,TRUE)))&amp;FIXED(F2245,2,TRUE)</f>
        <v/>
      </c>
      <c r="AH2245" s="10">
        <f>LEN(AC2245)+LEN(AG2245)</f>
        <v/>
      </c>
      <c r="AI2245" s="10">
        <f>LEN(L2245)</f>
        <v/>
      </c>
    </row>
    <row r="2246">
      <c r="J2246" s="12">
        <f>IF(F2246&lt;&gt;0,"LANÇAR","")</f>
        <v/>
      </c>
      <c r="L2246" s="13">
        <f>N2246&amp;O2246&amp;P2246&amp;Q2246&amp;R2246&amp;S2246&amp;T2246&amp;U2246&amp;V2246&amp;W2246&amp;X2246&amp;Y2246&amp;Z2246&amp;AA2246&amp;AB2246&amp;AC2246&amp;AD2246&amp;AE2246&amp;AF2246&amp;AG2246</f>
        <v/>
      </c>
      <c r="N2246" s="10">
        <f>TEXT($B$6,"00")</f>
        <v/>
      </c>
      <c r="O2246" s="10">
        <f>REPT(" ",8)</f>
        <v/>
      </c>
      <c r="P2246" s="10">
        <f>RIGHT($B$4,2)</f>
        <v/>
      </c>
      <c r="Q2246" s="10">
        <f>RIGHT($B$5,3)</f>
        <v/>
      </c>
      <c r="R2246" s="10">
        <f>IF(A2246="D",LEFT(UPPER(B2246)&amp;REPT(" ",20),20),REPT(" ",20))</f>
        <v/>
      </c>
      <c r="S2246" s="10">
        <f>IF(A2246="D",LEFT(UPPER(C2246)&amp;REPT(" ",10),10)," ")</f>
        <v/>
      </c>
      <c r="T2246" s="10">
        <f>IF(A2246="D",LEFT(UPPER(D2246)&amp;REPT(" ",2),2)," ")</f>
        <v/>
      </c>
      <c r="U2246" s="10">
        <f>IF(A2246="D",LEFT(UPPER(E2246)&amp;REPT(" ",15),15)," ")</f>
        <v/>
      </c>
      <c r="V2246" s="10">
        <f>REPT(" ",24)</f>
        <v/>
      </c>
      <c r="W2246" s="10">
        <f>IF(A2246="c",LEFT(UPPER(B2246)&amp;REPT(" ",20),20),REPT(" ",20))</f>
        <v/>
      </c>
      <c r="X2246" s="10">
        <f>IF(A2246="C",LEFT(UPPER(C2246)&amp;REPT(" ",10),10)," ")</f>
        <v/>
      </c>
      <c r="Y2246" s="10">
        <f>IF(A2246="C",LEFT(UPPER(D2246)&amp;REPT(" ",2),2)," ")</f>
        <v/>
      </c>
      <c r="Z2246" s="10">
        <f>IF(A2246="C",LEFT(UPPER(E2246)&amp;REPT(" ",15),15)," ")</f>
        <v/>
      </c>
      <c r="AA2246" s="10">
        <f>REPT(" ",8)</f>
        <v/>
      </c>
      <c r="AB2246" s="10">
        <f>REPT(" ",4)</f>
        <v/>
      </c>
      <c r="AC2246" s="10">
        <f>LEFT(UPPER(H2246)&amp;REPT(" ",250),250)</f>
        <v/>
      </c>
      <c r="AD2246" s="10">
        <f>TEXT($G$2,"dd/mm/aaaa")</f>
        <v/>
      </c>
      <c r="AE2246" s="10">
        <f>REPT(" ",10)</f>
        <v/>
      </c>
      <c r="AF2246" s="10">
        <f>REPT(" ",20)</f>
        <v/>
      </c>
      <c r="AG2246" s="54">
        <f>REPT(" ",18-LEN(FIXED(F2246,2,TRUE)))&amp;FIXED(F2246,2,TRUE)</f>
        <v/>
      </c>
      <c r="AH2246" s="10">
        <f>LEN(AC2246)+LEN(AG2246)</f>
        <v/>
      </c>
      <c r="AI2246" s="10">
        <f>LEN(L2246)</f>
        <v/>
      </c>
    </row>
    <row r="2247">
      <c r="J2247" s="12">
        <f>IF(F2247&lt;&gt;0,"LANÇAR","")</f>
        <v/>
      </c>
      <c r="L2247" s="13">
        <f>N2247&amp;O2247&amp;P2247&amp;Q2247&amp;R2247&amp;S2247&amp;T2247&amp;U2247&amp;V2247&amp;W2247&amp;X2247&amp;Y2247&amp;Z2247&amp;AA2247&amp;AB2247&amp;AC2247&amp;AD2247&amp;AE2247&amp;AF2247&amp;AG2247</f>
        <v/>
      </c>
      <c r="N2247" s="10">
        <f>TEXT($B$6,"00")</f>
        <v/>
      </c>
      <c r="O2247" s="10">
        <f>REPT(" ",8)</f>
        <v/>
      </c>
      <c r="P2247" s="10">
        <f>RIGHT($B$4,2)</f>
        <v/>
      </c>
      <c r="Q2247" s="10">
        <f>RIGHT($B$5,3)</f>
        <v/>
      </c>
      <c r="R2247" s="10">
        <f>IF(A2247="D",LEFT(UPPER(B2247)&amp;REPT(" ",20),20),REPT(" ",20))</f>
        <v/>
      </c>
      <c r="S2247" s="10">
        <f>IF(A2247="D",LEFT(UPPER(C2247)&amp;REPT(" ",10),10)," ")</f>
        <v/>
      </c>
      <c r="T2247" s="10">
        <f>IF(A2247="D",LEFT(UPPER(D2247)&amp;REPT(" ",2),2)," ")</f>
        <v/>
      </c>
      <c r="U2247" s="10">
        <f>IF(A2247="D",LEFT(UPPER(E2247)&amp;REPT(" ",15),15)," ")</f>
        <v/>
      </c>
      <c r="V2247" s="10">
        <f>REPT(" ",24)</f>
        <v/>
      </c>
      <c r="W2247" s="10">
        <f>IF(A2247="c",LEFT(UPPER(B2247)&amp;REPT(" ",20),20),REPT(" ",20))</f>
        <v/>
      </c>
      <c r="X2247" s="10">
        <f>IF(A2247="C",LEFT(UPPER(C2247)&amp;REPT(" ",10),10)," ")</f>
        <v/>
      </c>
      <c r="Y2247" s="10">
        <f>IF(A2247="C",LEFT(UPPER(D2247)&amp;REPT(" ",2),2)," ")</f>
        <v/>
      </c>
      <c r="Z2247" s="10">
        <f>IF(A2247="C",LEFT(UPPER(E2247)&amp;REPT(" ",15),15)," ")</f>
        <v/>
      </c>
      <c r="AA2247" s="10">
        <f>REPT(" ",8)</f>
        <v/>
      </c>
      <c r="AB2247" s="10">
        <f>REPT(" ",4)</f>
        <v/>
      </c>
      <c r="AC2247" s="10">
        <f>LEFT(UPPER(H2247)&amp;REPT(" ",250),250)</f>
        <v/>
      </c>
      <c r="AD2247" s="10">
        <f>TEXT($G$2,"dd/mm/aaaa")</f>
        <v/>
      </c>
      <c r="AE2247" s="10">
        <f>REPT(" ",10)</f>
        <v/>
      </c>
      <c r="AF2247" s="10">
        <f>REPT(" ",20)</f>
        <v/>
      </c>
      <c r="AG2247" s="54">
        <f>REPT(" ",18-LEN(FIXED(F2247,2,TRUE)))&amp;FIXED(F2247,2,TRUE)</f>
        <v/>
      </c>
      <c r="AH2247" s="10">
        <f>LEN(AC2247)+LEN(AG2247)</f>
        <v/>
      </c>
      <c r="AI2247" s="10">
        <f>LEN(L2247)</f>
        <v/>
      </c>
    </row>
    <row r="2248">
      <c r="J2248" s="12">
        <f>IF(F2248&lt;&gt;0,"LANÇAR","")</f>
        <v/>
      </c>
      <c r="L2248" s="13">
        <f>N2248&amp;O2248&amp;P2248&amp;Q2248&amp;R2248&amp;S2248&amp;T2248&amp;U2248&amp;V2248&amp;W2248&amp;X2248&amp;Y2248&amp;Z2248&amp;AA2248&amp;AB2248&amp;AC2248&amp;AD2248&amp;AE2248&amp;AF2248&amp;AG2248</f>
        <v/>
      </c>
      <c r="N2248" s="10">
        <f>TEXT($B$6,"00")</f>
        <v/>
      </c>
      <c r="O2248" s="10">
        <f>REPT(" ",8)</f>
        <v/>
      </c>
      <c r="P2248" s="10">
        <f>RIGHT($B$4,2)</f>
        <v/>
      </c>
      <c r="Q2248" s="10">
        <f>RIGHT($B$5,3)</f>
        <v/>
      </c>
      <c r="R2248" s="10">
        <f>IF(A2248="D",LEFT(UPPER(B2248)&amp;REPT(" ",20),20),REPT(" ",20))</f>
        <v/>
      </c>
      <c r="S2248" s="10">
        <f>IF(A2248="D",LEFT(UPPER(C2248)&amp;REPT(" ",10),10)," ")</f>
        <v/>
      </c>
      <c r="T2248" s="10">
        <f>IF(A2248="D",LEFT(UPPER(D2248)&amp;REPT(" ",2),2)," ")</f>
        <v/>
      </c>
      <c r="U2248" s="10">
        <f>IF(A2248="D",LEFT(UPPER(E2248)&amp;REPT(" ",15),15)," ")</f>
        <v/>
      </c>
      <c r="V2248" s="10">
        <f>REPT(" ",24)</f>
        <v/>
      </c>
      <c r="W2248" s="10">
        <f>IF(A2248="c",LEFT(UPPER(B2248)&amp;REPT(" ",20),20),REPT(" ",20))</f>
        <v/>
      </c>
      <c r="X2248" s="10">
        <f>IF(A2248="C",LEFT(UPPER(C2248)&amp;REPT(" ",10),10)," ")</f>
        <v/>
      </c>
      <c r="Y2248" s="10">
        <f>IF(A2248="C",LEFT(UPPER(D2248)&amp;REPT(" ",2),2)," ")</f>
        <v/>
      </c>
      <c r="Z2248" s="10">
        <f>IF(A2248="C",LEFT(UPPER(E2248)&amp;REPT(" ",15),15)," ")</f>
        <v/>
      </c>
      <c r="AA2248" s="10">
        <f>REPT(" ",8)</f>
        <v/>
      </c>
      <c r="AB2248" s="10">
        <f>REPT(" ",4)</f>
        <v/>
      </c>
      <c r="AC2248" s="10">
        <f>LEFT(UPPER(H2248)&amp;REPT(" ",250),250)</f>
        <v/>
      </c>
      <c r="AD2248" s="10">
        <f>TEXT($G$2,"dd/mm/aaaa")</f>
        <v/>
      </c>
      <c r="AE2248" s="10">
        <f>REPT(" ",10)</f>
        <v/>
      </c>
      <c r="AF2248" s="10">
        <f>REPT(" ",20)</f>
        <v/>
      </c>
      <c r="AG2248" s="54">
        <f>REPT(" ",18-LEN(FIXED(F2248,2,TRUE)))&amp;FIXED(F2248,2,TRUE)</f>
        <v/>
      </c>
      <c r="AH2248" s="10">
        <f>LEN(AC2248)+LEN(AG2248)</f>
        <v/>
      </c>
      <c r="AI2248" s="10">
        <f>LEN(L2248)</f>
        <v/>
      </c>
    </row>
    <row r="2249">
      <c r="J2249" s="12">
        <f>IF(F2249&lt;&gt;0,"LANÇAR","")</f>
        <v/>
      </c>
      <c r="L2249" s="13">
        <f>N2249&amp;O2249&amp;P2249&amp;Q2249&amp;R2249&amp;S2249&amp;T2249&amp;U2249&amp;V2249&amp;W2249&amp;X2249&amp;Y2249&amp;Z2249&amp;AA2249&amp;AB2249&amp;AC2249&amp;AD2249&amp;AE2249&amp;AF2249&amp;AG2249</f>
        <v/>
      </c>
      <c r="N2249" s="10">
        <f>TEXT($B$6,"00")</f>
        <v/>
      </c>
      <c r="O2249" s="10">
        <f>REPT(" ",8)</f>
        <v/>
      </c>
      <c r="P2249" s="10">
        <f>RIGHT($B$4,2)</f>
        <v/>
      </c>
      <c r="Q2249" s="10">
        <f>RIGHT($B$5,3)</f>
        <v/>
      </c>
      <c r="R2249" s="10">
        <f>IF(A2249="D",LEFT(UPPER(B2249)&amp;REPT(" ",20),20),REPT(" ",20))</f>
        <v/>
      </c>
      <c r="S2249" s="10">
        <f>IF(A2249="D",LEFT(UPPER(C2249)&amp;REPT(" ",10),10)," ")</f>
        <v/>
      </c>
      <c r="T2249" s="10">
        <f>IF(A2249="D",LEFT(UPPER(D2249)&amp;REPT(" ",2),2)," ")</f>
        <v/>
      </c>
      <c r="U2249" s="10">
        <f>IF(A2249="D",LEFT(UPPER(E2249)&amp;REPT(" ",15),15)," ")</f>
        <v/>
      </c>
      <c r="V2249" s="10">
        <f>REPT(" ",24)</f>
        <v/>
      </c>
      <c r="W2249" s="10">
        <f>IF(A2249="c",LEFT(UPPER(B2249)&amp;REPT(" ",20),20),REPT(" ",20))</f>
        <v/>
      </c>
      <c r="X2249" s="10">
        <f>IF(A2249="C",LEFT(UPPER(C2249)&amp;REPT(" ",10),10)," ")</f>
        <v/>
      </c>
      <c r="Y2249" s="10">
        <f>IF(A2249="C",LEFT(UPPER(D2249)&amp;REPT(" ",2),2)," ")</f>
        <v/>
      </c>
      <c r="Z2249" s="10">
        <f>IF(A2249="C",LEFT(UPPER(E2249)&amp;REPT(" ",15),15)," ")</f>
        <v/>
      </c>
      <c r="AA2249" s="10">
        <f>REPT(" ",8)</f>
        <v/>
      </c>
      <c r="AB2249" s="10">
        <f>REPT(" ",4)</f>
        <v/>
      </c>
      <c r="AC2249" s="10">
        <f>LEFT(UPPER(H2249)&amp;REPT(" ",250),250)</f>
        <v/>
      </c>
      <c r="AD2249" s="10">
        <f>TEXT($G$2,"dd/mm/aaaa")</f>
        <v/>
      </c>
      <c r="AE2249" s="10">
        <f>REPT(" ",10)</f>
        <v/>
      </c>
      <c r="AF2249" s="10">
        <f>REPT(" ",20)</f>
        <v/>
      </c>
      <c r="AG2249" s="54">
        <f>REPT(" ",18-LEN(FIXED(F2249,2,TRUE)))&amp;FIXED(F2249,2,TRUE)</f>
        <v/>
      </c>
      <c r="AH2249" s="10">
        <f>LEN(AC2249)+LEN(AG2249)</f>
        <v/>
      </c>
      <c r="AI2249" s="10">
        <f>LEN(L2249)</f>
        <v/>
      </c>
    </row>
    <row r="2250">
      <c r="J2250" s="12">
        <f>IF(F2250&lt;&gt;0,"LANÇAR","")</f>
        <v/>
      </c>
      <c r="L2250" s="13">
        <f>N2250&amp;O2250&amp;P2250&amp;Q2250&amp;R2250&amp;S2250&amp;T2250&amp;U2250&amp;V2250&amp;W2250&amp;X2250&amp;Y2250&amp;Z2250&amp;AA2250&amp;AB2250&amp;AC2250&amp;AD2250&amp;AE2250&amp;AF2250&amp;AG2250</f>
        <v/>
      </c>
      <c r="N2250" s="10">
        <f>TEXT($B$6,"00")</f>
        <v/>
      </c>
      <c r="O2250" s="10">
        <f>REPT(" ",8)</f>
        <v/>
      </c>
      <c r="P2250" s="10">
        <f>RIGHT($B$4,2)</f>
        <v/>
      </c>
      <c r="Q2250" s="10">
        <f>RIGHT($B$5,3)</f>
        <v/>
      </c>
      <c r="R2250" s="10">
        <f>IF(A2250="D",LEFT(UPPER(B2250)&amp;REPT(" ",20),20),REPT(" ",20))</f>
        <v/>
      </c>
      <c r="S2250" s="10">
        <f>IF(A2250="D",LEFT(UPPER(C2250)&amp;REPT(" ",10),10)," ")</f>
        <v/>
      </c>
      <c r="T2250" s="10">
        <f>IF(A2250="D",LEFT(UPPER(D2250)&amp;REPT(" ",2),2)," ")</f>
        <v/>
      </c>
      <c r="U2250" s="10">
        <f>IF(A2250="D",LEFT(UPPER(E2250)&amp;REPT(" ",15),15)," ")</f>
        <v/>
      </c>
      <c r="V2250" s="10">
        <f>REPT(" ",24)</f>
        <v/>
      </c>
      <c r="W2250" s="10">
        <f>IF(A2250="c",LEFT(UPPER(B2250)&amp;REPT(" ",20),20),REPT(" ",20))</f>
        <v/>
      </c>
      <c r="X2250" s="10">
        <f>IF(A2250="C",LEFT(UPPER(C2250)&amp;REPT(" ",10),10)," ")</f>
        <v/>
      </c>
      <c r="Y2250" s="10">
        <f>IF(A2250="C",LEFT(UPPER(D2250)&amp;REPT(" ",2),2)," ")</f>
        <v/>
      </c>
      <c r="Z2250" s="10">
        <f>IF(A2250="C",LEFT(UPPER(E2250)&amp;REPT(" ",15),15)," ")</f>
        <v/>
      </c>
      <c r="AA2250" s="10">
        <f>REPT(" ",8)</f>
        <v/>
      </c>
      <c r="AB2250" s="10">
        <f>REPT(" ",4)</f>
        <v/>
      </c>
      <c r="AC2250" s="10">
        <f>LEFT(UPPER(H2250)&amp;REPT(" ",250),250)</f>
        <v/>
      </c>
      <c r="AD2250" s="10">
        <f>TEXT($G$2,"dd/mm/aaaa")</f>
        <v/>
      </c>
      <c r="AE2250" s="10">
        <f>REPT(" ",10)</f>
        <v/>
      </c>
      <c r="AF2250" s="10">
        <f>REPT(" ",20)</f>
        <v/>
      </c>
      <c r="AG2250" s="54">
        <f>REPT(" ",18-LEN(FIXED(F2250,2,TRUE)))&amp;FIXED(F2250,2,TRUE)</f>
        <v/>
      </c>
      <c r="AH2250" s="10">
        <f>LEN(AC2250)+LEN(AG2250)</f>
        <v/>
      </c>
      <c r="AI2250" s="10">
        <f>LEN(L2250)</f>
        <v/>
      </c>
    </row>
    <row r="2251">
      <c r="J2251" s="12">
        <f>IF(F2251&lt;&gt;0,"LANÇAR","")</f>
        <v/>
      </c>
      <c r="L2251" s="13">
        <f>N2251&amp;O2251&amp;P2251&amp;Q2251&amp;R2251&amp;S2251&amp;T2251&amp;U2251&amp;V2251&amp;W2251&amp;X2251&amp;Y2251&amp;Z2251&amp;AA2251&amp;AB2251&amp;AC2251&amp;AD2251&amp;AE2251&amp;AF2251&amp;AG2251</f>
        <v/>
      </c>
      <c r="N2251" s="10">
        <f>TEXT($B$6,"00")</f>
        <v/>
      </c>
      <c r="O2251" s="10">
        <f>REPT(" ",8)</f>
        <v/>
      </c>
      <c r="P2251" s="10">
        <f>RIGHT($B$4,2)</f>
        <v/>
      </c>
      <c r="Q2251" s="10">
        <f>RIGHT($B$5,3)</f>
        <v/>
      </c>
      <c r="R2251" s="10">
        <f>IF(A2251="D",LEFT(UPPER(B2251)&amp;REPT(" ",20),20),REPT(" ",20))</f>
        <v/>
      </c>
      <c r="S2251" s="10">
        <f>IF(A2251="D",LEFT(UPPER(C2251)&amp;REPT(" ",10),10)," ")</f>
        <v/>
      </c>
      <c r="T2251" s="10">
        <f>IF(A2251="D",LEFT(UPPER(D2251)&amp;REPT(" ",2),2)," ")</f>
        <v/>
      </c>
      <c r="U2251" s="10">
        <f>IF(A2251="D",LEFT(UPPER(E2251)&amp;REPT(" ",15),15)," ")</f>
        <v/>
      </c>
      <c r="V2251" s="10">
        <f>REPT(" ",24)</f>
        <v/>
      </c>
      <c r="W2251" s="10">
        <f>IF(A2251="c",LEFT(UPPER(B2251)&amp;REPT(" ",20),20),REPT(" ",20))</f>
        <v/>
      </c>
      <c r="X2251" s="10">
        <f>IF(A2251="C",LEFT(UPPER(C2251)&amp;REPT(" ",10),10)," ")</f>
        <v/>
      </c>
      <c r="Y2251" s="10">
        <f>IF(A2251="C",LEFT(UPPER(D2251)&amp;REPT(" ",2),2)," ")</f>
        <v/>
      </c>
      <c r="Z2251" s="10">
        <f>IF(A2251="C",LEFT(UPPER(E2251)&amp;REPT(" ",15),15)," ")</f>
        <v/>
      </c>
      <c r="AA2251" s="10">
        <f>REPT(" ",8)</f>
        <v/>
      </c>
      <c r="AB2251" s="10">
        <f>REPT(" ",4)</f>
        <v/>
      </c>
      <c r="AC2251" s="10">
        <f>LEFT(UPPER(H2251)&amp;REPT(" ",250),250)</f>
        <v/>
      </c>
      <c r="AD2251" s="10">
        <f>TEXT($G$2,"dd/mm/aaaa")</f>
        <v/>
      </c>
      <c r="AE2251" s="10">
        <f>REPT(" ",10)</f>
        <v/>
      </c>
      <c r="AF2251" s="10">
        <f>REPT(" ",20)</f>
        <v/>
      </c>
      <c r="AG2251" s="54">
        <f>REPT(" ",18-LEN(FIXED(F2251,2,TRUE)))&amp;FIXED(F2251,2,TRUE)</f>
        <v/>
      </c>
      <c r="AH2251" s="10">
        <f>LEN(AC2251)+LEN(AG2251)</f>
        <v/>
      </c>
      <c r="AI2251" s="10">
        <f>LEN(L2251)</f>
        <v/>
      </c>
    </row>
    <row r="2252">
      <c r="J2252" s="12">
        <f>IF(F2252&lt;&gt;0,"LANÇAR","")</f>
        <v/>
      </c>
      <c r="L2252" s="13">
        <f>N2252&amp;O2252&amp;P2252&amp;Q2252&amp;R2252&amp;S2252&amp;T2252&amp;U2252&amp;V2252&amp;W2252&amp;X2252&amp;Y2252&amp;Z2252&amp;AA2252&amp;AB2252&amp;AC2252&amp;AD2252&amp;AE2252&amp;AF2252&amp;AG2252</f>
        <v/>
      </c>
      <c r="N2252" s="10">
        <f>TEXT($B$6,"00")</f>
        <v/>
      </c>
      <c r="O2252" s="10">
        <f>REPT(" ",8)</f>
        <v/>
      </c>
      <c r="P2252" s="10">
        <f>RIGHT($B$4,2)</f>
        <v/>
      </c>
      <c r="Q2252" s="10">
        <f>RIGHT($B$5,3)</f>
        <v/>
      </c>
      <c r="R2252" s="10">
        <f>IF(A2252="D",LEFT(UPPER(B2252)&amp;REPT(" ",20),20),REPT(" ",20))</f>
        <v/>
      </c>
      <c r="S2252" s="10">
        <f>IF(A2252="D",LEFT(UPPER(C2252)&amp;REPT(" ",10),10)," ")</f>
        <v/>
      </c>
      <c r="T2252" s="10">
        <f>IF(A2252="D",LEFT(UPPER(D2252)&amp;REPT(" ",2),2)," ")</f>
        <v/>
      </c>
      <c r="U2252" s="10">
        <f>IF(A2252="D",LEFT(UPPER(E2252)&amp;REPT(" ",15),15)," ")</f>
        <v/>
      </c>
      <c r="V2252" s="10">
        <f>REPT(" ",24)</f>
        <v/>
      </c>
      <c r="W2252" s="10">
        <f>IF(A2252="c",LEFT(UPPER(B2252)&amp;REPT(" ",20),20),REPT(" ",20))</f>
        <v/>
      </c>
      <c r="X2252" s="10">
        <f>IF(A2252="C",LEFT(UPPER(C2252)&amp;REPT(" ",10),10)," ")</f>
        <v/>
      </c>
      <c r="Y2252" s="10">
        <f>IF(A2252="C",LEFT(UPPER(D2252)&amp;REPT(" ",2),2)," ")</f>
        <v/>
      </c>
      <c r="Z2252" s="10">
        <f>IF(A2252="C",LEFT(UPPER(E2252)&amp;REPT(" ",15),15)," ")</f>
        <v/>
      </c>
      <c r="AA2252" s="10">
        <f>REPT(" ",8)</f>
        <v/>
      </c>
      <c r="AB2252" s="10">
        <f>REPT(" ",4)</f>
        <v/>
      </c>
      <c r="AC2252" s="10">
        <f>LEFT(UPPER(H2252)&amp;REPT(" ",250),250)</f>
        <v/>
      </c>
      <c r="AD2252" s="10">
        <f>TEXT($G$2,"dd/mm/aaaa")</f>
        <v/>
      </c>
      <c r="AE2252" s="10">
        <f>REPT(" ",10)</f>
        <v/>
      </c>
      <c r="AF2252" s="10">
        <f>REPT(" ",20)</f>
        <v/>
      </c>
      <c r="AG2252" s="54">
        <f>REPT(" ",18-LEN(FIXED(F2252,2,TRUE)))&amp;FIXED(F2252,2,TRUE)</f>
        <v/>
      </c>
      <c r="AH2252" s="10">
        <f>LEN(AC2252)+LEN(AG2252)</f>
        <v/>
      </c>
      <c r="AI2252" s="10">
        <f>LEN(L2252)</f>
        <v/>
      </c>
    </row>
    <row r="2253">
      <c r="J2253" s="12">
        <f>IF(F2253&lt;&gt;0,"LANÇAR","")</f>
        <v/>
      </c>
      <c r="L2253" s="13">
        <f>N2253&amp;O2253&amp;P2253&amp;Q2253&amp;R2253&amp;S2253&amp;T2253&amp;U2253&amp;V2253&amp;W2253&amp;X2253&amp;Y2253&amp;Z2253&amp;AA2253&amp;AB2253&amp;AC2253&amp;AD2253&amp;AE2253&amp;AF2253&amp;AG2253</f>
        <v/>
      </c>
      <c r="N2253" s="10">
        <f>TEXT($B$6,"00")</f>
        <v/>
      </c>
      <c r="O2253" s="10">
        <f>REPT(" ",8)</f>
        <v/>
      </c>
      <c r="P2253" s="10">
        <f>RIGHT($B$4,2)</f>
        <v/>
      </c>
      <c r="Q2253" s="10">
        <f>RIGHT($B$5,3)</f>
        <v/>
      </c>
      <c r="R2253" s="10">
        <f>IF(A2253="D",LEFT(UPPER(B2253)&amp;REPT(" ",20),20),REPT(" ",20))</f>
        <v/>
      </c>
      <c r="S2253" s="10">
        <f>IF(A2253="D",LEFT(UPPER(C2253)&amp;REPT(" ",10),10)," ")</f>
        <v/>
      </c>
      <c r="T2253" s="10">
        <f>IF(A2253="D",LEFT(UPPER(D2253)&amp;REPT(" ",2),2)," ")</f>
        <v/>
      </c>
      <c r="U2253" s="10">
        <f>IF(A2253="D",LEFT(UPPER(E2253)&amp;REPT(" ",15),15)," ")</f>
        <v/>
      </c>
      <c r="V2253" s="10">
        <f>REPT(" ",24)</f>
        <v/>
      </c>
      <c r="W2253" s="10">
        <f>IF(A2253="c",LEFT(UPPER(B2253)&amp;REPT(" ",20),20),REPT(" ",20))</f>
        <v/>
      </c>
      <c r="X2253" s="10">
        <f>IF(A2253="C",LEFT(UPPER(C2253)&amp;REPT(" ",10),10)," ")</f>
        <v/>
      </c>
      <c r="Y2253" s="10">
        <f>IF(A2253="C",LEFT(UPPER(D2253)&amp;REPT(" ",2),2)," ")</f>
        <v/>
      </c>
      <c r="Z2253" s="10">
        <f>IF(A2253="C",LEFT(UPPER(E2253)&amp;REPT(" ",15),15)," ")</f>
        <v/>
      </c>
      <c r="AA2253" s="10">
        <f>REPT(" ",8)</f>
        <v/>
      </c>
      <c r="AB2253" s="10">
        <f>REPT(" ",4)</f>
        <v/>
      </c>
      <c r="AC2253" s="10">
        <f>LEFT(UPPER(H2253)&amp;REPT(" ",250),250)</f>
        <v/>
      </c>
      <c r="AD2253" s="10">
        <f>TEXT($G$2,"dd/mm/aaaa")</f>
        <v/>
      </c>
      <c r="AE2253" s="10">
        <f>REPT(" ",10)</f>
        <v/>
      </c>
      <c r="AF2253" s="10">
        <f>REPT(" ",20)</f>
        <v/>
      </c>
      <c r="AG2253" s="54">
        <f>REPT(" ",18-LEN(FIXED(F2253,2,TRUE)))&amp;FIXED(F2253,2,TRUE)</f>
        <v/>
      </c>
      <c r="AH2253" s="10">
        <f>LEN(AC2253)+LEN(AG2253)</f>
        <v/>
      </c>
      <c r="AI2253" s="10">
        <f>LEN(L2253)</f>
        <v/>
      </c>
    </row>
    <row r="2254">
      <c r="J2254" s="12">
        <f>IF(F2254&lt;&gt;0,"LANÇAR","")</f>
        <v/>
      </c>
      <c r="L2254" s="13">
        <f>N2254&amp;O2254&amp;P2254&amp;Q2254&amp;R2254&amp;S2254&amp;T2254&amp;U2254&amp;V2254&amp;W2254&amp;X2254&amp;Y2254&amp;Z2254&amp;AA2254&amp;AB2254&amp;AC2254&amp;AD2254&amp;AE2254&amp;AF2254&amp;AG2254</f>
        <v/>
      </c>
      <c r="N2254" s="10">
        <f>TEXT($B$6,"00")</f>
        <v/>
      </c>
      <c r="O2254" s="10">
        <f>REPT(" ",8)</f>
        <v/>
      </c>
      <c r="P2254" s="10">
        <f>RIGHT($B$4,2)</f>
        <v/>
      </c>
      <c r="Q2254" s="10">
        <f>RIGHT($B$5,3)</f>
        <v/>
      </c>
      <c r="R2254" s="10">
        <f>IF(A2254="D",LEFT(UPPER(B2254)&amp;REPT(" ",20),20),REPT(" ",20))</f>
        <v/>
      </c>
      <c r="S2254" s="10">
        <f>IF(A2254="D",LEFT(UPPER(C2254)&amp;REPT(" ",10),10)," ")</f>
        <v/>
      </c>
      <c r="T2254" s="10">
        <f>IF(A2254="D",LEFT(UPPER(D2254)&amp;REPT(" ",2),2)," ")</f>
        <v/>
      </c>
      <c r="U2254" s="10">
        <f>IF(A2254="D",LEFT(UPPER(E2254)&amp;REPT(" ",15),15)," ")</f>
        <v/>
      </c>
      <c r="V2254" s="10">
        <f>REPT(" ",24)</f>
        <v/>
      </c>
      <c r="W2254" s="10">
        <f>IF(A2254="c",LEFT(UPPER(B2254)&amp;REPT(" ",20),20),REPT(" ",20))</f>
        <v/>
      </c>
      <c r="X2254" s="10">
        <f>IF(A2254="C",LEFT(UPPER(C2254)&amp;REPT(" ",10),10)," ")</f>
        <v/>
      </c>
      <c r="Y2254" s="10">
        <f>IF(A2254="C",LEFT(UPPER(D2254)&amp;REPT(" ",2),2)," ")</f>
        <v/>
      </c>
      <c r="Z2254" s="10">
        <f>IF(A2254="C",LEFT(UPPER(E2254)&amp;REPT(" ",15),15)," ")</f>
        <v/>
      </c>
      <c r="AA2254" s="10">
        <f>REPT(" ",8)</f>
        <v/>
      </c>
      <c r="AB2254" s="10">
        <f>REPT(" ",4)</f>
        <v/>
      </c>
      <c r="AC2254" s="10">
        <f>LEFT(UPPER(H2254)&amp;REPT(" ",250),250)</f>
        <v/>
      </c>
      <c r="AD2254" s="10">
        <f>TEXT($G$2,"dd/mm/aaaa")</f>
        <v/>
      </c>
      <c r="AE2254" s="10">
        <f>REPT(" ",10)</f>
        <v/>
      </c>
      <c r="AF2254" s="10">
        <f>REPT(" ",20)</f>
        <v/>
      </c>
      <c r="AG2254" s="54">
        <f>REPT(" ",18-LEN(FIXED(F2254,2,TRUE)))&amp;FIXED(F2254,2,TRUE)</f>
        <v/>
      </c>
      <c r="AH2254" s="10">
        <f>LEN(AC2254)+LEN(AG2254)</f>
        <v/>
      </c>
      <c r="AI2254" s="10">
        <f>LEN(L2254)</f>
        <v/>
      </c>
    </row>
    <row r="2255">
      <c r="J2255" s="12">
        <f>IF(F2255&lt;&gt;0,"LANÇAR","")</f>
        <v/>
      </c>
      <c r="L2255" s="13">
        <f>N2255&amp;O2255&amp;P2255&amp;Q2255&amp;R2255&amp;S2255&amp;T2255&amp;U2255&amp;V2255&amp;W2255&amp;X2255&amp;Y2255&amp;Z2255&amp;AA2255&amp;AB2255&amp;AC2255&amp;AD2255&amp;AE2255&amp;AF2255&amp;AG2255</f>
        <v/>
      </c>
      <c r="N2255" s="10">
        <f>TEXT($B$6,"00")</f>
        <v/>
      </c>
      <c r="O2255" s="10">
        <f>REPT(" ",8)</f>
        <v/>
      </c>
      <c r="P2255" s="10">
        <f>RIGHT($B$4,2)</f>
        <v/>
      </c>
      <c r="Q2255" s="10">
        <f>RIGHT($B$5,3)</f>
        <v/>
      </c>
      <c r="R2255" s="10">
        <f>IF(A2255="D",LEFT(UPPER(B2255)&amp;REPT(" ",20),20),REPT(" ",20))</f>
        <v/>
      </c>
      <c r="S2255" s="10">
        <f>IF(A2255="D",LEFT(UPPER(C2255)&amp;REPT(" ",10),10)," ")</f>
        <v/>
      </c>
      <c r="T2255" s="10">
        <f>IF(A2255="D",LEFT(UPPER(D2255)&amp;REPT(" ",2),2)," ")</f>
        <v/>
      </c>
      <c r="U2255" s="10">
        <f>IF(A2255="D",LEFT(UPPER(E2255)&amp;REPT(" ",15),15)," ")</f>
        <v/>
      </c>
      <c r="V2255" s="10">
        <f>REPT(" ",24)</f>
        <v/>
      </c>
      <c r="W2255" s="10">
        <f>IF(A2255="c",LEFT(UPPER(B2255)&amp;REPT(" ",20),20),REPT(" ",20))</f>
        <v/>
      </c>
      <c r="X2255" s="10">
        <f>IF(A2255="C",LEFT(UPPER(C2255)&amp;REPT(" ",10),10)," ")</f>
        <v/>
      </c>
      <c r="Y2255" s="10">
        <f>IF(A2255="C",LEFT(UPPER(D2255)&amp;REPT(" ",2),2)," ")</f>
        <v/>
      </c>
      <c r="Z2255" s="10">
        <f>IF(A2255="C",LEFT(UPPER(E2255)&amp;REPT(" ",15),15)," ")</f>
        <v/>
      </c>
      <c r="AA2255" s="10">
        <f>REPT(" ",8)</f>
        <v/>
      </c>
      <c r="AB2255" s="10">
        <f>REPT(" ",4)</f>
        <v/>
      </c>
      <c r="AC2255" s="10">
        <f>LEFT(UPPER(H2255)&amp;REPT(" ",250),250)</f>
        <v/>
      </c>
      <c r="AD2255" s="10">
        <f>TEXT($G$2,"dd/mm/aaaa")</f>
        <v/>
      </c>
      <c r="AE2255" s="10">
        <f>REPT(" ",10)</f>
        <v/>
      </c>
      <c r="AF2255" s="10">
        <f>REPT(" ",20)</f>
        <v/>
      </c>
      <c r="AG2255" s="54">
        <f>REPT(" ",18-LEN(FIXED(F2255,2,TRUE)))&amp;FIXED(F2255,2,TRUE)</f>
        <v/>
      </c>
      <c r="AH2255" s="10">
        <f>LEN(AC2255)+LEN(AG2255)</f>
        <v/>
      </c>
      <c r="AI2255" s="10">
        <f>LEN(L2255)</f>
        <v/>
      </c>
    </row>
    <row r="2256">
      <c r="J2256" s="12">
        <f>IF(F2256&lt;&gt;0,"LANÇAR","")</f>
        <v/>
      </c>
      <c r="L2256" s="13">
        <f>N2256&amp;O2256&amp;P2256&amp;Q2256&amp;R2256&amp;S2256&amp;T2256&amp;U2256&amp;V2256&amp;W2256&amp;X2256&amp;Y2256&amp;Z2256&amp;AA2256&amp;AB2256&amp;AC2256&amp;AD2256&amp;AE2256&amp;AF2256&amp;AG2256</f>
        <v/>
      </c>
      <c r="N2256" s="10">
        <f>TEXT($B$6,"00")</f>
        <v/>
      </c>
      <c r="O2256" s="10">
        <f>REPT(" ",8)</f>
        <v/>
      </c>
      <c r="P2256" s="10">
        <f>RIGHT($B$4,2)</f>
        <v/>
      </c>
      <c r="Q2256" s="10">
        <f>RIGHT($B$5,3)</f>
        <v/>
      </c>
      <c r="R2256" s="10">
        <f>IF(A2256="D",LEFT(UPPER(B2256)&amp;REPT(" ",20),20),REPT(" ",20))</f>
        <v/>
      </c>
      <c r="S2256" s="10">
        <f>IF(A2256="D",LEFT(UPPER(C2256)&amp;REPT(" ",10),10)," ")</f>
        <v/>
      </c>
      <c r="T2256" s="10">
        <f>IF(A2256="D",LEFT(UPPER(D2256)&amp;REPT(" ",2),2)," ")</f>
        <v/>
      </c>
      <c r="U2256" s="10">
        <f>IF(A2256="D",LEFT(UPPER(E2256)&amp;REPT(" ",15),15)," ")</f>
        <v/>
      </c>
      <c r="V2256" s="10">
        <f>REPT(" ",24)</f>
        <v/>
      </c>
      <c r="W2256" s="10">
        <f>IF(A2256="c",LEFT(UPPER(B2256)&amp;REPT(" ",20),20),REPT(" ",20))</f>
        <v/>
      </c>
      <c r="X2256" s="10">
        <f>IF(A2256="C",LEFT(UPPER(C2256)&amp;REPT(" ",10),10)," ")</f>
        <v/>
      </c>
      <c r="Y2256" s="10">
        <f>IF(A2256="C",LEFT(UPPER(D2256)&amp;REPT(" ",2),2)," ")</f>
        <v/>
      </c>
      <c r="Z2256" s="10">
        <f>IF(A2256="C",LEFT(UPPER(E2256)&amp;REPT(" ",15),15)," ")</f>
        <v/>
      </c>
      <c r="AA2256" s="10">
        <f>REPT(" ",8)</f>
        <v/>
      </c>
      <c r="AB2256" s="10">
        <f>REPT(" ",4)</f>
        <v/>
      </c>
      <c r="AC2256" s="10">
        <f>LEFT(UPPER(H2256)&amp;REPT(" ",250),250)</f>
        <v/>
      </c>
      <c r="AD2256" s="10">
        <f>TEXT($G$2,"dd/mm/aaaa")</f>
        <v/>
      </c>
      <c r="AE2256" s="10">
        <f>REPT(" ",10)</f>
        <v/>
      </c>
      <c r="AF2256" s="10">
        <f>REPT(" ",20)</f>
        <v/>
      </c>
      <c r="AG2256" s="54">
        <f>REPT(" ",18-LEN(FIXED(F2256,2,TRUE)))&amp;FIXED(F2256,2,TRUE)</f>
        <v/>
      </c>
      <c r="AH2256" s="10">
        <f>LEN(AC2256)+LEN(AG2256)</f>
        <v/>
      </c>
      <c r="AI2256" s="10">
        <f>LEN(L2256)</f>
        <v/>
      </c>
    </row>
    <row r="2257">
      <c r="J2257" s="12">
        <f>IF(F2257&lt;&gt;0,"LANÇAR","")</f>
        <v/>
      </c>
      <c r="L2257" s="13">
        <f>N2257&amp;O2257&amp;P2257&amp;Q2257&amp;R2257&amp;S2257&amp;T2257&amp;U2257&amp;V2257&amp;W2257&amp;X2257&amp;Y2257&amp;Z2257&amp;AA2257&amp;AB2257&amp;AC2257&amp;AD2257&amp;AE2257&amp;AF2257&amp;AG2257</f>
        <v/>
      </c>
      <c r="N2257" s="10">
        <f>TEXT($B$6,"00")</f>
        <v/>
      </c>
      <c r="O2257" s="10">
        <f>REPT(" ",8)</f>
        <v/>
      </c>
      <c r="P2257" s="10">
        <f>RIGHT($B$4,2)</f>
        <v/>
      </c>
      <c r="Q2257" s="10">
        <f>RIGHT($B$5,3)</f>
        <v/>
      </c>
      <c r="R2257" s="10">
        <f>IF(A2257="D",LEFT(UPPER(B2257)&amp;REPT(" ",20),20),REPT(" ",20))</f>
        <v/>
      </c>
      <c r="S2257" s="10">
        <f>IF(A2257="D",LEFT(UPPER(C2257)&amp;REPT(" ",10),10)," ")</f>
        <v/>
      </c>
      <c r="T2257" s="10">
        <f>IF(A2257="D",LEFT(UPPER(D2257)&amp;REPT(" ",2),2)," ")</f>
        <v/>
      </c>
      <c r="U2257" s="10">
        <f>IF(A2257="D",LEFT(UPPER(E2257)&amp;REPT(" ",15),15)," ")</f>
        <v/>
      </c>
      <c r="V2257" s="10">
        <f>REPT(" ",24)</f>
        <v/>
      </c>
      <c r="W2257" s="10">
        <f>IF(A2257="c",LEFT(UPPER(B2257)&amp;REPT(" ",20),20),REPT(" ",20))</f>
        <v/>
      </c>
      <c r="X2257" s="10">
        <f>IF(A2257="C",LEFT(UPPER(C2257)&amp;REPT(" ",10),10)," ")</f>
        <v/>
      </c>
      <c r="Y2257" s="10">
        <f>IF(A2257="C",LEFT(UPPER(D2257)&amp;REPT(" ",2),2)," ")</f>
        <v/>
      </c>
      <c r="Z2257" s="10">
        <f>IF(A2257="C",LEFT(UPPER(E2257)&amp;REPT(" ",15),15)," ")</f>
        <v/>
      </c>
      <c r="AA2257" s="10">
        <f>REPT(" ",8)</f>
        <v/>
      </c>
      <c r="AB2257" s="10">
        <f>REPT(" ",4)</f>
        <v/>
      </c>
      <c r="AC2257" s="10">
        <f>LEFT(UPPER(H2257)&amp;REPT(" ",250),250)</f>
        <v/>
      </c>
      <c r="AD2257" s="10">
        <f>TEXT($G$2,"dd/mm/aaaa")</f>
        <v/>
      </c>
      <c r="AE2257" s="10">
        <f>REPT(" ",10)</f>
        <v/>
      </c>
      <c r="AF2257" s="10">
        <f>REPT(" ",20)</f>
        <v/>
      </c>
      <c r="AG2257" s="54">
        <f>REPT(" ",18-LEN(FIXED(F2257,2,TRUE)))&amp;FIXED(F2257,2,TRUE)</f>
        <v/>
      </c>
      <c r="AH2257" s="10">
        <f>LEN(AC2257)+LEN(AG2257)</f>
        <v/>
      </c>
      <c r="AI2257" s="10">
        <f>LEN(L2257)</f>
        <v/>
      </c>
    </row>
    <row r="2258">
      <c r="J2258" s="12">
        <f>IF(F2258&lt;&gt;0,"LANÇAR","")</f>
        <v/>
      </c>
      <c r="L2258" s="13">
        <f>N2258&amp;O2258&amp;P2258&amp;Q2258&amp;R2258&amp;S2258&amp;T2258&amp;U2258&amp;V2258&amp;W2258&amp;X2258&amp;Y2258&amp;Z2258&amp;AA2258&amp;AB2258&amp;AC2258&amp;AD2258&amp;AE2258&amp;AF2258&amp;AG2258</f>
        <v/>
      </c>
      <c r="N2258" s="10">
        <f>TEXT($B$6,"00")</f>
        <v/>
      </c>
      <c r="O2258" s="10">
        <f>REPT(" ",8)</f>
        <v/>
      </c>
      <c r="P2258" s="10">
        <f>RIGHT($B$4,2)</f>
        <v/>
      </c>
      <c r="Q2258" s="10">
        <f>RIGHT($B$5,3)</f>
        <v/>
      </c>
      <c r="R2258" s="10">
        <f>IF(A2258="D",LEFT(UPPER(B2258)&amp;REPT(" ",20),20),REPT(" ",20))</f>
        <v/>
      </c>
      <c r="S2258" s="10">
        <f>IF(A2258="D",LEFT(UPPER(C2258)&amp;REPT(" ",10),10)," ")</f>
        <v/>
      </c>
      <c r="T2258" s="10">
        <f>IF(A2258="D",LEFT(UPPER(D2258)&amp;REPT(" ",2),2)," ")</f>
        <v/>
      </c>
      <c r="U2258" s="10">
        <f>IF(A2258="D",LEFT(UPPER(E2258)&amp;REPT(" ",15),15)," ")</f>
        <v/>
      </c>
      <c r="V2258" s="10">
        <f>REPT(" ",24)</f>
        <v/>
      </c>
      <c r="W2258" s="10">
        <f>IF(A2258="c",LEFT(UPPER(B2258)&amp;REPT(" ",20),20),REPT(" ",20))</f>
        <v/>
      </c>
      <c r="X2258" s="10">
        <f>IF(A2258="C",LEFT(UPPER(C2258)&amp;REPT(" ",10),10)," ")</f>
        <v/>
      </c>
      <c r="Y2258" s="10">
        <f>IF(A2258="C",LEFT(UPPER(D2258)&amp;REPT(" ",2),2)," ")</f>
        <v/>
      </c>
      <c r="Z2258" s="10">
        <f>IF(A2258="C",LEFT(UPPER(E2258)&amp;REPT(" ",15),15)," ")</f>
        <v/>
      </c>
      <c r="AA2258" s="10">
        <f>REPT(" ",8)</f>
        <v/>
      </c>
      <c r="AB2258" s="10">
        <f>REPT(" ",4)</f>
        <v/>
      </c>
      <c r="AC2258" s="10">
        <f>LEFT(UPPER(H2258)&amp;REPT(" ",250),250)</f>
        <v/>
      </c>
      <c r="AD2258" s="10">
        <f>TEXT($G$2,"dd/mm/aaaa")</f>
        <v/>
      </c>
      <c r="AE2258" s="10">
        <f>REPT(" ",10)</f>
        <v/>
      </c>
      <c r="AF2258" s="10">
        <f>REPT(" ",20)</f>
        <v/>
      </c>
      <c r="AG2258" s="54">
        <f>REPT(" ",18-LEN(FIXED(F2258,2,TRUE)))&amp;FIXED(F2258,2,TRUE)</f>
        <v/>
      </c>
      <c r="AH2258" s="10">
        <f>LEN(AC2258)+LEN(AG2258)</f>
        <v/>
      </c>
      <c r="AI2258" s="10">
        <f>LEN(L2258)</f>
        <v/>
      </c>
    </row>
    <row r="2259">
      <c r="J2259" s="12">
        <f>IF(F2259&lt;&gt;0,"LANÇAR","")</f>
        <v/>
      </c>
      <c r="L2259" s="13">
        <f>N2259&amp;O2259&amp;P2259&amp;Q2259&amp;R2259&amp;S2259&amp;T2259&amp;U2259&amp;V2259&amp;W2259&amp;X2259&amp;Y2259&amp;Z2259&amp;AA2259&amp;AB2259&amp;AC2259&amp;AD2259&amp;AE2259&amp;AF2259&amp;AG2259</f>
        <v/>
      </c>
      <c r="N2259" s="10">
        <f>TEXT($B$6,"00")</f>
        <v/>
      </c>
      <c r="O2259" s="10">
        <f>REPT(" ",8)</f>
        <v/>
      </c>
      <c r="P2259" s="10">
        <f>RIGHT($B$4,2)</f>
        <v/>
      </c>
      <c r="Q2259" s="10">
        <f>RIGHT($B$5,3)</f>
        <v/>
      </c>
      <c r="R2259" s="10">
        <f>IF(A2259="D",LEFT(UPPER(B2259)&amp;REPT(" ",20),20),REPT(" ",20))</f>
        <v/>
      </c>
      <c r="S2259" s="10">
        <f>IF(A2259="D",LEFT(UPPER(C2259)&amp;REPT(" ",10),10)," ")</f>
        <v/>
      </c>
      <c r="T2259" s="10">
        <f>IF(A2259="D",LEFT(UPPER(D2259)&amp;REPT(" ",2),2)," ")</f>
        <v/>
      </c>
      <c r="U2259" s="10">
        <f>IF(A2259="D",LEFT(UPPER(E2259)&amp;REPT(" ",15),15)," ")</f>
        <v/>
      </c>
      <c r="V2259" s="10">
        <f>REPT(" ",24)</f>
        <v/>
      </c>
      <c r="W2259" s="10">
        <f>IF(A2259="c",LEFT(UPPER(B2259)&amp;REPT(" ",20),20),REPT(" ",20))</f>
        <v/>
      </c>
      <c r="X2259" s="10">
        <f>IF(A2259="C",LEFT(UPPER(C2259)&amp;REPT(" ",10),10)," ")</f>
        <v/>
      </c>
      <c r="Y2259" s="10">
        <f>IF(A2259="C",LEFT(UPPER(D2259)&amp;REPT(" ",2),2)," ")</f>
        <v/>
      </c>
      <c r="Z2259" s="10">
        <f>IF(A2259="C",LEFT(UPPER(E2259)&amp;REPT(" ",15),15)," ")</f>
        <v/>
      </c>
      <c r="AA2259" s="10">
        <f>REPT(" ",8)</f>
        <v/>
      </c>
      <c r="AB2259" s="10">
        <f>REPT(" ",4)</f>
        <v/>
      </c>
      <c r="AC2259" s="10">
        <f>LEFT(UPPER(H2259)&amp;REPT(" ",250),250)</f>
        <v/>
      </c>
      <c r="AD2259" s="10">
        <f>TEXT($G$2,"dd/mm/aaaa")</f>
        <v/>
      </c>
      <c r="AE2259" s="10">
        <f>REPT(" ",10)</f>
        <v/>
      </c>
      <c r="AF2259" s="10">
        <f>REPT(" ",20)</f>
        <v/>
      </c>
      <c r="AG2259" s="54">
        <f>REPT(" ",18-LEN(FIXED(F2259,2,TRUE)))&amp;FIXED(F2259,2,TRUE)</f>
        <v/>
      </c>
      <c r="AH2259" s="10">
        <f>LEN(AC2259)+LEN(AG2259)</f>
        <v/>
      </c>
      <c r="AI2259" s="10">
        <f>LEN(L2259)</f>
        <v/>
      </c>
    </row>
    <row r="2260">
      <c r="J2260" s="12">
        <f>IF(F2260&lt;&gt;0,"LANÇAR","")</f>
        <v/>
      </c>
      <c r="L2260" s="13">
        <f>N2260&amp;O2260&amp;P2260&amp;Q2260&amp;R2260&amp;S2260&amp;T2260&amp;U2260&amp;V2260&amp;W2260&amp;X2260&amp;Y2260&amp;Z2260&amp;AA2260&amp;AB2260&amp;AC2260&amp;AD2260&amp;AE2260&amp;AF2260&amp;AG2260</f>
        <v/>
      </c>
      <c r="N2260" s="10">
        <f>TEXT($B$6,"00")</f>
        <v/>
      </c>
      <c r="O2260" s="10">
        <f>REPT(" ",8)</f>
        <v/>
      </c>
      <c r="P2260" s="10">
        <f>RIGHT($B$4,2)</f>
        <v/>
      </c>
      <c r="Q2260" s="10">
        <f>RIGHT($B$5,3)</f>
        <v/>
      </c>
      <c r="R2260" s="10">
        <f>IF(A2260="D",LEFT(UPPER(B2260)&amp;REPT(" ",20),20),REPT(" ",20))</f>
        <v/>
      </c>
      <c r="S2260" s="10">
        <f>IF(A2260="D",LEFT(UPPER(C2260)&amp;REPT(" ",10),10)," ")</f>
        <v/>
      </c>
      <c r="T2260" s="10">
        <f>IF(A2260="D",LEFT(UPPER(D2260)&amp;REPT(" ",2),2)," ")</f>
        <v/>
      </c>
      <c r="U2260" s="10">
        <f>IF(A2260="D",LEFT(UPPER(E2260)&amp;REPT(" ",15),15)," ")</f>
        <v/>
      </c>
      <c r="V2260" s="10">
        <f>REPT(" ",24)</f>
        <v/>
      </c>
      <c r="W2260" s="10">
        <f>IF(A2260="c",LEFT(UPPER(B2260)&amp;REPT(" ",20),20),REPT(" ",20))</f>
        <v/>
      </c>
      <c r="X2260" s="10">
        <f>IF(A2260="C",LEFT(UPPER(C2260)&amp;REPT(" ",10),10)," ")</f>
        <v/>
      </c>
      <c r="Y2260" s="10">
        <f>IF(A2260="C",LEFT(UPPER(D2260)&amp;REPT(" ",2),2)," ")</f>
        <v/>
      </c>
      <c r="Z2260" s="10">
        <f>IF(A2260="C",LEFT(UPPER(E2260)&amp;REPT(" ",15),15)," ")</f>
        <v/>
      </c>
      <c r="AA2260" s="10">
        <f>REPT(" ",8)</f>
        <v/>
      </c>
      <c r="AB2260" s="10">
        <f>REPT(" ",4)</f>
        <v/>
      </c>
      <c r="AC2260" s="10">
        <f>LEFT(UPPER(H2260)&amp;REPT(" ",250),250)</f>
        <v/>
      </c>
      <c r="AD2260" s="10">
        <f>TEXT($G$2,"dd/mm/aaaa")</f>
        <v/>
      </c>
      <c r="AE2260" s="10">
        <f>REPT(" ",10)</f>
        <v/>
      </c>
      <c r="AF2260" s="10">
        <f>REPT(" ",20)</f>
        <v/>
      </c>
      <c r="AG2260" s="54">
        <f>REPT(" ",18-LEN(FIXED(F2260,2,TRUE)))&amp;FIXED(F2260,2,TRUE)</f>
        <v/>
      </c>
      <c r="AH2260" s="10">
        <f>LEN(AC2260)+LEN(AG2260)</f>
        <v/>
      </c>
      <c r="AI2260" s="10">
        <f>LEN(L2260)</f>
        <v/>
      </c>
    </row>
    <row r="2261">
      <c r="J2261" s="12">
        <f>IF(F2261&lt;&gt;0,"LANÇAR","")</f>
        <v/>
      </c>
      <c r="L2261" s="13">
        <f>N2261&amp;O2261&amp;P2261&amp;Q2261&amp;R2261&amp;S2261&amp;T2261&amp;U2261&amp;V2261&amp;W2261&amp;X2261&amp;Y2261&amp;Z2261&amp;AA2261&amp;AB2261&amp;AC2261&amp;AD2261&amp;AE2261&amp;AF2261&amp;AG2261</f>
        <v/>
      </c>
      <c r="N2261" s="10">
        <f>TEXT($B$6,"00")</f>
        <v/>
      </c>
      <c r="O2261" s="10">
        <f>REPT(" ",8)</f>
        <v/>
      </c>
      <c r="P2261" s="10">
        <f>RIGHT($B$4,2)</f>
        <v/>
      </c>
      <c r="Q2261" s="10">
        <f>RIGHT($B$5,3)</f>
        <v/>
      </c>
      <c r="R2261" s="10">
        <f>IF(A2261="D",LEFT(UPPER(B2261)&amp;REPT(" ",20),20),REPT(" ",20))</f>
        <v/>
      </c>
      <c r="S2261" s="10">
        <f>IF(A2261="D",LEFT(UPPER(C2261)&amp;REPT(" ",10),10)," ")</f>
        <v/>
      </c>
      <c r="T2261" s="10">
        <f>IF(A2261="D",LEFT(UPPER(D2261)&amp;REPT(" ",2),2)," ")</f>
        <v/>
      </c>
      <c r="U2261" s="10">
        <f>IF(A2261="D",LEFT(UPPER(E2261)&amp;REPT(" ",15),15)," ")</f>
        <v/>
      </c>
      <c r="V2261" s="10">
        <f>REPT(" ",24)</f>
        <v/>
      </c>
      <c r="W2261" s="10">
        <f>IF(A2261="c",LEFT(UPPER(B2261)&amp;REPT(" ",20),20),REPT(" ",20))</f>
        <v/>
      </c>
      <c r="X2261" s="10">
        <f>IF(A2261="C",LEFT(UPPER(C2261)&amp;REPT(" ",10),10)," ")</f>
        <v/>
      </c>
      <c r="Y2261" s="10">
        <f>IF(A2261="C",LEFT(UPPER(D2261)&amp;REPT(" ",2),2)," ")</f>
        <v/>
      </c>
      <c r="Z2261" s="10">
        <f>IF(A2261="C",LEFT(UPPER(E2261)&amp;REPT(" ",15),15)," ")</f>
        <v/>
      </c>
      <c r="AA2261" s="10">
        <f>REPT(" ",8)</f>
        <v/>
      </c>
      <c r="AB2261" s="10">
        <f>REPT(" ",4)</f>
        <v/>
      </c>
      <c r="AC2261" s="10">
        <f>LEFT(UPPER(H2261)&amp;REPT(" ",250),250)</f>
        <v/>
      </c>
      <c r="AD2261" s="10">
        <f>TEXT($G$2,"dd/mm/aaaa")</f>
        <v/>
      </c>
      <c r="AE2261" s="10">
        <f>REPT(" ",10)</f>
        <v/>
      </c>
      <c r="AF2261" s="10">
        <f>REPT(" ",20)</f>
        <v/>
      </c>
      <c r="AG2261" s="54">
        <f>REPT(" ",18-LEN(FIXED(F2261,2,TRUE)))&amp;FIXED(F2261,2,TRUE)</f>
        <v/>
      </c>
      <c r="AH2261" s="10">
        <f>LEN(AC2261)+LEN(AG2261)</f>
        <v/>
      </c>
      <c r="AI2261" s="10">
        <f>LEN(L2261)</f>
        <v/>
      </c>
    </row>
    <row r="2262">
      <c r="J2262" s="12">
        <f>IF(F2262&lt;&gt;0,"LANÇAR","")</f>
        <v/>
      </c>
      <c r="L2262" s="13">
        <f>N2262&amp;O2262&amp;P2262&amp;Q2262&amp;R2262&amp;S2262&amp;T2262&amp;U2262&amp;V2262&amp;W2262&amp;X2262&amp;Y2262&amp;Z2262&amp;AA2262&amp;AB2262&amp;AC2262&amp;AD2262&amp;AE2262&amp;AF2262&amp;AG2262</f>
        <v/>
      </c>
      <c r="N2262" s="10">
        <f>TEXT($B$6,"00")</f>
        <v/>
      </c>
      <c r="O2262" s="10">
        <f>REPT(" ",8)</f>
        <v/>
      </c>
      <c r="P2262" s="10">
        <f>RIGHT($B$4,2)</f>
        <v/>
      </c>
      <c r="Q2262" s="10">
        <f>RIGHT($B$5,3)</f>
        <v/>
      </c>
      <c r="R2262" s="10">
        <f>IF(A2262="D",LEFT(UPPER(B2262)&amp;REPT(" ",20),20),REPT(" ",20))</f>
        <v/>
      </c>
      <c r="S2262" s="10">
        <f>IF(A2262="D",LEFT(UPPER(C2262)&amp;REPT(" ",10),10)," ")</f>
        <v/>
      </c>
      <c r="T2262" s="10">
        <f>IF(A2262="D",LEFT(UPPER(D2262)&amp;REPT(" ",2),2)," ")</f>
        <v/>
      </c>
      <c r="U2262" s="10">
        <f>IF(A2262="D",LEFT(UPPER(E2262)&amp;REPT(" ",15),15)," ")</f>
        <v/>
      </c>
      <c r="V2262" s="10">
        <f>REPT(" ",24)</f>
        <v/>
      </c>
      <c r="W2262" s="10">
        <f>IF(A2262="c",LEFT(UPPER(B2262)&amp;REPT(" ",20),20),REPT(" ",20))</f>
        <v/>
      </c>
      <c r="X2262" s="10">
        <f>IF(A2262="C",LEFT(UPPER(C2262)&amp;REPT(" ",10),10)," ")</f>
        <v/>
      </c>
      <c r="Y2262" s="10">
        <f>IF(A2262="C",LEFT(UPPER(D2262)&amp;REPT(" ",2),2)," ")</f>
        <v/>
      </c>
      <c r="Z2262" s="10">
        <f>IF(A2262="C",LEFT(UPPER(E2262)&amp;REPT(" ",15),15)," ")</f>
        <v/>
      </c>
      <c r="AA2262" s="10">
        <f>REPT(" ",8)</f>
        <v/>
      </c>
      <c r="AB2262" s="10">
        <f>REPT(" ",4)</f>
        <v/>
      </c>
      <c r="AC2262" s="10">
        <f>LEFT(UPPER(H2262)&amp;REPT(" ",250),250)</f>
        <v/>
      </c>
      <c r="AD2262" s="10">
        <f>TEXT($G$2,"dd/mm/aaaa")</f>
        <v/>
      </c>
      <c r="AE2262" s="10">
        <f>REPT(" ",10)</f>
        <v/>
      </c>
      <c r="AF2262" s="10">
        <f>REPT(" ",20)</f>
        <v/>
      </c>
      <c r="AG2262" s="54">
        <f>REPT(" ",18-LEN(FIXED(F2262,2,TRUE)))&amp;FIXED(F2262,2,TRUE)</f>
        <v/>
      </c>
      <c r="AH2262" s="10">
        <f>LEN(AC2262)+LEN(AG2262)</f>
        <v/>
      </c>
      <c r="AI2262" s="10">
        <f>LEN(L2262)</f>
        <v/>
      </c>
    </row>
    <row r="2263">
      <c r="J2263" s="12">
        <f>IF(F2263&lt;&gt;0,"LANÇAR","")</f>
        <v/>
      </c>
      <c r="L2263" s="13">
        <f>N2263&amp;O2263&amp;P2263&amp;Q2263&amp;R2263&amp;S2263&amp;T2263&amp;U2263&amp;V2263&amp;W2263&amp;X2263&amp;Y2263&amp;Z2263&amp;AA2263&amp;AB2263&amp;AC2263&amp;AD2263&amp;AE2263&amp;AF2263&amp;AG2263</f>
        <v/>
      </c>
      <c r="N2263" s="10">
        <f>TEXT($B$6,"00")</f>
        <v/>
      </c>
      <c r="O2263" s="10">
        <f>REPT(" ",8)</f>
        <v/>
      </c>
      <c r="P2263" s="10">
        <f>RIGHT($B$4,2)</f>
        <v/>
      </c>
      <c r="Q2263" s="10">
        <f>RIGHT($B$5,3)</f>
        <v/>
      </c>
      <c r="R2263" s="10">
        <f>IF(A2263="D",LEFT(UPPER(B2263)&amp;REPT(" ",20),20),REPT(" ",20))</f>
        <v/>
      </c>
      <c r="S2263" s="10">
        <f>IF(A2263="D",LEFT(UPPER(C2263)&amp;REPT(" ",10),10)," ")</f>
        <v/>
      </c>
      <c r="T2263" s="10">
        <f>IF(A2263="D",LEFT(UPPER(D2263)&amp;REPT(" ",2),2)," ")</f>
        <v/>
      </c>
      <c r="U2263" s="10">
        <f>IF(A2263="D",LEFT(UPPER(E2263)&amp;REPT(" ",15),15)," ")</f>
        <v/>
      </c>
      <c r="V2263" s="10">
        <f>REPT(" ",24)</f>
        <v/>
      </c>
      <c r="W2263" s="10">
        <f>IF(A2263="c",LEFT(UPPER(B2263)&amp;REPT(" ",20),20),REPT(" ",20))</f>
        <v/>
      </c>
      <c r="X2263" s="10">
        <f>IF(A2263="C",LEFT(UPPER(C2263)&amp;REPT(" ",10),10)," ")</f>
        <v/>
      </c>
      <c r="Y2263" s="10">
        <f>IF(A2263="C",LEFT(UPPER(D2263)&amp;REPT(" ",2),2)," ")</f>
        <v/>
      </c>
      <c r="Z2263" s="10">
        <f>IF(A2263="C",LEFT(UPPER(E2263)&amp;REPT(" ",15),15)," ")</f>
        <v/>
      </c>
      <c r="AA2263" s="10">
        <f>REPT(" ",8)</f>
        <v/>
      </c>
      <c r="AB2263" s="10">
        <f>REPT(" ",4)</f>
        <v/>
      </c>
      <c r="AC2263" s="10">
        <f>LEFT(UPPER(H2263)&amp;REPT(" ",250),250)</f>
        <v/>
      </c>
      <c r="AD2263" s="10">
        <f>TEXT($G$2,"dd/mm/aaaa")</f>
        <v/>
      </c>
      <c r="AE2263" s="10">
        <f>REPT(" ",10)</f>
        <v/>
      </c>
      <c r="AF2263" s="10">
        <f>REPT(" ",20)</f>
        <v/>
      </c>
      <c r="AG2263" s="54">
        <f>REPT(" ",18-LEN(FIXED(F2263,2,TRUE)))&amp;FIXED(F2263,2,TRUE)</f>
        <v/>
      </c>
      <c r="AH2263" s="10">
        <f>LEN(AC2263)+LEN(AG2263)</f>
        <v/>
      </c>
      <c r="AI2263" s="10">
        <f>LEN(L2263)</f>
        <v/>
      </c>
    </row>
    <row r="2264">
      <c r="J2264" s="12">
        <f>IF(F2264&lt;&gt;0,"LANÇAR","")</f>
        <v/>
      </c>
      <c r="L2264" s="13">
        <f>N2264&amp;O2264&amp;P2264&amp;Q2264&amp;R2264&amp;S2264&amp;T2264&amp;U2264&amp;V2264&amp;W2264&amp;X2264&amp;Y2264&amp;Z2264&amp;AA2264&amp;AB2264&amp;AC2264&amp;AD2264&amp;AE2264&amp;AF2264&amp;AG2264</f>
        <v/>
      </c>
      <c r="N2264" s="10">
        <f>TEXT($B$6,"00")</f>
        <v/>
      </c>
      <c r="O2264" s="10">
        <f>REPT(" ",8)</f>
        <v/>
      </c>
      <c r="P2264" s="10">
        <f>RIGHT($B$4,2)</f>
        <v/>
      </c>
      <c r="Q2264" s="10">
        <f>RIGHT($B$5,3)</f>
        <v/>
      </c>
      <c r="R2264" s="10">
        <f>IF(A2264="D",LEFT(UPPER(B2264)&amp;REPT(" ",20),20),REPT(" ",20))</f>
        <v/>
      </c>
      <c r="S2264" s="10">
        <f>IF(A2264="D",LEFT(UPPER(C2264)&amp;REPT(" ",10),10)," ")</f>
        <v/>
      </c>
      <c r="T2264" s="10">
        <f>IF(A2264="D",LEFT(UPPER(D2264)&amp;REPT(" ",2),2)," ")</f>
        <v/>
      </c>
      <c r="U2264" s="10">
        <f>IF(A2264="D",LEFT(UPPER(E2264)&amp;REPT(" ",15),15)," ")</f>
        <v/>
      </c>
      <c r="V2264" s="10">
        <f>REPT(" ",24)</f>
        <v/>
      </c>
      <c r="W2264" s="10">
        <f>IF(A2264="c",LEFT(UPPER(B2264)&amp;REPT(" ",20),20),REPT(" ",20))</f>
        <v/>
      </c>
      <c r="X2264" s="10">
        <f>IF(A2264="C",LEFT(UPPER(C2264)&amp;REPT(" ",10),10)," ")</f>
        <v/>
      </c>
      <c r="Y2264" s="10">
        <f>IF(A2264="C",LEFT(UPPER(D2264)&amp;REPT(" ",2),2)," ")</f>
        <v/>
      </c>
      <c r="Z2264" s="10">
        <f>IF(A2264="C",LEFT(UPPER(E2264)&amp;REPT(" ",15),15)," ")</f>
        <v/>
      </c>
      <c r="AA2264" s="10">
        <f>REPT(" ",8)</f>
        <v/>
      </c>
      <c r="AB2264" s="10">
        <f>REPT(" ",4)</f>
        <v/>
      </c>
      <c r="AC2264" s="10">
        <f>LEFT(UPPER(H2264)&amp;REPT(" ",250),250)</f>
        <v/>
      </c>
      <c r="AD2264" s="10">
        <f>TEXT($G$2,"dd/mm/aaaa")</f>
        <v/>
      </c>
      <c r="AE2264" s="10">
        <f>REPT(" ",10)</f>
        <v/>
      </c>
      <c r="AF2264" s="10">
        <f>REPT(" ",20)</f>
        <v/>
      </c>
      <c r="AG2264" s="54">
        <f>REPT(" ",18-LEN(FIXED(F2264,2,TRUE)))&amp;FIXED(F2264,2,TRUE)</f>
        <v/>
      </c>
      <c r="AH2264" s="10">
        <f>LEN(AC2264)+LEN(AG2264)</f>
        <v/>
      </c>
      <c r="AI2264" s="10">
        <f>LEN(L2264)</f>
        <v/>
      </c>
    </row>
    <row r="2265">
      <c r="J2265" s="12">
        <f>IF(F2265&lt;&gt;0,"LANÇAR","")</f>
        <v/>
      </c>
      <c r="L2265" s="13">
        <f>N2265&amp;O2265&amp;P2265&amp;Q2265&amp;R2265&amp;S2265&amp;T2265&amp;U2265&amp;V2265&amp;W2265&amp;X2265&amp;Y2265&amp;Z2265&amp;AA2265&amp;AB2265&amp;AC2265&amp;AD2265&amp;AE2265&amp;AF2265&amp;AG2265</f>
        <v/>
      </c>
      <c r="N2265" s="10">
        <f>TEXT($B$6,"00")</f>
        <v/>
      </c>
      <c r="O2265" s="10">
        <f>REPT(" ",8)</f>
        <v/>
      </c>
      <c r="P2265" s="10">
        <f>RIGHT($B$4,2)</f>
        <v/>
      </c>
      <c r="Q2265" s="10">
        <f>RIGHT($B$5,3)</f>
        <v/>
      </c>
      <c r="R2265" s="10">
        <f>IF(A2265="D",LEFT(UPPER(B2265)&amp;REPT(" ",20),20),REPT(" ",20))</f>
        <v/>
      </c>
      <c r="S2265" s="10">
        <f>IF(A2265="D",LEFT(UPPER(C2265)&amp;REPT(" ",10),10)," ")</f>
        <v/>
      </c>
      <c r="T2265" s="10">
        <f>IF(A2265="D",LEFT(UPPER(D2265)&amp;REPT(" ",2),2)," ")</f>
        <v/>
      </c>
      <c r="U2265" s="10">
        <f>IF(A2265="D",LEFT(UPPER(E2265)&amp;REPT(" ",15),15)," ")</f>
        <v/>
      </c>
      <c r="V2265" s="10">
        <f>REPT(" ",24)</f>
        <v/>
      </c>
      <c r="W2265" s="10">
        <f>IF(A2265="c",LEFT(UPPER(B2265)&amp;REPT(" ",20),20),REPT(" ",20))</f>
        <v/>
      </c>
      <c r="X2265" s="10">
        <f>IF(A2265="C",LEFT(UPPER(C2265)&amp;REPT(" ",10),10)," ")</f>
        <v/>
      </c>
      <c r="Y2265" s="10">
        <f>IF(A2265="C",LEFT(UPPER(D2265)&amp;REPT(" ",2),2)," ")</f>
        <v/>
      </c>
      <c r="Z2265" s="10">
        <f>IF(A2265="C",LEFT(UPPER(E2265)&amp;REPT(" ",15),15)," ")</f>
        <v/>
      </c>
      <c r="AA2265" s="10">
        <f>REPT(" ",8)</f>
        <v/>
      </c>
      <c r="AB2265" s="10">
        <f>REPT(" ",4)</f>
        <v/>
      </c>
      <c r="AC2265" s="10">
        <f>LEFT(UPPER(H2265)&amp;REPT(" ",250),250)</f>
        <v/>
      </c>
      <c r="AD2265" s="10">
        <f>TEXT($G$2,"dd/mm/aaaa")</f>
        <v/>
      </c>
      <c r="AE2265" s="10">
        <f>REPT(" ",10)</f>
        <v/>
      </c>
      <c r="AF2265" s="10">
        <f>REPT(" ",20)</f>
        <v/>
      </c>
      <c r="AG2265" s="54">
        <f>REPT(" ",18-LEN(FIXED(F2265,2,TRUE)))&amp;FIXED(F2265,2,TRUE)</f>
        <v/>
      </c>
      <c r="AH2265" s="10">
        <f>LEN(AC2265)+LEN(AG2265)</f>
        <v/>
      </c>
      <c r="AI2265" s="10">
        <f>LEN(L2265)</f>
        <v/>
      </c>
    </row>
    <row r="2266">
      <c r="J2266" s="12">
        <f>IF(F2266&lt;&gt;0,"LANÇAR","")</f>
        <v/>
      </c>
      <c r="L2266" s="13">
        <f>N2266&amp;O2266&amp;P2266&amp;Q2266&amp;R2266&amp;S2266&amp;T2266&amp;U2266&amp;V2266&amp;W2266&amp;X2266&amp;Y2266&amp;Z2266&amp;AA2266&amp;AB2266&amp;AC2266&amp;AD2266&amp;AE2266&amp;AF2266&amp;AG2266</f>
        <v/>
      </c>
      <c r="N2266" s="10">
        <f>TEXT($B$6,"00")</f>
        <v/>
      </c>
      <c r="O2266" s="10">
        <f>REPT(" ",8)</f>
        <v/>
      </c>
      <c r="P2266" s="10">
        <f>RIGHT($B$4,2)</f>
        <v/>
      </c>
      <c r="Q2266" s="10">
        <f>RIGHT($B$5,3)</f>
        <v/>
      </c>
      <c r="R2266" s="10">
        <f>IF(A2266="D",LEFT(UPPER(B2266)&amp;REPT(" ",20),20),REPT(" ",20))</f>
        <v/>
      </c>
      <c r="S2266" s="10">
        <f>IF(A2266="D",LEFT(UPPER(C2266)&amp;REPT(" ",10),10)," ")</f>
        <v/>
      </c>
      <c r="T2266" s="10">
        <f>IF(A2266="D",LEFT(UPPER(D2266)&amp;REPT(" ",2),2)," ")</f>
        <v/>
      </c>
      <c r="U2266" s="10">
        <f>IF(A2266="D",LEFT(UPPER(E2266)&amp;REPT(" ",15),15)," ")</f>
        <v/>
      </c>
      <c r="V2266" s="10">
        <f>REPT(" ",24)</f>
        <v/>
      </c>
      <c r="W2266" s="10">
        <f>IF(A2266="c",LEFT(UPPER(B2266)&amp;REPT(" ",20),20),REPT(" ",20))</f>
        <v/>
      </c>
      <c r="X2266" s="10">
        <f>IF(A2266="C",LEFT(UPPER(C2266)&amp;REPT(" ",10),10)," ")</f>
        <v/>
      </c>
      <c r="Y2266" s="10">
        <f>IF(A2266="C",LEFT(UPPER(D2266)&amp;REPT(" ",2),2)," ")</f>
        <v/>
      </c>
      <c r="Z2266" s="10">
        <f>IF(A2266="C",LEFT(UPPER(E2266)&amp;REPT(" ",15),15)," ")</f>
        <v/>
      </c>
      <c r="AA2266" s="10">
        <f>REPT(" ",8)</f>
        <v/>
      </c>
      <c r="AB2266" s="10">
        <f>REPT(" ",4)</f>
        <v/>
      </c>
      <c r="AC2266" s="10">
        <f>LEFT(UPPER(H2266)&amp;REPT(" ",250),250)</f>
        <v/>
      </c>
      <c r="AD2266" s="10">
        <f>TEXT($G$2,"dd/mm/aaaa")</f>
        <v/>
      </c>
      <c r="AE2266" s="10">
        <f>REPT(" ",10)</f>
        <v/>
      </c>
      <c r="AF2266" s="10">
        <f>REPT(" ",20)</f>
        <v/>
      </c>
      <c r="AG2266" s="54">
        <f>REPT(" ",18-LEN(FIXED(F2266,2,TRUE)))&amp;FIXED(F2266,2,TRUE)</f>
        <v/>
      </c>
      <c r="AH2266" s="10">
        <f>LEN(AC2266)+LEN(AG2266)</f>
        <v/>
      </c>
      <c r="AI2266" s="10">
        <f>LEN(L2266)</f>
        <v/>
      </c>
    </row>
    <row r="2267">
      <c r="J2267" s="12">
        <f>IF(F2267&lt;&gt;0,"LANÇAR","")</f>
        <v/>
      </c>
      <c r="L2267" s="13">
        <f>N2267&amp;O2267&amp;P2267&amp;Q2267&amp;R2267&amp;S2267&amp;T2267&amp;U2267&amp;V2267&amp;W2267&amp;X2267&amp;Y2267&amp;Z2267&amp;AA2267&amp;AB2267&amp;AC2267&amp;AD2267&amp;AE2267&amp;AF2267&amp;AG2267</f>
        <v/>
      </c>
      <c r="N2267" s="10">
        <f>TEXT($B$6,"00")</f>
        <v/>
      </c>
      <c r="O2267" s="10">
        <f>REPT(" ",8)</f>
        <v/>
      </c>
      <c r="P2267" s="10">
        <f>RIGHT($B$4,2)</f>
        <v/>
      </c>
      <c r="Q2267" s="10">
        <f>RIGHT($B$5,3)</f>
        <v/>
      </c>
      <c r="R2267" s="10">
        <f>IF(A2267="D",LEFT(UPPER(B2267)&amp;REPT(" ",20),20),REPT(" ",20))</f>
        <v/>
      </c>
      <c r="S2267" s="10">
        <f>IF(A2267="D",LEFT(UPPER(C2267)&amp;REPT(" ",10),10)," ")</f>
        <v/>
      </c>
      <c r="T2267" s="10">
        <f>IF(A2267="D",LEFT(UPPER(D2267)&amp;REPT(" ",2),2)," ")</f>
        <v/>
      </c>
      <c r="U2267" s="10">
        <f>IF(A2267="D",LEFT(UPPER(E2267)&amp;REPT(" ",15),15)," ")</f>
        <v/>
      </c>
      <c r="V2267" s="10">
        <f>REPT(" ",24)</f>
        <v/>
      </c>
      <c r="W2267" s="10">
        <f>IF(A2267="c",LEFT(UPPER(B2267)&amp;REPT(" ",20),20),REPT(" ",20))</f>
        <v/>
      </c>
      <c r="X2267" s="10">
        <f>IF(A2267="C",LEFT(UPPER(C2267)&amp;REPT(" ",10),10)," ")</f>
        <v/>
      </c>
      <c r="Y2267" s="10">
        <f>IF(A2267="C",LEFT(UPPER(D2267)&amp;REPT(" ",2),2)," ")</f>
        <v/>
      </c>
      <c r="Z2267" s="10">
        <f>IF(A2267="C",LEFT(UPPER(E2267)&amp;REPT(" ",15),15)," ")</f>
        <v/>
      </c>
      <c r="AA2267" s="10">
        <f>REPT(" ",8)</f>
        <v/>
      </c>
      <c r="AB2267" s="10">
        <f>REPT(" ",4)</f>
        <v/>
      </c>
      <c r="AC2267" s="10">
        <f>LEFT(UPPER(H2267)&amp;REPT(" ",250),250)</f>
        <v/>
      </c>
      <c r="AD2267" s="10">
        <f>TEXT($G$2,"dd/mm/aaaa")</f>
        <v/>
      </c>
      <c r="AE2267" s="10">
        <f>REPT(" ",10)</f>
        <v/>
      </c>
      <c r="AF2267" s="10">
        <f>REPT(" ",20)</f>
        <v/>
      </c>
      <c r="AG2267" s="54">
        <f>REPT(" ",18-LEN(FIXED(F2267,2,TRUE)))&amp;FIXED(F2267,2,TRUE)</f>
        <v/>
      </c>
      <c r="AH2267" s="10">
        <f>LEN(AC2267)+LEN(AG2267)</f>
        <v/>
      </c>
      <c r="AI2267" s="10">
        <f>LEN(L2267)</f>
        <v/>
      </c>
    </row>
    <row r="2268">
      <c r="J2268" s="12">
        <f>IF(F2268&lt;&gt;0,"LANÇAR","")</f>
        <v/>
      </c>
      <c r="L2268" s="13">
        <f>N2268&amp;O2268&amp;P2268&amp;Q2268&amp;R2268&amp;S2268&amp;T2268&amp;U2268&amp;V2268&amp;W2268&amp;X2268&amp;Y2268&amp;Z2268&amp;AA2268&amp;AB2268&amp;AC2268&amp;AD2268&amp;AE2268&amp;AF2268&amp;AG2268</f>
        <v/>
      </c>
      <c r="N2268" s="10">
        <f>TEXT($B$6,"00")</f>
        <v/>
      </c>
      <c r="O2268" s="10">
        <f>REPT(" ",8)</f>
        <v/>
      </c>
      <c r="P2268" s="10">
        <f>RIGHT($B$4,2)</f>
        <v/>
      </c>
      <c r="Q2268" s="10">
        <f>RIGHT($B$5,3)</f>
        <v/>
      </c>
      <c r="R2268" s="10">
        <f>IF(A2268="D",LEFT(UPPER(B2268)&amp;REPT(" ",20),20),REPT(" ",20))</f>
        <v/>
      </c>
      <c r="S2268" s="10">
        <f>IF(A2268="D",LEFT(UPPER(C2268)&amp;REPT(" ",10),10)," ")</f>
        <v/>
      </c>
      <c r="T2268" s="10">
        <f>IF(A2268="D",LEFT(UPPER(D2268)&amp;REPT(" ",2),2)," ")</f>
        <v/>
      </c>
      <c r="U2268" s="10">
        <f>IF(A2268="D",LEFT(UPPER(E2268)&amp;REPT(" ",15),15)," ")</f>
        <v/>
      </c>
      <c r="V2268" s="10">
        <f>REPT(" ",24)</f>
        <v/>
      </c>
      <c r="W2268" s="10">
        <f>IF(A2268="c",LEFT(UPPER(B2268)&amp;REPT(" ",20),20),REPT(" ",20))</f>
        <v/>
      </c>
      <c r="X2268" s="10">
        <f>IF(A2268="C",LEFT(UPPER(C2268)&amp;REPT(" ",10),10)," ")</f>
        <v/>
      </c>
      <c r="Y2268" s="10">
        <f>IF(A2268="C",LEFT(UPPER(D2268)&amp;REPT(" ",2),2)," ")</f>
        <v/>
      </c>
      <c r="Z2268" s="10">
        <f>IF(A2268="C",LEFT(UPPER(E2268)&amp;REPT(" ",15),15)," ")</f>
        <v/>
      </c>
      <c r="AA2268" s="10">
        <f>REPT(" ",8)</f>
        <v/>
      </c>
      <c r="AB2268" s="10">
        <f>REPT(" ",4)</f>
        <v/>
      </c>
      <c r="AC2268" s="10">
        <f>LEFT(UPPER(H2268)&amp;REPT(" ",250),250)</f>
        <v/>
      </c>
      <c r="AD2268" s="10">
        <f>TEXT($G$2,"dd/mm/aaaa")</f>
        <v/>
      </c>
      <c r="AE2268" s="10">
        <f>REPT(" ",10)</f>
        <v/>
      </c>
      <c r="AF2268" s="10">
        <f>REPT(" ",20)</f>
        <v/>
      </c>
      <c r="AG2268" s="54">
        <f>REPT(" ",18-LEN(FIXED(F2268,2,TRUE)))&amp;FIXED(F2268,2,TRUE)</f>
        <v/>
      </c>
      <c r="AH2268" s="10">
        <f>LEN(AC2268)+LEN(AG2268)</f>
        <v/>
      </c>
      <c r="AI2268" s="10">
        <f>LEN(L2268)</f>
        <v/>
      </c>
    </row>
    <row r="2269">
      <c r="J2269" s="12">
        <f>IF(F2269&lt;&gt;0,"LANÇAR","")</f>
        <v/>
      </c>
      <c r="L2269" s="13">
        <f>N2269&amp;O2269&amp;P2269&amp;Q2269&amp;R2269&amp;S2269&amp;T2269&amp;U2269&amp;V2269&amp;W2269&amp;X2269&amp;Y2269&amp;Z2269&amp;AA2269&amp;AB2269&amp;AC2269&amp;AD2269&amp;AE2269&amp;AF2269&amp;AG2269</f>
        <v/>
      </c>
      <c r="N2269" s="10">
        <f>TEXT($B$6,"00")</f>
        <v/>
      </c>
      <c r="O2269" s="10">
        <f>REPT(" ",8)</f>
        <v/>
      </c>
      <c r="P2269" s="10">
        <f>RIGHT($B$4,2)</f>
        <v/>
      </c>
      <c r="Q2269" s="10">
        <f>RIGHT($B$5,3)</f>
        <v/>
      </c>
      <c r="R2269" s="10">
        <f>IF(A2269="D",LEFT(UPPER(B2269)&amp;REPT(" ",20),20),REPT(" ",20))</f>
        <v/>
      </c>
      <c r="S2269" s="10">
        <f>IF(A2269="D",LEFT(UPPER(C2269)&amp;REPT(" ",10),10)," ")</f>
        <v/>
      </c>
      <c r="T2269" s="10">
        <f>IF(A2269="D",LEFT(UPPER(D2269)&amp;REPT(" ",2),2)," ")</f>
        <v/>
      </c>
      <c r="U2269" s="10">
        <f>IF(A2269="D",LEFT(UPPER(E2269)&amp;REPT(" ",15),15)," ")</f>
        <v/>
      </c>
      <c r="V2269" s="10">
        <f>REPT(" ",24)</f>
        <v/>
      </c>
      <c r="W2269" s="10">
        <f>IF(A2269="c",LEFT(UPPER(B2269)&amp;REPT(" ",20),20),REPT(" ",20))</f>
        <v/>
      </c>
      <c r="X2269" s="10">
        <f>IF(A2269="C",LEFT(UPPER(C2269)&amp;REPT(" ",10),10)," ")</f>
        <v/>
      </c>
      <c r="Y2269" s="10">
        <f>IF(A2269="C",LEFT(UPPER(D2269)&amp;REPT(" ",2),2)," ")</f>
        <v/>
      </c>
      <c r="Z2269" s="10">
        <f>IF(A2269="C",LEFT(UPPER(E2269)&amp;REPT(" ",15),15)," ")</f>
        <v/>
      </c>
      <c r="AA2269" s="10">
        <f>REPT(" ",8)</f>
        <v/>
      </c>
      <c r="AB2269" s="10">
        <f>REPT(" ",4)</f>
        <v/>
      </c>
      <c r="AC2269" s="10">
        <f>LEFT(UPPER(H2269)&amp;REPT(" ",250),250)</f>
        <v/>
      </c>
      <c r="AD2269" s="10">
        <f>TEXT($G$2,"dd/mm/aaaa")</f>
        <v/>
      </c>
      <c r="AE2269" s="10">
        <f>REPT(" ",10)</f>
        <v/>
      </c>
      <c r="AF2269" s="10">
        <f>REPT(" ",20)</f>
        <v/>
      </c>
      <c r="AG2269" s="54">
        <f>REPT(" ",18-LEN(FIXED(F2269,2,TRUE)))&amp;FIXED(F2269,2,TRUE)</f>
        <v/>
      </c>
      <c r="AH2269" s="10">
        <f>LEN(AC2269)+LEN(AG2269)</f>
        <v/>
      </c>
      <c r="AI2269" s="10">
        <f>LEN(L2269)</f>
        <v/>
      </c>
    </row>
    <row r="2270">
      <c r="J2270" s="12">
        <f>IF(F2270&lt;&gt;0,"LANÇAR","")</f>
        <v/>
      </c>
      <c r="L2270" s="13">
        <f>N2270&amp;O2270&amp;P2270&amp;Q2270&amp;R2270&amp;S2270&amp;T2270&amp;U2270&amp;V2270&amp;W2270&amp;X2270&amp;Y2270&amp;Z2270&amp;AA2270&amp;AB2270&amp;AC2270&amp;AD2270&amp;AE2270&amp;AF2270&amp;AG2270</f>
        <v/>
      </c>
      <c r="N2270" s="10">
        <f>TEXT($B$6,"00")</f>
        <v/>
      </c>
      <c r="O2270" s="10">
        <f>REPT(" ",8)</f>
        <v/>
      </c>
      <c r="P2270" s="10">
        <f>RIGHT($B$4,2)</f>
        <v/>
      </c>
      <c r="Q2270" s="10">
        <f>RIGHT($B$5,3)</f>
        <v/>
      </c>
      <c r="R2270" s="10">
        <f>IF(A2270="D",LEFT(UPPER(B2270)&amp;REPT(" ",20),20),REPT(" ",20))</f>
        <v/>
      </c>
      <c r="S2270" s="10">
        <f>IF(A2270="D",LEFT(UPPER(C2270)&amp;REPT(" ",10),10)," ")</f>
        <v/>
      </c>
      <c r="T2270" s="10">
        <f>IF(A2270="D",LEFT(UPPER(D2270)&amp;REPT(" ",2),2)," ")</f>
        <v/>
      </c>
      <c r="U2270" s="10">
        <f>IF(A2270="D",LEFT(UPPER(E2270)&amp;REPT(" ",15),15)," ")</f>
        <v/>
      </c>
      <c r="V2270" s="10">
        <f>REPT(" ",24)</f>
        <v/>
      </c>
      <c r="W2270" s="10">
        <f>IF(A2270="c",LEFT(UPPER(B2270)&amp;REPT(" ",20),20),REPT(" ",20))</f>
        <v/>
      </c>
      <c r="X2270" s="10">
        <f>IF(A2270="C",LEFT(UPPER(C2270)&amp;REPT(" ",10),10)," ")</f>
        <v/>
      </c>
      <c r="Y2270" s="10">
        <f>IF(A2270="C",LEFT(UPPER(D2270)&amp;REPT(" ",2),2)," ")</f>
        <v/>
      </c>
      <c r="Z2270" s="10">
        <f>IF(A2270="C",LEFT(UPPER(E2270)&amp;REPT(" ",15),15)," ")</f>
        <v/>
      </c>
      <c r="AA2270" s="10">
        <f>REPT(" ",8)</f>
        <v/>
      </c>
      <c r="AB2270" s="10">
        <f>REPT(" ",4)</f>
        <v/>
      </c>
      <c r="AC2270" s="10">
        <f>LEFT(UPPER(H2270)&amp;REPT(" ",250),250)</f>
        <v/>
      </c>
      <c r="AD2270" s="10">
        <f>TEXT($G$2,"dd/mm/aaaa")</f>
        <v/>
      </c>
      <c r="AE2270" s="10">
        <f>REPT(" ",10)</f>
        <v/>
      </c>
      <c r="AF2270" s="10">
        <f>REPT(" ",20)</f>
        <v/>
      </c>
      <c r="AG2270" s="54">
        <f>REPT(" ",18-LEN(FIXED(F2270,2,TRUE)))&amp;FIXED(F2270,2,TRUE)</f>
        <v/>
      </c>
      <c r="AH2270" s="10">
        <f>LEN(AC2270)+LEN(AG2270)</f>
        <v/>
      </c>
      <c r="AI2270" s="10">
        <f>LEN(L2270)</f>
        <v/>
      </c>
    </row>
    <row r="2271">
      <c r="J2271" s="12">
        <f>IF(F2271&lt;&gt;0,"LANÇAR","")</f>
        <v/>
      </c>
      <c r="L2271" s="13">
        <f>N2271&amp;O2271&amp;P2271&amp;Q2271&amp;R2271&amp;S2271&amp;T2271&amp;U2271&amp;V2271&amp;W2271&amp;X2271&amp;Y2271&amp;Z2271&amp;AA2271&amp;AB2271&amp;AC2271&amp;AD2271&amp;AE2271&amp;AF2271&amp;AG2271</f>
        <v/>
      </c>
      <c r="N2271" s="10">
        <f>TEXT($B$6,"00")</f>
        <v/>
      </c>
      <c r="O2271" s="10">
        <f>REPT(" ",8)</f>
        <v/>
      </c>
      <c r="P2271" s="10">
        <f>RIGHT($B$4,2)</f>
        <v/>
      </c>
      <c r="Q2271" s="10">
        <f>RIGHT($B$5,3)</f>
        <v/>
      </c>
      <c r="R2271" s="10">
        <f>IF(A2271="D",LEFT(UPPER(B2271)&amp;REPT(" ",20),20),REPT(" ",20))</f>
        <v/>
      </c>
      <c r="S2271" s="10">
        <f>IF(A2271="D",LEFT(UPPER(C2271)&amp;REPT(" ",10),10)," ")</f>
        <v/>
      </c>
      <c r="T2271" s="10">
        <f>IF(A2271="D",LEFT(UPPER(D2271)&amp;REPT(" ",2),2)," ")</f>
        <v/>
      </c>
      <c r="U2271" s="10">
        <f>IF(A2271="D",LEFT(UPPER(E2271)&amp;REPT(" ",15),15)," ")</f>
        <v/>
      </c>
      <c r="V2271" s="10">
        <f>REPT(" ",24)</f>
        <v/>
      </c>
      <c r="W2271" s="10">
        <f>IF(A2271="c",LEFT(UPPER(B2271)&amp;REPT(" ",20),20),REPT(" ",20))</f>
        <v/>
      </c>
      <c r="X2271" s="10">
        <f>IF(A2271="C",LEFT(UPPER(C2271)&amp;REPT(" ",10),10)," ")</f>
        <v/>
      </c>
      <c r="Y2271" s="10">
        <f>IF(A2271="C",LEFT(UPPER(D2271)&amp;REPT(" ",2),2)," ")</f>
        <v/>
      </c>
      <c r="Z2271" s="10">
        <f>IF(A2271="C",LEFT(UPPER(E2271)&amp;REPT(" ",15),15)," ")</f>
        <v/>
      </c>
      <c r="AA2271" s="10">
        <f>REPT(" ",8)</f>
        <v/>
      </c>
      <c r="AB2271" s="10">
        <f>REPT(" ",4)</f>
        <v/>
      </c>
      <c r="AC2271" s="10">
        <f>LEFT(UPPER(H2271)&amp;REPT(" ",250),250)</f>
        <v/>
      </c>
      <c r="AD2271" s="10">
        <f>TEXT($G$2,"dd/mm/aaaa")</f>
        <v/>
      </c>
      <c r="AE2271" s="10">
        <f>REPT(" ",10)</f>
        <v/>
      </c>
      <c r="AF2271" s="10">
        <f>REPT(" ",20)</f>
        <v/>
      </c>
      <c r="AG2271" s="54">
        <f>REPT(" ",18-LEN(FIXED(F2271,2,TRUE)))&amp;FIXED(F2271,2,TRUE)</f>
        <v/>
      </c>
      <c r="AH2271" s="10">
        <f>LEN(AC2271)+LEN(AG2271)</f>
        <v/>
      </c>
      <c r="AI2271" s="10">
        <f>LEN(L2271)</f>
        <v/>
      </c>
    </row>
    <row r="2272">
      <c r="J2272" s="12">
        <f>IF(F2272&lt;&gt;0,"LANÇAR","")</f>
        <v/>
      </c>
      <c r="L2272" s="13">
        <f>N2272&amp;O2272&amp;P2272&amp;Q2272&amp;R2272&amp;S2272&amp;T2272&amp;U2272&amp;V2272&amp;W2272&amp;X2272&amp;Y2272&amp;Z2272&amp;AA2272&amp;AB2272&amp;AC2272&amp;AD2272&amp;AE2272&amp;AF2272&amp;AG2272</f>
        <v/>
      </c>
      <c r="N2272" s="10">
        <f>TEXT($B$6,"00")</f>
        <v/>
      </c>
      <c r="O2272" s="10">
        <f>REPT(" ",8)</f>
        <v/>
      </c>
      <c r="P2272" s="10">
        <f>RIGHT($B$4,2)</f>
        <v/>
      </c>
      <c r="Q2272" s="10">
        <f>RIGHT($B$5,3)</f>
        <v/>
      </c>
      <c r="R2272" s="10">
        <f>IF(A2272="D",LEFT(UPPER(B2272)&amp;REPT(" ",20),20),REPT(" ",20))</f>
        <v/>
      </c>
      <c r="S2272" s="10">
        <f>IF(A2272="D",LEFT(UPPER(C2272)&amp;REPT(" ",10),10)," ")</f>
        <v/>
      </c>
      <c r="T2272" s="10">
        <f>IF(A2272="D",LEFT(UPPER(D2272)&amp;REPT(" ",2),2)," ")</f>
        <v/>
      </c>
      <c r="U2272" s="10">
        <f>IF(A2272="D",LEFT(UPPER(E2272)&amp;REPT(" ",15),15)," ")</f>
        <v/>
      </c>
      <c r="V2272" s="10">
        <f>REPT(" ",24)</f>
        <v/>
      </c>
      <c r="W2272" s="10">
        <f>IF(A2272="c",LEFT(UPPER(B2272)&amp;REPT(" ",20),20),REPT(" ",20))</f>
        <v/>
      </c>
      <c r="X2272" s="10">
        <f>IF(A2272="C",LEFT(UPPER(C2272)&amp;REPT(" ",10),10)," ")</f>
        <v/>
      </c>
      <c r="Y2272" s="10">
        <f>IF(A2272="C",LEFT(UPPER(D2272)&amp;REPT(" ",2),2)," ")</f>
        <v/>
      </c>
      <c r="Z2272" s="10">
        <f>IF(A2272="C",LEFT(UPPER(E2272)&amp;REPT(" ",15),15)," ")</f>
        <v/>
      </c>
      <c r="AA2272" s="10">
        <f>REPT(" ",8)</f>
        <v/>
      </c>
      <c r="AB2272" s="10">
        <f>REPT(" ",4)</f>
        <v/>
      </c>
      <c r="AC2272" s="10">
        <f>LEFT(UPPER(H2272)&amp;REPT(" ",250),250)</f>
        <v/>
      </c>
      <c r="AD2272" s="10">
        <f>TEXT($G$2,"dd/mm/aaaa")</f>
        <v/>
      </c>
      <c r="AE2272" s="10">
        <f>REPT(" ",10)</f>
        <v/>
      </c>
      <c r="AF2272" s="10">
        <f>REPT(" ",20)</f>
        <v/>
      </c>
      <c r="AG2272" s="54">
        <f>REPT(" ",18-LEN(FIXED(F2272,2,TRUE)))&amp;FIXED(F2272,2,TRUE)</f>
        <v/>
      </c>
      <c r="AH2272" s="10">
        <f>LEN(AC2272)+LEN(AG2272)</f>
        <v/>
      </c>
      <c r="AI2272" s="10">
        <f>LEN(L2272)</f>
        <v/>
      </c>
    </row>
    <row r="2273">
      <c r="J2273" s="12">
        <f>IF(F2273&lt;&gt;0,"LANÇAR","")</f>
        <v/>
      </c>
      <c r="L2273" s="13">
        <f>N2273&amp;O2273&amp;P2273&amp;Q2273&amp;R2273&amp;S2273&amp;T2273&amp;U2273&amp;V2273&amp;W2273&amp;X2273&amp;Y2273&amp;Z2273&amp;AA2273&amp;AB2273&amp;AC2273&amp;AD2273&amp;AE2273&amp;AF2273&amp;AG2273</f>
        <v/>
      </c>
      <c r="N2273" s="10">
        <f>TEXT($B$6,"00")</f>
        <v/>
      </c>
      <c r="O2273" s="10">
        <f>REPT(" ",8)</f>
        <v/>
      </c>
      <c r="P2273" s="10">
        <f>RIGHT($B$4,2)</f>
        <v/>
      </c>
      <c r="Q2273" s="10">
        <f>RIGHT($B$5,3)</f>
        <v/>
      </c>
      <c r="R2273" s="10">
        <f>IF(A2273="D",LEFT(UPPER(B2273)&amp;REPT(" ",20),20),REPT(" ",20))</f>
        <v/>
      </c>
      <c r="S2273" s="10">
        <f>IF(A2273="D",LEFT(UPPER(C2273)&amp;REPT(" ",10),10)," ")</f>
        <v/>
      </c>
      <c r="T2273" s="10">
        <f>IF(A2273="D",LEFT(UPPER(D2273)&amp;REPT(" ",2),2)," ")</f>
        <v/>
      </c>
      <c r="U2273" s="10">
        <f>IF(A2273="D",LEFT(UPPER(E2273)&amp;REPT(" ",15),15)," ")</f>
        <v/>
      </c>
      <c r="V2273" s="10">
        <f>REPT(" ",24)</f>
        <v/>
      </c>
      <c r="W2273" s="10">
        <f>IF(A2273="c",LEFT(UPPER(B2273)&amp;REPT(" ",20),20),REPT(" ",20))</f>
        <v/>
      </c>
      <c r="X2273" s="10">
        <f>IF(A2273="C",LEFT(UPPER(C2273)&amp;REPT(" ",10),10)," ")</f>
        <v/>
      </c>
      <c r="Y2273" s="10">
        <f>IF(A2273="C",LEFT(UPPER(D2273)&amp;REPT(" ",2),2)," ")</f>
        <v/>
      </c>
      <c r="Z2273" s="10">
        <f>IF(A2273="C",LEFT(UPPER(E2273)&amp;REPT(" ",15),15)," ")</f>
        <v/>
      </c>
      <c r="AA2273" s="10">
        <f>REPT(" ",8)</f>
        <v/>
      </c>
      <c r="AB2273" s="10">
        <f>REPT(" ",4)</f>
        <v/>
      </c>
      <c r="AC2273" s="10">
        <f>LEFT(UPPER(H2273)&amp;REPT(" ",250),250)</f>
        <v/>
      </c>
      <c r="AD2273" s="10">
        <f>TEXT($G$2,"dd/mm/aaaa")</f>
        <v/>
      </c>
      <c r="AE2273" s="10">
        <f>REPT(" ",10)</f>
        <v/>
      </c>
      <c r="AF2273" s="10">
        <f>REPT(" ",20)</f>
        <v/>
      </c>
      <c r="AG2273" s="54">
        <f>REPT(" ",18-LEN(FIXED(F2273,2,TRUE)))&amp;FIXED(F2273,2,TRUE)</f>
        <v/>
      </c>
      <c r="AH2273" s="10">
        <f>LEN(AC2273)+LEN(AG2273)</f>
        <v/>
      </c>
      <c r="AI2273" s="10">
        <f>LEN(L2273)</f>
        <v/>
      </c>
    </row>
    <row r="2274">
      <c r="J2274" s="12">
        <f>IF(F2274&lt;&gt;0,"LANÇAR","")</f>
        <v/>
      </c>
      <c r="L2274" s="13">
        <f>N2274&amp;O2274&amp;P2274&amp;Q2274&amp;R2274&amp;S2274&amp;T2274&amp;U2274&amp;V2274&amp;W2274&amp;X2274&amp;Y2274&amp;Z2274&amp;AA2274&amp;AB2274&amp;AC2274&amp;AD2274&amp;AE2274&amp;AF2274&amp;AG2274</f>
        <v/>
      </c>
      <c r="N2274" s="10">
        <f>TEXT($B$6,"00")</f>
        <v/>
      </c>
      <c r="O2274" s="10">
        <f>REPT(" ",8)</f>
        <v/>
      </c>
      <c r="P2274" s="10">
        <f>RIGHT($B$4,2)</f>
        <v/>
      </c>
      <c r="Q2274" s="10">
        <f>RIGHT($B$5,3)</f>
        <v/>
      </c>
      <c r="R2274" s="10">
        <f>IF(A2274="D",LEFT(UPPER(B2274)&amp;REPT(" ",20),20),REPT(" ",20))</f>
        <v/>
      </c>
      <c r="S2274" s="10">
        <f>IF(A2274="D",LEFT(UPPER(C2274)&amp;REPT(" ",10),10)," ")</f>
        <v/>
      </c>
      <c r="T2274" s="10">
        <f>IF(A2274="D",LEFT(UPPER(D2274)&amp;REPT(" ",2),2)," ")</f>
        <v/>
      </c>
      <c r="U2274" s="10">
        <f>IF(A2274="D",LEFT(UPPER(E2274)&amp;REPT(" ",15),15)," ")</f>
        <v/>
      </c>
      <c r="V2274" s="10">
        <f>REPT(" ",24)</f>
        <v/>
      </c>
      <c r="W2274" s="10">
        <f>IF(A2274="c",LEFT(UPPER(B2274)&amp;REPT(" ",20),20),REPT(" ",20))</f>
        <v/>
      </c>
      <c r="X2274" s="10">
        <f>IF(A2274="C",LEFT(UPPER(C2274)&amp;REPT(" ",10),10)," ")</f>
        <v/>
      </c>
      <c r="Y2274" s="10">
        <f>IF(A2274="C",LEFT(UPPER(D2274)&amp;REPT(" ",2),2)," ")</f>
        <v/>
      </c>
      <c r="Z2274" s="10">
        <f>IF(A2274="C",LEFT(UPPER(E2274)&amp;REPT(" ",15),15)," ")</f>
        <v/>
      </c>
      <c r="AA2274" s="10">
        <f>REPT(" ",8)</f>
        <v/>
      </c>
      <c r="AB2274" s="10">
        <f>REPT(" ",4)</f>
        <v/>
      </c>
      <c r="AC2274" s="10">
        <f>LEFT(UPPER(H2274)&amp;REPT(" ",250),250)</f>
        <v/>
      </c>
      <c r="AD2274" s="10">
        <f>TEXT($G$2,"dd/mm/aaaa")</f>
        <v/>
      </c>
      <c r="AE2274" s="10">
        <f>REPT(" ",10)</f>
        <v/>
      </c>
      <c r="AF2274" s="10">
        <f>REPT(" ",20)</f>
        <v/>
      </c>
      <c r="AG2274" s="54">
        <f>REPT(" ",18-LEN(FIXED(F2274,2,TRUE)))&amp;FIXED(F2274,2,TRUE)</f>
        <v/>
      </c>
      <c r="AH2274" s="10">
        <f>LEN(AC2274)+LEN(AG2274)</f>
        <v/>
      </c>
      <c r="AI2274" s="10">
        <f>LEN(L2274)</f>
        <v/>
      </c>
    </row>
    <row r="2275">
      <c r="J2275" s="12">
        <f>IF(F2275&lt;&gt;0,"LANÇAR","")</f>
        <v/>
      </c>
      <c r="L2275" s="13">
        <f>N2275&amp;O2275&amp;P2275&amp;Q2275&amp;R2275&amp;S2275&amp;T2275&amp;U2275&amp;V2275&amp;W2275&amp;X2275&amp;Y2275&amp;Z2275&amp;AA2275&amp;AB2275&amp;AC2275&amp;AD2275&amp;AE2275&amp;AF2275&amp;AG2275</f>
        <v/>
      </c>
      <c r="N2275" s="10">
        <f>TEXT($B$6,"00")</f>
        <v/>
      </c>
      <c r="O2275" s="10">
        <f>REPT(" ",8)</f>
        <v/>
      </c>
      <c r="P2275" s="10">
        <f>RIGHT($B$4,2)</f>
        <v/>
      </c>
      <c r="Q2275" s="10">
        <f>RIGHT($B$5,3)</f>
        <v/>
      </c>
      <c r="R2275" s="10">
        <f>IF(A2275="D",LEFT(UPPER(B2275)&amp;REPT(" ",20),20),REPT(" ",20))</f>
        <v/>
      </c>
      <c r="S2275" s="10">
        <f>IF(A2275="D",LEFT(UPPER(C2275)&amp;REPT(" ",10),10)," ")</f>
        <v/>
      </c>
      <c r="T2275" s="10">
        <f>IF(A2275="D",LEFT(UPPER(D2275)&amp;REPT(" ",2),2)," ")</f>
        <v/>
      </c>
      <c r="U2275" s="10">
        <f>IF(A2275="D",LEFT(UPPER(E2275)&amp;REPT(" ",15),15)," ")</f>
        <v/>
      </c>
      <c r="V2275" s="10">
        <f>REPT(" ",24)</f>
        <v/>
      </c>
      <c r="W2275" s="10">
        <f>IF(A2275="c",LEFT(UPPER(B2275)&amp;REPT(" ",20),20),REPT(" ",20))</f>
        <v/>
      </c>
      <c r="X2275" s="10">
        <f>IF(A2275="C",LEFT(UPPER(C2275)&amp;REPT(" ",10),10)," ")</f>
        <v/>
      </c>
      <c r="Y2275" s="10">
        <f>IF(A2275="C",LEFT(UPPER(D2275)&amp;REPT(" ",2),2)," ")</f>
        <v/>
      </c>
      <c r="Z2275" s="10">
        <f>IF(A2275="C",LEFT(UPPER(E2275)&amp;REPT(" ",15),15)," ")</f>
        <v/>
      </c>
      <c r="AA2275" s="10">
        <f>REPT(" ",8)</f>
        <v/>
      </c>
      <c r="AB2275" s="10">
        <f>REPT(" ",4)</f>
        <v/>
      </c>
      <c r="AC2275" s="10">
        <f>LEFT(UPPER(H2275)&amp;REPT(" ",250),250)</f>
        <v/>
      </c>
      <c r="AD2275" s="10">
        <f>TEXT($G$2,"dd/mm/aaaa")</f>
        <v/>
      </c>
      <c r="AE2275" s="10">
        <f>REPT(" ",10)</f>
        <v/>
      </c>
      <c r="AF2275" s="10">
        <f>REPT(" ",20)</f>
        <v/>
      </c>
      <c r="AG2275" s="54">
        <f>REPT(" ",18-LEN(FIXED(F2275,2,TRUE)))&amp;FIXED(F2275,2,TRUE)</f>
        <v/>
      </c>
      <c r="AH2275" s="10">
        <f>LEN(AC2275)+LEN(AG2275)</f>
        <v/>
      </c>
      <c r="AI2275" s="10">
        <f>LEN(L2275)</f>
        <v/>
      </c>
    </row>
    <row r="2276">
      <c r="J2276" s="12">
        <f>IF(F2276&lt;&gt;0,"LANÇAR","")</f>
        <v/>
      </c>
      <c r="L2276" s="13">
        <f>N2276&amp;O2276&amp;P2276&amp;Q2276&amp;R2276&amp;S2276&amp;T2276&amp;U2276&amp;V2276&amp;W2276&amp;X2276&amp;Y2276&amp;Z2276&amp;AA2276&amp;AB2276&amp;AC2276&amp;AD2276&amp;AE2276&amp;AF2276&amp;AG2276</f>
        <v/>
      </c>
      <c r="N2276" s="10">
        <f>TEXT($B$6,"00")</f>
        <v/>
      </c>
      <c r="O2276" s="10">
        <f>REPT(" ",8)</f>
        <v/>
      </c>
      <c r="P2276" s="10">
        <f>RIGHT($B$4,2)</f>
        <v/>
      </c>
      <c r="Q2276" s="10">
        <f>RIGHT($B$5,3)</f>
        <v/>
      </c>
      <c r="R2276" s="10">
        <f>IF(A2276="D",LEFT(UPPER(B2276)&amp;REPT(" ",20),20),REPT(" ",20))</f>
        <v/>
      </c>
      <c r="S2276" s="10">
        <f>IF(A2276="D",LEFT(UPPER(C2276)&amp;REPT(" ",10),10)," ")</f>
        <v/>
      </c>
      <c r="T2276" s="10">
        <f>IF(A2276="D",LEFT(UPPER(D2276)&amp;REPT(" ",2),2)," ")</f>
        <v/>
      </c>
      <c r="U2276" s="10">
        <f>IF(A2276="D",LEFT(UPPER(E2276)&amp;REPT(" ",15),15)," ")</f>
        <v/>
      </c>
      <c r="V2276" s="10">
        <f>REPT(" ",24)</f>
        <v/>
      </c>
      <c r="W2276" s="10">
        <f>IF(A2276="c",LEFT(UPPER(B2276)&amp;REPT(" ",20),20),REPT(" ",20))</f>
        <v/>
      </c>
      <c r="X2276" s="10">
        <f>IF(A2276="C",LEFT(UPPER(C2276)&amp;REPT(" ",10),10)," ")</f>
        <v/>
      </c>
      <c r="Y2276" s="10">
        <f>IF(A2276="C",LEFT(UPPER(D2276)&amp;REPT(" ",2),2)," ")</f>
        <v/>
      </c>
      <c r="Z2276" s="10">
        <f>IF(A2276="C",LEFT(UPPER(E2276)&amp;REPT(" ",15),15)," ")</f>
        <v/>
      </c>
      <c r="AA2276" s="10">
        <f>REPT(" ",8)</f>
        <v/>
      </c>
      <c r="AB2276" s="10">
        <f>REPT(" ",4)</f>
        <v/>
      </c>
      <c r="AC2276" s="10">
        <f>LEFT(UPPER(H2276)&amp;REPT(" ",250),250)</f>
        <v/>
      </c>
      <c r="AD2276" s="10">
        <f>TEXT($G$2,"dd/mm/aaaa")</f>
        <v/>
      </c>
      <c r="AE2276" s="10">
        <f>REPT(" ",10)</f>
        <v/>
      </c>
      <c r="AF2276" s="10">
        <f>REPT(" ",20)</f>
        <v/>
      </c>
      <c r="AG2276" s="54">
        <f>REPT(" ",18-LEN(FIXED(F2276,2,TRUE)))&amp;FIXED(F2276,2,TRUE)</f>
        <v/>
      </c>
      <c r="AH2276" s="10">
        <f>LEN(AC2276)+LEN(AG2276)</f>
        <v/>
      </c>
      <c r="AI2276" s="10">
        <f>LEN(L2276)</f>
        <v/>
      </c>
    </row>
    <row r="2277">
      <c r="J2277" s="12">
        <f>IF(F2277&lt;&gt;0,"LANÇAR","")</f>
        <v/>
      </c>
      <c r="L2277" s="13">
        <f>N2277&amp;O2277&amp;P2277&amp;Q2277&amp;R2277&amp;S2277&amp;T2277&amp;U2277&amp;V2277&amp;W2277&amp;X2277&amp;Y2277&amp;Z2277&amp;AA2277&amp;AB2277&amp;AC2277&amp;AD2277&amp;AE2277&amp;AF2277&amp;AG2277</f>
        <v/>
      </c>
      <c r="N2277" s="10">
        <f>TEXT($B$6,"00")</f>
        <v/>
      </c>
      <c r="O2277" s="10">
        <f>REPT(" ",8)</f>
        <v/>
      </c>
      <c r="P2277" s="10">
        <f>RIGHT($B$4,2)</f>
        <v/>
      </c>
      <c r="Q2277" s="10">
        <f>RIGHT($B$5,3)</f>
        <v/>
      </c>
      <c r="R2277" s="10">
        <f>IF(A2277="D",LEFT(UPPER(B2277)&amp;REPT(" ",20),20),REPT(" ",20))</f>
        <v/>
      </c>
      <c r="S2277" s="10">
        <f>IF(A2277="D",LEFT(UPPER(C2277)&amp;REPT(" ",10),10)," ")</f>
        <v/>
      </c>
      <c r="T2277" s="10">
        <f>IF(A2277="D",LEFT(UPPER(D2277)&amp;REPT(" ",2),2)," ")</f>
        <v/>
      </c>
      <c r="U2277" s="10">
        <f>IF(A2277="D",LEFT(UPPER(E2277)&amp;REPT(" ",15),15)," ")</f>
        <v/>
      </c>
      <c r="V2277" s="10">
        <f>REPT(" ",24)</f>
        <v/>
      </c>
      <c r="W2277" s="10">
        <f>IF(A2277="c",LEFT(UPPER(B2277)&amp;REPT(" ",20),20),REPT(" ",20))</f>
        <v/>
      </c>
      <c r="X2277" s="10">
        <f>IF(A2277="C",LEFT(UPPER(C2277)&amp;REPT(" ",10),10)," ")</f>
        <v/>
      </c>
      <c r="Y2277" s="10">
        <f>IF(A2277="C",LEFT(UPPER(D2277)&amp;REPT(" ",2),2)," ")</f>
        <v/>
      </c>
      <c r="Z2277" s="10">
        <f>IF(A2277="C",LEFT(UPPER(E2277)&amp;REPT(" ",15),15)," ")</f>
        <v/>
      </c>
      <c r="AA2277" s="10">
        <f>REPT(" ",8)</f>
        <v/>
      </c>
      <c r="AB2277" s="10">
        <f>REPT(" ",4)</f>
        <v/>
      </c>
      <c r="AC2277" s="10">
        <f>LEFT(UPPER(H2277)&amp;REPT(" ",250),250)</f>
        <v/>
      </c>
      <c r="AD2277" s="10">
        <f>TEXT($G$2,"dd/mm/aaaa")</f>
        <v/>
      </c>
      <c r="AE2277" s="10">
        <f>REPT(" ",10)</f>
        <v/>
      </c>
      <c r="AF2277" s="10">
        <f>REPT(" ",20)</f>
        <v/>
      </c>
      <c r="AG2277" s="54">
        <f>REPT(" ",18-LEN(FIXED(F2277,2,TRUE)))&amp;FIXED(F2277,2,TRUE)</f>
        <v/>
      </c>
      <c r="AH2277" s="10">
        <f>LEN(AC2277)+LEN(AG2277)</f>
        <v/>
      </c>
      <c r="AI2277" s="10">
        <f>LEN(L2277)</f>
        <v/>
      </c>
    </row>
    <row r="2278">
      <c r="J2278" s="12">
        <f>IF(F2278&lt;&gt;0,"LANÇAR","")</f>
        <v/>
      </c>
      <c r="L2278" s="13">
        <f>N2278&amp;O2278&amp;P2278&amp;Q2278&amp;R2278&amp;S2278&amp;T2278&amp;U2278&amp;V2278&amp;W2278&amp;X2278&amp;Y2278&amp;Z2278&amp;AA2278&amp;AB2278&amp;AC2278&amp;AD2278&amp;AE2278&amp;AF2278&amp;AG2278</f>
        <v/>
      </c>
      <c r="N2278" s="10">
        <f>TEXT($B$6,"00")</f>
        <v/>
      </c>
      <c r="O2278" s="10">
        <f>REPT(" ",8)</f>
        <v/>
      </c>
      <c r="P2278" s="10">
        <f>RIGHT($B$4,2)</f>
        <v/>
      </c>
      <c r="Q2278" s="10">
        <f>RIGHT($B$5,3)</f>
        <v/>
      </c>
      <c r="R2278" s="10">
        <f>IF(A2278="D",LEFT(UPPER(B2278)&amp;REPT(" ",20),20),REPT(" ",20))</f>
        <v/>
      </c>
      <c r="S2278" s="10">
        <f>IF(A2278="D",LEFT(UPPER(C2278)&amp;REPT(" ",10),10)," ")</f>
        <v/>
      </c>
      <c r="T2278" s="10">
        <f>IF(A2278="D",LEFT(UPPER(D2278)&amp;REPT(" ",2),2)," ")</f>
        <v/>
      </c>
      <c r="U2278" s="10">
        <f>IF(A2278="D",LEFT(UPPER(E2278)&amp;REPT(" ",15),15)," ")</f>
        <v/>
      </c>
      <c r="V2278" s="10">
        <f>REPT(" ",24)</f>
        <v/>
      </c>
      <c r="W2278" s="10">
        <f>IF(A2278="c",LEFT(UPPER(B2278)&amp;REPT(" ",20),20),REPT(" ",20))</f>
        <v/>
      </c>
      <c r="X2278" s="10">
        <f>IF(A2278="C",LEFT(UPPER(C2278)&amp;REPT(" ",10),10)," ")</f>
        <v/>
      </c>
      <c r="Y2278" s="10">
        <f>IF(A2278="C",LEFT(UPPER(D2278)&amp;REPT(" ",2),2)," ")</f>
        <v/>
      </c>
      <c r="Z2278" s="10">
        <f>IF(A2278="C",LEFT(UPPER(E2278)&amp;REPT(" ",15),15)," ")</f>
        <v/>
      </c>
      <c r="AA2278" s="10">
        <f>REPT(" ",8)</f>
        <v/>
      </c>
      <c r="AB2278" s="10">
        <f>REPT(" ",4)</f>
        <v/>
      </c>
      <c r="AC2278" s="10">
        <f>LEFT(UPPER(H2278)&amp;REPT(" ",250),250)</f>
        <v/>
      </c>
      <c r="AD2278" s="10">
        <f>TEXT($G$2,"dd/mm/aaaa")</f>
        <v/>
      </c>
      <c r="AE2278" s="10">
        <f>REPT(" ",10)</f>
        <v/>
      </c>
      <c r="AF2278" s="10">
        <f>REPT(" ",20)</f>
        <v/>
      </c>
      <c r="AG2278" s="54">
        <f>REPT(" ",18-LEN(FIXED(F2278,2,TRUE)))&amp;FIXED(F2278,2,TRUE)</f>
        <v/>
      </c>
      <c r="AH2278" s="10">
        <f>LEN(AC2278)+LEN(AG2278)</f>
        <v/>
      </c>
      <c r="AI2278" s="10">
        <f>LEN(L2278)</f>
        <v/>
      </c>
    </row>
    <row r="2279">
      <c r="J2279" s="12">
        <f>IF(F2279&lt;&gt;0,"LANÇAR","")</f>
        <v/>
      </c>
      <c r="L2279" s="13">
        <f>N2279&amp;O2279&amp;P2279&amp;Q2279&amp;R2279&amp;S2279&amp;T2279&amp;U2279&amp;V2279&amp;W2279&amp;X2279&amp;Y2279&amp;Z2279&amp;AA2279&amp;AB2279&amp;AC2279&amp;AD2279&amp;AE2279&amp;AF2279&amp;AG2279</f>
        <v/>
      </c>
      <c r="N2279" s="10">
        <f>TEXT($B$6,"00")</f>
        <v/>
      </c>
      <c r="O2279" s="10">
        <f>REPT(" ",8)</f>
        <v/>
      </c>
      <c r="P2279" s="10">
        <f>RIGHT($B$4,2)</f>
        <v/>
      </c>
      <c r="Q2279" s="10">
        <f>RIGHT($B$5,3)</f>
        <v/>
      </c>
      <c r="R2279" s="10">
        <f>IF(A2279="D",LEFT(UPPER(B2279)&amp;REPT(" ",20),20),REPT(" ",20))</f>
        <v/>
      </c>
      <c r="S2279" s="10">
        <f>IF(A2279="D",LEFT(UPPER(C2279)&amp;REPT(" ",10),10)," ")</f>
        <v/>
      </c>
      <c r="T2279" s="10">
        <f>IF(A2279="D",LEFT(UPPER(D2279)&amp;REPT(" ",2),2)," ")</f>
        <v/>
      </c>
      <c r="U2279" s="10">
        <f>IF(A2279="D",LEFT(UPPER(E2279)&amp;REPT(" ",15),15)," ")</f>
        <v/>
      </c>
      <c r="V2279" s="10">
        <f>REPT(" ",24)</f>
        <v/>
      </c>
      <c r="W2279" s="10">
        <f>IF(A2279="c",LEFT(UPPER(B2279)&amp;REPT(" ",20),20),REPT(" ",20))</f>
        <v/>
      </c>
      <c r="X2279" s="10">
        <f>IF(A2279="C",LEFT(UPPER(C2279)&amp;REPT(" ",10),10)," ")</f>
        <v/>
      </c>
      <c r="Y2279" s="10">
        <f>IF(A2279="C",LEFT(UPPER(D2279)&amp;REPT(" ",2),2)," ")</f>
        <v/>
      </c>
      <c r="Z2279" s="10">
        <f>IF(A2279="C",LEFT(UPPER(E2279)&amp;REPT(" ",15),15)," ")</f>
        <v/>
      </c>
      <c r="AA2279" s="10">
        <f>REPT(" ",8)</f>
        <v/>
      </c>
      <c r="AB2279" s="10">
        <f>REPT(" ",4)</f>
        <v/>
      </c>
      <c r="AC2279" s="10">
        <f>LEFT(UPPER(H2279)&amp;REPT(" ",250),250)</f>
        <v/>
      </c>
      <c r="AD2279" s="10">
        <f>TEXT($G$2,"dd/mm/aaaa")</f>
        <v/>
      </c>
      <c r="AE2279" s="10">
        <f>REPT(" ",10)</f>
        <v/>
      </c>
      <c r="AF2279" s="10">
        <f>REPT(" ",20)</f>
        <v/>
      </c>
      <c r="AG2279" s="54">
        <f>REPT(" ",18-LEN(FIXED(F2279,2,TRUE)))&amp;FIXED(F2279,2,TRUE)</f>
        <v/>
      </c>
      <c r="AH2279" s="10">
        <f>LEN(AC2279)+LEN(AG2279)</f>
        <v/>
      </c>
      <c r="AI2279" s="10">
        <f>LEN(L2279)</f>
        <v/>
      </c>
    </row>
    <row r="2280">
      <c r="J2280" s="12">
        <f>IF(F2280&lt;&gt;0,"LANÇAR","")</f>
        <v/>
      </c>
      <c r="L2280" s="13">
        <f>N2280&amp;O2280&amp;P2280&amp;Q2280&amp;R2280&amp;S2280&amp;T2280&amp;U2280&amp;V2280&amp;W2280&amp;X2280&amp;Y2280&amp;Z2280&amp;AA2280&amp;AB2280&amp;AC2280&amp;AD2280&amp;AE2280&amp;AF2280&amp;AG2280</f>
        <v/>
      </c>
      <c r="N2280" s="10">
        <f>TEXT($B$6,"00")</f>
        <v/>
      </c>
      <c r="O2280" s="10">
        <f>REPT(" ",8)</f>
        <v/>
      </c>
      <c r="P2280" s="10">
        <f>RIGHT($B$4,2)</f>
        <v/>
      </c>
      <c r="Q2280" s="10">
        <f>RIGHT($B$5,3)</f>
        <v/>
      </c>
      <c r="R2280" s="10">
        <f>IF(A2280="D",LEFT(UPPER(B2280)&amp;REPT(" ",20),20),REPT(" ",20))</f>
        <v/>
      </c>
      <c r="S2280" s="10">
        <f>IF(A2280="D",LEFT(UPPER(C2280)&amp;REPT(" ",10),10)," ")</f>
        <v/>
      </c>
      <c r="T2280" s="10">
        <f>IF(A2280="D",LEFT(UPPER(D2280)&amp;REPT(" ",2),2)," ")</f>
        <v/>
      </c>
      <c r="U2280" s="10">
        <f>IF(A2280="D",LEFT(UPPER(E2280)&amp;REPT(" ",15),15)," ")</f>
        <v/>
      </c>
      <c r="V2280" s="10">
        <f>REPT(" ",24)</f>
        <v/>
      </c>
      <c r="W2280" s="10">
        <f>IF(A2280="c",LEFT(UPPER(B2280)&amp;REPT(" ",20),20),REPT(" ",20))</f>
        <v/>
      </c>
      <c r="X2280" s="10">
        <f>IF(A2280="C",LEFT(UPPER(C2280)&amp;REPT(" ",10),10)," ")</f>
        <v/>
      </c>
      <c r="Y2280" s="10">
        <f>IF(A2280="C",LEFT(UPPER(D2280)&amp;REPT(" ",2),2)," ")</f>
        <v/>
      </c>
      <c r="Z2280" s="10">
        <f>IF(A2280="C",LEFT(UPPER(E2280)&amp;REPT(" ",15),15)," ")</f>
        <v/>
      </c>
      <c r="AA2280" s="10">
        <f>REPT(" ",8)</f>
        <v/>
      </c>
      <c r="AB2280" s="10">
        <f>REPT(" ",4)</f>
        <v/>
      </c>
      <c r="AC2280" s="10">
        <f>LEFT(UPPER(H2280)&amp;REPT(" ",250),250)</f>
        <v/>
      </c>
      <c r="AD2280" s="10">
        <f>TEXT($G$2,"dd/mm/aaaa")</f>
        <v/>
      </c>
      <c r="AE2280" s="10">
        <f>REPT(" ",10)</f>
        <v/>
      </c>
      <c r="AF2280" s="10">
        <f>REPT(" ",20)</f>
        <v/>
      </c>
      <c r="AG2280" s="54">
        <f>REPT(" ",18-LEN(FIXED(F2280,2,TRUE)))&amp;FIXED(F2280,2,TRUE)</f>
        <v/>
      </c>
      <c r="AH2280" s="10">
        <f>LEN(AC2280)+LEN(AG2280)</f>
        <v/>
      </c>
      <c r="AI2280" s="10">
        <f>LEN(L2280)</f>
        <v/>
      </c>
    </row>
    <row r="2281">
      <c r="J2281" s="12">
        <f>IF(F2281&lt;&gt;0,"LANÇAR","")</f>
        <v/>
      </c>
      <c r="L2281" s="13">
        <f>N2281&amp;O2281&amp;P2281&amp;Q2281&amp;R2281&amp;S2281&amp;T2281&amp;U2281&amp;V2281&amp;W2281&amp;X2281&amp;Y2281&amp;Z2281&amp;AA2281&amp;AB2281&amp;AC2281&amp;AD2281&amp;AE2281&amp;AF2281&amp;AG2281</f>
        <v/>
      </c>
      <c r="N2281" s="10">
        <f>TEXT($B$6,"00")</f>
        <v/>
      </c>
      <c r="O2281" s="10">
        <f>REPT(" ",8)</f>
        <v/>
      </c>
      <c r="P2281" s="10">
        <f>RIGHT($B$4,2)</f>
        <v/>
      </c>
      <c r="Q2281" s="10">
        <f>RIGHT($B$5,3)</f>
        <v/>
      </c>
      <c r="R2281" s="10">
        <f>IF(A2281="D",LEFT(UPPER(B2281)&amp;REPT(" ",20),20),REPT(" ",20))</f>
        <v/>
      </c>
      <c r="S2281" s="10">
        <f>IF(A2281="D",LEFT(UPPER(C2281)&amp;REPT(" ",10),10)," ")</f>
        <v/>
      </c>
      <c r="T2281" s="10">
        <f>IF(A2281="D",LEFT(UPPER(D2281)&amp;REPT(" ",2),2)," ")</f>
        <v/>
      </c>
      <c r="U2281" s="10">
        <f>IF(A2281="D",LEFT(UPPER(E2281)&amp;REPT(" ",15),15)," ")</f>
        <v/>
      </c>
      <c r="V2281" s="10">
        <f>REPT(" ",24)</f>
        <v/>
      </c>
      <c r="W2281" s="10">
        <f>IF(A2281="c",LEFT(UPPER(B2281)&amp;REPT(" ",20),20),REPT(" ",20))</f>
        <v/>
      </c>
      <c r="X2281" s="10">
        <f>IF(A2281="C",LEFT(UPPER(C2281)&amp;REPT(" ",10),10)," ")</f>
        <v/>
      </c>
      <c r="Y2281" s="10">
        <f>IF(A2281="C",LEFT(UPPER(D2281)&amp;REPT(" ",2),2)," ")</f>
        <v/>
      </c>
      <c r="Z2281" s="10">
        <f>IF(A2281="C",LEFT(UPPER(E2281)&amp;REPT(" ",15),15)," ")</f>
        <v/>
      </c>
      <c r="AA2281" s="10">
        <f>REPT(" ",8)</f>
        <v/>
      </c>
      <c r="AB2281" s="10">
        <f>REPT(" ",4)</f>
        <v/>
      </c>
      <c r="AC2281" s="10">
        <f>LEFT(UPPER(H2281)&amp;REPT(" ",250),250)</f>
        <v/>
      </c>
      <c r="AD2281" s="10">
        <f>TEXT($G$2,"dd/mm/aaaa")</f>
        <v/>
      </c>
      <c r="AE2281" s="10">
        <f>REPT(" ",10)</f>
        <v/>
      </c>
      <c r="AF2281" s="10">
        <f>REPT(" ",20)</f>
        <v/>
      </c>
      <c r="AG2281" s="54">
        <f>REPT(" ",18-LEN(FIXED(F2281,2,TRUE)))&amp;FIXED(F2281,2,TRUE)</f>
        <v/>
      </c>
      <c r="AH2281" s="10">
        <f>LEN(AC2281)+LEN(AG2281)</f>
        <v/>
      </c>
      <c r="AI2281" s="10">
        <f>LEN(L2281)</f>
        <v/>
      </c>
    </row>
    <row r="2282">
      <c r="J2282" s="12">
        <f>IF(F2282&lt;&gt;0,"LANÇAR","")</f>
        <v/>
      </c>
      <c r="L2282" s="13">
        <f>N2282&amp;O2282&amp;P2282&amp;Q2282&amp;R2282&amp;S2282&amp;T2282&amp;U2282&amp;V2282&amp;W2282&amp;X2282&amp;Y2282&amp;Z2282&amp;AA2282&amp;AB2282&amp;AC2282&amp;AD2282&amp;AE2282&amp;AF2282&amp;AG2282</f>
        <v/>
      </c>
      <c r="N2282" s="10">
        <f>TEXT($B$6,"00")</f>
        <v/>
      </c>
      <c r="O2282" s="10">
        <f>REPT(" ",8)</f>
        <v/>
      </c>
      <c r="P2282" s="10">
        <f>RIGHT($B$4,2)</f>
        <v/>
      </c>
      <c r="Q2282" s="10">
        <f>RIGHT($B$5,3)</f>
        <v/>
      </c>
      <c r="R2282" s="10">
        <f>IF(A2282="D",LEFT(UPPER(B2282)&amp;REPT(" ",20),20),REPT(" ",20))</f>
        <v/>
      </c>
      <c r="S2282" s="10">
        <f>IF(A2282="D",LEFT(UPPER(C2282)&amp;REPT(" ",10),10)," ")</f>
        <v/>
      </c>
      <c r="T2282" s="10">
        <f>IF(A2282="D",LEFT(UPPER(D2282)&amp;REPT(" ",2),2)," ")</f>
        <v/>
      </c>
      <c r="U2282" s="10">
        <f>IF(A2282="D",LEFT(UPPER(E2282)&amp;REPT(" ",15),15)," ")</f>
        <v/>
      </c>
      <c r="V2282" s="10">
        <f>REPT(" ",24)</f>
        <v/>
      </c>
      <c r="W2282" s="10">
        <f>IF(A2282="c",LEFT(UPPER(B2282)&amp;REPT(" ",20),20),REPT(" ",20))</f>
        <v/>
      </c>
      <c r="X2282" s="10">
        <f>IF(A2282="C",LEFT(UPPER(C2282)&amp;REPT(" ",10),10)," ")</f>
        <v/>
      </c>
      <c r="Y2282" s="10">
        <f>IF(A2282="C",LEFT(UPPER(D2282)&amp;REPT(" ",2),2)," ")</f>
        <v/>
      </c>
      <c r="Z2282" s="10">
        <f>IF(A2282="C",LEFT(UPPER(E2282)&amp;REPT(" ",15),15)," ")</f>
        <v/>
      </c>
      <c r="AA2282" s="10">
        <f>REPT(" ",8)</f>
        <v/>
      </c>
      <c r="AB2282" s="10">
        <f>REPT(" ",4)</f>
        <v/>
      </c>
      <c r="AC2282" s="10">
        <f>LEFT(UPPER(H2282)&amp;REPT(" ",250),250)</f>
        <v/>
      </c>
      <c r="AD2282" s="10">
        <f>TEXT($G$2,"dd/mm/aaaa")</f>
        <v/>
      </c>
      <c r="AE2282" s="10">
        <f>REPT(" ",10)</f>
        <v/>
      </c>
      <c r="AF2282" s="10">
        <f>REPT(" ",20)</f>
        <v/>
      </c>
      <c r="AG2282" s="54">
        <f>REPT(" ",18-LEN(FIXED(F2282,2,TRUE)))&amp;FIXED(F2282,2,TRUE)</f>
        <v/>
      </c>
      <c r="AH2282" s="10">
        <f>LEN(AC2282)+LEN(AG2282)</f>
        <v/>
      </c>
      <c r="AI2282" s="10">
        <f>LEN(L2282)</f>
        <v/>
      </c>
    </row>
    <row r="2283">
      <c r="J2283" s="12">
        <f>IF(F2283&lt;&gt;0,"LANÇAR","")</f>
        <v/>
      </c>
      <c r="L2283" s="13">
        <f>N2283&amp;O2283&amp;P2283&amp;Q2283&amp;R2283&amp;S2283&amp;T2283&amp;U2283&amp;V2283&amp;W2283&amp;X2283&amp;Y2283&amp;Z2283&amp;AA2283&amp;AB2283&amp;AC2283&amp;AD2283&amp;AE2283&amp;AF2283&amp;AG2283</f>
        <v/>
      </c>
      <c r="N2283" s="10">
        <f>TEXT($B$6,"00")</f>
        <v/>
      </c>
      <c r="O2283" s="10">
        <f>REPT(" ",8)</f>
        <v/>
      </c>
      <c r="P2283" s="10">
        <f>RIGHT($B$4,2)</f>
        <v/>
      </c>
      <c r="Q2283" s="10">
        <f>RIGHT($B$5,3)</f>
        <v/>
      </c>
      <c r="R2283" s="10">
        <f>IF(A2283="D",LEFT(UPPER(B2283)&amp;REPT(" ",20),20),REPT(" ",20))</f>
        <v/>
      </c>
      <c r="S2283" s="10">
        <f>IF(A2283="D",LEFT(UPPER(C2283)&amp;REPT(" ",10),10)," ")</f>
        <v/>
      </c>
      <c r="T2283" s="10">
        <f>IF(A2283="D",LEFT(UPPER(D2283)&amp;REPT(" ",2),2)," ")</f>
        <v/>
      </c>
      <c r="U2283" s="10">
        <f>IF(A2283="D",LEFT(UPPER(E2283)&amp;REPT(" ",15),15)," ")</f>
        <v/>
      </c>
      <c r="V2283" s="10">
        <f>REPT(" ",24)</f>
        <v/>
      </c>
      <c r="W2283" s="10">
        <f>IF(A2283="c",LEFT(UPPER(B2283)&amp;REPT(" ",20),20),REPT(" ",20))</f>
        <v/>
      </c>
      <c r="X2283" s="10">
        <f>IF(A2283="C",LEFT(UPPER(C2283)&amp;REPT(" ",10),10)," ")</f>
        <v/>
      </c>
      <c r="Y2283" s="10">
        <f>IF(A2283="C",LEFT(UPPER(D2283)&amp;REPT(" ",2),2)," ")</f>
        <v/>
      </c>
      <c r="Z2283" s="10">
        <f>IF(A2283="C",LEFT(UPPER(E2283)&amp;REPT(" ",15),15)," ")</f>
        <v/>
      </c>
      <c r="AA2283" s="10">
        <f>REPT(" ",8)</f>
        <v/>
      </c>
      <c r="AB2283" s="10">
        <f>REPT(" ",4)</f>
        <v/>
      </c>
      <c r="AC2283" s="10">
        <f>LEFT(UPPER(H2283)&amp;REPT(" ",250),250)</f>
        <v/>
      </c>
      <c r="AD2283" s="10">
        <f>TEXT($G$2,"dd/mm/aaaa")</f>
        <v/>
      </c>
      <c r="AE2283" s="10">
        <f>REPT(" ",10)</f>
        <v/>
      </c>
      <c r="AF2283" s="10">
        <f>REPT(" ",20)</f>
        <v/>
      </c>
      <c r="AG2283" s="54">
        <f>REPT(" ",18-LEN(FIXED(F2283,2,TRUE)))&amp;FIXED(F2283,2,TRUE)</f>
        <v/>
      </c>
      <c r="AH2283" s="10">
        <f>LEN(AC2283)+LEN(AG2283)</f>
        <v/>
      </c>
      <c r="AI2283" s="10">
        <f>LEN(L2283)</f>
        <v/>
      </c>
    </row>
    <row r="2284">
      <c r="J2284" s="12">
        <f>IF(F2284&lt;&gt;0,"LANÇAR","")</f>
        <v/>
      </c>
      <c r="L2284" s="13">
        <f>N2284&amp;O2284&amp;P2284&amp;Q2284&amp;R2284&amp;S2284&amp;T2284&amp;U2284&amp;V2284&amp;W2284&amp;X2284&amp;Y2284&amp;Z2284&amp;AA2284&amp;AB2284&amp;AC2284&amp;AD2284&amp;AE2284&amp;AF2284&amp;AG2284</f>
        <v/>
      </c>
      <c r="N2284" s="10">
        <f>TEXT($B$6,"00")</f>
        <v/>
      </c>
      <c r="O2284" s="10">
        <f>REPT(" ",8)</f>
        <v/>
      </c>
      <c r="P2284" s="10">
        <f>RIGHT($B$4,2)</f>
        <v/>
      </c>
      <c r="Q2284" s="10">
        <f>RIGHT($B$5,3)</f>
        <v/>
      </c>
      <c r="R2284" s="10">
        <f>IF(A2284="D",LEFT(UPPER(B2284)&amp;REPT(" ",20),20),REPT(" ",20))</f>
        <v/>
      </c>
      <c r="S2284" s="10">
        <f>IF(A2284="D",LEFT(UPPER(C2284)&amp;REPT(" ",10),10)," ")</f>
        <v/>
      </c>
      <c r="T2284" s="10">
        <f>IF(A2284="D",LEFT(UPPER(D2284)&amp;REPT(" ",2),2)," ")</f>
        <v/>
      </c>
      <c r="U2284" s="10">
        <f>IF(A2284="D",LEFT(UPPER(E2284)&amp;REPT(" ",15),15)," ")</f>
        <v/>
      </c>
      <c r="V2284" s="10">
        <f>REPT(" ",24)</f>
        <v/>
      </c>
      <c r="W2284" s="10">
        <f>IF(A2284="c",LEFT(UPPER(B2284)&amp;REPT(" ",20),20),REPT(" ",20))</f>
        <v/>
      </c>
      <c r="X2284" s="10">
        <f>IF(A2284="C",LEFT(UPPER(C2284)&amp;REPT(" ",10),10)," ")</f>
        <v/>
      </c>
      <c r="Y2284" s="10">
        <f>IF(A2284="C",LEFT(UPPER(D2284)&amp;REPT(" ",2),2)," ")</f>
        <v/>
      </c>
      <c r="Z2284" s="10">
        <f>IF(A2284="C",LEFT(UPPER(E2284)&amp;REPT(" ",15),15)," ")</f>
        <v/>
      </c>
      <c r="AA2284" s="10">
        <f>REPT(" ",8)</f>
        <v/>
      </c>
      <c r="AB2284" s="10">
        <f>REPT(" ",4)</f>
        <v/>
      </c>
      <c r="AC2284" s="10">
        <f>LEFT(UPPER(H2284)&amp;REPT(" ",250),250)</f>
        <v/>
      </c>
      <c r="AD2284" s="10">
        <f>TEXT($G$2,"dd/mm/aaaa")</f>
        <v/>
      </c>
      <c r="AE2284" s="10">
        <f>REPT(" ",10)</f>
        <v/>
      </c>
      <c r="AF2284" s="10">
        <f>REPT(" ",20)</f>
        <v/>
      </c>
      <c r="AG2284" s="54">
        <f>REPT(" ",18-LEN(FIXED(F2284,2,TRUE)))&amp;FIXED(F2284,2,TRUE)</f>
        <v/>
      </c>
      <c r="AH2284" s="10">
        <f>LEN(AC2284)+LEN(AG2284)</f>
        <v/>
      </c>
      <c r="AI2284" s="10">
        <f>LEN(L2284)</f>
        <v/>
      </c>
    </row>
    <row r="2285">
      <c r="J2285" s="12">
        <f>IF(F2285&lt;&gt;0,"LANÇAR","")</f>
        <v/>
      </c>
      <c r="L2285" s="13">
        <f>N2285&amp;O2285&amp;P2285&amp;Q2285&amp;R2285&amp;S2285&amp;T2285&amp;U2285&amp;V2285&amp;W2285&amp;X2285&amp;Y2285&amp;Z2285&amp;AA2285&amp;AB2285&amp;AC2285&amp;AD2285&amp;AE2285&amp;AF2285&amp;AG2285</f>
        <v/>
      </c>
      <c r="N2285" s="10">
        <f>TEXT($B$6,"00")</f>
        <v/>
      </c>
      <c r="O2285" s="10">
        <f>REPT(" ",8)</f>
        <v/>
      </c>
      <c r="P2285" s="10">
        <f>RIGHT($B$4,2)</f>
        <v/>
      </c>
      <c r="Q2285" s="10">
        <f>RIGHT($B$5,3)</f>
        <v/>
      </c>
      <c r="R2285" s="10">
        <f>IF(A2285="D",LEFT(UPPER(B2285)&amp;REPT(" ",20),20),REPT(" ",20))</f>
        <v/>
      </c>
      <c r="S2285" s="10">
        <f>IF(A2285="D",LEFT(UPPER(C2285)&amp;REPT(" ",10),10)," ")</f>
        <v/>
      </c>
      <c r="T2285" s="10">
        <f>IF(A2285="D",LEFT(UPPER(D2285)&amp;REPT(" ",2),2)," ")</f>
        <v/>
      </c>
      <c r="U2285" s="10">
        <f>IF(A2285="D",LEFT(UPPER(E2285)&amp;REPT(" ",15),15)," ")</f>
        <v/>
      </c>
      <c r="V2285" s="10">
        <f>REPT(" ",24)</f>
        <v/>
      </c>
      <c r="W2285" s="10">
        <f>IF(A2285="c",LEFT(UPPER(B2285)&amp;REPT(" ",20),20),REPT(" ",20))</f>
        <v/>
      </c>
      <c r="X2285" s="10">
        <f>IF(A2285="C",LEFT(UPPER(C2285)&amp;REPT(" ",10),10)," ")</f>
        <v/>
      </c>
      <c r="Y2285" s="10">
        <f>IF(A2285="C",LEFT(UPPER(D2285)&amp;REPT(" ",2),2)," ")</f>
        <v/>
      </c>
      <c r="Z2285" s="10">
        <f>IF(A2285="C",LEFT(UPPER(E2285)&amp;REPT(" ",15),15)," ")</f>
        <v/>
      </c>
      <c r="AA2285" s="10">
        <f>REPT(" ",8)</f>
        <v/>
      </c>
      <c r="AB2285" s="10">
        <f>REPT(" ",4)</f>
        <v/>
      </c>
      <c r="AC2285" s="10">
        <f>LEFT(UPPER(H2285)&amp;REPT(" ",250),250)</f>
        <v/>
      </c>
      <c r="AD2285" s="10">
        <f>TEXT($G$2,"dd/mm/aaaa")</f>
        <v/>
      </c>
      <c r="AE2285" s="10">
        <f>REPT(" ",10)</f>
        <v/>
      </c>
      <c r="AF2285" s="10">
        <f>REPT(" ",20)</f>
        <v/>
      </c>
      <c r="AG2285" s="54">
        <f>REPT(" ",18-LEN(FIXED(F2285,2,TRUE)))&amp;FIXED(F2285,2,TRUE)</f>
        <v/>
      </c>
      <c r="AH2285" s="10">
        <f>LEN(AC2285)+LEN(AG2285)</f>
        <v/>
      </c>
      <c r="AI2285" s="10">
        <f>LEN(L2285)</f>
        <v/>
      </c>
    </row>
    <row r="2286">
      <c r="J2286" s="12">
        <f>IF(F2286&lt;&gt;0,"LANÇAR","")</f>
        <v/>
      </c>
      <c r="L2286" s="13">
        <f>N2286&amp;O2286&amp;P2286&amp;Q2286&amp;R2286&amp;S2286&amp;T2286&amp;U2286&amp;V2286&amp;W2286&amp;X2286&amp;Y2286&amp;Z2286&amp;AA2286&amp;AB2286&amp;AC2286&amp;AD2286&amp;AE2286&amp;AF2286&amp;AG2286</f>
        <v/>
      </c>
      <c r="N2286" s="10">
        <f>TEXT($B$6,"00")</f>
        <v/>
      </c>
      <c r="O2286" s="10">
        <f>REPT(" ",8)</f>
        <v/>
      </c>
      <c r="P2286" s="10">
        <f>RIGHT($B$4,2)</f>
        <v/>
      </c>
      <c r="Q2286" s="10">
        <f>RIGHT($B$5,3)</f>
        <v/>
      </c>
      <c r="R2286" s="10">
        <f>IF(A2286="D",LEFT(UPPER(B2286)&amp;REPT(" ",20),20),REPT(" ",20))</f>
        <v/>
      </c>
      <c r="S2286" s="10">
        <f>IF(A2286="D",LEFT(UPPER(C2286)&amp;REPT(" ",10),10)," ")</f>
        <v/>
      </c>
      <c r="T2286" s="10">
        <f>IF(A2286="D",LEFT(UPPER(D2286)&amp;REPT(" ",2),2)," ")</f>
        <v/>
      </c>
      <c r="U2286" s="10">
        <f>IF(A2286="D",LEFT(UPPER(E2286)&amp;REPT(" ",15),15)," ")</f>
        <v/>
      </c>
      <c r="V2286" s="10">
        <f>REPT(" ",24)</f>
        <v/>
      </c>
      <c r="W2286" s="10">
        <f>IF(A2286="c",LEFT(UPPER(B2286)&amp;REPT(" ",20),20),REPT(" ",20))</f>
        <v/>
      </c>
      <c r="X2286" s="10">
        <f>IF(A2286="C",LEFT(UPPER(C2286)&amp;REPT(" ",10),10)," ")</f>
        <v/>
      </c>
      <c r="Y2286" s="10">
        <f>IF(A2286="C",LEFT(UPPER(D2286)&amp;REPT(" ",2),2)," ")</f>
        <v/>
      </c>
      <c r="Z2286" s="10">
        <f>IF(A2286="C",LEFT(UPPER(E2286)&amp;REPT(" ",15),15)," ")</f>
        <v/>
      </c>
      <c r="AA2286" s="10">
        <f>REPT(" ",8)</f>
        <v/>
      </c>
      <c r="AB2286" s="10">
        <f>REPT(" ",4)</f>
        <v/>
      </c>
      <c r="AC2286" s="10">
        <f>LEFT(UPPER(H2286)&amp;REPT(" ",250),250)</f>
        <v/>
      </c>
      <c r="AD2286" s="10">
        <f>TEXT($G$2,"dd/mm/aaaa")</f>
        <v/>
      </c>
      <c r="AE2286" s="10">
        <f>REPT(" ",10)</f>
        <v/>
      </c>
      <c r="AF2286" s="10">
        <f>REPT(" ",20)</f>
        <v/>
      </c>
      <c r="AG2286" s="54">
        <f>REPT(" ",18-LEN(FIXED(F2286,2,TRUE)))&amp;FIXED(F2286,2,TRUE)</f>
        <v/>
      </c>
      <c r="AH2286" s="10">
        <f>LEN(AC2286)+LEN(AG2286)</f>
        <v/>
      </c>
      <c r="AI2286" s="10">
        <f>LEN(L2286)</f>
        <v/>
      </c>
    </row>
    <row r="2287">
      <c r="J2287" s="12">
        <f>IF(F2287&lt;&gt;0,"LANÇAR","")</f>
        <v/>
      </c>
      <c r="L2287" s="13">
        <f>N2287&amp;O2287&amp;P2287&amp;Q2287&amp;R2287&amp;S2287&amp;T2287&amp;U2287&amp;V2287&amp;W2287&amp;X2287&amp;Y2287&amp;Z2287&amp;AA2287&amp;AB2287&amp;AC2287&amp;AD2287&amp;AE2287&amp;AF2287&amp;AG2287</f>
        <v/>
      </c>
      <c r="N2287" s="10">
        <f>TEXT($B$6,"00")</f>
        <v/>
      </c>
      <c r="O2287" s="10">
        <f>REPT(" ",8)</f>
        <v/>
      </c>
      <c r="P2287" s="10">
        <f>RIGHT($B$4,2)</f>
        <v/>
      </c>
      <c r="Q2287" s="10">
        <f>RIGHT($B$5,3)</f>
        <v/>
      </c>
      <c r="R2287" s="10">
        <f>IF(A2287="D",LEFT(UPPER(B2287)&amp;REPT(" ",20),20),REPT(" ",20))</f>
        <v/>
      </c>
      <c r="S2287" s="10">
        <f>IF(A2287="D",LEFT(UPPER(C2287)&amp;REPT(" ",10),10)," ")</f>
        <v/>
      </c>
      <c r="T2287" s="10">
        <f>IF(A2287="D",LEFT(UPPER(D2287)&amp;REPT(" ",2),2)," ")</f>
        <v/>
      </c>
      <c r="U2287" s="10">
        <f>IF(A2287="D",LEFT(UPPER(E2287)&amp;REPT(" ",15),15)," ")</f>
        <v/>
      </c>
      <c r="V2287" s="10">
        <f>REPT(" ",24)</f>
        <v/>
      </c>
      <c r="W2287" s="10">
        <f>IF(A2287="c",LEFT(UPPER(B2287)&amp;REPT(" ",20),20),REPT(" ",20))</f>
        <v/>
      </c>
      <c r="X2287" s="10">
        <f>IF(A2287="C",LEFT(UPPER(C2287)&amp;REPT(" ",10),10)," ")</f>
        <v/>
      </c>
      <c r="Y2287" s="10">
        <f>IF(A2287="C",LEFT(UPPER(D2287)&amp;REPT(" ",2),2)," ")</f>
        <v/>
      </c>
      <c r="Z2287" s="10">
        <f>IF(A2287="C",LEFT(UPPER(E2287)&amp;REPT(" ",15),15)," ")</f>
        <v/>
      </c>
      <c r="AA2287" s="10">
        <f>REPT(" ",8)</f>
        <v/>
      </c>
      <c r="AB2287" s="10">
        <f>REPT(" ",4)</f>
        <v/>
      </c>
      <c r="AC2287" s="10">
        <f>LEFT(UPPER(H2287)&amp;REPT(" ",250),250)</f>
        <v/>
      </c>
      <c r="AD2287" s="10">
        <f>TEXT($G$2,"dd/mm/aaaa")</f>
        <v/>
      </c>
      <c r="AE2287" s="10">
        <f>REPT(" ",10)</f>
        <v/>
      </c>
      <c r="AF2287" s="10">
        <f>REPT(" ",20)</f>
        <v/>
      </c>
      <c r="AG2287" s="54">
        <f>REPT(" ",18-LEN(FIXED(F2287,2,TRUE)))&amp;FIXED(F2287,2,TRUE)</f>
        <v/>
      </c>
      <c r="AH2287" s="10">
        <f>LEN(AC2287)+LEN(AG2287)</f>
        <v/>
      </c>
      <c r="AI2287" s="10">
        <f>LEN(L2287)</f>
        <v/>
      </c>
    </row>
    <row r="2288">
      <c r="J2288" s="12">
        <f>IF(F2288&lt;&gt;0,"LANÇAR","")</f>
        <v/>
      </c>
      <c r="L2288" s="13">
        <f>N2288&amp;O2288&amp;P2288&amp;Q2288&amp;R2288&amp;S2288&amp;T2288&amp;U2288&amp;V2288&amp;W2288&amp;X2288&amp;Y2288&amp;Z2288&amp;AA2288&amp;AB2288&amp;AC2288&amp;AD2288&amp;AE2288&amp;AF2288&amp;AG2288</f>
        <v/>
      </c>
      <c r="N2288" s="10">
        <f>TEXT($B$6,"00")</f>
        <v/>
      </c>
      <c r="O2288" s="10">
        <f>REPT(" ",8)</f>
        <v/>
      </c>
      <c r="P2288" s="10">
        <f>RIGHT($B$4,2)</f>
        <v/>
      </c>
      <c r="Q2288" s="10">
        <f>RIGHT($B$5,3)</f>
        <v/>
      </c>
      <c r="R2288" s="10">
        <f>IF(A2288="D",LEFT(UPPER(B2288)&amp;REPT(" ",20),20),REPT(" ",20))</f>
        <v/>
      </c>
      <c r="S2288" s="10">
        <f>IF(A2288="D",LEFT(UPPER(C2288)&amp;REPT(" ",10),10)," ")</f>
        <v/>
      </c>
      <c r="T2288" s="10">
        <f>IF(A2288="D",LEFT(UPPER(D2288)&amp;REPT(" ",2),2)," ")</f>
        <v/>
      </c>
      <c r="U2288" s="10">
        <f>IF(A2288="D",LEFT(UPPER(E2288)&amp;REPT(" ",15),15)," ")</f>
        <v/>
      </c>
      <c r="V2288" s="10">
        <f>REPT(" ",24)</f>
        <v/>
      </c>
      <c r="W2288" s="10">
        <f>IF(A2288="c",LEFT(UPPER(B2288)&amp;REPT(" ",20),20),REPT(" ",20))</f>
        <v/>
      </c>
      <c r="X2288" s="10">
        <f>IF(A2288="C",LEFT(UPPER(C2288)&amp;REPT(" ",10),10)," ")</f>
        <v/>
      </c>
      <c r="Y2288" s="10">
        <f>IF(A2288="C",LEFT(UPPER(D2288)&amp;REPT(" ",2),2)," ")</f>
        <v/>
      </c>
      <c r="Z2288" s="10">
        <f>IF(A2288="C",LEFT(UPPER(E2288)&amp;REPT(" ",15),15)," ")</f>
        <v/>
      </c>
      <c r="AA2288" s="10">
        <f>REPT(" ",8)</f>
        <v/>
      </c>
      <c r="AB2288" s="10">
        <f>REPT(" ",4)</f>
        <v/>
      </c>
      <c r="AC2288" s="10">
        <f>LEFT(UPPER(H2288)&amp;REPT(" ",250),250)</f>
        <v/>
      </c>
      <c r="AD2288" s="10">
        <f>TEXT($G$2,"dd/mm/aaaa")</f>
        <v/>
      </c>
      <c r="AE2288" s="10">
        <f>REPT(" ",10)</f>
        <v/>
      </c>
      <c r="AF2288" s="10">
        <f>REPT(" ",20)</f>
        <v/>
      </c>
      <c r="AG2288" s="54">
        <f>REPT(" ",18-LEN(FIXED(F2288,2,TRUE)))&amp;FIXED(F2288,2,TRUE)</f>
        <v/>
      </c>
      <c r="AH2288" s="10">
        <f>LEN(AC2288)+LEN(AG2288)</f>
        <v/>
      </c>
      <c r="AI2288" s="10">
        <f>LEN(L2288)</f>
        <v/>
      </c>
    </row>
    <row r="2289">
      <c r="J2289" s="12">
        <f>IF(F2289&lt;&gt;0,"LANÇAR","")</f>
        <v/>
      </c>
      <c r="L2289" s="13">
        <f>N2289&amp;O2289&amp;P2289&amp;Q2289&amp;R2289&amp;S2289&amp;T2289&amp;U2289&amp;V2289&amp;W2289&amp;X2289&amp;Y2289&amp;Z2289&amp;AA2289&amp;AB2289&amp;AC2289&amp;AD2289&amp;AE2289&amp;AF2289&amp;AG2289</f>
        <v/>
      </c>
      <c r="N2289" s="10">
        <f>TEXT($B$6,"00")</f>
        <v/>
      </c>
      <c r="O2289" s="10">
        <f>REPT(" ",8)</f>
        <v/>
      </c>
      <c r="P2289" s="10">
        <f>RIGHT($B$4,2)</f>
        <v/>
      </c>
      <c r="Q2289" s="10">
        <f>RIGHT($B$5,3)</f>
        <v/>
      </c>
      <c r="R2289" s="10">
        <f>IF(A2289="D",LEFT(UPPER(B2289)&amp;REPT(" ",20),20),REPT(" ",20))</f>
        <v/>
      </c>
      <c r="S2289" s="10">
        <f>IF(A2289="D",LEFT(UPPER(C2289)&amp;REPT(" ",10),10)," ")</f>
        <v/>
      </c>
      <c r="T2289" s="10">
        <f>IF(A2289="D",LEFT(UPPER(D2289)&amp;REPT(" ",2),2)," ")</f>
        <v/>
      </c>
      <c r="U2289" s="10">
        <f>IF(A2289="D",LEFT(UPPER(E2289)&amp;REPT(" ",15),15)," ")</f>
        <v/>
      </c>
      <c r="V2289" s="10">
        <f>REPT(" ",24)</f>
        <v/>
      </c>
      <c r="W2289" s="10">
        <f>IF(A2289="c",LEFT(UPPER(B2289)&amp;REPT(" ",20),20),REPT(" ",20))</f>
        <v/>
      </c>
      <c r="X2289" s="10">
        <f>IF(A2289="C",LEFT(UPPER(C2289)&amp;REPT(" ",10),10)," ")</f>
        <v/>
      </c>
      <c r="Y2289" s="10">
        <f>IF(A2289="C",LEFT(UPPER(D2289)&amp;REPT(" ",2),2)," ")</f>
        <v/>
      </c>
      <c r="Z2289" s="10">
        <f>IF(A2289="C",LEFT(UPPER(E2289)&amp;REPT(" ",15),15)," ")</f>
        <v/>
      </c>
      <c r="AA2289" s="10">
        <f>REPT(" ",8)</f>
        <v/>
      </c>
      <c r="AB2289" s="10">
        <f>REPT(" ",4)</f>
        <v/>
      </c>
      <c r="AC2289" s="10">
        <f>LEFT(UPPER(H2289)&amp;REPT(" ",250),250)</f>
        <v/>
      </c>
      <c r="AD2289" s="10">
        <f>TEXT($G$2,"dd/mm/aaaa")</f>
        <v/>
      </c>
      <c r="AE2289" s="10">
        <f>REPT(" ",10)</f>
        <v/>
      </c>
      <c r="AF2289" s="10">
        <f>REPT(" ",20)</f>
        <v/>
      </c>
      <c r="AG2289" s="54">
        <f>REPT(" ",18-LEN(FIXED(F2289,2,TRUE)))&amp;FIXED(F2289,2,TRUE)</f>
        <v/>
      </c>
      <c r="AH2289" s="10">
        <f>LEN(AC2289)+LEN(AG2289)</f>
        <v/>
      </c>
      <c r="AI2289" s="10">
        <f>LEN(L2289)</f>
        <v/>
      </c>
    </row>
    <row r="2290">
      <c r="J2290" s="12">
        <f>IF(F2290&lt;&gt;0,"LANÇAR","")</f>
        <v/>
      </c>
      <c r="L2290" s="13">
        <f>N2290&amp;O2290&amp;P2290&amp;Q2290&amp;R2290&amp;S2290&amp;T2290&amp;U2290&amp;V2290&amp;W2290&amp;X2290&amp;Y2290&amp;Z2290&amp;AA2290&amp;AB2290&amp;AC2290&amp;AD2290&amp;AE2290&amp;AF2290&amp;AG2290</f>
        <v/>
      </c>
      <c r="N2290" s="10">
        <f>TEXT($B$6,"00")</f>
        <v/>
      </c>
      <c r="O2290" s="10">
        <f>REPT(" ",8)</f>
        <v/>
      </c>
      <c r="P2290" s="10">
        <f>RIGHT($B$4,2)</f>
        <v/>
      </c>
      <c r="Q2290" s="10">
        <f>RIGHT($B$5,3)</f>
        <v/>
      </c>
      <c r="R2290" s="10">
        <f>IF(A2290="D",LEFT(UPPER(B2290)&amp;REPT(" ",20),20),REPT(" ",20))</f>
        <v/>
      </c>
      <c r="S2290" s="10">
        <f>IF(A2290="D",LEFT(UPPER(C2290)&amp;REPT(" ",10),10)," ")</f>
        <v/>
      </c>
      <c r="T2290" s="10">
        <f>IF(A2290="D",LEFT(UPPER(D2290)&amp;REPT(" ",2),2)," ")</f>
        <v/>
      </c>
      <c r="U2290" s="10">
        <f>IF(A2290="D",LEFT(UPPER(E2290)&amp;REPT(" ",15),15)," ")</f>
        <v/>
      </c>
      <c r="V2290" s="10">
        <f>REPT(" ",24)</f>
        <v/>
      </c>
      <c r="W2290" s="10">
        <f>IF(A2290="c",LEFT(UPPER(B2290)&amp;REPT(" ",20),20),REPT(" ",20))</f>
        <v/>
      </c>
      <c r="X2290" s="10">
        <f>IF(A2290="C",LEFT(UPPER(C2290)&amp;REPT(" ",10),10)," ")</f>
        <v/>
      </c>
      <c r="Y2290" s="10">
        <f>IF(A2290="C",LEFT(UPPER(D2290)&amp;REPT(" ",2),2)," ")</f>
        <v/>
      </c>
      <c r="Z2290" s="10">
        <f>IF(A2290="C",LEFT(UPPER(E2290)&amp;REPT(" ",15),15)," ")</f>
        <v/>
      </c>
      <c r="AA2290" s="10">
        <f>REPT(" ",8)</f>
        <v/>
      </c>
      <c r="AB2290" s="10">
        <f>REPT(" ",4)</f>
        <v/>
      </c>
      <c r="AC2290" s="10">
        <f>LEFT(UPPER(H2290)&amp;REPT(" ",250),250)</f>
        <v/>
      </c>
      <c r="AD2290" s="10">
        <f>TEXT($G$2,"dd/mm/aaaa")</f>
        <v/>
      </c>
      <c r="AE2290" s="10">
        <f>REPT(" ",10)</f>
        <v/>
      </c>
      <c r="AF2290" s="10">
        <f>REPT(" ",20)</f>
        <v/>
      </c>
      <c r="AG2290" s="54">
        <f>REPT(" ",18-LEN(FIXED(F2290,2,TRUE)))&amp;FIXED(F2290,2,TRUE)</f>
        <v/>
      </c>
      <c r="AH2290" s="10">
        <f>LEN(AC2290)+LEN(AG2290)</f>
        <v/>
      </c>
      <c r="AI2290" s="10">
        <f>LEN(L2290)</f>
        <v/>
      </c>
    </row>
    <row r="2291">
      <c r="J2291" s="12">
        <f>IF(F2291&lt;&gt;0,"LANÇAR","")</f>
        <v/>
      </c>
      <c r="L2291" s="13">
        <f>N2291&amp;O2291&amp;P2291&amp;Q2291&amp;R2291&amp;S2291&amp;T2291&amp;U2291&amp;V2291&amp;W2291&amp;X2291&amp;Y2291&amp;Z2291&amp;AA2291&amp;AB2291&amp;AC2291&amp;AD2291&amp;AE2291&amp;AF2291&amp;AG2291</f>
        <v/>
      </c>
      <c r="N2291" s="10">
        <f>TEXT($B$6,"00")</f>
        <v/>
      </c>
      <c r="O2291" s="10">
        <f>REPT(" ",8)</f>
        <v/>
      </c>
      <c r="P2291" s="10">
        <f>RIGHT($B$4,2)</f>
        <v/>
      </c>
      <c r="Q2291" s="10">
        <f>RIGHT($B$5,3)</f>
        <v/>
      </c>
      <c r="R2291" s="10">
        <f>IF(A2291="D",LEFT(UPPER(B2291)&amp;REPT(" ",20),20),REPT(" ",20))</f>
        <v/>
      </c>
      <c r="S2291" s="10">
        <f>IF(A2291="D",LEFT(UPPER(C2291)&amp;REPT(" ",10),10)," ")</f>
        <v/>
      </c>
      <c r="T2291" s="10">
        <f>IF(A2291="D",LEFT(UPPER(D2291)&amp;REPT(" ",2),2)," ")</f>
        <v/>
      </c>
      <c r="U2291" s="10">
        <f>IF(A2291="D",LEFT(UPPER(E2291)&amp;REPT(" ",15),15)," ")</f>
        <v/>
      </c>
      <c r="V2291" s="10">
        <f>REPT(" ",24)</f>
        <v/>
      </c>
      <c r="W2291" s="10">
        <f>IF(A2291="c",LEFT(UPPER(B2291)&amp;REPT(" ",20),20),REPT(" ",20))</f>
        <v/>
      </c>
      <c r="X2291" s="10">
        <f>IF(A2291="C",LEFT(UPPER(C2291)&amp;REPT(" ",10),10)," ")</f>
        <v/>
      </c>
      <c r="Y2291" s="10">
        <f>IF(A2291="C",LEFT(UPPER(D2291)&amp;REPT(" ",2),2)," ")</f>
        <v/>
      </c>
      <c r="Z2291" s="10">
        <f>IF(A2291="C",LEFT(UPPER(E2291)&amp;REPT(" ",15),15)," ")</f>
        <v/>
      </c>
      <c r="AA2291" s="10">
        <f>REPT(" ",8)</f>
        <v/>
      </c>
      <c r="AB2291" s="10">
        <f>REPT(" ",4)</f>
        <v/>
      </c>
      <c r="AC2291" s="10">
        <f>LEFT(UPPER(H2291)&amp;REPT(" ",250),250)</f>
        <v/>
      </c>
      <c r="AD2291" s="10">
        <f>TEXT($G$2,"dd/mm/aaaa")</f>
        <v/>
      </c>
      <c r="AE2291" s="10">
        <f>REPT(" ",10)</f>
        <v/>
      </c>
      <c r="AF2291" s="10">
        <f>REPT(" ",20)</f>
        <v/>
      </c>
      <c r="AG2291" s="54">
        <f>REPT(" ",18-LEN(FIXED(F2291,2,TRUE)))&amp;FIXED(F2291,2,TRUE)</f>
        <v/>
      </c>
      <c r="AH2291" s="10">
        <f>LEN(AC2291)+LEN(AG2291)</f>
        <v/>
      </c>
      <c r="AI2291" s="10">
        <f>LEN(L2291)</f>
        <v/>
      </c>
    </row>
    <row r="2292">
      <c r="J2292" s="12">
        <f>IF(F2292&lt;&gt;0,"LANÇAR","")</f>
        <v/>
      </c>
      <c r="L2292" s="13">
        <f>N2292&amp;O2292&amp;P2292&amp;Q2292&amp;R2292&amp;S2292&amp;T2292&amp;U2292&amp;V2292&amp;W2292&amp;X2292&amp;Y2292&amp;Z2292&amp;AA2292&amp;AB2292&amp;AC2292&amp;AD2292&amp;AE2292&amp;AF2292&amp;AG2292</f>
        <v/>
      </c>
      <c r="N2292" s="10">
        <f>TEXT($B$6,"00")</f>
        <v/>
      </c>
      <c r="O2292" s="10">
        <f>REPT(" ",8)</f>
        <v/>
      </c>
      <c r="P2292" s="10">
        <f>RIGHT($B$4,2)</f>
        <v/>
      </c>
      <c r="Q2292" s="10">
        <f>RIGHT($B$5,3)</f>
        <v/>
      </c>
      <c r="R2292" s="10">
        <f>IF(A2292="D",LEFT(UPPER(B2292)&amp;REPT(" ",20),20),REPT(" ",20))</f>
        <v/>
      </c>
      <c r="S2292" s="10">
        <f>IF(A2292="D",LEFT(UPPER(C2292)&amp;REPT(" ",10),10)," ")</f>
        <v/>
      </c>
      <c r="T2292" s="10">
        <f>IF(A2292="D",LEFT(UPPER(D2292)&amp;REPT(" ",2),2)," ")</f>
        <v/>
      </c>
      <c r="U2292" s="10">
        <f>IF(A2292="D",LEFT(UPPER(E2292)&amp;REPT(" ",15),15)," ")</f>
        <v/>
      </c>
      <c r="V2292" s="10">
        <f>REPT(" ",24)</f>
        <v/>
      </c>
      <c r="W2292" s="10">
        <f>IF(A2292="c",LEFT(UPPER(B2292)&amp;REPT(" ",20),20),REPT(" ",20))</f>
        <v/>
      </c>
      <c r="X2292" s="10">
        <f>IF(A2292="C",LEFT(UPPER(C2292)&amp;REPT(" ",10),10)," ")</f>
        <v/>
      </c>
      <c r="Y2292" s="10">
        <f>IF(A2292="C",LEFT(UPPER(D2292)&amp;REPT(" ",2),2)," ")</f>
        <v/>
      </c>
      <c r="Z2292" s="10">
        <f>IF(A2292="C",LEFT(UPPER(E2292)&amp;REPT(" ",15),15)," ")</f>
        <v/>
      </c>
      <c r="AA2292" s="10">
        <f>REPT(" ",8)</f>
        <v/>
      </c>
      <c r="AB2292" s="10">
        <f>REPT(" ",4)</f>
        <v/>
      </c>
      <c r="AC2292" s="10">
        <f>LEFT(UPPER(H2292)&amp;REPT(" ",250),250)</f>
        <v/>
      </c>
      <c r="AD2292" s="10">
        <f>TEXT($G$2,"dd/mm/aaaa")</f>
        <v/>
      </c>
      <c r="AE2292" s="10">
        <f>REPT(" ",10)</f>
        <v/>
      </c>
      <c r="AF2292" s="10">
        <f>REPT(" ",20)</f>
        <v/>
      </c>
      <c r="AG2292" s="54">
        <f>REPT(" ",18-LEN(FIXED(F2292,2,TRUE)))&amp;FIXED(F2292,2,TRUE)</f>
        <v/>
      </c>
      <c r="AH2292" s="10">
        <f>LEN(AC2292)+LEN(AG2292)</f>
        <v/>
      </c>
      <c r="AI2292" s="10">
        <f>LEN(L2292)</f>
        <v/>
      </c>
    </row>
    <row r="2293">
      <c r="J2293" s="12">
        <f>IF(F2293&lt;&gt;0,"LANÇAR","")</f>
        <v/>
      </c>
      <c r="L2293" s="13">
        <f>N2293&amp;O2293&amp;P2293&amp;Q2293&amp;R2293&amp;S2293&amp;T2293&amp;U2293&amp;V2293&amp;W2293&amp;X2293&amp;Y2293&amp;Z2293&amp;AA2293&amp;AB2293&amp;AC2293&amp;AD2293&amp;AE2293&amp;AF2293&amp;AG2293</f>
        <v/>
      </c>
      <c r="N2293" s="10">
        <f>TEXT($B$6,"00")</f>
        <v/>
      </c>
      <c r="O2293" s="10">
        <f>REPT(" ",8)</f>
        <v/>
      </c>
      <c r="P2293" s="10">
        <f>RIGHT($B$4,2)</f>
        <v/>
      </c>
      <c r="Q2293" s="10">
        <f>RIGHT($B$5,3)</f>
        <v/>
      </c>
      <c r="R2293" s="10">
        <f>IF(A2293="D",LEFT(UPPER(B2293)&amp;REPT(" ",20),20),REPT(" ",20))</f>
        <v/>
      </c>
      <c r="S2293" s="10">
        <f>IF(A2293="D",LEFT(UPPER(C2293)&amp;REPT(" ",10),10)," ")</f>
        <v/>
      </c>
      <c r="T2293" s="10">
        <f>IF(A2293="D",LEFT(UPPER(D2293)&amp;REPT(" ",2),2)," ")</f>
        <v/>
      </c>
      <c r="U2293" s="10">
        <f>IF(A2293="D",LEFT(UPPER(E2293)&amp;REPT(" ",15),15)," ")</f>
        <v/>
      </c>
      <c r="V2293" s="10">
        <f>REPT(" ",24)</f>
        <v/>
      </c>
      <c r="W2293" s="10">
        <f>IF(A2293="c",LEFT(UPPER(B2293)&amp;REPT(" ",20),20),REPT(" ",20))</f>
        <v/>
      </c>
      <c r="X2293" s="10">
        <f>IF(A2293="C",LEFT(UPPER(C2293)&amp;REPT(" ",10),10)," ")</f>
        <v/>
      </c>
      <c r="Y2293" s="10">
        <f>IF(A2293="C",LEFT(UPPER(D2293)&amp;REPT(" ",2),2)," ")</f>
        <v/>
      </c>
      <c r="Z2293" s="10">
        <f>IF(A2293="C",LEFT(UPPER(E2293)&amp;REPT(" ",15),15)," ")</f>
        <v/>
      </c>
      <c r="AA2293" s="10">
        <f>REPT(" ",8)</f>
        <v/>
      </c>
      <c r="AB2293" s="10">
        <f>REPT(" ",4)</f>
        <v/>
      </c>
      <c r="AC2293" s="10">
        <f>LEFT(UPPER(H2293)&amp;REPT(" ",250),250)</f>
        <v/>
      </c>
      <c r="AD2293" s="10">
        <f>TEXT($G$2,"dd/mm/aaaa")</f>
        <v/>
      </c>
      <c r="AE2293" s="10">
        <f>REPT(" ",10)</f>
        <v/>
      </c>
      <c r="AF2293" s="10">
        <f>REPT(" ",20)</f>
        <v/>
      </c>
      <c r="AG2293" s="54">
        <f>REPT(" ",18-LEN(FIXED(F2293,2,TRUE)))&amp;FIXED(F2293,2,TRUE)</f>
        <v/>
      </c>
      <c r="AH2293" s="10">
        <f>LEN(AC2293)+LEN(AG2293)</f>
        <v/>
      </c>
      <c r="AI2293" s="10">
        <f>LEN(L2293)</f>
        <v/>
      </c>
    </row>
    <row r="2294">
      <c r="J2294" s="12">
        <f>IF(F2294&lt;&gt;0,"LANÇAR","")</f>
        <v/>
      </c>
      <c r="L2294" s="13">
        <f>N2294&amp;O2294&amp;P2294&amp;Q2294&amp;R2294&amp;S2294&amp;T2294&amp;U2294&amp;V2294&amp;W2294&amp;X2294&amp;Y2294&amp;Z2294&amp;AA2294&amp;AB2294&amp;AC2294&amp;AD2294&amp;AE2294&amp;AF2294&amp;AG2294</f>
        <v/>
      </c>
      <c r="N2294" s="10">
        <f>TEXT($B$6,"00")</f>
        <v/>
      </c>
      <c r="O2294" s="10">
        <f>REPT(" ",8)</f>
        <v/>
      </c>
      <c r="P2294" s="10">
        <f>RIGHT($B$4,2)</f>
        <v/>
      </c>
      <c r="Q2294" s="10">
        <f>RIGHT($B$5,3)</f>
        <v/>
      </c>
      <c r="R2294" s="10">
        <f>IF(A2294="D",LEFT(UPPER(B2294)&amp;REPT(" ",20),20),REPT(" ",20))</f>
        <v/>
      </c>
      <c r="S2294" s="10">
        <f>IF(A2294="D",LEFT(UPPER(C2294)&amp;REPT(" ",10),10)," ")</f>
        <v/>
      </c>
      <c r="T2294" s="10">
        <f>IF(A2294="D",LEFT(UPPER(D2294)&amp;REPT(" ",2),2)," ")</f>
        <v/>
      </c>
      <c r="U2294" s="10">
        <f>IF(A2294="D",LEFT(UPPER(E2294)&amp;REPT(" ",15),15)," ")</f>
        <v/>
      </c>
      <c r="V2294" s="10">
        <f>REPT(" ",24)</f>
        <v/>
      </c>
      <c r="W2294" s="10">
        <f>IF(A2294="c",LEFT(UPPER(B2294)&amp;REPT(" ",20),20),REPT(" ",20))</f>
        <v/>
      </c>
      <c r="X2294" s="10">
        <f>IF(A2294="C",LEFT(UPPER(C2294)&amp;REPT(" ",10),10)," ")</f>
        <v/>
      </c>
      <c r="Y2294" s="10">
        <f>IF(A2294="C",LEFT(UPPER(D2294)&amp;REPT(" ",2),2)," ")</f>
        <v/>
      </c>
      <c r="Z2294" s="10">
        <f>IF(A2294="C",LEFT(UPPER(E2294)&amp;REPT(" ",15),15)," ")</f>
        <v/>
      </c>
      <c r="AA2294" s="10">
        <f>REPT(" ",8)</f>
        <v/>
      </c>
      <c r="AB2294" s="10">
        <f>REPT(" ",4)</f>
        <v/>
      </c>
      <c r="AC2294" s="10">
        <f>LEFT(UPPER(H2294)&amp;REPT(" ",250),250)</f>
        <v/>
      </c>
      <c r="AD2294" s="10">
        <f>TEXT($G$2,"dd/mm/aaaa")</f>
        <v/>
      </c>
      <c r="AE2294" s="10">
        <f>REPT(" ",10)</f>
        <v/>
      </c>
      <c r="AF2294" s="10">
        <f>REPT(" ",20)</f>
        <v/>
      </c>
      <c r="AG2294" s="54">
        <f>REPT(" ",18-LEN(FIXED(F2294,2,TRUE)))&amp;FIXED(F2294,2,TRUE)</f>
        <v/>
      </c>
      <c r="AH2294" s="10">
        <f>LEN(AC2294)+LEN(AG2294)</f>
        <v/>
      </c>
      <c r="AI2294" s="10">
        <f>LEN(L2294)</f>
        <v/>
      </c>
    </row>
    <row r="2295">
      <c r="J2295" s="12">
        <f>IF(F2295&lt;&gt;0,"LANÇAR","")</f>
        <v/>
      </c>
      <c r="L2295" s="13">
        <f>N2295&amp;O2295&amp;P2295&amp;Q2295&amp;R2295&amp;S2295&amp;T2295&amp;U2295&amp;V2295&amp;W2295&amp;X2295&amp;Y2295&amp;Z2295&amp;AA2295&amp;AB2295&amp;AC2295&amp;AD2295&amp;AE2295&amp;AF2295&amp;AG2295</f>
        <v/>
      </c>
      <c r="N2295" s="10">
        <f>TEXT($B$6,"00")</f>
        <v/>
      </c>
      <c r="O2295" s="10">
        <f>REPT(" ",8)</f>
        <v/>
      </c>
      <c r="P2295" s="10">
        <f>RIGHT($B$4,2)</f>
        <v/>
      </c>
      <c r="Q2295" s="10">
        <f>RIGHT($B$5,3)</f>
        <v/>
      </c>
      <c r="R2295" s="10">
        <f>IF(A2295="D",LEFT(UPPER(B2295)&amp;REPT(" ",20),20),REPT(" ",20))</f>
        <v/>
      </c>
      <c r="S2295" s="10">
        <f>IF(A2295="D",LEFT(UPPER(C2295)&amp;REPT(" ",10),10)," ")</f>
        <v/>
      </c>
      <c r="T2295" s="10">
        <f>IF(A2295="D",LEFT(UPPER(D2295)&amp;REPT(" ",2),2)," ")</f>
        <v/>
      </c>
      <c r="U2295" s="10">
        <f>IF(A2295="D",LEFT(UPPER(E2295)&amp;REPT(" ",15),15)," ")</f>
        <v/>
      </c>
      <c r="V2295" s="10">
        <f>REPT(" ",24)</f>
        <v/>
      </c>
      <c r="W2295" s="10">
        <f>IF(A2295="c",LEFT(UPPER(B2295)&amp;REPT(" ",20),20),REPT(" ",20))</f>
        <v/>
      </c>
      <c r="X2295" s="10">
        <f>IF(A2295="C",LEFT(UPPER(C2295)&amp;REPT(" ",10),10)," ")</f>
        <v/>
      </c>
      <c r="Y2295" s="10">
        <f>IF(A2295="C",LEFT(UPPER(D2295)&amp;REPT(" ",2),2)," ")</f>
        <v/>
      </c>
      <c r="Z2295" s="10">
        <f>IF(A2295="C",LEFT(UPPER(E2295)&amp;REPT(" ",15),15)," ")</f>
        <v/>
      </c>
      <c r="AA2295" s="10">
        <f>REPT(" ",8)</f>
        <v/>
      </c>
      <c r="AB2295" s="10">
        <f>REPT(" ",4)</f>
        <v/>
      </c>
      <c r="AC2295" s="10">
        <f>LEFT(UPPER(H2295)&amp;REPT(" ",250),250)</f>
        <v/>
      </c>
      <c r="AD2295" s="10">
        <f>TEXT($G$2,"dd/mm/aaaa")</f>
        <v/>
      </c>
      <c r="AE2295" s="10">
        <f>REPT(" ",10)</f>
        <v/>
      </c>
      <c r="AF2295" s="10">
        <f>REPT(" ",20)</f>
        <v/>
      </c>
      <c r="AG2295" s="54">
        <f>REPT(" ",18-LEN(FIXED(F2295,2,TRUE)))&amp;FIXED(F2295,2,TRUE)</f>
        <v/>
      </c>
      <c r="AH2295" s="10">
        <f>LEN(AC2295)+LEN(AG2295)</f>
        <v/>
      </c>
      <c r="AI2295" s="10">
        <f>LEN(L2295)</f>
        <v/>
      </c>
    </row>
    <row r="2296">
      <c r="J2296" s="12">
        <f>IF(F2296&lt;&gt;0,"LANÇAR","")</f>
        <v/>
      </c>
      <c r="L2296" s="13">
        <f>N2296&amp;O2296&amp;P2296&amp;Q2296&amp;R2296&amp;S2296&amp;T2296&amp;U2296&amp;V2296&amp;W2296&amp;X2296&amp;Y2296&amp;Z2296&amp;AA2296&amp;AB2296&amp;AC2296&amp;AD2296&amp;AE2296&amp;AF2296&amp;AG2296</f>
        <v/>
      </c>
      <c r="N2296" s="10">
        <f>TEXT($B$6,"00")</f>
        <v/>
      </c>
      <c r="O2296" s="10">
        <f>REPT(" ",8)</f>
        <v/>
      </c>
      <c r="P2296" s="10">
        <f>RIGHT($B$4,2)</f>
        <v/>
      </c>
      <c r="Q2296" s="10">
        <f>RIGHT($B$5,3)</f>
        <v/>
      </c>
      <c r="R2296" s="10">
        <f>IF(A2296="D",LEFT(UPPER(B2296)&amp;REPT(" ",20),20),REPT(" ",20))</f>
        <v/>
      </c>
      <c r="S2296" s="10">
        <f>IF(A2296="D",LEFT(UPPER(C2296)&amp;REPT(" ",10),10)," ")</f>
        <v/>
      </c>
      <c r="T2296" s="10">
        <f>IF(A2296="D",LEFT(UPPER(D2296)&amp;REPT(" ",2),2)," ")</f>
        <v/>
      </c>
      <c r="U2296" s="10">
        <f>IF(A2296="D",LEFT(UPPER(E2296)&amp;REPT(" ",15),15)," ")</f>
        <v/>
      </c>
      <c r="V2296" s="10">
        <f>REPT(" ",24)</f>
        <v/>
      </c>
      <c r="W2296" s="10">
        <f>IF(A2296="c",LEFT(UPPER(B2296)&amp;REPT(" ",20),20),REPT(" ",20))</f>
        <v/>
      </c>
      <c r="X2296" s="10">
        <f>IF(A2296="C",LEFT(UPPER(C2296)&amp;REPT(" ",10),10)," ")</f>
        <v/>
      </c>
      <c r="Y2296" s="10">
        <f>IF(A2296="C",LEFT(UPPER(D2296)&amp;REPT(" ",2),2)," ")</f>
        <v/>
      </c>
      <c r="Z2296" s="10">
        <f>IF(A2296="C",LEFT(UPPER(E2296)&amp;REPT(" ",15),15)," ")</f>
        <v/>
      </c>
      <c r="AA2296" s="10">
        <f>REPT(" ",8)</f>
        <v/>
      </c>
      <c r="AB2296" s="10">
        <f>REPT(" ",4)</f>
        <v/>
      </c>
      <c r="AC2296" s="10">
        <f>LEFT(UPPER(H2296)&amp;REPT(" ",250),250)</f>
        <v/>
      </c>
      <c r="AD2296" s="10">
        <f>TEXT($G$2,"dd/mm/aaaa")</f>
        <v/>
      </c>
      <c r="AE2296" s="10">
        <f>REPT(" ",10)</f>
        <v/>
      </c>
      <c r="AF2296" s="10">
        <f>REPT(" ",20)</f>
        <v/>
      </c>
      <c r="AG2296" s="54">
        <f>REPT(" ",18-LEN(FIXED(F2296,2,TRUE)))&amp;FIXED(F2296,2,TRUE)</f>
        <v/>
      </c>
      <c r="AH2296" s="10">
        <f>LEN(AC2296)+LEN(AG2296)</f>
        <v/>
      </c>
      <c r="AI2296" s="10">
        <f>LEN(L2296)</f>
        <v/>
      </c>
    </row>
    <row r="2297">
      <c r="J2297" s="12">
        <f>IF(F2297&lt;&gt;0,"LANÇAR","")</f>
        <v/>
      </c>
      <c r="L2297" s="13">
        <f>N2297&amp;O2297&amp;P2297&amp;Q2297&amp;R2297&amp;S2297&amp;T2297&amp;U2297&amp;V2297&amp;W2297&amp;X2297&amp;Y2297&amp;Z2297&amp;AA2297&amp;AB2297&amp;AC2297&amp;AD2297&amp;AE2297&amp;AF2297&amp;AG2297</f>
        <v/>
      </c>
      <c r="N2297" s="10">
        <f>TEXT($B$6,"00")</f>
        <v/>
      </c>
      <c r="O2297" s="10">
        <f>REPT(" ",8)</f>
        <v/>
      </c>
      <c r="P2297" s="10">
        <f>RIGHT($B$4,2)</f>
        <v/>
      </c>
      <c r="Q2297" s="10">
        <f>RIGHT($B$5,3)</f>
        <v/>
      </c>
      <c r="R2297" s="10">
        <f>IF(A2297="D",LEFT(UPPER(B2297)&amp;REPT(" ",20),20),REPT(" ",20))</f>
        <v/>
      </c>
      <c r="S2297" s="10">
        <f>IF(A2297="D",LEFT(UPPER(C2297)&amp;REPT(" ",10),10)," ")</f>
        <v/>
      </c>
      <c r="T2297" s="10">
        <f>IF(A2297="D",LEFT(UPPER(D2297)&amp;REPT(" ",2),2)," ")</f>
        <v/>
      </c>
      <c r="U2297" s="10">
        <f>IF(A2297="D",LEFT(UPPER(E2297)&amp;REPT(" ",15),15)," ")</f>
        <v/>
      </c>
      <c r="V2297" s="10">
        <f>REPT(" ",24)</f>
        <v/>
      </c>
      <c r="W2297" s="10">
        <f>IF(A2297="c",LEFT(UPPER(B2297)&amp;REPT(" ",20),20),REPT(" ",20))</f>
        <v/>
      </c>
      <c r="X2297" s="10">
        <f>IF(A2297="C",LEFT(UPPER(C2297)&amp;REPT(" ",10),10)," ")</f>
        <v/>
      </c>
      <c r="Y2297" s="10">
        <f>IF(A2297="C",LEFT(UPPER(D2297)&amp;REPT(" ",2),2)," ")</f>
        <v/>
      </c>
      <c r="Z2297" s="10">
        <f>IF(A2297="C",LEFT(UPPER(E2297)&amp;REPT(" ",15),15)," ")</f>
        <v/>
      </c>
      <c r="AA2297" s="10">
        <f>REPT(" ",8)</f>
        <v/>
      </c>
      <c r="AB2297" s="10">
        <f>REPT(" ",4)</f>
        <v/>
      </c>
      <c r="AC2297" s="10">
        <f>LEFT(UPPER(H2297)&amp;REPT(" ",250),250)</f>
        <v/>
      </c>
      <c r="AD2297" s="10">
        <f>TEXT($G$2,"dd/mm/aaaa")</f>
        <v/>
      </c>
      <c r="AE2297" s="10">
        <f>REPT(" ",10)</f>
        <v/>
      </c>
      <c r="AF2297" s="10">
        <f>REPT(" ",20)</f>
        <v/>
      </c>
      <c r="AG2297" s="54">
        <f>REPT(" ",18-LEN(FIXED(F2297,2,TRUE)))&amp;FIXED(F2297,2,TRUE)</f>
        <v/>
      </c>
      <c r="AH2297" s="10">
        <f>LEN(AC2297)+LEN(AG2297)</f>
        <v/>
      </c>
      <c r="AI2297" s="10">
        <f>LEN(L2297)</f>
        <v/>
      </c>
    </row>
    <row r="2298">
      <c r="J2298" s="12">
        <f>IF(F2298&lt;&gt;0,"LANÇAR","")</f>
        <v/>
      </c>
      <c r="L2298" s="13">
        <f>N2298&amp;O2298&amp;P2298&amp;Q2298&amp;R2298&amp;S2298&amp;T2298&amp;U2298&amp;V2298&amp;W2298&amp;X2298&amp;Y2298&amp;Z2298&amp;AA2298&amp;AB2298&amp;AC2298&amp;AD2298&amp;AE2298&amp;AF2298&amp;AG2298</f>
        <v/>
      </c>
      <c r="N2298" s="10">
        <f>TEXT($B$6,"00")</f>
        <v/>
      </c>
      <c r="O2298" s="10">
        <f>REPT(" ",8)</f>
        <v/>
      </c>
      <c r="P2298" s="10">
        <f>RIGHT($B$4,2)</f>
        <v/>
      </c>
      <c r="Q2298" s="10">
        <f>RIGHT($B$5,3)</f>
        <v/>
      </c>
      <c r="R2298" s="10">
        <f>IF(A2298="D",LEFT(UPPER(B2298)&amp;REPT(" ",20),20),REPT(" ",20))</f>
        <v/>
      </c>
      <c r="S2298" s="10">
        <f>IF(A2298="D",LEFT(UPPER(C2298)&amp;REPT(" ",10),10)," ")</f>
        <v/>
      </c>
      <c r="T2298" s="10">
        <f>IF(A2298="D",LEFT(UPPER(D2298)&amp;REPT(" ",2),2)," ")</f>
        <v/>
      </c>
      <c r="U2298" s="10">
        <f>IF(A2298="D",LEFT(UPPER(E2298)&amp;REPT(" ",15),15)," ")</f>
        <v/>
      </c>
      <c r="V2298" s="10">
        <f>REPT(" ",24)</f>
        <v/>
      </c>
      <c r="W2298" s="10">
        <f>IF(A2298="c",LEFT(UPPER(B2298)&amp;REPT(" ",20),20),REPT(" ",20))</f>
        <v/>
      </c>
      <c r="X2298" s="10">
        <f>IF(A2298="C",LEFT(UPPER(C2298)&amp;REPT(" ",10),10)," ")</f>
        <v/>
      </c>
      <c r="Y2298" s="10">
        <f>IF(A2298="C",LEFT(UPPER(D2298)&amp;REPT(" ",2),2)," ")</f>
        <v/>
      </c>
      <c r="Z2298" s="10">
        <f>IF(A2298="C",LEFT(UPPER(E2298)&amp;REPT(" ",15),15)," ")</f>
        <v/>
      </c>
      <c r="AA2298" s="10">
        <f>REPT(" ",8)</f>
        <v/>
      </c>
      <c r="AB2298" s="10">
        <f>REPT(" ",4)</f>
        <v/>
      </c>
      <c r="AC2298" s="10">
        <f>LEFT(UPPER(H2298)&amp;REPT(" ",250),250)</f>
        <v/>
      </c>
      <c r="AD2298" s="10">
        <f>TEXT($G$2,"dd/mm/aaaa")</f>
        <v/>
      </c>
      <c r="AE2298" s="10">
        <f>REPT(" ",10)</f>
        <v/>
      </c>
      <c r="AF2298" s="10">
        <f>REPT(" ",20)</f>
        <v/>
      </c>
      <c r="AG2298" s="54">
        <f>REPT(" ",18-LEN(FIXED(F2298,2,TRUE)))&amp;FIXED(F2298,2,TRUE)</f>
        <v/>
      </c>
      <c r="AH2298" s="10">
        <f>LEN(AC2298)+LEN(AG2298)</f>
        <v/>
      </c>
      <c r="AI2298" s="10">
        <f>LEN(L2298)</f>
        <v/>
      </c>
    </row>
    <row r="2299">
      <c r="J2299" s="12">
        <f>IF(F2299&lt;&gt;0,"LANÇAR","")</f>
        <v/>
      </c>
      <c r="L2299" s="13">
        <f>N2299&amp;O2299&amp;P2299&amp;Q2299&amp;R2299&amp;S2299&amp;T2299&amp;U2299&amp;V2299&amp;W2299&amp;X2299&amp;Y2299&amp;Z2299&amp;AA2299&amp;AB2299&amp;AC2299&amp;AD2299&amp;AE2299&amp;AF2299&amp;AG2299</f>
        <v/>
      </c>
      <c r="N2299" s="10">
        <f>TEXT($B$6,"00")</f>
        <v/>
      </c>
      <c r="O2299" s="10">
        <f>REPT(" ",8)</f>
        <v/>
      </c>
      <c r="P2299" s="10">
        <f>RIGHT($B$4,2)</f>
        <v/>
      </c>
      <c r="Q2299" s="10">
        <f>RIGHT($B$5,3)</f>
        <v/>
      </c>
      <c r="R2299" s="10">
        <f>IF(A2299="D",LEFT(UPPER(B2299)&amp;REPT(" ",20),20),REPT(" ",20))</f>
        <v/>
      </c>
      <c r="S2299" s="10">
        <f>IF(A2299="D",LEFT(UPPER(C2299)&amp;REPT(" ",10),10)," ")</f>
        <v/>
      </c>
      <c r="T2299" s="10">
        <f>IF(A2299="D",LEFT(UPPER(D2299)&amp;REPT(" ",2),2)," ")</f>
        <v/>
      </c>
      <c r="U2299" s="10">
        <f>IF(A2299="D",LEFT(UPPER(E2299)&amp;REPT(" ",15),15)," ")</f>
        <v/>
      </c>
      <c r="V2299" s="10">
        <f>REPT(" ",24)</f>
        <v/>
      </c>
      <c r="W2299" s="10">
        <f>IF(A2299="c",LEFT(UPPER(B2299)&amp;REPT(" ",20),20),REPT(" ",20))</f>
        <v/>
      </c>
      <c r="X2299" s="10">
        <f>IF(A2299="C",LEFT(UPPER(C2299)&amp;REPT(" ",10),10)," ")</f>
        <v/>
      </c>
      <c r="Y2299" s="10">
        <f>IF(A2299="C",LEFT(UPPER(D2299)&amp;REPT(" ",2),2)," ")</f>
        <v/>
      </c>
      <c r="Z2299" s="10">
        <f>IF(A2299="C",LEFT(UPPER(E2299)&amp;REPT(" ",15),15)," ")</f>
        <v/>
      </c>
      <c r="AA2299" s="10">
        <f>REPT(" ",8)</f>
        <v/>
      </c>
      <c r="AB2299" s="10">
        <f>REPT(" ",4)</f>
        <v/>
      </c>
      <c r="AC2299" s="10">
        <f>LEFT(UPPER(H2299)&amp;REPT(" ",250),250)</f>
        <v/>
      </c>
      <c r="AD2299" s="10">
        <f>TEXT($G$2,"dd/mm/aaaa")</f>
        <v/>
      </c>
      <c r="AE2299" s="10">
        <f>REPT(" ",10)</f>
        <v/>
      </c>
      <c r="AF2299" s="10">
        <f>REPT(" ",20)</f>
        <v/>
      </c>
      <c r="AG2299" s="54">
        <f>REPT(" ",18-LEN(FIXED(F2299,2,TRUE)))&amp;FIXED(F2299,2,TRUE)</f>
        <v/>
      </c>
      <c r="AH2299" s="10">
        <f>LEN(AC2299)+LEN(AG2299)</f>
        <v/>
      </c>
      <c r="AI2299" s="10">
        <f>LEN(L2299)</f>
        <v/>
      </c>
    </row>
    <row r="2300">
      <c r="J2300" s="12">
        <f>IF(F2300&lt;&gt;0,"LANÇAR","")</f>
        <v/>
      </c>
      <c r="L2300" s="13">
        <f>N2300&amp;O2300&amp;P2300&amp;Q2300&amp;R2300&amp;S2300&amp;T2300&amp;U2300&amp;V2300&amp;W2300&amp;X2300&amp;Y2300&amp;Z2300&amp;AA2300&amp;AB2300&amp;AC2300&amp;AD2300&amp;AE2300&amp;AF2300&amp;AG2300</f>
        <v/>
      </c>
      <c r="N2300" s="10">
        <f>TEXT($B$6,"00")</f>
        <v/>
      </c>
      <c r="O2300" s="10">
        <f>REPT(" ",8)</f>
        <v/>
      </c>
      <c r="P2300" s="10">
        <f>RIGHT($B$4,2)</f>
        <v/>
      </c>
      <c r="Q2300" s="10">
        <f>RIGHT($B$5,3)</f>
        <v/>
      </c>
      <c r="R2300" s="10">
        <f>IF(A2300="D",LEFT(UPPER(B2300)&amp;REPT(" ",20),20),REPT(" ",20))</f>
        <v/>
      </c>
      <c r="S2300" s="10">
        <f>IF(A2300="D",LEFT(UPPER(C2300)&amp;REPT(" ",10),10)," ")</f>
        <v/>
      </c>
      <c r="T2300" s="10">
        <f>IF(A2300="D",LEFT(UPPER(D2300)&amp;REPT(" ",2),2)," ")</f>
        <v/>
      </c>
      <c r="U2300" s="10">
        <f>IF(A2300="D",LEFT(UPPER(E2300)&amp;REPT(" ",15),15)," ")</f>
        <v/>
      </c>
      <c r="V2300" s="10">
        <f>REPT(" ",24)</f>
        <v/>
      </c>
      <c r="W2300" s="10">
        <f>IF(A2300="c",LEFT(UPPER(B2300)&amp;REPT(" ",20),20),REPT(" ",20))</f>
        <v/>
      </c>
      <c r="X2300" s="10">
        <f>IF(A2300="C",LEFT(UPPER(C2300)&amp;REPT(" ",10),10)," ")</f>
        <v/>
      </c>
      <c r="Y2300" s="10">
        <f>IF(A2300="C",LEFT(UPPER(D2300)&amp;REPT(" ",2),2)," ")</f>
        <v/>
      </c>
      <c r="Z2300" s="10">
        <f>IF(A2300="C",LEFT(UPPER(E2300)&amp;REPT(" ",15),15)," ")</f>
        <v/>
      </c>
      <c r="AA2300" s="10">
        <f>REPT(" ",8)</f>
        <v/>
      </c>
      <c r="AB2300" s="10">
        <f>REPT(" ",4)</f>
        <v/>
      </c>
      <c r="AC2300" s="10">
        <f>LEFT(UPPER(H2300)&amp;REPT(" ",250),250)</f>
        <v/>
      </c>
      <c r="AD2300" s="10">
        <f>TEXT($G$2,"dd/mm/aaaa")</f>
        <v/>
      </c>
      <c r="AE2300" s="10">
        <f>REPT(" ",10)</f>
        <v/>
      </c>
      <c r="AF2300" s="10">
        <f>REPT(" ",20)</f>
        <v/>
      </c>
      <c r="AG2300" s="54">
        <f>REPT(" ",18-LEN(FIXED(F2300,2,TRUE)))&amp;FIXED(F2300,2,TRUE)</f>
        <v/>
      </c>
      <c r="AH2300" s="10">
        <f>LEN(AC2300)+LEN(AG2300)</f>
        <v/>
      </c>
      <c r="AI2300" s="10">
        <f>LEN(L2300)</f>
        <v/>
      </c>
    </row>
    <row r="2301">
      <c r="J2301" s="12">
        <f>IF(F2301&lt;&gt;0,"LANÇAR","")</f>
        <v/>
      </c>
      <c r="L2301" s="13">
        <f>N2301&amp;O2301&amp;P2301&amp;Q2301&amp;R2301&amp;S2301&amp;T2301&amp;U2301&amp;V2301&amp;W2301&amp;X2301&amp;Y2301&amp;Z2301&amp;AA2301&amp;AB2301&amp;AC2301&amp;AD2301&amp;AE2301&amp;AF2301&amp;AG2301</f>
        <v/>
      </c>
      <c r="N2301" s="10">
        <f>TEXT($B$6,"00")</f>
        <v/>
      </c>
      <c r="O2301" s="10">
        <f>REPT(" ",8)</f>
        <v/>
      </c>
      <c r="P2301" s="10">
        <f>RIGHT($B$4,2)</f>
        <v/>
      </c>
      <c r="Q2301" s="10">
        <f>RIGHT($B$5,3)</f>
        <v/>
      </c>
      <c r="R2301" s="10">
        <f>IF(A2301="D",LEFT(UPPER(B2301)&amp;REPT(" ",20),20),REPT(" ",20))</f>
        <v/>
      </c>
      <c r="S2301" s="10">
        <f>IF(A2301="D",LEFT(UPPER(C2301)&amp;REPT(" ",10),10)," ")</f>
        <v/>
      </c>
      <c r="T2301" s="10">
        <f>IF(A2301="D",LEFT(UPPER(D2301)&amp;REPT(" ",2),2)," ")</f>
        <v/>
      </c>
      <c r="U2301" s="10">
        <f>IF(A2301="D",LEFT(UPPER(E2301)&amp;REPT(" ",15),15)," ")</f>
        <v/>
      </c>
      <c r="V2301" s="10">
        <f>REPT(" ",24)</f>
        <v/>
      </c>
      <c r="W2301" s="10">
        <f>IF(A2301="c",LEFT(UPPER(B2301)&amp;REPT(" ",20),20),REPT(" ",20))</f>
        <v/>
      </c>
      <c r="X2301" s="10">
        <f>IF(A2301="C",LEFT(UPPER(C2301)&amp;REPT(" ",10),10)," ")</f>
        <v/>
      </c>
      <c r="Y2301" s="10">
        <f>IF(A2301="C",LEFT(UPPER(D2301)&amp;REPT(" ",2),2)," ")</f>
        <v/>
      </c>
      <c r="Z2301" s="10">
        <f>IF(A2301="C",LEFT(UPPER(E2301)&amp;REPT(" ",15),15)," ")</f>
        <v/>
      </c>
      <c r="AA2301" s="10">
        <f>REPT(" ",8)</f>
        <v/>
      </c>
      <c r="AB2301" s="10">
        <f>REPT(" ",4)</f>
        <v/>
      </c>
      <c r="AC2301" s="10">
        <f>LEFT(UPPER(H2301)&amp;REPT(" ",250),250)</f>
        <v/>
      </c>
      <c r="AD2301" s="10">
        <f>TEXT($G$2,"dd/mm/aaaa")</f>
        <v/>
      </c>
      <c r="AE2301" s="10">
        <f>REPT(" ",10)</f>
        <v/>
      </c>
      <c r="AF2301" s="10">
        <f>REPT(" ",20)</f>
        <v/>
      </c>
      <c r="AG2301" s="54">
        <f>REPT(" ",18-LEN(FIXED(F2301,2,TRUE)))&amp;FIXED(F2301,2,TRUE)</f>
        <v/>
      </c>
      <c r="AH2301" s="10">
        <f>LEN(AC2301)+LEN(AG2301)</f>
        <v/>
      </c>
      <c r="AI2301" s="10">
        <f>LEN(L2301)</f>
        <v/>
      </c>
    </row>
    <row r="2302">
      <c r="J2302" s="12">
        <f>IF(F2302&lt;&gt;0,"LANÇAR","")</f>
        <v/>
      </c>
      <c r="L2302" s="13">
        <f>N2302&amp;O2302&amp;P2302&amp;Q2302&amp;R2302&amp;S2302&amp;T2302&amp;U2302&amp;V2302&amp;W2302&amp;X2302&amp;Y2302&amp;Z2302&amp;AA2302&amp;AB2302&amp;AC2302&amp;AD2302&amp;AE2302&amp;AF2302&amp;AG2302</f>
        <v/>
      </c>
      <c r="N2302" s="10">
        <f>TEXT($B$6,"00")</f>
        <v/>
      </c>
      <c r="O2302" s="10">
        <f>REPT(" ",8)</f>
        <v/>
      </c>
      <c r="P2302" s="10">
        <f>RIGHT($B$4,2)</f>
        <v/>
      </c>
      <c r="Q2302" s="10">
        <f>RIGHT($B$5,3)</f>
        <v/>
      </c>
      <c r="R2302" s="10">
        <f>IF(A2302="D",LEFT(UPPER(B2302)&amp;REPT(" ",20),20),REPT(" ",20))</f>
        <v/>
      </c>
      <c r="S2302" s="10">
        <f>IF(A2302="D",LEFT(UPPER(C2302)&amp;REPT(" ",10),10)," ")</f>
        <v/>
      </c>
      <c r="T2302" s="10">
        <f>IF(A2302="D",LEFT(UPPER(D2302)&amp;REPT(" ",2),2)," ")</f>
        <v/>
      </c>
      <c r="U2302" s="10">
        <f>IF(A2302="D",LEFT(UPPER(E2302)&amp;REPT(" ",15),15)," ")</f>
        <v/>
      </c>
      <c r="V2302" s="10">
        <f>REPT(" ",24)</f>
        <v/>
      </c>
      <c r="W2302" s="10">
        <f>IF(A2302="c",LEFT(UPPER(B2302)&amp;REPT(" ",20),20),REPT(" ",20))</f>
        <v/>
      </c>
      <c r="X2302" s="10">
        <f>IF(A2302="C",LEFT(UPPER(C2302)&amp;REPT(" ",10),10)," ")</f>
        <v/>
      </c>
      <c r="Y2302" s="10">
        <f>IF(A2302="C",LEFT(UPPER(D2302)&amp;REPT(" ",2),2)," ")</f>
        <v/>
      </c>
      <c r="Z2302" s="10">
        <f>IF(A2302="C",LEFT(UPPER(E2302)&amp;REPT(" ",15),15)," ")</f>
        <v/>
      </c>
      <c r="AA2302" s="10">
        <f>REPT(" ",8)</f>
        <v/>
      </c>
      <c r="AB2302" s="10">
        <f>REPT(" ",4)</f>
        <v/>
      </c>
      <c r="AC2302" s="10">
        <f>LEFT(UPPER(H2302)&amp;REPT(" ",250),250)</f>
        <v/>
      </c>
      <c r="AD2302" s="10">
        <f>TEXT($G$2,"dd/mm/aaaa")</f>
        <v/>
      </c>
      <c r="AE2302" s="10">
        <f>REPT(" ",10)</f>
        <v/>
      </c>
      <c r="AF2302" s="10">
        <f>REPT(" ",20)</f>
        <v/>
      </c>
      <c r="AG2302" s="54">
        <f>REPT(" ",18-LEN(FIXED(F2302,2,TRUE)))&amp;FIXED(F2302,2,TRUE)</f>
        <v/>
      </c>
      <c r="AH2302" s="10">
        <f>LEN(AC2302)+LEN(AG2302)</f>
        <v/>
      </c>
      <c r="AI2302" s="10">
        <f>LEN(L2302)</f>
        <v/>
      </c>
    </row>
    <row r="2303">
      <c r="J2303" s="12">
        <f>IF(F2303&lt;&gt;0,"LANÇAR","")</f>
        <v/>
      </c>
      <c r="L2303" s="13">
        <f>N2303&amp;O2303&amp;P2303&amp;Q2303&amp;R2303&amp;S2303&amp;T2303&amp;U2303&amp;V2303&amp;W2303&amp;X2303&amp;Y2303&amp;Z2303&amp;AA2303&amp;AB2303&amp;AC2303&amp;AD2303&amp;AE2303&amp;AF2303&amp;AG2303</f>
        <v/>
      </c>
      <c r="N2303" s="10">
        <f>TEXT($B$6,"00")</f>
        <v/>
      </c>
      <c r="O2303" s="10">
        <f>REPT(" ",8)</f>
        <v/>
      </c>
      <c r="P2303" s="10">
        <f>RIGHT($B$4,2)</f>
        <v/>
      </c>
      <c r="Q2303" s="10">
        <f>RIGHT($B$5,3)</f>
        <v/>
      </c>
      <c r="R2303" s="10">
        <f>IF(A2303="D",LEFT(UPPER(B2303)&amp;REPT(" ",20),20),REPT(" ",20))</f>
        <v/>
      </c>
      <c r="S2303" s="10">
        <f>IF(A2303="D",LEFT(UPPER(C2303)&amp;REPT(" ",10),10)," ")</f>
        <v/>
      </c>
      <c r="T2303" s="10">
        <f>IF(A2303="D",LEFT(UPPER(D2303)&amp;REPT(" ",2),2)," ")</f>
        <v/>
      </c>
      <c r="U2303" s="10">
        <f>IF(A2303="D",LEFT(UPPER(E2303)&amp;REPT(" ",15),15)," ")</f>
        <v/>
      </c>
      <c r="V2303" s="10">
        <f>REPT(" ",24)</f>
        <v/>
      </c>
      <c r="W2303" s="10">
        <f>IF(A2303="c",LEFT(UPPER(B2303)&amp;REPT(" ",20),20),REPT(" ",20))</f>
        <v/>
      </c>
      <c r="X2303" s="10">
        <f>IF(A2303="C",LEFT(UPPER(C2303)&amp;REPT(" ",10),10)," ")</f>
        <v/>
      </c>
      <c r="Y2303" s="10">
        <f>IF(A2303="C",LEFT(UPPER(D2303)&amp;REPT(" ",2),2)," ")</f>
        <v/>
      </c>
      <c r="Z2303" s="10">
        <f>IF(A2303="C",LEFT(UPPER(E2303)&amp;REPT(" ",15),15)," ")</f>
        <v/>
      </c>
      <c r="AA2303" s="10">
        <f>REPT(" ",8)</f>
        <v/>
      </c>
      <c r="AB2303" s="10">
        <f>REPT(" ",4)</f>
        <v/>
      </c>
      <c r="AC2303" s="10">
        <f>LEFT(UPPER(H2303)&amp;REPT(" ",250),250)</f>
        <v/>
      </c>
      <c r="AD2303" s="10">
        <f>TEXT($G$2,"dd/mm/aaaa")</f>
        <v/>
      </c>
      <c r="AE2303" s="10">
        <f>REPT(" ",10)</f>
        <v/>
      </c>
      <c r="AF2303" s="10">
        <f>REPT(" ",20)</f>
        <v/>
      </c>
      <c r="AG2303" s="54">
        <f>REPT(" ",18-LEN(FIXED(F2303,2,TRUE)))&amp;FIXED(F2303,2,TRUE)</f>
        <v/>
      </c>
      <c r="AH2303" s="10">
        <f>LEN(AC2303)+LEN(AG2303)</f>
        <v/>
      </c>
      <c r="AI2303" s="10">
        <f>LEN(L2303)</f>
        <v/>
      </c>
    </row>
    <row r="2304">
      <c r="J2304" s="12">
        <f>IF(F2304&lt;&gt;0,"LANÇAR","")</f>
        <v/>
      </c>
      <c r="L2304" s="13">
        <f>N2304&amp;O2304&amp;P2304&amp;Q2304&amp;R2304&amp;S2304&amp;T2304&amp;U2304&amp;V2304&amp;W2304&amp;X2304&amp;Y2304&amp;Z2304&amp;AA2304&amp;AB2304&amp;AC2304&amp;AD2304&amp;AE2304&amp;AF2304&amp;AG2304</f>
        <v/>
      </c>
      <c r="N2304" s="10">
        <f>TEXT($B$6,"00")</f>
        <v/>
      </c>
      <c r="O2304" s="10">
        <f>REPT(" ",8)</f>
        <v/>
      </c>
      <c r="P2304" s="10">
        <f>RIGHT($B$4,2)</f>
        <v/>
      </c>
      <c r="Q2304" s="10">
        <f>RIGHT($B$5,3)</f>
        <v/>
      </c>
      <c r="R2304" s="10">
        <f>IF(A2304="D",LEFT(UPPER(B2304)&amp;REPT(" ",20),20),REPT(" ",20))</f>
        <v/>
      </c>
      <c r="S2304" s="10">
        <f>IF(A2304="D",LEFT(UPPER(C2304)&amp;REPT(" ",10),10)," ")</f>
        <v/>
      </c>
      <c r="T2304" s="10">
        <f>IF(A2304="D",LEFT(UPPER(D2304)&amp;REPT(" ",2),2)," ")</f>
        <v/>
      </c>
      <c r="U2304" s="10">
        <f>IF(A2304="D",LEFT(UPPER(E2304)&amp;REPT(" ",15),15)," ")</f>
        <v/>
      </c>
      <c r="V2304" s="10">
        <f>REPT(" ",24)</f>
        <v/>
      </c>
      <c r="W2304" s="10">
        <f>IF(A2304="c",LEFT(UPPER(B2304)&amp;REPT(" ",20),20),REPT(" ",20))</f>
        <v/>
      </c>
      <c r="X2304" s="10">
        <f>IF(A2304="C",LEFT(UPPER(C2304)&amp;REPT(" ",10),10)," ")</f>
        <v/>
      </c>
      <c r="Y2304" s="10">
        <f>IF(A2304="C",LEFT(UPPER(D2304)&amp;REPT(" ",2),2)," ")</f>
        <v/>
      </c>
      <c r="Z2304" s="10">
        <f>IF(A2304="C",LEFT(UPPER(E2304)&amp;REPT(" ",15),15)," ")</f>
        <v/>
      </c>
      <c r="AA2304" s="10">
        <f>REPT(" ",8)</f>
        <v/>
      </c>
      <c r="AB2304" s="10">
        <f>REPT(" ",4)</f>
        <v/>
      </c>
      <c r="AC2304" s="10">
        <f>LEFT(UPPER(H2304)&amp;REPT(" ",250),250)</f>
        <v/>
      </c>
      <c r="AD2304" s="10">
        <f>TEXT($G$2,"dd/mm/aaaa")</f>
        <v/>
      </c>
      <c r="AE2304" s="10">
        <f>REPT(" ",10)</f>
        <v/>
      </c>
      <c r="AF2304" s="10">
        <f>REPT(" ",20)</f>
        <v/>
      </c>
      <c r="AG2304" s="54">
        <f>REPT(" ",18-LEN(FIXED(F2304,2,TRUE)))&amp;FIXED(F2304,2,TRUE)</f>
        <v/>
      </c>
      <c r="AH2304" s="10">
        <f>LEN(AC2304)+LEN(AG2304)</f>
        <v/>
      </c>
      <c r="AI2304" s="10">
        <f>LEN(L2304)</f>
        <v/>
      </c>
    </row>
    <row r="2305">
      <c r="J2305" s="12">
        <f>IF(F2305&lt;&gt;0,"LANÇAR","")</f>
        <v/>
      </c>
      <c r="L2305" s="13">
        <f>N2305&amp;O2305&amp;P2305&amp;Q2305&amp;R2305&amp;S2305&amp;T2305&amp;U2305&amp;V2305&amp;W2305&amp;X2305&amp;Y2305&amp;Z2305&amp;AA2305&amp;AB2305&amp;AC2305&amp;AD2305&amp;AE2305&amp;AF2305&amp;AG2305</f>
        <v/>
      </c>
      <c r="N2305" s="10">
        <f>TEXT($B$6,"00")</f>
        <v/>
      </c>
      <c r="O2305" s="10">
        <f>REPT(" ",8)</f>
        <v/>
      </c>
      <c r="P2305" s="10">
        <f>RIGHT($B$4,2)</f>
        <v/>
      </c>
      <c r="Q2305" s="10">
        <f>RIGHT($B$5,3)</f>
        <v/>
      </c>
      <c r="R2305" s="10">
        <f>IF(A2305="D",LEFT(UPPER(B2305)&amp;REPT(" ",20),20),REPT(" ",20))</f>
        <v/>
      </c>
      <c r="S2305" s="10">
        <f>IF(A2305="D",LEFT(UPPER(C2305)&amp;REPT(" ",10),10)," ")</f>
        <v/>
      </c>
      <c r="T2305" s="10">
        <f>IF(A2305="D",LEFT(UPPER(D2305)&amp;REPT(" ",2),2)," ")</f>
        <v/>
      </c>
      <c r="U2305" s="10">
        <f>IF(A2305="D",LEFT(UPPER(E2305)&amp;REPT(" ",15),15)," ")</f>
        <v/>
      </c>
      <c r="V2305" s="10">
        <f>REPT(" ",24)</f>
        <v/>
      </c>
      <c r="W2305" s="10">
        <f>IF(A2305="c",LEFT(UPPER(B2305)&amp;REPT(" ",20),20),REPT(" ",20))</f>
        <v/>
      </c>
      <c r="X2305" s="10">
        <f>IF(A2305="C",LEFT(UPPER(C2305)&amp;REPT(" ",10),10)," ")</f>
        <v/>
      </c>
      <c r="Y2305" s="10">
        <f>IF(A2305="C",LEFT(UPPER(D2305)&amp;REPT(" ",2),2)," ")</f>
        <v/>
      </c>
      <c r="Z2305" s="10">
        <f>IF(A2305="C",LEFT(UPPER(E2305)&amp;REPT(" ",15),15)," ")</f>
        <v/>
      </c>
      <c r="AA2305" s="10">
        <f>REPT(" ",8)</f>
        <v/>
      </c>
      <c r="AB2305" s="10">
        <f>REPT(" ",4)</f>
        <v/>
      </c>
      <c r="AC2305" s="10">
        <f>LEFT(UPPER(H2305)&amp;REPT(" ",250),250)</f>
        <v/>
      </c>
      <c r="AD2305" s="10">
        <f>TEXT($G$2,"dd/mm/aaaa")</f>
        <v/>
      </c>
      <c r="AE2305" s="10">
        <f>REPT(" ",10)</f>
        <v/>
      </c>
      <c r="AF2305" s="10">
        <f>REPT(" ",20)</f>
        <v/>
      </c>
      <c r="AG2305" s="54">
        <f>REPT(" ",18-LEN(FIXED(F2305,2,TRUE)))&amp;FIXED(F2305,2,TRUE)</f>
        <v/>
      </c>
      <c r="AH2305" s="10">
        <f>LEN(AC2305)+LEN(AG2305)</f>
        <v/>
      </c>
      <c r="AI2305" s="10">
        <f>LEN(L2305)</f>
        <v/>
      </c>
    </row>
    <row r="2306">
      <c r="J2306" s="12">
        <f>IF(F2306&lt;&gt;0,"LANÇAR","")</f>
        <v/>
      </c>
      <c r="L2306" s="13">
        <f>N2306&amp;O2306&amp;P2306&amp;Q2306&amp;R2306&amp;S2306&amp;T2306&amp;U2306&amp;V2306&amp;W2306&amp;X2306&amp;Y2306&amp;Z2306&amp;AA2306&amp;AB2306&amp;AC2306&amp;AD2306&amp;AE2306&amp;AF2306&amp;AG2306</f>
        <v/>
      </c>
      <c r="N2306" s="10">
        <f>TEXT($B$6,"00")</f>
        <v/>
      </c>
      <c r="O2306" s="10">
        <f>REPT(" ",8)</f>
        <v/>
      </c>
      <c r="P2306" s="10">
        <f>RIGHT($B$4,2)</f>
        <v/>
      </c>
      <c r="Q2306" s="10">
        <f>RIGHT($B$5,3)</f>
        <v/>
      </c>
      <c r="R2306" s="10">
        <f>IF(A2306="D",LEFT(UPPER(B2306)&amp;REPT(" ",20),20),REPT(" ",20))</f>
        <v/>
      </c>
      <c r="S2306" s="10">
        <f>IF(A2306="D",LEFT(UPPER(C2306)&amp;REPT(" ",10),10)," ")</f>
        <v/>
      </c>
      <c r="T2306" s="10">
        <f>IF(A2306="D",LEFT(UPPER(D2306)&amp;REPT(" ",2),2)," ")</f>
        <v/>
      </c>
      <c r="U2306" s="10">
        <f>IF(A2306="D",LEFT(UPPER(E2306)&amp;REPT(" ",15),15)," ")</f>
        <v/>
      </c>
      <c r="V2306" s="10">
        <f>REPT(" ",24)</f>
        <v/>
      </c>
      <c r="W2306" s="10">
        <f>IF(A2306="c",LEFT(UPPER(B2306)&amp;REPT(" ",20),20),REPT(" ",20))</f>
        <v/>
      </c>
      <c r="X2306" s="10">
        <f>IF(A2306="C",LEFT(UPPER(C2306)&amp;REPT(" ",10),10)," ")</f>
        <v/>
      </c>
      <c r="Y2306" s="10">
        <f>IF(A2306="C",LEFT(UPPER(D2306)&amp;REPT(" ",2),2)," ")</f>
        <v/>
      </c>
      <c r="Z2306" s="10">
        <f>IF(A2306="C",LEFT(UPPER(E2306)&amp;REPT(" ",15),15)," ")</f>
        <v/>
      </c>
      <c r="AA2306" s="10">
        <f>REPT(" ",8)</f>
        <v/>
      </c>
      <c r="AB2306" s="10">
        <f>REPT(" ",4)</f>
        <v/>
      </c>
      <c r="AC2306" s="10">
        <f>LEFT(UPPER(H2306)&amp;REPT(" ",250),250)</f>
        <v/>
      </c>
      <c r="AD2306" s="10">
        <f>TEXT($G$2,"dd/mm/aaaa")</f>
        <v/>
      </c>
      <c r="AE2306" s="10">
        <f>REPT(" ",10)</f>
        <v/>
      </c>
      <c r="AF2306" s="10">
        <f>REPT(" ",20)</f>
        <v/>
      </c>
      <c r="AG2306" s="54">
        <f>REPT(" ",18-LEN(FIXED(F2306,2,TRUE)))&amp;FIXED(F2306,2,TRUE)</f>
        <v/>
      </c>
      <c r="AH2306" s="10">
        <f>LEN(AC2306)+LEN(AG2306)</f>
        <v/>
      </c>
      <c r="AI2306" s="10">
        <f>LEN(L2306)</f>
        <v/>
      </c>
    </row>
    <row r="2307">
      <c r="J2307" s="12">
        <f>IF(F2307&lt;&gt;0,"LANÇAR","")</f>
        <v/>
      </c>
      <c r="L2307" s="13">
        <f>N2307&amp;O2307&amp;P2307&amp;Q2307&amp;R2307&amp;S2307&amp;T2307&amp;U2307&amp;V2307&amp;W2307&amp;X2307&amp;Y2307&amp;Z2307&amp;AA2307&amp;AB2307&amp;AC2307&amp;AD2307&amp;AE2307&amp;AF2307&amp;AG2307</f>
        <v/>
      </c>
      <c r="N2307" s="10">
        <f>TEXT($B$6,"00")</f>
        <v/>
      </c>
      <c r="O2307" s="10">
        <f>REPT(" ",8)</f>
        <v/>
      </c>
      <c r="P2307" s="10">
        <f>RIGHT($B$4,2)</f>
        <v/>
      </c>
      <c r="Q2307" s="10">
        <f>RIGHT($B$5,3)</f>
        <v/>
      </c>
      <c r="R2307" s="10">
        <f>IF(A2307="D",LEFT(UPPER(B2307)&amp;REPT(" ",20),20),REPT(" ",20))</f>
        <v/>
      </c>
      <c r="S2307" s="10">
        <f>IF(A2307="D",LEFT(UPPER(C2307)&amp;REPT(" ",10),10)," ")</f>
        <v/>
      </c>
      <c r="T2307" s="10">
        <f>IF(A2307="D",LEFT(UPPER(D2307)&amp;REPT(" ",2),2)," ")</f>
        <v/>
      </c>
      <c r="U2307" s="10">
        <f>IF(A2307="D",LEFT(UPPER(E2307)&amp;REPT(" ",15),15)," ")</f>
        <v/>
      </c>
      <c r="V2307" s="10">
        <f>REPT(" ",24)</f>
        <v/>
      </c>
      <c r="W2307" s="10">
        <f>IF(A2307="c",LEFT(UPPER(B2307)&amp;REPT(" ",20),20),REPT(" ",20))</f>
        <v/>
      </c>
      <c r="X2307" s="10">
        <f>IF(A2307="C",LEFT(UPPER(C2307)&amp;REPT(" ",10),10)," ")</f>
        <v/>
      </c>
      <c r="Y2307" s="10">
        <f>IF(A2307="C",LEFT(UPPER(D2307)&amp;REPT(" ",2),2)," ")</f>
        <v/>
      </c>
      <c r="Z2307" s="10">
        <f>IF(A2307="C",LEFT(UPPER(E2307)&amp;REPT(" ",15),15)," ")</f>
        <v/>
      </c>
      <c r="AA2307" s="10">
        <f>REPT(" ",8)</f>
        <v/>
      </c>
      <c r="AB2307" s="10">
        <f>REPT(" ",4)</f>
        <v/>
      </c>
      <c r="AC2307" s="10">
        <f>LEFT(UPPER(H2307)&amp;REPT(" ",250),250)</f>
        <v/>
      </c>
      <c r="AD2307" s="10">
        <f>TEXT($G$2,"dd/mm/aaaa")</f>
        <v/>
      </c>
      <c r="AE2307" s="10">
        <f>REPT(" ",10)</f>
        <v/>
      </c>
      <c r="AF2307" s="10">
        <f>REPT(" ",20)</f>
        <v/>
      </c>
      <c r="AG2307" s="54">
        <f>REPT(" ",18-LEN(FIXED(F2307,2,TRUE)))&amp;FIXED(F2307,2,TRUE)</f>
        <v/>
      </c>
      <c r="AH2307" s="10">
        <f>LEN(AC2307)+LEN(AG2307)</f>
        <v/>
      </c>
      <c r="AI2307" s="10">
        <f>LEN(L2307)</f>
        <v/>
      </c>
    </row>
    <row r="2308">
      <c r="J2308" s="12">
        <f>IF(F2308&lt;&gt;0,"LANÇAR","")</f>
        <v/>
      </c>
      <c r="L2308" s="13">
        <f>N2308&amp;O2308&amp;P2308&amp;Q2308&amp;R2308&amp;S2308&amp;T2308&amp;U2308&amp;V2308&amp;W2308&amp;X2308&amp;Y2308&amp;Z2308&amp;AA2308&amp;AB2308&amp;AC2308&amp;AD2308&amp;AE2308&amp;AF2308&amp;AG2308</f>
        <v/>
      </c>
      <c r="N2308" s="10">
        <f>TEXT($B$6,"00")</f>
        <v/>
      </c>
      <c r="O2308" s="10">
        <f>REPT(" ",8)</f>
        <v/>
      </c>
      <c r="P2308" s="10">
        <f>RIGHT($B$4,2)</f>
        <v/>
      </c>
      <c r="Q2308" s="10">
        <f>RIGHT($B$5,3)</f>
        <v/>
      </c>
      <c r="R2308" s="10">
        <f>IF(A2308="D",LEFT(UPPER(B2308)&amp;REPT(" ",20),20),REPT(" ",20))</f>
        <v/>
      </c>
      <c r="S2308" s="10">
        <f>IF(A2308="D",LEFT(UPPER(C2308)&amp;REPT(" ",10),10)," ")</f>
        <v/>
      </c>
      <c r="T2308" s="10">
        <f>IF(A2308="D",LEFT(UPPER(D2308)&amp;REPT(" ",2),2)," ")</f>
        <v/>
      </c>
      <c r="U2308" s="10">
        <f>IF(A2308="D",LEFT(UPPER(E2308)&amp;REPT(" ",15),15)," ")</f>
        <v/>
      </c>
      <c r="V2308" s="10">
        <f>REPT(" ",24)</f>
        <v/>
      </c>
      <c r="W2308" s="10">
        <f>IF(A2308="c",LEFT(UPPER(B2308)&amp;REPT(" ",20),20),REPT(" ",20))</f>
        <v/>
      </c>
      <c r="X2308" s="10">
        <f>IF(A2308="C",LEFT(UPPER(C2308)&amp;REPT(" ",10),10)," ")</f>
        <v/>
      </c>
      <c r="Y2308" s="10">
        <f>IF(A2308="C",LEFT(UPPER(D2308)&amp;REPT(" ",2),2)," ")</f>
        <v/>
      </c>
      <c r="Z2308" s="10">
        <f>IF(A2308="C",LEFT(UPPER(E2308)&amp;REPT(" ",15),15)," ")</f>
        <v/>
      </c>
      <c r="AA2308" s="10">
        <f>REPT(" ",8)</f>
        <v/>
      </c>
      <c r="AB2308" s="10">
        <f>REPT(" ",4)</f>
        <v/>
      </c>
      <c r="AC2308" s="10">
        <f>LEFT(UPPER(H2308)&amp;REPT(" ",250),250)</f>
        <v/>
      </c>
      <c r="AD2308" s="10">
        <f>TEXT($G$2,"dd/mm/aaaa")</f>
        <v/>
      </c>
      <c r="AE2308" s="10">
        <f>REPT(" ",10)</f>
        <v/>
      </c>
      <c r="AF2308" s="10">
        <f>REPT(" ",20)</f>
        <v/>
      </c>
      <c r="AG2308" s="54">
        <f>REPT(" ",18-LEN(FIXED(F2308,2,TRUE)))&amp;FIXED(F2308,2,TRUE)</f>
        <v/>
      </c>
      <c r="AH2308" s="10">
        <f>LEN(AC2308)+LEN(AG2308)</f>
        <v/>
      </c>
      <c r="AI2308" s="10">
        <f>LEN(L2308)</f>
        <v/>
      </c>
    </row>
    <row r="2309">
      <c r="J2309" s="12">
        <f>IF(F2309&lt;&gt;0,"LANÇAR","")</f>
        <v/>
      </c>
      <c r="L2309" s="13">
        <f>N2309&amp;O2309&amp;P2309&amp;Q2309&amp;R2309&amp;S2309&amp;T2309&amp;U2309&amp;V2309&amp;W2309&amp;X2309&amp;Y2309&amp;Z2309&amp;AA2309&amp;AB2309&amp;AC2309&amp;AD2309&amp;AE2309&amp;AF2309&amp;AG2309</f>
        <v/>
      </c>
      <c r="N2309" s="10">
        <f>TEXT($B$6,"00")</f>
        <v/>
      </c>
      <c r="O2309" s="10">
        <f>REPT(" ",8)</f>
        <v/>
      </c>
      <c r="P2309" s="10">
        <f>RIGHT($B$4,2)</f>
        <v/>
      </c>
      <c r="Q2309" s="10">
        <f>RIGHT($B$5,3)</f>
        <v/>
      </c>
      <c r="R2309" s="10">
        <f>IF(A2309="D",LEFT(UPPER(B2309)&amp;REPT(" ",20),20),REPT(" ",20))</f>
        <v/>
      </c>
      <c r="S2309" s="10">
        <f>IF(A2309="D",LEFT(UPPER(C2309)&amp;REPT(" ",10),10)," ")</f>
        <v/>
      </c>
      <c r="T2309" s="10">
        <f>IF(A2309="D",LEFT(UPPER(D2309)&amp;REPT(" ",2),2)," ")</f>
        <v/>
      </c>
      <c r="U2309" s="10">
        <f>IF(A2309="D",LEFT(UPPER(E2309)&amp;REPT(" ",15),15)," ")</f>
        <v/>
      </c>
      <c r="V2309" s="10">
        <f>REPT(" ",24)</f>
        <v/>
      </c>
      <c r="W2309" s="10">
        <f>IF(A2309="c",LEFT(UPPER(B2309)&amp;REPT(" ",20),20),REPT(" ",20))</f>
        <v/>
      </c>
      <c r="X2309" s="10">
        <f>IF(A2309="C",LEFT(UPPER(C2309)&amp;REPT(" ",10),10)," ")</f>
        <v/>
      </c>
      <c r="Y2309" s="10">
        <f>IF(A2309="C",LEFT(UPPER(D2309)&amp;REPT(" ",2),2)," ")</f>
        <v/>
      </c>
      <c r="Z2309" s="10">
        <f>IF(A2309="C",LEFT(UPPER(E2309)&amp;REPT(" ",15),15)," ")</f>
        <v/>
      </c>
      <c r="AA2309" s="10">
        <f>REPT(" ",8)</f>
        <v/>
      </c>
      <c r="AB2309" s="10">
        <f>REPT(" ",4)</f>
        <v/>
      </c>
      <c r="AC2309" s="10">
        <f>LEFT(UPPER(H2309)&amp;REPT(" ",250),250)</f>
        <v/>
      </c>
      <c r="AD2309" s="10">
        <f>TEXT($G$2,"dd/mm/aaaa")</f>
        <v/>
      </c>
      <c r="AE2309" s="10">
        <f>REPT(" ",10)</f>
        <v/>
      </c>
      <c r="AF2309" s="10">
        <f>REPT(" ",20)</f>
        <v/>
      </c>
      <c r="AG2309" s="54">
        <f>REPT(" ",18-LEN(FIXED(F2309,2,TRUE)))&amp;FIXED(F2309,2,TRUE)</f>
        <v/>
      </c>
      <c r="AH2309" s="10">
        <f>LEN(AC2309)+LEN(AG2309)</f>
        <v/>
      </c>
      <c r="AI2309" s="10">
        <f>LEN(L2309)</f>
        <v/>
      </c>
    </row>
    <row r="2310">
      <c r="J2310" s="12">
        <f>IF(F2310&lt;&gt;0,"LANÇAR","")</f>
        <v/>
      </c>
      <c r="L2310" s="13">
        <f>N2310&amp;O2310&amp;P2310&amp;Q2310&amp;R2310&amp;S2310&amp;T2310&amp;U2310&amp;V2310&amp;W2310&amp;X2310&amp;Y2310&amp;Z2310&amp;AA2310&amp;AB2310&amp;AC2310&amp;AD2310&amp;AE2310&amp;AF2310&amp;AG2310</f>
        <v/>
      </c>
      <c r="N2310" s="10">
        <f>TEXT($B$6,"00")</f>
        <v/>
      </c>
      <c r="O2310" s="10">
        <f>REPT(" ",8)</f>
        <v/>
      </c>
      <c r="P2310" s="10">
        <f>RIGHT($B$4,2)</f>
        <v/>
      </c>
      <c r="Q2310" s="10">
        <f>RIGHT($B$5,3)</f>
        <v/>
      </c>
      <c r="R2310" s="10">
        <f>IF(A2310="D",LEFT(UPPER(B2310)&amp;REPT(" ",20),20),REPT(" ",20))</f>
        <v/>
      </c>
      <c r="S2310" s="10">
        <f>IF(A2310="D",LEFT(UPPER(C2310)&amp;REPT(" ",10),10)," ")</f>
        <v/>
      </c>
      <c r="T2310" s="10">
        <f>IF(A2310="D",LEFT(UPPER(D2310)&amp;REPT(" ",2),2)," ")</f>
        <v/>
      </c>
      <c r="U2310" s="10">
        <f>IF(A2310="D",LEFT(UPPER(E2310)&amp;REPT(" ",15),15)," ")</f>
        <v/>
      </c>
      <c r="V2310" s="10">
        <f>REPT(" ",24)</f>
        <v/>
      </c>
      <c r="W2310" s="10">
        <f>IF(A2310="c",LEFT(UPPER(B2310)&amp;REPT(" ",20),20),REPT(" ",20))</f>
        <v/>
      </c>
      <c r="X2310" s="10">
        <f>IF(A2310="C",LEFT(UPPER(C2310)&amp;REPT(" ",10),10)," ")</f>
        <v/>
      </c>
      <c r="Y2310" s="10">
        <f>IF(A2310="C",LEFT(UPPER(D2310)&amp;REPT(" ",2),2)," ")</f>
        <v/>
      </c>
      <c r="Z2310" s="10">
        <f>IF(A2310="C",LEFT(UPPER(E2310)&amp;REPT(" ",15),15)," ")</f>
        <v/>
      </c>
      <c r="AA2310" s="10">
        <f>REPT(" ",8)</f>
        <v/>
      </c>
      <c r="AB2310" s="10">
        <f>REPT(" ",4)</f>
        <v/>
      </c>
      <c r="AC2310" s="10">
        <f>LEFT(UPPER(H2310)&amp;REPT(" ",250),250)</f>
        <v/>
      </c>
      <c r="AD2310" s="10">
        <f>TEXT($G$2,"dd/mm/aaaa")</f>
        <v/>
      </c>
      <c r="AE2310" s="10">
        <f>REPT(" ",10)</f>
        <v/>
      </c>
      <c r="AF2310" s="10">
        <f>REPT(" ",20)</f>
        <v/>
      </c>
      <c r="AG2310" s="54">
        <f>REPT(" ",18-LEN(FIXED(F2310,2,TRUE)))&amp;FIXED(F2310,2,TRUE)</f>
        <v/>
      </c>
      <c r="AH2310" s="10">
        <f>LEN(AC2310)+LEN(AG2310)</f>
        <v/>
      </c>
      <c r="AI2310" s="10">
        <f>LEN(L2310)</f>
        <v/>
      </c>
    </row>
    <row r="2311">
      <c r="J2311" s="12">
        <f>IF(F2311&lt;&gt;0,"LANÇAR","")</f>
        <v/>
      </c>
      <c r="L2311" s="13">
        <f>N2311&amp;O2311&amp;P2311&amp;Q2311&amp;R2311&amp;S2311&amp;T2311&amp;U2311&amp;V2311&amp;W2311&amp;X2311&amp;Y2311&amp;Z2311&amp;AA2311&amp;AB2311&amp;AC2311&amp;AD2311&amp;AE2311&amp;AF2311&amp;AG2311</f>
        <v/>
      </c>
      <c r="N2311" s="10">
        <f>TEXT($B$6,"00")</f>
        <v/>
      </c>
      <c r="O2311" s="10">
        <f>REPT(" ",8)</f>
        <v/>
      </c>
      <c r="P2311" s="10">
        <f>RIGHT($B$4,2)</f>
        <v/>
      </c>
      <c r="Q2311" s="10">
        <f>RIGHT($B$5,3)</f>
        <v/>
      </c>
      <c r="R2311" s="10">
        <f>IF(A2311="D",LEFT(UPPER(B2311)&amp;REPT(" ",20),20),REPT(" ",20))</f>
        <v/>
      </c>
      <c r="S2311" s="10">
        <f>IF(A2311="D",LEFT(UPPER(C2311)&amp;REPT(" ",10),10)," ")</f>
        <v/>
      </c>
      <c r="T2311" s="10">
        <f>IF(A2311="D",LEFT(UPPER(D2311)&amp;REPT(" ",2),2)," ")</f>
        <v/>
      </c>
      <c r="U2311" s="10">
        <f>IF(A2311="D",LEFT(UPPER(E2311)&amp;REPT(" ",15),15)," ")</f>
        <v/>
      </c>
      <c r="V2311" s="10">
        <f>REPT(" ",24)</f>
        <v/>
      </c>
      <c r="W2311" s="10">
        <f>IF(A2311="c",LEFT(UPPER(B2311)&amp;REPT(" ",20),20),REPT(" ",20))</f>
        <v/>
      </c>
      <c r="X2311" s="10">
        <f>IF(A2311="C",LEFT(UPPER(C2311)&amp;REPT(" ",10),10)," ")</f>
        <v/>
      </c>
      <c r="Y2311" s="10">
        <f>IF(A2311="C",LEFT(UPPER(D2311)&amp;REPT(" ",2),2)," ")</f>
        <v/>
      </c>
      <c r="Z2311" s="10">
        <f>IF(A2311="C",LEFT(UPPER(E2311)&amp;REPT(" ",15),15)," ")</f>
        <v/>
      </c>
      <c r="AA2311" s="10">
        <f>REPT(" ",8)</f>
        <v/>
      </c>
      <c r="AB2311" s="10">
        <f>REPT(" ",4)</f>
        <v/>
      </c>
      <c r="AC2311" s="10">
        <f>LEFT(UPPER(H2311)&amp;REPT(" ",250),250)</f>
        <v/>
      </c>
      <c r="AD2311" s="10">
        <f>TEXT($G$2,"dd/mm/aaaa")</f>
        <v/>
      </c>
      <c r="AE2311" s="10">
        <f>REPT(" ",10)</f>
        <v/>
      </c>
      <c r="AF2311" s="10">
        <f>REPT(" ",20)</f>
        <v/>
      </c>
      <c r="AG2311" s="54">
        <f>REPT(" ",18-LEN(FIXED(F2311,2,TRUE)))&amp;FIXED(F2311,2,TRUE)</f>
        <v/>
      </c>
      <c r="AH2311" s="10">
        <f>LEN(AC2311)+LEN(AG2311)</f>
        <v/>
      </c>
      <c r="AI2311" s="10">
        <f>LEN(L2311)</f>
        <v/>
      </c>
    </row>
    <row r="2312">
      <c r="J2312" s="12">
        <f>IF(F2312&lt;&gt;0,"LANÇAR","")</f>
        <v/>
      </c>
      <c r="L2312" s="13">
        <f>N2312&amp;O2312&amp;P2312&amp;Q2312&amp;R2312&amp;S2312&amp;T2312&amp;U2312&amp;V2312&amp;W2312&amp;X2312&amp;Y2312&amp;Z2312&amp;AA2312&amp;AB2312&amp;AC2312&amp;AD2312&amp;AE2312&amp;AF2312&amp;AG2312</f>
        <v/>
      </c>
      <c r="N2312" s="10">
        <f>TEXT($B$6,"00")</f>
        <v/>
      </c>
      <c r="O2312" s="10">
        <f>REPT(" ",8)</f>
        <v/>
      </c>
      <c r="P2312" s="10">
        <f>RIGHT($B$4,2)</f>
        <v/>
      </c>
      <c r="Q2312" s="10">
        <f>RIGHT($B$5,3)</f>
        <v/>
      </c>
      <c r="R2312" s="10">
        <f>IF(A2312="D",LEFT(UPPER(B2312)&amp;REPT(" ",20),20),REPT(" ",20))</f>
        <v/>
      </c>
      <c r="S2312" s="10">
        <f>IF(A2312="D",LEFT(UPPER(C2312)&amp;REPT(" ",10),10)," ")</f>
        <v/>
      </c>
      <c r="T2312" s="10">
        <f>IF(A2312="D",LEFT(UPPER(D2312)&amp;REPT(" ",2),2)," ")</f>
        <v/>
      </c>
      <c r="U2312" s="10">
        <f>IF(A2312="D",LEFT(UPPER(E2312)&amp;REPT(" ",15),15)," ")</f>
        <v/>
      </c>
      <c r="V2312" s="10">
        <f>REPT(" ",24)</f>
        <v/>
      </c>
      <c r="W2312" s="10">
        <f>IF(A2312="c",LEFT(UPPER(B2312)&amp;REPT(" ",20),20),REPT(" ",20))</f>
        <v/>
      </c>
      <c r="X2312" s="10">
        <f>IF(A2312="C",LEFT(UPPER(C2312)&amp;REPT(" ",10),10)," ")</f>
        <v/>
      </c>
      <c r="Y2312" s="10">
        <f>IF(A2312="C",LEFT(UPPER(D2312)&amp;REPT(" ",2),2)," ")</f>
        <v/>
      </c>
      <c r="Z2312" s="10">
        <f>IF(A2312="C",LEFT(UPPER(E2312)&amp;REPT(" ",15),15)," ")</f>
        <v/>
      </c>
      <c r="AA2312" s="10">
        <f>REPT(" ",8)</f>
        <v/>
      </c>
      <c r="AB2312" s="10">
        <f>REPT(" ",4)</f>
        <v/>
      </c>
      <c r="AC2312" s="10">
        <f>LEFT(UPPER(H2312)&amp;REPT(" ",250),250)</f>
        <v/>
      </c>
      <c r="AD2312" s="10">
        <f>TEXT($G$2,"dd/mm/aaaa")</f>
        <v/>
      </c>
      <c r="AE2312" s="10">
        <f>REPT(" ",10)</f>
        <v/>
      </c>
      <c r="AF2312" s="10">
        <f>REPT(" ",20)</f>
        <v/>
      </c>
      <c r="AG2312" s="54">
        <f>REPT(" ",18-LEN(FIXED(F2312,2,TRUE)))&amp;FIXED(F2312,2,TRUE)</f>
        <v/>
      </c>
      <c r="AH2312" s="10">
        <f>LEN(AC2312)+LEN(AG2312)</f>
        <v/>
      </c>
      <c r="AI2312" s="10">
        <f>LEN(L2312)</f>
        <v/>
      </c>
    </row>
    <row r="2313">
      <c r="J2313" s="12">
        <f>IF(F2313&lt;&gt;0,"LANÇAR","")</f>
        <v/>
      </c>
      <c r="L2313" s="13">
        <f>N2313&amp;O2313&amp;P2313&amp;Q2313&amp;R2313&amp;S2313&amp;T2313&amp;U2313&amp;V2313&amp;W2313&amp;X2313&amp;Y2313&amp;Z2313&amp;AA2313&amp;AB2313&amp;AC2313&amp;AD2313&amp;AE2313&amp;AF2313&amp;AG2313</f>
        <v/>
      </c>
      <c r="N2313" s="10">
        <f>TEXT($B$6,"00")</f>
        <v/>
      </c>
      <c r="O2313" s="10">
        <f>REPT(" ",8)</f>
        <v/>
      </c>
      <c r="P2313" s="10">
        <f>RIGHT($B$4,2)</f>
        <v/>
      </c>
      <c r="Q2313" s="10">
        <f>RIGHT($B$5,3)</f>
        <v/>
      </c>
      <c r="R2313" s="10">
        <f>IF(A2313="D",LEFT(UPPER(B2313)&amp;REPT(" ",20),20),REPT(" ",20))</f>
        <v/>
      </c>
      <c r="S2313" s="10">
        <f>IF(A2313="D",LEFT(UPPER(C2313)&amp;REPT(" ",10),10)," ")</f>
        <v/>
      </c>
      <c r="T2313" s="10">
        <f>IF(A2313="D",LEFT(UPPER(D2313)&amp;REPT(" ",2),2)," ")</f>
        <v/>
      </c>
      <c r="U2313" s="10">
        <f>IF(A2313="D",LEFT(UPPER(E2313)&amp;REPT(" ",15),15)," ")</f>
        <v/>
      </c>
      <c r="V2313" s="10">
        <f>REPT(" ",24)</f>
        <v/>
      </c>
      <c r="W2313" s="10">
        <f>IF(A2313="c",LEFT(UPPER(B2313)&amp;REPT(" ",20),20),REPT(" ",20))</f>
        <v/>
      </c>
      <c r="X2313" s="10">
        <f>IF(A2313="C",LEFT(UPPER(C2313)&amp;REPT(" ",10),10)," ")</f>
        <v/>
      </c>
      <c r="Y2313" s="10">
        <f>IF(A2313="C",LEFT(UPPER(D2313)&amp;REPT(" ",2),2)," ")</f>
        <v/>
      </c>
      <c r="Z2313" s="10">
        <f>IF(A2313="C",LEFT(UPPER(E2313)&amp;REPT(" ",15),15)," ")</f>
        <v/>
      </c>
      <c r="AA2313" s="10">
        <f>REPT(" ",8)</f>
        <v/>
      </c>
      <c r="AB2313" s="10">
        <f>REPT(" ",4)</f>
        <v/>
      </c>
      <c r="AC2313" s="10">
        <f>LEFT(UPPER(H2313)&amp;REPT(" ",250),250)</f>
        <v/>
      </c>
      <c r="AD2313" s="10">
        <f>TEXT($G$2,"dd/mm/aaaa")</f>
        <v/>
      </c>
      <c r="AE2313" s="10">
        <f>REPT(" ",10)</f>
        <v/>
      </c>
      <c r="AF2313" s="10">
        <f>REPT(" ",20)</f>
        <v/>
      </c>
      <c r="AG2313" s="54">
        <f>REPT(" ",18-LEN(FIXED(F2313,2,TRUE)))&amp;FIXED(F2313,2,TRUE)</f>
        <v/>
      </c>
      <c r="AH2313" s="10">
        <f>LEN(AC2313)+LEN(AG2313)</f>
        <v/>
      </c>
      <c r="AI2313" s="10">
        <f>LEN(L2313)</f>
        <v/>
      </c>
    </row>
    <row r="2314">
      <c r="J2314" s="12">
        <f>IF(F2314&lt;&gt;0,"LANÇAR","")</f>
        <v/>
      </c>
      <c r="L2314" s="13">
        <f>N2314&amp;O2314&amp;P2314&amp;Q2314&amp;R2314&amp;S2314&amp;T2314&amp;U2314&amp;V2314&amp;W2314&amp;X2314&amp;Y2314&amp;Z2314&amp;AA2314&amp;AB2314&amp;AC2314&amp;AD2314&amp;AE2314&amp;AF2314&amp;AG2314</f>
        <v/>
      </c>
      <c r="N2314" s="10">
        <f>TEXT($B$6,"00")</f>
        <v/>
      </c>
      <c r="O2314" s="10">
        <f>REPT(" ",8)</f>
        <v/>
      </c>
      <c r="P2314" s="10">
        <f>RIGHT($B$4,2)</f>
        <v/>
      </c>
      <c r="Q2314" s="10">
        <f>RIGHT($B$5,3)</f>
        <v/>
      </c>
      <c r="R2314" s="10">
        <f>IF(A2314="D",LEFT(UPPER(B2314)&amp;REPT(" ",20),20),REPT(" ",20))</f>
        <v/>
      </c>
      <c r="S2314" s="10">
        <f>IF(A2314="D",LEFT(UPPER(C2314)&amp;REPT(" ",10),10)," ")</f>
        <v/>
      </c>
      <c r="T2314" s="10">
        <f>IF(A2314="D",LEFT(UPPER(D2314)&amp;REPT(" ",2),2)," ")</f>
        <v/>
      </c>
      <c r="U2314" s="10">
        <f>IF(A2314="D",LEFT(UPPER(E2314)&amp;REPT(" ",15),15)," ")</f>
        <v/>
      </c>
      <c r="V2314" s="10">
        <f>REPT(" ",24)</f>
        <v/>
      </c>
      <c r="W2314" s="10">
        <f>IF(A2314="c",LEFT(UPPER(B2314)&amp;REPT(" ",20),20),REPT(" ",20))</f>
        <v/>
      </c>
      <c r="X2314" s="10">
        <f>IF(A2314="C",LEFT(UPPER(C2314)&amp;REPT(" ",10),10)," ")</f>
        <v/>
      </c>
      <c r="Y2314" s="10">
        <f>IF(A2314="C",LEFT(UPPER(D2314)&amp;REPT(" ",2),2)," ")</f>
        <v/>
      </c>
      <c r="Z2314" s="10">
        <f>IF(A2314="C",LEFT(UPPER(E2314)&amp;REPT(" ",15),15)," ")</f>
        <v/>
      </c>
      <c r="AA2314" s="10">
        <f>REPT(" ",8)</f>
        <v/>
      </c>
      <c r="AB2314" s="10">
        <f>REPT(" ",4)</f>
        <v/>
      </c>
      <c r="AC2314" s="10">
        <f>LEFT(UPPER(H2314)&amp;REPT(" ",250),250)</f>
        <v/>
      </c>
      <c r="AD2314" s="10">
        <f>TEXT($G$2,"dd/mm/aaaa")</f>
        <v/>
      </c>
      <c r="AE2314" s="10">
        <f>REPT(" ",10)</f>
        <v/>
      </c>
      <c r="AF2314" s="10">
        <f>REPT(" ",20)</f>
        <v/>
      </c>
      <c r="AG2314" s="54">
        <f>REPT(" ",18-LEN(FIXED(F2314,2,TRUE)))&amp;FIXED(F2314,2,TRUE)</f>
        <v/>
      </c>
      <c r="AH2314" s="10">
        <f>LEN(AC2314)+LEN(AG2314)</f>
        <v/>
      </c>
      <c r="AI2314" s="10">
        <f>LEN(L2314)</f>
        <v/>
      </c>
    </row>
    <row r="2315">
      <c r="J2315" s="12">
        <f>IF(F2315&lt;&gt;0,"LANÇAR","")</f>
        <v/>
      </c>
      <c r="L2315" s="13">
        <f>N2315&amp;O2315&amp;P2315&amp;Q2315&amp;R2315&amp;S2315&amp;T2315&amp;U2315&amp;V2315&amp;W2315&amp;X2315&amp;Y2315&amp;Z2315&amp;AA2315&amp;AB2315&amp;AC2315&amp;AD2315&amp;AE2315&amp;AF2315&amp;AG2315</f>
        <v/>
      </c>
      <c r="N2315" s="10">
        <f>TEXT($B$6,"00")</f>
        <v/>
      </c>
      <c r="O2315" s="10">
        <f>REPT(" ",8)</f>
        <v/>
      </c>
      <c r="P2315" s="10">
        <f>RIGHT($B$4,2)</f>
        <v/>
      </c>
      <c r="Q2315" s="10">
        <f>RIGHT($B$5,3)</f>
        <v/>
      </c>
      <c r="R2315" s="10">
        <f>IF(A2315="D",LEFT(UPPER(B2315)&amp;REPT(" ",20),20),REPT(" ",20))</f>
        <v/>
      </c>
      <c r="S2315" s="10">
        <f>IF(A2315="D",LEFT(UPPER(C2315)&amp;REPT(" ",10),10)," ")</f>
        <v/>
      </c>
      <c r="T2315" s="10">
        <f>IF(A2315="D",LEFT(UPPER(D2315)&amp;REPT(" ",2),2)," ")</f>
        <v/>
      </c>
      <c r="U2315" s="10">
        <f>IF(A2315="D",LEFT(UPPER(E2315)&amp;REPT(" ",15),15)," ")</f>
        <v/>
      </c>
      <c r="V2315" s="10">
        <f>REPT(" ",24)</f>
        <v/>
      </c>
      <c r="W2315" s="10">
        <f>IF(A2315="c",LEFT(UPPER(B2315)&amp;REPT(" ",20),20),REPT(" ",20))</f>
        <v/>
      </c>
      <c r="X2315" s="10">
        <f>IF(A2315="C",LEFT(UPPER(C2315)&amp;REPT(" ",10),10)," ")</f>
        <v/>
      </c>
      <c r="Y2315" s="10">
        <f>IF(A2315="C",LEFT(UPPER(D2315)&amp;REPT(" ",2),2)," ")</f>
        <v/>
      </c>
      <c r="Z2315" s="10">
        <f>IF(A2315="C",LEFT(UPPER(E2315)&amp;REPT(" ",15),15)," ")</f>
        <v/>
      </c>
      <c r="AA2315" s="10">
        <f>REPT(" ",8)</f>
        <v/>
      </c>
      <c r="AB2315" s="10">
        <f>REPT(" ",4)</f>
        <v/>
      </c>
      <c r="AC2315" s="10">
        <f>LEFT(UPPER(H2315)&amp;REPT(" ",250),250)</f>
        <v/>
      </c>
      <c r="AD2315" s="10">
        <f>TEXT($G$2,"dd/mm/aaaa")</f>
        <v/>
      </c>
      <c r="AE2315" s="10">
        <f>REPT(" ",10)</f>
        <v/>
      </c>
      <c r="AF2315" s="10">
        <f>REPT(" ",20)</f>
        <v/>
      </c>
      <c r="AG2315" s="54">
        <f>REPT(" ",18-LEN(FIXED(F2315,2,TRUE)))&amp;FIXED(F2315,2,TRUE)</f>
        <v/>
      </c>
      <c r="AH2315" s="10">
        <f>LEN(AC2315)+LEN(AG2315)</f>
        <v/>
      </c>
      <c r="AI2315" s="10">
        <f>LEN(L2315)</f>
        <v/>
      </c>
    </row>
    <row r="2316">
      <c r="J2316" s="12">
        <f>IF(F2316&lt;&gt;0,"LANÇAR","")</f>
        <v/>
      </c>
      <c r="L2316" s="13">
        <f>N2316&amp;O2316&amp;P2316&amp;Q2316&amp;R2316&amp;S2316&amp;T2316&amp;U2316&amp;V2316&amp;W2316&amp;X2316&amp;Y2316&amp;Z2316&amp;AA2316&amp;AB2316&amp;AC2316&amp;AD2316&amp;AE2316&amp;AF2316&amp;AG2316</f>
        <v/>
      </c>
      <c r="N2316" s="10">
        <f>TEXT($B$6,"00")</f>
        <v/>
      </c>
      <c r="O2316" s="10">
        <f>REPT(" ",8)</f>
        <v/>
      </c>
      <c r="P2316" s="10">
        <f>RIGHT($B$4,2)</f>
        <v/>
      </c>
      <c r="Q2316" s="10">
        <f>RIGHT($B$5,3)</f>
        <v/>
      </c>
      <c r="R2316" s="10">
        <f>IF(A2316="D",LEFT(UPPER(B2316)&amp;REPT(" ",20),20),REPT(" ",20))</f>
        <v/>
      </c>
      <c r="S2316" s="10">
        <f>IF(A2316="D",LEFT(UPPER(C2316)&amp;REPT(" ",10),10)," ")</f>
        <v/>
      </c>
      <c r="T2316" s="10">
        <f>IF(A2316="D",LEFT(UPPER(D2316)&amp;REPT(" ",2),2)," ")</f>
        <v/>
      </c>
      <c r="U2316" s="10">
        <f>IF(A2316="D",LEFT(UPPER(E2316)&amp;REPT(" ",15),15)," ")</f>
        <v/>
      </c>
      <c r="V2316" s="10">
        <f>REPT(" ",24)</f>
        <v/>
      </c>
      <c r="W2316" s="10">
        <f>IF(A2316="c",LEFT(UPPER(B2316)&amp;REPT(" ",20),20),REPT(" ",20))</f>
        <v/>
      </c>
      <c r="X2316" s="10">
        <f>IF(A2316="C",LEFT(UPPER(C2316)&amp;REPT(" ",10),10)," ")</f>
        <v/>
      </c>
      <c r="Y2316" s="10">
        <f>IF(A2316="C",LEFT(UPPER(D2316)&amp;REPT(" ",2),2)," ")</f>
        <v/>
      </c>
      <c r="Z2316" s="10">
        <f>IF(A2316="C",LEFT(UPPER(E2316)&amp;REPT(" ",15),15)," ")</f>
        <v/>
      </c>
      <c r="AA2316" s="10">
        <f>REPT(" ",8)</f>
        <v/>
      </c>
      <c r="AB2316" s="10">
        <f>REPT(" ",4)</f>
        <v/>
      </c>
      <c r="AC2316" s="10">
        <f>LEFT(UPPER(H2316)&amp;REPT(" ",250),250)</f>
        <v/>
      </c>
      <c r="AD2316" s="10">
        <f>TEXT($G$2,"dd/mm/aaaa")</f>
        <v/>
      </c>
      <c r="AE2316" s="10">
        <f>REPT(" ",10)</f>
        <v/>
      </c>
      <c r="AF2316" s="10">
        <f>REPT(" ",20)</f>
        <v/>
      </c>
      <c r="AG2316" s="54">
        <f>REPT(" ",18-LEN(FIXED(F2316,2,TRUE)))&amp;FIXED(F2316,2,TRUE)</f>
        <v/>
      </c>
      <c r="AH2316" s="10">
        <f>LEN(AC2316)+LEN(AG2316)</f>
        <v/>
      </c>
      <c r="AI2316" s="10">
        <f>LEN(L2316)</f>
        <v/>
      </c>
    </row>
    <row r="2317">
      <c r="J2317" s="12">
        <f>IF(F2317&lt;&gt;0,"LANÇAR","")</f>
        <v/>
      </c>
      <c r="L2317" s="13">
        <f>N2317&amp;O2317&amp;P2317&amp;Q2317&amp;R2317&amp;S2317&amp;T2317&amp;U2317&amp;V2317&amp;W2317&amp;X2317&amp;Y2317&amp;Z2317&amp;AA2317&amp;AB2317&amp;AC2317&amp;AD2317&amp;AE2317&amp;AF2317&amp;AG2317</f>
        <v/>
      </c>
      <c r="N2317" s="10">
        <f>TEXT($B$6,"00")</f>
        <v/>
      </c>
      <c r="O2317" s="10">
        <f>REPT(" ",8)</f>
        <v/>
      </c>
      <c r="P2317" s="10">
        <f>RIGHT($B$4,2)</f>
        <v/>
      </c>
      <c r="Q2317" s="10">
        <f>RIGHT($B$5,3)</f>
        <v/>
      </c>
      <c r="R2317" s="10">
        <f>IF(A2317="D",LEFT(UPPER(B2317)&amp;REPT(" ",20),20),REPT(" ",20))</f>
        <v/>
      </c>
      <c r="S2317" s="10">
        <f>IF(A2317="D",LEFT(UPPER(C2317)&amp;REPT(" ",10),10)," ")</f>
        <v/>
      </c>
      <c r="T2317" s="10">
        <f>IF(A2317="D",LEFT(UPPER(D2317)&amp;REPT(" ",2),2)," ")</f>
        <v/>
      </c>
      <c r="U2317" s="10">
        <f>IF(A2317="D",LEFT(UPPER(E2317)&amp;REPT(" ",15),15)," ")</f>
        <v/>
      </c>
      <c r="V2317" s="10">
        <f>REPT(" ",24)</f>
        <v/>
      </c>
      <c r="W2317" s="10">
        <f>IF(A2317="c",LEFT(UPPER(B2317)&amp;REPT(" ",20),20),REPT(" ",20))</f>
        <v/>
      </c>
      <c r="X2317" s="10">
        <f>IF(A2317="C",LEFT(UPPER(C2317)&amp;REPT(" ",10),10)," ")</f>
        <v/>
      </c>
      <c r="Y2317" s="10">
        <f>IF(A2317="C",LEFT(UPPER(D2317)&amp;REPT(" ",2),2)," ")</f>
        <v/>
      </c>
      <c r="Z2317" s="10">
        <f>IF(A2317="C",LEFT(UPPER(E2317)&amp;REPT(" ",15),15)," ")</f>
        <v/>
      </c>
      <c r="AA2317" s="10">
        <f>REPT(" ",8)</f>
        <v/>
      </c>
      <c r="AB2317" s="10">
        <f>REPT(" ",4)</f>
        <v/>
      </c>
      <c r="AC2317" s="10">
        <f>LEFT(UPPER(H2317)&amp;REPT(" ",250),250)</f>
        <v/>
      </c>
      <c r="AD2317" s="10">
        <f>TEXT($G$2,"dd/mm/aaaa")</f>
        <v/>
      </c>
      <c r="AE2317" s="10">
        <f>REPT(" ",10)</f>
        <v/>
      </c>
      <c r="AF2317" s="10">
        <f>REPT(" ",20)</f>
        <v/>
      </c>
      <c r="AG2317" s="54">
        <f>REPT(" ",18-LEN(FIXED(F2317,2,TRUE)))&amp;FIXED(F2317,2,TRUE)</f>
        <v/>
      </c>
      <c r="AH2317" s="10">
        <f>LEN(AC2317)+LEN(AG2317)</f>
        <v/>
      </c>
      <c r="AI2317" s="10">
        <f>LEN(L2317)</f>
        <v/>
      </c>
    </row>
    <row r="2318">
      <c r="J2318" s="12">
        <f>IF(F2318&lt;&gt;0,"LANÇAR","")</f>
        <v/>
      </c>
      <c r="L2318" s="13">
        <f>N2318&amp;O2318&amp;P2318&amp;Q2318&amp;R2318&amp;S2318&amp;T2318&amp;U2318&amp;V2318&amp;W2318&amp;X2318&amp;Y2318&amp;Z2318&amp;AA2318&amp;AB2318&amp;AC2318&amp;AD2318&amp;AE2318&amp;AF2318&amp;AG2318</f>
        <v/>
      </c>
      <c r="N2318" s="10">
        <f>TEXT($B$6,"00")</f>
        <v/>
      </c>
      <c r="O2318" s="10">
        <f>REPT(" ",8)</f>
        <v/>
      </c>
      <c r="P2318" s="10">
        <f>RIGHT($B$4,2)</f>
        <v/>
      </c>
      <c r="Q2318" s="10">
        <f>RIGHT($B$5,3)</f>
        <v/>
      </c>
      <c r="R2318" s="10">
        <f>IF(A2318="D",LEFT(UPPER(B2318)&amp;REPT(" ",20),20),REPT(" ",20))</f>
        <v/>
      </c>
      <c r="S2318" s="10">
        <f>IF(A2318="D",LEFT(UPPER(C2318)&amp;REPT(" ",10),10)," ")</f>
        <v/>
      </c>
      <c r="T2318" s="10">
        <f>IF(A2318="D",LEFT(UPPER(D2318)&amp;REPT(" ",2),2)," ")</f>
        <v/>
      </c>
      <c r="U2318" s="10">
        <f>IF(A2318="D",LEFT(UPPER(E2318)&amp;REPT(" ",15),15)," ")</f>
        <v/>
      </c>
      <c r="V2318" s="10">
        <f>REPT(" ",24)</f>
        <v/>
      </c>
      <c r="W2318" s="10">
        <f>IF(A2318="c",LEFT(UPPER(B2318)&amp;REPT(" ",20),20),REPT(" ",20))</f>
        <v/>
      </c>
      <c r="X2318" s="10">
        <f>IF(A2318="C",LEFT(UPPER(C2318)&amp;REPT(" ",10),10)," ")</f>
        <v/>
      </c>
      <c r="Y2318" s="10">
        <f>IF(A2318="C",LEFT(UPPER(D2318)&amp;REPT(" ",2),2)," ")</f>
        <v/>
      </c>
      <c r="Z2318" s="10">
        <f>IF(A2318="C",LEFT(UPPER(E2318)&amp;REPT(" ",15),15)," ")</f>
        <v/>
      </c>
      <c r="AA2318" s="10">
        <f>REPT(" ",8)</f>
        <v/>
      </c>
      <c r="AB2318" s="10">
        <f>REPT(" ",4)</f>
        <v/>
      </c>
      <c r="AC2318" s="10">
        <f>LEFT(UPPER(H2318)&amp;REPT(" ",250),250)</f>
        <v/>
      </c>
      <c r="AD2318" s="10">
        <f>TEXT($G$2,"dd/mm/aaaa")</f>
        <v/>
      </c>
      <c r="AE2318" s="10">
        <f>REPT(" ",10)</f>
        <v/>
      </c>
      <c r="AF2318" s="10">
        <f>REPT(" ",20)</f>
        <v/>
      </c>
      <c r="AG2318" s="54">
        <f>REPT(" ",18-LEN(FIXED(F2318,2,TRUE)))&amp;FIXED(F2318,2,TRUE)</f>
        <v/>
      </c>
      <c r="AH2318" s="10">
        <f>LEN(AC2318)+LEN(AG2318)</f>
        <v/>
      </c>
      <c r="AI2318" s="10">
        <f>LEN(L2318)</f>
        <v/>
      </c>
    </row>
    <row r="2319">
      <c r="J2319" s="12">
        <f>IF(F2319&lt;&gt;0,"LANÇAR","")</f>
        <v/>
      </c>
      <c r="L2319" s="13">
        <f>N2319&amp;O2319&amp;P2319&amp;Q2319&amp;R2319&amp;S2319&amp;T2319&amp;U2319&amp;V2319&amp;W2319&amp;X2319&amp;Y2319&amp;Z2319&amp;AA2319&amp;AB2319&amp;AC2319&amp;AD2319&amp;AE2319&amp;AF2319&amp;AG2319</f>
        <v/>
      </c>
      <c r="N2319" s="10">
        <f>TEXT($B$6,"00")</f>
        <v/>
      </c>
      <c r="O2319" s="10">
        <f>REPT(" ",8)</f>
        <v/>
      </c>
      <c r="P2319" s="10">
        <f>RIGHT($B$4,2)</f>
        <v/>
      </c>
      <c r="Q2319" s="10">
        <f>RIGHT($B$5,3)</f>
        <v/>
      </c>
      <c r="R2319" s="10">
        <f>IF(A2319="D",LEFT(UPPER(B2319)&amp;REPT(" ",20),20),REPT(" ",20))</f>
        <v/>
      </c>
      <c r="S2319" s="10">
        <f>IF(A2319="D",LEFT(UPPER(C2319)&amp;REPT(" ",10),10)," ")</f>
        <v/>
      </c>
      <c r="T2319" s="10">
        <f>IF(A2319="D",LEFT(UPPER(D2319)&amp;REPT(" ",2),2)," ")</f>
        <v/>
      </c>
      <c r="U2319" s="10">
        <f>IF(A2319="D",LEFT(UPPER(E2319)&amp;REPT(" ",15),15)," ")</f>
        <v/>
      </c>
      <c r="V2319" s="10">
        <f>REPT(" ",24)</f>
        <v/>
      </c>
      <c r="W2319" s="10">
        <f>IF(A2319="c",LEFT(UPPER(B2319)&amp;REPT(" ",20),20),REPT(" ",20))</f>
        <v/>
      </c>
      <c r="X2319" s="10">
        <f>IF(A2319="C",LEFT(UPPER(C2319)&amp;REPT(" ",10),10)," ")</f>
        <v/>
      </c>
      <c r="Y2319" s="10">
        <f>IF(A2319="C",LEFT(UPPER(D2319)&amp;REPT(" ",2),2)," ")</f>
        <v/>
      </c>
      <c r="Z2319" s="10">
        <f>IF(A2319="C",LEFT(UPPER(E2319)&amp;REPT(" ",15),15)," ")</f>
        <v/>
      </c>
      <c r="AA2319" s="10">
        <f>REPT(" ",8)</f>
        <v/>
      </c>
      <c r="AB2319" s="10">
        <f>REPT(" ",4)</f>
        <v/>
      </c>
      <c r="AC2319" s="10">
        <f>LEFT(UPPER(H2319)&amp;REPT(" ",250),250)</f>
        <v/>
      </c>
      <c r="AD2319" s="10">
        <f>TEXT($G$2,"dd/mm/aaaa")</f>
        <v/>
      </c>
      <c r="AE2319" s="10">
        <f>REPT(" ",10)</f>
        <v/>
      </c>
      <c r="AF2319" s="10">
        <f>REPT(" ",20)</f>
        <v/>
      </c>
      <c r="AG2319" s="54">
        <f>REPT(" ",18-LEN(FIXED(F2319,2,TRUE)))&amp;FIXED(F2319,2,TRUE)</f>
        <v/>
      </c>
      <c r="AH2319" s="10">
        <f>LEN(AC2319)+LEN(AG2319)</f>
        <v/>
      </c>
      <c r="AI2319" s="10">
        <f>LEN(L2319)</f>
        <v/>
      </c>
    </row>
    <row r="2320">
      <c r="J2320" s="12">
        <f>IF(F2320&lt;&gt;0,"LANÇAR","")</f>
        <v/>
      </c>
      <c r="L2320" s="13">
        <f>N2320&amp;O2320&amp;P2320&amp;Q2320&amp;R2320&amp;S2320&amp;T2320&amp;U2320&amp;V2320&amp;W2320&amp;X2320&amp;Y2320&amp;Z2320&amp;AA2320&amp;AB2320&amp;AC2320&amp;AD2320&amp;AE2320&amp;AF2320&amp;AG2320</f>
        <v/>
      </c>
      <c r="N2320" s="10">
        <f>TEXT($B$6,"00")</f>
        <v/>
      </c>
      <c r="O2320" s="10">
        <f>REPT(" ",8)</f>
        <v/>
      </c>
      <c r="P2320" s="10">
        <f>RIGHT($B$4,2)</f>
        <v/>
      </c>
      <c r="Q2320" s="10">
        <f>RIGHT($B$5,3)</f>
        <v/>
      </c>
      <c r="R2320" s="10">
        <f>IF(A2320="D",LEFT(UPPER(B2320)&amp;REPT(" ",20),20),REPT(" ",20))</f>
        <v/>
      </c>
      <c r="S2320" s="10">
        <f>IF(A2320="D",LEFT(UPPER(C2320)&amp;REPT(" ",10),10)," ")</f>
        <v/>
      </c>
      <c r="T2320" s="10">
        <f>IF(A2320="D",LEFT(UPPER(D2320)&amp;REPT(" ",2),2)," ")</f>
        <v/>
      </c>
      <c r="U2320" s="10">
        <f>IF(A2320="D",LEFT(UPPER(E2320)&amp;REPT(" ",15),15)," ")</f>
        <v/>
      </c>
      <c r="V2320" s="10">
        <f>REPT(" ",24)</f>
        <v/>
      </c>
      <c r="W2320" s="10">
        <f>IF(A2320="c",LEFT(UPPER(B2320)&amp;REPT(" ",20),20),REPT(" ",20))</f>
        <v/>
      </c>
      <c r="X2320" s="10">
        <f>IF(A2320="C",LEFT(UPPER(C2320)&amp;REPT(" ",10),10)," ")</f>
        <v/>
      </c>
      <c r="Y2320" s="10">
        <f>IF(A2320="C",LEFT(UPPER(D2320)&amp;REPT(" ",2),2)," ")</f>
        <v/>
      </c>
      <c r="Z2320" s="10">
        <f>IF(A2320="C",LEFT(UPPER(E2320)&amp;REPT(" ",15),15)," ")</f>
        <v/>
      </c>
      <c r="AA2320" s="10">
        <f>REPT(" ",8)</f>
        <v/>
      </c>
      <c r="AB2320" s="10">
        <f>REPT(" ",4)</f>
        <v/>
      </c>
      <c r="AC2320" s="10">
        <f>LEFT(UPPER(H2320)&amp;REPT(" ",250),250)</f>
        <v/>
      </c>
      <c r="AD2320" s="10">
        <f>TEXT($G$2,"dd/mm/aaaa")</f>
        <v/>
      </c>
      <c r="AE2320" s="10">
        <f>REPT(" ",10)</f>
        <v/>
      </c>
      <c r="AF2320" s="10">
        <f>REPT(" ",20)</f>
        <v/>
      </c>
      <c r="AG2320" s="54">
        <f>REPT(" ",18-LEN(FIXED(F2320,2,TRUE)))&amp;FIXED(F2320,2,TRUE)</f>
        <v/>
      </c>
      <c r="AH2320" s="10">
        <f>LEN(AC2320)+LEN(AG2320)</f>
        <v/>
      </c>
      <c r="AI2320" s="10">
        <f>LEN(L2320)</f>
        <v/>
      </c>
    </row>
    <row r="2321">
      <c r="J2321" s="12">
        <f>IF(F2321&lt;&gt;0,"LANÇAR","")</f>
        <v/>
      </c>
      <c r="L2321" s="13">
        <f>N2321&amp;O2321&amp;P2321&amp;Q2321&amp;R2321&amp;S2321&amp;T2321&amp;U2321&amp;V2321&amp;W2321&amp;X2321&amp;Y2321&amp;Z2321&amp;AA2321&amp;AB2321&amp;AC2321&amp;AD2321&amp;AE2321&amp;AF2321&amp;AG2321</f>
        <v/>
      </c>
      <c r="N2321" s="10">
        <f>TEXT($B$6,"00")</f>
        <v/>
      </c>
      <c r="O2321" s="10">
        <f>REPT(" ",8)</f>
        <v/>
      </c>
      <c r="P2321" s="10">
        <f>RIGHT($B$4,2)</f>
        <v/>
      </c>
      <c r="Q2321" s="10">
        <f>RIGHT($B$5,3)</f>
        <v/>
      </c>
      <c r="R2321" s="10">
        <f>IF(A2321="D",LEFT(UPPER(B2321)&amp;REPT(" ",20),20),REPT(" ",20))</f>
        <v/>
      </c>
      <c r="S2321" s="10">
        <f>IF(A2321="D",LEFT(UPPER(C2321)&amp;REPT(" ",10),10)," ")</f>
        <v/>
      </c>
      <c r="T2321" s="10">
        <f>IF(A2321="D",LEFT(UPPER(D2321)&amp;REPT(" ",2),2)," ")</f>
        <v/>
      </c>
      <c r="U2321" s="10">
        <f>IF(A2321="D",LEFT(UPPER(E2321)&amp;REPT(" ",15),15)," ")</f>
        <v/>
      </c>
      <c r="V2321" s="10">
        <f>REPT(" ",24)</f>
        <v/>
      </c>
      <c r="W2321" s="10">
        <f>IF(A2321="c",LEFT(UPPER(B2321)&amp;REPT(" ",20),20),REPT(" ",20))</f>
        <v/>
      </c>
      <c r="X2321" s="10">
        <f>IF(A2321="C",LEFT(UPPER(C2321)&amp;REPT(" ",10),10)," ")</f>
        <v/>
      </c>
      <c r="Y2321" s="10">
        <f>IF(A2321="C",LEFT(UPPER(D2321)&amp;REPT(" ",2),2)," ")</f>
        <v/>
      </c>
      <c r="Z2321" s="10">
        <f>IF(A2321="C",LEFT(UPPER(E2321)&amp;REPT(" ",15),15)," ")</f>
        <v/>
      </c>
      <c r="AA2321" s="10">
        <f>REPT(" ",8)</f>
        <v/>
      </c>
      <c r="AB2321" s="10">
        <f>REPT(" ",4)</f>
        <v/>
      </c>
      <c r="AC2321" s="10">
        <f>LEFT(UPPER(H2321)&amp;REPT(" ",250),250)</f>
        <v/>
      </c>
      <c r="AD2321" s="10">
        <f>TEXT($G$2,"dd/mm/aaaa")</f>
        <v/>
      </c>
      <c r="AE2321" s="10">
        <f>REPT(" ",10)</f>
        <v/>
      </c>
      <c r="AF2321" s="10">
        <f>REPT(" ",20)</f>
        <v/>
      </c>
      <c r="AG2321" s="54">
        <f>REPT(" ",18-LEN(FIXED(F2321,2,TRUE)))&amp;FIXED(F2321,2,TRUE)</f>
        <v/>
      </c>
      <c r="AH2321" s="10">
        <f>LEN(AC2321)+LEN(AG2321)</f>
        <v/>
      </c>
      <c r="AI2321" s="10">
        <f>LEN(L2321)</f>
        <v/>
      </c>
    </row>
    <row r="2322">
      <c r="J2322" s="12">
        <f>IF(F2322&lt;&gt;0,"LANÇAR","")</f>
        <v/>
      </c>
      <c r="L2322" s="13">
        <f>N2322&amp;O2322&amp;P2322&amp;Q2322&amp;R2322&amp;S2322&amp;T2322&amp;U2322&amp;V2322&amp;W2322&amp;X2322&amp;Y2322&amp;Z2322&amp;AA2322&amp;AB2322&amp;AC2322&amp;AD2322&amp;AE2322&amp;AF2322&amp;AG2322</f>
        <v/>
      </c>
      <c r="N2322" s="10">
        <f>TEXT($B$6,"00")</f>
        <v/>
      </c>
      <c r="O2322" s="10">
        <f>REPT(" ",8)</f>
        <v/>
      </c>
      <c r="P2322" s="10">
        <f>RIGHT($B$4,2)</f>
        <v/>
      </c>
      <c r="Q2322" s="10">
        <f>RIGHT($B$5,3)</f>
        <v/>
      </c>
      <c r="R2322" s="10">
        <f>IF(A2322="D",LEFT(UPPER(B2322)&amp;REPT(" ",20),20),REPT(" ",20))</f>
        <v/>
      </c>
      <c r="S2322" s="10">
        <f>IF(A2322="D",LEFT(UPPER(C2322)&amp;REPT(" ",10),10)," ")</f>
        <v/>
      </c>
      <c r="T2322" s="10">
        <f>IF(A2322="D",LEFT(UPPER(D2322)&amp;REPT(" ",2),2)," ")</f>
        <v/>
      </c>
      <c r="U2322" s="10">
        <f>IF(A2322="D",LEFT(UPPER(E2322)&amp;REPT(" ",15),15)," ")</f>
        <v/>
      </c>
      <c r="V2322" s="10">
        <f>REPT(" ",24)</f>
        <v/>
      </c>
      <c r="W2322" s="10">
        <f>IF(A2322="c",LEFT(UPPER(B2322)&amp;REPT(" ",20),20),REPT(" ",20))</f>
        <v/>
      </c>
      <c r="X2322" s="10">
        <f>IF(A2322="C",LEFT(UPPER(C2322)&amp;REPT(" ",10),10)," ")</f>
        <v/>
      </c>
      <c r="Y2322" s="10">
        <f>IF(A2322="C",LEFT(UPPER(D2322)&amp;REPT(" ",2),2)," ")</f>
        <v/>
      </c>
      <c r="Z2322" s="10">
        <f>IF(A2322="C",LEFT(UPPER(E2322)&amp;REPT(" ",15),15)," ")</f>
        <v/>
      </c>
      <c r="AA2322" s="10">
        <f>REPT(" ",8)</f>
        <v/>
      </c>
      <c r="AB2322" s="10">
        <f>REPT(" ",4)</f>
        <v/>
      </c>
      <c r="AC2322" s="10">
        <f>LEFT(UPPER(H2322)&amp;REPT(" ",250),250)</f>
        <v/>
      </c>
      <c r="AD2322" s="10">
        <f>TEXT($G$2,"dd/mm/aaaa")</f>
        <v/>
      </c>
      <c r="AE2322" s="10">
        <f>REPT(" ",10)</f>
        <v/>
      </c>
      <c r="AF2322" s="10">
        <f>REPT(" ",20)</f>
        <v/>
      </c>
      <c r="AG2322" s="54">
        <f>REPT(" ",18-LEN(FIXED(F2322,2,TRUE)))&amp;FIXED(F2322,2,TRUE)</f>
        <v/>
      </c>
      <c r="AH2322" s="10">
        <f>LEN(AC2322)+LEN(AG2322)</f>
        <v/>
      </c>
      <c r="AI2322" s="10">
        <f>LEN(L2322)</f>
        <v/>
      </c>
    </row>
    <row r="2323">
      <c r="J2323" s="12">
        <f>IF(F2323&lt;&gt;0,"LANÇAR","")</f>
        <v/>
      </c>
      <c r="L2323" s="13">
        <f>N2323&amp;O2323&amp;P2323&amp;Q2323&amp;R2323&amp;S2323&amp;T2323&amp;U2323&amp;V2323&amp;W2323&amp;X2323&amp;Y2323&amp;Z2323&amp;AA2323&amp;AB2323&amp;AC2323&amp;AD2323&amp;AE2323&amp;AF2323&amp;AG2323</f>
        <v/>
      </c>
      <c r="N2323" s="10">
        <f>TEXT($B$6,"00")</f>
        <v/>
      </c>
      <c r="O2323" s="10">
        <f>REPT(" ",8)</f>
        <v/>
      </c>
      <c r="P2323" s="10">
        <f>RIGHT($B$4,2)</f>
        <v/>
      </c>
      <c r="Q2323" s="10">
        <f>RIGHT($B$5,3)</f>
        <v/>
      </c>
      <c r="R2323" s="10">
        <f>IF(A2323="D",LEFT(UPPER(B2323)&amp;REPT(" ",20),20),REPT(" ",20))</f>
        <v/>
      </c>
      <c r="S2323" s="10">
        <f>IF(A2323="D",LEFT(UPPER(C2323)&amp;REPT(" ",10),10)," ")</f>
        <v/>
      </c>
      <c r="T2323" s="10">
        <f>IF(A2323="D",LEFT(UPPER(D2323)&amp;REPT(" ",2),2)," ")</f>
        <v/>
      </c>
      <c r="U2323" s="10">
        <f>IF(A2323="D",LEFT(UPPER(E2323)&amp;REPT(" ",15),15)," ")</f>
        <v/>
      </c>
      <c r="V2323" s="10">
        <f>REPT(" ",24)</f>
        <v/>
      </c>
      <c r="W2323" s="10">
        <f>IF(A2323="c",LEFT(UPPER(B2323)&amp;REPT(" ",20),20),REPT(" ",20))</f>
        <v/>
      </c>
      <c r="X2323" s="10">
        <f>IF(A2323="C",LEFT(UPPER(C2323)&amp;REPT(" ",10),10)," ")</f>
        <v/>
      </c>
      <c r="Y2323" s="10">
        <f>IF(A2323="C",LEFT(UPPER(D2323)&amp;REPT(" ",2),2)," ")</f>
        <v/>
      </c>
      <c r="Z2323" s="10">
        <f>IF(A2323="C",LEFT(UPPER(E2323)&amp;REPT(" ",15),15)," ")</f>
        <v/>
      </c>
      <c r="AA2323" s="10">
        <f>REPT(" ",8)</f>
        <v/>
      </c>
      <c r="AB2323" s="10">
        <f>REPT(" ",4)</f>
        <v/>
      </c>
      <c r="AC2323" s="10">
        <f>LEFT(UPPER(H2323)&amp;REPT(" ",250),250)</f>
        <v/>
      </c>
      <c r="AD2323" s="10">
        <f>TEXT($G$2,"dd/mm/aaaa")</f>
        <v/>
      </c>
      <c r="AE2323" s="10">
        <f>REPT(" ",10)</f>
        <v/>
      </c>
      <c r="AF2323" s="10">
        <f>REPT(" ",20)</f>
        <v/>
      </c>
      <c r="AG2323" s="54">
        <f>REPT(" ",18-LEN(FIXED(F2323,2,TRUE)))&amp;FIXED(F2323,2,TRUE)</f>
        <v/>
      </c>
      <c r="AH2323" s="10">
        <f>LEN(AC2323)+LEN(AG2323)</f>
        <v/>
      </c>
      <c r="AI2323" s="10">
        <f>LEN(L2323)</f>
        <v/>
      </c>
    </row>
    <row r="2324">
      <c r="J2324" s="12">
        <f>IF(F2324&lt;&gt;0,"LANÇAR","")</f>
        <v/>
      </c>
      <c r="L2324" s="13">
        <f>N2324&amp;O2324&amp;P2324&amp;Q2324&amp;R2324&amp;S2324&amp;T2324&amp;U2324&amp;V2324&amp;W2324&amp;X2324&amp;Y2324&amp;Z2324&amp;AA2324&amp;AB2324&amp;AC2324&amp;AD2324&amp;AE2324&amp;AF2324&amp;AG2324</f>
        <v/>
      </c>
      <c r="N2324" s="10">
        <f>TEXT($B$6,"00")</f>
        <v/>
      </c>
      <c r="O2324" s="10">
        <f>REPT(" ",8)</f>
        <v/>
      </c>
      <c r="P2324" s="10">
        <f>RIGHT($B$4,2)</f>
        <v/>
      </c>
      <c r="Q2324" s="10">
        <f>RIGHT($B$5,3)</f>
        <v/>
      </c>
      <c r="R2324" s="10">
        <f>IF(A2324="D",LEFT(UPPER(B2324)&amp;REPT(" ",20),20),REPT(" ",20))</f>
        <v/>
      </c>
      <c r="S2324" s="10">
        <f>IF(A2324="D",LEFT(UPPER(C2324)&amp;REPT(" ",10),10)," ")</f>
        <v/>
      </c>
      <c r="T2324" s="10">
        <f>IF(A2324="D",LEFT(UPPER(D2324)&amp;REPT(" ",2),2)," ")</f>
        <v/>
      </c>
      <c r="U2324" s="10">
        <f>IF(A2324="D",LEFT(UPPER(E2324)&amp;REPT(" ",15),15)," ")</f>
        <v/>
      </c>
      <c r="V2324" s="10">
        <f>REPT(" ",24)</f>
        <v/>
      </c>
      <c r="W2324" s="10">
        <f>IF(A2324="c",LEFT(UPPER(B2324)&amp;REPT(" ",20),20),REPT(" ",20))</f>
        <v/>
      </c>
      <c r="X2324" s="10">
        <f>IF(A2324="C",LEFT(UPPER(C2324)&amp;REPT(" ",10),10)," ")</f>
        <v/>
      </c>
      <c r="Y2324" s="10">
        <f>IF(A2324="C",LEFT(UPPER(D2324)&amp;REPT(" ",2),2)," ")</f>
        <v/>
      </c>
      <c r="Z2324" s="10">
        <f>IF(A2324="C",LEFT(UPPER(E2324)&amp;REPT(" ",15),15)," ")</f>
        <v/>
      </c>
      <c r="AA2324" s="10">
        <f>REPT(" ",8)</f>
        <v/>
      </c>
      <c r="AB2324" s="10">
        <f>REPT(" ",4)</f>
        <v/>
      </c>
      <c r="AC2324" s="10">
        <f>LEFT(UPPER(H2324)&amp;REPT(" ",250),250)</f>
        <v/>
      </c>
      <c r="AD2324" s="10">
        <f>TEXT($G$2,"dd/mm/aaaa")</f>
        <v/>
      </c>
      <c r="AE2324" s="10">
        <f>REPT(" ",10)</f>
        <v/>
      </c>
      <c r="AF2324" s="10">
        <f>REPT(" ",20)</f>
        <v/>
      </c>
      <c r="AG2324" s="54">
        <f>REPT(" ",18-LEN(FIXED(F2324,2,TRUE)))&amp;FIXED(F2324,2,TRUE)</f>
        <v/>
      </c>
      <c r="AH2324" s="10">
        <f>LEN(AC2324)+LEN(AG2324)</f>
        <v/>
      </c>
      <c r="AI2324" s="10">
        <f>LEN(L2324)</f>
        <v/>
      </c>
    </row>
    <row r="2325">
      <c r="J2325" s="12">
        <f>IF(F2325&lt;&gt;0,"LANÇAR","")</f>
        <v/>
      </c>
      <c r="L2325" s="13">
        <f>N2325&amp;O2325&amp;P2325&amp;Q2325&amp;R2325&amp;S2325&amp;T2325&amp;U2325&amp;V2325&amp;W2325&amp;X2325&amp;Y2325&amp;Z2325&amp;AA2325&amp;AB2325&amp;AC2325&amp;AD2325&amp;AE2325&amp;AF2325&amp;AG2325</f>
        <v/>
      </c>
      <c r="N2325" s="10">
        <f>TEXT($B$6,"00")</f>
        <v/>
      </c>
      <c r="O2325" s="10">
        <f>REPT(" ",8)</f>
        <v/>
      </c>
      <c r="P2325" s="10">
        <f>RIGHT($B$4,2)</f>
        <v/>
      </c>
      <c r="Q2325" s="10">
        <f>RIGHT($B$5,3)</f>
        <v/>
      </c>
      <c r="R2325" s="10">
        <f>IF(A2325="D",LEFT(UPPER(B2325)&amp;REPT(" ",20),20),REPT(" ",20))</f>
        <v/>
      </c>
      <c r="S2325" s="10">
        <f>IF(A2325="D",LEFT(UPPER(C2325)&amp;REPT(" ",10),10)," ")</f>
        <v/>
      </c>
      <c r="T2325" s="10">
        <f>IF(A2325="D",LEFT(UPPER(D2325)&amp;REPT(" ",2),2)," ")</f>
        <v/>
      </c>
      <c r="U2325" s="10">
        <f>IF(A2325="D",LEFT(UPPER(E2325)&amp;REPT(" ",15),15)," ")</f>
        <v/>
      </c>
      <c r="V2325" s="10">
        <f>REPT(" ",24)</f>
        <v/>
      </c>
      <c r="W2325" s="10">
        <f>IF(A2325="c",LEFT(UPPER(B2325)&amp;REPT(" ",20),20),REPT(" ",20))</f>
        <v/>
      </c>
      <c r="X2325" s="10">
        <f>IF(A2325="C",LEFT(UPPER(C2325)&amp;REPT(" ",10),10)," ")</f>
        <v/>
      </c>
      <c r="Y2325" s="10">
        <f>IF(A2325="C",LEFT(UPPER(D2325)&amp;REPT(" ",2),2)," ")</f>
        <v/>
      </c>
      <c r="Z2325" s="10">
        <f>IF(A2325="C",LEFT(UPPER(E2325)&amp;REPT(" ",15),15)," ")</f>
        <v/>
      </c>
      <c r="AA2325" s="10">
        <f>REPT(" ",8)</f>
        <v/>
      </c>
      <c r="AB2325" s="10">
        <f>REPT(" ",4)</f>
        <v/>
      </c>
      <c r="AC2325" s="10">
        <f>LEFT(UPPER(H2325)&amp;REPT(" ",250),250)</f>
        <v/>
      </c>
      <c r="AD2325" s="10">
        <f>TEXT($G$2,"dd/mm/aaaa")</f>
        <v/>
      </c>
      <c r="AE2325" s="10">
        <f>REPT(" ",10)</f>
        <v/>
      </c>
      <c r="AF2325" s="10">
        <f>REPT(" ",20)</f>
        <v/>
      </c>
      <c r="AG2325" s="54">
        <f>REPT(" ",18-LEN(FIXED(F2325,2,TRUE)))&amp;FIXED(F2325,2,TRUE)</f>
        <v/>
      </c>
      <c r="AH2325" s="10">
        <f>LEN(AC2325)+LEN(AG2325)</f>
        <v/>
      </c>
      <c r="AI2325" s="10">
        <f>LEN(L2325)</f>
        <v/>
      </c>
    </row>
    <row r="2326">
      <c r="J2326" s="12">
        <f>IF(F2326&lt;&gt;0,"LANÇAR","")</f>
        <v/>
      </c>
      <c r="L2326" s="13">
        <f>N2326&amp;O2326&amp;P2326&amp;Q2326&amp;R2326&amp;S2326&amp;T2326&amp;U2326&amp;V2326&amp;W2326&amp;X2326&amp;Y2326&amp;Z2326&amp;AA2326&amp;AB2326&amp;AC2326&amp;AD2326&amp;AE2326&amp;AF2326&amp;AG2326</f>
        <v/>
      </c>
      <c r="N2326" s="10">
        <f>TEXT($B$6,"00")</f>
        <v/>
      </c>
      <c r="O2326" s="10">
        <f>REPT(" ",8)</f>
        <v/>
      </c>
      <c r="P2326" s="10">
        <f>RIGHT($B$4,2)</f>
        <v/>
      </c>
      <c r="Q2326" s="10">
        <f>RIGHT($B$5,3)</f>
        <v/>
      </c>
      <c r="R2326" s="10">
        <f>IF(A2326="D",LEFT(UPPER(B2326)&amp;REPT(" ",20),20),REPT(" ",20))</f>
        <v/>
      </c>
      <c r="S2326" s="10">
        <f>IF(A2326="D",LEFT(UPPER(C2326)&amp;REPT(" ",10),10)," ")</f>
        <v/>
      </c>
      <c r="T2326" s="10">
        <f>IF(A2326="D",LEFT(UPPER(D2326)&amp;REPT(" ",2),2)," ")</f>
        <v/>
      </c>
      <c r="U2326" s="10">
        <f>IF(A2326="D",LEFT(UPPER(E2326)&amp;REPT(" ",15),15)," ")</f>
        <v/>
      </c>
      <c r="V2326" s="10">
        <f>REPT(" ",24)</f>
        <v/>
      </c>
      <c r="W2326" s="10">
        <f>IF(A2326="c",LEFT(UPPER(B2326)&amp;REPT(" ",20),20),REPT(" ",20))</f>
        <v/>
      </c>
      <c r="X2326" s="10">
        <f>IF(A2326="C",LEFT(UPPER(C2326)&amp;REPT(" ",10),10)," ")</f>
        <v/>
      </c>
      <c r="Y2326" s="10">
        <f>IF(A2326="C",LEFT(UPPER(D2326)&amp;REPT(" ",2),2)," ")</f>
        <v/>
      </c>
      <c r="Z2326" s="10">
        <f>IF(A2326="C",LEFT(UPPER(E2326)&amp;REPT(" ",15),15)," ")</f>
        <v/>
      </c>
      <c r="AA2326" s="10">
        <f>REPT(" ",8)</f>
        <v/>
      </c>
      <c r="AB2326" s="10">
        <f>REPT(" ",4)</f>
        <v/>
      </c>
      <c r="AC2326" s="10">
        <f>LEFT(UPPER(H2326)&amp;REPT(" ",250),250)</f>
        <v/>
      </c>
      <c r="AD2326" s="10">
        <f>TEXT($G$2,"dd/mm/aaaa")</f>
        <v/>
      </c>
      <c r="AE2326" s="10">
        <f>REPT(" ",10)</f>
        <v/>
      </c>
      <c r="AF2326" s="10">
        <f>REPT(" ",20)</f>
        <v/>
      </c>
      <c r="AG2326" s="54">
        <f>REPT(" ",18-LEN(FIXED(F2326,2,TRUE)))&amp;FIXED(F2326,2,TRUE)</f>
        <v/>
      </c>
      <c r="AH2326" s="10">
        <f>LEN(AC2326)+LEN(AG2326)</f>
        <v/>
      </c>
      <c r="AI2326" s="10">
        <f>LEN(L2326)</f>
        <v/>
      </c>
    </row>
    <row r="2327">
      <c r="J2327" s="12">
        <f>IF(F2327&lt;&gt;0,"LANÇAR","")</f>
        <v/>
      </c>
      <c r="L2327" s="13">
        <f>N2327&amp;O2327&amp;P2327&amp;Q2327&amp;R2327&amp;S2327&amp;T2327&amp;U2327&amp;V2327&amp;W2327&amp;X2327&amp;Y2327&amp;Z2327&amp;AA2327&amp;AB2327&amp;AC2327&amp;AD2327&amp;AE2327&amp;AF2327&amp;AG2327</f>
        <v/>
      </c>
      <c r="N2327" s="10">
        <f>TEXT($B$6,"00")</f>
        <v/>
      </c>
      <c r="O2327" s="10">
        <f>REPT(" ",8)</f>
        <v/>
      </c>
      <c r="P2327" s="10">
        <f>RIGHT($B$4,2)</f>
        <v/>
      </c>
      <c r="Q2327" s="10">
        <f>RIGHT($B$5,3)</f>
        <v/>
      </c>
      <c r="R2327" s="10">
        <f>IF(A2327="D",LEFT(UPPER(B2327)&amp;REPT(" ",20),20),REPT(" ",20))</f>
        <v/>
      </c>
      <c r="S2327" s="10">
        <f>IF(A2327="D",LEFT(UPPER(C2327)&amp;REPT(" ",10),10)," ")</f>
        <v/>
      </c>
      <c r="T2327" s="10">
        <f>IF(A2327="D",LEFT(UPPER(D2327)&amp;REPT(" ",2),2)," ")</f>
        <v/>
      </c>
      <c r="U2327" s="10">
        <f>IF(A2327="D",LEFT(UPPER(E2327)&amp;REPT(" ",15),15)," ")</f>
        <v/>
      </c>
      <c r="V2327" s="10">
        <f>REPT(" ",24)</f>
        <v/>
      </c>
      <c r="W2327" s="10">
        <f>IF(A2327="c",LEFT(UPPER(B2327)&amp;REPT(" ",20),20),REPT(" ",20))</f>
        <v/>
      </c>
      <c r="X2327" s="10">
        <f>IF(A2327="C",LEFT(UPPER(C2327)&amp;REPT(" ",10),10)," ")</f>
        <v/>
      </c>
      <c r="Y2327" s="10">
        <f>IF(A2327="C",LEFT(UPPER(D2327)&amp;REPT(" ",2),2)," ")</f>
        <v/>
      </c>
      <c r="Z2327" s="10">
        <f>IF(A2327="C",LEFT(UPPER(E2327)&amp;REPT(" ",15),15)," ")</f>
        <v/>
      </c>
      <c r="AA2327" s="10">
        <f>REPT(" ",8)</f>
        <v/>
      </c>
      <c r="AB2327" s="10">
        <f>REPT(" ",4)</f>
        <v/>
      </c>
      <c r="AC2327" s="10">
        <f>LEFT(UPPER(H2327)&amp;REPT(" ",250),250)</f>
        <v/>
      </c>
      <c r="AD2327" s="10">
        <f>TEXT($G$2,"dd/mm/aaaa")</f>
        <v/>
      </c>
      <c r="AE2327" s="10">
        <f>REPT(" ",10)</f>
        <v/>
      </c>
      <c r="AF2327" s="10">
        <f>REPT(" ",20)</f>
        <v/>
      </c>
      <c r="AG2327" s="54">
        <f>REPT(" ",18-LEN(FIXED(F2327,2,TRUE)))&amp;FIXED(F2327,2,TRUE)</f>
        <v/>
      </c>
      <c r="AH2327" s="10">
        <f>LEN(AC2327)+LEN(AG2327)</f>
        <v/>
      </c>
      <c r="AI2327" s="10">
        <f>LEN(L2327)</f>
        <v/>
      </c>
    </row>
    <row r="2328">
      <c r="J2328" s="12">
        <f>IF(F2328&lt;&gt;0,"LANÇAR","")</f>
        <v/>
      </c>
      <c r="L2328" s="13">
        <f>N2328&amp;O2328&amp;P2328&amp;Q2328&amp;R2328&amp;S2328&amp;T2328&amp;U2328&amp;V2328&amp;W2328&amp;X2328&amp;Y2328&amp;Z2328&amp;AA2328&amp;AB2328&amp;AC2328&amp;AD2328&amp;AE2328&amp;AF2328&amp;AG2328</f>
        <v/>
      </c>
      <c r="N2328" s="10">
        <f>TEXT($B$6,"00")</f>
        <v/>
      </c>
      <c r="O2328" s="10">
        <f>REPT(" ",8)</f>
        <v/>
      </c>
      <c r="P2328" s="10">
        <f>RIGHT($B$4,2)</f>
        <v/>
      </c>
      <c r="Q2328" s="10">
        <f>RIGHT($B$5,3)</f>
        <v/>
      </c>
      <c r="R2328" s="10">
        <f>IF(A2328="D",LEFT(UPPER(B2328)&amp;REPT(" ",20),20),REPT(" ",20))</f>
        <v/>
      </c>
      <c r="S2328" s="10">
        <f>IF(A2328="D",LEFT(UPPER(C2328)&amp;REPT(" ",10),10)," ")</f>
        <v/>
      </c>
      <c r="T2328" s="10">
        <f>IF(A2328="D",LEFT(UPPER(D2328)&amp;REPT(" ",2),2)," ")</f>
        <v/>
      </c>
      <c r="U2328" s="10">
        <f>IF(A2328="D",LEFT(UPPER(E2328)&amp;REPT(" ",15),15)," ")</f>
        <v/>
      </c>
      <c r="V2328" s="10">
        <f>REPT(" ",24)</f>
        <v/>
      </c>
      <c r="W2328" s="10">
        <f>IF(A2328="c",LEFT(UPPER(B2328)&amp;REPT(" ",20),20),REPT(" ",20))</f>
        <v/>
      </c>
      <c r="X2328" s="10">
        <f>IF(A2328="C",LEFT(UPPER(C2328)&amp;REPT(" ",10),10)," ")</f>
        <v/>
      </c>
      <c r="Y2328" s="10">
        <f>IF(A2328="C",LEFT(UPPER(D2328)&amp;REPT(" ",2),2)," ")</f>
        <v/>
      </c>
      <c r="Z2328" s="10">
        <f>IF(A2328="C",LEFT(UPPER(E2328)&amp;REPT(" ",15),15)," ")</f>
        <v/>
      </c>
      <c r="AA2328" s="10">
        <f>REPT(" ",8)</f>
        <v/>
      </c>
      <c r="AB2328" s="10">
        <f>REPT(" ",4)</f>
        <v/>
      </c>
      <c r="AC2328" s="10">
        <f>LEFT(UPPER(H2328)&amp;REPT(" ",250),250)</f>
        <v/>
      </c>
      <c r="AD2328" s="10">
        <f>TEXT($G$2,"dd/mm/aaaa")</f>
        <v/>
      </c>
      <c r="AE2328" s="10">
        <f>REPT(" ",10)</f>
        <v/>
      </c>
      <c r="AF2328" s="10">
        <f>REPT(" ",20)</f>
        <v/>
      </c>
      <c r="AG2328" s="54">
        <f>REPT(" ",18-LEN(FIXED(F2328,2,TRUE)))&amp;FIXED(F2328,2,TRUE)</f>
        <v/>
      </c>
      <c r="AH2328" s="10">
        <f>LEN(AC2328)+LEN(AG2328)</f>
        <v/>
      </c>
      <c r="AI2328" s="10">
        <f>LEN(L2328)</f>
        <v/>
      </c>
    </row>
    <row r="2329">
      <c r="J2329" s="12">
        <f>IF(F2329&lt;&gt;0,"LANÇAR","")</f>
        <v/>
      </c>
      <c r="L2329" s="13">
        <f>N2329&amp;O2329&amp;P2329&amp;Q2329&amp;R2329&amp;S2329&amp;T2329&amp;U2329&amp;V2329&amp;W2329&amp;X2329&amp;Y2329&amp;Z2329&amp;AA2329&amp;AB2329&amp;AC2329&amp;AD2329&amp;AE2329&amp;AF2329&amp;AG2329</f>
        <v/>
      </c>
      <c r="N2329" s="10">
        <f>TEXT($B$6,"00")</f>
        <v/>
      </c>
      <c r="O2329" s="10">
        <f>REPT(" ",8)</f>
        <v/>
      </c>
      <c r="P2329" s="10">
        <f>RIGHT($B$4,2)</f>
        <v/>
      </c>
      <c r="Q2329" s="10">
        <f>RIGHT($B$5,3)</f>
        <v/>
      </c>
      <c r="R2329" s="10">
        <f>IF(A2329="D",LEFT(UPPER(B2329)&amp;REPT(" ",20),20),REPT(" ",20))</f>
        <v/>
      </c>
      <c r="S2329" s="10">
        <f>IF(A2329="D",LEFT(UPPER(C2329)&amp;REPT(" ",10),10)," ")</f>
        <v/>
      </c>
      <c r="T2329" s="10">
        <f>IF(A2329="D",LEFT(UPPER(D2329)&amp;REPT(" ",2),2)," ")</f>
        <v/>
      </c>
      <c r="U2329" s="10">
        <f>IF(A2329="D",LEFT(UPPER(E2329)&amp;REPT(" ",15),15)," ")</f>
        <v/>
      </c>
      <c r="V2329" s="10">
        <f>REPT(" ",24)</f>
        <v/>
      </c>
      <c r="W2329" s="10">
        <f>IF(A2329="c",LEFT(UPPER(B2329)&amp;REPT(" ",20),20),REPT(" ",20))</f>
        <v/>
      </c>
      <c r="X2329" s="10">
        <f>IF(A2329="C",LEFT(UPPER(C2329)&amp;REPT(" ",10),10)," ")</f>
        <v/>
      </c>
      <c r="Y2329" s="10">
        <f>IF(A2329="C",LEFT(UPPER(D2329)&amp;REPT(" ",2),2)," ")</f>
        <v/>
      </c>
      <c r="Z2329" s="10">
        <f>IF(A2329="C",LEFT(UPPER(E2329)&amp;REPT(" ",15),15)," ")</f>
        <v/>
      </c>
      <c r="AA2329" s="10">
        <f>REPT(" ",8)</f>
        <v/>
      </c>
      <c r="AB2329" s="10">
        <f>REPT(" ",4)</f>
        <v/>
      </c>
      <c r="AC2329" s="10">
        <f>LEFT(UPPER(H2329)&amp;REPT(" ",250),250)</f>
        <v/>
      </c>
      <c r="AD2329" s="10">
        <f>TEXT($G$2,"dd/mm/aaaa")</f>
        <v/>
      </c>
      <c r="AE2329" s="10">
        <f>REPT(" ",10)</f>
        <v/>
      </c>
      <c r="AF2329" s="10">
        <f>REPT(" ",20)</f>
        <v/>
      </c>
      <c r="AG2329" s="54">
        <f>REPT(" ",18-LEN(FIXED(F2329,2,TRUE)))&amp;FIXED(F2329,2,TRUE)</f>
        <v/>
      </c>
      <c r="AH2329" s="10">
        <f>LEN(AC2329)+LEN(AG2329)</f>
        <v/>
      </c>
      <c r="AI2329" s="10">
        <f>LEN(L2329)</f>
        <v/>
      </c>
    </row>
    <row r="2330">
      <c r="J2330" s="12">
        <f>IF(F2330&lt;&gt;0,"LANÇAR","")</f>
        <v/>
      </c>
      <c r="L2330" s="13">
        <f>N2330&amp;O2330&amp;P2330&amp;Q2330&amp;R2330&amp;S2330&amp;T2330&amp;U2330&amp;V2330&amp;W2330&amp;X2330&amp;Y2330&amp;Z2330&amp;AA2330&amp;AB2330&amp;AC2330&amp;AD2330&amp;AE2330&amp;AF2330&amp;AG2330</f>
        <v/>
      </c>
      <c r="N2330" s="10">
        <f>TEXT($B$6,"00")</f>
        <v/>
      </c>
      <c r="O2330" s="10">
        <f>REPT(" ",8)</f>
        <v/>
      </c>
      <c r="P2330" s="10">
        <f>RIGHT($B$4,2)</f>
        <v/>
      </c>
      <c r="Q2330" s="10">
        <f>RIGHT($B$5,3)</f>
        <v/>
      </c>
      <c r="R2330" s="10">
        <f>IF(A2330="D",LEFT(UPPER(B2330)&amp;REPT(" ",20),20),REPT(" ",20))</f>
        <v/>
      </c>
      <c r="S2330" s="10">
        <f>IF(A2330="D",LEFT(UPPER(C2330)&amp;REPT(" ",10),10)," ")</f>
        <v/>
      </c>
      <c r="T2330" s="10">
        <f>IF(A2330="D",LEFT(UPPER(D2330)&amp;REPT(" ",2),2)," ")</f>
        <v/>
      </c>
      <c r="U2330" s="10">
        <f>IF(A2330="D",LEFT(UPPER(E2330)&amp;REPT(" ",15),15)," ")</f>
        <v/>
      </c>
      <c r="V2330" s="10">
        <f>REPT(" ",24)</f>
        <v/>
      </c>
      <c r="W2330" s="10">
        <f>IF(A2330="c",LEFT(UPPER(B2330)&amp;REPT(" ",20),20),REPT(" ",20))</f>
        <v/>
      </c>
      <c r="X2330" s="10">
        <f>IF(A2330="C",LEFT(UPPER(C2330)&amp;REPT(" ",10),10)," ")</f>
        <v/>
      </c>
      <c r="Y2330" s="10">
        <f>IF(A2330="C",LEFT(UPPER(D2330)&amp;REPT(" ",2),2)," ")</f>
        <v/>
      </c>
      <c r="Z2330" s="10">
        <f>IF(A2330="C",LEFT(UPPER(E2330)&amp;REPT(" ",15),15)," ")</f>
        <v/>
      </c>
      <c r="AA2330" s="10">
        <f>REPT(" ",8)</f>
        <v/>
      </c>
      <c r="AB2330" s="10">
        <f>REPT(" ",4)</f>
        <v/>
      </c>
      <c r="AC2330" s="10">
        <f>LEFT(UPPER(H2330)&amp;REPT(" ",250),250)</f>
        <v/>
      </c>
      <c r="AD2330" s="10">
        <f>TEXT($G$2,"dd/mm/aaaa")</f>
        <v/>
      </c>
      <c r="AE2330" s="10">
        <f>REPT(" ",10)</f>
        <v/>
      </c>
      <c r="AF2330" s="10">
        <f>REPT(" ",20)</f>
        <v/>
      </c>
      <c r="AG2330" s="54">
        <f>REPT(" ",18-LEN(FIXED(F2330,2,TRUE)))&amp;FIXED(F2330,2,TRUE)</f>
        <v/>
      </c>
      <c r="AH2330" s="10">
        <f>LEN(AC2330)+LEN(AG2330)</f>
        <v/>
      </c>
      <c r="AI2330" s="10">
        <f>LEN(L2330)</f>
        <v/>
      </c>
    </row>
    <row r="2331">
      <c r="J2331" s="12">
        <f>IF(F2331&lt;&gt;0,"LANÇAR","")</f>
        <v/>
      </c>
      <c r="L2331" s="13">
        <f>N2331&amp;O2331&amp;P2331&amp;Q2331&amp;R2331&amp;S2331&amp;T2331&amp;U2331&amp;V2331&amp;W2331&amp;X2331&amp;Y2331&amp;Z2331&amp;AA2331&amp;AB2331&amp;AC2331&amp;AD2331&amp;AE2331&amp;AF2331&amp;AG2331</f>
        <v/>
      </c>
      <c r="N2331" s="10">
        <f>TEXT($B$6,"00")</f>
        <v/>
      </c>
      <c r="O2331" s="10">
        <f>REPT(" ",8)</f>
        <v/>
      </c>
      <c r="P2331" s="10">
        <f>RIGHT($B$4,2)</f>
        <v/>
      </c>
      <c r="Q2331" s="10">
        <f>RIGHT($B$5,3)</f>
        <v/>
      </c>
      <c r="R2331" s="10">
        <f>IF(A2331="D",LEFT(UPPER(B2331)&amp;REPT(" ",20),20),REPT(" ",20))</f>
        <v/>
      </c>
      <c r="S2331" s="10">
        <f>IF(A2331="D",LEFT(UPPER(C2331)&amp;REPT(" ",10),10)," ")</f>
        <v/>
      </c>
      <c r="T2331" s="10">
        <f>IF(A2331="D",LEFT(UPPER(D2331)&amp;REPT(" ",2),2)," ")</f>
        <v/>
      </c>
      <c r="U2331" s="10">
        <f>IF(A2331="D",LEFT(UPPER(E2331)&amp;REPT(" ",15),15)," ")</f>
        <v/>
      </c>
      <c r="V2331" s="10">
        <f>REPT(" ",24)</f>
        <v/>
      </c>
      <c r="W2331" s="10">
        <f>IF(A2331="c",LEFT(UPPER(B2331)&amp;REPT(" ",20),20),REPT(" ",20))</f>
        <v/>
      </c>
      <c r="X2331" s="10">
        <f>IF(A2331="C",LEFT(UPPER(C2331)&amp;REPT(" ",10),10)," ")</f>
        <v/>
      </c>
      <c r="Y2331" s="10">
        <f>IF(A2331="C",LEFT(UPPER(D2331)&amp;REPT(" ",2),2)," ")</f>
        <v/>
      </c>
      <c r="Z2331" s="10">
        <f>IF(A2331="C",LEFT(UPPER(E2331)&amp;REPT(" ",15),15)," ")</f>
        <v/>
      </c>
      <c r="AA2331" s="10">
        <f>REPT(" ",8)</f>
        <v/>
      </c>
      <c r="AB2331" s="10">
        <f>REPT(" ",4)</f>
        <v/>
      </c>
      <c r="AC2331" s="10">
        <f>LEFT(UPPER(H2331)&amp;REPT(" ",250),250)</f>
        <v/>
      </c>
      <c r="AD2331" s="10">
        <f>TEXT($G$2,"dd/mm/aaaa")</f>
        <v/>
      </c>
      <c r="AE2331" s="10">
        <f>REPT(" ",10)</f>
        <v/>
      </c>
      <c r="AF2331" s="10">
        <f>REPT(" ",20)</f>
        <v/>
      </c>
      <c r="AG2331" s="54">
        <f>REPT(" ",18-LEN(FIXED(F2331,2,TRUE)))&amp;FIXED(F2331,2,TRUE)</f>
        <v/>
      </c>
      <c r="AH2331" s="10">
        <f>LEN(AC2331)+LEN(AG2331)</f>
        <v/>
      </c>
      <c r="AI2331" s="10">
        <f>LEN(L2331)</f>
        <v/>
      </c>
    </row>
    <row r="2332">
      <c r="J2332" s="12">
        <f>IF(F2332&lt;&gt;0,"LANÇAR","")</f>
        <v/>
      </c>
      <c r="L2332" s="13">
        <f>N2332&amp;O2332&amp;P2332&amp;Q2332&amp;R2332&amp;S2332&amp;T2332&amp;U2332&amp;V2332&amp;W2332&amp;X2332&amp;Y2332&amp;Z2332&amp;AA2332&amp;AB2332&amp;AC2332&amp;AD2332&amp;AE2332&amp;AF2332&amp;AG2332</f>
        <v/>
      </c>
      <c r="N2332" s="10">
        <f>TEXT($B$6,"00")</f>
        <v/>
      </c>
      <c r="O2332" s="10">
        <f>REPT(" ",8)</f>
        <v/>
      </c>
      <c r="P2332" s="10">
        <f>RIGHT($B$4,2)</f>
        <v/>
      </c>
      <c r="Q2332" s="10">
        <f>RIGHT($B$5,3)</f>
        <v/>
      </c>
      <c r="R2332" s="10">
        <f>IF(A2332="D",LEFT(UPPER(B2332)&amp;REPT(" ",20),20),REPT(" ",20))</f>
        <v/>
      </c>
      <c r="S2332" s="10">
        <f>IF(A2332="D",LEFT(UPPER(C2332)&amp;REPT(" ",10),10)," ")</f>
        <v/>
      </c>
      <c r="T2332" s="10">
        <f>IF(A2332="D",LEFT(UPPER(D2332)&amp;REPT(" ",2),2)," ")</f>
        <v/>
      </c>
      <c r="U2332" s="10">
        <f>IF(A2332="D",LEFT(UPPER(E2332)&amp;REPT(" ",15),15)," ")</f>
        <v/>
      </c>
      <c r="V2332" s="10">
        <f>REPT(" ",24)</f>
        <v/>
      </c>
      <c r="W2332" s="10">
        <f>IF(A2332="c",LEFT(UPPER(B2332)&amp;REPT(" ",20),20),REPT(" ",20))</f>
        <v/>
      </c>
      <c r="X2332" s="10">
        <f>IF(A2332="C",LEFT(UPPER(C2332)&amp;REPT(" ",10),10)," ")</f>
        <v/>
      </c>
      <c r="Y2332" s="10">
        <f>IF(A2332="C",LEFT(UPPER(D2332)&amp;REPT(" ",2),2)," ")</f>
        <v/>
      </c>
      <c r="Z2332" s="10">
        <f>IF(A2332="C",LEFT(UPPER(E2332)&amp;REPT(" ",15),15)," ")</f>
        <v/>
      </c>
      <c r="AA2332" s="10">
        <f>REPT(" ",8)</f>
        <v/>
      </c>
      <c r="AB2332" s="10">
        <f>REPT(" ",4)</f>
        <v/>
      </c>
      <c r="AC2332" s="10">
        <f>LEFT(UPPER(H2332)&amp;REPT(" ",250),250)</f>
        <v/>
      </c>
      <c r="AD2332" s="10">
        <f>TEXT($G$2,"dd/mm/aaaa")</f>
        <v/>
      </c>
      <c r="AE2332" s="10">
        <f>REPT(" ",10)</f>
        <v/>
      </c>
      <c r="AF2332" s="10">
        <f>REPT(" ",20)</f>
        <v/>
      </c>
      <c r="AG2332" s="54">
        <f>REPT(" ",18-LEN(FIXED(F2332,2,TRUE)))&amp;FIXED(F2332,2,TRUE)</f>
        <v/>
      </c>
      <c r="AH2332" s="10">
        <f>LEN(AC2332)+LEN(AG2332)</f>
        <v/>
      </c>
      <c r="AI2332" s="10">
        <f>LEN(L2332)</f>
        <v/>
      </c>
    </row>
    <row r="2333">
      <c r="J2333" s="12">
        <f>IF(F2333&lt;&gt;0,"LANÇAR","")</f>
        <v/>
      </c>
      <c r="L2333" s="13">
        <f>N2333&amp;O2333&amp;P2333&amp;Q2333&amp;R2333&amp;S2333&amp;T2333&amp;U2333&amp;V2333&amp;W2333&amp;X2333&amp;Y2333&amp;Z2333&amp;AA2333&amp;AB2333&amp;AC2333&amp;AD2333&amp;AE2333&amp;AF2333&amp;AG2333</f>
        <v/>
      </c>
      <c r="N2333" s="10">
        <f>TEXT($B$6,"00")</f>
        <v/>
      </c>
      <c r="O2333" s="10">
        <f>REPT(" ",8)</f>
        <v/>
      </c>
      <c r="P2333" s="10">
        <f>RIGHT($B$4,2)</f>
        <v/>
      </c>
      <c r="Q2333" s="10">
        <f>RIGHT($B$5,3)</f>
        <v/>
      </c>
      <c r="R2333" s="10">
        <f>IF(A2333="D",LEFT(UPPER(B2333)&amp;REPT(" ",20),20),REPT(" ",20))</f>
        <v/>
      </c>
      <c r="S2333" s="10">
        <f>IF(A2333="D",LEFT(UPPER(C2333)&amp;REPT(" ",10),10)," ")</f>
        <v/>
      </c>
      <c r="T2333" s="10">
        <f>IF(A2333="D",LEFT(UPPER(D2333)&amp;REPT(" ",2),2)," ")</f>
        <v/>
      </c>
      <c r="U2333" s="10">
        <f>IF(A2333="D",LEFT(UPPER(E2333)&amp;REPT(" ",15),15)," ")</f>
        <v/>
      </c>
      <c r="V2333" s="10">
        <f>REPT(" ",24)</f>
        <v/>
      </c>
      <c r="W2333" s="10">
        <f>IF(A2333="c",LEFT(UPPER(B2333)&amp;REPT(" ",20),20),REPT(" ",20))</f>
        <v/>
      </c>
      <c r="X2333" s="10">
        <f>IF(A2333="C",LEFT(UPPER(C2333)&amp;REPT(" ",10),10)," ")</f>
        <v/>
      </c>
      <c r="Y2333" s="10">
        <f>IF(A2333="C",LEFT(UPPER(D2333)&amp;REPT(" ",2),2)," ")</f>
        <v/>
      </c>
      <c r="Z2333" s="10">
        <f>IF(A2333="C",LEFT(UPPER(E2333)&amp;REPT(" ",15),15)," ")</f>
        <v/>
      </c>
      <c r="AA2333" s="10">
        <f>REPT(" ",8)</f>
        <v/>
      </c>
      <c r="AB2333" s="10">
        <f>REPT(" ",4)</f>
        <v/>
      </c>
      <c r="AC2333" s="10">
        <f>LEFT(UPPER(H2333)&amp;REPT(" ",250),250)</f>
        <v/>
      </c>
      <c r="AD2333" s="10">
        <f>TEXT($G$2,"dd/mm/aaaa")</f>
        <v/>
      </c>
      <c r="AE2333" s="10">
        <f>REPT(" ",10)</f>
        <v/>
      </c>
      <c r="AF2333" s="10">
        <f>REPT(" ",20)</f>
        <v/>
      </c>
      <c r="AG2333" s="54">
        <f>REPT(" ",18-LEN(FIXED(F2333,2,TRUE)))&amp;FIXED(F2333,2,TRUE)</f>
        <v/>
      </c>
      <c r="AH2333" s="10">
        <f>LEN(AC2333)+LEN(AG2333)</f>
        <v/>
      </c>
      <c r="AI2333" s="10">
        <f>LEN(L2333)</f>
        <v/>
      </c>
    </row>
    <row r="2334">
      <c r="J2334" s="12">
        <f>IF(F2334&lt;&gt;0,"LANÇAR","")</f>
        <v/>
      </c>
      <c r="L2334" s="13">
        <f>N2334&amp;O2334&amp;P2334&amp;Q2334&amp;R2334&amp;S2334&amp;T2334&amp;U2334&amp;V2334&amp;W2334&amp;X2334&amp;Y2334&amp;Z2334&amp;AA2334&amp;AB2334&amp;AC2334&amp;AD2334&amp;AE2334&amp;AF2334&amp;AG2334</f>
        <v/>
      </c>
      <c r="N2334" s="10">
        <f>TEXT($B$6,"00")</f>
        <v/>
      </c>
      <c r="O2334" s="10">
        <f>REPT(" ",8)</f>
        <v/>
      </c>
      <c r="P2334" s="10">
        <f>RIGHT($B$4,2)</f>
        <v/>
      </c>
      <c r="Q2334" s="10">
        <f>RIGHT($B$5,3)</f>
        <v/>
      </c>
      <c r="R2334" s="10">
        <f>IF(A2334="D",LEFT(UPPER(B2334)&amp;REPT(" ",20),20),REPT(" ",20))</f>
        <v/>
      </c>
      <c r="S2334" s="10">
        <f>IF(A2334="D",LEFT(UPPER(C2334)&amp;REPT(" ",10),10)," ")</f>
        <v/>
      </c>
      <c r="T2334" s="10">
        <f>IF(A2334="D",LEFT(UPPER(D2334)&amp;REPT(" ",2),2)," ")</f>
        <v/>
      </c>
      <c r="U2334" s="10">
        <f>IF(A2334="D",LEFT(UPPER(E2334)&amp;REPT(" ",15),15)," ")</f>
        <v/>
      </c>
      <c r="V2334" s="10">
        <f>REPT(" ",24)</f>
        <v/>
      </c>
      <c r="W2334" s="10">
        <f>IF(A2334="c",LEFT(UPPER(B2334)&amp;REPT(" ",20),20),REPT(" ",20))</f>
        <v/>
      </c>
      <c r="X2334" s="10">
        <f>IF(A2334="C",LEFT(UPPER(C2334)&amp;REPT(" ",10),10)," ")</f>
        <v/>
      </c>
      <c r="Y2334" s="10">
        <f>IF(A2334="C",LEFT(UPPER(D2334)&amp;REPT(" ",2),2)," ")</f>
        <v/>
      </c>
      <c r="Z2334" s="10">
        <f>IF(A2334="C",LEFT(UPPER(E2334)&amp;REPT(" ",15),15)," ")</f>
        <v/>
      </c>
      <c r="AA2334" s="10">
        <f>REPT(" ",8)</f>
        <v/>
      </c>
      <c r="AB2334" s="10">
        <f>REPT(" ",4)</f>
        <v/>
      </c>
      <c r="AC2334" s="10">
        <f>LEFT(UPPER(H2334)&amp;REPT(" ",250),250)</f>
        <v/>
      </c>
      <c r="AD2334" s="10">
        <f>TEXT($G$2,"dd/mm/aaaa")</f>
        <v/>
      </c>
      <c r="AE2334" s="10">
        <f>REPT(" ",10)</f>
        <v/>
      </c>
      <c r="AF2334" s="10">
        <f>REPT(" ",20)</f>
        <v/>
      </c>
      <c r="AG2334" s="54">
        <f>REPT(" ",18-LEN(FIXED(F2334,2,TRUE)))&amp;FIXED(F2334,2,TRUE)</f>
        <v/>
      </c>
      <c r="AH2334" s="10">
        <f>LEN(AC2334)+LEN(AG2334)</f>
        <v/>
      </c>
      <c r="AI2334" s="10">
        <f>LEN(L2334)</f>
        <v/>
      </c>
    </row>
    <row r="2335">
      <c r="J2335" s="12">
        <f>IF(F2335&lt;&gt;0,"LANÇAR","")</f>
        <v/>
      </c>
      <c r="L2335" s="13">
        <f>N2335&amp;O2335&amp;P2335&amp;Q2335&amp;R2335&amp;S2335&amp;T2335&amp;U2335&amp;V2335&amp;W2335&amp;X2335&amp;Y2335&amp;Z2335&amp;AA2335&amp;AB2335&amp;AC2335&amp;AD2335&amp;AE2335&amp;AF2335&amp;AG2335</f>
        <v/>
      </c>
      <c r="N2335" s="10">
        <f>TEXT($B$6,"00")</f>
        <v/>
      </c>
      <c r="O2335" s="10">
        <f>REPT(" ",8)</f>
        <v/>
      </c>
      <c r="P2335" s="10">
        <f>RIGHT($B$4,2)</f>
        <v/>
      </c>
      <c r="Q2335" s="10">
        <f>RIGHT($B$5,3)</f>
        <v/>
      </c>
      <c r="R2335" s="10">
        <f>IF(A2335="D",LEFT(UPPER(B2335)&amp;REPT(" ",20),20),REPT(" ",20))</f>
        <v/>
      </c>
      <c r="S2335" s="10">
        <f>IF(A2335="D",LEFT(UPPER(C2335)&amp;REPT(" ",10),10)," ")</f>
        <v/>
      </c>
      <c r="T2335" s="10">
        <f>IF(A2335="D",LEFT(UPPER(D2335)&amp;REPT(" ",2),2)," ")</f>
        <v/>
      </c>
      <c r="U2335" s="10">
        <f>IF(A2335="D",LEFT(UPPER(E2335)&amp;REPT(" ",15),15)," ")</f>
        <v/>
      </c>
      <c r="V2335" s="10">
        <f>REPT(" ",24)</f>
        <v/>
      </c>
      <c r="W2335" s="10">
        <f>IF(A2335="c",LEFT(UPPER(B2335)&amp;REPT(" ",20),20),REPT(" ",20))</f>
        <v/>
      </c>
      <c r="X2335" s="10">
        <f>IF(A2335="C",LEFT(UPPER(C2335)&amp;REPT(" ",10),10)," ")</f>
        <v/>
      </c>
      <c r="Y2335" s="10">
        <f>IF(A2335="C",LEFT(UPPER(D2335)&amp;REPT(" ",2),2)," ")</f>
        <v/>
      </c>
      <c r="Z2335" s="10">
        <f>IF(A2335="C",LEFT(UPPER(E2335)&amp;REPT(" ",15),15)," ")</f>
        <v/>
      </c>
      <c r="AA2335" s="10">
        <f>REPT(" ",8)</f>
        <v/>
      </c>
      <c r="AB2335" s="10">
        <f>REPT(" ",4)</f>
        <v/>
      </c>
      <c r="AC2335" s="10">
        <f>LEFT(UPPER(H2335)&amp;REPT(" ",250),250)</f>
        <v/>
      </c>
      <c r="AD2335" s="10">
        <f>TEXT($G$2,"dd/mm/aaaa")</f>
        <v/>
      </c>
      <c r="AE2335" s="10">
        <f>REPT(" ",10)</f>
        <v/>
      </c>
      <c r="AF2335" s="10">
        <f>REPT(" ",20)</f>
        <v/>
      </c>
      <c r="AG2335" s="54">
        <f>REPT(" ",18-LEN(FIXED(F2335,2,TRUE)))&amp;FIXED(F2335,2,TRUE)</f>
        <v/>
      </c>
      <c r="AH2335" s="10">
        <f>LEN(AC2335)+LEN(AG2335)</f>
        <v/>
      </c>
      <c r="AI2335" s="10">
        <f>LEN(L2335)</f>
        <v/>
      </c>
    </row>
    <row r="2336">
      <c r="J2336" s="12">
        <f>IF(F2336&lt;&gt;0,"LANÇAR","")</f>
        <v/>
      </c>
      <c r="L2336" s="13">
        <f>N2336&amp;O2336&amp;P2336&amp;Q2336&amp;R2336&amp;S2336&amp;T2336&amp;U2336&amp;V2336&amp;W2336&amp;X2336&amp;Y2336&amp;Z2336&amp;AA2336&amp;AB2336&amp;AC2336&amp;AD2336&amp;AE2336&amp;AF2336&amp;AG2336</f>
        <v/>
      </c>
      <c r="N2336" s="10">
        <f>TEXT($B$6,"00")</f>
        <v/>
      </c>
      <c r="O2336" s="10">
        <f>REPT(" ",8)</f>
        <v/>
      </c>
      <c r="P2336" s="10">
        <f>RIGHT($B$4,2)</f>
        <v/>
      </c>
      <c r="Q2336" s="10">
        <f>RIGHT($B$5,3)</f>
        <v/>
      </c>
      <c r="R2336" s="10">
        <f>IF(A2336="D",LEFT(UPPER(B2336)&amp;REPT(" ",20),20),REPT(" ",20))</f>
        <v/>
      </c>
      <c r="S2336" s="10">
        <f>IF(A2336="D",LEFT(UPPER(C2336)&amp;REPT(" ",10),10)," ")</f>
        <v/>
      </c>
      <c r="T2336" s="10">
        <f>IF(A2336="D",LEFT(UPPER(D2336)&amp;REPT(" ",2),2)," ")</f>
        <v/>
      </c>
      <c r="U2336" s="10">
        <f>IF(A2336="D",LEFT(UPPER(E2336)&amp;REPT(" ",15),15)," ")</f>
        <v/>
      </c>
      <c r="V2336" s="10">
        <f>REPT(" ",24)</f>
        <v/>
      </c>
      <c r="W2336" s="10">
        <f>IF(A2336="c",LEFT(UPPER(B2336)&amp;REPT(" ",20),20),REPT(" ",20))</f>
        <v/>
      </c>
      <c r="X2336" s="10">
        <f>IF(A2336="C",LEFT(UPPER(C2336)&amp;REPT(" ",10),10)," ")</f>
        <v/>
      </c>
      <c r="Y2336" s="10">
        <f>IF(A2336="C",LEFT(UPPER(D2336)&amp;REPT(" ",2),2)," ")</f>
        <v/>
      </c>
      <c r="Z2336" s="10">
        <f>IF(A2336="C",LEFT(UPPER(E2336)&amp;REPT(" ",15),15)," ")</f>
        <v/>
      </c>
      <c r="AA2336" s="10">
        <f>REPT(" ",8)</f>
        <v/>
      </c>
      <c r="AB2336" s="10">
        <f>REPT(" ",4)</f>
        <v/>
      </c>
      <c r="AC2336" s="10">
        <f>LEFT(UPPER(H2336)&amp;REPT(" ",250),250)</f>
        <v/>
      </c>
      <c r="AD2336" s="10">
        <f>TEXT($G$2,"dd/mm/aaaa")</f>
        <v/>
      </c>
      <c r="AE2336" s="10">
        <f>REPT(" ",10)</f>
        <v/>
      </c>
      <c r="AF2336" s="10">
        <f>REPT(" ",20)</f>
        <v/>
      </c>
      <c r="AG2336" s="54">
        <f>REPT(" ",18-LEN(FIXED(F2336,2,TRUE)))&amp;FIXED(F2336,2,TRUE)</f>
        <v/>
      </c>
      <c r="AH2336" s="10">
        <f>LEN(AC2336)+LEN(AG2336)</f>
        <v/>
      </c>
      <c r="AI2336" s="10">
        <f>LEN(L2336)</f>
        <v/>
      </c>
    </row>
    <row r="2337">
      <c r="J2337" s="12">
        <f>IF(F2337&lt;&gt;0,"LANÇAR","")</f>
        <v/>
      </c>
      <c r="L2337" s="13">
        <f>N2337&amp;O2337&amp;P2337&amp;Q2337&amp;R2337&amp;S2337&amp;T2337&amp;U2337&amp;V2337&amp;W2337&amp;X2337&amp;Y2337&amp;Z2337&amp;AA2337&amp;AB2337&amp;AC2337&amp;AD2337&amp;AE2337&amp;AF2337&amp;AG2337</f>
        <v/>
      </c>
      <c r="N2337" s="10">
        <f>TEXT($B$6,"00")</f>
        <v/>
      </c>
      <c r="O2337" s="10">
        <f>REPT(" ",8)</f>
        <v/>
      </c>
      <c r="P2337" s="10">
        <f>RIGHT($B$4,2)</f>
        <v/>
      </c>
      <c r="Q2337" s="10">
        <f>RIGHT($B$5,3)</f>
        <v/>
      </c>
      <c r="R2337" s="10">
        <f>IF(A2337="D",LEFT(UPPER(B2337)&amp;REPT(" ",20),20),REPT(" ",20))</f>
        <v/>
      </c>
      <c r="S2337" s="10">
        <f>IF(A2337="D",LEFT(UPPER(C2337)&amp;REPT(" ",10),10)," ")</f>
        <v/>
      </c>
      <c r="T2337" s="10">
        <f>IF(A2337="D",LEFT(UPPER(D2337)&amp;REPT(" ",2),2)," ")</f>
        <v/>
      </c>
      <c r="U2337" s="10">
        <f>IF(A2337="D",LEFT(UPPER(E2337)&amp;REPT(" ",15),15)," ")</f>
        <v/>
      </c>
      <c r="V2337" s="10">
        <f>REPT(" ",24)</f>
        <v/>
      </c>
      <c r="W2337" s="10">
        <f>IF(A2337="c",LEFT(UPPER(B2337)&amp;REPT(" ",20),20),REPT(" ",20))</f>
        <v/>
      </c>
      <c r="X2337" s="10">
        <f>IF(A2337="C",LEFT(UPPER(C2337)&amp;REPT(" ",10),10)," ")</f>
        <v/>
      </c>
      <c r="Y2337" s="10">
        <f>IF(A2337="C",LEFT(UPPER(D2337)&amp;REPT(" ",2),2)," ")</f>
        <v/>
      </c>
      <c r="Z2337" s="10">
        <f>IF(A2337="C",LEFT(UPPER(E2337)&amp;REPT(" ",15),15)," ")</f>
        <v/>
      </c>
      <c r="AA2337" s="10">
        <f>REPT(" ",8)</f>
        <v/>
      </c>
      <c r="AB2337" s="10">
        <f>REPT(" ",4)</f>
        <v/>
      </c>
      <c r="AC2337" s="10">
        <f>LEFT(UPPER(H2337)&amp;REPT(" ",250),250)</f>
        <v/>
      </c>
      <c r="AD2337" s="10">
        <f>TEXT($G$2,"dd/mm/aaaa")</f>
        <v/>
      </c>
      <c r="AE2337" s="10">
        <f>REPT(" ",10)</f>
        <v/>
      </c>
      <c r="AF2337" s="10">
        <f>REPT(" ",20)</f>
        <v/>
      </c>
      <c r="AG2337" s="54">
        <f>REPT(" ",18-LEN(FIXED(F2337,2,TRUE)))&amp;FIXED(F2337,2,TRUE)</f>
        <v/>
      </c>
      <c r="AH2337" s="10">
        <f>LEN(AC2337)+LEN(AG2337)</f>
        <v/>
      </c>
      <c r="AI2337" s="10">
        <f>LEN(L2337)</f>
        <v/>
      </c>
    </row>
    <row r="2338">
      <c r="J2338" s="12">
        <f>IF(F2338&lt;&gt;0,"LANÇAR","")</f>
        <v/>
      </c>
      <c r="L2338" s="13">
        <f>N2338&amp;O2338&amp;P2338&amp;Q2338&amp;R2338&amp;S2338&amp;T2338&amp;U2338&amp;V2338&amp;W2338&amp;X2338&amp;Y2338&amp;Z2338&amp;AA2338&amp;AB2338&amp;AC2338&amp;AD2338&amp;AE2338&amp;AF2338&amp;AG2338</f>
        <v/>
      </c>
      <c r="N2338" s="10">
        <f>TEXT($B$6,"00")</f>
        <v/>
      </c>
      <c r="O2338" s="10">
        <f>REPT(" ",8)</f>
        <v/>
      </c>
      <c r="P2338" s="10">
        <f>RIGHT($B$4,2)</f>
        <v/>
      </c>
      <c r="Q2338" s="10">
        <f>RIGHT($B$5,3)</f>
        <v/>
      </c>
      <c r="R2338" s="10">
        <f>IF(A2338="D",LEFT(UPPER(B2338)&amp;REPT(" ",20),20),REPT(" ",20))</f>
        <v/>
      </c>
      <c r="S2338" s="10">
        <f>IF(A2338="D",LEFT(UPPER(C2338)&amp;REPT(" ",10),10)," ")</f>
        <v/>
      </c>
      <c r="T2338" s="10">
        <f>IF(A2338="D",LEFT(UPPER(D2338)&amp;REPT(" ",2),2)," ")</f>
        <v/>
      </c>
      <c r="U2338" s="10">
        <f>IF(A2338="D",LEFT(UPPER(E2338)&amp;REPT(" ",15),15)," ")</f>
        <v/>
      </c>
      <c r="V2338" s="10">
        <f>REPT(" ",24)</f>
        <v/>
      </c>
      <c r="W2338" s="10">
        <f>IF(A2338="c",LEFT(UPPER(B2338)&amp;REPT(" ",20),20),REPT(" ",20))</f>
        <v/>
      </c>
      <c r="X2338" s="10">
        <f>IF(A2338="C",LEFT(UPPER(C2338)&amp;REPT(" ",10),10)," ")</f>
        <v/>
      </c>
      <c r="Y2338" s="10">
        <f>IF(A2338="C",LEFT(UPPER(D2338)&amp;REPT(" ",2),2)," ")</f>
        <v/>
      </c>
      <c r="Z2338" s="10">
        <f>IF(A2338="C",LEFT(UPPER(E2338)&amp;REPT(" ",15),15)," ")</f>
        <v/>
      </c>
      <c r="AA2338" s="10">
        <f>REPT(" ",8)</f>
        <v/>
      </c>
      <c r="AB2338" s="10">
        <f>REPT(" ",4)</f>
        <v/>
      </c>
      <c r="AC2338" s="10">
        <f>LEFT(UPPER(H2338)&amp;REPT(" ",250),250)</f>
        <v/>
      </c>
      <c r="AD2338" s="10">
        <f>TEXT($G$2,"dd/mm/aaaa")</f>
        <v/>
      </c>
      <c r="AE2338" s="10">
        <f>REPT(" ",10)</f>
        <v/>
      </c>
      <c r="AF2338" s="10">
        <f>REPT(" ",20)</f>
        <v/>
      </c>
      <c r="AG2338" s="54">
        <f>REPT(" ",18-LEN(FIXED(F2338,2,TRUE)))&amp;FIXED(F2338,2,TRUE)</f>
        <v/>
      </c>
      <c r="AH2338" s="10">
        <f>LEN(AC2338)+LEN(AG2338)</f>
        <v/>
      </c>
      <c r="AI2338" s="10">
        <f>LEN(L2338)</f>
        <v/>
      </c>
    </row>
    <row r="2339">
      <c r="J2339" s="12">
        <f>IF(F2339&lt;&gt;0,"LANÇAR","")</f>
        <v/>
      </c>
      <c r="L2339" s="13">
        <f>N2339&amp;O2339&amp;P2339&amp;Q2339&amp;R2339&amp;S2339&amp;T2339&amp;U2339&amp;V2339&amp;W2339&amp;X2339&amp;Y2339&amp;Z2339&amp;AA2339&amp;AB2339&amp;AC2339&amp;AD2339&amp;AE2339&amp;AF2339&amp;AG2339</f>
        <v/>
      </c>
      <c r="N2339" s="10">
        <f>TEXT($B$6,"00")</f>
        <v/>
      </c>
      <c r="O2339" s="10">
        <f>REPT(" ",8)</f>
        <v/>
      </c>
      <c r="P2339" s="10">
        <f>RIGHT($B$4,2)</f>
        <v/>
      </c>
      <c r="Q2339" s="10">
        <f>RIGHT($B$5,3)</f>
        <v/>
      </c>
      <c r="R2339" s="10">
        <f>IF(A2339="D",LEFT(UPPER(B2339)&amp;REPT(" ",20),20),REPT(" ",20))</f>
        <v/>
      </c>
      <c r="S2339" s="10">
        <f>IF(A2339="D",LEFT(UPPER(C2339)&amp;REPT(" ",10),10)," ")</f>
        <v/>
      </c>
      <c r="T2339" s="10">
        <f>IF(A2339="D",LEFT(UPPER(D2339)&amp;REPT(" ",2),2)," ")</f>
        <v/>
      </c>
      <c r="U2339" s="10">
        <f>IF(A2339="D",LEFT(UPPER(E2339)&amp;REPT(" ",15),15)," ")</f>
        <v/>
      </c>
      <c r="V2339" s="10">
        <f>REPT(" ",24)</f>
        <v/>
      </c>
      <c r="W2339" s="10">
        <f>IF(A2339="c",LEFT(UPPER(B2339)&amp;REPT(" ",20),20),REPT(" ",20))</f>
        <v/>
      </c>
      <c r="X2339" s="10">
        <f>IF(A2339="C",LEFT(UPPER(C2339)&amp;REPT(" ",10),10)," ")</f>
        <v/>
      </c>
      <c r="Y2339" s="10">
        <f>IF(A2339="C",LEFT(UPPER(D2339)&amp;REPT(" ",2),2)," ")</f>
        <v/>
      </c>
      <c r="Z2339" s="10">
        <f>IF(A2339="C",LEFT(UPPER(E2339)&amp;REPT(" ",15),15)," ")</f>
        <v/>
      </c>
      <c r="AA2339" s="10">
        <f>REPT(" ",8)</f>
        <v/>
      </c>
      <c r="AB2339" s="10">
        <f>REPT(" ",4)</f>
        <v/>
      </c>
      <c r="AC2339" s="10">
        <f>LEFT(UPPER(H2339)&amp;REPT(" ",250),250)</f>
        <v/>
      </c>
      <c r="AD2339" s="10">
        <f>TEXT($G$2,"dd/mm/aaaa")</f>
        <v/>
      </c>
      <c r="AE2339" s="10">
        <f>REPT(" ",10)</f>
        <v/>
      </c>
      <c r="AF2339" s="10">
        <f>REPT(" ",20)</f>
        <v/>
      </c>
      <c r="AG2339" s="54">
        <f>REPT(" ",18-LEN(FIXED(F2339,2,TRUE)))&amp;FIXED(F2339,2,TRUE)</f>
        <v/>
      </c>
      <c r="AH2339" s="10">
        <f>LEN(AC2339)+LEN(AG2339)</f>
        <v/>
      </c>
      <c r="AI2339" s="10">
        <f>LEN(L2339)</f>
        <v/>
      </c>
    </row>
    <row r="2340">
      <c r="J2340" s="12">
        <f>IF(F2340&lt;&gt;0,"LANÇAR","")</f>
        <v/>
      </c>
      <c r="L2340" s="13">
        <f>N2340&amp;O2340&amp;P2340&amp;Q2340&amp;R2340&amp;S2340&amp;T2340&amp;U2340&amp;V2340&amp;W2340&amp;X2340&amp;Y2340&amp;Z2340&amp;AA2340&amp;AB2340&amp;AC2340&amp;AD2340&amp;AE2340&amp;AF2340&amp;AG2340</f>
        <v/>
      </c>
      <c r="N2340" s="10">
        <f>TEXT($B$6,"00")</f>
        <v/>
      </c>
      <c r="O2340" s="10">
        <f>REPT(" ",8)</f>
        <v/>
      </c>
      <c r="P2340" s="10">
        <f>RIGHT($B$4,2)</f>
        <v/>
      </c>
      <c r="Q2340" s="10">
        <f>RIGHT($B$5,3)</f>
        <v/>
      </c>
      <c r="R2340" s="10">
        <f>IF(A2340="D",LEFT(UPPER(B2340)&amp;REPT(" ",20),20),REPT(" ",20))</f>
        <v/>
      </c>
      <c r="S2340" s="10">
        <f>IF(A2340="D",LEFT(UPPER(C2340)&amp;REPT(" ",10),10)," ")</f>
        <v/>
      </c>
      <c r="T2340" s="10">
        <f>IF(A2340="D",LEFT(UPPER(D2340)&amp;REPT(" ",2),2)," ")</f>
        <v/>
      </c>
      <c r="U2340" s="10">
        <f>IF(A2340="D",LEFT(UPPER(E2340)&amp;REPT(" ",15),15)," ")</f>
        <v/>
      </c>
      <c r="V2340" s="10">
        <f>REPT(" ",24)</f>
        <v/>
      </c>
      <c r="W2340" s="10">
        <f>IF(A2340="c",LEFT(UPPER(B2340)&amp;REPT(" ",20),20),REPT(" ",20))</f>
        <v/>
      </c>
      <c r="X2340" s="10">
        <f>IF(A2340="C",LEFT(UPPER(C2340)&amp;REPT(" ",10),10)," ")</f>
        <v/>
      </c>
      <c r="Y2340" s="10">
        <f>IF(A2340="C",LEFT(UPPER(D2340)&amp;REPT(" ",2),2)," ")</f>
        <v/>
      </c>
      <c r="Z2340" s="10">
        <f>IF(A2340="C",LEFT(UPPER(E2340)&amp;REPT(" ",15),15)," ")</f>
        <v/>
      </c>
      <c r="AA2340" s="10">
        <f>REPT(" ",8)</f>
        <v/>
      </c>
      <c r="AB2340" s="10">
        <f>REPT(" ",4)</f>
        <v/>
      </c>
      <c r="AC2340" s="10">
        <f>LEFT(UPPER(H2340)&amp;REPT(" ",250),250)</f>
        <v/>
      </c>
      <c r="AD2340" s="10">
        <f>TEXT($G$2,"dd/mm/aaaa")</f>
        <v/>
      </c>
      <c r="AE2340" s="10">
        <f>REPT(" ",10)</f>
        <v/>
      </c>
      <c r="AF2340" s="10">
        <f>REPT(" ",20)</f>
        <v/>
      </c>
      <c r="AG2340" s="54">
        <f>REPT(" ",18-LEN(FIXED(F2340,2,TRUE)))&amp;FIXED(F2340,2,TRUE)</f>
        <v/>
      </c>
      <c r="AH2340" s="10">
        <f>LEN(AC2340)+LEN(AG2340)</f>
        <v/>
      </c>
      <c r="AI2340" s="10">
        <f>LEN(L2340)</f>
        <v/>
      </c>
    </row>
    <row r="2341">
      <c r="J2341" s="12">
        <f>IF(F2341&lt;&gt;0,"LANÇAR","")</f>
        <v/>
      </c>
      <c r="L2341" s="13">
        <f>N2341&amp;O2341&amp;P2341&amp;Q2341&amp;R2341&amp;S2341&amp;T2341&amp;U2341&amp;V2341&amp;W2341&amp;X2341&amp;Y2341&amp;Z2341&amp;AA2341&amp;AB2341&amp;AC2341&amp;AD2341&amp;AE2341&amp;AF2341&amp;AG2341</f>
        <v/>
      </c>
      <c r="N2341" s="10">
        <f>TEXT($B$6,"00")</f>
        <v/>
      </c>
      <c r="O2341" s="10">
        <f>REPT(" ",8)</f>
        <v/>
      </c>
      <c r="P2341" s="10">
        <f>RIGHT($B$4,2)</f>
        <v/>
      </c>
      <c r="Q2341" s="10">
        <f>RIGHT($B$5,3)</f>
        <v/>
      </c>
      <c r="R2341" s="10">
        <f>IF(A2341="D",LEFT(UPPER(B2341)&amp;REPT(" ",20),20),REPT(" ",20))</f>
        <v/>
      </c>
      <c r="S2341" s="10">
        <f>IF(A2341="D",LEFT(UPPER(C2341)&amp;REPT(" ",10),10)," ")</f>
        <v/>
      </c>
      <c r="T2341" s="10">
        <f>IF(A2341="D",LEFT(UPPER(D2341)&amp;REPT(" ",2),2)," ")</f>
        <v/>
      </c>
      <c r="U2341" s="10">
        <f>IF(A2341="D",LEFT(UPPER(E2341)&amp;REPT(" ",15),15)," ")</f>
        <v/>
      </c>
      <c r="V2341" s="10">
        <f>REPT(" ",24)</f>
        <v/>
      </c>
      <c r="W2341" s="10">
        <f>IF(A2341="c",LEFT(UPPER(B2341)&amp;REPT(" ",20),20),REPT(" ",20))</f>
        <v/>
      </c>
      <c r="X2341" s="10">
        <f>IF(A2341="C",LEFT(UPPER(C2341)&amp;REPT(" ",10),10)," ")</f>
        <v/>
      </c>
      <c r="Y2341" s="10">
        <f>IF(A2341="C",LEFT(UPPER(D2341)&amp;REPT(" ",2),2)," ")</f>
        <v/>
      </c>
      <c r="Z2341" s="10">
        <f>IF(A2341="C",LEFT(UPPER(E2341)&amp;REPT(" ",15),15)," ")</f>
        <v/>
      </c>
      <c r="AA2341" s="10">
        <f>REPT(" ",8)</f>
        <v/>
      </c>
      <c r="AB2341" s="10">
        <f>REPT(" ",4)</f>
        <v/>
      </c>
      <c r="AC2341" s="10">
        <f>LEFT(UPPER(H2341)&amp;REPT(" ",250),250)</f>
        <v/>
      </c>
      <c r="AD2341" s="10">
        <f>TEXT($G$2,"dd/mm/aaaa")</f>
        <v/>
      </c>
      <c r="AE2341" s="10">
        <f>REPT(" ",10)</f>
        <v/>
      </c>
      <c r="AF2341" s="10">
        <f>REPT(" ",20)</f>
        <v/>
      </c>
      <c r="AG2341" s="54">
        <f>REPT(" ",18-LEN(FIXED(F2341,2,TRUE)))&amp;FIXED(F2341,2,TRUE)</f>
        <v/>
      </c>
      <c r="AH2341" s="10">
        <f>LEN(AC2341)+LEN(AG2341)</f>
        <v/>
      </c>
      <c r="AI2341" s="10">
        <f>LEN(L2341)</f>
        <v/>
      </c>
    </row>
    <row r="2342">
      <c r="J2342" s="12">
        <f>IF(F2342&lt;&gt;0,"LANÇAR","")</f>
        <v/>
      </c>
      <c r="L2342" s="13">
        <f>N2342&amp;O2342&amp;P2342&amp;Q2342&amp;R2342&amp;S2342&amp;T2342&amp;U2342&amp;V2342&amp;W2342&amp;X2342&amp;Y2342&amp;Z2342&amp;AA2342&amp;AB2342&amp;AC2342&amp;AD2342&amp;AE2342&amp;AF2342&amp;AG2342</f>
        <v/>
      </c>
      <c r="N2342" s="10">
        <f>TEXT($B$6,"00")</f>
        <v/>
      </c>
      <c r="O2342" s="10">
        <f>REPT(" ",8)</f>
        <v/>
      </c>
      <c r="P2342" s="10">
        <f>RIGHT($B$4,2)</f>
        <v/>
      </c>
      <c r="Q2342" s="10">
        <f>RIGHT($B$5,3)</f>
        <v/>
      </c>
      <c r="R2342" s="10">
        <f>IF(A2342="D",LEFT(UPPER(B2342)&amp;REPT(" ",20),20),REPT(" ",20))</f>
        <v/>
      </c>
      <c r="S2342" s="10">
        <f>IF(A2342="D",LEFT(UPPER(C2342)&amp;REPT(" ",10),10)," ")</f>
        <v/>
      </c>
      <c r="T2342" s="10">
        <f>IF(A2342="D",LEFT(UPPER(D2342)&amp;REPT(" ",2),2)," ")</f>
        <v/>
      </c>
      <c r="U2342" s="10">
        <f>IF(A2342="D",LEFT(UPPER(E2342)&amp;REPT(" ",15),15)," ")</f>
        <v/>
      </c>
      <c r="V2342" s="10">
        <f>REPT(" ",24)</f>
        <v/>
      </c>
      <c r="W2342" s="10">
        <f>IF(A2342="c",LEFT(UPPER(B2342)&amp;REPT(" ",20),20),REPT(" ",20))</f>
        <v/>
      </c>
      <c r="X2342" s="10">
        <f>IF(A2342="C",LEFT(UPPER(C2342)&amp;REPT(" ",10),10)," ")</f>
        <v/>
      </c>
      <c r="Y2342" s="10">
        <f>IF(A2342="C",LEFT(UPPER(D2342)&amp;REPT(" ",2),2)," ")</f>
        <v/>
      </c>
      <c r="Z2342" s="10">
        <f>IF(A2342="C",LEFT(UPPER(E2342)&amp;REPT(" ",15),15)," ")</f>
        <v/>
      </c>
      <c r="AA2342" s="10">
        <f>REPT(" ",8)</f>
        <v/>
      </c>
      <c r="AB2342" s="10">
        <f>REPT(" ",4)</f>
        <v/>
      </c>
      <c r="AC2342" s="10">
        <f>LEFT(UPPER(H2342)&amp;REPT(" ",250),250)</f>
        <v/>
      </c>
      <c r="AD2342" s="10">
        <f>TEXT($G$2,"dd/mm/aaaa")</f>
        <v/>
      </c>
      <c r="AE2342" s="10">
        <f>REPT(" ",10)</f>
        <v/>
      </c>
      <c r="AF2342" s="10">
        <f>REPT(" ",20)</f>
        <v/>
      </c>
      <c r="AG2342" s="54">
        <f>REPT(" ",18-LEN(FIXED(F2342,2,TRUE)))&amp;FIXED(F2342,2,TRUE)</f>
        <v/>
      </c>
      <c r="AH2342" s="10">
        <f>LEN(AC2342)+LEN(AG2342)</f>
        <v/>
      </c>
      <c r="AI2342" s="10">
        <f>LEN(L2342)</f>
        <v/>
      </c>
    </row>
    <row r="2343">
      <c r="J2343" s="12">
        <f>IF(F2343&lt;&gt;0,"LANÇAR","")</f>
        <v/>
      </c>
      <c r="L2343" s="13">
        <f>N2343&amp;O2343&amp;P2343&amp;Q2343&amp;R2343&amp;S2343&amp;T2343&amp;U2343&amp;V2343&amp;W2343&amp;X2343&amp;Y2343&amp;Z2343&amp;AA2343&amp;AB2343&amp;AC2343&amp;AD2343&amp;AE2343&amp;AF2343&amp;AG2343</f>
        <v/>
      </c>
      <c r="N2343" s="10">
        <f>TEXT($B$6,"00")</f>
        <v/>
      </c>
      <c r="O2343" s="10">
        <f>REPT(" ",8)</f>
        <v/>
      </c>
      <c r="P2343" s="10">
        <f>RIGHT($B$4,2)</f>
        <v/>
      </c>
      <c r="Q2343" s="10">
        <f>RIGHT($B$5,3)</f>
        <v/>
      </c>
      <c r="R2343" s="10">
        <f>IF(A2343="D",LEFT(UPPER(B2343)&amp;REPT(" ",20),20),REPT(" ",20))</f>
        <v/>
      </c>
      <c r="S2343" s="10">
        <f>IF(A2343="D",LEFT(UPPER(C2343)&amp;REPT(" ",10),10)," ")</f>
        <v/>
      </c>
      <c r="T2343" s="10">
        <f>IF(A2343="D",LEFT(UPPER(D2343)&amp;REPT(" ",2),2)," ")</f>
        <v/>
      </c>
      <c r="U2343" s="10">
        <f>IF(A2343="D",LEFT(UPPER(E2343)&amp;REPT(" ",15),15)," ")</f>
        <v/>
      </c>
      <c r="V2343" s="10">
        <f>REPT(" ",24)</f>
        <v/>
      </c>
      <c r="W2343" s="10">
        <f>IF(A2343="c",LEFT(UPPER(B2343)&amp;REPT(" ",20),20),REPT(" ",20))</f>
        <v/>
      </c>
      <c r="X2343" s="10">
        <f>IF(A2343="C",LEFT(UPPER(C2343)&amp;REPT(" ",10),10)," ")</f>
        <v/>
      </c>
      <c r="Y2343" s="10">
        <f>IF(A2343="C",LEFT(UPPER(D2343)&amp;REPT(" ",2),2)," ")</f>
        <v/>
      </c>
      <c r="Z2343" s="10">
        <f>IF(A2343="C",LEFT(UPPER(E2343)&amp;REPT(" ",15),15)," ")</f>
        <v/>
      </c>
      <c r="AA2343" s="10">
        <f>REPT(" ",8)</f>
        <v/>
      </c>
      <c r="AB2343" s="10">
        <f>REPT(" ",4)</f>
        <v/>
      </c>
      <c r="AC2343" s="10">
        <f>LEFT(UPPER(H2343)&amp;REPT(" ",250),250)</f>
        <v/>
      </c>
      <c r="AD2343" s="10">
        <f>TEXT($G$2,"dd/mm/aaaa")</f>
        <v/>
      </c>
      <c r="AE2343" s="10">
        <f>REPT(" ",10)</f>
        <v/>
      </c>
      <c r="AF2343" s="10">
        <f>REPT(" ",20)</f>
        <v/>
      </c>
      <c r="AG2343" s="54">
        <f>REPT(" ",18-LEN(FIXED(F2343,2,TRUE)))&amp;FIXED(F2343,2,TRUE)</f>
        <v/>
      </c>
      <c r="AH2343" s="10">
        <f>LEN(AC2343)+LEN(AG2343)</f>
        <v/>
      </c>
      <c r="AI2343" s="10">
        <f>LEN(L2343)</f>
        <v/>
      </c>
    </row>
    <row r="2344">
      <c r="J2344" s="12">
        <f>IF(F2344&lt;&gt;0,"LANÇAR","")</f>
        <v/>
      </c>
      <c r="L2344" s="13">
        <f>N2344&amp;O2344&amp;P2344&amp;Q2344&amp;R2344&amp;S2344&amp;T2344&amp;U2344&amp;V2344&amp;W2344&amp;X2344&amp;Y2344&amp;Z2344&amp;AA2344&amp;AB2344&amp;AC2344&amp;AD2344&amp;AE2344&amp;AF2344&amp;AG2344</f>
        <v/>
      </c>
      <c r="N2344" s="10">
        <f>TEXT($B$6,"00")</f>
        <v/>
      </c>
      <c r="O2344" s="10">
        <f>REPT(" ",8)</f>
        <v/>
      </c>
      <c r="P2344" s="10">
        <f>RIGHT($B$4,2)</f>
        <v/>
      </c>
      <c r="Q2344" s="10">
        <f>RIGHT($B$5,3)</f>
        <v/>
      </c>
      <c r="R2344" s="10">
        <f>IF(A2344="D",LEFT(UPPER(B2344)&amp;REPT(" ",20),20),REPT(" ",20))</f>
        <v/>
      </c>
      <c r="S2344" s="10">
        <f>IF(A2344="D",LEFT(UPPER(C2344)&amp;REPT(" ",10),10)," ")</f>
        <v/>
      </c>
      <c r="T2344" s="10">
        <f>IF(A2344="D",LEFT(UPPER(D2344)&amp;REPT(" ",2),2)," ")</f>
        <v/>
      </c>
      <c r="U2344" s="10">
        <f>IF(A2344="D",LEFT(UPPER(E2344)&amp;REPT(" ",15),15)," ")</f>
        <v/>
      </c>
      <c r="V2344" s="10">
        <f>REPT(" ",24)</f>
        <v/>
      </c>
      <c r="W2344" s="10">
        <f>IF(A2344="c",LEFT(UPPER(B2344)&amp;REPT(" ",20),20),REPT(" ",20))</f>
        <v/>
      </c>
      <c r="X2344" s="10">
        <f>IF(A2344="C",LEFT(UPPER(C2344)&amp;REPT(" ",10),10)," ")</f>
        <v/>
      </c>
      <c r="Y2344" s="10">
        <f>IF(A2344="C",LEFT(UPPER(D2344)&amp;REPT(" ",2),2)," ")</f>
        <v/>
      </c>
      <c r="Z2344" s="10">
        <f>IF(A2344="C",LEFT(UPPER(E2344)&amp;REPT(" ",15),15)," ")</f>
        <v/>
      </c>
      <c r="AA2344" s="10">
        <f>REPT(" ",8)</f>
        <v/>
      </c>
      <c r="AB2344" s="10">
        <f>REPT(" ",4)</f>
        <v/>
      </c>
      <c r="AC2344" s="10">
        <f>LEFT(UPPER(H2344)&amp;REPT(" ",250),250)</f>
        <v/>
      </c>
      <c r="AD2344" s="10">
        <f>TEXT($G$2,"dd/mm/aaaa")</f>
        <v/>
      </c>
      <c r="AE2344" s="10">
        <f>REPT(" ",10)</f>
        <v/>
      </c>
      <c r="AF2344" s="10">
        <f>REPT(" ",20)</f>
        <v/>
      </c>
      <c r="AG2344" s="54">
        <f>REPT(" ",18-LEN(FIXED(F2344,2,TRUE)))&amp;FIXED(F2344,2,TRUE)</f>
        <v/>
      </c>
      <c r="AH2344" s="10">
        <f>LEN(AC2344)+LEN(AG2344)</f>
        <v/>
      </c>
      <c r="AI2344" s="10">
        <f>LEN(L2344)</f>
        <v/>
      </c>
    </row>
    <row r="2345">
      <c r="J2345" s="12">
        <f>IF(F2345&lt;&gt;0,"LANÇAR","")</f>
        <v/>
      </c>
      <c r="L2345" s="13">
        <f>N2345&amp;O2345&amp;P2345&amp;Q2345&amp;R2345&amp;S2345&amp;T2345&amp;U2345&amp;V2345&amp;W2345&amp;X2345&amp;Y2345&amp;Z2345&amp;AA2345&amp;AB2345&amp;AC2345&amp;AD2345&amp;AE2345&amp;AF2345&amp;AG2345</f>
        <v/>
      </c>
      <c r="N2345" s="10">
        <f>TEXT($B$6,"00")</f>
        <v/>
      </c>
      <c r="O2345" s="10">
        <f>REPT(" ",8)</f>
        <v/>
      </c>
      <c r="P2345" s="10">
        <f>RIGHT($B$4,2)</f>
        <v/>
      </c>
      <c r="Q2345" s="10">
        <f>RIGHT($B$5,3)</f>
        <v/>
      </c>
      <c r="R2345" s="10">
        <f>IF(A2345="D",LEFT(UPPER(B2345)&amp;REPT(" ",20),20),REPT(" ",20))</f>
        <v/>
      </c>
      <c r="S2345" s="10">
        <f>IF(A2345="D",LEFT(UPPER(C2345)&amp;REPT(" ",10),10)," ")</f>
        <v/>
      </c>
      <c r="T2345" s="10">
        <f>IF(A2345="D",LEFT(UPPER(D2345)&amp;REPT(" ",2),2)," ")</f>
        <v/>
      </c>
      <c r="U2345" s="10">
        <f>IF(A2345="D",LEFT(UPPER(E2345)&amp;REPT(" ",15),15)," ")</f>
        <v/>
      </c>
      <c r="V2345" s="10">
        <f>REPT(" ",24)</f>
        <v/>
      </c>
      <c r="W2345" s="10">
        <f>IF(A2345="c",LEFT(UPPER(B2345)&amp;REPT(" ",20),20),REPT(" ",20))</f>
        <v/>
      </c>
      <c r="X2345" s="10">
        <f>IF(A2345="C",LEFT(UPPER(C2345)&amp;REPT(" ",10),10)," ")</f>
        <v/>
      </c>
      <c r="Y2345" s="10">
        <f>IF(A2345="C",LEFT(UPPER(D2345)&amp;REPT(" ",2),2)," ")</f>
        <v/>
      </c>
      <c r="Z2345" s="10">
        <f>IF(A2345="C",LEFT(UPPER(E2345)&amp;REPT(" ",15),15)," ")</f>
        <v/>
      </c>
      <c r="AA2345" s="10">
        <f>REPT(" ",8)</f>
        <v/>
      </c>
      <c r="AB2345" s="10">
        <f>REPT(" ",4)</f>
        <v/>
      </c>
      <c r="AC2345" s="10">
        <f>LEFT(UPPER(H2345)&amp;REPT(" ",250),250)</f>
        <v/>
      </c>
      <c r="AD2345" s="10">
        <f>TEXT($G$2,"dd/mm/aaaa")</f>
        <v/>
      </c>
      <c r="AE2345" s="10">
        <f>REPT(" ",10)</f>
        <v/>
      </c>
      <c r="AF2345" s="10">
        <f>REPT(" ",20)</f>
        <v/>
      </c>
      <c r="AG2345" s="54">
        <f>REPT(" ",18-LEN(FIXED(F2345,2,TRUE)))&amp;FIXED(F2345,2,TRUE)</f>
        <v/>
      </c>
      <c r="AH2345" s="10">
        <f>LEN(AC2345)+LEN(AG2345)</f>
        <v/>
      </c>
      <c r="AI2345" s="10">
        <f>LEN(L2345)</f>
        <v/>
      </c>
    </row>
    <row r="2346">
      <c r="J2346" s="12">
        <f>IF(F2346&lt;&gt;0,"LANÇAR","")</f>
        <v/>
      </c>
      <c r="L2346" s="13">
        <f>N2346&amp;O2346&amp;P2346&amp;Q2346&amp;R2346&amp;S2346&amp;T2346&amp;U2346&amp;V2346&amp;W2346&amp;X2346&amp;Y2346&amp;Z2346&amp;AA2346&amp;AB2346&amp;AC2346&amp;AD2346&amp;AE2346&amp;AF2346&amp;AG2346</f>
        <v/>
      </c>
      <c r="N2346" s="10">
        <f>TEXT($B$6,"00")</f>
        <v/>
      </c>
      <c r="O2346" s="10">
        <f>REPT(" ",8)</f>
        <v/>
      </c>
      <c r="P2346" s="10">
        <f>RIGHT($B$4,2)</f>
        <v/>
      </c>
      <c r="Q2346" s="10">
        <f>RIGHT($B$5,3)</f>
        <v/>
      </c>
      <c r="R2346" s="10">
        <f>IF(A2346="D",LEFT(UPPER(B2346)&amp;REPT(" ",20),20),REPT(" ",20))</f>
        <v/>
      </c>
      <c r="S2346" s="10">
        <f>IF(A2346="D",LEFT(UPPER(C2346)&amp;REPT(" ",10),10)," ")</f>
        <v/>
      </c>
      <c r="T2346" s="10">
        <f>IF(A2346="D",LEFT(UPPER(D2346)&amp;REPT(" ",2),2)," ")</f>
        <v/>
      </c>
      <c r="U2346" s="10">
        <f>IF(A2346="D",LEFT(UPPER(E2346)&amp;REPT(" ",15),15)," ")</f>
        <v/>
      </c>
      <c r="V2346" s="10">
        <f>REPT(" ",24)</f>
        <v/>
      </c>
      <c r="W2346" s="10">
        <f>IF(A2346="c",LEFT(UPPER(B2346)&amp;REPT(" ",20),20),REPT(" ",20))</f>
        <v/>
      </c>
      <c r="X2346" s="10">
        <f>IF(A2346="C",LEFT(UPPER(C2346)&amp;REPT(" ",10),10)," ")</f>
        <v/>
      </c>
      <c r="Y2346" s="10">
        <f>IF(A2346="C",LEFT(UPPER(D2346)&amp;REPT(" ",2),2)," ")</f>
        <v/>
      </c>
      <c r="Z2346" s="10">
        <f>IF(A2346="C",LEFT(UPPER(E2346)&amp;REPT(" ",15),15)," ")</f>
        <v/>
      </c>
      <c r="AA2346" s="10">
        <f>REPT(" ",8)</f>
        <v/>
      </c>
      <c r="AB2346" s="10">
        <f>REPT(" ",4)</f>
        <v/>
      </c>
      <c r="AC2346" s="10">
        <f>LEFT(UPPER(H2346)&amp;REPT(" ",250),250)</f>
        <v/>
      </c>
      <c r="AD2346" s="10">
        <f>TEXT($G$2,"dd/mm/aaaa")</f>
        <v/>
      </c>
      <c r="AE2346" s="10">
        <f>REPT(" ",10)</f>
        <v/>
      </c>
      <c r="AF2346" s="10">
        <f>REPT(" ",20)</f>
        <v/>
      </c>
      <c r="AG2346" s="54">
        <f>REPT(" ",18-LEN(FIXED(F2346,2,TRUE)))&amp;FIXED(F2346,2,TRUE)</f>
        <v/>
      </c>
      <c r="AH2346" s="10">
        <f>LEN(AC2346)+LEN(AG2346)</f>
        <v/>
      </c>
      <c r="AI2346" s="10">
        <f>LEN(L2346)</f>
        <v/>
      </c>
    </row>
    <row r="2347">
      <c r="J2347" s="12">
        <f>IF(F2347&lt;&gt;0,"LANÇAR","")</f>
        <v/>
      </c>
      <c r="L2347" s="13">
        <f>N2347&amp;O2347&amp;P2347&amp;Q2347&amp;R2347&amp;S2347&amp;T2347&amp;U2347&amp;V2347&amp;W2347&amp;X2347&amp;Y2347&amp;Z2347&amp;AA2347&amp;AB2347&amp;AC2347&amp;AD2347&amp;AE2347&amp;AF2347&amp;AG2347</f>
        <v/>
      </c>
      <c r="N2347" s="10">
        <f>TEXT($B$6,"00")</f>
        <v/>
      </c>
      <c r="O2347" s="10">
        <f>REPT(" ",8)</f>
        <v/>
      </c>
      <c r="P2347" s="10">
        <f>RIGHT($B$4,2)</f>
        <v/>
      </c>
      <c r="Q2347" s="10">
        <f>RIGHT($B$5,3)</f>
        <v/>
      </c>
      <c r="R2347" s="10">
        <f>IF(A2347="D",LEFT(UPPER(B2347)&amp;REPT(" ",20),20),REPT(" ",20))</f>
        <v/>
      </c>
      <c r="S2347" s="10">
        <f>IF(A2347="D",LEFT(UPPER(C2347)&amp;REPT(" ",10),10)," ")</f>
        <v/>
      </c>
      <c r="T2347" s="10">
        <f>IF(A2347="D",LEFT(UPPER(D2347)&amp;REPT(" ",2),2)," ")</f>
        <v/>
      </c>
      <c r="U2347" s="10">
        <f>IF(A2347="D",LEFT(UPPER(E2347)&amp;REPT(" ",15),15)," ")</f>
        <v/>
      </c>
      <c r="V2347" s="10">
        <f>REPT(" ",24)</f>
        <v/>
      </c>
      <c r="W2347" s="10">
        <f>IF(A2347="c",LEFT(UPPER(B2347)&amp;REPT(" ",20),20),REPT(" ",20))</f>
        <v/>
      </c>
      <c r="X2347" s="10">
        <f>IF(A2347="C",LEFT(UPPER(C2347)&amp;REPT(" ",10),10)," ")</f>
        <v/>
      </c>
      <c r="Y2347" s="10">
        <f>IF(A2347="C",LEFT(UPPER(D2347)&amp;REPT(" ",2),2)," ")</f>
        <v/>
      </c>
      <c r="Z2347" s="10">
        <f>IF(A2347="C",LEFT(UPPER(E2347)&amp;REPT(" ",15),15)," ")</f>
        <v/>
      </c>
      <c r="AA2347" s="10">
        <f>REPT(" ",8)</f>
        <v/>
      </c>
      <c r="AB2347" s="10">
        <f>REPT(" ",4)</f>
        <v/>
      </c>
      <c r="AC2347" s="10">
        <f>LEFT(UPPER(H2347)&amp;REPT(" ",250),250)</f>
        <v/>
      </c>
      <c r="AD2347" s="10">
        <f>TEXT($G$2,"dd/mm/aaaa")</f>
        <v/>
      </c>
      <c r="AE2347" s="10">
        <f>REPT(" ",10)</f>
        <v/>
      </c>
      <c r="AF2347" s="10">
        <f>REPT(" ",20)</f>
        <v/>
      </c>
      <c r="AG2347" s="54">
        <f>REPT(" ",18-LEN(FIXED(F2347,2,TRUE)))&amp;FIXED(F2347,2,TRUE)</f>
        <v/>
      </c>
      <c r="AH2347" s="10">
        <f>LEN(AC2347)+LEN(AG2347)</f>
        <v/>
      </c>
      <c r="AI2347" s="10">
        <f>LEN(L2347)</f>
        <v/>
      </c>
    </row>
    <row r="2348">
      <c r="J2348" s="12">
        <f>IF(F2348&lt;&gt;0,"LANÇAR","")</f>
        <v/>
      </c>
      <c r="L2348" s="13">
        <f>N2348&amp;O2348&amp;P2348&amp;Q2348&amp;R2348&amp;S2348&amp;T2348&amp;U2348&amp;V2348&amp;W2348&amp;X2348&amp;Y2348&amp;Z2348&amp;AA2348&amp;AB2348&amp;AC2348&amp;AD2348&amp;AE2348&amp;AF2348&amp;AG2348</f>
        <v/>
      </c>
      <c r="N2348" s="10">
        <f>TEXT($B$6,"00")</f>
        <v/>
      </c>
      <c r="O2348" s="10">
        <f>REPT(" ",8)</f>
        <v/>
      </c>
      <c r="P2348" s="10">
        <f>RIGHT($B$4,2)</f>
        <v/>
      </c>
      <c r="Q2348" s="10">
        <f>RIGHT($B$5,3)</f>
        <v/>
      </c>
      <c r="R2348" s="10">
        <f>IF(A2348="D",LEFT(UPPER(B2348)&amp;REPT(" ",20),20),REPT(" ",20))</f>
        <v/>
      </c>
      <c r="S2348" s="10">
        <f>IF(A2348="D",LEFT(UPPER(C2348)&amp;REPT(" ",10),10)," ")</f>
        <v/>
      </c>
      <c r="T2348" s="10">
        <f>IF(A2348="D",LEFT(UPPER(D2348)&amp;REPT(" ",2),2)," ")</f>
        <v/>
      </c>
      <c r="U2348" s="10">
        <f>IF(A2348="D",LEFT(UPPER(E2348)&amp;REPT(" ",15),15)," ")</f>
        <v/>
      </c>
      <c r="V2348" s="10">
        <f>REPT(" ",24)</f>
        <v/>
      </c>
      <c r="W2348" s="10">
        <f>IF(A2348="c",LEFT(UPPER(B2348)&amp;REPT(" ",20),20),REPT(" ",20))</f>
        <v/>
      </c>
      <c r="X2348" s="10">
        <f>IF(A2348="C",LEFT(UPPER(C2348)&amp;REPT(" ",10),10)," ")</f>
        <v/>
      </c>
      <c r="Y2348" s="10">
        <f>IF(A2348="C",LEFT(UPPER(D2348)&amp;REPT(" ",2),2)," ")</f>
        <v/>
      </c>
      <c r="Z2348" s="10">
        <f>IF(A2348="C",LEFT(UPPER(E2348)&amp;REPT(" ",15),15)," ")</f>
        <v/>
      </c>
      <c r="AA2348" s="10">
        <f>REPT(" ",8)</f>
        <v/>
      </c>
      <c r="AB2348" s="10">
        <f>REPT(" ",4)</f>
        <v/>
      </c>
      <c r="AC2348" s="10">
        <f>LEFT(UPPER(H2348)&amp;REPT(" ",250),250)</f>
        <v/>
      </c>
      <c r="AD2348" s="10">
        <f>TEXT($G$2,"dd/mm/aaaa")</f>
        <v/>
      </c>
      <c r="AE2348" s="10">
        <f>REPT(" ",10)</f>
        <v/>
      </c>
      <c r="AF2348" s="10">
        <f>REPT(" ",20)</f>
        <v/>
      </c>
      <c r="AG2348" s="54">
        <f>REPT(" ",18-LEN(FIXED(F2348,2,TRUE)))&amp;FIXED(F2348,2,TRUE)</f>
        <v/>
      </c>
      <c r="AH2348" s="10">
        <f>LEN(AC2348)+LEN(AG2348)</f>
        <v/>
      </c>
      <c r="AI2348" s="10">
        <f>LEN(L2348)</f>
        <v/>
      </c>
    </row>
    <row r="2349">
      <c r="J2349" s="12">
        <f>IF(F2349&lt;&gt;0,"LANÇAR","")</f>
        <v/>
      </c>
      <c r="L2349" s="13">
        <f>N2349&amp;O2349&amp;P2349&amp;Q2349&amp;R2349&amp;S2349&amp;T2349&amp;U2349&amp;V2349&amp;W2349&amp;X2349&amp;Y2349&amp;Z2349&amp;AA2349&amp;AB2349&amp;AC2349&amp;AD2349&amp;AE2349&amp;AF2349&amp;AG2349</f>
        <v/>
      </c>
      <c r="N2349" s="10">
        <f>TEXT($B$6,"00")</f>
        <v/>
      </c>
      <c r="O2349" s="10">
        <f>REPT(" ",8)</f>
        <v/>
      </c>
      <c r="P2349" s="10">
        <f>RIGHT($B$4,2)</f>
        <v/>
      </c>
      <c r="Q2349" s="10">
        <f>RIGHT($B$5,3)</f>
        <v/>
      </c>
      <c r="R2349" s="10">
        <f>IF(A2349="D",LEFT(UPPER(B2349)&amp;REPT(" ",20),20),REPT(" ",20))</f>
        <v/>
      </c>
      <c r="S2349" s="10">
        <f>IF(A2349="D",LEFT(UPPER(C2349)&amp;REPT(" ",10),10)," ")</f>
        <v/>
      </c>
      <c r="T2349" s="10">
        <f>IF(A2349="D",LEFT(UPPER(D2349)&amp;REPT(" ",2),2)," ")</f>
        <v/>
      </c>
      <c r="U2349" s="10">
        <f>IF(A2349="D",LEFT(UPPER(E2349)&amp;REPT(" ",15),15)," ")</f>
        <v/>
      </c>
      <c r="V2349" s="10">
        <f>REPT(" ",24)</f>
        <v/>
      </c>
      <c r="W2349" s="10">
        <f>IF(A2349="c",LEFT(UPPER(B2349)&amp;REPT(" ",20),20),REPT(" ",20))</f>
        <v/>
      </c>
      <c r="X2349" s="10">
        <f>IF(A2349="C",LEFT(UPPER(C2349)&amp;REPT(" ",10),10)," ")</f>
        <v/>
      </c>
      <c r="Y2349" s="10">
        <f>IF(A2349="C",LEFT(UPPER(D2349)&amp;REPT(" ",2),2)," ")</f>
        <v/>
      </c>
      <c r="Z2349" s="10">
        <f>IF(A2349="C",LEFT(UPPER(E2349)&amp;REPT(" ",15),15)," ")</f>
        <v/>
      </c>
      <c r="AA2349" s="10">
        <f>REPT(" ",8)</f>
        <v/>
      </c>
      <c r="AB2349" s="10">
        <f>REPT(" ",4)</f>
        <v/>
      </c>
      <c r="AC2349" s="10">
        <f>LEFT(UPPER(H2349)&amp;REPT(" ",250),250)</f>
        <v/>
      </c>
      <c r="AD2349" s="10">
        <f>TEXT($G$2,"dd/mm/aaaa")</f>
        <v/>
      </c>
      <c r="AE2349" s="10">
        <f>REPT(" ",10)</f>
        <v/>
      </c>
      <c r="AF2349" s="10">
        <f>REPT(" ",20)</f>
        <v/>
      </c>
      <c r="AG2349" s="54">
        <f>REPT(" ",18-LEN(FIXED(F2349,2,TRUE)))&amp;FIXED(F2349,2,TRUE)</f>
        <v/>
      </c>
      <c r="AH2349" s="10">
        <f>LEN(AC2349)+LEN(AG2349)</f>
        <v/>
      </c>
      <c r="AI2349" s="10">
        <f>LEN(L2349)</f>
        <v/>
      </c>
    </row>
    <row r="2350">
      <c r="J2350" s="12">
        <f>IF(F2350&lt;&gt;0,"LANÇAR","")</f>
        <v/>
      </c>
      <c r="L2350" s="13">
        <f>N2350&amp;O2350&amp;P2350&amp;Q2350&amp;R2350&amp;S2350&amp;T2350&amp;U2350&amp;V2350&amp;W2350&amp;X2350&amp;Y2350&amp;Z2350&amp;AA2350&amp;AB2350&amp;AC2350&amp;AD2350&amp;AE2350&amp;AF2350&amp;AG2350</f>
        <v/>
      </c>
      <c r="N2350" s="10">
        <f>TEXT($B$6,"00")</f>
        <v/>
      </c>
      <c r="O2350" s="10">
        <f>REPT(" ",8)</f>
        <v/>
      </c>
      <c r="P2350" s="10">
        <f>RIGHT($B$4,2)</f>
        <v/>
      </c>
      <c r="Q2350" s="10">
        <f>RIGHT($B$5,3)</f>
        <v/>
      </c>
      <c r="R2350" s="10">
        <f>IF(A2350="D",LEFT(UPPER(B2350)&amp;REPT(" ",20),20),REPT(" ",20))</f>
        <v/>
      </c>
      <c r="S2350" s="10">
        <f>IF(A2350="D",LEFT(UPPER(C2350)&amp;REPT(" ",10),10)," ")</f>
        <v/>
      </c>
      <c r="T2350" s="10">
        <f>IF(A2350="D",LEFT(UPPER(D2350)&amp;REPT(" ",2),2)," ")</f>
        <v/>
      </c>
      <c r="U2350" s="10">
        <f>IF(A2350="D",LEFT(UPPER(E2350)&amp;REPT(" ",15),15)," ")</f>
        <v/>
      </c>
      <c r="V2350" s="10">
        <f>REPT(" ",24)</f>
        <v/>
      </c>
      <c r="W2350" s="10">
        <f>IF(A2350="c",LEFT(UPPER(B2350)&amp;REPT(" ",20),20),REPT(" ",20))</f>
        <v/>
      </c>
      <c r="X2350" s="10">
        <f>IF(A2350="C",LEFT(UPPER(C2350)&amp;REPT(" ",10),10)," ")</f>
        <v/>
      </c>
      <c r="Y2350" s="10">
        <f>IF(A2350="C",LEFT(UPPER(D2350)&amp;REPT(" ",2),2)," ")</f>
        <v/>
      </c>
      <c r="Z2350" s="10">
        <f>IF(A2350="C",LEFT(UPPER(E2350)&amp;REPT(" ",15),15)," ")</f>
        <v/>
      </c>
      <c r="AA2350" s="10">
        <f>REPT(" ",8)</f>
        <v/>
      </c>
      <c r="AB2350" s="10">
        <f>REPT(" ",4)</f>
        <v/>
      </c>
      <c r="AC2350" s="10">
        <f>LEFT(UPPER(H2350)&amp;REPT(" ",250),250)</f>
        <v/>
      </c>
      <c r="AD2350" s="10">
        <f>TEXT($G$2,"dd/mm/aaaa")</f>
        <v/>
      </c>
      <c r="AE2350" s="10">
        <f>REPT(" ",10)</f>
        <v/>
      </c>
      <c r="AF2350" s="10">
        <f>REPT(" ",20)</f>
        <v/>
      </c>
      <c r="AG2350" s="54">
        <f>REPT(" ",18-LEN(FIXED(F2350,2,TRUE)))&amp;FIXED(F2350,2,TRUE)</f>
        <v/>
      </c>
      <c r="AH2350" s="10">
        <f>LEN(AC2350)+LEN(AG2350)</f>
        <v/>
      </c>
      <c r="AI2350" s="10">
        <f>LEN(L2350)</f>
        <v/>
      </c>
    </row>
    <row r="2351">
      <c r="J2351" s="12">
        <f>IF(F2351&lt;&gt;0,"LANÇAR","")</f>
        <v/>
      </c>
      <c r="L2351" s="13">
        <f>N2351&amp;O2351&amp;P2351&amp;Q2351&amp;R2351&amp;S2351&amp;T2351&amp;U2351&amp;V2351&amp;W2351&amp;X2351&amp;Y2351&amp;Z2351&amp;AA2351&amp;AB2351&amp;AC2351&amp;AD2351&amp;AE2351&amp;AF2351&amp;AG2351</f>
        <v/>
      </c>
      <c r="N2351" s="10">
        <f>TEXT($B$6,"00")</f>
        <v/>
      </c>
      <c r="O2351" s="10">
        <f>REPT(" ",8)</f>
        <v/>
      </c>
      <c r="P2351" s="10">
        <f>RIGHT($B$4,2)</f>
        <v/>
      </c>
      <c r="Q2351" s="10">
        <f>RIGHT($B$5,3)</f>
        <v/>
      </c>
      <c r="R2351" s="10">
        <f>IF(A2351="D",LEFT(UPPER(B2351)&amp;REPT(" ",20),20),REPT(" ",20))</f>
        <v/>
      </c>
      <c r="S2351" s="10">
        <f>IF(A2351="D",LEFT(UPPER(C2351)&amp;REPT(" ",10),10)," ")</f>
        <v/>
      </c>
      <c r="T2351" s="10">
        <f>IF(A2351="D",LEFT(UPPER(D2351)&amp;REPT(" ",2),2)," ")</f>
        <v/>
      </c>
      <c r="U2351" s="10">
        <f>IF(A2351="D",LEFT(UPPER(E2351)&amp;REPT(" ",15),15)," ")</f>
        <v/>
      </c>
      <c r="V2351" s="10">
        <f>REPT(" ",24)</f>
        <v/>
      </c>
      <c r="W2351" s="10">
        <f>IF(A2351="c",LEFT(UPPER(B2351)&amp;REPT(" ",20),20),REPT(" ",20))</f>
        <v/>
      </c>
      <c r="X2351" s="10">
        <f>IF(A2351="C",LEFT(UPPER(C2351)&amp;REPT(" ",10),10)," ")</f>
        <v/>
      </c>
      <c r="Y2351" s="10">
        <f>IF(A2351="C",LEFT(UPPER(D2351)&amp;REPT(" ",2),2)," ")</f>
        <v/>
      </c>
      <c r="Z2351" s="10">
        <f>IF(A2351="C",LEFT(UPPER(E2351)&amp;REPT(" ",15),15)," ")</f>
        <v/>
      </c>
      <c r="AA2351" s="10">
        <f>REPT(" ",8)</f>
        <v/>
      </c>
      <c r="AB2351" s="10">
        <f>REPT(" ",4)</f>
        <v/>
      </c>
      <c r="AC2351" s="10">
        <f>LEFT(UPPER(H2351)&amp;REPT(" ",250),250)</f>
        <v/>
      </c>
      <c r="AD2351" s="10">
        <f>TEXT($G$2,"dd/mm/aaaa")</f>
        <v/>
      </c>
      <c r="AE2351" s="10">
        <f>REPT(" ",10)</f>
        <v/>
      </c>
      <c r="AF2351" s="10">
        <f>REPT(" ",20)</f>
        <v/>
      </c>
      <c r="AG2351" s="54">
        <f>REPT(" ",18-LEN(FIXED(F2351,2,TRUE)))&amp;FIXED(F2351,2,TRUE)</f>
        <v/>
      </c>
      <c r="AH2351" s="10">
        <f>LEN(AC2351)+LEN(AG2351)</f>
        <v/>
      </c>
      <c r="AI2351" s="10">
        <f>LEN(L2351)</f>
        <v/>
      </c>
    </row>
    <row r="2352">
      <c r="J2352" s="12">
        <f>IF(F2352&lt;&gt;0,"LANÇAR","")</f>
        <v/>
      </c>
      <c r="L2352" s="13">
        <f>N2352&amp;O2352&amp;P2352&amp;Q2352&amp;R2352&amp;S2352&amp;T2352&amp;U2352&amp;V2352&amp;W2352&amp;X2352&amp;Y2352&amp;Z2352&amp;AA2352&amp;AB2352&amp;AC2352&amp;AD2352&amp;AE2352&amp;AF2352&amp;AG2352</f>
        <v/>
      </c>
      <c r="N2352" s="10">
        <f>TEXT($B$6,"00")</f>
        <v/>
      </c>
      <c r="O2352" s="10">
        <f>REPT(" ",8)</f>
        <v/>
      </c>
      <c r="P2352" s="10">
        <f>RIGHT($B$4,2)</f>
        <v/>
      </c>
      <c r="Q2352" s="10">
        <f>RIGHT($B$5,3)</f>
        <v/>
      </c>
      <c r="R2352" s="10">
        <f>IF(A2352="D",LEFT(UPPER(B2352)&amp;REPT(" ",20),20),REPT(" ",20))</f>
        <v/>
      </c>
      <c r="S2352" s="10">
        <f>IF(A2352="D",LEFT(UPPER(C2352)&amp;REPT(" ",10),10)," ")</f>
        <v/>
      </c>
      <c r="T2352" s="10">
        <f>IF(A2352="D",LEFT(UPPER(D2352)&amp;REPT(" ",2),2)," ")</f>
        <v/>
      </c>
      <c r="U2352" s="10">
        <f>IF(A2352="D",LEFT(UPPER(E2352)&amp;REPT(" ",15),15)," ")</f>
        <v/>
      </c>
      <c r="V2352" s="10">
        <f>REPT(" ",24)</f>
        <v/>
      </c>
      <c r="W2352" s="10">
        <f>IF(A2352="c",LEFT(UPPER(B2352)&amp;REPT(" ",20),20),REPT(" ",20))</f>
        <v/>
      </c>
      <c r="X2352" s="10">
        <f>IF(A2352="C",LEFT(UPPER(C2352)&amp;REPT(" ",10),10)," ")</f>
        <v/>
      </c>
      <c r="Y2352" s="10">
        <f>IF(A2352="C",LEFT(UPPER(D2352)&amp;REPT(" ",2),2)," ")</f>
        <v/>
      </c>
      <c r="Z2352" s="10">
        <f>IF(A2352="C",LEFT(UPPER(E2352)&amp;REPT(" ",15),15)," ")</f>
        <v/>
      </c>
      <c r="AA2352" s="10">
        <f>REPT(" ",8)</f>
        <v/>
      </c>
      <c r="AB2352" s="10">
        <f>REPT(" ",4)</f>
        <v/>
      </c>
      <c r="AC2352" s="10">
        <f>LEFT(UPPER(H2352)&amp;REPT(" ",250),250)</f>
        <v/>
      </c>
      <c r="AD2352" s="10">
        <f>TEXT($G$2,"dd/mm/aaaa")</f>
        <v/>
      </c>
      <c r="AE2352" s="10">
        <f>REPT(" ",10)</f>
        <v/>
      </c>
      <c r="AF2352" s="10">
        <f>REPT(" ",20)</f>
        <v/>
      </c>
      <c r="AG2352" s="54">
        <f>REPT(" ",18-LEN(FIXED(F2352,2,TRUE)))&amp;FIXED(F2352,2,TRUE)</f>
        <v/>
      </c>
      <c r="AH2352" s="10">
        <f>LEN(AC2352)+LEN(AG2352)</f>
        <v/>
      </c>
      <c r="AI2352" s="10">
        <f>LEN(L2352)</f>
        <v/>
      </c>
    </row>
    <row r="2353">
      <c r="J2353" s="12">
        <f>IF(F2353&lt;&gt;0,"LANÇAR","")</f>
        <v/>
      </c>
      <c r="L2353" s="13">
        <f>N2353&amp;O2353&amp;P2353&amp;Q2353&amp;R2353&amp;S2353&amp;T2353&amp;U2353&amp;V2353&amp;W2353&amp;X2353&amp;Y2353&amp;Z2353&amp;AA2353&amp;AB2353&amp;AC2353&amp;AD2353&amp;AE2353&amp;AF2353&amp;AG2353</f>
        <v/>
      </c>
      <c r="N2353" s="10">
        <f>TEXT($B$6,"00")</f>
        <v/>
      </c>
      <c r="O2353" s="10">
        <f>REPT(" ",8)</f>
        <v/>
      </c>
      <c r="P2353" s="10">
        <f>RIGHT($B$4,2)</f>
        <v/>
      </c>
      <c r="Q2353" s="10">
        <f>RIGHT($B$5,3)</f>
        <v/>
      </c>
      <c r="R2353" s="10">
        <f>IF(A2353="D",LEFT(UPPER(B2353)&amp;REPT(" ",20),20),REPT(" ",20))</f>
        <v/>
      </c>
      <c r="S2353" s="10">
        <f>IF(A2353="D",LEFT(UPPER(C2353)&amp;REPT(" ",10),10)," ")</f>
        <v/>
      </c>
      <c r="T2353" s="10">
        <f>IF(A2353="D",LEFT(UPPER(D2353)&amp;REPT(" ",2),2)," ")</f>
        <v/>
      </c>
      <c r="U2353" s="10">
        <f>IF(A2353="D",LEFT(UPPER(E2353)&amp;REPT(" ",15),15)," ")</f>
        <v/>
      </c>
      <c r="V2353" s="10">
        <f>REPT(" ",24)</f>
        <v/>
      </c>
      <c r="W2353" s="10">
        <f>IF(A2353="c",LEFT(UPPER(B2353)&amp;REPT(" ",20),20),REPT(" ",20))</f>
        <v/>
      </c>
      <c r="X2353" s="10">
        <f>IF(A2353="C",LEFT(UPPER(C2353)&amp;REPT(" ",10),10)," ")</f>
        <v/>
      </c>
      <c r="Y2353" s="10">
        <f>IF(A2353="C",LEFT(UPPER(D2353)&amp;REPT(" ",2),2)," ")</f>
        <v/>
      </c>
      <c r="Z2353" s="10">
        <f>IF(A2353="C",LEFT(UPPER(E2353)&amp;REPT(" ",15),15)," ")</f>
        <v/>
      </c>
      <c r="AA2353" s="10">
        <f>REPT(" ",8)</f>
        <v/>
      </c>
      <c r="AB2353" s="10">
        <f>REPT(" ",4)</f>
        <v/>
      </c>
      <c r="AC2353" s="10">
        <f>LEFT(UPPER(H2353)&amp;REPT(" ",250),250)</f>
        <v/>
      </c>
      <c r="AD2353" s="10">
        <f>TEXT($G$2,"dd/mm/aaaa")</f>
        <v/>
      </c>
      <c r="AE2353" s="10">
        <f>REPT(" ",10)</f>
        <v/>
      </c>
      <c r="AF2353" s="10">
        <f>REPT(" ",20)</f>
        <v/>
      </c>
      <c r="AG2353" s="54">
        <f>REPT(" ",18-LEN(FIXED(F2353,2,TRUE)))&amp;FIXED(F2353,2,TRUE)</f>
        <v/>
      </c>
      <c r="AH2353" s="10">
        <f>LEN(AC2353)+LEN(AG2353)</f>
        <v/>
      </c>
      <c r="AI2353" s="10">
        <f>LEN(L2353)</f>
        <v/>
      </c>
    </row>
    <row r="2354">
      <c r="J2354" s="12">
        <f>IF(F2354&lt;&gt;0,"LANÇAR","")</f>
        <v/>
      </c>
      <c r="L2354" s="13">
        <f>N2354&amp;O2354&amp;P2354&amp;Q2354&amp;R2354&amp;S2354&amp;T2354&amp;U2354&amp;V2354&amp;W2354&amp;X2354&amp;Y2354&amp;Z2354&amp;AA2354&amp;AB2354&amp;AC2354&amp;AD2354&amp;AE2354&amp;AF2354&amp;AG2354</f>
        <v/>
      </c>
      <c r="N2354" s="10">
        <f>TEXT($B$6,"00")</f>
        <v/>
      </c>
      <c r="O2354" s="10">
        <f>REPT(" ",8)</f>
        <v/>
      </c>
      <c r="P2354" s="10">
        <f>RIGHT($B$4,2)</f>
        <v/>
      </c>
      <c r="Q2354" s="10">
        <f>RIGHT($B$5,3)</f>
        <v/>
      </c>
      <c r="R2354" s="10">
        <f>IF(A2354="D",LEFT(UPPER(B2354)&amp;REPT(" ",20),20),REPT(" ",20))</f>
        <v/>
      </c>
      <c r="S2354" s="10">
        <f>IF(A2354="D",LEFT(UPPER(C2354)&amp;REPT(" ",10),10)," ")</f>
        <v/>
      </c>
      <c r="T2354" s="10">
        <f>IF(A2354="D",LEFT(UPPER(D2354)&amp;REPT(" ",2),2)," ")</f>
        <v/>
      </c>
      <c r="U2354" s="10">
        <f>IF(A2354="D",LEFT(UPPER(E2354)&amp;REPT(" ",15),15)," ")</f>
        <v/>
      </c>
      <c r="V2354" s="10">
        <f>REPT(" ",24)</f>
        <v/>
      </c>
      <c r="W2354" s="10">
        <f>IF(A2354="c",LEFT(UPPER(B2354)&amp;REPT(" ",20),20),REPT(" ",20))</f>
        <v/>
      </c>
      <c r="X2354" s="10">
        <f>IF(A2354="C",LEFT(UPPER(C2354)&amp;REPT(" ",10),10)," ")</f>
        <v/>
      </c>
      <c r="Y2354" s="10">
        <f>IF(A2354="C",LEFT(UPPER(D2354)&amp;REPT(" ",2),2)," ")</f>
        <v/>
      </c>
      <c r="Z2354" s="10">
        <f>IF(A2354="C",LEFT(UPPER(E2354)&amp;REPT(" ",15),15)," ")</f>
        <v/>
      </c>
      <c r="AA2354" s="10">
        <f>REPT(" ",8)</f>
        <v/>
      </c>
      <c r="AB2354" s="10">
        <f>REPT(" ",4)</f>
        <v/>
      </c>
      <c r="AC2354" s="10">
        <f>LEFT(UPPER(H2354)&amp;REPT(" ",250),250)</f>
        <v/>
      </c>
      <c r="AD2354" s="10">
        <f>TEXT($G$2,"dd/mm/aaaa")</f>
        <v/>
      </c>
      <c r="AE2354" s="10">
        <f>REPT(" ",10)</f>
        <v/>
      </c>
      <c r="AF2354" s="10">
        <f>REPT(" ",20)</f>
        <v/>
      </c>
      <c r="AG2354" s="54">
        <f>REPT(" ",18-LEN(FIXED(F2354,2,TRUE)))&amp;FIXED(F2354,2,TRUE)</f>
        <v/>
      </c>
      <c r="AH2354" s="10">
        <f>LEN(AC2354)+LEN(AG2354)</f>
        <v/>
      </c>
      <c r="AI2354" s="10">
        <f>LEN(L2354)</f>
        <v/>
      </c>
    </row>
    <row r="2355">
      <c r="J2355" s="12">
        <f>IF(F2355&lt;&gt;0,"LANÇAR","")</f>
        <v/>
      </c>
      <c r="L2355" s="13">
        <f>N2355&amp;O2355&amp;P2355&amp;Q2355&amp;R2355&amp;S2355&amp;T2355&amp;U2355&amp;V2355&amp;W2355&amp;X2355&amp;Y2355&amp;Z2355&amp;AA2355&amp;AB2355&amp;AC2355&amp;AD2355&amp;AE2355&amp;AF2355&amp;AG2355</f>
        <v/>
      </c>
      <c r="N2355" s="10">
        <f>TEXT($B$6,"00")</f>
        <v/>
      </c>
      <c r="O2355" s="10">
        <f>REPT(" ",8)</f>
        <v/>
      </c>
      <c r="P2355" s="10">
        <f>RIGHT($B$4,2)</f>
        <v/>
      </c>
      <c r="Q2355" s="10">
        <f>RIGHT($B$5,3)</f>
        <v/>
      </c>
      <c r="R2355" s="10">
        <f>IF(A2355="D",LEFT(UPPER(B2355)&amp;REPT(" ",20),20),REPT(" ",20))</f>
        <v/>
      </c>
      <c r="S2355" s="10">
        <f>IF(A2355="D",LEFT(UPPER(C2355)&amp;REPT(" ",10),10)," ")</f>
        <v/>
      </c>
      <c r="T2355" s="10">
        <f>IF(A2355="D",LEFT(UPPER(D2355)&amp;REPT(" ",2),2)," ")</f>
        <v/>
      </c>
      <c r="U2355" s="10">
        <f>IF(A2355="D",LEFT(UPPER(E2355)&amp;REPT(" ",15),15)," ")</f>
        <v/>
      </c>
      <c r="V2355" s="10">
        <f>REPT(" ",24)</f>
        <v/>
      </c>
      <c r="W2355" s="10">
        <f>IF(A2355="c",LEFT(UPPER(B2355)&amp;REPT(" ",20),20),REPT(" ",20))</f>
        <v/>
      </c>
      <c r="X2355" s="10">
        <f>IF(A2355="C",LEFT(UPPER(C2355)&amp;REPT(" ",10),10)," ")</f>
        <v/>
      </c>
      <c r="Y2355" s="10">
        <f>IF(A2355="C",LEFT(UPPER(D2355)&amp;REPT(" ",2),2)," ")</f>
        <v/>
      </c>
      <c r="Z2355" s="10">
        <f>IF(A2355="C",LEFT(UPPER(E2355)&amp;REPT(" ",15),15)," ")</f>
        <v/>
      </c>
      <c r="AA2355" s="10">
        <f>REPT(" ",8)</f>
        <v/>
      </c>
      <c r="AB2355" s="10">
        <f>REPT(" ",4)</f>
        <v/>
      </c>
      <c r="AC2355" s="10">
        <f>LEFT(UPPER(H2355)&amp;REPT(" ",250),250)</f>
        <v/>
      </c>
      <c r="AD2355" s="10">
        <f>TEXT($G$2,"dd/mm/aaaa")</f>
        <v/>
      </c>
      <c r="AE2355" s="10">
        <f>REPT(" ",10)</f>
        <v/>
      </c>
      <c r="AF2355" s="10">
        <f>REPT(" ",20)</f>
        <v/>
      </c>
      <c r="AG2355" s="54">
        <f>REPT(" ",18-LEN(FIXED(F2355,2,TRUE)))&amp;FIXED(F2355,2,TRUE)</f>
        <v/>
      </c>
      <c r="AH2355" s="10">
        <f>LEN(AC2355)+LEN(AG2355)</f>
        <v/>
      </c>
      <c r="AI2355" s="10">
        <f>LEN(L2355)</f>
        <v/>
      </c>
    </row>
    <row r="2356">
      <c r="J2356" s="12">
        <f>IF(F2356&lt;&gt;0,"LANÇAR","")</f>
        <v/>
      </c>
      <c r="L2356" s="13">
        <f>N2356&amp;O2356&amp;P2356&amp;Q2356&amp;R2356&amp;S2356&amp;T2356&amp;U2356&amp;V2356&amp;W2356&amp;X2356&amp;Y2356&amp;Z2356&amp;AA2356&amp;AB2356&amp;AC2356&amp;AD2356&amp;AE2356&amp;AF2356&amp;AG2356</f>
        <v/>
      </c>
      <c r="N2356" s="10">
        <f>TEXT($B$6,"00")</f>
        <v/>
      </c>
      <c r="O2356" s="10">
        <f>REPT(" ",8)</f>
        <v/>
      </c>
      <c r="P2356" s="10">
        <f>RIGHT($B$4,2)</f>
        <v/>
      </c>
      <c r="Q2356" s="10">
        <f>RIGHT($B$5,3)</f>
        <v/>
      </c>
      <c r="R2356" s="10">
        <f>IF(A2356="D",LEFT(UPPER(B2356)&amp;REPT(" ",20),20),REPT(" ",20))</f>
        <v/>
      </c>
      <c r="S2356" s="10">
        <f>IF(A2356="D",LEFT(UPPER(C2356)&amp;REPT(" ",10),10)," ")</f>
        <v/>
      </c>
      <c r="T2356" s="10">
        <f>IF(A2356="D",LEFT(UPPER(D2356)&amp;REPT(" ",2),2)," ")</f>
        <v/>
      </c>
      <c r="U2356" s="10">
        <f>IF(A2356="D",LEFT(UPPER(E2356)&amp;REPT(" ",15),15)," ")</f>
        <v/>
      </c>
      <c r="V2356" s="10">
        <f>REPT(" ",24)</f>
        <v/>
      </c>
      <c r="W2356" s="10">
        <f>IF(A2356="c",LEFT(UPPER(B2356)&amp;REPT(" ",20),20),REPT(" ",20))</f>
        <v/>
      </c>
      <c r="X2356" s="10">
        <f>IF(A2356="C",LEFT(UPPER(C2356)&amp;REPT(" ",10),10)," ")</f>
        <v/>
      </c>
      <c r="Y2356" s="10">
        <f>IF(A2356="C",LEFT(UPPER(D2356)&amp;REPT(" ",2),2)," ")</f>
        <v/>
      </c>
      <c r="Z2356" s="10">
        <f>IF(A2356="C",LEFT(UPPER(E2356)&amp;REPT(" ",15),15)," ")</f>
        <v/>
      </c>
      <c r="AA2356" s="10">
        <f>REPT(" ",8)</f>
        <v/>
      </c>
      <c r="AB2356" s="10">
        <f>REPT(" ",4)</f>
        <v/>
      </c>
      <c r="AC2356" s="10">
        <f>LEFT(UPPER(H2356)&amp;REPT(" ",250),250)</f>
        <v/>
      </c>
      <c r="AD2356" s="10">
        <f>TEXT($G$2,"dd/mm/aaaa")</f>
        <v/>
      </c>
      <c r="AE2356" s="10">
        <f>REPT(" ",10)</f>
        <v/>
      </c>
      <c r="AF2356" s="10">
        <f>REPT(" ",20)</f>
        <v/>
      </c>
      <c r="AG2356" s="54">
        <f>REPT(" ",18-LEN(FIXED(F2356,2,TRUE)))&amp;FIXED(F2356,2,TRUE)</f>
        <v/>
      </c>
      <c r="AH2356" s="10">
        <f>LEN(AC2356)+LEN(AG2356)</f>
        <v/>
      </c>
      <c r="AI2356" s="10">
        <f>LEN(L2356)</f>
        <v/>
      </c>
    </row>
    <row r="2357">
      <c r="J2357" s="12">
        <f>IF(F2357&lt;&gt;0,"LANÇAR","")</f>
        <v/>
      </c>
      <c r="L2357" s="13">
        <f>N2357&amp;O2357&amp;P2357&amp;Q2357&amp;R2357&amp;S2357&amp;T2357&amp;U2357&amp;V2357&amp;W2357&amp;X2357&amp;Y2357&amp;Z2357&amp;AA2357&amp;AB2357&amp;AC2357&amp;AD2357&amp;AE2357&amp;AF2357&amp;AG2357</f>
        <v/>
      </c>
      <c r="N2357" s="10">
        <f>TEXT($B$6,"00")</f>
        <v/>
      </c>
      <c r="O2357" s="10">
        <f>REPT(" ",8)</f>
        <v/>
      </c>
      <c r="P2357" s="10">
        <f>RIGHT($B$4,2)</f>
        <v/>
      </c>
      <c r="Q2357" s="10">
        <f>RIGHT($B$5,3)</f>
        <v/>
      </c>
      <c r="R2357" s="10">
        <f>IF(A2357="D",LEFT(UPPER(B2357)&amp;REPT(" ",20),20),REPT(" ",20))</f>
        <v/>
      </c>
      <c r="S2357" s="10">
        <f>IF(A2357="D",LEFT(UPPER(C2357)&amp;REPT(" ",10),10)," ")</f>
        <v/>
      </c>
      <c r="T2357" s="10">
        <f>IF(A2357="D",LEFT(UPPER(D2357)&amp;REPT(" ",2),2)," ")</f>
        <v/>
      </c>
      <c r="U2357" s="10">
        <f>IF(A2357="D",LEFT(UPPER(E2357)&amp;REPT(" ",15),15)," ")</f>
        <v/>
      </c>
      <c r="V2357" s="10">
        <f>REPT(" ",24)</f>
        <v/>
      </c>
      <c r="W2357" s="10">
        <f>IF(A2357="c",LEFT(UPPER(B2357)&amp;REPT(" ",20),20),REPT(" ",20))</f>
        <v/>
      </c>
      <c r="X2357" s="10">
        <f>IF(A2357="C",LEFT(UPPER(C2357)&amp;REPT(" ",10),10)," ")</f>
        <v/>
      </c>
      <c r="Y2357" s="10">
        <f>IF(A2357="C",LEFT(UPPER(D2357)&amp;REPT(" ",2),2)," ")</f>
        <v/>
      </c>
      <c r="Z2357" s="10">
        <f>IF(A2357="C",LEFT(UPPER(E2357)&amp;REPT(" ",15),15)," ")</f>
        <v/>
      </c>
      <c r="AA2357" s="10">
        <f>REPT(" ",8)</f>
        <v/>
      </c>
      <c r="AB2357" s="10">
        <f>REPT(" ",4)</f>
        <v/>
      </c>
      <c r="AC2357" s="10">
        <f>LEFT(UPPER(H2357)&amp;REPT(" ",250),250)</f>
        <v/>
      </c>
      <c r="AD2357" s="10">
        <f>TEXT($G$2,"dd/mm/aaaa")</f>
        <v/>
      </c>
      <c r="AE2357" s="10">
        <f>REPT(" ",10)</f>
        <v/>
      </c>
      <c r="AF2357" s="10">
        <f>REPT(" ",20)</f>
        <v/>
      </c>
      <c r="AG2357" s="54">
        <f>REPT(" ",18-LEN(FIXED(F2357,2,TRUE)))&amp;FIXED(F2357,2,TRUE)</f>
        <v/>
      </c>
      <c r="AH2357" s="10">
        <f>LEN(AC2357)+LEN(AG2357)</f>
        <v/>
      </c>
      <c r="AI2357" s="10">
        <f>LEN(L2357)</f>
        <v/>
      </c>
    </row>
    <row r="2358">
      <c r="J2358" s="12">
        <f>IF(F2358&lt;&gt;0,"LANÇAR","")</f>
        <v/>
      </c>
      <c r="L2358" s="13">
        <f>N2358&amp;O2358&amp;P2358&amp;Q2358&amp;R2358&amp;S2358&amp;T2358&amp;U2358&amp;V2358&amp;W2358&amp;X2358&amp;Y2358&amp;Z2358&amp;AA2358&amp;AB2358&amp;AC2358&amp;AD2358&amp;AE2358&amp;AF2358&amp;AG2358</f>
        <v/>
      </c>
      <c r="N2358" s="10">
        <f>TEXT($B$6,"00")</f>
        <v/>
      </c>
      <c r="O2358" s="10">
        <f>REPT(" ",8)</f>
        <v/>
      </c>
      <c r="P2358" s="10">
        <f>RIGHT($B$4,2)</f>
        <v/>
      </c>
      <c r="Q2358" s="10">
        <f>RIGHT($B$5,3)</f>
        <v/>
      </c>
      <c r="R2358" s="10">
        <f>IF(A2358="D",LEFT(UPPER(B2358)&amp;REPT(" ",20),20),REPT(" ",20))</f>
        <v/>
      </c>
      <c r="S2358" s="10">
        <f>IF(A2358="D",LEFT(UPPER(C2358)&amp;REPT(" ",10),10)," ")</f>
        <v/>
      </c>
      <c r="T2358" s="10">
        <f>IF(A2358="D",LEFT(UPPER(D2358)&amp;REPT(" ",2),2)," ")</f>
        <v/>
      </c>
      <c r="U2358" s="10">
        <f>IF(A2358="D",LEFT(UPPER(E2358)&amp;REPT(" ",15),15)," ")</f>
        <v/>
      </c>
      <c r="V2358" s="10">
        <f>REPT(" ",24)</f>
        <v/>
      </c>
      <c r="W2358" s="10">
        <f>IF(A2358="c",LEFT(UPPER(B2358)&amp;REPT(" ",20),20),REPT(" ",20))</f>
        <v/>
      </c>
      <c r="X2358" s="10">
        <f>IF(A2358="C",LEFT(UPPER(C2358)&amp;REPT(" ",10),10)," ")</f>
        <v/>
      </c>
      <c r="Y2358" s="10">
        <f>IF(A2358="C",LEFT(UPPER(D2358)&amp;REPT(" ",2),2)," ")</f>
        <v/>
      </c>
      <c r="Z2358" s="10">
        <f>IF(A2358="C",LEFT(UPPER(E2358)&amp;REPT(" ",15),15)," ")</f>
        <v/>
      </c>
      <c r="AA2358" s="10">
        <f>REPT(" ",8)</f>
        <v/>
      </c>
      <c r="AB2358" s="10">
        <f>REPT(" ",4)</f>
        <v/>
      </c>
      <c r="AC2358" s="10">
        <f>LEFT(UPPER(H2358)&amp;REPT(" ",250),250)</f>
        <v/>
      </c>
      <c r="AD2358" s="10">
        <f>TEXT($G$2,"dd/mm/aaaa")</f>
        <v/>
      </c>
      <c r="AE2358" s="10">
        <f>REPT(" ",10)</f>
        <v/>
      </c>
      <c r="AF2358" s="10">
        <f>REPT(" ",20)</f>
        <v/>
      </c>
      <c r="AG2358" s="54">
        <f>REPT(" ",18-LEN(FIXED(F2358,2,TRUE)))&amp;FIXED(F2358,2,TRUE)</f>
        <v/>
      </c>
      <c r="AH2358" s="10">
        <f>LEN(AC2358)+LEN(AG2358)</f>
        <v/>
      </c>
      <c r="AI2358" s="10">
        <f>LEN(L2358)</f>
        <v/>
      </c>
    </row>
    <row r="2359">
      <c r="J2359" s="12">
        <f>IF(F2359&lt;&gt;0,"LANÇAR","")</f>
        <v/>
      </c>
      <c r="L2359" s="13">
        <f>N2359&amp;O2359&amp;P2359&amp;Q2359&amp;R2359&amp;S2359&amp;T2359&amp;U2359&amp;V2359&amp;W2359&amp;X2359&amp;Y2359&amp;Z2359&amp;AA2359&amp;AB2359&amp;AC2359&amp;AD2359&amp;AE2359&amp;AF2359&amp;AG2359</f>
        <v/>
      </c>
      <c r="N2359" s="10">
        <f>TEXT($B$6,"00")</f>
        <v/>
      </c>
      <c r="O2359" s="10">
        <f>REPT(" ",8)</f>
        <v/>
      </c>
      <c r="P2359" s="10">
        <f>RIGHT($B$4,2)</f>
        <v/>
      </c>
      <c r="Q2359" s="10">
        <f>RIGHT($B$5,3)</f>
        <v/>
      </c>
      <c r="R2359" s="10">
        <f>IF(A2359="D",LEFT(UPPER(B2359)&amp;REPT(" ",20),20),REPT(" ",20))</f>
        <v/>
      </c>
      <c r="S2359" s="10">
        <f>IF(A2359="D",LEFT(UPPER(C2359)&amp;REPT(" ",10),10)," ")</f>
        <v/>
      </c>
      <c r="T2359" s="10">
        <f>IF(A2359="D",LEFT(UPPER(D2359)&amp;REPT(" ",2),2)," ")</f>
        <v/>
      </c>
      <c r="U2359" s="10">
        <f>IF(A2359="D",LEFT(UPPER(E2359)&amp;REPT(" ",15),15)," ")</f>
        <v/>
      </c>
      <c r="V2359" s="10">
        <f>REPT(" ",24)</f>
        <v/>
      </c>
      <c r="W2359" s="10">
        <f>IF(A2359="c",LEFT(UPPER(B2359)&amp;REPT(" ",20),20),REPT(" ",20))</f>
        <v/>
      </c>
      <c r="X2359" s="10">
        <f>IF(A2359="C",LEFT(UPPER(C2359)&amp;REPT(" ",10),10)," ")</f>
        <v/>
      </c>
      <c r="Y2359" s="10">
        <f>IF(A2359="C",LEFT(UPPER(D2359)&amp;REPT(" ",2),2)," ")</f>
        <v/>
      </c>
      <c r="Z2359" s="10">
        <f>IF(A2359="C",LEFT(UPPER(E2359)&amp;REPT(" ",15),15)," ")</f>
        <v/>
      </c>
      <c r="AA2359" s="10">
        <f>REPT(" ",8)</f>
        <v/>
      </c>
      <c r="AB2359" s="10">
        <f>REPT(" ",4)</f>
        <v/>
      </c>
      <c r="AC2359" s="10">
        <f>LEFT(UPPER(H2359)&amp;REPT(" ",250),250)</f>
        <v/>
      </c>
      <c r="AD2359" s="10">
        <f>TEXT($G$2,"dd/mm/aaaa")</f>
        <v/>
      </c>
      <c r="AE2359" s="10">
        <f>REPT(" ",10)</f>
        <v/>
      </c>
      <c r="AF2359" s="10">
        <f>REPT(" ",20)</f>
        <v/>
      </c>
      <c r="AG2359" s="54">
        <f>REPT(" ",18-LEN(FIXED(F2359,2,TRUE)))&amp;FIXED(F2359,2,TRUE)</f>
        <v/>
      </c>
      <c r="AH2359" s="10">
        <f>LEN(AC2359)+LEN(AG2359)</f>
        <v/>
      </c>
      <c r="AI2359" s="10">
        <f>LEN(L2359)</f>
        <v/>
      </c>
    </row>
    <row r="2360">
      <c r="J2360" s="12">
        <f>IF(F2360&lt;&gt;0,"LANÇAR","")</f>
        <v/>
      </c>
      <c r="L2360" s="13">
        <f>N2360&amp;O2360&amp;P2360&amp;Q2360&amp;R2360&amp;S2360&amp;T2360&amp;U2360&amp;V2360&amp;W2360&amp;X2360&amp;Y2360&amp;Z2360&amp;AA2360&amp;AB2360&amp;AC2360&amp;AD2360&amp;AE2360&amp;AF2360&amp;AG2360</f>
        <v/>
      </c>
      <c r="N2360" s="10">
        <f>TEXT($B$6,"00")</f>
        <v/>
      </c>
      <c r="O2360" s="10">
        <f>REPT(" ",8)</f>
        <v/>
      </c>
      <c r="P2360" s="10">
        <f>RIGHT($B$4,2)</f>
        <v/>
      </c>
      <c r="Q2360" s="10">
        <f>RIGHT($B$5,3)</f>
        <v/>
      </c>
      <c r="R2360" s="10">
        <f>IF(A2360="D",LEFT(UPPER(B2360)&amp;REPT(" ",20),20),REPT(" ",20))</f>
        <v/>
      </c>
      <c r="S2360" s="10">
        <f>IF(A2360="D",LEFT(UPPER(C2360)&amp;REPT(" ",10),10)," ")</f>
        <v/>
      </c>
      <c r="T2360" s="10">
        <f>IF(A2360="D",LEFT(UPPER(D2360)&amp;REPT(" ",2),2)," ")</f>
        <v/>
      </c>
      <c r="U2360" s="10">
        <f>IF(A2360="D",LEFT(UPPER(E2360)&amp;REPT(" ",15),15)," ")</f>
        <v/>
      </c>
      <c r="V2360" s="10">
        <f>REPT(" ",24)</f>
        <v/>
      </c>
      <c r="W2360" s="10">
        <f>IF(A2360="c",LEFT(UPPER(B2360)&amp;REPT(" ",20),20),REPT(" ",20))</f>
        <v/>
      </c>
      <c r="X2360" s="10">
        <f>IF(A2360="C",LEFT(UPPER(C2360)&amp;REPT(" ",10),10)," ")</f>
        <v/>
      </c>
      <c r="Y2360" s="10">
        <f>IF(A2360="C",LEFT(UPPER(D2360)&amp;REPT(" ",2),2)," ")</f>
        <v/>
      </c>
      <c r="Z2360" s="10">
        <f>IF(A2360="C",LEFT(UPPER(E2360)&amp;REPT(" ",15),15)," ")</f>
        <v/>
      </c>
      <c r="AA2360" s="10">
        <f>REPT(" ",8)</f>
        <v/>
      </c>
      <c r="AB2360" s="10">
        <f>REPT(" ",4)</f>
        <v/>
      </c>
      <c r="AC2360" s="10">
        <f>LEFT(UPPER(H2360)&amp;REPT(" ",250),250)</f>
        <v/>
      </c>
      <c r="AD2360" s="10">
        <f>TEXT($G$2,"dd/mm/aaaa")</f>
        <v/>
      </c>
      <c r="AE2360" s="10">
        <f>REPT(" ",10)</f>
        <v/>
      </c>
      <c r="AF2360" s="10">
        <f>REPT(" ",20)</f>
        <v/>
      </c>
      <c r="AG2360" s="54">
        <f>REPT(" ",18-LEN(FIXED(F2360,2,TRUE)))&amp;FIXED(F2360,2,TRUE)</f>
        <v/>
      </c>
      <c r="AH2360" s="10">
        <f>LEN(AC2360)+LEN(AG2360)</f>
        <v/>
      </c>
      <c r="AI2360" s="10">
        <f>LEN(L2360)</f>
        <v/>
      </c>
    </row>
    <row r="2361">
      <c r="J2361" s="12">
        <f>IF(F2361&lt;&gt;0,"LANÇAR","")</f>
        <v/>
      </c>
      <c r="L2361" s="13">
        <f>N2361&amp;O2361&amp;P2361&amp;Q2361&amp;R2361&amp;S2361&amp;T2361&amp;U2361&amp;V2361&amp;W2361&amp;X2361&amp;Y2361&amp;Z2361&amp;AA2361&amp;AB2361&amp;AC2361&amp;AD2361&amp;AE2361&amp;AF2361&amp;AG2361</f>
        <v/>
      </c>
      <c r="N2361" s="10">
        <f>TEXT($B$6,"00")</f>
        <v/>
      </c>
      <c r="O2361" s="10">
        <f>REPT(" ",8)</f>
        <v/>
      </c>
      <c r="P2361" s="10">
        <f>RIGHT($B$4,2)</f>
        <v/>
      </c>
      <c r="Q2361" s="10">
        <f>RIGHT($B$5,3)</f>
        <v/>
      </c>
      <c r="R2361" s="10">
        <f>IF(A2361="D",LEFT(UPPER(B2361)&amp;REPT(" ",20),20),REPT(" ",20))</f>
        <v/>
      </c>
      <c r="S2361" s="10">
        <f>IF(A2361="D",LEFT(UPPER(C2361)&amp;REPT(" ",10),10)," ")</f>
        <v/>
      </c>
      <c r="T2361" s="10">
        <f>IF(A2361="D",LEFT(UPPER(D2361)&amp;REPT(" ",2),2)," ")</f>
        <v/>
      </c>
      <c r="U2361" s="10">
        <f>IF(A2361="D",LEFT(UPPER(E2361)&amp;REPT(" ",15),15)," ")</f>
        <v/>
      </c>
      <c r="V2361" s="10">
        <f>REPT(" ",24)</f>
        <v/>
      </c>
      <c r="W2361" s="10">
        <f>IF(A2361="c",LEFT(UPPER(B2361)&amp;REPT(" ",20),20),REPT(" ",20))</f>
        <v/>
      </c>
      <c r="X2361" s="10">
        <f>IF(A2361="C",LEFT(UPPER(C2361)&amp;REPT(" ",10),10)," ")</f>
        <v/>
      </c>
      <c r="Y2361" s="10">
        <f>IF(A2361="C",LEFT(UPPER(D2361)&amp;REPT(" ",2),2)," ")</f>
        <v/>
      </c>
      <c r="Z2361" s="10">
        <f>IF(A2361="C",LEFT(UPPER(E2361)&amp;REPT(" ",15),15)," ")</f>
        <v/>
      </c>
      <c r="AA2361" s="10">
        <f>REPT(" ",8)</f>
        <v/>
      </c>
      <c r="AB2361" s="10">
        <f>REPT(" ",4)</f>
        <v/>
      </c>
      <c r="AC2361" s="10">
        <f>LEFT(UPPER(H2361)&amp;REPT(" ",250),250)</f>
        <v/>
      </c>
      <c r="AD2361" s="10">
        <f>TEXT($G$2,"dd/mm/aaaa")</f>
        <v/>
      </c>
      <c r="AE2361" s="10">
        <f>REPT(" ",10)</f>
        <v/>
      </c>
      <c r="AF2361" s="10">
        <f>REPT(" ",20)</f>
        <v/>
      </c>
      <c r="AG2361" s="54">
        <f>REPT(" ",18-LEN(FIXED(F2361,2,TRUE)))&amp;FIXED(F2361,2,TRUE)</f>
        <v/>
      </c>
      <c r="AH2361" s="10">
        <f>LEN(AC2361)+LEN(AG2361)</f>
        <v/>
      </c>
      <c r="AI2361" s="10">
        <f>LEN(L2361)</f>
        <v/>
      </c>
    </row>
    <row r="2362">
      <c r="J2362" s="12">
        <f>IF(F2362&lt;&gt;0,"LANÇAR","")</f>
        <v/>
      </c>
      <c r="L2362" s="13">
        <f>N2362&amp;O2362&amp;P2362&amp;Q2362&amp;R2362&amp;S2362&amp;T2362&amp;U2362&amp;V2362&amp;W2362&amp;X2362&amp;Y2362&amp;Z2362&amp;AA2362&amp;AB2362&amp;AC2362&amp;AD2362&amp;AE2362&amp;AF2362&amp;AG2362</f>
        <v/>
      </c>
      <c r="N2362" s="10">
        <f>TEXT($B$6,"00")</f>
        <v/>
      </c>
      <c r="O2362" s="10">
        <f>REPT(" ",8)</f>
        <v/>
      </c>
      <c r="P2362" s="10">
        <f>RIGHT($B$4,2)</f>
        <v/>
      </c>
      <c r="Q2362" s="10">
        <f>RIGHT($B$5,3)</f>
        <v/>
      </c>
      <c r="R2362" s="10">
        <f>IF(A2362="D",LEFT(UPPER(B2362)&amp;REPT(" ",20),20),REPT(" ",20))</f>
        <v/>
      </c>
      <c r="S2362" s="10">
        <f>IF(A2362="D",LEFT(UPPER(C2362)&amp;REPT(" ",10),10)," ")</f>
        <v/>
      </c>
      <c r="T2362" s="10">
        <f>IF(A2362="D",LEFT(UPPER(D2362)&amp;REPT(" ",2),2)," ")</f>
        <v/>
      </c>
      <c r="U2362" s="10">
        <f>IF(A2362="D",LEFT(UPPER(E2362)&amp;REPT(" ",15),15)," ")</f>
        <v/>
      </c>
      <c r="V2362" s="10">
        <f>REPT(" ",24)</f>
        <v/>
      </c>
      <c r="W2362" s="10">
        <f>IF(A2362="c",LEFT(UPPER(B2362)&amp;REPT(" ",20),20),REPT(" ",20))</f>
        <v/>
      </c>
      <c r="X2362" s="10">
        <f>IF(A2362="C",LEFT(UPPER(C2362)&amp;REPT(" ",10),10)," ")</f>
        <v/>
      </c>
      <c r="Y2362" s="10">
        <f>IF(A2362="C",LEFT(UPPER(D2362)&amp;REPT(" ",2),2)," ")</f>
        <v/>
      </c>
      <c r="Z2362" s="10">
        <f>IF(A2362="C",LEFT(UPPER(E2362)&amp;REPT(" ",15),15)," ")</f>
        <v/>
      </c>
      <c r="AA2362" s="10">
        <f>REPT(" ",8)</f>
        <v/>
      </c>
      <c r="AB2362" s="10">
        <f>REPT(" ",4)</f>
        <v/>
      </c>
      <c r="AC2362" s="10">
        <f>LEFT(UPPER(H2362)&amp;REPT(" ",250),250)</f>
        <v/>
      </c>
      <c r="AD2362" s="10">
        <f>TEXT($G$2,"dd/mm/aaaa")</f>
        <v/>
      </c>
      <c r="AE2362" s="10">
        <f>REPT(" ",10)</f>
        <v/>
      </c>
      <c r="AF2362" s="10">
        <f>REPT(" ",20)</f>
        <v/>
      </c>
      <c r="AG2362" s="54">
        <f>REPT(" ",18-LEN(FIXED(F2362,2,TRUE)))&amp;FIXED(F2362,2,TRUE)</f>
        <v/>
      </c>
      <c r="AH2362" s="10">
        <f>LEN(AC2362)+LEN(AG2362)</f>
        <v/>
      </c>
      <c r="AI2362" s="10">
        <f>LEN(L2362)</f>
        <v/>
      </c>
    </row>
    <row r="2363">
      <c r="J2363" s="12">
        <f>IF(F2363&lt;&gt;0,"LANÇAR","")</f>
        <v/>
      </c>
      <c r="L2363" s="13">
        <f>N2363&amp;O2363&amp;P2363&amp;Q2363&amp;R2363&amp;S2363&amp;T2363&amp;U2363&amp;V2363&amp;W2363&amp;X2363&amp;Y2363&amp;Z2363&amp;AA2363&amp;AB2363&amp;AC2363&amp;AD2363&amp;AE2363&amp;AF2363&amp;AG2363</f>
        <v/>
      </c>
      <c r="N2363" s="10">
        <f>TEXT($B$6,"00")</f>
        <v/>
      </c>
      <c r="O2363" s="10">
        <f>REPT(" ",8)</f>
        <v/>
      </c>
      <c r="P2363" s="10">
        <f>RIGHT($B$4,2)</f>
        <v/>
      </c>
      <c r="Q2363" s="10">
        <f>RIGHT($B$5,3)</f>
        <v/>
      </c>
      <c r="R2363" s="10">
        <f>IF(A2363="D",LEFT(UPPER(B2363)&amp;REPT(" ",20),20),REPT(" ",20))</f>
        <v/>
      </c>
      <c r="S2363" s="10">
        <f>IF(A2363="D",LEFT(UPPER(C2363)&amp;REPT(" ",10),10)," ")</f>
        <v/>
      </c>
      <c r="T2363" s="10">
        <f>IF(A2363="D",LEFT(UPPER(D2363)&amp;REPT(" ",2),2)," ")</f>
        <v/>
      </c>
      <c r="U2363" s="10">
        <f>IF(A2363="D",LEFT(UPPER(E2363)&amp;REPT(" ",15),15)," ")</f>
        <v/>
      </c>
      <c r="V2363" s="10">
        <f>REPT(" ",24)</f>
        <v/>
      </c>
      <c r="W2363" s="10">
        <f>IF(A2363="c",LEFT(UPPER(B2363)&amp;REPT(" ",20),20),REPT(" ",20))</f>
        <v/>
      </c>
      <c r="X2363" s="10">
        <f>IF(A2363="C",LEFT(UPPER(C2363)&amp;REPT(" ",10),10)," ")</f>
        <v/>
      </c>
      <c r="Y2363" s="10">
        <f>IF(A2363="C",LEFT(UPPER(D2363)&amp;REPT(" ",2),2)," ")</f>
        <v/>
      </c>
      <c r="Z2363" s="10">
        <f>IF(A2363="C",LEFT(UPPER(E2363)&amp;REPT(" ",15),15)," ")</f>
        <v/>
      </c>
      <c r="AA2363" s="10">
        <f>REPT(" ",8)</f>
        <v/>
      </c>
      <c r="AB2363" s="10">
        <f>REPT(" ",4)</f>
        <v/>
      </c>
      <c r="AC2363" s="10">
        <f>LEFT(UPPER(H2363)&amp;REPT(" ",250),250)</f>
        <v/>
      </c>
      <c r="AD2363" s="10">
        <f>TEXT($G$2,"dd/mm/aaaa")</f>
        <v/>
      </c>
      <c r="AE2363" s="10">
        <f>REPT(" ",10)</f>
        <v/>
      </c>
      <c r="AF2363" s="10">
        <f>REPT(" ",20)</f>
        <v/>
      </c>
      <c r="AG2363" s="54">
        <f>REPT(" ",18-LEN(FIXED(F2363,2,TRUE)))&amp;FIXED(F2363,2,TRUE)</f>
        <v/>
      </c>
      <c r="AH2363" s="10">
        <f>LEN(AC2363)+LEN(AG2363)</f>
        <v/>
      </c>
      <c r="AI2363" s="10">
        <f>LEN(L2363)</f>
        <v/>
      </c>
    </row>
    <row r="2364">
      <c r="J2364" s="12">
        <f>IF(F2364&lt;&gt;0,"LANÇAR","")</f>
        <v/>
      </c>
      <c r="L2364" s="13">
        <f>N2364&amp;O2364&amp;P2364&amp;Q2364&amp;R2364&amp;S2364&amp;T2364&amp;U2364&amp;V2364&amp;W2364&amp;X2364&amp;Y2364&amp;Z2364&amp;AA2364&amp;AB2364&amp;AC2364&amp;AD2364&amp;AE2364&amp;AF2364&amp;AG2364</f>
        <v/>
      </c>
      <c r="N2364" s="10">
        <f>TEXT($B$6,"00")</f>
        <v/>
      </c>
      <c r="O2364" s="10">
        <f>REPT(" ",8)</f>
        <v/>
      </c>
      <c r="P2364" s="10">
        <f>RIGHT($B$4,2)</f>
        <v/>
      </c>
      <c r="Q2364" s="10">
        <f>RIGHT($B$5,3)</f>
        <v/>
      </c>
      <c r="R2364" s="10">
        <f>IF(A2364="D",LEFT(UPPER(B2364)&amp;REPT(" ",20),20),REPT(" ",20))</f>
        <v/>
      </c>
      <c r="S2364" s="10">
        <f>IF(A2364="D",LEFT(UPPER(C2364)&amp;REPT(" ",10),10)," ")</f>
        <v/>
      </c>
      <c r="T2364" s="10">
        <f>IF(A2364="D",LEFT(UPPER(D2364)&amp;REPT(" ",2),2)," ")</f>
        <v/>
      </c>
      <c r="U2364" s="10">
        <f>IF(A2364="D",LEFT(UPPER(E2364)&amp;REPT(" ",15),15)," ")</f>
        <v/>
      </c>
      <c r="V2364" s="10">
        <f>REPT(" ",24)</f>
        <v/>
      </c>
      <c r="W2364" s="10">
        <f>IF(A2364="c",LEFT(UPPER(B2364)&amp;REPT(" ",20),20),REPT(" ",20))</f>
        <v/>
      </c>
      <c r="X2364" s="10">
        <f>IF(A2364="C",LEFT(UPPER(C2364)&amp;REPT(" ",10),10)," ")</f>
        <v/>
      </c>
      <c r="Y2364" s="10">
        <f>IF(A2364="C",LEFT(UPPER(D2364)&amp;REPT(" ",2),2)," ")</f>
        <v/>
      </c>
      <c r="Z2364" s="10">
        <f>IF(A2364="C",LEFT(UPPER(E2364)&amp;REPT(" ",15),15)," ")</f>
        <v/>
      </c>
      <c r="AA2364" s="10">
        <f>REPT(" ",8)</f>
        <v/>
      </c>
      <c r="AB2364" s="10">
        <f>REPT(" ",4)</f>
        <v/>
      </c>
      <c r="AC2364" s="10">
        <f>LEFT(UPPER(H2364)&amp;REPT(" ",250),250)</f>
        <v/>
      </c>
      <c r="AD2364" s="10">
        <f>TEXT($G$2,"dd/mm/aaaa")</f>
        <v/>
      </c>
      <c r="AE2364" s="10">
        <f>REPT(" ",10)</f>
        <v/>
      </c>
      <c r="AF2364" s="10">
        <f>REPT(" ",20)</f>
        <v/>
      </c>
      <c r="AG2364" s="54">
        <f>REPT(" ",18-LEN(FIXED(F2364,2,TRUE)))&amp;FIXED(F2364,2,TRUE)</f>
        <v/>
      </c>
      <c r="AH2364" s="10">
        <f>LEN(AC2364)+LEN(AG2364)</f>
        <v/>
      </c>
      <c r="AI2364" s="10">
        <f>LEN(L2364)</f>
        <v/>
      </c>
    </row>
    <row r="2365">
      <c r="J2365" s="12">
        <f>IF(F2365&lt;&gt;0,"LANÇAR","")</f>
        <v/>
      </c>
      <c r="L2365" s="13">
        <f>N2365&amp;O2365&amp;P2365&amp;Q2365&amp;R2365&amp;S2365&amp;T2365&amp;U2365&amp;V2365&amp;W2365&amp;X2365&amp;Y2365&amp;Z2365&amp;AA2365&amp;AB2365&amp;AC2365&amp;AD2365&amp;AE2365&amp;AF2365&amp;AG2365</f>
        <v/>
      </c>
      <c r="N2365" s="10">
        <f>TEXT($B$6,"00")</f>
        <v/>
      </c>
      <c r="O2365" s="10">
        <f>REPT(" ",8)</f>
        <v/>
      </c>
      <c r="P2365" s="10">
        <f>RIGHT($B$4,2)</f>
        <v/>
      </c>
      <c r="Q2365" s="10">
        <f>RIGHT($B$5,3)</f>
        <v/>
      </c>
      <c r="R2365" s="10">
        <f>IF(A2365="D",LEFT(UPPER(B2365)&amp;REPT(" ",20),20),REPT(" ",20))</f>
        <v/>
      </c>
      <c r="S2365" s="10">
        <f>IF(A2365="D",LEFT(UPPER(C2365)&amp;REPT(" ",10),10)," ")</f>
        <v/>
      </c>
      <c r="T2365" s="10">
        <f>IF(A2365="D",LEFT(UPPER(D2365)&amp;REPT(" ",2),2)," ")</f>
        <v/>
      </c>
      <c r="U2365" s="10">
        <f>IF(A2365="D",LEFT(UPPER(E2365)&amp;REPT(" ",15),15)," ")</f>
        <v/>
      </c>
      <c r="V2365" s="10">
        <f>REPT(" ",24)</f>
        <v/>
      </c>
      <c r="W2365" s="10">
        <f>IF(A2365="c",LEFT(UPPER(B2365)&amp;REPT(" ",20),20),REPT(" ",20))</f>
        <v/>
      </c>
      <c r="X2365" s="10">
        <f>IF(A2365="C",LEFT(UPPER(C2365)&amp;REPT(" ",10),10)," ")</f>
        <v/>
      </c>
      <c r="Y2365" s="10">
        <f>IF(A2365="C",LEFT(UPPER(D2365)&amp;REPT(" ",2),2)," ")</f>
        <v/>
      </c>
      <c r="Z2365" s="10">
        <f>IF(A2365="C",LEFT(UPPER(E2365)&amp;REPT(" ",15),15)," ")</f>
        <v/>
      </c>
      <c r="AA2365" s="10">
        <f>REPT(" ",8)</f>
        <v/>
      </c>
      <c r="AB2365" s="10">
        <f>REPT(" ",4)</f>
        <v/>
      </c>
      <c r="AC2365" s="10">
        <f>LEFT(UPPER(H2365)&amp;REPT(" ",250),250)</f>
        <v/>
      </c>
      <c r="AD2365" s="10">
        <f>TEXT($G$2,"dd/mm/aaaa")</f>
        <v/>
      </c>
      <c r="AE2365" s="10">
        <f>REPT(" ",10)</f>
        <v/>
      </c>
      <c r="AF2365" s="10">
        <f>REPT(" ",20)</f>
        <v/>
      </c>
      <c r="AG2365" s="54">
        <f>REPT(" ",18-LEN(FIXED(F2365,2,TRUE)))&amp;FIXED(F2365,2,TRUE)</f>
        <v/>
      </c>
      <c r="AH2365" s="10">
        <f>LEN(AC2365)+LEN(AG2365)</f>
        <v/>
      </c>
      <c r="AI2365" s="10">
        <f>LEN(L2365)</f>
        <v/>
      </c>
    </row>
    <row r="2366">
      <c r="J2366" s="12">
        <f>IF(F2366&lt;&gt;0,"LANÇAR","")</f>
        <v/>
      </c>
      <c r="L2366" s="13">
        <f>N2366&amp;O2366&amp;P2366&amp;Q2366&amp;R2366&amp;S2366&amp;T2366&amp;U2366&amp;V2366&amp;W2366&amp;X2366&amp;Y2366&amp;Z2366&amp;AA2366&amp;AB2366&amp;AC2366&amp;AD2366&amp;AE2366&amp;AF2366&amp;AG2366</f>
        <v/>
      </c>
      <c r="N2366" s="10">
        <f>TEXT($B$6,"00")</f>
        <v/>
      </c>
      <c r="O2366" s="10">
        <f>REPT(" ",8)</f>
        <v/>
      </c>
      <c r="P2366" s="10">
        <f>RIGHT($B$4,2)</f>
        <v/>
      </c>
      <c r="Q2366" s="10">
        <f>RIGHT($B$5,3)</f>
        <v/>
      </c>
      <c r="R2366" s="10">
        <f>IF(A2366="D",LEFT(UPPER(B2366)&amp;REPT(" ",20),20),REPT(" ",20))</f>
        <v/>
      </c>
      <c r="S2366" s="10">
        <f>IF(A2366="D",LEFT(UPPER(C2366)&amp;REPT(" ",10),10)," ")</f>
        <v/>
      </c>
      <c r="T2366" s="10">
        <f>IF(A2366="D",LEFT(UPPER(D2366)&amp;REPT(" ",2),2)," ")</f>
        <v/>
      </c>
      <c r="U2366" s="10">
        <f>IF(A2366="D",LEFT(UPPER(E2366)&amp;REPT(" ",15),15)," ")</f>
        <v/>
      </c>
      <c r="V2366" s="10">
        <f>REPT(" ",24)</f>
        <v/>
      </c>
      <c r="W2366" s="10">
        <f>IF(A2366="c",LEFT(UPPER(B2366)&amp;REPT(" ",20),20),REPT(" ",20))</f>
        <v/>
      </c>
      <c r="X2366" s="10">
        <f>IF(A2366="C",LEFT(UPPER(C2366)&amp;REPT(" ",10),10)," ")</f>
        <v/>
      </c>
      <c r="Y2366" s="10">
        <f>IF(A2366="C",LEFT(UPPER(D2366)&amp;REPT(" ",2),2)," ")</f>
        <v/>
      </c>
      <c r="Z2366" s="10">
        <f>IF(A2366="C",LEFT(UPPER(E2366)&amp;REPT(" ",15),15)," ")</f>
        <v/>
      </c>
      <c r="AA2366" s="10">
        <f>REPT(" ",8)</f>
        <v/>
      </c>
      <c r="AB2366" s="10">
        <f>REPT(" ",4)</f>
        <v/>
      </c>
      <c r="AC2366" s="10">
        <f>LEFT(UPPER(H2366)&amp;REPT(" ",250),250)</f>
        <v/>
      </c>
      <c r="AD2366" s="10">
        <f>TEXT($G$2,"dd/mm/aaaa")</f>
        <v/>
      </c>
      <c r="AE2366" s="10">
        <f>REPT(" ",10)</f>
        <v/>
      </c>
      <c r="AF2366" s="10">
        <f>REPT(" ",20)</f>
        <v/>
      </c>
      <c r="AG2366" s="54">
        <f>REPT(" ",18-LEN(FIXED(F2366,2,TRUE)))&amp;FIXED(F2366,2,TRUE)</f>
        <v/>
      </c>
      <c r="AH2366" s="10">
        <f>LEN(AC2366)+LEN(AG2366)</f>
        <v/>
      </c>
      <c r="AI2366" s="10">
        <f>LEN(L2366)</f>
        <v/>
      </c>
    </row>
    <row r="2367">
      <c r="J2367" s="12">
        <f>IF(F2367&lt;&gt;0,"LANÇAR","")</f>
        <v/>
      </c>
      <c r="L2367" s="13">
        <f>N2367&amp;O2367&amp;P2367&amp;Q2367&amp;R2367&amp;S2367&amp;T2367&amp;U2367&amp;V2367&amp;W2367&amp;X2367&amp;Y2367&amp;Z2367&amp;AA2367&amp;AB2367&amp;AC2367&amp;AD2367&amp;AE2367&amp;AF2367&amp;AG2367</f>
        <v/>
      </c>
      <c r="N2367" s="10">
        <f>TEXT($B$6,"00")</f>
        <v/>
      </c>
      <c r="O2367" s="10">
        <f>REPT(" ",8)</f>
        <v/>
      </c>
      <c r="P2367" s="10">
        <f>RIGHT($B$4,2)</f>
        <v/>
      </c>
      <c r="Q2367" s="10">
        <f>RIGHT($B$5,3)</f>
        <v/>
      </c>
      <c r="R2367" s="10">
        <f>IF(A2367="D",LEFT(UPPER(B2367)&amp;REPT(" ",20),20),REPT(" ",20))</f>
        <v/>
      </c>
      <c r="S2367" s="10">
        <f>IF(A2367="D",LEFT(UPPER(C2367)&amp;REPT(" ",10),10)," ")</f>
        <v/>
      </c>
      <c r="T2367" s="10">
        <f>IF(A2367="D",LEFT(UPPER(D2367)&amp;REPT(" ",2),2)," ")</f>
        <v/>
      </c>
      <c r="U2367" s="10">
        <f>IF(A2367="D",LEFT(UPPER(E2367)&amp;REPT(" ",15),15)," ")</f>
        <v/>
      </c>
      <c r="V2367" s="10">
        <f>REPT(" ",24)</f>
        <v/>
      </c>
      <c r="W2367" s="10">
        <f>IF(A2367="c",LEFT(UPPER(B2367)&amp;REPT(" ",20),20),REPT(" ",20))</f>
        <v/>
      </c>
      <c r="X2367" s="10">
        <f>IF(A2367="C",LEFT(UPPER(C2367)&amp;REPT(" ",10),10)," ")</f>
        <v/>
      </c>
      <c r="Y2367" s="10">
        <f>IF(A2367="C",LEFT(UPPER(D2367)&amp;REPT(" ",2),2)," ")</f>
        <v/>
      </c>
      <c r="Z2367" s="10">
        <f>IF(A2367="C",LEFT(UPPER(E2367)&amp;REPT(" ",15),15)," ")</f>
        <v/>
      </c>
      <c r="AA2367" s="10">
        <f>REPT(" ",8)</f>
        <v/>
      </c>
      <c r="AB2367" s="10">
        <f>REPT(" ",4)</f>
        <v/>
      </c>
      <c r="AC2367" s="10">
        <f>LEFT(UPPER(H2367)&amp;REPT(" ",250),250)</f>
        <v/>
      </c>
      <c r="AD2367" s="10">
        <f>TEXT($G$2,"dd/mm/aaaa")</f>
        <v/>
      </c>
      <c r="AE2367" s="10">
        <f>REPT(" ",10)</f>
        <v/>
      </c>
      <c r="AF2367" s="10">
        <f>REPT(" ",20)</f>
        <v/>
      </c>
      <c r="AG2367" s="54">
        <f>REPT(" ",18-LEN(FIXED(F2367,2,TRUE)))&amp;FIXED(F2367,2,TRUE)</f>
        <v/>
      </c>
      <c r="AH2367" s="10">
        <f>LEN(AC2367)+LEN(AG2367)</f>
        <v/>
      </c>
      <c r="AI2367" s="10">
        <f>LEN(L2367)</f>
        <v/>
      </c>
    </row>
    <row r="2368">
      <c r="J2368" s="12">
        <f>IF(F2368&lt;&gt;0,"LANÇAR","")</f>
        <v/>
      </c>
      <c r="L2368" s="13">
        <f>N2368&amp;O2368&amp;P2368&amp;Q2368&amp;R2368&amp;S2368&amp;T2368&amp;U2368&amp;V2368&amp;W2368&amp;X2368&amp;Y2368&amp;Z2368&amp;AA2368&amp;AB2368&amp;AC2368&amp;AD2368&amp;AE2368&amp;AF2368&amp;AG2368</f>
        <v/>
      </c>
      <c r="N2368" s="10">
        <f>TEXT($B$6,"00")</f>
        <v/>
      </c>
      <c r="O2368" s="10">
        <f>REPT(" ",8)</f>
        <v/>
      </c>
      <c r="P2368" s="10">
        <f>RIGHT($B$4,2)</f>
        <v/>
      </c>
      <c r="Q2368" s="10">
        <f>RIGHT($B$5,3)</f>
        <v/>
      </c>
      <c r="R2368" s="10">
        <f>IF(A2368="D",LEFT(UPPER(B2368)&amp;REPT(" ",20),20),REPT(" ",20))</f>
        <v/>
      </c>
      <c r="S2368" s="10">
        <f>IF(A2368="D",LEFT(UPPER(C2368)&amp;REPT(" ",10),10)," ")</f>
        <v/>
      </c>
      <c r="T2368" s="10">
        <f>IF(A2368="D",LEFT(UPPER(D2368)&amp;REPT(" ",2),2)," ")</f>
        <v/>
      </c>
      <c r="U2368" s="10">
        <f>IF(A2368="D",LEFT(UPPER(E2368)&amp;REPT(" ",15),15)," ")</f>
        <v/>
      </c>
      <c r="V2368" s="10">
        <f>REPT(" ",24)</f>
        <v/>
      </c>
      <c r="W2368" s="10">
        <f>IF(A2368="c",LEFT(UPPER(B2368)&amp;REPT(" ",20),20),REPT(" ",20))</f>
        <v/>
      </c>
      <c r="X2368" s="10">
        <f>IF(A2368="C",LEFT(UPPER(C2368)&amp;REPT(" ",10),10)," ")</f>
        <v/>
      </c>
      <c r="Y2368" s="10">
        <f>IF(A2368="C",LEFT(UPPER(D2368)&amp;REPT(" ",2),2)," ")</f>
        <v/>
      </c>
      <c r="Z2368" s="10">
        <f>IF(A2368="C",LEFT(UPPER(E2368)&amp;REPT(" ",15),15)," ")</f>
        <v/>
      </c>
      <c r="AA2368" s="10">
        <f>REPT(" ",8)</f>
        <v/>
      </c>
      <c r="AB2368" s="10">
        <f>REPT(" ",4)</f>
        <v/>
      </c>
      <c r="AC2368" s="10">
        <f>LEFT(UPPER(H2368)&amp;REPT(" ",250),250)</f>
        <v/>
      </c>
      <c r="AD2368" s="10">
        <f>TEXT($G$2,"dd/mm/aaaa")</f>
        <v/>
      </c>
      <c r="AE2368" s="10">
        <f>REPT(" ",10)</f>
        <v/>
      </c>
      <c r="AF2368" s="10">
        <f>REPT(" ",20)</f>
        <v/>
      </c>
      <c r="AG2368" s="54">
        <f>REPT(" ",18-LEN(FIXED(F2368,2,TRUE)))&amp;FIXED(F2368,2,TRUE)</f>
        <v/>
      </c>
      <c r="AH2368" s="10">
        <f>LEN(AC2368)+LEN(AG2368)</f>
        <v/>
      </c>
      <c r="AI2368" s="10">
        <f>LEN(L2368)</f>
        <v/>
      </c>
    </row>
    <row r="2369">
      <c r="J2369" s="12">
        <f>IF(F2369&lt;&gt;0,"LANÇAR","")</f>
        <v/>
      </c>
      <c r="L2369" s="13">
        <f>N2369&amp;O2369&amp;P2369&amp;Q2369&amp;R2369&amp;S2369&amp;T2369&amp;U2369&amp;V2369&amp;W2369&amp;X2369&amp;Y2369&amp;Z2369&amp;AA2369&amp;AB2369&amp;AC2369&amp;AD2369&amp;AE2369&amp;AF2369&amp;AG2369</f>
        <v/>
      </c>
      <c r="N2369" s="10">
        <f>TEXT($B$6,"00")</f>
        <v/>
      </c>
      <c r="O2369" s="10">
        <f>REPT(" ",8)</f>
        <v/>
      </c>
      <c r="P2369" s="10">
        <f>RIGHT($B$4,2)</f>
        <v/>
      </c>
      <c r="Q2369" s="10">
        <f>RIGHT($B$5,3)</f>
        <v/>
      </c>
      <c r="R2369" s="10">
        <f>IF(A2369="D",LEFT(UPPER(B2369)&amp;REPT(" ",20),20),REPT(" ",20))</f>
        <v/>
      </c>
      <c r="S2369" s="10">
        <f>IF(A2369="D",LEFT(UPPER(C2369)&amp;REPT(" ",10),10)," ")</f>
        <v/>
      </c>
      <c r="T2369" s="10">
        <f>IF(A2369="D",LEFT(UPPER(D2369)&amp;REPT(" ",2),2)," ")</f>
        <v/>
      </c>
      <c r="U2369" s="10">
        <f>IF(A2369="D",LEFT(UPPER(E2369)&amp;REPT(" ",15),15)," ")</f>
        <v/>
      </c>
      <c r="V2369" s="10">
        <f>REPT(" ",24)</f>
        <v/>
      </c>
      <c r="W2369" s="10">
        <f>IF(A2369="c",LEFT(UPPER(B2369)&amp;REPT(" ",20),20),REPT(" ",20))</f>
        <v/>
      </c>
      <c r="X2369" s="10">
        <f>IF(A2369="C",LEFT(UPPER(C2369)&amp;REPT(" ",10),10)," ")</f>
        <v/>
      </c>
      <c r="Y2369" s="10">
        <f>IF(A2369="C",LEFT(UPPER(D2369)&amp;REPT(" ",2),2)," ")</f>
        <v/>
      </c>
      <c r="Z2369" s="10">
        <f>IF(A2369="C",LEFT(UPPER(E2369)&amp;REPT(" ",15),15)," ")</f>
        <v/>
      </c>
      <c r="AA2369" s="10">
        <f>REPT(" ",8)</f>
        <v/>
      </c>
      <c r="AB2369" s="10">
        <f>REPT(" ",4)</f>
        <v/>
      </c>
      <c r="AC2369" s="10">
        <f>LEFT(UPPER(H2369)&amp;REPT(" ",250),250)</f>
        <v/>
      </c>
      <c r="AD2369" s="10">
        <f>TEXT($G$2,"dd/mm/aaaa")</f>
        <v/>
      </c>
      <c r="AE2369" s="10">
        <f>REPT(" ",10)</f>
        <v/>
      </c>
      <c r="AF2369" s="10">
        <f>REPT(" ",20)</f>
        <v/>
      </c>
      <c r="AG2369" s="54">
        <f>REPT(" ",18-LEN(FIXED(F2369,2,TRUE)))&amp;FIXED(F2369,2,TRUE)</f>
        <v/>
      </c>
      <c r="AH2369" s="10">
        <f>LEN(AC2369)+LEN(AG2369)</f>
        <v/>
      </c>
      <c r="AI2369" s="10">
        <f>LEN(L2369)</f>
        <v/>
      </c>
    </row>
    <row r="2370">
      <c r="J2370" s="12">
        <f>IF(F2370&lt;&gt;0,"LANÇAR","")</f>
        <v/>
      </c>
      <c r="L2370" s="13">
        <f>N2370&amp;O2370&amp;P2370&amp;Q2370&amp;R2370&amp;S2370&amp;T2370&amp;U2370&amp;V2370&amp;W2370&amp;X2370&amp;Y2370&amp;Z2370&amp;AA2370&amp;AB2370&amp;AC2370&amp;AD2370&amp;AE2370&amp;AF2370&amp;AG2370</f>
        <v/>
      </c>
      <c r="N2370" s="10">
        <f>TEXT($B$6,"00")</f>
        <v/>
      </c>
      <c r="O2370" s="10">
        <f>REPT(" ",8)</f>
        <v/>
      </c>
      <c r="P2370" s="10">
        <f>RIGHT($B$4,2)</f>
        <v/>
      </c>
      <c r="Q2370" s="10">
        <f>RIGHT($B$5,3)</f>
        <v/>
      </c>
      <c r="R2370" s="10">
        <f>IF(A2370="D",LEFT(UPPER(B2370)&amp;REPT(" ",20),20),REPT(" ",20))</f>
        <v/>
      </c>
      <c r="S2370" s="10">
        <f>IF(A2370="D",LEFT(UPPER(C2370)&amp;REPT(" ",10),10)," ")</f>
        <v/>
      </c>
      <c r="T2370" s="10">
        <f>IF(A2370="D",LEFT(UPPER(D2370)&amp;REPT(" ",2),2)," ")</f>
        <v/>
      </c>
      <c r="U2370" s="10">
        <f>IF(A2370="D",LEFT(UPPER(E2370)&amp;REPT(" ",15),15)," ")</f>
        <v/>
      </c>
      <c r="V2370" s="10">
        <f>REPT(" ",24)</f>
        <v/>
      </c>
      <c r="W2370" s="10">
        <f>IF(A2370="c",LEFT(UPPER(B2370)&amp;REPT(" ",20),20),REPT(" ",20))</f>
        <v/>
      </c>
      <c r="X2370" s="10">
        <f>IF(A2370="C",LEFT(UPPER(C2370)&amp;REPT(" ",10),10)," ")</f>
        <v/>
      </c>
      <c r="Y2370" s="10">
        <f>IF(A2370="C",LEFT(UPPER(D2370)&amp;REPT(" ",2),2)," ")</f>
        <v/>
      </c>
      <c r="Z2370" s="10">
        <f>IF(A2370="C",LEFT(UPPER(E2370)&amp;REPT(" ",15),15)," ")</f>
        <v/>
      </c>
      <c r="AA2370" s="10">
        <f>REPT(" ",8)</f>
        <v/>
      </c>
      <c r="AB2370" s="10">
        <f>REPT(" ",4)</f>
        <v/>
      </c>
      <c r="AC2370" s="10">
        <f>LEFT(UPPER(H2370)&amp;REPT(" ",250),250)</f>
        <v/>
      </c>
      <c r="AD2370" s="10">
        <f>TEXT($G$2,"dd/mm/aaaa")</f>
        <v/>
      </c>
      <c r="AE2370" s="10">
        <f>REPT(" ",10)</f>
        <v/>
      </c>
      <c r="AF2370" s="10">
        <f>REPT(" ",20)</f>
        <v/>
      </c>
      <c r="AG2370" s="54">
        <f>REPT(" ",18-LEN(FIXED(F2370,2,TRUE)))&amp;FIXED(F2370,2,TRUE)</f>
        <v/>
      </c>
      <c r="AH2370" s="10">
        <f>LEN(AC2370)+LEN(AG2370)</f>
        <v/>
      </c>
      <c r="AI2370" s="10">
        <f>LEN(L2370)</f>
        <v/>
      </c>
    </row>
    <row r="2371">
      <c r="J2371" s="12">
        <f>IF(F2371&lt;&gt;0,"LANÇAR","")</f>
        <v/>
      </c>
      <c r="L2371" s="13">
        <f>N2371&amp;O2371&amp;P2371&amp;Q2371&amp;R2371&amp;S2371&amp;T2371&amp;U2371&amp;V2371&amp;W2371&amp;X2371&amp;Y2371&amp;Z2371&amp;AA2371&amp;AB2371&amp;AC2371&amp;AD2371&amp;AE2371&amp;AF2371&amp;AG2371</f>
        <v/>
      </c>
      <c r="N2371" s="10">
        <f>TEXT($B$6,"00")</f>
        <v/>
      </c>
      <c r="O2371" s="10">
        <f>REPT(" ",8)</f>
        <v/>
      </c>
      <c r="P2371" s="10">
        <f>RIGHT($B$4,2)</f>
        <v/>
      </c>
      <c r="Q2371" s="10">
        <f>RIGHT($B$5,3)</f>
        <v/>
      </c>
      <c r="R2371" s="10">
        <f>IF(A2371="D",LEFT(UPPER(B2371)&amp;REPT(" ",20),20),REPT(" ",20))</f>
        <v/>
      </c>
      <c r="S2371" s="10">
        <f>IF(A2371="D",LEFT(UPPER(C2371)&amp;REPT(" ",10),10)," ")</f>
        <v/>
      </c>
      <c r="T2371" s="10">
        <f>IF(A2371="D",LEFT(UPPER(D2371)&amp;REPT(" ",2),2)," ")</f>
        <v/>
      </c>
      <c r="U2371" s="10">
        <f>IF(A2371="D",LEFT(UPPER(E2371)&amp;REPT(" ",15),15)," ")</f>
        <v/>
      </c>
      <c r="V2371" s="10">
        <f>REPT(" ",24)</f>
        <v/>
      </c>
      <c r="W2371" s="10">
        <f>IF(A2371="c",LEFT(UPPER(B2371)&amp;REPT(" ",20),20),REPT(" ",20))</f>
        <v/>
      </c>
      <c r="X2371" s="10">
        <f>IF(A2371="C",LEFT(UPPER(C2371)&amp;REPT(" ",10),10)," ")</f>
        <v/>
      </c>
      <c r="Y2371" s="10">
        <f>IF(A2371="C",LEFT(UPPER(D2371)&amp;REPT(" ",2),2)," ")</f>
        <v/>
      </c>
      <c r="Z2371" s="10">
        <f>IF(A2371="C",LEFT(UPPER(E2371)&amp;REPT(" ",15),15)," ")</f>
        <v/>
      </c>
      <c r="AA2371" s="10">
        <f>REPT(" ",8)</f>
        <v/>
      </c>
      <c r="AB2371" s="10">
        <f>REPT(" ",4)</f>
        <v/>
      </c>
      <c r="AC2371" s="10">
        <f>LEFT(UPPER(H2371)&amp;REPT(" ",250),250)</f>
        <v/>
      </c>
      <c r="AD2371" s="10">
        <f>TEXT($G$2,"dd/mm/aaaa")</f>
        <v/>
      </c>
      <c r="AE2371" s="10">
        <f>REPT(" ",10)</f>
        <v/>
      </c>
      <c r="AF2371" s="10">
        <f>REPT(" ",20)</f>
        <v/>
      </c>
      <c r="AG2371" s="54">
        <f>REPT(" ",18-LEN(FIXED(F2371,2,TRUE)))&amp;FIXED(F2371,2,TRUE)</f>
        <v/>
      </c>
      <c r="AH2371" s="10">
        <f>LEN(AC2371)+LEN(AG2371)</f>
        <v/>
      </c>
      <c r="AI2371" s="10">
        <f>LEN(L2371)</f>
        <v/>
      </c>
    </row>
    <row r="2372">
      <c r="J2372" s="12">
        <f>IF(F2372&lt;&gt;0,"LANÇAR","")</f>
        <v/>
      </c>
      <c r="L2372" s="13">
        <f>N2372&amp;O2372&amp;P2372&amp;Q2372&amp;R2372&amp;S2372&amp;T2372&amp;U2372&amp;V2372&amp;W2372&amp;X2372&amp;Y2372&amp;Z2372&amp;AA2372&amp;AB2372&amp;AC2372&amp;AD2372&amp;AE2372&amp;AF2372&amp;AG2372</f>
        <v/>
      </c>
      <c r="N2372" s="10">
        <f>TEXT($B$6,"00")</f>
        <v/>
      </c>
      <c r="O2372" s="10">
        <f>REPT(" ",8)</f>
        <v/>
      </c>
      <c r="P2372" s="10">
        <f>RIGHT($B$4,2)</f>
        <v/>
      </c>
      <c r="Q2372" s="10">
        <f>RIGHT($B$5,3)</f>
        <v/>
      </c>
      <c r="R2372" s="10">
        <f>IF(A2372="D",LEFT(UPPER(B2372)&amp;REPT(" ",20),20),REPT(" ",20))</f>
        <v/>
      </c>
      <c r="S2372" s="10">
        <f>IF(A2372="D",LEFT(UPPER(C2372)&amp;REPT(" ",10),10)," ")</f>
        <v/>
      </c>
      <c r="T2372" s="10">
        <f>IF(A2372="D",LEFT(UPPER(D2372)&amp;REPT(" ",2),2)," ")</f>
        <v/>
      </c>
      <c r="U2372" s="10">
        <f>IF(A2372="D",LEFT(UPPER(E2372)&amp;REPT(" ",15),15)," ")</f>
        <v/>
      </c>
      <c r="V2372" s="10">
        <f>REPT(" ",24)</f>
        <v/>
      </c>
      <c r="W2372" s="10">
        <f>IF(A2372="c",LEFT(UPPER(B2372)&amp;REPT(" ",20),20),REPT(" ",20))</f>
        <v/>
      </c>
      <c r="X2372" s="10">
        <f>IF(A2372="C",LEFT(UPPER(C2372)&amp;REPT(" ",10),10)," ")</f>
        <v/>
      </c>
      <c r="Y2372" s="10">
        <f>IF(A2372="C",LEFT(UPPER(D2372)&amp;REPT(" ",2),2)," ")</f>
        <v/>
      </c>
      <c r="Z2372" s="10">
        <f>IF(A2372="C",LEFT(UPPER(E2372)&amp;REPT(" ",15),15)," ")</f>
        <v/>
      </c>
      <c r="AA2372" s="10">
        <f>REPT(" ",8)</f>
        <v/>
      </c>
      <c r="AB2372" s="10">
        <f>REPT(" ",4)</f>
        <v/>
      </c>
      <c r="AC2372" s="10">
        <f>LEFT(UPPER(H2372)&amp;REPT(" ",250),250)</f>
        <v/>
      </c>
      <c r="AD2372" s="10">
        <f>TEXT($G$2,"dd/mm/aaaa")</f>
        <v/>
      </c>
      <c r="AE2372" s="10">
        <f>REPT(" ",10)</f>
        <v/>
      </c>
      <c r="AF2372" s="10">
        <f>REPT(" ",20)</f>
        <v/>
      </c>
      <c r="AG2372" s="54">
        <f>REPT(" ",18-LEN(FIXED(F2372,2,TRUE)))&amp;FIXED(F2372,2,TRUE)</f>
        <v/>
      </c>
      <c r="AH2372" s="10">
        <f>LEN(AC2372)+LEN(AG2372)</f>
        <v/>
      </c>
      <c r="AI2372" s="10">
        <f>LEN(L2372)</f>
        <v/>
      </c>
    </row>
    <row r="2373">
      <c r="J2373" s="12">
        <f>IF(F2373&lt;&gt;0,"LANÇAR","")</f>
        <v/>
      </c>
      <c r="L2373" s="13">
        <f>N2373&amp;O2373&amp;P2373&amp;Q2373&amp;R2373&amp;S2373&amp;T2373&amp;U2373&amp;V2373&amp;W2373&amp;X2373&amp;Y2373&amp;Z2373&amp;AA2373&amp;AB2373&amp;AC2373&amp;AD2373&amp;AE2373&amp;AF2373&amp;AG2373</f>
        <v/>
      </c>
      <c r="N2373" s="10">
        <f>TEXT($B$6,"00")</f>
        <v/>
      </c>
      <c r="O2373" s="10">
        <f>REPT(" ",8)</f>
        <v/>
      </c>
      <c r="P2373" s="10">
        <f>RIGHT($B$4,2)</f>
        <v/>
      </c>
      <c r="Q2373" s="10">
        <f>RIGHT($B$5,3)</f>
        <v/>
      </c>
      <c r="R2373" s="10">
        <f>IF(A2373="D",LEFT(UPPER(B2373)&amp;REPT(" ",20),20),REPT(" ",20))</f>
        <v/>
      </c>
      <c r="S2373" s="10">
        <f>IF(A2373="D",LEFT(UPPER(C2373)&amp;REPT(" ",10),10)," ")</f>
        <v/>
      </c>
      <c r="T2373" s="10">
        <f>IF(A2373="D",LEFT(UPPER(D2373)&amp;REPT(" ",2),2)," ")</f>
        <v/>
      </c>
      <c r="U2373" s="10">
        <f>IF(A2373="D",LEFT(UPPER(E2373)&amp;REPT(" ",15),15)," ")</f>
        <v/>
      </c>
      <c r="V2373" s="10">
        <f>REPT(" ",24)</f>
        <v/>
      </c>
      <c r="W2373" s="10">
        <f>IF(A2373="c",LEFT(UPPER(B2373)&amp;REPT(" ",20),20),REPT(" ",20))</f>
        <v/>
      </c>
      <c r="X2373" s="10">
        <f>IF(A2373="C",LEFT(UPPER(C2373)&amp;REPT(" ",10),10)," ")</f>
        <v/>
      </c>
      <c r="Y2373" s="10">
        <f>IF(A2373="C",LEFT(UPPER(D2373)&amp;REPT(" ",2),2)," ")</f>
        <v/>
      </c>
      <c r="Z2373" s="10">
        <f>IF(A2373="C",LEFT(UPPER(E2373)&amp;REPT(" ",15),15)," ")</f>
        <v/>
      </c>
      <c r="AA2373" s="10">
        <f>REPT(" ",8)</f>
        <v/>
      </c>
      <c r="AB2373" s="10">
        <f>REPT(" ",4)</f>
        <v/>
      </c>
      <c r="AC2373" s="10">
        <f>LEFT(UPPER(H2373)&amp;REPT(" ",250),250)</f>
        <v/>
      </c>
      <c r="AD2373" s="10">
        <f>TEXT($G$2,"dd/mm/aaaa")</f>
        <v/>
      </c>
      <c r="AE2373" s="10">
        <f>REPT(" ",10)</f>
        <v/>
      </c>
      <c r="AF2373" s="10">
        <f>REPT(" ",20)</f>
        <v/>
      </c>
      <c r="AG2373" s="54">
        <f>REPT(" ",18-LEN(FIXED(F2373,2,TRUE)))&amp;FIXED(F2373,2,TRUE)</f>
        <v/>
      </c>
      <c r="AH2373" s="10">
        <f>LEN(AC2373)+LEN(AG2373)</f>
        <v/>
      </c>
      <c r="AI2373" s="10">
        <f>LEN(L2373)</f>
        <v/>
      </c>
    </row>
    <row r="2374">
      <c r="J2374" s="12">
        <f>IF(F2374&lt;&gt;0,"LANÇAR","")</f>
        <v/>
      </c>
      <c r="L2374" s="13">
        <f>N2374&amp;O2374&amp;P2374&amp;Q2374&amp;R2374&amp;S2374&amp;T2374&amp;U2374&amp;V2374&amp;W2374&amp;X2374&amp;Y2374&amp;Z2374&amp;AA2374&amp;AB2374&amp;AC2374&amp;AD2374&amp;AE2374&amp;AF2374&amp;AG2374</f>
        <v/>
      </c>
      <c r="N2374" s="10">
        <f>TEXT($B$6,"00")</f>
        <v/>
      </c>
      <c r="O2374" s="10">
        <f>REPT(" ",8)</f>
        <v/>
      </c>
      <c r="P2374" s="10">
        <f>RIGHT($B$4,2)</f>
        <v/>
      </c>
      <c r="Q2374" s="10">
        <f>RIGHT($B$5,3)</f>
        <v/>
      </c>
      <c r="R2374" s="10">
        <f>IF(A2374="D",LEFT(UPPER(B2374)&amp;REPT(" ",20),20),REPT(" ",20))</f>
        <v/>
      </c>
      <c r="S2374" s="10">
        <f>IF(A2374="D",LEFT(UPPER(C2374)&amp;REPT(" ",10),10)," ")</f>
        <v/>
      </c>
      <c r="T2374" s="10">
        <f>IF(A2374="D",LEFT(UPPER(D2374)&amp;REPT(" ",2),2)," ")</f>
        <v/>
      </c>
      <c r="U2374" s="10">
        <f>IF(A2374="D",LEFT(UPPER(E2374)&amp;REPT(" ",15),15)," ")</f>
        <v/>
      </c>
      <c r="V2374" s="10">
        <f>REPT(" ",24)</f>
        <v/>
      </c>
      <c r="W2374" s="10">
        <f>IF(A2374="c",LEFT(UPPER(B2374)&amp;REPT(" ",20),20),REPT(" ",20))</f>
        <v/>
      </c>
      <c r="X2374" s="10">
        <f>IF(A2374="C",LEFT(UPPER(C2374)&amp;REPT(" ",10),10)," ")</f>
        <v/>
      </c>
      <c r="Y2374" s="10">
        <f>IF(A2374="C",LEFT(UPPER(D2374)&amp;REPT(" ",2),2)," ")</f>
        <v/>
      </c>
      <c r="Z2374" s="10">
        <f>IF(A2374="C",LEFT(UPPER(E2374)&amp;REPT(" ",15),15)," ")</f>
        <v/>
      </c>
      <c r="AA2374" s="10">
        <f>REPT(" ",8)</f>
        <v/>
      </c>
      <c r="AB2374" s="10">
        <f>REPT(" ",4)</f>
        <v/>
      </c>
      <c r="AC2374" s="10">
        <f>LEFT(UPPER(H2374)&amp;REPT(" ",250),250)</f>
        <v/>
      </c>
      <c r="AD2374" s="10">
        <f>TEXT($G$2,"dd/mm/aaaa")</f>
        <v/>
      </c>
      <c r="AE2374" s="10">
        <f>REPT(" ",10)</f>
        <v/>
      </c>
      <c r="AF2374" s="10">
        <f>REPT(" ",20)</f>
        <v/>
      </c>
      <c r="AG2374" s="54">
        <f>REPT(" ",18-LEN(FIXED(F2374,2,TRUE)))&amp;FIXED(F2374,2,TRUE)</f>
        <v/>
      </c>
      <c r="AH2374" s="10">
        <f>LEN(AC2374)+LEN(AG2374)</f>
        <v/>
      </c>
      <c r="AI2374" s="10">
        <f>LEN(L2374)</f>
        <v/>
      </c>
    </row>
    <row r="2375">
      <c r="J2375" s="12">
        <f>IF(F2375&lt;&gt;0,"LANÇAR","")</f>
        <v/>
      </c>
      <c r="L2375" s="13">
        <f>N2375&amp;O2375&amp;P2375&amp;Q2375&amp;R2375&amp;S2375&amp;T2375&amp;U2375&amp;V2375&amp;W2375&amp;X2375&amp;Y2375&amp;Z2375&amp;AA2375&amp;AB2375&amp;AC2375&amp;AD2375&amp;AE2375&amp;AF2375&amp;AG2375</f>
        <v/>
      </c>
      <c r="N2375" s="10">
        <f>TEXT($B$6,"00")</f>
        <v/>
      </c>
      <c r="O2375" s="10">
        <f>REPT(" ",8)</f>
        <v/>
      </c>
      <c r="P2375" s="10">
        <f>RIGHT($B$4,2)</f>
        <v/>
      </c>
      <c r="Q2375" s="10">
        <f>RIGHT($B$5,3)</f>
        <v/>
      </c>
      <c r="R2375" s="10">
        <f>IF(A2375="D",LEFT(UPPER(B2375)&amp;REPT(" ",20),20),REPT(" ",20))</f>
        <v/>
      </c>
      <c r="S2375" s="10">
        <f>IF(A2375="D",LEFT(UPPER(C2375)&amp;REPT(" ",10),10)," ")</f>
        <v/>
      </c>
      <c r="T2375" s="10">
        <f>IF(A2375="D",LEFT(UPPER(D2375)&amp;REPT(" ",2),2)," ")</f>
        <v/>
      </c>
      <c r="U2375" s="10">
        <f>IF(A2375="D",LEFT(UPPER(E2375)&amp;REPT(" ",15),15)," ")</f>
        <v/>
      </c>
      <c r="V2375" s="10">
        <f>REPT(" ",24)</f>
        <v/>
      </c>
      <c r="W2375" s="10">
        <f>IF(A2375="c",LEFT(UPPER(B2375)&amp;REPT(" ",20),20),REPT(" ",20))</f>
        <v/>
      </c>
      <c r="X2375" s="10">
        <f>IF(A2375="C",LEFT(UPPER(C2375)&amp;REPT(" ",10),10)," ")</f>
        <v/>
      </c>
      <c r="Y2375" s="10">
        <f>IF(A2375="C",LEFT(UPPER(D2375)&amp;REPT(" ",2),2)," ")</f>
        <v/>
      </c>
      <c r="Z2375" s="10">
        <f>IF(A2375="C",LEFT(UPPER(E2375)&amp;REPT(" ",15),15)," ")</f>
        <v/>
      </c>
      <c r="AA2375" s="10">
        <f>REPT(" ",8)</f>
        <v/>
      </c>
      <c r="AB2375" s="10">
        <f>REPT(" ",4)</f>
        <v/>
      </c>
      <c r="AC2375" s="10">
        <f>LEFT(UPPER(H2375)&amp;REPT(" ",250),250)</f>
        <v/>
      </c>
      <c r="AD2375" s="10">
        <f>TEXT($G$2,"dd/mm/aaaa")</f>
        <v/>
      </c>
      <c r="AE2375" s="10">
        <f>REPT(" ",10)</f>
        <v/>
      </c>
      <c r="AF2375" s="10">
        <f>REPT(" ",20)</f>
        <v/>
      </c>
      <c r="AG2375" s="54">
        <f>REPT(" ",18-LEN(FIXED(F2375,2,TRUE)))&amp;FIXED(F2375,2,TRUE)</f>
        <v/>
      </c>
      <c r="AH2375" s="10">
        <f>LEN(AC2375)+LEN(AG2375)</f>
        <v/>
      </c>
      <c r="AI2375" s="10">
        <f>LEN(L2375)</f>
        <v/>
      </c>
    </row>
    <row r="2376">
      <c r="J2376" s="12">
        <f>IF(F2376&lt;&gt;0,"LANÇAR","")</f>
        <v/>
      </c>
      <c r="L2376" s="13">
        <f>N2376&amp;O2376&amp;P2376&amp;Q2376&amp;R2376&amp;S2376&amp;T2376&amp;U2376&amp;V2376&amp;W2376&amp;X2376&amp;Y2376&amp;Z2376&amp;AA2376&amp;AB2376&amp;AC2376&amp;AD2376&amp;AE2376&amp;AF2376&amp;AG2376</f>
        <v/>
      </c>
      <c r="N2376" s="10">
        <f>TEXT($B$6,"00")</f>
        <v/>
      </c>
      <c r="O2376" s="10">
        <f>REPT(" ",8)</f>
        <v/>
      </c>
      <c r="P2376" s="10">
        <f>RIGHT($B$4,2)</f>
        <v/>
      </c>
      <c r="Q2376" s="10">
        <f>RIGHT($B$5,3)</f>
        <v/>
      </c>
      <c r="R2376" s="10">
        <f>IF(A2376="D",LEFT(UPPER(B2376)&amp;REPT(" ",20),20),REPT(" ",20))</f>
        <v/>
      </c>
      <c r="S2376" s="10">
        <f>IF(A2376="D",LEFT(UPPER(C2376)&amp;REPT(" ",10),10)," ")</f>
        <v/>
      </c>
      <c r="T2376" s="10">
        <f>IF(A2376="D",LEFT(UPPER(D2376)&amp;REPT(" ",2),2)," ")</f>
        <v/>
      </c>
      <c r="U2376" s="10">
        <f>IF(A2376="D",LEFT(UPPER(E2376)&amp;REPT(" ",15),15)," ")</f>
        <v/>
      </c>
      <c r="V2376" s="10">
        <f>REPT(" ",24)</f>
        <v/>
      </c>
      <c r="W2376" s="10">
        <f>IF(A2376="c",LEFT(UPPER(B2376)&amp;REPT(" ",20),20),REPT(" ",20))</f>
        <v/>
      </c>
      <c r="X2376" s="10">
        <f>IF(A2376="C",LEFT(UPPER(C2376)&amp;REPT(" ",10),10)," ")</f>
        <v/>
      </c>
      <c r="Y2376" s="10">
        <f>IF(A2376="C",LEFT(UPPER(D2376)&amp;REPT(" ",2),2)," ")</f>
        <v/>
      </c>
      <c r="Z2376" s="10">
        <f>IF(A2376="C",LEFT(UPPER(E2376)&amp;REPT(" ",15),15)," ")</f>
        <v/>
      </c>
      <c r="AA2376" s="10">
        <f>REPT(" ",8)</f>
        <v/>
      </c>
      <c r="AB2376" s="10">
        <f>REPT(" ",4)</f>
        <v/>
      </c>
      <c r="AC2376" s="10">
        <f>LEFT(UPPER(H2376)&amp;REPT(" ",250),250)</f>
        <v/>
      </c>
      <c r="AD2376" s="10">
        <f>TEXT($G$2,"dd/mm/aaaa")</f>
        <v/>
      </c>
      <c r="AE2376" s="10">
        <f>REPT(" ",10)</f>
        <v/>
      </c>
      <c r="AF2376" s="10">
        <f>REPT(" ",20)</f>
        <v/>
      </c>
      <c r="AG2376" s="54">
        <f>REPT(" ",18-LEN(FIXED(F2376,2,TRUE)))&amp;FIXED(F2376,2,TRUE)</f>
        <v/>
      </c>
      <c r="AH2376" s="10">
        <f>LEN(AC2376)+LEN(AG2376)</f>
        <v/>
      </c>
      <c r="AI2376" s="10">
        <f>LEN(L2376)</f>
        <v/>
      </c>
    </row>
    <row r="2377">
      <c r="J2377" s="12">
        <f>IF(F2377&lt;&gt;0,"LANÇAR","")</f>
        <v/>
      </c>
      <c r="L2377" s="13">
        <f>N2377&amp;O2377&amp;P2377&amp;Q2377&amp;R2377&amp;S2377&amp;T2377&amp;U2377&amp;V2377&amp;W2377&amp;X2377&amp;Y2377&amp;Z2377&amp;AA2377&amp;AB2377&amp;AC2377&amp;AD2377&amp;AE2377&amp;AF2377&amp;AG2377</f>
        <v/>
      </c>
      <c r="N2377" s="10">
        <f>TEXT($B$6,"00")</f>
        <v/>
      </c>
      <c r="O2377" s="10">
        <f>REPT(" ",8)</f>
        <v/>
      </c>
      <c r="P2377" s="10">
        <f>RIGHT($B$4,2)</f>
        <v/>
      </c>
      <c r="Q2377" s="10">
        <f>RIGHT($B$5,3)</f>
        <v/>
      </c>
      <c r="R2377" s="10">
        <f>IF(A2377="D",LEFT(UPPER(B2377)&amp;REPT(" ",20),20),REPT(" ",20))</f>
        <v/>
      </c>
      <c r="S2377" s="10">
        <f>IF(A2377="D",LEFT(UPPER(C2377)&amp;REPT(" ",10),10)," ")</f>
        <v/>
      </c>
      <c r="T2377" s="10">
        <f>IF(A2377="D",LEFT(UPPER(D2377)&amp;REPT(" ",2),2)," ")</f>
        <v/>
      </c>
      <c r="U2377" s="10">
        <f>IF(A2377="D",LEFT(UPPER(E2377)&amp;REPT(" ",15),15)," ")</f>
        <v/>
      </c>
      <c r="V2377" s="10">
        <f>REPT(" ",24)</f>
        <v/>
      </c>
      <c r="W2377" s="10">
        <f>IF(A2377="c",LEFT(UPPER(B2377)&amp;REPT(" ",20),20),REPT(" ",20))</f>
        <v/>
      </c>
      <c r="X2377" s="10">
        <f>IF(A2377="C",LEFT(UPPER(C2377)&amp;REPT(" ",10),10)," ")</f>
        <v/>
      </c>
      <c r="Y2377" s="10">
        <f>IF(A2377="C",LEFT(UPPER(D2377)&amp;REPT(" ",2),2)," ")</f>
        <v/>
      </c>
      <c r="Z2377" s="10">
        <f>IF(A2377="C",LEFT(UPPER(E2377)&amp;REPT(" ",15),15)," ")</f>
        <v/>
      </c>
      <c r="AA2377" s="10">
        <f>REPT(" ",8)</f>
        <v/>
      </c>
      <c r="AB2377" s="10">
        <f>REPT(" ",4)</f>
        <v/>
      </c>
      <c r="AC2377" s="10">
        <f>LEFT(UPPER(H2377)&amp;REPT(" ",250),250)</f>
        <v/>
      </c>
      <c r="AD2377" s="10">
        <f>TEXT($G$2,"dd/mm/aaaa")</f>
        <v/>
      </c>
      <c r="AE2377" s="10">
        <f>REPT(" ",10)</f>
        <v/>
      </c>
      <c r="AF2377" s="10">
        <f>REPT(" ",20)</f>
        <v/>
      </c>
      <c r="AG2377" s="54">
        <f>REPT(" ",18-LEN(FIXED(F2377,2,TRUE)))&amp;FIXED(F2377,2,TRUE)</f>
        <v/>
      </c>
      <c r="AH2377" s="10">
        <f>LEN(AC2377)+LEN(AG2377)</f>
        <v/>
      </c>
      <c r="AI2377" s="10">
        <f>LEN(L2377)</f>
        <v/>
      </c>
    </row>
    <row r="2378">
      <c r="J2378" s="12">
        <f>IF(F2378&lt;&gt;0,"LANÇAR","")</f>
        <v/>
      </c>
      <c r="L2378" s="13">
        <f>N2378&amp;O2378&amp;P2378&amp;Q2378&amp;R2378&amp;S2378&amp;T2378&amp;U2378&amp;V2378&amp;W2378&amp;X2378&amp;Y2378&amp;Z2378&amp;AA2378&amp;AB2378&amp;AC2378&amp;AD2378&amp;AE2378&amp;AF2378&amp;AG2378</f>
        <v/>
      </c>
      <c r="N2378" s="10">
        <f>TEXT($B$6,"00")</f>
        <v/>
      </c>
      <c r="O2378" s="10">
        <f>REPT(" ",8)</f>
        <v/>
      </c>
      <c r="P2378" s="10">
        <f>RIGHT($B$4,2)</f>
        <v/>
      </c>
      <c r="Q2378" s="10">
        <f>RIGHT($B$5,3)</f>
        <v/>
      </c>
      <c r="R2378" s="10">
        <f>IF(A2378="D",LEFT(UPPER(B2378)&amp;REPT(" ",20),20),REPT(" ",20))</f>
        <v/>
      </c>
      <c r="S2378" s="10">
        <f>IF(A2378="D",LEFT(UPPER(C2378)&amp;REPT(" ",10),10)," ")</f>
        <v/>
      </c>
      <c r="T2378" s="10">
        <f>IF(A2378="D",LEFT(UPPER(D2378)&amp;REPT(" ",2),2)," ")</f>
        <v/>
      </c>
      <c r="U2378" s="10">
        <f>IF(A2378="D",LEFT(UPPER(E2378)&amp;REPT(" ",15),15)," ")</f>
        <v/>
      </c>
      <c r="V2378" s="10">
        <f>REPT(" ",24)</f>
        <v/>
      </c>
      <c r="W2378" s="10">
        <f>IF(A2378="c",LEFT(UPPER(B2378)&amp;REPT(" ",20),20),REPT(" ",20))</f>
        <v/>
      </c>
      <c r="X2378" s="10">
        <f>IF(A2378="C",LEFT(UPPER(C2378)&amp;REPT(" ",10),10)," ")</f>
        <v/>
      </c>
      <c r="Y2378" s="10">
        <f>IF(A2378="C",LEFT(UPPER(D2378)&amp;REPT(" ",2),2)," ")</f>
        <v/>
      </c>
      <c r="Z2378" s="10">
        <f>IF(A2378="C",LEFT(UPPER(E2378)&amp;REPT(" ",15),15)," ")</f>
        <v/>
      </c>
      <c r="AA2378" s="10">
        <f>REPT(" ",8)</f>
        <v/>
      </c>
      <c r="AB2378" s="10">
        <f>REPT(" ",4)</f>
        <v/>
      </c>
      <c r="AC2378" s="10">
        <f>LEFT(UPPER(H2378)&amp;REPT(" ",250),250)</f>
        <v/>
      </c>
      <c r="AD2378" s="10">
        <f>TEXT($G$2,"dd/mm/aaaa")</f>
        <v/>
      </c>
      <c r="AE2378" s="10">
        <f>REPT(" ",10)</f>
        <v/>
      </c>
      <c r="AF2378" s="10">
        <f>REPT(" ",20)</f>
        <v/>
      </c>
      <c r="AG2378" s="54">
        <f>REPT(" ",18-LEN(FIXED(F2378,2,TRUE)))&amp;FIXED(F2378,2,TRUE)</f>
        <v/>
      </c>
      <c r="AH2378" s="10">
        <f>LEN(AC2378)+LEN(AG2378)</f>
        <v/>
      </c>
      <c r="AI2378" s="10">
        <f>LEN(L2378)</f>
        <v/>
      </c>
    </row>
    <row r="2379">
      <c r="J2379" s="12">
        <f>IF(F2379&lt;&gt;0,"LANÇAR","")</f>
        <v/>
      </c>
      <c r="L2379" s="13">
        <f>N2379&amp;O2379&amp;P2379&amp;Q2379&amp;R2379&amp;S2379&amp;T2379&amp;U2379&amp;V2379&amp;W2379&amp;X2379&amp;Y2379&amp;Z2379&amp;AA2379&amp;AB2379&amp;AC2379&amp;AD2379&amp;AE2379&amp;AF2379&amp;AG2379</f>
        <v/>
      </c>
      <c r="N2379" s="10">
        <f>TEXT($B$6,"00")</f>
        <v/>
      </c>
      <c r="O2379" s="10">
        <f>REPT(" ",8)</f>
        <v/>
      </c>
      <c r="P2379" s="10">
        <f>RIGHT($B$4,2)</f>
        <v/>
      </c>
      <c r="Q2379" s="10">
        <f>RIGHT($B$5,3)</f>
        <v/>
      </c>
      <c r="R2379" s="10">
        <f>IF(A2379="D",LEFT(UPPER(B2379)&amp;REPT(" ",20),20),REPT(" ",20))</f>
        <v/>
      </c>
      <c r="S2379" s="10">
        <f>IF(A2379="D",LEFT(UPPER(C2379)&amp;REPT(" ",10),10)," ")</f>
        <v/>
      </c>
      <c r="T2379" s="10">
        <f>IF(A2379="D",LEFT(UPPER(D2379)&amp;REPT(" ",2),2)," ")</f>
        <v/>
      </c>
      <c r="U2379" s="10">
        <f>IF(A2379="D",LEFT(UPPER(E2379)&amp;REPT(" ",15),15)," ")</f>
        <v/>
      </c>
      <c r="V2379" s="10">
        <f>REPT(" ",24)</f>
        <v/>
      </c>
      <c r="W2379" s="10">
        <f>IF(A2379="c",LEFT(UPPER(B2379)&amp;REPT(" ",20),20),REPT(" ",20))</f>
        <v/>
      </c>
      <c r="X2379" s="10">
        <f>IF(A2379="C",LEFT(UPPER(C2379)&amp;REPT(" ",10),10)," ")</f>
        <v/>
      </c>
      <c r="Y2379" s="10">
        <f>IF(A2379="C",LEFT(UPPER(D2379)&amp;REPT(" ",2),2)," ")</f>
        <v/>
      </c>
      <c r="Z2379" s="10">
        <f>IF(A2379="C",LEFT(UPPER(E2379)&amp;REPT(" ",15),15)," ")</f>
        <v/>
      </c>
      <c r="AA2379" s="10">
        <f>REPT(" ",8)</f>
        <v/>
      </c>
      <c r="AB2379" s="10">
        <f>REPT(" ",4)</f>
        <v/>
      </c>
      <c r="AC2379" s="10">
        <f>LEFT(UPPER(H2379)&amp;REPT(" ",250),250)</f>
        <v/>
      </c>
      <c r="AD2379" s="10">
        <f>TEXT($G$2,"dd/mm/aaaa")</f>
        <v/>
      </c>
      <c r="AE2379" s="10">
        <f>REPT(" ",10)</f>
        <v/>
      </c>
      <c r="AF2379" s="10">
        <f>REPT(" ",20)</f>
        <v/>
      </c>
      <c r="AG2379" s="54">
        <f>REPT(" ",18-LEN(FIXED(F2379,2,TRUE)))&amp;FIXED(F2379,2,TRUE)</f>
        <v/>
      </c>
      <c r="AH2379" s="10">
        <f>LEN(AC2379)+LEN(AG2379)</f>
        <v/>
      </c>
      <c r="AI2379" s="10">
        <f>LEN(L2379)</f>
        <v/>
      </c>
    </row>
    <row r="2380">
      <c r="J2380" s="12">
        <f>IF(F2380&lt;&gt;0,"LANÇAR","")</f>
        <v/>
      </c>
      <c r="L2380" s="13">
        <f>N2380&amp;O2380&amp;P2380&amp;Q2380&amp;R2380&amp;S2380&amp;T2380&amp;U2380&amp;V2380&amp;W2380&amp;X2380&amp;Y2380&amp;Z2380&amp;AA2380&amp;AB2380&amp;AC2380&amp;AD2380&amp;AE2380&amp;AF2380&amp;AG2380</f>
        <v/>
      </c>
      <c r="N2380" s="10">
        <f>TEXT($B$6,"00")</f>
        <v/>
      </c>
      <c r="O2380" s="10">
        <f>REPT(" ",8)</f>
        <v/>
      </c>
      <c r="P2380" s="10">
        <f>RIGHT($B$4,2)</f>
        <v/>
      </c>
      <c r="Q2380" s="10">
        <f>RIGHT($B$5,3)</f>
        <v/>
      </c>
      <c r="R2380" s="10">
        <f>IF(A2380="D",LEFT(UPPER(B2380)&amp;REPT(" ",20),20),REPT(" ",20))</f>
        <v/>
      </c>
      <c r="S2380" s="10">
        <f>IF(A2380="D",LEFT(UPPER(C2380)&amp;REPT(" ",10),10)," ")</f>
        <v/>
      </c>
      <c r="T2380" s="10">
        <f>IF(A2380="D",LEFT(UPPER(D2380)&amp;REPT(" ",2),2)," ")</f>
        <v/>
      </c>
      <c r="U2380" s="10">
        <f>IF(A2380="D",LEFT(UPPER(E2380)&amp;REPT(" ",15),15)," ")</f>
        <v/>
      </c>
      <c r="V2380" s="10">
        <f>REPT(" ",24)</f>
        <v/>
      </c>
      <c r="W2380" s="10">
        <f>IF(A2380="c",LEFT(UPPER(B2380)&amp;REPT(" ",20),20),REPT(" ",20))</f>
        <v/>
      </c>
      <c r="X2380" s="10">
        <f>IF(A2380="C",LEFT(UPPER(C2380)&amp;REPT(" ",10),10)," ")</f>
        <v/>
      </c>
      <c r="Y2380" s="10">
        <f>IF(A2380="C",LEFT(UPPER(D2380)&amp;REPT(" ",2),2)," ")</f>
        <v/>
      </c>
      <c r="Z2380" s="10">
        <f>IF(A2380="C",LEFT(UPPER(E2380)&amp;REPT(" ",15),15)," ")</f>
        <v/>
      </c>
      <c r="AA2380" s="10">
        <f>REPT(" ",8)</f>
        <v/>
      </c>
      <c r="AB2380" s="10">
        <f>REPT(" ",4)</f>
        <v/>
      </c>
      <c r="AC2380" s="10">
        <f>LEFT(UPPER(H2380)&amp;REPT(" ",250),250)</f>
        <v/>
      </c>
      <c r="AD2380" s="10">
        <f>TEXT($G$2,"dd/mm/aaaa")</f>
        <v/>
      </c>
      <c r="AE2380" s="10">
        <f>REPT(" ",10)</f>
        <v/>
      </c>
      <c r="AF2380" s="10">
        <f>REPT(" ",20)</f>
        <v/>
      </c>
      <c r="AG2380" s="54">
        <f>REPT(" ",18-LEN(FIXED(F2380,2,TRUE)))&amp;FIXED(F2380,2,TRUE)</f>
        <v/>
      </c>
      <c r="AH2380" s="10">
        <f>LEN(AC2380)+LEN(AG2380)</f>
        <v/>
      </c>
      <c r="AI2380" s="10">
        <f>LEN(L2380)</f>
        <v/>
      </c>
    </row>
    <row r="2381">
      <c r="J2381" s="12">
        <f>IF(F2381&lt;&gt;0,"LANÇAR","")</f>
        <v/>
      </c>
      <c r="L2381" s="13">
        <f>N2381&amp;O2381&amp;P2381&amp;Q2381&amp;R2381&amp;S2381&amp;T2381&amp;U2381&amp;V2381&amp;W2381&amp;X2381&amp;Y2381&amp;Z2381&amp;AA2381&amp;AB2381&amp;AC2381&amp;AD2381&amp;AE2381&amp;AF2381&amp;AG2381</f>
        <v/>
      </c>
      <c r="N2381" s="10">
        <f>TEXT($B$6,"00")</f>
        <v/>
      </c>
      <c r="O2381" s="10">
        <f>REPT(" ",8)</f>
        <v/>
      </c>
      <c r="P2381" s="10">
        <f>RIGHT($B$4,2)</f>
        <v/>
      </c>
      <c r="Q2381" s="10">
        <f>RIGHT($B$5,3)</f>
        <v/>
      </c>
      <c r="R2381" s="10">
        <f>IF(A2381="D",LEFT(UPPER(B2381)&amp;REPT(" ",20),20),REPT(" ",20))</f>
        <v/>
      </c>
      <c r="S2381" s="10">
        <f>IF(A2381="D",LEFT(UPPER(C2381)&amp;REPT(" ",10),10)," ")</f>
        <v/>
      </c>
      <c r="T2381" s="10">
        <f>IF(A2381="D",LEFT(UPPER(D2381)&amp;REPT(" ",2),2)," ")</f>
        <v/>
      </c>
      <c r="U2381" s="10">
        <f>IF(A2381="D",LEFT(UPPER(E2381)&amp;REPT(" ",15),15)," ")</f>
        <v/>
      </c>
      <c r="V2381" s="10">
        <f>REPT(" ",24)</f>
        <v/>
      </c>
      <c r="W2381" s="10">
        <f>IF(A2381="c",LEFT(UPPER(B2381)&amp;REPT(" ",20),20),REPT(" ",20))</f>
        <v/>
      </c>
      <c r="X2381" s="10">
        <f>IF(A2381="C",LEFT(UPPER(C2381)&amp;REPT(" ",10),10)," ")</f>
        <v/>
      </c>
      <c r="Y2381" s="10">
        <f>IF(A2381="C",LEFT(UPPER(D2381)&amp;REPT(" ",2),2)," ")</f>
        <v/>
      </c>
      <c r="Z2381" s="10">
        <f>IF(A2381="C",LEFT(UPPER(E2381)&amp;REPT(" ",15),15)," ")</f>
        <v/>
      </c>
      <c r="AA2381" s="10">
        <f>REPT(" ",8)</f>
        <v/>
      </c>
      <c r="AB2381" s="10">
        <f>REPT(" ",4)</f>
        <v/>
      </c>
      <c r="AC2381" s="10">
        <f>LEFT(UPPER(H2381)&amp;REPT(" ",250),250)</f>
        <v/>
      </c>
      <c r="AD2381" s="10">
        <f>TEXT($G$2,"dd/mm/aaaa")</f>
        <v/>
      </c>
      <c r="AE2381" s="10">
        <f>REPT(" ",10)</f>
        <v/>
      </c>
      <c r="AF2381" s="10">
        <f>REPT(" ",20)</f>
        <v/>
      </c>
      <c r="AG2381" s="54">
        <f>REPT(" ",18-LEN(FIXED(F2381,2,TRUE)))&amp;FIXED(F2381,2,TRUE)</f>
        <v/>
      </c>
      <c r="AH2381" s="10">
        <f>LEN(AC2381)+LEN(AG2381)</f>
        <v/>
      </c>
      <c r="AI2381" s="10">
        <f>LEN(L2381)</f>
        <v/>
      </c>
    </row>
    <row r="2382">
      <c r="J2382" s="12">
        <f>IF(F2382&lt;&gt;0,"LANÇAR","")</f>
        <v/>
      </c>
      <c r="L2382" s="13">
        <f>N2382&amp;O2382&amp;P2382&amp;Q2382&amp;R2382&amp;S2382&amp;T2382&amp;U2382&amp;V2382&amp;W2382&amp;X2382&amp;Y2382&amp;Z2382&amp;AA2382&amp;AB2382&amp;AC2382&amp;AD2382&amp;AE2382&amp;AF2382&amp;AG2382</f>
        <v/>
      </c>
      <c r="N2382" s="10">
        <f>TEXT($B$6,"00")</f>
        <v/>
      </c>
      <c r="O2382" s="10">
        <f>REPT(" ",8)</f>
        <v/>
      </c>
      <c r="P2382" s="10">
        <f>RIGHT($B$4,2)</f>
        <v/>
      </c>
      <c r="Q2382" s="10">
        <f>RIGHT($B$5,3)</f>
        <v/>
      </c>
      <c r="R2382" s="10">
        <f>IF(A2382="D",LEFT(UPPER(B2382)&amp;REPT(" ",20),20),REPT(" ",20))</f>
        <v/>
      </c>
      <c r="S2382" s="10">
        <f>IF(A2382="D",LEFT(UPPER(C2382)&amp;REPT(" ",10),10)," ")</f>
        <v/>
      </c>
      <c r="T2382" s="10">
        <f>IF(A2382="D",LEFT(UPPER(D2382)&amp;REPT(" ",2),2)," ")</f>
        <v/>
      </c>
      <c r="U2382" s="10">
        <f>IF(A2382="D",LEFT(UPPER(E2382)&amp;REPT(" ",15),15)," ")</f>
        <v/>
      </c>
      <c r="V2382" s="10">
        <f>REPT(" ",24)</f>
        <v/>
      </c>
      <c r="W2382" s="10">
        <f>IF(A2382="c",LEFT(UPPER(B2382)&amp;REPT(" ",20),20),REPT(" ",20))</f>
        <v/>
      </c>
      <c r="X2382" s="10">
        <f>IF(A2382="C",LEFT(UPPER(C2382)&amp;REPT(" ",10),10)," ")</f>
        <v/>
      </c>
      <c r="Y2382" s="10">
        <f>IF(A2382="C",LEFT(UPPER(D2382)&amp;REPT(" ",2),2)," ")</f>
        <v/>
      </c>
      <c r="Z2382" s="10">
        <f>IF(A2382="C",LEFT(UPPER(E2382)&amp;REPT(" ",15),15)," ")</f>
        <v/>
      </c>
      <c r="AA2382" s="10">
        <f>REPT(" ",8)</f>
        <v/>
      </c>
      <c r="AB2382" s="10">
        <f>REPT(" ",4)</f>
        <v/>
      </c>
      <c r="AC2382" s="10">
        <f>LEFT(UPPER(H2382)&amp;REPT(" ",250),250)</f>
        <v/>
      </c>
      <c r="AD2382" s="10">
        <f>TEXT($G$2,"dd/mm/aaaa")</f>
        <v/>
      </c>
      <c r="AE2382" s="10">
        <f>REPT(" ",10)</f>
        <v/>
      </c>
      <c r="AF2382" s="10">
        <f>REPT(" ",20)</f>
        <v/>
      </c>
      <c r="AG2382" s="54">
        <f>REPT(" ",18-LEN(FIXED(F2382,2,TRUE)))&amp;FIXED(F2382,2,TRUE)</f>
        <v/>
      </c>
      <c r="AH2382" s="10">
        <f>LEN(AC2382)+LEN(AG2382)</f>
        <v/>
      </c>
      <c r="AI2382" s="10">
        <f>LEN(L2382)</f>
        <v/>
      </c>
    </row>
    <row r="2383">
      <c r="J2383" s="12">
        <f>IF(F2383&lt;&gt;0,"LANÇAR","")</f>
        <v/>
      </c>
      <c r="L2383" s="13">
        <f>N2383&amp;O2383&amp;P2383&amp;Q2383&amp;R2383&amp;S2383&amp;T2383&amp;U2383&amp;V2383&amp;W2383&amp;X2383&amp;Y2383&amp;Z2383&amp;AA2383&amp;AB2383&amp;AC2383&amp;AD2383&amp;AE2383&amp;AF2383&amp;AG2383</f>
        <v/>
      </c>
      <c r="N2383" s="10">
        <f>TEXT($B$6,"00")</f>
        <v/>
      </c>
      <c r="O2383" s="10">
        <f>REPT(" ",8)</f>
        <v/>
      </c>
      <c r="P2383" s="10">
        <f>RIGHT($B$4,2)</f>
        <v/>
      </c>
      <c r="Q2383" s="10">
        <f>RIGHT($B$5,3)</f>
        <v/>
      </c>
      <c r="R2383" s="10">
        <f>IF(A2383="D",LEFT(UPPER(B2383)&amp;REPT(" ",20),20),REPT(" ",20))</f>
        <v/>
      </c>
      <c r="S2383" s="10">
        <f>IF(A2383="D",LEFT(UPPER(C2383)&amp;REPT(" ",10),10)," ")</f>
        <v/>
      </c>
      <c r="T2383" s="10">
        <f>IF(A2383="D",LEFT(UPPER(D2383)&amp;REPT(" ",2),2)," ")</f>
        <v/>
      </c>
      <c r="U2383" s="10">
        <f>IF(A2383="D",LEFT(UPPER(E2383)&amp;REPT(" ",15),15)," ")</f>
        <v/>
      </c>
      <c r="V2383" s="10">
        <f>REPT(" ",24)</f>
        <v/>
      </c>
      <c r="W2383" s="10">
        <f>IF(A2383="c",LEFT(UPPER(B2383)&amp;REPT(" ",20),20),REPT(" ",20))</f>
        <v/>
      </c>
      <c r="X2383" s="10">
        <f>IF(A2383="C",LEFT(UPPER(C2383)&amp;REPT(" ",10),10)," ")</f>
        <v/>
      </c>
      <c r="Y2383" s="10">
        <f>IF(A2383="C",LEFT(UPPER(D2383)&amp;REPT(" ",2),2)," ")</f>
        <v/>
      </c>
      <c r="Z2383" s="10">
        <f>IF(A2383="C",LEFT(UPPER(E2383)&amp;REPT(" ",15),15)," ")</f>
        <v/>
      </c>
      <c r="AA2383" s="10">
        <f>REPT(" ",8)</f>
        <v/>
      </c>
      <c r="AB2383" s="10">
        <f>REPT(" ",4)</f>
        <v/>
      </c>
      <c r="AC2383" s="10">
        <f>LEFT(UPPER(H2383)&amp;REPT(" ",250),250)</f>
        <v/>
      </c>
      <c r="AD2383" s="10">
        <f>TEXT($G$2,"dd/mm/aaaa")</f>
        <v/>
      </c>
      <c r="AE2383" s="10">
        <f>REPT(" ",10)</f>
        <v/>
      </c>
      <c r="AF2383" s="10">
        <f>REPT(" ",20)</f>
        <v/>
      </c>
      <c r="AG2383" s="54">
        <f>REPT(" ",18-LEN(FIXED(F2383,2,TRUE)))&amp;FIXED(F2383,2,TRUE)</f>
        <v/>
      </c>
      <c r="AH2383" s="10">
        <f>LEN(AC2383)+LEN(AG2383)</f>
        <v/>
      </c>
      <c r="AI2383" s="10">
        <f>LEN(L2383)</f>
        <v/>
      </c>
    </row>
    <row r="2384">
      <c r="J2384" s="12">
        <f>IF(F2384&lt;&gt;0,"LANÇAR","")</f>
        <v/>
      </c>
      <c r="L2384" s="13">
        <f>N2384&amp;O2384&amp;P2384&amp;Q2384&amp;R2384&amp;S2384&amp;T2384&amp;U2384&amp;V2384&amp;W2384&amp;X2384&amp;Y2384&amp;Z2384&amp;AA2384&amp;AB2384&amp;AC2384&amp;AD2384&amp;AE2384&amp;AF2384&amp;AG2384</f>
        <v/>
      </c>
      <c r="N2384" s="10">
        <f>TEXT($B$6,"00")</f>
        <v/>
      </c>
      <c r="O2384" s="10">
        <f>REPT(" ",8)</f>
        <v/>
      </c>
      <c r="P2384" s="10">
        <f>RIGHT($B$4,2)</f>
        <v/>
      </c>
      <c r="Q2384" s="10">
        <f>RIGHT($B$5,3)</f>
        <v/>
      </c>
      <c r="R2384" s="10">
        <f>IF(A2384="D",LEFT(UPPER(B2384)&amp;REPT(" ",20),20),REPT(" ",20))</f>
        <v/>
      </c>
      <c r="S2384" s="10">
        <f>IF(A2384="D",LEFT(UPPER(C2384)&amp;REPT(" ",10),10)," ")</f>
        <v/>
      </c>
      <c r="T2384" s="10">
        <f>IF(A2384="D",LEFT(UPPER(D2384)&amp;REPT(" ",2),2)," ")</f>
        <v/>
      </c>
      <c r="U2384" s="10">
        <f>IF(A2384="D",LEFT(UPPER(E2384)&amp;REPT(" ",15),15)," ")</f>
        <v/>
      </c>
      <c r="V2384" s="10">
        <f>REPT(" ",24)</f>
        <v/>
      </c>
      <c r="W2384" s="10">
        <f>IF(A2384="c",LEFT(UPPER(B2384)&amp;REPT(" ",20),20),REPT(" ",20))</f>
        <v/>
      </c>
      <c r="X2384" s="10">
        <f>IF(A2384="C",LEFT(UPPER(C2384)&amp;REPT(" ",10),10)," ")</f>
        <v/>
      </c>
      <c r="Y2384" s="10">
        <f>IF(A2384="C",LEFT(UPPER(D2384)&amp;REPT(" ",2),2)," ")</f>
        <v/>
      </c>
      <c r="Z2384" s="10">
        <f>IF(A2384="C",LEFT(UPPER(E2384)&amp;REPT(" ",15),15)," ")</f>
        <v/>
      </c>
      <c r="AA2384" s="10">
        <f>REPT(" ",8)</f>
        <v/>
      </c>
      <c r="AB2384" s="10">
        <f>REPT(" ",4)</f>
        <v/>
      </c>
      <c r="AC2384" s="10">
        <f>LEFT(UPPER(H2384)&amp;REPT(" ",250),250)</f>
        <v/>
      </c>
      <c r="AD2384" s="10">
        <f>TEXT($G$2,"dd/mm/aaaa")</f>
        <v/>
      </c>
      <c r="AE2384" s="10">
        <f>REPT(" ",10)</f>
        <v/>
      </c>
      <c r="AF2384" s="10">
        <f>REPT(" ",20)</f>
        <v/>
      </c>
      <c r="AG2384" s="54">
        <f>REPT(" ",18-LEN(FIXED(F2384,2,TRUE)))&amp;FIXED(F2384,2,TRUE)</f>
        <v/>
      </c>
      <c r="AH2384" s="10">
        <f>LEN(AC2384)+LEN(AG2384)</f>
        <v/>
      </c>
      <c r="AI2384" s="10">
        <f>LEN(L2384)</f>
        <v/>
      </c>
    </row>
    <row r="2385">
      <c r="J2385" s="12">
        <f>IF(F2385&lt;&gt;0,"LANÇAR","")</f>
        <v/>
      </c>
      <c r="L2385" s="13">
        <f>N2385&amp;O2385&amp;P2385&amp;Q2385&amp;R2385&amp;S2385&amp;T2385&amp;U2385&amp;V2385&amp;W2385&amp;X2385&amp;Y2385&amp;Z2385&amp;AA2385&amp;AB2385&amp;AC2385&amp;AD2385&amp;AE2385&amp;AF2385&amp;AG2385</f>
        <v/>
      </c>
      <c r="N2385" s="10">
        <f>TEXT($B$6,"00")</f>
        <v/>
      </c>
      <c r="O2385" s="10">
        <f>REPT(" ",8)</f>
        <v/>
      </c>
      <c r="P2385" s="10">
        <f>RIGHT($B$4,2)</f>
        <v/>
      </c>
      <c r="Q2385" s="10">
        <f>RIGHT($B$5,3)</f>
        <v/>
      </c>
      <c r="R2385" s="10">
        <f>IF(A2385="D",LEFT(UPPER(B2385)&amp;REPT(" ",20),20),REPT(" ",20))</f>
        <v/>
      </c>
      <c r="S2385" s="10">
        <f>IF(A2385="D",LEFT(UPPER(C2385)&amp;REPT(" ",10),10)," ")</f>
        <v/>
      </c>
      <c r="T2385" s="10">
        <f>IF(A2385="D",LEFT(UPPER(D2385)&amp;REPT(" ",2),2)," ")</f>
        <v/>
      </c>
      <c r="U2385" s="10">
        <f>IF(A2385="D",LEFT(UPPER(E2385)&amp;REPT(" ",15),15)," ")</f>
        <v/>
      </c>
      <c r="V2385" s="10">
        <f>REPT(" ",24)</f>
        <v/>
      </c>
      <c r="W2385" s="10">
        <f>IF(A2385="c",LEFT(UPPER(B2385)&amp;REPT(" ",20),20),REPT(" ",20))</f>
        <v/>
      </c>
      <c r="X2385" s="10">
        <f>IF(A2385="C",LEFT(UPPER(C2385)&amp;REPT(" ",10),10)," ")</f>
        <v/>
      </c>
      <c r="Y2385" s="10">
        <f>IF(A2385="C",LEFT(UPPER(D2385)&amp;REPT(" ",2),2)," ")</f>
        <v/>
      </c>
      <c r="Z2385" s="10">
        <f>IF(A2385="C",LEFT(UPPER(E2385)&amp;REPT(" ",15),15)," ")</f>
        <v/>
      </c>
      <c r="AA2385" s="10">
        <f>REPT(" ",8)</f>
        <v/>
      </c>
      <c r="AB2385" s="10">
        <f>REPT(" ",4)</f>
        <v/>
      </c>
      <c r="AC2385" s="10">
        <f>LEFT(UPPER(H2385)&amp;REPT(" ",250),250)</f>
        <v/>
      </c>
      <c r="AD2385" s="10">
        <f>TEXT($G$2,"dd/mm/aaaa")</f>
        <v/>
      </c>
      <c r="AE2385" s="10">
        <f>REPT(" ",10)</f>
        <v/>
      </c>
      <c r="AF2385" s="10">
        <f>REPT(" ",20)</f>
        <v/>
      </c>
      <c r="AG2385" s="54">
        <f>REPT(" ",18-LEN(FIXED(F2385,2,TRUE)))&amp;FIXED(F2385,2,TRUE)</f>
        <v/>
      </c>
      <c r="AH2385" s="10">
        <f>LEN(AC2385)+LEN(AG2385)</f>
        <v/>
      </c>
      <c r="AI2385" s="10">
        <f>LEN(L2385)</f>
        <v/>
      </c>
    </row>
    <row r="2386">
      <c r="J2386" s="12">
        <f>IF(F2386&lt;&gt;0,"LANÇAR","")</f>
        <v/>
      </c>
      <c r="L2386" s="13">
        <f>N2386&amp;O2386&amp;P2386&amp;Q2386&amp;R2386&amp;S2386&amp;T2386&amp;U2386&amp;V2386&amp;W2386&amp;X2386&amp;Y2386&amp;Z2386&amp;AA2386&amp;AB2386&amp;AC2386&amp;AD2386&amp;AE2386&amp;AF2386&amp;AG2386</f>
        <v/>
      </c>
      <c r="N2386" s="10">
        <f>TEXT($B$6,"00")</f>
        <v/>
      </c>
      <c r="O2386" s="10">
        <f>REPT(" ",8)</f>
        <v/>
      </c>
      <c r="P2386" s="10">
        <f>RIGHT($B$4,2)</f>
        <v/>
      </c>
      <c r="Q2386" s="10">
        <f>RIGHT($B$5,3)</f>
        <v/>
      </c>
      <c r="R2386" s="10">
        <f>IF(A2386="D",LEFT(UPPER(B2386)&amp;REPT(" ",20),20),REPT(" ",20))</f>
        <v/>
      </c>
      <c r="S2386" s="10">
        <f>IF(A2386="D",LEFT(UPPER(C2386)&amp;REPT(" ",10),10)," ")</f>
        <v/>
      </c>
      <c r="T2386" s="10">
        <f>IF(A2386="D",LEFT(UPPER(D2386)&amp;REPT(" ",2),2)," ")</f>
        <v/>
      </c>
      <c r="U2386" s="10">
        <f>IF(A2386="D",LEFT(UPPER(E2386)&amp;REPT(" ",15),15)," ")</f>
        <v/>
      </c>
      <c r="V2386" s="10">
        <f>REPT(" ",24)</f>
        <v/>
      </c>
      <c r="W2386" s="10">
        <f>IF(A2386="c",LEFT(UPPER(B2386)&amp;REPT(" ",20),20),REPT(" ",20))</f>
        <v/>
      </c>
      <c r="X2386" s="10">
        <f>IF(A2386="C",LEFT(UPPER(C2386)&amp;REPT(" ",10),10)," ")</f>
        <v/>
      </c>
      <c r="Y2386" s="10">
        <f>IF(A2386="C",LEFT(UPPER(D2386)&amp;REPT(" ",2),2)," ")</f>
        <v/>
      </c>
      <c r="Z2386" s="10">
        <f>IF(A2386="C",LEFT(UPPER(E2386)&amp;REPT(" ",15),15)," ")</f>
        <v/>
      </c>
      <c r="AA2386" s="10">
        <f>REPT(" ",8)</f>
        <v/>
      </c>
      <c r="AB2386" s="10">
        <f>REPT(" ",4)</f>
        <v/>
      </c>
      <c r="AC2386" s="10">
        <f>LEFT(UPPER(H2386)&amp;REPT(" ",250),250)</f>
        <v/>
      </c>
      <c r="AD2386" s="10">
        <f>TEXT($G$2,"dd/mm/aaaa")</f>
        <v/>
      </c>
      <c r="AE2386" s="10">
        <f>REPT(" ",10)</f>
        <v/>
      </c>
      <c r="AF2386" s="10">
        <f>REPT(" ",20)</f>
        <v/>
      </c>
      <c r="AG2386" s="54">
        <f>REPT(" ",18-LEN(FIXED(F2386,2,TRUE)))&amp;FIXED(F2386,2,TRUE)</f>
        <v/>
      </c>
      <c r="AH2386" s="10">
        <f>LEN(AC2386)+LEN(AG2386)</f>
        <v/>
      </c>
      <c r="AI2386" s="10">
        <f>LEN(L2386)</f>
        <v/>
      </c>
    </row>
    <row r="2387">
      <c r="J2387" s="12">
        <f>IF(F2387&lt;&gt;0,"LANÇAR","")</f>
        <v/>
      </c>
      <c r="L2387" s="13">
        <f>N2387&amp;O2387&amp;P2387&amp;Q2387&amp;R2387&amp;S2387&amp;T2387&amp;U2387&amp;V2387&amp;W2387&amp;X2387&amp;Y2387&amp;Z2387&amp;AA2387&amp;AB2387&amp;AC2387&amp;AD2387&amp;AE2387&amp;AF2387&amp;AG2387</f>
        <v/>
      </c>
      <c r="N2387" s="10">
        <f>TEXT($B$6,"00")</f>
        <v/>
      </c>
      <c r="O2387" s="10">
        <f>REPT(" ",8)</f>
        <v/>
      </c>
      <c r="P2387" s="10">
        <f>RIGHT($B$4,2)</f>
        <v/>
      </c>
      <c r="Q2387" s="10">
        <f>RIGHT($B$5,3)</f>
        <v/>
      </c>
      <c r="R2387" s="10">
        <f>IF(A2387="D",LEFT(UPPER(B2387)&amp;REPT(" ",20),20),REPT(" ",20))</f>
        <v/>
      </c>
      <c r="S2387" s="10">
        <f>IF(A2387="D",LEFT(UPPER(C2387)&amp;REPT(" ",10),10)," ")</f>
        <v/>
      </c>
      <c r="T2387" s="10">
        <f>IF(A2387="D",LEFT(UPPER(D2387)&amp;REPT(" ",2),2)," ")</f>
        <v/>
      </c>
      <c r="U2387" s="10">
        <f>IF(A2387="D",LEFT(UPPER(E2387)&amp;REPT(" ",15),15)," ")</f>
        <v/>
      </c>
      <c r="V2387" s="10">
        <f>REPT(" ",24)</f>
        <v/>
      </c>
      <c r="W2387" s="10">
        <f>IF(A2387="c",LEFT(UPPER(B2387)&amp;REPT(" ",20),20),REPT(" ",20))</f>
        <v/>
      </c>
      <c r="X2387" s="10">
        <f>IF(A2387="C",LEFT(UPPER(C2387)&amp;REPT(" ",10),10)," ")</f>
        <v/>
      </c>
      <c r="Y2387" s="10">
        <f>IF(A2387="C",LEFT(UPPER(D2387)&amp;REPT(" ",2),2)," ")</f>
        <v/>
      </c>
      <c r="Z2387" s="10">
        <f>IF(A2387="C",LEFT(UPPER(E2387)&amp;REPT(" ",15),15)," ")</f>
        <v/>
      </c>
      <c r="AA2387" s="10">
        <f>REPT(" ",8)</f>
        <v/>
      </c>
      <c r="AB2387" s="10">
        <f>REPT(" ",4)</f>
        <v/>
      </c>
      <c r="AC2387" s="10">
        <f>LEFT(UPPER(H2387)&amp;REPT(" ",250),250)</f>
        <v/>
      </c>
      <c r="AD2387" s="10">
        <f>TEXT($G$2,"dd/mm/aaaa")</f>
        <v/>
      </c>
      <c r="AE2387" s="10">
        <f>REPT(" ",10)</f>
        <v/>
      </c>
      <c r="AF2387" s="10">
        <f>REPT(" ",20)</f>
        <v/>
      </c>
      <c r="AG2387" s="54">
        <f>REPT(" ",18-LEN(FIXED(F2387,2,TRUE)))&amp;FIXED(F2387,2,TRUE)</f>
        <v/>
      </c>
      <c r="AH2387" s="10">
        <f>LEN(AC2387)+LEN(AG2387)</f>
        <v/>
      </c>
      <c r="AI2387" s="10">
        <f>LEN(L2387)</f>
        <v/>
      </c>
    </row>
    <row r="2388">
      <c r="J2388" s="12">
        <f>IF(F2388&lt;&gt;0,"LANÇAR","")</f>
        <v/>
      </c>
      <c r="L2388" s="13">
        <f>N2388&amp;O2388&amp;P2388&amp;Q2388&amp;R2388&amp;S2388&amp;T2388&amp;U2388&amp;V2388&amp;W2388&amp;X2388&amp;Y2388&amp;Z2388&amp;AA2388&amp;AB2388&amp;AC2388&amp;AD2388&amp;AE2388&amp;AF2388&amp;AG2388</f>
        <v/>
      </c>
      <c r="N2388" s="10">
        <f>TEXT($B$6,"00")</f>
        <v/>
      </c>
      <c r="O2388" s="10">
        <f>REPT(" ",8)</f>
        <v/>
      </c>
      <c r="P2388" s="10">
        <f>RIGHT($B$4,2)</f>
        <v/>
      </c>
      <c r="Q2388" s="10">
        <f>RIGHT($B$5,3)</f>
        <v/>
      </c>
      <c r="R2388" s="10">
        <f>IF(A2388="D",LEFT(UPPER(B2388)&amp;REPT(" ",20),20),REPT(" ",20))</f>
        <v/>
      </c>
      <c r="S2388" s="10">
        <f>IF(A2388="D",LEFT(UPPER(C2388)&amp;REPT(" ",10),10)," ")</f>
        <v/>
      </c>
      <c r="T2388" s="10">
        <f>IF(A2388="D",LEFT(UPPER(D2388)&amp;REPT(" ",2),2)," ")</f>
        <v/>
      </c>
      <c r="U2388" s="10">
        <f>IF(A2388="D",LEFT(UPPER(E2388)&amp;REPT(" ",15),15)," ")</f>
        <v/>
      </c>
      <c r="V2388" s="10">
        <f>REPT(" ",24)</f>
        <v/>
      </c>
      <c r="W2388" s="10">
        <f>IF(A2388="c",LEFT(UPPER(B2388)&amp;REPT(" ",20),20),REPT(" ",20))</f>
        <v/>
      </c>
      <c r="X2388" s="10">
        <f>IF(A2388="C",LEFT(UPPER(C2388)&amp;REPT(" ",10),10)," ")</f>
        <v/>
      </c>
      <c r="Y2388" s="10">
        <f>IF(A2388="C",LEFT(UPPER(D2388)&amp;REPT(" ",2),2)," ")</f>
        <v/>
      </c>
      <c r="Z2388" s="10">
        <f>IF(A2388="C",LEFT(UPPER(E2388)&amp;REPT(" ",15),15)," ")</f>
        <v/>
      </c>
      <c r="AA2388" s="10">
        <f>REPT(" ",8)</f>
        <v/>
      </c>
      <c r="AB2388" s="10">
        <f>REPT(" ",4)</f>
        <v/>
      </c>
      <c r="AC2388" s="10">
        <f>LEFT(UPPER(H2388)&amp;REPT(" ",250),250)</f>
        <v/>
      </c>
      <c r="AD2388" s="10">
        <f>TEXT($G$2,"dd/mm/aaaa")</f>
        <v/>
      </c>
      <c r="AE2388" s="10">
        <f>REPT(" ",10)</f>
        <v/>
      </c>
      <c r="AF2388" s="10">
        <f>REPT(" ",20)</f>
        <v/>
      </c>
      <c r="AG2388" s="54">
        <f>REPT(" ",18-LEN(FIXED(F2388,2,TRUE)))&amp;FIXED(F2388,2,TRUE)</f>
        <v/>
      </c>
      <c r="AH2388" s="10">
        <f>LEN(AC2388)+LEN(AG2388)</f>
        <v/>
      </c>
      <c r="AI2388" s="10">
        <f>LEN(L2388)</f>
        <v/>
      </c>
    </row>
    <row r="2389">
      <c r="J2389" s="12">
        <f>IF(F2389&lt;&gt;0,"LANÇAR","")</f>
        <v/>
      </c>
      <c r="L2389" s="13">
        <f>N2389&amp;O2389&amp;P2389&amp;Q2389&amp;R2389&amp;S2389&amp;T2389&amp;U2389&amp;V2389&amp;W2389&amp;X2389&amp;Y2389&amp;Z2389&amp;AA2389&amp;AB2389&amp;AC2389&amp;AD2389&amp;AE2389&amp;AF2389&amp;AG2389</f>
        <v/>
      </c>
      <c r="N2389" s="10">
        <f>TEXT($B$6,"00")</f>
        <v/>
      </c>
      <c r="O2389" s="10">
        <f>REPT(" ",8)</f>
        <v/>
      </c>
      <c r="P2389" s="10">
        <f>RIGHT($B$4,2)</f>
        <v/>
      </c>
      <c r="Q2389" s="10">
        <f>RIGHT($B$5,3)</f>
        <v/>
      </c>
      <c r="R2389" s="10">
        <f>IF(A2389="D",LEFT(UPPER(B2389)&amp;REPT(" ",20),20),REPT(" ",20))</f>
        <v/>
      </c>
      <c r="S2389" s="10">
        <f>IF(A2389="D",LEFT(UPPER(C2389)&amp;REPT(" ",10),10)," ")</f>
        <v/>
      </c>
      <c r="T2389" s="10">
        <f>IF(A2389="D",LEFT(UPPER(D2389)&amp;REPT(" ",2),2)," ")</f>
        <v/>
      </c>
      <c r="U2389" s="10">
        <f>IF(A2389="D",LEFT(UPPER(E2389)&amp;REPT(" ",15),15)," ")</f>
        <v/>
      </c>
      <c r="V2389" s="10">
        <f>REPT(" ",24)</f>
        <v/>
      </c>
      <c r="W2389" s="10">
        <f>IF(A2389="c",LEFT(UPPER(B2389)&amp;REPT(" ",20),20),REPT(" ",20))</f>
        <v/>
      </c>
      <c r="X2389" s="10">
        <f>IF(A2389="C",LEFT(UPPER(C2389)&amp;REPT(" ",10),10)," ")</f>
        <v/>
      </c>
      <c r="Y2389" s="10">
        <f>IF(A2389="C",LEFT(UPPER(D2389)&amp;REPT(" ",2),2)," ")</f>
        <v/>
      </c>
      <c r="Z2389" s="10">
        <f>IF(A2389="C",LEFT(UPPER(E2389)&amp;REPT(" ",15),15)," ")</f>
        <v/>
      </c>
      <c r="AA2389" s="10">
        <f>REPT(" ",8)</f>
        <v/>
      </c>
      <c r="AB2389" s="10">
        <f>REPT(" ",4)</f>
        <v/>
      </c>
      <c r="AC2389" s="10">
        <f>LEFT(UPPER(H2389)&amp;REPT(" ",250),250)</f>
        <v/>
      </c>
      <c r="AD2389" s="10">
        <f>TEXT($G$2,"dd/mm/aaaa")</f>
        <v/>
      </c>
      <c r="AE2389" s="10">
        <f>REPT(" ",10)</f>
        <v/>
      </c>
      <c r="AF2389" s="10">
        <f>REPT(" ",20)</f>
        <v/>
      </c>
      <c r="AG2389" s="54">
        <f>REPT(" ",18-LEN(FIXED(F2389,2,TRUE)))&amp;FIXED(F2389,2,TRUE)</f>
        <v/>
      </c>
      <c r="AH2389" s="10">
        <f>LEN(AC2389)+LEN(AG2389)</f>
        <v/>
      </c>
      <c r="AI2389" s="10">
        <f>LEN(L2389)</f>
        <v/>
      </c>
    </row>
    <row r="2390">
      <c r="J2390" s="12">
        <f>IF(F2390&lt;&gt;0,"LANÇAR","")</f>
        <v/>
      </c>
      <c r="L2390" s="13">
        <f>N2390&amp;O2390&amp;P2390&amp;Q2390&amp;R2390&amp;S2390&amp;T2390&amp;U2390&amp;V2390&amp;W2390&amp;X2390&amp;Y2390&amp;Z2390&amp;AA2390&amp;AB2390&amp;AC2390&amp;AD2390&amp;AE2390&amp;AF2390&amp;AG2390</f>
        <v/>
      </c>
      <c r="N2390" s="10">
        <f>TEXT($B$6,"00")</f>
        <v/>
      </c>
      <c r="O2390" s="10">
        <f>REPT(" ",8)</f>
        <v/>
      </c>
      <c r="P2390" s="10">
        <f>RIGHT($B$4,2)</f>
        <v/>
      </c>
      <c r="Q2390" s="10">
        <f>RIGHT($B$5,3)</f>
        <v/>
      </c>
      <c r="R2390" s="10">
        <f>IF(A2390="D",LEFT(UPPER(B2390)&amp;REPT(" ",20),20),REPT(" ",20))</f>
        <v/>
      </c>
      <c r="S2390" s="10">
        <f>IF(A2390="D",LEFT(UPPER(C2390)&amp;REPT(" ",10),10)," ")</f>
        <v/>
      </c>
      <c r="T2390" s="10">
        <f>IF(A2390="D",LEFT(UPPER(D2390)&amp;REPT(" ",2),2)," ")</f>
        <v/>
      </c>
      <c r="U2390" s="10">
        <f>IF(A2390="D",LEFT(UPPER(E2390)&amp;REPT(" ",15),15)," ")</f>
        <v/>
      </c>
      <c r="V2390" s="10">
        <f>REPT(" ",24)</f>
        <v/>
      </c>
      <c r="W2390" s="10">
        <f>IF(A2390="c",LEFT(UPPER(B2390)&amp;REPT(" ",20),20),REPT(" ",20))</f>
        <v/>
      </c>
      <c r="X2390" s="10">
        <f>IF(A2390="C",LEFT(UPPER(C2390)&amp;REPT(" ",10),10)," ")</f>
        <v/>
      </c>
      <c r="Y2390" s="10">
        <f>IF(A2390="C",LEFT(UPPER(D2390)&amp;REPT(" ",2),2)," ")</f>
        <v/>
      </c>
      <c r="Z2390" s="10">
        <f>IF(A2390="C",LEFT(UPPER(E2390)&amp;REPT(" ",15),15)," ")</f>
        <v/>
      </c>
      <c r="AA2390" s="10">
        <f>REPT(" ",8)</f>
        <v/>
      </c>
      <c r="AB2390" s="10">
        <f>REPT(" ",4)</f>
        <v/>
      </c>
      <c r="AC2390" s="10">
        <f>LEFT(UPPER(H2390)&amp;REPT(" ",250),250)</f>
        <v/>
      </c>
      <c r="AD2390" s="10">
        <f>TEXT($G$2,"dd/mm/aaaa")</f>
        <v/>
      </c>
      <c r="AE2390" s="10">
        <f>REPT(" ",10)</f>
        <v/>
      </c>
      <c r="AF2390" s="10">
        <f>REPT(" ",20)</f>
        <v/>
      </c>
      <c r="AG2390" s="54">
        <f>REPT(" ",18-LEN(FIXED(F2390,2,TRUE)))&amp;FIXED(F2390,2,TRUE)</f>
        <v/>
      </c>
      <c r="AH2390" s="10">
        <f>LEN(AC2390)+LEN(AG2390)</f>
        <v/>
      </c>
      <c r="AI2390" s="10">
        <f>LEN(L2390)</f>
        <v/>
      </c>
    </row>
    <row r="2391">
      <c r="J2391" s="12">
        <f>IF(F2391&lt;&gt;0,"LANÇAR","")</f>
        <v/>
      </c>
      <c r="L2391" s="13">
        <f>N2391&amp;O2391&amp;P2391&amp;Q2391&amp;R2391&amp;S2391&amp;T2391&amp;U2391&amp;V2391&amp;W2391&amp;X2391&amp;Y2391&amp;Z2391&amp;AA2391&amp;AB2391&amp;AC2391&amp;AD2391&amp;AE2391&amp;AF2391&amp;AG2391</f>
        <v/>
      </c>
      <c r="N2391" s="10">
        <f>TEXT($B$6,"00")</f>
        <v/>
      </c>
      <c r="O2391" s="10">
        <f>REPT(" ",8)</f>
        <v/>
      </c>
      <c r="P2391" s="10">
        <f>RIGHT($B$4,2)</f>
        <v/>
      </c>
      <c r="Q2391" s="10">
        <f>RIGHT($B$5,3)</f>
        <v/>
      </c>
      <c r="R2391" s="10">
        <f>IF(A2391="D",LEFT(UPPER(B2391)&amp;REPT(" ",20),20),REPT(" ",20))</f>
        <v/>
      </c>
      <c r="S2391" s="10">
        <f>IF(A2391="D",LEFT(UPPER(C2391)&amp;REPT(" ",10),10)," ")</f>
        <v/>
      </c>
      <c r="T2391" s="10">
        <f>IF(A2391="D",LEFT(UPPER(D2391)&amp;REPT(" ",2),2)," ")</f>
        <v/>
      </c>
      <c r="U2391" s="10">
        <f>IF(A2391="D",LEFT(UPPER(E2391)&amp;REPT(" ",15),15)," ")</f>
        <v/>
      </c>
      <c r="V2391" s="10">
        <f>REPT(" ",24)</f>
        <v/>
      </c>
      <c r="W2391" s="10">
        <f>IF(A2391="c",LEFT(UPPER(B2391)&amp;REPT(" ",20),20),REPT(" ",20))</f>
        <v/>
      </c>
      <c r="X2391" s="10">
        <f>IF(A2391="C",LEFT(UPPER(C2391)&amp;REPT(" ",10),10)," ")</f>
        <v/>
      </c>
      <c r="Y2391" s="10">
        <f>IF(A2391="C",LEFT(UPPER(D2391)&amp;REPT(" ",2),2)," ")</f>
        <v/>
      </c>
      <c r="Z2391" s="10">
        <f>IF(A2391="C",LEFT(UPPER(E2391)&amp;REPT(" ",15),15)," ")</f>
        <v/>
      </c>
      <c r="AA2391" s="10">
        <f>REPT(" ",8)</f>
        <v/>
      </c>
      <c r="AB2391" s="10">
        <f>REPT(" ",4)</f>
        <v/>
      </c>
      <c r="AC2391" s="10">
        <f>LEFT(UPPER(H2391)&amp;REPT(" ",250),250)</f>
        <v/>
      </c>
      <c r="AD2391" s="10">
        <f>TEXT($G$2,"dd/mm/aaaa")</f>
        <v/>
      </c>
      <c r="AE2391" s="10">
        <f>REPT(" ",10)</f>
        <v/>
      </c>
      <c r="AF2391" s="10">
        <f>REPT(" ",20)</f>
        <v/>
      </c>
      <c r="AG2391" s="54">
        <f>REPT(" ",18-LEN(FIXED(F2391,2,TRUE)))&amp;FIXED(F2391,2,TRUE)</f>
        <v/>
      </c>
      <c r="AH2391" s="10">
        <f>LEN(AC2391)+LEN(AG2391)</f>
        <v/>
      </c>
      <c r="AI2391" s="10">
        <f>LEN(L2391)</f>
        <v/>
      </c>
    </row>
    <row r="2392">
      <c r="J2392" s="12">
        <f>IF(F2392&lt;&gt;0,"LANÇAR","")</f>
        <v/>
      </c>
      <c r="L2392" s="13">
        <f>N2392&amp;O2392&amp;P2392&amp;Q2392&amp;R2392&amp;S2392&amp;T2392&amp;U2392&amp;V2392&amp;W2392&amp;X2392&amp;Y2392&amp;Z2392&amp;AA2392&amp;AB2392&amp;AC2392&amp;AD2392&amp;AE2392&amp;AF2392&amp;AG2392</f>
        <v/>
      </c>
      <c r="N2392" s="10">
        <f>TEXT($B$6,"00")</f>
        <v/>
      </c>
      <c r="O2392" s="10">
        <f>REPT(" ",8)</f>
        <v/>
      </c>
      <c r="P2392" s="10">
        <f>RIGHT($B$4,2)</f>
        <v/>
      </c>
      <c r="Q2392" s="10">
        <f>RIGHT($B$5,3)</f>
        <v/>
      </c>
      <c r="R2392" s="10">
        <f>IF(A2392="D",LEFT(UPPER(B2392)&amp;REPT(" ",20),20),REPT(" ",20))</f>
        <v/>
      </c>
      <c r="S2392" s="10">
        <f>IF(A2392="D",LEFT(UPPER(C2392)&amp;REPT(" ",10),10)," ")</f>
        <v/>
      </c>
      <c r="T2392" s="10">
        <f>IF(A2392="D",LEFT(UPPER(D2392)&amp;REPT(" ",2),2)," ")</f>
        <v/>
      </c>
      <c r="U2392" s="10">
        <f>IF(A2392="D",LEFT(UPPER(E2392)&amp;REPT(" ",15),15)," ")</f>
        <v/>
      </c>
      <c r="V2392" s="10">
        <f>REPT(" ",24)</f>
        <v/>
      </c>
      <c r="W2392" s="10">
        <f>IF(A2392="c",LEFT(UPPER(B2392)&amp;REPT(" ",20),20),REPT(" ",20))</f>
        <v/>
      </c>
      <c r="X2392" s="10">
        <f>IF(A2392="C",LEFT(UPPER(C2392)&amp;REPT(" ",10),10)," ")</f>
        <v/>
      </c>
      <c r="Y2392" s="10">
        <f>IF(A2392="C",LEFT(UPPER(D2392)&amp;REPT(" ",2),2)," ")</f>
        <v/>
      </c>
      <c r="Z2392" s="10">
        <f>IF(A2392="C",LEFT(UPPER(E2392)&amp;REPT(" ",15),15)," ")</f>
        <v/>
      </c>
      <c r="AA2392" s="10">
        <f>REPT(" ",8)</f>
        <v/>
      </c>
      <c r="AB2392" s="10">
        <f>REPT(" ",4)</f>
        <v/>
      </c>
      <c r="AC2392" s="10">
        <f>LEFT(UPPER(H2392)&amp;REPT(" ",250),250)</f>
        <v/>
      </c>
      <c r="AD2392" s="10">
        <f>TEXT($G$2,"dd/mm/aaaa")</f>
        <v/>
      </c>
      <c r="AE2392" s="10">
        <f>REPT(" ",10)</f>
        <v/>
      </c>
      <c r="AF2392" s="10">
        <f>REPT(" ",20)</f>
        <v/>
      </c>
      <c r="AG2392" s="54">
        <f>REPT(" ",18-LEN(FIXED(F2392,2,TRUE)))&amp;FIXED(F2392,2,TRUE)</f>
        <v/>
      </c>
      <c r="AH2392" s="10">
        <f>LEN(AC2392)+LEN(AG2392)</f>
        <v/>
      </c>
      <c r="AI2392" s="10">
        <f>LEN(L2392)</f>
        <v/>
      </c>
    </row>
    <row r="2393">
      <c r="J2393" s="12">
        <f>IF(F2393&lt;&gt;0,"LANÇAR","")</f>
        <v/>
      </c>
      <c r="L2393" s="13">
        <f>N2393&amp;O2393&amp;P2393&amp;Q2393&amp;R2393&amp;S2393&amp;T2393&amp;U2393&amp;V2393&amp;W2393&amp;X2393&amp;Y2393&amp;Z2393&amp;AA2393&amp;AB2393&amp;AC2393&amp;AD2393&amp;AE2393&amp;AF2393&amp;AG2393</f>
        <v/>
      </c>
      <c r="N2393" s="10">
        <f>TEXT($B$6,"00")</f>
        <v/>
      </c>
      <c r="O2393" s="10">
        <f>REPT(" ",8)</f>
        <v/>
      </c>
      <c r="P2393" s="10">
        <f>RIGHT($B$4,2)</f>
        <v/>
      </c>
      <c r="Q2393" s="10">
        <f>RIGHT($B$5,3)</f>
        <v/>
      </c>
      <c r="R2393" s="10">
        <f>IF(A2393="D",LEFT(UPPER(B2393)&amp;REPT(" ",20),20),REPT(" ",20))</f>
        <v/>
      </c>
      <c r="S2393" s="10">
        <f>IF(A2393="D",LEFT(UPPER(C2393)&amp;REPT(" ",10),10)," ")</f>
        <v/>
      </c>
      <c r="T2393" s="10">
        <f>IF(A2393="D",LEFT(UPPER(D2393)&amp;REPT(" ",2),2)," ")</f>
        <v/>
      </c>
      <c r="U2393" s="10">
        <f>IF(A2393="D",LEFT(UPPER(E2393)&amp;REPT(" ",15),15)," ")</f>
        <v/>
      </c>
      <c r="V2393" s="10">
        <f>REPT(" ",24)</f>
        <v/>
      </c>
      <c r="W2393" s="10">
        <f>IF(A2393="c",LEFT(UPPER(B2393)&amp;REPT(" ",20),20),REPT(" ",20))</f>
        <v/>
      </c>
      <c r="X2393" s="10">
        <f>IF(A2393="C",LEFT(UPPER(C2393)&amp;REPT(" ",10),10)," ")</f>
        <v/>
      </c>
      <c r="Y2393" s="10">
        <f>IF(A2393="C",LEFT(UPPER(D2393)&amp;REPT(" ",2),2)," ")</f>
        <v/>
      </c>
      <c r="Z2393" s="10">
        <f>IF(A2393="C",LEFT(UPPER(E2393)&amp;REPT(" ",15),15)," ")</f>
        <v/>
      </c>
      <c r="AA2393" s="10">
        <f>REPT(" ",8)</f>
        <v/>
      </c>
      <c r="AB2393" s="10">
        <f>REPT(" ",4)</f>
        <v/>
      </c>
      <c r="AC2393" s="10">
        <f>LEFT(UPPER(H2393)&amp;REPT(" ",250),250)</f>
        <v/>
      </c>
      <c r="AD2393" s="10">
        <f>TEXT($G$2,"dd/mm/aaaa")</f>
        <v/>
      </c>
      <c r="AE2393" s="10">
        <f>REPT(" ",10)</f>
        <v/>
      </c>
      <c r="AF2393" s="10">
        <f>REPT(" ",20)</f>
        <v/>
      </c>
      <c r="AG2393" s="54">
        <f>REPT(" ",18-LEN(FIXED(F2393,2,TRUE)))&amp;FIXED(F2393,2,TRUE)</f>
        <v/>
      </c>
      <c r="AH2393" s="10">
        <f>LEN(AC2393)+LEN(AG2393)</f>
        <v/>
      </c>
      <c r="AI2393" s="10">
        <f>LEN(L2393)</f>
        <v/>
      </c>
    </row>
    <row r="2394">
      <c r="J2394" s="12">
        <f>IF(F2394&lt;&gt;0,"LANÇAR","")</f>
        <v/>
      </c>
      <c r="L2394" s="13">
        <f>N2394&amp;O2394&amp;P2394&amp;Q2394&amp;R2394&amp;S2394&amp;T2394&amp;U2394&amp;V2394&amp;W2394&amp;X2394&amp;Y2394&amp;Z2394&amp;AA2394&amp;AB2394&amp;AC2394&amp;AD2394&amp;AE2394&amp;AF2394&amp;AG2394</f>
        <v/>
      </c>
      <c r="N2394" s="10">
        <f>TEXT($B$6,"00")</f>
        <v/>
      </c>
      <c r="O2394" s="10">
        <f>REPT(" ",8)</f>
        <v/>
      </c>
      <c r="P2394" s="10">
        <f>RIGHT($B$4,2)</f>
        <v/>
      </c>
      <c r="Q2394" s="10">
        <f>RIGHT($B$5,3)</f>
        <v/>
      </c>
      <c r="R2394" s="10">
        <f>IF(A2394="D",LEFT(UPPER(B2394)&amp;REPT(" ",20),20),REPT(" ",20))</f>
        <v/>
      </c>
      <c r="S2394" s="10">
        <f>IF(A2394="D",LEFT(UPPER(C2394)&amp;REPT(" ",10),10)," ")</f>
        <v/>
      </c>
      <c r="T2394" s="10">
        <f>IF(A2394="D",LEFT(UPPER(D2394)&amp;REPT(" ",2),2)," ")</f>
        <v/>
      </c>
      <c r="U2394" s="10">
        <f>IF(A2394="D",LEFT(UPPER(E2394)&amp;REPT(" ",15),15)," ")</f>
        <v/>
      </c>
      <c r="V2394" s="10">
        <f>REPT(" ",24)</f>
        <v/>
      </c>
      <c r="W2394" s="10">
        <f>IF(A2394="c",LEFT(UPPER(B2394)&amp;REPT(" ",20),20),REPT(" ",20))</f>
        <v/>
      </c>
      <c r="X2394" s="10">
        <f>IF(A2394="C",LEFT(UPPER(C2394)&amp;REPT(" ",10),10)," ")</f>
        <v/>
      </c>
      <c r="Y2394" s="10">
        <f>IF(A2394="C",LEFT(UPPER(D2394)&amp;REPT(" ",2),2)," ")</f>
        <v/>
      </c>
      <c r="Z2394" s="10">
        <f>IF(A2394="C",LEFT(UPPER(E2394)&amp;REPT(" ",15),15)," ")</f>
        <v/>
      </c>
      <c r="AA2394" s="10">
        <f>REPT(" ",8)</f>
        <v/>
      </c>
      <c r="AB2394" s="10">
        <f>REPT(" ",4)</f>
        <v/>
      </c>
      <c r="AC2394" s="10">
        <f>LEFT(UPPER(H2394)&amp;REPT(" ",250),250)</f>
        <v/>
      </c>
      <c r="AD2394" s="10">
        <f>TEXT($G$2,"dd/mm/aaaa")</f>
        <v/>
      </c>
      <c r="AE2394" s="10">
        <f>REPT(" ",10)</f>
        <v/>
      </c>
      <c r="AF2394" s="10">
        <f>REPT(" ",20)</f>
        <v/>
      </c>
      <c r="AG2394" s="54">
        <f>REPT(" ",18-LEN(FIXED(F2394,2,TRUE)))&amp;FIXED(F2394,2,TRUE)</f>
        <v/>
      </c>
      <c r="AH2394" s="10">
        <f>LEN(AC2394)+LEN(AG2394)</f>
        <v/>
      </c>
      <c r="AI2394" s="10">
        <f>LEN(L2394)</f>
        <v/>
      </c>
    </row>
    <row r="2395">
      <c r="J2395" s="12">
        <f>IF(F2395&lt;&gt;0,"LANÇAR","")</f>
        <v/>
      </c>
      <c r="L2395" s="13">
        <f>N2395&amp;O2395&amp;P2395&amp;Q2395&amp;R2395&amp;S2395&amp;T2395&amp;U2395&amp;V2395&amp;W2395&amp;X2395&amp;Y2395&amp;Z2395&amp;AA2395&amp;AB2395&amp;AC2395&amp;AD2395&amp;AE2395&amp;AF2395&amp;AG2395</f>
        <v/>
      </c>
      <c r="N2395" s="10">
        <f>TEXT($B$6,"00")</f>
        <v/>
      </c>
      <c r="O2395" s="10">
        <f>REPT(" ",8)</f>
        <v/>
      </c>
      <c r="P2395" s="10">
        <f>RIGHT($B$4,2)</f>
        <v/>
      </c>
      <c r="Q2395" s="10">
        <f>RIGHT($B$5,3)</f>
        <v/>
      </c>
      <c r="R2395" s="10">
        <f>IF(A2395="D",LEFT(UPPER(B2395)&amp;REPT(" ",20),20),REPT(" ",20))</f>
        <v/>
      </c>
      <c r="S2395" s="10">
        <f>IF(A2395="D",LEFT(UPPER(C2395)&amp;REPT(" ",10),10)," ")</f>
        <v/>
      </c>
      <c r="T2395" s="10">
        <f>IF(A2395="D",LEFT(UPPER(D2395)&amp;REPT(" ",2),2)," ")</f>
        <v/>
      </c>
      <c r="U2395" s="10">
        <f>IF(A2395="D",LEFT(UPPER(E2395)&amp;REPT(" ",15),15)," ")</f>
        <v/>
      </c>
      <c r="V2395" s="10">
        <f>REPT(" ",24)</f>
        <v/>
      </c>
      <c r="W2395" s="10">
        <f>IF(A2395="c",LEFT(UPPER(B2395)&amp;REPT(" ",20),20),REPT(" ",20))</f>
        <v/>
      </c>
      <c r="X2395" s="10">
        <f>IF(A2395="C",LEFT(UPPER(C2395)&amp;REPT(" ",10),10)," ")</f>
        <v/>
      </c>
      <c r="Y2395" s="10">
        <f>IF(A2395="C",LEFT(UPPER(D2395)&amp;REPT(" ",2),2)," ")</f>
        <v/>
      </c>
      <c r="Z2395" s="10">
        <f>IF(A2395="C",LEFT(UPPER(E2395)&amp;REPT(" ",15),15)," ")</f>
        <v/>
      </c>
      <c r="AA2395" s="10">
        <f>REPT(" ",8)</f>
        <v/>
      </c>
      <c r="AB2395" s="10">
        <f>REPT(" ",4)</f>
        <v/>
      </c>
      <c r="AC2395" s="10">
        <f>LEFT(UPPER(H2395)&amp;REPT(" ",250),250)</f>
        <v/>
      </c>
      <c r="AD2395" s="10">
        <f>TEXT($G$2,"dd/mm/aaaa")</f>
        <v/>
      </c>
      <c r="AE2395" s="10">
        <f>REPT(" ",10)</f>
        <v/>
      </c>
      <c r="AF2395" s="10">
        <f>REPT(" ",20)</f>
        <v/>
      </c>
      <c r="AG2395" s="54">
        <f>REPT(" ",18-LEN(FIXED(F2395,2,TRUE)))&amp;FIXED(F2395,2,TRUE)</f>
        <v/>
      </c>
      <c r="AH2395" s="10">
        <f>LEN(AC2395)+LEN(AG2395)</f>
        <v/>
      </c>
      <c r="AI2395" s="10">
        <f>LEN(L2395)</f>
        <v/>
      </c>
    </row>
    <row r="2396">
      <c r="J2396" s="12">
        <f>IF(F2396&lt;&gt;0,"LANÇAR","")</f>
        <v/>
      </c>
      <c r="L2396" s="13">
        <f>N2396&amp;O2396&amp;P2396&amp;Q2396&amp;R2396&amp;S2396&amp;T2396&amp;U2396&amp;V2396&amp;W2396&amp;X2396&amp;Y2396&amp;Z2396&amp;AA2396&amp;AB2396&amp;AC2396&amp;AD2396&amp;AE2396&amp;AF2396&amp;AG2396</f>
        <v/>
      </c>
      <c r="N2396" s="10">
        <f>TEXT($B$6,"00")</f>
        <v/>
      </c>
      <c r="O2396" s="10">
        <f>REPT(" ",8)</f>
        <v/>
      </c>
      <c r="P2396" s="10">
        <f>RIGHT($B$4,2)</f>
        <v/>
      </c>
      <c r="Q2396" s="10">
        <f>RIGHT($B$5,3)</f>
        <v/>
      </c>
      <c r="R2396" s="10">
        <f>IF(A2396="D",LEFT(UPPER(B2396)&amp;REPT(" ",20),20),REPT(" ",20))</f>
        <v/>
      </c>
      <c r="S2396" s="10">
        <f>IF(A2396="D",LEFT(UPPER(C2396)&amp;REPT(" ",10),10)," ")</f>
        <v/>
      </c>
      <c r="T2396" s="10">
        <f>IF(A2396="D",LEFT(UPPER(D2396)&amp;REPT(" ",2),2)," ")</f>
        <v/>
      </c>
      <c r="U2396" s="10">
        <f>IF(A2396="D",LEFT(UPPER(E2396)&amp;REPT(" ",15),15)," ")</f>
        <v/>
      </c>
      <c r="V2396" s="10">
        <f>REPT(" ",24)</f>
        <v/>
      </c>
      <c r="W2396" s="10">
        <f>IF(A2396="c",LEFT(UPPER(B2396)&amp;REPT(" ",20),20),REPT(" ",20))</f>
        <v/>
      </c>
      <c r="X2396" s="10">
        <f>IF(A2396="C",LEFT(UPPER(C2396)&amp;REPT(" ",10),10)," ")</f>
        <v/>
      </c>
      <c r="Y2396" s="10">
        <f>IF(A2396="C",LEFT(UPPER(D2396)&amp;REPT(" ",2),2)," ")</f>
        <v/>
      </c>
      <c r="Z2396" s="10">
        <f>IF(A2396="C",LEFT(UPPER(E2396)&amp;REPT(" ",15),15)," ")</f>
        <v/>
      </c>
      <c r="AA2396" s="10">
        <f>REPT(" ",8)</f>
        <v/>
      </c>
      <c r="AB2396" s="10">
        <f>REPT(" ",4)</f>
        <v/>
      </c>
      <c r="AC2396" s="10">
        <f>LEFT(UPPER(H2396)&amp;REPT(" ",250),250)</f>
        <v/>
      </c>
      <c r="AD2396" s="10">
        <f>TEXT($G$2,"dd/mm/aaaa")</f>
        <v/>
      </c>
      <c r="AE2396" s="10">
        <f>REPT(" ",10)</f>
        <v/>
      </c>
      <c r="AF2396" s="10">
        <f>REPT(" ",20)</f>
        <v/>
      </c>
      <c r="AG2396" s="54">
        <f>REPT(" ",18-LEN(FIXED(F2396,2,TRUE)))&amp;FIXED(F2396,2,TRUE)</f>
        <v/>
      </c>
      <c r="AH2396" s="10">
        <f>LEN(AC2396)+LEN(AG2396)</f>
        <v/>
      </c>
      <c r="AI2396" s="10">
        <f>LEN(L2396)</f>
        <v/>
      </c>
    </row>
    <row r="2397">
      <c r="J2397" s="12">
        <f>IF(F2397&lt;&gt;0,"LANÇAR","")</f>
        <v/>
      </c>
      <c r="L2397" s="13">
        <f>N2397&amp;O2397&amp;P2397&amp;Q2397&amp;R2397&amp;S2397&amp;T2397&amp;U2397&amp;V2397&amp;W2397&amp;X2397&amp;Y2397&amp;Z2397&amp;AA2397&amp;AB2397&amp;AC2397&amp;AD2397&amp;AE2397&amp;AF2397&amp;AG2397</f>
        <v/>
      </c>
      <c r="N2397" s="10">
        <f>TEXT($B$6,"00")</f>
        <v/>
      </c>
      <c r="O2397" s="10">
        <f>REPT(" ",8)</f>
        <v/>
      </c>
      <c r="P2397" s="10">
        <f>RIGHT($B$4,2)</f>
        <v/>
      </c>
      <c r="Q2397" s="10">
        <f>RIGHT($B$5,3)</f>
        <v/>
      </c>
      <c r="R2397" s="10">
        <f>IF(A2397="D",LEFT(UPPER(B2397)&amp;REPT(" ",20),20),REPT(" ",20))</f>
        <v/>
      </c>
      <c r="S2397" s="10">
        <f>IF(A2397="D",LEFT(UPPER(C2397)&amp;REPT(" ",10),10)," ")</f>
        <v/>
      </c>
      <c r="T2397" s="10">
        <f>IF(A2397="D",LEFT(UPPER(D2397)&amp;REPT(" ",2),2)," ")</f>
        <v/>
      </c>
      <c r="U2397" s="10">
        <f>IF(A2397="D",LEFT(UPPER(E2397)&amp;REPT(" ",15),15)," ")</f>
        <v/>
      </c>
      <c r="V2397" s="10">
        <f>REPT(" ",24)</f>
        <v/>
      </c>
      <c r="W2397" s="10">
        <f>IF(A2397="c",LEFT(UPPER(B2397)&amp;REPT(" ",20),20),REPT(" ",20))</f>
        <v/>
      </c>
      <c r="X2397" s="10">
        <f>IF(A2397="C",LEFT(UPPER(C2397)&amp;REPT(" ",10),10)," ")</f>
        <v/>
      </c>
      <c r="Y2397" s="10">
        <f>IF(A2397="C",LEFT(UPPER(D2397)&amp;REPT(" ",2),2)," ")</f>
        <v/>
      </c>
      <c r="Z2397" s="10">
        <f>IF(A2397="C",LEFT(UPPER(E2397)&amp;REPT(" ",15),15)," ")</f>
        <v/>
      </c>
      <c r="AA2397" s="10">
        <f>REPT(" ",8)</f>
        <v/>
      </c>
      <c r="AB2397" s="10">
        <f>REPT(" ",4)</f>
        <v/>
      </c>
      <c r="AC2397" s="10">
        <f>LEFT(UPPER(H2397)&amp;REPT(" ",250),250)</f>
        <v/>
      </c>
      <c r="AD2397" s="10">
        <f>TEXT($G$2,"dd/mm/aaaa")</f>
        <v/>
      </c>
      <c r="AE2397" s="10">
        <f>REPT(" ",10)</f>
        <v/>
      </c>
      <c r="AF2397" s="10">
        <f>REPT(" ",20)</f>
        <v/>
      </c>
      <c r="AG2397" s="54">
        <f>REPT(" ",18-LEN(FIXED(F2397,2,TRUE)))&amp;FIXED(F2397,2,TRUE)</f>
        <v/>
      </c>
      <c r="AH2397" s="10">
        <f>LEN(AC2397)+LEN(AG2397)</f>
        <v/>
      </c>
      <c r="AI2397" s="10">
        <f>LEN(L2397)</f>
        <v/>
      </c>
    </row>
    <row r="2398">
      <c r="J2398" s="12">
        <f>IF(F2398&lt;&gt;0,"LANÇAR","")</f>
        <v/>
      </c>
      <c r="L2398" s="13">
        <f>N2398&amp;O2398&amp;P2398&amp;Q2398&amp;R2398&amp;S2398&amp;T2398&amp;U2398&amp;V2398&amp;W2398&amp;X2398&amp;Y2398&amp;Z2398&amp;AA2398&amp;AB2398&amp;AC2398&amp;AD2398&amp;AE2398&amp;AF2398&amp;AG2398</f>
        <v/>
      </c>
      <c r="N2398" s="10">
        <f>TEXT($B$6,"00")</f>
        <v/>
      </c>
      <c r="O2398" s="10">
        <f>REPT(" ",8)</f>
        <v/>
      </c>
      <c r="P2398" s="10">
        <f>RIGHT($B$4,2)</f>
        <v/>
      </c>
      <c r="Q2398" s="10">
        <f>RIGHT($B$5,3)</f>
        <v/>
      </c>
      <c r="R2398" s="10">
        <f>IF(A2398="D",LEFT(UPPER(B2398)&amp;REPT(" ",20),20),REPT(" ",20))</f>
        <v/>
      </c>
      <c r="S2398" s="10">
        <f>IF(A2398="D",LEFT(UPPER(C2398)&amp;REPT(" ",10),10)," ")</f>
        <v/>
      </c>
      <c r="T2398" s="10">
        <f>IF(A2398="D",LEFT(UPPER(D2398)&amp;REPT(" ",2),2)," ")</f>
        <v/>
      </c>
      <c r="U2398" s="10">
        <f>IF(A2398="D",LEFT(UPPER(E2398)&amp;REPT(" ",15),15)," ")</f>
        <v/>
      </c>
      <c r="V2398" s="10">
        <f>REPT(" ",24)</f>
        <v/>
      </c>
      <c r="W2398" s="10">
        <f>IF(A2398="c",LEFT(UPPER(B2398)&amp;REPT(" ",20),20),REPT(" ",20))</f>
        <v/>
      </c>
      <c r="X2398" s="10">
        <f>IF(A2398="C",LEFT(UPPER(C2398)&amp;REPT(" ",10),10)," ")</f>
        <v/>
      </c>
      <c r="Y2398" s="10">
        <f>IF(A2398="C",LEFT(UPPER(D2398)&amp;REPT(" ",2),2)," ")</f>
        <v/>
      </c>
      <c r="Z2398" s="10">
        <f>IF(A2398="C",LEFT(UPPER(E2398)&amp;REPT(" ",15),15)," ")</f>
        <v/>
      </c>
      <c r="AA2398" s="10">
        <f>REPT(" ",8)</f>
        <v/>
      </c>
      <c r="AB2398" s="10">
        <f>REPT(" ",4)</f>
        <v/>
      </c>
      <c r="AC2398" s="10">
        <f>LEFT(UPPER(H2398)&amp;REPT(" ",250),250)</f>
        <v/>
      </c>
      <c r="AD2398" s="10">
        <f>TEXT($G$2,"dd/mm/aaaa")</f>
        <v/>
      </c>
      <c r="AE2398" s="10">
        <f>REPT(" ",10)</f>
        <v/>
      </c>
      <c r="AF2398" s="10">
        <f>REPT(" ",20)</f>
        <v/>
      </c>
      <c r="AG2398" s="54">
        <f>REPT(" ",18-LEN(FIXED(F2398,2,TRUE)))&amp;FIXED(F2398,2,TRUE)</f>
        <v/>
      </c>
      <c r="AH2398" s="10">
        <f>LEN(AC2398)+LEN(AG2398)</f>
        <v/>
      </c>
      <c r="AI2398" s="10">
        <f>LEN(L2398)</f>
        <v/>
      </c>
    </row>
    <row r="2399">
      <c r="J2399" s="12">
        <f>IF(F2399&lt;&gt;0,"LANÇAR","")</f>
        <v/>
      </c>
      <c r="L2399" s="13">
        <f>N2399&amp;O2399&amp;P2399&amp;Q2399&amp;R2399&amp;S2399&amp;T2399&amp;U2399&amp;V2399&amp;W2399&amp;X2399&amp;Y2399&amp;Z2399&amp;AA2399&amp;AB2399&amp;AC2399&amp;AD2399&amp;AE2399&amp;AF2399&amp;AG2399</f>
        <v/>
      </c>
      <c r="N2399" s="10">
        <f>TEXT($B$6,"00")</f>
        <v/>
      </c>
      <c r="O2399" s="10">
        <f>REPT(" ",8)</f>
        <v/>
      </c>
      <c r="P2399" s="10">
        <f>RIGHT($B$4,2)</f>
        <v/>
      </c>
      <c r="Q2399" s="10">
        <f>RIGHT($B$5,3)</f>
        <v/>
      </c>
      <c r="R2399" s="10">
        <f>IF(A2399="D",LEFT(UPPER(B2399)&amp;REPT(" ",20),20),REPT(" ",20))</f>
        <v/>
      </c>
      <c r="S2399" s="10">
        <f>IF(A2399="D",LEFT(UPPER(C2399)&amp;REPT(" ",10),10)," ")</f>
        <v/>
      </c>
      <c r="T2399" s="10">
        <f>IF(A2399="D",LEFT(UPPER(D2399)&amp;REPT(" ",2),2)," ")</f>
        <v/>
      </c>
      <c r="U2399" s="10">
        <f>IF(A2399="D",LEFT(UPPER(E2399)&amp;REPT(" ",15),15)," ")</f>
        <v/>
      </c>
      <c r="V2399" s="10">
        <f>REPT(" ",24)</f>
        <v/>
      </c>
      <c r="W2399" s="10">
        <f>IF(A2399="c",LEFT(UPPER(B2399)&amp;REPT(" ",20),20),REPT(" ",20))</f>
        <v/>
      </c>
      <c r="X2399" s="10">
        <f>IF(A2399="C",LEFT(UPPER(C2399)&amp;REPT(" ",10),10)," ")</f>
        <v/>
      </c>
      <c r="Y2399" s="10">
        <f>IF(A2399="C",LEFT(UPPER(D2399)&amp;REPT(" ",2),2)," ")</f>
        <v/>
      </c>
      <c r="Z2399" s="10">
        <f>IF(A2399="C",LEFT(UPPER(E2399)&amp;REPT(" ",15),15)," ")</f>
        <v/>
      </c>
      <c r="AA2399" s="10">
        <f>REPT(" ",8)</f>
        <v/>
      </c>
      <c r="AB2399" s="10">
        <f>REPT(" ",4)</f>
        <v/>
      </c>
      <c r="AC2399" s="10">
        <f>LEFT(UPPER(H2399)&amp;REPT(" ",250),250)</f>
        <v/>
      </c>
      <c r="AD2399" s="10">
        <f>TEXT($G$2,"dd/mm/aaaa")</f>
        <v/>
      </c>
      <c r="AE2399" s="10">
        <f>REPT(" ",10)</f>
        <v/>
      </c>
      <c r="AF2399" s="10">
        <f>REPT(" ",20)</f>
        <v/>
      </c>
      <c r="AG2399" s="54">
        <f>REPT(" ",18-LEN(FIXED(F2399,2,TRUE)))&amp;FIXED(F2399,2,TRUE)</f>
        <v/>
      </c>
      <c r="AH2399" s="10">
        <f>LEN(AC2399)+LEN(AG2399)</f>
        <v/>
      </c>
      <c r="AI2399" s="10">
        <f>LEN(L2399)</f>
        <v/>
      </c>
    </row>
    <row r="2400">
      <c r="J2400" s="12">
        <f>IF(F2400&lt;&gt;0,"LANÇAR","")</f>
        <v/>
      </c>
      <c r="L2400" s="13">
        <f>N2400&amp;O2400&amp;P2400&amp;Q2400&amp;R2400&amp;S2400&amp;T2400&amp;U2400&amp;V2400&amp;W2400&amp;X2400&amp;Y2400&amp;Z2400&amp;AA2400&amp;AB2400&amp;AC2400&amp;AD2400&amp;AE2400&amp;AF2400&amp;AG2400</f>
        <v/>
      </c>
      <c r="N2400" s="10">
        <f>TEXT($B$6,"00")</f>
        <v/>
      </c>
      <c r="O2400" s="10">
        <f>REPT(" ",8)</f>
        <v/>
      </c>
      <c r="P2400" s="10">
        <f>RIGHT($B$4,2)</f>
        <v/>
      </c>
      <c r="Q2400" s="10">
        <f>RIGHT($B$5,3)</f>
        <v/>
      </c>
      <c r="R2400" s="10">
        <f>IF(A2400="D",LEFT(UPPER(B2400)&amp;REPT(" ",20),20),REPT(" ",20))</f>
        <v/>
      </c>
      <c r="S2400" s="10">
        <f>IF(A2400="D",LEFT(UPPER(C2400)&amp;REPT(" ",10),10)," ")</f>
        <v/>
      </c>
      <c r="T2400" s="10">
        <f>IF(A2400="D",LEFT(UPPER(D2400)&amp;REPT(" ",2),2)," ")</f>
        <v/>
      </c>
      <c r="U2400" s="10">
        <f>IF(A2400="D",LEFT(UPPER(E2400)&amp;REPT(" ",15),15)," ")</f>
        <v/>
      </c>
      <c r="V2400" s="10">
        <f>REPT(" ",24)</f>
        <v/>
      </c>
      <c r="W2400" s="10">
        <f>IF(A2400="c",LEFT(UPPER(B2400)&amp;REPT(" ",20),20),REPT(" ",20))</f>
        <v/>
      </c>
      <c r="X2400" s="10">
        <f>IF(A2400="C",LEFT(UPPER(C2400)&amp;REPT(" ",10),10)," ")</f>
        <v/>
      </c>
      <c r="Y2400" s="10">
        <f>IF(A2400="C",LEFT(UPPER(D2400)&amp;REPT(" ",2),2)," ")</f>
        <v/>
      </c>
      <c r="Z2400" s="10">
        <f>IF(A2400="C",LEFT(UPPER(E2400)&amp;REPT(" ",15),15)," ")</f>
        <v/>
      </c>
      <c r="AA2400" s="10">
        <f>REPT(" ",8)</f>
        <v/>
      </c>
      <c r="AB2400" s="10">
        <f>REPT(" ",4)</f>
        <v/>
      </c>
      <c r="AC2400" s="10">
        <f>LEFT(UPPER(H2400)&amp;REPT(" ",250),250)</f>
        <v/>
      </c>
      <c r="AD2400" s="10">
        <f>TEXT($G$2,"dd/mm/aaaa")</f>
        <v/>
      </c>
      <c r="AE2400" s="10">
        <f>REPT(" ",10)</f>
        <v/>
      </c>
      <c r="AF2400" s="10">
        <f>REPT(" ",20)</f>
        <v/>
      </c>
      <c r="AG2400" s="54">
        <f>REPT(" ",18-LEN(FIXED(F2400,2,TRUE)))&amp;FIXED(F2400,2,TRUE)</f>
        <v/>
      </c>
      <c r="AH2400" s="10">
        <f>LEN(AC2400)+LEN(AG2400)</f>
        <v/>
      </c>
      <c r="AI2400" s="10">
        <f>LEN(L2400)</f>
        <v/>
      </c>
    </row>
    <row r="2401">
      <c r="J2401" s="12">
        <f>IF(F2401&lt;&gt;0,"LANÇAR","")</f>
        <v/>
      </c>
      <c r="L2401" s="13">
        <f>N2401&amp;O2401&amp;P2401&amp;Q2401&amp;R2401&amp;S2401&amp;T2401&amp;U2401&amp;V2401&amp;W2401&amp;X2401&amp;Y2401&amp;Z2401&amp;AA2401&amp;AB2401&amp;AC2401&amp;AD2401&amp;AE2401&amp;AF2401&amp;AG2401</f>
        <v/>
      </c>
      <c r="N2401" s="10">
        <f>TEXT($B$6,"00")</f>
        <v/>
      </c>
      <c r="O2401" s="10">
        <f>REPT(" ",8)</f>
        <v/>
      </c>
      <c r="P2401" s="10">
        <f>RIGHT($B$4,2)</f>
        <v/>
      </c>
      <c r="Q2401" s="10">
        <f>RIGHT($B$5,3)</f>
        <v/>
      </c>
      <c r="R2401" s="10">
        <f>IF(A2401="D",LEFT(UPPER(B2401)&amp;REPT(" ",20),20),REPT(" ",20))</f>
        <v/>
      </c>
      <c r="S2401" s="10">
        <f>IF(A2401="D",LEFT(UPPER(C2401)&amp;REPT(" ",10),10)," ")</f>
        <v/>
      </c>
      <c r="T2401" s="10">
        <f>IF(A2401="D",LEFT(UPPER(D2401)&amp;REPT(" ",2),2)," ")</f>
        <v/>
      </c>
      <c r="U2401" s="10">
        <f>IF(A2401="D",LEFT(UPPER(E2401)&amp;REPT(" ",15),15)," ")</f>
        <v/>
      </c>
      <c r="V2401" s="10">
        <f>REPT(" ",24)</f>
        <v/>
      </c>
      <c r="W2401" s="10">
        <f>IF(A2401="c",LEFT(UPPER(B2401)&amp;REPT(" ",20),20),REPT(" ",20))</f>
        <v/>
      </c>
      <c r="X2401" s="10">
        <f>IF(A2401="C",LEFT(UPPER(C2401)&amp;REPT(" ",10),10)," ")</f>
        <v/>
      </c>
      <c r="Y2401" s="10">
        <f>IF(A2401="C",LEFT(UPPER(D2401)&amp;REPT(" ",2),2)," ")</f>
        <v/>
      </c>
      <c r="Z2401" s="10">
        <f>IF(A2401="C",LEFT(UPPER(E2401)&amp;REPT(" ",15),15)," ")</f>
        <v/>
      </c>
      <c r="AA2401" s="10">
        <f>REPT(" ",8)</f>
        <v/>
      </c>
      <c r="AB2401" s="10">
        <f>REPT(" ",4)</f>
        <v/>
      </c>
      <c r="AC2401" s="10">
        <f>LEFT(UPPER(H2401)&amp;REPT(" ",250),250)</f>
        <v/>
      </c>
      <c r="AD2401" s="10">
        <f>TEXT($G$2,"dd/mm/aaaa")</f>
        <v/>
      </c>
      <c r="AE2401" s="10">
        <f>REPT(" ",10)</f>
        <v/>
      </c>
      <c r="AF2401" s="10">
        <f>REPT(" ",20)</f>
        <v/>
      </c>
      <c r="AG2401" s="54">
        <f>REPT(" ",18-LEN(FIXED(F2401,2,TRUE)))&amp;FIXED(F2401,2,TRUE)</f>
        <v/>
      </c>
      <c r="AH2401" s="10">
        <f>LEN(AC2401)+LEN(AG2401)</f>
        <v/>
      </c>
      <c r="AI2401" s="10">
        <f>LEN(L2401)</f>
        <v/>
      </c>
    </row>
    <row r="2402">
      <c r="J2402" s="12">
        <f>IF(F2402&lt;&gt;0,"LANÇAR","")</f>
        <v/>
      </c>
      <c r="L2402" s="13">
        <f>N2402&amp;O2402&amp;P2402&amp;Q2402&amp;R2402&amp;S2402&amp;T2402&amp;U2402&amp;V2402&amp;W2402&amp;X2402&amp;Y2402&amp;Z2402&amp;AA2402&amp;AB2402&amp;AC2402&amp;AD2402&amp;AE2402&amp;AF2402&amp;AG2402</f>
        <v/>
      </c>
      <c r="N2402" s="10">
        <f>TEXT($B$6,"00")</f>
        <v/>
      </c>
      <c r="O2402" s="10">
        <f>REPT(" ",8)</f>
        <v/>
      </c>
      <c r="P2402" s="10">
        <f>RIGHT($B$4,2)</f>
        <v/>
      </c>
      <c r="Q2402" s="10">
        <f>RIGHT($B$5,3)</f>
        <v/>
      </c>
      <c r="R2402" s="10">
        <f>IF(A2402="D",LEFT(UPPER(B2402)&amp;REPT(" ",20),20),REPT(" ",20))</f>
        <v/>
      </c>
      <c r="S2402" s="10">
        <f>IF(A2402="D",LEFT(UPPER(C2402)&amp;REPT(" ",10),10)," ")</f>
        <v/>
      </c>
      <c r="T2402" s="10">
        <f>IF(A2402="D",LEFT(UPPER(D2402)&amp;REPT(" ",2),2)," ")</f>
        <v/>
      </c>
      <c r="U2402" s="10">
        <f>IF(A2402="D",LEFT(UPPER(E2402)&amp;REPT(" ",15),15)," ")</f>
        <v/>
      </c>
      <c r="V2402" s="10">
        <f>REPT(" ",24)</f>
        <v/>
      </c>
      <c r="W2402" s="10">
        <f>IF(A2402="c",LEFT(UPPER(B2402)&amp;REPT(" ",20),20),REPT(" ",20))</f>
        <v/>
      </c>
      <c r="X2402" s="10">
        <f>IF(A2402="C",LEFT(UPPER(C2402)&amp;REPT(" ",10),10)," ")</f>
        <v/>
      </c>
      <c r="Y2402" s="10">
        <f>IF(A2402="C",LEFT(UPPER(D2402)&amp;REPT(" ",2),2)," ")</f>
        <v/>
      </c>
      <c r="Z2402" s="10">
        <f>IF(A2402="C",LEFT(UPPER(E2402)&amp;REPT(" ",15),15)," ")</f>
        <v/>
      </c>
      <c r="AA2402" s="10">
        <f>REPT(" ",8)</f>
        <v/>
      </c>
      <c r="AB2402" s="10">
        <f>REPT(" ",4)</f>
        <v/>
      </c>
      <c r="AC2402" s="10">
        <f>LEFT(UPPER(H2402)&amp;REPT(" ",250),250)</f>
        <v/>
      </c>
      <c r="AD2402" s="10">
        <f>TEXT($G$2,"dd/mm/aaaa")</f>
        <v/>
      </c>
      <c r="AE2402" s="10">
        <f>REPT(" ",10)</f>
        <v/>
      </c>
      <c r="AF2402" s="10">
        <f>REPT(" ",20)</f>
        <v/>
      </c>
      <c r="AG2402" s="54">
        <f>REPT(" ",18-LEN(FIXED(F2402,2,TRUE)))&amp;FIXED(F2402,2,TRUE)</f>
        <v/>
      </c>
      <c r="AH2402" s="10">
        <f>LEN(AC2402)+LEN(AG2402)</f>
        <v/>
      </c>
      <c r="AI2402" s="10">
        <f>LEN(L2402)</f>
        <v/>
      </c>
    </row>
    <row r="2403">
      <c r="J2403" s="12">
        <f>IF(F2403&lt;&gt;0,"LANÇAR","")</f>
        <v/>
      </c>
      <c r="L2403" s="13">
        <f>N2403&amp;O2403&amp;P2403&amp;Q2403&amp;R2403&amp;S2403&amp;T2403&amp;U2403&amp;V2403&amp;W2403&amp;X2403&amp;Y2403&amp;Z2403&amp;AA2403&amp;AB2403&amp;AC2403&amp;AD2403&amp;AE2403&amp;AF2403&amp;AG2403</f>
        <v/>
      </c>
      <c r="N2403" s="10">
        <f>TEXT($B$6,"00")</f>
        <v/>
      </c>
      <c r="O2403" s="10">
        <f>REPT(" ",8)</f>
        <v/>
      </c>
      <c r="P2403" s="10">
        <f>RIGHT($B$4,2)</f>
        <v/>
      </c>
      <c r="Q2403" s="10">
        <f>RIGHT($B$5,3)</f>
        <v/>
      </c>
      <c r="R2403" s="10">
        <f>IF(A2403="D",LEFT(UPPER(B2403)&amp;REPT(" ",20),20),REPT(" ",20))</f>
        <v/>
      </c>
      <c r="S2403" s="10">
        <f>IF(A2403="D",LEFT(UPPER(C2403)&amp;REPT(" ",10),10)," ")</f>
        <v/>
      </c>
      <c r="T2403" s="10">
        <f>IF(A2403="D",LEFT(UPPER(D2403)&amp;REPT(" ",2),2)," ")</f>
        <v/>
      </c>
      <c r="U2403" s="10">
        <f>IF(A2403="D",LEFT(UPPER(E2403)&amp;REPT(" ",15),15)," ")</f>
        <v/>
      </c>
      <c r="V2403" s="10">
        <f>REPT(" ",24)</f>
        <v/>
      </c>
      <c r="W2403" s="10">
        <f>IF(A2403="c",LEFT(UPPER(B2403)&amp;REPT(" ",20),20),REPT(" ",20))</f>
        <v/>
      </c>
      <c r="X2403" s="10">
        <f>IF(A2403="C",LEFT(UPPER(C2403)&amp;REPT(" ",10),10)," ")</f>
        <v/>
      </c>
      <c r="Y2403" s="10">
        <f>IF(A2403="C",LEFT(UPPER(D2403)&amp;REPT(" ",2),2)," ")</f>
        <v/>
      </c>
      <c r="Z2403" s="10">
        <f>IF(A2403="C",LEFT(UPPER(E2403)&amp;REPT(" ",15),15)," ")</f>
        <v/>
      </c>
      <c r="AA2403" s="10">
        <f>REPT(" ",8)</f>
        <v/>
      </c>
      <c r="AB2403" s="10">
        <f>REPT(" ",4)</f>
        <v/>
      </c>
      <c r="AC2403" s="10">
        <f>LEFT(UPPER(H2403)&amp;REPT(" ",250),250)</f>
        <v/>
      </c>
      <c r="AD2403" s="10">
        <f>TEXT($G$2,"dd/mm/aaaa")</f>
        <v/>
      </c>
      <c r="AE2403" s="10">
        <f>REPT(" ",10)</f>
        <v/>
      </c>
      <c r="AF2403" s="10">
        <f>REPT(" ",20)</f>
        <v/>
      </c>
      <c r="AG2403" s="54">
        <f>REPT(" ",18-LEN(FIXED(F2403,2,TRUE)))&amp;FIXED(F2403,2,TRUE)</f>
        <v/>
      </c>
      <c r="AH2403" s="10">
        <f>LEN(AC2403)+LEN(AG2403)</f>
        <v/>
      </c>
      <c r="AI2403" s="10">
        <f>LEN(L2403)</f>
        <v/>
      </c>
    </row>
    <row r="2404">
      <c r="J2404" s="12">
        <f>IF(F2404&lt;&gt;0,"LANÇAR","")</f>
        <v/>
      </c>
      <c r="L2404" s="13">
        <f>N2404&amp;O2404&amp;P2404&amp;Q2404&amp;R2404&amp;S2404&amp;T2404&amp;U2404&amp;V2404&amp;W2404&amp;X2404&amp;Y2404&amp;Z2404&amp;AA2404&amp;AB2404&amp;AC2404&amp;AD2404&amp;AE2404&amp;AF2404&amp;AG2404</f>
        <v/>
      </c>
      <c r="N2404" s="10">
        <f>TEXT($B$6,"00")</f>
        <v/>
      </c>
      <c r="O2404" s="10">
        <f>REPT(" ",8)</f>
        <v/>
      </c>
      <c r="P2404" s="10">
        <f>RIGHT($B$4,2)</f>
        <v/>
      </c>
      <c r="Q2404" s="10">
        <f>RIGHT($B$5,3)</f>
        <v/>
      </c>
      <c r="R2404" s="10">
        <f>IF(A2404="D",LEFT(UPPER(B2404)&amp;REPT(" ",20),20),REPT(" ",20))</f>
        <v/>
      </c>
      <c r="S2404" s="10">
        <f>IF(A2404="D",LEFT(UPPER(C2404)&amp;REPT(" ",10),10)," ")</f>
        <v/>
      </c>
      <c r="T2404" s="10">
        <f>IF(A2404="D",LEFT(UPPER(D2404)&amp;REPT(" ",2),2)," ")</f>
        <v/>
      </c>
      <c r="U2404" s="10">
        <f>IF(A2404="D",LEFT(UPPER(E2404)&amp;REPT(" ",15),15)," ")</f>
        <v/>
      </c>
      <c r="V2404" s="10">
        <f>REPT(" ",24)</f>
        <v/>
      </c>
      <c r="W2404" s="10">
        <f>IF(A2404="c",LEFT(UPPER(B2404)&amp;REPT(" ",20),20),REPT(" ",20))</f>
        <v/>
      </c>
      <c r="X2404" s="10">
        <f>IF(A2404="C",LEFT(UPPER(C2404)&amp;REPT(" ",10),10)," ")</f>
        <v/>
      </c>
      <c r="Y2404" s="10">
        <f>IF(A2404="C",LEFT(UPPER(D2404)&amp;REPT(" ",2),2)," ")</f>
        <v/>
      </c>
      <c r="Z2404" s="10">
        <f>IF(A2404="C",LEFT(UPPER(E2404)&amp;REPT(" ",15),15)," ")</f>
        <v/>
      </c>
      <c r="AA2404" s="10">
        <f>REPT(" ",8)</f>
        <v/>
      </c>
      <c r="AB2404" s="10">
        <f>REPT(" ",4)</f>
        <v/>
      </c>
      <c r="AC2404" s="10">
        <f>LEFT(UPPER(H2404)&amp;REPT(" ",250),250)</f>
        <v/>
      </c>
      <c r="AD2404" s="10">
        <f>TEXT($G$2,"dd/mm/aaaa")</f>
        <v/>
      </c>
      <c r="AE2404" s="10">
        <f>REPT(" ",10)</f>
        <v/>
      </c>
      <c r="AF2404" s="10">
        <f>REPT(" ",20)</f>
        <v/>
      </c>
      <c r="AG2404" s="54">
        <f>REPT(" ",18-LEN(FIXED(F2404,2,TRUE)))&amp;FIXED(F2404,2,TRUE)</f>
        <v/>
      </c>
      <c r="AH2404" s="10">
        <f>LEN(AC2404)+LEN(AG2404)</f>
        <v/>
      </c>
      <c r="AI2404" s="10">
        <f>LEN(L2404)</f>
        <v/>
      </c>
    </row>
    <row r="2405">
      <c r="J2405" s="12">
        <f>IF(F2405&lt;&gt;0,"LANÇAR","")</f>
        <v/>
      </c>
      <c r="L2405" s="13">
        <f>N2405&amp;O2405&amp;P2405&amp;Q2405&amp;R2405&amp;S2405&amp;T2405&amp;U2405&amp;V2405&amp;W2405&amp;X2405&amp;Y2405&amp;Z2405&amp;AA2405&amp;AB2405&amp;AC2405&amp;AD2405&amp;AE2405&amp;AF2405&amp;AG2405</f>
        <v/>
      </c>
      <c r="N2405" s="10">
        <f>TEXT($B$6,"00")</f>
        <v/>
      </c>
      <c r="O2405" s="10">
        <f>REPT(" ",8)</f>
        <v/>
      </c>
      <c r="P2405" s="10">
        <f>RIGHT($B$4,2)</f>
        <v/>
      </c>
      <c r="Q2405" s="10">
        <f>RIGHT($B$5,3)</f>
        <v/>
      </c>
      <c r="R2405" s="10">
        <f>IF(A2405="D",LEFT(UPPER(B2405)&amp;REPT(" ",20),20),REPT(" ",20))</f>
        <v/>
      </c>
      <c r="S2405" s="10">
        <f>IF(A2405="D",LEFT(UPPER(C2405)&amp;REPT(" ",10),10)," ")</f>
        <v/>
      </c>
      <c r="T2405" s="10">
        <f>IF(A2405="D",LEFT(UPPER(D2405)&amp;REPT(" ",2),2)," ")</f>
        <v/>
      </c>
      <c r="U2405" s="10">
        <f>IF(A2405="D",LEFT(UPPER(E2405)&amp;REPT(" ",15),15)," ")</f>
        <v/>
      </c>
      <c r="V2405" s="10">
        <f>REPT(" ",24)</f>
        <v/>
      </c>
      <c r="W2405" s="10">
        <f>IF(A2405="c",LEFT(UPPER(B2405)&amp;REPT(" ",20),20),REPT(" ",20))</f>
        <v/>
      </c>
      <c r="X2405" s="10">
        <f>IF(A2405="C",LEFT(UPPER(C2405)&amp;REPT(" ",10),10)," ")</f>
        <v/>
      </c>
      <c r="Y2405" s="10">
        <f>IF(A2405="C",LEFT(UPPER(D2405)&amp;REPT(" ",2),2)," ")</f>
        <v/>
      </c>
      <c r="Z2405" s="10">
        <f>IF(A2405="C",LEFT(UPPER(E2405)&amp;REPT(" ",15),15)," ")</f>
        <v/>
      </c>
      <c r="AA2405" s="10">
        <f>REPT(" ",8)</f>
        <v/>
      </c>
      <c r="AB2405" s="10">
        <f>REPT(" ",4)</f>
        <v/>
      </c>
      <c r="AC2405" s="10">
        <f>LEFT(UPPER(H2405)&amp;REPT(" ",250),250)</f>
        <v/>
      </c>
      <c r="AD2405" s="10">
        <f>TEXT($G$2,"dd/mm/aaaa")</f>
        <v/>
      </c>
      <c r="AE2405" s="10">
        <f>REPT(" ",10)</f>
        <v/>
      </c>
      <c r="AF2405" s="10">
        <f>REPT(" ",20)</f>
        <v/>
      </c>
      <c r="AG2405" s="54">
        <f>REPT(" ",18-LEN(FIXED(F2405,2,TRUE)))&amp;FIXED(F2405,2,TRUE)</f>
        <v/>
      </c>
      <c r="AH2405" s="10">
        <f>LEN(AC2405)+LEN(AG2405)</f>
        <v/>
      </c>
      <c r="AI2405" s="10">
        <f>LEN(L2405)</f>
        <v/>
      </c>
    </row>
    <row r="2406">
      <c r="J2406" s="12">
        <f>IF(F2406&lt;&gt;0,"LANÇAR","")</f>
        <v/>
      </c>
      <c r="L2406" s="13">
        <f>N2406&amp;O2406&amp;P2406&amp;Q2406&amp;R2406&amp;S2406&amp;T2406&amp;U2406&amp;V2406&amp;W2406&amp;X2406&amp;Y2406&amp;Z2406&amp;AA2406&amp;AB2406&amp;AC2406&amp;AD2406&amp;AE2406&amp;AF2406&amp;AG2406</f>
        <v/>
      </c>
      <c r="N2406" s="10">
        <f>TEXT($B$6,"00")</f>
        <v/>
      </c>
      <c r="O2406" s="10">
        <f>REPT(" ",8)</f>
        <v/>
      </c>
      <c r="P2406" s="10">
        <f>RIGHT($B$4,2)</f>
        <v/>
      </c>
      <c r="Q2406" s="10">
        <f>RIGHT($B$5,3)</f>
        <v/>
      </c>
      <c r="R2406" s="10">
        <f>IF(A2406="D",LEFT(UPPER(B2406)&amp;REPT(" ",20),20),REPT(" ",20))</f>
        <v/>
      </c>
      <c r="S2406" s="10">
        <f>IF(A2406="D",LEFT(UPPER(C2406)&amp;REPT(" ",10),10)," ")</f>
        <v/>
      </c>
      <c r="T2406" s="10">
        <f>IF(A2406="D",LEFT(UPPER(D2406)&amp;REPT(" ",2),2)," ")</f>
        <v/>
      </c>
      <c r="U2406" s="10">
        <f>IF(A2406="D",LEFT(UPPER(E2406)&amp;REPT(" ",15),15)," ")</f>
        <v/>
      </c>
      <c r="V2406" s="10">
        <f>REPT(" ",24)</f>
        <v/>
      </c>
      <c r="W2406" s="10">
        <f>IF(A2406="c",LEFT(UPPER(B2406)&amp;REPT(" ",20),20),REPT(" ",20))</f>
        <v/>
      </c>
      <c r="X2406" s="10">
        <f>IF(A2406="C",LEFT(UPPER(C2406)&amp;REPT(" ",10),10)," ")</f>
        <v/>
      </c>
      <c r="Y2406" s="10">
        <f>IF(A2406="C",LEFT(UPPER(D2406)&amp;REPT(" ",2),2)," ")</f>
        <v/>
      </c>
      <c r="Z2406" s="10">
        <f>IF(A2406="C",LEFT(UPPER(E2406)&amp;REPT(" ",15),15)," ")</f>
        <v/>
      </c>
      <c r="AA2406" s="10">
        <f>REPT(" ",8)</f>
        <v/>
      </c>
      <c r="AB2406" s="10">
        <f>REPT(" ",4)</f>
        <v/>
      </c>
      <c r="AC2406" s="10">
        <f>LEFT(UPPER(H2406)&amp;REPT(" ",250),250)</f>
        <v/>
      </c>
      <c r="AD2406" s="10">
        <f>TEXT($G$2,"dd/mm/aaaa")</f>
        <v/>
      </c>
      <c r="AE2406" s="10">
        <f>REPT(" ",10)</f>
        <v/>
      </c>
      <c r="AF2406" s="10">
        <f>REPT(" ",20)</f>
        <v/>
      </c>
      <c r="AG2406" s="54">
        <f>REPT(" ",18-LEN(FIXED(F2406,2,TRUE)))&amp;FIXED(F2406,2,TRUE)</f>
        <v/>
      </c>
      <c r="AH2406" s="10">
        <f>LEN(AC2406)+LEN(AG2406)</f>
        <v/>
      </c>
      <c r="AI2406" s="10">
        <f>LEN(L2406)</f>
        <v/>
      </c>
    </row>
    <row r="2407">
      <c r="J2407" s="12">
        <f>IF(F2407&lt;&gt;0,"LANÇAR","")</f>
        <v/>
      </c>
      <c r="L2407" s="13">
        <f>N2407&amp;O2407&amp;P2407&amp;Q2407&amp;R2407&amp;S2407&amp;T2407&amp;U2407&amp;V2407&amp;W2407&amp;X2407&amp;Y2407&amp;Z2407&amp;AA2407&amp;AB2407&amp;AC2407&amp;AD2407&amp;AE2407&amp;AF2407&amp;AG2407</f>
        <v/>
      </c>
      <c r="N2407" s="10">
        <f>TEXT($B$6,"00")</f>
        <v/>
      </c>
      <c r="O2407" s="10">
        <f>REPT(" ",8)</f>
        <v/>
      </c>
      <c r="P2407" s="10">
        <f>RIGHT($B$4,2)</f>
        <v/>
      </c>
      <c r="Q2407" s="10">
        <f>RIGHT($B$5,3)</f>
        <v/>
      </c>
      <c r="R2407" s="10">
        <f>IF(A2407="D",LEFT(UPPER(B2407)&amp;REPT(" ",20),20),REPT(" ",20))</f>
        <v/>
      </c>
      <c r="S2407" s="10">
        <f>IF(A2407="D",LEFT(UPPER(C2407)&amp;REPT(" ",10),10)," ")</f>
        <v/>
      </c>
      <c r="T2407" s="10">
        <f>IF(A2407="D",LEFT(UPPER(D2407)&amp;REPT(" ",2),2)," ")</f>
        <v/>
      </c>
      <c r="U2407" s="10">
        <f>IF(A2407="D",LEFT(UPPER(E2407)&amp;REPT(" ",15),15)," ")</f>
        <v/>
      </c>
      <c r="V2407" s="10">
        <f>REPT(" ",24)</f>
        <v/>
      </c>
      <c r="W2407" s="10">
        <f>IF(A2407="c",LEFT(UPPER(B2407)&amp;REPT(" ",20),20),REPT(" ",20))</f>
        <v/>
      </c>
      <c r="X2407" s="10">
        <f>IF(A2407="C",LEFT(UPPER(C2407)&amp;REPT(" ",10),10)," ")</f>
        <v/>
      </c>
      <c r="Y2407" s="10">
        <f>IF(A2407="C",LEFT(UPPER(D2407)&amp;REPT(" ",2),2)," ")</f>
        <v/>
      </c>
      <c r="Z2407" s="10">
        <f>IF(A2407="C",LEFT(UPPER(E2407)&amp;REPT(" ",15),15)," ")</f>
        <v/>
      </c>
      <c r="AA2407" s="10">
        <f>REPT(" ",8)</f>
        <v/>
      </c>
      <c r="AB2407" s="10">
        <f>REPT(" ",4)</f>
        <v/>
      </c>
      <c r="AC2407" s="10">
        <f>LEFT(UPPER(H2407)&amp;REPT(" ",250),250)</f>
        <v/>
      </c>
      <c r="AD2407" s="10">
        <f>TEXT($G$2,"dd/mm/aaaa")</f>
        <v/>
      </c>
      <c r="AE2407" s="10">
        <f>REPT(" ",10)</f>
        <v/>
      </c>
      <c r="AF2407" s="10">
        <f>REPT(" ",20)</f>
        <v/>
      </c>
      <c r="AG2407" s="54">
        <f>REPT(" ",18-LEN(FIXED(F2407,2,TRUE)))&amp;FIXED(F2407,2,TRUE)</f>
        <v/>
      </c>
      <c r="AH2407" s="10">
        <f>LEN(AC2407)+LEN(AG2407)</f>
        <v/>
      </c>
      <c r="AI2407" s="10">
        <f>LEN(L2407)</f>
        <v/>
      </c>
    </row>
    <row r="2408">
      <c r="J2408" s="12">
        <f>IF(F2408&lt;&gt;0,"LANÇAR","")</f>
        <v/>
      </c>
      <c r="L2408" s="13">
        <f>N2408&amp;O2408&amp;P2408&amp;Q2408&amp;R2408&amp;S2408&amp;T2408&amp;U2408&amp;V2408&amp;W2408&amp;X2408&amp;Y2408&amp;Z2408&amp;AA2408&amp;AB2408&amp;AC2408&amp;AD2408&amp;AE2408&amp;AF2408&amp;AG2408</f>
        <v/>
      </c>
      <c r="N2408" s="10">
        <f>TEXT($B$6,"00")</f>
        <v/>
      </c>
      <c r="O2408" s="10">
        <f>REPT(" ",8)</f>
        <v/>
      </c>
      <c r="P2408" s="10">
        <f>RIGHT($B$4,2)</f>
        <v/>
      </c>
      <c r="Q2408" s="10">
        <f>RIGHT($B$5,3)</f>
        <v/>
      </c>
      <c r="R2408" s="10">
        <f>IF(A2408="D",LEFT(UPPER(B2408)&amp;REPT(" ",20),20),REPT(" ",20))</f>
        <v/>
      </c>
      <c r="S2408" s="10">
        <f>IF(A2408="D",LEFT(UPPER(C2408)&amp;REPT(" ",10),10)," ")</f>
        <v/>
      </c>
      <c r="T2408" s="10">
        <f>IF(A2408="D",LEFT(UPPER(D2408)&amp;REPT(" ",2),2)," ")</f>
        <v/>
      </c>
      <c r="U2408" s="10">
        <f>IF(A2408="D",LEFT(UPPER(E2408)&amp;REPT(" ",15),15)," ")</f>
        <v/>
      </c>
      <c r="V2408" s="10">
        <f>REPT(" ",24)</f>
        <v/>
      </c>
      <c r="W2408" s="10">
        <f>IF(A2408="c",LEFT(UPPER(B2408)&amp;REPT(" ",20),20),REPT(" ",20))</f>
        <v/>
      </c>
      <c r="X2408" s="10">
        <f>IF(A2408="C",LEFT(UPPER(C2408)&amp;REPT(" ",10),10)," ")</f>
        <v/>
      </c>
      <c r="Y2408" s="10">
        <f>IF(A2408="C",LEFT(UPPER(D2408)&amp;REPT(" ",2),2)," ")</f>
        <v/>
      </c>
      <c r="Z2408" s="10">
        <f>IF(A2408="C",LEFT(UPPER(E2408)&amp;REPT(" ",15),15)," ")</f>
        <v/>
      </c>
      <c r="AA2408" s="10">
        <f>REPT(" ",8)</f>
        <v/>
      </c>
      <c r="AB2408" s="10">
        <f>REPT(" ",4)</f>
        <v/>
      </c>
      <c r="AC2408" s="10">
        <f>LEFT(UPPER(H2408)&amp;REPT(" ",250),250)</f>
        <v/>
      </c>
      <c r="AD2408" s="10">
        <f>TEXT($G$2,"dd/mm/aaaa")</f>
        <v/>
      </c>
      <c r="AE2408" s="10">
        <f>REPT(" ",10)</f>
        <v/>
      </c>
      <c r="AF2408" s="10">
        <f>REPT(" ",20)</f>
        <v/>
      </c>
      <c r="AG2408" s="54">
        <f>REPT(" ",18-LEN(FIXED(F2408,2,TRUE)))&amp;FIXED(F2408,2,TRUE)</f>
        <v/>
      </c>
      <c r="AH2408" s="10">
        <f>LEN(AC2408)+LEN(AG2408)</f>
        <v/>
      </c>
      <c r="AI2408" s="10">
        <f>LEN(L2408)</f>
        <v/>
      </c>
    </row>
    <row r="2409">
      <c r="J2409" s="12">
        <f>IF(F2409&lt;&gt;0,"LANÇAR","")</f>
        <v/>
      </c>
      <c r="L2409" s="13">
        <f>N2409&amp;O2409&amp;P2409&amp;Q2409&amp;R2409&amp;S2409&amp;T2409&amp;U2409&amp;V2409&amp;W2409&amp;X2409&amp;Y2409&amp;Z2409&amp;AA2409&amp;AB2409&amp;AC2409&amp;AD2409&amp;AE2409&amp;AF2409&amp;AG2409</f>
        <v/>
      </c>
      <c r="N2409" s="10">
        <f>TEXT($B$6,"00")</f>
        <v/>
      </c>
      <c r="O2409" s="10">
        <f>REPT(" ",8)</f>
        <v/>
      </c>
      <c r="P2409" s="10">
        <f>RIGHT($B$4,2)</f>
        <v/>
      </c>
      <c r="Q2409" s="10">
        <f>RIGHT($B$5,3)</f>
        <v/>
      </c>
      <c r="R2409" s="10">
        <f>IF(A2409="D",LEFT(UPPER(B2409)&amp;REPT(" ",20),20),REPT(" ",20))</f>
        <v/>
      </c>
      <c r="S2409" s="10">
        <f>IF(A2409="D",LEFT(UPPER(C2409)&amp;REPT(" ",10),10)," ")</f>
        <v/>
      </c>
      <c r="T2409" s="10">
        <f>IF(A2409="D",LEFT(UPPER(D2409)&amp;REPT(" ",2),2)," ")</f>
        <v/>
      </c>
      <c r="U2409" s="10">
        <f>IF(A2409="D",LEFT(UPPER(E2409)&amp;REPT(" ",15),15)," ")</f>
        <v/>
      </c>
      <c r="V2409" s="10">
        <f>REPT(" ",24)</f>
        <v/>
      </c>
      <c r="W2409" s="10">
        <f>IF(A2409="c",LEFT(UPPER(B2409)&amp;REPT(" ",20),20),REPT(" ",20))</f>
        <v/>
      </c>
      <c r="X2409" s="10">
        <f>IF(A2409="C",LEFT(UPPER(C2409)&amp;REPT(" ",10),10)," ")</f>
        <v/>
      </c>
      <c r="Y2409" s="10">
        <f>IF(A2409="C",LEFT(UPPER(D2409)&amp;REPT(" ",2),2)," ")</f>
        <v/>
      </c>
      <c r="Z2409" s="10">
        <f>IF(A2409="C",LEFT(UPPER(E2409)&amp;REPT(" ",15),15)," ")</f>
        <v/>
      </c>
      <c r="AA2409" s="10">
        <f>REPT(" ",8)</f>
        <v/>
      </c>
      <c r="AB2409" s="10">
        <f>REPT(" ",4)</f>
        <v/>
      </c>
      <c r="AC2409" s="10">
        <f>LEFT(UPPER(H2409)&amp;REPT(" ",250),250)</f>
        <v/>
      </c>
      <c r="AD2409" s="10">
        <f>TEXT($G$2,"dd/mm/aaaa")</f>
        <v/>
      </c>
      <c r="AE2409" s="10">
        <f>REPT(" ",10)</f>
        <v/>
      </c>
      <c r="AF2409" s="10">
        <f>REPT(" ",20)</f>
        <v/>
      </c>
      <c r="AG2409" s="54">
        <f>REPT(" ",18-LEN(FIXED(F2409,2,TRUE)))&amp;FIXED(F2409,2,TRUE)</f>
        <v/>
      </c>
      <c r="AH2409" s="10">
        <f>LEN(AC2409)+LEN(AG2409)</f>
        <v/>
      </c>
      <c r="AI2409" s="10">
        <f>LEN(L2409)</f>
        <v/>
      </c>
    </row>
    <row r="2410">
      <c r="J2410" s="12">
        <f>IF(F2410&lt;&gt;0,"LANÇAR","")</f>
        <v/>
      </c>
      <c r="L2410" s="13">
        <f>N2410&amp;O2410&amp;P2410&amp;Q2410&amp;R2410&amp;S2410&amp;T2410&amp;U2410&amp;V2410&amp;W2410&amp;X2410&amp;Y2410&amp;Z2410&amp;AA2410&amp;AB2410&amp;AC2410&amp;AD2410&amp;AE2410&amp;AF2410&amp;AG2410</f>
        <v/>
      </c>
      <c r="N2410" s="10">
        <f>TEXT($B$6,"00")</f>
        <v/>
      </c>
      <c r="O2410" s="10">
        <f>REPT(" ",8)</f>
        <v/>
      </c>
      <c r="P2410" s="10">
        <f>RIGHT($B$4,2)</f>
        <v/>
      </c>
      <c r="Q2410" s="10">
        <f>RIGHT($B$5,3)</f>
        <v/>
      </c>
      <c r="R2410" s="10">
        <f>IF(A2410="D",LEFT(UPPER(B2410)&amp;REPT(" ",20),20),REPT(" ",20))</f>
        <v/>
      </c>
      <c r="S2410" s="10">
        <f>IF(A2410="D",LEFT(UPPER(C2410)&amp;REPT(" ",10),10)," ")</f>
        <v/>
      </c>
      <c r="T2410" s="10">
        <f>IF(A2410="D",LEFT(UPPER(D2410)&amp;REPT(" ",2),2)," ")</f>
        <v/>
      </c>
      <c r="U2410" s="10">
        <f>IF(A2410="D",LEFT(UPPER(E2410)&amp;REPT(" ",15),15)," ")</f>
        <v/>
      </c>
      <c r="V2410" s="10">
        <f>REPT(" ",24)</f>
        <v/>
      </c>
      <c r="W2410" s="10">
        <f>IF(A2410="c",LEFT(UPPER(B2410)&amp;REPT(" ",20),20),REPT(" ",20))</f>
        <v/>
      </c>
      <c r="X2410" s="10">
        <f>IF(A2410="C",LEFT(UPPER(C2410)&amp;REPT(" ",10),10)," ")</f>
        <v/>
      </c>
      <c r="Y2410" s="10">
        <f>IF(A2410="C",LEFT(UPPER(D2410)&amp;REPT(" ",2),2)," ")</f>
        <v/>
      </c>
      <c r="Z2410" s="10">
        <f>IF(A2410="C",LEFT(UPPER(E2410)&amp;REPT(" ",15),15)," ")</f>
        <v/>
      </c>
      <c r="AA2410" s="10">
        <f>REPT(" ",8)</f>
        <v/>
      </c>
      <c r="AB2410" s="10">
        <f>REPT(" ",4)</f>
        <v/>
      </c>
      <c r="AC2410" s="10">
        <f>LEFT(UPPER(H2410)&amp;REPT(" ",250),250)</f>
        <v/>
      </c>
      <c r="AD2410" s="10">
        <f>TEXT($G$2,"dd/mm/aaaa")</f>
        <v/>
      </c>
      <c r="AE2410" s="10">
        <f>REPT(" ",10)</f>
        <v/>
      </c>
      <c r="AF2410" s="10">
        <f>REPT(" ",20)</f>
        <v/>
      </c>
      <c r="AG2410" s="54">
        <f>REPT(" ",18-LEN(FIXED(F2410,2,TRUE)))&amp;FIXED(F2410,2,TRUE)</f>
        <v/>
      </c>
      <c r="AH2410" s="10">
        <f>LEN(AC2410)+LEN(AG2410)</f>
        <v/>
      </c>
      <c r="AI2410" s="10">
        <f>LEN(L2410)</f>
        <v/>
      </c>
    </row>
    <row r="2411">
      <c r="J2411" s="12">
        <f>IF(F2411&lt;&gt;0,"LANÇAR","")</f>
        <v/>
      </c>
      <c r="L2411" s="13">
        <f>N2411&amp;O2411&amp;P2411&amp;Q2411&amp;R2411&amp;S2411&amp;T2411&amp;U2411&amp;V2411&amp;W2411&amp;X2411&amp;Y2411&amp;Z2411&amp;AA2411&amp;AB2411&amp;AC2411&amp;AD2411&amp;AE2411&amp;AF2411&amp;AG2411</f>
        <v/>
      </c>
      <c r="N2411" s="10">
        <f>TEXT($B$6,"00")</f>
        <v/>
      </c>
      <c r="O2411" s="10">
        <f>REPT(" ",8)</f>
        <v/>
      </c>
      <c r="P2411" s="10">
        <f>RIGHT($B$4,2)</f>
        <v/>
      </c>
      <c r="Q2411" s="10">
        <f>RIGHT($B$5,3)</f>
        <v/>
      </c>
      <c r="R2411" s="10">
        <f>IF(A2411="D",LEFT(UPPER(B2411)&amp;REPT(" ",20),20),REPT(" ",20))</f>
        <v/>
      </c>
      <c r="S2411" s="10">
        <f>IF(A2411="D",LEFT(UPPER(C2411)&amp;REPT(" ",10),10)," ")</f>
        <v/>
      </c>
      <c r="T2411" s="10">
        <f>IF(A2411="D",LEFT(UPPER(D2411)&amp;REPT(" ",2),2)," ")</f>
        <v/>
      </c>
      <c r="U2411" s="10">
        <f>IF(A2411="D",LEFT(UPPER(E2411)&amp;REPT(" ",15),15)," ")</f>
        <v/>
      </c>
      <c r="V2411" s="10">
        <f>REPT(" ",24)</f>
        <v/>
      </c>
      <c r="W2411" s="10">
        <f>IF(A2411="c",LEFT(UPPER(B2411)&amp;REPT(" ",20),20),REPT(" ",20))</f>
        <v/>
      </c>
      <c r="X2411" s="10">
        <f>IF(A2411="C",LEFT(UPPER(C2411)&amp;REPT(" ",10),10)," ")</f>
        <v/>
      </c>
      <c r="Y2411" s="10">
        <f>IF(A2411="C",LEFT(UPPER(D2411)&amp;REPT(" ",2),2)," ")</f>
        <v/>
      </c>
      <c r="Z2411" s="10">
        <f>IF(A2411="C",LEFT(UPPER(E2411)&amp;REPT(" ",15),15)," ")</f>
        <v/>
      </c>
      <c r="AA2411" s="10">
        <f>REPT(" ",8)</f>
        <v/>
      </c>
      <c r="AB2411" s="10">
        <f>REPT(" ",4)</f>
        <v/>
      </c>
      <c r="AC2411" s="10">
        <f>LEFT(UPPER(H2411)&amp;REPT(" ",250),250)</f>
        <v/>
      </c>
      <c r="AD2411" s="10">
        <f>TEXT($G$2,"dd/mm/aaaa")</f>
        <v/>
      </c>
      <c r="AE2411" s="10">
        <f>REPT(" ",10)</f>
        <v/>
      </c>
      <c r="AF2411" s="10">
        <f>REPT(" ",20)</f>
        <v/>
      </c>
      <c r="AG2411" s="54">
        <f>REPT(" ",18-LEN(FIXED(F2411,2,TRUE)))&amp;FIXED(F2411,2,TRUE)</f>
        <v/>
      </c>
      <c r="AH2411" s="10">
        <f>LEN(AC2411)+LEN(AG2411)</f>
        <v/>
      </c>
      <c r="AI2411" s="10">
        <f>LEN(L2411)</f>
        <v/>
      </c>
    </row>
    <row r="2412">
      <c r="J2412" s="12">
        <f>IF(F2412&lt;&gt;0,"LANÇAR","")</f>
        <v/>
      </c>
      <c r="L2412" s="13">
        <f>N2412&amp;O2412&amp;P2412&amp;Q2412&amp;R2412&amp;S2412&amp;T2412&amp;U2412&amp;V2412&amp;W2412&amp;X2412&amp;Y2412&amp;Z2412&amp;AA2412&amp;AB2412&amp;AC2412&amp;AD2412&amp;AE2412&amp;AF2412&amp;AG2412</f>
        <v/>
      </c>
      <c r="N2412" s="10">
        <f>TEXT($B$6,"00")</f>
        <v/>
      </c>
      <c r="O2412" s="10">
        <f>REPT(" ",8)</f>
        <v/>
      </c>
      <c r="P2412" s="10">
        <f>RIGHT($B$4,2)</f>
        <v/>
      </c>
      <c r="Q2412" s="10">
        <f>RIGHT($B$5,3)</f>
        <v/>
      </c>
      <c r="R2412" s="10">
        <f>IF(A2412="D",LEFT(UPPER(B2412)&amp;REPT(" ",20),20),REPT(" ",20))</f>
        <v/>
      </c>
      <c r="S2412" s="10">
        <f>IF(A2412="D",LEFT(UPPER(C2412)&amp;REPT(" ",10),10)," ")</f>
        <v/>
      </c>
      <c r="T2412" s="10">
        <f>IF(A2412="D",LEFT(UPPER(D2412)&amp;REPT(" ",2),2)," ")</f>
        <v/>
      </c>
      <c r="U2412" s="10">
        <f>IF(A2412="D",LEFT(UPPER(E2412)&amp;REPT(" ",15),15)," ")</f>
        <v/>
      </c>
      <c r="V2412" s="10">
        <f>REPT(" ",24)</f>
        <v/>
      </c>
      <c r="W2412" s="10">
        <f>IF(A2412="c",LEFT(UPPER(B2412)&amp;REPT(" ",20),20),REPT(" ",20))</f>
        <v/>
      </c>
      <c r="X2412" s="10">
        <f>IF(A2412="C",LEFT(UPPER(C2412)&amp;REPT(" ",10),10)," ")</f>
        <v/>
      </c>
      <c r="Y2412" s="10">
        <f>IF(A2412="C",LEFT(UPPER(D2412)&amp;REPT(" ",2),2)," ")</f>
        <v/>
      </c>
      <c r="Z2412" s="10">
        <f>IF(A2412="C",LEFT(UPPER(E2412)&amp;REPT(" ",15),15)," ")</f>
        <v/>
      </c>
      <c r="AA2412" s="10">
        <f>REPT(" ",8)</f>
        <v/>
      </c>
      <c r="AB2412" s="10">
        <f>REPT(" ",4)</f>
        <v/>
      </c>
      <c r="AC2412" s="10">
        <f>LEFT(UPPER(H2412)&amp;REPT(" ",250),250)</f>
        <v/>
      </c>
      <c r="AD2412" s="10">
        <f>TEXT($G$2,"dd/mm/aaaa")</f>
        <v/>
      </c>
      <c r="AE2412" s="10">
        <f>REPT(" ",10)</f>
        <v/>
      </c>
      <c r="AF2412" s="10">
        <f>REPT(" ",20)</f>
        <v/>
      </c>
      <c r="AG2412" s="54">
        <f>REPT(" ",18-LEN(FIXED(F2412,2,TRUE)))&amp;FIXED(F2412,2,TRUE)</f>
        <v/>
      </c>
      <c r="AH2412" s="10">
        <f>LEN(AC2412)+LEN(AG2412)</f>
        <v/>
      </c>
      <c r="AI2412" s="10">
        <f>LEN(L2412)</f>
        <v/>
      </c>
    </row>
    <row r="2413">
      <c r="J2413" s="12">
        <f>IF(F2413&lt;&gt;0,"LANÇAR","")</f>
        <v/>
      </c>
      <c r="L2413" s="13">
        <f>N2413&amp;O2413&amp;P2413&amp;Q2413&amp;R2413&amp;S2413&amp;T2413&amp;U2413&amp;V2413&amp;W2413&amp;X2413&amp;Y2413&amp;Z2413&amp;AA2413&amp;AB2413&amp;AC2413&amp;AD2413&amp;AE2413&amp;AF2413&amp;AG2413</f>
        <v/>
      </c>
      <c r="N2413" s="10">
        <f>TEXT($B$6,"00")</f>
        <v/>
      </c>
      <c r="O2413" s="10">
        <f>REPT(" ",8)</f>
        <v/>
      </c>
      <c r="P2413" s="10">
        <f>RIGHT($B$4,2)</f>
        <v/>
      </c>
      <c r="Q2413" s="10">
        <f>RIGHT($B$5,3)</f>
        <v/>
      </c>
      <c r="R2413" s="10">
        <f>IF(A2413="D",LEFT(UPPER(B2413)&amp;REPT(" ",20),20),REPT(" ",20))</f>
        <v/>
      </c>
      <c r="S2413" s="10">
        <f>IF(A2413="D",LEFT(UPPER(C2413)&amp;REPT(" ",10),10)," ")</f>
        <v/>
      </c>
      <c r="T2413" s="10">
        <f>IF(A2413="D",LEFT(UPPER(D2413)&amp;REPT(" ",2),2)," ")</f>
        <v/>
      </c>
      <c r="U2413" s="10">
        <f>IF(A2413="D",LEFT(UPPER(E2413)&amp;REPT(" ",15),15)," ")</f>
        <v/>
      </c>
      <c r="V2413" s="10">
        <f>REPT(" ",24)</f>
        <v/>
      </c>
      <c r="W2413" s="10">
        <f>IF(A2413="c",LEFT(UPPER(B2413)&amp;REPT(" ",20),20),REPT(" ",20))</f>
        <v/>
      </c>
      <c r="X2413" s="10">
        <f>IF(A2413="C",LEFT(UPPER(C2413)&amp;REPT(" ",10),10)," ")</f>
        <v/>
      </c>
      <c r="Y2413" s="10">
        <f>IF(A2413="C",LEFT(UPPER(D2413)&amp;REPT(" ",2),2)," ")</f>
        <v/>
      </c>
      <c r="Z2413" s="10">
        <f>IF(A2413="C",LEFT(UPPER(E2413)&amp;REPT(" ",15),15)," ")</f>
        <v/>
      </c>
      <c r="AA2413" s="10">
        <f>REPT(" ",8)</f>
        <v/>
      </c>
      <c r="AB2413" s="10">
        <f>REPT(" ",4)</f>
        <v/>
      </c>
      <c r="AC2413" s="10">
        <f>LEFT(UPPER(H2413)&amp;REPT(" ",250),250)</f>
        <v/>
      </c>
      <c r="AD2413" s="10">
        <f>TEXT($G$2,"dd/mm/aaaa")</f>
        <v/>
      </c>
      <c r="AE2413" s="10">
        <f>REPT(" ",10)</f>
        <v/>
      </c>
      <c r="AF2413" s="10">
        <f>REPT(" ",20)</f>
        <v/>
      </c>
      <c r="AG2413" s="54">
        <f>REPT(" ",18-LEN(FIXED(F2413,2,TRUE)))&amp;FIXED(F2413,2,TRUE)</f>
        <v/>
      </c>
      <c r="AH2413" s="10">
        <f>LEN(AC2413)+LEN(AG2413)</f>
        <v/>
      </c>
      <c r="AI2413" s="10">
        <f>LEN(L2413)</f>
        <v/>
      </c>
    </row>
    <row r="2414">
      <c r="J2414" s="12">
        <f>IF(F2414&lt;&gt;0,"LANÇAR","")</f>
        <v/>
      </c>
      <c r="L2414" s="13">
        <f>N2414&amp;O2414&amp;P2414&amp;Q2414&amp;R2414&amp;S2414&amp;T2414&amp;U2414&amp;V2414&amp;W2414&amp;X2414&amp;Y2414&amp;Z2414&amp;AA2414&amp;AB2414&amp;AC2414&amp;AD2414&amp;AE2414&amp;AF2414&amp;AG2414</f>
        <v/>
      </c>
      <c r="N2414" s="10">
        <f>TEXT($B$6,"00")</f>
        <v/>
      </c>
      <c r="O2414" s="10">
        <f>REPT(" ",8)</f>
        <v/>
      </c>
      <c r="P2414" s="10">
        <f>RIGHT($B$4,2)</f>
        <v/>
      </c>
      <c r="Q2414" s="10">
        <f>RIGHT($B$5,3)</f>
        <v/>
      </c>
      <c r="R2414" s="10">
        <f>IF(A2414="D",LEFT(UPPER(B2414)&amp;REPT(" ",20),20),REPT(" ",20))</f>
        <v/>
      </c>
      <c r="S2414" s="10">
        <f>IF(A2414="D",LEFT(UPPER(C2414)&amp;REPT(" ",10),10)," ")</f>
        <v/>
      </c>
      <c r="T2414" s="10">
        <f>IF(A2414="D",LEFT(UPPER(D2414)&amp;REPT(" ",2),2)," ")</f>
        <v/>
      </c>
      <c r="U2414" s="10">
        <f>IF(A2414="D",LEFT(UPPER(E2414)&amp;REPT(" ",15),15)," ")</f>
        <v/>
      </c>
      <c r="V2414" s="10">
        <f>REPT(" ",24)</f>
        <v/>
      </c>
      <c r="W2414" s="10">
        <f>IF(A2414="c",LEFT(UPPER(B2414)&amp;REPT(" ",20),20),REPT(" ",20))</f>
        <v/>
      </c>
      <c r="X2414" s="10">
        <f>IF(A2414="C",LEFT(UPPER(C2414)&amp;REPT(" ",10),10)," ")</f>
        <v/>
      </c>
      <c r="Y2414" s="10">
        <f>IF(A2414="C",LEFT(UPPER(D2414)&amp;REPT(" ",2),2)," ")</f>
        <v/>
      </c>
      <c r="Z2414" s="10">
        <f>IF(A2414="C",LEFT(UPPER(E2414)&amp;REPT(" ",15),15)," ")</f>
        <v/>
      </c>
      <c r="AA2414" s="10">
        <f>REPT(" ",8)</f>
        <v/>
      </c>
      <c r="AB2414" s="10">
        <f>REPT(" ",4)</f>
        <v/>
      </c>
      <c r="AC2414" s="10">
        <f>LEFT(UPPER(H2414)&amp;REPT(" ",250),250)</f>
        <v/>
      </c>
      <c r="AD2414" s="10">
        <f>TEXT($G$2,"dd/mm/aaaa")</f>
        <v/>
      </c>
      <c r="AE2414" s="10">
        <f>REPT(" ",10)</f>
        <v/>
      </c>
      <c r="AF2414" s="10">
        <f>REPT(" ",20)</f>
        <v/>
      </c>
      <c r="AG2414" s="54">
        <f>REPT(" ",18-LEN(FIXED(F2414,2,TRUE)))&amp;FIXED(F2414,2,TRUE)</f>
        <v/>
      </c>
      <c r="AH2414" s="10">
        <f>LEN(AC2414)+LEN(AG2414)</f>
        <v/>
      </c>
      <c r="AI2414" s="10">
        <f>LEN(L2414)</f>
        <v/>
      </c>
    </row>
    <row r="2415">
      <c r="J2415" s="12">
        <f>IF(F2415&lt;&gt;0,"LANÇAR","")</f>
        <v/>
      </c>
      <c r="L2415" s="13">
        <f>N2415&amp;O2415&amp;P2415&amp;Q2415&amp;R2415&amp;S2415&amp;T2415&amp;U2415&amp;V2415&amp;W2415&amp;X2415&amp;Y2415&amp;Z2415&amp;AA2415&amp;AB2415&amp;AC2415&amp;AD2415&amp;AE2415&amp;AF2415&amp;AG2415</f>
        <v/>
      </c>
      <c r="N2415" s="10">
        <f>TEXT($B$6,"00")</f>
        <v/>
      </c>
      <c r="O2415" s="10">
        <f>REPT(" ",8)</f>
        <v/>
      </c>
      <c r="P2415" s="10">
        <f>RIGHT($B$4,2)</f>
        <v/>
      </c>
      <c r="Q2415" s="10">
        <f>RIGHT($B$5,3)</f>
        <v/>
      </c>
      <c r="R2415" s="10">
        <f>IF(A2415="D",LEFT(UPPER(B2415)&amp;REPT(" ",20),20),REPT(" ",20))</f>
        <v/>
      </c>
      <c r="S2415" s="10">
        <f>IF(A2415="D",LEFT(UPPER(C2415)&amp;REPT(" ",10),10)," ")</f>
        <v/>
      </c>
      <c r="T2415" s="10">
        <f>IF(A2415="D",LEFT(UPPER(D2415)&amp;REPT(" ",2),2)," ")</f>
        <v/>
      </c>
      <c r="U2415" s="10">
        <f>IF(A2415="D",LEFT(UPPER(E2415)&amp;REPT(" ",15),15)," ")</f>
        <v/>
      </c>
      <c r="V2415" s="10">
        <f>REPT(" ",24)</f>
        <v/>
      </c>
      <c r="W2415" s="10">
        <f>IF(A2415="c",LEFT(UPPER(B2415)&amp;REPT(" ",20),20),REPT(" ",20))</f>
        <v/>
      </c>
      <c r="X2415" s="10">
        <f>IF(A2415="C",LEFT(UPPER(C2415)&amp;REPT(" ",10),10)," ")</f>
        <v/>
      </c>
      <c r="Y2415" s="10">
        <f>IF(A2415="C",LEFT(UPPER(D2415)&amp;REPT(" ",2),2)," ")</f>
        <v/>
      </c>
      <c r="Z2415" s="10">
        <f>IF(A2415="C",LEFT(UPPER(E2415)&amp;REPT(" ",15),15)," ")</f>
        <v/>
      </c>
      <c r="AA2415" s="10">
        <f>REPT(" ",8)</f>
        <v/>
      </c>
      <c r="AB2415" s="10">
        <f>REPT(" ",4)</f>
        <v/>
      </c>
      <c r="AC2415" s="10">
        <f>LEFT(UPPER(H2415)&amp;REPT(" ",250),250)</f>
        <v/>
      </c>
      <c r="AD2415" s="10">
        <f>TEXT($G$2,"dd/mm/aaaa")</f>
        <v/>
      </c>
      <c r="AE2415" s="10">
        <f>REPT(" ",10)</f>
        <v/>
      </c>
      <c r="AF2415" s="10">
        <f>REPT(" ",20)</f>
        <v/>
      </c>
      <c r="AG2415" s="54">
        <f>REPT(" ",18-LEN(FIXED(F2415,2,TRUE)))&amp;FIXED(F2415,2,TRUE)</f>
        <v/>
      </c>
      <c r="AH2415" s="10">
        <f>LEN(AC2415)+LEN(AG2415)</f>
        <v/>
      </c>
      <c r="AI2415" s="10">
        <f>LEN(L2415)</f>
        <v/>
      </c>
    </row>
    <row r="2416">
      <c r="J2416" s="12">
        <f>IF(F2416&lt;&gt;0,"LANÇAR","")</f>
        <v/>
      </c>
      <c r="L2416" s="13">
        <f>N2416&amp;O2416&amp;P2416&amp;Q2416&amp;R2416&amp;S2416&amp;T2416&amp;U2416&amp;V2416&amp;W2416&amp;X2416&amp;Y2416&amp;Z2416&amp;AA2416&amp;AB2416&amp;AC2416&amp;AD2416&amp;AE2416&amp;AF2416&amp;AG2416</f>
        <v/>
      </c>
      <c r="N2416" s="10">
        <f>TEXT($B$6,"00")</f>
        <v/>
      </c>
      <c r="O2416" s="10">
        <f>REPT(" ",8)</f>
        <v/>
      </c>
      <c r="P2416" s="10">
        <f>RIGHT($B$4,2)</f>
        <v/>
      </c>
      <c r="Q2416" s="10">
        <f>RIGHT($B$5,3)</f>
        <v/>
      </c>
      <c r="R2416" s="10">
        <f>IF(A2416="D",LEFT(UPPER(B2416)&amp;REPT(" ",20),20),REPT(" ",20))</f>
        <v/>
      </c>
      <c r="S2416" s="10">
        <f>IF(A2416="D",LEFT(UPPER(C2416)&amp;REPT(" ",10),10)," ")</f>
        <v/>
      </c>
      <c r="T2416" s="10">
        <f>IF(A2416="D",LEFT(UPPER(D2416)&amp;REPT(" ",2),2)," ")</f>
        <v/>
      </c>
      <c r="U2416" s="10">
        <f>IF(A2416="D",LEFT(UPPER(E2416)&amp;REPT(" ",15),15)," ")</f>
        <v/>
      </c>
      <c r="V2416" s="10">
        <f>REPT(" ",24)</f>
        <v/>
      </c>
      <c r="W2416" s="10">
        <f>IF(A2416="c",LEFT(UPPER(B2416)&amp;REPT(" ",20),20),REPT(" ",20))</f>
        <v/>
      </c>
      <c r="X2416" s="10">
        <f>IF(A2416="C",LEFT(UPPER(C2416)&amp;REPT(" ",10),10)," ")</f>
        <v/>
      </c>
      <c r="Y2416" s="10">
        <f>IF(A2416="C",LEFT(UPPER(D2416)&amp;REPT(" ",2),2)," ")</f>
        <v/>
      </c>
      <c r="Z2416" s="10">
        <f>IF(A2416="C",LEFT(UPPER(E2416)&amp;REPT(" ",15),15)," ")</f>
        <v/>
      </c>
      <c r="AA2416" s="10">
        <f>REPT(" ",8)</f>
        <v/>
      </c>
      <c r="AB2416" s="10">
        <f>REPT(" ",4)</f>
        <v/>
      </c>
      <c r="AC2416" s="10">
        <f>LEFT(UPPER(H2416)&amp;REPT(" ",250),250)</f>
        <v/>
      </c>
      <c r="AD2416" s="10">
        <f>TEXT($G$2,"dd/mm/aaaa")</f>
        <v/>
      </c>
      <c r="AE2416" s="10">
        <f>REPT(" ",10)</f>
        <v/>
      </c>
      <c r="AF2416" s="10">
        <f>REPT(" ",20)</f>
        <v/>
      </c>
      <c r="AG2416" s="54">
        <f>REPT(" ",18-LEN(FIXED(F2416,2,TRUE)))&amp;FIXED(F2416,2,TRUE)</f>
        <v/>
      </c>
      <c r="AH2416" s="10">
        <f>LEN(AC2416)+LEN(AG2416)</f>
        <v/>
      </c>
      <c r="AI2416" s="10">
        <f>LEN(L2416)</f>
        <v/>
      </c>
    </row>
    <row r="2417">
      <c r="J2417" s="12">
        <f>IF(F2417&lt;&gt;0,"LANÇAR","")</f>
        <v/>
      </c>
      <c r="L2417" s="13">
        <f>N2417&amp;O2417&amp;P2417&amp;Q2417&amp;R2417&amp;S2417&amp;T2417&amp;U2417&amp;V2417&amp;W2417&amp;X2417&amp;Y2417&amp;Z2417&amp;AA2417&amp;AB2417&amp;AC2417&amp;AD2417&amp;AE2417&amp;AF2417&amp;AG2417</f>
        <v/>
      </c>
      <c r="N2417" s="10">
        <f>TEXT($B$6,"00")</f>
        <v/>
      </c>
      <c r="O2417" s="10">
        <f>REPT(" ",8)</f>
        <v/>
      </c>
      <c r="P2417" s="10">
        <f>RIGHT($B$4,2)</f>
        <v/>
      </c>
      <c r="Q2417" s="10">
        <f>RIGHT($B$5,3)</f>
        <v/>
      </c>
      <c r="R2417" s="10">
        <f>IF(A2417="D",LEFT(UPPER(B2417)&amp;REPT(" ",20),20),REPT(" ",20))</f>
        <v/>
      </c>
      <c r="S2417" s="10">
        <f>IF(A2417="D",LEFT(UPPER(C2417)&amp;REPT(" ",10),10)," ")</f>
        <v/>
      </c>
      <c r="T2417" s="10">
        <f>IF(A2417="D",LEFT(UPPER(D2417)&amp;REPT(" ",2),2)," ")</f>
        <v/>
      </c>
      <c r="U2417" s="10">
        <f>IF(A2417="D",LEFT(UPPER(E2417)&amp;REPT(" ",15),15)," ")</f>
        <v/>
      </c>
      <c r="V2417" s="10">
        <f>REPT(" ",24)</f>
        <v/>
      </c>
      <c r="W2417" s="10">
        <f>IF(A2417="c",LEFT(UPPER(B2417)&amp;REPT(" ",20),20),REPT(" ",20))</f>
        <v/>
      </c>
      <c r="X2417" s="10">
        <f>IF(A2417="C",LEFT(UPPER(C2417)&amp;REPT(" ",10),10)," ")</f>
        <v/>
      </c>
      <c r="Y2417" s="10">
        <f>IF(A2417="C",LEFT(UPPER(D2417)&amp;REPT(" ",2),2)," ")</f>
        <v/>
      </c>
      <c r="Z2417" s="10">
        <f>IF(A2417="C",LEFT(UPPER(E2417)&amp;REPT(" ",15),15)," ")</f>
        <v/>
      </c>
      <c r="AA2417" s="10">
        <f>REPT(" ",8)</f>
        <v/>
      </c>
      <c r="AB2417" s="10">
        <f>REPT(" ",4)</f>
        <v/>
      </c>
      <c r="AC2417" s="10">
        <f>LEFT(UPPER(H2417)&amp;REPT(" ",250),250)</f>
        <v/>
      </c>
      <c r="AD2417" s="10">
        <f>TEXT($G$2,"dd/mm/aaaa")</f>
        <v/>
      </c>
      <c r="AE2417" s="10">
        <f>REPT(" ",10)</f>
        <v/>
      </c>
      <c r="AF2417" s="10">
        <f>REPT(" ",20)</f>
        <v/>
      </c>
      <c r="AG2417" s="54">
        <f>REPT(" ",18-LEN(FIXED(F2417,2,TRUE)))&amp;FIXED(F2417,2,TRUE)</f>
        <v/>
      </c>
      <c r="AH2417" s="10">
        <f>LEN(AC2417)+LEN(AG2417)</f>
        <v/>
      </c>
      <c r="AI2417" s="10">
        <f>LEN(L2417)</f>
        <v/>
      </c>
    </row>
    <row r="2418">
      <c r="J2418" s="12">
        <f>IF(F2418&lt;&gt;0,"LANÇAR","")</f>
        <v/>
      </c>
      <c r="L2418" s="13">
        <f>N2418&amp;O2418&amp;P2418&amp;Q2418&amp;R2418&amp;S2418&amp;T2418&amp;U2418&amp;V2418&amp;W2418&amp;X2418&amp;Y2418&amp;Z2418&amp;AA2418&amp;AB2418&amp;AC2418&amp;AD2418&amp;AE2418&amp;AF2418&amp;AG2418</f>
        <v/>
      </c>
      <c r="N2418" s="10">
        <f>TEXT($B$6,"00")</f>
        <v/>
      </c>
      <c r="O2418" s="10">
        <f>REPT(" ",8)</f>
        <v/>
      </c>
      <c r="P2418" s="10">
        <f>RIGHT($B$4,2)</f>
        <v/>
      </c>
      <c r="Q2418" s="10">
        <f>RIGHT($B$5,3)</f>
        <v/>
      </c>
      <c r="R2418" s="10">
        <f>IF(A2418="D",LEFT(UPPER(B2418)&amp;REPT(" ",20),20),REPT(" ",20))</f>
        <v/>
      </c>
      <c r="S2418" s="10">
        <f>IF(A2418="D",LEFT(UPPER(C2418)&amp;REPT(" ",10),10)," ")</f>
        <v/>
      </c>
      <c r="T2418" s="10">
        <f>IF(A2418="D",LEFT(UPPER(D2418)&amp;REPT(" ",2),2)," ")</f>
        <v/>
      </c>
      <c r="U2418" s="10">
        <f>IF(A2418="D",LEFT(UPPER(E2418)&amp;REPT(" ",15),15)," ")</f>
        <v/>
      </c>
      <c r="V2418" s="10">
        <f>REPT(" ",24)</f>
        <v/>
      </c>
      <c r="W2418" s="10">
        <f>IF(A2418="c",LEFT(UPPER(B2418)&amp;REPT(" ",20),20),REPT(" ",20))</f>
        <v/>
      </c>
      <c r="X2418" s="10">
        <f>IF(A2418="C",LEFT(UPPER(C2418)&amp;REPT(" ",10),10)," ")</f>
        <v/>
      </c>
      <c r="Y2418" s="10">
        <f>IF(A2418="C",LEFT(UPPER(D2418)&amp;REPT(" ",2),2)," ")</f>
        <v/>
      </c>
      <c r="Z2418" s="10">
        <f>IF(A2418="C",LEFT(UPPER(E2418)&amp;REPT(" ",15),15)," ")</f>
        <v/>
      </c>
      <c r="AA2418" s="10">
        <f>REPT(" ",8)</f>
        <v/>
      </c>
      <c r="AB2418" s="10">
        <f>REPT(" ",4)</f>
        <v/>
      </c>
      <c r="AC2418" s="10">
        <f>LEFT(UPPER(H2418)&amp;REPT(" ",250),250)</f>
        <v/>
      </c>
      <c r="AD2418" s="10">
        <f>TEXT($G$2,"dd/mm/aaaa")</f>
        <v/>
      </c>
      <c r="AE2418" s="10">
        <f>REPT(" ",10)</f>
        <v/>
      </c>
      <c r="AF2418" s="10">
        <f>REPT(" ",20)</f>
        <v/>
      </c>
      <c r="AG2418" s="54">
        <f>REPT(" ",18-LEN(FIXED(F2418,2,TRUE)))&amp;FIXED(F2418,2,TRUE)</f>
        <v/>
      </c>
      <c r="AH2418" s="10">
        <f>LEN(AC2418)+LEN(AG2418)</f>
        <v/>
      </c>
      <c r="AI2418" s="10">
        <f>LEN(L2418)</f>
        <v/>
      </c>
    </row>
    <row r="2419">
      <c r="J2419" s="12">
        <f>IF(F2419&lt;&gt;0,"LANÇAR","")</f>
        <v/>
      </c>
      <c r="L2419" s="13">
        <f>N2419&amp;O2419&amp;P2419&amp;Q2419&amp;R2419&amp;S2419&amp;T2419&amp;U2419&amp;V2419&amp;W2419&amp;X2419&amp;Y2419&amp;Z2419&amp;AA2419&amp;AB2419&amp;AC2419&amp;AD2419&amp;AE2419&amp;AF2419&amp;AG2419</f>
        <v/>
      </c>
      <c r="N2419" s="10">
        <f>TEXT($B$6,"00")</f>
        <v/>
      </c>
      <c r="O2419" s="10">
        <f>REPT(" ",8)</f>
        <v/>
      </c>
      <c r="P2419" s="10">
        <f>RIGHT($B$4,2)</f>
        <v/>
      </c>
      <c r="Q2419" s="10">
        <f>RIGHT($B$5,3)</f>
        <v/>
      </c>
      <c r="R2419" s="10">
        <f>IF(A2419="D",LEFT(UPPER(B2419)&amp;REPT(" ",20),20),REPT(" ",20))</f>
        <v/>
      </c>
      <c r="S2419" s="10">
        <f>IF(A2419="D",LEFT(UPPER(C2419)&amp;REPT(" ",10),10)," ")</f>
        <v/>
      </c>
      <c r="T2419" s="10">
        <f>IF(A2419="D",LEFT(UPPER(D2419)&amp;REPT(" ",2),2)," ")</f>
        <v/>
      </c>
      <c r="U2419" s="10">
        <f>IF(A2419="D",LEFT(UPPER(E2419)&amp;REPT(" ",15),15)," ")</f>
        <v/>
      </c>
      <c r="V2419" s="10">
        <f>REPT(" ",24)</f>
        <v/>
      </c>
      <c r="W2419" s="10">
        <f>IF(A2419="c",LEFT(UPPER(B2419)&amp;REPT(" ",20),20),REPT(" ",20))</f>
        <v/>
      </c>
      <c r="X2419" s="10">
        <f>IF(A2419="C",LEFT(UPPER(C2419)&amp;REPT(" ",10),10)," ")</f>
        <v/>
      </c>
      <c r="Y2419" s="10">
        <f>IF(A2419="C",LEFT(UPPER(D2419)&amp;REPT(" ",2),2)," ")</f>
        <v/>
      </c>
      <c r="Z2419" s="10">
        <f>IF(A2419="C",LEFT(UPPER(E2419)&amp;REPT(" ",15),15)," ")</f>
        <v/>
      </c>
      <c r="AA2419" s="10">
        <f>REPT(" ",8)</f>
        <v/>
      </c>
      <c r="AB2419" s="10">
        <f>REPT(" ",4)</f>
        <v/>
      </c>
      <c r="AC2419" s="10">
        <f>LEFT(UPPER(H2419)&amp;REPT(" ",250),250)</f>
        <v/>
      </c>
      <c r="AD2419" s="10">
        <f>TEXT($G$2,"dd/mm/aaaa")</f>
        <v/>
      </c>
      <c r="AE2419" s="10">
        <f>REPT(" ",10)</f>
        <v/>
      </c>
      <c r="AF2419" s="10">
        <f>REPT(" ",20)</f>
        <v/>
      </c>
      <c r="AG2419" s="54">
        <f>REPT(" ",18-LEN(FIXED(F2419,2,TRUE)))&amp;FIXED(F2419,2,TRUE)</f>
        <v/>
      </c>
      <c r="AH2419" s="10">
        <f>LEN(AC2419)+LEN(AG2419)</f>
        <v/>
      </c>
      <c r="AI2419" s="10">
        <f>LEN(L2419)</f>
        <v/>
      </c>
    </row>
    <row r="2420">
      <c r="J2420" s="12">
        <f>IF(F2420&lt;&gt;0,"LANÇAR","")</f>
        <v/>
      </c>
      <c r="L2420" s="13">
        <f>N2420&amp;O2420&amp;P2420&amp;Q2420&amp;R2420&amp;S2420&amp;T2420&amp;U2420&amp;V2420&amp;W2420&amp;X2420&amp;Y2420&amp;Z2420&amp;AA2420&amp;AB2420&amp;AC2420&amp;AD2420&amp;AE2420&amp;AF2420&amp;AG2420</f>
        <v/>
      </c>
      <c r="N2420" s="10">
        <f>TEXT($B$6,"00")</f>
        <v/>
      </c>
      <c r="O2420" s="10">
        <f>REPT(" ",8)</f>
        <v/>
      </c>
      <c r="P2420" s="10">
        <f>RIGHT($B$4,2)</f>
        <v/>
      </c>
      <c r="Q2420" s="10">
        <f>RIGHT($B$5,3)</f>
        <v/>
      </c>
      <c r="R2420" s="10">
        <f>IF(A2420="D",LEFT(UPPER(B2420)&amp;REPT(" ",20),20),REPT(" ",20))</f>
        <v/>
      </c>
      <c r="S2420" s="10">
        <f>IF(A2420="D",LEFT(UPPER(C2420)&amp;REPT(" ",10),10)," ")</f>
        <v/>
      </c>
      <c r="T2420" s="10">
        <f>IF(A2420="D",LEFT(UPPER(D2420)&amp;REPT(" ",2),2)," ")</f>
        <v/>
      </c>
      <c r="U2420" s="10">
        <f>IF(A2420="D",LEFT(UPPER(E2420)&amp;REPT(" ",15),15)," ")</f>
        <v/>
      </c>
      <c r="V2420" s="10">
        <f>REPT(" ",24)</f>
        <v/>
      </c>
      <c r="W2420" s="10">
        <f>IF(A2420="c",LEFT(UPPER(B2420)&amp;REPT(" ",20),20),REPT(" ",20))</f>
        <v/>
      </c>
      <c r="X2420" s="10">
        <f>IF(A2420="C",LEFT(UPPER(C2420)&amp;REPT(" ",10),10)," ")</f>
        <v/>
      </c>
      <c r="Y2420" s="10">
        <f>IF(A2420="C",LEFT(UPPER(D2420)&amp;REPT(" ",2),2)," ")</f>
        <v/>
      </c>
      <c r="Z2420" s="10">
        <f>IF(A2420="C",LEFT(UPPER(E2420)&amp;REPT(" ",15),15)," ")</f>
        <v/>
      </c>
      <c r="AA2420" s="10">
        <f>REPT(" ",8)</f>
        <v/>
      </c>
      <c r="AB2420" s="10">
        <f>REPT(" ",4)</f>
        <v/>
      </c>
      <c r="AC2420" s="10">
        <f>LEFT(UPPER(H2420)&amp;REPT(" ",250),250)</f>
        <v/>
      </c>
      <c r="AD2420" s="10">
        <f>TEXT($G$2,"dd/mm/aaaa")</f>
        <v/>
      </c>
      <c r="AE2420" s="10">
        <f>REPT(" ",10)</f>
        <v/>
      </c>
      <c r="AF2420" s="10">
        <f>REPT(" ",20)</f>
        <v/>
      </c>
      <c r="AG2420" s="54">
        <f>REPT(" ",18-LEN(FIXED(F2420,2,TRUE)))&amp;FIXED(F2420,2,TRUE)</f>
        <v/>
      </c>
      <c r="AH2420" s="10">
        <f>LEN(AC2420)+LEN(AG2420)</f>
        <v/>
      </c>
      <c r="AI2420" s="10">
        <f>LEN(L2420)</f>
        <v/>
      </c>
    </row>
    <row r="2421">
      <c r="J2421" s="12">
        <f>IF(F2421&lt;&gt;0,"LANÇAR","")</f>
        <v/>
      </c>
      <c r="L2421" s="13">
        <f>N2421&amp;O2421&amp;P2421&amp;Q2421&amp;R2421&amp;S2421&amp;T2421&amp;U2421&amp;V2421&amp;W2421&amp;X2421&amp;Y2421&amp;Z2421&amp;AA2421&amp;AB2421&amp;AC2421&amp;AD2421&amp;AE2421&amp;AF2421&amp;AG2421</f>
        <v/>
      </c>
      <c r="N2421" s="10">
        <f>TEXT($B$6,"00")</f>
        <v/>
      </c>
      <c r="O2421" s="10">
        <f>REPT(" ",8)</f>
        <v/>
      </c>
      <c r="P2421" s="10">
        <f>RIGHT($B$4,2)</f>
        <v/>
      </c>
      <c r="Q2421" s="10">
        <f>RIGHT($B$5,3)</f>
        <v/>
      </c>
      <c r="R2421" s="10">
        <f>IF(A2421="D",LEFT(UPPER(B2421)&amp;REPT(" ",20),20),REPT(" ",20))</f>
        <v/>
      </c>
      <c r="S2421" s="10">
        <f>IF(A2421="D",LEFT(UPPER(C2421)&amp;REPT(" ",10),10)," ")</f>
        <v/>
      </c>
      <c r="T2421" s="10">
        <f>IF(A2421="D",LEFT(UPPER(D2421)&amp;REPT(" ",2),2)," ")</f>
        <v/>
      </c>
      <c r="U2421" s="10">
        <f>IF(A2421="D",LEFT(UPPER(E2421)&amp;REPT(" ",15),15)," ")</f>
        <v/>
      </c>
      <c r="V2421" s="10">
        <f>REPT(" ",24)</f>
        <v/>
      </c>
      <c r="W2421" s="10">
        <f>IF(A2421="c",LEFT(UPPER(B2421)&amp;REPT(" ",20),20),REPT(" ",20))</f>
        <v/>
      </c>
      <c r="X2421" s="10">
        <f>IF(A2421="C",LEFT(UPPER(C2421)&amp;REPT(" ",10),10)," ")</f>
        <v/>
      </c>
      <c r="Y2421" s="10">
        <f>IF(A2421="C",LEFT(UPPER(D2421)&amp;REPT(" ",2),2)," ")</f>
        <v/>
      </c>
      <c r="Z2421" s="10">
        <f>IF(A2421="C",LEFT(UPPER(E2421)&amp;REPT(" ",15),15)," ")</f>
        <v/>
      </c>
      <c r="AA2421" s="10">
        <f>REPT(" ",8)</f>
        <v/>
      </c>
      <c r="AB2421" s="10">
        <f>REPT(" ",4)</f>
        <v/>
      </c>
      <c r="AC2421" s="10">
        <f>LEFT(UPPER(H2421)&amp;REPT(" ",250),250)</f>
        <v/>
      </c>
      <c r="AD2421" s="10">
        <f>TEXT($G$2,"dd/mm/aaaa")</f>
        <v/>
      </c>
      <c r="AE2421" s="10">
        <f>REPT(" ",10)</f>
        <v/>
      </c>
      <c r="AF2421" s="10">
        <f>REPT(" ",20)</f>
        <v/>
      </c>
      <c r="AG2421" s="54">
        <f>REPT(" ",18-LEN(FIXED(F2421,2,TRUE)))&amp;FIXED(F2421,2,TRUE)</f>
        <v/>
      </c>
      <c r="AH2421" s="10">
        <f>LEN(AC2421)+LEN(AG2421)</f>
        <v/>
      </c>
      <c r="AI2421" s="10">
        <f>LEN(L2421)</f>
        <v/>
      </c>
    </row>
    <row r="2422">
      <c r="J2422" s="12">
        <f>IF(F2422&lt;&gt;0,"LANÇAR","")</f>
        <v/>
      </c>
      <c r="L2422" s="13">
        <f>N2422&amp;O2422&amp;P2422&amp;Q2422&amp;R2422&amp;S2422&amp;T2422&amp;U2422&amp;V2422&amp;W2422&amp;X2422&amp;Y2422&amp;Z2422&amp;AA2422&amp;AB2422&amp;AC2422&amp;AD2422&amp;AE2422&amp;AF2422&amp;AG2422</f>
        <v/>
      </c>
      <c r="N2422" s="10">
        <f>TEXT($B$6,"00")</f>
        <v/>
      </c>
      <c r="O2422" s="10">
        <f>REPT(" ",8)</f>
        <v/>
      </c>
      <c r="P2422" s="10">
        <f>RIGHT($B$4,2)</f>
        <v/>
      </c>
      <c r="Q2422" s="10">
        <f>RIGHT($B$5,3)</f>
        <v/>
      </c>
      <c r="R2422" s="10">
        <f>IF(A2422="D",LEFT(UPPER(B2422)&amp;REPT(" ",20),20),REPT(" ",20))</f>
        <v/>
      </c>
      <c r="S2422" s="10">
        <f>IF(A2422="D",LEFT(UPPER(C2422)&amp;REPT(" ",10),10)," ")</f>
        <v/>
      </c>
      <c r="T2422" s="10">
        <f>IF(A2422="D",LEFT(UPPER(D2422)&amp;REPT(" ",2),2)," ")</f>
        <v/>
      </c>
      <c r="U2422" s="10">
        <f>IF(A2422="D",LEFT(UPPER(E2422)&amp;REPT(" ",15),15)," ")</f>
        <v/>
      </c>
      <c r="V2422" s="10">
        <f>REPT(" ",24)</f>
        <v/>
      </c>
      <c r="W2422" s="10">
        <f>IF(A2422="c",LEFT(UPPER(B2422)&amp;REPT(" ",20),20),REPT(" ",20))</f>
        <v/>
      </c>
      <c r="X2422" s="10">
        <f>IF(A2422="C",LEFT(UPPER(C2422)&amp;REPT(" ",10),10)," ")</f>
        <v/>
      </c>
      <c r="Y2422" s="10">
        <f>IF(A2422="C",LEFT(UPPER(D2422)&amp;REPT(" ",2),2)," ")</f>
        <v/>
      </c>
      <c r="Z2422" s="10">
        <f>IF(A2422="C",LEFT(UPPER(E2422)&amp;REPT(" ",15),15)," ")</f>
        <v/>
      </c>
      <c r="AA2422" s="10">
        <f>REPT(" ",8)</f>
        <v/>
      </c>
      <c r="AB2422" s="10">
        <f>REPT(" ",4)</f>
        <v/>
      </c>
      <c r="AC2422" s="10">
        <f>LEFT(UPPER(H2422)&amp;REPT(" ",250),250)</f>
        <v/>
      </c>
      <c r="AD2422" s="10">
        <f>TEXT($G$2,"dd/mm/aaaa")</f>
        <v/>
      </c>
      <c r="AE2422" s="10">
        <f>REPT(" ",10)</f>
        <v/>
      </c>
      <c r="AF2422" s="10">
        <f>REPT(" ",20)</f>
        <v/>
      </c>
      <c r="AG2422" s="54">
        <f>REPT(" ",18-LEN(FIXED(F2422,2,TRUE)))&amp;FIXED(F2422,2,TRUE)</f>
        <v/>
      </c>
      <c r="AH2422" s="10">
        <f>LEN(AC2422)+LEN(AG2422)</f>
        <v/>
      </c>
      <c r="AI2422" s="10">
        <f>LEN(L2422)</f>
        <v/>
      </c>
    </row>
    <row r="2423">
      <c r="J2423" s="12">
        <f>IF(F2423&lt;&gt;0,"LANÇAR","")</f>
        <v/>
      </c>
      <c r="L2423" s="13">
        <f>N2423&amp;O2423&amp;P2423&amp;Q2423&amp;R2423&amp;S2423&amp;T2423&amp;U2423&amp;V2423&amp;W2423&amp;X2423&amp;Y2423&amp;Z2423&amp;AA2423&amp;AB2423&amp;AC2423&amp;AD2423&amp;AE2423&amp;AF2423&amp;AG2423</f>
        <v/>
      </c>
      <c r="N2423" s="10">
        <f>TEXT($B$6,"00")</f>
        <v/>
      </c>
      <c r="O2423" s="10">
        <f>REPT(" ",8)</f>
        <v/>
      </c>
      <c r="P2423" s="10">
        <f>RIGHT($B$4,2)</f>
        <v/>
      </c>
      <c r="Q2423" s="10">
        <f>RIGHT($B$5,3)</f>
        <v/>
      </c>
      <c r="R2423" s="10">
        <f>IF(A2423="D",LEFT(UPPER(B2423)&amp;REPT(" ",20),20),REPT(" ",20))</f>
        <v/>
      </c>
      <c r="S2423" s="10">
        <f>IF(A2423="D",LEFT(UPPER(C2423)&amp;REPT(" ",10),10)," ")</f>
        <v/>
      </c>
      <c r="T2423" s="10">
        <f>IF(A2423="D",LEFT(UPPER(D2423)&amp;REPT(" ",2),2)," ")</f>
        <v/>
      </c>
      <c r="U2423" s="10">
        <f>IF(A2423="D",LEFT(UPPER(E2423)&amp;REPT(" ",15),15)," ")</f>
        <v/>
      </c>
      <c r="V2423" s="10">
        <f>REPT(" ",24)</f>
        <v/>
      </c>
      <c r="W2423" s="10">
        <f>IF(A2423="c",LEFT(UPPER(B2423)&amp;REPT(" ",20),20),REPT(" ",20))</f>
        <v/>
      </c>
      <c r="X2423" s="10">
        <f>IF(A2423="C",LEFT(UPPER(C2423)&amp;REPT(" ",10),10)," ")</f>
        <v/>
      </c>
      <c r="Y2423" s="10">
        <f>IF(A2423="C",LEFT(UPPER(D2423)&amp;REPT(" ",2),2)," ")</f>
        <v/>
      </c>
      <c r="Z2423" s="10">
        <f>IF(A2423="C",LEFT(UPPER(E2423)&amp;REPT(" ",15),15)," ")</f>
        <v/>
      </c>
      <c r="AA2423" s="10">
        <f>REPT(" ",8)</f>
        <v/>
      </c>
      <c r="AB2423" s="10">
        <f>REPT(" ",4)</f>
        <v/>
      </c>
      <c r="AC2423" s="10">
        <f>LEFT(UPPER(H2423)&amp;REPT(" ",250),250)</f>
        <v/>
      </c>
      <c r="AD2423" s="10">
        <f>TEXT($G$2,"dd/mm/aaaa")</f>
        <v/>
      </c>
      <c r="AE2423" s="10">
        <f>REPT(" ",10)</f>
        <v/>
      </c>
      <c r="AF2423" s="10">
        <f>REPT(" ",20)</f>
        <v/>
      </c>
      <c r="AG2423" s="54">
        <f>REPT(" ",18-LEN(FIXED(F2423,2,TRUE)))&amp;FIXED(F2423,2,TRUE)</f>
        <v/>
      </c>
      <c r="AH2423" s="10">
        <f>LEN(AC2423)+LEN(AG2423)</f>
        <v/>
      </c>
      <c r="AI2423" s="10">
        <f>LEN(L2423)</f>
        <v/>
      </c>
    </row>
    <row r="2424">
      <c r="J2424" s="12">
        <f>IF(F2424&lt;&gt;0,"LANÇAR","")</f>
        <v/>
      </c>
      <c r="L2424" s="13">
        <f>N2424&amp;O2424&amp;P2424&amp;Q2424&amp;R2424&amp;S2424&amp;T2424&amp;U2424&amp;V2424&amp;W2424&amp;X2424&amp;Y2424&amp;Z2424&amp;AA2424&amp;AB2424&amp;AC2424&amp;AD2424&amp;AE2424&amp;AF2424&amp;AG2424</f>
        <v/>
      </c>
      <c r="N2424" s="10">
        <f>TEXT($B$6,"00")</f>
        <v/>
      </c>
      <c r="O2424" s="10">
        <f>REPT(" ",8)</f>
        <v/>
      </c>
      <c r="P2424" s="10">
        <f>RIGHT($B$4,2)</f>
        <v/>
      </c>
      <c r="Q2424" s="10">
        <f>RIGHT($B$5,3)</f>
        <v/>
      </c>
      <c r="R2424" s="10">
        <f>IF(A2424="D",LEFT(UPPER(B2424)&amp;REPT(" ",20),20),REPT(" ",20))</f>
        <v/>
      </c>
      <c r="S2424" s="10">
        <f>IF(A2424="D",LEFT(UPPER(C2424)&amp;REPT(" ",10),10)," ")</f>
        <v/>
      </c>
      <c r="T2424" s="10">
        <f>IF(A2424="D",LEFT(UPPER(D2424)&amp;REPT(" ",2),2)," ")</f>
        <v/>
      </c>
      <c r="U2424" s="10">
        <f>IF(A2424="D",LEFT(UPPER(E2424)&amp;REPT(" ",15),15)," ")</f>
        <v/>
      </c>
      <c r="V2424" s="10">
        <f>REPT(" ",24)</f>
        <v/>
      </c>
      <c r="W2424" s="10">
        <f>IF(A2424="c",LEFT(UPPER(B2424)&amp;REPT(" ",20),20),REPT(" ",20))</f>
        <v/>
      </c>
      <c r="X2424" s="10">
        <f>IF(A2424="C",LEFT(UPPER(C2424)&amp;REPT(" ",10),10)," ")</f>
        <v/>
      </c>
      <c r="Y2424" s="10">
        <f>IF(A2424="C",LEFT(UPPER(D2424)&amp;REPT(" ",2),2)," ")</f>
        <v/>
      </c>
      <c r="Z2424" s="10">
        <f>IF(A2424="C",LEFT(UPPER(E2424)&amp;REPT(" ",15),15)," ")</f>
        <v/>
      </c>
      <c r="AA2424" s="10">
        <f>REPT(" ",8)</f>
        <v/>
      </c>
      <c r="AB2424" s="10">
        <f>REPT(" ",4)</f>
        <v/>
      </c>
      <c r="AC2424" s="10">
        <f>LEFT(UPPER(H2424)&amp;REPT(" ",250),250)</f>
        <v/>
      </c>
      <c r="AD2424" s="10">
        <f>TEXT($G$2,"dd/mm/aaaa")</f>
        <v/>
      </c>
      <c r="AE2424" s="10">
        <f>REPT(" ",10)</f>
        <v/>
      </c>
      <c r="AF2424" s="10">
        <f>REPT(" ",20)</f>
        <v/>
      </c>
      <c r="AG2424" s="54">
        <f>REPT(" ",18-LEN(FIXED(F2424,2,TRUE)))&amp;FIXED(F2424,2,TRUE)</f>
        <v/>
      </c>
      <c r="AH2424" s="10">
        <f>LEN(AC2424)+LEN(AG2424)</f>
        <v/>
      </c>
      <c r="AI2424" s="10">
        <f>LEN(L2424)</f>
        <v/>
      </c>
    </row>
    <row r="2425">
      <c r="J2425" s="12">
        <f>IF(F2425&lt;&gt;0,"LANÇAR","")</f>
        <v/>
      </c>
      <c r="L2425" s="13">
        <f>N2425&amp;O2425&amp;P2425&amp;Q2425&amp;R2425&amp;S2425&amp;T2425&amp;U2425&amp;V2425&amp;W2425&amp;X2425&amp;Y2425&amp;Z2425&amp;AA2425&amp;AB2425&amp;AC2425&amp;AD2425&amp;AE2425&amp;AF2425&amp;AG2425</f>
        <v/>
      </c>
      <c r="N2425" s="10">
        <f>TEXT($B$6,"00")</f>
        <v/>
      </c>
      <c r="O2425" s="10">
        <f>REPT(" ",8)</f>
        <v/>
      </c>
      <c r="P2425" s="10">
        <f>RIGHT($B$4,2)</f>
        <v/>
      </c>
      <c r="Q2425" s="10">
        <f>RIGHT($B$5,3)</f>
        <v/>
      </c>
      <c r="R2425" s="10">
        <f>IF(A2425="D",LEFT(UPPER(B2425)&amp;REPT(" ",20),20),REPT(" ",20))</f>
        <v/>
      </c>
      <c r="S2425" s="10">
        <f>IF(A2425="D",LEFT(UPPER(C2425)&amp;REPT(" ",10),10)," ")</f>
        <v/>
      </c>
      <c r="T2425" s="10">
        <f>IF(A2425="D",LEFT(UPPER(D2425)&amp;REPT(" ",2),2)," ")</f>
        <v/>
      </c>
      <c r="U2425" s="10">
        <f>IF(A2425="D",LEFT(UPPER(E2425)&amp;REPT(" ",15),15)," ")</f>
        <v/>
      </c>
      <c r="V2425" s="10">
        <f>REPT(" ",24)</f>
        <v/>
      </c>
      <c r="W2425" s="10">
        <f>IF(A2425="c",LEFT(UPPER(B2425)&amp;REPT(" ",20),20),REPT(" ",20))</f>
        <v/>
      </c>
      <c r="X2425" s="10">
        <f>IF(A2425="C",LEFT(UPPER(C2425)&amp;REPT(" ",10),10)," ")</f>
        <v/>
      </c>
      <c r="Y2425" s="10">
        <f>IF(A2425="C",LEFT(UPPER(D2425)&amp;REPT(" ",2),2)," ")</f>
        <v/>
      </c>
      <c r="Z2425" s="10">
        <f>IF(A2425="C",LEFT(UPPER(E2425)&amp;REPT(" ",15),15)," ")</f>
        <v/>
      </c>
      <c r="AA2425" s="10">
        <f>REPT(" ",8)</f>
        <v/>
      </c>
      <c r="AB2425" s="10">
        <f>REPT(" ",4)</f>
        <v/>
      </c>
      <c r="AC2425" s="10">
        <f>LEFT(UPPER(H2425)&amp;REPT(" ",250),250)</f>
        <v/>
      </c>
      <c r="AD2425" s="10">
        <f>TEXT($G$2,"dd/mm/aaaa")</f>
        <v/>
      </c>
      <c r="AE2425" s="10">
        <f>REPT(" ",10)</f>
        <v/>
      </c>
      <c r="AF2425" s="10">
        <f>REPT(" ",20)</f>
        <v/>
      </c>
      <c r="AG2425" s="54">
        <f>REPT(" ",18-LEN(FIXED(F2425,2,TRUE)))&amp;FIXED(F2425,2,TRUE)</f>
        <v/>
      </c>
      <c r="AH2425" s="10">
        <f>LEN(AC2425)+LEN(AG2425)</f>
        <v/>
      </c>
      <c r="AI2425" s="10">
        <f>LEN(L2425)</f>
        <v/>
      </c>
    </row>
    <row r="2426">
      <c r="J2426" s="12">
        <f>IF(F2426&lt;&gt;0,"LANÇAR","")</f>
        <v/>
      </c>
      <c r="L2426" s="13">
        <f>N2426&amp;O2426&amp;P2426&amp;Q2426&amp;R2426&amp;S2426&amp;T2426&amp;U2426&amp;V2426&amp;W2426&amp;X2426&amp;Y2426&amp;Z2426&amp;AA2426&amp;AB2426&amp;AC2426&amp;AD2426&amp;AE2426&amp;AF2426&amp;AG2426</f>
        <v/>
      </c>
      <c r="N2426" s="10">
        <f>TEXT($B$6,"00")</f>
        <v/>
      </c>
      <c r="O2426" s="10">
        <f>REPT(" ",8)</f>
        <v/>
      </c>
      <c r="P2426" s="10">
        <f>RIGHT($B$4,2)</f>
        <v/>
      </c>
      <c r="Q2426" s="10">
        <f>RIGHT($B$5,3)</f>
        <v/>
      </c>
      <c r="R2426" s="10">
        <f>IF(A2426="D",LEFT(UPPER(B2426)&amp;REPT(" ",20),20),REPT(" ",20))</f>
        <v/>
      </c>
      <c r="S2426" s="10">
        <f>IF(A2426="D",LEFT(UPPER(C2426)&amp;REPT(" ",10),10)," ")</f>
        <v/>
      </c>
      <c r="T2426" s="10">
        <f>IF(A2426="D",LEFT(UPPER(D2426)&amp;REPT(" ",2),2)," ")</f>
        <v/>
      </c>
      <c r="U2426" s="10">
        <f>IF(A2426="D",LEFT(UPPER(E2426)&amp;REPT(" ",15),15)," ")</f>
        <v/>
      </c>
      <c r="V2426" s="10">
        <f>REPT(" ",24)</f>
        <v/>
      </c>
      <c r="W2426" s="10">
        <f>IF(A2426="c",LEFT(UPPER(B2426)&amp;REPT(" ",20),20),REPT(" ",20))</f>
        <v/>
      </c>
      <c r="X2426" s="10">
        <f>IF(A2426="C",LEFT(UPPER(C2426)&amp;REPT(" ",10),10)," ")</f>
        <v/>
      </c>
      <c r="Y2426" s="10">
        <f>IF(A2426="C",LEFT(UPPER(D2426)&amp;REPT(" ",2),2)," ")</f>
        <v/>
      </c>
      <c r="Z2426" s="10">
        <f>IF(A2426="C",LEFT(UPPER(E2426)&amp;REPT(" ",15),15)," ")</f>
        <v/>
      </c>
      <c r="AA2426" s="10">
        <f>REPT(" ",8)</f>
        <v/>
      </c>
      <c r="AB2426" s="10">
        <f>REPT(" ",4)</f>
        <v/>
      </c>
      <c r="AC2426" s="10">
        <f>LEFT(UPPER(H2426)&amp;REPT(" ",250),250)</f>
        <v/>
      </c>
      <c r="AD2426" s="10">
        <f>TEXT($G$2,"dd/mm/aaaa")</f>
        <v/>
      </c>
      <c r="AE2426" s="10">
        <f>REPT(" ",10)</f>
        <v/>
      </c>
      <c r="AF2426" s="10">
        <f>REPT(" ",20)</f>
        <v/>
      </c>
      <c r="AG2426" s="54">
        <f>REPT(" ",18-LEN(FIXED(F2426,2,TRUE)))&amp;FIXED(F2426,2,TRUE)</f>
        <v/>
      </c>
      <c r="AH2426" s="10">
        <f>LEN(AC2426)+LEN(AG2426)</f>
        <v/>
      </c>
      <c r="AI2426" s="10">
        <f>LEN(L2426)</f>
        <v/>
      </c>
    </row>
    <row r="2427">
      <c r="J2427" s="12">
        <f>IF(F2427&lt;&gt;0,"LANÇAR","")</f>
        <v/>
      </c>
      <c r="L2427" s="13">
        <f>N2427&amp;O2427&amp;P2427&amp;Q2427&amp;R2427&amp;S2427&amp;T2427&amp;U2427&amp;V2427&amp;W2427&amp;X2427&amp;Y2427&amp;Z2427&amp;AA2427&amp;AB2427&amp;AC2427&amp;AD2427&amp;AE2427&amp;AF2427&amp;AG2427</f>
        <v/>
      </c>
      <c r="N2427" s="10">
        <f>TEXT($B$6,"00")</f>
        <v/>
      </c>
      <c r="O2427" s="10">
        <f>REPT(" ",8)</f>
        <v/>
      </c>
      <c r="P2427" s="10">
        <f>RIGHT($B$4,2)</f>
        <v/>
      </c>
      <c r="Q2427" s="10">
        <f>RIGHT($B$5,3)</f>
        <v/>
      </c>
      <c r="R2427" s="10">
        <f>IF(A2427="D",LEFT(UPPER(B2427)&amp;REPT(" ",20),20),REPT(" ",20))</f>
        <v/>
      </c>
      <c r="S2427" s="10">
        <f>IF(A2427="D",LEFT(UPPER(C2427)&amp;REPT(" ",10),10)," ")</f>
        <v/>
      </c>
      <c r="T2427" s="10">
        <f>IF(A2427="D",LEFT(UPPER(D2427)&amp;REPT(" ",2),2)," ")</f>
        <v/>
      </c>
      <c r="U2427" s="10">
        <f>IF(A2427="D",LEFT(UPPER(E2427)&amp;REPT(" ",15),15)," ")</f>
        <v/>
      </c>
      <c r="V2427" s="10">
        <f>REPT(" ",24)</f>
        <v/>
      </c>
      <c r="W2427" s="10">
        <f>IF(A2427="c",LEFT(UPPER(B2427)&amp;REPT(" ",20),20),REPT(" ",20))</f>
        <v/>
      </c>
      <c r="X2427" s="10">
        <f>IF(A2427="C",LEFT(UPPER(C2427)&amp;REPT(" ",10),10)," ")</f>
        <v/>
      </c>
      <c r="Y2427" s="10">
        <f>IF(A2427="C",LEFT(UPPER(D2427)&amp;REPT(" ",2),2)," ")</f>
        <v/>
      </c>
      <c r="Z2427" s="10">
        <f>IF(A2427="C",LEFT(UPPER(E2427)&amp;REPT(" ",15),15)," ")</f>
        <v/>
      </c>
      <c r="AA2427" s="10">
        <f>REPT(" ",8)</f>
        <v/>
      </c>
      <c r="AB2427" s="10">
        <f>REPT(" ",4)</f>
        <v/>
      </c>
      <c r="AC2427" s="10">
        <f>LEFT(UPPER(H2427)&amp;REPT(" ",250),250)</f>
        <v/>
      </c>
      <c r="AD2427" s="10">
        <f>TEXT($G$2,"dd/mm/aaaa")</f>
        <v/>
      </c>
      <c r="AE2427" s="10">
        <f>REPT(" ",10)</f>
        <v/>
      </c>
      <c r="AF2427" s="10">
        <f>REPT(" ",20)</f>
        <v/>
      </c>
      <c r="AG2427" s="54">
        <f>REPT(" ",18-LEN(FIXED(F2427,2,TRUE)))&amp;FIXED(F2427,2,TRUE)</f>
        <v/>
      </c>
      <c r="AH2427" s="10">
        <f>LEN(AC2427)+LEN(AG2427)</f>
        <v/>
      </c>
      <c r="AI2427" s="10">
        <f>LEN(L2427)</f>
        <v/>
      </c>
    </row>
    <row r="2428">
      <c r="J2428" s="12">
        <f>IF(F2428&lt;&gt;0,"LANÇAR","")</f>
        <v/>
      </c>
      <c r="L2428" s="13">
        <f>N2428&amp;O2428&amp;P2428&amp;Q2428&amp;R2428&amp;S2428&amp;T2428&amp;U2428&amp;V2428&amp;W2428&amp;X2428&amp;Y2428&amp;Z2428&amp;AA2428&amp;AB2428&amp;AC2428&amp;AD2428&amp;AE2428&amp;AF2428&amp;AG2428</f>
        <v/>
      </c>
      <c r="N2428" s="10">
        <f>TEXT($B$6,"00")</f>
        <v/>
      </c>
      <c r="O2428" s="10">
        <f>REPT(" ",8)</f>
        <v/>
      </c>
      <c r="P2428" s="10">
        <f>RIGHT($B$4,2)</f>
        <v/>
      </c>
      <c r="Q2428" s="10">
        <f>RIGHT($B$5,3)</f>
        <v/>
      </c>
      <c r="R2428" s="10">
        <f>IF(A2428="D",LEFT(UPPER(B2428)&amp;REPT(" ",20),20),REPT(" ",20))</f>
        <v/>
      </c>
      <c r="S2428" s="10">
        <f>IF(A2428="D",LEFT(UPPER(C2428)&amp;REPT(" ",10),10)," ")</f>
        <v/>
      </c>
      <c r="T2428" s="10">
        <f>IF(A2428="D",LEFT(UPPER(D2428)&amp;REPT(" ",2),2)," ")</f>
        <v/>
      </c>
      <c r="U2428" s="10">
        <f>IF(A2428="D",LEFT(UPPER(E2428)&amp;REPT(" ",15),15)," ")</f>
        <v/>
      </c>
      <c r="V2428" s="10">
        <f>REPT(" ",24)</f>
        <v/>
      </c>
      <c r="W2428" s="10">
        <f>IF(A2428="c",LEFT(UPPER(B2428)&amp;REPT(" ",20),20),REPT(" ",20))</f>
        <v/>
      </c>
      <c r="X2428" s="10">
        <f>IF(A2428="C",LEFT(UPPER(C2428)&amp;REPT(" ",10),10)," ")</f>
        <v/>
      </c>
      <c r="Y2428" s="10">
        <f>IF(A2428="C",LEFT(UPPER(D2428)&amp;REPT(" ",2),2)," ")</f>
        <v/>
      </c>
      <c r="Z2428" s="10">
        <f>IF(A2428="C",LEFT(UPPER(E2428)&amp;REPT(" ",15),15)," ")</f>
        <v/>
      </c>
      <c r="AA2428" s="10">
        <f>REPT(" ",8)</f>
        <v/>
      </c>
      <c r="AB2428" s="10">
        <f>REPT(" ",4)</f>
        <v/>
      </c>
      <c r="AC2428" s="10">
        <f>LEFT(UPPER(H2428)&amp;REPT(" ",250),250)</f>
        <v/>
      </c>
      <c r="AD2428" s="10">
        <f>TEXT($G$2,"dd/mm/aaaa")</f>
        <v/>
      </c>
      <c r="AE2428" s="10">
        <f>REPT(" ",10)</f>
        <v/>
      </c>
      <c r="AF2428" s="10">
        <f>REPT(" ",20)</f>
        <v/>
      </c>
      <c r="AG2428" s="54">
        <f>REPT(" ",18-LEN(FIXED(F2428,2,TRUE)))&amp;FIXED(F2428,2,TRUE)</f>
        <v/>
      </c>
      <c r="AH2428" s="10">
        <f>LEN(AC2428)+LEN(AG2428)</f>
        <v/>
      </c>
      <c r="AI2428" s="10">
        <f>LEN(L2428)</f>
        <v/>
      </c>
    </row>
    <row r="2429">
      <c r="J2429" s="12">
        <f>IF(F2429&lt;&gt;0,"LANÇAR","")</f>
        <v/>
      </c>
      <c r="L2429" s="13">
        <f>N2429&amp;O2429&amp;P2429&amp;Q2429&amp;R2429&amp;S2429&amp;T2429&amp;U2429&amp;V2429&amp;W2429&amp;X2429&amp;Y2429&amp;Z2429&amp;AA2429&amp;AB2429&amp;AC2429&amp;AD2429&amp;AE2429&amp;AF2429&amp;AG2429</f>
        <v/>
      </c>
      <c r="N2429" s="10">
        <f>TEXT($B$6,"00")</f>
        <v/>
      </c>
      <c r="O2429" s="10">
        <f>REPT(" ",8)</f>
        <v/>
      </c>
      <c r="P2429" s="10">
        <f>RIGHT($B$4,2)</f>
        <v/>
      </c>
      <c r="Q2429" s="10">
        <f>RIGHT($B$5,3)</f>
        <v/>
      </c>
      <c r="R2429" s="10">
        <f>IF(A2429="D",LEFT(UPPER(B2429)&amp;REPT(" ",20),20),REPT(" ",20))</f>
        <v/>
      </c>
      <c r="S2429" s="10">
        <f>IF(A2429="D",LEFT(UPPER(C2429)&amp;REPT(" ",10),10)," ")</f>
        <v/>
      </c>
      <c r="T2429" s="10">
        <f>IF(A2429="D",LEFT(UPPER(D2429)&amp;REPT(" ",2),2)," ")</f>
        <v/>
      </c>
      <c r="U2429" s="10">
        <f>IF(A2429="D",LEFT(UPPER(E2429)&amp;REPT(" ",15),15)," ")</f>
        <v/>
      </c>
      <c r="V2429" s="10">
        <f>REPT(" ",24)</f>
        <v/>
      </c>
      <c r="W2429" s="10">
        <f>IF(A2429="c",LEFT(UPPER(B2429)&amp;REPT(" ",20),20),REPT(" ",20))</f>
        <v/>
      </c>
      <c r="X2429" s="10">
        <f>IF(A2429="C",LEFT(UPPER(C2429)&amp;REPT(" ",10),10)," ")</f>
        <v/>
      </c>
      <c r="Y2429" s="10">
        <f>IF(A2429="C",LEFT(UPPER(D2429)&amp;REPT(" ",2),2)," ")</f>
        <v/>
      </c>
      <c r="Z2429" s="10">
        <f>IF(A2429="C",LEFT(UPPER(E2429)&amp;REPT(" ",15),15)," ")</f>
        <v/>
      </c>
      <c r="AA2429" s="10">
        <f>REPT(" ",8)</f>
        <v/>
      </c>
      <c r="AB2429" s="10">
        <f>REPT(" ",4)</f>
        <v/>
      </c>
      <c r="AC2429" s="10">
        <f>LEFT(UPPER(H2429)&amp;REPT(" ",250),250)</f>
        <v/>
      </c>
      <c r="AD2429" s="10">
        <f>TEXT($G$2,"dd/mm/aaaa")</f>
        <v/>
      </c>
      <c r="AE2429" s="10">
        <f>REPT(" ",10)</f>
        <v/>
      </c>
      <c r="AF2429" s="10">
        <f>REPT(" ",20)</f>
        <v/>
      </c>
      <c r="AG2429" s="54">
        <f>REPT(" ",18-LEN(FIXED(F2429,2,TRUE)))&amp;FIXED(F2429,2,TRUE)</f>
        <v/>
      </c>
      <c r="AH2429" s="10">
        <f>LEN(AC2429)+LEN(AG2429)</f>
        <v/>
      </c>
      <c r="AI2429" s="10">
        <f>LEN(L2429)</f>
        <v/>
      </c>
    </row>
    <row r="2430">
      <c r="J2430" s="12">
        <f>IF(F2430&lt;&gt;0,"LANÇAR","")</f>
        <v/>
      </c>
      <c r="L2430" s="13">
        <f>N2430&amp;O2430&amp;P2430&amp;Q2430&amp;R2430&amp;S2430&amp;T2430&amp;U2430&amp;V2430&amp;W2430&amp;X2430&amp;Y2430&amp;Z2430&amp;AA2430&amp;AB2430&amp;AC2430&amp;AD2430&amp;AE2430&amp;AF2430&amp;AG2430</f>
        <v/>
      </c>
      <c r="N2430" s="10">
        <f>TEXT($B$6,"00")</f>
        <v/>
      </c>
      <c r="O2430" s="10">
        <f>REPT(" ",8)</f>
        <v/>
      </c>
      <c r="P2430" s="10">
        <f>RIGHT($B$4,2)</f>
        <v/>
      </c>
      <c r="Q2430" s="10">
        <f>RIGHT($B$5,3)</f>
        <v/>
      </c>
      <c r="R2430" s="10">
        <f>IF(A2430="D",LEFT(UPPER(B2430)&amp;REPT(" ",20),20),REPT(" ",20))</f>
        <v/>
      </c>
      <c r="S2430" s="10">
        <f>IF(A2430="D",LEFT(UPPER(C2430)&amp;REPT(" ",10),10)," ")</f>
        <v/>
      </c>
      <c r="T2430" s="10">
        <f>IF(A2430="D",LEFT(UPPER(D2430)&amp;REPT(" ",2),2)," ")</f>
        <v/>
      </c>
      <c r="U2430" s="10">
        <f>IF(A2430="D",LEFT(UPPER(E2430)&amp;REPT(" ",15),15)," ")</f>
        <v/>
      </c>
      <c r="V2430" s="10">
        <f>REPT(" ",24)</f>
        <v/>
      </c>
      <c r="W2430" s="10">
        <f>IF(A2430="c",LEFT(UPPER(B2430)&amp;REPT(" ",20),20),REPT(" ",20))</f>
        <v/>
      </c>
      <c r="X2430" s="10">
        <f>IF(A2430="C",LEFT(UPPER(C2430)&amp;REPT(" ",10),10)," ")</f>
        <v/>
      </c>
      <c r="Y2430" s="10">
        <f>IF(A2430="C",LEFT(UPPER(D2430)&amp;REPT(" ",2),2)," ")</f>
        <v/>
      </c>
      <c r="Z2430" s="10">
        <f>IF(A2430="C",LEFT(UPPER(E2430)&amp;REPT(" ",15),15)," ")</f>
        <v/>
      </c>
      <c r="AA2430" s="10">
        <f>REPT(" ",8)</f>
        <v/>
      </c>
      <c r="AB2430" s="10">
        <f>REPT(" ",4)</f>
        <v/>
      </c>
      <c r="AC2430" s="10">
        <f>LEFT(UPPER(H2430)&amp;REPT(" ",250),250)</f>
        <v/>
      </c>
      <c r="AD2430" s="10">
        <f>TEXT($G$2,"dd/mm/aaaa")</f>
        <v/>
      </c>
      <c r="AE2430" s="10">
        <f>REPT(" ",10)</f>
        <v/>
      </c>
      <c r="AF2430" s="10">
        <f>REPT(" ",20)</f>
        <v/>
      </c>
      <c r="AG2430" s="54">
        <f>REPT(" ",18-LEN(FIXED(F2430,2,TRUE)))&amp;FIXED(F2430,2,TRUE)</f>
        <v/>
      </c>
      <c r="AH2430" s="10">
        <f>LEN(AC2430)+LEN(AG2430)</f>
        <v/>
      </c>
      <c r="AI2430" s="10">
        <f>LEN(L2430)</f>
        <v/>
      </c>
    </row>
    <row r="2431">
      <c r="J2431" s="12">
        <f>IF(F2431&lt;&gt;0,"LANÇAR","")</f>
        <v/>
      </c>
      <c r="L2431" s="13">
        <f>N2431&amp;O2431&amp;P2431&amp;Q2431&amp;R2431&amp;S2431&amp;T2431&amp;U2431&amp;V2431&amp;W2431&amp;X2431&amp;Y2431&amp;Z2431&amp;AA2431&amp;AB2431&amp;AC2431&amp;AD2431&amp;AE2431&amp;AF2431&amp;AG2431</f>
        <v/>
      </c>
      <c r="N2431" s="10">
        <f>TEXT($B$6,"00")</f>
        <v/>
      </c>
      <c r="O2431" s="10">
        <f>REPT(" ",8)</f>
        <v/>
      </c>
      <c r="P2431" s="10">
        <f>RIGHT($B$4,2)</f>
        <v/>
      </c>
      <c r="Q2431" s="10">
        <f>RIGHT($B$5,3)</f>
        <v/>
      </c>
      <c r="R2431" s="10">
        <f>IF(A2431="D",LEFT(UPPER(B2431)&amp;REPT(" ",20),20),REPT(" ",20))</f>
        <v/>
      </c>
      <c r="S2431" s="10">
        <f>IF(A2431="D",LEFT(UPPER(C2431)&amp;REPT(" ",10),10)," ")</f>
        <v/>
      </c>
      <c r="T2431" s="10">
        <f>IF(A2431="D",LEFT(UPPER(D2431)&amp;REPT(" ",2),2)," ")</f>
        <v/>
      </c>
      <c r="U2431" s="10">
        <f>IF(A2431="D",LEFT(UPPER(E2431)&amp;REPT(" ",15),15)," ")</f>
        <v/>
      </c>
      <c r="V2431" s="10">
        <f>REPT(" ",24)</f>
        <v/>
      </c>
      <c r="W2431" s="10">
        <f>IF(A2431="c",LEFT(UPPER(B2431)&amp;REPT(" ",20),20),REPT(" ",20))</f>
        <v/>
      </c>
      <c r="X2431" s="10">
        <f>IF(A2431="C",LEFT(UPPER(C2431)&amp;REPT(" ",10),10)," ")</f>
        <v/>
      </c>
      <c r="Y2431" s="10">
        <f>IF(A2431="C",LEFT(UPPER(D2431)&amp;REPT(" ",2),2)," ")</f>
        <v/>
      </c>
      <c r="Z2431" s="10">
        <f>IF(A2431="C",LEFT(UPPER(E2431)&amp;REPT(" ",15),15)," ")</f>
        <v/>
      </c>
      <c r="AA2431" s="10">
        <f>REPT(" ",8)</f>
        <v/>
      </c>
      <c r="AB2431" s="10">
        <f>REPT(" ",4)</f>
        <v/>
      </c>
      <c r="AC2431" s="10">
        <f>LEFT(UPPER(H2431)&amp;REPT(" ",250),250)</f>
        <v/>
      </c>
      <c r="AD2431" s="10">
        <f>TEXT($G$2,"dd/mm/aaaa")</f>
        <v/>
      </c>
      <c r="AE2431" s="10">
        <f>REPT(" ",10)</f>
        <v/>
      </c>
      <c r="AF2431" s="10">
        <f>REPT(" ",20)</f>
        <v/>
      </c>
      <c r="AG2431" s="54">
        <f>REPT(" ",18-LEN(FIXED(F2431,2,TRUE)))&amp;FIXED(F2431,2,TRUE)</f>
        <v/>
      </c>
      <c r="AH2431" s="10">
        <f>LEN(AC2431)+LEN(AG2431)</f>
        <v/>
      </c>
      <c r="AI2431" s="10">
        <f>LEN(L2431)</f>
        <v/>
      </c>
    </row>
    <row r="2432">
      <c r="J2432" s="12">
        <f>IF(F2432&lt;&gt;0,"LANÇAR","")</f>
        <v/>
      </c>
      <c r="L2432" s="13">
        <f>N2432&amp;O2432&amp;P2432&amp;Q2432&amp;R2432&amp;S2432&amp;T2432&amp;U2432&amp;V2432&amp;W2432&amp;X2432&amp;Y2432&amp;Z2432&amp;AA2432&amp;AB2432&amp;AC2432&amp;AD2432&amp;AE2432&amp;AF2432&amp;AG2432</f>
        <v/>
      </c>
      <c r="N2432" s="10">
        <f>TEXT($B$6,"00")</f>
        <v/>
      </c>
      <c r="O2432" s="10">
        <f>REPT(" ",8)</f>
        <v/>
      </c>
      <c r="P2432" s="10">
        <f>RIGHT($B$4,2)</f>
        <v/>
      </c>
      <c r="Q2432" s="10">
        <f>RIGHT($B$5,3)</f>
        <v/>
      </c>
      <c r="R2432" s="10">
        <f>IF(A2432="D",LEFT(UPPER(B2432)&amp;REPT(" ",20),20),REPT(" ",20))</f>
        <v/>
      </c>
      <c r="S2432" s="10">
        <f>IF(A2432="D",LEFT(UPPER(C2432)&amp;REPT(" ",10),10)," ")</f>
        <v/>
      </c>
      <c r="T2432" s="10">
        <f>IF(A2432="D",LEFT(UPPER(D2432)&amp;REPT(" ",2),2)," ")</f>
        <v/>
      </c>
      <c r="U2432" s="10">
        <f>IF(A2432="D",LEFT(UPPER(E2432)&amp;REPT(" ",15),15)," ")</f>
        <v/>
      </c>
      <c r="V2432" s="10">
        <f>REPT(" ",24)</f>
        <v/>
      </c>
      <c r="W2432" s="10">
        <f>IF(A2432="c",LEFT(UPPER(B2432)&amp;REPT(" ",20),20),REPT(" ",20))</f>
        <v/>
      </c>
      <c r="X2432" s="10">
        <f>IF(A2432="C",LEFT(UPPER(C2432)&amp;REPT(" ",10),10)," ")</f>
        <v/>
      </c>
      <c r="Y2432" s="10">
        <f>IF(A2432="C",LEFT(UPPER(D2432)&amp;REPT(" ",2),2)," ")</f>
        <v/>
      </c>
      <c r="Z2432" s="10">
        <f>IF(A2432="C",LEFT(UPPER(E2432)&amp;REPT(" ",15),15)," ")</f>
        <v/>
      </c>
      <c r="AA2432" s="10">
        <f>REPT(" ",8)</f>
        <v/>
      </c>
      <c r="AB2432" s="10">
        <f>REPT(" ",4)</f>
        <v/>
      </c>
      <c r="AC2432" s="10">
        <f>LEFT(UPPER(H2432)&amp;REPT(" ",250),250)</f>
        <v/>
      </c>
      <c r="AD2432" s="10">
        <f>TEXT($G$2,"dd/mm/aaaa")</f>
        <v/>
      </c>
      <c r="AE2432" s="10">
        <f>REPT(" ",10)</f>
        <v/>
      </c>
      <c r="AF2432" s="10">
        <f>REPT(" ",20)</f>
        <v/>
      </c>
      <c r="AG2432" s="54">
        <f>REPT(" ",18-LEN(FIXED(F2432,2,TRUE)))&amp;FIXED(F2432,2,TRUE)</f>
        <v/>
      </c>
      <c r="AH2432" s="10">
        <f>LEN(AC2432)+LEN(AG2432)</f>
        <v/>
      </c>
      <c r="AI2432" s="10">
        <f>LEN(L2432)</f>
        <v/>
      </c>
    </row>
    <row r="2433">
      <c r="J2433" s="12">
        <f>IF(F2433&lt;&gt;0,"LANÇAR","")</f>
        <v/>
      </c>
      <c r="L2433" s="13">
        <f>N2433&amp;O2433&amp;P2433&amp;Q2433&amp;R2433&amp;S2433&amp;T2433&amp;U2433&amp;V2433&amp;W2433&amp;X2433&amp;Y2433&amp;Z2433&amp;AA2433&amp;AB2433&amp;AC2433&amp;AD2433&amp;AE2433&amp;AF2433&amp;AG2433</f>
        <v/>
      </c>
      <c r="N2433" s="10">
        <f>TEXT($B$6,"00")</f>
        <v/>
      </c>
      <c r="O2433" s="10">
        <f>REPT(" ",8)</f>
        <v/>
      </c>
      <c r="P2433" s="10">
        <f>RIGHT($B$4,2)</f>
        <v/>
      </c>
      <c r="Q2433" s="10">
        <f>RIGHT($B$5,3)</f>
        <v/>
      </c>
      <c r="R2433" s="10">
        <f>IF(A2433="D",LEFT(UPPER(B2433)&amp;REPT(" ",20),20),REPT(" ",20))</f>
        <v/>
      </c>
      <c r="S2433" s="10">
        <f>IF(A2433="D",LEFT(UPPER(C2433)&amp;REPT(" ",10),10)," ")</f>
        <v/>
      </c>
      <c r="T2433" s="10">
        <f>IF(A2433="D",LEFT(UPPER(D2433)&amp;REPT(" ",2),2)," ")</f>
        <v/>
      </c>
      <c r="U2433" s="10">
        <f>IF(A2433="D",LEFT(UPPER(E2433)&amp;REPT(" ",15),15)," ")</f>
        <v/>
      </c>
      <c r="V2433" s="10">
        <f>REPT(" ",24)</f>
        <v/>
      </c>
      <c r="W2433" s="10">
        <f>IF(A2433="c",LEFT(UPPER(B2433)&amp;REPT(" ",20),20),REPT(" ",20))</f>
        <v/>
      </c>
      <c r="X2433" s="10">
        <f>IF(A2433="C",LEFT(UPPER(C2433)&amp;REPT(" ",10),10)," ")</f>
        <v/>
      </c>
      <c r="Y2433" s="10">
        <f>IF(A2433="C",LEFT(UPPER(D2433)&amp;REPT(" ",2),2)," ")</f>
        <v/>
      </c>
      <c r="Z2433" s="10">
        <f>IF(A2433="C",LEFT(UPPER(E2433)&amp;REPT(" ",15),15)," ")</f>
        <v/>
      </c>
      <c r="AA2433" s="10">
        <f>REPT(" ",8)</f>
        <v/>
      </c>
      <c r="AB2433" s="10">
        <f>REPT(" ",4)</f>
        <v/>
      </c>
      <c r="AC2433" s="10">
        <f>LEFT(UPPER(H2433)&amp;REPT(" ",250),250)</f>
        <v/>
      </c>
      <c r="AD2433" s="10">
        <f>TEXT($G$2,"dd/mm/aaaa")</f>
        <v/>
      </c>
      <c r="AE2433" s="10">
        <f>REPT(" ",10)</f>
        <v/>
      </c>
      <c r="AF2433" s="10">
        <f>REPT(" ",20)</f>
        <v/>
      </c>
      <c r="AG2433" s="54">
        <f>REPT(" ",18-LEN(FIXED(F2433,2,TRUE)))&amp;FIXED(F2433,2,TRUE)</f>
        <v/>
      </c>
      <c r="AH2433" s="10">
        <f>LEN(AC2433)+LEN(AG2433)</f>
        <v/>
      </c>
      <c r="AI2433" s="10">
        <f>LEN(L2433)</f>
        <v/>
      </c>
    </row>
    <row r="2434">
      <c r="J2434" s="12">
        <f>IF(F2434&lt;&gt;0,"LANÇAR","")</f>
        <v/>
      </c>
      <c r="L2434" s="13">
        <f>N2434&amp;O2434&amp;P2434&amp;Q2434&amp;R2434&amp;S2434&amp;T2434&amp;U2434&amp;V2434&amp;W2434&amp;X2434&amp;Y2434&amp;Z2434&amp;AA2434&amp;AB2434&amp;AC2434&amp;AD2434&amp;AE2434&amp;AF2434&amp;AG2434</f>
        <v/>
      </c>
      <c r="N2434" s="10">
        <f>TEXT($B$6,"00")</f>
        <v/>
      </c>
      <c r="O2434" s="10">
        <f>REPT(" ",8)</f>
        <v/>
      </c>
      <c r="P2434" s="10">
        <f>RIGHT($B$4,2)</f>
        <v/>
      </c>
      <c r="Q2434" s="10">
        <f>RIGHT($B$5,3)</f>
        <v/>
      </c>
      <c r="R2434" s="10">
        <f>IF(A2434="D",LEFT(UPPER(B2434)&amp;REPT(" ",20),20),REPT(" ",20))</f>
        <v/>
      </c>
      <c r="S2434" s="10">
        <f>IF(A2434="D",LEFT(UPPER(C2434)&amp;REPT(" ",10),10)," ")</f>
        <v/>
      </c>
      <c r="T2434" s="10">
        <f>IF(A2434="D",LEFT(UPPER(D2434)&amp;REPT(" ",2),2)," ")</f>
        <v/>
      </c>
      <c r="U2434" s="10">
        <f>IF(A2434="D",LEFT(UPPER(E2434)&amp;REPT(" ",15),15)," ")</f>
        <v/>
      </c>
      <c r="V2434" s="10">
        <f>REPT(" ",24)</f>
        <v/>
      </c>
      <c r="W2434" s="10">
        <f>IF(A2434="c",LEFT(UPPER(B2434)&amp;REPT(" ",20),20),REPT(" ",20))</f>
        <v/>
      </c>
      <c r="X2434" s="10">
        <f>IF(A2434="C",LEFT(UPPER(C2434)&amp;REPT(" ",10),10)," ")</f>
        <v/>
      </c>
      <c r="Y2434" s="10">
        <f>IF(A2434="C",LEFT(UPPER(D2434)&amp;REPT(" ",2),2)," ")</f>
        <v/>
      </c>
      <c r="Z2434" s="10">
        <f>IF(A2434="C",LEFT(UPPER(E2434)&amp;REPT(" ",15),15)," ")</f>
        <v/>
      </c>
      <c r="AA2434" s="10">
        <f>REPT(" ",8)</f>
        <v/>
      </c>
      <c r="AB2434" s="10">
        <f>REPT(" ",4)</f>
        <v/>
      </c>
      <c r="AC2434" s="10">
        <f>LEFT(UPPER(H2434)&amp;REPT(" ",250),250)</f>
        <v/>
      </c>
      <c r="AD2434" s="10">
        <f>TEXT($G$2,"dd/mm/aaaa")</f>
        <v/>
      </c>
      <c r="AE2434" s="10">
        <f>REPT(" ",10)</f>
        <v/>
      </c>
      <c r="AF2434" s="10">
        <f>REPT(" ",20)</f>
        <v/>
      </c>
      <c r="AG2434" s="54">
        <f>REPT(" ",18-LEN(FIXED(F2434,2,TRUE)))&amp;FIXED(F2434,2,TRUE)</f>
        <v/>
      </c>
      <c r="AH2434" s="10">
        <f>LEN(AC2434)+LEN(AG2434)</f>
        <v/>
      </c>
      <c r="AI2434" s="10">
        <f>LEN(L2434)</f>
        <v/>
      </c>
    </row>
    <row r="2435">
      <c r="J2435" s="12">
        <f>IF(F2435&lt;&gt;0,"LANÇAR","")</f>
        <v/>
      </c>
      <c r="L2435" s="13">
        <f>N2435&amp;O2435&amp;P2435&amp;Q2435&amp;R2435&amp;S2435&amp;T2435&amp;U2435&amp;V2435&amp;W2435&amp;X2435&amp;Y2435&amp;Z2435&amp;AA2435&amp;AB2435&amp;AC2435&amp;AD2435&amp;AE2435&amp;AF2435&amp;AG2435</f>
        <v/>
      </c>
      <c r="N2435" s="10">
        <f>TEXT($B$6,"00")</f>
        <v/>
      </c>
      <c r="O2435" s="10">
        <f>REPT(" ",8)</f>
        <v/>
      </c>
      <c r="P2435" s="10">
        <f>RIGHT($B$4,2)</f>
        <v/>
      </c>
      <c r="Q2435" s="10">
        <f>RIGHT($B$5,3)</f>
        <v/>
      </c>
      <c r="R2435" s="10">
        <f>IF(A2435="D",LEFT(UPPER(B2435)&amp;REPT(" ",20),20),REPT(" ",20))</f>
        <v/>
      </c>
      <c r="S2435" s="10">
        <f>IF(A2435="D",LEFT(UPPER(C2435)&amp;REPT(" ",10),10)," ")</f>
        <v/>
      </c>
      <c r="T2435" s="10">
        <f>IF(A2435="D",LEFT(UPPER(D2435)&amp;REPT(" ",2),2)," ")</f>
        <v/>
      </c>
      <c r="U2435" s="10">
        <f>IF(A2435="D",LEFT(UPPER(E2435)&amp;REPT(" ",15),15)," ")</f>
        <v/>
      </c>
      <c r="V2435" s="10">
        <f>REPT(" ",24)</f>
        <v/>
      </c>
      <c r="W2435" s="10">
        <f>IF(A2435="c",LEFT(UPPER(B2435)&amp;REPT(" ",20),20),REPT(" ",20))</f>
        <v/>
      </c>
      <c r="X2435" s="10">
        <f>IF(A2435="C",LEFT(UPPER(C2435)&amp;REPT(" ",10),10)," ")</f>
        <v/>
      </c>
      <c r="Y2435" s="10">
        <f>IF(A2435="C",LEFT(UPPER(D2435)&amp;REPT(" ",2),2)," ")</f>
        <v/>
      </c>
      <c r="Z2435" s="10">
        <f>IF(A2435="C",LEFT(UPPER(E2435)&amp;REPT(" ",15),15)," ")</f>
        <v/>
      </c>
      <c r="AA2435" s="10">
        <f>REPT(" ",8)</f>
        <v/>
      </c>
      <c r="AB2435" s="10">
        <f>REPT(" ",4)</f>
        <v/>
      </c>
      <c r="AC2435" s="10">
        <f>LEFT(UPPER(H2435)&amp;REPT(" ",250),250)</f>
        <v/>
      </c>
      <c r="AD2435" s="10">
        <f>TEXT($G$2,"dd/mm/aaaa")</f>
        <v/>
      </c>
      <c r="AE2435" s="10">
        <f>REPT(" ",10)</f>
        <v/>
      </c>
      <c r="AF2435" s="10">
        <f>REPT(" ",20)</f>
        <v/>
      </c>
      <c r="AG2435" s="54">
        <f>REPT(" ",18-LEN(FIXED(F2435,2,TRUE)))&amp;FIXED(F2435,2,TRUE)</f>
        <v/>
      </c>
      <c r="AH2435" s="10">
        <f>LEN(AC2435)+LEN(AG2435)</f>
        <v/>
      </c>
      <c r="AI2435" s="10">
        <f>LEN(L2435)</f>
        <v/>
      </c>
    </row>
    <row r="2436">
      <c r="J2436" s="12">
        <f>IF(F2436&lt;&gt;0,"LANÇAR","")</f>
        <v/>
      </c>
      <c r="L2436" s="13">
        <f>N2436&amp;O2436&amp;P2436&amp;Q2436&amp;R2436&amp;S2436&amp;T2436&amp;U2436&amp;V2436&amp;W2436&amp;X2436&amp;Y2436&amp;Z2436&amp;AA2436&amp;AB2436&amp;AC2436&amp;AD2436&amp;AE2436&amp;AF2436&amp;AG2436</f>
        <v/>
      </c>
      <c r="N2436" s="10">
        <f>TEXT($B$6,"00")</f>
        <v/>
      </c>
      <c r="O2436" s="10">
        <f>REPT(" ",8)</f>
        <v/>
      </c>
      <c r="P2436" s="10">
        <f>RIGHT($B$4,2)</f>
        <v/>
      </c>
      <c r="Q2436" s="10">
        <f>RIGHT($B$5,3)</f>
        <v/>
      </c>
      <c r="R2436" s="10">
        <f>IF(A2436="D",LEFT(UPPER(B2436)&amp;REPT(" ",20),20),REPT(" ",20))</f>
        <v/>
      </c>
      <c r="S2436" s="10">
        <f>IF(A2436="D",LEFT(UPPER(C2436)&amp;REPT(" ",10),10)," ")</f>
        <v/>
      </c>
      <c r="T2436" s="10">
        <f>IF(A2436="D",LEFT(UPPER(D2436)&amp;REPT(" ",2),2)," ")</f>
        <v/>
      </c>
      <c r="U2436" s="10">
        <f>IF(A2436="D",LEFT(UPPER(E2436)&amp;REPT(" ",15),15)," ")</f>
        <v/>
      </c>
      <c r="V2436" s="10">
        <f>REPT(" ",24)</f>
        <v/>
      </c>
      <c r="W2436" s="10">
        <f>IF(A2436="c",LEFT(UPPER(B2436)&amp;REPT(" ",20),20),REPT(" ",20))</f>
        <v/>
      </c>
      <c r="X2436" s="10">
        <f>IF(A2436="C",LEFT(UPPER(C2436)&amp;REPT(" ",10),10)," ")</f>
        <v/>
      </c>
      <c r="Y2436" s="10">
        <f>IF(A2436="C",LEFT(UPPER(D2436)&amp;REPT(" ",2),2)," ")</f>
        <v/>
      </c>
      <c r="Z2436" s="10">
        <f>IF(A2436="C",LEFT(UPPER(E2436)&amp;REPT(" ",15),15)," ")</f>
        <v/>
      </c>
      <c r="AA2436" s="10">
        <f>REPT(" ",8)</f>
        <v/>
      </c>
      <c r="AB2436" s="10">
        <f>REPT(" ",4)</f>
        <v/>
      </c>
      <c r="AC2436" s="10">
        <f>LEFT(UPPER(H2436)&amp;REPT(" ",250),250)</f>
        <v/>
      </c>
      <c r="AD2436" s="10">
        <f>TEXT($G$2,"dd/mm/aaaa")</f>
        <v/>
      </c>
      <c r="AE2436" s="10">
        <f>REPT(" ",10)</f>
        <v/>
      </c>
      <c r="AF2436" s="10">
        <f>REPT(" ",20)</f>
        <v/>
      </c>
      <c r="AG2436" s="54">
        <f>REPT(" ",18-LEN(FIXED(F2436,2,TRUE)))&amp;FIXED(F2436,2,TRUE)</f>
        <v/>
      </c>
      <c r="AH2436" s="10">
        <f>LEN(AC2436)+LEN(AG2436)</f>
        <v/>
      </c>
      <c r="AI2436" s="10">
        <f>LEN(L2436)</f>
        <v/>
      </c>
    </row>
    <row r="2437">
      <c r="J2437" s="12">
        <f>IF(F2437&lt;&gt;0,"LANÇAR","")</f>
        <v/>
      </c>
      <c r="L2437" s="13">
        <f>N2437&amp;O2437&amp;P2437&amp;Q2437&amp;R2437&amp;S2437&amp;T2437&amp;U2437&amp;V2437&amp;W2437&amp;X2437&amp;Y2437&amp;Z2437&amp;AA2437&amp;AB2437&amp;AC2437&amp;AD2437&amp;AE2437&amp;AF2437&amp;AG2437</f>
        <v/>
      </c>
      <c r="N2437" s="10">
        <f>TEXT($B$6,"00")</f>
        <v/>
      </c>
      <c r="O2437" s="10">
        <f>REPT(" ",8)</f>
        <v/>
      </c>
      <c r="P2437" s="10">
        <f>RIGHT($B$4,2)</f>
        <v/>
      </c>
      <c r="Q2437" s="10">
        <f>RIGHT($B$5,3)</f>
        <v/>
      </c>
      <c r="R2437" s="10">
        <f>IF(A2437="D",LEFT(UPPER(B2437)&amp;REPT(" ",20),20),REPT(" ",20))</f>
        <v/>
      </c>
      <c r="S2437" s="10">
        <f>IF(A2437="D",LEFT(UPPER(C2437)&amp;REPT(" ",10),10)," ")</f>
        <v/>
      </c>
      <c r="T2437" s="10">
        <f>IF(A2437="D",LEFT(UPPER(D2437)&amp;REPT(" ",2),2)," ")</f>
        <v/>
      </c>
      <c r="U2437" s="10">
        <f>IF(A2437="D",LEFT(UPPER(E2437)&amp;REPT(" ",15),15)," ")</f>
        <v/>
      </c>
      <c r="V2437" s="10">
        <f>REPT(" ",24)</f>
        <v/>
      </c>
      <c r="W2437" s="10">
        <f>IF(A2437="c",LEFT(UPPER(B2437)&amp;REPT(" ",20),20),REPT(" ",20))</f>
        <v/>
      </c>
      <c r="X2437" s="10">
        <f>IF(A2437="C",LEFT(UPPER(C2437)&amp;REPT(" ",10),10)," ")</f>
        <v/>
      </c>
      <c r="Y2437" s="10">
        <f>IF(A2437="C",LEFT(UPPER(D2437)&amp;REPT(" ",2),2)," ")</f>
        <v/>
      </c>
      <c r="Z2437" s="10">
        <f>IF(A2437="C",LEFT(UPPER(E2437)&amp;REPT(" ",15),15)," ")</f>
        <v/>
      </c>
      <c r="AA2437" s="10">
        <f>REPT(" ",8)</f>
        <v/>
      </c>
      <c r="AB2437" s="10">
        <f>REPT(" ",4)</f>
        <v/>
      </c>
      <c r="AC2437" s="10">
        <f>LEFT(UPPER(H2437)&amp;REPT(" ",250),250)</f>
        <v/>
      </c>
      <c r="AD2437" s="10">
        <f>TEXT($G$2,"dd/mm/aaaa")</f>
        <v/>
      </c>
      <c r="AE2437" s="10">
        <f>REPT(" ",10)</f>
        <v/>
      </c>
      <c r="AF2437" s="10">
        <f>REPT(" ",20)</f>
        <v/>
      </c>
      <c r="AG2437" s="54">
        <f>REPT(" ",18-LEN(FIXED(F2437,2,TRUE)))&amp;FIXED(F2437,2,TRUE)</f>
        <v/>
      </c>
      <c r="AH2437" s="10">
        <f>LEN(AC2437)+LEN(AG2437)</f>
        <v/>
      </c>
      <c r="AI2437" s="10">
        <f>LEN(L2437)</f>
        <v/>
      </c>
    </row>
    <row r="2438">
      <c r="J2438" s="12">
        <f>IF(F2438&lt;&gt;0,"LANÇAR","")</f>
        <v/>
      </c>
      <c r="L2438" s="13">
        <f>N2438&amp;O2438&amp;P2438&amp;Q2438&amp;R2438&amp;S2438&amp;T2438&amp;U2438&amp;V2438&amp;W2438&amp;X2438&amp;Y2438&amp;Z2438&amp;AA2438&amp;AB2438&amp;AC2438&amp;AD2438&amp;AE2438&amp;AF2438&amp;AG2438</f>
        <v/>
      </c>
      <c r="N2438" s="10">
        <f>TEXT($B$6,"00")</f>
        <v/>
      </c>
      <c r="O2438" s="10">
        <f>REPT(" ",8)</f>
        <v/>
      </c>
      <c r="P2438" s="10">
        <f>RIGHT($B$4,2)</f>
        <v/>
      </c>
      <c r="Q2438" s="10">
        <f>RIGHT($B$5,3)</f>
        <v/>
      </c>
      <c r="R2438" s="10">
        <f>IF(A2438="D",LEFT(UPPER(B2438)&amp;REPT(" ",20),20),REPT(" ",20))</f>
        <v/>
      </c>
      <c r="S2438" s="10">
        <f>IF(A2438="D",LEFT(UPPER(C2438)&amp;REPT(" ",10),10)," ")</f>
        <v/>
      </c>
      <c r="T2438" s="10">
        <f>IF(A2438="D",LEFT(UPPER(D2438)&amp;REPT(" ",2),2)," ")</f>
        <v/>
      </c>
      <c r="U2438" s="10">
        <f>IF(A2438="D",LEFT(UPPER(E2438)&amp;REPT(" ",15),15)," ")</f>
        <v/>
      </c>
      <c r="V2438" s="10">
        <f>REPT(" ",24)</f>
        <v/>
      </c>
      <c r="W2438" s="10">
        <f>IF(A2438="c",LEFT(UPPER(B2438)&amp;REPT(" ",20),20),REPT(" ",20))</f>
        <v/>
      </c>
      <c r="X2438" s="10">
        <f>IF(A2438="C",LEFT(UPPER(C2438)&amp;REPT(" ",10),10)," ")</f>
        <v/>
      </c>
      <c r="Y2438" s="10">
        <f>IF(A2438="C",LEFT(UPPER(D2438)&amp;REPT(" ",2),2)," ")</f>
        <v/>
      </c>
      <c r="Z2438" s="10">
        <f>IF(A2438="C",LEFT(UPPER(E2438)&amp;REPT(" ",15),15)," ")</f>
        <v/>
      </c>
      <c r="AA2438" s="10">
        <f>REPT(" ",8)</f>
        <v/>
      </c>
      <c r="AB2438" s="10">
        <f>REPT(" ",4)</f>
        <v/>
      </c>
      <c r="AC2438" s="10">
        <f>LEFT(UPPER(H2438)&amp;REPT(" ",250),250)</f>
        <v/>
      </c>
      <c r="AD2438" s="10">
        <f>TEXT($G$2,"dd/mm/aaaa")</f>
        <v/>
      </c>
      <c r="AE2438" s="10">
        <f>REPT(" ",10)</f>
        <v/>
      </c>
      <c r="AF2438" s="10">
        <f>REPT(" ",20)</f>
        <v/>
      </c>
      <c r="AG2438" s="54">
        <f>REPT(" ",18-LEN(FIXED(F2438,2,TRUE)))&amp;FIXED(F2438,2,TRUE)</f>
        <v/>
      </c>
      <c r="AH2438" s="10">
        <f>LEN(AC2438)+LEN(AG2438)</f>
        <v/>
      </c>
      <c r="AI2438" s="10">
        <f>LEN(L2438)</f>
        <v/>
      </c>
    </row>
    <row r="2439">
      <c r="J2439" s="12">
        <f>IF(F2439&lt;&gt;0,"LANÇAR","")</f>
        <v/>
      </c>
      <c r="L2439" s="13">
        <f>N2439&amp;O2439&amp;P2439&amp;Q2439&amp;R2439&amp;S2439&amp;T2439&amp;U2439&amp;V2439&amp;W2439&amp;X2439&amp;Y2439&amp;Z2439&amp;AA2439&amp;AB2439&amp;AC2439&amp;AD2439&amp;AE2439&amp;AF2439&amp;AG2439</f>
        <v/>
      </c>
      <c r="N2439" s="10">
        <f>TEXT($B$6,"00")</f>
        <v/>
      </c>
      <c r="O2439" s="10">
        <f>REPT(" ",8)</f>
        <v/>
      </c>
      <c r="P2439" s="10">
        <f>RIGHT($B$4,2)</f>
        <v/>
      </c>
      <c r="Q2439" s="10">
        <f>RIGHT($B$5,3)</f>
        <v/>
      </c>
      <c r="R2439" s="10">
        <f>IF(A2439="D",LEFT(UPPER(B2439)&amp;REPT(" ",20),20),REPT(" ",20))</f>
        <v/>
      </c>
      <c r="S2439" s="10">
        <f>IF(A2439="D",LEFT(UPPER(C2439)&amp;REPT(" ",10),10)," ")</f>
        <v/>
      </c>
      <c r="T2439" s="10">
        <f>IF(A2439="D",LEFT(UPPER(D2439)&amp;REPT(" ",2),2)," ")</f>
        <v/>
      </c>
      <c r="U2439" s="10">
        <f>IF(A2439="D",LEFT(UPPER(E2439)&amp;REPT(" ",15),15)," ")</f>
        <v/>
      </c>
      <c r="V2439" s="10">
        <f>REPT(" ",24)</f>
        <v/>
      </c>
      <c r="W2439" s="10">
        <f>IF(A2439="c",LEFT(UPPER(B2439)&amp;REPT(" ",20),20),REPT(" ",20))</f>
        <v/>
      </c>
      <c r="X2439" s="10">
        <f>IF(A2439="C",LEFT(UPPER(C2439)&amp;REPT(" ",10),10)," ")</f>
        <v/>
      </c>
      <c r="Y2439" s="10">
        <f>IF(A2439="C",LEFT(UPPER(D2439)&amp;REPT(" ",2),2)," ")</f>
        <v/>
      </c>
      <c r="Z2439" s="10">
        <f>IF(A2439="C",LEFT(UPPER(E2439)&amp;REPT(" ",15),15)," ")</f>
        <v/>
      </c>
      <c r="AA2439" s="10">
        <f>REPT(" ",8)</f>
        <v/>
      </c>
      <c r="AB2439" s="10">
        <f>REPT(" ",4)</f>
        <v/>
      </c>
      <c r="AC2439" s="10">
        <f>LEFT(UPPER(H2439)&amp;REPT(" ",250),250)</f>
        <v/>
      </c>
      <c r="AD2439" s="10">
        <f>TEXT($G$2,"dd/mm/aaaa")</f>
        <v/>
      </c>
      <c r="AE2439" s="10">
        <f>REPT(" ",10)</f>
        <v/>
      </c>
      <c r="AF2439" s="10">
        <f>REPT(" ",20)</f>
        <v/>
      </c>
      <c r="AG2439" s="54">
        <f>REPT(" ",18-LEN(FIXED(F2439,2,TRUE)))&amp;FIXED(F2439,2,TRUE)</f>
        <v/>
      </c>
      <c r="AH2439" s="10">
        <f>LEN(AC2439)+LEN(AG2439)</f>
        <v/>
      </c>
      <c r="AI2439" s="10">
        <f>LEN(L2439)</f>
        <v/>
      </c>
    </row>
    <row r="2440">
      <c r="J2440" s="12">
        <f>IF(F2440&lt;&gt;0,"LANÇAR","")</f>
        <v/>
      </c>
      <c r="L2440" s="13">
        <f>N2440&amp;O2440&amp;P2440&amp;Q2440&amp;R2440&amp;S2440&amp;T2440&amp;U2440&amp;V2440&amp;W2440&amp;X2440&amp;Y2440&amp;Z2440&amp;AA2440&amp;AB2440&amp;AC2440&amp;AD2440&amp;AE2440&amp;AF2440&amp;AG2440</f>
        <v/>
      </c>
      <c r="N2440" s="10">
        <f>TEXT($B$6,"00")</f>
        <v/>
      </c>
      <c r="O2440" s="10">
        <f>REPT(" ",8)</f>
        <v/>
      </c>
      <c r="P2440" s="10">
        <f>RIGHT($B$4,2)</f>
        <v/>
      </c>
      <c r="Q2440" s="10">
        <f>RIGHT($B$5,3)</f>
        <v/>
      </c>
      <c r="R2440" s="10">
        <f>IF(A2440="D",LEFT(UPPER(B2440)&amp;REPT(" ",20),20),REPT(" ",20))</f>
        <v/>
      </c>
      <c r="S2440" s="10">
        <f>IF(A2440="D",LEFT(UPPER(C2440)&amp;REPT(" ",10),10)," ")</f>
        <v/>
      </c>
      <c r="T2440" s="10">
        <f>IF(A2440="D",LEFT(UPPER(D2440)&amp;REPT(" ",2),2)," ")</f>
        <v/>
      </c>
      <c r="U2440" s="10">
        <f>IF(A2440="D",LEFT(UPPER(E2440)&amp;REPT(" ",15),15)," ")</f>
        <v/>
      </c>
      <c r="V2440" s="10">
        <f>REPT(" ",24)</f>
        <v/>
      </c>
      <c r="W2440" s="10">
        <f>IF(A2440="c",LEFT(UPPER(B2440)&amp;REPT(" ",20),20),REPT(" ",20))</f>
        <v/>
      </c>
      <c r="X2440" s="10">
        <f>IF(A2440="C",LEFT(UPPER(C2440)&amp;REPT(" ",10),10)," ")</f>
        <v/>
      </c>
      <c r="Y2440" s="10">
        <f>IF(A2440="C",LEFT(UPPER(D2440)&amp;REPT(" ",2),2)," ")</f>
        <v/>
      </c>
      <c r="Z2440" s="10">
        <f>IF(A2440="C",LEFT(UPPER(E2440)&amp;REPT(" ",15),15)," ")</f>
        <v/>
      </c>
      <c r="AA2440" s="10">
        <f>REPT(" ",8)</f>
        <v/>
      </c>
      <c r="AB2440" s="10">
        <f>REPT(" ",4)</f>
        <v/>
      </c>
      <c r="AC2440" s="10">
        <f>LEFT(UPPER(H2440)&amp;REPT(" ",250),250)</f>
        <v/>
      </c>
      <c r="AD2440" s="10">
        <f>TEXT($G$2,"dd/mm/aaaa")</f>
        <v/>
      </c>
      <c r="AE2440" s="10">
        <f>REPT(" ",10)</f>
        <v/>
      </c>
      <c r="AF2440" s="10">
        <f>REPT(" ",20)</f>
        <v/>
      </c>
      <c r="AG2440" s="54">
        <f>REPT(" ",18-LEN(FIXED(F2440,2,TRUE)))&amp;FIXED(F2440,2,TRUE)</f>
        <v/>
      </c>
      <c r="AH2440" s="10">
        <f>LEN(AC2440)+LEN(AG2440)</f>
        <v/>
      </c>
      <c r="AI2440" s="10">
        <f>LEN(L2440)</f>
        <v/>
      </c>
    </row>
    <row r="2441">
      <c r="J2441" s="12">
        <f>IF(F2441&lt;&gt;0,"LANÇAR","")</f>
        <v/>
      </c>
      <c r="L2441" s="13">
        <f>N2441&amp;O2441&amp;P2441&amp;Q2441&amp;R2441&amp;S2441&amp;T2441&amp;U2441&amp;V2441&amp;W2441&amp;X2441&amp;Y2441&amp;Z2441&amp;AA2441&amp;AB2441&amp;AC2441&amp;AD2441&amp;AE2441&amp;AF2441&amp;AG2441</f>
        <v/>
      </c>
      <c r="N2441" s="10">
        <f>TEXT($B$6,"00")</f>
        <v/>
      </c>
      <c r="O2441" s="10">
        <f>REPT(" ",8)</f>
        <v/>
      </c>
      <c r="P2441" s="10">
        <f>RIGHT($B$4,2)</f>
        <v/>
      </c>
      <c r="Q2441" s="10">
        <f>RIGHT($B$5,3)</f>
        <v/>
      </c>
      <c r="R2441" s="10">
        <f>IF(A2441="D",LEFT(UPPER(B2441)&amp;REPT(" ",20),20),REPT(" ",20))</f>
        <v/>
      </c>
      <c r="S2441" s="10">
        <f>IF(A2441="D",LEFT(UPPER(C2441)&amp;REPT(" ",10),10)," ")</f>
        <v/>
      </c>
      <c r="T2441" s="10">
        <f>IF(A2441="D",LEFT(UPPER(D2441)&amp;REPT(" ",2),2)," ")</f>
        <v/>
      </c>
      <c r="U2441" s="10">
        <f>IF(A2441="D",LEFT(UPPER(E2441)&amp;REPT(" ",15),15)," ")</f>
        <v/>
      </c>
      <c r="V2441" s="10">
        <f>REPT(" ",24)</f>
        <v/>
      </c>
      <c r="W2441" s="10">
        <f>IF(A2441="c",LEFT(UPPER(B2441)&amp;REPT(" ",20),20),REPT(" ",20))</f>
        <v/>
      </c>
      <c r="X2441" s="10">
        <f>IF(A2441="C",LEFT(UPPER(C2441)&amp;REPT(" ",10),10)," ")</f>
        <v/>
      </c>
      <c r="Y2441" s="10">
        <f>IF(A2441="C",LEFT(UPPER(D2441)&amp;REPT(" ",2),2)," ")</f>
        <v/>
      </c>
      <c r="Z2441" s="10">
        <f>IF(A2441="C",LEFT(UPPER(E2441)&amp;REPT(" ",15),15)," ")</f>
        <v/>
      </c>
      <c r="AA2441" s="10">
        <f>REPT(" ",8)</f>
        <v/>
      </c>
      <c r="AB2441" s="10">
        <f>REPT(" ",4)</f>
        <v/>
      </c>
      <c r="AC2441" s="10">
        <f>LEFT(UPPER(H2441)&amp;REPT(" ",250),250)</f>
        <v/>
      </c>
      <c r="AD2441" s="10">
        <f>TEXT($G$2,"dd/mm/aaaa")</f>
        <v/>
      </c>
      <c r="AE2441" s="10">
        <f>REPT(" ",10)</f>
        <v/>
      </c>
      <c r="AF2441" s="10">
        <f>REPT(" ",20)</f>
        <v/>
      </c>
      <c r="AG2441" s="54">
        <f>REPT(" ",18-LEN(FIXED(F2441,2,TRUE)))&amp;FIXED(F2441,2,TRUE)</f>
        <v/>
      </c>
      <c r="AH2441" s="10">
        <f>LEN(AC2441)+LEN(AG2441)</f>
        <v/>
      </c>
      <c r="AI2441" s="10">
        <f>LEN(L2441)</f>
        <v/>
      </c>
    </row>
    <row r="2442">
      <c r="J2442" s="12">
        <f>IF(F2442&lt;&gt;0,"LANÇAR","")</f>
        <v/>
      </c>
      <c r="L2442" s="13">
        <f>N2442&amp;O2442&amp;P2442&amp;Q2442&amp;R2442&amp;S2442&amp;T2442&amp;U2442&amp;V2442&amp;W2442&amp;X2442&amp;Y2442&amp;Z2442&amp;AA2442&amp;AB2442&amp;AC2442&amp;AD2442&amp;AE2442&amp;AF2442&amp;AG2442</f>
        <v/>
      </c>
      <c r="N2442" s="10">
        <f>TEXT($B$6,"00")</f>
        <v/>
      </c>
      <c r="O2442" s="10">
        <f>REPT(" ",8)</f>
        <v/>
      </c>
      <c r="P2442" s="10">
        <f>RIGHT($B$4,2)</f>
        <v/>
      </c>
      <c r="Q2442" s="10">
        <f>RIGHT($B$5,3)</f>
        <v/>
      </c>
      <c r="R2442" s="10">
        <f>IF(A2442="D",LEFT(UPPER(B2442)&amp;REPT(" ",20),20),REPT(" ",20))</f>
        <v/>
      </c>
      <c r="S2442" s="10">
        <f>IF(A2442="D",LEFT(UPPER(C2442)&amp;REPT(" ",10),10)," ")</f>
        <v/>
      </c>
      <c r="T2442" s="10">
        <f>IF(A2442="D",LEFT(UPPER(D2442)&amp;REPT(" ",2),2)," ")</f>
        <v/>
      </c>
      <c r="U2442" s="10">
        <f>IF(A2442="D",LEFT(UPPER(E2442)&amp;REPT(" ",15),15)," ")</f>
        <v/>
      </c>
      <c r="V2442" s="10">
        <f>REPT(" ",24)</f>
        <v/>
      </c>
      <c r="W2442" s="10">
        <f>IF(A2442="c",LEFT(UPPER(B2442)&amp;REPT(" ",20),20),REPT(" ",20))</f>
        <v/>
      </c>
      <c r="X2442" s="10">
        <f>IF(A2442="C",LEFT(UPPER(C2442)&amp;REPT(" ",10),10)," ")</f>
        <v/>
      </c>
      <c r="Y2442" s="10">
        <f>IF(A2442="C",LEFT(UPPER(D2442)&amp;REPT(" ",2),2)," ")</f>
        <v/>
      </c>
      <c r="Z2442" s="10">
        <f>IF(A2442="C",LEFT(UPPER(E2442)&amp;REPT(" ",15),15)," ")</f>
        <v/>
      </c>
      <c r="AA2442" s="10">
        <f>REPT(" ",8)</f>
        <v/>
      </c>
      <c r="AB2442" s="10">
        <f>REPT(" ",4)</f>
        <v/>
      </c>
      <c r="AC2442" s="10">
        <f>LEFT(UPPER(H2442)&amp;REPT(" ",250),250)</f>
        <v/>
      </c>
      <c r="AD2442" s="10">
        <f>TEXT($G$2,"dd/mm/aaaa")</f>
        <v/>
      </c>
      <c r="AE2442" s="10">
        <f>REPT(" ",10)</f>
        <v/>
      </c>
      <c r="AF2442" s="10">
        <f>REPT(" ",20)</f>
        <v/>
      </c>
      <c r="AG2442" s="54">
        <f>REPT(" ",18-LEN(FIXED(F2442,2,TRUE)))&amp;FIXED(F2442,2,TRUE)</f>
        <v/>
      </c>
      <c r="AH2442" s="10">
        <f>LEN(AC2442)+LEN(AG2442)</f>
        <v/>
      </c>
      <c r="AI2442" s="10">
        <f>LEN(L2442)</f>
        <v/>
      </c>
    </row>
    <row r="2443">
      <c r="J2443" s="12">
        <f>IF(F2443&lt;&gt;0,"LANÇAR","")</f>
        <v/>
      </c>
      <c r="L2443" s="13">
        <f>N2443&amp;O2443&amp;P2443&amp;Q2443&amp;R2443&amp;S2443&amp;T2443&amp;U2443&amp;V2443&amp;W2443&amp;X2443&amp;Y2443&amp;Z2443&amp;AA2443&amp;AB2443&amp;AC2443&amp;AD2443&amp;AE2443&amp;AF2443&amp;AG2443</f>
        <v/>
      </c>
      <c r="N2443" s="10">
        <f>TEXT($B$6,"00")</f>
        <v/>
      </c>
      <c r="O2443" s="10">
        <f>REPT(" ",8)</f>
        <v/>
      </c>
      <c r="P2443" s="10">
        <f>RIGHT($B$4,2)</f>
        <v/>
      </c>
      <c r="Q2443" s="10">
        <f>RIGHT($B$5,3)</f>
        <v/>
      </c>
      <c r="R2443" s="10">
        <f>IF(A2443="D",LEFT(UPPER(B2443)&amp;REPT(" ",20),20),REPT(" ",20))</f>
        <v/>
      </c>
      <c r="S2443" s="10">
        <f>IF(A2443="D",LEFT(UPPER(C2443)&amp;REPT(" ",10),10)," ")</f>
        <v/>
      </c>
      <c r="T2443" s="10">
        <f>IF(A2443="D",LEFT(UPPER(D2443)&amp;REPT(" ",2),2)," ")</f>
        <v/>
      </c>
      <c r="U2443" s="10">
        <f>IF(A2443="D",LEFT(UPPER(E2443)&amp;REPT(" ",15),15)," ")</f>
        <v/>
      </c>
      <c r="V2443" s="10">
        <f>REPT(" ",24)</f>
        <v/>
      </c>
      <c r="W2443" s="10">
        <f>IF(A2443="c",LEFT(UPPER(B2443)&amp;REPT(" ",20),20),REPT(" ",20))</f>
        <v/>
      </c>
      <c r="X2443" s="10">
        <f>IF(A2443="C",LEFT(UPPER(C2443)&amp;REPT(" ",10),10)," ")</f>
        <v/>
      </c>
      <c r="Y2443" s="10">
        <f>IF(A2443="C",LEFT(UPPER(D2443)&amp;REPT(" ",2),2)," ")</f>
        <v/>
      </c>
      <c r="Z2443" s="10">
        <f>IF(A2443="C",LEFT(UPPER(E2443)&amp;REPT(" ",15),15)," ")</f>
        <v/>
      </c>
      <c r="AA2443" s="10">
        <f>REPT(" ",8)</f>
        <v/>
      </c>
      <c r="AB2443" s="10">
        <f>REPT(" ",4)</f>
        <v/>
      </c>
      <c r="AC2443" s="10">
        <f>LEFT(UPPER(H2443)&amp;REPT(" ",250),250)</f>
        <v/>
      </c>
      <c r="AD2443" s="10">
        <f>TEXT($G$2,"dd/mm/aaaa")</f>
        <v/>
      </c>
      <c r="AE2443" s="10">
        <f>REPT(" ",10)</f>
        <v/>
      </c>
      <c r="AF2443" s="10">
        <f>REPT(" ",20)</f>
        <v/>
      </c>
      <c r="AG2443" s="54">
        <f>REPT(" ",18-LEN(FIXED(F2443,2,TRUE)))&amp;FIXED(F2443,2,TRUE)</f>
        <v/>
      </c>
      <c r="AH2443" s="10">
        <f>LEN(AC2443)+LEN(AG2443)</f>
        <v/>
      </c>
      <c r="AI2443" s="10">
        <f>LEN(L2443)</f>
        <v/>
      </c>
    </row>
    <row r="2444">
      <c r="J2444" s="12">
        <f>IF(F2444&lt;&gt;0,"LANÇAR","")</f>
        <v/>
      </c>
      <c r="L2444" s="13">
        <f>N2444&amp;O2444&amp;P2444&amp;Q2444&amp;R2444&amp;S2444&amp;T2444&amp;U2444&amp;V2444&amp;W2444&amp;X2444&amp;Y2444&amp;Z2444&amp;AA2444&amp;AB2444&amp;AC2444&amp;AD2444&amp;AE2444&amp;AF2444&amp;AG2444</f>
        <v/>
      </c>
      <c r="N2444" s="10">
        <f>TEXT($B$6,"00")</f>
        <v/>
      </c>
      <c r="O2444" s="10">
        <f>REPT(" ",8)</f>
        <v/>
      </c>
      <c r="P2444" s="10">
        <f>RIGHT($B$4,2)</f>
        <v/>
      </c>
      <c r="Q2444" s="10">
        <f>RIGHT($B$5,3)</f>
        <v/>
      </c>
      <c r="R2444" s="10">
        <f>IF(A2444="D",LEFT(UPPER(B2444)&amp;REPT(" ",20),20),REPT(" ",20))</f>
        <v/>
      </c>
      <c r="S2444" s="10">
        <f>IF(A2444="D",LEFT(UPPER(C2444)&amp;REPT(" ",10),10)," ")</f>
        <v/>
      </c>
      <c r="T2444" s="10">
        <f>IF(A2444="D",LEFT(UPPER(D2444)&amp;REPT(" ",2),2)," ")</f>
        <v/>
      </c>
      <c r="U2444" s="10">
        <f>IF(A2444="D",LEFT(UPPER(E2444)&amp;REPT(" ",15),15)," ")</f>
        <v/>
      </c>
      <c r="V2444" s="10">
        <f>REPT(" ",24)</f>
        <v/>
      </c>
      <c r="W2444" s="10">
        <f>IF(A2444="c",LEFT(UPPER(B2444)&amp;REPT(" ",20),20),REPT(" ",20))</f>
        <v/>
      </c>
      <c r="X2444" s="10">
        <f>IF(A2444="C",LEFT(UPPER(C2444)&amp;REPT(" ",10),10)," ")</f>
        <v/>
      </c>
      <c r="Y2444" s="10">
        <f>IF(A2444="C",LEFT(UPPER(D2444)&amp;REPT(" ",2),2)," ")</f>
        <v/>
      </c>
      <c r="Z2444" s="10">
        <f>IF(A2444="C",LEFT(UPPER(E2444)&amp;REPT(" ",15),15)," ")</f>
        <v/>
      </c>
      <c r="AA2444" s="10">
        <f>REPT(" ",8)</f>
        <v/>
      </c>
      <c r="AB2444" s="10">
        <f>REPT(" ",4)</f>
        <v/>
      </c>
      <c r="AC2444" s="10">
        <f>LEFT(UPPER(H2444)&amp;REPT(" ",250),250)</f>
        <v/>
      </c>
      <c r="AD2444" s="10">
        <f>TEXT($G$2,"dd/mm/aaaa")</f>
        <v/>
      </c>
      <c r="AE2444" s="10">
        <f>REPT(" ",10)</f>
        <v/>
      </c>
      <c r="AF2444" s="10">
        <f>REPT(" ",20)</f>
        <v/>
      </c>
      <c r="AG2444" s="54">
        <f>REPT(" ",18-LEN(FIXED(F2444,2,TRUE)))&amp;FIXED(F2444,2,TRUE)</f>
        <v/>
      </c>
      <c r="AH2444" s="10">
        <f>LEN(AC2444)+LEN(AG2444)</f>
        <v/>
      </c>
      <c r="AI2444" s="10">
        <f>LEN(L2444)</f>
        <v/>
      </c>
    </row>
    <row r="2445">
      <c r="J2445" s="12">
        <f>IF(F2445&lt;&gt;0,"LANÇAR","")</f>
        <v/>
      </c>
      <c r="L2445" s="13">
        <f>N2445&amp;O2445&amp;P2445&amp;Q2445&amp;R2445&amp;S2445&amp;T2445&amp;U2445&amp;V2445&amp;W2445&amp;X2445&amp;Y2445&amp;Z2445&amp;AA2445&amp;AB2445&amp;AC2445&amp;AD2445&amp;AE2445&amp;AF2445&amp;AG2445</f>
        <v/>
      </c>
      <c r="N2445" s="10">
        <f>TEXT($B$6,"00")</f>
        <v/>
      </c>
      <c r="O2445" s="10">
        <f>REPT(" ",8)</f>
        <v/>
      </c>
      <c r="P2445" s="10">
        <f>RIGHT($B$4,2)</f>
        <v/>
      </c>
      <c r="Q2445" s="10">
        <f>RIGHT($B$5,3)</f>
        <v/>
      </c>
      <c r="R2445" s="10">
        <f>IF(A2445="D",LEFT(UPPER(B2445)&amp;REPT(" ",20),20),REPT(" ",20))</f>
        <v/>
      </c>
      <c r="S2445" s="10">
        <f>IF(A2445="D",LEFT(UPPER(C2445)&amp;REPT(" ",10),10)," ")</f>
        <v/>
      </c>
      <c r="T2445" s="10">
        <f>IF(A2445="D",LEFT(UPPER(D2445)&amp;REPT(" ",2),2)," ")</f>
        <v/>
      </c>
      <c r="U2445" s="10">
        <f>IF(A2445="D",LEFT(UPPER(E2445)&amp;REPT(" ",15),15)," ")</f>
        <v/>
      </c>
      <c r="V2445" s="10">
        <f>REPT(" ",24)</f>
        <v/>
      </c>
      <c r="W2445" s="10">
        <f>IF(A2445="c",LEFT(UPPER(B2445)&amp;REPT(" ",20),20),REPT(" ",20))</f>
        <v/>
      </c>
      <c r="X2445" s="10">
        <f>IF(A2445="C",LEFT(UPPER(C2445)&amp;REPT(" ",10),10)," ")</f>
        <v/>
      </c>
      <c r="Y2445" s="10">
        <f>IF(A2445="C",LEFT(UPPER(D2445)&amp;REPT(" ",2),2)," ")</f>
        <v/>
      </c>
      <c r="Z2445" s="10">
        <f>IF(A2445="C",LEFT(UPPER(E2445)&amp;REPT(" ",15),15)," ")</f>
        <v/>
      </c>
      <c r="AA2445" s="10">
        <f>REPT(" ",8)</f>
        <v/>
      </c>
      <c r="AB2445" s="10">
        <f>REPT(" ",4)</f>
        <v/>
      </c>
      <c r="AC2445" s="10">
        <f>LEFT(UPPER(H2445)&amp;REPT(" ",250),250)</f>
        <v/>
      </c>
      <c r="AD2445" s="10">
        <f>TEXT($G$2,"dd/mm/aaaa")</f>
        <v/>
      </c>
      <c r="AE2445" s="10">
        <f>REPT(" ",10)</f>
        <v/>
      </c>
      <c r="AF2445" s="10">
        <f>REPT(" ",20)</f>
        <v/>
      </c>
      <c r="AG2445" s="54">
        <f>REPT(" ",18-LEN(FIXED(F2445,2,TRUE)))&amp;FIXED(F2445,2,TRUE)</f>
        <v/>
      </c>
      <c r="AH2445" s="10">
        <f>LEN(AC2445)+LEN(AG2445)</f>
        <v/>
      </c>
      <c r="AI2445" s="10">
        <f>LEN(L2445)</f>
        <v/>
      </c>
    </row>
    <row r="2446">
      <c r="J2446" s="12">
        <f>IF(F2446&lt;&gt;0,"LANÇAR","")</f>
        <v/>
      </c>
      <c r="L2446" s="13">
        <f>N2446&amp;O2446&amp;P2446&amp;Q2446&amp;R2446&amp;S2446&amp;T2446&amp;U2446&amp;V2446&amp;W2446&amp;X2446&amp;Y2446&amp;Z2446&amp;AA2446&amp;AB2446&amp;AC2446&amp;AD2446&amp;AE2446&amp;AF2446&amp;AG2446</f>
        <v/>
      </c>
      <c r="N2446" s="10">
        <f>TEXT($B$6,"00")</f>
        <v/>
      </c>
      <c r="O2446" s="10">
        <f>REPT(" ",8)</f>
        <v/>
      </c>
      <c r="P2446" s="10">
        <f>RIGHT($B$4,2)</f>
        <v/>
      </c>
      <c r="Q2446" s="10">
        <f>RIGHT($B$5,3)</f>
        <v/>
      </c>
      <c r="R2446" s="10">
        <f>IF(A2446="D",LEFT(UPPER(B2446)&amp;REPT(" ",20),20),REPT(" ",20))</f>
        <v/>
      </c>
      <c r="S2446" s="10">
        <f>IF(A2446="D",LEFT(UPPER(C2446)&amp;REPT(" ",10),10)," ")</f>
        <v/>
      </c>
      <c r="T2446" s="10">
        <f>IF(A2446="D",LEFT(UPPER(D2446)&amp;REPT(" ",2),2)," ")</f>
        <v/>
      </c>
      <c r="U2446" s="10">
        <f>IF(A2446="D",LEFT(UPPER(E2446)&amp;REPT(" ",15),15)," ")</f>
        <v/>
      </c>
      <c r="V2446" s="10">
        <f>REPT(" ",24)</f>
        <v/>
      </c>
      <c r="W2446" s="10">
        <f>IF(A2446="c",LEFT(UPPER(B2446)&amp;REPT(" ",20),20),REPT(" ",20))</f>
        <v/>
      </c>
      <c r="X2446" s="10">
        <f>IF(A2446="C",LEFT(UPPER(C2446)&amp;REPT(" ",10),10)," ")</f>
        <v/>
      </c>
      <c r="Y2446" s="10">
        <f>IF(A2446="C",LEFT(UPPER(D2446)&amp;REPT(" ",2),2)," ")</f>
        <v/>
      </c>
      <c r="Z2446" s="10">
        <f>IF(A2446="C",LEFT(UPPER(E2446)&amp;REPT(" ",15),15)," ")</f>
        <v/>
      </c>
      <c r="AA2446" s="10">
        <f>REPT(" ",8)</f>
        <v/>
      </c>
      <c r="AB2446" s="10">
        <f>REPT(" ",4)</f>
        <v/>
      </c>
      <c r="AC2446" s="10">
        <f>LEFT(UPPER(H2446)&amp;REPT(" ",250),250)</f>
        <v/>
      </c>
      <c r="AD2446" s="10">
        <f>TEXT($G$2,"dd/mm/aaaa")</f>
        <v/>
      </c>
      <c r="AE2446" s="10">
        <f>REPT(" ",10)</f>
        <v/>
      </c>
      <c r="AF2446" s="10">
        <f>REPT(" ",20)</f>
        <v/>
      </c>
      <c r="AG2446" s="54">
        <f>REPT(" ",18-LEN(FIXED(F2446,2,TRUE)))&amp;FIXED(F2446,2,TRUE)</f>
        <v/>
      </c>
      <c r="AH2446" s="10">
        <f>LEN(AC2446)+LEN(AG2446)</f>
        <v/>
      </c>
      <c r="AI2446" s="10">
        <f>LEN(L2446)</f>
        <v/>
      </c>
    </row>
    <row r="2447">
      <c r="J2447" s="12">
        <f>IF(F2447&lt;&gt;0,"LANÇAR","")</f>
        <v/>
      </c>
      <c r="L2447" s="13">
        <f>N2447&amp;O2447&amp;P2447&amp;Q2447&amp;R2447&amp;S2447&amp;T2447&amp;U2447&amp;V2447&amp;W2447&amp;X2447&amp;Y2447&amp;Z2447&amp;AA2447&amp;AB2447&amp;AC2447&amp;AD2447&amp;AE2447&amp;AF2447&amp;AG2447</f>
        <v/>
      </c>
      <c r="N2447" s="10">
        <f>TEXT($B$6,"00")</f>
        <v/>
      </c>
      <c r="O2447" s="10">
        <f>REPT(" ",8)</f>
        <v/>
      </c>
      <c r="P2447" s="10">
        <f>RIGHT($B$4,2)</f>
        <v/>
      </c>
      <c r="Q2447" s="10">
        <f>RIGHT($B$5,3)</f>
        <v/>
      </c>
      <c r="R2447" s="10">
        <f>IF(A2447="D",LEFT(UPPER(B2447)&amp;REPT(" ",20),20),REPT(" ",20))</f>
        <v/>
      </c>
      <c r="S2447" s="10">
        <f>IF(A2447="D",LEFT(UPPER(C2447)&amp;REPT(" ",10),10)," ")</f>
        <v/>
      </c>
      <c r="T2447" s="10">
        <f>IF(A2447="D",LEFT(UPPER(D2447)&amp;REPT(" ",2),2)," ")</f>
        <v/>
      </c>
      <c r="U2447" s="10">
        <f>IF(A2447="D",LEFT(UPPER(E2447)&amp;REPT(" ",15),15)," ")</f>
        <v/>
      </c>
      <c r="V2447" s="10">
        <f>REPT(" ",24)</f>
        <v/>
      </c>
      <c r="W2447" s="10">
        <f>IF(A2447="c",LEFT(UPPER(B2447)&amp;REPT(" ",20),20),REPT(" ",20))</f>
        <v/>
      </c>
      <c r="X2447" s="10">
        <f>IF(A2447="C",LEFT(UPPER(C2447)&amp;REPT(" ",10),10)," ")</f>
        <v/>
      </c>
      <c r="Y2447" s="10">
        <f>IF(A2447="C",LEFT(UPPER(D2447)&amp;REPT(" ",2),2)," ")</f>
        <v/>
      </c>
      <c r="Z2447" s="10">
        <f>IF(A2447="C",LEFT(UPPER(E2447)&amp;REPT(" ",15),15)," ")</f>
        <v/>
      </c>
      <c r="AA2447" s="10">
        <f>REPT(" ",8)</f>
        <v/>
      </c>
      <c r="AB2447" s="10">
        <f>REPT(" ",4)</f>
        <v/>
      </c>
      <c r="AC2447" s="10">
        <f>LEFT(UPPER(H2447)&amp;REPT(" ",250),250)</f>
        <v/>
      </c>
      <c r="AD2447" s="10">
        <f>TEXT($G$2,"dd/mm/aaaa")</f>
        <v/>
      </c>
      <c r="AE2447" s="10">
        <f>REPT(" ",10)</f>
        <v/>
      </c>
      <c r="AF2447" s="10">
        <f>REPT(" ",20)</f>
        <v/>
      </c>
      <c r="AG2447" s="54">
        <f>REPT(" ",18-LEN(FIXED(F2447,2,TRUE)))&amp;FIXED(F2447,2,TRUE)</f>
        <v/>
      </c>
      <c r="AH2447" s="10">
        <f>LEN(AC2447)+LEN(AG2447)</f>
        <v/>
      </c>
      <c r="AI2447" s="10">
        <f>LEN(L2447)</f>
        <v/>
      </c>
    </row>
    <row r="2448">
      <c r="J2448" s="12">
        <f>IF(F2448&lt;&gt;0,"LANÇAR","")</f>
        <v/>
      </c>
      <c r="L2448" s="13">
        <f>N2448&amp;O2448&amp;P2448&amp;Q2448&amp;R2448&amp;S2448&amp;T2448&amp;U2448&amp;V2448&amp;W2448&amp;X2448&amp;Y2448&amp;Z2448&amp;AA2448&amp;AB2448&amp;AC2448&amp;AD2448&amp;AE2448&amp;AF2448&amp;AG2448</f>
        <v/>
      </c>
      <c r="N2448" s="10">
        <f>TEXT($B$6,"00")</f>
        <v/>
      </c>
      <c r="O2448" s="10">
        <f>REPT(" ",8)</f>
        <v/>
      </c>
      <c r="P2448" s="10">
        <f>RIGHT($B$4,2)</f>
        <v/>
      </c>
      <c r="Q2448" s="10">
        <f>RIGHT($B$5,3)</f>
        <v/>
      </c>
      <c r="R2448" s="10">
        <f>IF(A2448="D",LEFT(UPPER(B2448)&amp;REPT(" ",20),20),REPT(" ",20))</f>
        <v/>
      </c>
      <c r="S2448" s="10">
        <f>IF(A2448="D",LEFT(UPPER(C2448)&amp;REPT(" ",10),10)," ")</f>
        <v/>
      </c>
      <c r="T2448" s="10">
        <f>IF(A2448="D",LEFT(UPPER(D2448)&amp;REPT(" ",2),2)," ")</f>
        <v/>
      </c>
      <c r="U2448" s="10">
        <f>IF(A2448="D",LEFT(UPPER(E2448)&amp;REPT(" ",15),15)," ")</f>
        <v/>
      </c>
      <c r="V2448" s="10">
        <f>REPT(" ",24)</f>
        <v/>
      </c>
      <c r="W2448" s="10">
        <f>IF(A2448="c",LEFT(UPPER(B2448)&amp;REPT(" ",20),20),REPT(" ",20))</f>
        <v/>
      </c>
      <c r="X2448" s="10">
        <f>IF(A2448="C",LEFT(UPPER(C2448)&amp;REPT(" ",10),10)," ")</f>
        <v/>
      </c>
      <c r="Y2448" s="10">
        <f>IF(A2448="C",LEFT(UPPER(D2448)&amp;REPT(" ",2),2)," ")</f>
        <v/>
      </c>
      <c r="Z2448" s="10">
        <f>IF(A2448="C",LEFT(UPPER(E2448)&amp;REPT(" ",15),15)," ")</f>
        <v/>
      </c>
      <c r="AA2448" s="10">
        <f>REPT(" ",8)</f>
        <v/>
      </c>
      <c r="AB2448" s="10">
        <f>REPT(" ",4)</f>
        <v/>
      </c>
      <c r="AC2448" s="10">
        <f>LEFT(UPPER(H2448)&amp;REPT(" ",250),250)</f>
        <v/>
      </c>
      <c r="AD2448" s="10">
        <f>TEXT($G$2,"dd/mm/aaaa")</f>
        <v/>
      </c>
      <c r="AE2448" s="10">
        <f>REPT(" ",10)</f>
        <v/>
      </c>
      <c r="AF2448" s="10">
        <f>REPT(" ",20)</f>
        <v/>
      </c>
      <c r="AG2448" s="54">
        <f>REPT(" ",18-LEN(FIXED(F2448,2,TRUE)))&amp;FIXED(F2448,2,TRUE)</f>
        <v/>
      </c>
      <c r="AH2448" s="10">
        <f>LEN(AC2448)+LEN(AG2448)</f>
        <v/>
      </c>
      <c r="AI2448" s="10">
        <f>LEN(L2448)</f>
        <v/>
      </c>
    </row>
    <row r="2449">
      <c r="J2449" s="12">
        <f>IF(F2449&lt;&gt;0,"LANÇAR","")</f>
        <v/>
      </c>
      <c r="L2449" s="13">
        <f>N2449&amp;O2449&amp;P2449&amp;Q2449&amp;R2449&amp;S2449&amp;T2449&amp;U2449&amp;V2449&amp;W2449&amp;X2449&amp;Y2449&amp;Z2449&amp;AA2449&amp;AB2449&amp;AC2449&amp;AD2449&amp;AE2449&amp;AF2449&amp;AG2449</f>
        <v/>
      </c>
      <c r="N2449" s="10">
        <f>TEXT($B$6,"00")</f>
        <v/>
      </c>
      <c r="O2449" s="10">
        <f>REPT(" ",8)</f>
        <v/>
      </c>
      <c r="P2449" s="10">
        <f>RIGHT($B$4,2)</f>
        <v/>
      </c>
      <c r="Q2449" s="10">
        <f>RIGHT($B$5,3)</f>
        <v/>
      </c>
      <c r="R2449" s="10">
        <f>IF(A2449="D",LEFT(UPPER(B2449)&amp;REPT(" ",20),20),REPT(" ",20))</f>
        <v/>
      </c>
      <c r="S2449" s="10">
        <f>IF(A2449="D",LEFT(UPPER(C2449)&amp;REPT(" ",10),10)," ")</f>
        <v/>
      </c>
      <c r="T2449" s="10">
        <f>IF(A2449="D",LEFT(UPPER(D2449)&amp;REPT(" ",2),2)," ")</f>
        <v/>
      </c>
      <c r="U2449" s="10">
        <f>IF(A2449="D",LEFT(UPPER(E2449)&amp;REPT(" ",15),15)," ")</f>
        <v/>
      </c>
      <c r="V2449" s="10">
        <f>REPT(" ",24)</f>
        <v/>
      </c>
      <c r="W2449" s="10">
        <f>IF(A2449="c",LEFT(UPPER(B2449)&amp;REPT(" ",20),20),REPT(" ",20))</f>
        <v/>
      </c>
      <c r="X2449" s="10">
        <f>IF(A2449="C",LEFT(UPPER(C2449)&amp;REPT(" ",10),10)," ")</f>
        <v/>
      </c>
      <c r="Y2449" s="10">
        <f>IF(A2449="C",LEFT(UPPER(D2449)&amp;REPT(" ",2),2)," ")</f>
        <v/>
      </c>
      <c r="Z2449" s="10">
        <f>IF(A2449="C",LEFT(UPPER(E2449)&amp;REPT(" ",15),15)," ")</f>
        <v/>
      </c>
      <c r="AA2449" s="10">
        <f>REPT(" ",8)</f>
        <v/>
      </c>
      <c r="AB2449" s="10">
        <f>REPT(" ",4)</f>
        <v/>
      </c>
      <c r="AC2449" s="10">
        <f>LEFT(UPPER(H2449)&amp;REPT(" ",250),250)</f>
        <v/>
      </c>
      <c r="AD2449" s="10">
        <f>TEXT($G$2,"dd/mm/aaaa")</f>
        <v/>
      </c>
      <c r="AE2449" s="10">
        <f>REPT(" ",10)</f>
        <v/>
      </c>
      <c r="AF2449" s="10">
        <f>REPT(" ",20)</f>
        <v/>
      </c>
      <c r="AG2449" s="54">
        <f>REPT(" ",18-LEN(FIXED(F2449,2,TRUE)))&amp;FIXED(F2449,2,TRUE)</f>
        <v/>
      </c>
      <c r="AH2449" s="10">
        <f>LEN(AC2449)+LEN(AG2449)</f>
        <v/>
      </c>
      <c r="AI2449" s="10">
        <f>LEN(L2449)</f>
        <v/>
      </c>
    </row>
    <row r="2450">
      <c r="J2450" s="12">
        <f>IF(F2450&lt;&gt;0,"LANÇAR","")</f>
        <v/>
      </c>
      <c r="L2450" s="13">
        <f>N2450&amp;O2450&amp;P2450&amp;Q2450&amp;R2450&amp;S2450&amp;T2450&amp;U2450&amp;V2450&amp;W2450&amp;X2450&amp;Y2450&amp;Z2450&amp;AA2450&amp;AB2450&amp;AC2450&amp;AD2450&amp;AE2450&amp;AF2450&amp;AG2450</f>
        <v/>
      </c>
      <c r="N2450" s="10">
        <f>TEXT($B$6,"00")</f>
        <v/>
      </c>
      <c r="O2450" s="10">
        <f>REPT(" ",8)</f>
        <v/>
      </c>
      <c r="P2450" s="10">
        <f>RIGHT($B$4,2)</f>
        <v/>
      </c>
      <c r="Q2450" s="10">
        <f>RIGHT($B$5,3)</f>
        <v/>
      </c>
      <c r="R2450" s="10">
        <f>IF(A2450="D",LEFT(UPPER(B2450)&amp;REPT(" ",20),20),REPT(" ",20))</f>
        <v/>
      </c>
      <c r="S2450" s="10">
        <f>IF(A2450="D",LEFT(UPPER(C2450)&amp;REPT(" ",10),10)," ")</f>
        <v/>
      </c>
      <c r="T2450" s="10">
        <f>IF(A2450="D",LEFT(UPPER(D2450)&amp;REPT(" ",2),2)," ")</f>
        <v/>
      </c>
      <c r="U2450" s="10">
        <f>IF(A2450="D",LEFT(UPPER(E2450)&amp;REPT(" ",15),15)," ")</f>
        <v/>
      </c>
      <c r="V2450" s="10">
        <f>REPT(" ",24)</f>
        <v/>
      </c>
      <c r="W2450" s="10">
        <f>IF(A2450="c",LEFT(UPPER(B2450)&amp;REPT(" ",20),20),REPT(" ",20))</f>
        <v/>
      </c>
      <c r="X2450" s="10">
        <f>IF(A2450="C",LEFT(UPPER(C2450)&amp;REPT(" ",10),10)," ")</f>
        <v/>
      </c>
      <c r="Y2450" s="10">
        <f>IF(A2450="C",LEFT(UPPER(D2450)&amp;REPT(" ",2),2)," ")</f>
        <v/>
      </c>
      <c r="Z2450" s="10">
        <f>IF(A2450="C",LEFT(UPPER(E2450)&amp;REPT(" ",15),15)," ")</f>
        <v/>
      </c>
      <c r="AA2450" s="10">
        <f>REPT(" ",8)</f>
        <v/>
      </c>
      <c r="AB2450" s="10">
        <f>REPT(" ",4)</f>
        <v/>
      </c>
      <c r="AC2450" s="10">
        <f>LEFT(UPPER(H2450)&amp;REPT(" ",250),250)</f>
        <v/>
      </c>
      <c r="AD2450" s="10">
        <f>TEXT($G$2,"dd/mm/aaaa")</f>
        <v/>
      </c>
      <c r="AE2450" s="10">
        <f>REPT(" ",10)</f>
        <v/>
      </c>
      <c r="AF2450" s="10">
        <f>REPT(" ",20)</f>
        <v/>
      </c>
      <c r="AG2450" s="54">
        <f>REPT(" ",18-LEN(FIXED(F2450,2,TRUE)))&amp;FIXED(F2450,2,TRUE)</f>
        <v/>
      </c>
      <c r="AH2450" s="10">
        <f>LEN(AC2450)+LEN(AG2450)</f>
        <v/>
      </c>
      <c r="AI2450" s="10">
        <f>LEN(L2450)</f>
        <v/>
      </c>
    </row>
    <row r="2451">
      <c r="J2451" s="12">
        <f>IF(F2451&lt;&gt;0,"LANÇAR","")</f>
        <v/>
      </c>
      <c r="L2451" s="13">
        <f>N2451&amp;O2451&amp;P2451&amp;Q2451&amp;R2451&amp;S2451&amp;T2451&amp;U2451&amp;V2451&amp;W2451&amp;X2451&amp;Y2451&amp;Z2451&amp;AA2451&amp;AB2451&amp;AC2451&amp;AD2451&amp;AE2451&amp;AF2451&amp;AG2451</f>
        <v/>
      </c>
      <c r="N2451" s="10">
        <f>TEXT($B$6,"00")</f>
        <v/>
      </c>
      <c r="O2451" s="10">
        <f>REPT(" ",8)</f>
        <v/>
      </c>
      <c r="P2451" s="10">
        <f>RIGHT($B$4,2)</f>
        <v/>
      </c>
      <c r="Q2451" s="10">
        <f>RIGHT($B$5,3)</f>
        <v/>
      </c>
      <c r="R2451" s="10">
        <f>IF(A2451="D",LEFT(UPPER(B2451)&amp;REPT(" ",20),20),REPT(" ",20))</f>
        <v/>
      </c>
      <c r="S2451" s="10">
        <f>IF(A2451="D",LEFT(UPPER(C2451)&amp;REPT(" ",10),10)," ")</f>
        <v/>
      </c>
      <c r="T2451" s="10">
        <f>IF(A2451="D",LEFT(UPPER(D2451)&amp;REPT(" ",2),2)," ")</f>
        <v/>
      </c>
      <c r="U2451" s="10">
        <f>IF(A2451="D",LEFT(UPPER(E2451)&amp;REPT(" ",15),15)," ")</f>
        <v/>
      </c>
      <c r="V2451" s="10">
        <f>REPT(" ",24)</f>
        <v/>
      </c>
      <c r="W2451" s="10">
        <f>IF(A2451="c",LEFT(UPPER(B2451)&amp;REPT(" ",20),20),REPT(" ",20))</f>
        <v/>
      </c>
      <c r="X2451" s="10">
        <f>IF(A2451="C",LEFT(UPPER(C2451)&amp;REPT(" ",10),10)," ")</f>
        <v/>
      </c>
      <c r="Y2451" s="10">
        <f>IF(A2451="C",LEFT(UPPER(D2451)&amp;REPT(" ",2),2)," ")</f>
        <v/>
      </c>
      <c r="Z2451" s="10">
        <f>IF(A2451="C",LEFT(UPPER(E2451)&amp;REPT(" ",15),15)," ")</f>
        <v/>
      </c>
      <c r="AA2451" s="10">
        <f>REPT(" ",8)</f>
        <v/>
      </c>
      <c r="AB2451" s="10">
        <f>REPT(" ",4)</f>
        <v/>
      </c>
      <c r="AC2451" s="10">
        <f>LEFT(UPPER(H2451)&amp;REPT(" ",250),250)</f>
        <v/>
      </c>
      <c r="AD2451" s="10">
        <f>TEXT($G$2,"dd/mm/aaaa")</f>
        <v/>
      </c>
      <c r="AE2451" s="10">
        <f>REPT(" ",10)</f>
        <v/>
      </c>
      <c r="AF2451" s="10">
        <f>REPT(" ",20)</f>
        <v/>
      </c>
      <c r="AG2451" s="54">
        <f>REPT(" ",18-LEN(FIXED(F2451,2,TRUE)))&amp;FIXED(F2451,2,TRUE)</f>
        <v/>
      </c>
      <c r="AH2451" s="10">
        <f>LEN(AC2451)+LEN(AG2451)</f>
        <v/>
      </c>
      <c r="AI2451" s="10">
        <f>LEN(L2451)</f>
        <v/>
      </c>
    </row>
    <row r="2452">
      <c r="J2452" s="12">
        <f>IF(F2452&lt;&gt;0,"LANÇAR","")</f>
        <v/>
      </c>
      <c r="L2452" s="13">
        <f>N2452&amp;O2452&amp;P2452&amp;Q2452&amp;R2452&amp;S2452&amp;T2452&amp;U2452&amp;V2452&amp;W2452&amp;X2452&amp;Y2452&amp;Z2452&amp;AA2452&amp;AB2452&amp;AC2452&amp;AD2452&amp;AE2452&amp;AF2452&amp;AG2452</f>
        <v/>
      </c>
      <c r="N2452" s="10">
        <f>TEXT($B$6,"00")</f>
        <v/>
      </c>
      <c r="O2452" s="10">
        <f>REPT(" ",8)</f>
        <v/>
      </c>
      <c r="P2452" s="10">
        <f>RIGHT($B$4,2)</f>
        <v/>
      </c>
      <c r="Q2452" s="10">
        <f>RIGHT($B$5,3)</f>
        <v/>
      </c>
      <c r="R2452" s="10">
        <f>IF(A2452="D",LEFT(UPPER(B2452)&amp;REPT(" ",20),20),REPT(" ",20))</f>
        <v/>
      </c>
      <c r="S2452" s="10">
        <f>IF(A2452="D",LEFT(UPPER(C2452)&amp;REPT(" ",10),10)," ")</f>
        <v/>
      </c>
      <c r="T2452" s="10">
        <f>IF(A2452="D",LEFT(UPPER(D2452)&amp;REPT(" ",2),2)," ")</f>
        <v/>
      </c>
      <c r="U2452" s="10">
        <f>IF(A2452="D",LEFT(UPPER(E2452)&amp;REPT(" ",15),15)," ")</f>
        <v/>
      </c>
      <c r="V2452" s="10">
        <f>REPT(" ",24)</f>
        <v/>
      </c>
      <c r="W2452" s="10">
        <f>IF(A2452="c",LEFT(UPPER(B2452)&amp;REPT(" ",20),20),REPT(" ",20))</f>
        <v/>
      </c>
      <c r="X2452" s="10">
        <f>IF(A2452="C",LEFT(UPPER(C2452)&amp;REPT(" ",10),10)," ")</f>
        <v/>
      </c>
      <c r="Y2452" s="10">
        <f>IF(A2452="C",LEFT(UPPER(D2452)&amp;REPT(" ",2),2)," ")</f>
        <v/>
      </c>
      <c r="Z2452" s="10">
        <f>IF(A2452="C",LEFT(UPPER(E2452)&amp;REPT(" ",15),15)," ")</f>
        <v/>
      </c>
      <c r="AA2452" s="10">
        <f>REPT(" ",8)</f>
        <v/>
      </c>
      <c r="AB2452" s="10">
        <f>REPT(" ",4)</f>
        <v/>
      </c>
      <c r="AC2452" s="10">
        <f>LEFT(UPPER(H2452)&amp;REPT(" ",250),250)</f>
        <v/>
      </c>
      <c r="AD2452" s="10">
        <f>TEXT($G$2,"dd/mm/aaaa")</f>
        <v/>
      </c>
      <c r="AE2452" s="10">
        <f>REPT(" ",10)</f>
        <v/>
      </c>
      <c r="AF2452" s="10">
        <f>REPT(" ",20)</f>
        <v/>
      </c>
      <c r="AG2452" s="54">
        <f>REPT(" ",18-LEN(FIXED(F2452,2,TRUE)))&amp;FIXED(F2452,2,TRUE)</f>
        <v/>
      </c>
      <c r="AH2452" s="10">
        <f>LEN(AC2452)+LEN(AG2452)</f>
        <v/>
      </c>
      <c r="AI2452" s="10">
        <f>LEN(L2452)</f>
        <v/>
      </c>
    </row>
    <row r="2453">
      <c r="J2453" s="12">
        <f>IF(F2453&lt;&gt;0,"LANÇAR","")</f>
        <v/>
      </c>
      <c r="L2453" s="13">
        <f>N2453&amp;O2453&amp;P2453&amp;Q2453&amp;R2453&amp;S2453&amp;T2453&amp;U2453&amp;V2453&amp;W2453&amp;X2453&amp;Y2453&amp;Z2453&amp;AA2453&amp;AB2453&amp;AC2453&amp;AD2453&amp;AE2453&amp;AF2453&amp;AG2453</f>
        <v/>
      </c>
      <c r="N2453" s="10">
        <f>TEXT($B$6,"00")</f>
        <v/>
      </c>
      <c r="O2453" s="10">
        <f>REPT(" ",8)</f>
        <v/>
      </c>
      <c r="P2453" s="10">
        <f>RIGHT($B$4,2)</f>
        <v/>
      </c>
      <c r="Q2453" s="10">
        <f>RIGHT($B$5,3)</f>
        <v/>
      </c>
      <c r="R2453" s="10">
        <f>IF(A2453="D",LEFT(UPPER(B2453)&amp;REPT(" ",20),20),REPT(" ",20))</f>
        <v/>
      </c>
      <c r="S2453" s="10">
        <f>IF(A2453="D",LEFT(UPPER(C2453)&amp;REPT(" ",10),10)," ")</f>
        <v/>
      </c>
      <c r="T2453" s="10">
        <f>IF(A2453="D",LEFT(UPPER(D2453)&amp;REPT(" ",2),2)," ")</f>
        <v/>
      </c>
      <c r="U2453" s="10">
        <f>IF(A2453="D",LEFT(UPPER(E2453)&amp;REPT(" ",15),15)," ")</f>
        <v/>
      </c>
      <c r="V2453" s="10">
        <f>REPT(" ",24)</f>
        <v/>
      </c>
      <c r="W2453" s="10">
        <f>IF(A2453="c",LEFT(UPPER(B2453)&amp;REPT(" ",20),20),REPT(" ",20))</f>
        <v/>
      </c>
      <c r="X2453" s="10">
        <f>IF(A2453="C",LEFT(UPPER(C2453)&amp;REPT(" ",10),10)," ")</f>
        <v/>
      </c>
      <c r="Y2453" s="10">
        <f>IF(A2453="C",LEFT(UPPER(D2453)&amp;REPT(" ",2),2)," ")</f>
        <v/>
      </c>
      <c r="Z2453" s="10">
        <f>IF(A2453="C",LEFT(UPPER(E2453)&amp;REPT(" ",15),15)," ")</f>
        <v/>
      </c>
      <c r="AA2453" s="10">
        <f>REPT(" ",8)</f>
        <v/>
      </c>
      <c r="AB2453" s="10">
        <f>REPT(" ",4)</f>
        <v/>
      </c>
      <c r="AC2453" s="10">
        <f>LEFT(UPPER(H2453)&amp;REPT(" ",250),250)</f>
        <v/>
      </c>
      <c r="AD2453" s="10">
        <f>TEXT($G$2,"dd/mm/aaaa")</f>
        <v/>
      </c>
      <c r="AE2453" s="10">
        <f>REPT(" ",10)</f>
        <v/>
      </c>
      <c r="AF2453" s="10">
        <f>REPT(" ",20)</f>
        <v/>
      </c>
      <c r="AG2453" s="54">
        <f>REPT(" ",18-LEN(FIXED(F2453,2,TRUE)))&amp;FIXED(F2453,2,TRUE)</f>
        <v/>
      </c>
      <c r="AH2453" s="10">
        <f>LEN(AC2453)+LEN(AG2453)</f>
        <v/>
      </c>
      <c r="AI2453" s="10">
        <f>LEN(L2453)</f>
        <v/>
      </c>
    </row>
    <row r="2454">
      <c r="J2454" s="12">
        <f>IF(F2454&lt;&gt;0,"LANÇAR","")</f>
        <v/>
      </c>
      <c r="L2454" s="13">
        <f>N2454&amp;O2454&amp;P2454&amp;Q2454&amp;R2454&amp;S2454&amp;T2454&amp;U2454&amp;V2454&amp;W2454&amp;X2454&amp;Y2454&amp;Z2454&amp;AA2454&amp;AB2454&amp;AC2454&amp;AD2454&amp;AE2454&amp;AF2454&amp;AG2454</f>
        <v/>
      </c>
      <c r="N2454" s="10">
        <f>TEXT($B$6,"00")</f>
        <v/>
      </c>
      <c r="O2454" s="10">
        <f>REPT(" ",8)</f>
        <v/>
      </c>
      <c r="P2454" s="10">
        <f>RIGHT($B$4,2)</f>
        <v/>
      </c>
      <c r="Q2454" s="10">
        <f>RIGHT($B$5,3)</f>
        <v/>
      </c>
      <c r="R2454" s="10">
        <f>IF(A2454="D",LEFT(UPPER(B2454)&amp;REPT(" ",20),20),REPT(" ",20))</f>
        <v/>
      </c>
      <c r="S2454" s="10">
        <f>IF(A2454="D",LEFT(UPPER(C2454)&amp;REPT(" ",10),10)," ")</f>
        <v/>
      </c>
      <c r="T2454" s="10">
        <f>IF(A2454="D",LEFT(UPPER(D2454)&amp;REPT(" ",2),2)," ")</f>
        <v/>
      </c>
      <c r="U2454" s="10">
        <f>IF(A2454="D",LEFT(UPPER(E2454)&amp;REPT(" ",15),15)," ")</f>
        <v/>
      </c>
      <c r="V2454" s="10">
        <f>REPT(" ",24)</f>
        <v/>
      </c>
      <c r="W2454" s="10">
        <f>IF(A2454="c",LEFT(UPPER(B2454)&amp;REPT(" ",20),20),REPT(" ",20))</f>
        <v/>
      </c>
      <c r="X2454" s="10">
        <f>IF(A2454="C",LEFT(UPPER(C2454)&amp;REPT(" ",10),10)," ")</f>
        <v/>
      </c>
      <c r="Y2454" s="10">
        <f>IF(A2454="C",LEFT(UPPER(D2454)&amp;REPT(" ",2),2)," ")</f>
        <v/>
      </c>
      <c r="Z2454" s="10">
        <f>IF(A2454="C",LEFT(UPPER(E2454)&amp;REPT(" ",15),15)," ")</f>
        <v/>
      </c>
      <c r="AA2454" s="10">
        <f>REPT(" ",8)</f>
        <v/>
      </c>
      <c r="AB2454" s="10">
        <f>REPT(" ",4)</f>
        <v/>
      </c>
      <c r="AC2454" s="10">
        <f>LEFT(UPPER(H2454)&amp;REPT(" ",250),250)</f>
        <v/>
      </c>
      <c r="AD2454" s="10">
        <f>TEXT($G$2,"dd/mm/aaaa")</f>
        <v/>
      </c>
      <c r="AE2454" s="10">
        <f>REPT(" ",10)</f>
        <v/>
      </c>
      <c r="AF2454" s="10">
        <f>REPT(" ",20)</f>
        <v/>
      </c>
      <c r="AG2454" s="54">
        <f>REPT(" ",18-LEN(FIXED(F2454,2,TRUE)))&amp;FIXED(F2454,2,TRUE)</f>
        <v/>
      </c>
      <c r="AH2454" s="10">
        <f>LEN(AC2454)+LEN(AG2454)</f>
        <v/>
      </c>
      <c r="AI2454" s="10">
        <f>LEN(L2454)</f>
        <v/>
      </c>
    </row>
    <row r="2455">
      <c r="J2455" s="12">
        <f>IF(F2455&lt;&gt;0,"LANÇAR","")</f>
        <v/>
      </c>
      <c r="L2455" s="13">
        <f>N2455&amp;O2455&amp;P2455&amp;Q2455&amp;R2455&amp;S2455&amp;T2455&amp;U2455&amp;V2455&amp;W2455&amp;X2455&amp;Y2455&amp;Z2455&amp;AA2455&amp;AB2455&amp;AC2455&amp;AD2455&amp;AE2455&amp;AF2455&amp;AG2455</f>
        <v/>
      </c>
      <c r="N2455" s="10">
        <f>TEXT($B$6,"00")</f>
        <v/>
      </c>
      <c r="O2455" s="10">
        <f>REPT(" ",8)</f>
        <v/>
      </c>
      <c r="P2455" s="10">
        <f>RIGHT($B$4,2)</f>
        <v/>
      </c>
      <c r="Q2455" s="10">
        <f>RIGHT($B$5,3)</f>
        <v/>
      </c>
      <c r="R2455" s="10">
        <f>IF(A2455="D",LEFT(UPPER(B2455)&amp;REPT(" ",20),20),REPT(" ",20))</f>
        <v/>
      </c>
      <c r="S2455" s="10">
        <f>IF(A2455="D",LEFT(UPPER(C2455)&amp;REPT(" ",10),10)," ")</f>
        <v/>
      </c>
      <c r="T2455" s="10">
        <f>IF(A2455="D",LEFT(UPPER(D2455)&amp;REPT(" ",2),2)," ")</f>
        <v/>
      </c>
      <c r="U2455" s="10">
        <f>IF(A2455="D",LEFT(UPPER(E2455)&amp;REPT(" ",15),15)," ")</f>
        <v/>
      </c>
      <c r="V2455" s="10">
        <f>REPT(" ",24)</f>
        <v/>
      </c>
      <c r="W2455" s="10">
        <f>IF(A2455="c",LEFT(UPPER(B2455)&amp;REPT(" ",20),20),REPT(" ",20))</f>
        <v/>
      </c>
      <c r="X2455" s="10">
        <f>IF(A2455="C",LEFT(UPPER(C2455)&amp;REPT(" ",10),10)," ")</f>
        <v/>
      </c>
      <c r="Y2455" s="10">
        <f>IF(A2455="C",LEFT(UPPER(D2455)&amp;REPT(" ",2),2)," ")</f>
        <v/>
      </c>
      <c r="Z2455" s="10">
        <f>IF(A2455="C",LEFT(UPPER(E2455)&amp;REPT(" ",15),15)," ")</f>
        <v/>
      </c>
      <c r="AA2455" s="10">
        <f>REPT(" ",8)</f>
        <v/>
      </c>
      <c r="AB2455" s="10">
        <f>REPT(" ",4)</f>
        <v/>
      </c>
      <c r="AC2455" s="10">
        <f>LEFT(UPPER(H2455)&amp;REPT(" ",250),250)</f>
        <v/>
      </c>
      <c r="AD2455" s="10">
        <f>TEXT($G$2,"dd/mm/aaaa")</f>
        <v/>
      </c>
      <c r="AE2455" s="10">
        <f>REPT(" ",10)</f>
        <v/>
      </c>
      <c r="AF2455" s="10">
        <f>REPT(" ",20)</f>
        <v/>
      </c>
      <c r="AG2455" s="54">
        <f>REPT(" ",18-LEN(FIXED(F2455,2,TRUE)))&amp;FIXED(F2455,2,TRUE)</f>
        <v/>
      </c>
      <c r="AH2455" s="10">
        <f>LEN(AC2455)+LEN(AG2455)</f>
        <v/>
      </c>
      <c r="AI2455" s="10">
        <f>LEN(L2455)</f>
        <v/>
      </c>
    </row>
    <row r="2456">
      <c r="J2456" s="12">
        <f>IF(F2456&lt;&gt;0,"LANÇAR","")</f>
        <v/>
      </c>
      <c r="L2456" s="13">
        <f>N2456&amp;O2456&amp;P2456&amp;Q2456&amp;R2456&amp;S2456&amp;T2456&amp;U2456&amp;V2456&amp;W2456&amp;X2456&amp;Y2456&amp;Z2456&amp;AA2456&amp;AB2456&amp;AC2456&amp;AD2456&amp;AE2456&amp;AF2456&amp;AG2456</f>
        <v/>
      </c>
      <c r="N2456" s="10">
        <f>TEXT($B$6,"00")</f>
        <v/>
      </c>
      <c r="O2456" s="10">
        <f>REPT(" ",8)</f>
        <v/>
      </c>
      <c r="P2456" s="10">
        <f>RIGHT($B$4,2)</f>
        <v/>
      </c>
      <c r="Q2456" s="10">
        <f>RIGHT($B$5,3)</f>
        <v/>
      </c>
      <c r="R2456" s="10">
        <f>IF(A2456="D",LEFT(UPPER(B2456)&amp;REPT(" ",20),20),REPT(" ",20))</f>
        <v/>
      </c>
      <c r="S2456" s="10">
        <f>IF(A2456="D",LEFT(UPPER(C2456)&amp;REPT(" ",10),10)," ")</f>
        <v/>
      </c>
      <c r="T2456" s="10">
        <f>IF(A2456="D",LEFT(UPPER(D2456)&amp;REPT(" ",2),2)," ")</f>
        <v/>
      </c>
      <c r="U2456" s="10">
        <f>IF(A2456="D",LEFT(UPPER(E2456)&amp;REPT(" ",15),15)," ")</f>
        <v/>
      </c>
      <c r="V2456" s="10">
        <f>REPT(" ",24)</f>
        <v/>
      </c>
      <c r="W2456" s="10">
        <f>IF(A2456="c",LEFT(UPPER(B2456)&amp;REPT(" ",20),20),REPT(" ",20))</f>
        <v/>
      </c>
      <c r="X2456" s="10">
        <f>IF(A2456="C",LEFT(UPPER(C2456)&amp;REPT(" ",10),10)," ")</f>
        <v/>
      </c>
      <c r="Y2456" s="10">
        <f>IF(A2456="C",LEFT(UPPER(D2456)&amp;REPT(" ",2),2)," ")</f>
        <v/>
      </c>
      <c r="Z2456" s="10">
        <f>IF(A2456="C",LEFT(UPPER(E2456)&amp;REPT(" ",15),15)," ")</f>
        <v/>
      </c>
      <c r="AA2456" s="10">
        <f>REPT(" ",8)</f>
        <v/>
      </c>
      <c r="AB2456" s="10">
        <f>REPT(" ",4)</f>
        <v/>
      </c>
      <c r="AC2456" s="10">
        <f>LEFT(UPPER(H2456)&amp;REPT(" ",250),250)</f>
        <v/>
      </c>
      <c r="AD2456" s="10">
        <f>TEXT($G$2,"dd/mm/aaaa")</f>
        <v/>
      </c>
      <c r="AE2456" s="10">
        <f>REPT(" ",10)</f>
        <v/>
      </c>
      <c r="AF2456" s="10">
        <f>REPT(" ",20)</f>
        <v/>
      </c>
      <c r="AG2456" s="54">
        <f>REPT(" ",18-LEN(FIXED(F2456,2,TRUE)))&amp;FIXED(F2456,2,TRUE)</f>
        <v/>
      </c>
      <c r="AH2456" s="10">
        <f>LEN(AC2456)+LEN(AG2456)</f>
        <v/>
      </c>
      <c r="AI2456" s="10">
        <f>LEN(L2456)</f>
        <v/>
      </c>
    </row>
    <row r="2457">
      <c r="J2457" s="12">
        <f>IF(F2457&lt;&gt;0,"LANÇAR","")</f>
        <v/>
      </c>
      <c r="L2457" s="13">
        <f>N2457&amp;O2457&amp;P2457&amp;Q2457&amp;R2457&amp;S2457&amp;T2457&amp;U2457&amp;V2457&amp;W2457&amp;X2457&amp;Y2457&amp;Z2457&amp;AA2457&amp;AB2457&amp;AC2457&amp;AD2457&amp;AE2457&amp;AF2457&amp;AG2457</f>
        <v/>
      </c>
      <c r="N2457" s="10">
        <f>TEXT($B$6,"00")</f>
        <v/>
      </c>
      <c r="O2457" s="10">
        <f>REPT(" ",8)</f>
        <v/>
      </c>
      <c r="P2457" s="10">
        <f>RIGHT($B$4,2)</f>
        <v/>
      </c>
      <c r="Q2457" s="10">
        <f>RIGHT($B$5,3)</f>
        <v/>
      </c>
      <c r="R2457" s="10">
        <f>IF(A2457="D",LEFT(UPPER(B2457)&amp;REPT(" ",20),20),REPT(" ",20))</f>
        <v/>
      </c>
      <c r="S2457" s="10">
        <f>IF(A2457="D",LEFT(UPPER(C2457)&amp;REPT(" ",10),10)," ")</f>
        <v/>
      </c>
      <c r="T2457" s="10">
        <f>IF(A2457="D",LEFT(UPPER(D2457)&amp;REPT(" ",2),2)," ")</f>
        <v/>
      </c>
      <c r="U2457" s="10">
        <f>IF(A2457="D",LEFT(UPPER(E2457)&amp;REPT(" ",15),15)," ")</f>
        <v/>
      </c>
      <c r="V2457" s="10">
        <f>REPT(" ",24)</f>
        <v/>
      </c>
      <c r="W2457" s="10">
        <f>IF(A2457="c",LEFT(UPPER(B2457)&amp;REPT(" ",20),20),REPT(" ",20))</f>
        <v/>
      </c>
      <c r="X2457" s="10">
        <f>IF(A2457="C",LEFT(UPPER(C2457)&amp;REPT(" ",10),10)," ")</f>
        <v/>
      </c>
      <c r="Y2457" s="10">
        <f>IF(A2457="C",LEFT(UPPER(D2457)&amp;REPT(" ",2),2)," ")</f>
        <v/>
      </c>
      <c r="Z2457" s="10">
        <f>IF(A2457="C",LEFT(UPPER(E2457)&amp;REPT(" ",15),15)," ")</f>
        <v/>
      </c>
      <c r="AA2457" s="10">
        <f>REPT(" ",8)</f>
        <v/>
      </c>
      <c r="AB2457" s="10">
        <f>REPT(" ",4)</f>
        <v/>
      </c>
      <c r="AC2457" s="10">
        <f>LEFT(UPPER(H2457)&amp;REPT(" ",250),250)</f>
        <v/>
      </c>
      <c r="AD2457" s="10">
        <f>TEXT($G$2,"dd/mm/aaaa")</f>
        <v/>
      </c>
      <c r="AE2457" s="10">
        <f>REPT(" ",10)</f>
        <v/>
      </c>
      <c r="AF2457" s="10">
        <f>REPT(" ",20)</f>
        <v/>
      </c>
      <c r="AG2457" s="54">
        <f>REPT(" ",18-LEN(FIXED(F2457,2,TRUE)))&amp;FIXED(F2457,2,TRUE)</f>
        <v/>
      </c>
      <c r="AH2457" s="10">
        <f>LEN(AC2457)+LEN(AG2457)</f>
        <v/>
      </c>
      <c r="AI2457" s="10">
        <f>LEN(L2457)</f>
        <v/>
      </c>
    </row>
    <row r="2458">
      <c r="J2458" s="12">
        <f>IF(F2458&lt;&gt;0,"LANÇAR","")</f>
        <v/>
      </c>
      <c r="L2458" s="13">
        <f>N2458&amp;O2458&amp;P2458&amp;Q2458&amp;R2458&amp;S2458&amp;T2458&amp;U2458&amp;V2458&amp;W2458&amp;X2458&amp;Y2458&amp;Z2458&amp;AA2458&amp;AB2458&amp;AC2458&amp;AD2458&amp;AE2458&amp;AF2458&amp;AG2458</f>
        <v/>
      </c>
      <c r="N2458" s="10">
        <f>TEXT($B$6,"00")</f>
        <v/>
      </c>
      <c r="O2458" s="10">
        <f>REPT(" ",8)</f>
        <v/>
      </c>
      <c r="P2458" s="10">
        <f>RIGHT($B$4,2)</f>
        <v/>
      </c>
      <c r="Q2458" s="10">
        <f>RIGHT($B$5,3)</f>
        <v/>
      </c>
      <c r="R2458" s="10">
        <f>IF(A2458="D",LEFT(UPPER(B2458)&amp;REPT(" ",20),20),REPT(" ",20))</f>
        <v/>
      </c>
      <c r="S2458" s="10">
        <f>IF(A2458="D",LEFT(UPPER(C2458)&amp;REPT(" ",10),10)," ")</f>
        <v/>
      </c>
      <c r="T2458" s="10">
        <f>IF(A2458="D",LEFT(UPPER(D2458)&amp;REPT(" ",2),2)," ")</f>
        <v/>
      </c>
      <c r="U2458" s="10">
        <f>IF(A2458="D",LEFT(UPPER(E2458)&amp;REPT(" ",15),15)," ")</f>
        <v/>
      </c>
      <c r="V2458" s="10">
        <f>REPT(" ",24)</f>
        <v/>
      </c>
      <c r="W2458" s="10">
        <f>IF(A2458="c",LEFT(UPPER(B2458)&amp;REPT(" ",20),20),REPT(" ",20))</f>
        <v/>
      </c>
      <c r="X2458" s="10">
        <f>IF(A2458="C",LEFT(UPPER(C2458)&amp;REPT(" ",10),10)," ")</f>
        <v/>
      </c>
      <c r="Y2458" s="10">
        <f>IF(A2458="C",LEFT(UPPER(D2458)&amp;REPT(" ",2),2)," ")</f>
        <v/>
      </c>
      <c r="Z2458" s="10">
        <f>IF(A2458="C",LEFT(UPPER(E2458)&amp;REPT(" ",15),15)," ")</f>
        <v/>
      </c>
      <c r="AA2458" s="10">
        <f>REPT(" ",8)</f>
        <v/>
      </c>
      <c r="AB2458" s="10">
        <f>REPT(" ",4)</f>
        <v/>
      </c>
      <c r="AC2458" s="10">
        <f>LEFT(UPPER(H2458)&amp;REPT(" ",250),250)</f>
        <v/>
      </c>
      <c r="AD2458" s="10">
        <f>TEXT($G$2,"dd/mm/aaaa")</f>
        <v/>
      </c>
      <c r="AE2458" s="10">
        <f>REPT(" ",10)</f>
        <v/>
      </c>
      <c r="AF2458" s="10">
        <f>REPT(" ",20)</f>
        <v/>
      </c>
      <c r="AG2458" s="54">
        <f>REPT(" ",18-LEN(FIXED(F2458,2,TRUE)))&amp;FIXED(F2458,2,TRUE)</f>
        <v/>
      </c>
      <c r="AH2458" s="10">
        <f>LEN(AC2458)+LEN(AG2458)</f>
        <v/>
      </c>
      <c r="AI2458" s="10">
        <f>LEN(L2458)</f>
        <v/>
      </c>
    </row>
    <row r="2459">
      <c r="J2459" s="12">
        <f>IF(F2459&lt;&gt;0,"LANÇAR","")</f>
        <v/>
      </c>
      <c r="L2459" s="13">
        <f>N2459&amp;O2459&amp;P2459&amp;Q2459&amp;R2459&amp;S2459&amp;T2459&amp;U2459&amp;V2459&amp;W2459&amp;X2459&amp;Y2459&amp;Z2459&amp;AA2459&amp;AB2459&amp;AC2459&amp;AD2459&amp;AE2459&amp;AF2459&amp;AG2459</f>
        <v/>
      </c>
      <c r="N2459" s="10">
        <f>TEXT($B$6,"00")</f>
        <v/>
      </c>
      <c r="O2459" s="10">
        <f>REPT(" ",8)</f>
        <v/>
      </c>
      <c r="P2459" s="10">
        <f>RIGHT($B$4,2)</f>
        <v/>
      </c>
      <c r="Q2459" s="10">
        <f>RIGHT($B$5,3)</f>
        <v/>
      </c>
      <c r="R2459" s="10">
        <f>IF(A2459="D",LEFT(UPPER(B2459)&amp;REPT(" ",20),20),REPT(" ",20))</f>
        <v/>
      </c>
      <c r="S2459" s="10">
        <f>IF(A2459="D",LEFT(UPPER(C2459)&amp;REPT(" ",10),10)," ")</f>
        <v/>
      </c>
      <c r="T2459" s="10">
        <f>IF(A2459="D",LEFT(UPPER(D2459)&amp;REPT(" ",2),2)," ")</f>
        <v/>
      </c>
      <c r="U2459" s="10">
        <f>IF(A2459="D",LEFT(UPPER(E2459)&amp;REPT(" ",15),15)," ")</f>
        <v/>
      </c>
      <c r="V2459" s="10">
        <f>REPT(" ",24)</f>
        <v/>
      </c>
      <c r="W2459" s="10">
        <f>IF(A2459="c",LEFT(UPPER(B2459)&amp;REPT(" ",20),20),REPT(" ",20))</f>
        <v/>
      </c>
      <c r="X2459" s="10">
        <f>IF(A2459="C",LEFT(UPPER(C2459)&amp;REPT(" ",10),10)," ")</f>
        <v/>
      </c>
      <c r="Y2459" s="10">
        <f>IF(A2459="C",LEFT(UPPER(D2459)&amp;REPT(" ",2),2)," ")</f>
        <v/>
      </c>
      <c r="Z2459" s="10">
        <f>IF(A2459="C",LEFT(UPPER(E2459)&amp;REPT(" ",15),15)," ")</f>
        <v/>
      </c>
      <c r="AA2459" s="10">
        <f>REPT(" ",8)</f>
        <v/>
      </c>
      <c r="AB2459" s="10">
        <f>REPT(" ",4)</f>
        <v/>
      </c>
      <c r="AC2459" s="10">
        <f>LEFT(UPPER(H2459)&amp;REPT(" ",250),250)</f>
        <v/>
      </c>
      <c r="AD2459" s="10">
        <f>TEXT($G$2,"dd/mm/aaaa")</f>
        <v/>
      </c>
      <c r="AE2459" s="10">
        <f>REPT(" ",10)</f>
        <v/>
      </c>
      <c r="AF2459" s="10">
        <f>REPT(" ",20)</f>
        <v/>
      </c>
      <c r="AG2459" s="54">
        <f>REPT(" ",18-LEN(FIXED(F2459,2,TRUE)))&amp;FIXED(F2459,2,TRUE)</f>
        <v/>
      </c>
      <c r="AH2459" s="10">
        <f>LEN(AC2459)+LEN(AG2459)</f>
        <v/>
      </c>
      <c r="AI2459" s="10">
        <f>LEN(L2459)</f>
        <v/>
      </c>
    </row>
    <row r="2460">
      <c r="J2460" s="12">
        <f>IF(F2460&lt;&gt;0,"LANÇAR","")</f>
        <v/>
      </c>
      <c r="L2460" s="13">
        <f>N2460&amp;O2460&amp;P2460&amp;Q2460&amp;R2460&amp;S2460&amp;T2460&amp;U2460&amp;V2460&amp;W2460&amp;X2460&amp;Y2460&amp;Z2460&amp;AA2460&amp;AB2460&amp;AC2460&amp;AD2460&amp;AE2460&amp;AF2460&amp;AG2460</f>
        <v/>
      </c>
      <c r="N2460" s="10">
        <f>TEXT($B$6,"00")</f>
        <v/>
      </c>
      <c r="O2460" s="10">
        <f>REPT(" ",8)</f>
        <v/>
      </c>
      <c r="P2460" s="10">
        <f>RIGHT($B$4,2)</f>
        <v/>
      </c>
      <c r="Q2460" s="10">
        <f>RIGHT($B$5,3)</f>
        <v/>
      </c>
      <c r="R2460" s="10">
        <f>IF(A2460="D",LEFT(UPPER(B2460)&amp;REPT(" ",20),20),REPT(" ",20))</f>
        <v/>
      </c>
      <c r="S2460" s="10">
        <f>IF(A2460="D",LEFT(UPPER(C2460)&amp;REPT(" ",10),10)," ")</f>
        <v/>
      </c>
      <c r="T2460" s="10">
        <f>IF(A2460="D",LEFT(UPPER(D2460)&amp;REPT(" ",2),2)," ")</f>
        <v/>
      </c>
      <c r="U2460" s="10">
        <f>IF(A2460="D",LEFT(UPPER(E2460)&amp;REPT(" ",15),15)," ")</f>
        <v/>
      </c>
      <c r="V2460" s="10">
        <f>REPT(" ",24)</f>
        <v/>
      </c>
      <c r="W2460" s="10">
        <f>IF(A2460="c",LEFT(UPPER(B2460)&amp;REPT(" ",20),20),REPT(" ",20))</f>
        <v/>
      </c>
      <c r="X2460" s="10">
        <f>IF(A2460="C",LEFT(UPPER(C2460)&amp;REPT(" ",10),10)," ")</f>
        <v/>
      </c>
      <c r="Y2460" s="10">
        <f>IF(A2460="C",LEFT(UPPER(D2460)&amp;REPT(" ",2),2)," ")</f>
        <v/>
      </c>
      <c r="Z2460" s="10">
        <f>IF(A2460="C",LEFT(UPPER(E2460)&amp;REPT(" ",15),15)," ")</f>
        <v/>
      </c>
      <c r="AA2460" s="10">
        <f>REPT(" ",8)</f>
        <v/>
      </c>
      <c r="AB2460" s="10">
        <f>REPT(" ",4)</f>
        <v/>
      </c>
      <c r="AC2460" s="10">
        <f>LEFT(UPPER(H2460)&amp;REPT(" ",250),250)</f>
        <v/>
      </c>
      <c r="AD2460" s="10">
        <f>TEXT($G$2,"dd/mm/aaaa")</f>
        <v/>
      </c>
      <c r="AE2460" s="10">
        <f>REPT(" ",10)</f>
        <v/>
      </c>
      <c r="AF2460" s="10">
        <f>REPT(" ",20)</f>
        <v/>
      </c>
      <c r="AG2460" s="54">
        <f>REPT(" ",18-LEN(FIXED(F2460,2,TRUE)))&amp;FIXED(F2460,2,TRUE)</f>
        <v/>
      </c>
      <c r="AH2460" s="10">
        <f>LEN(AC2460)+LEN(AG2460)</f>
        <v/>
      </c>
      <c r="AI2460" s="10">
        <f>LEN(L2460)</f>
        <v/>
      </c>
    </row>
    <row r="2461">
      <c r="J2461" s="12">
        <f>IF(F2461&lt;&gt;0,"LANÇAR","")</f>
        <v/>
      </c>
      <c r="L2461" s="13">
        <f>N2461&amp;O2461&amp;P2461&amp;Q2461&amp;R2461&amp;S2461&amp;T2461&amp;U2461&amp;V2461&amp;W2461&amp;X2461&amp;Y2461&amp;Z2461&amp;AA2461&amp;AB2461&amp;AC2461&amp;AD2461&amp;AE2461&amp;AF2461&amp;AG2461</f>
        <v/>
      </c>
      <c r="N2461" s="10">
        <f>TEXT($B$6,"00")</f>
        <v/>
      </c>
      <c r="O2461" s="10">
        <f>REPT(" ",8)</f>
        <v/>
      </c>
      <c r="P2461" s="10">
        <f>RIGHT($B$4,2)</f>
        <v/>
      </c>
      <c r="Q2461" s="10">
        <f>RIGHT($B$5,3)</f>
        <v/>
      </c>
      <c r="R2461" s="10">
        <f>IF(A2461="D",LEFT(UPPER(B2461)&amp;REPT(" ",20),20),REPT(" ",20))</f>
        <v/>
      </c>
      <c r="S2461" s="10">
        <f>IF(A2461="D",LEFT(UPPER(C2461)&amp;REPT(" ",10),10)," ")</f>
        <v/>
      </c>
      <c r="T2461" s="10">
        <f>IF(A2461="D",LEFT(UPPER(D2461)&amp;REPT(" ",2),2)," ")</f>
        <v/>
      </c>
      <c r="U2461" s="10">
        <f>IF(A2461="D",LEFT(UPPER(E2461)&amp;REPT(" ",15),15)," ")</f>
        <v/>
      </c>
      <c r="V2461" s="10">
        <f>REPT(" ",24)</f>
        <v/>
      </c>
      <c r="W2461" s="10">
        <f>IF(A2461="c",LEFT(UPPER(B2461)&amp;REPT(" ",20),20),REPT(" ",20))</f>
        <v/>
      </c>
      <c r="X2461" s="10">
        <f>IF(A2461="C",LEFT(UPPER(C2461)&amp;REPT(" ",10),10)," ")</f>
        <v/>
      </c>
      <c r="Y2461" s="10">
        <f>IF(A2461="C",LEFT(UPPER(D2461)&amp;REPT(" ",2),2)," ")</f>
        <v/>
      </c>
      <c r="Z2461" s="10">
        <f>IF(A2461="C",LEFT(UPPER(E2461)&amp;REPT(" ",15),15)," ")</f>
        <v/>
      </c>
      <c r="AA2461" s="10">
        <f>REPT(" ",8)</f>
        <v/>
      </c>
      <c r="AB2461" s="10">
        <f>REPT(" ",4)</f>
        <v/>
      </c>
      <c r="AC2461" s="10">
        <f>LEFT(UPPER(H2461)&amp;REPT(" ",250),250)</f>
        <v/>
      </c>
      <c r="AD2461" s="10">
        <f>TEXT($G$2,"dd/mm/aaaa")</f>
        <v/>
      </c>
      <c r="AE2461" s="10">
        <f>REPT(" ",10)</f>
        <v/>
      </c>
      <c r="AF2461" s="10">
        <f>REPT(" ",20)</f>
        <v/>
      </c>
      <c r="AG2461" s="54">
        <f>REPT(" ",18-LEN(FIXED(F2461,2,TRUE)))&amp;FIXED(F2461,2,TRUE)</f>
        <v/>
      </c>
      <c r="AH2461" s="10">
        <f>LEN(AC2461)+LEN(AG2461)</f>
        <v/>
      </c>
      <c r="AI2461" s="10">
        <f>LEN(L2461)</f>
        <v/>
      </c>
    </row>
    <row r="2462">
      <c r="J2462" s="12">
        <f>IF(F2462&lt;&gt;0,"LANÇAR","")</f>
        <v/>
      </c>
      <c r="L2462" s="13">
        <f>N2462&amp;O2462&amp;P2462&amp;Q2462&amp;R2462&amp;S2462&amp;T2462&amp;U2462&amp;V2462&amp;W2462&amp;X2462&amp;Y2462&amp;Z2462&amp;AA2462&amp;AB2462&amp;AC2462&amp;AD2462&amp;AE2462&amp;AF2462&amp;AG2462</f>
        <v/>
      </c>
      <c r="N2462" s="10">
        <f>TEXT($B$6,"00")</f>
        <v/>
      </c>
      <c r="O2462" s="10">
        <f>REPT(" ",8)</f>
        <v/>
      </c>
      <c r="P2462" s="10">
        <f>RIGHT($B$4,2)</f>
        <v/>
      </c>
      <c r="Q2462" s="10">
        <f>RIGHT($B$5,3)</f>
        <v/>
      </c>
      <c r="R2462" s="10">
        <f>IF(A2462="D",LEFT(UPPER(B2462)&amp;REPT(" ",20),20),REPT(" ",20))</f>
        <v/>
      </c>
      <c r="S2462" s="10">
        <f>IF(A2462="D",LEFT(UPPER(C2462)&amp;REPT(" ",10),10)," ")</f>
        <v/>
      </c>
      <c r="T2462" s="10">
        <f>IF(A2462="D",LEFT(UPPER(D2462)&amp;REPT(" ",2),2)," ")</f>
        <v/>
      </c>
      <c r="U2462" s="10">
        <f>IF(A2462="D",LEFT(UPPER(E2462)&amp;REPT(" ",15),15)," ")</f>
        <v/>
      </c>
      <c r="V2462" s="10">
        <f>REPT(" ",24)</f>
        <v/>
      </c>
      <c r="W2462" s="10">
        <f>IF(A2462="c",LEFT(UPPER(B2462)&amp;REPT(" ",20),20),REPT(" ",20))</f>
        <v/>
      </c>
      <c r="X2462" s="10">
        <f>IF(A2462="C",LEFT(UPPER(C2462)&amp;REPT(" ",10),10)," ")</f>
        <v/>
      </c>
      <c r="Y2462" s="10">
        <f>IF(A2462="C",LEFT(UPPER(D2462)&amp;REPT(" ",2),2)," ")</f>
        <v/>
      </c>
      <c r="Z2462" s="10">
        <f>IF(A2462="C",LEFT(UPPER(E2462)&amp;REPT(" ",15),15)," ")</f>
        <v/>
      </c>
      <c r="AA2462" s="10">
        <f>REPT(" ",8)</f>
        <v/>
      </c>
      <c r="AB2462" s="10">
        <f>REPT(" ",4)</f>
        <v/>
      </c>
      <c r="AC2462" s="10">
        <f>LEFT(UPPER(H2462)&amp;REPT(" ",250),250)</f>
        <v/>
      </c>
      <c r="AD2462" s="10">
        <f>TEXT($G$2,"dd/mm/aaaa")</f>
        <v/>
      </c>
      <c r="AE2462" s="10">
        <f>REPT(" ",10)</f>
        <v/>
      </c>
      <c r="AF2462" s="10">
        <f>REPT(" ",20)</f>
        <v/>
      </c>
      <c r="AG2462" s="54">
        <f>REPT(" ",18-LEN(FIXED(F2462,2,TRUE)))&amp;FIXED(F2462,2,TRUE)</f>
        <v/>
      </c>
      <c r="AH2462" s="10">
        <f>LEN(AC2462)+LEN(AG2462)</f>
        <v/>
      </c>
      <c r="AI2462" s="10">
        <f>LEN(L2462)</f>
        <v/>
      </c>
    </row>
    <row r="2463">
      <c r="J2463" s="12">
        <f>IF(F2463&lt;&gt;0,"LANÇAR","")</f>
        <v/>
      </c>
      <c r="L2463" s="13">
        <f>N2463&amp;O2463&amp;P2463&amp;Q2463&amp;R2463&amp;S2463&amp;T2463&amp;U2463&amp;V2463&amp;W2463&amp;X2463&amp;Y2463&amp;Z2463&amp;AA2463&amp;AB2463&amp;AC2463&amp;AD2463&amp;AE2463&amp;AF2463&amp;AG2463</f>
        <v/>
      </c>
      <c r="N2463" s="10">
        <f>TEXT($B$6,"00")</f>
        <v/>
      </c>
      <c r="O2463" s="10">
        <f>REPT(" ",8)</f>
        <v/>
      </c>
      <c r="P2463" s="10">
        <f>RIGHT($B$4,2)</f>
        <v/>
      </c>
      <c r="Q2463" s="10">
        <f>RIGHT($B$5,3)</f>
        <v/>
      </c>
      <c r="R2463" s="10">
        <f>IF(A2463="D",LEFT(UPPER(B2463)&amp;REPT(" ",20),20),REPT(" ",20))</f>
        <v/>
      </c>
      <c r="S2463" s="10">
        <f>IF(A2463="D",LEFT(UPPER(C2463)&amp;REPT(" ",10),10)," ")</f>
        <v/>
      </c>
      <c r="T2463" s="10">
        <f>IF(A2463="D",LEFT(UPPER(D2463)&amp;REPT(" ",2),2)," ")</f>
        <v/>
      </c>
      <c r="U2463" s="10">
        <f>IF(A2463="D",LEFT(UPPER(E2463)&amp;REPT(" ",15),15)," ")</f>
        <v/>
      </c>
      <c r="V2463" s="10">
        <f>REPT(" ",24)</f>
        <v/>
      </c>
      <c r="W2463" s="10">
        <f>IF(A2463="c",LEFT(UPPER(B2463)&amp;REPT(" ",20),20),REPT(" ",20))</f>
        <v/>
      </c>
      <c r="X2463" s="10">
        <f>IF(A2463="C",LEFT(UPPER(C2463)&amp;REPT(" ",10),10)," ")</f>
        <v/>
      </c>
      <c r="Y2463" s="10">
        <f>IF(A2463="C",LEFT(UPPER(D2463)&amp;REPT(" ",2),2)," ")</f>
        <v/>
      </c>
      <c r="Z2463" s="10">
        <f>IF(A2463="C",LEFT(UPPER(E2463)&amp;REPT(" ",15),15)," ")</f>
        <v/>
      </c>
      <c r="AA2463" s="10">
        <f>REPT(" ",8)</f>
        <v/>
      </c>
      <c r="AB2463" s="10">
        <f>REPT(" ",4)</f>
        <v/>
      </c>
      <c r="AC2463" s="10">
        <f>LEFT(UPPER(H2463)&amp;REPT(" ",250),250)</f>
        <v/>
      </c>
      <c r="AD2463" s="10">
        <f>TEXT($G$2,"dd/mm/aaaa")</f>
        <v/>
      </c>
      <c r="AE2463" s="10">
        <f>REPT(" ",10)</f>
        <v/>
      </c>
      <c r="AF2463" s="10">
        <f>REPT(" ",20)</f>
        <v/>
      </c>
      <c r="AG2463" s="54">
        <f>REPT(" ",18-LEN(FIXED(F2463,2,TRUE)))&amp;FIXED(F2463,2,TRUE)</f>
        <v/>
      </c>
      <c r="AH2463" s="10">
        <f>LEN(AC2463)+LEN(AG2463)</f>
        <v/>
      </c>
      <c r="AI2463" s="10">
        <f>LEN(L2463)</f>
        <v/>
      </c>
    </row>
    <row r="2464">
      <c r="J2464" s="12">
        <f>IF(F2464&lt;&gt;0,"LANÇAR","")</f>
        <v/>
      </c>
      <c r="L2464" s="13">
        <f>N2464&amp;O2464&amp;P2464&amp;Q2464&amp;R2464&amp;S2464&amp;T2464&amp;U2464&amp;V2464&amp;W2464&amp;X2464&amp;Y2464&amp;Z2464&amp;AA2464&amp;AB2464&amp;AC2464&amp;AD2464&amp;AE2464&amp;AF2464&amp;AG2464</f>
        <v/>
      </c>
      <c r="N2464" s="10">
        <f>TEXT($B$6,"00")</f>
        <v/>
      </c>
      <c r="O2464" s="10">
        <f>REPT(" ",8)</f>
        <v/>
      </c>
      <c r="P2464" s="10">
        <f>RIGHT($B$4,2)</f>
        <v/>
      </c>
      <c r="Q2464" s="10">
        <f>RIGHT($B$5,3)</f>
        <v/>
      </c>
      <c r="R2464" s="10">
        <f>IF(A2464="D",LEFT(UPPER(B2464)&amp;REPT(" ",20),20),REPT(" ",20))</f>
        <v/>
      </c>
      <c r="S2464" s="10">
        <f>IF(A2464="D",LEFT(UPPER(C2464)&amp;REPT(" ",10),10)," ")</f>
        <v/>
      </c>
      <c r="T2464" s="10">
        <f>IF(A2464="D",LEFT(UPPER(D2464)&amp;REPT(" ",2),2)," ")</f>
        <v/>
      </c>
      <c r="U2464" s="10">
        <f>IF(A2464="D",LEFT(UPPER(E2464)&amp;REPT(" ",15),15)," ")</f>
        <v/>
      </c>
      <c r="V2464" s="10">
        <f>REPT(" ",24)</f>
        <v/>
      </c>
      <c r="W2464" s="10">
        <f>IF(A2464="c",LEFT(UPPER(B2464)&amp;REPT(" ",20),20),REPT(" ",20))</f>
        <v/>
      </c>
      <c r="X2464" s="10">
        <f>IF(A2464="C",LEFT(UPPER(C2464)&amp;REPT(" ",10),10)," ")</f>
        <v/>
      </c>
      <c r="Y2464" s="10">
        <f>IF(A2464="C",LEFT(UPPER(D2464)&amp;REPT(" ",2),2)," ")</f>
        <v/>
      </c>
      <c r="Z2464" s="10">
        <f>IF(A2464="C",LEFT(UPPER(E2464)&amp;REPT(" ",15),15)," ")</f>
        <v/>
      </c>
      <c r="AA2464" s="10">
        <f>REPT(" ",8)</f>
        <v/>
      </c>
      <c r="AB2464" s="10">
        <f>REPT(" ",4)</f>
        <v/>
      </c>
      <c r="AC2464" s="10">
        <f>LEFT(UPPER(H2464)&amp;REPT(" ",250),250)</f>
        <v/>
      </c>
      <c r="AD2464" s="10">
        <f>TEXT($G$2,"dd/mm/aaaa")</f>
        <v/>
      </c>
      <c r="AE2464" s="10">
        <f>REPT(" ",10)</f>
        <v/>
      </c>
      <c r="AF2464" s="10">
        <f>REPT(" ",20)</f>
        <v/>
      </c>
      <c r="AG2464" s="54">
        <f>REPT(" ",18-LEN(FIXED(F2464,2,TRUE)))&amp;FIXED(F2464,2,TRUE)</f>
        <v/>
      </c>
      <c r="AH2464" s="10">
        <f>LEN(AC2464)+LEN(AG2464)</f>
        <v/>
      </c>
      <c r="AI2464" s="10">
        <f>LEN(L2464)</f>
        <v/>
      </c>
    </row>
    <row r="2465">
      <c r="J2465" s="12">
        <f>IF(F2465&lt;&gt;0,"LANÇAR","")</f>
        <v/>
      </c>
      <c r="L2465" s="13">
        <f>N2465&amp;O2465&amp;P2465&amp;Q2465&amp;R2465&amp;S2465&amp;T2465&amp;U2465&amp;V2465&amp;W2465&amp;X2465&amp;Y2465&amp;Z2465&amp;AA2465&amp;AB2465&amp;AC2465&amp;AD2465&amp;AE2465&amp;AF2465&amp;AG2465</f>
        <v/>
      </c>
      <c r="N2465" s="10">
        <f>TEXT($B$6,"00")</f>
        <v/>
      </c>
      <c r="O2465" s="10">
        <f>REPT(" ",8)</f>
        <v/>
      </c>
      <c r="P2465" s="10">
        <f>RIGHT($B$4,2)</f>
        <v/>
      </c>
      <c r="Q2465" s="10">
        <f>RIGHT($B$5,3)</f>
        <v/>
      </c>
      <c r="R2465" s="10">
        <f>IF(A2465="D",LEFT(UPPER(B2465)&amp;REPT(" ",20),20),REPT(" ",20))</f>
        <v/>
      </c>
      <c r="S2465" s="10">
        <f>IF(A2465="D",LEFT(UPPER(C2465)&amp;REPT(" ",10),10)," ")</f>
        <v/>
      </c>
      <c r="T2465" s="10">
        <f>IF(A2465="D",LEFT(UPPER(D2465)&amp;REPT(" ",2),2)," ")</f>
        <v/>
      </c>
      <c r="U2465" s="10">
        <f>IF(A2465="D",LEFT(UPPER(E2465)&amp;REPT(" ",15),15)," ")</f>
        <v/>
      </c>
      <c r="V2465" s="10">
        <f>REPT(" ",24)</f>
        <v/>
      </c>
      <c r="W2465" s="10">
        <f>IF(A2465="c",LEFT(UPPER(B2465)&amp;REPT(" ",20),20),REPT(" ",20))</f>
        <v/>
      </c>
      <c r="X2465" s="10">
        <f>IF(A2465="C",LEFT(UPPER(C2465)&amp;REPT(" ",10),10)," ")</f>
        <v/>
      </c>
      <c r="Y2465" s="10">
        <f>IF(A2465="C",LEFT(UPPER(D2465)&amp;REPT(" ",2),2)," ")</f>
        <v/>
      </c>
      <c r="Z2465" s="10">
        <f>IF(A2465="C",LEFT(UPPER(E2465)&amp;REPT(" ",15),15)," ")</f>
        <v/>
      </c>
      <c r="AA2465" s="10">
        <f>REPT(" ",8)</f>
        <v/>
      </c>
      <c r="AB2465" s="10">
        <f>REPT(" ",4)</f>
        <v/>
      </c>
      <c r="AC2465" s="10">
        <f>LEFT(UPPER(H2465)&amp;REPT(" ",250),250)</f>
        <v/>
      </c>
      <c r="AD2465" s="10">
        <f>TEXT($G$2,"dd/mm/aaaa")</f>
        <v/>
      </c>
      <c r="AE2465" s="10">
        <f>REPT(" ",10)</f>
        <v/>
      </c>
      <c r="AF2465" s="10">
        <f>REPT(" ",20)</f>
        <v/>
      </c>
      <c r="AG2465" s="54">
        <f>REPT(" ",18-LEN(FIXED(F2465,2,TRUE)))&amp;FIXED(F2465,2,TRUE)</f>
        <v/>
      </c>
      <c r="AH2465" s="10">
        <f>LEN(AC2465)+LEN(AG2465)</f>
        <v/>
      </c>
      <c r="AI2465" s="10">
        <f>LEN(L2465)</f>
        <v/>
      </c>
    </row>
    <row r="2466">
      <c r="J2466" s="12">
        <f>IF(F2466&lt;&gt;0,"LANÇAR","")</f>
        <v/>
      </c>
      <c r="L2466" s="13">
        <f>N2466&amp;O2466&amp;P2466&amp;Q2466&amp;R2466&amp;S2466&amp;T2466&amp;U2466&amp;V2466&amp;W2466&amp;X2466&amp;Y2466&amp;Z2466&amp;AA2466&amp;AB2466&amp;AC2466&amp;AD2466&amp;AE2466&amp;AF2466&amp;AG2466</f>
        <v/>
      </c>
      <c r="N2466" s="10">
        <f>TEXT($B$6,"00")</f>
        <v/>
      </c>
      <c r="O2466" s="10">
        <f>REPT(" ",8)</f>
        <v/>
      </c>
      <c r="P2466" s="10">
        <f>RIGHT($B$4,2)</f>
        <v/>
      </c>
      <c r="Q2466" s="10">
        <f>RIGHT($B$5,3)</f>
        <v/>
      </c>
      <c r="R2466" s="10">
        <f>IF(A2466="D",LEFT(UPPER(B2466)&amp;REPT(" ",20),20),REPT(" ",20))</f>
        <v/>
      </c>
      <c r="S2466" s="10">
        <f>IF(A2466="D",LEFT(UPPER(C2466)&amp;REPT(" ",10),10)," ")</f>
        <v/>
      </c>
      <c r="T2466" s="10">
        <f>IF(A2466="D",LEFT(UPPER(D2466)&amp;REPT(" ",2),2)," ")</f>
        <v/>
      </c>
      <c r="U2466" s="10">
        <f>IF(A2466="D",LEFT(UPPER(E2466)&amp;REPT(" ",15),15)," ")</f>
        <v/>
      </c>
      <c r="V2466" s="10">
        <f>REPT(" ",24)</f>
        <v/>
      </c>
      <c r="W2466" s="10">
        <f>IF(A2466="c",LEFT(UPPER(B2466)&amp;REPT(" ",20),20),REPT(" ",20))</f>
        <v/>
      </c>
      <c r="X2466" s="10">
        <f>IF(A2466="C",LEFT(UPPER(C2466)&amp;REPT(" ",10),10)," ")</f>
        <v/>
      </c>
      <c r="Y2466" s="10">
        <f>IF(A2466="C",LEFT(UPPER(D2466)&amp;REPT(" ",2),2)," ")</f>
        <v/>
      </c>
      <c r="Z2466" s="10">
        <f>IF(A2466="C",LEFT(UPPER(E2466)&amp;REPT(" ",15),15)," ")</f>
        <v/>
      </c>
      <c r="AA2466" s="10">
        <f>REPT(" ",8)</f>
        <v/>
      </c>
      <c r="AB2466" s="10">
        <f>REPT(" ",4)</f>
        <v/>
      </c>
      <c r="AC2466" s="10">
        <f>LEFT(UPPER(H2466)&amp;REPT(" ",250),250)</f>
        <v/>
      </c>
      <c r="AD2466" s="10">
        <f>TEXT($G$2,"dd/mm/aaaa")</f>
        <v/>
      </c>
      <c r="AE2466" s="10">
        <f>REPT(" ",10)</f>
        <v/>
      </c>
      <c r="AF2466" s="10">
        <f>REPT(" ",20)</f>
        <v/>
      </c>
      <c r="AG2466" s="54">
        <f>REPT(" ",18-LEN(FIXED(F2466,2,TRUE)))&amp;FIXED(F2466,2,TRUE)</f>
        <v/>
      </c>
      <c r="AH2466" s="10">
        <f>LEN(AC2466)+LEN(AG2466)</f>
        <v/>
      </c>
      <c r="AI2466" s="10">
        <f>LEN(L2466)</f>
        <v/>
      </c>
    </row>
    <row r="2467">
      <c r="J2467" s="12">
        <f>IF(F2467&lt;&gt;0,"LANÇAR","")</f>
        <v/>
      </c>
      <c r="L2467" s="13">
        <f>N2467&amp;O2467&amp;P2467&amp;Q2467&amp;R2467&amp;S2467&amp;T2467&amp;U2467&amp;V2467&amp;W2467&amp;X2467&amp;Y2467&amp;Z2467&amp;AA2467&amp;AB2467&amp;AC2467&amp;AD2467&amp;AE2467&amp;AF2467&amp;AG2467</f>
        <v/>
      </c>
      <c r="N2467" s="10">
        <f>TEXT($B$6,"00")</f>
        <v/>
      </c>
      <c r="O2467" s="10">
        <f>REPT(" ",8)</f>
        <v/>
      </c>
      <c r="P2467" s="10">
        <f>RIGHT($B$4,2)</f>
        <v/>
      </c>
      <c r="Q2467" s="10">
        <f>RIGHT($B$5,3)</f>
        <v/>
      </c>
      <c r="R2467" s="10">
        <f>IF(A2467="D",LEFT(UPPER(B2467)&amp;REPT(" ",20),20),REPT(" ",20))</f>
        <v/>
      </c>
      <c r="S2467" s="10">
        <f>IF(A2467="D",LEFT(UPPER(C2467)&amp;REPT(" ",10),10)," ")</f>
        <v/>
      </c>
      <c r="T2467" s="10">
        <f>IF(A2467="D",LEFT(UPPER(D2467)&amp;REPT(" ",2),2)," ")</f>
        <v/>
      </c>
      <c r="U2467" s="10">
        <f>IF(A2467="D",LEFT(UPPER(E2467)&amp;REPT(" ",15),15)," ")</f>
        <v/>
      </c>
      <c r="V2467" s="10">
        <f>REPT(" ",24)</f>
        <v/>
      </c>
      <c r="W2467" s="10">
        <f>IF(A2467="c",LEFT(UPPER(B2467)&amp;REPT(" ",20),20),REPT(" ",20))</f>
        <v/>
      </c>
      <c r="X2467" s="10">
        <f>IF(A2467="C",LEFT(UPPER(C2467)&amp;REPT(" ",10),10)," ")</f>
        <v/>
      </c>
      <c r="Y2467" s="10">
        <f>IF(A2467="C",LEFT(UPPER(D2467)&amp;REPT(" ",2),2)," ")</f>
        <v/>
      </c>
      <c r="Z2467" s="10">
        <f>IF(A2467="C",LEFT(UPPER(E2467)&amp;REPT(" ",15),15)," ")</f>
        <v/>
      </c>
      <c r="AA2467" s="10">
        <f>REPT(" ",8)</f>
        <v/>
      </c>
      <c r="AB2467" s="10">
        <f>REPT(" ",4)</f>
        <v/>
      </c>
      <c r="AC2467" s="10">
        <f>LEFT(UPPER(H2467)&amp;REPT(" ",250),250)</f>
        <v/>
      </c>
      <c r="AD2467" s="10">
        <f>TEXT($G$2,"dd/mm/aaaa")</f>
        <v/>
      </c>
      <c r="AE2467" s="10">
        <f>REPT(" ",10)</f>
        <v/>
      </c>
      <c r="AF2467" s="10">
        <f>REPT(" ",20)</f>
        <v/>
      </c>
      <c r="AG2467" s="54">
        <f>REPT(" ",18-LEN(FIXED(F2467,2,TRUE)))&amp;FIXED(F2467,2,TRUE)</f>
        <v/>
      </c>
      <c r="AH2467" s="10">
        <f>LEN(AC2467)+LEN(AG2467)</f>
        <v/>
      </c>
      <c r="AI2467" s="10">
        <f>LEN(L2467)</f>
        <v/>
      </c>
    </row>
    <row r="2468">
      <c r="J2468" s="12">
        <f>IF(F2468&lt;&gt;0,"LANÇAR","")</f>
        <v/>
      </c>
      <c r="L2468" s="13">
        <f>N2468&amp;O2468&amp;P2468&amp;Q2468&amp;R2468&amp;S2468&amp;T2468&amp;U2468&amp;V2468&amp;W2468&amp;X2468&amp;Y2468&amp;Z2468&amp;AA2468&amp;AB2468&amp;AC2468&amp;AD2468&amp;AE2468&amp;AF2468&amp;AG2468</f>
        <v/>
      </c>
      <c r="N2468" s="10">
        <f>TEXT($B$6,"00")</f>
        <v/>
      </c>
      <c r="O2468" s="10">
        <f>REPT(" ",8)</f>
        <v/>
      </c>
      <c r="P2468" s="10">
        <f>RIGHT($B$4,2)</f>
        <v/>
      </c>
      <c r="Q2468" s="10">
        <f>RIGHT($B$5,3)</f>
        <v/>
      </c>
      <c r="R2468" s="10">
        <f>IF(A2468="D",LEFT(UPPER(B2468)&amp;REPT(" ",20),20),REPT(" ",20))</f>
        <v/>
      </c>
      <c r="S2468" s="10">
        <f>IF(A2468="D",LEFT(UPPER(C2468)&amp;REPT(" ",10),10)," ")</f>
        <v/>
      </c>
      <c r="T2468" s="10">
        <f>IF(A2468="D",LEFT(UPPER(D2468)&amp;REPT(" ",2),2)," ")</f>
        <v/>
      </c>
      <c r="U2468" s="10">
        <f>IF(A2468="D",LEFT(UPPER(E2468)&amp;REPT(" ",15),15)," ")</f>
        <v/>
      </c>
      <c r="V2468" s="10">
        <f>REPT(" ",24)</f>
        <v/>
      </c>
      <c r="W2468" s="10">
        <f>IF(A2468="c",LEFT(UPPER(B2468)&amp;REPT(" ",20),20),REPT(" ",20))</f>
        <v/>
      </c>
      <c r="X2468" s="10">
        <f>IF(A2468="C",LEFT(UPPER(C2468)&amp;REPT(" ",10),10)," ")</f>
        <v/>
      </c>
      <c r="Y2468" s="10">
        <f>IF(A2468="C",LEFT(UPPER(D2468)&amp;REPT(" ",2),2)," ")</f>
        <v/>
      </c>
      <c r="Z2468" s="10">
        <f>IF(A2468="C",LEFT(UPPER(E2468)&amp;REPT(" ",15),15)," ")</f>
        <v/>
      </c>
      <c r="AA2468" s="10">
        <f>REPT(" ",8)</f>
        <v/>
      </c>
      <c r="AB2468" s="10">
        <f>REPT(" ",4)</f>
        <v/>
      </c>
      <c r="AC2468" s="10">
        <f>LEFT(UPPER(H2468)&amp;REPT(" ",250),250)</f>
        <v/>
      </c>
      <c r="AD2468" s="10">
        <f>TEXT($G$2,"dd/mm/aaaa")</f>
        <v/>
      </c>
      <c r="AE2468" s="10">
        <f>REPT(" ",10)</f>
        <v/>
      </c>
      <c r="AF2468" s="10">
        <f>REPT(" ",20)</f>
        <v/>
      </c>
      <c r="AG2468" s="54">
        <f>REPT(" ",18-LEN(FIXED(F2468,2,TRUE)))&amp;FIXED(F2468,2,TRUE)</f>
        <v/>
      </c>
      <c r="AH2468" s="10">
        <f>LEN(AC2468)+LEN(AG2468)</f>
        <v/>
      </c>
      <c r="AI2468" s="10">
        <f>LEN(L2468)</f>
        <v/>
      </c>
    </row>
    <row r="2469">
      <c r="J2469" s="12">
        <f>IF(F2469&lt;&gt;0,"LANÇAR","")</f>
        <v/>
      </c>
      <c r="L2469" s="13">
        <f>N2469&amp;O2469&amp;P2469&amp;Q2469&amp;R2469&amp;S2469&amp;T2469&amp;U2469&amp;V2469&amp;W2469&amp;X2469&amp;Y2469&amp;Z2469&amp;AA2469&amp;AB2469&amp;AC2469&amp;AD2469&amp;AE2469&amp;AF2469&amp;AG2469</f>
        <v/>
      </c>
      <c r="N2469" s="10">
        <f>TEXT($B$6,"00")</f>
        <v/>
      </c>
      <c r="O2469" s="10">
        <f>REPT(" ",8)</f>
        <v/>
      </c>
      <c r="P2469" s="10">
        <f>RIGHT($B$4,2)</f>
        <v/>
      </c>
      <c r="Q2469" s="10">
        <f>RIGHT($B$5,3)</f>
        <v/>
      </c>
      <c r="R2469" s="10">
        <f>IF(A2469="D",LEFT(UPPER(B2469)&amp;REPT(" ",20),20),REPT(" ",20))</f>
        <v/>
      </c>
      <c r="S2469" s="10">
        <f>IF(A2469="D",LEFT(UPPER(C2469)&amp;REPT(" ",10),10)," ")</f>
        <v/>
      </c>
      <c r="T2469" s="10">
        <f>IF(A2469="D",LEFT(UPPER(D2469)&amp;REPT(" ",2),2)," ")</f>
        <v/>
      </c>
      <c r="U2469" s="10">
        <f>IF(A2469="D",LEFT(UPPER(E2469)&amp;REPT(" ",15),15)," ")</f>
        <v/>
      </c>
      <c r="V2469" s="10">
        <f>REPT(" ",24)</f>
        <v/>
      </c>
      <c r="W2469" s="10">
        <f>IF(A2469="c",LEFT(UPPER(B2469)&amp;REPT(" ",20),20),REPT(" ",20))</f>
        <v/>
      </c>
      <c r="X2469" s="10">
        <f>IF(A2469="C",LEFT(UPPER(C2469)&amp;REPT(" ",10),10)," ")</f>
        <v/>
      </c>
      <c r="Y2469" s="10">
        <f>IF(A2469="C",LEFT(UPPER(D2469)&amp;REPT(" ",2),2)," ")</f>
        <v/>
      </c>
      <c r="Z2469" s="10">
        <f>IF(A2469="C",LEFT(UPPER(E2469)&amp;REPT(" ",15),15)," ")</f>
        <v/>
      </c>
      <c r="AA2469" s="10">
        <f>REPT(" ",8)</f>
        <v/>
      </c>
      <c r="AB2469" s="10">
        <f>REPT(" ",4)</f>
        <v/>
      </c>
      <c r="AC2469" s="10">
        <f>LEFT(UPPER(H2469)&amp;REPT(" ",250),250)</f>
        <v/>
      </c>
      <c r="AD2469" s="10">
        <f>TEXT($G$2,"dd/mm/aaaa")</f>
        <v/>
      </c>
      <c r="AE2469" s="10">
        <f>REPT(" ",10)</f>
        <v/>
      </c>
      <c r="AF2469" s="10">
        <f>REPT(" ",20)</f>
        <v/>
      </c>
      <c r="AG2469" s="54">
        <f>REPT(" ",18-LEN(FIXED(F2469,2,TRUE)))&amp;FIXED(F2469,2,TRUE)</f>
        <v/>
      </c>
      <c r="AH2469" s="10">
        <f>LEN(AC2469)+LEN(AG2469)</f>
        <v/>
      </c>
      <c r="AI2469" s="10">
        <f>LEN(L2469)</f>
        <v/>
      </c>
    </row>
    <row r="2470">
      <c r="J2470" s="12">
        <f>IF(F2470&lt;&gt;0,"LANÇAR","")</f>
        <v/>
      </c>
      <c r="L2470" s="13">
        <f>N2470&amp;O2470&amp;P2470&amp;Q2470&amp;R2470&amp;S2470&amp;T2470&amp;U2470&amp;V2470&amp;W2470&amp;X2470&amp;Y2470&amp;Z2470&amp;AA2470&amp;AB2470&amp;AC2470&amp;AD2470&amp;AE2470&amp;AF2470&amp;AG2470</f>
        <v/>
      </c>
      <c r="N2470" s="10">
        <f>TEXT($B$6,"00")</f>
        <v/>
      </c>
      <c r="O2470" s="10">
        <f>REPT(" ",8)</f>
        <v/>
      </c>
      <c r="P2470" s="10">
        <f>RIGHT($B$4,2)</f>
        <v/>
      </c>
      <c r="Q2470" s="10">
        <f>RIGHT($B$5,3)</f>
        <v/>
      </c>
      <c r="R2470" s="10">
        <f>IF(A2470="D",LEFT(UPPER(B2470)&amp;REPT(" ",20),20),REPT(" ",20))</f>
        <v/>
      </c>
      <c r="S2470" s="10">
        <f>IF(A2470="D",LEFT(UPPER(C2470)&amp;REPT(" ",10),10)," ")</f>
        <v/>
      </c>
      <c r="T2470" s="10">
        <f>IF(A2470="D",LEFT(UPPER(D2470)&amp;REPT(" ",2),2)," ")</f>
        <v/>
      </c>
      <c r="U2470" s="10">
        <f>IF(A2470="D",LEFT(UPPER(E2470)&amp;REPT(" ",15),15)," ")</f>
        <v/>
      </c>
      <c r="V2470" s="10">
        <f>REPT(" ",24)</f>
        <v/>
      </c>
      <c r="W2470" s="10">
        <f>IF(A2470="c",LEFT(UPPER(B2470)&amp;REPT(" ",20),20),REPT(" ",20))</f>
        <v/>
      </c>
      <c r="X2470" s="10">
        <f>IF(A2470="C",LEFT(UPPER(C2470)&amp;REPT(" ",10),10)," ")</f>
        <v/>
      </c>
      <c r="Y2470" s="10">
        <f>IF(A2470="C",LEFT(UPPER(D2470)&amp;REPT(" ",2),2)," ")</f>
        <v/>
      </c>
      <c r="Z2470" s="10">
        <f>IF(A2470="C",LEFT(UPPER(E2470)&amp;REPT(" ",15),15)," ")</f>
        <v/>
      </c>
      <c r="AA2470" s="10">
        <f>REPT(" ",8)</f>
        <v/>
      </c>
      <c r="AB2470" s="10">
        <f>REPT(" ",4)</f>
        <v/>
      </c>
      <c r="AC2470" s="10">
        <f>LEFT(UPPER(H2470)&amp;REPT(" ",250),250)</f>
        <v/>
      </c>
      <c r="AD2470" s="10">
        <f>TEXT($G$2,"dd/mm/aaaa")</f>
        <v/>
      </c>
      <c r="AE2470" s="10">
        <f>REPT(" ",10)</f>
        <v/>
      </c>
      <c r="AF2470" s="10">
        <f>REPT(" ",20)</f>
        <v/>
      </c>
      <c r="AG2470" s="54">
        <f>REPT(" ",18-LEN(FIXED(F2470,2,TRUE)))&amp;FIXED(F2470,2,TRUE)</f>
        <v/>
      </c>
      <c r="AH2470" s="10">
        <f>LEN(AC2470)+LEN(AG2470)</f>
        <v/>
      </c>
      <c r="AI2470" s="10">
        <f>LEN(L2470)</f>
        <v/>
      </c>
    </row>
    <row r="2471">
      <c r="J2471" s="12">
        <f>IF(F2471&lt;&gt;0,"LANÇAR","")</f>
        <v/>
      </c>
      <c r="L2471" s="13">
        <f>N2471&amp;O2471&amp;P2471&amp;Q2471&amp;R2471&amp;S2471&amp;T2471&amp;U2471&amp;V2471&amp;W2471&amp;X2471&amp;Y2471&amp;Z2471&amp;AA2471&amp;AB2471&amp;AC2471&amp;AD2471&amp;AE2471&amp;AF2471&amp;AG2471</f>
        <v/>
      </c>
      <c r="N2471" s="10">
        <f>TEXT($B$6,"00")</f>
        <v/>
      </c>
      <c r="O2471" s="10">
        <f>REPT(" ",8)</f>
        <v/>
      </c>
      <c r="P2471" s="10">
        <f>RIGHT($B$4,2)</f>
        <v/>
      </c>
      <c r="Q2471" s="10">
        <f>RIGHT($B$5,3)</f>
        <v/>
      </c>
      <c r="R2471" s="10">
        <f>IF(A2471="D",LEFT(UPPER(B2471)&amp;REPT(" ",20),20),REPT(" ",20))</f>
        <v/>
      </c>
      <c r="S2471" s="10">
        <f>IF(A2471="D",LEFT(UPPER(C2471)&amp;REPT(" ",10),10)," ")</f>
        <v/>
      </c>
      <c r="T2471" s="10">
        <f>IF(A2471="D",LEFT(UPPER(D2471)&amp;REPT(" ",2),2)," ")</f>
        <v/>
      </c>
      <c r="U2471" s="10">
        <f>IF(A2471="D",LEFT(UPPER(E2471)&amp;REPT(" ",15),15)," ")</f>
        <v/>
      </c>
      <c r="V2471" s="10">
        <f>REPT(" ",24)</f>
        <v/>
      </c>
      <c r="W2471" s="10">
        <f>IF(A2471="c",LEFT(UPPER(B2471)&amp;REPT(" ",20),20),REPT(" ",20))</f>
        <v/>
      </c>
      <c r="X2471" s="10">
        <f>IF(A2471="C",LEFT(UPPER(C2471)&amp;REPT(" ",10),10)," ")</f>
        <v/>
      </c>
      <c r="Y2471" s="10">
        <f>IF(A2471="C",LEFT(UPPER(D2471)&amp;REPT(" ",2),2)," ")</f>
        <v/>
      </c>
      <c r="Z2471" s="10">
        <f>IF(A2471="C",LEFT(UPPER(E2471)&amp;REPT(" ",15),15)," ")</f>
        <v/>
      </c>
      <c r="AA2471" s="10">
        <f>REPT(" ",8)</f>
        <v/>
      </c>
      <c r="AB2471" s="10">
        <f>REPT(" ",4)</f>
        <v/>
      </c>
      <c r="AC2471" s="10">
        <f>LEFT(UPPER(H2471)&amp;REPT(" ",250),250)</f>
        <v/>
      </c>
      <c r="AD2471" s="10">
        <f>TEXT($G$2,"dd/mm/aaaa")</f>
        <v/>
      </c>
      <c r="AE2471" s="10">
        <f>REPT(" ",10)</f>
        <v/>
      </c>
      <c r="AF2471" s="10">
        <f>REPT(" ",20)</f>
        <v/>
      </c>
      <c r="AG2471" s="54">
        <f>REPT(" ",18-LEN(FIXED(F2471,2,TRUE)))&amp;FIXED(F2471,2,TRUE)</f>
        <v/>
      </c>
      <c r="AH2471" s="10">
        <f>LEN(AC2471)+LEN(AG2471)</f>
        <v/>
      </c>
      <c r="AI2471" s="10">
        <f>LEN(L2471)</f>
        <v/>
      </c>
    </row>
    <row r="2472">
      <c r="J2472" s="12">
        <f>IF(F2472&lt;&gt;0,"LANÇAR","")</f>
        <v/>
      </c>
      <c r="L2472" s="13">
        <f>N2472&amp;O2472&amp;P2472&amp;Q2472&amp;R2472&amp;S2472&amp;T2472&amp;U2472&amp;V2472&amp;W2472&amp;X2472&amp;Y2472&amp;Z2472&amp;AA2472&amp;AB2472&amp;AC2472&amp;AD2472&amp;AE2472&amp;AF2472&amp;AG2472</f>
        <v/>
      </c>
      <c r="N2472" s="10">
        <f>TEXT($B$6,"00")</f>
        <v/>
      </c>
      <c r="O2472" s="10">
        <f>REPT(" ",8)</f>
        <v/>
      </c>
      <c r="P2472" s="10">
        <f>RIGHT($B$4,2)</f>
        <v/>
      </c>
      <c r="Q2472" s="10">
        <f>RIGHT($B$5,3)</f>
        <v/>
      </c>
      <c r="R2472" s="10">
        <f>IF(A2472="D",LEFT(UPPER(B2472)&amp;REPT(" ",20),20),REPT(" ",20))</f>
        <v/>
      </c>
      <c r="S2472" s="10">
        <f>IF(A2472="D",LEFT(UPPER(C2472)&amp;REPT(" ",10),10)," ")</f>
        <v/>
      </c>
      <c r="T2472" s="10">
        <f>IF(A2472="D",LEFT(UPPER(D2472)&amp;REPT(" ",2),2)," ")</f>
        <v/>
      </c>
      <c r="U2472" s="10">
        <f>IF(A2472="D",LEFT(UPPER(E2472)&amp;REPT(" ",15),15)," ")</f>
        <v/>
      </c>
      <c r="V2472" s="10">
        <f>REPT(" ",24)</f>
        <v/>
      </c>
      <c r="W2472" s="10">
        <f>IF(A2472="c",LEFT(UPPER(B2472)&amp;REPT(" ",20),20),REPT(" ",20))</f>
        <v/>
      </c>
      <c r="X2472" s="10">
        <f>IF(A2472="C",LEFT(UPPER(C2472)&amp;REPT(" ",10),10)," ")</f>
        <v/>
      </c>
      <c r="Y2472" s="10">
        <f>IF(A2472="C",LEFT(UPPER(D2472)&amp;REPT(" ",2),2)," ")</f>
        <v/>
      </c>
      <c r="Z2472" s="10">
        <f>IF(A2472="C",LEFT(UPPER(E2472)&amp;REPT(" ",15),15)," ")</f>
        <v/>
      </c>
      <c r="AA2472" s="10">
        <f>REPT(" ",8)</f>
        <v/>
      </c>
      <c r="AB2472" s="10">
        <f>REPT(" ",4)</f>
        <v/>
      </c>
      <c r="AC2472" s="10">
        <f>LEFT(UPPER(H2472)&amp;REPT(" ",250),250)</f>
        <v/>
      </c>
      <c r="AD2472" s="10">
        <f>TEXT($G$2,"dd/mm/aaaa")</f>
        <v/>
      </c>
      <c r="AE2472" s="10">
        <f>REPT(" ",10)</f>
        <v/>
      </c>
      <c r="AF2472" s="10">
        <f>REPT(" ",20)</f>
        <v/>
      </c>
      <c r="AG2472" s="54">
        <f>REPT(" ",18-LEN(FIXED(F2472,2,TRUE)))&amp;FIXED(F2472,2,TRUE)</f>
        <v/>
      </c>
      <c r="AH2472" s="10">
        <f>LEN(AC2472)+LEN(AG2472)</f>
        <v/>
      </c>
      <c r="AI2472" s="10">
        <f>LEN(L2472)</f>
        <v/>
      </c>
    </row>
    <row r="2473">
      <c r="J2473" s="12">
        <f>IF(F2473&lt;&gt;0,"LANÇAR","")</f>
        <v/>
      </c>
      <c r="L2473" s="13">
        <f>N2473&amp;O2473&amp;P2473&amp;Q2473&amp;R2473&amp;S2473&amp;T2473&amp;U2473&amp;V2473&amp;W2473&amp;X2473&amp;Y2473&amp;Z2473&amp;AA2473&amp;AB2473&amp;AC2473&amp;AD2473&amp;AE2473&amp;AF2473&amp;AG2473</f>
        <v/>
      </c>
      <c r="N2473" s="10">
        <f>TEXT($B$6,"00")</f>
        <v/>
      </c>
      <c r="O2473" s="10">
        <f>REPT(" ",8)</f>
        <v/>
      </c>
      <c r="P2473" s="10">
        <f>RIGHT($B$4,2)</f>
        <v/>
      </c>
      <c r="Q2473" s="10">
        <f>RIGHT($B$5,3)</f>
        <v/>
      </c>
      <c r="R2473" s="10">
        <f>IF(A2473="D",LEFT(UPPER(B2473)&amp;REPT(" ",20),20),REPT(" ",20))</f>
        <v/>
      </c>
      <c r="S2473" s="10">
        <f>IF(A2473="D",LEFT(UPPER(C2473)&amp;REPT(" ",10),10)," ")</f>
        <v/>
      </c>
      <c r="T2473" s="10">
        <f>IF(A2473="D",LEFT(UPPER(D2473)&amp;REPT(" ",2),2)," ")</f>
        <v/>
      </c>
      <c r="U2473" s="10">
        <f>IF(A2473="D",LEFT(UPPER(E2473)&amp;REPT(" ",15),15)," ")</f>
        <v/>
      </c>
      <c r="V2473" s="10">
        <f>REPT(" ",24)</f>
        <v/>
      </c>
      <c r="W2473" s="10">
        <f>IF(A2473="c",LEFT(UPPER(B2473)&amp;REPT(" ",20),20),REPT(" ",20))</f>
        <v/>
      </c>
      <c r="X2473" s="10">
        <f>IF(A2473="C",LEFT(UPPER(C2473)&amp;REPT(" ",10),10)," ")</f>
        <v/>
      </c>
      <c r="Y2473" s="10">
        <f>IF(A2473="C",LEFT(UPPER(D2473)&amp;REPT(" ",2),2)," ")</f>
        <v/>
      </c>
      <c r="Z2473" s="10">
        <f>IF(A2473="C",LEFT(UPPER(E2473)&amp;REPT(" ",15),15)," ")</f>
        <v/>
      </c>
      <c r="AA2473" s="10">
        <f>REPT(" ",8)</f>
        <v/>
      </c>
      <c r="AB2473" s="10">
        <f>REPT(" ",4)</f>
        <v/>
      </c>
      <c r="AC2473" s="10">
        <f>LEFT(UPPER(H2473)&amp;REPT(" ",250),250)</f>
        <v/>
      </c>
      <c r="AD2473" s="10">
        <f>TEXT($G$2,"dd/mm/aaaa")</f>
        <v/>
      </c>
      <c r="AE2473" s="10">
        <f>REPT(" ",10)</f>
        <v/>
      </c>
      <c r="AF2473" s="10">
        <f>REPT(" ",20)</f>
        <v/>
      </c>
      <c r="AG2473" s="54">
        <f>REPT(" ",18-LEN(FIXED(F2473,2,TRUE)))&amp;FIXED(F2473,2,TRUE)</f>
        <v/>
      </c>
      <c r="AH2473" s="10">
        <f>LEN(AC2473)+LEN(AG2473)</f>
        <v/>
      </c>
      <c r="AI2473" s="10">
        <f>LEN(L2473)</f>
        <v/>
      </c>
    </row>
    <row r="2474">
      <c r="J2474" s="12">
        <f>IF(F2474&lt;&gt;0,"LANÇAR","")</f>
        <v/>
      </c>
      <c r="L2474" s="13">
        <f>N2474&amp;O2474&amp;P2474&amp;Q2474&amp;R2474&amp;S2474&amp;T2474&amp;U2474&amp;V2474&amp;W2474&amp;X2474&amp;Y2474&amp;Z2474&amp;AA2474&amp;AB2474&amp;AC2474&amp;AD2474&amp;AE2474&amp;AF2474&amp;AG2474</f>
        <v/>
      </c>
      <c r="N2474" s="10">
        <f>TEXT($B$6,"00")</f>
        <v/>
      </c>
      <c r="O2474" s="10">
        <f>REPT(" ",8)</f>
        <v/>
      </c>
      <c r="P2474" s="10">
        <f>RIGHT($B$4,2)</f>
        <v/>
      </c>
      <c r="Q2474" s="10">
        <f>RIGHT($B$5,3)</f>
        <v/>
      </c>
      <c r="R2474" s="10">
        <f>IF(A2474="D",LEFT(UPPER(B2474)&amp;REPT(" ",20),20),REPT(" ",20))</f>
        <v/>
      </c>
      <c r="S2474" s="10">
        <f>IF(A2474="D",LEFT(UPPER(C2474)&amp;REPT(" ",10),10)," ")</f>
        <v/>
      </c>
      <c r="T2474" s="10">
        <f>IF(A2474="D",LEFT(UPPER(D2474)&amp;REPT(" ",2),2)," ")</f>
        <v/>
      </c>
      <c r="U2474" s="10">
        <f>IF(A2474="D",LEFT(UPPER(E2474)&amp;REPT(" ",15),15)," ")</f>
        <v/>
      </c>
      <c r="V2474" s="10">
        <f>REPT(" ",24)</f>
        <v/>
      </c>
      <c r="W2474" s="10">
        <f>IF(A2474="c",LEFT(UPPER(B2474)&amp;REPT(" ",20),20),REPT(" ",20))</f>
        <v/>
      </c>
      <c r="X2474" s="10">
        <f>IF(A2474="C",LEFT(UPPER(C2474)&amp;REPT(" ",10),10)," ")</f>
        <v/>
      </c>
      <c r="Y2474" s="10">
        <f>IF(A2474="C",LEFT(UPPER(D2474)&amp;REPT(" ",2),2)," ")</f>
        <v/>
      </c>
      <c r="Z2474" s="10">
        <f>IF(A2474="C",LEFT(UPPER(E2474)&amp;REPT(" ",15),15)," ")</f>
        <v/>
      </c>
      <c r="AA2474" s="10">
        <f>REPT(" ",8)</f>
        <v/>
      </c>
      <c r="AB2474" s="10">
        <f>REPT(" ",4)</f>
        <v/>
      </c>
      <c r="AC2474" s="10">
        <f>LEFT(UPPER(H2474)&amp;REPT(" ",250),250)</f>
        <v/>
      </c>
      <c r="AD2474" s="10">
        <f>TEXT($G$2,"dd/mm/aaaa")</f>
        <v/>
      </c>
      <c r="AE2474" s="10">
        <f>REPT(" ",10)</f>
        <v/>
      </c>
      <c r="AF2474" s="10">
        <f>REPT(" ",20)</f>
        <v/>
      </c>
      <c r="AG2474" s="54">
        <f>REPT(" ",18-LEN(FIXED(F2474,2,TRUE)))&amp;FIXED(F2474,2,TRUE)</f>
        <v/>
      </c>
      <c r="AH2474" s="10">
        <f>LEN(AC2474)+LEN(AG2474)</f>
        <v/>
      </c>
      <c r="AI2474" s="10">
        <f>LEN(L2474)</f>
        <v/>
      </c>
    </row>
    <row r="2475">
      <c r="J2475" s="12">
        <f>IF(F2475&lt;&gt;0,"LANÇAR","")</f>
        <v/>
      </c>
      <c r="L2475" s="13">
        <f>N2475&amp;O2475&amp;P2475&amp;Q2475&amp;R2475&amp;S2475&amp;T2475&amp;U2475&amp;V2475&amp;W2475&amp;X2475&amp;Y2475&amp;Z2475&amp;AA2475&amp;AB2475&amp;AC2475&amp;AD2475&amp;AE2475&amp;AF2475&amp;AG2475</f>
        <v/>
      </c>
      <c r="N2475" s="10">
        <f>TEXT($B$6,"00")</f>
        <v/>
      </c>
      <c r="O2475" s="10">
        <f>REPT(" ",8)</f>
        <v/>
      </c>
      <c r="P2475" s="10">
        <f>RIGHT($B$4,2)</f>
        <v/>
      </c>
      <c r="Q2475" s="10">
        <f>RIGHT($B$5,3)</f>
        <v/>
      </c>
      <c r="R2475" s="10">
        <f>IF(A2475="D",LEFT(UPPER(B2475)&amp;REPT(" ",20),20),REPT(" ",20))</f>
        <v/>
      </c>
      <c r="S2475" s="10">
        <f>IF(A2475="D",LEFT(UPPER(C2475)&amp;REPT(" ",10),10)," ")</f>
        <v/>
      </c>
      <c r="T2475" s="10">
        <f>IF(A2475="D",LEFT(UPPER(D2475)&amp;REPT(" ",2),2)," ")</f>
        <v/>
      </c>
      <c r="U2475" s="10">
        <f>IF(A2475="D",LEFT(UPPER(E2475)&amp;REPT(" ",15),15)," ")</f>
        <v/>
      </c>
      <c r="V2475" s="10">
        <f>REPT(" ",24)</f>
        <v/>
      </c>
      <c r="W2475" s="10">
        <f>IF(A2475="c",LEFT(UPPER(B2475)&amp;REPT(" ",20),20),REPT(" ",20))</f>
        <v/>
      </c>
      <c r="X2475" s="10">
        <f>IF(A2475="C",LEFT(UPPER(C2475)&amp;REPT(" ",10),10)," ")</f>
        <v/>
      </c>
      <c r="Y2475" s="10">
        <f>IF(A2475="C",LEFT(UPPER(D2475)&amp;REPT(" ",2),2)," ")</f>
        <v/>
      </c>
      <c r="Z2475" s="10">
        <f>IF(A2475="C",LEFT(UPPER(E2475)&amp;REPT(" ",15),15)," ")</f>
        <v/>
      </c>
      <c r="AA2475" s="10">
        <f>REPT(" ",8)</f>
        <v/>
      </c>
      <c r="AB2475" s="10">
        <f>REPT(" ",4)</f>
        <v/>
      </c>
      <c r="AC2475" s="10">
        <f>LEFT(UPPER(H2475)&amp;REPT(" ",250),250)</f>
        <v/>
      </c>
      <c r="AD2475" s="10">
        <f>TEXT($G$2,"dd/mm/aaaa")</f>
        <v/>
      </c>
      <c r="AE2475" s="10">
        <f>REPT(" ",10)</f>
        <v/>
      </c>
      <c r="AF2475" s="10">
        <f>REPT(" ",20)</f>
        <v/>
      </c>
      <c r="AG2475" s="54">
        <f>REPT(" ",18-LEN(FIXED(F2475,2,TRUE)))&amp;FIXED(F2475,2,TRUE)</f>
        <v/>
      </c>
      <c r="AH2475" s="10">
        <f>LEN(AC2475)+LEN(AG2475)</f>
        <v/>
      </c>
      <c r="AI2475" s="10">
        <f>LEN(L2475)</f>
        <v/>
      </c>
    </row>
    <row r="2476">
      <c r="J2476" s="12">
        <f>IF(F2476&lt;&gt;0,"LANÇAR","")</f>
        <v/>
      </c>
      <c r="L2476" s="13">
        <f>N2476&amp;O2476&amp;P2476&amp;Q2476&amp;R2476&amp;S2476&amp;T2476&amp;U2476&amp;V2476&amp;W2476&amp;X2476&amp;Y2476&amp;Z2476&amp;AA2476&amp;AB2476&amp;AC2476&amp;AD2476&amp;AE2476&amp;AF2476&amp;AG2476</f>
        <v/>
      </c>
      <c r="N2476" s="10">
        <f>TEXT($B$6,"00")</f>
        <v/>
      </c>
      <c r="O2476" s="10">
        <f>REPT(" ",8)</f>
        <v/>
      </c>
      <c r="P2476" s="10">
        <f>RIGHT($B$4,2)</f>
        <v/>
      </c>
      <c r="Q2476" s="10">
        <f>RIGHT($B$5,3)</f>
        <v/>
      </c>
      <c r="R2476" s="10">
        <f>IF(A2476="D",LEFT(UPPER(B2476)&amp;REPT(" ",20),20),REPT(" ",20))</f>
        <v/>
      </c>
      <c r="S2476" s="10">
        <f>IF(A2476="D",LEFT(UPPER(C2476)&amp;REPT(" ",10),10)," ")</f>
        <v/>
      </c>
      <c r="T2476" s="10">
        <f>IF(A2476="D",LEFT(UPPER(D2476)&amp;REPT(" ",2),2)," ")</f>
        <v/>
      </c>
      <c r="U2476" s="10">
        <f>IF(A2476="D",LEFT(UPPER(E2476)&amp;REPT(" ",15),15)," ")</f>
        <v/>
      </c>
      <c r="V2476" s="10">
        <f>REPT(" ",24)</f>
        <v/>
      </c>
      <c r="W2476" s="10">
        <f>IF(A2476="c",LEFT(UPPER(B2476)&amp;REPT(" ",20),20),REPT(" ",20))</f>
        <v/>
      </c>
      <c r="X2476" s="10">
        <f>IF(A2476="C",LEFT(UPPER(C2476)&amp;REPT(" ",10),10)," ")</f>
        <v/>
      </c>
      <c r="Y2476" s="10">
        <f>IF(A2476="C",LEFT(UPPER(D2476)&amp;REPT(" ",2),2)," ")</f>
        <v/>
      </c>
      <c r="Z2476" s="10">
        <f>IF(A2476="C",LEFT(UPPER(E2476)&amp;REPT(" ",15),15)," ")</f>
        <v/>
      </c>
      <c r="AA2476" s="10">
        <f>REPT(" ",8)</f>
        <v/>
      </c>
      <c r="AB2476" s="10">
        <f>REPT(" ",4)</f>
        <v/>
      </c>
      <c r="AC2476" s="10">
        <f>LEFT(UPPER(H2476)&amp;REPT(" ",250),250)</f>
        <v/>
      </c>
      <c r="AD2476" s="10">
        <f>TEXT($G$2,"dd/mm/aaaa")</f>
        <v/>
      </c>
      <c r="AE2476" s="10">
        <f>REPT(" ",10)</f>
        <v/>
      </c>
      <c r="AF2476" s="10">
        <f>REPT(" ",20)</f>
        <v/>
      </c>
      <c r="AG2476" s="54">
        <f>REPT(" ",18-LEN(FIXED(F2476,2,TRUE)))&amp;FIXED(F2476,2,TRUE)</f>
        <v/>
      </c>
      <c r="AH2476" s="10">
        <f>LEN(AC2476)+LEN(AG2476)</f>
        <v/>
      </c>
      <c r="AI2476" s="10">
        <f>LEN(L2476)</f>
        <v/>
      </c>
    </row>
    <row r="2477">
      <c r="J2477" s="12">
        <f>IF(F2477&lt;&gt;0,"LANÇAR","")</f>
        <v/>
      </c>
      <c r="L2477" s="13">
        <f>N2477&amp;O2477&amp;P2477&amp;Q2477&amp;R2477&amp;S2477&amp;T2477&amp;U2477&amp;V2477&amp;W2477&amp;X2477&amp;Y2477&amp;Z2477&amp;AA2477&amp;AB2477&amp;AC2477&amp;AD2477&amp;AE2477&amp;AF2477&amp;AG2477</f>
        <v/>
      </c>
      <c r="N2477" s="10">
        <f>TEXT($B$6,"00")</f>
        <v/>
      </c>
      <c r="O2477" s="10">
        <f>REPT(" ",8)</f>
        <v/>
      </c>
      <c r="P2477" s="10">
        <f>RIGHT($B$4,2)</f>
        <v/>
      </c>
      <c r="Q2477" s="10">
        <f>RIGHT($B$5,3)</f>
        <v/>
      </c>
      <c r="R2477" s="10">
        <f>IF(A2477="D",LEFT(UPPER(B2477)&amp;REPT(" ",20),20),REPT(" ",20))</f>
        <v/>
      </c>
      <c r="S2477" s="10">
        <f>IF(A2477="D",LEFT(UPPER(C2477)&amp;REPT(" ",10),10)," ")</f>
        <v/>
      </c>
      <c r="T2477" s="10">
        <f>IF(A2477="D",LEFT(UPPER(D2477)&amp;REPT(" ",2),2)," ")</f>
        <v/>
      </c>
      <c r="U2477" s="10">
        <f>IF(A2477="D",LEFT(UPPER(E2477)&amp;REPT(" ",15),15)," ")</f>
        <v/>
      </c>
      <c r="V2477" s="10">
        <f>REPT(" ",24)</f>
        <v/>
      </c>
      <c r="W2477" s="10">
        <f>IF(A2477="c",LEFT(UPPER(B2477)&amp;REPT(" ",20),20),REPT(" ",20))</f>
        <v/>
      </c>
      <c r="X2477" s="10">
        <f>IF(A2477="C",LEFT(UPPER(C2477)&amp;REPT(" ",10),10)," ")</f>
        <v/>
      </c>
      <c r="Y2477" s="10">
        <f>IF(A2477="C",LEFT(UPPER(D2477)&amp;REPT(" ",2),2)," ")</f>
        <v/>
      </c>
      <c r="Z2477" s="10">
        <f>IF(A2477="C",LEFT(UPPER(E2477)&amp;REPT(" ",15),15)," ")</f>
        <v/>
      </c>
      <c r="AA2477" s="10">
        <f>REPT(" ",8)</f>
        <v/>
      </c>
      <c r="AB2477" s="10">
        <f>REPT(" ",4)</f>
        <v/>
      </c>
      <c r="AC2477" s="10">
        <f>LEFT(UPPER(H2477)&amp;REPT(" ",250),250)</f>
        <v/>
      </c>
      <c r="AD2477" s="10">
        <f>TEXT($G$2,"dd/mm/aaaa")</f>
        <v/>
      </c>
      <c r="AE2477" s="10">
        <f>REPT(" ",10)</f>
        <v/>
      </c>
      <c r="AF2477" s="10">
        <f>REPT(" ",20)</f>
        <v/>
      </c>
      <c r="AG2477" s="54">
        <f>REPT(" ",18-LEN(FIXED(F2477,2,TRUE)))&amp;FIXED(F2477,2,TRUE)</f>
        <v/>
      </c>
      <c r="AH2477" s="10">
        <f>LEN(AC2477)+LEN(AG2477)</f>
        <v/>
      </c>
      <c r="AI2477" s="10">
        <f>LEN(L2477)</f>
        <v/>
      </c>
    </row>
    <row r="2478">
      <c r="J2478" s="12">
        <f>IF(F2478&lt;&gt;0,"LANÇAR","")</f>
        <v/>
      </c>
      <c r="L2478" s="13">
        <f>N2478&amp;O2478&amp;P2478&amp;Q2478&amp;R2478&amp;S2478&amp;T2478&amp;U2478&amp;V2478&amp;W2478&amp;X2478&amp;Y2478&amp;Z2478&amp;AA2478&amp;AB2478&amp;AC2478&amp;AD2478&amp;AE2478&amp;AF2478&amp;AG2478</f>
        <v/>
      </c>
      <c r="N2478" s="10">
        <f>TEXT($B$6,"00")</f>
        <v/>
      </c>
      <c r="O2478" s="10">
        <f>REPT(" ",8)</f>
        <v/>
      </c>
      <c r="P2478" s="10">
        <f>RIGHT($B$4,2)</f>
        <v/>
      </c>
      <c r="Q2478" s="10">
        <f>RIGHT($B$5,3)</f>
        <v/>
      </c>
      <c r="R2478" s="10">
        <f>IF(A2478="D",LEFT(UPPER(B2478)&amp;REPT(" ",20),20),REPT(" ",20))</f>
        <v/>
      </c>
      <c r="S2478" s="10">
        <f>IF(A2478="D",LEFT(UPPER(C2478)&amp;REPT(" ",10),10)," ")</f>
        <v/>
      </c>
      <c r="T2478" s="10">
        <f>IF(A2478="D",LEFT(UPPER(D2478)&amp;REPT(" ",2),2)," ")</f>
        <v/>
      </c>
      <c r="U2478" s="10">
        <f>IF(A2478="D",LEFT(UPPER(E2478)&amp;REPT(" ",15),15)," ")</f>
        <v/>
      </c>
      <c r="V2478" s="10">
        <f>REPT(" ",24)</f>
        <v/>
      </c>
      <c r="W2478" s="10">
        <f>IF(A2478="c",LEFT(UPPER(B2478)&amp;REPT(" ",20),20),REPT(" ",20))</f>
        <v/>
      </c>
      <c r="X2478" s="10">
        <f>IF(A2478="C",LEFT(UPPER(C2478)&amp;REPT(" ",10),10)," ")</f>
        <v/>
      </c>
      <c r="Y2478" s="10">
        <f>IF(A2478="C",LEFT(UPPER(D2478)&amp;REPT(" ",2),2)," ")</f>
        <v/>
      </c>
      <c r="Z2478" s="10">
        <f>IF(A2478="C",LEFT(UPPER(E2478)&amp;REPT(" ",15),15)," ")</f>
        <v/>
      </c>
      <c r="AA2478" s="10">
        <f>REPT(" ",8)</f>
        <v/>
      </c>
      <c r="AB2478" s="10">
        <f>REPT(" ",4)</f>
        <v/>
      </c>
      <c r="AC2478" s="10">
        <f>LEFT(UPPER(H2478)&amp;REPT(" ",250),250)</f>
        <v/>
      </c>
      <c r="AD2478" s="10">
        <f>TEXT($G$2,"dd/mm/aaaa")</f>
        <v/>
      </c>
      <c r="AE2478" s="10">
        <f>REPT(" ",10)</f>
        <v/>
      </c>
      <c r="AF2478" s="10">
        <f>REPT(" ",20)</f>
        <v/>
      </c>
      <c r="AG2478" s="54">
        <f>REPT(" ",18-LEN(FIXED(F2478,2,TRUE)))&amp;FIXED(F2478,2,TRUE)</f>
        <v/>
      </c>
      <c r="AH2478" s="10">
        <f>LEN(AC2478)+LEN(AG2478)</f>
        <v/>
      </c>
      <c r="AI2478" s="10">
        <f>LEN(L2478)</f>
        <v/>
      </c>
    </row>
    <row r="2479">
      <c r="J2479" s="12">
        <f>IF(F2479&lt;&gt;0,"LANÇAR","")</f>
        <v/>
      </c>
      <c r="L2479" s="13">
        <f>N2479&amp;O2479&amp;P2479&amp;Q2479&amp;R2479&amp;S2479&amp;T2479&amp;U2479&amp;V2479&amp;W2479&amp;X2479&amp;Y2479&amp;Z2479&amp;AA2479&amp;AB2479&amp;AC2479&amp;AD2479&amp;AE2479&amp;AF2479&amp;AG2479</f>
        <v/>
      </c>
      <c r="N2479" s="10">
        <f>TEXT($B$6,"00")</f>
        <v/>
      </c>
      <c r="O2479" s="10">
        <f>REPT(" ",8)</f>
        <v/>
      </c>
      <c r="P2479" s="10">
        <f>RIGHT($B$4,2)</f>
        <v/>
      </c>
      <c r="Q2479" s="10">
        <f>RIGHT($B$5,3)</f>
        <v/>
      </c>
      <c r="R2479" s="10">
        <f>IF(A2479="D",LEFT(UPPER(B2479)&amp;REPT(" ",20),20),REPT(" ",20))</f>
        <v/>
      </c>
      <c r="S2479" s="10">
        <f>IF(A2479="D",LEFT(UPPER(C2479)&amp;REPT(" ",10),10)," ")</f>
        <v/>
      </c>
      <c r="T2479" s="10">
        <f>IF(A2479="D",LEFT(UPPER(D2479)&amp;REPT(" ",2),2)," ")</f>
        <v/>
      </c>
      <c r="U2479" s="10">
        <f>IF(A2479="D",LEFT(UPPER(E2479)&amp;REPT(" ",15),15)," ")</f>
        <v/>
      </c>
      <c r="V2479" s="10">
        <f>REPT(" ",24)</f>
        <v/>
      </c>
      <c r="W2479" s="10">
        <f>IF(A2479="c",LEFT(UPPER(B2479)&amp;REPT(" ",20),20),REPT(" ",20))</f>
        <v/>
      </c>
      <c r="X2479" s="10">
        <f>IF(A2479="C",LEFT(UPPER(C2479)&amp;REPT(" ",10),10)," ")</f>
        <v/>
      </c>
      <c r="Y2479" s="10">
        <f>IF(A2479="C",LEFT(UPPER(D2479)&amp;REPT(" ",2),2)," ")</f>
        <v/>
      </c>
      <c r="Z2479" s="10">
        <f>IF(A2479="C",LEFT(UPPER(E2479)&amp;REPT(" ",15),15)," ")</f>
        <v/>
      </c>
      <c r="AA2479" s="10">
        <f>REPT(" ",8)</f>
        <v/>
      </c>
      <c r="AB2479" s="10">
        <f>REPT(" ",4)</f>
        <v/>
      </c>
      <c r="AC2479" s="10">
        <f>LEFT(UPPER(H2479)&amp;REPT(" ",250),250)</f>
        <v/>
      </c>
      <c r="AD2479" s="10">
        <f>TEXT($G$2,"dd/mm/aaaa")</f>
        <v/>
      </c>
      <c r="AE2479" s="10">
        <f>REPT(" ",10)</f>
        <v/>
      </c>
      <c r="AF2479" s="10">
        <f>REPT(" ",20)</f>
        <v/>
      </c>
      <c r="AG2479" s="54">
        <f>REPT(" ",18-LEN(FIXED(F2479,2,TRUE)))&amp;FIXED(F2479,2,TRUE)</f>
        <v/>
      </c>
      <c r="AH2479" s="10">
        <f>LEN(AC2479)+LEN(AG2479)</f>
        <v/>
      </c>
      <c r="AI2479" s="10">
        <f>LEN(L2479)</f>
        <v/>
      </c>
    </row>
    <row r="2480">
      <c r="J2480" s="12">
        <f>IF(F2480&lt;&gt;0,"LANÇAR","")</f>
        <v/>
      </c>
      <c r="L2480" s="13">
        <f>N2480&amp;O2480&amp;P2480&amp;Q2480&amp;R2480&amp;S2480&amp;T2480&amp;U2480&amp;V2480&amp;W2480&amp;X2480&amp;Y2480&amp;Z2480&amp;AA2480&amp;AB2480&amp;AC2480&amp;AD2480&amp;AE2480&amp;AF2480&amp;AG2480</f>
        <v/>
      </c>
      <c r="N2480" s="10">
        <f>TEXT($B$6,"00")</f>
        <v/>
      </c>
      <c r="O2480" s="10">
        <f>REPT(" ",8)</f>
        <v/>
      </c>
      <c r="P2480" s="10">
        <f>RIGHT($B$4,2)</f>
        <v/>
      </c>
      <c r="Q2480" s="10">
        <f>RIGHT($B$5,3)</f>
        <v/>
      </c>
      <c r="R2480" s="10">
        <f>IF(A2480="D",LEFT(UPPER(B2480)&amp;REPT(" ",20),20),REPT(" ",20))</f>
        <v/>
      </c>
      <c r="S2480" s="10">
        <f>IF(A2480="D",LEFT(UPPER(C2480)&amp;REPT(" ",10),10)," ")</f>
        <v/>
      </c>
      <c r="T2480" s="10">
        <f>IF(A2480="D",LEFT(UPPER(D2480)&amp;REPT(" ",2),2)," ")</f>
        <v/>
      </c>
      <c r="U2480" s="10">
        <f>IF(A2480="D",LEFT(UPPER(E2480)&amp;REPT(" ",15),15)," ")</f>
        <v/>
      </c>
      <c r="V2480" s="10">
        <f>REPT(" ",24)</f>
        <v/>
      </c>
      <c r="W2480" s="10">
        <f>IF(A2480="c",LEFT(UPPER(B2480)&amp;REPT(" ",20),20),REPT(" ",20))</f>
        <v/>
      </c>
      <c r="X2480" s="10">
        <f>IF(A2480="C",LEFT(UPPER(C2480)&amp;REPT(" ",10),10)," ")</f>
        <v/>
      </c>
      <c r="Y2480" s="10">
        <f>IF(A2480="C",LEFT(UPPER(D2480)&amp;REPT(" ",2),2)," ")</f>
        <v/>
      </c>
      <c r="Z2480" s="10">
        <f>IF(A2480="C",LEFT(UPPER(E2480)&amp;REPT(" ",15),15)," ")</f>
        <v/>
      </c>
      <c r="AA2480" s="10">
        <f>REPT(" ",8)</f>
        <v/>
      </c>
      <c r="AB2480" s="10">
        <f>REPT(" ",4)</f>
        <v/>
      </c>
      <c r="AC2480" s="10">
        <f>LEFT(UPPER(H2480)&amp;REPT(" ",250),250)</f>
        <v/>
      </c>
      <c r="AD2480" s="10">
        <f>TEXT($G$2,"dd/mm/aaaa")</f>
        <v/>
      </c>
      <c r="AE2480" s="10">
        <f>REPT(" ",10)</f>
        <v/>
      </c>
      <c r="AF2480" s="10">
        <f>REPT(" ",20)</f>
        <v/>
      </c>
      <c r="AG2480" s="54">
        <f>REPT(" ",18-LEN(FIXED(F2480,2,TRUE)))&amp;FIXED(F2480,2,TRUE)</f>
        <v/>
      </c>
      <c r="AH2480" s="10">
        <f>LEN(AC2480)+LEN(AG2480)</f>
        <v/>
      </c>
      <c r="AI2480" s="10">
        <f>LEN(L2480)</f>
        <v/>
      </c>
    </row>
    <row r="2481">
      <c r="J2481" s="12">
        <f>IF(F2481&lt;&gt;0,"LANÇAR","")</f>
        <v/>
      </c>
      <c r="L2481" s="13">
        <f>N2481&amp;O2481&amp;P2481&amp;Q2481&amp;R2481&amp;S2481&amp;T2481&amp;U2481&amp;V2481&amp;W2481&amp;X2481&amp;Y2481&amp;Z2481&amp;AA2481&amp;AB2481&amp;AC2481&amp;AD2481&amp;AE2481&amp;AF2481&amp;AG2481</f>
        <v/>
      </c>
      <c r="N2481" s="10">
        <f>TEXT($B$6,"00")</f>
        <v/>
      </c>
      <c r="O2481" s="10">
        <f>REPT(" ",8)</f>
        <v/>
      </c>
      <c r="P2481" s="10">
        <f>RIGHT($B$4,2)</f>
        <v/>
      </c>
      <c r="Q2481" s="10">
        <f>RIGHT($B$5,3)</f>
        <v/>
      </c>
      <c r="R2481" s="10">
        <f>IF(A2481="D",LEFT(UPPER(B2481)&amp;REPT(" ",20),20),REPT(" ",20))</f>
        <v/>
      </c>
      <c r="S2481" s="10">
        <f>IF(A2481="D",LEFT(UPPER(C2481)&amp;REPT(" ",10),10)," ")</f>
        <v/>
      </c>
      <c r="T2481" s="10">
        <f>IF(A2481="D",LEFT(UPPER(D2481)&amp;REPT(" ",2),2)," ")</f>
        <v/>
      </c>
      <c r="U2481" s="10">
        <f>IF(A2481="D",LEFT(UPPER(E2481)&amp;REPT(" ",15),15)," ")</f>
        <v/>
      </c>
      <c r="V2481" s="10">
        <f>REPT(" ",24)</f>
        <v/>
      </c>
      <c r="W2481" s="10">
        <f>IF(A2481="c",LEFT(UPPER(B2481)&amp;REPT(" ",20),20),REPT(" ",20))</f>
        <v/>
      </c>
      <c r="X2481" s="10">
        <f>IF(A2481="C",LEFT(UPPER(C2481)&amp;REPT(" ",10),10)," ")</f>
        <v/>
      </c>
      <c r="Y2481" s="10">
        <f>IF(A2481="C",LEFT(UPPER(D2481)&amp;REPT(" ",2),2)," ")</f>
        <v/>
      </c>
      <c r="Z2481" s="10">
        <f>IF(A2481="C",LEFT(UPPER(E2481)&amp;REPT(" ",15),15)," ")</f>
        <v/>
      </c>
      <c r="AA2481" s="10">
        <f>REPT(" ",8)</f>
        <v/>
      </c>
      <c r="AB2481" s="10">
        <f>REPT(" ",4)</f>
        <v/>
      </c>
      <c r="AC2481" s="10">
        <f>LEFT(UPPER(H2481)&amp;REPT(" ",250),250)</f>
        <v/>
      </c>
      <c r="AD2481" s="10">
        <f>TEXT($G$2,"dd/mm/aaaa")</f>
        <v/>
      </c>
      <c r="AE2481" s="10">
        <f>REPT(" ",10)</f>
        <v/>
      </c>
      <c r="AF2481" s="10">
        <f>REPT(" ",20)</f>
        <v/>
      </c>
      <c r="AG2481" s="54">
        <f>REPT(" ",18-LEN(FIXED(F2481,2,TRUE)))&amp;FIXED(F2481,2,TRUE)</f>
        <v/>
      </c>
      <c r="AH2481" s="10">
        <f>LEN(AC2481)+LEN(AG2481)</f>
        <v/>
      </c>
      <c r="AI2481" s="10">
        <f>LEN(L2481)</f>
        <v/>
      </c>
    </row>
    <row r="2482">
      <c r="J2482" s="12">
        <f>IF(F2482&lt;&gt;0,"LANÇAR","")</f>
        <v/>
      </c>
      <c r="L2482" s="13">
        <f>N2482&amp;O2482&amp;P2482&amp;Q2482&amp;R2482&amp;S2482&amp;T2482&amp;U2482&amp;V2482&amp;W2482&amp;X2482&amp;Y2482&amp;Z2482&amp;AA2482&amp;AB2482&amp;AC2482&amp;AD2482&amp;AE2482&amp;AF2482&amp;AG2482</f>
        <v/>
      </c>
      <c r="N2482" s="10">
        <f>TEXT($B$6,"00")</f>
        <v/>
      </c>
      <c r="O2482" s="10">
        <f>REPT(" ",8)</f>
        <v/>
      </c>
      <c r="P2482" s="10">
        <f>RIGHT($B$4,2)</f>
        <v/>
      </c>
      <c r="Q2482" s="10">
        <f>RIGHT($B$5,3)</f>
        <v/>
      </c>
      <c r="R2482" s="10">
        <f>IF(A2482="D",LEFT(UPPER(B2482)&amp;REPT(" ",20),20),REPT(" ",20))</f>
        <v/>
      </c>
      <c r="S2482" s="10">
        <f>IF(A2482="D",LEFT(UPPER(C2482)&amp;REPT(" ",10),10)," ")</f>
        <v/>
      </c>
      <c r="T2482" s="10">
        <f>IF(A2482="D",LEFT(UPPER(D2482)&amp;REPT(" ",2),2)," ")</f>
        <v/>
      </c>
      <c r="U2482" s="10">
        <f>IF(A2482="D",LEFT(UPPER(E2482)&amp;REPT(" ",15),15)," ")</f>
        <v/>
      </c>
      <c r="V2482" s="10">
        <f>REPT(" ",24)</f>
        <v/>
      </c>
      <c r="W2482" s="10">
        <f>IF(A2482="c",LEFT(UPPER(B2482)&amp;REPT(" ",20),20),REPT(" ",20))</f>
        <v/>
      </c>
      <c r="X2482" s="10">
        <f>IF(A2482="C",LEFT(UPPER(C2482)&amp;REPT(" ",10),10)," ")</f>
        <v/>
      </c>
      <c r="Y2482" s="10">
        <f>IF(A2482="C",LEFT(UPPER(D2482)&amp;REPT(" ",2),2)," ")</f>
        <v/>
      </c>
      <c r="Z2482" s="10">
        <f>IF(A2482="C",LEFT(UPPER(E2482)&amp;REPT(" ",15),15)," ")</f>
        <v/>
      </c>
      <c r="AA2482" s="10">
        <f>REPT(" ",8)</f>
        <v/>
      </c>
      <c r="AB2482" s="10">
        <f>REPT(" ",4)</f>
        <v/>
      </c>
      <c r="AC2482" s="10">
        <f>LEFT(UPPER(H2482)&amp;REPT(" ",250),250)</f>
        <v/>
      </c>
      <c r="AD2482" s="10">
        <f>TEXT($G$2,"dd/mm/aaaa")</f>
        <v/>
      </c>
      <c r="AE2482" s="10">
        <f>REPT(" ",10)</f>
        <v/>
      </c>
      <c r="AF2482" s="10">
        <f>REPT(" ",20)</f>
        <v/>
      </c>
      <c r="AG2482" s="54">
        <f>REPT(" ",18-LEN(FIXED(F2482,2,TRUE)))&amp;FIXED(F2482,2,TRUE)</f>
        <v/>
      </c>
      <c r="AH2482" s="10">
        <f>LEN(AC2482)+LEN(AG2482)</f>
        <v/>
      </c>
      <c r="AI2482" s="10">
        <f>LEN(L2482)</f>
        <v/>
      </c>
    </row>
    <row r="2483">
      <c r="J2483" s="12">
        <f>IF(F2483&lt;&gt;0,"LANÇAR","")</f>
        <v/>
      </c>
      <c r="L2483" s="13">
        <f>N2483&amp;O2483&amp;P2483&amp;Q2483&amp;R2483&amp;S2483&amp;T2483&amp;U2483&amp;V2483&amp;W2483&amp;X2483&amp;Y2483&amp;Z2483&amp;AA2483&amp;AB2483&amp;AC2483&amp;AD2483&amp;AE2483&amp;AF2483&amp;AG2483</f>
        <v/>
      </c>
      <c r="N2483" s="10">
        <f>TEXT($B$6,"00")</f>
        <v/>
      </c>
      <c r="O2483" s="10">
        <f>REPT(" ",8)</f>
        <v/>
      </c>
      <c r="P2483" s="10">
        <f>RIGHT($B$4,2)</f>
        <v/>
      </c>
      <c r="Q2483" s="10">
        <f>RIGHT($B$5,3)</f>
        <v/>
      </c>
      <c r="R2483" s="10">
        <f>IF(A2483="D",LEFT(UPPER(B2483)&amp;REPT(" ",20),20),REPT(" ",20))</f>
        <v/>
      </c>
      <c r="S2483" s="10">
        <f>IF(A2483="D",LEFT(UPPER(C2483)&amp;REPT(" ",10),10)," ")</f>
        <v/>
      </c>
      <c r="T2483" s="10">
        <f>IF(A2483="D",LEFT(UPPER(D2483)&amp;REPT(" ",2),2)," ")</f>
        <v/>
      </c>
      <c r="U2483" s="10">
        <f>IF(A2483="D",LEFT(UPPER(E2483)&amp;REPT(" ",15),15)," ")</f>
        <v/>
      </c>
      <c r="V2483" s="10">
        <f>REPT(" ",24)</f>
        <v/>
      </c>
      <c r="W2483" s="10">
        <f>IF(A2483="c",LEFT(UPPER(B2483)&amp;REPT(" ",20),20),REPT(" ",20))</f>
        <v/>
      </c>
      <c r="X2483" s="10">
        <f>IF(A2483="C",LEFT(UPPER(C2483)&amp;REPT(" ",10),10)," ")</f>
        <v/>
      </c>
      <c r="Y2483" s="10">
        <f>IF(A2483="C",LEFT(UPPER(D2483)&amp;REPT(" ",2),2)," ")</f>
        <v/>
      </c>
      <c r="Z2483" s="10">
        <f>IF(A2483="C",LEFT(UPPER(E2483)&amp;REPT(" ",15),15)," ")</f>
        <v/>
      </c>
      <c r="AA2483" s="10">
        <f>REPT(" ",8)</f>
        <v/>
      </c>
      <c r="AB2483" s="10">
        <f>REPT(" ",4)</f>
        <v/>
      </c>
      <c r="AC2483" s="10">
        <f>LEFT(UPPER(H2483)&amp;REPT(" ",250),250)</f>
        <v/>
      </c>
      <c r="AD2483" s="10">
        <f>TEXT($G$2,"dd/mm/aaaa")</f>
        <v/>
      </c>
      <c r="AE2483" s="10">
        <f>REPT(" ",10)</f>
        <v/>
      </c>
      <c r="AF2483" s="10">
        <f>REPT(" ",20)</f>
        <v/>
      </c>
      <c r="AG2483" s="54">
        <f>REPT(" ",18-LEN(FIXED(F2483,2,TRUE)))&amp;FIXED(F2483,2,TRUE)</f>
        <v/>
      </c>
      <c r="AH2483" s="10">
        <f>LEN(AC2483)+LEN(AG2483)</f>
        <v/>
      </c>
      <c r="AI2483" s="10">
        <f>LEN(L2483)</f>
        <v/>
      </c>
    </row>
    <row r="2484">
      <c r="J2484" s="12">
        <f>IF(F2484&lt;&gt;0,"LANÇAR","")</f>
        <v/>
      </c>
      <c r="L2484" s="13">
        <f>N2484&amp;O2484&amp;P2484&amp;Q2484&amp;R2484&amp;S2484&amp;T2484&amp;U2484&amp;V2484&amp;W2484&amp;X2484&amp;Y2484&amp;Z2484&amp;AA2484&amp;AB2484&amp;AC2484&amp;AD2484&amp;AE2484&amp;AF2484&amp;AG2484</f>
        <v/>
      </c>
      <c r="N2484" s="10">
        <f>TEXT($B$6,"00")</f>
        <v/>
      </c>
      <c r="O2484" s="10">
        <f>REPT(" ",8)</f>
        <v/>
      </c>
      <c r="P2484" s="10">
        <f>RIGHT($B$4,2)</f>
        <v/>
      </c>
      <c r="Q2484" s="10">
        <f>RIGHT($B$5,3)</f>
        <v/>
      </c>
      <c r="R2484" s="10">
        <f>IF(A2484="D",LEFT(UPPER(B2484)&amp;REPT(" ",20),20),REPT(" ",20))</f>
        <v/>
      </c>
      <c r="S2484" s="10">
        <f>IF(A2484="D",LEFT(UPPER(C2484)&amp;REPT(" ",10),10)," ")</f>
        <v/>
      </c>
      <c r="T2484" s="10">
        <f>IF(A2484="D",LEFT(UPPER(D2484)&amp;REPT(" ",2),2)," ")</f>
        <v/>
      </c>
      <c r="U2484" s="10">
        <f>IF(A2484="D",LEFT(UPPER(E2484)&amp;REPT(" ",15),15)," ")</f>
        <v/>
      </c>
      <c r="V2484" s="10">
        <f>REPT(" ",24)</f>
        <v/>
      </c>
      <c r="W2484" s="10">
        <f>IF(A2484="c",LEFT(UPPER(B2484)&amp;REPT(" ",20),20),REPT(" ",20))</f>
        <v/>
      </c>
      <c r="X2484" s="10">
        <f>IF(A2484="C",LEFT(UPPER(C2484)&amp;REPT(" ",10),10)," ")</f>
        <v/>
      </c>
      <c r="Y2484" s="10">
        <f>IF(A2484="C",LEFT(UPPER(D2484)&amp;REPT(" ",2),2)," ")</f>
        <v/>
      </c>
      <c r="Z2484" s="10">
        <f>IF(A2484="C",LEFT(UPPER(E2484)&amp;REPT(" ",15),15)," ")</f>
        <v/>
      </c>
      <c r="AA2484" s="10">
        <f>REPT(" ",8)</f>
        <v/>
      </c>
      <c r="AB2484" s="10">
        <f>REPT(" ",4)</f>
        <v/>
      </c>
      <c r="AC2484" s="10">
        <f>LEFT(UPPER(H2484)&amp;REPT(" ",250),250)</f>
        <v/>
      </c>
      <c r="AD2484" s="10">
        <f>TEXT($G$2,"dd/mm/aaaa")</f>
        <v/>
      </c>
      <c r="AE2484" s="10">
        <f>REPT(" ",10)</f>
        <v/>
      </c>
      <c r="AF2484" s="10">
        <f>REPT(" ",20)</f>
        <v/>
      </c>
      <c r="AG2484" s="54">
        <f>REPT(" ",18-LEN(FIXED(F2484,2,TRUE)))&amp;FIXED(F2484,2,TRUE)</f>
        <v/>
      </c>
      <c r="AH2484" s="10">
        <f>LEN(AC2484)+LEN(AG2484)</f>
        <v/>
      </c>
      <c r="AI2484" s="10">
        <f>LEN(L2484)</f>
        <v/>
      </c>
    </row>
    <row r="2485">
      <c r="J2485" s="12">
        <f>IF(F2485&lt;&gt;0,"LANÇAR","")</f>
        <v/>
      </c>
      <c r="L2485" s="13">
        <f>N2485&amp;O2485&amp;P2485&amp;Q2485&amp;R2485&amp;S2485&amp;T2485&amp;U2485&amp;V2485&amp;W2485&amp;X2485&amp;Y2485&amp;Z2485&amp;AA2485&amp;AB2485&amp;AC2485&amp;AD2485&amp;AE2485&amp;AF2485&amp;AG2485</f>
        <v/>
      </c>
      <c r="N2485" s="10">
        <f>TEXT($B$6,"00")</f>
        <v/>
      </c>
      <c r="O2485" s="10">
        <f>REPT(" ",8)</f>
        <v/>
      </c>
      <c r="P2485" s="10">
        <f>RIGHT($B$4,2)</f>
        <v/>
      </c>
      <c r="Q2485" s="10">
        <f>RIGHT($B$5,3)</f>
        <v/>
      </c>
      <c r="R2485" s="10">
        <f>IF(A2485="D",LEFT(UPPER(B2485)&amp;REPT(" ",20),20),REPT(" ",20))</f>
        <v/>
      </c>
      <c r="S2485" s="10">
        <f>IF(A2485="D",LEFT(UPPER(C2485)&amp;REPT(" ",10),10)," ")</f>
        <v/>
      </c>
      <c r="T2485" s="10">
        <f>IF(A2485="D",LEFT(UPPER(D2485)&amp;REPT(" ",2),2)," ")</f>
        <v/>
      </c>
      <c r="U2485" s="10">
        <f>IF(A2485="D",LEFT(UPPER(E2485)&amp;REPT(" ",15),15)," ")</f>
        <v/>
      </c>
      <c r="V2485" s="10">
        <f>REPT(" ",24)</f>
        <v/>
      </c>
      <c r="W2485" s="10">
        <f>IF(A2485="c",LEFT(UPPER(B2485)&amp;REPT(" ",20),20),REPT(" ",20))</f>
        <v/>
      </c>
      <c r="X2485" s="10">
        <f>IF(A2485="C",LEFT(UPPER(C2485)&amp;REPT(" ",10),10)," ")</f>
        <v/>
      </c>
      <c r="Y2485" s="10">
        <f>IF(A2485="C",LEFT(UPPER(D2485)&amp;REPT(" ",2),2)," ")</f>
        <v/>
      </c>
      <c r="Z2485" s="10">
        <f>IF(A2485="C",LEFT(UPPER(E2485)&amp;REPT(" ",15),15)," ")</f>
        <v/>
      </c>
      <c r="AA2485" s="10">
        <f>REPT(" ",8)</f>
        <v/>
      </c>
      <c r="AB2485" s="10">
        <f>REPT(" ",4)</f>
        <v/>
      </c>
      <c r="AC2485" s="10">
        <f>LEFT(UPPER(H2485)&amp;REPT(" ",250),250)</f>
        <v/>
      </c>
      <c r="AD2485" s="10">
        <f>TEXT($G$2,"dd/mm/aaaa")</f>
        <v/>
      </c>
      <c r="AE2485" s="10">
        <f>REPT(" ",10)</f>
        <v/>
      </c>
      <c r="AF2485" s="10">
        <f>REPT(" ",20)</f>
        <v/>
      </c>
      <c r="AG2485" s="54">
        <f>REPT(" ",18-LEN(FIXED(F2485,2,TRUE)))&amp;FIXED(F2485,2,TRUE)</f>
        <v/>
      </c>
      <c r="AH2485" s="10">
        <f>LEN(AC2485)+LEN(AG2485)</f>
        <v/>
      </c>
      <c r="AI2485" s="10">
        <f>LEN(L2485)</f>
        <v/>
      </c>
    </row>
    <row r="2486">
      <c r="J2486" s="12">
        <f>IF(F2486&lt;&gt;0,"LANÇAR","")</f>
        <v/>
      </c>
      <c r="L2486" s="13">
        <f>N2486&amp;O2486&amp;P2486&amp;Q2486&amp;R2486&amp;S2486&amp;T2486&amp;U2486&amp;V2486&amp;W2486&amp;X2486&amp;Y2486&amp;Z2486&amp;AA2486&amp;AB2486&amp;AC2486&amp;AD2486&amp;AE2486&amp;AF2486&amp;AG2486</f>
        <v/>
      </c>
      <c r="N2486" s="10">
        <f>TEXT($B$6,"00")</f>
        <v/>
      </c>
      <c r="O2486" s="10">
        <f>REPT(" ",8)</f>
        <v/>
      </c>
      <c r="P2486" s="10">
        <f>RIGHT($B$4,2)</f>
        <v/>
      </c>
      <c r="Q2486" s="10">
        <f>RIGHT($B$5,3)</f>
        <v/>
      </c>
      <c r="R2486" s="10">
        <f>IF(A2486="D",LEFT(UPPER(B2486)&amp;REPT(" ",20),20),REPT(" ",20))</f>
        <v/>
      </c>
      <c r="S2486" s="10">
        <f>IF(A2486="D",LEFT(UPPER(C2486)&amp;REPT(" ",10),10)," ")</f>
        <v/>
      </c>
      <c r="T2486" s="10">
        <f>IF(A2486="D",LEFT(UPPER(D2486)&amp;REPT(" ",2),2)," ")</f>
        <v/>
      </c>
      <c r="U2486" s="10">
        <f>IF(A2486="D",LEFT(UPPER(E2486)&amp;REPT(" ",15),15)," ")</f>
        <v/>
      </c>
      <c r="V2486" s="10">
        <f>REPT(" ",24)</f>
        <v/>
      </c>
      <c r="W2486" s="10">
        <f>IF(A2486="c",LEFT(UPPER(B2486)&amp;REPT(" ",20),20),REPT(" ",20))</f>
        <v/>
      </c>
      <c r="X2486" s="10">
        <f>IF(A2486="C",LEFT(UPPER(C2486)&amp;REPT(" ",10),10)," ")</f>
        <v/>
      </c>
      <c r="Y2486" s="10">
        <f>IF(A2486="C",LEFT(UPPER(D2486)&amp;REPT(" ",2),2)," ")</f>
        <v/>
      </c>
      <c r="Z2486" s="10">
        <f>IF(A2486="C",LEFT(UPPER(E2486)&amp;REPT(" ",15),15)," ")</f>
        <v/>
      </c>
      <c r="AA2486" s="10">
        <f>REPT(" ",8)</f>
        <v/>
      </c>
      <c r="AB2486" s="10">
        <f>REPT(" ",4)</f>
        <v/>
      </c>
      <c r="AC2486" s="10">
        <f>LEFT(UPPER(H2486)&amp;REPT(" ",250),250)</f>
        <v/>
      </c>
      <c r="AD2486" s="10">
        <f>TEXT($G$2,"dd/mm/aaaa")</f>
        <v/>
      </c>
      <c r="AE2486" s="10">
        <f>REPT(" ",10)</f>
        <v/>
      </c>
      <c r="AF2486" s="10">
        <f>REPT(" ",20)</f>
        <v/>
      </c>
      <c r="AG2486" s="54">
        <f>REPT(" ",18-LEN(FIXED(F2486,2,TRUE)))&amp;FIXED(F2486,2,TRUE)</f>
        <v/>
      </c>
      <c r="AH2486" s="10">
        <f>LEN(AC2486)+LEN(AG2486)</f>
        <v/>
      </c>
      <c r="AI2486" s="10">
        <f>LEN(L2486)</f>
        <v/>
      </c>
    </row>
    <row r="2487">
      <c r="J2487" s="12">
        <f>IF(F2487&lt;&gt;0,"LANÇAR","")</f>
        <v/>
      </c>
      <c r="L2487" s="13">
        <f>N2487&amp;O2487&amp;P2487&amp;Q2487&amp;R2487&amp;S2487&amp;T2487&amp;U2487&amp;V2487&amp;W2487&amp;X2487&amp;Y2487&amp;Z2487&amp;AA2487&amp;AB2487&amp;AC2487&amp;AD2487&amp;AE2487&amp;AF2487&amp;AG2487</f>
        <v/>
      </c>
      <c r="N2487" s="10">
        <f>TEXT($B$6,"00")</f>
        <v/>
      </c>
      <c r="O2487" s="10">
        <f>REPT(" ",8)</f>
        <v/>
      </c>
      <c r="P2487" s="10">
        <f>RIGHT($B$4,2)</f>
        <v/>
      </c>
      <c r="Q2487" s="10">
        <f>RIGHT($B$5,3)</f>
        <v/>
      </c>
      <c r="R2487" s="10">
        <f>IF(A2487="D",LEFT(UPPER(B2487)&amp;REPT(" ",20),20),REPT(" ",20))</f>
        <v/>
      </c>
      <c r="S2487" s="10">
        <f>IF(A2487="D",LEFT(UPPER(C2487)&amp;REPT(" ",10),10)," ")</f>
        <v/>
      </c>
      <c r="T2487" s="10">
        <f>IF(A2487="D",LEFT(UPPER(D2487)&amp;REPT(" ",2),2)," ")</f>
        <v/>
      </c>
      <c r="U2487" s="10">
        <f>IF(A2487="D",LEFT(UPPER(E2487)&amp;REPT(" ",15),15)," ")</f>
        <v/>
      </c>
      <c r="V2487" s="10">
        <f>REPT(" ",24)</f>
        <v/>
      </c>
      <c r="W2487" s="10">
        <f>IF(A2487="c",LEFT(UPPER(B2487)&amp;REPT(" ",20),20),REPT(" ",20))</f>
        <v/>
      </c>
      <c r="X2487" s="10">
        <f>IF(A2487="C",LEFT(UPPER(C2487)&amp;REPT(" ",10),10)," ")</f>
        <v/>
      </c>
      <c r="Y2487" s="10">
        <f>IF(A2487="C",LEFT(UPPER(D2487)&amp;REPT(" ",2),2)," ")</f>
        <v/>
      </c>
      <c r="Z2487" s="10">
        <f>IF(A2487="C",LEFT(UPPER(E2487)&amp;REPT(" ",15),15)," ")</f>
        <v/>
      </c>
      <c r="AA2487" s="10">
        <f>REPT(" ",8)</f>
        <v/>
      </c>
      <c r="AB2487" s="10">
        <f>REPT(" ",4)</f>
        <v/>
      </c>
      <c r="AC2487" s="10">
        <f>LEFT(UPPER(H2487)&amp;REPT(" ",250),250)</f>
        <v/>
      </c>
      <c r="AD2487" s="10">
        <f>TEXT($G$2,"dd/mm/aaaa")</f>
        <v/>
      </c>
      <c r="AE2487" s="10">
        <f>REPT(" ",10)</f>
        <v/>
      </c>
      <c r="AF2487" s="10">
        <f>REPT(" ",20)</f>
        <v/>
      </c>
      <c r="AG2487" s="54">
        <f>REPT(" ",18-LEN(FIXED(F2487,2,TRUE)))&amp;FIXED(F2487,2,TRUE)</f>
        <v/>
      </c>
      <c r="AH2487" s="10">
        <f>LEN(AC2487)+LEN(AG2487)</f>
        <v/>
      </c>
      <c r="AI2487" s="10">
        <f>LEN(L2487)</f>
        <v/>
      </c>
    </row>
    <row r="2488">
      <c r="J2488" s="12">
        <f>IF(F2488&lt;&gt;0,"LANÇAR","")</f>
        <v/>
      </c>
      <c r="L2488" s="13">
        <f>N2488&amp;O2488&amp;P2488&amp;Q2488&amp;R2488&amp;S2488&amp;T2488&amp;U2488&amp;V2488&amp;W2488&amp;X2488&amp;Y2488&amp;Z2488&amp;AA2488&amp;AB2488&amp;AC2488&amp;AD2488&amp;AE2488&amp;AF2488&amp;AG2488</f>
        <v/>
      </c>
      <c r="N2488" s="10">
        <f>TEXT($B$6,"00")</f>
        <v/>
      </c>
      <c r="O2488" s="10">
        <f>REPT(" ",8)</f>
        <v/>
      </c>
      <c r="P2488" s="10">
        <f>RIGHT($B$4,2)</f>
        <v/>
      </c>
      <c r="Q2488" s="10">
        <f>RIGHT($B$5,3)</f>
        <v/>
      </c>
      <c r="R2488" s="10">
        <f>IF(A2488="D",LEFT(UPPER(B2488)&amp;REPT(" ",20),20),REPT(" ",20))</f>
        <v/>
      </c>
      <c r="S2488" s="10">
        <f>IF(A2488="D",LEFT(UPPER(C2488)&amp;REPT(" ",10),10)," ")</f>
        <v/>
      </c>
      <c r="T2488" s="10">
        <f>IF(A2488="D",LEFT(UPPER(D2488)&amp;REPT(" ",2),2)," ")</f>
        <v/>
      </c>
      <c r="U2488" s="10">
        <f>IF(A2488="D",LEFT(UPPER(E2488)&amp;REPT(" ",15),15)," ")</f>
        <v/>
      </c>
      <c r="V2488" s="10">
        <f>REPT(" ",24)</f>
        <v/>
      </c>
      <c r="W2488" s="10">
        <f>IF(A2488="c",LEFT(UPPER(B2488)&amp;REPT(" ",20),20),REPT(" ",20))</f>
        <v/>
      </c>
      <c r="X2488" s="10">
        <f>IF(A2488="C",LEFT(UPPER(C2488)&amp;REPT(" ",10),10)," ")</f>
        <v/>
      </c>
      <c r="Y2488" s="10">
        <f>IF(A2488="C",LEFT(UPPER(D2488)&amp;REPT(" ",2),2)," ")</f>
        <v/>
      </c>
      <c r="Z2488" s="10">
        <f>IF(A2488="C",LEFT(UPPER(E2488)&amp;REPT(" ",15),15)," ")</f>
        <v/>
      </c>
      <c r="AA2488" s="10">
        <f>REPT(" ",8)</f>
        <v/>
      </c>
      <c r="AB2488" s="10">
        <f>REPT(" ",4)</f>
        <v/>
      </c>
      <c r="AC2488" s="10">
        <f>LEFT(UPPER(H2488)&amp;REPT(" ",250),250)</f>
        <v/>
      </c>
      <c r="AD2488" s="10">
        <f>TEXT($G$2,"dd/mm/aaaa")</f>
        <v/>
      </c>
      <c r="AE2488" s="10">
        <f>REPT(" ",10)</f>
        <v/>
      </c>
      <c r="AF2488" s="10">
        <f>REPT(" ",20)</f>
        <v/>
      </c>
      <c r="AG2488" s="54">
        <f>REPT(" ",18-LEN(FIXED(F2488,2,TRUE)))&amp;FIXED(F2488,2,TRUE)</f>
        <v/>
      </c>
      <c r="AH2488" s="10">
        <f>LEN(AC2488)+LEN(AG2488)</f>
        <v/>
      </c>
      <c r="AI2488" s="10">
        <f>LEN(L2488)</f>
        <v/>
      </c>
    </row>
    <row r="2489">
      <c r="J2489" s="12">
        <f>IF(F2489&lt;&gt;0,"LANÇAR","")</f>
        <v/>
      </c>
      <c r="L2489" s="13">
        <f>N2489&amp;O2489&amp;P2489&amp;Q2489&amp;R2489&amp;S2489&amp;T2489&amp;U2489&amp;V2489&amp;W2489&amp;X2489&amp;Y2489&amp;Z2489&amp;AA2489&amp;AB2489&amp;AC2489&amp;AD2489&amp;AE2489&amp;AF2489&amp;AG2489</f>
        <v/>
      </c>
      <c r="N2489" s="10">
        <f>TEXT($B$6,"00")</f>
        <v/>
      </c>
      <c r="O2489" s="10">
        <f>REPT(" ",8)</f>
        <v/>
      </c>
      <c r="P2489" s="10">
        <f>RIGHT($B$4,2)</f>
        <v/>
      </c>
      <c r="Q2489" s="10">
        <f>RIGHT($B$5,3)</f>
        <v/>
      </c>
      <c r="R2489" s="10">
        <f>IF(A2489="D",LEFT(UPPER(B2489)&amp;REPT(" ",20),20),REPT(" ",20))</f>
        <v/>
      </c>
      <c r="S2489" s="10">
        <f>IF(A2489="D",LEFT(UPPER(C2489)&amp;REPT(" ",10),10)," ")</f>
        <v/>
      </c>
      <c r="T2489" s="10">
        <f>IF(A2489="D",LEFT(UPPER(D2489)&amp;REPT(" ",2),2)," ")</f>
        <v/>
      </c>
      <c r="U2489" s="10">
        <f>IF(A2489="D",LEFT(UPPER(E2489)&amp;REPT(" ",15),15)," ")</f>
        <v/>
      </c>
      <c r="V2489" s="10">
        <f>REPT(" ",24)</f>
        <v/>
      </c>
      <c r="W2489" s="10">
        <f>IF(A2489="c",LEFT(UPPER(B2489)&amp;REPT(" ",20),20),REPT(" ",20))</f>
        <v/>
      </c>
      <c r="X2489" s="10">
        <f>IF(A2489="C",LEFT(UPPER(C2489)&amp;REPT(" ",10),10)," ")</f>
        <v/>
      </c>
      <c r="Y2489" s="10">
        <f>IF(A2489="C",LEFT(UPPER(D2489)&amp;REPT(" ",2),2)," ")</f>
        <v/>
      </c>
      <c r="Z2489" s="10">
        <f>IF(A2489="C",LEFT(UPPER(E2489)&amp;REPT(" ",15),15)," ")</f>
        <v/>
      </c>
      <c r="AA2489" s="10">
        <f>REPT(" ",8)</f>
        <v/>
      </c>
      <c r="AB2489" s="10">
        <f>REPT(" ",4)</f>
        <v/>
      </c>
      <c r="AC2489" s="10">
        <f>LEFT(UPPER(H2489)&amp;REPT(" ",250),250)</f>
        <v/>
      </c>
      <c r="AD2489" s="10">
        <f>TEXT($G$2,"dd/mm/aaaa")</f>
        <v/>
      </c>
      <c r="AE2489" s="10">
        <f>REPT(" ",10)</f>
        <v/>
      </c>
      <c r="AF2489" s="10">
        <f>REPT(" ",20)</f>
        <v/>
      </c>
      <c r="AG2489" s="54">
        <f>REPT(" ",18-LEN(FIXED(F2489,2,TRUE)))&amp;FIXED(F2489,2,TRUE)</f>
        <v/>
      </c>
      <c r="AH2489" s="10">
        <f>LEN(AC2489)+LEN(AG2489)</f>
        <v/>
      </c>
      <c r="AI2489" s="10">
        <f>LEN(L2489)</f>
        <v/>
      </c>
    </row>
    <row r="2490">
      <c r="J2490" s="12">
        <f>IF(F2490&lt;&gt;0,"LANÇAR","")</f>
        <v/>
      </c>
      <c r="L2490" s="13">
        <f>N2490&amp;O2490&amp;P2490&amp;Q2490&amp;R2490&amp;S2490&amp;T2490&amp;U2490&amp;V2490&amp;W2490&amp;X2490&amp;Y2490&amp;Z2490&amp;AA2490&amp;AB2490&amp;AC2490&amp;AD2490&amp;AE2490&amp;AF2490&amp;AG2490</f>
        <v/>
      </c>
      <c r="N2490" s="10">
        <f>TEXT($B$6,"00")</f>
        <v/>
      </c>
      <c r="O2490" s="10">
        <f>REPT(" ",8)</f>
        <v/>
      </c>
      <c r="P2490" s="10">
        <f>RIGHT($B$4,2)</f>
        <v/>
      </c>
      <c r="Q2490" s="10">
        <f>RIGHT($B$5,3)</f>
        <v/>
      </c>
      <c r="R2490" s="10">
        <f>IF(A2490="D",LEFT(UPPER(B2490)&amp;REPT(" ",20),20),REPT(" ",20))</f>
        <v/>
      </c>
      <c r="S2490" s="10">
        <f>IF(A2490="D",LEFT(UPPER(C2490)&amp;REPT(" ",10),10)," ")</f>
        <v/>
      </c>
      <c r="T2490" s="10">
        <f>IF(A2490="D",LEFT(UPPER(D2490)&amp;REPT(" ",2),2)," ")</f>
        <v/>
      </c>
      <c r="U2490" s="10">
        <f>IF(A2490="D",LEFT(UPPER(E2490)&amp;REPT(" ",15),15)," ")</f>
        <v/>
      </c>
      <c r="V2490" s="10">
        <f>REPT(" ",24)</f>
        <v/>
      </c>
      <c r="W2490" s="10">
        <f>IF(A2490="c",LEFT(UPPER(B2490)&amp;REPT(" ",20),20),REPT(" ",20))</f>
        <v/>
      </c>
      <c r="X2490" s="10">
        <f>IF(A2490="C",LEFT(UPPER(C2490)&amp;REPT(" ",10),10)," ")</f>
        <v/>
      </c>
      <c r="Y2490" s="10">
        <f>IF(A2490="C",LEFT(UPPER(D2490)&amp;REPT(" ",2),2)," ")</f>
        <v/>
      </c>
      <c r="Z2490" s="10">
        <f>IF(A2490="C",LEFT(UPPER(E2490)&amp;REPT(" ",15),15)," ")</f>
        <v/>
      </c>
      <c r="AA2490" s="10">
        <f>REPT(" ",8)</f>
        <v/>
      </c>
      <c r="AB2490" s="10">
        <f>REPT(" ",4)</f>
        <v/>
      </c>
      <c r="AC2490" s="10">
        <f>LEFT(UPPER(H2490)&amp;REPT(" ",250),250)</f>
        <v/>
      </c>
      <c r="AD2490" s="10">
        <f>TEXT($G$2,"dd/mm/aaaa")</f>
        <v/>
      </c>
      <c r="AE2490" s="10">
        <f>REPT(" ",10)</f>
        <v/>
      </c>
      <c r="AF2490" s="10">
        <f>REPT(" ",20)</f>
        <v/>
      </c>
      <c r="AG2490" s="54">
        <f>REPT(" ",18-LEN(FIXED(F2490,2,TRUE)))&amp;FIXED(F2490,2,TRUE)</f>
        <v/>
      </c>
      <c r="AH2490" s="10">
        <f>LEN(AC2490)+LEN(AG2490)</f>
        <v/>
      </c>
      <c r="AI2490" s="10">
        <f>LEN(L2490)</f>
        <v/>
      </c>
    </row>
    <row r="2491">
      <c r="J2491" s="12">
        <f>IF(F2491&lt;&gt;0,"LANÇAR","")</f>
        <v/>
      </c>
      <c r="L2491" s="13">
        <f>N2491&amp;O2491&amp;P2491&amp;Q2491&amp;R2491&amp;S2491&amp;T2491&amp;U2491&amp;V2491&amp;W2491&amp;X2491&amp;Y2491&amp;Z2491&amp;AA2491&amp;AB2491&amp;AC2491&amp;AD2491&amp;AE2491&amp;AF2491&amp;AG2491</f>
        <v/>
      </c>
      <c r="N2491" s="10">
        <f>TEXT($B$6,"00")</f>
        <v/>
      </c>
      <c r="O2491" s="10">
        <f>REPT(" ",8)</f>
        <v/>
      </c>
      <c r="P2491" s="10">
        <f>RIGHT($B$4,2)</f>
        <v/>
      </c>
      <c r="Q2491" s="10">
        <f>RIGHT($B$5,3)</f>
        <v/>
      </c>
      <c r="R2491" s="10">
        <f>IF(A2491="D",LEFT(UPPER(B2491)&amp;REPT(" ",20),20),REPT(" ",20))</f>
        <v/>
      </c>
      <c r="S2491" s="10">
        <f>IF(A2491="D",LEFT(UPPER(C2491)&amp;REPT(" ",10),10)," ")</f>
        <v/>
      </c>
      <c r="T2491" s="10">
        <f>IF(A2491="D",LEFT(UPPER(D2491)&amp;REPT(" ",2),2)," ")</f>
        <v/>
      </c>
      <c r="U2491" s="10">
        <f>IF(A2491="D",LEFT(UPPER(E2491)&amp;REPT(" ",15),15)," ")</f>
        <v/>
      </c>
      <c r="V2491" s="10">
        <f>REPT(" ",24)</f>
        <v/>
      </c>
      <c r="W2491" s="10">
        <f>IF(A2491="c",LEFT(UPPER(B2491)&amp;REPT(" ",20),20),REPT(" ",20))</f>
        <v/>
      </c>
      <c r="X2491" s="10">
        <f>IF(A2491="C",LEFT(UPPER(C2491)&amp;REPT(" ",10),10)," ")</f>
        <v/>
      </c>
      <c r="Y2491" s="10">
        <f>IF(A2491="C",LEFT(UPPER(D2491)&amp;REPT(" ",2),2)," ")</f>
        <v/>
      </c>
      <c r="Z2491" s="10">
        <f>IF(A2491="C",LEFT(UPPER(E2491)&amp;REPT(" ",15),15)," ")</f>
        <v/>
      </c>
      <c r="AA2491" s="10">
        <f>REPT(" ",8)</f>
        <v/>
      </c>
      <c r="AB2491" s="10">
        <f>REPT(" ",4)</f>
        <v/>
      </c>
      <c r="AC2491" s="10">
        <f>LEFT(UPPER(H2491)&amp;REPT(" ",250),250)</f>
        <v/>
      </c>
      <c r="AD2491" s="10">
        <f>TEXT($G$2,"dd/mm/aaaa")</f>
        <v/>
      </c>
      <c r="AE2491" s="10">
        <f>REPT(" ",10)</f>
        <v/>
      </c>
      <c r="AF2491" s="10">
        <f>REPT(" ",20)</f>
        <v/>
      </c>
      <c r="AG2491" s="54">
        <f>REPT(" ",18-LEN(FIXED(F2491,2,TRUE)))&amp;FIXED(F2491,2,TRUE)</f>
        <v/>
      </c>
      <c r="AH2491" s="10">
        <f>LEN(AC2491)+LEN(AG2491)</f>
        <v/>
      </c>
      <c r="AI2491" s="10">
        <f>LEN(L2491)</f>
        <v/>
      </c>
    </row>
    <row r="2492">
      <c r="J2492" s="12">
        <f>IF(F2492&lt;&gt;0,"LANÇAR","")</f>
        <v/>
      </c>
      <c r="L2492" s="13">
        <f>N2492&amp;O2492&amp;P2492&amp;Q2492&amp;R2492&amp;S2492&amp;T2492&amp;U2492&amp;V2492&amp;W2492&amp;X2492&amp;Y2492&amp;Z2492&amp;AA2492&amp;AB2492&amp;AC2492&amp;AD2492&amp;AE2492&amp;AF2492&amp;AG2492</f>
        <v/>
      </c>
      <c r="N2492" s="10">
        <f>TEXT($B$6,"00")</f>
        <v/>
      </c>
      <c r="O2492" s="10">
        <f>REPT(" ",8)</f>
        <v/>
      </c>
      <c r="P2492" s="10">
        <f>RIGHT($B$4,2)</f>
        <v/>
      </c>
      <c r="Q2492" s="10">
        <f>RIGHT($B$5,3)</f>
        <v/>
      </c>
      <c r="R2492" s="10">
        <f>IF(A2492="D",LEFT(UPPER(B2492)&amp;REPT(" ",20),20),REPT(" ",20))</f>
        <v/>
      </c>
      <c r="S2492" s="10">
        <f>IF(A2492="D",LEFT(UPPER(C2492)&amp;REPT(" ",10),10)," ")</f>
        <v/>
      </c>
      <c r="T2492" s="10">
        <f>IF(A2492="D",LEFT(UPPER(D2492)&amp;REPT(" ",2),2)," ")</f>
        <v/>
      </c>
      <c r="U2492" s="10">
        <f>IF(A2492="D",LEFT(UPPER(E2492)&amp;REPT(" ",15),15)," ")</f>
        <v/>
      </c>
      <c r="V2492" s="10">
        <f>REPT(" ",24)</f>
        <v/>
      </c>
      <c r="W2492" s="10">
        <f>IF(A2492="c",LEFT(UPPER(B2492)&amp;REPT(" ",20),20),REPT(" ",20))</f>
        <v/>
      </c>
      <c r="X2492" s="10">
        <f>IF(A2492="C",LEFT(UPPER(C2492)&amp;REPT(" ",10),10)," ")</f>
        <v/>
      </c>
      <c r="Y2492" s="10">
        <f>IF(A2492="C",LEFT(UPPER(D2492)&amp;REPT(" ",2),2)," ")</f>
        <v/>
      </c>
      <c r="Z2492" s="10">
        <f>IF(A2492="C",LEFT(UPPER(E2492)&amp;REPT(" ",15),15)," ")</f>
        <v/>
      </c>
      <c r="AA2492" s="10">
        <f>REPT(" ",8)</f>
        <v/>
      </c>
      <c r="AB2492" s="10">
        <f>REPT(" ",4)</f>
        <v/>
      </c>
      <c r="AC2492" s="10">
        <f>LEFT(UPPER(H2492)&amp;REPT(" ",250),250)</f>
        <v/>
      </c>
      <c r="AD2492" s="10">
        <f>TEXT($G$2,"dd/mm/aaaa")</f>
        <v/>
      </c>
      <c r="AE2492" s="10">
        <f>REPT(" ",10)</f>
        <v/>
      </c>
      <c r="AF2492" s="10">
        <f>REPT(" ",20)</f>
        <v/>
      </c>
      <c r="AG2492" s="54">
        <f>REPT(" ",18-LEN(FIXED(F2492,2,TRUE)))&amp;FIXED(F2492,2,TRUE)</f>
        <v/>
      </c>
      <c r="AH2492" s="10">
        <f>LEN(AC2492)+LEN(AG2492)</f>
        <v/>
      </c>
      <c r="AI2492" s="10">
        <f>LEN(L2492)</f>
        <v/>
      </c>
    </row>
    <row r="2493">
      <c r="J2493" s="12">
        <f>IF(F2493&lt;&gt;0,"LANÇAR","")</f>
        <v/>
      </c>
      <c r="L2493" s="13">
        <f>N2493&amp;O2493&amp;P2493&amp;Q2493&amp;R2493&amp;S2493&amp;T2493&amp;U2493&amp;V2493&amp;W2493&amp;X2493&amp;Y2493&amp;Z2493&amp;AA2493&amp;AB2493&amp;AC2493&amp;AD2493&amp;AE2493&amp;AF2493&amp;AG2493</f>
        <v/>
      </c>
      <c r="N2493" s="10">
        <f>TEXT($B$6,"00")</f>
        <v/>
      </c>
      <c r="O2493" s="10">
        <f>REPT(" ",8)</f>
        <v/>
      </c>
      <c r="P2493" s="10">
        <f>RIGHT($B$4,2)</f>
        <v/>
      </c>
      <c r="Q2493" s="10">
        <f>RIGHT($B$5,3)</f>
        <v/>
      </c>
      <c r="R2493" s="10">
        <f>IF(A2493="D",LEFT(UPPER(B2493)&amp;REPT(" ",20),20),REPT(" ",20))</f>
        <v/>
      </c>
      <c r="S2493" s="10">
        <f>IF(A2493="D",LEFT(UPPER(C2493)&amp;REPT(" ",10),10)," ")</f>
        <v/>
      </c>
      <c r="T2493" s="10">
        <f>IF(A2493="D",LEFT(UPPER(D2493)&amp;REPT(" ",2),2)," ")</f>
        <v/>
      </c>
      <c r="U2493" s="10">
        <f>IF(A2493="D",LEFT(UPPER(E2493)&amp;REPT(" ",15),15)," ")</f>
        <v/>
      </c>
      <c r="V2493" s="10">
        <f>REPT(" ",24)</f>
        <v/>
      </c>
      <c r="W2493" s="10">
        <f>IF(A2493="c",LEFT(UPPER(B2493)&amp;REPT(" ",20),20),REPT(" ",20))</f>
        <v/>
      </c>
      <c r="X2493" s="10">
        <f>IF(A2493="C",LEFT(UPPER(C2493)&amp;REPT(" ",10),10)," ")</f>
        <v/>
      </c>
      <c r="Y2493" s="10">
        <f>IF(A2493="C",LEFT(UPPER(D2493)&amp;REPT(" ",2),2)," ")</f>
        <v/>
      </c>
      <c r="Z2493" s="10">
        <f>IF(A2493="C",LEFT(UPPER(E2493)&amp;REPT(" ",15),15)," ")</f>
        <v/>
      </c>
      <c r="AA2493" s="10">
        <f>REPT(" ",8)</f>
        <v/>
      </c>
      <c r="AB2493" s="10">
        <f>REPT(" ",4)</f>
        <v/>
      </c>
      <c r="AC2493" s="10">
        <f>LEFT(UPPER(H2493)&amp;REPT(" ",250),250)</f>
        <v/>
      </c>
      <c r="AD2493" s="10">
        <f>TEXT($G$2,"dd/mm/aaaa")</f>
        <v/>
      </c>
      <c r="AE2493" s="10">
        <f>REPT(" ",10)</f>
        <v/>
      </c>
      <c r="AF2493" s="10">
        <f>REPT(" ",20)</f>
        <v/>
      </c>
      <c r="AG2493" s="54">
        <f>REPT(" ",18-LEN(FIXED(F2493,2,TRUE)))&amp;FIXED(F2493,2,TRUE)</f>
        <v/>
      </c>
      <c r="AH2493" s="10">
        <f>LEN(AC2493)+LEN(AG2493)</f>
        <v/>
      </c>
      <c r="AI2493" s="10">
        <f>LEN(L2493)</f>
        <v/>
      </c>
    </row>
    <row r="2494">
      <c r="J2494" s="12">
        <f>IF(F2494&lt;&gt;0,"LANÇAR","")</f>
        <v/>
      </c>
      <c r="L2494" s="13">
        <f>N2494&amp;O2494&amp;P2494&amp;Q2494&amp;R2494&amp;S2494&amp;T2494&amp;U2494&amp;V2494&amp;W2494&amp;X2494&amp;Y2494&amp;Z2494&amp;AA2494&amp;AB2494&amp;AC2494&amp;AD2494&amp;AE2494&amp;AF2494&amp;AG2494</f>
        <v/>
      </c>
      <c r="N2494" s="10">
        <f>TEXT($B$6,"00")</f>
        <v/>
      </c>
      <c r="O2494" s="10">
        <f>REPT(" ",8)</f>
        <v/>
      </c>
      <c r="P2494" s="10">
        <f>RIGHT($B$4,2)</f>
        <v/>
      </c>
      <c r="Q2494" s="10">
        <f>RIGHT($B$5,3)</f>
        <v/>
      </c>
      <c r="R2494" s="10">
        <f>IF(A2494="D",LEFT(UPPER(B2494)&amp;REPT(" ",20),20),REPT(" ",20))</f>
        <v/>
      </c>
      <c r="S2494" s="10">
        <f>IF(A2494="D",LEFT(UPPER(C2494)&amp;REPT(" ",10),10)," ")</f>
        <v/>
      </c>
      <c r="T2494" s="10">
        <f>IF(A2494="D",LEFT(UPPER(D2494)&amp;REPT(" ",2),2)," ")</f>
        <v/>
      </c>
      <c r="U2494" s="10">
        <f>IF(A2494="D",LEFT(UPPER(E2494)&amp;REPT(" ",15),15)," ")</f>
        <v/>
      </c>
      <c r="V2494" s="10">
        <f>REPT(" ",24)</f>
        <v/>
      </c>
      <c r="W2494" s="10">
        <f>IF(A2494="c",LEFT(UPPER(B2494)&amp;REPT(" ",20),20),REPT(" ",20))</f>
        <v/>
      </c>
      <c r="X2494" s="10">
        <f>IF(A2494="C",LEFT(UPPER(C2494)&amp;REPT(" ",10),10)," ")</f>
        <v/>
      </c>
      <c r="Y2494" s="10">
        <f>IF(A2494="C",LEFT(UPPER(D2494)&amp;REPT(" ",2),2)," ")</f>
        <v/>
      </c>
      <c r="Z2494" s="10">
        <f>IF(A2494="C",LEFT(UPPER(E2494)&amp;REPT(" ",15),15)," ")</f>
        <v/>
      </c>
      <c r="AA2494" s="10">
        <f>REPT(" ",8)</f>
        <v/>
      </c>
      <c r="AB2494" s="10">
        <f>REPT(" ",4)</f>
        <v/>
      </c>
      <c r="AC2494" s="10">
        <f>LEFT(UPPER(H2494)&amp;REPT(" ",250),250)</f>
        <v/>
      </c>
      <c r="AD2494" s="10">
        <f>TEXT($G$2,"dd/mm/aaaa")</f>
        <v/>
      </c>
      <c r="AE2494" s="10">
        <f>REPT(" ",10)</f>
        <v/>
      </c>
      <c r="AF2494" s="10">
        <f>REPT(" ",20)</f>
        <v/>
      </c>
      <c r="AG2494" s="54">
        <f>REPT(" ",18-LEN(FIXED(F2494,2,TRUE)))&amp;FIXED(F2494,2,TRUE)</f>
        <v/>
      </c>
      <c r="AH2494" s="10">
        <f>LEN(AC2494)+LEN(AG2494)</f>
        <v/>
      </c>
      <c r="AI2494" s="10">
        <f>LEN(L2494)</f>
        <v/>
      </c>
    </row>
    <row r="2495">
      <c r="J2495" s="12">
        <f>IF(F2495&lt;&gt;0,"LANÇAR","")</f>
        <v/>
      </c>
      <c r="L2495" s="13">
        <f>N2495&amp;O2495&amp;P2495&amp;Q2495&amp;R2495&amp;S2495&amp;T2495&amp;U2495&amp;V2495&amp;W2495&amp;X2495&amp;Y2495&amp;Z2495&amp;AA2495&amp;AB2495&amp;AC2495&amp;AD2495&amp;AE2495&amp;AF2495&amp;AG2495</f>
        <v/>
      </c>
      <c r="N2495" s="10">
        <f>TEXT($B$6,"00")</f>
        <v/>
      </c>
      <c r="O2495" s="10">
        <f>REPT(" ",8)</f>
        <v/>
      </c>
      <c r="P2495" s="10">
        <f>RIGHT($B$4,2)</f>
        <v/>
      </c>
      <c r="Q2495" s="10">
        <f>RIGHT($B$5,3)</f>
        <v/>
      </c>
      <c r="R2495" s="10">
        <f>IF(A2495="D",LEFT(UPPER(B2495)&amp;REPT(" ",20),20),REPT(" ",20))</f>
        <v/>
      </c>
      <c r="S2495" s="10">
        <f>IF(A2495="D",LEFT(UPPER(C2495)&amp;REPT(" ",10),10)," ")</f>
        <v/>
      </c>
      <c r="T2495" s="10">
        <f>IF(A2495="D",LEFT(UPPER(D2495)&amp;REPT(" ",2),2)," ")</f>
        <v/>
      </c>
      <c r="U2495" s="10">
        <f>IF(A2495="D",LEFT(UPPER(E2495)&amp;REPT(" ",15),15)," ")</f>
        <v/>
      </c>
      <c r="V2495" s="10">
        <f>REPT(" ",24)</f>
        <v/>
      </c>
      <c r="W2495" s="10">
        <f>IF(A2495="c",LEFT(UPPER(B2495)&amp;REPT(" ",20),20),REPT(" ",20))</f>
        <v/>
      </c>
      <c r="X2495" s="10">
        <f>IF(A2495="C",LEFT(UPPER(C2495)&amp;REPT(" ",10),10)," ")</f>
        <v/>
      </c>
      <c r="Y2495" s="10">
        <f>IF(A2495="C",LEFT(UPPER(D2495)&amp;REPT(" ",2),2)," ")</f>
        <v/>
      </c>
      <c r="Z2495" s="10">
        <f>IF(A2495="C",LEFT(UPPER(E2495)&amp;REPT(" ",15),15)," ")</f>
        <v/>
      </c>
      <c r="AA2495" s="10">
        <f>REPT(" ",8)</f>
        <v/>
      </c>
      <c r="AB2495" s="10">
        <f>REPT(" ",4)</f>
        <v/>
      </c>
      <c r="AC2495" s="10">
        <f>LEFT(UPPER(H2495)&amp;REPT(" ",250),250)</f>
        <v/>
      </c>
      <c r="AD2495" s="10">
        <f>TEXT($G$2,"dd/mm/aaaa")</f>
        <v/>
      </c>
      <c r="AE2495" s="10">
        <f>REPT(" ",10)</f>
        <v/>
      </c>
      <c r="AF2495" s="10">
        <f>REPT(" ",20)</f>
        <v/>
      </c>
      <c r="AG2495" s="54">
        <f>REPT(" ",18-LEN(FIXED(F2495,2,TRUE)))&amp;FIXED(F2495,2,TRUE)</f>
        <v/>
      </c>
      <c r="AH2495" s="10">
        <f>LEN(AC2495)+LEN(AG2495)</f>
        <v/>
      </c>
      <c r="AI2495" s="10">
        <f>LEN(L2495)</f>
        <v/>
      </c>
    </row>
    <row r="2496">
      <c r="J2496" s="12">
        <f>IF(F2496&lt;&gt;0,"LANÇAR","")</f>
        <v/>
      </c>
      <c r="L2496" s="13">
        <f>N2496&amp;O2496&amp;P2496&amp;Q2496&amp;R2496&amp;S2496&amp;T2496&amp;U2496&amp;V2496&amp;W2496&amp;X2496&amp;Y2496&amp;Z2496&amp;AA2496&amp;AB2496&amp;AC2496&amp;AD2496&amp;AE2496&amp;AF2496&amp;AG2496</f>
        <v/>
      </c>
      <c r="N2496" s="10">
        <f>TEXT($B$6,"00")</f>
        <v/>
      </c>
      <c r="O2496" s="10">
        <f>REPT(" ",8)</f>
        <v/>
      </c>
      <c r="P2496" s="10">
        <f>RIGHT($B$4,2)</f>
        <v/>
      </c>
      <c r="Q2496" s="10">
        <f>RIGHT($B$5,3)</f>
        <v/>
      </c>
      <c r="R2496" s="10">
        <f>IF(A2496="D",LEFT(UPPER(B2496)&amp;REPT(" ",20),20),REPT(" ",20))</f>
        <v/>
      </c>
      <c r="S2496" s="10">
        <f>IF(A2496="D",LEFT(UPPER(C2496)&amp;REPT(" ",10),10)," ")</f>
        <v/>
      </c>
      <c r="T2496" s="10">
        <f>IF(A2496="D",LEFT(UPPER(D2496)&amp;REPT(" ",2),2)," ")</f>
        <v/>
      </c>
      <c r="U2496" s="10">
        <f>IF(A2496="D",LEFT(UPPER(E2496)&amp;REPT(" ",15),15)," ")</f>
        <v/>
      </c>
      <c r="V2496" s="10">
        <f>REPT(" ",24)</f>
        <v/>
      </c>
      <c r="W2496" s="10">
        <f>IF(A2496="c",LEFT(UPPER(B2496)&amp;REPT(" ",20),20),REPT(" ",20))</f>
        <v/>
      </c>
      <c r="X2496" s="10">
        <f>IF(A2496="C",LEFT(UPPER(C2496)&amp;REPT(" ",10),10)," ")</f>
        <v/>
      </c>
      <c r="Y2496" s="10">
        <f>IF(A2496="C",LEFT(UPPER(D2496)&amp;REPT(" ",2),2)," ")</f>
        <v/>
      </c>
      <c r="Z2496" s="10">
        <f>IF(A2496="C",LEFT(UPPER(E2496)&amp;REPT(" ",15),15)," ")</f>
        <v/>
      </c>
      <c r="AA2496" s="10">
        <f>REPT(" ",8)</f>
        <v/>
      </c>
      <c r="AB2496" s="10">
        <f>REPT(" ",4)</f>
        <v/>
      </c>
      <c r="AC2496" s="10">
        <f>LEFT(UPPER(H2496)&amp;REPT(" ",250),250)</f>
        <v/>
      </c>
      <c r="AD2496" s="10">
        <f>TEXT($G$2,"dd/mm/aaaa")</f>
        <v/>
      </c>
      <c r="AE2496" s="10">
        <f>REPT(" ",10)</f>
        <v/>
      </c>
      <c r="AF2496" s="10">
        <f>REPT(" ",20)</f>
        <v/>
      </c>
      <c r="AG2496" s="54">
        <f>REPT(" ",18-LEN(FIXED(F2496,2,TRUE)))&amp;FIXED(F2496,2,TRUE)</f>
        <v/>
      </c>
      <c r="AH2496" s="10">
        <f>LEN(AC2496)+LEN(AG2496)</f>
        <v/>
      </c>
      <c r="AI2496" s="10">
        <f>LEN(L2496)</f>
        <v/>
      </c>
    </row>
    <row r="2497">
      <c r="J2497" s="12">
        <f>IF(F2497&lt;&gt;0,"LANÇAR","")</f>
        <v/>
      </c>
      <c r="L2497" s="13">
        <f>N2497&amp;O2497&amp;P2497&amp;Q2497&amp;R2497&amp;S2497&amp;T2497&amp;U2497&amp;V2497&amp;W2497&amp;X2497&amp;Y2497&amp;Z2497&amp;AA2497&amp;AB2497&amp;AC2497&amp;AD2497&amp;AE2497&amp;AF2497&amp;AG2497</f>
        <v/>
      </c>
      <c r="N2497" s="10">
        <f>TEXT($B$6,"00")</f>
        <v/>
      </c>
      <c r="O2497" s="10">
        <f>REPT(" ",8)</f>
        <v/>
      </c>
      <c r="P2497" s="10">
        <f>RIGHT($B$4,2)</f>
        <v/>
      </c>
      <c r="Q2497" s="10">
        <f>RIGHT($B$5,3)</f>
        <v/>
      </c>
      <c r="R2497" s="10">
        <f>IF(A2497="D",LEFT(UPPER(B2497)&amp;REPT(" ",20),20),REPT(" ",20))</f>
        <v/>
      </c>
      <c r="S2497" s="10">
        <f>IF(A2497="D",LEFT(UPPER(C2497)&amp;REPT(" ",10),10)," ")</f>
        <v/>
      </c>
      <c r="T2497" s="10">
        <f>IF(A2497="D",LEFT(UPPER(D2497)&amp;REPT(" ",2),2)," ")</f>
        <v/>
      </c>
      <c r="U2497" s="10">
        <f>IF(A2497="D",LEFT(UPPER(E2497)&amp;REPT(" ",15),15)," ")</f>
        <v/>
      </c>
      <c r="V2497" s="10">
        <f>REPT(" ",24)</f>
        <v/>
      </c>
      <c r="W2497" s="10">
        <f>IF(A2497="c",LEFT(UPPER(B2497)&amp;REPT(" ",20),20),REPT(" ",20))</f>
        <v/>
      </c>
      <c r="X2497" s="10">
        <f>IF(A2497="C",LEFT(UPPER(C2497)&amp;REPT(" ",10),10)," ")</f>
        <v/>
      </c>
      <c r="Y2497" s="10">
        <f>IF(A2497="C",LEFT(UPPER(D2497)&amp;REPT(" ",2),2)," ")</f>
        <v/>
      </c>
      <c r="Z2497" s="10">
        <f>IF(A2497="C",LEFT(UPPER(E2497)&amp;REPT(" ",15),15)," ")</f>
        <v/>
      </c>
      <c r="AA2497" s="10">
        <f>REPT(" ",8)</f>
        <v/>
      </c>
      <c r="AB2497" s="10">
        <f>REPT(" ",4)</f>
        <v/>
      </c>
      <c r="AC2497" s="10">
        <f>LEFT(UPPER(H2497)&amp;REPT(" ",250),250)</f>
        <v/>
      </c>
      <c r="AD2497" s="10">
        <f>TEXT($G$2,"dd/mm/aaaa")</f>
        <v/>
      </c>
      <c r="AE2497" s="10">
        <f>REPT(" ",10)</f>
        <v/>
      </c>
      <c r="AF2497" s="10">
        <f>REPT(" ",20)</f>
        <v/>
      </c>
      <c r="AG2497" s="54">
        <f>REPT(" ",18-LEN(FIXED(F2497,2,TRUE)))&amp;FIXED(F2497,2,TRUE)</f>
        <v/>
      </c>
      <c r="AH2497" s="10">
        <f>LEN(AC2497)+LEN(AG2497)</f>
        <v/>
      </c>
      <c r="AI2497" s="10">
        <f>LEN(L2497)</f>
        <v/>
      </c>
    </row>
    <row r="2498">
      <c r="J2498" s="12">
        <f>IF(F2498&lt;&gt;0,"LANÇAR","")</f>
        <v/>
      </c>
      <c r="L2498" s="13">
        <f>N2498&amp;O2498&amp;P2498&amp;Q2498&amp;R2498&amp;S2498&amp;T2498&amp;U2498&amp;V2498&amp;W2498&amp;X2498&amp;Y2498&amp;Z2498&amp;AA2498&amp;AB2498&amp;AC2498&amp;AD2498&amp;AE2498&amp;AF2498&amp;AG2498</f>
        <v/>
      </c>
      <c r="N2498" s="10">
        <f>TEXT($B$6,"00")</f>
        <v/>
      </c>
      <c r="O2498" s="10">
        <f>REPT(" ",8)</f>
        <v/>
      </c>
      <c r="P2498" s="10">
        <f>RIGHT($B$4,2)</f>
        <v/>
      </c>
      <c r="Q2498" s="10">
        <f>RIGHT($B$5,3)</f>
        <v/>
      </c>
      <c r="R2498" s="10">
        <f>IF(A2498="D",LEFT(UPPER(B2498)&amp;REPT(" ",20),20),REPT(" ",20))</f>
        <v/>
      </c>
      <c r="S2498" s="10">
        <f>IF(A2498="D",LEFT(UPPER(C2498)&amp;REPT(" ",10),10)," ")</f>
        <v/>
      </c>
      <c r="T2498" s="10">
        <f>IF(A2498="D",LEFT(UPPER(D2498)&amp;REPT(" ",2),2)," ")</f>
        <v/>
      </c>
      <c r="U2498" s="10">
        <f>IF(A2498="D",LEFT(UPPER(E2498)&amp;REPT(" ",15),15)," ")</f>
        <v/>
      </c>
      <c r="V2498" s="10">
        <f>REPT(" ",24)</f>
        <v/>
      </c>
      <c r="W2498" s="10">
        <f>IF(A2498="c",LEFT(UPPER(B2498)&amp;REPT(" ",20),20),REPT(" ",20))</f>
        <v/>
      </c>
      <c r="X2498" s="10">
        <f>IF(A2498="C",LEFT(UPPER(C2498)&amp;REPT(" ",10),10)," ")</f>
        <v/>
      </c>
      <c r="Y2498" s="10">
        <f>IF(A2498="C",LEFT(UPPER(D2498)&amp;REPT(" ",2),2)," ")</f>
        <v/>
      </c>
      <c r="Z2498" s="10">
        <f>IF(A2498="C",LEFT(UPPER(E2498)&amp;REPT(" ",15),15)," ")</f>
        <v/>
      </c>
      <c r="AA2498" s="10">
        <f>REPT(" ",8)</f>
        <v/>
      </c>
      <c r="AB2498" s="10">
        <f>REPT(" ",4)</f>
        <v/>
      </c>
      <c r="AC2498" s="10">
        <f>LEFT(UPPER(H2498)&amp;REPT(" ",250),250)</f>
        <v/>
      </c>
      <c r="AD2498" s="10">
        <f>TEXT($G$2,"dd/mm/aaaa")</f>
        <v/>
      </c>
      <c r="AE2498" s="10">
        <f>REPT(" ",10)</f>
        <v/>
      </c>
      <c r="AF2498" s="10">
        <f>REPT(" ",20)</f>
        <v/>
      </c>
      <c r="AG2498" s="54">
        <f>REPT(" ",18-LEN(FIXED(F2498,2,TRUE)))&amp;FIXED(F2498,2,TRUE)</f>
        <v/>
      </c>
      <c r="AH2498" s="10">
        <f>LEN(AC2498)+LEN(AG2498)</f>
        <v/>
      </c>
      <c r="AI2498" s="10">
        <f>LEN(L2498)</f>
        <v/>
      </c>
    </row>
    <row r="2499">
      <c r="J2499" s="12">
        <f>IF(F2499&lt;&gt;0,"LANÇAR","")</f>
        <v/>
      </c>
      <c r="L2499" s="13">
        <f>N2499&amp;O2499&amp;P2499&amp;Q2499&amp;R2499&amp;S2499&amp;T2499&amp;U2499&amp;V2499&amp;W2499&amp;X2499&amp;Y2499&amp;Z2499&amp;AA2499&amp;AB2499&amp;AC2499&amp;AD2499&amp;AE2499&amp;AF2499&amp;AG2499</f>
        <v/>
      </c>
      <c r="N2499" s="10">
        <f>TEXT($B$6,"00")</f>
        <v/>
      </c>
      <c r="O2499" s="10">
        <f>REPT(" ",8)</f>
        <v/>
      </c>
      <c r="P2499" s="10">
        <f>RIGHT($B$4,2)</f>
        <v/>
      </c>
      <c r="Q2499" s="10">
        <f>RIGHT($B$5,3)</f>
        <v/>
      </c>
      <c r="R2499" s="10">
        <f>IF(A2499="D",LEFT(UPPER(B2499)&amp;REPT(" ",20),20),REPT(" ",20))</f>
        <v/>
      </c>
      <c r="S2499" s="10">
        <f>IF(A2499="D",LEFT(UPPER(C2499)&amp;REPT(" ",10),10)," ")</f>
        <v/>
      </c>
      <c r="T2499" s="10">
        <f>IF(A2499="D",LEFT(UPPER(D2499)&amp;REPT(" ",2),2)," ")</f>
        <v/>
      </c>
      <c r="U2499" s="10">
        <f>IF(A2499="D",LEFT(UPPER(E2499)&amp;REPT(" ",15),15)," ")</f>
        <v/>
      </c>
      <c r="V2499" s="10">
        <f>REPT(" ",24)</f>
        <v/>
      </c>
      <c r="W2499" s="10">
        <f>IF(A2499="c",LEFT(UPPER(B2499)&amp;REPT(" ",20),20),REPT(" ",20))</f>
        <v/>
      </c>
      <c r="X2499" s="10">
        <f>IF(A2499="C",LEFT(UPPER(C2499)&amp;REPT(" ",10),10)," ")</f>
        <v/>
      </c>
      <c r="Y2499" s="10">
        <f>IF(A2499="C",LEFT(UPPER(D2499)&amp;REPT(" ",2),2)," ")</f>
        <v/>
      </c>
      <c r="Z2499" s="10">
        <f>IF(A2499="C",LEFT(UPPER(E2499)&amp;REPT(" ",15),15)," ")</f>
        <v/>
      </c>
      <c r="AA2499" s="10">
        <f>REPT(" ",8)</f>
        <v/>
      </c>
      <c r="AB2499" s="10">
        <f>REPT(" ",4)</f>
        <v/>
      </c>
      <c r="AC2499" s="10">
        <f>LEFT(UPPER(H2499)&amp;REPT(" ",250),250)</f>
        <v/>
      </c>
      <c r="AD2499" s="10">
        <f>TEXT($G$2,"dd/mm/aaaa")</f>
        <v/>
      </c>
      <c r="AE2499" s="10">
        <f>REPT(" ",10)</f>
        <v/>
      </c>
      <c r="AF2499" s="10">
        <f>REPT(" ",20)</f>
        <v/>
      </c>
      <c r="AG2499" s="54">
        <f>REPT(" ",18-LEN(FIXED(F2499,2,TRUE)))&amp;FIXED(F2499,2,TRUE)</f>
        <v/>
      </c>
      <c r="AH2499" s="10">
        <f>LEN(AC2499)+LEN(AG2499)</f>
        <v/>
      </c>
      <c r="AI2499" s="10">
        <f>LEN(L2499)</f>
        <v/>
      </c>
    </row>
    <row r="2500">
      <c r="J2500" s="12">
        <f>IF(F2500&lt;&gt;0,"LANÇAR","")</f>
        <v/>
      </c>
      <c r="L2500" s="13">
        <f>N2500&amp;O2500&amp;P2500&amp;Q2500&amp;R2500&amp;S2500&amp;T2500&amp;U2500&amp;V2500&amp;W2500&amp;X2500&amp;Y2500&amp;Z2500&amp;AA2500&amp;AB2500&amp;AC2500&amp;AD2500&amp;AE2500&amp;AF2500&amp;AG2500</f>
        <v/>
      </c>
      <c r="N2500" s="10">
        <f>TEXT($B$6,"00")</f>
        <v/>
      </c>
      <c r="O2500" s="10">
        <f>REPT(" ",8)</f>
        <v/>
      </c>
      <c r="P2500" s="10">
        <f>RIGHT($B$4,2)</f>
        <v/>
      </c>
      <c r="Q2500" s="10">
        <f>RIGHT($B$5,3)</f>
        <v/>
      </c>
      <c r="R2500" s="10">
        <f>IF(A2500="D",LEFT(UPPER(B2500)&amp;REPT(" ",20),20),REPT(" ",20))</f>
        <v/>
      </c>
      <c r="S2500" s="10">
        <f>IF(A2500="D",LEFT(UPPER(C2500)&amp;REPT(" ",10),10)," ")</f>
        <v/>
      </c>
      <c r="T2500" s="10">
        <f>IF(A2500="D",LEFT(UPPER(D2500)&amp;REPT(" ",2),2)," ")</f>
        <v/>
      </c>
      <c r="U2500" s="10">
        <f>IF(A2500="D",LEFT(UPPER(E2500)&amp;REPT(" ",15),15)," ")</f>
        <v/>
      </c>
      <c r="V2500" s="10">
        <f>REPT(" ",24)</f>
        <v/>
      </c>
      <c r="W2500" s="10">
        <f>IF(A2500="c",LEFT(UPPER(B2500)&amp;REPT(" ",20),20),REPT(" ",20))</f>
        <v/>
      </c>
      <c r="X2500" s="10">
        <f>IF(A2500="C",LEFT(UPPER(C2500)&amp;REPT(" ",10),10)," ")</f>
        <v/>
      </c>
      <c r="Y2500" s="10">
        <f>IF(A2500="C",LEFT(UPPER(D2500)&amp;REPT(" ",2),2)," ")</f>
        <v/>
      </c>
      <c r="Z2500" s="10">
        <f>IF(A2500="C",LEFT(UPPER(E2500)&amp;REPT(" ",15),15)," ")</f>
        <v/>
      </c>
      <c r="AA2500" s="10">
        <f>REPT(" ",8)</f>
        <v/>
      </c>
      <c r="AB2500" s="10">
        <f>REPT(" ",4)</f>
        <v/>
      </c>
      <c r="AC2500" s="10">
        <f>LEFT(UPPER(H2500)&amp;REPT(" ",250),250)</f>
        <v/>
      </c>
      <c r="AD2500" s="10">
        <f>TEXT($G$2,"dd/mm/aaaa")</f>
        <v/>
      </c>
      <c r="AE2500" s="10">
        <f>REPT(" ",10)</f>
        <v/>
      </c>
      <c r="AF2500" s="10">
        <f>REPT(" ",20)</f>
        <v/>
      </c>
      <c r="AG2500" s="54">
        <f>REPT(" ",18-LEN(FIXED(F2500,2,TRUE)))&amp;FIXED(F2500,2,TRUE)</f>
        <v/>
      </c>
      <c r="AH2500" s="10">
        <f>LEN(AC2500)+LEN(AG2500)</f>
        <v/>
      </c>
      <c r="AI2500" s="10">
        <f>LEN(L2500)</f>
        <v/>
      </c>
    </row>
    <row r="2501">
      <c r="J2501" s="12">
        <f>IF(F2501&lt;&gt;0,"LANÇAR","")</f>
        <v/>
      </c>
      <c r="L2501" s="13">
        <f>N2501&amp;O2501&amp;P2501&amp;Q2501&amp;R2501&amp;S2501&amp;T2501&amp;U2501&amp;V2501&amp;W2501&amp;X2501&amp;Y2501&amp;Z2501&amp;AA2501&amp;AB2501&amp;AC2501&amp;AD2501&amp;AE2501&amp;AF2501&amp;AG2501</f>
        <v/>
      </c>
      <c r="N2501" s="10">
        <f>TEXT($B$6,"00")</f>
        <v/>
      </c>
      <c r="O2501" s="10">
        <f>REPT(" ",8)</f>
        <v/>
      </c>
      <c r="P2501" s="10">
        <f>RIGHT($B$4,2)</f>
        <v/>
      </c>
      <c r="Q2501" s="10">
        <f>RIGHT($B$5,3)</f>
        <v/>
      </c>
      <c r="R2501" s="10">
        <f>IF(A2501="D",LEFT(UPPER(B2501)&amp;REPT(" ",20),20),REPT(" ",20))</f>
        <v/>
      </c>
      <c r="S2501" s="10">
        <f>IF(A2501="D",LEFT(UPPER(C2501)&amp;REPT(" ",10),10)," ")</f>
        <v/>
      </c>
      <c r="T2501" s="10">
        <f>IF(A2501="D",LEFT(UPPER(D2501)&amp;REPT(" ",2),2)," ")</f>
        <v/>
      </c>
      <c r="U2501" s="10">
        <f>IF(A2501="D",LEFT(UPPER(E2501)&amp;REPT(" ",15),15)," ")</f>
        <v/>
      </c>
      <c r="V2501" s="10">
        <f>REPT(" ",24)</f>
        <v/>
      </c>
      <c r="W2501" s="10">
        <f>IF(A2501="c",LEFT(UPPER(B2501)&amp;REPT(" ",20),20),REPT(" ",20))</f>
        <v/>
      </c>
      <c r="X2501" s="10">
        <f>IF(A2501="C",LEFT(UPPER(C2501)&amp;REPT(" ",10),10)," ")</f>
        <v/>
      </c>
      <c r="Y2501" s="10">
        <f>IF(A2501="C",LEFT(UPPER(D2501)&amp;REPT(" ",2),2)," ")</f>
        <v/>
      </c>
      <c r="Z2501" s="10">
        <f>IF(A2501="C",LEFT(UPPER(E2501)&amp;REPT(" ",15),15)," ")</f>
        <v/>
      </c>
      <c r="AA2501" s="10">
        <f>REPT(" ",8)</f>
        <v/>
      </c>
      <c r="AB2501" s="10">
        <f>REPT(" ",4)</f>
        <v/>
      </c>
      <c r="AC2501" s="10">
        <f>LEFT(UPPER(H2501)&amp;REPT(" ",250),250)</f>
        <v/>
      </c>
      <c r="AD2501" s="10">
        <f>TEXT($G$2,"dd/mm/aaaa")</f>
        <v/>
      </c>
      <c r="AE2501" s="10">
        <f>REPT(" ",10)</f>
        <v/>
      </c>
      <c r="AF2501" s="10">
        <f>REPT(" ",20)</f>
        <v/>
      </c>
      <c r="AG2501" s="54">
        <f>REPT(" ",18-LEN(FIXED(F2501,2,TRUE)))&amp;FIXED(F2501,2,TRUE)</f>
        <v/>
      </c>
      <c r="AH2501" s="10">
        <f>LEN(AC2501)+LEN(AG2501)</f>
        <v/>
      </c>
      <c r="AI2501" s="10">
        <f>LEN(L2501)</f>
        <v/>
      </c>
    </row>
    <row r="2502">
      <c r="J2502" s="12">
        <f>IF(F2502&lt;&gt;0,"LANÇAR","")</f>
        <v/>
      </c>
      <c r="L2502" s="13">
        <f>N2502&amp;O2502&amp;P2502&amp;Q2502&amp;R2502&amp;S2502&amp;T2502&amp;U2502&amp;V2502&amp;W2502&amp;X2502&amp;Y2502&amp;Z2502&amp;AA2502&amp;AB2502&amp;AC2502&amp;AD2502&amp;AE2502&amp;AF2502&amp;AG2502</f>
        <v/>
      </c>
      <c r="N2502" s="10">
        <f>TEXT($B$6,"00")</f>
        <v/>
      </c>
      <c r="O2502" s="10">
        <f>REPT(" ",8)</f>
        <v/>
      </c>
      <c r="P2502" s="10">
        <f>RIGHT($B$4,2)</f>
        <v/>
      </c>
      <c r="Q2502" s="10">
        <f>RIGHT($B$5,3)</f>
        <v/>
      </c>
      <c r="R2502" s="10">
        <f>IF(A2502="D",LEFT(UPPER(B2502)&amp;REPT(" ",20),20),REPT(" ",20))</f>
        <v/>
      </c>
      <c r="S2502" s="10">
        <f>IF(A2502="D",LEFT(UPPER(C2502)&amp;REPT(" ",10),10)," ")</f>
        <v/>
      </c>
      <c r="T2502" s="10">
        <f>IF(A2502="D",LEFT(UPPER(D2502)&amp;REPT(" ",2),2)," ")</f>
        <v/>
      </c>
      <c r="U2502" s="10">
        <f>IF(A2502="D",LEFT(UPPER(E2502)&amp;REPT(" ",15),15)," ")</f>
        <v/>
      </c>
      <c r="V2502" s="10">
        <f>REPT(" ",24)</f>
        <v/>
      </c>
      <c r="W2502" s="10">
        <f>IF(A2502="c",LEFT(UPPER(B2502)&amp;REPT(" ",20),20),REPT(" ",20))</f>
        <v/>
      </c>
      <c r="X2502" s="10">
        <f>IF(A2502="C",LEFT(UPPER(C2502)&amp;REPT(" ",10),10)," ")</f>
        <v/>
      </c>
      <c r="Y2502" s="10">
        <f>IF(A2502="C",LEFT(UPPER(D2502)&amp;REPT(" ",2),2)," ")</f>
        <v/>
      </c>
      <c r="Z2502" s="10">
        <f>IF(A2502="C",LEFT(UPPER(E2502)&amp;REPT(" ",15),15)," ")</f>
        <v/>
      </c>
      <c r="AA2502" s="10">
        <f>REPT(" ",8)</f>
        <v/>
      </c>
      <c r="AB2502" s="10">
        <f>REPT(" ",4)</f>
        <v/>
      </c>
      <c r="AC2502" s="10">
        <f>LEFT(UPPER(H2502)&amp;REPT(" ",250),250)</f>
        <v/>
      </c>
      <c r="AD2502" s="10">
        <f>TEXT($G$2,"dd/mm/aaaa")</f>
        <v/>
      </c>
      <c r="AE2502" s="10">
        <f>REPT(" ",10)</f>
        <v/>
      </c>
      <c r="AF2502" s="10">
        <f>REPT(" ",20)</f>
        <v/>
      </c>
      <c r="AG2502" s="54">
        <f>REPT(" ",18-LEN(FIXED(F2502,2,TRUE)))&amp;FIXED(F2502,2,TRUE)</f>
        <v/>
      </c>
      <c r="AH2502" s="10">
        <f>LEN(AC2502)+LEN(AG2502)</f>
        <v/>
      </c>
      <c r="AI2502" s="10">
        <f>LEN(L2502)</f>
        <v/>
      </c>
    </row>
    <row r="2503">
      <c r="J2503" s="12">
        <f>IF(F2503&lt;&gt;0,"LANÇAR","")</f>
        <v/>
      </c>
      <c r="L2503" s="13">
        <f>N2503&amp;O2503&amp;P2503&amp;Q2503&amp;R2503&amp;S2503&amp;T2503&amp;U2503&amp;V2503&amp;W2503&amp;X2503&amp;Y2503&amp;Z2503&amp;AA2503&amp;AB2503&amp;AC2503&amp;AD2503&amp;AE2503&amp;AF2503&amp;AG2503</f>
        <v/>
      </c>
      <c r="N2503" s="10">
        <f>TEXT($B$6,"00")</f>
        <v/>
      </c>
      <c r="O2503" s="10">
        <f>REPT(" ",8)</f>
        <v/>
      </c>
      <c r="P2503" s="10">
        <f>RIGHT($B$4,2)</f>
        <v/>
      </c>
      <c r="Q2503" s="10">
        <f>RIGHT($B$5,3)</f>
        <v/>
      </c>
      <c r="R2503" s="10">
        <f>IF(A2503="D",LEFT(UPPER(B2503)&amp;REPT(" ",20),20),REPT(" ",20))</f>
        <v/>
      </c>
      <c r="S2503" s="10">
        <f>IF(A2503="D",LEFT(UPPER(C2503)&amp;REPT(" ",10),10)," ")</f>
        <v/>
      </c>
      <c r="T2503" s="10">
        <f>IF(A2503="D",LEFT(UPPER(D2503)&amp;REPT(" ",2),2)," ")</f>
        <v/>
      </c>
      <c r="U2503" s="10">
        <f>IF(A2503="D",LEFT(UPPER(E2503)&amp;REPT(" ",15),15)," ")</f>
        <v/>
      </c>
      <c r="V2503" s="10">
        <f>REPT(" ",24)</f>
        <v/>
      </c>
      <c r="W2503" s="10">
        <f>IF(A2503="c",LEFT(UPPER(B2503)&amp;REPT(" ",20),20),REPT(" ",20))</f>
        <v/>
      </c>
      <c r="X2503" s="10">
        <f>IF(A2503="C",LEFT(UPPER(C2503)&amp;REPT(" ",10),10)," ")</f>
        <v/>
      </c>
      <c r="Y2503" s="10">
        <f>IF(A2503="C",LEFT(UPPER(D2503)&amp;REPT(" ",2),2)," ")</f>
        <v/>
      </c>
      <c r="Z2503" s="10">
        <f>IF(A2503="C",LEFT(UPPER(E2503)&amp;REPT(" ",15),15)," ")</f>
        <v/>
      </c>
      <c r="AA2503" s="10">
        <f>REPT(" ",8)</f>
        <v/>
      </c>
      <c r="AB2503" s="10">
        <f>REPT(" ",4)</f>
        <v/>
      </c>
      <c r="AC2503" s="10">
        <f>LEFT(UPPER(H2503)&amp;REPT(" ",250),250)</f>
        <v/>
      </c>
      <c r="AD2503" s="10">
        <f>TEXT($G$2,"dd/mm/aaaa")</f>
        <v/>
      </c>
      <c r="AE2503" s="10">
        <f>REPT(" ",10)</f>
        <v/>
      </c>
      <c r="AF2503" s="10">
        <f>REPT(" ",20)</f>
        <v/>
      </c>
      <c r="AG2503" s="54">
        <f>REPT(" ",18-LEN(FIXED(F2503,2,TRUE)))&amp;FIXED(F2503,2,TRUE)</f>
        <v/>
      </c>
      <c r="AH2503" s="10">
        <f>LEN(AC2503)+LEN(AG2503)</f>
        <v/>
      </c>
      <c r="AI2503" s="10">
        <f>LEN(L2503)</f>
        <v/>
      </c>
    </row>
    <row r="2504">
      <c r="J2504" s="12">
        <f>IF(F2504&lt;&gt;0,"LANÇAR","")</f>
        <v/>
      </c>
      <c r="L2504" s="13">
        <f>N2504&amp;O2504&amp;P2504&amp;Q2504&amp;R2504&amp;S2504&amp;T2504&amp;U2504&amp;V2504&amp;W2504&amp;X2504&amp;Y2504&amp;Z2504&amp;AA2504&amp;AB2504&amp;AC2504&amp;AD2504&amp;AE2504&amp;AF2504&amp;AG2504</f>
        <v/>
      </c>
      <c r="N2504" s="10">
        <f>TEXT($B$6,"00")</f>
        <v/>
      </c>
      <c r="O2504" s="10">
        <f>REPT(" ",8)</f>
        <v/>
      </c>
      <c r="P2504" s="10">
        <f>RIGHT($B$4,2)</f>
        <v/>
      </c>
      <c r="Q2504" s="10">
        <f>RIGHT($B$5,3)</f>
        <v/>
      </c>
      <c r="R2504" s="10">
        <f>IF(A2504="D",LEFT(UPPER(B2504)&amp;REPT(" ",20),20),REPT(" ",20))</f>
        <v/>
      </c>
      <c r="S2504" s="10">
        <f>IF(A2504="D",LEFT(UPPER(C2504)&amp;REPT(" ",10),10)," ")</f>
        <v/>
      </c>
      <c r="T2504" s="10">
        <f>IF(A2504="D",LEFT(UPPER(D2504)&amp;REPT(" ",2),2)," ")</f>
        <v/>
      </c>
      <c r="U2504" s="10">
        <f>IF(A2504="D",LEFT(UPPER(E2504)&amp;REPT(" ",15),15)," ")</f>
        <v/>
      </c>
      <c r="V2504" s="10">
        <f>REPT(" ",24)</f>
        <v/>
      </c>
      <c r="W2504" s="10">
        <f>IF(A2504="c",LEFT(UPPER(B2504)&amp;REPT(" ",20),20),REPT(" ",20))</f>
        <v/>
      </c>
      <c r="X2504" s="10">
        <f>IF(A2504="C",LEFT(UPPER(C2504)&amp;REPT(" ",10),10)," ")</f>
        <v/>
      </c>
      <c r="Y2504" s="10">
        <f>IF(A2504="C",LEFT(UPPER(D2504)&amp;REPT(" ",2),2)," ")</f>
        <v/>
      </c>
      <c r="Z2504" s="10">
        <f>IF(A2504="C",LEFT(UPPER(E2504)&amp;REPT(" ",15),15)," ")</f>
        <v/>
      </c>
      <c r="AA2504" s="10">
        <f>REPT(" ",8)</f>
        <v/>
      </c>
      <c r="AB2504" s="10">
        <f>REPT(" ",4)</f>
        <v/>
      </c>
      <c r="AC2504" s="10">
        <f>LEFT(UPPER(H2504)&amp;REPT(" ",250),250)</f>
        <v/>
      </c>
      <c r="AD2504" s="10">
        <f>TEXT($G$2,"dd/mm/aaaa")</f>
        <v/>
      </c>
      <c r="AE2504" s="10">
        <f>REPT(" ",10)</f>
        <v/>
      </c>
      <c r="AF2504" s="10">
        <f>REPT(" ",20)</f>
        <v/>
      </c>
      <c r="AG2504" s="54">
        <f>REPT(" ",18-LEN(FIXED(F2504,2,TRUE)))&amp;FIXED(F2504,2,TRUE)</f>
        <v/>
      </c>
      <c r="AH2504" s="10">
        <f>LEN(AC2504)+LEN(AG2504)</f>
        <v/>
      </c>
      <c r="AI2504" s="10">
        <f>LEN(L2504)</f>
        <v/>
      </c>
    </row>
    <row r="2505">
      <c r="J2505" s="12">
        <f>IF(F2505&lt;&gt;0,"LANÇAR","")</f>
        <v/>
      </c>
      <c r="L2505" s="13">
        <f>N2505&amp;O2505&amp;P2505&amp;Q2505&amp;R2505&amp;S2505&amp;T2505&amp;U2505&amp;V2505&amp;W2505&amp;X2505&amp;Y2505&amp;Z2505&amp;AA2505&amp;AB2505&amp;AC2505&amp;AD2505&amp;AE2505&amp;AF2505&amp;AG2505</f>
        <v/>
      </c>
      <c r="N2505" s="10">
        <f>TEXT($B$6,"00")</f>
        <v/>
      </c>
      <c r="O2505" s="10">
        <f>REPT(" ",8)</f>
        <v/>
      </c>
      <c r="P2505" s="10">
        <f>RIGHT($B$4,2)</f>
        <v/>
      </c>
      <c r="Q2505" s="10">
        <f>RIGHT($B$5,3)</f>
        <v/>
      </c>
      <c r="R2505" s="10">
        <f>IF(A2505="D",LEFT(UPPER(B2505)&amp;REPT(" ",20),20),REPT(" ",20))</f>
        <v/>
      </c>
      <c r="S2505" s="10">
        <f>IF(A2505="D",LEFT(UPPER(C2505)&amp;REPT(" ",10),10)," ")</f>
        <v/>
      </c>
      <c r="T2505" s="10">
        <f>IF(A2505="D",LEFT(UPPER(D2505)&amp;REPT(" ",2),2)," ")</f>
        <v/>
      </c>
      <c r="U2505" s="10">
        <f>IF(A2505="D",LEFT(UPPER(E2505)&amp;REPT(" ",15),15)," ")</f>
        <v/>
      </c>
      <c r="V2505" s="10">
        <f>REPT(" ",24)</f>
        <v/>
      </c>
      <c r="W2505" s="10">
        <f>IF(A2505="c",LEFT(UPPER(B2505)&amp;REPT(" ",20),20),REPT(" ",20))</f>
        <v/>
      </c>
      <c r="X2505" s="10">
        <f>IF(A2505="C",LEFT(UPPER(C2505)&amp;REPT(" ",10),10)," ")</f>
        <v/>
      </c>
      <c r="Y2505" s="10">
        <f>IF(A2505="C",LEFT(UPPER(D2505)&amp;REPT(" ",2),2)," ")</f>
        <v/>
      </c>
      <c r="Z2505" s="10">
        <f>IF(A2505="C",LEFT(UPPER(E2505)&amp;REPT(" ",15),15)," ")</f>
        <v/>
      </c>
      <c r="AA2505" s="10">
        <f>REPT(" ",8)</f>
        <v/>
      </c>
      <c r="AB2505" s="10">
        <f>REPT(" ",4)</f>
        <v/>
      </c>
      <c r="AC2505" s="10">
        <f>LEFT(UPPER(H2505)&amp;REPT(" ",250),250)</f>
        <v/>
      </c>
      <c r="AD2505" s="10">
        <f>TEXT($G$2,"dd/mm/aaaa")</f>
        <v/>
      </c>
      <c r="AE2505" s="10">
        <f>REPT(" ",10)</f>
        <v/>
      </c>
      <c r="AF2505" s="10">
        <f>REPT(" ",20)</f>
        <v/>
      </c>
      <c r="AG2505" s="54">
        <f>REPT(" ",18-LEN(FIXED(F2505,2,TRUE)))&amp;FIXED(F2505,2,TRUE)</f>
        <v/>
      </c>
      <c r="AH2505" s="10">
        <f>LEN(AC2505)+LEN(AG2505)</f>
        <v/>
      </c>
      <c r="AI2505" s="10">
        <f>LEN(L2505)</f>
        <v/>
      </c>
    </row>
    <row r="2506">
      <c r="J2506" s="12">
        <f>IF(F2506&lt;&gt;0,"LANÇAR","")</f>
        <v/>
      </c>
      <c r="L2506" s="13">
        <f>N2506&amp;O2506&amp;P2506&amp;Q2506&amp;R2506&amp;S2506&amp;T2506&amp;U2506&amp;V2506&amp;W2506&amp;X2506&amp;Y2506&amp;Z2506&amp;AA2506&amp;AB2506&amp;AC2506&amp;AD2506&amp;AE2506&amp;AF2506&amp;AG2506</f>
        <v/>
      </c>
      <c r="N2506" s="10">
        <f>TEXT($B$6,"00")</f>
        <v/>
      </c>
      <c r="O2506" s="10">
        <f>REPT(" ",8)</f>
        <v/>
      </c>
      <c r="P2506" s="10">
        <f>RIGHT($B$4,2)</f>
        <v/>
      </c>
      <c r="Q2506" s="10">
        <f>RIGHT($B$5,3)</f>
        <v/>
      </c>
      <c r="R2506" s="10">
        <f>IF(A2506="D",LEFT(UPPER(B2506)&amp;REPT(" ",20),20),REPT(" ",20))</f>
        <v/>
      </c>
      <c r="S2506" s="10">
        <f>IF(A2506="D",LEFT(UPPER(C2506)&amp;REPT(" ",10),10)," ")</f>
        <v/>
      </c>
      <c r="T2506" s="10">
        <f>IF(A2506="D",LEFT(UPPER(D2506)&amp;REPT(" ",2),2)," ")</f>
        <v/>
      </c>
      <c r="U2506" s="10">
        <f>IF(A2506="D",LEFT(UPPER(E2506)&amp;REPT(" ",15),15)," ")</f>
        <v/>
      </c>
      <c r="V2506" s="10">
        <f>REPT(" ",24)</f>
        <v/>
      </c>
      <c r="W2506" s="10">
        <f>IF(A2506="c",LEFT(UPPER(B2506)&amp;REPT(" ",20),20),REPT(" ",20))</f>
        <v/>
      </c>
      <c r="X2506" s="10">
        <f>IF(A2506="C",LEFT(UPPER(C2506)&amp;REPT(" ",10),10)," ")</f>
        <v/>
      </c>
      <c r="Y2506" s="10">
        <f>IF(A2506="C",LEFT(UPPER(D2506)&amp;REPT(" ",2),2)," ")</f>
        <v/>
      </c>
      <c r="Z2506" s="10">
        <f>IF(A2506="C",LEFT(UPPER(E2506)&amp;REPT(" ",15),15)," ")</f>
        <v/>
      </c>
      <c r="AA2506" s="10">
        <f>REPT(" ",8)</f>
        <v/>
      </c>
      <c r="AB2506" s="10">
        <f>REPT(" ",4)</f>
        <v/>
      </c>
      <c r="AC2506" s="10">
        <f>LEFT(UPPER(H2506)&amp;REPT(" ",250),250)</f>
        <v/>
      </c>
      <c r="AD2506" s="10">
        <f>TEXT($G$2,"dd/mm/aaaa")</f>
        <v/>
      </c>
      <c r="AE2506" s="10">
        <f>REPT(" ",10)</f>
        <v/>
      </c>
      <c r="AF2506" s="10">
        <f>REPT(" ",20)</f>
        <v/>
      </c>
      <c r="AG2506" s="54">
        <f>REPT(" ",18-LEN(FIXED(F2506,2,TRUE)))&amp;FIXED(F2506,2,TRUE)</f>
        <v/>
      </c>
      <c r="AH2506" s="10">
        <f>LEN(AC2506)+LEN(AG2506)</f>
        <v/>
      </c>
      <c r="AI2506" s="10">
        <f>LEN(L2506)</f>
        <v/>
      </c>
    </row>
    <row r="2507">
      <c r="J2507" s="12">
        <f>IF(F2507&lt;&gt;0,"LANÇAR","")</f>
        <v/>
      </c>
      <c r="L2507" s="13">
        <f>N2507&amp;O2507&amp;P2507&amp;Q2507&amp;R2507&amp;S2507&amp;T2507&amp;U2507&amp;V2507&amp;W2507&amp;X2507&amp;Y2507&amp;Z2507&amp;AA2507&amp;AB2507&amp;AC2507&amp;AD2507&amp;AE2507&amp;AF2507&amp;AG2507</f>
        <v/>
      </c>
      <c r="N2507" s="10">
        <f>TEXT($B$6,"00")</f>
        <v/>
      </c>
      <c r="O2507" s="10">
        <f>REPT(" ",8)</f>
        <v/>
      </c>
      <c r="P2507" s="10">
        <f>RIGHT($B$4,2)</f>
        <v/>
      </c>
      <c r="Q2507" s="10">
        <f>RIGHT($B$5,3)</f>
        <v/>
      </c>
      <c r="R2507" s="10">
        <f>IF(A2507="D",LEFT(UPPER(B2507)&amp;REPT(" ",20),20),REPT(" ",20))</f>
        <v/>
      </c>
      <c r="S2507" s="10">
        <f>IF(A2507="D",LEFT(UPPER(C2507)&amp;REPT(" ",10),10)," ")</f>
        <v/>
      </c>
      <c r="T2507" s="10">
        <f>IF(A2507="D",LEFT(UPPER(D2507)&amp;REPT(" ",2),2)," ")</f>
        <v/>
      </c>
      <c r="U2507" s="10">
        <f>IF(A2507="D",LEFT(UPPER(E2507)&amp;REPT(" ",15),15)," ")</f>
        <v/>
      </c>
      <c r="V2507" s="10">
        <f>REPT(" ",24)</f>
        <v/>
      </c>
      <c r="W2507" s="10">
        <f>IF(A2507="c",LEFT(UPPER(B2507)&amp;REPT(" ",20),20),REPT(" ",20))</f>
        <v/>
      </c>
      <c r="X2507" s="10">
        <f>IF(A2507="C",LEFT(UPPER(C2507)&amp;REPT(" ",10),10)," ")</f>
        <v/>
      </c>
      <c r="Y2507" s="10">
        <f>IF(A2507="C",LEFT(UPPER(D2507)&amp;REPT(" ",2),2)," ")</f>
        <v/>
      </c>
      <c r="Z2507" s="10">
        <f>IF(A2507="C",LEFT(UPPER(E2507)&amp;REPT(" ",15),15)," ")</f>
        <v/>
      </c>
      <c r="AA2507" s="10">
        <f>REPT(" ",8)</f>
        <v/>
      </c>
      <c r="AB2507" s="10">
        <f>REPT(" ",4)</f>
        <v/>
      </c>
      <c r="AC2507" s="10">
        <f>LEFT(UPPER(H2507)&amp;REPT(" ",250),250)</f>
        <v/>
      </c>
      <c r="AD2507" s="10">
        <f>TEXT($G$2,"dd/mm/aaaa")</f>
        <v/>
      </c>
      <c r="AE2507" s="10">
        <f>REPT(" ",10)</f>
        <v/>
      </c>
      <c r="AF2507" s="10">
        <f>REPT(" ",20)</f>
        <v/>
      </c>
      <c r="AG2507" s="54">
        <f>REPT(" ",18-LEN(FIXED(F2507,2,TRUE)))&amp;FIXED(F2507,2,TRUE)</f>
        <v/>
      </c>
      <c r="AH2507" s="10">
        <f>LEN(AC2507)+LEN(AG2507)</f>
        <v/>
      </c>
      <c r="AI2507" s="10">
        <f>LEN(L2507)</f>
        <v/>
      </c>
    </row>
    <row r="2508">
      <c r="J2508" s="12">
        <f>IF(F2508&lt;&gt;0,"LANÇAR","")</f>
        <v/>
      </c>
      <c r="L2508" s="13">
        <f>N2508&amp;O2508&amp;P2508&amp;Q2508&amp;R2508&amp;S2508&amp;T2508&amp;U2508&amp;V2508&amp;W2508&amp;X2508&amp;Y2508&amp;Z2508&amp;AA2508&amp;AB2508&amp;AC2508&amp;AD2508&amp;AE2508&amp;AF2508&amp;AG2508</f>
        <v/>
      </c>
      <c r="N2508" s="10">
        <f>TEXT($B$6,"00")</f>
        <v/>
      </c>
      <c r="O2508" s="10">
        <f>REPT(" ",8)</f>
        <v/>
      </c>
      <c r="P2508" s="10">
        <f>RIGHT($B$4,2)</f>
        <v/>
      </c>
      <c r="Q2508" s="10">
        <f>RIGHT($B$5,3)</f>
        <v/>
      </c>
      <c r="R2508" s="10">
        <f>IF(A2508="D",LEFT(UPPER(B2508)&amp;REPT(" ",20),20),REPT(" ",20))</f>
        <v/>
      </c>
      <c r="S2508" s="10">
        <f>IF(A2508="D",LEFT(UPPER(C2508)&amp;REPT(" ",10),10)," ")</f>
        <v/>
      </c>
      <c r="T2508" s="10">
        <f>IF(A2508="D",LEFT(UPPER(D2508)&amp;REPT(" ",2),2)," ")</f>
        <v/>
      </c>
      <c r="U2508" s="10">
        <f>IF(A2508="D",LEFT(UPPER(E2508)&amp;REPT(" ",15),15)," ")</f>
        <v/>
      </c>
      <c r="V2508" s="10">
        <f>REPT(" ",24)</f>
        <v/>
      </c>
      <c r="W2508" s="10">
        <f>IF(A2508="c",LEFT(UPPER(B2508)&amp;REPT(" ",20),20),REPT(" ",20))</f>
        <v/>
      </c>
      <c r="X2508" s="10">
        <f>IF(A2508="C",LEFT(UPPER(C2508)&amp;REPT(" ",10),10)," ")</f>
        <v/>
      </c>
      <c r="Y2508" s="10">
        <f>IF(A2508="C",LEFT(UPPER(D2508)&amp;REPT(" ",2),2)," ")</f>
        <v/>
      </c>
      <c r="Z2508" s="10">
        <f>IF(A2508="C",LEFT(UPPER(E2508)&amp;REPT(" ",15),15)," ")</f>
        <v/>
      </c>
      <c r="AA2508" s="10">
        <f>REPT(" ",8)</f>
        <v/>
      </c>
      <c r="AB2508" s="10">
        <f>REPT(" ",4)</f>
        <v/>
      </c>
      <c r="AC2508" s="10">
        <f>LEFT(UPPER(H2508)&amp;REPT(" ",250),250)</f>
        <v/>
      </c>
      <c r="AD2508" s="10">
        <f>TEXT($G$2,"dd/mm/aaaa")</f>
        <v/>
      </c>
      <c r="AE2508" s="10">
        <f>REPT(" ",10)</f>
        <v/>
      </c>
      <c r="AF2508" s="10">
        <f>REPT(" ",20)</f>
        <v/>
      </c>
      <c r="AG2508" s="54">
        <f>REPT(" ",18-LEN(FIXED(F2508,2,TRUE)))&amp;FIXED(F2508,2,TRUE)</f>
        <v/>
      </c>
      <c r="AH2508" s="10">
        <f>LEN(AC2508)+LEN(AG2508)</f>
        <v/>
      </c>
      <c r="AI2508" s="10">
        <f>LEN(L2508)</f>
        <v/>
      </c>
    </row>
    <row r="2509">
      <c r="J2509" s="12">
        <f>IF(F2509&lt;&gt;0,"LANÇAR","")</f>
        <v/>
      </c>
      <c r="L2509" s="13">
        <f>N2509&amp;O2509&amp;P2509&amp;Q2509&amp;R2509&amp;S2509&amp;T2509&amp;U2509&amp;V2509&amp;W2509&amp;X2509&amp;Y2509&amp;Z2509&amp;AA2509&amp;AB2509&amp;AC2509&amp;AD2509&amp;AE2509&amp;AF2509&amp;AG2509</f>
        <v/>
      </c>
      <c r="N2509" s="10">
        <f>TEXT($B$6,"00")</f>
        <v/>
      </c>
      <c r="O2509" s="10">
        <f>REPT(" ",8)</f>
        <v/>
      </c>
      <c r="P2509" s="10">
        <f>RIGHT($B$4,2)</f>
        <v/>
      </c>
      <c r="Q2509" s="10">
        <f>RIGHT($B$5,3)</f>
        <v/>
      </c>
      <c r="R2509" s="10">
        <f>IF(A2509="D",LEFT(UPPER(B2509)&amp;REPT(" ",20),20),REPT(" ",20))</f>
        <v/>
      </c>
      <c r="S2509" s="10">
        <f>IF(A2509="D",LEFT(UPPER(C2509)&amp;REPT(" ",10),10)," ")</f>
        <v/>
      </c>
      <c r="T2509" s="10">
        <f>IF(A2509="D",LEFT(UPPER(D2509)&amp;REPT(" ",2),2)," ")</f>
        <v/>
      </c>
      <c r="U2509" s="10">
        <f>IF(A2509="D",LEFT(UPPER(E2509)&amp;REPT(" ",15),15)," ")</f>
        <v/>
      </c>
      <c r="V2509" s="10">
        <f>REPT(" ",24)</f>
        <v/>
      </c>
      <c r="W2509" s="10">
        <f>IF(A2509="c",LEFT(UPPER(B2509)&amp;REPT(" ",20),20),REPT(" ",20))</f>
        <v/>
      </c>
      <c r="X2509" s="10">
        <f>IF(A2509="C",LEFT(UPPER(C2509)&amp;REPT(" ",10),10)," ")</f>
        <v/>
      </c>
      <c r="Y2509" s="10">
        <f>IF(A2509="C",LEFT(UPPER(D2509)&amp;REPT(" ",2),2)," ")</f>
        <v/>
      </c>
      <c r="Z2509" s="10">
        <f>IF(A2509="C",LEFT(UPPER(E2509)&amp;REPT(" ",15),15)," ")</f>
        <v/>
      </c>
      <c r="AA2509" s="10">
        <f>REPT(" ",8)</f>
        <v/>
      </c>
      <c r="AB2509" s="10">
        <f>REPT(" ",4)</f>
        <v/>
      </c>
      <c r="AC2509" s="10">
        <f>LEFT(UPPER(H2509)&amp;REPT(" ",250),250)</f>
        <v/>
      </c>
      <c r="AD2509" s="10">
        <f>TEXT($G$2,"dd/mm/aaaa")</f>
        <v/>
      </c>
      <c r="AE2509" s="10">
        <f>REPT(" ",10)</f>
        <v/>
      </c>
      <c r="AF2509" s="10">
        <f>REPT(" ",20)</f>
        <v/>
      </c>
      <c r="AG2509" s="54">
        <f>REPT(" ",18-LEN(FIXED(F2509,2,TRUE)))&amp;FIXED(F2509,2,TRUE)</f>
        <v/>
      </c>
      <c r="AH2509" s="10">
        <f>LEN(AC2509)+LEN(AG2509)</f>
        <v/>
      </c>
      <c r="AI2509" s="10">
        <f>LEN(L2509)</f>
        <v/>
      </c>
    </row>
    <row r="2510">
      <c r="J2510" s="12">
        <f>IF(F2510&lt;&gt;0,"LANÇAR","")</f>
        <v/>
      </c>
      <c r="L2510" s="13">
        <f>N2510&amp;O2510&amp;P2510&amp;Q2510&amp;R2510&amp;S2510&amp;T2510&amp;U2510&amp;V2510&amp;W2510&amp;X2510&amp;Y2510&amp;Z2510&amp;AA2510&amp;AB2510&amp;AC2510&amp;AD2510&amp;AE2510&amp;AF2510&amp;AG2510</f>
        <v/>
      </c>
      <c r="N2510" s="10">
        <f>TEXT($B$6,"00")</f>
        <v/>
      </c>
      <c r="O2510" s="10">
        <f>REPT(" ",8)</f>
        <v/>
      </c>
      <c r="P2510" s="10">
        <f>RIGHT($B$4,2)</f>
        <v/>
      </c>
      <c r="Q2510" s="10">
        <f>RIGHT($B$5,3)</f>
        <v/>
      </c>
      <c r="R2510" s="10">
        <f>IF(A2510="D",LEFT(UPPER(B2510)&amp;REPT(" ",20),20),REPT(" ",20))</f>
        <v/>
      </c>
      <c r="S2510" s="10">
        <f>IF(A2510="D",LEFT(UPPER(C2510)&amp;REPT(" ",10),10)," ")</f>
        <v/>
      </c>
      <c r="T2510" s="10">
        <f>IF(A2510="D",LEFT(UPPER(D2510)&amp;REPT(" ",2),2)," ")</f>
        <v/>
      </c>
      <c r="U2510" s="10">
        <f>IF(A2510="D",LEFT(UPPER(E2510)&amp;REPT(" ",15),15)," ")</f>
        <v/>
      </c>
      <c r="V2510" s="10">
        <f>REPT(" ",24)</f>
        <v/>
      </c>
      <c r="W2510" s="10">
        <f>IF(A2510="c",LEFT(UPPER(B2510)&amp;REPT(" ",20),20),REPT(" ",20))</f>
        <v/>
      </c>
      <c r="X2510" s="10">
        <f>IF(A2510="C",LEFT(UPPER(C2510)&amp;REPT(" ",10),10)," ")</f>
        <v/>
      </c>
      <c r="Y2510" s="10">
        <f>IF(A2510="C",LEFT(UPPER(D2510)&amp;REPT(" ",2),2)," ")</f>
        <v/>
      </c>
      <c r="Z2510" s="10">
        <f>IF(A2510="C",LEFT(UPPER(E2510)&amp;REPT(" ",15),15)," ")</f>
        <v/>
      </c>
      <c r="AA2510" s="10">
        <f>REPT(" ",8)</f>
        <v/>
      </c>
      <c r="AB2510" s="10">
        <f>REPT(" ",4)</f>
        <v/>
      </c>
      <c r="AC2510" s="10">
        <f>LEFT(UPPER(H2510)&amp;REPT(" ",250),250)</f>
        <v/>
      </c>
      <c r="AD2510" s="10">
        <f>TEXT($G$2,"dd/mm/aaaa")</f>
        <v/>
      </c>
      <c r="AE2510" s="10">
        <f>REPT(" ",10)</f>
        <v/>
      </c>
      <c r="AF2510" s="10">
        <f>REPT(" ",20)</f>
        <v/>
      </c>
      <c r="AG2510" s="54">
        <f>REPT(" ",18-LEN(FIXED(F2510,2,TRUE)))&amp;FIXED(F2510,2,TRUE)</f>
        <v/>
      </c>
      <c r="AH2510" s="10">
        <f>LEN(AC2510)+LEN(AG2510)</f>
        <v/>
      </c>
      <c r="AI2510" s="10">
        <f>LEN(L2510)</f>
        <v/>
      </c>
    </row>
    <row r="2511">
      <c r="J2511" s="12">
        <f>IF(F2511&lt;&gt;0,"LANÇAR","")</f>
        <v/>
      </c>
      <c r="L2511" s="13">
        <f>N2511&amp;O2511&amp;P2511&amp;Q2511&amp;R2511&amp;S2511&amp;T2511&amp;U2511&amp;V2511&amp;W2511&amp;X2511&amp;Y2511&amp;Z2511&amp;AA2511&amp;AB2511&amp;AC2511&amp;AD2511&amp;AE2511&amp;AF2511&amp;AG2511</f>
        <v/>
      </c>
      <c r="N2511" s="10">
        <f>TEXT($B$6,"00")</f>
        <v/>
      </c>
      <c r="O2511" s="10">
        <f>REPT(" ",8)</f>
        <v/>
      </c>
      <c r="P2511" s="10">
        <f>RIGHT($B$4,2)</f>
        <v/>
      </c>
      <c r="Q2511" s="10">
        <f>RIGHT($B$5,3)</f>
        <v/>
      </c>
      <c r="R2511" s="10">
        <f>IF(A2511="D",LEFT(UPPER(B2511)&amp;REPT(" ",20),20),REPT(" ",20))</f>
        <v/>
      </c>
      <c r="S2511" s="10">
        <f>IF(A2511="D",LEFT(UPPER(C2511)&amp;REPT(" ",10),10)," ")</f>
        <v/>
      </c>
      <c r="T2511" s="10">
        <f>IF(A2511="D",LEFT(UPPER(D2511)&amp;REPT(" ",2),2)," ")</f>
        <v/>
      </c>
      <c r="U2511" s="10">
        <f>IF(A2511="D",LEFT(UPPER(E2511)&amp;REPT(" ",15),15)," ")</f>
        <v/>
      </c>
      <c r="V2511" s="10">
        <f>REPT(" ",24)</f>
        <v/>
      </c>
      <c r="W2511" s="10">
        <f>IF(A2511="c",LEFT(UPPER(B2511)&amp;REPT(" ",20),20),REPT(" ",20))</f>
        <v/>
      </c>
      <c r="X2511" s="10">
        <f>IF(A2511="C",LEFT(UPPER(C2511)&amp;REPT(" ",10),10)," ")</f>
        <v/>
      </c>
      <c r="Y2511" s="10">
        <f>IF(A2511="C",LEFT(UPPER(D2511)&amp;REPT(" ",2),2)," ")</f>
        <v/>
      </c>
      <c r="Z2511" s="10">
        <f>IF(A2511="C",LEFT(UPPER(E2511)&amp;REPT(" ",15),15)," ")</f>
        <v/>
      </c>
      <c r="AA2511" s="10">
        <f>REPT(" ",8)</f>
        <v/>
      </c>
      <c r="AB2511" s="10">
        <f>REPT(" ",4)</f>
        <v/>
      </c>
      <c r="AC2511" s="10">
        <f>LEFT(UPPER(H2511)&amp;REPT(" ",250),250)</f>
        <v/>
      </c>
      <c r="AD2511" s="10">
        <f>TEXT($G$2,"dd/mm/aaaa")</f>
        <v/>
      </c>
      <c r="AE2511" s="10">
        <f>REPT(" ",10)</f>
        <v/>
      </c>
      <c r="AF2511" s="10">
        <f>REPT(" ",20)</f>
        <v/>
      </c>
      <c r="AG2511" s="54">
        <f>REPT(" ",18-LEN(FIXED(F2511,2,TRUE)))&amp;FIXED(F2511,2,TRUE)</f>
        <v/>
      </c>
      <c r="AH2511" s="10">
        <f>LEN(AC2511)+LEN(AG2511)</f>
        <v/>
      </c>
      <c r="AI2511" s="10">
        <f>LEN(L2511)</f>
        <v/>
      </c>
    </row>
    <row r="2512">
      <c r="J2512" s="12">
        <f>IF(F2512&lt;&gt;0,"LANÇAR","")</f>
        <v/>
      </c>
      <c r="L2512" s="13">
        <f>N2512&amp;O2512&amp;P2512&amp;Q2512&amp;R2512&amp;S2512&amp;T2512&amp;U2512&amp;V2512&amp;W2512&amp;X2512&amp;Y2512&amp;Z2512&amp;AA2512&amp;AB2512&amp;AC2512&amp;AD2512&amp;AE2512&amp;AF2512&amp;AG2512</f>
        <v/>
      </c>
      <c r="N2512" s="10">
        <f>TEXT($B$6,"00")</f>
        <v/>
      </c>
      <c r="O2512" s="10">
        <f>REPT(" ",8)</f>
        <v/>
      </c>
      <c r="P2512" s="10">
        <f>RIGHT($B$4,2)</f>
        <v/>
      </c>
      <c r="Q2512" s="10">
        <f>RIGHT($B$5,3)</f>
        <v/>
      </c>
      <c r="R2512" s="10">
        <f>IF(A2512="D",LEFT(UPPER(B2512)&amp;REPT(" ",20),20),REPT(" ",20))</f>
        <v/>
      </c>
      <c r="S2512" s="10">
        <f>IF(A2512="D",LEFT(UPPER(C2512)&amp;REPT(" ",10),10)," ")</f>
        <v/>
      </c>
      <c r="T2512" s="10">
        <f>IF(A2512="D",LEFT(UPPER(D2512)&amp;REPT(" ",2),2)," ")</f>
        <v/>
      </c>
      <c r="U2512" s="10">
        <f>IF(A2512="D",LEFT(UPPER(E2512)&amp;REPT(" ",15),15)," ")</f>
        <v/>
      </c>
      <c r="V2512" s="10">
        <f>REPT(" ",24)</f>
        <v/>
      </c>
      <c r="W2512" s="10">
        <f>IF(A2512="c",LEFT(UPPER(B2512)&amp;REPT(" ",20),20),REPT(" ",20))</f>
        <v/>
      </c>
      <c r="X2512" s="10">
        <f>IF(A2512="C",LEFT(UPPER(C2512)&amp;REPT(" ",10),10)," ")</f>
        <v/>
      </c>
      <c r="Y2512" s="10">
        <f>IF(A2512="C",LEFT(UPPER(D2512)&amp;REPT(" ",2),2)," ")</f>
        <v/>
      </c>
      <c r="Z2512" s="10">
        <f>IF(A2512="C",LEFT(UPPER(E2512)&amp;REPT(" ",15),15)," ")</f>
        <v/>
      </c>
      <c r="AA2512" s="10">
        <f>REPT(" ",8)</f>
        <v/>
      </c>
      <c r="AB2512" s="10">
        <f>REPT(" ",4)</f>
        <v/>
      </c>
      <c r="AC2512" s="10">
        <f>LEFT(UPPER(H2512)&amp;REPT(" ",250),250)</f>
        <v/>
      </c>
      <c r="AD2512" s="10">
        <f>TEXT($G$2,"dd/mm/aaaa")</f>
        <v/>
      </c>
      <c r="AE2512" s="10">
        <f>REPT(" ",10)</f>
        <v/>
      </c>
      <c r="AF2512" s="10">
        <f>REPT(" ",20)</f>
        <v/>
      </c>
      <c r="AG2512" s="54">
        <f>REPT(" ",18-LEN(FIXED(F2512,2,TRUE)))&amp;FIXED(F2512,2,TRUE)</f>
        <v/>
      </c>
      <c r="AH2512" s="10">
        <f>LEN(AC2512)+LEN(AG2512)</f>
        <v/>
      </c>
      <c r="AI2512" s="10">
        <f>LEN(L2512)</f>
        <v/>
      </c>
    </row>
    <row r="2513">
      <c r="J2513" s="12">
        <f>IF(F2513&lt;&gt;0,"LANÇAR","")</f>
        <v/>
      </c>
      <c r="L2513" s="13">
        <f>N2513&amp;O2513&amp;P2513&amp;Q2513&amp;R2513&amp;S2513&amp;T2513&amp;U2513&amp;V2513&amp;W2513&amp;X2513&amp;Y2513&amp;Z2513&amp;AA2513&amp;AB2513&amp;AC2513&amp;AD2513&amp;AE2513&amp;AF2513&amp;AG2513</f>
        <v/>
      </c>
      <c r="N2513" s="10">
        <f>TEXT($B$6,"00")</f>
        <v/>
      </c>
      <c r="O2513" s="10">
        <f>REPT(" ",8)</f>
        <v/>
      </c>
      <c r="P2513" s="10">
        <f>RIGHT($B$4,2)</f>
        <v/>
      </c>
      <c r="Q2513" s="10">
        <f>RIGHT($B$5,3)</f>
        <v/>
      </c>
      <c r="R2513" s="10">
        <f>IF(A2513="D",LEFT(UPPER(B2513)&amp;REPT(" ",20),20),REPT(" ",20))</f>
        <v/>
      </c>
      <c r="S2513" s="10">
        <f>IF(A2513="D",LEFT(UPPER(C2513)&amp;REPT(" ",10),10)," ")</f>
        <v/>
      </c>
      <c r="T2513" s="10">
        <f>IF(A2513="D",LEFT(UPPER(D2513)&amp;REPT(" ",2),2)," ")</f>
        <v/>
      </c>
      <c r="U2513" s="10">
        <f>IF(A2513="D",LEFT(UPPER(E2513)&amp;REPT(" ",15),15)," ")</f>
        <v/>
      </c>
      <c r="V2513" s="10">
        <f>REPT(" ",24)</f>
        <v/>
      </c>
      <c r="W2513" s="10">
        <f>IF(A2513="c",LEFT(UPPER(B2513)&amp;REPT(" ",20),20),REPT(" ",20))</f>
        <v/>
      </c>
      <c r="X2513" s="10">
        <f>IF(A2513="C",LEFT(UPPER(C2513)&amp;REPT(" ",10),10)," ")</f>
        <v/>
      </c>
      <c r="Y2513" s="10">
        <f>IF(A2513="C",LEFT(UPPER(D2513)&amp;REPT(" ",2),2)," ")</f>
        <v/>
      </c>
      <c r="Z2513" s="10">
        <f>IF(A2513="C",LEFT(UPPER(E2513)&amp;REPT(" ",15),15)," ")</f>
        <v/>
      </c>
      <c r="AA2513" s="10">
        <f>REPT(" ",8)</f>
        <v/>
      </c>
      <c r="AB2513" s="10">
        <f>REPT(" ",4)</f>
        <v/>
      </c>
      <c r="AC2513" s="10">
        <f>LEFT(UPPER(H2513)&amp;REPT(" ",250),250)</f>
        <v/>
      </c>
      <c r="AD2513" s="10">
        <f>TEXT($G$2,"dd/mm/aaaa")</f>
        <v/>
      </c>
      <c r="AE2513" s="10">
        <f>REPT(" ",10)</f>
        <v/>
      </c>
      <c r="AF2513" s="10">
        <f>REPT(" ",20)</f>
        <v/>
      </c>
      <c r="AG2513" s="54">
        <f>REPT(" ",18-LEN(FIXED(F2513,2,TRUE)))&amp;FIXED(F2513,2,TRUE)</f>
        <v/>
      </c>
      <c r="AH2513" s="10">
        <f>LEN(AC2513)+LEN(AG2513)</f>
        <v/>
      </c>
      <c r="AI2513" s="10">
        <f>LEN(L2513)</f>
        <v/>
      </c>
    </row>
    <row r="2514">
      <c r="J2514" s="12">
        <f>IF(F2514&lt;&gt;0,"LANÇAR","")</f>
        <v/>
      </c>
      <c r="L2514" s="13">
        <f>N2514&amp;O2514&amp;P2514&amp;Q2514&amp;R2514&amp;S2514&amp;T2514&amp;U2514&amp;V2514&amp;W2514&amp;X2514&amp;Y2514&amp;Z2514&amp;AA2514&amp;AB2514&amp;AC2514&amp;AD2514&amp;AE2514&amp;AF2514&amp;AG2514</f>
        <v/>
      </c>
      <c r="N2514" s="10">
        <f>TEXT($B$6,"00")</f>
        <v/>
      </c>
      <c r="O2514" s="10">
        <f>REPT(" ",8)</f>
        <v/>
      </c>
      <c r="P2514" s="10">
        <f>RIGHT($B$4,2)</f>
        <v/>
      </c>
      <c r="Q2514" s="10">
        <f>RIGHT($B$5,3)</f>
        <v/>
      </c>
      <c r="R2514" s="10">
        <f>IF(A2514="D",LEFT(UPPER(B2514)&amp;REPT(" ",20),20),REPT(" ",20))</f>
        <v/>
      </c>
      <c r="S2514" s="10">
        <f>IF(A2514="D",LEFT(UPPER(C2514)&amp;REPT(" ",10),10)," ")</f>
        <v/>
      </c>
      <c r="T2514" s="10">
        <f>IF(A2514="D",LEFT(UPPER(D2514)&amp;REPT(" ",2),2)," ")</f>
        <v/>
      </c>
      <c r="U2514" s="10">
        <f>IF(A2514="D",LEFT(UPPER(E2514)&amp;REPT(" ",15),15)," ")</f>
        <v/>
      </c>
      <c r="V2514" s="10">
        <f>REPT(" ",24)</f>
        <v/>
      </c>
      <c r="W2514" s="10">
        <f>IF(A2514="c",LEFT(UPPER(B2514)&amp;REPT(" ",20),20),REPT(" ",20))</f>
        <v/>
      </c>
      <c r="X2514" s="10">
        <f>IF(A2514="C",LEFT(UPPER(C2514)&amp;REPT(" ",10),10)," ")</f>
        <v/>
      </c>
      <c r="Y2514" s="10">
        <f>IF(A2514="C",LEFT(UPPER(D2514)&amp;REPT(" ",2),2)," ")</f>
        <v/>
      </c>
      <c r="Z2514" s="10">
        <f>IF(A2514="C",LEFT(UPPER(E2514)&amp;REPT(" ",15),15)," ")</f>
        <v/>
      </c>
      <c r="AA2514" s="10">
        <f>REPT(" ",8)</f>
        <v/>
      </c>
      <c r="AB2514" s="10">
        <f>REPT(" ",4)</f>
        <v/>
      </c>
      <c r="AC2514" s="10">
        <f>LEFT(UPPER(H2514)&amp;REPT(" ",250),250)</f>
        <v/>
      </c>
      <c r="AD2514" s="10">
        <f>TEXT($G$2,"dd/mm/aaaa")</f>
        <v/>
      </c>
      <c r="AE2514" s="10">
        <f>REPT(" ",10)</f>
        <v/>
      </c>
      <c r="AF2514" s="10">
        <f>REPT(" ",20)</f>
        <v/>
      </c>
      <c r="AG2514" s="54">
        <f>REPT(" ",18-LEN(FIXED(F2514,2,TRUE)))&amp;FIXED(F2514,2,TRUE)</f>
        <v/>
      </c>
      <c r="AH2514" s="10">
        <f>LEN(AC2514)+LEN(AG2514)</f>
        <v/>
      </c>
      <c r="AI2514" s="10">
        <f>LEN(L2514)</f>
        <v/>
      </c>
    </row>
    <row r="2515">
      <c r="J2515" s="12">
        <f>IF(F2515&lt;&gt;0,"LANÇAR","")</f>
        <v/>
      </c>
      <c r="L2515" s="13">
        <f>N2515&amp;O2515&amp;P2515&amp;Q2515&amp;R2515&amp;S2515&amp;T2515&amp;U2515&amp;V2515&amp;W2515&amp;X2515&amp;Y2515&amp;Z2515&amp;AA2515&amp;AB2515&amp;AC2515&amp;AD2515&amp;AE2515&amp;AF2515&amp;AG2515</f>
        <v/>
      </c>
      <c r="N2515" s="10">
        <f>TEXT($B$6,"00")</f>
        <v/>
      </c>
      <c r="O2515" s="10">
        <f>REPT(" ",8)</f>
        <v/>
      </c>
      <c r="P2515" s="10">
        <f>RIGHT($B$4,2)</f>
        <v/>
      </c>
      <c r="Q2515" s="10">
        <f>RIGHT($B$5,3)</f>
        <v/>
      </c>
      <c r="R2515" s="10">
        <f>IF(A2515="D",LEFT(UPPER(B2515)&amp;REPT(" ",20),20),REPT(" ",20))</f>
        <v/>
      </c>
      <c r="S2515" s="10">
        <f>IF(A2515="D",LEFT(UPPER(C2515)&amp;REPT(" ",10),10)," ")</f>
        <v/>
      </c>
      <c r="T2515" s="10">
        <f>IF(A2515="D",LEFT(UPPER(D2515)&amp;REPT(" ",2),2)," ")</f>
        <v/>
      </c>
      <c r="U2515" s="10">
        <f>IF(A2515="D",LEFT(UPPER(E2515)&amp;REPT(" ",15),15)," ")</f>
        <v/>
      </c>
      <c r="V2515" s="10">
        <f>REPT(" ",24)</f>
        <v/>
      </c>
      <c r="W2515" s="10">
        <f>IF(A2515="c",LEFT(UPPER(B2515)&amp;REPT(" ",20),20),REPT(" ",20))</f>
        <v/>
      </c>
      <c r="X2515" s="10">
        <f>IF(A2515="C",LEFT(UPPER(C2515)&amp;REPT(" ",10),10)," ")</f>
        <v/>
      </c>
      <c r="Y2515" s="10">
        <f>IF(A2515="C",LEFT(UPPER(D2515)&amp;REPT(" ",2),2)," ")</f>
        <v/>
      </c>
      <c r="Z2515" s="10">
        <f>IF(A2515="C",LEFT(UPPER(E2515)&amp;REPT(" ",15),15)," ")</f>
        <v/>
      </c>
      <c r="AA2515" s="10">
        <f>REPT(" ",8)</f>
        <v/>
      </c>
      <c r="AB2515" s="10">
        <f>REPT(" ",4)</f>
        <v/>
      </c>
      <c r="AC2515" s="10">
        <f>LEFT(UPPER(H2515)&amp;REPT(" ",250),250)</f>
        <v/>
      </c>
      <c r="AD2515" s="10">
        <f>TEXT($G$2,"dd/mm/aaaa")</f>
        <v/>
      </c>
      <c r="AE2515" s="10">
        <f>REPT(" ",10)</f>
        <v/>
      </c>
      <c r="AF2515" s="10">
        <f>REPT(" ",20)</f>
        <v/>
      </c>
      <c r="AG2515" s="54">
        <f>REPT(" ",18-LEN(FIXED(F2515,2,TRUE)))&amp;FIXED(F2515,2,TRUE)</f>
        <v/>
      </c>
      <c r="AH2515" s="10">
        <f>LEN(AC2515)+LEN(AG2515)</f>
        <v/>
      </c>
      <c r="AI2515" s="10">
        <f>LEN(L2515)</f>
        <v/>
      </c>
    </row>
    <row r="2516">
      <c r="J2516" s="12">
        <f>IF(F2516&lt;&gt;0,"LANÇAR","")</f>
        <v/>
      </c>
      <c r="L2516" s="13">
        <f>N2516&amp;O2516&amp;P2516&amp;Q2516&amp;R2516&amp;S2516&amp;T2516&amp;U2516&amp;V2516&amp;W2516&amp;X2516&amp;Y2516&amp;Z2516&amp;AA2516&amp;AB2516&amp;AC2516&amp;AD2516&amp;AE2516&amp;AF2516&amp;AG2516</f>
        <v/>
      </c>
      <c r="N2516" s="10">
        <f>TEXT($B$6,"00")</f>
        <v/>
      </c>
      <c r="O2516" s="10">
        <f>REPT(" ",8)</f>
        <v/>
      </c>
      <c r="P2516" s="10">
        <f>RIGHT($B$4,2)</f>
        <v/>
      </c>
      <c r="Q2516" s="10">
        <f>RIGHT($B$5,3)</f>
        <v/>
      </c>
      <c r="R2516" s="10">
        <f>IF(A2516="D",LEFT(UPPER(B2516)&amp;REPT(" ",20),20),REPT(" ",20))</f>
        <v/>
      </c>
      <c r="S2516" s="10">
        <f>IF(A2516="D",LEFT(UPPER(C2516)&amp;REPT(" ",10),10)," ")</f>
        <v/>
      </c>
      <c r="T2516" s="10">
        <f>IF(A2516="D",LEFT(UPPER(D2516)&amp;REPT(" ",2),2)," ")</f>
        <v/>
      </c>
      <c r="U2516" s="10">
        <f>IF(A2516="D",LEFT(UPPER(E2516)&amp;REPT(" ",15),15)," ")</f>
        <v/>
      </c>
      <c r="V2516" s="10">
        <f>REPT(" ",24)</f>
        <v/>
      </c>
      <c r="W2516" s="10">
        <f>IF(A2516="c",LEFT(UPPER(B2516)&amp;REPT(" ",20),20),REPT(" ",20))</f>
        <v/>
      </c>
      <c r="X2516" s="10">
        <f>IF(A2516="C",LEFT(UPPER(C2516)&amp;REPT(" ",10),10)," ")</f>
        <v/>
      </c>
      <c r="Y2516" s="10">
        <f>IF(A2516="C",LEFT(UPPER(D2516)&amp;REPT(" ",2),2)," ")</f>
        <v/>
      </c>
      <c r="Z2516" s="10">
        <f>IF(A2516="C",LEFT(UPPER(E2516)&amp;REPT(" ",15),15)," ")</f>
        <v/>
      </c>
      <c r="AA2516" s="10">
        <f>REPT(" ",8)</f>
        <v/>
      </c>
      <c r="AB2516" s="10">
        <f>REPT(" ",4)</f>
        <v/>
      </c>
      <c r="AC2516" s="10">
        <f>LEFT(UPPER(H2516)&amp;REPT(" ",250),250)</f>
        <v/>
      </c>
      <c r="AD2516" s="10">
        <f>TEXT($G$2,"dd/mm/aaaa")</f>
        <v/>
      </c>
      <c r="AE2516" s="10">
        <f>REPT(" ",10)</f>
        <v/>
      </c>
      <c r="AF2516" s="10">
        <f>REPT(" ",20)</f>
        <v/>
      </c>
      <c r="AG2516" s="54">
        <f>REPT(" ",18-LEN(FIXED(F2516,2,TRUE)))&amp;FIXED(F2516,2,TRUE)</f>
        <v/>
      </c>
      <c r="AH2516" s="10">
        <f>LEN(AC2516)+LEN(AG2516)</f>
        <v/>
      </c>
      <c r="AI2516" s="10">
        <f>LEN(L2516)</f>
        <v/>
      </c>
    </row>
    <row r="2517">
      <c r="J2517" s="12">
        <f>IF(F2517&lt;&gt;0,"LANÇAR","")</f>
        <v/>
      </c>
      <c r="L2517" s="13">
        <f>N2517&amp;O2517&amp;P2517&amp;Q2517&amp;R2517&amp;S2517&amp;T2517&amp;U2517&amp;V2517&amp;W2517&amp;X2517&amp;Y2517&amp;Z2517&amp;AA2517&amp;AB2517&amp;AC2517&amp;AD2517&amp;AE2517&amp;AF2517&amp;AG2517</f>
        <v/>
      </c>
      <c r="N2517" s="10">
        <f>TEXT($B$6,"00")</f>
        <v/>
      </c>
      <c r="O2517" s="10">
        <f>REPT(" ",8)</f>
        <v/>
      </c>
      <c r="P2517" s="10">
        <f>RIGHT($B$4,2)</f>
        <v/>
      </c>
      <c r="Q2517" s="10">
        <f>RIGHT($B$5,3)</f>
        <v/>
      </c>
      <c r="R2517" s="10">
        <f>IF(A2517="D",LEFT(UPPER(B2517)&amp;REPT(" ",20),20),REPT(" ",20))</f>
        <v/>
      </c>
      <c r="S2517" s="10">
        <f>IF(A2517="D",LEFT(UPPER(C2517)&amp;REPT(" ",10),10)," ")</f>
        <v/>
      </c>
      <c r="T2517" s="10">
        <f>IF(A2517="D",LEFT(UPPER(D2517)&amp;REPT(" ",2),2)," ")</f>
        <v/>
      </c>
      <c r="U2517" s="10">
        <f>IF(A2517="D",LEFT(UPPER(E2517)&amp;REPT(" ",15),15)," ")</f>
        <v/>
      </c>
      <c r="V2517" s="10">
        <f>REPT(" ",24)</f>
        <v/>
      </c>
      <c r="W2517" s="10">
        <f>IF(A2517="c",LEFT(UPPER(B2517)&amp;REPT(" ",20),20),REPT(" ",20))</f>
        <v/>
      </c>
      <c r="X2517" s="10">
        <f>IF(A2517="C",LEFT(UPPER(C2517)&amp;REPT(" ",10),10)," ")</f>
        <v/>
      </c>
      <c r="Y2517" s="10">
        <f>IF(A2517="C",LEFT(UPPER(D2517)&amp;REPT(" ",2),2)," ")</f>
        <v/>
      </c>
      <c r="Z2517" s="10">
        <f>IF(A2517="C",LEFT(UPPER(E2517)&amp;REPT(" ",15),15)," ")</f>
        <v/>
      </c>
      <c r="AA2517" s="10">
        <f>REPT(" ",8)</f>
        <v/>
      </c>
      <c r="AB2517" s="10">
        <f>REPT(" ",4)</f>
        <v/>
      </c>
      <c r="AC2517" s="10">
        <f>LEFT(UPPER(H2517)&amp;REPT(" ",250),250)</f>
        <v/>
      </c>
      <c r="AD2517" s="10">
        <f>TEXT($G$2,"dd/mm/aaaa")</f>
        <v/>
      </c>
      <c r="AE2517" s="10">
        <f>REPT(" ",10)</f>
        <v/>
      </c>
      <c r="AF2517" s="10">
        <f>REPT(" ",20)</f>
        <v/>
      </c>
      <c r="AG2517" s="54">
        <f>REPT(" ",18-LEN(FIXED(F2517,2,TRUE)))&amp;FIXED(F2517,2,TRUE)</f>
        <v/>
      </c>
      <c r="AH2517" s="10">
        <f>LEN(AC2517)+LEN(AG2517)</f>
        <v/>
      </c>
      <c r="AI2517" s="10">
        <f>LEN(L2517)</f>
        <v/>
      </c>
    </row>
    <row r="2518">
      <c r="J2518" s="12">
        <f>IF(F2518&lt;&gt;0,"LANÇAR","")</f>
        <v/>
      </c>
      <c r="L2518" s="13">
        <f>N2518&amp;O2518&amp;P2518&amp;Q2518&amp;R2518&amp;S2518&amp;T2518&amp;U2518&amp;V2518&amp;W2518&amp;X2518&amp;Y2518&amp;Z2518&amp;AA2518&amp;AB2518&amp;AC2518&amp;AD2518&amp;AE2518&amp;AF2518&amp;AG2518</f>
        <v/>
      </c>
      <c r="N2518" s="10">
        <f>TEXT($B$6,"00")</f>
        <v/>
      </c>
      <c r="O2518" s="10">
        <f>REPT(" ",8)</f>
        <v/>
      </c>
      <c r="P2518" s="10">
        <f>RIGHT($B$4,2)</f>
        <v/>
      </c>
      <c r="Q2518" s="10">
        <f>RIGHT($B$5,3)</f>
        <v/>
      </c>
      <c r="R2518" s="10">
        <f>IF(A2518="D",LEFT(UPPER(B2518)&amp;REPT(" ",20),20),REPT(" ",20))</f>
        <v/>
      </c>
      <c r="S2518" s="10">
        <f>IF(A2518="D",LEFT(UPPER(C2518)&amp;REPT(" ",10),10)," ")</f>
        <v/>
      </c>
      <c r="T2518" s="10">
        <f>IF(A2518="D",LEFT(UPPER(D2518)&amp;REPT(" ",2),2)," ")</f>
        <v/>
      </c>
      <c r="U2518" s="10">
        <f>IF(A2518="D",LEFT(UPPER(E2518)&amp;REPT(" ",15),15)," ")</f>
        <v/>
      </c>
      <c r="V2518" s="10">
        <f>REPT(" ",24)</f>
        <v/>
      </c>
      <c r="W2518" s="10">
        <f>IF(A2518="c",LEFT(UPPER(B2518)&amp;REPT(" ",20),20),REPT(" ",20))</f>
        <v/>
      </c>
      <c r="X2518" s="10">
        <f>IF(A2518="C",LEFT(UPPER(C2518)&amp;REPT(" ",10),10)," ")</f>
        <v/>
      </c>
      <c r="Y2518" s="10">
        <f>IF(A2518="C",LEFT(UPPER(D2518)&amp;REPT(" ",2),2)," ")</f>
        <v/>
      </c>
      <c r="Z2518" s="10">
        <f>IF(A2518="C",LEFT(UPPER(E2518)&amp;REPT(" ",15),15)," ")</f>
        <v/>
      </c>
      <c r="AA2518" s="10">
        <f>REPT(" ",8)</f>
        <v/>
      </c>
      <c r="AB2518" s="10">
        <f>REPT(" ",4)</f>
        <v/>
      </c>
      <c r="AC2518" s="10">
        <f>LEFT(UPPER(H2518)&amp;REPT(" ",250),250)</f>
        <v/>
      </c>
      <c r="AD2518" s="10">
        <f>TEXT($G$2,"dd/mm/aaaa")</f>
        <v/>
      </c>
      <c r="AE2518" s="10">
        <f>REPT(" ",10)</f>
        <v/>
      </c>
      <c r="AF2518" s="10">
        <f>REPT(" ",20)</f>
        <v/>
      </c>
      <c r="AG2518" s="54">
        <f>REPT(" ",18-LEN(FIXED(F2518,2,TRUE)))&amp;FIXED(F2518,2,TRUE)</f>
        <v/>
      </c>
      <c r="AH2518" s="10">
        <f>LEN(AC2518)+LEN(AG2518)</f>
        <v/>
      </c>
      <c r="AI2518" s="10">
        <f>LEN(L2518)</f>
        <v/>
      </c>
    </row>
    <row r="2519">
      <c r="J2519" s="12">
        <f>IF(F2519&lt;&gt;0,"LANÇAR","")</f>
        <v/>
      </c>
      <c r="L2519" s="13">
        <f>N2519&amp;O2519&amp;P2519&amp;Q2519&amp;R2519&amp;S2519&amp;T2519&amp;U2519&amp;V2519&amp;W2519&amp;X2519&amp;Y2519&amp;Z2519&amp;AA2519&amp;AB2519&amp;AC2519&amp;AD2519&amp;AE2519&amp;AF2519&amp;AG2519</f>
        <v/>
      </c>
      <c r="N2519" s="10">
        <f>TEXT($B$6,"00")</f>
        <v/>
      </c>
      <c r="O2519" s="10">
        <f>REPT(" ",8)</f>
        <v/>
      </c>
      <c r="P2519" s="10">
        <f>RIGHT($B$4,2)</f>
        <v/>
      </c>
      <c r="Q2519" s="10">
        <f>RIGHT($B$5,3)</f>
        <v/>
      </c>
      <c r="R2519" s="10">
        <f>IF(A2519="D",LEFT(UPPER(B2519)&amp;REPT(" ",20),20),REPT(" ",20))</f>
        <v/>
      </c>
      <c r="S2519" s="10">
        <f>IF(A2519="D",LEFT(UPPER(C2519)&amp;REPT(" ",10),10)," ")</f>
        <v/>
      </c>
      <c r="T2519" s="10">
        <f>IF(A2519="D",LEFT(UPPER(D2519)&amp;REPT(" ",2),2)," ")</f>
        <v/>
      </c>
      <c r="U2519" s="10">
        <f>IF(A2519="D",LEFT(UPPER(E2519)&amp;REPT(" ",15),15)," ")</f>
        <v/>
      </c>
      <c r="V2519" s="10">
        <f>REPT(" ",24)</f>
        <v/>
      </c>
      <c r="W2519" s="10">
        <f>IF(A2519="c",LEFT(UPPER(B2519)&amp;REPT(" ",20),20),REPT(" ",20))</f>
        <v/>
      </c>
      <c r="X2519" s="10">
        <f>IF(A2519="C",LEFT(UPPER(C2519)&amp;REPT(" ",10),10)," ")</f>
        <v/>
      </c>
      <c r="Y2519" s="10">
        <f>IF(A2519="C",LEFT(UPPER(D2519)&amp;REPT(" ",2),2)," ")</f>
        <v/>
      </c>
      <c r="Z2519" s="10">
        <f>IF(A2519="C",LEFT(UPPER(E2519)&amp;REPT(" ",15),15)," ")</f>
        <v/>
      </c>
      <c r="AA2519" s="10">
        <f>REPT(" ",8)</f>
        <v/>
      </c>
      <c r="AB2519" s="10">
        <f>REPT(" ",4)</f>
        <v/>
      </c>
      <c r="AC2519" s="10">
        <f>LEFT(UPPER(H2519)&amp;REPT(" ",250),250)</f>
        <v/>
      </c>
      <c r="AD2519" s="10">
        <f>TEXT($G$2,"dd/mm/aaaa")</f>
        <v/>
      </c>
      <c r="AE2519" s="10">
        <f>REPT(" ",10)</f>
        <v/>
      </c>
      <c r="AF2519" s="10">
        <f>REPT(" ",20)</f>
        <v/>
      </c>
      <c r="AG2519" s="54">
        <f>REPT(" ",18-LEN(FIXED(F2519,2,TRUE)))&amp;FIXED(F2519,2,TRUE)</f>
        <v/>
      </c>
      <c r="AH2519" s="10">
        <f>LEN(AC2519)+LEN(AG2519)</f>
        <v/>
      </c>
      <c r="AI2519" s="10">
        <f>LEN(L2519)</f>
        <v/>
      </c>
    </row>
    <row r="2520">
      <c r="J2520" s="12">
        <f>IF(F2520&lt;&gt;0,"LANÇAR","")</f>
        <v/>
      </c>
      <c r="L2520" s="13">
        <f>N2520&amp;O2520&amp;P2520&amp;Q2520&amp;R2520&amp;S2520&amp;T2520&amp;U2520&amp;V2520&amp;W2520&amp;X2520&amp;Y2520&amp;Z2520&amp;AA2520&amp;AB2520&amp;AC2520&amp;AD2520&amp;AE2520&amp;AF2520&amp;AG2520</f>
        <v/>
      </c>
      <c r="N2520" s="10">
        <f>TEXT($B$6,"00")</f>
        <v/>
      </c>
      <c r="O2520" s="10">
        <f>REPT(" ",8)</f>
        <v/>
      </c>
      <c r="P2520" s="10">
        <f>RIGHT($B$4,2)</f>
        <v/>
      </c>
      <c r="Q2520" s="10">
        <f>RIGHT($B$5,3)</f>
        <v/>
      </c>
      <c r="R2520" s="10">
        <f>IF(A2520="D",LEFT(UPPER(B2520)&amp;REPT(" ",20),20),REPT(" ",20))</f>
        <v/>
      </c>
      <c r="S2520" s="10">
        <f>IF(A2520="D",LEFT(UPPER(C2520)&amp;REPT(" ",10),10)," ")</f>
        <v/>
      </c>
      <c r="T2520" s="10">
        <f>IF(A2520="D",LEFT(UPPER(D2520)&amp;REPT(" ",2),2)," ")</f>
        <v/>
      </c>
      <c r="U2520" s="10">
        <f>IF(A2520="D",LEFT(UPPER(E2520)&amp;REPT(" ",15),15)," ")</f>
        <v/>
      </c>
      <c r="V2520" s="10">
        <f>REPT(" ",24)</f>
        <v/>
      </c>
      <c r="W2520" s="10">
        <f>IF(A2520="c",LEFT(UPPER(B2520)&amp;REPT(" ",20),20),REPT(" ",20))</f>
        <v/>
      </c>
      <c r="X2520" s="10">
        <f>IF(A2520="C",LEFT(UPPER(C2520)&amp;REPT(" ",10),10)," ")</f>
        <v/>
      </c>
      <c r="Y2520" s="10">
        <f>IF(A2520="C",LEFT(UPPER(D2520)&amp;REPT(" ",2),2)," ")</f>
        <v/>
      </c>
      <c r="Z2520" s="10">
        <f>IF(A2520="C",LEFT(UPPER(E2520)&amp;REPT(" ",15),15)," ")</f>
        <v/>
      </c>
      <c r="AA2520" s="10">
        <f>REPT(" ",8)</f>
        <v/>
      </c>
      <c r="AB2520" s="10">
        <f>REPT(" ",4)</f>
        <v/>
      </c>
      <c r="AC2520" s="10">
        <f>LEFT(UPPER(H2520)&amp;REPT(" ",250),250)</f>
        <v/>
      </c>
      <c r="AD2520" s="10">
        <f>TEXT($G$2,"dd/mm/aaaa")</f>
        <v/>
      </c>
      <c r="AE2520" s="10">
        <f>REPT(" ",10)</f>
        <v/>
      </c>
      <c r="AF2520" s="10">
        <f>REPT(" ",20)</f>
        <v/>
      </c>
      <c r="AG2520" s="54">
        <f>REPT(" ",18-LEN(FIXED(F2520,2,TRUE)))&amp;FIXED(F2520,2,TRUE)</f>
        <v/>
      </c>
      <c r="AH2520" s="10">
        <f>LEN(AC2520)+LEN(AG2520)</f>
        <v/>
      </c>
      <c r="AI2520" s="10">
        <f>LEN(L2520)</f>
        <v/>
      </c>
    </row>
    <row r="2521">
      <c r="J2521" s="12">
        <f>IF(F2521&lt;&gt;0,"LANÇAR","")</f>
        <v/>
      </c>
      <c r="L2521" s="13">
        <f>N2521&amp;O2521&amp;P2521&amp;Q2521&amp;R2521&amp;S2521&amp;T2521&amp;U2521&amp;V2521&amp;W2521&amp;X2521&amp;Y2521&amp;Z2521&amp;AA2521&amp;AB2521&amp;AC2521&amp;AD2521&amp;AE2521&amp;AF2521&amp;AG2521</f>
        <v/>
      </c>
      <c r="N2521" s="10">
        <f>TEXT($B$6,"00")</f>
        <v/>
      </c>
      <c r="O2521" s="10">
        <f>REPT(" ",8)</f>
        <v/>
      </c>
      <c r="P2521" s="10">
        <f>RIGHT($B$4,2)</f>
        <v/>
      </c>
      <c r="Q2521" s="10">
        <f>RIGHT($B$5,3)</f>
        <v/>
      </c>
      <c r="R2521" s="10">
        <f>IF(A2521="D",LEFT(UPPER(B2521)&amp;REPT(" ",20),20),REPT(" ",20))</f>
        <v/>
      </c>
      <c r="S2521" s="10">
        <f>IF(A2521="D",LEFT(UPPER(C2521)&amp;REPT(" ",10),10)," ")</f>
        <v/>
      </c>
      <c r="T2521" s="10">
        <f>IF(A2521="D",LEFT(UPPER(D2521)&amp;REPT(" ",2),2)," ")</f>
        <v/>
      </c>
      <c r="U2521" s="10">
        <f>IF(A2521="D",LEFT(UPPER(E2521)&amp;REPT(" ",15),15)," ")</f>
        <v/>
      </c>
      <c r="V2521" s="10">
        <f>REPT(" ",24)</f>
        <v/>
      </c>
      <c r="W2521" s="10">
        <f>IF(A2521="c",LEFT(UPPER(B2521)&amp;REPT(" ",20),20),REPT(" ",20))</f>
        <v/>
      </c>
      <c r="X2521" s="10">
        <f>IF(A2521="C",LEFT(UPPER(C2521)&amp;REPT(" ",10),10)," ")</f>
        <v/>
      </c>
      <c r="Y2521" s="10">
        <f>IF(A2521="C",LEFT(UPPER(D2521)&amp;REPT(" ",2),2)," ")</f>
        <v/>
      </c>
      <c r="Z2521" s="10">
        <f>IF(A2521="C",LEFT(UPPER(E2521)&amp;REPT(" ",15),15)," ")</f>
        <v/>
      </c>
      <c r="AA2521" s="10">
        <f>REPT(" ",8)</f>
        <v/>
      </c>
      <c r="AB2521" s="10">
        <f>REPT(" ",4)</f>
        <v/>
      </c>
      <c r="AC2521" s="10">
        <f>LEFT(UPPER(H2521)&amp;REPT(" ",250),250)</f>
        <v/>
      </c>
      <c r="AD2521" s="10">
        <f>TEXT($G$2,"dd/mm/aaaa")</f>
        <v/>
      </c>
      <c r="AE2521" s="10">
        <f>REPT(" ",10)</f>
        <v/>
      </c>
      <c r="AF2521" s="10">
        <f>REPT(" ",20)</f>
        <v/>
      </c>
      <c r="AG2521" s="54">
        <f>REPT(" ",18-LEN(FIXED(F2521,2,TRUE)))&amp;FIXED(F2521,2,TRUE)</f>
        <v/>
      </c>
      <c r="AH2521" s="10">
        <f>LEN(AC2521)+LEN(AG2521)</f>
        <v/>
      </c>
      <c r="AI2521" s="10">
        <f>LEN(L2521)</f>
        <v/>
      </c>
    </row>
    <row r="2522">
      <c r="J2522" s="12">
        <f>IF(F2522&lt;&gt;0,"LANÇAR","")</f>
        <v/>
      </c>
      <c r="L2522" s="13">
        <f>N2522&amp;O2522&amp;P2522&amp;Q2522&amp;R2522&amp;S2522&amp;T2522&amp;U2522&amp;V2522&amp;W2522&amp;X2522&amp;Y2522&amp;Z2522&amp;AA2522&amp;AB2522&amp;AC2522&amp;AD2522&amp;AE2522&amp;AF2522&amp;AG2522</f>
        <v/>
      </c>
      <c r="N2522" s="10">
        <f>TEXT($B$6,"00")</f>
        <v/>
      </c>
      <c r="O2522" s="10">
        <f>REPT(" ",8)</f>
        <v/>
      </c>
      <c r="P2522" s="10">
        <f>RIGHT($B$4,2)</f>
        <v/>
      </c>
      <c r="Q2522" s="10">
        <f>RIGHT($B$5,3)</f>
        <v/>
      </c>
      <c r="R2522" s="10">
        <f>IF(A2522="D",LEFT(UPPER(B2522)&amp;REPT(" ",20),20),REPT(" ",20))</f>
        <v/>
      </c>
      <c r="S2522" s="10">
        <f>IF(A2522="D",LEFT(UPPER(C2522)&amp;REPT(" ",10),10)," ")</f>
        <v/>
      </c>
      <c r="T2522" s="10">
        <f>IF(A2522="D",LEFT(UPPER(D2522)&amp;REPT(" ",2),2)," ")</f>
        <v/>
      </c>
      <c r="U2522" s="10">
        <f>IF(A2522="D",LEFT(UPPER(E2522)&amp;REPT(" ",15),15)," ")</f>
        <v/>
      </c>
      <c r="V2522" s="10">
        <f>REPT(" ",24)</f>
        <v/>
      </c>
      <c r="W2522" s="10">
        <f>IF(A2522="c",LEFT(UPPER(B2522)&amp;REPT(" ",20),20),REPT(" ",20))</f>
        <v/>
      </c>
      <c r="X2522" s="10">
        <f>IF(A2522="C",LEFT(UPPER(C2522)&amp;REPT(" ",10),10)," ")</f>
        <v/>
      </c>
      <c r="Y2522" s="10">
        <f>IF(A2522="C",LEFT(UPPER(D2522)&amp;REPT(" ",2),2)," ")</f>
        <v/>
      </c>
      <c r="Z2522" s="10">
        <f>IF(A2522="C",LEFT(UPPER(E2522)&amp;REPT(" ",15),15)," ")</f>
        <v/>
      </c>
      <c r="AA2522" s="10">
        <f>REPT(" ",8)</f>
        <v/>
      </c>
      <c r="AB2522" s="10">
        <f>REPT(" ",4)</f>
        <v/>
      </c>
      <c r="AC2522" s="10">
        <f>LEFT(UPPER(H2522)&amp;REPT(" ",250),250)</f>
        <v/>
      </c>
      <c r="AD2522" s="10">
        <f>TEXT($G$2,"dd/mm/aaaa")</f>
        <v/>
      </c>
      <c r="AE2522" s="10">
        <f>REPT(" ",10)</f>
        <v/>
      </c>
      <c r="AF2522" s="10">
        <f>REPT(" ",20)</f>
        <v/>
      </c>
      <c r="AG2522" s="54">
        <f>REPT(" ",18-LEN(FIXED(F2522,2,TRUE)))&amp;FIXED(F2522,2,TRUE)</f>
        <v/>
      </c>
      <c r="AH2522" s="10">
        <f>LEN(AC2522)+LEN(AG2522)</f>
        <v/>
      </c>
      <c r="AI2522" s="10">
        <f>LEN(L2522)</f>
        <v/>
      </c>
    </row>
    <row r="2523">
      <c r="J2523" s="12">
        <f>IF(F2523&lt;&gt;0,"LANÇAR","")</f>
        <v/>
      </c>
      <c r="L2523" s="13">
        <f>N2523&amp;O2523&amp;P2523&amp;Q2523&amp;R2523&amp;S2523&amp;T2523&amp;U2523&amp;V2523&amp;W2523&amp;X2523&amp;Y2523&amp;Z2523&amp;AA2523&amp;AB2523&amp;AC2523&amp;AD2523&amp;AE2523&amp;AF2523&amp;AG2523</f>
        <v/>
      </c>
      <c r="N2523" s="10">
        <f>TEXT($B$6,"00")</f>
        <v/>
      </c>
      <c r="O2523" s="10">
        <f>REPT(" ",8)</f>
        <v/>
      </c>
      <c r="P2523" s="10">
        <f>RIGHT($B$4,2)</f>
        <v/>
      </c>
      <c r="Q2523" s="10">
        <f>RIGHT($B$5,3)</f>
        <v/>
      </c>
      <c r="R2523" s="10">
        <f>IF(A2523="D",LEFT(UPPER(B2523)&amp;REPT(" ",20),20),REPT(" ",20))</f>
        <v/>
      </c>
      <c r="S2523" s="10">
        <f>IF(A2523="D",LEFT(UPPER(C2523)&amp;REPT(" ",10),10)," ")</f>
        <v/>
      </c>
      <c r="T2523" s="10">
        <f>IF(A2523="D",LEFT(UPPER(D2523)&amp;REPT(" ",2),2)," ")</f>
        <v/>
      </c>
      <c r="U2523" s="10">
        <f>IF(A2523="D",LEFT(UPPER(E2523)&amp;REPT(" ",15),15)," ")</f>
        <v/>
      </c>
      <c r="V2523" s="10">
        <f>REPT(" ",24)</f>
        <v/>
      </c>
      <c r="W2523" s="10">
        <f>IF(A2523="c",LEFT(UPPER(B2523)&amp;REPT(" ",20),20),REPT(" ",20))</f>
        <v/>
      </c>
      <c r="X2523" s="10">
        <f>IF(A2523="C",LEFT(UPPER(C2523)&amp;REPT(" ",10),10)," ")</f>
        <v/>
      </c>
      <c r="Y2523" s="10">
        <f>IF(A2523="C",LEFT(UPPER(D2523)&amp;REPT(" ",2),2)," ")</f>
        <v/>
      </c>
      <c r="Z2523" s="10">
        <f>IF(A2523="C",LEFT(UPPER(E2523)&amp;REPT(" ",15),15)," ")</f>
        <v/>
      </c>
      <c r="AA2523" s="10">
        <f>REPT(" ",8)</f>
        <v/>
      </c>
      <c r="AB2523" s="10">
        <f>REPT(" ",4)</f>
        <v/>
      </c>
      <c r="AC2523" s="10">
        <f>LEFT(UPPER(H2523)&amp;REPT(" ",250),250)</f>
        <v/>
      </c>
      <c r="AD2523" s="10">
        <f>TEXT($G$2,"dd/mm/aaaa")</f>
        <v/>
      </c>
      <c r="AE2523" s="10">
        <f>REPT(" ",10)</f>
        <v/>
      </c>
      <c r="AF2523" s="10">
        <f>REPT(" ",20)</f>
        <v/>
      </c>
      <c r="AG2523" s="54">
        <f>REPT(" ",18-LEN(FIXED(F2523,2,TRUE)))&amp;FIXED(F2523,2,TRUE)</f>
        <v/>
      </c>
      <c r="AH2523" s="10">
        <f>LEN(AC2523)+LEN(AG2523)</f>
        <v/>
      </c>
      <c r="AI2523" s="10">
        <f>LEN(L2523)</f>
        <v/>
      </c>
    </row>
    <row r="2524">
      <c r="J2524" s="12">
        <f>IF(F2524&lt;&gt;0,"LANÇAR","")</f>
        <v/>
      </c>
      <c r="L2524" s="13">
        <f>N2524&amp;O2524&amp;P2524&amp;Q2524&amp;R2524&amp;S2524&amp;T2524&amp;U2524&amp;V2524&amp;W2524&amp;X2524&amp;Y2524&amp;Z2524&amp;AA2524&amp;AB2524&amp;AC2524&amp;AD2524&amp;AE2524&amp;AF2524&amp;AG2524</f>
        <v/>
      </c>
      <c r="N2524" s="10">
        <f>TEXT($B$6,"00")</f>
        <v/>
      </c>
      <c r="O2524" s="10">
        <f>REPT(" ",8)</f>
        <v/>
      </c>
      <c r="P2524" s="10">
        <f>RIGHT($B$4,2)</f>
        <v/>
      </c>
      <c r="Q2524" s="10">
        <f>RIGHT($B$5,3)</f>
        <v/>
      </c>
      <c r="R2524" s="10">
        <f>IF(A2524="D",LEFT(UPPER(B2524)&amp;REPT(" ",20),20),REPT(" ",20))</f>
        <v/>
      </c>
      <c r="S2524" s="10">
        <f>IF(A2524="D",LEFT(UPPER(C2524)&amp;REPT(" ",10),10)," ")</f>
        <v/>
      </c>
      <c r="T2524" s="10">
        <f>IF(A2524="D",LEFT(UPPER(D2524)&amp;REPT(" ",2),2)," ")</f>
        <v/>
      </c>
      <c r="U2524" s="10">
        <f>IF(A2524="D",LEFT(UPPER(E2524)&amp;REPT(" ",15),15)," ")</f>
        <v/>
      </c>
      <c r="V2524" s="10">
        <f>REPT(" ",24)</f>
        <v/>
      </c>
      <c r="W2524" s="10">
        <f>IF(A2524="c",LEFT(UPPER(B2524)&amp;REPT(" ",20),20),REPT(" ",20))</f>
        <v/>
      </c>
      <c r="X2524" s="10">
        <f>IF(A2524="C",LEFT(UPPER(C2524)&amp;REPT(" ",10),10)," ")</f>
        <v/>
      </c>
      <c r="Y2524" s="10">
        <f>IF(A2524="C",LEFT(UPPER(D2524)&amp;REPT(" ",2),2)," ")</f>
        <v/>
      </c>
      <c r="Z2524" s="10">
        <f>IF(A2524="C",LEFT(UPPER(E2524)&amp;REPT(" ",15),15)," ")</f>
        <v/>
      </c>
      <c r="AA2524" s="10">
        <f>REPT(" ",8)</f>
        <v/>
      </c>
      <c r="AB2524" s="10">
        <f>REPT(" ",4)</f>
        <v/>
      </c>
      <c r="AC2524" s="10">
        <f>LEFT(UPPER(H2524)&amp;REPT(" ",250),250)</f>
        <v/>
      </c>
      <c r="AD2524" s="10">
        <f>TEXT($G$2,"dd/mm/aaaa")</f>
        <v/>
      </c>
      <c r="AE2524" s="10">
        <f>REPT(" ",10)</f>
        <v/>
      </c>
      <c r="AF2524" s="10">
        <f>REPT(" ",20)</f>
        <v/>
      </c>
      <c r="AG2524" s="54">
        <f>REPT(" ",18-LEN(FIXED(F2524,2,TRUE)))&amp;FIXED(F2524,2,TRUE)</f>
        <v/>
      </c>
      <c r="AH2524" s="10">
        <f>LEN(AC2524)+LEN(AG2524)</f>
        <v/>
      </c>
      <c r="AI2524" s="10">
        <f>LEN(L2524)</f>
        <v/>
      </c>
    </row>
    <row r="2525">
      <c r="J2525" s="12">
        <f>IF(F2525&lt;&gt;0,"LANÇAR","")</f>
        <v/>
      </c>
      <c r="L2525" s="13">
        <f>N2525&amp;O2525&amp;P2525&amp;Q2525&amp;R2525&amp;S2525&amp;T2525&amp;U2525&amp;V2525&amp;W2525&amp;X2525&amp;Y2525&amp;Z2525&amp;AA2525&amp;AB2525&amp;AC2525&amp;AD2525&amp;AE2525&amp;AF2525&amp;AG2525</f>
        <v/>
      </c>
      <c r="N2525" s="10">
        <f>TEXT($B$6,"00")</f>
        <v/>
      </c>
      <c r="O2525" s="10">
        <f>REPT(" ",8)</f>
        <v/>
      </c>
      <c r="P2525" s="10">
        <f>RIGHT($B$4,2)</f>
        <v/>
      </c>
      <c r="Q2525" s="10">
        <f>RIGHT($B$5,3)</f>
        <v/>
      </c>
      <c r="R2525" s="10">
        <f>IF(A2525="D",LEFT(UPPER(B2525)&amp;REPT(" ",20),20),REPT(" ",20))</f>
        <v/>
      </c>
      <c r="S2525" s="10">
        <f>IF(A2525="D",LEFT(UPPER(C2525)&amp;REPT(" ",10),10)," ")</f>
        <v/>
      </c>
      <c r="T2525" s="10">
        <f>IF(A2525="D",LEFT(UPPER(D2525)&amp;REPT(" ",2),2)," ")</f>
        <v/>
      </c>
      <c r="U2525" s="10">
        <f>IF(A2525="D",LEFT(UPPER(E2525)&amp;REPT(" ",15),15)," ")</f>
        <v/>
      </c>
      <c r="V2525" s="10">
        <f>REPT(" ",24)</f>
        <v/>
      </c>
      <c r="W2525" s="10">
        <f>IF(A2525="c",LEFT(UPPER(B2525)&amp;REPT(" ",20),20),REPT(" ",20))</f>
        <v/>
      </c>
      <c r="X2525" s="10">
        <f>IF(A2525="C",LEFT(UPPER(C2525)&amp;REPT(" ",10),10)," ")</f>
        <v/>
      </c>
      <c r="Y2525" s="10">
        <f>IF(A2525="C",LEFT(UPPER(D2525)&amp;REPT(" ",2),2)," ")</f>
        <v/>
      </c>
      <c r="Z2525" s="10">
        <f>IF(A2525="C",LEFT(UPPER(E2525)&amp;REPT(" ",15),15)," ")</f>
        <v/>
      </c>
      <c r="AA2525" s="10">
        <f>REPT(" ",8)</f>
        <v/>
      </c>
      <c r="AB2525" s="10">
        <f>REPT(" ",4)</f>
        <v/>
      </c>
      <c r="AC2525" s="10">
        <f>LEFT(UPPER(H2525)&amp;REPT(" ",250),250)</f>
        <v/>
      </c>
      <c r="AD2525" s="10">
        <f>TEXT($G$2,"dd/mm/aaaa")</f>
        <v/>
      </c>
      <c r="AE2525" s="10">
        <f>REPT(" ",10)</f>
        <v/>
      </c>
      <c r="AF2525" s="10">
        <f>REPT(" ",20)</f>
        <v/>
      </c>
      <c r="AG2525" s="54">
        <f>REPT(" ",18-LEN(FIXED(F2525,2,TRUE)))&amp;FIXED(F2525,2,TRUE)</f>
        <v/>
      </c>
      <c r="AH2525" s="10">
        <f>LEN(AC2525)+LEN(AG2525)</f>
        <v/>
      </c>
      <c r="AI2525" s="10">
        <f>LEN(L2525)</f>
        <v/>
      </c>
    </row>
    <row r="2526">
      <c r="J2526" s="12">
        <f>IF(F2526&lt;&gt;0,"LANÇAR","")</f>
        <v/>
      </c>
      <c r="L2526" s="13">
        <f>N2526&amp;O2526&amp;P2526&amp;Q2526&amp;R2526&amp;S2526&amp;T2526&amp;U2526&amp;V2526&amp;W2526&amp;X2526&amp;Y2526&amp;Z2526&amp;AA2526&amp;AB2526&amp;AC2526&amp;AD2526&amp;AE2526&amp;AF2526&amp;AG2526</f>
        <v/>
      </c>
      <c r="N2526" s="10">
        <f>TEXT($B$6,"00")</f>
        <v/>
      </c>
      <c r="O2526" s="10">
        <f>REPT(" ",8)</f>
        <v/>
      </c>
      <c r="P2526" s="10">
        <f>RIGHT($B$4,2)</f>
        <v/>
      </c>
      <c r="Q2526" s="10">
        <f>RIGHT($B$5,3)</f>
        <v/>
      </c>
      <c r="R2526" s="10">
        <f>IF(A2526="D",LEFT(UPPER(B2526)&amp;REPT(" ",20),20),REPT(" ",20))</f>
        <v/>
      </c>
      <c r="S2526" s="10">
        <f>IF(A2526="D",LEFT(UPPER(C2526)&amp;REPT(" ",10),10)," ")</f>
        <v/>
      </c>
      <c r="T2526" s="10">
        <f>IF(A2526="D",LEFT(UPPER(D2526)&amp;REPT(" ",2),2)," ")</f>
        <v/>
      </c>
      <c r="U2526" s="10">
        <f>IF(A2526="D",LEFT(UPPER(E2526)&amp;REPT(" ",15),15)," ")</f>
        <v/>
      </c>
      <c r="V2526" s="10">
        <f>REPT(" ",24)</f>
        <v/>
      </c>
      <c r="W2526" s="10">
        <f>IF(A2526="c",LEFT(UPPER(B2526)&amp;REPT(" ",20),20),REPT(" ",20))</f>
        <v/>
      </c>
      <c r="X2526" s="10">
        <f>IF(A2526="C",LEFT(UPPER(C2526)&amp;REPT(" ",10),10)," ")</f>
        <v/>
      </c>
      <c r="Y2526" s="10">
        <f>IF(A2526="C",LEFT(UPPER(D2526)&amp;REPT(" ",2),2)," ")</f>
        <v/>
      </c>
      <c r="Z2526" s="10">
        <f>IF(A2526="C",LEFT(UPPER(E2526)&amp;REPT(" ",15),15)," ")</f>
        <v/>
      </c>
      <c r="AA2526" s="10">
        <f>REPT(" ",8)</f>
        <v/>
      </c>
      <c r="AB2526" s="10">
        <f>REPT(" ",4)</f>
        <v/>
      </c>
      <c r="AC2526" s="10">
        <f>LEFT(UPPER(H2526)&amp;REPT(" ",250),250)</f>
        <v/>
      </c>
      <c r="AD2526" s="10">
        <f>TEXT($G$2,"dd/mm/aaaa")</f>
        <v/>
      </c>
      <c r="AE2526" s="10">
        <f>REPT(" ",10)</f>
        <v/>
      </c>
      <c r="AF2526" s="10">
        <f>REPT(" ",20)</f>
        <v/>
      </c>
      <c r="AG2526" s="54">
        <f>REPT(" ",18-LEN(FIXED(F2526,2,TRUE)))&amp;FIXED(F2526,2,TRUE)</f>
        <v/>
      </c>
      <c r="AH2526" s="10">
        <f>LEN(AC2526)+LEN(AG2526)</f>
        <v/>
      </c>
      <c r="AI2526" s="10">
        <f>LEN(L2526)</f>
        <v/>
      </c>
    </row>
    <row r="2527">
      <c r="J2527" s="12">
        <f>IF(F2527&lt;&gt;0,"LANÇAR","")</f>
        <v/>
      </c>
      <c r="L2527" s="13">
        <f>N2527&amp;O2527&amp;P2527&amp;Q2527&amp;R2527&amp;S2527&amp;T2527&amp;U2527&amp;V2527&amp;W2527&amp;X2527&amp;Y2527&amp;Z2527&amp;AA2527&amp;AB2527&amp;AC2527&amp;AD2527&amp;AE2527&amp;AF2527&amp;AG2527</f>
        <v/>
      </c>
      <c r="N2527" s="10">
        <f>TEXT($B$6,"00")</f>
        <v/>
      </c>
      <c r="O2527" s="10">
        <f>REPT(" ",8)</f>
        <v/>
      </c>
      <c r="P2527" s="10">
        <f>RIGHT($B$4,2)</f>
        <v/>
      </c>
      <c r="Q2527" s="10">
        <f>RIGHT($B$5,3)</f>
        <v/>
      </c>
      <c r="R2527" s="10">
        <f>IF(A2527="D",LEFT(UPPER(B2527)&amp;REPT(" ",20),20),REPT(" ",20))</f>
        <v/>
      </c>
      <c r="S2527" s="10">
        <f>IF(A2527="D",LEFT(UPPER(C2527)&amp;REPT(" ",10),10)," ")</f>
        <v/>
      </c>
      <c r="T2527" s="10">
        <f>IF(A2527="D",LEFT(UPPER(D2527)&amp;REPT(" ",2),2)," ")</f>
        <v/>
      </c>
      <c r="U2527" s="10">
        <f>IF(A2527="D",LEFT(UPPER(E2527)&amp;REPT(" ",15),15)," ")</f>
        <v/>
      </c>
      <c r="V2527" s="10">
        <f>REPT(" ",24)</f>
        <v/>
      </c>
      <c r="W2527" s="10">
        <f>IF(A2527="c",LEFT(UPPER(B2527)&amp;REPT(" ",20),20),REPT(" ",20))</f>
        <v/>
      </c>
      <c r="X2527" s="10">
        <f>IF(A2527="C",LEFT(UPPER(C2527)&amp;REPT(" ",10),10)," ")</f>
        <v/>
      </c>
      <c r="Y2527" s="10">
        <f>IF(A2527="C",LEFT(UPPER(D2527)&amp;REPT(" ",2),2)," ")</f>
        <v/>
      </c>
      <c r="Z2527" s="10">
        <f>IF(A2527="C",LEFT(UPPER(E2527)&amp;REPT(" ",15),15)," ")</f>
        <v/>
      </c>
      <c r="AA2527" s="10">
        <f>REPT(" ",8)</f>
        <v/>
      </c>
      <c r="AB2527" s="10">
        <f>REPT(" ",4)</f>
        <v/>
      </c>
      <c r="AC2527" s="10">
        <f>LEFT(UPPER(H2527)&amp;REPT(" ",250),250)</f>
        <v/>
      </c>
      <c r="AD2527" s="10">
        <f>TEXT($G$2,"dd/mm/aaaa")</f>
        <v/>
      </c>
      <c r="AE2527" s="10">
        <f>REPT(" ",10)</f>
        <v/>
      </c>
      <c r="AF2527" s="10">
        <f>REPT(" ",20)</f>
        <v/>
      </c>
      <c r="AG2527" s="54">
        <f>REPT(" ",18-LEN(FIXED(F2527,2,TRUE)))&amp;FIXED(F2527,2,TRUE)</f>
        <v/>
      </c>
      <c r="AH2527" s="10">
        <f>LEN(AC2527)+LEN(AG2527)</f>
        <v/>
      </c>
      <c r="AI2527" s="10">
        <f>LEN(L2527)</f>
        <v/>
      </c>
    </row>
    <row r="2528">
      <c r="J2528" s="12">
        <f>IF(F2528&lt;&gt;0,"LANÇAR","")</f>
        <v/>
      </c>
      <c r="L2528" s="13">
        <f>N2528&amp;O2528&amp;P2528&amp;Q2528&amp;R2528&amp;S2528&amp;T2528&amp;U2528&amp;V2528&amp;W2528&amp;X2528&amp;Y2528&amp;Z2528&amp;AA2528&amp;AB2528&amp;AC2528&amp;AD2528&amp;AE2528&amp;AF2528&amp;AG2528</f>
        <v/>
      </c>
      <c r="N2528" s="10">
        <f>TEXT($B$6,"00")</f>
        <v/>
      </c>
      <c r="O2528" s="10">
        <f>REPT(" ",8)</f>
        <v/>
      </c>
      <c r="P2528" s="10">
        <f>RIGHT($B$4,2)</f>
        <v/>
      </c>
      <c r="Q2528" s="10">
        <f>RIGHT($B$5,3)</f>
        <v/>
      </c>
      <c r="R2528" s="10">
        <f>IF(A2528="D",LEFT(UPPER(B2528)&amp;REPT(" ",20),20),REPT(" ",20))</f>
        <v/>
      </c>
      <c r="S2528" s="10">
        <f>IF(A2528="D",LEFT(UPPER(C2528)&amp;REPT(" ",10),10)," ")</f>
        <v/>
      </c>
      <c r="T2528" s="10">
        <f>IF(A2528="D",LEFT(UPPER(D2528)&amp;REPT(" ",2),2)," ")</f>
        <v/>
      </c>
      <c r="U2528" s="10">
        <f>IF(A2528="D",LEFT(UPPER(E2528)&amp;REPT(" ",15),15)," ")</f>
        <v/>
      </c>
      <c r="V2528" s="10">
        <f>REPT(" ",24)</f>
        <v/>
      </c>
      <c r="W2528" s="10">
        <f>IF(A2528="c",LEFT(UPPER(B2528)&amp;REPT(" ",20),20),REPT(" ",20))</f>
        <v/>
      </c>
      <c r="X2528" s="10">
        <f>IF(A2528="C",LEFT(UPPER(C2528)&amp;REPT(" ",10),10)," ")</f>
        <v/>
      </c>
      <c r="Y2528" s="10">
        <f>IF(A2528="C",LEFT(UPPER(D2528)&amp;REPT(" ",2),2)," ")</f>
        <v/>
      </c>
      <c r="Z2528" s="10">
        <f>IF(A2528="C",LEFT(UPPER(E2528)&amp;REPT(" ",15),15)," ")</f>
        <v/>
      </c>
      <c r="AA2528" s="10">
        <f>REPT(" ",8)</f>
        <v/>
      </c>
      <c r="AB2528" s="10">
        <f>REPT(" ",4)</f>
        <v/>
      </c>
      <c r="AC2528" s="10">
        <f>LEFT(UPPER(H2528)&amp;REPT(" ",250),250)</f>
        <v/>
      </c>
      <c r="AD2528" s="10">
        <f>TEXT($G$2,"dd/mm/aaaa")</f>
        <v/>
      </c>
      <c r="AE2528" s="10">
        <f>REPT(" ",10)</f>
        <v/>
      </c>
      <c r="AF2528" s="10">
        <f>REPT(" ",20)</f>
        <v/>
      </c>
      <c r="AG2528" s="54">
        <f>REPT(" ",18-LEN(FIXED(F2528,2,TRUE)))&amp;FIXED(F2528,2,TRUE)</f>
        <v/>
      </c>
      <c r="AH2528" s="10">
        <f>LEN(AC2528)+LEN(AG2528)</f>
        <v/>
      </c>
      <c r="AI2528" s="10">
        <f>LEN(L2528)</f>
        <v/>
      </c>
    </row>
    <row r="2529">
      <c r="J2529" s="12">
        <f>IF(F2529&lt;&gt;0,"LANÇAR","")</f>
        <v/>
      </c>
      <c r="L2529" s="13">
        <f>N2529&amp;O2529&amp;P2529&amp;Q2529&amp;R2529&amp;S2529&amp;T2529&amp;U2529&amp;V2529&amp;W2529&amp;X2529&amp;Y2529&amp;Z2529&amp;AA2529&amp;AB2529&amp;AC2529&amp;AD2529&amp;AE2529&amp;AF2529&amp;AG2529</f>
        <v/>
      </c>
      <c r="N2529" s="10">
        <f>TEXT($B$6,"00")</f>
        <v/>
      </c>
      <c r="O2529" s="10">
        <f>REPT(" ",8)</f>
        <v/>
      </c>
      <c r="P2529" s="10">
        <f>RIGHT($B$4,2)</f>
        <v/>
      </c>
      <c r="Q2529" s="10">
        <f>RIGHT($B$5,3)</f>
        <v/>
      </c>
      <c r="R2529" s="10">
        <f>IF(A2529="D",LEFT(UPPER(B2529)&amp;REPT(" ",20),20),REPT(" ",20))</f>
        <v/>
      </c>
      <c r="S2529" s="10">
        <f>IF(A2529="D",LEFT(UPPER(C2529)&amp;REPT(" ",10),10)," ")</f>
        <v/>
      </c>
      <c r="T2529" s="10">
        <f>IF(A2529="D",LEFT(UPPER(D2529)&amp;REPT(" ",2),2)," ")</f>
        <v/>
      </c>
      <c r="U2529" s="10">
        <f>IF(A2529="D",LEFT(UPPER(E2529)&amp;REPT(" ",15),15)," ")</f>
        <v/>
      </c>
      <c r="V2529" s="10">
        <f>REPT(" ",24)</f>
        <v/>
      </c>
      <c r="W2529" s="10">
        <f>IF(A2529="c",LEFT(UPPER(B2529)&amp;REPT(" ",20),20),REPT(" ",20))</f>
        <v/>
      </c>
      <c r="X2529" s="10">
        <f>IF(A2529="C",LEFT(UPPER(C2529)&amp;REPT(" ",10),10)," ")</f>
        <v/>
      </c>
      <c r="Y2529" s="10">
        <f>IF(A2529="C",LEFT(UPPER(D2529)&amp;REPT(" ",2),2)," ")</f>
        <v/>
      </c>
      <c r="Z2529" s="10">
        <f>IF(A2529="C",LEFT(UPPER(E2529)&amp;REPT(" ",15),15)," ")</f>
        <v/>
      </c>
      <c r="AA2529" s="10">
        <f>REPT(" ",8)</f>
        <v/>
      </c>
      <c r="AB2529" s="10">
        <f>REPT(" ",4)</f>
        <v/>
      </c>
      <c r="AC2529" s="10">
        <f>LEFT(UPPER(H2529)&amp;REPT(" ",250),250)</f>
        <v/>
      </c>
      <c r="AD2529" s="10">
        <f>TEXT($G$2,"dd/mm/aaaa")</f>
        <v/>
      </c>
      <c r="AE2529" s="10">
        <f>REPT(" ",10)</f>
        <v/>
      </c>
      <c r="AF2529" s="10">
        <f>REPT(" ",20)</f>
        <v/>
      </c>
      <c r="AG2529" s="54">
        <f>REPT(" ",18-LEN(FIXED(F2529,2,TRUE)))&amp;FIXED(F2529,2,TRUE)</f>
        <v/>
      </c>
      <c r="AH2529" s="10">
        <f>LEN(AC2529)+LEN(AG2529)</f>
        <v/>
      </c>
      <c r="AI2529" s="10">
        <f>LEN(L2529)</f>
        <v/>
      </c>
    </row>
    <row r="2530">
      <c r="J2530" s="12">
        <f>IF(F2530&lt;&gt;0,"LANÇAR","")</f>
        <v/>
      </c>
      <c r="L2530" s="13">
        <f>N2530&amp;O2530&amp;P2530&amp;Q2530&amp;R2530&amp;S2530&amp;T2530&amp;U2530&amp;V2530&amp;W2530&amp;X2530&amp;Y2530&amp;Z2530&amp;AA2530&amp;AB2530&amp;AC2530&amp;AD2530&amp;AE2530&amp;AF2530&amp;AG2530</f>
        <v/>
      </c>
      <c r="N2530" s="10">
        <f>TEXT($B$6,"00")</f>
        <v/>
      </c>
      <c r="O2530" s="10">
        <f>REPT(" ",8)</f>
        <v/>
      </c>
      <c r="P2530" s="10">
        <f>RIGHT($B$4,2)</f>
        <v/>
      </c>
      <c r="Q2530" s="10">
        <f>RIGHT($B$5,3)</f>
        <v/>
      </c>
      <c r="R2530" s="10">
        <f>IF(A2530="D",LEFT(UPPER(B2530)&amp;REPT(" ",20),20),REPT(" ",20))</f>
        <v/>
      </c>
      <c r="S2530" s="10">
        <f>IF(A2530="D",LEFT(UPPER(C2530)&amp;REPT(" ",10),10)," ")</f>
        <v/>
      </c>
      <c r="T2530" s="10">
        <f>IF(A2530="D",LEFT(UPPER(D2530)&amp;REPT(" ",2),2)," ")</f>
        <v/>
      </c>
      <c r="U2530" s="10">
        <f>IF(A2530="D",LEFT(UPPER(E2530)&amp;REPT(" ",15),15)," ")</f>
        <v/>
      </c>
      <c r="V2530" s="10">
        <f>REPT(" ",24)</f>
        <v/>
      </c>
      <c r="W2530" s="10">
        <f>IF(A2530="c",LEFT(UPPER(B2530)&amp;REPT(" ",20),20),REPT(" ",20))</f>
        <v/>
      </c>
      <c r="X2530" s="10">
        <f>IF(A2530="C",LEFT(UPPER(C2530)&amp;REPT(" ",10),10)," ")</f>
        <v/>
      </c>
      <c r="Y2530" s="10">
        <f>IF(A2530="C",LEFT(UPPER(D2530)&amp;REPT(" ",2),2)," ")</f>
        <v/>
      </c>
      <c r="Z2530" s="10">
        <f>IF(A2530="C",LEFT(UPPER(E2530)&amp;REPT(" ",15),15)," ")</f>
        <v/>
      </c>
      <c r="AA2530" s="10">
        <f>REPT(" ",8)</f>
        <v/>
      </c>
      <c r="AB2530" s="10">
        <f>REPT(" ",4)</f>
        <v/>
      </c>
      <c r="AC2530" s="10">
        <f>LEFT(UPPER(H2530)&amp;REPT(" ",250),250)</f>
        <v/>
      </c>
      <c r="AD2530" s="10">
        <f>TEXT($G$2,"dd/mm/aaaa")</f>
        <v/>
      </c>
      <c r="AE2530" s="10">
        <f>REPT(" ",10)</f>
        <v/>
      </c>
      <c r="AF2530" s="10">
        <f>REPT(" ",20)</f>
        <v/>
      </c>
      <c r="AG2530" s="54">
        <f>REPT(" ",18-LEN(FIXED(F2530,2,TRUE)))&amp;FIXED(F2530,2,TRUE)</f>
        <v/>
      </c>
      <c r="AH2530" s="10">
        <f>LEN(AC2530)+LEN(AG2530)</f>
        <v/>
      </c>
      <c r="AI2530" s="10">
        <f>LEN(L2530)</f>
        <v/>
      </c>
    </row>
    <row r="2531">
      <c r="J2531" s="12">
        <f>IF(F2531&lt;&gt;0,"LANÇAR","")</f>
        <v/>
      </c>
      <c r="L2531" s="13">
        <f>N2531&amp;O2531&amp;P2531&amp;Q2531&amp;R2531&amp;S2531&amp;T2531&amp;U2531&amp;V2531&amp;W2531&amp;X2531&amp;Y2531&amp;Z2531&amp;AA2531&amp;AB2531&amp;AC2531&amp;AD2531&amp;AE2531&amp;AF2531&amp;AG2531</f>
        <v/>
      </c>
      <c r="N2531" s="10">
        <f>TEXT($B$6,"00")</f>
        <v/>
      </c>
      <c r="O2531" s="10">
        <f>REPT(" ",8)</f>
        <v/>
      </c>
      <c r="P2531" s="10">
        <f>RIGHT($B$4,2)</f>
        <v/>
      </c>
      <c r="Q2531" s="10">
        <f>RIGHT($B$5,3)</f>
        <v/>
      </c>
      <c r="R2531" s="10">
        <f>IF(A2531="D",LEFT(UPPER(B2531)&amp;REPT(" ",20),20),REPT(" ",20))</f>
        <v/>
      </c>
      <c r="S2531" s="10">
        <f>IF(A2531="D",LEFT(UPPER(C2531)&amp;REPT(" ",10),10)," ")</f>
        <v/>
      </c>
      <c r="T2531" s="10">
        <f>IF(A2531="D",LEFT(UPPER(D2531)&amp;REPT(" ",2),2)," ")</f>
        <v/>
      </c>
      <c r="U2531" s="10">
        <f>IF(A2531="D",LEFT(UPPER(E2531)&amp;REPT(" ",15),15)," ")</f>
        <v/>
      </c>
      <c r="V2531" s="10">
        <f>REPT(" ",24)</f>
        <v/>
      </c>
      <c r="W2531" s="10">
        <f>IF(A2531="c",LEFT(UPPER(B2531)&amp;REPT(" ",20),20),REPT(" ",20))</f>
        <v/>
      </c>
      <c r="X2531" s="10">
        <f>IF(A2531="C",LEFT(UPPER(C2531)&amp;REPT(" ",10),10)," ")</f>
        <v/>
      </c>
      <c r="Y2531" s="10">
        <f>IF(A2531="C",LEFT(UPPER(D2531)&amp;REPT(" ",2),2)," ")</f>
        <v/>
      </c>
      <c r="Z2531" s="10">
        <f>IF(A2531="C",LEFT(UPPER(E2531)&amp;REPT(" ",15),15)," ")</f>
        <v/>
      </c>
      <c r="AA2531" s="10">
        <f>REPT(" ",8)</f>
        <v/>
      </c>
      <c r="AB2531" s="10">
        <f>REPT(" ",4)</f>
        <v/>
      </c>
      <c r="AC2531" s="10">
        <f>LEFT(UPPER(H2531)&amp;REPT(" ",250),250)</f>
        <v/>
      </c>
      <c r="AD2531" s="10">
        <f>TEXT($G$2,"dd/mm/aaaa")</f>
        <v/>
      </c>
      <c r="AE2531" s="10">
        <f>REPT(" ",10)</f>
        <v/>
      </c>
      <c r="AF2531" s="10">
        <f>REPT(" ",20)</f>
        <v/>
      </c>
      <c r="AG2531" s="54">
        <f>REPT(" ",18-LEN(FIXED(F2531,2,TRUE)))&amp;FIXED(F2531,2,TRUE)</f>
        <v/>
      </c>
      <c r="AH2531" s="10">
        <f>LEN(AC2531)+LEN(AG2531)</f>
        <v/>
      </c>
      <c r="AI2531" s="10">
        <f>LEN(L2531)</f>
        <v/>
      </c>
    </row>
    <row r="2532">
      <c r="J2532" s="12">
        <f>IF(F2532&lt;&gt;0,"LANÇAR","")</f>
        <v/>
      </c>
      <c r="L2532" s="13">
        <f>N2532&amp;O2532&amp;P2532&amp;Q2532&amp;R2532&amp;S2532&amp;T2532&amp;U2532&amp;V2532&amp;W2532&amp;X2532&amp;Y2532&amp;Z2532&amp;AA2532&amp;AB2532&amp;AC2532&amp;AD2532&amp;AE2532&amp;AF2532&amp;AG2532</f>
        <v/>
      </c>
      <c r="N2532" s="10">
        <f>TEXT($B$6,"00")</f>
        <v/>
      </c>
      <c r="O2532" s="10">
        <f>REPT(" ",8)</f>
        <v/>
      </c>
      <c r="P2532" s="10">
        <f>RIGHT($B$4,2)</f>
        <v/>
      </c>
      <c r="Q2532" s="10">
        <f>RIGHT($B$5,3)</f>
        <v/>
      </c>
      <c r="R2532" s="10">
        <f>IF(A2532="D",LEFT(UPPER(B2532)&amp;REPT(" ",20),20),REPT(" ",20))</f>
        <v/>
      </c>
      <c r="S2532" s="10">
        <f>IF(A2532="D",LEFT(UPPER(C2532)&amp;REPT(" ",10),10)," ")</f>
        <v/>
      </c>
      <c r="T2532" s="10">
        <f>IF(A2532="D",LEFT(UPPER(D2532)&amp;REPT(" ",2),2)," ")</f>
        <v/>
      </c>
      <c r="U2532" s="10">
        <f>IF(A2532="D",LEFT(UPPER(E2532)&amp;REPT(" ",15),15)," ")</f>
        <v/>
      </c>
      <c r="V2532" s="10">
        <f>REPT(" ",24)</f>
        <v/>
      </c>
      <c r="W2532" s="10">
        <f>IF(A2532="c",LEFT(UPPER(B2532)&amp;REPT(" ",20),20),REPT(" ",20))</f>
        <v/>
      </c>
      <c r="X2532" s="10">
        <f>IF(A2532="C",LEFT(UPPER(C2532)&amp;REPT(" ",10),10)," ")</f>
        <v/>
      </c>
      <c r="Y2532" s="10">
        <f>IF(A2532="C",LEFT(UPPER(D2532)&amp;REPT(" ",2),2)," ")</f>
        <v/>
      </c>
      <c r="Z2532" s="10">
        <f>IF(A2532="C",LEFT(UPPER(E2532)&amp;REPT(" ",15),15)," ")</f>
        <v/>
      </c>
      <c r="AA2532" s="10">
        <f>REPT(" ",8)</f>
        <v/>
      </c>
      <c r="AB2532" s="10">
        <f>REPT(" ",4)</f>
        <v/>
      </c>
      <c r="AC2532" s="10">
        <f>LEFT(UPPER(H2532)&amp;REPT(" ",250),250)</f>
        <v/>
      </c>
      <c r="AD2532" s="10">
        <f>TEXT($G$2,"dd/mm/aaaa")</f>
        <v/>
      </c>
      <c r="AE2532" s="10">
        <f>REPT(" ",10)</f>
        <v/>
      </c>
      <c r="AF2532" s="10">
        <f>REPT(" ",20)</f>
        <v/>
      </c>
      <c r="AG2532" s="54">
        <f>REPT(" ",18-LEN(FIXED(F2532,2,TRUE)))&amp;FIXED(F2532,2,TRUE)</f>
        <v/>
      </c>
      <c r="AH2532" s="10">
        <f>LEN(AC2532)+LEN(AG2532)</f>
        <v/>
      </c>
      <c r="AI2532" s="10">
        <f>LEN(L2532)</f>
        <v/>
      </c>
    </row>
    <row r="2533">
      <c r="J2533" s="12">
        <f>IF(F2533&lt;&gt;0,"LANÇAR","")</f>
        <v/>
      </c>
      <c r="L2533" s="13">
        <f>N2533&amp;O2533&amp;P2533&amp;Q2533&amp;R2533&amp;S2533&amp;T2533&amp;U2533&amp;V2533&amp;W2533&amp;X2533&amp;Y2533&amp;Z2533&amp;AA2533&amp;AB2533&amp;AC2533&amp;AD2533&amp;AE2533&amp;AF2533&amp;AG2533</f>
        <v/>
      </c>
      <c r="N2533" s="10">
        <f>TEXT($B$6,"00")</f>
        <v/>
      </c>
      <c r="O2533" s="10">
        <f>REPT(" ",8)</f>
        <v/>
      </c>
      <c r="P2533" s="10">
        <f>RIGHT($B$4,2)</f>
        <v/>
      </c>
      <c r="Q2533" s="10">
        <f>RIGHT($B$5,3)</f>
        <v/>
      </c>
      <c r="R2533" s="10">
        <f>IF(A2533="D",LEFT(UPPER(B2533)&amp;REPT(" ",20),20),REPT(" ",20))</f>
        <v/>
      </c>
      <c r="S2533" s="10">
        <f>IF(A2533="D",LEFT(UPPER(C2533)&amp;REPT(" ",10),10)," ")</f>
        <v/>
      </c>
      <c r="T2533" s="10">
        <f>IF(A2533="D",LEFT(UPPER(D2533)&amp;REPT(" ",2),2)," ")</f>
        <v/>
      </c>
      <c r="U2533" s="10">
        <f>IF(A2533="D",LEFT(UPPER(E2533)&amp;REPT(" ",15),15)," ")</f>
        <v/>
      </c>
      <c r="V2533" s="10">
        <f>REPT(" ",24)</f>
        <v/>
      </c>
      <c r="W2533" s="10">
        <f>IF(A2533="c",LEFT(UPPER(B2533)&amp;REPT(" ",20),20),REPT(" ",20))</f>
        <v/>
      </c>
      <c r="X2533" s="10">
        <f>IF(A2533="C",LEFT(UPPER(C2533)&amp;REPT(" ",10),10)," ")</f>
        <v/>
      </c>
      <c r="Y2533" s="10">
        <f>IF(A2533="C",LEFT(UPPER(D2533)&amp;REPT(" ",2),2)," ")</f>
        <v/>
      </c>
      <c r="Z2533" s="10">
        <f>IF(A2533="C",LEFT(UPPER(E2533)&amp;REPT(" ",15),15)," ")</f>
        <v/>
      </c>
      <c r="AA2533" s="10">
        <f>REPT(" ",8)</f>
        <v/>
      </c>
      <c r="AB2533" s="10">
        <f>REPT(" ",4)</f>
        <v/>
      </c>
      <c r="AC2533" s="10">
        <f>LEFT(UPPER(H2533)&amp;REPT(" ",250),250)</f>
        <v/>
      </c>
      <c r="AD2533" s="10">
        <f>TEXT($G$2,"dd/mm/aaaa")</f>
        <v/>
      </c>
      <c r="AE2533" s="10">
        <f>REPT(" ",10)</f>
        <v/>
      </c>
      <c r="AF2533" s="10">
        <f>REPT(" ",20)</f>
        <v/>
      </c>
      <c r="AG2533" s="54">
        <f>REPT(" ",18-LEN(FIXED(F2533,2,TRUE)))&amp;FIXED(F2533,2,TRUE)</f>
        <v/>
      </c>
      <c r="AH2533" s="10">
        <f>LEN(AC2533)+LEN(AG2533)</f>
        <v/>
      </c>
      <c r="AI2533" s="10">
        <f>LEN(L2533)</f>
        <v/>
      </c>
    </row>
    <row r="2534">
      <c r="J2534" s="12">
        <f>IF(F2534&lt;&gt;0,"LANÇAR","")</f>
        <v/>
      </c>
      <c r="L2534" s="13">
        <f>N2534&amp;O2534&amp;P2534&amp;Q2534&amp;R2534&amp;S2534&amp;T2534&amp;U2534&amp;V2534&amp;W2534&amp;X2534&amp;Y2534&amp;Z2534&amp;AA2534&amp;AB2534&amp;AC2534&amp;AD2534&amp;AE2534&amp;AF2534&amp;AG2534</f>
        <v/>
      </c>
      <c r="N2534" s="10">
        <f>TEXT($B$6,"00")</f>
        <v/>
      </c>
      <c r="O2534" s="10">
        <f>REPT(" ",8)</f>
        <v/>
      </c>
      <c r="P2534" s="10">
        <f>RIGHT($B$4,2)</f>
        <v/>
      </c>
      <c r="Q2534" s="10">
        <f>RIGHT($B$5,3)</f>
        <v/>
      </c>
      <c r="R2534" s="10">
        <f>IF(A2534="D",LEFT(UPPER(B2534)&amp;REPT(" ",20),20),REPT(" ",20))</f>
        <v/>
      </c>
      <c r="S2534" s="10">
        <f>IF(A2534="D",LEFT(UPPER(C2534)&amp;REPT(" ",10),10)," ")</f>
        <v/>
      </c>
      <c r="T2534" s="10">
        <f>IF(A2534="D",LEFT(UPPER(D2534)&amp;REPT(" ",2),2)," ")</f>
        <v/>
      </c>
      <c r="U2534" s="10">
        <f>IF(A2534="D",LEFT(UPPER(E2534)&amp;REPT(" ",15),15)," ")</f>
        <v/>
      </c>
      <c r="V2534" s="10">
        <f>REPT(" ",24)</f>
        <v/>
      </c>
      <c r="W2534" s="10">
        <f>IF(A2534="c",LEFT(UPPER(B2534)&amp;REPT(" ",20),20),REPT(" ",20))</f>
        <v/>
      </c>
      <c r="X2534" s="10">
        <f>IF(A2534="C",LEFT(UPPER(C2534)&amp;REPT(" ",10),10)," ")</f>
        <v/>
      </c>
      <c r="Y2534" s="10">
        <f>IF(A2534="C",LEFT(UPPER(D2534)&amp;REPT(" ",2),2)," ")</f>
        <v/>
      </c>
      <c r="Z2534" s="10">
        <f>IF(A2534="C",LEFT(UPPER(E2534)&amp;REPT(" ",15),15)," ")</f>
        <v/>
      </c>
      <c r="AA2534" s="10">
        <f>REPT(" ",8)</f>
        <v/>
      </c>
      <c r="AB2534" s="10">
        <f>REPT(" ",4)</f>
        <v/>
      </c>
      <c r="AC2534" s="10">
        <f>LEFT(UPPER(H2534)&amp;REPT(" ",250),250)</f>
        <v/>
      </c>
      <c r="AD2534" s="10">
        <f>TEXT($G$2,"dd/mm/aaaa")</f>
        <v/>
      </c>
      <c r="AE2534" s="10">
        <f>REPT(" ",10)</f>
        <v/>
      </c>
      <c r="AF2534" s="10">
        <f>REPT(" ",20)</f>
        <v/>
      </c>
      <c r="AG2534" s="54">
        <f>REPT(" ",18-LEN(FIXED(F2534,2,TRUE)))&amp;FIXED(F2534,2,TRUE)</f>
        <v/>
      </c>
      <c r="AH2534" s="10">
        <f>LEN(AC2534)+LEN(AG2534)</f>
        <v/>
      </c>
      <c r="AI2534" s="10">
        <f>LEN(L2534)</f>
        <v/>
      </c>
    </row>
    <row r="2535">
      <c r="J2535" s="12">
        <f>IF(F2535&lt;&gt;0,"LANÇAR","")</f>
        <v/>
      </c>
      <c r="L2535" s="13">
        <f>N2535&amp;O2535&amp;P2535&amp;Q2535&amp;R2535&amp;S2535&amp;T2535&amp;U2535&amp;V2535&amp;W2535&amp;X2535&amp;Y2535&amp;Z2535&amp;AA2535&amp;AB2535&amp;AC2535&amp;AD2535&amp;AE2535&amp;AF2535&amp;AG2535</f>
        <v/>
      </c>
      <c r="N2535" s="10">
        <f>TEXT($B$6,"00")</f>
        <v/>
      </c>
      <c r="O2535" s="10">
        <f>REPT(" ",8)</f>
        <v/>
      </c>
      <c r="P2535" s="10">
        <f>RIGHT($B$4,2)</f>
        <v/>
      </c>
      <c r="Q2535" s="10">
        <f>RIGHT($B$5,3)</f>
        <v/>
      </c>
      <c r="R2535" s="10">
        <f>IF(A2535="D",LEFT(UPPER(B2535)&amp;REPT(" ",20),20),REPT(" ",20))</f>
        <v/>
      </c>
      <c r="S2535" s="10">
        <f>IF(A2535="D",LEFT(UPPER(C2535)&amp;REPT(" ",10),10)," ")</f>
        <v/>
      </c>
      <c r="T2535" s="10">
        <f>IF(A2535="D",LEFT(UPPER(D2535)&amp;REPT(" ",2),2)," ")</f>
        <v/>
      </c>
      <c r="U2535" s="10">
        <f>IF(A2535="D",LEFT(UPPER(E2535)&amp;REPT(" ",15),15)," ")</f>
        <v/>
      </c>
      <c r="V2535" s="10">
        <f>REPT(" ",24)</f>
        <v/>
      </c>
      <c r="W2535" s="10">
        <f>IF(A2535="c",LEFT(UPPER(B2535)&amp;REPT(" ",20),20),REPT(" ",20))</f>
        <v/>
      </c>
      <c r="X2535" s="10">
        <f>IF(A2535="C",LEFT(UPPER(C2535)&amp;REPT(" ",10),10)," ")</f>
        <v/>
      </c>
      <c r="Y2535" s="10">
        <f>IF(A2535="C",LEFT(UPPER(D2535)&amp;REPT(" ",2),2)," ")</f>
        <v/>
      </c>
      <c r="Z2535" s="10">
        <f>IF(A2535="C",LEFT(UPPER(E2535)&amp;REPT(" ",15),15)," ")</f>
        <v/>
      </c>
      <c r="AA2535" s="10">
        <f>REPT(" ",8)</f>
        <v/>
      </c>
      <c r="AB2535" s="10">
        <f>REPT(" ",4)</f>
        <v/>
      </c>
      <c r="AC2535" s="10">
        <f>LEFT(UPPER(H2535)&amp;REPT(" ",250),250)</f>
        <v/>
      </c>
      <c r="AD2535" s="10">
        <f>TEXT($G$2,"dd/mm/aaaa")</f>
        <v/>
      </c>
      <c r="AE2535" s="10">
        <f>REPT(" ",10)</f>
        <v/>
      </c>
      <c r="AF2535" s="10">
        <f>REPT(" ",20)</f>
        <v/>
      </c>
      <c r="AG2535" s="54">
        <f>REPT(" ",18-LEN(FIXED(F2535,2,TRUE)))&amp;FIXED(F2535,2,TRUE)</f>
        <v/>
      </c>
      <c r="AH2535" s="10">
        <f>LEN(AC2535)+LEN(AG2535)</f>
        <v/>
      </c>
      <c r="AI2535" s="10">
        <f>LEN(L2535)</f>
        <v/>
      </c>
    </row>
    <row r="2536">
      <c r="J2536" s="12">
        <f>IF(F2536&lt;&gt;0,"LANÇAR","")</f>
        <v/>
      </c>
      <c r="L2536" s="13">
        <f>N2536&amp;O2536&amp;P2536&amp;Q2536&amp;R2536&amp;S2536&amp;T2536&amp;U2536&amp;V2536&amp;W2536&amp;X2536&amp;Y2536&amp;Z2536&amp;AA2536&amp;AB2536&amp;AC2536&amp;AD2536&amp;AE2536&amp;AF2536&amp;AG2536</f>
        <v/>
      </c>
      <c r="N2536" s="10">
        <f>TEXT($B$6,"00")</f>
        <v/>
      </c>
      <c r="O2536" s="10">
        <f>REPT(" ",8)</f>
        <v/>
      </c>
      <c r="P2536" s="10">
        <f>RIGHT($B$4,2)</f>
        <v/>
      </c>
      <c r="Q2536" s="10">
        <f>RIGHT($B$5,3)</f>
        <v/>
      </c>
      <c r="R2536" s="10">
        <f>IF(A2536="D",LEFT(UPPER(B2536)&amp;REPT(" ",20),20),REPT(" ",20))</f>
        <v/>
      </c>
      <c r="S2536" s="10">
        <f>IF(A2536="D",LEFT(UPPER(C2536)&amp;REPT(" ",10),10)," ")</f>
        <v/>
      </c>
      <c r="T2536" s="10">
        <f>IF(A2536="D",LEFT(UPPER(D2536)&amp;REPT(" ",2),2)," ")</f>
        <v/>
      </c>
      <c r="U2536" s="10">
        <f>IF(A2536="D",LEFT(UPPER(E2536)&amp;REPT(" ",15),15)," ")</f>
        <v/>
      </c>
      <c r="V2536" s="10">
        <f>REPT(" ",24)</f>
        <v/>
      </c>
      <c r="W2536" s="10">
        <f>IF(A2536="c",LEFT(UPPER(B2536)&amp;REPT(" ",20),20),REPT(" ",20))</f>
        <v/>
      </c>
      <c r="X2536" s="10">
        <f>IF(A2536="C",LEFT(UPPER(C2536)&amp;REPT(" ",10),10)," ")</f>
        <v/>
      </c>
      <c r="Y2536" s="10">
        <f>IF(A2536="C",LEFT(UPPER(D2536)&amp;REPT(" ",2),2)," ")</f>
        <v/>
      </c>
      <c r="Z2536" s="10">
        <f>IF(A2536="C",LEFT(UPPER(E2536)&amp;REPT(" ",15),15)," ")</f>
        <v/>
      </c>
      <c r="AA2536" s="10">
        <f>REPT(" ",8)</f>
        <v/>
      </c>
      <c r="AB2536" s="10">
        <f>REPT(" ",4)</f>
        <v/>
      </c>
      <c r="AC2536" s="10">
        <f>LEFT(UPPER(H2536)&amp;REPT(" ",250),250)</f>
        <v/>
      </c>
      <c r="AD2536" s="10">
        <f>TEXT($G$2,"dd/mm/aaaa")</f>
        <v/>
      </c>
      <c r="AE2536" s="10">
        <f>REPT(" ",10)</f>
        <v/>
      </c>
      <c r="AF2536" s="10">
        <f>REPT(" ",20)</f>
        <v/>
      </c>
      <c r="AG2536" s="54">
        <f>REPT(" ",18-LEN(FIXED(F2536,2,TRUE)))&amp;FIXED(F2536,2,TRUE)</f>
        <v/>
      </c>
      <c r="AH2536" s="10">
        <f>LEN(AC2536)+LEN(AG2536)</f>
        <v/>
      </c>
      <c r="AI2536" s="10">
        <f>LEN(L2536)</f>
        <v/>
      </c>
    </row>
    <row r="2537">
      <c r="J2537" s="12">
        <f>IF(F2537&lt;&gt;0,"LANÇAR","")</f>
        <v/>
      </c>
      <c r="L2537" s="13">
        <f>N2537&amp;O2537&amp;P2537&amp;Q2537&amp;R2537&amp;S2537&amp;T2537&amp;U2537&amp;V2537&amp;W2537&amp;X2537&amp;Y2537&amp;Z2537&amp;AA2537&amp;AB2537&amp;AC2537&amp;AD2537&amp;AE2537&amp;AF2537&amp;AG2537</f>
        <v/>
      </c>
      <c r="N2537" s="10">
        <f>TEXT($B$6,"00")</f>
        <v/>
      </c>
      <c r="O2537" s="10">
        <f>REPT(" ",8)</f>
        <v/>
      </c>
      <c r="P2537" s="10">
        <f>RIGHT($B$4,2)</f>
        <v/>
      </c>
      <c r="Q2537" s="10">
        <f>RIGHT($B$5,3)</f>
        <v/>
      </c>
      <c r="R2537" s="10">
        <f>IF(A2537="D",LEFT(UPPER(B2537)&amp;REPT(" ",20),20),REPT(" ",20))</f>
        <v/>
      </c>
      <c r="S2537" s="10">
        <f>IF(A2537="D",LEFT(UPPER(C2537)&amp;REPT(" ",10),10)," ")</f>
        <v/>
      </c>
      <c r="T2537" s="10">
        <f>IF(A2537="D",LEFT(UPPER(D2537)&amp;REPT(" ",2),2)," ")</f>
        <v/>
      </c>
      <c r="U2537" s="10">
        <f>IF(A2537="D",LEFT(UPPER(E2537)&amp;REPT(" ",15),15)," ")</f>
        <v/>
      </c>
      <c r="V2537" s="10">
        <f>REPT(" ",24)</f>
        <v/>
      </c>
      <c r="W2537" s="10">
        <f>IF(A2537="c",LEFT(UPPER(B2537)&amp;REPT(" ",20),20),REPT(" ",20))</f>
        <v/>
      </c>
      <c r="X2537" s="10">
        <f>IF(A2537="C",LEFT(UPPER(C2537)&amp;REPT(" ",10),10)," ")</f>
        <v/>
      </c>
      <c r="Y2537" s="10">
        <f>IF(A2537="C",LEFT(UPPER(D2537)&amp;REPT(" ",2),2)," ")</f>
        <v/>
      </c>
      <c r="Z2537" s="10">
        <f>IF(A2537="C",LEFT(UPPER(E2537)&amp;REPT(" ",15),15)," ")</f>
        <v/>
      </c>
      <c r="AA2537" s="10">
        <f>REPT(" ",8)</f>
        <v/>
      </c>
      <c r="AB2537" s="10">
        <f>REPT(" ",4)</f>
        <v/>
      </c>
      <c r="AC2537" s="10">
        <f>LEFT(UPPER(H2537)&amp;REPT(" ",250),250)</f>
        <v/>
      </c>
      <c r="AD2537" s="10">
        <f>TEXT($G$2,"dd/mm/aaaa")</f>
        <v/>
      </c>
      <c r="AE2537" s="10">
        <f>REPT(" ",10)</f>
        <v/>
      </c>
      <c r="AF2537" s="10">
        <f>REPT(" ",20)</f>
        <v/>
      </c>
      <c r="AG2537" s="54">
        <f>REPT(" ",18-LEN(FIXED(F2537,2,TRUE)))&amp;FIXED(F2537,2,TRUE)</f>
        <v/>
      </c>
      <c r="AH2537" s="10">
        <f>LEN(AC2537)+LEN(AG2537)</f>
        <v/>
      </c>
      <c r="AI2537" s="10">
        <f>LEN(L2537)</f>
        <v/>
      </c>
    </row>
    <row r="2538">
      <c r="J2538" s="12">
        <f>IF(F2538&lt;&gt;0,"LANÇAR","")</f>
        <v/>
      </c>
      <c r="L2538" s="13">
        <f>N2538&amp;O2538&amp;P2538&amp;Q2538&amp;R2538&amp;S2538&amp;T2538&amp;U2538&amp;V2538&amp;W2538&amp;X2538&amp;Y2538&amp;Z2538&amp;AA2538&amp;AB2538&amp;AC2538&amp;AD2538&amp;AE2538&amp;AF2538&amp;AG2538</f>
        <v/>
      </c>
      <c r="N2538" s="10">
        <f>TEXT($B$6,"00")</f>
        <v/>
      </c>
      <c r="O2538" s="10">
        <f>REPT(" ",8)</f>
        <v/>
      </c>
      <c r="P2538" s="10">
        <f>RIGHT($B$4,2)</f>
        <v/>
      </c>
      <c r="Q2538" s="10">
        <f>RIGHT($B$5,3)</f>
        <v/>
      </c>
      <c r="R2538" s="10">
        <f>IF(A2538="D",LEFT(UPPER(B2538)&amp;REPT(" ",20),20),REPT(" ",20))</f>
        <v/>
      </c>
      <c r="S2538" s="10">
        <f>IF(A2538="D",LEFT(UPPER(C2538)&amp;REPT(" ",10),10)," ")</f>
        <v/>
      </c>
      <c r="T2538" s="10">
        <f>IF(A2538="D",LEFT(UPPER(D2538)&amp;REPT(" ",2),2)," ")</f>
        <v/>
      </c>
      <c r="U2538" s="10">
        <f>IF(A2538="D",LEFT(UPPER(E2538)&amp;REPT(" ",15),15)," ")</f>
        <v/>
      </c>
      <c r="V2538" s="10">
        <f>REPT(" ",24)</f>
        <v/>
      </c>
      <c r="W2538" s="10">
        <f>IF(A2538="c",LEFT(UPPER(B2538)&amp;REPT(" ",20),20),REPT(" ",20))</f>
        <v/>
      </c>
      <c r="X2538" s="10">
        <f>IF(A2538="C",LEFT(UPPER(C2538)&amp;REPT(" ",10),10)," ")</f>
        <v/>
      </c>
      <c r="Y2538" s="10">
        <f>IF(A2538="C",LEFT(UPPER(D2538)&amp;REPT(" ",2),2)," ")</f>
        <v/>
      </c>
      <c r="Z2538" s="10">
        <f>IF(A2538="C",LEFT(UPPER(E2538)&amp;REPT(" ",15),15)," ")</f>
        <v/>
      </c>
      <c r="AA2538" s="10">
        <f>REPT(" ",8)</f>
        <v/>
      </c>
      <c r="AB2538" s="10">
        <f>REPT(" ",4)</f>
        <v/>
      </c>
      <c r="AC2538" s="10">
        <f>LEFT(UPPER(H2538)&amp;REPT(" ",250),250)</f>
        <v/>
      </c>
      <c r="AD2538" s="10">
        <f>TEXT($G$2,"dd/mm/aaaa")</f>
        <v/>
      </c>
      <c r="AE2538" s="10">
        <f>REPT(" ",10)</f>
        <v/>
      </c>
      <c r="AF2538" s="10">
        <f>REPT(" ",20)</f>
        <v/>
      </c>
      <c r="AG2538" s="54">
        <f>REPT(" ",18-LEN(FIXED(F2538,2,TRUE)))&amp;FIXED(F2538,2,TRUE)</f>
        <v/>
      </c>
      <c r="AH2538" s="10">
        <f>LEN(AC2538)+LEN(AG2538)</f>
        <v/>
      </c>
      <c r="AI2538" s="10">
        <f>LEN(L2538)</f>
        <v/>
      </c>
    </row>
    <row r="2539">
      <c r="J2539" s="12">
        <f>IF(F2539&lt;&gt;0,"LANÇAR","")</f>
        <v/>
      </c>
      <c r="L2539" s="13">
        <f>N2539&amp;O2539&amp;P2539&amp;Q2539&amp;R2539&amp;S2539&amp;T2539&amp;U2539&amp;V2539&amp;W2539&amp;X2539&amp;Y2539&amp;Z2539&amp;AA2539&amp;AB2539&amp;AC2539&amp;AD2539&amp;AE2539&amp;AF2539&amp;AG2539</f>
        <v/>
      </c>
      <c r="N2539" s="10">
        <f>TEXT($B$6,"00")</f>
        <v/>
      </c>
      <c r="O2539" s="10">
        <f>REPT(" ",8)</f>
        <v/>
      </c>
      <c r="P2539" s="10">
        <f>RIGHT($B$4,2)</f>
        <v/>
      </c>
      <c r="Q2539" s="10">
        <f>RIGHT($B$5,3)</f>
        <v/>
      </c>
      <c r="R2539" s="10">
        <f>IF(A2539="D",LEFT(UPPER(B2539)&amp;REPT(" ",20),20),REPT(" ",20))</f>
        <v/>
      </c>
      <c r="S2539" s="10">
        <f>IF(A2539="D",LEFT(UPPER(C2539)&amp;REPT(" ",10),10)," ")</f>
        <v/>
      </c>
      <c r="T2539" s="10">
        <f>IF(A2539="D",LEFT(UPPER(D2539)&amp;REPT(" ",2),2)," ")</f>
        <v/>
      </c>
      <c r="U2539" s="10">
        <f>IF(A2539="D",LEFT(UPPER(E2539)&amp;REPT(" ",15),15)," ")</f>
        <v/>
      </c>
      <c r="V2539" s="10">
        <f>REPT(" ",24)</f>
        <v/>
      </c>
      <c r="W2539" s="10">
        <f>IF(A2539="c",LEFT(UPPER(B2539)&amp;REPT(" ",20),20),REPT(" ",20))</f>
        <v/>
      </c>
      <c r="X2539" s="10">
        <f>IF(A2539="C",LEFT(UPPER(C2539)&amp;REPT(" ",10),10)," ")</f>
        <v/>
      </c>
      <c r="Y2539" s="10">
        <f>IF(A2539="C",LEFT(UPPER(D2539)&amp;REPT(" ",2),2)," ")</f>
        <v/>
      </c>
      <c r="Z2539" s="10">
        <f>IF(A2539="C",LEFT(UPPER(E2539)&amp;REPT(" ",15),15)," ")</f>
        <v/>
      </c>
      <c r="AA2539" s="10">
        <f>REPT(" ",8)</f>
        <v/>
      </c>
      <c r="AB2539" s="10">
        <f>REPT(" ",4)</f>
        <v/>
      </c>
      <c r="AC2539" s="10">
        <f>LEFT(UPPER(H2539)&amp;REPT(" ",250),250)</f>
        <v/>
      </c>
      <c r="AD2539" s="10">
        <f>TEXT($G$2,"dd/mm/aaaa")</f>
        <v/>
      </c>
      <c r="AE2539" s="10">
        <f>REPT(" ",10)</f>
        <v/>
      </c>
      <c r="AF2539" s="10">
        <f>REPT(" ",20)</f>
        <v/>
      </c>
      <c r="AG2539" s="54">
        <f>REPT(" ",18-LEN(FIXED(F2539,2,TRUE)))&amp;FIXED(F2539,2,TRUE)</f>
        <v/>
      </c>
      <c r="AH2539" s="10">
        <f>LEN(AC2539)+LEN(AG2539)</f>
        <v/>
      </c>
      <c r="AI2539" s="10">
        <f>LEN(L2539)</f>
        <v/>
      </c>
    </row>
    <row r="2540">
      <c r="J2540" s="12">
        <f>IF(F2540&lt;&gt;0,"LANÇAR","")</f>
        <v/>
      </c>
      <c r="L2540" s="13">
        <f>N2540&amp;O2540&amp;P2540&amp;Q2540&amp;R2540&amp;S2540&amp;T2540&amp;U2540&amp;V2540&amp;W2540&amp;X2540&amp;Y2540&amp;Z2540&amp;AA2540&amp;AB2540&amp;AC2540&amp;AD2540&amp;AE2540&amp;AF2540&amp;AG2540</f>
        <v/>
      </c>
      <c r="N2540" s="10">
        <f>TEXT($B$6,"00")</f>
        <v/>
      </c>
      <c r="O2540" s="10">
        <f>REPT(" ",8)</f>
        <v/>
      </c>
      <c r="P2540" s="10">
        <f>RIGHT($B$4,2)</f>
        <v/>
      </c>
      <c r="Q2540" s="10">
        <f>RIGHT($B$5,3)</f>
        <v/>
      </c>
      <c r="R2540" s="10">
        <f>IF(A2540="D",LEFT(UPPER(B2540)&amp;REPT(" ",20),20),REPT(" ",20))</f>
        <v/>
      </c>
      <c r="S2540" s="10">
        <f>IF(A2540="D",LEFT(UPPER(C2540)&amp;REPT(" ",10),10)," ")</f>
        <v/>
      </c>
      <c r="T2540" s="10">
        <f>IF(A2540="D",LEFT(UPPER(D2540)&amp;REPT(" ",2),2)," ")</f>
        <v/>
      </c>
      <c r="U2540" s="10">
        <f>IF(A2540="D",LEFT(UPPER(E2540)&amp;REPT(" ",15),15)," ")</f>
        <v/>
      </c>
      <c r="V2540" s="10">
        <f>REPT(" ",24)</f>
        <v/>
      </c>
      <c r="W2540" s="10">
        <f>IF(A2540="c",LEFT(UPPER(B2540)&amp;REPT(" ",20),20),REPT(" ",20))</f>
        <v/>
      </c>
      <c r="X2540" s="10">
        <f>IF(A2540="C",LEFT(UPPER(C2540)&amp;REPT(" ",10),10)," ")</f>
        <v/>
      </c>
      <c r="Y2540" s="10">
        <f>IF(A2540="C",LEFT(UPPER(D2540)&amp;REPT(" ",2),2)," ")</f>
        <v/>
      </c>
      <c r="Z2540" s="10">
        <f>IF(A2540="C",LEFT(UPPER(E2540)&amp;REPT(" ",15),15)," ")</f>
        <v/>
      </c>
      <c r="AA2540" s="10">
        <f>REPT(" ",8)</f>
        <v/>
      </c>
      <c r="AB2540" s="10">
        <f>REPT(" ",4)</f>
        <v/>
      </c>
      <c r="AC2540" s="10">
        <f>LEFT(UPPER(H2540)&amp;REPT(" ",250),250)</f>
        <v/>
      </c>
      <c r="AD2540" s="10">
        <f>TEXT($G$2,"dd/mm/aaaa")</f>
        <v/>
      </c>
      <c r="AE2540" s="10">
        <f>REPT(" ",10)</f>
        <v/>
      </c>
      <c r="AF2540" s="10">
        <f>REPT(" ",20)</f>
        <v/>
      </c>
      <c r="AG2540" s="54">
        <f>REPT(" ",18-LEN(FIXED(F2540,2,TRUE)))&amp;FIXED(F2540,2,TRUE)</f>
        <v/>
      </c>
      <c r="AH2540" s="10">
        <f>LEN(AC2540)+LEN(AG2540)</f>
        <v/>
      </c>
      <c r="AI2540" s="10">
        <f>LEN(L2540)</f>
        <v/>
      </c>
    </row>
    <row r="2541">
      <c r="J2541" s="12">
        <f>IF(F2541&lt;&gt;0,"LANÇAR","")</f>
        <v/>
      </c>
      <c r="L2541" s="13">
        <f>N2541&amp;O2541&amp;P2541&amp;Q2541&amp;R2541&amp;S2541&amp;T2541&amp;U2541&amp;V2541&amp;W2541&amp;X2541&amp;Y2541&amp;Z2541&amp;AA2541&amp;AB2541&amp;AC2541&amp;AD2541&amp;AE2541&amp;AF2541&amp;AG2541</f>
        <v/>
      </c>
      <c r="N2541" s="10">
        <f>TEXT($B$6,"00")</f>
        <v/>
      </c>
      <c r="O2541" s="10">
        <f>REPT(" ",8)</f>
        <v/>
      </c>
      <c r="P2541" s="10">
        <f>RIGHT($B$4,2)</f>
        <v/>
      </c>
      <c r="Q2541" s="10">
        <f>RIGHT($B$5,3)</f>
        <v/>
      </c>
      <c r="R2541" s="10">
        <f>IF(A2541="D",LEFT(UPPER(B2541)&amp;REPT(" ",20),20),REPT(" ",20))</f>
        <v/>
      </c>
      <c r="S2541" s="10">
        <f>IF(A2541="D",LEFT(UPPER(C2541)&amp;REPT(" ",10),10)," ")</f>
        <v/>
      </c>
      <c r="T2541" s="10">
        <f>IF(A2541="D",LEFT(UPPER(D2541)&amp;REPT(" ",2),2)," ")</f>
        <v/>
      </c>
      <c r="U2541" s="10">
        <f>IF(A2541="D",LEFT(UPPER(E2541)&amp;REPT(" ",15),15)," ")</f>
        <v/>
      </c>
      <c r="V2541" s="10">
        <f>REPT(" ",24)</f>
        <v/>
      </c>
      <c r="W2541" s="10">
        <f>IF(A2541="c",LEFT(UPPER(B2541)&amp;REPT(" ",20),20),REPT(" ",20))</f>
        <v/>
      </c>
      <c r="X2541" s="10">
        <f>IF(A2541="C",LEFT(UPPER(C2541)&amp;REPT(" ",10),10)," ")</f>
        <v/>
      </c>
      <c r="Y2541" s="10">
        <f>IF(A2541="C",LEFT(UPPER(D2541)&amp;REPT(" ",2),2)," ")</f>
        <v/>
      </c>
      <c r="Z2541" s="10">
        <f>IF(A2541="C",LEFT(UPPER(E2541)&amp;REPT(" ",15),15)," ")</f>
        <v/>
      </c>
      <c r="AA2541" s="10">
        <f>REPT(" ",8)</f>
        <v/>
      </c>
      <c r="AB2541" s="10">
        <f>REPT(" ",4)</f>
        <v/>
      </c>
      <c r="AC2541" s="10">
        <f>LEFT(UPPER(H2541)&amp;REPT(" ",250),250)</f>
        <v/>
      </c>
      <c r="AD2541" s="10">
        <f>TEXT($G$2,"dd/mm/aaaa")</f>
        <v/>
      </c>
      <c r="AE2541" s="10">
        <f>REPT(" ",10)</f>
        <v/>
      </c>
      <c r="AF2541" s="10">
        <f>REPT(" ",20)</f>
        <v/>
      </c>
      <c r="AG2541" s="54">
        <f>REPT(" ",18-LEN(FIXED(F2541,2,TRUE)))&amp;FIXED(F2541,2,TRUE)</f>
        <v/>
      </c>
      <c r="AH2541" s="10">
        <f>LEN(AC2541)+LEN(AG2541)</f>
        <v/>
      </c>
      <c r="AI2541" s="10">
        <f>LEN(L2541)</f>
        <v/>
      </c>
    </row>
    <row r="2542">
      <c r="J2542" s="12">
        <f>IF(F2542&lt;&gt;0,"LANÇAR","")</f>
        <v/>
      </c>
      <c r="L2542" s="13">
        <f>N2542&amp;O2542&amp;P2542&amp;Q2542&amp;R2542&amp;S2542&amp;T2542&amp;U2542&amp;V2542&amp;W2542&amp;X2542&amp;Y2542&amp;Z2542&amp;AA2542&amp;AB2542&amp;AC2542&amp;AD2542&amp;AE2542&amp;AF2542&amp;AG2542</f>
        <v/>
      </c>
      <c r="N2542" s="10">
        <f>TEXT($B$6,"00")</f>
        <v/>
      </c>
      <c r="O2542" s="10">
        <f>REPT(" ",8)</f>
        <v/>
      </c>
      <c r="P2542" s="10">
        <f>RIGHT($B$4,2)</f>
        <v/>
      </c>
      <c r="Q2542" s="10">
        <f>RIGHT($B$5,3)</f>
        <v/>
      </c>
      <c r="R2542" s="10">
        <f>IF(A2542="D",LEFT(UPPER(B2542)&amp;REPT(" ",20),20),REPT(" ",20))</f>
        <v/>
      </c>
      <c r="S2542" s="10">
        <f>IF(A2542="D",LEFT(UPPER(C2542)&amp;REPT(" ",10),10)," ")</f>
        <v/>
      </c>
      <c r="T2542" s="10">
        <f>IF(A2542="D",LEFT(UPPER(D2542)&amp;REPT(" ",2),2)," ")</f>
        <v/>
      </c>
      <c r="U2542" s="10">
        <f>IF(A2542="D",LEFT(UPPER(E2542)&amp;REPT(" ",15),15)," ")</f>
        <v/>
      </c>
      <c r="V2542" s="10">
        <f>REPT(" ",24)</f>
        <v/>
      </c>
      <c r="W2542" s="10">
        <f>IF(A2542="c",LEFT(UPPER(B2542)&amp;REPT(" ",20),20),REPT(" ",20))</f>
        <v/>
      </c>
      <c r="X2542" s="10">
        <f>IF(A2542="C",LEFT(UPPER(C2542)&amp;REPT(" ",10),10)," ")</f>
        <v/>
      </c>
      <c r="Y2542" s="10">
        <f>IF(A2542="C",LEFT(UPPER(D2542)&amp;REPT(" ",2),2)," ")</f>
        <v/>
      </c>
      <c r="Z2542" s="10">
        <f>IF(A2542="C",LEFT(UPPER(E2542)&amp;REPT(" ",15),15)," ")</f>
        <v/>
      </c>
      <c r="AA2542" s="10">
        <f>REPT(" ",8)</f>
        <v/>
      </c>
      <c r="AB2542" s="10">
        <f>REPT(" ",4)</f>
        <v/>
      </c>
      <c r="AC2542" s="10">
        <f>LEFT(UPPER(H2542)&amp;REPT(" ",250),250)</f>
        <v/>
      </c>
      <c r="AD2542" s="10">
        <f>TEXT($G$2,"dd/mm/aaaa")</f>
        <v/>
      </c>
      <c r="AE2542" s="10">
        <f>REPT(" ",10)</f>
        <v/>
      </c>
      <c r="AF2542" s="10">
        <f>REPT(" ",20)</f>
        <v/>
      </c>
      <c r="AG2542" s="54">
        <f>REPT(" ",18-LEN(FIXED(F2542,2,TRUE)))&amp;FIXED(F2542,2,TRUE)</f>
        <v/>
      </c>
      <c r="AH2542" s="10">
        <f>LEN(AC2542)+LEN(AG2542)</f>
        <v/>
      </c>
      <c r="AI2542" s="10">
        <f>LEN(L2542)</f>
        <v/>
      </c>
    </row>
    <row r="2543">
      <c r="J2543" s="12">
        <f>IF(F2543&lt;&gt;0,"LANÇAR","")</f>
        <v/>
      </c>
      <c r="L2543" s="13">
        <f>N2543&amp;O2543&amp;P2543&amp;Q2543&amp;R2543&amp;S2543&amp;T2543&amp;U2543&amp;V2543&amp;W2543&amp;X2543&amp;Y2543&amp;Z2543&amp;AA2543&amp;AB2543&amp;AC2543&amp;AD2543&amp;AE2543&amp;AF2543&amp;AG2543</f>
        <v/>
      </c>
      <c r="N2543" s="10">
        <f>TEXT($B$6,"00")</f>
        <v/>
      </c>
      <c r="O2543" s="10">
        <f>REPT(" ",8)</f>
        <v/>
      </c>
      <c r="P2543" s="10">
        <f>RIGHT($B$4,2)</f>
        <v/>
      </c>
      <c r="Q2543" s="10">
        <f>RIGHT($B$5,3)</f>
        <v/>
      </c>
      <c r="R2543" s="10">
        <f>IF(A2543="D",LEFT(UPPER(B2543)&amp;REPT(" ",20),20),REPT(" ",20))</f>
        <v/>
      </c>
      <c r="S2543" s="10">
        <f>IF(A2543="D",LEFT(UPPER(C2543)&amp;REPT(" ",10),10)," ")</f>
        <v/>
      </c>
      <c r="T2543" s="10">
        <f>IF(A2543="D",LEFT(UPPER(D2543)&amp;REPT(" ",2),2)," ")</f>
        <v/>
      </c>
      <c r="U2543" s="10">
        <f>IF(A2543="D",LEFT(UPPER(E2543)&amp;REPT(" ",15),15)," ")</f>
        <v/>
      </c>
      <c r="V2543" s="10">
        <f>REPT(" ",24)</f>
        <v/>
      </c>
      <c r="W2543" s="10">
        <f>IF(A2543="c",LEFT(UPPER(B2543)&amp;REPT(" ",20),20),REPT(" ",20))</f>
        <v/>
      </c>
      <c r="X2543" s="10">
        <f>IF(A2543="C",LEFT(UPPER(C2543)&amp;REPT(" ",10),10)," ")</f>
        <v/>
      </c>
      <c r="Y2543" s="10">
        <f>IF(A2543="C",LEFT(UPPER(D2543)&amp;REPT(" ",2),2)," ")</f>
        <v/>
      </c>
      <c r="Z2543" s="10">
        <f>IF(A2543="C",LEFT(UPPER(E2543)&amp;REPT(" ",15),15)," ")</f>
        <v/>
      </c>
      <c r="AA2543" s="10">
        <f>REPT(" ",8)</f>
        <v/>
      </c>
      <c r="AB2543" s="10">
        <f>REPT(" ",4)</f>
        <v/>
      </c>
      <c r="AC2543" s="10">
        <f>LEFT(UPPER(H2543)&amp;REPT(" ",250),250)</f>
        <v/>
      </c>
      <c r="AD2543" s="10">
        <f>TEXT($G$2,"dd/mm/aaaa")</f>
        <v/>
      </c>
      <c r="AE2543" s="10">
        <f>REPT(" ",10)</f>
        <v/>
      </c>
      <c r="AF2543" s="10">
        <f>REPT(" ",20)</f>
        <v/>
      </c>
      <c r="AG2543" s="54">
        <f>REPT(" ",18-LEN(FIXED(F2543,2,TRUE)))&amp;FIXED(F2543,2,TRUE)</f>
        <v/>
      </c>
      <c r="AH2543" s="10">
        <f>LEN(AC2543)+LEN(AG2543)</f>
        <v/>
      </c>
      <c r="AI2543" s="10">
        <f>LEN(L2543)</f>
        <v/>
      </c>
    </row>
    <row r="2544">
      <c r="J2544" s="12">
        <f>IF(F2544&lt;&gt;0,"LANÇAR","")</f>
        <v/>
      </c>
      <c r="L2544" s="13">
        <f>N2544&amp;O2544&amp;P2544&amp;Q2544&amp;R2544&amp;S2544&amp;T2544&amp;U2544&amp;V2544&amp;W2544&amp;X2544&amp;Y2544&amp;Z2544&amp;AA2544&amp;AB2544&amp;AC2544&amp;AD2544&amp;AE2544&amp;AF2544&amp;AG2544</f>
        <v/>
      </c>
      <c r="N2544" s="10">
        <f>TEXT($B$6,"00")</f>
        <v/>
      </c>
      <c r="O2544" s="10">
        <f>REPT(" ",8)</f>
        <v/>
      </c>
      <c r="P2544" s="10">
        <f>RIGHT($B$4,2)</f>
        <v/>
      </c>
      <c r="Q2544" s="10">
        <f>RIGHT($B$5,3)</f>
        <v/>
      </c>
      <c r="R2544" s="10">
        <f>IF(A2544="D",LEFT(UPPER(B2544)&amp;REPT(" ",20),20),REPT(" ",20))</f>
        <v/>
      </c>
      <c r="S2544" s="10">
        <f>IF(A2544="D",LEFT(UPPER(C2544)&amp;REPT(" ",10),10)," ")</f>
        <v/>
      </c>
      <c r="T2544" s="10">
        <f>IF(A2544="D",LEFT(UPPER(D2544)&amp;REPT(" ",2),2)," ")</f>
        <v/>
      </c>
      <c r="U2544" s="10">
        <f>IF(A2544="D",LEFT(UPPER(E2544)&amp;REPT(" ",15),15)," ")</f>
        <v/>
      </c>
      <c r="V2544" s="10">
        <f>REPT(" ",24)</f>
        <v/>
      </c>
      <c r="W2544" s="10">
        <f>IF(A2544="c",LEFT(UPPER(B2544)&amp;REPT(" ",20),20),REPT(" ",20))</f>
        <v/>
      </c>
      <c r="X2544" s="10">
        <f>IF(A2544="C",LEFT(UPPER(C2544)&amp;REPT(" ",10),10)," ")</f>
        <v/>
      </c>
      <c r="Y2544" s="10">
        <f>IF(A2544="C",LEFT(UPPER(D2544)&amp;REPT(" ",2),2)," ")</f>
        <v/>
      </c>
      <c r="Z2544" s="10">
        <f>IF(A2544="C",LEFT(UPPER(E2544)&amp;REPT(" ",15),15)," ")</f>
        <v/>
      </c>
      <c r="AA2544" s="10">
        <f>REPT(" ",8)</f>
        <v/>
      </c>
      <c r="AB2544" s="10">
        <f>REPT(" ",4)</f>
        <v/>
      </c>
      <c r="AC2544" s="10">
        <f>LEFT(UPPER(H2544)&amp;REPT(" ",250),250)</f>
        <v/>
      </c>
      <c r="AD2544" s="10">
        <f>TEXT($G$2,"dd/mm/aaaa")</f>
        <v/>
      </c>
      <c r="AE2544" s="10">
        <f>REPT(" ",10)</f>
        <v/>
      </c>
      <c r="AF2544" s="10">
        <f>REPT(" ",20)</f>
        <v/>
      </c>
      <c r="AG2544" s="54">
        <f>REPT(" ",18-LEN(FIXED(F2544,2,TRUE)))&amp;FIXED(F2544,2,TRUE)</f>
        <v/>
      </c>
      <c r="AH2544" s="10">
        <f>LEN(AC2544)+LEN(AG2544)</f>
        <v/>
      </c>
      <c r="AI2544" s="10">
        <f>LEN(L2544)</f>
        <v/>
      </c>
    </row>
    <row r="2545">
      <c r="J2545" s="12">
        <f>IF(F2545&lt;&gt;0,"LANÇAR","")</f>
        <v/>
      </c>
      <c r="L2545" s="13">
        <f>N2545&amp;O2545&amp;P2545&amp;Q2545&amp;R2545&amp;S2545&amp;T2545&amp;U2545&amp;V2545&amp;W2545&amp;X2545&amp;Y2545&amp;Z2545&amp;AA2545&amp;AB2545&amp;AC2545&amp;AD2545&amp;AE2545&amp;AF2545&amp;AG2545</f>
        <v/>
      </c>
      <c r="N2545" s="10">
        <f>TEXT($B$6,"00")</f>
        <v/>
      </c>
      <c r="O2545" s="10">
        <f>REPT(" ",8)</f>
        <v/>
      </c>
      <c r="P2545" s="10">
        <f>RIGHT($B$4,2)</f>
        <v/>
      </c>
      <c r="Q2545" s="10">
        <f>RIGHT($B$5,3)</f>
        <v/>
      </c>
      <c r="R2545" s="10">
        <f>IF(A2545="D",LEFT(UPPER(B2545)&amp;REPT(" ",20),20),REPT(" ",20))</f>
        <v/>
      </c>
      <c r="S2545" s="10">
        <f>IF(A2545="D",LEFT(UPPER(C2545)&amp;REPT(" ",10),10)," ")</f>
        <v/>
      </c>
      <c r="T2545" s="10">
        <f>IF(A2545="D",LEFT(UPPER(D2545)&amp;REPT(" ",2),2)," ")</f>
        <v/>
      </c>
      <c r="U2545" s="10">
        <f>IF(A2545="D",LEFT(UPPER(E2545)&amp;REPT(" ",15),15)," ")</f>
        <v/>
      </c>
      <c r="V2545" s="10">
        <f>REPT(" ",24)</f>
        <v/>
      </c>
      <c r="W2545" s="10">
        <f>IF(A2545="c",LEFT(UPPER(B2545)&amp;REPT(" ",20),20),REPT(" ",20))</f>
        <v/>
      </c>
      <c r="X2545" s="10">
        <f>IF(A2545="C",LEFT(UPPER(C2545)&amp;REPT(" ",10),10)," ")</f>
        <v/>
      </c>
      <c r="Y2545" s="10">
        <f>IF(A2545="C",LEFT(UPPER(D2545)&amp;REPT(" ",2),2)," ")</f>
        <v/>
      </c>
      <c r="Z2545" s="10">
        <f>IF(A2545="C",LEFT(UPPER(E2545)&amp;REPT(" ",15),15)," ")</f>
        <v/>
      </c>
      <c r="AA2545" s="10">
        <f>REPT(" ",8)</f>
        <v/>
      </c>
      <c r="AB2545" s="10">
        <f>REPT(" ",4)</f>
        <v/>
      </c>
      <c r="AC2545" s="10">
        <f>LEFT(UPPER(H2545)&amp;REPT(" ",250),250)</f>
        <v/>
      </c>
      <c r="AD2545" s="10">
        <f>TEXT($G$2,"dd/mm/aaaa")</f>
        <v/>
      </c>
      <c r="AE2545" s="10">
        <f>REPT(" ",10)</f>
        <v/>
      </c>
      <c r="AF2545" s="10">
        <f>REPT(" ",20)</f>
        <v/>
      </c>
      <c r="AG2545" s="54">
        <f>REPT(" ",18-LEN(FIXED(F2545,2,TRUE)))&amp;FIXED(F2545,2,TRUE)</f>
        <v/>
      </c>
      <c r="AH2545" s="10">
        <f>LEN(AC2545)+LEN(AG2545)</f>
        <v/>
      </c>
      <c r="AI2545" s="10">
        <f>LEN(L2545)</f>
        <v/>
      </c>
    </row>
    <row r="2546">
      <c r="J2546" s="12">
        <f>IF(F2546&lt;&gt;0,"LANÇAR","")</f>
        <v/>
      </c>
      <c r="L2546" s="13">
        <f>N2546&amp;O2546&amp;P2546&amp;Q2546&amp;R2546&amp;S2546&amp;T2546&amp;U2546&amp;V2546&amp;W2546&amp;X2546&amp;Y2546&amp;Z2546&amp;AA2546&amp;AB2546&amp;AC2546&amp;AD2546&amp;AE2546&amp;AF2546&amp;AG2546</f>
        <v/>
      </c>
      <c r="N2546" s="10">
        <f>TEXT($B$6,"00")</f>
        <v/>
      </c>
      <c r="O2546" s="10">
        <f>REPT(" ",8)</f>
        <v/>
      </c>
      <c r="P2546" s="10">
        <f>RIGHT($B$4,2)</f>
        <v/>
      </c>
      <c r="Q2546" s="10">
        <f>RIGHT($B$5,3)</f>
        <v/>
      </c>
      <c r="R2546" s="10">
        <f>IF(A2546="D",LEFT(UPPER(B2546)&amp;REPT(" ",20),20),REPT(" ",20))</f>
        <v/>
      </c>
      <c r="S2546" s="10">
        <f>IF(A2546="D",LEFT(UPPER(C2546)&amp;REPT(" ",10),10)," ")</f>
        <v/>
      </c>
      <c r="T2546" s="10">
        <f>IF(A2546="D",LEFT(UPPER(D2546)&amp;REPT(" ",2),2)," ")</f>
        <v/>
      </c>
      <c r="U2546" s="10">
        <f>IF(A2546="D",LEFT(UPPER(E2546)&amp;REPT(" ",15),15)," ")</f>
        <v/>
      </c>
      <c r="V2546" s="10">
        <f>REPT(" ",24)</f>
        <v/>
      </c>
      <c r="W2546" s="10">
        <f>IF(A2546="c",LEFT(UPPER(B2546)&amp;REPT(" ",20),20),REPT(" ",20))</f>
        <v/>
      </c>
      <c r="X2546" s="10">
        <f>IF(A2546="C",LEFT(UPPER(C2546)&amp;REPT(" ",10),10)," ")</f>
        <v/>
      </c>
      <c r="Y2546" s="10">
        <f>IF(A2546="C",LEFT(UPPER(D2546)&amp;REPT(" ",2),2)," ")</f>
        <v/>
      </c>
      <c r="Z2546" s="10">
        <f>IF(A2546="C",LEFT(UPPER(E2546)&amp;REPT(" ",15),15)," ")</f>
        <v/>
      </c>
      <c r="AA2546" s="10">
        <f>REPT(" ",8)</f>
        <v/>
      </c>
      <c r="AB2546" s="10">
        <f>REPT(" ",4)</f>
        <v/>
      </c>
      <c r="AC2546" s="10">
        <f>LEFT(UPPER(H2546)&amp;REPT(" ",250),250)</f>
        <v/>
      </c>
      <c r="AD2546" s="10">
        <f>TEXT($G$2,"dd/mm/aaaa")</f>
        <v/>
      </c>
      <c r="AE2546" s="10">
        <f>REPT(" ",10)</f>
        <v/>
      </c>
      <c r="AF2546" s="10">
        <f>REPT(" ",20)</f>
        <v/>
      </c>
      <c r="AG2546" s="54">
        <f>REPT(" ",18-LEN(FIXED(F2546,2,TRUE)))&amp;FIXED(F2546,2,TRUE)</f>
        <v/>
      </c>
      <c r="AH2546" s="10">
        <f>LEN(AC2546)+LEN(AG2546)</f>
        <v/>
      </c>
      <c r="AI2546" s="10">
        <f>LEN(L2546)</f>
        <v/>
      </c>
    </row>
    <row r="2547">
      <c r="J2547" s="12">
        <f>IF(F2547&lt;&gt;0,"LANÇAR","")</f>
        <v/>
      </c>
      <c r="L2547" s="13">
        <f>N2547&amp;O2547&amp;P2547&amp;Q2547&amp;R2547&amp;S2547&amp;T2547&amp;U2547&amp;V2547&amp;W2547&amp;X2547&amp;Y2547&amp;Z2547&amp;AA2547&amp;AB2547&amp;AC2547&amp;AD2547&amp;AE2547&amp;AF2547&amp;AG2547</f>
        <v/>
      </c>
      <c r="N2547" s="10">
        <f>TEXT($B$6,"00")</f>
        <v/>
      </c>
      <c r="O2547" s="10">
        <f>REPT(" ",8)</f>
        <v/>
      </c>
      <c r="P2547" s="10">
        <f>RIGHT($B$4,2)</f>
        <v/>
      </c>
      <c r="Q2547" s="10">
        <f>RIGHT($B$5,3)</f>
        <v/>
      </c>
      <c r="R2547" s="10">
        <f>IF(A2547="D",LEFT(UPPER(B2547)&amp;REPT(" ",20),20),REPT(" ",20))</f>
        <v/>
      </c>
      <c r="S2547" s="10">
        <f>IF(A2547="D",LEFT(UPPER(C2547)&amp;REPT(" ",10),10)," ")</f>
        <v/>
      </c>
      <c r="T2547" s="10">
        <f>IF(A2547="D",LEFT(UPPER(D2547)&amp;REPT(" ",2),2)," ")</f>
        <v/>
      </c>
      <c r="U2547" s="10">
        <f>IF(A2547="D",LEFT(UPPER(E2547)&amp;REPT(" ",15),15)," ")</f>
        <v/>
      </c>
      <c r="V2547" s="10">
        <f>REPT(" ",24)</f>
        <v/>
      </c>
      <c r="W2547" s="10">
        <f>IF(A2547="c",LEFT(UPPER(B2547)&amp;REPT(" ",20),20),REPT(" ",20))</f>
        <v/>
      </c>
      <c r="X2547" s="10">
        <f>IF(A2547="C",LEFT(UPPER(C2547)&amp;REPT(" ",10),10)," ")</f>
        <v/>
      </c>
      <c r="Y2547" s="10">
        <f>IF(A2547="C",LEFT(UPPER(D2547)&amp;REPT(" ",2),2)," ")</f>
        <v/>
      </c>
      <c r="Z2547" s="10">
        <f>IF(A2547="C",LEFT(UPPER(E2547)&amp;REPT(" ",15),15)," ")</f>
        <v/>
      </c>
      <c r="AA2547" s="10">
        <f>REPT(" ",8)</f>
        <v/>
      </c>
      <c r="AB2547" s="10">
        <f>REPT(" ",4)</f>
        <v/>
      </c>
      <c r="AC2547" s="10">
        <f>LEFT(UPPER(H2547)&amp;REPT(" ",250),250)</f>
        <v/>
      </c>
      <c r="AD2547" s="10">
        <f>TEXT($G$2,"dd/mm/aaaa")</f>
        <v/>
      </c>
      <c r="AE2547" s="10">
        <f>REPT(" ",10)</f>
        <v/>
      </c>
      <c r="AF2547" s="10">
        <f>REPT(" ",20)</f>
        <v/>
      </c>
      <c r="AG2547" s="54">
        <f>REPT(" ",18-LEN(FIXED(F2547,2,TRUE)))&amp;FIXED(F2547,2,TRUE)</f>
        <v/>
      </c>
      <c r="AH2547" s="10">
        <f>LEN(AC2547)+LEN(AG2547)</f>
        <v/>
      </c>
      <c r="AI2547" s="10">
        <f>LEN(L2547)</f>
        <v/>
      </c>
    </row>
    <row r="2548">
      <c r="J2548" s="12">
        <f>IF(F2548&lt;&gt;0,"LANÇAR","")</f>
        <v/>
      </c>
      <c r="L2548" s="13">
        <f>N2548&amp;O2548&amp;P2548&amp;Q2548&amp;R2548&amp;S2548&amp;T2548&amp;U2548&amp;V2548&amp;W2548&amp;X2548&amp;Y2548&amp;Z2548&amp;AA2548&amp;AB2548&amp;AC2548&amp;AD2548&amp;AE2548&amp;AF2548&amp;AG2548</f>
        <v/>
      </c>
      <c r="N2548" s="10">
        <f>TEXT($B$6,"00")</f>
        <v/>
      </c>
      <c r="O2548" s="10">
        <f>REPT(" ",8)</f>
        <v/>
      </c>
      <c r="P2548" s="10">
        <f>RIGHT($B$4,2)</f>
        <v/>
      </c>
      <c r="Q2548" s="10">
        <f>RIGHT($B$5,3)</f>
        <v/>
      </c>
      <c r="R2548" s="10">
        <f>IF(A2548="D",LEFT(UPPER(B2548)&amp;REPT(" ",20),20),REPT(" ",20))</f>
        <v/>
      </c>
      <c r="S2548" s="10">
        <f>IF(A2548="D",LEFT(UPPER(C2548)&amp;REPT(" ",10),10)," ")</f>
        <v/>
      </c>
      <c r="T2548" s="10">
        <f>IF(A2548="D",LEFT(UPPER(D2548)&amp;REPT(" ",2),2)," ")</f>
        <v/>
      </c>
      <c r="U2548" s="10">
        <f>IF(A2548="D",LEFT(UPPER(E2548)&amp;REPT(" ",15),15)," ")</f>
        <v/>
      </c>
      <c r="V2548" s="10">
        <f>REPT(" ",24)</f>
        <v/>
      </c>
      <c r="W2548" s="10">
        <f>IF(A2548="c",LEFT(UPPER(B2548)&amp;REPT(" ",20),20),REPT(" ",20))</f>
        <v/>
      </c>
      <c r="X2548" s="10">
        <f>IF(A2548="C",LEFT(UPPER(C2548)&amp;REPT(" ",10),10)," ")</f>
        <v/>
      </c>
      <c r="Y2548" s="10">
        <f>IF(A2548="C",LEFT(UPPER(D2548)&amp;REPT(" ",2),2)," ")</f>
        <v/>
      </c>
      <c r="Z2548" s="10">
        <f>IF(A2548="C",LEFT(UPPER(E2548)&amp;REPT(" ",15),15)," ")</f>
        <v/>
      </c>
      <c r="AA2548" s="10">
        <f>REPT(" ",8)</f>
        <v/>
      </c>
      <c r="AB2548" s="10">
        <f>REPT(" ",4)</f>
        <v/>
      </c>
      <c r="AC2548" s="10">
        <f>LEFT(UPPER(H2548)&amp;REPT(" ",250),250)</f>
        <v/>
      </c>
      <c r="AD2548" s="10">
        <f>TEXT($G$2,"dd/mm/aaaa")</f>
        <v/>
      </c>
      <c r="AE2548" s="10">
        <f>REPT(" ",10)</f>
        <v/>
      </c>
      <c r="AF2548" s="10">
        <f>REPT(" ",20)</f>
        <v/>
      </c>
      <c r="AG2548" s="54">
        <f>REPT(" ",18-LEN(FIXED(F2548,2,TRUE)))&amp;FIXED(F2548,2,TRUE)</f>
        <v/>
      </c>
      <c r="AH2548" s="10">
        <f>LEN(AC2548)+LEN(AG2548)</f>
        <v/>
      </c>
      <c r="AI2548" s="10">
        <f>LEN(L2548)</f>
        <v/>
      </c>
    </row>
    <row r="2549">
      <c r="J2549" s="12">
        <f>IF(F2549&lt;&gt;0,"LANÇAR","")</f>
        <v/>
      </c>
      <c r="L2549" s="13">
        <f>N2549&amp;O2549&amp;P2549&amp;Q2549&amp;R2549&amp;S2549&amp;T2549&amp;U2549&amp;V2549&amp;W2549&amp;X2549&amp;Y2549&amp;Z2549&amp;AA2549&amp;AB2549&amp;AC2549&amp;AD2549&amp;AE2549&amp;AF2549&amp;AG2549</f>
        <v/>
      </c>
      <c r="N2549" s="10">
        <f>TEXT($B$6,"00")</f>
        <v/>
      </c>
      <c r="O2549" s="10">
        <f>REPT(" ",8)</f>
        <v/>
      </c>
      <c r="P2549" s="10">
        <f>RIGHT($B$4,2)</f>
        <v/>
      </c>
      <c r="Q2549" s="10">
        <f>RIGHT($B$5,3)</f>
        <v/>
      </c>
      <c r="R2549" s="10">
        <f>IF(A2549="D",LEFT(UPPER(B2549)&amp;REPT(" ",20),20),REPT(" ",20))</f>
        <v/>
      </c>
      <c r="S2549" s="10">
        <f>IF(A2549="D",LEFT(UPPER(C2549)&amp;REPT(" ",10),10)," ")</f>
        <v/>
      </c>
      <c r="T2549" s="10">
        <f>IF(A2549="D",LEFT(UPPER(D2549)&amp;REPT(" ",2),2)," ")</f>
        <v/>
      </c>
      <c r="U2549" s="10">
        <f>IF(A2549="D",LEFT(UPPER(E2549)&amp;REPT(" ",15),15)," ")</f>
        <v/>
      </c>
      <c r="V2549" s="10">
        <f>REPT(" ",24)</f>
        <v/>
      </c>
      <c r="W2549" s="10">
        <f>IF(A2549="c",LEFT(UPPER(B2549)&amp;REPT(" ",20),20),REPT(" ",20))</f>
        <v/>
      </c>
      <c r="X2549" s="10">
        <f>IF(A2549="C",LEFT(UPPER(C2549)&amp;REPT(" ",10),10)," ")</f>
        <v/>
      </c>
      <c r="Y2549" s="10">
        <f>IF(A2549="C",LEFT(UPPER(D2549)&amp;REPT(" ",2),2)," ")</f>
        <v/>
      </c>
      <c r="Z2549" s="10">
        <f>IF(A2549="C",LEFT(UPPER(E2549)&amp;REPT(" ",15),15)," ")</f>
        <v/>
      </c>
      <c r="AA2549" s="10">
        <f>REPT(" ",8)</f>
        <v/>
      </c>
      <c r="AB2549" s="10">
        <f>REPT(" ",4)</f>
        <v/>
      </c>
      <c r="AC2549" s="10">
        <f>LEFT(UPPER(H2549)&amp;REPT(" ",250),250)</f>
        <v/>
      </c>
      <c r="AD2549" s="10">
        <f>TEXT($G$2,"dd/mm/aaaa")</f>
        <v/>
      </c>
      <c r="AE2549" s="10">
        <f>REPT(" ",10)</f>
        <v/>
      </c>
      <c r="AF2549" s="10">
        <f>REPT(" ",20)</f>
        <v/>
      </c>
      <c r="AG2549" s="54">
        <f>REPT(" ",18-LEN(FIXED(F2549,2,TRUE)))&amp;FIXED(F2549,2,TRUE)</f>
        <v/>
      </c>
      <c r="AH2549" s="10">
        <f>LEN(AC2549)+LEN(AG2549)</f>
        <v/>
      </c>
      <c r="AI2549" s="10">
        <f>LEN(L2549)</f>
        <v/>
      </c>
    </row>
    <row r="2550">
      <c r="J2550" s="12">
        <f>IF(F2550&lt;&gt;0,"LANÇAR","")</f>
        <v/>
      </c>
      <c r="L2550" s="13">
        <f>N2550&amp;O2550&amp;P2550&amp;Q2550&amp;R2550&amp;S2550&amp;T2550&amp;U2550&amp;V2550&amp;W2550&amp;X2550&amp;Y2550&amp;Z2550&amp;AA2550&amp;AB2550&amp;AC2550&amp;AD2550&amp;AE2550&amp;AF2550&amp;AG2550</f>
        <v/>
      </c>
      <c r="N2550" s="10">
        <f>TEXT($B$6,"00")</f>
        <v/>
      </c>
      <c r="O2550" s="10">
        <f>REPT(" ",8)</f>
        <v/>
      </c>
      <c r="P2550" s="10">
        <f>RIGHT($B$4,2)</f>
        <v/>
      </c>
      <c r="Q2550" s="10">
        <f>RIGHT($B$5,3)</f>
        <v/>
      </c>
      <c r="R2550" s="10">
        <f>IF(A2550="D",LEFT(UPPER(B2550)&amp;REPT(" ",20),20),REPT(" ",20))</f>
        <v/>
      </c>
      <c r="S2550" s="10">
        <f>IF(A2550="D",LEFT(UPPER(C2550)&amp;REPT(" ",10),10)," ")</f>
        <v/>
      </c>
      <c r="T2550" s="10">
        <f>IF(A2550="D",LEFT(UPPER(D2550)&amp;REPT(" ",2),2)," ")</f>
        <v/>
      </c>
      <c r="U2550" s="10">
        <f>IF(A2550="D",LEFT(UPPER(E2550)&amp;REPT(" ",15),15)," ")</f>
        <v/>
      </c>
      <c r="V2550" s="10">
        <f>REPT(" ",24)</f>
        <v/>
      </c>
      <c r="W2550" s="10">
        <f>IF(A2550="c",LEFT(UPPER(B2550)&amp;REPT(" ",20),20),REPT(" ",20))</f>
        <v/>
      </c>
      <c r="X2550" s="10">
        <f>IF(A2550="C",LEFT(UPPER(C2550)&amp;REPT(" ",10),10)," ")</f>
        <v/>
      </c>
      <c r="Y2550" s="10">
        <f>IF(A2550="C",LEFT(UPPER(D2550)&amp;REPT(" ",2),2)," ")</f>
        <v/>
      </c>
      <c r="Z2550" s="10">
        <f>IF(A2550="C",LEFT(UPPER(E2550)&amp;REPT(" ",15),15)," ")</f>
        <v/>
      </c>
      <c r="AA2550" s="10">
        <f>REPT(" ",8)</f>
        <v/>
      </c>
      <c r="AB2550" s="10">
        <f>REPT(" ",4)</f>
        <v/>
      </c>
      <c r="AC2550" s="10">
        <f>LEFT(UPPER(H2550)&amp;REPT(" ",250),250)</f>
        <v/>
      </c>
      <c r="AD2550" s="10">
        <f>TEXT($G$2,"dd/mm/aaaa")</f>
        <v/>
      </c>
      <c r="AE2550" s="10">
        <f>REPT(" ",10)</f>
        <v/>
      </c>
      <c r="AF2550" s="10">
        <f>REPT(" ",20)</f>
        <v/>
      </c>
      <c r="AG2550" s="54">
        <f>REPT(" ",18-LEN(FIXED(F2550,2,TRUE)))&amp;FIXED(F2550,2,TRUE)</f>
        <v/>
      </c>
      <c r="AH2550" s="10">
        <f>LEN(AC2550)+LEN(AG2550)</f>
        <v/>
      </c>
      <c r="AI2550" s="10">
        <f>LEN(L2550)</f>
        <v/>
      </c>
    </row>
    <row r="2551">
      <c r="J2551" s="12">
        <f>IF(F2551&lt;&gt;0,"LANÇAR","")</f>
        <v/>
      </c>
      <c r="L2551" s="13">
        <f>N2551&amp;O2551&amp;P2551&amp;Q2551&amp;R2551&amp;S2551&amp;T2551&amp;U2551&amp;V2551&amp;W2551&amp;X2551&amp;Y2551&amp;Z2551&amp;AA2551&amp;AB2551&amp;AC2551&amp;AD2551&amp;AE2551&amp;AF2551&amp;AG2551</f>
        <v/>
      </c>
      <c r="N2551" s="10">
        <f>TEXT($B$6,"00")</f>
        <v/>
      </c>
      <c r="O2551" s="10">
        <f>REPT(" ",8)</f>
        <v/>
      </c>
      <c r="P2551" s="10">
        <f>RIGHT($B$4,2)</f>
        <v/>
      </c>
      <c r="Q2551" s="10">
        <f>RIGHT($B$5,3)</f>
        <v/>
      </c>
      <c r="R2551" s="10">
        <f>IF(A2551="D",LEFT(UPPER(B2551)&amp;REPT(" ",20),20),REPT(" ",20))</f>
        <v/>
      </c>
      <c r="S2551" s="10">
        <f>IF(A2551="D",LEFT(UPPER(C2551)&amp;REPT(" ",10),10)," ")</f>
        <v/>
      </c>
      <c r="T2551" s="10">
        <f>IF(A2551="D",LEFT(UPPER(D2551)&amp;REPT(" ",2),2)," ")</f>
        <v/>
      </c>
      <c r="U2551" s="10">
        <f>IF(A2551="D",LEFT(UPPER(E2551)&amp;REPT(" ",15),15)," ")</f>
        <v/>
      </c>
      <c r="V2551" s="10">
        <f>REPT(" ",24)</f>
        <v/>
      </c>
      <c r="W2551" s="10">
        <f>IF(A2551="c",LEFT(UPPER(B2551)&amp;REPT(" ",20),20),REPT(" ",20))</f>
        <v/>
      </c>
      <c r="X2551" s="10">
        <f>IF(A2551="C",LEFT(UPPER(C2551)&amp;REPT(" ",10),10)," ")</f>
        <v/>
      </c>
      <c r="Y2551" s="10">
        <f>IF(A2551="C",LEFT(UPPER(D2551)&amp;REPT(" ",2),2)," ")</f>
        <v/>
      </c>
      <c r="Z2551" s="10">
        <f>IF(A2551="C",LEFT(UPPER(E2551)&amp;REPT(" ",15),15)," ")</f>
        <v/>
      </c>
      <c r="AA2551" s="10">
        <f>REPT(" ",8)</f>
        <v/>
      </c>
      <c r="AB2551" s="10">
        <f>REPT(" ",4)</f>
        <v/>
      </c>
      <c r="AC2551" s="10">
        <f>LEFT(UPPER(H2551)&amp;REPT(" ",250),250)</f>
        <v/>
      </c>
      <c r="AD2551" s="10">
        <f>TEXT($G$2,"dd/mm/aaaa")</f>
        <v/>
      </c>
      <c r="AE2551" s="10">
        <f>REPT(" ",10)</f>
        <v/>
      </c>
      <c r="AF2551" s="10">
        <f>REPT(" ",20)</f>
        <v/>
      </c>
      <c r="AG2551" s="54">
        <f>REPT(" ",18-LEN(FIXED(F2551,2,TRUE)))&amp;FIXED(F2551,2,TRUE)</f>
        <v/>
      </c>
      <c r="AH2551" s="10">
        <f>LEN(AC2551)+LEN(AG2551)</f>
        <v/>
      </c>
      <c r="AI2551" s="10">
        <f>LEN(L2551)</f>
        <v/>
      </c>
    </row>
    <row r="2552">
      <c r="J2552" s="12">
        <f>IF(F2552&lt;&gt;0,"LANÇAR","")</f>
        <v/>
      </c>
      <c r="L2552" s="13">
        <f>N2552&amp;O2552&amp;P2552&amp;Q2552&amp;R2552&amp;S2552&amp;T2552&amp;U2552&amp;V2552&amp;W2552&amp;X2552&amp;Y2552&amp;Z2552&amp;AA2552&amp;AB2552&amp;AC2552&amp;AD2552&amp;AE2552&amp;AF2552&amp;AG2552</f>
        <v/>
      </c>
      <c r="N2552" s="10">
        <f>TEXT($B$6,"00")</f>
        <v/>
      </c>
      <c r="O2552" s="10">
        <f>REPT(" ",8)</f>
        <v/>
      </c>
      <c r="P2552" s="10">
        <f>RIGHT($B$4,2)</f>
        <v/>
      </c>
      <c r="Q2552" s="10">
        <f>RIGHT($B$5,3)</f>
        <v/>
      </c>
      <c r="R2552" s="10">
        <f>IF(A2552="D",LEFT(UPPER(B2552)&amp;REPT(" ",20),20),REPT(" ",20))</f>
        <v/>
      </c>
      <c r="S2552" s="10">
        <f>IF(A2552="D",LEFT(UPPER(C2552)&amp;REPT(" ",10),10)," ")</f>
        <v/>
      </c>
      <c r="T2552" s="10">
        <f>IF(A2552="D",LEFT(UPPER(D2552)&amp;REPT(" ",2),2)," ")</f>
        <v/>
      </c>
      <c r="U2552" s="10">
        <f>IF(A2552="D",LEFT(UPPER(E2552)&amp;REPT(" ",15),15)," ")</f>
        <v/>
      </c>
      <c r="V2552" s="10">
        <f>REPT(" ",24)</f>
        <v/>
      </c>
      <c r="W2552" s="10">
        <f>IF(A2552="c",LEFT(UPPER(B2552)&amp;REPT(" ",20),20),REPT(" ",20))</f>
        <v/>
      </c>
      <c r="X2552" s="10">
        <f>IF(A2552="C",LEFT(UPPER(C2552)&amp;REPT(" ",10),10)," ")</f>
        <v/>
      </c>
      <c r="Y2552" s="10">
        <f>IF(A2552="C",LEFT(UPPER(D2552)&amp;REPT(" ",2),2)," ")</f>
        <v/>
      </c>
      <c r="Z2552" s="10">
        <f>IF(A2552="C",LEFT(UPPER(E2552)&amp;REPT(" ",15),15)," ")</f>
        <v/>
      </c>
      <c r="AA2552" s="10">
        <f>REPT(" ",8)</f>
        <v/>
      </c>
      <c r="AB2552" s="10">
        <f>REPT(" ",4)</f>
        <v/>
      </c>
      <c r="AC2552" s="10">
        <f>LEFT(UPPER(H2552)&amp;REPT(" ",250),250)</f>
        <v/>
      </c>
      <c r="AD2552" s="10">
        <f>TEXT($G$2,"dd/mm/aaaa")</f>
        <v/>
      </c>
      <c r="AE2552" s="10">
        <f>REPT(" ",10)</f>
        <v/>
      </c>
      <c r="AF2552" s="10">
        <f>REPT(" ",20)</f>
        <v/>
      </c>
      <c r="AG2552" s="54">
        <f>REPT(" ",18-LEN(FIXED(F2552,2,TRUE)))&amp;FIXED(F2552,2,TRUE)</f>
        <v/>
      </c>
      <c r="AH2552" s="10">
        <f>LEN(AC2552)+LEN(AG2552)</f>
        <v/>
      </c>
      <c r="AI2552" s="10">
        <f>LEN(L2552)</f>
        <v/>
      </c>
    </row>
    <row r="2553">
      <c r="J2553" s="12">
        <f>IF(F2553&lt;&gt;0,"LANÇAR","")</f>
        <v/>
      </c>
      <c r="L2553" s="13">
        <f>N2553&amp;O2553&amp;P2553&amp;Q2553&amp;R2553&amp;S2553&amp;T2553&amp;U2553&amp;V2553&amp;W2553&amp;X2553&amp;Y2553&amp;Z2553&amp;AA2553&amp;AB2553&amp;AC2553&amp;AD2553&amp;AE2553&amp;AF2553&amp;AG2553</f>
        <v/>
      </c>
      <c r="N2553" s="10">
        <f>TEXT($B$6,"00")</f>
        <v/>
      </c>
      <c r="O2553" s="10">
        <f>REPT(" ",8)</f>
        <v/>
      </c>
      <c r="P2553" s="10">
        <f>RIGHT($B$4,2)</f>
        <v/>
      </c>
      <c r="Q2553" s="10">
        <f>RIGHT($B$5,3)</f>
        <v/>
      </c>
      <c r="R2553" s="10">
        <f>IF(A2553="D",LEFT(UPPER(B2553)&amp;REPT(" ",20),20),REPT(" ",20))</f>
        <v/>
      </c>
      <c r="S2553" s="10">
        <f>IF(A2553="D",LEFT(UPPER(C2553)&amp;REPT(" ",10),10)," ")</f>
        <v/>
      </c>
      <c r="T2553" s="10">
        <f>IF(A2553="D",LEFT(UPPER(D2553)&amp;REPT(" ",2),2)," ")</f>
        <v/>
      </c>
      <c r="U2553" s="10">
        <f>IF(A2553="D",LEFT(UPPER(E2553)&amp;REPT(" ",15),15)," ")</f>
        <v/>
      </c>
      <c r="V2553" s="10">
        <f>REPT(" ",24)</f>
        <v/>
      </c>
      <c r="W2553" s="10">
        <f>IF(A2553="c",LEFT(UPPER(B2553)&amp;REPT(" ",20),20),REPT(" ",20))</f>
        <v/>
      </c>
      <c r="X2553" s="10">
        <f>IF(A2553="C",LEFT(UPPER(C2553)&amp;REPT(" ",10),10)," ")</f>
        <v/>
      </c>
      <c r="Y2553" s="10">
        <f>IF(A2553="C",LEFT(UPPER(D2553)&amp;REPT(" ",2),2)," ")</f>
        <v/>
      </c>
      <c r="Z2553" s="10">
        <f>IF(A2553="C",LEFT(UPPER(E2553)&amp;REPT(" ",15),15)," ")</f>
        <v/>
      </c>
      <c r="AA2553" s="10">
        <f>REPT(" ",8)</f>
        <v/>
      </c>
      <c r="AB2553" s="10">
        <f>REPT(" ",4)</f>
        <v/>
      </c>
      <c r="AC2553" s="10">
        <f>LEFT(UPPER(H2553)&amp;REPT(" ",250),250)</f>
        <v/>
      </c>
      <c r="AD2553" s="10">
        <f>TEXT($G$2,"dd/mm/aaaa")</f>
        <v/>
      </c>
      <c r="AE2553" s="10">
        <f>REPT(" ",10)</f>
        <v/>
      </c>
      <c r="AF2553" s="10">
        <f>REPT(" ",20)</f>
        <v/>
      </c>
      <c r="AG2553" s="54">
        <f>REPT(" ",18-LEN(FIXED(F2553,2,TRUE)))&amp;FIXED(F2553,2,TRUE)</f>
        <v/>
      </c>
      <c r="AH2553" s="10">
        <f>LEN(AC2553)+LEN(AG2553)</f>
        <v/>
      </c>
      <c r="AI2553" s="10">
        <f>LEN(L2553)</f>
        <v/>
      </c>
    </row>
    <row r="2554">
      <c r="J2554" s="12">
        <f>IF(F2554&lt;&gt;0,"LANÇAR","")</f>
        <v/>
      </c>
      <c r="L2554" s="13">
        <f>N2554&amp;O2554&amp;P2554&amp;Q2554&amp;R2554&amp;S2554&amp;T2554&amp;U2554&amp;V2554&amp;W2554&amp;X2554&amp;Y2554&amp;Z2554&amp;AA2554&amp;AB2554&amp;AC2554&amp;AD2554&amp;AE2554&amp;AF2554&amp;AG2554</f>
        <v/>
      </c>
      <c r="N2554" s="10">
        <f>TEXT($B$6,"00")</f>
        <v/>
      </c>
      <c r="O2554" s="10">
        <f>REPT(" ",8)</f>
        <v/>
      </c>
      <c r="P2554" s="10">
        <f>RIGHT($B$4,2)</f>
        <v/>
      </c>
      <c r="Q2554" s="10">
        <f>RIGHT($B$5,3)</f>
        <v/>
      </c>
      <c r="R2554" s="10">
        <f>IF(A2554="D",LEFT(UPPER(B2554)&amp;REPT(" ",20),20),REPT(" ",20))</f>
        <v/>
      </c>
      <c r="S2554" s="10">
        <f>IF(A2554="D",LEFT(UPPER(C2554)&amp;REPT(" ",10),10)," ")</f>
        <v/>
      </c>
      <c r="T2554" s="10">
        <f>IF(A2554="D",LEFT(UPPER(D2554)&amp;REPT(" ",2),2)," ")</f>
        <v/>
      </c>
      <c r="U2554" s="10">
        <f>IF(A2554="D",LEFT(UPPER(E2554)&amp;REPT(" ",15),15)," ")</f>
        <v/>
      </c>
      <c r="V2554" s="10">
        <f>REPT(" ",24)</f>
        <v/>
      </c>
      <c r="W2554" s="10">
        <f>IF(A2554="c",LEFT(UPPER(B2554)&amp;REPT(" ",20),20),REPT(" ",20))</f>
        <v/>
      </c>
      <c r="X2554" s="10">
        <f>IF(A2554="C",LEFT(UPPER(C2554)&amp;REPT(" ",10),10)," ")</f>
        <v/>
      </c>
      <c r="Y2554" s="10">
        <f>IF(A2554="C",LEFT(UPPER(D2554)&amp;REPT(" ",2),2)," ")</f>
        <v/>
      </c>
      <c r="Z2554" s="10">
        <f>IF(A2554="C",LEFT(UPPER(E2554)&amp;REPT(" ",15),15)," ")</f>
        <v/>
      </c>
      <c r="AA2554" s="10">
        <f>REPT(" ",8)</f>
        <v/>
      </c>
      <c r="AB2554" s="10">
        <f>REPT(" ",4)</f>
        <v/>
      </c>
      <c r="AC2554" s="10">
        <f>LEFT(UPPER(H2554)&amp;REPT(" ",250),250)</f>
        <v/>
      </c>
      <c r="AD2554" s="10">
        <f>TEXT($G$2,"dd/mm/aaaa")</f>
        <v/>
      </c>
      <c r="AE2554" s="10">
        <f>REPT(" ",10)</f>
        <v/>
      </c>
      <c r="AF2554" s="10">
        <f>REPT(" ",20)</f>
        <v/>
      </c>
      <c r="AG2554" s="54">
        <f>REPT(" ",18-LEN(FIXED(F2554,2,TRUE)))&amp;FIXED(F2554,2,TRUE)</f>
        <v/>
      </c>
      <c r="AH2554" s="10">
        <f>LEN(AC2554)+LEN(AG2554)</f>
        <v/>
      </c>
      <c r="AI2554" s="10">
        <f>LEN(L2554)</f>
        <v/>
      </c>
    </row>
    <row r="2555">
      <c r="J2555" s="12">
        <f>IF(F2555&lt;&gt;0,"LANÇAR","")</f>
        <v/>
      </c>
      <c r="L2555" s="13">
        <f>N2555&amp;O2555&amp;P2555&amp;Q2555&amp;R2555&amp;S2555&amp;T2555&amp;U2555&amp;V2555&amp;W2555&amp;X2555&amp;Y2555&amp;Z2555&amp;AA2555&amp;AB2555&amp;AC2555&amp;AD2555&amp;AE2555&amp;AF2555&amp;AG2555</f>
        <v/>
      </c>
      <c r="N2555" s="10">
        <f>TEXT($B$6,"00")</f>
        <v/>
      </c>
      <c r="O2555" s="10">
        <f>REPT(" ",8)</f>
        <v/>
      </c>
      <c r="P2555" s="10">
        <f>RIGHT($B$4,2)</f>
        <v/>
      </c>
      <c r="Q2555" s="10">
        <f>RIGHT($B$5,3)</f>
        <v/>
      </c>
      <c r="R2555" s="10">
        <f>IF(A2555="D",LEFT(UPPER(B2555)&amp;REPT(" ",20),20),REPT(" ",20))</f>
        <v/>
      </c>
      <c r="S2555" s="10">
        <f>IF(A2555="D",LEFT(UPPER(C2555)&amp;REPT(" ",10),10)," ")</f>
        <v/>
      </c>
      <c r="T2555" s="10">
        <f>IF(A2555="D",LEFT(UPPER(D2555)&amp;REPT(" ",2),2)," ")</f>
        <v/>
      </c>
      <c r="U2555" s="10">
        <f>IF(A2555="D",LEFT(UPPER(E2555)&amp;REPT(" ",15),15)," ")</f>
        <v/>
      </c>
      <c r="V2555" s="10">
        <f>REPT(" ",24)</f>
        <v/>
      </c>
      <c r="W2555" s="10">
        <f>IF(A2555="c",LEFT(UPPER(B2555)&amp;REPT(" ",20),20),REPT(" ",20))</f>
        <v/>
      </c>
      <c r="X2555" s="10">
        <f>IF(A2555="C",LEFT(UPPER(C2555)&amp;REPT(" ",10),10)," ")</f>
        <v/>
      </c>
      <c r="Y2555" s="10">
        <f>IF(A2555="C",LEFT(UPPER(D2555)&amp;REPT(" ",2),2)," ")</f>
        <v/>
      </c>
      <c r="Z2555" s="10">
        <f>IF(A2555="C",LEFT(UPPER(E2555)&amp;REPT(" ",15),15)," ")</f>
        <v/>
      </c>
      <c r="AA2555" s="10">
        <f>REPT(" ",8)</f>
        <v/>
      </c>
      <c r="AB2555" s="10">
        <f>REPT(" ",4)</f>
        <v/>
      </c>
      <c r="AC2555" s="10">
        <f>LEFT(UPPER(H2555)&amp;REPT(" ",250),250)</f>
        <v/>
      </c>
      <c r="AD2555" s="10">
        <f>TEXT($G$2,"dd/mm/aaaa")</f>
        <v/>
      </c>
      <c r="AE2555" s="10">
        <f>REPT(" ",10)</f>
        <v/>
      </c>
      <c r="AF2555" s="10">
        <f>REPT(" ",20)</f>
        <v/>
      </c>
      <c r="AG2555" s="54">
        <f>REPT(" ",18-LEN(FIXED(F2555,2,TRUE)))&amp;FIXED(F2555,2,TRUE)</f>
        <v/>
      </c>
      <c r="AH2555" s="10">
        <f>LEN(AC2555)+LEN(AG2555)</f>
        <v/>
      </c>
      <c r="AI2555" s="10">
        <f>LEN(L2555)</f>
        <v/>
      </c>
    </row>
    <row r="2556">
      <c r="J2556" s="12">
        <f>IF(F2556&lt;&gt;0,"LANÇAR","")</f>
        <v/>
      </c>
      <c r="L2556" s="13">
        <f>N2556&amp;O2556&amp;P2556&amp;Q2556&amp;R2556&amp;S2556&amp;T2556&amp;U2556&amp;V2556&amp;W2556&amp;X2556&amp;Y2556&amp;Z2556&amp;AA2556&amp;AB2556&amp;AC2556&amp;AD2556&amp;AE2556&amp;AF2556&amp;AG2556</f>
        <v/>
      </c>
      <c r="N2556" s="10">
        <f>TEXT($B$6,"00")</f>
        <v/>
      </c>
      <c r="O2556" s="10">
        <f>REPT(" ",8)</f>
        <v/>
      </c>
      <c r="P2556" s="10">
        <f>RIGHT($B$4,2)</f>
        <v/>
      </c>
      <c r="Q2556" s="10">
        <f>RIGHT($B$5,3)</f>
        <v/>
      </c>
      <c r="R2556" s="10">
        <f>IF(A2556="D",LEFT(UPPER(B2556)&amp;REPT(" ",20),20),REPT(" ",20))</f>
        <v/>
      </c>
      <c r="S2556" s="10">
        <f>IF(A2556="D",LEFT(UPPER(C2556)&amp;REPT(" ",10),10)," ")</f>
        <v/>
      </c>
      <c r="T2556" s="10">
        <f>IF(A2556="D",LEFT(UPPER(D2556)&amp;REPT(" ",2),2)," ")</f>
        <v/>
      </c>
      <c r="U2556" s="10">
        <f>IF(A2556="D",LEFT(UPPER(E2556)&amp;REPT(" ",15),15)," ")</f>
        <v/>
      </c>
      <c r="V2556" s="10">
        <f>REPT(" ",24)</f>
        <v/>
      </c>
      <c r="W2556" s="10">
        <f>IF(A2556="c",LEFT(UPPER(B2556)&amp;REPT(" ",20),20),REPT(" ",20))</f>
        <v/>
      </c>
      <c r="X2556" s="10">
        <f>IF(A2556="C",LEFT(UPPER(C2556)&amp;REPT(" ",10),10)," ")</f>
        <v/>
      </c>
      <c r="Y2556" s="10">
        <f>IF(A2556="C",LEFT(UPPER(D2556)&amp;REPT(" ",2),2)," ")</f>
        <v/>
      </c>
      <c r="Z2556" s="10">
        <f>IF(A2556="C",LEFT(UPPER(E2556)&amp;REPT(" ",15),15)," ")</f>
        <v/>
      </c>
      <c r="AA2556" s="10">
        <f>REPT(" ",8)</f>
        <v/>
      </c>
      <c r="AB2556" s="10">
        <f>REPT(" ",4)</f>
        <v/>
      </c>
      <c r="AC2556" s="10">
        <f>LEFT(UPPER(H2556)&amp;REPT(" ",250),250)</f>
        <v/>
      </c>
      <c r="AD2556" s="10">
        <f>TEXT($G$2,"dd/mm/aaaa")</f>
        <v/>
      </c>
      <c r="AE2556" s="10">
        <f>REPT(" ",10)</f>
        <v/>
      </c>
      <c r="AF2556" s="10">
        <f>REPT(" ",20)</f>
        <v/>
      </c>
      <c r="AG2556" s="54">
        <f>REPT(" ",18-LEN(FIXED(F2556,2,TRUE)))&amp;FIXED(F2556,2,TRUE)</f>
        <v/>
      </c>
      <c r="AH2556" s="10">
        <f>LEN(AC2556)+LEN(AG2556)</f>
        <v/>
      </c>
      <c r="AI2556" s="10">
        <f>LEN(L2556)</f>
        <v/>
      </c>
    </row>
    <row r="2557">
      <c r="J2557" s="12">
        <f>IF(F2557&lt;&gt;0,"LANÇAR","")</f>
        <v/>
      </c>
      <c r="L2557" s="13">
        <f>N2557&amp;O2557&amp;P2557&amp;Q2557&amp;R2557&amp;S2557&amp;T2557&amp;U2557&amp;V2557&amp;W2557&amp;X2557&amp;Y2557&amp;Z2557&amp;AA2557&amp;AB2557&amp;AC2557&amp;AD2557&amp;AE2557&amp;AF2557&amp;AG2557</f>
        <v/>
      </c>
      <c r="N2557" s="10">
        <f>TEXT($B$6,"00")</f>
        <v/>
      </c>
      <c r="O2557" s="10">
        <f>REPT(" ",8)</f>
        <v/>
      </c>
      <c r="P2557" s="10">
        <f>RIGHT($B$4,2)</f>
        <v/>
      </c>
      <c r="Q2557" s="10">
        <f>RIGHT($B$5,3)</f>
        <v/>
      </c>
      <c r="R2557" s="10">
        <f>IF(A2557="D",LEFT(UPPER(B2557)&amp;REPT(" ",20),20),REPT(" ",20))</f>
        <v/>
      </c>
      <c r="S2557" s="10">
        <f>IF(A2557="D",LEFT(UPPER(C2557)&amp;REPT(" ",10),10)," ")</f>
        <v/>
      </c>
      <c r="T2557" s="10">
        <f>IF(A2557="D",LEFT(UPPER(D2557)&amp;REPT(" ",2),2)," ")</f>
        <v/>
      </c>
      <c r="U2557" s="10">
        <f>IF(A2557="D",LEFT(UPPER(E2557)&amp;REPT(" ",15),15)," ")</f>
        <v/>
      </c>
      <c r="V2557" s="10">
        <f>REPT(" ",24)</f>
        <v/>
      </c>
      <c r="W2557" s="10">
        <f>IF(A2557="c",LEFT(UPPER(B2557)&amp;REPT(" ",20),20),REPT(" ",20))</f>
        <v/>
      </c>
      <c r="X2557" s="10">
        <f>IF(A2557="C",LEFT(UPPER(C2557)&amp;REPT(" ",10),10)," ")</f>
        <v/>
      </c>
      <c r="Y2557" s="10">
        <f>IF(A2557="C",LEFT(UPPER(D2557)&amp;REPT(" ",2),2)," ")</f>
        <v/>
      </c>
      <c r="Z2557" s="10">
        <f>IF(A2557="C",LEFT(UPPER(E2557)&amp;REPT(" ",15),15)," ")</f>
        <v/>
      </c>
      <c r="AA2557" s="10">
        <f>REPT(" ",8)</f>
        <v/>
      </c>
      <c r="AB2557" s="10">
        <f>REPT(" ",4)</f>
        <v/>
      </c>
      <c r="AC2557" s="10">
        <f>LEFT(UPPER(H2557)&amp;REPT(" ",250),250)</f>
        <v/>
      </c>
      <c r="AD2557" s="10">
        <f>TEXT($G$2,"dd/mm/aaaa")</f>
        <v/>
      </c>
      <c r="AE2557" s="10">
        <f>REPT(" ",10)</f>
        <v/>
      </c>
      <c r="AF2557" s="10">
        <f>REPT(" ",20)</f>
        <v/>
      </c>
      <c r="AG2557" s="54">
        <f>REPT(" ",18-LEN(FIXED(F2557,2,TRUE)))&amp;FIXED(F2557,2,TRUE)</f>
        <v/>
      </c>
      <c r="AH2557" s="10">
        <f>LEN(AC2557)+LEN(AG2557)</f>
        <v/>
      </c>
      <c r="AI2557" s="10">
        <f>LEN(L2557)</f>
        <v/>
      </c>
    </row>
    <row r="2558">
      <c r="J2558" s="12">
        <f>IF(F2558&lt;&gt;0,"LANÇAR","")</f>
        <v/>
      </c>
      <c r="L2558" s="13">
        <f>N2558&amp;O2558&amp;P2558&amp;Q2558&amp;R2558&amp;S2558&amp;T2558&amp;U2558&amp;V2558&amp;W2558&amp;X2558&amp;Y2558&amp;Z2558&amp;AA2558&amp;AB2558&amp;AC2558&amp;AD2558&amp;AE2558&amp;AF2558&amp;AG2558</f>
        <v/>
      </c>
      <c r="N2558" s="10">
        <f>TEXT($B$6,"00")</f>
        <v/>
      </c>
      <c r="O2558" s="10">
        <f>REPT(" ",8)</f>
        <v/>
      </c>
      <c r="P2558" s="10">
        <f>RIGHT($B$4,2)</f>
        <v/>
      </c>
      <c r="Q2558" s="10">
        <f>RIGHT($B$5,3)</f>
        <v/>
      </c>
      <c r="R2558" s="10">
        <f>IF(A2558="D",LEFT(UPPER(B2558)&amp;REPT(" ",20),20),REPT(" ",20))</f>
        <v/>
      </c>
      <c r="S2558" s="10">
        <f>IF(A2558="D",LEFT(UPPER(C2558)&amp;REPT(" ",10),10)," ")</f>
        <v/>
      </c>
      <c r="T2558" s="10">
        <f>IF(A2558="D",LEFT(UPPER(D2558)&amp;REPT(" ",2),2)," ")</f>
        <v/>
      </c>
      <c r="U2558" s="10">
        <f>IF(A2558="D",LEFT(UPPER(E2558)&amp;REPT(" ",15),15)," ")</f>
        <v/>
      </c>
      <c r="V2558" s="10">
        <f>REPT(" ",24)</f>
        <v/>
      </c>
      <c r="W2558" s="10">
        <f>IF(A2558="c",LEFT(UPPER(B2558)&amp;REPT(" ",20),20),REPT(" ",20))</f>
        <v/>
      </c>
      <c r="X2558" s="10">
        <f>IF(A2558="C",LEFT(UPPER(C2558)&amp;REPT(" ",10),10)," ")</f>
        <v/>
      </c>
      <c r="Y2558" s="10">
        <f>IF(A2558="C",LEFT(UPPER(D2558)&amp;REPT(" ",2),2)," ")</f>
        <v/>
      </c>
      <c r="Z2558" s="10">
        <f>IF(A2558="C",LEFT(UPPER(E2558)&amp;REPT(" ",15),15)," ")</f>
        <v/>
      </c>
      <c r="AA2558" s="10">
        <f>REPT(" ",8)</f>
        <v/>
      </c>
      <c r="AB2558" s="10">
        <f>REPT(" ",4)</f>
        <v/>
      </c>
      <c r="AC2558" s="10">
        <f>LEFT(UPPER(H2558)&amp;REPT(" ",250),250)</f>
        <v/>
      </c>
      <c r="AD2558" s="10">
        <f>TEXT($G$2,"dd/mm/aaaa")</f>
        <v/>
      </c>
      <c r="AE2558" s="10">
        <f>REPT(" ",10)</f>
        <v/>
      </c>
      <c r="AF2558" s="10">
        <f>REPT(" ",20)</f>
        <v/>
      </c>
      <c r="AG2558" s="54">
        <f>REPT(" ",18-LEN(FIXED(F2558,2,TRUE)))&amp;FIXED(F2558,2,TRUE)</f>
        <v/>
      </c>
      <c r="AH2558" s="10">
        <f>LEN(AC2558)+LEN(AG2558)</f>
        <v/>
      </c>
      <c r="AI2558" s="10">
        <f>LEN(L2558)</f>
        <v/>
      </c>
    </row>
    <row r="2559">
      <c r="J2559" s="12">
        <f>IF(F2559&lt;&gt;0,"LANÇAR","")</f>
        <v/>
      </c>
      <c r="L2559" s="13">
        <f>N2559&amp;O2559&amp;P2559&amp;Q2559&amp;R2559&amp;S2559&amp;T2559&amp;U2559&amp;V2559&amp;W2559&amp;X2559&amp;Y2559&amp;Z2559&amp;AA2559&amp;AB2559&amp;AC2559&amp;AD2559&amp;AE2559&amp;AF2559&amp;AG2559</f>
        <v/>
      </c>
      <c r="N2559" s="10">
        <f>TEXT($B$6,"00")</f>
        <v/>
      </c>
      <c r="O2559" s="10">
        <f>REPT(" ",8)</f>
        <v/>
      </c>
      <c r="P2559" s="10">
        <f>RIGHT($B$4,2)</f>
        <v/>
      </c>
      <c r="Q2559" s="10">
        <f>RIGHT($B$5,3)</f>
        <v/>
      </c>
      <c r="R2559" s="10">
        <f>IF(A2559="D",LEFT(UPPER(B2559)&amp;REPT(" ",20),20),REPT(" ",20))</f>
        <v/>
      </c>
      <c r="S2559" s="10">
        <f>IF(A2559="D",LEFT(UPPER(C2559)&amp;REPT(" ",10),10)," ")</f>
        <v/>
      </c>
      <c r="T2559" s="10">
        <f>IF(A2559="D",LEFT(UPPER(D2559)&amp;REPT(" ",2),2)," ")</f>
        <v/>
      </c>
      <c r="U2559" s="10">
        <f>IF(A2559="D",LEFT(UPPER(E2559)&amp;REPT(" ",15),15)," ")</f>
        <v/>
      </c>
      <c r="V2559" s="10">
        <f>REPT(" ",24)</f>
        <v/>
      </c>
      <c r="W2559" s="10">
        <f>IF(A2559="c",LEFT(UPPER(B2559)&amp;REPT(" ",20),20),REPT(" ",20))</f>
        <v/>
      </c>
      <c r="X2559" s="10">
        <f>IF(A2559="C",LEFT(UPPER(C2559)&amp;REPT(" ",10),10)," ")</f>
        <v/>
      </c>
      <c r="Y2559" s="10">
        <f>IF(A2559="C",LEFT(UPPER(D2559)&amp;REPT(" ",2),2)," ")</f>
        <v/>
      </c>
      <c r="Z2559" s="10">
        <f>IF(A2559="C",LEFT(UPPER(E2559)&amp;REPT(" ",15),15)," ")</f>
        <v/>
      </c>
      <c r="AA2559" s="10">
        <f>REPT(" ",8)</f>
        <v/>
      </c>
      <c r="AB2559" s="10">
        <f>REPT(" ",4)</f>
        <v/>
      </c>
      <c r="AC2559" s="10">
        <f>LEFT(UPPER(H2559)&amp;REPT(" ",250),250)</f>
        <v/>
      </c>
      <c r="AD2559" s="10">
        <f>TEXT($G$2,"dd/mm/aaaa")</f>
        <v/>
      </c>
      <c r="AE2559" s="10">
        <f>REPT(" ",10)</f>
        <v/>
      </c>
      <c r="AF2559" s="10">
        <f>REPT(" ",20)</f>
        <v/>
      </c>
      <c r="AG2559" s="54">
        <f>REPT(" ",18-LEN(FIXED(F2559,2,TRUE)))&amp;FIXED(F2559,2,TRUE)</f>
        <v/>
      </c>
      <c r="AH2559" s="10">
        <f>LEN(AC2559)+LEN(AG2559)</f>
        <v/>
      </c>
      <c r="AI2559" s="10">
        <f>LEN(L2559)</f>
        <v/>
      </c>
    </row>
    <row r="2560">
      <c r="J2560" s="12">
        <f>IF(F2560&lt;&gt;0,"LANÇAR","")</f>
        <v/>
      </c>
      <c r="L2560" s="13">
        <f>N2560&amp;O2560&amp;P2560&amp;Q2560&amp;R2560&amp;S2560&amp;T2560&amp;U2560&amp;V2560&amp;W2560&amp;X2560&amp;Y2560&amp;Z2560&amp;AA2560&amp;AB2560&amp;AC2560&amp;AD2560&amp;AE2560&amp;AF2560&amp;AG2560</f>
        <v/>
      </c>
      <c r="N2560" s="10">
        <f>TEXT($B$6,"00")</f>
        <v/>
      </c>
      <c r="O2560" s="10">
        <f>REPT(" ",8)</f>
        <v/>
      </c>
      <c r="P2560" s="10">
        <f>RIGHT($B$4,2)</f>
        <v/>
      </c>
      <c r="Q2560" s="10">
        <f>RIGHT($B$5,3)</f>
        <v/>
      </c>
      <c r="R2560" s="10">
        <f>IF(A2560="D",LEFT(UPPER(B2560)&amp;REPT(" ",20),20),REPT(" ",20))</f>
        <v/>
      </c>
      <c r="S2560" s="10">
        <f>IF(A2560="D",LEFT(UPPER(C2560)&amp;REPT(" ",10),10)," ")</f>
        <v/>
      </c>
      <c r="T2560" s="10">
        <f>IF(A2560="D",LEFT(UPPER(D2560)&amp;REPT(" ",2),2)," ")</f>
        <v/>
      </c>
      <c r="U2560" s="10">
        <f>IF(A2560="D",LEFT(UPPER(E2560)&amp;REPT(" ",15),15)," ")</f>
        <v/>
      </c>
      <c r="V2560" s="10">
        <f>REPT(" ",24)</f>
        <v/>
      </c>
      <c r="W2560" s="10">
        <f>IF(A2560="c",LEFT(UPPER(B2560)&amp;REPT(" ",20),20),REPT(" ",20))</f>
        <v/>
      </c>
      <c r="X2560" s="10">
        <f>IF(A2560="C",LEFT(UPPER(C2560)&amp;REPT(" ",10),10)," ")</f>
        <v/>
      </c>
      <c r="Y2560" s="10">
        <f>IF(A2560="C",LEFT(UPPER(D2560)&amp;REPT(" ",2),2)," ")</f>
        <v/>
      </c>
      <c r="Z2560" s="10">
        <f>IF(A2560="C",LEFT(UPPER(E2560)&amp;REPT(" ",15),15)," ")</f>
        <v/>
      </c>
      <c r="AA2560" s="10">
        <f>REPT(" ",8)</f>
        <v/>
      </c>
      <c r="AB2560" s="10">
        <f>REPT(" ",4)</f>
        <v/>
      </c>
      <c r="AC2560" s="10">
        <f>LEFT(UPPER(H2560)&amp;REPT(" ",250),250)</f>
        <v/>
      </c>
      <c r="AD2560" s="10">
        <f>TEXT($G$2,"dd/mm/aaaa")</f>
        <v/>
      </c>
      <c r="AE2560" s="10">
        <f>REPT(" ",10)</f>
        <v/>
      </c>
      <c r="AF2560" s="10">
        <f>REPT(" ",20)</f>
        <v/>
      </c>
      <c r="AG2560" s="54">
        <f>REPT(" ",18-LEN(FIXED(F2560,2,TRUE)))&amp;FIXED(F2560,2,TRUE)</f>
        <v/>
      </c>
      <c r="AH2560" s="10">
        <f>LEN(AC2560)+LEN(AG2560)</f>
        <v/>
      </c>
      <c r="AI2560" s="10">
        <f>LEN(L2560)</f>
        <v/>
      </c>
    </row>
    <row r="2561">
      <c r="J2561" s="12">
        <f>IF(F2561&lt;&gt;0,"LANÇAR","")</f>
        <v/>
      </c>
      <c r="L2561" s="13">
        <f>N2561&amp;O2561&amp;P2561&amp;Q2561&amp;R2561&amp;S2561&amp;T2561&amp;U2561&amp;V2561&amp;W2561&amp;X2561&amp;Y2561&amp;Z2561&amp;AA2561&amp;AB2561&amp;AC2561&amp;AD2561&amp;AE2561&amp;AF2561&amp;AG2561</f>
        <v/>
      </c>
      <c r="N2561" s="10">
        <f>TEXT($B$6,"00")</f>
        <v/>
      </c>
      <c r="O2561" s="10">
        <f>REPT(" ",8)</f>
        <v/>
      </c>
      <c r="P2561" s="10">
        <f>RIGHT($B$4,2)</f>
        <v/>
      </c>
      <c r="Q2561" s="10">
        <f>RIGHT($B$5,3)</f>
        <v/>
      </c>
      <c r="R2561" s="10">
        <f>IF(A2561="D",LEFT(UPPER(B2561)&amp;REPT(" ",20),20),REPT(" ",20))</f>
        <v/>
      </c>
      <c r="S2561" s="10">
        <f>IF(A2561="D",LEFT(UPPER(C2561)&amp;REPT(" ",10),10)," ")</f>
        <v/>
      </c>
      <c r="T2561" s="10">
        <f>IF(A2561="D",LEFT(UPPER(D2561)&amp;REPT(" ",2),2)," ")</f>
        <v/>
      </c>
      <c r="U2561" s="10">
        <f>IF(A2561="D",LEFT(UPPER(E2561)&amp;REPT(" ",15),15)," ")</f>
        <v/>
      </c>
      <c r="V2561" s="10">
        <f>REPT(" ",24)</f>
        <v/>
      </c>
      <c r="W2561" s="10">
        <f>IF(A2561="c",LEFT(UPPER(B2561)&amp;REPT(" ",20),20),REPT(" ",20))</f>
        <v/>
      </c>
      <c r="X2561" s="10">
        <f>IF(A2561="C",LEFT(UPPER(C2561)&amp;REPT(" ",10),10)," ")</f>
        <v/>
      </c>
      <c r="Y2561" s="10">
        <f>IF(A2561="C",LEFT(UPPER(D2561)&amp;REPT(" ",2),2)," ")</f>
        <v/>
      </c>
      <c r="Z2561" s="10">
        <f>IF(A2561="C",LEFT(UPPER(E2561)&amp;REPT(" ",15),15)," ")</f>
        <v/>
      </c>
      <c r="AA2561" s="10">
        <f>REPT(" ",8)</f>
        <v/>
      </c>
      <c r="AB2561" s="10">
        <f>REPT(" ",4)</f>
        <v/>
      </c>
      <c r="AC2561" s="10">
        <f>LEFT(UPPER(H2561)&amp;REPT(" ",250),250)</f>
        <v/>
      </c>
      <c r="AD2561" s="10">
        <f>TEXT($G$2,"dd/mm/aaaa")</f>
        <v/>
      </c>
      <c r="AE2561" s="10">
        <f>REPT(" ",10)</f>
        <v/>
      </c>
      <c r="AF2561" s="10">
        <f>REPT(" ",20)</f>
        <v/>
      </c>
      <c r="AG2561" s="54">
        <f>REPT(" ",18-LEN(FIXED(F2561,2,TRUE)))&amp;FIXED(F2561,2,TRUE)</f>
        <v/>
      </c>
      <c r="AH2561" s="10">
        <f>LEN(AC2561)+LEN(AG2561)</f>
        <v/>
      </c>
      <c r="AI2561" s="10">
        <f>LEN(L2561)</f>
        <v/>
      </c>
    </row>
    <row r="2562">
      <c r="J2562" s="12">
        <f>IF(F2562&lt;&gt;0,"LANÇAR","")</f>
        <v/>
      </c>
      <c r="L2562" s="13">
        <f>N2562&amp;O2562&amp;P2562&amp;Q2562&amp;R2562&amp;S2562&amp;T2562&amp;U2562&amp;V2562&amp;W2562&amp;X2562&amp;Y2562&amp;Z2562&amp;AA2562&amp;AB2562&amp;AC2562&amp;AD2562&amp;AE2562&amp;AF2562&amp;AG2562</f>
        <v/>
      </c>
      <c r="N2562" s="10">
        <f>TEXT($B$6,"00")</f>
        <v/>
      </c>
      <c r="O2562" s="10">
        <f>REPT(" ",8)</f>
        <v/>
      </c>
      <c r="P2562" s="10">
        <f>RIGHT($B$4,2)</f>
        <v/>
      </c>
      <c r="Q2562" s="10">
        <f>RIGHT($B$5,3)</f>
        <v/>
      </c>
      <c r="R2562" s="10">
        <f>IF(A2562="D",LEFT(UPPER(B2562)&amp;REPT(" ",20),20),REPT(" ",20))</f>
        <v/>
      </c>
      <c r="S2562" s="10">
        <f>IF(A2562="D",LEFT(UPPER(C2562)&amp;REPT(" ",10),10)," ")</f>
        <v/>
      </c>
      <c r="T2562" s="10">
        <f>IF(A2562="D",LEFT(UPPER(D2562)&amp;REPT(" ",2),2)," ")</f>
        <v/>
      </c>
      <c r="U2562" s="10">
        <f>IF(A2562="D",LEFT(UPPER(E2562)&amp;REPT(" ",15),15)," ")</f>
        <v/>
      </c>
      <c r="V2562" s="10">
        <f>REPT(" ",24)</f>
        <v/>
      </c>
      <c r="W2562" s="10">
        <f>IF(A2562="c",LEFT(UPPER(B2562)&amp;REPT(" ",20),20),REPT(" ",20))</f>
        <v/>
      </c>
      <c r="X2562" s="10">
        <f>IF(A2562="C",LEFT(UPPER(C2562)&amp;REPT(" ",10),10)," ")</f>
        <v/>
      </c>
      <c r="Y2562" s="10">
        <f>IF(A2562="C",LEFT(UPPER(D2562)&amp;REPT(" ",2),2)," ")</f>
        <v/>
      </c>
      <c r="Z2562" s="10">
        <f>IF(A2562="C",LEFT(UPPER(E2562)&amp;REPT(" ",15),15)," ")</f>
        <v/>
      </c>
      <c r="AA2562" s="10">
        <f>REPT(" ",8)</f>
        <v/>
      </c>
      <c r="AB2562" s="10">
        <f>REPT(" ",4)</f>
        <v/>
      </c>
      <c r="AC2562" s="10">
        <f>LEFT(UPPER(H2562)&amp;REPT(" ",250),250)</f>
        <v/>
      </c>
      <c r="AD2562" s="10">
        <f>TEXT($G$2,"dd/mm/aaaa")</f>
        <v/>
      </c>
      <c r="AE2562" s="10">
        <f>REPT(" ",10)</f>
        <v/>
      </c>
      <c r="AF2562" s="10">
        <f>REPT(" ",20)</f>
        <v/>
      </c>
      <c r="AG2562" s="54">
        <f>REPT(" ",18-LEN(FIXED(F2562,2,TRUE)))&amp;FIXED(F2562,2,TRUE)</f>
        <v/>
      </c>
      <c r="AH2562" s="10">
        <f>LEN(AC2562)+LEN(AG2562)</f>
        <v/>
      </c>
      <c r="AI2562" s="10">
        <f>LEN(L2562)</f>
        <v/>
      </c>
    </row>
    <row r="2563">
      <c r="J2563" s="12">
        <f>IF(F2563&lt;&gt;0,"LANÇAR","")</f>
        <v/>
      </c>
      <c r="L2563" s="13">
        <f>N2563&amp;O2563&amp;P2563&amp;Q2563&amp;R2563&amp;S2563&amp;T2563&amp;U2563&amp;V2563&amp;W2563&amp;X2563&amp;Y2563&amp;Z2563&amp;AA2563&amp;AB2563&amp;AC2563&amp;AD2563&amp;AE2563&amp;AF2563&amp;AG2563</f>
        <v/>
      </c>
      <c r="N2563" s="10">
        <f>TEXT($B$6,"00")</f>
        <v/>
      </c>
      <c r="O2563" s="10">
        <f>REPT(" ",8)</f>
        <v/>
      </c>
      <c r="P2563" s="10">
        <f>RIGHT($B$4,2)</f>
        <v/>
      </c>
      <c r="Q2563" s="10">
        <f>RIGHT($B$5,3)</f>
        <v/>
      </c>
      <c r="R2563" s="10">
        <f>IF(A2563="D",LEFT(UPPER(B2563)&amp;REPT(" ",20),20),REPT(" ",20))</f>
        <v/>
      </c>
      <c r="S2563" s="10">
        <f>IF(A2563="D",LEFT(UPPER(C2563)&amp;REPT(" ",10),10)," ")</f>
        <v/>
      </c>
      <c r="T2563" s="10">
        <f>IF(A2563="D",LEFT(UPPER(D2563)&amp;REPT(" ",2),2)," ")</f>
        <v/>
      </c>
      <c r="U2563" s="10">
        <f>IF(A2563="D",LEFT(UPPER(E2563)&amp;REPT(" ",15),15)," ")</f>
        <v/>
      </c>
      <c r="V2563" s="10">
        <f>REPT(" ",24)</f>
        <v/>
      </c>
      <c r="W2563" s="10">
        <f>IF(A2563="c",LEFT(UPPER(B2563)&amp;REPT(" ",20),20),REPT(" ",20))</f>
        <v/>
      </c>
      <c r="X2563" s="10">
        <f>IF(A2563="C",LEFT(UPPER(C2563)&amp;REPT(" ",10),10)," ")</f>
        <v/>
      </c>
      <c r="Y2563" s="10">
        <f>IF(A2563="C",LEFT(UPPER(D2563)&amp;REPT(" ",2),2)," ")</f>
        <v/>
      </c>
      <c r="Z2563" s="10">
        <f>IF(A2563="C",LEFT(UPPER(E2563)&amp;REPT(" ",15),15)," ")</f>
        <v/>
      </c>
      <c r="AA2563" s="10">
        <f>REPT(" ",8)</f>
        <v/>
      </c>
      <c r="AB2563" s="10">
        <f>REPT(" ",4)</f>
        <v/>
      </c>
      <c r="AC2563" s="10">
        <f>LEFT(UPPER(H2563)&amp;REPT(" ",250),250)</f>
        <v/>
      </c>
      <c r="AD2563" s="10">
        <f>TEXT($G$2,"dd/mm/aaaa")</f>
        <v/>
      </c>
      <c r="AE2563" s="10">
        <f>REPT(" ",10)</f>
        <v/>
      </c>
      <c r="AF2563" s="10">
        <f>REPT(" ",20)</f>
        <v/>
      </c>
      <c r="AG2563" s="54">
        <f>REPT(" ",18-LEN(FIXED(F2563,2,TRUE)))&amp;FIXED(F2563,2,TRUE)</f>
        <v/>
      </c>
      <c r="AH2563" s="10">
        <f>LEN(AC2563)+LEN(AG2563)</f>
        <v/>
      </c>
      <c r="AI2563" s="10">
        <f>LEN(L2563)</f>
        <v/>
      </c>
    </row>
    <row r="2564">
      <c r="J2564" s="12">
        <f>IF(F2564&lt;&gt;0,"LANÇAR","")</f>
        <v/>
      </c>
      <c r="L2564" s="13">
        <f>N2564&amp;O2564&amp;P2564&amp;Q2564&amp;R2564&amp;S2564&amp;T2564&amp;U2564&amp;V2564&amp;W2564&amp;X2564&amp;Y2564&amp;Z2564&amp;AA2564&amp;AB2564&amp;AC2564&amp;AD2564&amp;AE2564&amp;AF2564&amp;AG2564</f>
        <v/>
      </c>
      <c r="N2564" s="10">
        <f>TEXT($B$6,"00")</f>
        <v/>
      </c>
      <c r="O2564" s="10">
        <f>REPT(" ",8)</f>
        <v/>
      </c>
      <c r="P2564" s="10">
        <f>RIGHT($B$4,2)</f>
        <v/>
      </c>
      <c r="Q2564" s="10">
        <f>RIGHT($B$5,3)</f>
        <v/>
      </c>
      <c r="R2564" s="10">
        <f>IF(A2564="D",LEFT(UPPER(B2564)&amp;REPT(" ",20),20),REPT(" ",20))</f>
        <v/>
      </c>
      <c r="S2564" s="10">
        <f>IF(A2564="D",LEFT(UPPER(C2564)&amp;REPT(" ",10),10)," ")</f>
        <v/>
      </c>
      <c r="T2564" s="10">
        <f>IF(A2564="D",LEFT(UPPER(D2564)&amp;REPT(" ",2),2)," ")</f>
        <v/>
      </c>
      <c r="U2564" s="10">
        <f>IF(A2564="D",LEFT(UPPER(E2564)&amp;REPT(" ",15),15)," ")</f>
        <v/>
      </c>
      <c r="V2564" s="10">
        <f>REPT(" ",24)</f>
        <v/>
      </c>
      <c r="W2564" s="10">
        <f>IF(A2564="c",LEFT(UPPER(B2564)&amp;REPT(" ",20),20),REPT(" ",20))</f>
        <v/>
      </c>
      <c r="X2564" s="10">
        <f>IF(A2564="C",LEFT(UPPER(C2564)&amp;REPT(" ",10),10)," ")</f>
        <v/>
      </c>
      <c r="Y2564" s="10">
        <f>IF(A2564="C",LEFT(UPPER(D2564)&amp;REPT(" ",2),2)," ")</f>
        <v/>
      </c>
      <c r="Z2564" s="10">
        <f>IF(A2564="C",LEFT(UPPER(E2564)&amp;REPT(" ",15),15)," ")</f>
        <v/>
      </c>
      <c r="AA2564" s="10">
        <f>REPT(" ",8)</f>
        <v/>
      </c>
      <c r="AB2564" s="10">
        <f>REPT(" ",4)</f>
        <v/>
      </c>
      <c r="AC2564" s="10">
        <f>LEFT(UPPER(H2564)&amp;REPT(" ",250),250)</f>
        <v/>
      </c>
      <c r="AD2564" s="10">
        <f>TEXT($G$2,"dd/mm/aaaa")</f>
        <v/>
      </c>
      <c r="AE2564" s="10">
        <f>REPT(" ",10)</f>
        <v/>
      </c>
      <c r="AF2564" s="10">
        <f>REPT(" ",20)</f>
        <v/>
      </c>
      <c r="AG2564" s="54">
        <f>REPT(" ",18-LEN(FIXED(F2564,2,TRUE)))&amp;FIXED(F2564,2,TRUE)</f>
        <v/>
      </c>
      <c r="AH2564" s="10">
        <f>LEN(AC2564)+LEN(AG2564)</f>
        <v/>
      </c>
      <c r="AI2564" s="10">
        <f>LEN(L2564)</f>
        <v/>
      </c>
    </row>
    <row r="2565">
      <c r="J2565" s="12">
        <f>IF(F2565&lt;&gt;0,"LANÇAR","")</f>
        <v/>
      </c>
      <c r="L2565" s="13">
        <f>N2565&amp;O2565&amp;P2565&amp;Q2565&amp;R2565&amp;S2565&amp;T2565&amp;U2565&amp;V2565&amp;W2565&amp;X2565&amp;Y2565&amp;Z2565&amp;AA2565&amp;AB2565&amp;AC2565&amp;AD2565&amp;AE2565&amp;AF2565&amp;AG2565</f>
        <v/>
      </c>
      <c r="N2565" s="10">
        <f>TEXT($B$6,"00")</f>
        <v/>
      </c>
      <c r="O2565" s="10">
        <f>REPT(" ",8)</f>
        <v/>
      </c>
      <c r="P2565" s="10">
        <f>RIGHT($B$4,2)</f>
        <v/>
      </c>
      <c r="Q2565" s="10">
        <f>RIGHT($B$5,3)</f>
        <v/>
      </c>
      <c r="R2565" s="10">
        <f>IF(A2565="D",LEFT(UPPER(B2565)&amp;REPT(" ",20),20),REPT(" ",20))</f>
        <v/>
      </c>
      <c r="S2565" s="10">
        <f>IF(A2565="D",LEFT(UPPER(C2565)&amp;REPT(" ",10),10)," ")</f>
        <v/>
      </c>
      <c r="T2565" s="10">
        <f>IF(A2565="D",LEFT(UPPER(D2565)&amp;REPT(" ",2),2)," ")</f>
        <v/>
      </c>
      <c r="U2565" s="10">
        <f>IF(A2565="D",LEFT(UPPER(E2565)&amp;REPT(" ",15),15)," ")</f>
        <v/>
      </c>
      <c r="V2565" s="10">
        <f>REPT(" ",24)</f>
        <v/>
      </c>
      <c r="W2565" s="10">
        <f>IF(A2565="c",LEFT(UPPER(B2565)&amp;REPT(" ",20),20),REPT(" ",20))</f>
        <v/>
      </c>
      <c r="X2565" s="10">
        <f>IF(A2565="C",LEFT(UPPER(C2565)&amp;REPT(" ",10),10)," ")</f>
        <v/>
      </c>
      <c r="Y2565" s="10">
        <f>IF(A2565="C",LEFT(UPPER(D2565)&amp;REPT(" ",2),2)," ")</f>
        <v/>
      </c>
      <c r="Z2565" s="10">
        <f>IF(A2565="C",LEFT(UPPER(E2565)&amp;REPT(" ",15),15)," ")</f>
        <v/>
      </c>
      <c r="AA2565" s="10">
        <f>REPT(" ",8)</f>
        <v/>
      </c>
      <c r="AB2565" s="10">
        <f>REPT(" ",4)</f>
        <v/>
      </c>
      <c r="AC2565" s="10">
        <f>LEFT(UPPER(H2565)&amp;REPT(" ",250),250)</f>
        <v/>
      </c>
      <c r="AD2565" s="10">
        <f>TEXT($G$2,"dd/mm/aaaa")</f>
        <v/>
      </c>
      <c r="AE2565" s="10">
        <f>REPT(" ",10)</f>
        <v/>
      </c>
      <c r="AF2565" s="10">
        <f>REPT(" ",20)</f>
        <v/>
      </c>
      <c r="AG2565" s="54">
        <f>REPT(" ",18-LEN(FIXED(F2565,2,TRUE)))&amp;FIXED(F2565,2,TRUE)</f>
        <v/>
      </c>
      <c r="AH2565" s="10">
        <f>LEN(AC2565)+LEN(AG2565)</f>
        <v/>
      </c>
      <c r="AI2565" s="10">
        <f>LEN(L2565)</f>
        <v/>
      </c>
    </row>
    <row r="2566">
      <c r="J2566" s="12">
        <f>IF(F2566&lt;&gt;0,"LANÇAR","")</f>
        <v/>
      </c>
      <c r="L2566" s="13">
        <f>N2566&amp;O2566&amp;P2566&amp;Q2566&amp;R2566&amp;S2566&amp;T2566&amp;U2566&amp;V2566&amp;W2566&amp;X2566&amp;Y2566&amp;Z2566&amp;AA2566&amp;AB2566&amp;AC2566&amp;AD2566&amp;AE2566&amp;AF2566&amp;AG2566</f>
        <v/>
      </c>
      <c r="N2566" s="10">
        <f>TEXT($B$6,"00")</f>
        <v/>
      </c>
      <c r="O2566" s="10">
        <f>REPT(" ",8)</f>
        <v/>
      </c>
      <c r="P2566" s="10">
        <f>RIGHT($B$4,2)</f>
        <v/>
      </c>
      <c r="Q2566" s="10">
        <f>RIGHT($B$5,3)</f>
        <v/>
      </c>
      <c r="R2566" s="10">
        <f>IF(A2566="D",LEFT(UPPER(B2566)&amp;REPT(" ",20),20),REPT(" ",20))</f>
        <v/>
      </c>
      <c r="S2566" s="10">
        <f>IF(A2566="D",LEFT(UPPER(C2566)&amp;REPT(" ",10),10)," ")</f>
        <v/>
      </c>
      <c r="T2566" s="10">
        <f>IF(A2566="D",LEFT(UPPER(D2566)&amp;REPT(" ",2),2)," ")</f>
        <v/>
      </c>
      <c r="U2566" s="10">
        <f>IF(A2566="D",LEFT(UPPER(E2566)&amp;REPT(" ",15),15)," ")</f>
        <v/>
      </c>
      <c r="V2566" s="10">
        <f>REPT(" ",24)</f>
        <v/>
      </c>
      <c r="W2566" s="10">
        <f>IF(A2566="c",LEFT(UPPER(B2566)&amp;REPT(" ",20),20),REPT(" ",20))</f>
        <v/>
      </c>
      <c r="X2566" s="10">
        <f>IF(A2566="C",LEFT(UPPER(C2566)&amp;REPT(" ",10),10)," ")</f>
        <v/>
      </c>
      <c r="Y2566" s="10">
        <f>IF(A2566="C",LEFT(UPPER(D2566)&amp;REPT(" ",2),2)," ")</f>
        <v/>
      </c>
      <c r="Z2566" s="10">
        <f>IF(A2566="C",LEFT(UPPER(E2566)&amp;REPT(" ",15),15)," ")</f>
        <v/>
      </c>
      <c r="AA2566" s="10">
        <f>REPT(" ",8)</f>
        <v/>
      </c>
      <c r="AB2566" s="10">
        <f>REPT(" ",4)</f>
        <v/>
      </c>
      <c r="AC2566" s="10">
        <f>LEFT(UPPER(H2566)&amp;REPT(" ",250),250)</f>
        <v/>
      </c>
      <c r="AD2566" s="10">
        <f>TEXT($G$2,"dd/mm/aaaa")</f>
        <v/>
      </c>
      <c r="AE2566" s="10">
        <f>REPT(" ",10)</f>
        <v/>
      </c>
      <c r="AF2566" s="10">
        <f>REPT(" ",20)</f>
        <v/>
      </c>
      <c r="AG2566" s="54">
        <f>REPT(" ",18-LEN(FIXED(F2566,2,TRUE)))&amp;FIXED(F2566,2,TRUE)</f>
        <v/>
      </c>
      <c r="AH2566" s="10">
        <f>LEN(AC2566)+LEN(AG2566)</f>
        <v/>
      </c>
      <c r="AI2566" s="10">
        <f>LEN(L2566)</f>
        <v/>
      </c>
    </row>
    <row r="2567">
      <c r="J2567" s="12">
        <f>IF(F2567&lt;&gt;0,"LANÇAR","")</f>
        <v/>
      </c>
      <c r="L2567" s="13">
        <f>N2567&amp;O2567&amp;P2567&amp;Q2567&amp;R2567&amp;S2567&amp;T2567&amp;U2567&amp;V2567&amp;W2567&amp;X2567&amp;Y2567&amp;Z2567&amp;AA2567&amp;AB2567&amp;AC2567&amp;AD2567&amp;AE2567&amp;AF2567&amp;AG2567</f>
        <v/>
      </c>
      <c r="N2567" s="10">
        <f>TEXT($B$6,"00")</f>
        <v/>
      </c>
      <c r="O2567" s="10">
        <f>REPT(" ",8)</f>
        <v/>
      </c>
      <c r="P2567" s="10">
        <f>RIGHT($B$4,2)</f>
        <v/>
      </c>
      <c r="Q2567" s="10">
        <f>RIGHT($B$5,3)</f>
        <v/>
      </c>
      <c r="R2567" s="10">
        <f>IF(A2567="D",LEFT(UPPER(B2567)&amp;REPT(" ",20),20),REPT(" ",20))</f>
        <v/>
      </c>
      <c r="S2567" s="10">
        <f>IF(A2567="D",LEFT(UPPER(C2567)&amp;REPT(" ",10),10)," ")</f>
        <v/>
      </c>
      <c r="T2567" s="10">
        <f>IF(A2567="D",LEFT(UPPER(D2567)&amp;REPT(" ",2),2)," ")</f>
        <v/>
      </c>
      <c r="U2567" s="10">
        <f>IF(A2567="D",LEFT(UPPER(E2567)&amp;REPT(" ",15),15)," ")</f>
        <v/>
      </c>
      <c r="V2567" s="10">
        <f>REPT(" ",24)</f>
        <v/>
      </c>
      <c r="W2567" s="10">
        <f>IF(A2567="c",LEFT(UPPER(B2567)&amp;REPT(" ",20),20),REPT(" ",20))</f>
        <v/>
      </c>
      <c r="X2567" s="10">
        <f>IF(A2567="C",LEFT(UPPER(C2567)&amp;REPT(" ",10),10)," ")</f>
        <v/>
      </c>
      <c r="Y2567" s="10">
        <f>IF(A2567="C",LEFT(UPPER(D2567)&amp;REPT(" ",2),2)," ")</f>
        <v/>
      </c>
      <c r="Z2567" s="10">
        <f>IF(A2567="C",LEFT(UPPER(E2567)&amp;REPT(" ",15),15)," ")</f>
        <v/>
      </c>
      <c r="AA2567" s="10">
        <f>REPT(" ",8)</f>
        <v/>
      </c>
      <c r="AB2567" s="10">
        <f>REPT(" ",4)</f>
        <v/>
      </c>
      <c r="AC2567" s="10">
        <f>LEFT(UPPER(H2567)&amp;REPT(" ",250),250)</f>
        <v/>
      </c>
      <c r="AD2567" s="10">
        <f>TEXT($G$2,"dd/mm/aaaa")</f>
        <v/>
      </c>
      <c r="AE2567" s="10">
        <f>REPT(" ",10)</f>
        <v/>
      </c>
      <c r="AF2567" s="10">
        <f>REPT(" ",20)</f>
        <v/>
      </c>
      <c r="AG2567" s="54">
        <f>REPT(" ",18-LEN(FIXED(F2567,2,TRUE)))&amp;FIXED(F2567,2,TRUE)</f>
        <v/>
      </c>
      <c r="AH2567" s="10">
        <f>LEN(AC2567)+LEN(AG2567)</f>
        <v/>
      </c>
      <c r="AI2567" s="10">
        <f>LEN(L2567)</f>
        <v/>
      </c>
    </row>
    <row r="2568">
      <c r="J2568" s="12">
        <f>IF(F2568&lt;&gt;0,"LANÇAR","")</f>
        <v/>
      </c>
      <c r="L2568" s="13">
        <f>N2568&amp;O2568&amp;P2568&amp;Q2568&amp;R2568&amp;S2568&amp;T2568&amp;U2568&amp;V2568&amp;W2568&amp;X2568&amp;Y2568&amp;Z2568&amp;AA2568&amp;AB2568&amp;AC2568&amp;AD2568&amp;AE2568&amp;AF2568&amp;AG2568</f>
        <v/>
      </c>
      <c r="N2568" s="10">
        <f>TEXT($B$6,"00")</f>
        <v/>
      </c>
      <c r="O2568" s="10">
        <f>REPT(" ",8)</f>
        <v/>
      </c>
      <c r="P2568" s="10">
        <f>RIGHT($B$4,2)</f>
        <v/>
      </c>
      <c r="Q2568" s="10">
        <f>RIGHT($B$5,3)</f>
        <v/>
      </c>
      <c r="R2568" s="10">
        <f>IF(A2568="D",LEFT(UPPER(B2568)&amp;REPT(" ",20),20),REPT(" ",20))</f>
        <v/>
      </c>
      <c r="S2568" s="10">
        <f>IF(A2568="D",LEFT(UPPER(C2568)&amp;REPT(" ",10),10)," ")</f>
        <v/>
      </c>
      <c r="T2568" s="10">
        <f>IF(A2568="D",LEFT(UPPER(D2568)&amp;REPT(" ",2),2)," ")</f>
        <v/>
      </c>
      <c r="U2568" s="10">
        <f>IF(A2568="D",LEFT(UPPER(E2568)&amp;REPT(" ",15),15)," ")</f>
        <v/>
      </c>
      <c r="V2568" s="10">
        <f>REPT(" ",24)</f>
        <v/>
      </c>
      <c r="W2568" s="10">
        <f>IF(A2568="c",LEFT(UPPER(B2568)&amp;REPT(" ",20),20),REPT(" ",20))</f>
        <v/>
      </c>
      <c r="X2568" s="10">
        <f>IF(A2568="C",LEFT(UPPER(C2568)&amp;REPT(" ",10),10)," ")</f>
        <v/>
      </c>
      <c r="Y2568" s="10">
        <f>IF(A2568="C",LEFT(UPPER(D2568)&amp;REPT(" ",2),2)," ")</f>
        <v/>
      </c>
      <c r="Z2568" s="10">
        <f>IF(A2568="C",LEFT(UPPER(E2568)&amp;REPT(" ",15),15)," ")</f>
        <v/>
      </c>
      <c r="AA2568" s="10">
        <f>REPT(" ",8)</f>
        <v/>
      </c>
      <c r="AB2568" s="10">
        <f>REPT(" ",4)</f>
        <v/>
      </c>
      <c r="AC2568" s="10">
        <f>LEFT(UPPER(H2568)&amp;REPT(" ",250),250)</f>
        <v/>
      </c>
      <c r="AD2568" s="10">
        <f>TEXT($G$2,"dd/mm/aaaa")</f>
        <v/>
      </c>
      <c r="AE2568" s="10">
        <f>REPT(" ",10)</f>
        <v/>
      </c>
      <c r="AF2568" s="10">
        <f>REPT(" ",20)</f>
        <v/>
      </c>
      <c r="AG2568" s="54">
        <f>REPT(" ",18-LEN(FIXED(F2568,2,TRUE)))&amp;FIXED(F2568,2,TRUE)</f>
        <v/>
      </c>
      <c r="AH2568" s="10">
        <f>LEN(AC2568)+LEN(AG2568)</f>
        <v/>
      </c>
      <c r="AI2568" s="10">
        <f>LEN(L2568)</f>
        <v/>
      </c>
    </row>
    <row r="2569">
      <c r="J2569" s="12">
        <f>IF(F2569&lt;&gt;0,"LANÇAR","")</f>
        <v/>
      </c>
      <c r="L2569" s="13">
        <f>N2569&amp;O2569&amp;P2569&amp;Q2569&amp;R2569&amp;S2569&amp;T2569&amp;U2569&amp;V2569&amp;W2569&amp;X2569&amp;Y2569&amp;Z2569&amp;AA2569&amp;AB2569&amp;AC2569&amp;AD2569&amp;AE2569&amp;AF2569&amp;AG2569</f>
        <v/>
      </c>
      <c r="N2569" s="10">
        <f>TEXT($B$6,"00")</f>
        <v/>
      </c>
      <c r="O2569" s="10">
        <f>REPT(" ",8)</f>
        <v/>
      </c>
      <c r="P2569" s="10">
        <f>RIGHT($B$4,2)</f>
        <v/>
      </c>
      <c r="Q2569" s="10">
        <f>RIGHT($B$5,3)</f>
        <v/>
      </c>
      <c r="R2569" s="10">
        <f>IF(A2569="D",LEFT(UPPER(B2569)&amp;REPT(" ",20),20),REPT(" ",20))</f>
        <v/>
      </c>
      <c r="S2569" s="10">
        <f>IF(A2569="D",LEFT(UPPER(C2569)&amp;REPT(" ",10),10)," ")</f>
        <v/>
      </c>
      <c r="T2569" s="10">
        <f>IF(A2569="D",LEFT(UPPER(D2569)&amp;REPT(" ",2),2)," ")</f>
        <v/>
      </c>
      <c r="U2569" s="10">
        <f>IF(A2569="D",LEFT(UPPER(E2569)&amp;REPT(" ",15),15)," ")</f>
        <v/>
      </c>
      <c r="V2569" s="10">
        <f>REPT(" ",24)</f>
        <v/>
      </c>
      <c r="W2569" s="10">
        <f>IF(A2569="c",LEFT(UPPER(B2569)&amp;REPT(" ",20),20),REPT(" ",20))</f>
        <v/>
      </c>
      <c r="X2569" s="10">
        <f>IF(A2569="C",LEFT(UPPER(C2569)&amp;REPT(" ",10),10)," ")</f>
        <v/>
      </c>
      <c r="Y2569" s="10">
        <f>IF(A2569="C",LEFT(UPPER(D2569)&amp;REPT(" ",2),2)," ")</f>
        <v/>
      </c>
      <c r="Z2569" s="10">
        <f>IF(A2569="C",LEFT(UPPER(E2569)&amp;REPT(" ",15),15)," ")</f>
        <v/>
      </c>
      <c r="AA2569" s="10">
        <f>REPT(" ",8)</f>
        <v/>
      </c>
      <c r="AB2569" s="10">
        <f>REPT(" ",4)</f>
        <v/>
      </c>
      <c r="AC2569" s="10">
        <f>LEFT(UPPER(H2569)&amp;REPT(" ",250),250)</f>
        <v/>
      </c>
      <c r="AD2569" s="10">
        <f>TEXT($G$2,"dd/mm/aaaa")</f>
        <v/>
      </c>
      <c r="AE2569" s="10">
        <f>REPT(" ",10)</f>
        <v/>
      </c>
      <c r="AF2569" s="10">
        <f>REPT(" ",20)</f>
        <v/>
      </c>
      <c r="AG2569" s="54">
        <f>REPT(" ",18-LEN(FIXED(F2569,2,TRUE)))&amp;FIXED(F2569,2,TRUE)</f>
        <v/>
      </c>
      <c r="AH2569" s="10">
        <f>LEN(AC2569)+LEN(AG2569)</f>
        <v/>
      </c>
      <c r="AI2569" s="10">
        <f>LEN(L2569)</f>
        <v/>
      </c>
    </row>
    <row r="2570">
      <c r="J2570" s="12">
        <f>IF(F2570&lt;&gt;0,"LANÇAR","")</f>
        <v/>
      </c>
      <c r="L2570" s="13">
        <f>N2570&amp;O2570&amp;P2570&amp;Q2570&amp;R2570&amp;S2570&amp;T2570&amp;U2570&amp;V2570&amp;W2570&amp;X2570&amp;Y2570&amp;Z2570&amp;AA2570&amp;AB2570&amp;AC2570&amp;AD2570&amp;AE2570&amp;AF2570&amp;AG2570</f>
        <v/>
      </c>
      <c r="N2570" s="10">
        <f>TEXT($B$6,"00")</f>
        <v/>
      </c>
      <c r="O2570" s="10">
        <f>REPT(" ",8)</f>
        <v/>
      </c>
      <c r="P2570" s="10">
        <f>RIGHT($B$4,2)</f>
        <v/>
      </c>
      <c r="Q2570" s="10">
        <f>RIGHT($B$5,3)</f>
        <v/>
      </c>
      <c r="R2570" s="10">
        <f>IF(A2570="D",LEFT(UPPER(B2570)&amp;REPT(" ",20),20),REPT(" ",20))</f>
        <v/>
      </c>
      <c r="S2570" s="10">
        <f>IF(A2570="D",LEFT(UPPER(C2570)&amp;REPT(" ",10),10)," ")</f>
        <v/>
      </c>
      <c r="T2570" s="10">
        <f>IF(A2570="D",LEFT(UPPER(D2570)&amp;REPT(" ",2),2)," ")</f>
        <v/>
      </c>
      <c r="U2570" s="10">
        <f>IF(A2570="D",LEFT(UPPER(E2570)&amp;REPT(" ",15),15)," ")</f>
        <v/>
      </c>
      <c r="V2570" s="10">
        <f>REPT(" ",24)</f>
        <v/>
      </c>
      <c r="W2570" s="10">
        <f>IF(A2570="c",LEFT(UPPER(B2570)&amp;REPT(" ",20),20),REPT(" ",20))</f>
        <v/>
      </c>
      <c r="X2570" s="10">
        <f>IF(A2570="C",LEFT(UPPER(C2570)&amp;REPT(" ",10),10)," ")</f>
        <v/>
      </c>
      <c r="Y2570" s="10">
        <f>IF(A2570="C",LEFT(UPPER(D2570)&amp;REPT(" ",2),2)," ")</f>
        <v/>
      </c>
      <c r="Z2570" s="10">
        <f>IF(A2570="C",LEFT(UPPER(E2570)&amp;REPT(" ",15),15)," ")</f>
        <v/>
      </c>
      <c r="AA2570" s="10">
        <f>REPT(" ",8)</f>
        <v/>
      </c>
      <c r="AB2570" s="10">
        <f>REPT(" ",4)</f>
        <v/>
      </c>
      <c r="AC2570" s="10">
        <f>LEFT(UPPER(H2570)&amp;REPT(" ",250),250)</f>
        <v/>
      </c>
      <c r="AD2570" s="10">
        <f>TEXT($G$2,"dd/mm/aaaa")</f>
        <v/>
      </c>
      <c r="AE2570" s="10">
        <f>REPT(" ",10)</f>
        <v/>
      </c>
      <c r="AF2570" s="10">
        <f>REPT(" ",20)</f>
        <v/>
      </c>
      <c r="AG2570" s="54">
        <f>REPT(" ",18-LEN(FIXED(F2570,2,TRUE)))&amp;FIXED(F2570,2,TRUE)</f>
        <v/>
      </c>
      <c r="AH2570" s="10">
        <f>LEN(AC2570)+LEN(AG2570)</f>
        <v/>
      </c>
      <c r="AI2570" s="10">
        <f>LEN(L2570)</f>
        <v/>
      </c>
    </row>
    <row r="2571">
      <c r="J2571" s="12">
        <f>IF(F2571&lt;&gt;0,"LANÇAR","")</f>
        <v/>
      </c>
      <c r="L2571" s="13">
        <f>N2571&amp;O2571&amp;P2571&amp;Q2571&amp;R2571&amp;S2571&amp;T2571&amp;U2571&amp;V2571&amp;W2571&amp;X2571&amp;Y2571&amp;Z2571&amp;AA2571&amp;AB2571&amp;AC2571&amp;AD2571&amp;AE2571&amp;AF2571&amp;AG2571</f>
        <v/>
      </c>
      <c r="N2571" s="10">
        <f>TEXT($B$6,"00")</f>
        <v/>
      </c>
      <c r="O2571" s="10">
        <f>REPT(" ",8)</f>
        <v/>
      </c>
      <c r="P2571" s="10">
        <f>RIGHT($B$4,2)</f>
        <v/>
      </c>
      <c r="Q2571" s="10">
        <f>RIGHT($B$5,3)</f>
        <v/>
      </c>
      <c r="R2571" s="10">
        <f>IF(A2571="D",LEFT(UPPER(B2571)&amp;REPT(" ",20),20),REPT(" ",20))</f>
        <v/>
      </c>
      <c r="S2571" s="10">
        <f>IF(A2571="D",LEFT(UPPER(C2571)&amp;REPT(" ",10),10)," ")</f>
        <v/>
      </c>
      <c r="T2571" s="10">
        <f>IF(A2571="D",LEFT(UPPER(D2571)&amp;REPT(" ",2),2)," ")</f>
        <v/>
      </c>
      <c r="U2571" s="10">
        <f>IF(A2571="D",LEFT(UPPER(E2571)&amp;REPT(" ",15),15)," ")</f>
        <v/>
      </c>
      <c r="V2571" s="10">
        <f>REPT(" ",24)</f>
        <v/>
      </c>
      <c r="W2571" s="10">
        <f>IF(A2571="c",LEFT(UPPER(B2571)&amp;REPT(" ",20),20),REPT(" ",20))</f>
        <v/>
      </c>
      <c r="X2571" s="10">
        <f>IF(A2571="C",LEFT(UPPER(C2571)&amp;REPT(" ",10),10)," ")</f>
        <v/>
      </c>
      <c r="Y2571" s="10">
        <f>IF(A2571="C",LEFT(UPPER(D2571)&amp;REPT(" ",2),2)," ")</f>
        <v/>
      </c>
      <c r="Z2571" s="10">
        <f>IF(A2571="C",LEFT(UPPER(E2571)&amp;REPT(" ",15),15)," ")</f>
        <v/>
      </c>
      <c r="AA2571" s="10">
        <f>REPT(" ",8)</f>
        <v/>
      </c>
      <c r="AB2571" s="10">
        <f>REPT(" ",4)</f>
        <v/>
      </c>
      <c r="AC2571" s="10">
        <f>LEFT(UPPER(H2571)&amp;REPT(" ",250),250)</f>
        <v/>
      </c>
      <c r="AD2571" s="10">
        <f>TEXT($G$2,"dd/mm/aaaa")</f>
        <v/>
      </c>
      <c r="AE2571" s="10">
        <f>REPT(" ",10)</f>
        <v/>
      </c>
      <c r="AF2571" s="10">
        <f>REPT(" ",20)</f>
        <v/>
      </c>
      <c r="AG2571" s="54">
        <f>REPT(" ",18-LEN(FIXED(F2571,2,TRUE)))&amp;FIXED(F2571,2,TRUE)</f>
        <v/>
      </c>
      <c r="AH2571" s="10">
        <f>LEN(AC2571)+LEN(AG2571)</f>
        <v/>
      </c>
      <c r="AI2571" s="10">
        <f>LEN(L2571)</f>
        <v/>
      </c>
    </row>
    <row r="2572">
      <c r="J2572" s="12">
        <f>IF(F2572&lt;&gt;0,"LANÇAR","")</f>
        <v/>
      </c>
      <c r="L2572" s="13">
        <f>N2572&amp;O2572&amp;P2572&amp;Q2572&amp;R2572&amp;S2572&amp;T2572&amp;U2572&amp;V2572&amp;W2572&amp;X2572&amp;Y2572&amp;Z2572&amp;AA2572&amp;AB2572&amp;AC2572&amp;AD2572&amp;AE2572&amp;AF2572&amp;AG2572</f>
        <v/>
      </c>
      <c r="N2572" s="10">
        <f>TEXT($B$6,"00")</f>
        <v/>
      </c>
      <c r="O2572" s="10">
        <f>REPT(" ",8)</f>
        <v/>
      </c>
      <c r="P2572" s="10">
        <f>RIGHT($B$4,2)</f>
        <v/>
      </c>
      <c r="Q2572" s="10">
        <f>RIGHT($B$5,3)</f>
        <v/>
      </c>
      <c r="R2572" s="10">
        <f>IF(A2572="D",LEFT(UPPER(B2572)&amp;REPT(" ",20),20),REPT(" ",20))</f>
        <v/>
      </c>
      <c r="S2572" s="10">
        <f>IF(A2572="D",LEFT(UPPER(C2572)&amp;REPT(" ",10),10)," ")</f>
        <v/>
      </c>
      <c r="T2572" s="10">
        <f>IF(A2572="D",LEFT(UPPER(D2572)&amp;REPT(" ",2),2)," ")</f>
        <v/>
      </c>
      <c r="U2572" s="10">
        <f>IF(A2572="D",LEFT(UPPER(E2572)&amp;REPT(" ",15),15)," ")</f>
        <v/>
      </c>
      <c r="V2572" s="10">
        <f>REPT(" ",24)</f>
        <v/>
      </c>
      <c r="W2572" s="10">
        <f>IF(A2572="c",LEFT(UPPER(B2572)&amp;REPT(" ",20),20),REPT(" ",20))</f>
        <v/>
      </c>
      <c r="X2572" s="10">
        <f>IF(A2572="C",LEFT(UPPER(C2572)&amp;REPT(" ",10),10)," ")</f>
        <v/>
      </c>
      <c r="Y2572" s="10">
        <f>IF(A2572="C",LEFT(UPPER(D2572)&amp;REPT(" ",2),2)," ")</f>
        <v/>
      </c>
      <c r="Z2572" s="10">
        <f>IF(A2572="C",LEFT(UPPER(E2572)&amp;REPT(" ",15),15)," ")</f>
        <v/>
      </c>
      <c r="AA2572" s="10">
        <f>REPT(" ",8)</f>
        <v/>
      </c>
      <c r="AB2572" s="10">
        <f>REPT(" ",4)</f>
        <v/>
      </c>
      <c r="AC2572" s="10">
        <f>LEFT(UPPER(H2572)&amp;REPT(" ",250),250)</f>
        <v/>
      </c>
      <c r="AD2572" s="10">
        <f>TEXT($G$2,"dd/mm/aaaa")</f>
        <v/>
      </c>
      <c r="AE2572" s="10">
        <f>REPT(" ",10)</f>
        <v/>
      </c>
      <c r="AF2572" s="10">
        <f>REPT(" ",20)</f>
        <v/>
      </c>
      <c r="AG2572" s="54">
        <f>REPT(" ",18-LEN(FIXED(F2572,2,TRUE)))&amp;FIXED(F2572,2,TRUE)</f>
        <v/>
      </c>
      <c r="AH2572" s="10">
        <f>LEN(AC2572)+LEN(AG2572)</f>
        <v/>
      </c>
      <c r="AI2572" s="10">
        <f>LEN(L2572)</f>
        <v/>
      </c>
    </row>
    <row r="2573">
      <c r="J2573" s="12">
        <f>IF(F2573&lt;&gt;0,"LANÇAR","")</f>
        <v/>
      </c>
      <c r="L2573" s="13">
        <f>N2573&amp;O2573&amp;P2573&amp;Q2573&amp;R2573&amp;S2573&amp;T2573&amp;U2573&amp;V2573&amp;W2573&amp;X2573&amp;Y2573&amp;Z2573&amp;AA2573&amp;AB2573&amp;AC2573&amp;AD2573&amp;AE2573&amp;AF2573&amp;AG2573</f>
        <v/>
      </c>
      <c r="N2573" s="10">
        <f>TEXT($B$6,"00")</f>
        <v/>
      </c>
      <c r="O2573" s="10">
        <f>REPT(" ",8)</f>
        <v/>
      </c>
      <c r="P2573" s="10">
        <f>RIGHT($B$4,2)</f>
        <v/>
      </c>
      <c r="Q2573" s="10">
        <f>RIGHT($B$5,3)</f>
        <v/>
      </c>
      <c r="R2573" s="10">
        <f>IF(A2573="D",LEFT(UPPER(B2573)&amp;REPT(" ",20),20),REPT(" ",20))</f>
        <v/>
      </c>
      <c r="S2573" s="10">
        <f>IF(A2573="D",LEFT(UPPER(C2573)&amp;REPT(" ",10),10)," ")</f>
        <v/>
      </c>
      <c r="T2573" s="10">
        <f>IF(A2573="D",LEFT(UPPER(D2573)&amp;REPT(" ",2),2)," ")</f>
        <v/>
      </c>
      <c r="U2573" s="10">
        <f>IF(A2573="D",LEFT(UPPER(E2573)&amp;REPT(" ",15),15)," ")</f>
        <v/>
      </c>
      <c r="V2573" s="10">
        <f>REPT(" ",24)</f>
        <v/>
      </c>
      <c r="W2573" s="10">
        <f>IF(A2573="c",LEFT(UPPER(B2573)&amp;REPT(" ",20),20),REPT(" ",20))</f>
        <v/>
      </c>
      <c r="X2573" s="10">
        <f>IF(A2573="C",LEFT(UPPER(C2573)&amp;REPT(" ",10),10)," ")</f>
        <v/>
      </c>
      <c r="Y2573" s="10">
        <f>IF(A2573="C",LEFT(UPPER(D2573)&amp;REPT(" ",2),2)," ")</f>
        <v/>
      </c>
      <c r="Z2573" s="10">
        <f>IF(A2573="C",LEFT(UPPER(E2573)&amp;REPT(" ",15),15)," ")</f>
        <v/>
      </c>
      <c r="AA2573" s="10">
        <f>REPT(" ",8)</f>
        <v/>
      </c>
      <c r="AB2573" s="10">
        <f>REPT(" ",4)</f>
        <v/>
      </c>
      <c r="AC2573" s="10">
        <f>LEFT(UPPER(H2573)&amp;REPT(" ",250),250)</f>
        <v/>
      </c>
      <c r="AD2573" s="10">
        <f>TEXT($G$2,"dd/mm/aaaa")</f>
        <v/>
      </c>
      <c r="AE2573" s="10">
        <f>REPT(" ",10)</f>
        <v/>
      </c>
      <c r="AF2573" s="10">
        <f>REPT(" ",20)</f>
        <v/>
      </c>
      <c r="AG2573" s="54">
        <f>REPT(" ",18-LEN(FIXED(F2573,2,TRUE)))&amp;FIXED(F2573,2,TRUE)</f>
        <v/>
      </c>
      <c r="AH2573" s="10">
        <f>LEN(AC2573)+LEN(AG2573)</f>
        <v/>
      </c>
      <c r="AI2573" s="10">
        <f>LEN(L2573)</f>
        <v/>
      </c>
    </row>
    <row r="2574">
      <c r="J2574" s="12">
        <f>IF(F2574&lt;&gt;0,"LANÇAR","")</f>
        <v/>
      </c>
      <c r="L2574" s="13">
        <f>N2574&amp;O2574&amp;P2574&amp;Q2574&amp;R2574&amp;S2574&amp;T2574&amp;U2574&amp;V2574&amp;W2574&amp;X2574&amp;Y2574&amp;Z2574&amp;AA2574&amp;AB2574&amp;AC2574&amp;AD2574&amp;AE2574&amp;AF2574&amp;AG2574</f>
        <v/>
      </c>
      <c r="N2574" s="10">
        <f>TEXT($B$6,"00")</f>
        <v/>
      </c>
      <c r="O2574" s="10">
        <f>REPT(" ",8)</f>
        <v/>
      </c>
      <c r="P2574" s="10">
        <f>RIGHT($B$4,2)</f>
        <v/>
      </c>
      <c r="Q2574" s="10">
        <f>RIGHT($B$5,3)</f>
        <v/>
      </c>
      <c r="R2574" s="10">
        <f>IF(A2574="D",LEFT(UPPER(B2574)&amp;REPT(" ",20),20),REPT(" ",20))</f>
        <v/>
      </c>
      <c r="S2574" s="10">
        <f>IF(A2574="D",LEFT(UPPER(C2574)&amp;REPT(" ",10),10)," ")</f>
        <v/>
      </c>
      <c r="T2574" s="10">
        <f>IF(A2574="D",LEFT(UPPER(D2574)&amp;REPT(" ",2),2)," ")</f>
        <v/>
      </c>
      <c r="U2574" s="10">
        <f>IF(A2574="D",LEFT(UPPER(E2574)&amp;REPT(" ",15),15)," ")</f>
        <v/>
      </c>
      <c r="V2574" s="10">
        <f>REPT(" ",24)</f>
        <v/>
      </c>
      <c r="W2574" s="10">
        <f>IF(A2574="c",LEFT(UPPER(B2574)&amp;REPT(" ",20),20),REPT(" ",20))</f>
        <v/>
      </c>
      <c r="X2574" s="10">
        <f>IF(A2574="C",LEFT(UPPER(C2574)&amp;REPT(" ",10),10)," ")</f>
        <v/>
      </c>
      <c r="Y2574" s="10">
        <f>IF(A2574="C",LEFT(UPPER(D2574)&amp;REPT(" ",2),2)," ")</f>
        <v/>
      </c>
      <c r="Z2574" s="10">
        <f>IF(A2574="C",LEFT(UPPER(E2574)&amp;REPT(" ",15),15)," ")</f>
        <v/>
      </c>
      <c r="AA2574" s="10">
        <f>REPT(" ",8)</f>
        <v/>
      </c>
      <c r="AB2574" s="10">
        <f>REPT(" ",4)</f>
        <v/>
      </c>
      <c r="AC2574" s="10">
        <f>LEFT(UPPER(H2574)&amp;REPT(" ",250),250)</f>
        <v/>
      </c>
      <c r="AD2574" s="10">
        <f>TEXT($G$2,"dd/mm/aaaa")</f>
        <v/>
      </c>
      <c r="AE2574" s="10">
        <f>REPT(" ",10)</f>
        <v/>
      </c>
      <c r="AF2574" s="10">
        <f>REPT(" ",20)</f>
        <v/>
      </c>
      <c r="AG2574" s="54">
        <f>REPT(" ",18-LEN(FIXED(F2574,2,TRUE)))&amp;FIXED(F2574,2,TRUE)</f>
        <v/>
      </c>
      <c r="AH2574" s="10">
        <f>LEN(AC2574)+LEN(AG2574)</f>
        <v/>
      </c>
      <c r="AI2574" s="10">
        <f>LEN(L2574)</f>
        <v/>
      </c>
    </row>
    <row r="2575">
      <c r="J2575" s="12">
        <f>IF(F2575&lt;&gt;0,"LANÇAR","")</f>
        <v/>
      </c>
      <c r="L2575" s="13">
        <f>N2575&amp;O2575&amp;P2575&amp;Q2575&amp;R2575&amp;S2575&amp;T2575&amp;U2575&amp;V2575&amp;W2575&amp;X2575&amp;Y2575&amp;Z2575&amp;AA2575&amp;AB2575&amp;AC2575&amp;AD2575&amp;AE2575&amp;AF2575&amp;AG2575</f>
        <v/>
      </c>
      <c r="N2575" s="10">
        <f>TEXT($B$6,"00")</f>
        <v/>
      </c>
      <c r="O2575" s="10">
        <f>REPT(" ",8)</f>
        <v/>
      </c>
      <c r="P2575" s="10">
        <f>RIGHT($B$4,2)</f>
        <v/>
      </c>
      <c r="Q2575" s="10">
        <f>RIGHT($B$5,3)</f>
        <v/>
      </c>
      <c r="R2575" s="10">
        <f>IF(A2575="D",LEFT(UPPER(B2575)&amp;REPT(" ",20),20),REPT(" ",20))</f>
        <v/>
      </c>
      <c r="S2575" s="10">
        <f>IF(A2575="D",LEFT(UPPER(C2575)&amp;REPT(" ",10),10)," ")</f>
        <v/>
      </c>
      <c r="T2575" s="10">
        <f>IF(A2575="D",LEFT(UPPER(D2575)&amp;REPT(" ",2),2)," ")</f>
        <v/>
      </c>
      <c r="U2575" s="10">
        <f>IF(A2575="D",LEFT(UPPER(E2575)&amp;REPT(" ",15),15)," ")</f>
        <v/>
      </c>
      <c r="V2575" s="10">
        <f>REPT(" ",24)</f>
        <v/>
      </c>
      <c r="W2575" s="10">
        <f>IF(A2575="c",LEFT(UPPER(B2575)&amp;REPT(" ",20),20),REPT(" ",20))</f>
        <v/>
      </c>
      <c r="X2575" s="10">
        <f>IF(A2575="C",LEFT(UPPER(C2575)&amp;REPT(" ",10),10)," ")</f>
        <v/>
      </c>
      <c r="Y2575" s="10">
        <f>IF(A2575="C",LEFT(UPPER(D2575)&amp;REPT(" ",2),2)," ")</f>
        <v/>
      </c>
      <c r="Z2575" s="10">
        <f>IF(A2575="C",LEFT(UPPER(E2575)&amp;REPT(" ",15),15)," ")</f>
        <v/>
      </c>
      <c r="AA2575" s="10">
        <f>REPT(" ",8)</f>
        <v/>
      </c>
      <c r="AB2575" s="10">
        <f>REPT(" ",4)</f>
        <v/>
      </c>
      <c r="AC2575" s="10">
        <f>LEFT(UPPER(H2575)&amp;REPT(" ",250),250)</f>
        <v/>
      </c>
      <c r="AD2575" s="10">
        <f>TEXT($G$2,"dd/mm/aaaa")</f>
        <v/>
      </c>
      <c r="AE2575" s="10">
        <f>REPT(" ",10)</f>
        <v/>
      </c>
      <c r="AF2575" s="10">
        <f>REPT(" ",20)</f>
        <v/>
      </c>
      <c r="AG2575" s="54">
        <f>REPT(" ",18-LEN(FIXED(F2575,2,TRUE)))&amp;FIXED(F2575,2,TRUE)</f>
        <v/>
      </c>
      <c r="AH2575" s="10">
        <f>LEN(AC2575)+LEN(AG2575)</f>
        <v/>
      </c>
      <c r="AI2575" s="10">
        <f>LEN(L2575)</f>
        <v/>
      </c>
    </row>
    <row r="2576">
      <c r="J2576" s="12">
        <f>IF(F2576&lt;&gt;0,"LANÇAR","")</f>
        <v/>
      </c>
      <c r="L2576" s="13">
        <f>N2576&amp;O2576&amp;P2576&amp;Q2576&amp;R2576&amp;S2576&amp;T2576&amp;U2576&amp;V2576&amp;W2576&amp;X2576&amp;Y2576&amp;Z2576&amp;AA2576&amp;AB2576&amp;AC2576&amp;AD2576&amp;AE2576&amp;AF2576&amp;AG2576</f>
        <v/>
      </c>
      <c r="N2576" s="10">
        <f>TEXT($B$6,"00")</f>
        <v/>
      </c>
      <c r="O2576" s="10">
        <f>REPT(" ",8)</f>
        <v/>
      </c>
      <c r="P2576" s="10">
        <f>RIGHT($B$4,2)</f>
        <v/>
      </c>
      <c r="Q2576" s="10">
        <f>RIGHT($B$5,3)</f>
        <v/>
      </c>
      <c r="R2576" s="10">
        <f>IF(A2576="D",LEFT(UPPER(B2576)&amp;REPT(" ",20),20),REPT(" ",20))</f>
        <v/>
      </c>
      <c r="S2576" s="10">
        <f>IF(A2576="D",LEFT(UPPER(C2576)&amp;REPT(" ",10),10)," ")</f>
        <v/>
      </c>
      <c r="T2576" s="10">
        <f>IF(A2576="D",LEFT(UPPER(D2576)&amp;REPT(" ",2),2)," ")</f>
        <v/>
      </c>
      <c r="U2576" s="10">
        <f>IF(A2576="D",LEFT(UPPER(E2576)&amp;REPT(" ",15),15)," ")</f>
        <v/>
      </c>
      <c r="V2576" s="10">
        <f>REPT(" ",24)</f>
        <v/>
      </c>
      <c r="W2576" s="10">
        <f>IF(A2576="c",LEFT(UPPER(B2576)&amp;REPT(" ",20),20),REPT(" ",20))</f>
        <v/>
      </c>
      <c r="X2576" s="10">
        <f>IF(A2576="C",LEFT(UPPER(C2576)&amp;REPT(" ",10),10)," ")</f>
        <v/>
      </c>
      <c r="Y2576" s="10">
        <f>IF(A2576="C",LEFT(UPPER(D2576)&amp;REPT(" ",2),2)," ")</f>
        <v/>
      </c>
      <c r="Z2576" s="10">
        <f>IF(A2576="C",LEFT(UPPER(E2576)&amp;REPT(" ",15),15)," ")</f>
        <v/>
      </c>
      <c r="AA2576" s="10">
        <f>REPT(" ",8)</f>
        <v/>
      </c>
      <c r="AB2576" s="10">
        <f>REPT(" ",4)</f>
        <v/>
      </c>
      <c r="AC2576" s="10">
        <f>LEFT(UPPER(H2576)&amp;REPT(" ",250),250)</f>
        <v/>
      </c>
      <c r="AD2576" s="10">
        <f>TEXT($G$2,"dd/mm/aaaa")</f>
        <v/>
      </c>
      <c r="AE2576" s="10">
        <f>REPT(" ",10)</f>
        <v/>
      </c>
      <c r="AF2576" s="10">
        <f>REPT(" ",20)</f>
        <v/>
      </c>
      <c r="AG2576" s="54">
        <f>REPT(" ",18-LEN(FIXED(F2576,2,TRUE)))&amp;FIXED(F2576,2,TRUE)</f>
        <v/>
      </c>
      <c r="AH2576" s="10">
        <f>LEN(AC2576)+LEN(AG2576)</f>
        <v/>
      </c>
      <c r="AI2576" s="10">
        <f>LEN(L2576)</f>
        <v/>
      </c>
    </row>
    <row r="2577">
      <c r="J2577" s="12">
        <f>IF(F2577&lt;&gt;0,"LANÇAR","")</f>
        <v/>
      </c>
      <c r="L2577" s="13">
        <f>N2577&amp;O2577&amp;P2577&amp;Q2577&amp;R2577&amp;S2577&amp;T2577&amp;U2577&amp;V2577&amp;W2577&amp;X2577&amp;Y2577&amp;Z2577&amp;AA2577&amp;AB2577&amp;AC2577&amp;AD2577&amp;AE2577&amp;AF2577&amp;AG2577</f>
        <v/>
      </c>
      <c r="N2577" s="10">
        <f>TEXT($B$6,"00")</f>
        <v/>
      </c>
      <c r="O2577" s="10">
        <f>REPT(" ",8)</f>
        <v/>
      </c>
      <c r="P2577" s="10">
        <f>RIGHT($B$4,2)</f>
        <v/>
      </c>
      <c r="Q2577" s="10">
        <f>RIGHT($B$5,3)</f>
        <v/>
      </c>
      <c r="R2577" s="10">
        <f>IF(A2577="D",LEFT(UPPER(B2577)&amp;REPT(" ",20),20),REPT(" ",20))</f>
        <v/>
      </c>
      <c r="S2577" s="10">
        <f>IF(A2577="D",LEFT(UPPER(C2577)&amp;REPT(" ",10),10)," ")</f>
        <v/>
      </c>
      <c r="T2577" s="10">
        <f>IF(A2577="D",LEFT(UPPER(D2577)&amp;REPT(" ",2),2)," ")</f>
        <v/>
      </c>
      <c r="U2577" s="10">
        <f>IF(A2577="D",LEFT(UPPER(E2577)&amp;REPT(" ",15),15)," ")</f>
        <v/>
      </c>
      <c r="V2577" s="10">
        <f>REPT(" ",24)</f>
        <v/>
      </c>
      <c r="W2577" s="10">
        <f>IF(A2577="c",LEFT(UPPER(B2577)&amp;REPT(" ",20),20),REPT(" ",20))</f>
        <v/>
      </c>
      <c r="X2577" s="10">
        <f>IF(A2577="C",LEFT(UPPER(C2577)&amp;REPT(" ",10),10)," ")</f>
        <v/>
      </c>
      <c r="Y2577" s="10">
        <f>IF(A2577="C",LEFT(UPPER(D2577)&amp;REPT(" ",2),2)," ")</f>
        <v/>
      </c>
      <c r="Z2577" s="10">
        <f>IF(A2577="C",LEFT(UPPER(E2577)&amp;REPT(" ",15),15)," ")</f>
        <v/>
      </c>
      <c r="AA2577" s="10">
        <f>REPT(" ",8)</f>
        <v/>
      </c>
      <c r="AB2577" s="10">
        <f>REPT(" ",4)</f>
        <v/>
      </c>
      <c r="AC2577" s="10">
        <f>LEFT(UPPER(H2577)&amp;REPT(" ",250),250)</f>
        <v/>
      </c>
      <c r="AD2577" s="10">
        <f>TEXT($G$2,"dd/mm/aaaa")</f>
        <v/>
      </c>
      <c r="AE2577" s="10">
        <f>REPT(" ",10)</f>
        <v/>
      </c>
      <c r="AF2577" s="10">
        <f>REPT(" ",20)</f>
        <v/>
      </c>
      <c r="AG2577" s="54">
        <f>REPT(" ",18-LEN(FIXED(F2577,2,TRUE)))&amp;FIXED(F2577,2,TRUE)</f>
        <v/>
      </c>
      <c r="AH2577" s="10">
        <f>LEN(AC2577)+LEN(AG2577)</f>
        <v/>
      </c>
      <c r="AI2577" s="10">
        <f>LEN(L2577)</f>
        <v/>
      </c>
    </row>
    <row r="2578">
      <c r="J2578" s="12">
        <f>IF(F2578&lt;&gt;0,"LANÇAR","")</f>
        <v/>
      </c>
      <c r="L2578" s="13">
        <f>N2578&amp;O2578&amp;P2578&amp;Q2578&amp;R2578&amp;S2578&amp;T2578&amp;U2578&amp;V2578&amp;W2578&amp;X2578&amp;Y2578&amp;Z2578&amp;AA2578&amp;AB2578&amp;AC2578&amp;AD2578&amp;AE2578&amp;AF2578&amp;AG2578</f>
        <v/>
      </c>
      <c r="N2578" s="10">
        <f>TEXT($B$6,"00")</f>
        <v/>
      </c>
      <c r="O2578" s="10">
        <f>REPT(" ",8)</f>
        <v/>
      </c>
      <c r="P2578" s="10">
        <f>RIGHT($B$4,2)</f>
        <v/>
      </c>
      <c r="Q2578" s="10">
        <f>RIGHT($B$5,3)</f>
        <v/>
      </c>
      <c r="R2578" s="10">
        <f>IF(A2578="D",LEFT(UPPER(B2578)&amp;REPT(" ",20),20),REPT(" ",20))</f>
        <v/>
      </c>
      <c r="S2578" s="10">
        <f>IF(A2578="D",LEFT(UPPER(C2578)&amp;REPT(" ",10),10)," ")</f>
        <v/>
      </c>
      <c r="T2578" s="10">
        <f>IF(A2578="D",LEFT(UPPER(D2578)&amp;REPT(" ",2),2)," ")</f>
        <v/>
      </c>
      <c r="U2578" s="10">
        <f>IF(A2578="D",LEFT(UPPER(E2578)&amp;REPT(" ",15),15)," ")</f>
        <v/>
      </c>
      <c r="V2578" s="10">
        <f>REPT(" ",24)</f>
        <v/>
      </c>
      <c r="W2578" s="10">
        <f>IF(A2578="c",LEFT(UPPER(B2578)&amp;REPT(" ",20),20),REPT(" ",20))</f>
        <v/>
      </c>
      <c r="X2578" s="10">
        <f>IF(A2578="C",LEFT(UPPER(C2578)&amp;REPT(" ",10),10)," ")</f>
        <v/>
      </c>
      <c r="Y2578" s="10">
        <f>IF(A2578="C",LEFT(UPPER(D2578)&amp;REPT(" ",2),2)," ")</f>
        <v/>
      </c>
      <c r="Z2578" s="10">
        <f>IF(A2578="C",LEFT(UPPER(E2578)&amp;REPT(" ",15),15)," ")</f>
        <v/>
      </c>
      <c r="AA2578" s="10">
        <f>REPT(" ",8)</f>
        <v/>
      </c>
      <c r="AB2578" s="10">
        <f>REPT(" ",4)</f>
        <v/>
      </c>
      <c r="AC2578" s="10">
        <f>LEFT(UPPER(H2578)&amp;REPT(" ",250),250)</f>
        <v/>
      </c>
      <c r="AD2578" s="10">
        <f>TEXT($G$2,"dd/mm/aaaa")</f>
        <v/>
      </c>
      <c r="AE2578" s="10">
        <f>REPT(" ",10)</f>
        <v/>
      </c>
      <c r="AF2578" s="10">
        <f>REPT(" ",20)</f>
        <v/>
      </c>
      <c r="AG2578" s="54">
        <f>REPT(" ",18-LEN(FIXED(F2578,2,TRUE)))&amp;FIXED(F2578,2,TRUE)</f>
        <v/>
      </c>
      <c r="AH2578" s="10">
        <f>LEN(AC2578)+LEN(AG2578)</f>
        <v/>
      </c>
      <c r="AI2578" s="10">
        <f>LEN(L2578)</f>
        <v/>
      </c>
    </row>
    <row r="2579">
      <c r="J2579" s="12">
        <f>IF(F2579&lt;&gt;0,"LANÇAR","")</f>
        <v/>
      </c>
      <c r="L2579" s="13">
        <f>N2579&amp;O2579&amp;P2579&amp;Q2579&amp;R2579&amp;S2579&amp;T2579&amp;U2579&amp;V2579&amp;W2579&amp;X2579&amp;Y2579&amp;Z2579&amp;AA2579&amp;AB2579&amp;AC2579&amp;AD2579&amp;AE2579&amp;AF2579&amp;AG2579</f>
        <v/>
      </c>
      <c r="N2579" s="10">
        <f>TEXT($B$6,"00")</f>
        <v/>
      </c>
      <c r="O2579" s="10">
        <f>REPT(" ",8)</f>
        <v/>
      </c>
      <c r="P2579" s="10">
        <f>RIGHT($B$4,2)</f>
        <v/>
      </c>
      <c r="Q2579" s="10">
        <f>RIGHT($B$5,3)</f>
        <v/>
      </c>
      <c r="R2579" s="10">
        <f>IF(A2579="D",LEFT(UPPER(B2579)&amp;REPT(" ",20),20),REPT(" ",20))</f>
        <v/>
      </c>
      <c r="S2579" s="10">
        <f>IF(A2579="D",LEFT(UPPER(C2579)&amp;REPT(" ",10),10)," ")</f>
        <v/>
      </c>
      <c r="T2579" s="10">
        <f>IF(A2579="D",LEFT(UPPER(D2579)&amp;REPT(" ",2),2)," ")</f>
        <v/>
      </c>
      <c r="U2579" s="10">
        <f>IF(A2579="D",LEFT(UPPER(E2579)&amp;REPT(" ",15),15)," ")</f>
        <v/>
      </c>
      <c r="V2579" s="10">
        <f>REPT(" ",24)</f>
        <v/>
      </c>
      <c r="W2579" s="10">
        <f>IF(A2579="c",LEFT(UPPER(B2579)&amp;REPT(" ",20),20),REPT(" ",20))</f>
        <v/>
      </c>
      <c r="X2579" s="10">
        <f>IF(A2579="C",LEFT(UPPER(C2579)&amp;REPT(" ",10),10)," ")</f>
        <v/>
      </c>
      <c r="Y2579" s="10">
        <f>IF(A2579="C",LEFT(UPPER(D2579)&amp;REPT(" ",2),2)," ")</f>
        <v/>
      </c>
      <c r="Z2579" s="10">
        <f>IF(A2579="C",LEFT(UPPER(E2579)&amp;REPT(" ",15),15)," ")</f>
        <v/>
      </c>
      <c r="AA2579" s="10">
        <f>REPT(" ",8)</f>
        <v/>
      </c>
      <c r="AB2579" s="10">
        <f>REPT(" ",4)</f>
        <v/>
      </c>
      <c r="AC2579" s="10">
        <f>LEFT(UPPER(H2579)&amp;REPT(" ",250),250)</f>
        <v/>
      </c>
      <c r="AD2579" s="10">
        <f>TEXT($G$2,"dd/mm/aaaa")</f>
        <v/>
      </c>
      <c r="AE2579" s="10">
        <f>REPT(" ",10)</f>
        <v/>
      </c>
      <c r="AF2579" s="10">
        <f>REPT(" ",20)</f>
        <v/>
      </c>
      <c r="AG2579" s="54">
        <f>REPT(" ",18-LEN(FIXED(F2579,2,TRUE)))&amp;FIXED(F2579,2,TRUE)</f>
        <v/>
      </c>
      <c r="AH2579" s="10">
        <f>LEN(AC2579)+LEN(AG2579)</f>
        <v/>
      </c>
      <c r="AI2579" s="10">
        <f>LEN(L2579)</f>
        <v/>
      </c>
    </row>
    <row r="2580">
      <c r="J2580" s="12">
        <f>IF(F2580&lt;&gt;0,"LANÇAR","")</f>
        <v/>
      </c>
      <c r="L2580" s="13">
        <f>N2580&amp;O2580&amp;P2580&amp;Q2580&amp;R2580&amp;S2580&amp;T2580&amp;U2580&amp;V2580&amp;W2580&amp;X2580&amp;Y2580&amp;Z2580&amp;AA2580&amp;AB2580&amp;AC2580&amp;AD2580&amp;AE2580&amp;AF2580&amp;AG2580</f>
        <v/>
      </c>
      <c r="N2580" s="10">
        <f>TEXT($B$6,"00")</f>
        <v/>
      </c>
      <c r="O2580" s="10">
        <f>REPT(" ",8)</f>
        <v/>
      </c>
      <c r="P2580" s="10">
        <f>RIGHT($B$4,2)</f>
        <v/>
      </c>
      <c r="Q2580" s="10">
        <f>RIGHT($B$5,3)</f>
        <v/>
      </c>
      <c r="R2580" s="10">
        <f>IF(A2580="D",LEFT(UPPER(B2580)&amp;REPT(" ",20),20),REPT(" ",20))</f>
        <v/>
      </c>
      <c r="S2580" s="10">
        <f>IF(A2580="D",LEFT(UPPER(C2580)&amp;REPT(" ",10),10)," ")</f>
        <v/>
      </c>
      <c r="T2580" s="10">
        <f>IF(A2580="D",LEFT(UPPER(D2580)&amp;REPT(" ",2),2)," ")</f>
        <v/>
      </c>
      <c r="U2580" s="10">
        <f>IF(A2580="D",LEFT(UPPER(E2580)&amp;REPT(" ",15),15)," ")</f>
        <v/>
      </c>
      <c r="V2580" s="10">
        <f>REPT(" ",24)</f>
        <v/>
      </c>
      <c r="W2580" s="10">
        <f>IF(A2580="c",LEFT(UPPER(B2580)&amp;REPT(" ",20),20),REPT(" ",20))</f>
        <v/>
      </c>
      <c r="X2580" s="10">
        <f>IF(A2580="C",LEFT(UPPER(C2580)&amp;REPT(" ",10),10)," ")</f>
        <v/>
      </c>
      <c r="Y2580" s="10">
        <f>IF(A2580="C",LEFT(UPPER(D2580)&amp;REPT(" ",2),2)," ")</f>
        <v/>
      </c>
      <c r="Z2580" s="10">
        <f>IF(A2580="C",LEFT(UPPER(E2580)&amp;REPT(" ",15),15)," ")</f>
        <v/>
      </c>
      <c r="AA2580" s="10">
        <f>REPT(" ",8)</f>
        <v/>
      </c>
      <c r="AB2580" s="10">
        <f>REPT(" ",4)</f>
        <v/>
      </c>
      <c r="AC2580" s="10">
        <f>LEFT(UPPER(H2580)&amp;REPT(" ",250),250)</f>
        <v/>
      </c>
      <c r="AD2580" s="10">
        <f>TEXT($G$2,"dd/mm/aaaa")</f>
        <v/>
      </c>
      <c r="AE2580" s="10">
        <f>REPT(" ",10)</f>
        <v/>
      </c>
      <c r="AF2580" s="10">
        <f>REPT(" ",20)</f>
        <v/>
      </c>
      <c r="AG2580" s="54">
        <f>REPT(" ",18-LEN(FIXED(F2580,2,TRUE)))&amp;FIXED(F2580,2,TRUE)</f>
        <v/>
      </c>
      <c r="AH2580" s="10">
        <f>LEN(AC2580)+LEN(AG2580)</f>
        <v/>
      </c>
      <c r="AI2580" s="10">
        <f>LEN(L2580)</f>
        <v/>
      </c>
    </row>
    <row r="2581">
      <c r="J2581" s="12">
        <f>IF(F2581&lt;&gt;0,"LANÇAR","")</f>
        <v/>
      </c>
      <c r="L2581" s="13">
        <f>N2581&amp;O2581&amp;P2581&amp;Q2581&amp;R2581&amp;S2581&amp;T2581&amp;U2581&amp;V2581&amp;W2581&amp;X2581&amp;Y2581&amp;Z2581&amp;AA2581&amp;AB2581&amp;AC2581&amp;AD2581&amp;AE2581&amp;AF2581&amp;AG2581</f>
        <v/>
      </c>
      <c r="N2581" s="10">
        <f>TEXT($B$6,"00")</f>
        <v/>
      </c>
      <c r="O2581" s="10">
        <f>REPT(" ",8)</f>
        <v/>
      </c>
      <c r="P2581" s="10">
        <f>RIGHT($B$4,2)</f>
        <v/>
      </c>
      <c r="Q2581" s="10">
        <f>RIGHT($B$5,3)</f>
        <v/>
      </c>
      <c r="R2581" s="10">
        <f>IF(A2581="D",LEFT(UPPER(B2581)&amp;REPT(" ",20),20),REPT(" ",20))</f>
        <v/>
      </c>
      <c r="S2581" s="10">
        <f>IF(A2581="D",LEFT(UPPER(C2581)&amp;REPT(" ",10),10)," ")</f>
        <v/>
      </c>
      <c r="T2581" s="10">
        <f>IF(A2581="D",LEFT(UPPER(D2581)&amp;REPT(" ",2),2)," ")</f>
        <v/>
      </c>
      <c r="U2581" s="10">
        <f>IF(A2581="D",LEFT(UPPER(E2581)&amp;REPT(" ",15),15)," ")</f>
        <v/>
      </c>
      <c r="V2581" s="10">
        <f>REPT(" ",24)</f>
        <v/>
      </c>
      <c r="W2581" s="10">
        <f>IF(A2581="c",LEFT(UPPER(B2581)&amp;REPT(" ",20),20),REPT(" ",20))</f>
        <v/>
      </c>
      <c r="X2581" s="10">
        <f>IF(A2581="C",LEFT(UPPER(C2581)&amp;REPT(" ",10),10)," ")</f>
        <v/>
      </c>
      <c r="Y2581" s="10">
        <f>IF(A2581="C",LEFT(UPPER(D2581)&amp;REPT(" ",2),2)," ")</f>
        <v/>
      </c>
      <c r="Z2581" s="10">
        <f>IF(A2581="C",LEFT(UPPER(E2581)&amp;REPT(" ",15),15)," ")</f>
        <v/>
      </c>
      <c r="AA2581" s="10">
        <f>REPT(" ",8)</f>
        <v/>
      </c>
      <c r="AB2581" s="10">
        <f>REPT(" ",4)</f>
        <v/>
      </c>
      <c r="AC2581" s="10">
        <f>LEFT(UPPER(H2581)&amp;REPT(" ",250),250)</f>
        <v/>
      </c>
      <c r="AD2581" s="10">
        <f>TEXT($G$2,"dd/mm/aaaa")</f>
        <v/>
      </c>
      <c r="AE2581" s="10">
        <f>REPT(" ",10)</f>
        <v/>
      </c>
      <c r="AF2581" s="10">
        <f>REPT(" ",20)</f>
        <v/>
      </c>
      <c r="AG2581" s="54">
        <f>REPT(" ",18-LEN(FIXED(F2581,2,TRUE)))&amp;FIXED(F2581,2,TRUE)</f>
        <v/>
      </c>
      <c r="AH2581" s="10">
        <f>LEN(AC2581)+LEN(AG2581)</f>
        <v/>
      </c>
      <c r="AI2581" s="10">
        <f>LEN(L2581)</f>
        <v/>
      </c>
    </row>
    <row r="2582">
      <c r="J2582" s="12">
        <f>IF(F2582&lt;&gt;0,"LANÇAR","")</f>
        <v/>
      </c>
      <c r="L2582" s="13">
        <f>N2582&amp;O2582&amp;P2582&amp;Q2582&amp;R2582&amp;S2582&amp;T2582&amp;U2582&amp;V2582&amp;W2582&amp;X2582&amp;Y2582&amp;Z2582&amp;AA2582&amp;AB2582&amp;AC2582&amp;AD2582&amp;AE2582&amp;AF2582&amp;AG2582</f>
        <v/>
      </c>
      <c r="N2582" s="10">
        <f>TEXT($B$6,"00")</f>
        <v/>
      </c>
      <c r="O2582" s="10">
        <f>REPT(" ",8)</f>
        <v/>
      </c>
      <c r="P2582" s="10">
        <f>RIGHT($B$4,2)</f>
        <v/>
      </c>
      <c r="Q2582" s="10">
        <f>RIGHT($B$5,3)</f>
        <v/>
      </c>
      <c r="R2582" s="10">
        <f>IF(A2582="D",LEFT(UPPER(B2582)&amp;REPT(" ",20),20),REPT(" ",20))</f>
        <v/>
      </c>
      <c r="S2582" s="10">
        <f>IF(A2582="D",LEFT(UPPER(C2582)&amp;REPT(" ",10),10)," ")</f>
        <v/>
      </c>
      <c r="T2582" s="10">
        <f>IF(A2582="D",LEFT(UPPER(D2582)&amp;REPT(" ",2),2)," ")</f>
        <v/>
      </c>
      <c r="U2582" s="10">
        <f>IF(A2582="D",LEFT(UPPER(E2582)&amp;REPT(" ",15),15)," ")</f>
        <v/>
      </c>
      <c r="V2582" s="10">
        <f>REPT(" ",24)</f>
        <v/>
      </c>
      <c r="W2582" s="10">
        <f>IF(A2582="c",LEFT(UPPER(B2582)&amp;REPT(" ",20),20),REPT(" ",20))</f>
        <v/>
      </c>
      <c r="X2582" s="10">
        <f>IF(A2582="C",LEFT(UPPER(C2582)&amp;REPT(" ",10),10)," ")</f>
        <v/>
      </c>
      <c r="Y2582" s="10">
        <f>IF(A2582="C",LEFT(UPPER(D2582)&amp;REPT(" ",2),2)," ")</f>
        <v/>
      </c>
      <c r="Z2582" s="10">
        <f>IF(A2582="C",LEFT(UPPER(E2582)&amp;REPT(" ",15),15)," ")</f>
        <v/>
      </c>
      <c r="AA2582" s="10">
        <f>REPT(" ",8)</f>
        <v/>
      </c>
      <c r="AB2582" s="10">
        <f>REPT(" ",4)</f>
        <v/>
      </c>
      <c r="AC2582" s="10">
        <f>LEFT(UPPER(H2582)&amp;REPT(" ",250),250)</f>
        <v/>
      </c>
      <c r="AD2582" s="10">
        <f>TEXT($G$2,"dd/mm/aaaa")</f>
        <v/>
      </c>
      <c r="AE2582" s="10">
        <f>REPT(" ",10)</f>
        <v/>
      </c>
      <c r="AF2582" s="10">
        <f>REPT(" ",20)</f>
        <v/>
      </c>
      <c r="AG2582" s="54">
        <f>REPT(" ",18-LEN(FIXED(F2582,2,TRUE)))&amp;FIXED(F2582,2,TRUE)</f>
        <v/>
      </c>
      <c r="AH2582" s="10">
        <f>LEN(AC2582)+LEN(AG2582)</f>
        <v/>
      </c>
      <c r="AI2582" s="10">
        <f>LEN(L2582)</f>
        <v/>
      </c>
    </row>
    <row r="2583">
      <c r="J2583" s="12">
        <f>IF(F2583&lt;&gt;0,"LANÇAR","")</f>
        <v/>
      </c>
      <c r="L2583" s="13">
        <f>N2583&amp;O2583&amp;P2583&amp;Q2583&amp;R2583&amp;S2583&amp;T2583&amp;U2583&amp;V2583&amp;W2583&amp;X2583&amp;Y2583&amp;Z2583&amp;AA2583&amp;AB2583&amp;AC2583&amp;AD2583&amp;AE2583&amp;AF2583&amp;AG2583</f>
        <v/>
      </c>
      <c r="N2583" s="10">
        <f>TEXT($B$6,"00")</f>
        <v/>
      </c>
      <c r="O2583" s="10">
        <f>REPT(" ",8)</f>
        <v/>
      </c>
      <c r="P2583" s="10">
        <f>RIGHT($B$4,2)</f>
        <v/>
      </c>
      <c r="Q2583" s="10">
        <f>RIGHT($B$5,3)</f>
        <v/>
      </c>
      <c r="R2583" s="10">
        <f>IF(A2583="D",LEFT(UPPER(B2583)&amp;REPT(" ",20),20),REPT(" ",20))</f>
        <v/>
      </c>
      <c r="S2583" s="10">
        <f>IF(A2583="D",LEFT(UPPER(C2583)&amp;REPT(" ",10),10)," ")</f>
        <v/>
      </c>
      <c r="T2583" s="10">
        <f>IF(A2583="D",LEFT(UPPER(D2583)&amp;REPT(" ",2),2)," ")</f>
        <v/>
      </c>
      <c r="U2583" s="10">
        <f>IF(A2583="D",LEFT(UPPER(E2583)&amp;REPT(" ",15),15)," ")</f>
        <v/>
      </c>
      <c r="V2583" s="10">
        <f>REPT(" ",24)</f>
        <v/>
      </c>
      <c r="W2583" s="10">
        <f>IF(A2583="c",LEFT(UPPER(B2583)&amp;REPT(" ",20),20),REPT(" ",20))</f>
        <v/>
      </c>
      <c r="X2583" s="10">
        <f>IF(A2583="C",LEFT(UPPER(C2583)&amp;REPT(" ",10),10)," ")</f>
        <v/>
      </c>
      <c r="Y2583" s="10">
        <f>IF(A2583="C",LEFT(UPPER(D2583)&amp;REPT(" ",2),2)," ")</f>
        <v/>
      </c>
      <c r="Z2583" s="10">
        <f>IF(A2583="C",LEFT(UPPER(E2583)&amp;REPT(" ",15),15)," ")</f>
        <v/>
      </c>
      <c r="AA2583" s="10">
        <f>REPT(" ",8)</f>
        <v/>
      </c>
      <c r="AB2583" s="10">
        <f>REPT(" ",4)</f>
        <v/>
      </c>
      <c r="AC2583" s="10">
        <f>LEFT(UPPER(H2583)&amp;REPT(" ",250),250)</f>
        <v/>
      </c>
      <c r="AD2583" s="10">
        <f>TEXT($G$2,"dd/mm/aaaa")</f>
        <v/>
      </c>
      <c r="AE2583" s="10">
        <f>REPT(" ",10)</f>
        <v/>
      </c>
      <c r="AF2583" s="10">
        <f>REPT(" ",20)</f>
        <v/>
      </c>
      <c r="AG2583" s="54">
        <f>REPT(" ",18-LEN(FIXED(F2583,2,TRUE)))&amp;FIXED(F2583,2,TRUE)</f>
        <v/>
      </c>
      <c r="AH2583" s="10">
        <f>LEN(AC2583)+LEN(AG2583)</f>
        <v/>
      </c>
      <c r="AI2583" s="10">
        <f>LEN(L2583)</f>
        <v/>
      </c>
    </row>
    <row r="2584">
      <c r="J2584" s="12">
        <f>IF(F2584&lt;&gt;0,"LANÇAR","")</f>
        <v/>
      </c>
      <c r="L2584" s="13">
        <f>N2584&amp;O2584&amp;P2584&amp;Q2584&amp;R2584&amp;S2584&amp;T2584&amp;U2584&amp;V2584&amp;W2584&amp;X2584&amp;Y2584&amp;Z2584&amp;AA2584&amp;AB2584&amp;AC2584&amp;AD2584&amp;AE2584&amp;AF2584&amp;AG2584</f>
        <v/>
      </c>
      <c r="N2584" s="10">
        <f>TEXT($B$6,"00")</f>
        <v/>
      </c>
      <c r="O2584" s="10">
        <f>REPT(" ",8)</f>
        <v/>
      </c>
      <c r="P2584" s="10">
        <f>RIGHT($B$4,2)</f>
        <v/>
      </c>
      <c r="Q2584" s="10">
        <f>RIGHT($B$5,3)</f>
        <v/>
      </c>
      <c r="R2584" s="10">
        <f>IF(A2584="D",LEFT(UPPER(B2584)&amp;REPT(" ",20),20),REPT(" ",20))</f>
        <v/>
      </c>
      <c r="S2584" s="10">
        <f>IF(A2584="D",LEFT(UPPER(C2584)&amp;REPT(" ",10),10)," ")</f>
        <v/>
      </c>
      <c r="T2584" s="10">
        <f>IF(A2584="D",LEFT(UPPER(D2584)&amp;REPT(" ",2),2)," ")</f>
        <v/>
      </c>
      <c r="U2584" s="10">
        <f>IF(A2584="D",LEFT(UPPER(E2584)&amp;REPT(" ",15),15)," ")</f>
        <v/>
      </c>
      <c r="V2584" s="10">
        <f>REPT(" ",24)</f>
        <v/>
      </c>
      <c r="W2584" s="10">
        <f>IF(A2584="c",LEFT(UPPER(B2584)&amp;REPT(" ",20),20),REPT(" ",20))</f>
        <v/>
      </c>
      <c r="X2584" s="10">
        <f>IF(A2584="C",LEFT(UPPER(C2584)&amp;REPT(" ",10),10)," ")</f>
        <v/>
      </c>
      <c r="Y2584" s="10">
        <f>IF(A2584="C",LEFT(UPPER(D2584)&amp;REPT(" ",2),2)," ")</f>
        <v/>
      </c>
      <c r="Z2584" s="10">
        <f>IF(A2584="C",LEFT(UPPER(E2584)&amp;REPT(" ",15),15)," ")</f>
        <v/>
      </c>
      <c r="AA2584" s="10">
        <f>REPT(" ",8)</f>
        <v/>
      </c>
      <c r="AB2584" s="10">
        <f>REPT(" ",4)</f>
        <v/>
      </c>
      <c r="AC2584" s="10">
        <f>LEFT(UPPER(H2584)&amp;REPT(" ",250),250)</f>
        <v/>
      </c>
      <c r="AD2584" s="10">
        <f>TEXT($G$2,"dd/mm/aaaa")</f>
        <v/>
      </c>
      <c r="AE2584" s="10">
        <f>REPT(" ",10)</f>
        <v/>
      </c>
      <c r="AF2584" s="10">
        <f>REPT(" ",20)</f>
        <v/>
      </c>
      <c r="AG2584" s="54">
        <f>REPT(" ",18-LEN(FIXED(F2584,2,TRUE)))&amp;FIXED(F2584,2,TRUE)</f>
        <v/>
      </c>
      <c r="AH2584" s="10">
        <f>LEN(AC2584)+LEN(AG2584)</f>
        <v/>
      </c>
      <c r="AI2584" s="10">
        <f>LEN(L2584)</f>
        <v/>
      </c>
    </row>
    <row r="2585">
      <c r="J2585" s="12">
        <f>IF(F2585&lt;&gt;0,"LANÇAR","")</f>
        <v/>
      </c>
      <c r="L2585" s="13">
        <f>N2585&amp;O2585&amp;P2585&amp;Q2585&amp;R2585&amp;S2585&amp;T2585&amp;U2585&amp;V2585&amp;W2585&amp;X2585&amp;Y2585&amp;Z2585&amp;AA2585&amp;AB2585&amp;AC2585&amp;AD2585&amp;AE2585&amp;AF2585&amp;AG2585</f>
        <v/>
      </c>
      <c r="N2585" s="10">
        <f>TEXT($B$6,"00")</f>
        <v/>
      </c>
      <c r="O2585" s="10">
        <f>REPT(" ",8)</f>
        <v/>
      </c>
      <c r="P2585" s="10">
        <f>RIGHT($B$4,2)</f>
        <v/>
      </c>
      <c r="Q2585" s="10">
        <f>RIGHT($B$5,3)</f>
        <v/>
      </c>
      <c r="R2585" s="10">
        <f>IF(A2585="D",LEFT(UPPER(B2585)&amp;REPT(" ",20),20),REPT(" ",20))</f>
        <v/>
      </c>
      <c r="S2585" s="10">
        <f>IF(A2585="D",LEFT(UPPER(C2585)&amp;REPT(" ",10),10)," ")</f>
        <v/>
      </c>
      <c r="T2585" s="10">
        <f>IF(A2585="D",LEFT(UPPER(D2585)&amp;REPT(" ",2),2)," ")</f>
        <v/>
      </c>
      <c r="U2585" s="10">
        <f>IF(A2585="D",LEFT(UPPER(E2585)&amp;REPT(" ",15),15)," ")</f>
        <v/>
      </c>
      <c r="V2585" s="10">
        <f>REPT(" ",24)</f>
        <v/>
      </c>
      <c r="W2585" s="10">
        <f>IF(A2585="c",LEFT(UPPER(B2585)&amp;REPT(" ",20),20),REPT(" ",20))</f>
        <v/>
      </c>
      <c r="X2585" s="10">
        <f>IF(A2585="C",LEFT(UPPER(C2585)&amp;REPT(" ",10),10)," ")</f>
        <v/>
      </c>
      <c r="Y2585" s="10">
        <f>IF(A2585="C",LEFT(UPPER(D2585)&amp;REPT(" ",2),2)," ")</f>
        <v/>
      </c>
      <c r="Z2585" s="10">
        <f>IF(A2585="C",LEFT(UPPER(E2585)&amp;REPT(" ",15),15)," ")</f>
        <v/>
      </c>
      <c r="AA2585" s="10">
        <f>REPT(" ",8)</f>
        <v/>
      </c>
      <c r="AB2585" s="10">
        <f>REPT(" ",4)</f>
        <v/>
      </c>
      <c r="AC2585" s="10">
        <f>LEFT(UPPER(H2585)&amp;REPT(" ",250),250)</f>
        <v/>
      </c>
      <c r="AD2585" s="10">
        <f>TEXT($G$2,"dd/mm/aaaa")</f>
        <v/>
      </c>
      <c r="AE2585" s="10">
        <f>REPT(" ",10)</f>
        <v/>
      </c>
      <c r="AF2585" s="10">
        <f>REPT(" ",20)</f>
        <v/>
      </c>
      <c r="AG2585" s="54">
        <f>REPT(" ",18-LEN(FIXED(F2585,2,TRUE)))&amp;FIXED(F2585,2,TRUE)</f>
        <v/>
      </c>
      <c r="AH2585" s="10">
        <f>LEN(AC2585)+LEN(AG2585)</f>
        <v/>
      </c>
      <c r="AI2585" s="10">
        <f>LEN(L2585)</f>
        <v/>
      </c>
    </row>
    <row r="2586">
      <c r="J2586" s="12">
        <f>IF(F2586&lt;&gt;0,"LANÇAR","")</f>
        <v/>
      </c>
      <c r="L2586" s="13">
        <f>N2586&amp;O2586&amp;P2586&amp;Q2586&amp;R2586&amp;S2586&amp;T2586&amp;U2586&amp;V2586&amp;W2586&amp;X2586&amp;Y2586&amp;Z2586&amp;AA2586&amp;AB2586&amp;AC2586&amp;AD2586&amp;AE2586&amp;AF2586&amp;AG2586</f>
        <v/>
      </c>
      <c r="N2586" s="10">
        <f>TEXT($B$6,"00")</f>
        <v/>
      </c>
      <c r="O2586" s="10">
        <f>REPT(" ",8)</f>
        <v/>
      </c>
      <c r="P2586" s="10">
        <f>RIGHT($B$4,2)</f>
        <v/>
      </c>
      <c r="Q2586" s="10">
        <f>RIGHT($B$5,3)</f>
        <v/>
      </c>
      <c r="R2586" s="10">
        <f>IF(A2586="D",LEFT(UPPER(B2586)&amp;REPT(" ",20),20),REPT(" ",20))</f>
        <v/>
      </c>
      <c r="S2586" s="10">
        <f>IF(A2586="D",LEFT(UPPER(C2586)&amp;REPT(" ",10),10)," ")</f>
        <v/>
      </c>
      <c r="T2586" s="10">
        <f>IF(A2586="D",LEFT(UPPER(D2586)&amp;REPT(" ",2),2)," ")</f>
        <v/>
      </c>
      <c r="U2586" s="10">
        <f>IF(A2586="D",LEFT(UPPER(E2586)&amp;REPT(" ",15),15)," ")</f>
        <v/>
      </c>
      <c r="V2586" s="10">
        <f>REPT(" ",24)</f>
        <v/>
      </c>
      <c r="W2586" s="10">
        <f>IF(A2586="c",LEFT(UPPER(B2586)&amp;REPT(" ",20),20),REPT(" ",20))</f>
        <v/>
      </c>
      <c r="X2586" s="10">
        <f>IF(A2586="C",LEFT(UPPER(C2586)&amp;REPT(" ",10),10)," ")</f>
        <v/>
      </c>
      <c r="Y2586" s="10">
        <f>IF(A2586="C",LEFT(UPPER(D2586)&amp;REPT(" ",2),2)," ")</f>
        <v/>
      </c>
      <c r="Z2586" s="10">
        <f>IF(A2586="C",LEFT(UPPER(E2586)&amp;REPT(" ",15),15)," ")</f>
        <v/>
      </c>
      <c r="AA2586" s="10">
        <f>REPT(" ",8)</f>
        <v/>
      </c>
      <c r="AB2586" s="10">
        <f>REPT(" ",4)</f>
        <v/>
      </c>
      <c r="AC2586" s="10">
        <f>LEFT(UPPER(H2586)&amp;REPT(" ",250),250)</f>
        <v/>
      </c>
      <c r="AD2586" s="10">
        <f>TEXT($G$2,"dd/mm/aaaa")</f>
        <v/>
      </c>
      <c r="AE2586" s="10">
        <f>REPT(" ",10)</f>
        <v/>
      </c>
      <c r="AF2586" s="10">
        <f>REPT(" ",20)</f>
        <v/>
      </c>
      <c r="AG2586" s="54">
        <f>REPT(" ",18-LEN(FIXED(F2586,2,TRUE)))&amp;FIXED(F2586,2,TRUE)</f>
        <v/>
      </c>
      <c r="AH2586" s="10">
        <f>LEN(AC2586)+LEN(AG2586)</f>
        <v/>
      </c>
      <c r="AI2586" s="10">
        <f>LEN(L2586)</f>
        <v/>
      </c>
    </row>
    <row r="2587">
      <c r="J2587" s="12">
        <f>IF(F2587&lt;&gt;0,"LANÇAR","")</f>
        <v/>
      </c>
      <c r="L2587" s="13">
        <f>N2587&amp;O2587&amp;P2587&amp;Q2587&amp;R2587&amp;S2587&amp;T2587&amp;U2587&amp;V2587&amp;W2587&amp;X2587&amp;Y2587&amp;Z2587&amp;AA2587&amp;AB2587&amp;AC2587&amp;AD2587&amp;AE2587&amp;AF2587&amp;AG2587</f>
        <v/>
      </c>
      <c r="N2587" s="10">
        <f>TEXT($B$6,"00")</f>
        <v/>
      </c>
      <c r="O2587" s="10">
        <f>REPT(" ",8)</f>
        <v/>
      </c>
      <c r="P2587" s="10">
        <f>RIGHT($B$4,2)</f>
        <v/>
      </c>
      <c r="Q2587" s="10">
        <f>RIGHT($B$5,3)</f>
        <v/>
      </c>
      <c r="R2587" s="10">
        <f>IF(A2587="D",LEFT(UPPER(B2587)&amp;REPT(" ",20),20),REPT(" ",20))</f>
        <v/>
      </c>
      <c r="S2587" s="10">
        <f>IF(A2587="D",LEFT(UPPER(C2587)&amp;REPT(" ",10),10)," ")</f>
        <v/>
      </c>
      <c r="T2587" s="10">
        <f>IF(A2587="D",LEFT(UPPER(D2587)&amp;REPT(" ",2),2)," ")</f>
        <v/>
      </c>
      <c r="U2587" s="10">
        <f>IF(A2587="D",LEFT(UPPER(E2587)&amp;REPT(" ",15),15)," ")</f>
        <v/>
      </c>
      <c r="V2587" s="10">
        <f>REPT(" ",24)</f>
        <v/>
      </c>
      <c r="W2587" s="10">
        <f>IF(A2587="c",LEFT(UPPER(B2587)&amp;REPT(" ",20),20),REPT(" ",20))</f>
        <v/>
      </c>
      <c r="X2587" s="10">
        <f>IF(A2587="C",LEFT(UPPER(C2587)&amp;REPT(" ",10),10)," ")</f>
        <v/>
      </c>
      <c r="Y2587" s="10">
        <f>IF(A2587="C",LEFT(UPPER(D2587)&amp;REPT(" ",2),2)," ")</f>
        <v/>
      </c>
      <c r="Z2587" s="10">
        <f>IF(A2587="C",LEFT(UPPER(E2587)&amp;REPT(" ",15),15)," ")</f>
        <v/>
      </c>
      <c r="AA2587" s="10">
        <f>REPT(" ",8)</f>
        <v/>
      </c>
      <c r="AB2587" s="10">
        <f>REPT(" ",4)</f>
        <v/>
      </c>
      <c r="AC2587" s="10">
        <f>LEFT(UPPER(H2587)&amp;REPT(" ",250),250)</f>
        <v/>
      </c>
      <c r="AD2587" s="10">
        <f>TEXT($G$2,"dd/mm/aaaa")</f>
        <v/>
      </c>
      <c r="AE2587" s="10">
        <f>REPT(" ",10)</f>
        <v/>
      </c>
      <c r="AF2587" s="10">
        <f>REPT(" ",20)</f>
        <v/>
      </c>
      <c r="AG2587" s="54">
        <f>REPT(" ",18-LEN(FIXED(F2587,2,TRUE)))&amp;FIXED(F2587,2,TRUE)</f>
        <v/>
      </c>
      <c r="AH2587" s="10">
        <f>LEN(AC2587)+LEN(AG2587)</f>
        <v/>
      </c>
      <c r="AI2587" s="10">
        <f>LEN(L2587)</f>
        <v/>
      </c>
    </row>
    <row r="2588">
      <c r="J2588" s="12">
        <f>IF(F2588&lt;&gt;0,"LANÇAR","")</f>
        <v/>
      </c>
      <c r="L2588" s="13">
        <f>N2588&amp;O2588&amp;P2588&amp;Q2588&amp;R2588&amp;S2588&amp;T2588&amp;U2588&amp;V2588&amp;W2588&amp;X2588&amp;Y2588&amp;Z2588&amp;AA2588&amp;AB2588&amp;AC2588&amp;AD2588&amp;AE2588&amp;AF2588&amp;AG2588</f>
        <v/>
      </c>
      <c r="N2588" s="10">
        <f>TEXT($B$6,"00")</f>
        <v/>
      </c>
      <c r="O2588" s="10">
        <f>REPT(" ",8)</f>
        <v/>
      </c>
      <c r="P2588" s="10">
        <f>RIGHT($B$4,2)</f>
        <v/>
      </c>
      <c r="Q2588" s="10">
        <f>RIGHT($B$5,3)</f>
        <v/>
      </c>
      <c r="R2588" s="10">
        <f>IF(A2588="D",LEFT(UPPER(B2588)&amp;REPT(" ",20),20),REPT(" ",20))</f>
        <v/>
      </c>
      <c r="S2588" s="10">
        <f>IF(A2588="D",LEFT(UPPER(C2588)&amp;REPT(" ",10),10)," ")</f>
        <v/>
      </c>
      <c r="T2588" s="10">
        <f>IF(A2588="D",LEFT(UPPER(D2588)&amp;REPT(" ",2),2)," ")</f>
        <v/>
      </c>
      <c r="U2588" s="10">
        <f>IF(A2588="D",LEFT(UPPER(E2588)&amp;REPT(" ",15),15)," ")</f>
        <v/>
      </c>
      <c r="V2588" s="10">
        <f>REPT(" ",24)</f>
        <v/>
      </c>
      <c r="W2588" s="10">
        <f>IF(A2588="c",LEFT(UPPER(B2588)&amp;REPT(" ",20),20),REPT(" ",20))</f>
        <v/>
      </c>
      <c r="X2588" s="10">
        <f>IF(A2588="C",LEFT(UPPER(C2588)&amp;REPT(" ",10),10)," ")</f>
        <v/>
      </c>
      <c r="Y2588" s="10">
        <f>IF(A2588="C",LEFT(UPPER(D2588)&amp;REPT(" ",2),2)," ")</f>
        <v/>
      </c>
      <c r="Z2588" s="10">
        <f>IF(A2588="C",LEFT(UPPER(E2588)&amp;REPT(" ",15),15)," ")</f>
        <v/>
      </c>
      <c r="AA2588" s="10">
        <f>REPT(" ",8)</f>
        <v/>
      </c>
      <c r="AB2588" s="10">
        <f>REPT(" ",4)</f>
        <v/>
      </c>
      <c r="AC2588" s="10">
        <f>LEFT(UPPER(H2588)&amp;REPT(" ",250),250)</f>
        <v/>
      </c>
      <c r="AD2588" s="10">
        <f>TEXT($G$2,"dd/mm/aaaa")</f>
        <v/>
      </c>
      <c r="AE2588" s="10">
        <f>REPT(" ",10)</f>
        <v/>
      </c>
      <c r="AF2588" s="10">
        <f>REPT(" ",20)</f>
        <v/>
      </c>
      <c r="AG2588" s="54">
        <f>REPT(" ",18-LEN(FIXED(F2588,2,TRUE)))&amp;FIXED(F2588,2,TRUE)</f>
        <v/>
      </c>
      <c r="AH2588" s="10">
        <f>LEN(AC2588)+LEN(AG2588)</f>
        <v/>
      </c>
      <c r="AI2588" s="10">
        <f>LEN(L2588)</f>
        <v/>
      </c>
    </row>
    <row r="2589">
      <c r="J2589" s="12">
        <f>IF(F2589&lt;&gt;0,"LANÇAR","")</f>
        <v/>
      </c>
      <c r="L2589" s="13">
        <f>N2589&amp;O2589&amp;P2589&amp;Q2589&amp;R2589&amp;S2589&amp;T2589&amp;U2589&amp;V2589&amp;W2589&amp;X2589&amp;Y2589&amp;Z2589&amp;AA2589&amp;AB2589&amp;AC2589&amp;AD2589&amp;AE2589&amp;AF2589&amp;AG2589</f>
        <v/>
      </c>
      <c r="N2589" s="10">
        <f>TEXT($B$6,"00")</f>
        <v/>
      </c>
      <c r="O2589" s="10">
        <f>REPT(" ",8)</f>
        <v/>
      </c>
      <c r="P2589" s="10">
        <f>RIGHT($B$4,2)</f>
        <v/>
      </c>
      <c r="Q2589" s="10">
        <f>RIGHT($B$5,3)</f>
        <v/>
      </c>
      <c r="R2589" s="10">
        <f>IF(A2589="D",LEFT(UPPER(B2589)&amp;REPT(" ",20),20),REPT(" ",20))</f>
        <v/>
      </c>
      <c r="S2589" s="10">
        <f>IF(A2589="D",LEFT(UPPER(C2589)&amp;REPT(" ",10),10)," ")</f>
        <v/>
      </c>
      <c r="T2589" s="10">
        <f>IF(A2589="D",LEFT(UPPER(D2589)&amp;REPT(" ",2),2)," ")</f>
        <v/>
      </c>
      <c r="U2589" s="10">
        <f>IF(A2589="D",LEFT(UPPER(E2589)&amp;REPT(" ",15),15)," ")</f>
        <v/>
      </c>
      <c r="V2589" s="10">
        <f>REPT(" ",24)</f>
        <v/>
      </c>
      <c r="W2589" s="10">
        <f>IF(A2589="c",LEFT(UPPER(B2589)&amp;REPT(" ",20),20),REPT(" ",20))</f>
        <v/>
      </c>
      <c r="X2589" s="10">
        <f>IF(A2589="C",LEFT(UPPER(C2589)&amp;REPT(" ",10),10)," ")</f>
        <v/>
      </c>
      <c r="Y2589" s="10">
        <f>IF(A2589="C",LEFT(UPPER(D2589)&amp;REPT(" ",2),2)," ")</f>
        <v/>
      </c>
      <c r="Z2589" s="10">
        <f>IF(A2589="C",LEFT(UPPER(E2589)&amp;REPT(" ",15),15)," ")</f>
        <v/>
      </c>
      <c r="AA2589" s="10">
        <f>REPT(" ",8)</f>
        <v/>
      </c>
      <c r="AB2589" s="10">
        <f>REPT(" ",4)</f>
        <v/>
      </c>
      <c r="AC2589" s="10">
        <f>LEFT(UPPER(H2589)&amp;REPT(" ",250),250)</f>
        <v/>
      </c>
      <c r="AD2589" s="10">
        <f>TEXT($G$2,"dd/mm/aaaa")</f>
        <v/>
      </c>
      <c r="AE2589" s="10">
        <f>REPT(" ",10)</f>
        <v/>
      </c>
      <c r="AF2589" s="10">
        <f>REPT(" ",20)</f>
        <v/>
      </c>
      <c r="AG2589" s="54">
        <f>REPT(" ",18-LEN(FIXED(F2589,2,TRUE)))&amp;FIXED(F2589,2,TRUE)</f>
        <v/>
      </c>
      <c r="AH2589" s="10">
        <f>LEN(AC2589)+LEN(AG2589)</f>
        <v/>
      </c>
      <c r="AI2589" s="10">
        <f>LEN(L2589)</f>
        <v/>
      </c>
    </row>
    <row r="2590">
      <c r="J2590" s="12">
        <f>IF(F2590&lt;&gt;0,"LANÇAR","")</f>
        <v/>
      </c>
      <c r="L2590" s="13">
        <f>N2590&amp;O2590&amp;P2590&amp;Q2590&amp;R2590&amp;S2590&amp;T2590&amp;U2590&amp;V2590&amp;W2590&amp;X2590&amp;Y2590&amp;Z2590&amp;AA2590&amp;AB2590&amp;AC2590&amp;AD2590&amp;AE2590&amp;AF2590&amp;AG2590</f>
        <v/>
      </c>
      <c r="N2590" s="10">
        <f>TEXT($B$6,"00")</f>
        <v/>
      </c>
      <c r="O2590" s="10">
        <f>REPT(" ",8)</f>
        <v/>
      </c>
      <c r="P2590" s="10">
        <f>RIGHT($B$4,2)</f>
        <v/>
      </c>
      <c r="Q2590" s="10">
        <f>RIGHT($B$5,3)</f>
        <v/>
      </c>
      <c r="R2590" s="10">
        <f>IF(A2590="D",LEFT(UPPER(B2590)&amp;REPT(" ",20),20),REPT(" ",20))</f>
        <v/>
      </c>
      <c r="S2590" s="10">
        <f>IF(A2590="D",LEFT(UPPER(C2590)&amp;REPT(" ",10),10)," ")</f>
        <v/>
      </c>
      <c r="T2590" s="10">
        <f>IF(A2590="D",LEFT(UPPER(D2590)&amp;REPT(" ",2),2)," ")</f>
        <v/>
      </c>
      <c r="U2590" s="10">
        <f>IF(A2590="D",LEFT(UPPER(E2590)&amp;REPT(" ",15),15)," ")</f>
        <v/>
      </c>
      <c r="V2590" s="10">
        <f>REPT(" ",24)</f>
        <v/>
      </c>
      <c r="W2590" s="10">
        <f>IF(A2590="c",LEFT(UPPER(B2590)&amp;REPT(" ",20),20),REPT(" ",20))</f>
        <v/>
      </c>
      <c r="X2590" s="10">
        <f>IF(A2590="C",LEFT(UPPER(C2590)&amp;REPT(" ",10),10)," ")</f>
        <v/>
      </c>
      <c r="Y2590" s="10">
        <f>IF(A2590="C",LEFT(UPPER(D2590)&amp;REPT(" ",2),2)," ")</f>
        <v/>
      </c>
      <c r="Z2590" s="10">
        <f>IF(A2590="C",LEFT(UPPER(E2590)&amp;REPT(" ",15),15)," ")</f>
        <v/>
      </c>
      <c r="AA2590" s="10">
        <f>REPT(" ",8)</f>
        <v/>
      </c>
      <c r="AB2590" s="10">
        <f>REPT(" ",4)</f>
        <v/>
      </c>
      <c r="AC2590" s="10">
        <f>LEFT(UPPER(H2590)&amp;REPT(" ",250),250)</f>
        <v/>
      </c>
      <c r="AD2590" s="10">
        <f>TEXT($G$2,"dd/mm/aaaa")</f>
        <v/>
      </c>
      <c r="AE2590" s="10">
        <f>REPT(" ",10)</f>
        <v/>
      </c>
      <c r="AF2590" s="10">
        <f>REPT(" ",20)</f>
        <v/>
      </c>
      <c r="AG2590" s="54">
        <f>REPT(" ",18-LEN(FIXED(F2590,2,TRUE)))&amp;FIXED(F2590,2,TRUE)</f>
        <v/>
      </c>
      <c r="AH2590" s="10">
        <f>LEN(AC2590)+LEN(AG2590)</f>
        <v/>
      </c>
      <c r="AI2590" s="10">
        <f>LEN(L2590)</f>
        <v/>
      </c>
    </row>
    <row r="2591">
      <c r="J2591" s="12">
        <f>IF(F2591&lt;&gt;0,"LANÇAR","")</f>
        <v/>
      </c>
      <c r="L2591" s="13">
        <f>N2591&amp;O2591&amp;P2591&amp;Q2591&amp;R2591&amp;S2591&amp;T2591&amp;U2591&amp;V2591&amp;W2591&amp;X2591&amp;Y2591&amp;Z2591&amp;AA2591&amp;AB2591&amp;AC2591&amp;AD2591&amp;AE2591&amp;AF2591&amp;AG2591</f>
        <v/>
      </c>
      <c r="N2591" s="10">
        <f>TEXT($B$6,"00")</f>
        <v/>
      </c>
      <c r="O2591" s="10">
        <f>REPT(" ",8)</f>
        <v/>
      </c>
      <c r="P2591" s="10">
        <f>RIGHT($B$4,2)</f>
        <v/>
      </c>
      <c r="Q2591" s="10">
        <f>RIGHT($B$5,3)</f>
        <v/>
      </c>
      <c r="R2591" s="10">
        <f>IF(A2591="D",LEFT(UPPER(B2591)&amp;REPT(" ",20),20),REPT(" ",20))</f>
        <v/>
      </c>
      <c r="S2591" s="10">
        <f>IF(A2591="D",LEFT(UPPER(C2591)&amp;REPT(" ",10),10)," ")</f>
        <v/>
      </c>
      <c r="T2591" s="10">
        <f>IF(A2591="D",LEFT(UPPER(D2591)&amp;REPT(" ",2),2)," ")</f>
        <v/>
      </c>
      <c r="U2591" s="10">
        <f>IF(A2591="D",LEFT(UPPER(E2591)&amp;REPT(" ",15),15)," ")</f>
        <v/>
      </c>
      <c r="V2591" s="10">
        <f>REPT(" ",24)</f>
        <v/>
      </c>
      <c r="W2591" s="10">
        <f>IF(A2591="c",LEFT(UPPER(B2591)&amp;REPT(" ",20),20),REPT(" ",20))</f>
        <v/>
      </c>
      <c r="X2591" s="10">
        <f>IF(A2591="C",LEFT(UPPER(C2591)&amp;REPT(" ",10),10)," ")</f>
        <v/>
      </c>
      <c r="Y2591" s="10">
        <f>IF(A2591="C",LEFT(UPPER(D2591)&amp;REPT(" ",2),2)," ")</f>
        <v/>
      </c>
      <c r="Z2591" s="10">
        <f>IF(A2591="C",LEFT(UPPER(E2591)&amp;REPT(" ",15),15)," ")</f>
        <v/>
      </c>
      <c r="AA2591" s="10">
        <f>REPT(" ",8)</f>
        <v/>
      </c>
      <c r="AB2591" s="10">
        <f>REPT(" ",4)</f>
        <v/>
      </c>
      <c r="AC2591" s="10">
        <f>LEFT(UPPER(H2591)&amp;REPT(" ",250),250)</f>
        <v/>
      </c>
      <c r="AD2591" s="10">
        <f>TEXT($G$2,"dd/mm/aaaa")</f>
        <v/>
      </c>
      <c r="AE2591" s="10">
        <f>REPT(" ",10)</f>
        <v/>
      </c>
      <c r="AF2591" s="10">
        <f>REPT(" ",20)</f>
        <v/>
      </c>
      <c r="AG2591" s="54">
        <f>REPT(" ",18-LEN(FIXED(F2591,2,TRUE)))&amp;FIXED(F2591,2,TRUE)</f>
        <v/>
      </c>
      <c r="AH2591" s="10">
        <f>LEN(AC2591)+LEN(AG2591)</f>
        <v/>
      </c>
      <c r="AI2591" s="10">
        <f>LEN(L2591)</f>
        <v/>
      </c>
    </row>
    <row r="2592">
      <c r="J2592" s="12">
        <f>IF(F2592&lt;&gt;0,"LANÇAR","")</f>
        <v/>
      </c>
      <c r="L2592" s="13">
        <f>N2592&amp;O2592&amp;P2592&amp;Q2592&amp;R2592&amp;S2592&amp;T2592&amp;U2592&amp;V2592&amp;W2592&amp;X2592&amp;Y2592&amp;Z2592&amp;AA2592&amp;AB2592&amp;AC2592&amp;AD2592&amp;AE2592&amp;AF2592&amp;AG2592</f>
        <v/>
      </c>
      <c r="N2592" s="10">
        <f>TEXT($B$6,"00")</f>
        <v/>
      </c>
      <c r="O2592" s="10">
        <f>REPT(" ",8)</f>
        <v/>
      </c>
      <c r="P2592" s="10">
        <f>RIGHT($B$4,2)</f>
        <v/>
      </c>
      <c r="Q2592" s="10">
        <f>RIGHT($B$5,3)</f>
        <v/>
      </c>
      <c r="R2592" s="10">
        <f>IF(A2592="D",LEFT(UPPER(B2592)&amp;REPT(" ",20),20),REPT(" ",20))</f>
        <v/>
      </c>
      <c r="S2592" s="10">
        <f>IF(A2592="D",LEFT(UPPER(C2592)&amp;REPT(" ",10),10)," ")</f>
        <v/>
      </c>
      <c r="T2592" s="10">
        <f>IF(A2592="D",LEFT(UPPER(D2592)&amp;REPT(" ",2),2)," ")</f>
        <v/>
      </c>
      <c r="U2592" s="10">
        <f>IF(A2592="D",LEFT(UPPER(E2592)&amp;REPT(" ",15),15)," ")</f>
        <v/>
      </c>
      <c r="V2592" s="10">
        <f>REPT(" ",24)</f>
        <v/>
      </c>
      <c r="W2592" s="10">
        <f>IF(A2592="c",LEFT(UPPER(B2592)&amp;REPT(" ",20),20),REPT(" ",20))</f>
        <v/>
      </c>
      <c r="X2592" s="10">
        <f>IF(A2592="C",LEFT(UPPER(C2592)&amp;REPT(" ",10),10)," ")</f>
        <v/>
      </c>
      <c r="Y2592" s="10">
        <f>IF(A2592="C",LEFT(UPPER(D2592)&amp;REPT(" ",2),2)," ")</f>
        <v/>
      </c>
      <c r="Z2592" s="10">
        <f>IF(A2592="C",LEFT(UPPER(E2592)&amp;REPT(" ",15),15)," ")</f>
        <v/>
      </c>
      <c r="AA2592" s="10">
        <f>REPT(" ",8)</f>
        <v/>
      </c>
      <c r="AB2592" s="10">
        <f>REPT(" ",4)</f>
        <v/>
      </c>
      <c r="AC2592" s="10">
        <f>LEFT(UPPER(H2592)&amp;REPT(" ",250),250)</f>
        <v/>
      </c>
      <c r="AD2592" s="10">
        <f>TEXT($G$2,"dd/mm/aaaa")</f>
        <v/>
      </c>
      <c r="AE2592" s="10">
        <f>REPT(" ",10)</f>
        <v/>
      </c>
      <c r="AF2592" s="10">
        <f>REPT(" ",20)</f>
        <v/>
      </c>
      <c r="AG2592" s="54">
        <f>REPT(" ",18-LEN(FIXED(F2592,2,TRUE)))&amp;FIXED(F2592,2,TRUE)</f>
        <v/>
      </c>
      <c r="AH2592" s="10">
        <f>LEN(AC2592)+LEN(AG2592)</f>
        <v/>
      </c>
      <c r="AI2592" s="10">
        <f>LEN(L2592)</f>
        <v/>
      </c>
    </row>
    <row r="2593">
      <c r="J2593" s="12">
        <f>IF(F2593&lt;&gt;0,"LANÇAR","")</f>
        <v/>
      </c>
      <c r="L2593" s="13">
        <f>N2593&amp;O2593&amp;P2593&amp;Q2593&amp;R2593&amp;S2593&amp;T2593&amp;U2593&amp;V2593&amp;W2593&amp;X2593&amp;Y2593&amp;Z2593&amp;AA2593&amp;AB2593&amp;AC2593&amp;AD2593&amp;AE2593&amp;AF2593&amp;AG2593</f>
        <v/>
      </c>
      <c r="N2593" s="10">
        <f>TEXT($B$6,"00")</f>
        <v/>
      </c>
      <c r="O2593" s="10">
        <f>REPT(" ",8)</f>
        <v/>
      </c>
      <c r="P2593" s="10">
        <f>RIGHT($B$4,2)</f>
        <v/>
      </c>
      <c r="Q2593" s="10">
        <f>RIGHT($B$5,3)</f>
        <v/>
      </c>
      <c r="R2593" s="10">
        <f>IF(A2593="D",LEFT(UPPER(B2593)&amp;REPT(" ",20),20),REPT(" ",20))</f>
        <v/>
      </c>
      <c r="S2593" s="10">
        <f>IF(A2593="D",LEFT(UPPER(C2593)&amp;REPT(" ",10),10)," ")</f>
        <v/>
      </c>
      <c r="T2593" s="10">
        <f>IF(A2593="D",LEFT(UPPER(D2593)&amp;REPT(" ",2),2)," ")</f>
        <v/>
      </c>
      <c r="U2593" s="10">
        <f>IF(A2593="D",LEFT(UPPER(E2593)&amp;REPT(" ",15),15)," ")</f>
        <v/>
      </c>
      <c r="V2593" s="10">
        <f>REPT(" ",24)</f>
        <v/>
      </c>
      <c r="W2593" s="10">
        <f>IF(A2593="c",LEFT(UPPER(B2593)&amp;REPT(" ",20),20),REPT(" ",20))</f>
        <v/>
      </c>
      <c r="X2593" s="10">
        <f>IF(A2593="C",LEFT(UPPER(C2593)&amp;REPT(" ",10),10)," ")</f>
        <v/>
      </c>
      <c r="Y2593" s="10">
        <f>IF(A2593="C",LEFT(UPPER(D2593)&amp;REPT(" ",2),2)," ")</f>
        <v/>
      </c>
      <c r="Z2593" s="10">
        <f>IF(A2593="C",LEFT(UPPER(E2593)&amp;REPT(" ",15),15)," ")</f>
        <v/>
      </c>
      <c r="AA2593" s="10">
        <f>REPT(" ",8)</f>
        <v/>
      </c>
      <c r="AB2593" s="10">
        <f>REPT(" ",4)</f>
        <v/>
      </c>
      <c r="AC2593" s="10">
        <f>LEFT(UPPER(H2593)&amp;REPT(" ",250),250)</f>
        <v/>
      </c>
      <c r="AD2593" s="10">
        <f>TEXT($G$2,"dd/mm/aaaa")</f>
        <v/>
      </c>
      <c r="AE2593" s="10">
        <f>REPT(" ",10)</f>
        <v/>
      </c>
      <c r="AF2593" s="10">
        <f>REPT(" ",20)</f>
        <v/>
      </c>
      <c r="AG2593" s="54">
        <f>REPT(" ",18-LEN(FIXED(F2593,2,TRUE)))&amp;FIXED(F2593,2,TRUE)</f>
        <v/>
      </c>
      <c r="AH2593" s="10">
        <f>LEN(AC2593)+LEN(AG2593)</f>
        <v/>
      </c>
      <c r="AI2593" s="10">
        <f>LEN(L2593)</f>
        <v/>
      </c>
    </row>
    <row r="2594">
      <c r="J2594" s="12">
        <f>IF(F2594&lt;&gt;0,"LANÇAR","")</f>
        <v/>
      </c>
      <c r="L2594" s="13">
        <f>N2594&amp;O2594&amp;P2594&amp;Q2594&amp;R2594&amp;S2594&amp;T2594&amp;U2594&amp;V2594&amp;W2594&amp;X2594&amp;Y2594&amp;Z2594&amp;AA2594&amp;AB2594&amp;AC2594&amp;AD2594&amp;AE2594&amp;AF2594&amp;AG2594</f>
        <v/>
      </c>
      <c r="N2594" s="10">
        <f>TEXT($B$6,"00")</f>
        <v/>
      </c>
      <c r="O2594" s="10">
        <f>REPT(" ",8)</f>
        <v/>
      </c>
      <c r="P2594" s="10">
        <f>RIGHT($B$4,2)</f>
        <v/>
      </c>
      <c r="Q2594" s="10">
        <f>RIGHT($B$5,3)</f>
        <v/>
      </c>
      <c r="R2594" s="10">
        <f>IF(A2594="D",LEFT(UPPER(B2594)&amp;REPT(" ",20),20),REPT(" ",20))</f>
        <v/>
      </c>
      <c r="S2594" s="10">
        <f>IF(A2594="D",LEFT(UPPER(C2594)&amp;REPT(" ",10),10)," ")</f>
        <v/>
      </c>
      <c r="T2594" s="10">
        <f>IF(A2594="D",LEFT(UPPER(D2594)&amp;REPT(" ",2),2)," ")</f>
        <v/>
      </c>
      <c r="U2594" s="10">
        <f>IF(A2594="D",LEFT(UPPER(E2594)&amp;REPT(" ",15),15)," ")</f>
        <v/>
      </c>
      <c r="V2594" s="10">
        <f>REPT(" ",24)</f>
        <v/>
      </c>
      <c r="W2594" s="10">
        <f>IF(A2594="c",LEFT(UPPER(B2594)&amp;REPT(" ",20),20),REPT(" ",20))</f>
        <v/>
      </c>
      <c r="X2594" s="10">
        <f>IF(A2594="C",LEFT(UPPER(C2594)&amp;REPT(" ",10),10)," ")</f>
        <v/>
      </c>
      <c r="Y2594" s="10">
        <f>IF(A2594="C",LEFT(UPPER(D2594)&amp;REPT(" ",2),2)," ")</f>
        <v/>
      </c>
      <c r="Z2594" s="10">
        <f>IF(A2594="C",LEFT(UPPER(E2594)&amp;REPT(" ",15),15)," ")</f>
        <v/>
      </c>
      <c r="AA2594" s="10">
        <f>REPT(" ",8)</f>
        <v/>
      </c>
      <c r="AB2594" s="10">
        <f>REPT(" ",4)</f>
        <v/>
      </c>
      <c r="AC2594" s="10">
        <f>LEFT(UPPER(H2594)&amp;REPT(" ",250),250)</f>
        <v/>
      </c>
      <c r="AD2594" s="10">
        <f>TEXT($G$2,"dd/mm/aaaa")</f>
        <v/>
      </c>
      <c r="AE2594" s="10">
        <f>REPT(" ",10)</f>
        <v/>
      </c>
      <c r="AF2594" s="10">
        <f>REPT(" ",20)</f>
        <v/>
      </c>
      <c r="AG2594" s="54">
        <f>REPT(" ",18-LEN(FIXED(F2594,2,TRUE)))&amp;FIXED(F2594,2,TRUE)</f>
        <v/>
      </c>
      <c r="AH2594" s="10">
        <f>LEN(AC2594)+LEN(AG2594)</f>
        <v/>
      </c>
      <c r="AI2594" s="10">
        <f>LEN(L2594)</f>
        <v/>
      </c>
    </row>
    <row r="2595">
      <c r="J2595" s="12">
        <f>IF(F2595&lt;&gt;0,"LANÇAR","")</f>
        <v/>
      </c>
      <c r="L2595" s="13">
        <f>N2595&amp;O2595&amp;P2595&amp;Q2595&amp;R2595&amp;S2595&amp;T2595&amp;U2595&amp;V2595&amp;W2595&amp;X2595&amp;Y2595&amp;Z2595&amp;AA2595&amp;AB2595&amp;AC2595&amp;AD2595&amp;AE2595&amp;AF2595&amp;AG2595</f>
        <v/>
      </c>
      <c r="N2595" s="10">
        <f>TEXT($B$6,"00")</f>
        <v/>
      </c>
      <c r="O2595" s="10">
        <f>REPT(" ",8)</f>
        <v/>
      </c>
      <c r="P2595" s="10">
        <f>RIGHT($B$4,2)</f>
        <v/>
      </c>
      <c r="Q2595" s="10">
        <f>RIGHT($B$5,3)</f>
        <v/>
      </c>
      <c r="R2595" s="10">
        <f>IF(A2595="D",LEFT(UPPER(B2595)&amp;REPT(" ",20),20),REPT(" ",20))</f>
        <v/>
      </c>
      <c r="S2595" s="10">
        <f>IF(A2595="D",LEFT(UPPER(C2595)&amp;REPT(" ",10),10)," ")</f>
        <v/>
      </c>
      <c r="T2595" s="10">
        <f>IF(A2595="D",LEFT(UPPER(D2595)&amp;REPT(" ",2),2)," ")</f>
        <v/>
      </c>
      <c r="U2595" s="10">
        <f>IF(A2595="D",LEFT(UPPER(E2595)&amp;REPT(" ",15),15)," ")</f>
        <v/>
      </c>
      <c r="V2595" s="10">
        <f>REPT(" ",24)</f>
        <v/>
      </c>
      <c r="W2595" s="10">
        <f>IF(A2595="c",LEFT(UPPER(B2595)&amp;REPT(" ",20),20),REPT(" ",20))</f>
        <v/>
      </c>
      <c r="X2595" s="10">
        <f>IF(A2595="C",LEFT(UPPER(C2595)&amp;REPT(" ",10),10)," ")</f>
        <v/>
      </c>
      <c r="Y2595" s="10">
        <f>IF(A2595="C",LEFT(UPPER(D2595)&amp;REPT(" ",2),2)," ")</f>
        <v/>
      </c>
      <c r="Z2595" s="10">
        <f>IF(A2595="C",LEFT(UPPER(E2595)&amp;REPT(" ",15),15)," ")</f>
        <v/>
      </c>
      <c r="AA2595" s="10">
        <f>REPT(" ",8)</f>
        <v/>
      </c>
      <c r="AB2595" s="10">
        <f>REPT(" ",4)</f>
        <v/>
      </c>
      <c r="AC2595" s="10">
        <f>LEFT(UPPER(H2595)&amp;REPT(" ",250),250)</f>
        <v/>
      </c>
      <c r="AD2595" s="10">
        <f>TEXT($G$2,"dd/mm/aaaa")</f>
        <v/>
      </c>
      <c r="AE2595" s="10">
        <f>REPT(" ",10)</f>
        <v/>
      </c>
      <c r="AF2595" s="10">
        <f>REPT(" ",20)</f>
        <v/>
      </c>
      <c r="AG2595" s="54">
        <f>REPT(" ",18-LEN(FIXED(F2595,2,TRUE)))&amp;FIXED(F2595,2,TRUE)</f>
        <v/>
      </c>
      <c r="AH2595" s="10">
        <f>LEN(AC2595)+LEN(AG2595)</f>
        <v/>
      </c>
      <c r="AI2595" s="10">
        <f>LEN(L2595)</f>
        <v/>
      </c>
    </row>
    <row r="2596">
      <c r="J2596" s="12">
        <f>IF(F2596&lt;&gt;0,"LANÇAR","")</f>
        <v/>
      </c>
      <c r="L2596" s="13">
        <f>N2596&amp;O2596&amp;P2596&amp;Q2596&amp;R2596&amp;S2596&amp;T2596&amp;U2596&amp;V2596&amp;W2596&amp;X2596&amp;Y2596&amp;Z2596&amp;AA2596&amp;AB2596&amp;AC2596&amp;AD2596&amp;AE2596&amp;AF2596&amp;AG2596</f>
        <v/>
      </c>
      <c r="N2596" s="10">
        <f>TEXT($B$6,"00")</f>
        <v/>
      </c>
      <c r="O2596" s="10">
        <f>REPT(" ",8)</f>
        <v/>
      </c>
      <c r="P2596" s="10">
        <f>RIGHT($B$4,2)</f>
        <v/>
      </c>
      <c r="Q2596" s="10">
        <f>RIGHT($B$5,3)</f>
        <v/>
      </c>
      <c r="R2596" s="10">
        <f>IF(A2596="D",LEFT(UPPER(B2596)&amp;REPT(" ",20),20),REPT(" ",20))</f>
        <v/>
      </c>
      <c r="S2596" s="10">
        <f>IF(A2596="D",LEFT(UPPER(C2596)&amp;REPT(" ",10),10)," ")</f>
        <v/>
      </c>
      <c r="T2596" s="10">
        <f>IF(A2596="D",LEFT(UPPER(D2596)&amp;REPT(" ",2),2)," ")</f>
        <v/>
      </c>
      <c r="U2596" s="10">
        <f>IF(A2596="D",LEFT(UPPER(E2596)&amp;REPT(" ",15),15)," ")</f>
        <v/>
      </c>
      <c r="V2596" s="10">
        <f>REPT(" ",24)</f>
        <v/>
      </c>
      <c r="W2596" s="10">
        <f>IF(A2596="c",LEFT(UPPER(B2596)&amp;REPT(" ",20),20),REPT(" ",20))</f>
        <v/>
      </c>
      <c r="X2596" s="10">
        <f>IF(A2596="C",LEFT(UPPER(C2596)&amp;REPT(" ",10),10)," ")</f>
        <v/>
      </c>
      <c r="Y2596" s="10">
        <f>IF(A2596="C",LEFT(UPPER(D2596)&amp;REPT(" ",2),2)," ")</f>
        <v/>
      </c>
      <c r="Z2596" s="10">
        <f>IF(A2596="C",LEFT(UPPER(E2596)&amp;REPT(" ",15),15)," ")</f>
        <v/>
      </c>
      <c r="AA2596" s="10">
        <f>REPT(" ",8)</f>
        <v/>
      </c>
      <c r="AB2596" s="10">
        <f>REPT(" ",4)</f>
        <v/>
      </c>
      <c r="AC2596" s="10">
        <f>LEFT(UPPER(H2596)&amp;REPT(" ",250),250)</f>
        <v/>
      </c>
      <c r="AD2596" s="10">
        <f>TEXT($G$2,"dd/mm/aaaa")</f>
        <v/>
      </c>
      <c r="AE2596" s="10">
        <f>REPT(" ",10)</f>
        <v/>
      </c>
      <c r="AF2596" s="10">
        <f>REPT(" ",20)</f>
        <v/>
      </c>
      <c r="AG2596" s="54">
        <f>REPT(" ",18-LEN(FIXED(F2596,2,TRUE)))&amp;FIXED(F2596,2,TRUE)</f>
        <v/>
      </c>
      <c r="AH2596" s="10">
        <f>LEN(AC2596)+LEN(AG2596)</f>
        <v/>
      </c>
      <c r="AI2596" s="10">
        <f>LEN(L2596)</f>
        <v/>
      </c>
    </row>
    <row r="2597">
      <c r="J2597" s="12">
        <f>IF(F2597&lt;&gt;0,"LANÇAR","")</f>
        <v/>
      </c>
      <c r="L2597" s="13">
        <f>N2597&amp;O2597&amp;P2597&amp;Q2597&amp;R2597&amp;S2597&amp;T2597&amp;U2597&amp;V2597&amp;W2597&amp;X2597&amp;Y2597&amp;Z2597&amp;AA2597&amp;AB2597&amp;AC2597&amp;AD2597&amp;AE2597&amp;AF2597&amp;AG2597</f>
        <v/>
      </c>
      <c r="N2597" s="10">
        <f>TEXT($B$6,"00")</f>
        <v/>
      </c>
      <c r="O2597" s="10">
        <f>REPT(" ",8)</f>
        <v/>
      </c>
      <c r="P2597" s="10">
        <f>RIGHT($B$4,2)</f>
        <v/>
      </c>
      <c r="Q2597" s="10">
        <f>RIGHT($B$5,3)</f>
        <v/>
      </c>
      <c r="R2597" s="10">
        <f>IF(A2597="D",LEFT(UPPER(B2597)&amp;REPT(" ",20),20),REPT(" ",20))</f>
        <v/>
      </c>
      <c r="S2597" s="10">
        <f>IF(A2597="D",LEFT(UPPER(C2597)&amp;REPT(" ",10),10)," ")</f>
        <v/>
      </c>
      <c r="T2597" s="10">
        <f>IF(A2597="D",LEFT(UPPER(D2597)&amp;REPT(" ",2),2)," ")</f>
        <v/>
      </c>
      <c r="U2597" s="10">
        <f>IF(A2597="D",LEFT(UPPER(E2597)&amp;REPT(" ",15),15)," ")</f>
        <v/>
      </c>
      <c r="V2597" s="10">
        <f>REPT(" ",24)</f>
        <v/>
      </c>
      <c r="W2597" s="10">
        <f>IF(A2597="c",LEFT(UPPER(B2597)&amp;REPT(" ",20),20),REPT(" ",20))</f>
        <v/>
      </c>
      <c r="X2597" s="10">
        <f>IF(A2597="C",LEFT(UPPER(C2597)&amp;REPT(" ",10),10)," ")</f>
        <v/>
      </c>
      <c r="Y2597" s="10">
        <f>IF(A2597="C",LEFT(UPPER(D2597)&amp;REPT(" ",2),2)," ")</f>
        <v/>
      </c>
      <c r="Z2597" s="10">
        <f>IF(A2597="C",LEFT(UPPER(E2597)&amp;REPT(" ",15),15)," ")</f>
        <v/>
      </c>
      <c r="AA2597" s="10">
        <f>REPT(" ",8)</f>
        <v/>
      </c>
      <c r="AB2597" s="10">
        <f>REPT(" ",4)</f>
        <v/>
      </c>
      <c r="AC2597" s="10">
        <f>LEFT(UPPER(H2597)&amp;REPT(" ",250),250)</f>
        <v/>
      </c>
      <c r="AD2597" s="10">
        <f>TEXT($G$2,"dd/mm/aaaa")</f>
        <v/>
      </c>
      <c r="AE2597" s="10">
        <f>REPT(" ",10)</f>
        <v/>
      </c>
      <c r="AF2597" s="10">
        <f>REPT(" ",20)</f>
        <v/>
      </c>
      <c r="AG2597" s="54">
        <f>REPT(" ",18-LEN(FIXED(F2597,2,TRUE)))&amp;FIXED(F2597,2,TRUE)</f>
        <v/>
      </c>
      <c r="AH2597" s="10">
        <f>LEN(AC2597)+LEN(AG2597)</f>
        <v/>
      </c>
      <c r="AI2597" s="10">
        <f>LEN(L2597)</f>
        <v/>
      </c>
    </row>
    <row r="2598">
      <c r="J2598" s="12">
        <f>IF(F2598&lt;&gt;0,"LANÇAR","")</f>
        <v/>
      </c>
      <c r="L2598" s="13">
        <f>N2598&amp;O2598&amp;P2598&amp;Q2598&amp;R2598&amp;S2598&amp;T2598&amp;U2598&amp;V2598&amp;W2598&amp;X2598&amp;Y2598&amp;Z2598&amp;AA2598&amp;AB2598&amp;AC2598&amp;AD2598&amp;AE2598&amp;AF2598&amp;AG2598</f>
        <v/>
      </c>
      <c r="N2598" s="10">
        <f>TEXT($B$6,"00")</f>
        <v/>
      </c>
      <c r="O2598" s="10">
        <f>REPT(" ",8)</f>
        <v/>
      </c>
      <c r="P2598" s="10">
        <f>RIGHT($B$4,2)</f>
        <v/>
      </c>
      <c r="Q2598" s="10">
        <f>RIGHT($B$5,3)</f>
        <v/>
      </c>
      <c r="R2598" s="10">
        <f>IF(A2598="D",LEFT(UPPER(B2598)&amp;REPT(" ",20),20),REPT(" ",20))</f>
        <v/>
      </c>
      <c r="S2598" s="10">
        <f>IF(A2598="D",LEFT(UPPER(C2598)&amp;REPT(" ",10),10)," ")</f>
        <v/>
      </c>
      <c r="T2598" s="10">
        <f>IF(A2598="D",LEFT(UPPER(D2598)&amp;REPT(" ",2),2)," ")</f>
        <v/>
      </c>
      <c r="U2598" s="10">
        <f>IF(A2598="D",LEFT(UPPER(E2598)&amp;REPT(" ",15),15)," ")</f>
        <v/>
      </c>
      <c r="V2598" s="10">
        <f>REPT(" ",24)</f>
        <v/>
      </c>
      <c r="W2598" s="10">
        <f>IF(A2598="c",LEFT(UPPER(B2598)&amp;REPT(" ",20),20),REPT(" ",20))</f>
        <v/>
      </c>
      <c r="X2598" s="10">
        <f>IF(A2598="C",LEFT(UPPER(C2598)&amp;REPT(" ",10),10)," ")</f>
        <v/>
      </c>
      <c r="Y2598" s="10">
        <f>IF(A2598="C",LEFT(UPPER(D2598)&amp;REPT(" ",2),2)," ")</f>
        <v/>
      </c>
      <c r="Z2598" s="10">
        <f>IF(A2598="C",LEFT(UPPER(E2598)&amp;REPT(" ",15),15)," ")</f>
        <v/>
      </c>
      <c r="AA2598" s="10">
        <f>REPT(" ",8)</f>
        <v/>
      </c>
      <c r="AB2598" s="10">
        <f>REPT(" ",4)</f>
        <v/>
      </c>
      <c r="AC2598" s="10">
        <f>LEFT(UPPER(H2598)&amp;REPT(" ",250),250)</f>
        <v/>
      </c>
      <c r="AD2598" s="10">
        <f>TEXT($G$2,"dd/mm/aaaa")</f>
        <v/>
      </c>
      <c r="AE2598" s="10">
        <f>REPT(" ",10)</f>
        <v/>
      </c>
      <c r="AF2598" s="10">
        <f>REPT(" ",20)</f>
        <v/>
      </c>
      <c r="AG2598" s="54">
        <f>REPT(" ",18-LEN(FIXED(F2598,2,TRUE)))&amp;FIXED(F2598,2,TRUE)</f>
        <v/>
      </c>
      <c r="AH2598" s="10">
        <f>LEN(AC2598)+LEN(AG2598)</f>
        <v/>
      </c>
      <c r="AI2598" s="10">
        <f>LEN(L2598)</f>
        <v/>
      </c>
    </row>
    <row r="2599">
      <c r="J2599" s="12">
        <f>IF(F2599&lt;&gt;0,"LANÇAR","")</f>
        <v/>
      </c>
      <c r="L2599" s="13">
        <f>N2599&amp;O2599&amp;P2599&amp;Q2599&amp;R2599&amp;S2599&amp;T2599&amp;U2599&amp;V2599&amp;W2599&amp;X2599&amp;Y2599&amp;Z2599&amp;AA2599&amp;AB2599&amp;AC2599&amp;AD2599&amp;AE2599&amp;AF2599&amp;AG2599</f>
        <v/>
      </c>
      <c r="N2599" s="10">
        <f>TEXT($B$6,"00")</f>
        <v/>
      </c>
      <c r="O2599" s="10">
        <f>REPT(" ",8)</f>
        <v/>
      </c>
      <c r="P2599" s="10">
        <f>RIGHT($B$4,2)</f>
        <v/>
      </c>
      <c r="Q2599" s="10">
        <f>RIGHT($B$5,3)</f>
        <v/>
      </c>
      <c r="R2599" s="10">
        <f>IF(A2599="D",LEFT(UPPER(B2599)&amp;REPT(" ",20),20),REPT(" ",20))</f>
        <v/>
      </c>
      <c r="S2599" s="10">
        <f>IF(A2599="D",LEFT(UPPER(C2599)&amp;REPT(" ",10),10)," ")</f>
        <v/>
      </c>
      <c r="T2599" s="10">
        <f>IF(A2599="D",LEFT(UPPER(D2599)&amp;REPT(" ",2),2)," ")</f>
        <v/>
      </c>
      <c r="U2599" s="10">
        <f>IF(A2599="D",LEFT(UPPER(E2599)&amp;REPT(" ",15),15)," ")</f>
        <v/>
      </c>
      <c r="V2599" s="10">
        <f>REPT(" ",24)</f>
        <v/>
      </c>
      <c r="W2599" s="10">
        <f>IF(A2599="c",LEFT(UPPER(B2599)&amp;REPT(" ",20),20),REPT(" ",20))</f>
        <v/>
      </c>
      <c r="X2599" s="10">
        <f>IF(A2599="C",LEFT(UPPER(C2599)&amp;REPT(" ",10),10)," ")</f>
        <v/>
      </c>
      <c r="Y2599" s="10">
        <f>IF(A2599="C",LEFT(UPPER(D2599)&amp;REPT(" ",2),2)," ")</f>
        <v/>
      </c>
      <c r="Z2599" s="10">
        <f>IF(A2599="C",LEFT(UPPER(E2599)&amp;REPT(" ",15),15)," ")</f>
        <v/>
      </c>
      <c r="AA2599" s="10">
        <f>REPT(" ",8)</f>
        <v/>
      </c>
      <c r="AB2599" s="10">
        <f>REPT(" ",4)</f>
        <v/>
      </c>
      <c r="AC2599" s="10">
        <f>LEFT(UPPER(H2599)&amp;REPT(" ",250),250)</f>
        <v/>
      </c>
      <c r="AD2599" s="10">
        <f>TEXT($G$2,"dd/mm/aaaa")</f>
        <v/>
      </c>
      <c r="AE2599" s="10">
        <f>REPT(" ",10)</f>
        <v/>
      </c>
      <c r="AF2599" s="10">
        <f>REPT(" ",20)</f>
        <v/>
      </c>
      <c r="AG2599" s="54">
        <f>REPT(" ",18-LEN(FIXED(F2599,2,TRUE)))&amp;FIXED(F2599,2,TRUE)</f>
        <v/>
      </c>
      <c r="AH2599" s="10">
        <f>LEN(AC2599)+LEN(AG2599)</f>
        <v/>
      </c>
      <c r="AI2599" s="10">
        <f>LEN(L2599)</f>
        <v/>
      </c>
    </row>
    <row r="2600">
      <c r="J2600" s="12">
        <f>IF(F2600&lt;&gt;0,"LANÇAR","")</f>
        <v/>
      </c>
      <c r="L2600" s="13">
        <f>N2600&amp;O2600&amp;P2600&amp;Q2600&amp;R2600&amp;S2600&amp;T2600&amp;U2600&amp;V2600&amp;W2600&amp;X2600&amp;Y2600&amp;Z2600&amp;AA2600&amp;AB2600&amp;AC2600&amp;AD2600&amp;AE2600&amp;AF2600&amp;AG2600</f>
        <v/>
      </c>
      <c r="N2600" s="10">
        <f>TEXT($B$6,"00")</f>
        <v/>
      </c>
      <c r="O2600" s="10">
        <f>REPT(" ",8)</f>
        <v/>
      </c>
      <c r="P2600" s="10">
        <f>RIGHT($B$4,2)</f>
        <v/>
      </c>
      <c r="Q2600" s="10">
        <f>RIGHT($B$5,3)</f>
        <v/>
      </c>
      <c r="R2600" s="10">
        <f>IF(A2600="D",LEFT(UPPER(B2600)&amp;REPT(" ",20),20),REPT(" ",20))</f>
        <v/>
      </c>
      <c r="S2600" s="10">
        <f>IF(A2600="D",LEFT(UPPER(C2600)&amp;REPT(" ",10),10)," ")</f>
        <v/>
      </c>
      <c r="T2600" s="10">
        <f>IF(A2600="D",LEFT(UPPER(D2600)&amp;REPT(" ",2),2)," ")</f>
        <v/>
      </c>
      <c r="U2600" s="10">
        <f>IF(A2600="D",LEFT(UPPER(E2600)&amp;REPT(" ",15),15)," ")</f>
        <v/>
      </c>
      <c r="V2600" s="10">
        <f>REPT(" ",24)</f>
        <v/>
      </c>
      <c r="W2600" s="10">
        <f>IF(A2600="c",LEFT(UPPER(B2600)&amp;REPT(" ",20),20),REPT(" ",20))</f>
        <v/>
      </c>
      <c r="X2600" s="10">
        <f>IF(A2600="C",LEFT(UPPER(C2600)&amp;REPT(" ",10),10)," ")</f>
        <v/>
      </c>
      <c r="Y2600" s="10">
        <f>IF(A2600="C",LEFT(UPPER(D2600)&amp;REPT(" ",2),2)," ")</f>
        <v/>
      </c>
      <c r="Z2600" s="10">
        <f>IF(A2600="C",LEFT(UPPER(E2600)&amp;REPT(" ",15),15)," ")</f>
        <v/>
      </c>
      <c r="AA2600" s="10">
        <f>REPT(" ",8)</f>
        <v/>
      </c>
      <c r="AB2600" s="10">
        <f>REPT(" ",4)</f>
        <v/>
      </c>
      <c r="AC2600" s="10">
        <f>LEFT(UPPER(H2600)&amp;REPT(" ",250),250)</f>
        <v/>
      </c>
      <c r="AD2600" s="10">
        <f>TEXT($G$2,"dd/mm/aaaa")</f>
        <v/>
      </c>
      <c r="AE2600" s="10">
        <f>REPT(" ",10)</f>
        <v/>
      </c>
      <c r="AF2600" s="10">
        <f>REPT(" ",20)</f>
        <v/>
      </c>
      <c r="AG2600" s="54">
        <f>REPT(" ",18-LEN(FIXED(F2600,2,TRUE)))&amp;FIXED(F2600,2,TRUE)</f>
        <v/>
      </c>
      <c r="AH2600" s="10">
        <f>LEN(AC2600)+LEN(AG2600)</f>
        <v/>
      </c>
      <c r="AI2600" s="10">
        <f>LEN(L2600)</f>
        <v/>
      </c>
    </row>
    <row r="2601">
      <c r="J2601" s="12">
        <f>IF(F2601&lt;&gt;0,"LANÇAR","")</f>
        <v/>
      </c>
      <c r="L2601" s="13">
        <f>N2601&amp;O2601&amp;P2601&amp;Q2601&amp;R2601&amp;S2601&amp;T2601&amp;U2601&amp;V2601&amp;W2601&amp;X2601&amp;Y2601&amp;Z2601&amp;AA2601&amp;AB2601&amp;AC2601&amp;AD2601&amp;AE2601&amp;AF2601&amp;AG2601</f>
        <v/>
      </c>
      <c r="N2601" s="10">
        <f>TEXT($B$6,"00")</f>
        <v/>
      </c>
      <c r="O2601" s="10">
        <f>REPT(" ",8)</f>
        <v/>
      </c>
      <c r="P2601" s="10">
        <f>RIGHT($B$4,2)</f>
        <v/>
      </c>
      <c r="Q2601" s="10">
        <f>RIGHT($B$5,3)</f>
        <v/>
      </c>
      <c r="R2601" s="10">
        <f>IF(A2601="D",LEFT(UPPER(B2601)&amp;REPT(" ",20),20),REPT(" ",20))</f>
        <v/>
      </c>
      <c r="S2601" s="10">
        <f>IF(A2601="D",LEFT(UPPER(C2601)&amp;REPT(" ",10),10)," ")</f>
        <v/>
      </c>
      <c r="T2601" s="10">
        <f>IF(A2601="D",LEFT(UPPER(D2601)&amp;REPT(" ",2),2)," ")</f>
        <v/>
      </c>
      <c r="U2601" s="10">
        <f>IF(A2601="D",LEFT(UPPER(E2601)&amp;REPT(" ",15),15)," ")</f>
        <v/>
      </c>
      <c r="V2601" s="10">
        <f>REPT(" ",24)</f>
        <v/>
      </c>
      <c r="W2601" s="10">
        <f>IF(A2601="c",LEFT(UPPER(B2601)&amp;REPT(" ",20),20),REPT(" ",20))</f>
        <v/>
      </c>
      <c r="X2601" s="10">
        <f>IF(A2601="C",LEFT(UPPER(C2601)&amp;REPT(" ",10),10)," ")</f>
        <v/>
      </c>
      <c r="Y2601" s="10">
        <f>IF(A2601="C",LEFT(UPPER(D2601)&amp;REPT(" ",2),2)," ")</f>
        <v/>
      </c>
      <c r="Z2601" s="10">
        <f>IF(A2601="C",LEFT(UPPER(E2601)&amp;REPT(" ",15),15)," ")</f>
        <v/>
      </c>
      <c r="AA2601" s="10">
        <f>REPT(" ",8)</f>
        <v/>
      </c>
      <c r="AB2601" s="10">
        <f>REPT(" ",4)</f>
        <v/>
      </c>
      <c r="AC2601" s="10">
        <f>LEFT(UPPER(H2601)&amp;REPT(" ",250),250)</f>
        <v/>
      </c>
      <c r="AD2601" s="10">
        <f>TEXT($G$2,"dd/mm/aaaa")</f>
        <v/>
      </c>
      <c r="AE2601" s="10">
        <f>REPT(" ",10)</f>
        <v/>
      </c>
      <c r="AF2601" s="10">
        <f>REPT(" ",20)</f>
        <v/>
      </c>
      <c r="AG2601" s="54">
        <f>REPT(" ",18-LEN(FIXED(F2601,2,TRUE)))&amp;FIXED(F2601,2,TRUE)</f>
        <v/>
      </c>
      <c r="AH2601" s="10">
        <f>LEN(AC2601)+LEN(AG2601)</f>
        <v/>
      </c>
      <c r="AI2601" s="10">
        <f>LEN(L2601)</f>
        <v/>
      </c>
    </row>
    <row r="2602">
      <c r="J2602" s="12">
        <f>IF(F2602&lt;&gt;0,"LANÇAR","")</f>
        <v/>
      </c>
      <c r="L2602" s="13">
        <f>N2602&amp;O2602&amp;P2602&amp;Q2602&amp;R2602&amp;S2602&amp;T2602&amp;U2602&amp;V2602&amp;W2602&amp;X2602&amp;Y2602&amp;Z2602&amp;AA2602&amp;AB2602&amp;AC2602&amp;AD2602&amp;AE2602&amp;AF2602&amp;AG2602</f>
        <v/>
      </c>
      <c r="N2602" s="10">
        <f>TEXT($B$6,"00")</f>
        <v/>
      </c>
      <c r="O2602" s="10">
        <f>REPT(" ",8)</f>
        <v/>
      </c>
      <c r="P2602" s="10">
        <f>RIGHT($B$4,2)</f>
        <v/>
      </c>
      <c r="Q2602" s="10">
        <f>RIGHT($B$5,3)</f>
        <v/>
      </c>
      <c r="R2602" s="10">
        <f>IF(A2602="D",LEFT(UPPER(B2602)&amp;REPT(" ",20),20),REPT(" ",20))</f>
        <v/>
      </c>
      <c r="S2602" s="10">
        <f>IF(A2602="D",LEFT(UPPER(C2602)&amp;REPT(" ",10),10)," ")</f>
        <v/>
      </c>
      <c r="T2602" s="10">
        <f>IF(A2602="D",LEFT(UPPER(D2602)&amp;REPT(" ",2),2)," ")</f>
        <v/>
      </c>
      <c r="U2602" s="10">
        <f>IF(A2602="D",LEFT(UPPER(E2602)&amp;REPT(" ",15),15)," ")</f>
        <v/>
      </c>
      <c r="V2602" s="10">
        <f>REPT(" ",24)</f>
        <v/>
      </c>
      <c r="W2602" s="10">
        <f>IF(A2602="c",LEFT(UPPER(B2602)&amp;REPT(" ",20),20),REPT(" ",20))</f>
        <v/>
      </c>
      <c r="X2602" s="10">
        <f>IF(A2602="C",LEFT(UPPER(C2602)&amp;REPT(" ",10),10)," ")</f>
        <v/>
      </c>
      <c r="Y2602" s="10">
        <f>IF(A2602="C",LEFT(UPPER(D2602)&amp;REPT(" ",2),2)," ")</f>
        <v/>
      </c>
      <c r="Z2602" s="10">
        <f>IF(A2602="C",LEFT(UPPER(E2602)&amp;REPT(" ",15),15)," ")</f>
        <v/>
      </c>
      <c r="AA2602" s="10">
        <f>REPT(" ",8)</f>
        <v/>
      </c>
      <c r="AB2602" s="10">
        <f>REPT(" ",4)</f>
        <v/>
      </c>
      <c r="AC2602" s="10">
        <f>LEFT(UPPER(H2602)&amp;REPT(" ",250),250)</f>
        <v/>
      </c>
      <c r="AD2602" s="10">
        <f>TEXT($G$2,"dd/mm/aaaa")</f>
        <v/>
      </c>
      <c r="AE2602" s="10">
        <f>REPT(" ",10)</f>
        <v/>
      </c>
      <c r="AF2602" s="10">
        <f>REPT(" ",20)</f>
        <v/>
      </c>
      <c r="AG2602" s="54">
        <f>REPT(" ",18-LEN(FIXED(F2602,2,TRUE)))&amp;FIXED(F2602,2,TRUE)</f>
        <v/>
      </c>
      <c r="AH2602" s="10">
        <f>LEN(AC2602)+LEN(AG2602)</f>
        <v/>
      </c>
      <c r="AI2602" s="10">
        <f>LEN(L2602)</f>
        <v/>
      </c>
    </row>
    <row r="2603">
      <c r="J2603" s="12">
        <f>IF(F2603&lt;&gt;0,"LANÇAR","")</f>
        <v/>
      </c>
      <c r="L2603" s="13">
        <f>N2603&amp;O2603&amp;P2603&amp;Q2603&amp;R2603&amp;S2603&amp;T2603&amp;U2603&amp;V2603&amp;W2603&amp;X2603&amp;Y2603&amp;Z2603&amp;AA2603&amp;AB2603&amp;AC2603&amp;AD2603&amp;AE2603&amp;AF2603&amp;AG2603</f>
        <v/>
      </c>
      <c r="N2603" s="10">
        <f>TEXT($B$6,"00")</f>
        <v/>
      </c>
      <c r="O2603" s="10">
        <f>REPT(" ",8)</f>
        <v/>
      </c>
      <c r="P2603" s="10">
        <f>RIGHT($B$4,2)</f>
        <v/>
      </c>
      <c r="Q2603" s="10">
        <f>RIGHT($B$5,3)</f>
        <v/>
      </c>
      <c r="R2603" s="10">
        <f>IF(A2603="D",LEFT(UPPER(B2603)&amp;REPT(" ",20),20),REPT(" ",20))</f>
        <v/>
      </c>
      <c r="S2603" s="10">
        <f>IF(A2603="D",LEFT(UPPER(C2603)&amp;REPT(" ",10),10)," ")</f>
        <v/>
      </c>
      <c r="T2603" s="10">
        <f>IF(A2603="D",LEFT(UPPER(D2603)&amp;REPT(" ",2),2)," ")</f>
        <v/>
      </c>
      <c r="U2603" s="10">
        <f>IF(A2603="D",LEFT(UPPER(E2603)&amp;REPT(" ",15),15)," ")</f>
        <v/>
      </c>
      <c r="V2603" s="10">
        <f>REPT(" ",24)</f>
        <v/>
      </c>
      <c r="W2603" s="10">
        <f>IF(A2603="c",LEFT(UPPER(B2603)&amp;REPT(" ",20),20),REPT(" ",20))</f>
        <v/>
      </c>
      <c r="X2603" s="10">
        <f>IF(A2603="C",LEFT(UPPER(C2603)&amp;REPT(" ",10),10)," ")</f>
        <v/>
      </c>
      <c r="Y2603" s="10">
        <f>IF(A2603="C",LEFT(UPPER(D2603)&amp;REPT(" ",2),2)," ")</f>
        <v/>
      </c>
      <c r="Z2603" s="10">
        <f>IF(A2603="C",LEFT(UPPER(E2603)&amp;REPT(" ",15),15)," ")</f>
        <v/>
      </c>
      <c r="AA2603" s="10">
        <f>REPT(" ",8)</f>
        <v/>
      </c>
      <c r="AB2603" s="10">
        <f>REPT(" ",4)</f>
        <v/>
      </c>
      <c r="AC2603" s="10">
        <f>LEFT(UPPER(H2603)&amp;REPT(" ",250),250)</f>
        <v/>
      </c>
      <c r="AD2603" s="10">
        <f>TEXT($G$2,"dd/mm/aaaa")</f>
        <v/>
      </c>
      <c r="AE2603" s="10">
        <f>REPT(" ",10)</f>
        <v/>
      </c>
      <c r="AF2603" s="10">
        <f>REPT(" ",20)</f>
        <v/>
      </c>
      <c r="AG2603" s="54">
        <f>REPT(" ",18-LEN(FIXED(F2603,2,TRUE)))&amp;FIXED(F2603,2,TRUE)</f>
        <v/>
      </c>
      <c r="AH2603" s="10">
        <f>LEN(AC2603)+LEN(AG2603)</f>
        <v/>
      </c>
      <c r="AI2603" s="10">
        <f>LEN(L2603)</f>
        <v/>
      </c>
    </row>
    <row r="2604">
      <c r="J2604" s="12">
        <f>IF(F2604&lt;&gt;0,"LANÇAR","")</f>
        <v/>
      </c>
      <c r="L2604" s="13">
        <f>N2604&amp;O2604&amp;P2604&amp;Q2604&amp;R2604&amp;S2604&amp;T2604&amp;U2604&amp;V2604&amp;W2604&amp;X2604&amp;Y2604&amp;Z2604&amp;AA2604&amp;AB2604&amp;AC2604&amp;AD2604&amp;AE2604&amp;AF2604&amp;AG2604</f>
        <v/>
      </c>
      <c r="N2604" s="10">
        <f>TEXT($B$6,"00")</f>
        <v/>
      </c>
      <c r="O2604" s="10">
        <f>REPT(" ",8)</f>
        <v/>
      </c>
      <c r="P2604" s="10">
        <f>RIGHT($B$4,2)</f>
        <v/>
      </c>
      <c r="Q2604" s="10">
        <f>RIGHT($B$5,3)</f>
        <v/>
      </c>
      <c r="R2604" s="10">
        <f>IF(A2604="D",LEFT(UPPER(B2604)&amp;REPT(" ",20),20),REPT(" ",20))</f>
        <v/>
      </c>
      <c r="S2604" s="10">
        <f>IF(A2604="D",LEFT(UPPER(C2604)&amp;REPT(" ",10),10)," ")</f>
        <v/>
      </c>
      <c r="T2604" s="10">
        <f>IF(A2604="D",LEFT(UPPER(D2604)&amp;REPT(" ",2),2)," ")</f>
        <v/>
      </c>
      <c r="U2604" s="10">
        <f>IF(A2604="D",LEFT(UPPER(E2604)&amp;REPT(" ",15),15)," ")</f>
        <v/>
      </c>
      <c r="V2604" s="10">
        <f>REPT(" ",24)</f>
        <v/>
      </c>
      <c r="W2604" s="10">
        <f>IF(A2604="c",LEFT(UPPER(B2604)&amp;REPT(" ",20),20),REPT(" ",20))</f>
        <v/>
      </c>
      <c r="X2604" s="10">
        <f>IF(A2604="C",LEFT(UPPER(C2604)&amp;REPT(" ",10),10)," ")</f>
        <v/>
      </c>
      <c r="Y2604" s="10">
        <f>IF(A2604="C",LEFT(UPPER(D2604)&amp;REPT(" ",2),2)," ")</f>
        <v/>
      </c>
      <c r="Z2604" s="10">
        <f>IF(A2604="C",LEFT(UPPER(E2604)&amp;REPT(" ",15),15)," ")</f>
        <v/>
      </c>
      <c r="AA2604" s="10">
        <f>REPT(" ",8)</f>
        <v/>
      </c>
      <c r="AB2604" s="10">
        <f>REPT(" ",4)</f>
        <v/>
      </c>
      <c r="AC2604" s="10">
        <f>LEFT(UPPER(H2604)&amp;REPT(" ",250),250)</f>
        <v/>
      </c>
      <c r="AD2604" s="10">
        <f>TEXT($G$2,"dd/mm/aaaa")</f>
        <v/>
      </c>
      <c r="AE2604" s="10">
        <f>REPT(" ",10)</f>
        <v/>
      </c>
      <c r="AF2604" s="10">
        <f>REPT(" ",20)</f>
        <v/>
      </c>
      <c r="AG2604" s="54">
        <f>REPT(" ",18-LEN(FIXED(F2604,2,TRUE)))&amp;FIXED(F2604,2,TRUE)</f>
        <v/>
      </c>
      <c r="AH2604" s="10">
        <f>LEN(AC2604)+LEN(AG2604)</f>
        <v/>
      </c>
      <c r="AI2604" s="10">
        <f>LEN(L2604)</f>
        <v/>
      </c>
    </row>
    <row r="2605">
      <c r="J2605" s="12">
        <f>IF(F2605&lt;&gt;0,"LANÇAR","")</f>
        <v/>
      </c>
      <c r="L2605" s="13">
        <f>N2605&amp;O2605&amp;P2605&amp;Q2605&amp;R2605&amp;S2605&amp;T2605&amp;U2605&amp;V2605&amp;W2605&amp;X2605&amp;Y2605&amp;Z2605&amp;AA2605&amp;AB2605&amp;AC2605&amp;AD2605&amp;AE2605&amp;AF2605&amp;AG2605</f>
        <v/>
      </c>
      <c r="N2605" s="10">
        <f>TEXT($B$6,"00")</f>
        <v/>
      </c>
      <c r="O2605" s="10">
        <f>REPT(" ",8)</f>
        <v/>
      </c>
      <c r="P2605" s="10">
        <f>RIGHT($B$4,2)</f>
        <v/>
      </c>
      <c r="Q2605" s="10">
        <f>RIGHT($B$5,3)</f>
        <v/>
      </c>
      <c r="R2605" s="10">
        <f>IF(A2605="D",LEFT(UPPER(B2605)&amp;REPT(" ",20),20),REPT(" ",20))</f>
        <v/>
      </c>
      <c r="S2605" s="10">
        <f>IF(A2605="D",LEFT(UPPER(C2605)&amp;REPT(" ",10),10)," ")</f>
        <v/>
      </c>
      <c r="T2605" s="10">
        <f>IF(A2605="D",LEFT(UPPER(D2605)&amp;REPT(" ",2),2)," ")</f>
        <v/>
      </c>
      <c r="U2605" s="10">
        <f>IF(A2605="D",LEFT(UPPER(E2605)&amp;REPT(" ",15),15)," ")</f>
        <v/>
      </c>
      <c r="V2605" s="10">
        <f>REPT(" ",24)</f>
        <v/>
      </c>
      <c r="W2605" s="10">
        <f>IF(A2605="c",LEFT(UPPER(B2605)&amp;REPT(" ",20),20),REPT(" ",20))</f>
        <v/>
      </c>
      <c r="X2605" s="10">
        <f>IF(A2605="C",LEFT(UPPER(C2605)&amp;REPT(" ",10),10)," ")</f>
        <v/>
      </c>
      <c r="Y2605" s="10">
        <f>IF(A2605="C",LEFT(UPPER(D2605)&amp;REPT(" ",2),2)," ")</f>
        <v/>
      </c>
      <c r="Z2605" s="10">
        <f>IF(A2605="C",LEFT(UPPER(E2605)&amp;REPT(" ",15),15)," ")</f>
        <v/>
      </c>
      <c r="AA2605" s="10">
        <f>REPT(" ",8)</f>
        <v/>
      </c>
      <c r="AB2605" s="10">
        <f>REPT(" ",4)</f>
        <v/>
      </c>
      <c r="AC2605" s="10">
        <f>LEFT(UPPER(H2605)&amp;REPT(" ",250),250)</f>
        <v/>
      </c>
      <c r="AD2605" s="10">
        <f>TEXT($G$2,"dd/mm/aaaa")</f>
        <v/>
      </c>
      <c r="AE2605" s="10">
        <f>REPT(" ",10)</f>
        <v/>
      </c>
      <c r="AF2605" s="10">
        <f>REPT(" ",20)</f>
        <v/>
      </c>
      <c r="AG2605" s="54">
        <f>REPT(" ",18-LEN(FIXED(F2605,2,TRUE)))&amp;FIXED(F2605,2,TRUE)</f>
        <v/>
      </c>
      <c r="AH2605" s="10">
        <f>LEN(AC2605)+LEN(AG2605)</f>
        <v/>
      </c>
      <c r="AI2605" s="10">
        <f>LEN(L2605)</f>
        <v/>
      </c>
    </row>
    <row r="2606">
      <c r="J2606" s="12">
        <f>IF(F2606&lt;&gt;0,"LANÇAR","")</f>
        <v/>
      </c>
      <c r="L2606" s="13">
        <f>N2606&amp;O2606&amp;P2606&amp;Q2606&amp;R2606&amp;S2606&amp;T2606&amp;U2606&amp;V2606&amp;W2606&amp;X2606&amp;Y2606&amp;Z2606&amp;AA2606&amp;AB2606&amp;AC2606&amp;AD2606&amp;AE2606&amp;AF2606&amp;AG2606</f>
        <v/>
      </c>
      <c r="N2606" s="10">
        <f>TEXT($B$6,"00")</f>
        <v/>
      </c>
      <c r="O2606" s="10">
        <f>REPT(" ",8)</f>
        <v/>
      </c>
      <c r="P2606" s="10">
        <f>RIGHT($B$4,2)</f>
        <v/>
      </c>
      <c r="Q2606" s="10">
        <f>RIGHT($B$5,3)</f>
        <v/>
      </c>
      <c r="R2606" s="10">
        <f>IF(A2606="D",LEFT(UPPER(B2606)&amp;REPT(" ",20),20),REPT(" ",20))</f>
        <v/>
      </c>
      <c r="S2606" s="10">
        <f>IF(A2606="D",LEFT(UPPER(C2606)&amp;REPT(" ",10),10)," ")</f>
        <v/>
      </c>
      <c r="T2606" s="10">
        <f>IF(A2606="D",LEFT(UPPER(D2606)&amp;REPT(" ",2),2)," ")</f>
        <v/>
      </c>
      <c r="U2606" s="10">
        <f>IF(A2606="D",LEFT(UPPER(E2606)&amp;REPT(" ",15),15)," ")</f>
        <v/>
      </c>
      <c r="V2606" s="10">
        <f>REPT(" ",24)</f>
        <v/>
      </c>
      <c r="W2606" s="10">
        <f>IF(A2606="c",LEFT(UPPER(B2606)&amp;REPT(" ",20),20),REPT(" ",20))</f>
        <v/>
      </c>
      <c r="X2606" s="10">
        <f>IF(A2606="C",LEFT(UPPER(C2606)&amp;REPT(" ",10),10)," ")</f>
        <v/>
      </c>
      <c r="Y2606" s="10">
        <f>IF(A2606="C",LEFT(UPPER(D2606)&amp;REPT(" ",2),2)," ")</f>
        <v/>
      </c>
      <c r="Z2606" s="10">
        <f>IF(A2606="C",LEFT(UPPER(E2606)&amp;REPT(" ",15),15)," ")</f>
        <v/>
      </c>
      <c r="AA2606" s="10">
        <f>REPT(" ",8)</f>
        <v/>
      </c>
      <c r="AB2606" s="10">
        <f>REPT(" ",4)</f>
        <v/>
      </c>
      <c r="AC2606" s="10">
        <f>LEFT(UPPER(H2606)&amp;REPT(" ",250),250)</f>
        <v/>
      </c>
      <c r="AD2606" s="10">
        <f>TEXT($G$2,"dd/mm/aaaa")</f>
        <v/>
      </c>
      <c r="AE2606" s="10">
        <f>REPT(" ",10)</f>
        <v/>
      </c>
      <c r="AF2606" s="10">
        <f>REPT(" ",20)</f>
        <v/>
      </c>
      <c r="AG2606" s="54">
        <f>REPT(" ",18-LEN(FIXED(F2606,2,TRUE)))&amp;FIXED(F2606,2,TRUE)</f>
        <v/>
      </c>
      <c r="AH2606" s="10">
        <f>LEN(AC2606)+LEN(AG2606)</f>
        <v/>
      </c>
      <c r="AI2606" s="10">
        <f>LEN(L2606)</f>
        <v/>
      </c>
    </row>
    <row r="2607">
      <c r="J2607" s="12">
        <f>IF(F2607&lt;&gt;0,"LANÇAR","")</f>
        <v/>
      </c>
      <c r="L2607" s="13">
        <f>N2607&amp;O2607&amp;P2607&amp;Q2607&amp;R2607&amp;S2607&amp;T2607&amp;U2607&amp;V2607&amp;W2607&amp;X2607&amp;Y2607&amp;Z2607&amp;AA2607&amp;AB2607&amp;AC2607&amp;AD2607&amp;AE2607&amp;AF2607&amp;AG2607</f>
        <v/>
      </c>
      <c r="N2607" s="10">
        <f>TEXT($B$6,"00")</f>
        <v/>
      </c>
      <c r="O2607" s="10">
        <f>REPT(" ",8)</f>
        <v/>
      </c>
      <c r="P2607" s="10">
        <f>RIGHT($B$4,2)</f>
        <v/>
      </c>
      <c r="Q2607" s="10">
        <f>RIGHT($B$5,3)</f>
        <v/>
      </c>
      <c r="R2607" s="10">
        <f>IF(A2607="D",LEFT(UPPER(B2607)&amp;REPT(" ",20),20),REPT(" ",20))</f>
        <v/>
      </c>
      <c r="S2607" s="10">
        <f>IF(A2607="D",LEFT(UPPER(C2607)&amp;REPT(" ",10),10)," ")</f>
        <v/>
      </c>
      <c r="T2607" s="10">
        <f>IF(A2607="D",LEFT(UPPER(D2607)&amp;REPT(" ",2),2)," ")</f>
        <v/>
      </c>
      <c r="U2607" s="10">
        <f>IF(A2607="D",LEFT(UPPER(E2607)&amp;REPT(" ",15),15)," ")</f>
        <v/>
      </c>
      <c r="V2607" s="10">
        <f>REPT(" ",24)</f>
        <v/>
      </c>
      <c r="W2607" s="10">
        <f>IF(A2607="c",LEFT(UPPER(B2607)&amp;REPT(" ",20),20),REPT(" ",20))</f>
        <v/>
      </c>
      <c r="X2607" s="10">
        <f>IF(A2607="C",LEFT(UPPER(C2607)&amp;REPT(" ",10),10)," ")</f>
        <v/>
      </c>
      <c r="Y2607" s="10">
        <f>IF(A2607="C",LEFT(UPPER(D2607)&amp;REPT(" ",2),2)," ")</f>
        <v/>
      </c>
      <c r="Z2607" s="10">
        <f>IF(A2607="C",LEFT(UPPER(E2607)&amp;REPT(" ",15),15)," ")</f>
        <v/>
      </c>
      <c r="AA2607" s="10">
        <f>REPT(" ",8)</f>
        <v/>
      </c>
      <c r="AB2607" s="10">
        <f>REPT(" ",4)</f>
        <v/>
      </c>
      <c r="AC2607" s="10">
        <f>LEFT(UPPER(H2607)&amp;REPT(" ",250),250)</f>
        <v/>
      </c>
      <c r="AD2607" s="10">
        <f>TEXT($G$2,"dd/mm/aaaa")</f>
        <v/>
      </c>
      <c r="AE2607" s="10">
        <f>REPT(" ",10)</f>
        <v/>
      </c>
      <c r="AF2607" s="10">
        <f>REPT(" ",20)</f>
        <v/>
      </c>
      <c r="AG2607" s="54">
        <f>REPT(" ",18-LEN(FIXED(F2607,2,TRUE)))&amp;FIXED(F2607,2,TRUE)</f>
        <v/>
      </c>
      <c r="AH2607" s="10">
        <f>LEN(AC2607)+LEN(AG2607)</f>
        <v/>
      </c>
      <c r="AI2607" s="10">
        <f>LEN(L2607)</f>
        <v/>
      </c>
    </row>
    <row r="2608">
      <c r="J2608" s="12">
        <f>IF(F2608&lt;&gt;0,"LANÇAR","")</f>
        <v/>
      </c>
      <c r="L2608" s="13">
        <f>N2608&amp;O2608&amp;P2608&amp;Q2608&amp;R2608&amp;S2608&amp;T2608&amp;U2608&amp;V2608&amp;W2608&amp;X2608&amp;Y2608&amp;Z2608&amp;AA2608&amp;AB2608&amp;AC2608&amp;AD2608&amp;AE2608&amp;AF2608&amp;AG2608</f>
        <v/>
      </c>
      <c r="N2608" s="10">
        <f>TEXT($B$6,"00")</f>
        <v/>
      </c>
      <c r="O2608" s="10">
        <f>REPT(" ",8)</f>
        <v/>
      </c>
      <c r="P2608" s="10">
        <f>RIGHT($B$4,2)</f>
        <v/>
      </c>
      <c r="Q2608" s="10">
        <f>RIGHT($B$5,3)</f>
        <v/>
      </c>
      <c r="R2608" s="10">
        <f>IF(A2608="D",LEFT(UPPER(B2608)&amp;REPT(" ",20),20),REPT(" ",20))</f>
        <v/>
      </c>
      <c r="S2608" s="10">
        <f>IF(A2608="D",LEFT(UPPER(C2608)&amp;REPT(" ",10),10)," ")</f>
        <v/>
      </c>
      <c r="T2608" s="10">
        <f>IF(A2608="D",LEFT(UPPER(D2608)&amp;REPT(" ",2),2)," ")</f>
        <v/>
      </c>
      <c r="U2608" s="10">
        <f>IF(A2608="D",LEFT(UPPER(E2608)&amp;REPT(" ",15),15)," ")</f>
        <v/>
      </c>
      <c r="V2608" s="10">
        <f>REPT(" ",24)</f>
        <v/>
      </c>
      <c r="W2608" s="10">
        <f>IF(A2608="c",LEFT(UPPER(B2608)&amp;REPT(" ",20),20),REPT(" ",20))</f>
        <v/>
      </c>
      <c r="X2608" s="10">
        <f>IF(A2608="C",LEFT(UPPER(C2608)&amp;REPT(" ",10),10)," ")</f>
        <v/>
      </c>
      <c r="Y2608" s="10">
        <f>IF(A2608="C",LEFT(UPPER(D2608)&amp;REPT(" ",2),2)," ")</f>
        <v/>
      </c>
      <c r="Z2608" s="10">
        <f>IF(A2608="C",LEFT(UPPER(E2608)&amp;REPT(" ",15),15)," ")</f>
        <v/>
      </c>
      <c r="AA2608" s="10">
        <f>REPT(" ",8)</f>
        <v/>
      </c>
      <c r="AB2608" s="10">
        <f>REPT(" ",4)</f>
        <v/>
      </c>
      <c r="AC2608" s="10">
        <f>LEFT(UPPER(H2608)&amp;REPT(" ",250),250)</f>
        <v/>
      </c>
      <c r="AD2608" s="10">
        <f>TEXT($G$2,"dd/mm/aaaa")</f>
        <v/>
      </c>
      <c r="AE2608" s="10">
        <f>REPT(" ",10)</f>
        <v/>
      </c>
      <c r="AF2608" s="10">
        <f>REPT(" ",20)</f>
        <v/>
      </c>
      <c r="AG2608" s="54">
        <f>REPT(" ",18-LEN(FIXED(F2608,2,TRUE)))&amp;FIXED(F2608,2,TRUE)</f>
        <v/>
      </c>
      <c r="AH2608" s="10">
        <f>LEN(AC2608)+LEN(AG2608)</f>
        <v/>
      </c>
      <c r="AI2608" s="10">
        <f>LEN(L2608)</f>
        <v/>
      </c>
    </row>
    <row r="2609">
      <c r="J2609" s="12">
        <f>IF(F2609&lt;&gt;0,"LANÇAR","")</f>
        <v/>
      </c>
      <c r="L2609" s="13">
        <f>N2609&amp;O2609&amp;P2609&amp;Q2609&amp;R2609&amp;S2609&amp;T2609&amp;U2609&amp;V2609&amp;W2609&amp;X2609&amp;Y2609&amp;Z2609&amp;AA2609&amp;AB2609&amp;AC2609&amp;AD2609&amp;AE2609&amp;AF2609&amp;AG2609</f>
        <v/>
      </c>
      <c r="N2609" s="10">
        <f>TEXT($B$6,"00")</f>
        <v/>
      </c>
      <c r="O2609" s="10">
        <f>REPT(" ",8)</f>
        <v/>
      </c>
      <c r="P2609" s="10">
        <f>RIGHT($B$4,2)</f>
        <v/>
      </c>
      <c r="Q2609" s="10">
        <f>RIGHT($B$5,3)</f>
        <v/>
      </c>
      <c r="R2609" s="10">
        <f>IF(A2609="D",LEFT(UPPER(B2609)&amp;REPT(" ",20),20),REPT(" ",20))</f>
        <v/>
      </c>
      <c r="S2609" s="10">
        <f>IF(A2609="D",LEFT(UPPER(C2609)&amp;REPT(" ",10),10)," ")</f>
        <v/>
      </c>
      <c r="T2609" s="10">
        <f>IF(A2609="D",LEFT(UPPER(D2609)&amp;REPT(" ",2),2)," ")</f>
        <v/>
      </c>
      <c r="U2609" s="10">
        <f>IF(A2609="D",LEFT(UPPER(E2609)&amp;REPT(" ",15),15)," ")</f>
        <v/>
      </c>
      <c r="V2609" s="10">
        <f>REPT(" ",24)</f>
        <v/>
      </c>
      <c r="W2609" s="10">
        <f>IF(A2609="c",LEFT(UPPER(B2609)&amp;REPT(" ",20),20),REPT(" ",20))</f>
        <v/>
      </c>
      <c r="X2609" s="10">
        <f>IF(A2609="C",LEFT(UPPER(C2609)&amp;REPT(" ",10),10)," ")</f>
        <v/>
      </c>
      <c r="Y2609" s="10">
        <f>IF(A2609="C",LEFT(UPPER(D2609)&amp;REPT(" ",2),2)," ")</f>
        <v/>
      </c>
      <c r="Z2609" s="10">
        <f>IF(A2609="C",LEFT(UPPER(E2609)&amp;REPT(" ",15),15)," ")</f>
        <v/>
      </c>
      <c r="AA2609" s="10">
        <f>REPT(" ",8)</f>
        <v/>
      </c>
      <c r="AB2609" s="10">
        <f>REPT(" ",4)</f>
        <v/>
      </c>
      <c r="AC2609" s="10">
        <f>LEFT(UPPER(H2609)&amp;REPT(" ",250),250)</f>
        <v/>
      </c>
      <c r="AD2609" s="10">
        <f>TEXT($G$2,"dd/mm/aaaa")</f>
        <v/>
      </c>
      <c r="AE2609" s="10">
        <f>REPT(" ",10)</f>
        <v/>
      </c>
      <c r="AF2609" s="10">
        <f>REPT(" ",20)</f>
        <v/>
      </c>
      <c r="AG2609" s="54">
        <f>REPT(" ",18-LEN(FIXED(F2609,2,TRUE)))&amp;FIXED(F2609,2,TRUE)</f>
        <v/>
      </c>
      <c r="AH2609" s="10">
        <f>LEN(AC2609)+LEN(AG2609)</f>
        <v/>
      </c>
      <c r="AI2609" s="10">
        <f>LEN(L2609)</f>
        <v/>
      </c>
    </row>
    <row r="2610">
      <c r="J2610" s="12">
        <f>IF(F2610&lt;&gt;0,"LANÇAR","")</f>
        <v/>
      </c>
      <c r="L2610" s="13">
        <f>N2610&amp;O2610&amp;P2610&amp;Q2610&amp;R2610&amp;S2610&amp;T2610&amp;U2610&amp;V2610&amp;W2610&amp;X2610&amp;Y2610&amp;Z2610&amp;AA2610&amp;AB2610&amp;AC2610&amp;AD2610&amp;AE2610&amp;AF2610&amp;AG2610</f>
        <v/>
      </c>
      <c r="N2610" s="10">
        <f>TEXT($B$6,"00")</f>
        <v/>
      </c>
      <c r="O2610" s="10">
        <f>REPT(" ",8)</f>
        <v/>
      </c>
      <c r="P2610" s="10">
        <f>RIGHT($B$4,2)</f>
        <v/>
      </c>
      <c r="Q2610" s="10">
        <f>RIGHT($B$5,3)</f>
        <v/>
      </c>
      <c r="R2610" s="10">
        <f>IF(A2610="D",LEFT(UPPER(B2610)&amp;REPT(" ",20),20),REPT(" ",20))</f>
        <v/>
      </c>
      <c r="S2610" s="10">
        <f>IF(A2610="D",LEFT(UPPER(C2610)&amp;REPT(" ",10),10)," ")</f>
        <v/>
      </c>
      <c r="T2610" s="10">
        <f>IF(A2610="D",LEFT(UPPER(D2610)&amp;REPT(" ",2),2)," ")</f>
        <v/>
      </c>
      <c r="U2610" s="10">
        <f>IF(A2610="D",LEFT(UPPER(E2610)&amp;REPT(" ",15),15)," ")</f>
        <v/>
      </c>
      <c r="V2610" s="10">
        <f>REPT(" ",24)</f>
        <v/>
      </c>
      <c r="W2610" s="10">
        <f>IF(A2610="c",LEFT(UPPER(B2610)&amp;REPT(" ",20),20),REPT(" ",20))</f>
        <v/>
      </c>
      <c r="X2610" s="10">
        <f>IF(A2610="C",LEFT(UPPER(C2610)&amp;REPT(" ",10),10)," ")</f>
        <v/>
      </c>
      <c r="Y2610" s="10">
        <f>IF(A2610="C",LEFT(UPPER(D2610)&amp;REPT(" ",2),2)," ")</f>
        <v/>
      </c>
      <c r="Z2610" s="10">
        <f>IF(A2610="C",LEFT(UPPER(E2610)&amp;REPT(" ",15),15)," ")</f>
        <v/>
      </c>
      <c r="AA2610" s="10">
        <f>REPT(" ",8)</f>
        <v/>
      </c>
      <c r="AB2610" s="10">
        <f>REPT(" ",4)</f>
        <v/>
      </c>
      <c r="AC2610" s="10">
        <f>LEFT(UPPER(H2610)&amp;REPT(" ",250),250)</f>
        <v/>
      </c>
      <c r="AD2610" s="10">
        <f>TEXT($G$2,"dd/mm/aaaa")</f>
        <v/>
      </c>
      <c r="AE2610" s="10">
        <f>REPT(" ",10)</f>
        <v/>
      </c>
      <c r="AF2610" s="10">
        <f>REPT(" ",20)</f>
        <v/>
      </c>
      <c r="AG2610" s="54">
        <f>REPT(" ",18-LEN(FIXED(F2610,2,TRUE)))&amp;FIXED(F2610,2,TRUE)</f>
        <v/>
      </c>
      <c r="AH2610" s="10">
        <f>LEN(AC2610)+LEN(AG2610)</f>
        <v/>
      </c>
      <c r="AI2610" s="10">
        <f>LEN(L2610)</f>
        <v/>
      </c>
    </row>
    <row r="2611">
      <c r="J2611" s="12">
        <f>IF(F2611&lt;&gt;0,"LANÇAR","")</f>
        <v/>
      </c>
      <c r="L2611" s="13">
        <f>N2611&amp;O2611&amp;P2611&amp;Q2611&amp;R2611&amp;S2611&amp;T2611&amp;U2611&amp;V2611&amp;W2611&amp;X2611&amp;Y2611&amp;Z2611&amp;AA2611&amp;AB2611&amp;AC2611&amp;AD2611&amp;AE2611&amp;AF2611&amp;AG2611</f>
        <v/>
      </c>
      <c r="N2611" s="10">
        <f>TEXT($B$6,"00")</f>
        <v/>
      </c>
      <c r="O2611" s="10">
        <f>REPT(" ",8)</f>
        <v/>
      </c>
      <c r="P2611" s="10">
        <f>RIGHT($B$4,2)</f>
        <v/>
      </c>
      <c r="Q2611" s="10">
        <f>RIGHT($B$5,3)</f>
        <v/>
      </c>
      <c r="R2611" s="10">
        <f>IF(A2611="D",LEFT(UPPER(B2611)&amp;REPT(" ",20),20),REPT(" ",20))</f>
        <v/>
      </c>
      <c r="S2611" s="10">
        <f>IF(A2611="D",LEFT(UPPER(C2611)&amp;REPT(" ",10),10)," ")</f>
        <v/>
      </c>
      <c r="T2611" s="10">
        <f>IF(A2611="D",LEFT(UPPER(D2611)&amp;REPT(" ",2),2)," ")</f>
        <v/>
      </c>
      <c r="U2611" s="10">
        <f>IF(A2611="D",LEFT(UPPER(E2611)&amp;REPT(" ",15),15)," ")</f>
        <v/>
      </c>
      <c r="V2611" s="10">
        <f>REPT(" ",24)</f>
        <v/>
      </c>
      <c r="W2611" s="10">
        <f>IF(A2611="c",LEFT(UPPER(B2611)&amp;REPT(" ",20),20),REPT(" ",20))</f>
        <v/>
      </c>
      <c r="X2611" s="10">
        <f>IF(A2611="C",LEFT(UPPER(C2611)&amp;REPT(" ",10),10)," ")</f>
        <v/>
      </c>
      <c r="Y2611" s="10">
        <f>IF(A2611="C",LEFT(UPPER(D2611)&amp;REPT(" ",2),2)," ")</f>
        <v/>
      </c>
      <c r="Z2611" s="10">
        <f>IF(A2611="C",LEFT(UPPER(E2611)&amp;REPT(" ",15),15)," ")</f>
        <v/>
      </c>
      <c r="AA2611" s="10">
        <f>REPT(" ",8)</f>
        <v/>
      </c>
      <c r="AB2611" s="10">
        <f>REPT(" ",4)</f>
        <v/>
      </c>
      <c r="AC2611" s="10">
        <f>LEFT(UPPER(H2611)&amp;REPT(" ",250),250)</f>
        <v/>
      </c>
      <c r="AD2611" s="10">
        <f>TEXT($G$2,"dd/mm/aaaa")</f>
        <v/>
      </c>
      <c r="AE2611" s="10">
        <f>REPT(" ",10)</f>
        <v/>
      </c>
      <c r="AF2611" s="10">
        <f>REPT(" ",20)</f>
        <v/>
      </c>
      <c r="AG2611" s="54">
        <f>REPT(" ",18-LEN(FIXED(F2611,2,TRUE)))&amp;FIXED(F2611,2,TRUE)</f>
        <v/>
      </c>
      <c r="AH2611" s="10">
        <f>LEN(AC2611)+LEN(AG2611)</f>
        <v/>
      </c>
      <c r="AI2611" s="10">
        <f>LEN(L2611)</f>
        <v/>
      </c>
    </row>
    <row r="2612">
      <c r="J2612" s="12">
        <f>IF(F2612&lt;&gt;0,"LANÇAR","")</f>
        <v/>
      </c>
      <c r="L2612" s="13">
        <f>N2612&amp;O2612&amp;P2612&amp;Q2612&amp;R2612&amp;S2612&amp;T2612&amp;U2612&amp;V2612&amp;W2612&amp;X2612&amp;Y2612&amp;Z2612&amp;AA2612&amp;AB2612&amp;AC2612&amp;AD2612&amp;AE2612&amp;AF2612&amp;AG2612</f>
        <v/>
      </c>
      <c r="N2612" s="10">
        <f>TEXT($B$6,"00")</f>
        <v/>
      </c>
      <c r="O2612" s="10">
        <f>REPT(" ",8)</f>
        <v/>
      </c>
      <c r="P2612" s="10">
        <f>RIGHT($B$4,2)</f>
        <v/>
      </c>
      <c r="Q2612" s="10">
        <f>RIGHT($B$5,3)</f>
        <v/>
      </c>
      <c r="R2612" s="10">
        <f>IF(A2612="D",LEFT(UPPER(B2612)&amp;REPT(" ",20),20),REPT(" ",20))</f>
        <v/>
      </c>
      <c r="S2612" s="10">
        <f>IF(A2612="D",LEFT(UPPER(C2612)&amp;REPT(" ",10),10)," ")</f>
        <v/>
      </c>
      <c r="T2612" s="10">
        <f>IF(A2612="D",LEFT(UPPER(D2612)&amp;REPT(" ",2),2)," ")</f>
        <v/>
      </c>
      <c r="U2612" s="10">
        <f>IF(A2612="D",LEFT(UPPER(E2612)&amp;REPT(" ",15),15)," ")</f>
        <v/>
      </c>
      <c r="V2612" s="10">
        <f>REPT(" ",24)</f>
        <v/>
      </c>
      <c r="W2612" s="10">
        <f>IF(A2612="c",LEFT(UPPER(B2612)&amp;REPT(" ",20),20),REPT(" ",20))</f>
        <v/>
      </c>
      <c r="X2612" s="10">
        <f>IF(A2612="C",LEFT(UPPER(C2612)&amp;REPT(" ",10),10)," ")</f>
        <v/>
      </c>
      <c r="Y2612" s="10">
        <f>IF(A2612="C",LEFT(UPPER(D2612)&amp;REPT(" ",2),2)," ")</f>
        <v/>
      </c>
      <c r="Z2612" s="10">
        <f>IF(A2612="C",LEFT(UPPER(E2612)&amp;REPT(" ",15),15)," ")</f>
        <v/>
      </c>
      <c r="AA2612" s="10">
        <f>REPT(" ",8)</f>
        <v/>
      </c>
      <c r="AB2612" s="10">
        <f>REPT(" ",4)</f>
        <v/>
      </c>
      <c r="AC2612" s="10">
        <f>LEFT(UPPER(H2612)&amp;REPT(" ",250),250)</f>
        <v/>
      </c>
      <c r="AD2612" s="10">
        <f>TEXT($G$2,"dd/mm/aaaa")</f>
        <v/>
      </c>
      <c r="AE2612" s="10">
        <f>REPT(" ",10)</f>
        <v/>
      </c>
      <c r="AF2612" s="10">
        <f>REPT(" ",20)</f>
        <v/>
      </c>
      <c r="AG2612" s="54">
        <f>REPT(" ",18-LEN(FIXED(F2612,2,TRUE)))&amp;FIXED(F2612,2,TRUE)</f>
        <v/>
      </c>
      <c r="AH2612" s="10">
        <f>LEN(AC2612)+LEN(AG2612)</f>
        <v/>
      </c>
      <c r="AI2612" s="10">
        <f>LEN(L2612)</f>
        <v/>
      </c>
    </row>
    <row r="2613">
      <c r="J2613" s="12">
        <f>IF(F2613&lt;&gt;0,"LANÇAR","")</f>
        <v/>
      </c>
      <c r="L2613" s="13">
        <f>N2613&amp;O2613&amp;P2613&amp;Q2613&amp;R2613&amp;S2613&amp;T2613&amp;U2613&amp;V2613&amp;W2613&amp;X2613&amp;Y2613&amp;Z2613&amp;AA2613&amp;AB2613&amp;AC2613&amp;AD2613&amp;AE2613&amp;AF2613&amp;AG2613</f>
        <v/>
      </c>
      <c r="N2613" s="10">
        <f>TEXT($B$6,"00")</f>
        <v/>
      </c>
      <c r="O2613" s="10">
        <f>REPT(" ",8)</f>
        <v/>
      </c>
      <c r="P2613" s="10">
        <f>RIGHT($B$4,2)</f>
        <v/>
      </c>
      <c r="Q2613" s="10">
        <f>RIGHT($B$5,3)</f>
        <v/>
      </c>
      <c r="R2613" s="10">
        <f>IF(A2613="D",LEFT(UPPER(B2613)&amp;REPT(" ",20),20),REPT(" ",20))</f>
        <v/>
      </c>
      <c r="S2613" s="10">
        <f>IF(A2613="D",LEFT(UPPER(C2613)&amp;REPT(" ",10),10)," ")</f>
        <v/>
      </c>
      <c r="T2613" s="10">
        <f>IF(A2613="D",LEFT(UPPER(D2613)&amp;REPT(" ",2),2)," ")</f>
        <v/>
      </c>
      <c r="U2613" s="10">
        <f>IF(A2613="D",LEFT(UPPER(E2613)&amp;REPT(" ",15),15)," ")</f>
        <v/>
      </c>
      <c r="V2613" s="10">
        <f>REPT(" ",24)</f>
        <v/>
      </c>
      <c r="W2613" s="10">
        <f>IF(A2613="c",LEFT(UPPER(B2613)&amp;REPT(" ",20),20),REPT(" ",20))</f>
        <v/>
      </c>
      <c r="X2613" s="10">
        <f>IF(A2613="C",LEFT(UPPER(C2613)&amp;REPT(" ",10),10)," ")</f>
        <v/>
      </c>
      <c r="Y2613" s="10">
        <f>IF(A2613="C",LEFT(UPPER(D2613)&amp;REPT(" ",2),2)," ")</f>
        <v/>
      </c>
      <c r="Z2613" s="10">
        <f>IF(A2613="C",LEFT(UPPER(E2613)&amp;REPT(" ",15),15)," ")</f>
        <v/>
      </c>
      <c r="AA2613" s="10">
        <f>REPT(" ",8)</f>
        <v/>
      </c>
      <c r="AB2613" s="10">
        <f>REPT(" ",4)</f>
        <v/>
      </c>
      <c r="AC2613" s="10">
        <f>LEFT(UPPER(H2613)&amp;REPT(" ",250),250)</f>
        <v/>
      </c>
      <c r="AD2613" s="10">
        <f>TEXT($G$2,"dd/mm/aaaa")</f>
        <v/>
      </c>
      <c r="AE2613" s="10">
        <f>REPT(" ",10)</f>
        <v/>
      </c>
      <c r="AF2613" s="10">
        <f>REPT(" ",20)</f>
        <v/>
      </c>
      <c r="AG2613" s="54">
        <f>REPT(" ",18-LEN(FIXED(F2613,2,TRUE)))&amp;FIXED(F2613,2,TRUE)</f>
        <v/>
      </c>
      <c r="AH2613" s="10">
        <f>LEN(AC2613)+LEN(AG2613)</f>
        <v/>
      </c>
      <c r="AI2613" s="10">
        <f>LEN(L2613)</f>
        <v/>
      </c>
    </row>
    <row r="2614">
      <c r="J2614" s="12">
        <f>IF(F2614&lt;&gt;0,"LANÇAR","")</f>
        <v/>
      </c>
      <c r="L2614" s="13">
        <f>N2614&amp;O2614&amp;P2614&amp;Q2614&amp;R2614&amp;S2614&amp;T2614&amp;U2614&amp;V2614&amp;W2614&amp;X2614&amp;Y2614&amp;Z2614&amp;AA2614&amp;AB2614&amp;AC2614&amp;AD2614&amp;AE2614&amp;AF2614&amp;AG2614</f>
        <v/>
      </c>
      <c r="N2614" s="10">
        <f>TEXT($B$6,"00")</f>
        <v/>
      </c>
      <c r="O2614" s="10">
        <f>REPT(" ",8)</f>
        <v/>
      </c>
      <c r="P2614" s="10">
        <f>RIGHT($B$4,2)</f>
        <v/>
      </c>
      <c r="Q2614" s="10">
        <f>RIGHT($B$5,3)</f>
        <v/>
      </c>
      <c r="R2614" s="10">
        <f>IF(A2614="D",LEFT(UPPER(B2614)&amp;REPT(" ",20),20),REPT(" ",20))</f>
        <v/>
      </c>
      <c r="S2614" s="10">
        <f>IF(A2614="D",LEFT(UPPER(C2614)&amp;REPT(" ",10),10)," ")</f>
        <v/>
      </c>
      <c r="T2614" s="10">
        <f>IF(A2614="D",LEFT(UPPER(D2614)&amp;REPT(" ",2),2)," ")</f>
        <v/>
      </c>
      <c r="U2614" s="10">
        <f>IF(A2614="D",LEFT(UPPER(E2614)&amp;REPT(" ",15),15)," ")</f>
        <v/>
      </c>
      <c r="V2614" s="10">
        <f>REPT(" ",24)</f>
        <v/>
      </c>
      <c r="W2614" s="10">
        <f>IF(A2614="c",LEFT(UPPER(B2614)&amp;REPT(" ",20),20),REPT(" ",20))</f>
        <v/>
      </c>
      <c r="X2614" s="10">
        <f>IF(A2614="C",LEFT(UPPER(C2614)&amp;REPT(" ",10),10)," ")</f>
        <v/>
      </c>
      <c r="Y2614" s="10">
        <f>IF(A2614="C",LEFT(UPPER(D2614)&amp;REPT(" ",2),2)," ")</f>
        <v/>
      </c>
      <c r="Z2614" s="10">
        <f>IF(A2614="C",LEFT(UPPER(E2614)&amp;REPT(" ",15),15)," ")</f>
        <v/>
      </c>
      <c r="AA2614" s="10">
        <f>REPT(" ",8)</f>
        <v/>
      </c>
      <c r="AB2614" s="10">
        <f>REPT(" ",4)</f>
        <v/>
      </c>
      <c r="AC2614" s="10">
        <f>LEFT(UPPER(H2614)&amp;REPT(" ",250),250)</f>
        <v/>
      </c>
      <c r="AD2614" s="10">
        <f>TEXT($G$2,"dd/mm/aaaa")</f>
        <v/>
      </c>
      <c r="AE2614" s="10">
        <f>REPT(" ",10)</f>
        <v/>
      </c>
      <c r="AF2614" s="10">
        <f>REPT(" ",20)</f>
        <v/>
      </c>
      <c r="AG2614" s="54">
        <f>REPT(" ",18-LEN(FIXED(F2614,2,TRUE)))&amp;FIXED(F2614,2,TRUE)</f>
        <v/>
      </c>
      <c r="AH2614" s="10">
        <f>LEN(AC2614)+LEN(AG2614)</f>
        <v/>
      </c>
      <c r="AI2614" s="10">
        <f>LEN(L2614)</f>
        <v/>
      </c>
    </row>
    <row r="2615">
      <c r="J2615" s="12">
        <f>IF(F2615&lt;&gt;0,"LANÇAR","")</f>
        <v/>
      </c>
      <c r="L2615" s="13">
        <f>N2615&amp;O2615&amp;P2615&amp;Q2615&amp;R2615&amp;S2615&amp;T2615&amp;U2615&amp;V2615&amp;W2615&amp;X2615&amp;Y2615&amp;Z2615&amp;AA2615&amp;AB2615&amp;AC2615&amp;AD2615&amp;AE2615&amp;AF2615&amp;AG2615</f>
        <v/>
      </c>
      <c r="N2615" s="10">
        <f>TEXT($B$6,"00")</f>
        <v/>
      </c>
      <c r="O2615" s="10">
        <f>REPT(" ",8)</f>
        <v/>
      </c>
      <c r="P2615" s="10">
        <f>RIGHT($B$4,2)</f>
        <v/>
      </c>
      <c r="Q2615" s="10">
        <f>RIGHT($B$5,3)</f>
        <v/>
      </c>
      <c r="R2615" s="10">
        <f>IF(A2615="D",LEFT(UPPER(B2615)&amp;REPT(" ",20),20),REPT(" ",20))</f>
        <v/>
      </c>
      <c r="S2615" s="10">
        <f>IF(A2615="D",LEFT(UPPER(C2615)&amp;REPT(" ",10),10)," ")</f>
        <v/>
      </c>
      <c r="T2615" s="10">
        <f>IF(A2615="D",LEFT(UPPER(D2615)&amp;REPT(" ",2),2)," ")</f>
        <v/>
      </c>
      <c r="U2615" s="10">
        <f>IF(A2615="D",LEFT(UPPER(E2615)&amp;REPT(" ",15),15)," ")</f>
        <v/>
      </c>
      <c r="V2615" s="10">
        <f>REPT(" ",24)</f>
        <v/>
      </c>
      <c r="W2615" s="10">
        <f>IF(A2615="c",LEFT(UPPER(B2615)&amp;REPT(" ",20),20),REPT(" ",20))</f>
        <v/>
      </c>
      <c r="X2615" s="10">
        <f>IF(A2615="C",LEFT(UPPER(C2615)&amp;REPT(" ",10),10)," ")</f>
        <v/>
      </c>
      <c r="Y2615" s="10">
        <f>IF(A2615="C",LEFT(UPPER(D2615)&amp;REPT(" ",2),2)," ")</f>
        <v/>
      </c>
      <c r="Z2615" s="10">
        <f>IF(A2615="C",LEFT(UPPER(E2615)&amp;REPT(" ",15),15)," ")</f>
        <v/>
      </c>
      <c r="AA2615" s="10">
        <f>REPT(" ",8)</f>
        <v/>
      </c>
      <c r="AB2615" s="10">
        <f>REPT(" ",4)</f>
        <v/>
      </c>
      <c r="AC2615" s="10">
        <f>LEFT(UPPER(H2615)&amp;REPT(" ",250),250)</f>
        <v/>
      </c>
      <c r="AD2615" s="10">
        <f>TEXT($G$2,"dd/mm/aaaa")</f>
        <v/>
      </c>
      <c r="AE2615" s="10">
        <f>REPT(" ",10)</f>
        <v/>
      </c>
      <c r="AF2615" s="10">
        <f>REPT(" ",20)</f>
        <v/>
      </c>
      <c r="AG2615" s="54">
        <f>REPT(" ",18-LEN(FIXED(F2615,2,TRUE)))&amp;FIXED(F2615,2,TRUE)</f>
        <v/>
      </c>
      <c r="AH2615" s="10">
        <f>LEN(AC2615)+LEN(AG2615)</f>
        <v/>
      </c>
      <c r="AI2615" s="10">
        <f>LEN(L2615)</f>
        <v/>
      </c>
    </row>
    <row r="2616">
      <c r="J2616" s="12">
        <f>IF(F2616&lt;&gt;0,"LANÇAR","")</f>
        <v/>
      </c>
      <c r="L2616" s="13">
        <f>N2616&amp;O2616&amp;P2616&amp;Q2616&amp;R2616&amp;S2616&amp;T2616&amp;U2616&amp;V2616&amp;W2616&amp;X2616&amp;Y2616&amp;Z2616&amp;AA2616&amp;AB2616&amp;AC2616&amp;AD2616&amp;AE2616&amp;AF2616&amp;AG2616</f>
        <v/>
      </c>
      <c r="N2616" s="10">
        <f>TEXT($B$6,"00")</f>
        <v/>
      </c>
      <c r="O2616" s="10">
        <f>REPT(" ",8)</f>
        <v/>
      </c>
      <c r="P2616" s="10">
        <f>RIGHT($B$4,2)</f>
        <v/>
      </c>
      <c r="Q2616" s="10">
        <f>RIGHT($B$5,3)</f>
        <v/>
      </c>
      <c r="R2616" s="10">
        <f>IF(A2616="D",LEFT(UPPER(B2616)&amp;REPT(" ",20),20),REPT(" ",20))</f>
        <v/>
      </c>
      <c r="S2616" s="10">
        <f>IF(A2616="D",LEFT(UPPER(C2616)&amp;REPT(" ",10),10)," ")</f>
        <v/>
      </c>
      <c r="T2616" s="10">
        <f>IF(A2616="D",LEFT(UPPER(D2616)&amp;REPT(" ",2),2)," ")</f>
        <v/>
      </c>
      <c r="U2616" s="10">
        <f>IF(A2616="D",LEFT(UPPER(E2616)&amp;REPT(" ",15),15)," ")</f>
        <v/>
      </c>
      <c r="V2616" s="10">
        <f>REPT(" ",24)</f>
        <v/>
      </c>
      <c r="W2616" s="10">
        <f>IF(A2616="c",LEFT(UPPER(B2616)&amp;REPT(" ",20),20),REPT(" ",20))</f>
        <v/>
      </c>
      <c r="X2616" s="10">
        <f>IF(A2616="C",LEFT(UPPER(C2616)&amp;REPT(" ",10),10)," ")</f>
        <v/>
      </c>
      <c r="Y2616" s="10">
        <f>IF(A2616="C",LEFT(UPPER(D2616)&amp;REPT(" ",2),2)," ")</f>
        <v/>
      </c>
      <c r="Z2616" s="10">
        <f>IF(A2616="C",LEFT(UPPER(E2616)&amp;REPT(" ",15),15)," ")</f>
        <v/>
      </c>
      <c r="AA2616" s="10">
        <f>REPT(" ",8)</f>
        <v/>
      </c>
      <c r="AB2616" s="10">
        <f>REPT(" ",4)</f>
        <v/>
      </c>
      <c r="AC2616" s="10">
        <f>LEFT(UPPER(H2616)&amp;REPT(" ",250),250)</f>
        <v/>
      </c>
      <c r="AD2616" s="10">
        <f>TEXT($G$2,"dd/mm/aaaa")</f>
        <v/>
      </c>
      <c r="AE2616" s="10">
        <f>REPT(" ",10)</f>
        <v/>
      </c>
      <c r="AF2616" s="10">
        <f>REPT(" ",20)</f>
        <v/>
      </c>
      <c r="AG2616" s="54">
        <f>REPT(" ",18-LEN(FIXED(F2616,2,TRUE)))&amp;FIXED(F2616,2,TRUE)</f>
        <v/>
      </c>
      <c r="AH2616" s="10">
        <f>LEN(AC2616)+LEN(AG2616)</f>
        <v/>
      </c>
      <c r="AI2616" s="10">
        <f>LEN(L2616)</f>
        <v/>
      </c>
    </row>
    <row r="2617">
      <c r="J2617" s="12">
        <f>IF(F2617&lt;&gt;0,"LANÇAR","")</f>
        <v/>
      </c>
      <c r="L2617" s="13">
        <f>N2617&amp;O2617&amp;P2617&amp;Q2617&amp;R2617&amp;S2617&amp;T2617&amp;U2617&amp;V2617&amp;W2617&amp;X2617&amp;Y2617&amp;Z2617&amp;AA2617&amp;AB2617&amp;AC2617&amp;AD2617&amp;AE2617&amp;AF2617&amp;AG2617</f>
        <v/>
      </c>
      <c r="N2617" s="10">
        <f>TEXT($B$6,"00")</f>
        <v/>
      </c>
      <c r="O2617" s="10">
        <f>REPT(" ",8)</f>
        <v/>
      </c>
      <c r="P2617" s="10">
        <f>RIGHT($B$4,2)</f>
        <v/>
      </c>
      <c r="Q2617" s="10">
        <f>RIGHT($B$5,3)</f>
        <v/>
      </c>
      <c r="R2617" s="10">
        <f>IF(A2617="D",LEFT(UPPER(B2617)&amp;REPT(" ",20),20),REPT(" ",20))</f>
        <v/>
      </c>
      <c r="S2617" s="10">
        <f>IF(A2617="D",LEFT(UPPER(C2617)&amp;REPT(" ",10),10)," ")</f>
        <v/>
      </c>
      <c r="T2617" s="10">
        <f>IF(A2617="D",LEFT(UPPER(D2617)&amp;REPT(" ",2),2)," ")</f>
        <v/>
      </c>
      <c r="U2617" s="10">
        <f>IF(A2617="D",LEFT(UPPER(E2617)&amp;REPT(" ",15),15)," ")</f>
        <v/>
      </c>
      <c r="V2617" s="10">
        <f>REPT(" ",24)</f>
        <v/>
      </c>
      <c r="W2617" s="10">
        <f>IF(A2617="c",LEFT(UPPER(B2617)&amp;REPT(" ",20),20),REPT(" ",20))</f>
        <v/>
      </c>
      <c r="X2617" s="10">
        <f>IF(A2617="C",LEFT(UPPER(C2617)&amp;REPT(" ",10),10)," ")</f>
        <v/>
      </c>
      <c r="Y2617" s="10">
        <f>IF(A2617="C",LEFT(UPPER(D2617)&amp;REPT(" ",2),2)," ")</f>
        <v/>
      </c>
      <c r="Z2617" s="10">
        <f>IF(A2617="C",LEFT(UPPER(E2617)&amp;REPT(" ",15),15)," ")</f>
        <v/>
      </c>
      <c r="AA2617" s="10">
        <f>REPT(" ",8)</f>
        <v/>
      </c>
      <c r="AB2617" s="10">
        <f>REPT(" ",4)</f>
        <v/>
      </c>
      <c r="AC2617" s="10">
        <f>LEFT(UPPER(H2617)&amp;REPT(" ",250),250)</f>
        <v/>
      </c>
      <c r="AD2617" s="10">
        <f>TEXT($G$2,"dd/mm/aaaa")</f>
        <v/>
      </c>
      <c r="AE2617" s="10">
        <f>REPT(" ",10)</f>
        <v/>
      </c>
      <c r="AF2617" s="10">
        <f>REPT(" ",20)</f>
        <v/>
      </c>
      <c r="AG2617" s="54">
        <f>REPT(" ",18-LEN(FIXED(F2617,2,TRUE)))&amp;FIXED(F2617,2,TRUE)</f>
        <v/>
      </c>
      <c r="AH2617" s="10">
        <f>LEN(AC2617)+LEN(AG2617)</f>
        <v/>
      </c>
      <c r="AI2617" s="10">
        <f>LEN(L2617)</f>
        <v/>
      </c>
    </row>
    <row r="2618">
      <c r="J2618" s="12">
        <f>IF(F2618&lt;&gt;0,"LANÇAR","")</f>
        <v/>
      </c>
      <c r="L2618" s="13">
        <f>N2618&amp;O2618&amp;P2618&amp;Q2618&amp;R2618&amp;S2618&amp;T2618&amp;U2618&amp;V2618&amp;W2618&amp;X2618&amp;Y2618&amp;Z2618&amp;AA2618&amp;AB2618&amp;AC2618&amp;AD2618&amp;AE2618&amp;AF2618&amp;AG2618</f>
        <v/>
      </c>
      <c r="N2618" s="10">
        <f>TEXT($B$6,"00")</f>
        <v/>
      </c>
      <c r="O2618" s="10">
        <f>REPT(" ",8)</f>
        <v/>
      </c>
      <c r="P2618" s="10">
        <f>RIGHT($B$4,2)</f>
        <v/>
      </c>
      <c r="Q2618" s="10">
        <f>RIGHT($B$5,3)</f>
        <v/>
      </c>
      <c r="R2618" s="10">
        <f>IF(A2618="D",LEFT(UPPER(B2618)&amp;REPT(" ",20),20),REPT(" ",20))</f>
        <v/>
      </c>
      <c r="S2618" s="10">
        <f>IF(A2618="D",LEFT(UPPER(C2618)&amp;REPT(" ",10),10)," ")</f>
        <v/>
      </c>
      <c r="T2618" s="10">
        <f>IF(A2618="D",LEFT(UPPER(D2618)&amp;REPT(" ",2),2)," ")</f>
        <v/>
      </c>
      <c r="U2618" s="10">
        <f>IF(A2618="D",LEFT(UPPER(E2618)&amp;REPT(" ",15),15)," ")</f>
        <v/>
      </c>
      <c r="V2618" s="10">
        <f>REPT(" ",24)</f>
        <v/>
      </c>
      <c r="W2618" s="10">
        <f>IF(A2618="c",LEFT(UPPER(B2618)&amp;REPT(" ",20),20),REPT(" ",20))</f>
        <v/>
      </c>
      <c r="X2618" s="10">
        <f>IF(A2618="C",LEFT(UPPER(C2618)&amp;REPT(" ",10),10)," ")</f>
        <v/>
      </c>
      <c r="Y2618" s="10">
        <f>IF(A2618="C",LEFT(UPPER(D2618)&amp;REPT(" ",2),2)," ")</f>
        <v/>
      </c>
      <c r="Z2618" s="10">
        <f>IF(A2618="C",LEFT(UPPER(E2618)&amp;REPT(" ",15),15)," ")</f>
        <v/>
      </c>
      <c r="AA2618" s="10">
        <f>REPT(" ",8)</f>
        <v/>
      </c>
      <c r="AB2618" s="10">
        <f>REPT(" ",4)</f>
        <v/>
      </c>
      <c r="AC2618" s="10">
        <f>LEFT(UPPER(H2618)&amp;REPT(" ",250),250)</f>
        <v/>
      </c>
      <c r="AD2618" s="10">
        <f>TEXT($G$2,"dd/mm/aaaa")</f>
        <v/>
      </c>
      <c r="AE2618" s="10">
        <f>REPT(" ",10)</f>
        <v/>
      </c>
      <c r="AF2618" s="10">
        <f>REPT(" ",20)</f>
        <v/>
      </c>
      <c r="AG2618" s="54">
        <f>REPT(" ",18-LEN(FIXED(F2618,2,TRUE)))&amp;FIXED(F2618,2,TRUE)</f>
        <v/>
      </c>
      <c r="AH2618" s="10">
        <f>LEN(AC2618)+LEN(AG2618)</f>
        <v/>
      </c>
      <c r="AI2618" s="10">
        <f>LEN(L2618)</f>
        <v/>
      </c>
    </row>
    <row r="2619">
      <c r="J2619" s="12">
        <f>IF(F2619&lt;&gt;0,"LANÇAR","")</f>
        <v/>
      </c>
      <c r="L2619" s="13">
        <f>N2619&amp;O2619&amp;P2619&amp;Q2619&amp;R2619&amp;S2619&amp;T2619&amp;U2619&amp;V2619&amp;W2619&amp;X2619&amp;Y2619&amp;Z2619&amp;AA2619&amp;AB2619&amp;AC2619&amp;AD2619&amp;AE2619&amp;AF2619&amp;AG2619</f>
        <v/>
      </c>
      <c r="N2619" s="10">
        <f>TEXT($B$6,"00")</f>
        <v/>
      </c>
      <c r="O2619" s="10">
        <f>REPT(" ",8)</f>
        <v/>
      </c>
      <c r="P2619" s="10">
        <f>RIGHT($B$4,2)</f>
        <v/>
      </c>
      <c r="Q2619" s="10">
        <f>RIGHT($B$5,3)</f>
        <v/>
      </c>
      <c r="R2619" s="10">
        <f>IF(A2619="D",LEFT(UPPER(B2619)&amp;REPT(" ",20),20),REPT(" ",20))</f>
        <v/>
      </c>
      <c r="S2619" s="10">
        <f>IF(A2619="D",LEFT(UPPER(C2619)&amp;REPT(" ",10),10)," ")</f>
        <v/>
      </c>
      <c r="T2619" s="10">
        <f>IF(A2619="D",LEFT(UPPER(D2619)&amp;REPT(" ",2),2)," ")</f>
        <v/>
      </c>
      <c r="U2619" s="10">
        <f>IF(A2619="D",LEFT(UPPER(E2619)&amp;REPT(" ",15),15)," ")</f>
        <v/>
      </c>
      <c r="V2619" s="10">
        <f>REPT(" ",24)</f>
        <v/>
      </c>
      <c r="W2619" s="10">
        <f>IF(A2619="c",LEFT(UPPER(B2619)&amp;REPT(" ",20),20),REPT(" ",20))</f>
        <v/>
      </c>
      <c r="X2619" s="10">
        <f>IF(A2619="C",LEFT(UPPER(C2619)&amp;REPT(" ",10),10)," ")</f>
        <v/>
      </c>
      <c r="Y2619" s="10">
        <f>IF(A2619="C",LEFT(UPPER(D2619)&amp;REPT(" ",2),2)," ")</f>
        <v/>
      </c>
      <c r="Z2619" s="10">
        <f>IF(A2619="C",LEFT(UPPER(E2619)&amp;REPT(" ",15),15)," ")</f>
        <v/>
      </c>
      <c r="AA2619" s="10">
        <f>REPT(" ",8)</f>
        <v/>
      </c>
      <c r="AB2619" s="10">
        <f>REPT(" ",4)</f>
        <v/>
      </c>
      <c r="AC2619" s="10">
        <f>LEFT(UPPER(H2619)&amp;REPT(" ",250),250)</f>
        <v/>
      </c>
      <c r="AD2619" s="10">
        <f>TEXT($G$2,"dd/mm/aaaa")</f>
        <v/>
      </c>
      <c r="AE2619" s="10">
        <f>REPT(" ",10)</f>
        <v/>
      </c>
      <c r="AF2619" s="10">
        <f>REPT(" ",20)</f>
        <v/>
      </c>
      <c r="AG2619" s="54">
        <f>REPT(" ",18-LEN(FIXED(F2619,2,TRUE)))&amp;FIXED(F2619,2,TRUE)</f>
        <v/>
      </c>
      <c r="AH2619" s="10">
        <f>LEN(AC2619)+LEN(AG2619)</f>
        <v/>
      </c>
      <c r="AI2619" s="10">
        <f>LEN(L2619)</f>
        <v/>
      </c>
    </row>
    <row r="2620">
      <c r="J2620" s="12">
        <f>IF(F2620&lt;&gt;0,"LANÇAR","")</f>
        <v/>
      </c>
      <c r="L2620" s="13">
        <f>N2620&amp;O2620&amp;P2620&amp;Q2620&amp;R2620&amp;S2620&amp;T2620&amp;U2620&amp;V2620&amp;W2620&amp;X2620&amp;Y2620&amp;Z2620&amp;AA2620&amp;AB2620&amp;AC2620&amp;AD2620&amp;AE2620&amp;AF2620&amp;AG2620</f>
        <v/>
      </c>
      <c r="N2620" s="10">
        <f>TEXT($B$6,"00")</f>
        <v/>
      </c>
      <c r="O2620" s="10">
        <f>REPT(" ",8)</f>
        <v/>
      </c>
      <c r="P2620" s="10">
        <f>RIGHT($B$4,2)</f>
        <v/>
      </c>
      <c r="Q2620" s="10">
        <f>RIGHT($B$5,3)</f>
        <v/>
      </c>
      <c r="R2620" s="10">
        <f>IF(A2620="D",LEFT(UPPER(B2620)&amp;REPT(" ",20),20),REPT(" ",20))</f>
        <v/>
      </c>
      <c r="S2620" s="10">
        <f>IF(A2620="D",LEFT(UPPER(C2620)&amp;REPT(" ",10),10)," ")</f>
        <v/>
      </c>
      <c r="T2620" s="10">
        <f>IF(A2620="D",LEFT(UPPER(D2620)&amp;REPT(" ",2),2)," ")</f>
        <v/>
      </c>
      <c r="U2620" s="10">
        <f>IF(A2620="D",LEFT(UPPER(E2620)&amp;REPT(" ",15),15)," ")</f>
        <v/>
      </c>
      <c r="V2620" s="10">
        <f>REPT(" ",24)</f>
        <v/>
      </c>
      <c r="W2620" s="10">
        <f>IF(A2620="c",LEFT(UPPER(B2620)&amp;REPT(" ",20),20),REPT(" ",20))</f>
        <v/>
      </c>
      <c r="X2620" s="10">
        <f>IF(A2620="C",LEFT(UPPER(C2620)&amp;REPT(" ",10),10)," ")</f>
        <v/>
      </c>
      <c r="Y2620" s="10">
        <f>IF(A2620="C",LEFT(UPPER(D2620)&amp;REPT(" ",2),2)," ")</f>
        <v/>
      </c>
      <c r="Z2620" s="10">
        <f>IF(A2620="C",LEFT(UPPER(E2620)&amp;REPT(" ",15),15)," ")</f>
        <v/>
      </c>
      <c r="AA2620" s="10">
        <f>REPT(" ",8)</f>
        <v/>
      </c>
      <c r="AB2620" s="10">
        <f>REPT(" ",4)</f>
        <v/>
      </c>
      <c r="AC2620" s="10">
        <f>LEFT(UPPER(H2620)&amp;REPT(" ",250),250)</f>
        <v/>
      </c>
      <c r="AD2620" s="10">
        <f>TEXT($G$2,"dd/mm/aaaa")</f>
        <v/>
      </c>
      <c r="AE2620" s="10">
        <f>REPT(" ",10)</f>
        <v/>
      </c>
      <c r="AF2620" s="10">
        <f>REPT(" ",20)</f>
        <v/>
      </c>
      <c r="AG2620" s="54">
        <f>REPT(" ",18-LEN(FIXED(F2620,2,TRUE)))&amp;FIXED(F2620,2,TRUE)</f>
        <v/>
      </c>
      <c r="AH2620" s="10">
        <f>LEN(AC2620)+LEN(AG2620)</f>
        <v/>
      </c>
      <c r="AI2620" s="10">
        <f>LEN(L2620)</f>
        <v/>
      </c>
    </row>
    <row r="2621">
      <c r="J2621" s="12">
        <f>IF(F2621&lt;&gt;0,"LANÇAR","")</f>
        <v/>
      </c>
      <c r="L2621" s="13">
        <f>N2621&amp;O2621&amp;P2621&amp;Q2621&amp;R2621&amp;S2621&amp;T2621&amp;U2621&amp;V2621&amp;W2621&amp;X2621&amp;Y2621&amp;Z2621&amp;AA2621&amp;AB2621&amp;AC2621&amp;AD2621&amp;AE2621&amp;AF2621&amp;AG2621</f>
        <v/>
      </c>
      <c r="N2621" s="10">
        <f>TEXT($B$6,"00")</f>
        <v/>
      </c>
      <c r="O2621" s="10">
        <f>REPT(" ",8)</f>
        <v/>
      </c>
      <c r="P2621" s="10">
        <f>RIGHT($B$4,2)</f>
        <v/>
      </c>
      <c r="Q2621" s="10">
        <f>RIGHT($B$5,3)</f>
        <v/>
      </c>
      <c r="R2621" s="10">
        <f>IF(A2621="D",LEFT(UPPER(B2621)&amp;REPT(" ",20),20),REPT(" ",20))</f>
        <v/>
      </c>
      <c r="S2621" s="10">
        <f>IF(A2621="D",LEFT(UPPER(C2621)&amp;REPT(" ",10),10)," ")</f>
        <v/>
      </c>
      <c r="T2621" s="10">
        <f>IF(A2621="D",LEFT(UPPER(D2621)&amp;REPT(" ",2),2)," ")</f>
        <v/>
      </c>
      <c r="U2621" s="10">
        <f>IF(A2621="D",LEFT(UPPER(E2621)&amp;REPT(" ",15),15)," ")</f>
        <v/>
      </c>
      <c r="V2621" s="10">
        <f>REPT(" ",24)</f>
        <v/>
      </c>
      <c r="W2621" s="10">
        <f>IF(A2621="c",LEFT(UPPER(B2621)&amp;REPT(" ",20),20),REPT(" ",20))</f>
        <v/>
      </c>
      <c r="X2621" s="10">
        <f>IF(A2621="C",LEFT(UPPER(C2621)&amp;REPT(" ",10),10)," ")</f>
        <v/>
      </c>
      <c r="Y2621" s="10">
        <f>IF(A2621="C",LEFT(UPPER(D2621)&amp;REPT(" ",2),2)," ")</f>
        <v/>
      </c>
      <c r="Z2621" s="10">
        <f>IF(A2621="C",LEFT(UPPER(E2621)&amp;REPT(" ",15),15)," ")</f>
        <v/>
      </c>
      <c r="AA2621" s="10">
        <f>REPT(" ",8)</f>
        <v/>
      </c>
      <c r="AB2621" s="10">
        <f>REPT(" ",4)</f>
        <v/>
      </c>
      <c r="AC2621" s="10">
        <f>LEFT(UPPER(H2621)&amp;REPT(" ",250),250)</f>
        <v/>
      </c>
      <c r="AD2621" s="10">
        <f>TEXT($G$2,"dd/mm/aaaa")</f>
        <v/>
      </c>
      <c r="AE2621" s="10">
        <f>REPT(" ",10)</f>
        <v/>
      </c>
      <c r="AF2621" s="10">
        <f>REPT(" ",20)</f>
        <v/>
      </c>
      <c r="AG2621" s="54">
        <f>REPT(" ",18-LEN(FIXED(F2621,2,TRUE)))&amp;FIXED(F2621,2,TRUE)</f>
        <v/>
      </c>
      <c r="AH2621" s="10">
        <f>LEN(AC2621)+LEN(AG2621)</f>
        <v/>
      </c>
      <c r="AI2621" s="10">
        <f>LEN(L2621)</f>
        <v/>
      </c>
    </row>
    <row r="2622">
      <c r="J2622" s="12">
        <f>IF(F2622&lt;&gt;0,"LANÇAR","")</f>
        <v/>
      </c>
      <c r="L2622" s="13">
        <f>N2622&amp;O2622&amp;P2622&amp;Q2622&amp;R2622&amp;S2622&amp;T2622&amp;U2622&amp;V2622&amp;W2622&amp;X2622&amp;Y2622&amp;Z2622&amp;AA2622&amp;AB2622&amp;AC2622&amp;AD2622&amp;AE2622&amp;AF2622&amp;AG2622</f>
        <v/>
      </c>
      <c r="N2622" s="10">
        <f>TEXT($B$6,"00")</f>
        <v/>
      </c>
      <c r="O2622" s="10">
        <f>REPT(" ",8)</f>
        <v/>
      </c>
      <c r="P2622" s="10">
        <f>RIGHT($B$4,2)</f>
        <v/>
      </c>
      <c r="Q2622" s="10">
        <f>RIGHT($B$5,3)</f>
        <v/>
      </c>
      <c r="R2622" s="10">
        <f>IF(A2622="D",LEFT(UPPER(B2622)&amp;REPT(" ",20),20),REPT(" ",20))</f>
        <v/>
      </c>
      <c r="S2622" s="10">
        <f>IF(A2622="D",LEFT(UPPER(C2622)&amp;REPT(" ",10),10)," ")</f>
        <v/>
      </c>
      <c r="T2622" s="10">
        <f>IF(A2622="D",LEFT(UPPER(D2622)&amp;REPT(" ",2),2)," ")</f>
        <v/>
      </c>
      <c r="U2622" s="10">
        <f>IF(A2622="D",LEFT(UPPER(E2622)&amp;REPT(" ",15),15)," ")</f>
        <v/>
      </c>
      <c r="V2622" s="10">
        <f>REPT(" ",24)</f>
        <v/>
      </c>
      <c r="W2622" s="10">
        <f>IF(A2622="c",LEFT(UPPER(B2622)&amp;REPT(" ",20),20),REPT(" ",20))</f>
        <v/>
      </c>
      <c r="X2622" s="10">
        <f>IF(A2622="C",LEFT(UPPER(C2622)&amp;REPT(" ",10),10)," ")</f>
        <v/>
      </c>
      <c r="Y2622" s="10">
        <f>IF(A2622="C",LEFT(UPPER(D2622)&amp;REPT(" ",2),2)," ")</f>
        <v/>
      </c>
      <c r="Z2622" s="10">
        <f>IF(A2622="C",LEFT(UPPER(E2622)&amp;REPT(" ",15),15)," ")</f>
        <v/>
      </c>
      <c r="AA2622" s="10">
        <f>REPT(" ",8)</f>
        <v/>
      </c>
      <c r="AB2622" s="10">
        <f>REPT(" ",4)</f>
        <v/>
      </c>
      <c r="AC2622" s="10">
        <f>LEFT(UPPER(H2622)&amp;REPT(" ",250),250)</f>
        <v/>
      </c>
      <c r="AD2622" s="10">
        <f>TEXT($G$2,"dd/mm/aaaa")</f>
        <v/>
      </c>
      <c r="AE2622" s="10">
        <f>REPT(" ",10)</f>
        <v/>
      </c>
      <c r="AF2622" s="10">
        <f>REPT(" ",20)</f>
        <v/>
      </c>
      <c r="AG2622" s="54">
        <f>REPT(" ",18-LEN(FIXED(F2622,2,TRUE)))&amp;FIXED(F2622,2,TRUE)</f>
        <v/>
      </c>
      <c r="AH2622" s="10">
        <f>LEN(AC2622)+LEN(AG2622)</f>
        <v/>
      </c>
      <c r="AI2622" s="10">
        <f>LEN(L2622)</f>
        <v/>
      </c>
    </row>
    <row r="2623">
      <c r="J2623" s="12">
        <f>IF(F2623&lt;&gt;0,"LANÇAR","")</f>
        <v/>
      </c>
      <c r="L2623" s="13">
        <f>N2623&amp;O2623&amp;P2623&amp;Q2623&amp;R2623&amp;S2623&amp;T2623&amp;U2623&amp;V2623&amp;W2623&amp;X2623&amp;Y2623&amp;Z2623&amp;AA2623&amp;AB2623&amp;AC2623&amp;AD2623&amp;AE2623&amp;AF2623&amp;AG2623</f>
        <v/>
      </c>
      <c r="N2623" s="10">
        <f>TEXT($B$6,"00")</f>
        <v/>
      </c>
      <c r="O2623" s="10">
        <f>REPT(" ",8)</f>
        <v/>
      </c>
      <c r="P2623" s="10">
        <f>RIGHT($B$4,2)</f>
        <v/>
      </c>
      <c r="Q2623" s="10">
        <f>RIGHT($B$5,3)</f>
        <v/>
      </c>
      <c r="R2623" s="10">
        <f>IF(A2623="D",LEFT(UPPER(B2623)&amp;REPT(" ",20),20),REPT(" ",20))</f>
        <v/>
      </c>
      <c r="S2623" s="10">
        <f>IF(A2623="D",LEFT(UPPER(C2623)&amp;REPT(" ",10),10)," ")</f>
        <v/>
      </c>
      <c r="T2623" s="10">
        <f>IF(A2623="D",LEFT(UPPER(D2623)&amp;REPT(" ",2),2)," ")</f>
        <v/>
      </c>
      <c r="U2623" s="10">
        <f>IF(A2623="D",LEFT(UPPER(E2623)&amp;REPT(" ",15),15)," ")</f>
        <v/>
      </c>
      <c r="V2623" s="10">
        <f>REPT(" ",24)</f>
        <v/>
      </c>
      <c r="W2623" s="10">
        <f>IF(A2623="c",LEFT(UPPER(B2623)&amp;REPT(" ",20),20),REPT(" ",20))</f>
        <v/>
      </c>
      <c r="X2623" s="10">
        <f>IF(A2623="C",LEFT(UPPER(C2623)&amp;REPT(" ",10),10)," ")</f>
        <v/>
      </c>
      <c r="Y2623" s="10">
        <f>IF(A2623="C",LEFT(UPPER(D2623)&amp;REPT(" ",2),2)," ")</f>
        <v/>
      </c>
      <c r="Z2623" s="10">
        <f>IF(A2623="C",LEFT(UPPER(E2623)&amp;REPT(" ",15),15)," ")</f>
        <v/>
      </c>
      <c r="AA2623" s="10">
        <f>REPT(" ",8)</f>
        <v/>
      </c>
      <c r="AB2623" s="10">
        <f>REPT(" ",4)</f>
        <v/>
      </c>
      <c r="AC2623" s="10">
        <f>LEFT(UPPER(H2623)&amp;REPT(" ",250),250)</f>
        <v/>
      </c>
      <c r="AD2623" s="10">
        <f>TEXT($G$2,"dd/mm/aaaa")</f>
        <v/>
      </c>
      <c r="AE2623" s="10">
        <f>REPT(" ",10)</f>
        <v/>
      </c>
      <c r="AF2623" s="10">
        <f>REPT(" ",20)</f>
        <v/>
      </c>
      <c r="AG2623" s="54">
        <f>REPT(" ",18-LEN(FIXED(F2623,2,TRUE)))&amp;FIXED(F2623,2,TRUE)</f>
        <v/>
      </c>
      <c r="AH2623" s="10">
        <f>LEN(AC2623)+LEN(AG2623)</f>
        <v/>
      </c>
      <c r="AI2623" s="10">
        <f>LEN(L2623)</f>
        <v/>
      </c>
    </row>
    <row r="2624">
      <c r="J2624" s="12">
        <f>IF(F2624&lt;&gt;0,"LANÇAR","")</f>
        <v/>
      </c>
      <c r="L2624" s="13">
        <f>N2624&amp;O2624&amp;P2624&amp;Q2624&amp;R2624&amp;S2624&amp;T2624&amp;U2624&amp;V2624&amp;W2624&amp;X2624&amp;Y2624&amp;Z2624&amp;AA2624&amp;AB2624&amp;AC2624&amp;AD2624&amp;AE2624&amp;AF2624&amp;AG2624</f>
        <v/>
      </c>
      <c r="N2624" s="10">
        <f>TEXT($B$6,"00")</f>
        <v/>
      </c>
      <c r="O2624" s="10">
        <f>REPT(" ",8)</f>
        <v/>
      </c>
      <c r="P2624" s="10">
        <f>RIGHT($B$4,2)</f>
        <v/>
      </c>
      <c r="Q2624" s="10">
        <f>RIGHT($B$5,3)</f>
        <v/>
      </c>
      <c r="R2624" s="10">
        <f>IF(A2624="D",LEFT(UPPER(B2624)&amp;REPT(" ",20),20),REPT(" ",20))</f>
        <v/>
      </c>
      <c r="S2624" s="10">
        <f>IF(A2624="D",LEFT(UPPER(C2624)&amp;REPT(" ",10),10)," ")</f>
        <v/>
      </c>
      <c r="T2624" s="10">
        <f>IF(A2624="D",LEFT(UPPER(D2624)&amp;REPT(" ",2),2)," ")</f>
        <v/>
      </c>
      <c r="U2624" s="10">
        <f>IF(A2624="D",LEFT(UPPER(E2624)&amp;REPT(" ",15),15)," ")</f>
        <v/>
      </c>
      <c r="V2624" s="10">
        <f>REPT(" ",24)</f>
        <v/>
      </c>
      <c r="W2624" s="10">
        <f>IF(A2624="c",LEFT(UPPER(B2624)&amp;REPT(" ",20),20),REPT(" ",20))</f>
        <v/>
      </c>
      <c r="X2624" s="10">
        <f>IF(A2624="C",LEFT(UPPER(C2624)&amp;REPT(" ",10),10)," ")</f>
        <v/>
      </c>
      <c r="Y2624" s="10">
        <f>IF(A2624="C",LEFT(UPPER(D2624)&amp;REPT(" ",2),2)," ")</f>
        <v/>
      </c>
      <c r="Z2624" s="10">
        <f>IF(A2624="C",LEFT(UPPER(E2624)&amp;REPT(" ",15),15)," ")</f>
        <v/>
      </c>
      <c r="AA2624" s="10">
        <f>REPT(" ",8)</f>
        <v/>
      </c>
      <c r="AB2624" s="10">
        <f>REPT(" ",4)</f>
        <v/>
      </c>
      <c r="AC2624" s="10">
        <f>LEFT(UPPER(H2624)&amp;REPT(" ",250),250)</f>
        <v/>
      </c>
      <c r="AD2624" s="10">
        <f>TEXT($G$2,"dd/mm/aaaa")</f>
        <v/>
      </c>
      <c r="AE2624" s="10">
        <f>REPT(" ",10)</f>
        <v/>
      </c>
      <c r="AF2624" s="10">
        <f>REPT(" ",20)</f>
        <v/>
      </c>
      <c r="AG2624" s="54">
        <f>REPT(" ",18-LEN(FIXED(F2624,2,TRUE)))&amp;FIXED(F2624,2,TRUE)</f>
        <v/>
      </c>
      <c r="AH2624" s="10">
        <f>LEN(AC2624)+LEN(AG2624)</f>
        <v/>
      </c>
      <c r="AI2624" s="10">
        <f>LEN(L2624)</f>
        <v/>
      </c>
    </row>
    <row r="2625">
      <c r="J2625" s="12">
        <f>IF(F2625&lt;&gt;0,"LANÇAR","")</f>
        <v/>
      </c>
      <c r="L2625" s="13">
        <f>N2625&amp;O2625&amp;P2625&amp;Q2625&amp;R2625&amp;S2625&amp;T2625&amp;U2625&amp;V2625&amp;W2625&amp;X2625&amp;Y2625&amp;Z2625&amp;AA2625&amp;AB2625&amp;AC2625&amp;AD2625&amp;AE2625&amp;AF2625&amp;AG2625</f>
        <v/>
      </c>
      <c r="N2625" s="10">
        <f>TEXT($B$6,"00")</f>
        <v/>
      </c>
      <c r="O2625" s="10">
        <f>REPT(" ",8)</f>
        <v/>
      </c>
      <c r="P2625" s="10">
        <f>RIGHT($B$4,2)</f>
        <v/>
      </c>
      <c r="Q2625" s="10">
        <f>RIGHT($B$5,3)</f>
        <v/>
      </c>
      <c r="R2625" s="10">
        <f>IF(A2625="D",LEFT(UPPER(B2625)&amp;REPT(" ",20),20),REPT(" ",20))</f>
        <v/>
      </c>
      <c r="S2625" s="10">
        <f>IF(A2625="D",LEFT(UPPER(C2625)&amp;REPT(" ",10),10)," ")</f>
        <v/>
      </c>
      <c r="T2625" s="10">
        <f>IF(A2625="D",LEFT(UPPER(D2625)&amp;REPT(" ",2),2)," ")</f>
        <v/>
      </c>
      <c r="U2625" s="10">
        <f>IF(A2625="D",LEFT(UPPER(E2625)&amp;REPT(" ",15),15)," ")</f>
        <v/>
      </c>
      <c r="V2625" s="10">
        <f>REPT(" ",24)</f>
        <v/>
      </c>
      <c r="W2625" s="10">
        <f>IF(A2625="c",LEFT(UPPER(B2625)&amp;REPT(" ",20),20),REPT(" ",20))</f>
        <v/>
      </c>
      <c r="X2625" s="10">
        <f>IF(A2625="C",LEFT(UPPER(C2625)&amp;REPT(" ",10),10)," ")</f>
        <v/>
      </c>
      <c r="Y2625" s="10">
        <f>IF(A2625="C",LEFT(UPPER(D2625)&amp;REPT(" ",2),2)," ")</f>
        <v/>
      </c>
      <c r="Z2625" s="10">
        <f>IF(A2625="C",LEFT(UPPER(E2625)&amp;REPT(" ",15),15)," ")</f>
        <v/>
      </c>
      <c r="AA2625" s="10">
        <f>REPT(" ",8)</f>
        <v/>
      </c>
      <c r="AB2625" s="10">
        <f>REPT(" ",4)</f>
        <v/>
      </c>
      <c r="AC2625" s="10">
        <f>LEFT(UPPER(H2625)&amp;REPT(" ",250),250)</f>
        <v/>
      </c>
      <c r="AD2625" s="10">
        <f>TEXT($G$2,"dd/mm/aaaa")</f>
        <v/>
      </c>
      <c r="AE2625" s="10">
        <f>REPT(" ",10)</f>
        <v/>
      </c>
      <c r="AF2625" s="10">
        <f>REPT(" ",20)</f>
        <v/>
      </c>
      <c r="AG2625" s="54">
        <f>REPT(" ",18-LEN(FIXED(F2625,2,TRUE)))&amp;FIXED(F2625,2,TRUE)</f>
        <v/>
      </c>
      <c r="AH2625" s="10">
        <f>LEN(AC2625)+LEN(AG2625)</f>
        <v/>
      </c>
      <c r="AI2625" s="10">
        <f>LEN(L2625)</f>
        <v/>
      </c>
    </row>
    <row r="2626">
      <c r="J2626" s="12">
        <f>IF(F2626&lt;&gt;0,"LANÇAR","")</f>
        <v/>
      </c>
      <c r="L2626" s="13">
        <f>N2626&amp;O2626&amp;P2626&amp;Q2626&amp;R2626&amp;S2626&amp;T2626&amp;U2626&amp;V2626&amp;W2626&amp;X2626&amp;Y2626&amp;Z2626&amp;AA2626&amp;AB2626&amp;AC2626&amp;AD2626&amp;AE2626&amp;AF2626&amp;AG2626</f>
        <v/>
      </c>
      <c r="N2626" s="10">
        <f>TEXT($B$6,"00")</f>
        <v/>
      </c>
      <c r="O2626" s="10">
        <f>REPT(" ",8)</f>
        <v/>
      </c>
      <c r="P2626" s="10">
        <f>RIGHT($B$4,2)</f>
        <v/>
      </c>
      <c r="Q2626" s="10">
        <f>RIGHT($B$5,3)</f>
        <v/>
      </c>
      <c r="R2626" s="10">
        <f>IF(A2626="D",LEFT(UPPER(B2626)&amp;REPT(" ",20),20),REPT(" ",20))</f>
        <v/>
      </c>
      <c r="S2626" s="10">
        <f>IF(A2626="D",LEFT(UPPER(C2626)&amp;REPT(" ",10),10)," ")</f>
        <v/>
      </c>
      <c r="T2626" s="10">
        <f>IF(A2626="D",LEFT(UPPER(D2626)&amp;REPT(" ",2),2)," ")</f>
        <v/>
      </c>
      <c r="U2626" s="10">
        <f>IF(A2626="D",LEFT(UPPER(E2626)&amp;REPT(" ",15),15)," ")</f>
        <v/>
      </c>
      <c r="V2626" s="10">
        <f>REPT(" ",24)</f>
        <v/>
      </c>
      <c r="W2626" s="10">
        <f>IF(A2626="c",LEFT(UPPER(B2626)&amp;REPT(" ",20),20),REPT(" ",20))</f>
        <v/>
      </c>
      <c r="X2626" s="10">
        <f>IF(A2626="C",LEFT(UPPER(C2626)&amp;REPT(" ",10),10)," ")</f>
        <v/>
      </c>
      <c r="Y2626" s="10">
        <f>IF(A2626="C",LEFT(UPPER(D2626)&amp;REPT(" ",2),2)," ")</f>
        <v/>
      </c>
      <c r="Z2626" s="10">
        <f>IF(A2626="C",LEFT(UPPER(E2626)&amp;REPT(" ",15),15)," ")</f>
        <v/>
      </c>
      <c r="AA2626" s="10">
        <f>REPT(" ",8)</f>
        <v/>
      </c>
      <c r="AB2626" s="10">
        <f>REPT(" ",4)</f>
        <v/>
      </c>
      <c r="AC2626" s="10">
        <f>LEFT(UPPER(H2626)&amp;REPT(" ",250),250)</f>
        <v/>
      </c>
      <c r="AD2626" s="10">
        <f>TEXT($G$2,"dd/mm/aaaa")</f>
        <v/>
      </c>
      <c r="AE2626" s="10">
        <f>REPT(" ",10)</f>
        <v/>
      </c>
      <c r="AF2626" s="10">
        <f>REPT(" ",20)</f>
        <v/>
      </c>
      <c r="AG2626" s="54">
        <f>REPT(" ",18-LEN(FIXED(F2626,2,TRUE)))&amp;FIXED(F2626,2,TRUE)</f>
        <v/>
      </c>
      <c r="AH2626" s="10">
        <f>LEN(AC2626)+LEN(AG2626)</f>
        <v/>
      </c>
      <c r="AI2626" s="10">
        <f>LEN(L2626)</f>
        <v/>
      </c>
    </row>
    <row r="2627">
      <c r="J2627" s="12">
        <f>IF(F2627&lt;&gt;0,"LANÇAR","")</f>
        <v/>
      </c>
      <c r="L2627" s="13">
        <f>N2627&amp;O2627&amp;P2627&amp;Q2627&amp;R2627&amp;S2627&amp;T2627&amp;U2627&amp;V2627&amp;W2627&amp;X2627&amp;Y2627&amp;Z2627&amp;AA2627&amp;AB2627&amp;AC2627&amp;AD2627&amp;AE2627&amp;AF2627&amp;AG2627</f>
        <v/>
      </c>
      <c r="N2627" s="10">
        <f>TEXT($B$6,"00")</f>
        <v/>
      </c>
      <c r="O2627" s="10">
        <f>REPT(" ",8)</f>
        <v/>
      </c>
      <c r="P2627" s="10">
        <f>RIGHT($B$4,2)</f>
        <v/>
      </c>
      <c r="Q2627" s="10">
        <f>RIGHT($B$5,3)</f>
        <v/>
      </c>
      <c r="R2627" s="10">
        <f>IF(A2627="D",LEFT(UPPER(B2627)&amp;REPT(" ",20),20),REPT(" ",20))</f>
        <v/>
      </c>
      <c r="S2627" s="10">
        <f>IF(A2627="D",LEFT(UPPER(C2627)&amp;REPT(" ",10),10)," ")</f>
        <v/>
      </c>
      <c r="T2627" s="10">
        <f>IF(A2627="D",LEFT(UPPER(D2627)&amp;REPT(" ",2),2)," ")</f>
        <v/>
      </c>
      <c r="U2627" s="10">
        <f>IF(A2627="D",LEFT(UPPER(E2627)&amp;REPT(" ",15),15)," ")</f>
        <v/>
      </c>
      <c r="V2627" s="10">
        <f>REPT(" ",24)</f>
        <v/>
      </c>
      <c r="W2627" s="10">
        <f>IF(A2627="c",LEFT(UPPER(B2627)&amp;REPT(" ",20),20),REPT(" ",20))</f>
        <v/>
      </c>
      <c r="X2627" s="10">
        <f>IF(A2627="C",LEFT(UPPER(C2627)&amp;REPT(" ",10),10)," ")</f>
        <v/>
      </c>
      <c r="Y2627" s="10">
        <f>IF(A2627="C",LEFT(UPPER(D2627)&amp;REPT(" ",2),2)," ")</f>
        <v/>
      </c>
      <c r="Z2627" s="10">
        <f>IF(A2627="C",LEFT(UPPER(E2627)&amp;REPT(" ",15),15)," ")</f>
        <v/>
      </c>
      <c r="AA2627" s="10">
        <f>REPT(" ",8)</f>
        <v/>
      </c>
      <c r="AB2627" s="10">
        <f>REPT(" ",4)</f>
        <v/>
      </c>
      <c r="AC2627" s="10">
        <f>LEFT(UPPER(H2627)&amp;REPT(" ",250),250)</f>
        <v/>
      </c>
      <c r="AD2627" s="10">
        <f>TEXT($G$2,"dd/mm/aaaa")</f>
        <v/>
      </c>
      <c r="AE2627" s="10">
        <f>REPT(" ",10)</f>
        <v/>
      </c>
      <c r="AF2627" s="10">
        <f>REPT(" ",20)</f>
        <v/>
      </c>
      <c r="AG2627" s="54">
        <f>REPT(" ",18-LEN(FIXED(F2627,2,TRUE)))&amp;FIXED(F2627,2,TRUE)</f>
        <v/>
      </c>
      <c r="AH2627" s="10">
        <f>LEN(AC2627)+LEN(AG2627)</f>
        <v/>
      </c>
      <c r="AI2627" s="10">
        <f>LEN(L2627)</f>
        <v/>
      </c>
    </row>
    <row r="2628">
      <c r="J2628" s="12">
        <f>IF(F2628&lt;&gt;0,"LANÇAR","")</f>
        <v/>
      </c>
      <c r="L2628" s="13">
        <f>N2628&amp;O2628&amp;P2628&amp;Q2628&amp;R2628&amp;S2628&amp;T2628&amp;U2628&amp;V2628&amp;W2628&amp;X2628&amp;Y2628&amp;Z2628&amp;AA2628&amp;AB2628&amp;AC2628&amp;AD2628&amp;AE2628&amp;AF2628&amp;AG2628</f>
        <v/>
      </c>
      <c r="N2628" s="10">
        <f>TEXT($B$6,"00")</f>
        <v/>
      </c>
      <c r="O2628" s="10">
        <f>REPT(" ",8)</f>
        <v/>
      </c>
      <c r="P2628" s="10">
        <f>RIGHT($B$4,2)</f>
        <v/>
      </c>
      <c r="Q2628" s="10">
        <f>RIGHT($B$5,3)</f>
        <v/>
      </c>
      <c r="R2628" s="10">
        <f>IF(A2628="D",LEFT(UPPER(B2628)&amp;REPT(" ",20),20),REPT(" ",20))</f>
        <v/>
      </c>
      <c r="S2628" s="10">
        <f>IF(A2628="D",LEFT(UPPER(C2628)&amp;REPT(" ",10),10)," ")</f>
        <v/>
      </c>
      <c r="T2628" s="10">
        <f>IF(A2628="D",LEFT(UPPER(D2628)&amp;REPT(" ",2),2)," ")</f>
        <v/>
      </c>
      <c r="U2628" s="10">
        <f>IF(A2628="D",LEFT(UPPER(E2628)&amp;REPT(" ",15),15)," ")</f>
        <v/>
      </c>
      <c r="V2628" s="10">
        <f>REPT(" ",24)</f>
        <v/>
      </c>
      <c r="W2628" s="10">
        <f>IF(A2628="c",LEFT(UPPER(B2628)&amp;REPT(" ",20),20),REPT(" ",20))</f>
        <v/>
      </c>
      <c r="X2628" s="10">
        <f>IF(A2628="C",LEFT(UPPER(C2628)&amp;REPT(" ",10),10)," ")</f>
        <v/>
      </c>
      <c r="Y2628" s="10">
        <f>IF(A2628="C",LEFT(UPPER(D2628)&amp;REPT(" ",2),2)," ")</f>
        <v/>
      </c>
      <c r="Z2628" s="10">
        <f>IF(A2628="C",LEFT(UPPER(E2628)&amp;REPT(" ",15),15)," ")</f>
        <v/>
      </c>
      <c r="AA2628" s="10">
        <f>REPT(" ",8)</f>
        <v/>
      </c>
      <c r="AB2628" s="10">
        <f>REPT(" ",4)</f>
        <v/>
      </c>
      <c r="AC2628" s="10">
        <f>LEFT(UPPER(H2628)&amp;REPT(" ",250),250)</f>
        <v/>
      </c>
      <c r="AD2628" s="10">
        <f>TEXT($G$2,"dd/mm/aaaa")</f>
        <v/>
      </c>
      <c r="AE2628" s="10">
        <f>REPT(" ",10)</f>
        <v/>
      </c>
      <c r="AF2628" s="10">
        <f>REPT(" ",20)</f>
        <v/>
      </c>
      <c r="AG2628" s="54">
        <f>REPT(" ",18-LEN(FIXED(F2628,2,TRUE)))&amp;FIXED(F2628,2,TRUE)</f>
        <v/>
      </c>
      <c r="AH2628" s="10">
        <f>LEN(AC2628)+LEN(AG2628)</f>
        <v/>
      </c>
      <c r="AI2628" s="10">
        <f>LEN(L2628)</f>
        <v/>
      </c>
    </row>
    <row r="2629">
      <c r="J2629" s="12">
        <f>IF(F2629&lt;&gt;0,"LANÇAR","")</f>
        <v/>
      </c>
      <c r="L2629" s="13">
        <f>N2629&amp;O2629&amp;P2629&amp;Q2629&amp;R2629&amp;S2629&amp;T2629&amp;U2629&amp;V2629&amp;W2629&amp;X2629&amp;Y2629&amp;Z2629&amp;AA2629&amp;AB2629&amp;AC2629&amp;AD2629&amp;AE2629&amp;AF2629&amp;AG2629</f>
        <v/>
      </c>
      <c r="N2629" s="10">
        <f>TEXT($B$6,"00")</f>
        <v/>
      </c>
      <c r="O2629" s="10">
        <f>REPT(" ",8)</f>
        <v/>
      </c>
      <c r="P2629" s="10">
        <f>RIGHT($B$4,2)</f>
        <v/>
      </c>
      <c r="Q2629" s="10">
        <f>RIGHT($B$5,3)</f>
        <v/>
      </c>
      <c r="R2629" s="10">
        <f>IF(A2629="D",LEFT(UPPER(B2629)&amp;REPT(" ",20),20),REPT(" ",20))</f>
        <v/>
      </c>
      <c r="S2629" s="10">
        <f>IF(A2629="D",LEFT(UPPER(C2629)&amp;REPT(" ",10),10)," ")</f>
        <v/>
      </c>
      <c r="T2629" s="10">
        <f>IF(A2629="D",LEFT(UPPER(D2629)&amp;REPT(" ",2),2)," ")</f>
        <v/>
      </c>
      <c r="U2629" s="10">
        <f>IF(A2629="D",LEFT(UPPER(E2629)&amp;REPT(" ",15),15)," ")</f>
        <v/>
      </c>
      <c r="V2629" s="10">
        <f>REPT(" ",24)</f>
        <v/>
      </c>
      <c r="W2629" s="10">
        <f>IF(A2629="c",LEFT(UPPER(B2629)&amp;REPT(" ",20),20),REPT(" ",20))</f>
        <v/>
      </c>
      <c r="X2629" s="10">
        <f>IF(A2629="C",LEFT(UPPER(C2629)&amp;REPT(" ",10),10)," ")</f>
        <v/>
      </c>
      <c r="Y2629" s="10">
        <f>IF(A2629="C",LEFT(UPPER(D2629)&amp;REPT(" ",2),2)," ")</f>
        <v/>
      </c>
      <c r="Z2629" s="10">
        <f>IF(A2629="C",LEFT(UPPER(E2629)&amp;REPT(" ",15),15)," ")</f>
        <v/>
      </c>
      <c r="AA2629" s="10">
        <f>REPT(" ",8)</f>
        <v/>
      </c>
      <c r="AB2629" s="10">
        <f>REPT(" ",4)</f>
        <v/>
      </c>
      <c r="AC2629" s="10">
        <f>LEFT(UPPER(H2629)&amp;REPT(" ",250),250)</f>
        <v/>
      </c>
      <c r="AD2629" s="10">
        <f>TEXT($G$2,"dd/mm/aaaa")</f>
        <v/>
      </c>
      <c r="AE2629" s="10">
        <f>REPT(" ",10)</f>
        <v/>
      </c>
      <c r="AF2629" s="10">
        <f>REPT(" ",20)</f>
        <v/>
      </c>
      <c r="AG2629" s="54">
        <f>REPT(" ",18-LEN(FIXED(F2629,2,TRUE)))&amp;FIXED(F2629,2,TRUE)</f>
        <v/>
      </c>
      <c r="AH2629" s="10">
        <f>LEN(AC2629)+LEN(AG2629)</f>
        <v/>
      </c>
      <c r="AI2629" s="10">
        <f>LEN(L2629)</f>
        <v/>
      </c>
    </row>
    <row r="2630">
      <c r="J2630" s="12">
        <f>IF(F2630&lt;&gt;0,"LANÇAR","")</f>
        <v/>
      </c>
      <c r="L2630" s="13">
        <f>N2630&amp;O2630&amp;P2630&amp;Q2630&amp;R2630&amp;S2630&amp;T2630&amp;U2630&amp;V2630&amp;W2630&amp;X2630&amp;Y2630&amp;Z2630&amp;AA2630&amp;AB2630&amp;AC2630&amp;AD2630&amp;AE2630&amp;AF2630&amp;AG2630</f>
        <v/>
      </c>
      <c r="N2630" s="10">
        <f>TEXT($B$6,"00")</f>
        <v/>
      </c>
      <c r="O2630" s="10">
        <f>REPT(" ",8)</f>
        <v/>
      </c>
      <c r="P2630" s="10">
        <f>RIGHT($B$4,2)</f>
        <v/>
      </c>
      <c r="Q2630" s="10">
        <f>RIGHT($B$5,3)</f>
        <v/>
      </c>
      <c r="R2630" s="10">
        <f>IF(A2630="D",LEFT(UPPER(B2630)&amp;REPT(" ",20),20),REPT(" ",20))</f>
        <v/>
      </c>
      <c r="S2630" s="10">
        <f>IF(A2630="D",LEFT(UPPER(C2630)&amp;REPT(" ",10),10)," ")</f>
        <v/>
      </c>
      <c r="T2630" s="10">
        <f>IF(A2630="D",LEFT(UPPER(D2630)&amp;REPT(" ",2),2)," ")</f>
        <v/>
      </c>
      <c r="U2630" s="10">
        <f>IF(A2630="D",LEFT(UPPER(E2630)&amp;REPT(" ",15),15)," ")</f>
        <v/>
      </c>
      <c r="V2630" s="10">
        <f>REPT(" ",24)</f>
        <v/>
      </c>
      <c r="W2630" s="10">
        <f>IF(A2630="c",LEFT(UPPER(B2630)&amp;REPT(" ",20),20),REPT(" ",20))</f>
        <v/>
      </c>
      <c r="X2630" s="10">
        <f>IF(A2630="C",LEFT(UPPER(C2630)&amp;REPT(" ",10),10)," ")</f>
        <v/>
      </c>
      <c r="Y2630" s="10">
        <f>IF(A2630="C",LEFT(UPPER(D2630)&amp;REPT(" ",2),2)," ")</f>
        <v/>
      </c>
      <c r="Z2630" s="10">
        <f>IF(A2630="C",LEFT(UPPER(E2630)&amp;REPT(" ",15),15)," ")</f>
        <v/>
      </c>
      <c r="AA2630" s="10">
        <f>REPT(" ",8)</f>
        <v/>
      </c>
      <c r="AB2630" s="10">
        <f>REPT(" ",4)</f>
        <v/>
      </c>
      <c r="AC2630" s="10">
        <f>LEFT(UPPER(H2630)&amp;REPT(" ",250),250)</f>
        <v/>
      </c>
      <c r="AD2630" s="10">
        <f>TEXT($G$2,"dd/mm/aaaa")</f>
        <v/>
      </c>
      <c r="AE2630" s="10">
        <f>REPT(" ",10)</f>
        <v/>
      </c>
      <c r="AF2630" s="10">
        <f>REPT(" ",20)</f>
        <v/>
      </c>
      <c r="AG2630" s="54">
        <f>REPT(" ",18-LEN(FIXED(F2630,2,TRUE)))&amp;FIXED(F2630,2,TRUE)</f>
        <v/>
      </c>
      <c r="AH2630" s="10">
        <f>LEN(AC2630)+LEN(AG2630)</f>
        <v/>
      </c>
      <c r="AI2630" s="10">
        <f>LEN(L2630)</f>
        <v/>
      </c>
    </row>
    <row r="2631">
      <c r="J2631" s="12">
        <f>IF(F2631&lt;&gt;0,"LANÇAR","")</f>
        <v/>
      </c>
      <c r="L2631" s="13">
        <f>N2631&amp;O2631&amp;P2631&amp;Q2631&amp;R2631&amp;S2631&amp;T2631&amp;U2631&amp;V2631&amp;W2631&amp;X2631&amp;Y2631&amp;Z2631&amp;AA2631&amp;AB2631&amp;AC2631&amp;AD2631&amp;AE2631&amp;AF2631&amp;AG2631</f>
        <v/>
      </c>
      <c r="N2631" s="10">
        <f>TEXT($B$6,"00")</f>
        <v/>
      </c>
      <c r="O2631" s="10">
        <f>REPT(" ",8)</f>
        <v/>
      </c>
      <c r="P2631" s="10">
        <f>RIGHT($B$4,2)</f>
        <v/>
      </c>
      <c r="Q2631" s="10">
        <f>RIGHT($B$5,3)</f>
        <v/>
      </c>
      <c r="R2631" s="10">
        <f>IF(A2631="D",LEFT(UPPER(B2631)&amp;REPT(" ",20),20),REPT(" ",20))</f>
        <v/>
      </c>
      <c r="S2631" s="10">
        <f>IF(A2631="D",LEFT(UPPER(C2631)&amp;REPT(" ",10),10)," ")</f>
        <v/>
      </c>
      <c r="T2631" s="10">
        <f>IF(A2631="D",LEFT(UPPER(D2631)&amp;REPT(" ",2),2)," ")</f>
        <v/>
      </c>
      <c r="U2631" s="10">
        <f>IF(A2631="D",LEFT(UPPER(E2631)&amp;REPT(" ",15),15)," ")</f>
        <v/>
      </c>
      <c r="V2631" s="10">
        <f>REPT(" ",24)</f>
        <v/>
      </c>
      <c r="W2631" s="10">
        <f>IF(A2631="c",LEFT(UPPER(B2631)&amp;REPT(" ",20),20),REPT(" ",20))</f>
        <v/>
      </c>
      <c r="X2631" s="10">
        <f>IF(A2631="C",LEFT(UPPER(C2631)&amp;REPT(" ",10),10)," ")</f>
        <v/>
      </c>
      <c r="Y2631" s="10">
        <f>IF(A2631="C",LEFT(UPPER(D2631)&amp;REPT(" ",2),2)," ")</f>
        <v/>
      </c>
      <c r="Z2631" s="10">
        <f>IF(A2631="C",LEFT(UPPER(E2631)&amp;REPT(" ",15),15)," ")</f>
        <v/>
      </c>
      <c r="AA2631" s="10">
        <f>REPT(" ",8)</f>
        <v/>
      </c>
      <c r="AB2631" s="10">
        <f>REPT(" ",4)</f>
        <v/>
      </c>
      <c r="AC2631" s="10">
        <f>LEFT(UPPER(H2631)&amp;REPT(" ",250),250)</f>
        <v/>
      </c>
      <c r="AD2631" s="10">
        <f>TEXT($G$2,"dd/mm/aaaa")</f>
        <v/>
      </c>
      <c r="AE2631" s="10">
        <f>REPT(" ",10)</f>
        <v/>
      </c>
      <c r="AF2631" s="10">
        <f>REPT(" ",20)</f>
        <v/>
      </c>
      <c r="AG2631" s="54">
        <f>REPT(" ",18-LEN(FIXED(F2631,2,TRUE)))&amp;FIXED(F2631,2,TRUE)</f>
        <v/>
      </c>
      <c r="AH2631" s="10">
        <f>LEN(AC2631)+LEN(AG2631)</f>
        <v/>
      </c>
      <c r="AI2631" s="10">
        <f>LEN(L2631)</f>
        <v/>
      </c>
    </row>
    <row r="2632">
      <c r="J2632" s="12">
        <f>IF(F2632&lt;&gt;0,"LANÇAR","")</f>
        <v/>
      </c>
      <c r="L2632" s="13">
        <f>N2632&amp;O2632&amp;P2632&amp;Q2632&amp;R2632&amp;S2632&amp;T2632&amp;U2632&amp;V2632&amp;W2632&amp;X2632&amp;Y2632&amp;Z2632&amp;AA2632&amp;AB2632&amp;AC2632&amp;AD2632&amp;AE2632&amp;AF2632&amp;AG2632</f>
        <v/>
      </c>
      <c r="N2632" s="10">
        <f>TEXT($B$6,"00")</f>
        <v/>
      </c>
      <c r="O2632" s="10">
        <f>REPT(" ",8)</f>
        <v/>
      </c>
      <c r="P2632" s="10">
        <f>RIGHT($B$4,2)</f>
        <v/>
      </c>
      <c r="Q2632" s="10">
        <f>RIGHT($B$5,3)</f>
        <v/>
      </c>
      <c r="R2632" s="10">
        <f>IF(A2632="D",LEFT(UPPER(B2632)&amp;REPT(" ",20),20),REPT(" ",20))</f>
        <v/>
      </c>
      <c r="S2632" s="10">
        <f>IF(A2632="D",LEFT(UPPER(C2632)&amp;REPT(" ",10),10)," ")</f>
        <v/>
      </c>
      <c r="T2632" s="10">
        <f>IF(A2632="D",LEFT(UPPER(D2632)&amp;REPT(" ",2),2)," ")</f>
        <v/>
      </c>
      <c r="U2632" s="10">
        <f>IF(A2632="D",LEFT(UPPER(E2632)&amp;REPT(" ",15),15)," ")</f>
        <v/>
      </c>
      <c r="V2632" s="10">
        <f>REPT(" ",24)</f>
        <v/>
      </c>
      <c r="W2632" s="10">
        <f>IF(A2632="c",LEFT(UPPER(B2632)&amp;REPT(" ",20),20),REPT(" ",20))</f>
        <v/>
      </c>
      <c r="X2632" s="10">
        <f>IF(A2632="C",LEFT(UPPER(C2632)&amp;REPT(" ",10),10)," ")</f>
        <v/>
      </c>
      <c r="Y2632" s="10">
        <f>IF(A2632="C",LEFT(UPPER(D2632)&amp;REPT(" ",2),2)," ")</f>
        <v/>
      </c>
      <c r="Z2632" s="10">
        <f>IF(A2632="C",LEFT(UPPER(E2632)&amp;REPT(" ",15),15)," ")</f>
        <v/>
      </c>
      <c r="AA2632" s="10">
        <f>REPT(" ",8)</f>
        <v/>
      </c>
      <c r="AB2632" s="10">
        <f>REPT(" ",4)</f>
        <v/>
      </c>
      <c r="AC2632" s="10">
        <f>LEFT(UPPER(H2632)&amp;REPT(" ",250),250)</f>
        <v/>
      </c>
      <c r="AD2632" s="10">
        <f>TEXT($G$2,"dd/mm/aaaa")</f>
        <v/>
      </c>
      <c r="AE2632" s="10">
        <f>REPT(" ",10)</f>
        <v/>
      </c>
      <c r="AF2632" s="10">
        <f>REPT(" ",20)</f>
        <v/>
      </c>
      <c r="AG2632" s="54">
        <f>REPT(" ",18-LEN(FIXED(F2632,2,TRUE)))&amp;FIXED(F2632,2,TRUE)</f>
        <v/>
      </c>
      <c r="AH2632" s="10">
        <f>LEN(AC2632)+LEN(AG2632)</f>
        <v/>
      </c>
      <c r="AI2632" s="10">
        <f>LEN(L2632)</f>
        <v/>
      </c>
    </row>
    <row r="2633">
      <c r="J2633" s="12">
        <f>IF(F2633&lt;&gt;0,"LANÇAR","")</f>
        <v/>
      </c>
      <c r="L2633" s="13">
        <f>N2633&amp;O2633&amp;P2633&amp;Q2633&amp;R2633&amp;S2633&amp;T2633&amp;U2633&amp;V2633&amp;W2633&amp;X2633&amp;Y2633&amp;Z2633&amp;AA2633&amp;AB2633&amp;AC2633&amp;AD2633&amp;AE2633&amp;AF2633&amp;AG2633</f>
        <v/>
      </c>
      <c r="N2633" s="10">
        <f>TEXT($B$6,"00")</f>
        <v/>
      </c>
      <c r="O2633" s="10">
        <f>REPT(" ",8)</f>
        <v/>
      </c>
      <c r="P2633" s="10">
        <f>RIGHT($B$4,2)</f>
        <v/>
      </c>
      <c r="Q2633" s="10">
        <f>RIGHT($B$5,3)</f>
        <v/>
      </c>
      <c r="R2633" s="10">
        <f>IF(A2633="D",LEFT(UPPER(B2633)&amp;REPT(" ",20),20),REPT(" ",20))</f>
        <v/>
      </c>
      <c r="S2633" s="10">
        <f>IF(A2633="D",LEFT(UPPER(C2633)&amp;REPT(" ",10),10)," ")</f>
        <v/>
      </c>
      <c r="T2633" s="10">
        <f>IF(A2633="D",LEFT(UPPER(D2633)&amp;REPT(" ",2),2)," ")</f>
        <v/>
      </c>
      <c r="U2633" s="10">
        <f>IF(A2633="D",LEFT(UPPER(E2633)&amp;REPT(" ",15),15)," ")</f>
        <v/>
      </c>
      <c r="V2633" s="10">
        <f>REPT(" ",24)</f>
        <v/>
      </c>
      <c r="W2633" s="10">
        <f>IF(A2633="c",LEFT(UPPER(B2633)&amp;REPT(" ",20),20),REPT(" ",20))</f>
        <v/>
      </c>
      <c r="X2633" s="10">
        <f>IF(A2633="C",LEFT(UPPER(C2633)&amp;REPT(" ",10),10)," ")</f>
        <v/>
      </c>
      <c r="Y2633" s="10">
        <f>IF(A2633="C",LEFT(UPPER(D2633)&amp;REPT(" ",2),2)," ")</f>
        <v/>
      </c>
      <c r="Z2633" s="10">
        <f>IF(A2633="C",LEFT(UPPER(E2633)&amp;REPT(" ",15),15)," ")</f>
        <v/>
      </c>
      <c r="AA2633" s="10">
        <f>REPT(" ",8)</f>
        <v/>
      </c>
      <c r="AB2633" s="10">
        <f>REPT(" ",4)</f>
        <v/>
      </c>
      <c r="AC2633" s="10">
        <f>LEFT(UPPER(H2633)&amp;REPT(" ",250),250)</f>
        <v/>
      </c>
      <c r="AD2633" s="10">
        <f>TEXT($G$2,"dd/mm/aaaa")</f>
        <v/>
      </c>
      <c r="AE2633" s="10">
        <f>REPT(" ",10)</f>
        <v/>
      </c>
      <c r="AF2633" s="10">
        <f>REPT(" ",20)</f>
        <v/>
      </c>
      <c r="AG2633" s="54">
        <f>REPT(" ",18-LEN(FIXED(F2633,2,TRUE)))&amp;FIXED(F2633,2,TRUE)</f>
        <v/>
      </c>
      <c r="AH2633" s="10">
        <f>LEN(AC2633)+LEN(AG2633)</f>
        <v/>
      </c>
      <c r="AI2633" s="10">
        <f>LEN(L2633)</f>
        <v/>
      </c>
    </row>
    <row r="2634">
      <c r="J2634" s="12">
        <f>IF(F2634&lt;&gt;0,"LANÇAR","")</f>
        <v/>
      </c>
      <c r="L2634" s="13">
        <f>N2634&amp;O2634&amp;P2634&amp;Q2634&amp;R2634&amp;S2634&amp;T2634&amp;U2634&amp;V2634&amp;W2634&amp;X2634&amp;Y2634&amp;Z2634&amp;AA2634&amp;AB2634&amp;AC2634&amp;AD2634&amp;AE2634&amp;AF2634&amp;AG2634</f>
        <v/>
      </c>
      <c r="N2634" s="10">
        <f>TEXT($B$6,"00")</f>
        <v/>
      </c>
      <c r="O2634" s="10">
        <f>REPT(" ",8)</f>
        <v/>
      </c>
      <c r="P2634" s="10">
        <f>RIGHT($B$4,2)</f>
        <v/>
      </c>
      <c r="Q2634" s="10">
        <f>RIGHT($B$5,3)</f>
        <v/>
      </c>
      <c r="R2634" s="10">
        <f>IF(A2634="D",LEFT(UPPER(B2634)&amp;REPT(" ",20),20),REPT(" ",20))</f>
        <v/>
      </c>
      <c r="S2634" s="10">
        <f>IF(A2634="D",LEFT(UPPER(C2634)&amp;REPT(" ",10),10)," ")</f>
        <v/>
      </c>
      <c r="T2634" s="10">
        <f>IF(A2634="D",LEFT(UPPER(D2634)&amp;REPT(" ",2),2)," ")</f>
        <v/>
      </c>
      <c r="U2634" s="10">
        <f>IF(A2634="D",LEFT(UPPER(E2634)&amp;REPT(" ",15),15)," ")</f>
        <v/>
      </c>
      <c r="V2634" s="10">
        <f>REPT(" ",24)</f>
        <v/>
      </c>
      <c r="W2634" s="10">
        <f>IF(A2634="c",LEFT(UPPER(B2634)&amp;REPT(" ",20),20),REPT(" ",20))</f>
        <v/>
      </c>
      <c r="X2634" s="10">
        <f>IF(A2634="C",LEFT(UPPER(C2634)&amp;REPT(" ",10),10)," ")</f>
        <v/>
      </c>
      <c r="Y2634" s="10">
        <f>IF(A2634="C",LEFT(UPPER(D2634)&amp;REPT(" ",2),2)," ")</f>
        <v/>
      </c>
      <c r="Z2634" s="10">
        <f>IF(A2634="C",LEFT(UPPER(E2634)&amp;REPT(" ",15),15)," ")</f>
        <v/>
      </c>
      <c r="AA2634" s="10">
        <f>REPT(" ",8)</f>
        <v/>
      </c>
      <c r="AB2634" s="10">
        <f>REPT(" ",4)</f>
        <v/>
      </c>
      <c r="AC2634" s="10">
        <f>LEFT(UPPER(H2634)&amp;REPT(" ",250),250)</f>
        <v/>
      </c>
      <c r="AD2634" s="10">
        <f>TEXT($G$2,"dd/mm/aaaa")</f>
        <v/>
      </c>
      <c r="AE2634" s="10">
        <f>REPT(" ",10)</f>
        <v/>
      </c>
      <c r="AF2634" s="10">
        <f>REPT(" ",20)</f>
        <v/>
      </c>
      <c r="AG2634" s="54">
        <f>REPT(" ",18-LEN(FIXED(F2634,2,TRUE)))&amp;FIXED(F2634,2,TRUE)</f>
        <v/>
      </c>
      <c r="AH2634" s="10">
        <f>LEN(AC2634)+LEN(AG2634)</f>
        <v/>
      </c>
      <c r="AI2634" s="10">
        <f>LEN(L2634)</f>
        <v/>
      </c>
    </row>
    <row r="2635">
      <c r="J2635" s="12">
        <f>IF(F2635&lt;&gt;0,"LANÇAR","")</f>
        <v/>
      </c>
      <c r="L2635" s="13">
        <f>N2635&amp;O2635&amp;P2635&amp;Q2635&amp;R2635&amp;S2635&amp;T2635&amp;U2635&amp;V2635&amp;W2635&amp;X2635&amp;Y2635&amp;Z2635&amp;AA2635&amp;AB2635&amp;AC2635&amp;AD2635&amp;AE2635&amp;AF2635&amp;AG2635</f>
        <v/>
      </c>
      <c r="N2635" s="10">
        <f>TEXT($B$6,"00")</f>
        <v/>
      </c>
      <c r="O2635" s="10">
        <f>REPT(" ",8)</f>
        <v/>
      </c>
      <c r="P2635" s="10">
        <f>RIGHT($B$4,2)</f>
        <v/>
      </c>
      <c r="Q2635" s="10">
        <f>RIGHT($B$5,3)</f>
        <v/>
      </c>
      <c r="R2635" s="10">
        <f>IF(A2635="D",LEFT(UPPER(B2635)&amp;REPT(" ",20),20),REPT(" ",20))</f>
        <v/>
      </c>
      <c r="S2635" s="10">
        <f>IF(A2635="D",LEFT(UPPER(C2635)&amp;REPT(" ",10),10)," ")</f>
        <v/>
      </c>
      <c r="T2635" s="10">
        <f>IF(A2635="D",LEFT(UPPER(D2635)&amp;REPT(" ",2),2)," ")</f>
        <v/>
      </c>
      <c r="U2635" s="10">
        <f>IF(A2635="D",LEFT(UPPER(E2635)&amp;REPT(" ",15),15)," ")</f>
        <v/>
      </c>
      <c r="V2635" s="10">
        <f>REPT(" ",24)</f>
        <v/>
      </c>
      <c r="W2635" s="10">
        <f>IF(A2635="c",LEFT(UPPER(B2635)&amp;REPT(" ",20),20),REPT(" ",20))</f>
        <v/>
      </c>
      <c r="X2635" s="10">
        <f>IF(A2635="C",LEFT(UPPER(C2635)&amp;REPT(" ",10),10)," ")</f>
        <v/>
      </c>
      <c r="Y2635" s="10">
        <f>IF(A2635="C",LEFT(UPPER(D2635)&amp;REPT(" ",2),2)," ")</f>
        <v/>
      </c>
      <c r="Z2635" s="10">
        <f>IF(A2635="C",LEFT(UPPER(E2635)&amp;REPT(" ",15),15)," ")</f>
        <v/>
      </c>
      <c r="AA2635" s="10">
        <f>REPT(" ",8)</f>
        <v/>
      </c>
      <c r="AB2635" s="10">
        <f>REPT(" ",4)</f>
        <v/>
      </c>
      <c r="AC2635" s="10">
        <f>LEFT(UPPER(H2635)&amp;REPT(" ",250),250)</f>
        <v/>
      </c>
      <c r="AD2635" s="10">
        <f>TEXT($G$2,"dd/mm/aaaa")</f>
        <v/>
      </c>
      <c r="AE2635" s="10">
        <f>REPT(" ",10)</f>
        <v/>
      </c>
      <c r="AF2635" s="10">
        <f>REPT(" ",20)</f>
        <v/>
      </c>
      <c r="AG2635" s="54">
        <f>REPT(" ",18-LEN(FIXED(F2635,2,TRUE)))&amp;FIXED(F2635,2,TRUE)</f>
        <v/>
      </c>
      <c r="AH2635" s="10">
        <f>LEN(AC2635)+LEN(AG2635)</f>
        <v/>
      </c>
      <c r="AI2635" s="10">
        <f>LEN(L2635)</f>
        <v/>
      </c>
    </row>
    <row r="2636">
      <c r="J2636" s="12">
        <f>IF(F2636&lt;&gt;0,"LANÇAR","")</f>
        <v/>
      </c>
      <c r="L2636" s="13">
        <f>N2636&amp;O2636&amp;P2636&amp;Q2636&amp;R2636&amp;S2636&amp;T2636&amp;U2636&amp;V2636&amp;W2636&amp;X2636&amp;Y2636&amp;Z2636&amp;AA2636&amp;AB2636&amp;AC2636&amp;AD2636&amp;AE2636&amp;AF2636&amp;AG2636</f>
        <v/>
      </c>
      <c r="N2636" s="10">
        <f>TEXT($B$6,"00")</f>
        <v/>
      </c>
      <c r="O2636" s="10">
        <f>REPT(" ",8)</f>
        <v/>
      </c>
      <c r="P2636" s="10">
        <f>RIGHT($B$4,2)</f>
        <v/>
      </c>
      <c r="Q2636" s="10">
        <f>RIGHT($B$5,3)</f>
        <v/>
      </c>
      <c r="R2636" s="10">
        <f>IF(A2636="D",LEFT(UPPER(B2636)&amp;REPT(" ",20),20),REPT(" ",20))</f>
        <v/>
      </c>
      <c r="S2636" s="10">
        <f>IF(A2636="D",LEFT(UPPER(C2636)&amp;REPT(" ",10),10)," ")</f>
        <v/>
      </c>
      <c r="T2636" s="10">
        <f>IF(A2636="D",LEFT(UPPER(D2636)&amp;REPT(" ",2),2)," ")</f>
        <v/>
      </c>
      <c r="U2636" s="10">
        <f>IF(A2636="D",LEFT(UPPER(E2636)&amp;REPT(" ",15),15)," ")</f>
        <v/>
      </c>
      <c r="V2636" s="10">
        <f>REPT(" ",24)</f>
        <v/>
      </c>
      <c r="W2636" s="10">
        <f>IF(A2636="c",LEFT(UPPER(B2636)&amp;REPT(" ",20),20),REPT(" ",20))</f>
        <v/>
      </c>
      <c r="X2636" s="10">
        <f>IF(A2636="C",LEFT(UPPER(C2636)&amp;REPT(" ",10),10)," ")</f>
        <v/>
      </c>
      <c r="Y2636" s="10">
        <f>IF(A2636="C",LEFT(UPPER(D2636)&amp;REPT(" ",2),2)," ")</f>
        <v/>
      </c>
      <c r="Z2636" s="10">
        <f>IF(A2636="C",LEFT(UPPER(E2636)&amp;REPT(" ",15),15)," ")</f>
        <v/>
      </c>
      <c r="AA2636" s="10">
        <f>REPT(" ",8)</f>
        <v/>
      </c>
      <c r="AB2636" s="10">
        <f>REPT(" ",4)</f>
        <v/>
      </c>
      <c r="AC2636" s="10">
        <f>LEFT(UPPER(H2636)&amp;REPT(" ",250),250)</f>
        <v/>
      </c>
      <c r="AD2636" s="10">
        <f>TEXT($G$2,"dd/mm/aaaa")</f>
        <v/>
      </c>
      <c r="AE2636" s="10">
        <f>REPT(" ",10)</f>
        <v/>
      </c>
      <c r="AF2636" s="10">
        <f>REPT(" ",20)</f>
        <v/>
      </c>
      <c r="AG2636" s="54">
        <f>REPT(" ",18-LEN(FIXED(F2636,2,TRUE)))&amp;FIXED(F2636,2,TRUE)</f>
        <v/>
      </c>
      <c r="AH2636" s="10">
        <f>LEN(AC2636)+LEN(AG2636)</f>
        <v/>
      </c>
      <c r="AI2636" s="10">
        <f>LEN(L2636)</f>
        <v/>
      </c>
    </row>
    <row r="2637">
      <c r="J2637" s="12">
        <f>IF(F2637&lt;&gt;0,"LANÇAR","")</f>
        <v/>
      </c>
      <c r="L2637" s="13">
        <f>N2637&amp;O2637&amp;P2637&amp;Q2637&amp;R2637&amp;S2637&amp;T2637&amp;U2637&amp;V2637&amp;W2637&amp;X2637&amp;Y2637&amp;Z2637&amp;AA2637&amp;AB2637&amp;AC2637&amp;AD2637&amp;AE2637&amp;AF2637&amp;AG2637</f>
        <v/>
      </c>
      <c r="N2637" s="10">
        <f>TEXT($B$6,"00")</f>
        <v/>
      </c>
      <c r="O2637" s="10">
        <f>REPT(" ",8)</f>
        <v/>
      </c>
      <c r="P2637" s="10">
        <f>RIGHT($B$4,2)</f>
        <v/>
      </c>
      <c r="Q2637" s="10">
        <f>RIGHT($B$5,3)</f>
        <v/>
      </c>
      <c r="R2637" s="10">
        <f>IF(A2637="D",LEFT(UPPER(B2637)&amp;REPT(" ",20),20),REPT(" ",20))</f>
        <v/>
      </c>
      <c r="S2637" s="10">
        <f>IF(A2637="D",LEFT(UPPER(C2637)&amp;REPT(" ",10),10)," ")</f>
        <v/>
      </c>
      <c r="T2637" s="10">
        <f>IF(A2637="D",LEFT(UPPER(D2637)&amp;REPT(" ",2),2)," ")</f>
        <v/>
      </c>
      <c r="U2637" s="10">
        <f>IF(A2637="D",LEFT(UPPER(E2637)&amp;REPT(" ",15),15)," ")</f>
        <v/>
      </c>
      <c r="V2637" s="10">
        <f>REPT(" ",24)</f>
        <v/>
      </c>
      <c r="W2637" s="10">
        <f>IF(A2637="c",LEFT(UPPER(B2637)&amp;REPT(" ",20),20),REPT(" ",20))</f>
        <v/>
      </c>
      <c r="X2637" s="10">
        <f>IF(A2637="C",LEFT(UPPER(C2637)&amp;REPT(" ",10),10)," ")</f>
        <v/>
      </c>
      <c r="Y2637" s="10">
        <f>IF(A2637="C",LEFT(UPPER(D2637)&amp;REPT(" ",2),2)," ")</f>
        <v/>
      </c>
      <c r="Z2637" s="10">
        <f>IF(A2637="C",LEFT(UPPER(E2637)&amp;REPT(" ",15),15)," ")</f>
        <v/>
      </c>
      <c r="AA2637" s="10">
        <f>REPT(" ",8)</f>
        <v/>
      </c>
      <c r="AB2637" s="10">
        <f>REPT(" ",4)</f>
        <v/>
      </c>
      <c r="AC2637" s="10">
        <f>LEFT(UPPER(H2637)&amp;REPT(" ",250),250)</f>
        <v/>
      </c>
      <c r="AD2637" s="10">
        <f>TEXT($G$2,"dd/mm/aaaa")</f>
        <v/>
      </c>
      <c r="AE2637" s="10">
        <f>REPT(" ",10)</f>
        <v/>
      </c>
      <c r="AF2637" s="10">
        <f>REPT(" ",20)</f>
        <v/>
      </c>
      <c r="AG2637" s="54">
        <f>REPT(" ",18-LEN(FIXED(F2637,2,TRUE)))&amp;FIXED(F2637,2,TRUE)</f>
        <v/>
      </c>
      <c r="AH2637" s="10">
        <f>LEN(AC2637)+LEN(AG2637)</f>
        <v/>
      </c>
      <c r="AI2637" s="10">
        <f>LEN(L2637)</f>
        <v/>
      </c>
    </row>
    <row r="2638">
      <c r="J2638" s="12">
        <f>IF(F2638&lt;&gt;0,"LANÇAR","")</f>
        <v/>
      </c>
      <c r="L2638" s="13">
        <f>N2638&amp;O2638&amp;P2638&amp;Q2638&amp;R2638&amp;S2638&amp;T2638&amp;U2638&amp;V2638&amp;W2638&amp;X2638&amp;Y2638&amp;Z2638&amp;AA2638&amp;AB2638&amp;AC2638&amp;AD2638&amp;AE2638&amp;AF2638&amp;AG2638</f>
        <v/>
      </c>
      <c r="N2638" s="10">
        <f>TEXT($B$6,"00")</f>
        <v/>
      </c>
      <c r="O2638" s="10">
        <f>REPT(" ",8)</f>
        <v/>
      </c>
      <c r="P2638" s="10">
        <f>RIGHT($B$4,2)</f>
        <v/>
      </c>
      <c r="Q2638" s="10">
        <f>RIGHT($B$5,3)</f>
        <v/>
      </c>
      <c r="R2638" s="10">
        <f>IF(A2638="D",LEFT(UPPER(B2638)&amp;REPT(" ",20),20),REPT(" ",20))</f>
        <v/>
      </c>
      <c r="S2638" s="10">
        <f>IF(A2638="D",LEFT(UPPER(C2638)&amp;REPT(" ",10),10)," ")</f>
        <v/>
      </c>
      <c r="T2638" s="10">
        <f>IF(A2638="D",LEFT(UPPER(D2638)&amp;REPT(" ",2),2)," ")</f>
        <v/>
      </c>
      <c r="U2638" s="10">
        <f>IF(A2638="D",LEFT(UPPER(E2638)&amp;REPT(" ",15),15)," ")</f>
        <v/>
      </c>
      <c r="V2638" s="10">
        <f>REPT(" ",24)</f>
        <v/>
      </c>
      <c r="W2638" s="10">
        <f>IF(A2638="c",LEFT(UPPER(B2638)&amp;REPT(" ",20),20),REPT(" ",20))</f>
        <v/>
      </c>
      <c r="X2638" s="10">
        <f>IF(A2638="C",LEFT(UPPER(C2638)&amp;REPT(" ",10),10)," ")</f>
        <v/>
      </c>
      <c r="Y2638" s="10">
        <f>IF(A2638="C",LEFT(UPPER(D2638)&amp;REPT(" ",2),2)," ")</f>
        <v/>
      </c>
      <c r="Z2638" s="10">
        <f>IF(A2638="C",LEFT(UPPER(E2638)&amp;REPT(" ",15),15)," ")</f>
        <v/>
      </c>
      <c r="AA2638" s="10">
        <f>REPT(" ",8)</f>
        <v/>
      </c>
      <c r="AB2638" s="10">
        <f>REPT(" ",4)</f>
        <v/>
      </c>
      <c r="AC2638" s="10">
        <f>LEFT(UPPER(H2638)&amp;REPT(" ",250),250)</f>
        <v/>
      </c>
      <c r="AD2638" s="10">
        <f>TEXT($G$2,"dd/mm/aaaa")</f>
        <v/>
      </c>
      <c r="AE2638" s="10">
        <f>REPT(" ",10)</f>
        <v/>
      </c>
      <c r="AF2638" s="10">
        <f>REPT(" ",20)</f>
        <v/>
      </c>
      <c r="AG2638" s="54">
        <f>REPT(" ",18-LEN(FIXED(F2638,2,TRUE)))&amp;FIXED(F2638,2,TRUE)</f>
        <v/>
      </c>
      <c r="AH2638" s="10">
        <f>LEN(AC2638)+LEN(AG2638)</f>
        <v/>
      </c>
      <c r="AI2638" s="10">
        <f>LEN(L2638)</f>
        <v/>
      </c>
    </row>
    <row r="2639">
      <c r="J2639" s="12">
        <f>IF(F2639&lt;&gt;0,"LANÇAR","")</f>
        <v/>
      </c>
      <c r="L2639" s="13">
        <f>N2639&amp;O2639&amp;P2639&amp;Q2639&amp;R2639&amp;S2639&amp;T2639&amp;U2639&amp;V2639&amp;W2639&amp;X2639&amp;Y2639&amp;Z2639&amp;AA2639&amp;AB2639&amp;AC2639&amp;AD2639&amp;AE2639&amp;AF2639&amp;AG2639</f>
        <v/>
      </c>
      <c r="N2639" s="10">
        <f>TEXT($B$6,"00")</f>
        <v/>
      </c>
      <c r="O2639" s="10">
        <f>REPT(" ",8)</f>
        <v/>
      </c>
      <c r="P2639" s="10">
        <f>RIGHT($B$4,2)</f>
        <v/>
      </c>
      <c r="Q2639" s="10">
        <f>RIGHT($B$5,3)</f>
        <v/>
      </c>
      <c r="R2639" s="10">
        <f>IF(A2639="D",LEFT(UPPER(B2639)&amp;REPT(" ",20),20),REPT(" ",20))</f>
        <v/>
      </c>
      <c r="S2639" s="10">
        <f>IF(A2639="D",LEFT(UPPER(C2639)&amp;REPT(" ",10),10)," ")</f>
        <v/>
      </c>
      <c r="T2639" s="10">
        <f>IF(A2639="D",LEFT(UPPER(D2639)&amp;REPT(" ",2),2)," ")</f>
        <v/>
      </c>
      <c r="U2639" s="10">
        <f>IF(A2639="D",LEFT(UPPER(E2639)&amp;REPT(" ",15),15)," ")</f>
        <v/>
      </c>
      <c r="V2639" s="10">
        <f>REPT(" ",24)</f>
        <v/>
      </c>
      <c r="W2639" s="10">
        <f>IF(A2639="c",LEFT(UPPER(B2639)&amp;REPT(" ",20),20),REPT(" ",20))</f>
        <v/>
      </c>
      <c r="X2639" s="10">
        <f>IF(A2639="C",LEFT(UPPER(C2639)&amp;REPT(" ",10),10)," ")</f>
        <v/>
      </c>
      <c r="Y2639" s="10">
        <f>IF(A2639="C",LEFT(UPPER(D2639)&amp;REPT(" ",2),2)," ")</f>
        <v/>
      </c>
      <c r="Z2639" s="10">
        <f>IF(A2639="C",LEFT(UPPER(E2639)&amp;REPT(" ",15),15)," ")</f>
        <v/>
      </c>
      <c r="AA2639" s="10">
        <f>REPT(" ",8)</f>
        <v/>
      </c>
      <c r="AB2639" s="10">
        <f>REPT(" ",4)</f>
        <v/>
      </c>
      <c r="AC2639" s="10">
        <f>LEFT(UPPER(H2639)&amp;REPT(" ",250),250)</f>
        <v/>
      </c>
      <c r="AD2639" s="10">
        <f>TEXT($G$2,"dd/mm/aaaa")</f>
        <v/>
      </c>
      <c r="AE2639" s="10">
        <f>REPT(" ",10)</f>
        <v/>
      </c>
      <c r="AF2639" s="10">
        <f>REPT(" ",20)</f>
        <v/>
      </c>
      <c r="AG2639" s="54">
        <f>REPT(" ",18-LEN(FIXED(F2639,2,TRUE)))&amp;FIXED(F2639,2,TRUE)</f>
        <v/>
      </c>
      <c r="AH2639" s="10">
        <f>LEN(AC2639)+LEN(AG2639)</f>
        <v/>
      </c>
      <c r="AI2639" s="10">
        <f>LEN(L2639)</f>
        <v/>
      </c>
    </row>
    <row r="2640">
      <c r="J2640" s="12">
        <f>IF(F2640&lt;&gt;0,"LANÇAR","")</f>
        <v/>
      </c>
      <c r="L2640" s="13">
        <f>N2640&amp;O2640&amp;P2640&amp;Q2640&amp;R2640&amp;S2640&amp;T2640&amp;U2640&amp;V2640&amp;W2640&amp;X2640&amp;Y2640&amp;Z2640&amp;AA2640&amp;AB2640&amp;AC2640&amp;AD2640&amp;AE2640&amp;AF2640&amp;AG2640</f>
        <v/>
      </c>
      <c r="N2640" s="10">
        <f>TEXT($B$6,"00")</f>
        <v/>
      </c>
      <c r="O2640" s="10">
        <f>REPT(" ",8)</f>
        <v/>
      </c>
      <c r="P2640" s="10">
        <f>RIGHT($B$4,2)</f>
        <v/>
      </c>
      <c r="Q2640" s="10">
        <f>RIGHT($B$5,3)</f>
        <v/>
      </c>
      <c r="R2640" s="10">
        <f>IF(A2640="D",LEFT(UPPER(B2640)&amp;REPT(" ",20),20),REPT(" ",20))</f>
        <v/>
      </c>
      <c r="S2640" s="10">
        <f>IF(A2640="D",LEFT(UPPER(C2640)&amp;REPT(" ",10),10)," ")</f>
        <v/>
      </c>
      <c r="T2640" s="10">
        <f>IF(A2640="D",LEFT(UPPER(D2640)&amp;REPT(" ",2),2)," ")</f>
        <v/>
      </c>
      <c r="U2640" s="10">
        <f>IF(A2640="D",LEFT(UPPER(E2640)&amp;REPT(" ",15),15)," ")</f>
        <v/>
      </c>
      <c r="V2640" s="10">
        <f>REPT(" ",24)</f>
        <v/>
      </c>
      <c r="W2640" s="10">
        <f>IF(A2640="c",LEFT(UPPER(B2640)&amp;REPT(" ",20),20),REPT(" ",20))</f>
        <v/>
      </c>
      <c r="X2640" s="10">
        <f>IF(A2640="C",LEFT(UPPER(C2640)&amp;REPT(" ",10),10)," ")</f>
        <v/>
      </c>
      <c r="Y2640" s="10">
        <f>IF(A2640="C",LEFT(UPPER(D2640)&amp;REPT(" ",2),2)," ")</f>
        <v/>
      </c>
      <c r="Z2640" s="10">
        <f>IF(A2640="C",LEFT(UPPER(E2640)&amp;REPT(" ",15),15)," ")</f>
        <v/>
      </c>
      <c r="AA2640" s="10">
        <f>REPT(" ",8)</f>
        <v/>
      </c>
      <c r="AB2640" s="10">
        <f>REPT(" ",4)</f>
        <v/>
      </c>
      <c r="AC2640" s="10">
        <f>LEFT(UPPER(H2640)&amp;REPT(" ",250),250)</f>
        <v/>
      </c>
      <c r="AD2640" s="10">
        <f>TEXT($G$2,"dd/mm/aaaa")</f>
        <v/>
      </c>
      <c r="AE2640" s="10">
        <f>REPT(" ",10)</f>
        <v/>
      </c>
      <c r="AF2640" s="10">
        <f>REPT(" ",20)</f>
        <v/>
      </c>
      <c r="AG2640" s="54">
        <f>REPT(" ",18-LEN(FIXED(F2640,2,TRUE)))&amp;FIXED(F2640,2,TRUE)</f>
        <v/>
      </c>
      <c r="AH2640" s="10">
        <f>LEN(AC2640)+LEN(AG2640)</f>
        <v/>
      </c>
      <c r="AI2640" s="10">
        <f>LEN(L2640)</f>
        <v/>
      </c>
    </row>
    <row r="2641">
      <c r="J2641" s="12">
        <f>IF(F2641&lt;&gt;0,"LANÇAR","")</f>
        <v/>
      </c>
      <c r="L2641" s="13">
        <f>N2641&amp;O2641&amp;P2641&amp;Q2641&amp;R2641&amp;S2641&amp;T2641&amp;U2641&amp;V2641&amp;W2641&amp;X2641&amp;Y2641&amp;Z2641&amp;AA2641&amp;AB2641&amp;AC2641&amp;AD2641&amp;AE2641&amp;AF2641&amp;AG2641</f>
        <v/>
      </c>
      <c r="N2641" s="10">
        <f>TEXT($B$6,"00")</f>
        <v/>
      </c>
      <c r="O2641" s="10">
        <f>REPT(" ",8)</f>
        <v/>
      </c>
      <c r="P2641" s="10">
        <f>RIGHT($B$4,2)</f>
        <v/>
      </c>
      <c r="Q2641" s="10">
        <f>RIGHT($B$5,3)</f>
        <v/>
      </c>
      <c r="R2641" s="10">
        <f>IF(A2641="D",LEFT(UPPER(B2641)&amp;REPT(" ",20),20),REPT(" ",20))</f>
        <v/>
      </c>
      <c r="S2641" s="10">
        <f>IF(A2641="D",LEFT(UPPER(C2641)&amp;REPT(" ",10),10)," ")</f>
        <v/>
      </c>
      <c r="T2641" s="10">
        <f>IF(A2641="D",LEFT(UPPER(D2641)&amp;REPT(" ",2),2)," ")</f>
        <v/>
      </c>
      <c r="U2641" s="10">
        <f>IF(A2641="D",LEFT(UPPER(E2641)&amp;REPT(" ",15),15)," ")</f>
        <v/>
      </c>
      <c r="V2641" s="10">
        <f>REPT(" ",24)</f>
        <v/>
      </c>
      <c r="W2641" s="10">
        <f>IF(A2641="c",LEFT(UPPER(B2641)&amp;REPT(" ",20),20),REPT(" ",20))</f>
        <v/>
      </c>
      <c r="X2641" s="10">
        <f>IF(A2641="C",LEFT(UPPER(C2641)&amp;REPT(" ",10),10)," ")</f>
        <v/>
      </c>
      <c r="Y2641" s="10">
        <f>IF(A2641="C",LEFT(UPPER(D2641)&amp;REPT(" ",2),2)," ")</f>
        <v/>
      </c>
      <c r="Z2641" s="10">
        <f>IF(A2641="C",LEFT(UPPER(E2641)&amp;REPT(" ",15),15)," ")</f>
        <v/>
      </c>
      <c r="AA2641" s="10">
        <f>REPT(" ",8)</f>
        <v/>
      </c>
      <c r="AB2641" s="10">
        <f>REPT(" ",4)</f>
        <v/>
      </c>
      <c r="AC2641" s="10">
        <f>LEFT(UPPER(H2641)&amp;REPT(" ",250),250)</f>
        <v/>
      </c>
      <c r="AD2641" s="10">
        <f>TEXT($G$2,"dd/mm/aaaa")</f>
        <v/>
      </c>
      <c r="AE2641" s="10">
        <f>REPT(" ",10)</f>
        <v/>
      </c>
      <c r="AF2641" s="10">
        <f>REPT(" ",20)</f>
        <v/>
      </c>
      <c r="AG2641" s="54">
        <f>REPT(" ",18-LEN(FIXED(F2641,2,TRUE)))&amp;FIXED(F2641,2,TRUE)</f>
        <v/>
      </c>
      <c r="AH2641" s="10">
        <f>LEN(AC2641)+LEN(AG2641)</f>
        <v/>
      </c>
      <c r="AI2641" s="10">
        <f>LEN(L2641)</f>
        <v/>
      </c>
    </row>
    <row r="2642">
      <c r="J2642" s="12">
        <f>IF(F2642&lt;&gt;0,"LANÇAR","")</f>
        <v/>
      </c>
      <c r="L2642" s="13">
        <f>N2642&amp;O2642&amp;P2642&amp;Q2642&amp;R2642&amp;S2642&amp;T2642&amp;U2642&amp;V2642&amp;W2642&amp;X2642&amp;Y2642&amp;Z2642&amp;AA2642&amp;AB2642&amp;AC2642&amp;AD2642&amp;AE2642&amp;AF2642&amp;AG2642</f>
        <v/>
      </c>
      <c r="N2642" s="10">
        <f>TEXT($B$6,"00")</f>
        <v/>
      </c>
      <c r="O2642" s="10">
        <f>REPT(" ",8)</f>
        <v/>
      </c>
      <c r="P2642" s="10">
        <f>RIGHT($B$4,2)</f>
        <v/>
      </c>
      <c r="Q2642" s="10">
        <f>RIGHT($B$5,3)</f>
        <v/>
      </c>
      <c r="R2642" s="10">
        <f>IF(A2642="D",LEFT(UPPER(B2642)&amp;REPT(" ",20),20),REPT(" ",20))</f>
        <v/>
      </c>
      <c r="S2642" s="10">
        <f>IF(A2642="D",LEFT(UPPER(C2642)&amp;REPT(" ",10),10)," ")</f>
        <v/>
      </c>
      <c r="T2642" s="10">
        <f>IF(A2642="D",LEFT(UPPER(D2642)&amp;REPT(" ",2),2)," ")</f>
        <v/>
      </c>
      <c r="U2642" s="10">
        <f>IF(A2642="D",LEFT(UPPER(E2642)&amp;REPT(" ",15),15)," ")</f>
        <v/>
      </c>
      <c r="V2642" s="10">
        <f>REPT(" ",24)</f>
        <v/>
      </c>
      <c r="W2642" s="10">
        <f>IF(A2642="c",LEFT(UPPER(B2642)&amp;REPT(" ",20),20),REPT(" ",20))</f>
        <v/>
      </c>
      <c r="X2642" s="10">
        <f>IF(A2642="C",LEFT(UPPER(C2642)&amp;REPT(" ",10),10)," ")</f>
        <v/>
      </c>
      <c r="Y2642" s="10">
        <f>IF(A2642="C",LEFT(UPPER(D2642)&amp;REPT(" ",2),2)," ")</f>
        <v/>
      </c>
      <c r="Z2642" s="10">
        <f>IF(A2642="C",LEFT(UPPER(E2642)&amp;REPT(" ",15),15)," ")</f>
        <v/>
      </c>
      <c r="AA2642" s="10">
        <f>REPT(" ",8)</f>
        <v/>
      </c>
      <c r="AB2642" s="10">
        <f>REPT(" ",4)</f>
        <v/>
      </c>
      <c r="AC2642" s="10">
        <f>LEFT(UPPER(H2642)&amp;REPT(" ",250),250)</f>
        <v/>
      </c>
      <c r="AD2642" s="10">
        <f>TEXT($G$2,"dd/mm/aaaa")</f>
        <v/>
      </c>
      <c r="AE2642" s="10">
        <f>REPT(" ",10)</f>
        <v/>
      </c>
      <c r="AF2642" s="10">
        <f>REPT(" ",20)</f>
        <v/>
      </c>
      <c r="AG2642" s="54">
        <f>REPT(" ",18-LEN(FIXED(F2642,2,TRUE)))&amp;FIXED(F2642,2,TRUE)</f>
        <v/>
      </c>
      <c r="AH2642" s="10">
        <f>LEN(AC2642)+LEN(AG2642)</f>
        <v/>
      </c>
      <c r="AI2642" s="10">
        <f>LEN(L2642)</f>
        <v/>
      </c>
    </row>
    <row r="2643">
      <c r="J2643" s="12">
        <f>IF(F2643&lt;&gt;0,"LANÇAR","")</f>
        <v/>
      </c>
      <c r="L2643" s="13">
        <f>N2643&amp;O2643&amp;P2643&amp;Q2643&amp;R2643&amp;S2643&amp;T2643&amp;U2643&amp;V2643&amp;W2643&amp;X2643&amp;Y2643&amp;Z2643&amp;AA2643&amp;AB2643&amp;AC2643&amp;AD2643&amp;AE2643&amp;AF2643&amp;AG2643</f>
        <v/>
      </c>
      <c r="N2643" s="10">
        <f>TEXT($B$6,"00")</f>
        <v/>
      </c>
      <c r="O2643" s="10">
        <f>REPT(" ",8)</f>
        <v/>
      </c>
      <c r="P2643" s="10">
        <f>RIGHT($B$4,2)</f>
        <v/>
      </c>
      <c r="Q2643" s="10">
        <f>RIGHT($B$5,3)</f>
        <v/>
      </c>
      <c r="R2643" s="10">
        <f>IF(A2643="D",LEFT(UPPER(B2643)&amp;REPT(" ",20),20),REPT(" ",20))</f>
        <v/>
      </c>
      <c r="S2643" s="10">
        <f>IF(A2643="D",LEFT(UPPER(C2643)&amp;REPT(" ",10),10)," ")</f>
        <v/>
      </c>
      <c r="T2643" s="10">
        <f>IF(A2643="D",LEFT(UPPER(D2643)&amp;REPT(" ",2),2)," ")</f>
        <v/>
      </c>
      <c r="U2643" s="10">
        <f>IF(A2643="D",LEFT(UPPER(E2643)&amp;REPT(" ",15),15)," ")</f>
        <v/>
      </c>
      <c r="V2643" s="10">
        <f>REPT(" ",24)</f>
        <v/>
      </c>
      <c r="W2643" s="10">
        <f>IF(A2643="c",LEFT(UPPER(B2643)&amp;REPT(" ",20),20),REPT(" ",20))</f>
        <v/>
      </c>
      <c r="X2643" s="10">
        <f>IF(A2643="C",LEFT(UPPER(C2643)&amp;REPT(" ",10),10)," ")</f>
        <v/>
      </c>
      <c r="Y2643" s="10">
        <f>IF(A2643="C",LEFT(UPPER(D2643)&amp;REPT(" ",2),2)," ")</f>
        <v/>
      </c>
      <c r="Z2643" s="10">
        <f>IF(A2643="C",LEFT(UPPER(E2643)&amp;REPT(" ",15),15)," ")</f>
        <v/>
      </c>
      <c r="AA2643" s="10">
        <f>REPT(" ",8)</f>
        <v/>
      </c>
      <c r="AB2643" s="10">
        <f>REPT(" ",4)</f>
        <v/>
      </c>
      <c r="AC2643" s="10">
        <f>LEFT(UPPER(H2643)&amp;REPT(" ",250),250)</f>
        <v/>
      </c>
      <c r="AD2643" s="10">
        <f>TEXT($G$2,"dd/mm/aaaa")</f>
        <v/>
      </c>
      <c r="AE2643" s="10">
        <f>REPT(" ",10)</f>
        <v/>
      </c>
      <c r="AF2643" s="10">
        <f>REPT(" ",20)</f>
        <v/>
      </c>
      <c r="AG2643" s="54">
        <f>REPT(" ",18-LEN(FIXED(F2643,2,TRUE)))&amp;FIXED(F2643,2,TRUE)</f>
        <v/>
      </c>
      <c r="AH2643" s="10">
        <f>LEN(AC2643)+LEN(AG2643)</f>
        <v/>
      </c>
      <c r="AI2643" s="10">
        <f>LEN(L2643)</f>
        <v/>
      </c>
    </row>
    <row r="2644">
      <c r="J2644" s="12">
        <f>IF(F2644&lt;&gt;0,"LANÇAR","")</f>
        <v/>
      </c>
      <c r="L2644" s="13">
        <f>N2644&amp;O2644&amp;P2644&amp;Q2644&amp;R2644&amp;S2644&amp;T2644&amp;U2644&amp;V2644&amp;W2644&amp;X2644&amp;Y2644&amp;Z2644&amp;AA2644&amp;AB2644&amp;AC2644&amp;AD2644&amp;AE2644&amp;AF2644&amp;AG2644</f>
        <v/>
      </c>
      <c r="N2644" s="10">
        <f>TEXT($B$6,"00")</f>
        <v/>
      </c>
      <c r="O2644" s="10">
        <f>REPT(" ",8)</f>
        <v/>
      </c>
      <c r="P2644" s="10">
        <f>RIGHT($B$4,2)</f>
        <v/>
      </c>
      <c r="Q2644" s="10">
        <f>RIGHT($B$5,3)</f>
        <v/>
      </c>
      <c r="R2644" s="10">
        <f>IF(A2644="D",LEFT(UPPER(B2644)&amp;REPT(" ",20),20),REPT(" ",20))</f>
        <v/>
      </c>
      <c r="S2644" s="10">
        <f>IF(A2644="D",LEFT(UPPER(C2644)&amp;REPT(" ",10),10)," ")</f>
        <v/>
      </c>
      <c r="T2644" s="10">
        <f>IF(A2644="D",LEFT(UPPER(D2644)&amp;REPT(" ",2),2)," ")</f>
        <v/>
      </c>
      <c r="U2644" s="10">
        <f>IF(A2644="D",LEFT(UPPER(E2644)&amp;REPT(" ",15),15)," ")</f>
        <v/>
      </c>
      <c r="V2644" s="10">
        <f>REPT(" ",24)</f>
        <v/>
      </c>
      <c r="W2644" s="10">
        <f>IF(A2644="c",LEFT(UPPER(B2644)&amp;REPT(" ",20),20),REPT(" ",20))</f>
        <v/>
      </c>
      <c r="X2644" s="10">
        <f>IF(A2644="C",LEFT(UPPER(C2644)&amp;REPT(" ",10),10)," ")</f>
        <v/>
      </c>
      <c r="Y2644" s="10">
        <f>IF(A2644="C",LEFT(UPPER(D2644)&amp;REPT(" ",2),2)," ")</f>
        <v/>
      </c>
      <c r="Z2644" s="10">
        <f>IF(A2644="C",LEFT(UPPER(E2644)&amp;REPT(" ",15),15)," ")</f>
        <v/>
      </c>
      <c r="AA2644" s="10">
        <f>REPT(" ",8)</f>
        <v/>
      </c>
      <c r="AB2644" s="10">
        <f>REPT(" ",4)</f>
        <v/>
      </c>
      <c r="AC2644" s="10">
        <f>LEFT(UPPER(H2644)&amp;REPT(" ",250),250)</f>
        <v/>
      </c>
      <c r="AD2644" s="10">
        <f>TEXT($G$2,"dd/mm/aaaa")</f>
        <v/>
      </c>
      <c r="AE2644" s="10">
        <f>REPT(" ",10)</f>
        <v/>
      </c>
      <c r="AF2644" s="10">
        <f>REPT(" ",20)</f>
        <v/>
      </c>
      <c r="AG2644" s="54">
        <f>REPT(" ",18-LEN(FIXED(F2644,2,TRUE)))&amp;FIXED(F2644,2,TRUE)</f>
        <v/>
      </c>
      <c r="AH2644" s="10">
        <f>LEN(AC2644)+LEN(AG2644)</f>
        <v/>
      </c>
      <c r="AI2644" s="10">
        <f>LEN(L2644)</f>
        <v/>
      </c>
    </row>
    <row r="2645">
      <c r="J2645" s="12">
        <f>IF(F2645&lt;&gt;0,"LANÇAR","")</f>
        <v/>
      </c>
      <c r="L2645" s="13">
        <f>N2645&amp;O2645&amp;P2645&amp;Q2645&amp;R2645&amp;S2645&amp;T2645&amp;U2645&amp;V2645&amp;W2645&amp;X2645&amp;Y2645&amp;Z2645&amp;AA2645&amp;AB2645&amp;AC2645&amp;AD2645&amp;AE2645&amp;AF2645&amp;AG2645</f>
        <v/>
      </c>
      <c r="N2645" s="10">
        <f>TEXT($B$6,"00")</f>
        <v/>
      </c>
      <c r="O2645" s="10">
        <f>REPT(" ",8)</f>
        <v/>
      </c>
      <c r="P2645" s="10">
        <f>RIGHT($B$4,2)</f>
        <v/>
      </c>
      <c r="Q2645" s="10">
        <f>RIGHT($B$5,3)</f>
        <v/>
      </c>
      <c r="R2645" s="10">
        <f>IF(A2645="D",LEFT(UPPER(B2645)&amp;REPT(" ",20),20),REPT(" ",20))</f>
        <v/>
      </c>
      <c r="S2645" s="10">
        <f>IF(A2645="D",LEFT(UPPER(C2645)&amp;REPT(" ",10),10)," ")</f>
        <v/>
      </c>
      <c r="T2645" s="10">
        <f>IF(A2645="D",LEFT(UPPER(D2645)&amp;REPT(" ",2),2)," ")</f>
        <v/>
      </c>
      <c r="U2645" s="10">
        <f>IF(A2645="D",LEFT(UPPER(E2645)&amp;REPT(" ",15),15)," ")</f>
        <v/>
      </c>
      <c r="V2645" s="10">
        <f>REPT(" ",24)</f>
        <v/>
      </c>
      <c r="W2645" s="10">
        <f>IF(A2645="c",LEFT(UPPER(B2645)&amp;REPT(" ",20),20),REPT(" ",20))</f>
        <v/>
      </c>
      <c r="X2645" s="10">
        <f>IF(A2645="C",LEFT(UPPER(C2645)&amp;REPT(" ",10),10)," ")</f>
        <v/>
      </c>
      <c r="Y2645" s="10">
        <f>IF(A2645="C",LEFT(UPPER(D2645)&amp;REPT(" ",2),2)," ")</f>
        <v/>
      </c>
      <c r="Z2645" s="10">
        <f>IF(A2645="C",LEFT(UPPER(E2645)&amp;REPT(" ",15),15)," ")</f>
        <v/>
      </c>
      <c r="AA2645" s="10">
        <f>REPT(" ",8)</f>
        <v/>
      </c>
      <c r="AB2645" s="10">
        <f>REPT(" ",4)</f>
        <v/>
      </c>
      <c r="AC2645" s="10">
        <f>LEFT(UPPER(H2645)&amp;REPT(" ",250),250)</f>
        <v/>
      </c>
      <c r="AD2645" s="10">
        <f>TEXT($G$2,"dd/mm/aaaa")</f>
        <v/>
      </c>
      <c r="AE2645" s="10">
        <f>REPT(" ",10)</f>
        <v/>
      </c>
      <c r="AF2645" s="10">
        <f>REPT(" ",20)</f>
        <v/>
      </c>
      <c r="AG2645" s="54">
        <f>REPT(" ",18-LEN(FIXED(F2645,2,TRUE)))&amp;FIXED(F2645,2,TRUE)</f>
        <v/>
      </c>
      <c r="AH2645" s="10">
        <f>LEN(AC2645)+LEN(AG2645)</f>
        <v/>
      </c>
      <c r="AI2645" s="10">
        <f>LEN(L2645)</f>
        <v/>
      </c>
    </row>
    <row r="2646">
      <c r="J2646" s="12">
        <f>IF(F2646&lt;&gt;0,"LANÇAR","")</f>
        <v/>
      </c>
      <c r="L2646" s="13">
        <f>N2646&amp;O2646&amp;P2646&amp;Q2646&amp;R2646&amp;S2646&amp;T2646&amp;U2646&amp;V2646&amp;W2646&amp;X2646&amp;Y2646&amp;Z2646&amp;AA2646&amp;AB2646&amp;AC2646&amp;AD2646&amp;AE2646&amp;AF2646&amp;AG2646</f>
        <v/>
      </c>
      <c r="N2646" s="10">
        <f>TEXT($B$6,"00")</f>
        <v/>
      </c>
      <c r="O2646" s="10">
        <f>REPT(" ",8)</f>
        <v/>
      </c>
      <c r="P2646" s="10">
        <f>RIGHT($B$4,2)</f>
        <v/>
      </c>
      <c r="Q2646" s="10">
        <f>RIGHT($B$5,3)</f>
        <v/>
      </c>
      <c r="R2646" s="10">
        <f>IF(A2646="D",LEFT(UPPER(B2646)&amp;REPT(" ",20),20),REPT(" ",20))</f>
        <v/>
      </c>
      <c r="S2646" s="10">
        <f>IF(A2646="D",LEFT(UPPER(C2646)&amp;REPT(" ",10),10)," ")</f>
        <v/>
      </c>
      <c r="T2646" s="10">
        <f>IF(A2646="D",LEFT(UPPER(D2646)&amp;REPT(" ",2),2)," ")</f>
        <v/>
      </c>
      <c r="U2646" s="10">
        <f>IF(A2646="D",LEFT(UPPER(E2646)&amp;REPT(" ",15),15)," ")</f>
        <v/>
      </c>
      <c r="V2646" s="10">
        <f>REPT(" ",24)</f>
        <v/>
      </c>
      <c r="W2646" s="10">
        <f>IF(A2646="c",LEFT(UPPER(B2646)&amp;REPT(" ",20),20),REPT(" ",20))</f>
        <v/>
      </c>
      <c r="X2646" s="10">
        <f>IF(A2646="C",LEFT(UPPER(C2646)&amp;REPT(" ",10),10)," ")</f>
        <v/>
      </c>
      <c r="Y2646" s="10">
        <f>IF(A2646="C",LEFT(UPPER(D2646)&amp;REPT(" ",2),2)," ")</f>
        <v/>
      </c>
      <c r="Z2646" s="10">
        <f>IF(A2646="C",LEFT(UPPER(E2646)&amp;REPT(" ",15),15)," ")</f>
        <v/>
      </c>
      <c r="AA2646" s="10">
        <f>REPT(" ",8)</f>
        <v/>
      </c>
      <c r="AB2646" s="10">
        <f>REPT(" ",4)</f>
        <v/>
      </c>
      <c r="AC2646" s="10">
        <f>LEFT(UPPER(H2646)&amp;REPT(" ",250),250)</f>
        <v/>
      </c>
      <c r="AD2646" s="10">
        <f>TEXT($G$2,"dd/mm/aaaa")</f>
        <v/>
      </c>
      <c r="AE2646" s="10">
        <f>REPT(" ",10)</f>
        <v/>
      </c>
      <c r="AF2646" s="10">
        <f>REPT(" ",20)</f>
        <v/>
      </c>
      <c r="AG2646" s="54">
        <f>REPT(" ",18-LEN(FIXED(F2646,2,TRUE)))&amp;FIXED(F2646,2,TRUE)</f>
        <v/>
      </c>
      <c r="AH2646" s="10">
        <f>LEN(AC2646)+LEN(AG2646)</f>
        <v/>
      </c>
      <c r="AI2646" s="10">
        <f>LEN(L2646)</f>
        <v/>
      </c>
    </row>
    <row r="2647">
      <c r="J2647" s="12">
        <f>IF(F2647&lt;&gt;0,"LANÇAR","")</f>
        <v/>
      </c>
      <c r="L2647" s="13">
        <f>N2647&amp;O2647&amp;P2647&amp;Q2647&amp;R2647&amp;S2647&amp;T2647&amp;U2647&amp;V2647&amp;W2647&amp;X2647&amp;Y2647&amp;Z2647&amp;AA2647&amp;AB2647&amp;AC2647&amp;AD2647&amp;AE2647&amp;AF2647&amp;AG2647</f>
        <v/>
      </c>
      <c r="N2647" s="10">
        <f>TEXT($B$6,"00")</f>
        <v/>
      </c>
      <c r="O2647" s="10">
        <f>REPT(" ",8)</f>
        <v/>
      </c>
      <c r="P2647" s="10">
        <f>RIGHT($B$4,2)</f>
        <v/>
      </c>
      <c r="Q2647" s="10">
        <f>RIGHT($B$5,3)</f>
        <v/>
      </c>
      <c r="R2647" s="10">
        <f>IF(A2647="D",LEFT(UPPER(B2647)&amp;REPT(" ",20),20),REPT(" ",20))</f>
        <v/>
      </c>
      <c r="S2647" s="10">
        <f>IF(A2647="D",LEFT(UPPER(C2647)&amp;REPT(" ",10),10)," ")</f>
        <v/>
      </c>
      <c r="T2647" s="10">
        <f>IF(A2647="D",LEFT(UPPER(D2647)&amp;REPT(" ",2),2)," ")</f>
        <v/>
      </c>
      <c r="U2647" s="10">
        <f>IF(A2647="D",LEFT(UPPER(E2647)&amp;REPT(" ",15),15)," ")</f>
        <v/>
      </c>
      <c r="V2647" s="10">
        <f>REPT(" ",24)</f>
        <v/>
      </c>
      <c r="W2647" s="10">
        <f>IF(A2647="c",LEFT(UPPER(B2647)&amp;REPT(" ",20),20),REPT(" ",20))</f>
        <v/>
      </c>
      <c r="X2647" s="10">
        <f>IF(A2647="C",LEFT(UPPER(C2647)&amp;REPT(" ",10),10)," ")</f>
        <v/>
      </c>
      <c r="Y2647" s="10">
        <f>IF(A2647="C",LEFT(UPPER(D2647)&amp;REPT(" ",2),2)," ")</f>
        <v/>
      </c>
      <c r="Z2647" s="10">
        <f>IF(A2647="C",LEFT(UPPER(E2647)&amp;REPT(" ",15),15)," ")</f>
        <v/>
      </c>
      <c r="AA2647" s="10">
        <f>REPT(" ",8)</f>
        <v/>
      </c>
      <c r="AB2647" s="10">
        <f>REPT(" ",4)</f>
        <v/>
      </c>
      <c r="AC2647" s="10">
        <f>LEFT(UPPER(H2647)&amp;REPT(" ",250),250)</f>
        <v/>
      </c>
      <c r="AD2647" s="10">
        <f>TEXT($G$2,"dd/mm/aaaa")</f>
        <v/>
      </c>
      <c r="AE2647" s="10">
        <f>REPT(" ",10)</f>
        <v/>
      </c>
      <c r="AF2647" s="10">
        <f>REPT(" ",20)</f>
        <v/>
      </c>
      <c r="AG2647" s="54">
        <f>REPT(" ",18-LEN(FIXED(F2647,2,TRUE)))&amp;FIXED(F2647,2,TRUE)</f>
        <v/>
      </c>
      <c r="AH2647" s="10">
        <f>LEN(AC2647)+LEN(AG2647)</f>
        <v/>
      </c>
      <c r="AI2647" s="10">
        <f>LEN(L2647)</f>
        <v/>
      </c>
    </row>
    <row r="2648">
      <c r="J2648" s="12">
        <f>IF(F2648&lt;&gt;0,"LANÇAR","")</f>
        <v/>
      </c>
      <c r="L2648" s="13">
        <f>N2648&amp;O2648&amp;P2648&amp;Q2648&amp;R2648&amp;S2648&amp;T2648&amp;U2648&amp;V2648&amp;W2648&amp;X2648&amp;Y2648&amp;Z2648&amp;AA2648&amp;AB2648&amp;AC2648&amp;AD2648&amp;AE2648&amp;AF2648&amp;AG2648</f>
        <v/>
      </c>
      <c r="N2648" s="10">
        <f>TEXT($B$6,"00")</f>
        <v/>
      </c>
      <c r="O2648" s="10">
        <f>REPT(" ",8)</f>
        <v/>
      </c>
      <c r="P2648" s="10">
        <f>RIGHT($B$4,2)</f>
        <v/>
      </c>
      <c r="Q2648" s="10">
        <f>RIGHT($B$5,3)</f>
        <v/>
      </c>
      <c r="R2648" s="10">
        <f>IF(A2648="D",LEFT(UPPER(B2648)&amp;REPT(" ",20),20),REPT(" ",20))</f>
        <v/>
      </c>
      <c r="S2648" s="10">
        <f>IF(A2648="D",LEFT(UPPER(C2648)&amp;REPT(" ",10),10)," ")</f>
        <v/>
      </c>
      <c r="T2648" s="10">
        <f>IF(A2648="D",LEFT(UPPER(D2648)&amp;REPT(" ",2),2)," ")</f>
        <v/>
      </c>
      <c r="U2648" s="10">
        <f>IF(A2648="D",LEFT(UPPER(E2648)&amp;REPT(" ",15),15)," ")</f>
        <v/>
      </c>
      <c r="V2648" s="10">
        <f>REPT(" ",24)</f>
        <v/>
      </c>
      <c r="W2648" s="10">
        <f>IF(A2648="c",LEFT(UPPER(B2648)&amp;REPT(" ",20),20),REPT(" ",20))</f>
        <v/>
      </c>
      <c r="X2648" s="10">
        <f>IF(A2648="C",LEFT(UPPER(C2648)&amp;REPT(" ",10),10)," ")</f>
        <v/>
      </c>
      <c r="Y2648" s="10">
        <f>IF(A2648="C",LEFT(UPPER(D2648)&amp;REPT(" ",2),2)," ")</f>
        <v/>
      </c>
      <c r="Z2648" s="10">
        <f>IF(A2648="C",LEFT(UPPER(E2648)&amp;REPT(" ",15),15)," ")</f>
        <v/>
      </c>
      <c r="AA2648" s="10">
        <f>REPT(" ",8)</f>
        <v/>
      </c>
      <c r="AB2648" s="10">
        <f>REPT(" ",4)</f>
        <v/>
      </c>
      <c r="AC2648" s="10">
        <f>LEFT(UPPER(H2648)&amp;REPT(" ",250),250)</f>
        <v/>
      </c>
      <c r="AD2648" s="10">
        <f>TEXT($G$2,"dd/mm/aaaa")</f>
        <v/>
      </c>
      <c r="AE2648" s="10">
        <f>REPT(" ",10)</f>
        <v/>
      </c>
      <c r="AF2648" s="10">
        <f>REPT(" ",20)</f>
        <v/>
      </c>
      <c r="AG2648" s="54">
        <f>REPT(" ",18-LEN(FIXED(F2648,2,TRUE)))&amp;FIXED(F2648,2,TRUE)</f>
        <v/>
      </c>
      <c r="AH2648" s="10">
        <f>LEN(AC2648)+LEN(AG2648)</f>
        <v/>
      </c>
      <c r="AI2648" s="10">
        <f>LEN(L2648)</f>
        <v/>
      </c>
    </row>
    <row r="2649">
      <c r="J2649" s="12">
        <f>IF(F2649&lt;&gt;0,"LANÇAR","")</f>
        <v/>
      </c>
      <c r="L2649" s="13">
        <f>N2649&amp;O2649&amp;P2649&amp;Q2649&amp;R2649&amp;S2649&amp;T2649&amp;U2649&amp;V2649&amp;W2649&amp;X2649&amp;Y2649&amp;Z2649&amp;AA2649&amp;AB2649&amp;AC2649&amp;AD2649&amp;AE2649&amp;AF2649&amp;AG2649</f>
        <v/>
      </c>
      <c r="N2649" s="10">
        <f>TEXT($B$6,"00")</f>
        <v/>
      </c>
      <c r="O2649" s="10">
        <f>REPT(" ",8)</f>
        <v/>
      </c>
      <c r="P2649" s="10">
        <f>RIGHT($B$4,2)</f>
        <v/>
      </c>
      <c r="Q2649" s="10">
        <f>RIGHT($B$5,3)</f>
        <v/>
      </c>
      <c r="R2649" s="10">
        <f>IF(A2649="D",LEFT(UPPER(B2649)&amp;REPT(" ",20),20),REPT(" ",20))</f>
        <v/>
      </c>
      <c r="S2649" s="10">
        <f>IF(A2649="D",LEFT(UPPER(C2649)&amp;REPT(" ",10),10)," ")</f>
        <v/>
      </c>
      <c r="T2649" s="10">
        <f>IF(A2649="D",LEFT(UPPER(D2649)&amp;REPT(" ",2),2)," ")</f>
        <v/>
      </c>
      <c r="U2649" s="10">
        <f>IF(A2649="D",LEFT(UPPER(E2649)&amp;REPT(" ",15),15)," ")</f>
        <v/>
      </c>
      <c r="V2649" s="10">
        <f>REPT(" ",24)</f>
        <v/>
      </c>
      <c r="W2649" s="10">
        <f>IF(A2649="c",LEFT(UPPER(B2649)&amp;REPT(" ",20),20),REPT(" ",20))</f>
        <v/>
      </c>
      <c r="X2649" s="10">
        <f>IF(A2649="C",LEFT(UPPER(C2649)&amp;REPT(" ",10),10)," ")</f>
        <v/>
      </c>
      <c r="Y2649" s="10">
        <f>IF(A2649="C",LEFT(UPPER(D2649)&amp;REPT(" ",2),2)," ")</f>
        <v/>
      </c>
      <c r="Z2649" s="10">
        <f>IF(A2649="C",LEFT(UPPER(E2649)&amp;REPT(" ",15),15)," ")</f>
        <v/>
      </c>
      <c r="AA2649" s="10">
        <f>REPT(" ",8)</f>
        <v/>
      </c>
      <c r="AB2649" s="10">
        <f>REPT(" ",4)</f>
        <v/>
      </c>
      <c r="AC2649" s="10">
        <f>LEFT(UPPER(H2649)&amp;REPT(" ",250),250)</f>
        <v/>
      </c>
      <c r="AD2649" s="10">
        <f>TEXT($G$2,"dd/mm/aaaa")</f>
        <v/>
      </c>
      <c r="AE2649" s="10">
        <f>REPT(" ",10)</f>
        <v/>
      </c>
      <c r="AF2649" s="10">
        <f>REPT(" ",20)</f>
        <v/>
      </c>
      <c r="AG2649" s="54">
        <f>REPT(" ",18-LEN(FIXED(F2649,2,TRUE)))&amp;FIXED(F2649,2,TRUE)</f>
        <v/>
      </c>
      <c r="AH2649" s="10">
        <f>LEN(AC2649)+LEN(AG2649)</f>
        <v/>
      </c>
      <c r="AI2649" s="10">
        <f>LEN(L2649)</f>
        <v/>
      </c>
    </row>
    <row r="2650">
      <c r="J2650" s="12">
        <f>IF(F2650&lt;&gt;0,"LANÇAR","")</f>
        <v/>
      </c>
      <c r="L2650" s="13">
        <f>N2650&amp;O2650&amp;P2650&amp;Q2650&amp;R2650&amp;S2650&amp;T2650&amp;U2650&amp;V2650&amp;W2650&amp;X2650&amp;Y2650&amp;Z2650&amp;AA2650&amp;AB2650&amp;AC2650&amp;AD2650&amp;AE2650&amp;AF2650&amp;AG2650</f>
        <v/>
      </c>
      <c r="N2650" s="10">
        <f>TEXT($B$6,"00")</f>
        <v/>
      </c>
      <c r="O2650" s="10">
        <f>REPT(" ",8)</f>
        <v/>
      </c>
      <c r="P2650" s="10">
        <f>RIGHT($B$4,2)</f>
        <v/>
      </c>
      <c r="Q2650" s="10">
        <f>RIGHT($B$5,3)</f>
        <v/>
      </c>
      <c r="R2650" s="10">
        <f>IF(A2650="D",LEFT(UPPER(B2650)&amp;REPT(" ",20),20),REPT(" ",20))</f>
        <v/>
      </c>
      <c r="S2650" s="10">
        <f>IF(A2650="D",LEFT(UPPER(C2650)&amp;REPT(" ",10),10)," ")</f>
        <v/>
      </c>
      <c r="T2650" s="10">
        <f>IF(A2650="D",LEFT(UPPER(D2650)&amp;REPT(" ",2),2)," ")</f>
        <v/>
      </c>
      <c r="U2650" s="10">
        <f>IF(A2650="D",LEFT(UPPER(E2650)&amp;REPT(" ",15),15)," ")</f>
        <v/>
      </c>
      <c r="V2650" s="10">
        <f>REPT(" ",24)</f>
        <v/>
      </c>
      <c r="W2650" s="10">
        <f>IF(A2650="c",LEFT(UPPER(B2650)&amp;REPT(" ",20),20),REPT(" ",20))</f>
        <v/>
      </c>
      <c r="X2650" s="10">
        <f>IF(A2650="C",LEFT(UPPER(C2650)&amp;REPT(" ",10),10)," ")</f>
        <v/>
      </c>
      <c r="Y2650" s="10">
        <f>IF(A2650="C",LEFT(UPPER(D2650)&amp;REPT(" ",2),2)," ")</f>
        <v/>
      </c>
      <c r="Z2650" s="10">
        <f>IF(A2650="C",LEFT(UPPER(E2650)&amp;REPT(" ",15),15)," ")</f>
        <v/>
      </c>
      <c r="AA2650" s="10">
        <f>REPT(" ",8)</f>
        <v/>
      </c>
      <c r="AB2650" s="10">
        <f>REPT(" ",4)</f>
        <v/>
      </c>
      <c r="AC2650" s="10">
        <f>LEFT(UPPER(H2650)&amp;REPT(" ",250),250)</f>
        <v/>
      </c>
      <c r="AD2650" s="10">
        <f>TEXT($G$2,"dd/mm/aaaa")</f>
        <v/>
      </c>
      <c r="AE2650" s="10">
        <f>REPT(" ",10)</f>
        <v/>
      </c>
      <c r="AF2650" s="10">
        <f>REPT(" ",20)</f>
        <v/>
      </c>
      <c r="AG2650" s="54">
        <f>REPT(" ",18-LEN(FIXED(F2650,2,TRUE)))&amp;FIXED(F2650,2,TRUE)</f>
        <v/>
      </c>
      <c r="AH2650" s="10">
        <f>LEN(AC2650)+LEN(AG2650)</f>
        <v/>
      </c>
      <c r="AI2650" s="10">
        <f>LEN(L2650)</f>
        <v/>
      </c>
    </row>
    <row r="2651">
      <c r="J2651" s="12">
        <f>IF(F2651&lt;&gt;0,"LANÇAR","")</f>
        <v/>
      </c>
      <c r="L2651" s="13">
        <f>N2651&amp;O2651&amp;P2651&amp;Q2651&amp;R2651&amp;S2651&amp;T2651&amp;U2651&amp;V2651&amp;W2651&amp;X2651&amp;Y2651&amp;Z2651&amp;AA2651&amp;AB2651&amp;AC2651&amp;AD2651&amp;AE2651&amp;AF2651&amp;AG2651</f>
        <v/>
      </c>
      <c r="N2651" s="10">
        <f>TEXT($B$6,"00")</f>
        <v/>
      </c>
      <c r="O2651" s="10">
        <f>REPT(" ",8)</f>
        <v/>
      </c>
      <c r="P2651" s="10">
        <f>RIGHT($B$4,2)</f>
        <v/>
      </c>
      <c r="Q2651" s="10">
        <f>RIGHT($B$5,3)</f>
        <v/>
      </c>
      <c r="R2651" s="10">
        <f>IF(A2651="D",LEFT(UPPER(B2651)&amp;REPT(" ",20),20),REPT(" ",20))</f>
        <v/>
      </c>
      <c r="S2651" s="10">
        <f>IF(A2651="D",LEFT(UPPER(C2651)&amp;REPT(" ",10),10)," ")</f>
        <v/>
      </c>
      <c r="T2651" s="10">
        <f>IF(A2651="D",LEFT(UPPER(D2651)&amp;REPT(" ",2),2)," ")</f>
        <v/>
      </c>
      <c r="U2651" s="10">
        <f>IF(A2651="D",LEFT(UPPER(E2651)&amp;REPT(" ",15),15)," ")</f>
        <v/>
      </c>
      <c r="V2651" s="10">
        <f>REPT(" ",24)</f>
        <v/>
      </c>
      <c r="W2651" s="10">
        <f>IF(A2651="c",LEFT(UPPER(B2651)&amp;REPT(" ",20),20),REPT(" ",20))</f>
        <v/>
      </c>
      <c r="X2651" s="10">
        <f>IF(A2651="C",LEFT(UPPER(C2651)&amp;REPT(" ",10),10)," ")</f>
        <v/>
      </c>
      <c r="Y2651" s="10">
        <f>IF(A2651="C",LEFT(UPPER(D2651)&amp;REPT(" ",2),2)," ")</f>
        <v/>
      </c>
      <c r="Z2651" s="10">
        <f>IF(A2651="C",LEFT(UPPER(E2651)&amp;REPT(" ",15),15)," ")</f>
        <v/>
      </c>
      <c r="AA2651" s="10">
        <f>REPT(" ",8)</f>
        <v/>
      </c>
      <c r="AB2651" s="10">
        <f>REPT(" ",4)</f>
        <v/>
      </c>
      <c r="AC2651" s="10">
        <f>LEFT(UPPER(H2651)&amp;REPT(" ",250),250)</f>
        <v/>
      </c>
      <c r="AD2651" s="10">
        <f>TEXT($G$2,"dd/mm/aaaa")</f>
        <v/>
      </c>
      <c r="AE2651" s="10">
        <f>REPT(" ",10)</f>
        <v/>
      </c>
      <c r="AF2651" s="10">
        <f>REPT(" ",20)</f>
        <v/>
      </c>
      <c r="AG2651" s="54">
        <f>REPT(" ",18-LEN(FIXED(F2651,2,TRUE)))&amp;FIXED(F2651,2,TRUE)</f>
        <v/>
      </c>
      <c r="AH2651" s="10">
        <f>LEN(AC2651)+LEN(AG2651)</f>
        <v/>
      </c>
      <c r="AI2651" s="10">
        <f>LEN(L2651)</f>
        <v/>
      </c>
    </row>
    <row r="2652">
      <c r="J2652" s="12">
        <f>IF(F2652&lt;&gt;0,"LANÇAR","")</f>
        <v/>
      </c>
      <c r="L2652" s="13">
        <f>N2652&amp;O2652&amp;P2652&amp;Q2652&amp;R2652&amp;S2652&amp;T2652&amp;U2652&amp;V2652&amp;W2652&amp;X2652&amp;Y2652&amp;Z2652&amp;AA2652&amp;AB2652&amp;AC2652&amp;AD2652&amp;AE2652&amp;AF2652&amp;AG2652</f>
        <v/>
      </c>
      <c r="N2652" s="10">
        <f>TEXT($B$6,"00")</f>
        <v/>
      </c>
      <c r="O2652" s="10">
        <f>REPT(" ",8)</f>
        <v/>
      </c>
      <c r="P2652" s="10">
        <f>RIGHT($B$4,2)</f>
        <v/>
      </c>
      <c r="Q2652" s="10">
        <f>RIGHT($B$5,3)</f>
        <v/>
      </c>
      <c r="R2652" s="10">
        <f>IF(A2652="D",LEFT(UPPER(B2652)&amp;REPT(" ",20),20),REPT(" ",20))</f>
        <v/>
      </c>
      <c r="S2652" s="10">
        <f>IF(A2652="D",LEFT(UPPER(C2652)&amp;REPT(" ",10),10)," ")</f>
        <v/>
      </c>
      <c r="T2652" s="10">
        <f>IF(A2652="D",LEFT(UPPER(D2652)&amp;REPT(" ",2),2)," ")</f>
        <v/>
      </c>
      <c r="U2652" s="10">
        <f>IF(A2652="D",LEFT(UPPER(E2652)&amp;REPT(" ",15),15)," ")</f>
        <v/>
      </c>
      <c r="V2652" s="10">
        <f>REPT(" ",24)</f>
        <v/>
      </c>
      <c r="W2652" s="10">
        <f>IF(A2652="c",LEFT(UPPER(B2652)&amp;REPT(" ",20),20),REPT(" ",20))</f>
        <v/>
      </c>
      <c r="X2652" s="10">
        <f>IF(A2652="C",LEFT(UPPER(C2652)&amp;REPT(" ",10),10)," ")</f>
        <v/>
      </c>
      <c r="Y2652" s="10">
        <f>IF(A2652="C",LEFT(UPPER(D2652)&amp;REPT(" ",2),2)," ")</f>
        <v/>
      </c>
      <c r="Z2652" s="10">
        <f>IF(A2652="C",LEFT(UPPER(E2652)&amp;REPT(" ",15),15)," ")</f>
        <v/>
      </c>
      <c r="AA2652" s="10">
        <f>REPT(" ",8)</f>
        <v/>
      </c>
      <c r="AB2652" s="10">
        <f>REPT(" ",4)</f>
        <v/>
      </c>
      <c r="AC2652" s="10">
        <f>LEFT(UPPER(H2652)&amp;REPT(" ",250),250)</f>
        <v/>
      </c>
      <c r="AD2652" s="10">
        <f>TEXT($G$2,"dd/mm/aaaa")</f>
        <v/>
      </c>
      <c r="AE2652" s="10">
        <f>REPT(" ",10)</f>
        <v/>
      </c>
      <c r="AF2652" s="10">
        <f>REPT(" ",20)</f>
        <v/>
      </c>
      <c r="AG2652" s="54">
        <f>REPT(" ",18-LEN(FIXED(F2652,2,TRUE)))&amp;FIXED(F2652,2,TRUE)</f>
        <v/>
      </c>
      <c r="AH2652" s="10">
        <f>LEN(AC2652)+LEN(AG2652)</f>
        <v/>
      </c>
      <c r="AI2652" s="10">
        <f>LEN(L2652)</f>
        <v/>
      </c>
    </row>
    <row r="2653">
      <c r="J2653" s="12">
        <f>IF(F2653&lt;&gt;0,"LANÇAR","")</f>
        <v/>
      </c>
      <c r="L2653" s="13">
        <f>N2653&amp;O2653&amp;P2653&amp;Q2653&amp;R2653&amp;S2653&amp;T2653&amp;U2653&amp;V2653&amp;W2653&amp;X2653&amp;Y2653&amp;Z2653&amp;AA2653&amp;AB2653&amp;AC2653&amp;AD2653&amp;AE2653&amp;AF2653&amp;AG2653</f>
        <v/>
      </c>
      <c r="N2653" s="10">
        <f>TEXT($B$6,"00")</f>
        <v/>
      </c>
      <c r="O2653" s="10">
        <f>REPT(" ",8)</f>
        <v/>
      </c>
      <c r="P2653" s="10">
        <f>RIGHT($B$4,2)</f>
        <v/>
      </c>
      <c r="Q2653" s="10">
        <f>RIGHT($B$5,3)</f>
        <v/>
      </c>
      <c r="R2653" s="10">
        <f>IF(A2653="D",LEFT(UPPER(B2653)&amp;REPT(" ",20),20),REPT(" ",20))</f>
        <v/>
      </c>
      <c r="S2653" s="10">
        <f>IF(A2653="D",LEFT(UPPER(C2653)&amp;REPT(" ",10),10)," ")</f>
        <v/>
      </c>
      <c r="T2653" s="10">
        <f>IF(A2653="D",LEFT(UPPER(D2653)&amp;REPT(" ",2),2)," ")</f>
        <v/>
      </c>
      <c r="U2653" s="10">
        <f>IF(A2653="D",LEFT(UPPER(E2653)&amp;REPT(" ",15),15)," ")</f>
        <v/>
      </c>
      <c r="V2653" s="10">
        <f>REPT(" ",24)</f>
        <v/>
      </c>
      <c r="W2653" s="10">
        <f>IF(A2653="c",LEFT(UPPER(B2653)&amp;REPT(" ",20),20),REPT(" ",20))</f>
        <v/>
      </c>
      <c r="X2653" s="10">
        <f>IF(A2653="C",LEFT(UPPER(C2653)&amp;REPT(" ",10),10)," ")</f>
        <v/>
      </c>
      <c r="Y2653" s="10">
        <f>IF(A2653="C",LEFT(UPPER(D2653)&amp;REPT(" ",2),2)," ")</f>
        <v/>
      </c>
      <c r="Z2653" s="10">
        <f>IF(A2653="C",LEFT(UPPER(E2653)&amp;REPT(" ",15),15)," ")</f>
        <v/>
      </c>
      <c r="AA2653" s="10">
        <f>REPT(" ",8)</f>
        <v/>
      </c>
      <c r="AB2653" s="10">
        <f>REPT(" ",4)</f>
        <v/>
      </c>
      <c r="AC2653" s="10">
        <f>LEFT(UPPER(H2653)&amp;REPT(" ",250),250)</f>
        <v/>
      </c>
      <c r="AD2653" s="10">
        <f>TEXT($G$2,"dd/mm/aaaa")</f>
        <v/>
      </c>
      <c r="AE2653" s="10">
        <f>REPT(" ",10)</f>
        <v/>
      </c>
      <c r="AF2653" s="10">
        <f>REPT(" ",20)</f>
        <v/>
      </c>
      <c r="AG2653" s="54">
        <f>REPT(" ",18-LEN(FIXED(F2653,2,TRUE)))&amp;FIXED(F2653,2,TRUE)</f>
        <v/>
      </c>
      <c r="AH2653" s="10">
        <f>LEN(AC2653)+LEN(AG2653)</f>
        <v/>
      </c>
      <c r="AI2653" s="10">
        <f>LEN(L2653)</f>
        <v/>
      </c>
    </row>
    <row r="2654">
      <c r="J2654" s="12">
        <f>IF(F2654&lt;&gt;0,"LANÇAR","")</f>
        <v/>
      </c>
      <c r="L2654" s="13">
        <f>N2654&amp;O2654&amp;P2654&amp;Q2654&amp;R2654&amp;S2654&amp;T2654&amp;U2654&amp;V2654&amp;W2654&amp;X2654&amp;Y2654&amp;Z2654&amp;AA2654&amp;AB2654&amp;AC2654&amp;AD2654&amp;AE2654&amp;AF2654&amp;AG2654</f>
        <v/>
      </c>
      <c r="N2654" s="10">
        <f>TEXT($B$6,"00")</f>
        <v/>
      </c>
      <c r="O2654" s="10">
        <f>REPT(" ",8)</f>
        <v/>
      </c>
      <c r="P2654" s="10">
        <f>RIGHT($B$4,2)</f>
        <v/>
      </c>
      <c r="Q2654" s="10">
        <f>RIGHT($B$5,3)</f>
        <v/>
      </c>
      <c r="R2654" s="10">
        <f>IF(A2654="D",LEFT(UPPER(B2654)&amp;REPT(" ",20),20),REPT(" ",20))</f>
        <v/>
      </c>
      <c r="S2654" s="10">
        <f>IF(A2654="D",LEFT(UPPER(C2654)&amp;REPT(" ",10),10)," ")</f>
        <v/>
      </c>
      <c r="T2654" s="10">
        <f>IF(A2654="D",LEFT(UPPER(D2654)&amp;REPT(" ",2),2)," ")</f>
        <v/>
      </c>
      <c r="U2654" s="10">
        <f>IF(A2654="D",LEFT(UPPER(E2654)&amp;REPT(" ",15),15)," ")</f>
        <v/>
      </c>
      <c r="V2654" s="10">
        <f>REPT(" ",24)</f>
        <v/>
      </c>
      <c r="W2654" s="10">
        <f>IF(A2654="c",LEFT(UPPER(B2654)&amp;REPT(" ",20),20),REPT(" ",20))</f>
        <v/>
      </c>
      <c r="X2654" s="10">
        <f>IF(A2654="C",LEFT(UPPER(C2654)&amp;REPT(" ",10),10)," ")</f>
        <v/>
      </c>
      <c r="Y2654" s="10">
        <f>IF(A2654="C",LEFT(UPPER(D2654)&amp;REPT(" ",2),2)," ")</f>
        <v/>
      </c>
      <c r="Z2654" s="10">
        <f>IF(A2654="C",LEFT(UPPER(E2654)&amp;REPT(" ",15),15)," ")</f>
        <v/>
      </c>
      <c r="AA2654" s="10">
        <f>REPT(" ",8)</f>
        <v/>
      </c>
      <c r="AB2654" s="10">
        <f>REPT(" ",4)</f>
        <v/>
      </c>
      <c r="AC2654" s="10">
        <f>LEFT(UPPER(H2654)&amp;REPT(" ",250),250)</f>
        <v/>
      </c>
      <c r="AD2654" s="10">
        <f>TEXT($G$2,"dd/mm/aaaa")</f>
        <v/>
      </c>
      <c r="AE2654" s="10">
        <f>REPT(" ",10)</f>
        <v/>
      </c>
      <c r="AF2654" s="10">
        <f>REPT(" ",20)</f>
        <v/>
      </c>
      <c r="AG2654" s="54">
        <f>REPT(" ",18-LEN(FIXED(F2654,2,TRUE)))&amp;FIXED(F2654,2,TRUE)</f>
        <v/>
      </c>
      <c r="AH2654" s="10">
        <f>LEN(AC2654)+LEN(AG2654)</f>
        <v/>
      </c>
      <c r="AI2654" s="10">
        <f>LEN(L2654)</f>
        <v/>
      </c>
    </row>
    <row r="2655">
      <c r="J2655" s="12">
        <f>IF(F2655&lt;&gt;0,"LANÇAR","")</f>
        <v/>
      </c>
      <c r="L2655" s="13">
        <f>N2655&amp;O2655&amp;P2655&amp;Q2655&amp;R2655&amp;S2655&amp;T2655&amp;U2655&amp;V2655&amp;W2655&amp;X2655&amp;Y2655&amp;Z2655&amp;AA2655&amp;AB2655&amp;AC2655&amp;AD2655&amp;AE2655&amp;AF2655&amp;AG2655</f>
        <v/>
      </c>
      <c r="N2655" s="10">
        <f>TEXT($B$6,"00")</f>
        <v/>
      </c>
      <c r="O2655" s="10">
        <f>REPT(" ",8)</f>
        <v/>
      </c>
      <c r="P2655" s="10">
        <f>RIGHT($B$4,2)</f>
        <v/>
      </c>
      <c r="Q2655" s="10">
        <f>RIGHT($B$5,3)</f>
        <v/>
      </c>
      <c r="R2655" s="10">
        <f>IF(A2655="D",LEFT(UPPER(B2655)&amp;REPT(" ",20),20),REPT(" ",20))</f>
        <v/>
      </c>
      <c r="S2655" s="10">
        <f>IF(A2655="D",LEFT(UPPER(C2655)&amp;REPT(" ",10),10)," ")</f>
        <v/>
      </c>
      <c r="T2655" s="10">
        <f>IF(A2655="D",LEFT(UPPER(D2655)&amp;REPT(" ",2),2)," ")</f>
        <v/>
      </c>
      <c r="U2655" s="10">
        <f>IF(A2655="D",LEFT(UPPER(E2655)&amp;REPT(" ",15),15)," ")</f>
        <v/>
      </c>
      <c r="V2655" s="10">
        <f>REPT(" ",24)</f>
        <v/>
      </c>
      <c r="W2655" s="10">
        <f>IF(A2655="c",LEFT(UPPER(B2655)&amp;REPT(" ",20),20),REPT(" ",20))</f>
        <v/>
      </c>
      <c r="X2655" s="10">
        <f>IF(A2655="C",LEFT(UPPER(C2655)&amp;REPT(" ",10),10)," ")</f>
        <v/>
      </c>
      <c r="Y2655" s="10">
        <f>IF(A2655="C",LEFT(UPPER(D2655)&amp;REPT(" ",2),2)," ")</f>
        <v/>
      </c>
      <c r="Z2655" s="10">
        <f>IF(A2655="C",LEFT(UPPER(E2655)&amp;REPT(" ",15),15)," ")</f>
        <v/>
      </c>
      <c r="AA2655" s="10">
        <f>REPT(" ",8)</f>
        <v/>
      </c>
      <c r="AB2655" s="10">
        <f>REPT(" ",4)</f>
        <v/>
      </c>
      <c r="AC2655" s="10">
        <f>LEFT(UPPER(H2655)&amp;REPT(" ",250),250)</f>
        <v/>
      </c>
      <c r="AD2655" s="10">
        <f>TEXT($G$2,"dd/mm/aaaa")</f>
        <v/>
      </c>
      <c r="AE2655" s="10">
        <f>REPT(" ",10)</f>
        <v/>
      </c>
      <c r="AF2655" s="10">
        <f>REPT(" ",20)</f>
        <v/>
      </c>
      <c r="AG2655" s="54">
        <f>REPT(" ",18-LEN(FIXED(F2655,2,TRUE)))&amp;FIXED(F2655,2,TRUE)</f>
        <v/>
      </c>
      <c r="AH2655" s="10">
        <f>LEN(AC2655)+LEN(AG2655)</f>
        <v/>
      </c>
      <c r="AI2655" s="10">
        <f>LEN(L2655)</f>
        <v/>
      </c>
    </row>
    <row r="2656">
      <c r="J2656" s="12">
        <f>IF(F2656&lt;&gt;0,"LANÇAR","")</f>
        <v/>
      </c>
      <c r="L2656" s="13">
        <f>N2656&amp;O2656&amp;P2656&amp;Q2656&amp;R2656&amp;S2656&amp;T2656&amp;U2656&amp;V2656&amp;W2656&amp;X2656&amp;Y2656&amp;Z2656&amp;AA2656&amp;AB2656&amp;AC2656&amp;AD2656&amp;AE2656&amp;AF2656&amp;AG2656</f>
        <v/>
      </c>
      <c r="N2656" s="10">
        <f>TEXT($B$6,"00")</f>
        <v/>
      </c>
      <c r="O2656" s="10">
        <f>REPT(" ",8)</f>
        <v/>
      </c>
      <c r="P2656" s="10">
        <f>RIGHT($B$4,2)</f>
        <v/>
      </c>
      <c r="Q2656" s="10">
        <f>RIGHT($B$5,3)</f>
        <v/>
      </c>
      <c r="R2656" s="10">
        <f>IF(A2656="D",LEFT(UPPER(B2656)&amp;REPT(" ",20),20),REPT(" ",20))</f>
        <v/>
      </c>
      <c r="S2656" s="10">
        <f>IF(A2656="D",LEFT(UPPER(C2656)&amp;REPT(" ",10),10)," ")</f>
        <v/>
      </c>
      <c r="T2656" s="10">
        <f>IF(A2656="D",LEFT(UPPER(D2656)&amp;REPT(" ",2),2)," ")</f>
        <v/>
      </c>
      <c r="U2656" s="10">
        <f>IF(A2656="D",LEFT(UPPER(E2656)&amp;REPT(" ",15),15)," ")</f>
        <v/>
      </c>
      <c r="V2656" s="10">
        <f>REPT(" ",24)</f>
        <v/>
      </c>
      <c r="W2656" s="10">
        <f>IF(A2656="c",LEFT(UPPER(B2656)&amp;REPT(" ",20),20),REPT(" ",20))</f>
        <v/>
      </c>
      <c r="X2656" s="10">
        <f>IF(A2656="C",LEFT(UPPER(C2656)&amp;REPT(" ",10),10)," ")</f>
        <v/>
      </c>
      <c r="Y2656" s="10">
        <f>IF(A2656="C",LEFT(UPPER(D2656)&amp;REPT(" ",2),2)," ")</f>
        <v/>
      </c>
      <c r="Z2656" s="10">
        <f>IF(A2656="C",LEFT(UPPER(E2656)&amp;REPT(" ",15),15)," ")</f>
        <v/>
      </c>
      <c r="AA2656" s="10">
        <f>REPT(" ",8)</f>
        <v/>
      </c>
      <c r="AB2656" s="10">
        <f>REPT(" ",4)</f>
        <v/>
      </c>
      <c r="AC2656" s="10">
        <f>LEFT(UPPER(H2656)&amp;REPT(" ",250),250)</f>
        <v/>
      </c>
      <c r="AD2656" s="10">
        <f>TEXT($G$2,"dd/mm/aaaa")</f>
        <v/>
      </c>
      <c r="AE2656" s="10">
        <f>REPT(" ",10)</f>
        <v/>
      </c>
      <c r="AF2656" s="10">
        <f>REPT(" ",20)</f>
        <v/>
      </c>
      <c r="AG2656" s="54">
        <f>REPT(" ",18-LEN(FIXED(F2656,2,TRUE)))&amp;FIXED(F2656,2,TRUE)</f>
        <v/>
      </c>
      <c r="AH2656" s="10">
        <f>LEN(AC2656)+LEN(AG2656)</f>
        <v/>
      </c>
      <c r="AI2656" s="10">
        <f>LEN(L2656)</f>
        <v/>
      </c>
    </row>
    <row r="2657">
      <c r="J2657" s="12">
        <f>IF(F2657&lt;&gt;0,"LANÇAR","")</f>
        <v/>
      </c>
      <c r="L2657" s="13">
        <f>N2657&amp;O2657&amp;P2657&amp;Q2657&amp;R2657&amp;S2657&amp;T2657&amp;U2657&amp;V2657&amp;W2657&amp;X2657&amp;Y2657&amp;Z2657&amp;AA2657&amp;AB2657&amp;AC2657&amp;AD2657&amp;AE2657&amp;AF2657&amp;AG2657</f>
        <v/>
      </c>
      <c r="N2657" s="10">
        <f>TEXT($B$6,"00")</f>
        <v/>
      </c>
      <c r="O2657" s="10">
        <f>REPT(" ",8)</f>
        <v/>
      </c>
      <c r="P2657" s="10">
        <f>RIGHT($B$4,2)</f>
        <v/>
      </c>
      <c r="Q2657" s="10">
        <f>RIGHT($B$5,3)</f>
        <v/>
      </c>
      <c r="R2657" s="10">
        <f>IF(A2657="D",LEFT(UPPER(B2657)&amp;REPT(" ",20),20),REPT(" ",20))</f>
        <v/>
      </c>
      <c r="S2657" s="10">
        <f>IF(A2657="D",LEFT(UPPER(C2657)&amp;REPT(" ",10),10)," ")</f>
        <v/>
      </c>
      <c r="T2657" s="10">
        <f>IF(A2657="D",LEFT(UPPER(D2657)&amp;REPT(" ",2),2)," ")</f>
        <v/>
      </c>
      <c r="U2657" s="10">
        <f>IF(A2657="D",LEFT(UPPER(E2657)&amp;REPT(" ",15),15)," ")</f>
        <v/>
      </c>
      <c r="V2657" s="10">
        <f>REPT(" ",24)</f>
        <v/>
      </c>
      <c r="W2657" s="10">
        <f>IF(A2657="c",LEFT(UPPER(B2657)&amp;REPT(" ",20),20),REPT(" ",20))</f>
        <v/>
      </c>
      <c r="X2657" s="10">
        <f>IF(A2657="C",LEFT(UPPER(C2657)&amp;REPT(" ",10),10)," ")</f>
        <v/>
      </c>
      <c r="Y2657" s="10">
        <f>IF(A2657="C",LEFT(UPPER(D2657)&amp;REPT(" ",2),2)," ")</f>
        <v/>
      </c>
      <c r="Z2657" s="10">
        <f>IF(A2657="C",LEFT(UPPER(E2657)&amp;REPT(" ",15),15)," ")</f>
        <v/>
      </c>
      <c r="AA2657" s="10">
        <f>REPT(" ",8)</f>
        <v/>
      </c>
      <c r="AB2657" s="10">
        <f>REPT(" ",4)</f>
        <v/>
      </c>
      <c r="AC2657" s="10">
        <f>LEFT(UPPER(H2657)&amp;REPT(" ",250),250)</f>
        <v/>
      </c>
      <c r="AD2657" s="10">
        <f>TEXT($G$2,"dd/mm/aaaa")</f>
        <v/>
      </c>
      <c r="AE2657" s="10">
        <f>REPT(" ",10)</f>
        <v/>
      </c>
      <c r="AF2657" s="10">
        <f>REPT(" ",20)</f>
        <v/>
      </c>
      <c r="AG2657" s="54">
        <f>REPT(" ",18-LEN(FIXED(F2657,2,TRUE)))&amp;FIXED(F2657,2,TRUE)</f>
        <v/>
      </c>
      <c r="AH2657" s="10">
        <f>LEN(AC2657)+LEN(AG2657)</f>
        <v/>
      </c>
      <c r="AI2657" s="10">
        <f>LEN(L2657)</f>
        <v/>
      </c>
    </row>
    <row r="2658">
      <c r="J2658" s="12">
        <f>IF(F2658&lt;&gt;0,"LANÇAR","")</f>
        <v/>
      </c>
      <c r="L2658" s="13">
        <f>N2658&amp;O2658&amp;P2658&amp;Q2658&amp;R2658&amp;S2658&amp;T2658&amp;U2658&amp;V2658&amp;W2658&amp;X2658&amp;Y2658&amp;Z2658&amp;AA2658&amp;AB2658&amp;AC2658&amp;AD2658&amp;AE2658&amp;AF2658&amp;AG2658</f>
        <v/>
      </c>
      <c r="N2658" s="10">
        <f>TEXT($B$6,"00")</f>
        <v/>
      </c>
      <c r="O2658" s="10">
        <f>REPT(" ",8)</f>
        <v/>
      </c>
      <c r="P2658" s="10">
        <f>RIGHT($B$4,2)</f>
        <v/>
      </c>
      <c r="Q2658" s="10">
        <f>RIGHT($B$5,3)</f>
        <v/>
      </c>
      <c r="R2658" s="10">
        <f>IF(A2658="D",LEFT(UPPER(B2658)&amp;REPT(" ",20),20),REPT(" ",20))</f>
        <v/>
      </c>
      <c r="S2658" s="10">
        <f>IF(A2658="D",LEFT(UPPER(C2658)&amp;REPT(" ",10),10)," ")</f>
        <v/>
      </c>
      <c r="T2658" s="10">
        <f>IF(A2658="D",LEFT(UPPER(D2658)&amp;REPT(" ",2),2)," ")</f>
        <v/>
      </c>
      <c r="U2658" s="10">
        <f>IF(A2658="D",LEFT(UPPER(E2658)&amp;REPT(" ",15),15)," ")</f>
        <v/>
      </c>
      <c r="V2658" s="10">
        <f>REPT(" ",24)</f>
        <v/>
      </c>
      <c r="W2658" s="10">
        <f>IF(A2658="c",LEFT(UPPER(B2658)&amp;REPT(" ",20),20),REPT(" ",20))</f>
        <v/>
      </c>
      <c r="X2658" s="10">
        <f>IF(A2658="C",LEFT(UPPER(C2658)&amp;REPT(" ",10),10)," ")</f>
        <v/>
      </c>
      <c r="Y2658" s="10">
        <f>IF(A2658="C",LEFT(UPPER(D2658)&amp;REPT(" ",2),2)," ")</f>
        <v/>
      </c>
      <c r="Z2658" s="10">
        <f>IF(A2658="C",LEFT(UPPER(E2658)&amp;REPT(" ",15),15)," ")</f>
        <v/>
      </c>
      <c r="AA2658" s="10">
        <f>REPT(" ",8)</f>
        <v/>
      </c>
      <c r="AB2658" s="10">
        <f>REPT(" ",4)</f>
        <v/>
      </c>
      <c r="AC2658" s="10">
        <f>LEFT(UPPER(H2658)&amp;REPT(" ",250),250)</f>
        <v/>
      </c>
      <c r="AD2658" s="10">
        <f>TEXT($G$2,"dd/mm/aaaa")</f>
        <v/>
      </c>
      <c r="AE2658" s="10">
        <f>REPT(" ",10)</f>
        <v/>
      </c>
      <c r="AF2658" s="10">
        <f>REPT(" ",20)</f>
        <v/>
      </c>
      <c r="AG2658" s="54">
        <f>REPT(" ",18-LEN(FIXED(F2658,2,TRUE)))&amp;FIXED(F2658,2,TRUE)</f>
        <v/>
      </c>
      <c r="AH2658" s="10">
        <f>LEN(AC2658)+LEN(AG2658)</f>
        <v/>
      </c>
      <c r="AI2658" s="10">
        <f>LEN(L2658)</f>
        <v/>
      </c>
    </row>
    <row r="2659">
      <c r="J2659" s="12">
        <f>IF(F2659&lt;&gt;0,"LANÇAR","")</f>
        <v/>
      </c>
      <c r="L2659" s="13">
        <f>N2659&amp;O2659&amp;P2659&amp;Q2659&amp;R2659&amp;S2659&amp;T2659&amp;U2659&amp;V2659&amp;W2659&amp;X2659&amp;Y2659&amp;Z2659&amp;AA2659&amp;AB2659&amp;AC2659&amp;AD2659&amp;AE2659&amp;AF2659&amp;AG2659</f>
        <v/>
      </c>
      <c r="N2659" s="10">
        <f>TEXT($B$6,"00")</f>
        <v/>
      </c>
      <c r="O2659" s="10">
        <f>REPT(" ",8)</f>
        <v/>
      </c>
      <c r="P2659" s="10">
        <f>RIGHT($B$4,2)</f>
        <v/>
      </c>
      <c r="Q2659" s="10">
        <f>RIGHT($B$5,3)</f>
        <v/>
      </c>
      <c r="R2659" s="10">
        <f>IF(A2659="D",LEFT(UPPER(B2659)&amp;REPT(" ",20),20),REPT(" ",20))</f>
        <v/>
      </c>
      <c r="S2659" s="10">
        <f>IF(A2659="D",LEFT(UPPER(C2659)&amp;REPT(" ",10),10)," ")</f>
        <v/>
      </c>
      <c r="T2659" s="10">
        <f>IF(A2659="D",LEFT(UPPER(D2659)&amp;REPT(" ",2),2)," ")</f>
        <v/>
      </c>
      <c r="U2659" s="10">
        <f>IF(A2659="D",LEFT(UPPER(E2659)&amp;REPT(" ",15),15)," ")</f>
        <v/>
      </c>
      <c r="V2659" s="10">
        <f>REPT(" ",24)</f>
        <v/>
      </c>
      <c r="W2659" s="10">
        <f>IF(A2659="c",LEFT(UPPER(B2659)&amp;REPT(" ",20),20),REPT(" ",20))</f>
        <v/>
      </c>
      <c r="X2659" s="10">
        <f>IF(A2659="C",LEFT(UPPER(C2659)&amp;REPT(" ",10),10)," ")</f>
        <v/>
      </c>
      <c r="Y2659" s="10">
        <f>IF(A2659="C",LEFT(UPPER(D2659)&amp;REPT(" ",2),2)," ")</f>
        <v/>
      </c>
      <c r="Z2659" s="10">
        <f>IF(A2659="C",LEFT(UPPER(E2659)&amp;REPT(" ",15),15)," ")</f>
        <v/>
      </c>
      <c r="AA2659" s="10">
        <f>REPT(" ",8)</f>
        <v/>
      </c>
      <c r="AB2659" s="10">
        <f>REPT(" ",4)</f>
        <v/>
      </c>
      <c r="AC2659" s="10">
        <f>LEFT(UPPER(H2659)&amp;REPT(" ",250),250)</f>
        <v/>
      </c>
      <c r="AD2659" s="10">
        <f>TEXT($G$2,"dd/mm/aaaa")</f>
        <v/>
      </c>
      <c r="AE2659" s="10">
        <f>REPT(" ",10)</f>
        <v/>
      </c>
      <c r="AF2659" s="10">
        <f>REPT(" ",20)</f>
        <v/>
      </c>
      <c r="AG2659" s="54">
        <f>REPT(" ",18-LEN(FIXED(F2659,2,TRUE)))&amp;FIXED(F2659,2,TRUE)</f>
        <v/>
      </c>
      <c r="AH2659" s="10">
        <f>LEN(AC2659)+LEN(AG2659)</f>
        <v/>
      </c>
      <c r="AI2659" s="10">
        <f>LEN(L2659)</f>
        <v/>
      </c>
    </row>
    <row r="2660">
      <c r="J2660" s="12">
        <f>IF(F2660&lt;&gt;0,"LANÇAR","")</f>
        <v/>
      </c>
      <c r="L2660" s="13">
        <f>N2660&amp;O2660&amp;P2660&amp;Q2660&amp;R2660&amp;S2660&amp;T2660&amp;U2660&amp;V2660&amp;W2660&amp;X2660&amp;Y2660&amp;Z2660&amp;AA2660&amp;AB2660&amp;AC2660&amp;AD2660&amp;AE2660&amp;AF2660&amp;AG2660</f>
        <v/>
      </c>
      <c r="N2660" s="10">
        <f>TEXT($B$6,"00")</f>
        <v/>
      </c>
      <c r="O2660" s="10">
        <f>REPT(" ",8)</f>
        <v/>
      </c>
      <c r="P2660" s="10">
        <f>RIGHT($B$4,2)</f>
        <v/>
      </c>
      <c r="Q2660" s="10">
        <f>RIGHT($B$5,3)</f>
        <v/>
      </c>
      <c r="R2660" s="10">
        <f>IF(A2660="D",LEFT(UPPER(B2660)&amp;REPT(" ",20),20),REPT(" ",20))</f>
        <v/>
      </c>
      <c r="S2660" s="10">
        <f>IF(A2660="D",LEFT(UPPER(C2660)&amp;REPT(" ",10),10)," ")</f>
        <v/>
      </c>
      <c r="T2660" s="10">
        <f>IF(A2660="D",LEFT(UPPER(D2660)&amp;REPT(" ",2),2)," ")</f>
        <v/>
      </c>
      <c r="U2660" s="10">
        <f>IF(A2660="D",LEFT(UPPER(E2660)&amp;REPT(" ",15),15)," ")</f>
        <v/>
      </c>
      <c r="V2660" s="10">
        <f>REPT(" ",24)</f>
        <v/>
      </c>
      <c r="W2660" s="10">
        <f>IF(A2660="c",LEFT(UPPER(B2660)&amp;REPT(" ",20),20),REPT(" ",20))</f>
        <v/>
      </c>
      <c r="X2660" s="10">
        <f>IF(A2660="C",LEFT(UPPER(C2660)&amp;REPT(" ",10),10)," ")</f>
        <v/>
      </c>
      <c r="Y2660" s="10">
        <f>IF(A2660="C",LEFT(UPPER(D2660)&amp;REPT(" ",2),2)," ")</f>
        <v/>
      </c>
      <c r="Z2660" s="10">
        <f>IF(A2660="C",LEFT(UPPER(E2660)&amp;REPT(" ",15),15)," ")</f>
        <v/>
      </c>
      <c r="AA2660" s="10">
        <f>REPT(" ",8)</f>
        <v/>
      </c>
      <c r="AB2660" s="10">
        <f>REPT(" ",4)</f>
        <v/>
      </c>
      <c r="AC2660" s="10">
        <f>LEFT(UPPER(H2660)&amp;REPT(" ",250),250)</f>
        <v/>
      </c>
      <c r="AD2660" s="10">
        <f>TEXT($G$2,"dd/mm/aaaa")</f>
        <v/>
      </c>
      <c r="AE2660" s="10">
        <f>REPT(" ",10)</f>
        <v/>
      </c>
      <c r="AF2660" s="10">
        <f>REPT(" ",20)</f>
        <v/>
      </c>
      <c r="AG2660" s="54">
        <f>REPT(" ",18-LEN(FIXED(F2660,2,TRUE)))&amp;FIXED(F2660,2,TRUE)</f>
        <v/>
      </c>
      <c r="AH2660" s="10">
        <f>LEN(AC2660)+LEN(AG2660)</f>
        <v/>
      </c>
      <c r="AI2660" s="10">
        <f>LEN(L2660)</f>
        <v/>
      </c>
    </row>
    <row r="2661">
      <c r="J2661" s="12">
        <f>IF(F2661&lt;&gt;0,"LANÇAR","")</f>
        <v/>
      </c>
      <c r="L2661" s="13">
        <f>N2661&amp;O2661&amp;P2661&amp;Q2661&amp;R2661&amp;S2661&amp;T2661&amp;U2661&amp;V2661&amp;W2661&amp;X2661&amp;Y2661&amp;Z2661&amp;AA2661&amp;AB2661&amp;AC2661&amp;AD2661&amp;AE2661&amp;AF2661&amp;AG2661</f>
        <v/>
      </c>
      <c r="N2661" s="10">
        <f>TEXT($B$6,"00")</f>
        <v/>
      </c>
      <c r="O2661" s="10">
        <f>REPT(" ",8)</f>
        <v/>
      </c>
      <c r="P2661" s="10">
        <f>RIGHT($B$4,2)</f>
        <v/>
      </c>
      <c r="Q2661" s="10">
        <f>RIGHT($B$5,3)</f>
        <v/>
      </c>
      <c r="R2661" s="10">
        <f>IF(A2661="D",LEFT(UPPER(B2661)&amp;REPT(" ",20),20),REPT(" ",20))</f>
        <v/>
      </c>
      <c r="S2661" s="10">
        <f>IF(A2661="D",LEFT(UPPER(C2661)&amp;REPT(" ",10),10)," ")</f>
        <v/>
      </c>
      <c r="T2661" s="10">
        <f>IF(A2661="D",LEFT(UPPER(D2661)&amp;REPT(" ",2),2)," ")</f>
        <v/>
      </c>
      <c r="U2661" s="10">
        <f>IF(A2661="D",LEFT(UPPER(E2661)&amp;REPT(" ",15),15)," ")</f>
        <v/>
      </c>
      <c r="V2661" s="10">
        <f>REPT(" ",24)</f>
        <v/>
      </c>
      <c r="W2661" s="10">
        <f>IF(A2661="c",LEFT(UPPER(B2661)&amp;REPT(" ",20),20),REPT(" ",20))</f>
        <v/>
      </c>
      <c r="X2661" s="10">
        <f>IF(A2661="C",LEFT(UPPER(C2661)&amp;REPT(" ",10),10)," ")</f>
        <v/>
      </c>
      <c r="Y2661" s="10">
        <f>IF(A2661="C",LEFT(UPPER(D2661)&amp;REPT(" ",2),2)," ")</f>
        <v/>
      </c>
      <c r="Z2661" s="10">
        <f>IF(A2661="C",LEFT(UPPER(E2661)&amp;REPT(" ",15),15)," ")</f>
        <v/>
      </c>
      <c r="AA2661" s="10">
        <f>REPT(" ",8)</f>
        <v/>
      </c>
      <c r="AB2661" s="10">
        <f>REPT(" ",4)</f>
        <v/>
      </c>
      <c r="AC2661" s="10">
        <f>LEFT(UPPER(H2661)&amp;REPT(" ",250),250)</f>
        <v/>
      </c>
      <c r="AD2661" s="10">
        <f>TEXT($G$2,"dd/mm/aaaa")</f>
        <v/>
      </c>
      <c r="AE2661" s="10">
        <f>REPT(" ",10)</f>
        <v/>
      </c>
      <c r="AF2661" s="10">
        <f>REPT(" ",20)</f>
        <v/>
      </c>
      <c r="AG2661" s="54">
        <f>REPT(" ",18-LEN(FIXED(F2661,2,TRUE)))&amp;FIXED(F2661,2,TRUE)</f>
        <v/>
      </c>
      <c r="AH2661" s="10">
        <f>LEN(AC2661)+LEN(AG2661)</f>
        <v/>
      </c>
      <c r="AI2661" s="10">
        <f>LEN(L2661)</f>
        <v/>
      </c>
    </row>
    <row r="2662">
      <c r="J2662" s="12">
        <f>IF(F2662&lt;&gt;0,"LANÇAR","")</f>
        <v/>
      </c>
      <c r="L2662" s="13">
        <f>N2662&amp;O2662&amp;P2662&amp;Q2662&amp;R2662&amp;S2662&amp;T2662&amp;U2662&amp;V2662&amp;W2662&amp;X2662&amp;Y2662&amp;Z2662&amp;AA2662&amp;AB2662&amp;AC2662&amp;AD2662&amp;AE2662&amp;AF2662&amp;AG2662</f>
        <v/>
      </c>
      <c r="N2662" s="10">
        <f>TEXT($B$6,"00")</f>
        <v/>
      </c>
      <c r="O2662" s="10">
        <f>REPT(" ",8)</f>
        <v/>
      </c>
      <c r="P2662" s="10">
        <f>RIGHT($B$4,2)</f>
        <v/>
      </c>
      <c r="Q2662" s="10">
        <f>RIGHT($B$5,3)</f>
        <v/>
      </c>
      <c r="R2662" s="10">
        <f>IF(A2662="D",LEFT(UPPER(B2662)&amp;REPT(" ",20),20),REPT(" ",20))</f>
        <v/>
      </c>
      <c r="S2662" s="10">
        <f>IF(A2662="D",LEFT(UPPER(C2662)&amp;REPT(" ",10),10)," ")</f>
        <v/>
      </c>
      <c r="T2662" s="10">
        <f>IF(A2662="D",LEFT(UPPER(D2662)&amp;REPT(" ",2),2)," ")</f>
        <v/>
      </c>
      <c r="U2662" s="10">
        <f>IF(A2662="D",LEFT(UPPER(E2662)&amp;REPT(" ",15),15)," ")</f>
        <v/>
      </c>
      <c r="V2662" s="10">
        <f>REPT(" ",24)</f>
        <v/>
      </c>
      <c r="W2662" s="10">
        <f>IF(A2662="c",LEFT(UPPER(B2662)&amp;REPT(" ",20),20),REPT(" ",20))</f>
        <v/>
      </c>
      <c r="X2662" s="10">
        <f>IF(A2662="C",LEFT(UPPER(C2662)&amp;REPT(" ",10),10)," ")</f>
        <v/>
      </c>
      <c r="Y2662" s="10">
        <f>IF(A2662="C",LEFT(UPPER(D2662)&amp;REPT(" ",2),2)," ")</f>
        <v/>
      </c>
      <c r="Z2662" s="10">
        <f>IF(A2662="C",LEFT(UPPER(E2662)&amp;REPT(" ",15),15)," ")</f>
        <v/>
      </c>
      <c r="AA2662" s="10">
        <f>REPT(" ",8)</f>
        <v/>
      </c>
      <c r="AB2662" s="10">
        <f>REPT(" ",4)</f>
        <v/>
      </c>
      <c r="AC2662" s="10">
        <f>LEFT(UPPER(H2662)&amp;REPT(" ",250),250)</f>
        <v/>
      </c>
      <c r="AD2662" s="10">
        <f>TEXT($G$2,"dd/mm/aaaa")</f>
        <v/>
      </c>
      <c r="AE2662" s="10">
        <f>REPT(" ",10)</f>
        <v/>
      </c>
      <c r="AF2662" s="10">
        <f>REPT(" ",20)</f>
        <v/>
      </c>
      <c r="AG2662" s="54">
        <f>REPT(" ",18-LEN(FIXED(F2662,2,TRUE)))&amp;FIXED(F2662,2,TRUE)</f>
        <v/>
      </c>
      <c r="AH2662" s="10">
        <f>LEN(AC2662)+LEN(AG2662)</f>
        <v/>
      </c>
      <c r="AI2662" s="10">
        <f>LEN(L2662)</f>
        <v/>
      </c>
    </row>
    <row r="2663">
      <c r="J2663" s="12">
        <f>IF(F2663&lt;&gt;0,"LANÇAR","")</f>
        <v/>
      </c>
      <c r="L2663" s="13">
        <f>N2663&amp;O2663&amp;P2663&amp;Q2663&amp;R2663&amp;S2663&amp;T2663&amp;U2663&amp;V2663&amp;W2663&amp;X2663&amp;Y2663&amp;Z2663&amp;AA2663&amp;AB2663&amp;AC2663&amp;AD2663&amp;AE2663&amp;AF2663&amp;AG2663</f>
        <v/>
      </c>
      <c r="N2663" s="10">
        <f>TEXT($B$6,"00")</f>
        <v/>
      </c>
      <c r="O2663" s="10">
        <f>REPT(" ",8)</f>
        <v/>
      </c>
      <c r="P2663" s="10">
        <f>RIGHT($B$4,2)</f>
        <v/>
      </c>
      <c r="Q2663" s="10">
        <f>RIGHT($B$5,3)</f>
        <v/>
      </c>
      <c r="R2663" s="10">
        <f>IF(A2663="D",LEFT(UPPER(B2663)&amp;REPT(" ",20),20),REPT(" ",20))</f>
        <v/>
      </c>
      <c r="S2663" s="10">
        <f>IF(A2663="D",LEFT(UPPER(C2663)&amp;REPT(" ",10),10)," ")</f>
        <v/>
      </c>
      <c r="T2663" s="10">
        <f>IF(A2663="D",LEFT(UPPER(D2663)&amp;REPT(" ",2),2)," ")</f>
        <v/>
      </c>
      <c r="U2663" s="10">
        <f>IF(A2663="D",LEFT(UPPER(E2663)&amp;REPT(" ",15),15)," ")</f>
        <v/>
      </c>
      <c r="V2663" s="10">
        <f>REPT(" ",24)</f>
        <v/>
      </c>
      <c r="W2663" s="10">
        <f>IF(A2663="c",LEFT(UPPER(B2663)&amp;REPT(" ",20),20),REPT(" ",20))</f>
        <v/>
      </c>
      <c r="X2663" s="10">
        <f>IF(A2663="C",LEFT(UPPER(C2663)&amp;REPT(" ",10),10)," ")</f>
        <v/>
      </c>
      <c r="Y2663" s="10">
        <f>IF(A2663="C",LEFT(UPPER(D2663)&amp;REPT(" ",2),2)," ")</f>
        <v/>
      </c>
      <c r="Z2663" s="10">
        <f>IF(A2663="C",LEFT(UPPER(E2663)&amp;REPT(" ",15),15)," ")</f>
        <v/>
      </c>
      <c r="AA2663" s="10">
        <f>REPT(" ",8)</f>
        <v/>
      </c>
      <c r="AB2663" s="10">
        <f>REPT(" ",4)</f>
        <v/>
      </c>
      <c r="AC2663" s="10">
        <f>LEFT(UPPER(H2663)&amp;REPT(" ",250),250)</f>
        <v/>
      </c>
      <c r="AD2663" s="10">
        <f>TEXT($G$2,"dd/mm/aaaa")</f>
        <v/>
      </c>
      <c r="AE2663" s="10">
        <f>REPT(" ",10)</f>
        <v/>
      </c>
      <c r="AF2663" s="10">
        <f>REPT(" ",20)</f>
        <v/>
      </c>
      <c r="AG2663" s="54">
        <f>REPT(" ",18-LEN(FIXED(F2663,2,TRUE)))&amp;FIXED(F2663,2,TRUE)</f>
        <v/>
      </c>
      <c r="AH2663" s="10">
        <f>LEN(AC2663)+LEN(AG2663)</f>
        <v/>
      </c>
      <c r="AI2663" s="10">
        <f>LEN(L2663)</f>
        <v/>
      </c>
    </row>
    <row r="2664">
      <c r="J2664" s="12">
        <f>IF(F2664&lt;&gt;0,"LANÇAR","")</f>
        <v/>
      </c>
      <c r="L2664" s="13">
        <f>N2664&amp;O2664&amp;P2664&amp;Q2664&amp;R2664&amp;S2664&amp;T2664&amp;U2664&amp;V2664&amp;W2664&amp;X2664&amp;Y2664&amp;Z2664&amp;AA2664&amp;AB2664&amp;AC2664&amp;AD2664&amp;AE2664&amp;AF2664&amp;AG2664</f>
        <v/>
      </c>
      <c r="N2664" s="10">
        <f>TEXT($B$6,"00")</f>
        <v/>
      </c>
      <c r="O2664" s="10">
        <f>REPT(" ",8)</f>
        <v/>
      </c>
      <c r="P2664" s="10">
        <f>RIGHT($B$4,2)</f>
        <v/>
      </c>
      <c r="Q2664" s="10">
        <f>RIGHT($B$5,3)</f>
        <v/>
      </c>
      <c r="R2664" s="10">
        <f>IF(A2664="D",LEFT(UPPER(B2664)&amp;REPT(" ",20),20),REPT(" ",20))</f>
        <v/>
      </c>
      <c r="S2664" s="10">
        <f>IF(A2664="D",LEFT(UPPER(C2664)&amp;REPT(" ",10),10)," ")</f>
        <v/>
      </c>
      <c r="T2664" s="10">
        <f>IF(A2664="D",LEFT(UPPER(D2664)&amp;REPT(" ",2),2)," ")</f>
        <v/>
      </c>
      <c r="U2664" s="10">
        <f>IF(A2664="D",LEFT(UPPER(E2664)&amp;REPT(" ",15),15)," ")</f>
        <v/>
      </c>
      <c r="V2664" s="10">
        <f>REPT(" ",24)</f>
        <v/>
      </c>
      <c r="W2664" s="10">
        <f>IF(A2664="c",LEFT(UPPER(B2664)&amp;REPT(" ",20),20),REPT(" ",20))</f>
        <v/>
      </c>
      <c r="X2664" s="10">
        <f>IF(A2664="C",LEFT(UPPER(C2664)&amp;REPT(" ",10),10)," ")</f>
        <v/>
      </c>
      <c r="Y2664" s="10">
        <f>IF(A2664="C",LEFT(UPPER(D2664)&amp;REPT(" ",2),2)," ")</f>
        <v/>
      </c>
      <c r="Z2664" s="10">
        <f>IF(A2664="C",LEFT(UPPER(E2664)&amp;REPT(" ",15),15)," ")</f>
        <v/>
      </c>
      <c r="AA2664" s="10">
        <f>REPT(" ",8)</f>
        <v/>
      </c>
      <c r="AB2664" s="10">
        <f>REPT(" ",4)</f>
        <v/>
      </c>
      <c r="AC2664" s="10">
        <f>LEFT(UPPER(H2664)&amp;REPT(" ",250),250)</f>
        <v/>
      </c>
      <c r="AD2664" s="10">
        <f>TEXT($G$2,"dd/mm/aaaa")</f>
        <v/>
      </c>
      <c r="AE2664" s="10">
        <f>REPT(" ",10)</f>
        <v/>
      </c>
      <c r="AF2664" s="10">
        <f>REPT(" ",20)</f>
        <v/>
      </c>
      <c r="AG2664" s="54">
        <f>REPT(" ",18-LEN(FIXED(F2664,2,TRUE)))&amp;FIXED(F2664,2,TRUE)</f>
        <v/>
      </c>
      <c r="AH2664" s="10">
        <f>LEN(AC2664)+LEN(AG2664)</f>
        <v/>
      </c>
      <c r="AI2664" s="10">
        <f>LEN(L2664)</f>
        <v/>
      </c>
    </row>
    <row r="2665">
      <c r="J2665" s="12">
        <f>IF(F2665&lt;&gt;0,"LANÇAR","")</f>
        <v/>
      </c>
      <c r="L2665" s="13">
        <f>N2665&amp;O2665&amp;P2665&amp;Q2665&amp;R2665&amp;S2665&amp;T2665&amp;U2665&amp;V2665&amp;W2665&amp;X2665&amp;Y2665&amp;Z2665&amp;AA2665&amp;AB2665&amp;AC2665&amp;AD2665&amp;AE2665&amp;AF2665&amp;AG2665</f>
        <v/>
      </c>
      <c r="N2665" s="10">
        <f>TEXT($B$6,"00")</f>
        <v/>
      </c>
      <c r="O2665" s="10">
        <f>REPT(" ",8)</f>
        <v/>
      </c>
      <c r="P2665" s="10">
        <f>RIGHT($B$4,2)</f>
        <v/>
      </c>
      <c r="Q2665" s="10">
        <f>RIGHT($B$5,3)</f>
        <v/>
      </c>
      <c r="R2665" s="10">
        <f>IF(A2665="D",LEFT(UPPER(B2665)&amp;REPT(" ",20),20),REPT(" ",20))</f>
        <v/>
      </c>
      <c r="S2665" s="10">
        <f>IF(A2665="D",LEFT(UPPER(C2665)&amp;REPT(" ",10),10)," ")</f>
        <v/>
      </c>
      <c r="T2665" s="10">
        <f>IF(A2665="D",LEFT(UPPER(D2665)&amp;REPT(" ",2),2)," ")</f>
        <v/>
      </c>
      <c r="U2665" s="10">
        <f>IF(A2665="D",LEFT(UPPER(E2665)&amp;REPT(" ",15),15)," ")</f>
        <v/>
      </c>
      <c r="V2665" s="10">
        <f>REPT(" ",24)</f>
        <v/>
      </c>
      <c r="W2665" s="10">
        <f>IF(A2665="c",LEFT(UPPER(B2665)&amp;REPT(" ",20),20),REPT(" ",20))</f>
        <v/>
      </c>
      <c r="X2665" s="10">
        <f>IF(A2665="C",LEFT(UPPER(C2665)&amp;REPT(" ",10),10)," ")</f>
        <v/>
      </c>
      <c r="Y2665" s="10">
        <f>IF(A2665="C",LEFT(UPPER(D2665)&amp;REPT(" ",2),2)," ")</f>
        <v/>
      </c>
      <c r="Z2665" s="10">
        <f>IF(A2665="C",LEFT(UPPER(E2665)&amp;REPT(" ",15),15)," ")</f>
        <v/>
      </c>
      <c r="AA2665" s="10">
        <f>REPT(" ",8)</f>
        <v/>
      </c>
      <c r="AB2665" s="10">
        <f>REPT(" ",4)</f>
        <v/>
      </c>
      <c r="AC2665" s="10">
        <f>LEFT(UPPER(H2665)&amp;REPT(" ",250),250)</f>
        <v/>
      </c>
      <c r="AD2665" s="10">
        <f>TEXT($G$2,"dd/mm/aaaa")</f>
        <v/>
      </c>
      <c r="AE2665" s="10">
        <f>REPT(" ",10)</f>
        <v/>
      </c>
      <c r="AF2665" s="10">
        <f>REPT(" ",20)</f>
        <v/>
      </c>
      <c r="AG2665" s="54">
        <f>REPT(" ",18-LEN(FIXED(F2665,2,TRUE)))&amp;FIXED(F2665,2,TRUE)</f>
        <v/>
      </c>
      <c r="AH2665" s="10">
        <f>LEN(AC2665)+LEN(AG2665)</f>
        <v/>
      </c>
      <c r="AI2665" s="10">
        <f>LEN(L2665)</f>
        <v/>
      </c>
    </row>
    <row r="2666">
      <c r="J2666" s="12">
        <f>IF(F2666&lt;&gt;0,"LANÇAR","")</f>
        <v/>
      </c>
      <c r="L2666" s="13">
        <f>N2666&amp;O2666&amp;P2666&amp;Q2666&amp;R2666&amp;S2666&amp;T2666&amp;U2666&amp;V2666&amp;W2666&amp;X2666&amp;Y2666&amp;Z2666&amp;AA2666&amp;AB2666&amp;AC2666&amp;AD2666&amp;AE2666&amp;AF2666&amp;AG2666</f>
        <v/>
      </c>
      <c r="N2666" s="10">
        <f>TEXT($B$6,"00")</f>
        <v/>
      </c>
      <c r="O2666" s="10">
        <f>REPT(" ",8)</f>
        <v/>
      </c>
      <c r="P2666" s="10">
        <f>RIGHT($B$4,2)</f>
        <v/>
      </c>
      <c r="Q2666" s="10">
        <f>RIGHT($B$5,3)</f>
        <v/>
      </c>
      <c r="R2666" s="10">
        <f>IF(A2666="D",LEFT(UPPER(B2666)&amp;REPT(" ",20),20),REPT(" ",20))</f>
        <v/>
      </c>
      <c r="S2666" s="10">
        <f>IF(A2666="D",LEFT(UPPER(C2666)&amp;REPT(" ",10),10)," ")</f>
        <v/>
      </c>
      <c r="T2666" s="10">
        <f>IF(A2666="D",LEFT(UPPER(D2666)&amp;REPT(" ",2),2)," ")</f>
        <v/>
      </c>
      <c r="U2666" s="10">
        <f>IF(A2666="D",LEFT(UPPER(E2666)&amp;REPT(" ",15),15)," ")</f>
        <v/>
      </c>
      <c r="V2666" s="10">
        <f>REPT(" ",24)</f>
        <v/>
      </c>
      <c r="W2666" s="10">
        <f>IF(A2666="c",LEFT(UPPER(B2666)&amp;REPT(" ",20),20),REPT(" ",20))</f>
        <v/>
      </c>
      <c r="X2666" s="10">
        <f>IF(A2666="C",LEFT(UPPER(C2666)&amp;REPT(" ",10),10)," ")</f>
        <v/>
      </c>
      <c r="Y2666" s="10">
        <f>IF(A2666="C",LEFT(UPPER(D2666)&amp;REPT(" ",2),2)," ")</f>
        <v/>
      </c>
      <c r="Z2666" s="10">
        <f>IF(A2666="C",LEFT(UPPER(E2666)&amp;REPT(" ",15),15)," ")</f>
        <v/>
      </c>
      <c r="AA2666" s="10">
        <f>REPT(" ",8)</f>
        <v/>
      </c>
      <c r="AB2666" s="10">
        <f>REPT(" ",4)</f>
        <v/>
      </c>
      <c r="AC2666" s="10">
        <f>LEFT(UPPER(H2666)&amp;REPT(" ",250),250)</f>
        <v/>
      </c>
      <c r="AD2666" s="10">
        <f>TEXT($G$2,"dd/mm/aaaa")</f>
        <v/>
      </c>
      <c r="AE2666" s="10">
        <f>REPT(" ",10)</f>
        <v/>
      </c>
      <c r="AF2666" s="10">
        <f>REPT(" ",20)</f>
        <v/>
      </c>
      <c r="AG2666" s="54">
        <f>REPT(" ",18-LEN(FIXED(F2666,2,TRUE)))&amp;FIXED(F2666,2,TRUE)</f>
        <v/>
      </c>
      <c r="AH2666" s="10">
        <f>LEN(AC2666)+LEN(AG2666)</f>
        <v/>
      </c>
      <c r="AI2666" s="10">
        <f>LEN(L2666)</f>
        <v/>
      </c>
    </row>
    <row r="2667">
      <c r="J2667" s="12">
        <f>IF(F2667&lt;&gt;0,"LANÇAR","")</f>
        <v/>
      </c>
      <c r="L2667" s="13">
        <f>N2667&amp;O2667&amp;P2667&amp;Q2667&amp;R2667&amp;S2667&amp;T2667&amp;U2667&amp;V2667&amp;W2667&amp;X2667&amp;Y2667&amp;Z2667&amp;AA2667&amp;AB2667&amp;AC2667&amp;AD2667&amp;AE2667&amp;AF2667&amp;AG2667</f>
        <v/>
      </c>
      <c r="N2667" s="10">
        <f>TEXT($B$6,"00")</f>
        <v/>
      </c>
      <c r="O2667" s="10">
        <f>REPT(" ",8)</f>
        <v/>
      </c>
      <c r="P2667" s="10">
        <f>RIGHT($B$4,2)</f>
        <v/>
      </c>
      <c r="Q2667" s="10">
        <f>RIGHT($B$5,3)</f>
        <v/>
      </c>
      <c r="R2667" s="10">
        <f>IF(A2667="D",LEFT(UPPER(B2667)&amp;REPT(" ",20),20),REPT(" ",20))</f>
        <v/>
      </c>
      <c r="S2667" s="10">
        <f>IF(A2667="D",LEFT(UPPER(C2667)&amp;REPT(" ",10),10)," ")</f>
        <v/>
      </c>
      <c r="T2667" s="10">
        <f>IF(A2667="D",LEFT(UPPER(D2667)&amp;REPT(" ",2),2)," ")</f>
        <v/>
      </c>
      <c r="U2667" s="10">
        <f>IF(A2667="D",LEFT(UPPER(E2667)&amp;REPT(" ",15),15)," ")</f>
        <v/>
      </c>
      <c r="V2667" s="10">
        <f>REPT(" ",24)</f>
        <v/>
      </c>
      <c r="W2667" s="10">
        <f>IF(A2667="c",LEFT(UPPER(B2667)&amp;REPT(" ",20),20),REPT(" ",20))</f>
        <v/>
      </c>
      <c r="X2667" s="10">
        <f>IF(A2667="C",LEFT(UPPER(C2667)&amp;REPT(" ",10),10)," ")</f>
        <v/>
      </c>
      <c r="Y2667" s="10">
        <f>IF(A2667="C",LEFT(UPPER(D2667)&amp;REPT(" ",2),2)," ")</f>
        <v/>
      </c>
      <c r="Z2667" s="10">
        <f>IF(A2667="C",LEFT(UPPER(E2667)&amp;REPT(" ",15),15)," ")</f>
        <v/>
      </c>
      <c r="AA2667" s="10">
        <f>REPT(" ",8)</f>
        <v/>
      </c>
      <c r="AB2667" s="10">
        <f>REPT(" ",4)</f>
        <v/>
      </c>
      <c r="AC2667" s="10">
        <f>LEFT(UPPER(H2667)&amp;REPT(" ",250),250)</f>
        <v/>
      </c>
      <c r="AD2667" s="10">
        <f>TEXT($G$2,"dd/mm/aaaa")</f>
        <v/>
      </c>
      <c r="AE2667" s="10">
        <f>REPT(" ",10)</f>
        <v/>
      </c>
      <c r="AF2667" s="10">
        <f>REPT(" ",20)</f>
        <v/>
      </c>
      <c r="AG2667" s="54">
        <f>REPT(" ",18-LEN(FIXED(F2667,2,TRUE)))&amp;FIXED(F2667,2,TRUE)</f>
        <v/>
      </c>
      <c r="AH2667" s="10">
        <f>LEN(AC2667)+LEN(AG2667)</f>
        <v/>
      </c>
      <c r="AI2667" s="10">
        <f>LEN(L2667)</f>
        <v/>
      </c>
    </row>
    <row r="2668">
      <c r="J2668" s="12">
        <f>IF(F2668&lt;&gt;0,"LANÇAR","")</f>
        <v/>
      </c>
      <c r="L2668" s="13">
        <f>N2668&amp;O2668&amp;P2668&amp;Q2668&amp;R2668&amp;S2668&amp;T2668&amp;U2668&amp;V2668&amp;W2668&amp;X2668&amp;Y2668&amp;Z2668&amp;AA2668&amp;AB2668&amp;AC2668&amp;AD2668&amp;AE2668&amp;AF2668&amp;AG2668</f>
        <v/>
      </c>
      <c r="N2668" s="10">
        <f>TEXT($B$6,"00")</f>
        <v/>
      </c>
      <c r="O2668" s="10">
        <f>REPT(" ",8)</f>
        <v/>
      </c>
      <c r="P2668" s="10">
        <f>RIGHT($B$4,2)</f>
        <v/>
      </c>
      <c r="Q2668" s="10">
        <f>RIGHT($B$5,3)</f>
        <v/>
      </c>
      <c r="R2668" s="10">
        <f>IF(A2668="D",LEFT(UPPER(B2668)&amp;REPT(" ",20),20),REPT(" ",20))</f>
        <v/>
      </c>
      <c r="S2668" s="10">
        <f>IF(A2668="D",LEFT(UPPER(C2668)&amp;REPT(" ",10),10)," ")</f>
        <v/>
      </c>
      <c r="T2668" s="10">
        <f>IF(A2668="D",LEFT(UPPER(D2668)&amp;REPT(" ",2),2)," ")</f>
        <v/>
      </c>
      <c r="U2668" s="10">
        <f>IF(A2668="D",LEFT(UPPER(E2668)&amp;REPT(" ",15),15)," ")</f>
        <v/>
      </c>
      <c r="V2668" s="10">
        <f>REPT(" ",24)</f>
        <v/>
      </c>
      <c r="W2668" s="10">
        <f>IF(A2668="c",LEFT(UPPER(B2668)&amp;REPT(" ",20),20),REPT(" ",20))</f>
        <v/>
      </c>
      <c r="X2668" s="10">
        <f>IF(A2668="C",LEFT(UPPER(C2668)&amp;REPT(" ",10),10)," ")</f>
        <v/>
      </c>
      <c r="Y2668" s="10">
        <f>IF(A2668="C",LEFT(UPPER(D2668)&amp;REPT(" ",2),2)," ")</f>
        <v/>
      </c>
      <c r="Z2668" s="10">
        <f>IF(A2668="C",LEFT(UPPER(E2668)&amp;REPT(" ",15),15)," ")</f>
        <v/>
      </c>
      <c r="AA2668" s="10">
        <f>REPT(" ",8)</f>
        <v/>
      </c>
      <c r="AB2668" s="10">
        <f>REPT(" ",4)</f>
        <v/>
      </c>
      <c r="AC2668" s="10">
        <f>LEFT(UPPER(H2668)&amp;REPT(" ",250),250)</f>
        <v/>
      </c>
      <c r="AD2668" s="10">
        <f>TEXT($G$2,"dd/mm/aaaa")</f>
        <v/>
      </c>
      <c r="AE2668" s="10">
        <f>REPT(" ",10)</f>
        <v/>
      </c>
      <c r="AF2668" s="10">
        <f>REPT(" ",20)</f>
        <v/>
      </c>
      <c r="AG2668" s="54">
        <f>REPT(" ",18-LEN(FIXED(F2668,2,TRUE)))&amp;FIXED(F2668,2,TRUE)</f>
        <v/>
      </c>
      <c r="AH2668" s="10">
        <f>LEN(AC2668)+LEN(AG2668)</f>
        <v/>
      </c>
      <c r="AI2668" s="10">
        <f>LEN(L2668)</f>
        <v/>
      </c>
    </row>
    <row r="2669">
      <c r="J2669" s="12">
        <f>IF(F2669&lt;&gt;0,"LANÇAR","")</f>
        <v/>
      </c>
      <c r="L2669" s="13">
        <f>N2669&amp;O2669&amp;P2669&amp;Q2669&amp;R2669&amp;S2669&amp;T2669&amp;U2669&amp;V2669&amp;W2669&amp;X2669&amp;Y2669&amp;Z2669&amp;AA2669&amp;AB2669&amp;AC2669&amp;AD2669&amp;AE2669&amp;AF2669&amp;AG2669</f>
        <v/>
      </c>
      <c r="N2669" s="10">
        <f>TEXT($B$6,"00")</f>
        <v/>
      </c>
      <c r="O2669" s="10">
        <f>REPT(" ",8)</f>
        <v/>
      </c>
      <c r="P2669" s="10">
        <f>RIGHT($B$4,2)</f>
        <v/>
      </c>
      <c r="Q2669" s="10">
        <f>RIGHT($B$5,3)</f>
        <v/>
      </c>
      <c r="R2669" s="10">
        <f>IF(A2669="D",LEFT(UPPER(B2669)&amp;REPT(" ",20),20),REPT(" ",20))</f>
        <v/>
      </c>
      <c r="S2669" s="10">
        <f>IF(A2669="D",LEFT(UPPER(C2669)&amp;REPT(" ",10),10)," ")</f>
        <v/>
      </c>
      <c r="T2669" s="10">
        <f>IF(A2669="D",LEFT(UPPER(D2669)&amp;REPT(" ",2),2)," ")</f>
        <v/>
      </c>
      <c r="U2669" s="10">
        <f>IF(A2669="D",LEFT(UPPER(E2669)&amp;REPT(" ",15),15)," ")</f>
        <v/>
      </c>
      <c r="V2669" s="10">
        <f>REPT(" ",24)</f>
        <v/>
      </c>
      <c r="W2669" s="10">
        <f>IF(A2669="c",LEFT(UPPER(B2669)&amp;REPT(" ",20),20),REPT(" ",20))</f>
        <v/>
      </c>
      <c r="X2669" s="10">
        <f>IF(A2669="C",LEFT(UPPER(C2669)&amp;REPT(" ",10),10)," ")</f>
        <v/>
      </c>
      <c r="Y2669" s="10">
        <f>IF(A2669="C",LEFT(UPPER(D2669)&amp;REPT(" ",2),2)," ")</f>
        <v/>
      </c>
      <c r="Z2669" s="10">
        <f>IF(A2669="C",LEFT(UPPER(E2669)&amp;REPT(" ",15),15)," ")</f>
        <v/>
      </c>
      <c r="AA2669" s="10">
        <f>REPT(" ",8)</f>
        <v/>
      </c>
      <c r="AB2669" s="10">
        <f>REPT(" ",4)</f>
        <v/>
      </c>
      <c r="AC2669" s="10">
        <f>LEFT(UPPER(H2669)&amp;REPT(" ",250),250)</f>
        <v/>
      </c>
      <c r="AD2669" s="10">
        <f>TEXT($G$2,"dd/mm/aaaa")</f>
        <v/>
      </c>
      <c r="AE2669" s="10">
        <f>REPT(" ",10)</f>
        <v/>
      </c>
      <c r="AF2669" s="10">
        <f>REPT(" ",20)</f>
        <v/>
      </c>
      <c r="AG2669" s="54">
        <f>REPT(" ",18-LEN(FIXED(F2669,2,TRUE)))&amp;FIXED(F2669,2,TRUE)</f>
        <v/>
      </c>
      <c r="AH2669" s="10">
        <f>LEN(AC2669)+LEN(AG2669)</f>
        <v/>
      </c>
      <c r="AI2669" s="10">
        <f>LEN(L2669)</f>
        <v/>
      </c>
    </row>
    <row r="2670">
      <c r="J2670" s="12">
        <f>IF(F2670&lt;&gt;0,"LANÇAR","")</f>
        <v/>
      </c>
      <c r="L2670" s="13">
        <f>N2670&amp;O2670&amp;P2670&amp;Q2670&amp;R2670&amp;S2670&amp;T2670&amp;U2670&amp;V2670&amp;W2670&amp;X2670&amp;Y2670&amp;Z2670&amp;AA2670&amp;AB2670&amp;AC2670&amp;AD2670&amp;AE2670&amp;AF2670&amp;AG2670</f>
        <v/>
      </c>
      <c r="N2670" s="10">
        <f>TEXT($B$6,"00")</f>
        <v/>
      </c>
      <c r="O2670" s="10">
        <f>REPT(" ",8)</f>
        <v/>
      </c>
      <c r="P2670" s="10">
        <f>RIGHT($B$4,2)</f>
        <v/>
      </c>
      <c r="Q2670" s="10">
        <f>RIGHT($B$5,3)</f>
        <v/>
      </c>
      <c r="R2670" s="10">
        <f>IF(A2670="D",LEFT(UPPER(B2670)&amp;REPT(" ",20),20),REPT(" ",20))</f>
        <v/>
      </c>
      <c r="S2670" s="10">
        <f>IF(A2670="D",LEFT(UPPER(C2670)&amp;REPT(" ",10),10)," ")</f>
        <v/>
      </c>
      <c r="T2670" s="10">
        <f>IF(A2670="D",LEFT(UPPER(D2670)&amp;REPT(" ",2),2)," ")</f>
        <v/>
      </c>
      <c r="U2670" s="10">
        <f>IF(A2670="D",LEFT(UPPER(E2670)&amp;REPT(" ",15),15)," ")</f>
        <v/>
      </c>
      <c r="V2670" s="10">
        <f>REPT(" ",24)</f>
        <v/>
      </c>
      <c r="W2670" s="10">
        <f>IF(A2670="c",LEFT(UPPER(B2670)&amp;REPT(" ",20),20),REPT(" ",20))</f>
        <v/>
      </c>
      <c r="X2670" s="10">
        <f>IF(A2670="C",LEFT(UPPER(C2670)&amp;REPT(" ",10),10)," ")</f>
        <v/>
      </c>
      <c r="Y2670" s="10">
        <f>IF(A2670="C",LEFT(UPPER(D2670)&amp;REPT(" ",2),2)," ")</f>
        <v/>
      </c>
      <c r="Z2670" s="10">
        <f>IF(A2670="C",LEFT(UPPER(E2670)&amp;REPT(" ",15),15)," ")</f>
        <v/>
      </c>
      <c r="AA2670" s="10">
        <f>REPT(" ",8)</f>
        <v/>
      </c>
      <c r="AB2670" s="10">
        <f>REPT(" ",4)</f>
        <v/>
      </c>
      <c r="AC2670" s="10">
        <f>LEFT(UPPER(H2670)&amp;REPT(" ",250),250)</f>
        <v/>
      </c>
      <c r="AD2670" s="10">
        <f>TEXT($G$2,"dd/mm/aaaa")</f>
        <v/>
      </c>
      <c r="AE2670" s="10">
        <f>REPT(" ",10)</f>
        <v/>
      </c>
      <c r="AF2670" s="10">
        <f>REPT(" ",20)</f>
        <v/>
      </c>
      <c r="AG2670" s="54">
        <f>REPT(" ",18-LEN(FIXED(F2670,2,TRUE)))&amp;FIXED(F2670,2,TRUE)</f>
        <v/>
      </c>
      <c r="AH2670" s="10">
        <f>LEN(AC2670)+LEN(AG2670)</f>
        <v/>
      </c>
      <c r="AI2670" s="10">
        <f>LEN(L2670)</f>
        <v/>
      </c>
    </row>
    <row r="2671">
      <c r="J2671" s="12">
        <f>IF(F2671&lt;&gt;0,"LANÇAR","")</f>
        <v/>
      </c>
      <c r="L2671" s="13">
        <f>N2671&amp;O2671&amp;P2671&amp;Q2671&amp;R2671&amp;S2671&amp;T2671&amp;U2671&amp;V2671&amp;W2671&amp;X2671&amp;Y2671&amp;Z2671&amp;AA2671&amp;AB2671&amp;AC2671&amp;AD2671&amp;AE2671&amp;AF2671&amp;AG2671</f>
        <v/>
      </c>
      <c r="N2671" s="10">
        <f>TEXT($B$6,"00")</f>
        <v/>
      </c>
      <c r="O2671" s="10">
        <f>REPT(" ",8)</f>
        <v/>
      </c>
      <c r="P2671" s="10">
        <f>RIGHT($B$4,2)</f>
        <v/>
      </c>
      <c r="Q2671" s="10">
        <f>RIGHT($B$5,3)</f>
        <v/>
      </c>
      <c r="R2671" s="10">
        <f>IF(A2671="D",LEFT(UPPER(B2671)&amp;REPT(" ",20),20),REPT(" ",20))</f>
        <v/>
      </c>
      <c r="S2671" s="10">
        <f>IF(A2671="D",LEFT(UPPER(C2671)&amp;REPT(" ",10),10)," ")</f>
        <v/>
      </c>
      <c r="T2671" s="10">
        <f>IF(A2671="D",LEFT(UPPER(D2671)&amp;REPT(" ",2),2)," ")</f>
        <v/>
      </c>
      <c r="U2671" s="10">
        <f>IF(A2671="D",LEFT(UPPER(E2671)&amp;REPT(" ",15),15)," ")</f>
        <v/>
      </c>
      <c r="V2671" s="10">
        <f>REPT(" ",24)</f>
        <v/>
      </c>
      <c r="W2671" s="10">
        <f>IF(A2671="c",LEFT(UPPER(B2671)&amp;REPT(" ",20),20),REPT(" ",20))</f>
        <v/>
      </c>
      <c r="X2671" s="10">
        <f>IF(A2671="C",LEFT(UPPER(C2671)&amp;REPT(" ",10),10)," ")</f>
        <v/>
      </c>
      <c r="Y2671" s="10">
        <f>IF(A2671="C",LEFT(UPPER(D2671)&amp;REPT(" ",2),2)," ")</f>
        <v/>
      </c>
      <c r="Z2671" s="10">
        <f>IF(A2671="C",LEFT(UPPER(E2671)&amp;REPT(" ",15),15)," ")</f>
        <v/>
      </c>
      <c r="AA2671" s="10">
        <f>REPT(" ",8)</f>
        <v/>
      </c>
      <c r="AB2671" s="10">
        <f>REPT(" ",4)</f>
        <v/>
      </c>
      <c r="AC2671" s="10">
        <f>LEFT(UPPER(H2671)&amp;REPT(" ",250),250)</f>
        <v/>
      </c>
      <c r="AD2671" s="10">
        <f>TEXT($G$2,"dd/mm/aaaa")</f>
        <v/>
      </c>
      <c r="AE2671" s="10">
        <f>REPT(" ",10)</f>
        <v/>
      </c>
      <c r="AF2671" s="10">
        <f>REPT(" ",20)</f>
        <v/>
      </c>
      <c r="AG2671" s="54">
        <f>REPT(" ",18-LEN(FIXED(F2671,2,TRUE)))&amp;FIXED(F2671,2,TRUE)</f>
        <v/>
      </c>
      <c r="AH2671" s="10">
        <f>LEN(AC2671)+LEN(AG2671)</f>
        <v/>
      </c>
      <c r="AI2671" s="10">
        <f>LEN(L2671)</f>
        <v/>
      </c>
    </row>
    <row r="2672">
      <c r="J2672" s="12">
        <f>IF(F2672&lt;&gt;0,"LANÇAR","")</f>
        <v/>
      </c>
      <c r="L2672" s="13">
        <f>N2672&amp;O2672&amp;P2672&amp;Q2672&amp;R2672&amp;S2672&amp;T2672&amp;U2672&amp;V2672&amp;W2672&amp;X2672&amp;Y2672&amp;Z2672&amp;AA2672&amp;AB2672&amp;AC2672&amp;AD2672&amp;AE2672&amp;AF2672&amp;AG2672</f>
        <v/>
      </c>
      <c r="N2672" s="10">
        <f>TEXT($B$6,"00")</f>
        <v/>
      </c>
      <c r="O2672" s="10">
        <f>REPT(" ",8)</f>
        <v/>
      </c>
      <c r="P2672" s="10">
        <f>RIGHT($B$4,2)</f>
        <v/>
      </c>
      <c r="Q2672" s="10">
        <f>RIGHT($B$5,3)</f>
        <v/>
      </c>
      <c r="R2672" s="10">
        <f>IF(A2672="D",LEFT(UPPER(B2672)&amp;REPT(" ",20),20),REPT(" ",20))</f>
        <v/>
      </c>
      <c r="S2672" s="10">
        <f>IF(A2672="D",LEFT(UPPER(C2672)&amp;REPT(" ",10),10)," ")</f>
        <v/>
      </c>
      <c r="T2672" s="10">
        <f>IF(A2672="D",LEFT(UPPER(D2672)&amp;REPT(" ",2),2)," ")</f>
        <v/>
      </c>
      <c r="U2672" s="10">
        <f>IF(A2672="D",LEFT(UPPER(E2672)&amp;REPT(" ",15),15)," ")</f>
        <v/>
      </c>
      <c r="V2672" s="10">
        <f>REPT(" ",24)</f>
        <v/>
      </c>
      <c r="W2672" s="10">
        <f>IF(A2672="c",LEFT(UPPER(B2672)&amp;REPT(" ",20),20),REPT(" ",20))</f>
        <v/>
      </c>
      <c r="X2672" s="10">
        <f>IF(A2672="C",LEFT(UPPER(C2672)&amp;REPT(" ",10),10)," ")</f>
        <v/>
      </c>
      <c r="Y2672" s="10">
        <f>IF(A2672="C",LEFT(UPPER(D2672)&amp;REPT(" ",2),2)," ")</f>
        <v/>
      </c>
      <c r="Z2672" s="10">
        <f>IF(A2672="C",LEFT(UPPER(E2672)&amp;REPT(" ",15),15)," ")</f>
        <v/>
      </c>
      <c r="AA2672" s="10">
        <f>REPT(" ",8)</f>
        <v/>
      </c>
      <c r="AB2672" s="10">
        <f>REPT(" ",4)</f>
        <v/>
      </c>
      <c r="AC2672" s="10">
        <f>LEFT(UPPER(H2672)&amp;REPT(" ",250),250)</f>
        <v/>
      </c>
      <c r="AD2672" s="10">
        <f>TEXT($G$2,"dd/mm/aaaa")</f>
        <v/>
      </c>
      <c r="AE2672" s="10">
        <f>REPT(" ",10)</f>
        <v/>
      </c>
      <c r="AF2672" s="10">
        <f>REPT(" ",20)</f>
        <v/>
      </c>
      <c r="AG2672" s="54">
        <f>REPT(" ",18-LEN(FIXED(F2672,2,TRUE)))&amp;FIXED(F2672,2,TRUE)</f>
        <v/>
      </c>
      <c r="AH2672" s="10">
        <f>LEN(AC2672)+LEN(AG2672)</f>
        <v/>
      </c>
      <c r="AI2672" s="10">
        <f>LEN(L2672)</f>
        <v/>
      </c>
    </row>
    <row r="2673">
      <c r="J2673" s="12">
        <f>IF(F2673&lt;&gt;0,"LANÇAR","")</f>
        <v/>
      </c>
      <c r="L2673" s="13">
        <f>N2673&amp;O2673&amp;P2673&amp;Q2673&amp;R2673&amp;S2673&amp;T2673&amp;U2673&amp;V2673&amp;W2673&amp;X2673&amp;Y2673&amp;Z2673&amp;AA2673&amp;AB2673&amp;AC2673&amp;AD2673&amp;AE2673&amp;AF2673&amp;AG2673</f>
        <v/>
      </c>
      <c r="N2673" s="10">
        <f>TEXT($B$6,"00")</f>
        <v/>
      </c>
      <c r="O2673" s="10">
        <f>REPT(" ",8)</f>
        <v/>
      </c>
      <c r="P2673" s="10">
        <f>RIGHT($B$4,2)</f>
        <v/>
      </c>
      <c r="Q2673" s="10">
        <f>RIGHT($B$5,3)</f>
        <v/>
      </c>
      <c r="R2673" s="10">
        <f>IF(A2673="D",LEFT(UPPER(B2673)&amp;REPT(" ",20),20),REPT(" ",20))</f>
        <v/>
      </c>
      <c r="S2673" s="10">
        <f>IF(A2673="D",LEFT(UPPER(C2673)&amp;REPT(" ",10),10)," ")</f>
        <v/>
      </c>
      <c r="T2673" s="10">
        <f>IF(A2673="D",LEFT(UPPER(D2673)&amp;REPT(" ",2),2)," ")</f>
        <v/>
      </c>
      <c r="U2673" s="10">
        <f>IF(A2673="D",LEFT(UPPER(E2673)&amp;REPT(" ",15),15)," ")</f>
        <v/>
      </c>
      <c r="V2673" s="10">
        <f>REPT(" ",24)</f>
        <v/>
      </c>
      <c r="W2673" s="10">
        <f>IF(A2673="c",LEFT(UPPER(B2673)&amp;REPT(" ",20),20),REPT(" ",20))</f>
        <v/>
      </c>
      <c r="X2673" s="10">
        <f>IF(A2673="C",LEFT(UPPER(C2673)&amp;REPT(" ",10),10)," ")</f>
        <v/>
      </c>
      <c r="Y2673" s="10">
        <f>IF(A2673="C",LEFT(UPPER(D2673)&amp;REPT(" ",2),2)," ")</f>
        <v/>
      </c>
      <c r="Z2673" s="10">
        <f>IF(A2673="C",LEFT(UPPER(E2673)&amp;REPT(" ",15),15)," ")</f>
        <v/>
      </c>
      <c r="AA2673" s="10">
        <f>REPT(" ",8)</f>
        <v/>
      </c>
      <c r="AB2673" s="10">
        <f>REPT(" ",4)</f>
        <v/>
      </c>
      <c r="AC2673" s="10">
        <f>LEFT(UPPER(H2673)&amp;REPT(" ",250),250)</f>
        <v/>
      </c>
      <c r="AD2673" s="10">
        <f>TEXT($G$2,"dd/mm/aaaa")</f>
        <v/>
      </c>
      <c r="AE2673" s="10">
        <f>REPT(" ",10)</f>
        <v/>
      </c>
      <c r="AF2673" s="10">
        <f>REPT(" ",20)</f>
        <v/>
      </c>
      <c r="AG2673" s="54">
        <f>REPT(" ",18-LEN(FIXED(F2673,2,TRUE)))&amp;FIXED(F2673,2,TRUE)</f>
        <v/>
      </c>
      <c r="AH2673" s="10">
        <f>LEN(AC2673)+LEN(AG2673)</f>
        <v/>
      </c>
      <c r="AI2673" s="10">
        <f>LEN(L2673)</f>
        <v/>
      </c>
    </row>
    <row r="2674">
      <c r="J2674" s="12">
        <f>IF(F2674&lt;&gt;0,"LANÇAR","")</f>
        <v/>
      </c>
      <c r="L2674" s="13">
        <f>N2674&amp;O2674&amp;P2674&amp;Q2674&amp;R2674&amp;S2674&amp;T2674&amp;U2674&amp;V2674&amp;W2674&amp;X2674&amp;Y2674&amp;Z2674&amp;AA2674&amp;AB2674&amp;AC2674&amp;AD2674&amp;AE2674&amp;AF2674&amp;AG2674</f>
        <v/>
      </c>
      <c r="N2674" s="10">
        <f>TEXT($B$6,"00")</f>
        <v/>
      </c>
      <c r="O2674" s="10">
        <f>REPT(" ",8)</f>
        <v/>
      </c>
      <c r="P2674" s="10">
        <f>RIGHT($B$4,2)</f>
        <v/>
      </c>
      <c r="Q2674" s="10">
        <f>RIGHT($B$5,3)</f>
        <v/>
      </c>
      <c r="R2674" s="10">
        <f>IF(A2674="D",LEFT(UPPER(B2674)&amp;REPT(" ",20),20),REPT(" ",20))</f>
        <v/>
      </c>
      <c r="S2674" s="10">
        <f>IF(A2674="D",LEFT(UPPER(C2674)&amp;REPT(" ",10),10)," ")</f>
        <v/>
      </c>
      <c r="T2674" s="10">
        <f>IF(A2674="D",LEFT(UPPER(D2674)&amp;REPT(" ",2),2)," ")</f>
        <v/>
      </c>
      <c r="U2674" s="10">
        <f>IF(A2674="D",LEFT(UPPER(E2674)&amp;REPT(" ",15),15)," ")</f>
        <v/>
      </c>
      <c r="V2674" s="10">
        <f>REPT(" ",24)</f>
        <v/>
      </c>
      <c r="W2674" s="10">
        <f>IF(A2674="c",LEFT(UPPER(B2674)&amp;REPT(" ",20),20),REPT(" ",20))</f>
        <v/>
      </c>
      <c r="X2674" s="10">
        <f>IF(A2674="C",LEFT(UPPER(C2674)&amp;REPT(" ",10),10)," ")</f>
        <v/>
      </c>
      <c r="Y2674" s="10">
        <f>IF(A2674="C",LEFT(UPPER(D2674)&amp;REPT(" ",2),2)," ")</f>
        <v/>
      </c>
      <c r="Z2674" s="10">
        <f>IF(A2674="C",LEFT(UPPER(E2674)&amp;REPT(" ",15),15)," ")</f>
        <v/>
      </c>
      <c r="AA2674" s="10">
        <f>REPT(" ",8)</f>
        <v/>
      </c>
      <c r="AB2674" s="10">
        <f>REPT(" ",4)</f>
        <v/>
      </c>
      <c r="AC2674" s="10">
        <f>LEFT(UPPER(H2674)&amp;REPT(" ",250),250)</f>
        <v/>
      </c>
      <c r="AD2674" s="10">
        <f>TEXT($G$2,"dd/mm/aaaa")</f>
        <v/>
      </c>
      <c r="AE2674" s="10">
        <f>REPT(" ",10)</f>
        <v/>
      </c>
      <c r="AF2674" s="10">
        <f>REPT(" ",20)</f>
        <v/>
      </c>
      <c r="AG2674" s="54">
        <f>REPT(" ",18-LEN(FIXED(F2674,2,TRUE)))&amp;FIXED(F2674,2,TRUE)</f>
        <v/>
      </c>
      <c r="AH2674" s="10">
        <f>LEN(AC2674)+LEN(AG2674)</f>
        <v/>
      </c>
      <c r="AI2674" s="10">
        <f>LEN(L2674)</f>
        <v/>
      </c>
    </row>
    <row r="2675">
      <c r="J2675" s="12">
        <f>IF(F2675&lt;&gt;0,"LANÇAR","")</f>
        <v/>
      </c>
      <c r="L2675" s="13">
        <f>N2675&amp;O2675&amp;P2675&amp;Q2675&amp;R2675&amp;S2675&amp;T2675&amp;U2675&amp;V2675&amp;W2675&amp;X2675&amp;Y2675&amp;Z2675&amp;AA2675&amp;AB2675&amp;AC2675&amp;AD2675&amp;AE2675&amp;AF2675&amp;AG2675</f>
        <v/>
      </c>
      <c r="N2675" s="10">
        <f>TEXT($B$6,"00")</f>
        <v/>
      </c>
      <c r="O2675" s="10">
        <f>REPT(" ",8)</f>
        <v/>
      </c>
      <c r="P2675" s="10">
        <f>RIGHT($B$4,2)</f>
        <v/>
      </c>
      <c r="Q2675" s="10">
        <f>RIGHT($B$5,3)</f>
        <v/>
      </c>
      <c r="R2675" s="10">
        <f>IF(A2675="D",LEFT(UPPER(B2675)&amp;REPT(" ",20),20),REPT(" ",20))</f>
        <v/>
      </c>
      <c r="S2675" s="10">
        <f>IF(A2675="D",LEFT(UPPER(C2675)&amp;REPT(" ",10),10)," ")</f>
        <v/>
      </c>
      <c r="T2675" s="10">
        <f>IF(A2675="D",LEFT(UPPER(D2675)&amp;REPT(" ",2),2)," ")</f>
        <v/>
      </c>
      <c r="U2675" s="10">
        <f>IF(A2675="D",LEFT(UPPER(E2675)&amp;REPT(" ",15),15)," ")</f>
        <v/>
      </c>
      <c r="V2675" s="10">
        <f>REPT(" ",24)</f>
        <v/>
      </c>
      <c r="W2675" s="10">
        <f>IF(A2675="c",LEFT(UPPER(B2675)&amp;REPT(" ",20),20),REPT(" ",20))</f>
        <v/>
      </c>
      <c r="X2675" s="10">
        <f>IF(A2675="C",LEFT(UPPER(C2675)&amp;REPT(" ",10),10)," ")</f>
        <v/>
      </c>
      <c r="Y2675" s="10">
        <f>IF(A2675="C",LEFT(UPPER(D2675)&amp;REPT(" ",2),2)," ")</f>
        <v/>
      </c>
      <c r="Z2675" s="10">
        <f>IF(A2675="C",LEFT(UPPER(E2675)&amp;REPT(" ",15),15)," ")</f>
        <v/>
      </c>
      <c r="AA2675" s="10">
        <f>REPT(" ",8)</f>
        <v/>
      </c>
      <c r="AB2675" s="10">
        <f>REPT(" ",4)</f>
        <v/>
      </c>
      <c r="AC2675" s="10">
        <f>LEFT(UPPER(H2675)&amp;REPT(" ",250),250)</f>
        <v/>
      </c>
      <c r="AD2675" s="10">
        <f>TEXT($G$2,"dd/mm/aaaa")</f>
        <v/>
      </c>
      <c r="AE2675" s="10">
        <f>REPT(" ",10)</f>
        <v/>
      </c>
      <c r="AF2675" s="10">
        <f>REPT(" ",20)</f>
        <v/>
      </c>
      <c r="AG2675" s="54">
        <f>REPT(" ",18-LEN(FIXED(F2675,2,TRUE)))&amp;FIXED(F2675,2,TRUE)</f>
        <v/>
      </c>
      <c r="AH2675" s="10">
        <f>LEN(AC2675)+LEN(AG2675)</f>
        <v/>
      </c>
      <c r="AI2675" s="10">
        <f>LEN(L2675)</f>
        <v/>
      </c>
    </row>
    <row r="2676">
      <c r="J2676" s="12">
        <f>IF(F2676&lt;&gt;0,"LANÇAR","")</f>
        <v/>
      </c>
      <c r="L2676" s="13">
        <f>N2676&amp;O2676&amp;P2676&amp;Q2676&amp;R2676&amp;S2676&amp;T2676&amp;U2676&amp;V2676&amp;W2676&amp;X2676&amp;Y2676&amp;Z2676&amp;AA2676&amp;AB2676&amp;AC2676&amp;AD2676&amp;AE2676&amp;AF2676&amp;AG2676</f>
        <v/>
      </c>
      <c r="N2676" s="10">
        <f>TEXT($B$6,"00")</f>
        <v/>
      </c>
      <c r="O2676" s="10">
        <f>REPT(" ",8)</f>
        <v/>
      </c>
      <c r="P2676" s="10">
        <f>RIGHT($B$4,2)</f>
        <v/>
      </c>
      <c r="Q2676" s="10">
        <f>RIGHT($B$5,3)</f>
        <v/>
      </c>
      <c r="R2676" s="10">
        <f>IF(A2676="D",LEFT(UPPER(B2676)&amp;REPT(" ",20),20),REPT(" ",20))</f>
        <v/>
      </c>
      <c r="S2676" s="10">
        <f>IF(A2676="D",LEFT(UPPER(C2676)&amp;REPT(" ",10),10)," ")</f>
        <v/>
      </c>
      <c r="T2676" s="10">
        <f>IF(A2676="D",LEFT(UPPER(D2676)&amp;REPT(" ",2),2)," ")</f>
        <v/>
      </c>
      <c r="U2676" s="10">
        <f>IF(A2676="D",LEFT(UPPER(E2676)&amp;REPT(" ",15),15)," ")</f>
        <v/>
      </c>
      <c r="V2676" s="10">
        <f>REPT(" ",24)</f>
        <v/>
      </c>
      <c r="W2676" s="10">
        <f>IF(A2676="c",LEFT(UPPER(B2676)&amp;REPT(" ",20),20),REPT(" ",20))</f>
        <v/>
      </c>
      <c r="X2676" s="10">
        <f>IF(A2676="C",LEFT(UPPER(C2676)&amp;REPT(" ",10),10)," ")</f>
        <v/>
      </c>
      <c r="Y2676" s="10">
        <f>IF(A2676="C",LEFT(UPPER(D2676)&amp;REPT(" ",2),2)," ")</f>
        <v/>
      </c>
      <c r="Z2676" s="10">
        <f>IF(A2676="C",LEFT(UPPER(E2676)&amp;REPT(" ",15),15)," ")</f>
        <v/>
      </c>
      <c r="AA2676" s="10">
        <f>REPT(" ",8)</f>
        <v/>
      </c>
      <c r="AB2676" s="10">
        <f>REPT(" ",4)</f>
        <v/>
      </c>
      <c r="AC2676" s="10">
        <f>LEFT(UPPER(H2676)&amp;REPT(" ",250),250)</f>
        <v/>
      </c>
      <c r="AD2676" s="10">
        <f>TEXT($G$2,"dd/mm/aaaa")</f>
        <v/>
      </c>
      <c r="AE2676" s="10">
        <f>REPT(" ",10)</f>
        <v/>
      </c>
      <c r="AF2676" s="10">
        <f>REPT(" ",20)</f>
        <v/>
      </c>
      <c r="AG2676" s="54">
        <f>REPT(" ",18-LEN(FIXED(F2676,2,TRUE)))&amp;FIXED(F2676,2,TRUE)</f>
        <v/>
      </c>
      <c r="AH2676" s="10">
        <f>LEN(AC2676)+LEN(AG2676)</f>
        <v/>
      </c>
      <c r="AI2676" s="10">
        <f>LEN(L2676)</f>
        <v/>
      </c>
    </row>
    <row r="2677">
      <c r="J2677" s="12">
        <f>IF(F2677&lt;&gt;0,"LANÇAR","")</f>
        <v/>
      </c>
      <c r="L2677" s="13">
        <f>N2677&amp;O2677&amp;P2677&amp;Q2677&amp;R2677&amp;S2677&amp;T2677&amp;U2677&amp;V2677&amp;W2677&amp;X2677&amp;Y2677&amp;Z2677&amp;AA2677&amp;AB2677&amp;AC2677&amp;AD2677&amp;AE2677&amp;AF2677&amp;AG2677</f>
        <v/>
      </c>
      <c r="N2677" s="10">
        <f>TEXT($B$6,"00")</f>
        <v/>
      </c>
      <c r="O2677" s="10">
        <f>REPT(" ",8)</f>
        <v/>
      </c>
      <c r="P2677" s="10">
        <f>RIGHT($B$4,2)</f>
        <v/>
      </c>
      <c r="Q2677" s="10">
        <f>RIGHT($B$5,3)</f>
        <v/>
      </c>
      <c r="R2677" s="10">
        <f>IF(A2677="D",LEFT(UPPER(B2677)&amp;REPT(" ",20),20),REPT(" ",20))</f>
        <v/>
      </c>
      <c r="S2677" s="10">
        <f>IF(A2677="D",LEFT(UPPER(C2677)&amp;REPT(" ",10),10)," ")</f>
        <v/>
      </c>
      <c r="T2677" s="10">
        <f>IF(A2677="D",LEFT(UPPER(D2677)&amp;REPT(" ",2),2)," ")</f>
        <v/>
      </c>
      <c r="U2677" s="10">
        <f>IF(A2677="D",LEFT(UPPER(E2677)&amp;REPT(" ",15),15)," ")</f>
        <v/>
      </c>
      <c r="V2677" s="10">
        <f>REPT(" ",24)</f>
        <v/>
      </c>
      <c r="W2677" s="10">
        <f>IF(A2677="c",LEFT(UPPER(B2677)&amp;REPT(" ",20),20),REPT(" ",20))</f>
        <v/>
      </c>
      <c r="X2677" s="10">
        <f>IF(A2677="C",LEFT(UPPER(C2677)&amp;REPT(" ",10),10)," ")</f>
        <v/>
      </c>
      <c r="Y2677" s="10">
        <f>IF(A2677="C",LEFT(UPPER(D2677)&amp;REPT(" ",2),2)," ")</f>
        <v/>
      </c>
      <c r="Z2677" s="10">
        <f>IF(A2677="C",LEFT(UPPER(E2677)&amp;REPT(" ",15),15)," ")</f>
        <v/>
      </c>
      <c r="AA2677" s="10">
        <f>REPT(" ",8)</f>
        <v/>
      </c>
      <c r="AB2677" s="10">
        <f>REPT(" ",4)</f>
        <v/>
      </c>
      <c r="AC2677" s="10">
        <f>LEFT(UPPER(H2677)&amp;REPT(" ",250),250)</f>
        <v/>
      </c>
      <c r="AD2677" s="10">
        <f>TEXT($G$2,"dd/mm/aaaa")</f>
        <v/>
      </c>
      <c r="AE2677" s="10">
        <f>REPT(" ",10)</f>
        <v/>
      </c>
      <c r="AF2677" s="10">
        <f>REPT(" ",20)</f>
        <v/>
      </c>
      <c r="AG2677" s="54">
        <f>REPT(" ",18-LEN(FIXED(F2677,2,TRUE)))&amp;FIXED(F2677,2,TRUE)</f>
        <v/>
      </c>
      <c r="AH2677" s="10">
        <f>LEN(AC2677)+LEN(AG2677)</f>
        <v/>
      </c>
      <c r="AI2677" s="10">
        <f>LEN(L2677)</f>
        <v/>
      </c>
    </row>
    <row r="2678">
      <c r="J2678" s="12">
        <f>IF(F2678&lt;&gt;0,"LANÇAR","")</f>
        <v/>
      </c>
      <c r="L2678" s="13">
        <f>N2678&amp;O2678&amp;P2678&amp;Q2678&amp;R2678&amp;S2678&amp;T2678&amp;U2678&amp;V2678&amp;W2678&amp;X2678&amp;Y2678&amp;Z2678&amp;AA2678&amp;AB2678&amp;AC2678&amp;AD2678&amp;AE2678&amp;AF2678&amp;AG2678</f>
        <v/>
      </c>
      <c r="N2678" s="10">
        <f>TEXT($B$6,"00")</f>
        <v/>
      </c>
      <c r="O2678" s="10">
        <f>REPT(" ",8)</f>
        <v/>
      </c>
      <c r="P2678" s="10">
        <f>RIGHT($B$4,2)</f>
        <v/>
      </c>
      <c r="Q2678" s="10">
        <f>RIGHT($B$5,3)</f>
        <v/>
      </c>
      <c r="R2678" s="10">
        <f>IF(A2678="D",LEFT(UPPER(B2678)&amp;REPT(" ",20),20),REPT(" ",20))</f>
        <v/>
      </c>
      <c r="S2678" s="10">
        <f>IF(A2678="D",LEFT(UPPER(C2678)&amp;REPT(" ",10),10)," ")</f>
        <v/>
      </c>
      <c r="T2678" s="10">
        <f>IF(A2678="D",LEFT(UPPER(D2678)&amp;REPT(" ",2),2)," ")</f>
        <v/>
      </c>
      <c r="U2678" s="10">
        <f>IF(A2678="D",LEFT(UPPER(E2678)&amp;REPT(" ",15),15)," ")</f>
        <v/>
      </c>
      <c r="V2678" s="10">
        <f>REPT(" ",24)</f>
        <v/>
      </c>
      <c r="W2678" s="10">
        <f>IF(A2678="c",LEFT(UPPER(B2678)&amp;REPT(" ",20),20),REPT(" ",20))</f>
        <v/>
      </c>
      <c r="X2678" s="10">
        <f>IF(A2678="C",LEFT(UPPER(C2678)&amp;REPT(" ",10),10)," ")</f>
        <v/>
      </c>
      <c r="Y2678" s="10">
        <f>IF(A2678="C",LEFT(UPPER(D2678)&amp;REPT(" ",2),2)," ")</f>
        <v/>
      </c>
      <c r="Z2678" s="10">
        <f>IF(A2678="C",LEFT(UPPER(E2678)&amp;REPT(" ",15),15)," ")</f>
        <v/>
      </c>
      <c r="AA2678" s="10">
        <f>REPT(" ",8)</f>
        <v/>
      </c>
      <c r="AB2678" s="10">
        <f>REPT(" ",4)</f>
        <v/>
      </c>
      <c r="AC2678" s="10">
        <f>LEFT(UPPER(H2678)&amp;REPT(" ",250),250)</f>
        <v/>
      </c>
      <c r="AD2678" s="10">
        <f>TEXT($G$2,"dd/mm/aaaa")</f>
        <v/>
      </c>
      <c r="AE2678" s="10">
        <f>REPT(" ",10)</f>
        <v/>
      </c>
      <c r="AF2678" s="10">
        <f>REPT(" ",20)</f>
        <v/>
      </c>
      <c r="AG2678" s="54">
        <f>REPT(" ",18-LEN(FIXED(F2678,2,TRUE)))&amp;FIXED(F2678,2,TRUE)</f>
        <v/>
      </c>
      <c r="AH2678" s="10">
        <f>LEN(AC2678)+LEN(AG2678)</f>
        <v/>
      </c>
      <c r="AI2678" s="10">
        <f>LEN(L2678)</f>
        <v/>
      </c>
    </row>
    <row r="2679">
      <c r="J2679" s="12">
        <f>IF(F2679&lt;&gt;0,"LANÇAR","")</f>
        <v/>
      </c>
      <c r="L2679" s="13">
        <f>N2679&amp;O2679&amp;P2679&amp;Q2679&amp;R2679&amp;S2679&amp;T2679&amp;U2679&amp;V2679&amp;W2679&amp;X2679&amp;Y2679&amp;Z2679&amp;AA2679&amp;AB2679&amp;AC2679&amp;AD2679&amp;AE2679&amp;AF2679&amp;AG2679</f>
        <v/>
      </c>
      <c r="N2679" s="10">
        <f>TEXT($B$6,"00")</f>
        <v/>
      </c>
      <c r="O2679" s="10">
        <f>REPT(" ",8)</f>
        <v/>
      </c>
      <c r="P2679" s="10">
        <f>RIGHT($B$4,2)</f>
        <v/>
      </c>
      <c r="Q2679" s="10">
        <f>RIGHT($B$5,3)</f>
        <v/>
      </c>
      <c r="R2679" s="10">
        <f>IF(A2679="D",LEFT(UPPER(B2679)&amp;REPT(" ",20),20),REPT(" ",20))</f>
        <v/>
      </c>
      <c r="S2679" s="10">
        <f>IF(A2679="D",LEFT(UPPER(C2679)&amp;REPT(" ",10),10)," ")</f>
        <v/>
      </c>
      <c r="T2679" s="10">
        <f>IF(A2679="D",LEFT(UPPER(D2679)&amp;REPT(" ",2),2)," ")</f>
        <v/>
      </c>
      <c r="U2679" s="10">
        <f>IF(A2679="D",LEFT(UPPER(E2679)&amp;REPT(" ",15),15)," ")</f>
        <v/>
      </c>
      <c r="V2679" s="10">
        <f>REPT(" ",24)</f>
        <v/>
      </c>
      <c r="W2679" s="10">
        <f>IF(A2679="c",LEFT(UPPER(B2679)&amp;REPT(" ",20),20),REPT(" ",20))</f>
        <v/>
      </c>
      <c r="X2679" s="10">
        <f>IF(A2679="C",LEFT(UPPER(C2679)&amp;REPT(" ",10),10)," ")</f>
        <v/>
      </c>
      <c r="Y2679" s="10">
        <f>IF(A2679="C",LEFT(UPPER(D2679)&amp;REPT(" ",2),2)," ")</f>
        <v/>
      </c>
      <c r="Z2679" s="10">
        <f>IF(A2679="C",LEFT(UPPER(E2679)&amp;REPT(" ",15),15)," ")</f>
        <v/>
      </c>
      <c r="AA2679" s="10">
        <f>REPT(" ",8)</f>
        <v/>
      </c>
      <c r="AB2679" s="10">
        <f>REPT(" ",4)</f>
        <v/>
      </c>
      <c r="AC2679" s="10">
        <f>LEFT(UPPER(H2679)&amp;REPT(" ",250),250)</f>
        <v/>
      </c>
      <c r="AD2679" s="10">
        <f>TEXT($G$2,"dd/mm/aaaa")</f>
        <v/>
      </c>
      <c r="AE2679" s="10">
        <f>REPT(" ",10)</f>
        <v/>
      </c>
      <c r="AF2679" s="10">
        <f>REPT(" ",20)</f>
        <v/>
      </c>
      <c r="AG2679" s="54">
        <f>REPT(" ",18-LEN(FIXED(F2679,2,TRUE)))&amp;FIXED(F2679,2,TRUE)</f>
        <v/>
      </c>
      <c r="AH2679" s="10">
        <f>LEN(AC2679)+LEN(AG2679)</f>
        <v/>
      </c>
      <c r="AI2679" s="10">
        <f>LEN(L2679)</f>
        <v/>
      </c>
    </row>
    <row r="2680">
      <c r="J2680" s="12">
        <f>IF(F2680&lt;&gt;0,"LANÇAR","")</f>
        <v/>
      </c>
      <c r="L2680" s="13">
        <f>N2680&amp;O2680&amp;P2680&amp;Q2680&amp;R2680&amp;S2680&amp;T2680&amp;U2680&amp;V2680&amp;W2680&amp;X2680&amp;Y2680&amp;Z2680&amp;AA2680&amp;AB2680&amp;AC2680&amp;AD2680&amp;AE2680&amp;AF2680&amp;AG2680</f>
        <v/>
      </c>
      <c r="N2680" s="10">
        <f>TEXT($B$6,"00")</f>
        <v/>
      </c>
      <c r="O2680" s="10">
        <f>REPT(" ",8)</f>
        <v/>
      </c>
      <c r="P2680" s="10">
        <f>RIGHT($B$4,2)</f>
        <v/>
      </c>
      <c r="Q2680" s="10">
        <f>RIGHT($B$5,3)</f>
        <v/>
      </c>
      <c r="R2680" s="10">
        <f>IF(A2680="D",LEFT(UPPER(B2680)&amp;REPT(" ",20),20),REPT(" ",20))</f>
        <v/>
      </c>
      <c r="S2680" s="10">
        <f>IF(A2680="D",LEFT(UPPER(C2680)&amp;REPT(" ",10),10)," ")</f>
        <v/>
      </c>
      <c r="T2680" s="10">
        <f>IF(A2680="D",LEFT(UPPER(D2680)&amp;REPT(" ",2),2)," ")</f>
        <v/>
      </c>
      <c r="U2680" s="10">
        <f>IF(A2680="D",LEFT(UPPER(E2680)&amp;REPT(" ",15),15)," ")</f>
        <v/>
      </c>
      <c r="V2680" s="10">
        <f>REPT(" ",24)</f>
        <v/>
      </c>
      <c r="W2680" s="10">
        <f>IF(A2680="c",LEFT(UPPER(B2680)&amp;REPT(" ",20),20),REPT(" ",20))</f>
        <v/>
      </c>
      <c r="X2680" s="10">
        <f>IF(A2680="C",LEFT(UPPER(C2680)&amp;REPT(" ",10),10)," ")</f>
        <v/>
      </c>
      <c r="Y2680" s="10">
        <f>IF(A2680="C",LEFT(UPPER(D2680)&amp;REPT(" ",2),2)," ")</f>
        <v/>
      </c>
      <c r="Z2680" s="10">
        <f>IF(A2680="C",LEFT(UPPER(E2680)&amp;REPT(" ",15),15)," ")</f>
        <v/>
      </c>
      <c r="AA2680" s="10">
        <f>REPT(" ",8)</f>
        <v/>
      </c>
      <c r="AB2680" s="10">
        <f>REPT(" ",4)</f>
        <v/>
      </c>
      <c r="AC2680" s="10">
        <f>LEFT(UPPER(H2680)&amp;REPT(" ",250),250)</f>
        <v/>
      </c>
      <c r="AD2680" s="10">
        <f>TEXT($G$2,"dd/mm/aaaa")</f>
        <v/>
      </c>
      <c r="AE2680" s="10">
        <f>REPT(" ",10)</f>
        <v/>
      </c>
      <c r="AF2680" s="10">
        <f>REPT(" ",20)</f>
        <v/>
      </c>
      <c r="AG2680" s="54">
        <f>REPT(" ",18-LEN(FIXED(F2680,2,TRUE)))&amp;FIXED(F2680,2,TRUE)</f>
        <v/>
      </c>
      <c r="AH2680" s="10">
        <f>LEN(AC2680)+LEN(AG2680)</f>
        <v/>
      </c>
      <c r="AI2680" s="10">
        <f>LEN(L2680)</f>
        <v/>
      </c>
    </row>
    <row r="2681">
      <c r="J2681" s="12">
        <f>IF(F2681&lt;&gt;0,"LANÇAR","")</f>
        <v/>
      </c>
      <c r="L2681" s="13">
        <f>N2681&amp;O2681&amp;P2681&amp;Q2681&amp;R2681&amp;S2681&amp;T2681&amp;U2681&amp;V2681&amp;W2681&amp;X2681&amp;Y2681&amp;Z2681&amp;AA2681&amp;AB2681&amp;AC2681&amp;AD2681&amp;AE2681&amp;AF2681&amp;AG2681</f>
        <v/>
      </c>
      <c r="N2681" s="10">
        <f>TEXT($B$6,"00")</f>
        <v/>
      </c>
      <c r="O2681" s="10">
        <f>REPT(" ",8)</f>
        <v/>
      </c>
      <c r="P2681" s="10">
        <f>RIGHT($B$4,2)</f>
        <v/>
      </c>
      <c r="Q2681" s="10">
        <f>RIGHT($B$5,3)</f>
        <v/>
      </c>
      <c r="R2681" s="10">
        <f>IF(A2681="D",LEFT(UPPER(B2681)&amp;REPT(" ",20),20),REPT(" ",20))</f>
        <v/>
      </c>
      <c r="S2681" s="10">
        <f>IF(A2681="D",LEFT(UPPER(C2681)&amp;REPT(" ",10),10)," ")</f>
        <v/>
      </c>
      <c r="T2681" s="10">
        <f>IF(A2681="D",LEFT(UPPER(D2681)&amp;REPT(" ",2),2)," ")</f>
        <v/>
      </c>
      <c r="U2681" s="10">
        <f>IF(A2681="D",LEFT(UPPER(E2681)&amp;REPT(" ",15),15)," ")</f>
        <v/>
      </c>
      <c r="V2681" s="10">
        <f>REPT(" ",24)</f>
        <v/>
      </c>
      <c r="W2681" s="10">
        <f>IF(A2681="c",LEFT(UPPER(B2681)&amp;REPT(" ",20),20),REPT(" ",20))</f>
        <v/>
      </c>
      <c r="X2681" s="10">
        <f>IF(A2681="C",LEFT(UPPER(C2681)&amp;REPT(" ",10),10)," ")</f>
        <v/>
      </c>
      <c r="Y2681" s="10">
        <f>IF(A2681="C",LEFT(UPPER(D2681)&amp;REPT(" ",2),2)," ")</f>
        <v/>
      </c>
      <c r="Z2681" s="10">
        <f>IF(A2681="C",LEFT(UPPER(E2681)&amp;REPT(" ",15),15)," ")</f>
        <v/>
      </c>
      <c r="AA2681" s="10">
        <f>REPT(" ",8)</f>
        <v/>
      </c>
      <c r="AB2681" s="10">
        <f>REPT(" ",4)</f>
        <v/>
      </c>
      <c r="AC2681" s="10">
        <f>LEFT(UPPER(H2681)&amp;REPT(" ",250),250)</f>
        <v/>
      </c>
      <c r="AD2681" s="10">
        <f>TEXT($G$2,"dd/mm/aaaa")</f>
        <v/>
      </c>
      <c r="AE2681" s="10">
        <f>REPT(" ",10)</f>
        <v/>
      </c>
      <c r="AF2681" s="10">
        <f>REPT(" ",20)</f>
        <v/>
      </c>
      <c r="AG2681" s="54">
        <f>REPT(" ",18-LEN(FIXED(F2681,2,TRUE)))&amp;FIXED(F2681,2,TRUE)</f>
        <v/>
      </c>
      <c r="AH2681" s="10">
        <f>LEN(AC2681)+LEN(AG2681)</f>
        <v/>
      </c>
      <c r="AI2681" s="10">
        <f>LEN(L2681)</f>
        <v/>
      </c>
    </row>
    <row r="2682">
      <c r="J2682" s="12">
        <f>IF(F2682&lt;&gt;0,"LANÇAR","")</f>
        <v/>
      </c>
      <c r="L2682" s="13">
        <f>N2682&amp;O2682&amp;P2682&amp;Q2682&amp;R2682&amp;S2682&amp;T2682&amp;U2682&amp;V2682&amp;W2682&amp;X2682&amp;Y2682&amp;Z2682&amp;AA2682&amp;AB2682&amp;AC2682&amp;AD2682&amp;AE2682&amp;AF2682&amp;AG2682</f>
        <v/>
      </c>
      <c r="N2682" s="10">
        <f>TEXT($B$6,"00")</f>
        <v/>
      </c>
      <c r="O2682" s="10">
        <f>REPT(" ",8)</f>
        <v/>
      </c>
      <c r="P2682" s="10">
        <f>RIGHT($B$4,2)</f>
        <v/>
      </c>
      <c r="Q2682" s="10">
        <f>RIGHT($B$5,3)</f>
        <v/>
      </c>
      <c r="R2682" s="10">
        <f>IF(A2682="D",LEFT(UPPER(B2682)&amp;REPT(" ",20),20),REPT(" ",20))</f>
        <v/>
      </c>
      <c r="S2682" s="10">
        <f>IF(A2682="D",LEFT(UPPER(C2682)&amp;REPT(" ",10),10)," ")</f>
        <v/>
      </c>
      <c r="T2682" s="10">
        <f>IF(A2682="D",LEFT(UPPER(D2682)&amp;REPT(" ",2),2)," ")</f>
        <v/>
      </c>
      <c r="U2682" s="10">
        <f>IF(A2682="D",LEFT(UPPER(E2682)&amp;REPT(" ",15),15)," ")</f>
        <v/>
      </c>
      <c r="V2682" s="10">
        <f>REPT(" ",24)</f>
        <v/>
      </c>
      <c r="W2682" s="10">
        <f>IF(A2682="c",LEFT(UPPER(B2682)&amp;REPT(" ",20),20),REPT(" ",20))</f>
        <v/>
      </c>
      <c r="X2682" s="10">
        <f>IF(A2682="C",LEFT(UPPER(C2682)&amp;REPT(" ",10),10)," ")</f>
        <v/>
      </c>
      <c r="Y2682" s="10">
        <f>IF(A2682="C",LEFT(UPPER(D2682)&amp;REPT(" ",2),2)," ")</f>
        <v/>
      </c>
      <c r="Z2682" s="10">
        <f>IF(A2682="C",LEFT(UPPER(E2682)&amp;REPT(" ",15),15)," ")</f>
        <v/>
      </c>
      <c r="AA2682" s="10">
        <f>REPT(" ",8)</f>
        <v/>
      </c>
      <c r="AB2682" s="10">
        <f>REPT(" ",4)</f>
        <v/>
      </c>
      <c r="AC2682" s="10">
        <f>LEFT(UPPER(H2682)&amp;REPT(" ",250),250)</f>
        <v/>
      </c>
      <c r="AD2682" s="10">
        <f>TEXT($G$2,"dd/mm/aaaa")</f>
        <v/>
      </c>
      <c r="AE2682" s="10">
        <f>REPT(" ",10)</f>
        <v/>
      </c>
      <c r="AF2682" s="10">
        <f>REPT(" ",20)</f>
        <v/>
      </c>
      <c r="AG2682" s="54">
        <f>REPT(" ",18-LEN(FIXED(F2682,2,TRUE)))&amp;FIXED(F2682,2,TRUE)</f>
        <v/>
      </c>
      <c r="AH2682" s="10">
        <f>LEN(AC2682)+LEN(AG2682)</f>
        <v/>
      </c>
      <c r="AI2682" s="10">
        <f>LEN(L2682)</f>
        <v/>
      </c>
    </row>
    <row r="2683">
      <c r="J2683" s="12">
        <f>IF(F2683&lt;&gt;0,"LANÇAR","")</f>
        <v/>
      </c>
      <c r="L2683" s="13">
        <f>N2683&amp;O2683&amp;P2683&amp;Q2683&amp;R2683&amp;S2683&amp;T2683&amp;U2683&amp;V2683&amp;W2683&amp;X2683&amp;Y2683&amp;Z2683&amp;AA2683&amp;AB2683&amp;AC2683&amp;AD2683&amp;AE2683&amp;AF2683&amp;AG2683</f>
        <v/>
      </c>
      <c r="N2683" s="10">
        <f>TEXT($B$6,"00")</f>
        <v/>
      </c>
      <c r="O2683" s="10">
        <f>REPT(" ",8)</f>
        <v/>
      </c>
      <c r="P2683" s="10">
        <f>RIGHT($B$4,2)</f>
        <v/>
      </c>
      <c r="Q2683" s="10">
        <f>RIGHT($B$5,3)</f>
        <v/>
      </c>
      <c r="R2683" s="10">
        <f>IF(A2683="D",LEFT(UPPER(B2683)&amp;REPT(" ",20),20),REPT(" ",20))</f>
        <v/>
      </c>
      <c r="S2683" s="10">
        <f>IF(A2683="D",LEFT(UPPER(C2683)&amp;REPT(" ",10),10)," ")</f>
        <v/>
      </c>
      <c r="T2683" s="10">
        <f>IF(A2683="D",LEFT(UPPER(D2683)&amp;REPT(" ",2),2)," ")</f>
        <v/>
      </c>
      <c r="U2683" s="10">
        <f>IF(A2683="D",LEFT(UPPER(E2683)&amp;REPT(" ",15),15)," ")</f>
        <v/>
      </c>
      <c r="V2683" s="10">
        <f>REPT(" ",24)</f>
        <v/>
      </c>
      <c r="W2683" s="10">
        <f>IF(A2683="c",LEFT(UPPER(B2683)&amp;REPT(" ",20),20),REPT(" ",20))</f>
        <v/>
      </c>
      <c r="X2683" s="10">
        <f>IF(A2683="C",LEFT(UPPER(C2683)&amp;REPT(" ",10),10)," ")</f>
        <v/>
      </c>
      <c r="Y2683" s="10">
        <f>IF(A2683="C",LEFT(UPPER(D2683)&amp;REPT(" ",2),2)," ")</f>
        <v/>
      </c>
      <c r="Z2683" s="10">
        <f>IF(A2683="C",LEFT(UPPER(E2683)&amp;REPT(" ",15),15)," ")</f>
        <v/>
      </c>
      <c r="AA2683" s="10">
        <f>REPT(" ",8)</f>
        <v/>
      </c>
      <c r="AB2683" s="10">
        <f>REPT(" ",4)</f>
        <v/>
      </c>
      <c r="AC2683" s="10">
        <f>LEFT(UPPER(H2683)&amp;REPT(" ",250),250)</f>
        <v/>
      </c>
      <c r="AD2683" s="10">
        <f>TEXT($G$2,"dd/mm/aaaa")</f>
        <v/>
      </c>
      <c r="AE2683" s="10">
        <f>REPT(" ",10)</f>
        <v/>
      </c>
      <c r="AF2683" s="10">
        <f>REPT(" ",20)</f>
        <v/>
      </c>
      <c r="AG2683" s="54">
        <f>REPT(" ",18-LEN(FIXED(F2683,2,TRUE)))&amp;FIXED(F2683,2,TRUE)</f>
        <v/>
      </c>
      <c r="AH2683" s="10">
        <f>LEN(AC2683)+LEN(AG2683)</f>
        <v/>
      </c>
      <c r="AI2683" s="10">
        <f>LEN(L2683)</f>
        <v/>
      </c>
    </row>
    <row r="2684">
      <c r="J2684" s="12">
        <f>IF(F2684&lt;&gt;0,"LANÇAR","")</f>
        <v/>
      </c>
      <c r="L2684" s="13">
        <f>N2684&amp;O2684&amp;P2684&amp;Q2684&amp;R2684&amp;S2684&amp;T2684&amp;U2684&amp;V2684&amp;W2684&amp;X2684&amp;Y2684&amp;Z2684&amp;AA2684&amp;AB2684&amp;AC2684&amp;AD2684&amp;AE2684&amp;AF2684&amp;AG2684</f>
        <v/>
      </c>
      <c r="N2684" s="10">
        <f>TEXT($B$6,"00")</f>
        <v/>
      </c>
      <c r="O2684" s="10">
        <f>REPT(" ",8)</f>
        <v/>
      </c>
      <c r="P2684" s="10">
        <f>RIGHT($B$4,2)</f>
        <v/>
      </c>
      <c r="Q2684" s="10">
        <f>RIGHT($B$5,3)</f>
        <v/>
      </c>
      <c r="R2684" s="10">
        <f>IF(A2684="D",LEFT(UPPER(B2684)&amp;REPT(" ",20),20),REPT(" ",20))</f>
        <v/>
      </c>
      <c r="S2684" s="10">
        <f>IF(A2684="D",LEFT(UPPER(C2684)&amp;REPT(" ",10),10)," ")</f>
        <v/>
      </c>
      <c r="T2684" s="10">
        <f>IF(A2684="D",LEFT(UPPER(D2684)&amp;REPT(" ",2),2)," ")</f>
        <v/>
      </c>
      <c r="U2684" s="10">
        <f>IF(A2684="D",LEFT(UPPER(E2684)&amp;REPT(" ",15),15)," ")</f>
        <v/>
      </c>
      <c r="V2684" s="10">
        <f>REPT(" ",24)</f>
        <v/>
      </c>
      <c r="W2684" s="10">
        <f>IF(A2684="c",LEFT(UPPER(B2684)&amp;REPT(" ",20),20),REPT(" ",20))</f>
        <v/>
      </c>
      <c r="X2684" s="10">
        <f>IF(A2684="C",LEFT(UPPER(C2684)&amp;REPT(" ",10),10)," ")</f>
        <v/>
      </c>
      <c r="Y2684" s="10">
        <f>IF(A2684="C",LEFT(UPPER(D2684)&amp;REPT(" ",2),2)," ")</f>
        <v/>
      </c>
      <c r="Z2684" s="10">
        <f>IF(A2684="C",LEFT(UPPER(E2684)&amp;REPT(" ",15),15)," ")</f>
        <v/>
      </c>
      <c r="AA2684" s="10">
        <f>REPT(" ",8)</f>
        <v/>
      </c>
      <c r="AB2684" s="10">
        <f>REPT(" ",4)</f>
        <v/>
      </c>
      <c r="AC2684" s="10">
        <f>LEFT(UPPER(H2684)&amp;REPT(" ",250),250)</f>
        <v/>
      </c>
      <c r="AD2684" s="10">
        <f>TEXT($G$2,"dd/mm/aaaa")</f>
        <v/>
      </c>
      <c r="AE2684" s="10">
        <f>REPT(" ",10)</f>
        <v/>
      </c>
      <c r="AF2684" s="10">
        <f>REPT(" ",20)</f>
        <v/>
      </c>
      <c r="AG2684" s="54">
        <f>REPT(" ",18-LEN(FIXED(F2684,2,TRUE)))&amp;FIXED(F2684,2,TRUE)</f>
        <v/>
      </c>
      <c r="AH2684" s="10">
        <f>LEN(AC2684)+LEN(AG2684)</f>
        <v/>
      </c>
      <c r="AI2684" s="10">
        <f>LEN(L2684)</f>
        <v/>
      </c>
    </row>
    <row r="2685">
      <c r="J2685" s="12">
        <f>IF(F2685&lt;&gt;0,"LANÇAR","")</f>
        <v/>
      </c>
      <c r="L2685" s="13">
        <f>N2685&amp;O2685&amp;P2685&amp;Q2685&amp;R2685&amp;S2685&amp;T2685&amp;U2685&amp;V2685&amp;W2685&amp;X2685&amp;Y2685&amp;Z2685&amp;AA2685&amp;AB2685&amp;AC2685&amp;AD2685&amp;AE2685&amp;AF2685&amp;AG2685</f>
        <v/>
      </c>
      <c r="N2685" s="10">
        <f>TEXT($B$6,"00")</f>
        <v/>
      </c>
      <c r="O2685" s="10">
        <f>REPT(" ",8)</f>
        <v/>
      </c>
      <c r="P2685" s="10">
        <f>RIGHT($B$4,2)</f>
        <v/>
      </c>
      <c r="Q2685" s="10">
        <f>RIGHT($B$5,3)</f>
        <v/>
      </c>
      <c r="R2685" s="10">
        <f>IF(A2685="D",LEFT(UPPER(B2685)&amp;REPT(" ",20),20),REPT(" ",20))</f>
        <v/>
      </c>
      <c r="S2685" s="10">
        <f>IF(A2685="D",LEFT(UPPER(C2685)&amp;REPT(" ",10),10)," ")</f>
        <v/>
      </c>
      <c r="T2685" s="10">
        <f>IF(A2685="D",LEFT(UPPER(D2685)&amp;REPT(" ",2),2)," ")</f>
        <v/>
      </c>
      <c r="U2685" s="10">
        <f>IF(A2685="D",LEFT(UPPER(E2685)&amp;REPT(" ",15),15)," ")</f>
        <v/>
      </c>
      <c r="V2685" s="10">
        <f>REPT(" ",24)</f>
        <v/>
      </c>
      <c r="W2685" s="10">
        <f>IF(A2685="c",LEFT(UPPER(B2685)&amp;REPT(" ",20),20),REPT(" ",20))</f>
        <v/>
      </c>
      <c r="X2685" s="10">
        <f>IF(A2685="C",LEFT(UPPER(C2685)&amp;REPT(" ",10),10)," ")</f>
        <v/>
      </c>
      <c r="Y2685" s="10">
        <f>IF(A2685="C",LEFT(UPPER(D2685)&amp;REPT(" ",2),2)," ")</f>
        <v/>
      </c>
      <c r="Z2685" s="10">
        <f>IF(A2685="C",LEFT(UPPER(E2685)&amp;REPT(" ",15),15)," ")</f>
        <v/>
      </c>
      <c r="AA2685" s="10">
        <f>REPT(" ",8)</f>
        <v/>
      </c>
      <c r="AB2685" s="10">
        <f>REPT(" ",4)</f>
        <v/>
      </c>
      <c r="AC2685" s="10">
        <f>LEFT(UPPER(H2685)&amp;REPT(" ",250),250)</f>
        <v/>
      </c>
      <c r="AD2685" s="10">
        <f>TEXT($G$2,"dd/mm/aaaa")</f>
        <v/>
      </c>
      <c r="AE2685" s="10">
        <f>REPT(" ",10)</f>
        <v/>
      </c>
      <c r="AF2685" s="10">
        <f>REPT(" ",20)</f>
        <v/>
      </c>
      <c r="AG2685" s="54">
        <f>REPT(" ",18-LEN(FIXED(F2685,2,TRUE)))&amp;FIXED(F2685,2,TRUE)</f>
        <v/>
      </c>
      <c r="AH2685" s="10">
        <f>LEN(AC2685)+LEN(AG2685)</f>
        <v/>
      </c>
      <c r="AI2685" s="10">
        <f>LEN(L2685)</f>
        <v/>
      </c>
    </row>
    <row r="2686">
      <c r="J2686" s="12">
        <f>IF(F2686&lt;&gt;0,"LANÇAR","")</f>
        <v/>
      </c>
      <c r="L2686" s="13">
        <f>N2686&amp;O2686&amp;P2686&amp;Q2686&amp;R2686&amp;S2686&amp;T2686&amp;U2686&amp;V2686&amp;W2686&amp;X2686&amp;Y2686&amp;Z2686&amp;AA2686&amp;AB2686&amp;AC2686&amp;AD2686&amp;AE2686&amp;AF2686&amp;AG2686</f>
        <v/>
      </c>
      <c r="N2686" s="10">
        <f>TEXT($B$6,"00")</f>
        <v/>
      </c>
      <c r="O2686" s="10">
        <f>REPT(" ",8)</f>
        <v/>
      </c>
      <c r="P2686" s="10">
        <f>RIGHT($B$4,2)</f>
        <v/>
      </c>
      <c r="Q2686" s="10">
        <f>RIGHT($B$5,3)</f>
        <v/>
      </c>
      <c r="R2686" s="10">
        <f>IF(A2686="D",LEFT(UPPER(B2686)&amp;REPT(" ",20),20),REPT(" ",20))</f>
        <v/>
      </c>
      <c r="S2686" s="10">
        <f>IF(A2686="D",LEFT(UPPER(C2686)&amp;REPT(" ",10),10)," ")</f>
        <v/>
      </c>
      <c r="T2686" s="10">
        <f>IF(A2686="D",LEFT(UPPER(D2686)&amp;REPT(" ",2),2)," ")</f>
        <v/>
      </c>
      <c r="U2686" s="10">
        <f>IF(A2686="D",LEFT(UPPER(E2686)&amp;REPT(" ",15),15)," ")</f>
        <v/>
      </c>
      <c r="V2686" s="10">
        <f>REPT(" ",24)</f>
        <v/>
      </c>
      <c r="W2686" s="10">
        <f>IF(A2686="c",LEFT(UPPER(B2686)&amp;REPT(" ",20),20),REPT(" ",20))</f>
        <v/>
      </c>
      <c r="X2686" s="10">
        <f>IF(A2686="C",LEFT(UPPER(C2686)&amp;REPT(" ",10),10)," ")</f>
        <v/>
      </c>
      <c r="Y2686" s="10">
        <f>IF(A2686="C",LEFT(UPPER(D2686)&amp;REPT(" ",2),2)," ")</f>
        <v/>
      </c>
      <c r="Z2686" s="10">
        <f>IF(A2686="C",LEFT(UPPER(E2686)&amp;REPT(" ",15),15)," ")</f>
        <v/>
      </c>
      <c r="AA2686" s="10">
        <f>REPT(" ",8)</f>
        <v/>
      </c>
      <c r="AB2686" s="10">
        <f>REPT(" ",4)</f>
        <v/>
      </c>
      <c r="AC2686" s="10">
        <f>LEFT(UPPER(H2686)&amp;REPT(" ",250),250)</f>
        <v/>
      </c>
      <c r="AD2686" s="10">
        <f>TEXT($G$2,"dd/mm/aaaa")</f>
        <v/>
      </c>
      <c r="AE2686" s="10">
        <f>REPT(" ",10)</f>
        <v/>
      </c>
      <c r="AF2686" s="10">
        <f>REPT(" ",20)</f>
        <v/>
      </c>
      <c r="AG2686" s="54">
        <f>REPT(" ",18-LEN(FIXED(F2686,2,TRUE)))&amp;FIXED(F2686,2,TRUE)</f>
        <v/>
      </c>
      <c r="AH2686" s="10">
        <f>LEN(AC2686)+LEN(AG2686)</f>
        <v/>
      </c>
      <c r="AI2686" s="10">
        <f>LEN(L2686)</f>
        <v/>
      </c>
    </row>
    <row r="2687">
      <c r="J2687" s="12">
        <f>IF(F2687&lt;&gt;0,"LANÇAR","")</f>
        <v/>
      </c>
      <c r="L2687" s="13">
        <f>N2687&amp;O2687&amp;P2687&amp;Q2687&amp;R2687&amp;S2687&amp;T2687&amp;U2687&amp;V2687&amp;W2687&amp;X2687&amp;Y2687&amp;Z2687&amp;AA2687&amp;AB2687&amp;AC2687&amp;AD2687&amp;AE2687&amp;AF2687&amp;AG2687</f>
        <v/>
      </c>
      <c r="N2687" s="10">
        <f>TEXT($B$6,"00")</f>
        <v/>
      </c>
      <c r="O2687" s="10">
        <f>REPT(" ",8)</f>
        <v/>
      </c>
      <c r="P2687" s="10">
        <f>RIGHT($B$4,2)</f>
        <v/>
      </c>
      <c r="Q2687" s="10">
        <f>RIGHT($B$5,3)</f>
        <v/>
      </c>
      <c r="R2687" s="10">
        <f>IF(A2687="D",LEFT(UPPER(B2687)&amp;REPT(" ",20),20),REPT(" ",20))</f>
        <v/>
      </c>
      <c r="S2687" s="10">
        <f>IF(A2687="D",LEFT(UPPER(C2687)&amp;REPT(" ",10),10)," ")</f>
        <v/>
      </c>
      <c r="T2687" s="10">
        <f>IF(A2687="D",LEFT(UPPER(D2687)&amp;REPT(" ",2),2)," ")</f>
        <v/>
      </c>
      <c r="U2687" s="10">
        <f>IF(A2687="D",LEFT(UPPER(E2687)&amp;REPT(" ",15),15)," ")</f>
        <v/>
      </c>
      <c r="V2687" s="10">
        <f>REPT(" ",24)</f>
        <v/>
      </c>
      <c r="W2687" s="10">
        <f>IF(A2687="c",LEFT(UPPER(B2687)&amp;REPT(" ",20),20),REPT(" ",20))</f>
        <v/>
      </c>
      <c r="X2687" s="10">
        <f>IF(A2687="C",LEFT(UPPER(C2687)&amp;REPT(" ",10),10)," ")</f>
        <v/>
      </c>
      <c r="Y2687" s="10">
        <f>IF(A2687="C",LEFT(UPPER(D2687)&amp;REPT(" ",2),2)," ")</f>
        <v/>
      </c>
      <c r="Z2687" s="10">
        <f>IF(A2687="C",LEFT(UPPER(E2687)&amp;REPT(" ",15),15)," ")</f>
        <v/>
      </c>
      <c r="AA2687" s="10">
        <f>REPT(" ",8)</f>
        <v/>
      </c>
      <c r="AB2687" s="10">
        <f>REPT(" ",4)</f>
        <v/>
      </c>
      <c r="AC2687" s="10">
        <f>LEFT(UPPER(H2687)&amp;REPT(" ",250),250)</f>
        <v/>
      </c>
      <c r="AD2687" s="10">
        <f>TEXT($G$2,"dd/mm/aaaa")</f>
        <v/>
      </c>
      <c r="AE2687" s="10">
        <f>REPT(" ",10)</f>
        <v/>
      </c>
      <c r="AF2687" s="10">
        <f>REPT(" ",20)</f>
        <v/>
      </c>
      <c r="AG2687" s="54">
        <f>REPT(" ",18-LEN(FIXED(F2687,2,TRUE)))&amp;FIXED(F2687,2,TRUE)</f>
        <v/>
      </c>
      <c r="AH2687" s="10">
        <f>LEN(AC2687)+LEN(AG2687)</f>
        <v/>
      </c>
      <c r="AI2687" s="10">
        <f>LEN(L2687)</f>
        <v/>
      </c>
    </row>
    <row r="2688">
      <c r="J2688" s="12">
        <f>IF(F2688&lt;&gt;0,"LANÇAR","")</f>
        <v/>
      </c>
      <c r="L2688" s="13">
        <f>N2688&amp;O2688&amp;P2688&amp;Q2688&amp;R2688&amp;S2688&amp;T2688&amp;U2688&amp;V2688&amp;W2688&amp;X2688&amp;Y2688&amp;Z2688&amp;AA2688&amp;AB2688&amp;AC2688&amp;AD2688&amp;AE2688&amp;AF2688&amp;AG2688</f>
        <v/>
      </c>
      <c r="N2688" s="10">
        <f>TEXT($B$6,"00")</f>
        <v/>
      </c>
      <c r="O2688" s="10">
        <f>REPT(" ",8)</f>
        <v/>
      </c>
      <c r="P2688" s="10">
        <f>RIGHT($B$4,2)</f>
        <v/>
      </c>
      <c r="Q2688" s="10">
        <f>RIGHT($B$5,3)</f>
        <v/>
      </c>
      <c r="R2688" s="10">
        <f>IF(A2688="D",LEFT(UPPER(B2688)&amp;REPT(" ",20),20),REPT(" ",20))</f>
        <v/>
      </c>
      <c r="S2688" s="10">
        <f>IF(A2688="D",LEFT(UPPER(C2688)&amp;REPT(" ",10),10)," ")</f>
        <v/>
      </c>
      <c r="T2688" s="10">
        <f>IF(A2688="D",LEFT(UPPER(D2688)&amp;REPT(" ",2),2)," ")</f>
        <v/>
      </c>
      <c r="U2688" s="10">
        <f>IF(A2688="D",LEFT(UPPER(E2688)&amp;REPT(" ",15),15)," ")</f>
        <v/>
      </c>
      <c r="V2688" s="10">
        <f>REPT(" ",24)</f>
        <v/>
      </c>
      <c r="W2688" s="10">
        <f>IF(A2688="c",LEFT(UPPER(B2688)&amp;REPT(" ",20),20),REPT(" ",20))</f>
        <v/>
      </c>
      <c r="X2688" s="10">
        <f>IF(A2688="C",LEFT(UPPER(C2688)&amp;REPT(" ",10),10)," ")</f>
        <v/>
      </c>
      <c r="Y2688" s="10">
        <f>IF(A2688="C",LEFT(UPPER(D2688)&amp;REPT(" ",2),2)," ")</f>
        <v/>
      </c>
      <c r="Z2688" s="10">
        <f>IF(A2688="C",LEFT(UPPER(E2688)&amp;REPT(" ",15),15)," ")</f>
        <v/>
      </c>
      <c r="AA2688" s="10">
        <f>REPT(" ",8)</f>
        <v/>
      </c>
      <c r="AB2688" s="10">
        <f>REPT(" ",4)</f>
        <v/>
      </c>
      <c r="AC2688" s="10">
        <f>LEFT(UPPER(H2688)&amp;REPT(" ",250),250)</f>
        <v/>
      </c>
      <c r="AD2688" s="10">
        <f>TEXT($G$2,"dd/mm/aaaa")</f>
        <v/>
      </c>
      <c r="AE2688" s="10">
        <f>REPT(" ",10)</f>
        <v/>
      </c>
      <c r="AF2688" s="10">
        <f>REPT(" ",20)</f>
        <v/>
      </c>
      <c r="AG2688" s="54">
        <f>REPT(" ",18-LEN(FIXED(F2688,2,TRUE)))&amp;FIXED(F2688,2,TRUE)</f>
        <v/>
      </c>
      <c r="AH2688" s="10">
        <f>LEN(AC2688)+LEN(AG2688)</f>
        <v/>
      </c>
      <c r="AI2688" s="10">
        <f>LEN(L2688)</f>
        <v/>
      </c>
    </row>
    <row r="2689">
      <c r="J2689" s="12">
        <f>IF(F2689&lt;&gt;0,"LANÇAR","")</f>
        <v/>
      </c>
      <c r="L2689" s="13">
        <f>N2689&amp;O2689&amp;P2689&amp;Q2689&amp;R2689&amp;S2689&amp;T2689&amp;U2689&amp;V2689&amp;W2689&amp;X2689&amp;Y2689&amp;Z2689&amp;AA2689&amp;AB2689&amp;AC2689&amp;AD2689&amp;AE2689&amp;AF2689&amp;AG2689</f>
        <v/>
      </c>
      <c r="N2689" s="10">
        <f>TEXT($B$6,"00")</f>
        <v/>
      </c>
      <c r="O2689" s="10">
        <f>REPT(" ",8)</f>
        <v/>
      </c>
      <c r="P2689" s="10">
        <f>RIGHT($B$4,2)</f>
        <v/>
      </c>
      <c r="Q2689" s="10">
        <f>RIGHT($B$5,3)</f>
        <v/>
      </c>
      <c r="R2689" s="10">
        <f>IF(A2689="D",LEFT(UPPER(B2689)&amp;REPT(" ",20),20),REPT(" ",20))</f>
        <v/>
      </c>
      <c r="S2689" s="10">
        <f>IF(A2689="D",LEFT(UPPER(C2689)&amp;REPT(" ",10),10)," ")</f>
        <v/>
      </c>
      <c r="T2689" s="10">
        <f>IF(A2689="D",LEFT(UPPER(D2689)&amp;REPT(" ",2),2)," ")</f>
        <v/>
      </c>
      <c r="U2689" s="10">
        <f>IF(A2689="D",LEFT(UPPER(E2689)&amp;REPT(" ",15),15)," ")</f>
        <v/>
      </c>
      <c r="V2689" s="10">
        <f>REPT(" ",24)</f>
        <v/>
      </c>
      <c r="W2689" s="10">
        <f>IF(A2689="c",LEFT(UPPER(B2689)&amp;REPT(" ",20),20),REPT(" ",20))</f>
        <v/>
      </c>
      <c r="X2689" s="10">
        <f>IF(A2689="C",LEFT(UPPER(C2689)&amp;REPT(" ",10),10)," ")</f>
        <v/>
      </c>
      <c r="Y2689" s="10">
        <f>IF(A2689="C",LEFT(UPPER(D2689)&amp;REPT(" ",2),2)," ")</f>
        <v/>
      </c>
      <c r="Z2689" s="10">
        <f>IF(A2689="C",LEFT(UPPER(E2689)&amp;REPT(" ",15),15)," ")</f>
        <v/>
      </c>
      <c r="AA2689" s="10">
        <f>REPT(" ",8)</f>
        <v/>
      </c>
      <c r="AB2689" s="10">
        <f>REPT(" ",4)</f>
        <v/>
      </c>
      <c r="AC2689" s="10">
        <f>LEFT(UPPER(H2689)&amp;REPT(" ",250),250)</f>
        <v/>
      </c>
      <c r="AD2689" s="10">
        <f>TEXT($G$2,"dd/mm/aaaa")</f>
        <v/>
      </c>
      <c r="AE2689" s="10">
        <f>REPT(" ",10)</f>
        <v/>
      </c>
      <c r="AF2689" s="10">
        <f>REPT(" ",20)</f>
        <v/>
      </c>
      <c r="AG2689" s="54">
        <f>REPT(" ",18-LEN(FIXED(F2689,2,TRUE)))&amp;FIXED(F2689,2,TRUE)</f>
        <v/>
      </c>
      <c r="AH2689" s="10">
        <f>LEN(AC2689)+LEN(AG2689)</f>
        <v/>
      </c>
      <c r="AI2689" s="10">
        <f>LEN(L2689)</f>
        <v/>
      </c>
    </row>
    <row r="2690">
      <c r="J2690" s="12">
        <f>IF(F2690&lt;&gt;0,"LANÇAR","")</f>
        <v/>
      </c>
      <c r="L2690" s="13">
        <f>N2690&amp;O2690&amp;P2690&amp;Q2690&amp;R2690&amp;S2690&amp;T2690&amp;U2690&amp;V2690&amp;W2690&amp;X2690&amp;Y2690&amp;Z2690&amp;AA2690&amp;AB2690&amp;AC2690&amp;AD2690&amp;AE2690&amp;AF2690&amp;AG2690</f>
        <v/>
      </c>
      <c r="N2690" s="10">
        <f>TEXT($B$6,"00")</f>
        <v/>
      </c>
      <c r="O2690" s="10">
        <f>REPT(" ",8)</f>
        <v/>
      </c>
      <c r="P2690" s="10">
        <f>RIGHT($B$4,2)</f>
        <v/>
      </c>
      <c r="Q2690" s="10">
        <f>RIGHT($B$5,3)</f>
        <v/>
      </c>
      <c r="R2690" s="10">
        <f>IF(A2690="D",LEFT(UPPER(B2690)&amp;REPT(" ",20),20),REPT(" ",20))</f>
        <v/>
      </c>
      <c r="S2690" s="10">
        <f>IF(A2690="D",LEFT(UPPER(C2690)&amp;REPT(" ",10),10)," ")</f>
        <v/>
      </c>
      <c r="T2690" s="10">
        <f>IF(A2690="D",LEFT(UPPER(D2690)&amp;REPT(" ",2),2)," ")</f>
        <v/>
      </c>
      <c r="U2690" s="10">
        <f>IF(A2690="D",LEFT(UPPER(E2690)&amp;REPT(" ",15),15)," ")</f>
        <v/>
      </c>
      <c r="V2690" s="10">
        <f>REPT(" ",24)</f>
        <v/>
      </c>
      <c r="W2690" s="10">
        <f>IF(A2690="c",LEFT(UPPER(B2690)&amp;REPT(" ",20),20),REPT(" ",20))</f>
        <v/>
      </c>
      <c r="X2690" s="10">
        <f>IF(A2690="C",LEFT(UPPER(C2690)&amp;REPT(" ",10),10)," ")</f>
        <v/>
      </c>
      <c r="Y2690" s="10">
        <f>IF(A2690="C",LEFT(UPPER(D2690)&amp;REPT(" ",2),2)," ")</f>
        <v/>
      </c>
      <c r="Z2690" s="10">
        <f>IF(A2690="C",LEFT(UPPER(E2690)&amp;REPT(" ",15),15)," ")</f>
        <v/>
      </c>
      <c r="AA2690" s="10">
        <f>REPT(" ",8)</f>
        <v/>
      </c>
      <c r="AB2690" s="10">
        <f>REPT(" ",4)</f>
        <v/>
      </c>
      <c r="AC2690" s="10">
        <f>LEFT(UPPER(H2690)&amp;REPT(" ",250),250)</f>
        <v/>
      </c>
      <c r="AD2690" s="10">
        <f>TEXT($G$2,"dd/mm/aaaa")</f>
        <v/>
      </c>
      <c r="AE2690" s="10">
        <f>REPT(" ",10)</f>
        <v/>
      </c>
      <c r="AF2690" s="10">
        <f>REPT(" ",20)</f>
        <v/>
      </c>
      <c r="AG2690" s="54">
        <f>REPT(" ",18-LEN(FIXED(F2690,2,TRUE)))&amp;FIXED(F2690,2,TRUE)</f>
        <v/>
      </c>
      <c r="AH2690" s="10">
        <f>LEN(AC2690)+LEN(AG2690)</f>
        <v/>
      </c>
      <c r="AI2690" s="10">
        <f>LEN(L2690)</f>
        <v/>
      </c>
    </row>
    <row r="2691">
      <c r="J2691" s="12">
        <f>IF(F2691&lt;&gt;0,"LANÇAR","")</f>
        <v/>
      </c>
      <c r="L2691" s="13">
        <f>N2691&amp;O2691&amp;P2691&amp;Q2691&amp;R2691&amp;S2691&amp;T2691&amp;U2691&amp;V2691&amp;W2691&amp;X2691&amp;Y2691&amp;Z2691&amp;AA2691&amp;AB2691&amp;AC2691&amp;AD2691&amp;AE2691&amp;AF2691&amp;AG2691</f>
        <v/>
      </c>
      <c r="N2691" s="10">
        <f>TEXT($B$6,"00")</f>
        <v/>
      </c>
      <c r="O2691" s="10">
        <f>REPT(" ",8)</f>
        <v/>
      </c>
      <c r="P2691" s="10">
        <f>RIGHT($B$4,2)</f>
        <v/>
      </c>
      <c r="Q2691" s="10">
        <f>RIGHT($B$5,3)</f>
        <v/>
      </c>
      <c r="R2691" s="10">
        <f>IF(A2691="D",LEFT(UPPER(B2691)&amp;REPT(" ",20),20),REPT(" ",20))</f>
        <v/>
      </c>
      <c r="S2691" s="10">
        <f>IF(A2691="D",LEFT(UPPER(C2691)&amp;REPT(" ",10),10)," ")</f>
        <v/>
      </c>
      <c r="T2691" s="10">
        <f>IF(A2691="D",LEFT(UPPER(D2691)&amp;REPT(" ",2),2)," ")</f>
        <v/>
      </c>
      <c r="U2691" s="10">
        <f>IF(A2691="D",LEFT(UPPER(E2691)&amp;REPT(" ",15),15)," ")</f>
        <v/>
      </c>
      <c r="V2691" s="10">
        <f>REPT(" ",24)</f>
        <v/>
      </c>
      <c r="W2691" s="10">
        <f>IF(A2691="c",LEFT(UPPER(B2691)&amp;REPT(" ",20),20),REPT(" ",20))</f>
        <v/>
      </c>
      <c r="X2691" s="10">
        <f>IF(A2691="C",LEFT(UPPER(C2691)&amp;REPT(" ",10),10)," ")</f>
        <v/>
      </c>
      <c r="Y2691" s="10">
        <f>IF(A2691="C",LEFT(UPPER(D2691)&amp;REPT(" ",2),2)," ")</f>
        <v/>
      </c>
      <c r="Z2691" s="10">
        <f>IF(A2691="C",LEFT(UPPER(E2691)&amp;REPT(" ",15),15)," ")</f>
        <v/>
      </c>
      <c r="AA2691" s="10">
        <f>REPT(" ",8)</f>
        <v/>
      </c>
      <c r="AB2691" s="10">
        <f>REPT(" ",4)</f>
        <v/>
      </c>
      <c r="AC2691" s="10">
        <f>LEFT(UPPER(H2691)&amp;REPT(" ",250),250)</f>
        <v/>
      </c>
      <c r="AD2691" s="10">
        <f>TEXT($G$2,"dd/mm/aaaa")</f>
        <v/>
      </c>
      <c r="AE2691" s="10">
        <f>REPT(" ",10)</f>
        <v/>
      </c>
      <c r="AF2691" s="10">
        <f>REPT(" ",20)</f>
        <v/>
      </c>
      <c r="AG2691" s="54">
        <f>REPT(" ",18-LEN(FIXED(F2691,2,TRUE)))&amp;FIXED(F2691,2,TRUE)</f>
        <v/>
      </c>
      <c r="AH2691" s="10">
        <f>LEN(AC2691)+LEN(AG2691)</f>
        <v/>
      </c>
      <c r="AI2691" s="10">
        <f>LEN(L2691)</f>
        <v/>
      </c>
    </row>
    <row r="2692">
      <c r="J2692" s="12">
        <f>IF(F2692&lt;&gt;0,"LANÇAR","")</f>
        <v/>
      </c>
      <c r="L2692" s="13">
        <f>N2692&amp;O2692&amp;P2692&amp;Q2692&amp;R2692&amp;S2692&amp;T2692&amp;U2692&amp;V2692&amp;W2692&amp;X2692&amp;Y2692&amp;Z2692&amp;AA2692&amp;AB2692&amp;AC2692&amp;AD2692&amp;AE2692&amp;AF2692&amp;AG2692</f>
        <v/>
      </c>
      <c r="N2692" s="10">
        <f>TEXT($B$6,"00")</f>
        <v/>
      </c>
      <c r="O2692" s="10">
        <f>REPT(" ",8)</f>
        <v/>
      </c>
      <c r="P2692" s="10">
        <f>RIGHT($B$4,2)</f>
        <v/>
      </c>
      <c r="Q2692" s="10">
        <f>RIGHT($B$5,3)</f>
        <v/>
      </c>
      <c r="R2692" s="10">
        <f>IF(A2692="D",LEFT(UPPER(B2692)&amp;REPT(" ",20),20),REPT(" ",20))</f>
        <v/>
      </c>
      <c r="S2692" s="10">
        <f>IF(A2692="D",LEFT(UPPER(C2692)&amp;REPT(" ",10),10)," ")</f>
        <v/>
      </c>
      <c r="T2692" s="10">
        <f>IF(A2692="D",LEFT(UPPER(D2692)&amp;REPT(" ",2),2)," ")</f>
        <v/>
      </c>
      <c r="U2692" s="10">
        <f>IF(A2692="D",LEFT(UPPER(E2692)&amp;REPT(" ",15),15)," ")</f>
        <v/>
      </c>
      <c r="V2692" s="10">
        <f>REPT(" ",24)</f>
        <v/>
      </c>
      <c r="W2692" s="10">
        <f>IF(A2692="c",LEFT(UPPER(B2692)&amp;REPT(" ",20),20),REPT(" ",20))</f>
        <v/>
      </c>
      <c r="X2692" s="10">
        <f>IF(A2692="C",LEFT(UPPER(C2692)&amp;REPT(" ",10),10)," ")</f>
        <v/>
      </c>
      <c r="Y2692" s="10">
        <f>IF(A2692="C",LEFT(UPPER(D2692)&amp;REPT(" ",2),2)," ")</f>
        <v/>
      </c>
      <c r="Z2692" s="10">
        <f>IF(A2692="C",LEFT(UPPER(E2692)&amp;REPT(" ",15),15)," ")</f>
        <v/>
      </c>
      <c r="AA2692" s="10">
        <f>REPT(" ",8)</f>
        <v/>
      </c>
      <c r="AB2692" s="10">
        <f>REPT(" ",4)</f>
        <v/>
      </c>
      <c r="AC2692" s="10">
        <f>LEFT(UPPER(H2692)&amp;REPT(" ",250),250)</f>
        <v/>
      </c>
      <c r="AD2692" s="10">
        <f>TEXT($G$2,"dd/mm/aaaa")</f>
        <v/>
      </c>
      <c r="AE2692" s="10">
        <f>REPT(" ",10)</f>
        <v/>
      </c>
      <c r="AF2692" s="10">
        <f>REPT(" ",20)</f>
        <v/>
      </c>
      <c r="AG2692" s="54">
        <f>REPT(" ",18-LEN(FIXED(F2692,2,TRUE)))&amp;FIXED(F2692,2,TRUE)</f>
        <v/>
      </c>
      <c r="AH2692" s="10">
        <f>LEN(AC2692)+LEN(AG2692)</f>
        <v/>
      </c>
      <c r="AI2692" s="10">
        <f>LEN(L2692)</f>
        <v/>
      </c>
    </row>
    <row r="2693">
      <c r="J2693" s="12">
        <f>IF(F2693&lt;&gt;0,"LANÇAR","")</f>
        <v/>
      </c>
      <c r="L2693" s="13">
        <f>N2693&amp;O2693&amp;P2693&amp;Q2693&amp;R2693&amp;S2693&amp;T2693&amp;U2693&amp;V2693&amp;W2693&amp;X2693&amp;Y2693&amp;Z2693&amp;AA2693&amp;AB2693&amp;AC2693&amp;AD2693&amp;AE2693&amp;AF2693&amp;AG2693</f>
        <v/>
      </c>
      <c r="N2693" s="10">
        <f>TEXT($B$6,"00")</f>
        <v/>
      </c>
      <c r="O2693" s="10">
        <f>REPT(" ",8)</f>
        <v/>
      </c>
      <c r="P2693" s="10">
        <f>RIGHT($B$4,2)</f>
        <v/>
      </c>
      <c r="Q2693" s="10">
        <f>RIGHT($B$5,3)</f>
        <v/>
      </c>
      <c r="R2693" s="10">
        <f>IF(A2693="D",LEFT(UPPER(B2693)&amp;REPT(" ",20),20),REPT(" ",20))</f>
        <v/>
      </c>
      <c r="S2693" s="10">
        <f>IF(A2693="D",LEFT(UPPER(C2693)&amp;REPT(" ",10),10)," ")</f>
        <v/>
      </c>
      <c r="T2693" s="10">
        <f>IF(A2693="D",LEFT(UPPER(D2693)&amp;REPT(" ",2),2)," ")</f>
        <v/>
      </c>
      <c r="U2693" s="10">
        <f>IF(A2693="D",LEFT(UPPER(E2693)&amp;REPT(" ",15),15)," ")</f>
        <v/>
      </c>
      <c r="V2693" s="10">
        <f>REPT(" ",24)</f>
        <v/>
      </c>
      <c r="W2693" s="10">
        <f>IF(A2693="c",LEFT(UPPER(B2693)&amp;REPT(" ",20),20),REPT(" ",20))</f>
        <v/>
      </c>
      <c r="X2693" s="10">
        <f>IF(A2693="C",LEFT(UPPER(C2693)&amp;REPT(" ",10),10)," ")</f>
        <v/>
      </c>
      <c r="Y2693" s="10">
        <f>IF(A2693="C",LEFT(UPPER(D2693)&amp;REPT(" ",2),2)," ")</f>
        <v/>
      </c>
      <c r="Z2693" s="10">
        <f>IF(A2693="C",LEFT(UPPER(E2693)&amp;REPT(" ",15),15)," ")</f>
        <v/>
      </c>
      <c r="AA2693" s="10">
        <f>REPT(" ",8)</f>
        <v/>
      </c>
      <c r="AB2693" s="10">
        <f>REPT(" ",4)</f>
        <v/>
      </c>
      <c r="AC2693" s="10">
        <f>LEFT(UPPER(H2693)&amp;REPT(" ",250),250)</f>
        <v/>
      </c>
      <c r="AD2693" s="10">
        <f>TEXT($G$2,"dd/mm/aaaa")</f>
        <v/>
      </c>
      <c r="AE2693" s="10">
        <f>REPT(" ",10)</f>
        <v/>
      </c>
      <c r="AF2693" s="10">
        <f>REPT(" ",20)</f>
        <v/>
      </c>
      <c r="AG2693" s="54">
        <f>REPT(" ",18-LEN(FIXED(F2693,2,TRUE)))&amp;FIXED(F2693,2,TRUE)</f>
        <v/>
      </c>
      <c r="AH2693" s="10">
        <f>LEN(AC2693)+LEN(AG2693)</f>
        <v/>
      </c>
      <c r="AI2693" s="10">
        <f>LEN(L2693)</f>
        <v/>
      </c>
    </row>
    <row r="2694">
      <c r="J2694" s="12">
        <f>IF(F2694&lt;&gt;0,"LANÇAR","")</f>
        <v/>
      </c>
      <c r="L2694" s="13">
        <f>N2694&amp;O2694&amp;P2694&amp;Q2694&amp;R2694&amp;S2694&amp;T2694&amp;U2694&amp;V2694&amp;W2694&amp;X2694&amp;Y2694&amp;Z2694&amp;AA2694&amp;AB2694&amp;AC2694&amp;AD2694&amp;AE2694&amp;AF2694&amp;AG2694</f>
        <v/>
      </c>
      <c r="N2694" s="10">
        <f>TEXT($B$6,"00")</f>
        <v/>
      </c>
      <c r="O2694" s="10">
        <f>REPT(" ",8)</f>
        <v/>
      </c>
      <c r="P2694" s="10">
        <f>RIGHT($B$4,2)</f>
        <v/>
      </c>
      <c r="Q2694" s="10">
        <f>RIGHT($B$5,3)</f>
        <v/>
      </c>
      <c r="R2694" s="10">
        <f>IF(A2694="D",LEFT(UPPER(B2694)&amp;REPT(" ",20),20),REPT(" ",20))</f>
        <v/>
      </c>
      <c r="S2694" s="10">
        <f>IF(A2694="D",LEFT(UPPER(C2694)&amp;REPT(" ",10),10)," ")</f>
        <v/>
      </c>
      <c r="T2694" s="10">
        <f>IF(A2694="D",LEFT(UPPER(D2694)&amp;REPT(" ",2),2)," ")</f>
        <v/>
      </c>
      <c r="U2694" s="10">
        <f>IF(A2694="D",LEFT(UPPER(E2694)&amp;REPT(" ",15),15)," ")</f>
        <v/>
      </c>
      <c r="V2694" s="10">
        <f>REPT(" ",24)</f>
        <v/>
      </c>
      <c r="W2694" s="10">
        <f>IF(A2694="c",LEFT(UPPER(B2694)&amp;REPT(" ",20),20),REPT(" ",20))</f>
        <v/>
      </c>
      <c r="X2694" s="10">
        <f>IF(A2694="C",LEFT(UPPER(C2694)&amp;REPT(" ",10),10)," ")</f>
        <v/>
      </c>
      <c r="Y2694" s="10">
        <f>IF(A2694="C",LEFT(UPPER(D2694)&amp;REPT(" ",2),2)," ")</f>
        <v/>
      </c>
      <c r="Z2694" s="10">
        <f>IF(A2694="C",LEFT(UPPER(E2694)&amp;REPT(" ",15),15)," ")</f>
        <v/>
      </c>
      <c r="AA2694" s="10">
        <f>REPT(" ",8)</f>
        <v/>
      </c>
      <c r="AB2694" s="10">
        <f>REPT(" ",4)</f>
        <v/>
      </c>
      <c r="AC2694" s="10">
        <f>LEFT(UPPER(H2694)&amp;REPT(" ",250),250)</f>
        <v/>
      </c>
      <c r="AD2694" s="10">
        <f>TEXT($G$2,"dd/mm/aaaa")</f>
        <v/>
      </c>
      <c r="AE2694" s="10">
        <f>REPT(" ",10)</f>
        <v/>
      </c>
      <c r="AF2694" s="10">
        <f>REPT(" ",20)</f>
        <v/>
      </c>
      <c r="AG2694" s="54">
        <f>REPT(" ",18-LEN(FIXED(F2694,2,TRUE)))&amp;FIXED(F2694,2,TRUE)</f>
        <v/>
      </c>
      <c r="AH2694" s="10">
        <f>LEN(AC2694)+LEN(AG2694)</f>
        <v/>
      </c>
      <c r="AI2694" s="10">
        <f>LEN(L2694)</f>
        <v/>
      </c>
    </row>
    <row r="2695">
      <c r="J2695" s="12">
        <f>IF(F2695&lt;&gt;0,"LANÇAR","")</f>
        <v/>
      </c>
      <c r="L2695" s="13">
        <f>N2695&amp;O2695&amp;P2695&amp;Q2695&amp;R2695&amp;S2695&amp;T2695&amp;U2695&amp;V2695&amp;W2695&amp;X2695&amp;Y2695&amp;Z2695&amp;AA2695&amp;AB2695&amp;AC2695&amp;AD2695&amp;AE2695&amp;AF2695&amp;AG2695</f>
        <v/>
      </c>
      <c r="N2695" s="10">
        <f>TEXT($B$6,"00")</f>
        <v/>
      </c>
      <c r="O2695" s="10">
        <f>REPT(" ",8)</f>
        <v/>
      </c>
      <c r="P2695" s="10">
        <f>RIGHT($B$4,2)</f>
        <v/>
      </c>
      <c r="Q2695" s="10">
        <f>RIGHT($B$5,3)</f>
        <v/>
      </c>
      <c r="R2695" s="10">
        <f>IF(A2695="D",LEFT(UPPER(B2695)&amp;REPT(" ",20),20),REPT(" ",20))</f>
        <v/>
      </c>
      <c r="S2695" s="10">
        <f>IF(A2695="D",LEFT(UPPER(C2695)&amp;REPT(" ",10),10)," ")</f>
        <v/>
      </c>
      <c r="T2695" s="10">
        <f>IF(A2695="D",LEFT(UPPER(D2695)&amp;REPT(" ",2),2)," ")</f>
        <v/>
      </c>
      <c r="U2695" s="10">
        <f>IF(A2695="D",LEFT(UPPER(E2695)&amp;REPT(" ",15),15)," ")</f>
        <v/>
      </c>
      <c r="V2695" s="10">
        <f>REPT(" ",24)</f>
        <v/>
      </c>
      <c r="W2695" s="10">
        <f>IF(A2695="c",LEFT(UPPER(B2695)&amp;REPT(" ",20),20),REPT(" ",20))</f>
        <v/>
      </c>
      <c r="X2695" s="10">
        <f>IF(A2695="C",LEFT(UPPER(C2695)&amp;REPT(" ",10),10)," ")</f>
        <v/>
      </c>
      <c r="Y2695" s="10">
        <f>IF(A2695="C",LEFT(UPPER(D2695)&amp;REPT(" ",2),2)," ")</f>
        <v/>
      </c>
      <c r="Z2695" s="10">
        <f>IF(A2695="C",LEFT(UPPER(E2695)&amp;REPT(" ",15),15)," ")</f>
        <v/>
      </c>
      <c r="AA2695" s="10">
        <f>REPT(" ",8)</f>
        <v/>
      </c>
      <c r="AB2695" s="10">
        <f>REPT(" ",4)</f>
        <v/>
      </c>
      <c r="AC2695" s="10">
        <f>LEFT(UPPER(H2695)&amp;REPT(" ",250),250)</f>
        <v/>
      </c>
      <c r="AD2695" s="10">
        <f>TEXT($G$2,"dd/mm/aaaa")</f>
        <v/>
      </c>
      <c r="AE2695" s="10">
        <f>REPT(" ",10)</f>
        <v/>
      </c>
      <c r="AF2695" s="10">
        <f>REPT(" ",20)</f>
        <v/>
      </c>
      <c r="AG2695" s="54">
        <f>REPT(" ",18-LEN(FIXED(F2695,2,TRUE)))&amp;FIXED(F2695,2,TRUE)</f>
        <v/>
      </c>
      <c r="AH2695" s="10">
        <f>LEN(AC2695)+LEN(AG2695)</f>
        <v/>
      </c>
      <c r="AI2695" s="10">
        <f>LEN(L2695)</f>
        <v/>
      </c>
    </row>
    <row r="2696">
      <c r="J2696" s="12">
        <f>IF(F2696&lt;&gt;0,"LANÇAR","")</f>
        <v/>
      </c>
      <c r="L2696" s="13">
        <f>N2696&amp;O2696&amp;P2696&amp;Q2696&amp;R2696&amp;S2696&amp;T2696&amp;U2696&amp;V2696&amp;W2696&amp;X2696&amp;Y2696&amp;Z2696&amp;AA2696&amp;AB2696&amp;AC2696&amp;AD2696&amp;AE2696&amp;AF2696&amp;AG2696</f>
        <v/>
      </c>
      <c r="N2696" s="10">
        <f>TEXT($B$6,"00")</f>
        <v/>
      </c>
      <c r="O2696" s="10">
        <f>REPT(" ",8)</f>
        <v/>
      </c>
      <c r="P2696" s="10">
        <f>RIGHT($B$4,2)</f>
        <v/>
      </c>
      <c r="Q2696" s="10">
        <f>RIGHT($B$5,3)</f>
        <v/>
      </c>
      <c r="R2696" s="10">
        <f>IF(A2696="D",LEFT(UPPER(B2696)&amp;REPT(" ",20),20),REPT(" ",20))</f>
        <v/>
      </c>
      <c r="S2696" s="10">
        <f>IF(A2696="D",LEFT(UPPER(C2696)&amp;REPT(" ",10),10)," ")</f>
        <v/>
      </c>
      <c r="T2696" s="10">
        <f>IF(A2696="D",LEFT(UPPER(D2696)&amp;REPT(" ",2),2)," ")</f>
        <v/>
      </c>
      <c r="U2696" s="10">
        <f>IF(A2696="D",LEFT(UPPER(E2696)&amp;REPT(" ",15),15)," ")</f>
        <v/>
      </c>
      <c r="V2696" s="10">
        <f>REPT(" ",24)</f>
        <v/>
      </c>
      <c r="W2696" s="10">
        <f>IF(A2696="c",LEFT(UPPER(B2696)&amp;REPT(" ",20),20),REPT(" ",20))</f>
        <v/>
      </c>
      <c r="X2696" s="10">
        <f>IF(A2696="C",LEFT(UPPER(C2696)&amp;REPT(" ",10),10)," ")</f>
        <v/>
      </c>
      <c r="Y2696" s="10">
        <f>IF(A2696="C",LEFT(UPPER(D2696)&amp;REPT(" ",2),2)," ")</f>
        <v/>
      </c>
      <c r="Z2696" s="10">
        <f>IF(A2696="C",LEFT(UPPER(E2696)&amp;REPT(" ",15),15)," ")</f>
        <v/>
      </c>
      <c r="AA2696" s="10">
        <f>REPT(" ",8)</f>
        <v/>
      </c>
      <c r="AB2696" s="10">
        <f>REPT(" ",4)</f>
        <v/>
      </c>
      <c r="AC2696" s="10">
        <f>LEFT(UPPER(H2696)&amp;REPT(" ",250),250)</f>
        <v/>
      </c>
      <c r="AD2696" s="10">
        <f>TEXT($G$2,"dd/mm/aaaa")</f>
        <v/>
      </c>
      <c r="AE2696" s="10">
        <f>REPT(" ",10)</f>
        <v/>
      </c>
      <c r="AF2696" s="10">
        <f>REPT(" ",20)</f>
        <v/>
      </c>
      <c r="AG2696" s="54">
        <f>REPT(" ",18-LEN(FIXED(F2696,2,TRUE)))&amp;FIXED(F2696,2,TRUE)</f>
        <v/>
      </c>
      <c r="AH2696" s="10">
        <f>LEN(AC2696)+LEN(AG2696)</f>
        <v/>
      </c>
      <c r="AI2696" s="10">
        <f>LEN(L2696)</f>
        <v/>
      </c>
    </row>
    <row r="2697">
      <c r="J2697" s="12">
        <f>IF(F2697&lt;&gt;0,"LANÇAR","")</f>
        <v/>
      </c>
      <c r="L2697" s="13">
        <f>N2697&amp;O2697&amp;P2697&amp;Q2697&amp;R2697&amp;S2697&amp;T2697&amp;U2697&amp;V2697&amp;W2697&amp;X2697&amp;Y2697&amp;Z2697&amp;AA2697&amp;AB2697&amp;AC2697&amp;AD2697&amp;AE2697&amp;AF2697&amp;AG2697</f>
        <v/>
      </c>
      <c r="N2697" s="10">
        <f>TEXT($B$6,"00")</f>
        <v/>
      </c>
      <c r="O2697" s="10">
        <f>REPT(" ",8)</f>
        <v/>
      </c>
      <c r="P2697" s="10">
        <f>RIGHT($B$4,2)</f>
        <v/>
      </c>
      <c r="Q2697" s="10">
        <f>RIGHT($B$5,3)</f>
        <v/>
      </c>
      <c r="R2697" s="10">
        <f>IF(A2697="D",LEFT(UPPER(B2697)&amp;REPT(" ",20),20),REPT(" ",20))</f>
        <v/>
      </c>
      <c r="S2697" s="10">
        <f>IF(A2697="D",LEFT(UPPER(C2697)&amp;REPT(" ",10),10)," ")</f>
        <v/>
      </c>
      <c r="T2697" s="10">
        <f>IF(A2697="D",LEFT(UPPER(D2697)&amp;REPT(" ",2),2)," ")</f>
        <v/>
      </c>
      <c r="U2697" s="10">
        <f>IF(A2697="D",LEFT(UPPER(E2697)&amp;REPT(" ",15),15)," ")</f>
        <v/>
      </c>
      <c r="V2697" s="10">
        <f>REPT(" ",24)</f>
        <v/>
      </c>
      <c r="W2697" s="10">
        <f>IF(A2697="c",LEFT(UPPER(B2697)&amp;REPT(" ",20),20),REPT(" ",20))</f>
        <v/>
      </c>
      <c r="X2697" s="10">
        <f>IF(A2697="C",LEFT(UPPER(C2697)&amp;REPT(" ",10),10)," ")</f>
        <v/>
      </c>
      <c r="Y2697" s="10">
        <f>IF(A2697="C",LEFT(UPPER(D2697)&amp;REPT(" ",2),2)," ")</f>
        <v/>
      </c>
      <c r="Z2697" s="10">
        <f>IF(A2697="C",LEFT(UPPER(E2697)&amp;REPT(" ",15),15)," ")</f>
        <v/>
      </c>
      <c r="AA2697" s="10">
        <f>REPT(" ",8)</f>
        <v/>
      </c>
      <c r="AB2697" s="10">
        <f>REPT(" ",4)</f>
        <v/>
      </c>
      <c r="AC2697" s="10">
        <f>LEFT(UPPER(H2697)&amp;REPT(" ",250),250)</f>
        <v/>
      </c>
      <c r="AD2697" s="10">
        <f>TEXT($G$2,"dd/mm/aaaa")</f>
        <v/>
      </c>
      <c r="AE2697" s="10">
        <f>REPT(" ",10)</f>
        <v/>
      </c>
      <c r="AF2697" s="10">
        <f>REPT(" ",20)</f>
        <v/>
      </c>
      <c r="AG2697" s="54">
        <f>REPT(" ",18-LEN(FIXED(F2697,2,TRUE)))&amp;FIXED(F2697,2,TRUE)</f>
        <v/>
      </c>
      <c r="AH2697" s="10">
        <f>LEN(AC2697)+LEN(AG2697)</f>
        <v/>
      </c>
      <c r="AI2697" s="10">
        <f>LEN(L2697)</f>
        <v/>
      </c>
    </row>
    <row r="2698">
      <c r="J2698" s="12">
        <f>IF(F2698&lt;&gt;0,"LANÇAR","")</f>
        <v/>
      </c>
      <c r="L2698" s="13">
        <f>N2698&amp;O2698&amp;P2698&amp;Q2698&amp;R2698&amp;S2698&amp;T2698&amp;U2698&amp;V2698&amp;W2698&amp;X2698&amp;Y2698&amp;Z2698&amp;AA2698&amp;AB2698&amp;AC2698&amp;AD2698&amp;AE2698&amp;AF2698&amp;AG2698</f>
        <v/>
      </c>
      <c r="N2698" s="10">
        <f>TEXT($B$6,"00")</f>
        <v/>
      </c>
      <c r="O2698" s="10">
        <f>REPT(" ",8)</f>
        <v/>
      </c>
      <c r="P2698" s="10">
        <f>RIGHT($B$4,2)</f>
        <v/>
      </c>
      <c r="Q2698" s="10">
        <f>RIGHT($B$5,3)</f>
        <v/>
      </c>
      <c r="R2698" s="10">
        <f>IF(A2698="D",LEFT(UPPER(B2698)&amp;REPT(" ",20),20),REPT(" ",20))</f>
        <v/>
      </c>
      <c r="S2698" s="10">
        <f>IF(A2698="D",LEFT(UPPER(C2698)&amp;REPT(" ",10),10)," ")</f>
        <v/>
      </c>
      <c r="T2698" s="10">
        <f>IF(A2698="D",LEFT(UPPER(D2698)&amp;REPT(" ",2),2)," ")</f>
        <v/>
      </c>
      <c r="U2698" s="10">
        <f>IF(A2698="D",LEFT(UPPER(E2698)&amp;REPT(" ",15),15)," ")</f>
        <v/>
      </c>
      <c r="V2698" s="10">
        <f>REPT(" ",24)</f>
        <v/>
      </c>
      <c r="W2698" s="10">
        <f>IF(A2698="c",LEFT(UPPER(B2698)&amp;REPT(" ",20),20),REPT(" ",20))</f>
        <v/>
      </c>
      <c r="X2698" s="10">
        <f>IF(A2698="C",LEFT(UPPER(C2698)&amp;REPT(" ",10),10)," ")</f>
        <v/>
      </c>
      <c r="Y2698" s="10">
        <f>IF(A2698="C",LEFT(UPPER(D2698)&amp;REPT(" ",2),2)," ")</f>
        <v/>
      </c>
      <c r="Z2698" s="10">
        <f>IF(A2698="C",LEFT(UPPER(E2698)&amp;REPT(" ",15),15)," ")</f>
        <v/>
      </c>
      <c r="AA2698" s="10">
        <f>REPT(" ",8)</f>
        <v/>
      </c>
      <c r="AB2698" s="10">
        <f>REPT(" ",4)</f>
        <v/>
      </c>
      <c r="AC2698" s="10">
        <f>LEFT(UPPER(H2698)&amp;REPT(" ",250),250)</f>
        <v/>
      </c>
      <c r="AD2698" s="10">
        <f>TEXT($G$2,"dd/mm/aaaa")</f>
        <v/>
      </c>
      <c r="AE2698" s="10">
        <f>REPT(" ",10)</f>
        <v/>
      </c>
      <c r="AF2698" s="10">
        <f>REPT(" ",20)</f>
        <v/>
      </c>
      <c r="AG2698" s="54">
        <f>REPT(" ",18-LEN(FIXED(F2698,2,TRUE)))&amp;FIXED(F2698,2,TRUE)</f>
        <v/>
      </c>
      <c r="AH2698" s="10">
        <f>LEN(AC2698)+LEN(AG2698)</f>
        <v/>
      </c>
      <c r="AI2698" s="10">
        <f>LEN(L2698)</f>
        <v/>
      </c>
    </row>
    <row r="2699">
      <c r="J2699" s="12">
        <f>IF(F2699&lt;&gt;0,"LANÇAR","")</f>
        <v/>
      </c>
      <c r="L2699" s="13">
        <f>N2699&amp;O2699&amp;P2699&amp;Q2699&amp;R2699&amp;S2699&amp;T2699&amp;U2699&amp;V2699&amp;W2699&amp;X2699&amp;Y2699&amp;Z2699&amp;AA2699&amp;AB2699&amp;AC2699&amp;AD2699&amp;AE2699&amp;AF2699&amp;AG2699</f>
        <v/>
      </c>
      <c r="N2699" s="10">
        <f>TEXT($B$6,"00")</f>
        <v/>
      </c>
      <c r="O2699" s="10">
        <f>REPT(" ",8)</f>
        <v/>
      </c>
      <c r="P2699" s="10">
        <f>RIGHT($B$4,2)</f>
        <v/>
      </c>
      <c r="Q2699" s="10">
        <f>RIGHT($B$5,3)</f>
        <v/>
      </c>
      <c r="R2699" s="10">
        <f>IF(A2699="D",LEFT(UPPER(B2699)&amp;REPT(" ",20),20),REPT(" ",20))</f>
        <v/>
      </c>
      <c r="S2699" s="10">
        <f>IF(A2699="D",LEFT(UPPER(C2699)&amp;REPT(" ",10),10)," ")</f>
        <v/>
      </c>
      <c r="T2699" s="10">
        <f>IF(A2699="D",LEFT(UPPER(D2699)&amp;REPT(" ",2),2)," ")</f>
        <v/>
      </c>
      <c r="U2699" s="10">
        <f>IF(A2699="D",LEFT(UPPER(E2699)&amp;REPT(" ",15),15)," ")</f>
        <v/>
      </c>
      <c r="V2699" s="10">
        <f>REPT(" ",24)</f>
        <v/>
      </c>
      <c r="W2699" s="10">
        <f>IF(A2699="c",LEFT(UPPER(B2699)&amp;REPT(" ",20),20),REPT(" ",20))</f>
        <v/>
      </c>
      <c r="X2699" s="10">
        <f>IF(A2699="C",LEFT(UPPER(C2699)&amp;REPT(" ",10),10)," ")</f>
        <v/>
      </c>
      <c r="Y2699" s="10">
        <f>IF(A2699="C",LEFT(UPPER(D2699)&amp;REPT(" ",2),2)," ")</f>
        <v/>
      </c>
      <c r="Z2699" s="10">
        <f>IF(A2699="C",LEFT(UPPER(E2699)&amp;REPT(" ",15),15)," ")</f>
        <v/>
      </c>
      <c r="AA2699" s="10">
        <f>REPT(" ",8)</f>
        <v/>
      </c>
      <c r="AB2699" s="10">
        <f>REPT(" ",4)</f>
        <v/>
      </c>
      <c r="AC2699" s="10">
        <f>LEFT(UPPER(H2699)&amp;REPT(" ",250),250)</f>
        <v/>
      </c>
      <c r="AD2699" s="10">
        <f>TEXT($G$2,"dd/mm/aaaa")</f>
        <v/>
      </c>
      <c r="AE2699" s="10">
        <f>REPT(" ",10)</f>
        <v/>
      </c>
      <c r="AF2699" s="10">
        <f>REPT(" ",20)</f>
        <v/>
      </c>
      <c r="AG2699" s="54">
        <f>REPT(" ",18-LEN(FIXED(F2699,2,TRUE)))&amp;FIXED(F2699,2,TRUE)</f>
        <v/>
      </c>
      <c r="AH2699" s="10">
        <f>LEN(AC2699)+LEN(AG2699)</f>
        <v/>
      </c>
      <c r="AI2699" s="10">
        <f>LEN(L2699)</f>
        <v/>
      </c>
    </row>
    <row r="2700">
      <c r="J2700" s="12">
        <f>IF(F2700&lt;&gt;0,"LANÇAR","")</f>
        <v/>
      </c>
      <c r="L2700" s="13">
        <f>N2700&amp;O2700&amp;P2700&amp;Q2700&amp;R2700&amp;S2700&amp;T2700&amp;U2700&amp;V2700&amp;W2700&amp;X2700&amp;Y2700&amp;Z2700&amp;AA2700&amp;AB2700&amp;AC2700&amp;AD2700&amp;AE2700&amp;AF2700&amp;AG2700</f>
        <v/>
      </c>
      <c r="N2700" s="10">
        <f>TEXT($B$6,"00")</f>
        <v/>
      </c>
      <c r="O2700" s="10">
        <f>REPT(" ",8)</f>
        <v/>
      </c>
      <c r="P2700" s="10">
        <f>RIGHT($B$4,2)</f>
        <v/>
      </c>
      <c r="Q2700" s="10">
        <f>RIGHT($B$5,3)</f>
        <v/>
      </c>
      <c r="R2700" s="10">
        <f>IF(A2700="D",LEFT(UPPER(B2700)&amp;REPT(" ",20),20),REPT(" ",20))</f>
        <v/>
      </c>
      <c r="S2700" s="10">
        <f>IF(A2700="D",LEFT(UPPER(C2700)&amp;REPT(" ",10),10)," ")</f>
        <v/>
      </c>
      <c r="T2700" s="10">
        <f>IF(A2700="D",LEFT(UPPER(D2700)&amp;REPT(" ",2),2)," ")</f>
        <v/>
      </c>
      <c r="U2700" s="10">
        <f>IF(A2700="D",LEFT(UPPER(E2700)&amp;REPT(" ",15),15)," ")</f>
        <v/>
      </c>
      <c r="V2700" s="10">
        <f>REPT(" ",24)</f>
        <v/>
      </c>
      <c r="W2700" s="10">
        <f>IF(A2700="c",LEFT(UPPER(B2700)&amp;REPT(" ",20),20),REPT(" ",20))</f>
        <v/>
      </c>
      <c r="X2700" s="10">
        <f>IF(A2700="C",LEFT(UPPER(C2700)&amp;REPT(" ",10),10)," ")</f>
        <v/>
      </c>
      <c r="Y2700" s="10">
        <f>IF(A2700="C",LEFT(UPPER(D2700)&amp;REPT(" ",2),2)," ")</f>
        <v/>
      </c>
      <c r="Z2700" s="10">
        <f>IF(A2700="C",LEFT(UPPER(E2700)&amp;REPT(" ",15),15)," ")</f>
        <v/>
      </c>
      <c r="AA2700" s="10">
        <f>REPT(" ",8)</f>
        <v/>
      </c>
      <c r="AB2700" s="10">
        <f>REPT(" ",4)</f>
        <v/>
      </c>
      <c r="AC2700" s="10">
        <f>LEFT(UPPER(H2700)&amp;REPT(" ",250),250)</f>
        <v/>
      </c>
      <c r="AD2700" s="10">
        <f>TEXT($G$2,"dd/mm/aaaa")</f>
        <v/>
      </c>
      <c r="AE2700" s="10">
        <f>REPT(" ",10)</f>
        <v/>
      </c>
      <c r="AF2700" s="10">
        <f>REPT(" ",20)</f>
        <v/>
      </c>
      <c r="AG2700" s="54">
        <f>REPT(" ",18-LEN(FIXED(F2700,2,TRUE)))&amp;FIXED(F2700,2,TRUE)</f>
        <v/>
      </c>
      <c r="AH2700" s="10">
        <f>LEN(AC2700)+LEN(AG2700)</f>
        <v/>
      </c>
      <c r="AI2700" s="10">
        <f>LEN(L2700)</f>
        <v/>
      </c>
    </row>
    <row r="2701">
      <c r="J2701" s="12">
        <f>IF(F2701&lt;&gt;0,"LANÇAR","")</f>
        <v/>
      </c>
      <c r="L2701" s="13">
        <f>N2701&amp;O2701&amp;P2701&amp;Q2701&amp;R2701&amp;S2701&amp;T2701&amp;U2701&amp;V2701&amp;W2701&amp;X2701&amp;Y2701&amp;Z2701&amp;AA2701&amp;AB2701&amp;AC2701&amp;AD2701&amp;AE2701&amp;AF2701&amp;AG2701</f>
        <v/>
      </c>
      <c r="N2701" s="10">
        <f>TEXT($B$6,"00")</f>
        <v/>
      </c>
      <c r="O2701" s="10">
        <f>REPT(" ",8)</f>
        <v/>
      </c>
      <c r="P2701" s="10">
        <f>RIGHT($B$4,2)</f>
        <v/>
      </c>
      <c r="Q2701" s="10">
        <f>RIGHT($B$5,3)</f>
        <v/>
      </c>
      <c r="R2701" s="10">
        <f>IF(A2701="D",LEFT(UPPER(B2701)&amp;REPT(" ",20),20),REPT(" ",20))</f>
        <v/>
      </c>
      <c r="S2701" s="10">
        <f>IF(A2701="D",LEFT(UPPER(C2701)&amp;REPT(" ",10),10)," ")</f>
        <v/>
      </c>
      <c r="T2701" s="10">
        <f>IF(A2701="D",LEFT(UPPER(D2701)&amp;REPT(" ",2),2)," ")</f>
        <v/>
      </c>
      <c r="U2701" s="10">
        <f>IF(A2701="D",LEFT(UPPER(E2701)&amp;REPT(" ",15),15)," ")</f>
        <v/>
      </c>
      <c r="V2701" s="10">
        <f>REPT(" ",24)</f>
        <v/>
      </c>
      <c r="W2701" s="10">
        <f>IF(A2701="c",LEFT(UPPER(B2701)&amp;REPT(" ",20),20),REPT(" ",20))</f>
        <v/>
      </c>
      <c r="X2701" s="10">
        <f>IF(A2701="C",LEFT(UPPER(C2701)&amp;REPT(" ",10),10)," ")</f>
        <v/>
      </c>
      <c r="Y2701" s="10">
        <f>IF(A2701="C",LEFT(UPPER(D2701)&amp;REPT(" ",2),2)," ")</f>
        <v/>
      </c>
      <c r="Z2701" s="10">
        <f>IF(A2701="C",LEFT(UPPER(E2701)&amp;REPT(" ",15),15)," ")</f>
        <v/>
      </c>
      <c r="AA2701" s="10">
        <f>REPT(" ",8)</f>
        <v/>
      </c>
      <c r="AB2701" s="10">
        <f>REPT(" ",4)</f>
        <v/>
      </c>
      <c r="AC2701" s="10">
        <f>LEFT(UPPER(H2701)&amp;REPT(" ",250),250)</f>
        <v/>
      </c>
      <c r="AD2701" s="10">
        <f>TEXT($G$2,"dd/mm/aaaa")</f>
        <v/>
      </c>
      <c r="AE2701" s="10">
        <f>REPT(" ",10)</f>
        <v/>
      </c>
      <c r="AF2701" s="10">
        <f>REPT(" ",20)</f>
        <v/>
      </c>
      <c r="AG2701" s="54">
        <f>REPT(" ",18-LEN(FIXED(F2701,2,TRUE)))&amp;FIXED(F2701,2,TRUE)</f>
        <v/>
      </c>
      <c r="AH2701" s="10">
        <f>LEN(AC2701)+LEN(AG2701)</f>
        <v/>
      </c>
      <c r="AI2701" s="10">
        <f>LEN(L2701)</f>
        <v/>
      </c>
    </row>
    <row r="2702">
      <c r="J2702" s="12">
        <f>IF(F2702&lt;&gt;0,"LANÇAR","")</f>
        <v/>
      </c>
      <c r="L2702" s="13">
        <f>N2702&amp;O2702&amp;P2702&amp;Q2702&amp;R2702&amp;S2702&amp;T2702&amp;U2702&amp;V2702&amp;W2702&amp;X2702&amp;Y2702&amp;Z2702&amp;AA2702&amp;AB2702&amp;AC2702&amp;AD2702&amp;AE2702&amp;AF2702&amp;AG2702</f>
        <v/>
      </c>
      <c r="N2702" s="10">
        <f>TEXT($B$6,"00")</f>
        <v/>
      </c>
      <c r="O2702" s="10">
        <f>REPT(" ",8)</f>
        <v/>
      </c>
      <c r="P2702" s="10">
        <f>RIGHT($B$4,2)</f>
        <v/>
      </c>
      <c r="Q2702" s="10">
        <f>RIGHT($B$5,3)</f>
        <v/>
      </c>
      <c r="R2702" s="10">
        <f>IF(A2702="D",LEFT(UPPER(B2702)&amp;REPT(" ",20),20),REPT(" ",20))</f>
        <v/>
      </c>
      <c r="S2702" s="10">
        <f>IF(A2702="D",LEFT(UPPER(C2702)&amp;REPT(" ",10),10)," ")</f>
        <v/>
      </c>
      <c r="T2702" s="10">
        <f>IF(A2702="D",LEFT(UPPER(D2702)&amp;REPT(" ",2),2)," ")</f>
        <v/>
      </c>
      <c r="U2702" s="10">
        <f>IF(A2702="D",LEFT(UPPER(E2702)&amp;REPT(" ",15),15)," ")</f>
        <v/>
      </c>
      <c r="V2702" s="10">
        <f>REPT(" ",24)</f>
        <v/>
      </c>
      <c r="W2702" s="10">
        <f>IF(A2702="c",LEFT(UPPER(B2702)&amp;REPT(" ",20),20),REPT(" ",20))</f>
        <v/>
      </c>
      <c r="X2702" s="10">
        <f>IF(A2702="C",LEFT(UPPER(C2702)&amp;REPT(" ",10),10)," ")</f>
        <v/>
      </c>
      <c r="Y2702" s="10">
        <f>IF(A2702="C",LEFT(UPPER(D2702)&amp;REPT(" ",2),2)," ")</f>
        <v/>
      </c>
      <c r="Z2702" s="10">
        <f>IF(A2702="C",LEFT(UPPER(E2702)&amp;REPT(" ",15),15)," ")</f>
        <v/>
      </c>
      <c r="AA2702" s="10">
        <f>REPT(" ",8)</f>
        <v/>
      </c>
      <c r="AB2702" s="10">
        <f>REPT(" ",4)</f>
        <v/>
      </c>
      <c r="AC2702" s="10">
        <f>LEFT(UPPER(H2702)&amp;REPT(" ",250),250)</f>
        <v/>
      </c>
      <c r="AD2702" s="10">
        <f>TEXT($G$2,"dd/mm/aaaa")</f>
        <v/>
      </c>
      <c r="AE2702" s="10">
        <f>REPT(" ",10)</f>
        <v/>
      </c>
      <c r="AF2702" s="10">
        <f>REPT(" ",20)</f>
        <v/>
      </c>
      <c r="AG2702" s="54">
        <f>REPT(" ",18-LEN(FIXED(F2702,2,TRUE)))&amp;FIXED(F2702,2,TRUE)</f>
        <v/>
      </c>
      <c r="AH2702" s="10">
        <f>LEN(AC2702)+LEN(AG2702)</f>
        <v/>
      </c>
      <c r="AI2702" s="10">
        <f>LEN(L2702)</f>
        <v/>
      </c>
    </row>
    <row r="2703">
      <c r="J2703" s="12">
        <f>IF(F2703&lt;&gt;0,"LANÇAR","")</f>
        <v/>
      </c>
      <c r="L2703" s="13">
        <f>N2703&amp;O2703&amp;P2703&amp;Q2703&amp;R2703&amp;S2703&amp;T2703&amp;U2703&amp;V2703&amp;W2703&amp;X2703&amp;Y2703&amp;Z2703&amp;AA2703&amp;AB2703&amp;AC2703&amp;AD2703&amp;AE2703&amp;AF2703&amp;AG2703</f>
        <v/>
      </c>
      <c r="N2703" s="10">
        <f>TEXT($B$6,"00")</f>
        <v/>
      </c>
      <c r="O2703" s="10">
        <f>REPT(" ",8)</f>
        <v/>
      </c>
      <c r="P2703" s="10">
        <f>RIGHT($B$4,2)</f>
        <v/>
      </c>
      <c r="Q2703" s="10">
        <f>RIGHT($B$5,3)</f>
        <v/>
      </c>
      <c r="R2703" s="10">
        <f>IF(A2703="D",LEFT(UPPER(B2703)&amp;REPT(" ",20),20),REPT(" ",20))</f>
        <v/>
      </c>
      <c r="S2703" s="10">
        <f>IF(A2703="D",LEFT(UPPER(C2703)&amp;REPT(" ",10),10)," ")</f>
        <v/>
      </c>
      <c r="T2703" s="10">
        <f>IF(A2703="D",LEFT(UPPER(D2703)&amp;REPT(" ",2),2)," ")</f>
        <v/>
      </c>
      <c r="U2703" s="10">
        <f>IF(A2703="D",LEFT(UPPER(E2703)&amp;REPT(" ",15),15)," ")</f>
        <v/>
      </c>
      <c r="V2703" s="10">
        <f>REPT(" ",24)</f>
        <v/>
      </c>
      <c r="W2703" s="10">
        <f>IF(A2703="c",LEFT(UPPER(B2703)&amp;REPT(" ",20),20),REPT(" ",20))</f>
        <v/>
      </c>
      <c r="X2703" s="10">
        <f>IF(A2703="C",LEFT(UPPER(C2703)&amp;REPT(" ",10),10)," ")</f>
        <v/>
      </c>
      <c r="Y2703" s="10">
        <f>IF(A2703="C",LEFT(UPPER(D2703)&amp;REPT(" ",2),2)," ")</f>
        <v/>
      </c>
      <c r="Z2703" s="10">
        <f>IF(A2703="C",LEFT(UPPER(E2703)&amp;REPT(" ",15),15)," ")</f>
        <v/>
      </c>
      <c r="AA2703" s="10">
        <f>REPT(" ",8)</f>
        <v/>
      </c>
      <c r="AB2703" s="10">
        <f>REPT(" ",4)</f>
        <v/>
      </c>
      <c r="AC2703" s="10">
        <f>LEFT(UPPER(H2703)&amp;REPT(" ",250),250)</f>
        <v/>
      </c>
      <c r="AD2703" s="10">
        <f>TEXT($G$2,"dd/mm/aaaa")</f>
        <v/>
      </c>
      <c r="AE2703" s="10">
        <f>REPT(" ",10)</f>
        <v/>
      </c>
      <c r="AF2703" s="10">
        <f>REPT(" ",20)</f>
        <v/>
      </c>
      <c r="AG2703" s="54">
        <f>REPT(" ",18-LEN(FIXED(F2703,2,TRUE)))&amp;FIXED(F2703,2,TRUE)</f>
        <v/>
      </c>
      <c r="AH2703" s="10">
        <f>LEN(AC2703)+LEN(AG2703)</f>
        <v/>
      </c>
      <c r="AI2703" s="10">
        <f>LEN(L2703)</f>
        <v/>
      </c>
    </row>
    <row r="2704">
      <c r="J2704" s="12">
        <f>IF(F2704&lt;&gt;0,"LANÇAR","")</f>
        <v/>
      </c>
      <c r="L2704" s="13">
        <f>N2704&amp;O2704&amp;P2704&amp;Q2704&amp;R2704&amp;S2704&amp;T2704&amp;U2704&amp;V2704&amp;W2704&amp;X2704&amp;Y2704&amp;Z2704&amp;AA2704&amp;AB2704&amp;AC2704&amp;AD2704&amp;AE2704&amp;AF2704&amp;AG2704</f>
        <v/>
      </c>
      <c r="N2704" s="10">
        <f>TEXT($B$6,"00")</f>
        <v/>
      </c>
      <c r="O2704" s="10">
        <f>REPT(" ",8)</f>
        <v/>
      </c>
      <c r="P2704" s="10">
        <f>RIGHT($B$4,2)</f>
        <v/>
      </c>
      <c r="Q2704" s="10">
        <f>RIGHT($B$5,3)</f>
        <v/>
      </c>
      <c r="R2704" s="10">
        <f>IF(A2704="D",LEFT(UPPER(B2704)&amp;REPT(" ",20),20),REPT(" ",20))</f>
        <v/>
      </c>
      <c r="S2704" s="10">
        <f>IF(A2704="D",LEFT(UPPER(C2704)&amp;REPT(" ",10),10)," ")</f>
        <v/>
      </c>
      <c r="T2704" s="10">
        <f>IF(A2704="D",LEFT(UPPER(D2704)&amp;REPT(" ",2),2)," ")</f>
        <v/>
      </c>
      <c r="U2704" s="10">
        <f>IF(A2704="D",LEFT(UPPER(E2704)&amp;REPT(" ",15),15)," ")</f>
        <v/>
      </c>
      <c r="V2704" s="10">
        <f>REPT(" ",24)</f>
        <v/>
      </c>
      <c r="W2704" s="10">
        <f>IF(A2704="c",LEFT(UPPER(B2704)&amp;REPT(" ",20),20),REPT(" ",20))</f>
        <v/>
      </c>
      <c r="X2704" s="10">
        <f>IF(A2704="C",LEFT(UPPER(C2704)&amp;REPT(" ",10),10)," ")</f>
        <v/>
      </c>
      <c r="Y2704" s="10">
        <f>IF(A2704="C",LEFT(UPPER(D2704)&amp;REPT(" ",2),2)," ")</f>
        <v/>
      </c>
      <c r="Z2704" s="10">
        <f>IF(A2704="C",LEFT(UPPER(E2704)&amp;REPT(" ",15),15)," ")</f>
        <v/>
      </c>
      <c r="AA2704" s="10">
        <f>REPT(" ",8)</f>
        <v/>
      </c>
      <c r="AB2704" s="10">
        <f>REPT(" ",4)</f>
        <v/>
      </c>
      <c r="AC2704" s="10">
        <f>LEFT(UPPER(H2704)&amp;REPT(" ",250),250)</f>
        <v/>
      </c>
      <c r="AD2704" s="10">
        <f>TEXT($G$2,"dd/mm/aaaa")</f>
        <v/>
      </c>
      <c r="AE2704" s="10">
        <f>REPT(" ",10)</f>
        <v/>
      </c>
      <c r="AF2704" s="10">
        <f>REPT(" ",20)</f>
        <v/>
      </c>
      <c r="AG2704" s="54">
        <f>REPT(" ",18-LEN(FIXED(F2704,2,TRUE)))&amp;FIXED(F2704,2,TRUE)</f>
        <v/>
      </c>
      <c r="AH2704" s="10">
        <f>LEN(AC2704)+LEN(AG2704)</f>
        <v/>
      </c>
      <c r="AI2704" s="10">
        <f>LEN(L2704)</f>
        <v/>
      </c>
    </row>
    <row r="2705">
      <c r="J2705" s="12">
        <f>IF(F2705&lt;&gt;0,"LANÇAR","")</f>
        <v/>
      </c>
      <c r="L2705" s="13">
        <f>N2705&amp;O2705&amp;P2705&amp;Q2705&amp;R2705&amp;S2705&amp;T2705&amp;U2705&amp;V2705&amp;W2705&amp;X2705&amp;Y2705&amp;Z2705&amp;AA2705&amp;AB2705&amp;AC2705&amp;AD2705&amp;AE2705&amp;AF2705&amp;AG2705</f>
        <v/>
      </c>
      <c r="N2705" s="10">
        <f>TEXT($B$6,"00")</f>
        <v/>
      </c>
      <c r="O2705" s="10">
        <f>REPT(" ",8)</f>
        <v/>
      </c>
      <c r="P2705" s="10">
        <f>RIGHT($B$4,2)</f>
        <v/>
      </c>
      <c r="Q2705" s="10">
        <f>RIGHT($B$5,3)</f>
        <v/>
      </c>
      <c r="R2705" s="10">
        <f>IF(A2705="D",LEFT(UPPER(B2705)&amp;REPT(" ",20),20),REPT(" ",20))</f>
        <v/>
      </c>
      <c r="S2705" s="10">
        <f>IF(A2705="D",LEFT(UPPER(C2705)&amp;REPT(" ",10),10)," ")</f>
        <v/>
      </c>
      <c r="T2705" s="10">
        <f>IF(A2705="D",LEFT(UPPER(D2705)&amp;REPT(" ",2),2)," ")</f>
        <v/>
      </c>
      <c r="U2705" s="10">
        <f>IF(A2705="D",LEFT(UPPER(E2705)&amp;REPT(" ",15),15)," ")</f>
        <v/>
      </c>
      <c r="V2705" s="10">
        <f>REPT(" ",24)</f>
        <v/>
      </c>
      <c r="W2705" s="10">
        <f>IF(A2705="c",LEFT(UPPER(B2705)&amp;REPT(" ",20),20),REPT(" ",20))</f>
        <v/>
      </c>
      <c r="X2705" s="10">
        <f>IF(A2705="C",LEFT(UPPER(C2705)&amp;REPT(" ",10),10)," ")</f>
        <v/>
      </c>
      <c r="Y2705" s="10">
        <f>IF(A2705="C",LEFT(UPPER(D2705)&amp;REPT(" ",2),2)," ")</f>
        <v/>
      </c>
      <c r="Z2705" s="10">
        <f>IF(A2705="C",LEFT(UPPER(E2705)&amp;REPT(" ",15),15)," ")</f>
        <v/>
      </c>
      <c r="AA2705" s="10">
        <f>REPT(" ",8)</f>
        <v/>
      </c>
      <c r="AB2705" s="10">
        <f>REPT(" ",4)</f>
        <v/>
      </c>
      <c r="AC2705" s="10">
        <f>LEFT(UPPER(H2705)&amp;REPT(" ",250),250)</f>
        <v/>
      </c>
      <c r="AD2705" s="10">
        <f>TEXT($G$2,"dd/mm/aaaa")</f>
        <v/>
      </c>
      <c r="AE2705" s="10">
        <f>REPT(" ",10)</f>
        <v/>
      </c>
      <c r="AF2705" s="10">
        <f>REPT(" ",20)</f>
        <v/>
      </c>
      <c r="AG2705" s="54">
        <f>REPT(" ",18-LEN(FIXED(F2705,2,TRUE)))&amp;FIXED(F2705,2,TRUE)</f>
        <v/>
      </c>
      <c r="AH2705" s="10">
        <f>LEN(AC2705)+LEN(AG2705)</f>
        <v/>
      </c>
      <c r="AI2705" s="10">
        <f>LEN(L2705)</f>
        <v/>
      </c>
    </row>
    <row r="2706">
      <c r="J2706" s="12">
        <f>IF(F2706&lt;&gt;0,"LANÇAR","")</f>
        <v/>
      </c>
      <c r="L2706" s="13">
        <f>N2706&amp;O2706&amp;P2706&amp;Q2706&amp;R2706&amp;S2706&amp;T2706&amp;U2706&amp;V2706&amp;W2706&amp;X2706&amp;Y2706&amp;Z2706&amp;AA2706&amp;AB2706&amp;AC2706&amp;AD2706&amp;AE2706&amp;AF2706&amp;AG2706</f>
        <v/>
      </c>
      <c r="N2706" s="10">
        <f>TEXT($B$6,"00")</f>
        <v/>
      </c>
      <c r="O2706" s="10">
        <f>REPT(" ",8)</f>
        <v/>
      </c>
      <c r="P2706" s="10">
        <f>RIGHT($B$4,2)</f>
        <v/>
      </c>
      <c r="Q2706" s="10">
        <f>RIGHT($B$5,3)</f>
        <v/>
      </c>
      <c r="R2706" s="10">
        <f>IF(A2706="D",LEFT(UPPER(B2706)&amp;REPT(" ",20),20),REPT(" ",20))</f>
        <v/>
      </c>
      <c r="S2706" s="10">
        <f>IF(A2706="D",LEFT(UPPER(C2706)&amp;REPT(" ",10),10)," ")</f>
        <v/>
      </c>
      <c r="T2706" s="10">
        <f>IF(A2706="D",LEFT(UPPER(D2706)&amp;REPT(" ",2),2)," ")</f>
        <v/>
      </c>
      <c r="U2706" s="10">
        <f>IF(A2706="D",LEFT(UPPER(E2706)&amp;REPT(" ",15),15)," ")</f>
        <v/>
      </c>
      <c r="V2706" s="10">
        <f>REPT(" ",24)</f>
        <v/>
      </c>
      <c r="W2706" s="10">
        <f>IF(A2706="c",LEFT(UPPER(B2706)&amp;REPT(" ",20),20),REPT(" ",20))</f>
        <v/>
      </c>
      <c r="X2706" s="10">
        <f>IF(A2706="C",LEFT(UPPER(C2706)&amp;REPT(" ",10),10)," ")</f>
        <v/>
      </c>
      <c r="Y2706" s="10">
        <f>IF(A2706="C",LEFT(UPPER(D2706)&amp;REPT(" ",2),2)," ")</f>
        <v/>
      </c>
      <c r="Z2706" s="10">
        <f>IF(A2706="C",LEFT(UPPER(E2706)&amp;REPT(" ",15),15)," ")</f>
        <v/>
      </c>
      <c r="AA2706" s="10">
        <f>REPT(" ",8)</f>
        <v/>
      </c>
      <c r="AB2706" s="10">
        <f>REPT(" ",4)</f>
        <v/>
      </c>
      <c r="AC2706" s="10">
        <f>LEFT(UPPER(H2706)&amp;REPT(" ",250),250)</f>
        <v/>
      </c>
      <c r="AD2706" s="10">
        <f>TEXT($G$2,"dd/mm/aaaa")</f>
        <v/>
      </c>
      <c r="AE2706" s="10">
        <f>REPT(" ",10)</f>
        <v/>
      </c>
      <c r="AF2706" s="10">
        <f>REPT(" ",20)</f>
        <v/>
      </c>
      <c r="AG2706" s="54">
        <f>REPT(" ",18-LEN(FIXED(F2706,2,TRUE)))&amp;FIXED(F2706,2,TRUE)</f>
        <v/>
      </c>
      <c r="AH2706" s="10">
        <f>LEN(AC2706)+LEN(AG2706)</f>
        <v/>
      </c>
      <c r="AI2706" s="10">
        <f>LEN(L2706)</f>
        <v/>
      </c>
    </row>
    <row r="2707">
      <c r="J2707" s="12">
        <f>IF(F2707&lt;&gt;0,"LANÇAR","")</f>
        <v/>
      </c>
      <c r="L2707" s="13">
        <f>N2707&amp;O2707&amp;P2707&amp;Q2707&amp;R2707&amp;S2707&amp;T2707&amp;U2707&amp;V2707&amp;W2707&amp;X2707&amp;Y2707&amp;Z2707&amp;AA2707&amp;AB2707&amp;AC2707&amp;AD2707&amp;AE2707&amp;AF2707&amp;AG2707</f>
        <v/>
      </c>
      <c r="N2707" s="10">
        <f>TEXT($B$6,"00")</f>
        <v/>
      </c>
      <c r="O2707" s="10">
        <f>REPT(" ",8)</f>
        <v/>
      </c>
      <c r="P2707" s="10">
        <f>RIGHT($B$4,2)</f>
        <v/>
      </c>
      <c r="Q2707" s="10">
        <f>RIGHT($B$5,3)</f>
        <v/>
      </c>
      <c r="R2707" s="10">
        <f>IF(A2707="D",LEFT(UPPER(B2707)&amp;REPT(" ",20),20),REPT(" ",20))</f>
        <v/>
      </c>
      <c r="S2707" s="10">
        <f>IF(A2707="D",LEFT(UPPER(C2707)&amp;REPT(" ",10),10)," ")</f>
        <v/>
      </c>
      <c r="T2707" s="10">
        <f>IF(A2707="D",LEFT(UPPER(D2707)&amp;REPT(" ",2),2)," ")</f>
        <v/>
      </c>
      <c r="U2707" s="10">
        <f>IF(A2707="D",LEFT(UPPER(E2707)&amp;REPT(" ",15),15)," ")</f>
        <v/>
      </c>
      <c r="V2707" s="10">
        <f>REPT(" ",24)</f>
        <v/>
      </c>
      <c r="W2707" s="10">
        <f>IF(A2707="c",LEFT(UPPER(B2707)&amp;REPT(" ",20),20),REPT(" ",20))</f>
        <v/>
      </c>
      <c r="X2707" s="10">
        <f>IF(A2707="C",LEFT(UPPER(C2707)&amp;REPT(" ",10),10)," ")</f>
        <v/>
      </c>
      <c r="Y2707" s="10">
        <f>IF(A2707="C",LEFT(UPPER(D2707)&amp;REPT(" ",2),2)," ")</f>
        <v/>
      </c>
      <c r="Z2707" s="10">
        <f>IF(A2707="C",LEFT(UPPER(E2707)&amp;REPT(" ",15),15)," ")</f>
        <v/>
      </c>
      <c r="AA2707" s="10">
        <f>REPT(" ",8)</f>
        <v/>
      </c>
      <c r="AB2707" s="10">
        <f>REPT(" ",4)</f>
        <v/>
      </c>
      <c r="AC2707" s="10">
        <f>LEFT(UPPER(H2707)&amp;REPT(" ",250),250)</f>
        <v/>
      </c>
      <c r="AD2707" s="10">
        <f>TEXT($G$2,"dd/mm/aaaa")</f>
        <v/>
      </c>
      <c r="AE2707" s="10">
        <f>REPT(" ",10)</f>
        <v/>
      </c>
      <c r="AF2707" s="10">
        <f>REPT(" ",20)</f>
        <v/>
      </c>
      <c r="AG2707" s="54">
        <f>REPT(" ",18-LEN(FIXED(F2707,2,TRUE)))&amp;FIXED(F2707,2,TRUE)</f>
        <v/>
      </c>
      <c r="AH2707" s="10">
        <f>LEN(AC2707)+LEN(AG2707)</f>
        <v/>
      </c>
      <c r="AI2707" s="10">
        <f>LEN(L2707)</f>
        <v/>
      </c>
    </row>
    <row r="2708">
      <c r="J2708" s="12">
        <f>IF(F2708&lt;&gt;0,"LANÇAR","")</f>
        <v/>
      </c>
      <c r="L2708" s="13">
        <f>N2708&amp;O2708&amp;P2708&amp;Q2708&amp;R2708&amp;S2708&amp;T2708&amp;U2708&amp;V2708&amp;W2708&amp;X2708&amp;Y2708&amp;Z2708&amp;AA2708&amp;AB2708&amp;AC2708&amp;AD2708&amp;AE2708&amp;AF2708&amp;AG2708</f>
        <v/>
      </c>
      <c r="N2708" s="10">
        <f>TEXT($B$6,"00")</f>
        <v/>
      </c>
      <c r="O2708" s="10">
        <f>REPT(" ",8)</f>
        <v/>
      </c>
      <c r="P2708" s="10">
        <f>RIGHT($B$4,2)</f>
        <v/>
      </c>
      <c r="Q2708" s="10">
        <f>RIGHT($B$5,3)</f>
        <v/>
      </c>
      <c r="R2708" s="10">
        <f>IF(A2708="D",LEFT(UPPER(B2708)&amp;REPT(" ",20),20),REPT(" ",20))</f>
        <v/>
      </c>
      <c r="S2708" s="10">
        <f>IF(A2708="D",LEFT(UPPER(C2708)&amp;REPT(" ",10),10)," ")</f>
        <v/>
      </c>
      <c r="T2708" s="10">
        <f>IF(A2708="D",LEFT(UPPER(D2708)&amp;REPT(" ",2),2)," ")</f>
        <v/>
      </c>
      <c r="U2708" s="10">
        <f>IF(A2708="D",LEFT(UPPER(E2708)&amp;REPT(" ",15),15)," ")</f>
        <v/>
      </c>
      <c r="V2708" s="10">
        <f>REPT(" ",24)</f>
        <v/>
      </c>
      <c r="W2708" s="10">
        <f>IF(A2708="c",LEFT(UPPER(B2708)&amp;REPT(" ",20),20),REPT(" ",20))</f>
        <v/>
      </c>
      <c r="X2708" s="10">
        <f>IF(A2708="C",LEFT(UPPER(C2708)&amp;REPT(" ",10),10)," ")</f>
        <v/>
      </c>
      <c r="Y2708" s="10">
        <f>IF(A2708="C",LEFT(UPPER(D2708)&amp;REPT(" ",2),2)," ")</f>
        <v/>
      </c>
      <c r="Z2708" s="10">
        <f>IF(A2708="C",LEFT(UPPER(E2708)&amp;REPT(" ",15),15)," ")</f>
        <v/>
      </c>
      <c r="AA2708" s="10">
        <f>REPT(" ",8)</f>
        <v/>
      </c>
      <c r="AB2708" s="10">
        <f>REPT(" ",4)</f>
        <v/>
      </c>
      <c r="AC2708" s="10">
        <f>LEFT(UPPER(H2708)&amp;REPT(" ",250),250)</f>
        <v/>
      </c>
      <c r="AD2708" s="10">
        <f>TEXT($G$2,"dd/mm/aaaa")</f>
        <v/>
      </c>
      <c r="AE2708" s="10">
        <f>REPT(" ",10)</f>
        <v/>
      </c>
      <c r="AF2708" s="10">
        <f>REPT(" ",20)</f>
        <v/>
      </c>
      <c r="AG2708" s="54">
        <f>REPT(" ",18-LEN(FIXED(F2708,2,TRUE)))&amp;FIXED(F2708,2,TRUE)</f>
        <v/>
      </c>
      <c r="AH2708" s="10">
        <f>LEN(AC2708)+LEN(AG2708)</f>
        <v/>
      </c>
      <c r="AI2708" s="10">
        <f>LEN(L2708)</f>
        <v/>
      </c>
    </row>
    <row r="2709">
      <c r="J2709" s="12">
        <f>IF(F2709&lt;&gt;0,"LANÇAR","")</f>
        <v/>
      </c>
      <c r="L2709" s="13">
        <f>N2709&amp;O2709&amp;P2709&amp;Q2709&amp;R2709&amp;S2709&amp;T2709&amp;U2709&amp;V2709&amp;W2709&amp;X2709&amp;Y2709&amp;Z2709&amp;AA2709&amp;AB2709&amp;AC2709&amp;AD2709&amp;AE2709&amp;AF2709&amp;AG2709</f>
        <v/>
      </c>
      <c r="N2709" s="10">
        <f>TEXT($B$6,"00")</f>
        <v/>
      </c>
      <c r="O2709" s="10">
        <f>REPT(" ",8)</f>
        <v/>
      </c>
      <c r="P2709" s="10">
        <f>RIGHT($B$4,2)</f>
        <v/>
      </c>
      <c r="Q2709" s="10">
        <f>RIGHT($B$5,3)</f>
        <v/>
      </c>
      <c r="R2709" s="10">
        <f>IF(A2709="D",LEFT(UPPER(B2709)&amp;REPT(" ",20),20),REPT(" ",20))</f>
        <v/>
      </c>
      <c r="S2709" s="10">
        <f>IF(A2709="D",LEFT(UPPER(C2709)&amp;REPT(" ",10),10)," ")</f>
        <v/>
      </c>
      <c r="T2709" s="10">
        <f>IF(A2709="D",LEFT(UPPER(D2709)&amp;REPT(" ",2),2)," ")</f>
        <v/>
      </c>
      <c r="U2709" s="10">
        <f>IF(A2709="D",LEFT(UPPER(E2709)&amp;REPT(" ",15),15)," ")</f>
        <v/>
      </c>
      <c r="V2709" s="10">
        <f>REPT(" ",24)</f>
        <v/>
      </c>
      <c r="W2709" s="10">
        <f>IF(A2709="c",LEFT(UPPER(B2709)&amp;REPT(" ",20),20),REPT(" ",20))</f>
        <v/>
      </c>
      <c r="X2709" s="10">
        <f>IF(A2709="C",LEFT(UPPER(C2709)&amp;REPT(" ",10),10)," ")</f>
        <v/>
      </c>
      <c r="Y2709" s="10">
        <f>IF(A2709="C",LEFT(UPPER(D2709)&amp;REPT(" ",2),2)," ")</f>
        <v/>
      </c>
      <c r="Z2709" s="10">
        <f>IF(A2709="C",LEFT(UPPER(E2709)&amp;REPT(" ",15),15)," ")</f>
        <v/>
      </c>
      <c r="AA2709" s="10">
        <f>REPT(" ",8)</f>
        <v/>
      </c>
      <c r="AB2709" s="10">
        <f>REPT(" ",4)</f>
        <v/>
      </c>
      <c r="AC2709" s="10">
        <f>LEFT(UPPER(H2709)&amp;REPT(" ",250),250)</f>
        <v/>
      </c>
      <c r="AD2709" s="10">
        <f>TEXT($G$2,"dd/mm/aaaa")</f>
        <v/>
      </c>
      <c r="AE2709" s="10">
        <f>REPT(" ",10)</f>
        <v/>
      </c>
      <c r="AF2709" s="10">
        <f>REPT(" ",20)</f>
        <v/>
      </c>
      <c r="AG2709" s="54">
        <f>REPT(" ",18-LEN(FIXED(F2709,2,TRUE)))&amp;FIXED(F2709,2,TRUE)</f>
        <v/>
      </c>
      <c r="AH2709" s="10">
        <f>LEN(AC2709)+LEN(AG2709)</f>
        <v/>
      </c>
      <c r="AI2709" s="10">
        <f>LEN(L2709)</f>
        <v/>
      </c>
    </row>
    <row r="2710">
      <c r="J2710" s="12">
        <f>IF(F2710&lt;&gt;0,"LANÇAR","")</f>
        <v/>
      </c>
      <c r="L2710" s="13">
        <f>N2710&amp;O2710&amp;P2710&amp;Q2710&amp;R2710&amp;S2710&amp;T2710&amp;U2710&amp;V2710&amp;W2710&amp;X2710&amp;Y2710&amp;Z2710&amp;AA2710&amp;AB2710&amp;AC2710&amp;AD2710&amp;AE2710&amp;AF2710&amp;AG2710</f>
        <v/>
      </c>
      <c r="N2710" s="10">
        <f>TEXT($B$6,"00")</f>
        <v/>
      </c>
      <c r="O2710" s="10">
        <f>REPT(" ",8)</f>
        <v/>
      </c>
      <c r="P2710" s="10">
        <f>RIGHT($B$4,2)</f>
        <v/>
      </c>
      <c r="Q2710" s="10">
        <f>RIGHT($B$5,3)</f>
        <v/>
      </c>
      <c r="R2710" s="10">
        <f>IF(A2710="D",LEFT(UPPER(B2710)&amp;REPT(" ",20),20),REPT(" ",20))</f>
        <v/>
      </c>
      <c r="S2710" s="10">
        <f>IF(A2710="D",LEFT(UPPER(C2710)&amp;REPT(" ",10),10)," ")</f>
        <v/>
      </c>
      <c r="T2710" s="10">
        <f>IF(A2710="D",LEFT(UPPER(D2710)&amp;REPT(" ",2),2)," ")</f>
        <v/>
      </c>
      <c r="U2710" s="10">
        <f>IF(A2710="D",LEFT(UPPER(E2710)&amp;REPT(" ",15),15)," ")</f>
        <v/>
      </c>
      <c r="V2710" s="10">
        <f>REPT(" ",24)</f>
        <v/>
      </c>
      <c r="W2710" s="10">
        <f>IF(A2710="c",LEFT(UPPER(B2710)&amp;REPT(" ",20),20),REPT(" ",20))</f>
        <v/>
      </c>
      <c r="X2710" s="10">
        <f>IF(A2710="C",LEFT(UPPER(C2710)&amp;REPT(" ",10),10)," ")</f>
        <v/>
      </c>
      <c r="Y2710" s="10">
        <f>IF(A2710="C",LEFT(UPPER(D2710)&amp;REPT(" ",2),2)," ")</f>
        <v/>
      </c>
      <c r="Z2710" s="10">
        <f>IF(A2710="C",LEFT(UPPER(E2710)&amp;REPT(" ",15),15)," ")</f>
        <v/>
      </c>
      <c r="AA2710" s="10">
        <f>REPT(" ",8)</f>
        <v/>
      </c>
      <c r="AB2710" s="10">
        <f>REPT(" ",4)</f>
        <v/>
      </c>
      <c r="AC2710" s="10">
        <f>LEFT(UPPER(H2710)&amp;REPT(" ",250),250)</f>
        <v/>
      </c>
      <c r="AD2710" s="10">
        <f>TEXT($G$2,"dd/mm/aaaa")</f>
        <v/>
      </c>
      <c r="AE2710" s="10">
        <f>REPT(" ",10)</f>
        <v/>
      </c>
      <c r="AF2710" s="10">
        <f>REPT(" ",20)</f>
        <v/>
      </c>
      <c r="AG2710" s="54">
        <f>REPT(" ",18-LEN(FIXED(F2710,2,TRUE)))&amp;FIXED(F2710,2,TRUE)</f>
        <v/>
      </c>
      <c r="AH2710" s="10">
        <f>LEN(AC2710)+LEN(AG2710)</f>
        <v/>
      </c>
      <c r="AI2710" s="10">
        <f>LEN(L2710)</f>
        <v/>
      </c>
    </row>
    <row r="2711">
      <c r="J2711" s="12">
        <f>IF(F2711&lt;&gt;0,"LANÇAR","")</f>
        <v/>
      </c>
      <c r="L2711" s="13">
        <f>N2711&amp;O2711&amp;P2711&amp;Q2711&amp;R2711&amp;S2711&amp;T2711&amp;U2711&amp;V2711&amp;W2711&amp;X2711&amp;Y2711&amp;Z2711&amp;AA2711&amp;AB2711&amp;AC2711&amp;AD2711&amp;AE2711&amp;AF2711&amp;AG2711</f>
        <v/>
      </c>
      <c r="N2711" s="10">
        <f>TEXT($B$6,"00")</f>
        <v/>
      </c>
      <c r="O2711" s="10">
        <f>REPT(" ",8)</f>
        <v/>
      </c>
      <c r="P2711" s="10">
        <f>RIGHT($B$4,2)</f>
        <v/>
      </c>
      <c r="Q2711" s="10">
        <f>RIGHT($B$5,3)</f>
        <v/>
      </c>
      <c r="R2711" s="10">
        <f>IF(A2711="D",LEFT(UPPER(B2711)&amp;REPT(" ",20),20),REPT(" ",20))</f>
        <v/>
      </c>
      <c r="S2711" s="10">
        <f>IF(A2711="D",LEFT(UPPER(C2711)&amp;REPT(" ",10),10)," ")</f>
        <v/>
      </c>
      <c r="T2711" s="10">
        <f>IF(A2711="D",LEFT(UPPER(D2711)&amp;REPT(" ",2),2)," ")</f>
        <v/>
      </c>
      <c r="U2711" s="10">
        <f>IF(A2711="D",LEFT(UPPER(E2711)&amp;REPT(" ",15),15)," ")</f>
        <v/>
      </c>
      <c r="V2711" s="10">
        <f>REPT(" ",24)</f>
        <v/>
      </c>
      <c r="W2711" s="10">
        <f>IF(A2711="c",LEFT(UPPER(B2711)&amp;REPT(" ",20),20),REPT(" ",20))</f>
        <v/>
      </c>
      <c r="X2711" s="10">
        <f>IF(A2711="C",LEFT(UPPER(C2711)&amp;REPT(" ",10),10)," ")</f>
        <v/>
      </c>
      <c r="Y2711" s="10">
        <f>IF(A2711="C",LEFT(UPPER(D2711)&amp;REPT(" ",2),2)," ")</f>
        <v/>
      </c>
      <c r="Z2711" s="10">
        <f>IF(A2711="C",LEFT(UPPER(E2711)&amp;REPT(" ",15),15)," ")</f>
        <v/>
      </c>
      <c r="AA2711" s="10">
        <f>REPT(" ",8)</f>
        <v/>
      </c>
      <c r="AB2711" s="10">
        <f>REPT(" ",4)</f>
        <v/>
      </c>
      <c r="AC2711" s="10">
        <f>LEFT(UPPER(H2711)&amp;REPT(" ",250),250)</f>
        <v/>
      </c>
      <c r="AD2711" s="10">
        <f>TEXT($G$2,"dd/mm/aaaa")</f>
        <v/>
      </c>
      <c r="AE2711" s="10">
        <f>REPT(" ",10)</f>
        <v/>
      </c>
      <c r="AF2711" s="10">
        <f>REPT(" ",20)</f>
        <v/>
      </c>
      <c r="AG2711" s="54">
        <f>REPT(" ",18-LEN(FIXED(F2711,2,TRUE)))&amp;FIXED(F2711,2,TRUE)</f>
        <v/>
      </c>
      <c r="AH2711" s="10">
        <f>LEN(AC2711)+LEN(AG2711)</f>
        <v/>
      </c>
      <c r="AI2711" s="10">
        <f>LEN(L2711)</f>
        <v/>
      </c>
    </row>
    <row r="2712">
      <c r="J2712" s="12">
        <f>IF(F2712&lt;&gt;0,"LANÇAR","")</f>
        <v/>
      </c>
      <c r="L2712" s="13">
        <f>N2712&amp;O2712&amp;P2712&amp;Q2712&amp;R2712&amp;S2712&amp;T2712&amp;U2712&amp;V2712&amp;W2712&amp;X2712&amp;Y2712&amp;Z2712&amp;AA2712&amp;AB2712&amp;AC2712&amp;AD2712&amp;AE2712&amp;AF2712&amp;AG2712</f>
        <v/>
      </c>
      <c r="N2712" s="10">
        <f>TEXT($B$6,"00")</f>
        <v/>
      </c>
      <c r="O2712" s="10">
        <f>REPT(" ",8)</f>
        <v/>
      </c>
      <c r="P2712" s="10">
        <f>RIGHT($B$4,2)</f>
        <v/>
      </c>
      <c r="Q2712" s="10">
        <f>RIGHT($B$5,3)</f>
        <v/>
      </c>
      <c r="R2712" s="10">
        <f>IF(A2712="D",LEFT(UPPER(B2712)&amp;REPT(" ",20),20),REPT(" ",20))</f>
        <v/>
      </c>
      <c r="S2712" s="10">
        <f>IF(A2712="D",LEFT(UPPER(C2712)&amp;REPT(" ",10),10)," ")</f>
        <v/>
      </c>
      <c r="T2712" s="10">
        <f>IF(A2712="D",LEFT(UPPER(D2712)&amp;REPT(" ",2),2)," ")</f>
        <v/>
      </c>
      <c r="U2712" s="10">
        <f>IF(A2712="D",LEFT(UPPER(E2712)&amp;REPT(" ",15),15)," ")</f>
        <v/>
      </c>
      <c r="V2712" s="10">
        <f>REPT(" ",24)</f>
        <v/>
      </c>
      <c r="W2712" s="10">
        <f>IF(A2712="c",LEFT(UPPER(B2712)&amp;REPT(" ",20),20),REPT(" ",20))</f>
        <v/>
      </c>
      <c r="X2712" s="10">
        <f>IF(A2712="C",LEFT(UPPER(C2712)&amp;REPT(" ",10),10)," ")</f>
        <v/>
      </c>
      <c r="Y2712" s="10">
        <f>IF(A2712="C",LEFT(UPPER(D2712)&amp;REPT(" ",2),2)," ")</f>
        <v/>
      </c>
      <c r="Z2712" s="10">
        <f>IF(A2712="C",LEFT(UPPER(E2712)&amp;REPT(" ",15),15)," ")</f>
        <v/>
      </c>
      <c r="AA2712" s="10">
        <f>REPT(" ",8)</f>
        <v/>
      </c>
      <c r="AB2712" s="10">
        <f>REPT(" ",4)</f>
        <v/>
      </c>
      <c r="AC2712" s="10">
        <f>LEFT(UPPER(H2712)&amp;REPT(" ",250),250)</f>
        <v/>
      </c>
      <c r="AD2712" s="10">
        <f>TEXT($G$2,"dd/mm/aaaa")</f>
        <v/>
      </c>
      <c r="AE2712" s="10">
        <f>REPT(" ",10)</f>
        <v/>
      </c>
      <c r="AF2712" s="10">
        <f>REPT(" ",20)</f>
        <v/>
      </c>
      <c r="AG2712" s="54">
        <f>REPT(" ",18-LEN(FIXED(F2712,2,TRUE)))&amp;FIXED(F2712,2,TRUE)</f>
        <v/>
      </c>
      <c r="AH2712" s="10">
        <f>LEN(AC2712)+LEN(AG2712)</f>
        <v/>
      </c>
      <c r="AI2712" s="10">
        <f>LEN(L2712)</f>
        <v/>
      </c>
    </row>
    <row r="2713">
      <c r="J2713" s="12">
        <f>IF(F2713&lt;&gt;0,"LANÇAR","")</f>
        <v/>
      </c>
      <c r="L2713" s="13">
        <f>N2713&amp;O2713&amp;P2713&amp;Q2713&amp;R2713&amp;S2713&amp;T2713&amp;U2713&amp;V2713&amp;W2713&amp;X2713&amp;Y2713&amp;Z2713&amp;AA2713&amp;AB2713&amp;AC2713&amp;AD2713&amp;AE2713&amp;AF2713&amp;AG2713</f>
        <v/>
      </c>
      <c r="N2713" s="10">
        <f>TEXT($B$6,"00")</f>
        <v/>
      </c>
      <c r="O2713" s="10">
        <f>REPT(" ",8)</f>
        <v/>
      </c>
      <c r="P2713" s="10">
        <f>RIGHT($B$4,2)</f>
        <v/>
      </c>
      <c r="Q2713" s="10">
        <f>RIGHT($B$5,3)</f>
        <v/>
      </c>
      <c r="R2713" s="10">
        <f>IF(A2713="D",LEFT(UPPER(B2713)&amp;REPT(" ",20),20),REPT(" ",20))</f>
        <v/>
      </c>
      <c r="S2713" s="10">
        <f>IF(A2713="D",LEFT(UPPER(C2713)&amp;REPT(" ",10),10)," ")</f>
        <v/>
      </c>
      <c r="T2713" s="10">
        <f>IF(A2713="D",LEFT(UPPER(D2713)&amp;REPT(" ",2),2)," ")</f>
        <v/>
      </c>
      <c r="U2713" s="10">
        <f>IF(A2713="D",LEFT(UPPER(E2713)&amp;REPT(" ",15),15)," ")</f>
        <v/>
      </c>
      <c r="V2713" s="10">
        <f>REPT(" ",24)</f>
        <v/>
      </c>
      <c r="W2713" s="10">
        <f>IF(A2713="c",LEFT(UPPER(B2713)&amp;REPT(" ",20),20),REPT(" ",20))</f>
        <v/>
      </c>
      <c r="X2713" s="10">
        <f>IF(A2713="C",LEFT(UPPER(C2713)&amp;REPT(" ",10),10)," ")</f>
        <v/>
      </c>
      <c r="Y2713" s="10">
        <f>IF(A2713="C",LEFT(UPPER(D2713)&amp;REPT(" ",2),2)," ")</f>
        <v/>
      </c>
      <c r="Z2713" s="10">
        <f>IF(A2713="C",LEFT(UPPER(E2713)&amp;REPT(" ",15),15)," ")</f>
        <v/>
      </c>
      <c r="AA2713" s="10">
        <f>REPT(" ",8)</f>
        <v/>
      </c>
      <c r="AB2713" s="10">
        <f>REPT(" ",4)</f>
        <v/>
      </c>
      <c r="AC2713" s="10">
        <f>LEFT(UPPER(H2713)&amp;REPT(" ",250),250)</f>
        <v/>
      </c>
      <c r="AD2713" s="10">
        <f>TEXT($G$2,"dd/mm/aaaa")</f>
        <v/>
      </c>
      <c r="AE2713" s="10">
        <f>REPT(" ",10)</f>
        <v/>
      </c>
      <c r="AF2713" s="10">
        <f>REPT(" ",20)</f>
        <v/>
      </c>
      <c r="AG2713" s="54">
        <f>REPT(" ",18-LEN(FIXED(F2713,2,TRUE)))&amp;FIXED(F2713,2,TRUE)</f>
        <v/>
      </c>
      <c r="AH2713" s="10">
        <f>LEN(AC2713)+LEN(AG2713)</f>
        <v/>
      </c>
      <c r="AI2713" s="10">
        <f>LEN(L2713)</f>
        <v/>
      </c>
    </row>
    <row r="2714">
      <c r="J2714" s="12">
        <f>IF(F2714&lt;&gt;0,"LANÇAR","")</f>
        <v/>
      </c>
      <c r="L2714" s="13">
        <f>N2714&amp;O2714&amp;P2714&amp;Q2714&amp;R2714&amp;S2714&amp;T2714&amp;U2714&amp;V2714&amp;W2714&amp;X2714&amp;Y2714&amp;Z2714&amp;AA2714&amp;AB2714&amp;AC2714&amp;AD2714&amp;AE2714&amp;AF2714&amp;AG2714</f>
        <v/>
      </c>
      <c r="N2714" s="10">
        <f>TEXT($B$6,"00")</f>
        <v/>
      </c>
      <c r="O2714" s="10">
        <f>REPT(" ",8)</f>
        <v/>
      </c>
      <c r="P2714" s="10">
        <f>RIGHT($B$4,2)</f>
        <v/>
      </c>
      <c r="Q2714" s="10">
        <f>RIGHT($B$5,3)</f>
        <v/>
      </c>
      <c r="R2714" s="10">
        <f>IF(A2714="D",LEFT(UPPER(B2714)&amp;REPT(" ",20),20),REPT(" ",20))</f>
        <v/>
      </c>
      <c r="S2714" s="10">
        <f>IF(A2714="D",LEFT(UPPER(C2714)&amp;REPT(" ",10),10)," ")</f>
        <v/>
      </c>
      <c r="T2714" s="10">
        <f>IF(A2714="D",LEFT(UPPER(D2714)&amp;REPT(" ",2),2)," ")</f>
        <v/>
      </c>
      <c r="U2714" s="10">
        <f>IF(A2714="D",LEFT(UPPER(E2714)&amp;REPT(" ",15),15)," ")</f>
        <v/>
      </c>
      <c r="V2714" s="10">
        <f>REPT(" ",24)</f>
        <v/>
      </c>
      <c r="W2714" s="10">
        <f>IF(A2714="c",LEFT(UPPER(B2714)&amp;REPT(" ",20),20),REPT(" ",20))</f>
        <v/>
      </c>
      <c r="X2714" s="10">
        <f>IF(A2714="C",LEFT(UPPER(C2714)&amp;REPT(" ",10),10)," ")</f>
        <v/>
      </c>
      <c r="Y2714" s="10">
        <f>IF(A2714="C",LEFT(UPPER(D2714)&amp;REPT(" ",2),2)," ")</f>
        <v/>
      </c>
      <c r="Z2714" s="10">
        <f>IF(A2714="C",LEFT(UPPER(E2714)&amp;REPT(" ",15),15)," ")</f>
        <v/>
      </c>
      <c r="AA2714" s="10">
        <f>REPT(" ",8)</f>
        <v/>
      </c>
      <c r="AB2714" s="10">
        <f>REPT(" ",4)</f>
        <v/>
      </c>
      <c r="AC2714" s="10">
        <f>LEFT(UPPER(H2714)&amp;REPT(" ",250),250)</f>
        <v/>
      </c>
      <c r="AD2714" s="10">
        <f>TEXT($G$2,"dd/mm/aaaa")</f>
        <v/>
      </c>
      <c r="AE2714" s="10">
        <f>REPT(" ",10)</f>
        <v/>
      </c>
      <c r="AF2714" s="10">
        <f>REPT(" ",20)</f>
        <v/>
      </c>
      <c r="AG2714" s="54">
        <f>REPT(" ",18-LEN(FIXED(F2714,2,TRUE)))&amp;FIXED(F2714,2,TRUE)</f>
        <v/>
      </c>
      <c r="AH2714" s="10">
        <f>LEN(AC2714)+LEN(AG2714)</f>
        <v/>
      </c>
      <c r="AI2714" s="10">
        <f>LEN(L2714)</f>
        <v/>
      </c>
    </row>
    <row r="2715">
      <c r="J2715" s="12">
        <f>IF(F2715&lt;&gt;0,"LANÇAR","")</f>
        <v/>
      </c>
      <c r="L2715" s="13">
        <f>N2715&amp;O2715&amp;P2715&amp;Q2715&amp;R2715&amp;S2715&amp;T2715&amp;U2715&amp;V2715&amp;W2715&amp;X2715&amp;Y2715&amp;Z2715&amp;AA2715&amp;AB2715&amp;AC2715&amp;AD2715&amp;AE2715&amp;AF2715&amp;AG2715</f>
        <v/>
      </c>
      <c r="N2715" s="10">
        <f>TEXT($B$6,"00")</f>
        <v/>
      </c>
      <c r="O2715" s="10">
        <f>REPT(" ",8)</f>
        <v/>
      </c>
      <c r="P2715" s="10">
        <f>RIGHT($B$4,2)</f>
        <v/>
      </c>
      <c r="Q2715" s="10">
        <f>RIGHT($B$5,3)</f>
        <v/>
      </c>
      <c r="R2715" s="10">
        <f>IF(A2715="D",LEFT(UPPER(B2715)&amp;REPT(" ",20),20),REPT(" ",20))</f>
        <v/>
      </c>
      <c r="S2715" s="10">
        <f>IF(A2715="D",LEFT(UPPER(C2715)&amp;REPT(" ",10),10)," ")</f>
        <v/>
      </c>
      <c r="T2715" s="10">
        <f>IF(A2715="D",LEFT(UPPER(D2715)&amp;REPT(" ",2),2)," ")</f>
        <v/>
      </c>
      <c r="U2715" s="10">
        <f>IF(A2715="D",LEFT(UPPER(E2715)&amp;REPT(" ",15),15)," ")</f>
        <v/>
      </c>
      <c r="V2715" s="10">
        <f>REPT(" ",24)</f>
        <v/>
      </c>
      <c r="W2715" s="10">
        <f>IF(A2715="c",LEFT(UPPER(B2715)&amp;REPT(" ",20),20),REPT(" ",20))</f>
        <v/>
      </c>
      <c r="X2715" s="10">
        <f>IF(A2715="C",LEFT(UPPER(C2715)&amp;REPT(" ",10),10)," ")</f>
        <v/>
      </c>
      <c r="Y2715" s="10">
        <f>IF(A2715="C",LEFT(UPPER(D2715)&amp;REPT(" ",2),2)," ")</f>
        <v/>
      </c>
      <c r="Z2715" s="10">
        <f>IF(A2715="C",LEFT(UPPER(E2715)&amp;REPT(" ",15),15)," ")</f>
        <v/>
      </c>
      <c r="AA2715" s="10">
        <f>REPT(" ",8)</f>
        <v/>
      </c>
      <c r="AB2715" s="10">
        <f>REPT(" ",4)</f>
        <v/>
      </c>
      <c r="AC2715" s="10">
        <f>LEFT(UPPER(H2715)&amp;REPT(" ",250),250)</f>
        <v/>
      </c>
      <c r="AD2715" s="10">
        <f>TEXT($G$2,"dd/mm/aaaa")</f>
        <v/>
      </c>
      <c r="AE2715" s="10">
        <f>REPT(" ",10)</f>
        <v/>
      </c>
      <c r="AF2715" s="10">
        <f>REPT(" ",20)</f>
        <v/>
      </c>
      <c r="AG2715" s="54">
        <f>REPT(" ",18-LEN(FIXED(F2715,2,TRUE)))&amp;FIXED(F2715,2,TRUE)</f>
        <v/>
      </c>
      <c r="AH2715" s="10">
        <f>LEN(AC2715)+LEN(AG2715)</f>
        <v/>
      </c>
      <c r="AI2715" s="10">
        <f>LEN(L2715)</f>
        <v/>
      </c>
    </row>
    <row r="2716">
      <c r="J2716" s="12">
        <f>IF(F2716&lt;&gt;0,"LANÇAR","")</f>
        <v/>
      </c>
      <c r="L2716" s="13">
        <f>N2716&amp;O2716&amp;P2716&amp;Q2716&amp;R2716&amp;S2716&amp;T2716&amp;U2716&amp;V2716&amp;W2716&amp;X2716&amp;Y2716&amp;Z2716&amp;AA2716&amp;AB2716&amp;AC2716&amp;AD2716&amp;AE2716&amp;AF2716&amp;AG2716</f>
        <v/>
      </c>
      <c r="N2716" s="10">
        <f>TEXT($B$6,"00")</f>
        <v/>
      </c>
      <c r="O2716" s="10">
        <f>REPT(" ",8)</f>
        <v/>
      </c>
      <c r="P2716" s="10">
        <f>RIGHT($B$4,2)</f>
        <v/>
      </c>
      <c r="Q2716" s="10">
        <f>RIGHT($B$5,3)</f>
        <v/>
      </c>
      <c r="R2716" s="10">
        <f>IF(A2716="D",LEFT(UPPER(B2716)&amp;REPT(" ",20),20),REPT(" ",20))</f>
        <v/>
      </c>
      <c r="S2716" s="10">
        <f>IF(A2716="D",LEFT(UPPER(C2716)&amp;REPT(" ",10),10)," ")</f>
        <v/>
      </c>
      <c r="T2716" s="10">
        <f>IF(A2716="D",LEFT(UPPER(D2716)&amp;REPT(" ",2),2)," ")</f>
        <v/>
      </c>
      <c r="U2716" s="10">
        <f>IF(A2716="D",LEFT(UPPER(E2716)&amp;REPT(" ",15),15)," ")</f>
        <v/>
      </c>
      <c r="V2716" s="10">
        <f>REPT(" ",24)</f>
        <v/>
      </c>
      <c r="W2716" s="10">
        <f>IF(A2716="c",LEFT(UPPER(B2716)&amp;REPT(" ",20),20),REPT(" ",20))</f>
        <v/>
      </c>
      <c r="X2716" s="10">
        <f>IF(A2716="C",LEFT(UPPER(C2716)&amp;REPT(" ",10),10)," ")</f>
        <v/>
      </c>
      <c r="Y2716" s="10">
        <f>IF(A2716="C",LEFT(UPPER(D2716)&amp;REPT(" ",2),2)," ")</f>
        <v/>
      </c>
      <c r="Z2716" s="10">
        <f>IF(A2716="C",LEFT(UPPER(E2716)&amp;REPT(" ",15),15)," ")</f>
        <v/>
      </c>
      <c r="AA2716" s="10">
        <f>REPT(" ",8)</f>
        <v/>
      </c>
      <c r="AB2716" s="10">
        <f>REPT(" ",4)</f>
        <v/>
      </c>
      <c r="AC2716" s="10">
        <f>LEFT(UPPER(H2716)&amp;REPT(" ",250),250)</f>
        <v/>
      </c>
      <c r="AD2716" s="10">
        <f>TEXT($G$2,"dd/mm/aaaa")</f>
        <v/>
      </c>
      <c r="AE2716" s="10">
        <f>REPT(" ",10)</f>
        <v/>
      </c>
      <c r="AF2716" s="10">
        <f>REPT(" ",20)</f>
        <v/>
      </c>
      <c r="AG2716" s="54">
        <f>REPT(" ",18-LEN(FIXED(F2716,2,TRUE)))&amp;FIXED(F2716,2,TRUE)</f>
        <v/>
      </c>
      <c r="AH2716" s="10">
        <f>LEN(AC2716)+LEN(AG2716)</f>
        <v/>
      </c>
      <c r="AI2716" s="10">
        <f>LEN(L2716)</f>
        <v/>
      </c>
    </row>
    <row r="2717">
      <c r="J2717" s="12">
        <f>IF(F2717&lt;&gt;0,"LANÇAR","")</f>
        <v/>
      </c>
      <c r="L2717" s="13">
        <f>N2717&amp;O2717&amp;P2717&amp;Q2717&amp;R2717&amp;S2717&amp;T2717&amp;U2717&amp;V2717&amp;W2717&amp;X2717&amp;Y2717&amp;Z2717&amp;AA2717&amp;AB2717&amp;AC2717&amp;AD2717&amp;AE2717&amp;AF2717&amp;AG2717</f>
        <v/>
      </c>
      <c r="N2717" s="10">
        <f>TEXT($B$6,"00")</f>
        <v/>
      </c>
      <c r="O2717" s="10">
        <f>REPT(" ",8)</f>
        <v/>
      </c>
      <c r="P2717" s="10">
        <f>RIGHT($B$4,2)</f>
        <v/>
      </c>
      <c r="Q2717" s="10">
        <f>RIGHT($B$5,3)</f>
        <v/>
      </c>
      <c r="R2717" s="10">
        <f>IF(A2717="D",LEFT(UPPER(B2717)&amp;REPT(" ",20),20),REPT(" ",20))</f>
        <v/>
      </c>
      <c r="S2717" s="10">
        <f>IF(A2717="D",LEFT(UPPER(C2717)&amp;REPT(" ",10),10)," ")</f>
        <v/>
      </c>
      <c r="T2717" s="10">
        <f>IF(A2717="D",LEFT(UPPER(D2717)&amp;REPT(" ",2),2)," ")</f>
        <v/>
      </c>
      <c r="U2717" s="10">
        <f>IF(A2717="D",LEFT(UPPER(E2717)&amp;REPT(" ",15),15)," ")</f>
        <v/>
      </c>
      <c r="V2717" s="10">
        <f>REPT(" ",24)</f>
        <v/>
      </c>
      <c r="W2717" s="10">
        <f>IF(A2717="c",LEFT(UPPER(B2717)&amp;REPT(" ",20),20),REPT(" ",20))</f>
        <v/>
      </c>
      <c r="X2717" s="10">
        <f>IF(A2717="C",LEFT(UPPER(C2717)&amp;REPT(" ",10),10)," ")</f>
        <v/>
      </c>
      <c r="Y2717" s="10">
        <f>IF(A2717="C",LEFT(UPPER(D2717)&amp;REPT(" ",2),2)," ")</f>
        <v/>
      </c>
      <c r="Z2717" s="10">
        <f>IF(A2717="C",LEFT(UPPER(E2717)&amp;REPT(" ",15),15)," ")</f>
        <v/>
      </c>
      <c r="AA2717" s="10">
        <f>REPT(" ",8)</f>
        <v/>
      </c>
      <c r="AB2717" s="10">
        <f>REPT(" ",4)</f>
        <v/>
      </c>
      <c r="AC2717" s="10">
        <f>LEFT(UPPER(H2717)&amp;REPT(" ",250),250)</f>
        <v/>
      </c>
      <c r="AD2717" s="10">
        <f>TEXT($G$2,"dd/mm/aaaa")</f>
        <v/>
      </c>
      <c r="AE2717" s="10">
        <f>REPT(" ",10)</f>
        <v/>
      </c>
      <c r="AF2717" s="10">
        <f>REPT(" ",20)</f>
        <v/>
      </c>
      <c r="AG2717" s="54">
        <f>REPT(" ",18-LEN(FIXED(F2717,2,TRUE)))&amp;FIXED(F2717,2,TRUE)</f>
        <v/>
      </c>
      <c r="AH2717" s="10">
        <f>LEN(AC2717)+LEN(AG2717)</f>
        <v/>
      </c>
      <c r="AI2717" s="10">
        <f>LEN(L2717)</f>
        <v/>
      </c>
    </row>
    <row r="2718">
      <c r="J2718" s="12">
        <f>IF(F2718&lt;&gt;0,"LANÇAR","")</f>
        <v/>
      </c>
      <c r="L2718" s="13">
        <f>N2718&amp;O2718&amp;P2718&amp;Q2718&amp;R2718&amp;S2718&amp;T2718&amp;U2718&amp;V2718&amp;W2718&amp;X2718&amp;Y2718&amp;Z2718&amp;AA2718&amp;AB2718&amp;AC2718&amp;AD2718&amp;AE2718&amp;AF2718&amp;AG2718</f>
        <v/>
      </c>
      <c r="N2718" s="10">
        <f>TEXT($B$6,"00")</f>
        <v/>
      </c>
      <c r="O2718" s="10">
        <f>REPT(" ",8)</f>
        <v/>
      </c>
      <c r="P2718" s="10">
        <f>RIGHT($B$4,2)</f>
        <v/>
      </c>
      <c r="Q2718" s="10">
        <f>RIGHT($B$5,3)</f>
        <v/>
      </c>
      <c r="R2718" s="10">
        <f>IF(A2718="D",LEFT(UPPER(B2718)&amp;REPT(" ",20),20),REPT(" ",20))</f>
        <v/>
      </c>
      <c r="S2718" s="10">
        <f>IF(A2718="D",LEFT(UPPER(C2718)&amp;REPT(" ",10),10)," ")</f>
        <v/>
      </c>
      <c r="T2718" s="10">
        <f>IF(A2718="D",LEFT(UPPER(D2718)&amp;REPT(" ",2),2)," ")</f>
        <v/>
      </c>
      <c r="U2718" s="10">
        <f>IF(A2718="D",LEFT(UPPER(E2718)&amp;REPT(" ",15),15)," ")</f>
        <v/>
      </c>
      <c r="V2718" s="10">
        <f>REPT(" ",24)</f>
        <v/>
      </c>
      <c r="W2718" s="10">
        <f>IF(A2718="c",LEFT(UPPER(B2718)&amp;REPT(" ",20),20),REPT(" ",20))</f>
        <v/>
      </c>
      <c r="X2718" s="10">
        <f>IF(A2718="C",LEFT(UPPER(C2718)&amp;REPT(" ",10),10)," ")</f>
        <v/>
      </c>
      <c r="Y2718" s="10">
        <f>IF(A2718="C",LEFT(UPPER(D2718)&amp;REPT(" ",2),2)," ")</f>
        <v/>
      </c>
      <c r="Z2718" s="10">
        <f>IF(A2718="C",LEFT(UPPER(E2718)&amp;REPT(" ",15),15)," ")</f>
        <v/>
      </c>
      <c r="AA2718" s="10">
        <f>REPT(" ",8)</f>
        <v/>
      </c>
      <c r="AB2718" s="10">
        <f>REPT(" ",4)</f>
        <v/>
      </c>
      <c r="AC2718" s="10">
        <f>LEFT(UPPER(H2718)&amp;REPT(" ",250),250)</f>
        <v/>
      </c>
      <c r="AD2718" s="10">
        <f>TEXT($G$2,"dd/mm/aaaa")</f>
        <v/>
      </c>
      <c r="AE2718" s="10">
        <f>REPT(" ",10)</f>
        <v/>
      </c>
      <c r="AF2718" s="10">
        <f>REPT(" ",20)</f>
        <v/>
      </c>
      <c r="AG2718" s="54">
        <f>REPT(" ",18-LEN(FIXED(F2718,2,TRUE)))&amp;FIXED(F2718,2,TRUE)</f>
        <v/>
      </c>
      <c r="AH2718" s="10">
        <f>LEN(AC2718)+LEN(AG2718)</f>
        <v/>
      </c>
      <c r="AI2718" s="10">
        <f>LEN(L2718)</f>
        <v/>
      </c>
    </row>
    <row r="2719">
      <c r="J2719" s="12">
        <f>IF(F2719&lt;&gt;0,"LANÇAR","")</f>
        <v/>
      </c>
      <c r="L2719" s="13">
        <f>N2719&amp;O2719&amp;P2719&amp;Q2719&amp;R2719&amp;S2719&amp;T2719&amp;U2719&amp;V2719&amp;W2719&amp;X2719&amp;Y2719&amp;Z2719&amp;AA2719&amp;AB2719&amp;AC2719&amp;AD2719&amp;AE2719&amp;AF2719&amp;AG2719</f>
        <v/>
      </c>
      <c r="N2719" s="10">
        <f>TEXT($B$6,"00")</f>
        <v/>
      </c>
      <c r="O2719" s="10">
        <f>REPT(" ",8)</f>
        <v/>
      </c>
      <c r="P2719" s="10">
        <f>RIGHT($B$4,2)</f>
        <v/>
      </c>
      <c r="Q2719" s="10">
        <f>RIGHT($B$5,3)</f>
        <v/>
      </c>
      <c r="R2719" s="10">
        <f>IF(A2719="D",LEFT(UPPER(B2719)&amp;REPT(" ",20),20),REPT(" ",20))</f>
        <v/>
      </c>
      <c r="S2719" s="10">
        <f>IF(A2719="D",LEFT(UPPER(C2719)&amp;REPT(" ",10),10)," ")</f>
        <v/>
      </c>
      <c r="T2719" s="10">
        <f>IF(A2719="D",LEFT(UPPER(D2719)&amp;REPT(" ",2),2)," ")</f>
        <v/>
      </c>
      <c r="U2719" s="10">
        <f>IF(A2719="D",LEFT(UPPER(E2719)&amp;REPT(" ",15),15)," ")</f>
        <v/>
      </c>
      <c r="V2719" s="10">
        <f>REPT(" ",24)</f>
        <v/>
      </c>
      <c r="W2719" s="10">
        <f>IF(A2719="c",LEFT(UPPER(B2719)&amp;REPT(" ",20),20),REPT(" ",20))</f>
        <v/>
      </c>
      <c r="X2719" s="10">
        <f>IF(A2719="C",LEFT(UPPER(C2719)&amp;REPT(" ",10),10)," ")</f>
        <v/>
      </c>
      <c r="Y2719" s="10">
        <f>IF(A2719="C",LEFT(UPPER(D2719)&amp;REPT(" ",2),2)," ")</f>
        <v/>
      </c>
      <c r="Z2719" s="10">
        <f>IF(A2719="C",LEFT(UPPER(E2719)&amp;REPT(" ",15),15)," ")</f>
        <v/>
      </c>
      <c r="AA2719" s="10">
        <f>REPT(" ",8)</f>
        <v/>
      </c>
      <c r="AB2719" s="10">
        <f>REPT(" ",4)</f>
        <v/>
      </c>
      <c r="AC2719" s="10">
        <f>LEFT(UPPER(H2719)&amp;REPT(" ",250),250)</f>
        <v/>
      </c>
      <c r="AD2719" s="10">
        <f>TEXT($G$2,"dd/mm/aaaa")</f>
        <v/>
      </c>
      <c r="AE2719" s="10">
        <f>REPT(" ",10)</f>
        <v/>
      </c>
      <c r="AF2719" s="10">
        <f>REPT(" ",20)</f>
        <v/>
      </c>
      <c r="AG2719" s="54">
        <f>REPT(" ",18-LEN(FIXED(F2719,2,TRUE)))&amp;FIXED(F2719,2,TRUE)</f>
        <v/>
      </c>
      <c r="AH2719" s="10">
        <f>LEN(AC2719)+LEN(AG2719)</f>
        <v/>
      </c>
      <c r="AI2719" s="10">
        <f>LEN(L2719)</f>
        <v/>
      </c>
    </row>
    <row r="2720">
      <c r="J2720" s="12">
        <f>IF(F2720&lt;&gt;0,"LANÇAR","")</f>
        <v/>
      </c>
      <c r="L2720" s="13">
        <f>N2720&amp;O2720&amp;P2720&amp;Q2720&amp;R2720&amp;S2720&amp;T2720&amp;U2720&amp;V2720&amp;W2720&amp;X2720&amp;Y2720&amp;Z2720&amp;AA2720&amp;AB2720&amp;AC2720&amp;AD2720&amp;AE2720&amp;AF2720&amp;AG2720</f>
        <v/>
      </c>
      <c r="N2720" s="10">
        <f>TEXT($B$6,"00")</f>
        <v/>
      </c>
      <c r="O2720" s="10">
        <f>REPT(" ",8)</f>
        <v/>
      </c>
      <c r="P2720" s="10">
        <f>RIGHT($B$4,2)</f>
        <v/>
      </c>
      <c r="Q2720" s="10">
        <f>RIGHT($B$5,3)</f>
        <v/>
      </c>
      <c r="R2720" s="10">
        <f>IF(A2720="D",LEFT(UPPER(B2720)&amp;REPT(" ",20),20),REPT(" ",20))</f>
        <v/>
      </c>
      <c r="S2720" s="10">
        <f>IF(A2720="D",LEFT(UPPER(C2720)&amp;REPT(" ",10),10)," ")</f>
        <v/>
      </c>
      <c r="T2720" s="10">
        <f>IF(A2720="D",LEFT(UPPER(D2720)&amp;REPT(" ",2),2)," ")</f>
        <v/>
      </c>
      <c r="U2720" s="10">
        <f>IF(A2720="D",LEFT(UPPER(E2720)&amp;REPT(" ",15),15)," ")</f>
        <v/>
      </c>
      <c r="V2720" s="10">
        <f>REPT(" ",24)</f>
        <v/>
      </c>
      <c r="W2720" s="10">
        <f>IF(A2720="c",LEFT(UPPER(B2720)&amp;REPT(" ",20),20),REPT(" ",20))</f>
        <v/>
      </c>
      <c r="X2720" s="10">
        <f>IF(A2720="C",LEFT(UPPER(C2720)&amp;REPT(" ",10),10)," ")</f>
        <v/>
      </c>
      <c r="Y2720" s="10">
        <f>IF(A2720="C",LEFT(UPPER(D2720)&amp;REPT(" ",2),2)," ")</f>
        <v/>
      </c>
      <c r="Z2720" s="10">
        <f>IF(A2720="C",LEFT(UPPER(E2720)&amp;REPT(" ",15),15)," ")</f>
        <v/>
      </c>
      <c r="AA2720" s="10">
        <f>REPT(" ",8)</f>
        <v/>
      </c>
      <c r="AB2720" s="10">
        <f>REPT(" ",4)</f>
        <v/>
      </c>
      <c r="AC2720" s="10">
        <f>LEFT(UPPER(H2720)&amp;REPT(" ",250),250)</f>
        <v/>
      </c>
      <c r="AD2720" s="10">
        <f>TEXT($G$2,"dd/mm/aaaa")</f>
        <v/>
      </c>
      <c r="AE2720" s="10">
        <f>REPT(" ",10)</f>
        <v/>
      </c>
      <c r="AF2720" s="10">
        <f>REPT(" ",20)</f>
        <v/>
      </c>
      <c r="AG2720" s="54">
        <f>REPT(" ",18-LEN(FIXED(F2720,2,TRUE)))&amp;FIXED(F2720,2,TRUE)</f>
        <v/>
      </c>
      <c r="AH2720" s="10">
        <f>LEN(AC2720)+LEN(AG2720)</f>
        <v/>
      </c>
      <c r="AI2720" s="10">
        <f>LEN(L2720)</f>
        <v/>
      </c>
    </row>
    <row r="2721">
      <c r="J2721" s="12">
        <f>IF(F2721&lt;&gt;0,"LANÇAR","")</f>
        <v/>
      </c>
      <c r="L2721" s="13">
        <f>N2721&amp;O2721&amp;P2721&amp;Q2721&amp;R2721&amp;S2721&amp;T2721&amp;U2721&amp;V2721&amp;W2721&amp;X2721&amp;Y2721&amp;Z2721&amp;AA2721&amp;AB2721&amp;AC2721&amp;AD2721&amp;AE2721&amp;AF2721&amp;AG2721</f>
        <v/>
      </c>
      <c r="N2721" s="10">
        <f>TEXT($B$6,"00")</f>
        <v/>
      </c>
      <c r="O2721" s="10">
        <f>REPT(" ",8)</f>
        <v/>
      </c>
      <c r="P2721" s="10">
        <f>RIGHT($B$4,2)</f>
        <v/>
      </c>
      <c r="Q2721" s="10">
        <f>RIGHT($B$5,3)</f>
        <v/>
      </c>
      <c r="R2721" s="10">
        <f>IF(A2721="D",LEFT(UPPER(B2721)&amp;REPT(" ",20),20),REPT(" ",20))</f>
        <v/>
      </c>
      <c r="S2721" s="10">
        <f>IF(A2721="D",LEFT(UPPER(C2721)&amp;REPT(" ",10),10)," ")</f>
        <v/>
      </c>
      <c r="T2721" s="10">
        <f>IF(A2721="D",LEFT(UPPER(D2721)&amp;REPT(" ",2),2)," ")</f>
        <v/>
      </c>
      <c r="U2721" s="10">
        <f>IF(A2721="D",LEFT(UPPER(E2721)&amp;REPT(" ",15),15)," ")</f>
        <v/>
      </c>
      <c r="V2721" s="10">
        <f>REPT(" ",24)</f>
        <v/>
      </c>
      <c r="W2721" s="10">
        <f>IF(A2721="c",LEFT(UPPER(B2721)&amp;REPT(" ",20),20),REPT(" ",20))</f>
        <v/>
      </c>
      <c r="X2721" s="10">
        <f>IF(A2721="C",LEFT(UPPER(C2721)&amp;REPT(" ",10),10)," ")</f>
        <v/>
      </c>
      <c r="Y2721" s="10">
        <f>IF(A2721="C",LEFT(UPPER(D2721)&amp;REPT(" ",2),2)," ")</f>
        <v/>
      </c>
      <c r="Z2721" s="10">
        <f>IF(A2721="C",LEFT(UPPER(E2721)&amp;REPT(" ",15),15)," ")</f>
        <v/>
      </c>
      <c r="AA2721" s="10">
        <f>REPT(" ",8)</f>
        <v/>
      </c>
      <c r="AB2721" s="10">
        <f>REPT(" ",4)</f>
        <v/>
      </c>
      <c r="AC2721" s="10">
        <f>LEFT(UPPER(H2721)&amp;REPT(" ",250),250)</f>
        <v/>
      </c>
      <c r="AD2721" s="10">
        <f>TEXT($G$2,"dd/mm/aaaa")</f>
        <v/>
      </c>
      <c r="AE2721" s="10">
        <f>REPT(" ",10)</f>
        <v/>
      </c>
      <c r="AF2721" s="10">
        <f>REPT(" ",20)</f>
        <v/>
      </c>
      <c r="AG2721" s="54">
        <f>REPT(" ",18-LEN(FIXED(F2721,2,TRUE)))&amp;FIXED(F2721,2,TRUE)</f>
        <v/>
      </c>
      <c r="AH2721" s="10">
        <f>LEN(AC2721)+LEN(AG2721)</f>
        <v/>
      </c>
      <c r="AI2721" s="10">
        <f>LEN(L2721)</f>
        <v/>
      </c>
    </row>
    <row r="2722">
      <c r="J2722" s="12">
        <f>IF(F2722&lt;&gt;0,"LANÇAR","")</f>
        <v/>
      </c>
      <c r="L2722" s="13">
        <f>N2722&amp;O2722&amp;P2722&amp;Q2722&amp;R2722&amp;S2722&amp;T2722&amp;U2722&amp;V2722&amp;W2722&amp;X2722&amp;Y2722&amp;Z2722&amp;AA2722&amp;AB2722&amp;AC2722&amp;AD2722&amp;AE2722&amp;AF2722&amp;AG2722</f>
        <v/>
      </c>
      <c r="N2722" s="10">
        <f>TEXT($B$6,"00")</f>
        <v/>
      </c>
      <c r="O2722" s="10">
        <f>REPT(" ",8)</f>
        <v/>
      </c>
      <c r="P2722" s="10">
        <f>RIGHT($B$4,2)</f>
        <v/>
      </c>
      <c r="Q2722" s="10">
        <f>RIGHT($B$5,3)</f>
        <v/>
      </c>
      <c r="R2722" s="10">
        <f>IF(A2722="D",LEFT(UPPER(B2722)&amp;REPT(" ",20),20),REPT(" ",20))</f>
        <v/>
      </c>
      <c r="S2722" s="10">
        <f>IF(A2722="D",LEFT(UPPER(C2722)&amp;REPT(" ",10),10)," ")</f>
        <v/>
      </c>
      <c r="T2722" s="10">
        <f>IF(A2722="D",LEFT(UPPER(D2722)&amp;REPT(" ",2),2)," ")</f>
        <v/>
      </c>
      <c r="U2722" s="10">
        <f>IF(A2722="D",LEFT(UPPER(E2722)&amp;REPT(" ",15),15)," ")</f>
        <v/>
      </c>
      <c r="V2722" s="10">
        <f>REPT(" ",24)</f>
        <v/>
      </c>
      <c r="W2722" s="10">
        <f>IF(A2722="c",LEFT(UPPER(B2722)&amp;REPT(" ",20),20),REPT(" ",20))</f>
        <v/>
      </c>
      <c r="X2722" s="10">
        <f>IF(A2722="C",LEFT(UPPER(C2722)&amp;REPT(" ",10),10)," ")</f>
        <v/>
      </c>
      <c r="Y2722" s="10">
        <f>IF(A2722="C",LEFT(UPPER(D2722)&amp;REPT(" ",2),2)," ")</f>
        <v/>
      </c>
      <c r="Z2722" s="10">
        <f>IF(A2722="C",LEFT(UPPER(E2722)&amp;REPT(" ",15),15)," ")</f>
        <v/>
      </c>
      <c r="AA2722" s="10">
        <f>REPT(" ",8)</f>
        <v/>
      </c>
      <c r="AB2722" s="10">
        <f>REPT(" ",4)</f>
        <v/>
      </c>
      <c r="AC2722" s="10">
        <f>LEFT(UPPER(H2722)&amp;REPT(" ",250),250)</f>
        <v/>
      </c>
      <c r="AD2722" s="10">
        <f>TEXT($G$2,"dd/mm/aaaa")</f>
        <v/>
      </c>
      <c r="AE2722" s="10">
        <f>REPT(" ",10)</f>
        <v/>
      </c>
      <c r="AF2722" s="10">
        <f>REPT(" ",20)</f>
        <v/>
      </c>
      <c r="AG2722" s="54">
        <f>REPT(" ",18-LEN(FIXED(F2722,2,TRUE)))&amp;FIXED(F2722,2,TRUE)</f>
        <v/>
      </c>
      <c r="AH2722" s="10">
        <f>LEN(AC2722)+LEN(AG2722)</f>
        <v/>
      </c>
      <c r="AI2722" s="10">
        <f>LEN(L2722)</f>
        <v/>
      </c>
    </row>
    <row r="2723">
      <c r="J2723" s="12">
        <f>IF(F2723&lt;&gt;0,"LANÇAR","")</f>
        <v/>
      </c>
      <c r="L2723" s="13">
        <f>N2723&amp;O2723&amp;P2723&amp;Q2723&amp;R2723&amp;S2723&amp;T2723&amp;U2723&amp;V2723&amp;W2723&amp;X2723&amp;Y2723&amp;Z2723&amp;AA2723&amp;AB2723&amp;AC2723&amp;AD2723&amp;AE2723&amp;AF2723&amp;AG2723</f>
        <v/>
      </c>
      <c r="N2723" s="10">
        <f>TEXT($B$6,"00")</f>
        <v/>
      </c>
      <c r="O2723" s="10">
        <f>REPT(" ",8)</f>
        <v/>
      </c>
      <c r="P2723" s="10">
        <f>RIGHT($B$4,2)</f>
        <v/>
      </c>
      <c r="Q2723" s="10">
        <f>RIGHT($B$5,3)</f>
        <v/>
      </c>
      <c r="R2723" s="10">
        <f>IF(A2723="D",LEFT(UPPER(B2723)&amp;REPT(" ",20),20),REPT(" ",20))</f>
        <v/>
      </c>
      <c r="S2723" s="10">
        <f>IF(A2723="D",LEFT(UPPER(C2723)&amp;REPT(" ",10),10)," ")</f>
        <v/>
      </c>
      <c r="T2723" s="10">
        <f>IF(A2723="D",LEFT(UPPER(D2723)&amp;REPT(" ",2),2)," ")</f>
        <v/>
      </c>
      <c r="U2723" s="10">
        <f>IF(A2723="D",LEFT(UPPER(E2723)&amp;REPT(" ",15),15)," ")</f>
        <v/>
      </c>
      <c r="V2723" s="10">
        <f>REPT(" ",24)</f>
        <v/>
      </c>
      <c r="W2723" s="10">
        <f>IF(A2723="c",LEFT(UPPER(B2723)&amp;REPT(" ",20),20),REPT(" ",20))</f>
        <v/>
      </c>
      <c r="X2723" s="10">
        <f>IF(A2723="C",LEFT(UPPER(C2723)&amp;REPT(" ",10),10)," ")</f>
        <v/>
      </c>
      <c r="Y2723" s="10">
        <f>IF(A2723="C",LEFT(UPPER(D2723)&amp;REPT(" ",2),2)," ")</f>
        <v/>
      </c>
      <c r="Z2723" s="10">
        <f>IF(A2723="C",LEFT(UPPER(E2723)&amp;REPT(" ",15),15)," ")</f>
        <v/>
      </c>
      <c r="AA2723" s="10">
        <f>REPT(" ",8)</f>
        <v/>
      </c>
      <c r="AB2723" s="10">
        <f>REPT(" ",4)</f>
        <v/>
      </c>
      <c r="AC2723" s="10">
        <f>LEFT(UPPER(H2723)&amp;REPT(" ",250),250)</f>
        <v/>
      </c>
      <c r="AD2723" s="10">
        <f>TEXT($G$2,"dd/mm/aaaa")</f>
        <v/>
      </c>
      <c r="AE2723" s="10">
        <f>REPT(" ",10)</f>
        <v/>
      </c>
      <c r="AF2723" s="10">
        <f>REPT(" ",20)</f>
        <v/>
      </c>
      <c r="AG2723" s="54">
        <f>REPT(" ",18-LEN(FIXED(F2723,2,TRUE)))&amp;FIXED(F2723,2,TRUE)</f>
        <v/>
      </c>
      <c r="AH2723" s="10">
        <f>LEN(AC2723)+LEN(AG2723)</f>
        <v/>
      </c>
      <c r="AI2723" s="10">
        <f>LEN(L2723)</f>
        <v/>
      </c>
    </row>
    <row r="2724">
      <c r="J2724" s="12">
        <f>IF(F2724&lt;&gt;0,"LANÇAR","")</f>
        <v/>
      </c>
      <c r="L2724" s="13">
        <f>N2724&amp;O2724&amp;P2724&amp;Q2724&amp;R2724&amp;S2724&amp;T2724&amp;U2724&amp;V2724&amp;W2724&amp;X2724&amp;Y2724&amp;Z2724&amp;AA2724&amp;AB2724&amp;AC2724&amp;AD2724&amp;AE2724&amp;AF2724&amp;AG2724</f>
        <v/>
      </c>
      <c r="N2724" s="10">
        <f>TEXT($B$6,"00")</f>
        <v/>
      </c>
      <c r="O2724" s="10">
        <f>REPT(" ",8)</f>
        <v/>
      </c>
      <c r="P2724" s="10">
        <f>RIGHT($B$4,2)</f>
        <v/>
      </c>
      <c r="Q2724" s="10">
        <f>RIGHT($B$5,3)</f>
        <v/>
      </c>
      <c r="R2724" s="10">
        <f>IF(A2724="D",LEFT(UPPER(B2724)&amp;REPT(" ",20),20),REPT(" ",20))</f>
        <v/>
      </c>
      <c r="S2724" s="10">
        <f>IF(A2724="D",LEFT(UPPER(C2724)&amp;REPT(" ",10),10)," ")</f>
        <v/>
      </c>
      <c r="T2724" s="10">
        <f>IF(A2724="D",LEFT(UPPER(D2724)&amp;REPT(" ",2),2)," ")</f>
        <v/>
      </c>
      <c r="U2724" s="10">
        <f>IF(A2724="D",LEFT(UPPER(E2724)&amp;REPT(" ",15),15)," ")</f>
        <v/>
      </c>
      <c r="V2724" s="10">
        <f>REPT(" ",24)</f>
        <v/>
      </c>
      <c r="W2724" s="10">
        <f>IF(A2724="c",LEFT(UPPER(B2724)&amp;REPT(" ",20),20),REPT(" ",20))</f>
        <v/>
      </c>
      <c r="X2724" s="10">
        <f>IF(A2724="C",LEFT(UPPER(C2724)&amp;REPT(" ",10),10)," ")</f>
        <v/>
      </c>
      <c r="Y2724" s="10">
        <f>IF(A2724="C",LEFT(UPPER(D2724)&amp;REPT(" ",2),2)," ")</f>
        <v/>
      </c>
      <c r="Z2724" s="10">
        <f>IF(A2724="C",LEFT(UPPER(E2724)&amp;REPT(" ",15),15)," ")</f>
        <v/>
      </c>
      <c r="AA2724" s="10">
        <f>REPT(" ",8)</f>
        <v/>
      </c>
      <c r="AB2724" s="10">
        <f>REPT(" ",4)</f>
        <v/>
      </c>
      <c r="AC2724" s="10">
        <f>LEFT(UPPER(H2724)&amp;REPT(" ",250),250)</f>
        <v/>
      </c>
      <c r="AD2724" s="10">
        <f>TEXT($G$2,"dd/mm/aaaa")</f>
        <v/>
      </c>
      <c r="AE2724" s="10">
        <f>REPT(" ",10)</f>
        <v/>
      </c>
      <c r="AF2724" s="10">
        <f>REPT(" ",20)</f>
        <v/>
      </c>
      <c r="AG2724" s="54">
        <f>REPT(" ",18-LEN(FIXED(F2724,2,TRUE)))&amp;FIXED(F2724,2,TRUE)</f>
        <v/>
      </c>
      <c r="AH2724" s="10">
        <f>LEN(AC2724)+LEN(AG2724)</f>
        <v/>
      </c>
      <c r="AI2724" s="10">
        <f>LEN(L2724)</f>
        <v/>
      </c>
    </row>
    <row r="2725">
      <c r="J2725" s="12">
        <f>IF(F2725&lt;&gt;0,"LANÇAR","")</f>
        <v/>
      </c>
      <c r="L2725" s="13">
        <f>N2725&amp;O2725&amp;P2725&amp;Q2725&amp;R2725&amp;S2725&amp;T2725&amp;U2725&amp;V2725&amp;W2725&amp;X2725&amp;Y2725&amp;Z2725&amp;AA2725&amp;AB2725&amp;AC2725&amp;AD2725&amp;AE2725&amp;AF2725&amp;AG2725</f>
        <v/>
      </c>
      <c r="N2725" s="10">
        <f>TEXT($B$6,"00")</f>
        <v/>
      </c>
      <c r="O2725" s="10">
        <f>REPT(" ",8)</f>
        <v/>
      </c>
      <c r="P2725" s="10">
        <f>RIGHT($B$4,2)</f>
        <v/>
      </c>
      <c r="Q2725" s="10">
        <f>RIGHT($B$5,3)</f>
        <v/>
      </c>
      <c r="R2725" s="10">
        <f>IF(A2725="D",LEFT(UPPER(B2725)&amp;REPT(" ",20),20),REPT(" ",20))</f>
        <v/>
      </c>
      <c r="S2725" s="10">
        <f>IF(A2725="D",LEFT(UPPER(C2725)&amp;REPT(" ",10),10)," ")</f>
        <v/>
      </c>
      <c r="T2725" s="10">
        <f>IF(A2725="D",LEFT(UPPER(D2725)&amp;REPT(" ",2),2)," ")</f>
        <v/>
      </c>
      <c r="U2725" s="10">
        <f>IF(A2725="D",LEFT(UPPER(E2725)&amp;REPT(" ",15),15)," ")</f>
        <v/>
      </c>
      <c r="V2725" s="10">
        <f>REPT(" ",24)</f>
        <v/>
      </c>
      <c r="W2725" s="10">
        <f>IF(A2725="c",LEFT(UPPER(B2725)&amp;REPT(" ",20),20),REPT(" ",20))</f>
        <v/>
      </c>
      <c r="X2725" s="10">
        <f>IF(A2725="C",LEFT(UPPER(C2725)&amp;REPT(" ",10),10)," ")</f>
        <v/>
      </c>
      <c r="Y2725" s="10">
        <f>IF(A2725="C",LEFT(UPPER(D2725)&amp;REPT(" ",2),2)," ")</f>
        <v/>
      </c>
      <c r="Z2725" s="10">
        <f>IF(A2725="C",LEFT(UPPER(E2725)&amp;REPT(" ",15),15)," ")</f>
        <v/>
      </c>
      <c r="AA2725" s="10">
        <f>REPT(" ",8)</f>
        <v/>
      </c>
      <c r="AB2725" s="10">
        <f>REPT(" ",4)</f>
        <v/>
      </c>
      <c r="AC2725" s="10">
        <f>LEFT(UPPER(H2725)&amp;REPT(" ",250),250)</f>
        <v/>
      </c>
      <c r="AD2725" s="10">
        <f>TEXT($G$2,"dd/mm/aaaa")</f>
        <v/>
      </c>
      <c r="AE2725" s="10">
        <f>REPT(" ",10)</f>
        <v/>
      </c>
      <c r="AF2725" s="10">
        <f>REPT(" ",20)</f>
        <v/>
      </c>
      <c r="AG2725" s="54">
        <f>REPT(" ",18-LEN(FIXED(F2725,2,TRUE)))&amp;FIXED(F2725,2,TRUE)</f>
        <v/>
      </c>
      <c r="AH2725" s="10">
        <f>LEN(AC2725)+LEN(AG2725)</f>
        <v/>
      </c>
      <c r="AI2725" s="10">
        <f>LEN(L2725)</f>
        <v/>
      </c>
    </row>
    <row r="2726">
      <c r="J2726" s="12">
        <f>IF(F2726&lt;&gt;0,"LANÇAR","")</f>
        <v/>
      </c>
      <c r="L2726" s="13">
        <f>N2726&amp;O2726&amp;P2726&amp;Q2726&amp;R2726&amp;S2726&amp;T2726&amp;U2726&amp;V2726&amp;W2726&amp;X2726&amp;Y2726&amp;Z2726&amp;AA2726&amp;AB2726&amp;AC2726&amp;AD2726&amp;AE2726&amp;AF2726&amp;AG2726</f>
        <v/>
      </c>
      <c r="N2726" s="10">
        <f>TEXT($B$6,"00")</f>
        <v/>
      </c>
      <c r="O2726" s="10">
        <f>REPT(" ",8)</f>
        <v/>
      </c>
      <c r="P2726" s="10">
        <f>RIGHT($B$4,2)</f>
        <v/>
      </c>
      <c r="Q2726" s="10">
        <f>RIGHT($B$5,3)</f>
        <v/>
      </c>
      <c r="R2726" s="10">
        <f>IF(A2726="D",LEFT(UPPER(B2726)&amp;REPT(" ",20),20),REPT(" ",20))</f>
        <v/>
      </c>
      <c r="S2726" s="10">
        <f>IF(A2726="D",LEFT(UPPER(C2726)&amp;REPT(" ",10),10)," ")</f>
        <v/>
      </c>
      <c r="T2726" s="10">
        <f>IF(A2726="D",LEFT(UPPER(D2726)&amp;REPT(" ",2),2)," ")</f>
        <v/>
      </c>
      <c r="U2726" s="10">
        <f>IF(A2726="D",LEFT(UPPER(E2726)&amp;REPT(" ",15),15)," ")</f>
        <v/>
      </c>
      <c r="V2726" s="10">
        <f>REPT(" ",24)</f>
        <v/>
      </c>
      <c r="W2726" s="10">
        <f>IF(A2726="c",LEFT(UPPER(B2726)&amp;REPT(" ",20),20),REPT(" ",20))</f>
        <v/>
      </c>
      <c r="X2726" s="10">
        <f>IF(A2726="C",LEFT(UPPER(C2726)&amp;REPT(" ",10),10)," ")</f>
        <v/>
      </c>
      <c r="Y2726" s="10">
        <f>IF(A2726="C",LEFT(UPPER(D2726)&amp;REPT(" ",2),2)," ")</f>
        <v/>
      </c>
      <c r="Z2726" s="10">
        <f>IF(A2726="C",LEFT(UPPER(E2726)&amp;REPT(" ",15),15)," ")</f>
        <v/>
      </c>
      <c r="AA2726" s="10">
        <f>REPT(" ",8)</f>
        <v/>
      </c>
      <c r="AB2726" s="10">
        <f>REPT(" ",4)</f>
        <v/>
      </c>
      <c r="AC2726" s="10">
        <f>LEFT(UPPER(H2726)&amp;REPT(" ",250),250)</f>
        <v/>
      </c>
      <c r="AD2726" s="10">
        <f>TEXT($G$2,"dd/mm/aaaa")</f>
        <v/>
      </c>
      <c r="AE2726" s="10">
        <f>REPT(" ",10)</f>
        <v/>
      </c>
      <c r="AF2726" s="10">
        <f>REPT(" ",20)</f>
        <v/>
      </c>
      <c r="AG2726" s="54">
        <f>REPT(" ",18-LEN(FIXED(F2726,2,TRUE)))&amp;FIXED(F2726,2,TRUE)</f>
        <v/>
      </c>
      <c r="AH2726" s="10">
        <f>LEN(AC2726)+LEN(AG2726)</f>
        <v/>
      </c>
      <c r="AI2726" s="10">
        <f>LEN(L2726)</f>
        <v/>
      </c>
    </row>
    <row r="2727">
      <c r="J2727" s="12">
        <f>IF(F2727&lt;&gt;0,"LANÇAR","")</f>
        <v/>
      </c>
      <c r="L2727" s="13">
        <f>N2727&amp;O2727&amp;P2727&amp;Q2727&amp;R2727&amp;S2727&amp;T2727&amp;U2727&amp;V2727&amp;W2727&amp;X2727&amp;Y2727&amp;Z2727&amp;AA2727&amp;AB2727&amp;AC2727&amp;AD2727&amp;AE2727&amp;AF2727&amp;AG2727</f>
        <v/>
      </c>
      <c r="N2727" s="10">
        <f>TEXT($B$6,"00")</f>
        <v/>
      </c>
      <c r="O2727" s="10">
        <f>REPT(" ",8)</f>
        <v/>
      </c>
      <c r="P2727" s="10">
        <f>RIGHT($B$4,2)</f>
        <v/>
      </c>
      <c r="Q2727" s="10">
        <f>RIGHT($B$5,3)</f>
        <v/>
      </c>
      <c r="R2727" s="10">
        <f>IF(A2727="D",LEFT(UPPER(B2727)&amp;REPT(" ",20),20),REPT(" ",20))</f>
        <v/>
      </c>
      <c r="S2727" s="10">
        <f>IF(A2727="D",LEFT(UPPER(C2727)&amp;REPT(" ",10),10)," ")</f>
        <v/>
      </c>
      <c r="T2727" s="10">
        <f>IF(A2727="D",LEFT(UPPER(D2727)&amp;REPT(" ",2),2)," ")</f>
        <v/>
      </c>
      <c r="U2727" s="10">
        <f>IF(A2727="D",LEFT(UPPER(E2727)&amp;REPT(" ",15),15)," ")</f>
        <v/>
      </c>
      <c r="V2727" s="10">
        <f>REPT(" ",24)</f>
        <v/>
      </c>
      <c r="W2727" s="10">
        <f>IF(A2727="c",LEFT(UPPER(B2727)&amp;REPT(" ",20),20),REPT(" ",20))</f>
        <v/>
      </c>
      <c r="X2727" s="10">
        <f>IF(A2727="C",LEFT(UPPER(C2727)&amp;REPT(" ",10),10)," ")</f>
        <v/>
      </c>
      <c r="Y2727" s="10">
        <f>IF(A2727="C",LEFT(UPPER(D2727)&amp;REPT(" ",2),2)," ")</f>
        <v/>
      </c>
      <c r="Z2727" s="10">
        <f>IF(A2727="C",LEFT(UPPER(E2727)&amp;REPT(" ",15),15)," ")</f>
        <v/>
      </c>
      <c r="AA2727" s="10">
        <f>REPT(" ",8)</f>
        <v/>
      </c>
      <c r="AB2727" s="10">
        <f>REPT(" ",4)</f>
        <v/>
      </c>
      <c r="AC2727" s="10">
        <f>LEFT(UPPER(H2727)&amp;REPT(" ",250),250)</f>
        <v/>
      </c>
      <c r="AD2727" s="10">
        <f>TEXT($G$2,"dd/mm/aaaa")</f>
        <v/>
      </c>
      <c r="AE2727" s="10">
        <f>REPT(" ",10)</f>
        <v/>
      </c>
      <c r="AF2727" s="10">
        <f>REPT(" ",20)</f>
        <v/>
      </c>
      <c r="AG2727" s="54">
        <f>REPT(" ",18-LEN(FIXED(F2727,2,TRUE)))&amp;FIXED(F2727,2,TRUE)</f>
        <v/>
      </c>
      <c r="AH2727" s="10">
        <f>LEN(AC2727)+LEN(AG2727)</f>
        <v/>
      </c>
      <c r="AI2727" s="10">
        <f>LEN(L2727)</f>
        <v/>
      </c>
    </row>
    <row r="2728">
      <c r="J2728" s="12">
        <f>IF(F2728&lt;&gt;0,"LANÇAR","")</f>
        <v/>
      </c>
      <c r="L2728" s="13">
        <f>N2728&amp;O2728&amp;P2728&amp;Q2728&amp;R2728&amp;S2728&amp;T2728&amp;U2728&amp;V2728&amp;W2728&amp;X2728&amp;Y2728&amp;Z2728&amp;AA2728&amp;AB2728&amp;AC2728&amp;AD2728&amp;AE2728&amp;AF2728&amp;AG2728</f>
        <v/>
      </c>
      <c r="N2728" s="10">
        <f>TEXT($B$6,"00")</f>
        <v/>
      </c>
      <c r="O2728" s="10">
        <f>REPT(" ",8)</f>
        <v/>
      </c>
      <c r="P2728" s="10">
        <f>RIGHT($B$4,2)</f>
        <v/>
      </c>
      <c r="Q2728" s="10">
        <f>RIGHT($B$5,3)</f>
        <v/>
      </c>
      <c r="R2728" s="10">
        <f>IF(A2728="D",LEFT(UPPER(B2728)&amp;REPT(" ",20),20),REPT(" ",20))</f>
        <v/>
      </c>
      <c r="S2728" s="10">
        <f>IF(A2728="D",LEFT(UPPER(C2728)&amp;REPT(" ",10),10)," ")</f>
        <v/>
      </c>
      <c r="T2728" s="10">
        <f>IF(A2728="D",LEFT(UPPER(D2728)&amp;REPT(" ",2),2)," ")</f>
        <v/>
      </c>
      <c r="U2728" s="10">
        <f>IF(A2728="D",LEFT(UPPER(E2728)&amp;REPT(" ",15),15)," ")</f>
        <v/>
      </c>
      <c r="V2728" s="10">
        <f>REPT(" ",24)</f>
        <v/>
      </c>
      <c r="W2728" s="10">
        <f>IF(A2728="c",LEFT(UPPER(B2728)&amp;REPT(" ",20),20),REPT(" ",20))</f>
        <v/>
      </c>
      <c r="X2728" s="10">
        <f>IF(A2728="C",LEFT(UPPER(C2728)&amp;REPT(" ",10),10)," ")</f>
        <v/>
      </c>
      <c r="Y2728" s="10">
        <f>IF(A2728="C",LEFT(UPPER(D2728)&amp;REPT(" ",2),2)," ")</f>
        <v/>
      </c>
      <c r="Z2728" s="10">
        <f>IF(A2728="C",LEFT(UPPER(E2728)&amp;REPT(" ",15),15)," ")</f>
        <v/>
      </c>
      <c r="AA2728" s="10">
        <f>REPT(" ",8)</f>
        <v/>
      </c>
      <c r="AB2728" s="10">
        <f>REPT(" ",4)</f>
        <v/>
      </c>
      <c r="AC2728" s="10">
        <f>LEFT(UPPER(H2728)&amp;REPT(" ",250),250)</f>
        <v/>
      </c>
      <c r="AD2728" s="10">
        <f>TEXT($G$2,"dd/mm/aaaa")</f>
        <v/>
      </c>
      <c r="AE2728" s="10">
        <f>REPT(" ",10)</f>
        <v/>
      </c>
      <c r="AF2728" s="10">
        <f>REPT(" ",20)</f>
        <v/>
      </c>
      <c r="AG2728" s="54">
        <f>REPT(" ",18-LEN(FIXED(F2728,2,TRUE)))&amp;FIXED(F2728,2,TRUE)</f>
        <v/>
      </c>
      <c r="AH2728" s="10">
        <f>LEN(AC2728)+LEN(AG2728)</f>
        <v/>
      </c>
      <c r="AI2728" s="10">
        <f>LEN(L2728)</f>
        <v/>
      </c>
    </row>
    <row r="2729">
      <c r="J2729" s="12">
        <f>IF(F2729&lt;&gt;0,"LANÇAR","")</f>
        <v/>
      </c>
      <c r="L2729" s="13">
        <f>N2729&amp;O2729&amp;P2729&amp;Q2729&amp;R2729&amp;S2729&amp;T2729&amp;U2729&amp;V2729&amp;W2729&amp;X2729&amp;Y2729&amp;Z2729&amp;AA2729&amp;AB2729&amp;AC2729&amp;AD2729&amp;AE2729&amp;AF2729&amp;AG2729</f>
        <v/>
      </c>
      <c r="N2729" s="10">
        <f>TEXT($B$6,"00")</f>
        <v/>
      </c>
      <c r="O2729" s="10">
        <f>REPT(" ",8)</f>
        <v/>
      </c>
      <c r="P2729" s="10">
        <f>RIGHT($B$4,2)</f>
        <v/>
      </c>
      <c r="Q2729" s="10">
        <f>RIGHT($B$5,3)</f>
        <v/>
      </c>
      <c r="R2729" s="10">
        <f>IF(A2729="D",LEFT(UPPER(B2729)&amp;REPT(" ",20),20),REPT(" ",20))</f>
        <v/>
      </c>
      <c r="S2729" s="10">
        <f>IF(A2729="D",LEFT(UPPER(C2729)&amp;REPT(" ",10),10)," ")</f>
        <v/>
      </c>
      <c r="T2729" s="10">
        <f>IF(A2729="D",LEFT(UPPER(D2729)&amp;REPT(" ",2),2)," ")</f>
        <v/>
      </c>
      <c r="U2729" s="10">
        <f>IF(A2729="D",LEFT(UPPER(E2729)&amp;REPT(" ",15),15)," ")</f>
        <v/>
      </c>
      <c r="V2729" s="10">
        <f>REPT(" ",24)</f>
        <v/>
      </c>
      <c r="W2729" s="10">
        <f>IF(A2729="c",LEFT(UPPER(B2729)&amp;REPT(" ",20),20),REPT(" ",20))</f>
        <v/>
      </c>
      <c r="X2729" s="10">
        <f>IF(A2729="C",LEFT(UPPER(C2729)&amp;REPT(" ",10),10)," ")</f>
        <v/>
      </c>
      <c r="Y2729" s="10">
        <f>IF(A2729="C",LEFT(UPPER(D2729)&amp;REPT(" ",2),2)," ")</f>
        <v/>
      </c>
      <c r="Z2729" s="10">
        <f>IF(A2729="C",LEFT(UPPER(E2729)&amp;REPT(" ",15),15)," ")</f>
        <v/>
      </c>
      <c r="AA2729" s="10">
        <f>REPT(" ",8)</f>
        <v/>
      </c>
      <c r="AB2729" s="10">
        <f>REPT(" ",4)</f>
        <v/>
      </c>
      <c r="AC2729" s="10">
        <f>LEFT(UPPER(H2729)&amp;REPT(" ",250),250)</f>
        <v/>
      </c>
      <c r="AD2729" s="10">
        <f>TEXT($G$2,"dd/mm/aaaa")</f>
        <v/>
      </c>
      <c r="AE2729" s="10">
        <f>REPT(" ",10)</f>
        <v/>
      </c>
      <c r="AF2729" s="10">
        <f>REPT(" ",20)</f>
        <v/>
      </c>
      <c r="AG2729" s="54">
        <f>REPT(" ",18-LEN(FIXED(F2729,2,TRUE)))&amp;FIXED(F2729,2,TRUE)</f>
        <v/>
      </c>
      <c r="AH2729" s="10">
        <f>LEN(AC2729)+LEN(AG2729)</f>
        <v/>
      </c>
      <c r="AI2729" s="10">
        <f>LEN(L2729)</f>
        <v/>
      </c>
    </row>
    <row r="2730">
      <c r="J2730" s="12">
        <f>IF(F2730&lt;&gt;0,"LANÇAR","")</f>
        <v/>
      </c>
      <c r="L2730" s="13">
        <f>N2730&amp;O2730&amp;P2730&amp;Q2730&amp;R2730&amp;S2730&amp;T2730&amp;U2730&amp;V2730&amp;W2730&amp;X2730&amp;Y2730&amp;Z2730&amp;AA2730&amp;AB2730&amp;AC2730&amp;AD2730&amp;AE2730&amp;AF2730&amp;AG2730</f>
        <v/>
      </c>
      <c r="N2730" s="10">
        <f>TEXT($B$6,"00")</f>
        <v/>
      </c>
      <c r="O2730" s="10">
        <f>REPT(" ",8)</f>
        <v/>
      </c>
      <c r="P2730" s="10">
        <f>RIGHT($B$4,2)</f>
        <v/>
      </c>
      <c r="Q2730" s="10">
        <f>RIGHT($B$5,3)</f>
        <v/>
      </c>
      <c r="R2730" s="10">
        <f>IF(A2730="D",LEFT(UPPER(B2730)&amp;REPT(" ",20),20),REPT(" ",20))</f>
        <v/>
      </c>
      <c r="S2730" s="10">
        <f>IF(A2730="D",LEFT(UPPER(C2730)&amp;REPT(" ",10),10)," ")</f>
        <v/>
      </c>
      <c r="T2730" s="10">
        <f>IF(A2730="D",LEFT(UPPER(D2730)&amp;REPT(" ",2),2)," ")</f>
        <v/>
      </c>
      <c r="U2730" s="10">
        <f>IF(A2730="D",LEFT(UPPER(E2730)&amp;REPT(" ",15),15)," ")</f>
        <v/>
      </c>
      <c r="V2730" s="10">
        <f>REPT(" ",24)</f>
        <v/>
      </c>
      <c r="W2730" s="10">
        <f>IF(A2730="c",LEFT(UPPER(B2730)&amp;REPT(" ",20),20),REPT(" ",20))</f>
        <v/>
      </c>
      <c r="X2730" s="10">
        <f>IF(A2730="C",LEFT(UPPER(C2730)&amp;REPT(" ",10),10)," ")</f>
        <v/>
      </c>
      <c r="Y2730" s="10">
        <f>IF(A2730="C",LEFT(UPPER(D2730)&amp;REPT(" ",2),2)," ")</f>
        <v/>
      </c>
      <c r="Z2730" s="10">
        <f>IF(A2730="C",LEFT(UPPER(E2730)&amp;REPT(" ",15),15)," ")</f>
        <v/>
      </c>
      <c r="AA2730" s="10">
        <f>REPT(" ",8)</f>
        <v/>
      </c>
      <c r="AB2730" s="10">
        <f>REPT(" ",4)</f>
        <v/>
      </c>
      <c r="AC2730" s="10">
        <f>LEFT(UPPER(H2730)&amp;REPT(" ",250),250)</f>
        <v/>
      </c>
      <c r="AD2730" s="10">
        <f>TEXT($G$2,"dd/mm/aaaa")</f>
        <v/>
      </c>
      <c r="AE2730" s="10">
        <f>REPT(" ",10)</f>
        <v/>
      </c>
      <c r="AF2730" s="10">
        <f>REPT(" ",20)</f>
        <v/>
      </c>
      <c r="AG2730" s="54">
        <f>REPT(" ",18-LEN(FIXED(F2730,2,TRUE)))&amp;FIXED(F2730,2,TRUE)</f>
        <v/>
      </c>
      <c r="AH2730" s="10">
        <f>LEN(AC2730)+LEN(AG2730)</f>
        <v/>
      </c>
      <c r="AI2730" s="10">
        <f>LEN(L2730)</f>
        <v/>
      </c>
    </row>
    <row r="2731">
      <c r="J2731" s="12">
        <f>IF(F2731&lt;&gt;0,"LANÇAR","")</f>
        <v/>
      </c>
      <c r="L2731" s="13">
        <f>N2731&amp;O2731&amp;P2731&amp;Q2731&amp;R2731&amp;S2731&amp;T2731&amp;U2731&amp;V2731&amp;W2731&amp;X2731&amp;Y2731&amp;Z2731&amp;AA2731&amp;AB2731&amp;AC2731&amp;AD2731&amp;AE2731&amp;AF2731&amp;AG2731</f>
        <v/>
      </c>
      <c r="N2731" s="10">
        <f>TEXT($B$6,"00")</f>
        <v/>
      </c>
      <c r="O2731" s="10">
        <f>REPT(" ",8)</f>
        <v/>
      </c>
      <c r="P2731" s="10">
        <f>RIGHT($B$4,2)</f>
        <v/>
      </c>
      <c r="Q2731" s="10">
        <f>RIGHT($B$5,3)</f>
        <v/>
      </c>
      <c r="R2731" s="10">
        <f>IF(A2731="D",LEFT(UPPER(B2731)&amp;REPT(" ",20),20),REPT(" ",20))</f>
        <v/>
      </c>
      <c r="S2731" s="10">
        <f>IF(A2731="D",LEFT(UPPER(C2731)&amp;REPT(" ",10),10)," ")</f>
        <v/>
      </c>
      <c r="T2731" s="10">
        <f>IF(A2731="D",LEFT(UPPER(D2731)&amp;REPT(" ",2),2)," ")</f>
        <v/>
      </c>
      <c r="U2731" s="10">
        <f>IF(A2731="D",LEFT(UPPER(E2731)&amp;REPT(" ",15),15)," ")</f>
        <v/>
      </c>
      <c r="V2731" s="10">
        <f>REPT(" ",24)</f>
        <v/>
      </c>
      <c r="W2731" s="10">
        <f>IF(A2731="c",LEFT(UPPER(B2731)&amp;REPT(" ",20),20),REPT(" ",20))</f>
        <v/>
      </c>
      <c r="X2731" s="10">
        <f>IF(A2731="C",LEFT(UPPER(C2731)&amp;REPT(" ",10),10)," ")</f>
        <v/>
      </c>
      <c r="Y2731" s="10">
        <f>IF(A2731="C",LEFT(UPPER(D2731)&amp;REPT(" ",2),2)," ")</f>
        <v/>
      </c>
      <c r="Z2731" s="10">
        <f>IF(A2731="C",LEFT(UPPER(E2731)&amp;REPT(" ",15),15)," ")</f>
        <v/>
      </c>
      <c r="AA2731" s="10">
        <f>REPT(" ",8)</f>
        <v/>
      </c>
      <c r="AB2731" s="10">
        <f>REPT(" ",4)</f>
        <v/>
      </c>
      <c r="AC2731" s="10">
        <f>LEFT(UPPER(H2731)&amp;REPT(" ",250),250)</f>
        <v/>
      </c>
      <c r="AD2731" s="10">
        <f>TEXT($G$2,"dd/mm/aaaa")</f>
        <v/>
      </c>
      <c r="AE2731" s="10">
        <f>REPT(" ",10)</f>
        <v/>
      </c>
      <c r="AF2731" s="10">
        <f>REPT(" ",20)</f>
        <v/>
      </c>
      <c r="AG2731" s="54">
        <f>REPT(" ",18-LEN(FIXED(F2731,2,TRUE)))&amp;FIXED(F2731,2,TRUE)</f>
        <v/>
      </c>
      <c r="AH2731" s="10">
        <f>LEN(AC2731)+LEN(AG2731)</f>
        <v/>
      </c>
      <c r="AI2731" s="10">
        <f>LEN(L2731)</f>
        <v/>
      </c>
    </row>
    <row r="2732">
      <c r="J2732" s="12">
        <f>IF(F2732&lt;&gt;0,"LANÇAR","")</f>
        <v/>
      </c>
      <c r="L2732" s="13">
        <f>N2732&amp;O2732&amp;P2732&amp;Q2732&amp;R2732&amp;S2732&amp;T2732&amp;U2732&amp;V2732&amp;W2732&amp;X2732&amp;Y2732&amp;Z2732&amp;AA2732&amp;AB2732&amp;AC2732&amp;AD2732&amp;AE2732&amp;AF2732&amp;AG2732</f>
        <v/>
      </c>
      <c r="N2732" s="10">
        <f>TEXT($B$6,"00")</f>
        <v/>
      </c>
      <c r="O2732" s="10">
        <f>REPT(" ",8)</f>
        <v/>
      </c>
      <c r="P2732" s="10">
        <f>RIGHT($B$4,2)</f>
        <v/>
      </c>
      <c r="Q2732" s="10">
        <f>RIGHT($B$5,3)</f>
        <v/>
      </c>
      <c r="R2732" s="10">
        <f>IF(A2732="D",LEFT(UPPER(B2732)&amp;REPT(" ",20),20),REPT(" ",20))</f>
        <v/>
      </c>
      <c r="S2732" s="10">
        <f>IF(A2732="D",LEFT(UPPER(C2732)&amp;REPT(" ",10),10)," ")</f>
        <v/>
      </c>
      <c r="T2732" s="10">
        <f>IF(A2732="D",LEFT(UPPER(D2732)&amp;REPT(" ",2),2)," ")</f>
        <v/>
      </c>
      <c r="U2732" s="10">
        <f>IF(A2732="D",LEFT(UPPER(E2732)&amp;REPT(" ",15),15)," ")</f>
        <v/>
      </c>
      <c r="V2732" s="10">
        <f>REPT(" ",24)</f>
        <v/>
      </c>
      <c r="W2732" s="10">
        <f>IF(A2732="c",LEFT(UPPER(B2732)&amp;REPT(" ",20),20),REPT(" ",20))</f>
        <v/>
      </c>
      <c r="X2732" s="10">
        <f>IF(A2732="C",LEFT(UPPER(C2732)&amp;REPT(" ",10),10)," ")</f>
        <v/>
      </c>
      <c r="Y2732" s="10">
        <f>IF(A2732="C",LEFT(UPPER(D2732)&amp;REPT(" ",2),2)," ")</f>
        <v/>
      </c>
      <c r="Z2732" s="10">
        <f>IF(A2732="C",LEFT(UPPER(E2732)&amp;REPT(" ",15),15)," ")</f>
        <v/>
      </c>
      <c r="AA2732" s="10">
        <f>REPT(" ",8)</f>
        <v/>
      </c>
      <c r="AB2732" s="10">
        <f>REPT(" ",4)</f>
        <v/>
      </c>
      <c r="AC2732" s="10">
        <f>LEFT(UPPER(H2732)&amp;REPT(" ",250),250)</f>
        <v/>
      </c>
      <c r="AD2732" s="10">
        <f>TEXT($G$2,"dd/mm/aaaa")</f>
        <v/>
      </c>
      <c r="AE2732" s="10">
        <f>REPT(" ",10)</f>
        <v/>
      </c>
      <c r="AF2732" s="10">
        <f>REPT(" ",20)</f>
        <v/>
      </c>
      <c r="AG2732" s="54">
        <f>REPT(" ",18-LEN(FIXED(F2732,2,TRUE)))&amp;FIXED(F2732,2,TRUE)</f>
        <v/>
      </c>
      <c r="AH2732" s="10">
        <f>LEN(AC2732)+LEN(AG2732)</f>
        <v/>
      </c>
      <c r="AI2732" s="10">
        <f>LEN(L2732)</f>
        <v/>
      </c>
    </row>
    <row r="2733">
      <c r="J2733" s="12">
        <f>IF(F2733&lt;&gt;0,"LANÇAR","")</f>
        <v/>
      </c>
      <c r="L2733" s="13">
        <f>N2733&amp;O2733&amp;P2733&amp;Q2733&amp;R2733&amp;S2733&amp;T2733&amp;U2733&amp;V2733&amp;W2733&amp;X2733&amp;Y2733&amp;Z2733&amp;AA2733&amp;AB2733&amp;AC2733&amp;AD2733&amp;AE2733&amp;AF2733&amp;AG2733</f>
        <v/>
      </c>
      <c r="N2733" s="10">
        <f>TEXT($B$6,"00")</f>
        <v/>
      </c>
      <c r="O2733" s="10">
        <f>REPT(" ",8)</f>
        <v/>
      </c>
      <c r="P2733" s="10">
        <f>RIGHT($B$4,2)</f>
        <v/>
      </c>
      <c r="Q2733" s="10">
        <f>RIGHT($B$5,3)</f>
        <v/>
      </c>
      <c r="R2733" s="10">
        <f>IF(A2733="D",LEFT(UPPER(B2733)&amp;REPT(" ",20),20),REPT(" ",20))</f>
        <v/>
      </c>
      <c r="S2733" s="10">
        <f>IF(A2733="D",LEFT(UPPER(C2733)&amp;REPT(" ",10),10)," ")</f>
        <v/>
      </c>
      <c r="T2733" s="10">
        <f>IF(A2733="D",LEFT(UPPER(D2733)&amp;REPT(" ",2),2)," ")</f>
        <v/>
      </c>
      <c r="U2733" s="10">
        <f>IF(A2733="D",LEFT(UPPER(E2733)&amp;REPT(" ",15),15)," ")</f>
        <v/>
      </c>
      <c r="V2733" s="10">
        <f>REPT(" ",24)</f>
        <v/>
      </c>
      <c r="W2733" s="10">
        <f>IF(A2733="c",LEFT(UPPER(B2733)&amp;REPT(" ",20),20),REPT(" ",20))</f>
        <v/>
      </c>
      <c r="X2733" s="10">
        <f>IF(A2733="C",LEFT(UPPER(C2733)&amp;REPT(" ",10),10)," ")</f>
        <v/>
      </c>
      <c r="Y2733" s="10">
        <f>IF(A2733="C",LEFT(UPPER(D2733)&amp;REPT(" ",2),2)," ")</f>
        <v/>
      </c>
      <c r="Z2733" s="10">
        <f>IF(A2733="C",LEFT(UPPER(E2733)&amp;REPT(" ",15),15)," ")</f>
        <v/>
      </c>
      <c r="AA2733" s="10">
        <f>REPT(" ",8)</f>
        <v/>
      </c>
      <c r="AB2733" s="10">
        <f>REPT(" ",4)</f>
        <v/>
      </c>
      <c r="AC2733" s="10">
        <f>LEFT(UPPER(H2733)&amp;REPT(" ",250),250)</f>
        <v/>
      </c>
      <c r="AD2733" s="10">
        <f>TEXT($G$2,"dd/mm/aaaa")</f>
        <v/>
      </c>
      <c r="AE2733" s="10">
        <f>REPT(" ",10)</f>
        <v/>
      </c>
      <c r="AF2733" s="10">
        <f>REPT(" ",20)</f>
        <v/>
      </c>
      <c r="AG2733" s="54">
        <f>REPT(" ",18-LEN(FIXED(F2733,2,TRUE)))&amp;FIXED(F2733,2,TRUE)</f>
        <v/>
      </c>
      <c r="AH2733" s="10">
        <f>LEN(AC2733)+LEN(AG2733)</f>
        <v/>
      </c>
      <c r="AI2733" s="10">
        <f>LEN(L2733)</f>
        <v/>
      </c>
    </row>
    <row r="2734">
      <c r="J2734" s="12">
        <f>IF(F2734&lt;&gt;0,"LANÇAR","")</f>
        <v/>
      </c>
      <c r="L2734" s="13">
        <f>N2734&amp;O2734&amp;P2734&amp;Q2734&amp;R2734&amp;S2734&amp;T2734&amp;U2734&amp;V2734&amp;W2734&amp;X2734&amp;Y2734&amp;Z2734&amp;AA2734&amp;AB2734&amp;AC2734&amp;AD2734&amp;AE2734&amp;AF2734&amp;AG2734</f>
        <v/>
      </c>
      <c r="N2734" s="10">
        <f>TEXT($B$6,"00")</f>
        <v/>
      </c>
      <c r="O2734" s="10">
        <f>REPT(" ",8)</f>
        <v/>
      </c>
      <c r="P2734" s="10">
        <f>RIGHT($B$4,2)</f>
        <v/>
      </c>
      <c r="Q2734" s="10">
        <f>RIGHT($B$5,3)</f>
        <v/>
      </c>
      <c r="R2734" s="10">
        <f>IF(A2734="D",LEFT(UPPER(B2734)&amp;REPT(" ",20),20),REPT(" ",20))</f>
        <v/>
      </c>
      <c r="S2734" s="10">
        <f>IF(A2734="D",LEFT(UPPER(C2734)&amp;REPT(" ",10),10)," ")</f>
        <v/>
      </c>
      <c r="T2734" s="10">
        <f>IF(A2734="D",LEFT(UPPER(D2734)&amp;REPT(" ",2),2)," ")</f>
        <v/>
      </c>
      <c r="U2734" s="10">
        <f>IF(A2734="D",LEFT(UPPER(E2734)&amp;REPT(" ",15),15)," ")</f>
        <v/>
      </c>
      <c r="V2734" s="10">
        <f>REPT(" ",24)</f>
        <v/>
      </c>
      <c r="W2734" s="10">
        <f>IF(A2734="c",LEFT(UPPER(B2734)&amp;REPT(" ",20),20),REPT(" ",20))</f>
        <v/>
      </c>
      <c r="X2734" s="10">
        <f>IF(A2734="C",LEFT(UPPER(C2734)&amp;REPT(" ",10),10)," ")</f>
        <v/>
      </c>
      <c r="Y2734" s="10">
        <f>IF(A2734="C",LEFT(UPPER(D2734)&amp;REPT(" ",2),2)," ")</f>
        <v/>
      </c>
      <c r="Z2734" s="10">
        <f>IF(A2734="C",LEFT(UPPER(E2734)&amp;REPT(" ",15),15)," ")</f>
        <v/>
      </c>
      <c r="AA2734" s="10">
        <f>REPT(" ",8)</f>
        <v/>
      </c>
      <c r="AB2734" s="10">
        <f>REPT(" ",4)</f>
        <v/>
      </c>
      <c r="AC2734" s="10">
        <f>LEFT(UPPER(H2734)&amp;REPT(" ",250),250)</f>
        <v/>
      </c>
      <c r="AD2734" s="10">
        <f>TEXT($G$2,"dd/mm/aaaa")</f>
        <v/>
      </c>
      <c r="AE2734" s="10">
        <f>REPT(" ",10)</f>
        <v/>
      </c>
      <c r="AF2734" s="10">
        <f>REPT(" ",20)</f>
        <v/>
      </c>
      <c r="AG2734" s="54">
        <f>REPT(" ",18-LEN(FIXED(F2734,2,TRUE)))&amp;FIXED(F2734,2,TRUE)</f>
        <v/>
      </c>
      <c r="AH2734" s="10">
        <f>LEN(AC2734)+LEN(AG2734)</f>
        <v/>
      </c>
      <c r="AI2734" s="10">
        <f>LEN(L2734)</f>
        <v/>
      </c>
    </row>
    <row r="2735">
      <c r="J2735" s="12">
        <f>IF(F2735&lt;&gt;0,"LANÇAR","")</f>
        <v/>
      </c>
      <c r="L2735" s="13">
        <f>N2735&amp;O2735&amp;P2735&amp;Q2735&amp;R2735&amp;S2735&amp;T2735&amp;U2735&amp;V2735&amp;W2735&amp;X2735&amp;Y2735&amp;Z2735&amp;AA2735&amp;AB2735&amp;AC2735&amp;AD2735&amp;AE2735&amp;AF2735&amp;AG2735</f>
        <v/>
      </c>
      <c r="N2735" s="10">
        <f>TEXT($B$6,"00")</f>
        <v/>
      </c>
      <c r="O2735" s="10">
        <f>REPT(" ",8)</f>
        <v/>
      </c>
      <c r="P2735" s="10">
        <f>RIGHT($B$4,2)</f>
        <v/>
      </c>
      <c r="Q2735" s="10">
        <f>RIGHT($B$5,3)</f>
        <v/>
      </c>
      <c r="R2735" s="10">
        <f>IF(A2735="D",LEFT(UPPER(B2735)&amp;REPT(" ",20),20),REPT(" ",20))</f>
        <v/>
      </c>
      <c r="S2735" s="10">
        <f>IF(A2735="D",LEFT(UPPER(C2735)&amp;REPT(" ",10),10)," ")</f>
        <v/>
      </c>
      <c r="T2735" s="10">
        <f>IF(A2735="D",LEFT(UPPER(D2735)&amp;REPT(" ",2),2)," ")</f>
        <v/>
      </c>
      <c r="U2735" s="10">
        <f>IF(A2735="D",LEFT(UPPER(E2735)&amp;REPT(" ",15),15)," ")</f>
        <v/>
      </c>
      <c r="V2735" s="10">
        <f>REPT(" ",24)</f>
        <v/>
      </c>
      <c r="W2735" s="10">
        <f>IF(A2735="c",LEFT(UPPER(B2735)&amp;REPT(" ",20),20),REPT(" ",20))</f>
        <v/>
      </c>
      <c r="X2735" s="10">
        <f>IF(A2735="C",LEFT(UPPER(C2735)&amp;REPT(" ",10),10)," ")</f>
        <v/>
      </c>
      <c r="Y2735" s="10">
        <f>IF(A2735="C",LEFT(UPPER(D2735)&amp;REPT(" ",2),2)," ")</f>
        <v/>
      </c>
      <c r="Z2735" s="10">
        <f>IF(A2735="C",LEFT(UPPER(E2735)&amp;REPT(" ",15),15)," ")</f>
        <v/>
      </c>
      <c r="AA2735" s="10">
        <f>REPT(" ",8)</f>
        <v/>
      </c>
      <c r="AB2735" s="10">
        <f>REPT(" ",4)</f>
        <v/>
      </c>
      <c r="AC2735" s="10">
        <f>LEFT(UPPER(H2735)&amp;REPT(" ",250),250)</f>
        <v/>
      </c>
      <c r="AD2735" s="10">
        <f>TEXT($G$2,"dd/mm/aaaa")</f>
        <v/>
      </c>
      <c r="AE2735" s="10">
        <f>REPT(" ",10)</f>
        <v/>
      </c>
      <c r="AF2735" s="10">
        <f>REPT(" ",20)</f>
        <v/>
      </c>
      <c r="AG2735" s="54">
        <f>REPT(" ",18-LEN(FIXED(F2735,2,TRUE)))&amp;FIXED(F2735,2,TRUE)</f>
        <v/>
      </c>
      <c r="AH2735" s="10">
        <f>LEN(AC2735)+LEN(AG2735)</f>
        <v/>
      </c>
      <c r="AI2735" s="10">
        <f>LEN(L2735)</f>
        <v/>
      </c>
    </row>
    <row r="2736">
      <c r="J2736" s="12">
        <f>IF(F2736&lt;&gt;0,"LANÇAR","")</f>
        <v/>
      </c>
      <c r="L2736" s="13">
        <f>N2736&amp;O2736&amp;P2736&amp;Q2736&amp;R2736&amp;S2736&amp;T2736&amp;U2736&amp;V2736&amp;W2736&amp;X2736&amp;Y2736&amp;Z2736&amp;AA2736&amp;AB2736&amp;AC2736&amp;AD2736&amp;AE2736&amp;AF2736&amp;AG2736</f>
        <v/>
      </c>
      <c r="N2736" s="10">
        <f>TEXT($B$6,"00")</f>
        <v/>
      </c>
      <c r="O2736" s="10">
        <f>REPT(" ",8)</f>
        <v/>
      </c>
      <c r="P2736" s="10">
        <f>RIGHT($B$4,2)</f>
        <v/>
      </c>
      <c r="Q2736" s="10">
        <f>RIGHT($B$5,3)</f>
        <v/>
      </c>
      <c r="R2736" s="10">
        <f>IF(A2736="D",LEFT(UPPER(B2736)&amp;REPT(" ",20),20),REPT(" ",20))</f>
        <v/>
      </c>
      <c r="S2736" s="10">
        <f>IF(A2736="D",LEFT(UPPER(C2736)&amp;REPT(" ",10),10)," ")</f>
        <v/>
      </c>
      <c r="T2736" s="10">
        <f>IF(A2736="D",LEFT(UPPER(D2736)&amp;REPT(" ",2),2)," ")</f>
        <v/>
      </c>
      <c r="U2736" s="10">
        <f>IF(A2736="D",LEFT(UPPER(E2736)&amp;REPT(" ",15),15)," ")</f>
        <v/>
      </c>
      <c r="V2736" s="10">
        <f>REPT(" ",24)</f>
        <v/>
      </c>
      <c r="W2736" s="10">
        <f>IF(A2736="c",LEFT(UPPER(B2736)&amp;REPT(" ",20),20),REPT(" ",20))</f>
        <v/>
      </c>
      <c r="X2736" s="10">
        <f>IF(A2736="C",LEFT(UPPER(C2736)&amp;REPT(" ",10),10)," ")</f>
        <v/>
      </c>
      <c r="Y2736" s="10">
        <f>IF(A2736="C",LEFT(UPPER(D2736)&amp;REPT(" ",2),2)," ")</f>
        <v/>
      </c>
      <c r="Z2736" s="10">
        <f>IF(A2736="C",LEFT(UPPER(E2736)&amp;REPT(" ",15),15)," ")</f>
        <v/>
      </c>
      <c r="AA2736" s="10">
        <f>REPT(" ",8)</f>
        <v/>
      </c>
      <c r="AB2736" s="10">
        <f>REPT(" ",4)</f>
        <v/>
      </c>
      <c r="AC2736" s="10">
        <f>LEFT(UPPER(H2736)&amp;REPT(" ",250),250)</f>
        <v/>
      </c>
      <c r="AD2736" s="10">
        <f>TEXT($G$2,"dd/mm/aaaa")</f>
        <v/>
      </c>
      <c r="AE2736" s="10">
        <f>REPT(" ",10)</f>
        <v/>
      </c>
      <c r="AF2736" s="10">
        <f>REPT(" ",20)</f>
        <v/>
      </c>
      <c r="AG2736" s="54">
        <f>REPT(" ",18-LEN(FIXED(F2736,2,TRUE)))&amp;FIXED(F2736,2,TRUE)</f>
        <v/>
      </c>
      <c r="AH2736" s="10">
        <f>LEN(AC2736)+LEN(AG2736)</f>
        <v/>
      </c>
      <c r="AI2736" s="10">
        <f>LEN(L2736)</f>
        <v/>
      </c>
    </row>
    <row r="2737">
      <c r="J2737" s="12">
        <f>IF(F2737&lt;&gt;0,"LANÇAR","")</f>
        <v/>
      </c>
      <c r="L2737" s="13">
        <f>N2737&amp;O2737&amp;P2737&amp;Q2737&amp;R2737&amp;S2737&amp;T2737&amp;U2737&amp;V2737&amp;W2737&amp;X2737&amp;Y2737&amp;Z2737&amp;AA2737&amp;AB2737&amp;AC2737&amp;AD2737&amp;AE2737&amp;AF2737&amp;AG2737</f>
        <v/>
      </c>
      <c r="N2737" s="10">
        <f>TEXT($B$6,"00")</f>
        <v/>
      </c>
      <c r="O2737" s="10">
        <f>REPT(" ",8)</f>
        <v/>
      </c>
      <c r="P2737" s="10">
        <f>RIGHT($B$4,2)</f>
        <v/>
      </c>
      <c r="Q2737" s="10">
        <f>RIGHT($B$5,3)</f>
        <v/>
      </c>
      <c r="R2737" s="10">
        <f>IF(A2737="D",LEFT(UPPER(B2737)&amp;REPT(" ",20),20),REPT(" ",20))</f>
        <v/>
      </c>
      <c r="S2737" s="10">
        <f>IF(A2737="D",LEFT(UPPER(C2737)&amp;REPT(" ",10),10)," ")</f>
        <v/>
      </c>
      <c r="T2737" s="10">
        <f>IF(A2737="D",LEFT(UPPER(D2737)&amp;REPT(" ",2),2)," ")</f>
        <v/>
      </c>
      <c r="U2737" s="10">
        <f>IF(A2737="D",LEFT(UPPER(E2737)&amp;REPT(" ",15),15)," ")</f>
        <v/>
      </c>
      <c r="V2737" s="10">
        <f>REPT(" ",24)</f>
        <v/>
      </c>
      <c r="W2737" s="10">
        <f>IF(A2737="c",LEFT(UPPER(B2737)&amp;REPT(" ",20),20),REPT(" ",20))</f>
        <v/>
      </c>
      <c r="X2737" s="10">
        <f>IF(A2737="C",LEFT(UPPER(C2737)&amp;REPT(" ",10),10)," ")</f>
        <v/>
      </c>
      <c r="Y2737" s="10">
        <f>IF(A2737="C",LEFT(UPPER(D2737)&amp;REPT(" ",2),2)," ")</f>
        <v/>
      </c>
      <c r="Z2737" s="10">
        <f>IF(A2737="C",LEFT(UPPER(E2737)&amp;REPT(" ",15),15)," ")</f>
        <v/>
      </c>
      <c r="AA2737" s="10">
        <f>REPT(" ",8)</f>
        <v/>
      </c>
      <c r="AB2737" s="10">
        <f>REPT(" ",4)</f>
        <v/>
      </c>
      <c r="AC2737" s="10">
        <f>LEFT(UPPER(H2737)&amp;REPT(" ",250),250)</f>
        <v/>
      </c>
      <c r="AD2737" s="10">
        <f>TEXT($G$2,"dd/mm/aaaa")</f>
        <v/>
      </c>
      <c r="AE2737" s="10">
        <f>REPT(" ",10)</f>
        <v/>
      </c>
      <c r="AF2737" s="10">
        <f>REPT(" ",20)</f>
        <v/>
      </c>
      <c r="AG2737" s="54">
        <f>REPT(" ",18-LEN(FIXED(F2737,2,TRUE)))&amp;FIXED(F2737,2,TRUE)</f>
        <v/>
      </c>
      <c r="AH2737" s="10">
        <f>LEN(AC2737)+LEN(AG2737)</f>
        <v/>
      </c>
      <c r="AI2737" s="10">
        <f>LEN(L2737)</f>
        <v/>
      </c>
    </row>
    <row r="2738">
      <c r="J2738" s="12">
        <f>IF(F2738&lt;&gt;0,"LANÇAR","")</f>
        <v/>
      </c>
      <c r="L2738" s="13">
        <f>N2738&amp;O2738&amp;P2738&amp;Q2738&amp;R2738&amp;S2738&amp;T2738&amp;U2738&amp;V2738&amp;W2738&amp;X2738&amp;Y2738&amp;Z2738&amp;AA2738&amp;AB2738&amp;AC2738&amp;AD2738&amp;AE2738&amp;AF2738&amp;AG2738</f>
        <v/>
      </c>
      <c r="N2738" s="10">
        <f>TEXT($B$6,"00")</f>
        <v/>
      </c>
      <c r="O2738" s="10">
        <f>REPT(" ",8)</f>
        <v/>
      </c>
      <c r="P2738" s="10">
        <f>RIGHT($B$4,2)</f>
        <v/>
      </c>
      <c r="Q2738" s="10">
        <f>RIGHT($B$5,3)</f>
        <v/>
      </c>
      <c r="R2738" s="10">
        <f>IF(A2738="D",LEFT(UPPER(B2738)&amp;REPT(" ",20),20),REPT(" ",20))</f>
        <v/>
      </c>
      <c r="S2738" s="10">
        <f>IF(A2738="D",LEFT(UPPER(C2738)&amp;REPT(" ",10),10)," ")</f>
        <v/>
      </c>
      <c r="T2738" s="10">
        <f>IF(A2738="D",LEFT(UPPER(D2738)&amp;REPT(" ",2),2)," ")</f>
        <v/>
      </c>
      <c r="U2738" s="10">
        <f>IF(A2738="D",LEFT(UPPER(E2738)&amp;REPT(" ",15),15)," ")</f>
        <v/>
      </c>
      <c r="V2738" s="10">
        <f>REPT(" ",24)</f>
        <v/>
      </c>
      <c r="W2738" s="10">
        <f>IF(A2738="c",LEFT(UPPER(B2738)&amp;REPT(" ",20),20),REPT(" ",20))</f>
        <v/>
      </c>
      <c r="X2738" s="10">
        <f>IF(A2738="C",LEFT(UPPER(C2738)&amp;REPT(" ",10),10)," ")</f>
        <v/>
      </c>
      <c r="Y2738" s="10">
        <f>IF(A2738="C",LEFT(UPPER(D2738)&amp;REPT(" ",2),2)," ")</f>
        <v/>
      </c>
      <c r="Z2738" s="10">
        <f>IF(A2738="C",LEFT(UPPER(E2738)&amp;REPT(" ",15),15)," ")</f>
        <v/>
      </c>
      <c r="AA2738" s="10">
        <f>REPT(" ",8)</f>
        <v/>
      </c>
      <c r="AB2738" s="10">
        <f>REPT(" ",4)</f>
        <v/>
      </c>
      <c r="AC2738" s="10">
        <f>LEFT(UPPER(H2738)&amp;REPT(" ",250),250)</f>
        <v/>
      </c>
      <c r="AD2738" s="10">
        <f>TEXT($G$2,"dd/mm/aaaa")</f>
        <v/>
      </c>
      <c r="AE2738" s="10">
        <f>REPT(" ",10)</f>
        <v/>
      </c>
      <c r="AF2738" s="10">
        <f>REPT(" ",20)</f>
        <v/>
      </c>
      <c r="AG2738" s="54">
        <f>REPT(" ",18-LEN(FIXED(F2738,2,TRUE)))&amp;FIXED(F2738,2,TRUE)</f>
        <v/>
      </c>
      <c r="AH2738" s="10">
        <f>LEN(AC2738)+LEN(AG2738)</f>
        <v/>
      </c>
      <c r="AI2738" s="10">
        <f>LEN(L2738)</f>
        <v/>
      </c>
    </row>
    <row r="2739">
      <c r="J2739" s="12">
        <f>IF(F2739&lt;&gt;0,"LANÇAR","")</f>
        <v/>
      </c>
      <c r="L2739" s="13">
        <f>N2739&amp;O2739&amp;P2739&amp;Q2739&amp;R2739&amp;S2739&amp;T2739&amp;U2739&amp;V2739&amp;W2739&amp;X2739&amp;Y2739&amp;Z2739&amp;AA2739&amp;AB2739&amp;AC2739&amp;AD2739&amp;AE2739&amp;AF2739&amp;AG2739</f>
        <v/>
      </c>
      <c r="N2739" s="10">
        <f>TEXT($B$6,"00")</f>
        <v/>
      </c>
      <c r="O2739" s="10">
        <f>REPT(" ",8)</f>
        <v/>
      </c>
      <c r="P2739" s="10">
        <f>RIGHT($B$4,2)</f>
        <v/>
      </c>
      <c r="Q2739" s="10">
        <f>RIGHT($B$5,3)</f>
        <v/>
      </c>
      <c r="R2739" s="10">
        <f>IF(A2739="D",LEFT(UPPER(B2739)&amp;REPT(" ",20),20),REPT(" ",20))</f>
        <v/>
      </c>
      <c r="S2739" s="10">
        <f>IF(A2739="D",LEFT(UPPER(C2739)&amp;REPT(" ",10),10)," ")</f>
        <v/>
      </c>
      <c r="T2739" s="10">
        <f>IF(A2739="D",LEFT(UPPER(D2739)&amp;REPT(" ",2),2)," ")</f>
        <v/>
      </c>
      <c r="U2739" s="10">
        <f>IF(A2739="D",LEFT(UPPER(E2739)&amp;REPT(" ",15),15)," ")</f>
        <v/>
      </c>
      <c r="V2739" s="10">
        <f>REPT(" ",24)</f>
        <v/>
      </c>
      <c r="W2739" s="10">
        <f>IF(A2739="c",LEFT(UPPER(B2739)&amp;REPT(" ",20),20),REPT(" ",20))</f>
        <v/>
      </c>
      <c r="X2739" s="10">
        <f>IF(A2739="C",LEFT(UPPER(C2739)&amp;REPT(" ",10),10)," ")</f>
        <v/>
      </c>
      <c r="Y2739" s="10">
        <f>IF(A2739="C",LEFT(UPPER(D2739)&amp;REPT(" ",2),2)," ")</f>
        <v/>
      </c>
      <c r="Z2739" s="10">
        <f>IF(A2739="C",LEFT(UPPER(E2739)&amp;REPT(" ",15),15)," ")</f>
        <v/>
      </c>
      <c r="AA2739" s="10">
        <f>REPT(" ",8)</f>
        <v/>
      </c>
      <c r="AB2739" s="10">
        <f>REPT(" ",4)</f>
        <v/>
      </c>
      <c r="AC2739" s="10">
        <f>LEFT(UPPER(H2739)&amp;REPT(" ",250),250)</f>
        <v/>
      </c>
      <c r="AD2739" s="10">
        <f>TEXT($G$2,"dd/mm/aaaa")</f>
        <v/>
      </c>
      <c r="AE2739" s="10">
        <f>REPT(" ",10)</f>
        <v/>
      </c>
      <c r="AF2739" s="10">
        <f>REPT(" ",20)</f>
        <v/>
      </c>
      <c r="AG2739" s="54">
        <f>REPT(" ",18-LEN(FIXED(F2739,2,TRUE)))&amp;FIXED(F2739,2,TRUE)</f>
        <v/>
      </c>
      <c r="AH2739" s="10">
        <f>LEN(AC2739)+LEN(AG2739)</f>
        <v/>
      </c>
      <c r="AI2739" s="10">
        <f>LEN(L2739)</f>
        <v/>
      </c>
    </row>
    <row r="2740">
      <c r="J2740" s="12">
        <f>IF(F2740&lt;&gt;0,"LANÇAR","")</f>
        <v/>
      </c>
      <c r="L2740" s="13">
        <f>N2740&amp;O2740&amp;P2740&amp;Q2740&amp;R2740&amp;S2740&amp;T2740&amp;U2740&amp;V2740&amp;W2740&amp;X2740&amp;Y2740&amp;Z2740&amp;AA2740&amp;AB2740&amp;AC2740&amp;AD2740&amp;AE2740&amp;AF2740&amp;AG2740</f>
        <v/>
      </c>
      <c r="N2740" s="10">
        <f>TEXT($B$6,"00")</f>
        <v/>
      </c>
      <c r="O2740" s="10">
        <f>REPT(" ",8)</f>
        <v/>
      </c>
      <c r="P2740" s="10">
        <f>RIGHT($B$4,2)</f>
        <v/>
      </c>
      <c r="Q2740" s="10">
        <f>RIGHT($B$5,3)</f>
        <v/>
      </c>
      <c r="R2740" s="10">
        <f>IF(A2740="D",LEFT(UPPER(B2740)&amp;REPT(" ",20),20),REPT(" ",20))</f>
        <v/>
      </c>
      <c r="S2740" s="10">
        <f>IF(A2740="D",LEFT(UPPER(C2740)&amp;REPT(" ",10),10)," ")</f>
        <v/>
      </c>
      <c r="T2740" s="10">
        <f>IF(A2740="D",LEFT(UPPER(D2740)&amp;REPT(" ",2),2)," ")</f>
        <v/>
      </c>
      <c r="U2740" s="10">
        <f>IF(A2740="D",LEFT(UPPER(E2740)&amp;REPT(" ",15),15)," ")</f>
        <v/>
      </c>
      <c r="V2740" s="10">
        <f>REPT(" ",24)</f>
        <v/>
      </c>
      <c r="W2740" s="10">
        <f>IF(A2740="c",LEFT(UPPER(B2740)&amp;REPT(" ",20),20),REPT(" ",20))</f>
        <v/>
      </c>
      <c r="X2740" s="10">
        <f>IF(A2740="C",LEFT(UPPER(C2740)&amp;REPT(" ",10),10)," ")</f>
        <v/>
      </c>
      <c r="Y2740" s="10">
        <f>IF(A2740="C",LEFT(UPPER(D2740)&amp;REPT(" ",2),2)," ")</f>
        <v/>
      </c>
      <c r="Z2740" s="10">
        <f>IF(A2740="C",LEFT(UPPER(E2740)&amp;REPT(" ",15),15)," ")</f>
        <v/>
      </c>
      <c r="AA2740" s="10">
        <f>REPT(" ",8)</f>
        <v/>
      </c>
      <c r="AB2740" s="10">
        <f>REPT(" ",4)</f>
        <v/>
      </c>
      <c r="AC2740" s="10">
        <f>LEFT(UPPER(H2740)&amp;REPT(" ",250),250)</f>
        <v/>
      </c>
      <c r="AD2740" s="10">
        <f>TEXT($G$2,"dd/mm/aaaa")</f>
        <v/>
      </c>
      <c r="AE2740" s="10">
        <f>REPT(" ",10)</f>
        <v/>
      </c>
      <c r="AF2740" s="10">
        <f>REPT(" ",20)</f>
        <v/>
      </c>
      <c r="AG2740" s="54">
        <f>REPT(" ",18-LEN(FIXED(F2740,2,TRUE)))&amp;FIXED(F2740,2,TRUE)</f>
        <v/>
      </c>
      <c r="AH2740" s="10">
        <f>LEN(AC2740)+LEN(AG2740)</f>
        <v/>
      </c>
      <c r="AI2740" s="10">
        <f>LEN(L2740)</f>
        <v/>
      </c>
    </row>
    <row r="2741">
      <c r="J2741" s="12">
        <f>IF(F2741&lt;&gt;0,"LANÇAR","")</f>
        <v/>
      </c>
      <c r="L2741" s="13">
        <f>N2741&amp;O2741&amp;P2741&amp;Q2741&amp;R2741&amp;S2741&amp;T2741&amp;U2741&amp;V2741&amp;W2741&amp;X2741&amp;Y2741&amp;Z2741&amp;AA2741&amp;AB2741&amp;AC2741&amp;AD2741&amp;AE2741&amp;AF2741&amp;AG2741</f>
        <v/>
      </c>
      <c r="N2741" s="10">
        <f>TEXT($B$6,"00")</f>
        <v/>
      </c>
      <c r="O2741" s="10">
        <f>REPT(" ",8)</f>
        <v/>
      </c>
      <c r="P2741" s="10">
        <f>RIGHT($B$4,2)</f>
        <v/>
      </c>
      <c r="Q2741" s="10">
        <f>RIGHT($B$5,3)</f>
        <v/>
      </c>
      <c r="R2741" s="10">
        <f>IF(A2741="D",LEFT(UPPER(B2741)&amp;REPT(" ",20),20),REPT(" ",20))</f>
        <v/>
      </c>
      <c r="S2741" s="10">
        <f>IF(A2741="D",LEFT(UPPER(C2741)&amp;REPT(" ",10),10)," ")</f>
        <v/>
      </c>
      <c r="T2741" s="10">
        <f>IF(A2741="D",LEFT(UPPER(D2741)&amp;REPT(" ",2),2)," ")</f>
        <v/>
      </c>
      <c r="U2741" s="10">
        <f>IF(A2741="D",LEFT(UPPER(E2741)&amp;REPT(" ",15),15)," ")</f>
        <v/>
      </c>
      <c r="V2741" s="10">
        <f>REPT(" ",24)</f>
        <v/>
      </c>
      <c r="W2741" s="10">
        <f>IF(A2741="c",LEFT(UPPER(B2741)&amp;REPT(" ",20),20),REPT(" ",20))</f>
        <v/>
      </c>
      <c r="X2741" s="10">
        <f>IF(A2741="C",LEFT(UPPER(C2741)&amp;REPT(" ",10),10)," ")</f>
        <v/>
      </c>
      <c r="Y2741" s="10">
        <f>IF(A2741="C",LEFT(UPPER(D2741)&amp;REPT(" ",2),2)," ")</f>
        <v/>
      </c>
      <c r="Z2741" s="10">
        <f>IF(A2741="C",LEFT(UPPER(E2741)&amp;REPT(" ",15),15)," ")</f>
        <v/>
      </c>
      <c r="AA2741" s="10">
        <f>REPT(" ",8)</f>
        <v/>
      </c>
      <c r="AB2741" s="10">
        <f>REPT(" ",4)</f>
        <v/>
      </c>
      <c r="AC2741" s="10">
        <f>LEFT(UPPER(H2741)&amp;REPT(" ",250),250)</f>
        <v/>
      </c>
      <c r="AD2741" s="10">
        <f>TEXT($G$2,"dd/mm/aaaa")</f>
        <v/>
      </c>
      <c r="AE2741" s="10">
        <f>REPT(" ",10)</f>
        <v/>
      </c>
      <c r="AF2741" s="10">
        <f>REPT(" ",20)</f>
        <v/>
      </c>
      <c r="AG2741" s="54">
        <f>REPT(" ",18-LEN(FIXED(F2741,2,TRUE)))&amp;FIXED(F2741,2,TRUE)</f>
        <v/>
      </c>
      <c r="AH2741" s="10">
        <f>LEN(AC2741)+LEN(AG2741)</f>
        <v/>
      </c>
      <c r="AI2741" s="10">
        <f>LEN(L2741)</f>
        <v/>
      </c>
    </row>
    <row r="2742">
      <c r="J2742" s="12">
        <f>IF(F2742&lt;&gt;0,"LANÇAR","")</f>
        <v/>
      </c>
      <c r="L2742" s="13">
        <f>N2742&amp;O2742&amp;P2742&amp;Q2742&amp;R2742&amp;S2742&amp;T2742&amp;U2742&amp;V2742&amp;W2742&amp;X2742&amp;Y2742&amp;Z2742&amp;AA2742&amp;AB2742&amp;AC2742&amp;AD2742&amp;AE2742&amp;AF2742&amp;AG2742</f>
        <v/>
      </c>
      <c r="N2742" s="10">
        <f>TEXT($B$6,"00")</f>
        <v/>
      </c>
      <c r="O2742" s="10">
        <f>REPT(" ",8)</f>
        <v/>
      </c>
      <c r="P2742" s="10">
        <f>RIGHT($B$4,2)</f>
        <v/>
      </c>
      <c r="Q2742" s="10">
        <f>RIGHT($B$5,3)</f>
        <v/>
      </c>
      <c r="R2742" s="10">
        <f>IF(A2742="D",LEFT(UPPER(B2742)&amp;REPT(" ",20),20),REPT(" ",20))</f>
        <v/>
      </c>
      <c r="S2742" s="10">
        <f>IF(A2742="D",LEFT(UPPER(C2742)&amp;REPT(" ",10),10)," ")</f>
        <v/>
      </c>
      <c r="T2742" s="10">
        <f>IF(A2742="D",LEFT(UPPER(D2742)&amp;REPT(" ",2),2)," ")</f>
        <v/>
      </c>
      <c r="U2742" s="10">
        <f>IF(A2742="D",LEFT(UPPER(E2742)&amp;REPT(" ",15),15)," ")</f>
        <v/>
      </c>
      <c r="V2742" s="10">
        <f>REPT(" ",24)</f>
        <v/>
      </c>
      <c r="W2742" s="10">
        <f>IF(A2742="c",LEFT(UPPER(B2742)&amp;REPT(" ",20),20),REPT(" ",20))</f>
        <v/>
      </c>
      <c r="X2742" s="10">
        <f>IF(A2742="C",LEFT(UPPER(C2742)&amp;REPT(" ",10),10)," ")</f>
        <v/>
      </c>
      <c r="Y2742" s="10">
        <f>IF(A2742="C",LEFT(UPPER(D2742)&amp;REPT(" ",2),2)," ")</f>
        <v/>
      </c>
      <c r="Z2742" s="10">
        <f>IF(A2742="C",LEFT(UPPER(E2742)&amp;REPT(" ",15),15)," ")</f>
        <v/>
      </c>
      <c r="AA2742" s="10">
        <f>REPT(" ",8)</f>
        <v/>
      </c>
      <c r="AB2742" s="10">
        <f>REPT(" ",4)</f>
        <v/>
      </c>
      <c r="AC2742" s="10">
        <f>LEFT(UPPER(H2742)&amp;REPT(" ",250),250)</f>
        <v/>
      </c>
      <c r="AD2742" s="10">
        <f>TEXT($G$2,"dd/mm/aaaa")</f>
        <v/>
      </c>
      <c r="AE2742" s="10">
        <f>REPT(" ",10)</f>
        <v/>
      </c>
      <c r="AF2742" s="10">
        <f>REPT(" ",20)</f>
        <v/>
      </c>
      <c r="AG2742" s="54">
        <f>REPT(" ",18-LEN(FIXED(F2742,2,TRUE)))&amp;FIXED(F2742,2,TRUE)</f>
        <v/>
      </c>
      <c r="AH2742" s="10">
        <f>LEN(AC2742)+LEN(AG2742)</f>
        <v/>
      </c>
      <c r="AI2742" s="10">
        <f>LEN(L2742)</f>
        <v/>
      </c>
    </row>
    <row r="2743">
      <c r="J2743" s="12">
        <f>IF(F2743&lt;&gt;0,"LANÇAR","")</f>
        <v/>
      </c>
      <c r="L2743" s="13">
        <f>N2743&amp;O2743&amp;P2743&amp;Q2743&amp;R2743&amp;S2743&amp;T2743&amp;U2743&amp;V2743&amp;W2743&amp;X2743&amp;Y2743&amp;Z2743&amp;AA2743&amp;AB2743&amp;AC2743&amp;AD2743&amp;AE2743&amp;AF2743&amp;AG2743</f>
        <v/>
      </c>
      <c r="N2743" s="10">
        <f>TEXT($B$6,"00")</f>
        <v/>
      </c>
      <c r="O2743" s="10">
        <f>REPT(" ",8)</f>
        <v/>
      </c>
      <c r="P2743" s="10">
        <f>RIGHT($B$4,2)</f>
        <v/>
      </c>
      <c r="Q2743" s="10">
        <f>RIGHT($B$5,3)</f>
        <v/>
      </c>
      <c r="R2743" s="10">
        <f>IF(A2743="D",LEFT(UPPER(B2743)&amp;REPT(" ",20),20),REPT(" ",20))</f>
        <v/>
      </c>
      <c r="S2743" s="10">
        <f>IF(A2743="D",LEFT(UPPER(C2743)&amp;REPT(" ",10),10)," ")</f>
        <v/>
      </c>
      <c r="T2743" s="10">
        <f>IF(A2743="D",LEFT(UPPER(D2743)&amp;REPT(" ",2),2)," ")</f>
        <v/>
      </c>
      <c r="U2743" s="10">
        <f>IF(A2743="D",LEFT(UPPER(E2743)&amp;REPT(" ",15),15)," ")</f>
        <v/>
      </c>
      <c r="V2743" s="10">
        <f>REPT(" ",24)</f>
        <v/>
      </c>
      <c r="W2743" s="10">
        <f>IF(A2743="c",LEFT(UPPER(B2743)&amp;REPT(" ",20),20),REPT(" ",20))</f>
        <v/>
      </c>
      <c r="X2743" s="10">
        <f>IF(A2743="C",LEFT(UPPER(C2743)&amp;REPT(" ",10),10)," ")</f>
        <v/>
      </c>
      <c r="Y2743" s="10">
        <f>IF(A2743="C",LEFT(UPPER(D2743)&amp;REPT(" ",2),2)," ")</f>
        <v/>
      </c>
      <c r="Z2743" s="10">
        <f>IF(A2743="C",LEFT(UPPER(E2743)&amp;REPT(" ",15),15)," ")</f>
        <v/>
      </c>
      <c r="AA2743" s="10">
        <f>REPT(" ",8)</f>
        <v/>
      </c>
      <c r="AB2743" s="10">
        <f>REPT(" ",4)</f>
        <v/>
      </c>
      <c r="AC2743" s="10">
        <f>LEFT(UPPER(H2743)&amp;REPT(" ",250),250)</f>
        <v/>
      </c>
      <c r="AD2743" s="10">
        <f>TEXT($G$2,"dd/mm/aaaa")</f>
        <v/>
      </c>
      <c r="AE2743" s="10">
        <f>REPT(" ",10)</f>
        <v/>
      </c>
      <c r="AF2743" s="10">
        <f>REPT(" ",20)</f>
        <v/>
      </c>
      <c r="AG2743" s="54">
        <f>REPT(" ",18-LEN(FIXED(F2743,2,TRUE)))&amp;FIXED(F2743,2,TRUE)</f>
        <v/>
      </c>
      <c r="AH2743" s="10">
        <f>LEN(AC2743)+LEN(AG2743)</f>
        <v/>
      </c>
      <c r="AI2743" s="10">
        <f>LEN(L2743)</f>
        <v/>
      </c>
    </row>
    <row r="2744">
      <c r="J2744" s="12">
        <f>IF(F2744&lt;&gt;0,"LANÇAR","")</f>
        <v/>
      </c>
      <c r="L2744" s="13">
        <f>N2744&amp;O2744&amp;P2744&amp;Q2744&amp;R2744&amp;S2744&amp;T2744&amp;U2744&amp;V2744&amp;W2744&amp;X2744&amp;Y2744&amp;Z2744&amp;AA2744&amp;AB2744&amp;AC2744&amp;AD2744&amp;AE2744&amp;AF2744&amp;AG2744</f>
        <v/>
      </c>
      <c r="N2744" s="10">
        <f>TEXT($B$6,"00")</f>
        <v/>
      </c>
      <c r="O2744" s="10">
        <f>REPT(" ",8)</f>
        <v/>
      </c>
      <c r="P2744" s="10">
        <f>RIGHT($B$4,2)</f>
        <v/>
      </c>
      <c r="Q2744" s="10">
        <f>RIGHT($B$5,3)</f>
        <v/>
      </c>
      <c r="R2744" s="10">
        <f>IF(A2744="D",LEFT(UPPER(B2744)&amp;REPT(" ",20),20),REPT(" ",20))</f>
        <v/>
      </c>
      <c r="S2744" s="10">
        <f>IF(A2744="D",LEFT(UPPER(C2744)&amp;REPT(" ",10),10)," ")</f>
        <v/>
      </c>
      <c r="T2744" s="10">
        <f>IF(A2744="D",LEFT(UPPER(D2744)&amp;REPT(" ",2),2)," ")</f>
        <v/>
      </c>
      <c r="U2744" s="10">
        <f>IF(A2744="D",LEFT(UPPER(E2744)&amp;REPT(" ",15),15)," ")</f>
        <v/>
      </c>
      <c r="V2744" s="10">
        <f>REPT(" ",24)</f>
        <v/>
      </c>
      <c r="W2744" s="10">
        <f>IF(A2744="c",LEFT(UPPER(B2744)&amp;REPT(" ",20),20),REPT(" ",20))</f>
        <v/>
      </c>
      <c r="X2744" s="10">
        <f>IF(A2744="C",LEFT(UPPER(C2744)&amp;REPT(" ",10),10)," ")</f>
        <v/>
      </c>
      <c r="Y2744" s="10">
        <f>IF(A2744="C",LEFT(UPPER(D2744)&amp;REPT(" ",2),2)," ")</f>
        <v/>
      </c>
      <c r="Z2744" s="10">
        <f>IF(A2744="C",LEFT(UPPER(E2744)&amp;REPT(" ",15),15)," ")</f>
        <v/>
      </c>
      <c r="AA2744" s="10">
        <f>REPT(" ",8)</f>
        <v/>
      </c>
      <c r="AB2744" s="10">
        <f>REPT(" ",4)</f>
        <v/>
      </c>
      <c r="AC2744" s="10">
        <f>LEFT(UPPER(H2744)&amp;REPT(" ",250),250)</f>
        <v/>
      </c>
      <c r="AD2744" s="10">
        <f>TEXT($G$2,"dd/mm/aaaa")</f>
        <v/>
      </c>
      <c r="AE2744" s="10">
        <f>REPT(" ",10)</f>
        <v/>
      </c>
      <c r="AF2744" s="10">
        <f>REPT(" ",20)</f>
        <v/>
      </c>
      <c r="AG2744" s="54">
        <f>REPT(" ",18-LEN(FIXED(F2744,2,TRUE)))&amp;FIXED(F2744,2,TRUE)</f>
        <v/>
      </c>
      <c r="AH2744" s="10">
        <f>LEN(AC2744)+LEN(AG2744)</f>
        <v/>
      </c>
      <c r="AI2744" s="10">
        <f>LEN(L2744)</f>
        <v/>
      </c>
    </row>
    <row r="2745">
      <c r="J2745" s="12">
        <f>IF(F2745&lt;&gt;0,"LANÇAR","")</f>
        <v/>
      </c>
      <c r="L2745" s="13">
        <f>N2745&amp;O2745&amp;P2745&amp;Q2745&amp;R2745&amp;S2745&amp;T2745&amp;U2745&amp;V2745&amp;W2745&amp;X2745&amp;Y2745&amp;Z2745&amp;AA2745&amp;AB2745&amp;AC2745&amp;AD2745&amp;AE2745&amp;AF2745&amp;AG2745</f>
        <v/>
      </c>
      <c r="N2745" s="10">
        <f>TEXT($B$6,"00")</f>
        <v/>
      </c>
      <c r="O2745" s="10">
        <f>REPT(" ",8)</f>
        <v/>
      </c>
      <c r="P2745" s="10">
        <f>RIGHT($B$4,2)</f>
        <v/>
      </c>
      <c r="Q2745" s="10">
        <f>RIGHT($B$5,3)</f>
        <v/>
      </c>
      <c r="R2745" s="10">
        <f>IF(A2745="D",LEFT(UPPER(B2745)&amp;REPT(" ",20),20),REPT(" ",20))</f>
        <v/>
      </c>
      <c r="S2745" s="10">
        <f>IF(A2745="D",LEFT(UPPER(C2745)&amp;REPT(" ",10),10)," ")</f>
        <v/>
      </c>
      <c r="T2745" s="10">
        <f>IF(A2745="D",LEFT(UPPER(D2745)&amp;REPT(" ",2),2)," ")</f>
        <v/>
      </c>
      <c r="U2745" s="10">
        <f>IF(A2745="D",LEFT(UPPER(E2745)&amp;REPT(" ",15),15)," ")</f>
        <v/>
      </c>
      <c r="V2745" s="10">
        <f>REPT(" ",24)</f>
        <v/>
      </c>
      <c r="W2745" s="10">
        <f>IF(A2745="c",LEFT(UPPER(B2745)&amp;REPT(" ",20),20),REPT(" ",20))</f>
        <v/>
      </c>
      <c r="X2745" s="10">
        <f>IF(A2745="C",LEFT(UPPER(C2745)&amp;REPT(" ",10),10)," ")</f>
        <v/>
      </c>
      <c r="Y2745" s="10">
        <f>IF(A2745="C",LEFT(UPPER(D2745)&amp;REPT(" ",2),2)," ")</f>
        <v/>
      </c>
      <c r="Z2745" s="10">
        <f>IF(A2745="C",LEFT(UPPER(E2745)&amp;REPT(" ",15),15)," ")</f>
        <v/>
      </c>
      <c r="AA2745" s="10">
        <f>REPT(" ",8)</f>
        <v/>
      </c>
      <c r="AB2745" s="10">
        <f>REPT(" ",4)</f>
        <v/>
      </c>
      <c r="AC2745" s="10">
        <f>LEFT(UPPER(H2745)&amp;REPT(" ",250),250)</f>
        <v/>
      </c>
      <c r="AD2745" s="10">
        <f>TEXT($G$2,"dd/mm/aaaa")</f>
        <v/>
      </c>
      <c r="AE2745" s="10">
        <f>REPT(" ",10)</f>
        <v/>
      </c>
      <c r="AF2745" s="10">
        <f>REPT(" ",20)</f>
        <v/>
      </c>
      <c r="AG2745" s="54">
        <f>REPT(" ",18-LEN(FIXED(F2745,2,TRUE)))&amp;FIXED(F2745,2,TRUE)</f>
        <v/>
      </c>
      <c r="AH2745" s="10">
        <f>LEN(AC2745)+LEN(AG2745)</f>
        <v/>
      </c>
      <c r="AI2745" s="10">
        <f>LEN(L2745)</f>
        <v/>
      </c>
    </row>
    <row r="2746">
      <c r="J2746" s="12">
        <f>IF(F2746&lt;&gt;0,"LANÇAR","")</f>
        <v/>
      </c>
      <c r="L2746" s="13">
        <f>N2746&amp;O2746&amp;P2746&amp;Q2746&amp;R2746&amp;S2746&amp;T2746&amp;U2746&amp;V2746&amp;W2746&amp;X2746&amp;Y2746&amp;Z2746&amp;AA2746&amp;AB2746&amp;AC2746&amp;AD2746&amp;AE2746&amp;AF2746&amp;AG2746</f>
        <v/>
      </c>
      <c r="N2746" s="10">
        <f>TEXT($B$6,"00")</f>
        <v/>
      </c>
      <c r="O2746" s="10">
        <f>REPT(" ",8)</f>
        <v/>
      </c>
      <c r="P2746" s="10">
        <f>RIGHT($B$4,2)</f>
        <v/>
      </c>
      <c r="Q2746" s="10">
        <f>RIGHT($B$5,3)</f>
        <v/>
      </c>
      <c r="R2746" s="10">
        <f>IF(A2746="D",LEFT(UPPER(B2746)&amp;REPT(" ",20),20),REPT(" ",20))</f>
        <v/>
      </c>
      <c r="S2746" s="10">
        <f>IF(A2746="D",LEFT(UPPER(C2746)&amp;REPT(" ",10),10)," ")</f>
        <v/>
      </c>
      <c r="T2746" s="10">
        <f>IF(A2746="D",LEFT(UPPER(D2746)&amp;REPT(" ",2),2)," ")</f>
        <v/>
      </c>
      <c r="U2746" s="10">
        <f>IF(A2746="D",LEFT(UPPER(E2746)&amp;REPT(" ",15),15)," ")</f>
        <v/>
      </c>
      <c r="V2746" s="10">
        <f>REPT(" ",24)</f>
        <v/>
      </c>
      <c r="W2746" s="10">
        <f>IF(A2746="c",LEFT(UPPER(B2746)&amp;REPT(" ",20),20),REPT(" ",20))</f>
        <v/>
      </c>
      <c r="X2746" s="10">
        <f>IF(A2746="C",LEFT(UPPER(C2746)&amp;REPT(" ",10),10)," ")</f>
        <v/>
      </c>
      <c r="Y2746" s="10">
        <f>IF(A2746="C",LEFT(UPPER(D2746)&amp;REPT(" ",2),2)," ")</f>
        <v/>
      </c>
      <c r="Z2746" s="10">
        <f>IF(A2746="C",LEFT(UPPER(E2746)&amp;REPT(" ",15),15)," ")</f>
        <v/>
      </c>
      <c r="AA2746" s="10">
        <f>REPT(" ",8)</f>
        <v/>
      </c>
      <c r="AB2746" s="10">
        <f>REPT(" ",4)</f>
        <v/>
      </c>
      <c r="AC2746" s="10">
        <f>LEFT(UPPER(H2746)&amp;REPT(" ",250),250)</f>
        <v/>
      </c>
      <c r="AD2746" s="10">
        <f>TEXT($G$2,"dd/mm/aaaa")</f>
        <v/>
      </c>
      <c r="AE2746" s="10">
        <f>REPT(" ",10)</f>
        <v/>
      </c>
      <c r="AF2746" s="10">
        <f>REPT(" ",20)</f>
        <v/>
      </c>
      <c r="AG2746" s="54">
        <f>REPT(" ",18-LEN(FIXED(F2746,2,TRUE)))&amp;FIXED(F2746,2,TRUE)</f>
        <v/>
      </c>
      <c r="AH2746" s="10">
        <f>LEN(AC2746)+LEN(AG2746)</f>
        <v/>
      </c>
      <c r="AI2746" s="10">
        <f>LEN(L2746)</f>
        <v/>
      </c>
    </row>
    <row r="2747">
      <c r="J2747" s="12">
        <f>IF(F2747&lt;&gt;0,"LANÇAR","")</f>
        <v/>
      </c>
      <c r="L2747" s="13">
        <f>N2747&amp;O2747&amp;P2747&amp;Q2747&amp;R2747&amp;S2747&amp;T2747&amp;U2747&amp;V2747&amp;W2747&amp;X2747&amp;Y2747&amp;Z2747&amp;AA2747&amp;AB2747&amp;AC2747&amp;AD2747&amp;AE2747&amp;AF2747&amp;AG2747</f>
        <v/>
      </c>
      <c r="N2747" s="10">
        <f>TEXT($B$6,"00")</f>
        <v/>
      </c>
      <c r="O2747" s="10">
        <f>REPT(" ",8)</f>
        <v/>
      </c>
      <c r="P2747" s="10">
        <f>RIGHT($B$4,2)</f>
        <v/>
      </c>
      <c r="Q2747" s="10">
        <f>RIGHT($B$5,3)</f>
        <v/>
      </c>
      <c r="R2747" s="10">
        <f>IF(A2747="D",LEFT(UPPER(B2747)&amp;REPT(" ",20),20),REPT(" ",20))</f>
        <v/>
      </c>
      <c r="S2747" s="10">
        <f>IF(A2747="D",LEFT(UPPER(C2747)&amp;REPT(" ",10),10)," ")</f>
        <v/>
      </c>
      <c r="T2747" s="10">
        <f>IF(A2747="D",LEFT(UPPER(D2747)&amp;REPT(" ",2),2)," ")</f>
        <v/>
      </c>
      <c r="U2747" s="10">
        <f>IF(A2747="D",LEFT(UPPER(E2747)&amp;REPT(" ",15),15)," ")</f>
        <v/>
      </c>
      <c r="V2747" s="10">
        <f>REPT(" ",24)</f>
        <v/>
      </c>
      <c r="W2747" s="10">
        <f>IF(A2747="c",LEFT(UPPER(B2747)&amp;REPT(" ",20),20),REPT(" ",20))</f>
        <v/>
      </c>
      <c r="X2747" s="10">
        <f>IF(A2747="C",LEFT(UPPER(C2747)&amp;REPT(" ",10),10)," ")</f>
        <v/>
      </c>
      <c r="Y2747" s="10">
        <f>IF(A2747="C",LEFT(UPPER(D2747)&amp;REPT(" ",2),2)," ")</f>
        <v/>
      </c>
      <c r="Z2747" s="10">
        <f>IF(A2747="C",LEFT(UPPER(E2747)&amp;REPT(" ",15),15)," ")</f>
        <v/>
      </c>
      <c r="AA2747" s="10">
        <f>REPT(" ",8)</f>
        <v/>
      </c>
      <c r="AB2747" s="10">
        <f>REPT(" ",4)</f>
        <v/>
      </c>
      <c r="AC2747" s="10">
        <f>LEFT(UPPER(H2747)&amp;REPT(" ",250),250)</f>
        <v/>
      </c>
      <c r="AD2747" s="10">
        <f>TEXT($G$2,"dd/mm/aaaa")</f>
        <v/>
      </c>
      <c r="AE2747" s="10">
        <f>REPT(" ",10)</f>
        <v/>
      </c>
      <c r="AF2747" s="10">
        <f>REPT(" ",20)</f>
        <v/>
      </c>
      <c r="AG2747" s="54">
        <f>REPT(" ",18-LEN(FIXED(F2747,2,TRUE)))&amp;FIXED(F2747,2,TRUE)</f>
        <v/>
      </c>
      <c r="AH2747" s="10">
        <f>LEN(AC2747)+LEN(AG2747)</f>
        <v/>
      </c>
      <c r="AI2747" s="10">
        <f>LEN(L2747)</f>
        <v/>
      </c>
    </row>
    <row r="2748">
      <c r="J2748" s="12">
        <f>IF(F2748&lt;&gt;0,"LANÇAR","")</f>
        <v/>
      </c>
      <c r="L2748" s="13">
        <f>N2748&amp;O2748&amp;P2748&amp;Q2748&amp;R2748&amp;S2748&amp;T2748&amp;U2748&amp;V2748&amp;W2748&amp;X2748&amp;Y2748&amp;Z2748&amp;AA2748&amp;AB2748&amp;AC2748&amp;AD2748&amp;AE2748&amp;AF2748&amp;AG2748</f>
        <v/>
      </c>
      <c r="N2748" s="10">
        <f>TEXT($B$6,"00")</f>
        <v/>
      </c>
      <c r="O2748" s="10">
        <f>REPT(" ",8)</f>
        <v/>
      </c>
      <c r="P2748" s="10">
        <f>RIGHT($B$4,2)</f>
        <v/>
      </c>
      <c r="Q2748" s="10">
        <f>RIGHT($B$5,3)</f>
        <v/>
      </c>
      <c r="R2748" s="10">
        <f>IF(A2748="D",LEFT(UPPER(B2748)&amp;REPT(" ",20),20),REPT(" ",20))</f>
        <v/>
      </c>
      <c r="S2748" s="10">
        <f>IF(A2748="D",LEFT(UPPER(C2748)&amp;REPT(" ",10),10)," ")</f>
        <v/>
      </c>
      <c r="T2748" s="10">
        <f>IF(A2748="D",LEFT(UPPER(D2748)&amp;REPT(" ",2),2)," ")</f>
        <v/>
      </c>
      <c r="U2748" s="10">
        <f>IF(A2748="D",LEFT(UPPER(E2748)&amp;REPT(" ",15),15)," ")</f>
        <v/>
      </c>
      <c r="V2748" s="10">
        <f>REPT(" ",24)</f>
        <v/>
      </c>
      <c r="W2748" s="10">
        <f>IF(A2748="c",LEFT(UPPER(B2748)&amp;REPT(" ",20),20),REPT(" ",20))</f>
        <v/>
      </c>
      <c r="X2748" s="10">
        <f>IF(A2748="C",LEFT(UPPER(C2748)&amp;REPT(" ",10),10)," ")</f>
        <v/>
      </c>
      <c r="Y2748" s="10">
        <f>IF(A2748="C",LEFT(UPPER(D2748)&amp;REPT(" ",2),2)," ")</f>
        <v/>
      </c>
      <c r="Z2748" s="10">
        <f>IF(A2748="C",LEFT(UPPER(E2748)&amp;REPT(" ",15),15)," ")</f>
        <v/>
      </c>
      <c r="AA2748" s="10">
        <f>REPT(" ",8)</f>
        <v/>
      </c>
      <c r="AB2748" s="10">
        <f>REPT(" ",4)</f>
        <v/>
      </c>
      <c r="AC2748" s="10">
        <f>LEFT(UPPER(H2748)&amp;REPT(" ",250),250)</f>
        <v/>
      </c>
      <c r="AD2748" s="10">
        <f>TEXT($G$2,"dd/mm/aaaa")</f>
        <v/>
      </c>
      <c r="AE2748" s="10">
        <f>REPT(" ",10)</f>
        <v/>
      </c>
      <c r="AF2748" s="10">
        <f>REPT(" ",20)</f>
        <v/>
      </c>
      <c r="AG2748" s="54">
        <f>REPT(" ",18-LEN(FIXED(F2748,2,TRUE)))&amp;FIXED(F2748,2,TRUE)</f>
        <v/>
      </c>
      <c r="AH2748" s="10">
        <f>LEN(AC2748)+LEN(AG2748)</f>
        <v/>
      </c>
      <c r="AI2748" s="10">
        <f>LEN(L2748)</f>
        <v/>
      </c>
    </row>
    <row r="2749">
      <c r="J2749" s="12">
        <f>IF(F2749&lt;&gt;0,"LANÇAR","")</f>
        <v/>
      </c>
      <c r="L2749" s="13">
        <f>N2749&amp;O2749&amp;P2749&amp;Q2749&amp;R2749&amp;S2749&amp;T2749&amp;U2749&amp;V2749&amp;W2749&amp;X2749&amp;Y2749&amp;Z2749&amp;AA2749&amp;AB2749&amp;AC2749&amp;AD2749&amp;AE2749&amp;AF2749&amp;AG2749</f>
        <v/>
      </c>
      <c r="N2749" s="10">
        <f>TEXT($B$6,"00")</f>
        <v/>
      </c>
      <c r="O2749" s="10">
        <f>REPT(" ",8)</f>
        <v/>
      </c>
      <c r="P2749" s="10">
        <f>RIGHT($B$4,2)</f>
        <v/>
      </c>
      <c r="Q2749" s="10">
        <f>RIGHT($B$5,3)</f>
        <v/>
      </c>
      <c r="R2749" s="10">
        <f>IF(A2749="D",LEFT(UPPER(B2749)&amp;REPT(" ",20),20),REPT(" ",20))</f>
        <v/>
      </c>
      <c r="S2749" s="10">
        <f>IF(A2749="D",LEFT(UPPER(C2749)&amp;REPT(" ",10),10)," ")</f>
        <v/>
      </c>
      <c r="T2749" s="10">
        <f>IF(A2749="D",LEFT(UPPER(D2749)&amp;REPT(" ",2),2)," ")</f>
        <v/>
      </c>
      <c r="U2749" s="10">
        <f>IF(A2749="D",LEFT(UPPER(E2749)&amp;REPT(" ",15),15)," ")</f>
        <v/>
      </c>
      <c r="V2749" s="10">
        <f>REPT(" ",24)</f>
        <v/>
      </c>
      <c r="W2749" s="10">
        <f>IF(A2749="c",LEFT(UPPER(B2749)&amp;REPT(" ",20),20),REPT(" ",20))</f>
        <v/>
      </c>
      <c r="X2749" s="10">
        <f>IF(A2749="C",LEFT(UPPER(C2749)&amp;REPT(" ",10),10)," ")</f>
        <v/>
      </c>
      <c r="Y2749" s="10">
        <f>IF(A2749="C",LEFT(UPPER(D2749)&amp;REPT(" ",2),2)," ")</f>
        <v/>
      </c>
      <c r="Z2749" s="10">
        <f>IF(A2749="C",LEFT(UPPER(E2749)&amp;REPT(" ",15),15)," ")</f>
        <v/>
      </c>
      <c r="AA2749" s="10">
        <f>REPT(" ",8)</f>
        <v/>
      </c>
      <c r="AB2749" s="10">
        <f>REPT(" ",4)</f>
        <v/>
      </c>
      <c r="AC2749" s="10">
        <f>LEFT(UPPER(H2749)&amp;REPT(" ",250),250)</f>
        <v/>
      </c>
      <c r="AD2749" s="10">
        <f>TEXT($G$2,"dd/mm/aaaa")</f>
        <v/>
      </c>
      <c r="AE2749" s="10">
        <f>REPT(" ",10)</f>
        <v/>
      </c>
      <c r="AF2749" s="10">
        <f>REPT(" ",20)</f>
        <v/>
      </c>
      <c r="AG2749" s="54">
        <f>REPT(" ",18-LEN(FIXED(F2749,2,TRUE)))&amp;FIXED(F2749,2,TRUE)</f>
        <v/>
      </c>
      <c r="AH2749" s="10">
        <f>LEN(AC2749)+LEN(AG2749)</f>
        <v/>
      </c>
      <c r="AI2749" s="10">
        <f>LEN(L2749)</f>
        <v/>
      </c>
    </row>
    <row r="2750">
      <c r="J2750" s="12">
        <f>IF(F2750&lt;&gt;0,"LANÇAR","")</f>
        <v/>
      </c>
      <c r="L2750" s="13">
        <f>N2750&amp;O2750&amp;P2750&amp;Q2750&amp;R2750&amp;S2750&amp;T2750&amp;U2750&amp;V2750&amp;W2750&amp;X2750&amp;Y2750&amp;Z2750&amp;AA2750&amp;AB2750&amp;AC2750&amp;AD2750&amp;AE2750&amp;AF2750&amp;AG2750</f>
        <v/>
      </c>
      <c r="N2750" s="10">
        <f>TEXT($B$6,"00")</f>
        <v/>
      </c>
      <c r="O2750" s="10">
        <f>REPT(" ",8)</f>
        <v/>
      </c>
      <c r="P2750" s="10">
        <f>RIGHT($B$4,2)</f>
        <v/>
      </c>
      <c r="Q2750" s="10">
        <f>RIGHT($B$5,3)</f>
        <v/>
      </c>
      <c r="R2750" s="10">
        <f>IF(A2750="D",LEFT(UPPER(B2750)&amp;REPT(" ",20),20),REPT(" ",20))</f>
        <v/>
      </c>
      <c r="S2750" s="10">
        <f>IF(A2750="D",LEFT(UPPER(C2750)&amp;REPT(" ",10),10)," ")</f>
        <v/>
      </c>
      <c r="T2750" s="10">
        <f>IF(A2750="D",LEFT(UPPER(D2750)&amp;REPT(" ",2),2)," ")</f>
        <v/>
      </c>
      <c r="U2750" s="10">
        <f>IF(A2750="D",LEFT(UPPER(E2750)&amp;REPT(" ",15),15)," ")</f>
        <v/>
      </c>
      <c r="V2750" s="10">
        <f>REPT(" ",24)</f>
        <v/>
      </c>
      <c r="W2750" s="10">
        <f>IF(A2750="c",LEFT(UPPER(B2750)&amp;REPT(" ",20),20),REPT(" ",20))</f>
        <v/>
      </c>
      <c r="X2750" s="10">
        <f>IF(A2750="C",LEFT(UPPER(C2750)&amp;REPT(" ",10),10)," ")</f>
        <v/>
      </c>
      <c r="Y2750" s="10">
        <f>IF(A2750="C",LEFT(UPPER(D2750)&amp;REPT(" ",2),2)," ")</f>
        <v/>
      </c>
      <c r="Z2750" s="10">
        <f>IF(A2750="C",LEFT(UPPER(E2750)&amp;REPT(" ",15),15)," ")</f>
        <v/>
      </c>
      <c r="AA2750" s="10">
        <f>REPT(" ",8)</f>
        <v/>
      </c>
      <c r="AB2750" s="10">
        <f>REPT(" ",4)</f>
        <v/>
      </c>
      <c r="AC2750" s="10">
        <f>LEFT(UPPER(H2750)&amp;REPT(" ",250),250)</f>
        <v/>
      </c>
      <c r="AD2750" s="10">
        <f>TEXT($G$2,"dd/mm/aaaa")</f>
        <v/>
      </c>
      <c r="AE2750" s="10">
        <f>REPT(" ",10)</f>
        <v/>
      </c>
      <c r="AF2750" s="10">
        <f>REPT(" ",20)</f>
        <v/>
      </c>
      <c r="AG2750" s="54">
        <f>REPT(" ",18-LEN(FIXED(F2750,2,TRUE)))&amp;FIXED(F2750,2,TRUE)</f>
        <v/>
      </c>
      <c r="AH2750" s="10">
        <f>LEN(AC2750)+LEN(AG2750)</f>
        <v/>
      </c>
      <c r="AI2750" s="10">
        <f>LEN(L2750)</f>
        <v/>
      </c>
    </row>
    <row r="2751">
      <c r="J2751" s="12">
        <f>IF(F2751&lt;&gt;0,"LANÇAR","")</f>
        <v/>
      </c>
      <c r="L2751" s="13">
        <f>N2751&amp;O2751&amp;P2751&amp;Q2751&amp;R2751&amp;S2751&amp;T2751&amp;U2751&amp;V2751&amp;W2751&amp;X2751&amp;Y2751&amp;Z2751&amp;AA2751&amp;AB2751&amp;AC2751&amp;AD2751&amp;AE2751&amp;AF2751&amp;AG2751</f>
        <v/>
      </c>
      <c r="N2751" s="10">
        <f>TEXT($B$6,"00")</f>
        <v/>
      </c>
      <c r="O2751" s="10">
        <f>REPT(" ",8)</f>
        <v/>
      </c>
      <c r="P2751" s="10">
        <f>RIGHT($B$4,2)</f>
        <v/>
      </c>
      <c r="Q2751" s="10">
        <f>RIGHT($B$5,3)</f>
        <v/>
      </c>
      <c r="R2751" s="10">
        <f>IF(A2751="D",LEFT(UPPER(B2751)&amp;REPT(" ",20),20),REPT(" ",20))</f>
        <v/>
      </c>
      <c r="S2751" s="10">
        <f>IF(A2751="D",LEFT(UPPER(C2751)&amp;REPT(" ",10),10)," ")</f>
        <v/>
      </c>
      <c r="T2751" s="10">
        <f>IF(A2751="D",LEFT(UPPER(D2751)&amp;REPT(" ",2),2)," ")</f>
        <v/>
      </c>
      <c r="U2751" s="10">
        <f>IF(A2751="D",LEFT(UPPER(E2751)&amp;REPT(" ",15),15)," ")</f>
        <v/>
      </c>
      <c r="V2751" s="10">
        <f>REPT(" ",24)</f>
        <v/>
      </c>
      <c r="W2751" s="10">
        <f>IF(A2751="c",LEFT(UPPER(B2751)&amp;REPT(" ",20),20),REPT(" ",20))</f>
        <v/>
      </c>
      <c r="X2751" s="10">
        <f>IF(A2751="C",LEFT(UPPER(C2751)&amp;REPT(" ",10),10)," ")</f>
        <v/>
      </c>
      <c r="Y2751" s="10">
        <f>IF(A2751="C",LEFT(UPPER(D2751)&amp;REPT(" ",2),2)," ")</f>
        <v/>
      </c>
      <c r="Z2751" s="10">
        <f>IF(A2751="C",LEFT(UPPER(E2751)&amp;REPT(" ",15),15)," ")</f>
        <v/>
      </c>
      <c r="AA2751" s="10">
        <f>REPT(" ",8)</f>
        <v/>
      </c>
      <c r="AB2751" s="10">
        <f>REPT(" ",4)</f>
        <v/>
      </c>
      <c r="AC2751" s="10">
        <f>LEFT(UPPER(H2751)&amp;REPT(" ",250),250)</f>
        <v/>
      </c>
      <c r="AD2751" s="10">
        <f>TEXT($G$2,"dd/mm/aaaa")</f>
        <v/>
      </c>
      <c r="AE2751" s="10">
        <f>REPT(" ",10)</f>
        <v/>
      </c>
      <c r="AF2751" s="10">
        <f>REPT(" ",20)</f>
        <v/>
      </c>
      <c r="AG2751" s="54">
        <f>REPT(" ",18-LEN(FIXED(F2751,2,TRUE)))&amp;FIXED(F2751,2,TRUE)</f>
        <v/>
      </c>
      <c r="AH2751" s="10">
        <f>LEN(AC2751)+LEN(AG2751)</f>
        <v/>
      </c>
      <c r="AI2751" s="10">
        <f>LEN(L2751)</f>
        <v/>
      </c>
    </row>
    <row r="2752">
      <c r="J2752" s="12">
        <f>IF(F2752&lt;&gt;0,"LANÇAR","")</f>
        <v/>
      </c>
      <c r="L2752" s="13">
        <f>N2752&amp;O2752&amp;P2752&amp;Q2752&amp;R2752&amp;S2752&amp;T2752&amp;U2752&amp;V2752&amp;W2752&amp;X2752&amp;Y2752&amp;Z2752&amp;AA2752&amp;AB2752&amp;AC2752&amp;AD2752&amp;AE2752&amp;AF2752&amp;AG2752</f>
        <v/>
      </c>
      <c r="N2752" s="10">
        <f>TEXT($B$6,"00")</f>
        <v/>
      </c>
      <c r="O2752" s="10">
        <f>REPT(" ",8)</f>
        <v/>
      </c>
      <c r="P2752" s="10">
        <f>RIGHT($B$4,2)</f>
        <v/>
      </c>
      <c r="Q2752" s="10">
        <f>RIGHT($B$5,3)</f>
        <v/>
      </c>
      <c r="R2752" s="10">
        <f>IF(A2752="D",LEFT(UPPER(B2752)&amp;REPT(" ",20),20),REPT(" ",20))</f>
        <v/>
      </c>
      <c r="S2752" s="10">
        <f>IF(A2752="D",LEFT(UPPER(C2752)&amp;REPT(" ",10),10)," ")</f>
        <v/>
      </c>
      <c r="T2752" s="10">
        <f>IF(A2752="D",LEFT(UPPER(D2752)&amp;REPT(" ",2),2)," ")</f>
        <v/>
      </c>
      <c r="U2752" s="10">
        <f>IF(A2752="D",LEFT(UPPER(E2752)&amp;REPT(" ",15),15)," ")</f>
        <v/>
      </c>
      <c r="V2752" s="10">
        <f>REPT(" ",24)</f>
        <v/>
      </c>
      <c r="W2752" s="10">
        <f>IF(A2752="c",LEFT(UPPER(B2752)&amp;REPT(" ",20),20),REPT(" ",20))</f>
        <v/>
      </c>
      <c r="X2752" s="10">
        <f>IF(A2752="C",LEFT(UPPER(C2752)&amp;REPT(" ",10),10)," ")</f>
        <v/>
      </c>
      <c r="Y2752" s="10">
        <f>IF(A2752="C",LEFT(UPPER(D2752)&amp;REPT(" ",2),2)," ")</f>
        <v/>
      </c>
      <c r="Z2752" s="10">
        <f>IF(A2752="C",LEFT(UPPER(E2752)&amp;REPT(" ",15),15)," ")</f>
        <v/>
      </c>
      <c r="AA2752" s="10">
        <f>REPT(" ",8)</f>
        <v/>
      </c>
      <c r="AB2752" s="10">
        <f>REPT(" ",4)</f>
        <v/>
      </c>
      <c r="AC2752" s="10">
        <f>LEFT(UPPER(H2752)&amp;REPT(" ",250),250)</f>
        <v/>
      </c>
      <c r="AD2752" s="10">
        <f>TEXT($G$2,"dd/mm/aaaa")</f>
        <v/>
      </c>
      <c r="AE2752" s="10">
        <f>REPT(" ",10)</f>
        <v/>
      </c>
      <c r="AF2752" s="10">
        <f>REPT(" ",20)</f>
        <v/>
      </c>
      <c r="AG2752" s="54">
        <f>REPT(" ",18-LEN(FIXED(F2752,2,TRUE)))&amp;FIXED(F2752,2,TRUE)</f>
        <v/>
      </c>
      <c r="AH2752" s="10">
        <f>LEN(AC2752)+LEN(AG2752)</f>
        <v/>
      </c>
      <c r="AI2752" s="10">
        <f>LEN(L2752)</f>
        <v/>
      </c>
    </row>
    <row r="2753">
      <c r="J2753" s="12">
        <f>IF(F2753&lt;&gt;0,"LANÇAR","")</f>
        <v/>
      </c>
      <c r="L2753" s="13">
        <f>N2753&amp;O2753&amp;P2753&amp;Q2753&amp;R2753&amp;S2753&amp;T2753&amp;U2753&amp;V2753&amp;W2753&amp;X2753&amp;Y2753&amp;Z2753&amp;AA2753&amp;AB2753&amp;AC2753&amp;AD2753&amp;AE2753&amp;AF2753&amp;AG2753</f>
        <v/>
      </c>
      <c r="N2753" s="10">
        <f>TEXT($B$6,"00")</f>
        <v/>
      </c>
      <c r="O2753" s="10">
        <f>REPT(" ",8)</f>
        <v/>
      </c>
      <c r="P2753" s="10">
        <f>RIGHT($B$4,2)</f>
        <v/>
      </c>
      <c r="Q2753" s="10">
        <f>RIGHT($B$5,3)</f>
        <v/>
      </c>
      <c r="R2753" s="10">
        <f>IF(A2753="D",LEFT(UPPER(B2753)&amp;REPT(" ",20),20),REPT(" ",20))</f>
        <v/>
      </c>
      <c r="S2753" s="10">
        <f>IF(A2753="D",LEFT(UPPER(C2753)&amp;REPT(" ",10),10)," ")</f>
        <v/>
      </c>
      <c r="T2753" s="10">
        <f>IF(A2753="D",LEFT(UPPER(D2753)&amp;REPT(" ",2),2)," ")</f>
        <v/>
      </c>
      <c r="U2753" s="10">
        <f>IF(A2753="D",LEFT(UPPER(E2753)&amp;REPT(" ",15),15)," ")</f>
        <v/>
      </c>
      <c r="V2753" s="10">
        <f>REPT(" ",24)</f>
        <v/>
      </c>
      <c r="W2753" s="10">
        <f>IF(A2753="c",LEFT(UPPER(B2753)&amp;REPT(" ",20),20),REPT(" ",20))</f>
        <v/>
      </c>
      <c r="X2753" s="10">
        <f>IF(A2753="C",LEFT(UPPER(C2753)&amp;REPT(" ",10),10)," ")</f>
        <v/>
      </c>
      <c r="Y2753" s="10">
        <f>IF(A2753="C",LEFT(UPPER(D2753)&amp;REPT(" ",2),2)," ")</f>
        <v/>
      </c>
      <c r="Z2753" s="10">
        <f>IF(A2753="C",LEFT(UPPER(E2753)&amp;REPT(" ",15),15)," ")</f>
        <v/>
      </c>
      <c r="AA2753" s="10">
        <f>REPT(" ",8)</f>
        <v/>
      </c>
      <c r="AB2753" s="10">
        <f>REPT(" ",4)</f>
        <v/>
      </c>
      <c r="AC2753" s="10">
        <f>LEFT(UPPER(H2753)&amp;REPT(" ",250),250)</f>
        <v/>
      </c>
      <c r="AD2753" s="10">
        <f>TEXT($G$2,"dd/mm/aaaa")</f>
        <v/>
      </c>
      <c r="AE2753" s="10">
        <f>REPT(" ",10)</f>
        <v/>
      </c>
      <c r="AF2753" s="10">
        <f>REPT(" ",20)</f>
        <v/>
      </c>
      <c r="AG2753" s="54">
        <f>REPT(" ",18-LEN(FIXED(F2753,2,TRUE)))&amp;FIXED(F2753,2,TRUE)</f>
        <v/>
      </c>
      <c r="AH2753" s="10">
        <f>LEN(AC2753)+LEN(AG2753)</f>
        <v/>
      </c>
      <c r="AI2753" s="10">
        <f>LEN(L2753)</f>
        <v/>
      </c>
    </row>
    <row r="2754">
      <c r="J2754" s="12">
        <f>IF(F2754&lt;&gt;0,"LANÇAR","")</f>
        <v/>
      </c>
      <c r="L2754" s="13">
        <f>N2754&amp;O2754&amp;P2754&amp;Q2754&amp;R2754&amp;S2754&amp;T2754&amp;U2754&amp;V2754&amp;W2754&amp;X2754&amp;Y2754&amp;Z2754&amp;AA2754&amp;AB2754&amp;AC2754&amp;AD2754&amp;AE2754&amp;AF2754&amp;AG2754</f>
        <v/>
      </c>
      <c r="N2754" s="10">
        <f>TEXT($B$6,"00")</f>
        <v/>
      </c>
      <c r="O2754" s="10">
        <f>REPT(" ",8)</f>
        <v/>
      </c>
      <c r="P2754" s="10">
        <f>RIGHT($B$4,2)</f>
        <v/>
      </c>
      <c r="Q2754" s="10">
        <f>RIGHT($B$5,3)</f>
        <v/>
      </c>
      <c r="R2754" s="10">
        <f>IF(A2754="D",LEFT(UPPER(B2754)&amp;REPT(" ",20),20),REPT(" ",20))</f>
        <v/>
      </c>
      <c r="S2754" s="10">
        <f>IF(A2754="D",LEFT(UPPER(C2754)&amp;REPT(" ",10),10)," ")</f>
        <v/>
      </c>
      <c r="T2754" s="10">
        <f>IF(A2754="D",LEFT(UPPER(D2754)&amp;REPT(" ",2),2)," ")</f>
        <v/>
      </c>
      <c r="U2754" s="10">
        <f>IF(A2754="D",LEFT(UPPER(E2754)&amp;REPT(" ",15),15)," ")</f>
        <v/>
      </c>
      <c r="V2754" s="10">
        <f>REPT(" ",24)</f>
        <v/>
      </c>
      <c r="W2754" s="10">
        <f>IF(A2754="c",LEFT(UPPER(B2754)&amp;REPT(" ",20),20),REPT(" ",20))</f>
        <v/>
      </c>
      <c r="X2754" s="10">
        <f>IF(A2754="C",LEFT(UPPER(C2754)&amp;REPT(" ",10),10)," ")</f>
        <v/>
      </c>
      <c r="Y2754" s="10">
        <f>IF(A2754="C",LEFT(UPPER(D2754)&amp;REPT(" ",2),2)," ")</f>
        <v/>
      </c>
      <c r="Z2754" s="10">
        <f>IF(A2754="C",LEFT(UPPER(E2754)&amp;REPT(" ",15),15)," ")</f>
        <v/>
      </c>
      <c r="AA2754" s="10">
        <f>REPT(" ",8)</f>
        <v/>
      </c>
      <c r="AB2754" s="10">
        <f>REPT(" ",4)</f>
        <v/>
      </c>
      <c r="AC2754" s="10">
        <f>LEFT(UPPER(H2754)&amp;REPT(" ",250),250)</f>
        <v/>
      </c>
      <c r="AD2754" s="10">
        <f>TEXT($G$2,"dd/mm/aaaa")</f>
        <v/>
      </c>
      <c r="AE2754" s="10">
        <f>REPT(" ",10)</f>
        <v/>
      </c>
      <c r="AF2754" s="10">
        <f>REPT(" ",20)</f>
        <v/>
      </c>
      <c r="AG2754" s="54">
        <f>REPT(" ",18-LEN(FIXED(F2754,2,TRUE)))&amp;FIXED(F2754,2,TRUE)</f>
        <v/>
      </c>
      <c r="AH2754" s="10">
        <f>LEN(AC2754)+LEN(AG2754)</f>
        <v/>
      </c>
      <c r="AI2754" s="10">
        <f>LEN(L2754)</f>
        <v/>
      </c>
    </row>
    <row r="2755">
      <c r="J2755" s="12">
        <f>IF(F2755&lt;&gt;0,"LANÇAR","")</f>
        <v/>
      </c>
      <c r="L2755" s="13">
        <f>N2755&amp;O2755&amp;P2755&amp;Q2755&amp;R2755&amp;S2755&amp;T2755&amp;U2755&amp;V2755&amp;W2755&amp;X2755&amp;Y2755&amp;Z2755&amp;AA2755&amp;AB2755&amp;AC2755&amp;AD2755&amp;AE2755&amp;AF2755&amp;AG2755</f>
        <v/>
      </c>
      <c r="N2755" s="10">
        <f>TEXT($B$6,"00")</f>
        <v/>
      </c>
      <c r="O2755" s="10">
        <f>REPT(" ",8)</f>
        <v/>
      </c>
      <c r="P2755" s="10">
        <f>RIGHT($B$4,2)</f>
        <v/>
      </c>
      <c r="Q2755" s="10">
        <f>RIGHT($B$5,3)</f>
        <v/>
      </c>
      <c r="R2755" s="10">
        <f>IF(A2755="D",LEFT(UPPER(B2755)&amp;REPT(" ",20),20),REPT(" ",20))</f>
        <v/>
      </c>
      <c r="S2755" s="10">
        <f>IF(A2755="D",LEFT(UPPER(C2755)&amp;REPT(" ",10),10)," ")</f>
        <v/>
      </c>
      <c r="T2755" s="10">
        <f>IF(A2755="D",LEFT(UPPER(D2755)&amp;REPT(" ",2),2)," ")</f>
        <v/>
      </c>
      <c r="U2755" s="10">
        <f>IF(A2755="D",LEFT(UPPER(E2755)&amp;REPT(" ",15),15)," ")</f>
        <v/>
      </c>
      <c r="V2755" s="10">
        <f>REPT(" ",24)</f>
        <v/>
      </c>
      <c r="W2755" s="10">
        <f>IF(A2755="c",LEFT(UPPER(B2755)&amp;REPT(" ",20),20),REPT(" ",20))</f>
        <v/>
      </c>
      <c r="X2755" s="10">
        <f>IF(A2755="C",LEFT(UPPER(C2755)&amp;REPT(" ",10),10)," ")</f>
        <v/>
      </c>
      <c r="Y2755" s="10">
        <f>IF(A2755="C",LEFT(UPPER(D2755)&amp;REPT(" ",2),2)," ")</f>
        <v/>
      </c>
      <c r="Z2755" s="10">
        <f>IF(A2755="C",LEFT(UPPER(E2755)&amp;REPT(" ",15),15)," ")</f>
        <v/>
      </c>
      <c r="AA2755" s="10">
        <f>REPT(" ",8)</f>
        <v/>
      </c>
      <c r="AB2755" s="10">
        <f>REPT(" ",4)</f>
        <v/>
      </c>
      <c r="AC2755" s="10">
        <f>LEFT(UPPER(H2755)&amp;REPT(" ",250),250)</f>
        <v/>
      </c>
      <c r="AD2755" s="10">
        <f>TEXT($G$2,"dd/mm/aaaa")</f>
        <v/>
      </c>
      <c r="AE2755" s="10">
        <f>REPT(" ",10)</f>
        <v/>
      </c>
      <c r="AF2755" s="10">
        <f>REPT(" ",20)</f>
        <v/>
      </c>
      <c r="AG2755" s="54">
        <f>REPT(" ",18-LEN(FIXED(F2755,2,TRUE)))&amp;FIXED(F2755,2,TRUE)</f>
        <v/>
      </c>
      <c r="AH2755" s="10">
        <f>LEN(AC2755)+LEN(AG2755)</f>
        <v/>
      </c>
      <c r="AI2755" s="10">
        <f>LEN(L2755)</f>
        <v/>
      </c>
    </row>
    <row r="2756">
      <c r="J2756" s="12">
        <f>IF(F2756&lt;&gt;0,"LANÇAR","")</f>
        <v/>
      </c>
      <c r="L2756" s="13">
        <f>N2756&amp;O2756&amp;P2756&amp;Q2756&amp;R2756&amp;S2756&amp;T2756&amp;U2756&amp;V2756&amp;W2756&amp;X2756&amp;Y2756&amp;Z2756&amp;AA2756&amp;AB2756&amp;AC2756&amp;AD2756&amp;AE2756&amp;AF2756&amp;AG2756</f>
        <v/>
      </c>
      <c r="N2756" s="10">
        <f>TEXT($B$6,"00")</f>
        <v/>
      </c>
      <c r="O2756" s="10">
        <f>REPT(" ",8)</f>
        <v/>
      </c>
      <c r="P2756" s="10">
        <f>RIGHT($B$4,2)</f>
        <v/>
      </c>
      <c r="Q2756" s="10">
        <f>RIGHT($B$5,3)</f>
        <v/>
      </c>
      <c r="R2756" s="10">
        <f>IF(A2756="D",LEFT(UPPER(B2756)&amp;REPT(" ",20),20),REPT(" ",20))</f>
        <v/>
      </c>
      <c r="S2756" s="10">
        <f>IF(A2756="D",LEFT(UPPER(C2756)&amp;REPT(" ",10),10)," ")</f>
        <v/>
      </c>
      <c r="T2756" s="10">
        <f>IF(A2756="D",LEFT(UPPER(D2756)&amp;REPT(" ",2),2)," ")</f>
        <v/>
      </c>
      <c r="U2756" s="10">
        <f>IF(A2756="D",LEFT(UPPER(E2756)&amp;REPT(" ",15),15)," ")</f>
        <v/>
      </c>
      <c r="V2756" s="10">
        <f>REPT(" ",24)</f>
        <v/>
      </c>
      <c r="W2756" s="10">
        <f>IF(A2756="c",LEFT(UPPER(B2756)&amp;REPT(" ",20),20),REPT(" ",20))</f>
        <v/>
      </c>
      <c r="X2756" s="10">
        <f>IF(A2756="C",LEFT(UPPER(C2756)&amp;REPT(" ",10),10)," ")</f>
        <v/>
      </c>
      <c r="Y2756" s="10">
        <f>IF(A2756="C",LEFT(UPPER(D2756)&amp;REPT(" ",2),2)," ")</f>
        <v/>
      </c>
      <c r="Z2756" s="10">
        <f>IF(A2756="C",LEFT(UPPER(E2756)&amp;REPT(" ",15),15)," ")</f>
        <v/>
      </c>
      <c r="AA2756" s="10">
        <f>REPT(" ",8)</f>
        <v/>
      </c>
      <c r="AB2756" s="10">
        <f>REPT(" ",4)</f>
        <v/>
      </c>
      <c r="AC2756" s="10">
        <f>LEFT(UPPER(H2756)&amp;REPT(" ",250),250)</f>
        <v/>
      </c>
      <c r="AD2756" s="10">
        <f>TEXT($G$2,"dd/mm/aaaa")</f>
        <v/>
      </c>
      <c r="AE2756" s="10">
        <f>REPT(" ",10)</f>
        <v/>
      </c>
      <c r="AF2756" s="10">
        <f>REPT(" ",20)</f>
        <v/>
      </c>
      <c r="AG2756" s="54">
        <f>REPT(" ",18-LEN(FIXED(F2756,2,TRUE)))&amp;FIXED(F2756,2,TRUE)</f>
        <v/>
      </c>
      <c r="AH2756" s="10">
        <f>LEN(AC2756)+LEN(AG2756)</f>
        <v/>
      </c>
      <c r="AI2756" s="10">
        <f>LEN(L2756)</f>
        <v/>
      </c>
    </row>
    <row r="2757">
      <c r="J2757" s="12">
        <f>IF(F2757&lt;&gt;0,"LANÇAR","")</f>
        <v/>
      </c>
      <c r="L2757" s="13">
        <f>N2757&amp;O2757&amp;P2757&amp;Q2757&amp;R2757&amp;S2757&amp;T2757&amp;U2757&amp;V2757&amp;W2757&amp;X2757&amp;Y2757&amp;Z2757&amp;AA2757&amp;AB2757&amp;AC2757&amp;AD2757&amp;AE2757&amp;AF2757&amp;AG2757</f>
        <v/>
      </c>
      <c r="N2757" s="10">
        <f>TEXT($B$6,"00")</f>
        <v/>
      </c>
      <c r="O2757" s="10">
        <f>REPT(" ",8)</f>
        <v/>
      </c>
      <c r="P2757" s="10">
        <f>RIGHT($B$4,2)</f>
        <v/>
      </c>
      <c r="Q2757" s="10">
        <f>RIGHT($B$5,3)</f>
        <v/>
      </c>
      <c r="R2757" s="10">
        <f>IF(A2757="D",LEFT(UPPER(B2757)&amp;REPT(" ",20),20),REPT(" ",20))</f>
        <v/>
      </c>
      <c r="S2757" s="10">
        <f>IF(A2757="D",LEFT(UPPER(C2757)&amp;REPT(" ",10),10)," ")</f>
        <v/>
      </c>
      <c r="T2757" s="10">
        <f>IF(A2757="D",LEFT(UPPER(D2757)&amp;REPT(" ",2),2)," ")</f>
        <v/>
      </c>
      <c r="U2757" s="10">
        <f>IF(A2757="D",LEFT(UPPER(E2757)&amp;REPT(" ",15),15)," ")</f>
        <v/>
      </c>
      <c r="V2757" s="10">
        <f>REPT(" ",24)</f>
        <v/>
      </c>
      <c r="W2757" s="10">
        <f>IF(A2757="c",LEFT(UPPER(B2757)&amp;REPT(" ",20),20),REPT(" ",20))</f>
        <v/>
      </c>
      <c r="X2757" s="10">
        <f>IF(A2757="C",LEFT(UPPER(C2757)&amp;REPT(" ",10),10)," ")</f>
        <v/>
      </c>
      <c r="Y2757" s="10">
        <f>IF(A2757="C",LEFT(UPPER(D2757)&amp;REPT(" ",2),2)," ")</f>
        <v/>
      </c>
      <c r="Z2757" s="10">
        <f>IF(A2757="C",LEFT(UPPER(E2757)&amp;REPT(" ",15),15)," ")</f>
        <v/>
      </c>
      <c r="AA2757" s="10">
        <f>REPT(" ",8)</f>
        <v/>
      </c>
      <c r="AB2757" s="10">
        <f>REPT(" ",4)</f>
        <v/>
      </c>
      <c r="AC2757" s="10">
        <f>LEFT(UPPER(H2757)&amp;REPT(" ",250),250)</f>
        <v/>
      </c>
      <c r="AD2757" s="10">
        <f>TEXT($G$2,"dd/mm/aaaa")</f>
        <v/>
      </c>
      <c r="AE2757" s="10">
        <f>REPT(" ",10)</f>
        <v/>
      </c>
      <c r="AF2757" s="10">
        <f>REPT(" ",20)</f>
        <v/>
      </c>
      <c r="AG2757" s="54">
        <f>REPT(" ",18-LEN(FIXED(F2757,2,TRUE)))&amp;FIXED(F2757,2,TRUE)</f>
        <v/>
      </c>
      <c r="AH2757" s="10">
        <f>LEN(AC2757)+LEN(AG2757)</f>
        <v/>
      </c>
      <c r="AI2757" s="10">
        <f>LEN(L2757)</f>
        <v/>
      </c>
    </row>
    <row r="2758">
      <c r="J2758" s="12">
        <f>IF(F2758&lt;&gt;0,"LANÇAR","")</f>
        <v/>
      </c>
      <c r="L2758" s="13">
        <f>N2758&amp;O2758&amp;P2758&amp;Q2758&amp;R2758&amp;S2758&amp;T2758&amp;U2758&amp;V2758&amp;W2758&amp;X2758&amp;Y2758&amp;Z2758&amp;AA2758&amp;AB2758&amp;AC2758&amp;AD2758&amp;AE2758&amp;AF2758&amp;AG2758</f>
        <v/>
      </c>
      <c r="N2758" s="10">
        <f>TEXT($B$6,"00")</f>
        <v/>
      </c>
      <c r="O2758" s="10">
        <f>REPT(" ",8)</f>
        <v/>
      </c>
      <c r="P2758" s="10">
        <f>RIGHT($B$4,2)</f>
        <v/>
      </c>
      <c r="Q2758" s="10">
        <f>RIGHT($B$5,3)</f>
        <v/>
      </c>
      <c r="R2758" s="10">
        <f>IF(A2758="D",LEFT(UPPER(B2758)&amp;REPT(" ",20),20),REPT(" ",20))</f>
        <v/>
      </c>
      <c r="S2758" s="10">
        <f>IF(A2758="D",LEFT(UPPER(C2758)&amp;REPT(" ",10),10)," ")</f>
        <v/>
      </c>
      <c r="T2758" s="10">
        <f>IF(A2758="D",LEFT(UPPER(D2758)&amp;REPT(" ",2),2)," ")</f>
        <v/>
      </c>
      <c r="U2758" s="10">
        <f>IF(A2758="D",LEFT(UPPER(E2758)&amp;REPT(" ",15),15)," ")</f>
        <v/>
      </c>
      <c r="V2758" s="10">
        <f>REPT(" ",24)</f>
        <v/>
      </c>
      <c r="W2758" s="10">
        <f>IF(A2758="c",LEFT(UPPER(B2758)&amp;REPT(" ",20),20),REPT(" ",20))</f>
        <v/>
      </c>
      <c r="X2758" s="10">
        <f>IF(A2758="C",LEFT(UPPER(C2758)&amp;REPT(" ",10),10)," ")</f>
        <v/>
      </c>
      <c r="Y2758" s="10">
        <f>IF(A2758="C",LEFT(UPPER(D2758)&amp;REPT(" ",2),2)," ")</f>
        <v/>
      </c>
      <c r="Z2758" s="10">
        <f>IF(A2758="C",LEFT(UPPER(E2758)&amp;REPT(" ",15),15)," ")</f>
        <v/>
      </c>
      <c r="AA2758" s="10">
        <f>REPT(" ",8)</f>
        <v/>
      </c>
      <c r="AB2758" s="10">
        <f>REPT(" ",4)</f>
        <v/>
      </c>
      <c r="AC2758" s="10">
        <f>LEFT(UPPER(H2758)&amp;REPT(" ",250),250)</f>
        <v/>
      </c>
      <c r="AD2758" s="10">
        <f>TEXT($G$2,"dd/mm/aaaa")</f>
        <v/>
      </c>
      <c r="AE2758" s="10">
        <f>REPT(" ",10)</f>
        <v/>
      </c>
      <c r="AF2758" s="10">
        <f>REPT(" ",20)</f>
        <v/>
      </c>
      <c r="AG2758" s="54">
        <f>REPT(" ",18-LEN(FIXED(F2758,2,TRUE)))&amp;FIXED(F2758,2,TRUE)</f>
        <v/>
      </c>
      <c r="AH2758" s="10">
        <f>LEN(AC2758)+LEN(AG2758)</f>
        <v/>
      </c>
      <c r="AI2758" s="10">
        <f>LEN(L2758)</f>
        <v/>
      </c>
    </row>
    <row r="2759">
      <c r="J2759" s="12">
        <f>IF(F2759&lt;&gt;0,"LANÇAR","")</f>
        <v/>
      </c>
      <c r="L2759" s="13">
        <f>N2759&amp;O2759&amp;P2759&amp;Q2759&amp;R2759&amp;S2759&amp;T2759&amp;U2759&amp;V2759&amp;W2759&amp;X2759&amp;Y2759&amp;Z2759&amp;AA2759&amp;AB2759&amp;AC2759&amp;AD2759&amp;AE2759&amp;AF2759&amp;AG2759</f>
        <v/>
      </c>
      <c r="N2759" s="10">
        <f>TEXT($B$6,"00")</f>
        <v/>
      </c>
      <c r="O2759" s="10">
        <f>REPT(" ",8)</f>
        <v/>
      </c>
      <c r="P2759" s="10">
        <f>RIGHT($B$4,2)</f>
        <v/>
      </c>
      <c r="Q2759" s="10">
        <f>RIGHT($B$5,3)</f>
        <v/>
      </c>
      <c r="R2759" s="10">
        <f>IF(A2759="D",LEFT(UPPER(B2759)&amp;REPT(" ",20),20),REPT(" ",20))</f>
        <v/>
      </c>
      <c r="S2759" s="10">
        <f>IF(A2759="D",LEFT(UPPER(C2759)&amp;REPT(" ",10),10)," ")</f>
        <v/>
      </c>
      <c r="T2759" s="10">
        <f>IF(A2759="D",LEFT(UPPER(D2759)&amp;REPT(" ",2),2)," ")</f>
        <v/>
      </c>
      <c r="U2759" s="10">
        <f>IF(A2759="D",LEFT(UPPER(E2759)&amp;REPT(" ",15),15)," ")</f>
        <v/>
      </c>
      <c r="V2759" s="10">
        <f>REPT(" ",24)</f>
        <v/>
      </c>
      <c r="W2759" s="10">
        <f>IF(A2759="c",LEFT(UPPER(B2759)&amp;REPT(" ",20),20),REPT(" ",20))</f>
        <v/>
      </c>
      <c r="X2759" s="10">
        <f>IF(A2759="C",LEFT(UPPER(C2759)&amp;REPT(" ",10),10)," ")</f>
        <v/>
      </c>
      <c r="Y2759" s="10">
        <f>IF(A2759="C",LEFT(UPPER(D2759)&amp;REPT(" ",2),2)," ")</f>
        <v/>
      </c>
      <c r="Z2759" s="10">
        <f>IF(A2759="C",LEFT(UPPER(E2759)&amp;REPT(" ",15),15)," ")</f>
        <v/>
      </c>
      <c r="AA2759" s="10">
        <f>REPT(" ",8)</f>
        <v/>
      </c>
      <c r="AB2759" s="10">
        <f>REPT(" ",4)</f>
        <v/>
      </c>
      <c r="AC2759" s="10">
        <f>LEFT(UPPER(H2759)&amp;REPT(" ",250),250)</f>
        <v/>
      </c>
      <c r="AD2759" s="10">
        <f>TEXT($G$2,"dd/mm/aaaa")</f>
        <v/>
      </c>
      <c r="AE2759" s="10">
        <f>REPT(" ",10)</f>
        <v/>
      </c>
      <c r="AF2759" s="10">
        <f>REPT(" ",20)</f>
        <v/>
      </c>
      <c r="AG2759" s="54">
        <f>REPT(" ",18-LEN(FIXED(F2759,2,TRUE)))&amp;FIXED(F2759,2,TRUE)</f>
        <v/>
      </c>
      <c r="AH2759" s="10">
        <f>LEN(AC2759)+LEN(AG2759)</f>
        <v/>
      </c>
      <c r="AI2759" s="10">
        <f>LEN(L2759)</f>
        <v/>
      </c>
    </row>
    <row r="2760">
      <c r="J2760" s="12">
        <f>IF(F2760&lt;&gt;0,"LANÇAR","")</f>
        <v/>
      </c>
      <c r="L2760" s="13">
        <f>N2760&amp;O2760&amp;P2760&amp;Q2760&amp;R2760&amp;S2760&amp;T2760&amp;U2760&amp;V2760&amp;W2760&amp;X2760&amp;Y2760&amp;Z2760&amp;AA2760&amp;AB2760&amp;AC2760&amp;AD2760&amp;AE2760&amp;AF2760&amp;AG2760</f>
        <v/>
      </c>
      <c r="N2760" s="10">
        <f>TEXT($B$6,"00")</f>
        <v/>
      </c>
      <c r="O2760" s="10">
        <f>REPT(" ",8)</f>
        <v/>
      </c>
      <c r="P2760" s="10">
        <f>RIGHT($B$4,2)</f>
        <v/>
      </c>
      <c r="Q2760" s="10">
        <f>RIGHT($B$5,3)</f>
        <v/>
      </c>
      <c r="R2760" s="10">
        <f>IF(A2760="D",LEFT(UPPER(B2760)&amp;REPT(" ",20),20),REPT(" ",20))</f>
        <v/>
      </c>
      <c r="S2760" s="10">
        <f>IF(A2760="D",LEFT(UPPER(C2760)&amp;REPT(" ",10),10)," ")</f>
        <v/>
      </c>
      <c r="T2760" s="10">
        <f>IF(A2760="D",LEFT(UPPER(D2760)&amp;REPT(" ",2),2)," ")</f>
        <v/>
      </c>
      <c r="U2760" s="10">
        <f>IF(A2760="D",LEFT(UPPER(E2760)&amp;REPT(" ",15),15)," ")</f>
        <v/>
      </c>
      <c r="V2760" s="10">
        <f>REPT(" ",24)</f>
        <v/>
      </c>
      <c r="W2760" s="10">
        <f>IF(A2760="c",LEFT(UPPER(B2760)&amp;REPT(" ",20),20),REPT(" ",20))</f>
        <v/>
      </c>
      <c r="X2760" s="10">
        <f>IF(A2760="C",LEFT(UPPER(C2760)&amp;REPT(" ",10),10)," ")</f>
        <v/>
      </c>
      <c r="Y2760" s="10">
        <f>IF(A2760="C",LEFT(UPPER(D2760)&amp;REPT(" ",2),2)," ")</f>
        <v/>
      </c>
      <c r="Z2760" s="10">
        <f>IF(A2760="C",LEFT(UPPER(E2760)&amp;REPT(" ",15),15)," ")</f>
        <v/>
      </c>
      <c r="AA2760" s="10">
        <f>REPT(" ",8)</f>
        <v/>
      </c>
      <c r="AB2760" s="10">
        <f>REPT(" ",4)</f>
        <v/>
      </c>
      <c r="AC2760" s="10">
        <f>LEFT(UPPER(H2760)&amp;REPT(" ",250),250)</f>
        <v/>
      </c>
      <c r="AD2760" s="10">
        <f>TEXT($G$2,"dd/mm/aaaa")</f>
        <v/>
      </c>
      <c r="AE2760" s="10">
        <f>REPT(" ",10)</f>
        <v/>
      </c>
      <c r="AF2760" s="10">
        <f>REPT(" ",20)</f>
        <v/>
      </c>
      <c r="AG2760" s="54">
        <f>REPT(" ",18-LEN(FIXED(F2760,2,TRUE)))&amp;FIXED(F2760,2,TRUE)</f>
        <v/>
      </c>
      <c r="AH2760" s="10">
        <f>LEN(AC2760)+LEN(AG2760)</f>
        <v/>
      </c>
      <c r="AI2760" s="10">
        <f>LEN(L2760)</f>
        <v/>
      </c>
    </row>
    <row r="2761">
      <c r="J2761" s="12">
        <f>IF(F2761&lt;&gt;0,"LANÇAR","")</f>
        <v/>
      </c>
      <c r="L2761" s="13">
        <f>N2761&amp;O2761&amp;P2761&amp;Q2761&amp;R2761&amp;S2761&amp;T2761&amp;U2761&amp;V2761&amp;W2761&amp;X2761&amp;Y2761&amp;Z2761&amp;AA2761&amp;AB2761&amp;AC2761&amp;AD2761&amp;AE2761&amp;AF2761&amp;AG2761</f>
        <v/>
      </c>
      <c r="N2761" s="10">
        <f>TEXT($B$6,"00")</f>
        <v/>
      </c>
      <c r="O2761" s="10">
        <f>REPT(" ",8)</f>
        <v/>
      </c>
      <c r="P2761" s="10">
        <f>RIGHT($B$4,2)</f>
        <v/>
      </c>
      <c r="Q2761" s="10">
        <f>RIGHT($B$5,3)</f>
        <v/>
      </c>
      <c r="R2761" s="10">
        <f>IF(A2761="D",LEFT(UPPER(B2761)&amp;REPT(" ",20),20),REPT(" ",20))</f>
        <v/>
      </c>
      <c r="S2761" s="10">
        <f>IF(A2761="D",LEFT(UPPER(C2761)&amp;REPT(" ",10),10)," ")</f>
        <v/>
      </c>
      <c r="T2761" s="10">
        <f>IF(A2761="D",LEFT(UPPER(D2761)&amp;REPT(" ",2),2)," ")</f>
        <v/>
      </c>
      <c r="U2761" s="10">
        <f>IF(A2761="D",LEFT(UPPER(E2761)&amp;REPT(" ",15),15)," ")</f>
        <v/>
      </c>
      <c r="V2761" s="10">
        <f>REPT(" ",24)</f>
        <v/>
      </c>
      <c r="W2761" s="10">
        <f>IF(A2761="c",LEFT(UPPER(B2761)&amp;REPT(" ",20),20),REPT(" ",20))</f>
        <v/>
      </c>
      <c r="X2761" s="10">
        <f>IF(A2761="C",LEFT(UPPER(C2761)&amp;REPT(" ",10),10)," ")</f>
        <v/>
      </c>
      <c r="Y2761" s="10">
        <f>IF(A2761="C",LEFT(UPPER(D2761)&amp;REPT(" ",2),2)," ")</f>
        <v/>
      </c>
      <c r="Z2761" s="10">
        <f>IF(A2761="C",LEFT(UPPER(E2761)&amp;REPT(" ",15),15)," ")</f>
        <v/>
      </c>
      <c r="AA2761" s="10">
        <f>REPT(" ",8)</f>
        <v/>
      </c>
      <c r="AB2761" s="10">
        <f>REPT(" ",4)</f>
        <v/>
      </c>
      <c r="AC2761" s="10">
        <f>LEFT(UPPER(H2761)&amp;REPT(" ",250),250)</f>
        <v/>
      </c>
      <c r="AD2761" s="10">
        <f>TEXT($G$2,"dd/mm/aaaa")</f>
        <v/>
      </c>
      <c r="AE2761" s="10">
        <f>REPT(" ",10)</f>
        <v/>
      </c>
      <c r="AF2761" s="10">
        <f>REPT(" ",20)</f>
        <v/>
      </c>
      <c r="AG2761" s="54">
        <f>REPT(" ",18-LEN(FIXED(F2761,2,TRUE)))&amp;FIXED(F2761,2,TRUE)</f>
        <v/>
      </c>
      <c r="AH2761" s="10">
        <f>LEN(AC2761)+LEN(AG2761)</f>
        <v/>
      </c>
      <c r="AI2761" s="10">
        <f>LEN(L2761)</f>
        <v/>
      </c>
    </row>
    <row r="2762">
      <c r="J2762" s="12">
        <f>IF(F2762&lt;&gt;0,"LANÇAR","")</f>
        <v/>
      </c>
      <c r="L2762" s="13">
        <f>N2762&amp;O2762&amp;P2762&amp;Q2762&amp;R2762&amp;S2762&amp;T2762&amp;U2762&amp;V2762&amp;W2762&amp;X2762&amp;Y2762&amp;Z2762&amp;AA2762&amp;AB2762&amp;AC2762&amp;AD2762&amp;AE2762&amp;AF2762&amp;AG2762</f>
        <v/>
      </c>
      <c r="N2762" s="10">
        <f>TEXT($B$6,"00")</f>
        <v/>
      </c>
      <c r="O2762" s="10">
        <f>REPT(" ",8)</f>
        <v/>
      </c>
      <c r="P2762" s="10">
        <f>RIGHT($B$4,2)</f>
        <v/>
      </c>
      <c r="Q2762" s="10">
        <f>RIGHT($B$5,3)</f>
        <v/>
      </c>
      <c r="R2762" s="10">
        <f>IF(A2762="D",LEFT(UPPER(B2762)&amp;REPT(" ",20),20),REPT(" ",20))</f>
        <v/>
      </c>
      <c r="S2762" s="10">
        <f>IF(A2762="D",LEFT(UPPER(C2762)&amp;REPT(" ",10),10)," ")</f>
        <v/>
      </c>
      <c r="T2762" s="10">
        <f>IF(A2762="D",LEFT(UPPER(D2762)&amp;REPT(" ",2),2)," ")</f>
        <v/>
      </c>
      <c r="U2762" s="10">
        <f>IF(A2762="D",LEFT(UPPER(E2762)&amp;REPT(" ",15),15)," ")</f>
        <v/>
      </c>
      <c r="V2762" s="10">
        <f>REPT(" ",24)</f>
        <v/>
      </c>
      <c r="W2762" s="10">
        <f>IF(A2762="c",LEFT(UPPER(B2762)&amp;REPT(" ",20),20),REPT(" ",20))</f>
        <v/>
      </c>
      <c r="X2762" s="10">
        <f>IF(A2762="C",LEFT(UPPER(C2762)&amp;REPT(" ",10),10)," ")</f>
        <v/>
      </c>
      <c r="Y2762" s="10">
        <f>IF(A2762="C",LEFT(UPPER(D2762)&amp;REPT(" ",2),2)," ")</f>
        <v/>
      </c>
      <c r="Z2762" s="10">
        <f>IF(A2762="C",LEFT(UPPER(E2762)&amp;REPT(" ",15),15)," ")</f>
        <v/>
      </c>
      <c r="AA2762" s="10">
        <f>REPT(" ",8)</f>
        <v/>
      </c>
      <c r="AB2762" s="10">
        <f>REPT(" ",4)</f>
        <v/>
      </c>
      <c r="AC2762" s="10">
        <f>LEFT(UPPER(H2762)&amp;REPT(" ",250),250)</f>
        <v/>
      </c>
      <c r="AD2762" s="10">
        <f>TEXT($G$2,"dd/mm/aaaa")</f>
        <v/>
      </c>
      <c r="AE2762" s="10">
        <f>REPT(" ",10)</f>
        <v/>
      </c>
      <c r="AF2762" s="10">
        <f>REPT(" ",20)</f>
        <v/>
      </c>
      <c r="AG2762" s="54">
        <f>REPT(" ",18-LEN(FIXED(F2762,2,TRUE)))&amp;FIXED(F2762,2,TRUE)</f>
        <v/>
      </c>
      <c r="AH2762" s="10">
        <f>LEN(AC2762)+LEN(AG2762)</f>
        <v/>
      </c>
      <c r="AI2762" s="10">
        <f>LEN(L2762)</f>
        <v/>
      </c>
    </row>
    <row r="2763">
      <c r="J2763" s="12">
        <f>IF(F2763&lt;&gt;0,"LANÇAR","")</f>
        <v/>
      </c>
      <c r="L2763" s="13">
        <f>N2763&amp;O2763&amp;P2763&amp;Q2763&amp;R2763&amp;S2763&amp;T2763&amp;U2763&amp;V2763&amp;W2763&amp;X2763&amp;Y2763&amp;Z2763&amp;AA2763&amp;AB2763&amp;AC2763&amp;AD2763&amp;AE2763&amp;AF2763&amp;AG2763</f>
        <v/>
      </c>
      <c r="N2763" s="10">
        <f>TEXT($B$6,"00")</f>
        <v/>
      </c>
      <c r="O2763" s="10">
        <f>REPT(" ",8)</f>
        <v/>
      </c>
      <c r="P2763" s="10">
        <f>RIGHT($B$4,2)</f>
        <v/>
      </c>
      <c r="Q2763" s="10">
        <f>RIGHT($B$5,3)</f>
        <v/>
      </c>
      <c r="R2763" s="10">
        <f>IF(A2763="D",LEFT(UPPER(B2763)&amp;REPT(" ",20),20),REPT(" ",20))</f>
        <v/>
      </c>
      <c r="S2763" s="10">
        <f>IF(A2763="D",LEFT(UPPER(C2763)&amp;REPT(" ",10),10)," ")</f>
        <v/>
      </c>
      <c r="T2763" s="10">
        <f>IF(A2763="D",LEFT(UPPER(D2763)&amp;REPT(" ",2),2)," ")</f>
        <v/>
      </c>
      <c r="U2763" s="10">
        <f>IF(A2763="D",LEFT(UPPER(E2763)&amp;REPT(" ",15),15)," ")</f>
        <v/>
      </c>
      <c r="V2763" s="10">
        <f>REPT(" ",24)</f>
        <v/>
      </c>
      <c r="W2763" s="10">
        <f>IF(A2763="c",LEFT(UPPER(B2763)&amp;REPT(" ",20),20),REPT(" ",20))</f>
        <v/>
      </c>
      <c r="X2763" s="10">
        <f>IF(A2763="C",LEFT(UPPER(C2763)&amp;REPT(" ",10),10)," ")</f>
        <v/>
      </c>
      <c r="Y2763" s="10">
        <f>IF(A2763="C",LEFT(UPPER(D2763)&amp;REPT(" ",2),2)," ")</f>
        <v/>
      </c>
      <c r="Z2763" s="10">
        <f>IF(A2763="C",LEFT(UPPER(E2763)&amp;REPT(" ",15),15)," ")</f>
        <v/>
      </c>
      <c r="AA2763" s="10">
        <f>REPT(" ",8)</f>
        <v/>
      </c>
      <c r="AB2763" s="10">
        <f>REPT(" ",4)</f>
        <v/>
      </c>
      <c r="AC2763" s="10">
        <f>LEFT(UPPER(H2763)&amp;REPT(" ",250),250)</f>
        <v/>
      </c>
      <c r="AD2763" s="10">
        <f>TEXT($G$2,"dd/mm/aaaa")</f>
        <v/>
      </c>
      <c r="AE2763" s="10">
        <f>REPT(" ",10)</f>
        <v/>
      </c>
      <c r="AF2763" s="10">
        <f>REPT(" ",20)</f>
        <v/>
      </c>
      <c r="AG2763" s="54">
        <f>REPT(" ",18-LEN(FIXED(F2763,2,TRUE)))&amp;FIXED(F2763,2,TRUE)</f>
        <v/>
      </c>
      <c r="AH2763" s="10">
        <f>LEN(AC2763)+LEN(AG2763)</f>
        <v/>
      </c>
      <c r="AI2763" s="10">
        <f>LEN(L2763)</f>
        <v/>
      </c>
    </row>
    <row r="2764">
      <c r="J2764" s="12">
        <f>IF(F2764&lt;&gt;0,"LANÇAR","")</f>
        <v/>
      </c>
      <c r="L2764" s="13">
        <f>N2764&amp;O2764&amp;P2764&amp;Q2764&amp;R2764&amp;S2764&amp;T2764&amp;U2764&amp;V2764&amp;W2764&amp;X2764&amp;Y2764&amp;Z2764&amp;AA2764&amp;AB2764&amp;AC2764&amp;AD2764&amp;AE2764&amp;AF2764&amp;AG2764</f>
        <v/>
      </c>
      <c r="N2764" s="10">
        <f>TEXT($B$6,"00")</f>
        <v/>
      </c>
      <c r="O2764" s="10">
        <f>REPT(" ",8)</f>
        <v/>
      </c>
      <c r="P2764" s="10">
        <f>RIGHT($B$4,2)</f>
        <v/>
      </c>
      <c r="Q2764" s="10">
        <f>RIGHT($B$5,3)</f>
        <v/>
      </c>
      <c r="R2764" s="10">
        <f>IF(A2764="D",LEFT(UPPER(B2764)&amp;REPT(" ",20),20),REPT(" ",20))</f>
        <v/>
      </c>
      <c r="S2764" s="10">
        <f>IF(A2764="D",LEFT(UPPER(C2764)&amp;REPT(" ",10),10)," ")</f>
        <v/>
      </c>
      <c r="T2764" s="10">
        <f>IF(A2764="D",LEFT(UPPER(D2764)&amp;REPT(" ",2),2)," ")</f>
        <v/>
      </c>
      <c r="U2764" s="10">
        <f>IF(A2764="D",LEFT(UPPER(E2764)&amp;REPT(" ",15),15)," ")</f>
        <v/>
      </c>
      <c r="V2764" s="10">
        <f>REPT(" ",24)</f>
        <v/>
      </c>
      <c r="W2764" s="10">
        <f>IF(A2764="c",LEFT(UPPER(B2764)&amp;REPT(" ",20),20),REPT(" ",20))</f>
        <v/>
      </c>
      <c r="X2764" s="10">
        <f>IF(A2764="C",LEFT(UPPER(C2764)&amp;REPT(" ",10),10)," ")</f>
        <v/>
      </c>
      <c r="Y2764" s="10">
        <f>IF(A2764="C",LEFT(UPPER(D2764)&amp;REPT(" ",2),2)," ")</f>
        <v/>
      </c>
      <c r="Z2764" s="10">
        <f>IF(A2764="C",LEFT(UPPER(E2764)&amp;REPT(" ",15),15)," ")</f>
        <v/>
      </c>
      <c r="AA2764" s="10">
        <f>REPT(" ",8)</f>
        <v/>
      </c>
      <c r="AB2764" s="10">
        <f>REPT(" ",4)</f>
        <v/>
      </c>
      <c r="AC2764" s="10">
        <f>LEFT(UPPER(H2764)&amp;REPT(" ",250),250)</f>
        <v/>
      </c>
      <c r="AD2764" s="10">
        <f>TEXT($G$2,"dd/mm/aaaa")</f>
        <v/>
      </c>
      <c r="AE2764" s="10">
        <f>REPT(" ",10)</f>
        <v/>
      </c>
      <c r="AF2764" s="10">
        <f>REPT(" ",20)</f>
        <v/>
      </c>
      <c r="AG2764" s="54">
        <f>REPT(" ",18-LEN(FIXED(F2764,2,TRUE)))&amp;FIXED(F2764,2,TRUE)</f>
        <v/>
      </c>
      <c r="AH2764" s="10">
        <f>LEN(AC2764)+LEN(AG2764)</f>
        <v/>
      </c>
      <c r="AI2764" s="10">
        <f>LEN(L2764)</f>
        <v/>
      </c>
    </row>
    <row r="2765">
      <c r="J2765" s="12">
        <f>IF(F2765&lt;&gt;0,"LANÇAR","")</f>
        <v/>
      </c>
      <c r="L2765" s="13">
        <f>N2765&amp;O2765&amp;P2765&amp;Q2765&amp;R2765&amp;S2765&amp;T2765&amp;U2765&amp;V2765&amp;W2765&amp;X2765&amp;Y2765&amp;Z2765&amp;AA2765&amp;AB2765&amp;AC2765&amp;AD2765&amp;AE2765&amp;AF2765&amp;AG2765</f>
        <v/>
      </c>
      <c r="N2765" s="10">
        <f>TEXT($B$6,"00")</f>
        <v/>
      </c>
      <c r="O2765" s="10">
        <f>REPT(" ",8)</f>
        <v/>
      </c>
      <c r="P2765" s="10">
        <f>RIGHT($B$4,2)</f>
        <v/>
      </c>
      <c r="Q2765" s="10">
        <f>RIGHT($B$5,3)</f>
        <v/>
      </c>
      <c r="R2765" s="10">
        <f>IF(A2765="D",LEFT(UPPER(B2765)&amp;REPT(" ",20),20),REPT(" ",20))</f>
        <v/>
      </c>
      <c r="S2765" s="10">
        <f>IF(A2765="D",LEFT(UPPER(C2765)&amp;REPT(" ",10),10)," ")</f>
        <v/>
      </c>
      <c r="T2765" s="10">
        <f>IF(A2765="D",LEFT(UPPER(D2765)&amp;REPT(" ",2),2)," ")</f>
        <v/>
      </c>
      <c r="U2765" s="10">
        <f>IF(A2765="D",LEFT(UPPER(E2765)&amp;REPT(" ",15),15)," ")</f>
        <v/>
      </c>
      <c r="V2765" s="10">
        <f>REPT(" ",24)</f>
        <v/>
      </c>
      <c r="W2765" s="10">
        <f>IF(A2765="c",LEFT(UPPER(B2765)&amp;REPT(" ",20),20),REPT(" ",20))</f>
        <v/>
      </c>
      <c r="X2765" s="10">
        <f>IF(A2765="C",LEFT(UPPER(C2765)&amp;REPT(" ",10),10)," ")</f>
        <v/>
      </c>
      <c r="Y2765" s="10">
        <f>IF(A2765="C",LEFT(UPPER(D2765)&amp;REPT(" ",2),2)," ")</f>
        <v/>
      </c>
      <c r="Z2765" s="10">
        <f>IF(A2765="C",LEFT(UPPER(E2765)&amp;REPT(" ",15),15)," ")</f>
        <v/>
      </c>
      <c r="AA2765" s="10">
        <f>REPT(" ",8)</f>
        <v/>
      </c>
      <c r="AB2765" s="10">
        <f>REPT(" ",4)</f>
        <v/>
      </c>
      <c r="AC2765" s="10">
        <f>LEFT(UPPER(H2765)&amp;REPT(" ",250),250)</f>
        <v/>
      </c>
      <c r="AD2765" s="10">
        <f>TEXT($G$2,"dd/mm/aaaa")</f>
        <v/>
      </c>
      <c r="AE2765" s="10">
        <f>REPT(" ",10)</f>
        <v/>
      </c>
      <c r="AF2765" s="10">
        <f>REPT(" ",20)</f>
        <v/>
      </c>
      <c r="AG2765" s="54">
        <f>REPT(" ",18-LEN(FIXED(F2765,2,TRUE)))&amp;FIXED(F2765,2,TRUE)</f>
        <v/>
      </c>
      <c r="AH2765" s="10">
        <f>LEN(AC2765)+LEN(AG2765)</f>
        <v/>
      </c>
      <c r="AI2765" s="10">
        <f>LEN(L2765)</f>
        <v/>
      </c>
    </row>
    <row r="2766">
      <c r="J2766" s="12">
        <f>IF(F2766&lt;&gt;0,"LANÇAR","")</f>
        <v/>
      </c>
      <c r="L2766" s="13">
        <f>N2766&amp;O2766&amp;P2766&amp;Q2766&amp;R2766&amp;S2766&amp;T2766&amp;U2766&amp;V2766&amp;W2766&amp;X2766&amp;Y2766&amp;Z2766&amp;AA2766&amp;AB2766&amp;AC2766&amp;AD2766&amp;AE2766&amp;AF2766&amp;AG2766</f>
        <v/>
      </c>
      <c r="N2766" s="10">
        <f>TEXT($B$6,"00")</f>
        <v/>
      </c>
      <c r="O2766" s="10">
        <f>REPT(" ",8)</f>
        <v/>
      </c>
      <c r="P2766" s="10">
        <f>RIGHT($B$4,2)</f>
        <v/>
      </c>
      <c r="Q2766" s="10">
        <f>RIGHT($B$5,3)</f>
        <v/>
      </c>
      <c r="R2766" s="10">
        <f>IF(A2766="D",LEFT(UPPER(B2766)&amp;REPT(" ",20),20),REPT(" ",20))</f>
        <v/>
      </c>
      <c r="S2766" s="10">
        <f>IF(A2766="D",LEFT(UPPER(C2766)&amp;REPT(" ",10),10)," ")</f>
        <v/>
      </c>
      <c r="T2766" s="10">
        <f>IF(A2766="D",LEFT(UPPER(D2766)&amp;REPT(" ",2),2)," ")</f>
        <v/>
      </c>
      <c r="U2766" s="10">
        <f>IF(A2766="D",LEFT(UPPER(E2766)&amp;REPT(" ",15),15)," ")</f>
        <v/>
      </c>
      <c r="V2766" s="10">
        <f>REPT(" ",24)</f>
        <v/>
      </c>
      <c r="W2766" s="10">
        <f>IF(A2766="c",LEFT(UPPER(B2766)&amp;REPT(" ",20),20),REPT(" ",20))</f>
        <v/>
      </c>
      <c r="X2766" s="10">
        <f>IF(A2766="C",LEFT(UPPER(C2766)&amp;REPT(" ",10),10)," ")</f>
        <v/>
      </c>
      <c r="Y2766" s="10">
        <f>IF(A2766="C",LEFT(UPPER(D2766)&amp;REPT(" ",2),2)," ")</f>
        <v/>
      </c>
      <c r="Z2766" s="10">
        <f>IF(A2766="C",LEFT(UPPER(E2766)&amp;REPT(" ",15),15)," ")</f>
        <v/>
      </c>
      <c r="AA2766" s="10">
        <f>REPT(" ",8)</f>
        <v/>
      </c>
      <c r="AB2766" s="10">
        <f>REPT(" ",4)</f>
        <v/>
      </c>
      <c r="AC2766" s="10">
        <f>LEFT(UPPER(H2766)&amp;REPT(" ",250),250)</f>
        <v/>
      </c>
      <c r="AD2766" s="10">
        <f>TEXT($G$2,"dd/mm/aaaa")</f>
        <v/>
      </c>
      <c r="AE2766" s="10">
        <f>REPT(" ",10)</f>
        <v/>
      </c>
      <c r="AF2766" s="10">
        <f>REPT(" ",20)</f>
        <v/>
      </c>
      <c r="AG2766" s="54">
        <f>REPT(" ",18-LEN(FIXED(F2766,2,TRUE)))&amp;FIXED(F2766,2,TRUE)</f>
        <v/>
      </c>
      <c r="AH2766" s="10">
        <f>LEN(AC2766)+LEN(AG2766)</f>
        <v/>
      </c>
      <c r="AI2766" s="10">
        <f>LEN(L2766)</f>
        <v/>
      </c>
    </row>
    <row r="2767">
      <c r="J2767" s="12">
        <f>IF(F2767&lt;&gt;0,"LANÇAR","")</f>
        <v/>
      </c>
      <c r="L2767" s="13">
        <f>N2767&amp;O2767&amp;P2767&amp;Q2767&amp;R2767&amp;S2767&amp;T2767&amp;U2767&amp;V2767&amp;W2767&amp;X2767&amp;Y2767&amp;Z2767&amp;AA2767&amp;AB2767&amp;AC2767&amp;AD2767&amp;AE2767&amp;AF2767&amp;AG2767</f>
        <v/>
      </c>
      <c r="N2767" s="10">
        <f>TEXT($B$6,"00")</f>
        <v/>
      </c>
      <c r="O2767" s="10">
        <f>REPT(" ",8)</f>
        <v/>
      </c>
      <c r="P2767" s="10">
        <f>RIGHT($B$4,2)</f>
        <v/>
      </c>
      <c r="Q2767" s="10">
        <f>RIGHT($B$5,3)</f>
        <v/>
      </c>
      <c r="R2767" s="10">
        <f>IF(A2767="D",LEFT(UPPER(B2767)&amp;REPT(" ",20),20),REPT(" ",20))</f>
        <v/>
      </c>
      <c r="S2767" s="10">
        <f>IF(A2767="D",LEFT(UPPER(C2767)&amp;REPT(" ",10),10)," ")</f>
        <v/>
      </c>
      <c r="T2767" s="10">
        <f>IF(A2767="D",LEFT(UPPER(D2767)&amp;REPT(" ",2),2)," ")</f>
        <v/>
      </c>
      <c r="U2767" s="10">
        <f>IF(A2767="D",LEFT(UPPER(E2767)&amp;REPT(" ",15),15)," ")</f>
        <v/>
      </c>
      <c r="V2767" s="10">
        <f>REPT(" ",24)</f>
        <v/>
      </c>
      <c r="W2767" s="10">
        <f>IF(A2767="c",LEFT(UPPER(B2767)&amp;REPT(" ",20),20),REPT(" ",20))</f>
        <v/>
      </c>
      <c r="X2767" s="10">
        <f>IF(A2767="C",LEFT(UPPER(C2767)&amp;REPT(" ",10),10)," ")</f>
        <v/>
      </c>
      <c r="Y2767" s="10">
        <f>IF(A2767="C",LEFT(UPPER(D2767)&amp;REPT(" ",2),2)," ")</f>
        <v/>
      </c>
      <c r="Z2767" s="10">
        <f>IF(A2767="C",LEFT(UPPER(E2767)&amp;REPT(" ",15),15)," ")</f>
        <v/>
      </c>
      <c r="AA2767" s="10">
        <f>REPT(" ",8)</f>
        <v/>
      </c>
      <c r="AB2767" s="10">
        <f>REPT(" ",4)</f>
        <v/>
      </c>
      <c r="AC2767" s="10">
        <f>LEFT(UPPER(H2767)&amp;REPT(" ",250),250)</f>
        <v/>
      </c>
      <c r="AD2767" s="10">
        <f>TEXT($G$2,"dd/mm/aaaa")</f>
        <v/>
      </c>
      <c r="AE2767" s="10">
        <f>REPT(" ",10)</f>
        <v/>
      </c>
      <c r="AF2767" s="10">
        <f>REPT(" ",20)</f>
        <v/>
      </c>
      <c r="AG2767" s="54">
        <f>REPT(" ",18-LEN(FIXED(F2767,2,TRUE)))&amp;FIXED(F2767,2,TRUE)</f>
        <v/>
      </c>
      <c r="AH2767" s="10">
        <f>LEN(AC2767)+LEN(AG2767)</f>
        <v/>
      </c>
      <c r="AI2767" s="10">
        <f>LEN(L2767)</f>
        <v/>
      </c>
    </row>
    <row r="2768">
      <c r="J2768" s="12">
        <f>IF(F2768&lt;&gt;0,"LANÇAR","")</f>
        <v/>
      </c>
      <c r="L2768" s="13">
        <f>N2768&amp;O2768&amp;P2768&amp;Q2768&amp;R2768&amp;S2768&amp;T2768&amp;U2768&amp;V2768&amp;W2768&amp;X2768&amp;Y2768&amp;Z2768&amp;AA2768&amp;AB2768&amp;AC2768&amp;AD2768&amp;AE2768&amp;AF2768&amp;AG2768</f>
        <v/>
      </c>
      <c r="N2768" s="10">
        <f>TEXT($B$6,"00")</f>
        <v/>
      </c>
      <c r="O2768" s="10">
        <f>REPT(" ",8)</f>
        <v/>
      </c>
      <c r="P2768" s="10">
        <f>RIGHT($B$4,2)</f>
        <v/>
      </c>
      <c r="Q2768" s="10">
        <f>RIGHT($B$5,3)</f>
        <v/>
      </c>
      <c r="R2768" s="10">
        <f>IF(A2768="D",LEFT(UPPER(B2768)&amp;REPT(" ",20),20),REPT(" ",20))</f>
        <v/>
      </c>
      <c r="S2768" s="10">
        <f>IF(A2768="D",LEFT(UPPER(C2768)&amp;REPT(" ",10),10)," ")</f>
        <v/>
      </c>
      <c r="T2768" s="10">
        <f>IF(A2768="D",LEFT(UPPER(D2768)&amp;REPT(" ",2),2)," ")</f>
        <v/>
      </c>
      <c r="U2768" s="10">
        <f>IF(A2768="D",LEFT(UPPER(E2768)&amp;REPT(" ",15),15)," ")</f>
        <v/>
      </c>
      <c r="V2768" s="10">
        <f>REPT(" ",24)</f>
        <v/>
      </c>
      <c r="W2768" s="10">
        <f>IF(A2768="c",LEFT(UPPER(B2768)&amp;REPT(" ",20),20),REPT(" ",20))</f>
        <v/>
      </c>
      <c r="X2768" s="10">
        <f>IF(A2768="C",LEFT(UPPER(C2768)&amp;REPT(" ",10),10)," ")</f>
        <v/>
      </c>
      <c r="Y2768" s="10">
        <f>IF(A2768="C",LEFT(UPPER(D2768)&amp;REPT(" ",2),2)," ")</f>
        <v/>
      </c>
      <c r="Z2768" s="10">
        <f>IF(A2768="C",LEFT(UPPER(E2768)&amp;REPT(" ",15),15)," ")</f>
        <v/>
      </c>
      <c r="AA2768" s="10">
        <f>REPT(" ",8)</f>
        <v/>
      </c>
      <c r="AB2768" s="10">
        <f>REPT(" ",4)</f>
        <v/>
      </c>
      <c r="AC2768" s="10">
        <f>LEFT(UPPER(H2768)&amp;REPT(" ",250),250)</f>
        <v/>
      </c>
      <c r="AD2768" s="10">
        <f>TEXT($G$2,"dd/mm/aaaa")</f>
        <v/>
      </c>
      <c r="AE2768" s="10">
        <f>REPT(" ",10)</f>
        <v/>
      </c>
      <c r="AF2768" s="10">
        <f>REPT(" ",20)</f>
        <v/>
      </c>
      <c r="AG2768" s="54">
        <f>REPT(" ",18-LEN(FIXED(F2768,2,TRUE)))&amp;FIXED(F2768,2,TRUE)</f>
        <v/>
      </c>
      <c r="AH2768" s="10">
        <f>LEN(AC2768)+LEN(AG2768)</f>
        <v/>
      </c>
      <c r="AI2768" s="10">
        <f>LEN(L2768)</f>
        <v/>
      </c>
    </row>
    <row r="2769">
      <c r="J2769" s="12">
        <f>IF(F2769&lt;&gt;0,"LANÇAR","")</f>
        <v/>
      </c>
      <c r="L2769" s="13">
        <f>N2769&amp;O2769&amp;P2769&amp;Q2769&amp;R2769&amp;S2769&amp;T2769&amp;U2769&amp;V2769&amp;W2769&amp;X2769&amp;Y2769&amp;Z2769&amp;AA2769&amp;AB2769&amp;AC2769&amp;AD2769&amp;AE2769&amp;AF2769&amp;AG2769</f>
        <v/>
      </c>
      <c r="N2769" s="10">
        <f>TEXT($B$6,"00")</f>
        <v/>
      </c>
      <c r="O2769" s="10">
        <f>REPT(" ",8)</f>
        <v/>
      </c>
      <c r="P2769" s="10">
        <f>RIGHT($B$4,2)</f>
        <v/>
      </c>
      <c r="Q2769" s="10">
        <f>RIGHT($B$5,3)</f>
        <v/>
      </c>
      <c r="R2769" s="10">
        <f>IF(A2769="D",LEFT(UPPER(B2769)&amp;REPT(" ",20),20),REPT(" ",20))</f>
        <v/>
      </c>
      <c r="S2769" s="10">
        <f>IF(A2769="D",LEFT(UPPER(C2769)&amp;REPT(" ",10),10)," ")</f>
        <v/>
      </c>
      <c r="T2769" s="10">
        <f>IF(A2769="D",LEFT(UPPER(D2769)&amp;REPT(" ",2),2)," ")</f>
        <v/>
      </c>
      <c r="U2769" s="10">
        <f>IF(A2769="D",LEFT(UPPER(E2769)&amp;REPT(" ",15),15)," ")</f>
        <v/>
      </c>
      <c r="V2769" s="10">
        <f>REPT(" ",24)</f>
        <v/>
      </c>
      <c r="W2769" s="10">
        <f>IF(A2769="c",LEFT(UPPER(B2769)&amp;REPT(" ",20),20),REPT(" ",20))</f>
        <v/>
      </c>
      <c r="X2769" s="10">
        <f>IF(A2769="C",LEFT(UPPER(C2769)&amp;REPT(" ",10),10)," ")</f>
        <v/>
      </c>
      <c r="Y2769" s="10">
        <f>IF(A2769="C",LEFT(UPPER(D2769)&amp;REPT(" ",2),2)," ")</f>
        <v/>
      </c>
      <c r="Z2769" s="10">
        <f>IF(A2769="C",LEFT(UPPER(E2769)&amp;REPT(" ",15),15)," ")</f>
        <v/>
      </c>
      <c r="AA2769" s="10">
        <f>REPT(" ",8)</f>
        <v/>
      </c>
      <c r="AB2769" s="10">
        <f>REPT(" ",4)</f>
        <v/>
      </c>
      <c r="AC2769" s="10">
        <f>LEFT(UPPER(H2769)&amp;REPT(" ",250),250)</f>
        <v/>
      </c>
      <c r="AD2769" s="10">
        <f>TEXT($G$2,"dd/mm/aaaa")</f>
        <v/>
      </c>
      <c r="AE2769" s="10">
        <f>REPT(" ",10)</f>
        <v/>
      </c>
      <c r="AF2769" s="10">
        <f>REPT(" ",20)</f>
        <v/>
      </c>
      <c r="AG2769" s="54">
        <f>REPT(" ",18-LEN(FIXED(F2769,2,TRUE)))&amp;FIXED(F2769,2,TRUE)</f>
        <v/>
      </c>
      <c r="AH2769" s="10">
        <f>LEN(AC2769)+LEN(AG2769)</f>
        <v/>
      </c>
      <c r="AI2769" s="10">
        <f>LEN(L2769)</f>
        <v/>
      </c>
    </row>
    <row r="2770">
      <c r="J2770" s="12">
        <f>IF(F2770&lt;&gt;0,"LANÇAR","")</f>
        <v/>
      </c>
      <c r="L2770" s="13">
        <f>N2770&amp;O2770&amp;P2770&amp;Q2770&amp;R2770&amp;S2770&amp;T2770&amp;U2770&amp;V2770&amp;W2770&amp;X2770&amp;Y2770&amp;Z2770&amp;AA2770&amp;AB2770&amp;AC2770&amp;AD2770&amp;AE2770&amp;AF2770&amp;AG2770</f>
        <v/>
      </c>
      <c r="N2770" s="10">
        <f>TEXT($B$6,"00")</f>
        <v/>
      </c>
      <c r="O2770" s="10">
        <f>REPT(" ",8)</f>
        <v/>
      </c>
      <c r="P2770" s="10">
        <f>RIGHT($B$4,2)</f>
        <v/>
      </c>
      <c r="Q2770" s="10">
        <f>RIGHT($B$5,3)</f>
        <v/>
      </c>
      <c r="R2770" s="10">
        <f>IF(A2770="D",LEFT(UPPER(B2770)&amp;REPT(" ",20),20),REPT(" ",20))</f>
        <v/>
      </c>
      <c r="S2770" s="10">
        <f>IF(A2770="D",LEFT(UPPER(C2770)&amp;REPT(" ",10),10)," ")</f>
        <v/>
      </c>
      <c r="T2770" s="10">
        <f>IF(A2770="D",LEFT(UPPER(D2770)&amp;REPT(" ",2),2)," ")</f>
        <v/>
      </c>
      <c r="U2770" s="10">
        <f>IF(A2770="D",LEFT(UPPER(E2770)&amp;REPT(" ",15),15)," ")</f>
        <v/>
      </c>
      <c r="V2770" s="10">
        <f>REPT(" ",24)</f>
        <v/>
      </c>
      <c r="W2770" s="10">
        <f>IF(A2770="c",LEFT(UPPER(B2770)&amp;REPT(" ",20),20),REPT(" ",20))</f>
        <v/>
      </c>
      <c r="X2770" s="10">
        <f>IF(A2770="C",LEFT(UPPER(C2770)&amp;REPT(" ",10),10)," ")</f>
        <v/>
      </c>
      <c r="Y2770" s="10">
        <f>IF(A2770="C",LEFT(UPPER(D2770)&amp;REPT(" ",2),2)," ")</f>
        <v/>
      </c>
      <c r="Z2770" s="10">
        <f>IF(A2770="C",LEFT(UPPER(E2770)&amp;REPT(" ",15),15)," ")</f>
        <v/>
      </c>
      <c r="AA2770" s="10">
        <f>REPT(" ",8)</f>
        <v/>
      </c>
      <c r="AB2770" s="10">
        <f>REPT(" ",4)</f>
        <v/>
      </c>
      <c r="AC2770" s="10">
        <f>LEFT(UPPER(H2770)&amp;REPT(" ",250),250)</f>
        <v/>
      </c>
      <c r="AD2770" s="10">
        <f>TEXT($G$2,"dd/mm/aaaa")</f>
        <v/>
      </c>
      <c r="AE2770" s="10">
        <f>REPT(" ",10)</f>
        <v/>
      </c>
      <c r="AF2770" s="10">
        <f>REPT(" ",20)</f>
        <v/>
      </c>
      <c r="AG2770" s="54">
        <f>REPT(" ",18-LEN(FIXED(F2770,2,TRUE)))&amp;FIXED(F2770,2,TRUE)</f>
        <v/>
      </c>
      <c r="AH2770" s="10">
        <f>LEN(AC2770)+LEN(AG2770)</f>
        <v/>
      </c>
      <c r="AI2770" s="10">
        <f>LEN(L2770)</f>
        <v/>
      </c>
    </row>
    <row r="2771">
      <c r="J2771" s="12">
        <f>IF(F2771&lt;&gt;0,"LANÇAR","")</f>
        <v/>
      </c>
      <c r="L2771" s="13">
        <f>N2771&amp;O2771&amp;P2771&amp;Q2771&amp;R2771&amp;S2771&amp;T2771&amp;U2771&amp;V2771&amp;W2771&amp;X2771&amp;Y2771&amp;Z2771&amp;AA2771&amp;AB2771&amp;AC2771&amp;AD2771&amp;AE2771&amp;AF2771&amp;AG2771</f>
        <v/>
      </c>
      <c r="N2771" s="10">
        <f>TEXT($B$6,"00")</f>
        <v/>
      </c>
      <c r="O2771" s="10">
        <f>REPT(" ",8)</f>
        <v/>
      </c>
      <c r="P2771" s="10">
        <f>RIGHT($B$4,2)</f>
        <v/>
      </c>
      <c r="Q2771" s="10">
        <f>RIGHT($B$5,3)</f>
        <v/>
      </c>
      <c r="R2771" s="10">
        <f>IF(A2771="D",LEFT(UPPER(B2771)&amp;REPT(" ",20),20),REPT(" ",20))</f>
        <v/>
      </c>
      <c r="S2771" s="10">
        <f>IF(A2771="D",LEFT(UPPER(C2771)&amp;REPT(" ",10),10)," ")</f>
        <v/>
      </c>
      <c r="T2771" s="10">
        <f>IF(A2771="D",LEFT(UPPER(D2771)&amp;REPT(" ",2),2)," ")</f>
        <v/>
      </c>
      <c r="U2771" s="10">
        <f>IF(A2771="D",LEFT(UPPER(E2771)&amp;REPT(" ",15),15)," ")</f>
        <v/>
      </c>
      <c r="V2771" s="10">
        <f>REPT(" ",24)</f>
        <v/>
      </c>
      <c r="W2771" s="10">
        <f>IF(A2771="c",LEFT(UPPER(B2771)&amp;REPT(" ",20),20),REPT(" ",20))</f>
        <v/>
      </c>
      <c r="X2771" s="10">
        <f>IF(A2771="C",LEFT(UPPER(C2771)&amp;REPT(" ",10),10)," ")</f>
        <v/>
      </c>
      <c r="Y2771" s="10">
        <f>IF(A2771="C",LEFT(UPPER(D2771)&amp;REPT(" ",2),2)," ")</f>
        <v/>
      </c>
      <c r="Z2771" s="10">
        <f>IF(A2771="C",LEFT(UPPER(E2771)&amp;REPT(" ",15),15)," ")</f>
        <v/>
      </c>
      <c r="AA2771" s="10">
        <f>REPT(" ",8)</f>
        <v/>
      </c>
      <c r="AB2771" s="10">
        <f>REPT(" ",4)</f>
        <v/>
      </c>
      <c r="AC2771" s="10">
        <f>LEFT(UPPER(H2771)&amp;REPT(" ",250),250)</f>
        <v/>
      </c>
      <c r="AD2771" s="10">
        <f>TEXT($G$2,"dd/mm/aaaa")</f>
        <v/>
      </c>
      <c r="AE2771" s="10">
        <f>REPT(" ",10)</f>
        <v/>
      </c>
      <c r="AF2771" s="10">
        <f>REPT(" ",20)</f>
        <v/>
      </c>
      <c r="AG2771" s="54">
        <f>REPT(" ",18-LEN(FIXED(F2771,2,TRUE)))&amp;FIXED(F2771,2,TRUE)</f>
        <v/>
      </c>
      <c r="AH2771" s="10">
        <f>LEN(AC2771)+LEN(AG2771)</f>
        <v/>
      </c>
      <c r="AI2771" s="10">
        <f>LEN(L2771)</f>
        <v/>
      </c>
    </row>
    <row r="2772">
      <c r="J2772" s="12">
        <f>IF(F2772&lt;&gt;0,"LANÇAR","")</f>
        <v/>
      </c>
      <c r="L2772" s="13">
        <f>N2772&amp;O2772&amp;P2772&amp;Q2772&amp;R2772&amp;S2772&amp;T2772&amp;U2772&amp;V2772&amp;W2772&amp;X2772&amp;Y2772&amp;Z2772&amp;AA2772&amp;AB2772&amp;AC2772&amp;AD2772&amp;AE2772&amp;AF2772&amp;AG2772</f>
        <v/>
      </c>
      <c r="N2772" s="10">
        <f>TEXT($B$6,"00")</f>
        <v/>
      </c>
      <c r="O2772" s="10">
        <f>REPT(" ",8)</f>
        <v/>
      </c>
      <c r="P2772" s="10">
        <f>RIGHT($B$4,2)</f>
        <v/>
      </c>
      <c r="Q2772" s="10">
        <f>RIGHT($B$5,3)</f>
        <v/>
      </c>
      <c r="R2772" s="10">
        <f>IF(A2772="D",LEFT(UPPER(B2772)&amp;REPT(" ",20),20),REPT(" ",20))</f>
        <v/>
      </c>
      <c r="S2772" s="10">
        <f>IF(A2772="D",LEFT(UPPER(C2772)&amp;REPT(" ",10),10)," ")</f>
        <v/>
      </c>
      <c r="T2772" s="10">
        <f>IF(A2772="D",LEFT(UPPER(D2772)&amp;REPT(" ",2),2)," ")</f>
        <v/>
      </c>
      <c r="U2772" s="10">
        <f>IF(A2772="D",LEFT(UPPER(E2772)&amp;REPT(" ",15),15)," ")</f>
        <v/>
      </c>
      <c r="V2772" s="10">
        <f>REPT(" ",24)</f>
        <v/>
      </c>
      <c r="W2772" s="10">
        <f>IF(A2772="c",LEFT(UPPER(B2772)&amp;REPT(" ",20),20),REPT(" ",20))</f>
        <v/>
      </c>
      <c r="X2772" s="10">
        <f>IF(A2772="C",LEFT(UPPER(C2772)&amp;REPT(" ",10),10)," ")</f>
        <v/>
      </c>
      <c r="Y2772" s="10">
        <f>IF(A2772="C",LEFT(UPPER(D2772)&amp;REPT(" ",2),2)," ")</f>
        <v/>
      </c>
      <c r="Z2772" s="10">
        <f>IF(A2772="C",LEFT(UPPER(E2772)&amp;REPT(" ",15),15)," ")</f>
        <v/>
      </c>
      <c r="AA2772" s="10">
        <f>REPT(" ",8)</f>
        <v/>
      </c>
      <c r="AB2772" s="10">
        <f>REPT(" ",4)</f>
        <v/>
      </c>
      <c r="AC2772" s="10">
        <f>LEFT(UPPER(H2772)&amp;REPT(" ",250),250)</f>
        <v/>
      </c>
      <c r="AD2772" s="10">
        <f>TEXT($G$2,"dd/mm/aaaa")</f>
        <v/>
      </c>
      <c r="AE2772" s="10">
        <f>REPT(" ",10)</f>
        <v/>
      </c>
      <c r="AF2772" s="10">
        <f>REPT(" ",20)</f>
        <v/>
      </c>
      <c r="AG2772" s="54">
        <f>REPT(" ",18-LEN(FIXED(F2772,2,TRUE)))&amp;FIXED(F2772,2,TRUE)</f>
        <v/>
      </c>
      <c r="AH2772" s="10">
        <f>LEN(AC2772)+LEN(AG2772)</f>
        <v/>
      </c>
      <c r="AI2772" s="10">
        <f>LEN(L2772)</f>
        <v/>
      </c>
    </row>
    <row r="2773">
      <c r="J2773" s="12">
        <f>IF(F2773&lt;&gt;0,"LANÇAR","")</f>
        <v/>
      </c>
      <c r="L2773" s="13">
        <f>N2773&amp;O2773&amp;P2773&amp;Q2773&amp;R2773&amp;S2773&amp;T2773&amp;U2773&amp;V2773&amp;W2773&amp;X2773&amp;Y2773&amp;Z2773&amp;AA2773&amp;AB2773&amp;AC2773&amp;AD2773&amp;AE2773&amp;AF2773&amp;AG2773</f>
        <v/>
      </c>
      <c r="N2773" s="10">
        <f>TEXT($B$6,"00")</f>
        <v/>
      </c>
      <c r="O2773" s="10">
        <f>REPT(" ",8)</f>
        <v/>
      </c>
      <c r="P2773" s="10">
        <f>RIGHT($B$4,2)</f>
        <v/>
      </c>
      <c r="Q2773" s="10">
        <f>RIGHT($B$5,3)</f>
        <v/>
      </c>
      <c r="R2773" s="10">
        <f>IF(A2773="D",LEFT(UPPER(B2773)&amp;REPT(" ",20),20),REPT(" ",20))</f>
        <v/>
      </c>
      <c r="S2773" s="10">
        <f>IF(A2773="D",LEFT(UPPER(C2773)&amp;REPT(" ",10),10)," ")</f>
        <v/>
      </c>
      <c r="T2773" s="10">
        <f>IF(A2773="D",LEFT(UPPER(D2773)&amp;REPT(" ",2),2)," ")</f>
        <v/>
      </c>
      <c r="U2773" s="10">
        <f>IF(A2773="D",LEFT(UPPER(E2773)&amp;REPT(" ",15),15)," ")</f>
        <v/>
      </c>
      <c r="V2773" s="10">
        <f>REPT(" ",24)</f>
        <v/>
      </c>
      <c r="W2773" s="10">
        <f>IF(A2773="c",LEFT(UPPER(B2773)&amp;REPT(" ",20),20),REPT(" ",20))</f>
        <v/>
      </c>
      <c r="X2773" s="10">
        <f>IF(A2773="C",LEFT(UPPER(C2773)&amp;REPT(" ",10),10)," ")</f>
        <v/>
      </c>
      <c r="Y2773" s="10">
        <f>IF(A2773="C",LEFT(UPPER(D2773)&amp;REPT(" ",2),2)," ")</f>
        <v/>
      </c>
      <c r="Z2773" s="10">
        <f>IF(A2773="C",LEFT(UPPER(E2773)&amp;REPT(" ",15),15)," ")</f>
        <v/>
      </c>
      <c r="AA2773" s="10">
        <f>REPT(" ",8)</f>
        <v/>
      </c>
      <c r="AB2773" s="10">
        <f>REPT(" ",4)</f>
        <v/>
      </c>
      <c r="AC2773" s="10">
        <f>LEFT(UPPER(H2773)&amp;REPT(" ",250),250)</f>
        <v/>
      </c>
      <c r="AD2773" s="10">
        <f>TEXT($G$2,"dd/mm/aaaa")</f>
        <v/>
      </c>
      <c r="AE2773" s="10">
        <f>REPT(" ",10)</f>
        <v/>
      </c>
      <c r="AF2773" s="10">
        <f>REPT(" ",20)</f>
        <v/>
      </c>
      <c r="AG2773" s="54">
        <f>REPT(" ",18-LEN(FIXED(F2773,2,TRUE)))&amp;FIXED(F2773,2,TRUE)</f>
        <v/>
      </c>
      <c r="AH2773" s="10">
        <f>LEN(AC2773)+LEN(AG2773)</f>
        <v/>
      </c>
      <c r="AI2773" s="10">
        <f>LEN(L2773)</f>
        <v/>
      </c>
    </row>
    <row r="2774">
      <c r="J2774" s="12">
        <f>IF(F2774&lt;&gt;0,"LANÇAR","")</f>
        <v/>
      </c>
      <c r="L2774" s="13">
        <f>N2774&amp;O2774&amp;P2774&amp;Q2774&amp;R2774&amp;S2774&amp;T2774&amp;U2774&amp;V2774&amp;W2774&amp;X2774&amp;Y2774&amp;Z2774&amp;AA2774&amp;AB2774&amp;AC2774&amp;AD2774&amp;AE2774&amp;AF2774&amp;AG2774</f>
        <v/>
      </c>
      <c r="N2774" s="10">
        <f>TEXT($B$6,"00")</f>
        <v/>
      </c>
      <c r="O2774" s="10">
        <f>REPT(" ",8)</f>
        <v/>
      </c>
      <c r="P2774" s="10">
        <f>RIGHT($B$4,2)</f>
        <v/>
      </c>
      <c r="Q2774" s="10">
        <f>RIGHT($B$5,3)</f>
        <v/>
      </c>
      <c r="R2774" s="10">
        <f>IF(A2774="D",LEFT(UPPER(B2774)&amp;REPT(" ",20),20),REPT(" ",20))</f>
        <v/>
      </c>
      <c r="S2774" s="10">
        <f>IF(A2774="D",LEFT(UPPER(C2774)&amp;REPT(" ",10),10)," ")</f>
        <v/>
      </c>
      <c r="T2774" s="10">
        <f>IF(A2774="D",LEFT(UPPER(D2774)&amp;REPT(" ",2),2)," ")</f>
        <v/>
      </c>
      <c r="U2774" s="10">
        <f>IF(A2774="D",LEFT(UPPER(E2774)&amp;REPT(" ",15),15)," ")</f>
        <v/>
      </c>
      <c r="V2774" s="10">
        <f>REPT(" ",24)</f>
        <v/>
      </c>
      <c r="W2774" s="10">
        <f>IF(A2774="c",LEFT(UPPER(B2774)&amp;REPT(" ",20),20),REPT(" ",20))</f>
        <v/>
      </c>
      <c r="X2774" s="10">
        <f>IF(A2774="C",LEFT(UPPER(C2774)&amp;REPT(" ",10),10)," ")</f>
        <v/>
      </c>
      <c r="Y2774" s="10">
        <f>IF(A2774="C",LEFT(UPPER(D2774)&amp;REPT(" ",2),2)," ")</f>
        <v/>
      </c>
      <c r="Z2774" s="10">
        <f>IF(A2774="C",LEFT(UPPER(E2774)&amp;REPT(" ",15),15)," ")</f>
        <v/>
      </c>
      <c r="AA2774" s="10">
        <f>REPT(" ",8)</f>
        <v/>
      </c>
      <c r="AB2774" s="10">
        <f>REPT(" ",4)</f>
        <v/>
      </c>
      <c r="AC2774" s="10">
        <f>LEFT(UPPER(H2774)&amp;REPT(" ",250),250)</f>
        <v/>
      </c>
      <c r="AD2774" s="10">
        <f>TEXT($G$2,"dd/mm/aaaa")</f>
        <v/>
      </c>
      <c r="AE2774" s="10">
        <f>REPT(" ",10)</f>
        <v/>
      </c>
      <c r="AF2774" s="10">
        <f>REPT(" ",20)</f>
        <v/>
      </c>
      <c r="AG2774" s="54">
        <f>REPT(" ",18-LEN(FIXED(F2774,2,TRUE)))&amp;FIXED(F2774,2,TRUE)</f>
        <v/>
      </c>
      <c r="AH2774" s="10">
        <f>LEN(AC2774)+LEN(AG2774)</f>
        <v/>
      </c>
      <c r="AI2774" s="10">
        <f>LEN(L2774)</f>
        <v/>
      </c>
    </row>
    <row r="2775">
      <c r="J2775" s="12">
        <f>IF(F2775&lt;&gt;0,"LANÇAR","")</f>
        <v/>
      </c>
      <c r="L2775" s="13">
        <f>N2775&amp;O2775&amp;P2775&amp;Q2775&amp;R2775&amp;S2775&amp;T2775&amp;U2775&amp;V2775&amp;W2775&amp;X2775&amp;Y2775&amp;Z2775&amp;AA2775&amp;AB2775&amp;AC2775&amp;AD2775&amp;AE2775&amp;AF2775&amp;AG2775</f>
        <v/>
      </c>
      <c r="N2775" s="10">
        <f>TEXT($B$6,"00")</f>
        <v/>
      </c>
      <c r="O2775" s="10">
        <f>REPT(" ",8)</f>
        <v/>
      </c>
      <c r="P2775" s="10">
        <f>RIGHT($B$4,2)</f>
        <v/>
      </c>
      <c r="Q2775" s="10">
        <f>RIGHT($B$5,3)</f>
        <v/>
      </c>
      <c r="R2775" s="10">
        <f>IF(A2775="D",LEFT(UPPER(B2775)&amp;REPT(" ",20),20),REPT(" ",20))</f>
        <v/>
      </c>
      <c r="S2775" s="10">
        <f>IF(A2775="D",LEFT(UPPER(C2775)&amp;REPT(" ",10),10)," ")</f>
        <v/>
      </c>
      <c r="T2775" s="10">
        <f>IF(A2775="D",LEFT(UPPER(D2775)&amp;REPT(" ",2),2)," ")</f>
        <v/>
      </c>
      <c r="U2775" s="10">
        <f>IF(A2775="D",LEFT(UPPER(E2775)&amp;REPT(" ",15),15)," ")</f>
        <v/>
      </c>
      <c r="V2775" s="10">
        <f>REPT(" ",24)</f>
        <v/>
      </c>
      <c r="W2775" s="10">
        <f>IF(A2775="c",LEFT(UPPER(B2775)&amp;REPT(" ",20),20),REPT(" ",20))</f>
        <v/>
      </c>
      <c r="X2775" s="10">
        <f>IF(A2775="C",LEFT(UPPER(C2775)&amp;REPT(" ",10),10)," ")</f>
        <v/>
      </c>
      <c r="Y2775" s="10">
        <f>IF(A2775="C",LEFT(UPPER(D2775)&amp;REPT(" ",2),2)," ")</f>
        <v/>
      </c>
      <c r="Z2775" s="10">
        <f>IF(A2775="C",LEFT(UPPER(E2775)&amp;REPT(" ",15),15)," ")</f>
        <v/>
      </c>
      <c r="AA2775" s="10">
        <f>REPT(" ",8)</f>
        <v/>
      </c>
      <c r="AB2775" s="10">
        <f>REPT(" ",4)</f>
        <v/>
      </c>
      <c r="AC2775" s="10">
        <f>LEFT(UPPER(H2775)&amp;REPT(" ",250),250)</f>
        <v/>
      </c>
      <c r="AD2775" s="10">
        <f>TEXT($G$2,"dd/mm/aaaa")</f>
        <v/>
      </c>
      <c r="AE2775" s="10">
        <f>REPT(" ",10)</f>
        <v/>
      </c>
      <c r="AF2775" s="10">
        <f>REPT(" ",20)</f>
        <v/>
      </c>
      <c r="AG2775" s="54">
        <f>REPT(" ",18-LEN(FIXED(F2775,2,TRUE)))&amp;FIXED(F2775,2,TRUE)</f>
        <v/>
      </c>
      <c r="AH2775" s="10">
        <f>LEN(AC2775)+LEN(AG2775)</f>
        <v/>
      </c>
      <c r="AI2775" s="10">
        <f>LEN(L2775)</f>
        <v/>
      </c>
    </row>
    <row r="2776">
      <c r="J2776" s="12">
        <f>IF(F2776&lt;&gt;0,"LANÇAR","")</f>
        <v/>
      </c>
      <c r="L2776" s="13">
        <f>N2776&amp;O2776&amp;P2776&amp;Q2776&amp;R2776&amp;S2776&amp;T2776&amp;U2776&amp;V2776&amp;W2776&amp;X2776&amp;Y2776&amp;Z2776&amp;AA2776&amp;AB2776&amp;AC2776&amp;AD2776&amp;AE2776&amp;AF2776&amp;AG2776</f>
        <v/>
      </c>
      <c r="N2776" s="10">
        <f>TEXT($B$6,"00")</f>
        <v/>
      </c>
      <c r="O2776" s="10">
        <f>REPT(" ",8)</f>
        <v/>
      </c>
      <c r="P2776" s="10">
        <f>RIGHT($B$4,2)</f>
        <v/>
      </c>
      <c r="Q2776" s="10">
        <f>RIGHT($B$5,3)</f>
        <v/>
      </c>
      <c r="R2776" s="10">
        <f>IF(A2776="D",LEFT(UPPER(B2776)&amp;REPT(" ",20),20),REPT(" ",20))</f>
        <v/>
      </c>
      <c r="S2776" s="10">
        <f>IF(A2776="D",LEFT(UPPER(C2776)&amp;REPT(" ",10),10)," ")</f>
        <v/>
      </c>
      <c r="T2776" s="10">
        <f>IF(A2776="D",LEFT(UPPER(D2776)&amp;REPT(" ",2),2)," ")</f>
        <v/>
      </c>
      <c r="U2776" s="10">
        <f>IF(A2776="D",LEFT(UPPER(E2776)&amp;REPT(" ",15),15)," ")</f>
        <v/>
      </c>
      <c r="V2776" s="10">
        <f>REPT(" ",24)</f>
        <v/>
      </c>
      <c r="W2776" s="10">
        <f>IF(A2776="c",LEFT(UPPER(B2776)&amp;REPT(" ",20),20),REPT(" ",20))</f>
        <v/>
      </c>
      <c r="X2776" s="10">
        <f>IF(A2776="C",LEFT(UPPER(C2776)&amp;REPT(" ",10),10)," ")</f>
        <v/>
      </c>
      <c r="Y2776" s="10">
        <f>IF(A2776="C",LEFT(UPPER(D2776)&amp;REPT(" ",2),2)," ")</f>
        <v/>
      </c>
      <c r="Z2776" s="10">
        <f>IF(A2776="C",LEFT(UPPER(E2776)&amp;REPT(" ",15),15)," ")</f>
        <v/>
      </c>
      <c r="AA2776" s="10">
        <f>REPT(" ",8)</f>
        <v/>
      </c>
      <c r="AB2776" s="10">
        <f>REPT(" ",4)</f>
        <v/>
      </c>
      <c r="AC2776" s="10">
        <f>LEFT(UPPER(H2776)&amp;REPT(" ",250),250)</f>
        <v/>
      </c>
      <c r="AD2776" s="10">
        <f>TEXT($G$2,"dd/mm/aaaa")</f>
        <v/>
      </c>
      <c r="AE2776" s="10">
        <f>REPT(" ",10)</f>
        <v/>
      </c>
      <c r="AF2776" s="10">
        <f>REPT(" ",20)</f>
        <v/>
      </c>
      <c r="AG2776" s="54">
        <f>REPT(" ",18-LEN(FIXED(F2776,2,TRUE)))&amp;FIXED(F2776,2,TRUE)</f>
        <v/>
      </c>
      <c r="AH2776" s="10">
        <f>LEN(AC2776)+LEN(AG2776)</f>
        <v/>
      </c>
      <c r="AI2776" s="10">
        <f>LEN(L2776)</f>
        <v/>
      </c>
    </row>
    <row r="2777">
      <c r="J2777" s="12">
        <f>IF(F2777&lt;&gt;0,"LANÇAR","")</f>
        <v/>
      </c>
      <c r="L2777" s="13">
        <f>N2777&amp;O2777&amp;P2777&amp;Q2777&amp;R2777&amp;S2777&amp;T2777&amp;U2777&amp;V2777&amp;W2777&amp;X2777&amp;Y2777&amp;Z2777&amp;AA2777&amp;AB2777&amp;AC2777&amp;AD2777&amp;AE2777&amp;AF2777&amp;AG2777</f>
        <v/>
      </c>
      <c r="N2777" s="10">
        <f>TEXT($B$6,"00")</f>
        <v/>
      </c>
      <c r="O2777" s="10">
        <f>REPT(" ",8)</f>
        <v/>
      </c>
      <c r="P2777" s="10">
        <f>RIGHT($B$4,2)</f>
        <v/>
      </c>
      <c r="Q2777" s="10">
        <f>RIGHT($B$5,3)</f>
        <v/>
      </c>
      <c r="R2777" s="10">
        <f>IF(A2777="D",LEFT(UPPER(B2777)&amp;REPT(" ",20),20),REPT(" ",20))</f>
        <v/>
      </c>
      <c r="S2777" s="10">
        <f>IF(A2777="D",LEFT(UPPER(C2777)&amp;REPT(" ",10),10)," ")</f>
        <v/>
      </c>
      <c r="T2777" s="10">
        <f>IF(A2777="D",LEFT(UPPER(D2777)&amp;REPT(" ",2),2)," ")</f>
        <v/>
      </c>
      <c r="U2777" s="10">
        <f>IF(A2777="D",LEFT(UPPER(E2777)&amp;REPT(" ",15),15)," ")</f>
        <v/>
      </c>
      <c r="V2777" s="10">
        <f>REPT(" ",24)</f>
        <v/>
      </c>
      <c r="W2777" s="10">
        <f>IF(A2777="c",LEFT(UPPER(B2777)&amp;REPT(" ",20),20),REPT(" ",20))</f>
        <v/>
      </c>
      <c r="X2777" s="10">
        <f>IF(A2777="C",LEFT(UPPER(C2777)&amp;REPT(" ",10),10)," ")</f>
        <v/>
      </c>
      <c r="Y2777" s="10">
        <f>IF(A2777="C",LEFT(UPPER(D2777)&amp;REPT(" ",2),2)," ")</f>
        <v/>
      </c>
      <c r="Z2777" s="10">
        <f>IF(A2777="C",LEFT(UPPER(E2777)&amp;REPT(" ",15),15)," ")</f>
        <v/>
      </c>
      <c r="AA2777" s="10">
        <f>REPT(" ",8)</f>
        <v/>
      </c>
      <c r="AB2777" s="10">
        <f>REPT(" ",4)</f>
        <v/>
      </c>
      <c r="AC2777" s="10">
        <f>LEFT(UPPER(H2777)&amp;REPT(" ",250),250)</f>
        <v/>
      </c>
      <c r="AD2777" s="10">
        <f>TEXT($G$2,"dd/mm/aaaa")</f>
        <v/>
      </c>
      <c r="AE2777" s="10">
        <f>REPT(" ",10)</f>
        <v/>
      </c>
      <c r="AF2777" s="10">
        <f>REPT(" ",20)</f>
        <v/>
      </c>
      <c r="AG2777" s="54">
        <f>REPT(" ",18-LEN(FIXED(F2777,2,TRUE)))&amp;FIXED(F2777,2,TRUE)</f>
        <v/>
      </c>
      <c r="AH2777" s="10">
        <f>LEN(AC2777)+LEN(AG2777)</f>
        <v/>
      </c>
      <c r="AI2777" s="10">
        <f>LEN(L2777)</f>
        <v/>
      </c>
    </row>
    <row r="2778">
      <c r="J2778" s="12">
        <f>IF(F2778&lt;&gt;0,"LANÇAR","")</f>
        <v/>
      </c>
      <c r="L2778" s="13">
        <f>N2778&amp;O2778&amp;P2778&amp;Q2778&amp;R2778&amp;S2778&amp;T2778&amp;U2778&amp;V2778&amp;W2778&amp;X2778&amp;Y2778&amp;Z2778&amp;AA2778&amp;AB2778&amp;AC2778&amp;AD2778&amp;AE2778&amp;AF2778&amp;AG2778</f>
        <v/>
      </c>
      <c r="N2778" s="10">
        <f>TEXT($B$6,"00")</f>
        <v/>
      </c>
      <c r="O2778" s="10">
        <f>REPT(" ",8)</f>
        <v/>
      </c>
      <c r="P2778" s="10">
        <f>RIGHT($B$4,2)</f>
        <v/>
      </c>
      <c r="Q2778" s="10">
        <f>RIGHT($B$5,3)</f>
        <v/>
      </c>
      <c r="R2778" s="10">
        <f>IF(A2778="D",LEFT(UPPER(B2778)&amp;REPT(" ",20),20),REPT(" ",20))</f>
        <v/>
      </c>
      <c r="S2778" s="10">
        <f>IF(A2778="D",LEFT(UPPER(C2778)&amp;REPT(" ",10),10)," ")</f>
        <v/>
      </c>
      <c r="T2778" s="10">
        <f>IF(A2778="D",LEFT(UPPER(D2778)&amp;REPT(" ",2),2)," ")</f>
        <v/>
      </c>
      <c r="U2778" s="10">
        <f>IF(A2778="D",LEFT(UPPER(E2778)&amp;REPT(" ",15),15)," ")</f>
        <v/>
      </c>
      <c r="V2778" s="10">
        <f>REPT(" ",24)</f>
        <v/>
      </c>
      <c r="W2778" s="10">
        <f>IF(A2778="c",LEFT(UPPER(B2778)&amp;REPT(" ",20),20),REPT(" ",20))</f>
        <v/>
      </c>
      <c r="X2778" s="10">
        <f>IF(A2778="C",LEFT(UPPER(C2778)&amp;REPT(" ",10),10)," ")</f>
        <v/>
      </c>
      <c r="Y2778" s="10">
        <f>IF(A2778="C",LEFT(UPPER(D2778)&amp;REPT(" ",2),2)," ")</f>
        <v/>
      </c>
      <c r="Z2778" s="10">
        <f>IF(A2778="C",LEFT(UPPER(E2778)&amp;REPT(" ",15),15)," ")</f>
        <v/>
      </c>
      <c r="AA2778" s="10">
        <f>REPT(" ",8)</f>
        <v/>
      </c>
      <c r="AB2778" s="10">
        <f>REPT(" ",4)</f>
        <v/>
      </c>
      <c r="AC2778" s="10">
        <f>LEFT(UPPER(H2778)&amp;REPT(" ",250),250)</f>
        <v/>
      </c>
      <c r="AD2778" s="10">
        <f>TEXT($G$2,"dd/mm/aaaa")</f>
        <v/>
      </c>
      <c r="AE2778" s="10">
        <f>REPT(" ",10)</f>
        <v/>
      </c>
      <c r="AF2778" s="10">
        <f>REPT(" ",20)</f>
        <v/>
      </c>
      <c r="AG2778" s="54">
        <f>REPT(" ",18-LEN(FIXED(F2778,2,TRUE)))&amp;FIXED(F2778,2,TRUE)</f>
        <v/>
      </c>
      <c r="AH2778" s="10">
        <f>LEN(AC2778)+LEN(AG2778)</f>
        <v/>
      </c>
      <c r="AI2778" s="10">
        <f>LEN(L2778)</f>
        <v/>
      </c>
    </row>
    <row r="2779">
      <c r="J2779" s="12">
        <f>IF(F2779&lt;&gt;0,"LANÇAR","")</f>
        <v/>
      </c>
      <c r="L2779" s="13">
        <f>N2779&amp;O2779&amp;P2779&amp;Q2779&amp;R2779&amp;S2779&amp;T2779&amp;U2779&amp;V2779&amp;W2779&amp;X2779&amp;Y2779&amp;Z2779&amp;AA2779&amp;AB2779&amp;AC2779&amp;AD2779&amp;AE2779&amp;AF2779&amp;AG2779</f>
        <v/>
      </c>
      <c r="N2779" s="10">
        <f>TEXT($B$6,"00")</f>
        <v/>
      </c>
      <c r="O2779" s="10">
        <f>REPT(" ",8)</f>
        <v/>
      </c>
      <c r="P2779" s="10">
        <f>RIGHT($B$4,2)</f>
        <v/>
      </c>
      <c r="Q2779" s="10">
        <f>RIGHT($B$5,3)</f>
        <v/>
      </c>
      <c r="R2779" s="10">
        <f>IF(A2779="D",LEFT(UPPER(B2779)&amp;REPT(" ",20),20),REPT(" ",20))</f>
        <v/>
      </c>
      <c r="S2779" s="10">
        <f>IF(A2779="D",LEFT(UPPER(C2779)&amp;REPT(" ",10),10)," ")</f>
        <v/>
      </c>
      <c r="T2779" s="10">
        <f>IF(A2779="D",LEFT(UPPER(D2779)&amp;REPT(" ",2),2)," ")</f>
        <v/>
      </c>
      <c r="U2779" s="10">
        <f>IF(A2779="D",LEFT(UPPER(E2779)&amp;REPT(" ",15),15)," ")</f>
        <v/>
      </c>
      <c r="V2779" s="10">
        <f>REPT(" ",24)</f>
        <v/>
      </c>
      <c r="W2779" s="10">
        <f>IF(A2779="c",LEFT(UPPER(B2779)&amp;REPT(" ",20),20),REPT(" ",20))</f>
        <v/>
      </c>
      <c r="X2779" s="10">
        <f>IF(A2779="C",LEFT(UPPER(C2779)&amp;REPT(" ",10),10)," ")</f>
        <v/>
      </c>
      <c r="Y2779" s="10">
        <f>IF(A2779="C",LEFT(UPPER(D2779)&amp;REPT(" ",2),2)," ")</f>
        <v/>
      </c>
      <c r="Z2779" s="10">
        <f>IF(A2779="C",LEFT(UPPER(E2779)&amp;REPT(" ",15),15)," ")</f>
        <v/>
      </c>
      <c r="AA2779" s="10">
        <f>REPT(" ",8)</f>
        <v/>
      </c>
      <c r="AB2779" s="10">
        <f>REPT(" ",4)</f>
        <v/>
      </c>
      <c r="AC2779" s="10">
        <f>LEFT(UPPER(H2779)&amp;REPT(" ",250),250)</f>
        <v/>
      </c>
      <c r="AD2779" s="10">
        <f>TEXT($G$2,"dd/mm/aaaa")</f>
        <v/>
      </c>
      <c r="AE2779" s="10">
        <f>REPT(" ",10)</f>
        <v/>
      </c>
      <c r="AF2779" s="10">
        <f>REPT(" ",20)</f>
        <v/>
      </c>
      <c r="AG2779" s="54">
        <f>REPT(" ",18-LEN(FIXED(F2779,2,TRUE)))&amp;FIXED(F2779,2,TRUE)</f>
        <v/>
      </c>
      <c r="AH2779" s="10">
        <f>LEN(AC2779)+LEN(AG2779)</f>
        <v/>
      </c>
      <c r="AI2779" s="10">
        <f>LEN(L2779)</f>
        <v/>
      </c>
    </row>
    <row r="2780">
      <c r="J2780" s="12">
        <f>IF(F2780&lt;&gt;0,"LANÇAR","")</f>
        <v/>
      </c>
      <c r="L2780" s="13">
        <f>N2780&amp;O2780&amp;P2780&amp;Q2780&amp;R2780&amp;S2780&amp;T2780&amp;U2780&amp;V2780&amp;W2780&amp;X2780&amp;Y2780&amp;Z2780&amp;AA2780&amp;AB2780&amp;AC2780&amp;AD2780&amp;AE2780&amp;AF2780&amp;AG2780</f>
        <v/>
      </c>
      <c r="N2780" s="10">
        <f>TEXT($B$6,"00")</f>
        <v/>
      </c>
      <c r="O2780" s="10">
        <f>REPT(" ",8)</f>
        <v/>
      </c>
      <c r="P2780" s="10">
        <f>RIGHT($B$4,2)</f>
        <v/>
      </c>
      <c r="Q2780" s="10">
        <f>RIGHT($B$5,3)</f>
        <v/>
      </c>
      <c r="R2780" s="10">
        <f>IF(A2780="D",LEFT(UPPER(B2780)&amp;REPT(" ",20),20),REPT(" ",20))</f>
        <v/>
      </c>
      <c r="S2780" s="10">
        <f>IF(A2780="D",LEFT(UPPER(C2780)&amp;REPT(" ",10),10)," ")</f>
        <v/>
      </c>
      <c r="T2780" s="10">
        <f>IF(A2780="D",LEFT(UPPER(D2780)&amp;REPT(" ",2),2)," ")</f>
        <v/>
      </c>
      <c r="U2780" s="10">
        <f>IF(A2780="D",LEFT(UPPER(E2780)&amp;REPT(" ",15),15)," ")</f>
        <v/>
      </c>
      <c r="V2780" s="10">
        <f>REPT(" ",24)</f>
        <v/>
      </c>
      <c r="W2780" s="10">
        <f>IF(A2780="c",LEFT(UPPER(B2780)&amp;REPT(" ",20),20),REPT(" ",20))</f>
        <v/>
      </c>
      <c r="X2780" s="10">
        <f>IF(A2780="C",LEFT(UPPER(C2780)&amp;REPT(" ",10),10)," ")</f>
        <v/>
      </c>
      <c r="Y2780" s="10">
        <f>IF(A2780="C",LEFT(UPPER(D2780)&amp;REPT(" ",2),2)," ")</f>
        <v/>
      </c>
      <c r="Z2780" s="10">
        <f>IF(A2780="C",LEFT(UPPER(E2780)&amp;REPT(" ",15),15)," ")</f>
        <v/>
      </c>
      <c r="AA2780" s="10">
        <f>REPT(" ",8)</f>
        <v/>
      </c>
      <c r="AB2780" s="10">
        <f>REPT(" ",4)</f>
        <v/>
      </c>
      <c r="AC2780" s="10">
        <f>LEFT(UPPER(H2780)&amp;REPT(" ",250),250)</f>
        <v/>
      </c>
      <c r="AD2780" s="10">
        <f>TEXT($G$2,"dd/mm/aaaa")</f>
        <v/>
      </c>
      <c r="AE2780" s="10">
        <f>REPT(" ",10)</f>
        <v/>
      </c>
      <c r="AF2780" s="10">
        <f>REPT(" ",20)</f>
        <v/>
      </c>
      <c r="AG2780" s="54">
        <f>REPT(" ",18-LEN(FIXED(F2780,2,TRUE)))&amp;FIXED(F2780,2,TRUE)</f>
        <v/>
      </c>
      <c r="AH2780" s="10">
        <f>LEN(AC2780)+LEN(AG2780)</f>
        <v/>
      </c>
      <c r="AI2780" s="10">
        <f>LEN(L2780)</f>
        <v/>
      </c>
    </row>
    <row r="2781">
      <c r="J2781" s="12">
        <f>IF(F2781&lt;&gt;0,"LANÇAR","")</f>
        <v/>
      </c>
      <c r="L2781" s="13">
        <f>N2781&amp;O2781&amp;P2781&amp;Q2781&amp;R2781&amp;S2781&amp;T2781&amp;U2781&amp;V2781&amp;W2781&amp;X2781&amp;Y2781&amp;Z2781&amp;AA2781&amp;AB2781&amp;AC2781&amp;AD2781&amp;AE2781&amp;AF2781&amp;AG2781</f>
        <v/>
      </c>
      <c r="N2781" s="10">
        <f>TEXT($B$6,"00")</f>
        <v/>
      </c>
      <c r="O2781" s="10">
        <f>REPT(" ",8)</f>
        <v/>
      </c>
      <c r="P2781" s="10">
        <f>RIGHT($B$4,2)</f>
        <v/>
      </c>
      <c r="Q2781" s="10">
        <f>RIGHT($B$5,3)</f>
        <v/>
      </c>
      <c r="R2781" s="10">
        <f>IF(A2781="D",LEFT(UPPER(B2781)&amp;REPT(" ",20),20),REPT(" ",20))</f>
        <v/>
      </c>
      <c r="S2781" s="10">
        <f>IF(A2781="D",LEFT(UPPER(C2781)&amp;REPT(" ",10),10)," ")</f>
        <v/>
      </c>
      <c r="T2781" s="10">
        <f>IF(A2781="D",LEFT(UPPER(D2781)&amp;REPT(" ",2),2)," ")</f>
        <v/>
      </c>
      <c r="U2781" s="10">
        <f>IF(A2781="D",LEFT(UPPER(E2781)&amp;REPT(" ",15),15)," ")</f>
        <v/>
      </c>
      <c r="V2781" s="10">
        <f>REPT(" ",24)</f>
        <v/>
      </c>
      <c r="W2781" s="10">
        <f>IF(A2781="c",LEFT(UPPER(B2781)&amp;REPT(" ",20),20),REPT(" ",20))</f>
        <v/>
      </c>
      <c r="X2781" s="10">
        <f>IF(A2781="C",LEFT(UPPER(C2781)&amp;REPT(" ",10),10)," ")</f>
        <v/>
      </c>
      <c r="Y2781" s="10">
        <f>IF(A2781="C",LEFT(UPPER(D2781)&amp;REPT(" ",2),2)," ")</f>
        <v/>
      </c>
      <c r="Z2781" s="10">
        <f>IF(A2781="C",LEFT(UPPER(E2781)&amp;REPT(" ",15),15)," ")</f>
        <v/>
      </c>
      <c r="AA2781" s="10">
        <f>REPT(" ",8)</f>
        <v/>
      </c>
      <c r="AB2781" s="10">
        <f>REPT(" ",4)</f>
        <v/>
      </c>
      <c r="AC2781" s="10">
        <f>LEFT(UPPER(H2781)&amp;REPT(" ",250),250)</f>
        <v/>
      </c>
      <c r="AD2781" s="10">
        <f>TEXT($G$2,"dd/mm/aaaa")</f>
        <v/>
      </c>
      <c r="AE2781" s="10">
        <f>REPT(" ",10)</f>
        <v/>
      </c>
      <c r="AF2781" s="10">
        <f>REPT(" ",20)</f>
        <v/>
      </c>
      <c r="AG2781" s="54">
        <f>REPT(" ",18-LEN(FIXED(F2781,2,TRUE)))&amp;FIXED(F2781,2,TRUE)</f>
        <v/>
      </c>
      <c r="AH2781" s="10">
        <f>LEN(AC2781)+LEN(AG2781)</f>
        <v/>
      </c>
      <c r="AI2781" s="10">
        <f>LEN(L2781)</f>
        <v/>
      </c>
    </row>
    <row r="2782">
      <c r="J2782" s="12">
        <f>IF(F2782&lt;&gt;0,"LANÇAR","")</f>
        <v/>
      </c>
      <c r="L2782" s="13">
        <f>N2782&amp;O2782&amp;P2782&amp;Q2782&amp;R2782&amp;S2782&amp;T2782&amp;U2782&amp;V2782&amp;W2782&amp;X2782&amp;Y2782&amp;Z2782&amp;AA2782&amp;AB2782&amp;AC2782&amp;AD2782&amp;AE2782&amp;AF2782&amp;AG2782</f>
        <v/>
      </c>
      <c r="N2782" s="10">
        <f>TEXT($B$6,"00")</f>
        <v/>
      </c>
      <c r="O2782" s="10">
        <f>REPT(" ",8)</f>
        <v/>
      </c>
      <c r="P2782" s="10">
        <f>RIGHT($B$4,2)</f>
        <v/>
      </c>
      <c r="Q2782" s="10">
        <f>RIGHT($B$5,3)</f>
        <v/>
      </c>
      <c r="R2782" s="10">
        <f>IF(A2782="D",LEFT(UPPER(B2782)&amp;REPT(" ",20),20),REPT(" ",20))</f>
        <v/>
      </c>
      <c r="S2782" s="10">
        <f>IF(A2782="D",LEFT(UPPER(C2782)&amp;REPT(" ",10),10)," ")</f>
        <v/>
      </c>
      <c r="T2782" s="10">
        <f>IF(A2782="D",LEFT(UPPER(D2782)&amp;REPT(" ",2),2)," ")</f>
        <v/>
      </c>
      <c r="U2782" s="10">
        <f>IF(A2782="D",LEFT(UPPER(E2782)&amp;REPT(" ",15),15)," ")</f>
        <v/>
      </c>
      <c r="V2782" s="10">
        <f>REPT(" ",24)</f>
        <v/>
      </c>
      <c r="W2782" s="10">
        <f>IF(A2782="c",LEFT(UPPER(B2782)&amp;REPT(" ",20),20),REPT(" ",20))</f>
        <v/>
      </c>
      <c r="X2782" s="10">
        <f>IF(A2782="C",LEFT(UPPER(C2782)&amp;REPT(" ",10),10)," ")</f>
        <v/>
      </c>
      <c r="Y2782" s="10">
        <f>IF(A2782="C",LEFT(UPPER(D2782)&amp;REPT(" ",2),2)," ")</f>
        <v/>
      </c>
      <c r="Z2782" s="10">
        <f>IF(A2782="C",LEFT(UPPER(E2782)&amp;REPT(" ",15),15)," ")</f>
        <v/>
      </c>
      <c r="AA2782" s="10">
        <f>REPT(" ",8)</f>
        <v/>
      </c>
      <c r="AB2782" s="10">
        <f>REPT(" ",4)</f>
        <v/>
      </c>
      <c r="AC2782" s="10">
        <f>LEFT(UPPER(H2782)&amp;REPT(" ",250),250)</f>
        <v/>
      </c>
      <c r="AD2782" s="10">
        <f>TEXT($G$2,"dd/mm/aaaa")</f>
        <v/>
      </c>
      <c r="AE2782" s="10">
        <f>REPT(" ",10)</f>
        <v/>
      </c>
      <c r="AF2782" s="10">
        <f>REPT(" ",20)</f>
        <v/>
      </c>
      <c r="AG2782" s="54">
        <f>REPT(" ",18-LEN(FIXED(F2782,2,TRUE)))&amp;FIXED(F2782,2,TRUE)</f>
        <v/>
      </c>
      <c r="AH2782" s="10">
        <f>LEN(AC2782)+LEN(AG2782)</f>
        <v/>
      </c>
      <c r="AI2782" s="10">
        <f>LEN(L2782)</f>
        <v/>
      </c>
    </row>
    <row r="2783">
      <c r="J2783" s="12">
        <f>IF(F2783&lt;&gt;0,"LANÇAR","")</f>
        <v/>
      </c>
      <c r="L2783" s="13">
        <f>N2783&amp;O2783&amp;P2783&amp;Q2783&amp;R2783&amp;S2783&amp;T2783&amp;U2783&amp;V2783&amp;W2783&amp;X2783&amp;Y2783&amp;Z2783&amp;AA2783&amp;AB2783&amp;AC2783&amp;AD2783&amp;AE2783&amp;AF2783&amp;AG2783</f>
        <v/>
      </c>
      <c r="N2783" s="10">
        <f>TEXT($B$6,"00")</f>
        <v/>
      </c>
      <c r="O2783" s="10">
        <f>REPT(" ",8)</f>
        <v/>
      </c>
      <c r="P2783" s="10">
        <f>RIGHT($B$4,2)</f>
        <v/>
      </c>
      <c r="Q2783" s="10">
        <f>RIGHT($B$5,3)</f>
        <v/>
      </c>
      <c r="R2783" s="10">
        <f>IF(A2783="D",LEFT(UPPER(B2783)&amp;REPT(" ",20),20),REPT(" ",20))</f>
        <v/>
      </c>
      <c r="S2783" s="10">
        <f>IF(A2783="D",LEFT(UPPER(C2783)&amp;REPT(" ",10),10)," ")</f>
        <v/>
      </c>
      <c r="T2783" s="10">
        <f>IF(A2783="D",LEFT(UPPER(D2783)&amp;REPT(" ",2),2)," ")</f>
        <v/>
      </c>
      <c r="U2783" s="10">
        <f>IF(A2783="D",LEFT(UPPER(E2783)&amp;REPT(" ",15),15)," ")</f>
        <v/>
      </c>
      <c r="V2783" s="10">
        <f>REPT(" ",24)</f>
        <v/>
      </c>
      <c r="W2783" s="10">
        <f>IF(A2783="c",LEFT(UPPER(B2783)&amp;REPT(" ",20),20),REPT(" ",20))</f>
        <v/>
      </c>
      <c r="X2783" s="10">
        <f>IF(A2783="C",LEFT(UPPER(C2783)&amp;REPT(" ",10),10)," ")</f>
        <v/>
      </c>
      <c r="Y2783" s="10">
        <f>IF(A2783="C",LEFT(UPPER(D2783)&amp;REPT(" ",2),2)," ")</f>
        <v/>
      </c>
      <c r="Z2783" s="10">
        <f>IF(A2783="C",LEFT(UPPER(E2783)&amp;REPT(" ",15),15)," ")</f>
        <v/>
      </c>
      <c r="AA2783" s="10">
        <f>REPT(" ",8)</f>
        <v/>
      </c>
      <c r="AB2783" s="10">
        <f>REPT(" ",4)</f>
        <v/>
      </c>
      <c r="AC2783" s="10">
        <f>LEFT(UPPER(H2783)&amp;REPT(" ",250),250)</f>
        <v/>
      </c>
      <c r="AD2783" s="10">
        <f>TEXT($G$2,"dd/mm/aaaa")</f>
        <v/>
      </c>
      <c r="AE2783" s="10">
        <f>REPT(" ",10)</f>
        <v/>
      </c>
      <c r="AF2783" s="10">
        <f>REPT(" ",20)</f>
        <v/>
      </c>
      <c r="AG2783" s="54">
        <f>REPT(" ",18-LEN(FIXED(F2783,2,TRUE)))&amp;FIXED(F2783,2,TRUE)</f>
        <v/>
      </c>
      <c r="AH2783" s="10">
        <f>LEN(AC2783)+LEN(AG2783)</f>
        <v/>
      </c>
      <c r="AI2783" s="10">
        <f>LEN(L2783)</f>
        <v/>
      </c>
    </row>
    <row r="2784">
      <c r="J2784" s="12">
        <f>IF(F2784&lt;&gt;0,"LANÇAR","")</f>
        <v/>
      </c>
      <c r="L2784" s="13">
        <f>N2784&amp;O2784&amp;P2784&amp;Q2784&amp;R2784&amp;S2784&amp;T2784&amp;U2784&amp;V2784&amp;W2784&amp;X2784&amp;Y2784&amp;Z2784&amp;AA2784&amp;AB2784&amp;AC2784&amp;AD2784&amp;AE2784&amp;AF2784&amp;AG2784</f>
        <v/>
      </c>
      <c r="N2784" s="10">
        <f>TEXT($B$6,"00")</f>
        <v/>
      </c>
      <c r="O2784" s="10">
        <f>REPT(" ",8)</f>
        <v/>
      </c>
      <c r="P2784" s="10">
        <f>RIGHT($B$4,2)</f>
        <v/>
      </c>
      <c r="Q2784" s="10">
        <f>RIGHT($B$5,3)</f>
        <v/>
      </c>
      <c r="R2784" s="10">
        <f>IF(A2784="D",LEFT(UPPER(B2784)&amp;REPT(" ",20),20),REPT(" ",20))</f>
        <v/>
      </c>
      <c r="S2784" s="10">
        <f>IF(A2784="D",LEFT(UPPER(C2784)&amp;REPT(" ",10),10)," ")</f>
        <v/>
      </c>
      <c r="T2784" s="10">
        <f>IF(A2784="D",LEFT(UPPER(D2784)&amp;REPT(" ",2),2)," ")</f>
        <v/>
      </c>
      <c r="U2784" s="10">
        <f>IF(A2784="D",LEFT(UPPER(E2784)&amp;REPT(" ",15),15)," ")</f>
        <v/>
      </c>
      <c r="V2784" s="10">
        <f>REPT(" ",24)</f>
        <v/>
      </c>
      <c r="W2784" s="10">
        <f>IF(A2784="c",LEFT(UPPER(B2784)&amp;REPT(" ",20),20),REPT(" ",20))</f>
        <v/>
      </c>
      <c r="X2784" s="10">
        <f>IF(A2784="C",LEFT(UPPER(C2784)&amp;REPT(" ",10),10)," ")</f>
        <v/>
      </c>
      <c r="Y2784" s="10">
        <f>IF(A2784="C",LEFT(UPPER(D2784)&amp;REPT(" ",2),2)," ")</f>
        <v/>
      </c>
      <c r="Z2784" s="10">
        <f>IF(A2784="C",LEFT(UPPER(E2784)&amp;REPT(" ",15),15)," ")</f>
        <v/>
      </c>
      <c r="AA2784" s="10">
        <f>REPT(" ",8)</f>
        <v/>
      </c>
      <c r="AB2784" s="10">
        <f>REPT(" ",4)</f>
        <v/>
      </c>
      <c r="AC2784" s="10">
        <f>LEFT(UPPER(H2784)&amp;REPT(" ",250),250)</f>
        <v/>
      </c>
      <c r="AD2784" s="10">
        <f>TEXT($G$2,"dd/mm/aaaa")</f>
        <v/>
      </c>
      <c r="AE2784" s="10">
        <f>REPT(" ",10)</f>
        <v/>
      </c>
      <c r="AF2784" s="10">
        <f>REPT(" ",20)</f>
        <v/>
      </c>
      <c r="AG2784" s="54">
        <f>REPT(" ",18-LEN(FIXED(F2784,2,TRUE)))&amp;FIXED(F2784,2,TRUE)</f>
        <v/>
      </c>
      <c r="AH2784" s="10">
        <f>LEN(AC2784)+LEN(AG2784)</f>
        <v/>
      </c>
      <c r="AI2784" s="10">
        <f>LEN(L2784)</f>
        <v/>
      </c>
    </row>
    <row r="2785">
      <c r="J2785" s="12">
        <f>IF(F2785&lt;&gt;0,"LANÇAR","")</f>
        <v/>
      </c>
      <c r="L2785" s="13">
        <f>N2785&amp;O2785&amp;P2785&amp;Q2785&amp;R2785&amp;S2785&amp;T2785&amp;U2785&amp;V2785&amp;W2785&amp;X2785&amp;Y2785&amp;Z2785&amp;AA2785&amp;AB2785&amp;AC2785&amp;AD2785&amp;AE2785&amp;AF2785&amp;AG2785</f>
        <v/>
      </c>
      <c r="N2785" s="10">
        <f>TEXT($B$6,"00")</f>
        <v/>
      </c>
      <c r="O2785" s="10">
        <f>REPT(" ",8)</f>
        <v/>
      </c>
      <c r="P2785" s="10">
        <f>RIGHT($B$4,2)</f>
        <v/>
      </c>
      <c r="Q2785" s="10">
        <f>RIGHT($B$5,3)</f>
        <v/>
      </c>
      <c r="R2785" s="10">
        <f>IF(A2785="D",LEFT(UPPER(B2785)&amp;REPT(" ",20),20),REPT(" ",20))</f>
        <v/>
      </c>
      <c r="S2785" s="10">
        <f>IF(A2785="D",LEFT(UPPER(C2785)&amp;REPT(" ",10),10)," ")</f>
        <v/>
      </c>
      <c r="T2785" s="10">
        <f>IF(A2785="D",LEFT(UPPER(D2785)&amp;REPT(" ",2),2)," ")</f>
        <v/>
      </c>
      <c r="U2785" s="10">
        <f>IF(A2785="D",LEFT(UPPER(E2785)&amp;REPT(" ",15),15)," ")</f>
        <v/>
      </c>
      <c r="V2785" s="10">
        <f>REPT(" ",24)</f>
        <v/>
      </c>
      <c r="W2785" s="10">
        <f>IF(A2785="c",LEFT(UPPER(B2785)&amp;REPT(" ",20),20),REPT(" ",20))</f>
        <v/>
      </c>
      <c r="X2785" s="10">
        <f>IF(A2785="C",LEFT(UPPER(C2785)&amp;REPT(" ",10),10)," ")</f>
        <v/>
      </c>
      <c r="Y2785" s="10">
        <f>IF(A2785="C",LEFT(UPPER(D2785)&amp;REPT(" ",2),2)," ")</f>
        <v/>
      </c>
      <c r="Z2785" s="10">
        <f>IF(A2785="C",LEFT(UPPER(E2785)&amp;REPT(" ",15),15)," ")</f>
        <v/>
      </c>
      <c r="AA2785" s="10">
        <f>REPT(" ",8)</f>
        <v/>
      </c>
      <c r="AB2785" s="10">
        <f>REPT(" ",4)</f>
        <v/>
      </c>
      <c r="AC2785" s="10">
        <f>LEFT(UPPER(H2785)&amp;REPT(" ",250),250)</f>
        <v/>
      </c>
      <c r="AD2785" s="10">
        <f>TEXT($G$2,"dd/mm/aaaa")</f>
        <v/>
      </c>
      <c r="AE2785" s="10">
        <f>REPT(" ",10)</f>
        <v/>
      </c>
      <c r="AF2785" s="10">
        <f>REPT(" ",20)</f>
        <v/>
      </c>
      <c r="AG2785" s="54">
        <f>REPT(" ",18-LEN(FIXED(F2785,2,TRUE)))&amp;FIXED(F2785,2,TRUE)</f>
        <v/>
      </c>
      <c r="AH2785" s="10">
        <f>LEN(AC2785)+LEN(AG2785)</f>
        <v/>
      </c>
      <c r="AI2785" s="10">
        <f>LEN(L2785)</f>
        <v/>
      </c>
    </row>
    <row r="2786">
      <c r="J2786" s="12">
        <f>IF(F2786&lt;&gt;0,"LANÇAR","")</f>
        <v/>
      </c>
      <c r="L2786" s="13">
        <f>N2786&amp;O2786&amp;P2786&amp;Q2786&amp;R2786&amp;S2786&amp;T2786&amp;U2786&amp;V2786&amp;W2786&amp;X2786&amp;Y2786&amp;Z2786&amp;AA2786&amp;AB2786&amp;AC2786&amp;AD2786&amp;AE2786&amp;AF2786&amp;AG2786</f>
        <v/>
      </c>
      <c r="N2786" s="10">
        <f>TEXT($B$6,"00")</f>
        <v/>
      </c>
      <c r="O2786" s="10">
        <f>REPT(" ",8)</f>
        <v/>
      </c>
      <c r="P2786" s="10">
        <f>RIGHT($B$4,2)</f>
        <v/>
      </c>
      <c r="Q2786" s="10">
        <f>RIGHT($B$5,3)</f>
        <v/>
      </c>
      <c r="R2786" s="10">
        <f>IF(A2786="D",LEFT(UPPER(B2786)&amp;REPT(" ",20),20),REPT(" ",20))</f>
        <v/>
      </c>
      <c r="S2786" s="10">
        <f>IF(A2786="D",LEFT(UPPER(C2786)&amp;REPT(" ",10),10)," ")</f>
        <v/>
      </c>
      <c r="T2786" s="10">
        <f>IF(A2786="D",LEFT(UPPER(D2786)&amp;REPT(" ",2),2)," ")</f>
        <v/>
      </c>
      <c r="U2786" s="10">
        <f>IF(A2786="D",LEFT(UPPER(E2786)&amp;REPT(" ",15),15)," ")</f>
        <v/>
      </c>
      <c r="V2786" s="10">
        <f>REPT(" ",24)</f>
        <v/>
      </c>
      <c r="W2786" s="10">
        <f>IF(A2786="c",LEFT(UPPER(B2786)&amp;REPT(" ",20),20),REPT(" ",20))</f>
        <v/>
      </c>
      <c r="X2786" s="10">
        <f>IF(A2786="C",LEFT(UPPER(C2786)&amp;REPT(" ",10),10)," ")</f>
        <v/>
      </c>
      <c r="Y2786" s="10">
        <f>IF(A2786="C",LEFT(UPPER(D2786)&amp;REPT(" ",2),2)," ")</f>
        <v/>
      </c>
      <c r="Z2786" s="10">
        <f>IF(A2786="C",LEFT(UPPER(E2786)&amp;REPT(" ",15),15)," ")</f>
        <v/>
      </c>
      <c r="AA2786" s="10">
        <f>REPT(" ",8)</f>
        <v/>
      </c>
      <c r="AB2786" s="10">
        <f>REPT(" ",4)</f>
        <v/>
      </c>
      <c r="AC2786" s="10">
        <f>LEFT(UPPER(H2786)&amp;REPT(" ",250),250)</f>
        <v/>
      </c>
      <c r="AD2786" s="10">
        <f>TEXT($G$2,"dd/mm/aaaa")</f>
        <v/>
      </c>
      <c r="AE2786" s="10">
        <f>REPT(" ",10)</f>
        <v/>
      </c>
      <c r="AF2786" s="10">
        <f>REPT(" ",20)</f>
        <v/>
      </c>
      <c r="AG2786" s="54">
        <f>REPT(" ",18-LEN(FIXED(F2786,2,TRUE)))&amp;FIXED(F2786,2,TRUE)</f>
        <v/>
      </c>
      <c r="AH2786" s="10">
        <f>LEN(AC2786)+LEN(AG2786)</f>
        <v/>
      </c>
      <c r="AI2786" s="10">
        <f>LEN(L2786)</f>
        <v/>
      </c>
    </row>
    <row r="2787">
      <c r="J2787" s="12">
        <f>IF(F2787&lt;&gt;0,"LANÇAR","")</f>
        <v/>
      </c>
      <c r="L2787" s="13">
        <f>N2787&amp;O2787&amp;P2787&amp;Q2787&amp;R2787&amp;S2787&amp;T2787&amp;U2787&amp;V2787&amp;W2787&amp;X2787&amp;Y2787&amp;Z2787&amp;AA2787&amp;AB2787&amp;AC2787&amp;AD2787&amp;AE2787&amp;AF2787&amp;AG2787</f>
        <v/>
      </c>
      <c r="N2787" s="10">
        <f>TEXT($B$6,"00")</f>
        <v/>
      </c>
      <c r="O2787" s="10">
        <f>REPT(" ",8)</f>
        <v/>
      </c>
      <c r="P2787" s="10">
        <f>RIGHT($B$4,2)</f>
        <v/>
      </c>
      <c r="Q2787" s="10">
        <f>RIGHT($B$5,3)</f>
        <v/>
      </c>
      <c r="R2787" s="10">
        <f>IF(A2787="D",LEFT(UPPER(B2787)&amp;REPT(" ",20),20),REPT(" ",20))</f>
        <v/>
      </c>
      <c r="S2787" s="10">
        <f>IF(A2787="D",LEFT(UPPER(C2787)&amp;REPT(" ",10),10)," ")</f>
        <v/>
      </c>
      <c r="T2787" s="10">
        <f>IF(A2787="D",LEFT(UPPER(D2787)&amp;REPT(" ",2),2)," ")</f>
        <v/>
      </c>
      <c r="U2787" s="10">
        <f>IF(A2787="D",LEFT(UPPER(E2787)&amp;REPT(" ",15),15)," ")</f>
        <v/>
      </c>
      <c r="V2787" s="10">
        <f>REPT(" ",24)</f>
        <v/>
      </c>
      <c r="W2787" s="10">
        <f>IF(A2787="c",LEFT(UPPER(B2787)&amp;REPT(" ",20),20),REPT(" ",20))</f>
        <v/>
      </c>
      <c r="X2787" s="10">
        <f>IF(A2787="C",LEFT(UPPER(C2787)&amp;REPT(" ",10),10)," ")</f>
        <v/>
      </c>
      <c r="Y2787" s="10">
        <f>IF(A2787="C",LEFT(UPPER(D2787)&amp;REPT(" ",2),2)," ")</f>
        <v/>
      </c>
      <c r="Z2787" s="10">
        <f>IF(A2787="C",LEFT(UPPER(E2787)&amp;REPT(" ",15),15)," ")</f>
        <v/>
      </c>
      <c r="AA2787" s="10">
        <f>REPT(" ",8)</f>
        <v/>
      </c>
      <c r="AB2787" s="10">
        <f>REPT(" ",4)</f>
        <v/>
      </c>
      <c r="AC2787" s="10">
        <f>LEFT(UPPER(H2787)&amp;REPT(" ",250),250)</f>
        <v/>
      </c>
      <c r="AD2787" s="10">
        <f>TEXT($G$2,"dd/mm/aaaa")</f>
        <v/>
      </c>
      <c r="AE2787" s="10">
        <f>REPT(" ",10)</f>
        <v/>
      </c>
      <c r="AF2787" s="10">
        <f>REPT(" ",20)</f>
        <v/>
      </c>
      <c r="AG2787" s="54">
        <f>REPT(" ",18-LEN(FIXED(F2787,2,TRUE)))&amp;FIXED(F2787,2,TRUE)</f>
        <v/>
      </c>
      <c r="AH2787" s="10">
        <f>LEN(AC2787)+LEN(AG2787)</f>
        <v/>
      </c>
      <c r="AI2787" s="10">
        <f>LEN(L2787)</f>
        <v/>
      </c>
    </row>
    <row r="2788">
      <c r="J2788" s="12">
        <f>IF(F2788&lt;&gt;0,"LANÇAR","")</f>
        <v/>
      </c>
      <c r="L2788" s="13">
        <f>N2788&amp;O2788&amp;P2788&amp;Q2788&amp;R2788&amp;S2788&amp;T2788&amp;U2788&amp;V2788&amp;W2788&amp;X2788&amp;Y2788&amp;Z2788&amp;AA2788&amp;AB2788&amp;AC2788&amp;AD2788&amp;AE2788&amp;AF2788&amp;AG2788</f>
        <v/>
      </c>
      <c r="N2788" s="10">
        <f>TEXT($B$6,"00")</f>
        <v/>
      </c>
      <c r="O2788" s="10">
        <f>REPT(" ",8)</f>
        <v/>
      </c>
      <c r="P2788" s="10">
        <f>RIGHT($B$4,2)</f>
        <v/>
      </c>
      <c r="Q2788" s="10">
        <f>RIGHT($B$5,3)</f>
        <v/>
      </c>
      <c r="R2788" s="10">
        <f>IF(A2788="D",LEFT(UPPER(B2788)&amp;REPT(" ",20),20),REPT(" ",20))</f>
        <v/>
      </c>
      <c r="S2788" s="10">
        <f>IF(A2788="D",LEFT(UPPER(C2788)&amp;REPT(" ",10),10)," ")</f>
        <v/>
      </c>
      <c r="T2788" s="10">
        <f>IF(A2788="D",LEFT(UPPER(D2788)&amp;REPT(" ",2),2)," ")</f>
        <v/>
      </c>
      <c r="U2788" s="10">
        <f>IF(A2788="D",LEFT(UPPER(E2788)&amp;REPT(" ",15),15)," ")</f>
        <v/>
      </c>
      <c r="V2788" s="10">
        <f>REPT(" ",24)</f>
        <v/>
      </c>
      <c r="W2788" s="10">
        <f>IF(A2788="c",LEFT(UPPER(B2788)&amp;REPT(" ",20),20),REPT(" ",20))</f>
        <v/>
      </c>
      <c r="X2788" s="10">
        <f>IF(A2788="C",LEFT(UPPER(C2788)&amp;REPT(" ",10),10)," ")</f>
        <v/>
      </c>
      <c r="Y2788" s="10">
        <f>IF(A2788="C",LEFT(UPPER(D2788)&amp;REPT(" ",2),2)," ")</f>
        <v/>
      </c>
      <c r="Z2788" s="10">
        <f>IF(A2788="C",LEFT(UPPER(E2788)&amp;REPT(" ",15),15)," ")</f>
        <v/>
      </c>
      <c r="AA2788" s="10">
        <f>REPT(" ",8)</f>
        <v/>
      </c>
      <c r="AB2788" s="10">
        <f>REPT(" ",4)</f>
        <v/>
      </c>
      <c r="AC2788" s="10">
        <f>LEFT(UPPER(H2788)&amp;REPT(" ",250),250)</f>
        <v/>
      </c>
      <c r="AD2788" s="10">
        <f>TEXT($G$2,"dd/mm/aaaa")</f>
        <v/>
      </c>
      <c r="AE2788" s="10">
        <f>REPT(" ",10)</f>
        <v/>
      </c>
      <c r="AF2788" s="10">
        <f>REPT(" ",20)</f>
        <v/>
      </c>
      <c r="AG2788" s="54">
        <f>REPT(" ",18-LEN(FIXED(F2788,2,TRUE)))&amp;FIXED(F2788,2,TRUE)</f>
        <v/>
      </c>
      <c r="AH2788" s="10">
        <f>LEN(AC2788)+LEN(AG2788)</f>
        <v/>
      </c>
      <c r="AI2788" s="10">
        <f>LEN(L2788)</f>
        <v/>
      </c>
    </row>
    <row r="2789">
      <c r="J2789" s="12">
        <f>IF(F2789&lt;&gt;0,"LANÇAR","")</f>
        <v/>
      </c>
      <c r="L2789" s="13">
        <f>N2789&amp;O2789&amp;P2789&amp;Q2789&amp;R2789&amp;S2789&amp;T2789&amp;U2789&amp;V2789&amp;W2789&amp;X2789&amp;Y2789&amp;Z2789&amp;AA2789&amp;AB2789&amp;AC2789&amp;AD2789&amp;AE2789&amp;AF2789&amp;AG2789</f>
        <v/>
      </c>
      <c r="N2789" s="10">
        <f>TEXT($B$6,"00")</f>
        <v/>
      </c>
      <c r="O2789" s="10">
        <f>REPT(" ",8)</f>
        <v/>
      </c>
      <c r="P2789" s="10">
        <f>RIGHT($B$4,2)</f>
        <v/>
      </c>
      <c r="Q2789" s="10">
        <f>RIGHT($B$5,3)</f>
        <v/>
      </c>
      <c r="R2789" s="10">
        <f>IF(A2789="D",LEFT(UPPER(B2789)&amp;REPT(" ",20),20),REPT(" ",20))</f>
        <v/>
      </c>
      <c r="S2789" s="10">
        <f>IF(A2789="D",LEFT(UPPER(C2789)&amp;REPT(" ",10),10)," ")</f>
        <v/>
      </c>
      <c r="T2789" s="10">
        <f>IF(A2789="D",LEFT(UPPER(D2789)&amp;REPT(" ",2),2)," ")</f>
        <v/>
      </c>
      <c r="U2789" s="10">
        <f>IF(A2789="D",LEFT(UPPER(E2789)&amp;REPT(" ",15),15)," ")</f>
        <v/>
      </c>
      <c r="V2789" s="10">
        <f>REPT(" ",24)</f>
        <v/>
      </c>
      <c r="W2789" s="10">
        <f>IF(A2789="c",LEFT(UPPER(B2789)&amp;REPT(" ",20),20),REPT(" ",20))</f>
        <v/>
      </c>
      <c r="X2789" s="10">
        <f>IF(A2789="C",LEFT(UPPER(C2789)&amp;REPT(" ",10),10)," ")</f>
        <v/>
      </c>
      <c r="Y2789" s="10">
        <f>IF(A2789="C",LEFT(UPPER(D2789)&amp;REPT(" ",2),2)," ")</f>
        <v/>
      </c>
      <c r="Z2789" s="10">
        <f>IF(A2789="C",LEFT(UPPER(E2789)&amp;REPT(" ",15),15)," ")</f>
        <v/>
      </c>
      <c r="AA2789" s="10">
        <f>REPT(" ",8)</f>
        <v/>
      </c>
      <c r="AB2789" s="10">
        <f>REPT(" ",4)</f>
        <v/>
      </c>
      <c r="AC2789" s="10">
        <f>LEFT(UPPER(H2789)&amp;REPT(" ",250),250)</f>
        <v/>
      </c>
      <c r="AD2789" s="10">
        <f>TEXT($G$2,"dd/mm/aaaa")</f>
        <v/>
      </c>
      <c r="AE2789" s="10">
        <f>REPT(" ",10)</f>
        <v/>
      </c>
      <c r="AF2789" s="10">
        <f>REPT(" ",20)</f>
        <v/>
      </c>
      <c r="AG2789" s="54">
        <f>REPT(" ",18-LEN(FIXED(F2789,2,TRUE)))&amp;FIXED(F2789,2,TRUE)</f>
        <v/>
      </c>
      <c r="AH2789" s="10">
        <f>LEN(AC2789)+LEN(AG2789)</f>
        <v/>
      </c>
      <c r="AI2789" s="10">
        <f>LEN(L2789)</f>
        <v/>
      </c>
    </row>
    <row r="2790">
      <c r="J2790" s="12">
        <f>IF(F2790&lt;&gt;0,"LANÇAR","")</f>
        <v/>
      </c>
      <c r="L2790" s="13">
        <f>N2790&amp;O2790&amp;P2790&amp;Q2790&amp;R2790&amp;S2790&amp;T2790&amp;U2790&amp;V2790&amp;W2790&amp;X2790&amp;Y2790&amp;Z2790&amp;AA2790&amp;AB2790&amp;AC2790&amp;AD2790&amp;AE2790&amp;AF2790&amp;AG2790</f>
        <v/>
      </c>
      <c r="N2790" s="10">
        <f>TEXT($B$6,"00")</f>
        <v/>
      </c>
      <c r="O2790" s="10">
        <f>REPT(" ",8)</f>
        <v/>
      </c>
      <c r="P2790" s="10">
        <f>RIGHT($B$4,2)</f>
        <v/>
      </c>
      <c r="Q2790" s="10">
        <f>RIGHT($B$5,3)</f>
        <v/>
      </c>
      <c r="R2790" s="10">
        <f>IF(A2790="D",LEFT(UPPER(B2790)&amp;REPT(" ",20),20),REPT(" ",20))</f>
        <v/>
      </c>
      <c r="S2790" s="10">
        <f>IF(A2790="D",LEFT(UPPER(C2790)&amp;REPT(" ",10),10)," ")</f>
        <v/>
      </c>
      <c r="T2790" s="10">
        <f>IF(A2790="D",LEFT(UPPER(D2790)&amp;REPT(" ",2),2)," ")</f>
        <v/>
      </c>
      <c r="U2790" s="10">
        <f>IF(A2790="D",LEFT(UPPER(E2790)&amp;REPT(" ",15),15)," ")</f>
        <v/>
      </c>
      <c r="V2790" s="10">
        <f>REPT(" ",24)</f>
        <v/>
      </c>
      <c r="W2790" s="10">
        <f>IF(A2790="c",LEFT(UPPER(B2790)&amp;REPT(" ",20),20),REPT(" ",20))</f>
        <v/>
      </c>
      <c r="X2790" s="10">
        <f>IF(A2790="C",LEFT(UPPER(C2790)&amp;REPT(" ",10),10)," ")</f>
        <v/>
      </c>
      <c r="Y2790" s="10">
        <f>IF(A2790="C",LEFT(UPPER(D2790)&amp;REPT(" ",2),2)," ")</f>
        <v/>
      </c>
      <c r="Z2790" s="10">
        <f>IF(A2790="C",LEFT(UPPER(E2790)&amp;REPT(" ",15),15)," ")</f>
        <v/>
      </c>
      <c r="AA2790" s="10">
        <f>REPT(" ",8)</f>
        <v/>
      </c>
      <c r="AB2790" s="10">
        <f>REPT(" ",4)</f>
        <v/>
      </c>
      <c r="AC2790" s="10">
        <f>LEFT(UPPER(H2790)&amp;REPT(" ",250),250)</f>
        <v/>
      </c>
      <c r="AD2790" s="10">
        <f>TEXT($G$2,"dd/mm/aaaa")</f>
        <v/>
      </c>
      <c r="AE2790" s="10">
        <f>REPT(" ",10)</f>
        <v/>
      </c>
      <c r="AF2790" s="10">
        <f>REPT(" ",20)</f>
        <v/>
      </c>
      <c r="AG2790" s="54">
        <f>REPT(" ",18-LEN(FIXED(F2790,2,TRUE)))&amp;FIXED(F2790,2,TRUE)</f>
        <v/>
      </c>
      <c r="AH2790" s="10">
        <f>LEN(AC2790)+LEN(AG2790)</f>
        <v/>
      </c>
      <c r="AI2790" s="10">
        <f>LEN(L2790)</f>
        <v/>
      </c>
    </row>
    <row r="2791">
      <c r="J2791" s="12">
        <f>IF(F2791&lt;&gt;0,"LANÇAR","")</f>
        <v/>
      </c>
      <c r="L2791" s="13">
        <f>N2791&amp;O2791&amp;P2791&amp;Q2791&amp;R2791&amp;S2791&amp;T2791&amp;U2791&amp;V2791&amp;W2791&amp;X2791&amp;Y2791&amp;Z2791&amp;AA2791&amp;AB2791&amp;AC2791&amp;AD2791&amp;AE2791&amp;AF2791&amp;AG2791</f>
        <v/>
      </c>
      <c r="N2791" s="10">
        <f>TEXT($B$6,"00")</f>
        <v/>
      </c>
      <c r="O2791" s="10">
        <f>REPT(" ",8)</f>
        <v/>
      </c>
      <c r="P2791" s="10">
        <f>RIGHT($B$4,2)</f>
        <v/>
      </c>
      <c r="Q2791" s="10">
        <f>RIGHT($B$5,3)</f>
        <v/>
      </c>
      <c r="R2791" s="10">
        <f>IF(A2791="D",LEFT(UPPER(B2791)&amp;REPT(" ",20),20),REPT(" ",20))</f>
        <v/>
      </c>
      <c r="S2791" s="10">
        <f>IF(A2791="D",LEFT(UPPER(C2791)&amp;REPT(" ",10),10)," ")</f>
        <v/>
      </c>
      <c r="T2791" s="10">
        <f>IF(A2791="D",LEFT(UPPER(D2791)&amp;REPT(" ",2),2)," ")</f>
        <v/>
      </c>
      <c r="U2791" s="10">
        <f>IF(A2791="D",LEFT(UPPER(E2791)&amp;REPT(" ",15),15)," ")</f>
        <v/>
      </c>
      <c r="V2791" s="10">
        <f>REPT(" ",24)</f>
        <v/>
      </c>
      <c r="W2791" s="10">
        <f>IF(A2791="c",LEFT(UPPER(B2791)&amp;REPT(" ",20),20),REPT(" ",20))</f>
        <v/>
      </c>
      <c r="X2791" s="10">
        <f>IF(A2791="C",LEFT(UPPER(C2791)&amp;REPT(" ",10),10)," ")</f>
        <v/>
      </c>
      <c r="Y2791" s="10">
        <f>IF(A2791="C",LEFT(UPPER(D2791)&amp;REPT(" ",2),2)," ")</f>
        <v/>
      </c>
      <c r="Z2791" s="10">
        <f>IF(A2791="C",LEFT(UPPER(E2791)&amp;REPT(" ",15),15)," ")</f>
        <v/>
      </c>
      <c r="AA2791" s="10">
        <f>REPT(" ",8)</f>
        <v/>
      </c>
      <c r="AB2791" s="10">
        <f>REPT(" ",4)</f>
        <v/>
      </c>
      <c r="AC2791" s="10">
        <f>LEFT(UPPER(H2791)&amp;REPT(" ",250),250)</f>
        <v/>
      </c>
      <c r="AD2791" s="10">
        <f>TEXT($G$2,"dd/mm/aaaa")</f>
        <v/>
      </c>
      <c r="AE2791" s="10">
        <f>REPT(" ",10)</f>
        <v/>
      </c>
      <c r="AF2791" s="10">
        <f>REPT(" ",20)</f>
        <v/>
      </c>
      <c r="AG2791" s="54">
        <f>REPT(" ",18-LEN(FIXED(F2791,2,TRUE)))&amp;FIXED(F2791,2,TRUE)</f>
        <v/>
      </c>
      <c r="AH2791" s="10">
        <f>LEN(AC2791)+LEN(AG2791)</f>
        <v/>
      </c>
      <c r="AI2791" s="10">
        <f>LEN(L2791)</f>
        <v/>
      </c>
    </row>
    <row r="2792">
      <c r="J2792" s="12">
        <f>IF(F2792&lt;&gt;0,"LANÇAR","")</f>
        <v/>
      </c>
      <c r="L2792" s="13">
        <f>N2792&amp;O2792&amp;P2792&amp;Q2792&amp;R2792&amp;S2792&amp;T2792&amp;U2792&amp;V2792&amp;W2792&amp;X2792&amp;Y2792&amp;Z2792&amp;AA2792&amp;AB2792&amp;AC2792&amp;AD2792&amp;AE2792&amp;AF2792&amp;AG2792</f>
        <v/>
      </c>
      <c r="N2792" s="10">
        <f>TEXT($B$6,"00")</f>
        <v/>
      </c>
      <c r="O2792" s="10">
        <f>REPT(" ",8)</f>
        <v/>
      </c>
      <c r="P2792" s="10">
        <f>RIGHT($B$4,2)</f>
        <v/>
      </c>
      <c r="Q2792" s="10">
        <f>RIGHT($B$5,3)</f>
        <v/>
      </c>
      <c r="R2792" s="10">
        <f>IF(A2792="D",LEFT(UPPER(B2792)&amp;REPT(" ",20),20),REPT(" ",20))</f>
        <v/>
      </c>
      <c r="S2792" s="10">
        <f>IF(A2792="D",LEFT(UPPER(C2792)&amp;REPT(" ",10),10)," ")</f>
        <v/>
      </c>
      <c r="T2792" s="10">
        <f>IF(A2792="D",LEFT(UPPER(D2792)&amp;REPT(" ",2),2)," ")</f>
        <v/>
      </c>
      <c r="U2792" s="10">
        <f>IF(A2792="D",LEFT(UPPER(E2792)&amp;REPT(" ",15),15)," ")</f>
        <v/>
      </c>
      <c r="V2792" s="10">
        <f>REPT(" ",24)</f>
        <v/>
      </c>
      <c r="W2792" s="10">
        <f>IF(A2792="c",LEFT(UPPER(B2792)&amp;REPT(" ",20),20),REPT(" ",20))</f>
        <v/>
      </c>
      <c r="X2792" s="10">
        <f>IF(A2792="C",LEFT(UPPER(C2792)&amp;REPT(" ",10),10)," ")</f>
        <v/>
      </c>
      <c r="Y2792" s="10">
        <f>IF(A2792="C",LEFT(UPPER(D2792)&amp;REPT(" ",2),2)," ")</f>
        <v/>
      </c>
      <c r="Z2792" s="10">
        <f>IF(A2792="C",LEFT(UPPER(E2792)&amp;REPT(" ",15),15)," ")</f>
        <v/>
      </c>
      <c r="AA2792" s="10">
        <f>REPT(" ",8)</f>
        <v/>
      </c>
      <c r="AB2792" s="10">
        <f>REPT(" ",4)</f>
        <v/>
      </c>
      <c r="AC2792" s="10">
        <f>LEFT(UPPER(H2792)&amp;REPT(" ",250),250)</f>
        <v/>
      </c>
      <c r="AD2792" s="10">
        <f>TEXT($G$2,"dd/mm/aaaa")</f>
        <v/>
      </c>
      <c r="AE2792" s="10">
        <f>REPT(" ",10)</f>
        <v/>
      </c>
      <c r="AF2792" s="10">
        <f>REPT(" ",20)</f>
        <v/>
      </c>
      <c r="AG2792" s="54">
        <f>REPT(" ",18-LEN(FIXED(F2792,2,TRUE)))&amp;FIXED(F2792,2,TRUE)</f>
        <v/>
      </c>
      <c r="AH2792" s="10">
        <f>LEN(AC2792)+LEN(AG2792)</f>
        <v/>
      </c>
      <c r="AI2792" s="10">
        <f>LEN(L2792)</f>
        <v/>
      </c>
    </row>
    <row r="2793">
      <c r="J2793" s="12">
        <f>IF(F2793&lt;&gt;0,"LANÇAR","")</f>
        <v/>
      </c>
      <c r="L2793" s="13">
        <f>N2793&amp;O2793&amp;P2793&amp;Q2793&amp;R2793&amp;S2793&amp;T2793&amp;U2793&amp;V2793&amp;W2793&amp;X2793&amp;Y2793&amp;Z2793&amp;AA2793&amp;AB2793&amp;AC2793&amp;AD2793&amp;AE2793&amp;AF2793&amp;AG2793</f>
        <v/>
      </c>
      <c r="N2793" s="10">
        <f>TEXT($B$6,"00")</f>
        <v/>
      </c>
      <c r="O2793" s="10">
        <f>REPT(" ",8)</f>
        <v/>
      </c>
      <c r="P2793" s="10">
        <f>RIGHT($B$4,2)</f>
        <v/>
      </c>
      <c r="Q2793" s="10">
        <f>RIGHT($B$5,3)</f>
        <v/>
      </c>
      <c r="R2793" s="10">
        <f>IF(A2793="D",LEFT(UPPER(B2793)&amp;REPT(" ",20),20),REPT(" ",20))</f>
        <v/>
      </c>
      <c r="S2793" s="10">
        <f>IF(A2793="D",LEFT(UPPER(C2793)&amp;REPT(" ",10),10)," ")</f>
        <v/>
      </c>
      <c r="T2793" s="10">
        <f>IF(A2793="D",LEFT(UPPER(D2793)&amp;REPT(" ",2),2)," ")</f>
        <v/>
      </c>
      <c r="U2793" s="10">
        <f>IF(A2793="D",LEFT(UPPER(E2793)&amp;REPT(" ",15),15)," ")</f>
        <v/>
      </c>
      <c r="V2793" s="10">
        <f>REPT(" ",24)</f>
        <v/>
      </c>
      <c r="W2793" s="10">
        <f>IF(A2793="c",LEFT(UPPER(B2793)&amp;REPT(" ",20),20),REPT(" ",20))</f>
        <v/>
      </c>
      <c r="X2793" s="10">
        <f>IF(A2793="C",LEFT(UPPER(C2793)&amp;REPT(" ",10),10)," ")</f>
        <v/>
      </c>
      <c r="Y2793" s="10">
        <f>IF(A2793="C",LEFT(UPPER(D2793)&amp;REPT(" ",2),2)," ")</f>
        <v/>
      </c>
      <c r="Z2793" s="10">
        <f>IF(A2793="C",LEFT(UPPER(E2793)&amp;REPT(" ",15),15)," ")</f>
        <v/>
      </c>
      <c r="AA2793" s="10">
        <f>REPT(" ",8)</f>
        <v/>
      </c>
      <c r="AB2793" s="10">
        <f>REPT(" ",4)</f>
        <v/>
      </c>
      <c r="AC2793" s="10">
        <f>LEFT(UPPER(H2793)&amp;REPT(" ",250),250)</f>
        <v/>
      </c>
      <c r="AD2793" s="10">
        <f>TEXT($G$2,"dd/mm/aaaa")</f>
        <v/>
      </c>
      <c r="AE2793" s="10">
        <f>REPT(" ",10)</f>
        <v/>
      </c>
      <c r="AF2793" s="10">
        <f>REPT(" ",20)</f>
        <v/>
      </c>
      <c r="AG2793" s="54">
        <f>REPT(" ",18-LEN(FIXED(F2793,2,TRUE)))&amp;FIXED(F2793,2,TRUE)</f>
        <v/>
      </c>
      <c r="AH2793" s="10">
        <f>LEN(AC2793)+LEN(AG2793)</f>
        <v/>
      </c>
      <c r="AI2793" s="10">
        <f>LEN(L2793)</f>
        <v/>
      </c>
    </row>
    <row r="2794">
      <c r="J2794" s="12">
        <f>IF(F2794&lt;&gt;0,"LANÇAR","")</f>
        <v/>
      </c>
      <c r="L2794" s="13">
        <f>N2794&amp;O2794&amp;P2794&amp;Q2794&amp;R2794&amp;S2794&amp;T2794&amp;U2794&amp;V2794&amp;W2794&amp;X2794&amp;Y2794&amp;Z2794&amp;AA2794&amp;AB2794&amp;AC2794&amp;AD2794&amp;AE2794&amp;AF2794&amp;AG2794</f>
        <v/>
      </c>
      <c r="N2794" s="10">
        <f>TEXT($B$6,"00")</f>
        <v/>
      </c>
      <c r="O2794" s="10">
        <f>REPT(" ",8)</f>
        <v/>
      </c>
      <c r="P2794" s="10">
        <f>RIGHT($B$4,2)</f>
        <v/>
      </c>
      <c r="Q2794" s="10">
        <f>RIGHT($B$5,3)</f>
        <v/>
      </c>
      <c r="R2794" s="10">
        <f>IF(A2794="D",LEFT(UPPER(B2794)&amp;REPT(" ",20),20),REPT(" ",20))</f>
        <v/>
      </c>
      <c r="S2794" s="10">
        <f>IF(A2794="D",LEFT(UPPER(C2794)&amp;REPT(" ",10),10)," ")</f>
        <v/>
      </c>
      <c r="T2794" s="10">
        <f>IF(A2794="D",LEFT(UPPER(D2794)&amp;REPT(" ",2),2)," ")</f>
        <v/>
      </c>
      <c r="U2794" s="10">
        <f>IF(A2794="D",LEFT(UPPER(E2794)&amp;REPT(" ",15),15)," ")</f>
        <v/>
      </c>
      <c r="V2794" s="10">
        <f>REPT(" ",24)</f>
        <v/>
      </c>
      <c r="W2794" s="10">
        <f>IF(A2794="c",LEFT(UPPER(B2794)&amp;REPT(" ",20),20),REPT(" ",20))</f>
        <v/>
      </c>
      <c r="X2794" s="10">
        <f>IF(A2794="C",LEFT(UPPER(C2794)&amp;REPT(" ",10),10)," ")</f>
        <v/>
      </c>
      <c r="Y2794" s="10">
        <f>IF(A2794="C",LEFT(UPPER(D2794)&amp;REPT(" ",2),2)," ")</f>
        <v/>
      </c>
      <c r="Z2794" s="10">
        <f>IF(A2794="C",LEFT(UPPER(E2794)&amp;REPT(" ",15),15)," ")</f>
        <v/>
      </c>
      <c r="AA2794" s="10">
        <f>REPT(" ",8)</f>
        <v/>
      </c>
      <c r="AB2794" s="10">
        <f>REPT(" ",4)</f>
        <v/>
      </c>
      <c r="AC2794" s="10">
        <f>LEFT(UPPER(H2794)&amp;REPT(" ",250),250)</f>
        <v/>
      </c>
      <c r="AD2794" s="10">
        <f>TEXT($G$2,"dd/mm/aaaa")</f>
        <v/>
      </c>
      <c r="AE2794" s="10">
        <f>REPT(" ",10)</f>
        <v/>
      </c>
      <c r="AF2794" s="10">
        <f>REPT(" ",20)</f>
        <v/>
      </c>
      <c r="AG2794" s="54">
        <f>REPT(" ",18-LEN(FIXED(F2794,2,TRUE)))&amp;FIXED(F2794,2,TRUE)</f>
        <v/>
      </c>
      <c r="AH2794" s="10">
        <f>LEN(AC2794)+LEN(AG2794)</f>
        <v/>
      </c>
      <c r="AI2794" s="10">
        <f>LEN(L2794)</f>
        <v/>
      </c>
    </row>
    <row r="2795">
      <c r="J2795" s="12">
        <f>IF(F2795&lt;&gt;0,"LANÇAR","")</f>
        <v/>
      </c>
      <c r="L2795" s="13">
        <f>N2795&amp;O2795&amp;P2795&amp;Q2795&amp;R2795&amp;S2795&amp;T2795&amp;U2795&amp;V2795&amp;W2795&amp;X2795&amp;Y2795&amp;Z2795&amp;AA2795&amp;AB2795&amp;AC2795&amp;AD2795&amp;AE2795&amp;AF2795&amp;AG2795</f>
        <v/>
      </c>
      <c r="N2795" s="10">
        <f>TEXT($B$6,"00")</f>
        <v/>
      </c>
      <c r="O2795" s="10">
        <f>REPT(" ",8)</f>
        <v/>
      </c>
      <c r="P2795" s="10">
        <f>RIGHT($B$4,2)</f>
        <v/>
      </c>
      <c r="Q2795" s="10">
        <f>RIGHT($B$5,3)</f>
        <v/>
      </c>
      <c r="R2795" s="10">
        <f>IF(A2795="D",LEFT(UPPER(B2795)&amp;REPT(" ",20),20),REPT(" ",20))</f>
        <v/>
      </c>
      <c r="S2795" s="10">
        <f>IF(A2795="D",LEFT(UPPER(C2795)&amp;REPT(" ",10),10)," ")</f>
        <v/>
      </c>
      <c r="T2795" s="10">
        <f>IF(A2795="D",LEFT(UPPER(D2795)&amp;REPT(" ",2),2)," ")</f>
        <v/>
      </c>
      <c r="U2795" s="10">
        <f>IF(A2795="D",LEFT(UPPER(E2795)&amp;REPT(" ",15),15)," ")</f>
        <v/>
      </c>
      <c r="V2795" s="10">
        <f>REPT(" ",24)</f>
        <v/>
      </c>
      <c r="W2795" s="10">
        <f>IF(A2795="c",LEFT(UPPER(B2795)&amp;REPT(" ",20),20),REPT(" ",20))</f>
        <v/>
      </c>
      <c r="X2795" s="10">
        <f>IF(A2795="C",LEFT(UPPER(C2795)&amp;REPT(" ",10),10)," ")</f>
        <v/>
      </c>
      <c r="Y2795" s="10">
        <f>IF(A2795="C",LEFT(UPPER(D2795)&amp;REPT(" ",2),2)," ")</f>
        <v/>
      </c>
      <c r="Z2795" s="10">
        <f>IF(A2795="C",LEFT(UPPER(E2795)&amp;REPT(" ",15),15)," ")</f>
        <v/>
      </c>
      <c r="AA2795" s="10">
        <f>REPT(" ",8)</f>
        <v/>
      </c>
      <c r="AB2795" s="10">
        <f>REPT(" ",4)</f>
        <v/>
      </c>
      <c r="AC2795" s="10">
        <f>LEFT(UPPER(H2795)&amp;REPT(" ",250),250)</f>
        <v/>
      </c>
      <c r="AD2795" s="10">
        <f>TEXT($G$2,"dd/mm/aaaa")</f>
        <v/>
      </c>
      <c r="AE2795" s="10">
        <f>REPT(" ",10)</f>
        <v/>
      </c>
      <c r="AF2795" s="10">
        <f>REPT(" ",20)</f>
        <v/>
      </c>
      <c r="AG2795" s="54">
        <f>REPT(" ",18-LEN(FIXED(F2795,2,TRUE)))&amp;FIXED(F2795,2,TRUE)</f>
        <v/>
      </c>
      <c r="AH2795" s="10">
        <f>LEN(AC2795)+LEN(AG2795)</f>
        <v/>
      </c>
      <c r="AI2795" s="10">
        <f>LEN(L2795)</f>
        <v/>
      </c>
    </row>
    <row r="2796">
      <c r="J2796" s="12">
        <f>IF(F2796&lt;&gt;0,"LANÇAR","")</f>
        <v/>
      </c>
      <c r="L2796" s="13">
        <f>N2796&amp;O2796&amp;P2796&amp;Q2796&amp;R2796&amp;S2796&amp;T2796&amp;U2796&amp;V2796&amp;W2796&amp;X2796&amp;Y2796&amp;Z2796&amp;AA2796&amp;AB2796&amp;AC2796&amp;AD2796&amp;AE2796&amp;AF2796&amp;AG2796</f>
        <v/>
      </c>
      <c r="N2796" s="10">
        <f>TEXT($B$6,"00")</f>
        <v/>
      </c>
      <c r="O2796" s="10">
        <f>REPT(" ",8)</f>
        <v/>
      </c>
      <c r="P2796" s="10">
        <f>RIGHT($B$4,2)</f>
        <v/>
      </c>
      <c r="Q2796" s="10">
        <f>RIGHT($B$5,3)</f>
        <v/>
      </c>
      <c r="R2796" s="10">
        <f>IF(A2796="D",LEFT(UPPER(B2796)&amp;REPT(" ",20),20),REPT(" ",20))</f>
        <v/>
      </c>
      <c r="S2796" s="10">
        <f>IF(A2796="D",LEFT(UPPER(C2796)&amp;REPT(" ",10),10)," ")</f>
        <v/>
      </c>
      <c r="T2796" s="10">
        <f>IF(A2796="D",LEFT(UPPER(D2796)&amp;REPT(" ",2),2)," ")</f>
        <v/>
      </c>
      <c r="U2796" s="10">
        <f>IF(A2796="D",LEFT(UPPER(E2796)&amp;REPT(" ",15),15)," ")</f>
        <v/>
      </c>
      <c r="V2796" s="10">
        <f>REPT(" ",24)</f>
        <v/>
      </c>
      <c r="W2796" s="10">
        <f>IF(A2796="c",LEFT(UPPER(B2796)&amp;REPT(" ",20),20),REPT(" ",20))</f>
        <v/>
      </c>
      <c r="X2796" s="10">
        <f>IF(A2796="C",LEFT(UPPER(C2796)&amp;REPT(" ",10),10)," ")</f>
        <v/>
      </c>
      <c r="Y2796" s="10">
        <f>IF(A2796="C",LEFT(UPPER(D2796)&amp;REPT(" ",2),2)," ")</f>
        <v/>
      </c>
      <c r="Z2796" s="10">
        <f>IF(A2796="C",LEFT(UPPER(E2796)&amp;REPT(" ",15),15)," ")</f>
        <v/>
      </c>
      <c r="AA2796" s="10">
        <f>REPT(" ",8)</f>
        <v/>
      </c>
      <c r="AB2796" s="10">
        <f>REPT(" ",4)</f>
        <v/>
      </c>
      <c r="AC2796" s="10">
        <f>LEFT(UPPER(H2796)&amp;REPT(" ",250),250)</f>
        <v/>
      </c>
      <c r="AD2796" s="10">
        <f>TEXT($G$2,"dd/mm/aaaa")</f>
        <v/>
      </c>
      <c r="AE2796" s="10">
        <f>REPT(" ",10)</f>
        <v/>
      </c>
      <c r="AF2796" s="10">
        <f>REPT(" ",20)</f>
        <v/>
      </c>
      <c r="AG2796" s="54">
        <f>REPT(" ",18-LEN(FIXED(F2796,2,TRUE)))&amp;FIXED(F2796,2,TRUE)</f>
        <v/>
      </c>
      <c r="AH2796" s="10">
        <f>LEN(AC2796)+LEN(AG2796)</f>
        <v/>
      </c>
      <c r="AI2796" s="10">
        <f>LEN(L2796)</f>
        <v/>
      </c>
    </row>
    <row r="2797">
      <c r="J2797" s="12">
        <f>IF(F2797&lt;&gt;0,"LANÇAR","")</f>
        <v/>
      </c>
      <c r="L2797" s="13">
        <f>N2797&amp;O2797&amp;P2797&amp;Q2797&amp;R2797&amp;S2797&amp;T2797&amp;U2797&amp;V2797&amp;W2797&amp;X2797&amp;Y2797&amp;Z2797&amp;AA2797&amp;AB2797&amp;AC2797&amp;AD2797&amp;AE2797&amp;AF2797&amp;AG2797</f>
        <v/>
      </c>
      <c r="N2797" s="10">
        <f>TEXT($B$6,"00")</f>
        <v/>
      </c>
      <c r="O2797" s="10">
        <f>REPT(" ",8)</f>
        <v/>
      </c>
      <c r="P2797" s="10">
        <f>RIGHT($B$4,2)</f>
        <v/>
      </c>
      <c r="Q2797" s="10">
        <f>RIGHT($B$5,3)</f>
        <v/>
      </c>
      <c r="R2797" s="10">
        <f>IF(A2797="D",LEFT(UPPER(B2797)&amp;REPT(" ",20),20),REPT(" ",20))</f>
        <v/>
      </c>
      <c r="S2797" s="10">
        <f>IF(A2797="D",LEFT(UPPER(C2797)&amp;REPT(" ",10),10)," ")</f>
        <v/>
      </c>
      <c r="T2797" s="10">
        <f>IF(A2797="D",LEFT(UPPER(D2797)&amp;REPT(" ",2),2)," ")</f>
        <v/>
      </c>
      <c r="U2797" s="10">
        <f>IF(A2797="D",LEFT(UPPER(E2797)&amp;REPT(" ",15),15)," ")</f>
        <v/>
      </c>
      <c r="V2797" s="10">
        <f>REPT(" ",24)</f>
        <v/>
      </c>
      <c r="W2797" s="10">
        <f>IF(A2797="c",LEFT(UPPER(B2797)&amp;REPT(" ",20),20),REPT(" ",20))</f>
        <v/>
      </c>
      <c r="X2797" s="10">
        <f>IF(A2797="C",LEFT(UPPER(C2797)&amp;REPT(" ",10),10)," ")</f>
        <v/>
      </c>
      <c r="Y2797" s="10">
        <f>IF(A2797="C",LEFT(UPPER(D2797)&amp;REPT(" ",2),2)," ")</f>
        <v/>
      </c>
      <c r="Z2797" s="10">
        <f>IF(A2797="C",LEFT(UPPER(E2797)&amp;REPT(" ",15),15)," ")</f>
        <v/>
      </c>
      <c r="AA2797" s="10">
        <f>REPT(" ",8)</f>
        <v/>
      </c>
      <c r="AB2797" s="10">
        <f>REPT(" ",4)</f>
        <v/>
      </c>
      <c r="AC2797" s="10">
        <f>LEFT(UPPER(H2797)&amp;REPT(" ",250),250)</f>
        <v/>
      </c>
      <c r="AD2797" s="10">
        <f>TEXT($G$2,"dd/mm/aaaa")</f>
        <v/>
      </c>
      <c r="AE2797" s="10">
        <f>REPT(" ",10)</f>
        <v/>
      </c>
      <c r="AF2797" s="10">
        <f>REPT(" ",20)</f>
        <v/>
      </c>
      <c r="AG2797" s="54">
        <f>REPT(" ",18-LEN(FIXED(F2797,2,TRUE)))&amp;FIXED(F2797,2,TRUE)</f>
        <v/>
      </c>
      <c r="AH2797" s="10">
        <f>LEN(AC2797)+LEN(AG2797)</f>
        <v/>
      </c>
      <c r="AI2797" s="10">
        <f>LEN(L2797)</f>
        <v/>
      </c>
    </row>
    <row r="2798">
      <c r="J2798" s="12">
        <f>IF(F2798&lt;&gt;0,"LANÇAR","")</f>
        <v/>
      </c>
      <c r="L2798" s="13">
        <f>N2798&amp;O2798&amp;P2798&amp;Q2798&amp;R2798&amp;S2798&amp;T2798&amp;U2798&amp;V2798&amp;W2798&amp;X2798&amp;Y2798&amp;Z2798&amp;AA2798&amp;AB2798&amp;AC2798&amp;AD2798&amp;AE2798&amp;AF2798&amp;AG2798</f>
        <v/>
      </c>
      <c r="N2798" s="10">
        <f>TEXT($B$6,"00")</f>
        <v/>
      </c>
      <c r="O2798" s="10">
        <f>REPT(" ",8)</f>
        <v/>
      </c>
      <c r="P2798" s="10">
        <f>RIGHT($B$4,2)</f>
        <v/>
      </c>
      <c r="Q2798" s="10">
        <f>RIGHT($B$5,3)</f>
        <v/>
      </c>
      <c r="R2798" s="10">
        <f>IF(A2798="D",LEFT(UPPER(B2798)&amp;REPT(" ",20),20),REPT(" ",20))</f>
        <v/>
      </c>
      <c r="S2798" s="10">
        <f>IF(A2798="D",LEFT(UPPER(C2798)&amp;REPT(" ",10),10)," ")</f>
        <v/>
      </c>
      <c r="T2798" s="10">
        <f>IF(A2798="D",LEFT(UPPER(D2798)&amp;REPT(" ",2),2)," ")</f>
        <v/>
      </c>
      <c r="U2798" s="10">
        <f>IF(A2798="D",LEFT(UPPER(E2798)&amp;REPT(" ",15),15)," ")</f>
        <v/>
      </c>
      <c r="V2798" s="10">
        <f>REPT(" ",24)</f>
        <v/>
      </c>
      <c r="W2798" s="10">
        <f>IF(A2798="c",LEFT(UPPER(B2798)&amp;REPT(" ",20),20),REPT(" ",20))</f>
        <v/>
      </c>
      <c r="X2798" s="10">
        <f>IF(A2798="C",LEFT(UPPER(C2798)&amp;REPT(" ",10),10)," ")</f>
        <v/>
      </c>
      <c r="Y2798" s="10">
        <f>IF(A2798="C",LEFT(UPPER(D2798)&amp;REPT(" ",2),2)," ")</f>
        <v/>
      </c>
      <c r="Z2798" s="10">
        <f>IF(A2798="C",LEFT(UPPER(E2798)&amp;REPT(" ",15),15)," ")</f>
        <v/>
      </c>
      <c r="AA2798" s="10">
        <f>REPT(" ",8)</f>
        <v/>
      </c>
      <c r="AB2798" s="10">
        <f>REPT(" ",4)</f>
        <v/>
      </c>
      <c r="AC2798" s="10">
        <f>LEFT(UPPER(H2798)&amp;REPT(" ",250),250)</f>
        <v/>
      </c>
      <c r="AD2798" s="10">
        <f>TEXT($G$2,"dd/mm/aaaa")</f>
        <v/>
      </c>
      <c r="AE2798" s="10">
        <f>REPT(" ",10)</f>
        <v/>
      </c>
      <c r="AF2798" s="10">
        <f>REPT(" ",20)</f>
        <v/>
      </c>
      <c r="AG2798" s="54">
        <f>REPT(" ",18-LEN(FIXED(F2798,2,TRUE)))&amp;FIXED(F2798,2,TRUE)</f>
        <v/>
      </c>
      <c r="AH2798" s="10">
        <f>LEN(AC2798)+LEN(AG2798)</f>
        <v/>
      </c>
      <c r="AI2798" s="10">
        <f>LEN(L2798)</f>
        <v/>
      </c>
    </row>
    <row r="2799">
      <c r="J2799" s="12">
        <f>IF(F2799&lt;&gt;0,"LANÇAR","")</f>
        <v/>
      </c>
      <c r="L2799" s="13">
        <f>N2799&amp;O2799&amp;P2799&amp;Q2799&amp;R2799&amp;S2799&amp;T2799&amp;U2799&amp;V2799&amp;W2799&amp;X2799&amp;Y2799&amp;Z2799&amp;AA2799&amp;AB2799&amp;AC2799&amp;AD2799&amp;AE2799&amp;AF2799&amp;AG2799</f>
        <v/>
      </c>
      <c r="N2799" s="10">
        <f>TEXT($B$6,"00")</f>
        <v/>
      </c>
      <c r="O2799" s="10">
        <f>REPT(" ",8)</f>
        <v/>
      </c>
      <c r="P2799" s="10">
        <f>RIGHT($B$4,2)</f>
        <v/>
      </c>
      <c r="Q2799" s="10">
        <f>RIGHT($B$5,3)</f>
        <v/>
      </c>
      <c r="R2799" s="10">
        <f>IF(A2799="D",LEFT(UPPER(B2799)&amp;REPT(" ",20),20),REPT(" ",20))</f>
        <v/>
      </c>
      <c r="S2799" s="10">
        <f>IF(A2799="D",LEFT(UPPER(C2799)&amp;REPT(" ",10),10)," ")</f>
        <v/>
      </c>
      <c r="T2799" s="10">
        <f>IF(A2799="D",LEFT(UPPER(D2799)&amp;REPT(" ",2),2)," ")</f>
        <v/>
      </c>
      <c r="U2799" s="10">
        <f>IF(A2799="D",LEFT(UPPER(E2799)&amp;REPT(" ",15),15)," ")</f>
        <v/>
      </c>
      <c r="V2799" s="10">
        <f>REPT(" ",24)</f>
        <v/>
      </c>
      <c r="W2799" s="10">
        <f>IF(A2799="c",LEFT(UPPER(B2799)&amp;REPT(" ",20),20),REPT(" ",20))</f>
        <v/>
      </c>
      <c r="X2799" s="10">
        <f>IF(A2799="C",LEFT(UPPER(C2799)&amp;REPT(" ",10),10)," ")</f>
        <v/>
      </c>
      <c r="Y2799" s="10">
        <f>IF(A2799="C",LEFT(UPPER(D2799)&amp;REPT(" ",2),2)," ")</f>
        <v/>
      </c>
      <c r="Z2799" s="10">
        <f>IF(A2799="C",LEFT(UPPER(E2799)&amp;REPT(" ",15),15)," ")</f>
        <v/>
      </c>
      <c r="AA2799" s="10">
        <f>REPT(" ",8)</f>
        <v/>
      </c>
      <c r="AB2799" s="10">
        <f>REPT(" ",4)</f>
        <v/>
      </c>
      <c r="AC2799" s="10">
        <f>LEFT(UPPER(H2799)&amp;REPT(" ",250),250)</f>
        <v/>
      </c>
      <c r="AD2799" s="10">
        <f>TEXT($G$2,"dd/mm/aaaa")</f>
        <v/>
      </c>
      <c r="AE2799" s="10">
        <f>REPT(" ",10)</f>
        <v/>
      </c>
      <c r="AF2799" s="10">
        <f>REPT(" ",20)</f>
        <v/>
      </c>
      <c r="AG2799" s="54">
        <f>REPT(" ",18-LEN(FIXED(F2799,2,TRUE)))&amp;FIXED(F2799,2,TRUE)</f>
        <v/>
      </c>
      <c r="AH2799" s="10">
        <f>LEN(AC2799)+LEN(AG2799)</f>
        <v/>
      </c>
      <c r="AI2799" s="10">
        <f>LEN(L2799)</f>
        <v/>
      </c>
    </row>
    <row r="2800">
      <c r="J2800" s="12">
        <f>IF(F2800&lt;&gt;0,"LANÇAR","")</f>
        <v/>
      </c>
      <c r="L2800" s="13">
        <f>N2800&amp;O2800&amp;P2800&amp;Q2800&amp;R2800&amp;S2800&amp;T2800&amp;U2800&amp;V2800&amp;W2800&amp;X2800&amp;Y2800&amp;Z2800&amp;AA2800&amp;AB2800&amp;AC2800&amp;AD2800&amp;AE2800&amp;AF2800&amp;AG2800</f>
        <v/>
      </c>
      <c r="N2800" s="10">
        <f>TEXT($B$6,"00")</f>
        <v/>
      </c>
      <c r="O2800" s="10">
        <f>REPT(" ",8)</f>
        <v/>
      </c>
      <c r="P2800" s="10">
        <f>RIGHT($B$4,2)</f>
        <v/>
      </c>
      <c r="Q2800" s="10">
        <f>RIGHT($B$5,3)</f>
        <v/>
      </c>
      <c r="R2800" s="10">
        <f>IF(A2800="D",LEFT(UPPER(B2800)&amp;REPT(" ",20),20),REPT(" ",20))</f>
        <v/>
      </c>
      <c r="S2800" s="10">
        <f>IF(A2800="D",LEFT(UPPER(C2800)&amp;REPT(" ",10),10)," ")</f>
        <v/>
      </c>
      <c r="T2800" s="10">
        <f>IF(A2800="D",LEFT(UPPER(D2800)&amp;REPT(" ",2),2)," ")</f>
        <v/>
      </c>
      <c r="U2800" s="10">
        <f>IF(A2800="D",LEFT(UPPER(E2800)&amp;REPT(" ",15),15)," ")</f>
        <v/>
      </c>
      <c r="V2800" s="10">
        <f>REPT(" ",24)</f>
        <v/>
      </c>
      <c r="W2800" s="10">
        <f>IF(A2800="c",LEFT(UPPER(B2800)&amp;REPT(" ",20),20),REPT(" ",20))</f>
        <v/>
      </c>
      <c r="X2800" s="10">
        <f>IF(A2800="C",LEFT(UPPER(C2800)&amp;REPT(" ",10),10)," ")</f>
        <v/>
      </c>
      <c r="Y2800" s="10">
        <f>IF(A2800="C",LEFT(UPPER(D2800)&amp;REPT(" ",2),2)," ")</f>
        <v/>
      </c>
      <c r="Z2800" s="10">
        <f>IF(A2800="C",LEFT(UPPER(E2800)&amp;REPT(" ",15),15)," ")</f>
        <v/>
      </c>
      <c r="AA2800" s="10">
        <f>REPT(" ",8)</f>
        <v/>
      </c>
      <c r="AB2800" s="10">
        <f>REPT(" ",4)</f>
        <v/>
      </c>
      <c r="AC2800" s="10">
        <f>LEFT(UPPER(H2800)&amp;REPT(" ",250),250)</f>
        <v/>
      </c>
      <c r="AD2800" s="10">
        <f>TEXT($G$2,"dd/mm/aaaa")</f>
        <v/>
      </c>
      <c r="AE2800" s="10">
        <f>REPT(" ",10)</f>
        <v/>
      </c>
      <c r="AF2800" s="10">
        <f>REPT(" ",20)</f>
        <v/>
      </c>
      <c r="AG2800" s="54">
        <f>REPT(" ",18-LEN(FIXED(F2800,2,TRUE)))&amp;FIXED(F2800,2,TRUE)</f>
        <v/>
      </c>
      <c r="AH2800" s="10">
        <f>LEN(AC2800)+LEN(AG2800)</f>
        <v/>
      </c>
      <c r="AI2800" s="10">
        <f>LEN(L2800)</f>
        <v/>
      </c>
    </row>
    <row r="2801">
      <c r="J2801" s="12">
        <f>IF(F2801&lt;&gt;0,"LANÇAR","")</f>
        <v/>
      </c>
      <c r="L2801" s="13">
        <f>N2801&amp;O2801&amp;P2801&amp;Q2801&amp;R2801&amp;S2801&amp;T2801&amp;U2801&amp;V2801&amp;W2801&amp;X2801&amp;Y2801&amp;Z2801&amp;AA2801&amp;AB2801&amp;AC2801&amp;AD2801&amp;AE2801&amp;AF2801&amp;AG2801</f>
        <v/>
      </c>
      <c r="N2801" s="10">
        <f>TEXT($B$6,"00")</f>
        <v/>
      </c>
      <c r="O2801" s="10">
        <f>REPT(" ",8)</f>
        <v/>
      </c>
      <c r="P2801" s="10">
        <f>RIGHT($B$4,2)</f>
        <v/>
      </c>
      <c r="Q2801" s="10">
        <f>RIGHT($B$5,3)</f>
        <v/>
      </c>
      <c r="R2801" s="10">
        <f>IF(A2801="D",LEFT(UPPER(B2801)&amp;REPT(" ",20),20),REPT(" ",20))</f>
        <v/>
      </c>
      <c r="S2801" s="10">
        <f>IF(A2801="D",LEFT(UPPER(C2801)&amp;REPT(" ",10),10)," ")</f>
        <v/>
      </c>
      <c r="T2801" s="10">
        <f>IF(A2801="D",LEFT(UPPER(D2801)&amp;REPT(" ",2),2)," ")</f>
        <v/>
      </c>
      <c r="U2801" s="10">
        <f>IF(A2801="D",LEFT(UPPER(E2801)&amp;REPT(" ",15),15)," ")</f>
        <v/>
      </c>
      <c r="V2801" s="10">
        <f>REPT(" ",24)</f>
        <v/>
      </c>
      <c r="W2801" s="10">
        <f>IF(A2801="c",LEFT(UPPER(B2801)&amp;REPT(" ",20),20),REPT(" ",20))</f>
        <v/>
      </c>
      <c r="X2801" s="10">
        <f>IF(A2801="C",LEFT(UPPER(C2801)&amp;REPT(" ",10),10)," ")</f>
        <v/>
      </c>
      <c r="Y2801" s="10">
        <f>IF(A2801="C",LEFT(UPPER(D2801)&amp;REPT(" ",2),2)," ")</f>
        <v/>
      </c>
      <c r="Z2801" s="10">
        <f>IF(A2801="C",LEFT(UPPER(E2801)&amp;REPT(" ",15),15)," ")</f>
        <v/>
      </c>
      <c r="AA2801" s="10">
        <f>REPT(" ",8)</f>
        <v/>
      </c>
      <c r="AB2801" s="10">
        <f>REPT(" ",4)</f>
        <v/>
      </c>
      <c r="AC2801" s="10">
        <f>LEFT(UPPER(H2801)&amp;REPT(" ",250),250)</f>
        <v/>
      </c>
      <c r="AD2801" s="10">
        <f>TEXT($G$2,"dd/mm/aaaa")</f>
        <v/>
      </c>
      <c r="AE2801" s="10">
        <f>REPT(" ",10)</f>
        <v/>
      </c>
      <c r="AF2801" s="10">
        <f>REPT(" ",20)</f>
        <v/>
      </c>
      <c r="AG2801" s="54">
        <f>REPT(" ",18-LEN(FIXED(F2801,2,TRUE)))&amp;FIXED(F2801,2,TRUE)</f>
        <v/>
      </c>
      <c r="AH2801" s="10">
        <f>LEN(AC2801)+LEN(AG2801)</f>
        <v/>
      </c>
      <c r="AI2801" s="10">
        <f>LEN(L2801)</f>
        <v/>
      </c>
    </row>
    <row r="2802">
      <c r="J2802" s="12">
        <f>IF(F2802&lt;&gt;0,"LANÇAR","")</f>
        <v/>
      </c>
      <c r="L2802" s="13">
        <f>N2802&amp;O2802&amp;P2802&amp;Q2802&amp;R2802&amp;S2802&amp;T2802&amp;U2802&amp;V2802&amp;W2802&amp;X2802&amp;Y2802&amp;Z2802&amp;AA2802&amp;AB2802&amp;AC2802&amp;AD2802&amp;AE2802&amp;AF2802&amp;AG2802</f>
        <v/>
      </c>
      <c r="N2802" s="10">
        <f>TEXT($B$6,"00")</f>
        <v/>
      </c>
      <c r="O2802" s="10">
        <f>REPT(" ",8)</f>
        <v/>
      </c>
      <c r="P2802" s="10">
        <f>RIGHT($B$4,2)</f>
        <v/>
      </c>
      <c r="Q2802" s="10">
        <f>RIGHT($B$5,3)</f>
        <v/>
      </c>
      <c r="R2802" s="10">
        <f>IF(A2802="D",LEFT(UPPER(B2802)&amp;REPT(" ",20),20),REPT(" ",20))</f>
        <v/>
      </c>
      <c r="S2802" s="10">
        <f>IF(A2802="D",LEFT(UPPER(C2802)&amp;REPT(" ",10),10)," ")</f>
        <v/>
      </c>
      <c r="T2802" s="10">
        <f>IF(A2802="D",LEFT(UPPER(D2802)&amp;REPT(" ",2),2)," ")</f>
        <v/>
      </c>
      <c r="U2802" s="10">
        <f>IF(A2802="D",LEFT(UPPER(E2802)&amp;REPT(" ",15),15)," ")</f>
        <v/>
      </c>
      <c r="V2802" s="10">
        <f>REPT(" ",24)</f>
        <v/>
      </c>
      <c r="W2802" s="10">
        <f>IF(A2802="c",LEFT(UPPER(B2802)&amp;REPT(" ",20),20),REPT(" ",20))</f>
        <v/>
      </c>
      <c r="X2802" s="10">
        <f>IF(A2802="C",LEFT(UPPER(C2802)&amp;REPT(" ",10),10)," ")</f>
        <v/>
      </c>
      <c r="Y2802" s="10">
        <f>IF(A2802="C",LEFT(UPPER(D2802)&amp;REPT(" ",2),2)," ")</f>
        <v/>
      </c>
      <c r="Z2802" s="10">
        <f>IF(A2802="C",LEFT(UPPER(E2802)&amp;REPT(" ",15),15)," ")</f>
        <v/>
      </c>
      <c r="AA2802" s="10">
        <f>REPT(" ",8)</f>
        <v/>
      </c>
      <c r="AB2802" s="10">
        <f>REPT(" ",4)</f>
        <v/>
      </c>
      <c r="AC2802" s="10">
        <f>LEFT(UPPER(H2802)&amp;REPT(" ",250),250)</f>
        <v/>
      </c>
      <c r="AD2802" s="10">
        <f>TEXT($G$2,"dd/mm/aaaa")</f>
        <v/>
      </c>
      <c r="AE2802" s="10">
        <f>REPT(" ",10)</f>
        <v/>
      </c>
      <c r="AF2802" s="10">
        <f>REPT(" ",20)</f>
        <v/>
      </c>
      <c r="AG2802" s="54">
        <f>REPT(" ",18-LEN(FIXED(F2802,2,TRUE)))&amp;FIXED(F2802,2,TRUE)</f>
        <v/>
      </c>
      <c r="AH2802" s="10">
        <f>LEN(AC2802)+LEN(AG2802)</f>
        <v/>
      </c>
      <c r="AI2802" s="10">
        <f>LEN(L2802)</f>
        <v/>
      </c>
    </row>
    <row r="2803">
      <c r="J2803" s="12">
        <f>IF(F2803&lt;&gt;0,"LANÇAR","")</f>
        <v/>
      </c>
      <c r="L2803" s="13">
        <f>N2803&amp;O2803&amp;P2803&amp;Q2803&amp;R2803&amp;S2803&amp;T2803&amp;U2803&amp;V2803&amp;W2803&amp;X2803&amp;Y2803&amp;Z2803&amp;AA2803&amp;AB2803&amp;AC2803&amp;AD2803&amp;AE2803&amp;AF2803&amp;AG2803</f>
        <v/>
      </c>
      <c r="N2803" s="10">
        <f>TEXT($B$6,"00")</f>
        <v/>
      </c>
      <c r="O2803" s="10">
        <f>REPT(" ",8)</f>
        <v/>
      </c>
      <c r="P2803" s="10">
        <f>RIGHT($B$4,2)</f>
        <v/>
      </c>
      <c r="Q2803" s="10">
        <f>RIGHT($B$5,3)</f>
        <v/>
      </c>
      <c r="R2803" s="10">
        <f>IF(A2803="D",LEFT(UPPER(B2803)&amp;REPT(" ",20),20),REPT(" ",20))</f>
        <v/>
      </c>
      <c r="S2803" s="10">
        <f>IF(A2803="D",LEFT(UPPER(C2803)&amp;REPT(" ",10),10)," ")</f>
        <v/>
      </c>
      <c r="T2803" s="10">
        <f>IF(A2803="D",LEFT(UPPER(D2803)&amp;REPT(" ",2),2)," ")</f>
        <v/>
      </c>
      <c r="U2803" s="10">
        <f>IF(A2803="D",LEFT(UPPER(E2803)&amp;REPT(" ",15),15)," ")</f>
        <v/>
      </c>
      <c r="V2803" s="10">
        <f>REPT(" ",24)</f>
        <v/>
      </c>
      <c r="W2803" s="10">
        <f>IF(A2803="c",LEFT(UPPER(B2803)&amp;REPT(" ",20),20),REPT(" ",20))</f>
        <v/>
      </c>
      <c r="X2803" s="10">
        <f>IF(A2803="C",LEFT(UPPER(C2803)&amp;REPT(" ",10),10)," ")</f>
        <v/>
      </c>
      <c r="Y2803" s="10">
        <f>IF(A2803="C",LEFT(UPPER(D2803)&amp;REPT(" ",2),2)," ")</f>
        <v/>
      </c>
      <c r="Z2803" s="10">
        <f>IF(A2803="C",LEFT(UPPER(E2803)&amp;REPT(" ",15),15)," ")</f>
        <v/>
      </c>
      <c r="AA2803" s="10">
        <f>REPT(" ",8)</f>
        <v/>
      </c>
      <c r="AB2803" s="10">
        <f>REPT(" ",4)</f>
        <v/>
      </c>
      <c r="AC2803" s="10">
        <f>LEFT(UPPER(H2803)&amp;REPT(" ",250),250)</f>
        <v/>
      </c>
      <c r="AD2803" s="10">
        <f>TEXT($G$2,"dd/mm/aaaa")</f>
        <v/>
      </c>
      <c r="AE2803" s="10">
        <f>REPT(" ",10)</f>
        <v/>
      </c>
      <c r="AF2803" s="10">
        <f>REPT(" ",20)</f>
        <v/>
      </c>
      <c r="AG2803" s="54">
        <f>REPT(" ",18-LEN(FIXED(F2803,2,TRUE)))&amp;FIXED(F2803,2,TRUE)</f>
        <v/>
      </c>
      <c r="AH2803" s="10">
        <f>LEN(AC2803)+LEN(AG2803)</f>
        <v/>
      </c>
      <c r="AI2803" s="10">
        <f>LEN(L2803)</f>
        <v/>
      </c>
    </row>
    <row r="2804">
      <c r="J2804" s="12">
        <f>IF(F2804&lt;&gt;0,"LANÇAR","")</f>
        <v/>
      </c>
      <c r="L2804" s="13">
        <f>N2804&amp;O2804&amp;P2804&amp;Q2804&amp;R2804&amp;S2804&amp;T2804&amp;U2804&amp;V2804&amp;W2804&amp;X2804&amp;Y2804&amp;Z2804&amp;AA2804&amp;AB2804&amp;AC2804&amp;AD2804&amp;AE2804&amp;AF2804&amp;AG2804</f>
        <v/>
      </c>
      <c r="N2804" s="10">
        <f>TEXT($B$6,"00")</f>
        <v/>
      </c>
      <c r="O2804" s="10">
        <f>REPT(" ",8)</f>
        <v/>
      </c>
      <c r="P2804" s="10">
        <f>RIGHT($B$4,2)</f>
        <v/>
      </c>
      <c r="Q2804" s="10">
        <f>RIGHT($B$5,3)</f>
        <v/>
      </c>
      <c r="R2804" s="10">
        <f>IF(A2804="D",LEFT(UPPER(B2804)&amp;REPT(" ",20),20),REPT(" ",20))</f>
        <v/>
      </c>
      <c r="S2804" s="10">
        <f>IF(A2804="D",LEFT(UPPER(C2804)&amp;REPT(" ",10),10)," ")</f>
        <v/>
      </c>
      <c r="T2804" s="10">
        <f>IF(A2804="D",LEFT(UPPER(D2804)&amp;REPT(" ",2),2)," ")</f>
        <v/>
      </c>
      <c r="U2804" s="10">
        <f>IF(A2804="D",LEFT(UPPER(E2804)&amp;REPT(" ",15),15)," ")</f>
        <v/>
      </c>
      <c r="V2804" s="10">
        <f>REPT(" ",24)</f>
        <v/>
      </c>
      <c r="W2804" s="10">
        <f>IF(A2804="c",LEFT(UPPER(B2804)&amp;REPT(" ",20),20),REPT(" ",20))</f>
        <v/>
      </c>
      <c r="X2804" s="10">
        <f>IF(A2804="C",LEFT(UPPER(C2804)&amp;REPT(" ",10),10)," ")</f>
        <v/>
      </c>
      <c r="Y2804" s="10">
        <f>IF(A2804="C",LEFT(UPPER(D2804)&amp;REPT(" ",2),2)," ")</f>
        <v/>
      </c>
      <c r="Z2804" s="10">
        <f>IF(A2804="C",LEFT(UPPER(E2804)&amp;REPT(" ",15),15)," ")</f>
        <v/>
      </c>
      <c r="AA2804" s="10">
        <f>REPT(" ",8)</f>
        <v/>
      </c>
      <c r="AB2804" s="10">
        <f>REPT(" ",4)</f>
        <v/>
      </c>
      <c r="AC2804" s="10">
        <f>LEFT(UPPER(H2804)&amp;REPT(" ",250),250)</f>
        <v/>
      </c>
      <c r="AD2804" s="10">
        <f>TEXT($G$2,"dd/mm/aaaa")</f>
        <v/>
      </c>
      <c r="AE2804" s="10">
        <f>REPT(" ",10)</f>
        <v/>
      </c>
      <c r="AF2804" s="10">
        <f>REPT(" ",20)</f>
        <v/>
      </c>
      <c r="AG2804" s="54">
        <f>REPT(" ",18-LEN(FIXED(F2804,2,TRUE)))&amp;FIXED(F2804,2,TRUE)</f>
        <v/>
      </c>
      <c r="AH2804" s="10">
        <f>LEN(AC2804)+LEN(AG2804)</f>
        <v/>
      </c>
      <c r="AI2804" s="10">
        <f>LEN(L2804)</f>
        <v/>
      </c>
    </row>
    <row r="2805">
      <c r="J2805" s="12">
        <f>IF(F2805&lt;&gt;0,"LANÇAR","")</f>
        <v/>
      </c>
      <c r="L2805" s="13">
        <f>N2805&amp;O2805&amp;P2805&amp;Q2805&amp;R2805&amp;S2805&amp;T2805&amp;U2805&amp;V2805&amp;W2805&amp;X2805&amp;Y2805&amp;Z2805&amp;AA2805&amp;AB2805&amp;AC2805&amp;AD2805&amp;AE2805&amp;AF2805&amp;AG2805</f>
        <v/>
      </c>
      <c r="N2805" s="10">
        <f>TEXT($B$6,"00")</f>
        <v/>
      </c>
      <c r="O2805" s="10">
        <f>REPT(" ",8)</f>
        <v/>
      </c>
      <c r="P2805" s="10">
        <f>RIGHT($B$4,2)</f>
        <v/>
      </c>
      <c r="Q2805" s="10">
        <f>RIGHT($B$5,3)</f>
        <v/>
      </c>
      <c r="R2805" s="10">
        <f>IF(A2805="D",LEFT(UPPER(B2805)&amp;REPT(" ",20),20),REPT(" ",20))</f>
        <v/>
      </c>
      <c r="S2805" s="10">
        <f>IF(A2805="D",LEFT(UPPER(C2805)&amp;REPT(" ",10),10)," ")</f>
        <v/>
      </c>
      <c r="T2805" s="10">
        <f>IF(A2805="D",LEFT(UPPER(D2805)&amp;REPT(" ",2),2)," ")</f>
        <v/>
      </c>
      <c r="U2805" s="10">
        <f>IF(A2805="D",LEFT(UPPER(E2805)&amp;REPT(" ",15),15)," ")</f>
        <v/>
      </c>
      <c r="V2805" s="10">
        <f>REPT(" ",24)</f>
        <v/>
      </c>
      <c r="W2805" s="10">
        <f>IF(A2805="c",LEFT(UPPER(B2805)&amp;REPT(" ",20),20),REPT(" ",20))</f>
        <v/>
      </c>
      <c r="X2805" s="10">
        <f>IF(A2805="C",LEFT(UPPER(C2805)&amp;REPT(" ",10),10)," ")</f>
        <v/>
      </c>
      <c r="Y2805" s="10">
        <f>IF(A2805="C",LEFT(UPPER(D2805)&amp;REPT(" ",2),2)," ")</f>
        <v/>
      </c>
      <c r="Z2805" s="10">
        <f>IF(A2805="C",LEFT(UPPER(E2805)&amp;REPT(" ",15),15)," ")</f>
        <v/>
      </c>
      <c r="AA2805" s="10">
        <f>REPT(" ",8)</f>
        <v/>
      </c>
      <c r="AB2805" s="10">
        <f>REPT(" ",4)</f>
        <v/>
      </c>
      <c r="AC2805" s="10">
        <f>LEFT(UPPER(H2805)&amp;REPT(" ",250),250)</f>
        <v/>
      </c>
      <c r="AD2805" s="10">
        <f>TEXT($G$2,"dd/mm/aaaa")</f>
        <v/>
      </c>
      <c r="AE2805" s="10">
        <f>REPT(" ",10)</f>
        <v/>
      </c>
      <c r="AF2805" s="10">
        <f>REPT(" ",20)</f>
        <v/>
      </c>
      <c r="AG2805" s="54">
        <f>REPT(" ",18-LEN(FIXED(F2805,2,TRUE)))&amp;FIXED(F2805,2,TRUE)</f>
        <v/>
      </c>
      <c r="AH2805" s="10">
        <f>LEN(AC2805)+LEN(AG2805)</f>
        <v/>
      </c>
      <c r="AI2805" s="10">
        <f>LEN(L2805)</f>
        <v/>
      </c>
    </row>
    <row r="2806">
      <c r="J2806" s="12">
        <f>IF(F2806&lt;&gt;0,"LANÇAR","")</f>
        <v/>
      </c>
      <c r="L2806" s="13">
        <f>N2806&amp;O2806&amp;P2806&amp;Q2806&amp;R2806&amp;S2806&amp;T2806&amp;U2806&amp;V2806&amp;W2806&amp;X2806&amp;Y2806&amp;Z2806&amp;AA2806&amp;AB2806&amp;AC2806&amp;AD2806&amp;AE2806&amp;AF2806&amp;AG2806</f>
        <v/>
      </c>
      <c r="N2806" s="10">
        <f>TEXT($B$6,"00")</f>
        <v/>
      </c>
      <c r="O2806" s="10">
        <f>REPT(" ",8)</f>
        <v/>
      </c>
      <c r="P2806" s="10">
        <f>RIGHT($B$4,2)</f>
        <v/>
      </c>
      <c r="Q2806" s="10">
        <f>RIGHT($B$5,3)</f>
        <v/>
      </c>
      <c r="R2806" s="10">
        <f>IF(A2806="D",LEFT(UPPER(B2806)&amp;REPT(" ",20),20),REPT(" ",20))</f>
        <v/>
      </c>
      <c r="S2806" s="10">
        <f>IF(A2806="D",LEFT(UPPER(C2806)&amp;REPT(" ",10),10)," ")</f>
        <v/>
      </c>
      <c r="T2806" s="10">
        <f>IF(A2806="D",LEFT(UPPER(D2806)&amp;REPT(" ",2),2)," ")</f>
        <v/>
      </c>
      <c r="U2806" s="10">
        <f>IF(A2806="D",LEFT(UPPER(E2806)&amp;REPT(" ",15),15)," ")</f>
        <v/>
      </c>
      <c r="V2806" s="10">
        <f>REPT(" ",24)</f>
        <v/>
      </c>
      <c r="W2806" s="10">
        <f>IF(A2806="c",LEFT(UPPER(B2806)&amp;REPT(" ",20),20),REPT(" ",20))</f>
        <v/>
      </c>
      <c r="X2806" s="10">
        <f>IF(A2806="C",LEFT(UPPER(C2806)&amp;REPT(" ",10),10)," ")</f>
        <v/>
      </c>
      <c r="Y2806" s="10">
        <f>IF(A2806="C",LEFT(UPPER(D2806)&amp;REPT(" ",2),2)," ")</f>
        <v/>
      </c>
      <c r="Z2806" s="10">
        <f>IF(A2806="C",LEFT(UPPER(E2806)&amp;REPT(" ",15),15)," ")</f>
        <v/>
      </c>
      <c r="AA2806" s="10">
        <f>REPT(" ",8)</f>
        <v/>
      </c>
      <c r="AB2806" s="10">
        <f>REPT(" ",4)</f>
        <v/>
      </c>
      <c r="AC2806" s="10">
        <f>LEFT(UPPER(H2806)&amp;REPT(" ",250),250)</f>
        <v/>
      </c>
      <c r="AD2806" s="10">
        <f>TEXT($G$2,"dd/mm/aaaa")</f>
        <v/>
      </c>
      <c r="AE2806" s="10">
        <f>REPT(" ",10)</f>
        <v/>
      </c>
      <c r="AF2806" s="10">
        <f>REPT(" ",20)</f>
        <v/>
      </c>
      <c r="AG2806" s="54">
        <f>REPT(" ",18-LEN(FIXED(F2806,2,TRUE)))&amp;FIXED(F2806,2,TRUE)</f>
        <v/>
      </c>
      <c r="AH2806" s="10">
        <f>LEN(AC2806)+LEN(AG2806)</f>
        <v/>
      </c>
      <c r="AI2806" s="10">
        <f>LEN(L2806)</f>
        <v/>
      </c>
    </row>
    <row r="2807">
      <c r="J2807" s="12">
        <f>IF(F2807&lt;&gt;0,"LANÇAR","")</f>
        <v/>
      </c>
      <c r="L2807" s="13">
        <f>N2807&amp;O2807&amp;P2807&amp;Q2807&amp;R2807&amp;S2807&amp;T2807&amp;U2807&amp;V2807&amp;W2807&amp;X2807&amp;Y2807&amp;Z2807&amp;AA2807&amp;AB2807&amp;AC2807&amp;AD2807&amp;AE2807&amp;AF2807&amp;AG2807</f>
        <v/>
      </c>
      <c r="N2807" s="10">
        <f>TEXT($B$6,"00")</f>
        <v/>
      </c>
      <c r="O2807" s="10">
        <f>REPT(" ",8)</f>
        <v/>
      </c>
      <c r="P2807" s="10">
        <f>RIGHT($B$4,2)</f>
        <v/>
      </c>
      <c r="Q2807" s="10">
        <f>RIGHT($B$5,3)</f>
        <v/>
      </c>
      <c r="R2807" s="10">
        <f>IF(A2807="D",LEFT(UPPER(B2807)&amp;REPT(" ",20),20),REPT(" ",20))</f>
        <v/>
      </c>
      <c r="S2807" s="10">
        <f>IF(A2807="D",LEFT(UPPER(C2807)&amp;REPT(" ",10),10)," ")</f>
        <v/>
      </c>
      <c r="T2807" s="10">
        <f>IF(A2807="D",LEFT(UPPER(D2807)&amp;REPT(" ",2),2)," ")</f>
        <v/>
      </c>
      <c r="U2807" s="10">
        <f>IF(A2807="D",LEFT(UPPER(E2807)&amp;REPT(" ",15),15)," ")</f>
        <v/>
      </c>
      <c r="V2807" s="10">
        <f>REPT(" ",24)</f>
        <v/>
      </c>
      <c r="W2807" s="10">
        <f>IF(A2807="c",LEFT(UPPER(B2807)&amp;REPT(" ",20),20),REPT(" ",20))</f>
        <v/>
      </c>
      <c r="X2807" s="10">
        <f>IF(A2807="C",LEFT(UPPER(C2807)&amp;REPT(" ",10),10)," ")</f>
        <v/>
      </c>
      <c r="Y2807" s="10">
        <f>IF(A2807="C",LEFT(UPPER(D2807)&amp;REPT(" ",2),2)," ")</f>
        <v/>
      </c>
      <c r="Z2807" s="10">
        <f>IF(A2807="C",LEFT(UPPER(E2807)&amp;REPT(" ",15),15)," ")</f>
        <v/>
      </c>
      <c r="AA2807" s="10">
        <f>REPT(" ",8)</f>
        <v/>
      </c>
      <c r="AB2807" s="10">
        <f>REPT(" ",4)</f>
        <v/>
      </c>
      <c r="AC2807" s="10">
        <f>LEFT(UPPER(H2807)&amp;REPT(" ",250),250)</f>
        <v/>
      </c>
      <c r="AD2807" s="10">
        <f>TEXT($G$2,"dd/mm/aaaa")</f>
        <v/>
      </c>
      <c r="AE2807" s="10">
        <f>REPT(" ",10)</f>
        <v/>
      </c>
      <c r="AF2807" s="10">
        <f>REPT(" ",20)</f>
        <v/>
      </c>
      <c r="AG2807" s="54">
        <f>REPT(" ",18-LEN(FIXED(F2807,2,TRUE)))&amp;FIXED(F2807,2,TRUE)</f>
        <v/>
      </c>
      <c r="AH2807" s="10">
        <f>LEN(AC2807)+LEN(AG2807)</f>
        <v/>
      </c>
      <c r="AI2807" s="10">
        <f>LEN(L2807)</f>
        <v/>
      </c>
    </row>
    <row r="2808">
      <c r="J2808" s="12">
        <f>IF(F2808&lt;&gt;0,"LANÇAR","")</f>
        <v/>
      </c>
      <c r="L2808" s="13">
        <f>N2808&amp;O2808&amp;P2808&amp;Q2808&amp;R2808&amp;S2808&amp;T2808&amp;U2808&amp;V2808&amp;W2808&amp;X2808&amp;Y2808&amp;Z2808&amp;AA2808&amp;AB2808&amp;AC2808&amp;AD2808&amp;AE2808&amp;AF2808&amp;AG2808</f>
        <v/>
      </c>
      <c r="N2808" s="10">
        <f>TEXT($B$6,"00")</f>
        <v/>
      </c>
      <c r="O2808" s="10">
        <f>REPT(" ",8)</f>
        <v/>
      </c>
      <c r="P2808" s="10">
        <f>RIGHT($B$4,2)</f>
        <v/>
      </c>
      <c r="Q2808" s="10">
        <f>RIGHT($B$5,3)</f>
        <v/>
      </c>
      <c r="R2808" s="10">
        <f>IF(A2808="D",LEFT(UPPER(B2808)&amp;REPT(" ",20),20),REPT(" ",20))</f>
        <v/>
      </c>
      <c r="S2808" s="10">
        <f>IF(A2808="D",LEFT(UPPER(C2808)&amp;REPT(" ",10),10)," ")</f>
        <v/>
      </c>
      <c r="T2808" s="10">
        <f>IF(A2808="D",LEFT(UPPER(D2808)&amp;REPT(" ",2),2)," ")</f>
        <v/>
      </c>
      <c r="U2808" s="10">
        <f>IF(A2808="D",LEFT(UPPER(E2808)&amp;REPT(" ",15),15)," ")</f>
        <v/>
      </c>
      <c r="V2808" s="10">
        <f>REPT(" ",24)</f>
        <v/>
      </c>
      <c r="W2808" s="10">
        <f>IF(A2808="c",LEFT(UPPER(B2808)&amp;REPT(" ",20),20),REPT(" ",20))</f>
        <v/>
      </c>
      <c r="X2808" s="10">
        <f>IF(A2808="C",LEFT(UPPER(C2808)&amp;REPT(" ",10),10)," ")</f>
        <v/>
      </c>
      <c r="Y2808" s="10">
        <f>IF(A2808="C",LEFT(UPPER(D2808)&amp;REPT(" ",2),2)," ")</f>
        <v/>
      </c>
      <c r="Z2808" s="10">
        <f>IF(A2808="C",LEFT(UPPER(E2808)&amp;REPT(" ",15),15)," ")</f>
        <v/>
      </c>
      <c r="AA2808" s="10">
        <f>REPT(" ",8)</f>
        <v/>
      </c>
      <c r="AB2808" s="10">
        <f>REPT(" ",4)</f>
        <v/>
      </c>
      <c r="AC2808" s="10">
        <f>LEFT(UPPER(H2808)&amp;REPT(" ",250),250)</f>
        <v/>
      </c>
      <c r="AD2808" s="10">
        <f>TEXT($G$2,"dd/mm/aaaa")</f>
        <v/>
      </c>
      <c r="AE2808" s="10">
        <f>REPT(" ",10)</f>
        <v/>
      </c>
      <c r="AF2808" s="10">
        <f>REPT(" ",20)</f>
        <v/>
      </c>
      <c r="AG2808" s="54">
        <f>REPT(" ",18-LEN(FIXED(F2808,2,TRUE)))&amp;FIXED(F2808,2,TRUE)</f>
        <v/>
      </c>
      <c r="AH2808" s="10">
        <f>LEN(AC2808)+LEN(AG2808)</f>
        <v/>
      </c>
      <c r="AI2808" s="10">
        <f>LEN(L2808)</f>
        <v/>
      </c>
    </row>
    <row r="2809">
      <c r="J2809" s="12">
        <f>IF(F2809&lt;&gt;0,"LANÇAR","")</f>
        <v/>
      </c>
      <c r="L2809" s="13">
        <f>N2809&amp;O2809&amp;P2809&amp;Q2809&amp;R2809&amp;S2809&amp;T2809&amp;U2809&amp;V2809&amp;W2809&amp;X2809&amp;Y2809&amp;Z2809&amp;AA2809&amp;AB2809&amp;AC2809&amp;AD2809&amp;AE2809&amp;AF2809&amp;AG2809</f>
        <v/>
      </c>
      <c r="N2809" s="10">
        <f>TEXT($B$6,"00")</f>
        <v/>
      </c>
      <c r="O2809" s="10">
        <f>REPT(" ",8)</f>
        <v/>
      </c>
      <c r="P2809" s="10">
        <f>RIGHT($B$4,2)</f>
        <v/>
      </c>
      <c r="Q2809" s="10">
        <f>RIGHT($B$5,3)</f>
        <v/>
      </c>
      <c r="R2809" s="10">
        <f>IF(A2809="D",LEFT(UPPER(B2809)&amp;REPT(" ",20),20),REPT(" ",20))</f>
        <v/>
      </c>
      <c r="S2809" s="10">
        <f>IF(A2809="D",LEFT(UPPER(C2809)&amp;REPT(" ",10),10)," ")</f>
        <v/>
      </c>
      <c r="T2809" s="10">
        <f>IF(A2809="D",LEFT(UPPER(D2809)&amp;REPT(" ",2),2)," ")</f>
        <v/>
      </c>
      <c r="U2809" s="10">
        <f>IF(A2809="D",LEFT(UPPER(E2809)&amp;REPT(" ",15),15)," ")</f>
        <v/>
      </c>
      <c r="V2809" s="10">
        <f>REPT(" ",24)</f>
        <v/>
      </c>
      <c r="W2809" s="10">
        <f>IF(A2809="c",LEFT(UPPER(B2809)&amp;REPT(" ",20),20),REPT(" ",20))</f>
        <v/>
      </c>
      <c r="X2809" s="10">
        <f>IF(A2809="C",LEFT(UPPER(C2809)&amp;REPT(" ",10),10)," ")</f>
        <v/>
      </c>
      <c r="Y2809" s="10">
        <f>IF(A2809="C",LEFT(UPPER(D2809)&amp;REPT(" ",2),2)," ")</f>
        <v/>
      </c>
      <c r="Z2809" s="10">
        <f>IF(A2809="C",LEFT(UPPER(E2809)&amp;REPT(" ",15),15)," ")</f>
        <v/>
      </c>
      <c r="AA2809" s="10">
        <f>REPT(" ",8)</f>
        <v/>
      </c>
      <c r="AB2809" s="10">
        <f>REPT(" ",4)</f>
        <v/>
      </c>
      <c r="AC2809" s="10">
        <f>LEFT(UPPER(H2809)&amp;REPT(" ",250),250)</f>
        <v/>
      </c>
      <c r="AD2809" s="10">
        <f>TEXT($G$2,"dd/mm/aaaa")</f>
        <v/>
      </c>
      <c r="AE2809" s="10">
        <f>REPT(" ",10)</f>
        <v/>
      </c>
      <c r="AF2809" s="10">
        <f>REPT(" ",20)</f>
        <v/>
      </c>
      <c r="AG2809" s="54">
        <f>REPT(" ",18-LEN(FIXED(F2809,2,TRUE)))&amp;FIXED(F2809,2,TRUE)</f>
        <v/>
      </c>
      <c r="AH2809" s="10">
        <f>LEN(AC2809)+LEN(AG2809)</f>
        <v/>
      </c>
      <c r="AI2809" s="10">
        <f>LEN(L2809)</f>
        <v/>
      </c>
    </row>
    <row r="2810">
      <c r="J2810" s="12">
        <f>IF(F2810&lt;&gt;0,"LANÇAR","")</f>
        <v/>
      </c>
      <c r="L2810" s="13">
        <f>N2810&amp;O2810&amp;P2810&amp;Q2810&amp;R2810&amp;S2810&amp;T2810&amp;U2810&amp;V2810&amp;W2810&amp;X2810&amp;Y2810&amp;Z2810&amp;AA2810&amp;AB2810&amp;AC2810&amp;AD2810&amp;AE2810&amp;AF2810&amp;AG2810</f>
        <v/>
      </c>
      <c r="N2810" s="10">
        <f>TEXT($B$6,"00")</f>
        <v/>
      </c>
      <c r="O2810" s="10">
        <f>REPT(" ",8)</f>
        <v/>
      </c>
      <c r="P2810" s="10">
        <f>RIGHT($B$4,2)</f>
        <v/>
      </c>
      <c r="Q2810" s="10">
        <f>RIGHT($B$5,3)</f>
        <v/>
      </c>
      <c r="R2810" s="10">
        <f>IF(A2810="D",LEFT(UPPER(B2810)&amp;REPT(" ",20),20),REPT(" ",20))</f>
        <v/>
      </c>
      <c r="S2810" s="10">
        <f>IF(A2810="D",LEFT(UPPER(C2810)&amp;REPT(" ",10),10)," ")</f>
        <v/>
      </c>
      <c r="T2810" s="10">
        <f>IF(A2810="D",LEFT(UPPER(D2810)&amp;REPT(" ",2),2)," ")</f>
        <v/>
      </c>
      <c r="U2810" s="10">
        <f>IF(A2810="D",LEFT(UPPER(E2810)&amp;REPT(" ",15),15)," ")</f>
        <v/>
      </c>
      <c r="V2810" s="10">
        <f>REPT(" ",24)</f>
        <v/>
      </c>
      <c r="W2810" s="10">
        <f>IF(A2810="c",LEFT(UPPER(B2810)&amp;REPT(" ",20),20),REPT(" ",20))</f>
        <v/>
      </c>
      <c r="X2810" s="10">
        <f>IF(A2810="C",LEFT(UPPER(C2810)&amp;REPT(" ",10),10)," ")</f>
        <v/>
      </c>
      <c r="Y2810" s="10">
        <f>IF(A2810="C",LEFT(UPPER(D2810)&amp;REPT(" ",2),2)," ")</f>
        <v/>
      </c>
      <c r="Z2810" s="10">
        <f>IF(A2810="C",LEFT(UPPER(E2810)&amp;REPT(" ",15),15)," ")</f>
        <v/>
      </c>
      <c r="AA2810" s="10">
        <f>REPT(" ",8)</f>
        <v/>
      </c>
      <c r="AB2810" s="10">
        <f>REPT(" ",4)</f>
        <v/>
      </c>
      <c r="AC2810" s="10">
        <f>LEFT(UPPER(H2810)&amp;REPT(" ",250),250)</f>
        <v/>
      </c>
      <c r="AD2810" s="10">
        <f>TEXT($G$2,"dd/mm/aaaa")</f>
        <v/>
      </c>
      <c r="AE2810" s="10">
        <f>REPT(" ",10)</f>
        <v/>
      </c>
      <c r="AF2810" s="10">
        <f>REPT(" ",20)</f>
        <v/>
      </c>
      <c r="AG2810" s="54">
        <f>REPT(" ",18-LEN(FIXED(F2810,2,TRUE)))&amp;FIXED(F2810,2,TRUE)</f>
        <v/>
      </c>
      <c r="AH2810" s="10">
        <f>LEN(AC2810)+LEN(AG2810)</f>
        <v/>
      </c>
      <c r="AI2810" s="10">
        <f>LEN(L2810)</f>
        <v/>
      </c>
    </row>
    <row r="2811">
      <c r="J2811" s="12">
        <f>IF(F2811&lt;&gt;0,"LANÇAR","")</f>
        <v/>
      </c>
      <c r="L2811" s="13">
        <f>N2811&amp;O2811&amp;P2811&amp;Q2811&amp;R2811&amp;S2811&amp;T2811&amp;U2811&amp;V2811&amp;W2811&amp;X2811&amp;Y2811&amp;Z2811&amp;AA2811&amp;AB2811&amp;AC2811&amp;AD2811&amp;AE2811&amp;AF2811&amp;AG2811</f>
        <v/>
      </c>
      <c r="N2811" s="10">
        <f>TEXT($B$6,"00")</f>
        <v/>
      </c>
      <c r="O2811" s="10">
        <f>REPT(" ",8)</f>
        <v/>
      </c>
      <c r="P2811" s="10">
        <f>RIGHT($B$4,2)</f>
        <v/>
      </c>
      <c r="Q2811" s="10">
        <f>RIGHT($B$5,3)</f>
        <v/>
      </c>
      <c r="R2811" s="10">
        <f>IF(A2811="D",LEFT(UPPER(B2811)&amp;REPT(" ",20),20),REPT(" ",20))</f>
        <v/>
      </c>
      <c r="S2811" s="10">
        <f>IF(A2811="D",LEFT(UPPER(C2811)&amp;REPT(" ",10),10)," ")</f>
        <v/>
      </c>
      <c r="T2811" s="10">
        <f>IF(A2811="D",LEFT(UPPER(D2811)&amp;REPT(" ",2),2)," ")</f>
        <v/>
      </c>
      <c r="U2811" s="10">
        <f>IF(A2811="D",LEFT(UPPER(E2811)&amp;REPT(" ",15),15)," ")</f>
        <v/>
      </c>
      <c r="V2811" s="10">
        <f>REPT(" ",24)</f>
        <v/>
      </c>
      <c r="W2811" s="10">
        <f>IF(A2811="c",LEFT(UPPER(B2811)&amp;REPT(" ",20),20),REPT(" ",20))</f>
        <v/>
      </c>
      <c r="X2811" s="10">
        <f>IF(A2811="C",LEFT(UPPER(C2811)&amp;REPT(" ",10),10)," ")</f>
        <v/>
      </c>
      <c r="Y2811" s="10">
        <f>IF(A2811="C",LEFT(UPPER(D2811)&amp;REPT(" ",2),2)," ")</f>
        <v/>
      </c>
      <c r="Z2811" s="10">
        <f>IF(A2811="C",LEFT(UPPER(E2811)&amp;REPT(" ",15),15)," ")</f>
        <v/>
      </c>
      <c r="AA2811" s="10">
        <f>REPT(" ",8)</f>
        <v/>
      </c>
      <c r="AB2811" s="10">
        <f>REPT(" ",4)</f>
        <v/>
      </c>
      <c r="AC2811" s="10">
        <f>LEFT(UPPER(H2811)&amp;REPT(" ",250),250)</f>
        <v/>
      </c>
      <c r="AD2811" s="10">
        <f>TEXT($G$2,"dd/mm/aaaa")</f>
        <v/>
      </c>
      <c r="AE2811" s="10">
        <f>REPT(" ",10)</f>
        <v/>
      </c>
      <c r="AF2811" s="10">
        <f>REPT(" ",20)</f>
        <v/>
      </c>
      <c r="AG2811" s="54">
        <f>REPT(" ",18-LEN(FIXED(F2811,2,TRUE)))&amp;FIXED(F2811,2,TRUE)</f>
        <v/>
      </c>
      <c r="AH2811" s="10">
        <f>LEN(AC2811)+LEN(AG2811)</f>
        <v/>
      </c>
      <c r="AI2811" s="10">
        <f>LEN(L2811)</f>
        <v/>
      </c>
    </row>
    <row r="2812">
      <c r="J2812" s="12">
        <f>IF(F2812&lt;&gt;0,"LANÇAR","")</f>
        <v/>
      </c>
      <c r="L2812" s="13">
        <f>N2812&amp;O2812&amp;P2812&amp;Q2812&amp;R2812&amp;S2812&amp;T2812&amp;U2812&amp;V2812&amp;W2812&amp;X2812&amp;Y2812&amp;Z2812&amp;AA2812&amp;AB2812&amp;AC2812&amp;AD2812&amp;AE2812&amp;AF2812&amp;AG2812</f>
        <v/>
      </c>
      <c r="N2812" s="10">
        <f>TEXT($B$6,"00")</f>
        <v/>
      </c>
      <c r="O2812" s="10">
        <f>REPT(" ",8)</f>
        <v/>
      </c>
      <c r="P2812" s="10">
        <f>RIGHT($B$4,2)</f>
        <v/>
      </c>
      <c r="Q2812" s="10">
        <f>RIGHT($B$5,3)</f>
        <v/>
      </c>
      <c r="R2812" s="10">
        <f>IF(A2812="D",LEFT(UPPER(B2812)&amp;REPT(" ",20),20),REPT(" ",20))</f>
        <v/>
      </c>
      <c r="S2812" s="10">
        <f>IF(A2812="D",LEFT(UPPER(C2812)&amp;REPT(" ",10),10)," ")</f>
        <v/>
      </c>
      <c r="T2812" s="10">
        <f>IF(A2812="D",LEFT(UPPER(D2812)&amp;REPT(" ",2),2)," ")</f>
        <v/>
      </c>
      <c r="U2812" s="10">
        <f>IF(A2812="D",LEFT(UPPER(E2812)&amp;REPT(" ",15),15)," ")</f>
        <v/>
      </c>
      <c r="V2812" s="10">
        <f>REPT(" ",24)</f>
        <v/>
      </c>
      <c r="W2812" s="10">
        <f>IF(A2812="c",LEFT(UPPER(B2812)&amp;REPT(" ",20),20),REPT(" ",20))</f>
        <v/>
      </c>
      <c r="X2812" s="10">
        <f>IF(A2812="C",LEFT(UPPER(C2812)&amp;REPT(" ",10),10)," ")</f>
        <v/>
      </c>
      <c r="Y2812" s="10">
        <f>IF(A2812="C",LEFT(UPPER(D2812)&amp;REPT(" ",2),2)," ")</f>
        <v/>
      </c>
      <c r="Z2812" s="10">
        <f>IF(A2812="C",LEFT(UPPER(E2812)&amp;REPT(" ",15),15)," ")</f>
        <v/>
      </c>
      <c r="AA2812" s="10">
        <f>REPT(" ",8)</f>
        <v/>
      </c>
      <c r="AB2812" s="10">
        <f>REPT(" ",4)</f>
        <v/>
      </c>
      <c r="AC2812" s="10">
        <f>LEFT(UPPER(H2812)&amp;REPT(" ",250),250)</f>
        <v/>
      </c>
      <c r="AD2812" s="10">
        <f>TEXT($G$2,"dd/mm/aaaa")</f>
        <v/>
      </c>
      <c r="AE2812" s="10">
        <f>REPT(" ",10)</f>
        <v/>
      </c>
      <c r="AF2812" s="10">
        <f>REPT(" ",20)</f>
        <v/>
      </c>
      <c r="AG2812" s="54">
        <f>REPT(" ",18-LEN(FIXED(F2812,2,TRUE)))&amp;FIXED(F2812,2,TRUE)</f>
        <v/>
      </c>
      <c r="AH2812" s="10">
        <f>LEN(AC2812)+LEN(AG2812)</f>
        <v/>
      </c>
      <c r="AI2812" s="10">
        <f>LEN(L2812)</f>
        <v/>
      </c>
    </row>
    <row r="2813">
      <c r="J2813" s="12">
        <f>IF(F2813&lt;&gt;0,"LANÇAR","")</f>
        <v/>
      </c>
      <c r="L2813" s="13">
        <f>N2813&amp;O2813&amp;P2813&amp;Q2813&amp;R2813&amp;S2813&amp;T2813&amp;U2813&amp;V2813&amp;W2813&amp;X2813&amp;Y2813&amp;Z2813&amp;AA2813&amp;AB2813&amp;AC2813&amp;AD2813&amp;AE2813&amp;AF2813&amp;AG2813</f>
        <v/>
      </c>
      <c r="N2813" s="10">
        <f>TEXT($B$6,"00")</f>
        <v/>
      </c>
      <c r="O2813" s="10">
        <f>REPT(" ",8)</f>
        <v/>
      </c>
      <c r="P2813" s="10">
        <f>RIGHT($B$4,2)</f>
        <v/>
      </c>
      <c r="Q2813" s="10">
        <f>RIGHT($B$5,3)</f>
        <v/>
      </c>
      <c r="R2813" s="10">
        <f>IF(A2813="D",LEFT(UPPER(B2813)&amp;REPT(" ",20),20),REPT(" ",20))</f>
        <v/>
      </c>
      <c r="S2813" s="10">
        <f>IF(A2813="D",LEFT(UPPER(C2813)&amp;REPT(" ",10),10)," ")</f>
        <v/>
      </c>
      <c r="T2813" s="10">
        <f>IF(A2813="D",LEFT(UPPER(D2813)&amp;REPT(" ",2),2)," ")</f>
        <v/>
      </c>
      <c r="U2813" s="10">
        <f>IF(A2813="D",LEFT(UPPER(E2813)&amp;REPT(" ",15),15)," ")</f>
        <v/>
      </c>
      <c r="V2813" s="10">
        <f>REPT(" ",24)</f>
        <v/>
      </c>
      <c r="W2813" s="10">
        <f>IF(A2813="c",LEFT(UPPER(B2813)&amp;REPT(" ",20),20),REPT(" ",20))</f>
        <v/>
      </c>
      <c r="X2813" s="10">
        <f>IF(A2813="C",LEFT(UPPER(C2813)&amp;REPT(" ",10),10)," ")</f>
        <v/>
      </c>
      <c r="Y2813" s="10">
        <f>IF(A2813="C",LEFT(UPPER(D2813)&amp;REPT(" ",2),2)," ")</f>
        <v/>
      </c>
      <c r="Z2813" s="10">
        <f>IF(A2813="C",LEFT(UPPER(E2813)&amp;REPT(" ",15),15)," ")</f>
        <v/>
      </c>
      <c r="AA2813" s="10">
        <f>REPT(" ",8)</f>
        <v/>
      </c>
      <c r="AB2813" s="10">
        <f>REPT(" ",4)</f>
        <v/>
      </c>
      <c r="AC2813" s="10">
        <f>LEFT(UPPER(H2813)&amp;REPT(" ",250),250)</f>
        <v/>
      </c>
      <c r="AD2813" s="10">
        <f>TEXT($G$2,"dd/mm/aaaa")</f>
        <v/>
      </c>
      <c r="AE2813" s="10">
        <f>REPT(" ",10)</f>
        <v/>
      </c>
      <c r="AF2813" s="10">
        <f>REPT(" ",20)</f>
        <v/>
      </c>
      <c r="AG2813" s="54">
        <f>REPT(" ",18-LEN(FIXED(F2813,2,TRUE)))&amp;FIXED(F2813,2,TRUE)</f>
        <v/>
      </c>
      <c r="AH2813" s="10">
        <f>LEN(AC2813)+LEN(AG2813)</f>
        <v/>
      </c>
      <c r="AI2813" s="10">
        <f>LEN(L2813)</f>
        <v/>
      </c>
    </row>
    <row r="2814">
      <c r="J2814" s="12">
        <f>IF(F2814&lt;&gt;0,"LANÇAR","")</f>
        <v/>
      </c>
      <c r="L2814" s="13">
        <f>N2814&amp;O2814&amp;P2814&amp;Q2814&amp;R2814&amp;S2814&amp;T2814&amp;U2814&amp;V2814&amp;W2814&amp;X2814&amp;Y2814&amp;Z2814&amp;AA2814&amp;AB2814&amp;AC2814&amp;AD2814&amp;AE2814&amp;AF2814&amp;AG2814</f>
        <v/>
      </c>
      <c r="N2814" s="10">
        <f>TEXT($B$6,"00")</f>
        <v/>
      </c>
      <c r="O2814" s="10">
        <f>REPT(" ",8)</f>
        <v/>
      </c>
      <c r="P2814" s="10">
        <f>RIGHT($B$4,2)</f>
        <v/>
      </c>
      <c r="Q2814" s="10">
        <f>RIGHT($B$5,3)</f>
        <v/>
      </c>
      <c r="R2814" s="10">
        <f>IF(A2814="D",LEFT(UPPER(B2814)&amp;REPT(" ",20),20),REPT(" ",20))</f>
        <v/>
      </c>
      <c r="S2814" s="10">
        <f>IF(A2814="D",LEFT(UPPER(C2814)&amp;REPT(" ",10),10)," ")</f>
        <v/>
      </c>
      <c r="T2814" s="10">
        <f>IF(A2814="D",LEFT(UPPER(D2814)&amp;REPT(" ",2),2)," ")</f>
        <v/>
      </c>
      <c r="U2814" s="10">
        <f>IF(A2814="D",LEFT(UPPER(E2814)&amp;REPT(" ",15),15)," ")</f>
        <v/>
      </c>
      <c r="V2814" s="10">
        <f>REPT(" ",24)</f>
        <v/>
      </c>
      <c r="W2814" s="10">
        <f>IF(A2814="c",LEFT(UPPER(B2814)&amp;REPT(" ",20),20),REPT(" ",20))</f>
        <v/>
      </c>
      <c r="X2814" s="10">
        <f>IF(A2814="C",LEFT(UPPER(C2814)&amp;REPT(" ",10),10)," ")</f>
        <v/>
      </c>
      <c r="Y2814" s="10">
        <f>IF(A2814="C",LEFT(UPPER(D2814)&amp;REPT(" ",2),2)," ")</f>
        <v/>
      </c>
      <c r="Z2814" s="10">
        <f>IF(A2814="C",LEFT(UPPER(E2814)&amp;REPT(" ",15),15)," ")</f>
        <v/>
      </c>
      <c r="AA2814" s="10">
        <f>REPT(" ",8)</f>
        <v/>
      </c>
      <c r="AB2814" s="10">
        <f>REPT(" ",4)</f>
        <v/>
      </c>
      <c r="AC2814" s="10">
        <f>LEFT(UPPER(H2814)&amp;REPT(" ",250),250)</f>
        <v/>
      </c>
      <c r="AD2814" s="10">
        <f>TEXT($G$2,"dd/mm/aaaa")</f>
        <v/>
      </c>
      <c r="AE2814" s="10">
        <f>REPT(" ",10)</f>
        <v/>
      </c>
      <c r="AF2814" s="10">
        <f>REPT(" ",20)</f>
        <v/>
      </c>
      <c r="AG2814" s="54">
        <f>REPT(" ",18-LEN(FIXED(F2814,2,TRUE)))&amp;FIXED(F2814,2,TRUE)</f>
        <v/>
      </c>
      <c r="AH2814" s="10">
        <f>LEN(AC2814)+LEN(AG2814)</f>
        <v/>
      </c>
      <c r="AI2814" s="10">
        <f>LEN(L2814)</f>
        <v/>
      </c>
    </row>
    <row r="2815">
      <c r="J2815" s="12">
        <f>IF(F2815&lt;&gt;0,"LANÇAR","")</f>
        <v/>
      </c>
      <c r="L2815" s="13">
        <f>N2815&amp;O2815&amp;P2815&amp;Q2815&amp;R2815&amp;S2815&amp;T2815&amp;U2815&amp;V2815&amp;W2815&amp;X2815&amp;Y2815&amp;Z2815&amp;AA2815&amp;AB2815&amp;AC2815&amp;AD2815&amp;AE2815&amp;AF2815&amp;AG2815</f>
        <v/>
      </c>
      <c r="N2815" s="10">
        <f>TEXT($B$6,"00")</f>
        <v/>
      </c>
      <c r="O2815" s="10">
        <f>REPT(" ",8)</f>
        <v/>
      </c>
      <c r="P2815" s="10">
        <f>RIGHT($B$4,2)</f>
        <v/>
      </c>
      <c r="Q2815" s="10">
        <f>RIGHT($B$5,3)</f>
        <v/>
      </c>
      <c r="R2815" s="10">
        <f>IF(A2815="D",LEFT(UPPER(B2815)&amp;REPT(" ",20),20),REPT(" ",20))</f>
        <v/>
      </c>
      <c r="S2815" s="10">
        <f>IF(A2815="D",LEFT(UPPER(C2815)&amp;REPT(" ",10),10)," ")</f>
        <v/>
      </c>
      <c r="T2815" s="10">
        <f>IF(A2815="D",LEFT(UPPER(D2815)&amp;REPT(" ",2),2)," ")</f>
        <v/>
      </c>
      <c r="U2815" s="10">
        <f>IF(A2815="D",LEFT(UPPER(E2815)&amp;REPT(" ",15),15)," ")</f>
        <v/>
      </c>
      <c r="V2815" s="10">
        <f>REPT(" ",24)</f>
        <v/>
      </c>
      <c r="W2815" s="10">
        <f>IF(A2815="c",LEFT(UPPER(B2815)&amp;REPT(" ",20),20),REPT(" ",20))</f>
        <v/>
      </c>
      <c r="X2815" s="10">
        <f>IF(A2815="C",LEFT(UPPER(C2815)&amp;REPT(" ",10),10)," ")</f>
        <v/>
      </c>
      <c r="Y2815" s="10">
        <f>IF(A2815="C",LEFT(UPPER(D2815)&amp;REPT(" ",2),2)," ")</f>
        <v/>
      </c>
      <c r="Z2815" s="10">
        <f>IF(A2815="C",LEFT(UPPER(E2815)&amp;REPT(" ",15),15)," ")</f>
        <v/>
      </c>
      <c r="AA2815" s="10">
        <f>REPT(" ",8)</f>
        <v/>
      </c>
      <c r="AB2815" s="10">
        <f>REPT(" ",4)</f>
        <v/>
      </c>
      <c r="AC2815" s="10">
        <f>LEFT(UPPER(H2815)&amp;REPT(" ",250),250)</f>
        <v/>
      </c>
      <c r="AD2815" s="10">
        <f>TEXT($G$2,"dd/mm/aaaa")</f>
        <v/>
      </c>
      <c r="AE2815" s="10">
        <f>REPT(" ",10)</f>
        <v/>
      </c>
      <c r="AF2815" s="10">
        <f>REPT(" ",20)</f>
        <v/>
      </c>
      <c r="AG2815" s="54">
        <f>REPT(" ",18-LEN(FIXED(F2815,2,TRUE)))&amp;FIXED(F2815,2,TRUE)</f>
        <v/>
      </c>
      <c r="AH2815" s="10">
        <f>LEN(AC2815)+LEN(AG2815)</f>
        <v/>
      </c>
      <c r="AI2815" s="10">
        <f>LEN(L2815)</f>
        <v/>
      </c>
    </row>
    <row r="2816">
      <c r="J2816" s="12">
        <f>IF(F2816&lt;&gt;0,"LANÇAR","")</f>
        <v/>
      </c>
      <c r="L2816" s="13">
        <f>N2816&amp;O2816&amp;P2816&amp;Q2816&amp;R2816&amp;S2816&amp;T2816&amp;U2816&amp;V2816&amp;W2816&amp;X2816&amp;Y2816&amp;Z2816&amp;AA2816&amp;AB2816&amp;AC2816&amp;AD2816&amp;AE2816&amp;AF2816&amp;AG2816</f>
        <v/>
      </c>
      <c r="N2816" s="10">
        <f>TEXT($B$6,"00")</f>
        <v/>
      </c>
      <c r="O2816" s="10">
        <f>REPT(" ",8)</f>
        <v/>
      </c>
      <c r="P2816" s="10">
        <f>RIGHT($B$4,2)</f>
        <v/>
      </c>
      <c r="Q2816" s="10">
        <f>RIGHT($B$5,3)</f>
        <v/>
      </c>
      <c r="R2816" s="10">
        <f>IF(A2816="D",LEFT(UPPER(B2816)&amp;REPT(" ",20),20),REPT(" ",20))</f>
        <v/>
      </c>
      <c r="S2816" s="10">
        <f>IF(A2816="D",LEFT(UPPER(C2816)&amp;REPT(" ",10),10)," ")</f>
        <v/>
      </c>
      <c r="T2816" s="10">
        <f>IF(A2816="D",LEFT(UPPER(D2816)&amp;REPT(" ",2),2)," ")</f>
        <v/>
      </c>
      <c r="U2816" s="10">
        <f>IF(A2816="D",LEFT(UPPER(E2816)&amp;REPT(" ",15),15)," ")</f>
        <v/>
      </c>
      <c r="V2816" s="10">
        <f>REPT(" ",24)</f>
        <v/>
      </c>
      <c r="W2816" s="10">
        <f>IF(A2816="c",LEFT(UPPER(B2816)&amp;REPT(" ",20),20),REPT(" ",20))</f>
        <v/>
      </c>
      <c r="X2816" s="10">
        <f>IF(A2816="C",LEFT(UPPER(C2816)&amp;REPT(" ",10),10)," ")</f>
        <v/>
      </c>
      <c r="Y2816" s="10">
        <f>IF(A2816="C",LEFT(UPPER(D2816)&amp;REPT(" ",2),2)," ")</f>
        <v/>
      </c>
      <c r="Z2816" s="10">
        <f>IF(A2816="C",LEFT(UPPER(E2816)&amp;REPT(" ",15),15)," ")</f>
        <v/>
      </c>
      <c r="AA2816" s="10">
        <f>REPT(" ",8)</f>
        <v/>
      </c>
      <c r="AB2816" s="10">
        <f>REPT(" ",4)</f>
        <v/>
      </c>
      <c r="AC2816" s="10">
        <f>LEFT(UPPER(H2816)&amp;REPT(" ",250),250)</f>
        <v/>
      </c>
      <c r="AD2816" s="10">
        <f>TEXT($G$2,"dd/mm/aaaa")</f>
        <v/>
      </c>
      <c r="AE2816" s="10">
        <f>REPT(" ",10)</f>
        <v/>
      </c>
      <c r="AF2816" s="10">
        <f>REPT(" ",20)</f>
        <v/>
      </c>
      <c r="AG2816" s="54">
        <f>REPT(" ",18-LEN(FIXED(F2816,2,TRUE)))&amp;FIXED(F2816,2,TRUE)</f>
        <v/>
      </c>
      <c r="AH2816" s="10">
        <f>LEN(AC2816)+LEN(AG2816)</f>
        <v/>
      </c>
      <c r="AI2816" s="10">
        <f>LEN(L2816)</f>
        <v/>
      </c>
    </row>
    <row r="2817">
      <c r="J2817" s="12">
        <f>IF(F2817&lt;&gt;0,"LANÇAR","")</f>
        <v/>
      </c>
      <c r="L2817" s="13">
        <f>N2817&amp;O2817&amp;P2817&amp;Q2817&amp;R2817&amp;S2817&amp;T2817&amp;U2817&amp;V2817&amp;W2817&amp;X2817&amp;Y2817&amp;Z2817&amp;AA2817&amp;AB2817&amp;AC2817&amp;AD2817&amp;AE2817&amp;AF2817&amp;AG2817</f>
        <v/>
      </c>
      <c r="N2817" s="10">
        <f>TEXT($B$6,"00")</f>
        <v/>
      </c>
      <c r="O2817" s="10">
        <f>REPT(" ",8)</f>
        <v/>
      </c>
      <c r="P2817" s="10">
        <f>RIGHT($B$4,2)</f>
        <v/>
      </c>
      <c r="Q2817" s="10">
        <f>RIGHT($B$5,3)</f>
        <v/>
      </c>
      <c r="R2817" s="10">
        <f>IF(A2817="D",LEFT(UPPER(B2817)&amp;REPT(" ",20),20),REPT(" ",20))</f>
        <v/>
      </c>
      <c r="S2817" s="10">
        <f>IF(A2817="D",LEFT(UPPER(C2817)&amp;REPT(" ",10),10)," ")</f>
        <v/>
      </c>
      <c r="T2817" s="10">
        <f>IF(A2817="D",LEFT(UPPER(D2817)&amp;REPT(" ",2),2)," ")</f>
        <v/>
      </c>
      <c r="U2817" s="10">
        <f>IF(A2817="D",LEFT(UPPER(E2817)&amp;REPT(" ",15),15)," ")</f>
        <v/>
      </c>
      <c r="V2817" s="10">
        <f>REPT(" ",24)</f>
        <v/>
      </c>
      <c r="W2817" s="10">
        <f>IF(A2817="c",LEFT(UPPER(B2817)&amp;REPT(" ",20),20),REPT(" ",20))</f>
        <v/>
      </c>
      <c r="X2817" s="10">
        <f>IF(A2817="C",LEFT(UPPER(C2817)&amp;REPT(" ",10),10)," ")</f>
        <v/>
      </c>
      <c r="Y2817" s="10">
        <f>IF(A2817="C",LEFT(UPPER(D2817)&amp;REPT(" ",2),2)," ")</f>
        <v/>
      </c>
      <c r="Z2817" s="10">
        <f>IF(A2817="C",LEFT(UPPER(E2817)&amp;REPT(" ",15),15)," ")</f>
        <v/>
      </c>
      <c r="AA2817" s="10">
        <f>REPT(" ",8)</f>
        <v/>
      </c>
      <c r="AB2817" s="10">
        <f>REPT(" ",4)</f>
        <v/>
      </c>
      <c r="AC2817" s="10">
        <f>LEFT(UPPER(H2817)&amp;REPT(" ",250),250)</f>
        <v/>
      </c>
      <c r="AD2817" s="10">
        <f>TEXT($G$2,"dd/mm/aaaa")</f>
        <v/>
      </c>
      <c r="AE2817" s="10">
        <f>REPT(" ",10)</f>
        <v/>
      </c>
      <c r="AF2817" s="10">
        <f>REPT(" ",20)</f>
        <v/>
      </c>
      <c r="AG2817" s="54">
        <f>REPT(" ",18-LEN(FIXED(F2817,2,TRUE)))&amp;FIXED(F2817,2,TRUE)</f>
        <v/>
      </c>
      <c r="AH2817" s="10">
        <f>LEN(AC2817)+LEN(AG2817)</f>
        <v/>
      </c>
      <c r="AI2817" s="10">
        <f>LEN(L2817)</f>
        <v/>
      </c>
    </row>
    <row r="2818">
      <c r="J2818" s="12">
        <f>IF(F2818&lt;&gt;0,"LANÇAR","")</f>
        <v/>
      </c>
      <c r="L2818" s="13">
        <f>N2818&amp;O2818&amp;P2818&amp;Q2818&amp;R2818&amp;S2818&amp;T2818&amp;U2818&amp;V2818&amp;W2818&amp;X2818&amp;Y2818&amp;Z2818&amp;AA2818&amp;AB2818&amp;AC2818&amp;AD2818&amp;AE2818&amp;AF2818&amp;AG2818</f>
        <v/>
      </c>
      <c r="N2818" s="10">
        <f>TEXT($B$6,"00")</f>
        <v/>
      </c>
      <c r="O2818" s="10">
        <f>REPT(" ",8)</f>
        <v/>
      </c>
      <c r="P2818" s="10">
        <f>RIGHT($B$4,2)</f>
        <v/>
      </c>
      <c r="Q2818" s="10">
        <f>RIGHT($B$5,3)</f>
        <v/>
      </c>
      <c r="R2818" s="10">
        <f>IF(A2818="D",LEFT(UPPER(B2818)&amp;REPT(" ",20),20),REPT(" ",20))</f>
        <v/>
      </c>
      <c r="S2818" s="10">
        <f>IF(A2818="D",LEFT(UPPER(C2818)&amp;REPT(" ",10),10)," ")</f>
        <v/>
      </c>
      <c r="T2818" s="10">
        <f>IF(A2818="D",LEFT(UPPER(D2818)&amp;REPT(" ",2),2)," ")</f>
        <v/>
      </c>
      <c r="U2818" s="10">
        <f>IF(A2818="D",LEFT(UPPER(E2818)&amp;REPT(" ",15),15)," ")</f>
        <v/>
      </c>
      <c r="V2818" s="10">
        <f>REPT(" ",24)</f>
        <v/>
      </c>
      <c r="W2818" s="10">
        <f>IF(A2818="c",LEFT(UPPER(B2818)&amp;REPT(" ",20),20),REPT(" ",20))</f>
        <v/>
      </c>
      <c r="X2818" s="10">
        <f>IF(A2818="C",LEFT(UPPER(C2818)&amp;REPT(" ",10),10)," ")</f>
        <v/>
      </c>
      <c r="Y2818" s="10">
        <f>IF(A2818="C",LEFT(UPPER(D2818)&amp;REPT(" ",2),2)," ")</f>
        <v/>
      </c>
      <c r="Z2818" s="10">
        <f>IF(A2818="C",LEFT(UPPER(E2818)&amp;REPT(" ",15),15)," ")</f>
        <v/>
      </c>
      <c r="AA2818" s="10">
        <f>REPT(" ",8)</f>
        <v/>
      </c>
      <c r="AB2818" s="10">
        <f>REPT(" ",4)</f>
        <v/>
      </c>
      <c r="AC2818" s="10">
        <f>LEFT(UPPER(H2818)&amp;REPT(" ",250),250)</f>
        <v/>
      </c>
      <c r="AD2818" s="10">
        <f>TEXT($G$2,"dd/mm/aaaa")</f>
        <v/>
      </c>
      <c r="AE2818" s="10">
        <f>REPT(" ",10)</f>
        <v/>
      </c>
      <c r="AF2818" s="10">
        <f>REPT(" ",20)</f>
        <v/>
      </c>
      <c r="AG2818" s="54">
        <f>REPT(" ",18-LEN(FIXED(F2818,2,TRUE)))&amp;FIXED(F2818,2,TRUE)</f>
        <v/>
      </c>
      <c r="AH2818" s="10">
        <f>LEN(AC2818)+LEN(AG2818)</f>
        <v/>
      </c>
      <c r="AI2818" s="10">
        <f>LEN(L2818)</f>
        <v/>
      </c>
    </row>
    <row r="2819">
      <c r="J2819" s="12">
        <f>IF(F2819&lt;&gt;0,"LANÇAR","")</f>
        <v/>
      </c>
      <c r="L2819" s="13">
        <f>N2819&amp;O2819&amp;P2819&amp;Q2819&amp;R2819&amp;S2819&amp;T2819&amp;U2819&amp;V2819&amp;W2819&amp;X2819&amp;Y2819&amp;Z2819&amp;AA2819&amp;AB2819&amp;AC2819&amp;AD2819&amp;AE2819&amp;AF2819&amp;AG2819</f>
        <v/>
      </c>
      <c r="N2819" s="10">
        <f>TEXT($B$6,"00")</f>
        <v/>
      </c>
      <c r="O2819" s="10">
        <f>REPT(" ",8)</f>
        <v/>
      </c>
      <c r="P2819" s="10">
        <f>RIGHT($B$4,2)</f>
        <v/>
      </c>
      <c r="Q2819" s="10">
        <f>RIGHT($B$5,3)</f>
        <v/>
      </c>
      <c r="R2819" s="10">
        <f>IF(A2819="D",LEFT(UPPER(B2819)&amp;REPT(" ",20),20),REPT(" ",20))</f>
        <v/>
      </c>
      <c r="S2819" s="10">
        <f>IF(A2819="D",LEFT(UPPER(C2819)&amp;REPT(" ",10),10)," ")</f>
        <v/>
      </c>
      <c r="T2819" s="10">
        <f>IF(A2819="D",LEFT(UPPER(D2819)&amp;REPT(" ",2),2)," ")</f>
        <v/>
      </c>
      <c r="U2819" s="10">
        <f>IF(A2819="D",LEFT(UPPER(E2819)&amp;REPT(" ",15),15)," ")</f>
        <v/>
      </c>
      <c r="V2819" s="10">
        <f>REPT(" ",24)</f>
        <v/>
      </c>
      <c r="W2819" s="10">
        <f>IF(A2819="c",LEFT(UPPER(B2819)&amp;REPT(" ",20),20),REPT(" ",20))</f>
        <v/>
      </c>
      <c r="X2819" s="10">
        <f>IF(A2819="C",LEFT(UPPER(C2819)&amp;REPT(" ",10),10)," ")</f>
        <v/>
      </c>
      <c r="Y2819" s="10">
        <f>IF(A2819="C",LEFT(UPPER(D2819)&amp;REPT(" ",2),2)," ")</f>
        <v/>
      </c>
      <c r="Z2819" s="10">
        <f>IF(A2819="C",LEFT(UPPER(E2819)&amp;REPT(" ",15),15)," ")</f>
        <v/>
      </c>
      <c r="AA2819" s="10">
        <f>REPT(" ",8)</f>
        <v/>
      </c>
      <c r="AB2819" s="10">
        <f>REPT(" ",4)</f>
        <v/>
      </c>
      <c r="AC2819" s="10">
        <f>LEFT(UPPER(H2819)&amp;REPT(" ",250),250)</f>
        <v/>
      </c>
      <c r="AD2819" s="10">
        <f>TEXT($G$2,"dd/mm/aaaa")</f>
        <v/>
      </c>
      <c r="AE2819" s="10">
        <f>REPT(" ",10)</f>
        <v/>
      </c>
      <c r="AF2819" s="10">
        <f>REPT(" ",20)</f>
        <v/>
      </c>
      <c r="AG2819" s="54">
        <f>REPT(" ",18-LEN(FIXED(F2819,2,TRUE)))&amp;FIXED(F2819,2,TRUE)</f>
        <v/>
      </c>
      <c r="AH2819" s="10">
        <f>LEN(AC2819)+LEN(AG2819)</f>
        <v/>
      </c>
      <c r="AI2819" s="10">
        <f>LEN(L2819)</f>
        <v/>
      </c>
    </row>
    <row r="2820">
      <c r="J2820" s="12">
        <f>IF(F2820&lt;&gt;0,"LANÇAR","")</f>
        <v/>
      </c>
      <c r="L2820" s="13">
        <f>N2820&amp;O2820&amp;P2820&amp;Q2820&amp;R2820&amp;S2820&amp;T2820&amp;U2820&amp;V2820&amp;W2820&amp;X2820&amp;Y2820&amp;Z2820&amp;AA2820&amp;AB2820&amp;AC2820&amp;AD2820&amp;AE2820&amp;AF2820&amp;AG2820</f>
        <v/>
      </c>
      <c r="N2820" s="10">
        <f>TEXT($B$6,"00")</f>
        <v/>
      </c>
      <c r="O2820" s="10">
        <f>REPT(" ",8)</f>
        <v/>
      </c>
      <c r="P2820" s="10">
        <f>RIGHT($B$4,2)</f>
        <v/>
      </c>
      <c r="Q2820" s="10">
        <f>RIGHT($B$5,3)</f>
        <v/>
      </c>
      <c r="R2820" s="10">
        <f>IF(A2820="D",LEFT(UPPER(B2820)&amp;REPT(" ",20),20),REPT(" ",20))</f>
        <v/>
      </c>
      <c r="S2820" s="10">
        <f>IF(A2820="D",LEFT(UPPER(C2820)&amp;REPT(" ",10),10)," ")</f>
        <v/>
      </c>
      <c r="T2820" s="10">
        <f>IF(A2820="D",LEFT(UPPER(D2820)&amp;REPT(" ",2),2)," ")</f>
        <v/>
      </c>
      <c r="U2820" s="10">
        <f>IF(A2820="D",LEFT(UPPER(E2820)&amp;REPT(" ",15),15)," ")</f>
        <v/>
      </c>
      <c r="V2820" s="10">
        <f>REPT(" ",24)</f>
        <v/>
      </c>
      <c r="W2820" s="10">
        <f>IF(A2820="c",LEFT(UPPER(B2820)&amp;REPT(" ",20),20),REPT(" ",20))</f>
        <v/>
      </c>
      <c r="X2820" s="10">
        <f>IF(A2820="C",LEFT(UPPER(C2820)&amp;REPT(" ",10),10)," ")</f>
        <v/>
      </c>
      <c r="Y2820" s="10">
        <f>IF(A2820="C",LEFT(UPPER(D2820)&amp;REPT(" ",2),2)," ")</f>
        <v/>
      </c>
      <c r="Z2820" s="10">
        <f>IF(A2820="C",LEFT(UPPER(E2820)&amp;REPT(" ",15),15)," ")</f>
        <v/>
      </c>
      <c r="AA2820" s="10">
        <f>REPT(" ",8)</f>
        <v/>
      </c>
      <c r="AB2820" s="10">
        <f>REPT(" ",4)</f>
        <v/>
      </c>
      <c r="AC2820" s="10">
        <f>LEFT(UPPER(H2820)&amp;REPT(" ",250),250)</f>
        <v/>
      </c>
      <c r="AD2820" s="10">
        <f>TEXT($G$2,"dd/mm/aaaa")</f>
        <v/>
      </c>
      <c r="AE2820" s="10">
        <f>REPT(" ",10)</f>
        <v/>
      </c>
      <c r="AF2820" s="10">
        <f>REPT(" ",20)</f>
        <v/>
      </c>
      <c r="AG2820" s="54">
        <f>REPT(" ",18-LEN(FIXED(F2820,2,TRUE)))&amp;FIXED(F2820,2,TRUE)</f>
        <v/>
      </c>
      <c r="AH2820" s="10">
        <f>LEN(AC2820)+LEN(AG2820)</f>
        <v/>
      </c>
      <c r="AI2820" s="10">
        <f>LEN(L2820)</f>
        <v/>
      </c>
    </row>
    <row r="2821">
      <c r="J2821" s="12">
        <f>IF(F2821&lt;&gt;0,"LANÇAR","")</f>
        <v/>
      </c>
      <c r="L2821" s="13">
        <f>N2821&amp;O2821&amp;P2821&amp;Q2821&amp;R2821&amp;S2821&amp;T2821&amp;U2821&amp;V2821&amp;W2821&amp;X2821&amp;Y2821&amp;Z2821&amp;AA2821&amp;AB2821&amp;AC2821&amp;AD2821&amp;AE2821&amp;AF2821&amp;AG2821</f>
        <v/>
      </c>
      <c r="N2821" s="10">
        <f>TEXT($B$6,"00")</f>
        <v/>
      </c>
      <c r="O2821" s="10">
        <f>REPT(" ",8)</f>
        <v/>
      </c>
      <c r="P2821" s="10">
        <f>RIGHT($B$4,2)</f>
        <v/>
      </c>
      <c r="Q2821" s="10">
        <f>RIGHT($B$5,3)</f>
        <v/>
      </c>
      <c r="R2821" s="10">
        <f>IF(A2821="D",LEFT(UPPER(B2821)&amp;REPT(" ",20),20),REPT(" ",20))</f>
        <v/>
      </c>
      <c r="S2821" s="10">
        <f>IF(A2821="D",LEFT(UPPER(C2821)&amp;REPT(" ",10),10)," ")</f>
        <v/>
      </c>
      <c r="T2821" s="10">
        <f>IF(A2821="D",LEFT(UPPER(D2821)&amp;REPT(" ",2),2)," ")</f>
        <v/>
      </c>
      <c r="U2821" s="10">
        <f>IF(A2821="D",LEFT(UPPER(E2821)&amp;REPT(" ",15),15)," ")</f>
        <v/>
      </c>
      <c r="V2821" s="10">
        <f>REPT(" ",24)</f>
        <v/>
      </c>
      <c r="W2821" s="10">
        <f>IF(A2821="c",LEFT(UPPER(B2821)&amp;REPT(" ",20),20),REPT(" ",20))</f>
        <v/>
      </c>
      <c r="X2821" s="10">
        <f>IF(A2821="C",LEFT(UPPER(C2821)&amp;REPT(" ",10),10)," ")</f>
        <v/>
      </c>
      <c r="Y2821" s="10">
        <f>IF(A2821="C",LEFT(UPPER(D2821)&amp;REPT(" ",2),2)," ")</f>
        <v/>
      </c>
      <c r="Z2821" s="10">
        <f>IF(A2821="C",LEFT(UPPER(E2821)&amp;REPT(" ",15),15)," ")</f>
        <v/>
      </c>
      <c r="AA2821" s="10">
        <f>REPT(" ",8)</f>
        <v/>
      </c>
      <c r="AB2821" s="10">
        <f>REPT(" ",4)</f>
        <v/>
      </c>
      <c r="AC2821" s="10">
        <f>LEFT(UPPER(H2821)&amp;REPT(" ",250),250)</f>
        <v/>
      </c>
      <c r="AD2821" s="10">
        <f>TEXT($G$2,"dd/mm/aaaa")</f>
        <v/>
      </c>
      <c r="AE2821" s="10">
        <f>REPT(" ",10)</f>
        <v/>
      </c>
      <c r="AF2821" s="10">
        <f>REPT(" ",20)</f>
        <v/>
      </c>
      <c r="AG2821" s="54">
        <f>REPT(" ",18-LEN(FIXED(F2821,2,TRUE)))&amp;FIXED(F2821,2,TRUE)</f>
        <v/>
      </c>
      <c r="AH2821" s="10">
        <f>LEN(AC2821)+LEN(AG2821)</f>
        <v/>
      </c>
      <c r="AI2821" s="10">
        <f>LEN(L2821)</f>
        <v/>
      </c>
    </row>
    <row r="2822">
      <c r="J2822" s="12">
        <f>IF(F2822&lt;&gt;0,"LANÇAR","")</f>
        <v/>
      </c>
      <c r="L2822" s="13">
        <f>N2822&amp;O2822&amp;P2822&amp;Q2822&amp;R2822&amp;S2822&amp;T2822&amp;U2822&amp;V2822&amp;W2822&amp;X2822&amp;Y2822&amp;Z2822&amp;AA2822&amp;AB2822&amp;AC2822&amp;AD2822&amp;AE2822&amp;AF2822&amp;AG2822</f>
        <v/>
      </c>
      <c r="N2822" s="10">
        <f>TEXT($B$6,"00")</f>
        <v/>
      </c>
      <c r="O2822" s="10">
        <f>REPT(" ",8)</f>
        <v/>
      </c>
      <c r="P2822" s="10">
        <f>RIGHT($B$4,2)</f>
        <v/>
      </c>
      <c r="Q2822" s="10">
        <f>RIGHT($B$5,3)</f>
        <v/>
      </c>
      <c r="R2822" s="10">
        <f>IF(A2822="D",LEFT(UPPER(B2822)&amp;REPT(" ",20),20),REPT(" ",20))</f>
        <v/>
      </c>
      <c r="S2822" s="10">
        <f>IF(A2822="D",LEFT(UPPER(C2822)&amp;REPT(" ",10),10)," ")</f>
        <v/>
      </c>
      <c r="T2822" s="10">
        <f>IF(A2822="D",LEFT(UPPER(D2822)&amp;REPT(" ",2),2)," ")</f>
        <v/>
      </c>
      <c r="U2822" s="10">
        <f>IF(A2822="D",LEFT(UPPER(E2822)&amp;REPT(" ",15),15)," ")</f>
        <v/>
      </c>
      <c r="V2822" s="10">
        <f>REPT(" ",24)</f>
        <v/>
      </c>
      <c r="W2822" s="10">
        <f>IF(A2822="c",LEFT(UPPER(B2822)&amp;REPT(" ",20),20),REPT(" ",20))</f>
        <v/>
      </c>
      <c r="X2822" s="10">
        <f>IF(A2822="C",LEFT(UPPER(C2822)&amp;REPT(" ",10),10)," ")</f>
        <v/>
      </c>
      <c r="Y2822" s="10">
        <f>IF(A2822="C",LEFT(UPPER(D2822)&amp;REPT(" ",2),2)," ")</f>
        <v/>
      </c>
      <c r="Z2822" s="10">
        <f>IF(A2822="C",LEFT(UPPER(E2822)&amp;REPT(" ",15),15)," ")</f>
        <v/>
      </c>
      <c r="AA2822" s="10">
        <f>REPT(" ",8)</f>
        <v/>
      </c>
      <c r="AB2822" s="10">
        <f>REPT(" ",4)</f>
        <v/>
      </c>
      <c r="AC2822" s="10">
        <f>LEFT(UPPER(H2822)&amp;REPT(" ",250),250)</f>
        <v/>
      </c>
      <c r="AD2822" s="10">
        <f>TEXT($G$2,"dd/mm/aaaa")</f>
        <v/>
      </c>
      <c r="AE2822" s="10">
        <f>REPT(" ",10)</f>
        <v/>
      </c>
      <c r="AF2822" s="10">
        <f>REPT(" ",20)</f>
        <v/>
      </c>
      <c r="AG2822" s="54">
        <f>REPT(" ",18-LEN(FIXED(F2822,2,TRUE)))&amp;FIXED(F2822,2,TRUE)</f>
        <v/>
      </c>
      <c r="AH2822" s="10">
        <f>LEN(AC2822)+LEN(AG2822)</f>
        <v/>
      </c>
      <c r="AI2822" s="10">
        <f>LEN(L2822)</f>
        <v/>
      </c>
    </row>
    <row r="2823">
      <c r="J2823" s="12">
        <f>IF(F2823&lt;&gt;0,"LANÇAR","")</f>
        <v/>
      </c>
      <c r="L2823" s="13">
        <f>N2823&amp;O2823&amp;P2823&amp;Q2823&amp;R2823&amp;S2823&amp;T2823&amp;U2823&amp;V2823&amp;W2823&amp;X2823&amp;Y2823&amp;Z2823&amp;AA2823&amp;AB2823&amp;AC2823&amp;AD2823&amp;AE2823&amp;AF2823&amp;AG2823</f>
        <v/>
      </c>
      <c r="N2823" s="10">
        <f>TEXT($B$6,"00")</f>
        <v/>
      </c>
      <c r="O2823" s="10">
        <f>REPT(" ",8)</f>
        <v/>
      </c>
      <c r="P2823" s="10">
        <f>RIGHT($B$4,2)</f>
        <v/>
      </c>
      <c r="Q2823" s="10">
        <f>RIGHT($B$5,3)</f>
        <v/>
      </c>
      <c r="R2823" s="10">
        <f>IF(A2823="D",LEFT(UPPER(B2823)&amp;REPT(" ",20),20),REPT(" ",20))</f>
        <v/>
      </c>
      <c r="S2823" s="10">
        <f>IF(A2823="D",LEFT(UPPER(C2823)&amp;REPT(" ",10),10)," ")</f>
        <v/>
      </c>
      <c r="T2823" s="10">
        <f>IF(A2823="D",LEFT(UPPER(D2823)&amp;REPT(" ",2),2)," ")</f>
        <v/>
      </c>
      <c r="U2823" s="10">
        <f>IF(A2823="D",LEFT(UPPER(E2823)&amp;REPT(" ",15),15)," ")</f>
        <v/>
      </c>
      <c r="V2823" s="10">
        <f>REPT(" ",24)</f>
        <v/>
      </c>
      <c r="W2823" s="10">
        <f>IF(A2823="c",LEFT(UPPER(B2823)&amp;REPT(" ",20),20),REPT(" ",20))</f>
        <v/>
      </c>
      <c r="X2823" s="10">
        <f>IF(A2823="C",LEFT(UPPER(C2823)&amp;REPT(" ",10),10)," ")</f>
        <v/>
      </c>
      <c r="Y2823" s="10">
        <f>IF(A2823="C",LEFT(UPPER(D2823)&amp;REPT(" ",2),2)," ")</f>
        <v/>
      </c>
      <c r="Z2823" s="10">
        <f>IF(A2823="C",LEFT(UPPER(E2823)&amp;REPT(" ",15),15)," ")</f>
        <v/>
      </c>
      <c r="AA2823" s="10">
        <f>REPT(" ",8)</f>
        <v/>
      </c>
      <c r="AB2823" s="10">
        <f>REPT(" ",4)</f>
        <v/>
      </c>
      <c r="AC2823" s="10">
        <f>LEFT(UPPER(H2823)&amp;REPT(" ",250),250)</f>
        <v/>
      </c>
      <c r="AD2823" s="10">
        <f>TEXT($G$2,"dd/mm/aaaa")</f>
        <v/>
      </c>
      <c r="AE2823" s="10">
        <f>REPT(" ",10)</f>
        <v/>
      </c>
      <c r="AF2823" s="10">
        <f>REPT(" ",20)</f>
        <v/>
      </c>
      <c r="AG2823" s="54">
        <f>REPT(" ",18-LEN(FIXED(F2823,2,TRUE)))&amp;FIXED(F2823,2,TRUE)</f>
        <v/>
      </c>
      <c r="AH2823" s="10">
        <f>LEN(AC2823)+LEN(AG2823)</f>
        <v/>
      </c>
      <c r="AI2823" s="10">
        <f>LEN(L2823)</f>
        <v/>
      </c>
    </row>
    <row r="2824">
      <c r="J2824" s="12">
        <f>IF(F2824&lt;&gt;0,"LANÇAR","")</f>
        <v/>
      </c>
      <c r="L2824" s="13">
        <f>N2824&amp;O2824&amp;P2824&amp;Q2824&amp;R2824&amp;S2824&amp;T2824&amp;U2824&amp;V2824&amp;W2824&amp;X2824&amp;Y2824&amp;Z2824&amp;AA2824&amp;AB2824&amp;AC2824&amp;AD2824&amp;AE2824&amp;AF2824&amp;AG2824</f>
        <v/>
      </c>
      <c r="N2824" s="10">
        <f>TEXT($B$6,"00")</f>
        <v/>
      </c>
      <c r="O2824" s="10">
        <f>REPT(" ",8)</f>
        <v/>
      </c>
      <c r="P2824" s="10">
        <f>RIGHT($B$4,2)</f>
        <v/>
      </c>
      <c r="Q2824" s="10">
        <f>RIGHT($B$5,3)</f>
        <v/>
      </c>
      <c r="R2824" s="10">
        <f>IF(A2824="D",LEFT(UPPER(B2824)&amp;REPT(" ",20),20),REPT(" ",20))</f>
        <v/>
      </c>
      <c r="S2824" s="10">
        <f>IF(A2824="D",LEFT(UPPER(C2824)&amp;REPT(" ",10),10)," ")</f>
        <v/>
      </c>
      <c r="T2824" s="10">
        <f>IF(A2824="D",LEFT(UPPER(D2824)&amp;REPT(" ",2),2)," ")</f>
        <v/>
      </c>
      <c r="U2824" s="10">
        <f>IF(A2824="D",LEFT(UPPER(E2824)&amp;REPT(" ",15),15)," ")</f>
        <v/>
      </c>
      <c r="V2824" s="10">
        <f>REPT(" ",24)</f>
        <v/>
      </c>
      <c r="W2824" s="10">
        <f>IF(A2824="c",LEFT(UPPER(B2824)&amp;REPT(" ",20),20),REPT(" ",20))</f>
        <v/>
      </c>
      <c r="X2824" s="10">
        <f>IF(A2824="C",LEFT(UPPER(C2824)&amp;REPT(" ",10),10)," ")</f>
        <v/>
      </c>
      <c r="Y2824" s="10">
        <f>IF(A2824="C",LEFT(UPPER(D2824)&amp;REPT(" ",2),2)," ")</f>
        <v/>
      </c>
      <c r="Z2824" s="10">
        <f>IF(A2824="C",LEFT(UPPER(E2824)&amp;REPT(" ",15),15)," ")</f>
        <v/>
      </c>
      <c r="AA2824" s="10">
        <f>REPT(" ",8)</f>
        <v/>
      </c>
      <c r="AB2824" s="10">
        <f>REPT(" ",4)</f>
        <v/>
      </c>
      <c r="AC2824" s="10">
        <f>LEFT(UPPER(H2824)&amp;REPT(" ",250),250)</f>
        <v/>
      </c>
      <c r="AD2824" s="10">
        <f>TEXT($G$2,"dd/mm/aaaa")</f>
        <v/>
      </c>
      <c r="AE2824" s="10">
        <f>REPT(" ",10)</f>
        <v/>
      </c>
      <c r="AF2824" s="10">
        <f>REPT(" ",20)</f>
        <v/>
      </c>
      <c r="AG2824" s="54">
        <f>REPT(" ",18-LEN(FIXED(F2824,2,TRUE)))&amp;FIXED(F2824,2,TRUE)</f>
        <v/>
      </c>
      <c r="AH2824" s="10">
        <f>LEN(AC2824)+LEN(AG2824)</f>
        <v/>
      </c>
      <c r="AI2824" s="10">
        <f>LEN(L2824)</f>
        <v/>
      </c>
    </row>
    <row r="2825">
      <c r="J2825" s="12">
        <f>IF(F2825&lt;&gt;0,"LANÇAR","")</f>
        <v/>
      </c>
      <c r="L2825" s="13">
        <f>N2825&amp;O2825&amp;P2825&amp;Q2825&amp;R2825&amp;S2825&amp;T2825&amp;U2825&amp;V2825&amp;W2825&amp;X2825&amp;Y2825&amp;Z2825&amp;AA2825&amp;AB2825&amp;AC2825&amp;AD2825&amp;AE2825&amp;AF2825&amp;AG2825</f>
        <v/>
      </c>
      <c r="N2825" s="10">
        <f>TEXT($B$6,"00")</f>
        <v/>
      </c>
      <c r="O2825" s="10">
        <f>REPT(" ",8)</f>
        <v/>
      </c>
      <c r="P2825" s="10">
        <f>RIGHT($B$4,2)</f>
        <v/>
      </c>
      <c r="Q2825" s="10">
        <f>RIGHT($B$5,3)</f>
        <v/>
      </c>
      <c r="R2825" s="10">
        <f>IF(A2825="D",LEFT(UPPER(B2825)&amp;REPT(" ",20),20),REPT(" ",20))</f>
        <v/>
      </c>
      <c r="S2825" s="10">
        <f>IF(A2825="D",LEFT(UPPER(C2825)&amp;REPT(" ",10),10)," ")</f>
        <v/>
      </c>
      <c r="T2825" s="10">
        <f>IF(A2825="D",LEFT(UPPER(D2825)&amp;REPT(" ",2),2)," ")</f>
        <v/>
      </c>
      <c r="U2825" s="10">
        <f>IF(A2825="D",LEFT(UPPER(E2825)&amp;REPT(" ",15),15)," ")</f>
        <v/>
      </c>
      <c r="V2825" s="10">
        <f>REPT(" ",24)</f>
        <v/>
      </c>
      <c r="W2825" s="10">
        <f>IF(A2825="c",LEFT(UPPER(B2825)&amp;REPT(" ",20),20),REPT(" ",20))</f>
        <v/>
      </c>
      <c r="X2825" s="10">
        <f>IF(A2825="C",LEFT(UPPER(C2825)&amp;REPT(" ",10),10)," ")</f>
        <v/>
      </c>
      <c r="Y2825" s="10">
        <f>IF(A2825="C",LEFT(UPPER(D2825)&amp;REPT(" ",2),2)," ")</f>
        <v/>
      </c>
      <c r="Z2825" s="10">
        <f>IF(A2825="C",LEFT(UPPER(E2825)&amp;REPT(" ",15),15)," ")</f>
        <v/>
      </c>
      <c r="AA2825" s="10">
        <f>REPT(" ",8)</f>
        <v/>
      </c>
      <c r="AB2825" s="10">
        <f>REPT(" ",4)</f>
        <v/>
      </c>
      <c r="AC2825" s="10">
        <f>LEFT(UPPER(H2825)&amp;REPT(" ",250),250)</f>
        <v/>
      </c>
      <c r="AD2825" s="10">
        <f>TEXT($G$2,"dd/mm/aaaa")</f>
        <v/>
      </c>
      <c r="AE2825" s="10">
        <f>REPT(" ",10)</f>
        <v/>
      </c>
      <c r="AF2825" s="10">
        <f>REPT(" ",20)</f>
        <v/>
      </c>
      <c r="AG2825" s="54">
        <f>REPT(" ",18-LEN(FIXED(F2825,2,TRUE)))&amp;FIXED(F2825,2,TRUE)</f>
        <v/>
      </c>
      <c r="AH2825" s="10">
        <f>LEN(AC2825)+LEN(AG2825)</f>
        <v/>
      </c>
      <c r="AI2825" s="10">
        <f>LEN(L2825)</f>
        <v/>
      </c>
    </row>
    <row r="2826">
      <c r="J2826" s="12">
        <f>IF(F2826&lt;&gt;0,"LANÇAR","")</f>
        <v/>
      </c>
      <c r="L2826" s="13">
        <f>N2826&amp;O2826&amp;P2826&amp;Q2826&amp;R2826&amp;S2826&amp;T2826&amp;U2826&amp;V2826&amp;W2826&amp;X2826&amp;Y2826&amp;Z2826&amp;AA2826&amp;AB2826&amp;AC2826&amp;AD2826&amp;AE2826&amp;AF2826&amp;AG2826</f>
        <v/>
      </c>
      <c r="N2826" s="10">
        <f>TEXT($B$6,"00")</f>
        <v/>
      </c>
      <c r="O2826" s="10">
        <f>REPT(" ",8)</f>
        <v/>
      </c>
      <c r="P2826" s="10">
        <f>RIGHT($B$4,2)</f>
        <v/>
      </c>
      <c r="Q2826" s="10">
        <f>RIGHT($B$5,3)</f>
        <v/>
      </c>
      <c r="R2826" s="10">
        <f>IF(A2826="D",LEFT(UPPER(B2826)&amp;REPT(" ",20),20),REPT(" ",20))</f>
        <v/>
      </c>
      <c r="S2826" s="10">
        <f>IF(A2826="D",LEFT(UPPER(C2826)&amp;REPT(" ",10),10)," ")</f>
        <v/>
      </c>
      <c r="T2826" s="10">
        <f>IF(A2826="D",LEFT(UPPER(D2826)&amp;REPT(" ",2),2)," ")</f>
        <v/>
      </c>
      <c r="U2826" s="10">
        <f>IF(A2826="D",LEFT(UPPER(E2826)&amp;REPT(" ",15),15)," ")</f>
        <v/>
      </c>
      <c r="V2826" s="10">
        <f>REPT(" ",24)</f>
        <v/>
      </c>
      <c r="W2826" s="10">
        <f>IF(A2826="c",LEFT(UPPER(B2826)&amp;REPT(" ",20),20),REPT(" ",20))</f>
        <v/>
      </c>
      <c r="X2826" s="10">
        <f>IF(A2826="C",LEFT(UPPER(C2826)&amp;REPT(" ",10),10)," ")</f>
        <v/>
      </c>
      <c r="Y2826" s="10">
        <f>IF(A2826="C",LEFT(UPPER(D2826)&amp;REPT(" ",2),2)," ")</f>
        <v/>
      </c>
      <c r="Z2826" s="10">
        <f>IF(A2826="C",LEFT(UPPER(E2826)&amp;REPT(" ",15),15)," ")</f>
        <v/>
      </c>
      <c r="AA2826" s="10">
        <f>REPT(" ",8)</f>
        <v/>
      </c>
      <c r="AB2826" s="10">
        <f>REPT(" ",4)</f>
        <v/>
      </c>
      <c r="AC2826" s="10">
        <f>LEFT(UPPER(H2826)&amp;REPT(" ",250),250)</f>
        <v/>
      </c>
      <c r="AD2826" s="10">
        <f>TEXT($G$2,"dd/mm/aaaa")</f>
        <v/>
      </c>
      <c r="AE2826" s="10">
        <f>REPT(" ",10)</f>
        <v/>
      </c>
      <c r="AF2826" s="10">
        <f>REPT(" ",20)</f>
        <v/>
      </c>
      <c r="AG2826" s="54">
        <f>REPT(" ",18-LEN(FIXED(F2826,2,TRUE)))&amp;FIXED(F2826,2,TRUE)</f>
        <v/>
      </c>
      <c r="AH2826" s="10">
        <f>LEN(AC2826)+LEN(AG2826)</f>
        <v/>
      </c>
      <c r="AI2826" s="10">
        <f>LEN(L2826)</f>
        <v/>
      </c>
    </row>
    <row r="2827">
      <c r="J2827" s="12">
        <f>IF(F2827&lt;&gt;0,"LANÇAR","")</f>
        <v/>
      </c>
      <c r="L2827" s="13">
        <f>N2827&amp;O2827&amp;P2827&amp;Q2827&amp;R2827&amp;S2827&amp;T2827&amp;U2827&amp;V2827&amp;W2827&amp;X2827&amp;Y2827&amp;Z2827&amp;AA2827&amp;AB2827&amp;AC2827&amp;AD2827&amp;AE2827&amp;AF2827&amp;AG2827</f>
        <v/>
      </c>
      <c r="N2827" s="10">
        <f>TEXT($B$6,"00")</f>
        <v/>
      </c>
      <c r="O2827" s="10">
        <f>REPT(" ",8)</f>
        <v/>
      </c>
      <c r="P2827" s="10">
        <f>RIGHT($B$4,2)</f>
        <v/>
      </c>
      <c r="Q2827" s="10">
        <f>RIGHT($B$5,3)</f>
        <v/>
      </c>
      <c r="R2827" s="10">
        <f>IF(A2827="D",LEFT(UPPER(B2827)&amp;REPT(" ",20),20),REPT(" ",20))</f>
        <v/>
      </c>
      <c r="S2827" s="10">
        <f>IF(A2827="D",LEFT(UPPER(C2827)&amp;REPT(" ",10),10)," ")</f>
        <v/>
      </c>
      <c r="T2827" s="10">
        <f>IF(A2827="D",LEFT(UPPER(D2827)&amp;REPT(" ",2),2)," ")</f>
        <v/>
      </c>
      <c r="U2827" s="10">
        <f>IF(A2827="D",LEFT(UPPER(E2827)&amp;REPT(" ",15),15)," ")</f>
        <v/>
      </c>
      <c r="V2827" s="10">
        <f>REPT(" ",24)</f>
        <v/>
      </c>
      <c r="W2827" s="10">
        <f>IF(A2827="c",LEFT(UPPER(B2827)&amp;REPT(" ",20),20),REPT(" ",20))</f>
        <v/>
      </c>
      <c r="X2827" s="10">
        <f>IF(A2827="C",LEFT(UPPER(C2827)&amp;REPT(" ",10),10)," ")</f>
        <v/>
      </c>
      <c r="Y2827" s="10">
        <f>IF(A2827="C",LEFT(UPPER(D2827)&amp;REPT(" ",2),2)," ")</f>
        <v/>
      </c>
      <c r="Z2827" s="10">
        <f>IF(A2827="C",LEFT(UPPER(E2827)&amp;REPT(" ",15),15)," ")</f>
        <v/>
      </c>
      <c r="AA2827" s="10">
        <f>REPT(" ",8)</f>
        <v/>
      </c>
      <c r="AB2827" s="10">
        <f>REPT(" ",4)</f>
        <v/>
      </c>
      <c r="AC2827" s="10">
        <f>LEFT(UPPER(H2827)&amp;REPT(" ",250),250)</f>
        <v/>
      </c>
      <c r="AD2827" s="10">
        <f>TEXT($G$2,"dd/mm/aaaa")</f>
        <v/>
      </c>
      <c r="AE2827" s="10">
        <f>REPT(" ",10)</f>
        <v/>
      </c>
      <c r="AF2827" s="10">
        <f>REPT(" ",20)</f>
        <v/>
      </c>
      <c r="AG2827" s="54">
        <f>REPT(" ",18-LEN(FIXED(F2827,2,TRUE)))&amp;FIXED(F2827,2,TRUE)</f>
        <v/>
      </c>
      <c r="AH2827" s="10">
        <f>LEN(AC2827)+LEN(AG2827)</f>
        <v/>
      </c>
      <c r="AI2827" s="10">
        <f>LEN(L2827)</f>
        <v/>
      </c>
    </row>
    <row r="2828">
      <c r="J2828" s="12">
        <f>IF(F2828&lt;&gt;0,"LANÇAR","")</f>
        <v/>
      </c>
      <c r="L2828" s="13">
        <f>N2828&amp;O2828&amp;P2828&amp;Q2828&amp;R2828&amp;S2828&amp;T2828&amp;U2828&amp;V2828&amp;W2828&amp;X2828&amp;Y2828&amp;Z2828&amp;AA2828&amp;AB2828&amp;AC2828&amp;AD2828&amp;AE2828&amp;AF2828&amp;AG2828</f>
        <v/>
      </c>
      <c r="N2828" s="10">
        <f>TEXT($B$6,"00")</f>
        <v/>
      </c>
      <c r="O2828" s="10">
        <f>REPT(" ",8)</f>
        <v/>
      </c>
      <c r="P2828" s="10">
        <f>RIGHT($B$4,2)</f>
        <v/>
      </c>
      <c r="Q2828" s="10">
        <f>RIGHT($B$5,3)</f>
        <v/>
      </c>
      <c r="R2828" s="10">
        <f>IF(A2828="D",LEFT(UPPER(B2828)&amp;REPT(" ",20),20),REPT(" ",20))</f>
        <v/>
      </c>
      <c r="S2828" s="10">
        <f>IF(A2828="D",LEFT(UPPER(C2828)&amp;REPT(" ",10),10)," ")</f>
        <v/>
      </c>
      <c r="T2828" s="10">
        <f>IF(A2828="D",LEFT(UPPER(D2828)&amp;REPT(" ",2),2)," ")</f>
        <v/>
      </c>
      <c r="U2828" s="10">
        <f>IF(A2828="D",LEFT(UPPER(E2828)&amp;REPT(" ",15),15)," ")</f>
        <v/>
      </c>
      <c r="V2828" s="10">
        <f>REPT(" ",24)</f>
        <v/>
      </c>
      <c r="W2828" s="10">
        <f>IF(A2828="c",LEFT(UPPER(B2828)&amp;REPT(" ",20),20),REPT(" ",20))</f>
        <v/>
      </c>
      <c r="X2828" s="10">
        <f>IF(A2828="C",LEFT(UPPER(C2828)&amp;REPT(" ",10),10)," ")</f>
        <v/>
      </c>
      <c r="Y2828" s="10">
        <f>IF(A2828="C",LEFT(UPPER(D2828)&amp;REPT(" ",2),2)," ")</f>
        <v/>
      </c>
      <c r="Z2828" s="10">
        <f>IF(A2828="C",LEFT(UPPER(E2828)&amp;REPT(" ",15),15)," ")</f>
        <v/>
      </c>
      <c r="AA2828" s="10">
        <f>REPT(" ",8)</f>
        <v/>
      </c>
      <c r="AB2828" s="10">
        <f>REPT(" ",4)</f>
        <v/>
      </c>
      <c r="AC2828" s="10">
        <f>LEFT(UPPER(H2828)&amp;REPT(" ",250),250)</f>
        <v/>
      </c>
      <c r="AD2828" s="10">
        <f>TEXT($G$2,"dd/mm/aaaa")</f>
        <v/>
      </c>
      <c r="AE2828" s="10">
        <f>REPT(" ",10)</f>
        <v/>
      </c>
      <c r="AF2828" s="10">
        <f>REPT(" ",20)</f>
        <v/>
      </c>
      <c r="AG2828" s="54">
        <f>REPT(" ",18-LEN(FIXED(F2828,2,TRUE)))&amp;FIXED(F2828,2,TRUE)</f>
        <v/>
      </c>
      <c r="AH2828" s="10">
        <f>LEN(AC2828)+LEN(AG2828)</f>
        <v/>
      </c>
      <c r="AI2828" s="10">
        <f>LEN(L2828)</f>
        <v/>
      </c>
    </row>
    <row r="2829">
      <c r="J2829" s="12">
        <f>IF(F2829&lt;&gt;0,"LANÇAR","")</f>
        <v/>
      </c>
      <c r="L2829" s="13">
        <f>N2829&amp;O2829&amp;P2829&amp;Q2829&amp;R2829&amp;S2829&amp;T2829&amp;U2829&amp;V2829&amp;W2829&amp;X2829&amp;Y2829&amp;Z2829&amp;AA2829&amp;AB2829&amp;AC2829&amp;AD2829&amp;AE2829&amp;AF2829&amp;AG2829</f>
        <v/>
      </c>
      <c r="N2829" s="10">
        <f>TEXT($B$6,"00")</f>
        <v/>
      </c>
      <c r="O2829" s="10">
        <f>REPT(" ",8)</f>
        <v/>
      </c>
      <c r="P2829" s="10">
        <f>RIGHT($B$4,2)</f>
        <v/>
      </c>
      <c r="Q2829" s="10">
        <f>RIGHT($B$5,3)</f>
        <v/>
      </c>
      <c r="R2829" s="10">
        <f>IF(A2829="D",LEFT(UPPER(B2829)&amp;REPT(" ",20),20),REPT(" ",20))</f>
        <v/>
      </c>
      <c r="S2829" s="10">
        <f>IF(A2829="D",LEFT(UPPER(C2829)&amp;REPT(" ",10),10)," ")</f>
        <v/>
      </c>
      <c r="T2829" s="10">
        <f>IF(A2829="D",LEFT(UPPER(D2829)&amp;REPT(" ",2),2)," ")</f>
        <v/>
      </c>
      <c r="U2829" s="10">
        <f>IF(A2829="D",LEFT(UPPER(E2829)&amp;REPT(" ",15),15)," ")</f>
        <v/>
      </c>
      <c r="V2829" s="10">
        <f>REPT(" ",24)</f>
        <v/>
      </c>
      <c r="W2829" s="10">
        <f>IF(A2829="c",LEFT(UPPER(B2829)&amp;REPT(" ",20),20),REPT(" ",20))</f>
        <v/>
      </c>
      <c r="X2829" s="10">
        <f>IF(A2829="C",LEFT(UPPER(C2829)&amp;REPT(" ",10),10)," ")</f>
        <v/>
      </c>
      <c r="Y2829" s="10">
        <f>IF(A2829="C",LEFT(UPPER(D2829)&amp;REPT(" ",2),2)," ")</f>
        <v/>
      </c>
      <c r="Z2829" s="10">
        <f>IF(A2829="C",LEFT(UPPER(E2829)&amp;REPT(" ",15),15)," ")</f>
        <v/>
      </c>
      <c r="AA2829" s="10">
        <f>REPT(" ",8)</f>
        <v/>
      </c>
      <c r="AB2829" s="10">
        <f>REPT(" ",4)</f>
        <v/>
      </c>
      <c r="AC2829" s="10">
        <f>LEFT(UPPER(H2829)&amp;REPT(" ",250),250)</f>
        <v/>
      </c>
      <c r="AD2829" s="10">
        <f>TEXT($G$2,"dd/mm/aaaa")</f>
        <v/>
      </c>
      <c r="AE2829" s="10">
        <f>REPT(" ",10)</f>
        <v/>
      </c>
      <c r="AF2829" s="10">
        <f>REPT(" ",20)</f>
        <v/>
      </c>
      <c r="AG2829" s="54">
        <f>REPT(" ",18-LEN(FIXED(F2829,2,TRUE)))&amp;FIXED(F2829,2,TRUE)</f>
        <v/>
      </c>
      <c r="AH2829" s="10">
        <f>LEN(AC2829)+LEN(AG2829)</f>
        <v/>
      </c>
      <c r="AI2829" s="10">
        <f>LEN(L2829)</f>
        <v/>
      </c>
    </row>
    <row r="2830">
      <c r="J2830" s="12">
        <f>IF(F2830&lt;&gt;0,"LANÇAR","")</f>
        <v/>
      </c>
      <c r="L2830" s="13">
        <f>N2830&amp;O2830&amp;P2830&amp;Q2830&amp;R2830&amp;S2830&amp;T2830&amp;U2830&amp;V2830&amp;W2830&amp;X2830&amp;Y2830&amp;Z2830&amp;AA2830&amp;AB2830&amp;AC2830&amp;AD2830&amp;AE2830&amp;AF2830&amp;AG2830</f>
        <v/>
      </c>
      <c r="N2830" s="10">
        <f>TEXT($B$6,"00")</f>
        <v/>
      </c>
      <c r="O2830" s="10">
        <f>REPT(" ",8)</f>
        <v/>
      </c>
      <c r="P2830" s="10">
        <f>RIGHT($B$4,2)</f>
        <v/>
      </c>
      <c r="Q2830" s="10">
        <f>RIGHT($B$5,3)</f>
        <v/>
      </c>
      <c r="R2830" s="10">
        <f>IF(A2830="D",LEFT(UPPER(B2830)&amp;REPT(" ",20),20),REPT(" ",20))</f>
        <v/>
      </c>
      <c r="S2830" s="10">
        <f>IF(A2830="D",LEFT(UPPER(C2830)&amp;REPT(" ",10),10)," ")</f>
        <v/>
      </c>
      <c r="T2830" s="10">
        <f>IF(A2830="D",LEFT(UPPER(D2830)&amp;REPT(" ",2),2)," ")</f>
        <v/>
      </c>
      <c r="U2830" s="10">
        <f>IF(A2830="D",LEFT(UPPER(E2830)&amp;REPT(" ",15),15)," ")</f>
        <v/>
      </c>
      <c r="V2830" s="10">
        <f>REPT(" ",24)</f>
        <v/>
      </c>
      <c r="W2830" s="10">
        <f>IF(A2830="c",LEFT(UPPER(B2830)&amp;REPT(" ",20),20),REPT(" ",20))</f>
        <v/>
      </c>
      <c r="X2830" s="10">
        <f>IF(A2830="C",LEFT(UPPER(C2830)&amp;REPT(" ",10),10)," ")</f>
        <v/>
      </c>
      <c r="Y2830" s="10">
        <f>IF(A2830="C",LEFT(UPPER(D2830)&amp;REPT(" ",2),2)," ")</f>
        <v/>
      </c>
      <c r="Z2830" s="10">
        <f>IF(A2830="C",LEFT(UPPER(E2830)&amp;REPT(" ",15),15)," ")</f>
        <v/>
      </c>
      <c r="AA2830" s="10">
        <f>REPT(" ",8)</f>
        <v/>
      </c>
      <c r="AB2830" s="10">
        <f>REPT(" ",4)</f>
        <v/>
      </c>
      <c r="AC2830" s="10">
        <f>LEFT(UPPER(H2830)&amp;REPT(" ",250),250)</f>
        <v/>
      </c>
      <c r="AD2830" s="10">
        <f>TEXT($G$2,"dd/mm/aaaa")</f>
        <v/>
      </c>
      <c r="AE2830" s="10">
        <f>REPT(" ",10)</f>
        <v/>
      </c>
      <c r="AF2830" s="10">
        <f>REPT(" ",20)</f>
        <v/>
      </c>
      <c r="AG2830" s="54">
        <f>REPT(" ",18-LEN(FIXED(F2830,2,TRUE)))&amp;FIXED(F2830,2,TRUE)</f>
        <v/>
      </c>
      <c r="AH2830" s="10">
        <f>LEN(AC2830)+LEN(AG2830)</f>
        <v/>
      </c>
      <c r="AI2830" s="10">
        <f>LEN(L2830)</f>
        <v/>
      </c>
    </row>
    <row r="2831">
      <c r="J2831" s="12">
        <f>IF(F2831&lt;&gt;0,"LANÇAR","")</f>
        <v/>
      </c>
      <c r="L2831" s="13">
        <f>N2831&amp;O2831&amp;P2831&amp;Q2831&amp;R2831&amp;S2831&amp;T2831&amp;U2831&amp;V2831&amp;W2831&amp;X2831&amp;Y2831&amp;Z2831&amp;AA2831&amp;AB2831&amp;AC2831&amp;AD2831&amp;AE2831&amp;AF2831&amp;AG2831</f>
        <v/>
      </c>
      <c r="N2831" s="10">
        <f>TEXT($B$6,"00")</f>
        <v/>
      </c>
      <c r="O2831" s="10">
        <f>REPT(" ",8)</f>
        <v/>
      </c>
      <c r="P2831" s="10">
        <f>RIGHT($B$4,2)</f>
        <v/>
      </c>
      <c r="Q2831" s="10">
        <f>RIGHT($B$5,3)</f>
        <v/>
      </c>
      <c r="R2831" s="10">
        <f>IF(A2831="D",LEFT(UPPER(B2831)&amp;REPT(" ",20),20),REPT(" ",20))</f>
        <v/>
      </c>
      <c r="S2831" s="10">
        <f>IF(A2831="D",LEFT(UPPER(C2831)&amp;REPT(" ",10),10)," ")</f>
        <v/>
      </c>
      <c r="T2831" s="10">
        <f>IF(A2831="D",LEFT(UPPER(D2831)&amp;REPT(" ",2),2)," ")</f>
        <v/>
      </c>
      <c r="U2831" s="10">
        <f>IF(A2831="D",LEFT(UPPER(E2831)&amp;REPT(" ",15),15)," ")</f>
        <v/>
      </c>
      <c r="V2831" s="10">
        <f>REPT(" ",24)</f>
        <v/>
      </c>
      <c r="W2831" s="10">
        <f>IF(A2831="c",LEFT(UPPER(B2831)&amp;REPT(" ",20),20),REPT(" ",20))</f>
        <v/>
      </c>
      <c r="X2831" s="10">
        <f>IF(A2831="C",LEFT(UPPER(C2831)&amp;REPT(" ",10),10)," ")</f>
        <v/>
      </c>
      <c r="Y2831" s="10">
        <f>IF(A2831="C",LEFT(UPPER(D2831)&amp;REPT(" ",2),2)," ")</f>
        <v/>
      </c>
      <c r="Z2831" s="10">
        <f>IF(A2831="C",LEFT(UPPER(E2831)&amp;REPT(" ",15),15)," ")</f>
        <v/>
      </c>
      <c r="AA2831" s="10">
        <f>REPT(" ",8)</f>
        <v/>
      </c>
      <c r="AB2831" s="10">
        <f>REPT(" ",4)</f>
        <v/>
      </c>
      <c r="AC2831" s="10">
        <f>LEFT(UPPER(H2831)&amp;REPT(" ",250),250)</f>
        <v/>
      </c>
      <c r="AD2831" s="10">
        <f>TEXT($G$2,"dd/mm/aaaa")</f>
        <v/>
      </c>
      <c r="AE2831" s="10">
        <f>REPT(" ",10)</f>
        <v/>
      </c>
      <c r="AF2831" s="10">
        <f>REPT(" ",20)</f>
        <v/>
      </c>
      <c r="AG2831" s="54">
        <f>REPT(" ",18-LEN(FIXED(F2831,2,TRUE)))&amp;FIXED(F2831,2,TRUE)</f>
        <v/>
      </c>
      <c r="AH2831" s="10">
        <f>LEN(AC2831)+LEN(AG2831)</f>
        <v/>
      </c>
      <c r="AI2831" s="10">
        <f>LEN(L2831)</f>
        <v/>
      </c>
    </row>
    <row r="2832">
      <c r="J2832" s="12">
        <f>IF(F2832&lt;&gt;0,"LANÇAR","")</f>
        <v/>
      </c>
      <c r="L2832" s="13">
        <f>N2832&amp;O2832&amp;P2832&amp;Q2832&amp;R2832&amp;S2832&amp;T2832&amp;U2832&amp;V2832&amp;W2832&amp;X2832&amp;Y2832&amp;Z2832&amp;AA2832&amp;AB2832&amp;AC2832&amp;AD2832&amp;AE2832&amp;AF2832&amp;AG2832</f>
        <v/>
      </c>
      <c r="N2832" s="10">
        <f>TEXT($B$6,"00")</f>
        <v/>
      </c>
      <c r="O2832" s="10">
        <f>REPT(" ",8)</f>
        <v/>
      </c>
      <c r="P2832" s="10">
        <f>RIGHT($B$4,2)</f>
        <v/>
      </c>
      <c r="Q2832" s="10">
        <f>RIGHT($B$5,3)</f>
        <v/>
      </c>
      <c r="R2832" s="10">
        <f>IF(A2832="D",LEFT(UPPER(B2832)&amp;REPT(" ",20),20),REPT(" ",20))</f>
        <v/>
      </c>
      <c r="S2832" s="10">
        <f>IF(A2832="D",LEFT(UPPER(C2832)&amp;REPT(" ",10),10)," ")</f>
        <v/>
      </c>
      <c r="T2832" s="10">
        <f>IF(A2832="D",LEFT(UPPER(D2832)&amp;REPT(" ",2),2)," ")</f>
        <v/>
      </c>
      <c r="U2832" s="10">
        <f>IF(A2832="D",LEFT(UPPER(E2832)&amp;REPT(" ",15),15)," ")</f>
        <v/>
      </c>
      <c r="V2832" s="10">
        <f>REPT(" ",24)</f>
        <v/>
      </c>
      <c r="W2832" s="10">
        <f>IF(A2832="c",LEFT(UPPER(B2832)&amp;REPT(" ",20),20),REPT(" ",20))</f>
        <v/>
      </c>
      <c r="X2832" s="10">
        <f>IF(A2832="C",LEFT(UPPER(C2832)&amp;REPT(" ",10),10)," ")</f>
        <v/>
      </c>
      <c r="Y2832" s="10">
        <f>IF(A2832="C",LEFT(UPPER(D2832)&amp;REPT(" ",2),2)," ")</f>
        <v/>
      </c>
      <c r="Z2832" s="10">
        <f>IF(A2832="C",LEFT(UPPER(E2832)&amp;REPT(" ",15),15)," ")</f>
        <v/>
      </c>
      <c r="AA2832" s="10">
        <f>REPT(" ",8)</f>
        <v/>
      </c>
      <c r="AB2832" s="10">
        <f>REPT(" ",4)</f>
        <v/>
      </c>
      <c r="AC2832" s="10">
        <f>LEFT(UPPER(H2832)&amp;REPT(" ",250),250)</f>
        <v/>
      </c>
      <c r="AD2832" s="10">
        <f>TEXT($G$2,"dd/mm/aaaa")</f>
        <v/>
      </c>
      <c r="AE2832" s="10">
        <f>REPT(" ",10)</f>
        <v/>
      </c>
      <c r="AF2832" s="10">
        <f>REPT(" ",20)</f>
        <v/>
      </c>
      <c r="AG2832" s="54">
        <f>REPT(" ",18-LEN(FIXED(F2832,2,TRUE)))&amp;FIXED(F2832,2,TRUE)</f>
        <v/>
      </c>
      <c r="AH2832" s="10">
        <f>LEN(AC2832)+LEN(AG2832)</f>
        <v/>
      </c>
      <c r="AI2832" s="10">
        <f>LEN(L2832)</f>
        <v/>
      </c>
    </row>
    <row r="2833">
      <c r="J2833" s="12">
        <f>IF(F2833&lt;&gt;0,"LANÇAR","")</f>
        <v/>
      </c>
      <c r="L2833" s="13">
        <f>N2833&amp;O2833&amp;P2833&amp;Q2833&amp;R2833&amp;S2833&amp;T2833&amp;U2833&amp;V2833&amp;W2833&amp;X2833&amp;Y2833&amp;Z2833&amp;AA2833&amp;AB2833&amp;AC2833&amp;AD2833&amp;AE2833&amp;AF2833&amp;AG2833</f>
        <v/>
      </c>
      <c r="N2833" s="10">
        <f>TEXT($B$6,"00")</f>
        <v/>
      </c>
      <c r="O2833" s="10">
        <f>REPT(" ",8)</f>
        <v/>
      </c>
      <c r="P2833" s="10">
        <f>RIGHT($B$4,2)</f>
        <v/>
      </c>
      <c r="Q2833" s="10">
        <f>RIGHT($B$5,3)</f>
        <v/>
      </c>
      <c r="R2833" s="10">
        <f>IF(A2833="D",LEFT(UPPER(B2833)&amp;REPT(" ",20),20),REPT(" ",20))</f>
        <v/>
      </c>
      <c r="S2833" s="10">
        <f>IF(A2833="D",LEFT(UPPER(C2833)&amp;REPT(" ",10),10)," ")</f>
        <v/>
      </c>
      <c r="T2833" s="10">
        <f>IF(A2833="D",LEFT(UPPER(D2833)&amp;REPT(" ",2),2)," ")</f>
        <v/>
      </c>
      <c r="U2833" s="10">
        <f>IF(A2833="D",LEFT(UPPER(E2833)&amp;REPT(" ",15),15)," ")</f>
        <v/>
      </c>
      <c r="V2833" s="10">
        <f>REPT(" ",24)</f>
        <v/>
      </c>
      <c r="W2833" s="10">
        <f>IF(A2833="c",LEFT(UPPER(B2833)&amp;REPT(" ",20),20),REPT(" ",20))</f>
        <v/>
      </c>
      <c r="X2833" s="10">
        <f>IF(A2833="C",LEFT(UPPER(C2833)&amp;REPT(" ",10),10)," ")</f>
        <v/>
      </c>
      <c r="Y2833" s="10">
        <f>IF(A2833="C",LEFT(UPPER(D2833)&amp;REPT(" ",2),2)," ")</f>
        <v/>
      </c>
      <c r="Z2833" s="10">
        <f>IF(A2833="C",LEFT(UPPER(E2833)&amp;REPT(" ",15),15)," ")</f>
        <v/>
      </c>
      <c r="AA2833" s="10">
        <f>REPT(" ",8)</f>
        <v/>
      </c>
      <c r="AB2833" s="10">
        <f>REPT(" ",4)</f>
        <v/>
      </c>
      <c r="AC2833" s="10">
        <f>LEFT(UPPER(H2833)&amp;REPT(" ",250),250)</f>
        <v/>
      </c>
      <c r="AD2833" s="10">
        <f>TEXT($G$2,"dd/mm/aaaa")</f>
        <v/>
      </c>
      <c r="AE2833" s="10">
        <f>REPT(" ",10)</f>
        <v/>
      </c>
      <c r="AF2833" s="10">
        <f>REPT(" ",20)</f>
        <v/>
      </c>
      <c r="AG2833" s="54">
        <f>REPT(" ",18-LEN(FIXED(F2833,2,TRUE)))&amp;FIXED(F2833,2,TRUE)</f>
        <v/>
      </c>
      <c r="AH2833" s="10">
        <f>LEN(AC2833)+LEN(AG2833)</f>
        <v/>
      </c>
      <c r="AI2833" s="10">
        <f>LEN(L2833)</f>
        <v/>
      </c>
    </row>
    <row r="2834">
      <c r="J2834" s="12">
        <f>IF(F2834&lt;&gt;0,"LANÇAR","")</f>
        <v/>
      </c>
      <c r="L2834" s="13">
        <f>N2834&amp;O2834&amp;P2834&amp;Q2834&amp;R2834&amp;S2834&amp;T2834&amp;U2834&amp;V2834&amp;W2834&amp;X2834&amp;Y2834&amp;Z2834&amp;AA2834&amp;AB2834&amp;AC2834&amp;AD2834&amp;AE2834&amp;AF2834&amp;AG2834</f>
        <v/>
      </c>
      <c r="N2834" s="10">
        <f>TEXT($B$6,"00")</f>
        <v/>
      </c>
      <c r="O2834" s="10">
        <f>REPT(" ",8)</f>
        <v/>
      </c>
      <c r="P2834" s="10">
        <f>RIGHT($B$4,2)</f>
        <v/>
      </c>
      <c r="Q2834" s="10">
        <f>RIGHT($B$5,3)</f>
        <v/>
      </c>
      <c r="R2834" s="10">
        <f>IF(A2834="D",LEFT(UPPER(B2834)&amp;REPT(" ",20),20),REPT(" ",20))</f>
        <v/>
      </c>
      <c r="S2834" s="10">
        <f>IF(A2834="D",LEFT(UPPER(C2834)&amp;REPT(" ",10),10)," ")</f>
        <v/>
      </c>
      <c r="T2834" s="10">
        <f>IF(A2834="D",LEFT(UPPER(D2834)&amp;REPT(" ",2),2)," ")</f>
        <v/>
      </c>
      <c r="U2834" s="10">
        <f>IF(A2834="D",LEFT(UPPER(E2834)&amp;REPT(" ",15),15)," ")</f>
        <v/>
      </c>
      <c r="V2834" s="10">
        <f>REPT(" ",24)</f>
        <v/>
      </c>
      <c r="W2834" s="10">
        <f>IF(A2834="c",LEFT(UPPER(B2834)&amp;REPT(" ",20),20),REPT(" ",20))</f>
        <v/>
      </c>
      <c r="X2834" s="10">
        <f>IF(A2834="C",LEFT(UPPER(C2834)&amp;REPT(" ",10),10)," ")</f>
        <v/>
      </c>
      <c r="Y2834" s="10">
        <f>IF(A2834="C",LEFT(UPPER(D2834)&amp;REPT(" ",2),2)," ")</f>
        <v/>
      </c>
      <c r="Z2834" s="10">
        <f>IF(A2834="C",LEFT(UPPER(E2834)&amp;REPT(" ",15),15)," ")</f>
        <v/>
      </c>
      <c r="AA2834" s="10">
        <f>REPT(" ",8)</f>
        <v/>
      </c>
      <c r="AB2834" s="10">
        <f>REPT(" ",4)</f>
        <v/>
      </c>
      <c r="AC2834" s="10">
        <f>LEFT(UPPER(H2834)&amp;REPT(" ",250),250)</f>
        <v/>
      </c>
      <c r="AD2834" s="10">
        <f>TEXT($G$2,"dd/mm/aaaa")</f>
        <v/>
      </c>
      <c r="AE2834" s="10">
        <f>REPT(" ",10)</f>
        <v/>
      </c>
      <c r="AF2834" s="10">
        <f>REPT(" ",20)</f>
        <v/>
      </c>
      <c r="AG2834" s="54">
        <f>REPT(" ",18-LEN(FIXED(F2834,2,TRUE)))&amp;FIXED(F2834,2,TRUE)</f>
        <v/>
      </c>
      <c r="AH2834" s="10">
        <f>LEN(AC2834)+LEN(AG2834)</f>
        <v/>
      </c>
      <c r="AI2834" s="10">
        <f>LEN(L2834)</f>
        <v/>
      </c>
    </row>
    <row r="2835">
      <c r="J2835" s="12">
        <f>IF(F2835&lt;&gt;0,"LANÇAR","")</f>
        <v/>
      </c>
      <c r="L2835" s="13">
        <f>N2835&amp;O2835&amp;P2835&amp;Q2835&amp;R2835&amp;S2835&amp;T2835&amp;U2835&amp;V2835&amp;W2835&amp;X2835&amp;Y2835&amp;Z2835&amp;AA2835&amp;AB2835&amp;AC2835&amp;AD2835&amp;AE2835&amp;AF2835&amp;AG2835</f>
        <v/>
      </c>
      <c r="N2835" s="10">
        <f>TEXT($B$6,"00")</f>
        <v/>
      </c>
      <c r="O2835" s="10">
        <f>REPT(" ",8)</f>
        <v/>
      </c>
      <c r="P2835" s="10">
        <f>RIGHT($B$4,2)</f>
        <v/>
      </c>
      <c r="Q2835" s="10">
        <f>RIGHT($B$5,3)</f>
        <v/>
      </c>
      <c r="R2835" s="10">
        <f>IF(A2835="D",LEFT(UPPER(B2835)&amp;REPT(" ",20),20),REPT(" ",20))</f>
        <v/>
      </c>
      <c r="S2835" s="10">
        <f>IF(A2835="D",LEFT(UPPER(C2835)&amp;REPT(" ",10),10)," ")</f>
        <v/>
      </c>
      <c r="T2835" s="10">
        <f>IF(A2835="D",LEFT(UPPER(D2835)&amp;REPT(" ",2),2)," ")</f>
        <v/>
      </c>
      <c r="U2835" s="10">
        <f>IF(A2835="D",LEFT(UPPER(E2835)&amp;REPT(" ",15),15)," ")</f>
        <v/>
      </c>
      <c r="V2835" s="10">
        <f>REPT(" ",24)</f>
        <v/>
      </c>
      <c r="W2835" s="10">
        <f>IF(A2835="c",LEFT(UPPER(B2835)&amp;REPT(" ",20),20),REPT(" ",20))</f>
        <v/>
      </c>
      <c r="X2835" s="10">
        <f>IF(A2835="C",LEFT(UPPER(C2835)&amp;REPT(" ",10),10)," ")</f>
        <v/>
      </c>
      <c r="Y2835" s="10">
        <f>IF(A2835="C",LEFT(UPPER(D2835)&amp;REPT(" ",2),2)," ")</f>
        <v/>
      </c>
      <c r="Z2835" s="10">
        <f>IF(A2835="C",LEFT(UPPER(E2835)&amp;REPT(" ",15),15)," ")</f>
        <v/>
      </c>
      <c r="AA2835" s="10">
        <f>REPT(" ",8)</f>
        <v/>
      </c>
      <c r="AB2835" s="10">
        <f>REPT(" ",4)</f>
        <v/>
      </c>
      <c r="AC2835" s="10">
        <f>LEFT(UPPER(H2835)&amp;REPT(" ",250),250)</f>
        <v/>
      </c>
      <c r="AD2835" s="10">
        <f>TEXT($G$2,"dd/mm/aaaa")</f>
        <v/>
      </c>
      <c r="AE2835" s="10">
        <f>REPT(" ",10)</f>
        <v/>
      </c>
      <c r="AF2835" s="10">
        <f>REPT(" ",20)</f>
        <v/>
      </c>
      <c r="AG2835" s="54">
        <f>REPT(" ",18-LEN(FIXED(F2835,2,TRUE)))&amp;FIXED(F2835,2,TRUE)</f>
        <v/>
      </c>
      <c r="AH2835" s="10">
        <f>LEN(AC2835)+LEN(AG2835)</f>
        <v/>
      </c>
      <c r="AI2835" s="10">
        <f>LEN(L2835)</f>
        <v/>
      </c>
    </row>
    <row r="2836">
      <c r="J2836" s="12">
        <f>IF(F2836&lt;&gt;0,"LANÇAR","")</f>
        <v/>
      </c>
      <c r="L2836" s="13">
        <f>N2836&amp;O2836&amp;P2836&amp;Q2836&amp;R2836&amp;S2836&amp;T2836&amp;U2836&amp;V2836&amp;W2836&amp;X2836&amp;Y2836&amp;Z2836&amp;AA2836&amp;AB2836&amp;AC2836&amp;AD2836&amp;AE2836&amp;AF2836&amp;AG2836</f>
        <v/>
      </c>
      <c r="N2836" s="10">
        <f>TEXT($B$6,"00")</f>
        <v/>
      </c>
      <c r="O2836" s="10">
        <f>REPT(" ",8)</f>
        <v/>
      </c>
      <c r="P2836" s="10">
        <f>RIGHT($B$4,2)</f>
        <v/>
      </c>
      <c r="Q2836" s="10">
        <f>RIGHT($B$5,3)</f>
        <v/>
      </c>
      <c r="R2836" s="10">
        <f>IF(A2836="D",LEFT(UPPER(B2836)&amp;REPT(" ",20),20),REPT(" ",20))</f>
        <v/>
      </c>
      <c r="S2836" s="10">
        <f>IF(A2836="D",LEFT(UPPER(C2836)&amp;REPT(" ",10),10)," ")</f>
        <v/>
      </c>
      <c r="T2836" s="10">
        <f>IF(A2836="D",LEFT(UPPER(D2836)&amp;REPT(" ",2),2)," ")</f>
        <v/>
      </c>
      <c r="U2836" s="10">
        <f>IF(A2836="D",LEFT(UPPER(E2836)&amp;REPT(" ",15),15)," ")</f>
        <v/>
      </c>
      <c r="V2836" s="10">
        <f>REPT(" ",24)</f>
        <v/>
      </c>
      <c r="W2836" s="10">
        <f>IF(A2836="c",LEFT(UPPER(B2836)&amp;REPT(" ",20),20),REPT(" ",20))</f>
        <v/>
      </c>
      <c r="X2836" s="10">
        <f>IF(A2836="C",LEFT(UPPER(C2836)&amp;REPT(" ",10),10)," ")</f>
        <v/>
      </c>
      <c r="Y2836" s="10">
        <f>IF(A2836="C",LEFT(UPPER(D2836)&amp;REPT(" ",2),2)," ")</f>
        <v/>
      </c>
      <c r="Z2836" s="10">
        <f>IF(A2836="C",LEFT(UPPER(E2836)&amp;REPT(" ",15),15)," ")</f>
        <v/>
      </c>
      <c r="AA2836" s="10">
        <f>REPT(" ",8)</f>
        <v/>
      </c>
      <c r="AB2836" s="10">
        <f>REPT(" ",4)</f>
        <v/>
      </c>
      <c r="AC2836" s="10">
        <f>LEFT(UPPER(H2836)&amp;REPT(" ",250),250)</f>
        <v/>
      </c>
      <c r="AD2836" s="10">
        <f>TEXT($G$2,"dd/mm/aaaa")</f>
        <v/>
      </c>
      <c r="AE2836" s="10">
        <f>REPT(" ",10)</f>
        <v/>
      </c>
      <c r="AF2836" s="10">
        <f>REPT(" ",20)</f>
        <v/>
      </c>
      <c r="AG2836" s="54">
        <f>REPT(" ",18-LEN(FIXED(F2836,2,TRUE)))&amp;FIXED(F2836,2,TRUE)</f>
        <v/>
      </c>
      <c r="AH2836" s="10">
        <f>LEN(AC2836)+LEN(AG2836)</f>
        <v/>
      </c>
      <c r="AI2836" s="10">
        <f>LEN(L2836)</f>
        <v/>
      </c>
    </row>
    <row r="2837">
      <c r="J2837" s="12">
        <f>IF(F2837&lt;&gt;0,"LANÇAR","")</f>
        <v/>
      </c>
      <c r="L2837" s="13">
        <f>N2837&amp;O2837&amp;P2837&amp;Q2837&amp;R2837&amp;S2837&amp;T2837&amp;U2837&amp;V2837&amp;W2837&amp;X2837&amp;Y2837&amp;Z2837&amp;AA2837&amp;AB2837&amp;AC2837&amp;AD2837&amp;AE2837&amp;AF2837&amp;AG2837</f>
        <v/>
      </c>
      <c r="N2837" s="10">
        <f>TEXT($B$6,"00")</f>
        <v/>
      </c>
      <c r="O2837" s="10">
        <f>REPT(" ",8)</f>
        <v/>
      </c>
      <c r="P2837" s="10">
        <f>RIGHT($B$4,2)</f>
        <v/>
      </c>
      <c r="Q2837" s="10">
        <f>RIGHT($B$5,3)</f>
        <v/>
      </c>
      <c r="R2837" s="10">
        <f>IF(A2837="D",LEFT(UPPER(B2837)&amp;REPT(" ",20),20),REPT(" ",20))</f>
        <v/>
      </c>
      <c r="S2837" s="10">
        <f>IF(A2837="D",LEFT(UPPER(C2837)&amp;REPT(" ",10),10)," ")</f>
        <v/>
      </c>
      <c r="T2837" s="10">
        <f>IF(A2837="D",LEFT(UPPER(D2837)&amp;REPT(" ",2),2)," ")</f>
        <v/>
      </c>
      <c r="U2837" s="10">
        <f>IF(A2837="D",LEFT(UPPER(E2837)&amp;REPT(" ",15),15)," ")</f>
        <v/>
      </c>
      <c r="V2837" s="10">
        <f>REPT(" ",24)</f>
        <v/>
      </c>
      <c r="W2837" s="10">
        <f>IF(A2837="c",LEFT(UPPER(B2837)&amp;REPT(" ",20),20),REPT(" ",20))</f>
        <v/>
      </c>
      <c r="X2837" s="10">
        <f>IF(A2837="C",LEFT(UPPER(C2837)&amp;REPT(" ",10),10)," ")</f>
        <v/>
      </c>
      <c r="Y2837" s="10">
        <f>IF(A2837="C",LEFT(UPPER(D2837)&amp;REPT(" ",2),2)," ")</f>
        <v/>
      </c>
      <c r="Z2837" s="10">
        <f>IF(A2837="C",LEFT(UPPER(E2837)&amp;REPT(" ",15),15)," ")</f>
        <v/>
      </c>
      <c r="AA2837" s="10">
        <f>REPT(" ",8)</f>
        <v/>
      </c>
      <c r="AB2837" s="10">
        <f>REPT(" ",4)</f>
        <v/>
      </c>
      <c r="AC2837" s="10">
        <f>LEFT(UPPER(H2837)&amp;REPT(" ",250),250)</f>
        <v/>
      </c>
      <c r="AD2837" s="10">
        <f>TEXT($G$2,"dd/mm/aaaa")</f>
        <v/>
      </c>
      <c r="AE2837" s="10">
        <f>REPT(" ",10)</f>
        <v/>
      </c>
      <c r="AF2837" s="10">
        <f>REPT(" ",20)</f>
        <v/>
      </c>
      <c r="AG2837" s="54">
        <f>REPT(" ",18-LEN(FIXED(F2837,2,TRUE)))&amp;FIXED(F2837,2,TRUE)</f>
        <v/>
      </c>
      <c r="AH2837" s="10">
        <f>LEN(AC2837)+LEN(AG2837)</f>
        <v/>
      </c>
      <c r="AI2837" s="10">
        <f>LEN(L2837)</f>
        <v/>
      </c>
    </row>
    <row r="2838">
      <c r="J2838" s="12">
        <f>IF(F2838&lt;&gt;0,"LANÇAR","")</f>
        <v/>
      </c>
      <c r="L2838" s="13">
        <f>N2838&amp;O2838&amp;P2838&amp;Q2838&amp;R2838&amp;S2838&amp;T2838&amp;U2838&amp;V2838&amp;W2838&amp;X2838&amp;Y2838&amp;Z2838&amp;AA2838&amp;AB2838&amp;AC2838&amp;AD2838&amp;AE2838&amp;AF2838&amp;AG2838</f>
        <v/>
      </c>
      <c r="N2838" s="10">
        <f>TEXT($B$6,"00")</f>
        <v/>
      </c>
      <c r="O2838" s="10">
        <f>REPT(" ",8)</f>
        <v/>
      </c>
      <c r="P2838" s="10">
        <f>RIGHT($B$4,2)</f>
        <v/>
      </c>
      <c r="Q2838" s="10">
        <f>RIGHT($B$5,3)</f>
        <v/>
      </c>
      <c r="R2838" s="10">
        <f>IF(A2838="D",LEFT(UPPER(B2838)&amp;REPT(" ",20),20),REPT(" ",20))</f>
        <v/>
      </c>
      <c r="S2838" s="10">
        <f>IF(A2838="D",LEFT(UPPER(C2838)&amp;REPT(" ",10),10)," ")</f>
        <v/>
      </c>
      <c r="T2838" s="10">
        <f>IF(A2838="D",LEFT(UPPER(D2838)&amp;REPT(" ",2),2)," ")</f>
        <v/>
      </c>
      <c r="U2838" s="10">
        <f>IF(A2838="D",LEFT(UPPER(E2838)&amp;REPT(" ",15),15)," ")</f>
        <v/>
      </c>
      <c r="V2838" s="10">
        <f>REPT(" ",24)</f>
        <v/>
      </c>
      <c r="W2838" s="10">
        <f>IF(A2838="c",LEFT(UPPER(B2838)&amp;REPT(" ",20),20),REPT(" ",20))</f>
        <v/>
      </c>
      <c r="X2838" s="10">
        <f>IF(A2838="C",LEFT(UPPER(C2838)&amp;REPT(" ",10),10)," ")</f>
        <v/>
      </c>
      <c r="Y2838" s="10">
        <f>IF(A2838="C",LEFT(UPPER(D2838)&amp;REPT(" ",2),2)," ")</f>
        <v/>
      </c>
      <c r="Z2838" s="10">
        <f>IF(A2838="C",LEFT(UPPER(E2838)&amp;REPT(" ",15),15)," ")</f>
        <v/>
      </c>
      <c r="AA2838" s="10">
        <f>REPT(" ",8)</f>
        <v/>
      </c>
      <c r="AB2838" s="10">
        <f>REPT(" ",4)</f>
        <v/>
      </c>
      <c r="AC2838" s="10">
        <f>LEFT(UPPER(H2838)&amp;REPT(" ",250),250)</f>
        <v/>
      </c>
      <c r="AD2838" s="10">
        <f>TEXT($G$2,"dd/mm/aaaa")</f>
        <v/>
      </c>
      <c r="AE2838" s="10">
        <f>REPT(" ",10)</f>
        <v/>
      </c>
      <c r="AF2838" s="10">
        <f>REPT(" ",20)</f>
        <v/>
      </c>
      <c r="AG2838" s="54">
        <f>REPT(" ",18-LEN(FIXED(F2838,2,TRUE)))&amp;FIXED(F2838,2,TRUE)</f>
        <v/>
      </c>
      <c r="AH2838" s="10">
        <f>LEN(AC2838)+LEN(AG2838)</f>
        <v/>
      </c>
      <c r="AI2838" s="10">
        <f>LEN(L2838)</f>
        <v/>
      </c>
    </row>
    <row r="2839">
      <c r="J2839" s="12">
        <f>IF(F2839&lt;&gt;0,"LANÇAR","")</f>
        <v/>
      </c>
      <c r="L2839" s="13">
        <f>N2839&amp;O2839&amp;P2839&amp;Q2839&amp;R2839&amp;S2839&amp;T2839&amp;U2839&amp;V2839&amp;W2839&amp;X2839&amp;Y2839&amp;Z2839&amp;AA2839&amp;AB2839&amp;AC2839&amp;AD2839&amp;AE2839&amp;AF2839&amp;AG2839</f>
        <v/>
      </c>
      <c r="N2839" s="10">
        <f>TEXT($B$6,"00")</f>
        <v/>
      </c>
      <c r="O2839" s="10">
        <f>REPT(" ",8)</f>
        <v/>
      </c>
      <c r="P2839" s="10">
        <f>RIGHT($B$4,2)</f>
        <v/>
      </c>
      <c r="Q2839" s="10">
        <f>RIGHT($B$5,3)</f>
        <v/>
      </c>
      <c r="R2839" s="10">
        <f>IF(A2839="D",LEFT(UPPER(B2839)&amp;REPT(" ",20),20),REPT(" ",20))</f>
        <v/>
      </c>
      <c r="S2839" s="10">
        <f>IF(A2839="D",LEFT(UPPER(C2839)&amp;REPT(" ",10),10)," ")</f>
        <v/>
      </c>
      <c r="T2839" s="10">
        <f>IF(A2839="D",LEFT(UPPER(D2839)&amp;REPT(" ",2),2)," ")</f>
        <v/>
      </c>
      <c r="U2839" s="10">
        <f>IF(A2839="D",LEFT(UPPER(E2839)&amp;REPT(" ",15),15)," ")</f>
        <v/>
      </c>
      <c r="V2839" s="10">
        <f>REPT(" ",24)</f>
        <v/>
      </c>
      <c r="W2839" s="10">
        <f>IF(A2839="c",LEFT(UPPER(B2839)&amp;REPT(" ",20),20),REPT(" ",20))</f>
        <v/>
      </c>
      <c r="X2839" s="10">
        <f>IF(A2839="C",LEFT(UPPER(C2839)&amp;REPT(" ",10),10)," ")</f>
        <v/>
      </c>
      <c r="Y2839" s="10">
        <f>IF(A2839="C",LEFT(UPPER(D2839)&amp;REPT(" ",2),2)," ")</f>
        <v/>
      </c>
      <c r="Z2839" s="10">
        <f>IF(A2839="C",LEFT(UPPER(E2839)&amp;REPT(" ",15),15)," ")</f>
        <v/>
      </c>
      <c r="AA2839" s="10">
        <f>REPT(" ",8)</f>
        <v/>
      </c>
      <c r="AB2839" s="10">
        <f>REPT(" ",4)</f>
        <v/>
      </c>
      <c r="AC2839" s="10">
        <f>LEFT(UPPER(H2839)&amp;REPT(" ",250),250)</f>
        <v/>
      </c>
      <c r="AD2839" s="10">
        <f>TEXT($G$2,"dd/mm/aaaa")</f>
        <v/>
      </c>
      <c r="AE2839" s="10">
        <f>REPT(" ",10)</f>
        <v/>
      </c>
      <c r="AF2839" s="10">
        <f>REPT(" ",20)</f>
        <v/>
      </c>
      <c r="AG2839" s="54">
        <f>REPT(" ",18-LEN(FIXED(F2839,2,TRUE)))&amp;FIXED(F2839,2,TRUE)</f>
        <v/>
      </c>
      <c r="AH2839" s="10">
        <f>LEN(AC2839)+LEN(AG2839)</f>
        <v/>
      </c>
      <c r="AI2839" s="10">
        <f>LEN(L2839)</f>
        <v/>
      </c>
    </row>
    <row r="2840">
      <c r="J2840" s="12">
        <f>IF(F2840&lt;&gt;0,"LANÇAR","")</f>
        <v/>
      </c>
      <c r="L2840" s="13">
        <f>N2840&amp;O2840&amp;P2840&amp;Q2840&amp;R2840&amp;S2840&amp;T2840&amp;U2840&amp;V2840&amp;W2840&amp;X2840&amp;Y2840&amp;Z2840&amp;AA2840&amp;AB2840&amp;AC2840&amp;AD2840&amp;AE2840&amp;AF2840&amp;AG2840</f>
        <v/>
      </c>
      <c r="N2840" s="10">
        <f>TEXT($B$6,"00")</f>
        <v/>
      </c>
      <c r="O2840" s="10">
        <f>REPT(" ",8)</f>
        <v/>
      </c>
      <c r="P2840" s="10">
        <f>RIGHT($B$4,2)</f>
        <v/>
      </c>
      <c r="Q2840" s="10">
        <f>RIGHT($B$5,3)</f>
        <v/>
      </c>
      <c r="R2840" s="10">
        <f>IF(A2840="D",LEFT(UPPER(B2840)&amp;REPT(" ",20),20),REPT(" ",20))</f>
        <v/>
      </c>
      <c r="S2840" s="10">
        <f>IF(A2840="D",LEFT(UPPER(C2840)&amp;REPT(" ",10),10)," ")</f>
        <v/>
      </c>
      <c r="T2840" s="10">
        <f>IF(A2840="D",LEFT(UPPER(D2840)&amp;REPT(" ",2),2)," ")</f>
        <v/>
      </c>
      <c r="U2840" s="10">
        <f>IF(A2840="D",LEFT(UPPER(E2840)&amp;REPT(" ",15),15)," ")</f>
        <v/>
      </c>
      <c r="V2840" s="10">
        <f>REPT(" ",24)</f>
        <v/>
      </c>
      <c r="W2840" s="10">
        <f>IF(A2840="c",LEFT(UPPER(B2840)&amp;REPT(" ",20),20),REPT(" ",20))</f>
        <v/>
      </c>
      <c r="X2840" s="10">
        <f>IF(A2840="C",LEFT(UPPER(C2840)&amp;REPT(" ",10),10)," ")</f>
        <v/>
      </c>
      <c r="Y2840" s="10">
        <f>IF(A2840="C",LEFT(UPPER(D2840)&amp;REPT(" ",2),2)," ")</f>
        <v/>
      </c>
      <c r="Z2840" s="10">
        <f>IF(A2840="C",LEFT(UPPER(E2840)&amp;REPT(" ",15),15)," ")</f>
        <v/>
      </c>
      <c r="AA2840" s="10">
        <f>REPT(" ",8)</f>
        <v/>
      </c>
      <c r="AB2840" s="10">
        <f>REPT(" ",4)</f>
        <v/>
      </c>
      <c r="AC2840" s="10">
        <f>LEFT(UPPER(H2840)&amp;REPT(" ",250),250)</f>
        <v/>
      </c>
      <c r="AD2840" s="10">
        <f>TEXT($G$2,"dd/mm/aaaa")</f>
        <v/>
      </c>
      <c r="AE2840" s="10">
        <f>REPT(" ",10)</f>
        <v/>
      </c>
      <c r="AF2840" s="10">
        <f>REPT(" ",20)</f>
        <v/>
      </c>
      <c r="AG2840" s="54">
        <f>REPT(" ",18-LEN(FIXED(F2840,2,TRUE)))&amp;FIXED(F2840,2,TRUE)</f>
        <v/>
      </c>
      <c r="AH2840" s="10">
        <f>LEN(AC2840)+LEN(AG2840)</f>
        <v/>
      </c>
      <c r="AI2840" s="10">
        <f>LEN(L2840)</f>
        <v/>
      </c>
    </row>
    <row r="2841">
      <c r="J2841" s="12">
        <f>IF(F2841&lt;&gt;0,"LANÇAR","")</f>
        <v/>
      </c>
      <c r="L2841" s="13">
        <f>N2841&amp;O2841&amp;P2841&amp;Q2841&amp;R2841&amp;S2841&amp;T2841&amp;U2841&amp;V2841&amp;W2841&amp;X2841&amp;Y2841&amp;Z2841&amp;AA2841&amp;AB2841&amp;AC2841&amp;AD2841&amp;AE2841&amp;AF2841&amp;AG2841</f>
        <v/>
      </c>
      <c r="N2841" s="10">
        <f>TEXT($B$6,"00")</f>
        <v/>
      </c>
      <c r="O2841" s="10">
        <f>REPT(" ",8)</f>
        <v/>
      </c>
      <c r="P2841" s="10">
        <f>RIGHT($B$4,2)</f>
        <v/>
      </c>
      <c r="Q2841" s="10">
        <f>RIGHT($B$5,3)</f>
        <v/>
      </c>
      <c r="R2841" s="10">
        <f>IF(A2841="D",LEFT(UPPER(B2841)&amp;REPT(" ",20),20),REPT(" ",20))</f>
        <v/>
      </c>
      <c r="S2841" s="10">
        <f>IF(A2841="D",LEFT(UPPER(C2841)&amp;REPT(" ",10),10)," ")</f>
        <v/>
      </c>
      <c r="T2841" s="10">
        <f>IF(A2841="D",LEFT(UPPER(D2841)&amp;REPT(" ",2),2)," ")</f>
        <v/>
      </c>
      <c r="U2841" s="10">
        <f>IF(A2841="D",LEFT(UPPER(E2841)&amp;REPT(" ",15),15)," ")</f>
        <v/>
      </c>
      <c r="V2841" s="10">
        <f>REPT(" ",24)</f>
        <v/>
      </c>
      <c r="W2841" s="10">
        <f>IF(A2841="c",LEFT(UPPER(B2841)&amp;REPT(" ",20),20),REPT(" ",20))</f>
        <v/>
      </c>
      <c r="X2841" s="10">
        <f>IF(A2841="C",LEFT(UPPER(C2841)&amp;REPT(" ",10),10)," ")</f>
        <v/>
      </c>
      <c r="Y2841" s="10">
        <f>IF(A2841="C",LEFT(UPPER(D2841)&amp;REPT(" ",2),2)," ")</f>
        <v/>
      </c>
      <c r="Z2841" s="10">
        <f>IF(A2841="C",LEFT(UPPER(E2841)&amp;REPT(" ",15),15)," ")</f>
        <v/>
      </c>
      <c r="AA2841" s="10">
        <f>REPT(" ",8)</f>
        <v/>
      </c>
      <c r="AB2841" s="10">
        <f>REPT(" ",4)</f>
        <v/>
      </c>
      <c r="AC2841" s="10">
        <f>LEFT(UPPER(H2841)&amp;REPT(" ",250),250)</f>
        <v/>
      </c>
      <c r="AD2841" s="10">
        <f>TEXT($G$2,"dd/mm/aaaa")</f>
        <v/>
      </c>
      <c r="AE2841" s="10">
        <f>REPT(" ",10)</f>
        <v/>
      </c>
      <c r="AF2841" s="10">
        <f>REPT(" ",20)</f>
        <v/>
      </c>
      <c r="AG2841" s="54">
        <f>REPT(" ",18-LEN(FIXED(F2841,2,TRUE)))&amp;FIXED(F2841,2,TRUE)</f>
        <v/>
      </c>
      <c r="AH2841" s="10">
        <f>LEN(AC2841)+LEN(AG2841)</f>
        <v/>
      </c>
      <c r="AI2841" s="10">
        <f>LEN(L2841)</f>
        <v/>
      </c>
    </row>
    <row r="2842">
      <c r="J2842" s="12">
        <f>IF(F2842&lt;&gt;0,"LANÇAR","")</f>
        <v/>
      </c>
      <c r="L2842" s="13">
        <f>N2842&amp;O2842&amp;P2842&amp;Q2842&amp;R2842&amp;S2842&amp;T2842&amp;U2842&amp;V2842&amp;W2842&amp;X2842&amp;Y2842&amp;Z2842&amp;AA2842&amp;AB2842&amp;AC2842&amp;AD2842&amp;AE2842&amp;AF2842&amp;AG2842</f>
        <v/>
      </c>
      <c r="N2842" s="10">
        <f>TEXT($B$6,"00")</f>
        <v/>
      </c>
      <c r="O2842" s="10">
        <f>REPT(" ",8)</f>
        <v/>
      </c>
      <c r="P2842" s="10">
        <f>RIGHT($B$4,2)</f>
        <v/>
      </c>
      <c r="Q2842" s="10">
        <f>RIGHT($B$5,3)</f>
        <v/>
      </c>
      <c r="R2842" s="10">
        <f>IF(A2842="D",LEFT(UPPER(B2842)&amp;REPT(" ",20),20),REPT(" ",20))</f>
        <v/>
      </c>
      <c r="S2842" s="10">
        <f>IF(A2842="D",LEFT(UPPER(C2842)&amp;REPT(" ",10),10)," ")</f>
        <v/>
      </c>
      <c r="T2842" s="10">
        <f>IF(A2842="D",LEFT(UPPER(D2842)&amp;REPT(" ",2),2)," ")</f>
        <v/>
      </c>
      <c r="U2842" s="10">
        <f>IF(A2842="D",LEFT(UPPER(E2842)&amp;REPT(" ",15),15)," ")</f>
        <v/>
      </c>
      <c r="V2842" s="10">
        <f>REPT(" ",24)</f>
        <v/>
      </c>
      <c r="W2842" s="10">
        <f>IF(A2842="c",LEFT(UPPER(B2842)&amp;REPT(" ",20),20),REPT(" ",20))</f>
        <v/>
      </c>
      <c r="X2842" s="10">
        <f>IF(A2842="C",LEFT(UPPER(C2842)&amp;REPT(" ",10),10)," ")</f>
        <v/>
      </c>
      <c r="Y2842" s="10">
        <f>IF(A2842="C",LEFT(UPPER(D2842)&amp;REPT(" ",2),2)," ")</f>
        <v/>
      </c>
      <c r="Z2842" s="10">
        <f>IF(A2842="C",LEFT(UPPER(E2842)&amp;REPT(" ",15),15)," ")</f>
        <v/>
      </c>
      <c r="AA2842" s="10">
        <f>REPT(" ",8)</f>
        <v/>
      </c>
      <c r="AB2842" s="10">
        <f>REPT(" ",4)</f>
        <v/>
      </c>
      <c r="AC2842" s="10">
        <f>LEFT(UPPER(H2842)&amp;REPT(" ",250),250)</f>
        <v/>
      </c>
      <c r="AD2842" s="10">
        <f>TEXT($G$2,"dd/mm/aaaa")</f>
        <v/>
      </c>
      <c r="AE2842" s="10">
        <f>REPT(" ",10)</f>
        <v/>
      </c>
      <c r="AF2842" s="10">
        <f>REPT(" ",20)</f>
        <v/>
      </c>
      <c r="AG2842" s="54">
        <f>REPT(" ",18-LEN(FIXED(F2842,2,TRUE)))&amp;FIXED(F2842,2,TRUE)</f>
        <v/>
      </c>
      <c r="AH2842" s="10">
        <f>LEN(AC2842)+LEN(AG2842)</f>
        <v/>
      </c>
      <c r="AI2842" s="10">
        <f>LEN(L2842)</f>
        <v/>
      </c>
    </row>
    <row r="2843">
      <c r="J2843" s="12">
        <f>IF(F2843&lt;&gt;0,"LANÇAR","")</f>
        <v/>
      </c>
      <c r="L2843" s="13">
        <f>N2843&amp;O2843&amp;P2843&amp;Q2843&amp;R2843&amp;S2843&amp;T2843&amp;U2843&amp;V2843&amp;W2843&amp;X2843&amp;Y2843&amp;Z2843&amp;AA2843&amp;AB2843&amp;AC2843&amp;AD2843&amp;AE2843&amp;AF2843&amp;AG2843</f>
        <v/>
      </c>
      <c r="N2843" s="10">
        <f>TEXT($B$6,"00")</f>
        <v/>
      </c>
      <c r="O2843" s="10">
        <f>REPT(" ",8)</f>
        <v/>
      </c>
      <c r="P2843" s="10">
        <f>RIGHT($B$4,2)</f>
        <v/>
      </c>
      <c r="Q2843" s="10">
        <f>RIGHT($B$5,3)</f>
        <v/>
      </c>
      <c r="R2843" s="10">
        <f>IF(A2843="D",LEFT(UPPER(B2843)&amp;REPT(" ",20),20),REPT(" ",20))</f>
        <v/>
      </c>
      <c r="S2843" s="10">
        <f>IF(A2843="D",LEFT(UPPER(C2843)&amp;REPT(" ",10),10)," ")</f>
        <v/>
      </c>
      <c r="T2843" s="10">
        <f>IF(A2843="D",LEFT(UPPER(D2843)&amp;REPT(" ",2),2)," ")</f>
        <v/>
      </c>
      <c r="U2843" s="10">
        <f>IF(A2843="D",LEFT(UPPER(E2843)&amp;REPT(" ",15),15)," ")</f>
        <v/>
      </c>
      <c r="V2843" s="10">
        <f>REPT(" ",24)</f>
        <v/>
      </c>
      <c r="W2843" s="10">
        <f>IF(A2843="c",LEFT(UPPER(B2843)&amp;REPT(" ",20),20),REPT(" ",20))</f>
        <v/>
      </c>
      <c r="X2843" s="10">
        <f>IF(A2843="C",LEFT(UPPER(C2843)&amp;REPT(" ",10),10)," ")</f>
        <v/>
      </c>
      <c r="Y2843" s="10">
        <f>IF(A2843="C",LEFT(UPPER(D2843)&amp;REPT(" ",2),2)," ")</f>
        <v/>
      </c>
      <c r="Z2843" s="10">
        <f>IF(A2843="C",LEFT(UPPER(E2843)&amp;REPT(" ",15),15)," ")</f>
        <v/>
      </c>
      <c r="AA2843" s="10">
        <f>REPT(" ",8)</f>
        <v/>
      </c>
      <c r="AB2843" s="10">
        <f>REPT(" ",4)</f>
        <v/>
      </c>
      <c r="AC2843" s="10">
        <f>LEFT(UPPER(H2843)&amp;REPT(" ",250),250)</f>
        <v/>
      </c>
      <c r="AD2843" s="10">
        <f>TEXT($G$2,"dd/mm/aaaa")</f>
        <v/>
      </c>
      <c r="AE2843" s="10">
        <f>REPT(" ",10)</f>
        <v/>
      </c>
      <c r="AF2843" s="10">
        <f>REPT(" ",20)</f>
        <v/>
      </c>
      <c r="AG2843" s="54">
        <f>REPT(" ",18-LEN(FIXED(F2843,2,TRUE)))&amp;FIXED(F2843,2,TRUE)</f>
        <v/>
      </c>
      <c r="AH2843" s="10">
        <f>LEN(AC2843)+LEN(AG2843)</f>
        <v/>
      </c>
      <c r="AI2843" s="10">
        <f>LEN(L2843)</f>
        <v/>
      </c>
    </row>
    <row r="2844">
      <c r="J2844" s="12">
        <f>IF(F2844&lt;&gt;0,"LANÇAR","")</f>
        <v/>
      </c>
      <c r="L2844" s="13">
        <f>N2844&amp;O2844&amp;P2844&amp;Q2844&amp;R2844&amp;S2844&amp;T2844&amp;U2844&amp;V2844&amp;W2844&amp;X2844&amp;Y2844&amp;Z2844&amp;AA2844&amp;AB2844&amp;AC2844&amp;AD2844&amp;AE2844&amp;AF2844&amp;AG2844</f>
        <v/>
      </c>
      <c r="N2844" s="10">
        <f>TEXT($B$6,"00")</f>
        <v/>
      </c>
      <c r="O2844" s="10">
        <f>REPT(" ",8)</f>
        <v/>
      </c>
      <c r="P2844" s="10">
        <f>RIGHT($B$4,2)</f>
        <v/>
      </c>
      <c r="Q2844" s="10">
        <f>RIGHT($B$5,3)</f>
        <v/>
      </c>
      <c r="R2844" s="10">
        <f>IF(A2844="D",LEFT(UPPER(B2844)&amp;REPT(" ",20),20),REPT(" ",20))</f>
        <v/>
      </c>
      <c r="S2844" s="10">
        <f>IF(A2844="D",LEFT(UPPER(C2844)&amp;REPT(" ",10),10)," ")</f>
        <v/>
      </c>
      <c r="T2844" s="10">
        <f>IF(A2844="D",LEFT(UPPER(D2844)&amp;REPT(" ",2),2)," ")</f>
        <v/>
      </c>
      <c r="U2844" s="10">
        <f>IF(A2844="D",LEFT(UPPER(E2844)&amp;REPT(" ",15),15)," ")</f>
        <v/>
      </c>
      <c r="V2844" s="10">
        <f>REPT(" ",24)</f>
        <v/>
      </c>
      <c r="W2844" s="10">
        <f>IF(A2844="c",LEFT(UPPER(B2844)&amp;REPT(" ",20),20),REPT(" ",20))</f>
        <v/>
      </c>
      <c r="X2844" s="10">
        <f>IF(A2844="C",LEFT(UPPER(C2844)&amp;REPT(" ",10),10)," ")</f>
        <v/>
      </c>
      <c r="Y2844" s="10">
        <f>IF(A2844="C",LEFT(UPPER(D2844)&amp;REPT(" ",2),2)," ")</f>
        <v/>
      </c>
      <c r="Z2844" s="10">
        <f>IF(A2844="C",LEFT(UPPER(E2844)&amp;REPT(" ",15),15)," ")</f>
        <v/>
      </c>
      <c r="AA2844" s="10">
        <f>REPT(" ",8)</f>
        <v/>
      </c>
      <c r="AB2844" s="10">
        <f>REPT(" ",4)</f>
        <v/>
      </c>
      <c r="AC2844" s="10">
        <f>LEFT(UPPER(H2844)&amp;REPT(" ",250),250)</f>
        <v/>
      </c>
      <c r="AD2844" s="10">
        <f>TEXT($G$2,"dd/mm/aaaa")</f>
        <v/>
      </c>
      <c r="AE2844" s="10">
        <f>REPT(" ",10)</f>
        <v/>
      </c>
      <c r="AF2844" s="10">
        <f>REPT(" ",20)</f>
        <v/>
      </c>
      <c r="AG2844" s="54">
        <f>REPT(" ",18-LEN(FIXED(F2844,2,TRUE)))&amp;FIXED(F2844,2,TRUE)</f>
        <v/>
      </c>
      <c r="AH2844" s="10">
        <f>LEN(AC2844)+LEN(AG2844)</f>
        <v/>
      </c>
      <c r="AI2844" s="10">
        <f>LEN(L2844)</f>
        <v/>
      </c>
    </row>
    <row r="2845">
      <c r="J2845" s="12">
        <f>IF(F2845&lt;&gt;0,"LANÇAR","")</f>
        <v/>
      </c>
      <c r="L2845" s="13">
        <f>N2845&amp;O2845&amp;P2845&amp;Q2845&amp;R2845&amp;S2845&amp;T2845&amp;U2845&amp;V2845&amp;W2845&amp;X2845&amp;Y2845&amp;Z2845&amp;AA2845&amp;AB2845&amp;AC2845&amp;AD2845&amp;AE2845&amp;AF2845&amp;AG2845</f>
        <v/>
      </c>
      <c r="N2845" s="10">
        <f>TEXT($B$6,"00")</f>
        <v/>
      </c>
      <c r="O2845" s="10">
        <f>REPT(" ",8)</f>
        <v/>
      </c>
      <c r="P2845" s="10">
        <f>RIGHT($B$4,2)</f>
        <v/>
      </c>
      <c r="Q2845" s="10">
        <f>RIGHT($B$5,3)</f>
        <v/>
      </c>
      <c r="R2845" s="10">
        <f>IF(A2845="D",LEFT(UPPER(B2845)&amp;REPT(" ",20),20),REPT(" ",20))</f>
        <v/>
      </c>
      <c r="S2845" s="10">
        <f>IF(A2845="D",LEFT(UPPER(C2845)&amp;REPT(" ",10),10)," ")</f>
        <v/>
      </c>
      <c r="T2845" s="10">
        <f>IF(A2845="D",LEFT(UPPER(D2845)&amp;REPT(" ",2),2)," ")</f>
        <v/>
      </c>
      <c r="U2845" s="10">
        <f>IF(A2845="D",LEFT(UPPER(E2845)&amp;REPT(" ",15),15)," ")</f>
        <v/>
      </c>
      <c r="V2845" s="10">
        <f>REPT(" ",24)</f>
        <v/>
      </c>
      <c r="W2845" s="10">
        <f>IF(A2845="c",LEFT(UPPER(B2845)&amp;REPT(" ",20),20),REPT(" ",20))</f>
        <v/>
      </c>
      <c r="X2845" s="10">
        <f>IF(A2845="C",LEFT(UPPER(C2845)&amp;REPT(" ",10),10)," ")</f>
        <v/>
      </c>
      <c r="Y2845" s="10">
        <f>IF(A2845="C",LEFT(UPPER(D2845)&amp;REPT(" ",2),2)," ")</f>
        <v/>
      </c>
      <c r="Z2845" s="10">
        <f>IF(A2845="C",LEFT(UPPER(E2845)&amp;REPT(" ",15),15)," ")</f>
        <v/>
      </c>
      <c r="AA2845" s="10">
        <f>REPT(" ",8)</f>
        <v/>
      </c>
      <c r="AB2845" s="10">
        <f>REPT(" ",4)</f>
        <v/>
      </c>
      <c r="AC2845" s="10">
        <f>LEFT(UPPER(H2845)&amp;REPT(" ",250),250)</f>
        <v/>
      </c>
      <c r="AD2845" s="10">
        <f>TEXT($G$2,"dd/mm/aaaa")</f>
        <v/>
      </c>
      <c r="AE2845" s="10">
        <f>REPT(" ",10)</f>
        <v/>
      </c>
      <c r="AF2845" s="10">
        <f>REPT(" ",20)</f>
        <v/>
      </c>
      <c r="AG2845" s="54">
        <f>REPT(" ",18-LEN(FIXED(F2845,2,TRUE)))&amp;FIXED(F2845,2,TRUE)</f>
        <v/>
      </c>
      <c r="AH2845" s="10">
        <f>LEN(AC2845)+LEN(AG2845)</f>
        <v/>
      </c>
      <c r="AI2845" s="10">
        <f>LEN(L2845)</f>
        <v/>
      </c>
    </row>
    <row r="2846">
      <c r="J2846" s="12">
        <f>IF(F2846&lt;&gt;0,"LANÇAR","")</f>
        <v/>
      </c>
      <c r="L2846" s="13">
        <f>N2846&amp;O2846&amp;P2846&amp;Q2846&amp;R2846&amp;S2846&amp;T2846&amp;U2846&amp;V2846&amp;W2846&amp;X2846&amp;Y2846&amp;Z2846&amp;AA2846&amp;AB2846&amp;AC2846&amp;AD2846&amp;AE2846&amp;AF2846&amp;AG2846</f>
        <v/>
      </c>
      <c r="N2846" s="10">
        <f>TEXT($B$6,"00")</f>
        <v/>
      </c>
      <c r="O2846" s="10">
        <f>REPT(" ",8)</f>
        <v/>
      </c>
      <c r="P2846" s="10">
        <f>RIGHT($B$4,2)</f>
        <v/>
      </c>
      <c r="Q2846" s="10">
        <f>RIGHT($B$5,3)</f>
        <v/>
      </c>
      <c r="R2846" s="10">
        <f>IF(A2846="D",LEFT(UPPER(B2846)&amp;REPT(" ",20),20),REPT(" ",20))</f>
        <v/>
      </c>
      <c r="S2846" s="10">
        <f>IF(A2846="D",LEFT(UPPER(C2846)&amp;REPT(" ",10),10)," ")</f>
        <v/>
      </c>
      <c r="T2846" s="10">
        <f>IF(A2846="D",LEFT(UPPER(D2846)&amp;REPT(" ",2),2)," ")</f>
        <v/>
      </c>
      <c r="U2846" s="10">
        <f>IF(A2846="D",LEFT(UPPER(E2846)&amp;REPT(" ",15),15)," ")</f>
        <v/>
      </c>
      <c r="V2846" s="10">
        <f>REPT(" ",24)</f>
        <v/>
      </c>
      <c r="W2846" s="10">
        <f>IF(A2846="c",LEFT(UPPER(B2846)&amp;REPT(" ",20),20),REPT(" ",20))</f>
        <v/>
      </c>
      <c r="X2846" s="10">
        <f>IF(A2846="C",LEFT(UPPER(C2846)&amp;REPT(" ",10),10)," ")</f>
        <v/>
      </c>
      <c r="Y2846" s="10">
        <f>IF(A2846="C",LEFT(UPPER(D2846)&amp;REPT(" ",2),2)," ")</f>
        <v/>
      </c>
      <c r="Z2846" s="10">
        <f>IF(A2846="C",LEFT(UPPER(E2846)&amp;REPT(" ",15),15)," ")</f>
        <v/>
      </c>
      <c r="AA2846" s="10">
        <f>REPT(" ",8)</f>
        <v/>
      </c>
      <c r="AB2846" s="10">
        <f>REPT(" ",4)</f>
        <v/>
      </c>
      <c r="AC2846" s="10">
        <f>LEFT(UPPER(H2846)&amp;REPT(" ",250),250)</f>
        <v/>
      </c>
      <c r="AD2846" s="10">
        <f>TEXT($G$2,"dd/mm/aaaa")</f>
        <v/>
      </c>
      <c r="AE2846" s="10">
        <f>REPT(" ",10)</f>
        <v/>
      </c>
      <c r="AF2846" s="10">
        <f>REPT(" ",20)</f>
        <v/>
      </c>
      <c r="AG2846" s="54">
        <f>REPT(" ",18-LEN(FIXED(F2846,2,TRUE)))&amp;FIXED(F2846,2,TRUE)</f>
        <v/>
      </c>
      <c r="AH2846" s="10">
        <f>LEN(AC2846)+LEN(AG2846)</f>
        <v/>
      </c>
      <c r="AI2846" s="10">
        <f>LEN(L2846)</f>
        <v/>
      </c>
    </row>
    <row r="2847">
      <c r="J2847" s="12">
        <f>IF(F2847&lt;&gt;0,"LANÇAR","")</f>
        <v/>
      </c>
      <c r="L2847" s="13">
        <f>N2847&amp;O2847&amp;P2847&amp;Q2847&amp;R2847&amp;S2847&amp;T2847&amp;U2847&amp;V2847&amp;W2847&amp;X2847&amp;Y2847&amp;Z2847&amp;AA2847&amp;AB2847&amp;AC2847&amp;AD2847&amp;AE2847&amp;AF2847&amp;AG2847</f>
        <v/>
      </c>
      <c r="N2847" s="10">
        <f>TEXT($B$6,"00")</f>
        <v/>
      </c>
      <c r="O2847" s="10">
        <f>REPT(" ",8)</f>
        <v/>
      </c>
      <c r="P2847" s="10">
        <f>RIGHT($B$4,2)</f>
        <v/>
      </c>
      <c r="Q2847" s="10">
        <f>RIGHT($B$5,3)</f>
        <v/>
      </c>
      <c r="R2847" s="10">
        <f>IF(A2847="D",LEFT(UPPER(B2847)&amp;REPT(" ",20),20),REPT(" ",20))</f>
        <v/>
      </c>
      <c r="S2847" s="10">
        <f>IF(A2847="D",LEFT(UPPER(C2847)&amp;REPT(" ",10),10)," ")</f>
        <v/>
      </c>
      <c r="T2847" s="10">
        <f>IF(A2847="D",LEFT(UPPER(D2847)&amp;REPT(" ",2),2)," ")</f>
        <v/>
      </c>
      <c r="U2847" s="10">
        <f>IF(A2847="D",LEFT(UPPER(E2847)&amp;REPT(" ",15),15)," ")</f>
        <v/>
      </c>
      <c r="V2847" s="10">
        <f>REPT(" ",24)</f>
        <v/>
      </c>
      <c r="W2847" s="10">
        <f>IF(A2847="c",LEFT(UPPER(B2847)&amp;REPT(" ",20),20),REPT(" ",20))</f>
        <v/>
      </c>
      <c r="X2847" s="10">
        <f>IF(A2847="C",LEFT(UPPER(C2847)&amp;REPT(" ",10),10)," ")</f>
        <v/>
      </c>
      <c r="Y2847" s="10">
        <f>IF(A2847="C",LEFT(UPPER(D2847)&amp;REPT(" ",2),2)," ")</f>
        <v/>
      </c>
      <c r="Z2847" s="10">
        <f>IF(A2847="C",LEFT(UPPER(E2847)&amp;REPT(" ",15),15)," ")</f>
        <v/>
      </c>
      <c r="AA2847" s="10">
        <f>REPT(" ",8)</f>
        <v/>
      </c>
      <c r="AB2847" s="10">
        <f>REPT(" ",4)</f>
        <v/>
      </c>
      <c r="AC2847" s="10">
        <f>LEFT(UPPER(H2847)&amp;REPT(" ",250),250)</f>
        <v/>
      </c>
      <c r="AD2847" s="10">
        <f>TEXT($G$2,"dd/mm/aaaa")</f>
        <v/>
      </c>
      <c r="AE2847" s="10">
        <f>REPT(" ",10)</f>
        <v/>
      </c>
      <c r="AF2847" s="10">
        <f>REPT(" ",20)</f>
        <v/>
      </c>
      <c r="AG2847" s="54">
        <f>REPT(" ",18-LEN(FIXED(F2847,2,TRUE)))&amp;FIXED(F2847,2,TRUE)</f>
        <v/>
      </c>
      <c r="AH2847" s="10">
        <f>LEN(AC2847)+LEN(AG2847)</f>
        <v/>
      </c>
      <c r="AI2847" s="10">
        <f>LEN(L2847)</f>
        <v/>
      </c>
    </row>
    <row r="2848">
      <c r="J2848" s="12">
        <f>IF(F2848&lt;&gt;0,"LANÇAR","")</f>
        <v/>
      </c>
      <c r="L2848" s="13">
        <f>N2848&amp;O2848&amp;P2848&amp;Q2848&amp;R2848&amp;S2848&amp;T2848&amp;U2848&amp;V2848&amp;W2848&amp;X2848&amp;Y2848&amp;Z2848&amp;AA2848&amp;AB2848&amp;AC2848&amp;AD2848&amp;AE2848&amp;AF2848&amp;AG2848</f>
        <v/>
      </c>
      <c r="N2848" s="10">
        <f>TEXT($B$6,"00")</f>
        <v/>
      </c>
      <c r="O2848" s="10">
        <f>REPT(" ",8)</f>
        <v/>
      </c>
      <c r="P2848" s="10">
        <f>RIGHT($B$4,2)</f>
        <v/>
      </c>
      <c r="Q2848" s="10">
        <f>RIGHT($B$5,3)</f>
        <v/>
      </c>
      <c r="R2848" s="10">
        <f>IF(A2848="D",LEFT(UPPER(B2848)&amp;REPT(" ",20),20),REPT(" ",20))</f>
        <v/>
      </c>
      <c r="S2848" s="10">
        <f>IF(A2848="D",LEFT(UPPER(C2848)&amp;REPT(" ",10),10)," ")</f>
        <v/>
      </c>
      <c r="T2848" s="10">
        <f>IF(A2848="D",LEFT(UPPER(D2848)&amp;REPT(" ",2),2)," ")</f>
        <v/>
      </c>
      <c r="U2848" s="10">
        <f>IF(A2848="D",LEFT(UPPER(E2848)&amp;REPT(" ",15),15)," ")</f>
        <v/>
      </c>
      <c r="V2848" s="10">
        <f>REPT(" ",24)</f>
        <v/>
      </c>
      <c r="W2848" s="10">
        <f>IF(A2848="c",LEFT(UPPER(B2848)&amp;REPT(" ",20),20),REPT(" ",20))</f>
        <v/>
      </c>
      <c r="X2848" s="10">
        <f>IF(A2848="C",LEFT(UPPER(C2848)&amp;REPT(" ",10),10)," ")</f>
        <v/>
      </c>
      <c r="Y2848" s="10">
        <f>IF(A2848="C",LEFT(UPPER(D2848)&amp;REPT(" ",2),2)," ")</f>
        <v/>
      </c>
      <c r="Z2848" s="10">
        <f>IF(A2848="C",LEFT(UPPER(E2848)&amp;REPT(" ",15),15)," ")</f>
        <v/>
      </c>
      <c r="AA2848" s="10">
        <f>REPT(" ",8)</f>
        <v/>
      </c>
      <c r="AB2848" s="10">
        <f>REPT(" ",4)</f>
        <v/>
      </c>
      <c r="AC2848" s="10">
        <f>LEFT(UPPER(H2848)&amp;REPT(" ",250),250)</f>
        <v/>
      </c>
      <c r="AD2848" s="10">
        <f>TEXT($G$2,"dd/mm/aaaa")</f>
        <v/>
      </c>
      <c r="AE2848" s="10">
        <f>REPT(" ",10)</f>
        <v/>
      </c>
      <c r="AF2848" s="10">
        <f>REPT(" ",20)</f>
        <v/>
      </c>
      <c r="AG2848" s="54">
        <f>REPT(" ",18-LEN(FIXED(F2848,2,TRUE)))&amp;FIXED(F2848,2,TRUE)</f>
        <v/>
      </c>
      <c r="AH2848" s="10">
        <f>LEN(AC2848)+LEN(AG2848)</f>
        <v/>
      </c>
      <c r="AI2848" s="10">
        <f>LEN(L2848)</f>
        <v/>
      </c>
    </row>
    <row r="2849">
      <c r="J2849" s="12">
        <f>IF(F2849&lt;&gt;0,"LANÇAR","")</f>
        <v/>
      </c>
      <c r="L2849" s="13">
        <f>N2849&amp;O2849&amp;P2849&amp;Q2849&amp;R2849&amp;S2849&amp;T2849&amp;U2849&amp;V2849&amp;W2849&amp;X2849&amp;Y2849&amp;Z2849&amp;AA2849&amp;AB2849&amp;AC2849&amp;AD2849&amp;AE2849&amp;AF2849&amp;AG2849</f>
        <v/>
      </c>
      <c r="N2849" s="10">
        <f>TEXT($B$6,"00")</f>
        <v/>
      </c>
      <c r="O2849" s="10">
        <f>REPT(" ",8)</f>
        <v/>
      </c>
      <c r="P2849" s="10">
        <f>RIGHT($B$4,2)</f>
        <v/>
      </c>
      <c r="Q2849" s="10">
        <f>RIGHT($B$5,3)</f>
        <v/>
      </c>
      <c r="R2849" s="10">
        <f>IF(A2849="D",LEFT(UPPER(B2849)&amp;REPT(" ",20),20),REPT(" ",20))</f>
        <v/>
      </c>
      <c r="S2849" s="10">
        <f>IF(A2849="D",LEFT(UPPER(C2849)&amp;REPT(" ",10),10)," ")</f>
        <v/>
      </c>
      <c r="T2849" s="10">
        <f>IF(A2849="D",LEFT(UPPER(D2849)&amp;REPT(" ",2),2)," ")</f>
        <v/>
      </c>
      <c r="U2849" s="10">
        <f>IF(A2849="D",LEFT(UPPER(E2849)&amp;REPT(" ",15),15)," ")</f>
        <v/>
      </c>
      <c r="V2849" s="10">
        <f>REPT(" ",24)</f>
        <v/>
      </c>
      <c r="W2849" s="10">
        <f>IF(A2849="c",LEFT(UPPER(B2849)&amp;REPT(" ",20),20),REPT(" ",20))</f>
        <v/>
      </c>
      <c r="X2849" s="10">
        <f>IF(A2849="C",LEFT(UPPER(C2849)&amp;REPT(" ",10),10)," ")</f>
        <v/>
      </c>
      <c r="Y2849" s="10">
        <f>IF(A2849="C",LEFT(UPPER(D2849)&amp;REPT(" ",2),2)," ")</f>
        <v/>
      </c>
      <c r="Z2849" s="10">
        <f>IF(A2849="C",LEFT(UPPER(E2849)&amp;REPT(" ",15),15)," ")</f>
        <v/>
      </c>
      <c r="AA2849" s="10">
        <f>REPT(" ",8)</f>
        <v/>
      </c>
      <c r="AB2849" s="10">
        <f>REPT(" ",4)</f>
        <v/>
      </c>
      <c r="AC2849" s="10">
        <f>LEFT(UPPER(H2849)&amp;REPT(" ",250),250)</f>
        <v/>
      </c>
      <c r="AD2849" s="10">
        <f>TEXT($G$2,"dd/mm/aaaa")</f>
        <v/>
      </c>
      <c r="AE2849" s="10">
        <f>REPT(" ",10)</f>
        <v/>
      </c>
      <c r="AF2849" s="10">
        <f>REPT(" ",20)</f>
        <v/>
      </c>
      <c r="AG2849" s="54">
        <f>REPT(" ",18-LEN(FIXED(F2849,2,TRUE)))&amp;FIXED(F2849,2,TRUE)</f>
        <v/>
      </c>
      <c r="AH2849" s="10">
        <f>LEN(AC2849)+LEN(AG2849)</f>
        <v/>
      </c>
      <c r="AI2849" s="10">
        <f>LEN(L2849)</f>
        <v/>
      </c>
    </row>
    <row r="2850">
      <c r="J2850" s="12">
        <f>IF(F2850&lt;&gt;0,"LANÇAR","")</f>
        <v/>
      </c>
      <c r="L2850" s="13">
        <f>N2850&amp;O2850&amp;P2850&amp;Q2850&amp;R2850&amp;S2850&amp;T2850&amp;U2850&amp;V2850&amp;W2850&amp;X2850&amp;Y2850&amp;Z2850&amp;AA2850&amp;AB2850&amp;AC2850&amp;AD2850&amp;AE2850&amp;AF2850&amp;AG2850</f>
        <v/>
      </c>
      <c r="N2850" s="10">
        <f>TEXT($B$6,"00")</f>
        <v/>
      </c>
      <c r="O2850" s="10">
        <f>REPT(" ",8)</f>
        <v/>
      </c>
      <c r="P2850" s="10">
        <f>RIGHT($B$4,2)</f>
        <v/>
      </c>
      <c r="Q2850" s="10">
        <f>RIGHT($B$5,3)</f>
        <v/>
      </c>
      <c r="R2850" s="10">
        <f>IF(A2850="D",LEFT(UPPER(B2850)&amp;REPT(" ",20),20),REPT(" ",20))</f>
        <v/>
      </c>
      <c r="S2850" s="10">
        <f>IF(A2850="D",LEFT(UPPER(C2850)&amp;REPT(" ",10),10)," ")</f>
        <v/>
      </c>
      <c r="T2850" s="10">
        <f>IF(A2850="D",LEFT(UPPER(D2850)&amp;REPT(" ",2),2)," ")</f>
        <v/>
      </c>
      <c r="U2850" s="10">
        <f>IF(A2850="D",LEFT(UPPER(E2850)&amp;REPT(" ",15),15)," ")</f>
        <v/>
      </c>
      <c r="V2850" s="10">
        <f>REPT(" ",24)</f>
        <v/>
      </c>
      <c r="W2850" s="10">
        <f>IF(A2850="c",LEFT(UPPER(B2850)&amp;REPT(" ",20),20),REPT(" ",20))</f>
        <v/>
      </c>
      <c r="X2850" s="10">
        <f>IF(A2850="C",LEFT(UPPER(C2850)&amp;REPT(" ",10),10)," ")</f>
        <v/>
      </c>
      <c r="Y2850" s="10">
        <f>IF(A2850="C",LEFT(UPPER(D2850)&amp;REPT(" ",2),2)," ")</f>
        <v/>
      </c>
      <c r="Z2850" s="10">
        <f>IF(A2850="C",LEFT(UPPER(E2850)&amp;REPT(" ",15),15)," ")</f>
        <v/>
      </c>
      <c r="AA2850" s="10">
        <f>REPT(" ",8)</f>
        <v/>
      </c>
      <c r="AB2850" s="10">
        <f>REPT(" ",4)</f>
        <v/>
      </c>
      <c r="AC2850" s="10">
        <f>LEFT(UPPER(H2850)&amp;REPT(" ",250),250)</f>
        <v/>
      </c>
      <c r="AD2850" s="10">
        <f>TEXT($G$2,"dd/mm/aaaa")</f>
        <v/>
      </c>
      <c r="AE2850" s="10">
        <f>REPT(" ",10)</f>
        <v/>
      </c>
      <c r="AF2850" s="10">
        <f>REPT(" ",20)</f>
        <v/>
      </c>
      <c r="AG2850" s="54">
        <f>REPT(" ",18-LEN(FIXED(F2850,2,TRUE)))&amp;FIXED(F2850,2,TRUE)</f>
        <v/>
      </c>
      <c r="AH2850" s="10">
        <f>LEN(AC2850)+LEN(AG2850)</f>
        <v/>
      </c>
      <c r="AI2850" s="10">
        <f>LEN(L2850)</f>
        <v/>
      </c>
    </row>
    <row r="2851">
      <c r="J2851" s="12">
        <f>IF(F2851&lt;&gt;0,"LANÇAR","")</f>
        <v/>
      </c>
      <c r="L2851" s="13">
        <f>N2851&amp;O2851&amp;P2851&amp;Q2851&amp;R2851&amp;S2851&amp;T2851&amp;U2851&amp;V2851&amp;W2851&amp;X2851&amp;Y2851&amp;Z2851&amp;AA2851&amp;AB2851&amp;AC2851&amp;AD2851&amp;AE2851&amp;AF2851&amp;AG2851</f>
        <v/>
      </c>
      <c r="N2851" s="10">
        <f>TEXT($B$6,"00")</f>
        <v/>
      </c>
      <c r="O2851" s="10">
        <f>REPT(" ",8)</f>
        <v/>
      </c>
      <c r="P2851" s="10">
        <f>RIGHT($B$4,2)</f>
        <v/>
      </c>
      <c r="Q2851" s="10">
        <f>RIGHT($B$5,3)</f>
        <v/>
      </c>
      <c r="R2851" s="10">
        <f>IF(A2851="D",LEFT(UPPER(B2851)&amp;REPT(" ",20),20),REPT(" ",20))</f>
        <v/>
      </c>
      <c r="S2851" s="10">
        <f>IF(A2851="D",LEFT(UPPER(C2851)&amp;REPT(" ",10),10)," ")</f>
        <v/>
      </c>
      <c r="T2851" s="10">
        <f>IF(A2851="D",LEFT(UPPER(D2851)&amp;REPT(" ",2),2)," ")</f>
        <v/>
      </c>
      <c r="U2851" s="10">
        <f>IF(A2851="D",LEFT(UPPER(E2851)&amp;REPT(" ",15),15)," ")</f>
        <v/>
      </c>
      <c r="V2851" s="10">
        <f>REPT(" ",24)</f>
        <v/>
      </c>
      <c r="W2851" s="10">
        <f>IF(A2851="c",LEFT(UPPER(B2851)&amp;REPT(" ",20),20),REPT(" ",20))</f>
        <v/>
      </c>
      <c r="X2851" s="10">
        <f>IF(A2851="C",LEFT(UPPER(C2851)&amp;REPT(" ",10),10)," ")</f>
        <v/>
      </c>
      <c r="Y2851" s="10">
        <f>IF(A2851="C",LEFT(UPPER(D2851)&amp;REPT(" ",2),2)," ")</f>
        <v/>
      </c>
      <c r="Z2851" s="10">
        <f>IF(A2851="C",LEFT(UPPER(E2851)&amp;REPT(" ",15),15)," ")</f>
        <v/>
      </c>
      <c r="AA2851" s="10">
        <f>REPT(" ",8)</f>
        <v/>
      </c>
      <c r="AB2851" s="10">
        <f>REPT(" ",4)</f>
        <v/>
      </c>
      <c r="AC2851" s="10">
        <f>LEFT(UPPER(H2851)&amp;REPT(" ",250),250)</f>
        <v/>
      </c>
      <c r="AD2851" s="10">
        <f>TEXT($G$2,"dd/mm/aaaa")</f>
        <v/>
      </c>
      <c r="AE2851" s="10">
        <f>REPT(" ",10)</f>
        <v/>
      </c>
      <c r="AF2851" s="10">
        <f>REPT(" ",20)</f>
        <v/>
      </c>
      <c r="AG2851" s="54">
        <f>REPT(" ",18-LEN(FIXED(F2851,2,TRUE)))&amp;FIXED(F2851,2,TRUE)</f>
        <v/>
      </c>
      <c r="AH2851" s="10">
        <f>LEN(AC2851)+LEN(AG2851)</f>
        <v/>
      </c>
      <c r="AI2851" s="10">
        <f>LEN(L2851)</f>
        <v/>
      </c>
    </row>
    <row r="2852">
      <c r="J2852" s="12">
        <f>IF(F2852&lt;&gt;0,"LANÇAR","")</f>
        <v/>
      </c>
      <c r="L2852" s="13">
        <f>N2852&amp;O2852&amp;P2852&amp;Q2852&amp;R2852&amp;S2852&amp;T2852&amp;U2852&amp;V2852&amp;W2852&amp;X2852&amp;Y2852&amp;Z2852&amp;AA2852&amp;AB2852&amp;AC2852&amp;AD2852&amp;AE2852&amp;AF2852&amp;AG2852</f>
        <v/>
      </c>
      <c r="N2852" s="10">
        <f>TEXT($B$6,"00")</f>
        <v/>
      </c>
      <c r="O2852" s="10">
        <f>REPT(" ",8)</f>
        <v/>
      </c>
      <c r="P2852" s="10">
        <f>RIGHT($B$4,2)</f>
        <v/>
      </c>
      <c r="Q2852" s="10">
        <f>RIGHT($B$5,3)</f>
        <v/>
      </c>
      <c r="R2852" s="10">
        <f>IF(A2852="D",LEFT(UPPER(B2852)&amp;REPT(" ",20),20),REPT(" ",20))</f>
        <v/>
      </c>
      <c r="S2852" s="10">
        <f>IF(A2852="D",LEFT(UPPER(C2852)&amp;REPT(" ",10),10)," ")</f>
        <v/>
      </c>
      <c r="T2852" s="10">
        <f>IF(A2852="D",LEFT(UPPER(D2852)&amp;REPT(" ",2),2)," ")</f>
        <v/>
      </c>
      <c r="U2852" s="10">
        <f>IF(A2852="D",LEFT(UPPER(E2852)&amp;REPT(" ",15),15)," ")</f>
        <v/>
      </c>
      <c r="V2852" s="10">
        <f>REPT(" ",24)</f>
        <v/>
      </c>
      <c r="W2852" s="10">
        <f>IF(A2852="c",LEFT(UPPER(B2852)&amp;REPT(" ",20),20),REPT(" ",20))</f>
        <v/>
      </c>
      <c r="X2852" s="10">
        <f>IF(A2852="C",LEFT(UPPER(C2852)&amp;REPT(" ",10),10)," ")</f>
        <v/>
      </c>
      <c r="Y2852" s="10">
        <f>IF(A2852="C",LEFT(UPPER(D2852)&amp;REPT(" ",2),2)," ")</f>
        <v/>
      </c>
      <c r="Z2852" s="10">
        <f>IF(A2852="C",LEFT(UPPER(E2852)&amp;REPT(" ",15),15)," ")</f>
        <v/>
      </c>
      <c r="AA2852" s="10">
        <f>REPT(" ",8)</f>
        <v/>
      </c>
      <c r="AB2852" s="10">
        <f>REPT(" ",4)</f>
        <v/>
      </c>
      <c r="AC2852" s="10">
        <f>LEFT(UPPER(H2852)&amp;REPT(" ",250),250)</f>
        <v/>
      </c>
      <c r="AD2852" s="10">
        <f>TEXT($G$2,"dd/mm/aaaa")</f>
        <v/>
      </c>
      <c r="AE2852" s="10">
        <f>REPT(" ",10)</f>
        <v/>
      </c>
      <c r="AF2852" s="10">
        <f>REPT(" ",20)</f>
        <v/>
      </c>
      <c r="AG2852" s="54">
        <f>REPT(" ",18-LEN(FIXED(F2852,2,TRUE)))&amp;FIXED(F2852,2,TRUE)</f>
        <v/>
      </c>
      <c r="AH2852" s="10">
        <f>LEN(AC2852)+LEN(AG2852)</f>
        <v/>
      </c>
      <c r="AI2852" s="10">
        <f>LEN(L2852)</f>
        <v/>
      </c>
    </row>
    <row r="2853">
      <c r="J2853" s="12">
        <f>IF(F2853&lt;&gt;0,"LANÇAR","")</f>
        <v/>
      </c>
      <c r="L2853" s="13">
        <f>N2853&amp;O2853&amp;P2853&amp;Q2853&amp;R2853&amp;S2853&amp;T2853&amp;U2853&amp;V2853&amp;W2853&amp;X2853&amp;Y2853&amp;Z2853&amp;AA2853&amp;AB2853&amp;AC2853&amp;AD2853&amp;AE2853&amp;AF2853&amp;AG2853</f>
        <v/>
      </c>
      <c r="N2853" s="10">
        <f>TEXT($B$6,"00")</f>
        <v/>
      </c>
      <c r="O2853" s="10">
        <f>REPT(" ",8)</f>
        <v/>
      </c>
      <c r="P2853" s="10">
        <f>RIGHT($B$4,2)</f>
        <v/>
      </c>
      <c r="Q2853" s="10">
        <f>RIGHT($B$5,3)</f>
        <v/>
      </c>
      <c r="R2853" s="10">
        <f>IF(A2853="D",LEFT(UPPER(B2853)&amp;REPT(" ",20),20),REPT(" ",20))</f>
        <v/>
      </c>
      <c r="S2853" s="10">
        <f>IF(A2853="D",LEFT(UPPER(C2853)&amp;REPT(" ",10),10)," ")</f>
        <v/>
      </c>
      <c r="T2853" s="10">
        <f>IF(A2853="D",LEFT(UPPER(D2853)&amp;REPT(" ",2),2)," ")</f>
        <v/>
      </c>
      <c r="U2853" s="10">
        <f>IF(A2853="D",LEFT(UPPER(E2853)&amp;REPT(" ",15),15)," ")</f>
        <v/>
      </c>
      <c r="V2853" s="10">
        <f>REPT(" ",24)</f>
        <v/>
      </c>
      <c r="W2853" s="10">
        <f>IF(A2853="c",LEFT(UPPER(B2853)&amp;REPT(" ",20),20),REPT(" ",20))</f>
        <v/>
      </c>
      <c r="X2853" s="10">
        <f>IF(A2853="C",LEFT(UPPER(C2853)&amp;REPT(" ",10),10)," ")</f>
        <v/>
      </c>
      <c r="Y2853" s="10">
        <f>IF(A2853="C",LEFT(UPPER(D2853)&amp;REPT(" ",2),2)," ")</f>
        <v/>
      </c>
      <c r="Z2853" s="10">
        <f>IF(A2853="C",LEFT(UPPER(E2853)&amp;REPT(" ",15),15)," ")</f>
        <v/>
      </c>
      <c r="AA2853" s="10">
        <f>REPT(" ",8)</f>
        <v/>
      </c>
      <c r="AB2853" s="10">
        <f>REPT(" ",4)</f>
        <v/>
      </c>
      <c r="AC2853" s="10">
        <f>LEFT(UPPER(H2853)&amp;REPT(" ",250),250)</f>
        <v/>
      </c>
      <c r="AD2853" s="10">
        <f>TEXT($G$2,"dd/mm/aaaa")</f>
        <v/>
      </c>
      <c r="AE2853" s="10">
        <f>REPT(" ",10)</f>
        <v/>
      </c>
      <c r="AF2853" s="10">
        <f>REPT(" ",20)</f>
        <v/>
      </c>
      <c r="AG2853" s="54">
        <f>REPT(" ",18-LEN(FIXED(F2853,2,TRUE)))&amp;FIXED(F2853,2,TRUE)</f>
        <v/>
      </c>
      <c r="AH2853" s="10">
        <f>LEN(AC2853)+LEN(AG2853)</f>
        <v/>
      </c>
      <c r="AI2853" s="10">
        <f>LEN(L2853)</f>
        <v/>
      </c>
    </row>
    <row r="2854">
      <c r="J2854" s="12">
        <f>IF(F2854&lt;&gt;0,"LANÇAR","")</f>
        <v/>
      </c>
      <c r="L2854" s="13">
        <f>N2854&amp;O2854&amp;P2854&amp;Q2854&amp;R2854&amp;S2854&amp;T2854&amp;U2854&amp;V2854&amp;W2854&amp;X2854&amp;Y2854&amp;Z2854&amp;AA2854&amp;AB2854&amp;AC2854&amp;AD2854&amp;AE2854&amp;AF2854&amp;AG2854</f>
        <v/>
      </c>
      <c r="N2854" s="10">
        <f>TEXT($B$6,"00")</f>
        <v/>
      </c>
      <c r="O2854" s="10">
        <f>REPT(" ",8)</f>
        <v/>
      </c>
      <c r="P2854" s="10">
        <f>RIGHT($B$4,2)</f>
        <v/>
      </c>
      <c r="Q2854" s="10">
        <f>RIGHT($B$5,3)</f>
        <v/>
      </c>
      <c r="R2854" s="10">
        <f>IF(A2854="D",LEFT(UPPER(B2854)&amp;REPT(" ",20),20),REPT(" ",20))</f>
        <v/>
      </c>
      <c r="S2854" s="10">
        <f>IF(A2854="D",LEFT(UPPER(C2854)&amp;REPT(" ",10),10)," ")</f>
        <v/>
      </c>
      <c r="T2854" s="10">
        <f>IF(A2854="D",LEFT(UPPER(D2854)&amp;REPT(" ",2),2)," ")</f>
        <v/>
      </c>
      <c r="U2854" s="10">
        <f>IF(A2854="D",LEFT(UPPER(E2854)&amp;REPT(" ",15),15)," ")</f>
        <v/>
      </c>
      <c r="V2854" s="10">
        <f>REPT(" ",24)</f>
        <v/>
      </c>
      <c r="W2854" s="10">
        <f>IF(A2854="c",LEFT(UPPER(B2854)&amp;REPT(" ",20),20),REPT(" ",20))</f>
        <v/>
      </c>
      <c r="X2854" s="10">
        <f>IF(A2854="C",LEFT(UPPER(C2854)&amp;REPT(" ",10),10)," ")</f>
        <v/>
      </c>
      <c r="Y2854" s="10">
        <f>IF(A2854="C",LEFT(UPPER(D2854)&amp;REPT(" ",2),2)," ")</f>
        <v/>
      </c>
      <c r="Z2854" s="10">
        <f>IF(A2854="C",LEFT(UPPER(E2854)&amp;REPT(" ",15),15)," ")</f>
        <v/>
      </c>
      <c r="AA2854" s="10">
        <f>REPT(" ",8)</f>
        <v/>
      </c>
      <c r="AB2854" s="10">
        <f>REPT(" ",4)</f>
        <v/>
      </c>
      <c r="AC2854" s="10">
        <f>LEFT(UPPER(H2854)&amp;REPT(" ",250),250)</f>
        <v/>
      </c>
      <c r="AD2854" s="10">
        <f>TEXT($G$2,"dd/mm/aaaa")</f>
        <v/>
      </c>
      <c r="AE2854" s="10">
        <f>REPT(" ",10)</f>
        <v/>
      </c>
      <c r="AF2854" s="10">
        <f>REPT(" ",20)</f>
        <v/>
      </c>
      <c r="AG2854" s="54">
        <f>REPT(" ",18-LEN(FIXED(F2854,2,TRUE)))&amp;FIXED(F2854,2,TRUE)</f>
        <v/>
      </c>
      <c r="AH2854" s="10">
        <f>LEN(AC2854)+LEN(AG2854)</f>
        <v/>
      </c>
      <c r="AI2854" s="10">
        <f>LEN(L2854)</f>
        <v/>
      </c>
    </row>
    <row r="2855">
      <c r="J2855" s="12">
        <f>IF(F2855&lt;&gt;0,"LANÇAR","")</f>
        <v/>
      </c>
      <c r="L2855" s="13">
        <f>N2855&amp;O2855&amp;P2855&amp;Q2855&amp;R2855&amp;S2855&amp;T2855&amp;U2855&amp;V2855&amp;W2855&amp;X2855&amp;Y2855&amp;Z2855&amp;AA2855&amp;AB2855&amp;AC2855&amp;AD2855&amp;AE2855&amp;AF2855&amp;AG2855</f>
        <v/>
      </c>
      <c r="N2855" s="10">
        <f>TEXT($B$6,"00")</f>
        <v/>
      </c>
      <c r="O2855" s="10">
        <f>REPT(" ",8)</f>
        <v/>
      </c>
      <c r="P2855" s="10">
        <f>RIGHT($B$4,2)</f>
        <v/>
      </c>
      <c r="Q2855" s="10">
        <f>RIGHT($B$5,3)</f>
        <v/>
      </c>
      <c r="R2855" s="10">
        <f>IF(A2855="D",LEFT(UPPER(B2855)&amp;REPT(" ",20),20),REPT(" ",20))</f>
        <v/>
      </c>
      <c r="S2855" s="10">
        <f>IF(A2855="D",LEFT(UPPER(C2855)&amp;REPT(" ",10),10)," ")</f>
        <v/>
      </c>
      <c r="T2855" s="10">
        <f>IF(A2855="D",LEFT(UPPER(D2855)&amp;REPT(" ",2),2)," ")</f>
        <v/>
      </c>
      <c r="U2855" s="10">
        <f>IF(A2855="D",LEFT(UPPER(E2855)&amp;REPT(" ",15),15)," ")</f>
        <v/>
      </c>
      <c r="V2855" s="10">
        <f>REPT(" ",24)</f>
        <v/>
      </c>
      <c r="W2855" s="10">
        <f>IF(A2855="c",LEFT(UPPER(B2855)&amp;REPT(" ",20),20),REPT(" ",20))</f>
        <v/>
      </c>
      <c r="X2855" s="10">
        <f>IF(A2855="C",LEFT(UPPER(C2855)&amp;REPT(" ",10),10)," ")</f>
        <v/>
      </c>
      <c r="Y2855" s="10">
        <f>IF(A2855="C",LEFT(UPPER(D2855)&amp;REPT(" ",2),2)," ")</f>
        <v/>
      </c>
      <c r="Z2855" s="10">
        <f>IF(A2855="C",LEFT(UPPER(E2855)&amp;REPT(" ",15),15)," ")</f>
        <v/>
      </c>
      <c r="AA2855" s="10">
        <f>REPT(" ",8)</f>
        <v/>
      </c>
      <c r="AB2855" s="10">
        <f>REPT(" ",4)</f>
        <v/>
      </c>
      <c r="AC2855" s="10">
        <f>LEFT(UPPER(H2855)&amp;REPT(" ",250),250)</f>
        <v/>
      </c>
      <c r="AD2855" s="10">
        <f>TEXT($G$2,"dd/mm/aaaa")</f>
        <v/>
      </c>
      <c r="AE2855" s="10">
        <f>REPT(" ",10)</f>
        <v/>
      </c>
      <c r="AF2855" s="10">
        <f>REPT(" ",20)</f>
        <v/>
      </c>
      <c r="AG2855" s="54">
        <f>REPT(" ",18-LEN(FIXED(F2855,2,TRUE)))&amp;FIXED(F2855,2,TRUE)</f>
        <v/>
      </c>
      <c r="AH2855" s="10">
        <f>LEN(AC2855)+LEN(AG2855)</f>
        <v/>
      </c>
      <c r="AI2855" s="10">
        <f>LEN(L2855)</f>
        <v/>
      </c>
    </row>
    <row r="2856">
      <c r="J2856" s="12">
        <f>IF(F2856&lt;&gt;0,"LANÇAR","")</f>
        <v/>
      </c>
      <c r="L2856" s="13">
        <f>N2856&amp;O2856&amp;P2856&amp;Q2856&amp;R2856&amp;S2856&amp;T2856&amp;U2856&amp;V2856&amp;W2856&amp;X2856&amp;Y2856&amp;Z2856&amp;AA2856&amp;AB2856&amp;AC2856&amp;AD2856&amp;AE2856&amp;AF2856&amp;AG2856</f>
        <v/>
      </c>
      <c r="N2856" s="10">
        <f>TEXT($B$6,"00")</f>
        <v/>
      </c>
      <c r="O2856" s="10">
        <f>REPT(" ",8)</f>
        <v/>
      </c>
      <c r="P2856" s="10">
        <f>RIGHT($B$4,2)</f>
        <v/>
      </c>
      <c r="Q2856" s="10">
        <f>RIGHT($B$5,3)</f>
        <v/>
      </c>
      <c r="R2856" s="10">
        <f>IF(A2856="D",LEFT(UPPER(B2856)&amp;REPT(" ",20),20),REPT(" ",20))</f>
        <v/>
      </c>
      <c r="S2856" s="10">
        <f>IF(A2856="D",LEFT(UPPER(C2856)&amp;REPT(" ",10),10)," ")</f>
        <v/>
      </c>
      <c r="T2856" s="10">
        <f>IF(A2856="D",LEFT(UPPER(D2856)&amp;REPT(" ",2),2)," ")</f>
        <v/>
      </c>
      <c r="U2856" s="10">
        <f>IF(A2856="D",LEFT(UPPER(E2856)&amp;REPT(" ",15),15)," ")</f>
        <v/>
      </c>
      <c r="V2856" s="10">
        <f>REPT(" ",24)</f>
        <v/>
      </c>
      <c r="W2856" s="10">
        <f>IF(A2856="c",LEFT(UPPER(B2856)&amp;REPT(" ",20),20),REPT(" ",20))</f>
        <v/>
      </c>
      <c r="X2856" s="10">
        <f>IF(A2856="C",LEFT(UPPER(C2856)&amp;REPT(" ",10),10)," ")</f>
        <v/>
      </c>
      <c r="Y2856" s="10">
        <f>IF(A2856="C",LEFT(UPPER(D2856)&amp;REPT(" ",2),2)," ")</f>
        <v/>
      </c>
      <c r="Z2856" s="10">
        <f>IF(A2856="C",LEFT(UPPER(E2856)&amp;REPT(" ",15),15)," ")</f>
        <v/>
      </c>
      <c r="AA2856" s="10">
        <f>REPT(" ",8)</f>
        <v/>
      </c>
      <c r="AB2856" s="10">
        <f>REPT(" ",4)</f>
        <v/>
      </c>
      <c r="AC2856" s="10">
        <f>LEFT(UPPER(H2856)&amp;REPT(" ",250),250)</f>
        <v/>
      </c>
      <c r="AD2856" s="10">
        <f>TEXT($G$2,"dd/mm/aaaa")</f>
        <v/>
      </c>
      <c r="AE2856" s="10">
        <f>REPT(" ",10)</f>
        <v/>
      </c>
      <c r="AF2856" s="10">
        <f>REPT(" ",20)</f>
        <v/>
      </c>
      <c r="AG2856" s="54">
        <f>REPT(" ",18-LEN(FIXED(F2856,2,TRUE)))&amp;FIXED(F2856,2,TRUE)</f>
        <v/>
      </c>
      <c r="AH2856" s="10">
        <f>LEN(AC2856)+LEN(AG2856)</f>
        <v/>
      </c>
      <c r="AI2856" s="10">
        <f>LEN(L2856)</f>
        <v/>
      </c>
    </row>
    <row r="2857">
      <c r="J2857" s="12">
        <f>IF(F2857&lt;&gt;0,"LANÇAR","")</f>
        <v/>
      </c>
      <c r="L2857" s="13">
        <f>N2857&amp;O2857&amp;P2857&amp;Q2857&amp;R2857&amp;S2857&amp;T2857&amp;U2857&amp;V2857&amp;W2857&amp;X2857&amp;Y2857&amp;Z2857&amp;AA2857&amp;AB2857&amp;AC2857&amp;AD2857&amp;AE2857&amp;AF2857&amp;AG2857</f>
        <v/>
      </c>
      <c r="N2857" s="10">
        <f>TEXT($B$6,"00")</f>
        <v/>
      </c>
      <c r="O2857" s="10">
        <f>REPT(" ",8)</f>
        <v/>
      </c>
      <c r="P2857" s="10">
        <f>RIGHT($B$4,2)</f>
        <v/>
      </c>
      <c r="Q2857" s="10">
        <f>RIGHT($B$5,3)</f>
        <v/>
      </c>
      <c r="R2857" s="10">
        <f>IF(A2857="D",LEFT(UPPER(B2857)&amp;REPT(" ",20),20),REPT(" ",20))</f>
        <v/>
      </c>
      <c r="S2857" s="10">
        <f>IF(A2857="D",LEFT(UPPER(C2857)&amp;REPT(" ",10),10)," ")</f>
        <v/>
      </c>
      <c r="T2857" s="10">
        <f>IF(A2857="D",LEFT(UPPER(D2857)&amp;REPT(" ",2),2)," ")</f>
        <v/>
      </c>
      <c r="U2857" s="10">
        <f>IF(A2857="D",LEFT(UPPER(E2857)&amp;REPT(" ",15),15)," ")</f>
        <v/>
      </c>
      <c r="V2857" s="10">
        <f>REPT(" ",24)</f>
        <v/>
      </c>
      <c r="W2857" s="10">
        <f>IF(A2857="c",LEFT(UPPER(B2857)&amp;REPT(" ",20),20),REPT(" ",20))</f>
        <v/>
      </c>
      <c r="X2857" s="10">
        <f>IF(A2857="C",LEFT(UPPER(C2857)&amp;REPT(" ",10),10)," ")</f>
        <v/>
      </c>
      <c r="Y2857" s="10">
        <f>IF(A2857="C",LEFT(UPPER(D2857)&amp;REPT(" ",2),2)," ")</f>
        <v/>
      </c>
      <c r="Z2857" s="10">
        <f>IF(A2857="C",LEFT(UPPER(E2857)&amp;REPT(" ",15),15)," ")</f>
        <v/>
      </c>
      <c r="AA2857" s="10">
        <f>REPT(" ",8)</f>
        <v/>
      </c>
      <c r="AB2857" s="10">
        <f>REPT(" ",4)</f>
        <v/>
      </c>
      <c r="AC2857" s="10">
        <f>LEFT(UPPER(H2857)&amp;REPT(" ",250),250)</f>
        <v/>
      </c>
      <c r="AD2857" s="10">
        <f>TEXT($G$2,"dd/mm/aaaa")</f>
        <v/>
      </c>
      <c r="AE2857" s="10">
        <f>REPT(" ",10)</f>
        <v/>
      </c>
      <c r="AF2857" s="10">
        <f>REPT(" ",20)</f>
        <v/>
      </c>
      <c r="AG2857" s="54">
        <f>REPT(" ",18-LEN(FIXED(F2857,2,TRUE)))&amp;FIXED(F2857,2,TRUE)</f>
        <v/>
      </c>
      <c r="AH2857" s="10">
        <f>LEN(AC2857)+LEN(AG2857)</f>
        <v/>
      </c>
      <c r="AI2857" s="10">
        <f>LEN(L2857)</f>
        <v/>
      </c>
    </row>
    <row r="2858">
      <c r="J2858" s="12">
        <f>IF(F2858&lt;&gt;0,"LANÇAR","")</f>
        <v/>
      </c>
      <c r="L2858" s="13">
        <f>N2858&amp;O2858&amp;P2858&amp;Q2858&amp;R2858&amp;S2858&amp;T2858&amp;U2858&amp;V2858&amp;W2858&amp;X2858&amp;Y2858&amp;Z2858&amp;AA2858&amp;AB2858&amp;AC2858&amp;AD2858&amp;AE2858&amp;AF2858&amp;AG2858</f>
        <v/>
      </c>
      <c r="N2858" s="10">
        <f>TEXT($B$6,"00")</f>
        <v/>
      </c>
      <c r="O2858" s="10">
        <f>REPT(" ",8)</f>
        <v/>
      </c>
      <c r="P2858" s="10">
        <f>RIGHT($B$4,2)</f>
        <v/>
      </c>
      <c r="Q2858" s="10">
        <f>RIGHT($B$5,3)</f>
        <v/>
      </c>
      <c r="R2858" s="10">
        <f>IF(A2858="D",LEFT(UPPER(B2858)&amp;REPT(" ",20),20),REPT(" ",20))</f>
        <v/>
      </c>
      <c r="S2858" s="10">
        <f>IF(A2858="D",LEFT(UPPER(C2858)&amp;REPT(" ",10),10)," ")</f>
        <v/>
      </c>
      <c r="T2858" s="10">
        <f>IF(A2858="D",LEFT(UPPER(D2858)&amp;REPT(" ",2),2)," ")</f>
        <v/>
      </c>
      <c r="U2858" s="10">
        <f>IF(A2858="D",LEFT(UPPER(E2858)&amp;REPT(" ",15),15)," ")</f>
        <v/>
      </c>
      <c r="V2858" s="10">
        <f>REPT(" ",24)</f>
        <v/>
      </c>
      <c r="W2858" s="10">
        <f>IF(A2858="c",LEFT(UPPER(B2858)&amp;REPT(" ",20),20),REPT(" ",20))</f>
        <v/>
      </c>
      <c r="X2858" s="10">
        <f>IF(A2858="C",LEFT(UPPER(C2858)&amp;REPT(" ",10),10)," ")</f>
        <v/>
      </c>
      <c r="Y2858" s="10">
        <f>IF(A2858="C",LEFT(UPPER(D2858)&amp;REPT(" ",2),2)," ")</f>
        <v/>
      </c>
      <c r="Z2858" s="10">
        <f>IF(A2858="C",LEFT(UPPER(E2858)&amp;REPT(" ",15),15)," ")</f>
        <v/>
      </c>
      <c r="AA2858" s="10">
        <f>REPT(" ",8)</f>
        <v/>
      </c>
      <c r="AB2858" s="10">
        <f>REPT(" ",4)</f>
        <v/>
      </c>
      <c r="AC2858" s="10">
        <f>LEFT(UPPER(H2858)&amp;REPT(" ",250),250)</f>
        <v/>
      </c>
      <c r="AD2858" s="10">
        <f>TEXT($G$2,"dd/mm/aaaa")</f>
        <v/>
      </c>
      <c r="AE2858" s="10">
        <f>REPT(" ",10)</f>
        <v/>
      </c>
      <c r="AF2858" s="10">
        <f>REPT(" ",20)</f>
        <v/>
      </c>
      <c r="AG2858" s="54">
        <f>REPT(" ",18-LEN(FIXED(F2858,2,TRUE)))&amp;FIXED(F2858,2,TRUE)</f>
        <v/>
      </c>
      <c r="AH2858" s="10">
        <f>LEN(AC2858)+LEN(AG2858)</f>
        <v/>
      </c>
      <c r="AI2858" s="10">
        <f>LEN(L2858)</f>
        <v/>
      </c>
    </row>
    <row r="2859">
      <c r="J2859" s="12">
        <f>IF(F2859&lt;&gt;0,"LANÇAR","")</f>
        <v/>
      </c>
      <c r="L2859" s="13">
        <f>N2859&amp;O2859&amp;P2859&amp;Q2859&amp;R2859&amp;S2859&amp;T2859&amp;U2859&amp;V2859&amp;W2859&amp;X2859&amp;Y2859&amp;Z2859&amp;AA2859&amp;AB2859&amp;AC2859&amp;AD2859&amp;AE2859&amp;AF2859&amp;AG2859</f>
        <v/>
      </c>
      <c r="N2859" s="10">
        <f>TEXT($B$6,"00")</f>
        <v/>
      </c>
      <c r="O2859" s="10">
        <f>REPT(" ",8)</f>
        <v/>
      </c>
      <c r="P2859" s="10">
        <f>RIGHT($B$4,2)</f>
        <v/>
      </c>
      <c r="Q2859" s="10">
        <f>RIGHT($B$5,3)</f>
        <v/>
      </c>
      <c r="R2859" s="10">
        <f>IF(A2859="D",LEFT(UPPER(B2859)&amp;REPT(" ",20),20),REPT(" ",20))</f>
        <v/>
      </c>
      <c r="S2859" s="10">
        <f>IF(A2859="D",LEFT(UPPER(C2859)&amp;REPT(" ",10),10)," ")</f>
        <v/>
      </c>
      <c r="T2859" s="10">
        <f>IF(A2859="D",LEFT(UPPER(D2859)&amp;REPT(" ",2),2)," ")</f>
        <v/>
      </c>
      <c r="U2859" s="10">
        <f>IF(A2859="D",LEFT(UPPER(E2859)&amp;REPT(" ",15),15)," ")</f>
        <v/>
      </c>
      <c r="V2859" s="10">
        <f>REPT(" ",24)</f>
        <v/>
      </c>
      <c r="W2859" s="10">
        <f>IF(A2859="c",LEFT(UPPER(B2859)&amp;REPT(" ",20),20),REPT(" ",20))</f>
        <v/>
      </c>
      <c r="X2859" s="10">
        <f>IF(A2859="C",LEFT(UPPER(C2859)&amp;REPT(" ",10),10)," ")</f>
        <v/>
      </c>
      <c r="Y2859" s="10">
        <f>IF(A2859="C",LEFT(UPPER(D2859)&amp;REPT(" ",2),2)," ")</f>
        <v/>
      </c>
      <c r="Z2859" s="10">
        <f>IF(A2859="C",LEFT(UPPER(E2859)&amp;REPT(" ",15),15)," ")</f>
        <v/>
      </c>
      <c r="AA2859" s="10">
        <f>REPT(" ",8)</f>
        <v/>
      </c>
      <c r="AB2859" s="10">
        <f>REPT(" ",4)</f>
        <v/>
      </c>
      <c r="AC2859" s="10">
        <f>LEFT(UPPER(H2859)&amp;REPT(" ",250),250)</f>
        <v/>
      </c>
      <c r="AD2859" s="10">
        <f>TEXT($G$2,"dd/mm/aaaa")</f>
        <v/>
      </c>
      <c r="AE2859" s="10">
        <f>REPT(" ",10)</f>
        <v/>
      </c>
      <c r="AF2859" s="10">
        <f>REPT(" ",20)</f>
        <v/>
      </c>
      <c r="AG2859" s="54">
        <f>REPT(" ",18-LEN(FIXED(F2859,2,TRUE)))&amp;FIXED(F2859,2,TRUE)</f>
        <v/>
      </c>
      <c r="AH2859" s="10">
        <f>LEN(AC2859)+LEN(AG2859)</f>
        <v/>
      </c>
      <c r="AI2859" s="10">
        <f>LEN(L2859)</f>
        <v/>
      </c>
    </row>
    <row r="2860">
      <c r="J2860" s="12">
        <f>IF(F2860&lt;&gt;0,"LANÇAR","")</f>
        <v/>
      </c>
      <c r="L2860" s="13">
        <f>N2860&amp;O2860&amp;P2860&amp;Q2860&amp;R2860&amp;S2860&amp;T2860&amp;U2860&amp;V2860&amp;W2860&amp;X2860&amp;Y2860&amp;Z2860&amp;AA2860&amp;AB2860&amp;AC2860&amp;AD2860&amp;AE2860&amp;AF2860&amp;AG2860</f>
        <v/>
      </c>
      <c r="N2860" s="10">
        <f>TEXT($B$6,"00")</f>
        <v/>
      </c>
      <c r="O2860" s="10">
        <f>REPT(" ",8)</f>
        <v/>
      </c>
      <c r="P2860" s="10">
        <f>RIGHT($B$4,2)</f>
        <v/>
      </c>
      <c r="Q2860" s="10">
        <f>RIGHT($B$5,3)</f>
        <v/>
      </c>
      <c r="R2860" s="10">
        <f>IF(A2860="D",LEFT(UPPER(B2860)&amp;REPT(" ",20),20),REPT(" ",20))</f>
        <v/>
      </c>
      <c r="S2860" s="10">
        <f>IF(A2860="D",LEFT(UPPER(C2860)&amp;REPT(" ",10),10)," ")</f>
        <v/>
      </c>
      <c r="T2860" s="10">
        <f>IF(A2860="D",LEFT(UPPER(D2860)&amp;REPT(" ",2),2)," ")</f>
        <v/>
      </c>
      <c r="U2860" s="10">
        <f>IF(A2860="D",LEFT(UPPER(E2860)&amp;REPT(" ",15),15)," ")</f>
        <v/>
      </c>
      <c r="V2860" s="10">
        <f>REPT(" ",24)</f>
        <v/>
      </c>
      <c r="W2860" s="10">
        <f>IF(A2860="c",LEFT(UPPER(B2860)&amp;REPT(" ",20),20),REPT(" ",20))</f>
        <v/>
      </c>
      <c r="X2860" s="10">
        <f>IF(A2860="C",LEFT(UPPER(C2860)&amp;REPT(" ",10),10)," ")</f>
        <v/>
      </c>
      <c r="Y2860" s="10">
        <f>IF(A2860="C",LEFT(UPPER(D2860)&amp;REPT(" ",2),2)," ")</f>
        <v/>
      </c>
      <c r="Z2860" s="10">
        <f>IF(A2860="C",LEFT(UPPER(E2860)&amp;REPT(" ",15),15)," ")</f>
        <v/>
      </c>
      <c r="AA2860" s="10">
        <f>REPT(" ",8)</f>
        <v/>
      </c>
      <c r="AB2860" s="10">
        <f>REPT(" ",4)</f>
        <v/>
      </c>
      <c r="AC2860" s="10">
        <f>LEFT(UPPER(H2860)&amp;REPT(" ",250),250)</f>
        <v/>
      </c>
      <c r="AD2860" s="10">
        <f>TEXT($G$2,"dd/mm/aaaa")</f>
        <v/>
      </c>
      <c r="AE2860" s="10">
        <f>REPT(" ",10)</f>
        <v/>
      </c>
      <c r="AF2860" s="10">
        <f>REPT(" ",20)</f>
        <v/>
      </c>
      <c r="AG2860" s="54">
        <f>REPT(" ",18-LEN(FIXED(F2860,2,TRUE)))&amp;FIXED(F2860,2,TRUE)</f>
        <v/>
      </c>
      <c r="AH2860" s="10">
        <f>LEN(AC2860)+LEN(AG2860)</f>
        <v/>
      </c>
      <c r="AI2860" s="10">
        <f>LEN(L2860)</f>
        <v/>
      </c>
    </row>
    <row r="2861">
      <c r="J2861" s="12">
        <f>IF(F2861&lt;&gt;0,"LANÇAR","")</f>
        <v/>
      </c>
      <c r="L2861" s="13">
        <f>N2861&amp;O2861&amp;P2861&amp;Q2861&amp;R2861&amp;S2861&amp;T2861&amp;U2861&amp;V2861&amp;W2861&amp;X2861&amp;Y2861&amp;Z2861&amp;AA2861&amp;AB2861&amp;AC2861&amp;AD2861&amp;AE2861&amp;AF2861&amp;AG2861</f>
        <v/>
      </c>
      <c r="N2861" s="10">
        <f>TEXT($B$6,"00")</f>
        <v/>
      </c>
      <c r="O2861" s="10">
        <f>REPT(" ",8)</f>
        <v/>
      </c>
      <c r="P2861" s="10">
        <f>RIGHT($B$4,2)</f>
        <v/>
      </c>
      <c r="Q2861" s="10">
        <f>RIGHT($B$5,3)</f>
        <v/>
      </c>
      <c r="R2861" s="10">
        <f>IF(A2861="D",LEFT(UPPER(B2861)&amp;REPT(" ",20),20),REPT(" ",20))</f>
        <v/>
      </c>
      <c r="S2861" s="10">
        <f>IF(A2861="D",LEFT(UPPER(C2861)&amp;REPT(" ",10),10)," ")</f>
        <v/>
      </c>
      <c r="T2861" s="10">
        <f>IF(A2861="D",LEFT(UPPER(D2861)&amp;REPT(" ",2),2)," ")</f>
        <v/>
      </c>
      <c r="U2861" s="10">
        <f>IF(A2861="D",LEFT(UPPER(E2861)&amp;REPT(" ",15),15)," ")</f>
        <v/>
      </c>
      <c r="V2861" s="10">
        <f>REPT(" ",24)</f>
        <v/>
      </c>
      <c r="W2861" s="10">
        <f>IF(A2861="c",LEFT(UPPER(B2861)&amp;REPT(" ",20),20),REPT(" ",20))</f>
        <v/>
      </c>
      <c r="X2861" s="10">
        <f>IF(A2861="C",LEFT(UPPER(C2861)&amp;REPT(" ",10),10)," ")</f>
        <v/>
      </c>
      <c r="Y2861" s="10">
        <f>IF(A2861="C",LEFT(UPPER(D2861)&amp;REPT(" ",2),2)," ")</f>
        <v/>
      </c>
      <c r="Z2861" s="10">
        <f>IF(A2861="C",LEFT(UPPER(E2861)&amp;REPT(" ",15),15)," ")</f>
        <v/>
      </c>
      <c r="AA2861" s="10">
        <f>REPT(" ",8)</f>
        <v/>
      </c>
      <c r="AB2861" s="10">
        <f>REPT(" ",4)</f>
        <v/>
      </c>
      <c r="AC2861" s="10">
        <f>LEFT(UPPER(H2861)&amp;REPT(" ",250),250)</f>
        <v/>
      </c>
      <c r="AD2861" s="10">
        <f>TEXT($G$2,"dd/mm/aaaa")</f>
        <v/>
      </c>
      <c r="AE2861" s="10">
        <f>REPT(" ",10)</f>
        <v/>
      </c>
      <c r="AF2861" s="10">
        <f>REPT(" ",20)</f>
        <v/>
      </c>
      <c r="AG2861" s="54">
        <f>REPT(" ",18-LEN(FIXED(F2861,2,TRUE)))&amp;FIXED(F2861,2,TRUE)</f>
        <v/>
      </c>
      <c r="AH2861" s="10">
        <f>LEN(AC2861)+LEN(AG2861)</f>
        <v/>
      </c>
      <c r="AI2861" s="10">
        <f>LEN(L2861)</f>
        <v/>
      </c>
    </row>
    <row r="2862">
      <c r="J2862" s="12">
        <f>IF(F2862&lt;&gt;0,"LANÇAR","")</f>
        <v/>
      </c>
      <c r="L2862" s="13">
        <f>N2862&amp;O2862&amp;P2862&amp;Q2862&amp;R2862&amp;S2862&amp;T2862&amp;U2862&amp;V2862&amp;W2862&amp;X2862&amp;Y2862&amp;Z2862&amp;AA2862&amp;AB2862&amp;AC2862&amp;AD2862&amp;AE2862&amp;AF2862&amp;AG2862</f>
        <v/>
      </c>
      <c r="N2862" s="10">
        <f>TEXT($B$6,"00")</f>
        <v/>
      </c>
      <c r="O2862" s="10">
        <f>REPT(" ",8)</f>
        <v/>
      </c>
      <c r="P2862" s="10">
        <f>RIGHT($B$4,2)</f>
        <v/>
      </c>
      <c r="Q2862" s="10">
        <f>RIGHT($B$5,3)</f>
        <v/>
      </c>
      <c r="R2862" s="10">
        <f>IF(A2862="D",LEFT(UPPER(B2862)&amp;REPT(" ",20),20),REPT(" ",20))</f>
        <v/>
      </c>
      <c r="S2862" s="10">
        <f>IF(A2862="D",LEFT(UPPER(C2862)&amp;REPT(" ",10),10)," ")</f>
        <v/>
      </c>
      <c r="T2862" s="10">
        <f>IF(A2862="D",LEFT(UPPER(D2862)&amp;REPT(" ",2),2)," ")</f>
        <v/>
      </c>
      <c r="U2862" s="10">
        <f>IF(A2862="D",LEFT(UPPER(E2862)&amp;REPT(" ",15),15)," ")</f>
        <v/>
      </c>
      <c r="V2862" s="10">
        <f>REPT(" ",24)</f>
        <v/>
      </c>
      <c r="W2862" s="10">
        <f>IF(A2862="c",LEFT(UPPER(B2862)&amp;REPT(" ",20),20),REPT(" ",20))</f>
        <v/>
      </c>
      <c r="X2862" s="10">
        <f>IF(A2862="C",LEFT(UPPER(C2862)&amp;REPT(" ",10),10)," ")</f>
        <v/>
      </c>
      <c r="Y2862" s="10">
        <f>IF(A2862="C",LEFT(UPPER(D2862)&amp;REPT(" ",2),2)," ")</f>
        <v/>
      </c>
      <c r="Z2862" s="10">
        <f>IF(A2862="C",LEFT(UPPER(E2862)&amp;REPT(" ",15),15)," ")</f>
        <v/>
      </c>
      <c r="AA2862" s="10">
        <f>REPT(" ",8)</f>
        <v/>
      </c>
      <c r="AB2862" s="10">
        <f>REPT(" ",4)</f>
        <v/>
      </c>
      <c r="AC2862" s="10">
        <f>LEFT(UPPER(H2862)&amp;REPT(" ",250),250)</f>
        <v/>
      </c>
      <c r="AD2862" s="10">
        <f>TEXT($G$2,"dd/mm/aaaa")</f>
        <v/>
      </c>
      <c r="AE2862" s="10">
        <f>REPT(" ",10)</f>
        <v/>
      </c>
      <c r="AF2862" s="10">
        <f>REPT(" ",20)</f>
        <v/>
      </c>
      <c r="AG2862" s="54">
        <f>REPT(" ",18-LEN(FIXED(F2862,2,TRUE)))&amp;FIXED(F2862,2,TRUE)</f>
        <v/>
      </c>
      <c r="AH2862" s="10">
        <f>LEN(AC2862)+LEN(AG2862)</f>
        <v/>
      </c>
      <c r="AI2862" s="10">
        <f>LEN(L2862)</f>
        <v/>
      </c>
    </row>
    <row r="2863">
      <c r="J2863" s="12">
        <f>IF(F2863&lt;&gt;0,"LANÇAR","")</f>
        <v/>
      </c>
      <c r="L2863" s="13">
        <f>N2863&amp;O2863&amp;P2863&amp;Q2863&amp;R2863&amp;S2863&amp;T2863&amp;U2863&amp;V2863&amp;W2863&amp;X2863&amp;Y2863&amp;Z2863&amp;AA2863&amp;AB2863&amp;AC2863&amp;AD2863&amp;AE2863&amp;AF2863&amp;AG2863</f>
        <v/>
      </c>
      <c r="N2863" s="10">
        <f>TEXT($B$6,"00")</f>
        <v/>
      </c>
      <c r="O2863" s="10">
        <f>REPT(" ",8)</f>
        <v/>
      </c>
      <c r="P2863" s="10">
        <f>RIGHT($B$4,2)</f>
        <v/>
      </c>
      <c r="Q2863" s="10">
        <f>RIGHT($B$5,3)</f>
        <v/>
      </c>
      <c r="R2863" s="10">
        <f>IF(A2863="D",LEFT(UPPER(B2863)&amp;REPT(" ",20),20),REPT(" ",20))</f>
        <v/>
      </c>
      <c r="S2863" s="10">
        <f>IF(A2863="D",LEFT(UPPER(C2863)&amp;REPT(" ",10),10)," ")</f>
        <v/>
      </c>
      <c r="T2863" s="10">
        <f>IF(A2863="D",LEFT(UPPER(D2863)&amp;REPT(" ",2),2)," ")</f>
        <v/>
      </c>
      <c r="U2863" s="10">
        <f>IF(A2863="D",LEFT(UPPER(E2863)&amp;REPT(" ",15),15)," ")</f>
        <v/>
      </c>
      <c r="V2863" s="10">
        <f>REPT(" ",24)</f>
        <v/>
      </c>
      <c r="W2863" s="10">
        <f>IF(A2863="c",LEFT(UPPER(B2863)&amp;REPT(" ",20),20),REPT(" ",20))</f>
        <v/>
      </c>
      <c r="X2863" s="10">
        <f>IF(A2863="C",LEFT(UPPER(C2863)&amp;REPT(" ",10),10)," ")</f>
        <v/>
      </c>
      <c r="Y2863" s="10">
        <f>IF(A2863="C",LEFT(UPPER(D2863)&amp;REPT(" ",2),2)," ")</f>
        <v/>
      </c>
      <c r="Z2863" s="10">
        <f>IF(A2863="C",LEFT(UPPER(E2863)&amp;REPT(" ",15),15)," ")</f>
        <v/>
      </c>
      <c r="AA2863" s="10">
        <f>REPT(" ",8)</f>
        <v/>
      </c>
      <c r="AB2863" s="10">
        <f>REPT(" ",4)</f>
        <v/>
      </c>
      <c r="AC2863" s="10">
        <f>LEFT(UPPER(H2863)&amp;REPT(" ",250),250)</f>
        <v/>
      </c>
      <c r="AD2863" s="10">
        <f>TEXT($G$2,"dd/mm/aaaa")</f>
        <v/>
      </c>
      <c r="AE2863" s="10">
        <f>REPT(" ",10)</f>
        <v/>
      </c>
      <c r="AF2863" s="10">
        <f>REPT(" ",20)</f>
        <v/>
      </c>
      <c r="AG2863" s="54">
        <f>REPT(" ",18-LEN(FIXED(F2863,2,TRUE)))&amp;FIXED(F2863,2,TRUE)</f>
        <v/>
      </c>
      <c r="AH2863" s="10">
        <f>LEN(AC2863)+LEN(AG2863)</f>
        <v/>
      </c>
      <c r="AI2863" s="10">
        <f>LEN(L2863)</f>
        <v/>
      </c>
    </row>
    <row r="2864">
      <c r="J2864" s="12">
        <f>IF(F2864&lt;&gt;0,"LANÇAR","")</f>
        <v/>
      </c>
      <c r="L2864" s="13">
        <f>N2864&amp;O2864&amp;P2864&amp;Q2864&amp;R2864&amp;S2864&amp;T2864&amp;U2864&amp;V2864&amp;W2864&amp;X2864&amp;Y2864&amp;Z2864&amp;AA2864&amp;AB2864&amp;AC2864&amp;AD2864&amp;AE2864&amp;AF2864&amp;AG2864</f>
        <v/>
      </c>
      <c r="N2864" s="10">
        <f>TEXT($B$6,"00")</f>
        <v/>
      </c>
      <c r="O2864" s="10">
        <f>REPT(" ",8)</f>
        <v/>
      </c>
      <c r="P2864" s="10">
        <f>RIGHT($B$4,2)</f>
        <v/>
      </c>
      <c r="Q2864" s="10">
        <f>RIGHT($B$5,3)</f>
        <v/>
      </c>
      <c r="R2864" s="10">
        <f>IF(A2864="D",LEFT(UPPER(B2864)&amp;REPT(" ",20),20),REPT(" ",20))</f>
        <v/>
      </c>
      <c r="S2864" s="10">
        <f>IF(A2864="D",LEFT(UPPER(C2864)&amp;REPT(" ",10),10)," ")</f>
        <v/>
      </c>
      <c r="T2864" s="10">
        <f>IF(A2864="D",LEFT(UPPER(D2864)&amp;REPT(" ",2),2)," ")</f>
        <v/>
      </c>
      <c r="U2864" s="10">
        <f>IF(A2864="D",LEFT(UPPER(E2864)&amp;REPT(" ",15),15)," ")</f>
        <v/>
      </c>
      <c r="V2864" s="10">
        <f>REPT(" ",24)</f>
        <v/>
      </c>
      <c r="W2864" s="10">
        <f>IF(A2864="c",LEFT(UPPER(B2864)&amp;REPT(" ",20),20),REPT(" ",20))</f>
        <v/>
      </c>
      <c r="X2864" s="10">
        <f>IF(A2864="C",LEFT(UPPER(C2864)&amp;REPT(" ",10),10)," ")</f>
        <v/>
      </c>
      <c r="Y2864" s="10">
        <f>IF(A2864="C",LEFT(UPPER(D2864)&amp;REPT(" ",2),2)," ")</f>
        <v/>
      </c>
      <c r="Z2864" s="10">
        <f>IF(A2864="C",LEFT(UPPER(E2864)&amp;REPT(" ",15),15)," ")</f>
        <v/>
      </c>
      <c r="AA2864" s="10">
        <f>REPT(" ",8)</f>
        <v/>
      </c>
      <c r="AB2864" s="10">
        <f>REPT(" ",4)</f>
        <v/>
      </c>
      <c r="AC2864" s="10">
        <f>LEFT(UPPER(H2864)&amp;REPT(" ",250),250)</f>
        <v/>
      </c>
      <c r="AD2864" s="10">
        <f>TEXT($G$2,"dd/mm/aaaa")</f>
        <v/>
      </c>
      <c r="AE2864" s="10">
        <f>REPT(" ",10)</f>
        <v/>
      </c>
      <c r="AF2864" s="10">
        <f>REPT(" ",20)</f>
        <v/>
      </c>
      <c r="AG2864" s="54">
        <f>REPT(" ",18-LEN(FIXED(F2864,2,TRUE)))&amp;FIXED(F2864,2,TRUE)</f>
        <v/>
      </c>
      <c r="AH2864" s="10">
        <f>LEN(AC2864)+LEN(AG2864)</f>
        <v/>
      </c>
      <c r="AI2864" s="10">
        <f>LEN(L2864)</f>
        <v/>
      </c>
    </row>
    <row r="2865">
      <c r="J2865" s="12">
        <f>IF(F2865&lt;&gt;0,"LANÇAR","")</f>
        <v/>
      </c>
      <c r="L2865" s="13">
        <f>N2865&amp;O2865&amp;P2865&amp;Q2865&amp;R2865&amp;S2865&amp;T2865&amp;U2865&amp;V2865&amp;W2865&amp;X2865&amp;Y2865&amp;Z2865&amp;AA2865&amp;AB2865&amp;AC2865&amp;AD2865&amp;AE2865&amp;AF2865&amp;AG2865</f>
        <v/>
      </c>
      <c r="N2865" s="10">
        <f>TEXT($B$6,"00")</f>
        <v/>
      </c>
      <c r="O2865" s="10">
        <f>REPT(" ",8)</f>
        <v/>
      </c>
      <c r="P2865" s="10">
        <f>RIGHT($B$4,2)</f>
        <v/>
      </c>
      <c r="Q2865" s="10">
        <f>RIGHT($B$5,3)</f>
        <v/>
      </c>
      <c r="R2865" s="10">
        <f>IF(A2865="D",LEFT(UPPER(B2865)&amp;REPT(" ",20),20),REPT(" ",20))</f>
        <v/>
      </c>
      <c r="S2865" s="10">
        <f>IF(A2865="D",LEFT(UPPER(C2865)&amp;REPT(" ",10),10)," ")</f>
        <v/>
      </c>
      <c r="T2865" s="10">
        <f>IF(A2865="D",LEFT(UPPER(D2865)&amp;REPT(" ",2),2)," ")</f>
        <v/>
      </c>
      <c r="U2865" s="10">
        <f>IF(A2865="D",LEFT(UPPER(E2865)&amp;REPT(" ",15),15)," ")</f>
        <v/>
      </c>
      <c r="V2865" s="10">
        <f>REPT(" ",24)</f>
        <v/>
      </c>
      <c r="W2865" s="10">
        <f>IF(A2865="c",LEFT(UPPER(B2865)&amp;REPT(" ",20),20),REPT(" ",20))</f>
        <v/>
      </c>
      <c r="X2865" s="10">
        <f>IF(A2865="C",LEFT(UPPER(C2865)&amp;REPT(" ",10),10)," ")</f>
        <v/>
      </c>
      <c r="Y2865" s="10">
        <f>IF(A2865="C",LEFT(UPPER(D2865)&amp;REPT(" ",2),2)," ")</f>
        <v/>
      </c>
      <c r="Z2865" s="10">
        <f>IF(A2865="C",LEFT(UPPER(E2865)&amp;REPT(" ",15),15)," ")</f>
        <v/>
      </c>
      <c r="AA2865" s="10">
        <f>REPT(" ",8)</f>
        <v/>
      </c>
      <c r="AB2865" s="10">
        <f>REPT(" ",4)</f>
        <v/>
      </c>
      <c r="AC2865" s="10">
        <f>LEFT(UPPER(H2865)&amp;REPT(" ",250),250)</f>
        <v/>
      </c>
      <c r="AD2865" s="10">
        <f>TEXT($G$2,"dd/mm/aaaa")</f>
        <v/>
      </c>
      <c r="AE2865" s="10">
        <f>REPT(" ",10)</f>
        <v/>
      </c>
      <c r="AF2865" s="10">
        <f>REPT(" ",20)</f>
        <v/>
      </c>
      <c r="AG2865" s="54">
        <f>REPT(" ",18-LEN(FIXED(F2865,2,TRUE)))&amp;FIXED(F2865,2,TRUE)</f>
        <v/>
      </c>
      <c r="AH2865" s="10">
        <f>LEN(AC2865)+LEN(AG2865)</f>
        <v/>
      </c>
      <c r="AI2865" s="10">
        <f>LEN(L2865)</f>
        <v/>
      </c>
    </row>
    <row r="2866">
      <c r="J2866" s="12">
        <f>IF(F2866&lt;&gt;0,"LANÇAR","")</f>
        <v/>
      </c>
      <c r="L2866" s="13">
        <f>N2866&amp;O2866&amp;P2866&amp;Q2866&amp;R2866&amp;S2866&amp;T2866&amp;U2866&amp;V2866&amp;W2866&amp;X2866&amp;Y2866&amp;Z2866&amp;AA2866&amp;AB2866&amp;AC2866&amp;AD2866&amp;AE2866&amp;AF2866&amp;AG2866</f>
        <v/>
      </c>
      <c r="N2866" s="10">
        <f>TEXT($B$6,"00")</f>
        <v/>
      </c>
      <c r="O2866" s="10">
        <f>REPT(" ",8)</f>
        <v/>
      </c>
      <c r="P2866" s="10">
        <f>RIGHT($B$4,2)</f>
        <v/>
      </c>
      <c r="Q2866" s="10">
        <f>RIGHT($B$5,3)</f>
        <v/>
      </c>
      <c r="R2866" s="10">
        <f>IF(A2866="D",LEFT(UPPER(B2866)&amp;REPT(" ",20),20),REPT(" ",20))</f>
        <v/>
      </c>
      <c r="S2866" s="10">
        <f>IF(A2866="D",LEFT(UPPER(C2866)&amp;REPT(" ",10),10)," ")</f>
        <v/>
      </c>
      <c r="T2866" s="10">
        <f>IF(A2866="D",LEFT(UPPER(D2866)&amp;REPT(" ",2),2)," ")</f>
        <v/>
      </c>
      <c r="U2866" s="10">
        <f>IF(A2866="D",LEFT(UPPER(E2866)&amp;REPT(" ",15),15)," ")</f>
        <v/>
      </c>
      <c r="V2866" s="10">
        <f>REPT(" ",24)</f>
        <v/>
      </c>
      <c r="W2866" s="10">
        <f>IF(A2866="c",LEFT(UPPER(B2866)&amp;REPT(" ",20),20),REPT(" ",20))</f>
        <v/>
      </c>
      <c r="X2866" s="10">
        <f>IF(A2866="C",LEFT(UPPER(C2866)&amp;REPT(" ",10),10)," ")</f>
        <v/>
      </c>
      <c r="Y2866" s="10">
        <f>IF(A2866="C",LEFT(UPPER(D2866)&amp;REPT(" ",2),2)," ")</f>
        <v/>
      </c>
      <c r="Z2866" s="10">
        <f>IF(A2866="C",LEFT(UPPER(E2866)&amp;REPT(" ",15),15)," ")</f>
        <v/>
      </c>
      <c r="AA2866" s="10">
        <f>REPT(" ",8)</f>
        <v/>
      </c>
      <c r="AB2866" s="10">
        <f>REPT(" ",4)</f>
        <v/>
      </c>
      <c r="AC2866" s="10">
        <f>LEFT(UPPER(H2866)&amp;REPT(" ",250),250)</f>
        <v/>
      </c>
      <c r="AD2866" s="10">
        <f>TEXT($G$2,"dd/mm/aaaa")</f>
        <v/>
      </c>
      <c r="AE2866" s="10">
        <f>REPT(" ",10)</f>
        <v/>
      </c>
      <c r="AF2866" s="10">
        <f>REPT(" ",20)</f>
        <v/>
      </c>
      <c r="AG2866" s="54">
        <f>REPT(" ",18-LEN(FIXED(F2866,2,TRUE)))&amp;FIXED(F2866,2,TRUE)</f>
        <v/>
      </c>
      <c r="AH2866" s="10">
        <f>LEN(AC2866)+LEN(AG2866)</f>
        <v/>
      </c>
      <c r="AI2866" s="10">
        <f>LEN(L2866)</f>
        <v/>
      </c>
    </row>
    <row r="2867">
      <c r="J2867" s="12">
        <f>IF(F2867&lt;&gt;0,"LANÇAR","")</f>
        <v/>
      </c>
      <c r="L2867" s="13">
        <f>N2867&amp;O2867&amp;P2867&amp;Q2867&amp;R2867&amp;S2867&amp;T2867&amp;U2867&amp;V2867&amp;W2867&amp;X2867&amp;Y2867&amp;Z2867&amp;AA2867&amp;AB2867&amp;AC2867&amp;AD2867&amp;AE2867&amp;AF2867&amp;AG2867</f>
        <v/>
      </c>
      <c r="N2867" s="10">
        <f>TEXT($B$6,"00")</f>
        <v/>
      </c>
      <c r="O2867" s="10">
        <f>REPT(" ",8)</f>
        <v/>
      </c>
      <c r="P2867" s="10">
        <f>RIGHT($B$4,2)</f>
        <v/>
      </c>
      <c r="Q2867" s="10">
        <f>RIGHT($B$5,3)</f>
        <v/>
      </c>
      <c r="R2867" s="10">
        <f>IF(A2867="D",LEFT(UPPER(B2867)&amp;REPT(" ",20),20),REPT(" ",20))</f>
        <v/>
      </c>
      <c r="S2867" s="10">
        <f>IF(A2867="D",LEFT(UPPER(C2867)&amp;REPT(" ",10),10)," ")</f>
        <v/>
      </c>
      <c r="T2867" s="10">
        <f>IF(A2867="D",LEFT(UPPER(D2867)&amp;REPT(" ",2),2)," ")</f>
        <v/>
      </c>
      <c r="U2867" s="10">
        <f>IF(A2867="D",LEFT(UPPER(E2867)&amp;REPT(" ",15),15)," ")</f>
        <v/>
      </c>
      <c r="V2867" s="10">
        <f>REPT(" ",24)</f>
        <v/>
      </c>
      <c r="W2867" s="10">
        <f>IF(A2867="c",LEFT(UPPER(B2867)&amp;REPT(" ",20),20),REPT(" ",20))</f>
        <v/>
      </c>
      <c r="X2867" s="10">
        <f>IF(A2867="C",LEFT(UPPER(C2867)&amp;REPT(" ",10),10)," ")</f>
        <v/>
      </c>
      <c r="Y2867" s="10">
        <f>IF(A2867="C",LEFT(UPPER(D2867)&amp;REPT(" ",2),2)," ")</f>
        <v/>
      </c>
      <c r="Z2867" s="10">
        <f>IF(A2867="C",LEFT(UPPER(E2867)&amp;REPT(" ",15),15)," ")</f>
        <v/>
      </c>
      <c r="AA2867" s="10">
        <f>REPT(" ",8)</f>
        <v/>
      </c>
      <c r="AB2867" s="10">
        <f>REPT(" ",4)</f>
        <v/>
      </c>
      <c r="AC2867" s="10">
        <f>LEFT(UPPER(H2867)&amp;REPT(" ",250),250)</f>
        <v/>
      </c>
      <c r="AD2867" s="10">
        <f>TEXT($G$2,"dd/mm/aaaa")</f>
        <v/>
      </c>
      <c r="AE2867" s="10">
        <f>REPT(" ",10)</f>
        <v/>
      </c>
      <c r="AF2867" s="10">
        <f>REPT(" ",20)</f>
        <v/>
      </c>
      <c r="AG2867" s="54">
        <f>REPT(" ",18-LEN(FIXED(F2867,2,TRUE)))&amp;FIXED(F2867,2,TRUE)</f>
        <v/>
      </c>
      <c r="AH2867" s="10">
        <f>LEN(AC2867)+LEN(AG2867)</f>
        <v/>
      </c>
      <c r="AI2867" s="10">
        <f>LEN(L2867)</f>
        <v/>
      </c>
    </row>
    <row r="2868">
      <c r="J2868" s="12">
        <f>IF(F2868&lt;&gt;0,"LANÇAR","")</f>
        <v/>
      </c>
      <c r="L2868" s="13">
        <f>N2868&amp;O2868&amp;P2868&amp;Q2868&amp;R2868&amp;S2868&amp;T2868&amp;U2868&amp;V2868&amp;W2868&amp;X2868&amp;Y2868&amp;Z2868&amp;AA2868&amp;AB2868&amp;AC2868&amp;AD2868&amp;AE2868&amp;AF2868&amp;AG2868</f>
        <v/>
      </c>
      <c r="N2868" s="10">
        <f>TEXT($B$6,"00")</f>
        <v/>
      </c>
      <c r="O2868" s="10">
        <f>REPT(" ",8)</f>
        <v/>
      </c>
      <c r="P2868" s="10">
        <f>RIGHT($B$4,2)</f>
        <v/>
      </c>
      <c r="Q2868" s="10">
        <f>RIGHT($B$5,3)</f>
        <v/>
      </c>
      <c r="R2868" s="10">
        <f>IF(A2868="D",LEFT(UPPER(B2868)&amp;REPT(" ",20),20),REPT(" ",20))</f>
        <v/>
      </c>
      <c r="S2868" s="10">
        <f>IF(A2868="D",LEFT(UPPER(C2868)&amp;REPT(" ",10),10)," ")</f>
        <v/>
      </c>
      <c r="T2868" s="10">
        <f>IF(A2868="D",LEFT(UPPER(D2868)&amp;REPT(" ",2),2)," ")</f>
        <v/>
      </c>
      <c r="U2868" s="10">
        <f>IF(A2868="D",LEFT(UPPER(E2868)&amp;REPT(" ",15),15)," ")</f>
        <v/>
      </c>
      <c r="V2868" s="10">
        <f>REPT(" ",24)</f>
        <v/>
      </c>
      <c r="W2868" s="10">
        <f>IF(A2868="c",LEFT(UPPER(B2868)&amp;REPT(" ",20),20),REPT(" ",20))</f>
        <v/>
      </c>
      <c r="X2868" s="10">
        <f>IF(A2868="C",LEFT(UPPER(C2868)&amp;REPT(" ",10),10)," ")</f>
        <v/>
      </c>
      <c r="Y2868" s="10">
        <f>IF(A2868="C",LEFT(UPPER(D2868)&amp;REPT(" ",2),2)," ")</f>
        <v/>
      </c>
      <c r="Z2868" s="10">
        <f>IF(A2868="C",LEFT(UPPER(E2868)&amp;REPT(" ",15),15)," ")</f>
        <v/>
      </c>
      <c r="AA2868" s="10">
        <f>REPT(" ",8)</f>
        <v/>
      </c>
      <c r="AB2868" s="10">
        <f>REPT(" ",4)</f>
        <v/>
      </c>
      <c r="AC2868" s="10">
        <f>LEFT(UPPER(H2868)&amp;REPT(" ",250),250)</f>
        <v/>
      </c>
      <c r="AD2868" s="10">
        <f>TEXT($G$2,"dd/mm/aaaa")</f>
        <v/>
      </c>
      <c r="AE2868" s="10">
        <f>REPT(" ",10)</f>
        <v/>
      </c>
      <c r="AF2868" s="10">
        <f>REPT(" ",20)</f>
        <v/>
      </c>
      <c r="AG2868" s="54">
        <f>REPT(" ",18-LEN(FIXED(F2868,2,TRUE)))&amp;FIXED(F2868,2,TRUE)</f>
        <v/>
      </c>
      <c r="AH2868" s="10">
        <f>LEN(AC2868)+LEN(AG2868)</f>
        <v/>
      </c>
      <c r="AI2868" s="10">
        <f>LEN(L2868)</f>
        <v/>
      </c>
    </row>
    <row r="2869">
      <c r="J2869" s="12">
        <f>IF(F2869&lt;&gt;0,"LANÇAR","")</f>
        <v/>
      </c>
      <c r="L2869" s="13">
        <f>N2869&amp;O2869&amp;P2869&amp;Q2869&amp;R2869&amp;S2869&amp;T2869&amp;U2869&amp;V2869&amp;W2869&amp;X2869&amp;Y2869&amp;Z2869&amp;AA2869&amp;AB2869&amp;AC2869&amp;AD2869&amp;AE2869&amp;AF2869&amp;AG2869</f>
        <v/>
      </c>
      <c r="N2869" s="10">
        <f>TEXT($B$6,"00")</f>
        <v/>
      </c>
      <c r="O2869" s="10">
        <f>REPT(" ",8)</f>
        <v/>
      </c>
      <c r="P2869" s="10">
        <f>RIGHT($B$4,2)</f>
        <v/>
      </c>
      <c r="Q2869" s="10">
        <f>RIGHT($B$5,3)</f>
        <v/>
      </c>
      <c r="R2869" s="10">
        <f>IF(A2869="D",LEFT(UPPER(B2869)&amp;REPT(" ",20),20),REPT(" ",20))</f>
        <v/>
      </c>
      <c r="S2869" s="10">
        <f>IF(A2869="D",LEFT(UPPER(C2869)&amp;REPT(" ",10),10)," ")</f>
        <v/>
      </c>
      <c r="T2869" s="10">
        <f>IF(A2869="D",LEFT(UPPER(D2869)&amp;REPT(" ",2),2)," ")</f>
        <v/>
      </c>
      <c r="U2869" s="10">
        <f>IF(A2869="D",LEFT(UPPER(E2869)&amp;REPT(" ",15),15)," ")</f>
        <v/>
      </c>
      <c r="V2869" s="10">
        <f>REPT(" ",24)</f>
        <v/>
      </c>
      <c r="W2869" s="10">
        <f>IF(A2869="c",LEFT(UPPER(B2869)&amp;REPT(" ",20),20),REPT(" ",20))</f>
        <v/>
      </c>
      <c r="X2869" s="10">
        <f>IF(A2869="C",LEFT(UPPER(C2869)&amp;REPT(" ",10),10)," ")</f>
        <v/>
      </c>
      <c r="Y2869" s="10">
        <f>IF(A2869="C",LEFT(UPPER(D2869)&amp;REPT(" ",2),2)," ")</f>
        <v/>
      </c>
      <c r="Z2869" s="10">
        <f>IF(A2869="C",LEFT(UPPER(E2869)&amp;REPT(" ",15),15)," ")</f>
        <v/>
      </c>
      <c r="AA2869" s="10">
        <f>REPT(" ",8)</f>
        <v/>
      </c>
      <c r="AB2869" s="10">
        <f>REPT(" ",4)</f>
        <v/>
      </c>
      <c r="AC2869" s="10">
        <f>LEFT(UPPER(H2869)&amp;REPT(" ",250),250)</f>
        <v/>
      </c>
      <c r="AD2869" s="10">
        <f>TEXT($G$2,"dd/mm/aaaa")</f>
        <v/>
      </c>
      <c r="AE2869" s="10">
        <f>REPT(" ",10)</f>
        <v/>
      </c>
      <c r="AF2869" s="10">
        <f>REPT(" ",20)</f>
        <v/>
      </c>
      <c r="AG2869" s="54">
        <f>REPT(" ",18-LEN(FIXED(F2869,2,TRUE)))&amp;FIXED(F2869,2,TRUE)</f>
        <v/>
      </c>
      <c r="AH2869" s="10">
        <f>LEN(AC2869)+LEN(AG2869)</f>
        <v/>
      </c>
      <c r="AI2869" s="10">
        <f>LEN(L2869)</f>
        <v/>
      </c>
    </row>
    <row r="2870">
      <c r="J2870" s="12">
        <f>IF(F2870&lt;&gt;0,"LANÇAR","")</f>
        <v/>
      </c>
      <c r="L2870" s="13">
        <f>N2870&amp;O2870&amp;P2870&amp;Q2870&amp;R2870&amp;S2870&amp;T2870&amp;U2870&amp;V2870&amp;W2870&amp;X2870&amp;Y2870&amp;Z2870&amp;AA2870&amp;AB2870&amp;AC2870&amp;AD2870&amp;AE2870&amp;AF2870&amp;AG2870</f>
        <v/>
      </c>
      <c r="N2870" s="10">
        <f>TEXT($B$6,"00")</f>
        <v/>
      </c>
      <c r="O2870" s="10">
        <f>REPT(" ",8)</f>
        <v/>
      </c>
      <c r="P2870" s="10">
        <f>RIGHT($B$4,2)</f>
        <v/>
      </c>
      <c r="Q2870" s="10">
        <f>RIGHT($B$5,3)</f>
        <v/>
      </c>
      <c r="R2870" s="10">
        <f>IF(A2870="D",LEFT(UPPER(B2870)&amp;REPT(" ",20),20),REPT(" ",20))</f>
        <v/>
      </c>
      <c r="S2870" s="10">
        <f>IF(A2870="D",LEFT(UPPER(C2870)&amp;REPT(" ",10),10)," ")</f>
        <v/>
      </c>
      <c r="T2870" s="10">
        <f>IF(A2870="D",LEFT(UPPER(D2870)&amp;REPT(" ",2),2)," ")</f>
        <v/>
      </c>
      <c r="U2870" s="10">
        <f>IF(A2870="D",LEFT(UPPER(E2870)&amp;REPT(" ",15),15)," ")</f>
        <v/>
      </c>
      <c r="V2870" s="10">
        <f>REPT(" ",24)</f>
        <v/>
      </c>
      <c r="W2870" s="10">
        <f>IF(A2870="c",LEFT(UPPER(B2870)&amp;REPT(" ",20),20),REPT(" ",20))</f>
        <v/>
      </c>
      <c r="X2870" s="10">
        <f>IF(A2870="C",LEFT(UPPER(C2870)&amp;REPT(" ",10),10)," ")</f>
        <v/>
      </c>
      <c r="Y2870" s="10">
        <f>IF(A2870="C",LEFT(UPPER(D2870)&amp;REPT(" ",2),2)," ")</f>
        <v/>
      </c>
      <c r="Z2870" s="10">
        <f>IF(A2870="C",LEFT(UPPER(E2870)&amp;REPT(" ",15),15)," ")</f>
        <v/>
      </c>
      <c r="AA2870" s="10">
        <f>REPT(" ",8)</f>
        <v/>
      </c>
      <c r="AB2870" s="10">
        <f>REPT(" ",4)</f>
        <v/>
      </c>
      <c r="AC2870" s="10">
        <f>LEFT(UPPER(H2870)&amp;REPT(" ",250),250)</f>
        <v/>
      </c>
      <c r="AD2870" s="10">
        <f>TEXT($G$2,"dd/mm/aaaa")</f>
        <v/>
      </c>
      <c r="AE2870" s="10">
        <f>REPT(" ",10)</f>
        <v/>
      </c>
      <c r="AF2870" s="10">
        <f>REPT(" ",20)</f>
        <v/>
      </c>
      <c r="AG2870" s="54">
        <f>REPT(" ",18-LEN(FIXED(F2870,2,TRUE)))&amp;FIXED(F2870,2,TRUE)</f>
        <v/>
      </c>
      <c r="AH2870" s="10">
        <f>LEN(AC2870)+LEN(AG2870)</f>
        <v/>
      </c>
      <c r="AI2870" s="10">
        <f>LEN(L2870)</f>
        <v/>
      </c>
    </row>
    <row r="2871">
      <c r="J2871" s="12">
        <f>IF(F2871&lt;&gt;0,"LANÇAR","")</f>
        <v/>
      </c>
      <c r="L2871" s="13">
        <f>N2871&amp;O2871&amp;P2871&amp;Q2871&amp;R2871&amp;S2871&amp;T2871&amp;U2871&amp;V2871&amp;W2871&amp;X2871&amp;Y2871&amp;Z2871&amp;AA2871&amp;AB2871&amp;AC2871&amp;AD2871&amp;AE2871&amp;AF2871&amp;AG2871</f>
        <v/>
      </c>
      <c r="N2871" s="10">
        <f>TEXT($B$6,"00")</f>
        <v/>
      </c>
      <c r="O2871" s="10">
        <f>REPT(" ",8)</f>
        <v/>
      </c>
      <c r="P2871" s="10">
        <f>RIGHT($B$4,2)</f>
        <v/>
      </c>
      <c r="Q2871" s="10">
        <f>RIGHT($B$5,3)</f>
        <v/>
      </c>
      <c r="R2871" s="10">
        <f>IF(A2871="D",LEFT(UPPER(B2871)&amp;REPT(" ",20),20),REPT(" ",20))</f>
        <v/>
      </c>
      <c r="S2871" s="10">
        <f>IF(A2871="D",LEFT(UPPER(C2871)&amp;REPT(" ",10),10)," ")</f>
        <v/>
      </c>
      <c r="T2871" s="10">
        <f>IF(A2871="D",LEFT(UPPER(D2871)&amp;REPT(" ",2),2)," ")</f>
        <v/>
      </c>
      <c r="U2871" s="10">
        <f>IF(A2871="D",LEFT(UPPER(E2871)&amp;REPT(" ",15),15)," ")</f>
        <v/>
      </c>
      <c r="V2871" s="10">
        <f>REPT(" ",24)</f>
        <v/>
      </c>
      <c r="W2871" s="10">
        <f>IF(A2871="c",LEFT(UPPER(B2871)&amp;REPT(" ",20),20),REPT(" ",20))</f>
        <v/>
      </c>
      <c r="X2871" s="10">
        <f>IF(A2871="C",LEFT(UPPER(C2871)&amp;REPT(" ",10),10)," ")</f>
        <v/>
      </c>
      <c r="Y2871" s="10">
        <f>IF(A2871="C",LEFT(UPPER(D2871)&amp;REPT(" ",2),2)," ")</f>
        <v/>
      </c>
      <c r="Z2871" s="10">
        <f>IF(A2871="C",LEFT(UPPER(E2871)&amp;REPT(" ",15),15)," ")</f>
        <v/>
      </c>
      <c r="AA2871" s="10">
        <f>REPT(" ",8)</f>
        <v/>
      </c>
      <c r="AB2871" s="10">
        <f>REPT(" ",4)</f>
        <v/>
      </c>
      <c r="AC2871" s="10">
        <f>LEFT(UPPER(H2871)&amp;REPT(" ",250),250)</f>
        <v/>
      </c>
      <c r="AD2871" s="10">
        <f>TEXT($G$2,"dd/mm/aaaa")</f>
        <v/>
      </c>
      <c r="AE2871" s="10">
        <f>REPT(" ",10)</f>
        <v/>
      </c>
      <c r="AF2871" s="10">
        <f>REPT(" ",20)</f>
        <v/>
      </c>
      <c r="AG2871" s="54">
        <f>REPT(" ",18-LEN(FIXED(F2871,2,TRUE)))&amp;FIXED(F2871,2,TRUE)</f>
        <v/>
      </c>
      <c r="AH2871" s="10">
        <f>LEN(AC2871)+LEN(AG2871)</f>
        <v/>
      </c>
      <c r="AI2871" s="10">
        <f>LEN(L2871)</f>
        <v/>
      </c>
    </row>
    <row r="2872">
      <c r="J2872" s="12">
        <f>IF(F2872&lt;&gt;0,"LANÇAR","")</f>
        <v/>
      </c>
      <c r="L2872" s="13">
        <f>N2872&amp;O2872&amp;P2872&amp;Q2872&amp;R2872&amp;S2872&amp;T2872&amp;U2872&amp;V2872&amp;W2872&amp;X2872&amp;Y2872&amp;Z2872&amp;AA2872&amp;AB2872&amp;AC2872&amp;AD2872&amp;AE2872&amp;AF2872&amp;AG2872</f>
        <v/>
      </c>
      <c r="N2872" s="10">
        <f>TEXT($B$6,"00")</f>
        <v/>
      </c>
      <c r="O2872" s="10">
        <f>REPT(" ",8)</f>
        <v/>
      </c>
      <c r="P2872" s="10">
        <f>RIGHT($B$4,2)</f>
        <v/>
      </c>
      <c r="Q2872" s="10">
        <f>RIGHT($B$5,3)</f>
        <v/>
      </c>
      <c r="R2872" s="10">
        <f>IF(A2872="D",LEFT(UPPER(B2872)&amp;REPT(" ",20),20),REPT(" ",20))</f>
        <v/>
      </c>
      <c r="S2872" s="10">
        <f>IF(A2872="D",LEFT(UPPER(C2872)&amp;REPT(" ",10),10)," ")</f>
        <v/>
      </c>
      <c r="T2872" s="10">
        <f>IF(A2872="D",LEFT(UPPER(D2872)&amp;REPT(" ",2),2)," ")</f>
        <v/>
      </c>
      <c r="U2872" s="10">
        <f>IF(A2872="D",LEFT(UPPER(E2872)&amp;REPT(" ",15),15)," ")</f>
        <v/>
      </c>
      <c r="V2872" s="10">
        <f>REPT(" ",24)</f>
        <v/>
      </c>
      <c r="W2872" s="10">
        <f>IF(A2872="c",LEFT(UPPER(B2872)&amp;REPT(" ",20),20),REPT(" ",20))</f>
        <v/>
      </c>
      <c r="X2872" s="10">
        <f>IF(A2872="C",LEFT(UPPER(C2872)&amp;REPT(" ",10),10)," ")</f>
        <v/>
      </c>
      <c r="Y2872" s="10">
        <f>IF(A2872="C",LEFT(UPPER(D2872)&amp;REPT(" ",2),2)," ")</f>
        <v/>
      </c>
      <c r="Z2872" s="10">
        <f>IF(A2872="C",LEFT(UPPER(E2872)&amp;REPT(" ",15),15)," ")</f>
        <v/>
      </c>
      <c r="AA2872" s="10">
        <f>REPT(" ",8)</f>
        <v/>
      </c>
      <c r="AB2872" s="10">
        <f>REPT(" ",4)</f>
        <v/>
      </c>
      <c r="AC2872" s="10">
        <f>LEFT(UPPER(H2872)&amp;REPT(" ",250),250)</f>
        <v/>
      </c>
      <c r="AD2872" s="10">
        <f>TEXT($G$2,"dd/mm/aaaa")</f>
        <v/>
      </c>
      <c r="AE2872" s="10">
        <f>REPT(" ",10)</f>
        <v/>
      </c>
      <c r="AF2872" s="10">
        <f>REPT(" ",20)</f>
        <v/>
      </c>
      <c r="AG2872" s="54">
        <f>REPT(" ",18-LEN(FIXED(F2872,2,TRUE)))&amp;FIXED(F2872,2,TRUE)</f>
        <v/>
      </c>
      <c r="AH2872" s="10">
        <f>LEN(AC2872)+LEN(AG2872)</f>
        <v/>
      </c>
      <c r="AI2872" s="10">
        <f>LEN(L2872)</f>
        <v/>
      </c>
    </row>
    <row r="2873">
      <c r="J2873" s="12">
        <f>IF(F2873&lt;&gt;0,"LANÇAR","")</f>
        <v/>
      </c>
      <c r="L2873" s="13">
        <f>N2873&amp;O2873&amp;P2873&amp;Q2873&amp;R2873&amp;S2873&amp;T2873&amp;U2873&amp;V2873&amp;W2873&amp;X2873&amp;Y2873&amp;Z2873&amp;AA2873&amp;AB2873&amp;AC2873&amp;AD2873&amp;AE2873&amp;AF2873&amp;AG2873</f>
        <v/>
      </c>
      <c r="N2873" s="10">
        <f>TEXT($B$6,"00")</f>
        <v/>
      </c>
      <c r="O2873" s="10">
        <f>REPT(" ",8)</f>
        <v/>
      </c>
      <c r="P2873" s="10">
        <f>RIGHT($B$4,2)</f>
        <v/>
      </c>
      <c r="Q2873" s="10">
        <f>RIGHT($B$5,3)</f>
        <v/>
      </c>
      <c r="R2873" s="10">
        <f>IF(A2873="D",LEFT(UPPER(B2873)&amp;REPT(" ",20),20),REPT(" ",20))</f>
        <v/>
      </c>
      <c r="S2873" s="10">
        <f>IF(A2873="D",LEFT(UPPER(C2873)&amp;REPT(" ",10),10)," ")</f>
        <v/>
      </c>
      <c r="T2873" s="10">
        <f>IF(A2873="D",LEFT(UPPER(D2873)&amp;REPT(" ",2),2)," ")</f>
        <v/>
      </c>
      <c r="U2873" s="10">
        <f>IF(A2873="D",LEFT(UPPER(E2873)&amp;REPT(" ",15),15)," ")</f>
        <v/>
      </c>
      <c r="V2873" s="10">
        <f>REPT(" ",24)</f>
        <v/>
      </c>
      <c r="W2873" s="10">
        <f>IF(A2873="c",LEFT(UPPER(B2873)&amp;REPT(" ",20),20),REPT(" ",20))</f>
        <v/>
      </c>
      <c r="X2873" s="10">
        <f>IF(A2873="C",LEFT(UPPER(C2873)&amp;REPT(" ",10),10)," ")</f>
        <v/>
      </c>
      <c r="Y2873" s="10">
        <f>IF(A2873="C",LEFT(UPPER(D2873)&amp;REPT(" ",2),2)," ")</f>
        <v/>
      </c>
      <c r="Z2873" s="10">
        <f>IF(A2873="C",LEFT(UPPER(E2873)&amp;REPT(" ",15),15)," ")</f>
        <v/>
      </c>
      <c r="AA2873" s="10">
        <f>REPT(" ",8)</f>
        <v/>
      </c>
      <c r="AB2873" s="10">
        <f>REPT(" ",4)</f>
        <v/>
      </c>
      <c r="AC2873" s="10">
        <f>LEFT(UPPER(H2873)&amp;REPT(" ",250),250)</f>
        <v/>
      </c>
      <c r="AD2873" s="10">
        <f>TEXT($G$2,"dd/mm/aaaa")</f>
        <v/>
      </c>
      <c r="AE2873" s="10">
        <f>REPT(" ",10)</f>
        <v/>
      </c>
      <c r="AF2873" s="10">
        <f>REPT(" ",20)</f>
        <v/>
      </c>
      <c r="AG2873" s="54">
        <f>REPT(" ",18-LEN(FIXED(F2873,2,TRUE)))&amp;FIXED(F2873,2,TRUE)</f>
        <v/>
      </c>
      <c r="AH2873" s="10">
        <f>LEN(AC2873)+LEN(AG2873)</f>
        <v/>
      </c>
      <c r="AI2873" s="10">
        <f>LEN(L2873)</f>
        <v/>
      </c>
    </row>
    <row r="2874">
      <c r="J2874" s="12">
        <f>IF(F2874&lt;&gt;0,"LANÇAR","")</f>
        <v/>
      </c>
      <c r="L2874" s="13">
        <f>N2874&amp;O2874&amp;P2874&amp;Q2874&amp;R2874&amp;S2874&amp;T2874&amp;U2874&amp;V2874&amp;W2874&amp;X2874&amp;Y2874&amp;Z2874&amp;AA2874&amp;AB2874&amp;AC2874&amp;AD2874&amp;AE2874&amp;AF2874&amp;AG2874</f>
        <v/>
      </c>
      <c r="N2874" s="10">
        <f>TEXT($B$6,"00")</f>
        <v/>
      </c>
      <c r="O2874" s="10">
        <f>REPT(" ",8)</f>
        <v/>
      </c>
      <c r="P2874" s="10">
        <f>RIGHT($B$4,2)</f>
        <v/>
      </c>
      <c r="Q2874" s="10">
        <f>RIGHT($B$5,3)</f>
        <v/>
      </c>
      <c r="R2874" s="10">
        <f>IF(A2874="D",LEFT(UPPER(B2874)&amp;REPT(" ",20),20),REPT(" ",20))</f>
        <v/>
      </c>
      <c r="S2874" s="10">
        <f>IF(A2874="D",LEFT(UPPER(C2874)&amp;REPT(" ",10),10)," ")</f>
        <v/>
      </c>
      <c r="T2874" s="10">
        <f>IF(A2874="D",LEFT(UPPER(D2874)&amp;REPT(" ",2),2)," ")</f>
        <v/>
      </c>
      <c r="U2874" s="10">
        <f>IF(A2874="D",LEFT(UPPER(E2874)&amp;REPT(" ",15),15)," ")</f>
        <v/>
      </c>
      <c r="V2874" s="10">
        <f>REPT(" ",24)</f>
        <v/>
      </c>
      <c r="W2874" s="10">
        <f>IF(A2874="c",LEFT(UPPER(B2874)&amp;REPT(" ",20),20),REPT(" ",20))</f>
        <v/>
      </c>
      <c r="X2874" s="10">
        <f>IF(A2874="C",LEFT(UPPER(C2874)&amp;REPT(" ",10),10)," ")</f>
        <v/>
      </c>
      <c r="Y2874" s="10">
        <f>IF(A2874="C",LEFT(UPPER(D2874)&amp;REPT(" ",2),2)," ")</f>
        <v/>
      </c>
      <c r="Z2874" s="10">
        <f>IF(A2874="C",LEFT(UPPER(E2874)&amp;REPT(" ",15),15)," ")</f>
        <v/>
      </c>
      <c r="AA2874" s="10">
        <f>REPT(" ",8)</f>
        <v/>
      </c>
      <c r="AB2874" s="10">
        <f>REPT(" ",4)</f>
        <v/>
      </c>
      <c r="AC2874" s="10">
        <f>LEFT(UPPER(H2874)&amp;REPT(" ",250),250)</f>
        <v/>
      </c>
      <c r="AD2874" s="10">
        <f>TEXT($G$2,"dd/mm/aaaa")</f>
        <v/>
      </c>
      <c r="AE2874" s="10">
        <f>REPT(" ",10)</f>
        <v/>
      </c>
      <c r="AF2874" s="10">
        <f>REPT(" ",20)</f>
        <v/>
      </c>
      <c r="AG2874" s="54">
        <f>REPT(" ",18-LEN(FIXED(F2874,2,TRUE)))&amp;FIXED(F2874,2,TRUE)</f>
        <v/>
      </c>
      <c r="AH2874" s="10">
        <f>LEN(AC2874)+LEN(AG2874)</f>
        <v/>
      </c>
      <c r="AI2874" s="10">
        <f>LEN(L2874)</f>
        <v/>
      </c>
    </row>
    <row r="2875">
      <c r="J2875" s="12">
        <f>IF(F2875&lt;&gt;0,"LANÇAR","")</f>
        <v/>
      </c>
      <c r="L2875" s="13">
        <f>N2875&amp;O2875&amp;P2875&amp;Q2875&amp;R2875&amp;S2875&amp;T2875&amp;U2875&amp;V2875&amp;W2875&amp;X2875&amp;Y2875&amp;Z2875&amp;AA2875&amp;AB2875&amp;AC2875&amp;AD2875&amp;AE2875&amp;AF2875&amp;AG2875</f>
        <v/>
      </c>
      <c r="N2875" s="10">
        <f>TEXT($B$6,"00")</f>
        <v/>
      </c>
      <c r="O2875" s="10">
        <f>REPT(" ",8)</f>
        <v/>
      </c>
      <c r="P2875" s="10">
        <f>RIGHT($B$4,2)</f>
        <v/>
      </c>
      <c r="Q2875" s="10">
        <f>RIGHT($B$5,3)</f>
        <v/>
      </c>
      <c r="R2875" s="10">
        <f>IF(A2875="D",LEFT(UPPER(B2875)&amp;REPT(" ",20),20),REPT(" ",20))</f>
        <v/>
      </c>
      <c r="S2875" s="10">
        <f>IF(A2875="D",LEFT(UPPER(C2875)&amp;REPT(" ",10),10)," ")</f>
        <v/>
      </c>
      <c r="T2875" s="10">
        <f>IF(A2875="D",LEFT(UPPER(D2875)&amp;REPT(" ",2),2)," ")</f>
        <v/>
      </c>
      <c r="U2875" s="10">
        <f>IF(A2875="D",LEFT(UPPER(E2875)&amp;REPT(" ",15),15)," ")</f>
        <v/>
      </c>
      <c r="V2875" s="10">
        <f>REPT(" ",24)</f>
        <v/>
      </c>
      <c r="W2875" s="10">
        <f>IF(A2875="c",LEFT(UPPER(B2875)&amp;REPT(" ",20),20),REPT(" ",20))</f>
        <v/>
      </c>
      <c r="X2875" s="10">
        <f>IF(A2875="C",LEFT(UPPER(C2875)&amp;REPT(" ",10),10)," ")</f>
        <v/>
      </c>
      <c r="Y2875" s="10">
        <f>IF(A2875="C",LEFT(UPPER(D2875)&amp;REPT(" ",2),2)," ")</f>
        <v/>
      </c>
      <c r="Z2875" s="10">
        <f>IF(A2875="C",LEFT(UPPER(E2875)&amp;REPT(" ",15),15)," ")</f>
        <v/>
      </c>
      <c r="AA2875" s="10">
        <f>REPT(" ",8)</f>
        <v/>
      </c>
      <c r="AB2875" s="10">
        <f>REPT(" ",4)</f>
        <v/>
      </c>
      <c r="AC2875" s="10">
        <f>LEFT(UPPER(H2875)&amp;REPT(" ",250),250)</f>
        <v/>
      </c>
      <c r="AD2875" s="10">
        <f>TEXT($G$2,"dd/mm/aaaa")</f>
        <v/>
      </c>
      <c r="AE2875" s="10">
        <f>REPT(" ",10)</f>
        <v/>
      </c>
      <c r="AF2875" s="10">
        <f>REPT(" ",20)</f>
        <v/>
      </c>
      <c r="AG2875" s="54">
        <f>REPT(" ",18-LEN(FIXED(F2875,2,TRUE)))&amp;FIXED(F2875,2,TRUE)</f>
        <v/>
      </c>
      <c r="AH2875" s="10">
        <f>LEN(AC2875)+LEN(AG2875)</f>
        <v/>
      </c>
      <c r="AI2875" s="10">
        <f>LEN(L2875)</f>
        <v/>
      </c>
    </row>
    <row r="2876">
      <c r="J2876" s="12">
        <f>IF(F2876&lt;&gt;0,"LANÇAR","")</f>
        <v/>
      </c>
      <c r="L2876" s="13">
        <f>N2876&amp;O2876&amp;P2876&amp;Q2876&amp;R2876&amp;S2876&amp;T2876&amp;U2876&amp;V2876&amp;W2876&amp;X2876&amp;Y2876&amp;Z2876&amp;AA2876&amp;AB2876&amp;AC2876&amp;AD2876&amp;AE2876&amp;AF2876&amp;AG2876</f>
        <v/>
      </c>
      <c r="N2876" s="10">
        <f>TEXT($B$6,"00")</f>
        <v/>
      </c>
      <c r="O2876" s="10">
        <f>REPT(" ",8)</f>
        <v/>
      </c>
      <c r="P2876" s="10">
        <f>RIGHT($B$4,2)</f>
        <v/>
      </c>
      <c r="Q2876" s="10">
        <f>RIGHT($B$5,3)</f>
        <v/>
      </c>
      <c r="R2876" s="10">
        <f>IF(A2876="D",LEFT(UPPER(B2876)&amp;REPT(" ",20),20),REPT(" ",20))</f>
        <v/>
      </c>
      <c r="S2876" s="10">
        <f>IF(A2876="D",LEFT(UPPER(C2876)&amp;REPT(" ",10),10)," ")</f>
        <v/>
      </c>
      <c r="T2876" s="10">
        <f>IF(A2876="D",LEFT(UPPER(D2876)&amp;REPT(" ",2),2)," ")</f>
        <v/>
      </c>
      <c r="U2876" s="10">
        <f>IF(A2876="D",LEFT(UPPER(E2876)&amp;REPT(" ",15),15)," ")</f>
        <v/>
      </c>
      <c r="V2876" s="10">
        <f>REPT(" ",24)</f>
        <v/>
      </c>
      <c r="W2876" s="10">
        <f>IF(A2876="c",LEFT(UPPER(B2876)&amp;REPT(" ",20),20),REPT(" ",20))</f>
        <v/>
      </c>
      <c r="X2876" s="10">
        <f>IF(A2876="C",LEFT(UPPER(C2876)&amp;REPT(" ",10),10)," ")</f>
        <v/>
      </c>
      <c r="Y2876" s="10">
        <f>IF(A2876="C",LEFT(UPPER(D2876)&amp;REPT(" ",2),2)," ")</f>
        <v/>
      </c>
      <c r="Z2876" s="10">
        <f>IF(A2876="C",LEFT(UPPER(E2876)&amp;REPT(" ",15),15)," ")</f>
        <v/>
      </c>
      <c r="AA2876" s="10">
        <f>REPT(" ",8)</f>
        <v/>
      </c>
      <c r="AB2876" s="10">
        <f>REPT(" ",4)</f>
        <v/>
      </c>
      <c r="AC2876" s="10">
        <f>LEFT(UPPER(H2876)&amp;REPT(" ",250),250)</f>
        <v/>
      </c>
      <c r="AD2876" s="10">
        <f>TEXT($G$2,"dd/mm/aaaa")</f>
        <v/>
      </c>
      <c r="AE2876" s="10">
        <f>REPT(" ",10)</f>
        <v/>
      </c>
      <c r="AF2876" s="10">
        <f>REPT(" ",20)</f>
        <v/>
      </c>
      <c r="AG2876" s="54">
        <f>REPT(" ",18-LEN(FIXED(F2876,2,TRUE)))&amp;FIXED(F2876,2,TRUE)</f>
        <v/>
      </c>
      <c r="AH2876" s="10">
        <f>LEN(AC2876)+LEN(AG2876)</f>
        <v/>
      </c>
      <c r="AI2876" s="10">
        <f>LEN(L2876)</f>
        <v/>
      </c>
    </row>
    <row r="2877">
      <c r="J2877" s="12">
        <f>IF(F2877&lt;&gt;0,"LANÇAR","")</f>
        <v/>
      </c>
      <c r="L2877" s="13">
        <f>N2877&amp;O2877&amp;P2877&amp;Q2877&amp;R2877&amp;S2877&amp;T2877&amp;U2877&amp;V2877&amp;W2877&amp;X2877&amp;Y2877&amp;Z2877&amp;AA2877&amp;AB2877&amp;AC2877&amp;AD2877&amp;AE2877&amp;AF2877&amp;AG2877</f>
        <v/>
      </c>
      <c r="N2877" s="10">
        <f>TEXT($B$6,"00")</f>
        <v/>
      </c>
      <c r="O2877" s="10">
        <f>REPT(" ",8)</f>
        <v/>
      </c>
      <c r="P2877" s="10">
        <f>RIGHT($B$4,2)</f>
        <v/>
      </c>
      <c r="Q2877" s="10">
        <f>RIGHT($B$5,3)</f>
        <v/>
      </c>
      <c r="R2877" s="10">
        <f>IF(A2877="D",LEFT(UPPER(B2877)&amp;REPT(" ",20),20),REPT(" ",20))</f>
        <v/>
      </c>
      <c r="S2877" s="10">
        <f>IF(A2877="D",LEFT(UPPER(C2877)&amp;REPT(" ",10),10)," ")</f>
        <v/>
      </c>
      <c r="T2877" s="10">
        <f>IF(A2877="D",LEFT(UPPER(D2877)&amp;REPT(" ",2),2)," ")</f>
        <v/>
      </c>
      <c r="U2877" s="10">
        <f>IF(A2877="D",LEFT(UPPER(E2877)&amp;REPT(" ",15),15)," ")</f>
        <v/>
      </c>
      <c r="V2877" s="10">
        <f>REPT(" ",24)</f>
        <v/>
      </c>
      <c r="W2877" s="10">
        <f>IF(A2877="c",LEFT(UPPER(B2877)&amp;REPT(" ",20),20),REPT(" ",20))</f>
        <v/>
      </c>
      <c r="X2877" s="10">
        <f>IF(A2877="C",LEFT(UPPER(C2877)&amp;REPT(" ",10),10)," ")</f>
        <v/>
      </c>
      <c r="Y2877" s="10">
        <f>IF(A2877="C",LEFT(UPPER(D2877)&amp;REPT(" ",2),2)," ")</f>
        <v/>
      </c>
      <c r="Z2877" s="10">
        <f>IF(A2877="C",LEFT(UPPER(E2877)&amp;REPT(" ",15),15)," ")</f>
        <v/>
      </c>
      <c r="AA2877" s="10">
        <f>REPT(" ",8)</f>
        <v/>
      </c>
      <c r="AB2877" s="10">
        <f>REPT(" ",4)</f>
        <v/>
      </c>
      <c r="AC2877" s="10">
        <f>LEFT(UPPER(H2877)&amp;REPT(" ",250),250)</f>
        <v/>
      </c>
      <c r="AD2877" s="10">
        <f>TEXT($G$2,"dd/mm/aaaa")</f>
        <v/>
      </c>
      <c r="AE2877" s="10">
        <f>REPT(" ",10)</f>
        <v/>
      </c>
      <c r="AF2877" s="10">
        <f>REPT(" ",20)</f>
        <v/>
      </c>
      <c r="AG2877" s="54">
        <f>REPT(" ",18-LEN(FIXED(F2877,2,TRUE)))&amp;FIXED(F2877,2,TRUE)</f>
        <v/>
      </c>
      <c r="AH2877" s="10">
        <f>LEN(AC2877)+LEN(AG2877)</f>
        <v/>
      </c>
      <c r="AI2877" s="10">
        <f>LEN(L2877)</f>
        <v/>
      </c>
    </row>
    <row r="2878">
      <c r="J2878" s="12">
        <f>IF(F2878&lt;&gt;0,"LANÇAR","")</f>
        <v/>
      </c>
      <c r="L2878" s="13">
        <f>N2878&amp;O2878&amp;P2878&amp;Q2878&amp;R2878&amp;S2878&amp;T2878&amp;U2878&amp;V2878&amp;W2878&amp;X2878&amp;Y2878&amp;Z2878&amp;AA2878&amp;AB2878&amp;AC2878&amp;AD2878&amp;AE2878&amp;AF2878&amp;AG2878</f>
        <v/>
      </c>
      <c r="N2878" s="10">
        <f>TEXT($B$6,"00")</f>
        <v/>
      </c>
      <c r="O2878" s="10">
        <f>REPT(" ",8)</f>
        <v/>
      </c>
      <c r="P2878" s="10">
        <f>RIGHT($B$4,2)</f>
        <v/>
      </c>
      <c r="Q2878" s="10">
        <f>RIGHT($B$5,3)</f>
        <v/>
      </c>
      <c r="R2878" s="10">
        <f>IF(A2878="D",LEFT(UPPER(B2878)&amp;REPT(" ",20),20),REPT(" ",20))</f>
        <v/>
      </c>
      <c r="S2878" s="10">
        <f>IF(A2878="D",LEFT(UPPER(C2878)&amp;REPT(" ",10),10)," ")</f>
        <v/>
      </c>
      <c r="T2878" s="10">
        <f>IF(A2878="D",LEFT(UPPER(D2878)&amp;REPT(" ",2),2)," ")</f>
        <v/>
      </c>
      <c r="U2878" s="10">
        <f>IF(A2878="D",LEFT(UPPER(E2878)&amp;REPT(" ",15),15)," ")</f>
        <v/>
      </c>
      <c r="V2878" s="10">
        <f>REPT(" ",24)</f>
        <v/>
      </c>
      <c r="W2878" s="10">
        <f>IF(A2878="c",LEFT(UPPER(B2878)&amp;REPT(" ",20),20),REPT(" ",20))</f>
        <v/>
      </c>
      <c r="X2878" s="10">
        <f>IF(A2878="C",LEFT(UPPER(C2878)&amp;REPT(" ",10),10)," ")</f>
        <v/>
      </c>
      <c r="Y2878" s="10">
        <f>IF(A2878="C",LEFT(UPPER(D2878)&amp;REPT(" ",2),2)," ")</f>
        <v/>
      </c>
      <c r="Z2878" s="10">
        <f>IF(A2878="C",LEFT(UPPER(E2878)&amp;REPT(" ",15),15)," ")</f>
        <v/>
      </c>
      <c r="AA2878" s="10">
        <f>REPT(" ",8)</f>
        <v/>
      </c>
      <c r="AB2878" s="10">
        <f>REPT(" ",4)</f>
        <v/>
      </c>
      <c r="AC2878" s="10">
        <f>LEFT(UPPER(H2878)&amp;REPT(" ",250),250)</f>
        <v/>
      </c>
      <c r="AD2878" s="10">
        <f>TEXT($G$2,"dd/mm/aaaa")</f>
        <v/>
      </c>
      <c r="AE2878" s="10">
        <f>REPT(" ",10)</f>
        <v/>
      </c>
      <c r="AF2878" s="10">
        <f>REPT(" ",20)</f>
        <v/>
      </c>
      <c r="AG2878" s="54">
        <f>REPT(" ",18-LEN(FIXED(F2878,2,TRUE)))&amp;FIXED(F2878,2,TRUE)</f>
        <v/>
      </c>
      <c r="AH2878" s="10">
        <f>LEN(AC2878)+LEN(AG2878)</f>
        <v/>
      </c>
      <c r="AI2878" s="10">
        <f>LEN(L2878)</f>
        <v/>
      </c>
    </row>
    <row r="2879">
      <c r="J2879" s="12">
        <f>IF(F2879&lt;&gt;0,"LANÇAR","")</f>
        <v/>
      </c>
      <c r="L2879" s="13">
        <f>N2879&amp;O2879&amp;P2879&amp;Q2879&amp;R2879&amp;S2879&amp;T2879&amp;U2879&amp;V2879&amp;W2879&amp;X2879&amp;Y2879&amp;Z2879&amp;AA2879&amp;AB2879&amp;AC2879&amp;AD2879&amp;AE2879&amp;AF2879&amp;AG2879</f>
        <v/>
      </c>
      <c r="N2879" s="10">
        <f>TEXT($B$6,"00")</f>
        <v/>
      </c>
      <c r="O2879" s="10">
        <f>REPT(" ",8)</f>
        <v/>
      </c>
      <c r="P2879" s="10">
        <f>RIGHT($B$4,2)</f>
        <v/>
      </c>
      <c r="Q2879" s="10">
        <f>RIGHT($B$5,3)</f>
        <v/>
      </c>
      <c r="R2879" s="10">
        <f>IF(A2879="D",LEFT(UPPER(B2879)&amp;REPT(" ",20),20),REPT(" ",20))</f>
        <v/>
      </c>
      <c r="S2879" s="10">
        <f>IF(A2879="D",LEFT(UPPER(C2879)&amp;REPT(" ",10),10)," ")</f>
        <v/>
      </c>
      <c r="T2879" s="10">
        <f>IF(A2879="D",LEFT(UPPER(D2879)&amp;REPT(" ",2),2)," ")</f>
        <v/>
      </c>
      <c r="U2879" s="10">
        <f>IF(A2879="D",LEFT(UPPER(E2879)&amp;REPT(" ",15),15)," ")</f>
        <v/>
      </c>
      <c r="V2879" s="10">
        <f>REPT(" ",24)</f>
        <v/>
      </c>
      <c r="W2879" s="10">
        <f>IF(A2879="c",LEFT(UPPER(B2879)&amp;REPT(" ",20),20),REPT(" ",20))</f>
        <v/>
      </c>
      <c r="X2879" s="10">
        <f>IF(A2879="C",LEFT(UPPER(C2879)&amp;REPT(" ",10),10)," ")</f>
        <v/>
      </c>
      <c r="Y2879" s="10">
        <f>IF(A2879="C",LEFT(UPPER(D2879)&amp;REPT(" ",2),2)," ")</f>
        <v/>
      </c>
      <c r="Z2879" s="10">
        <f>IF(A2879="C",LEFT(UPPER(E2879)&amp;REPT(" ",15),15)," ")</f>
        <v/>
      </c>
      <c r="AA2879" s="10">
        <f>REPT(" ",8)</f>
        <v/>
      </c>
      <c r="AB2879" s="10">
        <f>REPT(" ",4)</f>
        <v/>
      </c>
      <c r="AC2879" s="10">
        <f>LEFT(UPPER(H2879)&amp;REPT(" ",250),250)</f>
        <v/>
      </c>
      <c r="AD2879" s="10">
        <f>TEXT($G$2,"dd/mm/aaaa")</f>
        <v/>
      </c>
      <c r="AE2879" s="10">
        <f>REPT(" ",10)</f>
        <v/>
      </c>
      <c r="AF2879" s="10">
        <f>REPT(" ",20)</f>
        <v/>
      </c>
      <c r="AG2879" s="54">
        <f>REPT(" ",18-LEN(FIXED(F2879,2,TRUE)))&amp;FIXED(F2879,2,TRUE)</f>
        <v/>
      </c>
      <c r="AH2879" s="10">
        <f>LEN(AC2879)+LEN(AG2879)</f>
        <v/>
      </c>
      <c r="AI2879" s="10">
        <f>LEN(L2879)</f>
        <v/>
      </c>
    </row>
    <row r="2880">
      <c r="J2880" s="12">
        <f>IF(F2880&lt;&gt;0,"LANÇAR","")</f>
        <v/>
      </c>
      <c r="L2880" s="13">
        <f>N2880&amp;O2880&amp;P2880&amp;Q2880&amp;R2880&amp;S2880&amp;T2880&amp;U2880&amp;V2880&amp;W2880&amp;X2880&amp;Y2880&amp;Z2880&amp;AA2880&amp;AB2880&amp;AC2880&amp;AD2880&amp;AE2880&amp;AF2880&amp;AG2880</f>
        <v/>
      </c>
      <c r="N2880" s="10">
        <f>TEXT($B$6,"00")</f>
        <v/>
      </c>
      <c r="O2880" s="10">
        <f>REPT(" ",8)</f>
        <v/>
      </c>
      <c r="P2880" s="10">
        <f>RIGHT($B$4,2)</f>
        <v/>
      </c>
      <c r="Q2880" s="10">
        <f>RIGHT($B$5,3)</f>
        <v/>
      </c>
      <c r="R2880" s="10">
        <f>IF(A2880="D",LEFT(UPPER(B2880)&amp;REPT(" ",20),20),REPT(" ",20))</f>
        <v/>
      </c>
      <c r="S2880" s="10">
        <f>IF(A2880="D",LEFT(UPPER(C2880)&amp;REPT(" ",10),10)," ")</f>
        <v/>
      </c>
      <c r="T2880" s="10">
        <f>IF(A2880="D",LEFT(UPPER(D2880)&amp;REPT(" ",2),2)," ")</f>
        <v/>
      </c>
      <c r="U2880" s="10">
        <f>IF(A2880="D",LEFT(UPPER(E2880)&amp;REPT(" ",15),15)," ")</f>
        <v/>
      </c>
      <c r="V2880" s="10">
        <f>REPT(" ",24)</f>
        <v/>
      </c>
      <c r="W2880" s="10">
        <f>IF(A2880="c",LEFT(UPPER(B2880)&amp;REPT(" ",20),20),REPT(" ",20))</f>
        <v/>
      </c>
      <c r="X2880" s="10">
        <f>IF(A2880="C",LEFT(UPPER(C2880)&amp;REPT(" ",10),10)," ")</f>
        <v/>
      </c>
      <c r="Y2880" s="10">
        <f>IF(A2880="C",LEFT(UPPER(D2880)&amp;REPT(" ",2),2)," ")</f>
        <v/>
      </c>
      <c r="Z2880" s="10">
        <f>IF(A2880="C",LEFT(UPPER(E2880)&amp;REPT(" ",15),15)," ")</f>
        <v/>
      </c>
      <c r="AA2880" s="10">
        <f>REPT(" ",8)</f>
        <v/>
      </c>
      <c r="AB2880" s="10">
        <f>REPT(" ",4)</f>
        <v/>
      </c>
      <c r="AC2880" s="10">
        <f>LEFT(UPPER(H2880)&amp;REPT(" ",250),250)</f>
        <v/>
      </c>
      <c r="AD2880" s="10">
        <f>TEXT($G$2,"dd/mm/aaaa")</f>
        <v/>
      </c>
      <c r="AE2880" s="10">
        <f>REPT(" ",10)</f>
        <v/>
      </c>
      <c r="AF2880" s="10">
        <f>REPT(" ",20)</f>
        <v/>
      </c>
      <c r="AG2880" s="54">
        <f>REPT(" ",18-LEN(FIXED(F2880,2,TRUE)))&amp;FIXED(F2880,2,TRUE)</f>
        <v/>
      </c>
      <c r="AH2880" s="10">
        <f>LEN(AC2880)+LEN(AG2880)</f>
        <v/>
      </c>
      <c r="AI2880" s="10">
        <f>LEN(L2880)</f>
        <v/>
      </c>
    </row>
    <row r="2881">
      <c r="J2881" s="12">
        <f>IF(F2881&lt;&gt;0,"LANÇAR","")</f>
        <v/>
      </c>
      <c r="L2881" s="13">
        <f>N2881&amp;O2881&amp;P2881&amp;Q2881&amp;R2881&amp;S2881&amp;T2881&amp;U2881&amp;V2881&amp;W2881&amp;X2881&amp;Y2881&amp;Z2881&amp;AA2881&amp;AB2881&amp;AC2881&amp;AD2881&amp;AE2881&amp;AF2881&amp;AG2881</f>
        <v/>
      </c>
      <c r="N2881" s="10">
        <f>TEXT($B$6,"00")</f>
        <v/>
      </c>
      <c r="O2881" s="10">
        <f>REPT(" ",8)</f>
        <v/>
      </c>
      <c r="P2881" s="10">
        <f>RIGHT($B$4,2)</f>
        <v/>
      </c>
      <c r="Q2881" s="10">
        <f>RIGHT($B$5,3)</f>
        <v/>
      </c>
      <c r="R2881" s="10">
        <f>IF(A2881="D",LEFT(UPPER(B2881)&amp;REPT(" ",20),20),REPT(" ",20))</f>
        <v/>
      </c>
      <c r="S2881" s="10">
        <f>IF(A2881="D",LEFT(UPPER(C2881)&amp;REPT(" ",10),10)," ")</f>
        <v/>
      </c>
      <c r="T2881" s="10">
        <f>IF(A2881="D",LEFT(UPPER(D2881)&amp;REPT(" ",2),2)," ")</f>
        <v/>
      </c>
      <c r="U2881" s="10">
        <f>IF(A2881="D",LEFT(UPPER(E2881)&amp;REPT(" ",15),15)," ")</f>
        <v/>
      </c>
      <c r="V2881" s="10">
        <f>REPT(" ",24)</f>
        <v/>
      </c>
      <c r="W2881" s="10">
        <f>IF(A2881="c",LEFT(UPPER(B2881)&amp;REPT(" ",20),20),REPT(" ",20))</f>
        <v/>
      </c>
      <c r="X2881" s="10">
        <f>IF(A2881="C",LEFT(UPPER(C2881)&amp;REPT(" ",10),10)," ")</f>
        <v/>
      </c>
      <c r="Y2881" s="10">
        <f>IF(A2881="C",LEFT(UPPER(D2881)&amp;REPT(" ",2),2)," ")</f>
        <v/>
      </c>
      <c r="Z2881" s="10">
        <f>IF(A2881="C",LEFT(UPPER(E2881)&amp;REPT(" ",15),15)," ")</f>
        <v/>
      </c>
      <c r="AA2881" s="10">
        <f>REPT(" ",8)</f>
        <v/>
      </c>
      <c r="AB2881" s="10">
        <f>REPT(" ",4)</f>
        <v/>
      </c>
      <c r="AC2881" s="10">
        <f>LEFT(UPPER(H2881)&amp;REPT(" ",250),250)</f>
        <v/>
      </c>
      <c r="AD2881" s="10">
        <f>TEXT($G$2,"dd/mm/aaaa")</f>
        <v/>
      </c>
      <c r="AE2881" s="10">
        <f>REPT(" ",10)</f>
        <v/>
      </c>
      <c r="AF2881" s="10">
        <f>REPT(" ",20)</f>
        <v/>
      </c>
      <c r="AG2881" s="54">
        <f>REPT(" ",18-LEN(FIXED(F2881,2,TRUE)))&amp;FIXED(F2881,2,TRUE)</f>
        <v/>
      </c>
      <c r="AH2881" s="10">
        <f>LEN(AC2881)+LEN(AG2881)</f>
        <v/>
      </c>
      <c r="AI2881" s="10">
        <f>LEN(L2881)</f>
        <v/>
      </c>
    </row>
    <row r="2882">
      <c r="J2882" s="12">
        <f>IF(F2882&lt;&gt;0,"LANÇAR","")</f>
        <v/>
      </c>
      <c r="L2882" s="13">
        <f>N2882&amp;O2882&amp;P2882&amp;Q2882&amp;R2882&amp;S2882&amp;T2882&amp;U2882&amp;V2882&amp;W2882&amp;X2882&amp;Y2882&amp;Z2882&amp;AA2882&amp;AB2882&amp;AC2882&amp;AD2882&amp;AE2882&amp;AF2882&amp;AG2882</f>
        <v/>
      </c>
      <c r="N2882" s="10">
        <f>TEXT($B$6,"00")</f>
        <v/>
      </c>
      <c r="O2882" s="10">
        <f>REPT(" ",8)</f>
        <v/>
      </c>
      <c r="P2882" s="10">
        <f>RIGHT($B$4,2)</f>
        <v/>
      </c>
      <c r="Q2882" s="10">
        <f>RIGHT($B$5,3)</f>
        <v/>
      </c>
      <c r="R2882" s="10">
        <f>IF(A2882="D",LEFT(UPPER(B2882)&amp;REPT(" ",20),20),REPT(" ",20))</f>
        <v/>
      </c>
      <c r="S2882" s="10">
        <f>IF(A2882="D",LEFT(UPPER(C2882)&amp;REPT(" ",10),10)," ")</f>
        <v/>
      </c>
      <c r="T2882" s="10">
        <f>IF(A2882="D",LEFT(UPPER(D2882)&amp;REPT(" ",2),2)," ")</f>
        <v/>
      </c>
      <c r="U2882" s="10">
        <f>IF(A2882="D",LEFT(UPPER(E2882)&amp;REPT(" ",15),15)," ")</f>
        <v/>
      </c>
      <c r="V2882" s="10">
        <f>REPT(" ",24)</f>
        <v/>
      </c>
      <c r="W2882" s="10">
        <f>IF(A2882="c",LEFT(UPPER(B2882)&amp;REPT(" ",20),20),REPT(" ",20))</f>
        <v/>
      </c>
      <c r="X2882" s="10">
        <f>IF(A2882="C",LEFT(UPPER(C2882)&amp;REPT(" ",10),10)," ")</f>
        <v/>
      </c>
      <c r="Y2882" s="10">
        <f>IF(A2882="C",LEFT(UPPER(D2882)&amp;REPT(" ",2),2)," ")</f>
        <v/>
      </c>
      <c r="Z2882" s="10">
        <f>IF(A2882="C",LEFT(UPPER(E2882)&amp;REPT(" ",15),15)," ")</f>
        <v/>
      </c>
      <c r="AA2882" s="10">
        <f>REPT(" ",8)</f>
        <v/>
      </c>
      <c r="AB2882" s="10">
        <f>REPT(" ",4)</f>
        <v/>
      </c>
      <c r="AC2882" s="10">
        <f>LEFT(UPPER(H2882)&amp;REPT(" ",250),250)</f>
        <v/>
      </c>
      <c r="AD2882" s="10">
        <f>TEXT($G$2,"dd/mm/aaaa")</f>
        <v/>
      </c>
      <c r="AE2882" s="10">
        <f>REPT(" ",10)</f>
        <v/>
      </c>
      <c r="AF2882" s="10">
        <f>REPT(" ",20)</f>
        <v/>
      </c>
      <c r="AG2882" s="54">
        <f>REPT(" ",18-LEN(FIXED(F2882,2,TRUE)))&amp;FIXED(F2882,2,TRUE)</f>
        <v/>
      </c>
      <c r="AH2882" s="10">
        <f>LEN(AC2882)+LEN(AG2882)</f>
        <v/>
      </c>
      <c r="AI2882" s="10">
        <f>LEN(L2882)</f>
        <v/>
      </c>
    </row>
    <row r="2883">
      <c r="J2883" s="12">
        <f>IF(F2883&lt;&gt;0,"LANÇAR","")</f>
        <v/>
      </c>
      <c r="L2883" s="13">
        <f>N2883&amp;O2883&amp;P2883&amp;Q2883&amp;R2883&amp;S2883&amp;T2883&amp;U2883&amp;V2883&amp;W2883&amp;X2883&amp;Y2883&amp;Z2883&amp;AA2883&amp;AB2883&amp;AC2883&amp;AD2883&amp;AE2883&amp;AF2883&amp;AG2883</f>
        <v/>
      </c>
      <c r="N2883" s="10">
        <f>TEXT($B$6,"00")</f>
        <v/>
      </c>
      <c r="O2883" s="10">
        <f>REPT(" ",8)</f>
        <v/>
      </c>
      <c r="P2883" s="10">
        <f>RIGHT($B$4,2)</f>
        <v/>
      </c>
      <c r="Q2883" s="10">
        <f>RIGHT($B$5,3)</f>
        <v/>
      </c>
      <c r="R2883" s="10">
        <f>IF(A2883="D",LEFT(UPPER(B2883)&amp;REPT(" ",20),20),REPT(" ",20))</f>
        <v/>
      </c>
      <c r="S2883" s="10">
        <f>IF(A2883="D",LEFT(UPPER(C2883)&amp;REPT(" ",10),10)," ")</f>
        <v/>
      </c>
      <c r="T2883" s="10">
        <f>IF(A2883="D",LEFT(UPPER(D2883)&amp;REPT(" ",2),2)," ")</f>
        <v/>
      </c>
      <c r="U2883" s="10">
        <f>IF(A2883="D",LEFT(UPPER(E2883)&amp;REPT(" ",15),15)," ")</f>
        <v/>
      </c>
      <c r="V2883" s="10">
        <f>REPT(" ",24)</f>
        <v/>
      </c>
      <c r="W2883" s="10">
        <f>IF(A2883="c",LEFT(UPPER(B2883)&amp;REPT(" ",20),20),REPT(" ",20))</f>
        <v/>
      </c>
      <c r="X2883" s="10">
        <f>IF(A2883="C",LEFT(UPPER(C2883)&amp;REPT(" ",10),10)," ")</f>
        <v/>
      </c>
      <c r="Y2883" s="10">
        <f>IF(A2883="C",LEFT(UPPER(D2883)&amp;REPT(" ",2),2)," ")</f>
        <v/>
      </c>
      <c r="Z2883" s="10">
        <f>IF(A2883="C",LEFT(UPPER(E2883)&amp;REPT(" ",15),15)," ")</f>
        <v/>
      </c>
      <c r="AA2883" s="10">
        <f>REPT(" ",8)</f>
        <v/>
      </c>
      <c r="AB2883" s="10">
        <f>REPT(" ",4)</f>
        <v/>
      </c>
      <c r="AC2883" s="10">
        <f>LEFT(UPPER(H2883)&amp;REPT(" ",250),250)</f>
        <v/>
      </c>
      <c r="AD2883" s="10">
        <f>TEXT($G$2,"dd/mm/aaaa")</f>
        <v/>
      </c>
      <c r="AE2883" s="10">
        <f>REPT(" ",10)</f>
        <v/>
      </c>
      <c r="AF2883" s="10">
        <f>REPT(" ",20)</f>
        <v/>
      </c>
      <c r="AG2883" s="54">
        <f>REPT(" ",18-LEN(FIXED(F2883,2,TRUE)))&amp;FIXED(F2883,2,TRUE)</f>
        <v/>
      </c>
      <c r="AH2883" s="10">
        <f>LEN(AC2883)+LEN(AG2883)</f>
        <v/>
      </c>
      <c r="AI2883" s="10">
        <f>LEN(L2883)</f>
        <v/>
      </c>
    </row>
    <row r="2884">
      <c r="J2884" s="12">
        <f>IF(F2884&lt;&gt;0,"LANÇAR","")</f>
        <v/>
      </c>
      <c r="L2884" s="13">
        <f>N2884&amp;O2884&amp;P2884&amp;Q2884&amp;R2884&amp;S2884&amp;T2884&amp;U2884&amp;V2884&amp;W2884&amp;X2884&amp;Y2884&amp;Z2884&amp;AA2884&amp;AB2884&amp;AC2884&amp;AD2884&amp;AE2884&amp;AF2884&amp;AG2884</f>
        <v/>
      </c>
      <c r="N2884" s="10">
        <f>TEXT($B$6,"00")</f>
        <v/>
      </c>
      <c r="O2884" s="10">
        <f>REPT(" ",8)</f>
        <v/>
      </c>
      <c r="P2884" s="10">
        <f>RIGHT($B$4,2)</f>
        <v/>
      </c>
      <c r="Q2884" s="10">
        <f>RIGHT($B$5,3)</f>
        <v/>
      </c>
      <c r="R2884" s="10">
        <f>IF(A2884="D",LEFT(UPPER(B2884)&amp;REPT(" ",20),20),REPT(" ",20))</f>
        <v/>
      </c>
      <c r="S2884" s="10">
        <f>IF(A2884="D",LEFT(UPPER(C2884)&amp;REPT(" ",10),10)," ")</f>
        <v/>
      </c>
      <c r="T2884" s="10">
        <f>IF(A2884="D",LEFT(UPPER(D2884)&amp;REPT(" ",2),2)," ")</f>
        <v/>
      </c>
      <c r="U2884" s="10">
        <f>IF(A2884="D",LEFT(UPPER(E2884)&amp;REPT(" ",15),15)," ")</f>
        <v/>
      </c>
      <c r="V2884" s="10">
        <f>REPT(" ",24)</f>
        <v/>
      </c>
      <c r="W2884" s="10">
        <f>IF(A2884="c",LEFT(UPPER(B2884)&amp;REPT(" ",20),20),REPT(" ",20))</f>
        <v/>
      </c>
      <c r="X2884" s="10">
        <f>IF(A2884="C",LEFT(UPPER(C2884)&amp;REPT(" ",10),10)," ")</f>
        <v/>
      </c>
      <c r="Y2884" s="10">
        <f>IF(A2884="C",LEFT(UPPER(D2884)&amp;REPT(" ",2),2)," ")</f>
        <v/>
      </c>
      <c r="Z2884" s="10">
        <f>IF(A2884="C",LEFT(UPPER(E2884)&amp;REPT(" ",15),15)," ")</f>
        <v/>
      </c>
      <c r="AA2884" s="10">
        <f>REPT(" ",8)</f>
        <v/>
      </c>
      <c r="AB2884" s="10">
        <f>REPT(" ",4)</f>
        <v/>
      </c>
      <c r="AC2884" s="10">
        <f>LEFT(UPPER(H2884)&amp;REPT(" ",250),250)</f>
        <v/>
      </c>
      <c r="AD2884" s="10">
        <f>TEXT($G$2,"dd/mm/aaaa")</f>
        <v/>
      </c>
      <c r="AE2884" s="10">
        <f>REPT(" ",10)</f>
        <v/>
      </c>
      <c r="AF2884" s="10">
        <f>REPT(" ",20)</f>
        <v/>
      </c>
      <c r="AG2884" s="54">
        <f>REPT(" ",18-LEN(FIXED(F2884,2,TRUE)))&amp;FIXED(F2884,2,TRUE)</f>
        <v/>
      </c>
      <c r="AH2884" s="10">
        <f>LEN(AC2884)+LEN(AG2884)</f>
        <v/>
      </c>
      <c r="AI2884" s="10">
        <f>LEN(L2884)</f>
        <v/>
      </c>
    </row>
    <row r="2885">
      <c r="J2885" s="12">
        <f>IF(F2885&lt;&gt;0,"LANÇAR","")</f>
        <v/>
      </c>
      <c r="L2885" s="13">
        <f>N2885&amp;O2885&amp;P2885&amp;Q2885&amp;R2885&amp;S2885&amp;T2885&amp;U2885&amp;V2885&amp;W2885&amp;X2885&amp;Y2885&amp;Z2885&amp;AA2885&amp;AB2885&amp;AC2885&amp;AD2885&amp;AE2885&amp;AF2885&amp;AG2885</f>
        <v/>
      </c>
      <c r="N2885" s="10">
        <f>TEXT($B$6,"00")</f>
        <v/>
      </c>
      <c r="O2885" s="10">
        <f>REPT(" ",8)</f>
        <v/>
      </c>
      <c r="P2885" s="10">
        <f>RIGHT($B$4,2)</f>
        <v/>
      </c>
      <c r="Q2885" s="10">
        <f>RIGHT($B$5,3)</f>
        <v/>
      </c>
      <c r="R2885" s="10">
        <f>IF(A2885="D",LEFT(UPPER(B2885)&amp;REPT(" ",20),20),REPT(" ",20))</f>
        <v/>
      </c>
      <c r="S2885" s="10">
        <f>IF(A2885="D",LEFT(UPPER(C2885)&amp;REPT(" ",10),10)," ")</f>
        <v/>
      </c>
      <c r="T2885" s="10">
        <f>IF(A2885="D",LEFT(UPPER(D2885)&amp;REPT(" ",2),2)," ")</f>
        <v/>
      </c>
      <c r="U2885" s="10">
        <f>IF(A2885="D",LEFT(UPPER(E2885)&amp;REPT(" ",15),15)," ")</f>
        <v/>
      </c>
      <c r="V2885" s="10">
        <f>REPT(" ",24)</f>
        <v/>
      </c>
      <c r="W2885" s="10">
        <f>IF(A2885="c",LEFT(UPPER(B2885)&amp;REPT(" ",20),20),REPT(" ",20))</f>
        <v/>
      </c>
      <c r="X2885" s="10">
        <f>IF(A2885="C",LEFT(UPPER(C2885)&amp;REPT(" ",10),10)," ")</f>
        <v/>
      </c>
      <c r="Y2885" s="10">
        <f>IF(A2885="C",LEFT(UPPER(D2885)&amp;REPT(" ",2),2)," ")</f>
        <v/>
      </c>
      <c r="Z2885" s="10">
        <f>IF(A2885="C",LEFT(UPPER(E2885)&amp;REPT(" ",15),15)," ")</f>
        <v/>
      </c>
      <c r="AA2885" s="10">
        <f>REPT(" ",8)</f>
        <v/>
      </c>
      <c r="AB2885" s="10">
        <f>REPT(" ",4)</f>
        <v/>
      </c>
      <c r="AC2885" s="10">
        <f>LEFT(UPPER(H2885)&amp;REPT(" ",250),250)</f>
        <v/>
      </c>
      <c r="AD2885" s="10">
        <f>TEXT($G$2,"dd/mm/aaaa")</f>
        <v/>
      </c>
      <c r="AE2885" s="10">
        <f>REPT(" ",10)</f>
        <v/>
      </c>
      <c r="AF2885" s="10">
        <f>REPT(" ",20)</f>
        <v/>
      </c>
      <c r="AG2885" s="54">
        <f>REPT(" ",18-LEN(FIXED(F2885,2,TRUE)))&amp;FIXED(F2885,2,TRUE)</f>
        <v/>
      </c>
      <c r="AH2885" s="10">
        <f>LEN(AC2885)+LEN(AG2885)</f>
        <v/>
      </c>
      <c r="AI2885" s="10">
        <f>LEN(L2885)</f>
        <v/>
      </c>
    </row>
    <row r="2886">
      <c r="J2886" s="12">
        <f>IF(F2886&lt;&gt;0,"LANÇAR","")</f>
        <v/>
      </c>
      <c r="L2886" s="13">
        <f>N2886&amp;O2886&amp;P2886&amp;Q2886&amp;R2886&amp;S2886&amp;T2886&amp;U2886&amp;V2886&amp;W2886&amp;X2886&amp;Y2886&amp;Z2886&amp;AA2886&amp;AB2886&amp;AC2886&amp;AD2886&amp;AE2886&amp;AF2886&amp;AG2886</f>
        <v/>
      </c>
      <c r="N2886" s="10">
        <f>TEXT($B$6,"00")</f>
        <v/>
      </c>
      <c r="O2886" s="10">
        <f>REPT(" ",8)</f>
        <v/>
      </c>
      <c r="P2886" s="10">
        <f>RIGHT($B$4,2)</f>
        <v/>
      </c>
      <c r="Q2886" s="10">
        <f>RIGHT($B$5,3)</f>
        <v/>
      </c>
      <c r="R2886" s="10">
        <f>IF(A2886="D",LEFT(UPPER(B2886)&amp;REPT(" ",20),20),REPT(" ",20))</f>
        <v/>
      </c>
      <c r="S2886" s="10">
        <f>IF(A2886="D",LEFT(UPPER(C2886)&amp;REPT(" ",10),10)," ")</f>
        <v/>
      </c>
      <c r="T2886" s="10">
        <f>IF(A2886="D",LEFT(UPPER(D2886)&amp;REPT(" ",2),2)," ")</f>
        <v/>
      </c>
      <c r="U2886" s="10">
        <f>IF(A2886="D",LEFT(UPPER(E2886)&amp;REPT(" ",15),15)," ")</f>
        <v/>
      </c>
      <c r="V2886" s="10">
        <f>REPT(" ",24)</f>
        <v/>
      </c>
      <c r="W2886" s="10">
        <f>IF(A2886="c",LEFT(UPPER(B2886)&amp;REPT(" ",20),20),REPT(" ",20))</f>
        <v/>
      </c>
      <c r="X2886" s="10">
        <f>IF(A2886="C",LEFT(UPPER(C2886)&amp;REPT(" ",10),10)," ")</f>
        <v/>
      </c>
      <c r="Y2886" s="10">
        <f>IF(A2886="C",LEFT(UPPER(D2886)&amp;REPT(" ",2),2)," ")</f>
        <v/>
      </c>
      <c r="Z2886" s="10">
        <f>IF(A2886="C",LEFT(UPPER(E2886)&amp;REPT(" ",15),15)," ")</f>
        <v/>
      </c>
      <c r="AA2886" s="10">
        <f>REPT(" ",8)</f>
        <v/>
      </c>
      <c r="AB2886" s="10">
        <f>REPT(" ",4)</f>
        <v/>
      </c>
      <c r="AC2886" s="10">
        <f>LEFT(UPPER(H2886)&amp;REPT(" ",250),250)</f>
        <v/>
      </c>
      <c r="AD2886" s="10">
        <f>TEXT($G$2,"dd/mm/aaaa")</f>
        <v/>
      </c>
      <c r="AE2886" s="10">
        <f>REPT(" ",10)</f>
        <v/>
      </c>
      <c r="AF2886" s="10">
        <f>REPT(" ",20)</f>
        <v/>
      </c>
      <c r="AG2886" s="54">
        <f>REPT(" ",18-LEN(FIXED(F2886,2,TRUE)))&amp;FIXED(F2886,2,TRUE)</f>
        <v/>
      </c>
      <c r="AH2886" s="10">
        <f>LEN(AC2886)+LEN(AG2886)</f>
        <v/>
      </c>
      <c r="AI2886" s="10">
        <f>LEN(L2886)</f>
        <v/>
      </c>
    </row>
    <row r="2887">
      <c r="J2887" s="12">
        <f>IF(F2887&lt;&gt;0,"LANÇAR","")</f>
        <v/>
      </c>
      <c r="L2887" s="13">
        <f>N2887&amp;O2887&amp;P2887&amp;Q2887&amp;R2887&amp;S2887&amp;T2887&amp;U2887&amp;V2887&amp;W2887&amp;X2887&amp;Y2887&amp;Z2887&amp;AA2887&amp;AB2887&amp;AC2887&amp;AD2887&amp;AE2887&amp;AF2887&amp;AG2887</f>
        <v/>
      </c>
      <c r="N2887" s="10">
        <f>TEXT($B$6,"00")</f>
        <v/>
      </c>
      <c r="O2887" s="10">
        <f>REPT(" ",8)</f>
        <v/>
      </c>
      <c r="P2887" s="10">
        <f>RIGHT($B$4,2)</f>
        <v/>
      </c>
      <c r="Q2887" s="10">
        <f>RIGHT($B$5,3)</f>
        <v/>
      </c>
      <c r="R2887" s="10">
        <f>IF(A2887="D",LEFT(UPPER(B2887)&amp;REPT(" ",20),20),REPT(" ",20))</f>
        <v/>
      </c>
      <c r="S2887" s="10">
        <f>IF(A2887="D",LEFT(UPPER(C2887)&amp;REPT(" ",10),10)," ")</f>
        <v/>
      </c>
      <c r="T2887" s="10">
        <f>IF(A2887="D",LEFT(UPPER(D2887)&amp;REPT(" ",2),2)," ")</f>
        <v/>
      </c>
      <c r="U2887" s="10">
        <f>IF(A2887="D",LEFT(UPPER(E2887)&amp;REPT(" ",15),15)," ")</f>
        <v/>
      </c>
      <c r="V2887" s="10">
        <f>REPT(" ",24)</f>
        <v/>
      </c>
      <c r="W2887" s="10">
        <f>IF(A2887="c",LEFT(UPPER(B2887)&amp;REPT(" ",20),20),REPT(" ",20))</f>
        <v/>
      </c>
      <c r="X2887" s="10">
        <f>IF(A2887="C",LEFT(UPPER(C2887)&amp;REPT(" ",10),10)," ")</f>
        <v/>
      </c>
      <c r="Y2887" s="10">
        <f>IF(A2887="C",LEFT(UPPER(D2887)&amp;REPT(" ",2),2)," ")</f>
        <v/>
      </c>
      <c r="Z2887" s="10">
        <f>IF(A2887="C",LEFT(UPPER(E2887)&amp;REPT(" ",15),15)," ")</f>
        <v/>
      </c>
      <c r="AA2887" s="10">
        <f>REPT(" ",8)</f>
        <v/>
      </c>
      <c r="AB2887" s="10">
        <f>REPT(" ",4)</f>
        <v/>
      </c>
      <c r="AC2887" s="10">
        <f>LEFT(UPPER(H2887)&amp;REPT(" ",250),250)</f>
        <v/>
      </c>
      <c r="AD2887" s="10">
        <f>TEXT($G$2,"dd/mm/aaaa")</f>
        <v/>
      </c>
      <c r="AE2887" s="10">
        <f>REPT(" ",10)</f>
        <v/>
      </c>
      <c r="AF2887" s="10">
        <f>REPT(" ",20)</f>
        <v/>
      </c>
      <c r="AG2887" s="54">
        <f>REPT(" ",18-LEN(FIXED(F2887,2,TRUE)))&amp;FIXED(F2887,2,TRUE)</f>
        <v/>
      </c>
      <c r="AH2887" s="10">
        <f>LEN(AC2887)+LEN(AG2887)</f>
        <v/>
      </c>
      <c r="AI2887" s="10">
        <f>LEN(L2887)</f>
        <v/>
      </c>
    </row>
    <row r="2888">
      <c r="J2888" s="12">
        <f>IF(F2888&lt;&gt;0,"LANÇAR","")</f>
        <v/>
      </c>
      <c r="L2888" s="13">
        <f>N2888&amp;O2888&amp;P2888&amp;Q2888&amp;R2888&amp;S2888&amp;T2888&amp;U2888&amp;V2888&amp;W2888&amp;X2888&amp;Y2888&amp;Z2888&amp;AA2888&amp;AB2888&amp;AC2888&amp;AD2888&amp;AE2888&amp;AF2888&amp;AG2888</f>
        <v/>
      </c>
      <c r="N2888" s="10">
        <f>TEXT($B$6,"00")</f>
        <v/>
      </c>
      <c r="O2888" s="10">
        <f>REPT(" ",8)</f>
        <v/>
      </c>
      <c r="P2888" s="10">
        <f>RIGHT($B$4,2)</f>
        <v/>
      </c>
      <c r="Q2888" s="10">
        <f>RIGHT($B$5,3)</f>
        <v/>
      </c>
      <c r="R2888" s="10">
        <f>IF(A2888="D",LEFT(UPPER(B2888)&amp;REPT(" ",20),20),REPT(" ",20))</f>
        <v/>
      </c>
      <c r="S2888" s="10">
        <f>IF(A2888="D",LEFT(UPPER(C2888)&amp;REPT(" ",10),10)," ")</f>
        <v/>
      </c>
      <c r="T2888" s="10">
        <f>IF(A2888="D",LEFT(UPPER(D2888)&amp;REPT(" ",2),2)," ")</f>
        <v/>
      </c>
      <c r="U2888" s="10">
        <f>IF(A2888="D",LEFT(UPPER(E2888)&amp;REPT(" ",15),15)," ")</f>
        <v/>
      </c>
      <c r="V2888" s="10">
        <f>REPT(" ",24)</f>
        <v/>
      </c>
      <c r="W2888" s="10">
        <f>IF(A2888="c",LEFT(UPPER(B2888)&amp;REPT(" ",20),20),REPT(" ",20))</f>
        <v/>
      </c>
      <c r="X2888" s="10">
        <f>IF(A2888="C",LEFT(UPPER(C2888)&amp;REPT(" ",10),10)," ")</f>
        <v/>
      </c>
      <c r="Y2888" s="10">
        <f>IF(A2888="C",LEFT(UPPER(D2888)&amp;REPT(" ",2),2)," ")</f>
        <v/>
      </c>
      <c r="Z2888" s="10">
        <f>IF(A2888="C",LEFT(UPPER(E2888)&amp;REPT(" ",15),15)," ")</f>
        <v/>
      </c>
      <c r="AA2888" s="10">
        <f>REPT(" ",8)</f>
        <v/>
      </c>
      <c r="AB2888" s="10">
        <f>REPT(" ",4)</f>
        <v/>
      </c>
      <c r="AC2888" s="10">
        <f>LEFT(UPPER(H2888)&amp;REPT(" ",250),250)</f>
        <v/>
      </c>
      <c r="AD2888" s="10">
        <f>TEXT($G$2,"dd/mm/aaaa")</f>
        <v/>
      </c>
      <c r="AE2888" s="10">
        <f>REPT(" ",10)</f>
        <v/>
      </c>
      <c r="AF2888" s="10">
        <f>REPT(" ",20)</f>
        <v/>
      </c>
      <c r="AG2888" s="54">
        <f>REPT(" ",18-LEN(FIXED(F2888,2,TRUE)))&amp;FIXED(F2888,2,TRUE)</f>
        <v/>
      </c>
      <c r="AH2888" s="10">
        <f>LEN(AC2888)+LEN(AG2888)</f>
        <v/>
      </c>
      <c r="AI2888" s="10">
        <f>LEN(L2888)</f>
        <v/>
      </c>
    </row>
    <row r="2889">
      <c r="J2889" s="12">
        <f>IF(F2889&lt;&gt;0,"LANÇAR","")</f>
        <v/>
      </c>
      <c r="L2889" s="13">
        <f>N2889&amp;O2889&amp;P2889&amp;Q2889&amp;R2889&amp;S2889&amp;T2889&amp;U2889&amp;V2889&amp;W2889&amp;X2889&amp;Y2889&amp;Z2889&amp;AA2889&amp;AB2889&amp;AC2889&amp;AD2889&amp;AE2889&amp;AF2889&amp;AG2889</f>
        <v/>
      </c>
      <c r="N2889" s="10">
        <f>TEXT($B$6,"00")</f>
        <v/>
      </c>
      <c r="O2889" s="10">
        <f>REPT(" ",8)</f>
        <v/>
      </c>
      <c r="P2889" s="10">
        <f>RIGHT($B$4,2)</f>
        <v/>
      </c>
      <c r="Q2889" s="10">
        <f>RIGHT($B$5,3)</f>
        <v/>
      </c>
      <c r="R2889" s="10">
        <f>IF(A2889="D",LEFT(UPPER(B2889)&amp;REPT(" ",20),20),REPT(" ",20))</f>
        <v/>
      </c>
      <c r="S2889" s="10">
        <f>IF(A2889="D",LEFT(UPPER(C2889)&amp;REPT(" ",10),10)," ")</f>
        <v/>
      </c>
      <c r="T2889" s="10">
        <f>IF(A2889="D",LEFT(UPPER(D2889)&amp;REPT(" ",2),2)," ")</f>
        <v/>
      </c>
      <c r="U2889" s="10">
        <f>IF(A2889="D",LEFT(UPPER(E2889)&amp;REPT(" ",15),15)," ")</f>
        <v/>
      </c>
      <c r="V2889" s="10">
        <f>REPT(" ",24)</f>
        <v/>
      </c>
      <c r="W2889" s="10">
        <f>IF(A2889="c",LEFT(UPPER(B2889)&amp;REPT(" ",20),20),REPT(" ",20))</f>
        <v/>
      </c>
      <c r="X2889" s="10">
        <f>IF(A2889="C",LEFT(UPPER(C2889)&amp;REPT(" ",10),10)," ")</f>
        <v/>
      </c>
      <c r="Y2889" s="10">
        <f>IF(A2889="C",LEFT(UPPER(D2889)&amp;REPT(" ",2),2)," ")</f>
        <v/>
      </c>
      <c r="Z2889" s="10">
        <f>IF(A2889="C",LEFT(UPPER(E2889)&amp;REPT(" ",15),15)," ")</f>
        <v/>
      </c>
      <c r="AA2889" s="10">
        <f>REPT(" ",8)</f>
        <v/>
      </c>
      <c r="AB2889" s="10">
        <f>REPT(" ",4)</f>
        <v/>
      </c>
      <c r="AC2889" s="10">
        <f>LEFT(UPPER(H2889)&amp;REPT(" ",250),250)</f>
        <v/>
      </c>
      <c r="AD2889" s="10">
        <f>TEXT($G$2,"dd/mm/aaaa")</f>
        <v/>
      </c>
      <c r="AE2889" s="10">
        <f>REPT(" ",10)</f>
        <v/>
      </c>
      <c r="AF2889" s="10">
        <f>REPT(" ",20)</f>
        <v/>
      </c>
      <c r="AG2889" s="54">
        <f>REPT(" ",18-LEN(FIXED(F2889,2,TRUE)))&amp;FIXED(F2889,2,TRUE)</f>
        <v/>
      </c>
      <c r="AH2889" s="10">
        <f>LEN(AC2889)+LEN(AG2889)</f>
        <v/>
      </c>
      <c r="AI2889" s="10">
        <f>LEN(L2889)</f>
        <v/>
      </c>
    </row>
    <row r="2890">
      <c r="J2890" s="12">
        <f>IF(F2890&lt;&gt;0,"LANÇAR","")</f>
        <v/>
      </c>
      <c r="L2890" s="13">
        <f>N2890&amp;O2890&amp;P2890&amp;Q2890&amp;R2890&amp;S2890&amp;T2890&amp;U2890&amp;V2890&amp;W2890&amp;X2890&amp;Y2890&amp;Z2890&amp;AA2890&amp;AB2890&amp;AC2890&amp;AD2890&amp;AE2890&amp;AF2890&amp;AG2890</f>
        <v/>
      </c>
      <c r="N2890" s="10">
        <f>TEXT($B$6,"00")</f>
        <v/>
      </c>
      <c r="O2890" s="10">
        <f>REPT(" ",8)</f>
        <v/>
      </c>
      <c r="P2890" s="10">
        <f>RIGHT($B$4,2)</f>
        <v/>
      </c>
      <c r="Q2890" s="10">
        <f>RIGHT($B$5,3)</f>
        <v/>
      </c>
      <c r="R2890" s="10">
        <f>IF(A2890="D",LEFT(UPPER(B2890)&amp;REPT(" ",20),20),REPT(" ",20))</f>
        <v/>
      </c>
      <c r="S2890" s="10">
        <f>IF(A2890="D",LEFT(UPPER(C2890)&amp;REPT(" ",10),10)," ")</f>
        <v/>
      </c>
      <c r="T2890" s="10">
        <f>IF(A2890="D",LEFT(UPPER(D2890)&amp;REPT(" ",2),2)," ")</f>
        <v/>
      </c>
      <c r="U2890" s="10">
        <f>IF(A2890="D",LEFT(UPPER(E2890)&amp;REPT(" ",15),15)," ")</f>
        <v/>
      </c>
      <c r="V2890" s="10">
        <f>REPT(" ",24)</f>
        <v/>
      </c>
      <c r="W2890" s="10">
        <f>IF(A2890="c",LEFT(UPPER(B2890)&amp;REPT(" ",20),20),REPT(" ",20))</f>
        <v/>
      </c>
      <c r="X2890" s="10">
        <f>IF(A2890="C",LEFT(UPPER(C2890)&amp;REPT(" ",10),10)," ")</f>
        <v/>
      </c>
      <c r="Y2890" s="10">
        <f>IF(A2890="C",LEFT(UPPER(D2890)&amp;REPT(" ",2),2)," ")</f>
        <v/>
      </c>
      <c r="Z2890" s="10">
        <f>IF(A2890="C",LEFT(UPPER(E2890)&amp;REPT(" ",15),15)," ")</f>
        <v/>
      </c>
      <c r="AA2890" s="10">
        <f>REPT(" ",8)</f>
        <v/>
      </c>
      <c r="AB2890" s="10">
        <f>REPT(" ",4)</f>
        <v/>
      </c>
      <c r="AC2890" s="10">
        <f>LEFT(UPPER(H2890)&amp;REPT(" ",250),250)</f>
        <v/>
      </c>
      <c r="AD2890" s="10">
        <f>TEXT($G$2,"dd/mm/aaaa")</f>
        <v/>
      </c>
      <c r="AE2890" s="10">
        <f>REPT(" ",10)</f>
        <v/>
      </c>
      <c r="AF2890" s="10">
        <f>REPT(" ",20)</f>
        <v/>
      </c>
      <c r="AG2890" s="54">
        <f>REPT(" ",18-LEN(FIXED(F2890,2,TRUE)))&amp;FIXED(F2890,2,TRUE)</f>
        <v/>
      </c>
      <c r="AH2890" s="10">
        <f>LEN(AC2890)+LEN(AG2890)</f>
        <v/>
      </c>
      <c r="AI2890" s="10">
        <f>LEN(L2890)</f>
        <v/>
      </c>
    </row>
    <row r="2891">
      <c r="J2891" s="12">
        <f>IF(F2891&lt;&gt;0,"LANÇAR","")</f>
        <v/>
      </c>
      <c r="L2891" s="13">
        <f>N2891&amp;O2891&amp;P2891&amp;Q2891&amp;R2891&amp;S2891&amp;T2891&amp;U2891&amp;V2891&amp;W2891&amp;X2891&amp;Y2891&amp;Z2891&amp;AA2891&amp;AB2891&amp;AC2891&amp;AD2891&amp;AE2891&amp;AF2891&amp;AG2891</f>
        <v/>
      </c>
      <c r="N2891" s="10">
        <f>TEXT($B$6,"00")</f>
        <v/>
      </c>
      <c r="O2891" s="10">
        <f>REPT(" ",8)</f>
        <v/>
      </c>
      <c r="P2891" s="10">
        <f>RIGHT($B$4,2)</f>
        <v/>
      </c>
      <c r="Q2891" s="10">
        <f>RIGHT($B$5,3)</f>
        <v/>
      </c>
      <c r="R2891" s="10">
        <f>IF(A2891="D",LEFT(UPPER(B2891)&amp;REPT(" ",20),20),REPT(" ",20))</f>
        <v/>
      </c>
      <c r="S2891" s="10">
        <f>IF(A2891="D",LEFT(UPPER(C2891)&amp;REPT(" ",10),10)," ")</f>
        <v/>
      </c>
      <c r="T2891" s="10">
        <f>IF(A2891="D",LEFT(UPPER(D2891)&amp;REPT(" ",2),2)," ")</f>
        <v/>
      </c>
      <c r="U2891" s="10">
        <f>IF(A2891="D",LEFT(UPPER(E2891)&amp;REPT(" ",15),15)," ")</f>
        <v/>
      </c>
      <c r="V2891" s="10">
        <f>REPT(" ",24)</f>
        <v/>
      </c>
      <c r="W2891" s="10">
        <f>IF(A2891="c",LEFT(UPPER(B2891)&amp;REPT(" ",20),20),REPT(" ",20))</f>
        <v/>
      </c>
      <c r="X2891" s="10">
        <f>IF(A2891="C",LEFT(UPPER(C2891)&amp;REPT(" ",10),10)," ")</f>
        <v/>
      </c>
      <c r="Y2891" s="10">
        <f>IF(A2891="C",LEFT(UPPER(D2891)&amp;REPT(" ",2),2)," ")</f>
        <v/>
      </c>
      <c r="Z2891" s="10">
        <f>IF(A2891="C",LEFT(UPPER(E2891)&amp;REPT(" ",15),15)," ")</f>
        <v/>
      </c>
      <c r="AA2891" s="10">
        <f>REPT(" ",8)</f>
        <v/>
      </c>
      <c r="AB2891" s="10">
        <f>REPT(" ",4)</f>
        <v/>
      </c>
      <c r="AC2891" s="10">
        <f>LEFT(UPPER(H2891)&amp;REPT(" ",250),250)</f>
        <v/>
      </c>
      <c r="AD2891" s="10">
        <f>TEXT($G$2,"dd/mm/aaaa")</f>
        <v/>
      </c>
      <c r="AE2891" s="10">
        <f>REPT(" ",10)</f>
        <v/>
      </c>
      <c r="AF2891" s="10">
        <f>REPT(" ",20)</f>
        <v/>
      </c>
      <c r="AG2891" s="54">
        <f>REPT(" ",18-LEN(FIXED(F2891,2,TRUE)))&amp;FIXED(F2891,2,TRUE)</f>
        <v/>
      </c>
      <c r="AH2891" s="10">
        <f>LEN(AC2891)+LEN(AG2891)</f>
        <v/>
      </c>
      <c r="AI2891" s="10">
        <f>LEN(L2891)</f>
        <v/>
      </c>
    </row>
    <row r="2892">
      <c r="J2892" s="12">
        <f>IF(F2892&lt;&gt;0,"LANÇAR","")</f>
        <v/>
      </c>
      <c r="L2892" s="13">
        <f>N2892&amp;O2892&amp;P2892&amp;Q2892&amp;R2892&amp;S2892&amp;T2892&amp;U2892&amp;V2892&amp;W2892&amp;X2892&amp;Y2892&amp;Z2892&amp;AA2892&amp;AB2892&amp;AC2892&amp;AD2892&amp;AE2892&amp;AF2892&amp;AG2892</f>
        <v/>
      </c>
      <c r="N2892" s="10">
        <f>TEXT($B$6,"00")</f>
        <v/>
      </c>
      <c r="O2892" s="10">
        <f>REPT(" ",8)</f>
        <v/>
      </c>
      <c r="P2892" s="10">
        <f>RIGHT($B$4,2)</f>
        <v/>
      </c>
      <c r="Q2892" s="10">
        <f>RIGHT($B$5,3)</f>
        <v/>
      </c>
      <c r="R2892" s="10">
        <f>IF(A2892="D",LEFT(UPPER(B2892)&amp;REPT(" ",20),20),REPT(" ",20))</f>
        <v/>
      </c>
      <c r="S2892" s="10">
        <f>IF(A2892="D",LEFT(UPPER(C2892)&amp;REPT(" ",10),10)," ")</f>
        <v/>
      </c>
      <c r="T2892" s="10">
        <f>IF(A2892="D",LEFT(UPPER(D2892)&amp;REPT(" ",2),2)," ")</f>
        <v/>
      </c>
      <c r="U2892" s="10">
        <f>IF(A2892="D",LEFT(UPPER(E2892)&amp;REPT(" ",15),15)," ")</f>
        <v/>
      </c>
      <c r="V2892" s="10">
        <f>REPT(" ",24)</f>
        <v/>
      </c>
      <c r="W2892" s="10">
        <f>IF(A2892="c",LEFT(UPPER(B2892)&amp;REPT(" ",20),20),REPT(" ",20))</f>
        <v/>
      </c>
      <c r="X2892" s="10">
        <f>IF(A2892="C",LEFT(UPPER(C2892)&amp;REPT(" ",10),10)," ")</f>
        <v/>
      </c>
      <c r="Y2892" s="10">
        <f>IF(A2892="C",LEFT(UPPER(D2892)&amp;REPT(" ",2),2)," ")</f>
        <v/>
      </c>
      <c r="Z2892" s="10">
        <f>IF(A2892="C",LEFT(UPPER(E2892)&amp;REPT(" ",15),15)," ")</f>
        <v/>
      </c>
      <c r="AA2892" s="10">
        <f>REPT(" ",8)</f>
        <v/>
      </c>
      <c r="AB2892" s="10">
        <f>REPT(" ",4)</f>
        <v/>
      </c>
      <c r="AC2892" s="10">
        <f>LEFT(UPPER(H2892)&amp;REPT(" ",250),250)</f>
        <v/>
      </c>
      <c r="AD2892" s="10">
        <f>TEXT($G$2,"dd/mm/aaaa")</f>
        <v/>
      </c>
      <c r="AE2892" s="10">
        <f>REPT(" ",10)</f>
        <v/>
      </c>
      <c r="AF2892" s="10">
        <f>REPT(" ",20)</f>
        <v/>
      </c>
      <c r="AG2892" s="54">
        <f>REPT(" ",18-LEN(FIXED(F2892,2,TRUE)))&amp;FIXED(F2892,2,TRUE)</f>
        <v/>
      </c>
      <c r="AH2892" s="10">
        <f>LEN(AC2892)+LEN(AG2892)</f>
        <v/>
      </c>
      <c r="AI2892" s="10">
        <f>LEN(L2892)</f>
        <v/>
      </c>
    </row>
    <row r="2893">
      <c r="J2893" s="12">
        <f>IF(F2893&lt;&gt;0,"LANÇAR","")</f>
        <v/>
      </c>
      <c r="L2893" s="13">
        <f>N2893&amp;O2893&amp;P2893&amp;Q2893&amp;R2893&amp;S2893&amp;T2893&amp;U2893&amp;V2893&amp;W2893&amp;X2893&amp;Y2893&amp;Z2893&amp;AA2893&amp;AB2893&amp;AC2893&amp;AD2893&amp;AE2893&amp;AF2893&amp;AG2893</f>
        <v/>
      </c>
      <c r="N2893" s="10">
        <f>TEXT($B$6,"00")</f>
        <v/>
      </c>
      <c r="O2893" s="10">
        <f>REPT(" ",8)</f>
        <v/>
      </c>
      <c r="P2893" s="10">
        <f>RIGHT($B$4,2)</f>
        <v/>
      </c>
      <c r="Q2893" s="10">
        <f>RIGHT($B$5,3)</f>
        <v/>
      </c>
      <c r="R2893" s="10">
        <f>IF(A2893="D",LEFT(UPPER(B2893)&amp;REPT(" ",20),20),REPT(" ",20))</f>
        <v/>
      </c>
      <c r="S2893" s="10">
        <f>IF(A2893="D",LEFT(UPPER(C2893)&amp;REPT(" ",10),10)," ")</f>
        <v/>
      </c>
      <c r="T2893" s="10">
        <f>IF(A2893="D",LEFT(UPPER(D2893)&amp;REPT(" ",2),2)," ")</f>
        <v/>
      </c>
      <c r="U2893" s="10">
        <f>IF(A2893="D",LEFT(UPPER(E2893)&amp;REPT(" ",15),15)," ")</f>
        <v/>
      </c>
      <c r="V2893" s="10">
        <f>REPT(" ",24)</f>
        <v/>
      </c>
      <c r="W2893" s="10">
        <f>IF(A2893="c",LEFT(UPPER(B2893)&amp;REPT(" ",20),20),REPT(" ",20))</f>
        <v/>
      </c>
      <c r="X2893" s="10">
        <f>IF(A2893="C",LEFT(UPPER(C2893)&amp;REPT(" ",10),10)," ")</f>
        <v/>
      </c>
      <c r="Y2893" s="10">
        <f>IF(A2893="C",LEFT(UPPER(D2893)&amp;REPT(" ",2),2)," ")</f>
        <v/>
      </c>
      <c r="Z2893" s="10">
        <f>IF(A2893="C",LEFT(UPPER(E2893)&amp;REPT(" ",15),15)," ")</f>
        <v/>
      </c>
      <c r="AA2893" s="10">
        <f>REPT(" ",8)</f>
        <v/>
      </c>
      <c r="AB2893" s="10">
        <f>REPT(" ",4)</f>
        <v/>
      </c>
      <c r="AC2893" s="10">
        <f>LEFT(UPPER(H2893)&amp;REPT(" ",250),250)</f>
        <v/>
      </c>
      <c r="AD2893" s="10">
        <f>TEXT($G$2,"dd/mm/aaaa")</f>
        <v/>
      </c>
      <c r="AE2893" s="10">
        <f>REPT(" ",10)</f>
        <v/>
      </c>
      <c r="AF2893" s="10">
        <f>REPT(" ",20)</f>
        <v/>
      </c>
      <c r="AG2893" s="54">
        <f>REPT(" ",18-LEN(FIXED(F2893,2,TRUE)))&amp;FIXED(F2893,2,TRUE)</f>
        <v/>
      </c>
      <c r="AH2893" s="10">
        <f>LEN(AC2893)+LEN(AG2893)</f>
        <v/>
      </c>
      <c r="AI2893" s="10">
        <f>LEN(L2893)</f>
        <v/>
      </c>
    </row>
    <row r="2894">
      <c r="J2894" s="12">
        <f>IF(F2894&lt;&gt;0,"LANÇAR","")</f>
        <v/>
      </c>
      <c r="L2894" s="13">
        <f>N2894&amp;O2894&amp;P2894&amp;Q2894&amp;R2894&amp;S2894&amp;T2894&amp;U2894&amp;V2894&amp;W2894&amp;X2894&amp;Y2894&amp;Z2894&amp;AA2894&amp;AB2894&amp;AC2894&amp;AD2894&amp;AE2894&amp;AF2894&amp;AG2894</f>
        <v/>
      </c>
      <c r="N2894" s="10">
        <f>TEXT($B$6,"00")</f>
        <v/>
      </c>
      <c r="O2894" s="10">
        <f>REPT(" ",8)</f>
        <v/>
      </c>
      <c r="P2894" s="10">
        <f>RIGHT($B$4,2)</f>
        <v/>
      </c>
      <c r="Q2894" s="10">
        <f>RIGHT($B$5,3)</f>
        <v/>
      </c>
      <c r="R2894" s="10">
        <f>IF(A2894="D",LEFT(UPPER(B2894)&amp;REPT(" ",20),20),REPT(" ",20))</f>
        <v/>
      </c>
      <c r="S2894" s="10">
        <f>IF(A2894="D",LEFT(UPPER(C2894)&amp;REPT(" ",10),10)," ")</f>
        <v/>
      </c>
      <c r="T2894" s="10">
        <f>IF(A2894="D",LEFT(UPPER(D2894)&amp;REPT(" ",2),2)," ")</f>
        <v/>
      </c>
      <c r="U2894" s="10">
        <f>IF(A2894="D",LEFT(UPPER(E2894)&amp;REPT(" ",15),15)," ")</f>
        <v/>
      </c>
      <c r="V2894" s="10">
        <f>REPT(" ",24)</f>
        <v/>
      </c>
      <c r="W2894" s="10">
        <f>IF(A2894="c",LEFT(UPPER(B2894)&amp;REPT(" ",20),20),REPT(" ",20))</f>
        <v/>
      </c>
      <c r="X2894" s="10">
        <f>IF(A2894="C",LEFT(UPPER(C2894)&amp;REPT(" ",10),10)," ")</f>
        <v/>
      </c>
      <c r="Y2894" s="10">
        <f>IF(A2894="C",LEFT(UPPER(D2894)&amp;REPT(" ",2),2)," ")</f>
        <v/>
      </c>
      <c r="Z2894" s="10">
        <f>IF(A2894="C",LEFT(UPPER(E2894)&amp;REPT(" ",15),15)," ")</f>
        <v/>
      </c>
      <c r="AA2894" s="10">
        <f>REPT(" ",8)</f>
        <v/>
      </c>
      <c r="AB2894" s="10">
        <f>REPT(" ",4)</f>
        <v/>
      </c>
      <c r="AC2894" s="10">
        <f>LEFT(UPPER(H2894)&amp;REPT(" ",250),250)</f>
        <v/>
      </c>
      <c r="AD2894" s="10">
        <f>TEXT($G$2,"dd/mm/aaaa")</f>
        <v/>
      </c>
      <c r="AE2894" s="10">
        <f>REPT(" ",10)</f>
        <v/>
      </c>
      <c r="AF2894" s="10">
        <f>REPT(" ",20)</f>
        <v/>
      </c>
      <c r="AG2894" s="54">
        <f>REPT(" ",18-LEN(FIXED(F2894,2,TRUE)))&amp;FIXED(F2894,2,TRUE)</f>
        <v/>
      </c>
      <c r="AH2894" s="10">
        <f>LEN(AC2894)+LEN(AG2894)</f>
        <v/>
      </c>
      <c r="AI2894" s="10">
        <f>LEN(L2894)</f>
        <v/>
      </c>
    </row>
    <row r="2895">
      <c r="J2895" s="12">
        <f>IF(F2895&lt;&gt;0,"LANÇAR","")</f>
        <v/>
      </c>
      <c r="L2895" s="13">
        <f>N2895&amp;O2895&amp;P2895&amp;Q2895&amp;R2895&amp;S2895&amp;T2895&amp;U2895&amp;V2895&amp;W2895&amp;X2895&amp;Y2895&amp;Z2895&amp;AA2895&amp;AB2895&amp;AC2895&amp;AD2895&amp;AE2895&amp;AF2895&amp;AG2895</f>
        <v/>
      </c>
      <c r="N2895" s="10">
        <f>TEXT($B$6,"00")</f>
        <v/>
      </c>
      <c r="O2895" s="10">
        <f>REPT(" ",8)</f>
        <v/>
      </c>
      <c r="P2895" s="10">
        <f>RIGHT($B$4,2)</f>
        <v/>
      </c>
      <c r="Q2895" s="10">
        <f>RIGHT($B$5,3)</f>
        <v/>
      </c>
      <c r="R2895" s="10">
        <f>IF(A2895="D",LEFT(UPPER(B2895)&amp;REPT(" ",20),20),REPT(" ",20))</f>
        <v/>
      </c>
      <c r="S2895" s="10">
        <f>IF(A2895="D",LEFT(UPPER(C2895)&amp;REPT(" ",10),10)," ")</f>
        <v/>
      </c>
      <c r="T2895" s="10">
        <f>IF(A2895="D",LEFT(UPPER(D2895)&amp;REPT(" ",2),2)," ")</f>
        <v/>
      </c>
      <c r="U2895" s="10">
        <f>IF(A2895="D",LEFT(UPPER(E2895)&amp;REPT(" ",15),15)," ")</f>
        <v/>
      </c>
      <c r="V2895" s="10">
        <f>REPT(" ",24)</f>
        <v/>
      </c>
      <c r="W2895" s="10">
        <f>IF(A2895="c",LEFT(UPPER(B2895)&amp;REPT(" ",20),20),REPT(" ",20))</f>
        <v/>
      </c>
      <c r="X2895" s="10">
        <f>IF(A2895="C",LEFT(UPPER(C2895)&amp;REPT(" ",10),10)," ")</f>
        <v/>
      </c>
      <c r="Y2895" s="10">
        <f>IF(A2895="C",LEFT(UPPER(D2895)&amp;REPT(" ",2),2)," ")</f>
        <v/>
      </c>
      <c r="Z2895" s="10">
        <f>IF(A2895="C",LEFT(UPPER(E2895)&amp;REPT(" ",15),15)," ")</f>
        <v/>
      </c>
      <c r="AA2895" s="10">
        <f>REPT(" ",8)</f>
        <v/>
      </c>
      <c r="AB2895" s="10">
        <f>REPT(" ",4)</f>
        <v/>
      </c>
      <c r="AC2895" s="10">
        <f>LEFT(UPPER(H2895)&amp;REPT(" ",250),250)</f>
        <v/>
      </c>
      <c r="AD2895" s="10">
        <f>TEXT($G$2,"dd/mm/aaaa")</f>
        <v/>
      </c>
      <c r="AE2895" s="10">
        <f>REPT(" ",10)</f>
        <v/>
      </c>
      <c r="AF2895" s="10">
        <f>REPT(" ",20)</f>
        <v/>
      </c>
      <c r="AG2895" s="54">
        <f>REPT(" ",18-LEN(FIXED(F2895,2,TRUE)))&amp;FIXED(F2895,2,TRUE)</f>
        <v/>
      </c>
      <c r="AH2895" s="10">
        <f>LEN(AC2895)+LEN(AG2895)</f>
        <v/>
      </c>
      <c r="AI2895" s="10">
        <f>LEN(L2895)</f>
        <v/>
      </c>
    </row>
    <row r="2896">
      <c r="J2896" s="12">
        <f>IF(F2896&lt;&gt;0,"LANÇAR","")</f>
        <v/>
      </c>
      <c r="L2896" s="13">
        <f>N2896&amp;O2896&amp;P2896&amp;Q2896&amp;R2896&amp;S2896&amp;T2896&amp;U2896&amp;V2896&amp;W2896&amp;X2896&amp;Y2896&amp;Z2896&amp;AA2896&amp;AB2896&amp;AC2896&amp;AD2896&amp;AE2896&amp;AF2896&amp;AG2896</f>
        <v/>
      </c>
      <c r="N2896" s="10">
        <f>TEXT($B$6,"00")</f>
        <v/>
      </c>
      <c r="O2896" s="10">
        <f>REPT(" ",8)</f>
        <v/>
      </c>
      <c r="P2896" s="10">
        <f>RIGHT($B$4,2)</f>
        <v/>
      </c>
      <c r="Q2896" s="10">
        <f>RIGHT($B$5,3)</f>
        <v/>
      </c>
      <c r="R2896" s="10">
        <f>IF(A2896="D",LEFT(UPPER(B2896)&amp;REPT(" ",20),20),REPT(" ",20))</f>
        <v/>
      </c>
      <c r="S2896" s="10">
        <f>IF(A2896="D",LEFT(UPPER(C2896)&amp;REPT(" ",10),10)," ")</f>
        <v/>
      </c>
      <c r="T2896" s="10">
        <f>IF(A2896="D",LEFT(UPPER(D2896)&amp;REPT(" ",2),2)," ")</f>
        <v/>
      </c>
      <c r="U2896" s="10">
        <f>IF(A2896="D",LEFT(UPPER(E2896)&amp;REPT(" ",15),15)," ")</f>
        <v/>
      </c>
      <c r="V2896" s="10">
        <f>REPT(" ",24)</f>
        <v/>
      </c>
      <c r="W2896" s="10">
        <f>IF(A2896="c",LEFT(UPPER(B2896)&amp;REPT(" ",20),20),REPT(" ",20))</f>
        <v/>
      </c>
      <c r="X2896" s="10">
        <f>IF(A2896="C",LEFT(UPPER(C2896)&amp;REPT(" ",10),10)," ")</f>
        <v/>
      </c>
      <c r="Y2896" s="10">
        <f>IF(A2896="C",LEFT(UPPER(D2896)&amp;REPT(" ",2),2)," ")</f>
        <v/>
      </c>
      <c r="Z2896" s="10">
        <f>IF(A2896="C",LEFT(UPPER(E2896)&amp;REPT(" ",15),15)," ")</f>
        <v/>
      </c>
      <c r="AA2896" s="10">
        <f>REPT(" ",8)</f>
        <v/>
      </c>
      <c r="AB2896" s="10">
        <f>REPT(" ",4)</f>
        <v/>
      </c>
      <c r="AC2896" s="10">
        <f>LEFT(UPPER(H2896)&amp;REPT(" ",250),250)</f>
        <v/>
      </c>
      <c r="AD2896" s="10">
        <f>TEXT($G$2,"dd/mm/aaaa")</f>
        <v/>
      </c>
      <c r="AE2896" s="10">
        <f>REPT(" ",10)</f>
        <v/>
      </c>
      <c r="AF2896" s="10">
        <f>REPT(" ",20)</f>
        <v/>
      </c>
      <c r="AG2896" s="54">
        <f>REPT(" ",18-LEN(FIXED(F2896,2,TRUE)))&amp;FIXED(F2896,2,TRUE)</f>
        <v/>
      </c>
      <c r="AH2896" s="10">
        <f>LEN(AC2896)+LEN(AG2896)</f>
        <v/>
      </c>
      <c r="AI2896" s="10">
        <f>LEN(L2896)</f>
        <v/>
      </c>
    </row>
    <row r="2897">
      <c r="J2897" s="12">
        <f>IF(F2897&lt;&gt;0,"LANÇAR","")</f>
        <v/>
      </c>
      <c r="L2897" s="13">
        <f>N2897&amp;O2897&amp;P2897&amp;Q2897&amp;R2897&amp;S2897&amp;T2897&amp;U2897&amp;V2897&amp;W2897&amp;X2897&amp;Y2897&amp;Z2897&amp;AA2897&amp;AB2897&amp;AC2897&amp;AD2897&amp;AE2897&amp;AF2897&amp;AG2897</f>
        <v/>
      </c>
      <c r="N2897" s="10">
        <f>TEXT($B$6,"00")</f>
        <v/>
      </c>
      <c r="O2897" s="10">
        <f>REPT(" ",8)</f>
        <v/>
      </c>
      <c r="P2897" s="10">
        <f>RIGHT($B$4,2)</f>
        <v/>
      </c>
      <c r="Q2897" s="10">
        <f>RIGHT($B$5,3)</f>
        <v/>
      </c>
      <c r="R2897" s="10">
        <f>IF(A2897="D",LEFT(UPPER(B2897)&amp;REPT(" ",20),20),REPT(" ",20))</f>
        <v/>
      </c>
      <c r="S2897" s="10">
        <f>IF(A2897="D",LEFT(UPPER(C2897)&amp;REPT(" ",10),10)," ")</f>
        <v/>
      </c>
      <c r="T2897" s="10">
        <f>IF(A2897="D",LEFT(UPPER(D2897)&amp;REPT(" ",2),2)," ")</f>
        <v/>
      </c>
      <c r="U2897" s="10">
        <f>IF(A2897="D",LEFT(UPPER(E2897)&amp;REPT(" ",15),15)," ")</f>
        <v/>
      </c>
      <c r="V2897" s="10">
        <f>REPT(" ",24)</f>
        <v/>
      </c>
      <c r="W2897" s="10">
        <f>IF(A2897="c",LEFT(UPPER(B2897)&amp;REPT(" ",20),20),REPT(" ",20))</f>
        <v/>
      </c>
      <c r="X2897" s="10">
        <f>IF(A2897="C",LEFT(UPPER(C2897)&amp;REPT(" ",10),10)," ")</f>
        <v/>
      </c>
      <c r="Y2897" s="10">
        <f>IF(A2897="C",LEFT(UPPER(D2897)&amp;REPT(" ",2),2)," ")</f>
        <v/>
      </c>
      <c r="Z2897" s="10">
        <f>IF(A2897="C",LEFT(UPPER(E2897)&amp;REPT(" ",15),15)," ")</f>
        <v/>
      </c>
      <c r="AA2897" s="10">
        <f>REPT(" ",8)</f>
        <v/>
      </c>
      <c r="AB2897" s="10">
        <f>REPT(" ",4)</f>
        <v/>
      </c>
      <c r="AC2897" s="10">
        <f>LEFT(UPPER(H2897)&amp;REPT(" ",250),250)</f>
        <v/>
      </c>
      <c r="AD2897" s="10">
        <f>TEXT($G$2,"dd/mm/aaaa")</f>
        <v/>
      </c>
      <c r="AE2897" s="10">
        <f>REPT(" ",10)</f>
        <v/>
      </c>
      <c r="AF2897" s="10">
        <f>REPT(" ",20)</f>
        <v/>
      </c>
      <c r="AG2897" s="54">
        <f>REPT(" ",18-LEN(FIXED(F2897,2,TRUE)))&amp;FIXED(F2897,2,TRUE)</f>
        <v/>
      </c>
      <c r="AH2897" s="10">
        <f>LEN(AC2897)+LEN(AG2897)</f>
        <v/>
      </c>
      <c r="AI2897" s="10">
        <f>LEN(L2897)</f>
        <v/>
      </c>
    </row>
    <row r="2898">
      <c r="J2898" s="12">
        <f>IF(F2898&lt;&gt;0,"LANÇAR","")</f>
        <v/>
      </c>
      <c r="L2898" s="13">
        <f>N2898&amp;O2898&amp;P2898&amp;Q2898&amp;R2898&amp;S2898&amp;T2898&amp;U2898&amp;V2898&amp;W2898&amp;X2898&amp;Y2898&amp;Z2898&amp;AA2898&amp;AB2898&amp;AC2898&amp;AD2898&amp;AE2898&amp;AF2898&amp;AG2898</f>
        <v/>
      </c>
      <c r="N2898" s="10">
        <f>TEXT($B$6,"00")</f>
        <v/>
      </c>
      <c r="O2898" s="10">
        <f>REPT(" ",8)</f>
        <v/>
      </c>
      <c r="P2898" s="10">
        <f>RIGHT($B$4,2)</f>
        <v/>
      </c>
      <c r="Q2898" s="10">
        <f>RIGHT($B$5,3)</f>
        <v/>
      </c>
      <c r="R2898" s="10">
        <f>IF(A2898="D",LEFT(UPPER(B2898)&amp;REPT(" ",20),20),REPT(" ",20))</f>
        <v/>
      </c>
      <c r="S2898" s="10">
        <f>IF(A2898="D",LEFT(UPPER(C2898)&amp;REPT(" ",10),10)," ")</f>
        <v/>
      </c>
      <c r="T2898" s="10">
        <f>IF(A2898="D",LEFT(UPPER(D2898)&amp;REPT(" ",2),2)," ")</f>
        <v/>
      </c>
      <c r="U2898" s="10">
        <f>IF(A2898="D",LEFT(UPPER(E2898)&amp;REPT(" ",15),15)," ")</f>
        <v/>
      </c>
      <c r="V2898" s="10">
        <f>REPT(" ",24)</f>
        <v/>
      </c>
      <c r="W2898" s="10">
        <f>IF(A2898="c",LEFT(UPPER(B2898)&amp;REPT(" ",20),20),REPT(" ",20))</f>
        <v/>
      </c>
      <c r="X2898" s="10">
        <f>IF(A2898="C",LEFT(UPPER(C2898)&amp;REPT(" ",10),10)," ")</f>
        <v/>
      </c>
      <c r="Y2898" s="10">
        <f>IF(A2898="C",LEFT(UPPER(D2898)&amp;REPT(" ",2),2)," ")</f>
        <v/>
      </c>
      <c r="Z2898" s="10">
        <f>IF(A2898="C",LEFT(UPPER(E2898)&amp;REPT(" ",15),15)," ")</f>
        <v/>
      </c>
      <c r="AA2898" s="10">
        <f>REPT(" ",8)</f>
        <v/>
      </c>
      <c r="AB2898" s="10">
        <f>REPT(" ",4)</f>
        <v/>
      </c>
      <c r="AC2898" s="10">
        <f>LEFT(UPPER(H2898)&amp;REPT(" ",250),250)</f>
        <v/>
      </c>
      <c r="AD2898" s="10">
        <f>TEXT($G$2,"dd/mm/aaaa")</f>
        <v/>
      </c>
      <c r="AE2898" s="10">
        <f>REPT(" ",10)</f>
        <v/>
      </c>
      <c r="AF2898" s="10">
        <f>REPT(" ",20)</f>
        <v/>
      </c>
      <c r="AG2898" s="54">
        <f>REPT(" ",18-LEN(FIXED(F2898,2,TRUE)))&amp;FIXED(F2898,2,TRUE)</f>
        <v/>
      </c>
      <c r="AH2898" s="10">
        <f>LEN(AC2898)+LEN(AG2898)</f>
        <v/>
      </c>
      <c r="AI2898" s="10">
        <f>LEN(L2898)</f>
        <v/>
      </c>
    </row>
    <row r="2899">
      <c r="J2899" s="12">
        <f>IF(F2899&lt;&gt;0,"LANÇAR","")</f>
        <v/>
      </c>
      <c r="L2899" s="13">
        <f>N2899&amp;O2899&amp;P2899&amp;Q2899&amp;R2899&amp;S2899&amp;T2899&amp;U2899&amp;V2899&amp;W2899&amp;X2899&amp;Y2899&amp;Z2899&amp;AA2899&amp;AB2899&amp;AC2899&amp;AD2899&amp;AE2899&amp;AF2899&amp;AG2899</f>
        <v/>
      </c>
      <c r="N2899" s="10">
        <f>TEXT($B$6,"00")</f>
        <v/>
      </c>
      <c r="O2899" s="10">
        <f>REPT(" ",8)</f>
        <v/>
      </c>
      <c r="P2899" s="10">
        <f>RIGHT($B$4,2)</f>
        <v/>
      </c>
      <c r="Q2899" s="10">
        <f>RIGHT($B$5,3)</f>
        <v/>
      </c>
      <c r="R2899" s="10">
        <f>IF(A2899="D",LEFT(UPPER(B2899)&amp;REPT(" ",20),20),REPT(" ",20))</f>
        <v/>
      </c>
      <c r="S2899" s="10">
        <f>IF(A2899="D",LEFT(UPPER(C2899)&amp;REPT(" ",10),10)," ")</f>
        <v/>
      </c>
      <c r="T2899" s="10">
        <f>IF(A2899="D",LEFT(UPPER(D2899)&amp;REPT(" ",2),2)," ")</f>
        <v/>
      </c>
      <c r="U2899" s="10">
        <f>IF(A2899="D",LEFT(UPPER(E2899)&amp;REPT(" ",15),15)," ")</f>
        <v/>
      </c>
      <c r="V2899" s="10">
        <f>REPT(" ",24)</f>
        <v/>
      </c>
      <c r="W2899" s="10">
        <f>IF(A2899="c",LEFT(UPPER(B2899)&amp;REPT(" ",20),20),REPT(" ",20))</f>
        <v/>
      </c>
      <c r="X2899" s="10">
        <f>IF(A2899="C",LEFT(UPPER(C2899)&amp;REPT(" ",10),10)," ")</f>
        <v/>
      </c>
      <c r="Y2899" s="10">
        <f>IF(A2899="C",LEFT(UPPER(D2899)&amp;REPT(" ",2),2)," ")</f>
        <v/>
      </c>
      <c r="Z2899" s="10">
        <f>IF(A2899="C",LEFT(UPPER(E2899)&amp;REPT(" ",15),15)," ")</f>
        <v/>
      </c>
      <c r="AA2899" s="10">
        <f>REPT(" ",8)</f>
        <v/>
      </c>
      <c r="AB2899" s="10">
        <f>REPT(" ",4)</f>
        <v/>
      </c>
      <c r="AC2899" s="10">
        <f>LEFT(UPPER(H2899)&amp;REPT(" ",250),250)</f>
        <v/>
      </c>
      <c r="AD2899" s="10">
        <f>TEXT($G$2,"dd/mm/aaaa")</f>
        <v/>
      </c>
      <c r="AE2899" s="10">
        <f>REPT(" ",10)</f>
        <v/>
      </c>
      <c r="AF2899" s="10">
        <f>REPT(" ",20)</f>
        <v/>
      </c>
      <c r="AG2899" s="54">
        <f>REPT(" ",18-LEN(FIXED(F2899,2,TRUE)))&amp;FIXED(F2899,2,TRUE)</f>
        <v/>
      </c>
      <c r="AH2899" s="10">
        <f>LEN(AC2899)+LEN(AG2899)</f>
        <v/>
      </c>
      <c r="AI2899" s="10">
        <f>LEN(L2899)</f>
        <v/>
      </c>
    </row>
    <row r="2900">
      <c r="J2900" s="12">
        <f>IF(F2900&lt;&gt;0,"LANÇAR","")</f>
        <v/>
      </c>
      <c r="L2900" s="13">
        <f>N2900&amp;O2900&amp;P2900&amp;Q2900&amp;R2900&amp;S2900&amp;T2900&amp;U2900&amp;V2900&amp;W2900&amp;X2900&amp;Y2900&amp;Z2900&amp;AA2900&amp;AB2900&amp;AC2900&amp;AD2900&amp;AE2900&amp;AF2900&amp;AG2900</f>
        <v/>
      </c>
      <c r="N2900" s="10">
        <f>TEXT($B$6,"00")</f>
        <v/>
      </c>
      <c r="O2900" s="10">
        <f>REPT(" ",8)</f>
        <v/>
      </c>
      <c r="P2900" s="10">
        <f>RIGHT($B$4,2)</f>
        <v/>
      </c>
      <c r="Q2900" s="10">
        <f>RIGHT($B$5,3)</f>
        <v/>
      </c>
      <c r="R2900" s="10">
        <f>IF(A2900="D",LEFT(UPPER(B2900)&amp;REPT(" ",20),20),REPT(" ",20))</f>
        <v/>
      </c>
      <c r="S2900" s="10">
        <f>IF(A2900="D",LEFT(UPPER(C2900)&amp;REPT(" ",10),10)," ")</f>
        <v/>
      </c>
      <c r="T2900" s="10">
        <f>IF(A2900="D",LEFT(UPPER(D2900)&amp;REPT(" ",2),2)," ")</f>
        <v/>
      </c>
      <c r="U2900" s="10">
        <f>IF(A2900="D",LEFT(UPPER(E2900)&amp;REPT(" ",15),15)," ")</f>
        <v/>
      </c>
      <c r="V2900" s="10">
        <f>REPT(" ",24)</f>
        <v/>
      </c>
      <c r="W2900" s="10">
        <f>IF(A2900="c",LEFT(UPPER(B2900)&amp;REPT(" ",20),20),REPT(" ",20))</f>
        <v/>
      </c>
      <c r="X2900" s="10">
        <f>IF(A2900="C",LEFT(UPPER(C2900)&amp;REPT(" ",10),10)," ")</f>
        <v/>
      </c>
      <c r="Y2900" s="10">
        <f>IF(A2900="C",LEFT(UPPER(D2900)&amp;REPT(" ",2),2)," ")</f>
        <v/>
      </c>
      <c r="Z2900" s="10">
        <f>IF(A2900="C",LEFT(UPPER(E2900)&amp;REPT(" ",15),15)," ")</f>
        <v/>
      </c>
      <c r="AA2900" s="10">
        <f>REPT(" ",8)</f>
        <v/>
      </c>
      <c r="AB2900" s="10">
        <f>REPT(" ",4)</f>
        <v/>
      </c>
      <c r="AC2900" s="10">
        <f>LEFT(UPPER(H2900)&amp;REPT(" ",250),250)</f>
        <v/>
      </c>
      <c r="AD2900" s="10">
        <f>TEXT($G$2,"dd/mm/aaaa")</f>
        <v/>
      </c>
      <c r="AE2900" s="10">
        <f>REPT(" ",10)</f>
        <v/>
      </c>
      <c r="AF2900" s="10">
        <f>REPT(" ",20)</f>
        <v/>
      </c>
      <c r="AG2900" s="54">
        <f>REPT(" ",18-LEN(FIXED(F2900,2,TRUE)))&amp;FIXED(F2900,2,TRUE)</f>
        <v/>
      </c>
      <c r="AH2900" s="10">
        <f>LEN(AC2900)+LEN(AG2900)</f>
        <v/>
      </c>
      <c r="AI2900" s="10">
        <f>LEN(L2900)</f>
        <v/>
      </c>
    </row>
    <row r="2901">
      <c r="J2901" s="12">
        <f>IF(F2901&lt;&gt;0,"LANÇAR","")</f>
        <v/>
      </c>
      <c r="L2901" s="13">
        <f>N2901&amp;O2901&amp;P2901&amp;Q2901&amp;R2901&amp;S2901&amp;T2901&amp;U2901&amp;V2901&amp;W2901&amp;X2901&amp;Y2901&amp;Z2901&amp;AA2901&amp;AB2901&amp;AC2901&amp;AD2901&amp;AE2901&amp;AF2901&amp;AG2901</f>
        <v/>
      </c>
      <c r="N2901" s="10">
        <f>TEXT($B$6,"00")</f>
        <v/>
      </c>
      <c r="O2901" s="10">
        <f>REPT(" ",8)</f>
        <v/>
      </c>
      <c r="P2901" s="10">
        <f>RIGHT($B$4,2)</f>
        <v/>
      </c>
      <c r="Q2901" s="10">
        <f>RIGHT($B$5,3)</f>
        <v/>
      </c>
      <c r="R2901" s="10">
        <f>IF(A2901="D",LEFT(UPPER(B2901)&amp;REPT(" ",20),20),REPT(" ",20))</f>
        <v/>
      </c>
      <c r="S2901" s="10">
        <f>IF(A2901="D",LEFT(UPPER(C2901)&amp;REPT(" ",10),10)," ")</f>
        <v/>
      </c>
      <c r="T2901" s="10">
        <f>IF(A2901="D",LEFT(UPPER(D2901)&amp;REPT(" ",2),2)," ")</f>
        <v/>
      </c>
      <c r="U2901" s="10">
        <f>IF(A2901="D",LEFT(UPPER(E2901)&amp;REPT(" ",15),15)," ")</f>
        <v/>
      </c>
      <c r="V2901" s="10">
        <f>REPT(" ",24)</f>
        <v/>
      </c>
      <c r="W2901" s="10">
        <f>IF(A2901="c",LEFT(UPPER(B2901)&amp;REPT(" ",20),20),REPT(" ",20))</f>
        <v/>
      </c>
      <c r="X2901" s="10">
        <f>IF(A2901="C",LEFT(UPPER(C2901)&amp;REPT(" ",10),10)," ")</f>
        <v/>
      </c>
      <c r="Y2901" s="10">
        <f>IF(A2901="C",LEFT(UPPER(D2901)&amp;REPT(" ",2),2)," ")</f>
        <v/>
      </c>
      <c r="Z2901" s="10">
        <f>IF(A2901="C",LEFT(UPPER(E2901)&amp;REPT(" ",15),15)," ")</f>
        <v/>
      </c>
      <c r="AA2901" s="10">
        <f>REPT(" ",8)</f>
        <v/>
      </c>
      <c r="AB2901" s="10">
        <f>REPT(" ",4)</f>
        <v/>
      </c>
      <c r="AC2901" s="10">
        <f>LEFT(UPPER(H2901)&amp;REPT(" ",250),250)</f>
        <v/>
      </c>
      <c r="AD2901" s="10">
        <f>TEXT($G$2,"dd/mm/aaaa")</f>
        <v/>
      </c>
      <c r="AE2901" s="10">
        <f>REPT(" ",10)</f>
        <v/>
      </c>
      <c r="AF2901" s="10">
        <f>REPT(" ",20)</f>
        <v/>
      </c>
      <c r="AG2901" s="54">
        <f>REPT(" ",18-LEN(FIXED(F2901,2,TRUE)))&amp;FIXED(F2901,2,TRUE)</f>
        <v/>
      </c>
      <c r="AH2901" s="10">
        <f>LEN(AC2901)+LEN(AG2901)</f>
        <v/>
      </c>
      <c r="AI2901" s="10">
        <f>LEN(L2901)</f>
        <v/>
      </c>
    </row>
    <row r="2902">
      <c r="J2902" s="12">
        <f>IF(F2902&lt;&gt;0,"LANÇAR","")</f>
        <v/>
      </c>
      <c r="L2902" s="13">
        <f>N2902&amp;O2902&amp;P2902&amp;Q2902&amp;R2902&amp;S2902&amp;T2902&amp;U2902&amp;V2902&amp;W2902&amp;X2902&amp;Y2902&amp;Z2902&amp;AA2902&amp;AB2902&amp;AC2902&amp;AD2902&amp;AE2902&amp;AF2902&amp;AG2902</f>
        <v/>
      </c>
      <c r="N2902" s="10">
        <f>TEXT($B$6,"00")</f>
        <v/>
      </c>
      <c r="O2902" s="10">
        <f>REPT(" ",8)</f>
        <v/>
      </c>
      <c r="P2902" s="10">
        <f>RIGHT($B$4,2)</f>
        <v/>
      </c>
      <c r="Q2902" s="10">
        <f>RIGHT($B$5,3)</f>
        <v/>
      </c>
      <c r="R2902" s="10">
        <f>IF(A2902="D",LEFT(UPPER(B2902)&amp;REPT(" ",20),20),REPT(" ",20))</f>
        <v/>
      </c>
      <c r="S2902" s="10">
        <f>IF(A2902="D",LEFT(UPPER(C2902)&amp;REPT(" ",10),10)," ")</f>
        <v/>
      </c>
      <c r="T2902" s="10">
        <f>IF(A2902="D",LEFT(UPPER(D2902)&amp;REPT(" ",2),2)," ")</f>
        <v/>
      </c>
      <c r="U2902" s="10">
        <f>IF(A2902="D",LEFT(UPPER(E2902)&amp;REPT(" ",15),15)," ")</f>
        <v/>
      </c>
      <c r="V2902" s="10">
        <f>REPT(" ",24)</f>
        <v/>
      </c>
      <c r="W2902" s="10">
        <f>IF(A2902="c",LEFT(UPPER(B2902)&amp;REPT(" ",20),20),REPT(" ",20))</f>
        <v/>
      </c>
      <c r="X2902" s="10">
        <f>IF(A2902="C",LEFT(UPPER(C2902)&amp;REPT(" ",10),10)," ")</f>
        <v/>
      </c>
      <c r="Y2902" s="10">
        <f>IF(A2902="C",LEFT(UPPER(D2902)&amp;REPT(" ",2),2)," ")</f>
        <v/>
      </c>
      <c r="Z2902" s="10">
        <f>IF(A2902="C",LEFT(UPPER(E2902)&amp;REPT(" ",15),15)," ")</f>
        <v/>
      </c>
      <c r="AA2902" s="10">
        <f>REPT(" ",8)</f>
        <v/>
      </c>
      <c r="AB2902" s="10">
        <f>REPT(" ",4)</f>
        <v/>
      </c>
      <c r="AC2902" s="10">
        <f>LEFT(UPPER(H2902)&amp;REPT(" ",250),250)</f>
        <v/>
      </c>
      <c r="AD2902" s="10">
        <f>TEXT($G$2,"dd/mm/aaaa")</f>
        <v/>
      </c>
      <c r="AE2902" s="10">
        <f>REPT(" ",10)</f>
        <v/>
      </c>
      <c r="AF2902" s="10">
        <f>REPT(" ",20)</f>
        <v/>
      </c>
      <c r="AG2902" s="54">
        <f>REPT(" ",18-LEN(FIXED(F2902,2,TRUE)))&amp;FIXED(F2902,2,TRUE)</f>
        <v/>
      </c>
      <c r="AH2902" s="10">
        <f>LEN(AC2902)+LEN(AG2902)</f>
        <v/>
      </c>
      <c r="AI2902" s="10">
        <f>LEN(L2902)</f>
        <v/>
      </c>
    </row>
    <row r="2903">
      <c r="J2903" s="12">
        <f>IF(F2903&lt;&gt;0,"LANÇAR","")</f>
        <v/>
      </c>
      <c r="L2903" s="13">
        <f>N2903&amp;O2903&amp;P2903&amp;Q2903&amp;R2903&amp;S2903&amp;T2903&amp;U2903&amp;V2903&amp;W2903&amp;X2903&amp;Y2903&amp;Z2903&amp;AA2903&amp;AB2903&amp;AC2903&amp;AD2903&amp;AE2903&amp;AF2903&amp;AG2903</f>
        <v/>
      </c>
      <c r="N2903" s="10">
        <f>TEXT($B$6,"00")</f>
        <v/>
      </c>
      <c r="O2903" s="10">
        <f>REPT(" ",8)</f>
        <v/>
      </c>
      <c r="P2903" s="10">
        <f>RIGHT($B$4,2)</f>
        <v/>
      </c>
      <c r="Q2903" s="10">
        <f>RIGHT($B$5,3)</f>
        <v/>
      </c>
      <c r="R2903" s="10">
        <f>IF(A2903="D",LEFT(UPPER(B2903)&amp;REPT(" ",20),20),REPT(" ",20))</f>
        <v/>
      </c>
      <c r="S2903" s="10">
        <f>IF(A2903="D",LEFT(UPPER(C2903)&amp;REPT(" ",10),10)," ")</f>
        <v/>
      </c>
      <c r="T2903" s="10">
        <f>IF(A2903="D",LEFT(UPPER(D2903)&amp;REPT(" ",2),2)," ")</f>
        <v/>
      </c>
      <c r="U2903" s="10">
        <f>IF(A2903="D",LEFT(UPPER(E2903)&amp;REPT(" ",15),15)," ")</f>
        <v/>
      </c>
      <c r="V2903" s="10">
        <f>REPT(" ",24)</f>
        <v/>
      </c>
      <c r="W2903" s="10">
        <f>IF(A2903="c",LEFT(UPPER(B2903)&amp;REPT(" ",20),20),REPT(" ",20))</f>
        <v/>
      </c>
      <c r="X2903" s="10">
        <f>IF(A2903="C",LEFT(UPPER(C2903)&amp;REPT(" ",10),10)," ")</f>
        <v/>
      </c>
      <c r="Y2903" s="10">
        <f>IF(A2903="C",LEFT(UPPER(D2903)&amp;REPT(" ",2),2)," ")</f>
        <v/>
      </c>
      <c r="Z2903" s="10">
        <f>IF(A2903="C",LEFT(UPPER(E2903)&amp;REPT(" ",15),15)," ")</f>
        <v/>
      </c>
      <c r="AA2903" s="10">
        <f>REPT(" ",8)</f>
        <v/>
      </c>
      <c r="AB2903" s="10">
        <f>REPT(" ",4)</f>
        <v/>
      </c>
      <c r="AC2903" s="10">
        <f>LEFT(UPPER(H2903)&amp;REPT(" ",250),250)</f>
        <v/>
      </c>
      <c r="AD2903" s="10">
        <f>TEXT($G$2,"dd/mm/aaaa")</f>
        <v/>
      </c>
      <c r="AE2903" s="10">
        <f>REPT(" ",10)</f>
        <v/>
      </c>
      <c r="AF2903" s="10">
        <f>REPT(" ",20)</f>
        <v/>
      </c>
      <c r="AG2903" s="54">
        <f>REPT(" ",18-LEN(FIXED(F2903,2,TRUE)))&amp;FIXED(F2903,2,TRUE)</f>
        <v/>
      </c>
      <c r="AH2903" s="10">
        <f>LEN(AC2903)+LEN(AG2903)</f>
        <v/>
      </c>
      <c r="AI2903" s="10">
        <f>LEN(L2903)</f>
        <v/>
      </c>
    </row>
    <row r="2904">
      <c r="J2904" s="12">
        <f>IF(F2904&lt;&gt;0,"LANÇAR","")</f>
        <v/>
      </c>
      <c r="L2904" s="13">
        <f>N2904&amp;O2904&amp;P2904&amp;Q2904&amp;R2904&amp;S2904&amp;T2904&amp;U2904&amp;V2904&amp;W2904&amp;X2904&amp;Y2904&amp;Z2904&amp;AA2904&amp;AB2904&amp;AC2904&amp;AD2904&amp;AE2904&amp;AF2904&amp;AG2904</f>
        <v/>
      </c>
      <c r="N2904" s="10">
        <f>TEXT($B$6,"00")</f>
        <v/>
      </c>
      <c r="O2904" s="10">
        <f>REPT(" ",8)</f>
        <v/>
      </c>
      <c r="P2904" s="10">
        <f>RIGHT($B$4,2)</f>
        <v/>
      </c>
      <c r="Q2904" s="10">
        <f>RIGHT($B$5,3)</f>
        <v/>
      </c>
      <c r="R2904" s="10">
        <f>IF(A2904="D",LEFT(UPPER(B2904)&amp;REPT(" ",20),20),REPT(" ",20))</f>
        <v/>
      </c>
      <c r="S2904" s="10">
        <f>IF(A2904="D",LEFT(UPPER(C2904)&amp;REPT(" ",10),10)," ")</f>
        <v/>
      </c>
      <c r="T2904" s="10">
        <f>IF(A2904="D",LEFT(UPPER(D2904)&amp;REPT(" ",2),2)," ")</f>
        <v/>
      </c>
      <c r="U2904" s="10">
        <f>IF(A2904="D",LEFT(UPPER(E2904)&amp;REPT(" ",15),15)," ")</f>
        <v/>
      </c>
      <c r="V2904" s="10">
        <f>REPT(" ",24)</f>
        <v/>
      </c>
      <c r="W2904" s="10">
        <f>IF(A2904="c",LEFT(UPPER(B2904)&amp;REPT(" ",20),20),REPT(" ",20))</f>
        <v/>
      </c>
      <c r="X2904" s="10">
        <f>IF(A2904="C",LEFT(UPPER(C2904)&amp;REPT(" ",10),10)," ")</f>
        <v/>
      </c>
      <c r="Y2904" s="10">
        <f>IF(A2904="C",LEFT(UPPER(D2904)&amp;REPT(" ",2),2)," ")</f>
        <v/>
      </c>
      <c r="Z2904" s="10">
        <f>IF(A2904="C",LEFT(UPPER(E2904)&amp;REPT(" ",15),15)," ")</f>
        <v/>
      </c>
      <c r="AA2904" s="10">
        <f>REPT(" ",8)</f>
        <v/>
      </c>
      <c r="AB2904" s="10">
        <f>REPT(" ",4)</f>
        <v/>
      </c>
      <c r="AC2904" s="10">
        <f>LEFT(UPPER(H2904)&amp;REPT(" ",250),250)</f>
        <v/>
      </c>
      <c r="AD2904" s="10">
        <f>TEXT($G$2,"dd/mm/aaaa")</f>
        <v/>
      </c>
      <c r="AE2904" s="10">
        <f>REPT(" ",10)</f>
        <v/>
      </c>
      <c r="AF2904" s="10">
        <f>REPT(" ",20)</f>
        <v/>
      </c>
      <c r="AG2904" s="54">
        <f>REPT(" ",18-LEN(FIXED(F2904,2,TRUE)))&amp;FIXED(F2904,2,TRUE)</f>
        <v/>
      </c>
      <c r="AH2904" s="10">
        <f>LEN(AC2904)+LEN(AG2904)</f>
        <v/>
      </c>
      <c r="AI2904" s="10">
        <f>LEN(L2904)</f>
        <v/>
      </c>
    </row>
    <row r="2905">
      <c r="J2905" s="12">
        <f>IF(F2905&lt;&gt;0,"LANÇAR","")</f>
        <v/>
      </c>
      <c r="L2905" s="13">
        <f>N2905&amp;O2905&amp;P2905&amp;Q2905&amp;R2905&amp;S2905&amp;T2905&amp;U2905&amp;V2905&amp;W2905&amp;X2905&amp;Y2905&amp;Z2905&amp;AA2905&amp;AB2905&amp;AC2905&amp;AD2905&amp;AE2905&amp;AF2905&amp;AG2905</f>
        <v/>
      </c>
      <c r="N2905" s="10">
        <f>TEXT($B$6,"00")</f>
        <v/>
      </c>
      <c r="O2905" s="10">
        <f>REPT(" ",8)</f>
        <v/>
      </c>
      <c r="P2905" s="10">
        <f>RIGHT($B$4,2)</f>
        <v/>
      </c>
      <c r="Q2905" s="10">
        <f>RIGHT($B$5,3)</f>
        <v/>
      </c>
      <c r="R2905" s="10">
        <f>IF(A2905="D",LEFT(UPPER(B2905)&amp;REPT(" ",20),20),REPT(" ",20))</f>
        <v/>
      </c>
      <c r="S2905" s="10">
        <f>IF(A2905="D",LEFT(UPPER(C2905)&amp;REPT(" ",10),10)," ")</f>
        <v/>
      </c>
      <c r="T2905" s="10">
        <f>IF(A2905="D",LEFT(UPPER(D2905)&amp;REPT(" ",2),2)," ")</f>
        <v/>
      </c>
      <c r="U2905" s="10">
        <f>IF(A2905="D",LEFT(UPPER(E2905)&amp;REPT(" ",15),15)," ")</f>
        <v/>
      </c>
      <c r="V2905" s="10">
        <f>REPT(" ",24)</f>
        <v/>
      </c>
      <c r="W2905" s="10">
        <f>IF(A2905="c",LEFT(UPPER(B2905)&amp;REPT(" ",20),20),REPT(" ",20))</f>
        <v/>
      </c>
      <c r="X2905" s="10">
        <f>IF(A2905="C",LEFT(UPPER(C2905)&amp;REPT(" ",10),10)," ")</f>
        <v/>
      </c>
      <c r="Y2905" s="10">
        <f>IF(A2905="C",LEFT(UPPER(D2905)&amp;REPT(" ",2),2)," ")</f>
        <v/>
      </c>
      <c r="Z2905" s="10">
        <f>IF(A2905="C",LEFT(UPPER(E2905)&amp;REPT(" ",15),15)," ")</f>
        <v/>
      </c>
      <c r="AA2905" s="10">
        <f>REPT(" ",8)</f>
        <v/>
      </c>
      <c r="AB2905" s="10">
        <f>REPT(" ",4)</f>
        <v/>
      </c>
      <c r="AC2905" s="10">
        <f>LEFT(UPPER(H2905)&amp;REPT(" ",250),250)</f>
        <v/>
      </c>
      <c r="AD2905" s="10">
        <f>TEXT($G$2,"dd/mm/aaaa")</f>
        <v/>
      </c>
      <c r="AE2905" s="10">
        <f>REPT(" ",10)</f>
        <v/>
      </c>
      <c r="AF2905" s="10">
        <f>REPT(" ",20)</f>
        <v/>
      </c>
      <c r="AG2905" s="54">
        <f>REPT(" ",18-LEN(FIXED(F2905,2,TRUE)))&amp;FIXED(F2905,2,TRUE)</f>
        <v/>
      </c>
      <c r="AH2905" s="10">
        <f>LEN(AC2905)+LEN(AG2905)</f>
        <v/>
      </c>
      <c r="AI2905" s="10">
        <f>LEN(L2905)</f>
        <v/>
      </c>
    </row>
    <row r="2906">
      <c r="J2906" s="12">
        <f>IF(F2906&lt;&gt;0,"LANÇAR","")</f>
        <v/>
      </c>
      <c r="L2906" s="13">
        <f>N2906&amp;O2906&amp;P2906&amp;Q2906&amp;R2906&amp;S2906&amp;T2906&amp;U2906&amp;V2906&amp;W2906&amp;X2906&amp;Y2906&amp;Z2906&amp;AA2906&amp;AB2906&amp;AC2906&amp;AD2906&amp;AE2906&amp;AF2906&amp;AG2906</f>
        <v/>
      </c>
      <c r="N2906" s="10">
        <f>TEXT($B$6,"00")</f>
        <v/>
      </c>
      <c r="O2906" s="10">
        <f>REPT(" ",8)</f>
        <v/>
      </c>
      <c r="P2906" s="10">
        <f>RIGHT($B$4,2)</f>
        <v/>
      </c>
      <c r="Q2906" s="10">
        <f>RIGHT($B$5,3)</f>
        <v/>
      </c>
      <c r="R2906" s="10">
        <f>IF(A2906="D",LEFT(UPPER(B2906)&amp;REPT(" ",20),20),REPT(" ",20))</f>
        <v/>
      </c>
      <c r="S2906" s="10">
        <f>IF(A2906="D",LEFT(UPPER(C2906)&amp;REPT(" ",10),10)," ")</f>
        <v/>
      </c>
      <c r="T2906" s="10">
        <f>IF(A2906="D",LEFT(UPPER(D2906)&amp;REPT(" ",2),2)," ")</f>
        <v/>
      </c>
      <c r="U2906" s="10">
        <f>IF(A2906="D",LEFT(UPPER(E2906)&amp;REPT(" ",15),15)," ")</f>
        <v/>
      </c>
      <c r="V2906" s="10">
        <f>REPT(" ",24)</f>
        <v/>
      </c>
      <c r="W2906" s="10">
        <f>IF(A2906="c",LEFT(UPPER(B2906)&amp;REPT(" ",20),20),REPT(" ",20))</f>
        <v/>
      </c>
      <c r="X2906" s="10">
        <f>IF(A2906="C",LEFT(UPPER(C2906)&amp;REPT(" ",10),10)," ")</f>
        <v/>
      </c>
      <c r="Y2906" s="10">
        <f>IF(A2906="C",LEFT(UPPER(D2906)&amp;REPT(" ",2),2)," ")</f>
        <v/>
      </c>
      <c r="Z2906" s="10">
        <f>IF(A2906="C",LEFT(UPPER(E2906)&amp;REPT(" ",15),15)," ")</f>
        <v/>
      </c>
      <c r="AA2906" s="10">
        <f>REPT(" ",8)</f>
        <v/>
      </c>
      <c r="AB2906" s="10">
        <f>REPT(" ",4)</f>
        <v/>
      </c>
      <c r="AC2906" s="10">
        <f>LEFT(UPPER(H2906)&amp;REPT(" ",250),250)</f>
        <v/>
      </c>
      <c r="AD2906" s="10">
        <f>TEXT($G$2,"dd/mm/aaaa")</f>
        <v/>
      </c>
      <c r="AE2906" s="10">
        <f>REPT(" ",10)</f>
        <v/>
      </c>
      <c r="AF2906" s="10">
        <f>REPT(" ",20)</f>
        <v/>
      </c>
      <c r="AG2906" s="54">
        <f>REPT(" ",18-LEN(FIXED(F2906,2,TRUE)))&amp;FIXED(F2906,2,TRUE)</f>
        <v/>
      </c>
      <c r="AH2906" s="10">
        <f>LEN(AC2906)+LEN(AG2906)</f>
        <v/>
      </c>
      <c r="AI2906" s="10">
        <f>LEN(L2906)</f>
        <v/>
      </c>
    </row>
    <row r="2907">
      <c r="J2907" s="12">
        <f>IF(F2907&lt;&gt;0,"LANÇAR","")</f>
        <v/>
      </c>
      <c r="L2907" s="13">
        <f>N2907&amp;O2907&amp;P2907&amp;Q2907&amp;R2907&amp;S2907&amp;T2907&amp;U2907&amp;V2907&amp;W2907&amp;X2907&amp;Y2907&amp;Z2907&amp;AA2907&amp;AB2907&amp;AC2907&amp;AD2907&amp;AE2907&amp;AF2907&amp;AG2907</f>
        <v/>
      </c>
      <c r="N2907" s="10">
        <f>TEXT($B$6,"00")</f>
        <v/>
      </c>
      <c r="O2907" s="10">
        <f>REPT(" ",8)</f>
        <v/>
      </c>
      <c r="P2907" s="10">
        <f>RIGHT($B$4,2)</f>
        <v/>
      </c>
      <c r="Q2907" s="10">
        <f>RIGHT($B$5,3)</f>
        <v/>
      </c>
      <c r="R2907" s="10">
        <f>IF(A2907="D",LEFT(UPPER(B2907)&amp;REPT(" ",20),20),REPT(" ",20))</f>
        <v/>
      </c>
      <c r="S2907" s="10">
        <f>IF(A2907="D",LEFT(UPPER(C2907)&amp;REPT(" ",10),10)," ")</f>
        <v/>
      </c>
      <c r="T2907" s="10">
        <f>IF(A2907="D",LEFT(UPPER(D2907)&amp;REPT(" ",2),2)," ")</f>
        <v/>
      </c>
      <c r="U2907" s="10">
        <f>IF(A2907="D",LEFT(UPPER(E2907)&amp;REPT(" ",15),15)," ")</f>
        <v/>
      </c>
      <c r="V2907" s="10">
        <f>REPT(" ",24)</f>
        <v/>
      </c>
      <c r="W2907" s="10">
        <f>IF(A2907="c",LEFT(UPPER(B2907)&amp;REPT(" ",20),20),REPT(" ",20))</f>
        <v/>
      </c>
      <c r="X2907" s="10">
        <f>IF(A2907="C",LEFT(UPPER(C2907)&amp;REPT(" ",10),10)," ")</f>
        <v/>
      </c>
      <c r="Y2907" s="10">
        <f>IF(A2907="C",LEFT(UPPER(D2907)&amp;REPT(" ",2),2)," ")</f>
        <v/>
      </c>
      <c r="Z2907" s="10">
        <f>IF(A2907="C",LEFT(UPPER(E2907)&amp;REPT(" ",15),15)," ")</f>
        <v/>
      </c>
      <c r="AA2907" s="10">
        <f>REPT(" ",8)</f>
        <v/>
      </c>
      <c r="AB2907" s="10">
        <f>REPT(" ",4)</f>
        <v/>
      </c>
      <c r="AC2907" s="10">
        <f>LEFT(UPPER(H2907)&amp;REPT(" ",250),250)</f>
        <v/>
      </c>
      <c r="AD2907" s="10">
        <f>TEXT($G$2,"dd/mm/aaaa")</f>
        <v/>
      </c>
      <c r="AE2907" s="10">
        <f>REPT(" ",10)</f>
        <v/>
      </c>
      <c r="AF2907" s="10">
        <f>REPT(" ",20)</f>
        <v/>
      </c>
      <c r="AG2907" s="54">
        <f>REPT(" ",18-LEN(FIXED(F2907,2,TRUE)))&amp;FIXED(F2907,2,TRUE)</f>
        <v/>
      </c>
      <c r="AH2907" s="10">
        <f>LEN(AC2907)+LEN(AG2907)</f>
        <v/>
      </c>
      <c r="AI2907" s="10">
        <f>LEN(L2907)</f>
        <v/>
      </c>
    </row>
    <row r="2908">
      <c r="J2908" s="12">
        <f>IF(F2908&lt;&gt;0,"LANÇAR","")</f>
        <v/>
      </c>
      <c r="L2908" s="13">
        <f>N2908&amp;O2908&amp;P2908&amp;Q2908&amp;R2908&amp;S2908&amp;T2908&amp;U2908&amp;V2908&amp;W2908&amp;X2908&amp;Y2908&amp;Z2908&amp;AA2908&amp;AB2908&amp;AC2908&amp;AD2908&amp;AE2908&amp;AF2908&amp;AG2908</f>
        <v/>
      </c>
      <c r="N2908" s="10">
        <f>TEXT($B$6,"00")</f>
        <v/>
      </c>
      <c r="O2908" s="10">
        <f>REPT(" ",8)</f>
        <v/>
      </c>
      <c r="P2908" s="10">
        <f>RIGHT($B$4,2)</f>
        <v/>
      </c>
      <c r="Q2908" s="10">
        <f>RIGHT($B$5,3)</f>
        <v/>
      </c>
      <c r="R2908" s="10">
        <f>IF(A2908="D",LEFT(UPPER(B2908)&amp;REPT(" ",20),20),REPT(" ",20))</f>
        <v/>
      </c>
      <c r="S2908" s="10">
        <f>IF(A2908="D",LEFT(UPPER(C2908)&amp;REPT(" ",10),10)," ")</f>
        <v/>
      </c>
      <c r="T2908" s="10">
        <f>IF(A2908="D",LEFT(UPPER(D2908)&amp;REPT(" ",2),2)," ")</f>
        <v/>
      </c>
      <c r="U2908" s="10">
        <f>IF(A2908="D",LEFT(UPPER(E2908)&amp;REPT(" ",15),15)," ")</f>
        <v/>
      </c>
      <c r="V2908" s="10">
        <f>REPT(" ",24)</f>
        <v/>
      </c>
      <c r="W2908" s="10">
        <f>IF(A2908="c",LEFT(UPPER(B2908)&amp;REPT(" ",20),20),REPT(" ",20))</f>
        <v/>
      </c>
      <c r="X2908" s="10">
        <f>IF(A2908="C",LEFT(UPPER(C2908)&amp;REPT(" ",10),10)," ")</f>
        <v/>
      </c>
      <c r="Y2908" s="10">
        <f>IF(A2908="C",LEFT(UPPER(D2908)&amp;REPT(" ",2),2)," ")</f>
        <v/>
      </c>
      <c r="Z2908" s="10">
        <f>IF(A2908="C",LEFT(UPPER(E2908)&amp;REPT(" ",15),15)," ")</f>
        <v/>
      </c>
      <c r="AA2908" s="10">
        <f>REPT(" ",8)</f>
        <v/>
      </c>
      <c r="AB2908" s="10">
        <f>REPT(" ",4)</f>
        <v/>
      </c>
      <c r="AC2908" s="10">
        <f>LEFT(UPPER(H2908)&amp;REPT(" ",250),250)</f>
        <v/>
      </c>
      <c r="AD2908" s="10">
        <f>TEXT($G$2,"dd/mm/aaaa")</f>
        <v/>
      </c>
      <c r="AE2908" s="10">
        <f>REPT(" ",10)</f>
        <v/>
      </c>
      <c r="AF2908" s="10">
        <f>REPT(" ",20)</f>
        <v/>
      </c>
      <c r="AG2908" s="54">
        <f>REPT(" ",18-LEN(FIXED(F2908,2,TRUE)))&amp;FIXED(F2908,2,TRUE)</f>
        <v/>
      </c>
      <c r="AH2908" s="10">
        <f>LEN(AC2908)+LEN(AG2908)</f>
        <v/>
      </c>
      <c r="AI2908" s="10">
        <f>LEN(L2908)</f>
        <v/>
      </c>
    </row>
    <row r="2909">
      <c r="J2909" s="12">
        <f>IF(F2909&lt;&gt;0,"LANÇAR","")</f>
        <v/>
      </c>
      <c r="L2909" s="13">
        <f>N2909&amp;O2909&amp;P2909&amp;Q2909&amp;R2909&amp;S2909&amp;T2909&amp;U2909&amp;V2909&amp;W2909&amp;X2909&amp;Y2909&amp;Z2909&amp;AA2909&amp;AB2909&amp;AC2909&amp;AD2909&amp;AE2909&amp;AF2909&amp;AG2909</f>
        <v/>
      </c>
      <c r="N2909" s="10">
        <f>TEXT($B$6,"00")</f>
        <v/>
      </c>
      <c r="O2909" s="10">
        <f>REPT(" ",8)</f>
        <v/>
      </c>
      <c r="P2909" s="10">
        <f>RIGHT($B$4,2)</f>
        <v/>
      </c>
      <c r="Q2909" s="10">
        <f>RIGHT($B$5,3)</f>
        <v/>
      </c>
      <c r="R2909" s="10">
        <f>IF(A2909="D",LEFT(UPPER(B2909)&amp;REPT(" ",20),20),REPT(" ",20))</f>
        <v/>
      </c>
      <c r="S2909" s="10">
        <f>IF(A2909="D",LEFT(UPPER(C2909)&amp;REPT(" ",10),10)," ")</f>
        <v/>
      </c>
      <c r="T2909" s="10">
        <f>IF(A2909="D",LEFT(UPPER(D2909)&amp;REPT(" ",2),2)," ")</f>
        <v/>
      </c>
      <c r="U2909" s="10">
        <f>IF(A2909="D",LEFT(UPPER(E2909)&amp;REPT(" ",15),15)," ")</f>
        <v/>
      </c>
      <c r="V2909" s="10">
        <f>REPT(" ",24)</f>
        <v/>
      </c>
      <c r="W2909" s="10">
        <f>IF(A2909="c",LEFT(UPPER(B2909)&amp;REPT(" ",20),20),REPT(" ",20))</f>
        <v/>
      </c>
      <c r="X2909" s="10">
        <f>IF(A2909="C",LEFT(UPPER(C2909)&amp;REPT(" ",10),10)," ")</f>
        <v/>
      </c>
      <c r="Y2909" s="10">
        <f>IF(A2909="C",LEFT(UPPER(D2909)&amp;REPT(" ",2),2)," ")</f>
        <v/>
      </c>
      <c r="Z2909" s="10">
        <f>IF(A2909="C",LEFT(UPPER(E2909)&amp;REPT(" ",15),15)," ")</f>
        <v/>
      </c>
      <c r="AA2909" s="10">
        <f>REPT(" ",8)</f>
        <v/>
      </c>
      <c r="AB2909" s="10">
        <f>REPT(" ",4)</f>
        <v/>
      </c>
      <c r="AC2909" s="10">
        <f>LEFT(UPPER(H2909)&amp;REPT(" ",250),250)</f>
        <v/>
      </c>
      <c r="AD2909" s="10">
        <f>TEXT($G$2,"dd/mm/aaaa")</f>
        <v/>
      </c>
      <c r="AE2909" s="10">
        <f>REPT(" ",10)</f>
        <v/>
      </c>
      <c r="AF2909" s="10">
        <f>REPT(" ",20)</f>
        <v/>
      </c>
      <c r="AG2909" s="54">
        <f>REPT(" ",18-LEN(FIXED(F2909,2,TRUE)))&amp;FIXED(F2909,2,TRUE)</f>
        <v/>
      </c>
      <c r="AH2909" s="10">
        <f>LEN(AC2909)+LEN(AG2909)</f>
        <v/>
      </c>
      <c r="AI2909" s="10">
        <f>LEN(L2909)</f>
        <v/>
      </c>
    </row>
    <row r="2910">
      <c r="J2910" s="12">
        <f>IF(F2910&lt;&gt;0,"LANÇAR","")</f>
        <v/>
      </c>
      <c r="L2910" s="13">
        <f>N2910&amp;O2910&amp;P2910&amp;Q2910&amp;R2910&amp;S2910&amp;T2910&amp;U2910&amp;V2910&amp;W2910&amp;X2910&amp;Y2910&amp;Z2910&amp;AA2910&amp;AB2910&amp;AC2910&amp;AD2910&amp;AE2910&amp;AF2910&amp;AG2910</f>
        <v/>
      </c>
      <c r="N2910" s="10">
        <f>TEXT($B$6,"00")</f>
        <v/>
      </c>
      <c r="O2910" s="10">
        <f>REPT(" ",8)</f>
        <v/>
      </c>
      <c r="P2910" s="10">
        <f>RIGHT($B$4,2)</f>
        <v/>
      </c>
      <c r="Q2910" s="10">
        <f>RIGHT($B$5,3)</f>
        <v/>
      </c>
      <c r="R2910" s="10">
        <f>IF(A2910="D",LEFT(UPPER(B2910)&amp;REPT(" ",20),20),REPT(" ",20))</f>
        <v/>
      </c>
      <c r="S2910" s="10">
        <f>IF(A2910="D",LEFT(UPPER(C2910)&amp;REPT(" ",10),10)," ")</f>
        <v/>
      </c>
      <c r="T2910" s="10">
        <f>IF(A2910="D",LEFT(UPPER(D2910)&amp;REPT(" ",2),2)," ")</f>
        <v/>
      </c>
      <c r="U2910" s="10">
        <f>IF(A2910="D",LEFT(UPPER(E2910)&amp;REPT(" ",15),15)," ")</f>
        <v/>
      </c>
      <c r="V2910" s="10">
        <f>REPT(" ",24)</f>
        <v/>
      </c>
      <c r="W2910" s="10">
        <f>IF(A2910="c",LEFT(UPPER(B2910)&amp;REPT(" ",20),20),REPT(" ",20))</f>
        <v/>
      </c>
      <c r="X2910" s="10">
        <f>IF(A2910="C",LEFT(UPPER(C2910)&amp;REPT(" ",10),10)," ")</f>
        <v/>
      </c>
      <c r="Y2910" s="10">
        <f>IF(A2910="C",LEFT(UPPER(D2910)&amp;REPT(" ",2),2)," ")</f>
        <v/>
      </c>
      <c r="Z2910" s="10">
        <f>IF(A2910="C",LEFT(UPPER(E2910)&amp;REPT(" ",15),15)," ")</f>
        <v/>
      </c>
      <c r="AA2910" s="10">
        <f>REPT(" ",8)</f>
        <v/>
      </c>
      <c r="AB2910" s="10">
        <f>REPT(" ",4)</f>
        <v/>
      </c>
      <c r="AC2910" s="10">
        <f>LEFT(UPPER(H2910)&amp;REPT(" ",250),250)</f>
        <v/>
      </c>
      <c r="AD2910" s="10">
        <f>TEXT($G$2,"dd/mm/aaaa")</f>
        <v/>
      </c>
      <c r="AE2910" s="10">
        <f>REPT(" ",10)</f>
        <v/>
      </c>
      <c r="AF2910" s="10">
        <f>REPT(" ",20)</f>
        <v/>
      </c>
      <c r="AG2910" s="54">
        <f>REPT(" ",18-LEN(FIXED(F2910,2,TRUE)))&amp;FIXED(F2910,2,TRUE)</f>
        <v/>
      </c>
      <c r="AH2910" s="10">
        <f>LEN(AC2910)+LEN(AG2910)</f>
        <v/>
      </c>
      <c r="AI2910" s="10">
        <f>LEN(L2910)</f>
        <v/>
      </c>
    </row>
    <row r="2911">
      <c r="J2911" s="12">
        <f>IF(F2911&lt;&gt;0,"LANÇAR","")</f>
        <v/>
      </c>
      <c r="L2911" s="13">
        <f>N2911&amp;O2911&amp;P2911&amp;Q2911&amp;R2911&amp;S2911&amp;T2911&amp;U2911&amp;V2911&amp;W2911&amp;X2911&amp;Y2911&amp;Z2911&amp;AA2911&amp;AB2911&amp;AC2911&amp;AD2911&amp;AE2911&amp;AF2911&amp;AG2911</f>
        <v/>
      </c>
      <c r="N2911" s="10">
        <f>TEXT($B$6,"00")</f>
        <v/>
      </c>
      <c r="O2911" s="10">
        <f>REPT(" ",8)</f>
        <v/>
      </c>
      <c r="P2911" s="10">
        <f>RIGHT($B$4,2)</f>
        <v/>
      </c>
      <c r="Q2911" s="10">
        <f>RIGHT($B$5,3)</f>
        <v/>
      </c>
      <c r="R2911" s="10">
        <f>IF(A2911="D",LEFT(UPPER(B2911)&amp;REPT(" ",20),20),REPT(" ",20))</f>
        <v/>
      </c>
      <c r="S2911" s="10">
        <f>IF(A2911="D",LEFT(UPPER(C2911)&amp;REPT(" ",10),10)," ")</f>
        <v/>
      </c>
      <c r="T2911" s="10">
        <f>IF(A2911="D",LEFT(UPPER(D2911)&amp;REPT(" ",2),2)," ")</f>
        <v/>
      </c>
      <c r="U2911" s="10">
        <f>IF(A2911="D",LEFT(UPPER(E2911)&amp;REPT(" ",15),15)," ")</f>
        <v/>
      </c>
      <c r="V2911" s="10">
        <f>REPT(" ",24)</f>
        <v/>
      </c>
      <c r="W2911" s="10">
        <f>IF(A2911="c",LEFT(UPPER(B2911)&amp;REPT(" ",20),20),REPT(" ",20))</f>
        <v/>
      </c>
      <c r="X2911" s="10">
        <f>IF(A2911="C",LEFT(UPPER(C2911)&amp;REPT(" ",10),10)," ")</f>
        <v/>
      </c>
      <c r="Y2911" s="10">
        <f>IF(A2911="C",LEFT(UPPER(D2911)&amp;REPT(" ",2),2)," ")</f>
        <v/>
      </c>
      <c r="Z2911" s="10">
        <f>IF(A2911="C",LEFT(UPPER(E2911)&amp;REPT(" ",15),15)," ")</f>
        <v/>
      </c>
      <c r="AA2911" s="10">
        <f>REPT(" ",8)</f>
        <v/>
      </c>
      <c r="AB2911" s="10">
        <f>REPT(" ",4)</f>
        <v/>
      </c>
      <c r="AC2911" s="10">
        <f>LEFT(UPPER(H2911)&amp;REPT(" ",250),250)</f>
        <v/>
      </c>
      <c r="AD2911" s="10">
        <f>TEXT($G$2,"dd/mm/aaaa")</f>
        <v/>
      </c>
      <c r="AE2911" s="10">
        <f>REPT(" ",10)</f>
        <v/>
      </c>
      <c r="AF2911" s="10">
        <f>REPT(" ",20)</f>
        <v/>
      </c>
      <c r="AG2911" s="54">
        <f>REPT(" ",18-LEN(FIXED(F2911,2,TRUE)))&amp;FIXED(F2911,2,TRUE)</f>
        <v/>
      </c>
      <c r="AH2911" s="10">
        <f>LEN(AC2911)+LEN(AG2911)</f>
        <v/>
      </c>
      <c r="AI2911" s="10">
        <f>LEN(L2911)</f>
        <v/>
      </c>
    </row>
    <row r="2912">
      <c r="J2912" s="12">
        <f>IF(F2912&lt;&gt;0,"LANÇAR","")</f>
        <v/>
      </c>
      <c r="L2912" s="13">
        <f>N2912&amp;O2912&amp;P2912&amp;Q2912&amp;R2912&amp;S2912&amp;T2912&amp;U2912&amp;V2912&amp;W2912&amp;X2912&amp;Y2912&amp;Z2912&amp;AA2912&amp;AB2912&amp;AC2912&amp;AD2912&amp;AE2912&amp;AF2912&amp;AG2912</f>
        <v/>
      </c>
      <c r="N2912" s="10">
        <f>TEXT($B$6,"00")</f>
        <v/>
      </c>
      <c r="O2912" s="10">
        <f>REPT(" ",8)</f>
        <v/>
      </c>
      <c r="P2912" s="10">
        <f>RIGHT($B$4,2)</f>
        <v/>
      </c>
      <c r="Q2912" s="10">
        <f>RIGHT($B$5,3)</f>
        <v/>
      </c>
      <c r="R2912" s="10">
        <f>IF(A2912="D",LEFT(UPPER(B2912)&amp;REPT(" ",20),20),REPT(" ",20))</f>
        <v/>
      </c>
      <c r="S2912" s="10">
        <f>IF(A2912="D",LEFT(UPPER(C2912)&amp;REPT(" ",10),10)," ")</f>
        <v/>
      </c>
      <c r="T2912" s="10">
        <f>IF(A2912="D",LEFT(UPPER(D2912)&amp;REPT(" ",2),2)," ")</f>
        <v/>
      </c>
      <c r="U2912" s="10">
        <f>IF(A2912="D",LEFT(UPPER(E2912)&amp;REPT(" ",15),15)," ")</f>
        <v/>
      </c>
      <c r="V2912" s="10">
        <f>REPT(" ",24)</f>
        <v/>
      </c>
      <c r="W2912" s="10">
        <f>IF(A2912="c",LEFT(UPPER(B2912)&amp;REPT(" ",20),20),REPT(" ",20))</f>
        <v/>
      </c>
      <c r="X2912" s="10">
        <f>IF(A2912="C",LEFT(UPPER(C2912)&amp;REPT(" ",10),10)," ")</f>
        <v/>
      </c>
      <c r="Y2912" s="10">
        <f>IF(A2912="C",LEFT(UPPER(D2912)&amp;REPT(" ",2),2)," ")</f>
        <v/>
      </c>
      <c r="Z2912" s="10">
        <f>IF(A2912="C",LEFT(UPPER(E2912)&amp;REPT(" ",15),15)," ")</f>
        <v/>
      </c>
      <c r="AA2912" s="10">
        <f>REPT(" ",8)</f>
        <v/>
      </c>
      <c r="AB2912" s="10">
        <f>REPT(" ",4)</f>
        <v/>
      </c>
      <c r="AC2912" s="10">
        <f>LEFT(UPPER(H2912)&amp;REPT(" ",250),250)</f>
        <v/>
      </c>
      <c r="AD2912" s="10">
        <f>TEXT($G$2,"dd/mm/aaaa")</f>
        <v/>
      </c>
      <c r="AE2912" s="10">
        <f>REPT(" ",10)</f>
        <v/>
      </c>
      <c r="AF2912" s="10">
        <f>REPT(" ",20)</f>
        <v/>
      </c>
      <c r="AG2912" s="54">
        <f>REPT(" ",18-LEN(FIXED(F2912,2,TRUE)))&amp;FIXED(F2912,2,TRUE)</f>
        <v/>
      </c>
      <c r="AH2912" s="10">
        <f>LEN(AC2912)+LEN(AG2912)</f>
        <v/>
      </c>
      <c r="AI2912" s="10">
        <f>LEN(L2912)</f>
        <v/>
      </c>
    </row>
    <row r="2913">
      <c r="J2913" s="12">
        <f>IF(F2913&lt;&gt;0,"LANÇAR","")</f>
        <v/>
      </c>
      <c r="L2913" s="13">
        <f>N2913&amp;O2913&amp;P2913&amp;Q2913&amp;R2913&amp;S2913&amp;T2913&amp;U2913&amp;V2913&amp;W2913&amp;X2913&amp;Y2913&amp;Z2913&amp;AA2913&amp;AB2913&amp;AC2913&amp;AD2913&amp;AE2913&amp;AF2913&amp;AG2913</f>
        <v/>
      </c>
      <c r="N2913" s="10">
        <f>TEXT($B$6,"00")</f>
        <v/>
      </c>
      <c r="O2913" s="10">
        <f>REPT(" ",8)</f>
        <v/>
      </c>
      <c r="P2913" s="10">
        <f>RIGHT($B$4,2)</f>
        <v/>
      </c>
      <c r="Q2913" s="10">
        <f>RIGHT($B$5,3)</f>
        <v/>
      </c>
      <c r="R2913" s="10">
        <f>IF(A2913="D",LEFT(UPPER(B2913)&amp;REPT(" ",20),20),REPT(" ",20))</f>
        <v/>
      </c>
      <c r="S2913" s="10">
        <f>IF(A2913="D",LEFT(UPPER(C2913)&amp;REPT(" ",10),10)," ")</f>
        <v/>
      </c>
      <c r="T2913" s="10">
        <f>IF(A2913="D",LEFT(UPPER(D2913)&amp;REPT(" ",2),2)," ")</f>
        <v/>
      </c>
      <c r="U2913" s="10">
        <f>IF(A2913="D",LEFT(UPPER(E2913)&amp;REPT(" ",15),15)," ")</f>
        <v/>
      </c>
      <c r="V2913" s="10">
        <f>REPT(" ",24)</f>
        <v/>
      </c>
      <c r="W2913" s="10">
        <f>IF(A2913="c",LEFT(UPPER(B2913)&amp;REPT(" ",20),20),REPT(" ",20))</f>
        <v/>
      </c>
      <c r="X2913" s="10">
        <f>IF(A2913="C",LEFT(UPPER(C2913)&amp;REPT(" ",10),10)," ")</f>
        <v/>
      </c>
      <c r="Y2913" s="10">
        <f>IF(A2913="C",LEFT(UPPER(D2913)&amp;REPT(" ",2),2)," ")</f>
        <v/>
      </c>
      <c r="Z2913" s="10">
        <f>IF(A2913="C",LEFT(UPPER(E2913)&amp;REPT(" ",15),15)," ")</f>
        <v/>
      </c>
      <c r="AA2913" s="10">
        <f>REPT(" ",8)</f>
        <v/>
      </c>
      <c r="AB2913" s="10">
        <f>REPT(" ",4)</f>
        <v/>
      </c>
      <c r="AC2913" s="10">
        <f>LEFT(UPPER(H2913)&amp;REPT(" ",250),250)</f>
        <v/>
      </c>
      <c r="AD2913" s="10">
        <f>TEXT($G$2,"dd/mm/aaaa")</f>
        <v/>
      </c>
      <c r="AE2913" s="10">
        <f>REPT(" ",10)</f>
        <v/>
      </c>
      <c r="AF2913" s="10">
        <f>REPT(" ",20)</f>
        <v/>
      </c>
      <c r="AG2913" s="54">
        <f>REPT(" ",18-LEN(FIXED(F2913,2,TRUE)))&amp;FIXED(F2913,2,TRUE)</f>
        <v/>
      </c>
      <c r="AH2913" s="10">
        <f>LEN(AC2913)+LEN(AG2913)</f>
        <v/>
      </c>
      <c r="AI2913" s="10">
        <f>LEN(L2913)</f>
        <v/>
      </c>
    </row>
    <row r="2914">
      <c r="J2914" s="12">
        <f>IF(F2914&lt;&gt;0,"LANÇAR","")</f>
        <v/>
      </c>
      <c r="L2914" s="13">
        <f>N2914&amp;O2914&amp;P2914&amp;Q2914&amp;R2914&amp;S2914&amp;T2914&amp;U2914&amp;V2914&amp;W2914&amp;X2914&amp;Y2914&amp;Z2914&amp;AA2914&amp;AB2914&amp;AC2914&amp;AD2914&amp;AE2914&amp;AF2914&amp;AG2914</f>
        <v/>
      </c>
      <c r="N2914" s="10">
        <f>TEXT($B$6,"00")</f>
        <v/>
      </c>
      <c r="O2914" s="10">
        <f>REPT(" ",8)</f>
        <v/>
      </c>
      <c r="P2914" s="10">
        <f>RIGHT($B$4,2)</f>
        <v/>
      </c>
      <c r="Q2914" s="10">
        <f>RIGHT($B$5,3)</f>
        <v/>
      </c>
      <c r="R2914" s="10">
        <f>IF(A2914="D",LEFT(UPPER(B2914)&amp;REPT(" ",20),20),REPT(" ",20))</f>
        <v/>
      </c>
      <c r="S2914" s="10">
        <f>IF(A2914="D",LEFT(UPPER(C2914)&amp;REPT(" ",10),10)," ")</f>
        <v/>
      </c>
      <c r="T2914" s="10">
        <f>IF(A2914="D",LEFT(UPPER(D2914)&amp;REPT(" ",2),2)," ")</f>
        <v/>
      </c>
      <c r="U2914" s="10">
        <f>IF(A2914="D",LEFT(UPPER(E2914)&amp;REPT(" ",15),15)," ")</f>
        <v/>
      </c>
      <c r="V2914" s="10">
        <f>REPT(" ",24)</f>
        <v/>
      </c>
      <c r="W2914" s="10">
        <f>IF(A2914="c",LEFT(UPPER(B2914)&amp;REPT(" ",20),20),REPT(" ",20))</f>
        <v/>
      </c>
      <c r="X2914" s="10">
        <f>IF(A2914="C",LEFT(UPPER(C2914)&amp;REPT(" ",10),10)," ")</f>
        <v/>
      </c>
      <c r="Y2914" s="10">
        <f>IF(A2914="C",LEFT(UPPER(D2914)&amp;REPT(" ",2),2)," ")</f>
        <v/>
      </c>
      <c r="Z2914" s="10">
        <f>IF(A2914="C",LEFT(UPPER(E2914)&amp;REPT(" ",15),15)," ")</f>
        <v/>
      </c>
      <c r="AA2914" s="10">
        <f>REPT(" ",8)</f>
        <v/>
      </c>
      <c r="AB2914" s="10">
        <f>REPT(" ",4)</f>
        <v/>
      </c>
      <c r="AC2914" s="10">
        <f>LEFT(UPPER(H2914)&amp;REPT(" ",250),250)</f>
        <v/>
      </c>
      <c r="AD2914" s="10">
        <f>TEXT($G$2,"dd/mm/aaaa")</f>
        <v/>
      </c>
      <c r="AE2914" s="10">
        <f>REPT(" ",10)</f>
        <v/>
      </c>
      <c r="AF2914" s="10">
        <f>REPT(" ",20)</f>
        <v/>
      </c>
      <c r="AG2914" s="54">
        <f>REPT(" ",18-LEN(FIXED(F2914,2,TRUE)))&amp;FIXED(F2914,2,TRUE)</f>
        <v/>
      </c>
      <c r="AH2914" s="10">
        <f>LEN(AC2914)+LEN(AG2914)</f>
        <v/>
      </c>
      <c r="AI2914" s="10">
        <f>LEN(L2914)</f>
        <v/>
      </c>
    </row>
    <row r="2915">
      <c r="J2915" s="12">
        <f>IF(F2915&lt;&gt;0,"LANÇAR","")</f>
        <v/>
      </c>
      <c r="L2915" s="13">
        <f>N2915&amp;O2915&amp;P2915&amp;Q2915&amp;R2915&amp;S2915&amp;T2915&amp;U2915&amp;V2915&amp;W2915&amp;X2915&amp;Y2915&amp;Z2915&amp;AA2915&amp;AB2915&amp;AC2915&amp;AD2915&amp;AE2915&amp;AF2915&amp;AG2915</f>
        <v/>
      </c>
      <c r="N2915" s="10">
        <f>TEXT($B$6,"00")</f>
        <v/>
      </c>
      <c r="O2915" s="10">
        <f>REPT(" ",8)</f>
        <v/>
      </c>
      <c r="P2915" s="10">
        <f>RIGHT($B$4,2)</f>
        <v/>
      </c>
      <c r="Q2915" s="10">
        <f>RIGHT($B$5,3)</f>
        <v/>
      </c>
      <c r="R2915" s="10">
        <f>IF(A2915="D",LEFT(UPPER(B2915)&amp;REPT(" ",20),20),REPT(" ",20))</f>
        <v/>
      </c>
      <c r="S2915" s="10">
        <f>IF(A2915="D",LEFT(UPPER(C2915)&amp;REPT(" ",10),10)," ")</f>
        <v/>
      </c>
      <c r="T2915" s="10">
        <f>IF(A2915="D",LEFT(UPPER(D2915)&amp;REPT(" ",2),2)," ")</f>
        <v/>
      </c>
      <c r="U2915" s="10">
        <f>IF(A2915="D",LEFT(UPPER(E2915)&amp;REPT(" ",15),15)," ")</f>
        <v/>
      </c>
      <c r="V2915" s="10">
        <f>REPT(" ",24)</f>
        <v/>
      </c>
      <c r="W2915" s="10">
        <f>IF(A2915="c",LEFT(UPPER(B2915)&amp;REPT(" ",20),20),REPT(" ",20))</f>
        <v/>
      </c>
      <c r="X2915" s="10">
        <f>IF(A2915="C",LEFT(UPPER(C2915)&amp;REPT(" ",10),10)," ")</f>
        <v/>
      </c>
      <c r="Y2915" s="10">
        <f>IF(A2915="C",LEFT(UPPER(D2915)&amp;REPT(" ",2),2)," ")</f>
        <v/>
      </c>
      <c r="Z2915" s="10">
        <f>IF(A2915="C",LEFT(UPPER(E2915)&amp;REPT(" ",15),15)," ")</f>
        <v/>
      </c>
      <c r="AA2915" s="10">
        <f>REPT(" ",8)</f>
        <v/>
      </c>
      <c r="AB2915" s="10">
        <f>REPT(" ",4)</f>
        <v/>
      </c>
      <c r="AC2915" s="10">
        <f>LEFT(UPPER(H2915)&amp;REPT(" ",250),250)</f>
        <v/>
      </c>
      <c r="AD2915" s="10">
        <f>TEXT($G$2,"dd/mm/aaaa")</f>
        <v/>
      </c>
      <c r="AE2915" s="10">
        <f>REPT(" ",10)</f>
        <v/>
      </c>
      <c r="AF2915" s="10">
        <f>REPT(" ",20)</f>
        <v/>
      </c>
      <c r="AG2915" s="54">
        <f>REPT(" ",18-LEN(FIXED(F2915,2,TRUE)))&amp;FIXED(F2915,2,TRUE)</f>
        <v/>
      </c>
      <c r="AH2915" s="10">
        <f>LEN(AC2915)+LEN(AG2915)</f>
        <v/>
      </c>
      <c r="AI2915" s="10">
        <f>LEN(L2915)</f>
        <v/>
      </c>
    </row>
    <row r="2916">
      <c r="J2916" s="12">
        <f>IF(F2916&lt;&gt;0,"LANÇAR","")</f>
        <v/>
      </c>
      <c r="L2916" s="13">
        <f>N2916&amp;O2916&amp;P2916&amp;Q2916&amp;R2916&amp;S2916&amp;T2916&amp;U2916&amp;V2916&amp;W2916&amp;X2916&amp;Y2916&amp;Z2916&amp;AA2916&amp;AB2916&amp;AC2916&amp;AD2916&amp;AE2916&amp;AF2916&amp;AG2916</f>
        <v/>
      </c>
      <c r="N2916" s="10">
        <f>TEXT($B$6,"00")</f>
        <v/>
      </c>
      <c r="O2916" s="10">
        <f>REPT(" ",8)</f>
        <v/>
      </c>
      <c r="P2916" s="10">
        <f>RIGHT($B$4,2)</f>
        <v/>
      </c>
      <c r="Q2916" s="10">
        <f>RIGHT($B$5,3)</f>
        <v/>
      </c>
      <c r="R2916" s="10">
        <f>IF(A2916="D",LEFT(UPPER(B2916)&amp;REPT(" ",20),20),REPT(" ",20))</f>
        <v/>
      </c>
      <c r="S2916" s="10">
        <f>IF(A2916="D",LEFT(UPPER(C2916)&amp;REPT(" ",10),10)," ")</f>
        <v/>
      </c>
      <c r="T2916" s="10">
        <f>IF(A2916="D",LEFT(UPPER(D2916)&amp;REPT(" ",2),2)," ")</f>
        <v/>
      </c>
      <c r="U2916" s="10">
        <f>IF(A2916="D",LEFT(UPPER(E2916)&amp;REPT(" ",15),15)," ")</f>
        <v/>
      </c>
      <c r="V2916" s="10">
        <f>REPT(" ",24)</f>
        <v/>
      </c>
      <c r="W2916" s="10">
        <f>IF(A2916="c",LEFT(UPPER(B2916)&amp;REPT(" ",20),20),REPT(" ",20))</f>
        <v/>
      </c>
      <c r="X2916" s="10">
        <f>IF(A2916="C",LEFT(UPPER(C2916)&amp;REPT(" ",10),10)," ")</f>
        <v/>
      </c>
      <c r="Y2916" s="10">
        <f>IF(A2916="C",LEFT(UPPER(D2916)&amp;REPT(" ",2),2)," ")</f>
        <v/>
      </c>
      <c r="Z2916" s="10">
        <f>IF(A2916="C",LEFT(UPPER(E2916)&amp;REPT(" ",15),15)," ")</f>
        <v/>
      </c>
      <c r="AA2916" s="10">
        <f>REPT(" ",8)</f>
        <v/>
      </c>
      <c r="AB2916" s="10">
        <f>REPT(" ",4)</f>
        <v/>
      </c>
      <c r="AC2916" s="10">
        <f>LEFT(UPPER(H2916)&amp;REPT(" ",250),250)</f>
        <v/>
      </c>
      <c r="AD2916" s="10">
        <f>TEXT($G$2,"dd/mm/aaaa")</f>
        <v/>
      </c>
      <c r="AE2916" s="10">
        <f>REPT(" ",10)</f>
        <v/>
      </c>
      <c r="AF2916" s="10">
        <f>REPT(" ",20)</f>
        <v/>
      </c>
      <c r="AG2916" s="54">
        <f>REPT(" ",18-LEN(FIXED(F2916,2,TRUE)))&amp;FIXED(F2916,2,TRUE)</f>
        <v/>
      </c>
      <c r="AH2916" s="10">
        <f>LEN(AC2916)+LEN(AG2916)</f>
        <v/>
      </c>
      <c r="AI2916" s="10">
        <f>LEN(L2916)</f>
        <v/>
      </c>
    </row>
    <row r="2917">
      <c r="J2917" s="12">
        <f>IF(F2917&lt;&gt;0,"LANÇAR","")</f>
        <v/>
      </c>
      <c r="L2917" s="13">
        <f>N2917&amp;O2917&amp;P2917&amp;Q2917&amp;R2917&amp;S2917&amp;T2917&amp;U2917&amp;V2917&amp;W2917&amp;X2917&amp;Y2917&amp;Z2917&amp;AA2917&amp;AB2917&amp;AC2917&amp;AD2917&amp;AE2917&amp;AF2917&amp;AG2917</f>
        <v/>
      </c>
      <c r="N2917" s="10">
        <f>TEXT($B$6,"00")</f>
        <v/>
      </c>
      <c r="O2917" s="10">
        <f>REPT(" ",8)</f>
        <v/>
      </c>
      <c r="P2917" s="10">
        <f>RIGHT($B$4,2)</f>
        <v/>
      </c>
      <c r="Q2917" s="10">
        <f>RIGHT($B$5,3)</f>
        <v/>
      </c>
      <c r="R2917" s="10">
        <f>IF(A2917="D",LEFT(UPPER(B2917)&amp;REPT(" ",20),20),REPT(" ",20))</f>
        <v/>
      </c>
      <c r="S2917" s="10">
        <f>IF(A2917="D",LEFT(UPPER(C2917)&amp;REPT(" ",10),10)," ")</f>
        <v/>
      </c>
      <c r="T2917" s="10">
        <f>IF(A2917="D",LEFT(UPPER(D2917)&amp;REPT(" ",2),2)," ")</f>
        <v/>
      </c>
      <c r="U2917" s="10">
        <f>IF(A2917="D",LEFT(UPPER(E2917)&amp;REPT(" ",15),15)," ")</f>
        <v/>
      </c>
      <c r="V2917" s="10">
        <f>REPT(" ",24)</f>
        <v/>
      </c>
      <c r="W2917" s="10">
        <f>IF(A2917="c",LEFT(UPPER(B2917)&amp;REPT(" ",20),20),REPT(" ",20))</f>
        <v/>
      </c>
      <c r="X2917" s="10">
        <f>IF(A2917="C",LEFT(UPPER(C2917)&amp;REPT(" ",10),10)," ")</f>
        <v/>
      </c>
      <c r="Y2917" s="10">
        <f>IF(A2917="C",LEFT(UPPER(D2917)&amp;REPT(" ",2),2)," ")</f>
        <v/>
      </c>
      <c r="Z2917" s="10">
        <f>IF(A2917="C",LEFT(UPPER(E2917)&amp;REPT(" ",15),15)," ")</f>
        <v/>
      </c>
      <c r="AA2917" s="10">
        <f>REPT(" ",8)</f>
        <v/>
      </c>
      <c r="AB2917" s="10">
        <f>REPT(" ",4)</f>
        <v/>
      </c>
      <c r="AC2917" s="10">
        <f>LEFT(UPPER(H2917)&amp;REPT(" ",250),250)</f>
        <v/>
      </c>
      <c r="AD2917" s="10">
        <f>TEXT($G$2,"dd/mm/aaaa")</f>
        <v/>
      </c>
      <c r="AE2917" s="10">
        <f>REPT(" ",10)</f>
        <v/>
      </c>
      <c r="AF2917" s="10">
        <f>REPT(" ",20)</f>
        <v/>
      </c>
      <c r="AG2917" s="54">
        <f>REPT(" ",18-LEN(FIXED(F2917,2,TRUE)))&amp;FIXED(F2917,2,TRUE)</f>
        <v/>
      </c>
      <c r="AH2917" s="10">
        <f>LEN(AC2917)+LEN(AG2917)</f>
        <v/>
      </c>
      <c r="AI2917" s="10">
        <f>LEN(L2917)</f>
        <v/>
      </c>
    </row>
    <row r="2918">
      <c r="J2918" s="12">
        <f>IF(F2918&lt;&gt;0,"LANÇAR","")</f>
        <v/>
      </c>
      <c r="L2918" s="13">
        <f>N2918&amp;O2918&amp;P2918&amp;Q2918&amp;R2918&amp;S2918&amp;T2918&amp;U2918&amp;V2918&amp;W2918&amp;X2918&amp;Y2918&amp;Z2918&amp;AA2918&amp;AB2918&amp;AC2918&amp;AD2918&amp;AE2918&amp;AF2918&amp;AG2918</f>
        <v/>
      </c>
      <c r="N2918" s="10">
        <f>TEXT($B$6,"00")</f>
        <v/>
      </c>
      <c r="O2918" s="10">
        <f>REPT(" ",8)</f>
        <v/>
      </c>
      <c r="P2918" s="10">
        <f>RIGHT($B$4,2)</f>
        <v/>
      </c>
      <c r="Q2918" s="10">
        <f>RIGHT($B$5,3)</f>
        <v/>
      </c>
      <c r="R2918" s="10">
        <f>IF(A2918="D",LEFT(UPPER(B2918)&amp;REPT(" ",20),20),REPT(" ",20))</f>
        <v/>
      </c>
      <c r="S2918" s="10">
        <f>IF(A2918="D",LEFT(UPPER(C2918)&amp;REPT(" ",10),10)," ")</f>
        <v/>
      </c>
      <c r="T2918" s="10">
        <f>IF(A2918="D",LEFT(UPPER(D2918)&amp;REPT(" ",2),2)," ")</f>
        <v/>
      </c>
      <c r="U2918" s="10">
        <f>IF(A2918="D",LEFT(UPPER(E2918)&amp;REPT(" ",15),15)," ")</f>
        <v/>
      </c>
      <c r="V2918" s="10">
        <f>REPT(" ",24)</f>
        <v/>
      </c>
      <c r="W2918" s="10">
        <f>IF(A2918="c",LEFT(UPPER(B2918)&amp;REPT(" ",20),20),REPT(" ",20))</f>
        <v/>
      </c>
      <c r="X2918" s="10">
        <f>IF(A2918="C",LEFT(UPPER(C2918)&amp;REPT(" ",10),10)," ")</f>
        <v/>
      </c>
      <c r="Y2918" s="10">
        <f>IF(A2918="C",LEFT(UPPER(D2918)&amp;REPT(" ",2),2)," ")</f>
        <v/>
      </c>
      <c r="Z2918" s="10">
        <f>IF(A2918="C",LEFT(UPPER(E2918)&amp;REPT(" ",15),15)," ")</f>
        <v/>
      </c>
      <c r="AA2918" s="10">
        <f>REPT(" ",8)</f>
        <v/>
      </c>
      <c r="AB2918" s="10">
        <f>REPT(" ",4)</f>
        <v/>
      </c>
      <c r="AC2918" s="10">
        <f>LEFT(UPPER(H2918)&amp;REPT(" ",250),250)</f>
        <v/>
      </c>
      <c r="AD2918" s="10">
        <f>TEXT($G$2,"dd/mm/aaaa")</f>
        <v/>
      </c>
      <c r="AE2918" s="10">
        <f>REPT(" ",10)</f>
        <v/>
      </c>
      <c r="AF2918" s="10">
        <f>REPT(" ",20)</f>
        <v/>
      </c>
      <c r="AG2918" s="54">
        <f>REPT(" ",18-LEN(FIXED(F2918,2,TRUE)))&amp;FIXED(F2918,2,TRUE)</f>
        <v/>
      </c>
      <c r="AH2918" s="10">
        <f>LEN(AC2918)+LEN(AG2918)</f>
        <v/>
      </c>
      <c r="AI2918" s="10">
        <f>LEN(L2918)</f>
        <v/>
      </c>
    </row>
    <row r="2919">
      <c r="J2919" s="12">
        <f>IF(F2919&lt;&gt;0,"LANÇAR","")</f>
        <v/>
      </c>
      <c r="L2919" s="13">
        <f>N2919&amp;O2919&amp;P2919&amp;Q2919&amp;R2919&amp;S2919&amp;T2919&amp;U2919&amp;V2919&amp;W2919&amp;X2919&amp;Y2919&amp;Z2919&amp;AA2919&amp;AB2919&amp;AC2919&amp;AD2919&amp;AE2919&amp;AF2919&amp;AG2919</f>
        <v/>
      </c>
      <c r="N2919" s="10">
        <f>TEXT($B$6,"00")</f>
        <v/>
      </c>
      <c r="O2919" s="10">
        <f>REPT(" ",8)</f>
        <v/>
      </c>
      <c r="P2919" s="10">
        <f>RIGHT($B$4,2)</f>
        <v/>
      </c>
      <c r="Q2919" s="10">
        <f>RIGHT($B$5,3)</f>
        <v/>
      </c>
      <c r="R2919" s="10">
        <f>IF(A2919="D",LEFT(UPPER(B2919)&amp;REPT(" ",20),20),REPT(" ",20))</f>
        <v/>
      </c>
      <c r="S2919" s="10">
        <f>IF(A2919="D",LEFT(UPPER(C2919)&amp;REPT(" ",10),10)," ")</f>
        <v/>
      </c>
      <c r="T2919" s="10">
        <f>IF(A2919="D",LEFT(UPPER(D2919)&amp;REPT(" ",2),2)," ")</f>
        <v/>
      </c>
      <c r="U2919" s="10">
        <f>IF(A2919="D",LEFT(UPPER(E2919)&amp;REPT(" ",15),15)," ")</f>
        <v/>
      </c>
      <c r="V2919" s="10">
        <f>REPT(" ",24)</f>
        <v/>
      </c>
      <c r="W2919" s="10">
        <f>IF(A2919="c",LEFT(UPPER(B2919)&amp;REPT(" ",20),20),REPT(" ",20))</f>
        <v/>
      </c>
      <c r="X2919" s="10">
        <f>IF(A2919="C",LEFT(UPPER(C2919)&amp;REPT(" ",10),10)," ")</f>
        <v/>
      </c>
      <c r="Y2919" s="10">
        <f>IF(A2919="C",LEFT(UPPER(D2919)&amp;REPT(" ",2),2)," ")</f>
        <v/>
      </c>
      <c r="Z2919" s="10">
        <f>IF(A2919="C",LEFT(UPPER(E2919)&amp;REPT(" ",15),15)," ")</f>
        <v/>
      </c>
      <c r="AA2919" s="10">
        <f>REPT(" ",8)</f>
        <v/>
      </c>
      <c r="AB2919" s="10">
        <f>REPT(" ",4)</f>
        <v/>
      </c>
      <c r="AC2919" s="10">
        <f>LEFT(UPPER(H2919)&amp;REPT(" ",250),250)</f>
        <v/>
      </c>
      <c r="AD2919" s="10">
        <f>TEXT($G$2,"dd/mm/aaaa")</f>
        <v/>
      </c>
      <c r="AE2919" s="10">
        <f>REPT(" ",10)</f>
        <v/>
      </c>
      <c r="AF2919" s="10">
        <f>REPT(" ",20)</f>
        <v/>
      </c>
      <c r="AG2919" s="54">
        <f>REPT(" ",18-LEN(FIXED(F2919,2,TRUE)))&amp;FIXED(F2919,2,TRUE)</f>
        <v/>
      </c>
      <c r="AH2919" s="10">
        <f>LEN(AC2919)+LEN(AG2919)</f>
        <v/>
      </c>
      <c r="AI2919" s="10">
        <f>LEN(L2919)</f>
        <v/>
      </c>
    </row>
    <row r="2920">
      <c r="J2920" s="12">
        <f>IF(F2920&lt;&gt;0,"LANÇAR","")</f>
        <v/>
      </c>
      <c r="L2920" s="13">
        <f>N2920&amp;O2920&amp;P2920&amp;Q2920&amp;R2920&amp;S2920&amp;T2920&amp;U2920&amp;V2920&amp;W2920&amp;X2920&amp;Y2920&amp;Z2920&amp;AA2920&amp;AB2920&amp;AC2920&amp;AD2920&amp;AE2920&amp;AF2920&amp;AG2920</f>
        <v/>
      </c>
      <c r="N2920" s="10">
        <f>TEXT($B$6,"00")</f>
        <v/>
      </c>
      <c r="O2920" s="10">
        <f>REPT(" ",8)</f>
        <v/>
      </c>
      <c r="P2920" s="10">
        <f>RIGHT($B$4,2)</f>
        <v/>
      </c>
      <c r="Q2920" s="10">
        <f>RIGHT($B$5,3)</f>
        <v/>
      </c>
      <c r="R2920" s="10">
        <f>IF(A2920="D",LEFT(UPPER(B2920)&amp;REPT(" ",20),20),REPT(" ",20))</f>
        <v/>
      </c>
      <c r="S2920" s="10">
        <f>IF(A2920="D",LEFT(UPPER(C2920)&amp;REPT(" ",10),10)," ")</f>
        <v/>
      </c>
      <c r="T2920" s="10">
        <f>IF(A2920="D",LEFT(UPPER(D2920)&amp;REPT(" ",2),2)," ")</f>
        <v/>
      </c>
      <c r="U2920" s="10">
        <f>IF(A2920="D",LEFT(UPPER(E2920)&amp;REPT(" ",15),15)," ")</f>
        <v/>
      </c>
      <c r="V2920" s="10">
        <f>REPT(" ",24)</f>
        <v/>
      </c>
      <c r="W2920" s="10">
        <f>IF(A2920="c",LEFT(UPPER(B2920)&amp;REPT(" ",20),20),REPT(" ",20))</f>
        <v/>
      </c>
      <c r="X2920" s="10">
        <f>IF(A2920="C",LEFT(UPPER(C2920)&amp;REPT(" ",10),10)," ")</f>
        <v/>
      </c>
      <c r="Y2920" s="10">
        <f>IF(A2920="C",LEFT(UPPER(D2920)&amp;REPT(" ",2),2)," ")</f>
        <v/>
      </c>
      <c r="Z2920" s="10">
        <f>IF(A2920="C",LEFT(UPPER(E2920)&amp;REPT(" ",15),15)," ")</f>
        <v/>
      </c>
      <c r="AA2920" s="10">
        <f>REPT(" ",8)</f>
        <v/>
      </c>
      <c r="AB2920" s="10">
        <f>REPT(" ",4)</f>
        <v/>
      </c>
      <c r="AC2920" s="10">
        <f>LEFT(UPPER(H2920)&amp;REPT(" ",250),250)</f>
        <v/>
      </c>
      <c r="AD2920" s="10">
        <f>TEXT($G$2,"dd/mm/aaaa")</f>
        <v/>
      </c>
      <c r="AE2920" s="10">
        <f>REPT(" ",10)</f>
        <v/>
      </c>
      <c r="AF2920" s="10">
        <f>REPT(" ",20)</f>
        <v/>
      </c>
      <c r="AG2920" s="54">
        <f>REPT(" ",18-LEN(FIXED(F2920,2,TRUE)))&amp;FIXED(F2920,2,TRUE)</f>
        <v/>
      </c>
      <c r="AH2920" s="10">
        <f>LEN(AC2920)+LEN(AG2920)</f>
        <v/>
      </c>
      <c r="AI2920" s="10">
        <f>LEN(L2920)</f>
        <v/>
      </c>
    </row>
    <row r="2921">
      <c r="J2921" s="12">
        <f>IF(F2921&lt;&gt;0,"LANÇAR","")</f>
        <v/>
      </c>
      <c r="L2921" s="13">
        <f>N2921&amp;O2921&amp;P2921&amp;Q2921&amp;R2921&amp;S2921&amp;T2921&amp;U2921&amp;V2921&amp;W2921&amp;X2921&amp;Y2921&amp;Z2921&amp;AA2921&amp;AB2921&amp;AC2921&amp;AD2921&amp;AE2921&amp;AF2921&amp;AG2921</f>
        <v/>
      </c>
      <c r="N2921" s="10">
        <f>TEXT($B$6,"00")</f>
        <v/>
      </c>
      <c r="O2921" s="10">
        <f>REPT(" ",8)</f>
        <v/>
      </c>
      <c r="P2921" s="10">
        <f>RIGHT($B$4,2)</f>
        <v/>
      </c>
      <c r="Q2921" s="10">
        <f>RIGHT($B$5,3)</f>
        <v/>
      </c>
      <c r="R2921" s="10">
        <f>IF(A2921="D",LEFT(UPPER(B2921)&amp;REPT(" ",20),20),REPT(" ",20))</f>
        <v/>
      </c>
      <c r="S2921" s="10">
        <f>IF(A2921="D",LEFT(UPPER(C2921)&amp;REPT(" ",10),10)," ")</f>
        <v/>
      </c>
      <c r="T2921" s="10">
        <f>IF(A2921="D",LEFT(UPPER(D2921)&amp;REPT(" ",2),2)," ")</f>
        <v/>
      </c>
      <c r="U2921" s="10">
        <f>IF(A2921="D",LEFT(UPPER(E2921)&amp;REPT(" ",15),15)," ")</f>
        <v/>
      </c>
      <c r="V2921" s="10">
        <f>REPT(" ",24)</f>
        <v/>
      </c>
      <c r="W2921" s="10">
        <f>IF(A2921="c",LEFT(UPPER(B2921)&amp;REPT(" ",20),20),REPT(" ",20))</f>
        <v/>
      </c>
      <c r="X2921" s="10">
        <f>IF(A2921="C",LEFT(UPPER(C2921)&amp;REPT(" ",10),10)," ")</f>
        <v/>
      </c>
      <c r="Y2921" s="10">
        <f>IF(A2921="C",LEFT(UPPER(D2921)&amp;REPT(" ",2),2)," ")</f>
        <v/>
      </c>
      <c r="Z2921" s="10">
        <f>IF(A2921="C",LEFT(UPPER(E2921)&amp;REPT(" ",15),15)," ")</f>
        <v/>
      </c>
      <c r="AA2921" s="10">
        <f>REPT(" ",8)</f>
        <v/>
      </c>
      <c r="AB2921" s="10">
        <f>REPT(" ",4)</f>
        <v/>
      </c>
      <c r="AC2921" s="10">
        <f>LEFT(UPPER(H2921)&amp;REPT(" ",250),250)</f>
        <v/>
      </c>
      <c r="AD2921" s="10">
        <f>TEXT($G$2,"dd/mm/aaaa")</f>
        <v/>
      </c>
      <c r="AE2921" s="10">
        <f>REPT(" ",10)</f>
        <v/>
      </c>
      <c r="AF2921" s="10">
        <f>REPT(" ",20)</f>
        <v/>
      </c>
      <c r="AG2921" s="54">
        <f>REPT(" ",18-LEN(FIXED(F2921,2,TRUE)))&amp;FIXED(F2921,2,TRUE)</f>
        <v/>
      </c>
      <c r="AH2921" s="10">
        <f>LEN(AC2921)+LEN(AG2921)</f>
        <v/>
      </c>
      <c r="AI2921" s="10">
        <f>LEN(L2921)</f>
        <v/>
      </c>
    </row>
    <row r="2922">
      <c r="J2922" s="12">
        <f>IF(F2922&lt;&gt;0,"LANÇAR","")</f>
        <v/>
      </c>
      <c r="L2922" s="13">
        <f>N2922&amp;O2922&amp;P2922&amp;Q2922&amp;R2922&amp;S2922&amp;T2922&amp;U2922&amp;V2922&amp;W2922&amp;X2922&amp;Y2922&amp;Z2922&amp;AA2922&amp;AB2922&amp;AC2922&amp;AD2922&amp;AE2922&amp;AF2922&amp;AG2922</f>
        <v/>
      </c>
      <c r="N2922" s="10">
        <f>TEXT($B$6,"00")</f>
        <v/>
      </c>
      <c r="O2922" s="10">
        <f>REPT(" ",8)</f>
        <v/>
      </c>
      <c r="P2922" s="10">
        <f>RIGHT($B$4,2)</f>
        <v/>
      </c>
      <c r="Q2922" s="10">
        <f>RIGHT($B$5,3)</f>
        <v/>
      </c>
      <c r="R2922" s="10">
        <f>IF(A2922="D",LEFT(UPPER(B2922)&amp;REPT(" ",20),20),REPT(" ",20))</f>
        <v/>
      </c>
      <c r="S2922" s="10">
        <f>IF(A2922="D",LEFT(UPPER(C2922)&amp;REPT(" ",10),10)," ")</f>
        <v/>
      </c>
      <c r="T2922" s="10">
        <f>IF(A2922="D",LEFT(UPPER(D2922)&amp;REPT(" ",2),2)," ")</f>
        <v/>
      </c>
      <c r="U2922" s="10">
        <f>IF(A2922="D",LEFT(UPPER(E2922)&amp;REPT(" ",15),15)," ")</f>
        <v/>
      </c>
      <c r="V2922" s="10">
        <f>REPT(" ",24)</f>
        <v/>
      </c>
      <c r="W2922" s="10">
        <f>IF(A2922="c",LEFT(UPPER(B2922)&amp;REPT(" ",20),20),REPT(" ",20))</f>
        <v/>
      </c>
      <c r="X2922" s="10">
        <f>IF(A2922="C",LEFT(UPPER(C2922)&amp;REPT(" ",10),10)," ")</f>
        <v/>
      </c>
      <c r="Y2922" s="10">
        <f>IF(A2922="C",LEFT(UPPER(D2922)&amp;REPT(" ",2),2)," ")</f>
        <v/>
      </c>
      <c r="Z2922" s="10">
        <f>IF(A2922="C",LEFT(UPPER(E2922)&amp;REPT(" ",15),15)," ")</f>
        <v/>
      </c>
      <c r="AA2922" s="10">
        <f>REPT(" ",8)</f>
        <v/>
      </c>
      <c r="AB2922" s="10">
        <f>REPT(" ",4)</f>
        <v/>
      </c>
      <c r="AC2922" s="10">
        <f>LEFT(UPPER(H2922)&amp;REPT(" ",250),250)</f>
        <v/>
      </c>
      <c r="AD2922" s="10">
        <f>TEXT($G$2,"dd/mm/aaaa")</f>
        <v/>
      </c>
      <c r="AE2922" s="10">
        <f>REPT(" ",10)</f>
        <v/>
      </c>
      <c r="AF2922" s="10">
        <f>REPT(" ",20)</f>
        <v/>
      </c>
      <c r="AG2922" s="54">
        <f>REPT(" ",18-LEN(FIXED(F2922,2,TRUE)))&amp;FIXED(F2922,2,TRUE)</f>
        <v/>
      </c>
      <c r="AH2922" s="10">
        <f>LEN(AC2922)+LEN(AG2922)</f>
        <v/>
      </c>
      <c r="AI2922" s="10">
        <f>LEN(L2922)</f>
        <v/>
      </c>
    </row>
    <row r="2923">
      <c r="J2923" s="12">
        <f>IF(F2923&lt;&gt;0,"LANÇAR","")</f>
        <v/>
      </c>
      <c r="L2923" s="13">
        <f>N2923&amp;O2923&amp;P2923&amp;Q2923&amp;R2923&amp;S2923&amp;T2923&amp;U2923&amp;V2923&amp;W2923&amp;X2923&amp;Y2923&amp;Z2923&amp;AA2923&amp;AB2923&amp;AC2923&amp;AD2923&amp;AE2923&amp;AF2923&amp;AG2923</f>
        <v/>
      </c>
      <c r="N2923" s="10">
        <f>TEXT($B$6,"00")</f>
        <v/>
      </c>
      <c r="O2923" s="10">
        <f>REPT(" ",8)</f>
        <v/>
      </c>
      <c r="P2923" s="10">
        <f>RIGHT($B$4,2)</f>
        <v/>
      </c>
      <c r="Q2923" s="10">
        <f>RIGHT($B$5,3)</f>
        <v/>
      </c>
      <c r="R2923" s="10">
        <f>IF(A2923="D",LEFT(UPPER(B2923)&amp;REPT(" ",20),20),REPT(" ",20))</f>
        <v/>
      </c>
      <c r="S2923" s="10">
        <f>IF(A2923="D",LEFT(UPPER(C2923)&amp;REPT(" ",10),10)," ")</f>
        <v/>
      </c>
      <c r="T2923" s="10">
        <f>IF(A2923="D",LEFT(UPPER(D2923)&amp;REPT(" ",2),2)," ")</f>
        <v/>
      </c>
      <c r="U2923" s="10">
        <f>IF(A2923="D",LEFT(UPPER(E2923)&amp;REPT(" ",15),15)," ")</f>
        <v/>
      </c>
      <c r="V2923" s="10">
        <f>REPT(" ",24)</f>
        <v/>
      </c>
      <c r="W2923" s="10">
        <f>IF(A2923="c",LEFT(UPPER(B2923)&amp;REPT(" ",20),20),REPT(" ",20))</f>
        <v/>
      </c>
      <c r="X2923" s="10">
        <f>IF(A2923="C",LEFT(UPPER(C2923)&amp;REPT(" ",10),10)," ")</f>
        <v/>
      </c>
      <c r="Y2923" s="10">
        <f>IF(A2923="C",LEFT(UPPER(D2923)&amp;REPT(" ",2),2)," ")</f>
        <v/>
      </c>
      <c r="Z2923" s="10">
        <f>IF(A2923="C",LEFT(UPPER(E2923)&amp;REPT(" ",15),15)," ")</f>
        <v/>
      </c>
      <c r="AA2923" s="10">
        <f>REPT(" ",8)</f>
        <v/>
      </c>
      <c r="AB2923" s="10">
        <f>REPT(" ",4)</f>
        <v/>
      </c>
      <c r="AC2923" s="10">
        <f>LEFT(UPPER(H2923)&amp;REPT(" ",250),250)</f>
        <v/>
      </c>
      <c r="AD2923" s="10">
        <f>TEXT($G$2,"dd/mm/aaaa")</f>
        <v/>
      </c>
      <c r="AE2923" s="10">
        <f>REPT(" ",10)</f>
        <v/>
      </c>
      <c r="AF2923" s="10">
        <f>REPT(" ",20)</f>
        <v/>
      </c>
      <c r="AG2923" s="54">
        <f>REPT(" ",18-LEN(FIXED(F2923,2,TRUE)))&amp;FIXED(F2923,2,TRUE)</f>
        <v/>
      </c>
      <c r="AH2923" s="10">
        <f>LEN(AC2923)+LEN(AG2923)</f>
        <v/>
      </c>
      <c r="AI2923" s="10">
        <f>LEN(L2923)</f>
        <v/>
      </c>
    </row>
    <row r="2924">
      <c r="J2924" s="12">
        <f>IF(F2924&lt;&gt;0,"LANÇAR","")</f>
        <v/>
      </c>
      <c r="L2924" s="13">
        <f>N2924&amp;O2924&amp;P2924&amp;Q2924&amp;R2924&amp;S2924&amp;T2924&amp;U2924&amp;V2924&amp;W2924&amp;X2924&amp;Y2924&amp;Z2924&amp;AA2924&amp;AB2924&amp;AC2924&amp;AD2924&amp;AE2924&amp;AF2924&amp;AG2924</f>
        <v/>
      </c>
      <c r="N2924" s="10">
        <f>TEXT($B$6,"00")</f>
        <v/>
      </c>
      <c r="O2924" s="10">
        <f>REPT(" ",8)</f>
        <v/>
      </c>
      <c r="P2924" s="10">
        <f>RIGHT($B$4,2)</f>
        <v/>
      </c>
      <c r="Q2924" s="10">
        <f>RIGHT($B$5,3)</f>
        <v/>
      </c>
      <c r="R2924" s="10">
        <f>IF(A2924="D",LEFT(UPPER(B2924)&amp;REPT(" ",20),20),REPT(" ",20))</f>
        <v/>
      </c>
      <c r="S2924" s="10">
        <f>IF(A2924="D",LEFT(UPPER(C2924)&amp;REPT(" ",10),10)," ")</f>
        <v/>
      </c>
      <c r="T2924" s="10">
        <f>IF(A2924="D",LEFT(UPPER(D2924)&amp;REPT(" ",2),2)," ")</f>
        <v/>
      </c>
      <c r="U2924" s="10">
        <f>IF(A2924="D",LEFT(UPPER(E2924)&amp;REPT(" ",15),15)," ")</f>
        <v/>
      </c>
      <c r="V2924" s="10">
        <f>REPT(" ",24)</f>
        <v/>
      </c>
      <c r="W2924" s="10">
        <f>IF(A2924="c",LEFT(UPPER(B2924)&amp;REPT(" ",20),20),REPT(" ",20))</f>
        <v/>
      </c>
      <c r="X2924" s="10">
        <f>IF(A2924="C",LEFT(UPPER(C2924)&amp;REPT(" ",10),10)," ")</f>
        <v/>
      </c>
      <c r="Y2924" s="10">
        <f>IF(A2924="C",LEFT(UPPER(D2924)&amp;REPT(" ",2),2)," ")</f>
        <v/>
      </c>
      <c r="Z2924" s="10">
        <f>IF(A2924="C",LEFT(UPPER(E2924)&amp;REPT(" ",15),15)," ")</f>
        <v/>
      </c>
      <c r="AA2924" s="10">
        <f>REPT(" ",8)</f>
        <v/>
      </c>
      <c r="AB2924" s="10">
        <f>REPT(" ",4)</f>
        <v/>
      </c>
      <c r="AC2924" s="10">
        <f>LEFT(UPPER(H2924)&amp;REPT(" ",250),250)</f>
        <v/>
      </c>
      <c r="AD2924" s="10">
        <f>TEXT($G$2,"dd/mm/aaaa")</f>
        <v/>
      </c>
      <c r="AE2924" s="10">
        <f>REPT(" ",10)</f>
        <v/>
      </c>
      <c r="AF2924" s="10">
        <f>REPT(" ",20)</f>
        <v/>
      </c>
      <c r="AG2924" s="54">
        <f>REPT(" ",18-LEN(FIXED(F2924,2,TRUE)))&amp;FIXED(F2924,2,TRUE)</f>
        <v/>
      </c>
      <c r="AH2924" s="10">
        <f>LEN(AC2924)+LEN(AG2924)</f>
        <v/>
      </c>
      <c r="AI2924" s="10">
        <f>LEN(L2924)</f>
        <v/>
      </c>
    </row>
    <row r="2925">
      <c r="J2925" s="12">
        <f>IF(F2925&lt;&gt;0,"LANÇAR","")</f>
        <v/>
      </c>
      <c r="L2925" s="13">
        <f>N2925&amp;O2925&amp;P2925&amp;Q2925&amp;R2925&amp;S2925&amp;T2925&amp;U2925&amp;V2925&amp;W2925&amp;X2925&amp;Y2925&amp;Z2925&amp;AA2925&amp;AB2925&amp;AC2925&amp;AD2925&amp;AE2925&amp;AF2925&amp;AG2925</f>
        <v/>
      </c>
      <c r="N2925" s="10">
        <f>TEXT($B$6,"00")</f>
        <v/>
      </c>
      <c r="O2925" s="10">
        <f>REPT(" ",8)</f>
        <v/>
      </c>
      <c r="P2925" s="10">
        <f>RIGHT($B$4,2)</f>
        <v/>
      </c>
      <c r="Q2925" s="10">
        <f>RIGHT($B$5,3)</f>
        <v/>
      </c>
      <c r="R2925" s="10">
        <f>IF(A2925="D",LEFT(UPPER(B2925)&amp;REPT(" ",20),20),REPT(" ",20))</f>
        <v/>
      </c>
      <c r="S2925" s="10">
        <f>IF(A2925="D",LEFT(UPPER(C2925)&amp;REPT(" ",10),10)," ")</f>
        <v/>
      </c>
      <c r="T2925" s="10">
        <f>IF(A2925="D",LEFT(UPPER(D2925)&amp;REPT(" ",2),2)," ")</f>
        <v/>
      </c>
      <c r="U2925" s="10">
        <f>IF(A2925="D",LEFT(UPPER(E2925)&amp;REPT(" ",15),15)," ")</f>
        <v/>
      </c>
      <c r="V2925" s="10">
        <f>REPT(" ",24)</f>
        <v/>
      </c>
      <c r="W2925" s="10">
        <f>IF(A2925="c",LEFT(UPPER(B2925)&amp;REPT(" ",20),20),REPT(" ",20))</f>
        <v/>
      </c>
      <c r="X2925" s="10">
        <f>IF(A2925="C",LEFT(UPPER(C2925)&amp;REPT(" ",10),10)," ")</f>
        <v/>
      </c>
      <c r="Y2925" s="10">
        <f>IF(A2925="C",LEFT(UPPER(D2925)&amp;REPT(" ",2),2)," ")</f>
        <v/>
      </c>
      <c r="Z2925" s="10">
        <f>IF(A2925="C",LEFT(UPPER(E2925)&amp;REPT(" ",15),15)," ")</f>
        <v/>
      </c>
      <c r="AA2925" s="10">
        <f>REPT(" ",8)</f>
        <v/>
      </c>
      <c r="AB2925" s="10">
        <f>REPT(" ",4)</f>
        <v/>
      </c>
      <c r="AC2925" s="10">
        <f>LEFT(UPPER(H2925)&amp;REPT(" ",250),250)</f>
        <v/>
      </c>
      <c r="AD2925" s="10">
        <f>TEXT($G$2,"dd/mm/aaaa")</f>
        <v/>
      </c>
      <c r="AE2925" s="10">
        <f>REPT(" ",10)</f>
        <v/>
      </c>
      <c r="AF2925" s="10">
        <f>REPT(" ",20)</f>
        <v/>
      </c>
      <c r="AG2925" s="54">
        <f>REPT(" ",18-LEN(FIXED(F2925,2,TRUE)))&amp;FIXED(F2925,2,TRUE)</f>
        <v/>
      </c>
      <c r="AH2925" s="10">
        <f>LEN(AC2925)+LEN(AG2925)</f>
        <v/>
      </c>
      <c r="AI2925" s="10">
        <f>LEN(L2925)</f>
        <v/>
      </c>
    </row>
    <row r="2926">
      <c r="J2926" s="12">
        <f>IF(F2926&lt;&gt;0,"LANÇAR","")</f>
        <v/>
      </c>
      <c r="L2926" s="13">
        <f>N2926&amp;O2926&amp;P2926&amp;Q2926&amp;R2926&amp;S2926&amp;T2926&amp;U2926&amp;V2926&amp;W2926&amp;X2926&amp;Y2926&amp;Z2926&amp;AA2926&amp;AB2926&amp;AC2926&amp;AD2926&amp;AE2926&amp;AF2926&amp;AG2926</f>
        <v/>
      </c>
      <c r="N2926" s="10">
        <f>TEXT($B$6,"00")</f>
        <v/>
      </c>
      <c r="O2926" s="10">
        <f>REPT(" ",8)</f>
        <v/>
      </c>
      <c r="P2926" s="10">
        <f>RIGHT($B$4,2)</f>
        <v/>
      </c>
      <c r="Q2926" s="10">
        <f>RIGHT($B$5,3)</f>
        <v/>
      </c>
      <c r="R2926" s="10">
        <f>IF(A2926="D",LEFT(UPPER(B2926)&amp;REPT(" ",20),20),REPT(" ",20))</f>
        <v/>
      </c>
      <c r="S2926" s="10">
        <f>IF(A2926="D",LEFT(UPPER(C2926)&amp;REPT(" ",10),10)," ")</f>
        <v/>
      </c>
      <c r="T2926" s="10">
        <f>IF(A2926="D",LEFT(UPPER(D2926)&amp;REPT(" ",2),2)," ")</f>
        <v/>
      </c>
      <c r="U2926" s="10">
        <f>IF(A2926="D",LEFT(UPPER(E2926)&amp;REPT(" ",15),15)," ")</f>
        <v/>
      </c>
      <c r="V2926" s="10">
        <f>REPT(" ",24)</f>
        <v/>
      </c>
      <c r="W2926" s="10">
        <f>IF(A2926="c",LEFT(UPPER(B2926)&amp;REPT(" ",20),20),REPT(" ",20))</f>
        <v/>
      </c>
      <c r="X2926" s="10">
        <f>IF(A2926="C",LEFT(UPPER(C2926)&amp;REPT(" ",10),10)," ")</f>
        <v/>
      </c>
      <c r="Y2926" s="10">
        <f>IF(A2926="C",LEFT(UPPER(D2926)&amp;REPT(" ",2),2)," ")</f>
        <v/>
      </c>
      <c r="Z2926" s="10">
        <f>IF(A2926="C",LEFT(UPPER(E2926)&amp;REPT(" ",15),15)," ")</f>
        <v/>
      </c>
      <c r="AA2926" s="10">
        <f>REPT(" ",8)</f>
        <v/>
      </c>
      <c r="AB2926" s="10">
        <f>REPT(" ",4)</f>
        <v/>
      </c>
      <c r="AC2926" s="10">
        <f>LEFT(UPPER(H2926)&amp;REPT(" ",250),250)</f>
        <v/>
      </c>
      <c r="AD2926" s="10">
        <f>TEXT($G$2,"dd/mm/aaaa")</f>
        <v/>
      </c>
      <c r="AE2926" s="10">
        <f>REPT(" ",10)</f>
        <v/>
      </c>
      <c r="AF2926" s="10">
        <f>REPT(" ",20)</f>
        <v/>
      </c>
      <c r="AG2926" s="54">
        <f>REPT(" ",18-LEN(FIXED(F2926,2,TRUE)))&amp;FIXED(F2926,2,TRUE)</f>
        <v/>
      </c>
      <c r="AH2926" s="10">
        <f>LEN(AC2926)+LEN(AG2926)</f>
        <v/>
      </c>
      <c r="AI2926" s="10">
        <f>LEN(L2926)</f>
        <v/>
      </c>
    </row>
    <row r="2927">
      <c r="J2927" s="12">
        <f>IF(F2927&lt;&gt;0,"LANÇAR","")</f>
        <v/>
      </c>
      <c r="L2927" s="13">
        <f>N2927&amp;O2927&amp;P2927&amp;Q2927&amp;R2927&amp;S2927&amp;T2927&amp;U2927&amp;V2927&amp;W2927&amp;X2927&amp;Y2927&amp;Z2927&amp;AA2927&amp;AB2927&amp;AC2927&amp;AD2927&amp;AE2927&amp;AF2927&amp;AG2927</f>
        <v/>
      </c>
      <c r="N2927" s="10">
        <f>TEXT($B$6,"00")</f>
        <v/>
      </c>
      <c r="O2927" s="10">
        <f>REPT(" ",8)</f>
        <v/>
      </c>
      <c r="P2927" s="10">
        <f>RIGHT($B$4,2)</f>
        <v/>
      </c>
      <c r="Q2927" s="10">
        <f>RIGHT($B$5,3)</f>
        <v/>
      </c>
      <c r="R2927" s="10">
        <f>IF(A2927="D",LEFT(UPPER(B2927)&amp;REPT(" ",20),20),REPT(" ",20))</f>
        <v/>
      </c>
      <c r="S2927" s="10">
        <f>IF(A2927="D",LEFT(UPPER(C2927)&amp;REPT(" ",10),10)," ")</f>
        <v/>
      </c>
      <c r="T2927" s="10">
        <f>IF(A2927="D",LEFT(UPPER(D2927)&amp;REPT(" ",2),2)," ")</f>
        <v/>
      </c>
      <c r="U2927" s="10">
        <f>IF(A2927="D",LEFT(UPPER(E2927)&amp;REPT(" ",15),15)," ")</f>
        <v/>
      </c>
      <c r="V2927" s="10">
        <f>REPT(" ",24)</f>
        <v/>
      </c>
      <c r="W2927" s="10">
        <f>IF(A2927="c",LEFT(UPPER(B2927)&amp;REPT(" ",20),20),REPT(" ",20))</f>
        <v/>
      </c>
      <c r="X2927" s="10">
        <f>IF(A2927="C",LEFT(UPPER(C2927)&amp;REPT(" ",10),10)," ")</f>
        <v/>
      </c>
      <c r="Y2927" s="10">
        <f>IF(A2927="C",LEFT(UPPER(D2927)&amp;REPT(" ",2),2)," ")</f>
        <v/>
      </c>
      <c r="Z2927" s="10">
        <f>IF(A2927="C",LEFT(UPPER(E2927)&amp;REPT(" ",15),15)," ")</f>
        <v/>
      </c>
      <c r="AA2927" s="10">
        <f>REPT(" ",8)</f>
        <v/>
      </c>
      <c r="AB2927" s="10">
        <f>REPT(" ",4)</f>
        <v/>
      </c>
      <c r="AC2927" s="10">
        <f>LEFT(UPPER(H2927)&amp;REPT(" ",250),250)</f>
        <v/>
      </c>
      <c r="AD2927" s="10">
        <f>TEXT($G$2,"dd/mm/aaaa")</f>
        <v/>
      </c>
      <c r="AE2927" s="10">
        <f>REPT(" ",10)</f>
        <v/>
      </c>
      <c r="AF2927" s="10">
        <f>REPT(" ",20)</f>
        <v/>
      </c>
      <c r="AG2927" s="54">
        <f>REPT(" ",18-LEN(FIXED(F2927,2,TRUE)))&amp;FIXED(F2927,2,TRUE)</f>
        <v/>
      </c>
      <c r="AH2927" s="10">
        <f>LEN(AC2927)+LEN(AG2927)</f>
        <v/>
      </c>
      <c r="AI2927" s="10">
        <f>LEN(L2927)</f>
        <v/>
      </c>
    </row>
    <row r="2928">
      <c r="J2928" s="12">
        <f>IF(F2928&lt;&gt;0,"LANÇAR","")</f>
        <v/>
      </c>
      <c r="L2928" s="13">
        <f>N2928&amp;O2928&amp;P2928&amp;Q2928&amp;R2928&amp;S2928&amp;T2928&amp;U2928&amp;V2928&amp;W2928&amp;X2928&amp;Y2928&amp;Z2928&amp;AA2928&amp;AB2928&amp;AC2928&amp;AD2928&amp;AE2928&amp;AF2928&amp;AG2928</f>
        <v/>
      </c>
      <c r="N2928" s="10">
        <f>TEXT($B$6,"00")</f>
        <v/>
      </c>
      <c r="O2928" s="10">
        <f>REPT(" ",8)</f>
        <v/>
      </c>
      <c r="P2928" s="10">
        <f>RIGHT($B$4,2)</f>
        <v/>
      </c>
      <c r="Q2928" s="10">
        <f>RIGHT($B$5,3)</f>
        <v/>
      </c>
      <c r="R2928" s="10">
        <f>IF(A2928="D",LEFT(UPPER(B2928)&amp;REPT(" ",20),20),REPT(" ",20))</f>
        <v/>
      </c>
      <c r="S2928" s="10">
        <f>IF(A2928="D",LEFT(UPPER(C2928)&amp;REPT(" ",10),10)," ")</f>
        <v/>
      </c>
      <c r="T2928" s="10">
        <f>IF(A2928="D",LEFT(UPPER(D2928)&amp;REPT(" ",2),2)," ")</f>
        <v/>
      </c>
      <c r="U2928" s="10">
        <f>IF(A2928="D",LEFT(UPPER(E2928)&amp;REPT(" ",15),15)," ")</f>
        <v/>
      </c>
      <c r="V2928" s="10">
        <f>REPT(" ",24)</f>
        <v/>
      </c>
      <c r="W2928" s="10">
        <f>IF(A2928="c",LEFT(UPPER(B2928)&amp;REPT(" ",20),20),REPT(" ",20))</f>
        <v/>
      </c>
      <c r="X2928" s="10">
        <f>IF(A2928="C",LEFT(UPPER(C2928)&amp;REPT(" ",10),10)," ")</f>
        <v/>
      </c>
      <c r="Y2928" s="10">
        <f>IF(A2928="C",LEFT(UPPER(D2928)&amp;REPT(" ",2),2)," ")</f>
        <v/>
      </c>
      <c r="Z2928" s="10">
        <f>IF(A2928="C",LEFT(UPPER(E2928)&amp;REPT(" ",15),15)," ")</f>
        <v/>
      </c>
      <c r="AA2928" s="10">
        <f>REPT(" ",8)</f>
        <v/>
      </c>
      <c r="AB2928" s="10">
        <f>REPT(" ",4)</f>
        <v/>
      </c>
      <c r="AC2928" s="10">
        <f>LEFT(UPPER(H2928)&amp;REPT(" ",250),250)</f>
        <v/>
      </c>
      <c r="AD2928" s="10">
        <f>TEXT($G$2,"dd/mm/aaaa")</f>
        <v/>
      </c>
      <c r="AE2928" s="10">
        <f>REPT(" ",10)</f>
        <v/>
      </c>
      <c r="AF2928" s="10">
        <f>REPT(" ",20)</f>
        <v/>
      </c>
      <c r="AG2928" s="54">
        <f>REPT(" ",18-LEN(FIXED(F2928,2,TRUE)))&amp;FIXED(F2928,2,TRUE)</f>
        <v/>
      </c>
      <c r="AH2928" s="10">
        <f>LEN(AC2928)+LEN(AG2928)</f>
        <v/>
      </c>
      <c r="AI2928" s="10">
        <f>LEN(L2928)</f>
        <v/>
      </c>
    </row>
    <row r="2929">
      <c r="J2929" s="12">
        <f>IF(F2929&lt;&gt;0,"LANÇAR","")</f>
        <v/>
      </c>
      <c r="L2929" s="13">
        <f>N2929&amp;O2929&amp;P2929&amp;Q2929&amp;R2929&amp;S2929&amp;T2929&amp;U2929&amp;V2929&amp;W2929&amp;X2929&amp;Y2929&amp;Z2929&amp;AA2929&amp;AB2929&amp;AC2929&amp;AD2929&amp;AE2929&amp;AF2929&amp;AG2929</f>
        <v/>
      </c>
      <c r="N2929" s="10">
        <f>TEXT($B$6,"00")</f>
        <v/>
      </c>
      <c r="O2929" s="10">
        <f>REPT(" ",8)</f>
        <v/>
      </c>
      <c r="P2929" s="10">
        <f>RIGHT($B$4,2)</f>
        <v/>
      </c>
      <c r="Q2929" s="10">
        <f>RIGHT($B$5,3)</f>
        <v/>
      </c>
      <c r="R2929" s="10">
        <f>IF(A2929="D",LEFT(UPPER(B2929)&amp;REPT(" ",20),20),REPT(" ",20))</f>
        <v/>
      </c>
      <c r="S2929" s="10">
        <f>IF(A2929="D",LEFT(UPPER(C2929)&amp;REPT(" ",10),10)," ")</f>
        <v/>
      </c>
      <c r="T2929" s="10">
        <f>IF(A2929="D",LEFT(UPPER(D2929)&amp;REPT(" ",2),2)," ")</f>
        <v/>
      </c>
      <c r="U2929" s="10">
        <f>IF(A2929="D",LEFT(UPPER(E2929)&amp;REPT(" ",15),15)," ")</f>
        <v/>
      </c>
      <c r="V2929" s="10">
        <f>REPT(" ",24)</f>
        <v/>
      </c>
      <c r="W2929" s="10">
        <f>IF(A2929="c",LEFT(UPPER(B2929)&amp;REPT(" ",20),20),REPT(" ",20))</f>
        <v/>
      </c>
      <c r="X2929" s="10">
        <f>IF(A2929="C",LEFT(UPPER(C2929)&amp;REPT(" ",10),10)," ")</f>
        <v/>
      </c>
      <c r="Y2929" s="10">
        <f>IF(A2929="C",LEFT(UPPER(D2929)&amp;REPT(" ",2),2)," ")</f>
        <v/>
      </c>
      <c r="Z2929" s="10">
        <f>IF(A2929="C",LEFT(UPPER(E2929)&amp;REPT(" ",15),15)," ")</f>
        <v/>
      </c>
      <c r="AA2929" s="10">
        <f>REPT(" ",8)</f>
        <v/>
      </c>
      <c r="AB2929" s="10">
        <f>REPT(" ",4)</f>
        <v/>
      </c>
      <c r="AC2929" s="10">
        <f>LEFT(UPPER(H2929)&amp;REPT(" ",250),250)</f>
        <v/>
      </c>
      <c r="AD2929" s="10">
        <f>TEXT($G$2,"dd/mm/aaaa")</f>
        <v/>
      </c>
      <c r="AE2929" s="10">
        <f>REPT(" ",10)</f>
        <v/>
      </c>
      <c r="AF2929" s="10">
        <f>REPT(" ",20)</f>
        <v/>
      </c>
      <c r="AG2929" s="54">
        <f>REPT(" ",18-LEN(FIXED(F2929,2,TRUE)))&amp;FIXED(F2929,2,TRUE)</f>
        <v/>
      </c>
      <c r="AH2929" s="10">
        <f>LEN(AC2929)+LEN(AG2929)</f>
        <v/>
      </c>
      <c r="AI2929" s="10">
        <f>LEN(L2929)</f>
        <v/>
      </c>
    </row>
    <row r="2930">
      <c r="J2930" s="12">
        <f>IF(F2930&lt;&gt;0,"LANÇAR","")</f>
        <v/>
      </c>
      <c r="L2930" s="13">
        <f>N2930&amp;O2930&amp;P2930&amp;Q2930&amp;R2930&amp;S2930&amp;T2930&amp;U2930&amp;V2930&amp;W2930&amp;X2930&amp;Y2930&amp;Z2930&amp;AA2930&amp;AB2930&amp;AC2930&amp;AD2930&amp;AE2930&amp;AF2930&amp;AG2930</f>
        <v/>
      </c>
      <c r="N2930" s="10">
        <f>TEXT($B$6,"00")</f>
        <v/>
      </c>
      <c r="O2930" s="10">
        <f>REPT(" ",8)</f>
        <v/>
      </c>
      <c r="P2930" s="10">
        <f>RIGHT($B$4,2)</f>
        <v/>
      </c>
      <c r="Q2930" s="10">
        <f>RIGHT($B$5,3)</f>
        <v/>
      </c>
      <c r="R2930" s="10">
        <f>IF(A2930="D",LEFT(UPPER(B2930)&amp;REPT(" ",20),20),REPT(" ",20))</f>
        <v/>
      </c>
      <c r="S2930" s="10">
        <f>IF(A2930="D",LEFT(UPPER(C2930)&amp;REPT(" ",10),10)," ")</f>
        <v/>
      </c>
      <c r="T2930" s="10">
        <f>IF(A2930="D",LEFT(UPPER(D2930)&amp;REPT(" ",2),2)," ")</f>
        <v/>
      </c>
      <c r="U2930" s="10">
        <f>IF(A2930="D",LEFT(UPPER(E2930)&amp;REPT(" ",15),15)," ")</f>
        <v/>
      </c>
      <c r="V2930" s="10">
        <f>REPT(" ",24)</f>
        <v/>
      </c>
      <c r="W2930" s="10">
        <f>IF(A2930="c",LEFT(UPPER(B2930)&amp;REPT(" ",20),20),REPT(" ",20))</f>
        <v/>
      </c>
      <c r="X2930" s="10">
        <f>IF(A2930="C",LEFT(UPPER(C2930)&amp;REPT(" ",10),10)," ")</f>
        <v/>
      </c>
      <c r="Y2930" s="10">
        <f>IF(A2930="C",LEFT(UPPER(D2930)&amp;REPT(" ",2),2)," ")</f>
        <v/>
      </c>
      <c r="Z2930" s="10">
        <f>IF(A2930="C",LEFT(UPPER(E2930)&amp;REPT(" ",15),15)," ")</f>
        <v/>
      </c>
      <c r="AA2930" s="10">
        <f>REPT(" ",8)</f>
        <v/>
      </c>
      <c r="AB2930" s="10">
        <f>REPT(" ",4)</f>
        <v/>
      </c>
      <c r="AC2930" s="10">
        <f>LEFT(UPPER(H2930)&amp;REPT(" ",250),250)</f>
        <v/>
      </c>
      <c r="AD2930" s="10">
        <f>TEXT($G$2,"dd/mm/aaaa")</f>
        <v/>
      </c>
      <c r="AE2930" s="10">
        <f>REPT(" ",10)</f>
        <v/>
      </c>
      <c r="AF2930" s="10">
        <f>REPT(" ",20)</f>
        <v/>
      </c>
      <c r="AG2930" s="54">
        <f>REPT(" ",18-LEN(FIXED(F2930,2,TRUE)))&amp;FIXED(F2930,2,TRUE)</f>
        <v/>
      </c>
      <c r="AH2930" s="10">
        <f>LEN(AC2930)+LEN(AG2930)</f>
        <v/>
      </c>
      <c r="AI2930" s="10">
        <f>LEN(L2930)</f>
        <v/>
      </c>
    </row>
    <row r="2931">
      <c r="J2931" s="12">
        <f>IF(F2931&lt;&gt;0,"LANÇAR","")</f>
        <v/>
      </c>
      <c r="L2931" s="13">
        <f>N2931&amp;O2931&amp;P2931&amp;Q2931&amp;R2931&amp;S2931&amp;T2931&amp;U2931&amp;V2931&amp;W2931&amp;X2931&amp;Y2931&amp;Z2931&amp;AA2931&amp;AB2931&amp;AC2931&amp;AD2931&amp;AE2931&amp;AF2931&amp;AG2931</f>
        <v/>
      </c>
      <c r="N2931" s="10">
        <f>TEXT($B$6,"00")</f>
        <v/>
      </c>
      <c r="O2931" s="10">
        <f>REPT(" ",8)</f>
        <v/>
      </c>
      <c r="P2931" s="10">
        <f>RIGHT($B$4,2)</f>
        <v/>
      </c>
      <c r="Q2931" s="10">
        <f>RIGHT($B$5,3)</f>
        <v/>
      </c>
      <c r="R2931" s="10">
        <f>IF(A2931="D",LEFT(UPPER(B2931)&amp;REPT(" ",20),20),REPT(" ",20))</f>
        <v/>
      </c>
      <c r="S2931" s="10">
        <f>IF(A2931="D",LEFT(UPPER(C2931)&amp;REPT(" ",10),10)," ")</f>
        <v/>
      </c>
      <c r="T2931" s="10">
        <f>IF(A2931="D",LEFT(UPPER(D2931)&amp;REPT(" ",2),2)," ")</f>
        <v/>
      </c>
      <c r="U2931" s="10">
        <f>IF(A2931="D",LEFT(UPPER(E2931)&amp;REPT(" ",15),15)," ")</f>
        <v/>
      </c>
      <c r="V2931" s="10">
        <f>REPT(" ",24)</f>
        <v/>
      </c>
      <c r="W2931" s="10">
        <f>IF(A2931="c",LEFT(UPPER(B2931)&amp;REPT(" ",20),20),REPT(" ",20))</f>
        <v/>
      </c>
      <c r="X2931" s="10">
        <f>IF(A2931="C",LEFT(UPPER(C2931)&amp;REPT(" ",10),10)," ")</f>
        <v/>
      </c>
      <c r="Y2931" s="10">
        <f>IF(A2931="C",LEFT(UPPER(D2931)&amp;REPT(" ",2),2)," ")</f>
        <v/>
      </c>
      <c r="Z2931" s="10">
        <f>IF(A2931="C",LEFT(UPPER(E2931)&amp;REPT(" ",15),15)," ")</f>
        <v/>
      </c>
      <c r="AA2931" s="10">
        <f>REPT(" ",8)</f>
        <v/>
      </c>
      <c r="AB2931" s="10">
        <f>REPT(" ",4)</f>
        <v/>
      </c>
      <c r="AC2931" s="10">
        <f>LEFT(UPPER(H2931)&amp;REPT(" ",250),250)</f>
        <v/>
      </c>
      <c r="AD2931" s="10">
        <f>TEXT($G$2,"dd/mm/aaaa")</f>
        <v/>
      </c>
      <c r="AE2931" s="10">
        <f>REPT(" ",10)</f>
        <v/>
      </c>
      <c r="AF2931" s="10">
        <f>REPT(" ",20)</f>
        <v/>
      </c>
      <c r="AG2931" s="54">
        <f>REPT(" ",18-LEN(FIXED(F2931,2,TRUE)))&amp;FIXED(F2931,2,TRUE)</f>
        <v/>
      </c>
      <c r="AH2931" s="10">
        <f>LEN(AC2931)+LEN(AG2931)</f>
        <v/>
      </c>
      <c r="AI2931" s="10">
        <f>LEN(L2931)</f>
        <v/>
      </c>
    </row>
    <row r="2932">
      <c r="J2932" s="12">
        <f>IF(F2932&lt;&gt;0,"LANÇAR","")</f>
        <v/>
      </c>
      <c r="L2932" s="13">
        <f>N2932&amp;O2932&amp;P2932&amp;Q2932&amp;R2932&amp;S2932&amp;T2932&amp;U2932&amp;V2932&amp;W2932&amp;X2932&amp;Y2932&amp;Z2932&amp;AA2932&amp;AB2932&amp;AC2932&amp;AD2932&amp;AE2932&amp;AF2932&amp;AG2932</f>
        <v/>
      </c>
      <c r="N2932" s="10">
        <f>TEXT($B$6,"00")</f>
        <v/>
      </c>
      <c r="O2932" s="10">
        <f>REPT(" ",8)</f>
        <v/>
      </c>
      <c r="P2932" s="10">
        <f>RIGHT($B$4,2)</f>
        <v/>
      </c>
      <c r="Q2932" s="10">
        <f>RIGHT($B$5,3)</f>
        <v/>
      </c>
      <c r="R2932" s="10">
        <f>IF(A2932="D",LEFT(UPPER(B2932)&amp;REPT(" ",20),20),REPT(" ",20))</f>
        <v/>
      </c>
      <c r="S2932" s="10">
        <f>IF(A2932="D",LEFT(UPPER(C2932)&amp;REPT(" ",10),10)," ")</f>
        <v/>
      </c>
      <c r="T2932" s="10">
        <f>IF(A2932="D",LEFT(UPPER(D2932)&amp;REPT(" ",2),2)," ")</f>
        <v/>
      </c>
      <c r="U2932" s="10">
        <f>IF(A2932="D",LEFT(UPPER(E2932)&amp;REPT(" ",15),15)," ")</f>
        <v/>
      </c>
      <c r="V2932" s="10">
        <f>REPT(" ",24)</f>
        <v/>
      </c>
      <c r="W2932" s="10">
        <f>IF(A2932="c",LEFT(UPPER(B2932)&amp;REPT(" ",20),20),REPT(" ",20))</f>
        <v/>
      </c>
      <c r="X2932" s="10">
        <f>IF(A2932="C",LEFT(UPPER(C2932)&amp;REPT(" ",10),10)," ")</f>
        <v/>
      </c>
      <c r="Y2932" s="10">
        <f>IF(A2932="C",LEFT(UPPER(D2932)&amp;REPT(" ",2),2)," ")</f>
        <v/>
      </c>
      <c r="Z2932" s="10">
        <f>IF(A2932="C",LEFT(UPPER(E2932)&amp;REPT(" ",15),15)," ")</f>
        <v/>
      </c>
      <c r="AA2932" s="10">
        <f>REPT(" ",8)</f>
        <v/>
      </c>
      <c r="AB2932" s="10">
        <f>REPT(" ",4)</f>
        <v/>
      </c>
      <c r="AC2932" s="10">
        <f>LEFT(UPPER(H2932)&amp;REPT(" ",250),250)</f>
        <v/>
      </c>
      <c r="AD2932" s="10">
        <f>TEXT($G$2,"dd/mm/aaaa")</f>
        <v/>
      </c>
      <c r="AE2932" s="10">
        <f>REPT(" ",10)</f>
        <v/>
      </c>
      <c r="AF2932" s="10">
        <f>REPT(" ",20)</f>
        <v/>
      </c>
      <c r="AG2932" s="54">
        <f>REPT(" ",18-LEN(FIXED(F2932,2,TRUE)))&amp;FIXED(F2932,2,TRUE)</f>
        <v/>
      </c>
      <c r="AH2932" s="10">
        <f>LEN(AC2932)+LEN(AG2932)</f>
        <v/>
      </c>
      <c r="AI2932" s="10">
        <f>LEN(L2932)</f>
        <v/>
      </c>
    </row>
    <row r="2933">
      <c r="J2933" s="12">
        <f>IF(F2933&lt;&gt;0,"LANÇAR","")</f>
        <v/>
      </c>
      <c r="L2933" s="13">
        <f>N2933&amp;O2933&amp;P2933&amp;Q2933&amp;R2933&amp;S2933&amp;T2933&amp;U2933&amp;V2933&amp;W2933&amp;X2933&amp;Y2933&amp;Z2933&amp;AA2933&amp;AB2933&amp;AC2933&amp;AD2933&amp;AE2933&amp;AF2933&amp;AG2933</f>
        <v/>
      </c>
      <c r="N2933" s="10">
        <f>TEXT($B$6,"00")</f>
        <v/>
      </c>
      <c r="O2933" s="10">
        <f>REPT(" ",8)</f>
        <v/>
      </c>
      <c r="P2933" s="10">
        <f>RIGHT($B$4,2)</f>
        <v/>
      </c>
      <c r="Q2933" s="10">
        <f>RIGHT($B$5,3)</f>
        <v/>
      </c>
      <c r="R2933" s="10">
        <f>IF(A2933="D",LEFT(UPPER(B2933)&amp;REPT(" ",20),20),REPT(" ",20))</f>
        <v/>
      </c>
      <c r="S2933" s="10">
        <f>IF(A2933="D",LEFT(UPPER(C2933)&amp;REPT(" ",10),10)," ")</f>
        <v/>
      </c>
      <c r="T2933" s="10">
        <f>IF(A2933="D",LEFT(UPPER(D2933)&amp;REPT(" ",2),2)," ")</f>
        <v/>
      </c>
      <c r="U2933" s="10">
        <f>IF(A2933="D",LEFT(UPPER(E2933)&amp;REPT(" ",15),15)," ")</f>
        <v/>
      </c>
      <c r="V2933" s="10">
        <f>REPT(" ",24)</f>
        <v/>
      </c>
      <c r="W2933" s="10">
        <f>IF(A2933="c",LEFT(UPPER(B2933)&amp;REPT(" ",20),20),REPT(" ",20))</f>
        <v/>
      </c>
      <c r="X2933" s="10">
        <f>IF(A2933="C",LEFT(UPPER(C2933)&amp;REPT(" ",10),10)," ")</f>
        <v/>
      </c>
      <c r="Y2933" s="10">
        <f>IF(A2933="C",LEFT(UPPER(D2933)&amp;REPT(" ",2),2)," ")</f>
        <v/>
      </c>
      <c r="Z2933" s="10">
        <f>IF(A2933="C",LEFT(UPPER(E2933)&amp;REPT(" ",15),15)," ")</f>
        <v/>
      </c>
      <c r="AA2933" s="10">
        <f>REPT(" ",8)</f>
        <v/>
      </c>
      <c r="AB2933" s="10">
        <f>REPT(" ",4)</f>
        <v/>
      </c>
      <c r="AC2933" s="10">
        <f>LEFT(UPPER(H2933)&amp;REPT(" ",250),250)</f>
        <v/>
      </c>
      <c r="AD2933" s="10">
        <f>TEXT($G$2,"dd/mm/aaaa")</f>
        <v/>
      </c>
      <c r="AE2933" s="10">
        <f>REPT(" ",10)</f>
        <v/>
      </c>
      <c r="AF2933" s="10">
        <f>REPT(" ",20)</f>
        <v/>
      </c>
      <c r="AG2933" s="54">
        <f>REPT(" ",18-LEN(FIXED(F2933,2,TRUE)))&amp;FIXED(F2933,2,TRUE)</f>
        <v/>
      </c>
      <c r="AH2933" s="10">
        <f>LEN(AC2933)+LEN(AG2933)</f>
        <v/>
      </c>
      <c r="AI2933" s="10">
        <f>LEN(L2933)</f>
        <v/>
      </c>
    </row>
    <row r="2934">
      <c r="J2934" s="12">
        <f>IF(F2934&lt;&gt;0,"LANÇAR","")</f>
        <v/>
      </c>
      <c r="L2934" s="13">
        <f>N2934&amp;O2934&amp;P2934&amp;Q2934&amp;R2934&amp;S2934&amp;T2934&amp;U2934&amp;V2934&amp;W2934&amp;X2934&amp;Y2934&amp;Z2934&amp;AA2934&amp;AB2934&amp;AC2934&amp;AD2934&amp;AE2934&amp;AF2934&amp;AG2934</f>
        <v/>
      </c>
      <c r="N2934" s="10">
        <f>TEXT($B$6,"00")</f>
        <v/>
      </c>
      <c r="O2934" s="10">
        <f>REPT(" ",8)</f>
        <v/>
      </c>
      <c r="P2934" s="10">
        <f>RIGHT($B$4,2)</f>
        <v/>
      </c>
      <c r="Q2934" s="10">
        <f>RIGHT($B$5,3)</f>
        <v/>
      </c>
      <c r="R2934" s="10">
        <f>IF(A2934="D",LEFT(UPPER(B2934)&amp;REPT(" ",20),20),REPT(" ",20))</f>
        <v/>
      </c>
      <c r="S2934" s="10">
        <f>IF(A2934="D",LEFT(UPPER(C2934)&amp;REPT(" ",10),10)," ")</f>
        <v/>
      </c>
      <c r="T2934" s="10">
        <f>IF(A2934="D",LEFT(UPPER(D2934)&amp;REPT(" ",2),2)," ")</f>
        <v/>
      </c>
      <c r="U2934" s="10">
        <f>IF(A2934="D",LEFT(UPPER(E2934)&amp;REPT(" ",15),15)," ")</f>
        <v/>
      </c>
      <c r="V2934" s="10">
        <f>REPT(" ",24)</f>
        <v/>
      </c>
      <c r="W2934" s="10">
        <f>IF(A2934="c",LEFT(UPPER(B2934)&amp;REPT(" ",20),20),REPT(" ",20))</f>
        <v/>
      </c>
      <c r="X2934" s="10">
        <f>IF(A2934="C",LEFT(UPPER(C2934)&amp;REPT(" ",10),10)," ")</f>
        <v/>
      </c>
      <c r="Y2934" s="10">
        <f>IF(A2934="C",LEFT(UPPER(D2934)&amp;REPT(" ",2),2)," ")</f>
        <v/>
      </c>
      <c r="Z2934" s="10">
        <f>IF(A2934="C",LEFT(UPPER(E2934)&amp;REPT(" ",15),15)," ")</f>
        <v/>
      </c>
      <c r="AA2934" s="10">
        <f>REPT(" ",8)</f>
        <v/>
      </c>
      <c r="AB2934" s="10">
        <f>REPT(" ",4)</f>
        <v/>
      </c>
      <c r="AC2934" s="10">
        <f>LEFT(UPPER(H2934)&amp;REPT(" ",250),250)</f>
        <v/>
      </c>
      <c r="AD2934" s="10">
        <f>TEXT($G$2,"dd/mm/aaaa")</f>
        <v/>
      </c>
      <c r="AE2934" s="10">
        <f>REPT(" ",10)</f>
        <v/>
      </c>
      <c r="AF2934" s="10">
        <f>REPT(" ",20)</f>
        <v/>
      </c>
      <c r="AG2934" s="54">
        <f>REPT(" ",18-LEN(FIXED(F2934,2,TRUE)))&amp;FIXED(F2934,2,TRUE)</f>
        <v/>
      </c>
      <c r="AH2934" s="10">
        <f>LEN(AC2934)+LEN(AG2934)</f>
        <v/>
      </c>
      <c r="AI2934" s="10">
        <f>LEN(L2934)</f>
        <v/>
      </c>
    </row>
    <row r="2935">
      <c r="J2935" s="12">
        <f>IF(F2935&lt;&gt;0,"LANÇAR","")</f>
        <v/>
      </c>
      <c r="L2935" s="13">
        <f>N2935&amp;O2935&amp;P2935&amp;Q2935&amp;R2935&amp;S2935&amp;T2935&amp;U2935&amp;V2935&amp;W2935&amp;X2935&amp;Y2935&amp;Z2935&amp;AA2935&amp;AB2935&amp;AC2935&amp;AD2935&amp;AE2935&amp;AF2935&amp;AG2935</f>
        <v/>
      </c>
      <c r="N2935" s="10">
        <f>TEXT($B$6,"00")</f>
        <v/>
      </c>
      <c r="O2935" s="10">
        <f>REPT(" ",8)</f>
        <v/>
      </c>
      <c r="P2935" s="10">
        <f>RIGHT($B$4,2)</f>
        <v/>
      </c>
      <c r="Q2935" s="10">
        <f>RIGHT($B$5,3)</f>
        <v/>
      </c>
      <c r="R2935" s="10">
        <f>IF(A2935="D",LEFT(UPPER(B2935)&amp;REPT(" ",20),20),REPT(" ",20))</f>
        <v/>
      </c>
      <c r="S2935" s="10">
        <f>IF(A2935="D",LEFT(UPPER(C2935)&amp;REPT(" ",10),10)," ")</f>
        <v/>
      </c>
      <c r="T2935" s="10">
        <f>IF(A2935="D",LEFT(UPPER(D2935)&amp;REPT(" ",2),2)," ")</f>
        <v/>
      </c>
      <c r="U2935" s="10">
        <f>IF(A2935="D",LEFT(UPPER(E2935)&amp;REPT(" ",15),15)," ")</f>
        <v/>
      </c>
      <c r="V2935" s="10">
        <f>REPT(" ",24)</f>
        <v/>
      </c>
      <c r="W2935" s="10">
        <f>IF(A2935="c",LEFT(UPPER(B2935)&amp;REPT(" ",20),20),REPT(" ",20))</f>
        <v/>
      </c>
      <c r="X2935" s="10">
        <f>IF(A2935="C",LEFT(UPPER(C2935)&amp;REPT(" ",10),10)," ")</f>
        <v/>
      </c>
      <c r="Y2935" s="10">
        <f>IF(A2935="C",LEFT(UPPER(D2935)&amp;REPT(" ",2),2)," ")</f>
        <v/>
      </c>
      <c r="Z2935" s="10">
        <f>IF(A2935="C",LEFT(UPPER(E2935)&amp;REPT(" ",15),15)," ")</f>
        <v/>
      </c>
      <c r="AA2935" s="10">
        <f>REPT(" ",8)</f>
        <v/>
      </c>
      <c r="AB2935" s="10">
        <f>REPT(" ",4)</f>
        <v/>
      </c>
      <c r="AC2935" s="10">
        <f>LEFT(UPPER(H2935)&amp;REPT(" ",250),250)</f>
        <v/>
      </c>
      <c r="AD2935" s="10">
        <f>TEXT($G$2,"dd/mm/aaaa")</f>
        <v/>
      </c>
      <c r="AE2935" s="10">
        <f>REPT(" ",10)</f>
        <v/>
      </c>
      <c r="AF2935" s="10">
        <f>REPT(" ",20)</f>
        <v/>
      </c>
      <c r="AG2935" s="54">
        <f>REPT(" ",18-LEN(FIXED(F2935,2,TRUE)))&amp;FIXED(F2935,2,TRUE)</f>
        <v/>
      </c>
      <c r="AH2935" s="10">
        <f>LEN(AC2935)+LEN(AG2935)</f>
        <v/>
      </c>
      <c r="AI2935" s="10">
        <f>LEN(L2935)</f>
        <v/>
      </c>
    </row>
    <row r="2936">
      <c r="J2936" s="12">
        <f>IF(F2936&lt;&gt;0,"LANÇAR","")</f>
        <v/>
      </c>
      <c r="L2936" s="13">
        <f>N2936&amp;O2936&amp;P2936&amp;Q2936&amp;R2936&amp;S2936&amp;T2936&amp;U2936&amp;V2936&amp;W2936&amp;X2936&amp;Y2936&amp;Z2936&amp;AA2936&amp;AB2936&amp;AC2936&amp;AD2936&amp;AE2936&amp;AF2936&amp;AG2936</f>
        <v/>
      </c>
      <c r="N2936" s="10">
        <f>TEXT($B$6,"00")</f>
        <v/>
      </c>
      <c r="O2936" s="10">
        <f>REPT(" ",8)</f>
        <v/>
      </c>
      <c r="P2936" s="10">
        <f>RIGHT($B$4,2)</f>
        <v/>
      </c>
      <c r="Q2936" s="10">
        <f>RIGHT($B$5,3)</f>
        <v/>
      </c>
      <c r="R2936" s="10">
        <f>IF(A2936="D",LEFT(UPPER(B2936)&amp;REPT(" ",20),20),REPT(" ",20))</f>
        <v/>
      </c>
      <c r="S2936" s="10">
        <f>IF(A2936="D",LEFT(UPPER(C2936)&amp;REPT(" ",10),10)," ")</f>
        <v/>
      </c>
      <c r="T2936" s="10">
        <f>IF(A2936="D",LEFT(UPPER(D2936)&amp;REPT(" ",2),2)," ")</f>
        <v/>
      </c>
      <c r="U2936" s="10">
        <f>IF(A2936="D",LEFT(UPPER(E2936)&amp;REPT(" ",15),15)," ")</f>
        <v/>
      </c>
      <c r="V2936" s="10">
        <f>REPT(" ",24)</f>
        <v/>
      </c>
      <c r="W2936" s="10">
        <f>IF(A2936="c",LEFT(UPPER(B2936)&amp;REPT(" ",20),20),REPT(" ",20))</f>
        <v/>
      </c>
      <c r="X2936" s="10">
        <f>IF(A2936="C",LEFT(UPPER(C2936)&amp;REPT(" ",10),10)," ")</f>
        <v/>
      </c>
      <c r="Y2936" s="10">
        <f>IF(A2936="C",LEFT(UPPER(D2936)&amp;REPT(" ",2),2)," ")</f>
        <v/>
      </c>
      <c r="Z2936" s="10">
        <f>IF(A2936="C",LEFT(UPPER(E2936)&amp;REPT(" ",15),15)," ")</f>
        <v/>
      </c>
      <c r="AA2936" s="10">
        <f>REPT(" ",8)</f>
        <v/>
      </c>
      <c r="AB2936" s="10">
        <f>REPT(" ",4)</f>
        <v/>
      </c>
      <c r="AC2936" s="10">
        <f>LEFT(UPPER(H2936)&amp;REPT(" ",250),250)</f>
        <v/>
      </c>
      <c r="AD2936" s="10">
        <f>TEXT($G$2,"dd/mm/aaaa")</f>
        <v/>
      </c>
      <c r="AE2936" s="10">
        <f>REPT(" ",10)</f>
        <v/>
      </c>
      <c r="AF2936" s="10">
        <f>REPT(" ",20)</f>
        <v/>
      </c>
      <c r="AG2936" s="54">
        <f>REPT(" ",18-LEN(FIXED(F2936,2,TRUE)))&amp;FIXED(F2936,2,TRUE)</f>
        <v/>
      </c>
      <c r="AH2936" s="10">
        <f>LEN(AC2936)+LEN(AG2936)</f>
        <v/>
      </c>
      <c r="AI2936" s="10">
        <f>LEN(L2936)</f>
        <v/>
      </c>
    </row>
    <row r="2937">
      <c r="J2937" s="12">
        <f>IF(F2937&lt;&gt;0,"LANÇAR","")</f>
        <v/>
      </c>
      <c r="L2937" s="13">
        <f>N2937&amp;O2937&amp;P2937&amp;Q2937&amp;R2937&amp;S2937&amp;T2937&amp;U2937&amp;V2937&amp;W2937&amp;X2937&amp;Y2937&amp;Z2937&amp;AA2937&amp;AB2937&amp;AC2937&amp;AD2937&amp;AE2937&amp;AF2937&amp;AG2937</f>
        <v/>
      </c>
      <c r="N2937" s="10">
        <f>TEXT($B$6,"00")</f>
        <v/>
      </c>
      <c r="O2937" s="10">
        <f>REPT(" ",8)</f>
        <v/>
      </c>
      <c r="P2937" s="10">
        <f>RIGHT($B$4,2)</f>
        <v/>
      </c>
      <c r="Q2937" s="10">
        <f>RIGHT($B$5,3)</f>
        <v/>
      </c>
      <c r="R2937" s="10">
        <f>IF(A2937="D",LEFT(UPPER(B2937)&amp;REPT(" ",20),20),REPT(" ",20))</f>
        <v/>
      </c>
      <c r="S2937" s="10">
        <f>IF(A2937="D",LEFT(UPPER(C2937)&amp;REPT(" ",10),10)," ")</f>
        <v/>
      </c>
      <c r="T2937" s="10">
        <f>IF(A2937="D",LEFT(UPPER(D2937)&amp;REPT(" ",2),2)," ")</f>
        <v/>
      </c>
      <c r="U2937" s="10">
        <f>IF(A2937="D",LEFT(UPPER(E2937)&amp;REPT(" ",15),15)," ")</f>
        <v/>
      </c>
      <c r="V2937" s="10">
        <f>REPT(" ",24)</f>
        <v/>
      </c>
      <c r="W2937" s="10">
        <f>IF(A2937="c",LEFT(UPPER(B2937)&amp;REPT(" ",20),20),REPT(" ",20))</f>
        <v/>
      </c>
      <c r="X2937" s="10">
        <f>IF(A2937="C",LEFT(UPPER(C2937)&amp;REPT(" ",10),10)," ")</f>
        <v/>
      </c>
      <c r="Y2937" s="10">
        <f>IF(A2937="C",LEFT(UPPER(D2937)&amp;REPT(" ",2),2)," ")</f>
        <v/>
      </c>
      <c r="Z2937" s="10">
        <f>IF(A2937="C",LEFT(UPPER(E2937)&amp;REPT(" ",15),15)," ")</f>
        <v/>
      </c>
      <c r="AA2937" s="10">
        <f>REPT(" ",8)</f>
        <v/>
      </c>
      <c r="AB2937" s="10">
        <f>REPT(" ",4)</f>
        <v/>
      </c>
      <c r="AC2937" s="10">
        <f>LEFT(UPPER(H2937)&amp;REPT(" ",250),250)</f>
        <v/>
      </c>
      <c r="AD2937" s="10">
        <f>TEXT($G$2,"dd/mm/aaaa")</f>
        <v/>
      </c>
      <c r="AE2937" s="10">
        <f>REPT(" ",10)</f>
        <v/>
      </c>
      <c r="AF2937" s="10">
        <f>REPT(" ",20)</f>
        <v/>
      </c>
      <c r="AG2937" s="54">
        <f>REPT(" ",18-LEN(FIXED(F2937,2,TRUE)))&amp;FIXED(F2937,2,TRUE)</f>
        <v/>
      </c>
      <c r="AH2937" s="10">
        <f>LEN(AC2937)+LEN(AG2937)</f>
        <v/>
      </c>
      <c r="AI2937" s="10">
        <f>LEN(L2937)</f>
        <v/>
      </c>
    </row>
    <row r="2938">
      <c r="J2938" s="12">
        <f>IF(F2938&lt;&gt;0,"LANÇAR","")</f>
        <v/>
      </c>
      <c r="L2938" s="13">
        <f>N2938&amp;O2938&amp;P2938&amp;Q2938&amp;R2938&amp;S2938&amp;T2938&amp;U2938&amp;V2938&amp;W2938&amp;X2938&amp;Y2938&amp;Z2938&amp;AA2938&amp;AB2938&amp;AC2938&amp;AD2938&amp;AE2938&amp;AF2938&amp;AG2938</f>
        <v/>
      </c>
      <c r="N2938" s="10">
        <f>TEXT($B$6,"00")</f>
        <v/>
      </c>
      <c r="O2938" s="10">
        <f>REPT(" ",8)</f>
        <v/>
      </c>
      <c r="P2938" s="10">
        <f>RIGHT($B$4,2)</f>
        <v/>
      </c>
      <c r="Q2938" s="10">
        <f>RIGHT($B$5,3)</f>
        <v/>
      </c>
      <c r="R2938" s="10">
        <f>IF(A2938="D",LEFT(UPPER(B2938)&amp;REPT(" ",20),20),REPT(" ",20))</f>
        <v/>
      </c>
      <c r="S2938" s="10">
        <f>IF(A2938="D",LEFT(UPPER(C2938)&amp;REPT(" ",10),10)," ")</f>
        <v/>
      </c>
      <c r="T2938" s="10">
        <f>IF(A2938="D",LEFT(UPPER(D2938)&amp;REPT(" ",2),2)," ")</f>
        <v/>
      </c>
      <c r="U2938" s="10">
        <f>IF(A2938="D",LEFT(UPPER(E2938)&amp;REPT(" ",15),15)," ")</f>
        <v/>
      </c>
      <c r="V2938" s="10">
        <f>REPT(" ",24)</f>
        <v/>
      </c>
      <c r="W2938" s="10">
        <f>IF(A2938="c",LEFT(UPPER(B2938)&amp;REPT(" ",20),20),REPT(" ",20))</f>
        <v/>
      </c>
      <c r="X2938" s="10">
        <f>IF(A2938="C",LEFT(UPPER(C2938)&amp;REPT(" ",10),10)," ")</f>
        <v/>
      </c>
      <c r="Y2938" s="10">
        <f>IF(A2938="C",LEFT(UPPER(D2938)&amp;REPT(" ",2),2)," ")</f>
        <v/>
      </c>
      <c r="Z2938" s="10">
        <f>IF(A2938="C",LEFT(UPPER(E2938)&amp;REPT(" ",15),15)," ")</f>
        <v/>
      </c>
      <c r="AA2938" s="10">
        <f>REPT(" ",8)</f>
        <v/>
      </c>
      <c r="AB2938" s="10">
        <f>REPT(" ",4)</f>
        <v/>
      </c>
      <c r="AC2938" s="10">
        <f>LEFT(UPPER(H2938)&amp;REPT(" ",250),250)</f>
        <v/>
      </c>
      <c r="AD2938" s="10">
        <f>TEXT($G$2,"dd/mm/aaaa")</f>
        <v/>
      </c>
      <c r="AE2938" s="10">
        <f>REPT(" ",10)</f>
        <v/>
      </c>
      <c r="AF2938" s="10">
        <f>REPT(" ",20)</f>
        <v/>
      </c>
      <c r="AG2938" s="54">
        <f>REPT(" ",18-LEN(FIXED(F2938,2,TRUE)))&amp;FIXED(F2938,2,TRUE)</f>
        <v/>
      </c>
      <c r="AH2938" s="10">
        <f>LEN(AC2938)+LEN(AG2938)</f>
        <v/>
      </c>
      <c r="AI2938" s="10">
        <f>LEN(L2938)</f>
        <v/>
      </c>
    </row>
    <row r="2939">
      <c r="J2939" s="12">
        <f>IF(F2939&lt;&gt;0,"LANÇAR","")</f>
        <v/>
      </c>
      <c r="L2939" s="13">
        <f>N2939&amp;O2939&amp;P2939&amp;Q2939&amp;R2939&amp;S2939&amp;T2939&amp;U2939&amp;V2939&amp;W2939&amp;X2939&amp;Y2939&amp;Z2939&amp;AA2939&amp;AB2939&amp;AC2939&amp;AD2939&amp;AE2939&amp;AF2939&amp;AG2939</f>
        <v/>
      </c>
      <c r="N2939" s="10">
        <f>TEXT($B$6,"00")</f>
        <v/>
      </c>
      <c r="O2939" s="10">
        <f>REPT(" ",8)</f>
        <v/>
      </c>
      <c r="P2939" s="10">
        <f>RIGHT($B$4,2)</f>
        <v/>
      </c>
      <c r="Q2939" s="10">
        <f>RIGHT($B$5,3)</f>
        <v/>
      </c>
      <c r="R2939" s="10">
        <f>IF(A2939="D",LEFT(UPPER(B2939)&amp;REPT(" ",20),20),REPT(" ",20))</f>
        <v/>
      </c>
      <c r="S2939" s="10">
        <f>IF(A2939="D",LEFT(UPPER(C2939)&amp;REPT(" ",10),10)," ")</f>
        <v/>
      </c>
      <c r="T2939" s="10">
        <f>IF(A2939="D",LEFT(UPPER(D2939)&amp;REPT(" ",2),2)," ")</f>
        <v/>
      </c>
      <c r="U2939" s="10">
        <f>IF(A2939="D",LEFT(UPPER(E2939)&amp;REPT(" ",15),15)," ")</f>
        <v/>
      </c>
      <c r="V2939" s="10">
        <f>REPT(" ",24)</f>
        <v/>
      </c>
      <c r="W2939" s="10">
        <f>IF(A2939="c",LEFT(UPPER(B2939)&amp;REPT(" ",20),20),REPT(" ",20))</f>
        <v/>
      </c>
      <c r="X2939" s="10">
        <f>IF(A2939="C",LEFT(UPPER(C2939)&amp;REPT(" ",10),10)," ")</f>
        <v/>
      </c>
      <c r="Y2939" s="10">
        <f>IF(A2939="C",LEFT(UPPER(D2939)&amp;REPT(" ",2),2)," ")</f>
        <v/>
      </c>
      <c r="Z2939" s="10">
        <f>IF(A2939="C",LEFT(UPPER(E2939)&amp;REPT(" ",15),15)," ")</f>
        <v/>
      </c>
      <c r="AA2939" s="10">
        <f>REPT(" ",8)</f>
        <v/>
      </c>
      <c r="AB2939" s="10">
        <f>REPT(" ",4)</f>
        <v/>
      </c>
      <c r="AC2939" s="10">
        <f>LEFT(UPPER(H2939)&amp;REPT(" ",250),250)</f>
        <v/>
      </c>
      <c r="AD2939" s="10">
        <f>TEXT($G$2,"dd/mm/aaaa")</f>
        <v/>
      </c>
      <c r="AE2939" s="10">
        <f>REPT(" ",10)</f>
        <v/>
      </c>
      <c r="AF2939" s="10">
        <f>REPT(" ",20)</f>
        <v/>
      </c>
      <c r="AG2939" s="54">
        <f>REPT(" ",18-LEN(FIXED(F2939,2,TRUE)))&amp;FIXED(F2939,2,TRUE)</f>
        <v/>
      </c>
      <c r="AH2939" s="10">
        <f>LEN(AC2939)+LEN(AG2939)</f>
        <v/>
      </c>
      <c r="AI2939" s="10">
        <f>LEN(L2939)</f>
        <v/>
      </c>
    </row>
    <row r="2940">
      <c r="J2940" s="12">
        <f>IF(F2940&lt;&gt;0,"LANÇAR","")</f>
        <v/>
      </c>
      <c r="L2940" s="13">
        <f>N2940&amp;O2940&amp;P2940&amp;Q2940&amp;R2940&amp;S2940&amp;T2940&amp;U2940&amp;V2940&amp;W2940&amp;X2940&amp;Y2940&amp;Z2940&amp;AA2940&amp;AB2940&amp;AC2940&amp;AD2940&amp;AE2940&amp;AF2940&amp;AG2940</f>
        <v/>
      </c>
      <c r="N2940" s="10">
        <f>TEXT($B$6,"00")</f>
        <v/>
      </c>
      <c r="O2940" s="10">
        <f>REPT(" ",8)</f>
        <v/>
      </c>
      <c r="P2940" s="10">
        <f>RIGHT($B$4,2)</f>
        <v/>
      </c>
      <c r="Q2940" s="10">
        <f>RIGHT($B$5,3)</f>
        <v/>
      </c>
      <c r="R2940" s="10">
        <f>IF(A2940="D",LEFT(UPPER(B2940)&amp;REPT(" ",20),20),REPT(" ",20))</f>
        <v/>
      </c>
      <c r="S2940" s="10">
        <f>IF(A2940="D",LEFT(UPPER(C2940)&amp;REPT(" ",10),10)," ")</f>
        <v/>
      </c>
      <c r="T2940" s="10">
        <f>IF(A2940="D",LEFT(UPPER(D2940)&amp;REPT(" ",2),2)," ")</f>
        <v/>
      </c>
      <c r="U2940" s="10">
        <f>IF(A2940="D",LEFT(UPPER(E2940)&amp;REPT(" ",15),15)," ")</f>
        <v/>
      </c>
      <c r="V2940" s="10">
        <f>REPT(" ",24)</f>
        <v/>
      </c>
      <c r="W2940" s="10">
        <f>IF(A2940="c",LEFT(UPPER(B2940)&amp;REPT(" ",20),20),REPT(" ",20))</f>
        <v/>
      </c>
      <c r="X2940" s="10">
        <f>IF(A2940="C",LEFT(UPPER(C2940)&amp;REPT(" ",10),10)," ")</f>
        <v/>
      </c>
      <c r="Y2940" s="10">
        <f>IF(A2940="C",LEFT(UPPER(D2940)&amp;REPT(" ",2),2)," ")</f>
        <v/>
      </c>
      <c r="Z2940" s="10">
        <f>IF(A2940="C",LEFT(UPPER(E2940)&amp;REPT(" ",15),15)," ")</f>
        <v/>
      </c>
      <c r="AA2940" s="10">
        <f>REPT(" ",8)</f>
        <v/>
      </c>
      <c r="AB2940" s="10">
        <f>REPT(" ",4)</f>
        <v/>
      </c>
      <c r="AC2940" s="10">
        <f>LEFT(UPPER(H2940)&amp;REPT(" ",250),250)</f>
        <v/>
      </c>
      <c r="AD2940" s="10">
        <f>TEXT($G$2,"dd/mm/aaaa")</f>
        <v/>
      </c>
      <c r="AE2940" s="10">
        <f>REPT(" ",10)</f>
        <v/>
      </c>
      <c r="AF2940" s="10">
        <f>REPT(" ",20)</f>
        <v/>
      </c>
      <c r="AG2940" s="54">
        <f>REPT(" ",18-LEN(FIXED(F2940,2,TRUE)))&amp;FIXED(F2940,2,TRUE)</f>
        <v/>
      </c>
      <c r="AH2940" s="10">
        <f>LEN(AC2940)+LEN(AG2940)</f>
        <v/>
      </c>
      <c r="AI2940" s="10">
        <f>LEN(L2940)</f>
        <v/>
      </c>
    </row>
    <row r="2941">
      <c r="J2941" s="12">
        <f>IF(F2941&lt;&gt;0,"LANÇAR","")</f>
        <v/>
      </c>
      <c r="L2941" s="13">
        <f>N2941&amp;O2941&amp;P2941&amp;Q2941&amp;R2941&amp;S2941&amp;T2941&amp;U2941&amp;V2941&amp;W2941&amp;X2941&amp;Y2941&amp;Z2941&amp;AA2941&amp;AB2941&amp;AC2941&amp;AD2941&amp;AE2941&amp;AF2941&amp;AG2941</f>
        <v/>
      </c>
      <c r="N2941" s="10">
        <f>TEXT($B$6,"00")</f>
        <v/>
      </c>
      <c r="O2941" s="10">
        <f>REPT(" ",8)</f>
        <v/>
      </c>
      <c r="P2941" s="10">
        <f>RIGHT($B$4,2)</f>
        <v/>
      </c>
      <c r="Q2941" s="10">
        <f>RIGHT($B$5,3)</f>
        <v/>
      </c>
      <c r="R2941" s="10">
        <f>IF(A2941="D",LEFT(UPPER(B2941)&amp;REPT(" ",20),20),REPT(" ",20))</f>
        <v/>
      </c>
      <c r="S2941" s="10">
        <f>IF(A2941="D",LEFT(UPPER(C2941)&amp;REPT(" ",10),10)," ")</f>
        <v/>
      </c>
      <c r="T2941" s="10">
        <f>IF(A2941="D",LEFT(UPPER(D2941)&amp;REPT(" ",2),2)," ")</f>
        <v/>
      </c>
      <c r="U2941" s="10">
        <f>IF(A2941="D",LEFT(UPPER(E2941)&amp;REPT(" ",15),15)," ")</f>
        <v/>
      </c>
      <c r="V2941" s="10">
        <f>REPT(" ",24)</f>
        <v/>
      </c>
      <c r="W2941" s="10">
        <f>IF(A2941="c",LEFT(UPPER(B2941)&amp;REPT(" ",20),20),REPT(" ",20))</f>
        <v/>
      </c>
      <c r="X2941" s="10">
        <f>IF(A2941="C",LEFT(UPPER(C2941)&amp;REPT(" ",10),10)," ")</f>
        <v/>
      </c>
      <c r="Y2941" s="10">
        <f>IF(A2941="C",LEFT(UPPER(D2941)&amp;REPT(" ",2),2)," ")</f>
        <v/>
      </c>
      <c r="Z2941" s="10">
        <f>IF(A2941="C",LEFT(UPPER(E2941)&amp;REPT(" ",15),15)," ")</f>
        <v/>
      </c>
      <c r="AA2941" s="10">
        <f>REPT(" ",8)</f>
        <v/>
      </c>
      <c r="AB2941" s="10">
        <f>REPT(" ",4)</f>
        <v/>
      </c>
      <c r="AC2941" s="10">
        <f>LEFT(UPPER(H2941)&amp;REPT(" ",250),250)</f>
        <v/>
      </c>
      <c r="AD2941" s="10">
        <f>TEXT($G$2,"dd/mm/aaaa")</f>
        <v/>
      </c>
      <c r="AE2941" s="10">
        <f>REPT(" ",10)</f>
        <v/>
      </c>
      <c r="AF2941" s="10">
        <f>REPT(" ",20)</f>
        <v/>
      </c>
      <c r="AG2941" s="54">
        <f>REPT(" ",18-LEN(FIXED(F2941,2,TRUE)))&amp;FIXED(F2941,2,TRUE)</f>
        <v/>
      </c>
      <c r="AH2941" s="10">
        <f>LEN(AC2941)+LEN(AG2941)</f>
        <v/>
      </c>
      <c r="AI2941" s="10">
        <f>LEN(L2941)</f>
        <v/>
      </c>
    </row>
    <row r="2942">
      <c r="J2942" s="12">
        <f>IF(F2942&lt;&gt;0,"LANÇAR","")</f>
        <v/>
      </c>
      <c r="L2942" s="13">
        <f>N2942&amp;O2942&amp;P2942&amp;Q2942&amp;R2942&amp;S2942&amp;T2942&amp;U2942&amp;V2942&amp;W2942&amp;X2942&amp;Y2942&amp;Z2942&amp;AA2942&amp;AB2942&amp;AC2942&amp;AD2942&amp;AE2942&amp;AF2942&amp;AG2942</f>
        <v/>
      </c>
      <c r="N2942" s="10">
        <f>TEXT($B$6,"00")</f>
        <v/>
      </c>
      <c r="O2942" s="10">
        <f>REPT(" ",8)</f>
        <v/>
      </c>
      <c r="P2942" s="10">
        <f>RIGHT($B$4,2)</f>
        <v/>
      </c>
      <c r="Q2942" s="10">
        <f>RIGHT($B$5,3)</f>
        <v/>
      </c>
      <c r="R2942" s="10">
        <f>IF(A2942="D",LEFT(UPPER(B2942)&amp;REPT(" ",20),20),REPT(" ",20))</f>
        <v/>
      </c>
      <c r="S2942" s="10">
        <f>IF(A2942="D",LEFT(UPPER(C2942)&amp;REPT(" ",10),10)," ")</f>
        <v/>
      </c>
      <c r="T2942" s="10">
        <f>IF(A2942="D",LEFT(UPPER(D2942)&amp;REPT(" ",2),2)," ")</f>
        <v/>
      </c>
      <c r="U2942" s="10">
        <f>IF(A2942="D",LEFT(UPPER(E2942)&amp;REPT(" ",15),15)," ")</f>
        <v/>
      </c>
      <c r="V2942" s="10">
        <f>REPT(" ",24)</f>
        <v/>
      </c>
      <c r="W2942" s="10">
        <f>IF(A2942="c",LEFT(UPPER(B2942)&amp;REPT(" ",20),20),REPT(" ",20))</f>
        <v/>
      </c>
      <c r="X2942" s="10">
        <f>IF(A2942="C",LEFT(UPPER(C2942)&amp;REPT(" ",10),10)," ")</f>
        <v/>
      </c>
      <c r="Y2942" s="10">
        <f>IF(A2942="C",LEFT(UPPER(D2942)&amp;REPT(" ",2),2)," ")</f>
        <v/>
      </c>
      <c r="Z2942" s="10">
        <f>IF(A2942="C",LEFT(UPPER(E2942)&amp;REPT(" ",15),15)," ")</f>
        <v/>
      </c>
      <c r="AA2942" s="10">
        <f>REPT(" ",8)</f>
        <v/>
      </c>
      <c r="AB2942" s="10">
        <f>REPT(" ",4)</f>
        <v/>
      </c>
      <c r="AC2942" s="10">
        <f>LEFT(UPPER(H2942)&amp;REPT(" ",250),250)</f>
        <v/>
      </c>
      <c r="AD2942" s="10">
        <f>TEXT($G$2,"dd/mm/aaaa")</f>
        <v/>
      </c>
      <c r="AE2942" s="10">
        <f>REPT(" ",10)</f>
        <v/>
      </c>
      <c r="AF2942" s="10">
        <f>REPT(" ",20)</f>
        <v/>
      </c>
      <c r="AG2942" s="54">
        <f>REPT(" ",18-LEN(FIXED(F2942,2,TRUE)))&amp;FIXED(F2942,2,TRUE)</f>
        <v/>
      </c>
      <c r="AH2942" s="10">
        <f>LEN(AC2942)+LEN(AG2942)</f>
        <v/>
      </c>
      <c r="AI2942" s="10">
        <f>LEN(L2942)</f>
        <v/>
      </c>
    </row>
    <row r="2943">
      <c r="J2943" s="12">
        <f>IF(F2943&lt;&gt;0,"LANÇAR","")</f>
        <v/>
      </c>
      <c r="L2943" s="13">
        <f>N2943&amp;O2943&amp;P2943&amp;Q2943&amp;R2943&amp;S2943&amp;T2943&amp;U2943&amp;V2943&amp;W2943&amp;X2943&amp;Y2943&amp;Z2943&amp;AA2943&amp;AB2943&amp;AC2943&amp;AD2943&amp;AE2943&amp;AF2943&amp;AG2943</f>
        <v/>
      </c>
      <c r="N2943" s="10">
        <f>TEXT($B$6,"00")</f>
        <v/>
      </c>
      <c r="O2943" s="10">
        <f>REPT(" ",8)</f>
        <v/>
      </c>
      <c r="P2943" s="10">
        <f>RIGHT($B$4,2)</f>
        <v/>
      </c>
      <c r="Q2943" s="10">
        <f>RIGHT($B$5,3)</f>
        <v/>
      </c>
      <c r="R2943" s="10">
        <f>IF(A2943="D",LEFT(UPPER(B2943)&amp;REPT(" ",20),20),REPT(" ",20))</f>
        <v/>
      </c>
      <c r="S2943" s="10">
        <f>IF(A2943="D",LEFT(UPPER(C2943)&amp;REPT(" ",10),10)," ")</f>
        <v/>
      </c>
      <c r="T2943" s="10">
        <f>IF(A2943="D",LEFT(UPPER(D2943)&amp;REPT(" ",2),2)," ")</f>
        <v/>
      </c>
      <c r="U2943" s="10">
        <f>IF(A2943="D",LEFT(UPPER(E2943)&amp;REPT(" ",15),15)," ")</f>
        <v/>
      </c>
      <c r="V2943" s="10">
        <f>REPT(" ",24)</f>
        <v/>
      </c>
      <c r="W2943" s="10">
        <f>IF(A2943="c",LEFT(UPPER(B2943)&amp;REPT(" ",20),20),REPT(" ",20))</f>
        <v/>
      </c>
      <c r="X2943" s="10">
        <f>IF(A2943="C",LEFT(UPPER(C2943)&amp;REPT(" ",10),10)," ")</f>
        <v/>
      </c>
      <c r="Y2943" s="10">
        <f>IF(A2943="C",LEFT(UPPER(D2943)&amp;REPT(" ",2),2)," ")</f>
        <v/>
      </c>
      <c r="Z2943" s="10">
        <f>IF(A2943="C",LEFT(UPPER(E2943)&amp;REPT(" ",15),15)," ")</f>
        <v/>
      </c>
      <c r="AA2943" s="10">
        <f>REPT(" ",8)</f>
        <v/>
      </c>
      <c r="AB2943" s="10">
        <f>REPT(" ",4)</f>
        <v/>
      </c>
      <c r="AC2943" s="10">
        <f>LEFT(UPPER(H2943)&amp;REPT(" ",250),250)</f>
        <v/>
      </c>
      <c r="AD2943" s="10">
        <f>TEXT($G$2,"dd/mm/aaaa")</f>
        <v/>
      </c>
      <c r="AE2943" s="10">
        <f>REPT(" ",10)</f>
        <v/>
      </c>
      <c r="AF2943" s="10">
        <f>REPT(" ",20)</f>
        <v/>
      </c>
      <c r="AG2943" s="54">
        <f>REPT(" ",18-LEN(FIXED(F2943,2,TRUE)))&amp;FIXED(F2943,2,TRUE)</f>
        <v/>
      </c>
      <c r="AH2943" s="10">
        <f>LEN(AC2943)+LEN(AG2943)</f>
        <v/>
      </c>
      <c r="AI2943" s="10">
        <f>LEN(L2943)</f>
        <v/>
      </c>
    </row>
    <row r="2944">
      <c r="J2944" s="12">
        <f>IF(F2944&lt;&gt;0,"LANÇAR","")</f>
        <v/>
      </c>
      <c r="L2944" s="13">
        <f>N2944&amp;O2944&amp;P2944&amp;Q2944&amp;R2944&amp;S2944&amp;T2944&amp;U2944&amp;V2944&amp;W2944&amp;X2944&amp;Y2944&amp;Z2944&amp;AA2944&amp;AB2944&amp;AC2944&amp;AD2944&amp;AE2944&amp;AF2944&amp;AG2944</f>
        <v/>
      </c>
      <c r="N2944" s="10">
        <f>TEXT($B$6,"00")</f>
        <v/>
      </c>
      <c r="O2944" s="10">
        <f>REPT(" ",8)</f>
        <v/>
      </c>
      <c r="P2944" s="10">
        <f>RIGHT($B$4,2)</f>
        <v/>
      </c>
      <c r="Q2944" s="10">
        <f>RIGHT($B$5,3)</f>
        <v/>
      </c>
      <c r="R2944" s="10">
        <f>IF(A2944="D",LEFT(UPPER(B2944)&amp;REPT(" ",20),20),REPT(" ",20))</f>
        <v/>
      </c>
      <c r="S2944" s="10">
        <f>IF(A2944="D",LEFT(UPPER(C2944)&amp;REPT(" ",10),10)," ")</f>
        <v/>
      </c>
      <c r="T2944" s="10">
        <f>IF(A2944="D",LEFT(UPPER(D2944)&amp;REPT(" ",2),2)," ")</f>
        <v/>
      </c>
      <c r="U2944" s="10">
        <f>IF(A2944="D",LEFT(UPPER(E2944)&amp;REPT(" ",15),15)," ")</f>
        <v/>
      </c>
      <c r="V2944" s="10">
        <f>REPT(" ",24)</f>
        <v/>
      </c>
      <c r="W2944" s="10">
        <f>IF(A2944="c",LEFT(UPPER(B2944)&amp;REPT(" ",20),20),REPT(" ",20))</f>
        <v/>
      </c>
      <c r="X2944" s="10">
        <f>IF(A2944="C",LEFT(UPPER(C2944)&amp;REPT(" ",10),10)," ")</f>
        <v/>
      </c>
      <c r="Y2944" s="10">
        <f>IF(A2944="C",LEFT(UPPER(D2944)&amp;REPT(" ",2),2)," ")</f>
        <v/>
      </c>
      <c r="Z2944" s="10">
        <f>IF(A2944="C",LEFT(UPPER(E2944)&amp;REPT(" ",15),15)," ")</f>
        <v/>
      </c>
      <c r="AA2944" s="10">
        <f>REPT(" ",8)</f>
        <v/>
      </c>
      <c r="AB2944" s="10">
        <f>REPT(" ",4)</f>
        <v/>
      </c>
      <c r="AC2944" s="10">
        <f>LEFT(UPPER(H2944)&amp;REPT(" ",250),250)</f>
        <v/>
      </c>
      <c r="AD2944" s="10">
        <f>TEXT($G$2,"dd/mm/aaaa")</f>
        <v/>
      </c>
      <c r="AE2944" s="10">
        <f>REPT(" ",10)</f>
        <v/>
      </c>
      <c r="AF2944" s="10">
        <f>REPT(" ",20)</f>
        <v/>
      </c>
      <c r="AG2944" s="54">
        <f>REPT(" ",18-LEN(FIXED(F2944,2,TRUE)))&amp;FIXED(F2944,2,TRUE)</f>
        <v/>
      </c>
      <c r="AH2944" s="10">
        <f>LEN(AC2944)+LEN(AG2944)</f>
        <v/>
      </c>
      <c r="AI2944" s="10">
        <f>LEN(L2944)</f>
        <v/>
      </c>
    </row>
    <row r="2945">
      <c r="J2945" s="12">
        <f>IF(F2945&lt;&gt;0,"LANÇAR","")</f>
        <v/>
      </c>
      <c r="L2945" s="13">
        <f>N2945&amp;O2945&amp;P2945&amp;Q2945&amp;R2945&amp;S2945&amp;T2945&amp;U2945&amp;V2945&amp;W2945&amp;X2945&amp;Y2945&amp;Z2945&amp;AA2945&amp;AB2945&amp;AC2945&amp;AD2945&amp;AE2945&amp;AF2945&amp;AG2945</f>
        <v/>
      </c>
      <c r="N2945" s="10">
        <f>TEXT($B$6,"00")</f>
        <v/>
      </c>
      <c r="O2945" s="10">
        <f>REPT(" ",8)</f>
        <v/>
      </c>
      <c r="P2945" s="10">
        <f>RIGHT($B$4,2)</f>
        <v/>
      </c>
      <c r="Q2945" s="10">
        <f>RIGHT($B$5,3)</f>
        <v/>
      </c>
      <c r="R2945" s="10">
        <f>IF(A2945="D",LEFT(UPPER(B2945)&amp;REPT(" ",20),20),REPT(" ",20))</f>
        <v/>
      </c>
      <c r="S2945" s="10">
        <f>IF(A2945="D",LEFT(UPPER(C2945)&amp;REPT(" ",10),10)," ")</f>
        <v/>
      </c>
      <c r="T2945" s="10">
        <f>IF(A2945="D",LEFT(UPPER(D2945)&amp;REPT(" ",2),2)," ")</f>
        <v/>
      </c>
      <c r="U2945" s="10">
        <f>IF(A2945="D",LEFT(UPPER(E2945)&amp;REPT(" ",15),15)," ")</f>
        <v/>
      </c>
      <c r="V2945" s="10">
        <f>REPT(" ",24)</f>
        <v/>
      </c>
      <c r="W2945" s="10">
        <f>IF(A2945="c",LEFT(UPPER(B2945)&amp;REPT(" ",20),20),REPT(" ",20))</f>
        <v/>
      </c>
      <c r="X2945" s="10">
        <f>IF(A2945="C",LEFT(UPPER(C2945)&amp;REPT(" ",10),10)," ")</f>
        <v/>
      </c>
      <c r="Y2945" s="10">
        <f>IF(A2945="C",LEFT(UPPER(D2945)&amp;REPT(" ",2),2)," ")</f>
        <v/>
      </c>
      <c r="Z2945" s="10">
        <f>IF(A2945="C",LEFT(UPPER(E2945)&amp;REPT(" ",15),15)," ")</f>
        <v/>
      </c>
      <c r="AA2945" s="10">
        <f>REPT(" ",8)</f>
        <v/>
      </c>
      <c r="AB2945" s="10">
        <f>REPT(" ",4)</f>
        <v/>
      </c>
      <c r="AC2945" s="10">
        <f>LEFT(UPPER(H2945)&amp;REPT(" ",250),250)</f>
        <v/>
      </c>
      <c r="AD2945" s="10">
        <f>TEXT($G$2,"dd/mm/aaaa")</f>
        <v/>
      </c>
      <c r="AE2945" s="10">
        <f>REPT(" ",10)</f>
        <v/>
      </c>
      <c r="AF2945" s="10">
        <f>REPT(" ",20)</f>
        <v/>
      </c>
      <c r="AG2945" s="54">
        <f>REPT(" ",18-LEN(FIXED(F2945,2,TRUE)))&amp;FIXED(F2945,2,TRUE)</f>
        <v/>
      </c>
      <c r="AH2945" s="10">
        <f>LEN(AC2945)+LEN(AG2945)</f>
        <v/>
      </c>
      <c r="AI2945" s="10">
        <f>LEN(L2945)</f>
        <v/>
      </c>
    </row>
    <row r="2946">
      <c r="J2946" s="12">
        <f>IF(F2946&lt;&gt;0,"LANÇAR","")</f>
        <v/>
      </c>
      <c r="L2946" s="13">
        <f>N2946&amp;O2946&amp;P2946&amp;Q2946&amp;R2946&amp;S2946&amp;T2946&amp;U2946&amp;V2946&amp;W2946&amp;X2946&amp;Y2946&amp;Z2946&amp;AA2946&amp;AB2946&amp;AC2946&amp;AD2946&amp;AE2946&amp;AF2946&amp;AG2946</f>
        <v/>
      </c>
      <c r="N2946" s="10">
        <f>TEXT($B$6,"00")</f>
        <v/>
      </c>
      <c r="O2946" s="10">
        <f>REPT(" ",8)</f>
        <v/>
      </c>
      <c r="P2946" s="10">
        <f>RIGHT($B$4,2)</f>
        <v/>
      </c>
      <c r="Q2946" s="10">
        <f>RIGHT($B$5,3)</f>
        <v/>
      </c>
      <c r="R2946" s="10">
        <f>IF(A2946="D",LEFT(UPPER(B2946)&amp;REPT(" ",20),20),REPT(" ",20))</f>
        <v/>
      </c>
      <c r="S2946" s="10">
        <f>IF(A2946="D",LEFT(UPPER(C2946)&amp;REPT(" ",10),10)," ")</f>
        <v/>
      </c>
      <c r="T2946" s="10">
        <f>IF(A2946="D",LEFT(UPPER(D2946)&amp;REPT(" ",2),2)," ")</f>
        <v/>
      </c>
      <c r="U2946" s="10">
        <f>IF(A2946="D",LEFT(UPPER(E2946)&amp;REPT(" ",15),15)," ")</f>
        <v/>
      </c>
      <c r="V2946" s="10">
        <f>REPT(" ",24)</f>
        <v/>
      </c>
      <c r="W2946" s="10">
        <f>IF(A2946="c",LEFT(UPPER(B2946)&amp;REPT(" ",20),20),REPT(" ",20))</f>
        <v/>
      </c>
      <c r="X2946" s="10">
        <f>IF(A2946="C",LEFT(UPPER(C2946)&amp;REPT(" ",10),10)," ")</f>
        <v/>
      </c>
      <c r="Y2946" s="10">
        <f>IF(A2946="C",LEFT(UPPER(D2946)&amp;REPT(" ",2),2)," ")</f>
        <v/>
      </c>
      <c r="Z2946" s="10">
        <f>IF(A2946="C",LEFT(UPPER(E2946)&amp;REPT(" ",15),15)," ")</f>
        <v/>
      </c>
      <c r="AA2946" s="10">
        <f>REPT(" ",8)</f>
        <v/>
      </c>
      <c r="AB2946" s="10">
        <f>REPT(" ",4)</f>
        <v/>
      </c>
      <c r="AC2946" s="10">
        <f>LEFT(UPPER(H2946)&amp;REPT(" ",250),250)</f>
        <v/>
      </c>
      <c r="AD2946" s="10">
        <f>TEXT($G$2,"dd/mm/aaaa")</f>
        <v/>
      </c>
      <c r="AE2946" s="10">
        <f>REPT(" ",10)</f>
        <v/>
      </c>
      <c r="AF2946" s="10">
        <f>REPT(" ",20)</f>
        <v/>
      </c>
      <c r="AG2946" s="54">
        <f>REPT(" ",18-LEN(FIXED(F2946,2,TRUE)))&amp;FIXED(F2946,2,TRUE)</f>
        <v/>
      </c>
      <c r="AH2946" s="10">
        <f>LEN(AC2946)+LEN(AG2946)</f>
        <v/>
      </c>
      <c r="AI2946" s="10">
        <f>LEN(L2946)</f>
        <v/>
      </c>
    </row>
    <row r="2947">
      <c r="J2947" s="12">
        <f>IF(F2947&lt;&gt;0,"LANÇAR","")</f>
        <v/>
      </c>
      <c r="L2947" s="13">
        <f>N2947&amp;O2947&amp;P2947&amp;Q2947&amp;R2947&amp;S2947&amp;T2947&amp;U2947&amp;V2947&amp;W2947&amp;X2947&amp;Y2947&amp;Z2947&amp;AA2947&amp;AB2947&amp;AC2947&amp;AD2947&amp;AE2947&amp;AF2947&amp;AG2947</f>
        <v/>
      </c>
      <c r="N2947" s="10">
        <f>TEXT($B$6,"00")</f>
        <v/>
      </c>
      <c r="O2947" s="10">
        <f>REPT(" ",8)</f>
        <v/>
      </c>
      <c r="P2947" s="10">
        <f>RIGHT($B$4,2)</f>
        <v/>
      </c>
      <c r="Q2947" s="10">
        <f>RIGHT($B$5,3)</f>
        <v/>
      </c>
      <c r="R2947" s="10">
        <f>IF(A2947="D",LEFT(UPPER(B2947)&amp;REPT(" ",20),20),REPT(" ",20))</f>
        <v/>
      </c>
      <c r="S2947" s="10">
        <f>IF(A2947="D",LEFT(UPPER(C2947)&amp;REPT(" ",10),10)," ")</f>
        <v/>
      </c>
      <c r="T2947" s="10">
        <f>IF(A2947="D",LEFT(UPPER(D2947)&amp;REPT(" ",2),2)," ")</f>
        <v/>
      </c>
      <c r="U2947" s="10">
        <f>IF(A2947="D",LEFT(UPPER(E2947)&amp;REPT(" ",15),15)," ")</f>
        <v/>
      </c>
      <c r="V2947" s="10">
        <f>REPT(" ",24)</f>
        <v/>
      </c>
      <c r="W2947" s="10">
        <f>IF(A2947="c",LEFT(UPPER(B2947)&amp;REPT(" ",20),20),REPT(" ",20))</f>
        <v/>
      </c>
      <c r="X2947" s="10">
        <f>IF(A2947="C",LEFT(UPPER(C2947)&amp;REPT(" ",10),10)," ")</f>
        <v/>
      </c>
      <c r="Y2947" s="10">
        <f>IF(A2947="C",LEFT(UPPER(D2947)&amp;REPT(" ",2),2)," ")</f>
        <v/>
      </c>
      <c r="Z2947" s="10">
        <f>IF(A2947="C",LEFT(UPPER(E2947)&amp;REPT(" ",15),15)," ")</f>
        <v/>
      </c>
      <c r="AA2947" s="10">
        <f>REPT(" ",8)</f>
        <v/>
      </c>
      <c r="AB2947" s="10">
        <f>REPT(" ",4)</f>
        <v/>
      </c>
      <c r="AC2947" s="10">
        <f>LEFT(UPPER(H2947)&amp;REPT(" ",250),250)</f>
        <v/>
      </c>
      <c r="AD2947" s="10">
        <f>TEXT($G$2,"dd/mm/aaaa")</f>
        <v/>
      </c>
      <c r="AE2947" s="10">
        <f>REPT(" ",10)</f>
        <v/>
      </c>
      <c r="AF2947" s="10">
        <f>REPT(" ",20)</f>
        <v/>
      </c>
      <c r="AG2947" s="54">
        <f>REPT(" ",18-LEN(FIXED(F2947,2,TRUE)))&amp;FIXED(F2947,2,TRUE)</f>
        <v/>
      </c>
      <c r="AH2947" s="10">
        <f>LEN(AC2947)+LEN(AG2947)</f>
        <v/>
      </c>
      <c r="AI2947" s="10">
        <f>LEN(L2947)</f>
        <v/>
      </c>
    </row>
    <row r="2948">
      <c r="J2948" s="12">
        <f>IF(F2948&lt;&gt;0,"LANÇAR","")</f>
        <v/>
      </c>
      <c r="L2948" s="13">
        <f>N2948&amp;O2948&amp;P2948&amp;Q2948&amp;R2948&amp;S2948&amp;T2948&amp;U2948&amp;V2948&amp;W2948&amp;X2948&amp;Y2948&amp;Z2948&amp;AA2948&amp;AB2948&amp;AC2948&amp;AD2948&amp;AE2948&amp;AF2948&amp;AG2948</f>
        <v/>
      </c>
      <c r="N2948" s="10">
        <f>TEXT($B$6,"00")</f>
        <v/>
      </c>
      <c r="O2948" s="10">
        <f>REPT(" ",8)</f>
        <v/>
      </c>
      <c r="P2948" s="10">
        <f>RIGHT($B$4,2)</f>
        <v/>
      </c>
      <c r="Q2948" s="10">
        <f>RIGHT($B$5,3)</f>
        <v/>
      </c>
      <c r="R2948" s="10">
        <f>IF(A2948="D",LEFT(UPPER(B2948)&amp;REPT(" ",20),20),REPT(" ",20))</f>
        <v/>
      </c>
      <c r="S2948" s="10">
        <f>IF(A2948="D",LEFT(UPPER(C2948)&amp;REPT(" ",10),10)," ")</f>
        <v/>
      </c>
      <c r="T2948" s="10">
        <f>IF(A2948="D",LEFT(UPPER(D2948)&amp;REPT(" ",2),2)," ")</f>
        <v/>
      </c>
      <c r="U2948" s="10">
        <f>IF(A2948="D",LEFT(UPPER(E2948)&amp;REPT(" ",15),15)," ")</f>
        <v/>
      </c>
      <c r="V2948" s="10">
        <f>REPT(" ",24)</f>
        <v/>
      </c>
      <c r="W2948" s="10">
        <f>IF(A2948="c",LEFT(UPPER(B2948)&amp;REPT(" ",20),20),REPT(" ",20))</f>
        <v/>
      </c>
      <c r="X2948" s="10">
        <f>IF(A2948="C",LEFT(UPPER(C2948)&amp;REPT(" ",10),10)," ")</f>
        <v/>
      </c>
      <c r="Y2948" s="10">
        <f>IF(A2948="C",LEFT(UPPER(D2948)&amp;REPT(" ",2),2)," ")</f>
        <v/>
      </c>
      <c r="Z2948" s="10">
        <f>IF(A2948="C",LEFT(UPPER(E2948)&amp;REPT(" ",15),15)," ")</f>
        <v/>
      </c>
      <c r="AA2948" s="10">
        <f>REPT(" ",8)</f>
        <v/>
      </c>
      <c r="AB2948" s="10">
        <f>REPT(" ",4)</f>
        <v/>
      </c>
      <c r="AC2948" s="10">
        <f>LEFT(UPPER(H2948)&amp;REPT(" ",250),250)</f>
        <v/>
      </c>
      <c r="AD2948" s="10">
        <f>TEXT($G$2,"dd/mm/aaaa")</f>
        <v/>
      </c>
      <c r="AE2948" s="10">
        <f>REPT(" ",10)</f>
        <v/>
      </c>
      <c r="AF2948" s="10">
        <f>REPT(" ",20)</f>
        <v/>
      </c>
      <c r="AG2948" s="54">
        <f>REPT(" ",18-LEN(FIXED(F2948,2,TRUE)))&amp;FIXED(F2948,2,TRUE)</f>
        <v/>
      </c>
      <c r="AH2948" s="10">
        <f>LEN(AC2948)+LEN(AG2948)</f>
        <v/>
      </c>
      <c r="AI2948" s="10">
        <f>LEN(L2948)</f>
        <v/>
      </c>
    </row>
    <row r="2949">
      <c r="J2949" s="12">
        <f>IF(F2949&lt;&gt;0,"LANÇAR","")</f>
        <v/>
      </c>
      <c r="L2949" s="13">
        <f>N2949&amp;O2949&amp;P2949&amp;Q2949&amp;R2949&amp;S2949&amp;T2949&amp;U2949&amp;V2949&amp;W2949&amp;X2949&amp;Y2949&amp;Z2949&amp;AA2949&amp;AB2949&amp;AC2949&amp;AD2949&amp;AE2949&amp;AF2949&amp;AG2949</f>
        <v/>
      </c>
      <c r="N2949" s="10">
        <f>TEXT($B$6,"00")</f>
        <v/>
      </c>
      <c r="O2949" s="10">
        <f>REPT(" ",8)</f>
        <v/>
      </c>
      <c r="P2949" s="10">
        <f>RIGHT($B$4,2)</f>
        <v/>
      </c>
      <c r="Q2949" s="10">
        <f>RIGHT($B$5,3)</f>
        <v/>
      </c>
      <c r="R2949" s="10">
        <f>IF(A2949="D",LEFT(UPPER(B2949)&amp;REPT(" ",20),20),REPT(" ",20))</f>
        <v/>
      </c>
      <c r="S2949" s="10">
        <f>IF(A2949="D",LEFT(UPPER(C2949)&amp;REPT(" ",10),10)," ")</f>
        <v/>
      </c>
      <c r="T2949" s="10">
        <f>IF(A2949="D",LEFT(UPPER(D2949)&amp;REPT(" ",2),2)," ")</f>
        <v/>
      </c>
      <c r="U2949" s="10">
        <f>IF(A2949="D",LEFT(UPPER(E2949)&amp;REPT(" ",15),15)," ")</f>
        <v/>
      </c>
      <c r="V2949" s="10">
        <f>REPT(" ",24)</f>
        <v/>
      </c>
      <c r="W2949" s="10">
        <f>IF(A2949="c",LEFT(UPPER(B2949)&amp;REPT(" ",20),20),REPT(" ",20))</f>
        <v/>
      </c>
      <c r="X2949" s="10">
        <f>IF(A2949="C",LEFT(UPPER(C2949)&amp;REPT(" ",10),10)," ")</f>
        <v/>
      </c>
      <c r="Y2949" s="10">
        <f>IF(A2949="C",LEFT(UPPER(D2949)&amp;REPT(" ",2),2)," ")</f>
        <v/>
      </c>
      <c r="Z2949" s="10">
        <f>IF(A2949="C",LEFT(UPPER(E2949)&amp;REPT(" ",15),15)," ")</f>
        <v/>
      </c>
      <c r="AA2949" s="10">
        <f>REPT(" ",8)</f>
        <v/>
      </c>
      <c r="AB2949" s="10">
        <f>REPT(" ",4)</f>
        <v/>
      </c>
      <c r="AC2949" s="10">
        <f>LEFT(UPPER(H2949)&amp;REPT(" ",250),250)</f>
        <v/>
      </c>
      <c r="AD2949" s="10">
        <f>TEXT($G$2,"dd/mm/aaaa")</f>
        <v/>
      </c>
      <c r="AE2949" s="10">
        <f>REPT(" ",10)</f>
        <v/>
      </c>
      <c r="AF2949" s="10">
        <f>REPT(" ",20)</f>
        <v/>
      </c>
      <c r="AG2949" s="54">
        <f>REPT(" ",18-LEN(FIXED(F2949,2,TRUE)))&amp;FIXED(F2949,2,TRUE)</f>
        <v/>
      </c>
      <c r="AH2949" s="10">
        <f>LEN(AC2949)+LEN(AG2949)</f>
        <v/>
      </c>
      <c r="AI2949" s="10">
        <f>LEN(L2949)</f>
        <v/>
      </c>
    </row>
    <row r="2950">
      <c r="J2950" s="12">
        <f>IF(F2950&lt;&gt;0,"LANÇAR","")</f>
        <v/>
      </c>
      <c r="L2950" s="13">
        <f>N2950&amp;O2950&amp;P2950&amp;Q2950&amp;R2950&amp;S2950&amp;T2950&amp;U2950&amp;V2950&amp;W2950&amp;X2950&amp;Y2950&amp;Z2950&amp;AA2950&amp;AB2950&amp;AC2950&amp;AD2950&amp;AE2950&amp;AF2950&amp;AG2950</f>
        <v/>
      </c>
      <c r="N2950" s="10">
        <f>TEXT($B$6,"00")</f>
        <v/>
      </c>
      <c r="O2950" s="10">
        <f>REPT(" ",8)</f>
        <v/>
      </c>
      <c r="P2950" s="10">
        <f>RIGHT($B$4,2)</f>
        <v/>
      </c>
      <c r="Q2950" s="10">
        <f>RIGHT($B$5,3)</f>
        <v/>
      </c>
      <c r="R2950" s="10">
        <f>IF(A2950="D",LEFT(UPPER(B2950)&amp;REPT(" ",20),20),REPT(" ",20))</f>
        <v/>
      </c>
      <c r="S2950" s="10">
        <f>IF(A2950="D",LEFT(UPPER(C2950)&amp;REPT(" ",10),10)," ")</f>
        <v/>
      </c>
      <c r="T2950" s="10">
        <f>IF(A2950="D",LEFT(UPPER(D2950)&amp;REPT(" ",2),2)," ")</f>
        <v/>
      </c>
      <c r="U2950" s="10">
        <f>IF(A2950="D",LEFT(UPPER(E2950)&amp;REPT(" ",15),15)," ")</f>
        <v/>
      </c>
      <c r="V2950" s="10">
        <f>REPT(" ",24)</f>
        <v/>
      </c>
      <c r="W2950" s="10">
        <f>IF(A2950="c",LEFT(UPPER(B2950)&amp;REPT(" ",20),20),REPT(" ",20))</f>
        <v/>
      </c>
      <c r="X2950" s="10">
        <f>IF(A2950="C",LEFT(UPPER(C2950)&amp;REPT(" ",10),10)," ")</f>
        <v/>
      </c>
      <c r="Y2950" s="10">
        <f>IF(A2950="C",LEFT(UPPER(D2950)&amp;REPT(" ",2),2)," ")</f>
        <v/>
      </c>
      <c r="Z2950" s="10">
        <f>IF(A2950="C",LEFT(UPPER(E2950)&amp;REPT(" ",15),15)," ")</f>
        <v/>
      </c>
      <c r="AA2950" s="10">
        <f>REPT(" ",8)</f>
        <v/>
      </c>
      <c r="AB2950" s="10">
        <f>REPT(" ",4)</f>
        <v/>
      </c>
      <c r="AC2950" s="10">
        <f>LEFT(UPPER(H2950)&amp;REPT(" ",250),250)</f>
        <v/>
      </c>
      <c r="AD2950" s="10">
        <f>TEXT($G$2,"dd/mm/aaaa")</f>
        <v/>
      </c>
      <c r="AE2950" s="10">
        <f>REPT(" ",10)</f>
        <v/>
      </c>
      <c r="AF2950" s="10">
        <f>REPT(" ",20)</f>
        <v/>
      </c>
      <c r="AG2950" s="54">
        <f>REPT(" ",18-LEN(FIXED(F2950,2,TRUE)))&amp;FIXED(F2950,2,TRUE)</f>
        <v/>
      </c>
      <c r="AH2950" s="10">
        <f>LEN(AC2950)+LEN(AG2950)</f>
        <v/>
      </c>
      <c r="AI2950" s="10">
        <f>LEN(L2950)</f>
        <v/>
      </c>
    </row>
    <row r="2951">
      <c r="J2951" s="12">
        <f>IF(F2951&lt;&gt;0,"LANÇAR","")</f>
        <v/>
      </c>
      <c r="L2951" s="13">
        <f>N2951&amp;O2951&amp;P2951&amp;Q2951&amp;R2951&amp;S2951&amp;T2951&amp;U2951&amp;V2951&amp;W2951&amp;X2951&amp;Y2951&amp;Z2951&amp;AA2951&amp;AB2951&amp;AC2951&amp;AD2951&amp;AE2951&amp;AF2951&amp;AG2951</f>
        <v/>
      </c>
      <c r="N2951" s="10">
        <f>TEXT($B$6,"00")</f>
        <v/>
      </c>
      <c r="O2951" s="10">
        <f>REPT(" ",8)</f>
        <v/>
      </c>
      <c r="P2951" s="10">
        <f>RIGHT($B$4,2)</f>
        <v/>
      </c>
      <c r="Q2951" s="10">
        <f>RIGHT($B$5,3)</f>
        <v/>
      </c>
      <c r="R2951" s="10">
        <f>IF(A2951="D",LEFT(UPPER(B2951)&amp;REPT(" ",20),20),REPT(" ",20))</f>
        <v/>
      </c>
      <c r="S2951" s="10">
        <f>IF(A2951="D",LEFT(UPPER(C2951)&amp;REPT(" ",10),10)," ")</f>
        <v/>
      </c>
      <c r="T2951" s="10">
        <f>IF(A2951="D",LEFT(UPPER(D2951)&amp;REPT(" ",2),2)," ")</f>
        <v/>
      </c>
      <c r="U2951" s="10">
        <f>IF(A2951="D",LEFT(UPPER(E2951)&amp;REPT(" ",15),15)," ")</f>
        <v/>
      </c>
      <c r="V2951" s="10">
        <f>REPT(" ",24)</f>
        <v/>
      </c>
      <c r="W2951" s="10">
        <f>IF(A2951="c",LEFT(UPPER(B2951)&amp;REPT(" ",20),20),REPT(" ",20))</f>
        <v/>
      </c>
      <c r="X2951" s="10">
        <f>IF(A2951="C",LEFT(UPPER(C2951)&amp;REPT(" ",10),10)," ")</f>
        <v/>
      </c>
      <c r="Y2951" s="10">
        <f>IF(A2951="C",LEFT(UPPER(D2951)&amp;REPT(" ",2),2)," ")</f>
        <v/>
      </c>
      <c r="Z2951" s="10">
        <f>IF(A2951="C",LEFT(UPPER(E2951)&amp;REPT(" ",15),15)," ")</f>
        <v/>
      </c>
      <c r="AA2951" s="10">
        <f>REPT(" ",8)</f>
        <v/>
      </c>
      <c r="AB2951" s="10">
        <f>REPT(" ",4)</f>
        <v/>
      </c>
      <c r="AC2951" s="10">
        <f>LEFT(UPPER(H2951)&amp;REPT(" ",250),250)</f>
        <v/>
      </c>
      <c r="AD2951" s="10">
        <f>TEXT($G$2,"dd/mm/aaaa")</f>
        <v/>
      </c>
      <c r="AE2951" s="10">
        <f>REPT(" ",10)</f>
        <v/>
      </c>
      <c r="AF2951" s="10">
        <f>REPT(" ",20)</f>
        <v/>
      </c>
      <c r="AG2951" s="54">
        <f>REPT(" ",18-LEN(FIXED(F2951,2,TRUE)))&amp;FIXED(F2951,2,TRUE)</f>
        <v/>
      </c>
      <c r="AH2951" s="10">
        <f>LEN(AC2951)+LEN(AG2951)</f>
        <v/>
      </c>
      <c r="AI2951" s="10">
        <f>LEN(L2951)</f>
        <v/>
      </c>
    </row>
    <row r="2952">
      <c r="J2952" s="12">
        <f>IF(F2952&lt;&gt;0,"LANÇAR","")</f>
        <v/>
      </c>
      <c r="L2952" s="13">
        <f>N2952&amp;O2952&amp;P2952&amp;Q2952&amp;R2952&amp;S2952&amp;T2952&amp;U2952&amp;V2952&amp;W2952&amp;X2952&amp;Y2952&amp;Z2952&amp;AA2952&amp;AB2952&amp;AC2952&amp;AD2952&amp;AE2952&amp;AF2952&amp;AG2952</f>
        <v/>
      </c>
      <c r="N2952" s="10">
        <f>TEXT($B$6,"00")</f>
        <v/>
      </c>
      <c r="O2952" s="10">
        <f>REPT(" ",8)</f>
        <v/>
      </c>
      <c r="P2952" s="10">
        <f>RIGHT($B$4,2)</f>
        <v/>
      </c>
      <c r="Q2952" s="10">
        <f>RIGHT($B$5,3)</f>
        <v/>
      </c>
      <c r="R2952" s="10">
        <f>IF(A2952="D",LEFT(UPPER(B2952)&amp;REPT(" ",20),20),REPT(" ",20))</f>
        <v/>
      </c>
      <c r="S2952" s="10">
        <f>IF(A2952="D",LEFT(UPPER(C2952)&amp;REPT(" ",10),10)," ")</f>
        <v/>
      </c>
      <c r="T2952" s="10">
        <f>IF(A2952="D",LEFT(UPPER(D2952)&amp;REPT(" ",2),2)," ")</f>
        <v/>
      </c>
      <c r="U2952" s="10">
        <f>IF(A2952="D",LEFT(UPPER(E2952)&amp;REPT(" ",15),15)," ")</f>
        <v/>
      </c>
      <c r="V2952" s="10">
        <f>REPT(" ",24)</f>
        <v/>
      </c>
      <c r="W2952" s="10">
        <f>IF(A2952="c",LEFT(UPPER(B2952)&amp;REPT(" ",20),20),REPT(" ",20))</f>
        <v/>
      </c>
      <c r="X2952" s="10">
        <f>IF(A2952="C",LEFT(UPPER(C2952)&amp;REPT(" ",10),10)," ")</f>
        <v/>
      </c>
      <c r="Y2952" s="10">
        <f>IF(A2952="C",LEFT(UPPER(D2952)&amp;REPT(" ",2),2)," ")</f>
        <v/>
      </c>
      <c r="Z2952" s="10">
        <f>IF(A2952="C",LEFT(UPPER(E2952)&amp;REPT(" ",15),15)," ")</f>
        <v/>
      </c>
      <c r="AA2952" s="10">
        <f>REPT(" ",8)</f>
        <v/>
      </c>
      <c r="AB2952" s="10">
        <f>REPT(" ",4)</f>
        <v/>
      </c>
      <c r="AC2952" s="10">
        <f>LEFT(UPPER(H2952)&amp;REPT(" ",250),250)</f>
        <v/>
      </c>
      <c r="AD2952" s="10">
        <f>TEXT($G$2,"dd/mm/aaaa")</f>
        <v/>
      </c>
      <c r="AE2952" s="10">
        <f>REPT(" ",10)</f>
        <v/>
      </c>
      <c r="AF2952" s="10">
        <f>REPT(" ",20)</f>
        <v/>
      </c>
      <c r="AG2952" s="54">
        <f>REPT(" ",18-LEN(FIXED(F2952,2,TRUE)))&amp;FIXED(F2952,2,TRUE)</f>
        <v/>
      </c>
      <c r="AH2952" s="10">
        <f>LEN(AC2952)+LEN(AG2952)</f>
        <v/>
      </c>
      <c r="AI2952" s="10">
        <f>LEN(L2952)</f>
        <v/>
      </c>
    </row>
    <row r="2953">
      <c r="J2953" s="12">
        <f>IF(F2953&lt;&gt;0,"LANÇAR","")</f>
        <v/>
      </c>
      <c r="L2953" s="13">
        <f>N2953&amp;O2953&amp;P2953&amp;Q2953&amp;R2953&amp;S2953&amp;T2953&amp;U2953&amp;V2953&amp;W2953&amp;X2953&amp;Y2953&amp;Z2953&amp;AA2953&amp;AB2953&amp;AC2953&amp;AD2953&amp;AE2953&amp;AF2953&amp;AG2953</f>
        <v/>
      </c>
      <c r="N2953" s="10">
        <f>TEXT($B$6,"00")</f>
        <v/>
      </c>
      <c r="O2953" s="10">
        <f>REPT(" ",8)</f>
        <v/>
      </c>
      <c r="P2953" s="10">
        <f>RIGHT($B$4,2)</f>
        <v/>
      </c>
      <c r="Q2953" s="10">
        <f>RIGHT($B$5,3)</f>
        <v/>
      </c>
      <c r="R2953" s="10">
        <f>IF(A2953="D",LEFT(UPPER(B2953)&amp;REPT(" ",20),20),REPT(" ",20))</f>
        <v/>
      </c>
      <c r="S2953" s="10">
        <f>IF(A2953="D",LEFT(UPPER(C2953)&amp;REPT(" ",10),10)," ")</f>
        <v/>
      </c>
      <c r="T2953" s="10">
        <f>IF(A2953="D",LEFT(UPPER(D2953)&amp;REPT(" ",2),2)," ")</f>
        <v/>
      </c>
      <c r="U2953" s="10">
        <f>IF(A2953="D",LEFT(UPPER(E2953)&amp;REPT(" ",15),15)," ")</f>
        <v/>
      </c>
      <c r="V2953" s="10">
        <f>REPT(" ",24)</f>
        <v/>
      </c>
      <c r="W2953" s="10">
        <f>IF(A2953="c",LEFT(UPPER(B2953)&amp;REPT(" ",20),20),REPT(" ",20))</f>
        <v/>
      </c>
      <c r="X2953" s="10">
        <f>IF(A2953="C",LEFT(UPPER(C2953)&amp;REPT(" ",10),10)," ")</f>
        <v/>
      </c>
      <c r="Y2953" s="10">
        <f>IF(A2953="C",LEFT(UPPER(D2953)&amp;REPT(" ",2),2)," ")</f>
        <v/>
      </c>
      <c r="Z2953" s="10">
        <f>IF(A2953="C",LEFT(UPPER(E2953)&amp;REPT(" ",15),15)," ")</f>
        <v/>
      </c>
      <c r="AA2953" s="10">
        <f>REPT(" ",8)</f>
        <v/>
      </c>
      <c r="AB2953" s="10">
        <f>REPT(" ",4)</f>
        <v/>
      </c>
      <c r="AC2953" s="10">
        <f>LEFT(UPPER(H2953)&amp;REPT(" ",250),250)</f>
        <v/>
      </c>
      <c r="AD2953" s="10">
        <f>TEXT($G$2,"dd/mm/aaaa")</f>
        <v/>
      </c>
      <c r="AE2953" s="10">
        <f>REPT(" ",10)</f>
        <v/>
      </c>
      <c r="AF2953" s="10">
        <f>REPT(" ",20)</f>
        <v/>
      </c>
      <c r="AG2953" s="54">
        <f>REPT(" ",18-LEN(FIXED(F2953,2,TRUE)))&amp;FIXED(F2953,2,TRUE)</f>
        <v/>
      </c>
      <c r="AH2953" s="10">
        <f>LEN(AC2953)+LEN(AG2953)</f>
        <v/>
      </c>
      <c r="AI2953" s="10">
        <f>LEN(L2953)</f>
        <v/>
      </c>
    </row>
    <row r="2954">
      <c r="J2954" s="12">
        <f>IF(F2954&lt;&gt;0,"LANÇAR","")</f>
        <v/>
      </c>
      <c r="L2954" s="13">
        <f>N2954&amp;O2954&amp;P2954&amp;Q2954&amp;R2954&amp;S2954&amp;T2954&amp;U2954&amp;V2954&amp;W2954&amp;X2954&amp;Y2954&amp;Z2954&amp;AA2954&amp;AB2954&amp;AC2954&amp;AD2954&amp;AE2954&amp;AF2954&amp;AG2954</f>
        <v/>
      </c>
      <c r="N2954" s="10">
        <f>TEXT($B$6,"00")</f>
        <v/>
      </c>
      <c r="O2954" s="10">
        <f>REPT(" ",8)</f>
        <v/>
      </c>
      <c r="P2954" s="10">
        <f>RIGHT($B$4,2)</f>
        <v/>
      </c>
      <c r="Q2954" s="10">
        <f>RIGHT($B$5,3)</f>
        <v/>
      </c>
      <c r="R2954" s="10">
        <f>IF(A2954="D",LEFT(UPPER(B2954)&amp;REPT(" ",20),20),REPT(" ",20))</f>
        <v/>
      </c>
      <c r="S2954" s="10">
        <f>IF(A2954="D",LEFT(UPPER(C2954)&amp;REPT(" ",10),10)," ")</f>
        <v/>
      </c>
      <c r="T2954" s="10">
        <f>IF(A2954="D",LEFT(UPPER(D2954)&amp;REPT(" ",2),2)," ")</f>
        <v/>
      </c>
      <c r="U2954" s="10">
        <f>IF(A2954="D",LEFT(UPPER(E2954)&amp;REPT(" ",15),15)," ")</f>
        <v/>
      </c>
      <c r="V2954" s="10">
        <f>REPT(" ",24)</f>
        <v/>
      </c>
      <c r="W2954" s="10">
        <f>IF(A2954="c",LEFT(UPPER(B2954)&amp;REPT(" ",20),20),REPT(" ",20))</f>
        <v/>
      </c>
      <c r="X2954" s="10">
        <f>IF(A2954="C",LEFT(UPPER(C2954)&amp;REPT(" ",10),10)," ")</f>
        <v/>
      </c>
      <c r="Y2954" s="10">
        <f>IF(A2954="C",LEFT(UPPER(D2954)&amp;REPT(" ",2),2)," ")</f>
        <v/>
      </c>
      <c r="Z2954" s="10">
        <f>IF(A2954="C",LEFT(UPPER(E2954)&amp;REPT(" ",15),15)," ")</f>
        <v/>
      </c>
      <c r="AA2954" s="10">
        <f>REPT(" ",8)</f>
        <v/>
      </c>
      <c r="AB2954" s="10">
        <f>REPT(" ",4)</f>
        <v/>
      </c>
      <c r="AC2954" s="10">
        <f>LEFT(UPPER(H2954)&amp;REPT(" ",250),250)</f>
        <v/>
      </c>
      <c r="AD2954" s="10">
        <f>TEXT($G$2,"dd/mm/aaaa")</f>
        <v/>
      </c>
      <c r="AE2954" s="10">
        <f>REPT(" ",10)</f>
        <v/>
      </c>
      <c r="AF2954" s="10">
        <f>REPT(" ",20)</f>
        <v/>
      </c>
      <c r="AG2954" s="54">
        <f>REPT(" ",18-LEN(FIXED(F2954,2,TRUE)))&amp;FIXED(F2954,2,TRUE)</f>
        <v/>
      </c>
      <c r="AH2954" s="10">
        <f>LEN(AC2954)+LEN(AG2954)</f>
        <v/>
      </c>
      <c r="AI2954" s="10">
        <f>LEN(L2954)</f>
        <v/>
      </c>
    </row>
    <row r="2955">
      <c r="J2955" s="12">
        <f>IF(F2955&lt;&gt;0,"LANÇAR","")</f>
        <v/>
      </c>
      <c r="L2955" s="13">
        <f>N2955&amp;O2955&amp;P2955&amp;Q2955&amp;R2955&amp;S2955&amp;T2955&amp;U2955&amp;V2955&amp;W2955&amp;X2955&amp;Y2955&amp;Z2955&amp;AA2955&amp;AB2955&amp;AC2955&amp;AD2955&amp;AE2955&amp;AF2955&amp;AG2955</f>
        <v/>
      </c>
      <c r="N2955" s="10">
        <f>TEXT($B$6,"00")</f>
        <v/>
      </c>
      <c r="O2955" s="10">
        <f>REPT(" ",8)</f>
        <v/>
      </c>
      <c r="P2955" s="10">
        <f>RIGHT($B$4,2)</f>
        <v/>
      </c>
      <c r="Q2955" s="10">
        <f>RIGHT($B$5,3)</f>
        <v/>
      </c>
      <c r="R2955" s="10">
        <f>IF(A2955="D",LEFT(UPPER(B2955)&amp;REPT(" ",20),20),REPT(" ",20))</f>
        <v/>
      </c>
      <c r="S2955" s="10">
        <f>IF(A2955="D",LEFT(UPPER(C2955)&amp;REPT(" ",10),10)," ")</f>
        <v/>
      </c>
      <c r="T2955" s="10">
        <f>IF(A2955="D",LEFT(UPPER(D2955)&amp;REPT(" ",2),2)," ")</f>
        <v/>
      </c>
      <c r="U2955" s="10">
        <f>IF(A2955="D",LEFT(UPPER(E2955)&amp;REPT(" ",15),15)," ")</f>
        <v/>
      </c>
      <c r="V2955" s="10">
        <f>REPT(" ",24)</f>
        <v/>
      </c>
      <c r="W2955" s="10">
        <f>IF(A2955="c",LEFT(UPPER(B2955)&amp;REPT(" ",20),20),REPT(" ",20))</f>
        <v/>
      </c>
      <c r="X2955" s="10">
        <f>IF(A2955="C",LEFT(UPPER(C2955)&amp;REPT(" ",10),10)," ")</f>
        <v/>
      </c>
      <c r="Y2955" s="10">
        <f>IF(A2955="C",LEFT(UPPER(D2955)&amp;REPT(" ",2),2)," ")</f>
        <v/>
      </c>
      <c r="Z2955" s="10">
        <f>IF(A2955="C",LEFT(UPPER(E2955)&amp;REPT(" ",15),15)," ")</f>
        <v/>
      </c>
      <c r="AA2955" s="10">
        <f>REPT(" ",8)</f>
        <v/>
      </c>
      <c r="AB2955" s="10">
        <f>REPT(" ",4)</f>
        <v/>
      </c>
      <c r="AC2955" s="10">
        <f>LEFT(UPPER(H2955)&amp;REPT(" ",250),250)</f>
        <v/>
      </c>
      <c r="AD2955" s="10">
        <f>TEXT($G$2,"dd/mm/aaaa")</f>
        <v/>
      </c>
      <c r="AE2955" s="10">
        <f>REPT(" ",10)</f>
        <v/>
      </c>
      <c r="AF2955" s="10">
        <f>REPT(" ",20)</f>
        <v/>
      </c>
      <c r="AG2955" s="54">
        <f>REPT(" ",18-LEN(FIXED(F2955,2,TRUE)))&amp;FIXED(F2955,2,TRUE)</f>
        <v/>
      </c>
      <c r="AH2955" s="10">
        <f>LEN(AC2955)+LEN(AG2955)</f>
        <v/>
      </c>
      <c r="AI2955" s="10">
        <f>LEN(L2955)</f>
        <v/>
      </c>
    </row>
    <row r="2956">
      <c r="J2956" s="12">
        <f>IF(F2956&lt;&gt;0,"LANÇAR","")</f>
        <v/>
      </c>
      <c r="L2956" s="13">
        <f>N2956&amp;O2956&amp;P2956&amp;Q2956&amp;R2956&amp;S2956&amp;T2956&amp;U2956&amp;V2956&amp;W2956&amp;X2956&amp;Y2956&amp;Z2956&amp;AA2956&amp;AB2956&amp;AC2956&amp;AD2956&amp;AE2956&amp;AF2956&amp;AG2956</f>
        <v/>
      </c>
      <c r="N2956" s="10">
        <f>TEXT($B$6,"00")</f>
        <v/>
      </c>
      <c r="O2956" s="10">
        <f>REPT(" ",8)</f>
        <v/>
      </c>
      <c r="P2956" s="10">
        <f>RIGHT($B$4,2)</f>
        <v/>
      </c>
      <c r="Q2956" s="10">
        <f>RIGHT($B$5,3)</f>
        <v/>
      </c>
      <c r="R2956" s="10">
        <f>IF(A2956="D",LEFT(UPPER(B2956)&amp;REPT(" ",20),20),REPT(" ",20))</f>
        <v/>
      </c>
      <c r="S2956" s="10">
        <f>IF(A2956="D",LEFT(UPPER(C2956)&amp;REPT(" ",10),10)," ")</f>
        <v/>
      </c>
      <c r="T2956" s="10">
        <f>IF(A2956="D",LEFT(UPPER(D2956)&amp;REPT(" ",2),2)," ")</f>
        <v/>
      </c>
      <c r="U2956" s="10">
        <f>IF(A2956="D",LEFT(UPPER(E2956)&amp;REPT(" ",15),15)," ")</f>
        <v/>
      </c>
      <c r="V2956" s="10">
        <f>REPT(" ",24)</f>
        <v/>
      </c>
      <c r="W2956" s="10">
        <f>IF(A2956="c",LEFT(UPPER(B2956)&amp;REPT(" ",20),20),REPT(" ",20))</f>
        <v/>
      </c>
      <c r="X2956" s="10">
        <f>IF(A2956="C",LEFT(UPPER(C2956)&amp;REPT(" ",10),10)," ")</f>
        <v/>
      </c>
      <c r="Y2956" s="10">
        <f>IF(A2956="C",LEFT(UPPER(D2956)&amp;REPT(" ",2),2)," ")</f>
        <v/>
      </c>
      <c r="Z2956" s="10">
        <f>IF(A2956="C",LEFT(UPPER(E2956)&amp;REPT(" ",15),15)," ")</f>
        <v/>
      </c>
      <c r="AA2956" s="10">
        <f>REPT(" ",8)</f>
        <v/>
      </c>
      <c r="AB2956" s="10">
        <f>REPT(" ",4)</f>
        <v/>
      </c>
      <c r="AC2956" s="10">
        <f>LEFT(UPPER(H2956)&amp;REPT(" ",250),250)</f>
        <v/>
      </c>
      <c r="AD2956" s="10">
        <f>TEXT($G$2,"dd/mm/aaaa")</f>
        <v/>
      </c>
      <c r="AE2956" s="10">
        <f>REPT(" ",10)</f>
        <v/>
      </c>
      <c r="AF2956" s="10">
        <f>REPT(" ",20)</f>
        <v/>
      </c>
      <c r="AG2956" s="54">
        <f>REPT(" ",18-LEN(FIXED(F2956,2,TRUE)))&amp;FIXED(F2956,2,TRUE)</f>
        <v/>
      </c>
      <c r="AH2956" s="10">
        <f>LEN(AC2956)+LEN(AG2956)</f>
        <v/>
      </c>
      <c r="AI2956" s="10">
        <f>LEN(L2956)</f>
        <v/>
      </c>
    </row>
    <row r="2957">
      <c r="J2957" s="12">
        <f>IF(F2957&lt;&gt;0,"LANÇAR","")</f>
        <v/>
      </c>
      <c r="L2957" s="13">
        <f>N2957&amp;O2957&amp;P2957&amp;Q2957&amp;R2957&amp;S2957&amp;T2957&amp;U2957&amp;V2957&amp;W2957&amp;X2957&amp;Y2957&amp;Z2957&amp;AA2957&amp;AB2957&amp;AC2957&amp;AD2957&amp;AE2957&amp;AF2957&amp;AG2957</f>
        <v/>
      </c>
      <c r="N2957" s="10">
        <f>TEXT($B$6,"00")</f>
        <v/>
      </c>
      <c r="O2957" s="10">
        <f>REPT(" ",8)</f>
        <v/>
      </c>
      <c r="P2957" s="10">
        <f>RIGHT($B$4,2)</f>
        <v/>
      </c>
      <c r="Q2957" s="10">
        <f>RIGHT($B$5,3)</f>
        <v/>
      </c>
      <c r="R2957" s="10">
        <f>IF(A2957="D",LEFT(UPPER(B2957)&amp;REPT(" ",20),20),REPT(" ",20))</f>
        <v/>
      </c>
      <c r="S2957" s="10">
        <f>IF(A2957="D",LEFT(UPPER(C2957)&amp;REPT(" ",10),10)," ")</f>
        <v/>
      </c>
      <c r="T2957" s="10">
        <f>IF(A2957="D",LEFT(UPPER(D2957)&amp;REPT(" ",2),2)," ")</f>
        <v/>
      </c>
      <c r="U2957" s="10">
        <f>IF(A2957="D",LEFT(UPPER(E2957)&amp;REPT(" ",15),15)," ")</f>
        <v/>
      </c>
      <c r="V2957" s="10">
        <f>REPT(" ",24)</f>
        <v/>
      </c>
      <c r="W2957" s="10">
        <f>IF(A2957="c",LEFT(UPPER(B2957)&amp;REPT(" ",20),20),REPT(" ",20))</f>
        <v/>
      </c>
      <c r="X2957" s="10">
        <f>IF(A2957="C",LEFT(UPPER(C2957)&amp;REPT(" ",10),10)," ")</f>
        <v/>
      </c>
      <c r="Y2957" s="10">
        <f>IF(A2957="C",LEFT(UPPER(D2957)&amp;REPT(" ",2),2)," ")</f>
        <v/>
      </c>
      <c r="Z2957" s="10">
        <f>IF(A2957="C",LEFT(UPPER(E2957)&amp;REPT(" ",15),15)," ")</f>
        <v/>
      </c>
      <c r="AA2957" s="10">
        <f>REPT(" ",8)</f>
        <v/>
      </c>
      <c r="AB2957" s="10">
        <f>REPT(" ",4)</f>
        <v/>
      </c>
      <c r="AC2957" s="10">
        <f>LEFT(UPPER(H2957)&amp;REPT(" ",250),250)</f>
        <v/>
      </c>
      <c r="AD2957" s="10">
        <f>TEXT($G$2,"dd/mm/aaaa")</f>
        <v/>
      </c>
      <c r="AE2957" s="10">
        <f>REPT(" ",10)</f>
        <v/>
      </c>
      <c r="AF2957" s="10">
        <f>REPT(" ",20)</f>
        <v/>
      </c>
      <c r="AG2957" s="54">
        <f>REPT(" ",18-LEN(FIXED(F2957,2,TRUE)))&amp;FIXED(F2957,2,TRUE)</f>
        <v/>
      </c>
      <c r="AH2957" s="10">
        <f>LEN(AC2957)+LEN(AG2957)</f>
        <v/>
      </c>
      <c r="AI2957" s="10">
        <f>LEN(L2957)</f>
        <v/>
      </c>
    </row>
    <row r="2958">
      <c r="J2958" s="12">
        <f>IF(F2958&lt;&gt;0,"LANÇAR","")</f>
        <v/>
      </c>
      <c r="L2958" s="13">
        <f>N2958&amp;O2958&amp;P2958&amp;Q2958&amp;R2958&amp;S2958&amp;T2958&amp;U2958&amp;V2958&amp;W2958&amp;X2958&amp;Y2958&amp;Z2958&amp;AA2958&amp;AB2958&amp;AC2958&amp;AD2958&amp;AE2958&amp;AF2958&amp;AG2958</f>
        <v/>
      </c>
      <c r="N2958" s="10">
        <f>TEXT($B$6,"00")</f>
        <v/>
      </c>
      <c r="O2958" s="10">
        <f>REPT(" ",8)</f>
        <v/>
      </c>
      <c r="P2958" s="10">
        <f>RIGHT($B$4,2)</f>
        <v/>
      </c>
      <c r="Q2958" s="10">
        <f>RIGHT($B$5,3)</f>
        <v/>
      </c>
      <c r="R2958" s="10">
        <f>IF(A2958="D",LEFT(UPPER(B2958)&amp;REPT(" ",20),20),REPT(" ",20))</f>
        <v/>
      </c>
      <c r="S2958" s="10">
        <f>IF(A2958="D",LEFT(UPPER(C2958)&amp;REPT(" ",10),10)," ")</f>
        <v/>
      </c>
      <c r="T2958" s="10">
        <f>IF(A2958="D",LEFT(UPPER(D2958)&amp;REPT(" ",2),2)," ")</f>
        <v/>
      </c>
      <c r="U2958" s="10">
        <f>IF(A2958="D",LEFT(UPPER(E2958)&amp;REPT(" ",15),15)," ")</f>
        <v/>
      </c>
      <c r="V2958" s="10">
        <f>REPT(" ",24)</f>
        <v/>
      </c>
      <c r="W2958" s="10">
        <f>IF(A2958="c",LEFT(UPPER(B2958)&amp;REPT(" ",20),20),REPT(" ",20))</f>
        <v/>
      </c>
      <c r="X2958" s="10">
        <f>IF(A2958="C",LEFT(UPPER(C2958)&amp;REPT(" ",10),10)," ")</f>
        <v/>
      </c>
      <c r="Y2958" s="10">
        <f>IF(A2958="C",LEFT(UPPER(D2958)&amp;REPT(" ",2),2)," ")</f>
        <v/>
      </c>
      <c r="Z2958" s="10">
        <f>IF(A2958="C",LEFT(UPPER(E2958)&amp;REPT(" ",15),15)," ")</f>
        <v/>
      </c>
      <c r="AA2958" s="10">
        <f>REPT(" ",8)</f>
        <v/>
      </c>
      <c r="AB2958" s="10">
        <f>REPT(" ",4)</f>
        <v/>
      </c>
      <c r="AC2958" s="10">
        <f>LEFT(UPPER(H2958)&amp;REPT(" ",250),250)</f>
        <v/>
      </c>
      <c r="AD2958" s="10">
        <f>TEXT($G$2,"dd/mm/aaaa")</f>
        <v/>
      </c>
      <c r="AE2958" s="10">
        <f>REPT(" ",10)</f>
        <v/>
      </c>
      <c r="AF2958" s="10">
        <f>REPT(" ",20)</f>
        <v/>
      </c>
      <c r="AG2958" s="54">
        <f>REPT(" ",18-LEN(FIXED(F2958,2,TRUE)))&amp;FIXED(F2958,2,TRUE)</f>
        <v/>
      </c>
      <c r="AH2958" s="10">
        <f>LEN(AC2958)+LEN(AG2958)</f>
        <v/>
      </c>
      <c r="AI2958" s="10">
        <f>LEN(L2958)</f>
        <v/>
      </c>
    </row>
    <row r="2959">
      <c r="J2959" s="12">
        <f>IF(F2959&lt;&gt;0,"LANÇAR","")</f>
        <v/>
      </c>
      <c r="L2959" s="13">
        <f>N2959&amp;O2959&amp;P2959&amp;Q2959&amp;R2959&amp;S2959&amp;T2959&amp;U2959&amp;V2959&amp;W2959&amp;X2959&amp;Y2959&amp;Z2959&amp;AA2959&amp;AB2959&amp;AC2959&amp;AD2959&amp;AE2959&amp;AF2959&amp;AG2959</f>
        <v/>
      </c>
      <c r="N2959" s="10">
        <f>TEXT($B$6,"00")</f>
        <v/>
      </c>
      <c r="O2959" s="10">
        <f>REPT(" ",8)</f>
        <v/>
      </c>
      <c r="P2959" s="10">
        <f>RIGHT($B$4,2)</f>
        <v/>
      </c>
      <c r="Q2959" s="10">
        <f>RIGHT($B$5,3)</f>
        <v/>
      </c>
      <c r="R2959" s="10">
        <f>IF(A2959="D",LEFT(UPPER(B2959)&amp;REPT(" ",20),20),REPT(" ",20))</f>
        <v/>
      </c>
      <c r="S2959" s="10">
        <f>IF(A2959="D",LEFT(UPPER(C2959)&amp;REPT(" ",10),10)," ")</f>
        <v/>
      </c>
      <c r="T2959" s="10">
        <f>IF(A2959="D",LEFT(UPPER(D2959)&amp;REPT(" ",2),2)," ")</f>
        <v/>
      </c>
      <c r="U2959" s="10">
        <f>IF(A2959="D",LEFT(UPPER(E2959)&amp;REPT(" ",15),15)," ")</f>
        <v/>
      </c>
      <c r="V2959" s="10">
        <f>REPT(" ",24)</f>
        <v/>
      </c>
      <c r="W2959" s="10">
        <f>IF(A2959="c",LEFT(UPPER(B2959)&amp;REPT(" ",20),20),REPT(" ",20))</f>
        <v/>
      </c>
      <c r="X2959" s="10">
        <f>IF(A2959="C",LEFT(UPPER(C2959)&amp;REPT(" ",10),10)," ")</f>
        <v/>
      </c>
      <c r="Y2959" s="10">
        <f>IF(A2959="C",LEFT(UPPER(D2959)&amp;REPT(" ",2),2)," ")</f>
        <v/>
      </c>
      <c r="Z2959" s="10">
        <f>IF(A2959="C",LEFT(UPPER(E2959)&amp;REPT(" ",15),15)," ")</f>
        <v/>
      </c>
      <c r="AA2959" s="10">
        <f>REPT(" ",8)</f>
        <v/>
      </c>
      <c r="AB2959" s="10">
        <f>REPT(" ",4)</f>
        <v/>
      </c>
      <c r="AC2959" s="10">
        <f>LEFT(UPPER(H2959)&amp;REPT(" ",250),250)</f>
        <v/>
      </c>
      <c r="AD2959" s="10">
        <f>TEXT($G$2,"dd/mm/aaaa")</f>
        <v/>
      </c>
      <c r="AE2959" s="10">
        <f>REPT(" ",10)</f>
        <v/>
      </c>
      <c r="AF2959" s="10">
        <f>REPT(" ",20)</f>
        <v/>
      </c>
      <c r="AG2959" s="54">
        <f>REPT(" ",18-LEN(FIXED(F2959,2,TRUE)))&amp;FIXED(F2959,2,TRUE)</f>
        <v/>
      </c>
      <c r="AH2959" s="10">
        <f>LEN(AC2959)+LEN(AG2959)</f>
        <v/>
      </c>
      <c r="AI2959" s="10">
        <f>LEN(L2959)</f>
        <v/>
      </c>
    </row>
    <row r="2960">
      <c r="J2960" s="12">
        <f>IF(F2960&lt;&gt;0,"LANÇAR","")</f>
        <v/>
      </c>
      <c r="L2960" s="13">
        <f>N2960&amp;O2960&amp;P2960&amp;Q2960&amp;R2960&amp;S2960&amp;T2960&amp;U2960&amp;V2960&amp;W2960&amp;X2960&amp;Y2960&amp;Z2960&amp;AA2960&amp;AB2960&amp;AC2960&amp;AD2960&amp;AE2960&amp;AF2960&amp;AG2960</f>
        <v/>
      </c>
      <c r="N2960" s="10">
        <f>TEXT($B$6,"00")</f>
        <v/>
      </c>
      <c r="O2960" s="10">
        <f>REPT(" ",8)</f>
        <v/>
      </c>
      <c r="P2960" s="10">
        <f>RIGHT($B$4,2)</f>
        <v/>
      </c>
      <c r="Q2960" s="10">
        <f>RIGHT($B$5,3)</f>
        <v/>
      </c>
      <c r="R2960" s="10">
        <f>IF(A2960="D",LEFT(UPPER(B2960)&amp;REPT(" ",20),20),REPT(" ",20))</f>
        <v/>
      </c>
      <c r="S2960" s="10">
        <f>IF(A2960="D",LEFT(UPPER(C2960)&amp;REPT(" ",10),10)," ")</f>
        <v/>
      </c>
      <c r="T2960" s="10">
        <f>IF(A2960="D",LEFT(UPPER(D2960)&amp;REPT(" ",2),2)," ")</f>
        <v/>
      </c>
      <c r="U2960" s="10">
        <f>IF(A2960="D",LEFT(UPPER(E2960)&amp;REPT(" ",15),15)," ")</f>
        <v/>
      </c>
      <c r="V2960" s="10">
        <f>REPT(" ",24)</f>
        <v/>
      </c>
      <c r="W2960" s="10">
        <f>IF(A2960="c",LEFT(UPPER(B2960)&amp;REPT(" ",20),20),REPT(" ",20))</f>
        <v/>
      </c>
      <c r="X2960" s="10">
        <f>IF(A2960="C",LEFT(UPPER(C2960)&amp;REPT(" ",10),10)," ")</f>
        <v/>
      </c>
      <c r="Y2960" s="10">
        <f>IF(A2960="C",LEFT(UPPER(D2960)&amp;REPT(" ",2),2)," ")</f>
        <v/>
      </c>
      <c r="Z2960" s="10">
        <f>IF(A2960="C",LEFT(UPPER(E2960)&amp;REPT(" ",15),15)," ")</f>
        <v/>
      </c>
      <c r="AA2960" s="10">
        <f>REPT(" ",8)</f>
        <v/>
      </c>
      <c r="AB2960" s="10">
        <f>REPT(" ",4)</f>
        <v/>
      </c>
      <c r="AC2960" s="10">
        <f>LEFT(UPPER(H2960)&amp;REPT(" ",250),250)</f>
        <v/>
      </c>
      <c r="AD2960" s="10">
        <f>TEXT($G$2,"dd/mm/aaaa")</f>
        <v/>
      </c>
      <c r="AE2960" s="10">
        <f>REPT(" ",10)</f>
        <v/>
      </c>
      <c r="AF2960" s="10">
        <f>REPT(" ",20)</f>
        <v/>
      </c>
      <c r="AG2960" s="54">
        <f>REPT(" ",18-LEN(FIXED(F2960,2,TRUE)))&amp;FIXED(F2960,2,TRUE)</f>
        <v/>
      </c>
      <c r="AH2960" s="10">
        <f>LEN(AC2960)+LEN(AG2960)</f>
        <v/>
      </c>
      <c r="AI2960" s="10">
        <f>LEN(L2960)</f>
        <v/>
      </c>
    </row>
    <row r="2961">
      <c r="J2961" s="12">
        <f>IF(F2961&lt;&gt;0,"LANÇAR","")</f>
        <v/>
      </c>
      <c r="L2961" s="13">
        <f>N2961&amp;O2961&amp;P2961&amp;Q2961&amp;R2961&amp;S2961&amp;T2961&amp;U2961&amp;V2961&amp;W2961&amp;X2961&amp;Y2961&amp;Z2961&amp;AA2961&amp;AB2961&amp;AC2961&amp;AD2961&amp;AE2961&amp;AF2961&amp;AG2961</f>
        <v/>
      </c>
      <c r="N2961" s="10">
        <f>TEXT($B$6,"00")</f>
        <v/>
      </c>
      <c r="O2961" s="10">
        <f>REPT(" ",8)</f>
        <v/>
      </c>
      <c r="P2961" s="10">
        <f>RIGHT($B$4,2)</f>
        <v/>
      </c>
      <c r="Q2961" s="10">
        <f>RIGHT($B$5,3)</f>
        <v/>
      </c>
      <c r="R2961" s="10">
        <f>IF(A2961="D",LEFT(UPPER(B2961)&amp;REPT(" ",20),20),REPT(" ",20))</f>
        <v/>
      </c>
      <c r="S2961" s="10">
        <f>IF(A2961="D",LEFT(UPPER(C2961)&amp;REPT(" ",10),10)," ")</f>
        <v/>
      </c>
      <c r="T2961" s="10">
        <f>IF(A2961="D",LEFT(UPPER(D2961)&amp;REPT(" ",2),2)," ")</f>
        <v/>
      </c>
      <c r="U2961" s="10">
        <f>IF(A2961="D",LEFT(UPPER(E2961)&amp;REPT(" ",15),15)," ")</f>
        <v/>
      </c>
      <c r="V2961" s="10">
        <f>REPT(" ",24)</f>
        <v/>
      </c>
      <c r="W2961" s="10">
        <f>IF(A2961="c",LEFT(UPPER(B2961)&amp;REPT(" ",20),20),REPT(" ",20))</f>
        <v/>
      </c>
      <c r="X2961" s="10">
        <f>IF(A2961="C",LEFT(UPPER(C2961)&amp;REPT(" ",10),10)," ")</f>
        <v/>
      </c>
      <c r="Y2961" s="10">
        <f>IF(A2961="C",LEFT(UPPER(D2961)&amp;REPT(" ",2),2)," ")</f>
        <v/>
      </c>
      <c r="Z2961" s="10">
        <f>IF(A2961="C",LEFT(UPPER(E2961)&amp;REPT(" ",15),15)," ")</f>
        <v/>
      </c>
      <c r="AA2961" s="10">
        <f>REPT(" ",8)</f>
        <v/>
      </c>
      <c r="AB2961" s="10">
        <f>REPT(" ",4)</f>
        <v/>
      </c>
      <c r="AC2961" s="10">
        <f>LEFT(UPPER(H2961)&amp;REPT(" ",250),250)</f>
        <v/>
      </c>
      <c r="AD2961" s="10">
        <f>TEXT($G$2,"dd/mm/aaaa")</f>
        <v/>
      </c>
      <c r="AE2961" s="10">
        <f>REPT(" ",10)</f>
        <v/>
      </c>
      <c r="AF2961" s="10">
        <f>REPT(" ",20)</f>
        <v/>
      </c>
      <c r="AG2961" s="54">
        <f>REPT(" ",18-LEN(FIXED(F2961,2,TRUE)))&amp;FIXED(F2961,2,TRUE)</f>
        <v/>
      </c>
      <c r="AH2961" s="10">
        <f>LEN(AC2961)+LEN(AG2961)</f>
        <v/>
      </c>
      <c r="AI2961" s="10">
        <f>LEN(L2961)</f>
        <v/>
      </c>
    </row>
    <row r="2962">
      <c r="J2962" s="12">
        <f>IF(F2962&lt;&gt;0,"LANÇAR","")</f>
        <v/>
      </c>
      <c r="L2962" s="13">
        <f>N2962&amp;O2962&amp;P2962&amp;Q2962&amp;R2962&amp;S2962&amp;T2962&amp;U2962&amp;V2962&amp;W2962&amp;X2962&amp;Y2962&amp;Z2962&amp;AA2962&amp;AB2962&amp;AC2962&amp;AD2962&amp;AE2962&amp;AF2962&amp;AG2962</f>
        <v/>
      </c>
      <c r="N2962" s="10">
        <f>TEXT($B$6,"00")</f>
        <v/>
      </c>
      <c r="O2962" s="10">
        <f>REPT(" ",8)</f>
        <v/>
      </c>
      <c r="P2962" s="10">
        <f>RIGHT($B$4,2)</f>
        <v/>
      </c>
      <c r="Q2962" s="10">
        <f>RIGHT($B$5,3)</f>
        <v/>
      </c>
      <c r="R2962" s="10">
        <f>IF(A2962="D",LEFT(UPPER(B2962)&amp;REPT(" ",20),20),REPT(" ",20))</f>
        <v/>
      </c>
      <c r="S2962" s="10">
        <f>IF(A2962="D",LEFT(UPPER(C2962)&amp;REPT(" ",10),10)," ")</f>
        <v/>
      </c>
      <c r="T2962" s="10">
        <f>IF(A2962="D",LEFT(UPPER(D2962)&amp;REPT(" ",2),2)," ")</f>
        <v/>
      </c>
      <c r="U2962" s="10">
        <f>IF(A2962="D",LEFT(UPPER(E2962)&amp;REPT(" ",15),15)," ")</f>
        <v/>
      </c>
      <c r="V2962" s="10">
        <f>REPT(" ",24)</f>
        <v/>
      </c>
      <c r="W2962" s="10">
        <f>IF(A2962="c",LEFT(UPPER(B2962)&amp;REPT(" ",20),20),REPT(" ",20))</f>
        <v/>
      </c>
      <c r="X2962" s="10">
        <f>IF(A2962="C",LEFT(UPPER(C2962)&amp;REPT(" ",10),10)," ")</f>
        <v/>
      </c>
      <c r="Y2962" s="10">
        <f>IF(A2962="C",LEFT(UPPER(D2962)&amp;REPT(" ",2),2)," ")</f>
        <v/>
      </c>
      <c r="Z2962" s="10">
        <f>IF(A2962="C",LEFT(UPPER(E2962)&amp;REPT(" ",15),15)," ")</f>
        <v/>
      </c>
      <c r="AA2962" s="10">
        <f>REPT(" ",8)</f>
        <v/>
      </c>
      <c r="AB2962" s="10">
        <f>REPT(" ",4)</f>
        <v/>
      </c>
      <c r="AC2962" s="10">
        <f>LEFT(UPPER(H2962)&amp;REPT(" ",250),250)</f>
        <v/>
      </c>
      <c r="AD2962" s="10">
        <f>TEXT($G$2,"dd/mm/aaaa")</f>
        <v/>
      </c>
      <c r="AE2962" s="10">
        <f>REPT(" ",10)</f>
        <v/>
      </c>
      <c r="AF2962" s="10">
        <f>REPT(" ",20)</f>
        <v/>
      </c>
      <c r="AG2962" s="54">
        <f>REPT(" ",18-LEN(FIXED(F2962,2,TRUE)))&amp;FIXED(F2962,2,TRUE)</f>
        <v/>
      </c>
      <c r="AH2962" s="10">
        <f>LEN(AC2962)+LEN(AG2962)</f>
        <v/>
      </c>
      <c r="AI2962" s="10">
        <f>LEN(L2962)</f>
        <v/>
      </c>
    </row>
    <row r="2963">
      <c r="J2963" s="12">
        <f>IF(F2963&lt;&gt;0,"LANÇAR","")</f>
        <v/>
      </c>
      <c r="L2963" s="13">
        <f>N2963&amp;O2963&amp;P2963&amp;Q2963&amp;R2963&amp;S2963&amp;T2963&amp;U2963&amp;V2963&amp;W2963&amp;X2963&amp;Y2963&amp;Z2963&amp;AA2963&amp;AB2963&amp;AC2963&amp;AD2963&amp;AE2963&amp;AF2963&amp;AG2963</f>
        <v/>
      </c>
      <c r="N2963" s="10">
        <f>TEXT($B$6,"00")</f>
        <v/>
      </c>
      <c r="O2963" s="10">
        <f>REPT(" ",8)</f>
        <v/>
      </c>
      <c r="P2963" s="10">
        <f>RIGHT($B$4,2)</f>
        <v/>
      </c>
      <c r="Q2963" s="10">
        <f>RIGHT($B$5,3)</f>
        <v/>
      </c>
      <c r="R2963" s="10">
        <f>IF(A2963="D",LEFT(UPPER(B2963)&amp;REPT(" ",20),20),REPT(" ",20))</f>
        <v/>
      </c>
      <c r="S2963" s="10">
        <f>IF(A2963="D",LEFT(UPPER(C2963)&amp;REPT(" ",10),10)," ")</f>
        <v/>
      </c>
      <c r="T2963" s="10">
        <f>IF(A2963="D",LEFT(UPPER(D2963)&amp;REPT(" ",2),2)," ")</f>
        <v/>
      </c>
      <c r="U2963" s="10">
        <f>IF(A2963="D",LEFT(UPPER(E2963)&amp;REPT(" ",15),15)," ")</f>
        <v/>
      </c>
      <c r="V2963" s="10">
        <f>REPT(" ",24)</f>
        <v/>
      </c>
      <c r="W2963" s="10">
        <f>IF(A2963="c",LEFT(UPPER(B2963)&amp;REPT(" ",20),20),REPT(" ",20))</f>
        <v/>
      </c>
      <c r="X2963" s="10">
        <f>IF(A2963="C",LEFT(UPPER(C2963)&amp;REPT(" ",10),10)," ")</f>
        <v/>
      </c>
      <c r="Y2963" s="10">
        <f>IF(A2963="C",LEFT(UPPER(D2963)&amp;REPT(" ",2),2)," ")</f>
        <v/>
      </c>
      <c r="Z2963" s="10">
        <f>IF(A2963="C",LEFT(UPPER(E2963)&amp;REPT(" ",15),15)," ")</f>
        <v/>
      </c>
      <c r="AA2963" s="10">
        <f>REPT(" ",8)</f>
        <v/>
      </c>
      <c r="AB2963" s="10">
        <f>REPT(" ",4)</f>
        <v/>
      </c>
      <c r="AC2963" s="10">
        <f>LEFT(UPPER(H2963)&amp;REPT(" ",250),250)</f>
        <v/>
      </c>
      <c r="AD2963" s="10">
        <f>TEXT($G$2,"dd/mm/aaaa")</f>
        <v/>
      </c>
      <c r="AE2963" s="10">
        <f>REPT(" ",10)</f>
        <v/>
      </c>
      <c r="AF2963" s="10">
        <f>REPT(" ",20)</f>
        <v/>
      </c>
      <c r="AG2963" s="54">
        <f>REPT(" ",18-LEN(FIXED(F2963,2,TRUE)))&amp;FIXED(F2963,2,TRUE)</f>
        <v/>
      </c>
      <c r="AH2963" s="10">
        <f>LEN(AC2963)+LEN(AG2963)</f>
        <v/>
      </c>
      <c r="AI2963" s="10">
        <f>LEN(L2963)</f>
        <v/>
      </c>
    </row>
    <row r="2964">
      <c r="J2964" s="12">
        <f>IF(F2964&lt;&gt;0,"LANÇAR","")</f>
        <v/>
      </c>
      <c r="L2964" s="13">
        <f>N2964&amp;O2964&amp;P2964&amp;Q2964&amp;R2964&amp;S2964&amp;T2964&amp;U2964&amp;V2964&amp;W2964&amp;X2964&amp;Y2964&amp;Z2964&amp;AA2964&amp;AB2964&amp;AC2964&amp;AD2964&amp;AE2964&amp;AF2964&amp;AG2964</f>
        <v/>
      </c>
      <c r="N2964" s="10">
        <f>TEXT($B$6,"00")</f>
        <v/>
      </c>
      <c r="O2964" s="10">
        <f>REPT(" ",8)</f>
        <v/>
      </c>
      <c r="P2964" s="10">
        <f>RIGHT($B$4,2)</f>
        <v/>
      </c>
      <c r="Q2964" s="10">
        <f>RIGHT($B$5,3)</f>
        <v/>
      </c>
      <c r="R2964" s="10">
        <f>IF(A2964="D",LEFT(UPPER(B2964)&amp;REPT(" ",20),20),REPT(" ",20))</f>
        <v/>
      </c>
      <c r="S2964" s="10">
        <f>IF(A2964="D",LEFT(UPPER(C2964)&amp;REPT(" ",10),10)," ")</f>
        <v/>
      </c>
      <c r="T2964" s="10">
        <f>IF(A2964="D",LEFT(UPPER(D2964)&amp;REPT(" ",2),2)," ")</f>
        <v/>
      </c>
      <c r="U2964" s="10">
        <f>IF(A2964="D",LEFT(UPPER(E2964)&amp;REPT(" ",15),15)," ")</f>
        <v/>
      </c>
      <c r="V2964" s="10">
        <f>REPT(" ",24)</f>
        <v/>
      </c>
      <c r="W2964" s="10">
        <f>IF(A2964="c",LEFT(UPPER(B2964)&amp;REPT(" ",20),20),REPT(" ",20))</f>
        <v/>
      </c>
      <c r="X2964" s="10">
        <f>IF(A2964="C",LEFT(UPPER(C2964)&amp;REPT(" ",10),10)," ")</f>
        <v/>
      </c>
      <c r="Y2964" s="10">
        <f>IF(A2964="C",LEFT(UPPER(D2964)&amp;REPT(" ",2),2)," ")</f>
        <v/>
      </c>
      <c r="Z2964" s="10">
        <f>IF(A2964="C",LEFT(UPPER(E2964)&amp;REPT(" ",15),15)," ")</f>
        <v/>
      </c>
      <c r="AA2964" s="10">
        <f>REPT(" ",8)</f>
        <v/>
      </c>
      <c r="AB2964" s="10">
        <f>REPT(" ",4)</f>
        <v/>
      </c>
      <c r="AC2964" s="10">
        <f>LEFT(UPPER(H2964)&amp;REPT(" ",250),250)</f>
        <v/>
      </c>
      <c r="AD2964" s="10">
        <f>TEXT($G$2,"dd/mm/aaaa")</f>
        <v/>
      </c>
      <c r="AE2964" s="10">
        <f>REPT(" ",10)</f>
        <v/>
      </c>
      <c r="AF2964" s="10">
        <f>REPT(" ",20)</f>
        <v/>
      </c>
      <c r="AG2964" s="54">
        <f>REPT(" ",18-LEN(FIXED(F2964,2,TRUE)))&amp;FIXED(F2964,2,TRUE)</f>
        <v/>
      </c>
      <c r="AH2964" s="10">
        <f>LEN(AC2964)+LEN(AG2964)</f>
        <v/>
      </c>
      <c r="AI2964" s="10">
        <f>LEN(L2964)</f>
        <v/>
      </c>
    </row>
    <row r="2965">
      <c r="J2965" s="12">
        <f>IF(F2965&lt;&gt;0,"LANÇAR","")</f>
        <v/>
      </c>
      <c r="L2965" s="13">
        <f>N2965&amp;O2965&amp;P2965&amp;Q2965&amp;R2965&amp;S2965&amp;T2965&amp;U2965&amp;V2965&amp;W2965&amp;X2965&amp;Y2965&amp;Z2965&amp;AA2965&amp;AB2965&amp;AC2965&amp;AD2965&amp;AE2965&amp;AF2965&amp;AG2965</f>
        <v/>
      </c>
      <c r="N2965" s="10">
        <f>TEXT($B$6,"00")</f>
        <v/>
      </c>
      <c r="O2965" s="10">
        <f>REPT(" ",8)</f>
        <v/>
      </c>
      <c r="P2965" s="10">
        <f>RIGHT($B$4,2)</f>
        <v/>
      </c>
      <c r="Q2965" s="10">
        <f>RIGHT($B$5,3)</f>
        <v/>
      </c>
      <c r="R2965" s="10">
        <f>IF(A2965="D",LEFT(UPPER(B2965)&amp;REPT(" ",20),20),REPT(" ",20))</f>
        <v/>
      </c>
      <c r="S2965" s="10">
        <f>IF(A2965="D",LEFT(UPPER(C2965)&amp;REPT(" ",10),10)," ")</f>
        <v/>
      </c>
      <c r="T2965" s="10">
        <f>IF(A2965="D",LEFT(UPPER(D2965)&amp;REPT(" ",2),2)," ")</f>
        <v/>
      </c>
      <c r="U2965" s="10">
        <f>IF(A2965="D",LEFT(UPPER(E2965)&amp;REPT(" ",15),15)," ")</f>
        <v/>
      </c>
      <c r="V2965" s="10">
        <f>REPT(" ",24)</f>
        <v/>
      </c>
      <c r="W2965" s="10">
        <f>IF(A2965="c",LEFT(UPPER(B2965)&amp;REPT(" ",20),20),REPT(" ",20))</f>
        <v/>
      </c>
      <c r="X2965" s="10">
        <f>IF(A2965="C",LEFT(UPPER(C2965)&amp;REPT(" ",10),10)," ")</f>
        <v/>
      </c>
      <c r="Y2965" s="10">
        <f>IF(A2965="C",LEFT(UPPER(D2965)&amp;REPT(" ",2),2)," ")</f>
        <v/>
      </c>
      <c r="Z2965" s="10">
        <f>IF(A2965="C",LEFT(UPPER(E2965)&amp;REPT(" ",15),15)," ")</f>
        <v/>
      </c>
      <c r="AA2965" s="10">
        <f>REPT(" ",8)</f>
        <v/>
      </c>
      <c r="AB2965" s="10">
        <f>REPT(" ",4)</f>
        <v/>
      </c>
      <c r="AC2965" s="10">
        <f>LEFT(UPPER(H2965)&amp;REPT(" ",250),250)</f>
        <v/>
      </c>
      <c r="AD2965" s="10">
        <f>TEXT($G$2,"dd/mm/aaaa")</f>
        <v/>
      </c>
      <c r="AE2965" s="10">
        <f>REPT(" ",10)</f>
        <v/>
      </c>
      <c r="AF2965" s="10">
        <f>REPT(" ",20)</f>
        <v/>
      </c>
      <c r="AG2965" s="54">
        <f>REPT(" ",18-LEN(FIXED(F2965,2,TRUE)))&amp;FIXED(F2965,2,TRUE)</f>
        <v/>
      </c>
      <c r="AH2965" s="10">
        <f>LEN(AC2965)+LEN(AG2965)</f>
        <v/>
      </c>
      <c r="AI2965" s="10">
        <f>LEN(L2965)</f>
        <v/>
      </c>
    </row>
    <row r="2966">
      <c r="J2966" s="12">
        <f>IF(F2966&lt;&gt;0,"LANÇAR","")</f>
        <v/>
      </c>
      <c r="L2966" s="13">
        <f>N2966&amp;O2966&amp;P2966&amp;Q2966&amp;R2966&amp;S2966&amp;T2966&amp;U2966&amp;V2966&amp;W2966&amp;X2966&amp;Y2966&amp;Z2966&amp;AA2966&amp;AB2966&amp;AC2966&amp;AD2966&amp;AE2966&amp;AF2966&amp;AG2966</f>
        <v/>
      </c>
      <c r="N2966" s="10">
        <f>TEXT($B$6,"00")</f>
        <v/>
      </c>
      <c r="O2966" s="10">
        <f>REPT(" ",8)</f>
        <v/>
      </c>
      <c r="P2966" s="10">
        <f>RIGHT($B$4,2)</f>
        <v/>
      </c>
      <c r="Q2966" s="10">
        <f>RIGHT($B$5,3)</f>
        <v/>
      </c>
      <c r="R2966" s="10">
        <f>IF(A2966="D",LEFT(UPPER(B2966)&amp;REPT(" ",20),20),REPT(" ",20))</f>
        <v/>
      </c>
      <c r="S2966" s="10">
        <f>IF(A2966="D",LEFT(UPPER(C2966)&amp;REPT(" ",10),10)," ")</f>
        <v/>
      </c>
      <c r="T2966" s="10">
        <f>IF(A2966="D",LEFT(UPPER(D2966)&amp;REPT(" ",2),2)," ")</f>
        <v/>
      </c>
      <c r="U2966" s="10">
        <f>IF(A2966="D",LEFT(UPPER(E2966)&amp;REPT(" ",15),15)," ")</f>
        <v/>
      </c>
      <c r="V2966" s="10">
        <f>REPT(" ",24)</f>
        <v/>
      </c>
      <c r="W2966" s="10">
        <f>IF(A2966="c",LEFT(UPPER(B2966)&amp;REPT(" ",20),20),REPT(" ",20))</f>
        <v/>
      </c>
      <c r="X2966" s="10">
        <f>IF(A2966="C",LEFT(UPPER(C2966)&amp;REPT(" ",10),10)," ")</f>
        <v/>
      </c>
      <c r="Y2966" s="10">
        <f>IF(A2966="C",LEFT(UPPER(D2966)&amp;REPT(" ",2),2)," ")</f>
        <v/>
      </c>
      <c r="Z2966" s="10">
        <f>IF(A2966="C",LEFT(UPPER(E2966)&amp;REPT(" ",15),15)," ")</f>
        <v/>
      </c>
      <c r="AA2966" s="10">
        <f>REPT(" ",8)</f>
        <v/>
      </c>
      <c r="AB2966" s="10">
        <f>REPT(" ",4)</f>
        <v/>
      </c>
      <c r="AC2966" s="10">
        <f>LEFT(UPPER(H2966)&amp;REPT(" ",250),250)</f>
        <v/>
      </c>
      <c r="AD2966" s="10">
        <f>TEXT($G$2,"dd/mm/aaaa")</f>
        <v/>
      </c>
      <c r="AE2966" s="10">
        <f>REPT(" ",10)</f>
        <v/>
      </c>
      <c r="AF2966" s="10">
        <f>REPT(" ",20)</f>
        <v/>
      </c>
      <c r="AG2966" s="54">
        <f>REPT(" ",18-LEN(FIXED(F2966,2,TRUE)))&amp;FIXED(F2966,2,TRUE)</f>
        <v/>
      </c>
      <c r="AH2966" s="10">
        <f>LEN(AC2966)+LEN(AG2966)</f>
        <v/>
      </c>
      <c r="AI2966" s="10">
        <f>LEN(L2966)</f>
        <v/>
      </c>
    </row>
    <row r="2967">
      <c r="J2967" s="12">
        <f>IF(F2967&lt;&gt;0,"LANÇAR","")</f>
        <v/>
      </c>
      <c r="L2967" s="13">
        <f>N2967&amp;O2967&amp;P2967&amp;Q2967&amp;R2967&amp;S2967&amp;T2967&amp;U2967&amp;V2967&amp;W2967&amp;X2967&amp;Y2967&amp;Z2967&amp;AA2967&amp;AB2967&amp;AC2967&amp;AD2967&amp;AE2967&amp;AF2967&amp;AG2967</f>
        <v/>
      </c>
      <c r="N2967" s="10">
        <f>TEXT($B$6,"00")</f>
        <v/>
      </c>
      <c r="O2967" s="10">
        <f>REPT(" ",8)</f>
        <v/>
      </c>
      <c r="P2967" s="10">
        <f>RIGHT($B$4,2)</f>
        <v/>
      </c>
      <c r="Q2967" s="10">
        <f>RIGHT($B$5,3)</f>
        <v/>
      </c>
      <c r="R2967" s="10">
        <f>IF(A2967="D",LEFT(UPPER(B2967)&amp;REPT(" ",20),20),REPT(" ",20))</f>
        <v/>
      </c>
      <c r="S2967" s="10">
        <f>IF(A2967="D",LEFT(UPPER(C2967)&amp;REPT(" ",10),10)," ")</f>
        <v/>
      </c>
      <c r="T2967" s="10">
        <f>IF(A2967="D",LEFT(UPPER(D2967)&amp;REPT(" ",2),2)," ")</f>
        <v/>
      </c>
      <c r="U2967" s="10">
        <f>IF(A2967="D",LEFT(UPPER(E2967)&amp;REPT(" ",15),15)," ")</f>
        <v/>
      </c>
      <c r="V2967" s="10">
        <f>REPT(" ",24)</f>
        <v/>
      </c>
      <c r="W2967" s="10">
        <f>IF(A2967="c",LEFT(UPPER(B2967)&amp;REPT(" ",20),20),REPT(" ",20))</f>
        <v/>
      </c>
      <c r="X2967" s="10">
        <f>IF(A2967="C",LEFT(UPPER(C2967)&amp;REPT(" ",10),10)," ")</f>
        <v/>
      </c>
      <c r="Y2967" s="10">
        <f>IF(A2967="C",LEFT(UPPER(D2967)&amp;REPT(" ",2),2)," ")</f>
        <v/>
      </c>
      <c r="Z2967" s="10">
        <f>IF(A2967="C",LEFT(UPPER(E2967)&amp;REPT(" ",15),15)," ")</f>
        <v/>
      </c>
      <c r="AA2967" s="10">
        <f>REPT(" ",8)</f>
        <v/>
      </c>
      <c r="AB2967" s="10">
        <f>REPT(" ",4)</f>
        <v/>
      </c>
      <c r="AC2967" s="10">
        <f>LEFT(UPPER(H2967)&amp;REPT(" ",250),250)</f>
        <v/>
      </c>
      <c r="AD2967" s="10">
        <f>TEXT($G$2,"dd/mm/aaaa")</f>
        <v/>
      </c>
      <c r="AE2967" s="10">
        <f>REPT(" ",10)</f>
        <v/>
      </c>
      <c r="AF2967" s="10">
        <f>REPT(" ",20)</f>
        <v/>
      </c>
      <c r="AG2967" s="54">
        <f>REPT(" ",18-LEN(FIXED(F2967,2,TRUE)))&amp;FIXED(F2967,2,TRUE)</f>
        <v/>
      </c>
      <c r="AH2967" s="10">
        <f>LEN(AC2967)+LEN(AG2967)</f>
        <v/>
      </c>
      <c r="AI2967" s="10">
        <f>LEN(L2967)</f>
        <v/>
      </c>
    </row>
    <row r="2968">
      <c r="J2968" s="12">
        <f>IF(F2968&lt;&gt;0,"LANÇAR","")</f>
        <v/>
      </c>
      <c r="L2968" s="13">
        <f>N2968&amp;O2968&amp;P2968&amp;Q2968&amp;R2968&amp;S2968&amp;T2968&amp;U2968&amp;V2968&amp;W2968&amp;X2968&amp;Y2968&amp;Z2968&amp;AA2968&amp;AB2968&amp;AC2968&amp;AD2968&amp;AE2968&amp;AF2968&amp;AG2968</f>
        <v/>
      </c>
      <c r="N2968" s="10">
        <f>TEXT($B$6,"00")</f>
        <v/>
      </c>
      <c r="O2968" s="10">
        <f>REPT(" ",8)</f>
        <v/>
      </c>
      <c r="P2968" s="10">
        <f>RIGHT($B$4,2)</f>
        <v/>
      </c>
      <c r="Q2968" s="10">
        <f>RIGHT($B$5,3)</f>
        <v/>
      </c>
      <c r="R2968" s="10">
        <f>IF(A2968="D",LEFT(UPPER(B2968)&amp;REPT(" ",20),20),REPT(" ",20))</f>
        <v/>
      </c>
      <c r="S2968" s="10">
        <f>IF(A2968="D",LEFT(UPPER(C2968)&amp;REPT(" ",10),10)," ")</f>
        <v/>
      </c>
      <c r="T2968" s="10">
        <f>IF(A2968="D",LEFT(UPPER(D2968)&amp;REPT(" ",2),2)," ")</f>
        <v/>
      </c>
      <c r="U2968" s="10">
        <f>IF(A2968="D",LEFT(UPPER(E2968)&amp;REPT(" ",15),15)," ")</f>
        <v/>
      </c>
      <c r="V2968" s="10">
        <f>REPT(" ",24)</f>
        <v/>
      </c>
      <c r="W2968" s="10">
        <f>IF(A2968="c",LEFT(UPPER(B2968)&amp;REPT(" ",20),20),REPT(" ",20))</f>
        <v/>
      </c>
      <c r="X2968" s="10">
        <f>IF(A2968="C",LEFT(UPPER(C2968)&amp;REPT(" ",10),10)," ")</f>
        <v/>
      </c>
      <c r="Y2968" s="10">
        <f>IF(A2968="C",LEFT(UPPER(D2968)&amp;REPT(" ",2),2)," ")</f>
        <v/>
      </c>
      <c r="Z2968" s="10">
        <f>IF(A2968="C",LEFT(UPPER(E2968)&amp;REPT(" ",15),15)," ")</f>
        <v/>
      </c>
      <c r="AA2968" s="10">
        <f>REPT(" ",8)</f>
        <v/>
      </c>
      <c r="AB2968" s="10">
        <f>REPT(" ",4)</f>
        <v/>
      </c>
      <c r="AC2968" s="10">
        <f>LEFT(UPPER(H2968)&amp;REPT(" ",250),250)</f>
        <v/>
      </c>
      <c r="AD2968" s="10">
        <f>TEXT($G$2,"dd/mm/aaaa")</f>
        <v/>
      </c>
      <c r="AE2968" s="10">
        <f>REPT(" ",10)</f>
        <v/>
      </c>
      <c r="AF2968" s="10">
        <f>REPT(" ",20)</f>
        <v/>
      </c>
      <c r="AG2968" s="54">
        <f>REPT(" ",18-LEN(FIXED(F2968,2,TRUE)))&amp;FIXED(F2968,2,TRUE)</f>
        <v/>
      </c>
      <c r="AH2968" s="10">
        <f>LEN(AC2968)+LEN(AG2968)</f>
        <v/>
      </c>
      <c r="AI2968" s="10">
        <f>LEN(L2968)</f>
        <v/>
      </c>
    </row>
    <row r="2969">
      <c r="J2969" s="12">
        <f>IF(F2969&lt;&gt;0,"LANÇAR","")</f>
        <v/>
      </c>
      <c r="L2969" s="13">
        <f>N2969&amp;O2969&amp;P2969&amp;Q2969&amp;R2969&amp;S2969&amp;T2969&amp;U2969&amp;V2969&amp;W2969&amp;X2969&amp;Y2969&amp;Z2969&amp;AA2969&amp;AB2969&amp;AC2969&amp;AD2969&amp;AE2969&amp;AF2969&amp;AG2969</f>
        <v/>
      </c>
      <c r="N2969" s="10">
        <f>TEXT($B$6,"00")</f>
        <v/>
      </c>
      <c r="O2969" s="10">
        <f>REPT(" ",8)</f>
        <v/>
      </c>
      <c r="P2969" s="10">
        <f>RIGHT($B$4,2)</f>
        <v/>
      </c>
      <c r="Q2969" s="10">
        <f>RIGHT($B$5,3)</f>
        <v/>
      </c>
      <c r="R2969" s="10">
        <f>IF(A2969="D",LEFT(UPPER(B2969)&amp;REPT(" ",20),20),REPT(" ",20))</f>
        <v/>
      </c>
      <c r="S2969" s="10">
        <f>IF(A2969="D",LEFT(UPPER(C2969)&amp;REPT(" ",10),10)," ")</f>
        <v/>
      </c>
      <c r="T2969" s="10">
        <f>IF(A2969="D",LEFT(UPPER(D2969)&amp;REPT(" ",2),2)," ")</f>
        <v/>
      </c>
      <c r="U2969" s="10">
        <f>IF(A2969="D",LEFT(UPPER(E2969)&amp;REPT(" ",15),15)," ")</f>
        <v/>
      </c>
      <c r="V2969" s="10">
        <f>REPT(" ",24)</f>
        <v/>
      </c>
      <c r="W2969" s="10">
        <f>IF(A2969="c",LEFT(UPPER(B2969)&amp;REPT(" ",20),20),REPT(" ",20))</f>
        <v/>
      </c>
      <c r="X2969" s="10">
        <f>IF(A2969="C",LEFT(UPPER(C2969)&amp;REPT(" ",10),10)," ")</f>
        <v/>
      </c>
      <c r="Y2969" s="10">
        <f>IF(A2969="C",LEFT(UPPER(D2969)&amp;REPT(" ",2),2)," ")</f>
        <v/>
      </c>
      <c r="Z2969" s="10">
        <f>IF(A2969="C",LEFT(UPPER(E2969)&amp;REPT(" ",15),15)," ")</f>
        <v/>
      </c>
      <c r="AA2969" s="10">
        <f>REPT(" ",8)</f>
        <v/>
      </c>
      <c r="AB2969" s="10">
        <f>REPT(" ",4)</f>
        <v/>
      </c>
      <c r="AC2969" s="10">
        <f>LEFT(UPPER(H2969)&amp;REPT(" ",250),250)</f>
        <v/>
      </c>
      <c r="AD2969" s="10">
        <f>TEXT($G$2,"dd/mm/aaaa")</f>
        <v/>
      </c>
      <c r="AE2969" s="10">
        <f>REPT(" ",10)</f>
        <v/>
      </c>
      <c r="AF2969" s="10">
        <f>REPT(" ",20)</f>
        <v/>
      </c>
      <c r="AG2969" s="54">
        <f>REPT(" ",18-LEN(FIXED(F2969,2,TRUE)))&amp;FIXED(F2969,2,TRUE)</f>
        <v/>
      </c>
      <c r="AH2969" s="10">
        <f>LEN(AC2969)+LEN(AG2969)</f>
        <v/>
      </c>
      <c r="AI2969" s="10">
        <f>LEN(L2969)</f>
        <v/>
      </c>
    </row>
    <row r="2970">
      <c r="J2970" s="12">
        <f>IF(F2970&lt;&gt;0,"LANÇAR","")</f>
        <v/>
      </c>
      <c r="L2970" s="13">
        <f>N2970&amp;O2970&amp;P2970&amp;Q2970&amp;R2970&amp;S2970&amp;T2970&amp;U2970&amp;V2970&amp;W2970&amp;X2970&amp;Y2970&amp;Z2970&amp;AA2970&amp;AB2970&amp;AC2970&amp;AD2970&amp;AE2970&amp;AF2970&amp;AG2970</f>
        <v/>
      </c>
      <c r="N2970" s="10">
        <f>TEXT($B$6,"00")</f>
        <v/>
      </c>
      <c r="O2970" s="10">
        <f>REPT(" ",8)</f>
        <v/>
      </c>
      <c r="P2970" s="10">
        <f>RIGHT($B$4,2)</f>
        <v/>
      </c>
      <c r="Q2970" s="10">
        <f>RIGHT($B$5,3)</f>
        <v/>
      </c>
      <c r="R2970" s="10">
        <f>IF(A2970="D",LEFT(UPPER(B2970)&amp;REPT(" ",20),20),REPT(" ",20))</f>
        <v/>
      </c>
      <c r="S2970" s="10">
        <f>IF(A2970="D",LEFT(UPPER(C2970)&amp;REPT(" ",10),10)," ")</f>
        <v/>
      </c>
      <c r="T2970" s="10">
        <f>IF(A2970="D",LEFT(UPPER(D2970)&amp;REPT(" ",2),2)," ")</f>
        <v/>
      </c>
      <c r="U2970" s="10">
        <f>IF(A2970="D",LEFT(UPPER(E2970)&amp;REPT(" ",15),15)," ")</f>
        <v/>
      </c>
      <c r="V2970" s="10">
        <f>REPT(" ",24)</f>
        <v/>
      </c>
      <c r="W2970" s="10">
        <f>IF(A2970="c",LEFT(UPPER(B2970)&amp;REPT(" ",20),20),REPT(" ",20))</f>
        <v/>
      </c>
      <c r="X2970" s="10">
        <f>IF(A2970="C",LEFT(UPPER(C2970)&amp;REPT(" ",10),10)," ")</f>
        <v/>
      </c>
      <c r="Y2970" s="10">
        <f>IF(A2970="C",LEFT(UPPER(D2970)&amp;REPT(" ",2),2)," ")</f>
        <v/>
      </c>
      <c r="Z2970" s="10">
        <f>IF(A2970="C",LEFT(UPPER(E2970)&amp;REPT(" ",15),15)," ")</f>
        <v/>
      </c>
      <c r="AA2970" s="10">
        <f>REPT(" ",8)</f>
        <v/>
      </c>
      <c r="AB2970" s="10">
        <f>REPT(" ",4)</f>
        <v/>
      </c>
      <c r="AC2970" s="10">
        <f>LEFT(UPPER(H2970)&amp;REPT(" ",250),250)</f>
        <v/>
      </c>
      <c r="AD2970" s="10">
        <f>TEXT($G$2,"dd/mm/aaaa")</f>
        <v/>
      </c>
      <c r="AE2970" s="10">
        <f>REPT(" ",10)</f>
        <v/>
      </c>
      <c r="AF2970" s="10">
        <f>REPT(" ",20)</f>
        <v/>
      </c>
      <c r="AG2970" s="54">
        <f>REPT(" ",18-LEN(FIXED(F2970,2,TRUE)))&amp;FIXED(F2970,2,TRUE)</f>
        <v/>
      </c>
      <c r="AH2970" s="10">
        <f>LEN(AC2970)+LEN(AG2970)</f>
        <v/>
      </c>
      <c r="AI2970" s="10">
        <f>LEN(L2970)</f>
        <v/>
      </c>
    </row>
    <row r="2971">
      <c r="J2971" s="12">
        <f>IF(F2971&lt;&gt;0,"LANÇAR","")</f>
        <v/>
      </c>
      <c r="L2971" s="13">
        <f>N2971&amp;O2971&amp;P2971&amp;Q2971&amp;R2971&amp;S2971&amp;T2971&amp;U2971&amp;V2971&amp;W2971&amp;X2971&amp;Y2971&amp;Z2971&amp;AA2971&amp;AB2971&amp;AC2971&amp;AD2971&amp;AE2971&amp;AF2971&amp;AG2971</f>
        <v/>
      </c>
      <c r="N2971" s="10">
        <f>TEXT($B$6,"00")</f>
        <v/>
      </c>
      <c r="O2971" s="10">
        <f>REPT(" ",8)</f>
        <v/>
      </c>
      <c r="P2971" s="10">
        <f>RIGHT($B$4,2)</f>
        <v/>
      </c>
      <c r="Q2971" s="10">
        <f>RIGHT($B$5,3)</f>
        <v/>
      </c>
      <c r="R2971" s="10">
        <f>IF(A2971="D",LEFT(UPPER(B2971)&amp;REPT(" ",20),20),REPT(" ",20))</f>
        <v/>
      </c>
      <c r="S2971" s="10">
        <f>IF(A2971="D",LEFT(UPPER(C2971)&amp;REPT(" ",10),10)," ")</f>
        <v/>
      </c>
      <c r="T2971" s="10">
        <f>IF(A2971="D",LEFT(UPPER(D2971)&amp;REPT(" ",2),2)," ")</f>
        <v/>
      </c>
      <c r="U2971" s="10">
        <f>IF(A2971="D",LEFT(UPPER(E2971)&amp;REPT(" ",15),15)," ")</f>
        <v/>
      </c>
      <c r="V2971" s="10">
        <f>REPT(" ",24)</f>
        <v/>
      </c>
      <c r="W2971" s="10">
        <f>IF(A2971="c",LEFT(UPPER(B2971)&amp;REPT(" ",20),20),REPT(" ",20))</f>
        <v/>
      </c>
      <c r="X2971" s="10">
        <f>IF(A2971="C",LEFT(UPPER(C2971)&amp;REPT(" ",10),10)," ")</f>
        <v/>
      </c>
      <c r="Y2971" s="10">
        <f>IF(A2971="C",LEFT(UPPER(D2971)&amp;REPT(" ",2),2)," ")</f>
        <v/>
      </c>
      <c r="Z2971" s="10">
        <f>IF(A2971="C",LEFT(UPPER(E2971)&amp;REPT(" ",15),15)," ")</f>
        <v/>
      </c>
      <c r="AA2971" s="10">
        <f>REPT(" ",8)</f>
        <v/>
      </c>
      <c r="AB2971" s="10">
        <f>REPT(" ",4)</f>
        <v/>
      </c>
      <c r="AC2971" s="10">
        <f>LEFT(UPPER(H2971)&amp;REPT(" ",250),250)</f>
        <v/>
      </c>
      <c r="AD2971" s="10">
        <f>TEXT($G$2,"dd/mm/aaaa")</f>
        <v/>
      </c>
      <c r="AE2971" s="10">
        <f>REPT(" ",10)</f>
        <v/>
      </c>
      <c r="AF2971" s="10">
        <f>REPT(" ",20)</f>
        <v/>
      </c>
      <c r="AG2971" s="54">
        <f>REPT(" ",18-LEN(FIXED(F2971,2,TRUE)))&amp;FIXED(F2971,2,TRUE)</f>
        <v/>
      </c>
      <c r="AH2971" s="10">
        <f>LEN(AC2971)+LEN(AG2971)</f>
        <v/>
      </c>
      <c r="AI2971" s="10">
        <f>LEN(L2971)</f>
        <v/>
      </c>
    </row>
    <row r="2972">
      <c r="J2972" s="12">
        <f>IF(F2972&lt;&gt;0,"LANÇAR","")</f>
        <v/>
      </c>
      <c r="L2972" s="13">
        <f>N2972&amp;O2972&amp;P2972&amp;Q2972&amp;R2972&amp;S2972&amp;T2972&amp;U2972&amp;V2972&amp;W2972&amp;X2972&amp;Y2972&amp;Z2972&amp;AA2972&amp;AB2972&amp;AC2972&amp;AD2972&amp;AE2972&amp;AF2972&amp;AG2972</f>
        <v/>
      </c>
      <c r="N2972" s="10">
        <f>TEXT($B$6,"00")</f>
        <v/>
      </c>
      <c r="O2972" s="10">
        <f>REPT(" ",8)</f>
        <v/>
      </c>
      <c r="P2972" s="10">
        <f>RIGHT($B$4,2)</f>
        <v/>
      </c>
      <c r="Q2972" s="10">
        <f>RIGHT($B$5,3)</f>
        <v/>
      </c>
      <c r="R2972" s="10">
        <f>IF(A2972="D",LEFT(UPPER(B2972)&amp;REPT(" ",20),20),REPT(" ",20))</f>
        <v/>
      </c>
      <c r="S2972" s="10">
        <f>IF(A2972="D",LEFT(UPPER(C2972)&amp;REPT(" ",10),10)," ")</f>
        <v/>
      </c>
      <c r="T2972" s="10">
        <f>IF(A2972="D",LEFT(UPPER(D2972)&amp;REPT(" ",2),2)," ")</f>
        <v/>
      </c>
      <c r="U2972" s="10">
        <f>IF(A2972="D",LEFT(UPPER(E2972)&amp;REPT(" ",15),15)," ")</f>
        <v/>
      </c>
      <c r="V2972" s="10">
        <f>REPT(" ",24)</f>
        <v/>
      </c>
      <c r="W2972" s="10">
        <f>IF(A2972="c",LEFT(UPPER(B2972)&amp;REPT(" ",20),20),REPT(" ",20))</f>
        <v/>
      </c>
      <c r="X2972" s="10">
        <f>IF(A2972="C",LEFT(UPPER(C2972)&amp;REPT(" ",10),10)," ")</f>
        <v/>
      </c>
      <c r="Y2972" s="10">
        <f>IF(A2972="C",LEFT(UPPER(D2972)&amp;REPT(" ",2),2)," ")</f>
        <v/>
      </c>
      <c r="Z2972" s="10">
        <f>IF(A2972="C",LEFT(UPPER(E2972)&amp;REPT(" ",15),15)," ")</f>
        <v/>
      </c>
      <c r="AA2972" s="10">
        <f>REPT(" ",8)</f>
        <v/>
      </c>
      <c r="AB2972" s="10">
        <f>REPT(" ",4)</f>
        <v/>
      </c>
      <c r="AC2972" s="10">
        <f>LEFT(UPPER(H2972)&amp;REPT(" ",250),250)</f>
        <v/>
      </c>
      <c r="AD2972" s="10">
        <f>TEXT($G$2,"dd/mm/aaaa")</f>
        <v/>
      </c>
      <c r="AE2972" s="10">
        <f>REPT(" ",10)</f>
        <v/>
      </c>
      <c r="AF2972" s="10">
        <f>REPT(" ",20)</f>
        <v/>
      </c>
      <c r="AG2972" s="54">
        <f>REPT(" ",18-LEN(FIXED(F2972,2,TRUE)))&amp;FIXED(F2972,2,TRUE)</f>
        <v/>
      </c>
      <c r="AH2972" s="10">
        <f>LEN(AC2972)+LEN(AG2972)</f>
        <v/>
      </c>
      <c r="AI2972" s="10">
        <f>LEN(L2972)</f>
        <v/>
      </c>
    </row>
    <row r="2973">
      <c r="J2973" s="12">
        <f>IF(F2973&lt;&gt;0,"LANÇAR","")</f>
        <v/>
      </c>
      <c r="L2973" s="13">
        <f>N2973&amp;O2973&amp;P2973&amp;Q2973&amp;R2973&amp;S2973&amp;T2973&amp;U2973&amp;V2973&amp;W2973&amp;X2973&amp;Y2973&amp;Z2973&amp;AA2973&amp;AB2973&amp;AC2973&amp;AD2973&amp;AE2973&amp;AF2973&amp;AG2973</f>
        <v/>
      </c>
      <c r="N2973" s="10">
        <f>TEXT($B$6,"00")</f>
        <v/>
      </c>
      <c r="O2973" s="10">
        <f>REPT(" ",8)</f>
        <v/>
      </c>
      <c r="P2973" s="10">
        <f>RIGHT($B$4,2)</f>
        <v/>
      </c>
      <c r="Q2973" s="10">
        <f>RIGHT($B$5,3)</f>
        <v/>
      </c>
      <c r="R2973" s="10">
        <f>IF(A2973="D",LEFT(UPPER(B2973)&amp;REPT(" ",20),20),REPT(" ",20))</f>
        <v/>
      </c>
      <c r="S2973" s="10">
        <f>IF(A2973="D",LEFT(UPPER(C2973)&amp;REPT(" ",10),10)," ")</f>
        <v/>
      </c>
      <c r="T2973" s="10">
        <f>IF(A2973="D",LEFT(UPPER(D2973)&amp;REPT(" ",2),2)," ")</f>
        <v/>
      </c>
      <c r="U2973" s="10">
        <f>IF(A2973="D",LEFT(UPPER(E2973)&amp;REPT(" ",15),15)," ")</f>
        <v/>
      </c>
      <c r="V2973" s="10">
        <f>REPT(" ",24)</f>
        <v/>
      </c>
      <c r="W2973" s="10">
        <f>IF(A2973="c",LEFT(UPPER(B2973)&amp;REPT(" ",20),20),REPT(" ",20))</f>
        <v/>
      </c>
      <c r="X2973" s="10">
        <f>IF(A2973="C",LEFT(UPPER(C2973)&amp;REPT(" ",10),10)," ")</f>
        <v/>
      </c>
      <c r="Y2973" s="10">
        <f>IF(A2973="C",LEFT(UPPER(D2973)&amp;REPT(" ",2),2)," ")</f>
        <v/>
      </c>
      <c r="Z2973" s="10">
        <f>IF(A2973="C",LEFT(UPPER(E2973)&amp;REPT(" ",15),15)," ")</f>
        <v/>
      </c>
      <c r="AA2973" s="10">
        <f>REPT(" ",8)</f>
        <v/>
      </c>
      <c r="AB2973" s="10">
        <f>REPT(" ",4)</f>
        <v/>
      </c>
      <c r="AC2973" s="10">
        <f>LEFT(UPPER(H2973)&amp;REPT(" ",250),250)</f>
        <v/>
      </c>
      <c r="AD2973" s="10">
        <f>TEXT($G$2,"dd/mm/aaaa")</f>
        <v/>
      </c>
      <c r="AE2973" s="10">
        <f>REPT(" ",10)</f>
        <v/>
      </c>
      <c r="AF2973" s="10">
        <f>REPT(" ",20)</f>
        <v/>
      </c>
      <c r="AG2973" s="54">
        <f>REPT(" ",18-LEN(FIXED(F2973,2,TRUE)))&amp;FIXED(F2973,2,TRUE)</f>
        <v/>
      </c>
      <c r="AH2973" s="10">
        <f>LEN(AC2973)+LEN(AG2973)</f>
        <v/>
      </c>
      <c r="AI2973" s="10">
        <f>LEN(L2973)</f>
        <v/>
      </c>
    </row>
    <row r="2974">
      <c r="J2974" s="12">
        <f>IF(F2974&lt;&gt;0,"LANÇAR","")</f>
        <v/>
      </c>
      <c r="L2974" s="13">
        <f>N2974&amp;O2974&amp;P2974&amp;Q2974&amp;R2974&amp;S2974&amp;T2974&amp;U2974&amp;V2974&amp;W2974&amp;X2974&amp;Y2974&amp;Z2974&amp;AA2974&amp;AB2974&amp;AC2974&amp;AD2974&amp;AE2974&amp;AF2974&amp;AG2974</f>
        <v/>
      </c>
      <c r="N2974" s="10">
        <f>TEXT($B$6,"00")</f>
        <v/>
      </c>
      <c r="O2974" s="10">
        <f>REPT(" ",8)</f>
        <v/>
      </c>
      <c r="P2974" s="10">
        <f>RIGHT($B$4,2)</f>
        <v/>
      </c>
      <c r="Q2974" s="10">
        <f>RIGHT($B$5,3)</f>
        <v/>
      </c>
      <c r="R2974" s="10">
        <f>IF(A2974="D",LEFT(UPPER(B2974)&amp;REPT(" ",20),20),REPT(" ",20))</f>
        <v/>
      </c>
      <c r="S2974" s="10">
        <f>IF(A2974="D",LEFT(UPPER(C2974)&amp;REPT(" ",10),10)," ")</f>
        <v/>
      </c>
      <c r="T2974" s="10">
        <f>IF(A2974="D",LEFT(UPPER(D2974)&amp;REPT(" ",2),2)," ")</f>
        <v/>
      </c>
      <c r="U2974" s="10">
        <f>IF(A2974="D",LEFT(UPPER(E2974)&amp;REPT(" ",15),15)," ")</f>
        <v/>
      </c>
      <c r="V2974" s="10">
        <f>REPT(" ",24)</f>
        <v/>
      </c>
      <c r="W2974" s="10">
        <f>IF(A2974="c",LEFT(UPPER(B2974)&amp;REPT(" ",20),20),REPT(" ",20))</f>
        <v/>
      </c>
      <c r="X2974" s="10">
        <f>IF(A2974="C",LEFT(UPPER(C2974)&amp;REPT(" ",10),10)," ")</f>
        <v/>
      </c>
      <c r="Y2974" s="10">
        <f>IF(A2974="C",LEFT(UPPER(D2974)&amp;REPT(" ",2),2)," ")</f>
        <v/>
      </c>
      <c r="Z2974" s="10">
        <f>IF(A2974="C",LEFT(UPPER(E2974)&amp;REPT(" ",15),15)," ")</f>
        <v/>
      </c>
      <c r="AA2974" s="10">
        <f>REPT(" ",8)</f>
        <v/>
      </c>
      <c r="AB2974" s="10">
        <f>REPT(" ",4)</f>
        <v/>
      </c>
      <c r="AC2974" s="10">
        <f>LEFT(UPPER(H2974)&amp;REPT(" ",250),250)</f>
        <v/>
      </c>
      <c r="AD2974" s="10">
        <f>TEXT($G$2,"dd/mm/aaaa")</f>
        <v/>
      </c>
      <c r="AE2974" s="10">
        <f>REPT(" ",10)</f>
        <v/>
      </c>
      <c r="AF2974" s="10">
        <f>REPT(" ",20)</f>
        <v/>
      </c>
      <c r="AG2974" s="54">
        <f>REPT(" ",18-LEN(FIXED(F2974,2,TRUE)))&amp;FIXED(F2974,2,TRUE)</f>
        <v/>
      </c>
      <c r="AH2974" s="10">
        <f>LEN(AC2974)+LEN(AG2974)</f>
        <v/>
      </c>
      <c r="AI2974" s="10">
        <f>LEN(L2974)</f>
        <v/>
      </c>
    </row>
    <row r="2975">
      <c r="J2975" s="12">
        <f>IF(F2975&lt;&gt;0,"LANÇAR","")</f>
        <v/>
      </c>
      <c r="L2975" s="13">
        <f>N2975&amp;O2975&amp;P2975&amp;Q2975&amp;R2975&amp;S2975&amp;T2975&amp;U2975&amp;V2975&amp;W2975&amp;X2975&amp;Y2975&amp;Z2975&amp;AA2975&amp;AB2975&amp;AC2975&amp;AD2975&amp;AE2975&amp;AF2975&amp;AG2975</f>
        <v/>
      </c>
      <c r="N2975" s="10">
        <f>TEXT($B$6,"00")</f>
        <v/>
      </c>
      <c r="O2975" s="10">
        <f>REPT(" ",8)</f>
        <v/>
      </c>
      <c r="P2975" s="10">
        <f>RIGHT($B$4,2)</f>
        <v/>
      </c>
      <c r="Q2975" s="10">
        <f>RIGHT($B$5,3)</f>
        <v/>
      </c>
      <c r="R2975" s="10">
        <f>IF(A2975="D",LEFT(UPPER(B2975)&amp;REPT(" ",20),20),REPT(" ",20))</f>
        <v/>
      </c>
      <c r="S2975" s="10">
        <f>IF(A2975="D",LEFT(UPPER(C2975)&amp;REPT(" ",10),10)," ")</f>
        <v/>
      </c>
      <c r="T2975" s="10">
        <f>IF(A2975="D",LEFT(UPPER(D2975)&amp;REPT(" ",2),2)," ")</f>
        <v/>
      </c>
      <c r="U2975" s="10">
        <f>IF(A2975="D",LEFT(UPPER(E2975)&amp;REPT(" ",15),15)," ")</f>
        <v/>
      </c>
      <c r="V2975" s="10">
        <f>REPT(" ",24)</f>
        <v/>
      </c>
      <c r="W2975" s="10">
        <f>IF(A2975="c",LEFT(UPPER(B2975)&amp;REPT(" ",20),20),REPT(" ",20))</f>
        <v/>
      </c>
      <c r="X2975" s="10">
        <f>IF(A2975="C",LEFT(UPPER(C2975)&amp;REPT(" ",10),10)," ")</f>
        <v/>
      </c>
      <c r="Y2975" s="10">
        <f>IF(A2975="C",LEFT(UPPER(D2975)&amp;REPT(" ",2),2)," ")</f>
        <v/>
      </c>
      <c r="Z2975" s="10">
        <f>IF(A2975="C",LEFT(UPPER(E2975)&amp;REPT(" ",15),15)," ")</f>
        <v/>
      </c>
      <c r="AA2975" s="10">
        <f>REPT(" ",8)</f>
        <v/>
      </c>
      <c r="AB2975" s="10">
        <f>REPT(" ",4)</f>
        <v/>
      </c>
      <c r="AC2975" s="10">
        <f>LEFT(UPPER(H2975)&amp;REPT(" ",250),250)</f>
        <v/>
      </c>
      <c r="AD2975" s="10">
        <f>TEXT($G$2,"dd/mm/aaaa")</f>
        <v/>
      </c>
      <c r="AE2975" s="10">
        <f>REPT(" ",10)</f>
        <v/>
      </c>
      <c r="AF2975" s="10">
        <f>REPT(" ",20)</f>
        <v/>
      </c>
      <c r="AG2975" s="54">
        <f>REPT(" ",18-LEN(FIXED(F2975,2,TRUE)))&amp;FIXED(F2975,2,TRUE)</f>
        <v/>
      </c>
      <c r="AH2975" s="10">
        <f>LEN(AC2975)+LEN(AG2975)</f>
        <v/>
      </c>
      <c r="AI2975" s="10">
        <f>LEN(L2975)</f>
        <v/>
      </c>
    </row>
    <row r="2976">
      <c r="J2976" s="12">
        <f>IF(F2976&lt;&gt;0,"LANÇAR","")</f>
        <v/>
      </c>
      <c r="L2976" s="13">
        <f>N2976&amp;O2976&amp;P2976&amp;Q2976&amp;R2976&amp;S2976&amp;T2976&amp;U2976&amp;V2976&amp;W2976&amp;X2976&amp;Y2976&amp;Z2976&amp;AA2976&amp;AB2976&amp;AC2976&amp;AD2976&amp;AE2976&amp;AF2976&amp;AG2976</f>
        <v/>
      </c>
      <c r="N2976" s="10">
        <f>TEXT($B$6,"00")</f>
        <v/>
      </c>
      <c r="O2976" s="10">
        <f>REPT(" ",8)</f>
        <v/>
      </c>
      <c r="P2976" s="10">
        <f>RIGHT($B$4,2)</f>
        <v/>
      </c>
      <c r="Q2976" s="10">
        <f>RIGHT($B$5,3)</f>
        <v/>
      </c>
      <c r="R2976" s="10">
        <f>IF(A2976="D",LEFT(UPPER(B2976)&amp;REPT(" ",20),20),REPT(" ",20))</f>
        <v/>
      </c>
      <c r="S2976" s="10">
        <f>IF(A2976="D",LEFT(UPPER(C2976)&amp;REPT(" ",10),10)," ")</f>
        <v/>
      </c>
      <c r="T2976" s="10">
        <f>IF(A2976="D",LEFT(UPPER(D2976)&amp;REPT(" ",2),2)," ")</f>
        <v/>
      </c>
      <c r="U2976" s="10">
        <f>IF(A2976="D",LEFT(UPPER(E2976)&amp;REPT(" ",15),15)," ")</f>
        <v/>
      </c>
      <c r="V2976" s="10">
        <f>REPT(" ",24)</f>
        <v/>
      </c>
      <c r="W2976" s="10">
        <f>IF(A2976="c",LEFT(UPPER(B2976)&amp;REPT(" ",20),20),REPT(" ",20))</f>
        <v/>
      </c>
      <c r="X2976" s="10">
        <f>IF(A2976="C",LEFT(UPPER(C2976)&amp;REPT(" ",10),10)," ")</f>
        <v/>
      </c>
      <c r="Y2976" s="10">
        <f>IF(A2976="C",LEFT(UPPER(D2976)&amp;REPT(" ",2),2)," ")</f>
        <v/>
      </c>
      <c r="Z2976" s="10">
        <f>IF(A2976="C",LEFT(UPPER(E2976)&amp;REPT(" ",15),15)," ")</f>
        <v/>
      </c>
      <c r="AA2976" s="10">
        <f>REPT(" ",8)</f>
        <v/>
      </c>
      <c r="AB2976" s="10">
        <f>REPT(" ",4)</f>
        <v/>
      </c>
      <c r="AC2976" s="10">
        <f>LEFT(UPPER(H2976)&amp;REPT(" ",250),250)</f>
        <v/>
      </c>
      <c r="AD2976" s="10">
        <f>TEXT($G$2,"dd/mm/aaaa")</f>
        <v/>
      </c>
      <c r="AE2976" s="10">
        <f>REPT(" ",10)</f>
        <v/>
      </c>
      <c r="AF2976" s="10">
        <f>REPT(" ",20)</f>
        <v/>
      </c>
      <c r="AG2976" s="54">
        <f>REPT(" ",18-LEN(FIXED(F2976,2,TRUE)))&amp;FIXED(F2976,2,TRUE)</f>
        <v/>
      </c>
      <c r="AH2976" s="10">
        <f>LEN(AC2976)+LEN(AG2976)</f>
        <v/>
      </c>
      <c r="AI2976" s="10">
        <f>LEN(L2976)</f>
        <v/>
      </c>
    </row>
    <row r="2977">
      <c r="J2977" s="12">
        <f>IF(F2977&lt;&gt;0,"LANÇAR","")</f>
        <v/>
      </c>
      <c r="L2977" s="13">
        <f>N2977&amp;O2977&amp;P2977&amp;Q2977&amp;R2977&amp;S2977&amp;T2977&amp;U2977&amp;V2977&amp;W2977&amp;X2977&amp;Y2977&amp;Z2977&amp;AA2977&amp;AB2977&amp;AC2977&amp;AD2977&amp;AE2977&amp;AF2977&amp;AG2977</f>
        <v/>
      </c>
      <c r="N2977" s="10">
        <f>TEXT($B$6,"00")</f>
        <v/>
      </c>
      <c r="O2977" s="10">
        <f>REPT(" ",8)</f>
        <v/>
      </c>
      <c r="P2977" s="10">
        <f>RIGHT($B$4,2)</f>
        <v/>
      </c>
      <c r="Q2977" s="10">
        <f>RIGHT($B$5,3)</f>
        <v/>
      </c>
      <c r="R2977" s="10">
        <f>IF(A2977="D",LEFT(UPPER(B2977)&amp;REPT(" ",20),20),REPT(" ",20))</f>
        <v/>
      </c>
      <c r="S2977" s="10">
        <f>IF(A2977="D",LEFT(UPPER(C2977)&amp;REPT(" ",10),10)," ")</f>
        <v/>
      </c>
      <c r="T2977" s="10">
        <f>IF(A2977="D",LEFT(UPPER(D2977)&amp;REPT(" ",2),2)," ")</f>
        <v/>
      </c>
      <c r="U2977" s="10">
        <f>IF(A2977="D",LEFT(UPPER(E2977)&amp;REPT(" ",15),15)," ")</f>
        <v/>
      </c>
      <c r="V2977" s="10">
        <f>REPT(" ",24)</f>
        <v/>
      </c>
      <c r="W2977" s="10">
        <f>IF(A2977="c",LEFT(UPPER(B2977)&amp;REPT(" ",20),20),REPT(" ",20))</f>
        <v/>
      </c>
      <c r="X2977" s="10">
        <f>IF(A2977="C",LEFT(UPPER(C2977)&amp;REPT(" ",10),10)," ")</f>
        <v/>
      </c>
      <c r="Y2977" s="10">
        <f>IF(A2977="C",LEFT(UPPER(D2977)&amp;REPT(" ",2),2)," ")</f>
        <v/>
      </c>
      <c r="Z2977" s="10">
        <f>IF(A2977="C",LEFT(UPPER(E2977)&amp;REPT(" ",15),15)," ")</f>
        <v/>
      </c>
      <c r="AA2977" s="10">
        <f>REPT(" ",8)</f>
        <v/>
      </c>
      <c r="AB2977" s="10">
        <f>REPT(" ",4)</f>
        <v/>
      </c>
      <c r="AC2977" s="10">
        <f>LEFT(UPPER(H2977)&amp;REPT(" ",250),250)</f>
        <v/>
      </c>
      <c r="AD2977" s="10">
        <f>TEXT($G$2,"dd/mm/aaaa")</f>
        <v/>
      </c>
      <c r="AE2977" s="10">
        <f>REPT(" ",10)</f>
        <v/>
      </c>
      <c r="AF2977" s="10">
        <f>REPT(" ",20)</f>
        <v/>
      </c>
      <c r="AG2977" s="54">
        <f>REPT(" ",18-LEN(FIXED(F2977,2,TRUE)))&amp;FIXED(F2977,2,TRUE)</f>
        <v/>
      </c>
      <c r="AH2977" s="10">
        <f>LEN(AC2977)+LEN(AG2977)</f>
        <v/>
      </c>
      <c r="AI2977" s="10">
        <f>LEN(L2977)</f>
        <v/>
      </c>
    </row>
    <row r="2978">
      <c r="J2978" s="12">
        <f>IF(F2978&lt;&gt;0,"LANÇAR","")</f>
        <v/>
      </c>
      <c r="L2978" s="13">
        <f>N2978&amp;O2978&amp;P2978&amp;Q2978&amp;R2978&amp;S2978&amp;T2978&amp;U2978&amp;V2978&amp;W2978&amp;X2978&amp;Y2978&amp;Z2978&amp;AA2978&amp;AB2978&amp;AC2978&amp;AD2978&amp;AE2978&amp;AF2978&amp;AG2978</f>
        <v/>
      </c>
      <c r="N2978" s="10">
        <f>TEXT($B$6,"00")</f>
        <v/>
      </c>
      <c r="O2978" s="10">
        <f>REPT(" ",8)</f>
        <v/>
      </c>
      <c r="P2978" s="10">
        <f>RIGHT($B$4,2)</f>
        <v/>
      </c>
      <c r="Q2978" s="10">
        <f>RIGHT($B$5,3)</f>
        <v/>
      </c>
      <c r="R2978" s="10">
        <f>IF(A2978="D",LEFT(UPPER(B2978)&amp;REPT(" ",20),20),REPT(" ",20))</f>
        <v/>
      </c>
      <c r="S2978" s="10">
        <f>IF(A2978="D",LEFT(UPPER(C2978)&amp;REPT(" ",10),10)," ")</f>
        <v/>
      </c>
      <c r="T2978" s="10">
        <f>IF(A2978="D",LEFT(UPPER(D2978)&amp;REPT(" ",2),2)," ")</f>
        <v/>
      </c>
      <c r="U2978" s="10">
        <f>IF(A2978="D",LEFT(UPPER(E2978)&amp;REPT(" ",15),15)," ")</f>
        <v/>
      </c>
      <c r="V2978" s="10">
        <f>REPT(" ",24)</f>
        <v/>
      </c>
      <c r="W2978" s="10">
        <f>IF(A2978="c",LEFT(UPPER(B2978)&amp;REPT(" ",20),20),REPT(" ",20))</f>
        <v/>
      </c>
      <c r="X2978" s="10">
        <f>IF(A2978="C",LEFT(UPPER(C2978)&amp;REPT(" ",10),10)," ")</f>
        <v/>
      </c>
      <c r="Y2978" s="10">
        <f>IF(A2978="C",LEFT(UPPER(D2978)&amp;REPT(" ",2),2)," ")</f>
        <v/>
      </c>
      <c r="Z2978" s="10">
        <f>IF(A2978="C",LEFT(UPPER(E2978)&amp;REPT(" ",15),15)," ")</f>
        <v/>
      </c>
      <c r="AA2978" s="10">
        <f>REPT(" ",8)</f>
        <v/>
      </c>
      <c r="AB2978" s="10">
        <f>REPT(" ",4)</f>
        <v/>
      </c>
      <c r="AC2978" s="10">
        <f>LEFT(UPPER(H2978)&amp;REPT(" ",250),250)</f>
        <v/>
      </c>
      <c r="AD2978" s="10">
        <f>TEXT($G$2,"dd/mm/aaaa")</f>
        <v/>
      </c>
      <c r="AE2978" s="10">
        <f>REPT(" ",10)</f>
        <v/>
      </c>
      <c r="AF2978" s="10">
        <f>REPT(" ",20)</f>
        <v/>
      </c>
      <c r="AG2978" s="54">
        <f>REPT(" ",18-LEN(FIXED(F2978,2,TRUE)))&amp;FIXED(F2978,2,TRUE)</f>
        <v/>
      </c>
      <c r="AH2978" s="10">
        <f>LEN(AC2978)+LEN(AG2978)</f>
        <v/>
      </c>
      <c r="AI2978" s="10">
        <f>LEN(L2978)</f>
        <v/>
      </c>
    </row>
    <row r="2979">
      <c r="J2979" s="12">
        <f>IF(F2979&lt;&gt;0,"LANÇAR","")</f>
        <v/>
      </c>
      <c r="L2979" s="13">
        <f>N2979&amp;O2979&amp;P2979&amp;Q2979&amp;R2979&amp;S2979&amp;T2979&amp;U2979&amp;V2979&amp;W2979&amp;X2979&amp;Y2979&amp;Z2979&amp;AA2979&amp;AB2979&amp;AC2979&amp;AD2979&amp;AE2979&amp;AF2979&amp;AG2979</f>
        <v/>
      </c>
      <c r="N2979" s="10">
        <f>TEXT($B$6,"00")</f>
        <v/>
      </c>
      <c r="O2979" s="10">
        <f>REPT(" ",8)</f>
        <v/>
      </c>
      <c r="P2979" s="10">
        <f>RIGHT($B$4,2)</f>
        <v/>
      </c>
      <c r="Q2979" s="10">
        <f>RIGHT($B$5,3)</f>
        <v/>
      </c>
      <c r="R2979" s="10">
        <f>IF(A2979="D",LEFT(UPPER(B2979)&amp;REPT(" ",20),20),REPT(" ",20))</f>
        <v/>
      </c>
      <c r="S2979" s="10">
        <f>IF(A2979="D",LEFT(UPPER(C2979)&amp;REPT(" ",10),10)," ")</f>
        <v/>
      </c>
      <c r="T2979" s="10">
        <f>IF(A2979="D",LEFT(UPPER(D2979)&amp;REPT(" ",2),2)," ")</f>
        <v/>
      </c>
      <c r="U2979" s="10">
        <f>IF(A2979="D",LEFT(UPPER(E2979)&amp;REPT(" ",15),15)," ")</f>
        <v/>
      </c>
      <c r="V2979" s="10">
        <f>REPT(" ",24)</f>
        <v/>
      </c>
      <c r="W2979" s="10">
        <f>IF(A2979="c",LEFT(UPPER(B2979)&amp;REPT(" ",20),20),REPT(" ",20))</f>
        <v/>
      </c>
      <c r="X2979" s="10">
        <f>IF(A2979="C",LEFT(UPPER(C2979)&amp;REPT(" ",10),10)," ")</f>
        <v/>
      </c>
      <c r="Y2979" s="10">
        <f>IF(A2979="C",LEFT(UPPER(D2979)&amp;REPT(" ",2),2)," ")</f>
        <v/>
      </c>
      <c r="Z2979" s="10">
        <f>IF(A2979="C",LEFT(UPPER(E2979)&amp;REPT(" ",15),15)," ")</f>
        <v/>
      </c>
      <c r="AA2979" s="10">
        <f>REPT(" ",8)</f>
        <v/>
      </c>
      <c r="AB2979" s="10">
        <f>REPT(" ",4)</f>
        <v/>
      </c>
      <c r="AC2979" s="10">
        <f>LEFT(UPPER(H2979)&amp;REPT(" ",250),250)</f>
        <v/>
      </c>
      <c r="AD2979" s="10">
        <f>TEXT($G$2,"dd/mm/aaaa")</f>
        <v/>
      </c>
      <c r="AE2979" s="10">
        <f>REPT(" ",10)</f>
        <v/>
      </c>
      <c r="AF2979" s="10">
        <f>REPT(" ",20)</f>
        <v/>
      </c>
      <c r="AG2979" s="54">
        <f>REPT(" ",18-LEN(FIXED(F2979,2,TRUE)))&amp;FIXED(F2979,2,TRUE)</f>
        <v/>
      </c>
      <c r="AH2979" s="10">
        <f>LEN(AC2979)+LEN(AG2979)</f>
        <v/>
      </c>
      <c r="AI2979" s="10">
        <f>LEN(L2979)</f>
        <v/>
      </c>
    </row>
    <row r="2980">
      <c r="J2980" s="12">
        <f>IF(F2980&lt;&gt;0,"LANÇAR","")</f>
        <v/>
      </c>
      <c r="L2980" s="13">
        <f>N2980&amp;O2980&amp;P2980&amp;Q2980&amp;R2980&amp;S2980&amp;T2980&amp;U2980&amp;V2980&amp;W2980&amp;X2980&amp;Y2980&amp;Z2980&amp;AA2980&amp;AB2980&amp;AC2980&amp;AD2980&amp;AE2980&amp;AF2980&amp;AG2980</f>
        <v/>
      </c>
      <c r="N2980" s="10">
        <f>TEXT($B$6,"00")</f>
        <v/>
      </c>
      <c r="O2980" s="10">
        <f>REPT(" ",8)</f>
        <v/>
      </c>
      <c r="P2980" s="10">
        <f>RIGHT($B$4,2)</f>
        <v/>
      </c>
      <c r="Q2980" s="10">
        <f>RIGHT($B$5,3)</f>
        <v/>
      </c>
      <c r="R2980" s="10">
        <f>IF(A2980="D",LEFT(UPPER(B2980)&amp;REPT(" ",20),20),REPT(" ",20))</f>
        <v/>
      </c>
      <c r="S2980" s="10">
        <f>IF(A2980="D",LEFT(UPPER(C2980)&amp;REPT(" ",10),10)," ")</f>
        <v/>
      </c>
      <c r="T2980" s="10">
        <f>IF(A2980="D",LEFT(UPPER(D2980)&amp;REPT(" ",2),2)," ")</f>
        <v/>
      </c>
      <c r="U2980" s="10">
        <f>IF(A2980="D",LEFT(UPPER(E2980)&amp;REPT(" ",15),15)," ")</f>
        <v/>
      </c>
      <c r="V2980" s="10">
        <f>REPT(" ",24)</f>
        <v/>
      </c>
      <c r="W2980" s="10">
        <f>IF(A2980="c",LEFT(UPPER(B2980)&amp;REPT(" ",20),20),REPT(" ",20))</f>
        <v/>
      </c>
      <c r="X2980" s="10">
        <f>IF(A2980="C",LEFT(UPPER(C2980)&amp;REPT(" ",10),10)," ")</f>
        <v/>
      </c>
      <c r="Y2980" s="10">
        <f>IF(A2980="C",LEFT(UPPER(D2980)&amp;REPT(" ",2),2)," ")</f>
        <v/>
      </c>
      <c r="Z2980" s="10">
        <f>IF(A2980="C",LEFT(UPPER(E2980)&amp;REPT(" ",15),15)," ")</f>
        <v/>
      </c>
      <c r="AA2980" s="10">
        <f>REPT(" ",8)</f>
        <v/>
      </c>
      <c r="AB2980" s="10">
        <f>REPT(" ",4)</f>
        <v/>
      </c>
      <c r="AC2980" s="10">
        <f>LEFT(UPPER(H2980)&amp;REPT(" ",250),250)</f>
        <v/>
      </c>
      <c r="AD2980" s="10">
        <f>TEXT($G$2,"dd/mm/aaaa")</f>
        <v/>
      </c>
      <c r="AE2980" s="10">
        <f>REPT(" ",10)</f>
        <v/>
      </c>
      <c r="AF2980" s="10">
        <f>REPT(" ",20)</f>
        <v/>
      </c>
      <c r="AG2980" s="54">
        <f>REPT(" ",18-LEN(FIXED(F2980,2,TRUE)))&amp;FIXED(F2980,2,TRUE)</f>
        <v/>
      </c>
      <c r="AH2980" s="10">
        <f>LEN(AC2980)+LEN(AG2980)</f>
        <v/>
      </c>
      <c r="AI2980" s="10">
        <f>LEN(L2980)</f>
        <v/>
      </c>
    </row>
    <row r="2981">
      <c r="J2981" s="12">
        <f>IF(F2981&lt;&gt;0,"LANÇAR","")</f>
        <v/>
      </c>
      <c r="L2981" s="13">
        <f>N2981&amp;O2981&amp;P2981&amp;Q2981&amp;R2981&amp;S2981&amp;T2981&amp;U2981&amp;V2981&amp;W2981&amp;X2981&amp;Y2981&amp;Z2981&amp;AA2981&amp;AB2981&amp;AC2981&amp;AD2981&amp;AE2981&amp;AF2981&amp;AG2981</f>
        <v/>
      </c>
      <c r="N2981" s="10">
        <f>TEXT($B$6,"00")</f>
        <v/>
      </c>
      <c r="O2981" s="10">
        <f>REPT(" ",8)</f>
        <v/>
      </c>
      <c r="P2981" s="10">
        <f>RIGHT($B$4,2)</f>
        <v/>
      </c>
      <c r="Q2981" s="10">
        <f>RIGHT($B$5,3)</f>
        <v/>
      </c>
      <c r="R2981" s="10">
        <f>IF(A2981="D",LEFT(UPPER(B2981)&amp;REPT(" ",20),20),REPT(" ",20))</f>
        <v/>
      </c>
      <c r="S2981" s="10">
        <f>IF(A2981="D",LEFT(UPPER(C2981)&amp;REPT(" ",10),10)," ")</f>
        <v/>
      </c>
      <c r="T2981" s="10">
        <f>IF(A2981="D",LEFT(UPPER(D2981)&amp;REPT(" ",2),2)," ")</f>
        <v/>
      </c>
      <c r="U2981" s="10">
        <f>IF(A2981="D",LEFT(UPPER(E2981)&amp;REPT(" ",15),15)," ")</f>
        <v/>
      </c>
      <c r="V2981" s="10">
        <f>REPT(" ",24)</f>
        <v/>
      </c>
      <c r="W2981" s="10">
        <f>IF(A2981="c",LEFT(UPPER(B2981)&amp;REPT(" ",20),20),REPT(" ",20))</f>
        <v/>
      </c>
      <c r="X2981" s="10">
        <f>IF(A2981="C",LEFT(UPPER(C2981)&amp;REPT(" ",10),10)," ")</f>
        <v/>
      </c>
      <c r="Y2981" s="10">
        <f>IF(A2981="C",LEFT(UPPER(D2981)&amp;REPT(" ",2),2)," ")</f>
        <v/>
      </c>
      <c r="Z2981" s="10">
        <f>IF(A2981="C",LEFT(UPPER(E2981)&amp;REPT(" ",15),15)," ")</f>
        <v/>
      </c>
      <c r="AA2981" s="10">
        <f>REPT(" ",8)</f>
        <v/>
      </c>
      <c r="AB2981" s="10">
        <f>REPT(" ",4)</f>
        <v/>
      </c>
      <c r="AC2981" s="10">
        <f>LEFT(UPPER(H2981)&amp;REPT(" ",250),250)</f>
        <v/>
      </c>
      <c r="AD2981" s="10">
        <f>TEXT($G$2,"dd/mm/aaaa")</f>
        <v/>
      </c>
      <c r="AE2981" s="10">
        <f>REPT(" ",10)</f>
        <v/>
      </c>
      <c r="AF2981" s="10">
        <f>REPT(" ",20)</f>
        <v/>
      </c>
      <c r="AG2981" s="54">
        <f>REPT(" ",18-LEN(FIXED(F2981,2,TRUE)))&amp;FIXED(F2981,2,TRUE)</f>
        <v/>
      </c>
      <c r="AH2981" s="10">
        <f>LEN(AC2981)+LEN(AG2981)</f>
        <v/>
      </c>
      <c r="AI2981" s="10">
        <f>LEN(L2981)</f>
        <v/>
      </c>
    </row>
    <row r="2982">
      <c r="J2982" s="12">
        <f>IF(F2982&lt;&gt;0,"LANÇAR","")</f>
        <v/>
      </c>
      <c r="L2982" s="13">
        <f>N2982&amp;O2982&amp;P2982&amp;Q2982&amp;R2982&amp;S2982&amp;T2982&amp;U2982&amp;V2982&amp;W2982&amp;X2982&amp;Y2982&amp;Z2982&amp;AA2982&amp;AB2982&amp;AC2982&amp;AD2982&amp;AE2982&amp;AF2982&amp;AG2982</f>
        <v/>
      </c>
      <c r="N2982" s="10">
        <f>TEXT($B$6,"00")</f>
        <v/>
      </c>
      <c r="O2982" s="10">
        <f>REPT(" ",8)</f>
        <v/>
      </c>
      <c r="P2982" s="10">
        <f>RIGHT($B$4,2)</f>
        <v/>
      </c>
      <c r="Q2982" s="10">
        <f>RIGHT($B$5,3)</f>
        <v/>
      </c>
      <c r="R2982" s="10">
        <f>IF(A2982="D",LEFT(UPPER(B2982)&amp;REPT(" ",20),20),REPT(" ",20))</f>
        <v/>
      </c>
      <c r="S2982" s="10">
        <f>IF(A2982="D",LEFT(UPPER(C2982)&amp;REPT(" ",10),10)," ")</f>
        <v/>
      </c>
      <c r="T2982" s="10">
        <f>IF(A2982="D",LEFT(UPPER(D2982)&amp;REPT(" ",2),2)," ")</f>
        <v/>
      </c>
      <c r="U2982" s="10">
        <f>IF(A2982="D",LEFT(UPPER(E2982)&amp;REPT(" ",15),15)," ")</f>
        <v/>
      </c>
      <c r="V2982" s="10">
        <f>REPT(" ",24)</f>
        <v/>
      </c>
      <c r="W2982" s="10">
        <f>IF(A2982="c",LEFT(UPPER(B2982)&amp;REPT(" ",20),20),REPT(" ",20))</f>
        <v/>
      </c>
      <c r="X2982" s="10">
        <f>IF(A2982="C",LEFT(UPPER(C2982)&amp;REPT(" ",10),10)," ")</f>
        <v/>
      </c>
      <c r="Y2982" s="10">
        <f>IF(A2982="C",LEFT(UPPER(D2982)&amp;REPT(" ",2),2)," ")</f>
        <v/>
      </c>
      <c r="Z2982" s="10">
        <f>IF(A2982="C",LEFT(UPPER(E2982)&amp;REPT(" ",15),15)," ")</f>
        <v/>
      </c>
      <c r="AA2982" s="10">
        <f>REPT(" ",8)</f>
        <v/>
      </c>
      <c r="AB2982" s="10">
        <f>REPT(" ",4)</f>
        <v/>
      </c>
      <c r="AC2982" s="10">
        <f>LEFT(UPPER(H2982)&amp;REPT(" ",250),250)</f>
        <v/>
      </c>
      <c r="AD2982" s="10">
        <f>TEXT($G$2,"dd/mm/aaaa")</f>
        <v/>
      </c>
      <c r="AE2982" s="10">
        <f>REPT(" ",10)</f>
        <v/>
      </c>
      <c r="AF2982" s="10">
        <f>REPT(" ",20)</f>
        <v/>
      </c>
      <c r="AG2982" s="54">
        <f>REPT(" ",18-LEN(FIXED(F2982,2,TRUE)))&amp;FIXED(F2982,2,TRUE)</f>
        <v/>
      </c>
      <c r="AH2982" s="10">
        <f>LEN(AC2982)+LEN(AG2982)</f>
        <v/>
      </c>
      <c r="AI2982" s="10">
        <f>LEN(L2982)</f>
        <v/>
      </c>
    </row>
    <row r="2983">
      <c r="J2983" s="12">
        <f>IF(F2983&lt;&gt;0,"LANÇAR","")</f>
        <v/>
      </c>
      <c r="L2983" s="13">
        <f>N2983&amp;O2983&amp;P2983&amp;Q2983&amp;R2983&amp;S2983&amp;T2983&amp;U2983&amp;V2983&amp;W2983&amp;X2983&amp;Y2983&amp;Z2983&amp;AA2983&amp;AB2983&amp;AC2983&amp;AD2983&amp;AE2983&amp;AF2983&amp;AG2983</f>
        <v/>
      </c>
      <c r="N2983" s="10">
        <f>TEXT($B$6,"00")</f>
        <v/>
      </c>
      <c r="O2983" s="10">
        <f>REPT(" ",8)</f>
        <v/>
      </c>
      <c r="P2983" s="10">
        <f>RIGHT($B$4,2)</f>
        <v/>
      </c>
      <c r="Q2983" s="10">
        <f>RIGHT($B$5,3)</f>
        <v/>
      </c>
      <c r="R2983" s="10">
        <f>IF(A2983="D",LEFT(UPPER(B2983)&amp;REPT(" ",20),20),REPT(" ",20))</f>
        <v/>
      </c>
      <c r="S2983" s="10">
        <f>IF(A2983="D",LEFT(UPPER(C2983)&amp;REPT(" ",10),10)," ")</f>
        <v/>
      </c>
      <c r="T2983" s="10">
        <f>IF(A2983="D",LEFT(UPPER(D2983)&amp;REPT(" ",2),2)," ")</f>
        <v/>
      </c>
      <c r="U2983" s="10">
        <f>IF(A2983="D",LEFT(UPPER(E2983)&amp;REPT(" ",15),15)," ")</f>
        <v/>
      </c>
      <c r="V2983" s="10">
        <f>REPT(" ",24)</f>
        <v/>
      </c>
      <c r="W2983" s="10">
        <f>IF(A2983="c",LEFT(UPPER(B2983)&amp;REPT(" ",20),20),REPT(" ",20))</f>
        <v/>
      </c>
      <c r="X2983" s="10">
        <f>IF(A2983="C",LEFT(UPPER(C2983)&amp;REPT(" ",10),10)," ")</f>
        <v/>
      </c>
      <c r="Y2983" s="10">
        <f>IF(A2983="C",LEFT(UPPER(D2983)&amp;REPT(" ",2),2)," ")</f>
        <v/>
      </c>
      <c r="Z2983" s="10">
        <f>IF(A2983="C",LEFT(UPPER(E2983)&amp;REPT(" ",15),15)," ")</f>
        <v/>
      </c>
      <c r="AA2983" s="10">
        <f>REPT(" ",8)</f>
        <v/>
      </c>
      <c r="AB2983" s="10">
        <f>REPT(" ",4)</f>
        <v/>
      </c>
      <c r="AC2983" s="10">
        <f>LEFT(UPPER(H2983)&amp;REPT(" ",250),250)</f>
        <v/>
      </c>
      <c r="AD2983" s="10">
        <f>TEXT($G$2,"dd/mm/aaaa")</f>
        <v/>
      </c>
      <c r="AE2983" s="10">
        <f>REPT(" ",10)</f>
        <v/>
      </c>
      <c r="AF2983" s="10">
        <f>REPT(" ",20)</f>
        <v/>
      </c>
      <c r="AG2983" s="54">
        <f>REPT(" ",18-LEN(FIXED(F2983,2,TRUE)))&amp;FIXED(F2983,2,TRUE)</f>
        <v/>
      </c>
      <c r="AH2983" s="10">
        <f>LEN(AC2983)+LEN(AG2983)</f>
        <v/>
      </c>
      <c r="AI2983" s="10">
        <f>LEN(L2983)</f>
        <v/>
      </c>
    </row>
    <row r="2984">
      <c r="J2984" s="12">
        <f>IF(F2984&lt;&gt;0,"LANÇAR","")</f>
        <v/>
      </c>
      <c r="L2984" s="13">
        <f>N2984&amp;O2984&amp;P2984&amp;Q2984&amp;R2984&amp;S2984&amp;T2984&amp;U2984&amp;V2984&amp;W2984&amp;X2984&amp;Y2984&amp;Z2984&amp;AA2984&amp;AB2984&amp;AC2984&amp;AD2984&amp;AE2984&amp;AF2984&amp;AG2984</f>
        <v/>
      </c>
      <c r="N2984" s="10">
        <f>TEXT($B$6,"00")</f>
        <v/>
      </c>
      <c r="O2984" s="10">
        <f>REPT(" ",8)</f>
        <v/>
      </c>
      <c r="P2984" s="10">
        <f>RIGHT($B$4,2)</f>
        <v/>
      </c>
      <c r="Q2984" s="10">
        <f>RIGHT($B$5,3)</f>
        <v/>
      </c>
      <c r="R2984" s="10">
        <f>IF(A2984="D",LEFT(UPPER(B2984)&amp;REPT(" ",20),20),REPT(" ",20))</f>
        <v/>
      </c>
      <c r="S2984" s="10">
        <f>IF(A2984="D",LEFT(UPPER(C2984)&amp;REPT(" ",10),10)," ")</f>
        <v/>
      </c>
      <c r="T2984" s="10">
        <f>IF(A2984="D",LEFT(UPPER(D2984)&amp;REPT(" ",2),2)," ")</f>
        <v/>
      </c>
      <c r="U2984" s="10">
        <f>IF(A2984="D",LEFT(UPPER(E2984)&amp;REPT(" ",15),15)," ")</f>
        <v/>
      </c>
      <c r="V2984" s="10">
        <f>REPT(" ",24)</f>
        <v/>
      </c>
      <c r="W2984" s="10">
        <f>IF(A2984="c",LEFT(UPPER(B2984)&amp;REPT(" ",20),20),REPT(" ",20))</f>
        <v/>
      </c>
      <c r="X2984" s="10">
        <f>IF(A2984="C",LEFT(UPPER(C2984)&amp;REPT(" ",10),10)," ")</f>
        <v/>
      </c>
      <c r="Y2984" s="10">
        <f>IF(A2984="C",LEFT(UPPER(D2984)&amp;REPT(" ",2),2)," ")</f>
        <v/>
      </c>
      <c r="Z2984" s="10">
        <f>IF(A2984="C",LEFT(UPPER(E2984)&amp;REPT(" ",15),15)," ")</f>
        <v/>
      </c>
      <c r="AA2984" s="10">
        <f>REPT(" ",8)</f>
        <v/>
      </c>
      <c r="AB2984" s="10">
        <f>REPT(" ",4)</f>
        <v/>
      </c>
      <c r="AC2984" s="10">
        <f>LEFT(UPPER(H2984)&amp;REPT(" ",250),250)</f>
        <v/>
      </c>
      <c r="AD2984" s="10">
        <f>TEXT($G$2,"dd/mm/aaaa")</f>
        <v/>
      </c>
      <c r="AE2984" s="10">
        <f>REPT(" ",10)</f>
        <v/>
      </c>
      <c r="AF2984" s="10">
        <f>REPT(" ",20)</f>
        <v/>
      </c>
      <c r="AG2984" s="54">
        <f>REPT(" ",18-LEN(FIXED(F2984,2,TRUE)))&amp;FIXED(F2984,2,TRUE)</f>
        <v/>
      </c>
      <c r="AH2984" s="10">
        <f>LEN(AC2984)+LEN(AG2984)</f>
        <v/>
      </c>
      <c r="AI2984" s="10">
        <f>LEN(L2984)</f>
        <v/>
      </c>
    </row>
    <row r="2985">
      <c r="J2985" s="12">
        <f>IF(F2985&lt;&gt;0,"LANÇAR","")</f>
        <v/>
      </c>
      <c r="L2985" s="13">
        <f>N2985&amp;O2985&amp;P2985&amp;Q2985&amp;R2985&amp;S2985&amp;T2985&amp;U2985&amp;V2985&amp;W2985&amp;X2985&amp;Y2985&amp;Z2985&amp;AA2985&amp;AB2985&amp;AC2985&amp;AD2985&amp;AE2985&amp;AF2985&amp;AG2985</f>
        <v/>
      </c>
      <c r="N2985" s="10">
        <f>TEXT($B$6,"00")</f>
        <v/>
      </c>
      <c r="O2985" s="10">
        <f>REPT(" ",8)</f>
        <v/>
      </c>
      <c r="P2985" s="10">
        <f>RIGHT($B$4,2)</f>
        <v/>
      </c>
      <c r="Q2985" s="10">
        <f>RIGHT($B$5,3)</f>
        <v/>
      </c>
      <c r="R2985" s="10">
        <f>IF(A2985="D",LEFT(UPPER(B2985)&amp;REPT(" ",20),20),REPT(" ",20))</f>
        <v/>
      </c>
      <c r="S2985" s="10">
        <f>IF(A2985="D",LEFT(UPPER(C2985)&amp;REPT(" ",10),10)," ")</f>
        <v/>
      </c>
      <c r="T2985" s="10">
        <f>IF(A2985="D",LEFT(UPPER(D2985)&amp;REPT(" ",2),2)," ")</f>
        <v/>
      </c>
      <c r="U2985" s="10">
        <f>IF(A2985="D",LEFT(UPPER(E2985)&amp;REPT(" ",15),15)," ")</f>
        <v/>
      </c>
      <c r="V2985" s="10">
        <f>REPT(" ",24)</f>
        <v/>
      </c>
      <c r="W2985" s="10">
        <f>IF(A2985="c",LEFT(UPPER(B2985)&amp;REPT(" ",20),20),REPT(" ",20))</f>
        <v/>
      </c>
      <c r="X2985" s="10">
        <f>IF(A2985="C",LEFT(UPPER(C2985)&amp;REPT(" ",10),10)," ")</f>
        <v/>
      </c>
      <c r="Y2985" s="10">
        <f>IF(A2985="C",LEFT(UPPER(D2985)&amp;REPT(" ",2),2)," ")</f>
        <v/>
      </c>
      <c r="Z2985" s="10">
        <f>IF(A2985="C",LEFT(UPPER(E2985)&amp;REPT(" ",15),15)," ")</f>
        <v/>
      </c>
      <c r="AA2985" s="10">
        <f>REPT(" ",8)</f>
        <v/>
      </c>
      <c r="AB2985" s="10">
        <f>REPT(" ",4)</f>
        <v/>
      </c>
      <c r="AC2985" s="10">
        <f>LEFT(UPPER(H2985)&amp;REPT(" ",250),250)</f>
        <v/>
      </c>
      <c r="AD2985" s="10">
        <f>TEXT($G$2,"dd/mm/aaaa")</f>
        <v/>
      </c>
      <c r="AE2985" s="10">
        <f>REPT(" ",10)</f>
        <v/>
      </c>
      <c r="AF2985" s="10">
        <f>REPT(" ",20)</f>
        <v/>
      </c>
      <c r="AG2985" s="54">
        <f>REPT(" ",18-LEN(FIXED(F2985,2,TRUE)))&amp;FIXED(F2985,2,TRUE)</f>
        <v/>
      </c>
      <c r="AH2985" s="10">
        <f>LEN(AC2985)+LEN(AG2985)</f>
        <v/>
      </c>
      <c r="AI2985" s="10">
        <f>LEN(L2985)</f>
        <v/>
      </c>
    </row>
    <row r="2986">
      <c r="J2986" s="12">
        <f>IF(F2986&lt;&gt;0,"LANÇAR","")</f>
        <v/>
      </c>
      <c r="L2986" s="13">
        <f>N2986&amp;O2986&amp;P2986&amp;Q2986&amp;R2986&amp;S2986&amp;T2986&amp;U2986&amp;V2986&amp;W2986&amp;X2986&amp;Y2986&amp;Z2986&amp;AA2986&amp;AB2986&amp;AC2986&amp;AD2986&amp;AE2986&amp;AF2986&amp;AG2986</f>
        <v/>
      </c>
      <c r="N2986" s="10">
        <f>TEXT($B$6,"00")</f>
        <v/>
      </c>
      <c r="O2986" s="10">
        <f>REPT(" ",8)</f>
        <v/>
      </c>
      <c r="P2986" s="10">
        <f>RIGHT($B$4,2)</f>
        <v/>
      </c>
      <c r="Q2986" s="10">
        <f>RIGHT($B$5,3)</f>
        <v/>
      </c>
      <c r="R2986" s="10">
        <f>IF(A2986="D",LEFT(UPPER(B2986)&amp;REPT(" ",20),20),REPT(" ",20))</f>
        <v/>
      </c>
      <c r="S2986" s="10">
        <f>IF(A2986="D",LEFT(UPPER(C2986)&amp;REPT(" ",10),10)," ")</f>
        <v/>
      </c>
      <c r="T2986" s="10">
        <f>IF(A2986="D",LEFT(UPPER(D2986)&amp;REPT(" ",2),2)," ")</f>
        <v/>
      </c>
      <c r="U2986" s="10">
        <f>IF(A2986="D",LEFT(UPPER(E2986)&amp;REPT(" ",15),15)," ")</f>
        <v/>
      </c>
      <c r="V2986" s="10">
        <f>REPT(" ",24)</f>
        <v/>
      </c>
      <c r="W2986" s="10">
        <f>IF(A2986="c",LEFT(UPPER(B2986)&amp;REPT(" ",20),20),REPT(" ",20))</f>
        <v/>
      </c>
      <c r="X2986" s="10">
        <f>IF(A2986="C",LEFT(UPPER(C2986)&amp;REPT(" ",10),10)," ")</f>
        <v/>
      </c>
      <c r="Y2986" s="10">
        <f>IF(A2986="C",LEFT(UPPER(D2986)&amp;REPT(" ",2),2)," ")</f>
        <v/>
      </c>
      <c r="Z2986" s="10">
        <f>IF(A2986="C",LEFT(UPPER(E2986)&amp;REPT(" ",15),15)," ")</f>
        <v/>
      </c>
      <c r="AA2986" s="10">
        <f>REPT(" ",8)</f>
        <v/>
      </c>
      <c r="AB2986" s="10">
        <f>REPT(" ",4)</f>
        <v/>
      </c>
      <c r="AC2986" s="10">
        <f>LEFT(UPPER(H2986)&amp;REPT(" ",250),250)</f>
        <v/>
      </c>
      <c r="AD2986" s="10">
        <f>TEXT($G$2,"dd/mm/aaaa")</f>
        <v/>
      </c>
      <c r="AE2986" s="10">
        <f>REPT(" ",10)</f>
        <v/>
      </c>
      <c r="AF2986" s="10">
        <f>REPT(" ",20)</f>
        <v/>
      </c>
      <c r="AG2986" s="54">
        <f>REPT(" ",18-LEN(FIXED(F2986,2,TRUE)))&amp;FIXED(F2986,2,TRUE)</f>
        <v/>
      </c>
      <c r="AH2986" s="10">
        <f>LEN(AC2986)+LEN(AG2986)</f>
        <v/>
      </c>
      <c r="AI2986" s="10">
        <f>LEN(L2986)</f>
        <v/>
      </c>
    </row>
    <row r="2987">
      <c r="J2987" s="12">
        <f>IF(F2987&lt;&gt;0,"LANÇAR","")</f>
        <v/>
      </c>
      <c r="L2987" s="13">
        <f>N2987&amp;O2987&amp;P2987&amp;Q2987&amp;R2987&amp;S2987&amp;T2987&amp;U2987&amp;V2987&amp;W2987&amp;X2987&amp;Y2987&amp;Z2987&amp;AA2987&amp;AB2987&amp;AC2987&amp;AD2987&amp;AE2987&amp;AF2987&amp;AG2987</f>
        <v/>
      </c>
      <c r="N2987" s="10">
        <f>TEXT($B$6,"00")</f>
        <v/>
      </c>
      <c r="O2987" s="10">
        <f>REPT(" ",8)</f>
        <v/>
      </c>
      <c r="P2987" s="10">
        <f>RIGHT($B$4,2)</f>
        <v/>
      </c>
      <c r="Q2987" s="10">
        <f>RIGHT($B$5,3)</f>
        <v/>
      </c>
      <c r="R2987" s="10">
        <f>IF(A2987="D",LEFT(UPPER(B2987)&amp;REPT(" ",20),20),REPT(" ",20))</f>
        <v/>
      </c>
      <c r="S2987" s="10">
        <f>IF(A2987="D",LEFT(UPPER(C2987)&amp;REPT(" ",10),10)," ")</f>
        <v/>
      </c>
      <c r="T2987" s="10">
        <f>IF(A2987="D",LEFT(UPPER(D2987)&amp;REPT(" ",2),2)," ")</f>
        <v/>
      </c>
      <c r="U2987" s="10">
        <f>IF(A2987="D",LEFT(UPPER(E2987)&amp;REPT(" ",15),15)," ")</f>
        <v/>
      </c>
      <c r="V2987" s="10">
        <f>REPT(" ",24)</f>
        <v/>
      </c>
      <c r="W2987" s="10">
        <f>IF(A2987="c",LEFT(UPPER(B2987)&amp;REPT(" ",20),20),REPT(" ",20))</f>
        <v/>
      </c>
      <c r="X2987" s="10">
        <f>IF(A2987="C",LEFT(UPPER(C2987)&amp;REPT(" ",10),10)," ")</f>
        <v/>
      </c>
      <c r="Y2987" s="10">
        <f>IF(A2987="C",LEFT(UPPER(D2987)&amp;REPT(" ",2),2)," ")</f>
        <v/>
      </c>
      <c r="Z2987" s="10">
        <f>IF(A2987="C",LEFT(UPPER(E2987)&amp;REPT(" ",15),15)," ")</f>
        <v/>
      </c>
      <c r="AA2987" s="10">
        <f>REPT(" ",8)</f>
        <v/>
      </c>
      <c r="AB2987" s="10">
        <f>REPT(" ",4)</f>
        <v/>
      </c>
      <c r="AC2987" s="10">
        <f>LEFT(UPPER(H2987)&amp;REPT(" ",250),250)</f>
        <v/>
      </c>
      <c r="AD2987" s="10">
        <f>TEXT($G$2,"dd/mm/aaaa")</f>
        <v/>
      </c>
      <c r="AE2987" s="10">
        <f>REPT(" ",10)</f>
        <v/>
      </c>
      <c r="AF2987" s="10">
        <f>REPT(" ",20)</f>
        <v/>
      </c>
      <c r="AG2987" s="54">
        <f>REPT(" ",18-LEN(FIXED(F2987,2,TRUE)))&amp;FIXED(F2987,2,TRUE)</f>
        <v/>
      </c>
      <c r="AH2987" s="10">
        <f>LEN(AC2987)+LEN(AG2987)</f>
        <v/>
      </c>
      <c r="AI2987" s="10">
        <f>LEN(L2987)</f>
        <v/>
      </c>
    </row>
    <row r="2988">
      <c r="J2988" s="12">
        <f>IF(F2988&lt;&gt;0,"LANÇAR","")</f>
        <v/>
      </c>
      <c r="L2988" s="13">
        <f>N2988&amp;O2988&amp;P2988&amp;Q2988&amp;R2988&amp;S2988&amp;T2988&amp;U2988&amp;V2988&amp;W2988&amp;X2988&amp;Y2988&amp;Z2988&amp;AA2988&amp;AB2988&amp;AC2988&amp;AD2988&amp;AE2988&amp;AF2988&amp;AG2988</f>
        <v/>
      </c>
      <c r="N2988" s="10">
        <f>TEXT($B$6,"00")</f>
        <v/>
      </c>
      <c r="O2988" s="10">
        <f>REPT(" ",8)</f>
        <v/>
      </c>
      <c r="P2988" s="10">
        <f>RIGHT($B$4,2)</f>
        <v/>
      </c>
      <c r="Q2988" s="10">
        <f>RIGHT($B$5,3)</f>
        <v/>
      </c>
      <c r="R2988" s="10">
        <f>IF(A2988="D",LEFT(UPPER(B2988)&amp;REPT(" ",20),20),REPT(" ",20))</f>
        <v/>
      </c>
      <c r="S2988" s="10">
        <f>IF(A2988="D",LEFT(UPPER(C2988)&amp;REPT(" ",10),10)," ")</f>
        <v/>
      </c>
      <c r="T2988" s="10">
        <f>IF(A2988="D",LEFT(UPPER(D2988)&amp;REPT(" ",2),2)," ")</f>
        <v/>
      </c>
      <c r="U2988" s="10">
        <f>IF(A2988="D",LEFT(UPPER(E2988)&amp;REPT(" ",15),15)," ")</f>
        <v/>
      </c>
      <c r="V2988" s="10">
        <f>REPT(" ",24)</f>
        <v/>
      </c>
      <c r="W2988" s="10">
        <f>IF(A2988="c",LEFT(UPPER(B2988)&amp;REPT(" ",20),20),REPT(" ",20))</f>
        <v/>
      </c>
      <c r="X2988" s="10">
        <f>IF(A2988="C",LEFT(UPPER(C2988)&amp;REPT(" ",10),10)," ")</f>
        <v/>
      </c>
      <c r="Y2988" s="10">
        <f>IF(A2988="C",LEFT(UPPER(D2988)&amp;REPT(" ",2),2)," ")</f>
        <v/>
      </c>
      <c r="Z2988" s="10">
        <f>IF(A2988="C",LEFT(UPPER(E2988)&amp;REPT(" ",15),15)," ")</f>
        <v/>
      </c>
      <c r="AA2988" s="10">
        <f>REPT(" ",8)</f>
        <v/>
      </c>
      <c r="AB2988" s="10">
        <f>REPT(" ",4)</f>
        <v/>
      </c>
      <c r="AC2988" s="10">
        <f>LEFT(UPPER(H2988)&amp;REPT(" ",250),250)</f>
        <v/>
      </c>
      <c r="AD2988" s="10">
        <f>TEXT($G$2,"dd/mm/aaaa")</f>
        <v/>
      </c>
      <c r="AE2988" s="10">
        <f>REPT(" ",10)</f>
        <v/>
      </c>
      <c r="AF2988" s="10">
        <f>REPT(" ",20)</f>
        <v/>
      </c>
      <c r="AG2988" s="54">
        <f>REPT(" ",18-LEN(FIXED(F2988,2,TRUE)))&amp;FIXED(F2988,2,TRUE)</f>
        <v/>
      </c>
      <c r="AH2988" s="10">
        <f>LEN(AC2988)+LEN(AG2988)</f>
        <v/>
      </c>
      <c r="AI2988" s="10">
        <f>LEN(L2988)</f>
        <v/>
      </c>
    </row>
    <row r="2989">
      <c r="J2989" s="12">
        <f>IF(F2989&lt;&gt;0,"LANÇAR","")</f>
        <v/>
      </c>
      <c r="L2989" s="13">
        <f>N2989&amp;O2989&amp;P2989&amp;Q2989&amp;R2989&amp;S2989&amp;T2989&amp;U2989&amp;V2989&amp;W2989&amp;X2989&amp;Y2989&amp;Z2989&amp;AA2989&amp;AB2989&amp;AC2989&amp;AD2989&amp;AE2989&amp;AF2989&amp;AG2989</f>
        <v/>
      </c>
      <c r="N2989" s="10">
        <f>TEXT($B$6,"00")</f>
        <v/>
      </c>
      <c r="O2989" s="10">
        <f>REPT(" ",8)</f>
        <v/>
      </c>
      <c r="P2989" s="10">
        <f>RIGHT($B$4,2)</f>
        <v/>
      </c>
      <c r="Q2989" s="10">
        <f>RIGHT($B$5,3)</f>
        <v/>
      </c>
      <c r="R2989" s="10">
        <f>IF(A2989="D",LEFT(UPPER(B2989)&amp;REPT(" ",20),20),REPT(" ",20))</f>
        <v/>
      </c>
      <c r="S2989" s="10">
        <f>IF(A2989="D",LEFT(UPPER(C2989)&amp;REPT(" ",10),10)," ")</f>
        <v/>
      </c>
      <c r="T2989" s="10">
        <f>IF(A2989="D",LEFT(UPPER(D2989)&amp;REPT(" ",2),2)," ")</f>
        <v/>
      </c>
      <c r="U2989" s="10">
        <f>IF(A2989="D",LEFT(UPPER(E2989)&amp;REPT(" ",15),15)," ")</f>
        <v/>
      </c>
      <c r="V2989" s="10">
        <f>REPT(" ",24)</f>
        <v/>
      </c>
      <c r="W2989" s="10">
        <f>IF(A2989="c",LEFT(UPPER(B2989)&amp;REPT(" ",20),20),REPT(" ",20))</f>
        <v/>
      </c>
      <c r="X2989" s="10">
        <f>IF(A2989="C",LEFT(UPPER(C2989)&amp;REPT(" ",10),10)," ")</f>
        <v/>
      </c>
      <c r="Y2989" s="10">
        <f>IF(A2989="C",LEFT(UPPER(D2989)&amp;REPT(" ",2),2)," ")</f>
        <v/>
      </c>
      <c r="Z2989" s="10">
        <f>IF(A2989="C",LEFT(UPPER(E2989)&amp;REPT(" ",15),15)," ")</f>
        <v/>
      </c>
      <c r="AA2989" s="10">
        <f>REPT(" ",8)</f>
        <v/>
      </c>
      <c r="AB2989" s="10">
        <f>REPT(" ",4)</f>
        <v/>
      </c>
      <c r="AC2989" s="10">
        <f>LEFT(UPPER(H2989)&amp;REPT(" ",250),250)</f>
        <v/>
      </c>
      <c r="AD2989" s="10">
        <f>TEXT($G$2,"dd/mm/aaaa")</f>
        <v/>
      </c>
      <c r="AE2989" s="10">
        <f>REPT(" ",10)</f>
        <v/>
      </c>
      <c r="AF2989" s="10">
        <f>REPT(" ",20)</f>
        <v/>
      </c>
      <c r="AG2989" s="54">
        <f>REPT(" ",18-LEN(FIXED(F2989,2,TRUE)))&amp;FIXED(F2989,2,TRUE)</f>
        <v/>
      </c>
      <c r="AH2989" s="10">
        <f>LEN(AC2989)+LEN(AG2989)</f>
        <v/>
      </c>
      <c r="AI2989" s="10">
        <f>LEN(L2989)</f>
        <v/>
      </c>
    </row>
    <row r="2990">
      <c r="J2990" s="12">
        <f>IF(F2990&lt;&gt;0,"LANÇAR","")</f>
        <v/>
      </c>
      <c r="L2990" s="13">
        <f>N2990&amp;O2990&amp;P2990&amp;Q2990&amp;R2990&amp;S2990&amp;T2990&amp;U2990&amp;V2990&amp;W2990&amp;X2990&amp;Y2990&amp;Z2990&amp;AA2990&amp;AB2990&amp;AC2990&amp;AD2990&amp;AE2990&amp;AF2990&amp;AG2990</f>
        <v/>
      </c>
      <c r="N2990" s="10">
        <f>TEXT($B$6,"00")</f>
        <v/>
      </c>
      <c r="O2990" s="10">
        <f>REPT(" ",8)</f>
        <v/>
      </c>
      <c r="P2990" s="10">
        <f>RIGHT($B$4,2)</f>
        <v/>
      </c>
      <c r="Q2990" s="10">
        <f>RIGHT($B$5,3)</f>
        <v/>
      </c>
      <c r="R2990" s="10">
        <f>IF(A2990="D",LEFT(UPPER(B2990)&amp;REPT(" ",20),20),REPT(" ",20))</f>
        <v/>
      </c>
      <c r="S2990" s="10">
        <f>IF(A2990="D",LEFT(UPPER(C2990)&amp;REPT(" ",10),10)," ")</f>
        <v/>
      </c>
      <c r="T2990" s="10">
        <f>IF(A2990="D",LEFT(UPPER(D2990)&amp;REPT(" ",2),2)," ")</f>
        <v/>
      </c>
      <c r="U2990" s="10">
        <f>IF(A2990="D",LEFT(UPPER(E2990)&amp;REPT(" ",15),15)," ")</f>
        <v/>
      </c>
      <c r="V2990" s="10">
        <f>REPT(" ",24)</f>
        <v/>
      </c>
      <c r="W2990" s="10">
        <f>IF(A2990="c",LEFT(UPPER(B2990)&amp;REPT(" ",20),20),REPT(" ",20))</f>
        <v/>
      </c>
      <c r="X2990" s="10">
        <f>IF(A2990="C",LEFT(UPPER(C2990)&amp;REPT(" ",10),10)," ")</f>
        <v/>
      </c>
      <c r="Y2990" s="10">
        <f>IF(A2990="C",LEFT(UPPER(D2990)&amp;REPT(" ",2),2)," ")</f>
        <v/>
      </c>
      <c r="Z2990" s="10">
        <f>IF(A2990="C",LEFT(UPPER(E2990)&amp;REPT(" ",15),15)," ")</f>
        <v/>
      </c>
      <c r="AA2990" s="10">
        <f>REPT(" ",8)</f>
        <v/>
      </c>
      <c r="AB2990" s="10">
        <f>REPT(" ",4)</f>
        <v/>
      </c>
      <c r="AC2990" s="10">
        <f>LEFT(UPPER(H2990)&amp;REPT(" ",250),250)</f>
        <v/>
      </c>
      <c r="AD2990" s="10">
        <f>TEXT($G$2,"dd/mm/aaaa")</f>
        <v/>
      </c>
      <c r="AE2990" s="10">
        <f>REPT(" ",10)</f>
        <v/>
      </c>
      <c r="AF2990" s="10">
        <f>REPT(" ",20)</f>
        <v/>
      </c>
      <c r="AG2990" s="54">
        <f>REPT(" ",18-LEN(FIXED(F2990,2,TRUE)))&amp;FIXED(F2990,2,TRUE)</f>
        <v/>
      </c>
      <c r="AH2990" s="10">
        <f>LEN(AC2990)+LEN(AG2990)</f>
        <v/>
      </c>
      <c r="AI2990" s="10">
        <f>LEN(L2990)</f>
        <v/>
      </c>
    </row>
    <row r="2991">
      <c r="J2991" s="12">
        <f>IF(F2991&lt;&gt;0,"LANÇAR","")</f>
        <v/>
      </c>
      <c r="L2991" s="13">
        <f>N2991&amp;O2991&amp;P2991&amp;Q2991&amp;R2991&amp;S2991&amp;T2991&amp;U2991&amp;V2991&amp;W2991&amp;X2991&amp;Y2991&amp;Z2991&amp;AA2991&amp;AB2991&amp;AC2991&amp;AD2991&amp;AE2991&amp;AF2991&amp;AG2991</f>
        <v/>
      </c>
      <c r="N2991" s="10">
        <f>TEXT($B$6,"00")</f>
        <v/>
      </c>
      <c r="O2991" s="10">
        <f>REPT(" ",8)</f>
        <v/>
      </c>
      <c r="P2991" s="10">
        <f>RIGHT($B$4,2)</f>
        <v/>
      </c>
      <c r="Q2991" s="10">
        <f>RIGHT($B$5,3)</f>
        <v/>
      </c>
      <c r="R2991" s="10">
        <f>IF(A2991="D",LEFT(UPPER(B2991)&amp;REPT(" ",20),20),REPT(" ",20))</f>
        <v/>
      </c>
      <c r="S2991" s="10">
        <f>IF(A2991="D",LEFT(UPPER(C2991)&amp;REPT(" ",10),10)," ")</f>
        <v/>
      </c>
      <c r="T2991" s="10">
        <f>IF(A2991="D",LEFT(UPPER(D2991)&amp;REPT(" ",2),2)," ")</f>
        <v/>
      </c>
      <c r="U2991" s="10">
        <f>IF(A2991="D",LEFT(UPPER(E2991)&amp;REPT(" ",15),15)," ")</f>
        <v/>
      </c>
      <c r="V2991" s="10">
        <f>REPT(" ",24)</f>
        <v/>
      </c>
      <c r="W2991" s="10">
        <f>IF(A2991="c",LEFT(UPPER(B2991)&amp;REPT(" ",20),20),REPT(" ",20))</f>
        <v/>
      </c>
      <c r="X2991" s="10">
        <f>IF(A2991="C",LEFT(UPPER(C2991)&amp;REPT(" ",10),10)," ")</f>
        <v/>
      </c>
      <c r="Y2991" s="10">
        <f>IF(A2991="C",LEFT(UPPER(D2991)&amp;REPT(" ",2),2)," ")</f>
        <v/>
      </c>
      <c r="Z2991" s="10">
        <f>IF(A2991="C",LEFT(UPPER(E2991)&amp;REPT(" ",15),15)," ")</f>
        <v/>
      </c>
      <c r="AA2991" s="10">
        <f>REPT(" ",8)</f>
        <v/>
      </c>
      <c r="AB2991" s="10">
        <f>REPT(" ",4)</f>
        <v/>
      </c>
      <c r="AC2991" s="10">
        <f>LEFT(UPPER(H2991)&amp;REPT(" ",250),250)</f>
        <v/>
      </c>
      <c r="AD2991" s="10">
        <f>TEXT($G$2,"dd/mm/aaaa")</f>
        <v/>
      </c>
      <c r="AE2991" s="10">
        <f>REPT(" ",10)</f>
        <v/>
      </c>
      <c r="AF2991" s="10">
        <f>REPT(" ",20)</f>
        <v/>
      </c>
      <c r="AG2991" s="54">
        <f>REPT(" ",18-LEN(FIXED(F2991,2,TRUE)))&amp;FIXED(F2991,2,TRUE)</f>
        <v/>
      </c>
      <c r="AH2991" s="10">
        <f>LEN(AC2991)+LEN(AG2991)</f>
        <v/>
      </c>
      <c r="AI2991" s="10">
        <f>LEN(L2991)</f>
        <v/>
      </c>
    </row>
    <row r="2992">
      <c r="J2992" s="12">
        <f>IF(F2992&lt;&gt;0,"LANÇAR","")</f>
        <v/>
      </c>
      <c r="L2992" s="13">
        <f>N2992&amp;O2992&amp;P2992&amp;Q2992&amp;R2992&amp;S2992&amp;T2992&amp;U2992&amp;V2992&amp;W2992&amp;X2992&amp;Y2992&amp;Z2992&amp;AA2992&amp;AB2992&amp;AC2992&amp;AD2992&amp;AE2992&amp;AF2992&amp;AG2992</f>
        <v/>
      </c>
      <c r="N2992" s="10">
        <f>TEXT($B$6,"00")</f>
        <v/>
      </c>
      <c r="O2992" s="10">
        <f>REPT(" ",8)</f>
        <v/>
      </c>
      <c r="P2992" s="10">
        <f>RIGHT($B$4,2)</f>
        <v/>
      </c>
      <c r="Q2992" s="10">
        <f>RIGHT($B$5,3)</f>
        <v/>
      </c>
      <c r="R2992" s="10">
        <f>IF(A2992="D",LEFT(UPPER(B2992)&amp;REPT(" ",20),20),REPT(" ",20))</f>
        <v/>
      </c>
      <c r="S2992" s="10">
        <f>IF(A2992="D",LEFT(UPPER(C2992)&amp;REPT(" ",10),10)," ")</f>
        <v/>
      </c>
      <c r="T2992" s="10">
        <f>IF(A2992="D",LEFT(UPPER(D2992)&amp;REPT(" ",2),2)," ")</f>
        <v/>
      </c>
      <c r="U2992" s="10">
        <f>IF(A2992="D",LEFT(UPPER(E2992)&amp;REPT(" ",15),15)," ")</f>
        <v/>
      </c>
      <c r="V2992" s="10">
        <f>REPT(" ",24)</f>
        <v/>
      </c>
      <c r="W2992" s="10">
        <f>IF(A2992="c",LEFT(UPPER(B2992)&amp;REPT(" ",20),20),REPT(" ",20))</f>
        <v/>
      </c>
      <c r="X2992" s="10">
        <f>IF(A2992="C",LEFT(UPPER(C2992)&amp;REPT(" ",10),10)," ")</f>
        <v/>
      </c>
      <c r="Y2992" s="10">
        <f>IF(A2992="C",LEFT(UPPER(D2992)&amp;REPT(" ",2),2)," ")</f>
        <v/>
      </c>
      <c r="Z2992" s="10">
        <f>IF(A2992="C",LEFT(UPPER(E2992)&amp;REPT(" ",15),15)," ")</f>
        <v/>
      </c>
      <c r="AA2992" s="10">
        <f>REPT(" ",8)</f>
        <v/>
      </c>
      <c r="AB2992" s="10">
        <f>REPT(" ",4)</f>
        <v/>
      </c>
      <c r="AC2992" s="10">
        <f>LEFT(UPPER(H2992)&amp;REPT(" ",250),250)</f>
        <v/>
      </c>
      <c r="AD2992" s="10">
        <f>TEXT($G$2,"dd/mm/aaaa")</f>
        <v/>
      </c>
      <c r="AE2992" s="10">
        <f>REPT(" ",10)</f>
        <v/>
      </c>
      <c r="AF2992" s="10">
        <f>REPT(" ",20)</f>
        <v/>
      </c>
      <c r="AG2992" s="54">
        <f>REPT(" ",18-LEN(FIXED(F2992,2,TRUE)))&amp;FIXED(F2992,2,TRUE)</f>
        <v/>
      </c>
      <c r="AH2992" s="10">
        <f>LEN(AC2992)+LEN(AG2992)</f>
        <v/>
      </c>
      <c r="AI2992" s="10">
        <f>LEN(L2992)</f>
        <v/>
      </c>
    </row>
    <row r="2993">
      <c r="J2993" s="12">
        <f>IF(F2993&lt;&gt;0,"LANÇAR","")</f>
        <v/>
      </c>
      <c r="L2993" s="13">
        <f>N2993&amp;O2993&amp;P2993&amp;Q2993&amp;R2993&amp;S2993&amp;T2993&amp;U2993&amp;V2993&amp;W2993&amp;X2993&amp;Y2993&amp;Z2993&amp;AA2993&amp;AB2993&amp;AC2993&amp;AD2993&amp;AE2993&amp;AF2993&amp;AG2993</f>
        <v/>
      </c>
      <c r="N2993" s="10">
        <f>TEXT($B$6,"00")</f>
        <v/>
      </c>
      <c r="O2993" s="10">
        <f>REPT(" ",8)</f>
        <v/>
      </c>
      <c r="P2993" s="10">
        <f>RIGHT($B$4,2)</f>
        <v/>
      </c>
      <c r="Q2993" s="10">
        <f>RIGHT($B$5,3)</f>
        <v/>
      </c>
      <c r="R2993" s="10">
        <f>IF(A2993="D",LEFT(UPPER(B2993)&amp;REPT(" ",20),20),REPT(" ",20))</f>
        <v/>
      </c>
      <c r="S2993" s="10">
        <f>IF(A2993="D",LEFT(UPPER(C2993)&amp;REPT(" ",10),10)," ")</f>
        <v/>
      </c>
      <c r="T2993" s="10">
        <f>IF(A2993="D",LEFT(UPPER(D2993)&amp;REPT(" ",2),2)," ")</f>
        <v/>
      </c>
      <c r="U2993" s="10">
        <f>IF(A2993="D",LEFT(UPPER(E2993)&amp;REPT(" ",15),15)," ")</f>
        <v/>
      </c>
      <c r="V2993" s="10">
        <f>REPT(" ",24)</f>
        <v/>
      </c>
      <c r="W2993" s="10">
        <f>IF(A2993="c",LEFT(UPPER(B2993)&amp;REPT(" ",20),20),REPT(" ",20))</f>
        <v/>
      </c>
      <c r="X2993" s="10">
        <f>IF(A2993="C",LEFT(UPPER(C2993)&amp;REPT(" ",10),10)," ")</f>
        <v/>
      </c>
      <c r="Y2993" s="10">
        <f>IF(A2993="C",LEFT(UPPER(D2993)&amp;REPT(" ",2),2)," ")</f>
        <v/>
      </c>
      <c r="Z2993" s="10">
        <f>IF(A2993="C",LEFT(UPPER(E2993)&amp;REPT(" ",15),15)," ")</f>
        <v/>
      </c>
      <c r="AA2993" s="10">
        <f>REPT(" ",8)</f>
        <v/>
      </c>
      <c r="AB2993" s="10">
        <f>REPT(" ",4)</f>
        <v/>
      </c>
      <c r="AC2993" s="10">
        <f>LEFT(UPPER(H2993)&amp;REPT(" ",250),250)</f>
        <v/>
      </c>
      <c r="AD2993" s="10">
        <f>TEXT($G$2,"dd/mm/aaaa")</f>
        <v/>
      </c>
      <c r="AE2993" s="10">
        <f>REPT(" ",10)</f>
        <v/>
      </c>
      <c r="AF2993" s="10">
        <f>REPT(" ",20)</f>
        <v/>
      </c>
      <c r="AG2993" s="54">
        <f>REPT(" ",18-LEN(FIXED(F2993,2,TRUE)))&amp;FIXED(F2993,2,TRUE)</f>
        <v/>
      </c>
      <c r="AH2993" s="10">
        <f>LEN(AC2993)+LEN(AG2993)</f>
        <v/>
      </c>
      <c r="AI2993" s="10">
        <f>LEN(L2993)</f>
        <v/>
      </c>
    </row>
    <row r="2994">
      <c r="J2994" s="12">
        <f>IF(F2994&lt;&gt;0,"LANÇAR","")</f>
        <v/>
      </c>
      <c r="L2994" s="13">
        <f>N2994&amp;O2994&amp;P2994&amp;Q2994&amp;R2994&amp;S2994&amp;T2994&amp;U2994&amp;V2994&amp;W2994&amp;X2994&amp;Y2994&amp;Z2994&amp;AA2994&amp;AB2994&amp;AC2994&amp;AD2994&amp;AE2994&amp;AF2994&amp;AG2994</f>
        <v/>
      </c>
      <c r="N2994" s="10">
        <f>TEXT($B$6,"00")</f>
        <v/>
      </c>
      <c r="O2994" s="10">
        <f>REPT(" ",8)</f>
        <v/>
      </c>
      <c r="P2994" s="10">
        <f>RIGHT($B$4,2)</f>
        <v/>
      </c>
      <c r="Q2994" s="10">
        <f>RIGHT($B$5,3)</f>
        <v/>
      </c>
      <c r="R2994" s="10">
        <f>IF(A2994="D",LEFT(UPPER(B2994)&amp;REPT(" ",20),20),REPT(" ",20))</f>
        <v/>
      </c>
      <c r="S2994" s="10">
        <f>IF(A2994="D",LEFT(UPPER(C2994)&amp;REPT(" ",10),10)," ")</f>
        <v/>
      </c>
      <c r="T2994" s="10">
        <f>IF(A2994="D",LEFT(UPPER(D2994)&amp;REPT(" ",2),2)," ")</f>
        <v/>
      </c>
      <c r="U2994" s="10">
        <f>IF(A2994="D",LEFT(UPPER(E2994)&amp;REPT(" ",15),15)," ")</f>
        <v/>
      </c>
      <c r="V2994" s="10">
        <f>REPT(" ",24)</f>
        <v/>
      </c>
      <c r="W2994" s="10">
        <f>IF(A2994="c",LEFT(UPPER(B2994)&amp;REPT(" ",20),20),REPT(" ",20))</f>
        <v/>
      </c>
      <c r="X2994" s="10">
        <f>IF(A2994="C",LEFT(UPPER(C2994)&amp;REPT(" ",10),10)," ")</f>
        <v/>
      </c>
      <c r="Y2994" s="10">
        <f>IF(A2994="C",LEFT(UPPER(D2994)&amp;REPT(" ",2),2)," ")</f>
        <v/>
      </c>
      <c r="Z2994" s="10">
        <f>IF(A2994="C",LEFT(UPPER(E2994)&amp;REPT(" ",15),15)," ")</f>
        <v/>
      </c>
      <c r="AA2994" s="10">
        <f>REPT(" ",8)</f>
        <v/>
      </c>
      <c r="AB2994" s="10">
        <f>REPT(" ",4)</f>
        <v/>
      </c>
      <c r="AC2994" s="10">
        <f>LEFT(UPPER(H2994)&amp;REPT(" ",250),250)</f>
        <v/>
      </c>
      <c r="AD2994" s="10">
        <f>TEXT($G$2,"dd/mm/aaaa")</f>
        <v/>
      </c>
      <c r="AE2994" s="10">
        <f>REPT(" ",10)</f>
        <v/>
      </c>
      <c r="AF2994" s="10">
        <f>REPT(" ",20)</f>
        <v/>
      </c>
      <c r="AG2994" s="54">
        <f>REPT(" ",18-LEN(FIXED(F2994,2,TRUE)))&amp;FIXED(F2994,2,TRUE)</f>
        <v/>
      </c>
      <c r="AH2994" s="10">
        <f>LEN(AC2994)+LEN(AG2994)</f>
        <v/>
      </c>
      <c r="AI2994" s="10">
        <f>LEN(L2994)</f>
        <v/>
      </c>
    </row>
    <row r="2995">
      <c r="J2995" s="12">
        <f>IF(F2995&lt;&gt;0,"LANÇAR","")</f>
        <v/>
      </c>
      <c r="L2995" s="13">
        <f>N2995&amp;O2995&amp;P2995&amp;Q2995&amp;R2995&amp;S2995&amp;T2995&amp;U2995&amp;V2995&amp;W2995&amp;X2995&amp;Y2995&amp;Z2995&amp;AA2995&amp;AB2995&amp;AC2995&amp;AD2995&amp;AE2995&amp;AF2995&amp;AG2995</f>
        <v/>
      </c>
      <c r="N2995" s="10">
        <f>TEXT($B$6,"00")</f>
        <v/>
      </c>
      <c r="O2995" s="10">
        <f>REPT(" ",8)</f>
        <v/>
      </c>
      <c r="P2995" s="10">
        <f>RIGHT($B$4,2)</f>
        <v/>
      </c>
      <c r="Q2995" s="10">
        <f>RIGHT($B$5,3)</f>
        <v/>
      </c>
      <c r="R2995" s="10">
        <f>IF(A2995="D",LEFT(UPPER(B2995)&amp;REPT(" ",20),20),REPT(" ",20))</f>
        <v/>
      </c>
      <c r="S2995" s="10">
        <f>IF(A2995="D",LEFT(UPPER(C2995)&amp;REPT(" ",10),10)," ")</f>
        <v/>
      </c>
      <c r="T2995" s="10">
        <f>IF(A2995="D",LEFT(UPPER(D2995)&amp;REPT(" ",2),2)," ")</f>
        <v/>
      </c>
      <c r="U2995" s="10">
        <f>IF(A2995="D",LEFT(UPPER(E2995)&amp;REPT(" ",15),15)," ")</f>
        <v/>
      </c>
      <c r="V2995" s="10">
        <f>REPT(" ",24)</f>
        <v/>
      </c>
      <c r="W2995" s="10">
        <f>IF(A2995="c",LEFT(UPPER(B2995)&amp;REPT(" ",20),20),REPT(" ",20))</f>
        <v/>
      </c>
      <c r="X2995" s="10">
        <f>IF(A2995="C",LEFT(UPPER(C2995)&amp;REPT(" ",10),10)," ")</f>
        <v/>
      </c>
      <c r="Y2995" s="10">
        <f>IF(A2995="C",LEFT(UPPER(D2995)&amp;REPT(" ",2),2)," ")</f>
        <v/>
      </c>
      <c r="Z2995" s="10">
        <f>IF(A2995="C",LEFT(UPPER(E2995)&amp;REPT(" ",15),15)," ")</f>
        <v/>
      </c>
      <c r="AA2995" s="10">
        <f>REPT(" ",8)</f>
        <v/>
      </c>
      <c r="AB2995" s="10">
        <f>REPT(" ",4)</f>
        <v/>
      </c>
      <c r="AC2995" s="10">
        <f>LEFT(UPPER(H2995)&amp;REPT(" ",250),250)</f>
        <v/>
      </c>
      <c r="AD2995" s="10">
        <f>TEXT($G$2,"dd/mm/aaaa")</f>
        <v/>
      </c>
      <c r="AE2995" s="10">
        <f>REPT(" ",10)</f>
        <v/>
      </c>
      <c r="AF2995" s="10">
        <f>REPT(" ",20)</f>
        <v/>
      </c>
      <c r="AG2995" s="54">
        <f>REPT(" ",18-LEN(FIXED(F2995,2,TRUE)))&amp;FIXED(F2995,2,TRUE)</f>
        <v/>
      </c>
      <c r="AH2995" s="10">
        <f>LEN(AC2995)+LEN(AG2995)</f>
        <v/>
      </c>
      <c r="AI2995" s="10">
        <f>LEN(L2995)</f>
        <v/>
      </c>
    </row>
    <row r="2996">
      <c r="J2996" s="12">
        <f>IF(F2996&lt;&gt;0,"LANÇAR","")</f>
        <v/>
      </c>
      <c r="L2996" s="13">
        <f>N2996&amp;O2996&amp;P2996&amp;Q2996&amp;R2996&amp;S2996&amp;T2996&amp;U2996&amp;V2996&amp;W2996&amp;X2996&amp;Y2996&amp;Z2996&amp;AA2996&amp;AB2996&amp;AC2996&amp;AD2996&amp;AE2996&amp;AF2996&amp;AG2996</f>
        <v/>
      </c>
      <c r="N2996" s="10">
        <f>TEXT($B$6,"00")</f>
        <v/>
      </c>
      <c r="O2996" s="10">
        <f>REPT(" ",8)</f>
        <v/>
      </c>
      <c r="P2996" s="10">
        <f>RIGHT($B$4,2)</f>
        <v/>
      </c>
      <c r="Q2996" s="10">
        <f>RIGHT($B$5,3)</f>
        <v/>
      </c>
      <c r="R2996" s="10">
        <f>IF(A2996="D",LEFT(UPPER(B2996)&amp;REPT(" ",20),20),REPT(" ",20))</f>
        <v/>
      </c>
      <c r="S2996" s="10">
        <f>IF(A2996="D",LEFT(UPPER(C2996)&amp;REPT(" ",10),10)," ")</f>
        <v/>
      </c>
      <c r="T2996" s="10">
        <f>IF(A2996="D",LEFT(UPPER(D2996)&amp;REPT(" ",2),2)," ")</f>
        <v/>
      </c>
      <c r="U2996" s="10">
        <f>IF(A2996="D",LEFT(UPPER(E2996)&amp;REPT(" ",15),15)," ")</f>
        <v/>
      </c>
      <c r="V2996" s="10">
        <f>REPT(" ",24)</f>
        <v/>
      </c>
      <c r="W2996" s="10">
        <f>IF(A2996="c",LEFT(UPPER(B2996)&amp;REPT(" ",20),20),REPT(" ",20))</f>
        <v/>
      </c>
      <c r="X2996" s="10">
        <f>IF(A2996="C",LEFT(UPPER(C2996)&amp;REPT(" ",10),10)," ")</f>
        <v/>
      </c>
      <c r="Y2996" s="10">
        <f>IF(A2996="C",LEFT(UPPER(D2996)&amp;REPT(" ",2),2)," ")</f>
        <v/>
      </c>
      <c r="Z2996" s="10">
        <f>IF(A2996="C",LEFT(UPPER(E2996)&amp;REPT(" ",15),15)," ")</f>
        <v/>
      </c>
      <c r="AA2996" s="10">
        <f>REPT(" ",8)</f>
        <v/>
      </c>
      <c r="AB2996" s="10">
        <f>REPT(" ",4)</f>
        <v/>
      </c>
      <c r="AC2996" s="10">
        <f>LEFT(UPPER(H2996)&amp;REPT(" ",250),250)</f>
        <v/>
      </c>
      <c r="AD2996" s="10">
        <f>TEXT($G$2,"dd/mm/aaaa")</f>
        <v/>
      </c>
      <c r="AE2996" s="10">
        <f>REPT(" ",10)</f>
        <v/>
      </c>
      <c r="AF2996" s="10">
        <f>REPT(" ",20)</f>
        <v/>
      </c>
      <c r="AG2996" s="54">
        <f>REPT(" ",18-LEN(FIXED(F2996,2,TRUE)))&amp;FIXED(F2996,2,TRUE)</f>
        <v/>
      </c>
      <c r="AH2996" s="10">
        <f>LEN(AC2996)+LEN(AG2996)</f>
        <v/>
      </c>
      <c r="AI2996" s="10">
        <f>LEN(L2996)</f>
        <v/>
      </c>
    </row>
    <row r="2997">
      <c r="J2997" s="12">
        <f>IF(F2997&lt;&gt;0,"LANÇAR","")</f>
        <v/>
      </c>
      <c r="L2997" s="13">
        <f>N2997&amp;O2997&amp;P2997&amp;Q2997&amp;R2997&amp;S2997&amp;T2997&amp;U2997&amp;V2997&amp;W2997&amp;X2997&amp;Y2997&amp;Z2997&amp;AA2997&amp;AB2997&amp;AC2997&amp;AD2997&amp;AE2997&amp;AF2997&amp;AG2997</f>
        <v/>
      </c>
      <c r="N2997" s="10">
        <f>TEXT($B$6,"00")</f>
        <v/>
      </c>
      <c r="O2997" s="10">
        <f>REPT(" ",8)</f>
        <v/>
      </c>
      <c r="P2997" s="10">
        <f>RIGHT($B$4,2)</f>
        <v/>
      </c>
      <c r="Q2997" s="10">
        <f>RIGHT($B$5,3)</f>
        <v/>
      </c>
      <c r="R2997" s="10">
        <f>IF(A2997="D",LEFT(UPPER(B2997)&amp;REPT(" ",20),20),REPT(" ",20))</f>
        <v/>
      </c>
      <c r="S2997" s="10">
        <f>IF(A2997="D",LEFT(UPPER(C2997)&amp;REPT(" ",10),10)," ")</f>
        <v/>
      </c>
      <c r="T2997" s="10">
        <f>IF(A2997="D",LEFT(UPPER(D2997)&amp;REPT(" ",2),2)," ")</f>
        <v/>
      </c>
      <c r="U2997" s="10">
        <f>IF(A2997="D",LEFT(UPPER(E2997)&amp;REPT(" ",15),15)," ")</f>
        <v/>
      </c>
      <c r="V2997" s="10">
        <f>REPT(" ",24)</f>
        <v/>
      </c>
      <c r="W2997" s="10">
        <f>IF(A2997="c",LEFT(UPPER(B2997)&amp;REPT(" ",20),20),REPT(" ",20))</f>
        <v/>
      </c>
      <c r="X2997" s="10">
        <f>IF(A2997="C",LEFT(UPPER(C2997)&amp;REPT(" ",10),10)," ")</f>
        <v/>
      </c>
      <c r="Y2997" s="10">
        <f>IF(A2997="C",LEFT(UPPER(D2997)&amp;REPT(" ",2),2)," ")</f>
        <v/>
      </c>
      <c r="Z2997" s="10">
        <f>IF(A2997="C",LEFT(UPPER(E2997)&amp;REPT(" ",15),15)," ")</f>
        <v/>
      </c>
      <c r="AA2997" s="10">
        <f>REPT(" ",8)</f>
        <v/>
      </c>
      <c r="AB2997" s="10">
        <f>REPT(" ",4)</f>
        <v/>
      </c>
      <c r="AC2997" s="10">
        <f>LEFT(UPPER(H2997)&amp;REPT(" ",250),250)</f>
        <v/>
      </c>
      <c r="AD2997" s="10">
        <f>TEXT($G$2,"dd/mm/aaaa")</f>
        <v/>
      </c>
      <c r="AE2997" s="10">
        <f>REPT(" ",10)</f>
        <v/>
      </c>
      <c r="AF2997" s="10">
        <f>REPT(" ",20)</f>
        <v/>
      </c>
      <c r="AG2997" s="54">
        <f>REPT(" ",18-LEN(FIXED(F2997,2,TRUE)))&amp;FIXED(F2997,2,TRUE)</f>
        <v/>
      </c>
      <c r="AH2997" s="10">
        <f>LEN(AC2997)+LEN(AG2997)</f>
        <v/>
      </c>
      <c r="AI2997" s="10">
        <f>LEN(L2997)</f>
        <v/>
      </c>
    </row>
    <row r="2998">
      <c r="J2998" s="12">
        <f>IF(F2998&lt;&gt;0,"LANÇAR","")</f>
        <v/>
      </c>
      <c r="L2998" s="13">
        <f>N2998&amp;O2998&amp;P2998&amp;Q2998&amp;R2998&amp;S2998&amp;T2998&amp;U2998&amp;V2998&amp;W2998&amp;X2998&amp;Y2998&amp;Z2998&amp;AA2998&amp;AB2998&amp;AC2998&amp;AD2998&amp;AE2998&amp;AF2998&amp;AG2998</f>
        <v/>
      </c>
      <c r="N2998" s="10">
        <f>TEXT($B$6,"00")</f>
        <v/>
      </c>
      <c r="O2998" s="10">
        <f>REPT(" ",8)</f>
        <v/>
      </c>
      <c r="P2998" s="10">
        <f>RIGHT($B$4,2)</f>
        <v/>
      </c>
      <c r="Q2998" s="10">
        <f>RIGHT($B$5,3)</f>
        <v/>
      </c>
      <c r="R2998" s="10">
        <f>IF(A2998="D",LEFT(UPPER(B2998)&amp;REPT(" ",20),20),REPT(" ",20))</f>
        <v/>
      </c>
      <c r="S2998" s="10">
        <f>IF(A2998="D",LEFT(UPPER(C2998)&amp;REPT(" ",10),10)," ")</f>
        <v/>
      </c>
      <c r="T2998" s="10">
        <f>IF(A2998="D",LEFT(UPPER(D2998)&amp;REPT(" ",2),2)," ")</f>
        <v/>
      </c>
      <c r="U2998" s="10">
        <f>IF(A2998="D",LEFT(UPPER(E2998)&amp;REPT(" ",15),15)," ")</f>
        <v/>
      </c>
      <c r="V2998" s="10">
        <f>REPT(" ",24)</f>
        <v/>
      </c>
      <c r="W2998" s="10">
        <f>IF(A2998="c",LEFT(UPPER(B2998)&amp;REPT(" ",20),20),REPT(" ",20))</f>
        <v/>
      </c>
      <c r="X2998" s="10">
        <f>IF(A2998="C",LEFT(UPPER(C2998)&amp;REPT(" ",10),10)," ")</f>
        <v/>
      </c>
      <c r="Y2998" s="10">
        <f>IF(A2998="C",LEFT(UPPER(D2998)&amp;REPT(" ",2),2)," ")</f>
        <v/>
      </c>
      <c r="Z2998" s="10">
        <f>IF(A2998="C",LEFT(UPPER(E2998)&amp;REPT(" ",15),15)," ")</f>
        <v/>
      </c>
      <c r="AA2998" s="10">
        <f>REPT(" ",8)</f>
        <v/>
      </c>
      <c r="AB2998" s="10">
        <f>REPT(" ",4)</f>
        <v/>
      </c>
      <c r="AC2998" s="10">
        <f>LEFT(UPPER(H2998)&amp;REPT(" ",250),250)</f>
        <v/>
      </c>
      <c r="AD2998" s="10">
        <f>TEXT($G$2,"dd/mm/aaaa")</f>
        <v/>
      </c>
      <c r="AE2998" s="10">
        <f>REPT(" ",10)</f>
        <v/>
      </c>
      <c r="AF2998" s="10">
        <f>REPT(" ",20)</f>
        <v/>
      </c>
      <c r="AG2998" s="54">
        <f>REPT(" ",18-LEN(FIXED(F2998,2,TRUE)))&amp;FIXED(F2998,2,TRUE)</f>
        <v/>
      </c>
      <c r="AH2998" s="10">
        <f>LEN(AC2998)+LEN(AG2998)</f>
        <v/>
      </c>
      <c r="AI2998" s="10">
        <f>LEN(L2998)</f>
        <v/>
      </c>
    </row>
    <row r="2999">
      <c r="J2999" s="12">
        <f>IF(F2999&lt;&gt;0,"LANÇAR","")</f>
        <v/>
      </c>
      <c r="L2999" s="13">
        <f>N2999&amp;O2999&amp;P2999&amp;Q2999&amp;R2999&amp;S2999&amp;T2999&amp;U2999&amp;V2999&amp;W2999&amp;X2999&amp;Y2999&amp;Z2999&amp;AA2999&amp;AB2999&amp;AC2999&amp;AD2999&amp;AE2999&amp;AF2999&amp;AG2999</f>
        <v/>
      </c>
      <c r="N2999" s="10">
        <f>TEXT($B$6,"00")</f>
        <v/>
      </c>
      <c r="O2999" s="10">
        <f>REPT(" ",8)</f>
        <v/>
      </c>
      <c r="P2999" s="10">
        <f>RIGHT($B$4,2)</f>
        <v/>
      </c>
      <c r="Q2999" s="10">
        <f>RIGHT($B$5,3)</f>
        <v/>
      </c>
      <c r="R2999" s="10">
        <f>IF(A2999="D",LEFT(UPPER(B2999)&amp;REPT(" ",20),20),REPT(" ",20))</f>
        <v/>
      </c>
      <c r="S2999" s="10">
        <f>IF(A2999="D",LEFT(UPPER(C2999)&amp;REPT(" ",10),10)," ")</f>
        <v/>
      </c>
      <c r="T2999" s="10">
        <f>IF(A2999="D",LEFT(UPPER(D2999)&amp;REPT(" ",2),2)," ")</f>
        <v/>
      </c>
      <c r="U2999" s="10">
        <f>IF(A2999="D",LEFT(UPPER(E2999)&amp;REPT(" ",15),15)," ")</f>
        <v/>
      </c>
      <c r="V2999" s="10">
        <f>REPT(" ",24)</f>
        <v/>
      </c>
      <c r="W2999" s="10">
        <f>IF(A2999="c",LEFT(UPPER(B2999)&amp;REPT(" ",20),20),REPT(" ",20))</f>
        <v/>
      </c>
      <c r="X2999" s="10">
        <f>IF(A2999="C",LEFT(UPPER(C2999)&amp;REPT(" ",10),10)," ")</f>
        <v/>
      </c>
      <c r="Y2999" s="10">
        <f>IF(A2999="C",LEFT(UPPER(D2999)&amp;REPT(" ",2),2)," ")</f>
        <v/>
      </c>
      <c r="Z2999" s="10">
        <f>IF(A2999="C",LEFT(UPPER(E2999)&amp;REPT(" ",15),15)," ")</f>
        <v/>
      </c>
      <c r="AA2999" s="10">
        <f>REPT(" ",8)</f>
        <v/>
      </c>
      <c r="AB2999" s="10">
        <f>REPT(" ",4)</f>
        <v/>
      </c>
      <c r="AC2999" s="10">
        <f>LEFT(UPPER(H2999)&amp;REPT(" ",250),250)</f>
        <v/>
      </c>
      <c r="AD2999" s="10">
        <f>TEXT($G$2,"dd/mm/aaaa")</f>
        <v/>
      </c>
      <c r="AE2999" s="10">
        <f>REPT(" ",10)</f>
        <v/>
      </c>
      <c r="AF2999" s="10">
        <f>REPT(" ",20)</f>
        <v/>
      </c>
      <c r="AG2999" s="54">
        <f>REPT(" ",18-LEN(FIXED(F2999,2,TRUE)))&amp;FIXED(F2999,2,TRUE)</f>
        <v/>
      </c>
      <c r="AH2999" s="10">
        <f>LEN(AC2999)+LEN(AG2999)</f>
        <v/>
      </c>
      <c r="AI2999" s="10">
        <f>LEN(L2999)</f>
        <v/>
      </c>
    </row>
    <row r="3000">
      <c r="J3000" s="12">
        <f>IF(F3000&lt;&gt;0,"LANÇAR","")</f>
        <v/>
      </c>
      <c r="L3000" s="13">
        <f>N3000&amp;O3000&amp;P3000&amp;Q3000&amp;R3000&amp;S3000&amp;T3000&amp;U3000&amp;V3000&amp;W3000&amp;X3000&amp;Y3000&amp;Z3000&amp;AA3000&amp;AB3000&amp;AC3000&amp;AD3000&amp;AE3000&amp;AF3000&amp;AG3000</f>
        <v/>
      </c>
      <c r="N3000" s="10">
        <f>TEXT($B$6,"00")</f>
        <v/>
      </c>
      <c r="O3000" s="10">
        <f>REPT(" ",8)</f>
        <v/>
      </c>
      <c r="P3000" s="10">
        <f>RIGHT($B$4,2)</f>
        <v/>
      </c>
      <c r="Q3000" s="10">
        <f>RIGHT($B$5,3)</f>
        <v/>
      </c>
      <c r="R3000" s="10">
        <f>IF(A3000="D",LEFT(UPPER(B3000)&amp;REPT(" ",20),20),REPT(" ",20))</f>
        <v/>
      </c>
      <c r="S3000" s="10">
        <f>IF(A3000="D",LEFT(UPPER(C3000)&amp;REPT(" ",10),10)," ")</f>
        <v/>
      </c>
      <c r="T3000" s="10">
        <f>IF(A3000="D",LEFT(UPPER(D3000)&amp;REPT(" ",2),2)," ")</f>
        <v/>
      </c>
      <c r="U3000" s="10">
        <f>IF(A3000="D",LEFT(UPPER(E3000)&amp;REPT(" ",15),15)," ")</f>
        <v/>
      </c>
      <c r="V3000" s="10">
        <f>REPT(" ",24)</f>
        <v/>
      </c>
      <c r="W3000" s="10">
        <f>IF(A3000="c",LEFT(UPPER(B3000)&amp;REPT(" ",20),20),REPT(" ",20))</f>
        <v/>
      </c>
      <c r="X3000" s="10">
        <f>IF(A3000="C",LEFT(UPPER(C3000)&amp;REPT(" ",10),10)," ")</f>
        <v/>
      </c>
      <c r="Y3000" s="10">
        <f>IF(A3000="C",LEFT(UPPER(D3000)&amp;REPT(" ",2),2)," ")</f>
        <v/>
      </c>
      <c r="Z3000" s="10">
        <f>IF(A3000="C",LEFT(UPPER(E3000)&amp;REPT(" ",15),15)," ")</f>
        <v/>
      </c>
      <c r="AA3000" s="10">
        <f>REPT(" ",8)</f>
        <v/>
      </c>
      <c r="AB3000" s="10">
        <f>REPT(" ",4)</f>
        <v/>
      </c>
      <c r="AC3000" s="10">
        <f>LEFT(UPPER(H3000)&amp;REPT(" ",250),250)</f>
        <v/>
      </c>
      <c r="AD3000" s="10">
        <f>TEXT($G$2,"dd/mm/aaaa")</f>
        <v/>
      </c>
      <c r="AE3000" s="10">
        <f>REPT(" ",10)</f>
        <v/>
      </c>
      <c r="AF3000" s="10">
        <f>REPT(" ",20)</f>
        <v/>
      </c>
      <c r="AG3000" s="54">
        <f>REPT(" ",18-LEN(FIXED(F3000,2,TRUE)))&amp;FIXED(F3000,2,TRUE)</f>
        <v/>
      </c>
      <c r="AH3000" s="10">
        <f>LEN(AC3000)+LEN(AG3000)</f>
        <v/>
      </c>
      <c r="AI3000" s="10">
        <f>LEN(L3000)</f>
        <v/>
      </c>
    </row>
    <row r="3001">
      <c r="J3001" s="12">
        <f>IF(F3001&lt;&gt;0,"LANÇAR","")</f>
        <v/>
      </c>
      <c r="L3001" s="13">
        <f>N3001&amp;O3001&amp;P3001&amp;Q3001&amp;R3001&amp;S3001&amp;T3001&amp;U3001&amp;V3001&amp;W3001&amp;X3001&amp;Y3001&amp;Z3001&amp;AA3001&amp;AB3001&amp;AC3001&amp;AD3001&amp;AE3001&amp;AF3001&amp;AG3001</f>
        <v/>
      </c>
      <c r="N3001" s="10">
        <f>TEXT($B$6,"00")</f>
        <v/>
      </c>
      <c r="O3001" s="10">
        <f>REPT(" ",8)</f>
        <v/>
      </c>
      <c r="P3001" s="10">
        <f>RIGHT($B$4,2)</f>
        <v/>
      </c>
      <c r="Q3001" s="10">
        <f>RIGHT($B$5,3)</f>
        <v/>
      </c>
      <c r="R3001" s="10">
        <f>IF(A3001="D",LEFT(UPPER(B3001)&amp;REPT(" ",20),20),REPT(" ",20))</f>
        <v/>
      </c>
      <c r="S3001" s="10">
        <f>IF(A3001="D",LEFT(UPPER(C3001)&amp;REPT(" ",10),10)," ")</f>
        <v/>
      </c>
      <c r="T3001" s="10">
        <f>IF(A3001="D",LEFT(UPPER(D3001)&amp;REPT(" ",2),2)," ")</f>
        <v/>
      </c>
      <c r="U3001" s="10">
        <f>IF(A3001="D",LEFT(UPPER(E3001)&amp;REPT(" ",15),15)," ")</f>
        <v/>
      </c>
      <c r="V3001" s="10">
        <f>REPT(" ",24)</f>
        <v/>
      </c>
      <c r="W3001" s="10">
        <f>IF(A3001="c",LEFT(UPPER(B3001)&amp;REPT(" ",20),20),REPT(" ",20))</f>
        <v/>
      </c>
      <c r="X3001" s="10">
        <f>IF(A3001="C",LEFT(UPPER(C3001)&amp;REPT(" ",10),10)," ")</f>
        <v/>
      </c>
      <c r="Y3001" s="10">
        <f>IF(A3001="C",LEFT(UPPER(D3001)&amp;REPT(" ",2),2)," ")</f>
        <v/>
      </c>
      <c r="Z3001" s="10">
        <f>IF(A3001="C",LEFT(UPPER(E3001)&amp;REPT(" ",15),15)," ")</f>
        <v/>
      </c>
      <c r="AA3001" s="10">
        <f>REPT(" ",8)</f>
        <v/>
      </c>
      <c r="AB3001" s="10">
        <f>REPT(" ",4)</f>
        <v/>
      </c>
      <c r="AC3001" s="10">
        <f>LEFT(UPPER(H3001)&amp;REPT(" ",250),250)</f>
        <v/>
      </c>
      <c r="AD3001" s="10">
        <f>TEXT($G$2,"dd/mm/aaaa")</f>
        <v/>
      </c>
      <c r="AE3001" s="10">
        <f>REPT(" ",10)</f>
        <v/>
      </c>
      <c r="AF3001" s="10">
        <f>REPT(" ",20)</f>
        <v/>
      </c>
      <c r="AG3001" s="54">
        <f>REPT(" ",18-LEN(FIXED(F3001,2,TRUE)))&amp;FIXED(F3001,2,TRUE)</f>
        <v/>
      </c>
      <c r="AH3001" s="10">
        <f>LEN(AC3001)+LEN(AG3001)</f>
        <v/>
      </c>
      <c r="AI3001" s="10">
        <f>LEN(L3001)</f>
        <v/>
      </c>
    </row>
    <row r="3002">
      <c r="J3002" s="12">
        <f>IF(F3002&lt;&gt;0,"LANÇAR","")</f>
        <v/>
      </c>
      <c r="L3002" s="13">
        <f>N3002&amp;O3002&amp;P3002&amp;Q3002&amp;R3002&amp;S3002&amp;T3002&amp;U3002&amp;V3002&amp;W3002&amp;X3002&amp;Y3002&amp;Z3002&amp;AA3002&amp;AB3002&amp;AC3002&amp;AD3002&amp;AE3002&amp;AF3002&amp;AG3002</f>
        <v/>
      </c>
      <c r="N3002" s="10">
        <f>TEXT($B$6,"00")</f>
        <v/>
      </c>
      <c r="O3002" s="10">
        <f>REPT(" ",8)</f>
        <v/>
      </c>
      <c r="P3002" s="10">
        <f>RIGHT($B$4,2)</f>
        <v/>
      </c>
      <c r="Q3002" s="10">
        <f>RIGHT($B$5,3)</f>
        <v/>
      </c>
      <c r="R3002" s="10">
        <f>IF(A3002="D",LEFT(UPPER(B3002)&amp;REPT(" ",20),20),REPT(" ",20))</f>
        <v/>
      </c>
      <c r="S3002" s="10">
        <f>IF(A3002="D",LEFT(UPPER(C3002)&amp;REPT(" ",10),10)," ")</f>
        <v/>
      </c>
      <c r="T3002" s="10">
        <f>IF(A3002="D",LEFT(UPPER(D3002)&amp;REPT(" ",2),2)," ")</f>
        <v/>
      </c>
      <c r="U3002" s="10">
        <f>IF(A3002="D",LEFT(UPPER(E3002)&amp;REPT(" ",15),15)," ")</f>
        <v/>
      </c>
      <c r="V3002" s="10">
        <f>REPT(" ",24)</f>
        <v/>
      </c>
      <c r="W3002" s="10">
        <f>IF(A3002="c",LEFT(UPPER(B3002)&amp;REPT(" ",20),20),REPT(" ",20))</f>
        <v/>
      </c>
      <c r="X3002" s="10">
        <f>IF(A3002="C",LEFT(UPPER(C3002)&amp;REPT(" ",10),10)," ")</f>
        <v/>
      </c>
      <c r="Y3002" s="10">
        <f>IF(A3002="C",LEFT(UPPER(D3002)&amp;REPT(" ",2),2)," ")</f>
        <v/>
      </c>
      <c r="Z3002" s="10">
        <f>IF(A3002="C",LEFT(UPPER(E3002)&amp;REPT(" ",15),15)," ")</f>
        <v/>
      </c>
      <c r="AA3002" s="10">
        <f>REPT(" ",8)</f>
        <v/>
      </c>
      <c r="AB3002" s="10">
        <f>REPT(" ",4)</f>
        <v/>
      </c>
      <c r="AC3002" s="10">
        <f>LEFT(UPPER(H3002)&amp;REPT(" ",250),250)</f>
        <v/>
      </c>
      <c r="AD3002" s="10">
        <f>TEXT($G$2,"dd/mm/aaaa")</f>
        <v/>
      </c>
      <c r="AE3002" s="10">
        <f>REPT(" ",10)</f>
        <v/>
      </c>
      <c r="AF3002" s="10">
        <f>REPT(" ",20)</f>
        <v/>
      </c>
      <c r="AG3002" s="54">
        <f>REPT(" ",18-LEN(FIXED(F3002,2,TRUE)))&amp;FIXED(F3002,2,TRUE)</f>
        <v/>
      </c>
      <c r="AH3002" s="10">
        <f>LEN(AC3002)+LEN(AG3002)</f>
        <v/>
      </c>
      <c r="AI3002" s="10">
        <f>LEN(L3002)</f>
        <v/>
      </c>
    </row>
    <row r="3003">
      <c r="J3003" s="12">
        <f>IF(F3003&lt;&gt;0,"LANÇAR","")</f>
        <v/>
      </c>
      <c r="L3003" s="13">
        <f>N3003&amp;O3003&amp;P3003&amp;Q3003&amp;R3003&amp;S3003&amp;T3003&amp;U3003&amp;V3003&amp;W3003&amp;X3003&amp;Y3003&amp;Z3003&amp;AA3003&amp;AB3003&amp;AC3003&amp;AD3003&amp;AE3003&amp;AF3003&amp;AG3003</f>
        <v/>
      </c>
      <c r="N3003" s="10">
        <f>TEXT($B$6,"00")</f>
        <v/>
      </c>
      <c r="O3003" s="10">
        <f>REPT(" ",8)</f>
        <v/>
      </c>
      <c r="P3003" s="10">
        <f>RIGHT($B$4,2)</f>
        <v/>
      </c>
      <c r="Q3003" s="10">
        <f>RIGHT($B$5,3)</f>
        <v/>
      </c>
      <c r="R3003" s="10">
        <f>IF(A3003="D",LEFT(UPPER(B3003)&amp;REPT(" ",20),20),REPT(" ",20))</f>
        <v/>
      </c>
      <c r="S3003" s="10">
        <f>IF(A3003="D",LEFT(UPPER(C3003)&amp;REPT(" ",10),10)," ")</f>
        <v/>
      </c>
      <c r="T3003" s="10">
        <f>IF(A3003="D",LEFT(UPPER(D3003)&amp;REPT(" ",2),2)," ")</f>
        <v/>
      </c>
      <c r="U3003" s="10">
        <f>IF(A3003="D",LEFT(UPPER(E3003)&amp;REPT(" ",15),15)," ")</f>
        <v/>
      </c>
      <c r="V3003" s="10">
        <f>REPT(" ",24)</f>
        <v/>
      </c>
      <c r="W3003" s="10">
        <f>IF(A3003="c",LEFT(UPPER(B3003)&amp;REPT(" ",20),20),REPT(" ",20))</f>
        <v/>
      </c>
      <c r="X3003" s="10">
        <f>IF(A3003="C",LEFT(UPPER(C3003)&amp;REPT(" ",10),10)," ")</f>
        <v/>
      </c>
      <c r="Y3003" s="10">
        <f>IF(A3003="C",LEFT(UPPER(D3003)&amp;REPT(" ",2),2)," ")</f>
        <v/>
      </c>
      <c r="Z3003" s="10">
        <f>IF(A3003="C",LEFT(UPPER(E3003)&amp;REPT(" ",15),15)," ")</f>
        <v/>
      </c>
      <c r="AA3003" s="10">
        <f>REPT(" ",8)</f>
        <v/>
      </c>
      <c r="AB3003" s="10">
        <f>REPT(" ",4)</f>
        <v/>
      </c>
      <c r="AC3003" s="10">
        <f>LEFT(UPPER(H3003)&amp;REPT(" ",250),250)</f>
        <v/>
      </c>
      <c r="AD3003" s="10">
        <f>TEXT($G$2,"dd/mm/aaaa")</f>
        <v/>
      </c>
      <c r="AE3003" s="10">
        <f>REPT(" ",10)</f>
        <v/>
      </c>
      <c r="AF3003" s="10">
        <f>REPT(" ",20)</f>
        <v/>
      </c>
      <c r="AG3003" s="54">
        <f>REPT(" ",18-LEN(FIXED(F3003,2,TRUE)))&amp;FIXED(F3003,2,TRUE)</f>
        <v/>
      </c>
      <c r="AH3003" s="10">
        <f>LEN(AC3003)+LEN(AG3003)</f>
        <v/>
      </c>
      <c r="AI3003" s="10">
        <f>LEN(L3003)</f>
        <v/>
      </c>
    </row>
    <row r="3004">
      <c r="J3004" s="12">
        <f>IF(F3004&lt;&gt;0,"LANÇAR","")</f>
        <v/>
      </c>
      <c r="L3004" s="13">
        <f>N3004&amp;O3004&amp;P3004&amp;Q3004&amp;R3004&amp;S3004&amp;T3004&amp;U3004&amp;V3004&amp;W3004&amp;X3004&amp;Y3004&amp;Z3004&amp;AA3004&amp;AB3004&amp;AC3004&amp;AD3004&amp;AE3004&amp;AF3004&amp;AG3004</f>
        <v/>
      </c>
      <c r="N3004" s="10">
        <f>TEXT($B$6,"00")</f>
        <v/>
      </c>
      <c r="O3004" s="10">
        <f>REPT(" ",8)</f>
        <v/>
      </c>
      <c r="P3004" s="10">
        <f>RIGHT($B$4,2)</f>
        <v/>
      </c>
      <c r="Q3004" s="10">
        <f>RIGHT($B$5,3)</f>
        <v/>
      </c>
      <c r="R3004" s="10">
        <f>IF(A3004="D",LEFT(UPPER(B3004)&amp;REPT(" ",20),20),REPT(" ",20))</f>
        <v/>
      </c>
      <c r="S3004" s="10">
        <f>IF(A3004="D",LEFT(UPPER(C3004)&amp;REPT(" ",10),10)," ")</f>
        <v/>
      </c>
      <c r="T3004" s="10">
        <f>IF(A3004="D",LEFT(UPPER(D3004)&amp;REPT(" ",2),2)," ")</f>
        <v/>
      </c>
      <c r="U3004" s="10">
        <f>IF(A3004="D",LEFT(UPPER(E3004)&amp;REPT(" ",15),15)," ")</f>
        <v/>
      </c>
      <c r="V3004" s="10">
        <f>REPT(" ",24)</f>
        <v/>
      </c>
      <c r="W3004" s="10">
        <f>IF(A3004="c",LEFT(UPPER(B3004)&amp;REPT(" ",20),20),REPT(" ",20))</f>
        <v/>
      </c>
      <c r="X3004" s="10">
        <f>IF(A3004="C",LEFT(UPPER(C3004)&amp;REPT(" ",10),10)," ")</f>
        <v/>
      </c>
      <c r="Y3004" s="10">
        <f>IF(A3004="C",LEFT(UPPER(D3004)&amp;REPT(" ",2),2)," ")</f>
        <v/>
      </c>
      <c r="Z3004" s="10">
        <f>IF(A3004="C",LEFT(UPPER(E3004)&amp;REPT(" ",15),15)," ")</f>
        <v/>
      </c>
      <c r="AA3004" s="10">
        <f>REPT(" ",8)</f>
        <v/>
      </c>
      <c r="AB3004" s="10">
        <f>REPT(" ",4)</f>
        <v/>
      </c>
      <c r="AC3004" s="10">
        <f>LEFT(UPPER(H3004)&amp;REPT(" ",250),250)</f>
        <v/>
      </c>
      <c r="AD3004" s="10">
        <f>TEXT($G$2,"dd/mm/aaaa")</f>
        <v/>
      </c>
      <c r="AE3004" s="10">
        <f>REPT(" ",10)</f>
        <v/>
      </c>
      <c r="AF3004" s="10">
        <f>REPT(" ",20)</f>
        <v/>
      </c>
      <c r="AG3004" s="54">
        <f>REPT(" ",18-LEN(FIXED(F3004,2,TRUE)))&amp;FIXED(F3004,2,TRUE)</f>
        <v/>
      </c>
      <c r="AH3004" s="10">
        <f>LEN(AC3004)+LEN(AG3004)</f>
        <v/>
      </c>
      <c r="AI3004" s="10">
        <f>LEN(L3004)</f>
        <v/>
      </c>
    </row>
    <row r="3005">
      <c r="J3005" s="12">
        <f>IF(F3005&lt;&gt;0,"LANÇAR","")</f>
        <v/>
      </c>
      <c r="L3005" s="13">
        <f>N3005&amp;O3005&amp;P3005&amp;Q3005&amp;R3005&amp;S3005&amp;T3005&amp;U3005&amp;V3005&amp;W3005&amp;X3005&amp;Y3005&amp;Z3005&amp;AA3005&amp;AB3005&amp;AC3005&amp;AD3005&amp;AE3005&amp;AF3005&amp;AG3005</f>
        <v/>
      </c>
      <c r="N3005" s="10">
        <f>TEXT($B$6,"00")</f>
        <v/>
      </c>
      <c r="O3005" s="10">
        <f>REPT(" ",8)</f>
        <v/>
      </c>
      <c r="P3005" s="10">
        <f>RIGHT($B$4,2)</f>
        <v/>
      </c>
      <c r="Q3005" s="10">
        <f>RIGHT($B$5,3)</f>
        <v/>
      </c>
      <c r="R3005" s="10">
        <f>IF(A3005="D",LEFT(UPPER(B3005)&amp;REPT(" ",20),20),REPT(" ",20))</f>
        <v/>
      </c>
      <c r="S3005" s="10">
        <f>IF(A3005="D",LEFT(UPPER(C3005)&amp;REPT(" ",10),10)," ")</f>
        <v/>
      </c>
      <c r="T3005" s="10">
        <f>IF(A3005="D",LEFT(UPPER(D3005)&amp;REPT(" ",2),2)," ")</f>
        <v/>
      </c>
      <c r="U3005" s="10">
        <f>IF(A3005="D",LEFT(UPPER(E3005)&amp;REPT(" ",15),15)," ")</f>
        <v/>
      </c>
      <c r="V3005" s="10">
        <f>REPT(" ",24)</f>
        <v/>
      </c>
      <c r="W3005" s="10">
        <f>IF(A3005="c",LEFT(UPPER(B3005)&amp;REPT(" ",20),20),REPT(" ",20))</f>
        <v/>
      </c>
      <c r="X3005" s="10">
        <f>IF(A3005="C",LEFT(UPPER(C3005)&amp;REPT(" ",10),10)," ")</f>
        <v/>
      </c>
      <c r="Y3005" s="10">
        <f>IF(A3005="C",LEFT(UPPER(D3005)&amp;REPT(" ",2),2)," ")</f>
        <v/>
      </c>
      <c r="Z3005" s="10">
        <f>IF(A3005="C",LEFT(UPPER(E3005)&amp;REPT(" ",15),15)," ")</f>
        <v/>
      </c>
      <c r="AA3005" s="10">
        <f>REPT(" ",8)</f>
        <v/>
      </c>
      <c r="AB3005" s="10">
        <f>REPT(" ",4)</f>
        <v/>
      </c>
      <c r="AC3005" s="10">
        <f>LEFT(UPPER(H3005)&amp;REPT(" ",250),250)</f>
        <v/>
      </c>
      <c r="AD3005" s="10">
        <f>TEXT($G$2,"dd/mm/aaaa")</f>
        <v/>
      </c>
      <c r="AE3005" s="10">
        <f>REPT(" ",10)</f>
        <v/>
      </c>
      <c r="AF3005" s="10">
        <f>REPT(" ",20)</f>
        <v/>
      </c>
      <c r="AG3005" s="54">
        <f>REPT(" ",18-LEN(FIXED(F3005,2,TRUE)))&amp;FIXED(F3005,2,TRUE)</f>
        <v/>
      </c>
      <c r="AH3005" s="10">
        <f>LEN(AC3005)+LEN(AG3005)</f>
        <v/>
      </c>
      <c r="AI3005" s="10">
        <f>LEN(L3005)</f>
        <v/>
      </c>
    </row>
    <row r="3006">
      <c r="J3006" s="12">
        <f>IF(F3006&lt;&gt;0,"LANÇAR","")</f>
        <v/>
      </c>
      <c r="L3006" s="13">
        <f>N3006&amp;O3006&amp;P3006&amp;Q3006&amp;R3006&amp;S3006&amp;T3006&amp;U3006&amp;V3006&amp;W3006&amp;X3006&amp;Y3006&amp;Z3006&amp;AA3006&amp;AB3006&amp;AC3006&amp;AD3006&amp;AE3006&amp;AF3006&amp;AG3006</f>
        <v/>
      </c>
      <c r="N3006" s="10">
        <f>TEXT($B$6,"00")</f>
        <v/>
      </c>
      <c r="O3006" s="10">
        <f>REPT(" ",8)</f>
        <v/>
      </c>
      <c r="P3006" s="10">
        <f>RIGHT($B$4,2)</f>
        <v/>
      </c>
      <c r="Q3006" s="10">
        <f>RIGHT($B$5,3)</f>
        <v/>
      </c>
      <c r="R3006" s="10">
        <f>IF(A3006="D",LEFT(UPPER(B3006)&amp;REPT(" ",20),20),REPT(" ",20))</f>
        <v/>
      </c>
      <c r="S3006" s="10">
        <f>IF(A3006="D",LEFT(UPPER(C3006)&amp;REPT(" ",10),10)," ")</f>
        <v/>
      </c>
      <c r="T3006" s="10">
        <f>IF(A3006="D",LEFT(UPPER(D3006)&amp;REPT(" ",2),2)," ")</f>
        <v/>
      </c>
      <c r="U3006" s="10">
        <f>IF(A3006="D",LEFT(UPPER(E3006)&amp;REPT(" ",15),15)," ")</f>
        <v/>
      </c>
      <c r="V3006" s="10">
        <f>REPT(" ",24)</f>
        <v/>
      </c>
      <c r="W3006" s="10">
        <f>IF(A3006="c",LEFT(UPPER(B3006)&amp;REPT(" ",20),20),REPT(" ",20))</f>
        <v/>
      </c>
      <c r="X3006" s="10">
        <f>IF(A3006="C",LEFT(UPPER(C3006)&amp;REPT(" ",10),10)," ")</f>
        <v/>
      </c>
      <c r="Y3006" s="10">
        <f>IF(A3006="C",LEFT(UPPER(D3006)&amp;REPT(" ",2),2)," ")</f>
        <v/>
      </c>
      <c r="Z3006" s="10">
        <f>IF(A3006="C",LEFT(UPPER(E3006)&amp;REPT(" ",15),15)," ")</f>
        <v/>
      </c>
      <c r="AA3006" s="10">
        <f>REPT(" ",8)</f>
        <v/>
      </c>
      <c r="AB3006" s="10">
        <f>REPT(" ",4)</f>
        <v/>
      </c>
      <c r="AC3006" s="10">
        <f>LEFT(UPPER(H3006)&amp;REPT(" ",250),250)</f>
        <v/>
      </c>
      <c r="AD3006" s="10">
        <f>TEXT($G$2,"dd/mm/aaaa")</f>
        <v/>
      </c>
      <c r="AE3006" s="10">
        <f>REPT(" ",10)</f>
        <v/>
      </c>
      <c r="AF3006" s="10">
        <f>REPT(" ",20)</f>
        <v/>
      </c>
      <c r="AG3006" s="54">
        <f>REPT(" ",18-LEN(FIXED(F3006,2,TRUE)))&amp;FIXED(F3006,2,TRUE)</f>
        <v/>
      </c>
      <c r="AH3006" s="10">
        <f>LEN(AC3006)+LEN(AG3006)</f>
        <v/>
      </c>
      <c r="AI3006" s="10">
        <f>LEN(L3006)</f>
        <v/>
      </c>
    </row>
    <row r="3007">
      <c r="J3007" s="12">
        <f>IF(F3007&lt;&gt;0,"LANÇAR","")</f>
        <v/>
      </c>
      <c r="L3007" s="13">
        <f>N3007&amp;O3007&amp;P3007&amp;Q3007&amp;R3007&amp;S3007&amp;T3007&amp;U3007&amp;V3007&amp;W3007&amp;X3007&amp;Y3007&amp;Z3007&amp;AA3007&amp;AB3007&amp;AC3007&amp;AD3007&amp;AE3007&amp;AF3007&amp;AG3007</f>
        <v/>
      </c>
      <c r="N3007" s="10">
        <f>TEXT($B$6,"00")</f>
        <v/>
      </c>
      <c r="O3007" s="10">
        <f>REPT(" ",8)</f>
        <v/>
      </c>
      <c r="P3007" s="10">
        <f>RIGHT($B$4,2)</f>
        <v/>
      </c>
      <c r="Q3007" s="10">
        <f>RIGHT($B$5,3)</f>
        <v/>
      </c>
      <c r="R3007" s="10">
        <f>IF(A3007="D",LEFT(UPPER(B3007)&amp;REPT(" ",20),20),REPT(" ",20))</f>
        <v/>
      </c>
      <c r="S3007" s="10">
        <f>IF(A3007="D",LEFT(UPPER(C3007)&amp;REPT(" ",10),10)," ")</f>
        <v/>
      </c>
      <c r="T3007" s="10">
        <f>IF(A3007="D",LEFT(UPPER(D3007)&amp;REPT(" ",2),2)," ")</f>
        <v/>
      </c>
      <c r="U3007" s="10">
        <f>IF(A3007="D",LEFT(UPPER(E3007)&amp;REPT(" ",15),15)," ")</f>
        <v/>
      </c>
      <c r="V3007" s="10">
        <f>REPT(" ",24)</f>
        <v/>
      </c>
      <c r="W3007" s="10">
        <f>IF(A3007="c",LEFT(UPPER(B3007)&amp;REPT(" ",20),20),REPT(" ",20))</f>
        <v/>
      </c>
      <c r="X3007" s="10">
        <f>IF(A3007="C",LEFT(UPPER(C3007)&amp;REPT(" ",10),10)," ")</f>
        <v/>
      </c>
      <c r="Y3007" s="10">
        <f>IF(A3007="C",LEFT(UPPER(D3007)&amp;REPT(" ",2),2)," ")</f>
        <v/>
      </c>
      <c r="Z3007" s="10">
        <f>IF(A3007="C",LEFT(UPPER(E3007)&amp;REPT(" ",15),15)," ")</f>
        <v/>
      </c>
      <c r="AA3007" s="10">
        <f>REPT(" ",8)</f>
        <v/>
      </c>
      <c r="AB3007" s="10">
        <f>REPT(" ",4)</f>
        <v/>
      </c>
      <c r="AC3007" s="10">
        <f>LEFT(UPPER(H3007)&amp;REPT(" ",250),250)</f>
        <v/>
      </c>
      <c r="AD3007" s="10">
        <f>TEXT($G$2,"dd/mm/aaaa")</f>
        <v/>
      </c>
      <c r="AE3007" s="10">
        <f>REPT(" ",10)</f>
        <v/>
      </c>
      <c r="AF3007" s="10">
        <f>REPT(" ",20)</f>
        <v/>
      </c>
      <c r="AG3007" s="54">
        <f>REPT(" ",18-LEN(FIXED(F3007,2,TRUE)))&amp;FIXED(F3007,2,TRUE)</f>
        <v/>
      </c>
      <c r="AH3007" s="10">
        <f>LEN(AC3007)+LEN(AG3007)</f>
        <v/>
      </c>
      <c r="AI3007" s="10">
        <f>LEN(L3007)</f>
        <v/>
      </c>
    </row>
    <row r="3008">
      <c r="J3008" s="12">
        <f>IF(F3008&lt;&gt;0,"LANÇAR","")</f>
        <v/>
      </c>
      <c r="L3008" s="13">
        <f>N3008&amp;O3008&amp;P3008&amp;Q3008&amp;R3008&amp;S3008&amp;T3008&amp;U3008&amp;V3008&amp;W3008&amp;X3008&amp;Y3008&amp;Z3008&amp;AA3008&amp;AB3008&amp;AC3008&amp;AD3008&amp;AE3008&amp;AF3008&amp;AG3008</f>
        <v/>
      </c>
      <c r="N3008" s="10">
        <f>TEXT($B$6,"00")</f>
        <v/>
      </c>
      <c r="O3008" s="10">
        <f>REPT(" ",8)</f>
        <v/>
      </c>
      <c r="P3008" s="10">
        <f>RIGHT($B$4,2)</f>
        <v/>
      </c>
      <c r="Q3008" s="10">
        <f>RIGHT($B$5,3)</f>
        <v/>
      </c>
      <c r="R3008" s="10">
        <f>IF(A3008="D",LEFT(UPPER(B3008)&amp;REPT(" ",20),20),REPT(" ",20))</f>
        <v/>
      </c>
      <c r="S3008" s="10">
        <f>IF(A3008="D",LEFT(UPPER(C3008)&amp;REPT(" ",10),10)," ")</f>
        <v/>
      </c>
      <c r="T3008" s="10">
        <f>IF(A3008="D",LEFT(UPPER(D3008)&amp;REPT(" ",2),2)," ")</f>
        <v/>
      </c>
      <c r="U3008" s="10">
        <f>IF(A3008="D",LEFT(UPPER(E3008)&amp;REPT(" ",15),15)," ")</f>
        <v/>
      </c>
      <c r="V3008" s="10">
        <f>REPT(" ",24)</f>
        <v/>
      </c>
      <c r="W3008" s="10">
        <f>IF(A3008="c",LEFT(UPPER(B3008)&amp;REPT(" ",20),20),REPT(" ",20))</f>
        <v/>
      </c>
      <c r="X3008" s="10">
        <f>IF(A3008="C",LEFT(UPPER(C3008)&amp;REPT(" ",10),10)," ")</f>
        <v/>
      </c>
      <c r="Y3008" s="10">
        <f>IF(A3008="C",LEFT(UPPER(D3008)&amp;REPT(" ",2),2)," ")</f>
        <v/>
      </c>
      <c r="Z3008" s="10">
        <f>IF(A3008="C",LEFT(UPPER(E3008)&amp;REPT(" ",15),15)," ")</f>
        <v/>
      </c>
      <c r="AA3008" s="10">
        <f>REPT(" ",8)</f>
        <v/>
      </c>
      <c r="AB3008" s="10">
        <f>REPT(" ",4)</f>
        <v/>
      </c>
      <c r="AC3008" s="10">
        <f>LEFT(UPPER(H3008)&amp;REPT(" ",250),250)</f>
        <v/>
      </c>
      <c r="AD3008" s="10">
        <f>TEXT($G$2,"dd/mm/aaaa")</f>
        <v/>
      </c>
      <c r="AE3008" s="10">
        <f>REPT(" ",10)</f>
        <v/>
      </c>
      <c r="AF3008" s="10">
        <f>REPT(" ",20)</f>
        <v/>
      </c>
      <c r="AG3008" s="54">
        <f>REPT(" ",18-LEN(FIXED(F3008,2,TRUE)))&amp;FIXED(F3008,2,TRUE)</f>
        <v/>
      </c>
      <c r="AH3008" s="10">
        <f>LEN(AC3008)+LEN(AG3008)</f>
        <v/>
      </c>
      <c r="AI3008" s="10">
        <f>LEN(L3008)</f>
        <v/>
      </c>
    </row>
    <row r="3009">
      <c r="J3009" s="12">
        <f>IF(F3009&lt;&gt;0,"LANÇAR","")</f>
        <v/>
      </c>
      <c r="L3009" s="13">
        <f>N3009&amp;O3009&amp;P3009&amp;Q3009&amp;R3009&amp;S3009&amp;T3009&amp;U3009&amp;V3009&amp;W3009&amp;X3009&amp;Y3009&amp;Z3009&amp;AA3009&amp;AB3009&amp;AC3009&amp;AD3009&amp;AE3009&amp;AF3009&amp;AG3009</f>
        <v/>
      </c>
      <c r="N3009" s="10">
        <f>TEXT($B$6,"00")</f>
        <v/>
      </c>
      <c r="O3009" s="10">
        <f>REPT(" ",8)</f>
        <v/>
      </c>
      <c r="P3009" s="10">
        <f>RIGHT($B$4,2)</f>
        <v/>
      </c>
      <c r="Q3009" s="10">
        <f>RIGHT($B$5,3)</f>
        <v/>
      </c>
      <c r="R3009" s="10">
        <f>IF(A3009="D",LEFT(UPPER(B3009)&amp;REPT(" ",20),20),REPT(" ",20))</f>
        <v/>
      </c>
      <c r="S3009" s="10">
        <f>IF(A3009="D",LEFT(UPPER(C3009)&amp;REPT(" ",10),10)," ")</f>
        <v/>
      </c>
      <c r="T3009" s="10">
        <f>IF(A3009="D",LEFT(UPPER(D3009)&amp;REPT(" ",2),2)," ")</f>
        <v/>
      </c>
      <c r="U3009" s="10">
        <f>IF(A3009="D",LEFT(UPPER(E3009)&amp;REPT(" ",15),15)," ")</f>
        <v/>
      </c>
      <c r="V3009" s="10">
        <f>REPT(" ",24)</f>
        <v/>
      </c>
      <c r="W3009" s="10">
        <f>IF(A3009="c",LEFT(UPPER(B3009)&amp;REPT(" ",20),20),REPT(" ",20))</f>
        <v/>
      </c>
      <c r="X3009" s="10">
        <f>IF(A3009="C",LEFT(UPPER(C3009)&amp;REPT(" ",10),10)," ")</f>
        <v/>
      </c>
      <c r="Y3009" s="10">
        <f>IF(A3009="C",LEFT(UPPER(D3009)&amp;REPT(" ",2),2)," ")</f>
        <v/>
      </c>
      <c r="Z3009" s="10">
        <f>IF(A3009="C",LEFT(UPPER(E3009)&amp;REPT(" ",15),15)," ")</f>
        <v/>
      </c>
      <c r="AA3009" s="10">
        <f>REPT(" ",8)</f>
        <v/>
      </c>
      <c r="AB3009" s="10">
        <f>REPT(" ",4)</f>
        <v/>
      </c>
      <c r="AC3009" s="10">
        <f>LEFT(UPPER(H3009)&amp;REPT(" ",250),250)</f>
        <v/>
      </c>
      <c r="AD3009" s="10">
        <f>TEXT($G$2,"dd/mm/aaaa")</f>
        <v/>
      </c>
      <c r="AE3009" s="10">
        <f>REPT(" ",10)</f>
        <v/>
      </c>
      <c r="AF3009" s="10">
        <f>REPT(" ",20)</f>
        <v/>
      </c>
      <c r="AG3009" s="54">
        <f>REPT(" ",18-LEN(FIXED(F3009,2,TRUE)))&amp;FIXED(F3009,2,TRUE)</f>
        <v/>
      </c>
      <c r="AH3009" s="10">
        <f>LEN(AC3009)+LEN(AG3009)</f>
        <v/>
      </c>
      <c r="AI3009" s="10">
        <f>LEN(L3009)</f>
        <v/>
      </c>
    </row>
    <row r="3010">
      <c r="J3010" s="12">
        <f>IF(F3010&lt;&gt;0,"LANÇAR","")</f>
        <v/>
      </c>
      <c r="L3010" s="13">
        <f>N3010&amp;O3010&amp;P3010&amp;Q3010&amp;R3010&amp;S3010&amp;T3010&amp;U3010&amp;V3010&amp;W3010&amp;X3010&amp;Y3010&amp;Z3010&amp;AA3010&amp;AB3010&amp;AC3010&amp;AD3010&amp;AE3010&amp;AF3010&amp;AG3010</f>
        <v/>
      </c>
      <c r="N3010" s="10">
        <f>TEXT($B$6,"00")</f>
        <v/>
      </c>
      <c r="O3010" s="10">
        <f>REPT(" ",8)</f>
        <v/>
      </c>
      <c r="P3010" s="10">
        <f>RIGHT($B$4,2)</f>
        <v/>
      </c>
      <c r="Q3010" s="10">
        <f>RIGHT($B$5,3)</f>
        <v/>
      </c>
      <c r="R3010" s="10">
        <f>IF(A3010="D",LEFT(UPPER(B3010)&amp;REPT(" ",20),20),REPT(" ",20))</f>
        <v/>
      </c>
      <c r="S3010" s="10">
        <f>IF(A3010="D",LEFT(UPPER(C3010)&amp;REPT(" ",10),10)," ")</f>
        <v/>
      </c>
      <c r="T3010" s="10">
        <f>IF(A3010="D",LEFT(UPPER(D3010)&amp;REPT(" ",2),2)," ")</f>
        <v/>
      </c>
      <c r="U3010" s="10">
        <f>IF(A3010="D",LEFT(UPPER(E3010)&amp;REPT(" ",15),15)," ")</f>
        <v/>
      </c>
      <c r="V3010" s="10">
        <f>REPT(" ",24)</f>
        <v/>
      </c>
      <c r="W3010" s="10">
        <f>IF(A3010="c",LEFT(UPPER(B3010)&amp;REPT(" ",20),20),REPT(" ",20))</f>
        <v/>
      </c>
      <c r="X3010" s="10">
        <f>IF(A3010="C",LEFT(UPPER(C3010)&amp;REPT(" ",10),10)," ")</f>
        <v/>
      </c>
      <c r="Y3010" s="10">
        <f>IF(A3010="C",LEFT(UPPER(D3010)&amp;REPT(" ",2),2)," ")</f>
        <v/>
      </c>
      <c r="Z3010" s="10">
        <f>IF(A3010="C",LEFT(UPPER(E3010)&amp;REPT(" ",15),15)," ")</f>
        <v/>
      </c>
      <c r="AA3010" s="10">
        <f>REPT(" ",8)</f>
        <v/>
      </c>
      <c r="AB3010" s="10">
        <f>REPT(" ",4)</f>
        <v/>
      </c>
      <c r="AC3010" s="10">
        <f>LEFT(UPPER(H3010)&amp;REPT(" ",250),250)</f>
        <v/>
      </c>
      <c r="AD3010" s="10">
        <f>TEXT($G$2,"dd/mm/aaaa")</f>
        <v/>
      </c>
      <c r="AE3010" s="10">
        <f>REPT(" ",10)</f>
        <v/>
      </c>
      <c r="AF3010" s="10">
        <f>REPT(" ",20)</f>
        <v/>
      </c>
      <c r="AG3010" s="54">
        <f>REPT(" ",18-LEN(FIXED(F3010,2,TRUE)))&amp;FIXED(F3010,2,TRUE)</f>
        <v/>
      </c>
      <c r="AH3010" s="10">
        <f>LEN(AC3010)+LEN(AG3010)</f>
        <v/>
      </c>
      <c r="AI3010" s="10">
        <f>LEN(L3010)</f>
        <v/>
      </c>
    </row>
    <row r="3011">
      <c r="J3011" s="12">
        <f>IF(F3011&lt;&gt;0,"LANÇAR","")</f>
        <v/>
      </c>
      <c r="L3011" s="13">
        <f>N3011&amp;O3011&amp;P3011&amp;Q3011&amp;R3011&amp;S3011&amp;T3011&amp;U3011&amp;V3011&amp;W3011&amp;X3011&amp;Y3011&amp;Z3011&amp;AA3011&amp;AB3011&amp;AC3011&amp;AD3011&amp;AE3011&amp;AF3011&amp;AG3011</f>
        <v/>
      </c>
      <c r="N3011" s="10">
        <f>TEXT($B$6,"00")</f>
        <v/>
      </c>
      <c r="O3011" s="10">
        <f>REPT(" ",8)</f>
        <v/>
      </c>
      <c r="P3011" s="10">
        <f>RIGHT($B$4,2)</f>
        <v/>
      </c>
      <c r="Q3011" s="10">
        <f>RIGHT($B$5,3)</f>
        <v/>
      </c>
      <c r="R3011" s="10">
        <f>IF(A3011="D",LEFT(UPPER(B3011)&amp;REPT(" ",20),20),REPT(" ",20))</f>
        <v/>
      </c>
      <c r="S3011" s="10">
        <f>IF(A3011="D",LEFT(UPPER(C3011)&amp;REPT(" ",10),10)," ")</f>
        <v/>
      </c>
      <c r="T3011" s="10">
        <f>IF(A3011="D",LEFT(UPPER(D3011)&amp;REPT(" ",2),2)," ")</f>
        <v/>
      </c>
      <c r="U3011" s="10">
        <f>IF(A3011="D",LEFT(UPPER(E3011)&amp;REPT(" ",15),15)," ")</f>
        <v/>
      </c>
      <c r="V3011" s="10">
        <f>REPT(" ",24)</f>
        <v/>
      </c>
      <c r="W3011" s="10">
        <f>IF(A3011="c",LEFT(UPPER(B3011)&amp;REPT(" ",20),20),REPT(" ",20))</f>
        <v/>
      </c>
      <c r="X3011" s="10">
        <f>IF(A3011="C",LEFT(UPPER(C3011)&amp;REPT(" ",10),10)," ")</f>
        <v/>
      </c>
      <c r="Y3011" s="10">
        <f>IF(A3011="C",LEFT(UPPER(D3011)&amp;REPT(" ",2),2)," ")</f>
        <v/>
      </c>
      <c r="Z3011" s="10">
        <f>IF(A3011="C",LEFT(UPPER(E3011)&amp;REPT(" ",15),15)," ")</f>
        <v/>
      </c>
      <c r="AA3011" s="10">
        <f>REPT(" ",8)</f>
        <v/>
      </c>
      <c r="AB3011" s="10">
        <f>REPT(" ",4)</f>
        <v/>
      </c>
      <c r="AC3011" s="10">
        <f>LEFT(UPPER(H3011)&amp;REPT(" ",250),250)</f>
        <v/>
      </c>
      <c r="AD3011" s="10">
        <f>TEXT($G$2,"dd/mm/aaaa")</f>
        <v/>
      </c>
      <c r="AE3011" s="10">
        <f>REPT(" ",10)</f>
        <v/>
      </c>
      <c r="AF3011" s="10">
        <f>REPT(" ",20)</f>
        <v/>
      </c>
      <c r="AG3011" s="54">
        <f>REPT(" ",18-LEN(FIXED(F3011,2,TRUE)))&amp;FIXED(F3011,2,TRUE)</f>
        <v/>
      </c>
      <c r="AH3011" s="10">
        <f>LEN(AC3011)+LEN(AG3011)</f>
        <v/>
      </c>
      <c r="AI3011" s="10">
        <f>LEN(L3011)</f>
        <v/>
      </c>
    </row>
    <row r="3012">
      <c r="J3012" s="12">
        <f>IF(F3012&lt;&gt;0,"LANÇAR","")</f>
        <v/>
      </c>
      <c r="L3012" s="13">
        <f>N3012&amp;O3012&amp;P3012&amp;Q3012&amp;R3012&amp;S3012&amp;T3012&amp;U3012&amp;V3012&amp;W3012&amp;X3012&amp;Y3012&amp;Z3012&amp;AA3012&amp;AB3012&amp;AC3012&amp;AD3012&amp;AE3012&amp;AF3012&amp;AG3012</f>
        <v/>
      </c>
      <c r="N3012" s="10">
        <f>TEXT($B$6,"00")</f>
        <v/>
      </c>
      <c r="O3012" s="10">
        <f>REPT(" ",8)</f>
        <v/>
      </c>
      <c r="P3012" s="10">
        <f>RIGHT($B$4,2)</f>
        <v/>
      </c>
      <c r="Q3012" s="10">
        <f>RIGHT($B$5,3)</f>
        <v/>
      </c>
      <c r="R3012" s="10">
        <f>IF(A3012="D",LEFT(UPPER(B3012)&amp;REPT(" ",20),20),REPT(" ",20))</f>
        <v/>
      </c>
      <c r="S3012" s="10">
        <f>IF(A3012="D",LEFT(UPPER(C3012)&amp;REPT(" ",10),10)," ")</f>
        <v/>
      </c>
      <c r="T3012" s="10">
        <f>IF(A3012="D",LEFT(UPPER(D3012)&amp;REPT(" ",2),2)," ")</f>
        <v/>
      </c>
      <c r="U3012" s="10">
        <f>IF(A3012="D",LEFT(UPPER(E3012)&amp;REPT(" ",15),15)," ")</f>
        <v/>
      </c>
      <c r="V3012" s="10">
        <f>REPT(" ",24)</f>
        <v/>
      </c>
      <c r="W3012" s="10">
        <f>IF(A3012="c",LEFT(UPPER(B3012)&amp;REPT(" ",20),20),REPT(" ",20))</f>
        <v/>
      </c>
      <c r="X3012" s="10">
        <f>IF(A3012="C",LEFT(UPPER(C3012)&amp;REPT(" ",10),10)," ")</f>
        <v/>
      </c>
      <c r="Y3012" s="10">
        <f>IF(A3012="C",LEFT(UPPER(D3012)&amp;REPT(" ",2),2)," ")</f>
        <v/>
      </c>
      <c r="Z3012" s="10">
        <f>IF(A3012="C",LEFT(UPPER(E3012)&amp;REPT(" ",15),15)," ")</f>
        <v/>
      </c>
      <c r="AA3012" s="10">
        <f>REPT(" ",8)</f>
        <v/>
      </c>
      <c r="AB3012" s="10">
        <f>REPT(" ",4)</f>
        <v/>
      </c>
      <c r="AC3012" s="10">
        <f>LEFT(UPPER(H3012)&amp;REPT(" ",250),250)</f>
        <v/>
      </c>
      <c r="AD3012" s="10">
        <f>TEXT($G$2,"dd/mm/aaaa")</f>
        <v/>
      </c>
      <c r="AE3012" s="10">
        <f>REPT(" ",10)</f>
        <v/>
      </c>
      <c r="AF3012" s="10">
        <f>REPT(" ",20)</f>
        <v/>
      </c>
      <c r="AG3012" s="54">
        <f>REPT(" ",18-LEN(FIXED(F3012,2,TRUE)))&amp;FIXED(F3012,2,TRUE)</f>
        <v/>
      </c>
      <c r="AH3012" s="10">
        <f>LEN(AC3012)+LEN(AG3012)</f>
        <v/>
      </c>
      <c r="AI3012" s="10">
        <f>LEN(L3012)</f>
        <v/>
      </c>
    </row>
    <row r="3013">
      <c r="J3013" s="12">
        <f>IF(F3013&lt;&gt;0,"LANÇAR","")</f>
        <v/>
      </c>
      <c r="L3013" s="13">
        <f>N3013&amp;O3013&amp;P3013&amp;Q3013&amp;R3013&amp;S3013&amp;T3013&amp;U3013&amp;V3013&amp;W3013&amp;X3013&amp;Y3013&amp;Z3013&amp;AA3013&amp;AB3013&amp;AC3013&amp;AD3013&amp;AE3013&amp;AF3013&amp;AG3013</f>
        <v/>
      </c>
      <c r="N3013" s="10">
        <f>TEXT($B$6,"00")</f>
        <v/>
      </c>
      <c r="O3013" s="10">
        <f>REPT(" ",8)</f>
        <v/>
      </c>
      <c r="P3013" s="10">
        <f>RIGHT($B$4,2)</f>
        <v/>
      </c>
      <c r="Q3013" s="10">
        <f>RIGHT($B$5,3)</f>
        <v/>
      </c>
      <c r="R3013" s="10">
        <f>IF(A3013="D",LEFT(UPPER(B3013)&amp;REPT(" ",20),20),REPT(" ",20))</f>
        <v/>
      </c>
      <c r="S3013" s="10">
        <f>IF(A3013="D",LEFT(UPPER(C3013)&amp;REPT(" ",10),10)," ")</f>
        <v/>
      </c>
      <c r="T3013" s="10">
        <f>IF(A3013="D",LEFT(UPPER(D3013)&amp;REPT(" ",2),2)," ")</f>
        <v/>
      </c>
      <c r="U3013" s="10">
        <f>IF(A3013="D",LEFT(UPPER(E3013)&amp;REPT(" ",15),15)," ")</f>
        <v/>
      </c>
      <c r="V3013" s="10">
        <f>REPT(" ",24)</f>
        <v/>
      </c>
      <c r="W3013" s="10">
        <f>IF(A3013="c",LEFT(UPPER(B3013)&amp;REPT(" ",20),20),REPT(" ",20))</f>
        <v/>
      </c>
      <c r="X3013" s="10">
        <f>IF(A3013="C",LEFT(UPPER(C3013)&amp;REPT(" ",10),10)," ")</f>
        <v/>
      </c>
      <c r="Y3013" s="10">
        <f>IF(A3013="C",LEFT(UPPER(D3013)&amp;REPT(" ",2),2)," ")</f>
        <v/>
      </c>
      <c r="Z3013" s="10">
        <f>IF(A3013="C",LEFT(UPPER(E3013)&amp;REPT(" ",15),15)," ")</f>
        <v/>
      </c>
      <c r="AA3013" s="10">
        <f>REPT(" ",8)</f>
        <v/>
      </c>
      <c r="AB3013" s="10">
        <f>REPT(" ",4)</f>
        <v/>
      </c>
      <c r="AC3013" s="10">
        <f>LEFT(UPPER(H3013)&amp;REPT(" ",250),250)</f>
        <v/>
      </c>
      <c r="AD3013" s="10">
        <f>TEXT($G$2,"dd/mm/aaaa")</f>
        <v/>
      </c>
      <c r="AE3013" s="10">
        <f>REPT(" ",10)</f>
        <v/>
      </c>
      <c r="AF3013" s="10">
        <f>REPT(" ",20)</f>
        <v/>
      </c>
      <c r="AG3013" s="54">
        <f>REPT(" ",18-LEN(FIXED(F3013,2,TRUE)))&amp;FIXED(F3013,2,TRUE)</f>
        <v/>
      </c>
      <c r="AH3013" s="10">
        <f>LEN(AC3013)+LEN(AG3013)</f>
        <v/>
      </c>
      <c r="AI3013" s="10">
        <f>LEN(L3013)</f>
        <v/>
      </c>
    </row>
    <row r="3014">
      <c r="J3014" s="12">
        <f>IF(F3014&lt;&gt;0,"LANÇAR","")</f>
        <v/>
      </c>
      <c r="L3014" s="13">
        <f>N3014&amp;O3014&amp;P3014&amp;Q3014&amp;R3014&amp;S3014&amp;T3014&amp;U3014&amp;V3014&amp;W3014&amp;X3014&amp;Y3014&amp;Z3014&amp;AA3014&amp;AB3014&amp;AC3014&amp;AD3014&amp;AE3014&amp;AF3014&amp;AG3014</f>
        <v/>
      </c>
      <c r="N3014" s="10">
        <f>TEXT($B$6,"00")</f>
        <v/>
      </c>
      <c r="O3014" s="10">
        <f>REPT(" ",8)</f>
        <v/>
      </c>
      <c r="P3014" s="10">
        <f>RIGHT($B$4,2)</f>
        <v/>
      </c>
      <c r="Q3014" s="10">
        <f>RIGHT($B$5,3)</f>
        <v/>
      </c>
      <c r="R3014" s="10">
        <f>IF(A3014="D",LEFT(UPPER(B3014)&amp;REPT(" ",20),20),REPT(" ",20))</f>
        <v/>
      </c>
      <c r="S3014" s="10">
        <f>IF(A3014="D",LEFT(UPPER(C3014)&amp;REPT(" ",10),10)," ")</f>
        <v/>
      </c>
      <c r="T3014" s="10">
        <f>IF(A3014="D",LEFT(UPPER(D3014)&amp;REPT(" ",2),2)," ")</f>
        <v/>
      </c>
      <c r="U3014" s="10">
        <f>IF(A3014="D",LEFT(UPPER(E3014)&amp;REPT(" ",15),15)," ")</f>
        <v/>
      </c>
      <c r="V3014" s="10">
        <f>REPT(" ",24)</f>
        <v/>
      </c>
      <c r="W3014" s="10">
        <f>IF(A3014="c",LEFT(UPPER(B3014)&amp;REPT(" ",20),20),REPT(" ",20))</f>
        <v/>
      </c>
      <c r="X3014" s="10">
        <f>IF(A3014="C",LEFT(UPPER(C3014)&amp;REPT(" ",10),10)," ")</f>
        <v/>
      </c>
      <c r="Y3014" s="10">
        <f>IF(A3014="C",LEFT(UPPER(D3014)&amp;REPT(" ",2),2)," ")</f>
        <v/>
      </c>
      <c r="Z3014" s="10">
        <f>IF(A3014="C",LEFT(UPPER(E3014)&amp;REPT(" ",15),15)," ")</f>
        <v/>
      </c>
      <c r="AA3014" s="10">
        <f>REPT(" ",8)</f>
        <v/>
      </c>
      <c r="AB3014" s="10">
        <f>REPT(" ",4)</f>
        <v/>
      </c>
      <c r="AC3014" s="10">
        <f>LEFT(UPPER(H3014)&amp;REPT(" ",250),250)</f>
        <v/>
      </c>
      <c r="AD3014" s="10">
        <f>TEXT($G$2,"dd/mm/aaaa")</f>
        <v/>
      </c>
      <c r="AE3014" s="10">
        <f>REPT(" ",10)</f>
        <v/>
      </c>
      <c r="AF3014" s="10">
        <f>REPT(" ",20)</f>
        <v/>
      </c>
      <c r="AG3014" s="54">
        <f>REPT(" ",18-LEN(FIXED(F3014,2,TRUE)))&amp;FIXED(F3014,2,TRUE)</f>
        <v/>
      </c>
      <c r="AH3014" s="10">
        <f>LEN(AC3014)+LEN(AG3014)</f>
        <v/>
      </c>
      <c r="AI3014" s="10">
        <f>LEN(L3014)</f>
        <v/>
      </c>
    </row>
    <row r="3015">
      <c r="J3015" s="12">
        <f>IF(F3015&lt;&gt;0,"LANÇAR","")</f>
        <v/>
      </c>
      <c r="L3015" s="13">
        <f>N3015&amp;O3015&amp;P3015&amp;Q3015&amp;R3015&amp;S3015&amp;T3015&amp;U3015&amp;V3015&amp;W3015&amp;X3015&amp;Y3015&amp;Z3015&amp;AA3015&amp;AB3015&amp;AC3015&amp;AD3015&amp;AE3015&amp;AF3015&amp;AG3015</f>
        <v/>
      </c>
      <c r="N3015" s="10">
        <f>TEXT($B$6,"00")</f>
        <v/>
      </c>
      <c r="O3015" s="10">
        <f>REPT(" ",8)</f>
        <v/>
      </c>
      <c r="P3015" s="10">
        <f>RIGHT($B$4,2)</f>
        <v/>
      </c>
      <c r="Q3015" s="10">
        <f>RIGHT($B$5,3)</f>
        <v/>
      </c>
      <c r="R3015" s="10">
        <f>IF(A3015="D",LEFT(UPPER(B3015)&amp;REPT(" ",20),20),REPT(" ",20))</f>
        <v/>
      </c>
      <c r="S3015" s="10">
        <f>IF(A3015="D",LEFT(UPPER(C3015)&amp;REPT(" ",10),10)," ")</f>
        <v/>
      </c>
      <c r="T3015" s="10">
        <f>IF(A3015="D",LEFT(UPPER(D3015)&amp;REPT(" ",2),2)," ")</f>
        <v/>
      </c>
      <c r="U3015" s="10">
        <f>IF(A3015="D",LEFT(UPPER(E3015)&amp;REPT(" ",15),15)," ")</f>
        <v/>
      </c>
      <c r="V3015" s="10">
        <f>REPT(" ",24)</f>
        <v/>
      </c>
      <c r="W3015" s="10">
        <f>IF(A3015="c",LEFT(UPPER(B3015)&amp;REPT(" ",20),20),REPT(" ",20))</f>
        <v/>
      </c>
      <c r="X3015" s="10">
        <f>IF(A3015="C",LEFT(UPPER(C3015)&amp;REPT(" ",10),10)," ")</f>
        <v/>
      </c>
      <c r="Y3015" s="10">
        <f>IF(A3015="C",LEFT(UPPER(D3015)&amp;REPT(" ",2),2)," ")</f>
        <v/>
      </c>
      <c r="Z3015" s="10">
        <f>IF(A3015="C",LEFT(UPPER(E3015)&amp;REPT(" ",15),15)," ")</f>
        <v/>
      </c>
      <c r="AA3015" s="10">
        <f>REPT(" ",8)</f>
        <v/>
      </c>
      <c r="AB3015" s="10">
        <f>REPT(" ",4)</f>
        <v/>
      </c>
      <c r="AC3015" s="10">
        <f>LEFT(UPPER(H3015)&amp;REPT(" ",250),250)</f>
        <v/>
      </c>
      <c r="AD3015" s="10">
        <f>TEXT($G$2,"dd/mm/aaaa")</f>
        <v/>
      </c>
      <c r="AE3015" s="10">
        <f>REPT(" ",10)</f>
        <v/>
      </c>
      <c r="AF3015" s="10">
        <f>REPT(" ",20)</f>
        <v/>
      </c>
      <c r="AG3015" s="54">
        <f>REPT(" ",18-LEN(FIXED(F3015,2,TRUE)))&amp;FIXED(F3015,2,TRUE)</f>
        <v/>
      </c>
      <c r="AH3015" s="10">
        <f>LEN(AC3015)+LEN(AG3015)</f>
        <v/>
      </c>
      <c r="AI3015" s="10">
        <f>LEN(L3015)</f>
        <v/>
      </c>
    </row>
    <row r="3016">
      <c r="J3016" s="12">
        <f>IF(F3016&lt;&gt;0,"LANÇAR","")</f>
        <v/>
      </c>
      <c r="L3016" s="13">
        <f>N3016&amp;O3016&amp;P3016&amp;Q3016&amp;R3016&amp;S3016&amp;T3016&amp;U3016&amp;V3016&amp;W3016&amp;X3016&amp;Y3016&amp;Z3016&amp;AA3016&amp;AB3016&amp;AC3016&amp;AD3016&amp;AE3016&amp;AF3016&amp;AG3016</f>
        <v/>
      </c>
      <c r="N3016" s="10">
        <f>TEXT($B$6,"00")</f>
        <v/>
      </c>
      <c r="O3016" s="10">
        <f>REPT(" ",8)</f>
        <v/>
      </c>
      <c r="P3016" s="10">
        <f>RIGHT($B$4,2)</f>
        <v/>
      </c>
      <c r="Q3016" s="10">
        <f>RIGHT($B$5,3)</f>
        <v/>
      </c>
      <c r="R3016" s="10">
        <f>IF(A3016="D",LEFT(UPPER(B3016)&amp;REPT(" ",20),20),REPT(" ",20))</f>
        <v/>
      </c>
      <c r="S3016" s="10">
        <f>IF(A3016="D",LEFT(UPPER(C3016)&amp;REPT(" ",10),10)," ")</f>
        <v/>
      </c>
      <c r="T3016" s="10">
        <f>IF(A3016="D",LEFT(UPPER(D3016)&amp;REPT(" ",2),2)," ")</f>
        <v/>
      </c>
      <c r="U3016" s="10">
        <f>IF(A3016="D",LEFT(UPPER(E3016)&amp;REPT(" ",15),15)," ")</f>
        <v/>
      </c>
      <c r="V3016" s="10">
        <f>REPT(" ",24)</f>
        <v/>
      </c>
      <c r="W3016" s="10">
        <f>IF(A3016="c",LEFT(UPPER(B3016)&amp;REPT(" ",20),20),REPT(" ",20))</f>
        <v/>
      </c>
      <c r="X3016" s="10">
        <f>IF(A3016="C",LEFT(UPPER(C3016)&amp;REPT(" ",10),10)," ")</f>
        <v/>
      </c>
      <c r="Y3016" s="10">
        <f>IF(A3016="C",LEFT(UPPER(D3016)&amp;REPT(" ",2),2)," ")</f>
        <v/>
      </c>
      <c r="Z3016" s="10">
        <f>IF(A3016="C",LEFT(UPPER(E3016)&amp;REPT(" ",15),15)," ")</f>
        <v/>
      </c>
      <c r="AA3016" s="10">
        <f>REPT(" ",8)</f>
        <v/>
      </c>
      <c r="AB3016" s="10">
        <f>REPT(" ",4)</f>
        <v/>
      </c>
      <c r="AC3016" s="10">
        <f>LEFT(UPPER(H3016)&amp;REPT(" ",250),250)</f>
        <v/>
      </c>
      <c r="AD3016" s="10">
        <f>TEXT($G$2,"dd/mm/aaaa")</f>
        <v/>
      </c>
      <c r="AE3016" s="10">
        <f>REPT(" ",10)</f>
        <v/>
      </c>
      <c r="AF3016" s="10">
        <f>REPT(" ",20)</f>
        <v/>
      </c>
      <c r="AG3016" s="54">
        <f>REPT(" ",18-LEN(FIXED(F3016,2,TRUE)))&amp;FIXED(F3016,2,TRUE)</f>
        <v/>
      </c>
      <c r="AH3016" s="10">
        <f>LEN(AC3016)+LEN(AG3016)</f>
        <v/>
      </c>
      <c r="AI3016" s="10">
        <f>LEN(L3016)</f>
        <v/>
      </c>
    </row>
    <row r="3017">
      <c r="J3017" s="12">
        <f>IF(F3017&lt;&gt;0,"LANÇAR","")</f>
        <v/>
      </c>
      <c r="L3017" s="13">
        <f>N3017&amp;O3017&amp;P3017&amp;Q3017&amp;R3017&amp;S3017&amp;T3017&amp;U3017&amp;V3017&amp;W3017&amp;X3017&amp;Y3017&amp;Z3017&amp;AA3017&amp;AB3017&amp;AC3017&amp;AD3017&amp;AE3017&amp;AF3017&amp;AG3017</f>
        <v/>
      </c>
      <c r="N3017" s="10">
        <f>TEXT($B$6,"00")</f>
        <v/>
      </c>
      <c r="O3017" s="10">
        <f>REPT(" ",8)</f>
        <v/>
      </c>
      <c r="P3017" s="10">
        <f>RIGHT($B$4,2)</f>
        <v/>
      </c>
      <c r="Q3017" s="10">
        <f>RIGHT($B$5,3)</f>
        <v/>
      </c>
      <c r="R3017" s="10">
        <f>IF(A3017="D",LEFT(UPPER(B3017)&amp;REPT(" ",20),20),REPT(" ",20))</f>
        <v/>
      </c>
      <c r="S3017" s="10">
        <f>IF(A3017="D",LEFT(UPPER(C3017)&amp;REPT(" ",10),10)," ")</f>
        <v/>
      </c>
      <c r="T3017" s="10">
        <f>IF(A3017="D",LEFT(UPPER(D3017)&amp;REPT(" ",2),2)," ")</f>
        <v/>
      </c>
      <c r="U3017" s="10">
        <f>IF(A3017="D",LEFT(UPPER(E3017)&amp;REPT(" ",15),15)," ")</f>
        <v/>
      </c>
      <c r="V3017" s="10">
        <f>REPT(" ",24)</f>
        <v/>
      </c>
      <c r="W3017" s="10">
        <f>IF(A3017="c",LEFT(UPPER(B3017)&amp;REPT(" ",20),20),REPT(" ",20))</f>
        <v/>
      </c>
      <c r="X3017" s="10">
        <f>IF(A3017="C",LEFT(UPPER(C3017)&amp;REPT(" ",10),10)," ")</f>
        <v/>
      </c>
      <c r="Y3017" s="10">
        <f>IF(A3017="C",LEFT(UPPER(D3017)&amp;REPT(" ",2),2)," ")</f>
        <v/>
      </c>
      <c r="Z3017" s="10">
        <f>IF(A3017="C",LEFT(UPPER(E3017)&amp;REPT(" ",15),15)," ")</f>
        <v/>
      </c>
      <c r="AA3017" s="10">
        <f>REPT(" ",8)</f>
        <v/>
      </c>
      <c r="AB3017" s="10">
        <f>REPT(" ",4)</f>
        <v/>
      </c>
      <c r="AC3017" s="10">
        <f>LEFT(UPPER(H3017)&amp;REPT(" ",250),250)</f>
        <v/>
      </c>
      <c r="AD3017" s="10">
        <f>TEXT($G$2,"dd/mm/aaaa")</f>
        <v/>
      </c>
      <c r="AE3017" s="10">
        <f>REPT(" ",10)</f>
        <v/>
      </c>
      <c r="AF3017" s="10">
        <f>REPT(" ",20)</f>
        <v/>
      </c>
      <c r="AG3017" s="54">
        <f>REPT(" ",18-LEN(FIXED(F3017,2,TRUE)))&amp;FIXED(F3017,2,TRUE)</f>
        <v/>
      </c>
      <c r="AH3017" s="10">
        <f>LEN(AC3017)+LEN(AG3017)</f>
        <v/>
      </c>
      <c r="AI3017" s="10">
        <f>LEN(L3017)</f>
        <v/>
      </c>
    </row>
    <row r="3018">
      <c r="J3018" s="12">
        <f>IF(F3018&lt;&gt;0,"LANÇAR","")</f>
        <v/>
      </c>
      <c r="L3018" s="13">
        <f>N3018&amp;O3018&amp;P3018&amp;Q3018&amp;R3018&amp;S3018&amp;T3018&amp;U3018&amp;V3018&amp;W3018&amp;X3018&amp;Y3018&amp;Z3018&amp;AA3018&amp;AB3018&amp;AC3018&amp;AD3018&amp;AE3018&amp;AF3018&amp;AG3018</f>
        <v/>
      </c>
      <c r="N3018" s="10">
        <f>TEXT($B$6,"00")</f>
        <v/>
      </c>
      <c r="O3018" s="10">
        <f>REPT(" ",8)</f>
        <v/>
      </c>
      <c r="P3018" s="10">
        <f>RIGHT($B$4,2)</f>
        <v/>
      </c>
      <c r="Q3018" s="10">
        <f>RIGHT($B$5,3)</f>
        <v/>
      </c>
      <c r="R3018" s="10">
        <f>IF(A3018="D",LEFT(UPPER(B3018)&amp;REPT(" ",20),20),REPT(" ",20))</f>
        <v/>
      </c>
      <c r="S3018" s="10">
        <f>IF(A3018="D",LEFT(UPPER(C3018)&amp;REPT(" ",10),10)," ")</f>
        <v/>
      </c>
      <c r="T3018" s="10">
        <f>IF(A3018="D",LEFT(UPPER(D3018)&amp;REPT(" ",2),2)," ")</f>
        <v/>
      </c>
      <c r="U3018" s="10">
        <f>IF(A3018="D",LEFT(UPPER(E3018)&amp;REPT(" ",15),15)," ")</f>
        <v/>
      </c>
      <c r="V3018" s="10">
        <f>REPT(" ",24)</f>
        <v/>
      </c>
      <c r="W3018" s="10">
        <f>IF(A3018="c",LEFT(UPPER(B3018)&amp;REPT(" ",20),20),REPT(" ",20))</f>
        <v/>
      </c>
      <c r="X3018" s="10">
        <f>IF(A3018="C",LEFT(UPPER(C3018)&amp;REPT(" ",10),10)," ")</f>
        <v/>
      </c>
      <c r="Y3018" s="10">
        <f>IF(A3018="C",LEFT(UPPER(D3018)&amp;REPT(" ",2),2)," ")</f>
        <v/>
      </c>
      <c r="Z3018" s="10">
        <f>IF(A3018="C",LEFT(UPPER(E3018)&amp;REPT(" ",15),15)," ")</f>
        <v/>
      </c>
      <c r="AA3018" s="10">
        <f>REPT(" ",8)</f>
        <v/>
      </c>
      <c r="AB3018" s="10">
        <f>REPT(" ",4)</f>
        <v/>
      </c>
      <c r="AC3018" s="10">
        <f>LEFT(UPPER(H3018)&amp;REPT(" ",250),250)</f>
        <v/>
      </c>
      <c r="AD3018" s="10">
        <f>TEXT($G$2,"dd/mm/aaaa")</f>
        <v/>
      </c>
      <c r="AE3018" s="10">
        <f>REPT(" ",10)</f>
        <v/>
      </c>
      <c r="AF3018" s="10">
        <f>REPT(" ",20)</f>
        <v/>
      </c>
      <c r="AG3018" s="54">
        <f>REPT(" ",18-LEN(FIXED(F3018,2,TRUE)))&amp;FIXED(F3018,2,TRUE)</f>
        <v/>
      </c>
      <c r="AH3018" s="10">
        <f>LEN(AC3018)+LEN(AG3018)</f>
        <v/>
      </c>
      <c r="AI3018" s="10">
        <f>LEN(L3018)</f>
        <v/>
      </c>
    </row>
    <row r="3019">
      <c r="J3019" s="12">
        <f>IF(F3019&lt;&gt;0,"LANÇAR","")</f>
        <v/>
      </c>
      <c r="L3019" s="13">
        <f>N3019&amp;O3019&amp;P3019&amp;Q3019&amp;R3019&amp;S3019&amp;T3019&amp;U3019&amp;V3019&amp;W3019&amp;X3019&amp;Y3019&amp;Z3019&amp;AA3019&amp;AB3019&amp;AC3019&amp;AD3019&amp;AE3019&amp;AF3019&amp;AG3019</f>
        <v/>
      </c>
      <c r="N3019" s="10">
        <f>TEXT($B$6,"00")</f>
        <v/>
      </c>
      <c r="O3019" s="10">
        <f>REPT(" ",8)</f>
        <v/>
      </c>
      <c r="P3019" s="10">
        <f>RIGHT($B$4,2)</f>
        <v/>
      </c>
      <c r="Q3019" s="10">
        <f>RIGHT($B$5,3)</f>
        <v/>
      </c>
      <c r="R3019" s="10">
        <f>IF(A3019="D",LEFT(UPPER(B3019)&amp;REPT(" ",20),20),REPT(" ",20))</f>
        <v/>
      </c>
      <c r="S3019" s="10">
        <f>IF(A3019="D",LEFT(UPPER(C3019)&amp;REPT(" ",10),10)," ")</f>
        <v/>
      </c>
      <c r="T3019" s="10">
        <f>IF(A3019="D",LEFT(UPPER(D3019)&amp;REPT(" ",2),2)," ")</f>
        <v/>
      </c>
      <c r="U3019" s="10">
        <f>IF(A3019="D",LEFT(UPPER(E3019)&amp;REPT(" ",15),15)," ")</f>
        <v/>
      </c>
      <c r="V3019" s="10">
        <f>REPT(" ",24)</f>
        <v/>
      </c>
      <c r="W3019" s="10">
        <f>IF(A3019="c",LEFT(UPPER(B3019)&amp;REPT(" ",20),20),REPT(" ",20))</f>
        <v/>
      </c>
      <c r="X3019" s="10">
        <f>IF(A3019="C",LEFT(UPPER(C3019)&amp;REPT(" ",10),10)," ")</f>
        <v/>
      </c>
      <c r="Y3019" s="10">
        <f>IF(A3019="C",LEFT(UPPER(D3019)&amp;REPT(" ",2),2)," ")</f>
        <v/>
      </c>
      <c r="Z3019" s="10">
        <f>IF(A3019="C",LEFT(UPPER(E3019)&amp;REPT(" ",15),15)," ")</f>
        <v/>
      </c>
      <c r="AA3019" s="10">
        <f>REPT(" ",8)</f>
        <v/>
      </c>
      <c r="AB3019" s="10">
        <f>REPT(" ",4)</f>
        <v/>
      </c>
      <c r="AC3019" s="10">
        <f>LEFT(UPPER(H3019)&amp;REPT(" ",250),250)</f>
        <v/>
      </c>
      <c r="AD3019" s="10">
        <f>TEXT($G$2,"dd/mm/aaaa")</f>
        <v/>
      </c>
      <c r="AE3019" s="10">
        <f>REPT(" ",10)</f>
        <v/>
      </c>
      <c r="AF3019" s="10">
        <f>REPT(" ",20)</f>
        <v/>
      </c>
      <c r="AG3019" s="54">
        <f>REPT(" ",18-LEN(FIXED(F3019,2,TRUE)))&amp;FIXED(F3019,2,TRUE)</f>
        <v/>
      </c>
      <c r="AH3019" s="10">
        <f>LEN(AC3019)+LEN(AG3019)</f>
        <v/>
      </c>
      <c r="AI3019" s="10">
        <f>LEN(L3019)</f>
        <v/>
      </c>
    </row>
    <row r="3020">
      <c r="J3020" s="12">
        <f>IF(F3020&lt;&gt;0,"LANÇAR","")</f>
        <v/>
      </c>
      <c r="L3020" s="13">
        <f>N3020&amp;O3020&amp;P3020&amp;Q3020&amp;R3020&amp;S3020&amp;T3020&amp;U3020&amp;V3020&amp;W3020&amp;X3020&amp;Y3020&amp;Z3020&amp;AA3020&amp;AB3020&amp;AC3020&amp;AD3020&amp;AE3020&amp;AF3020&amp;AG3020</f>
        <v/>
      </c>
      <c r="N3020" s="10">
        <f>TEXT($B$6,"00")</f>
        <v/>
      </c>
      <c r="O3020" s="10">
        <f>REPT(" ",8)</f>
        <v/>
      </c>
      <c r="P3020" s="10">
        <f>RIGHT($B$4,2)</f>
        <v/>
      </c>
      <c r="Q3020" s="10">
        <f>RIGHT($B$5,3)</f>
        <v/>
      </c>
      <c r="R3020" s="10">
        <f>IF(A3020="D",LEFT(UPPER(B3020)&amp;REPT(" ",20),20),REPT(" ",20))</f>
        <v/>
      </c>
      <c r="S3020" s="10">
        <f>IF(A3020="D",LEFT(UPPER(C3020)&amp;REPT(" ",10),10)," ")</f>
        <v/>
      </c>
      <c r="T3020" s="10">
        <f>IF(A3020="D",LEFT(UPPER(D3020)&amp;REPT(" ",2),2)," ")</f>
        <v/>
      </c>
      <c r="U3020" s="10">
        <f>IF(A3020="D",LEFT(UPPER(E3020)&amp;REPT(" ",15),15)," ")</f>
        <v/>
      </c>
      <c r="V3020" s="10">
        <f>REPT(" ",24)</f>
        <v/>
      </c>
      <c r="W3020" s="10">
        <f>IF(A3020="c",LEFT(UPPER(B3020)&amp;REPT(" ",20),20),REPT(" ",20))</f>
        <v/>
      </c>
      <c r="X3020" s="10">
        <f>IF(A3020="C",LEFT(UPPER(C3020)&amp;REPT(" ",10),10)," ")</f>
        <v/>
      </c>
      <c r="Y3020" s="10">
        <f>IF(A3020="C",LEFT(UPPER(D3020)&amp;REPT(" ",2),2)," ")</f>
        <v/>
      </c>
      <c r="Z3020" s="10">
        <f>IF(A3020="C",LEFT(UPPER(E3020)&amp;REPT(" ",15),15)," ")</f>
        <v/>
      </c>
      <c r="AA3020" s="10">
        <f>REPT(" ",8)</f>
        <v/>
      </c>
      <c r="AB3020" s="10">
        <f>REPT(" ",4)</f>
        <v/>
      </c>
      <c r="AC3020" s="10">
        <f>LEFT(UPPER(H3020)&amp;REPT(" ",250),250)</f>
        <v/>
      </c>
      <c r="AD3020" s="10">
        <f>TEXT($G$2,"dd/mm/aaaa")</f>
        <v/>
      </c>
      <c r="AE3020" s="10">
        <f>REPT(" ",10)</f>
        <v/>
      </c>
      <c r="AF3020" s="10">
        <f>REPT(" ",20)</f>
        <v/>
      </c>
      <c r="AG3020" s="54">
        <f>REPT(" ",18-LEN(FIXED(F3020,2,TRUE)))&amp;FIXED(F3020,2,TRUE)</f>
        <v/>
      </c>
      <c r="AH3020" s="10">
        <f>LEN(AC3020)+LEN(AG3020)</f>
        <v/>
      </c>
      <c r="AI3020" s="10">
        <f>LEN(L3020)</f>
        <v/>
      </c>
    </row>
    <row r="3021">
      <c r="J3021" s="12">
        <f>IF(F3021&lt;&gt;0,"LANÇAR","")</f>
        <v/>
      </c>
      <c r="L3021" s="13">
        <f>N3021&amp;O3021&amp;P3021&amp;Q3021&amp;R3021&amp;S3021&amp;T3021&amp;U3021&amp;V3021&amp;W3021&amp;X3021&amp;Y3021&amp;Z3021&amp;AA3021&amp;AB3021&amp;AC3021&amp;AD3021&amp;AE3021&amp;AF3021&amp;AG3021</f>
        <v/>
      </c>
      <c r="N3021" s="10">
        <f>TEXT($B$6,"00")</f>
        <v/>
      </c>
      <c r="O3021" s="10">
        <f>REPT(" ",8)</f>
        <v/>
      </c>
      <c r="P3021" s="10">
        <f>RIGHT($B$4,2)</f>
        <v/>
      </c>
      <c r="Q3021" s="10">
        <f>RIGHT($B$5,3)</f>
        <v/>
      </c>
      <c r="R3021" s="10">
        <f>IF(A3021="D",LEFT(UPPER(B3021)&amp;REPT(" ",20),20),REPT(" ",20))</f>
        <v/>
      </c>
      <c r="S3021" s="10">
        <f>IF(A3021="D",LEFT(UPPER(C3021)&amp;REPT(" ",10),10)," ")</f>
        <v/>
      </c>
      <c r="T3021" s="10">
        <f>IF(A3021="D",LEFT(UPPER(D3021)&amp;REPT(" ",2),2)," ")</f>
        <v/>
      </c>
      <c r="U3021" s="10">
        <f>IF(A3021="D",LEFT(UPPER(E3021)&amp;REPT(" ",15),15)," ")</f>
        <v/>
      </c>
      <c r="V3021" s="10">
        <f>REPT(" ",24)</f>
        <v/>
      </c>
      <c r="W3021" s="10">
        <f>IF(A3021="c",LEFT(UPPER(B3021)&amp;REPT(" ",20),20),REPT(" ",20))</f>
        <v/>
      </c>
      <c r="X3021" s="10">
        <f>IF(A3021="C",LEFT(UPPER(C3021)&amp;REPT(" ",10),10)," ")</f>
        <v/>
      </c>
      <c r="Y3021" s="10">
        <f>IF(A3021="C",LEFT(UPPER(D3021)&amp;REPT(" ",2),2)," ")</f>
        <v/>
      </c>
      <c r="Z3021" s="10">
        <f>IF(A3021="C",LEFT(UPPER(E3021)&amp;REPT(" ",15),15)," ")</f>
        <v/>
      </c>
      <c r="AA3021" s="10">
        <f>REPT(" ",8)</f>
        <v/>
      </c>
      <c r="AB3021" s="10">
        <f>REPT(" ",4)</f>
        <v/>
      </c>
      <c r="AC3021" s="10">
        <f>LEFT(UPPER(H3021)&amp;REPT(" ",250),250)</f>
        <v/>
      </c>
      <c r="AD3021" s="10">
        <f>TEXT($G$2,"dd/mm/aaaa")</f>
        <v/>
      </c>
      <c r="AE3021" s="10">
        <f>REPT(" ",10)</f>
        <v/>
      </c>
      <c r="AF3021" s="10">
        <f>REPT(" ",20)</f>
        <v/>
      </c>
      <c r="AG3021" s="54">
        <f>REPT(" ",18-LEN(FIXED(F3021,2,TRUE)))&amp;FIXED(F3021,2,TRUE)</f>
        <v/>
      </c>
      <c r="AH3021" s="10">
        <f>LEN(AC3021)+LEN(AG3021)</f>
        <v/>
      </c>
      <c r="AI3021" s="10">
        <f>LEN(L3021)</f>
        <v/>
      </c>
    </row>
    <row r="3022">
      <c r="J3022" s="12">
        <f>IF(F3022&lt;&gt;0,"LANÇAR","")</f>
        <v/>
      </c>
      <c r="L3022" s="13">
        <f>N3022&amp;O3022&amp;P3022&amp;Q3022&amp;R3022&amp;S3022&amp;T3022&amp;U3022&amp;V3022&amp;W3022&amp;X3022&amp;Y3022&amp;Z3022&amp;AA3022&amp;AB3022&amp;AC3022&amp;AD3022&amp;AE3022&amp;AF3022&amp;AG3022</f>
        <v/>
      </c>
      <c r="N3022" s="10">
        <f>TEXT($B$6,"00")</f>
        <v/>
      </c>
      <c r="O3022" s="10">
        <f>REPT(" ",8)</f>
        <v/>
      </c>
      <c r="P3022" s="10">
        <f>RIGHT($B$4,2)</f>
        <v/>
      </c>
      <c r="Q3022" s="10">
        <f>RIGHT($B$5,3)</f>
        <v/>
      </c>
      <c r="R3022" s="10">
        <f>IF(A3022="D",LEFT(UPPER(B3022)&amp;REPT(" ",20),20),REPT(" ",20))</f>
        <v/>
      </c>
      <c r="S3022" s="10">
        <f>IF(A3022="D",LEFT(UPPER(C3022)&amp;REPT(" ",10),10)," ")</f>
        <v/>
      </c>
      <c r="T3022" s="10">
        <f>IF(A3022="D",LEFT(UPPER(D3022)&amp;REPT(" ",2),2)," ")</f>
        <v/>
      </c>
      <c r="U3022" s="10">
        <f>IF(A3022="D",LEFT(UPPER(E3022)&amp;REPT(" ",15),15)," ")</f>
        <v/>
      </c>
      <c r="V3022" s="10">
        <f>REPT(" ",24)</f>
        <v/>
      </c>
      <c r="W3022" s="10">
        <f>IF(A3022="c",LEFT(UPPER(B3022)&amp;REPT(" ",20),20),REPT(" ",20))</f>
        <v/>
      </c>
      <c r="X3022" s="10">
        <f>IF(A3022="C",LEFT(UPPER(C3022)&amp;REPT(" ",10),10)," ")</f>
        <v/>
      </c>
      <c r="Y3022" s="10">
        <f>IF(A3022="C",LEFT(UPPER(D3022)&amp;REPT(" ",2),2)," ")</f>
        <v/>
      </c>
      <c r="Z3022" s="10">
        <f>IF(A3022="C",LEFT(UPPER(E3022)&amp;REPT(" ",15),15)," ")</f>
        <v/>
      </c>
      <c r="AA3022" s="10">
        <f>REPT(" ",8)</f>
        <v/>
      </c>
      <c r="AB3022" s="10">
        <f>REPT(" ",4)</f>
        <v/>
      </c>
      <c r="AC3022" s="10">
        <f>LEFT(UPPER(H3022)&amp;REPT(" ",250),250)</f>
        <v/>
      </c>
      <c r="AD3022" s="10">
        <f>TEXT($G$2,"dd/mm/aaaa")</f>
        <v/>
      </c>
      <c r="AE3022" s="10">
        <f>REPT(" ",10)</f>
        <v/>
      </c>
      <c r="AF3022" s="10">
        <f>REPT(" ",20)</f>
        <v/>
      </c>
      <c r="AG3022" s="54">
        <f>REPT(" ",18-LEN(FIXED(F3022,2,TRUE)))&amp;FIXED(F3022,2,TRUE)</f>
        <v/>
      </c>
      <c r="AH3022" s="10">
        <f>LEN(AC3022)+LEN(AG3022)</f>
        <v/>
      </c>
      <c r="AI3022" s="10">
        <f>LEN(L3022)</f>
        <v/>
      </c>
    </row>
    <row r="3023">
      <c r="J3023" s="12">
        <f>IF(F3023&lt;&gt;0,"LANÇAR","")</f>
        <v/>
      </c>
      <c r="L3023" s="13">
        <f>N3023&amp;O3023&amp;P3023&amp;Q3023&amp;R3023&amp;S3023&amp;T3023&amp;U3023&amp;V3023&amp;W3023&amp;X3023&amp;Y3023&amp;Z3023&amp;AA3023&amp;AB3023&amp;AC3023&amp;AD3023&amp;AE3023&amp;AF3023&amp;AG3023</f>
        <v/>
      </c>
      <c r="N3023" s="10">
        <f>TEXT($B$6,"00")</f>
        <v/>
      </c>
      <c r="O3023" s="10">
        <f>REPT(" ",8)</f>
        <v/>
      </c>
      <c r="P3023" s="10">
        <f>RIGHT($B$4,2)</f>
        <v/>
      </c>
      <c r="Q3023" s="10">
        <f>RIGHT($B$5,3)</f>
        <v/>
      </c>
      <c r="R3023" s="10">
        <f>IF(A3023="D",LEFT(UPPER(B3023)&amp;REPT(" ",20),20),REPT(" ",20))</f>
        <v/>
      </c>
      <c r="S3023" s="10">
        <f>IF(A3023="D",LEFT(UPPER(C3023)&amp;REPT(" ",10),10)," ")</f>
        <v/>
      </c>
      <c r="T3023" s="10">
        <f>IF(A3023="D",LEFT(UPPER(D3023)&amp;REPT(" ",2),2)," ")</f>
        <v/>
      </c>
      <c r="U3023" s="10">
        <f>IF(A3023="D",LEFT(UPPER(E3023)&amp;REPT(" ",15),15)," ")</f>
        <v/>
      </c>
      <c r="V3023" s="10">
        <f>REPT(" ",24)</f>
        <v/>
      </c>
      <c r="W3023" s="10">
        <f>IF(A3023="c",LEFT(UPPER(B3023)&amp;REPT(" ",20),20),REPT(" ",20))</f>
        <v/>
      </c>
      <c r="X3023" s="10">
        <f>IF(A3023="C",LEFT(UPPER(C3023)&amp;REPT(" ",10),10)," ")</f>
        <v/>
      </c>
      <c r="Y3023" s="10">
        <f>IF(A3023="C",LEFT(UPPER(D3023)&amp;REPT(" ",2),2)," ")</f>
        <v/>
      </c>
      <c r="Z3023" s="10">
        <f>IF(A3023="C",LEFT(UPPER(E3023)&amp;REPT(" ",15),15)," ")</f>
        <v/>
      </c>
      <c r="AA3023" s="10">
        <f>REPT(" ",8)</f>
        <v/>
      </c>
      <c r="AB3023" s="10">
        <f>REPT(" ",4)</f>
        <v/>
      </c>
      <c r="AC3023" s="10">
        <f>LEFT(UPPER(H3023)&amp;REPT(" ",250),250)</f>
        <v/>
      </c>
      <c r="AD3023" s="10">
        <f>TEXT($G$2,"dd/mm/aaaa")</f>
        <v/>
      </c>
      <c r="AE3023" s="10">
        <f>REPT(" ",10)</f>
        <v/>
      </c>
      <c r="AF3023" s="10">
        <f>REPT(" ",20)</f>
        <v/>
      </c>
      <c r="AG3023" s="54">
        <f>REPT(" ",18-LEN(FIXED(F3023,2,TRUE)))&amp;FIXED(F3023,2,TRUE)</f>
        <v/>
      </c>
      <c r="AH3023" s="10">
        <f>LEN(AC3023)+LEN(AG3023)</f>
        <v/>
      </c>
      <c r="AI3023" s="10">
        <f>LEN(L3023)</f>
        <v/>
      </c>
    </row>
    <row r="3024">
      <c r="J3024" s="12">
        <f>IF(F3024&lt;&gt;0,"LANÇAR","")</f>
        <v/>
      </c>
      <c r="L3024" s="13">
        <f>N3024&amp;O3024&amp;P3024&amp;Q3024&amp;R3024&amp;S3024&amp;T3024&amp;U3024&amp;V3024&amp;W3024&amp;X3024&amp;Y3024&amp;Z3024&amp;AA3024&amp;AB3024&amp;AC3024&amp;AD3024&amp;AE3024&amp;AF3024&amp;AG3024</f>
        <v/>
      </c>
      <c r="N3024" s="10">
        <f>TEXT($B$6,"00")</f>
        <v/>
      </c>
      <c r="O3024" s="10">
        <f>REPT(" ",8)</f>
        <v/>
      </c>
      <c r="P3024" s="10">
        <f>RIGHT($B$4,2)</f>
        <v/>
      </c>
      <c r="Q3024" s="10">
        <f>RIGHT($B$5,3)</f>
        <v/>
      </c>
      <c r="R3024" s="10">
        <f>IF(A3024="D",LEFT(UPPER(B3024)&amp;REPT(" ",20),20),REPT(" ",20))</f>
        <v/>
      </c>
      <c r="S3024" s="10">
        <f>IF(A3024="D",LEFT(UPPER(C3024)&amp;REPT(" ",10),10)," ")</f>
        <v/>
      </c>
      <c r="T3024" s="10">
        <f>IF(A3024="D",LEFT(UPPER(D3024)&amp;REPT(" ",2),2)," ")</f>
        <v/>
      </c>
      <c r="U3024" s="10">
        <f>IF(A3024="D",LEFT(UPPER(E3024)&amp;REPT(" ",15),15)," ")</f>
        <v/>
      </c>
      <c r="V3024" s="10">
        <f>REPT(" ",24)</f>
        <v/>
      </c>
      <c r="W3024" s="10">
        <f>IF(A3024="c",LEFT(UPPER(B3024)&amp;REPT(" ",20),20),REPT(" ",20))</f>
        <v/>
      </c>
      <c r="X3024" s="10">
        <f>IF(A3024="C",LEFT(UPPER(C3024)&amp;REPT(" ",10),10)," ")</f>
        <v/>
      </c>
      <c r="Y3024" s="10">
        <f>IF(A3024="C",LEFT(UPPER(D3024)&amp;REPT(" ",2),2)," ")</f>
        <v/>
      </c>
      <c r="Z3024" s="10">
        <f>IF(A3024="C",LEFT(UPPER(E3024)&amp;REPT(" ",15),15)," ")</f>
        <v/>
      </c>
      <c r="AA3024" s="10">
        <f>REPT(" ",8)</f>
        <v/>
      </c>
      <c r="AB3024" s="10">
        <f>REPT(" ",4)</f>
        <v/>
      </c>
      <c r="AC3024" s="10">
        <f>LEFT(UPPER(H3024)&amp;REPT(" ",250),250)</f>
        <v/>
      </c>
      <c r="AD3024" s="10">
        <f>TEXT($G$2,"dd/mm/aaaa")</f>
        <v/>
      </c>
      <c r="AE3024" s="10">
        <f>REPT(" ",10)</f>
        <v/>
      </c>
      <c r="AF3024" s="10">
        <f>REPT(" ",20)</f>
        <v/>
      </c>
      <c r="AG3024" s="54">
        <f>REPT(" ",18-LEN(FIXED(F3024,2,TRUE)))&amp;FIXED(F3024,2,TRUE)</f>
        <v/>
      </c>
      <c r="AH3024" s="10">
        <f>LEN(AC3024)+LEN(AG3024)</f>
        <v/>
      </c>
      <c r="AI3024" s="10">
        <f>LEN(L3024)</f>
        <v/>
      </c>
    </row>
    <row r="3025">
      <c r="J3025" s="12">
        <f>IF(F3025&lt;&gt;0,"LANÇAR","")</f>
        <v/>
      </c>
      <c r="L3025" s="13">
        <f>N3025&amp;O3025&amp;P3025&amp;Q3025&amp;R3025&amp;S3025&amp;T3025&amp;U3025&amp;V3025&amp;W3025&amp;X3025&amp;Y3025&amp;Z3025&amp;AA3025&amp;AB3025&amp;AC3025&amp;AD3025&amp;AE3025&amp;AF3025&amp;AG3025</f>
        <v/>
      </c>
      <c r="N3025" s="10">
        <f>TEXT($B$6,"00")</f>
        <v/>
      </c>
      <c r="O3025" s="10">
        <f>REPT(" ",8)</f>
        <v/>
      </c>
      <c r="P3025" s="10">
        <f>RIGHT($B$4,2)</f>
        <v/>
      </c>
      <c r="Q3025" s="10">
        <f>RIGHT($B$5,3)</f>
        <v/>
      </c>
      <c r="R3025" s="10">
        <f>IF(A3025="D",LEFT(UPPER(B3025)&amp;REPT(" ",20),20),REPT(" ",20))</f>
        <v/>
      </c>
      <c r="S3025" s="10">
        <f>IF(A3025="D",LEFT(UPPER(C3025)&amp;REPT(" ",10),10)," ")</f>
        <v/>
      </c>
      <c r="T3025" s="10">
        <f>IF(A3025="D",LEFT(UPPER(D3025)&amp;REPT(" ",2),2)," ")</f>
        <v/>
      </c>
      <c r="U3025" s="10">
        <f>IF(A3025="D",LEFT(UPPER(E3025)&amp;REPT(" ",15),15)," ")</f>
        <v/>
      </c>
      <c r="V3025" s="10">
        <f>REPT(" ",24)</f>
        <v/>
      </c>
      <c r="W3025" s="10">
        <f>IF(A3025="c",LEFT(UPPER(B3025)&amp;REPT(" ",20),20),REPT(" ",20))</f>
        <v/>
      </c>
      <c r="X3025" s="10">
        <f>IF(A3025="C",LEFT(UPPER(C3025)&amp;REPT(" ",10),10)," ")</f>
        <v/>
      </c>
      <c r="Y3025" s="10">
        <f>IF(A3025="C",LEFT(UPPER(D3025)&amp;REPT(" ",2),2)," ")</f>
        <v/>
      </c>
      <c r="Z3025" s="10">
        <f>IF(A3025="C",LEFT(UPPER(E3025)&amp;REPT(" ",15),15)," ")</f>
        <v/>
      </c>
      <c r="AA3025" s="10">
        <f>REPT(" ",8)</f>
        <v/>
      </c>
      <c r="AB3025" s="10">
        <f>REPT(" ",4)</f>
        <v/>
      </c>
      <c r="AC3025" s="10">
        <f>LEFT(UPPER(H3025)&amp;REPT(" ",250),250)</f>
        <v/>
      </c>
      <c r="AD3025" s="10">
        <f>TEXT($G$2,"dd/mm/aaaa")</f>
        <v/>
      </c>
      <c r="AE3025" s="10">
        <f>REPT(" ",10)</f>
        <v/>
      </c>
      <c r="AF3025" s="10">
        <f>REPT(" ",20)</f>
        <v/>
      </c>
      <c r="AG3025" s="54">
        <f>REPT(" ",18-LEN(FIXED(F3025,2,TRUE)))&amp;FIXED(F3025,2,TRUE)</f>
        <v/>
      </c>
      <c r="AH3025" s="10">
        <f>LEN(AC3025)+LEN(AG3025)</f>
        <v/>
      </c>
      <c r="AI3025" s="10">
        <f>LEN(L3025)</f>
        <v/>
      </c>
    </row>
    <row r="3026">
      <c r="J3026" s="12">
        <f>IF(F3026&lt;&gt;0,"LANÇAR","")</f>
        <v/>
      </c>
      <c r="L3026" s="13">
        <f>N3026&amp;O3026&amp;P3026&amp;Q3026&amp;R3026&amp;S3026&amp;T3026&amp;U3026&amp;V3026&amp;W3026&amp;X3026&amp;Y3026&amp;Z3026&amp;AA3026&amp;AB3026&amp;AC3026&amp;AD3026&amp;AE3026&amp;AF3026&amp;AG3026</f>
        <v/>
      </c>
      <c r="N3026" s="10">
        <f>TEXT($B$6,"00")</f>
        <v/>
      </c>
      <c r="O3026" s="10">
        <f>REPT(" ",8)</f>
        <v/>
      </c>
      <c r="P3026" s="10">
        <f>RIGHT($B$4,2)</f>
        <v/>
      </c>
      <c r="Q3026" s="10">
        <f>RIGHT($B$5,3)</f>
        <v/>
      </c>
      <c r="R3026" s="10">
        <f>IF(A3026="D",LEFT(UPPER(B3026)&amp;REPT(" ",20),20),REPT(" ",20))</f>
        <v/>
      </c>
      <c r="S3026" s="10">
        <f>IF(A3026="D",LEFT(UPPER(C3026)&amp;REPT(" ",10),10)," ")</f>
        <v/>
      </c>
      <c r="T3026" s="10">
        <f>IF(A3026="D",LEFT(UPPER(D3026)&amp;REPT(" ",2),2)," ")</f>
        <v/>
      </c>
      <c r="U3026" s="10">
        <f>IF(A3026="D",LEFT(UPPER(E3026)&amp;REPT(" ",15),15)," ")</f>
        <v/>
      </c>
      <c r="V3026" s="10">
        <f>REPT(" ",24)</f>
        <v/>
      </c>
      <c r="W3026" s="10">
        <f>IF(A3026="c",LEFT(UPPER(B3026)&amp;REPT(" ",20),20),REPT(" ",20))</f>
        <v/>
      </c>
      <c r="X3026" s="10">
        <f>IF(A3026="C",LEFT(UPPER(C3026)&amp;REPT(" ",10),10)," ")</f>
        <v/>
      </c>
      <c r="Y3026" s="10">
        <f>IF(A3026="C",LEFT(UPPER(D3026)&amp;REPT(" ",2),2)," ")</f>
        <v/>
      </c>
      <c r="Z3026" s="10">
        <f>IF(A3026="C",LEFT(UPPER(E3026)&amp;REPT(" ",15),15)," ")</f>
        <v/>
      </c>
      <c r="AA3026" s="10">
        <f>REPT(" ",8)</f>
        <v/>
      </c>
      <c r="AB3026" s="10">
        <f>REPT(" ",4)</f>
        <v/>
      </c>
      <c r="AC3026" s="10">
        <f>LEFT(UPPER(H3026)&amp;REPT(" ",250),250)</f>
        <v/>
      </c>
      <c r="AD3026" s="10">
        <f>TEXT($G$2,"dd/mm/aaaa")</f>
        <v/>
      </c>
      <c r="AE3026" s="10">
        <f>REPT(" ",10)</f>
        <v/>
      </c>
      <c r="AF3026" s="10">
        <f>REPT(" ",20)</f>
        <v/>
      </c>
      <c r="AG3026" s="54">
        <f>REPT(" ",18-LEN(FIXED(F3026,2,TRUE)))&amp;FIXED(F3026,2,TRUE)</f>
        <v/>
      </c>
      <c r="AH3026" s="10">
        <f>LEN(AC3026)+LEN(AG3026)</f>
        <v/>
      </c>
      <c r="AI3026" s="10">
        <f>LEN(L3026)</f>
        <v/>
      </c>
    </row>
    <row r="3027">
      <c r="J3027" s="12">
        <f>IF(F3027&lt;&gt;0,"LANÇAR","")</f>
        <v/>
      </c>
      <c r="L3027" s="13">
        <f>N3027&amp;O3027&amp;P3027&amp;Q3027&amp;R3027&amp;S3027&amp;T3027&amp;U3027&amp;V3027&amp;W3027&amp;X3027&amp;Y3027&amp;Z3027&amp;AA3027&amp;AB3027&amp;AC3027&amp;AD3027&amp;AE3027&amp;AF3027&amp;AG3027</f>
        <v/>
      </c>
      <c r="N3027" s="10">
        <f>TEXT($B$6,"00")</f>
        <v/>
      </c>
      <c r="O3027" s="10">
        <f>REPT(" ",8)</f>
        <v/>
      </c>
      <c r="P3027" s="10">
        <f>RIGHT($B$4,2)</f>
        <v/>
      </c>
      <c r="Q3027" s="10">
        <f>RIGHT($B$5,3)</f>
        <v/>
      </c>
      <c r="R3027" s="10">
        <f>IF(A3027="D",LEFT(UPPER(B3027)&amp;REPT(" ",20),20),REPT(" ",20))</f>
        <v/>
      </c>
      <c r="S3027" s="10">
        <f>IF(A3027="D",LEFT(UPPER(C3027)&amp;REPT(" ",10),10)," ")</f>
        <v/>
      </c>
      <c r="T3027" s="10">
        <f>IF(A3027="D",LEFT(UPPER(D3027)&amp;REPT(" ",2),2)," ")</f>
        <v/>
      </c>
      <c r="U3027" s="10">
        <f>IF(A3027="D",LEFT(UPPER(E3027)&amp;REPT(" ",15),15)," ")</f>
        <v/>
      </c>
      <c r="V3027" s="10">
        <f>REPT(" ",24)</f>
        <v/>
      </c>
      <c r="W3027" s="10">
        <f>IF(A3027="c",LEFT(UPPER(B3027)&amp;REPT(" ",20),20),REPT(" ",20))</f>
        <v/>
      </c>
      <c r="X3027" s="10">
        <f>IF(A3027="C",LEFT(UPPER(C3027)&amp;REPT(" ",10),10)," ")</f>
        <v/>
      </c>
      <c r="Y3027" s="10">
        <f>IF(A3027="C",LEFT(UPPER(D3027)&amp;REPT(" ",2),2)," ")</f>
        <v/>
      </c>
      <c r="Z3027" s="10">
        <f>IF(A3027="C",LEFT(UPPER(E3027)&amp;REPT(" ",15),15)," ")</f>
        <v/>
      </c>
      <c r="AA3027" s="10">
        <f>REPT(" ",8)</f>
        <v/>
      </c>
      <c r="AB3027" s="10">
        <f>REPT(" ",4)</f>
        <v/>
      </c>
      <c r="AC3027" s="10">
        <f>LEFT(UPPER(H3027)&amp;REPT(" ",250),250)</f>
        <v/>
      </c>
      <c r="AD3027" s="10">
        <f>TEXT($G$2,"dd/mm/aaaa")</f>
        <v/>
      </c>
      <c r="AE3027" s="10">
        <f>REPT(" ",10)</f>
        <v/>
      </c>
      <c r="AF3027" s="10">
        <f>REPT(" ",20)</f>
        <v/>
      </c>
      <c r="AG3027" s="54">
        <f>REPT(" ",18-LEN(FIXED(F3027,2,TRUE)))&amp;FIXED(F3027,2,TRUE)</f>
        <v/>
      </c>
      <c r="AH3027" s="10">
        <f>LEN(AC3027)+LEN(AG3027)</f>
        <v/>
      </c>
      <c r="AI3027" s="10">
        <f>LEN(L3027)</f>
        <v/>
      </c>
    </row>
    <row r="3028">
      <c r="J3028" s="12">
        <f>IF(F3028&lt;&gt;0,"LANÇAR","")</f>
        <v/>
      </c>
      <c r="L3028" s="13">
        <f>N3028&amp;O3028&amp;P3028&amp;Q3028&amp;R3028&amp;S3028&amp;T3028&amp;U3028&amp;V3028&amp;W3028&amp;X3028&amp;Y3028&amp;Z3028&amp;AA3028&amp;AB3028&amp;AC3028&amp;AD3028&amp;AE3028&amp;AF3028&amp;AG3028</f>
        <v/>
      </c>
      <c r="N3028" s="10">
        <f>TEXT($B$6,"00")</f>
        <v/>
      </c>
      <c r="O3028" s="10">
        <f>REPT(" ",8)</f>
        <v/>
      </c>
      <c r="P3028" s="10">
        <f>RIGHT($B$4,2)</f>
        <v/>
      </c>
      <c r="Q3028" s="10">
        <f>RIGHT($B$5,3)</f>
        <v/>
      </c>
      <c r="R3028" s="10">
        <f>IF(A3028="D",LEFT(UPPER(B3028)&amp;REPT(" ",20),20),REPT(" ",20))</f>
        <v/>
      </c>
      <c r="S3028" s="10">
        <f>IF(A3028="D",LEFT(UPPER(C3028)&amp;REPT(" ",10),10)," ")</f>
        <v/>
      </c>
      <c r="T3028" s="10">
        <f>IF(A3028="D",LEFT(UPPER(D3028)&amp;REPT(" ",2),2)," ")</f>
        <v/>
      </c>
      <c r="U3028" s="10">
        <f>IF(A3028="D",LEFT(UPPER(E3028)&amp;REPT(" ",15),15)," ")</f>
        <v/>
      </c>
      <c r="V3028" s="10">
        <f>REPT(" ",24)</f>
        <v/>
      </c>
      <c r="W3028" s="10">
        <f>IF(A3028="c",LEFT(UPPER(B3028)&amp;REPT(" ",20),20),REPT(" ",20))</f>
        <v/>
      </c>
      <c r="X3028" s="10">
        <f>IF(A3028="C",LEFT(UPPER(C3028)&amp;REPT(" ",10),10)," ")</f>
        <v/>
      </c>
      <c r="Y3028" s="10">
        <f>IF(A3028="C",LEFT(UPPER(D3028)&amp;REPT(" ",2),2)," ")</f>
        <v/>
      </c>
      <c r="Z3028" s="10">
        <f>IF(A3028="C",LEFT(UPPER(E3028)&amp;REPT(" ",15),15)," ")</f>
        <v/>
      </c>
      <c r="AA3028" s="10">
        <f>REPT(" ",8)</f>
        <v/>
      </c>
      <c r="AB3028" s="10">
        <f>REPT(" ",4)</f>
        <v/>
      </c>
      <c r="AC3028" s="10">
        <f>LEFT(UPPER(H3028)&amp;REPT(" ",250),250)</f>
        <v/>
      </c>
      <c r="AD3028" s="10">
        <f>TEXT($G$2,"dd/mm/aaaa")</f>
        <v/>
      </c>
      <c r="AE3028" s="10">
        <f>REPT(" ",10)</f>
        <v/>
      </c>
      <c r="AF3028" s="10">
        <f>REPT(" ",20)</f>
        <v/>
      </c>
      <c r="AG3028" s="54">
        <f>REPT(" ",18-LEN(FIXED(F3028,2,TRUE)))&amp;FIXED(F3028,2,TRUE)</f>
        <v/>
      </c>
      <c r="AH3028" s="10">
        <f>LEN(AC3028)+LEN(AG3028)</f>
        <v/>
      </c>
      <c r="AI3028" s="10">
        <f>LEN(L3028)</f>
        <v/>
      </c>
    </row>
    <row r="3029">
      <c r="J3029" s="12">
        <f>IF(F3029&lt;&gt;0,"LANÇAR","")</f>
        <v/>
      </c>
      <c r="L3029" s="13">
        <f>N3029&amp;O3029&amp;P3029&amp;Q3029&amp;R3029&amp;S3029&amp;T3029&amp;U3029&amp;V3029&amp;W3029&amp;X3029&amp;Y3029&amp;Z3029&amp;AA3029&amp;AB3029&amp;AC3029&amp;AD3029&amp;AE3029&amp;AF3029&amp;AG3029</f>
        <v/>
      </c>
      <c r="N3029" s="10">
        <f>TEXT($B$6,"00")</f>
        <v/>
      </c>
      <c r="O3029" s="10">
        <f>REPT(" ",8)</f>
        <v/>
      </c>
      <c r="P3029" s="10">
        <f>RIGHT($B$4,2)</f>
        <v/>
      </c>
      <c r="Q3029" s="10">
        <f>RIGHT($B$5,3)</f>
        <v/>
      </c>
      <c r="R3029" s="10">
        <f>IF(A3029="D",LEFT(UPPER(B3029)&amp;REPT(" ",20),20),REPT(" ",20))</f>
        <v/>
      </c>
      <c r="S3029" s="10">
        <f>IF(A3029="D",LEFT(UPPER(C3029)&amp;REPT(" ",10),10)," ")</f>
        <v/>
      </c>
      <c r="T3029" s="10">
        <f>IF(A3029="D",LEFT(UPPER(D3029)&amp;REPT(" ",2),2)," ")</f>
        <v/>
      </c>
      <c r="U3029" s="10">
        <f>IF(A3029="D",LEFT(UPPER(E3029)&amp;REPT(" ",15),15)," ")</f>
        <v/>
      </c>
      <c r="V3029" s="10">
        <f>REPT(" ",24)</f>
        <v/>
      </c>
      <c r="W3029" s="10">
        <f>IF(A3029="c",LEFT(UPPER(B3029)&amp;REPT(" ",20),20),REPT(" ",20))</f>
        <v/>
      </c>
      <c r="X3029" s="10">
        <f>IF(A3029="C",LEFT(UPPER(C3029)&amp;REPT(" ",10),10)," ")</f>
        <v/>
      </c>
      <c r="Y3029" s="10">
        <f>IF(A3029="C",LEFT(UPPER(D3029)&amp;REPT(" ",2),2)," ")</f>
        <v/>
      </c>
      <c r="Z3029" s="10">
        <f>IF(A3029="C",LEFT(UPPER(E3029)&amp;REPT(" ",15),15)," ")</f>
        <v/>
      </c>
      <c r="AA3029" s="10">
        <f>REPT(" ",8)</f>
        <v/>
      </c>
      <c r="AB3029" s="10">
        <f>REPT(" ",4)</f>
        <v/>
      </c>
      <c r="AC3029" s="10">
        <f>LEFT(UPPER(H3029)&amp;REPT(" ",250),250)</f>
        <v/>
      </c>
      <c r="AD3029" s="10">
        <f>TEXT($G$2,"dd/mm/aaaa")</f>
        <v/>
      </c>
      <c r="AE3029" s="10">
        <f>REPT(" ",10)</f>
        <v/>
      </c>
      <c r="AF3029" s="10">
        <f>REPT(" ",20)</f>
        <v/>
      </c>
      <c r="AG3029" s="54">
        <f>REPT(" ",18-LEN(FIXED(F3029,2,TRUE)))&amp;FIXED(F3029,2,TRUE)</f>
        <v/>
      </c>
      <c r="AH3029" s="10">
        <f>LEN(AC3029)+LEN(AG3029)</f>
        <v/>
      </c>
      <c r="AI3029" s="10">
        <f>LEN(L3029)</f>
        <v/>
      </c>
    </row>
    <row r="3030">
      <c r="J3030" s="12">
        <f>IF(F3030&lt;&gt;0,"LANÇAR","")</f>
        <v/>
      </c>
      <c r="L3030" s="13">
        <f>N3030&amp;O3030&amp;P3030&amp;Q3030&amp;R3030&amp;S3030&amp;T3030&amp;U3030&amp;V3030&amp;W3030&amp;X3030&amp;Y3030&amp;Z3030&amp;AA3030&amp;AB3030&amp;AC3030&amp;AD3030&amp;AE3030&amp;AF3030&amp;AG3030</f>
        <v/>
      </c>
      <c r="N3030" s="10">
        <f>TEXT($B$6,"00")</f>
        <v/>
      </c>
      <c r="O3030" s="10">
        <f>REPT(" ",8)</f>
        <v/>
      </c>
      <c r="P3030" s="10">
        <f>RIGHT($B$4,2)</f>
        <v/>
      </c>
      <c r="Q3030" s="10">
        <f>RIGHT($B$5,3)</f>
        <v/>
      </c>
      <c r="R3030" s="10">
        <f>IF(A3030="D",LEFT(UPPER(B3030)&amp;REPT(" ",20),20),REPT(" ",20))</f>
        <v/>
      </c>
      <c r="S3030" s="10">
        <f>IF(A3030="D",LEFT(UPPER(C3030)&amp;REPT(" ",10),10)," ")</f>
        <v/>
      </c>
      <c r="T3030" s="10">
        <f>IF(A3030="D",LEFT(UPPER(D3030)&amp;REPT(" ",2),2)," ")</f>
        <v/>
      </c>
      <c r="U3030" s="10">
        <f>IF(A3030="D",LEFT(UPPER(E3030)&amp;REPT(" ",15),15)," ")</f>
        <v/>
      </c>
      <c r="V3030" s="10">
        <f>REPT(" ",24)</f>
        <v/>
      </c>
      <c r="W3030" s="10">
        <f>IF(A3030="c",LEFT(UPPER(B3030)&amp;REPT(" ",20),20),REPT(" ",20))</f>
        <v/>
      </c>
      <c r="X3030" s="10">
        <f>IF(A3030="C",LEFT(UPPER(C3030)&amp;REPT(" ",10),10)," ")</f>
        <v/>
      </c>
      <c r="Y3030" s="10">
        <f>IF(A3030="C",LEFT(UPPER(D3030)&amp;REPT(" ",2),2)," ")</f>
        <v/>
      </c>
      <c r="Z3030" s="10">
        <f>IF(A3030="C",LEFT(UPPER(E3030)&amp;REPT(" ",15),15)," ")</f>
        <v/>
      </c>
      <c r="AA3030" s="10">
        <f>REPT(" ",8)</f>
        <v/>
      </c>
      <c r="AB3030" s="10">
        <f>REPT(" ",4)</f>
        <v/>
      </c>
      <c r="AC3030" s="10">
        <f>LEFT(UPPER(H3030)&amp;REPT(" ",250),250)</f>
        <v/>
      </c>
      <c r="AD3030" s="10">
        <f>TEXT($G$2,"dd/mm/aaaa")</f>
        <v/>
      </c>
      <c r="AE3030" s="10">
        <f>REPT(" ",10)</f>
        <v/>
      </c>
      <c r="AF3030" s="10">
        <f>REPT(" ",20)</f>
        <v/>
      </c>
      <c r="AG3030" s="54">
        <f>REPT(" ",18-LEN(FIXED(F3030,2,TRUE)))&amp;FIXED(F3030,2,TRUE)</f>
        <v/>
      </c>
      <c r="AH3030" s="10">
        <f>LEN(AC3030)+LEN(AG3030)</f>
        <v/>
      </c>
      <c r="AI3030" s="10">
        <f>LEN(L3030)</f>
        <v/>
      </c>
    </row>
    <row r="3031">
      <c r="J3031" s="12">
        <f>IF(F3031&lt;&gt;0,"LANÇAR","")</f>
        <v/>
      </c>
      <c r="L3031" s="13">
        <f>N3031&amp;O3031&amp;P3031&amp;Q3031&amp;R3031&amp;S3031&amp;T3031&amp;U3031&amp;V3031&amp;W3031&amp;X3031&amp;Y3031&amp;Z3031&amp;AA3031&amp;AB3031&amp;AC3031&amp;AD3031&amp;AE3031&amp;AF3031&amp;AG3031</f>
        <v/>
      </c>
      <c r="N3031" s="10">
        <f>TEXT($B$6,"00")</f>
        <v/>
      </c>
      <c r="O3031" s="10">
        <f>REPT(" ",8)</f>
        <v/>
      </c>
      <c r="P3031" s="10">
        <f>RIGHT($B$4,2)</f>
        <v/>
      </c>
      <c r="Q3031" s="10">
        <f>RIGHT($B$5,3)</f>
        <v/>
      </c>
      <c r="R3031" s="10">
        <f>IF(A3031="D",LEFT(UPPER(B3031)&amp;REPT(" ",20),20),REPT(" ",20))</f>
        <v/>
      </c>
      <c r="S3031" s="10">
        <f>IF(A3031="D",LEFT(UPPER(C3031)&amp;REPT(" ",10),10)," ")</f>
        <v/>
      </c>
      <c r="T3031" s="10">
        <f>IF(A3031="D",LEFT(UPPER(D3031)&amp;REPT(" ",2),2)," ")</f>
        <v/>
      </c>
      <c r="U3031" s="10">
        <f>IF(A3031="D",LEFT(UPPER(E3031)&amp;REPT(" ",15),15)," ")</f>
        <v/>
      </c>
      <c r="V3031" s="10">
        <f>REPT(" ",24)</f>
        <v/>
      </c>
      <c r="W3031" s="10">
        <f>IF(A3031="c",LEFT(UPPER(B3031)&amp;REPT(" ",20),20),REPT(" ",20))</f>
        <v/>
      </c>
      <c r="X3031" s="10">
        <f>IF(A3031="C",LEFT(UPPER(C3031)&amp;REPT(" ",10),10)," ")</f>
        <v/>
      </c>
      <c r="Y3031" s="10">
        <f>IF(A3031="C",LEFT(UPPER(D3031)&amp;REPT(" ",2),2)," ")</f>
        <v/>
      </c>
      <c r="Z3031" s="10">
        <f>IF(A3031="C",LEFT(UPPER(E3031)&amp;REPT(" ",15),15)," ")</f>
        <v/>
      </c>
      <c r="AA3031" s="10">
        <f>REPT(" ",8)</f>
        <v/>
      </c>
      <c r="AB3031" s="10">
        <f>REPT(" ",4)</f>
        <v/>
      </c>
      <c r="AC3031" s="10">
        <f>LEFT(UPPER(H3031)&amp;REPT(" ",250),250)</f>
        <v/>
      </c>
      <c r="AD3031" s="10">
        <f>TEXT($G$2,"dd/mm/aaaa")</f>
        <v/>
      </c>
      <c r="AE3031" s="10">
        <f>REPT(" ",10)</f>
        <v/>
      </c>
      <c r="AF3031" s="10">
        <f>REPT(" ",20)</f>
        <v/>
      </c>
      <c r="AG3031" s="54">
        <f>REPT(" ",18-LEN(FIXED(F3031,2,TRUE)))&amp;FIXED(F3031,2,TRUE)</f>
        <v/>
      </c>
      <c r="AH3031" s="10">
        <f>LEN(AC3031)+LEN(AG3031)</f>
        <v/>
      </c>
      <c r="AI3031" s="10">
        <f>LEN(L3031)</f>
        <v/>
      </c>
    </row>
    <row r="3032">
      <c r="J3032" s="12">
        <f>IF(F3032&lt;&gt;0,"LANÇAR","")</f>
        <v/>
      </c>
      <c r="L3032" s="13">
        <f>N3032&amp;O3032&amp;P3032&amp;Q3032&amp;R3032&amp;S3032&amp;T3032&amp;U3032&amp;V3032&amp;W3032&amp;X3032&amp;Y3032&amp;Z3032&amp;AA3032&amp;AB3032&amp;AC3032&amp;AD3032&amp;AE3032&amp;AF3032&amp;AG3032</f>
        <v/>
      </c>
      <c r="N3032" s="10">
        <f>TEXT($B$6,"00")</f>
        <v/>
      </c>
      <c r="O3032" s="10">
        <f>REPT(" ",8)</f>
        <v/>
      </c>
      <c r="P3032" s="10">
        <f>RIGHT($B$4,2)</f>
        <v/>
      </c>
      <c r="Q3032" s="10">
        <f>RIGHT($B$5,3)</f>
        <v/>
      </c>
      <c r="R3032" s="10">
        <f>IF(A3032="D",LEFT(UPPER(B3032)&amp;REPT(" ",20),20),REPT(" ",20))</f>
        <v/>
      </c>
      <c r="S3032" s="10">
        <f>IF(A3032="D",LEFT(UPPER(C3032)&amp;REPT(" ",10),10)," ")</f>
        <v/>
      </c>
      <c r="T3032" s="10">
        <f>IF(A3032="D",LEFT(UPPER(D3032)&amp;REPT(" ",2),2)," ")</f>
        <v/>
      </c>
      <c r="U3032" s="10">
        <f>IF(A3032="D",LEFT(UPPER(E3032)&amp;REPT(" ",15),15)," ")</f>
        <v/>
      </c>
      <c r="V3032" s="10">
        <f>REPT(" ",24)</f>
        <v/>
      </c>
      <c r="W3032" s="10">
        <f>IF(A3032="c",LEFT(UPPER(B3032)&amp;REPT(" ",20),20),REPT(" ",20))</f>
        <v/>
      </c>
      <c r="X3032" s="10">
        <f>IF(A3032="C",LEFT(UPPER(C3032)&amp;REPT(" ",10),10)," ")</f>
        <v/>
      </c>
      <c r="Y3032" s="10">
        <f>IF(A3032="C",LEFT(UPPER(D3032)&amp;REPT(" ",2),2)," ")</f>
        <v/>
      </c>
      <c r="Z3032" s="10">
        <f>IF(A3032="C",LEFT(UPPER(E3032)&amp;REPT(" ",15),15)," ")</f>
        <v/>
      </c>
      <c r="AA3032" s="10">
        <f>REPT(" ",8)</f>
        <v/>
      </c>
      <c r="AB3032" s="10">
        <f>REPT(" ",4)</f>
        <v/>
      </c>
      <c r="AC3032" s="10">
        <f>LEFT(UPPER(H3032)&amp;REPT(" ",250),250)</f>
        <v/>
      </c>
      <c r="AD3032" s="10">
        <f>TEXT($G$2,"dd/mm/aaaa")</f>
        <v/>
      </c>
      <c r="AE3032" s="10">
        <f>REPT(" ",10)</f>
        <v/>
      </c>
      <c r="AF3032" s="10">
        <f>REPT(" ",20)</f>
        <v/>
      </c>
      <c r="AG3032" s="54">
        <f>REPT(" ",18-LEN(FIXED(F3032,2,TRUE)))&amp;FIXED(F3032,2,TRUE)</f>
        <v/>
      </c>
      <c r="AH3032" s="10">
        <f>LEN(AC3032)+LEN(AG3032)</f>
        <v/>
      </c>
      <c r="AI3032" s="10">
        <f>LEN(L3032)</f>
        <v/>
      </c>
    </row>
    <row r="3033">
      <c r="J3033" s="12">
        <f>IF(F3033&lt;&gt;0,"LANÇAR","")</f>
        <v/>
      </c>
      <c r="L3033" s="13">
        <f>N3033&amp;O3033&amp;P3033&amp;Q3033&amp;R3033&amp;S3033&amp;T3033&amp;U3033&amp;V3033&amp;W3033&amp;X3033&amp;Y3033&amp;Z3033&amp;AA3033&amp;AB3033&amp;AC3033&amp;AD3033&amp;AE3033&amp;AF3033&amp;AG3033</f>
        <v/>
      </c>
      <c r="N3033" s="10">
        <f>TEXT($B$6,"00")</f>
        <v/>
      </c>
      <c r="O3033" s="10">
        <f>REPT(" ",8)</f>
        <v/>
      </c>
      <c r="P3033" s="10">
        <f>RIGHT($B$4,2)</f>
        <v/>
      </c>
      <c r="Q3033" s="10">
        <f>RIGHT($B$5,3)</f>
        <v/>
      </c>
      <c r="R3033" s="10">
        <f>IF(A3033="D",LEFT(UPPER(B3033)&amp;REPT(" ",20),20),REPT(" ",20))</f>
        <v/>
      </c>
      <c r="S3033" s="10">
        <f>IF(A3033="D",LEFT(UPPER(C3033)&amp;REPT(" ",10),10)," ")</f>
        <v/>
      </c>
      <c r="T3033" s="10">
        <f>IF(A3033="D",LEFT(UPPER(D3033)&amp;REPT(" ",2),2)," ")</f>
        <v/>
      </c>
      <c r="U3033" s="10">
        <f>IF(A3033="D",LEFT(UPPER(E3033)&amp;REPT(" ",15),15)," ")</f>
        <v/>
      </c>
      <c r="V3033" s="10">
        <f>REPT(" ",24)</f>
        <v/>
      </c>
      <c r="W3033" s="10">
        <f>IF(A3033="c",LEFT(UPPER(B3033)&amp;REPT(" ",20),20),REPT(" ",20))</f>
        <v/>
      </c>
      <c r="X3033" s="10">
        <f>IF(A3033="C",LEFT(UPPER(C3033)&amp;REPT(" ",10),10)," ")</f>
        <v/>
      </c>
      <c r="Y3033" s="10">
        <f>IF(A3033="C",LEFT(UPPER(D3033)&amp;REPT(" ",2),2)," ")</f>
        <v/>
      </c>
      <c r="Z3033" s="10">
        <f>IF(A3033="C",LEFT(UPPER(E3033)&amp;REPT(" ",15),15)," ")</f>
        <v/>
      </c>
      <c r="AA3033" s="10">
        <f>REPT(" ",8)</f>
        <v/>
      </c>
      <c r="AB3033" s="10">
        <f>REPT(" ",4)</f>
        <v/>
      </c>
      <c r="AC3033" s="10">
        <f>LEFT(UPPER(H3033)&amp;REPT(" ",250),250)</f>
        <v/>
      </c>
      <c r="AD3033" s="10">
        <f>TEXT($G$2,"dd/mm/aaaa")</f>
        <v/>
      </c>
      <c r="AE3033" s="10">
        <f>REPT(" ",10)</f>
        <v/>
      </c>
      <c r="AF3033" s="10">
        <f>REPT(" ",20)</f>
        <v/>
      </c>
      <c r="AG3033" s="54">
        <f>REPT(" ",18-LEN(FIXED(F3033,2,TRUE)))&amp;FIXED(F3033,2,TRUE)</f>
        <v/>
      </c>
      <c r="AH3033" s="10">
        <f>LEN(AC3033)+LEN(AG3033)</f>
        <v/>
      </c>
      <c r="AI3033" s="10">
        <f>LEN(L3033)</f>
        <v/>
      </c>
    </row>
    <row r="3034">
      <c r="J3034" s="12">
        <f>IF(F3034&lt;&gt;0,"LANÇAR","")</f>
        <v/>
      </c>
      <c r="L3034" s="13">
        <f>N3034&amp;O3034&amp;P3034&amp;Q3034&amp;R3034&amp;S3034&amp;T3034&amp;U3034&amp;V3034&amp;W3034&amp;X3034&amp;Y3034&amp;Z3034&amp;AA3034&amp;AB3034&amp;AC3034&amp;AD3034&amp;AE3034&amp;AF3034&amp;AG3034</f>
        <v/>
      </c>
      <c r="N3034" s="10">
        <f>TEXT($B$6,"00")</f>
        <v/>
      </c>
      <c r="O3034" s="10">
        <f>REPT(" ",8)</f>
        <v/>
      </c>
      <c r="P3034" s="10">
        <f>RIGHT($B$4,2)</f>
        <v/>
      </c>
      <c r="Q3034" s="10">
        <f>RIGHT($B$5,3)</f>
        <v/>
      </c>
      <c r="R3034" s="10">
        <f>IF(A3034="D",LEFT(UPPER(B3034)&amp;REPT(" ",20),20),REPT(" ",20))</f>
        <v/>
      </c>
      <c r="S3034" s="10">
        <f>IF(A3034="D",LEFT(UPPER(C3034)&amp;REPT(" ",10),10)," ")</f>
        <v/>
      </c>
      <c r="T3034" s="10">
        <f>IF(A3034="D",LEFT(UPPER(D3034)&amp;REPT(" ",2),2)," ")</f>
        <v/>
      </c>
      <c r="U3034" s="10">
        <f>IF(A3034="D",LEFT(UPPER(E3034)&amp;REPT(" ",15),15)," ")</f>
        <v/>
      </c>
      <c r="V3034" s="10">
        <f>REPT(" ",24)</f>
        <v/>
      </c>
      <c r="W3034" s="10">
        <f>IF(A3034="c",LEFT(UPPER(B3034)&amp;REPT(" ",20),20),REPT(" ",20))</f>
        <v/>
      </c>
      <c r="X3034" s="10">
        <f>IF(A3034="C",LEFT(UPPER(C3034)&amp;REPT(" ",10),10)," ")</f>
        <v/>
      </c>
      <c r="Y3034" s="10">
        <f>IF(A3034="C",LEFT(UPPER(D3034)&amp;REPT(" ",2),2)," ")</f>
        <v/>
      </c>
      <c r="Z3034" s="10">
        <f>IF(A3034="C",LEFT(UPPER(E3034)&amp;REPT(" ",15),15)," ")</f>
        <v/>
      </c>
      <c r="AA3034" s="10">
        <f>REPT(" ",8)</f>
        <v/>
      </c>
      <c r="AB3034" s="10">
        <f>REPT(" ",4)</f>
        <v/>
      </c>
      <c r="AC3034" s="10">
        <f>LEFT(UPPER(H3034)&amp;REPT(" ",250),250)</f>
        <v/>
      </c>
      <c r="AD3034" s="10">
        <f>TEXT($G$2,"dd/mm/aaaa")</f>
        <v/>
      </c>
      <c r="AE3034" s="10">
        <f>REPT(" ",10)</f>
        <v/>
      </c>
      <c r="AF3034" s="10">
        <f>REPT(" ",20)</f>
        <v/>
      </c>
      <c r="AG3034" s="54">
        <f>REPT(" ",18-LEN(FIXED(F3034,2,TRUE)))&amp;FIXED(F3034,2,TRUE)</f>
        <v/>
      </c>
      <c r="AH3034" s="10">
        <f>LEN(AC3034)+LEN(AG3034)</f>
        <v/>
      </c>
      <c r="AI3034" s="10">
        <f>LEN(L3034)</f>
        <v/>
      </c>
    </row>
    <row r="3035">
      <c r="J3035" s="12">
        <f>IF(F3035&lt;&gt;0,"LANÇAR","")</f>
        <v/>
      </c>
      <c r="L3035" s="13">
        <f>N3035&amp;O3035&amp;P3035&amp;Q3035&amp;R3035&amp;S3035&amp;T3035&amp;U3035&amp;V3035&amp;W3035&amp;X3035&amp;Y3035&amp;Z3035&amp;AA3035&amp;AB3035&amp;AC3035&amp;AD3035&amp;AE3035&amp;AF3035&amp;AG3035</f>
        <v/>
      </c>
      <c r="N3035" s="10">
        <f>TEXT($B$6,"00")</f>
        <v/>
      </c>
      <c r="O3035" s="10">
        <f>REPT(" ",8)</f>
        <v/>
      </c>
      <c r="P3035" s="10">
        <f>RIGHT($B$4,2)</f>
        <v/>
      </c>
      <c r="Q3035" s="10">
        <f>RIGHT($B$5,3)</f>
        <v/>
      </c>
      <c r="R3035" s="10">
        <f>IF(A3035="D",LEFT(UPPER(B3035)&amp;REPT(" ",20),20),REPT(" ",20))</f>
        <v/>
      </c>
      <c r="S3035" s="10">
        <f>IF(A3035="D",LEFT(UPPER(C3035)&amp;REPT(" ",10),10)," ")</f>
        <v/>
      </c>
      <c r="T3035" s="10">
        <f>IF(A3035="D",LEFT(UPPER(D3035)&amp;REPT(" ",2),2)," ")</f>
        <v/>
      </c>
      <c r="U3035" s="10">
        <f>IF(A3035="D",LEFT(UPPER(E3035)&amp;REPT(" ",15),15)," ")</f>
        <v/>
      </c>
      <c r="V3035" s="10">
        <f>REPT(" ",24)</f>
        <v/>
      </c>
      <c r="W3035" s="10">
        <f>IF(A3035="c",LEFT(UPPER(B3035)&amp;REPT(" ",20),20),REPT(" ",20))</f>
        <v/>
      </c>
      <c r="X3035" s="10">
        <f>IF(A3035="C",LEFT(UPPER(C3035)&amp;REPT(" ",10),10)," ")</f>
        <v/>
      </c>
      <c r="Y3035" s="10">
        <f>IF(A3035="C",LEFT(UPPER(D3035)&amp;REPT(" ",2),2)," ")</f>
        <v/>
      </c>
      <c r="Z3035" s="10">
        <f>IF(A3035="C",LEFT(UPPER(E3035)&amp;REPT(" ",15),15)," ")</f>
        <v/>
      </c>
      <c r="AA3035" s="10">
        <f>REPT(" ",8)</f>
        <v/>
      </c>
      <c r="AB3035" s="10">
        <f>REPT(" ",4)</f>
        <v/>
      </c>
      <c r="AC3035" s="10">
        <f>LEFT(UPPER(H3035)&amp;REPT(" ",250),250)</f>
        <v/>
      </c>
      <c r="AD3035" s="10">
        <f>TEXT($G$2,"dd/mm/aaaa")</f>
        <v/>
      </c>
      <c r="AE3035" s="10">
        <f>REPT(" ",10)</f>
        <v/>
      </c>
      <c r="AF3035" s="10">
        <f>REPT(" ",20)</f>
        <v/>
      </c>
      <c r="AG3035" s="54">
        <f>REPT(" ",18-LEN(FIXED(F3035,2,TRUE)))&amp;FIXED(F3035,2,TRUE)</f>
        <v/>
      </c>
      <c r="AH3035" s="10">
        <f>LEN(AC3035)+LEN(AG3035)</f>
        <v/>
      </c>
      <c r="AI3035" s="10">
        <f>LEN(L3035)</f>
        <v/>
      </c>
    </row>
    <row r="3036">
      <c r="J3036" s="12">
        <f>IF(F3036&lt;&gt;0,"LANÇAR","")</f>
        <v/>
      </c>
      <c r="L3036" s="13">
        <f>N3036&amp;O3036&amp;P3036&amp;Q3036&amp;R3036&amp;S3036&amp;T3036&amp;U3036&amp;V3036&amp;W3036&amp;X3036&amp;Y3036&amp;Z3036&amp;AA3036&amp;AB3036&amp;AC3036&amp;AD3036&amp;AE3036&amp;AF3036&amp;AG3036</f>
        <v/>
      </c>
      <c r="N3036" s="10">
        <f>TEXT($B$6,"00")</f>
        <v/>
      </c>
      <c r="O3036" s="10">
        <f>REPT(" ",8)</f>
        <v/>
      </c>
      <c r="P3036" s="10">
        <f>RIGHT($B$4,2)</f>
        <v/>
      </c>
      <c r="Q3036" s="10">
        <f>RIGHT($B$5,3)</f>
        <v/>
      </c>
      <c r="R3036" s="10">
        <f>IF(A3036="D",LEFT(UPPER(B3036)&amp;REPT(" ",20),20),REPT(" ",20))</f>
        <v/>
      </c>
      <c r="S3036" s="10">
        <f>IF(A3036="D",LEFT(UPPER(C3036)&amp;REPT(" ",10),10)," ")</f>
        <v/>
      </c>
      <c r="T3036" s="10">
        <f>IF(A3036="D",LEFT(UPPER(D3036)&amp;REPT(" ",2),2)," ")</f>
        <v/>
      </c>
      <c r="U3036" s="10">
        <f>IF(A3036="D",LEFT(UPPER(E3036)&amp;REPT(" ",15),15)," ")</f>
        <v/>
      </c>
      <c r="V3036" s="10">
        <f>REPT(" ",24)</f>
        <v/>
      </c>
      <c r="W3036" s="10">
        <f>IF(A3036="c",LEFT(UPPER(B3036)&amp;REPT(" ",20),20),REPT(" ",20))</f>
        <v/>
      </c>
      <c r="X3036" s="10">
        <f>IF(A3036="C",LEFT(UPPER(C3036)&amp;REPT(" ",10),10)," ")</f>
        <v/>
      </c>
      <c r="Y3036" s="10">
        <f>IF(A3036="C",LEFT(UPPER(D3036)&amp;REPT(" ",2),2)," ")</f>
        <v/>
      </c>
      <c r="Z3036" s="10">
        <f>IF(A3036="C",LEFT(UPPER(E3036)&amp;REPT(" ",15),15)," ")</f>
        <v/>
      </c>
      <c r="AA3036" s="10">
        <f>REPT(" ",8)</f>
        <v/>
      </c>
      <c r="AB3036" s="10">
        <f>REPT(" ",4)</f>
        <v/>
      </c>
      <c r="AC3036" s="10">
        <f>LEFT(UPPER(H3036)&amp;REPT(" ",250),250)</f>
        <v/>
      </c>
      <c r="AD3036" s="10">
        <f>TEXT($G$2,"dd/mm/aaaa")</f>
        <v/>
      </c>
      <c r="AE3036" s="10">
        <f>REPT(" ",10)</f>
        <v/>
      </c>
      <c r="AF3036" s="10">
        <f>REPT(" ",20)</f>
        <v/>
      </c>
      <c r="AG3036" s="54">
        <f>REPT(" ",18-LEN(FIXED(F3036,2,TRUE)))&amp;FIXED(F3036,2,TRUE)</f>
        <v/>
      </c>
      <c r="AH3036" s="10">
        <f>LEN(AC3036)+LEN(AG3036)</f>
        <v/>
      </c>
      <c r="AI3036" s="10">
        <f>LEN(L3036)</f>
        <v/>
      </c>
    </row>
    <row r="3037">
      <c r="J3037" s="12">
        <f>IF(F3037&lt;&gt;0,"LANÇAR","")</f>
        <v/>
      </c>
      <c r="L3037" s="13">
        <f>N3037&amp;O3037&amp;P3037&amp;Q3037&amp;R3037&amp;S3037&amp;T3037&amp;U3037&amp;V3037&amp;W3037&amp;X3037&amp;Y3037&amp;Z3037&amp;AA3037&amp;AB3037&amp;AC3037&amp;AD3037&amp;AE3037&amp;AF3037&amp;AG3037</f>
        <v/>
      </c>
      <c r="N3037" s="10">
        <f>TEXT($B$6,"00")</f>
        <v/>
      </c>
      <c r="O3037" s="10">
        <f>REPT(" ",8)</f>
        <v/>
      </c>
      <c r="P3037" s="10">
        <f>RIGHT($B$4,2)</f>
        <v/>
      </c>
      <c r="Q3037" s="10">
        <f>RIGHT($B$5,3)</f>
        <v/>
      </c>
      <c r="R3037" s="10">
        <f>IF(A3037="D",LEFT(UPPER(B3037)&amp;REPT(" ",20),20),REPT(" ",20))</f>
        <v/>
      </c>
      <c r="S3037" s="10">
        <f>IF(A3037="D",LEFT(UPPER(C3037)&amp;REPT(" ",10),10)," ")</f>
        <v/>
      </c>
      <c r="T3037" s="10">
        <f>IF(A3037="D",LEFT(UPPER(D3037)&amp;REPT(" ",2),2)," ")</f>
        <v/>
      </c>
      <c r="U3037" s="10">
        <f>IF(A3037="D",LEFT(UPPER(E3037)&amp;REPT(" ",15),15)," ")</f>
        <v/>
      </c>
      <c r="V3037" s="10">
        <f>REPT(" ",24)</f>
        <v/>
      </c>
      <c r="W3037" s="10">
        <f>IF(A3037="c",LEFT(UPPER(B3037)&amp;REPT(" ",20),20),REPT(" ",20))</f>
        <v/>
      </c>
      <c r="X3037" s="10">
        <f>IF(A3037="C",LEFT(UPPER(C3037)&amp;REPT(" ",10),10)," ")</f>
        <v/>
      </c>
      <c r="Y3037" s="10">
        <f>IF(A3037="C",LEFT(UPPER(D3037)&amp;REPT(" ",2),2)," ")</f>
        <v/>
      </c>
      <c r="Z3037" s="10">
        <f>IF(A3037="C",LEFT(UPPER(E3037)&amp;REPT(" ",15),15)," ")</f>
        <v/>
      </c>
      <c r="AA3037" s="10">
        <f>REPT(" ",8)</f>
        <v/>
      </c>
      <c r="AB3037" s="10">
        <f>REPT(" ",4)</f>
        <v/>
      </c>
      <c r="AC3037" s="10">
        <f>LEFT(UPPER(H3037)&amp;REPT(" ",250),250)</f>
        <v/>
      </c>
      <c r="AD3037" s="10">
        <f>TEXT($G$2,"dd/mm/aaaa")</f>
        <v/>
      </c>
      <c r="AE3037" s="10">
        <f>REPT(" ",10)</f>
        <v/>
      </c>
      <c r="AF3037" s="10">
        <f>REPT(" ",20)</f>
        <v/>
      </c>
      <c r="AG3037" s="54">
        <f>REPT(" ",18-LEN(FIXED(F3037,2,TRUE)))&amp;FIXED(F3037,2,TRUE)</f>
        <v/>
      </c>
      <c r="AH3037" s="10">
        <f>LEN(AC3037)+LEN(AG3037)</f>
        <v/>
      </c>
      <c r="AI3037" s="10">
        <f>LEN(L3037)</f>
        <v/>
      </c>
    </row>
    <row r="3038">
      <c r="J3038" s="12">
        <f>IF(F3038&lt;&gt;0,"LANÇAR","")</f>
        <v/>
      </c>
      <c r="L3038" s="13">
        <f>N3038&amp;O3038&amp;P3038&amp;Q3038&amp;R3038&amp;S3038&amp;T3038&amp;U3038&amp;V3038&amp;W3038&amp;X3038&amp;Y3038&amp;Z3038&amp;AA3038&amp;AB3038&amp;AC3038&amp;AD3038&amp;AE3038&amp;AF3038&amp;AG3038</f>
        <v/>
      </c>
      <c r="N3038" s="10">
        <f>TEXT($B$6,"00")</f>
        <v/>
      </c>
      <c r="O3038" s="10">
        <f>REPT(" ",8)</f>
        <v/>
      </c>
      <c r="P3038" s="10">
        <f>RIGHT($B$4,2)</f>
        <v/>
      </c>
      <c r="Q3038" s="10">
        <f>RIGHT($B$5,3)</f>
        <v/>
      </c>
      <c r="R3038" s="10">
        <f>IF(A3038="D",LEFT(UPPER(B3038)&amp;REPT(" ",20),20),REPT(" ",20))</f>
        <v/>
      </c>
      <c r="S3038" s="10">
        <f>IF(A3038="D",LEFT(UPPER(C3038)&amp;REPT(" ",10),10)," ")</f>
        <v/>
      </c>
      <c r="T3038" s="10">
        <f>IF(A3038="D",LEFT(UPPER(D3038)&amp;REPT(" ",2),2)," ")</f>
        <v/>
      </c>
      <c r="U3038" s="10">
        <f>IF(A3038="D",LEFT(UPPER(E3038)&amp;REPT(" ",15),15)," ")</f>
        <v/>
      </c>
      <c r="V3038" s="10">
        <f>REPT(" ",24)</f>
        <v/>
      </c>
      <c r="W3038" s="10">
        <f>IF(A3038="c",LEFT(UPPER(B3038)&amp;REPT(" ",20),20),REPT(" ",20))</f>
        <v/>
      </c>
      <c r="X3038" s="10">
        <f>IF(A3038="C",LEFT(UPPER(C3038)&amp;REPT(" ",10),10)," ")</f>
        <v/>
      </c>
      <c r="Y3038" s="10">
        <f>IF(A3038="C",LEFT(UPPER(D3038)&amp;REPT(" ",2),2)," ")</f>
        <v/>
      </c>
      <c r="Z3038" s="10">
        <f>IF(A3038="C",LEFT(UPPER(E3038)&amp;REPT(" ",15),15)," ")</f>
        <v/>
      </c>
      <c r="AA3038" s="10">
        <f>REPT(" ",8)</f>
        <v/>
      </c>
      <c r="AB3038" s="10">
        <f>REPT(" ",4)</f>
        <v/>
      </c>
      <c r="AC3038" s="10">
        <f>LEFT(UPPER(H3038)&amp;REPT(" ",250),250)</f>
        <v/>
      </c>
      <c r="AD3038" s="10">
        <f>TEXT($G$2,"dd/mm/aaaa")</f>
        <v/>
      </c>
      <c r="AE3038" s="10">
        <f>REPT(" ",10)</f>
        <v/>
      </c>
      <c r="AF3038" s="10">
        <f>REPT(" ",20)</f>
        <v/>
      </c>
      <c r="AG3038" s="54">
        <f>REPT(" ",18-LEN(FIXED(F3038,2,TRUE)))&amp;FIXED(F3038,2,TRUE)</f>
        <v/>
      </c>
      <c r="AH3038" s="10">
        <f>LEN(AC3038)+LEN(AG3038)</f>
        <v/>
      </c>
      <c r="AI3038" s="10">
        <f>LEN(L3038)</f>
        <v/>
      </c>
    </row>
    <row r="3039">
      <c r="J3039" s="12">
        <f>IF(F3039&lt;&gt;0,"LANÇAR","")</f>
        <v/>
      </c>
      <c r="L3039" s="13">
        <f>N3039&amp;O3039&amp;P3039&amp;Q3039&amp;R3039&amp;S3039&amp;T3039&amp;U3039&amp;V3039&amp;W3039&amp;X3039&amp;Y3039&amp;Z3039&amp;AA3039&amp;AB3039&amp;AC3039&amp;AD3039&amp;AE3039&amp;AF3039&amp;AG3039</f>
        <v/>
      </c>
      <c r="N3039" s="10">
        <f>TEXT($B$6,"00")</f>
        <v/>
      </c>
      <c r="O3039" s="10">
        <f>REPT(" ",8)</f>
        <v/>
      </c>
      <c r="P3039" s="10">
        <f>RIGHT($B$4,2)</f>
        <v/>
      </c>
      <c r="Q3039" s="10">
        <f>RIGHT($B$5,3)</f>
        <v/>
      </c>
      <c r="R3039" s="10">
        <f>IF(A3039="D",LEFT(UPPER(B3039)&amp;REPT(" ",20),20),REPT(" ",20))</f>
        <v/>
      </c>
      <c r="S3039" s="10">
        <f>IF(A3039="D",LEFT(UPPER(C3039)&amp;REPT(" ",10),10)," ")</f>
        <v/>
      </c>
      <c r="T3039" s="10">
        <f>IF(A3039="D",LEFT(UPPER(D3039)&amp;REPT(" ",2),2)," ")</f>
        <v/>
      </c>
      <c r="U3039" s="10">
        <f>IF(A3039="D",LEFT(UPPER(E3039)&amp;REPT(" ",15),15)," ")</f>
        <v/>
      </c>
      <c r="V3039" s="10">
        <f>REPT(" ",24)</f>
        <v/>
      </c>
      <c r="W3039" s="10">
        <f>IF(A3039="c",LEFT(UPPER(B3039)&amp;REPT(" ",20),20),REPT(" ",20))</f>
        <v/>
      </c>
      <c r="X3039" s="10">
        <f>IF(A3039="C",LEFT(UPPER(C3039)&amp;REPT(" ",10),10)," ")</f>
        <v/>
      </c>
      <c r="Y3039" s="10">
        <f>IF(A3039="C",LEFT(UPPER(D3039)&amp;REPT(" ",2),2)," ")</f>
        <v/>
      </c>
      <c r="Z3039" s="10">
        <f>IF(A3039="C",LEFT(UPPER(E3039)&amp;REPT(" ",15),15)," ")</f>
        <v/>
      </c>
      <c r="AA3039" s="10">
        <f>REPT(" ",8)</f>
        <v/>
      </c>
      <c r="AB3039" s="10">
        <f>REPT(" ",4)</f>
        <v/>
      </c>
      <c r="AC3039" s="10">
        <f>LEFT(UPPER(H3039)&amp;REPT(" ",250),250)</f>
        <v/>
      </c>
      <c r="AD3039" s="10">
        <f>TEXT($G$2,"dd/mm/aaaa")</f>
        <v/>
      </c>
      <c r="AE3039" s="10">
        <f>REPT(" ",10)</f>
        <v/>
      </c>
      <c r="AF3039" s="10">
        <f>REPT(" ",20)</f>
        <v/>
      </c>
      <c r="AG3039" s="54">
        <f>REPT(" ",18-LEN(FIXED(F3039,2,TRUE)))&amp;FIXED(F3039,2,TRUE)</f>
        <v/>
      </c>
      <c r="AH3039" s="10">
        <f>LEN(AC3039)+LEN(AG3039)</f>
        <v/>
      </c>
      <c r="AI3039" s="10">
        <f>LEN(L3039)</f>
        <v/>
      </c>
    </row>
    <row r="3040">
      <c r="J3040" s="12">
        <f>IF(F3040&lt;&gt;0,"LANÇAR","")</f>
        <v/>
      </c>
      <c r="L3040" s="13">
        <f>N3040&amp;O3040&amp;P3040&amp;Q3040&amp;R3040&amp;S3040&amp;T3040&amp;U3040&amp;V3040&amp;W3040&amp;X3040&amp;Y3040&amp;Z3040&amp;AA3040&amp;AB3040&amp;AC3040&amp;AD3040&amp;AE3040&amp;AF3040&amp;AG3040</f>
        <v/>
      </c>
      <c r="N3040" s="10">
        <f>TEXT($B$6,"00")</f>
        <v/>
      </c>
      <c r="O3040" s="10">
        <f>REPT(" ",8)</f>
        <v/>
      </c>
      <c r="P3040" s="10">
        <f>RIGHT($B$4,2)</f>
        <v/>
      </c>
      <c r="Q3040" s="10">
        <f>RIGHT($B$5,3)</f>
        <v/>
      </c>
      <c r="R3040" s="10">
        <f>IF(A3040="D",LEFT(UPPER(B3040)&amp;REPT(" ",20),20),REPT(" ",20))</f>
        <v/>
      </c>
      <c r="S3040" s="10">
        <f>IF(A3040="D",LEFT(UPPER(C3040)&amp;REPT(" ",10),10)," ")</f>
        <v/>
      </c>
      <c r="T3040" s="10">
        <f>IF(A3040="D",LEFT(UPPER(D3040)&amp;REPT(" ",2),2)," ")</f>
        <v/>
      </c>
      <c r="U3040" s="10">
        <f>IF(A3040="D",LEFT(UPPER(E3040)&amp;REPT(" ",15),15)," ")</f>
        <v/>
      </c>
      <c r="V3040" s="10">
        <f>REPT(" ",24)</f>
        <v/>
      </c>
      <c r="W3040" s="10">
        <f>IF(A3040="c",LEFT(UPPER(B3040)&amp;REPT(" ",20),20),REPT(" ",20))</f>
        <v/>
      </c>
      <c r="X3040" s="10">
        <f>IF(A3040="C",LEFT(UPPER(C3040)&amp;REPT(" ",10),10)," ")</f>
        <v/>
      </c>
      <c r="Y3040" s="10">
        <f>IF(A3040="C",LEFT(UPPER(D3040)&amp;REPT(" ",2),2)," ")</f>
        <v/>
      </c>
      <c r="Z3040" s="10">
        <f>IF(A3040="C",LEFT(UPPER(E3040)&amp;REPT(" ",15),15)," ")</f>
        <v/>
      </c>
      <c r="AA3040" s="10">
        <f>REPT(" ",8)</f>
        <v/>
      </c>
      <c r="AB3040" s="10">
        <f>REPT(" ",4)</f>
        <v/>
      </c>
      <c r="AC3040" s="10">
        <f>LEFT(UPPER(H3040)&amp;REPT(" ",250),250)</f>
        <v/>
      </c>
      <c r="AD3040" s="10">
        <f>TEXT($G$2,"dd/mm/aaaa")</f>
        <v/>
      </c>
      <c r="AE3040" s="10">
        <f>REPT(" ",10)</f>
        <v/>
      </c>
      <c r="AF3040" s="10">
        <f>REPT(" ",20)</f>
        <v/>
      </c>
      <c r="AG3040" s="54">
        <f>REPT(" ",18-LEN(FIXED(F3040,2,TRUE)))&amp;FIXED(F3040,2,TRUE)</f>
        <v/>
      </c>
      <c r="AH3040" s="10">
        <f>LEN(AC3040)+LEN(AG3040)</f>
        <v/>
      </c>
      <c r="AI3040" s="10">
        <f>LEN(L3040)</f>
        <v/>
      </c>
    </row>
    <row r="3041">
      <c r="J3041" s="12">
        <f>IF(F3041&lt;&gt;0,"LANÇAR","")</f>
        <v/>
      </c>
      <c r="L3041" s="13">
        <f>N3041&amp;O3041&amp;P3041&amp;Q3041&amp;R3041&amp;S3041&amp;T3041&amp;U3041&amp;V3041&amp;W3041&amp;X3041&amp;Y3041&amp;Z3041&amp;AA3041&amp;AB3041&amp;AC3041&amp;AD3041&amp;AE3041&amp;AF3041&amp;AG3041</f>
        <v/>
      </c>
      <c r="N3041" s="10">
        <f>TEXT($B$6,"00")</f>
        <v/>
      </c>
      <c r="O3041" s="10">
        <f>REPT(" ",8)</f>
        <v/>
      </c>
      <c r="P3041" s="10">
        <f>RIGHT($B$4,2)</f>
        <v/>
      </c>
      <c r="Q3041" s="10">
        <f>RIGHT($B$5,3)</f>
        <v/>
      </c>
      <c r="R3041" s="10">
        <f>IF(A3041="D",LEFT(UPPER(B3041)&amp;REPT(" ",20),20),REPT(" ",20))</f>
        <v/>
      </c>
      <c r="S3041" s="10">
        <f>IF(A3041="D",LEFT(UPPER(C3041)&amp;REPT(" ",10),10)," ")</f>
        <v/>
      </c>
      <c r="T3041" s="10">
        <f>IF(A3041="D",LEFT(UPPER(D3041)&amp;REPT(" ",2),2)," ")</f>
        <v/>
      </c>
      <c r="U3041" s="10">
        <f>IF(A3041="D",LEFT(UPPER(E3041)&amp;REPT(" ",15),15)," ")</f>
        <v/>
      </c>
      <c r="V3041" s="10">
        <f>REPT(" ",24)</f>
        <v/>
      </c>
      <c r="W3041" s="10">
        <f>IF(A3041="c",LEFT(UPPER(B3041)&amp;REPT(" ",20),20),REPT(" ",20))</f>
        <v/>
      </c>
      <c r="X3041" s="10">
        <f>IF(A3041="C",LEFT(UPPER(C3041)&amp;REPT(" ",10),10)," ")</f>
        <v/>
      </c>
      <c r="Y3041" s="10">
        <f>IF(A3041="C",LEFT(UPPER(D3041)&amp;REPT(" ",2),2)," ")</f>
        <v/>
      </c>
      <c r="Z3041" s="10">
        <f>IF(A3041="C",LEFT(UPPER(E3041)&amp;REPT(" ",15),15)," ")</f>
        <v/>
      </c>
      <c r="AA3041" s="10">
        <f>REPT(" ",8)</f>
        <v/>
      </c>
      <c r="AB3041" s="10">
        <f>REPT(" ",4)</f>
        <v/>
      </c>
      <c r="AC3041" s="10">
        <f>LEFT(UPPER(H3041)&amp;REPT(" ",250),250)</f>
        <v/>
      </c>
      <c r="AD3041" s="10">
        <f>TEXT($G$2,"dd/mm/aaaa")</f>
        <v/>
      </c>
      <c r="AE3041" s="10">
        <f>REPT(" ",10)</f>
        <v/>
      </c>
      <c r="AF3041" s="10">
        <f>REPT(" ",20)</f>
        <v/>
      </c>
      <c r="AG3041" s="54">
        <f>REPT(" ",18-LEN(FIXED(F3041,2,TRUE)))&amp;FIXED(F3041,2,TRUE)</f>
        <v/>
      </c>
      <c r="AH3041" s="10">
        <f>LEN(AC3041)+LEN(AG3041)</f>
        <v/>
      </c>
      <c r="AI3041" s="10">
        <f>LEN(L3041)</f>
        <v/>
      </c>
    </row>
    <row r="3042">
      <c r="J3042" s="12">
        <f>IF(F3042&lt;&gt;0,"LANÇAR","")</f>
        <v/>
      </c>
      <c r="L3042" s="13">
        <f>N3042&amp;O3042&amp;P3042&amp;Q3042&amp;R3042&amp;S3042&amp;T3042&amp;U3042&amp;V3042&amp;W3042&amp;X3042&amp;Y3042&amp;Z3042&amp;AA3042&amp;AB3042&amp;AC3042&amp;AD3042&amp;AE3042&amp;AF3042&amp;AG3042</f>
        <v/>
      </c>
      <c r="N3042" s="10">
        <f>TEXT($B$6,"00")</f>
        <v/>
      </c>
      <c r="O3042" s="10">
        <f>REPT(" ",8)</f>
        <v/>
      </c>
      <c r="P3042" s="10">
        <f>RIGHT($B$4,2)</f>
        <v/>
      </c>
      <c r="Q3042" s="10">
        <f>RIGHT($B$5,3)</f>
        <v/>
      </c>
      <c r="R3042" s="10">
        <f>IF(A3042="D",LEFT(UPPER(B3042)&amp;REPT(" ",20),20),REPT(" ",20))</f>
        <v/>
      </c>
      <c r="S3042" s="10">
        <f>IF(A3042="D",LEFT(UPPER(C3042)&amp;REPT(" ",10),10)," ")</f>
        <v/>
      </c>
      <c r="T3042" s="10">
        <f>IF(A3042="D",LEFT(UPPER(D3042)&amp;REPT(" ",2),2)," ")</f>
        <v/>
      </c>
      <c r="U3042" s="10">
        <f>IF(A3042="D",LEFT(UPPER(E3042)&amp;REPT(" ",15),15)," ")</f>
        <v/>
      </c>
      <c r="V3042" s="10">
        <f>REPT(" ",24)</f>
        <v/>
      </c>
      <c r="W3042" s="10">
        <f>IF(A3042="c",LEFT(UPPER(B3042)&amp;REPT(" ",20),20),REPT(" ",20))</f>
        <v/>
      </c>
      <c r="X3042" s="10">
        <f>IF(A3042="C",LEFT(UPPER(C3042)&amp;REPT(" ",10),10)," ")</f>
        <v/>
      </c>
      <c r="Y3042" s="10">
        <f>IF(A3042="C",LEFT(UPPER(D3042)&amp;REPT(" ",2),2)," ")</f>
        <v/>
      </c>
      <c r="Z3042" s="10">
        <f>IF(A3042="C",LEFT(UPPER(E3042)&amp;REPT(" ",15),15)," ")</f>
        <v/>
      </c>
      <c r="AA3042" s="10">
        <f>REPT(" ",8)</f>
        <v/>
      </c>
      <c r="AB3042" s="10">
        <f>REPT(" ",4)</f>
        <v/>
      </c>
      <c r="AC3042" s="10">
        <f>LEFT(UPPER(H3042)&amp;REPT(" ",250),250)</f>
        <v/>
      </c>
      <c r="AD3042" s="10">
        <f>TEXT($G$2,"dd/mm/aaaa")</f>
        <v/>
      </c>
      <c r="AE3042" s="10">
        <f>REPT(" ",10)</f>
        <v/>
      </c>
      <c r="AF3042" s="10">
        <f>REPT(" ",20)</f>
        <v/>
      </c>
      <c r="AG3042" s="54">
        <f>REPT(" ",18-LEN(FIXED(F3042,2,TRUE)))&amp;FIXED(F3042,2,TRUE)</f>
        <v/>
      </c>
      <c r="AH3042" s="10">
        <f>LEN(AC3042)+LEN(AG3042)</f>
        <v/>
      </c>
      <c r="AI3042" s="10">
        <f>LEN(L3042)</f>
        <v/>
      </c>
    </row>
    <row r="3043">
      <c r="J3043" s="12">
        <f>IF(F3043&lt;&gt;0,"LANÇAR","")</f>
        <v/>
      </c>
      <c r="L3043" s="13">
        <f>N3043&amp;O3043&amp;P3043&amp;Q3043&amp;R3043&amp;S3043&amp;T3043&amp;U3043&amp;V3043&amp;W3043&amp;X3043&amp;Y3043&amp;Z3043&amp;AA3043&amp;AB3043&amp;AC3043&amp;AD3043&amp;AE3043&amp;AF3043&amp;AG3043</f>
        <v/>
      </c>
      <c r="N3043" s="10">
        <f>TEXT($B$6,"00")</f>
        <v/>
      </c>
      <c r="O3043" s="10">
        <f>REPT(" ",8)</f>
        <v/>
      </c>
      <c r="P3043" s="10">
        <f>RIGHT($B$4,2)</f>
        <v/>
      </c>
      <c r="Q3043" s="10">
        <f>RIGHT($B$5,3)</f>
        <v/>
      </c>
      <c r="R3043" s="10">
        <f>IF(A3043="D",LEFT(UPPER(B3043)&amp;REPT(" ",20),20),REPT(" ",20))</f>
        <v/>
      </c>
      <c r="S3043" s="10">
        <f>IF(A3043="D",LEFT(UPPER(C3043)&amp;REPT(" ",10),10)," ")</f>
        <v/>
      </c>
      <c r="T3043" s="10">
        <f>IF(A3043="D",LEFT(UPPER(D3043)&amp;REPT(" ",2),2)," ")</f>
        <v/>
      </c>
      <c r="U3043" s="10">
        <f>IF(A3043="D",LEFT(UPPER(E3043)&amp;REPT(" ",15),15)," ")</f>
        <v/>
      </c>
      <c r="V3043" s="10">
        <f>REPT(" ",24)</f>
        <v/>
      </c>
      <c r="W3043" s="10">
        <f>IF(A3043="c",LEFT(UPPER(B3043)&amp;REPT(" ",20),20),REPT(" ",20))</f>
        <v/>
      </c>
      <c r="X3043" s="10">
        <f>IF(A3043="C",LEFT(UPPER(C3043)&amp;REPT(" ",10),10)," ")</f>
        <v/>
      </c>
      <c r="Y3043" s="10">
        <f>IF(A3043="C",LEFT(UPPER(D3043)&amp;REPT(" ",2),2)," ")</f>
        <v/>
      </c>
      <c r="Z3043" s="10">
        <f>IF(A3043="C",LEFT(UPPER(E3043)&amp;REPT(" ",15),15)," ")</f>
        <v/>
      </c>
      <c r="AA3043" s="10">
        <f>REPT(" ",8)</f>
        <v/>
      </c>
      <c r="AB3043" s="10">
        <f>REPT(" ",4)</f>
        <v/>
      </c>
      <c r="AC3043" s="10">
        <f>LEFT(UPPER(H3043)&amp;REPT(" ",250),250)</f>
        <v/>
      </c>
      <c r="AD3043" s="10">
        <f>TEXT($G$2,"dd/mm/aaaa")</f>
        <v/>
      </c>
      <c r="AE3043" s="10">
        <f>REPT(" ",10)</f>
        <v/>
      </c>
      <c r="AF3043" s="10">
        <f>REPT(" ",20)</f>
        <v/>
      </c>
      <c r="AG3043" s="54">
        <f>REPT(" ",18-LEN(FIXED(F3043,2,TRUE)))&amp;FIXED(F3043,2,TRUE)</f>
        <v/>
      </c>
      <c r="AH3043" s="10">
        <f>LEN(AC3043)+LEN(AG3043)</f>
        <v/>
      </c>
      <c r="AI3043" s="10">
        <f>LEN(L3043)</f>
        <v/>
      </c>
    </row>
    <row r="3044">
      <c r="J3044" s="12">
        <f>IF(F3044&lt;&gt;0,"LANÇAR","")</f>
        <v/>
      </c>
      <c r="L3044" s="13">
        <f>N3044&amp;O3044&amp;P3044&amp;Q3044&amp;R3044&amp;S3044&amp;T3044&amp;U3044&amp;V3044&amp;W3044&amp;X3044&amp;Y3044&amp;Z3044&amp;AA3044&amp;AB3044&amp;AC3044&amp;AD3044&amp;AE3044&amp;AF3044&amp;AG3044</f>
        <v/>
      </c>
      <c r="N3044" s="10">
        <f>TEXT($B$6,"00")</f>
        <v/>
      </c>
      <c r="O3044" s="10">
        <f>REPT(" ",8)</f>
        <v/>
      </c>
      <c r="P3044" s="10">
        <f>RIGHT($B$4,2)</f>
        <v/>
      </c>
      <c r="Q3044" s="10">
        <f>RIGHT($B$5,3)</f>
        <v/>
      </c>
      <c r="R3044" s="10">
        <f>IF(A3044="D",LEFT(UPPER(B3044)&amp;REPT(" ",20),20),REPT(" ",20))</f>
        <v/>
      </c>
      <c r="S3044" s="10">
        <f>IF(A3044="D",LEFT(UPPER(C3044)&amp;REPT(" ",10),10)," ")</f>
        <v/>
      </c>
      <c r="T3044" s="10">
        <f>IF(A3044="D",LEFT(UPPER(D3044)&amp;REPT(" ",2),2)," ")</f>
        <v/>
      </c>
      <c r="U3044" s="10">
        <f>IF(A3044="D",LEFT(UPPER(E3044)&amp;REPT(" ",15),15)," ")</f>
        <v/>
      </c>
      <c r="V3044" s="10">
        <f>REPT(" ",24)</f>
        <v/>
      </c>
      <c r="W3044" s="10">
        <f>IF(A3044="c",LEFT(UPPER(B3044)&amp;REPT(" ",20),20),REPT(" ",20))</f>
        <v/>
      </c>
      <c r="X3044" s="10">
        <f>IF(A3044="C",LEFT(UPPER(C3044)&amp;REPT(" ",10),10)," ")</f>
        <v/>
      </c>
      <c r="Y3044" s="10">
        <f>IF(A3044="C",LEFT(UPPER(D3044)&amp;REPT(" ",2),2)," ")</f>
        <v/>
      </c>
      <c r="Z3044" s="10">
        <f>IF(A3044="C",LEFT(UPPER(E3044)&amp;REPT(" ",15),15)," ")</f>
        <v/>
      </c>
      <c r="AA3044" s="10">
        <f>REPT(" ",8)</f>
        <v/>
      </c>
      <c r="AB3044" s="10">
        <f>REPT(" ",4)</f>
        <v/>
      </c>
      <c r="AC3044" s="10">
        <f>LEFT(UPPER(H3044)&amp;REPT(" ",250),250)</f>
        <v/>
      </c>
      <c r="AD3044" s="10">
        <f>TEXT($G$2,"dd/mm/aaaa")</f>
        <v/>
      </c>
      <c r="AE3044" s="10">
        <f>REPT(" ",10)</f>
        <v/>
      </c>
      <c r="AF3044" s="10">
        <f>REPT(" ",20)</f>
        <v/>
      </c>
      <c r="AG3044" s="54">
        <f>REPT(" ",18-LEN(FIXED(F3044,2,TRUE)))&amp;FIXED(F3044,2,TRUE)</f>
        <v/>
      </c>
      <c r="AH3044" s="10">
        <f>LEN(AC3044)+LEN(AG3044)</f>
        <v/>
      </c>
      <c r="AI3044" s="10">
        <f>LEN(L3044)</f>
        <v/>
      </c>
    </row>
    <row r="3045">
      <c r="J3045" s="12">
        <f>IF(F3045&lt;&gt;0,"LANÇAR","")</f>
        <v/>
      </c>
      <c r="L3045" s="13">
        <f>N3045&amp;O3045&amp;P3045&amp;Q3045&amp;R3045&amp;S3045&amp;T3045&amp;U3045&amp;V3045&amp;W3045&amp;X3045&amp;Y3045&amp;Z3045&amp;AA3045&amp;AB3045&amp;AC3045&amp;AD3045&amp;AE3045&amp;AF3045&amp;AG3045</f>
        <v/>
      </c>
      <c r="N3045" s="10">
        <f>TEXT($B$6,"00")</f>
        <v/>
      </c>
      <c r="O3045" s="10">
        <f>REPT(" ",8)</f>
        <v/>
      </c>
      <c r="P3045" s="10">
        <f>RIGHT($B$4,2)</f>
        <v/>
      </c>
      <c r="Q3045" s="10">
        <f>RIGHT($B$5,3)</f>
        <v/>
      </c>
      <c r="R3045" s="10">
        <f>IF(A3045="D",LEFT(UPPER(B3045)&amp;REPT(" ",20),20),REPT(" ",20))</f>
        <v/>
      </c>
      <c r="S3045" s="10">
        <f>IF(A3045="D",LEFT(UPPER(C3045)&amp;REPT(" ",10),10)," ")</f>
        <v/>
      </c>
      <c r="T3045" s="10">
        <f>IF(A3045="D",LEFT(UPPER(D3045)&amp;REPT(" ",2),2)," ")</f>
        <v/>
      </c>
      <c r="U3045" s="10">
        <f>IF(A3045="D",LEFT(UPPER(E3045)&amp;REPT(" ",15),15)," ")</f>
        <v/>
      </c>
      <c r="V3045" s="10">
        <f>REPT(" ",24)</f>
        <v/>
      </c>
      <c r="W3045" s="10">
        <f>IF(A3045="c",LEFT(UPPER(B3045)&amp;REPT(" ",20),20),REPT(" ",20))</f>
        <v/>
      </c>
      <c r="X3045" s="10">
        <f>IF(A3045="C",LEFT(UPPER(C3045)&amp;REPT(" ",10),10)," ")</f>
        <v/>
      </c>
      <c r="Y3045" s="10">
        <f>IF(A3045="C",LEFT(UPPER(D3045)&amp;REPT(" ",2),2)," ")</f>
        <v/>
      </c>
      <c r="Z3045" s="10">
        <f>IF(A3045="C",LEFT(UPPER(E3045)&amp;REPT(" ",15),15)," ")</f>
        <v/>
      </c>
      <c r="AA3045" s="10">
        <f>REPT(" ",8)</f>
        <v/>
      </c>
      <c r="AB3045" s="10">
        <f>REPT(" ",4)</f>
        <v/>
      </c>
      <c r="AC3045" s="10">
        <f>LEFT(UPPER(H3045)&amp;REPT(" ",250),250)</f>
        <v/>
      </c>
      <c r="AD3045" s="10">
        <f>TEXT($G$2,"dd/mm/aaaa")</f>
        <v/>
      </c>
      <c r="AE3045" s="10">
        <f>REPT(" ",10)</f>
        <v/>
      </c>
      <c r="AF3045" s="10">
        <f>REPT(" ",20)</f>
        <v/>
      </c>
      <c r="AG3045" s="54">
        <f>REPT(" ",18-LEN(FIXED(F3045,2,TRUE)))&amp;FIXED(F3045,2,TRUE)</f>
        <v/>
      </c>
      <c r="AH3045" s="10">
        <f>LEN(AC3045)+LEN(AG3045)</f>
        <v/>
      </c>
      <c r="AI3045" s="10">
        <f>LEN(L3045)</f>
        <v/>
      </c>
    </row>
    <row r="3046">
      <c r="J3046" s="12">
        <f>IF(F3046&lt;&gt;0,"LANÇAR","")</f>
        <v/>
      </c>
      <c r="L3046" s="13">
        <f>N3046&amp;O3046&amp;P3046&amp;Q3046&amp;R3046&amp;S3046&amp;T3046&amp;U3046&amp;V3046&amp;W3046&amp;X3046&amp;Y3046&amp;Z3046&amp;AA3046&amp;AB3046&amp;AC3046&amp;AD3046&amp;AE3046&amp;AF3046&amp;AG3046</f>
        <v/>
      </c>
      <c r="N3046" s="10">
        <f>TEXT($B$6,"00")</f>
        <v/>
      </c>
      <c r="O3046" s="10">
        <f>REPT(" ",8)</f>
        <v/>
      </c>
      <c r="P3046" s="10">
        <f>RIGHT($B$4,2)</f>
        <v/>
      </c>
      <c r="Q3046" s="10">
        <f>RIGHT($B$5,3)</f>
        <v/>
      </c>
      <c r="R3046" s="10">
        <f>IF(A3046="D",LEFT(UPPER(B3046)&amp;REPT(" ",20),20),REPT(" ",20))</f>
        <v/>
      </c>
      <c r="S3046" s="10">
        <f>IF(A3046="D",LEFT(UPPER(C3046)&amp;REPT(" ",10),10)," ")</f>
        <v/>
      </c>
      <c r="T3046" s="10">
        <f>IF(A3046="D",LEFT(UPPER(D3046)&amp;REPT(" ",2),2)," ")</f>
        <v/>
      </c>
      <c r="U3046" s="10">
        <f>IF(A3046="D",LEFT(UPPER(E3046)&amp;REPT(" ",15),15)," ")</f>
        <v/>
      </c>
      <c r="V3046" s="10">
        <f>REPT(" ",24)</f>
        <v/>
      </c>
      <c r="W3046" s="10">
        <f>IF(A3046="c",LEFT(UPPER(B3046)&amp;REPT(" ",20),20),REPT(" ",20))</f>
        <v/>
      </c>
      <c r="X3046" s="10">
        <f>IF(A3046="C",LEFT(UPPER(C3046)&amp;REPT(" ",10),10)," ")</f>
        <v/>
      </c>
      <c r="Y3046" s="10">
        <f>IF(A3046="C",LEFT(UPPER(D3046)&amp;REPT(" ",2),2)," ")</f>
        <v/>
      </c>
      <c r="Z3046" s="10">
        <f>IF(A3046="C",LEFT(UPPER(E3046)&amp;REPT(" ",15),15)," ")</f>
        <v/>
      </c>
      <c r="AA3046" s="10">
        <f>REPT(" ",8)</f>
        <v/>
      </c>
      <c r="AB3046" s="10">
        <f>REPT(" ",4)</f>
        <v/>
      </c>
      <c r="AC3046" s="10">
        <f>LEFT(UPPER(H3046)&amp;REPT(" ",250),250)</f>
        <v/>
      </c>
      <c r="AD3046" s="10">
        <f>TEXT($G$2,"dd/mm/aaaa")</f>
        <v/>
      </c>
      <c r="AE3046" s="10">
        <f>REPT(" ",10)</f>
        <v/>
      </c>
      <c r="AF3046" s="10">
        <f>REPT(" ",20)</f>
        <v/>
      </c>
      <c r="AG3046" s="54">
        <f>REPT(" ",18-LEN(FIXED(F3046,2,TRUE)))&amp;FIXED(F3046,2,TRUE)</f>
        <v/>
      </c>
      <c r="AH3046" s="10">
        <f>LEN(AC3046)+LEN(AG3046)</f>
        <v/>
      </c>
      <c r="AI3046" s="10">
        <f>LEN(L3046)</f>
        <v/>
      </c>
    </row>
    <row r="3047">
      <c r="J3047" s="12">
        <f>IF(F3047&lt;&gt;0,"LANÇAR","")</f>
        <v/>
      </c>
      <c r="L3047" s="13">
        <f>N3047&amp;O3047&amp;P3047&amp;Q3047&amp;R3047&amp;S3047&amp;T3047&amp;U3047&amp;V3047&amp;W3047&amp;X3047&amp;Y3047&amp;Z3047&amp;AA3047&amp;AB3047&amp;AC3047&amp;AD3047&amp;AE3047&amp;AF3047&amp;AG3047</f>
        <v/>
      </c>
      <c r="N3047" s="10">
        <f>TEXT($B$6,"00")</f>
        <v/>
      </c>
      <c r="O3047" s="10">
        <f>REPT(" ",8)</f>
        <v/>
      </c>
      <c r="P3047" s="10">
        <f>RIGHT($B$4,2)</f>
        <v/>
      </c>
      <c r="Q3047" s="10">
        <f>RIGHT($B$5,3)</f>
        <v/>
      </c>
      <c r="R3047" s="10">
        <f>IF(A3047="D",LEFT(UPPER(B3047)&amp;REPT(" ",20),20),REPT(" ",20))</f>
        <v/>
      </c>
      <c r="S3047" s="10">
        <f>IF(A3047="D",LEFT(UPPER(C3047)&amp;REPT(" ",10),10)," ")</f>
        <v/>
      </c>
      <c r="T3047" s="10">
        <f>IF(A3047="D",LEFT(UPPER(D3047)&amp;REPT(" ",2),2)," ")</f>
        <v/>
      </c>
      <c r="U3047" s="10">
        <f>IF(A3047="D",LEFT(UPPER(E3047)&amp;REPT(" ",15),15)," ")</f>
        <v/>
      </c>
      <c r="V3047" s="10">
        <f>REPT(" ",24)</f>
        <v/>
      </c>
      <c r="W3047" s="10">
        <f>IF(A3047="c",LEFT(UPPER(B3047)&amp;REPT(" ",20),20),REPT(" ",20))</f>
        <v/>
      </c>
      <c r="X3047" s="10">
        <f>IF(A3047="C",LEFT(UPPER(C3047)&amp;REPT(" ",10),10)," ")</f>
        <v/>
      </c>
      <c r="Y3047" s="10">
        <f>IF(A3047="C",LEFT(UPPER(D3047)&amp;REPT(" ",2),2)," ")</f>
        <v/>
      </c>
      <c r="Z3047" s="10">
        <f>IF(A3047="C",LEFT(UPPER(E3047)&amp;REPT(" ",15),15)," ")</f>
        <v/>
      </c>
      <c r="AA3047" s="10">
        <f>REPT(" ",8)</f>
        <v/>
      </c>
      <c r="AB3047" s="10">
        <f>REPT(" ",4)</f>
        <v/>
      </c>
      <c r="AC3047" s="10">
        <f>LEFT(UPPER(H3047)&amp;REPT(" ",250),250)</f>
        <v/>
      </c>
      <c r="AD3047" s="10">
        <f>TEXT($G$2,"dd/mm/aaaa")</f>
        <v/>
      </c>
      <c r="AE3047" s="10">
        <f>REPT(" ",10)</f>
        <v/>
      </c>
      <c r="AF3047" s="10">
        <f>REPT(" ",20)</f>
        <v/>
      </c>
      <c r="AG3047" s="54">
        <f>REPT(" ",18-LEN(FIXED(F3047,2,TRUE)))&amp;FIXED(F3047,2,TRUE)</f>
        <v/>
      </c>
      <c r="AH3047" s="10">
        <f>LEN(AC3047)+LEN(AG3047)</f>
        <v/>
      </c>
      <c r="AI3047" s="10">
        <f>LEN(L3047)</f>
        <v/>
      </c>
    </row>
    <row r="3048">
      <c r="J3048" s="12">
        <f>IF(F3048&lt;&gt;0,"LANÇAR","")</f>
        <v/>
      </c>
      <c r="L3048" s="13">
        <f>N3048&amp;O3048&amp;P3048&amp;Q3048&amp;R3048&amp;S3048&amp;T3048&amp;U3048&amp;V3048&amp;W3048&amp;X3048&amp;Y3048&amp;Z3048&amp;AA3048&amp;AB3048&amp;AC3048&amp;AD3048&amp;AE3048&amp;AF3048&amp;AG3048</f>
        <v/>
      </c>
      <c r="N3048" s="10">
        <f>TEXT($B$6,"00")</f>
        <v/>
      </c>
      <c r="O3048" s="10">
        <f>REPT(" ",8)</f>
        <v/>
      </c>
      <c r="P3048" s="10">
        <f>RIGHT($B$4,2)</f>
        <v/>
      </c>
      <c r="Q3048" s="10">
        <f>RIGHT($B$5,3)</f>
        <v/>
      </c>
      <c r="R3048" s="10">
        <f>IF(A3048="D",LEFT(UPPER(B3048)&amp;REPT(" ",20),20),REPT(" ",20))</f>
        <v/>
      </c>
      <c r="S3048" s="10">
        <f>IF(A3048="D",LEFT(UPPER(C3048)&amp;REPT(" ",10),10)," ")</f>
        <v/>
      </c>
      <c r="T3048" s="10">
        <f>IF(A3048="D",LEFT(UPPER(D3048)&amp;REPT(" ",2),2)," ")</f>
        <v/>
      </c>
      <c r="U3048" s="10">
        <f>IF(A3048="D",LEFT(UPPER(E3048)&amp;REPT(" ",15),15)," ")</f>
        <v/>
      </c>
      <c r="V3048" s="10">
        <f>REPT(" ",24)</f>
        <v/>
      </c>
      <c r="W3048" s="10">
        <f>IF(A3048="c",LEFT(UPPER(B3048)&amp;REPT(" ",20),20),REPT(" ",20))</f>
        <v/>
      </c>
      <c r="X3048" s="10">
        <f>IF(A3048="C",LEFT(UPPER(C3048)&amp;REPT(" ",10),10)," ")</f>
        <v/>
      </c>
      <c r="Y3048" s="10">
        <f>IF(A3048="C",LEFT(UPPER(D3048)&amp;REPT(" ",2),2)," ")</f>
        <v/>
      </c>
      <c r="Z3048" s="10">
        <f>IF(A3048="C",LEFT(UPPER(E3048)&amp;REPT(" ",15),15)," ")</f>
        <v/>
      </c>
      <c r="AA3048" s="10">
        <f>REPT(" ",8)</f>
        <v/>
      </c>
      <c r="AB3048" s="10">
        <f>REPT(" ",4)</f>
        <v/>
      </c>
      <c r="AC3048" s="10">
        <f>LEFT(UPPER(H3048)&amp;REPT(" ",250),250)</f>
        <v/>
      </c>
      <c r="AD3048" s="10">
        <f>TEXT($G$2,"dd/mm/aaaa")</f>
        <v/>
      </c>
      <c r="AE3048" s="10">
        <f>REPT(" ",10)</f>
        <v/>
      </c>
      <c r="AF3048" s="10">
        <f>REPT(" ",20)</f>
        <v/>
      </c>
      <c r="AG3048" s="54">
        <f>REPT(" ",18-LEN(FIXED(F3048,2,TRUE)))&amp;FIXED(F3048,2,TRUE)</f>
        <v/>
      </c>
      <c r="AH3048" s="10">
        <f>LEN(AC3048)+LEN(AG3048)</f>
        <v/>
      </c>
      <c r="AI3048" s="10">
        <f>LEN(L3048)</f>
        <v/>
      </c>
    </row>
    <row r="3049">
      <c r="J3049" s="12">
        <f>IF(F3049&lt;&gt;0,"LANÇAR","")</f>
        <v/>
      </c>
      <c r="L3049" s="13">
        <f>N3049&amp;O3049&amp;P3049&amp;Q3049&amp;R3049&amp;S3049&amp;T3049&amp;U3049&amp;V3049&amp;W3049&amp;X3049&amp;Y3049&amp;Z3049&amp;AA3049&amp;AB3049&amp;AC3049&amp;AD3049&amp;AE3049&amp;AF3049&amp;AG3049</f>
        <v/>
      </c>
      <c r="N3049" s="10">
        <f>TEXT($B$6,"00")</f>
        <v/>
      </c>
      <c r="O3049" s="10">
        <f>REPT(" ",8)</f>
        <v/>
      </c>
      <c r="P3049" s="10">
        <f>RIGHT($B$4,2)</f>
        <v/>
      </c>
      <c r="Q3049" s="10">
        <f>RIGHT($B$5,3)</f>
        <v/>
      </c>
      <c r="R3049" s="10">
        <f>IF(A3049="D",LEFT(UPPER(B3049)&amp;REPT(" ",20),20),REPT(" ",20))</f>
        <v/>
      </c>
      <c r="S3049" s="10">
        <f>IF(A3049="D",LEFT(UPPER(C3049)&amp;REPT(" ",10),10)," ")</f>
        <v/>
      </c>
      <c r="T3049" s="10">
        <f>IF(A3049="D",LEFT(UPPER(D3049)&amp;REPT(" ",2),2)," ")</f>
        <v/>
      </c>
      <c r="U3049" s="10">
        <f>IF(A3049="D",LEFT(UPPER(E3049)&amp;REPT(" ",15),15)," ")</f>
        <v/>
      </c>
      <c r="V3049" s="10">
        <f>REPT(" ",24)</f>
        <v/>
      </c>
      <c r="W3049" s="10">
        <f>IF(A3049="c",LEFT(UPPER(B3049)&amp;REPT(" ",20),20),REPT(" ",20))</f>
        <v/>
      </c>
      <c r="X3049" s="10">
        <f>IF(A3049="C",LEFT(UPPER(C3049)&amp;REPT(" ",10),10)," ")</f>
        <v/>
      </c>
      <c r="Y3049" s="10">
        <f>IF(A3049="C",LEFT(UPPER(D3049)&amp;REPT(" ",2),2)," ")</f>
        <v/>
      </c>
      <c r="Z3049" s="10">
        <f>IF(A3049="C",LEFT(UPPER(E3049)&amp;REPT(" ",15),15)," ")</f>
        <v/>
      </c>
      <c r="AA3049" s="10">
        <f>REPT(" ",8)</f>
        <v/>
      </c>
      <c r="AB3049" s="10">
        <f>REPT(" ",4)</f>
        <v/>
      </c>
      <c r="AC3049" s="10">
        <f>LEFT(UPPER(H3049)&amp;REPT(" ",250),250)</f>
        <v/>
      </c>
      <c r="AD3049" s="10">
        <f>TEXT($G$2,"dd/mm/aaaa")</f>
        <v/>
      </c>
      <c r="AE3049" s="10">
        <f>REPT(" ",10)</f>
        <v/>
      </c>
      <c r="AF3049" s="10">
        <f>REPT(" ",20)</f>
        <v/>
      </c>
      <c r="AG3049" s="54">
        <f>REPT(" ",18-LEN(FIXED(F3049,2,TRUE)))&amp;FIXED(F3049,2,TRUE)</f>
        <v/>
      </c>
      <c r="AH3049" s="10">
        <f>LEN(AC3049)+LEN(AG3049)</f>
        <v/>
      </c>
      <c r="AI3049" s="10">
        <f>LEN(L3049)</f>
        <v/>
      </c>
    </row>
    <row r="3050">
      <c r="J3050" s="12">
        <f>IF(F3050&lt;&gt;0,"LANÇAR","")</f>
        <v/>
      </c>
      <c r="L3050" s="13">
        <f>N3050&amp;O3050&amp;P3050&amp;Q3050&amp;R3050&amp;S3050&amp;T3050&amp;U3050&amp;V3050&amp;W3050&amp;X3050&amp;Y3050&amp;Z3050&amp;AA3050&amp;AB3050&amp;AC3050&amp;AD3050&amp;AE3050&amp;AF3050&amp;AG3050</f>
        <v/>
      </c>
      <c r="N3050" s="10">
        <f>TEXT($B$6,"00")</f>
        <v/>
      </c>
      <c r="O3050" s="10">
        <f>REPT(" ",8)</f>
        <v/>
      </c>
      <c r="P3050" s="10">
        <f>RIGHT($B$4,2)</f>
        <v/>
      </c>
      <c r="Q3050" s="10">
        <f>RIGHT($B$5,3)</f>
        <v/>
      </c>
      <c r="R3050" s="10">
        <f>IF(A3050="D",LEFT(UPPER(B3050)&amp;REPT(" ",20),20),REPT(" ",20))</f>
        <v/>
      </c>
      <c r="S3050" s="10">
        <f>IF(A3050="D",LEFT(UPPER(C3050)&amp;REPT(" ",10),10)," ")</f>
        <v/>
      </c>
      <c r="T3050" s="10">
        <f>IF(A3050="D",LEFT(UPPER(D3050)&amp;REPT(" ",2),2)," ")</f>
        <v/>
      </c>
      <c r="U3050" s="10">
        <f>IF(A3050="D",LEFT(UPPER(E3050)&amp;REPT(" ",15),15)," ")</f>
        <v/>
      </c>
      <c r="V3050" s="10">
        <f>REPT(" ",24)</f>
        <v/>
      </c>
      <c r="W3050" s="10">
        <f>IF(A3050="c",LEFT(UPPER(B3050)&amp;REPT(" ",20),20),REPT(" ",20))</f>
        <v/>
      </c>
      <c r="X3050" s="10">
        <f>IF(A3050="C",LEFT(UPPER(C3050)&amp;REPT(" ",10),10)," ")</f>
        <v/>
      </c>
      <c r="Y3050" s="10">
        <f>IF(A3050="C",LEFT(UPPER(D3050)&amp;REPT(" ",2),2)," ")</f>
        <v/>
      </c>
      <c r="Z3050" s="10">
        <f>IF(A3050="C",LEFT(UPPER(E3050)&amp;REPT(" ",15),15)," ")</f>
        <v/>
      </c>
      <c r="AA3050" s="10">
        <f>REPT(" ",8)</f>
        <v/>
      </c>
      <c r="AB3050" s="10">
        <f>REPT(" ",4)</f>
        <v/>
      </c>
      <c r="AC3050" s="10">
        <f>LEFT(UPPER(H3050)&amp;REPT(" ",250),250)</f>
        <v/>
      </c>
      <c r="AD3050" s="10">
        <f>TEXT($G$2,"dd/mm/aaaa")</f>
        <v/>
      </c>
      <c r="AE3050" s="10">
        <f>REPT(" ",10)</f>
        <v/>
      </c>
      <c r="AF3050" s="10">
        <f>REPT(" ",20)</f>
        <v/>
      </c>
      <c r="AG3050" s="54">
        <f>REPT(" ",18-LEN(FIXED(F3050,2,TRUE)))&amp;FIXED(F3050,2,TRUE)</f>
        <v/>
      </c>
      <c r="AH3050" s="10">
        <f>LEN(AC3050)+LEN(AG3050)</f>
        <v/>
      </c>
      <c r="AI3050" s="10">
        <f>LEN(L3050)</f>
        <v/>
      </c>
    </row>
    <row r="3051">
      <c r="J3051" s="12">
        <f>IF(F3051&lt;&gt;0,"LANÇAR","")</f>
        <v/>
      </c>
      <c r="L3051" s="13">
        <f>N3051&amp;O3051&amp;P3051&amp;Q3051&amp;R3051&amp;S3051&amp;T3051&amp;U3051&amp;V3051&amp;W3051&amp;X3051&amp;Y3051&amp;Z3051&amp;AA3051&amp;AB3051&amp;AC3051&amp;AD3051&amp;AE3051&amp;AF3051&amp;AG3051</f>
        <v/>
      </c>
      <c r="N3051" s="10">
        <f>TEXT($B$6,"00")</f>
        <v/>
      </c>
      <c r="O3051" s="10">
        <f>REPT(" ",8)</f>
        <v/>
      </c>
      <c r="P3051" s="10">
        <f>RIGHT($B$4,2)</f>
        <v/>
      </c>
      <c r="Q3051" s="10">
        <f>RIGHT($B$5,3)</f>
        <v/>
      </c>
      <c r="R3051" s="10">
        <f>IF(A3051="D",LEFT(UPPER(B3051)&amp;REPT(" ",20),20),REPT(" ",20))</f>
        <v/>
      </c>
      <c r="S3051" s="10">
        <f>IF(A3051="D",LEFT(UPPER(C3051)&amp;REPT(" ",10),10)," ")</f>
        <v/>
      </c>
      <c r="T3051" s="10">
        <f>IF(A3051="D",LEFT(UPPER(D3051)&amp;REPT(" ",2),2)," ")</f>
        <v/>
      </c>
      <c r="U3051" s="10">
        <f>IF(A3051="D",LEFT(UPPER(E3051)&amp;REPT(" ",15),15)," ")</f>
        <v/>
      </c>
      <c r="V3051" s="10">
        <f>REPT(" ",24)</f>
        <v/>
      </c>
      <c r="W3051" s="10">
        <f>IF(A3051="c",LEFT(UPPER(B3051)&amp;REPT(" ",20),20),REPT(" ",20))</f>
        <v/>
      </c>
      <c r="X3051" s="10">
        <f>IF(A3051="C",LEFT(UPPER(C3051)&amp;REPT(" ",10),10)," ")</f>
        <v/>
      </c>
      <c r="Y3051" s="10">
        <f>IF(A3051="C",LEFT(UPPER(D3051)&amp;REPT(" ",2),2)," ")</f>
        <v/>
      </c>
      <c r="Z3051" s="10">
        <f>IF(A3051="C",LEFT(UPPER(E3051)&amp;REPT(" ",15),15)," ")</f>
        <v/>
      </c>
      <c r="AA3051" s="10">
        <f>REPT(" ",8)</f>
        <v/>
      </c>
      <c r="AB3051" s="10">
        <f>REPT(" ",4)</f>
        <v/>
      </c>
      <c r="AC3051" s="10">
        <f>LEFT(UPPER(H3051)&amp;REPT(" ",250),250)</f>
        <v/>
      </c>
      <c r="AD3051" s="10">
        <f>TEXT($G$2,"dd/mm/aaaa")</f>
        <v/>
      </c>
      <c r="AE3051" s="10">
        <f>REPT(" ",10)</f>
        <v/>
      </c>
      <c r="AF3051" s="10">
        <f>REPT(" ",20)</f>
        <v/>
      </c>
      <c r="AG3051" s="54">
        <f>REPT(" ",18-LEN(FIXED(F3051,2,TRUE)))&amp;FIXED(F3051,2,TRUE)</f>
        <v/>
      </c>
      <c r="AH3051" s="10">
        <f>LEN(AC3051)+LEN(AG3051)</f>
        <v/>
      </c>
      <c r="AI3051" s="10">
        <f>LEN(L3051)</f>
        <v/>
      </c>
    </row>
    <row r="3052">
      <c r="J3052" s="12">
        <f>IF(F3052&lt;&gt;0,"LANÇAR","")</f>
        <v/>
      </c>
      <c r="L3052" s="13">
        <f>N3052&amp;O3052&amp;P3052&amp;Q3052&amp;R3052&amp;S3052&amp;T3052&amp;U3052&amp;V3052&amp;W3052&amp;X3052&amp;Y3052&amp;Z3052&amp;AA3052&amp;AB3052&amp;AC3052&amp;AD3052&amp;AE3052&amp;AF3052&amp;AG3052</f>
        <v/>
      </c>
      <c r="N3052" s="10">
        <f>TEXT($B$6,"00")</f>
        <v/>
      </c>
      <c r="O3052" s="10">
        <f>REPT(" ",8)</f>
        <v/>
      </c>
      <c r="P3052" s="10">
        <f>RIGHT($B$4,2)</f>
        <v/>
      </c>
      <c r="Q3052" s="10">
        <f>RIGHT($B$5,3)</f>
        <v/>
      </c>
      <c r="R3052" s="10">
        <f>IF(A3052="D",LEFT(UPPER(B3052)&amp;REPT(" ",20),20),REPT(" ",20))</f>
        <v/>
      </c>
      <c r="S3052" s="10">
        <f>IF(A3052="D",LEFT(UPPER(C3052)&amp;REPT(" ",10),10)," ")</f>
        <v/>
      </c>
      <c r="T3052" s="10">
        <f>IF(A3052="D",LEFT(UPPER(D3052)&amp;REPT(" ",2),2)," ")</f>
        <v/>
      </c>
      <c r="U3052" s="10">
        <f>IF(A3052="D",LEFT(UPPER(E3052)&amp;REPT(" ",15),15)," ")</f>
        <v/>
      </c>
      <c r="V3052" s="10">
        <f>REPT(" ",24)</f>
        <v/>
      </c>
      <c r="W3052" s="10">
        <f>IF(A3052="c",LEFT(UPPER(B3052)&amp;REPT(" ",20),20),REPT(" ",20))</f>
        <v/>
      </c>
      <c r="X3052" s="10">
        <f>IF(A3052="C",LEFT(UPPER(C3052)&amp;REPT(" ",10),10)," ")</f>
        <v/>
      </c>
      <c r="Y3052" s="10">
        <f>IF(A3052="C",LEFT(UPPER(D3052)&amp;REPT(" ",2),2)," ")</f>
        <v/>
      </c>
      <c r="Z3052" s="10">
        <f>IF(A3052="C",LEFT(UPPER(E3052)&amp;REPT(" ",15),15)," ")</f>
        <v/>
      </c>
      <c r="AA3052" s="10">
        <f>REPT(" ",8)</f>
        <v/>
      </c>
      <c r="AB3052" s="10">
        <f>REPT(" ",4)</f>
        <v/>
      </c>
      <c r="AC3052" s="10">
        <f>LEFT(UPPER(H3052)&amp;REPT(" ",250),250)</f>
        <v/>
      </c>
      <c r="AD3052" s="10">
        <f>TEXT($G$2,"dd/mm/aaaa")</f>
        <v/>
      </c>
      <c r="AE3052" s="10">
        <f>REPT(" ",10)</f>
        <v/>
      </c>
      <c r="AF3052" s="10">
        <f>REPT(" ",20)</f>
        <v/>
      </c>
      <c r="AG3052" s="54">
        <f>REPT(" ",18-LEN(FIXED(F3052,2,TRUE)))&amp;FIXED(F3052,2,TRUE)</f>
        <v/>
      </c>
      <c r="AH3052" s="10">
        <f>LEN(AC3052)+LEN(AG3052)</f>
        <v/>
      </c>
      <c r="AI3052" s="10">
        <f>LEN(L3052)</f>
        <v/>
      </c>
    </row>
    <row r="3053">
      <c r="J3053" s="12">
        <f>IF(F3053&lt;&gt;0,"LANÇAR","")</f>
        <v/>
      </c>
      <c r="L3053" s="13">
        <f>N3053&amp;O3053&amp;P3053&amp;Q3053&amp;R3053&amp;S3053&amp;T3053&amp;U3053&amp;V3053&amp;W3053&amp;X3053&amp;Y3053&amp;Z3053&amp;AA3053&amp;AB3053&amp;AC3053&amp;AD3053&amp;AE3053&amp;AF3053&amp;AG3053</f>
        <v/>
      </c>
      <c r="N3053" s="10">
        <f>TEXT($B$6,"00")</f>
        <v/>
      </c>
      <c r="O3053" s="10">
        <f>REPT(" ",8)</f>
        <v/>
      </c>
      <c r="P3053" s="10">
        <f>RIGHT($B$4,2)</f>
        <v/>
      </c>
      <c r="Q3053" s="10">
        <f>RIGHT($B$5,3)</f>
        <v/>
      </c>
      <c r="R3053" s="10">
        <f>IF(A3053="D",LEFT(UPPER(B3053)&amp;REPT(" ",20),20),REPT(" ",20))</f>
        <v/>
      </c>
      <c r="S3053" s="10">
        <f>IF(A3053="D",LEFT(UPPER(C3053)&amp;REPT(" ",10),10)," ")</f>
        <v/>
      </c>
      <c r="T3053" s="10">
        <f>IF(A3053="D",LEFT(UPPER(D3053)&amp;REPT(" ",2),2)," ")</f>
        <v/>
      </c>
      <c r="U3053" s="10">
        <f>IF(A3053="D",LEFT(UPPER(E3053)&amp;REPT(" ",15),15)," ")</f>
        <v/>
      </c>
      <c r="V3053" s="10">
        <f>REPT(" ",24)</f>
        <v/>
      </c>
      <c r="W3053" s="10">
        <f>IF(A3053="c",LEFT(UPPER(B3053)&amp;REPT(" ",20),20),REPT(" ",20))</f>
        <v/>
      </c>
      <c r="X3053" s="10">
        <f>IF(A3053="C",LEFT(UPPER(C3053)&amp;REPT(" ",10),10)," ")</f>
        <v/>
      </c>
      <c r="Y3053" s="10">
        <f>IF(A3053="C",LEFT(UPPER(D3053)&amp;REPT(" ",2),2)," ")</f>
        <v/>
      </c>
      <c r="Z3053" s="10">
        <f>IF(A3053="C",LEFT(UPPER(E3053)&amp;REPT(" ",15),15)," ")</f>
        <v/>
      </c>
      <c r="AA3053" s="10">
        <f>REPT(" ",8)</f>
        <v/>
      </c>
      <c r="AB3053" s="10">
        <f>REPT(" ",4)</f>
        <v/>
      </c>
      <c r="AC3053" s="10">
        <f>LEFT(UPPER(H3053)&amp;REPT(" ",250),250)</f>
        <v/>
      </c>
      <c r="AD3053" s="10">
        <f>TEXT($G$2,"dd/mm/aaaa")</f>
        <v/>
      </c>
      <c r="AE3053" s="10">
        <f>REPT(" ",10)</f>
        <v/>
      </c>
      <c r="AF3053" s="10">
        <f>REPT(" ",20)</f>
        <v/>
      </c>
      <c r="AG3053" s="54">
        <f>REPT(" ",18-LEN(FIXED(F3053,2,TRUE)))&amp;FIXED(F3053,2,TRUE)</f>
        <v/>
      </c>
      <c r="AH3053" s="10">
        <f>LEN(AC3053)+LEN(AG3053)</f>
        <v/>
      </c>
      <c r="AI3053" s="10">
        <f>LEN(L3053)</f>
        <v/>
      </c>
    </row>
    <row r="3054">
      <c r="J3054" s="12">
        <f>IF(F3054&lt;&gt;0,"LANÇAR","")</f>
        <v/>
      </c>
      <c r="L3054" s="13">
        <f>N3054&amp;O3054&amp;P3054&amp;Q3054&amp;R3054&amp;S3054&amp;T3054&amp;U3054&amp;V3054&amp;W3054&amp;X3054&amp;Y3054&amp;Z3054&amp;AA3054&amp;AB3054&amp;AC3054&amp;AD3054&amp;AE3054&amp;AF3054&amp;AG3054</f>
        <v/>
      </c>
      <c r="N3054" s="10">
        <f>TEXT($B$6,"00")</f>
        <v/>
      </c>
      <c r="O3054" s="10">
        <f>REPT(" ",8)</f>
        <v/>
      </c>
      <c r="P3054" s="10">
        <f>RIGHT($B$4,2)</f>
        <v/>
      </c>
      <c r="Q3054" s="10">
        <f>RIGHT($B$5,3)</f>
        <v/>
      </c>
      <c r="R3054" s="10">
        <f>IF(A3054="D",LEFT(UPPER(B3054)&amp;REPT(" ",20),20),REPT(" ",20))</f>
        <v/>
      </c>
      <c r="S3054" s="10">
        <f>IF(A3054="D",LEFT(UPPER(C3054)&amp;REPT(" ",10),10)," ")</f>
        <v/>
      </c>
      <c r="T3054" s="10">
        <f>IF(A3054="D",LEFT(UPPER(D3054)&amp;REPT(" ",2),2)," ")</f>
        <v/>
      </c>
      <c r="U3054" s="10">
        <f>IF(A3054="D",LEFT(UPPER(E3054)&amp;REPT(" ",15),15)," ")</f>
        <v/>
      </c>
      <c r="V3054" s="10">
        <f>REPT(" ",24)</f>
        <v/>
      </c>
      <c r="W3054" s="10">
        <f>IF(A3054="c",LEFT(UPPER(B3054)&amp;REPT(" ",20),20),REPT(" ",20))</f>
        <v/>
      </c>
      <c r="X3054" s="10">
        <f>IF(A3054="C",LEFT(UPPER(C3054)&amp;REPT(" ",10),10)," ")</f>
        <v/>
      </c>
      <c r="Y3054" s="10">
        <f>IF(A3054="C",LEFT(UPPER(D3054)&amp;REPT(" ",2),2)," ")</f>
        <v/>
      </c>
      <c r="Z3054" s="10">
        <f>IF(A3054="C",LEFT(UPPER(E3054)&amp;REPT(" ",15),15)," ")</f>
        <v/>
      </c>
      <c r="AA3054" s="10">
        <f>REPT(" ",8)</f>
        <v/>
      </c>
      <c r="AB3054" s="10">
        <f>REPT(" ",4)</f>
        <v/>
      </c>
      <c r="AC3054" s="10">
        <f>LEFT(UPPER(H3054)&amp;REPT(" ",250),250)</f>
        <v/>
      </c>
      <c r="AD3054" s="10">
        <f>TEXT($G$2,"dd/mm/aaaa")</f>
        <v/>
      </c>
      <c r="AE3054" s="10">
        <f>REPT(" ",10)</f>
        <v/>
      </c>
      <c r="AF3054" s="10">
        <f>REPT(" ",20)</f>
        <v/>
      </c>
      <c r="AG3054" s="54">
        <f>REPT(" ",18-LEN(FIXED(F3054,2,TRUE)))&amp;FIXED(F3054,2,TRUE)</f>
        <v/>
      </c>
      <c r="AH3054" s="10">
        <f>LEN(AC3054)+LEN(AG3054)</f>
        <v/>
      </c>
      <c r="AI3054" s="10">
        <f>LEN(L3054)</f>
        <v/>
      </c>
    </row>
    <row r="3055">
      <c r="J3055" s="12">
        <f>IF(F3055&lt;&gt;0,"LANÇAR","")</f>
        <v/>
      </c>
      <c r="L3055" s="13">
        <f>N3055&amp;O3055&amp;P3055&amp;Q3055&amp;R3055&amp;S3055&amp;T3055&amp;U3055&amp;V3055&amp;W3055&amp;X3055&amp;Y3055&amp;Z3055&amp;AA3055&amp;AB3055&amp;AC3055&amp;AD3055&amp;AE3055&amp;AF3055&amp;AG3055</f>
        <v/>
      </c>
      <c r="N3055" s="10">
        <f>TEXT($B$6,"00")</f>
        <v/>
      </c>
      <c r="O3055" s="10">
        <f>REPT(" ",8)</f>
        <v/>
      </c>
      <c r="P3055" s="10">
        <f>RIGHT($B$4,2)</f>
        <v/>
      </c>
      <c r="Q3055" s="10">
        <f>RIGHT($B$5,3)</f>
        <v/>
      </c>
      <c r="R3055" s="10">
        <f>IF(A3055="D",LEFT(UPPER(B3055)&amp;REPT(" ",20),20),REPT(" ",20))</f>
        <v/>
      </c>
      <c r="S3055" s="10">
        <f>IF(A3055="D",LEFT(UPPER(C3055)&amp;REPT(" ",10),10)," ")</f>
        <v/>
      </c>
      <c r="T3055" s="10">
        <f>IF(A3055="D",LEFT(UPPER(D3055)&amp;REPT(" ",2),2)," ")</f>
        <v/>
      </c>
      <c r="U3055" s="10">
        <f>IF(A3055="D",LEFT(UPPER(E3055)&amp;REPT(" ",15),15)," ")</f>
        <v/>
      </c>
      <c r="V3055" s="10">
        <f>REPT(" ",24)</f>
        <v/>
      </c>
      <c r="W3055" s="10">
        <f>IF(A3055="c",LEFT(UPPER(B3055)&amp;REPT(" ",20),20),REPT(" ",20))</f>
        <v/>
      </c>
      <c r="X3055" s="10">
        <f>IF(A3055="C",LEFT(UPPER(C3055)&amp;REPT(" ",10),10)," ")</f>
        <v/>
      </c>
      <c r="Y3055" s="10">
        <f>IF(A3055="C",LEFT(UPPER(D3055)&amp;REPT(" ",2),2)," ")</f>
        <v/>
      </c>
      <c r="Z3055" s="10">
        <f>IF(A3055="C",LEFT(UPPER(E3055)&amp;REPT(" ",15),15)," ")</f>
        <v/>
      </c>
      <c r="AA3055" s="10">
        <f>REPT(" ",8)</f>
        <v/>
      </c>
      <c r="AB3055" s="10">
        <f>REPT(" ",4)</f>
        <v/>
      </c>
      <c r="AC3055" s="10">
        <f>LEFT(UPPER(H3055)&amp;REPT(" ",250),250)</f>
        <v/>
      </c>
      <c r="AD3055" s="10">
        <f>TEXT($G$2,"dd/mm/aaaa")</f>
        <v/>
      </c>
      <c r="AE3055" s="10">
        <f>REPT(" ",10)</f>
        <v/>
      </c>
      <c r="AF3055" s="10">
        <f>REPT(" ",20)</f>
        <v/>
      </c>
      <c r="AG3055" s="54">
        <f>REPT(" ",18-LEN(FIXED(F3055,2,TRUE)))&amp;FIXED(F3055,2,TRUE)</f>
        <v/>
      </c>
      <c r="AH3055" s="10">
        <f>LEN(AC3055)+LEN(AG3055)</f>
        <v/>
      </c>
      <c r="AI3055" s="10">
        <f>LEN(L3055)</f>
        <v/>
      </c>
    </row>
    <row r="3056">
      <c r="J3056" s="12">
        <f>IF(F3056&lt;&gt;0,"LANÇAR","")</f>
        <v/>
      </c>
      <c r="L3056" s="13">
        <f>N3056&amp;O3056&amp;P3056&amp;Q3056&amp;R3056&amp;S3056&amp;T3056&amp;U3056&amp;V3056&amp;W3056&amp;X3056&amp;Y3056&amp;Z3056&amp;AA3056&amp;AB3056&amp;AC3056&amp;AD3056&amp;AE3056&amp;AF3056&amp;AG3056</f>
        <v/>
      </c>
      <c r="N3056" s="10">
        <f>TEXT($B$6,"00")</f>
        <v/>
      </c>
      <c r="O3056" s="10">
        <f>REPT(" ",8)</f>
        <v/>
      </c>
      <c r="P3056" s="10">
        <f>RIGHT($B$4,2)</f>
        <v/>
      </c>
      <c r="Q3056" s="10">
        <f>RIGHT($B$5,3)</f>
        <v/>
      </c>
      <c r="R3056" s="10">
        <f>IF(A3056="D",LEFT(UPPER(B3056)&amp;REPT(" ",20),20),REPT(" ",20))</f>
        <v/>
      </c>
      <c r="S3056" s="10">
        <f>IF(A3056="D",LEFT(UPPER(C3056)&amp;REPT(" ",10),10)," ")</f>
        <v/>
      </c>
      <c r="T3056" s="10">
        <f>IF(A3056="D",LEFT(UPPER(D3056)&amp;REPT(" ",2),2)," ")</f>
        <v/>
      </c>
      <c r="U3056" s="10">
        <f>IF(A3056="D",LEFT(UPPER(E3056)&amp;REPT(" ",15),15)," ")</f>
        <v/>
      </c>
      <c r="V3056" s="10">
        <f>REPT(" ",24)</f>
        <v/>
      </c>
      <c r="W3056" s="10">
        <f>IF(A3056="c",LEFT(UPPER(B3056)&amp;REPT(" ",20),20),REPT(" ",20))</f>
        <v/>
      </c>
      <c r="X3056" s="10">
        <f>IF(A3056="C",LEFT(UPPER(C3056)&amp;REPT(" ",10),10)," ")</f>
        <v/>
      </c>
      <c r="Y3056" s="10">
        <f>IF(A3056="C",LEFT(UPPER(D3056)&amp;REPT(" ",2),2)," ")</f>
        <v/>
      </c>
      <c r="Z3056" s="10">
        <f>IF(A3056="C",LEFT(UPPER(E3056)&amp;REPT(" ",15),15)," ")</f>
        <v/>
      </c>
      <c r="AA3056" s="10">
        <f>REPT(" ",8)</f>
        <v/>
      </c>
      <c r="AB3056" s="10">
        <f>REPT(" ",4)</f>
        <v/>
      </c>
      <c r="AC3056" s="10">
        <f>LEFT(UPPER(H3056)&amp;REPT(" ",250),250)</f>
        <v/>
      </c>
      <c r="AD3056" s="10">
        <f>TEXT($G$2,"dd/mm/aaaa")</f>
        <v/>
      </c>
      <c r="AE3056" s="10">
        <f>REPT(" ",10)</f>
        <v/>
      </c>
      <c r="AF3056" s="10">
        <f>REPT(" ",20)</f>
        <v/>
      </c>
      <c r="AG3056" s="54">
        <f>REPT(" ",18-LEN(FIXED(F3056,2,TRUE)))&amp;FIXED(F3056,2,TRUE)</f>
        <v/>
      </c>
      <c r="AH3056" s="10">
        <f>LEN(AC3056)+LEN(AG3056)</f>
        <v/>
      </c>
      <c r="AI3056" s="10">
        <f>LEN(L3056)</f>
        <v/>
      </c>
    </row>
    <row r="3057">
      <c r="J3057" s="12">
        <f>IF(F3057&lt;&gt;0,"LANÇAR","")</f>
        <v/>
      </c>
      <c r="L3057" s="13">
        <f>N3057&amp;O3057&amp;P3057&amp;Q3057&amp;R3057&amp;S3057&amp;T3057&amp;U3057&amp;V3057&amp;W3057&amp;X3057&amp;Y3057&amp;Z3057&amp;AA3057&amp;AB3057&amp;AC3057&amp;AD3057&amp;AE3057&amp;AF3057&amp;AG3057</f>
        <v/>
      </c>
      <c r="N3057" s="10">
        <f>TEXT($B$6,"00")</f>
        <v/>
      </c>
      <c r="O3057" s="10">
        <f>REPT(" ",8)</f>
        <v/>
      </c>
      <c r="P3057" s="10">
        <f>RIGHT($B$4,2)</f>
        <v/>
      </c>
      <c r="Q3057" s="10">
        <f>RIGHT($B$5,3)</f>
        <v/>
      </c>
      <c r="R3057" s="10">
        <f>IF(A3057="D",LEFT(UPPER(B3057)&amp;REPT(" ",20),20),REPT(" ",20))</f>
        <v/>
      </c>
      <c r="S3057" s="10">
        <f>IF(A3057="D",LEFT(UPPER(C3057)&amp;REPT(" ",10),10)," ")</f>
        <v/>
      </c>
      <c r="T3057" s="10">
        <f>IF(A3057="D",LEFT(UPPER(D3057)&amp;REPT(" ",2),2)," ")</f>
        <v/>
      </c>
      <c r="U3057" s="10">
        <f>IF(A3057="D",LEFT(UPPER(E3057)&amp;REPT(" ",15),15)," ")</f>
        <v/>
      </c>
      <c r="V3057" s="10">
        <f>REPT(" ",24)</f>
        <v/>
      </c>
      <c r="W3057" s="10">
        <f>IF(A3057="c",LEFT(UPPER(B3057)&amp;REPT(" ",20),20),REPT(" ",20))</f>
        <v/>
      </c>
      <c r="X3057" s="10">
        <f>IF(A3057="C",LEFT(UPPER(C3057)&amp;REPT(" ",10),10)," ")</f>
        <v/>
      </c>
      <c r="Y3057" s="10">
        <f>IF(A3057="C",LEFT(UPPER(D3057)&amp;REPT(" ",2),2)," ")</f>
        <v/>
      </c>
      <c r="Z3057" s="10">
        <f>IF(A3057="C",LEFT(UPPER(E3057)&amp;REPT(" ",15),15)," ")</f>
        <v/>
      </c>
      <c r="AA3057" s="10">
        <f>REPT(" ",8)</f>
        <v/>
      </c>
      <c r="AB3057" s="10">
        <f>REPT(" ",4)</f>
        <v/>
      </c>
      <c r="AC3057" s="10">
        <f>LEFT(UPPER(H3057)&amp;REPT(" ",250),250)</f>
        <v/>
      </c>
      <c r="AD3057" s="10">
        <f>TEXT($G$2,"dd/mm/aaaa")</f>
        <v/>
      </c>
      <c r="AE3057" s="10">
        <f>REPT(" ",10)</f>
        <v/>
      </c>
      <c r="AF3057" s="10">
        <f>REPT(" ",20)</f>
        <v/>
      </c>
      <c r="AG3057" s="54">
        <f>REPT(" ",18-LEN(FIXED(F3057,2,TRUE)))&amp;FIXED(F3057,2,TRUE)</f>
        <v/>
      </c>
      <c r="AH3057" s="10">
        <f>LEN(AC3057)+LEN(AG3057)</f>
        <v/>
      </c>
      <c r="AI3057" s="10">
        <f>LEN(L3057)</f>
        <v/>
      </c>
    </row>
    <row r="3058">
      <c r="J3058" s="12">
        <f>IF(F3058&lt;&gt;0,"LANÇAR","")</f>
        <v/>
      </c>
      <c r="L3058" s="13">
        <f>N3058&amp;O3058&amp;P3058&amp;Q3058&amp;R3058&amp;S3058&amp;T3058&amp;U3058&amp;V3058&amp;W3058&amp;X3058&amp;Y3058&amp;Z3058&amp;AA3058&amp;AB3058&amp;AC3058&amp;AD3058&amp;AE3058&amp;AF3058&amp;AG3058</f>
        <v/>
      </c>
      <c r="N3058" s="10">
        <f>TEXT($B$6,"00")</f>
        <v/>
      </c>
      <c r="O3058" s="10">
        <f>REPT(" ",8)</f>
        <v/>
      </c>
      <c r="P3058" s="10">
        <f>RIGHT($B$4,2)</f>
        <v/>
      </c>
      <c r="Q3058" s="10">
        <f>RIGHT($B$5,3)</f>
        <v/>
      </c>
      <c r="R3058" s="10">
        <f>IF(A3058="D",LEFT(UPPER(B3058)&amp;REPT(" ",20),20),REPT(" ",20))</f>
        <v/>
      </c>
      <c r="S3058" s="10">
        <f>IF(A3058="D",LEFT(UPPER(C3058)&amp;REPT(" ",10),10)," ")</f>
        <v/>
      </c>
      <c r="T3058" s="10">
        <f>IF(A3058="D",LEFT(UPPER(D3058)&amp;REPT(" ",2),2)," ")</f>
        <v/>
      </c>
      <c r="U3058" s="10">
        <f>IF(A3058="D",LEFT(UPPER(E3058)&amp;REPT(" ",15),15)," ")</f>
        <v/>
      </c>
      <c r="V3058" s="10">
        <f>REPT(" ",24)</f>
        <v/>
      </c>
      <c r="W3058" s="10">
        <f>IF(A3058="c",LEFT(UPPER(B3058)&amp;REPT(" ",20),20),REPT(" ",20))</f>
        <v/>
      </c>
      <c r="X3058" s="10">
        <f>IF(A3058="C",LEFT(UPPER(C3058)&amp;REPT(" ",10),10)," ")</f>
        <v/>
      </c>
      <c r="Y3058" s="10">
        <f>IF(A3058="C",LEFT(UPPER(D3058)&amp;REPT(" ",2),2)," ")</f>
        <v/>
      </c>
      <c r="Z3058" s="10">
        <f>IF(A3058="C",LEFT(UPPER(E3058)&amp;REPT(" ",15),15)," ")</f>
        <v/>
      </c>
      <c r="AA3058" s="10">
        <f>REPT(" ",8)</f>
        <v/>
      </c>
      <c r="AB3058" s="10">
        <f>REPT(" ",4)</f>
        <v/>
      </c>
      <c r="AC3058" s="10">
        <f>LEFT(UPPER(H3058)&amp;REPT(" ",250),250)</f>
        <v/>
      </c>
      <c r="AD3058" s="10">
        <f>TEXT($G$2,"dd/mm/aaaa")</f>
        <v/>
      </c>
      <c r="AE3058" s="10">
        <f>REPT(" ",10)</f>
        <v/>
      </c>
      <c r="AF3058" s="10">
        <f>REPT(" ",20)</f>
        <v/>
      </c>
      <c r="AG3058" s="54">
        <f>REPT(" ",18-LEN(FIXED(F3058,2,TRUE)))&amp;FIXED(F3058,2,TRUE)</f>
        <v/>
      </c>
      <c r="AH3058" s="10">
        <f>LEN(AC3058)+LEN(AG3058)</f>
        <v/>
      </c>
      <c r="AI3058" s="10">
        <f>LEN(L3058)</f>
        <v/>
      </c>
    </row>
    <row r="3059">
      <c r="J3059" s="12">
        <f>IF(F3059&lt;&gt;0,"LANÇAR","")</f>
        <v/>
      </c>
      <c r="L3059" s="13">
        <f>N3059&amp;O3059&amp;P3059&amp;Q3059&amp;R3059&amp;S3059&amp;T3059&amp;U3059&amp;V3059&amp;W3059&amp;X3059&amp;Y3059&amp;Z3059&amp;AA3059&amp;AB3059&amp;AC3059&amp;AD3059&amp;AE3059&amp;AF3059&amp;AG3059</f>
        <v/>
      </c>
      <c r="N3059" s="10">
        <f>TEXT($B$6,"00")</f>
        <v/>
      </c>
      <c r="O3059" s="10">
        <f>REPT(" ",8)</f>
        <v/>
      </c>
      <c r="P3059" s="10">
        <f>RIGHT($B$4,2)</f>
        <v/>
      </c>
      <c r="Q3059" s="10">
        <f>RIGHT($B$5,3)</f>
        <v/>
      </c>
      <c r="R3059" s="10">
        <f>IF(A3059="D",LEFT(UPPER(B3059)&amp;REPT(" ",20),20),REPT(" ",20))</f>
        <v/>
      </c>
      <c r="S3059" s="10">
        <f>IF(A3059="D",LEFT(UPPER(C3059)&amp;REPT(" ",10),10)," ")</f>
        <v/>
      </c>
      <c r="T3059" s="10">
        <f>IF(A3059="D",LEFT(UPPER(D3059)&amp;REPT(" ",2),2)," ")</f>
        <v/>
      </c>
      <c r="U3059" s="10">
        <f>IF(A3059="D",LEFT(UPPER(E3059)&amp;REPT(" ",15),15)," ")</f>
        <v/>
      </c>
      <c r="V3059" s="10">
        <f>REPT(" ",24)</f>
        <v/>
      </c>
      <c r="W3059" s="10">
        <f>IF(A3059="c",LEFT(UPPER(B3059)&amp;REPT(" ",20),20),REPT(" ",20))</f>
        <v/>
      </c>
      <c r="X3059" s="10">
        <f>IF(A3059="C",LEFT(UPPER(C3059)&amp;REPT(" ",10),10)," ")</f>
        <v/>
      </c>
      <c r="Y3059" s="10">
        <f>IF(A3059="C",LEFT(UPPER(D3059)&amp;REPT(" ",2),2)," ")</f>
        <v/>
      </c>
      <c r="Z3059" s="10">
        <f>IF(A3059="C",LEFT(UPPER(E3059)&amp;REPT(" ",15),15)," ")</f>
        <v/>
      </c>
      <c r="AA3059" s="10">
        <f>REPT(" ",8)</f>
        <v/>
      </c>
      <c r="AB3059" s="10">
        <f>REPT(" ",4)</f>
        <v/>
      </c>
      <c r="AC3059" s="10">
        <f>LEFT(UPPER(H3059)&amp;REPT(" ",250),250)</f>
        <v/>
      </c>
      <c r="AD3059" s="10">
        <f>TEXT($G$2,"dd/mm/aaaa")</f>
        <v/>
      </c>
      <c r="AE3059" s="10">
        <f>REPT(" ",10)</f>
        <v/>
      </c>
      <c r="AF3059" s="10">
        <f>REPT(" ",20)</f>
        <v/>
      </c>
      <c r="AG3059" s="54">
        <f>REPT(" ",18-LEN(FIXED(F3059,2,TRUE)))&amp;FIXED(F3059,2,TRUE)</f>
        <v/>
      </c>
      <c r="AH3059" s="10">
        <f>LEN(AC3059)+LEN(AG3059)</f>
        <v/>
      </c>
      <c r="AI3059" s="10">
        <f>LEN(L3059)</f>
        <v/>
      </c>
    </row>
    <row r="3060">
      <c r="J3060" s="12">
        <f>IF(F3060&lt;&gt;0,"LANÇAR","")</f>
        <v/>
      </c>
      <c r="L3060" s="13">
        <f>N3060&amp;O3060&amp;P3060&amp;Q3060&amp;R3060&amp;S3060&amp;T3060&amp;U3060&amp;V3060&amp;W3060&amp;X3060&amp;Y3060&amp;Z3060&amp;AA3060&amp;AB3060&amp;AC3060&amp;AD3060&amp;AE3060&amp;AF3060&amp;AG3060</f>
        <v/>
      </c>
      <c r="N3060" s="10">
        <f>TEXT($B$6,"00")</f>
        <v/>
      </c>
      <c r="O3060" s="10">
        <f>REPT(" ",8)</f>
        <v/>
      </c>
      <c r="P3060" s="10">
        <f>RIGHT($B$4,2)</f>
        <v/>
      </c>
      <c r="Q3060" s="10">
        <f>RIGHT($B$5,3)</f>
        <v/>
      </c>
      <c r="R3060" s="10">
        <f>IF(A3060="D",LEFT(UPPER(B3060)&amp;REPT(" ",20),20),REPT(" ",20))</f>
        <v/>
      </c>
      <c r="S3060" s="10">
        <f>IF(A3060="D",LEFT(UPPER(C3060)&amp;REPT(" ",10),10)," ")</f>
        <v/>
      </c>
      <c r="T3060" s="10">
        <f>IF(A3060="D",LEFT(UPPER(D3060)&amp;REPT(" ",2),2)," ")</f>
        <v/>
      </c>
      <c r="U3060" s="10">
        <f>IF(A3060="D",LEFT(UPPER(E3060)&amp;REPT(" ",15),15)," ")</f>
        <v/>
      </c>
      <c r="V3060" s="10">
        <f>REPT(" ",24)</f>
        <v/>
      </c>
      <c r="W3060" s="10">
        <f>IF(A3060="c",LEFT(UPPER(B3060)&amp;REPT(" ",20),20),REPT(" ",20))</f>
        <v/>
      </c>
      <c r="X3060" s="10">
        <f>IF(A3060="C",LEFT(UPPER(C3060)&amp;REPT(" ",10),10)," ")</f>
        <v/>
      </c>
      <c r="Y3060" s="10">
        <f>IF(A3060="C",LEFT(UPPER(D3060)&amp;REPT(" ",2),2)," ")</f>
        <v/>
      </c>
      <c r="Z3060" s="10">
        <f>IF(A3060="C",LEFT(UPPER(E3060)&amp;REPT(" ",15),15)," ")</f>
        <v/>
      </c>
      <c r="AA3060" s="10">
        <f>REPT(" ",8)</f>
        <v/>
      </c>
      <c r="AB3060" s="10">
        <f>REPT(" ",4)</f>
        <v/>
      </c>
      <c r="AC3060" s="10">
        <f>LEFT(UPPER(H3060)&amp;REPT(" ",250),250)</f>
        <v/>
      </c>
      <c r="AD3060" s="10">
        <f>TEXT($G$2,"dd/mm/aaaa")</f>
        <v/>
      </c>
      <c r="AE3060" s="10">
        <f>REPT(" ",10)</f>
        <v/>
      </c>
      <c r="AF3060" s="10">
        <f>REPT(" ",20)</f>
        <v/>
      </c>
      <c r="AG3060" s="54">
        <f>REPT(" ",18-LEN(FIXED(F3060,2,TRUE)))&amp;FIXED(F3060,2,TRUE)</f>
        <v/>
      </c>
      <c r="AH3060" s="10">
        <f>LEN(AC3060)+LEN(AG3060)</f>
        <v/>
      </c>
      <c r="AI3060" s="10">
        <f>LEN(L3060)</f>
        <v/>
      </c>
    </row>
    <row r="3061">
      <c r="J3061" s="12">
        <f>IF(F3061&lt;&gt;0,"LANÇAR","")</f>
        <v/>
      </c>
      <c r="L3061" s="13">
        <f>N3061&amp;O3061&amp;P3061&amp;Q3061&amp;R3061&amp;S3061&amp;T3061&amp;U3061&amp;V3061&amp;W3061&amp;X3061&amp;Y3061&amp;Z3061&amp;AA3061&amp;AB3061&amp;AC3061&amp;AD3061&amp;AE3061&amp;AF3061&amp;AG3061</f>
        <v/>
      </c>
      <c r="N3061" s="10">
        <f>TEXT($B$6,"00")</f>
        <v/>
      </c>
      <c r="O3061" s="10">
        <f>REPT(" ",8)</f>
        <v/>
      </c>
      <c r="P3061" s="10">
        <f>RIGHT($B$4,2)</f>
        <v/>
      </c>
      <c r="Q3061" s="10">
        <f>RIGHT($B$5,3)</f>
        <v/>
      </c>
      <c r="R3061" s="10">
        <f>IF(A3061="D",LEFT(UPPER(B3061)&amp;REPT(" ",20),20),REPT(" ",20))</f>
        <v/>
      </c>
      <c r="S3061" s="10">
        <f>IF(A3061="D",LEFT(UPPER(C3061)&amp;REPT(" ",10),10)," ")</f>
        <v/>
      </c>
      <c r="T3061" s="10">
        <f>IF(A3061="D",LEFT(UPPER(D3061)&amp;REPT(" ",2),2)," ")</f>
        <v/>
      </c>
      <c r="U3061" s="10">
        <f>IF(A3061="D",LEFT(UPPER(E3061)&amp;REPT(" ",15),15)," ")</f>
        <v/>
      </c>
      <c r="V3061" s="10">
        <f>REPT(" ",24)</f>
        <v/>
      </c>
      <c r="W3061" s="10">
        <f>IF(A3061="c",LEFT(UPPER(B3061)&amp;REPT(" ",20),20),REPT(" ",20))</f>
        <v/>
      </c>
      <c r="X3061" s="10">
        <f>IF(A3061="C",LEFT(UPPER(C3061)&amp;REPT(" ",10),10)," ")</f>
        <v/>
      </c>
      <c r="Y3061" s="10">
        <f>IF(A3061="C",LEFT(UPPER(D3061)&amp;REPT(" ",2),2)," ")</f>
        <v/>
      </c>
      <c r="Z3061" s="10">
        <f>IF(A3061="C",LEFT(UPPER(E3061)&amp;REPT(" ",15),15)," ")</f>
        <v/>
      </c>
      <c r="AA3061" s="10">
        <f>REPT(" ",8)</f>
        <v/>
      </c>
      <c r="AB3061" s="10">
        <f>REPT(" ",4)</f>
        <v/>
      </c>
      <c r="AC3061" s="10">
        <f>LEFT(UPPER(H3061)&amp;REPT(" ",250),250)</f>
        <v/>
      </c>
      <c r="AD3061" s="10">
        <f>TEXT($G$2,"dd/mm/aaaa")</f>
        <v/>
      </c>
      <c r="AE3061" s="10">
        <f>REPT(" ",10)</f>
        <v/>
      </c>
      <c r="AF3061" s="10">
        <f>REPT(" ",20)</f>
        <v/>
      </c>
      <c r="AG3061" s="54">
        <f>REPT(" ",18-LEN(FIXED(F3061,2,TRUE)))&amp;FIXED(F3061,2,TRUE)</f>
        <v/>
      </c>
      <c r="AH3061" s="10">
        <f>LEN(AC3061)+LEN(AG3061)</f>
        <v/>
      </c>
      <c r="AI3061" s="10">
        <f>LEN(L3061)</f>
        <v/>
      </c>
    </row>
    <row r="3062">
      <c r="J3062" s="12">
        <f>IF(F3062&lt;&gt;0,"LANÇAR","")</f>
        <v/>
      </c>
      <c r="L3062" s="13">
        <f>N3062&amp;O3062&amp;P3062&amp;Q3062&amp;R3062&amp;S3062&amp;T3062&amp;U3062&amp;V3062&amp;W3062&amp;X3062&amp;Y3062&amp;Z3062&amp;AA3062&amp;AB3062&amp;AC3062&amp;AD3062&amp;AE3062&amp;AF3062&amp;AG3062</f>
        <v/>
      </c>
      <c r="N3062" s="10">
        <f>TEXT($B$6,"00")</f>
        <v/>
      </c>
      <c r="O3062" s="10">
        <f>REPT(" ",8)</f>
        <v/>
      </c>
      <c r="P3062" s="10">
        <f>RIGHT($B$4,2)</f>
        <v/>
      </c>
      <c r="Q3062" s="10">
        <f>RIGHT($B$5,3)</f>
        <v/>
      </c>
      <c r="R3062" s="10">
        <f>IF(A3062="D",LEFT(UPPER(B3062)&amp;REPT(" ",20),20),REPT(" ",20))</f>
        <v/>
      </c>
      <c r="S3062" s="10">
        <f>IF(A3062="D",LEFT(UPPER(C3062)&amp;REPT(" ",10),10)," ")</f>
        <v/>
      </c>
      <c r="T3062" s="10">
        <f>IF(A3062="D",LEFT(UPPER(D3062)&amp;REPT(" ",2),2)," ")</f>
        <v/>
      </c>
      <c r="U3062" s="10">
        <f>IF(A3062="D",LEFT(UPPER(E3062)&amp;REPT(" ",15),15)," ")</f>
        <v/>
      </c>
      <c r="V3062" s="10">
        <f>REPT(" ",24)</f>
        <v/>
      </c>
      <c r="W3062" s="10">
        <f>IF(A3062="c",LEFT(UPPER(B3062)&amp;REPT(" ",20),20),REPT(" ",20))</f>
        <v/>
      </c>
      <c r="X3062" s="10">
        <f>IF(A3062="C",LEFT(UPPER(C3062)&amp;REPT(" ",10),10)," ")</f>
        <v/>
      </c>
      <c r="Y3062" s="10">
        <f>IF(A3062="C",LEFT(UPPER(D3062)&amp;REPT(" ",2),2)," ")</f>
        <v/>
      </c>
      <c r="Z3062" s="10">
        <f>IF(A3062="C",LEFT(UPPER(E3062)&amp;REPT(" ",15),15)," ")</f>
        <v/>
      </c>
      <c r="AA3062" s="10">
        <f>REPT(" ",8)</f>
        <v/>
      </c>
      <c r="AB3062" s="10">
        <f>REPT(" ",4)</f>
        <v/>
      </c>
      <c r="AC3062" s="10">
        <f>LEFT(UPPER(H3062)&amp;REPT(" ",250),250)</f>
        <v/>
      </c>
      <c r="AD3062" s="10">
        <f>TEXT($G$2,"dd/mm/aaaa")</f>
        <v/>
      </c>
      <c r="AE3062" s="10">
        <f>REPT(" ",10)</f>
        <v/>
      </c>
      <c r="AF3062" s="10">
        <f>REPT(" ",20)</f>
        <v/>
      </c>
      <c r="AG3062" s="54">
        <f>REPT(" ",18-LEN(FIXED(F3062,2,TRUE)))&amp;FIXED(F3062,2,TRUE)</f>
        <v/>
      </c>
      <c r="AH3062" s="10">
        <f>LEN(AC3062)+LEN(AG3062)</f>
        <v/>
      </c>
      <c r="AI3062" s="10">
        <f>LEN(L3062)</f>
        <v/>
      </c>
    </row>
    <row r="3063">
      <c r="J3063" s="12">
        <f>IF(F3063&lt;&gt;0,"LANÇAR","")</f>
        <v/>
      </c>
      <c r="L3063" s="13">
        <f>N3063&amp;O3063&amp;P3063&amp;Q3063&amp;R3063&amp;S3063&amp;T3063&amp;U3063&amp;V3063&amp;W3063&amp;X3063&amp;Y3063&amp;Z3063&amp;AA3063&amp;AB3063&amp;AC3063&amp;AD3063&amp;AE3063&amp;AF3063&amp;AG3063</f>
        <v/>
      </c>
      <c r="N3063" s="10">
        <f>TEXT($B$6,"00")</f>
        <v/>
      </c>
      <c r="O3063" s="10">
        <f>REPT(" ",8)</f>
        <v/>
      </c>
      <c r="P3063" s="10">
        <f>RIGHT($B$4,2)</f>
        <v/>
      </c>
      <c r="Q3063" s="10">
        <f>RIGHT($B$5,3)</f>
        <v/>
      </c>
      <c r="R3063" s="10">
        <f>IF(A3063="D",LEFT(UPPER(B3063)&amp;REPT(" ",20),20),REPT(" ",20))</f>
        <v/>
      </c>
      <c r="S3063" s="10">
        <f>IF(A3063="D",LEFT(UPPER(C3063)&amp;REPT(" ",10),10)," ")</f>
        <v/>
      </c>
      <c r="T3063" s="10">
        <f>IF(A3063="D",LEFT(UPPER(D3063)&amp;REPT(" ",2),2)," ")</f>
        <v/>
      </c>
      <c r="U3063" s="10">
        <f>IF(A3063="D",LEFT(UPPER(E3063)&amp;REPT(" ",15),15)," ")</f>
        <v/>
      </c>
      <c r="V3063" s="10">
        <f>REPT(" ",24)</f>
        <v/>
      </c>
      <c r="W3063" s="10">
        <f>IF(A3063="c",LEFT(UPPER(B3063)&amp;REPT(" ",20),20),REPT(" ",20))</f>
        <v/>
      </c>
      <c r="X3063" s="10">
        <f>IF(A3063="C",LEFT(UPPER(C3063)&amp;REPT(" ",10),10)," ")</f>
        <v/>
      </c>
      <c r="Y3063" s="10">
        <f>IF(A3063="C",LEFT(UPPER(D3063)&amp;REPT(" ",2),2)," ")</f>
        <v/>
      </c>
      <c r="Z3063" s="10">
        <f>IF(A3063="C",LEFT(UPPER(E3063)&amp;REPT(" ",15),15)," ")</f>
        <v/>
      </c>
      <c r="AA3063" s="10">
        <f>REPT(" ",8)</f>
        <v/>
      </c>
      <c r="AB3063" s="10">
        <f>REPT(" ",4)</f>
        <v/>
      </c>
      <c r="AC3063" s="10">
        <f>LEFT(UPPER(H3063)&amp;REPT(" ",250),250)</f>
        <v/>
      </c>
      <c r="AD3063" s="10">
        <f>TEXT($G$2,"dd/mm/aaaa")</f>
        <v/>
      </c>
      <c r="AE3063" s="10">
        <f>REPT(" ",10)</f>
        <v/>
      </c>
      <c r="AF3063" s="10">
        <f>REPT(" ",20)</f>
        <v/>
      </c>
      <c r="AG3063" s="54">
        <f>REPT(" ",18-LEN(FIXED(F3063,2,TRUE)))&amp;FIXED(F3063,2,TRUE)</f>
        <v/>
      </c>
      <c r="AH3063" s="10">
        <f>LEN(AC3063)+LEN(AG3063)</f>
        <v/>
      </c>
      <c r="AI3063" s="10">
        <f>LEN(L3063)</f>
        <v/>
      </c>
    </row>
    <row r="3064">
      <c r="J3064" s="12">
        <f>IF(F3064&lt;&gt;0,"LANÇAR","")</f>
        <v/>
      </c>
      <c r="L3064" s="13">
        <f>N3064&amp;O3064&amp;P3064&amp;Q3064&amp;R3064&amp;S3064&amp;T3064&amp;U3064&amp;V3064&amp;W3064&amp;X3064&amp;Y3064&amp;Z3064&amp;AA3064&amp;AB3064&amp;AC3064&amp;AD3064&amp;AE3064&amp;AF3064&amp;AG3064</f>
        <v/>
      </c>
      <c r="N3064" s="10">
        <f>TEXT($B$6,"00")</f>
        <v/>
      </c>
      <c r="O3064" s="10">
        <f>REPT(" ",8)</f>
        <v/>
      </c>
      <c r="P3064" s="10">
        <f>RIGHT($B$4,2)</f>
        <v/>
      </c>
      <c r="Q3064" s="10">
        <f>RIGHT($B$5,3)</f>
        <v/>
      </c>
      <c r="R3064" s="10">
        <f>IF(A3064="D",LEFT(UPPER(B3064)&amp;REPT(" ",20),20),REPT(" ",20))</f>
        <v/>
      </c>
      <c r="S3064" s="10">
        <f>IF(A3064="D",LEFT(UPPER(C3064)&amp;REPT(" ",10),10)," ")</f>
        <v/>
      </c>
      <c r="T3064" s="10">
        <f>IF(A3064="D",LEFT(UPPER(D3064)&amp;REPT(" ",2),2)," ")</f>
        <v/>
      </c>
      <c r="U3064" s="10">
        <f>IF(A3064="D",LEFT(UPPER(E3064)&amp;REPT(" ",15),15)," ")</f>
        <v/>
      </c>
      <c r="V3064" s="10">
        <f>REPT(" ",24)</f>
        <v/>
      </c>
      <c r="W3064" s="10">
        <f>IF(A3064="c",LEFT(UPPER(B3064)&amp;REPT(" ",20),20),REPT(" ",20))</f>
        <v/>
      </c>
      <c r="X3064" s="10">
        <f>IF(A3064="C",LEFT(UPPER(C3064)&amp;REPT(" ",10),10)," ")</f>
        <v/>
      </c>
      <c r="Y3064" s="10">
        <f>IF(A3064="C",LEFT(UPPER(D3064)&amp;REPT(" ",2),2)," ")</f>
        <v/>
      </c>
      <c r="Z3064" s="10">
        <f>IF(A3064="C",LEFT(UPPER(E3064)&amp;REPT(" ",15),15)," ")</f>
        <v/>
      </c>
      <c r="AA3064" s="10">
        <f>REPT(" ",8)</f>
        <v/>
      </c>
      <c r="AB3064" s="10">
        <f>REPT(" ",4)</f>
        <v/>
      </c>
      <c r="AC3064" s="10">
        <f>LEFT(UPPER(H3064)&amp;REPT(" ",250),250)</f>
        <v/>
      </c>
      <c r="AD3064" s="10">
        <f>TEXT($G$2,"dd/mm/aaaa")</f>
        <v/>
      </c>
      <c r="AE3064" s="10">
        <f>REPT(" ",10)</f>
        <v/>
      </c>
      <c r="AF3064" s="10">
        <f>REPT(" ",20)</f>
        <v/>
      </c>
      <c r="AG3064" s="54">
        <f>REPT(" ",18-LEN(FIXED(F3064,2,TRUE)))&amp;FIXED(F3064,2,TRUE)</f>
        <v/>
      </c>
      <c r="AH3064" s="10">
        <f>LEN(AC3064)+LEN(AG3064)</f>
        <v/>
      </c>
      <c r="AI3064" s="10">
        <f>LEN(L3064)</f>
        <v/>
      </c>
    </row>
    <row r="3065">
      <c r="J3065" s="12">
        <f>IF(F3065&lt;&gt;0,"LANÇAR","")</f>
        <v/>
      </c>
      <c r="L3065" s="13">
        <f>N3065&amp;O3065&amp;P3065&amp;Q3065&amp;R3065&amp;S3065&amp;T3065&amp;U3065&amp;V3065&amp;W3065&amp;X3065&amp;Y3065&amp;Z3065&amp;AA3065&amp;AB3065&amp;AC3065&amp;AD3065&amp;AE3065&amp;AF3065&amp;AG3065</f>
        <v/>
      </c>
      <c r="N3065" s="10">
        <f>TEXT($B$6,"00")</f>
        <v/>
      </c>
      <c r="O3065" s="10">
        <f>REPT(" ",8)</f>
        <v/>
      </c>
      <c r="P3065" s="10">
        <f>RIGHT($B$4,2)</f>
        <v/>
      </c>
      <c r="Q3065" s="10">
        <f>RIGHT($B$5,3)</f>
        <v/>
      </c>
      <c r="R3065" s="10">
        <f>IF(A3065="D",LEFT(UPPER(B3065)&amp;REPT(" ",20),20),REPT(" ",20))</f>
        <v/>
      </c>
      <c r="S3065" s="10">
        <f>IF(A3065="D",LEFT(UPPER(C3065)&amp;REPT(" ",10),10)," ")</f>
        <v/>
      </c>
      <c r="T3065" s="10">
        <f>IF(A3065="D",LEFT(UPPER(D3065)&amp;REPT(" ",2),2)," ")</f>
        <v/>
      </c>
      <c r="U3065" s="10">
        <f>IF(A3065="D",LEFT(UPPER(E3065)&amp;REPT(" ",15),15)," ")</f>
        <v/>
      </c>
      <c r="V3065" s="10">
        <f>REPT(" ",24)</f>
        <v/>
      </c>
      <c r="W3065" s="10">
        <f>IF(A3065="c",LEFT(UPPER(B3065)&amp;REPT(" ",20),20),REPT(" ",20))</f>
        <v/>
      </c>
      <c r="X3065" s="10">
        <f>IF(A3065="C",LEFT(UPPER(C3065)&amp;REPT(" ",10),10)," ")</f>
        <v/>
      </c>
      <c r="Y3065" s="10">
        <f>IF(A3065="C",LEFT(UPPER(D3065)&amp;REPT(" ",2),2)," ")</f>
        <v/>
      </c>
      <c r="Z3065" s="10">
        <f>IF(A3065="C",LEFT(UPPER(E3065)&amp;REPT(" ",15),15)," ")</f>
        <v/>
      </c>
      <c r="AA3065" s="10">
        <f>REPT(" ",8)</f>
        <v/>
      </c>
      <c r="AB3065" s="10">
        <f>REPT(" ",4)</f>
        <v/>
      </c>
      <c r="AC3065" s="10">
        <f>LEFT(UPPER(H3065)&amp;REPT(" ",250),250)</f>
        <v/>
      </c>
      <c r="AD3065" s="10">
        <f>TEXT($G$2,"dd/mm/aaaa")</f>
        <v/>
      </c>
      <c r="AE3065" s="10">
        <f>REPT(" ",10)</f>
        <v/>
      </c>
      <c r="AF3065" s="10">
        <f>REPT(" ",20)</f>
        <v/>
      </c>
      <c r="AG3065" s="54">
        <f>REPT(" ",18-LEN(FIXED(F3065,2,TRUE)))&amp;FIXED(F3065,2,TRUE)</f>
        <v/>
      </c>
      <c r="AH3065" s="10">
        <f>LEN(AC3065)+LEN(AG3065)</f>
        <v/>
      </c>
      <c r="AI3065" s="10">
        <f>LEN(L3065)</f>
        <v/>
      </c>
    </row>
    <row r="3066">
      <c r="J3066" s="12">
        <f>IF(F3066&lt;&gt;0,"LANÇAR","")</f>
        <v/>
      </c>
      <c r="L3066" s="13">
        <f>N3066&amp;O3066&amp;P3066&amp;Q3066&amp;R3066&amp;S3066&amp;T3066&amp;U3066&amp;V3066&amp;W3066&amp;X3066&amp;Y3066&amp;Z3066&amp;AA3066&amp;AB3066&amp;AC3066&amp;AD3066&amp;AE3066&amp;AF3066&amp;AG3066</f>
        <v/>
      </c>
      <c r="N3066" s="10">
        <f>TEXT($B$6,"00")</f>
        <v/>
      </c>
      <c r="O3066" s="10">
        <f>REPT(" ",8)</f>
        <v/>
      </c>
      <c r="P3066" s="10">
        <f>RIGHT($B$4,2)</f>
        <v/>
      </c>
      <c r="Q3066" s="10">
        <f>RIGHT($B$5,3)</f>
        <v/>
      </c>
      <c r="R3066" s="10">
        <f>IF(A3066="D",LEFT(UPPER(B3066)&amp;REPT(" ",20),20),REPT(" ",20))</f>
        <v/>
      </c>
      <c r="S3066" s="10">
        <f>IF(A3066="D",LEFT(UPPER(C3066)&amp;REPT(" ",10),10)," ")</f>
        <v/>
      </c>
      <c r="T3066" s="10">
        <f>IF(A3066="D",LEFT(UPPER(D3066)&amp;REPT(" ",2),2)," ")</f>
        <v/>
      </c>
      <c r="U3066" s="10">
        <f>IF(A3066="D",LEFT(UPPER(E3066)&amp;REPT(" ",15),15)," ")</f>
        <v/>
      </c>
      <c r="V3066" s="10">
        <f>REPT(" ",24)</f>
        <v/>
      </c>
      <c r="W3066" s="10">
        <f>IF(A3066="c",LEFT(UPPER(B3066)&amp;REPT(" ",20),20),REPT(" ",20))</f>
        <v/>
      </c>
      <c r="X3066" s="10">
        <f>IF(A3066="C",LEFT(UPPER(C3066)&amp;REPT(" ",10),10)," ")</f>
        <v/>
      </c>
      <c r="Y3066" s="10">
        <f>IF(A3066="C",LEFT(UPPER(D3066)&amp;REPT(" ",2),2)," ")</f>
        <v/>
      </c>
      <c r="Z3066" s="10">
        <f>IF(A3066="C",LEFT(UPPER(E3066)&amp;REPT(" ",15),15)," ")</f>
        <v/>
      </c>
      <c r="AA3066" s="10">
        <f>REPT(" ",8)</f>
        <v/>
      </c>
      <c r="AB3066" s="10">
        <f>REPT(" ",4)</f>
        <v/>
      </c>
      <c r="AC3066" s="10">
        <f>LEFT(UPPER(H3066)&amp;REPT(" ",250),250)</f>
        <v/>
      </c>
      <c r="AD3066" s="10">
        <f>TEXT($G$2,"dd/mm/aaaa")</f>
        <v/>
      </c>
      <c r="AE3066" s="10">
        <f>REPT(" ",10)</f>
        <v/>
      </c>
      <c r="AF3066" s="10">
        <f>REPT(" ",20)</f>
        <v/>
      </c>
      <c r="AG3066" s="54">
        <f>REPT(" ",18-LEN(FIXED(F3066,2,TRUE)))&amp;FIXED(F3066,2,TRUE)</f>
        <v/>
      </c>
      <c r="AH3066" s="10">
        <f>LEN(AC3066)+LEN(AG3066)</f>
        <v/>
      </c>
      <c r="AI3066" s="10">
        <f>LEN(L3066)</f>
        <v/>
      </c>
    </row>
    <row r="3067">
      <c r="J3067" s="12">
        <f>IF(F3067&lt;&gt;0,"LANÇAR","")</f>
        <v/>
      </c>
      <c r="L3067" s="13">
        <f>N3067&amp;O3067&amp;P3067&amp;Q3067&amp;R3067&amp;S3067&amp;T3067&amp;U3067&amp;V3067&amp;W3067&amp;X3067&amp;Y3067&amp;Z3067&amp;AA3067&amp;AB3067&amp;AC3067&amp;AD3067&amp;AE3067&amp;AF3067&amp;AG3067</f>
        <v/>
      </c>
      <c r="N3067" s="10">
        <f>TEXT($B$6,"00")</f>
        <v/>
      </c>
      <c r="O3067" s="10">
        <f>REPT(" ",8)</f>
        <v/>
      </c>
      <c r="P3067" s="10">
        <f>RIGHT($B$4,2)</f>
        <v/>
      </c>
      <c r="Q3067" s="10">
        <f>RIGHT($B$5,3)</f>
        <v/>
      </c>
      <c r="R3067" s="10">
        <f>IF(A3067="D",LEFT(UPPER(B3067)&amp;REPT(" ",20),20),REPT(" ",20))</f>
        <v/>
      </c>
      <c r="S3067" s="10">
        <f>IF(A3067="D",LEFT(UPPER(C3067)&amp;REPT(" ",10),10)," ")</f>
        <v/>
      </c>
      <c r="T3067" s="10">
        <f>IF(A3067="D",LEFT(UPPER(D3067)&amp;REPT(" ",2),2)," ")</f>
        <v/>
      </c>
      <c r="U3067" s="10">
        <f>IF(A3067="D",LEFT(UPPER(E3067)&amp;REPT(" ",15),15)," ")</f>
        <v/>
      </c>
      <c r="V3067" s="10">
        <f>REPT(" ",24)</f>
        <v/>
      </c>
      <c r="W3067" s="10">
        <f>IF(A3067="c",LEFT(UPPER(B3067)&amp;REPT(" ",20),20),REPT(" ",20))</f>
        <v/>
      </c>
      <c r="X3067" s="10">
        <f>IF(A3067="C",LEFT(UPPER(C3067)&amp;REPT(" ",10),10)," ")</f>
        <v/>
      </c>
      <c r="Y3067" s="10">
        <f>IF(A3067="C",LEFT(UPPER(D3067)&amp;REPT(" ",2),2)," ")</f>
        <v/>
      </c>
      <c r="Z3067" s="10">
        <f>IF(A3067="C",LEFT(UPPER(E3067)&amp;REPT(" ",15),15)," ")</f>
        <v/>
      </c>
      <c r="AA3067" s="10">
        <f>REPT(" ",8)</f>
        <v/>
      </c>
      <c r="AB3067" s="10">
        <f>REPT(" ",4)</f>
        <v/>
      </c>
      <c r="AC3067" s="10">
        <f>LEFT(UPPER(H3067)&amp;REPT(" ",250),250)</f>
        <v/>
      </c>
      <c r="AD3067" s="10">
        <f>TEXT($G$2,"dd/mm/aaaa")</f>
        <v/>
      </c>
      <c r="AE3067" s="10">
        <f>REPT(" ",10)</f>
        <v/>
      </c>
      <c r="AF3067" s="10">
        <f>REPT(" ",20)</f>
        <v/>
      </c>
      <c r="AG3067" s="54">
        <f>REPT(" ",18-LEN(FIXED(F3067,2,TRUE)))&amp;FIXED(F3067,2,TRUE)</f>
        <v/>
      </c>
      <c r="AH3067" s="10">
        <f>LEN(AC3067)+LEN(AG3067)</f>
        <v/>
      </c>
      <c r="AI3067" s="10">
        <f>LEN(L3067)</f>
        <v/>
      </c>
    </row>
    <row r="3068">
      <c r="J3068" s="12">
        <f>IF(F3068&lt;&gt;0,"LANÇAR","")</f>
        <v/>
      </c>
      <c r="L3068" s="13">
        <f>N3068&amp;O3068&amp;P3068&amp;Q3068&amp;R3068&amp;S3068&amp;T3068&amp;U3068&amp;V3068&amp;W3068&amp;X3068&amp;Y3068&amp;Z3068&amp;AA3068&amp;AB3068&amp;AC3068&amp;AD3068&amp;AE3068&amp;AF3068&amp;AG3068</f>
        <v/>
      </c>
      <c r="N3068" s="10">
        <f>TEXT($B$6,"00")</f>
        <v/>
      </c>
      <c r="O3068" s="10">
        <f>REPT(" ",8)</f>
        <v/>
      </c>
      <c r="P3068" s="10">
        <f>RIGHT($B$4,2)</f>
        <v/>
      </c>
      <c r="Q3068" s="10">
        <f>RIGHT($B$5,3)</f>
        <v/>
      </c>
      <c r="R3068" s="10">
        <f>IF(A3068="D",LEFT(UPPER(B3068)&amp;REPT(" ",20),20),REPT(" ",20))</f>
        <v/>
      </c>
      <c r="S3068" s="10">
        <f>IF(A3068="D",LEFT(UPPER(C3068)&amp;REPT(" ",10),10)," ")</f>
        <v/>
      </c>
      <c r="T3068" s="10">
        <f>IF(A3068="D",LEFT(UPPER(D3068)&amp;REPT(" ",2),2)," ")</f>
        <v/>
      </c>
      <c r="U3068" s="10">
        <f>IF(A3068="D",LEFT(UPPER(E3068)&amp;REPT(" ",15),15)," ")</f>
        <v/>
      </c>
      <c r="V3068" s="10">
        <f>REPT(" ",24)</f>
        <v/>
      </c>
      <c r="W3068" s="10">
        <f>IF(A3068="c",LEFT(UPPER(B3068)&amp;REPT(" ",20),20),REPT(" ",20))</f>
        <v/>
      </c>
      <c r="X3068" s="10">
        <f>IF(A3068="C",LEFT(UPPER(C3068)&amp;REPT(" ",10),10)," ")</f>
        <v/>
      </c>
      <c r="Y3068" s="10">
        <f>IF(A3068="C",LEFT(UPPER(D3068)&amp;REPT(" ",2),2)," ")</f>
        <v/>
      </c>
      <c r="Z3068" s="10">
        <f>IF(A3068="C",LEFT(UPPER(E3068)&amp;REPT(" ",15),15)," ")</f>
        <v/>
      </c>
      <c r="AA3068" s="10">
        <f>REPT(" ",8)</f>
        <v/>
      </c>
      <c r="AB3068" s="10">
        <f>REPT(" ",4)</f>
        <v/>
      </c>
      <c r="AC3068" s="10">
        <f>LEFT(UPPER(H3068)&amp;REPT(" ",250),250)</f>
        <v/>
      </c>
      <c r="AD3068" s="10">
        <f>TEXT($G$2,"dd/mm/aaaa")</f>
        <v/>
      </c>
      <c r="AE3068" s="10">
        <f>REPT(" ",10)</f>
        <v/>
      </c>
      <c r="AF3068" s="10">
        <f>REPT(" ",20)</f>
        <v/>
      </c>
      <c r="AG3068" s="54">
        <f>REPT(" ",18-LEN(FIXED(F3068,2,TRUE)))&amp;FIXED(F3068,2,TRUE)</f>
        <v/>
      </c>
      <c r="AH3068" s="10">
        <f>LEN(AC3068)+LEN(AG3068)</f>
        <v/>
      </c>
      <c r="AI3068" s="10">
        <f>LEN(L3068)</f>
        <v/>
      </c>
    </row>
    <row r="3069">
      <c r="J3069" s="12">
        <f>IF(F3069&lt;&gt;0,"LANÇAR","")</f>
        <v/>
      </c>
      <c r="L3069" s="13">
        <f>N3069&amp;O3069&amp;P3069&amp;Q3069&amp;R3069&amp;S3069&amp;T3069&amp;U3069&amp;V3069&amp;W3069&amp;X3069&amp;Y3069&amp;Z3069&amp;AA3069&amp;AB3069&amp;AC3069&amp;AD3069&amp;AE3069&amp;AF3069&amp;AG3069</f>
        <v/>
      </c>
      <c r="N3069" s="10">
        <f>TEXT($B$6,"00")</f>
        <v/>
      </c>
      <c r="O3069" s="10">
        <f>REPT(" ",8)</f>
        <v/>
      </c>
      <c r="P3069" s="10">
        <f>RIGHT($B$4,2)</f>
        <v/>
      </c>
      <c r="Q3069" s="10">
        <f>RIGHT($B$5,3)</f>
        <v/>
      </c>
      <c r="R3069" s="10">
        <f>IF(A3069="D",LEFT(UPPER(B3069)&amp;REPT(" ",20),20),REPT(" ",20))</f>
        <v/>
      </c>
      <c r="S3069" s="10">
        <f>IF(A3069="D",LEFT(UPPER(C3069)&amp;REPT(" ",10),10)," ")</f>
        <v/>
      </c>
      <c r="T3069" s="10">
        <f>IF(A3069="D",LEFT(UPPER(D3069)&amp;REPT(" ",2),2)," ")</f>
        <v/>
      </c>
      <c r="U3069" s="10">
        <f>IF(A3069="D",LEFT(UPPER(E3069)&amp;REPT(" ",15),15)," ")</f>
        <v/>
      </c>
      <c r="V3069" s="10">
        <f>REPT(" ",24)</f>
        <v/>
      </c>
      <c r="W3069" s="10">
        <f>IF(A3069="c",LEFT(UPPER(B3069)&amp;REPT(" ",20),20),REPT(" ",20))</f>
        <v/>
      </c>
      <c r="X3069" s="10">
        <f>IF(A3069="C",LEFT(UPPER(C3069)&amp;REPT(" ",10),10)," ")</f>
        <v/>
      </c>
      <c r="Y3069" s="10">
        <f>IF(A3069="C",LEFT(UPPER(D3069)&amp;REPT(" ",2),2)," ")</f>
        <v/>
      </c>
      <c r="Z3069" s="10">
        <f>IF(A3069="C",LEFT(UPPER(E3069)&amp;REPT(" ",15),15)," ")</f>
        <v/>
      </c>
      <c r="AA3069" s="10">
        <f>REPT(" ",8)</f>
        <v/>
      </c>
      <c r="AB3069" s="10">
        <f>REPT(" ",4)</f>
        <v/>
      </c>
      <c r="AC3069" s="10">
        <f>LEFT(UPPER(H3069)&amp;REPT(" ",250),250)</f>
        <v/>
      </c>
      <c r="AD3069" s="10">
        <f>TEXT($G$2,"dd/mm/aaaa")</f>
        <v/>
      </c>
      <c r="AE3069" s="10">
        <f>REPT(" ",10)</f>
        <v/>
      </c>
      <c r="AF3069" s="10">
        <f>REPT(" ",20)</f>
        <v/>
      </c>
      <c r="AG3069" s="54">
        <f>REPT(" ",18-LEN(FIXED(F3069,2,TRUE)))&amp;FIXED(F3069,2,TRUE)</f>
        <v/>
      </c>
      <c r="AH3069" s="10">
        <f>LEN(AC3069)+LEN(AG3069)</f>
        <v/>
      </c>
      <c r="AI3069" s="10">
        <f>LEN(L3069)</f>
        <v/>
      </c>
    </row>
    <row r="3070">
      <c r="J3070" s="12">
        <f>IF(F3070&lt;&gt;0,"LANÇAR","")</f>
        <v/>
      </c>
      <c r="L3070" s="13">
        <f>N3070&amp;O3070&amp;P3070&amp;Q3070&amp;R3070&amp;S3070&amp;T3070&amp;U3070&amp;V3070&amp;W3070&amp;X3070&amp;Y3070&amp;Z3070&amp;AA3070&amp;AB3070&amp;AC3070&amp;AD3070&amp;AE3070&amp;AF3070&amp;AG3070</f>
        <v/>
      </c>
      <c r="N3070" s="10">
        <f>TEXT($B$6,"00")</f>
        <v/>
      </c>
      <c r="O3070" s="10">
        <f>REPT(" ",8)</f>
        <v/>
      </c>
      <c r="P3070" s="10">
        <f>RIGHT($B$4,2)</f>
        <v/>
      </c>
      <c r="Q3070" s="10">
        <f>RIGHT($B$5,3)</f>
        <v/>
      </c>
      <c r="R3070" s="10">
        <f>IF(A3070="D",LEFT(UPPER(B3070)&amp;REPT(" ",20),20),REPT(" ",20))</f>
        <v/>
      </c>
      <c r="S3070" s="10">
        <f>IF(A3070="D",LEFT(UPPER(C3070)&amp;REPT(" ",10),10)," ")</f>
        <v/>
      </c>
      <c r="T3070" s="10">
        <f>IF(A3070="D",LEFT(UPPER(D3070)&amp;REPT(" ",2),2)," ")</f>
        <v/>
      </c>
      <c r="U3070" s="10">
        <f>IF(A3070="D",LEFT(UPPER(E3070)&amp;REPT(" ",15),15)," ")</f>
        <v/>
      </c>
      <c r="V3070" s="10">
        <f>REPT(" ",24)</f>
        <v/>
      </c>
      <c r="W3070" s="10">
        <f>IF(A3070="c",LEFT(UPPER(B3070)&amp;REPT(" ",20),20),REPT(" ",20))</f>
        <v/>
      </c>
      <c r="X3070" s="10">
        <f>IF(A3070="C",LEFT(UPPER(C3070)&amp;REPT(" ",10),10)," ")</f>
        <v/>
      </c>
      <c r="Y3070" s="10">
        <f>IF(A3070="C",LEFT(UPPER(D3070)&amp;REPT(" ",2),2)," ")</f>
        <v/>
      </c>
      <c r="Z3070" s="10">
        <f>IF(A3070="C",LEFT(UPPER(E3070)&amp;REPT(" ",15),15)," ")</f>
        <v/>
      </c>
      <c r="AA3070" s="10">
        <f>REPT(" ",8)</f>
        <v/>
      </c>
      <c r="AB3070" s="10">
        <f>REPT(" ",4)</f>
        <v/>
      </c>
      <c r="AC3070" s="10">
        <f>LEFT(UPPER(H3070)&amp;REPT(" ",250),250)</f>
        <v/>
      </c>
      <c r="AD3070" s="10">
        <f>TEXT($G$2,"dd/mm/aaaa")</f>
        <v/>
      </c>
      <c r="AE3070" s="10">
        <f>REPT(" ",10)</f>
        <v/>
      </c>
      <c r="AF3070" s="10">
        <f>REPT(" ",20)</f>
        <v/>
      </c>
      <c r="AG3070" s="54">
        <f>REPT(" ",18-LEN(FIXED(F3070,2,TRUE)))&amp;FIXED(F3070,2,TRUE)</f>
        <v/>
      </c>
      <c r="AH3070" s="10">
        <f>LEN(AC3070)+LEN(AG3070)</f>
        <v/>
      </c>
      <c r="AI3070" s="10">
        <f>LEN(L3070)</f>
        <v/>
      </c>
    </row>
    <row r="3071">
      <c r="J3071" s="12">
        <f>IF(F3071&lt;&gt;0,"LANÇAR","")</f>
        <v/>
      </c>
      <c r="L3071" s="13">
        <f>N3071&amp;O3071&amp;P3071&amp;Q3071&amp;R3071&amp;S3071&amp;T3071&amp;U3071&amp;V3071&amp;W3071&amp;X3071&amp;Y3071&amp;Z3071&amp;AA3071&amp;AB3071&amp;AC3071&amp;AD3071&amp;AE3071&amp;AF3071&amp;AG3071</f>
        <v/>
      </c>
      <c r="N3071" s="10">
        <f>TEXT($B$6,"00")</f>
        <v/>
      </c>
      <c r="O3071" s="10">
        <f>REPT(" ",8)</f>
        <v/>
      </c>
      <c r="P3071" s="10">
        <f>RIGHT($B$4,2)</f>
        <v/>
      </c>
      <c r="Q3071" s="10">
        <f>RIGHT($B$5,3)</f>
        <v/>
      </c>
      <c r="R3071" s="10">
        <f>IF(A3071="D",LEFT(UPPER(B3071)&amp;REPT(" ",20),20),REPT(" ",20))</f>
        <v/>
      </c>
      <c r="S3071" s="10">
        <f>IF(A3071="D",LEFT(UPPER(C3071)&amp;REPT(" ",10),10)," ")</f>
        <v/>
      </c>
      <c r="T3071" s="10">
        <f>IF(A3071="D",LEFT(UPPER(D3071)&amp;REPT(" ",2),2)," ")</f>
        <v/>
      </c>
      <c r="U3071" s="10">
        <f>IF(A3071="D",LEFT(UPPER(E3071)&amp;REPT(" ",15),15)," ")</f>
        <v/>
      </c>
      <c r="V3071" s="10">
        <f>REPT(" ",24)</f>
        <v/>
      </c>
      <c r="W3071" s="10">
        <f>IF(A3071="c",LEFT(UPPER(B3071)&amp;REPT(" ",20),20),REPT(" ",20))</f>
        <v/>
      </c>
      <c r="X3071" s="10">
        <f>IF(A3071="C",LEFT(UPPER(C3071)&amp;REPT(" ",10),10)," ")</f>
        <v/>
      </c>
      <c r="Y3071" s="10">
        <f>IF(A3071="C",LEFT(UPPER(D3071)&amp;REPT(" ",2),2)," ")</f>
        <v/>
      </c>
      <c r="Z3071" s="10">
        <f>IF(A3071="C",LEFT(UPPER(E3071)&amp;REPT(" ",15),15)," ")</f>
        <v/>
      </c>
      <c r="AA3071" s="10">
        <f>REPT(" ",8)</f>
        <v/>
      </c>
      <c r="AB3071" s="10">
        <f>REPT(" ",4)</f>
        <v/>
      </c>
      <c r="AC3071" s="10">
        <f>LEFT(UPPER(H3071)&amp;REPT(" ",250),250)</f>
        <v/>
      </c>
      <c r="AD3071" s="10">
        <f>TEXT($G$2,"dd/mm/aaaa")</f>
        <v/>
      </c>
      <c r="AE3071" s="10">
        <f>REPT(" ",10)</f>
        <v/>
      </c>
      <c r="AF3071" s="10">
        <f>REPT(" ",20)</f>
        <v/>
      </c>
      <c r="AG3071" s="54">
        <f>REPT(" ",18-LEN(FIXED(F3071,2,TRUE)))&amp;FIXED(F3071,2,TRUE)</f>
        <v/>
      </c>
      <c r="AH3071" s="10">
        <f>LEN(AC3071)+LEN(AG3071)</f>
        <v/>
      </c>
      <c r="AI3071" s="10">
        <f>LEN(L3071)</f>
        <v/>
      </c>
    </row>
    <row r="3072">
      <c r="J3072" s="12">
        <f>IF(F3072&lt;&gt;0,"LANÇAR","")</f>
        <v/>
      </c>
      <c r="L3072" s="13">
        <f>N3072&amp;O3072&amp;P3072&amp;Q3072&amp;R3072&amp;S3072&amp;T3072&amp;U3072&amp;V3072&amp;W3072&amp;X3072&amp;Y3072&amp;Z3072&amp;AA3072&amp;AB3072&amp;AC3072&amp;AD3072&amp;AE3072&amp;AF3072&amp;AG3072</f>
        <v/>
      </c>
      <c r="N3072" s="10">
        <f>TEXT($B$6,"00")</f>
        <v/>
      </c>
      <c r="O3072" s="10">
        <f>REPT(" ",8)</f>
        <v/>
      </c>
      <c r="P3072" s="10">
        <f>RIGHT($B$4,2)</f>
        <v/>
      </c>
      <c r="Q3072" s="10">
        <f>RIGHT($B$5,3)</f>
        <v/>
      </c>
      <c r="R3072" s="10">
        <f>IF(A3072="D",LEFT(UPPER(B3072)&amp;REPT(" ",20),20),REPT(" ",20))</f>
        <v/>
      </c>
      <c r="S3072" s="10">
        <f>IF(A3072="D",LEFT(UPPER(C3072)&amp;REPT(" ",10),10)," ")</f>
        <v/>
      </c>
      <c r="T3072" s="10">
        <f>IF(A3072="D",LEFT(UPPER(D3072)&amp;REPT(" ",2),2)," ")</f>
        <v/>
      </c>
      <c r="U3072" s="10">
        <f>IF(A3072="D",LEFT(UPPER(E3072)&amp;REPT(" ",15),15)," ")</f>
        <v/>
      </c>
      <c r="V3072" s="10">
        <f>REPT(" ",24)</f>
        <v/>
      </c>
      <c r="W3072" s="10">
        <f>IF(A3072="c",LEFT(UPPER(B3072)&amp;REPT(" ",20),20),REPT(" ",20))</f>
        <v/>
      </c>
      <c r="X3072" s="10">
        <f>IF(A3072="C",LEFT(UPPER(C3072)&amp;REPT(" ",10),10)," ")</f>
        <v/>
      </c>
      <c r="Y3072" s="10">
        <f>IF(A3072="C",LEFT(UPPER(D3072)&amp;REPT(" ",2),2)," ")</f>
        <v/>
      </c>
      <c r="Z3072" s="10">
        <f>IF(A3072="C",LEFT(UPPER(E3072)&amp;REPT(" ",15),15)," ")</f>
        <v/>
      </c>
      <c r="AA3072" s="10">
        <f>REPT(" ",8)</f>
        <v/>
      </c>
      <c r="AB3072" s="10">
        <f>REPT(" ",4)</f>
        <v/>
      </c>
      <c r="AC3072" s="10">
        <f>LEFT(UPPER(H3072)&amp;REPT(" ",250),250)</f>
        <v/>
      </c>
      <c r="AD3072" s="10">
        <f>TEXT($G$2,"dd/mm/aaaa")</f>
        <v/>
      </c>
      <c r="AE3072" s="10">
        <f>REPT(" ",10)</f>
        <v/>
      </c>
      <c r="AF3072" s="10">
        <f>REPT(" ",20)</f>
        <v/>
      </c>
      <c r="AG3072" s="54">
        <f>REPT(" ",18-LEN(FIXED(F3072,2,TRUE)))&amp;FIXED(F3072,2,TRUE)</f>
        <v/>
      </c>
      <c r="AH3072" s="10">
        <f>LEN(AC3072)+LEN(AG3072)</f>
        <v/>
      </c>
      <c r="AI3072" s="10">
        <f>LEN(L3072)</f>
        <v/>
      </c>
    </row>
    <row r="3073">
      <c r="J3073" s="12">
        <f>IF(F3073&lt;&gt;0,"LANÇAR","")</f>
        <v/>
      </c>
      <c r="L3073" s="13">
        <f>N3073&amp;O3073&amp;P3073&amp;Q3073&amp;R3073&amp;S3073&amp;T3073&amp;U3073&amp;V3073&amp;W3073&amp;X3073&amp;Y3073&amp;Z3073&amp;AA3073&amp;AB3073&amp;AC3073&amp;AD3073&amp;AE3073&amp;AF3073&amp;AG3073</f>
        <v/>
      </c>
      <c r="N3073" s="10">
        <f>TEXT($B$6,"00")</f>
        <v/>
      </c>
      <c r="O3073" s="10">
        <f>REPT(" ",8)</f>
        <v/>
      </c>
      <c r="P3073" s="10">
        <f>RIGHT($B$4,2)</f>
        <v/>
      </c>
      <c r="Q3073" s="10">
        <f>RIGHT($B$5,3)</f>
        <v/>
      </c>
      <c r="R3073" s="10">
        <f>IF(A3073="D",LEFT(UPPER(B3073)&amp;REPT(" ",20),20),REPT(" ",20))</f>
        <v/>
      </c>
      <c r="S3073" s="10">
        <f>IF(A3073="D",LEFT(UPPER(C3073)&amp;REPT(" ",10),10)," ")</f>
        <v/>
      </c>
      <c r="T3073" s="10">
        <f>IF(A3073="D",LEFT(UPPER(D3073)&amp;REPT(" ",2),2)," ")</f>
        <v/>
      </c>
      <c r="U3073" s="10">
        <f>IF(A3073="D",LEFT(UPPER(E3073)&amp;REPT(" ",15),15)," ")</f>
        <v/>
      </c>
      <c r="V3073" s="10">
        <f>REPT(" ",24)</f>
        <v/>
      </c>
      <c r="W3073" s="10">
        <f>IF(A3073="c",LEFT(UPPER(B3073)&amp;REPT(" ",20),20),REPT(" ",20))</f>
        <v/>
      </c>
      <c r="X3073" s="10">
        <f>IF(A3073="C",LEFT(UPPER(C3073)&amp;REPT(" ",10),10)," ")</f>
        <v/>
      </c>
      <c r="Y3073" s="10">
        <f>IF(A3073="C",LEFT(UPPER(D3073)&amp;REPT(" ",2),2)," ")</f>
        <v/>
      </c>
      <c r="Z3073" s="10">
        <f>IF(A3073="C",LEFT(UPPER(E3073)&amp;REPT(" ",15),15)," ")</f>
        <v/>
      </c>
      <c r="AA3073" s="10">
        <f>REPT(" ",8)</f>
        <v/>
      </c>
      <c r="AB3073" s="10">
        <f>REPT(" ",4)</f>
        <v/>
      </c>
      <c r="AC3073" s="10">
        <f>LEFT(UPPER(H3073)&amp;REPT(" ",250),250)</f>
        <v/>
      </c>
      <c r="AD3073" s="10">
        <f>TEXT($G$2,"dd/mm/aaaa")</f>
        <v/>
      </c>
      <c r="AE3073" s="10">
        <f>REPT(" ",10)</f>
        <v/>
      </c>
      <c r="AF3073" s="10">
        <f>REPT(" ",20)</f>
        <v/>
      </c>
      <c r="AG3073" s="54">
        <f>REPT(" ",18-LEN(FIXED(F3073,2,TRUE)))&amp;FIXED(F3073,2,TRUE)</f>
        <v/>
      </c>
      <c r="AH3073" s="10">
        <f>LEN(AC3073)+LEN(AG3073)</f>
        <v/>
      </c>
      <c r="AI3073" s="10">
        <f>LEN(L3073)</f>
        <v/>
      </c>
    </row>
    <row r="3074">
      <c r="J3074" s="12">
        <f>IF(F3074&lt;&gt;0,"LANÇAR","")</f>
        <v/>
      </c>
      <c r="L3074" s="13">
        <f>N3074&amp;O3074&amp;P3074&amp;Q3074&amp;R3074&amp;S3074&amp;T3074&amp;U3074&amp;V3074&amp;W3074&amp;X3074&amp;Y3074&amp;Z3074&amp;AA3074&amp;AB3074&amp;AC3074&amp;AD3074&amp;AE3074&amp;AF3074&amp;AG3074</f>
        <v/>
      </c>
      <c r="N3074" s="10">
        <f>TEXT($B$6,"00")</f>
        <v/>
      </c>
      <c r="O3074" s="10">
        <f>REPT(" ",8)</f>
        <v/>
      </c>
      <c r="P3074" s="10">
        <f>RIGHT($B$4,2)</f>
        <v/>
      </c>
      <c r="Q3074" s="10">
        <f>RIGHT($B$5,3)</f>
        <v/>
      </c>
      <c r="R3074" s="10">
        <f>IF(A3074="D",LEFT(UPPER(B3074)&amp;REPT(" ",20),20),REPT(" ",20))</f>
        <v/>
      </c>
      <c r="S3074" s="10">
        <f>IF(A3074="D",LEFT(UPPER(C3074)&amp;REPT(" ",10),10)," ")</f>
        <v/>
      </c>
      <c r="T3074" s="10">
        <f>IF(A3074="D",LEFT(UPPER(D3074)&amp;REPT(" ",2),2)," ")</f>
        <v/>
      </c>
      <c r="U3074" s="10">
        <f>IF(A3074="D",LEFT(UPPER(E3074)&amp;REPT(" ",15),15)," ")</f>
        <v/>
      </c>
      <c r="V3074" s="10">
        <f>REPT(" ",24)</f>
        <v/>
      </c>
      <c r="W3074" s="10">
        <f>IF(A3074="c",LEFT(UPPER(B3074)&amp;REPT(" ",20),20),REPT(" ",20))</f>
        <v/>
      </c>
      <c r="X3074" s="10">
        <f>IF(A3074="C",LEFT(UPPER(C3074)&amp;REPT(" ",10),10)," ")</f>
        <v/>
      </c>
      <c r="Y3074" s="10">
        <f>IF(A3074="C",LEFT(UPPER(D3074)&amp;REPT(" ",2),2)," ")</f>
        <v/>
      </c>
      <c r="Z3074" s="10">
        <f>IF(A3074="C",LEFT(UPPER(E3074)&amp;REPT(" ",15),15)," ")</f>
        <v/>
      </c>
      <c r="AA3074" s="10">
        <f>REPT(" ",8)</f>
        <v/>
      </c>
      <c r="AB3074" s="10">
        <f>REPT(" ",4)</f>
        <v/>
      </c>
      <c r="AC3074" s="10">
        <f>LEFT(UPPER(H3074)&amp;REPT(" ",250),250)</f>
        <v/>
      </c>
      <c r="AD3074" s="10">
        <f>TEXT($G$2,"dd/mm/aaaa")</f>
        <v/>
      </c>
      <c r="AE3074" s="10">
        <f>REPT(" ",10)</f>
        <v/>
      </c>
      <c r="AF3074" s="10">
        <f>REPT(" ",20)</f>
        <v/>
      </c>
      <c r="AG3074" s="54">
        <f>REPT(" ",18-LEN(FIXED(F3074,2,TRUE)))&amp;FIXED(F3074,2,TRUE)</f>
        <v/>
      </c>
      <c r="AH3074" s="10">
        <f>LEN(AC3074)+LEN(AG3074)</f>
        <v/>
      </c>
      <c r="AI3074" s="10">
        <f>LEN(L3074)</f>
        <v/>
      </c>
    </row>
    <row r="3075">
      <c r="J3075" s="12">
        <f>IF(F3075&lt;&gt;0,"LANÇAR","")</f>
        <v/>
      </c>
      <c r="L3075" s="13">
        <f>N3075&amp;O3075&amp;P3075&amp;Q3075&amp;R3075&amp;S3075&amp;T3075&amp;U3075&amp;V3075&amp;W3075&amp;X3075&amp;Y3075&amp;Z3075&amp;AA3075&amp;AB3075&amp;AC3075&amp;AD3075&amp;AE3075&amp;AF3075&amp;AG3075</f>
        <v/>
      </c>
      <c r="N3075" s="10">
        <f>TEXT($B$6,"00")</f>
        <v/>
      </c>
      <c r="O3075" s="10">
        <f>REPT(" ",8)</f>
        <v/>
      </c>
      <c r="P3075" s="10">
        <f>RIGHT($B$4,2)</f>
        <v/>
      </c>
      <c r="Q3075" s="10">
        <f>RIGHT($B$5,3)</f>
        <v/>
      </c>
      <c r="R3075" s="10">
        <f>IF(A3075="D",LEFT(UPPER(B3075)&amp;REPT(" ",20),20),REPT(" ",20))</f>
        <v/>
      </c>
      <c r="S3075" s="10">
        <f>IF(A3075="D",LEFT(UPPER(C3075)&amp;REPT(" ",10),10)," ")</f>
        <v/>
      </c>
      <c r="T3075" s="10">
        <f>IF(A3075="D",LEFT(UPPER(D3075)&amp;REPT(" ",2),2)," ")</f>
        <v/>
      </c>
      <c r="U3075" s="10">
        <f>IF(A3075="D",LEFT(UPPER(E3075)&amp;REPT(" ",15),15)," ")</f>
        <v/>
      </c>
      <c r="V3075" s="10">
        <f>REPT(" ",24)</f>
        <v/>
      </c>
      <c r="W3075" s="10">
        <f>IF(A3075="c",LEFT(UPPER(B3075)&amp;REPT(" ",20),20),REPT(" ",20))</f>
        <v/>
      </c>
      <c r="X3075" s="10">
        <f>IF(A3075="C",LEFT(UPPER(C3075)&amp;REPT(" ",10),10)," ")</f>
        <v/>
      </c>
      <c r="Y3075" s="10">
        <f>IF(A3075="C",LEFT(UPPER(D3075)&amp;REPT(" ",2),2)," ")</f>
        <v/>
      </c>
      <c r="Z3075" s="10">
        <f>IF(A3075="C",LEFT(UPPER(E3075)&amp;REPT(" ",15),15)," ")</f>
        <v/>
      </c>
      <c r="AA3075" s="10">
        <f>REPT(" ",8)</f>
        <v/>
      </c>
      <c r="AB3075" s="10">
        <f>REPT(" ",4)</f>
        <v/>
      </c>
      <c r="AC3075" s="10">
        <f>LEFT(UPPER(H3075)&amp;REPT(" ",250),250)</f>
        <v/>
      </c>
      <c r="AD3075" s="10">
        <f>TEXT($G$2,"dd/mm/aaaa")</f>
        <v/>
      </c>
      <c r="AE3075" s="10">
        <f>REPT(" ",10)</f>
        <v/>
      </c>
      <c r="AF3075" s="10">
        <f>REPT(" ",20)</f>
        <v/>
      </c>
      <c r="AG3075" s="54">
        <f>REPT(" ",18-LEN(FIXED(F3075,2,TRUE)))&amp;FIXED(F3075,2,TRUE)</f>
        <v/>
      </c>
      <c r="AH3075" s="10">
        <f>LEN(AC3075)+LEN(AG3075)</f>
        <v/>
      </c>
      <c r="AI3075" s="10">
        <f>LEN(L3075)</f>
        <v/>
      </c>
    </row>
    <row r="3076">
      <c r="J3076" s="12">
        <f>IF(F3076&lt;&gt;0,"LANÇAR","")</f>
        <v/>
      </c>
      <c r="L3076" s="13">
        <f>N3076&amp;O3076&amp;P3076&amp;Q3076&amp;R3076&amp;S3076&amp;T3076&amp;U3076&amp;V3076&amp;W3076&amp;X3076&amp;Y3076&amp;Z3076&amp;AA3076&amp;AB3076&amp;AC3076&amp;AD3076&amp;AE3076&amp;AF3076&amp;AG3076</f>
        <v/>
      </c>
      <c r="N3076" s="10">
        <f>TEXT($B$6,"00")</f>
        <v/>
      </c>
      <c r="O3076" s="10">
        <f>REPT(" ",8)</f>
        <v/>
      </c>
      <c r="P3076" s="10">
        <f>RIGHT($B$4,2)</f>
        <v/>
      </c>
      <c r="Q3076" s="10">
        <f>RIGHT($B$5,3)</f>
        <v/>
      </c>
      <c r="R3076" s="10">
        <f>IF(A3076="D",LEFT(UPPER(B3076)&amp;REPT(" ",20),20),REPT(" ",20))</f>
        <v/>
      </c>
      <c r="S3076" s="10">
        <f>IF(A3076="D",LEFT(UPPER(C3076)&amp;REPT(" ",10),10)," ")</f>
        <v/>
      </c>
      <c r="T3076" s="10">
        <f>IF(A3076="D",LEFT(UPPER(D3076)&amp;REPT(" ",2),2)," ")</f>
        <v/>
      </c>
      <c r="U3076" s="10">
        <f>IF(A3076="D",LEFT(UPPER(E3076)&amp;REPT(" ",15),15)," ")</f>
        <v/>
      </c>
      <c r="V3076" s="10">
        <f>REPT(" ",24)</f>
        <v/>
      </c>
      <c r="W3076" s="10">
        <f>IF(A3076="c",LEFT(UPPER(B3076)&amp;REPT(" ",20),20),REPT(" ",20))</f>
        <v/>
      </c>
      <c r="X3076" s="10">
        <f>IF(A3076="C",LEFT(UPPER(C3076)&amp;REPT(" ",10),10)," ")</f>
        <v/>
      </c>
      <c r="Y3076" s="10">
        <f>IF(A3076="C",LEFT(UPPER(D3076)&amp;REPT(" ",2),2)," ")</f>
        <v/>
      </c>
      <c r="Z3076" s="10">
        <f>IF(A3076="C",LEFT(UPPER(E3076)&amp;REPT(" ",15),15)," ")</f>
        <v/>
      </c>
      <c r="AA3076" s="10">
        <f>REPT(" ",8)</f>
        <v/>
      </c>
      <c r="AB3076" s="10">
        <f>REPT(" ",4)</f>
        <v/>
      </c>
      <c r="AC3076" s="10">
        <f>LEFT(UPPER(H3076)&amp;REPT(" ",250),250)</f>
        <v/>
      </c>
      <c r="AD3076" s="10">
        <f>TEXT($G$2,"dd/mm/aaaa")</f>
        <v/>
      </c>
      <c r="AE3076" s="10">
        <f>REPT(" ",10)</f>
        <v/>
      </c>
      <c r="AF3076" s="10">
        <f>REPT(" ",20)</f>
        <v/>
      </c>
      <c r="AG3076" s="54">
        <f>REPT(" ",18-LEN(FIXED(F3076,2,TRUE)))&amp;FIXED(F3076,2,TRUE)</f>
        <v/>
      </c>
      <c r="AH3076" s="10">
        <f>LEN(AC3076)+LEN(AG3076)</f>
        <v/>
      </c>
      <c r="AI3076" s="10">
        <f>LEN(L3076)</f>
        <v/>
      </c>
    </row>
    <row r="3077">
      <c r="J3077" s="12">
        <f>IF(F3077&lt;&gt;0,"LANÇAR","")</f>
        <v/>
      </c>
      <c r="L3077" s="13">
        <f>N3077&amp;O3077&amp;P3077&amp;Q3077&amp;R3077&amp;S3077&amp;T3077&amp;U3077&amp;V3077&amp;W3077&amp;X3077&amp;Y3077&amp;Z3077&amp;AA3077&amp;AB3077&amp;AC3077&amp;AD3077&amp;AE3077&amp;AF3077&amp;AG3077</f>
        <v/>
      </c>
      <c r="N3077" s="10">
        <f>TEXT($B$6,"00")</f>
        <v/>
      </c>
      <c r="O3077" s="10">
        <f>REPT(" ",8)</f>
        <v/>
      </c>
      <c r="P3077" s="10">
        <f>RIGHT($B$4,2)</f>
        <v/>
      </c>
      <c r="Q3077" s="10">
        <f>RIGHT($B$5,3)</f>
        <v/>
      </c>
      <c r="R3077" s="10">
        <f>IF(A3077="D",LEFT(UPPER(B3077)&amp;REPT(" ",20),20),REPT(" ",20))</f>
        <v/>
      </c>
      <c r="S3077" s="10">
        <f>IF(A3077="D",LEFT(UPPER(C3077)&amp;REPT(" ",10),10)," ")</f>
        <v/>
      </c>
      <c r="T3077" s="10">
        <f>IF(A3077="D",LEFT(UPPER(D3077)&amp;REPT(" ",2),2)," ")</f>
        <v/>
      </c>
      <c r="U3077" s="10">
        <f>IF(A3077="D",LEFT(UPPER(E3077)&amp;REPT(" ",15),15)," ")</f>
        <v/>
      </c>
      <c r="V3077" s="10">
        <f>REPT(" ",24)</f>
        <v/>
      </c>
      <c r="W3077" s="10">
        <f>IF(A3077="c",LEFT(UPPER(B3077)&amp;REPT(" ",20),20),REPT(" ",20))</f>
        <v/>
      </c>
      <c r="X3077" s="10">
        <f>IF(A3077="C",LEFT(UPPER(C3077)&amp;REPT(" ",10),10)," ")</f>
        <v/>
      </c>
      <c r="Y3077" s="10">
        <f>IF(A3077="C",LEFT(UPPER(D3077)&amp;REPT(" ",2),2)," ")</f>
        <v/>
      </c>
      <c r="Z3077" s="10">
        <f>IF(A3077="C",LEFT(UPPER(E3077)&amp;REPT(" ",15),15)," ")</f>
        <v/>
      </c>
      <c r="AA3077" s="10">
        <f>REPT(" ",8)</f>
        <v/>
      </c>
      <c r="AB3077" s="10">
        <f>REPT(" ",4)</f>
        <v/>
      </c>
      <c r="AC3077" s="10">
        <f>LEFT(UPPER(H3077)&amp;REPT(" ",250),250)</f>
        <v/>
      </c>
      <c r="AD3077" s="10">
        <f>TEXT($G$2,"dd/mm/aaaa")</f>
        <v/>
      </c>
      <c r="AE3077" s="10">
        <f>REPT(" ",10)</f>
        <v/>
      </c>
      <c r="AF3077" s="10">
        <f>REPT(" ",20)</f>
        <v/>
      </c>
      <c r="AG3077" s="54">
        <f>REPT(" ",18-LEN(FIXED(F3077,2,TRUE)))&amp;FIXED(F3077,2,TRUE)</f>
        <v/>
      </c>
      <c r="AH3077" s="10">
        <f>LEN(AC3077)+LEN(AG3077)</f>
        <v/>
      </c>
      <c r="AI3077" s="10">
        <f>LEN(L3077)</f>
        <v/>
      </c>
    </row>
    <row r="3078">
      <c r="J3078" s="12">
        <f>IF(F3078&lt;&gt;0,"LANÇAR","")</f>
        <v/>
      </c>
      <c r="L3078" s="13">
        <f>N3078&amp;O3078&amp;P3078&amp;Q3078&amp;R3078&amp;S3078&amp;T3078&amp;U3078&amp;V3078&amp;W3078&amp;X3078&amp;Y3078&amp;Z3078&amp;AA3078&amp;AB3078&amp;AC3078&amp;AD3078&amp;AE3078&amp;AF3078&amp;AG3078</f>
        <v/>
      </c>
      <c r="N3078" s="10">
        <f>TEXT($B$6,"00")</f>
        <v/>
      </c>
      <c r="O3078" s="10">
        <f>REPT(" ",8)</f>
        <v/>
      </c>
      <c r="P3078" s="10">
        <f>RIGHT($B$4,2)</f>
        <v/>
      </c>
      <c r="Q3078" s="10">
        <f>RIGHT($B$5,3)</f>
        <v/>
      </c>
      <c r="R3078" s="10">
        <f>IF(A3078="D",LEFT(UPPER(B3078)&amp;REPT(" ",20),20),REPT(" ",20))</f>
        <v/>
      </c>
      <c r="S3078" s="10">
        <f>IF(A3078="D",LEFT(UPPER(C3078)&amp;REPT(" ",10),10)," ")</f>
        <v/>
      </c>
      <c r="T3078" s="10">
        <f>IF(A3078="D",LEFT(UPPER(D3078)&amp;REPT(" ",2),2)," ")</f>
        <v/>
      </c>
      <c r="U3078" s="10">
        <f>IF(A3078="D",LEFT(UPPER(E3078)&amp;REPT(" ",15),15)," ")</f>
        <v/>
      </c>
      <c r="V3078" s="10">
        <f>REPT(" ",24)</f>
        <v/>
      </c>
      <c r="W3078" s="10">
        <f>IF(A3078="c",LEFT(UPPER(B3078)&amp;REPT(" ",20),20),REPT(" ",20))</f>
        <v/>
      </c>
      <c r="X3078" s="10">
        <f>IF(A3078="C",LEFT(UPPER(C3078)&amp;REPT(" ",10),10)," ")</f>
        <v/>
      </c>
      <c r="Y3078" s="10">
        <f>IF(A3078="C",LEFT(UPPER(D3078)&amp;REPT(" ",2),2)," ")</f>
        <v/>
      </c>
      <c r="Z3078" s="10">
        <f>IF(A3078="C",LEFT(UPPER(E3078)&amp;REPT(" ",15),15)," ")</f>
        <v/>
      </c>
      <c r="AA3078" s="10">
        <f>REPT(" ",8)</f>
        <v/>
      </c>
      <c r="AB3078" s="10">
        <f>REPT(" ",4)</f>
        <v/>
      </c>
      <c r="AC3078" s="10">
        <f>LEFT(UPPER(H3078)&amp;REPT(" ",250),250)</f>
        <v/>
      </c>
      <c r="AD3078" s="10">
        <f>TEXT($G$2,"dd/mm/aaaa")</f>
        <v/>
      </c>
      <c r="AE3078" s="10">
        <f>REPT(" ",10)</f>
        <v/>
      </c>
      <c r="AF3078" s="10">
        <f>REPT(" ",20)</f>
        <v/>
      </c>
      <c r="AG3078" s="54">
        <f>REPT(" ",18-LEN(FIXED(F3078,2,TRUE)))&amp;FIXED(F3078,2,TRUE)</f>
        <v/>
      </c>
      <c r="AH3078" s="10">
        <f>LEN(AC3078)+LEN(AG3078)</f>
        <v/>
      </c>
      <c r="AI3078" s="10">
        <f>LEN(L3078)</f>
        <v/>
      </c>
    </row>
    <row r="3079">
      <c r="J3079" s="12">
        <f>IF(F3079&lt;&gt;0,"LANÇAR","")</f>
        <v/>
      </c>
      <c r="L3079" s="13">
        <f>N3079&amp;O3079&amp;P3079&amp;Q3079&amp;R3079&amp;S3079&amp;T3079&amp;U3079&amp;V3079&amp;W3079&amp;X3079&amp;Y3079&amp;Z3079&amp;AA3079&amp;AB3079&amp;AC3079&amp;AD3079&amp;AE3079&amp;AF3079&amp;AG3079</f>
        <v/>
      </c>
      <c r="N3079" s="10">
        <f>TEXT($B$6,"00")</f>
        <v/>
      </c>
      <c r="O3079" s="10">
        <f>REPT(" ",8)</f>
        <v/>
      </c>
      <c r="P3079" s="10">
        <f>RIGHT($B$4,2)</f>
        <v/>
      </c>
      <c r="Q3079" s="10">
        <f>RIGHT($B$5,3)</f>
        <v/>
      </c>
      <c r="R3079" s="10">
        <f>IF(A3079="D",LEFT(UPPER(B3079)&amp;REPT(" ",20),20),REPT(" ",20))</f>
        <v/>
      </c>
      <c r="S3079" s="10">
        <f>IF(A3079="D",LEFT(UPPER(C3079)&amp;REPT(" ",10),10)," ")</f>
        <v/>
      </c>
      <c r="T3079" s="10">
        <f>IF(A3079="D",LEFT(UPPER(D3079)&amp;REPT(" ",2),2)," ")</f>
        <v/>
      </c>
      <c r="U3079" s="10">
        <f>IF(A3079="D",LEFT(UPPER(E3079)&amp;REPT(" ",15),15)," ")</f>
        <v/>
      </c>
      <c r="V3079" s="10">
        <f>REPT(" ",24)</f>
        <v/>
      </c>
      <c r="W3079" s="10">
        <f>IF(A3079="c",LEFT(UPPER(B3079)&amp;REPT(" ",20),20),REPT(" ",20))</f>
        <v/>
      </c>
      <c r="X3079" s="10">
        <f>IF(A3079="C",LEFT(UPPER(C3079)&amp;REPT(" ",10),10)," ")</f>
        <v/>
      </c>
      <c r="Y3079" s="10">
        <f>IF(A3079="C",LEFT(UPPER(D3079)&amp;REPT(" ",2),2)," ")</f>
        <v/>
      </c>
      <c r="Z3079" s="10">
        <f>IF(A3079="C",LEFT(UPPER(E3079)&amp;REPT(" ",15),15)," ")</f>
        <v/>
      </c>
      <c r="AA3079" s="10">
        <f>REPT(" ",8)</f>
        <v/>
      </c>
      <c r="AB3079" s="10">
        <f>REPT(" ",4)</f>
        <v/>
      </c>
      <c r="AC3079" s="10">
        <f>LEFT(UPPER(H3079)&amp;REPT(" ",250),250)</f>
        <v/>
      </c>
      <c r="AD3079" s="10">
        <f>TEXT($G$2,"dd/mm/aaaa")</f>
        <v/>
      </c>
      <c r="AE3079" s="10">
        <f>REPT(" ",10)</f>
        <v/>
      </c>
      <c r="AF3079" s="10">
        <f>REPT(" ",20)</f>
        <v/>
      </c>
      <c r="AG3079" s="54">
        <f>REPT(" ",18-LEN(FIXED(F3079,2,TRUE)))&amp;FIXED(F3079,2,TRUE)</f>
        <v/>
      </c>
      <c r="AH3079" s="10">
        <f>LEN(AC3079)+LEN(AG3079)</f>
        <v/>
      </c>
      <c r="AI3079" s="10">
        <f>LEN(L3079)</f>
        <v/>
      </c>
    </row>
    <row r="3080">
      <c r="J3080" s="12">
        <f>IF(F3080&lt;&gt;0,"LANÇAR","")</f>
        <v/>
      </c>
      <c r="L3080" s="13">
        <f>N3080&amp;O3080&amp;P3080&amp;Q3080&amp;R3080&amp;S3080&amp;T3080&amp;U3080&amp;V3080&amp;W3080&amp;X3080&amp;Y3080&amp;Z3080&amp;AA3080&amp;AB3080&amp;AC3080&amp;AD3080&amp;AE3080&amp;AF3080&amp;AG3080</f>
        <v/>
      </c>
      <c r="N3080" s="10">
        <f>TEXT($B$6,"00")</f>
        <v/>
      </c>
      <c r="O3080" s="10">
        <f>REPT(" ",8)</f>
        <v/>
      </c>
      <c r="P3080" s="10">
        <f>RIGHT($B$4,2)</f>
        <v/>
      </c>
      <c r="Q3080" s="10">
        <f>RIGHT($B$5,3)</f>
        <v/>
      </c>
      <c r="R3080" s="10">
        <f>IF(A3080="D",LEFT(UPPER(B3080)&amp;REPT(" ",20),20),REPT(" ",20))</f>
        <v/>
      </c>
      <c r="S3080" s="10">
        <f>IF(A3080="D",LEFT(UPPER(C3080)&amp;REPT(" ",10),10)," ")</f>
        <v/>
      </c>
      <c r="T3080" s="10">
        <f>IF(A3080="D",LEFT(UPPER(D3080)&amp;REPT(" ",2),2)," ")</f>
        <v/>
      </c>
      <c r="U3080" s="10">
        <f>IF(A3080="D",LEFT(UPPER(E3080)&amp;REPT(" ",15),15)," ")</f>
        <v/>
      </c>
      <c r="V3080" s="10">
        <f>REPT(" ",24)</f>
        <v/>
      </c>
      <c r="W3080" s="10">
        <f>IF(A3080="c",LEFT(UPPER(B3080)&amp;REPT(" ",20),20),REPT(" ",20))</f>
        <v/>
      </c>
      <c r="X3080" s="10">
        <f>IF(A3080="C",LEFT(UPPER(C3080)&amp;REPT(" ",10),10)," ")</f>
        <v/>
      </c>
      <c r="Y3080" s="10">
        <f>IF(A3080="C",LEFT(UPPER(D3080)&amp;REPT(" ",2),2)," ")</f>
        <v/>
      </c>
      <c r="Z3080" s="10">
        <f>IF(A3080="C",LEFT(UPPER(E3080)&amp;REPT(" ",15),15)," ")</f>
        <v/>
      </c>
      <c r="AA3080" s="10">
        <f>REPT(" ",8)</f>
        <v/>
      </c>
      <c r="AB3080" s="10">
        <f>REPT(" ",4)</f>
        <v/>
      </c>
      <c r="AC3080" s="10">
        <f>LEFT(UPPER(H3080)&amp;REPT(" ",250),250)</f>
        <v/>
      </c>
      <c r="AD3080" s="10">
        <f>TEXT($G$2,"dd/mm/aaaa")</f>
        <v/>
      </c>
      <c r="AE3080" s="10">
        <f>REPT(" ",10)</f>
        <v/>
      </c>
      <c r="AF3080" s="10">
        <f>REPT(" ",20)</f>
        <v/>
      </c>
      <c r="AG3080" s="54">
        <f>REPT(" ",18-LEN(FIXED(F3080,2,TRUE)))&amp;FIXED(F3080,2,TRUE)</f>
        <v/>
      </c>
      <c r="AH3080" s="10">
        <f>LEN(AC3080)+LEN(AG3080)</f>
        <v/>
      </c>
      <c r="AI3080" s="10">
        <f>LEN(L3080)</f>
        <v/>
      </c>
    </row>
    <row r="3081">
      <c r="J3081" s="12">
        <f>IF(F3081&lt;&gt;0,"LANÇAR","")</f>
        <v/>
      </c>
      <c r="L3081" s="13">
        <f>N3081&amp;O3081&amp;P3081&amp;Q3081&amp;R3081&amp;S3081&amp;T3081&amp;U3081&amp;V3081&amp;W3081&amp;X3081&amp;Y3081&amp;Z3081&amp;AA3081&amp;AB3081&amp;AC3081&amp;AD3081&amp;AE3081&amp;AF3081&amp;AG3081</f>
        <v/>
      </c>
      <c r="N3081" s="10">
        <f>TEXT($B$6,"00")</f>
        <v/>
      </c>
      <c r="O3081" s="10">
        <f>REPT(" ",8)</f>
        <v/>
      </c>
      <c r="P3081" s="10">
        <f>RIGHT($B$4,2)</f>
        <v/>
      </c>
      <c r="Q3081" s="10">
        <f>RIGHT($B$5,3)</f>
        <v/>
      </c>
      <c r="R3081" s="10">
        <f>IF(A3081="D",LEFT(UPPER(B3081)&amp;REPT(" ",20),20),REPT(" ",20))</f>
        <v/>
      </c>
      <c r="S3081" s="10">
        <f>IF(A3081="D",LEFT(UPPER(C3081)&amp;REPT(" ",10),10)," ")</f>
        <v/>
      </c>
      <c r="T3081" s="10">
        <f>IF(A3081="D",LEFT(UPPER(D3081)&amp;REPT(" ",2),2)," ")</f>
        <v/>
      </c>
      <c r="U3081" s="10">
        <f>IF(A3081="D",LEFT(UPPER(E3081)&amp;REPT(" ",15),15)," ")</f>
        <v/>
      </c>
      <c r="V3081" s="10">
        <f>REPT(" ",24)</f>
        <v/>
      </c>
      <c r="W3081" s="10">
        <f>IF(A3081="c",LEFT(UPPER(B3081)&amp;REPT(" ",20),20),REPT(" ",20))</f>
        <v/>
      </c>
      <c r="X3081" s="10">
        <f>IF(A3081="C",LEFT(UPPER(C3081)&amp;REPT(" ",10),10)," ")</f>
        <v/>
      </c>
      <c r="Y3081" s="10">
        <f>IF(A3081="C",LEFT(UPPER(D3081)&amp;REPT(" ",2),2)," ")</f>
        <v/>
      </c>
      <c r="Z3081" s="10">
        <f>IF(A3081="C",LEFT(UPPER(E3081)&amp;REPT(" ",15),15)," ")</f>
        <v/>
      </c>
      <c r="AA3081" s="10">
        <f>REPT(" ",8)</f>
        <v/>
      </c>
      <c r="AB3081" s="10">
        <f>REPT(" ",4)</f>
        <v/>
      </c>
      <c r="AC3081" s="10">
        <f>LEFT(UPPER(H3081)&amp;REPT(" ",250),250)</f>
        <v/>
      </c>
      <c r="AD3081" s="10">
        <f>TEXT($G$2,"dd/mm/aaaa")</f>
        <v/>
      </c>
      <c r="AE3081" s="10">
        <f>REPT(" ",10)</f>
        <v/>
      </c>
      <c r="AF3081" s="10">
        <f>REPT(" ",20)</f>
        <v/>
      </c>
      <c r="AG3081" s="54">
        <f>REPT(" ",18-LEN(FIXED(F3081,2,TRUE)))&amp;FIXED(F3081,2,TRUE)</f>
        <v/>
      </c>
      <c r="AH3081" s="10">
        <f>LEN(AC3081)+LEN(AG3081)</f>
        <v/>
      </c>
      <c r="AI3081" s="10">
        <f>LEN(L3081)</f>
        <v/>
      </c>
    </row>
    <row r="3082">
      <c r="J3082" s="12">
        <f>IF(F3082&lt;&gt;0,"LANÇAR","")</f>
        <v/>
      </c>
      <c r="L3082" s="13">
        <f>N3082&amp;O3082&amp;P3082&amp;Q3082&amp;R3082&amp;S3082&amp;T3082&amp;U3082&amp;V3082&amp;W3082&amp;X3082&amp;Y3082&amp;Z3082&amp;AA3082&amp;AB3082&amp;AC3082&amp;AD3082&amp;AE3082&amp;AF3082&amp;AG3082</f>
        <v/>
      </c>
      <c r="N3082" s="10">
        <f>TEXT($B$6,"00")</f>
        <v/>
      </c>
      <c r="O3082" s="10">
        <f>REPT(" ",8)</f>
        <v/>
      </c>
      <c r="P3082" s="10">
        <f>RIGHT($B$4,2)</f>
        <v/>
      </c>
      <c r="Q3082" s="10">
        <f>RIGHT($B$5,3)</f>
        <v/>
      </c>
      <c r="R3082" s="10">
        <f>IF(A3082="D",LEFT(UPPER(B3082)&amp;REPT(" ",20),20),REPT(" ",20))</f>
        <v/>
      </c>
      <c r="S3082" s="10">
        <f>IF(A3082="D",LEFT(UPPER(C3082)&amp;REPT(" ",10),10)," ")</f>
        <v/>
      </c>
      <c r="T3082" s="10">
        <f>IF(A3082="D",LEFT(UPPER(D3082)&amp;REPT(" ",2),2)," ")</f>
        <v/>
      </c>
      <c r="U3082" s="10">
        <f>IF(A3082="D",LEFT(UPPER(E3082)&amp;REPT(" ",15),15)," ")</f>
        <v/>
      </c>
      <c r="V3082" s="10">
        <f>REPT(" ",24)</f>
        <v/>
      </c>
      <c r="W3082" s="10">
        <f>IF(A3082="c",LEFT(UPPER(B3082)&amp;REPT(" ",20),20),REPT(" ",20))</f>
        <v/>
      </c>
      <c r="X3082" s="10">
        <f>IF(A3082="C",LEFT(UPPER(C3082)&amp;REPT(" ",10),10)," ")</f>
        <v/>
      </c>
      <c r="Y3082" s="10">
        <f>IF(A3082="C",LEFT(UPPER(D3082)&amp;REPT(" ",2),2)," ")</f>
        <v/>
      </c>
      <c r="Z3082" s="10">
        <f>IF(A3082="C",LEFT(UPPER(E3082)&amp;REPT(" ",15),15)," ")</f>
        <v/>
      </c>
      <c r="AA3082" s="10">
        <f>REPT(" ",8)</f>
        <v/>
      </c>
      <c r="AB3082" s="10">
        <f>REPT(" ",4)</f>
        <v/>
      </c>
      <c r="AC3082" s="10">
        <f>LEFT(UPPER(H3082)&amp;REPT(" ",250),250)</f>
        <v/>
      </c>
      <c r="AD3082" s="10">
        <f>TEXT($G$2,"dd/mm/aaaa")</f>
        <v/>
      </c>
      <c r="AE3082" s="10">
        <f>REPT(" ",10)</f>
        <v/>
      </c>
      <c r="AF3082" s="10">
        <f>REPT(" ",20)</f>
        <v/>
      </c>
      <c r="AG3082" s="54">
        <f>REPT(" ",18-LEN(FIXED(F3082,2,TRUE)))&amp;FIXED(F3082,2,TRUE)</f>
        <v/>
      </c>
      <c r="AH3082" s="10">
        <f>LEN(AC3082)+LEN(AG3082)</f>
        <v/>
      </c>
      <c r="AI3082" s="10">
        <f>LEN(L3082)</f>
        <v/>
      </c>
    </row>
    <row r="3083">
      <c r="J3083" s="12">
        <f>IF(F3083&lt;&gt;0,"LANÇAR","")</f>
        <v/>
      </c>
      <c r="L3083" s="13">
        <f>N3083&amp;O3083&amp;P3083&amp;Q3083&amp;R3083&amp;S3083&amp;T3083&amp;U3083&amp;V3083&amp;W3083&amp;X3083&amp;Y3083&amp;Z3083&amp;AA3083&amp;AB3083&amp;AC3083&amp;AD3083&amp;AE3083&amp;AF3083&amp;AG3083</f>
        <v/>
      </c>
      <c r="N3083" s="10">
        <f>TEXT($B$6,"00")</f>
        <v/>
      </c>
      <c r="O3083" s="10">
        <f>REPT(" ",8)</f>
        <v/>
      </c>
      <c r="P3083" s="10">
        <f>RIGHT($B$4,2)</f>
        <v/>
      </c>
      <c r="Q3083" s="10">
        <f>RIGHT($B$5,3)</f>
        <v/>
      </c>
      <c r="R3083" s="10">
        <f>IF(A3083="D",LEFT(UPPER(B3083)&amp;REPT(" ",20),20),REPT(" ",20))</f>
        <v/>
      </c>
      <c r="S3083" s="10">
        <f>IF(A3083="D",LEFT(UPPER(C3083)&amp;REPT(" ",10),10)," ")</f>
        <v/>
      </c>
      <c r="T3083" s="10">
        <f>IF(A3083="D",LEFT(UPPER(D3083)&amp;REPT(" ",2),2)," ")</f>
        <v/>
      </c>
      <c r="U3083" s="10">
        <f>IF(A3083="D",LEFT(UPPER(E3083)&amp;REPT(" ",15),15)," ")</f>
        <v/>
      </c>
      <c r="V3083" s="10">
        <f>REPT(" ",24)</f>
        <v/>
      </c>
      <c r="W3083" s="10">
        <f>IF(A3083="c",LEFT(UPPER(B3083)&amp;REPT(" ",20),20),REPT(" ",20))</f>
        <v/>
      </c>
      <c r="X3083" s="10">
        <f>IF(A3083="C",LEFT(UPPER(C3083)&amp;REPT(" ",10),10)," ")</f>
        <v/>
      </c>
      <c r="Y3083" s="10">
        <f>IF(A3083="C",LEFT(UPPER(D3083)&amp;REPT(" ",2),2)," ")</f>
        <v/>
      </c>
      <c r="Z3083" s="10">
        <f>IF(A3083="C",LEFT(UPPER(E3083)&amp;REPT(" ",15),15)," ")</f>
        <v/>
      </c>
      <c r="AA3083" s="10">
        <f>REPT(" ",8)</f>
        <v/>
      </c>
      <c r="AB3083" s="10">
        <f>REPT(" ",4)</f>
        <v/>
      </c>
      <c r="AC3083" s="10">
        <f>LEFT(UPPER(H3083)&amp;REPT(" ",250),250)</f>
        <v/>
      </c>
      <c r="AD3083" s="10">
        <f>TEXT($G$2,"dd/mm/aaaa")</f>
        <v/>
      </c>
      <c r="AE3083" s="10">
        <f>REPT(" ",10)</f>
        <v/>
      </c>
      <c r="AF3083" s="10">
        <f>REPT(" ",20)</f>
        <v/>
      </c>
      <c r="AG3083" s="54">
        <f>REPT(" ",18-LEN(FIXED(F3083,2,TRUE)))&amp;FIXED(F3083,2,TRUE)</f>
        <v/>
      </c>
      <c r="AH3083" s="10">
        <f>LEN(AC3083)+LEN(AG3083)</f>
        <v/>
      </c>
      <c r="AI3083" s="10">
        <f>LEN(L3083)</f>
        <v/>
      </c>
    </row>
    <row r="3084">
      <c r="J3084" s="12">
        <f>IF(F3084&lt;&gt;0,"LANÇAR","")</f>
        <v/>
      </c>
      <c r="L3084" s="13">
        <f>N3084&amp;O3084&amp;P3084&amp;Q3084&amp;R3084&amp;S3084&amp;T3084&amp;U3084&amp;V3084&amp;W3084&amp;X3084&amp;Y3084&amp;Z3084&amp;AA3084&amp;AB3084&amp;AC3084&amp;AD3084&amp;AE3084&amp;AF3084&amp;AG3084</f>
        <v/>
      </c>
      <c r="N3084" s="10">
        <f>TEXT($B$6,"00")</f>
        <v/>
      </c>
      <c r="O3084" s="10">
        <f>REPT(" ",8)</f>
        <v/>
      </c>
      <c r="P3084" s="10">
        <f>RIGHT($B$4,2)</f>
        <v/>
      </c>
      <c r="Q3084" s="10">
        <f>RIGHT($B$5,3)</f>
        <v/>
      </c>
      <c r="R3084" s="10">
        <f>IF(A3084="D",LEFT(UPPER(B3084)&amp;REPT(" ",20),20),REPT(" ",20))</f>
        <v/>
      </c>
      <c r="S3084" s="10">
        <f>IF(A3084="D",LEFT(UPPER(C3084)&amp;REPT(" ",10),10)," ")</f>
        <v/>
      </c>
      <c r="T3084" s="10">
        <f>IF(A3084="D",LEFT(UPPER(D3084)&amp;REPT(" ",2),2)," ")</f>
        <v/>
      </c>
      <c r="U3084" s="10">
        <f>IF(A3084="D",LEFT(UPPER(E3084)&amp;REPT(" ",15),15)," ")</f>
        <v/>
      </c>
      <c r="V3084" s="10">
        <f>REPT(" ",24)</f>
        <v/>
      </c>
      <c r="W3084" s="10">
        <f>IF(A3084="c",LEFT(UPPER(B3084)&amp;REPT(" ",20),20),REPT(" ",20))</f>
        <v/>
      </c>
      <c r="X3084" s="10">
        <f>IF(A3084="C",LEFT(UPPER(C3084)&amp;REPT(" ",10),10)," ")</f>
        <v/>
      </c>
      <c r="Y3084" s="10">
        <f>IF(A3084="C",LEFT(UPPER(D3084)&amp;REPT(" ",2),2)," ")</f>
        <v/>
      </c>
      <c r="Z3084" s="10">
        <f>IF(A3084="C",LEFT(UPPER(E3084)&amp;REPT(" ",15),15)," ")</f>
        <v/>
      </c>
      <c r="AA3084" s="10">
        <f>REPT(" ",8)</f>
        <v/>
      </c>
      <c r="AB3084" s="10">
        <f>REPT(" ",4)</f>
        <v/>
      </c>
      <c r="AC3084" s="10">
        <f>LEFT(UPPER(H3084)&amp;REPT(" ",250),250)</f>
        <v/>
      </c>
      <c r="AD3084" s="10">
        <f>TEXT($G$2,"dd/mm/aaaa")</f>
        <v/>
      </c>
      <c r="AE3084" s="10">
        <f>REPT(" ",10)</f>
        <v/>
      </c>
      <c r="AF3084" s="10">
        <f>REPT(" ",20)</f>
        <v/>
      </c>
      <c r="AG3084" s="54">
        <f>REPT(" ",18-LEN(FIXED(F3084,2,TRUE)))&amp;FIXED(F3084,2,TRUE)</f>
        <v/>
      </c>
      <c r="AH3084" s="10">
        <f>LEN(AC3084)+LEN(AG3084)</f>
        <v/>
      </c>
      <c r="AI3084" s="10">
        <f>LEN(L3084)</f>
        <v/>
      </c>
    </row>
    <row r="3085">
      <c r="J3085" s="12">
        <f>IF(F3085&lt;&gt;0,"LANÇAR","")</f>
        <v/>
      </c>
      <c r="L3085" s="13">
        <f>N3085&amp;O3085&amp;P3085&amp;Q3085&amp;R3085&amp;S3085&amp;T3085&amp;U3085&amp;V3085&amp;W3085&amp;X3085&amp;Y3085&amp;Z3085&amp;AA3085&amp;AB3085&amp;AC3085&amp;AD3085&amp;AE3085&amp;AF3085&amp;AG3085</f>
        <v/>
      </c>
      <c r="N3085" s="10">
        <f>TEXT($B$6,"00")</f>
        <v/>
      </c>
      <c r="O3085" s="10">
        <f>REPT(" ",8)</f>
        <v/>
      </c>
      <c r="P3085" s="10">
        <f>RIGHT($B$4,2)</f>
        <v/>
      </c>
      <c r="Q3085" s="10">
        <f>RIGHT($B$5,3)</f>
        <v/>
      </c>
      <c r="R3085" s="10">
        <f>IF(A3085="D",LEFT(UPPER(B3085)&amp;REPT(" ",20),20),REPT(" ",20))</f>
        <v/>
      </c>
      <c r="S3085" s="10">
        <f>IF(A3085="D",LEFT(UPPER(C3085)&amp;REPT(" ",10),10)," ")</f>
        <v/>
      </c>
      <c r="T3085" s="10">
        <f>IF(A3085="D",LEFT(UPPER(D3085)&amp;REPT(" ",2),2)," ")</f>
        <v/>
      </c>
      <c r="U3085" s="10">
        <f>IF(A3085="D",LEFT(UPPER(E3085)&amp;REPT(" ",15),15)," ")</f>
        <v/>
      </c>
      <c r="V3085" s="10">
        <f>REPT(" ",24)</f>
        <v/>
      </c>
      <c r="W3085" s="10">
        <f>IF(A3085="c",LEFT(UPPER(B3085)&amp;REPT(" ",20),20),REPT(" ",20))</f>
        <v/>
      </c>
      <c r="X3085" s="10">
        <f>IF(A3085="C",LEFT(UPPER(C3085)&amp;REPT(" ",10),10)," ")</f>
        <v/>
      </c>
      <c r="Y3085" s="10">
        <f>IF(A3085="C",LEFT(UPPER(D3085)&amp;REPT(" ",2),2)," ")</f>
        <v/>
      </c>
      <c r="Z3085" s="10">
        <f>IF(A3085="C",LEFT(UPPER(E3085)&amp;REPT(" ",15),15)," ")</f>
        <v/>
      </c>
      <c r="AA3085" s="10">
        <f>REPT(" ",8)</f>
        <v/>
      </c>
      <c r="AB3085" s="10">
        <f>REPT(" ",4)</f>
        <v/>
      </c>
      <c r="AC3085" s="10">
        <f>LEFT(UPPER(H3085)&amp;REPT(" ",250),250)</f>
        <v/>
      </c>
      <c r="AD3085" s="10">
        <f>TEXT($G$2,"dd/mm/aaaa")</f>
        <v/>
      </c>
      <c r="AE3085" s="10">
        <f>REPT(" ",10)</f>
        <v/>
      </c>
      <c r="AF3085" s="10">
        <f>REPT(" ",20)</f>
        <v/>
      </c>
      <c r="AG3085" s="54">
        <f>REPT(" ",18-LEN(FIXED(F3085,2,TRUE)))&amp;FIXED(F3085,2,TRUE)</f>
        <v/>
      </c>
      <c r="AH3085" s="10">
        <f>LEN(AC3085)+LEN(AG3085)</f>
        <v/>
      </c>
      <c r="AI3085" s="10">
        <f>LEN(L3085)</f>
        <v/>
      </c>
    </row>
    <row r="3086">
      <c r="J3086" s="12">
        <f>IF(F3086&lt;&gt;0,"LANÇAR","")</f>
        <v/>
      </c>
      <c r="L3086" s="13">
        <f>N3086&amp;O3086&amp;P3086&amp;Q3086&amp;R3086&amp;S3086&amp;T3086&amp;U3086&amp;V3086&amp;W3086&amp;X3086&amp;Y3086&amp;Z3086&amp;AA3086&amp;AB3086&amp;AC3086&amp;AD3086&amp;AE3086&amp;AF3086&amp;AG3086</f>
        <v/>
      </c>
      <c r="N3086" s="10">
        <f>TEXT($B$6,"00")</f>
        <v/>
      </c>
      <c r="O3086" s="10">
        <f>REPT(" ",8)</f>
        <v/>
      </c>
      <c r="P3086" s="10">
        <f>RIGHT($B$4,2)</f>
        <v/>
      </c>
      <c r="Q3086" s="10">
        <f>RIGHT($B$5,3)</f>
        <v/>
      </c>
      <c r="R3086" s="10">
        <f>IF(A3086="D",LEFT(UPPER(B3086)&amp;REPT(" ",20),20),REPT(" ",20))</f>
        <v/>
      </c>
      <c r="S3086" s="10">
        <f>IF(A3086="D",LEFT(UPPER(C3086)&amp;REPT(" ",10),10)," ")</f>
        <v/>
      </c>
      <c r="T3086" s="10">
        <f>IF(A3086="D",LEFT(UPPER(D3086)&amp;REPT(" ",2),2)," ")</f>
        <v/>
      </c>
      <c r="U3086" s="10">
        <f>IF(A3086="D",LEFT(UPPER(E3086)&amp;REPT(" ",15),15)," ")</f>
        <v/>
      </c>
      <c r="V3086" s="10">
        <f>REPT(" ",24)</f>
        <v/>
      </c>
      <c r="W3086" s="10">
        <f>IF(A3086="c",LEFT(UPPER(B3086)&amp;REPT(" ",20),20),REPT(" ",20))</f>
        <v/>
      </c>
      <c r="X3086" s="10">
        <f>IF(A3086="C",LEFT(UPPER(C3086)&amp;REPT(" ",10),10)," ")</f>
        <v/>
      </c>
      <c r="Y3086" s="10">
        <f>IF(A3086="C",LEFT(UPPER(D3086)&amp;REPT(" ",2),2)," ")</f>
        <v/>
      </c>
      <c r="Z3086" s="10">
        <f>IF(A3086="C",LEFT(UPPER(E3086)&amp;REPT(" ",15),15)," ")</f>
        <v/>
      </c>
      <c r="AA3086" s="10">
        <f>REPT(" ",8)</f>
        <v/>
      </c>
      <c r="AB3086" s="10">
        <f>REPT(" ",4)</f>
        <v/>
      </c>
      <c r="AC3086" s="10">
        <f>LEFT(UPPER(H3086)&amp;REPT(" ",250),250)</f>
        <v/>
      </c>
      <c r="AD3086" s="10">
        <f>TEXT($G$2,"dd/mm/aaaa")</f>
        <v/>
      </c>
      <c r="AE3086" s="10">
        <f>REPT(" ",10)</f>
        <v/>
      </c>
      <c r="AF3086" s="10">
        <f>REPT(" ",20)</f>
        <v/>
      </c>
      <c r="AG3086" s="54">
        <f>REPT(" ",18-LEN(FIXED(F3086,2,TRUE)))&amp;FIXED(F3086,2,TRUE)</f>
        <v/>
      </c>
      <c r="AH3086" s="10">
        <f>LEN(AC3086)+LEN(AG3086)</f>
        <v/>
      </c>
      <c r="AI3086" s="10">
        <f>LEN(L3086)</f>
        <v/>
      </c>
    </row>
    <row r="3087">
      <c r="J3087" s="12">
        <f>IF(F3087&lt;&gt;0,"LANÇAR","")</f>
        <v/>
      </c>
      <c r="L3087" s="13">
        <f>N3087&amp;O3087&amp;P3087&amp;Q3087&amp;R3087&amp;S3087&amp;T3087&amp;U3087&amp;V3087&amp;W3087&amp;X3087&amp;Y3087&amp;Z3087&amp;AA3087&amp;AB3087&amp;AC3087&amp;AD3087&amp;AE3087&amp;AF3087&amp;AG3087</f>
        <v/>
      </c>
      <c r="N3087" s="10">
        <f>TEXT($B$6,"00")</f>
        <v/>
      </c>
      <c r="O3087" s="10">
        <f>REPT(" ",8)</f>
        <v/>
      </c>
      <c r="P3087" s="10">
        <f>RIGHT($B$4,2)</f>
        <v/>
      </c>
      <c r="Q3087" s="10">
        <f>RIGHT($B$5,3)</f>
        <v/>
      </c>
      <c r="R3087" s="10">
        <f>IF(A3087="D",LEFT(UPPER(B3087)&amp;REPT(" ",20),20),REPT(" ",20))</f>
        <v/>
      </c>
      <c r="S3087" s="10">
        <f>IF(A3087="D",LEFT(UPPER(C3087)&amp;REPT(" ",10),10)," ")</f>
        <v/>
      </c>
      <c r="T3087" s="10">
        <f>IF(A3087="D",LEFT(UPPER(D3087)&amp;REPT(" ",2),2)," ")</f>
        <v/>
      </c>
      <c r="U3087" s="10">
        <f>IF(A3087="D",LEFT(UPPER(E3087)&amp;REPT(" ",15),15)," ")</f>
        <v/>
      </c>
      <c r="V3087" s="10">
        <f>REPT(" ",24)</f>
        <v/>
      </c>
      <c r="W3087" s="10">
        <f>IF(A3087="c",LEFT(UPPER(B3087)&amp;REPT(" ",20),20),REPT(" ",20))</f>
        <v/>
      </c>
      <c r="X3087" s="10">
        <f>IF(A3087="C",LEFT(UPPER(C3087)&amp;REPT(" ",10),10)," ")</f>
        <v/>
      </c>
      <c r="Y3087" s="10">
        <f>IF(A3087="C",LEFT(UPPER(D3087)&amp;REPT(" ",2),2)," ")</f>
        <v/>
      </c>
      <c r="Z3087" s="10">
        <f>IF(A3087="C",LEFT(UPPER(E3087)&amp;REPT(" ",15),15)," ")</f>
        <v/>
      </c>
      <c r="AA3087" s="10">
        <f>REPT(" ",8)</f>
        <v/>
      </c>
      <c r="AB3087" s="10">
        <f>REPT(" ",4)</f>
        <v/>
      </c>
      <c r="AC3087" s="10">
        <f>LEFT(UPPER(H3087)&amp;REPT(" ",250),250)</f>
        <v/>
      </c>
      <c r="AD3087" s="10">
        <f>TEXT($G$2,"dd/mm/aaaa")</f>
        <v/>
      </c>
      <c r="AE3087" s="10">
        <f>REPT(" ",10)</f>
        <v/>
      </c>
      <c r="AF3087" s="10">
        <f>REPT(" ",20)</f>
        <v/>
      </c>
      <c r="AG3087" s="54">
        <f>REPT(" ",18-LEN(FIXED(F3087,2,TRUE)))&amp;FIXED(F3087,2,TRUE)</f>
        <v/>
      </c>
      <c r="AH3087" s="10">
        <f>LEN(AC3087)+LEN(AG3087)</f>
        <v/>
      </c>
      <c r="AI3087" s="10">
        <f>LEN(L3087)</f>
        <v/>
      </c>
    </row>
    <row r="3088">
      <c r="J3088" s="12">
        <f>IF(F3088&lt;&gt;0,"LANÇAR","")</f>
        <v/>
      </c>
      <c r="L3088" s="13">
        <f>N3088&amp;O3088&amp;P3088&amp;Q3088&amp;R3088&amp;S3088&amp;T3088&amp;U3088&amp;V3088&amp;W3088&amp;X3088&amp;Y3088&amp;Z3088&amp;AA3088&amp;AB3088&amp;AC3088&amp;AD3088&amp;AE3088&amp;AF3088&amp;AG3088</f>
        <v/>
      </c>
      <c r="N3088" s="10">
        <f>TEXT($B$6,"00")</f>
        <v/>
      </c>
      <c r="O3088" s="10">
        <f>REPT(" ",8)</f>
        <v/>
      </c>
      <c r="P3088" s="10">
        <f>RIGHT($B$4,2)</f>
        <v/>
      </c>
      <c r="Q3088" s="10">
        <f>RIGHT($B$5,3)</f>
        <v/>
      </c>
      <c r="R3088" s="10">
        <f>IF(A3088="D",LEFT(UPPER(B3088)&amp;REPT(" ",20),20),REPT(" ",20))</f>
        <v/>
      </c>
      <c r="S3088" s="10">
        <f>IF(A3088="D",LEFT(UPPER(C3088)&amp;REPT(" ",10),10)," ")</f>
        <v/>
      </c>
      <c r="T3088" s="10">
        <f>IF(A3088="D",LEFT(UPPER(D3088)&amp;REPT(" ",2),2)," ")</f>
        <v/>
      </c>
      <c r="U3088" s="10">
        <f>IF(A3088="D",LEFT(UPPER(E3088)&amp;REPT(" ",15),15)," ")</f>
        <v/>
      </c>
      <c r="V3088" s="10">
        <f>REPT(" ",24)</f>
        <v/>
      </c>
      <c r="W3088" s="10">
        <f>IF(A3088="c",LEFT(UPPER(B3088)&amp;REPT(" ",20),20),REPT(" ",20))</f>
        <v/>
      </c>
      <c r="X3088" s="10">
        <f>IF(A3088="C",LEFT(UPPER(C3088)&amp;REPT(" ",10),10)," ")</f>
        <v/>
      </c>
      <c r="Y3088" s="10">
        <f>IF(A3088="C",LEFT(UPPER(D3088)&amp;REPT(" ",2),2)," ")</f>
        <v/>
      </c>
      <c r="Z3088" s="10">
        <f>IF(A3088="C",LEFT(UPPER(E3088)&amp;REPT(" ",15),15)," ")</f>
        <v/>
      </c>
      <c r="AA3088" s="10">
        <f>REPT(" ",8)</f>
        <v/>
      </c>
      <c r="AB3088" s="10">
        <f>REPT(" ",4)</f>
        <v/>
      </c>
      <c r="AC3088" s="10">
        <f>LEFT(UPPER(H3088)&amp;REPT(" ",250),250)</f>
        <v/>
      </c>
      <c r="AD3088" s="10">
        <f>TEXT($G$2,"dd/mm/aaaa")</f>
        <v/>
      </c>
      <c r="AE3088" s="10">
        <f>REPT(" ",10)</f>
        <v/>
      </c>
      <c r="AF3088" s="10">
        <f>REPT(" ",20)</f>
        <v/>
      </c>
      <c r="AG3088" s="54">
        <f>REPT(" ",18-LEN(FIXED(F3088,2,TRUE)))&amp;FIXED(F3088,2,TRUE)</f>
        <v/>
      </c>
      <c r="AH3088" s="10">
        <f>LEN(AC3088)+LEN(AG3088)</f>
        <v/>
      </c>
      <c r="AI3088" s="10">
        <f>LEN(L3088)</f>
        <v/>
      </c>
    </row>
    <row r="3089">
      <c r="J3089" s="12">
        <f>IF(F3089&lt;&gt;0,"LANÇAR","")</f>
        <v/>
      </c>
      <c r="L3089" s="13">
        <f>N3089&amp;O3089&amp;P3089&amp;Q3089&amp;R3089&amp;S3089&amp;T3089&amp;U3089&amp;V3089&amp;W3089&amp;X3089&amp;Y3089&amp;Z3089&amp;AA3089&amp;AB3089&amp;AC3089&amp;AD3089&amp;AE3089&amp;AF3089&amp;AG3089</f>
        <v/>
      </c>
      <c r="N3089" s="10">
        <f>TEXT($B$6,"00")</f>
        <v/>
      </c>
      <c r="O3089" s="10">
        <f>REPT(" ",8)</f>
        <v/>
      </c>
      <c r="P3089" s="10">
        <f>RIGHT($B$4,2)</f>
        <v/>
      </c>
      <c r="Q3089" s="10">
        <f>RIGHT($B$5,3)</f>
        <v/>
      </c>
      <c r="R3089" s="10">
        <f>IF(A3089="D",LEFT(UPPER(B3089)&amp;REPT(" ",20),20),REPT(" ",20))</f>
        <v/>
      </c>
      <c r="S3089" s="10">
        <f>IF(A3089="D",LEFT(UPPER(C3089)&amp;REPT(" ",10),10)," ")</f>
        <v/>
      </c>
      <c r="T3089" s="10">
        <f>IF(A3089="D",LEFT(UPPER(D3089)&amp;REPT(" ",2),2)," ")</f>
        <v/>
      </c>
      <c r="U3089" s="10">
        <f>IF(A3089="D",LEFT(UPPER(E3089)&amp;REPT(" ",15),15)," ")</f>
        <v/>
      </c>
      <c r="V3089" s="10">
        <f>REPT(" ",24)</f>
        <v/>
      </c>
      <c r="W3089" s="10">
        <f>IF(A3089="c",LEFT(UPPER(B3089)&amp;REPT(" ",20),20),REPT(" ",20))</f>
        <v/>
      </c>
      <c r="X3089" s="10">
        <f>IF(A3089="C",LEFT(UPPER(C3089)&amp;REPT(" ",10),10)," ")</f>
        <v/>
      </c>
      <c r="Y3089" s="10">
        <f>IF(A3089="C",LEFT(UPPER(D3089)&amp;REPT(" ",2),2)," ")</f>
        <v/>
      </c>
      <c r="Z3089" s="10">
        <f>IF(A3089="C",LEFT(UPPER(E3089)&amp;REPT(" ",15),15)," ")</f>
        <v/>
      </c>
      <c r="AA3089" s="10">
        <f>REPT(" ",8)</f>
        <v/>
      </c>
      <c r="AB3089" s="10">
        <f>REPT(" ",4)</f>
        <v/>
      </c>
      <c r="AC3089" s="10">
        <f>LEFT(UPPER(H3089)&amp;REPT(" ",250),250)</f>
        <v/>
      </c>
      <c r="AD3089" s="10">
        <f>TEXT($G$2,"dd/mm/aaaa")</f>
        <v/>
      </c>
      <c r="AE3089" s="10">
        <f>REPT(" ",10)</f>
        <v/>
      </c>
      <c r="AF3089" s="10">
        <f>REPT(" ",20)</f>
        <v/>
      </c>
      <c r="AG3089" s="54">
        <f>REPT(" ",18-LEN(FIXED(F3089,2,TRUE)))&amp;FIXED(F3089,2,TRUE)</f>
        <v/>
      </c>
      <c r="AH3089" s="10">
        <f>LEN(AC3089)+LEN(AG3089)</f>
        <v/>
      </c>
      <c r="AI3089" s="10">
        <f>LEN(L3089)</f>
        <v/>
      </c>
    </row>
    <row r="3090">
      <c r="J3090" s="12">
        <f>IF(F3090&lt;&gt;0,"LANÇAR","")</f>
        <v/>
      </c>
      <c r="L3090" s="13">
        <f>N3090&amp;O3090&amp;P3090&amp;Q3090&amp;R3090&amp;S3090&amp;T3090&amp;U3090&amp;V3090&amp;W3090&amp;X3090&amp;Y3090&amp;Z3090&amp;AA3090&amp;AB3090&amp;AC3090&amp;AD3090&amp;AE3090&amp;AF3090&amp;AG3090</f>
        <v/>
      </c>
      <c r="N3090" s="10">
        <f>TEXT($B$6,"00")</f>
        <v/>
      </c>
      <c r="O3090" s="10">
        <f>REPT(" ",8)</f>
        <v/>
      </c>
      <c r="P3090" s="10">
        <f>RIGHT($B$4,2)</f>
        <v/>
      </c>
      <c r="Q3090" s="10">
        <f>RIGHT($B$5,3)</f>
        <v/>
      </c>
      <c r="R3090" s="10">
        <f>IF(A3090="D",LEFT(UPPER(B3090)&amp;REPT(" ",20),20),REPT(" ",20))</f>
        <v/>
      </c>
      <c r="S3090" s="10">
        <f>IF(A3090="D",LEFT(UPPER(C3090)&amp;REPT(" ",10),10)," ")</f>
        <v/>
      </c>
      <c r="T3090" s="10">
        <f>IF(A3090="D",LEFT(UPPER(D3090)&amp;REPT(" ",2),2)," ")</f>
        <v/>
      </c>
      <c r="U3090" s="10">
        <f>IF(A3090="D",LEFT(UPPER(E3090)&amp;REPT(" ",15),15)," ")</f>
        <v/>
      </c>
      <c r="V3090" s="10">
        <f>REPT(" ",24)</f>
        <v/>
      </c>
      <c r="W3090" s="10">
        <f>IF(A3090="c",LEFT(UPPER(B3090)&amp;REPT(" ",20),20),REPT(" ",20))</f>
        <v/>
      </c>
      <c r="X3090" s="10">
        <f>IF(A3090="C",LEFT(UPPER(C3090)&amp;REPT(" ",10),10)," ")</f>
        <v/>
      </c>
      <c r="Y3090" s="10">
        <f>IF(A3090="C",LEFT(UPPER(D3090)&amp;REPT(" ",2),2)," ")</f>
        <v/>
      </c>
      <c r="Z3090" s="10">
        <f>IF(A3090="C",LEFT(UPPER(E3090)&amp;REPT(" ",15),15)," ")</f>
        <v/>
      </c>
      <c r="AA3090" s="10">
        <f>REPT(" ",8)</f>
        <v/>
      </c>
      <c r="AB3090" s="10">
        <f>REPT(" ",4)</f>
        <v/>
      </c>
      <c r="AC3090" s="10">
        <f>LEFT(UPPER(H3090)&amp;REPT(" ",250),250)</f>
        <v/>
      </c>
      <c r="AD3090" s="10">
        <f>TEXT($G$2,"dd/mm/aaaa")</f>
        <v/>
      </c>
      <c r="AE3090" s="10">
        <f>REPT(" ",10)</f>
        <v/>
      </c>
      <c r="AF3090" s="10">
        <f>REPT(" ",20)</f>
        <v/>
      </c>
      <c r="AG3090" s="54">
        <f>REPT(" ",18-LEN(FIXED(F3090,2,TRUE)))&amp;FIXED(F3090,2,TRUE)</f>
        <v/>
      </c>
      <c r="AH3090" s="10">
        <f>LEN(AC3090)+LEN(AG3090)</f>
        <v/>
      </c>
      <c r="AI3090" s="10">
        <f>LEN(L3090)</f>
        <v/>
      </c>
    </row>
    <row r="3091">
      <c r="J3091" s="12">
        <f>IF(F3091&lt;&gt;0,"LANÇAR","")</f>
        <v/>
      </c>
      <c r="L3091" s="13">
        <f>N3091&amp;O3091&amp;P3091&amp;Q3091&amp;R3091&amp;S3091&amp;T3091&amp;U3091&amp;V3091&amp;W3091&amp;X3091&amp;Y3091&amp;Z3091&amp;AA3091&amp;AB3091&amp;AC3091&amp;AD3091&amp;AE3091&amp;AF3091&amp;AG3091</f>
        <v/>
      </c>
      <c r="N3091" s="10">
        <f>TEXT($B$6,"00")</f>
        <v/>
      </c>
      <c r="O3091" s="10">
        <f>REPT(" ",8)</f>
        <v/>
      </c>
      <c r="P3091" s="10">
        <f>RIGHT($B$4,2)</f>
        <v/>
      </c>
      <c r="Q3091" s="10">
        <f>RIGHT($B$5,3)</f>
        <v/>
      </c>
      <c r="R3091" s="10">
        <f>IF(A3091="D",LEFT(UPPER(B3091)&amp;REPT(" ",20),20),REPT(" ",20))</f>
        <v/>
      </c>
      <c r="S3091" s="10">
        <f>IF(A3091="D",LEFT(UPPER(C3091)&amp;REPT(" ",10),10)," ")</f>
        <v/>
      </c>
      <c r="T3091" s="10">
        <f>IF(A3091="D",LEFT(UPPER(D3091)&amp;REPT(" ",2),2)," ")</f>
        <v/>
      </c>
      <c r="U3091" s="10">
        <f>IF(A3091="D",LEFT(UPPER(E3091)&amp;REPT(" ",15),15)," ")</f>
        <v/>
      </c>
      <c r="V3091" s="10">
        <f>REPT(" ",24)</f>
        <v/>
      </c>
      <c r="W3091" s="10">
        <f>IF(A3091="c",LEFT(UPPER(B3091)&amp;REPT(" ",20),20),REPT(" ",20))</f>
        <v/>
      </c>
      <c r="X3091" s="10">
        <f>IF(A3091="C",LEFT(UPPER(C3091)&amp;REPT(" ",10),10)," ")</f>
        <v/>
      </c>
      <c r="Y3091" s="10">
        <f>IF(A3091="C",LEFT(UPPER(D3091)&amp;REPT(" ",2),2)," ")</f>
        <v/>
      </c>
      <c r="Z3091" s="10">
        <f>IF(A3091="C",LEFT(UPPER(E3091)&amp;REPT(" ",15),15)," ")</f>
        <v/>
      </c>
      <c r="AA3091" s="10">
        <f>REPT(" ",8)</f>
        <v/>
      </c>
      <c r="AB3091" s="10">
        <f>REPT(" ",4)</f>
        <v/>
      </c>
      <c r="AC3091" s="10">
        <f>LEFT(UPPER(H3091)&amp;REPT(" ",250),250)</f>
        <v/>
      </c>
      <c r="AD3091" s="10">
        <f>TEXT($G$2,"dd/mm/aaaa")</f>
        <v/>
      </c>
      <c r="AE3091" s="10">
        <f>REPT(" ",10)</f>
        <v/>
      </c>
      <c r="AF3091" s="10">
        <f>REPT(" ",20)</f>
        <v/>
      </c>
      <c r="AG3091" s="54">
        <f>REPT(" ",18-LEN(FIXED(F3091,2,TRUE)))&amp;FIXED(F3091,2,TRUE)</f>
        <v/>
      </c>
      <c r="AH3091" s="10">
        <f>LEN(AC3091)+LEN(AG3091)</f>
        <v/>
      </c>
      <c r="AI3091" s="10">
        <f>LEN(L3091)</f>
        <v/>
      </c>
    </row>
    <row r="3092">
      <c r="J3092" s="12">
        <f>IF(F3092&lt;&gt;0,"LANÇAR","")</f>
        <v/>
      </c>
      <c r="L3092" s="13">
        <f>N3092&amp;O3092&amp;P3092&amp;Q3092&amp;R3092&amp;S3092&amp;T3092&amp;U3092&amp;V3092&amp;W3092&amp;X3092&amp;Y3092&amp;Z3092&amp;AA3092&amp;AB3092&amp;AC3092&amp;AD3092&amp;AE3092&amp;AF3092&amp;AG3092</f>
        <v/>
      </c>
      <c r="N3092" s="10">
        <f>TEXT($B$6,"00")</f>
        <v/>
      </c>
      <c r="O3092" s="10">
        <f>REPT(" ",8)</f>
        <v/>
      </c>
      <c r="P3092" s="10">
        <f>RIGHT($B$4,2)</f>
        <v/>
      </c>
      <c r="Q3092" s="10">
        <f>RIGHT($B$5,3)</f>
        <v/>
      </c>
      <c r="R3092" s="10">
        <f>IF(A3092="D",LEFT(UPPER(B3092)&amp;REPT(" ",20),20),REPT(" ",20))</f>
        <v/>
      </c>
      <c r="S3092" s="10">
        <f>IF(A3092="D",LEFT(UPPER(C3092)&amp;REPT(" ",10),10)," ")</f>
        <v/>
      </c>
      <c r="T3092" s="10">
        <f>IF(A3092="D",LEFT(UPPER(D3092)&amp;REPT(" ",2),2)," ")</f>
        <v/>
      </c>
      <c r="U3092" s="10">
        <f>IF(A3092="D",LEFT(UPPER(E3092)&amp;REPT(" ",15),15)," ")</f>
        <v/>
      </c>
      <c r="V3092" s="10">
        <f>REPT(" ",24)</f>
        <v/>
      </c>
      <c r="W3092" s="10">
        <f>IF(A3092="c",LEFT(UPPER(B3092)&amp;REPT(" ",20),20),REPT(" ",20))</f>
        <v/>
      </c>
      <c r="X3092" s="10">
        <f>IF(A3092="C",LEFT(UPPER(C3092)&amp;REPT(" ",10),10)," ")</f>
        <v/>
      </c>
      <c r="Y3092" s="10">
        <f>IF(A3092="C",LEFT(UPPER(D3092)&amp;REPT(" ",2),2)," ")</f>
        <v/>
      </c>
      <c r="Z3092" s="10">
        <f>IF(A3092="C",LEFT(UPPER(E3092)&amp;REPT(" ",15),15)," ")</f>
        <v/>
      </c>
      <c r="AA3092" s="10">
        <f>REPT(" ",8)</f>
        <v/>
      </c>
      <c r="AB3092" s="10">
        <f>REPT(" ",4)</f>
        <v/>
      </c>
      <c r="AC3092" s="10">
        <f>LEFT(UPPER(H3092)&amp;REPT(" ",250),250)</f>
        <v/>
      </c>
      <c r="AD3092" s="10">
        <f>TEXT($G$2,"dd/mm/aaaa")</f>
        <v/>
      </c>
      <c r="AE3092" s="10">
        <f>REPT(" ",10)</f>
        <v/>
      </c>
      <c r="AF3092" s="10">
        <f>REPT(" ",20)</f>
        <v/>
      </c>
      <c r="AG3092" s="54">
        <f>REPT(" ",18-LEN(FIXED(F3092,2,TRUE)))&amp;FIXED(F3092,2,TRUE)</f>
        <v/>
      </c>
      <c r="AH3092" s="10">
        <f>LEN(AC3092)+LEN(AG3092)</f>
        <v/>
      </c>
      <c r="AI3092" s="10">
        <f>LEN(L3092)</f>
        <v/>
      </c>
    </row>
    <row r="3093">
      <c r="J3093" s="12">
        <f>IF(F3093&lt;&gt;0,"LANÇAR","")</f>
        <v/>
      </c>
      <c r="L3093" s="13">
        <f>N3093&amp;O3093&amp;P3093&amp;Q3093&amp;R3093&amp;S3093&amp;T3093&amp;U3093&amp;V3093&amp;W3093&amp;X3093&amp;Y3093&amp;Z3093&amp;AA3093&amp;AB3093&amp;AC3093&amp;AD3093&amp;AE3093&amp;AF3093&amp;AG3093</f>
        <v/>
      </c>
      <c r="N3093" s="10">
        <f>TEXT($B$6,"00")</f>
        <v/>
      </c>
      <c r="O3093" s="10">
        <f>REPT(" ",8)</f>
        <v/>
      </c>
      <c r="P3093" s="10">
        <f>RIGHT($B$4,2)</f>
        <v/>
      </c>
      <c r="Q3093" s="10">
        <f>RIGHT($B$5,3)</f>
        <v/>
      </c>
      <c r="R3093" s="10">
        <f>IF(A3093="D",LEFT(UPPER(B3093)&amp;REPT(" ",20),20),REPT(" ",20))</f>
        <v/>
      </c>
      <c r="S3093" s="10">
        <f>IF(A3093="D",LEFT(UPPER(C3093)&amp;REPT(" ",10),10)," ")</f>
        <v/>
      </c>
      <c r="T3093" s="10">
        <f>IF(A3093="D",LEFT(UPPER(D3093)&amp;REPT(" ",2),2)," ")</f>
        <v/>
      </c>
      <c r="U3093" s="10">
        <f>IF(A3093="D",LEFT(UPPER(E3093)&amp;REPT(" ",15),15)," ")</f>
        <v/>
      </c>
      <c r="V3093" s="10">
        <f>REPT(" ",24)</f>
        <v/>
      </c>
      <c r="W3093" s="10">
        <f>IF(A3093="c",LEFT(UPPER(B3093)&amp;REPT(" ",20),20),REPT(" ",20))</f>
        <v/>
      </c>
      <c r="X3093" s="10">
        <f>IF(A3093="C",LEFT(UPPER(C3093)&amp;REPT(" ",10),10)," ")</f>
        <v/>
      </c>
      <c r="Y3093" s="10">
        <f>IF(A3093="C",LEFT(UPPER(D3093)&amp;REPT(" ",2),2)," ")</f>
        <v/>
      </c>
      <c r="Z3093" s="10">
        <f>IF(A3093="C",LEFT(UPPER(E3093)&amp;REPT(" ",15),15)," ")</f>
        <v/>
      </c>
      <c r="AA3093" s="10">
        <f>REPT(" ",8)</f>
        <v/>
      </c>
      <c r="AB3093" s="10">
        <f>REPT(" ",4)</f>
        <v/>
      </c>
      <c r="AC3093" s="10">
        <f>LEFT(UPPER(H3093)&amp;REPT(" ",250),250)</f>
        <v/>
      </c>
      <c r="AD3093" s="10">
        <f>TEXT($G$2,"dd/mm/aaaa")</f>
        <v/>
      </c>
      <c r="AE3093" s="10">
        <f>REPT(" ",10)</f>
        <v/>
      </c>
      <c r="AF3093" s="10">
        <f>REPT(" ",20)</f>
        <v/>
      </c>
      <c r="AG3093" s="54">
        <f>REPT(" ",18-LEN(FIXED(F3093,2,TRUE)))&amp;FIXED(F3093,2,TRUE)</f>
        <v/>
      </c>
      <c r="AH3093" s="10">
        <f>LEN(AC3093)+LEN(AG3093)</f>
        <v/>
      </c>
      <c r="AI3093" s="10">
        <f>LEN(L3093)</f>
        <v/>
      </c>
    </row>
    <row r="3094">
      <c r="J3094" s="12">
        <f>IF(F3094&lt;&gt;0,"LANÇAR","")</f>
        <v/>
      </c>
      <c r="L3094" s="13">
        <f>N3094&amp;O3094&amp;P3094&amp;Q3094&amp;R3094&amp;S3094&amp;T3094&amp;U3094&amp;V3094&amp;W3094&amp;X3094&amp;Y3094&amp;Z3094&amp;AA3094&amp;AB3094&amp;AC3094&amp;AD3094&amp;AE3094&amp;AF3094&amp;AG3094</f>
        <v/>
      </c>
      <c r="N3094" s="10">
        <f>TEXT($B$6,"00")</f>
        <v/>
      </c>
      <c r="O3094" s="10">
        <f>REPT(" ",8)</f>
        <v/>
      </c>
      <c r="P3094" s="10">
        <f>RIGHT($B$4,2)</f>
        <v/>
      </c>
      <c r="Q3094" s="10">
        <f>RIGHT($B$5,3)</f>
        <v/>
      </c>
      <c r="R3094" s="10">
        <f>IF(A3094="D",LEFT(UPPER(B3094)&amp;REPT(" ",20),20),REPT(" ",20))</f>
        <v/>
      </c>
      <c r="S3094" s="10">
        <f>IF(A3094="D",LEFT(UPPER(C3094)&amp;REPT(" ",10),10)," ")</f>
        <v/>
      </c>
      <c r="T3094" s="10">
        <f>IF(A3094="D",LEFT(UPPER(D3094)&amp;REPT(" ",2),2)," ")</f>
        <v/>
      </c>
      <c r="U3094" s="10">
        <f>IF(A3094="D",LEFT(UPPER(E3094)&amp;REPT(" ",15),15)," ")</f>
        <v/>
      </c>
      <c r="V3094" s="10">
        <f>REPT(" ",24)</f>
        <v/>
      </c>
      <c r="W3094" s="10">
        <f>IF(A3094="c",LEFT(UPPER(B3094)&amp;REPT(" ",20),20),REPT(" ",20))</f>
        <v/>
      </c>
      <c r="X3094" s="10">
        <f>IF(A3094="C",LEFT(UPPER(C3094)&amp;REPT(" ",10),10)," ")</f>
        <v/>
      </c>
      <c r="Y3094" s="10">
        <f>IF(A3094="C",LEFT(UPPER(D3094)&amp;REPT(" ",2),2)," ")</f>
        <v/>
      </c>
      <c r="Z3094" s="10">
        <f>IF(A3094="C",LEFT(UPPER(E3094)&amp;REPT(" ",15),15)," ")</f>
        <v/>
      </c>
      <c r="AA3094" s="10">
        <f>REPT(" ",8)</f>
        <v/>
      </c>
      <c r="AB3094" s="10">
        <f>REPT(" ",4)</f>
        <v/>
      </c>
      <c r="AC3094" s="10">
        <f>LEFT(UPPER(H3094)&amp;REPT(" ",250),250)</f>
        <v/>
      </c>
      <c r="AD3094" s="10">
        <f>TEXT($G$2,"dd/mm/aaaa")</f>
        <v/>
      </c>
      <c r="AE3094" s="10">
        <f>REPT(" ",10)</f>
        <v/>
      </c>
      <c r="AF3094" s="10">
        <f>REPT(" ",20)</f>
        <v/>
      </c>
      <c r="AG3094" s="54">
        <f>REPT(" ",18-LEN(FIXED(F3094,2,TRUE)))&amp;FIXED(F3094,2,TRUE)</f>
        <v/>
      </c>
      <c r="AH3094" s="10">
        <f>LEN(AC3094)+LEN(AG3094)</f>
        <v/>
      </c>
      <c r="AI3094" s="10">
        <f>LEN(L3094)</f>
        <v/>
      </c>
    </row>
    <row r="3095">
      <c r="J3095" s="12">
        <f>IF(F3095&lt;&gt;0,"LANÇAR","")</f>
        <v/>
      </c>
      <c r="L3095" s="13">
        <f>N3095&amp;O3095&amp;P3095&amp;Q3095&amp;R3095&amp;S3095&amp;T3095&amp;U3095&amp;V3095&amp;W3095&amp;X3095&amp;Y3095&amp;Z3095&amp;AA3095&amp;AB3095&amp;AC3095&amp;AD3095&amp;AE3095&amp;AF3095&amp;AG3095</f>
        <v/>
      </c>
      <c r="N3095" s="10">
        <f>TEXT($B$6,"00")</f>
        <v/>
      </c>
      <c r="O3095" s="10">
        <f>REPT(" ",8)</f>
        <v/>
      </c>
      <c r="P3095" s="10">
        <f>RIGHT($B$4,2)</f>
        <v/>
      </c>
      <c r="Q3095" s="10">
        <f>RIGHT($B$5,3)</f>
        <v/>
      </c>
      <c r="R3095" s="10">
        <f>IF(A3095="D",LEFT(UPPER(B3095)&amp;REPT(" ",20),20),REPT(" ",20))</f>
        <v/>
      </c>
      <c r="S3095" s="10">
        <f>IF(A3095="D",LEFT(UPPER(C3095)&amp;REPT(" ",10),10)," ")</f>
        <v/>
      </c>
      <c r="T3095" s="10">
        <f>IF(A3095="D",LEFT(UPPER(D3095)&amp;REPT(" ",2),2)," ")</f>
        <v/>
      </c>
      <c r="U3095" s="10">
        <f>IF(A3095="D",LEFT(UPPER(E3095)&amp;REPT(" ",15),15)," ")</f>
        <v/>
      </c>
      <c r="V3095" s="10">
        <f>REPT(" ",24)</f>
        <v/>
      </c>
      <c r="W3095" s="10">
        <f>IF(A3095="c",LEFT(UPPER(B3095)&amp;REPT(" ",20),20),REPT(" ",20))</f>
        <v/>
      </c>
      <c r="X3095" s="10">
        <f>IF(A3095="C",LEFT(UPPER(C3095)&amp;REPT(" ",10),10)," ")</f>
        <v/>
      </c>
      <c r="Y3095" s="10">
        <f>IF(A3095="C",LEFT(UPPER(D3095)&amp;REPT(" ",2),2)," ")</f>
        <v/>
      </c>
      <c r="Z3095" s="10">
        <f>IF(A3095="C",LEFT(UPPER(E3095)&amp;REPT(" ",15),15)," ")</f>
        <v/>
      </c>
      <c r="AA3095" s="10">
        <f>REPT(" ",8)</f>
        <v/>
      </c>
      <c r="AB3095" s="10">
        <f>REPT(" ",4)</f>
        <v/>
      </c>
      <c r="AC3095" s="10">
        <f>LEFT(UPPER(H3095)&amp;REPT(" ",250),250)</f>
        <v/>
      </c>
      <c r="AD3095" s="10">
        <f>TEXT($G$2,"dd/mm/aaaa")</f>
        <v/>
      </c>
      <c r="AE3095" s="10">
        <f>REPT(" ",10)</f>
        <v/>
      </c>
      <c r="AF3095" s="10">
        <f>REPT(" ",20)</f>
        <v/>
      </c>
      <c r="AG3095" s="54">
        <f>REPT(" ",18-LEN(FIXED(F3095,2,TRUE)))&amp;FIXED(F3095,2,TRUE)</f>
        <v/>
      </c>
      <c r="AH3095" s="10">
        <f>LEN(AC3095)+LEN(AG3095)</f>
        <v/>
      </c>
      <c r="AI3095" s="10">
        <f>LEN(L3095)</f>
        <v/>
      </c>
    </row>
    <row r="3096">
      <c r="J3096" s="12">
        <f>IF(F3096&lt;&gt;0,"LANÇAR","")</f>
        <v/>
      </c>
      <c r="L3096" s="13">
        <f>N3096&amp;O3096&amp;P3096&amp;Q3096&amp;R3096&amp;S3096&amp;T3096&amp;U3096&amp;V3096&amp;W3096&amp;X3096&amp;Y3096&amp;Z3096&amp;AA3096&amp;AB3096&amp;AC3096&amp;AD3096&amp;AE3096&amp;AF3096&amp;AG3096</f>
        <v/>
      </c>
      <c r="N3096" s="10">
        <f>TEXT($B$6,"00")</f>
        <v/>
      </c>
      <c r="O3096" s="10">
        <f>REPT(" ",8)</f>
        <v/>
      </c>
      <c r="P3096" s="10">
        <f>RIGHT($B$4,2)</f>
        <v/>
      </c>
      <c r="Q3096" s="10">
        <f>RIGHT($B$5,3)</f>
        <v/>
      </c>
      <c r="R3096" s="10">
        <f>IF(A3096="D",LEFT(UPPER(B3096)&amp;REPT(" ",20),20),REPT(" ",20))</f>
        <v/>
      </c>
      <c r="S3096" s="10">
        <f>IF(A3096="D",LEFT(UPPER(C3096)&amp;REPT(" ",10),10)," ")</f>
        <v/>
      </c>
      <c r="T3096" s="10">
        <f>IF(A3096="D",LEFT(UPPER(D3096)&amp;REPT(" ",2),2)," ")</f>
        <v/>
      </c>
      <c r="U3096" s="10">
        <f>IF(A3096="D",LEFT(UPPER(E3096)&amp;REPT(" ",15),15)," ")</f>
        <v/>
      </c>
      <c r="V3096" s="10">
        <f>REPT(" ",24)</f>
        <v/>
      </c>
      <c r="W3096" s="10">
        <f>IF(A3096="c",LEFT(UPPER(B3096)&amp;REPT(" ",20),20),REPT(" ",20))</f>
        <v/>
      </c>
      <c r="X3096" s="10">
        <f>IF(A3096="C",LEFT(UPPER(C3096)&amp;REPT(" ",10),10)," ")</f>
        <v/>
      </c>
      <c r="Y3096" s="10">
        <f>IF(A3096="C",LEFT(UPPER(D3096)&amp;REPT(" ",2),2)," ")</f>
        <v/>
      </c>
      <c r="Z3096" s="10">
        <f>IF(A3096="C",LEFT(UPPER(E3096)&amp;REPT(" ",15),15)," ")</f>
        <v/>
      </c>
      <c r="AA3096" s="10">
        <f>REPT(" ",8)</f>
        <v/>
      </c>
      <c r="AB3096" s="10">
        <f>REPT(" ",4)</f>
        <v/>
      </c>
      <c r="AC3096" s="10">
        <f>LEFT(UPPER(H3096)&amp;REPT(" ",250),250)</f>
        <v/>
      </c>
      <c r="AD3096" s="10">
        <f>TEXT($G$2,"dd/mm/aaaa")</f>
        <v/>
      </c>
      <c r="AE3096" s="10">
        <f>REPT(" ",10)</f>
        <v/>
      </c>
      <c r="AF3096" s="10">
        <f>REPT(" ",20)</f>
        <v/>
      </c>
      <c r="AG3096" s="54">
        <f>REPT(" ",18-LEN(FIXED(F3096,2,TRUE)))&amp;FIXED(F3096,2,TRUE)</f>
        <v/>
      </c>
      <c r="AH3096" s="10">
        <f>LEN(AC3096)+LEN(AG3096)</f>
        <v/>
      </c>
      <c r="AI3096" s="10">
        <f>LEN(L3096)</f>
        <v/>
      </c>
    </row>
    <row r="3097">
      <c r="J3097" s="12">
        <f>IF(F3097&lt;&gt;0,"LANÇAR","")</f>
        <v/>
      </c>
      <c r="L3097" s="13">
        <f>N3097&amp;O3097&amp;P3097&amp;Q3097&amp;R3097&amp;S3097&amp;T3097&amp;U3097&amp;V3097&amp;W3097&amp;X3097&amp;Y3097&amp;Z3097&amp;AA3097&amp;AB3097&amp;AC3097&amp;AD3097&amp;AE3097&amp;AF3097&amp;AG3097</f>
        <v/>
      </c>
      <c r="N3097" s="10">
        <f>TEXT($B$6,"00")</f>
        <v/>
      </c>
      <c r="O3097" s="10">
        <f>REPT(" ",8)</f>
        <v/>
      </c>
      <c r="P3097" s="10">
        <f>RIGHT($B$4,2)</f>
        <v/>
      </c>
      <c r="Q3097" s="10">
        <f>RIGHT($B$5,3)</f>
        <v/>
      </c>
      <c r="R3097" s="10">
        <f>IF(A3097="D",LEFT(UPPER(B3097)&amp;REPT(" ",20),20),REPT(" ",20))</f>
        <v/>
      </c>
      <c r="S3097" s="10">
        <f>IF(A3097="D",LEFT(UPPER(C3097)&amp;REPT(" ",10),10)," ")</f>
        <v/>
      </c>
      <c r="T3097" s="10">
        <f>IF(A3097="D",LEFT(UPPER(D3097)&amp;REPT(" ",2),2)," ")</f>
        <v/>
      </c>
      <c r="U3097" s="10">
        <f>IF(A3097="D",LEFT(UPPER(E3097)&amp;REPT(" ",15),15)," ")</f>
        <v/>
      </c>
      <c r="V3097" s="10">
        <f>REPT(" ",24)</f>
        <v/>
      </c>
      <c r="W3097" s="10">
        <f>IF(A3097="c",LEFT(UPPER(B3097)&amp;REPT(" ",20),20),REPT(" ",20))</f>
        <v/>
      </c>
      <c r="X3097" s="10">
        <f>IF(A3097="C",LEFT(UPPER(C3097)&amp;REPT(" ",10),10)," ")</f>
        <v/>
      </c>
      <c r="Y3097" s="10">
        <f>IF(A3097="C",LEFT(UPPER(D3097)&amp;REPT(" ",2),2)," ")</f>
        <v/>
      </c>
      <c r="Z3097" s="10">
        <f>IF(A3097="C",LEFT(UPPER(E3097)&amp;REPT(" ",15),15)," ")</f>
        <v/>
      </c>
      <c r="AA3097" s="10">
        <f>REPT(" ",8)</f>
        <v/>
      </c>
      <c r="AB3097" s="10">
        <f>REPT(" ",4)</f>
        <v/>
      </c>
      <c r="AC3097" s="10">
        <f>LEFT(UPPER(H3097)&amp;REPT(" ",250),250)</f>
        <v/>
      </c>
      <c r="AD3097" s="10">
        <f>TEXT($G$2,"dd/mm/aaaa")</f>
        <v/>
      </c>
      <c r="AE3097" s="10">
        <f>REPT(" ",10)</f>
        <v/>
      </c>
      <c r="AF3097" s="10">
        <f>REPT(" ",20)</f>
        <v/>
      </c>
      <c r="AG3097" s="54">
        <f>REPT(" ",18-LEN(FIXED(F3097,2,TRUE)))&amp;FIXED(F3097,2,TRUE)</f>
        <v/>
      </c>
      <c r="AH3097" s="10">
        <f>LEN(AC3097)+LEN(AG3097)</f>
        <v/>
      </c>
      <c r="AI3097" s="10">
        <f>LEN(L3097)</f>
        <v/>
      </c>
    </row>
    <row r="3098">
      <c r="J3098" s="12">
        <f>IF(F3098&lt;&gt;0,"LANÇAR","")</f>
        <v/>
      </c>
      <c r="L3098" s="13">
        <f>N3098&amp;O3098&amp;P3098&amp;Q3098&amp;R3098&amp;S3098&amp;T3098&amp;U3098&amp;V3098&amp;W3098&amp;X3098&amp;Y3098&amp;Z3098&amp;AA3098&amp;AB3098&amp;AC3098&amp;AD3098&amp;AE3098&amp;AF3098&amp;AG3098</f>
        <v/>
      </c>
      <c r="N3098" s="10">
        <f>TEXT($B$6,"00")</f>
        <v/>
      </c>
      <c r="O3098" s="10">
        <f>REPT(" ",8)</f>
        <v/>
      </c>
      <c r="P3098" s="10">
        <f>RIGHT($B$4,2)</f>
        <v/>
      </c>
      <c r="Q3098" s="10">
        <f>RIGHT($B$5,3)</f>
        <v/>
      </c>
      <c r="R3098" s="10">
        <f>IF(A3098="D",LEFT(UPPER(B3098)&amp;REPT(" ",20),20),REPT(" ",20))</f>
        <v/>
      </c>
      <c r="S3098" s="10">
        <f>IF(A3098="D",LEFT(UPPER(C3098)&amp;REPT(" ",10),10)," ")</f>
        <v/>
      </c>
      <c r="T3098" s="10">
        <f>IF(A3098="D",LEFT(UPPER(D3098)&amp;REPT(" ",2),2)," ")</f>
        <v/>
      </c>
      <c r="U3098" s="10">
        <f>IF(A3098="D",LEFT(UPPER(E3098)&amp;REPT(" ",15),15)," ")</f>
        <v/>
      </c>
      <c r="V3098" s="10">
        <f>REPT(" ",24)</f>
        <v/>
      </c>
      <c r="W3098" s="10">
        <f>IF(A3098="c",LEFT(UPPER(B3098)&amp;REPT(" ",20),20),REPT(" ",20))</f>
        <v/>
      </c>
      <c r="X3098" s="10">
        <f>IF(A3098="C",LEFT(UPPER(C3098)&amp;REPT(" ",10),10)," ")</f>
        <v/>
      </c>
      <c r="Y3098" s="10">
        <f>IF(A3098="C",LEFT(UPPER(D3098)&amp;REPT(" ",2),2)," ")</f>
        <v/>
      </c>
      <c r="Z3098" s="10">
        <f>IF(A3098="C",LEFT(UPPER(E3098)&amp;REPT(" ",15),15)," ")</f>
        <v/>
      </c>
      <c r="AA3098" s="10">
        <f>REPT(" ",8)</f>
        <v/>
      </c>
      <c r="AB3098" s="10">
        <f>REPT(" ",4)</f>
        <v/>
      </c>
      <c r="AC3098" s="10">
        <f>LEFT(UPPER(H3098)&amp;REPT(" ",250),250)</f>
        <v/>
      </c>
      <c r="AD3098" s="10">
        <f>TEXT($G$2,"dd/mm/aaaa")</f>
        <v/>
      </c>
      <c r="AE3098" s="10">
        <f>REPT(" ",10)</f>
        <v/>
      </c>
      <c r="AF3098" s="10">
        <f>REPT(" ",20)</f>
        <v/>
      </c>
      <c r="AG3098" s="54">
        <f>REPT(" ",18-LEN(FIXED(F3098,2,TRUE)))&amp;FIXED(F3098,2,TRUE)</f>
        <v/>
      </c>
      <c r="AH3098" s="10">
        <f>LEN(AC3098)+LEN(AG3098)</f>
        <v/>
      </c>
      <c r="AI3098" s="10">
        <f>LEN(L3098)</f>
        <v/>
      </c>
    </row>
    <row r="3099">
      <c r="J3099" s="12">
        <f>IF(F3099&lt;&gt;0,"LANÇAR","")</f>
        <v/>
      </c>
      <c r="L3099" s="13">
        <f>N3099&amp;O3099&amp;P3099&amp;Q3099&amp;R3099&amp;S3099&amp;T3099&amp;U3099&amp;V3099&amp;W3099&amp;X3099&amp;Y3099&amp;Z3099&amp;AA3099&amp;AB3099&amp;AC3099&amp;AD3099&amp;AE3099&amp;AF3099&amp;AG3099</f>
        <v/>
      </c>
      <c r="N3099" s="10">
        <f>TEXT($B$6,"00")</f>
        <v/>
      </c>
      <c r="O3099" s="10">
        <f>REPT(" ",8)</f>
        <v/>
      </c>
      <c r="P3099" s="10">
        <f>RIGHT($B$4,2)</f>
        <v/>
      </c>
      <c r="Q3099" s="10">
        <f>RIGHT($B$5,3)</f>
        <v/>
      </c>
      <c r="R3099" s="10">
        <f>IF(A3099="D",LEFT(UPPER(B3099)&amp;REPT(" ",20),20),REPT(" ",20))</f>
        <v/>
      </c>
      <c r="S3099" s="10">
        <f>IF(A3099="D",LEFT(UPPER(C3099)&amp;REPT(" ",10),10)," ")</f>
        <v/>
      </c>
      <c r="T3099" s="10">
        <f>IF(A3099="D",LEFT(UPPER(D3099)&amp;REPT(" ",2),2)," ")</f>
        <v/>
      </c>
      <c r="U3099" s="10">
        <f>IF(A3099="D",LEFT(UPPER(E3099)&amp;REPT(" ",15),15)," ")</f>
        <v/>
      </c>
      <c r="V3099" s="10">
        <f>REPT(" ",24)</f>
        <v/>
      </c>
      <c r="W3099" s="10">
        <f>IF(A3099="c",LEFT(UPPER(B3099)&amp;REPT(" ",20),20),REPT(" ",20))</f>
        <v/>
      </c>
      <c r="X3099" s="10">
        <f>IF(A3099="C",LEFT(UPPER(C3099)&amp;REPT(" ",10),10)," ")</f>
        <v/>
      </c>
      <c r="Y3099" s="10">
        <f>IF(A3099="C",LEFT(UPPER(D3099)&amp;REPT(" ",2),2)," ")</f>
        <v/>
      </c>
      <c r="Z3099" s="10">
        <f>IF(A3099="C",LEFT(UPPER(E3099)&amp;REPT(" ",15),15)," ")</f>
        <v/>
      </c>
      <c r="AA3099" s="10">
        <f>REPT(" ",8)</f>
        <v/>
      </c>
      <c r="AB3099" s="10">
        <f>REPT(" ",4)</f>
        <v/>
      </c>
      <c r="AC3099" s="10">
        <f>LEFT(UPPER(H3099)&amp;REPT(" ",250),250)</f>
        <v/>
      </c>
      <c r="AD3099" s="10">
        <f>TEXT($G$2,"dd/mm/aaaa")</f>
        <v/>
      </c>
      <c r="AE3099" s="10">
        <f>REPT(" ",10)</f>
        <v/>
      </c>
      <c r="AF3099" s="10">
        <f>REPT(" ",20)</f>
        <v/>
      </c>
      <c r="AG3099" s="54">
        <f>REPT(" ",18-LEN(FIXED(F3099,2,TRUE)))&amp;FIXED(F3099,2,TRUE)</f>
        <v/>
      </c>
      <c r="AH3099" s="10">
        <f>LEN(AC3099)+LEN(AG3099)</f>
        <v/>
      </c>
      <c r="AI3099" s="10">
        <f>LEN(L3099)</f>
        <v/>
      </c>
    </row>
    <row r="3100">
      <c r="J3100" s="12">
        <f>IF(F3100&lt;&gt;0,"LANÇAR","")</f>
        <v/>
      </c>
      <c r="L3100" s="13">
        <f>N3100&amp;O3100&amp;P3100&amp;Q3100&amp;R3100&amp;S3100&amp;T3100&amp;U3100&amp;V3100&amp;W3100&amp;X3100&amp;Y3100&amp;Z3100&amp;AA3100&amp;AB3100&amp;AC3100&amp;AD3100&amp;AE3100&amp;AF3100&amp;AG3100</f>
        <v/>
      </c>
      <c r="N3100" s="10">
        <f>TEXT($B$6,"00")</f>
        <v/>
      </c>
      <c r="O3100" s="10">
        <f>REPT(" ",8)</f>
        <v/>
      </c>
      <c r="P3100" s="10">
        <f>RIGHT($B$4,2)</f>
        <v/>
      </c>
      <c r="Q3100" s="10">
        <f>RIGHT($B$5,3)</f>
        <v/>
      </c>
      <c r="R3100" s="10">
        <f>IF(A3100="D",LEFT(UPPER(B3100)&amp;REPT(" ",20),20),REPT(" ",20))</f>
        <v/>
      </c>
      <c r="S3100" s="10">
        <f>IF(A3100="D",LEFT(UPPER(C3100)&amp;REPT(" ",10),10)," ")</f>
        <v/>
      </c>
      <c r="T3100" s="10">
        <f>IF(A3100="D",LEFT(UPPER(D3100)&amp;REPT(" ",2),2)," ")</f>
        <v/>
      </c>
      <c r="U3100" s="10">
        <f>IF(A3100="D",LEFT(UPPER(E3100)&amp;REPT(" ",15),15)," ")</f>
        <v/>
      </c>
      <c r="V3100" s="10">
        <f>REPT(" ",24)</f>
        <v/>
      </c>
      <c r="W3100" s="10">
        <f>IF(A3100="c",LEFT(UPPER(B3100)&amp;REPT(" ",20),20),REPT(" ",20))</f>
        <v/>
      </c>
      <c r="X3100" s="10">
        <f>IF(A3100="C",LEFT(UPPER(C3100)&amp;REPT(" ",10),10)," ")</f>
        <v/>
      </c>
      <c r="Y3100" s="10">
        <f>IF(A3100="C",LEFT(UPPER(D3100)&amp;REPT(" ",2),2)," ")</f>
        <v/>
      </c>
      <c r="Z3100" s="10">
        <f>IF(A3100="C",LEFT(UPPER(E3100)&amp;REPT(" ",15),15)," ")</f>
        <v/>
      </c>
      <c r="AA3100" s="10">
        <f>REPT(" ",8)</f>
        <v/>
      </c>
      <c r="AB3100" s="10">
        <f>REPT(" ",4)</f>
        <v/>
      </c>
      <c r="AC3100" s="10">
        <f>LEFT(UPPER(H3100)&amp;REPT(" ",250),250)</f>
        <v/>
      </c>
      <c r="AD3100" s="10">
        <f>TEXT($G$2,"dd/mm/aaaa")</f>
        <v/>
      </c>
      <c r="AE3100" s="10">
        <f>REPT(" ",10)</f>
        <v/>
      </c>
      <c r="AF3100" s="10">
        <f>REPT(" ",20)</f>
        <v/>
      </c>
      <c r="AG3100" s="54">
        <f>REPT(" ",18-LEN(FIXED(F3100,2,TRUE)))&amp;FIXED(F3100,2,TRUE)</f>
        <v/>
      </c>
      <c r="AH3100" s="10">
        <f>LEN(AC3100)+LEN(AG3100)</f>
        <v/>
      </c>
      <c r="AI3100" s="10">
        <f>LEN(L3100)</f>
        <v/>
      </c>
    </row>
    <row r="3101">
      <c r="J3101" s="12">
        <f>IF(F3101&lt;&gt;0,"LANÇAR","")</f>
        <v/>
      </c>
      <c r="L3101" s="13">
        <f>N3101&amp;O3101&amp;P3101&amp;Q3101&amp;R3101&amp;S3101&amp;T3101&amp;U3101&amp;V3101&amp;W3101&amp;X3101&amp;Y3101&amp;Z3101&amp;AA3101&amp;AB3101&amp;AC3101&amp;AD3101&amp;AE3101&amp;AF3101&amp;AG3101</f>
        <v/>
      </c>
      <c r="N3101" s="10">
        <f>TEXT($B$6,"00")</f>
        <v/>
      </c>
      <c r="O3101" s="10">
        <f>REPT(" ",8)</f>
        <v/>
      </c>
      <c r="P3101" s="10">
        <f>RIGHT($B$4,2)</f>
        <v/>
      </c>
      <c r="Q3101" s="10">
        <f>RIGHT($B$5,3)</f>
        <v/>
      </c>
      <c r="R3101" s="10">
        <f>IF(A3101="D",LEFT(UPPER(B3101)&amp;REPT(" ",20),20),REPT(" ",20))</f>
        <v/>
      </c>
      <c r="S3101" s="10">
        <f>IF(A3101="D",LEFT(UPPER(C3101)&amp;REPT(" ",10),10)," ")</f>
        <v/>
      </c>
      <c r="T3101" s="10">
        <f>IF(A3101="D",LEFT(UPPER(D3101)&amp;REPT(" ",2),2)," ")</f>
        <v/>
      </c>
      <c r="U3101" s="10">
        <f>IF(A3101="D",LEFT(UPPER(E3101)&amp;REPT(" ",15),15)," ")</f>
        <v/>
      </c>
      <c r="V3101" s="10">
        <f>REPT(" ",24)</f>
        <v/>
      </c>
      <c r="W3101" s="10">
        <f>IF(A3101="c",LEFT(UPPER(B3101)&amp;REPT(" ",20),20),REPT(" ",20))</f>
        <v/>
      </c>
      <c r="X3101" s="10">
        <f>IF(A3101="C",LEFT(UPPER(C3101)&amp;REPT(" ",10),10)," ")</f>
        <v/>
      </c>
      <c r="Y3101" s="10">
        <f>IF(A3101="C",LEFT(UPPER(D3101)&amp;REPT(" ",2),2)," ")</f>
        <v/>
      </c>
      <c r="Z3101" s="10">
        <f>IF(A3101="C",LEFT(UPPER(E3101)&amp;REPT(" ",15),15)," ")</f>
        <v/>
      </c>
      <c r="AA3101" s="10">
        <f>REPT(" ",8)</f>
        <v/>
      </c>
      <c r="AB3101" s="10">
        <f>REPT(" ",4)</f>
        <v/>
      </c>
      <c r="AC3101" s="10">
        <f>LEFT(UPPER(H3101)&amp;REPT(" ",250),250)</f>
        <v/>
      </c>
      <c r="AD3101" s="10">
        <f>TEXT($G$2,"dd/mm/aaaa")</f>
        <v/>
      </c>
      <c r="AE3101" s="10">
        <f>REPT(" ",10)</f>
        <v/>
      </c>
      <c r="AF3101" s="10">
        <f>REPT(" ",20)</f>
        <v/>
      </c>
      <c r="AG3101" s="54">
        <f>REPT(" ",18-LEN(FIXED(F3101,2,TRUE)))&amp;FIXED(F3101,2,TRUE)</f>
        <v/>
      </c>
      <c r="AH3101" s="10">
        <f>LEN(AC3101)+LEN(AG3101)</f>
        <v/>
      </c>
      <c r="AI3101" s="10">
        <f>LEN(L3101)</f>
        <v/>
      </c>
    </row>
    <row r="3102">
      <c r="J3102" s="12">
        <f>IF(F3102&lt;&gt;0,"LANÇAR","")</f>
        <v/>
      </c>
      <c r="L3102" s="13">
        <f>N3102&amp;O3102&amp;P3102&amp;Q3102&amp;R3102&amp;S3102&amp;T3102&amp;U3102&amp;V3102&amp;W3102&amp;X3102&amp;Y3102&amp;Z3102&amp;AA3102&amp;AB3102&amp;AC3102&amp;AD3102&amp;AE3102&amp;AF3102&amp;AG3102</f>
        <v/>
      </c>
      <c r="N3102" s="10">
        <f>TEXT($B$6,"00")</f>
        <v/>
      </c>
      <c r="O3102" s="10">
        <f>REPT(" ",8)</f>
        <v/>
      </c>
      <c r="P3102" s="10">
        <f>RIGHT($B$4,2)</f>
        <v/>
      </c>
      <c r="Q3102" s="10">
        <f>RIGHT($B$5,3)</f>
        <v/>
      </c>
      <c r="R3102" s="10">
        <f>IF(A3102="D",LEFT(UPPER(B3102)&amp;REPT(" ",20),20),REPT(" ",20))</f>
        <v/>
      </c>
      <c r="S3102" s="10">
        <f>IF(A3102="D",LEFT(UPPER(C3102)&amp;REPT(" ",10),10)," ")</f>
        <v/>
      </c>
      <c r="T3102" s="10">
        <f>IF(A3102="D",LEFT(UPPER(D3102)&amp;REPT(" ",2),2)," ")</f>
        <v/>
      </c>
      <c r="U3102" s="10">
        <f>IF(A3102="D",LEFT(UPPER(E3102)&amp;REPT(" ",15),15)," ")</f>
        <v/>
      </c>
      <c r="V3102" s="10">
        <f>REPT(" ",24)</f>
        <v/>
      </c>
      <c r="W3102" s="10">
        <f>IF(A3102="c",LEFT(UPPER(B3102)&amp;REPT(" ",20),20),REPT(" ",20))</f>
        <v/>
      </c>
      <c r="X3102" s="10">
        <f>IF(A3102="C",LEFT(UPPER(C3102)&amp;REPT(" ",10),10)," ")</f>
        <v/>
      </c>
      <c r="Y3102" s="10">
        <f>IF(A3102="C",LEFT(UPPER(D3102)&amp;REPT(" ",2),2)," ")</f>
        <v/>
      </c>
      <c r="Z3102" s="10">
        <f>IF(A3102="C",LEFT(UPPER(E3102)&amp;REPT(" ",15),15)," ")</f>
        <v/>
      </c>
      <c r="AA3102" s="10">
        <f>REPT(" ",8)</f>
        <v/>
      </c>
      <c r="AB3102" s="10">
        <f>REPT(" ",4)</f>
        <v/>
      </c>
      <c r="AC3102" s="10">
        <f>LEFT(UPPER(H3102)&amp;REPT(" ",250),250)</f>
        <v/>
      </c>
      <c r="AD3102" s="10">
        <f>TEXT($G$2,"dd/mm/aaaa")</f>
        <v/>
      </c>
      <c r="AE3102" s="10">
        <f>REPT(" ",10)</f>
        <v/>
      </c>
      <c r="AF3102" s="10">
        <f>REPT(" ",20)</f>
        <v/>
      </c>
      <c r="AG3102" s="54">
        <f>REPT(" ",18-LEN(FIXED(F3102,2,TRUE)))&amp;FIXED(F3102,2,TRUE)</f>
        <v/>
      </c>
      <c r="AH3102" s="10">
        <f>LEN(AC3102)+LEN(AG3102)</f>
        <v/>
      </c>
      <c r="AI3102" s="10">
        <f>LEN(L3102)</f>
        <v/>
      </c>
    </row>
    <row r="3103">
      <c r="J3103" s="12">
        <f>IF(F3103&lt;&gt;0,"LANÇAR","")</f>
        <v/>
      </c>
      <c r="L3103" s="13">
        <f>N3103&amp;O3103&amp;P3103&amp;Q3103&amp;R3103&amp;S3103&amp;T3103&amp;U3103&amp;V3103&amp;W3103&amp;X3103&amp;Y3103&amp;Z3103&amp;AA3103&amp;AB3103&amp;AC3103&amp;AD3103&amp;AE3103&amp;AF3103&amp;AG3103</f>
        <v/>
      </c>
      <c r="N3103" s="10">
        <f>TEXT($B$6,"00")</f>
        <v/>
      </c>
      <c r="O3103" s="10">
        <f>REPT(" ",8)</f>
        <v/>
      </c>
      <c r="P3103" s="10">
        <f>RIGHT($B$4,2)</f>
        <v/>
      </c>
      <c r="Q3103" s="10">
        <f>RIGHT($B$5,3)</f>
        <v/>
      </c>
      <c r="R3103" s="10">
        <f>IF(A3103="D",LEFT(UPPER(B3103)&amp;REPT(" ",20),20),REPT(" ",20))</f>
        <v/>
      </c>
      <c r="S3103" s="10">
        <f>IF(A3103="D",LEFT(UPPER(C3103)&amp;REPT(" ",10),10)," ")</f>
        <v/>
      </c>
      <c r="T3103" s="10">
        <f>IF(A3103="D",LEFT(UPPER(D3103)&amp;REPT(" ",2),2)," ")</f>
        <v/>
      </c>
      <c r="U3103" s="10">
        <f>IF(A3103="D",LEFT(UPPER(E3103)&amp;REPT(" ",15),15)," ")</f>
        <v/>
      </c>
      <c r="V3103" s="10">
        <f>REPT(" ",24)</f>
        <v/>
      </c>
      <c r="W3103" s="10">
        <f>IF(A3103="c",LEFT(UPPER(B3103)&amp;REPT(" ",20),20),REPT(" ",20))</f>
        <v/>
      </c>
      <c r="X3103" s="10">
        <f>IF(A3103="C",LEFT(UPPER(C3103)&amp;REPT(" ",10),10)," ")</f>
        <v/>
      </c>
      <c r="Y3103" s="10">
        <f>IF(A3103="C",LEFT(UPPER(D3103)&amp;REPT(" ",2),2)," ")</f>
        <v/>
      </c>
      <c r="Z3103" s="10">
        <f>IF(A3103="C",LEFT(UPPER(E3103)&amp;REPT(" ",15),15)," ")</f>
        <v/>
      </c>
      <c r="AA3103" s="10">
        <f>REPT(" ",8)</f>
        <v/>
      </c>
      <c r="AB3103" s="10">
        <f>REPT(" ",4)</f>
        <v/>
      </c>
      <c r="AC3103" s="10">
        <f>LEFT(UPPER(H3103)&amp;REPT(" ",250),250)</f>
        <v/>
      </c>
      <c r="AD3103" s="10">
        <f>TEXT($G$2,"dd/mm/aaaa")</f>
        <v/>
      </c>
      <c r="AE3103" s="10">
        <f>REPT(" ",10)</f>
        <v/>
      </c>
      <c r="AF3103" s="10">
        <f>REPT(" ",20)</f>
        <v/>
      </c>
      <c r="AG3103" s="54">
        <f>REPT(" ",18-LEN(FIXED(F3103,2,TRUE)))&amp;FIXED(F3103,2,TRUE)</f>
        <v/>
      </c>
      <c r="AH3103" s="10">
        <f>LEN(AC3103)+LEN(AG3103)</f>
        <v/>
      </c>
      <c r="AI3103" s="10">
        <f>LEN(L3103)</f>
        <v/>
      </c>
    </row>
    <row r="3104">
      <c r="J3104" s="12">
        <f>IF(F3104&lt;&gt;0,"LANÇAR","")</f>
        <v/>
      </c>
      <c r="L3104" s="13">
        <f>N3104&amp;O3104&amp;P3104&amp;Q3104&amp;R3104&amp;S3104&amp;T3104&amp;U3104&amp;V3104&amp;W3104&amp;X3104&amp;Y3104&amp;Z3104&amp;AA3104&amp;AB3104&amp;AC3104&amp;AD3104&amp;AE3104&amp;AF3104&amp;AG3104</f>
        <v/>
      </c>
      <c r="N3104" s="10">
        <f>TEXT($B$6,"00")</f>
        <v/>
      </c>
      <c r="O3104" s="10">
        <f>REPT(" ",8)</f>
        <v/>
      </c>
      <c r="P3104" s="10">
        <f>RIGHT($B$4,2)</f>
        <v/>
      </c>
      <c r="Q3104" s="10">
        <f>RIGHT($B$5,3)</f>
        <v/>
      </c>
      <c r="R3104" s="10">
        <f>IF(A3104="D",LEFT(UPPER(B3104)&amp;REPT(" ",20),20),REPT(" ",20))</f>
        <v/>
      </c>
      <c r="S3104" s="10">
        <f>IF(A3104="D",LEFT(UPPER(C3104)&amp;REPT(" ",10),10)," ")</f>
        <v/>
      </c>
      <c r="T3104" s="10">
        <f>IF(A3104="D",LEFT(UPPER(D3104)&amp;REPT(" ",2),2)," ")</f>
        <v/>
      </c>
      <c r="U3104" s="10">
        <f>IF(A3104="D",LEFT(UPPER(E3104)&amp;REPT(" ",15),15)," ")</f>
        <v/>
      </c>
      <c r="V3104" s="10">
        <f>REPT(" ",24)</f>
        <v/>
      </c>
      <c r="W3104" s="10">
        <f>IF(A3104="c",LEFT(UPPER(B3104)&amp;REPT(" ",20),20),REPT(" ",20))</f>
        <v/>
      </c>
      <c r="X3104" s="10">
        <f>IF(A3104="C",LEFT(UPPER(C3104)&amp;REPT(" ",10),10)," ")</f>
        <v/>
      </c>
      <c r="Y3104" s="10">
        <f>IF(A3104="C",LEFT(UPPER(D3104)&amp;REPT(" ",2),2)," ")</f>
        <v/>
      </c>
      <c r="Z3104" s="10">
        <f>IF(A3104="C",LEFT(UPPER(E3104)&amp;REPT(" ",15),15)," ")</f>
        <v/>
      </c>
      <c r="AA3104" s="10">
        <f>REPT(" ",8)</f>
        <v/>
      </c>
      <c r="AB3104" s="10">
        <f>REPT(" ",4)</f>
        <v/>
      </c>
      <c r="AC3104" s="10">
        <f>LEFT(UPPER(H3104)&amp;REPT(" ",250),250)</f>
        <v/>
      </c>
      <c r="AD3104" s="10">
        <f>TEXT($G$2,"dd/mm/aaaa")</f>
        <v/>
      </c>
      <c r="AE3104" s="10">
        <f>REPT(" ",10)</f>
        <v/>
      </c>
      <c r="AF3104" s="10">
        <f>REPT(" ",20)</f>
        <v/>
      </c>
      <c r="AG3104" s="54">
        <f>REPT(" ",18-LEN(FIXED(F3104,2,TRUE)))&amp;FIXED(F3104,2,TRUE)</f>
        <v/>
      </c>
      <c r="AH3104" s="10">
        <f>LEN(AC3104)+LEN(AG3104)</f>
        <v/>
      </c>
      <c r="AI3104" s="10">
        <f>LEN(L3104)</f>
        <v/>
      </c>
    </row>
    <row r="3105">
      <c r="J3105" s="12">
        <f>IF(F3105&lt;&gt;0,"LANÇAR","")</f>
        <v/>
      </c>
      <c r="L3105" s="13">
        <f>N3105&amp;O3105&amp;P3105&amp;Q3105&amp;R3105&amp;S3105&amp;T3105&amp;U3105&amp;V3105&amp;W3105&amp;X3105&amp;Y3105&amp;Z3105&amp;AA3105&amp;AB3105&amp;AC3105&amp;AD3105&amp;AE3105&amp;AF3105&amp;AG3105</f>
        <v/>
      </c>
      <c r="N3105" s="10">
        <f>TEXT($B$6,"00")</f>
        <v/>
      </c>
      <c r="O3105" s="10">
        <f>REPT(" ",8)</f>
        <v/>
      </c>
      <c r="P3105" s="10">
        <f>RIGHT($B$4,2)</f>
        <v/>
      </c>
      <c r="Q3105" s="10">
        <f>RIGHT($B$5,3)</f>
        <v/>
      </c>
      <c r="R3105" s="10">
        <f>IF(A3105="D",LEFT(UPPER(B3105)&amp;REPT(" ",20),20),REPT(" ",20))</f>
        <v/>
      </c>
      <c r="S3105" s="10">
        <f>IF(A3105="D",LEFT(UPPER(C3105)&amp;REPT(" ",10),10)," ")</f>
        <v/>
      </c>
      <c r="T3105" s="10">
        <f>IF(A3105="D",LEFT(UPPER(D3105)&amp;REPT(" ",2),2)," ")</f>
        <v/>
      </c>
      <c r="U3105" s="10">
        <f>IF(A3105="D",LEFT(UPPER(E3105)&amp;REPT(" ",15),15)," ")</f>
        <v/>
      </c>
      <c r="V3105" s="10">
        <f>REPT(" ",24)</f>
        <v/>
      </c>
      <c r="W3105" s="10">
        <f>IF(A3105="c",LEFT(UPPER(B3105)&amp;REPT(" ",20),20),REPT(" ",20))</f>
        <v/>
      </c>
      <c r="X3105" s="10">
        <f>IF(A3105="C",LEFT(UPPER(C3105)&amp;REPT(" ",10),10)," ")</f>
        <v/>
      </c>
      <c r="Y3105" s="10">
        <f>IF(A3105="C",LEFT(UPPER(D3105)&amp;REPT(" ",2),2)," ")</f>
        <v/>
      </c>
      <c r="Z3105" s="10">
        <f>IF(A3105="C",LEFT(UPPER(E3105)&amp;REPT(" ",15),15)," ")</f>
        <v/>
      </c>
      <c r="AA3105" s="10">
        <f>REPT(" ",8)</f>
        <v/>
      </c>
      <c r="AB3105" s="10">
        <f>REPT(" ",4)</f>
        <v/>
      </c>
      <c r="AC3105" s="10">
        <f>LEFT(UPPER(H3105)&amp;REPT(" ",250),250)</f>
        <v/>
      </c>
      <c r="AD3105" s="10">
        <f>TEXT($G$2,"dd/mm/aaaa")</f>
        <v/>
      </c>
      <c r="AE3105" s="10">
        <f>REPT(" ",10)</f>
        <v/>
      </c>
      <c r="AF3105" s="10">
        <f>REPT(" ",20)</f>
        <v/>
      </c>
      <c r="AG3105" s="54">
        <f>REPT(" ",18-LEN(FIXED(F3105,2,TRUE)))&amp;FIXED(F3105,2,TRUE)</f>
        <v/>
      </c>
      <c r="AH3105" s="10">
        <f>LEN(AC3105)+LEN(AG3105)</f>
        <v/>
      </c>
      <c r="AI3105" s="10">
        <f>LEN(L3105)</f>
        <v/>
      </c>
    </row>
    <row r="3106">
      <c r="J3106" s="12">
        <f>IF(F3106&lt;&gt;0,"LANÇAR","")</f>
        <v/>
      </c>
      <c r="L3106" s="13">
        <f>N3106&amp;O3106&amp;P3106&amp;Q3106&amp;R3106&amp;S3106&amp;T3106&amp;U3106&amp;V3106&amp;W3106&amp;X3106&amp;Y3106&amp;Z3106&amp;AA3106&amp;AB3106&amp;AC3106&amp;AD3106&amp;AE3106&amp;AF3106&amp;AG3106</f>
        <v/>
      </c>
      <c r="N3106" s="10">
        <f>TEXT($B$6,"00")</f>
        <v/>
      </c>
      <c r="O3106" s="10">
        <f>REPT(" ",8)</f>
        <v/>
      </c>
      <c r="P3106" s="10">
        <f>RIGHT($B$4,2)</f>
        <v/>
      </c>
      <c r="Q3106" s="10">
        <f>RIGHT($B$5,3)</f>
        <v/>
      </c>
      <c r="R3106" s="10">
        <f>IF(A3106="D",LEFT(UPPER(B3106)&amp;REPT(" ",20),20),REPT(" ",20))</f>
        <v/>
      </c>
      <c r="S3106" s="10">
        <f>IF(A3106="D",LEFT(UPPER(C3106)&amp;REPT(" ",10),10)," ")</f>
        <v/>
      </c>
      <c r="T3106" s="10">
        <f>IF(A3106="D",LEFT(UPPER(D3106)&amp;REPT(" ",2),2)," ")</f>
        <v/>
      </c>
      <c r="U3106" s="10">
        <f>IF(A3106="D",LEFT(UPPER(E3106)&amp;REPT(" ",15),15)," ")</f>
        <v/>
      </c>
      <c r="V3106" s="10">
        <f>REPT(" ",24)</f>
        <v/>
      </c>
      <c r="W3106" s="10">
        <f>IF(A3106="c",LEFT(UPPER(B3106)&amp;REPT(" ",20),20),REPT(" ",20))</f>
        <v/>
      </c>
      <c r="X3106" s="10">
        <f>IF(A3106="C",LEFT(UPPER(C3106)&amp;REPT(" ",10),10)," ")</f>
        <v/>
      </c>
      <c r="Y3106" s="10">
        <f>IF(A3106="C",LEFT(UPPER(D3106)&amp;REPT(" ",2),2)," ")</f>
        <v/>
      </c>
      <c r="Z3106" s="10">
        <f>IF(A3106="C",LEFT(UPPER(E3106)&amp;REPT(" ",15),15)," ")</f>
        <v/>
      </c>
      <c r="AA3106" s="10">
        <f>REPT(" ",8)</f>
        <v/>
      </c>
      <c r="AB3106" s="10">
        <f>REPT(" ",4)</f>
        <v/>
      </c>
      <c r="AC3106" s="10">
        <f>LEFT(UPPER(H3106)&amp;REPT(" ",250),250)</f>
        <v/>
      </c>
      <c r="AD3106" s="10">
        <f>TEXT($G$2,"dd/mm/aaaa")</f>
        <v/>
      </c>
      <c r="AE3106" s="10">
        <f>REPT(" ",10)</f>
        <v/>
      </c>
      <c r="AF3106" s="10">
        <f>REPT(" ",20)</f>
        <v/>
      </c>
      <c r="AG3106" s="54">
        <f>REPT(" ",18-LEN(FIXED(F3106,2,TRUE)))&amp;FIXED(F3106,2,TRUE)</f>
        <v/>
      </c>
      <c r="AH3106" s="10">
        <f>LEN(AC3106)+LEN(AG3106)</f>
        <v/>
      </c>
      <c r="AI3106" s="10">
        <f>LEN(L3106)</f>
        <v/>
      </c>
    </row>
    <row r="3107">
      <c r="J3107" s="12">
        <f>IF(F3107&lt;&gt;0,"LANÇAR","")</f>
        <v/>
      </c>
      <c r="L3107" s="13">
        <f>N3107&amp;O3107&amp;P3107&amp;Q3107&amp;R3107&amp;S3107&amp;T3107&amp;U3107&amp;V3107&amp;W3107&amp;X3107&amp;Y3107&amp;Z3107&amp;AA3107&amp;AB3107&amp;AC3107&amp;AD3107&amp;AE3107&amp;AF3107&amp;AG3107</f>
        <v/>
      </c>
      <c r="N3107" s="10">
        <f>TEXT($B$6,"00")</f>
        <v/>
      </c>
      <c r="O3107" s="10">
        <f>REPT(" ",8)</f>
        <v/>
      </c>
      <c r="P3107" s="10">
        <f>RIGHT($B$4,2)</f>
        <v/>
      </c>
      <c r="Q3107" s="10">
        <f>RIGHT($B$5,3)</f>
        <v/>
      </c>
      <c r="R3107" s="10">
        <f>IF(A3107="D",LEFT(UPPER(B3107)&amp;REPT(" ",20),20),REPT(" ",20))</f>
        <v/>
      </c>
      <c r="S3107" s="10">
        <f>IF(A3107="D",LEFT(UPPER(C3107)&amp;REPT(" ",10),10)," ")</f>
        <v/>
      </c>
      <c r="T3107" s="10">
        <f>IF(A3107="D",LEFT(UPPER(D3107)&amp;REPT(" ",2),2)," ")</f>
        <v/>
      </c>
      <c r="U3107" s="10">
        <f>IF(A3107="D",LEFT(UPPER(E3107)&amp;REPT(" ",15),15)," ")</f>
        <v/>
      </c>
      <c r="V3107" s="10">
        <f>REPT(" ",24)</f>
        <v/>
      </c>
      <c r="W3107" s="10">
        <f>IF(A3107="c",LEFT(UPPER(B3107)&amp;REPT(" ",20),20),REPT(" ",20))</f>
        <v/>
      </c>
      <c r="X3107" s="10">
        <f>IF(A3107="C",LEFT(UPPER(C3107)&amp;REPT(" ",10),10)," ")</f>
        <v/>
      </c>
      <c r="Y3107" s="10">
        <f>IF(A3107="C",LEFT(UPPER(D3107)&amp;REPT(" ",2),2)," ")</f>
        <v/>
      </c>
      <c r="Z3107" s="10">
        <f>IF(A3107="C",LEFT(UPPER(E3107)&amp;REPT(" ",15),15)," ")</f>
        <v/>
      </c>
      <c r="AA3107" s="10">
        <f>REPT(" ",8)</f>
        <v/>
      </c>
      <c r="AB3107" s="10">
        <f>REPT(" ",4)</f>
        <v/>
      </c>
      <c r="AC3107" s="10">
        <f>LEFT(UPPER(H3107)&amp;REPT(" ",250),250)</f>
        <v/>
      </c>
      <c r="AD3107" s="10">
        <f>TEXT($G$2,"dd/mm/aaaa")</f>
        <v/>
      </c>
      <c r="AE3107" s="10">
        <f>REPT(" ",10)</f>
        <v/>
      </c>
      <c r="AF3107" s="10">
        <f>REPT(" ",20)</f>
        <v/>
      </c>
      <c r="AG3107" s="54">
        <f>REPT(" ",18-LEN(FIXED(F3107,2,TRUE)))&amp;FIXED(F3107,2,TRUE)</f>
        <v/>
      </c>
      <c r="AH3107" s="10">
        <f>LEN(AC3107)+LEN(AG3107)</f>
        <v/>
      </c>
      <c r="AI3107" s="10">
        <f>LEN(L3107)</f>
        <v/>
      </c>
    </row>
    <row r="3108">
      <c r="J3108" s="12">
        <f>IF(F3108&lt;&gt;0,"LANÇAR","")</f>
        <v/>
      </c>
      <c r="L3108" s="13">
        <f>N3108&amp;O3108&amp;P3108&amp;Q3108&amp;R3108&amp;S3108&amp;T3108&amp;U3108&amp;V3108&amp;W3108&amp;X3108&amp;Y3108&amp;Z3108&amp;AA3108&amp;AB3108&amp;AC3108&amp;AD3108&amp;AE3108&amp;AF3108&amp;AG3108</f>
        <v/>
      </c>
      <c r="N3108" s="10">
        <f>TEXT($B$6,"00")</f>
        <v/>
      </c>
      <c r="O3108" s="10">
        <f>REPT(" ",8)</f>
        <v/>
      </c>
      <c r="P3108" s="10">
        <f>RIGHT($B$4,2)</f>
        <v/>
      </c>
      <c r="Q3108" s="10">
        <f>RIGHT($B$5,3)</f>
        <v/>
      </c>
      <c r="R3108" s="10">
        <f>IF(A3108="D",LEFT(UPPER(B3108)&amp;REPT(" ",20),20),REPT(" ",20))</f>
        <v/>
      </c>
      <c r="S3108" s="10">
        <f>IF(A3108="D",LEFT(UPPER(C3108)&amp;REPT(" ",10),10)," ")</f>
        <v/>
      </c>
      <c r="T3108" s="10">
        <f>IF(A3108="D",LEFT(UPPER(D3108)&amp;REPT(" ",2),2)," ")</f>
        <v/>
      </c>
      <c r="U3108" s="10">
        <f>IF(A3108="D",LEFT(UPPER(E3108)&amp;REPT(" ",15),15)," ")</f>
        <v/>
      </c>
      <c r="V3108" s="10">
        <f>REPT(" ",24)</f>
        <v/>
      </c>
      <c r="W3108" s="10">
        <f>IF(A3108="c",LEFT(UPPER(B3108)&amp;REPT(" ",20),20),REPT(" ",20))</f>
        <v/>
      </c>
      <c r="X3108" s="10">
        <f>IF(A3108="C",LEFT(UPPER(C3108)&amp;REPT(" ",10),10)," ")</f>
        <v/>
      </c>
      <c r="Y3108" s="10">
        <f>IF(A3108="C",LEFT(UPPER(D3108)&amp;REPT(" ",2),2)," ")</f>
        <v/>
      </c>
      <c r="Z3108" s="10">
        <f>IF(A3108="C",LEFT(UPPER(E3108)&amp;REPT(" ",15),15)," ")</f>
        <v/>
      </c>
      <c r="AA3108" s="10">
        <f>REPT(" ",8)</f>
        <v/>
      </c>
      <c r="AB3108" s="10">
        <f>REPT(" ",4)</f>
        <v/>
      </c>
      <c r="AC3108" s="10">
        <f>LEFT(UPPER(H3108)&amp;REPT(" ",250),250)</f>
        <v/>
      </c>
      <c r="AD3108" s="10">
        <f>TEXT($G$2,"dd/mm/aaaa")</f>
        <v/>
      </c>
      <c r="AE3108" s="10">
        <f>REPT(" ",10)</f>
        <v/>
      </c>
      <c r="AF3108" s="10">
        <f>REPT(" ",20)</f>
        <v/>
      </c>
      <c r="AG3108" s="54">
        <f>REPT(" ",18-LEN(FIXED(F3108,2,TRUE)))&amp;FIXED(F3108,2,TRUE)</f>
        <v/>
      </c>
      <c r="AH3108" s="10">
        <f>LEN(AC3108)+LEN(AG3108)</f>
        <v/>
      </c>
      <c r="AI3108" s="10">
        <f>LEN(L3108)</f>
        <v/>
      </c>
    </row>
    <row r="3109">
      <c r="J3109" s="12">
        <f>IF(F3109&lt;&gt;0,"LANÇAR","")</f>
        <v/>
      </c>
      <c r="L3109" s="13">
        <f>N3109&amp;O3109&amp;P3109&amp;Q3109&amp;R3109&amp;S3109&amp;T3109&amp;U3109&amp;V3109&amp;W3109&amp;X3109&amp;Y3109&amp;Z3109&amp;AA3109&amp;AB3109&amp;AC3109&amp;AD3109&amp;AE3109&amp;AF3109&amp;AG3109</f>
        <v/>
      </c>
      <c r="N3109" s="10">
        <f>TEXT($B$6,"00")</f>
        <v/>
      </c>
      <c r="O3109" s="10">
        <f>REPT(" ",8)</f>
        <v/>
      </c>
      <c r="P3109" s="10">
        <f>RIGHT($B$4,2)</f>
        <v/>
      </c>
      <c r="Q3109" s="10">
        <f>RIGHT($B$5,3)</f>
        <v/>
      </c>
      <c r="R3109" s="10">
        <f>IF(A3109="D",LEFT(UPPER(B3109)&amp;REPT(" ",20),20),REPT(" ",20))</f>
        <v/>
      </c>
      <c r="S3109" s="10">
        <f>IF(A3109="D",LEFT(UPPER(C3109)&amp;REPT(" ",10),10)," ")</f>
        <v/>
      </c>
      <c r="T3109" s="10">
        <f>IF(A3109="D",LEFT(UPPER(D3109)&amp;REPT(" ",2),2)," ")</f>
        <v/>
      </c>
      <c r="U3109" s="10">
        <f>IF(A3109="D",LEFT(UPPER(E3109)&amp;REPT(" ",15),15)," ")</f>
        <v/>
      </c>
      <c r="V3109" s="10">
        <f>REPT(" ",24)</f>
        <v/>
      </c>
      <c r="W3109" s="10">
        <f>IF(A3109="c",LEFT(UPPER(B3109)&amp;REPT(" ",20),20),REPT(" ",20))</f>
        <v/>
      </c>
      <c r="X3109" s="10">
        <f>IF(A3109="C",LEFT(UPPER(C3109)&amp;REPT(" ",10),10)," ")</f>
        <v/>
      </c>
      <c r="Y3109" s="10">
        <f>IF(A3109="C",LEFT(UPPER(D3109)&amp;REPT(" ",2),2)," ")</f>
        <v/>
      </c>
      <c r="Z3109" s="10">
        <f>IF(A3109="C",LEFT(UPPER(E3109)&amp;REPT(" ",15),15)," ")</f>
        <v/>
      </c>
      <c r="AA3109" s="10">
        <f>REPT(" ",8)</f>
        <v/>
      </c>
      <c r="AB3109" s="10">
        <f>REPT(" ",4)</f>
        <v/>
      </c>
      <c r="AC3109" s="10">
        <f>LEFT(UPPER(H3109)&amp;REPT(" ",250),250)</f>
        <v/>
      </c>
      <c r="AD3109" s="10">
        <f>TEXT($G$2,"dd/mm/aaaa")</f>
        <v/>
      </c>
      <c r="AE3109" s="10">
        <f>REPT(" ",10)</f>
        <v/>
      </c>
      <c r="AF3109" s="10">
        <f>REPT(" ",20)</f>
        <v/>
      </c>
      <c r="AG3109" s="54">
        <f>REPT(" ",18-LEN(FIXED(F3109,2,TRUE)))&amp;FIXED(F3109,2,TRUE)</f>
        <v/>
      </c>
      <c r="AH3109" s="10">
        <f>LEN(AC3109)+LEN(AG3109)</f>
        <v/>
      </c>
      <c r="AI3109" s="10">
        <f>LEN(L3109)</f>
        <v/>
      </c>
    </row>
    <row r="3110">
      <c r="J3110" s="12">
        <f>IF(F3110&lt;&gt;0,"LANÇAR","")</f>
        <v/>
      </c>
      <c r="L3110" s="13">
        <f>N3110&amp;O3110&amp;P3110&amp;Q3110&amp;R3110&amp;S3110&amp;T3110&amp;U3110&amp;V3110&amp;W3110&amp;X3110&amp;Y3110&amp;Z3110&amp;AA3110&amp;AB3110&amp;AC3110&amp;AD3110&amp;AE3110&amp;AF3110&amp;AG3110</f>
        <v/>
      </c>
      <c r="N3110" s="10">
        <f>TEXT($B$6,"00")</f>
        <v/>
      </c>
      <c r="O3110" s="10">
        <f>REPT(" ",8)</f>
        <v/>
      </c>
      <c r="P3110" s="10">
        <f>RIGHT($B$4,2)</f>
        <v/>
      </c>
      <c r="Q3110" s="10">
        <f>RIGHT($B$5,3)</f>
        <v/>
      </c>
      <c r="R3110" s="10">
        <f>IF(A3110="D",LEFT(UPPER(B3110)&amp;REPT(" ",20),20),REPT(" ",20))</f>
        <v/>
      </c>
      <c r="S3110" s="10">
        <f>IF(A3110="D",LEFT(UPPER(C3110)&amp;REPT(" ",10),10)," ")</f>
        <v/>
      </c>
      <c r="T3110" s="10">
        <f>IF(A3110="D",LEFT(UPPER(D3110)&amp;REPT(" ",2),2)," ")</f>
        <v/>
      </c>
      <c r="U3110" s="10">
        <f>IF(A3110="D",LEFT(UPPER(E3110)&amp;REPT(" ",15),15)," ")</f>
        <v/>
      </c>
      <c r="V3110" s="10">
        <f>REPT(" ",24)</f>
        <v/>
      </c>
      <c r="W3110" s="10">
        <f>IF(A3110="c",LEFT(UPPER(B3110)&amp;REPT(" ",20),20),REPT(" ",20))</f>
        <v/>
      </c>
      <c r="X3110" s="10">
        <f>IF(A3110="C",LEFT(UPPER(C3110)&amp;REPT(" ",10),10)," ")</f>
        <v/>
      </c>
      <c r="Y3110" s="10">
        <f>IF(A3110="C",LEFT(UPPER(D3110)&amp;REPT(" ",2),2)," ")</f>
        <v/>
      </c>
      <c r="Z3110" s="10">
        <f>IF(A3110="C",LEFT(UPPER(E3110)&amp;REPT(" ",15),15)," ")</f>
        <v/>
      </c>
      <c r="AA3110" s="10">
        <f>REPT(" ",8)</f>
        <v/>
      </c>
      <c r="AB3110" s="10">
        <f>REPT(" ",4)</f>
        <v/>
      </c>
      <c r="AC3110" s="10">
        <f>LEFT(UPPER(H3110)&amp;REPT(" ",250),250)</f>
        <v/>
      </c>
      <c r="AD3110" s="10">
        <f>TEXT($G$2,"dd/mm/aaaa")</f>
        <v/>
      </c>
      <c r="AE3110" s="10">
        <f>REPT(" ",10)</f>
        <v/>
      </c>
      <c r="AF3110" s="10">
        <f>REPT(" ",20)</f>
        <v/>
      </c>
      <c r="AG3110" s="54">
        <f>REPT(" ",18-LEN(FIXED(F3110,2,TRUE)))&amp;FIXED(F3110,2,TRUE)</f>
        <v/>
      </c>
      <c r="AH3110" s="10">
        <f>LEN(AC3110)+LEN(AG3110)</f>
        <v/>
      </c>
      <c r="AI3110" s="10">
        <f>LEN(L3110)</f>
        <v/>
      </c>
    </row>
    <row r="3111">
      <c r="J3111" s="12">
        <f>IF(F3111&lt;&gt;0,"LANÇAR","")</f>
        <v/>
      </c>
      <c r="L3111" s="13">
        <f>N3111&amp;O3111&amp;P3111&amp;Q3111&amp;R3111&amp;S3111&amp;T3111&amp;U3111&amp;V3111&amp;W3111&amp;X3111&amp;Y3111&amp;Z3111&amp;AA3111&amp;AB3111&amp;AC3111&amp;AD3111&amp;AE3111&amp;AF3111&amp;AG3111</f>
        <v/>
      </c>
      <c r="N3111" s="10">
        <f>TEXT($B$6,"00")</f>
        <v/>
      </c>
      <c r="O3111" s="10">
        <f>REPT(" ",8)</f>
        <v/>
      </c>
      <c r="P3111" s="10">
        <f>RIGHT($B$4,2)</f>
        <v/>
      </c>
      <c r="Q3111" s="10">
        <f>RIGHT($B$5,3)</f>
        <v/>
      </c>
      <c r="R3111" s="10">
        <f>IF(A3111="D",LEFT(UPPER(B3111)&amp;REPT(" ",20),20),REPT(" ",20))</f>
        <v/>
      </c>
      <c r="S3111" s="10">
        <f>IF(A3111="D",LEFT(UPPER(C3111)&amp;REPT(" ",10),10)," ")</f>
        <v/>
      </c>
      <c r="T3111" s="10">
        <f>IF(A3111="D",LEFT(UPPER(D3111)&amp;REPT(" ",2),2)," ")</f>
        <v/>
      </c>
      <c r="U3111" s="10">
        <f>IF(A3111="D",LEFT(UPPER(E3111)&amp;REPT(" ",15),15)," ")</f>
        <v/>
      </c>
      <c r="V3111" s="10">
        <f>REPT(" ",24)</f>
        <v/>
      </c>
      <c r="W3111" s="10">
        <f>IF(A3111="c",LEFT(UPPER(B3111)&amp;REPT(" ",20),20),REPT(" ",20))</f>
        <v/>
      </c>
      <c r="X3111" s="10">
        <f>IF(A3111="C",LEFT(UPPER(C3111)&amp;REPT(" ",10),10)," ")</f>
        <v/>
      </c>
      <c r="Y3111" s="10">
        <f>IF(A3111="C",LEFT(UPPER(D3111)&amp;REPT(" ",2),2)," ")</f>
        <v/>
      </c>
      <c r="Z3111" s="10">
        <f>IF(A3111="C",LEFT(UPPER(E3111)&amp;REPT(" ",15),15)," ")</f>
        <v/>
      </c>
      <c r="AA3111" s="10">
        <f>REPT(" ",8)</f>
        <v/>
      </c>
      <c r="AB3111" s="10">
        <f>REPT(" ",4)</f>
        <v/>
      </c>
      <c r="AC3111" s="10">
        <f>LEFT(UPPER(H3111)&amp;REPT(" ",250),250)</f>
        <v/>
      </c>
      <c r="AD3111" s="10">
        <f>TEXT($G$2,"dd/mm/aaaa")</f>
        <v/>
      </c>
      <c r="AE3111" s="10">
        <f>REPT(" ",10)</f>
        <v/>
      </c>
      <c r="AF3111" s="10">
        <f>REPT(" ",20)</f>
        <v/>
      </c>
      <c r="AG3111" s="54">
        <f>REPT(" ",18-LEN(FIXED(F3111,2,TRUE)))&amp;FIXED(F3111,2,TRUE)</f>
        <v/>
      </c>
      <c r="AH3111" s="10">
        <f>LEN(AC3111)+LEN(AG3111)</f>
        <v/>
      </c>
      <c r="AI3111" s="10">
        <f>LEN(L3111)</f>
        <v/>
      </c>
    </row>
    <row r="3112">
      <c r="J3112" s="12">
        <f>IF(F3112&lt;&gt;0,"LANÇAR","")</f>
        <v/>
      </c>
      <c r="L3112" s="13">
        <f>N3112&amp;O3112&amp;P3112&amp;Q3112&amp;R3112&amp;S3112&amp;T3112&amp;U3112&amp;V3112&amp;W3112&amp;X3112&amp;Y3112&amp;Z3112&amp;AA3112&amp;AB3112&amp;AC3112&amp;AD3112&amp;AE3112&amp;AF3112&amp;AG3112</f>
        <v/>
      </c>
      <c r="N3112" s="10">
        <f>TEXT($B$6,"00")</f>
        <v/>
      </c>
      <c r="O3112" s="10">
        <f>REPT(" ",8)</f>
        <v/>
      </c>
      <c r="P3112" s="10">
        <f>RIGHT($B$4,2)</f>
        <v/>
      </c>
      <c r="Q3112" s="10">
        <f>RIGHT($B$5,3)</f>
        <v/>
      </c>
      <c r="R3112" s="10">
        <f>IF(A3112="D",LEFT(UPPER(B3112)&amp;REPT(" ",20),20),REPT(" ",20))</f>
        <v/>
      </c>
      <c r="S3112" s="10">
        <f>IF(A3112="D",LEFT(UPPER(C3112)&amp;REPT(" ",10),10)," ")</f>
        <v/>
      </c>
      <c r="T3112" s="10">
        <f>IF(A3112="D",LEFT(UPPER(D3112)&amp;REPT(" ",2),2)," ")</f>
        <v/>
      </c>
      <c r="U3112" s="10">
        <f>IF(A3112="D",LEFT(UPPER(E3112)&amp;REPT(" ",15),15)," ")</f>
        <v/>
      </c>
      <c r="V3112" s="10">
        <f>REPT(" ",24)</f>
        <v/>
      </c>
      <c r="W3112" s="10">
        <f>IF(A3112="c",LEFT(UPPER(B3112)&amp;REPT(" ",20),20),REPT(" ",20))</f>
        <v/>
      </c>
      <c r="X3112" s="10">
        <f>IF(A3112="C",LEFT(UPPER(C3112)&amp;REPT(" ",10),10)," ")</f>
        <v/>
      </c>
      <c r="Y3112" s="10">
        <f>IF(A3112="C",LEFT(UPPER(D3112)&amp;REPT(" ",2),2)," ")</f>
        <v/>
      </c>
      <c r="Z3112" s="10">
        <f>IF(A3112="C",LEFT(UPPER(E3112)&amp;REPT(" ",15),15)," ")</f>
        <v/>
      </c>
      <c r="AA3112" s="10">
        <f>REPT(" ",8)</f>
        <v/>
      </c>
      <c r="AB3112" s="10">
        <f>REPT(" ",4)</f>
        <v/>
      </c>
      <c r="AC3112" s="10">
        <f>LEFT(UPPER(H3112)&amp;REPT(" ",250),250)</f>
        <v/>
      </c>
      <c r="AD3112" s="10">
        <f>TEXT($G$2,"dd/mm/aaaa")</f>
        <v/>
      </c>
      <c r="AE3112" s="10">
        <f>REPT(" ",10)</f>
        <v/>
      </c>
      <c r="AF3112" s="10">
        <f>REPT(" ",20)</f>
        <v/>
      </c>
      <c r="AG3112" s="54">
        <f>REPT(" ",18-LEN(FIXED(F3112,2,TRUE)))&amp;FIXED(F3112,2,TRUE)</f>
        <v/>
      </c>
      <c r="AH3112" s="10">
        <f>LEN(AC3112)+LEN(AG3112)</f>
        <v/>
      </c>
      <c r="AI3112" s="10">
        <f>LEN(L3112)</f>
        <v/>
      </c>
    </row>
    <row r="3113">
      <c r="J3113" s="12">
        <f>IF(F3113&lt;&gt;0,"LANÇAR","")</f>
        <v/>
      </c>
      <c r="L3113" s="13">
        <f>N3113&amp;O3113&amp;P3113&amp;Q3113&amp;R3113&amp;S3113&amp;T3113&amp;U3113&amp;V3113&amp;W3113&amp;X3113&amp;Y3113&amp;Z3113&amp;AA3113&amp;AB3113&amp;AC3113&amp;AD3113&amp;AE3113&amp;AF3113&amp;AG3113</f>
        <v/>
      </c>
      <c r="N3113" s="10">
        <f>TEXT($B$6,"00")</f>
        <v/>
      </c>
      <c r="O3113" s="10">
        <f>REPT(" ",8)</f>
        <v/>
      </c>
      <c r="P3113" s="10">
        <f>RIGHT($B$4,2)</f>
        <v/>
      </c>
      <c r="Q3113" s="10">
        <f>RIGHT($B$5,3)</f>
        <v/>
      </c>
      <c r="R3113" s="10">
        <f>IF(A3113="D",LEFT(UPPER(B3113)&amp;REPT(" ",20),20),REPT(" ",20))</f>
        <v/>
      </c>
      <c r="S3113" s="10">
        <f>IF(A3113="D",LEFT(UPPER(C3113)&amp;REPT(" ",10),10)," ")</f>
        <v/>
      </c>
      <c r="T3113" s="10">
        <f>IF(A3113="D",LEFT(UPPER(D3113)&amp;REPT(" ",2),2)," ")</f>
        <v/>
      </c>
      <c r="U3113" s="10">
        <f>IF(A3113="D",LEFT(UPPER(E3113)&amp;REPT(" ",15),15)," ")</f>
        <v/>
      </c>
      <c r="V3113" s="10">
        <f>REPT(" ",24)</f>
        <v/>
      </c>
      <c r="W3113" s="10">
        <f>IF(A3113="c",LEFT(UPPER(B3113)&amp;REPT(" ",20),20),REPT(" ",20))</f>
        <v/>
      </c>
      <c r="X3113" s="10">
        <f>IF(A3113="C",LEFT(UPPER(C3113)&amp;REPT(" ",10),10)," ")</f>
        <v/>
      </c>
      <c r="Y3113" s="10">
        <f>IF(A3113="C",LEFT(UPPER(D3113)&amp;REPT(" ",2),2)," ")</f>
        <v/>
      </c>
      <c r="Z3113" s="10">
        <f>IF(A3113="C",LEFT(UPPER(E3113)&amp;REPT(" ",15),15)," ")</f>
        <v/>
      </c>
      <c r="AA3113" s="10">
        <f>REPT(" ",8)</f>
        <v/>
      </c>
      <c r="AB3113" s="10">
        <f>REPT(" ",4)</f>
        <v/>
      </c>
      <c r="AC3113" s="10">
        <f>LEFT(UPPER(H3113)&amp;REPT(" ",250),250)</f>
        <v/>
      </c>
      <c r="AD3113" s="10">
        <f>TEXT($G$2,"dd/mm/aaaa")</f>
        <v/>
      </c>
      <c r="AE3113" s="10">
        <f>REPT(" ",10)</f>
        <v/>
      </c>
      <c r="AF3113" s="10">
        <f>REPT(" ",20)</f>
        <v/>
      </c>
      <c r="AG3113" s="54">
        <f>REPT(" ",18-LEN(FIXED(F3113,2,TRUE)))&amp;FIXED(F3113,2,TRUE)</f>
        <v/>
      </c>
      <c r="AH3113" s="10">
        <f>LEN(AC3113)+LEN(AG3113)</f>
        <v/>
      </c>
      <c r="AI3113" s="10">
        <f>LEN(L3113)</f>
        <v/>
      </c>
    </row>
    <row r="3114">
      <c r="J3114" s="12">
        <f>IF(F3114&lt;&gt;0,"LANÇAR","")</f>
        <v/>
      </c>
      <c r="L3114" s="13">
        <f>N3114&amp;O3114&amp;P3114&amp;Q3114&amp;R3114&amp;S3114&amp;T3114&amp;U3114&amp;V3114&amp;W3114&amp;X3114&amp;Y3114&amp;Z3114&amp;AA3114&amp;AB3114&amp;AC3114&amp;AD3114&amp;AE3114&amp;AF3114&amp;AG3114</f>
        <v/>
      </c>
      <c r="N3114" s="10">
        <f>TEXT($B$6,"00")</f>
        <v/>
      </c>
      <c r="O3114" s="10">
        <f>REPT(" ",8)</f>
        <v/>
      </c>
      <c r="P3114" s="10">
        <f>RIGHT($B$4,2)</f>
        <v/>
      </c>
      <c r="Q3114" s="10">
        <f>RIGHT($B$5,3)</f>
        <v/>
      </c>
      <c r="R3114" s="10">
        <f>IF(A3114="D",LEFT(UPPER(B3114)&amp;REPT(" ",20),20),REPT(" ",20))</f>
        <v/>
      </c>
      <c r="S3114" s="10">
        <f>IF(A3114="D",LEFT(UPPER(C3114)&amp;REPT(" ",10),10)," ")</f>
        <v/>
      </c>
      <c r="T3114" s="10">
        <f>IF(A3114="D",LEFT(UPPER(D3114)&amp;REPT(" ",2),2)," ")</f>
        <v/>
      </c>
      <c r="U3114" s="10">
        <f>IF(A3114="D",LEFT(UPPER(E3114)&amp;REPT(" ",15),15)," ")</f>
        <v/>
      </c>
      <c r="V3114" s="10">
        <f>REPT(" ",24)</f>
        <v/>
      </c>
      <c r="W3114" s="10">
        <f>IF(A3114="c",LEFT(UPPER(B3114)&amp;REPT(" ",20),20),REPT(" ",20))</f>
        <v/>
      </c>
      <c r="X3114" s="10">
        <f>IF(A3114="C",LEFT(UPPER(C3114)&amp;REPT(" ",10),10)," ")</f>
        <v/>
      </c>
      <c r="Y3114" s="10">
        <f>IF(A3114="C",LEFT(UPPER(D3114)&amp;REPT(" ",2),2)," ")</f>
        <v/>
      </c>
      <c r="Z3114" s="10">
        <f>IF(A3114="C",LEFT(UPPER(E3114)&amp;REPT(" ",15),15)," ")</f>
        <v/>
      </c>
      <c r="AA3114" s="10">
        <f>REPT(" ",8)</f>
        <v/>
      </c>
      <c r="AB3114" s="10">
        <f>REPT(" ",4)</f>
        <v/>
      </c>
      <c r="AC3114" s="10">
        <f>LEFT(UPPER(H3114)&amp;REPT(" ",250),250)</f>
        <v/>
      </c>
      <c r="AD3114" s="10">
        <f>TEXT($G$2,"dd/mm/aaaa")</f>
        <v/>
      </c>
      <c r="AE3114" s="10">
        <f>REPT(" ",10)</f>
        <v/>
      </c>
      <c r="AF3114" s="10">
        <f>REPT(" ",20)</f>
        <v/>
      </c>
      <c r="AG3114" s="54">
        <f>REPT(" ",18-LEN(FIXED(F3114,2,TRUE)))&amp;FIXED(F3114,2,TRUE)</f>
        <v/>
      </c>
      <c r="AH3114" s="10">
        <f>LEN(AC3114)+LEN(AG3114)</f>
        <v/>
      </c>
      <c r="AI3114" s="10">
        <f>LEN(L3114)</f>
        <v/>
      </c>
    </row>
    <row r="3115">
      <c r="J3115" s="12">
        <f>IF(F3115&lt;&gt;0,"LANÇAR","")</f>
        <v/>
      </c>
      <c r="L3115" s="13">
        <f>N3115&amp;O3115&amp;P3115&amp;Q3115&amp;R3115&amp;S3115&amp;T3115&amp;U3115&amp;V3115&amp;W3115&amp;X3115&amp;Y3115&amp;Z3115&amp;AA3115&amp;AB3115&amp;AC3115&amp;AD3115&amp;AE3115&amp;AF3115&amp;AG3115</f>
        <v/>
      </c>
      <c r="N3115" s="10">
        <f>TEXT($B$6,"00")</f>
        <v/>
      </c>
      <c r="O3115" s="10">
        <f>REPT(" ",8)</f>
        <v/>
      </c>
      <c r="P3115" s="10">
        <f>RIGHT($B$4,2)</f>
        <v/>
      </c>
      <c r="Q3115" s="10">
        <f>RIGHT($B$5,3)</f>
        <v/>
      </c>
      <c r="R3115" s="10">
        <f>IF(A3115="D",LEFT(UPPER(B3115)&amp;REPT(" ",20),20),REPT(" ",20))</f>
        <v/>
      </c>
      <c r="S3115" s="10">
        <f>IF(A3115="D",LEFT(UPPER(C3115)&amp;REPT(" ",10),10)," ")</f>
        <v/>
      </c>
      <c r="T3115" s="10">
        <f>IF(A3115="D",LEFT(UPPER(D3115)&amp;REPT(" ",2),2)," ")</f>
        <v/>
      </c>
      <c r="U3115" s="10">
        <f>IF(A3115="D",LEFT(UPPER(E3115)&amp;REPT(" ",15),15)," ")</f>
        <v/>
      </c>
      <c r="V3115" s="10">
        <f>REPT(" ",24)</f>
        <v/>
      </c>
      <c r="W3115" s="10">
        <f>IF(A3115="c",LEFT(UPPER(B3115)&amp;REPT(" ",20),20),REPT(" ",20))</f>
        <v/>
      </c>
      <c r="X3115" s="10">
        <f>IF(A3115="C",LEFT(UPPER(C3115)&amp;REPT(" ",10),10)," ")</f>
        <v/>
      </c>
      <c r="Y3115" s="10">
        <f>IF(A3115="C",LEFT(UPPER(D3115)&amp;REPT(" ",2),2)," ")</f>
        <v/>
      </c>
      <c r="Z3115" s="10">
        <f>IF(A3115="C",LEFT(UPPER(E3115)&amp;REPT(" ",15),15)," ")</f>
        <v/>
      </c>
      <c r="AA3115" s="10">
        <f>REPT(" ",8)</f>
        <v/>
      </c>
      <c r="AB3115" s="10">
        <f>REPT(" ",4)</f>
        <v/>
      </c>
      <c r="AC3115" s="10">
        <f>LEFT(UPPER(H3115)&amp;REPT(" ",250),250)</f>
        <v/>
      </c>
      <c r="AD3115" s="10">
        <f>TEXT($G$2,"dd/mm/aaaa")</f>
        <v/>
      </c>
      <c r="AE3115" s="10">
        <f>REPT(" ",10)</f>
        <v/>
      </c>
      <c r="AF3115" s="10">
        <f>REPT(" ",20)</f>
        <v/>
      </c>
      <c r="AG3115" s="54">
        <f>REPT(" ",18-LEN(FIXED(F3115,2,TRUE)))&amp;FIXED(F3115,2,TRUE)</f>
        <v/>
      </c>
      <c r="AH3115" s="10">
        <f>LEN(AC3115)+LEN(AG3115)</f>
        <v/>
      </c>
      <c r="AI3115" s="10">
        <f>LEN(L3115)</f>
        <v/>
      </c>
    </row>
    <row r="3116">
      <c r="J3116" s="12">
        <f>IF(F3116&lt;&gt;0,"LANÇAR","")</f>
        <v/>
      </c>
      <c r="L3116" s="13">
        <f>N3116&amp;O3116&amp;P3116&amp;Q3116&amp;R3116&amp;S3116&amp;T3116&amp;U3116&amp;V3116&amp;W3116&amp;X3116&amp;Y3116&amp;Z3116&amp;AA3116&amp;AB3116&amp;AC3116&amp;AD3116&amp;AE3116&amp;AF3116&amp;AG3116</f>
        <v/>
      </c>
      <c r="N3116" s="10">
        <f>TEXT($B$6,"00")</f>
        <v/>
      </c>
      <c r="O3116" s="10">
        <f>REPT(" ",8)</f>
        <v/>
      </c>
      <c r="P3116" s="10">
        <f>RIGHT($B$4,2)</f>
        <v/>
      </c>
      <c r="Q3116" s="10">
        <f>RIGHT($B$5,3)</f>
        <v/>
      </c>
      <c r="R3116" s="10">
        <f>IF(A3116="D",LEFT(UPPER(B3116)&amp;REPT(" ",20),20),REPT(" ",20))</f>
        <v/>
      </c>
      <c r="S3116" s="10">
        <f>IF(A3116="D",LEFT(UPPER(C3116)&amp;REPT(" ",10),10)," ")</f>
        <v/>
      </c>
      <c r="T3116" s="10">
        <f>IF(A3116="D",LEFT(UPPER(D3116)&amp;REPT(" ",2),2)," ")</f>
        <v/>
      </c>
      <c r="U3116" s="10">
        <f>IF(A3116="D",LEFT(UPPER(E3116)&amp;REPT(" ",15),15)," ")</f>
        <v/>
      </c>
      <c r="V3116" s="10">
        <f>REPT(" ",24)</f>
        <v/>
      </c>
      <c r="W3116" s="10">
        <f>IF(A3116="c",LEFT(UPPER(B3116)&amp;REPT(" ",20),20),REPT(" ",20))</f>
        <v/>
      </c>
      <c r="X3116" s="10">
        <f>IF(A3116="C",LEFT(UPPER(C3116)&amp;REPT(" ",10),10)," ")</f>
        <v/>
      </c>
      <c r="Y3116" s="10">
        <f>IF(A3116="C",LEFT(UPPER(D3116)&amp;REPT(" ",2),2)," ")</f>
        <v/>
      </c>
      <c r="Z3116" s="10">
        <f>IF(A3116="C",LEFT(UPPER(E3116)&amp;REPT(" ",15),15)," ")</f>
        <v/>
      </c>
      <c r="AA3116" s="10">
        <f>REPT(" ",8)</f>
        <v/>
      </c>
      <c r="AB3116" s="10">
        <f>REPT(" ",4)</f>
        <v/>
      </c>
      <c r="AC3116" s="10">
        <f>LEFT(UPPER(H3116)&amp;REPT(" ",250),250)</f>
        <v/>
      </c>
      <c r="AD3116" s="10">
        <f>TEXT($G$2,"dd/mm/aaaa")</f>
        <v/>
      </c>
      <c r="AE3116" s="10">
        <f>REPT(" ",10)</f>
        <v/>
      </c>
      <c r="AF3116" s="10">
        <f>REPT(" ",20)</f>
        <v/>
      </c>
      <c r="AG3116" s="54">
        <f>REPT(" ",18-LEN(FIXED(F3116,2,TRUE)))&amp;FIXED(F3116,2,TRUE)</f>
        <v/>
      </c>
      <c r="AH3116" s="10">
        <f>LEN(AC3116)+LEN(AG3116)</f>
        <v/>
      </c>
      <c r="AI3116" s="10">
        <f>LEN(L3116)</f>
        <v/>
      </c>
    </row>
    <row r="3117">
      <c r="J3117" s="12">
        <f>IF(F3117&lt;&gt;0,"LANÇAR","")</f>
        <v/>
      </c>
      <c r="L3117" s="13">
        <f>N3117&amp;O3117&amp;P3117&amp;Q3117&amp;R3117&amp;S3117&amp;T3117&amp;U3117&amp;V3117&amp;W3117&amp;X3117&amp;Y3117&amp;Z3117&amp;AA3117&amp;AB3117&amp;AC3117&amp;AD3117&amp;AE3117&amp;AF3117&amp;AG3117</f>
        <v/>
      </c>
      <c r="N3117" s="10">
        <f>TEXT($B$6,"00")</f>
        <v/>
      </c>
      <c r="O3117" s="10">
        <f>REPT(" ",8)</f>
        <v/>
      </c>
      <c r="P3117" s="10">
        <f>RIGHT($B$4,2)</f>
        <v/>
      </c>
      <c r="Q3117" s="10">
        <f>RIGHT($B$5,3)</f>
        <v/>
      </c>
      <c r="R3117" s="10">
        <f>IF(A3117="D",LEFT(UPPER(B3117)&amp;REPT(" ",20),20),REPT(" ",20))</f>
        <v/>
      </c>
      <c r="S3117" s="10">
        <f>IF(A3117="D",LEFT(UPPER(C3117)&amp;REPT(" ",10),10)," ")</f>
        <v/>
      </c>
      <c r="T3117" s="10">
        <f>IF(A3117="D",LEFT(UPPER(D3117)&amp;REPT(" ",2),2)," ")</f>
        <v/>
      </c>
      <c r="U3117" s="10">
        <f>IF(A3117="D",LEFT(UPPER(E3117)&amp;REPT(" ",15),15)," ")</f>
        <v/>
      </c>
      <c r="V3117" s="10">
        <f>REPT(" ",24)</f>
        <v/>
      </c>
      <c r="W3117" s="10">
        <f>IF(A3117="c",LEFT(UPPER(B3117)&amp;REPT(" ",20),20),REPT(" ",20))</f>
        <v/>
      </c>
      <c r="X3117" s="10">
        <f>IF(A3117="C",LEFT(UPPER(C3117)&amp;REPT(" ",10),10)," ")</f>
        <v/>
      </c>
      <c r="Y3117" s="10">
        <f>IF(A3117="C",LEFT(UPPER(D3117)&amp;REPT(" ",2),2)," ")</f>
        <v/>
      </c>
      <c r="Z3117" s="10">
        <f>IF(A3117="C",LEFT(UPPER(E3117)&amp;REPT(" ",15),15)," ")</f>
        <v/>
      </c>
      <c r="AA3117" s="10">
        <f>REPT(" ",8)</f>
        <v/>
      </c>
      <c r="AB3117" s="10">
        <f>REPT(" ",4)</f>
        <v/>
      </c>
      <c r="AC3117" s="10">
        <f>LEFT(UPPER(H3117)&amp;REPT(" ",250),250)</f>
        <v/>
      </c>
      <c r="AD3117" s="10">
        <f>TEXT($G$2,"dd/mm/aaaa")</f>
        <v/>
      </c>
      <c r="AE3117" s="10">
        <f>REPT(" ",10)</f>
        <v/>
      </c>
      <c r="AF3117" s="10">
        <f>REPT(" ",20)</f>
        <v/>
      </c>
      <c r="AG3117" s="54">
        <f>REPT(" ",18-LEN(FIXED(F3117,2,TRUE)))&amp;FIXED(F3117,2,TRUE)</f>
        <v/>
      </c>
      <c r="AH3117" s="10">
        <f>LEN(AC3117)+LEN(AG3117)</f>
        <v/>
      </c>
      <c r="AI3117" s="10">
        <f>LEN(L3117)</f>
        <v/>
      </c>
    </row>
    <row r="3118">
      <c r="J3118" s="12">
        <f>IF(F3118&lt;&gt;0,"LANÇAR","")</f>
        <v/>
      </c>
      <c r="L3118" s="13">
        <f>N3118&amp;O3118&amp;P3118&amp;Q3118&amp;R3118&amp;S3118&amp;T3118&amp;U3118&amp;V3118&amp;W3118&amp;X3118&amp;Y3118&amp;Z3118&amp;AA3118&amp;AB3118&amp;AC3118&amp;AD3118&amp;AE3118&amp;AF3118&amp;AG3118</f>
        <v/>
      </c>
      <c r="N3118" s="10">
        <f>TEXT($B$6,"00")</f>
        <v/>
      </c>
      <c r="O3118" s="10">
        <f>REPT(" ",8)</f>
        <v/>
      </c>
      <c r="P3118" s="10">
        <f>RIGHT($B$4,2)</f>
        <v/>
      </c>
      <c r="Q3118" s="10">
        <f>RIGHT($B$5,3)</f>
        <v/>
      </c>
      <c r="R3118" s="10">
        <f>IF(A3118="D",LEFT(UPPER(B3118)&amp;REPT(" ",20),20),REPT(" ",20))</f>
        <v/>
      </c>
      <c r="S3118" s="10">
        <f>IF(A3118="D",LEFT(UPPER(C3118)&amp;REPT(" ",10),10)," ")</f>
        <v/>
      </c>
      <c r="T3118" s="10">
        <f>IF(A3118="D",LEFT(UPPER(D3118)&amp;REPT(" ",2),2)," ")</f>
        <v/>
      </c>
      <c r="U3118" s="10">
        <f>IF(A3118="D",LEFT(UPPER(E3118)&amp;REPT(" ",15),15)," ")</f>
        <v/>
      </c>
      <c r="V3118" s="10">
        <f>REPT(" ",24)</f>
        <v/>
      </c>
      <c r="W3118" s="10">
        <f>IF(A3118="c",LEFT(UPPER(B3118)&amp;REPT(" ",20),20),REPT(" ",20))</f>
        <v/>
      </c>
      <c r="X3118" s="10">
        <f>IF(A3118="C",LEFT(UPPER(C3118)&amp;REPT(" ",10),10)," ")</f>
        <v/>
      </c>
      <c r="Y3118" s="10">
        <f>IF(A3118="C",LEFT(UPPER(D3118)&amp;REPT(" ",2),2)," ")</f>
        <v/>
      </c>
      <c r="Z3118" s="10">
        <f>IF(A3118="C",LEFT(UPPER(E3118)&amp;REPT(" ",15),15)," ")</f>
        <v/>
      </c>
      <c r="AA3118" s="10">
        <f>REPT(" ",8)</f>
        <v/>
      </c>
      <c r="AB3118" s="10">
        <f>REPT(" ",4)</f>
        <v/>
      </c>
      <c r="AC3118" s="10">
        <f>LEFT(UPPER(H3118)&amp;REPT(" ",250),250)</f>
        <v/>
      </c>
      <c r="AD3118" s="10">
        <f>TEXT($G$2,"dd/mm/aaaa")</f>
        <v/>
      </c>
      <c r="AE3118" s="10">
        <f>REPT(" ",10)</f>
        <v/>
      </c>
      <c r="AF3118" s="10">
        <f>REPT(" ",20)</f>
        <v/>
      </c>
      <c r="AG3118" s="54">
        <f>REPT(" ",18-LEN(FIXED(F3118,2,TRUE)))&amp;FIXED(F3118,2,TRUE)</f>
        <v/>
      </c>
      <c r="AH3118" s="10">
        <f>LEN(AC3118)+LEN(AG3118)</f>
        <v/>
      </c>
      <c r="AI3118" s="10">
        <f>LEN(L3118)</f>
        <v/>
      </c>
    </row>
    <row r="3119">
      <c r="J3119" s="12">
        <f>IF(F3119&lt;&gt;0,"LANÇAR","")</f>
        <v/>
      </c>
      <c r="L3119" s="13">
        <f>N3119&amp;O3119&amp;P3119&amp;Q3119&amp;R3119&amp;S3119&amp;T3119&amp;U3119&amp;V3119&amp;W3119&amp;X3119&amp;Y3119&amp;Z3119&amp;AA3119&amp;AB3119&amp;AC3119&amp;AD3119&amp;AE3119&amp;AF3119&amp;AG3119</f>
        <v/>
      </c>
      <c r="N3119" s="10">
        <f>TEXT($B$6,"00")</f>
        <v/>
      </c>
      <c r="O3119" s="10">
        <f>REPT(" ",8)</f>
        <v/>
      </c>
      <c r="P3119" s="10">
        <f>RIGHT($B$4,2)</f>
        <v/>
      </c>
      <c r="Q3119" s="10">
        <f>RIGHT($B$5,3)</f>
        <v/>
      </c>
      <c r="R3119" s="10">
        <f>IF(A3119="D",LEFT(UPPER(B3119)&amp;REPT(" ",20),20),REPT(" ",20))</f>
        <v/>
      </c>
      <c r="S3119" s="10">
        <f>IF(A3119="D",LEFT(UPPER(C3119)&amp;REPT(" ",10),10)," ")</f>
        <v/>
      </c>
      <c r="T3119" s="10">
        <f>IF(A3119="D",LEFT(UPPER(D3119)&amp;REPT(" ",2),2)," ")</f>
        <v/>
      </c>
      <c r="U3119" s="10">
        <f>IF(A3119="D",LEFT(UPPER(E3119)&amp;REPT(" ",15),15)," ")</f>
        <v/>
      </c>
      <c r="V3119" s="10">
        <f>REPT(" ",24)</f>
        <v/>
      </c>
      <c r="W3119" s="10">
        <f>IF(A3119="c",LEFT(UPPER(B3119)&amp;REPT(" ",20),20),REPT(" ",20))</f>
        <v/>
      </c>
      <c r="X3119" s="10">
        <f>IF(A3119="C",LEFT(UPPER(C3119)&amp;REPT(" ",10),10)," ")</f>
        <v/>
      </c>
      <c r="Y3119" s="10">
        <f>IF(A3119="C",LEFT(UPPER(D3119)&amp;REPT(" ",2),2)," ")</f>
        <v/>
      </c>
      <c r="Z3119" s="10">
        <f>IF(A3119="C",LEFT(UPPER(E3119)&amp;REPT(" ",15),15)," ")</f>
        <v/>
      </c>
      <c r="AA3119" s="10">
        <f>REPT(" ",8)</f>
        <v/>
      </c>
      <c r="AB3119" s="10">
        <f>REPT(" ",4)</f>
        <v/>
      </c>
      <c r="AC3119" s="10">
        <f>LEFT(UPPER(H3119)&amp;REPT(" ",250),250)</f>
        <v/>
      </c>
      <c r="AD3119" s="10">
        <f>TEXT($G$2,"dd/mm/aaaa")</f>
        <v/>
      </c>
      <c r="AE3119" s="10">
        <f>REPT(" ",10)</f>
        <v/>
      </c>
      <c r="AF3119" s="10">
        <f>REPT(" ",20)</f>
        <v/>
      </c>
      <c r="AG3119" s="54">
        <f>REPT(" ",18-LEN(FIXED(F3119,2,TRUE)))&amp;FIXED(F3119,2,TRUE)</f>
        <v/>
      </c>
      <c r="AH3119" s="10">
        <f>LEN(AC3119)+LEN(AG3119)</f>
        <v/>
      </c>
      <c r="AI3119" s="10">
        <f>LEN(L3119)</f>
        <v/>
      </c>
    </row>
    <row r="3120">
      <c r="J3120" s="12">
        <f>IF(F3120&lt;&gt;0,"LANÇAR","")</f>
        <v/>
      </c>
      <c r="L3120" s="13">
        <f>N3120&amp;O3120&amp;P3120&amp;Q3120&amp;R3120&amp;S3120&amp;T3120&amp;U3120&amp;V3120&amp;W3120&amp;X3120&amp;Y3120&amp;Z3120&amp;AA3120&amp;AB3120&amp;AC3120&amp;AD3120&amp;AE3120&amp;AF3120&amp;AG3120</f>
        <v/>
      </c>
      <c r="N3120" s="10">
        <f>TEXT($B$6,"00")</f>
        <v/>
      </c>
      <c r="O3120" s="10">
        <f>REPT(" ",8)</f>
        <v/>
      </c>
      <c r="P3120" s="10">
        <f>RIGHT($B$4,2)</f>
        <v/>
      </c>
      <c r="Q3120" s="10">
        <f>RIGHT($B$5,3)</f>
        <v/>
      </c>
      <c r="R3120" s="10">
        <f>IF(A3120="D",LEFT(UPPER(B3120)&amp;REPT(" ",20),20),REPT(" ",20))</f>
        <v/>
      </c>
      <c r="S3120" s="10">
        <f>IF(A3120="D",LEFT(UPPER(C3120)&amp;REPT(" ",10),10)," ")</f>
        <v/>
      </c>
      <c r="T3120" s="10">
        <f>IF(A3120="D",LEFT(UPPER(D3120)&amp;REPT(" ",2),2)," ")</f>
        <v/>
      </c>
      <c r="U3120" s="10">
        <f>IF(A3120="D",LEFT(UPPER(E3120)&amp;REPT(" ",15),15)," ")</f>
        <v/>
      </c>
      <c r="V3120" s="10">
        <f>REPT(" ",24)</f>
        <v/>
      </c>
      <c r="W3120" s="10">
        <f>IF(A3120="c",LEFT(UPPER(B3120)&amp;REPT(" ",20),20),REPT(" ",20))</f>
        <v/>
      </c>
      <c r="X3120" s="10">
        <f>IF(A3120="C",LEFT(UPPER(C3120)&amp;REPT(" ",10),10)," ")</f>
        <v/>
      </c>
      <c r="Y3120" s="10">
        <f>IF(A3120="C",LEFT(UPPER(D3120)&amp;REPT(" ",2),2)," ")</f>
        <v/>
      </c>
      <c r="Z3120" s="10">
        <f>IF(A3120="C",LEFT(UPPER(E3120)&amp;REPT(" ",15),15)," ")</f>
        <v/>
      </c>
      <c r="AA3120" s="10">
        <f>REPT(" ",8)</f>
        <v/>
      </c>
      <c r="AB3120" s="10">
        <f>REPT(" ",4)</f>
        <v/>
      </c>
      <c r="AC3120" s="10">
        <f>LEFT(UPPER(H3120)&amp;REPT(" ",250),250)</f>
        <v/>
      </c>
      <c r="AD3120" s="10">
        <f>TEXT($G$2,"dd/mm/aaaa")</f>
        <v/>
      </c>
      <c r="AE3120" s="10">
        <f>REPT(" ",10)</f>
        <v/>
      </c>
      <c r="AF3120" s="10">
        <f>REPT(" ",20)</f>
        <v/>
      </c>
      <c r="AG3120" s="54">
        <f>REPT(" ",18-LEN(FIXED(F3120,2,TRUE)))&amp;FIXED(F3120,2,TRUE)</f>
        <v/>
      </c>
      <c r="AH3120" s="10">
        <f>LEN(AC3120)+LEN(AG3120)</f>
        <v/>
      </c>
      <c r="AI3120" s="10">
        <f>LEN(L3120)</f>
        <v/>
      </c>
    </row>
    <row r="3121">
      <c r="J3121" s="12">
        <f>IF(F3121&lt;&gt;0,"LANÇAR","")</f>
        <v/>
      </c>
      <c r="L3121" s="13">
        <f>N3121&amp;O3121&amp;P3121&amp;Q3121&amp;R3121&amp;S3121&amp;T3121&amp;U3121&amp;V3121&amp;W3121&amp;X3121&amp;Y3121&amp;Z3121&amp;AA3121&amp;AB3121&amp;AC3121&amp;AD3121&amp;AE3121&amp;AF3121&amp;AG3121</f>
        <v/>
      </c>
      <c r="N3121" s="10">
        <f>TEXT($B$6,"00")</f>
        <v/>
      </c>
      <c r="O3121" s="10">
        <f>REPT(" ",8)</f>
        <v/>
      </c>
      <c r="P3121" s="10">
        <f>RIGHT($B$4,2)</f>
        <v/>
      </c>
      <c r="Q3121" s="10">
        <f>RIGHT($B$5,3)</f>
        <v/>
      </c>
      <c r="R3121" s="10">
        <f>IF(A3121="D",LEFT(UPPER(B3121)&amp;REPT(" ",20),20),REPT(" ",20))</f>
        <v/>
      </c>
      <c r="S3121" s="10">
        <f>IF(A3121="D",LEFT(UPPER(C3121)&amp;REPT(" ",10),10)," ")</f>
        <v/>
      </c>
      <c r="T3121" s="10">
        <f>IF(A3121="D",LEFT(UPPER(D3121)&amp;REPT(" ",2),2)," ")</f>
        <v/>
      </c>
      <c r="U3121" s="10">
        <f>IF(A3121="D",LEFT(UPPER(E3121)&amp;REPT(" ",15),15)," ")</f>
        <v/>
      </c>
      <c r="V3121" s="10">
        <f>REPT(" ",24)</f>
        <v/>
      </c>
      <c r="W3121" s="10">
        <f>IF(A3121="c",LEFT(UPPER(B3121)&amp;REPT(" ",20),20),REPT(" ",20))</f>
        <v/>
      </c>
      <c r="X3121" s="10">
        <f>IF(A3121="C",LEFT(UPPER(C3121)&amp;REPT(" ",10),10)," ")</f>
        <v/>
      </c>
      <c r="Y3121" s="10">
        <f>IF(A3121="C",LEFT(UPPER(D3121)&amp;REPT(" ",2),2)," ")</f>
        <v/>
      </c>
      <c r="Z3121" s="10">
        <f>IF(A3121="C",LEFT(UPPER(E3121)&amp;REPT(" ",15),15)," ")</f>
        <v/>
      </c>
      <c r="AA3121" s="10">
        <f>REPT(" ",8)</f>
        <v/>
      </c>
      <c r="AB3121" s="10">
        <f>REPT(" ",4)</f>
        <v/>
      </c>
      <c r="AC3121" s="10">
        <f>LEFT(UPPER(H3121)&amp;REPT(" ",250),250)</f>
        <v/>
      </c>
      <c r="AD3121" s="10">
        <f>TEXT($G$2,"dd/mm/aaaa")</f>
        <v/>
      </c>
      <c r="AE3121" s="10">
        <f>REPT(" ",10)</f>
        <v/>
      </c>
      <c r="AF3121" s="10">
        <f>REPT(" ",20)</f>
        <v/>
      </c>
      <c r="AG3121" s="54">
        <f>REPT(" ",18-LEN(FIXED(F3121,2,TRUE)))&amp;FIXED(F3121,2,TRUE)</f>
        <v/>
      </c>
      <c r="AH3121" s="10">
        <f>LEN(AC3121)+LEN(AG3121)</f>
        <v/>
      </c>
      <c r="AI3121" s="10">
        <f>LEN(L3121)</f>
        <v/>
      </c>
    </row>
    <row r="3122">
      <c r="J3122" s="12">
        <f>IF(F3122&lt;&gt;0,"LANÇAR","")</f>
        <v/>
      </c>
      <c r="L3122" s="13">
        <f>N3122&amp;O3122&amp;P3122&amp;Q3122&amp;R3122&amp;S3122&amp;T3122&amp;U3122&amp;V3122&amp;W3122&amp;X3122&amp;Y3122&amp;Z3122&amp;AA3122&amp;AB3122&amp;AC3122&amp;AD3122&amp;AE3122&amp;AF3122&amp;AG3122</f>
        <v/>
      </c>
      <c r="N3122" s="10">
        <f>TEXT($B$6,"00")</f>
        <v/>
      </c>
      <c r="O3122" s="10">
        <f>REPT(" ",8)</f>
        <v/>
      </c>
      <c r="P3122" s="10">
        <f>RIGHT($B$4,2)</f>
        <v/>
      </c>
      <c r="Q3122" s="10">
        <f>RIGHT($B$5,3)</f>
        <v/>
      </c>
      <c r="R3122" s="10">
        <f>IF(A3122="D",LEFT(UPPER(B3122)&amp;REPT(" ",20),20),REPT(" ",20))</f>
        <v/>
      </c>
      <c r="S3122" s="10">
        <f>IF(A3122="D",LEFT(UPPER(C3122)&amp;REPT(" ",10),10)," ")</f>
        <v/>
      </c>
      <c r="T3122" s="10">
        <f>IF(A3122="D",LEFT(UPPER(D3122)&amp;REPT(" ",2),2)," ")</f>
        <v/>
      </c>
      <c r="U3122" s="10">
        <f>IF(A3122="D",LEFT(UPPER(E3122)&amp;REPT(" ",15),15)," ")</f>
        <v/>
      </c>
      <c r="V3122" s="10">
        <f>REPT(" ",24)</f>
        <v/>
      </c>
      <c r="W3122" s="10">
        <f>IF(A3122="c",LEFT(UPPER(B3122)&amp;REPT(" ",20),20),REPT(" ",20))</f>
        <v/>
      </c>
      <c r="X3122" s="10">
        <f>IF(A3122="C",LEFT(UPPER(C3122)&amp;REPT(" ",10),10)," ")</f>
        <v/>
      </c>
      <c r="Y3122" s="10">
        <f>IF(A3122="C",LEFT(UPPER(D3122)&amp;REPT(" ",2),2)," ")</f>
        <v/>
      </c>
      <c r="Z3122" s="10">
        <f>IF(A3122="C",LEFT(UPPER(E3122)&amp;REPT(" ",15),15)," ")</f>
        <v/>
      </c>
      <c r="AA3122" s="10">
        <f>REPT(" ",8)</f>
        <v/>
      </c>
      <c r="AB3122" s="10">
        <f>REPT(" ",4)</f>
        <v/>
      </c>
      <c r="AC3122" s="10">
        <f>LEFT(UPPER(H3122)&amp;REPT(" ",250),250)</f>
        <v/>
      </c>
      <c r="AD3122" s="10">
        <f>TEXT($G$2,"dd/mm/aaaa")</f>
        <v/>
      </c>
      <c r="AE3122" s="10">
        <f>REPT(" ",10)</f>
        <v/>
      </c>
      <c r="AF3122" s="10">
        <f>REPT(" ",20)</f>
        <v/>
      </c>
      <c r="AG3122" s="54">
        <f>REPT(" ",18-LEN(FIXED(F3122,2,TRUE)))&amp;FIXED(F3122,2,TRUE)</f>
        <v/>
      </c>
      <c r="AH3122" s="10">
        <f>LEN(AC3122)+LEN(AG3122)</f>
        <v/>
      </c>
      <c r="AI3122" s="10">
        <f>LEN(L3122)</f>
        <v/>
      </c>
    </row>
    <row r="3123">
      <c r="J3123" s="12">
        <f>IF(F3123&lt;&gt;0,"LANÇAR","")</f>
        <v/>
      </c>
      <c r="L3123" s="13">
        <f>N3123&amp;O3123&amp;P3123&amp;Q3123&amp;R3123&amp;S3123&amp;T3123&amp;U3123&amp;V3123&amp;W3123&amp;X3123&amp;Y3123&amp;Z3123&amp;AA3123&amp;AB3123&amp;AC3123&amp;AD3123&amp;AE3123&amp;AF3123&amp;AG3123</f>
        <v/>
      </c>
      <c r="N3123" s="10">
        <f>TEXT($B$6,"00")</f>
        <v/>
      </c>
      <c r="O3123" s="10">
        <f>REPT(" ",8)</f>
        <v/>
      </c>
      <c r="P3123" s="10">
        <f>RIGHT($B$4,2)</f>
        <v/>
      </c>
      <c r="Q3123" s="10">
        <f>RIGHT($B$5,3)</f>
        <v/>
      </c>
      <c r="R3123" s="10">
        <f>IF(A3123="D",LEFT(UPPER(B3123)&amp;REPT(" ",20),20),REPT(" ",20))</f>
        <v/>
      </c>
      <c r="S3123" s="10">
        <f>IF(A3123="D",LEFT(UPPER(C3123)&amp;REPT(" ",10),10)," ")</f>
        <v/>
      </c>
      <c r="T3123" s="10">
        <f>IF(A3123="D",LEFT(UPPER(D3123)&amp;REPT(" ",2),2)," ")</f>
        <v/>
      </c>
      <c r="U3123" s="10">
        <f>IF(A3123="D",LEFT(UPPER(E3123)&amp;REPT(" ",15),15)," ")</f>
        <v/>
      </c>
      <c r="V3123" s="10">
        <f>REPT(" ",24)</f>
        <v/>
      </c>
      <c r="W3123" s="10">
        <f>IF(A3123="c",LEFT(UPPER(B3123)&amp;REPT(" ",20),20),REPT(" ",20))</f>
        <v/>
      </c>
      <c r="X3123" s="10">
        <f>IF(A3123="C",LEFT(UPPER(C3123)&amp;REPT(" ",10),10)," ")</f>
        <v/>
      </c>
      <c r="Y3123" s="10">
        <f>IF(A3123="C",LEFT(UPPER(D3123)&amp;REPT(" ",2),2)," ")</f>
        <v/>
      </c>
      <c r="Z3123" s="10">
        <f>IF(A3123="C",LEFT(UPPER(E3123)&amp;REPT(" ",15),15)," ")</f>
        <v/>
      </c>
      <c r="AA3123" s="10">
        <f>REPT(" ",8)</f>
        <v/>
      </c>
      <c r="AB3123" s="10">
        <f>REPT(" ",4)</f>
        <v/>
      </c>
      <c r="AC3123" s="10">
        <f>LEFT(UPPER(H3123)&amp;REPT(" ",250),250)</f>
        <v/>
      </c>
      <c r="AD3123" s="10">
        <f>TEXT($G$2,"dd/mm/aaaa")</f>
        <v/>
      </c>
      <c r="AE3123" s="10">
        <f>REPT(" ",10)</f>
        <v/>
      </c>
      <c r="AF3123" s="10">
        <f>REPT(" ",20)</f>
        <v/>
      </c>
      <c r="AG3123" s="54">
        <f>REPT(" ",18-LEN(FIXED(F3123,2,TRUE)))&amp;FIXED(F3123,2,TRUE)</f>
        <v/>
      </c>
      <c r="AH3123" s="10">
        <f>LEN(AC3123)+LEN(AG3123)</f>
        <v/>
      </c>
      <c r="AI3123" s="10">
        <f>LEN(L3123)</f>
        <v/>
      </c>
    </row>
    <row r="3124">
      <c r="J3124" s="12">
        <f>IF(F3124&lt;&gt;0,"LANÇAR","")</f>
        <v/>
      </c>
      <c r="L3124" s="13">
        <f>N3124&amp;O3124&amp;P3124&amp;Q3124&amp;R3124&amp;S3124&amp;T3124&amp;U3124&amp;V3124&amp;W3124&amp;X3124&amp;Y3124&amp;Z3124&amp;AA3124&amp;AB3124&amp;AC3124&amp;AD3124&amp;AE3124&amp;AF3124&amp;AG3124</f>
        <v/>
      </c>
      <c r="N3124" s="10">
        <f>TEXT($B$6,"00")</f>
        <v/>
      </c>
      <c r="O3124" s="10">
        <f>REPT(" ",8)</f>
        <v/>
      </c>
      <c r="P3124" s="10">
        <f>RIGHT($B$4,2)</f>
        <v/>
      </c>
      <c r="Q3124" s="10">
        <f>RIGHT($B$5,3)</f>
        <v/>
      </c>
      <c r="R3124" s="10">
        <f>IF(A3124="D",LEFT(UPPER(B3124)&amp;REPT(" ",20),20),REPT(" ",20))</f>
        <v/>
      </c>
      <c r="S3124" s="10">
        <f>IF(A3124="D",LEFT(UPPER(C3124)&amp;REPT(" ",10),10)," ")</f>
        <v/>
      </c>
      <c r="T3124" s="10">
        <f>IF(A3124="D",LEFT(UPPER(D3124)&amp;REPT(" ",2),2)," ")</f>
        <v/>
      </c>
      <c r="U3124" s="10">
        <f>IF(A3124="D",LEFT(UPPER(E3124)&amp;REPT(" ",15),15)," ")</f>
        <v/>
      </c>
      <c r="V3124" s="10">
        <f>REPT(" ",24)</f>
        <v/>
      </c>
      <c r="W3124" s="10">
        <f>IF(A3124="c",LEFT(UPPER(B3124)&amp;REPT(" ",20),20),REPT(" ",20))</f>
        <v/>
      </c>
      <c r="X3124" s="10">
        <f>IF(A3124="C",LEFT(UPPER(C3124)&amp;REPT(" ",10),10)," ")</f>
        <v/>
      </c>
      <c r="Y3124" s="10">
        <f>IF(A3124="C",LEFT(UPPER(D3124)&amp;REPT(" ",2),2)," ")</f>
        <v/>
      </c>
      <c r="Z3124" s="10">
        <f>IF(A3124="C",LEFT(UPPER(E3124)&amp;REPT(" ",15),15)," ")</f>
        <v/>
      </c>
      <c r="AA3124" s="10">
        <f>REPT(" ",8)</f>
        <v/>
      </c>
      <c r="AB3124" s="10">
        <f>REPT(" ",4)</f>
        <v/>
      </c>
      <c r="AC3124" s="10">
        <f>LEFT(UPPER(H3124)&amp;REPT(" ",250),250)</f>
        <v/>
      </c>
      <c r="AD3124" s="10">
        <f>TEXT($G$2,"dd/mm/aaaa")</f>
        <v/>
      </c>
      <c r="AE3124" s="10">
        <f>REPT(" ",10)</f>
        <v/>
      </c>
      <c r="AF3124" s="10">
        <f>REPT(" ",20)</f>
        <v/>
      </c>
      <c r="AG3124" s="54">
        <f>REPT(" ",18-LEN(FIXED(F3124,2,TRUE)))&amp;FIXED(F3124,2,TRUE)</f>
        <v/>
      </c>
      <c r="AH3124" s="10">
        <f>LEN(AC3124)+LEN(AG3124)</f>
        <v/>
      </c>
      <c r="AI3124" s="10">
        <f>LEN(L3124)</f>
        <v/>
      </c>
    </row>
    <row r="3125">
      <c r="J3125" s="12">
        <f>IF(F3125&lt;&gt;0,"LANÇAR","")</f>
        <v/>
      </c>
      <c r="L3125" s="13">
        <f>N3125&amp;O3125&amp;P3125&amp;Q3125&amp;R3125&amp;S3125&amp;T3125&amp;U3125&amp;V3125&amp;W3125&amp;X3125&amp;Y3125&amp;Z3125&amp;AA3125&amp;AB3125&amp;AC3125&amp;AD3125&amp;AE3125&amp;AF3125&amp;AG3125</f>
        <v/>
      </c>
      <c r="N3125" s="10">
        <f>TEXT($B$6,"00")</f>
        <v/>
      </c>
      <c r="O3125" s="10">
        <f>REPT(" ",8)</f>
        <v/>
      </c>
      <c r="P3125" s="10">
        <f>RIGHT($B$4,2)</f>
        <v/>
      </c>
      <c r="Q3125" s="10">
        <f>RIGHT($B$5,3)</f>
        <v/>
      </c>
      <c r="R3125" s="10">
        <f>IF(A3125="D",LEFT(UPPER(B3125)&amp;REPT(" ",20),20),REPT(" ",20))</f>
        <v/>
      </c>
      <c r="S3125" s="10">
        <f>IF(A3125="D",LEFT(UPPER(C3125)&amp;REPT(" ",10),10)," ")</f>
        <v/>
      </c>
      <c r="T3125" s="10">
        <f>IF(A3125="D",LEFT(UPPER(D3125)&amp;REPT(" ",2),2)," ")</f>
        <v/>
      </c>
      <c r="U3125" s="10">
        <f>IF(A3125="D",LEFT(UPPER(E3125)&amp;REPT(" ",15),15)," ")</f>
        <v/>
      </c>
      <c r="V3125" s="10">
        <f>REPT(" ",24)</f>
        <v/>
      </c>
      <c r="W3125" s="10">
        <f>IF(A3125="c",LEFT(UPPER(B3125)&amp;REPT(" ",20),20),REPT(" ",20))</f>
        <v/>
      </c>
      <c r="X3125" s="10">
        <f>IF(A3125="C",LEFT(UPPER(C3125)&amp;REPT(" ",10),10)," ")</f>
        <v/>
      </c>
      <c r="Y3125" s="10">
        <f>IF(A3125="C",LEFT(UPPER(D3125)&amp;REPT(" ",2),2)," ")</f>
        <v/>
      </c>
      <c r="Z3125" s="10">
        <f>IF(A3125="C",LEFT(UPPER(E3125)&amp;REPT(" ",15),15)," ")</f>
        <v/>
      </c>
      <c r="AA3125" s="10">
        <f>REPT(" ",8)</f>
        <v/>
      </c>
      <c r="AB3125" s="10">
        <f>REPT(" ",4)</f>
        <v/>
      </c>
      <c r="AC3125" s="10">
        <f>LEFT(UPPER(H3125)&amp;REPT(" ",250),250)</f>
        <v/>
      </c>
      <c r="AD3125" s="10">
        <f>TEXT($G$2,"dd/mm/aaaa")</f>
        <v/>
      </c>
      <c r="AE3125" s="10">
        <f>REPT(" ",10)</f>
        <v/>
      </c>
      <c r="AF3125" s="10">
        <f>REPT(" ",20)</f>
        <v/>
      </c>
      <c r="AG3125" s="54">
        <f>REPT(" ",18-LEN(FIXED(F3125,2,TRUE)))&amp;FIXED(F3125,2,TRUE)</f>
        <v/>
      </c>
      <c r="AH3125" s="10">
        <f>LEN(AC3125)+LEN(AG3125)</f>
        <v/>
      </c>
      <c r="AI3125" s="10">
        <f>LEN(L3125)</f>
        <v/>
      </c>
    </row>
    <row r="3126">
      <c r="J3126" s="12">
        <f>IF(F3126&lt;&gt;0,"LANÇAR","")</f>
        <v/>
      </c>
      <c r="L3126" s="13">
        <f>N3126&amp;O3126&amp;P3126&amp;Q3126&amp;R3126&amp;S3126&amp;T3126&amp;U3126&amp;V3126&amp;W3126&amp;X3126&amp;Y3126&amp;Z3126&amp;AA3126&amp;AB3126&amp;AC3126&amp;AD3126&amp;AE3126&amp;AF3126&amp;AG3126</f>
        <v/>
      </c>
      <c r="N3126" s="10">
        <f>TEXT($B$6,"00")</f>
        <v/>
      </c>
      <c r="O3126" s="10">
        <f>REPT(" ",8)</f>
        <v/>
      </c>
      <c r="P3126" s="10">
        <f>RIGHT($B$4,2)</f>
        <v/>
      </c>
      <c r="Q3126" s="10">
        <f>RIGHT($B$5,3)</f>
        <v/>
      </c>
      <c r="R3126" s="10">
        <f>IF(A3126="D",LEFT(UPPER(B3126)&amp;REPT(" ",20),20),REPT(" ",20))</f>
        <v/>
      </c>
      <c r="S3126" s="10">
        <f>IF(A3126="D",LEFT(UPPER(C3126)&amp;REPT(" ",10),10)," ")</f>
        <v/>
      </c>
      <c r="T3126" s="10">
        <f>IF(A3126="D",LEFT(UPPER(D3126)&amp;REPT(" ",2),2)," ")</f>
        <v/>
      </c>
      <c r="U3126" s="10">
        <f>IF(A3126="D",LEFT(UPPER(E3126)&amp;REPT(" ",15),15)," ")</f>
        <v/>
      </c>
      <c r="V3126" s="10">
        <f>REPT(" ",24)</f>
        <v/>
      </c>
      <c r="W3126" s="10">
        <f>IF(A3126="c",LEFT(UPPER(B3126)&amp;REPT(" ",20),20),REPT(" ",20))</f>
        <v/>
      </c>
      <c r="X3126" s="10">
        <f>IF(A3126="C",LEFT(UPPER(C3126)&amp;REPT(" ",10),10)," ")</f>
        <v/>
      </c>
      <c r="Y3126" s="10">
        <f>IF(A3126="C",LEFT(UPPER(D3126)&amp;REPT(" ",2),2)," ")</f>
        <v/>
      </c>
      <c r="Z3126" s="10">
        <f>IF(A3126="C",LEFT(UPPER(E3126)&amp;REPT(" ",15),15)," ")</f>
        <v/>
      </c>
      <c r="AA3126" s="10">
        <f>REPT(" ",8)</f>
        <v/>
      </c>
      <c r="AB3126" s="10">
        <f>REPT(" ",4)</f>
        <v/>
      </c>
      <c r="AC3126" s="10">
        <f>LEFT(UPPER(H3126)&amp;REPT(" ",250),250)</f>
        <v/>
      </c>
      <c r="AD3126" s="10">
        <f>TEXT($G$2,"dd/mm/aaaa")</f>
        <v/>
      </c>
      <c r="AE3126" s="10">
        <f>REPT(" ",10)</f>
        <v/>
      </c>
      <c r="AF3126" s="10">
        <f>REPT(" ",20)</f>
        <v/>
      </c>
      <c r="AG3126" s="54">
        <f>REPT(" ",18-LEN(FIXED(F3126,2,TRUE)))&amp;FIXED(F3126,2,TRUE)</f>
        <v/>
      </c>
      <c r="AH3126" s="10">
        <f>LEN(AC3126)+LEN(AG3126)</f>
        <v/>
      </c>
      <c r="AI3126" s="10">
        <f>LEN(L3126)</f>
        <v/>
      </c>
    </row>
    <row r="3127">
      <c r="J3127" s="12">
        <f>IF(F3127&lt;&gt;0,"LANÇAR","")</f>
        <v/>
      </c>
      <c r="L3127" s="13">
        <f>N3127&amp;O3127&amp;P3127&amp;Q3127&amp;R3127&amp;S3127&amp;T3127&amp;U3127&amp;V3127&amp;W3127&amp;X3127&amp;Y3127&amp;Z3127&amp;AA3127&amp;AB3127&amp;AC3127&amp;AD3127&amp;AE3127&amp;AF3127&amp;AG3127</f>
        <v/>
      </c>
      <c r="N3127" s="10">
        <f>TEXT($B$6,"00")</f>
        <v/>
      </c>
      <c r="O3127" s="10">
        <f>REPT(" ",8)</f>
        <v/>
      </c>
      <c r="P3127" s="10">
        <f>RIGHT($B$4,2)</f>
        <v/>
      </c>
      <c r="Q3127" s="10">
        <f>RIGHT($B$5,3)</f>
        <v/>
      </c>
      <c r="R3127" s="10">
        <f>IF(A3127="D",LEFT(UPPER(B3127)&amp;REPT(" ",20),20),REPT(" ",20))</f>
        <v/>
      </c>
      <c r="S3127" s="10">
        <f>IF(A3127="D",LEFT(UPPER(C3127)&amp;REPT(" ",10),10)," ")</f>
        <v/>
      </c>
      <c r="T3127" s="10">
        <f>IF(A3127="D",LEFT(UPPER(D3127)&amp;REPT(" ",2),2)," ")</f>
        <v/>
      </c>
      <c r="U3127" s="10">
        <f>IF(A3127="D",LEFT(UPPER(E3127)&amp;REPT(" ",15),15)," ")</f>
        <v/>
      </c>
      <c r="V3127" s="10">
        <f>REPT(" ",24)</f>
        <v/>
      </c>
      <c r="W3127" s="10">
        <f>IF(A3127="c",LEFT(UPPER(B3127)&amp;REPT(" ",20),20),REPT(" ",20))</f>
        <v/>
      </c>
      <c r="X3127" s="10">
        <f>IF(A3127="C",LEFT(UPPER(C3127)&amp;REPT(" ",10),10)," ")</f>
        <v/>
      </c>
      <c r="Y3127" s="10">
        <f>IF(A3127="C",LEFT(UPPER(D3127)&amp;REPT(" ",2),2)," ")</f>
        <v/>
      </c>
      <c r="Z3127" s="10">
        <f>IF(A3127="C",LEFT(UPPER(E3127)&amp;REPT(" ",15),15)," ")</f>
        <v/>
      </c>
      <c r="AA3127" s="10">
        <f>REPT(" ",8)</f>
        <v/>
      </c>
      <c r="AB3127" s="10">
        <f>REPT(" ",4)</f>
        <v/>
      </c>
      <c r="AC3127" s="10">
        <f>LEFT(UPPER(H3127)&amp;REPT(" ",250),250)</f>
        <v/>
      </c>
      <c r="AD3127" s="10">
        <f>TEXT($G$2,"dd/mm/aaaa")</f>
        <v/>
      </c>
      <c r="AE3127" s="10">
        <f>REPT(" ",10)</f>
        <v/>
      </c>
      <c r="AF3127" s="10">
        <f>REPT(" ",20)</f>
        <v/>
      </c>
      <c r="AG3127" s="54">
        <f>REPT(" ",18-LEN(FIXED(F3127,2,TRUE)))&amp;FIXED(F3127,2,TRUE)</f>
        <v/>
      </c>
      <c r="AH3127" s="10">
        <f>LEN(AC3127)+LEN(AG3127)</f>
        <v/>
      </c>
      <c r="AI3127" s="10">
        <f>LEN(L3127)</f>
        <v/>
      </c>
    </row>
    <row r="3128">
      <c r="J3128" s="12">
        <f>IF(F3128&lt;&gt;0,"LANÇAR","")</f>
        <v/>
      </c>
      <c r="L3128" s="13">
        <f>N3128&amp;O3128&amp;P3128&amp;Q3128&amp;R3128&amp;S3128&amp;T3128&amp;U3128&amp;V3128&amp;W3128&amp;X3128&amp;Y3128&amp;Z3128&amp;AA3128&amp;AB3128&amp;AC3128&amp;AD3128&amp;AE3128&amp;AF3128&amp;AG3128</f>
        <v/>
      </c>
      <c r="N3128" s="10">
        <f>TEXT($B$6,"00")</f>
        <v/>
      </c>
      <c r="O3128" s="10">
        <f>REPT(" ",8)</f>
        <v/>
      </c>
      <c r="P3128" s="10">
        <f>RIGHT($B$4,2)</f>
        <v/>
      </c>
      <c r="Q3128" s="10">
        <f>RIGHT($B$5,3)</f>
        <v/>
      </c>
      <c r="R3128" s="10">
        <f>IF(A3128="D",LEFT(UPPER(B3128)&amp;REPT(" ",20),20),REPT(" ",20))</f>
        <v/>
      </c>
      <c r="S3128" s="10">
        <f>IF(A3128="D",LEFT(UPPER(C3128)&amp;REPT(" ",10),10)," ")</f>
        <v/>
      </c>
      <c r="T3128" s="10">
        <f>IF(A3128="D",LEFT(UPPER(D3128)&amp;REPT(" ",2),2)," ")</f>
        <v/>
      </c>
      <c r="U3128" s="10">
        <f>IF(A3128="D",LEFT(UPPER(E3128)&amp;REPT(" ",15),15)," ")</f>
        <v/>
      </c>
      <c r="V3128" s="10">
        <f>REPT(" ",24)</f>
        <v/>
      </c>
      <c r="W3128" s="10">
        <f>IF(A3128="c",LEFT(UPPER(B3128)&amp;REPT(" ",20),20),REPT(" ",20))</f>
        <v/>
      </c>
      <c r="X3128" s="10">
        <f>IF(A3128="C",LEFT(UPPER(C3128)&amp;REPT(" ",10),10)," ")</f>
        <v/>
      </c>
      <c r="Y3128" s="10">
        <f>IF(A3128="C",LEFT(UPPER(D3128)&amp;REPT(" ",2),2)," ")</f>
        <v/>
      </c>
      <c r="Z3128" s="10">
        <f>IF(A3128="C",LEFT(UPPER(E3128)&amp;REPT(" ",15),15)," ")</f>
        <v/>
      </c>
      <c r="AA3128" s="10">
        <f>REPT(" ",8)</f>
        <v/>
      </c>
      <c r="AB3128" s="10">
        <f>REPT(" ",4)</f>
        <v/>
      </c>
      <c r="AC3128" s="10">
        <f>LEFT(UPPER(H3128)&amp;REPT(" ",250),250)</f>
        <v/>
      </c>
      <c r="AD3128" s="10">
        <f>TEXT($G$2,"dd/mm/aaaa")</f>
        <v/>
      </c>
      <c r="AE3128" s="10">
        <f>REPT(" ",10)</f>
        <v/>
      </c>
      <c r="AF3128" s="10">
        <f>REPT(" ",20)</f>
        <v/>
      </c>
      <c r="AG3128" s="54">
        <f>REPT(" ",18-LEN(FIXED(F3128,2,TRUE)))&amp;FIXED(F3128,2,TRUE)</f>
        <v/>
      </c>
      <c r="AH3128" s="10">
        <f>LEN(AC3128)+LEN(AG3128)</f>
        <v/>
      </c>
      <c r="AI3128" s="10">
        <f>LEN(L3128)</f>
        <v/>
      </c>
    </row>
    <row r="3129">
      <c r="J3129" s="12">
        <f>IF(F3129&lt;&gt;0,"LANÇAR","")</f>
        <v/>
      </c>
      <c r="L3129" s="13">
        <f>N3129&amp;O3129&amp;P3129&amp;Q3129&amp;R3129&amp;S3129&amp;T3129&amp;U3129&amp;V3129&amp;W3129&amp;X3129&amp;Y3129&amp;Z3129&amp;AA3129&amp;AB3129&amp;AC3129&amp;AD3129&amp;AE3129&amp;AF3129&amp;AG3129</f>
        <v/>
      </c>
      <c r="N3129" s="10">
        <f>TEXT($B$6,"00")</f>
        <v/>
      </c>
      <c r="O3129" s="10">
        <f>REPT(" ",8)</f>
        <v/>
      </c>
      <c r="P3129" s="10">
        <f>RIGHT($B$4,2)</f>
        <v/>
      </c>
      <c r="Q3129" s="10">
        <f>RIGHT($B$5,3)</f>
        <v/>
      </c>
      <c r="R3129" s="10">
        <f>IF(A3129="D",LEFT(UPPER(B3129)&amp;REPT(" ",20),20),REPT(" ",20))</f>
        <v/>
      </c>
      <c r="S3129" s="10">
        <f>IF(A3129="D",LEFT(UPPER(C3129)&amp;REPT(" ",10),10)," ")</f>
        <v/>
      </c>
      <c r="T3129" s="10">
        <f>IF(A3129="D",LEFT(UPPER(D3129)&amp;REPT(" ",2),2)," ")</f>
        <v/>
      </c>
      <c r="U3129" s="10">
        <f>IF(A3129="D",LEFT(UPPER(E3129)&amp;REPT(" ",15),15)," ")</f>
        <v/>
      </c>
      <c r="V3129" s="10">
        <f>REPT(" ",24)</f>
        <v/>
      </c>
      <c r="W3129" s="10">
        <f>IF(A3129="c",LEFT(UPPER(B3129)&amp;REPT(" ",20),20),REPT(" ",20))</f>
        <v/>
      </c>
      <c r="X3129" s="10">
        <f>IF(A3129="C",LEFT(UPPER(C3129)&amp;REPT(" ",10),10)," ")</f>
        <v/>
      </c>
      <c r="Y3129" s="10">
        <f>IF(A3129="C",LEFT(UPPER(D3129)&amp;REPT(" ",2),2)," ")</f>
        <v/>
      </c>
      <c r="Z3129" s="10">
        <f>IF(A3129="C",LEFT(UPPER(E3129)&amp;REPT(" ",15),15)," ")</f>
        <v/>
      </c>
      <c r="AA3129" s="10">
        <f>REPT(" ",8)</f>
        <v/>
      </c>
      <c r="AB3129" s="10">
        <f>REPT(" ",4)</f>
        <v/>
      </c>
      <c r="AC3129" s="10">
        <f>LEFT(UPPER(H3129)&amp;REPT(" ",250),250)</f>
        <v/>
      </c>
      <c r="AD3129" s="10">
        <f>TEXT($G$2,"dd/mm/aaaa")</f>
        <v/>
      </c>
      <c r="AE3129" s="10">
        <f>REPT(" ",10)</f>
        <v/>
      </c>
      <c r="AF3129" s="10">
        <f>REPT(" ",20)</f>
        <v/>
      </c>
      <c r="AG3129" s="54">
        <f>REPT(" ",18-LEN(FIXED(F3129,2,TRUE)))&amp;FIXED(F3129,2,TRUE)</f>
        <v/>
      </c>
      <c r="AH3129" s="10">
        <f>LEN(AC3129)+LEN(AG3129)</f>
        <v/>
      </c>
      <c r="AI3129" s="10">
        <f>LEN(L3129)</f>
        <v/>
      </c>
    </row>
    <row r="3130">
      <c r="J3130" s="12">
        <f>IF(F3130&lt;&gt;0,"LANÇAR","")</f>
        <v/>
      </c>
      <c r="L3130" s="13">
        <f>N3130&amp;O3130&amp;P3130&amp;Q3130&amp;R3130&amp;S3130&amp;T3130&amp;U3130&amp;V3130&amp;W3130&amp;X3130&amp;Y3130&amp;Z3130&amp;AA3130&amp;AB3130&amp;AC3130&amp;AD3130&amp;AE3130&amp;AF3130&amp;AG3130</f>
        <v/>
      </c>
      <c r="N3130" s="10">
        <f>TEXT($B$6,"00")</f>
        <v/>
      </c>
      <c r="O3130" s="10">
        <f>REPT(" ",8)</f>
        <v/>
      </c>
      <c r="P3130" s="10">
        <f>RIGHT($B$4,2)</f>
        <v/>
      </c>
      <c r="Q3130" s="10">
        <f>RIGHT($B$5,3)</f>
        <v/>
      </c>
      <c r="R3130" s="10">
        <f>IF(A3130="D",LEFT(UPPER(B3130)&amp;REPT(" ",20),20),REPT(" ",20))</f>
        <v/>
      </c>
      <c r="S3130" s="10">
        <f>IF(A3130="D",LEFT(UPPER(C3130)&amp;REPT(" ",10),10)," ")</f>
        <v/>
      </c>
      <c r="T3130" s="10">
        <f>IF(A3130="D",LEFT(UPPER(D3130)&amp;REPT(" ",2),2)," ")</f>
        <v/>
      </c>
      <c r="U3130" s="10">
        <f>IF(A3130="D",LEFT(UPPER(E3130)&amp;REPT(" ",15),15)," ")</f>
        <v/>
      </c>
      <c r="V3130" s="10">
        <f>REPT(" ",24)</f>
        <v/>
      </c>
      <c r="W3130" s="10">
        <f>IF(A3130="c",LEFT(UPPER(B3130)&amp;REPT(" ",20),20),REPT(" ",20))</f>
        <v/>
      </c>
      <c r="X3130" s="10">
        <f>IF(A3130="C",LEFT(UPPER(C3130)&amp;REPT(" ",10),10)," ")</f>
        <v/>
      </c>
      <c r="Y3130" s="10">
        <f>IF(A3130="C",LEFT(UPPER(D3130)&amp;REPT(" ",2),2)," ")</f>
        <v/>
      </c>
      <c r="Z3130" s="10">
        <f>IF(A3130="C",LEFT(UPPER(E3130)&amp;REPT(" ",15),15)," ")</f>
        <v/>
      </c>
      <c r="AA3130" s="10">
        <f>REPT(" ",8)</f>
        <v/>
      </c>
      <c r="AB3130" s="10">
        <f>REPT(" ",4)</f>
        <v/>
      </c>
      <c r="AC3130" s="10">
        <f>LEFT(UPPER(H3130)&amp;REPT(" ",250),250)</f>
        <v/>
      </c>
      <c r="AD3130" s="10">
        <f>TEXT($G$2,"dd/mm/aaaa")</f>
        <v/>
      </c>
      <c r="AE3130" s="10">
        <f>REPT(" ",10)</f>
        <v/>
      </c>
      <c r="AF3130" s="10">
        <f>REPT(" ",20)</f>
        <v/>
      </c>
      <c r="AG3130" s="54">
        <f>REPT(" ",18-LEN(FIXED(F3130,2,TRUE)))&amp;FIXED(F3130,2,TRUE)</f>
        <v/>
      </c>
      <c r="AH3130" s="10">
        <f>LEN(AC3130)+LEN(AG3130)</f>
        <v/>
      </c>
      <c r="AI3130" s="10">
        <f>LEN(L3130)</f>
        <v/>
      </c>
    </row>
    <row r="3131">
      <c r="J3131" s="12">
        <f>IF(F3131&lt;&gt;0,"LANÇAR","")</f>
        <v/>
      </c>
      <c r="L3131" s="13">
        <f>N3131&amp;O3131&amp;P3131&amp;Q3131&amp;R3131&amp;S3131&amp;T3131&amp;U3131&amp;V3131&amp;W3131&amp;X3131&amp;Y3131&amp;Z3131&amp;AA3131&amp;AB3131&amp;AC3131&amp;AD3131&amp;AE3131&amp;AF3131&amp;AG3131</f>
        <v/>
      </c>
      <c r="N3131" s="10">
        <f>TEXT($B$6,"00")</f>
        <v/>
      </c>
      <c r="O3131" s="10">
        <f>REPT(" ",8)</f>
        <v/>
      </c>
      <c r="P3131" s="10">
        <f>RIGHT($B$4,2)</f>
        <v/>
      </c>
      <c r="Q3131" s="10">
        <f>RIGHT($B$5,3)</f>
        <v/>
      </c>
      <c r="R3131" s="10">
        <f>IF(A3131="D",LEFT(UPPER(B3131)&amp;REPT(" ",20),20),REPT(" ",20))</f>
        <v/>
      </c>
      <c r="S3131" s="10">
        <f>IF(A3131="D",LEFT(UPPER(C3131)&amp;REPT(" ",10),10)," ")</f>
        <v/>
      </c>
      <c r="T3131" s="10">
        <f>IF(A3131="D",LEFT(UPPER(D3131)&amp;REPT(" ",2),2)," ")</f>
        <v/>
      </c>
      <c r="U3131" s="10">
        <f>IF(A3131="D",LEFT(UPPER(E3131)&amp;REPT(" ",15),15)," ")</f>
        <v/>
      </c>
      <c r="V3131" s="10">
        <f>REPT(" ",24)</f>
        <v/>
      </c>
      <c r="W3131" s="10">
        <f>IF(A3131="c",LEFT(UPPER(B3131)&amp;REPT(" ",20),20),REPT(" ",20))</f>
        <v/>
      </c>
      <c r="X3131" s="10">
        <f>IF(A3131="C",LEFT(UPPER(C3131)&amp;REPT(" ",10),10)," ")</f>
        <v/>
      </c>
      <c r="Y3131" s="10">
        <f>IF(A3131="C",LEFT(UPPER(D3131)&amp;REPT(" ",2),2)," ")</f>
        <v/>
      </c>
      <c r="Z3131" s="10">
        <f>IF(A3131="C",LEFT(UPPER(E3131)&amp;REPT(" ",15),15)," ")</f>
        <v/>
      </c>
      <c r="AA3131" s="10">
        <f>REPT(" ",8)</f>
        <v/>
      </c>
      <c r="AB3131" s="10">
        <f>REPT(" ",4)</f>
        <v/>
      </c>
      <c r="AC3131" s="10">
        <f>LEFT(UPPER(H3131)&amp;REPT(" ",250),250)</f>
        <v/>
      </c>
      <c r="AD3131" s="10">
        <f>TEXT($G$2,"dd/mm/aaaa")</f>
        <v/>
      </c>
      <c r="AE3131" s="10">
        <f>REPT(" ",10)</f>
        <v/>
      </c>
      <c r="AF3131" s="10">
        <f>REPT(" ",20)</f>
        <v/>
      </c>
      <c r="AG3131" s="54">
        <f>REPT(" ",18-LEN(FIXED(F3131,2,TRUE)))&amp;FIXED(F3131,2,TRUE)</f>
        <v/>
      </c>
      <c r="AH3131" s="10">
        <f>LEN(AC3131)+LEN(AG3131)</f>
        <v/>
      </c>
      <c r="AI3131" s="10">
        <f>LEN(L3131)</f>
        <v/>
      </c>
    </row>
    <row r="3132">
      <c r="J3132" s="12">
        <f>IF(F3132&lt;&gt;0,"LANÇAR","")</f>
        <v/>
      </c>
      <c r="L3132" s="13">
        <f>N3132&amp;O3132&amp;P3132&amp;Q3132&amp;R3132&amp;S3132&amp;T3132&amp;U3132&amp;V3132&amp;W3132&amp;X3132&amp;Y3132&amp;Z3132&amp;AA3132&amp;AB3132&amp;AC3132&amp;AD3132&amp;AE3132&amp;AF3132&amp;AG3132</f>
        <v/>
      </c>
      <c r="N3132" s="10">
        <f>TEXT($B$6,"00")</f>
        <v/>
      </c>
      <c r="O3132" s="10">
        <f>REPT(" ",8)</f>
        <v/>
      </c>
      <c r="P3132" s="10">
        <f>RIGHT($B$4,2)</f>
        <v/>
      </c>
      <c r="Q3132" s="10">
        <f>RIGHT($B$5,3)</f>
        <v/>
      </c>
      <c r="R3132" s="10">
        <f>IF(A3132="D",LEFT(UPPER(B3132)&amp;REPT(" ",20),20),REPT(" ",20))</f>
        <v/>
      </c>
      <c r="S3132" s="10">
        <f>IF(A3132="D",LEFT(UPPER(C3132)&amp;REPT(" ",10),10)," ")</f>
        <v/>
      </c>
      <c r="T3132" s="10">
        <f>IF(A3132="D",LEFT(UPPER(D3132)&amp;REPT(" ",2),2)," ")</f>
        <v/>
      </c>
      <c r="U3132" s="10">
        <f>IF(A3132="D",LEFT(UPPER(E3132)&amp;REPT(" ",15),15)," ")</f>
        <v/>
      </c>
      <c r="V3132" s="10">
        <f>REPT(" ",24)</f>
        <v/>
      </c>
      <c r="W3132" s="10">
        <f>IF(A3132="c",LEFT(UPPER(B3132)&amp;REPT(" ",20),20),REPT(" ",20))</f>
        <v/>
      </c>
      <c r="X3132" s="10">
        <f>IF(A3132="C",LEFT(UPPER(C3132)&amp;REPT(" ",10),10)," ")</f>
        <v/>
      </c>
      <c r="Y3132" s="10">
        <f>IF(A3132="C",LEFT(UPPER(D3132)&amp;REPT(" ",2),2)," ")</f>
        <v/>
      </c>
      <c r="Z3132" s="10">
        <f>IF(A3132="C",LEFT(UPPER(E3132)&amp;REPT(" ",15),15)," ")</f>
        <v/>
      </c>
      <c r="AA3132" s="10">
        <f>REPT(" ",8)</f>
        <v/>
      </c>
      <c r="AB3132" s="10">
        <f>REPT(" ",4)</f>
        <v/>
      </c>
      <c r="AC3132" s="10">
        <f>LEFT(UPPER(H3132)&amp;REPT(" ",250),250)</f>
        <v/>
      </c>
      <c r="AD3132" s="10">
        <f>TEXT($G$2,"dd/mm/aaaa")</f>
        <v/>
      </c>
      <c r="AE3132" s="10">
        <f>REPT(" ",10)</f>
        <v/>
      </c>
      <c r="AF3132" s="10">
        <f>REPT(" ",20)</f>
        <v/>
      </c>
      <c r="AG3132" s="54">
        <f>REPT(" ",18-LEN(FIXED(F3132,2,TRUE)))&amp;FIXED(F3132,2,TRUE)</f>
        <v/>
      </c>
      <c r="AH3132" s="10">
        <f>LEN(AC3132)+LEN(AG3132)</f>
        <v/>
      </c>
      <c r="AI3132" s="10">
        <f>LEN(L3132)</f>
        <v/>
      </c>
    </row>
    <row r="3133">
      <c r="J3133" s="12">
        <f>IF(F3133&lt;&gt;0,"LANÇAR","")</f>
        <v/>
      </c>
      <c r="L3133" s="13">
        <f>N3133&amp;O3133&amp;P3133&amp;Q3133&amp;R3133&amp;S3133&amp;T3133&amp;U3133&amp;V3133&amp;W3133&amp;X3133&amp;Y3133&amp;Z3133&amp;AA3133&amp;AB3133&amp;AC3133&amp;AD3133&amp;AE3133&amp;AF3133&amp;AG3133</f>
        <v/>
      </c>
      <c r="N3133" s="10">
        <f>TEXT($B$6,"00")</f>
        <v/>
      </c>
      <c r="O3133" s="10">
        <f>REPT(" ",8)</f>
        <v/>
      </c>
      <c r="P3133" s="10">
        <f>RIGHT($B$4,2)</f>
        <v/>
      </c>
      <c r="Q3133" s="10">
        <f>RIGHT($B$5,3)</f>
        <v/>
      </c>
      <c r="R3133" s="10">
        <f>IF(A3133="D",LEFT(UPPER(B3133)&amp;REPT(" ",20),20),REPT(" ",20))</f>
        <v/>
      </c>
      <c r="S3133" s="10">
        <f>IF(A3133="D",LEFT(UPPER(C3133)&amp;REPT(" ",10),10)," ")</f>
        <v/>
      </c>
      <c r="T3133" s="10">
        <f>IF(A3133="D",LEFT(UPPER(D3133)&amp;REPT(" ",2),2)," ")</f>
        <v/>
      </c>
      <c r="U3133" s="10">
        <f>IF(A3133="D",LEFT(UPPER(E3133)&amp;REPT(" ",15),15)," ")</f>
        <v/>
      </c>
      <c r="V3133" s="10">
        <f>REPT(" ",24)</f>
        <v/>
      </c>
      <c r="W3133" s="10">
        <f>IF(A3133="c",LEFT(UPPER(B3133)&amp;REPT(" ",20),20),REPT(" ",20))</f>
        <v/>
      </c>
      <c r="X3133" s="10">
        <f>IF(A3133="C",LEFT(UPPER(C3133)&amp;REPT(" ",10),10)," ")</f>
        <v/>
      </c>
      <c r="Y3133" s="10">
        <f>IF(A3133="C",LEFT(UPPER(D3133)&amp;REPT(" ",2),2)," ")</f>
        <v/>
      </c>
      <c r="Z3133" s="10">
        <f>IF(A3133="C",LEFT(UPPER(E3133)&amp;REPT(" ",15),15)," ")</f>
        <v/>
      </c>
      <c r="AA3133" s="10">
        <f>REPT(" ",8)</f>
        <v/>
      </c>
      <c r="AB3133" s="10">
        <f>REPT(" ",4)</f>
        <v/>
      </c>
      <c r="AC3133" s="10">
        <f>LEFT(UPPER(H3133)&amp;REPT(" ",250),250)</f>
        <v/>
      </c>
      <c r="AD3133" s="10">
        <f>TEXT($G$2,"dd/mm/aaaa")</f>
        <v/>
      </c>
      <c r="AE3133" s="10">
        <f>REPT(" ",10)</f>
        <v/>
      </c>
      <c r="AF3133" s="10">
        <f>REPT(" ",20)</f>
        <v/>
      </c>
      <c r="AG3133" s="54">
        <f>REPT(" ",18-LEN(FIXED(F3133,2,TRUE)))&amp;FIXED(F3133,2,TRUE)</f>
        <v/>
      </c>
      <c r="AH3133" s="10">
        <f>LEN(AC3133)+LEN(AG3133)</f>
        <v/>
      </c>
      <c r="AI3133" s="10">
        <f>LEN(L3133)</f>
        <v/>
      </c>
    </row>
    <row r="3134">
      <c r="J3134" s="12">
        <f>IF(F3134&lt;&gt;0,"LANÇAR","")</f>
        <v/>
      </c>
      <c r="L3134" s="13">
        <f>N3134&amp;O3134&amp;P3134&amp;Q3134&amp;R3134&amp;S3134&amp;T3134&amp;U3134&amp;V3134&amp;W3134&amp;X3134&amp;Y3134&amp;Z3134&amp;AA3134&amp;AB3134&amp;AC3134&amp;AD3134&amp;AE3134&amp;AF3134&amp;AG3134</f>
        <v/>
      </c>
      <c r="N3134" s="10">
        <f>TEXT($B$6,"00")</f>
        <v/>
      </c>
      <c r="O3134" s="10">
        <f>REPT(" ",8)</f>
        <v/>
      </c>
      <c r="P3134" s="10">
        <f>RIGHT($B$4,2)</f>
        <v/>
      </c>
      <c r="Q3134" s="10">
        <f>RIGHT($B$5,3)</f>
        <v/>
      </c>
      <c r="R3134" s="10">
        <f>IF(A3134="D",LEFT(UPPER(B3134)&amp;REPT(" ",20),20),REPT(" ",20))</f>
        <v/>
      </c>
      <c r="S3134" s="10">
        <f>IF(A3134="D",LEFT(UPPER(C3134)&amp;REPT(" ",10),10)," ")</f>
        <v/>
      </c>
      <c r="T3134" s="10">
        <f>IF(A3134="D",LEFT(UPPER(D3134)&amp;REPT(" ",2),2)," ")</f>
        <v/>
      </c>
      <c r="U3134" s="10">
        <f>IF(A3134="D",LEFT(UPPER(E3134)&amp;REPT(" ",15),15)," ")</f>
        <v/>
      </c>
      <c r="V3134" s="10">
        <f>REPT(" ",24)</f>
        <v/>
      </c>
      <c r="W3134" s="10">
        <f>IF(A3134="c",LEFT(UPPER(B3134)&amp;REPT(" ",20),20),REPT(" ",20))</f>
        <v/>
      </c>
      <c r="X3134" s="10">
        <f>IF(A3134="C",LEFT(UPPER(C3134)&amp;REPT(" ",10),10)," ")</f>
        <v/>
      </c>
      <c r="Y3134" s="10">
        <f>IF(A3134="C",LEFT(UPPER(D3134)&amp;REPT(" ",2),2)," ")</f>
        <v/>
      </c>
      <c r="Z3134" s="10">
        <f>IF(A3134="C",LEFT(UPPER(E3134)&amp;REPT(" ",15),15)," ")</f>
        <v/>
      </c>
      <c r="AA3134" s="10">
        <f>REPT(" ",8)</f>
        <v/>
      </c>
      <c r="AB3134" s="10">
        <f>REPT(" ",4)</f>
        <v/>
      </c>
      <c r="AC3134" s="10">
        <f>LEFT(UPPER(H3134)&amp;REPT(" ",250),250)</f>
        <v/>
      </c>
      <c r="AD3134" s="10">
        <f>TEXT($G$2,"dd/mm/aaaa")</f>
        <v/>
      </c>
      <c r="AE3134" s="10">
        <f>REPT(" ",10)</f>
        <v/>
      </c>
      <c r="AF3134" s="10">
        <f>REPT(" ",20)</f>
        <v/>
      </c>
      <c r="AG3134" s="54">
        <f>REPT(" ",18-LEN(FIXED(F3134,2,TRUE)))&amp;FIXED(F3134,2,TRUE)</f>
        <v/>
      </c>
      <c r="AH3134" s="10">
        <f>LEN(AC3134)+LEN(AG3134)</f>
        <v/>
      </c>
      <c r="AI3134" s="10">
        <f>LEN(L3134)</f>
        <v/>
      </c>
    </row>
    <row r="3135">
      <c r="J3135" s="12">
        <f>IF(F3135&lt;&gt;0,"LANÇAR","")</f>
        <v/>
      </c>
      <c r="L3135" s="13">
        <f>N3135&amp;O3135&amp;P3135&amp;Q3135&amp;R3135&amp;S3135&amp;T3135&amp;U3135&amp;V3135&amp;W3135&amp;X3135&amp;Y3135&amp;Z3135&amp;AA3135&amp;AB3135&amp;AC3135&amp;AD3135&amp;AE3135&amp;AF3135&amp;AG3135</f>
        <v/>
      </c>
      <c r="N3135" s="10">
        <f>TEXT($B$6,"00")</f>
        <v/>
      </c>
      <c r="O3135" s="10">
        <f>REPT(" ",8)</f>
        <v/>
      </c>
      <c r="P3135" s="10">
        <f>RIGHT($B$4,2)</f>
        <v/>
      </c>
      <c r="Q3135" s="10">
        <f>RIGHT($B$5,3)</f>
        <v/>
      </c>
      <c r="R3135" s="10">
        <f>IF(A3135="D",LEFT(UPPER(B3135)&amp;REPT(" ",20),20),REPT(" ",20))</f>
        <v/>
      </c>
      <c r="S3135" s="10">
        <f>IF(A3135="D",LEFT(UPPER(C3135)&amp;REPT(" ",10),10)," ")</f>
        <v/>
      </c>
      <c r="T3135" s="10">
        <f>IF(A3135="D",LEFT(UPPER(D3135)&amp;REPT(" ",2),2)," ")</f>
        <v/>
      </c>
      <c r="U3135" s="10">
        <f>IF(A3135="D",LEFT(UPPER(E3135)&amp;REPT(" ",15),15)," ")</f>
        <v/>
      </c>
      <c r="V3135" s="10">
        <f>REPT(" ",24)</f>
        <v/>
      </c>
      <c r="W3135" s="10">
        <f>IF(A3135="c",LEFT(UPPER(B3135)&amp;REPT(" ",20),20),REPT(" ",20))</f>
        <v/>
      </c>
      <c r="X3135" s="10">
        <f>IF(A3135="C",LEFT(UPPER(C3135)&amp;REPT(" ",10),10)," ")</f>
        <v/>
      </c>
      <c r="Y3135" s="10">
        <f>IF(A3135="C",LEFT(UPPER(D3135)&amp;REPT(" ",2),2)," ")</f>
        <v/>
      </c>
      <c r="Z3135" s="10">
        <f>IF(A3135="C",LEFT(UPPER(E3135)&amp;REPT(" ",15),15)," ")</f>
        <v/>
      </c>
      <c r="AA3135" s="10">
        <f>REPT(" ",8)</f>
        <v/>
      </c>
      <c r="AB3135" s="10">
        <f>REPT(" ",4)</f>
        <v/>
      </c>
      <c r="AC3135" s="10">
        <f>LEFT(UPPER(H3135)&amp;REPT(" ",250),250)</f>
        <v/>
      </c>
      <c r="AD3135" s="10">
        <f>TEXT($G$2,"dd/mm/aaaa")</f>
        <v/>
      </c>
      <c r="AE3135" s="10">
        <f>REPT(" ",10)</f>
        <v/>
      </c>
      <c r="AF3135" s="10">
        <f>REPT(" ",20)</f>
        <v/>
      </c>
      <c r="AG3135" s="54">
        <f>REPT(" ",18-LEN(FIXED(F3135,2,TRUE)))&amp;FIXED(F3135,2,TRUE)</f>
        <v/>
      </c>
      <c r="AH3135" s="10">
        <f>LEN(AC3135)+LEN(AG3135)</f>
        <v/>
      </c>
      <c r="AI3135" s="10">
        <f>LEN(L3135)</f>
        <v/>
      </c>
    </row>
    <row r="3136">
      <c r="J3136" s="12">
        <f>IF(F3136&lt;&gt;0,"LANÇAR","")</f>
        <v/>
      </c>
      <c r="L3136" s="13">
        <f>N3136&amp;O3136&amp;P3136&amp;Q3136&amp;R3136&amp;S3136&amp;T3136&amp;U3136&amp;V3136&amp;W3136&amp;X3136&amp;Y3136&amp;Z3136&amp;AA3136&amp;AB3136&amp;AC3136&amp;AD3136&amp;AE3136&amp;AF3136&amp;AG3136</f>
        <v/>
      </c>
      <c r="N3136" s="10">
        <f>TEXT($B$6,"00")</f>
        <v/>
      </c>
      <c r="O3136" s="10">
        <f>REPT(" ",8)</f>
        <v/>
      </c>
      <c r="P3136" s="10">
        <f>RIGHT($B$4,2)</f>
        <v/>
      </c>
      <c r="Q3136" s="10">
        <f>RIGHT($B$5,3)</f>
        <v/>
      </c>
      <c r="R3136" s="10">
        <f>IF(A3136="D",LEFT(UPPER(B3136)&amp;REPT(" ",20),20),REPT(" ",20))</f>
        <v/>
      </c>
      <c r="S3136" s="10">
        <f>IF(A3136="D",LEFT(UPPER(C3136)&amp;REPT(" ",10),10)," ")</f>
        <v/>
      </c>
      <c r="T3136" s="10">
        <f>IF(A3136="D",LEFT(UPPER(D3136)&amp;REPT(" ",2),2)," ")</f>
        <v/>
      </c>
      <c r="U3136" s="10">
        <f>IF(A3136="D",LEFT(UPPER(E3136)&amp;REPT(" ",15),15)," ")</f>
        <v/>
      </c>
      <c r="V3136" s="10">
        <f>REPT(" ",24)</f>
        <v/>
      </c>
      <c r="W3136" s="10">
        <f>IF(A3136="c",LEFT(UPPER(B3136)&amp;REPT(" ",20),20),REPT(" ",20))</f>
        <v/>
      </c>
      <c r="X3136" s="10">
        <f>IF(A3136="C",LEFT(UPPER(C3136)&amp;REPT(" ",10),10)," ")</f>
        <v/>
      </c>
      <c r="Y3136" s="10">
        <f>IF(A3136="C",LEFT(UPPER(D3136)&amp;REPT(" ",2),2)," ")</f>
        <v/>
      </c>
      <c r="Z3136" s="10">
        <f>IF(A3136="C",LEFT(UPPER(E3136)&amp;REPT(" ",15),15)," ")</f>
        <v/>
      </c>
      <c r="AA3136" s="10">
        <f>REPT(" ",8)</f>
        <v/>
      </c>
      <c r="AB3136" s="10">
        <f>REPT(" ",4)</f>
        <v/>
      </c>
      <c r="AC3136" s="10">
        <f>LEFT(UPPER(H3136)&amp;REPT(" ",250),250)</f>
        <v/>
      </c>
      <c r="AD3136" s="10">
        <f>TEXT($G$2,"dd/mm/aaaa")</f>
        <v/>
      </c>
      <c r="AE3136" s="10">
        <f>REPT(" ",10)</f>
        <v/>
      </c>
      <c r="AF3136" s="10">
        <f>REPT(" ",20)</f>
        <v/>
      </c>
      <c r="AG3136" s="54">
        <f>REPT(" ",18-LEN(FIXED(F3136,2,TRUE)))&amp;FIXED(F3136,2,TRUE)</f>
        <v/>
      </c>
      <c r="AH3136" s="10">
        <f>LEN(AC3136)+LEN(AG3136)</f>
        <v/>
      </c>
      <c r="AI3136" s="10">
        <f>LEN(L3136)</f>
        <v/>
      </c>
    </row>
    <row r="3137">
      <c r="J3137" s="12">
        <f>IF(F3137&lt;&gt;0,"LANÇAR","")</f>
        <v/>
      </c>
      <c r="L3137" s="13">
        <f>N3137&amp;O3137&amp;P3137&amp;Q3137&amp;R3137&amp;S3137&amp;T3137&amp;U3137&amp;V3137&amp;W3137&amp;X3137&amp;Y3137&amp;Z3137&amp;AA3137&amp;AB3137&amp;AC3137&amp;AD3137&amp;AE3137&amp;AF3137&amp;AG3137</f>
        <v/>
      </c>
      <c r="N3137" s="10">
        <f>TEXT($B$6,"00")</f>
        <v/>
      </c>
      <c r="O3137" s="10">
        <f>REPT(" ",8)</f>
        <v/>
      </c>
      <c r="P3137" s="10">
        <f>RIGHT($B$4,2)</f>
        <v/>
      </c>
      <c r="Q3137" s="10">
        <f>RIGHT($B$5,3)</f>
        <v/>
      </c>
      <c r="R3137" s="10">
        <f>IF(A3137="D",LEFT(UPPER(B3137)&amp;REPT(" ",20),20),REPT(" ",20))</f>
        <v/>
      </c>
      <c r="S3137" s="10">
        <f>IF(A3137="D",LEFT(UPPER(C3137)&amp;REPT(" ",10),10)," ")</f>
        <v/>
      </c>
      <c r="T3137" s="10">
        <f>IF(A3137="D",LEFT(UPPER(D3137)&amp;REPT(" ",2),2)," ")</f>
        <v/>
      </c>
      <c r="U3137" s="10">
        <f>IF(A3137="D",LEFT(UPPER(E3137)&amp;REPT(" ",15),15)," ")</f>
        <v/>
      </c>
      <c r="V3137" s="10">
        <f>REPT(" ",24)</f>
        <v/>
      </c>
      <c r="W3137" s="10">
        <f>IF(A3137="c",LEFT(UPPER(B3137)&amp;REPT(" ",20),20),REPT(" ",20))</f>
        <v/>
      </c>
      <c r="X3137" s="10">
        <f>IF(A3137="C",LEFT(UPPER(C3137)&amp;REPT(" ",10),10)," ")</f>
        <v/>
      </c>
      <c r="Y3137" s="10">
        <f>IF(A3137="C",LEFT(UPPER(D3137)&amp;REPT(" ",2),2)," ")</f>
        <v/>
      </c>
      <c r="Z3137" s="10">
        <f>IF(A3137="C",LEFT(UPPER(E3137)&amp;REPT(" ",15),15)," ")</f>
        <v/>
      </c>
      <c r="AA3137" s="10">
        <f>REPT(" ",8)</f>
        <v/>
      </c>
      <c r="AB3137" s="10">
        <f>REPT(" ",4)</f>
        <v/>
      </c>
      <c r="AC3137" s="10">
        <f>LEFT(UPPER(H3137)&amp;REPT(" ",250),250)</f>
        <v/>
      </c>
      <c r="AD3137" s="10">
        <f>TEXT($G$2,"dd/mm/aaaa")</f>
        <v/>
      </c>
      <c r="AE3137" s="10">
        <f>REPT(" ",10)</f>
        <v/>
      </c>
      <c r="AF3137" s="10">
        <f>REPT(" ",20)</f>
        <v/>
      </c>
      <c r="AG3137" s="54">
        <f>REPT(" ",18-LEN(FIXED(F3137,2,TRUE)))&amp;FIXED(F3137,2,TRUE)</f>
        <v/>
      </c>
      <c r="AH3137" s="10">
        <f>LEN(AC3137)+LEN(AG3137)</f>
        <v/>
      </c>
      <c r="AI3137" s="10">
        <f>LEN(L3137)</f>
        <v/>
      </c>
    </row>
    <row r="3138">
      <c r="J3138" s="12">
        <f>IF(F3138&lt;&gt;0,"LANÇAR","")</f>
        <v/>
      </c>
      <c r="L3138" s="13">
        <f>N3138&amp;O3138&amp;P3138&amp;Q3138&amp;R3138&amp;S3138&amp;T3138&amp;U3138&amp;V3138&amp;W3138&amp;X3138&amp;Y3138&amp;Z3138&amp;AA3138&amp;AB3138&amp;AC3138&amp;AD3138&amp;AE3138&amp;AF3138&amp;AG3138</f>
        <v/>
      </c>
      <c r="N3138" s="10">
        <f>TEXT($B$6,"00")</f>
        <v/>
      </c>
      <c r="O3138" s="10">
        <f>REPT(" ",8)</f>
        <v/>
      </c>
      <c r="P3138" s="10">
        <f>RIGHT($B$4,2)</f>
        <v/>
      </c>
      <c r="Q3138" s="10">
        <f>RIGHT($B$5,3)</f>
        <v/>
      </c>
      <c r="R3138" s="10">
        <f>IF(A3138="D",LEFT(UPPER(B3138)&amp;REPT(" ",20),20),REPT(" ",20))</f>
        <v/>
      </c>
      <c r="S3138" s="10">
        <f>IF(A3138="D",LEFT(UPPER(C3138)&amp;REPT(" ",10),10)," ")</f>
        <v/>
      </c>
      <c r="T3138" s="10">
        <f>IF(A3138="D",LEFT(UPPER(D3138)&amp;REPT(" ",2),2)," ")</f>
        <v/>
      </c>
      <c r="U3138" s="10">
        <f>IF(A3138="D",LEFT(UPPER(E3138)&amp;REPT(" ",15),15)," ")</f>
        <v/>
      </c>
      <c r="V3138" s="10">
        <f>REPT(" ",24)</f>
        <v/>
      </c>
      <c r="W3138" s="10">
        <f>IF(A3138="c",LEFT(UPPER(B3138)&amp;REPT(" ",20),20),REPT(" ",20))</f>
        <v/>
      </c>
      <c r="X3138" s="10">
        <f>IF(A3138="C",LEFT(UPPER(C3138)&amp;REPT(" ",10),10)," ")</f>
        <v/>
      </c>
      <c r="Y3138" s="10">
        <f>IF(A3138="C",LEFT(UPPER(D3138)&amp;REPT(" ",2),2)," ")</f>
        <v/>
      </c>
      <c r="Z3138" s="10">
        <f>IF(A3138="C",LEFT(UPPER(E3138)&amp;REPT(" ",15),15)," ")</f>
        <v/>
      </c>
      <c r="AA3138" s="10">
        <f>REPT(" ",8)</f>
        <v/>
      </c>
      <c r="AB3138" s="10">
        <f>REPT(" ",4)</f>
        <v/>
      </c>
      <c r="AC3138" s="10">
        <f>LEFT(UPPER(H3138)&amp;REPT(" ",250),250)</f>
        <v/>
      </c>
      <c r="AD3138" s="10">
        <f>TEXT($G$2,"dd/mm/aaaa")</f>
        <v/>
      </c>
      <c r="AE3138" s="10">
        <f>REPT(" ",10)</f>
        <v/>
      </c>
      <c r="AF3138" s="10">
        <f>REPT(" ",20)</f>
        <v/>
      </c>
      <c r="AG3138" s="54">
        <f>REPT(" ",18-LEN(FIXED(F3138,2,TRUE)))&amp;FIXED(F3138,2,TRUE)</f>
        <v/>
      </c>
      <c r="AH3138" s="10">
        <f>LEN(AC3138)+LEN(AG3138)</f>
        <v/>
      </c>
      <c r="AI3138" s="10">
        <f>LEN(L3138)</f>
        <v/>
      </c>
    </row>
    <row r="3139">
      <c r="J3139" s="12">
        <f>IF(F3139&lt;&gt;0,"LANÇAR","")</f>
        <v/>
      </c>
      <c r="L3139" s="13">
        <f>N3139&amp;O3139&amp;P3139&amp;Q3139&amp;R3139&amp;S3139&amp;T3139&amp;U3139&amp;V3139&amp;W3139&amp;X3139&amp;Y3139&amp;Z3139&amp;AA3139&amp;AB3139&amp;AC3139&amp;AD3139&amp;AE3139&amp;AF3139&amp;AG3139</f>
        <v/>
      </c>
      <c r="N3139" s="10">
        <f>TEXT($B$6,"00")</f>
        <v/>
      </c>
      <c r="O3139" s="10">
        <f>REPT(" ",8)</f>
        <v/>
      </c>
      <c r="P3139" s="10">
        <f>RIGHT($B$4,2)</f>
        <v/>
      </c>
      <c r="Q3139" s="10">
        <f>RIGHT($B$5,3)</f>
        <v/>
      </c>
      <c r="R3139" s="10">
        <f>IF(A3139="D",LEFT(UPPER(B3139)&amp;REPT(" ",20),20),REPT(" ",20))</f>
        <v/>
      </c>
      <c r="S3139" s="10">
        <f>IF(A3139="D",LEFT(UPPER(C3139)&amp;REPT(" ",10),10)," ")</f>
        <v/>
      </c>
      <c r="T3139" s="10">
        <f>IF(A3139="D",LEFT(UPPER(D3139)&amp;REPT(" ",2),2)," ")</f>
        <v/>
      </c>
      <c r="U3139" s="10">
        <f>IF(A3139="D",LEFT(UPPER(E3139)&amp;REPT(" ",15),15)," ")</f>
        <v/>
      </c>
      <c r="V3139" s="10">
        <f>REPT(" ",24)</f>
        <v/>
      </c>
      <c r="W3139" s="10">
        <f>IF(A3139="c",LEFT(UPPER(B3139)&amp;REPT(" ",20),20),REPT(" ",20))</f>
        <v/>
      </c>
      <c r="X3139" s="10">
        <f>IF(A3139="C",LEFT(UPPER(C3139)&amp;REPT(" ",10),10)," ")</f>
        <v/>
      </c>
      <c r="Y3139" s="10">
        <f>IF(A3139="C",LEFT(UPPER(D3139)&amp;REPT(" ",2),2)," ")</f>
        <v/>
      </c>
      <c r="Z3139" s="10">
        <f>IF(A3139="C",LEFT(UPPER(E3139)&amp;REPT(" ",15),15)," ")</f>
        <v/>
      </c>
      <c r="AA3139" s="10">
        <f>REPT(" ",8)</f>
        <v/>
      </c>
      <c r="AB3139" s="10">
        <f>REPT(" ",4)</f>
        <v/>
      </c>
      <c r="AC3139" s="10">
        <f>LEFT(UPPER(H3139)&amp;REPT(" ",250),250)</f>
        <v/>
      </c>
      <c r="AD3139" s="10">
        <f>TEXT($G$2,"dd/mm/aaaa")</f>
        <v/>
      </c>
      <c r="AE3139" s="10">
        <f>REPT(" ",10)</f>
        <v/>
      </c>
      <c r="AF3139" s="10">
        <f>REPT(" ",20)</f>
        <v/>
      </c>
      <c r="AG3139" s="54">
        <f>REPT(" ",18-LEN(FIXED(F3139,2,TRUE)))&amp;FIXED(F3139,2,TRUE)</f>
        <v/>
      </c>
      <c r="AH3139" s="10">
        <f>LEN(AC3139)+LEN(AG3139)</f>
        <v/>
      </c>
      <c r="AI3139" s="10">
        <f>LEN(L3139)</f>
        <v/>
      </c>
    </row>
    <row r="3140">
      <c r="J3140" s="12">
        <f>IF(F3140&lt;&gt;0,"LANÇAR","")</f>
        <v/>
      </c>
      <c r="L3140" s="13">
        <f>N3140&amp;O3140&amp;P3140&amp;Q3140&amp;R3140&amp;S3140&amp;T3140&amp;U3140&amp;V3140&amp;W3140&amp;X3140&amp;Y3140&amp;Z3140&amp;AA3140&amp;AB3140&amp;AC3140&amp;AD3140&amp;AE3140&amp;AF3140&amp;AG3140</f>
        <v/>
      </c>
      <c r="N3140" s="10">
        <f>TEXT($B$6,"00")</f>
        <v/>
      </c>
      <c r="O3140" s="10">
        <f>REPT(" ",8)</f>
        <v/>
      </c>
      <c r="P3140" s="10">
        <f>RIGHT($B$4,2)</f>
        <v/>
      </c>
      <c r="Q3140" s="10">
        <f>RIGHT($B$5,3)</f>
        <v/>
      </c>
      <c r="R3140" s="10">
        <f>IF(A3140="D",LEFT(UPPER(B3140)&amp;REPT(" ",20),20),REPT(" ",20))</f>
        <v/>
      </c>
      <c r="S3140" s="10">
        <f>IF(A3140="D",LEFT(UPPER(C3140)&amp;REPT(" ",10),10)," ")</f>
        <v/>
      </c>
      <c r="T3140" s="10">
        <f>IF(A3140="D",LEFT(UPPER(D3140)&amp;REPT(" ",2),2)," ")</f>
        <v/>
      </c>
      <c r="U3140" s="10">
        <f>IF(A3140="D",LEFT(UPPER(E3140)&amp;REPT(" ",15),15)," ")</f>
        <v/>
      </c>
      <c r="V3140" s="10">
        <f>REPT(" ",24)</f>
        <v/>
      </c>
      <c r="W3140" s="10">
        <f>IF(A3140="c",LEFT(UPPER(B3140)&amp;REPT(" ",20),20),REPT(" ",20))</f>
        <v/>
      </c>
      <c r="X3140" s="10">
        <f>IF(A3140="C",LEFT(UPPER(C3140)&amp;REPT(" ",10),10)," ")</f>
        <v/>
      </c>
      <c r="Y3140" s="10">
        <f>IF(A3140="C",LEFT(UPPER(D3140)&amp;REPT(" ",2),2)," ")</f>
        <v/>
      </c>
      <c r="Z3140" s="10">
        <f>IF(A3140="C",LEFT(UPPER(E3140)&amp;REPT(" ",15),15)," ")</f>
        <v/>
      </c>
      <c r="AA3140" s="10">
        <f>REPT(" ",8)</f>
        <v/>
      </c>
      <c r="AB3140" s="10">
        <f>REPT(" ",4)</f>
        <v/>
      </c>
      <c r="AC3140" s="10">
        <f>LEFT(UPPER(H3140)&amp;REPT(" ",250),250)</f>
        <v/>
      </c>
      <c r="AD3140" s="10">
        <f>TEXT($G$2,"dd/mm/aaaa")</f>
        <v/>
      </c>
      <c r="AE3140" s="10">
        <f>REPT(" ",10)</f>
        <v/>
      </c>
      <c r="AF3140" s="10">
        <f>REPT(" ",20)</f>
        <v/>
      </c>
      <c r="AG3140" s="54">
        <f>REPT(" ",18-LEN(FIXED(F3140,2,TRUE)))&amp;FIXED(F3140,2,TRUE)</f>
        <v/>
      </c>
      <c r="AH3140" s="10">
        <f>LEN(AC3140)+LEN(AG3140)</f>
        <v/>
      </c>
      <c r="AI3140" s="10">
        <f>LEN(L3140)</f>
        <v/>
      </c>
    </row>
    <row r="3141">
      <c r="J3141" s="12">
        <f>IF(F3141&lt;&gt;0,"LANÇAR","")</f>
        <v/>
      </c>
      <c r="L3141" s="13">
        <f>N3141&amp;O3141&amp;P3141&amp;Q3141&amp;R3141&amp;S3141&amp;T3141&amp;U3141&amp;V3141&amp;W3141&amp;X3141&amp;Y3141&amp;Z3141&amp;AA3141&amp;AB3141&amp;AC3141&amp;AD3141&amp;AE3141&amp;AF3141&amp;AG3141</f>
        <v/>
      </c>
      <c r="N3141" s="10">
        <f>TEXT($B$6,"00")</f>
        <v/>
      </c>
      <c r="O3141" s="10">
        <f>REPT(" ",8)</f>
        <v/>
      </c>
      <c r="P3141" s="10">
        <f>RIGHT($B$4,2)</f>
        <v/>
      </c>
      <c r="Q3141" s="10">
        <f>RIGHT($B$5,3)</f>
        <v/>
      </c>
      <c r="R3141" s="10">
        <f>IF(A3141="D",LEFT(UPPER(B3141)&amp;REPT(" ",20),20),REPT(" ",20))</f>
        <v/>
      </c>
      <c r="S3141" s="10">
        <f>IF(A3141="D",LEFT(UPPER(C3141)&amp;REPT(" ",10),10)," ")</f>
        <v/>
      </c>
      <c r="T3141" s="10">
        <f>IF(A3141="D",LEFT(UPPER(D3141)&amp;REPT(" ",2),2)," ")</f>
        <v/>
      </c>
      <c r="U3141" s="10">
        <f>IF(A3141="D",LEFT(UPPER(E3141)&amp;REPT(" ",15),15)," ")</f>
        <v/>
      </c>
      <c r="V3141" s="10">
        <f>REPT(" ",24)</f>
        <v/>
      </c>
      <c r="W3141" s="10">
        <f>IF(A3141="c",LEFT(UPPER(B3141)&amp;REPT(" ",20),20),REPT(" ",20))</f>
        <v/>
      </c>
      <c r="X3141" s="10">
        <f>IF(A3141="C",LEFT(UPPER(C3141)&amp;REPT(" ",10),10)," ")</f>
        <v/>
      </c>
      <c r="Y3141" s="10">
        <f>IF(A3141="C",LEFT(UPPER(D3141)&amp;REPT(" ",2),2)," ")</f>
        <v/>
      </c>
      <c r="Z3141" s="10">
        <f>IF(A3141="C",LEFT(UPPER(E3141)&amp;REPT(" ",15),15)," ")</f>
        <v/>
      </c>
      <c r="AA3141" s="10">
        <f>REPT(" ",8)</f>
        <v/>
      </c>
      <c r="AB3141" s="10">
        <f>REPT(" ",4)</f>
        <v/>
      </c>
      <c r="AC3141" s="10">
        <f>LEFT(UPPER(H3141)&amp;REPT(" ",250),250)</f>
        <v/>
      </c>
      <c r="AD3141" s="10">
        <f>TEXT($G$2,"dd/mm/aaaa")</f>
        <v/>
      </c>
      <c r="AE3141" s="10">
        <f>REPT(" ",10)</f>
        <v/>
      </c>
      <c r="AF3141" s="10">
        <f>REPT(" ",20)</f>
        <v/>
      </c>
      <c r="AG3141" s="54">
        <f>REPT(" ",18-LEN(FIXED(F3141,2,TRUE)))&amp;FIXED(F3141,2,TRUE)</f>
        <v/>
      </c>
      <c r="AH3141" s="10">
        <f>LEN(AC3141)+LEN(AG3141)</f>
        <v/>
      </c>
      <c r="AI3141" s="10">
        <f>LEN(L3141)</f>
        <v/>
      </c>
    </row>
    <row r="3142">
      <c r="J3142" s="12">
        <f>IF(F3142&lt;&gt;0,"LANÇAR","")</f>
        <v/>
      </c>
      <c r="L3142" s="13">
        <f>N3142&amp;O3142&amp;P3142&amp;Q3142&amp;R3142&amp;S3142&amp;T3142&amp;U3142&amp;V3142&amp;W3142&amp;X3142&amp;Y3142&amp;Z3142&amp;AA3142&amp;AB3142&amp;AC3142&amp;AD3142&amp;AE3142&amp;AF3142&amp;AG3142</f>
        <v/>
      </c>
      <c r="N3142" s="10">
        <f>TEXT($B$6,"00")</f>
        <v/>
      </c>
      <c r="O3142" s="10">
        <f>REPT(" ",8)</f>
        <v/>
      </c>
      <c r="P3142" s="10">
        <f>RIGHT($B$4,2)</f>
        <v/>
      </c>
      <c r="Q3142" s="10">
        <f>RIGHT($B$5,3)</f>
        <v/>
      </c>
      <c r="R3142" s="10">
        <f>IF(A3142="D",LEFT(UPPER(B3142)&amp;REPT(" ",20),20),REPT(" ",20))</f>
        <v/>
      </c>
      <c r="S3142" s="10">
        <f>IF(A3142="D",LEFT(UPPER(C3142)&amp;REPT(" ",10),10)," ")</f>
        <v/>
      </c>
      <c r="T3142" s="10">
        <f>IF(A3142="D",LEFT(UPPER(D3142)&amp;REPT(" ",2),2)," ")</f>
        <v/>
      </c>
      <c r="U3142" s="10">
        <f>IF(A3142="D",LEFT(UPPER(E3142)&amp;REPT(" ",15),15)," ")</f>
        <v/>
      </c>
      <c r="V3142" s="10">
        <f>REPT(" ",24)</f>
        <v/>
      </c>
      <c r="W3142" s="10">
        <f>IF(A3142="c",LEFT(UPPER(B3142)&amp;REPT(" ",20),20),REPT(" ",20))</f>
        <v/>
      </c>
      <c r="X3142" s="10">
        <f>IF(A3142="C",LEFT(UPPER(C3142)&amp;REPT(" ",10),10)," ")</f>
        <v/>
      </c>
      <c r="Y3142" s="10">
        <f>IF(A3142="C",LEFT(UPPER(D3142)&amp;REPT(" ",2),2)," ")</f>
        <v/>
      </c>
      <c r="Z3142" s="10">
        <f>IF(A3142="C",LEFT(UPPER(E3142)&amp;REPT(" ",15),15)," ")</f>
        <v/>
      </c>
      <c r="AA3142" s="10">
        <f>REPT(" ",8)</f>
        <v/>
      </c>
      <c r="AB3142" s="10">
        <f>REPT(" ",4)</f>
        <v/>
      </c>
      <c r="AC3142" s="10">
        <f>LEFT(UPPER(H3142)&amp;REPT(" ",250),250)</f>
        <v/>
      </c>
      <c r="AD3142" s="10">
        <f>TEXT($G$2,"dd/mm/aaaa")</f>
        <v/>
      </c>
      <c r="AE3142" s="10">
        <f>REPT(" ",10)</f>
        <v/>
      </c>
      <c r="AF3142" s="10">
        <f>REPT(" ",20)</f>
        <v/>
      </c>
      <c r="AG3142" s="54">
        <f>REPT(" ",18-LEN(FIXED(F3142,2,TRUE)))&amp;FIXED(F3142,2,TRUE)</f>
        <v/>
      </c>
      <c r="AH3142" s="10">
        <f>LEN(AC3142)+LEN(AG3142)</f>
        <v/>
      </c>
      <c r="AI3142" s="10">
        <f>LEN(L3142)</f>
        <v/>
      </c>
    </row>
    <row r="3143">
      <c r="J3143" s="12">
        <f>IF(F3143&lt;&gt;0,"LANÇAR","")</f>
        <v/>
      </c>
      <c r="L3143" s="13">
        <f>N3143&amp;O3143&amp;P3143&amp;Q3143&amp;R3143&amp;S3143&amp;T3143&amp;U3143&amp;V3143&amp;W3143&amp;X3143&amp;Y3143&amp;Z3143&amp;AA3143&amp;AB3143&amp;AC3143&amp;AD3143&amp;AE3143&amp;AF3143&amp;AG3143</f>
        <v/>
      </c>
      <c r="N3143" s="10">
        <f>TEXT($B$6,"00")</f>
        <v/>
      </c>
      <c r="O3143" s="10">
        <f>REPT(" ",8)</f>
        <v/>
      </c>
      <c r="P3143" s="10">
        <f>RIGHT($B$4,2)</f>
        <v/>
      </c>
      <c r="Q3143" s="10">
        <f>RIGHT($B$5,3)</f>
        <v/>
      </c>
      <c r="R3143" s="10">
        <f>IF(A3143="D",LEFT(UPPER(B3143)&amp;REPT(" ",20),20),REPT(" ",20))</f>
        <v/>
      </c>
      <c r="S3143" s="10">
        <f>IF(A3143="D",LEFT(UPPER(C3143)&amp;REPT(" ",10),10)," ")</f>
        <v/>
      </c>
      <c r="T3143" s="10">
        <f>IF(A3143="D",LEFT(UPPER(D3143)&amp;REPT(" ",2),2)," ")</f>
        <v/>
      </c>
      <c r="U3143" s="10">
        <f>IF(A3143="D",LEFT(UPPER(E3143)&amp;REPT(" ",15),15)," ")</f>
        <v/>
      </c>
      <c r="V3143" s="10">
        <f>REPT(" ",24)</f>
        <v/>
      </c>
      <c r="W3143" s="10">
        <f>IF(A3143="c",LEFT(UPPER(B3143)&amp;REPT(" ",20),20),REPT(" ",20))</f>
        <v/>
      </c>
      <c r="X3143" s="10">
        <f>IF(A3143="C",LEFT(UPPER(C3143)&amp;REPT(" ",10),10)," ")</f>
        <v/>
      </c>
      <c r="Y3143" s="10">
        <f>IF(A3143="C",LEFT(UPPER(D3143)&amp;REPT(" ",2),2)," ")</f>
        <v/>
      </c>
      <c r="Z3143" s="10">
        <f>IF(A3143="C",LEFT(UPPER(E3143)&amp;REPT(" ",15),15)," ")</f>
        <v/>
      </c>
      <c r="AA3143" s="10">
        <f>REPT(" ",8)</f>
        <v/>
      </c>
      <c r="AB3143" s="10">
        <f>REPT(" ",4)</f>
        <v/>
      </c>
      <c r="AC3143" s="10">
        <f>LEFT(UPPER(H3143)&amp;REPT(" ",250),250)</f>
        <v/>
      </c>
      <c r="AD3143" s="10">
        <f>TEXT($G$2,"dd/mm/aaaa")</f>
        <v/>
      </c>
      <c r="AE3143" s="10">
        <f>REPT(" ",10)</f>
        <v/>
      </c>
      <c r="AF3143" s="10">
        <f>REPT(" ",20)</f>
        <v/>
      </c>
      <c r="AG3143" s="54">
        <f>REPT(" ",18-LEN(FIXED(F3143,2,TRUE)))&amp;FIXED(F3143,2,TRUE)</f>
        <v/>
      </c>
      <c r="AH3143" s="10">
        <f>LEN(AC3143)+LEN(AG3143)</f>
        <v/>
      </c>
      <c r="AI3143" s="10">
        <f>LEN(L3143)</f>
        <v/>
      </c>
    </row>
    <row r="3144">
      <c r="J3144" s="12">
        <f>IF(F3144&lt;&gt;0,"LANÇAR","")</f>
        <v/>
      </c>
      <c r="L3144" s="13">
        <f>N3144&amp;O3144&amp;P3144&amp;Q3144&amp;R3144&amp;S3144&amp;T3144&amp;U3144&amp;V3144&amp;W3144&amp;X3144&amp;Y3144&amp;Z3144&amp;AA3144&amp;AB3144&amp;AC3144&amp;AD3144&amp;AE3144&amp;AF3144&amp;AG3144</f>
        <v/>
      </c>
      <c r="N3144" s="10">
        <f>TEXT($B$6,"00")</f>
        <v/>
      </c>
      <c r="O3144" s="10">
        <f>REPT(" ",8)</f>
        <v/>
      </c>
      <c r="P3144" s="10">
        <f>RIGHT($B$4,2)</f>
        <v/>
      </c>
      <c r="Q3144" s="10">
        <f>RIGHT($B$5,3)</f>
        <v/>
      </c>
      <c r="R3144" s="10">
        <f>IF(A3144="D",LEFT(UPPER(B3144)&amp;REPT(" ",20),20),REPT(" ",20))</f>
        <v/>
      </c>
      <c r="S3144" s="10">
        <f>IF(A3144="D",LEFT(UPPER(C3144)&amp;REPT(" ",10),10)," ")</f>
        <v/>
      </c>
      <c r="T3144" s="10">
        <f>IF(A3144="D",LEFT(UPPER(D3144)&amp;REPT(" ",2),2)," ")</f>
        <v/>
      </c>
      <c r="U3144" s="10">
        <f>IF(A3144="D",LEFT(UPPER(E3144)&amp;REPT(" ",15),15)," ")</f>
        <v/>
      </c>
      <c r="V3144" s="10">
        <f>REPT(" ",24)</f>
        <v/>
      </c>
      <c r="W3144" s="10">
        <f>IF(A3144="c",LEFT(UPPER(B3144)&amp;REPT(" ",20),20),REPT(" ",20))</f>
        <v/>
      </c>
      <c r="X3144" s="10">
        <f>IF(A3144="C",LEFT(UPPER(C3144)&amp;REPT(" ",10),10)," ")</f>
        <v/>
      </c>
      <c r="Y3144" s="10">
        <f>IF(A3144="C",LEFT(UPPER(D3144)&amp;REPT(" ",2),2)," ")</f>
        <v/>
      </c>
      <c r="Z3144" s="10">
        <f>IF(A3144="C",LEFT(UPPER(E3144)&amp;REPT(" ",15),15)," ")</f>
        <v/>
      </c>
      <c r="AA3144" s="10">
        <f>REPT(" ",8)</f>
        <v/>
      </c>
      <c r="AB3144" s="10">
        <f>REPT(" ",4)</f>
        <v/>
      </c>
      <c r="AC3144" s="10">
        <f>LEFT(UPPER(H3144)&amp;REPT(" ",250),250)</f>
        <v/>
      </c>
      <c r="AD3144" s="10">
        <f>TEXT($G$2,"dd/mm/aaaa")</f>
        <v/>
      </c>
      <c r="AE3144" s="10">
        <f>REPT(" ",10)</f>
        <v/>
      </c>
      <c r="AF3144" s="10">
        <f>REPT(" ",20)</f>
        <v/>
      </c>
      <c r="AG3144" s="54">
        <f>REPT(" ",18-LEN(FIXED(F3144,2,TRUE)))&amp;FIXED(F3144,2,TRUE)</f>
        <v/>
      </c>
      <c r="AH3144" s="10">
        <f>LEN(AC3144)+LEN(AG3144)</f>
        <v/>
      </c>
      <c r="AI3144" s="10">
        <f>LEN(L3144)</f>
        <v/>
      </c>
    </row>
    <row r="3145">
      <c r="J3145" s="12">
        <f>IF(F3145&lt;&gt;0,"LANÇAR","")</f>
        <v/>
      </c>
      <c r="L3145" s="13">
        <f>N3145&amp;O3145&amp;P3145&amp;Q3145&amp;R3145&amp;S3145&amp;T3145&amp;U3145&amp;V3145&amp;W3145&amp;X3145&amp;Y3145&amp;Z3145&amp;AA3145&amp;AB3145&amp;AC3145&amp;AD3145&amp;AE3145&amp;AF3145&amp;AG3145</f>
        <v/>
      </c>
      <c r="N3145" s="10">
        <f>TEXT($B$6,"00")</f>
        <v/>
      </c>
      <c r="O3145" s="10">
        <f>REPT(" ",8)</f>
        <v/>
      </c>
      <c r="P3145" s="10">
        <f>RIGHT($B$4,2)</f>
        <v/>
      </c>
      <c r="Q3145" s="10">
        <f>RIGHT($B$5,3)</f>
        <v/>
      </c>
      <c r="R3145" s="10">
        <f>IF(A3145="D",LEFT(UPPER(B3145)&amp;REPT(" ",20),20),REPT(" ",20))</f>
        <v/>
      </c>
      <c r="S3145" s="10">
        <f>IF(A3145="D",LEFT(UPPER(C3145)&amp;REPT(" ",10),10)," ")</f>
        <v/>
      </c>
      <c r="T3145" s="10">
        <f>IF(A3145="D",LEFT(UPPER(D3145)&amp;REPT(" ",2),2)," ")</f>
        <v/>
      </c>
      <c r="U3145" s="10">
        <f>IF(A3145="D",LEFT(UPPER(E3145)&amp;REPT(" ",15),15)," ")</f>
        <v/>
      </c>
      <c r="V3145" s="10">
        <f>REPT(" ",24)</f>
        <v/>
      </c>
      <c r="W3145" s="10">
        <f>IF(A3145="c",LEFT(UPPER(B3145)&amp;REPT(" ",20),20),REPT(" ",20))</f>
        <v/>
      </c>
      <c r="X3145" s="10">
        <f>IF(A3145="C",LEFT(UPPER(C3145)&amp;REPT(" ",10),10)," ")</f>
        <v/>
      </c>
      <c r="Y3145" s="10">
        <f>IF(A3145="C",LEFT(UPPER(D3145)&amp;REPT(" ",2),2)," ")</f>
        <v/>
      </c>
      <c r="Z3145" s="10">
        <f>IF(A3145="C",LEFT(UPPER(E3145)&amp;REPT(" ",15),15)," ")</f>
        <v/>
      </c>
      <c r="AA3145" s="10">
        <f>REPT(" ",8)</f>
        <v/>
      </c>
      <c r="AB3145" s="10">
        <f>REPT(" ",4)</f>
        <v/>
      </c>
      <c r="AC3145" s="10">
        <f>LEFT(UPPER(H3145)&amp;REPT(" ",250),250)</f>
        <v/>
      </c>
      <c r="AD3145" s="10">
        <f>TEXT($G$2,"dd/mm/aaaa")</f>
        <v/>
      </c>
      <c r="AE3145" s="10">
        <f>REPT(" ",10)</f>
        <v/>
      </c>
      <c r="AF3145" s="10">
        <f>REPT(" ",20)</f>
        <v/>
      </c>
      <c r="AG3145" s="54">
        <f>REPT(" ",18-LEN(FIXED(F3145,2,TRUE)))&amp;FIXED(F3145,2,TRUE)</f>
        <v/>
      </c>
      <c r="AH3145" s="10">
        <f>LEN(AC3145)+LEN(AG3145)</f>
        <v/>
      </c>
      <c r="AI3145" s="10">
        <f>LEN(L3145)</f>
        <v/>
      </c>
    </row>
    <row r="3146">
      <c r="J3146" s="12">
        <f>IF(F3146&lt;&gt;0,"LANÇAR","")</f>
        <v/>
      </c>
      <c r="L3146" s="13">
        <f>N3146&amp;O3146&amp;P3146&amp;Q3146&amp;R3146&amp;S3146&amp;T3146&amp;U3146&amp;V3146&amp;W3146&amp;X3146&amp;Y3146&amp;Z3146&amp;AA3146&amp;AB3146&amp;AC3146&amp;AD3146&amp;AE3146&amp;AF3146&amp;AG3146</f>
        <v/>
      </c>
      <c r="N3146" s="10">
        <f>TEXT($B$6,"00")</f>
        <v/>
      </c>
      <c r="O3146" s="10">
        <f>REPT(" ",8)</f>
        <v/>
      </c>
      <c r="P3146" s="10">
        <f>RIGHT($B$4,2)</f>
        <v/>
      </c>
      <c r="Q3146" s="10">
        <f>RIGHT($B$5,3)</f>
        <v/>
      </c>
      <c r="R3146" s="10">
        <f>IF(A3146="D",LEFT(UPPER(B3146)&amp;REPT(" ",20),20),REPT(" ",20))</f>
        <v/>
      </c>
      <c r="S3146" s="10">
        <f>IF(A3146="D",LEFT(UPPER(C3146)&amp;REPT(" ",10),10)," ")</f>
        <v/>
      </c>
      <c r="T3146" s="10">
        <f>IF(A3146="D",LEFT(UPPER(D3146)&amp;REPT(" ",2),2)," ")</f>
        <v/>
      </c>
      <c r="U3146" s="10">
        <f>IF(A3146="D",LEFT(UPPER(E3146)&amp;REPT(" ",15),15)," ")</f>
        <v/>
      </c>
      <c r="V3146" s="10">
        <f>REPT(" ",24)</f>
        <v/>
      </c>
      <c r="W3146" s="10">
        <f>IF(A3146="c",LEFT(UPPER(B3146)&amp;REPT(" ",20),20),REPT(" ",20))</f>
        <v/>
      </c>
      <c r="X3146" s="10">
        <f>IF(A3146="C",LEFT(UPPER(C3146)&amp;REPT(" ",10),10)," ")</f>
        <v/>
      </c>
      <c r="Y3146" s="10">
        <f>IF(A3146="C",LEFT(UPPER(D3146)&amp;REPT(" ",2),2)," ")</f>
        <v/>
      </c>
      <c r="Z3146" s="10">
        <f>IF(A3146="C",LEFT(UPPER(E3146)&amp;REPT(" ",15),15)," ")</f>
        <v/>
      </c>
      <c r="AA3146" s="10">
        <f>REPT(" ",8)</f>
        <v/>
      </c>
      <c r="AB3146" s="10">
        <f>REPT(" ",4)</f>
        <v/>
      </c>
      <c r="AC3146" s="10">
        <f>LEFT(UPPER(H3146)&amp;REPT(" ",250),250)</f>
        <v/>
      </c>
      <c r="AD3146" s="10">
        <f>TEXT($G$2,"dd/mm/aaaa")</f>
        <v/>
      </c>
      <c r="AE3146" s="10">
        <f>REPT(" ",10)</f>
        <v/>
      </c>
      <c r="AF3146" s="10">
        <f>REPT(" ",20)</f>
        <v/>
      </c>
      <c r="AG3146" s="54">
        <f>REPT(" ",18-LEN(FIXED(F3146,2,TRUE)))&amp;FIXED(F3146,2,TRUE)</f>
        <v/>
      </c>
      <c r="AH3146" s="10">
        <f>LEN(AC3146)+LEN(AG3146)</f>
        <v/>
      </c>
      <c r="AI3146" s="10">
        <f>LEN(L3146)</f>
        <v/>
      </c>
    </row>
    <row r="3147">
      <c r="J3147" s="12">
        <f>IF(F3147&lt;&gt;0,"LANÇAR","")</f>
        <v/>
      </c>
      <c r="L3147" s="13">
        <f>N3147&amp;O3147&amp;P3147&amp;Q3147&amp;R3147&amp;S3147&amp;T3147&amp;U3147&amp;V3147&amp;W3147&amp;X3147&amp;Y3147&amp;Z3147&amp;AA3147&amp;AB3147&amp;AC3147&amp;AD3147&amp;AE3147&amp;AF3147&amp;AG3147</f>
        <v/>
      </c>
      <c r="N3147" s="10">
        <f>TEXT($B$6,"00")</f>
        <v/>
      </c>
      <c r="O3147" s="10">
        <f>REPT(" ",8)</f>
        <v/>
      </c>
      <c r="P3147" s="10">
        <f>RIGHT($B$4,2)</f>
        <v/>
      </c>
      <c r="Q3147" s="10">
        <f>RIGHT($B$5,3)</f>
        <v/>
      </c>
      <c r="R3147" s="10">
        <f>IF(A3147="D",LEFT(UPPER(B3147)&amp;REPT(" ",20),20),REPT(" ",20))</f>
        <v/>
      </c>
      <c r="S3147" s="10">
        <f>IF(A3147="D",LEFT(UPPER(C3147)&amp;REPT(" ",10),10)," ")</f>
        <v/>
      </c>
      <c r="T3147" s="10">
        <f>IF(A3147="D",LEFT(UPPER(D3147)&amp;REPT(" ",2),2)," ")</f>
        <v/>
      </c>
      <c r="U3147" s="10">
        <f>IF(A3147="D",LEFT(UPPER(E3147)&amp;REPT(" ",15),15)," ")</f>
        <v/>
      </c>
      <c r="V3147" s="10">
        <f>REPT(" ",24)</f>
        <v/>
      </c>
      <c r="W3147" s="10">
        <f>IF(A3147="c",LEFT(UPPER(B3147)&amp;REPT(" ",20),20),REPT(" ",20))</f>
        <v/>
      </c>
      <c r="X3147" s="10">
        <f>IF(A3147="C",LEFT(UPPER(C3147)&amp;REPT(" ",10),10)," ")</f>
        <v/>
      </c>
      <c r="Y3147" s="10">
        <f>IF(A3147="C",LEFT(UPPER(D3147)&amp;REPT(" ",2),2)," ")</f>
        <v/>
      </c>
      <c r="Z3147" s="10">
        <f>IF(A3147="C",LEFT(UPPER(E3147)&amp;REPT(" ",15),15)," ")</f>
        <v/>
      </c>
      <c r="AA3147" s="10">
        <f>REPT(" ",8)</f>
        <v/>
      </c>
      <c r="AB3147" s="10">
        <f>REPT(" ",4)</f>
        <v/>
      </c>
      <c r="AC3147" s="10">
        <f>LEFT(UPPER(H3147)&amp;REPT(" ",250),250)</f>
        <v/>
      </c>
      <c r="AD3147" s="10">
        <f>TEXT($G$2,"dd/mm/aaaa")</f>
        <v/>
      </c>
      <c r="AE3147" s="10">
        <f>REPT(" ",10)</f>
        <v/>
      </c>
      <c r="AF3147" s="10">
        <f>REPT(" ",20)</f>
        <v/>
      </c>
      <c r="AG3147" s="54">
        <f>REPT(" ",18-LEN(FIXED(F3147,2,TRUE)))&amp;FIXED(F3147,2,TRUE)</f>
        <v/>
      </c>
      <c r="AH3147" s="10">
        <f>LEN(AC3147)+LEN(AG3147)</f>
        <v/>
      </c>
      <c r="AI3147" s="10">
        <f>LEN(L3147)</f>
        <v/>
      </c>
    </row>
    <row r="3148">
      <c r="J3148" s="12">
        <f>IF(F3148&lt;&gt;0,"LANÇAR","")</f>
        <v/>
      </c>
      <c r="L3148" s="13">
        <f>N3148&amp;O3148&amp;P3148&amp;Q3148&amp;R3148&amp;S3148&amp;T3148&amp;U3148&amp;V3148&amp;W3148&amp;X3148&amp;Y3148&amp;Z3148&amp;AA3148&amp;AB3148&amp;AC3148&amp;AD3148&amp;AE3148&amp;AF3148&amp;AG3148</f>
        <v/>
      </c>
      <c r="N3148" s="10">
        <f>TEXT($B$6,"00")</f>
        <v/>
      </c>
      <c r="O3148" s="10">
        <f>REPT(" ",8)</f>
        <v/>
      </c>
      <c r="P3148" s="10">
        <f>RIGHT($B$4,2)</f>
        <v/>
      </c>
      <c r="Q3148" s="10">
        <f>RIGHT($B$5,3)</f>
        <v/>
      </c>
      <c r="R3148" s="10">
        <f>IF(A3148="D",LEFT(UPPER(B3148)&amp;REPT(" ",20),20),REPT(" ",20))</f>
        <v/>
      </c>
      <c r="S3148" s="10">
        <f>IF(A3148="D",LEFT(UPPER(C3148)&amp;REPT(" ",10),10)," ")</f>
        <v/>
      </c>
      <c r="T3148" s="10">
        <f>IF(A3148="D",LEFT(UPPER(D3148)&amp;REPT(" ",2),2)," ")</f>
        <v/>
      </c>
      <c r="U3148" s="10">
        <f>IF(A3148="D",LEFT(UPPER(E3148)&amp;REPT(" ",15),15)," ")</f>
        <v/>
      </c>
      <c r="V3148" s="10">
        <f>REPT(" ",24)</f>
        <v/>
      </c>
      <c r="W3148" s="10">
        <f>IF(A3148="c",LEFT(UPPER(B3148)&amp;REPT(" ",20),20),REPT(" ",20))</f>
        <v/>
      </c>
      <c r="X3148" s="10">
        <f>IF(A3148="C",LEFT(UPPER(C3148)&amp;REPT(" ",10),10)," ")</f>
        <v/>
      </c>
      <c r="Y3148" s="10">
        <f>IF(A3148="C",LEFT(UPPER(D3148)&amp;REPT(" ",2),2)," ")</f>
        <v/>
      </c>
      <c r="Z3148" s="10">
        <f>IF(A3148="C",LEFT(UPPER(E3148)&amp;REPT(" ",15),15)," ")</f>
        <v/>
      </c>
      <c r="AA3148" s="10">
        <f>REPT(" ",8)</f>
        <v/>
      </c>
      <c r="AB3148" s="10">
        <f>REPT(" ",4)</f>
        <v/>
      </c>
      <c r="AC3148" s="10">
        <f>LEFT(UPPER(H3148)&amp;REPT(" ",250),250)</f>
        <v/>
      </c>
      <c r="AD3148" s="10">
        <f>TEXT($G$2,"dd/mm/aaaa")</f>
        <v/>
      </c>
      <c r="AE3148" s="10">
        <f>REPT(" ",10)</f>
        <v/>
      </c>
      <c r="AF3148" s="10">
        <f>REPT(" ",20)</f>
        <v/>
      </c>
      <c r="AG3148" s="54">
        <f>REPT(" ",18-LEN(FIXED(F3148,2,TRUE)))&amp;FIXED(F3148,2,TRUE)</f>
        <v/>
      </c>
      <c r="AH3148" s="10">
        <f>LEN(AC3148)+LEN(AG3148)</f>
        <v/>
      </c>
      <c r="AI3148" s="10">
        <f>LEN(L3148)</f>
        <v/>
      </c>
    </row>
    <row r="3149">
      <c r="J3149" s="12">
        <f>IF(F3149&lt;&gt;0,"LANÇAR","")</f>
        <v/>
      </c>
      <c r="L3149" s="13">
        <f>N3149&amp;O3149&amp;P3149&amp;Q3149&amp;R3149&amp;S3149&amp;T3149&amp;U3149&amp;V3149&amp;W3149&amp;X3149&amp;Y3149&amp;Z3149&amp;AA3149&amp;AB3149&amp;AC3149&amp;AD3149&amp;AE3149&amp;AF3149&amp;AG3149</f>
        <v/>
      </c>
      <c r="N3149" s="10">
        <f>TEXT($B$6,"00")</f>
        <v/>
      </c>
      <c r="O3149" s="10">
        <f>REPT(" ",8)</f>
        <v/>
      </c>
      <c r="P3149" s="10">
        <f>RIGHT($B$4,2)</f>
        <v/>
      </c>
      <c r="Q3149" s="10">
        <f>RIGHT($B$5,3)</f>
        <v/>
      </c>
      <c r="R3149" s="10">
        <f>IF(A3149="D",LEFT(UPPER(B3149)&amp;REPT(" ",20),20),REPT(" ",20))</f>
        <v/>
      </c>
      <c r="S3149" s="10">
        <f>IF(A3149="D",LEFT(UPPER(C3149)&amp;REPT(" ",10),10)," ")</f>
        <v/>
      </c>
      <c r="T3149" s="10">
        <f>IF(A3149="D",LEFT(UPPER(D3149)&amp;REPT(" ",2),2)," ")</f>
        <v/>
      </c>
      <c r="U3149" s="10">
        <f>IF(A3149="D",LEFT(UPPER(E3149)&amp;REPT(" ",15),15)," ")</f>
        <v/>
      </c>
      <c r="V3149" s="10">
        <f>REPT(" ",24)</f>
        <v/>
      </c>
      <c r="W3149" s="10">
        <f>IF(A3149="c",LEFT(UPPER(B3149)&amp;REPT(" ",20),20),REPT(" ",20))</f>
        <v/>
      </c>
      <c r="X3149" s="10">
        <f>IF(A3149="C",LEFT(UPPER(C3149)&amp;REPT(" ",10),10)," ")</f>
        <v/>
      </c>
      <c r="Y3149" s="10">
        <f>IF(A3149="C",LEFT(UPPER(D3149)&amp;REPT(" ",2),2)," ")</f>
        <v/>
      </c>
      <c r="Z3149" s="10">
        <f>IF(A3149="C",LEFT(UPPER(E3149)&amp;REPT(" ",15),15)," ")</f>
        <v/>
      </c>
      <c r="AA3149" s="10">
        <f>REPT(" ",8)</f>
        <v/>
      </c>
      <c r="AB3149" s="10">
        <f>REPT(" ",4)</f>
        <v/>
      </c>
      <c r="AC3149" s="10">
        <f>LEFT(UPPER(H3149)&amp;REPT(" ",250),250)</f>
        <v/>
      </c>
      <c r="AD3149" s="10">
        <f>TEXT($G$2,"dd/mm/aaaa")</f>
        <v/>
      </c>
      <c r="AE3149" s="10">
        <f>REPT(" ",10)</f>
        <v/>
      </c>
      <c r="AF3149" s="10">
        <f>REPT(" ",20)</f>
        <v/>
      </c>
      <c r="AG3149" s="54">
        <f>REPT(" ",18-LEN(FIXED(F3149,2,TRUE)))&amp;FIXED(F3149,2,TRUE)</f>
        <v/>
      </c>
      <c r="AH3149" s="10">
        <f>LEN(AC3149)+LEN(AG3149)</f>
        <v/>
      </c>
      <c r="AI3149" s="10">
        <f>LEN(L3149)</f>
        <v/>
      </c>
    </row>
    <row r="3150">
      <c r="J3150" s="12">
        <f>IF(F3150&lt;&gt;0,"LANÇAR","")</f>
        <v/>
      </c>
      <c r="L3150" s="13">
        <f>N3150&amp;O3150&amp;P3150&amp;Q3150&amp;R3150&amp;S3150&amp;T3150&amp;U3150&amp;V3150&amp;W3150&amp;X3150&amp;Y3150&amp;Z3150&amp;AA3150&amp;AB3150&amp;AC3150&amp;AD3150&amp;AE3150&amp;AF3150&amp;AG3150</f>
        <v/>
      </c>
      <c r="N3150" s="10">
        <f>TEXT($B$6,"00")</f>
        <v/>
      </c>
      <c r="O3150" s="10">
        <f>REPT(" ",8)</f>
        <v/>
      </c>
      <c r="P3150" s="10">
        <f>RIGHT($B$4,2)</f>
        <v/>
      </c>
      <c r="Q3150" s="10">
        <f>RIGHT($B$5,3)</f>
        <v/>
      </c>
      <c r="R3150" s="10">
        <f>IF(A3150="D",LEFT(UPPER(B3150)&amp;REPT(" ",20),20),REPT(" ",20))</f>
        <v/>
      </c>
      <c r="S3150" s="10">
        <f>IF(A3150="D",LEFT(UPPER(C3150)&amp;REPT(" ",10),10)," ")</f>
        <v/>
      </c>
      <c r="T3150" s="10">
        <f>IF(A3150="D",LEFT(UPPER(D3150)&amp;REPT(" ",2),2)," ")</f>
        <v/>
      </c>
      <c r="U3150" s="10">
        <f>IF(A3150="D",LEFT(UPPER(E3150)&amp;REPT(" ",15),15)," ")</f>
        <v/>
      </c>
      <c r="V3150" s="10">
        <f>REPT(" ",24)</f>
        <v/>
      </c>
      <c r="W3150" s="10">
        <f>IF(A3150="c",LEFT(UPPER(B3150)&amp;REPT(" ",20),20),REPT(" ",20))</f>
        <v/>
      </c>
      <c r="X3150" s="10">
        <f>IF(A3150="C",LEFT(UPPER(C3150)&amp;REPT(" ",10),10)," ")</f>
        <v/>
      </c>
      <c r="Y3150" s="10">
        <f>IF(A3150="C",LEFT(UPPER(D3150)&amp;REPT(" ",2),2)," ")</f>
        <v/>
      </c>
      <c r="Z3150" s="10">
        <f>IF(A3150="C",LEFT(UPPER(E3150)&amp;REPT(" ",15),15)," ")</f>
        <v/>
      </c>
      <c r="AA3150" s="10">
        <f>REPT(" ",8)</f>
        <v/>
      </c>
      <c r="AB3150" s="10">
        <f>REPT(" ",4)</f>
        <v/>
      </c>
      <c r="AC3150" s="10">
        <f>LEFT(UPPER(H3150)&amp;REPT(" ",250),250)</f>
        <v/>
      </c>
      <c r="AD3150" s="10">
        <f>TEXT($G$2,"dd/mm/aaaa")</f>
        <v/>
      </c>
      <c r="AE3150" s="10">
        <f>REPT(" ",10)</f>
        <v/>
      </c>
      <c r="AF3150" s="10">
        <f>REPT(" ",20)</f>
        <v/>
      </c>
      <c r="AG3150" s="54">
        <f>REPT(" ",18-LEN(FIXED(F3150,2,TRUE)))&amp;FIXED(F3150,2,TRUE)</f>
        <v/>
      </c>
      <c r="AH3150" s="10">
        <f>LEN(AC3150)+LEN(AG3150)</f>
        <v/>
      </c>
      <c r="AI3150" s="10">
        <f>LEN(L3150)</f>
        <v/>
      </c>
    </row>
    <row r="3151">
      <c r="J3151" s="12">
        <f>IF(F3151&lt;&gt;0,"LANÇAR","")</f>
        <v/>
      </c>
      <c r="L3151" s="13">
        <f>N3151&amp;O3151&amp;P3151&amp;Q3151&amp;R3151&amp;S3151&amp;T3151&amp;U3151&amp;V3151&amp;W3151&amp;X3151&amp;Y3151&amp;Z3151&amp;AA3151&amp;AB3151&amp;AC3151&amp;AD3151&amp;AE3151&amp;AF3151&amp;AG3151</f>
        <v/>
      </c>
      <c r="N3151" s="10">
        <f>TEXT($B$6,"00")</f>
        <v/>
      </c>
      <c r="O3151" s="10">
        <f>REPT(" ",8)</f>
        <v/>
      </c>
      <c r="P3151" s="10">
        <f>RIGHT($B$4,2)</f>
        <v/>
      </c>
      <c r="Q3151" s="10">
        <f>RIGHT($B$5,3)</f>
        <v/>
      </c>
      <c r="R3151" s="10">
        <f>IF(A3151="D",LEFT(UPPER(B3151)&amp;REPT(" ",20),20),REPT(" ",20))</f>
        <v/>
      </c>
      <c r="S3151" s="10">
        <f>IF(A3151="D",LEFT(UPPER(C3151)&amp;REPT(" ",10),10)," ")</f>
        <v/>
      </c>
      <c r="T3151" s="10">
        <f>IF(A3151="D",LEFT(UPPER(D3151)&amp;REPT(" ",2),2)," ")</f>
        <v/>
      </c>
      <c r="U3151" s="10">
        <f>IF(A3151="D",LEFT(UPPER(E3151)&amp;REPT(" ",15),15)," ")</f>
        <v/>
      </c>
      <c r="V3151" s="10">
        <f>REPT(" ",24)</f>
        <v/>
      </c>
      <c r="W3151" s="10">
        <f>IF(A3151="c",LEFT(UPPER(B3151)&amp;REPT(" ",20),20),REPT(" ",20))</f>
        <v/>
      </c>
      <c r="X3151" s="10">
        <f>IF(A3151="C",LEFT(UPPER(C3151)&amp;REPT(" ",10),10)," ")</f>
        <v/>
      </c>
      <c r="Y3151" s="10">
        <f>IF(A3151="C",LEFT(UPPER(D3151)&amp;REPT(" ",2),2)," ")</f>
        <v/>
      </c>
      <c r="Z3151" s="10">
        <f>IF(A3151="C",LEFT(UPPER(E3151)&amp;REPT(" ",15),15)," ")</f>
        <v/>
      </c>
      <c r="AA3151" s="10">
        <f>REPT(" ",8)</f>
        <v/>
      </c>
      <c r="AB3151" s="10">
        <f>REPT(" ",4)</f>
        <v/>
      </c>
      <c r="AC3151" s="10">
        <f>LEFT(UPPER(H3151)&amp;REPT(" ",250),250)</f>
        <v/>
      </c>
      <c r="AD3151" s="10">
        <f>TEXT($G$2,"dd/mm/aaaa")</f>
        <v/>
      </c>
      <c r="AE3151" s="10">
        <f>REPT(" ",10)</f>
        <v/>
      </c>
      <c r="AF3151" s="10">
        <f>REPT(" ",20)</f>
        <v/>
      </c>
      <c r="AG3151" s="54">
        <f>REPT(" ",18-LEN(FIXED(F3151,2,TRUE)))&amp;FIXED(F3151,2,TRUE)</f>
        <v/>
      </c>
      <c r="AH3151" s="10">
        <f>LEN(AC3151)+LEN(AG3151)</f>
        <v/>
      </c>
      <c r="AI3151" s="10">
        <f>LEN(L3151)</f>
        <v/>
      </c>
    </row>
    <row r="3152">
      <c r="J3152" s="12">
        <f>IF(F3152&lt;&gt;0,"LANÇAR","")</f>
        <v/>
      </c>
      <c r="L3152" s="13">
        <f>N3152&amp;O3152&amp;P3152&amp;Q3152&amp;R3152&amp;S3152&amp;T3152&amp;U3152&amp;V3152&amp;W3152&amp;X3152&amp;Y3152&amp;Z3152&amp;AA3152&amp;AB3152&amp;AC3152&amp;AD3152&amp;AE3152&amp;AF3152&amp;AG3152</f>
        <v/>
      </c>
      <c r="N3152" s="10">
        <f>TEXT($B$6,"00")</f>
        <v/>
      </c>
      <c r="O3152" s="10">
        <f>REPT(" ",8)</f>
        <v/>
      </c>
      <c r="P3152" s="10">
        <f>RIGHT($B$4,2)</f>
        <v/>
      </c>
      <c r="Q3152" s="10">
        <f>RIGHT($B$5,3)</f>
        <v/>
      </c>
      <c r="R3152" s="10">
        <f>IF(A3152="D",LEFT(UPPER(B3152)&amp;REPT(" ",20),20),REPT(" ",20))</f>
        <v/>
      </c>
      <c r="S3152" s="10">
        <f>IF(A3152="D",LEFT(UPPER(C3152)&amp;REPT(" ",10),10)," ")</f>
        <v/>
      </c>
      <c r="T3152" s="10">
        <f>IF(A3152="D",LEFT(UPPER(D3152)&amp;REPT(" ",2),2)," ")</f>
        <v/>
      </c>
      <c r="U3152" s="10">
        <f>IF(A3152="D",LEFT(UPPER(E3152)&amp;REPT(" ",15),15)," ")</f>
        <v/>
      </c>
      <c r="V3152" s="10">
        <f>REPT(" ",24)</f>
        <v/>
      </c>
      <c r="W3152" s="10">
        <f>IF(A3152="c",LEFT(UPPER(B3152)&amp;REPT(" ",20),20),REPT(" ",20))</f>
        <v/>
      </c>
      <c r="X3152" s="10">
        <f>IF(A3152="C",LEFT(UPPER(C3152)&amp;REPT(" ",10),10)," ")</f>
        <v/>
      </c>
      <c r="Y3152" s="10">
        <f>IF(A3152="C",LEFT(UPPER(D3152)&amp;REPT(" ",2),2)," ")</f>
        <v/>
      </c>
      <c r="Z3152" s="10">
        <f>IF(A3152="C",LEFT(UPPER(E3152)&amp;REPT(" ",15),15)," ")</f>
        <v/>
      </c>
      <c r="AA3152" s="10">
        <f>REPT(" ",8)</f>
        <v/>
      </c>
      <c r="AB3152" s="10">
        <f>REPT(" ",4)</f>
        <v/>
      </c>
      <c r="AC3152" s="10">
        <f>LEFT(UPPER(H3152)&amp;REPT(" ",250),250)</f>
        <v/>
      </c>
      <c r="AD3152" s="10">
        <f>TEXT($G$2,"dd/mm/aaaa")</f>
        <v/>
      </c>
      <c r="AE3152" s="10">
        <f>REPT(" ",10)</f>
        <v/>
      </c>
      <c r="AF3152" s="10">
        <f>REPT(" ",20)</f>
        <v/>
      </c>
      <c r="AG3152" s="54">
        <f>REPT(" ",18-LEN(FIXED(F3152,2,TRUE)))&amp;FIXED(F3152,2,TRUE)</f>
        <v/>
      </c>
      <c r="AH3152" s="10">
        <f>LEN(AC3152)+LEN(AG3152)</f>
        <v/>
      </c>
      <c r="AI3152" s="10">
        <f>LEN(L3152)</f>
        <v/>
      </c>
    </row>
    <row r="3153">
      <c r="J3153" s="12">
        <f>IF(F3153&lt;&gt;0,"LANÇAR","")</f>
        <v/>
      </c>
      <c r="L3153" s="13">
        <f>N3153&amp;O3153&amp;P3153&amp;Q3153&amp;R3153&amp;S3153&amp;T3153&amp;U3153&amp;V3153&amp;W3153&amp;X3153&amp;Y3153&amp;Z3153&amp;AA3153&amp;AB3153&amp;AC3153&amp;AD3153&amp;AE3153&amp;AF3153&amp;AG3153</f>
        <v/>
      </c>
      <c r="N3153" s="10">
        <f>TEXT($B$6,"00")</f>
        <v/>
      </c>
      <c r="O3153" s="10">
        <f>REPT(" ",8)</f>
        <v/>
      </c>
      <c r="P3153" s="10">
        <f>RIGHT($B$4,2)</f>
        <v/>
      </c>
      <c r="Q3153" s="10">
        <f>RIGHT($B$5,3)</f>
        <v/>
      </c>
      <c r="R3153" s="10">
        <f>IF(A3153="D",LEFT(UPPER(B3153)&amp;REPT(" ",20),20),REPT(" ",20))</f>
        <v/>
      </c>
      <c r="S3153" s="10">
        <f>IF(A3153="D",LEFT(UPPER(C3153)&amp;REPT(" ",10),10)," ")</f>
        <v/>
      </c>
      <c r="T3153" s="10">
        <f>IF(A3153="D",LEFT(UPPER(D3153)&amp;REPT(" ",2),2)," ")</f>
        <v/>
      </c>
      <c r="U3153" s="10">
        <f>IF(A3153="D",LEFT(UPPER(E3153)&amp;REPT(" ",15),15)," ")</f>
        <v/>
      </c>
      <c r="V3153" s="10">
        <f>REPT(" ",24)</f>
        <v/>
      </c>
      <c r="W3153" s="10">
        <f>IF(A3153="c",LEFT(UPPER(B3153)&amp;REPT(" ",20),20),REPT(" ",20))</f>
        <v/>
      </c>
      <c r="X3153" s="10">
        <f>IF(A3153="C",LEFT(UPPER(C3153)&amp;REPT(" ",10),10)," ")</f>
        <v/>
      </c>
      <c r="Y3153" s="10">
        <f>IF(A3153="C",LEFT(UPPER(D3153)&amp;REPT(" ",2),2)," ")</f>
        <v/>
      </c>
      <c r="Z3153" s="10">
        <f>IF(A3153="C",LEFT(UPPER(E3153)&amp;REPT(" ",15),15)," ")</f>
        <v/>
      </c>
      <c r="AA3153" s="10">
        <f>REPT(" ",8)</f>
        <v/>
      </c>
      <c r="AB3153" s="10">
        <f>REPT(" ",4)</f>
        <v/>
      </c>
      <c r="AC3153" s="10">
        <f>LEFT(UPPER(H3153)&amp;REPT(" ",250),250)</f>
        <v/>
      </c>
      <c r="AD3153" s="10">
        <f>TEXT($G$2,"dd/mm/aaaa")</f>
        <v/>
      </c>
      <c r="AE3153" s="10">
        <f>REPT(" ",10)</f>
        <v/>
      </c>
      <c r="AF3153" s="10">
        <f>REPT(" ",20)</f>
        <v/>
      </c>
      <c r="AG3153" s="54">
        <f>REPT(" ",18-LEN(FIXED(F3153,2,TRUE)))&amp;FIXED(F3153,2,TRUE)</f>
        <v/>
      </c>
      <c r="AH3153" s="10">
        <f>LEN(AC3153)+LEN(AG3153)</f>
        <v/>
      </c>
      <c r="AI3153" s="10">
        <f>LEN(L3153)</f>
        <v/>
      </c>
    </row>
    <row r="3154">
      <c r="J3154" s="12">
        <f>IF(F3154&lt;&gt;0,"LANÇAR","")</f>
        <v/>
      </c>
      <c r="L3154" s="13">
        <f>N3154&amp;O3154&amp;P3154&amp;Q3154&amp;R3154&amp;S3154&amp;T3154&amp;U3154&amp;V3154&amp;W3154&amp;X3154&amp;Y3154&amp;Z3154&amp;AA3154&amp;AB3154&amp;AC3154&amp;AD3154&amp;AE3154&amp;AF3154&amp;AG3154</f>
        <v/>
      </c>
      <c r="N3154" s="10">
        <f>TEXT($B$6,"00")</f>
        <v/>
      </c>
      <c r="O3154" s="10">
        <f>REPT(" ",8)</f>
        <v/>
      </c>
      <c r="P3154" s="10">
        <f>RIGHT($B$4,2)</f>
        <v/>
      </c>
      <c r="Q3154" s="10">
        <f>RIGHT($B$5,3)</f>
        <v/>
      </c>
      <c r="R3154" s="10">
        <f>IF(A3154="D",LEFT(UPPER(B3154)&amp;REPT(" ",20),20),REPT(" ",20))</f>
        <v/>
      </c>
      <c r="S3154" s="10">
        <f>IF(A3154="D",LEFT(UPPER(C3154)&amp;REPT(" ",10),10)," ")</f>
        <v/>
      </c>
      <c r="T3154" s="10">
        <f>IF(A3154="D",LEFT(UPPER(D3154)&amp;REPT(" ",2),2)," ")</f>
        <v/>
      </c>
      <c r="U3154" s="10">
        <f>IF(A3154="D",LEFT(UPPER(E3154)&amp;REPT(" ",15),15)," ")</f>
        <v/>
      </c>
      <c r="V3154" s="10">
        <f>REPT(" ",24)</f>
        <v/>
      </c>
      <c r="W3154" s="10">
        <f>IF(A3154="c",LEFT(UPPER(B3154)&amp;REPT(" ",20),20),REPT(" ",20))</f>
        <v/>
      </c>
      <c r="X3154" s="10">
        <f>IF(A3154="C",LEFT(UPPER(C3154)&amp;REPT(" ",10),10)," ")</f>
        <v/>
      </c>
      <c r="Y3154" s="10">
        <f>IF(A3154="C",LEFT(UPPER(D3154)&amp;REPT(" ",2),2)," ")</f>
        <v/>
      </c>
      <c r="Z3154" s="10">
        <f>IF(A3154="C",LEFT(UPPER(E3154)&amp;REPT(" ",15),15)," ")</f>
        <v/>
      </c>
      <c r="AA3154" s="10">
        <f>REPT(" ",8)</f>
        <v/>
      </c>
      <c r="AB3154" s="10">
        <f>REPT(" ",4)</f>
        <v/>
      </c>
      <c r="AC3154" s="10">
        <f>LEFT(UPPER(H3154)&amp;REPT(" ",250),250)</f>
        <v/>
      </c>
      <c r="AD3154" s="10">
        <f>TEXT($G$2,"dd/mm/aaaa")</f>
        <v/>
      </c>
      <c r="AE3154" s="10">
        <f>REPT(" ",10)</f>
        <v/>
      </c>
      <c r="AF3154" s="10">
        <f>REPT(" ",20)</f>
        <v/>
      </c>
      <c r="AG3154" s="54">
        <f>REPT(" ",18-LEN(FIXED(F3154,2,TRUE)))&amp;FIXED(F3154,2,TRUE)</f>
        <v/>
      </c>
      <c r="AH3154" s="10">
        <f>LEN(AC3154)+LEN(AG3154)</f>
        <v/>
      </c>
      <c r="AI3154" s="10">
        <f>LEN(L3154)</f>
        <v/>
      </c>
    </row>
    <row r="3155">
      <c r="J3155" s="12">
        <f>IF(F3155&lt;&gt;0,"LANÇAR","")</f>
        <v/>
      </c>
      <c r="L3155" s="13">
        <f>N3155&amp;O3155&amp;P3155&amp;Q3155&amp;R3155&amp;S3155&amp;T3155&amp;U3155&amp;V3155&amp;W3155&amp;X3155&amp;Y3155&amp;Z3155&amp;AA3155&amp;AB3155&amp;AC3155&amp;AD3155&amp;AE3155&amp;AF3155&amp;AG3155</f>
        <v/>
      </c>
      <c r="N3155" s="10">
        <f>TEXT($B$6,"00")</f>
        <v/>
      </c>
      <c r="O3155" s="10">
        <f>REPT(" ",8)</f>
        <v/>
      </c>
      <c r="P3155" s="10">
        <f>RIGHT($B$4,2)</f>
        <v/>
      </c>
      <c r="Q3155" s="10">
        <f>RIGHT($B$5,3)</f>
        <v/>
      </c>
      <c r="R3155" s="10">
        <f>IF(A3155="D",LEFT(UPPER(B3155)&amp;REPT(" ",20),20),REPT(" ",20))</f>
        <v/>
      </c>
      <c r="S3155" s="10">
        <f>IF(A3155="D",LEFT(UPPER(C3155)&amp;REPT(" ",10),10)," ")</f>
        <v/>
      </c>
      <c r="T3155" s="10">
        <f>IF(A3155="D",LEFT(UPPER(D3155)&amp;REPT(" ",2),2)," ")</f>
        <v/>
      </c>
      <c r="U3155" s="10">
        <f>IF(A3155="D",LEFT(UPPER(E3155)&amp;REPT(" ",15),15)," ")</f>
        <v/>
      </c>
      <c r="V3155" s="10">
        <f>REPT(" ",24)</f>
        <v/>
      </c>
      <c r="W3155" s="10">
        <f>IF(A3155="c",LEFT(UPPER(B3155)&amp;REPT(" ",20),20),REPT(" ",20))</f>
        <v/>
      </c>
      <c r="X3155" s="10">
        <f>IF(A3155="C",LEFT(UPPER(C3155)&amp;REPT(" ",10),10)," ")</f>
        <v/>
      </c>
      <c r="Y3155" s="10">
        <f>IF(A3155="C",LEFT(UPPER(D3155)&amp;REPT(" ",2),2)," ")</f>
        <v/>
      </c>
      <c r="Z3155" s="10">
        <f>IF(A3155="C",LEFT(UPPER(E3155)&amp;REPT(" ",15),15)," ")</f>
        <v/>
      </c>
      <c r="AA3155" s="10">
        <f>REPT(" ",8)</f>
        <v/>
      </c>
      <c r="AB3155" s="10">
        <f>REPT(" ",4)</f>
        <v/>
      </c>
      <c r="AC3155" s="10">
        <f>LEFT(UPPER(H3155)&amp;REPT(" ",250),250)</f>
        <v/>
      </c>
      <c r="AD3155" s="10">
        <f>TEXT($G$2,"dd/mm/aaaa")</f>
        <v/>
      </c>
      <c r="AE3155" s="10">
        <f>REPT(" ",10)</f>
        <v/>
      </c>
      <c r="AF3155" s="10">
        <f>REPT(" ",20)</f>
        <v/>
      </c>
      <c r="AG3155" s="54">
        <f>REPT(" ",18-LEN(FIXED(F3155,2,TRUE)))&amp;FIXED(F3155,2,TRUE)</f>
        <v/>
      </c>
      <c r="AH3155" s="10">
        <f>LEN(AC3155)+LEN(AG3155)</f>
        <v/>
      </c>
      <c r="AI3155" s="10">
        <f>LEN(L3155)</f>
        <v/>
      </c>
    </row>
    <row r="3156">
      <c r="J3156" s="12">
        <f>IF(F3156&lt;&gt;0,"LANÇAR","")</f>
        <v/>
      </c>
      <c r="L3156" s="13">
        <f>N3156&amp;O3156&amp;P3156&amp;Q3156&amp;R3156&amp;S3156&amp;T3156&amp;U3156&amp;V3156&amp;W3156&amp;X3156&amp;Y3156&amp;Z3156&amp;AA3156&amp;AB3156&amp;AC3156&amp;AD3156&amp;AE3156&amp;AF3156&amp;AG3156</f>
        <v/>
      </c>
      <c r="N3156" s="10">
        <f>TEXT($B$6,"00")</f>
        <v/>
      </c>
      <c r="O3156" s="10">
        <f>REPT(" ",8)</f>
        <v/>
      </c>
      <c r="P3156" s="10">
        <f>RIGHT($B$4,2)</f>
        <v/>
      </c>
      <c r="Q3156" s="10">
        <f>RIGHT($B$5,3)</f>
        <v/>
      </c>
      <c r="R3156" s="10">
        <f>IF(A3156="D",LEFT(UPPER(B3156)&amp;REPT(" ",20),20),REPT(" ",20))</f>
        <v/>
      </c>
      <c r="S3156" s="10">
        <f>IF(A3156="D",LEFT(UPPER(C3156)&amp;REPT(" ",10),10)," ")</f>
        <v/>
      </c>
      <c r="T3156" s="10">
        <f>IF(A3156="D",LEFT(UPPER(D3156)&amp;REPT(" ",2),2)," ")</f>
        <v/>
      </c>
      <c r="U3156" s="10">
        <f>IF(A3156="D",LEFT(UPPER(E3156)&amp;REPT(" ",15),15)," ")</f>
        <v/>
      </c>
      <c r="V3156" s="10">
        <f>REPT(" ",24)</f>
        <v/>
      </c>
      <c r="W3156" s="10">
        <f>IF(A3156="c",LEFT(UPPER(B3156)&amp;REPT(" ",20),20),REPT(" ",20))</f>
        <v/>
      </c>
      <c r="X3156" s="10">
        <f>IF(A3156="C",LEFT(UPPER(C3156)&amp;REPT(" ",10),10)," ")</f>
        <v/>
      </c>
      <c r="Y3156" s="10">
        <f>IF(A3156="C",LEFT(UPPER(D3156)&amp;REPT(" ",2),2)," ")</f>
        <v/>
      </c>
      <c r="Z3156" s="10">
        <f>IF(A3156="C",LEFT(UPPER(E3156)&amp;REPT(" ",15),15)," ")</f>
        <v/>
      </c>
      <c r="AA3156" s="10">
        <f>REPT(" ",8)</f>
        <v/>
      </c>
      <c r="AB3156" s="10">
        <f>REPT(" ",4)</f>
        <v/>
      </c>
      <c r="AC3156" s="10">
        <f>LEFT(UPPER(H3156)&amp;REPT(" ",250),250)</f>
        <v/>
      </c>
      <c r="AD3156" s="10">
        <f>TEXT($G$2,"dd/mm/aaaa")</f>
        <v/>
      </c>
      <c r="AE3156" s="10">
        <f>REPT(" ",10)</f>
        <v/>
      </c>
      <c r="AF3156" s="10">
        <f>REPT(" ",20)</f>
        <v/>
      </c>
      <c r="AG3156" s="54">
        <f>REPT(" ",18-LEN(FIXED(F3156,2,TRUE)))&amp;FIXED(F3156,2,TRUE)</f>
        <v/>
      </c>
      <c r="AH3156" s="10">
        <f>LEN(AC3156)+LEN(AG3156)</f>
        <v/>
      </c>
      <c r="AI3156" s="10">
        <f>LEN(L3156)</f>
        <v/>
      </c>
    </row>
    <row r="3157">
      <c r="J3157" s="12">
        <f>IF(F3157&lt;&gt;0,"LANÇAR","")</f>
        <v/>
      </c>
      <c r="L3157" s="13">
        <f>N3157&amp;O3157&amp;P3157&amp;Q3157&amp;R3157&amp;S3157&amp;T3157&amp;U3157&amp;V3157&amp;W3157&amp;X3157&amp;Y3157&amp;Z3157&amp;AA3157&amp;AB3157&amp;AC3157&amp;AD3157&amp;AE3157&amp;AF3157&amp;AG3157</f>
        <v/>
      </c>
      <c r="N3157" s="10">
        <f>TEXT($B$6,"00")</f>
        <v/>
      </c>
      <c r="O3157" s="10">
        <f>REPT(" ",8)</f>
        <v/>
      </c>
      <c r="P3157" s="10">
        <f>RIGHT($B$4,2)</f>
        <v/>
      </c>
      <c r="Q3157" s="10">
        <f>RIGHT($B$5,3)</f>
        <v/>
      </c>
      <c r="R3157" s="10">
        <f>IF(A3157="D",LEFT(UPPER(B3157)&amp;REPT(" ",20),20),REPT(" ",20))</f>
        <v/>
      </c>
      <c r="S3157" s="10">
        <f>IF(A3157="D",LEFT(UPPER(C3157)&amp;REPT(" ",10),10)," ")</f>
        <v/>
      </c>
      <c r="T3157" s="10">
        <f>IF(A3157="D",LEFT(UPPER(D3157)&amp;REPT(" ",2),2)," ")</f>
        <v/>
      </c>
      <c r="U3157" s="10">
        <f>IF(A3157="D",LEFT(UPPER(E3157)&amp;REPT(" ",15),15)," ")</f>
        <v/>
      </c>
      <c r="V3157" s="10">
        <f>REPT(" ",24)</f>
        <v/>
      </c>
      <c r="W3157" s="10">
        <f>IF(A3157="c",LEFT(UPPER(B3157)&amp;REPT(" ",20),20),REPT(" ",20))</f>
        <v/>
      </c>
      <c r="X3157" s="10">
        <f>IF(A3157="C",LEFT(UPPER(C3157)&amp;REPT(" ",10),10)," ")</f>
        <v/>
      </c>
      <c r="Y3157" s="10">
        <f>IF(A3157="C",LEFT(UPPER(D3157)&amp;REPT(" ",2),2)," ")</f>
        <v/>
      </c>
      <c r="Z3157" s="10">
        <f>IF(A3157="C",LEFT(UPPER(E3157)&amp;REPT(" ",15),15)," ")</f>
        <v/>
      </c>
      <c r="AA3157" s="10">
        <f>REPT(" ",8)</f>
        <v/>
      </c>
      <c r="AB3157" s="10">
        <f>REPT(" ",4)</f>
        <v/>
      </c>
      <c r="AC3157" s="10">
        <f>LEFT(UPPER(H3157)&amp;REPT(" ",250),250)</f>
        <v/>
      </c>
      <c r="AD3157" s="10">
        <f>TEXT($G$2,"dd/mm/aaaa")</f>
        <v/>
      </c>
      <c r="AE3157" s="10">
        <f>REPT(" ",10)</f>
        <v/>
      </c>
      <c r="AF3157" s="10">
        <f>REPT(" ",20)</f>
        <v/>
      </c>
      <c r="AG3157" s="54">
        <f>REPT(" ",18-LEN(FIXED(F3157,2,TRUE)))&amp;FIXED(F3157,2,TRUE)</f>
        <v/>
      </c>
      <c r="AH3157" s="10">
        <f>LEN(AC3157)+LEN(AG3157)</f>
        <v/>
      </c>
      <c r="AI3157" s="10">
        <f>LEN(L3157)</f>
        <v/>
      </c>
    </row>
    <row r="3158">
      <c r="J3158" s="12">
        <f>IF(F3158&lt;&gt;0,"LANÇAR","")</f>
        <v/>
      </c>
      <c r="L3158" s="13">
        <f>N3158&amp;O3158&amp;P3158&amp;Q3158&amp;R3158&amp;S3158&amp;T3158&amp;U3158&amp;V3158&amp;W3158&amp;X3158&amp;Y3158&amp;Z3158&amp;AA3158&amp;AB3158&amp;AC3158&amp;AD3158&amp;AE3158&amp;AF3158&amp;AG3158</f>
        <v/>
      </c>
      <c r="N3158" s="10">
        <f>TEXT($B$6,"00")</f>
        <v/>
      </c>
      <c r="O3158" s="10">
        <f>REPT(" ",8)</f>
        <v/>
      </c>
      <c r="P3158" s="10">
        <f>RIGHT($B$4,2)</f>
        <v/>
      </c>
      <c r="Q3158" s="10">
        <f>RIGHT($B$5,3)</f>
        <v/>
      </c>
      <c r="R3158" s="10">
        <f>IF(A3158="D",LEFT(UPPER(B3158)&amp;REPT(" ",20),20),REPT(" ",20))</f>
        <v/>
      </c>
      <c r="S3158" s="10">
        <f>IF(A3158="D",LEFT(UPPER(C3158)&amp;REPT(" ",10),10)," ")</f>
        <v/>
      </c>
      <c r="T3158" s="10">
        <f>IF(A3158="D",LEFT(UPPER(D3158)&amp;REPT(" ",2),2)," ")</f>
        <v/>
      </c>
      <c r="U3158" s="10">
        <f>IF(A3158="D",LEFT(UPPER(E3158)&amp;REPT(" ",15),15)," ")</f>
        <v/>
      </c>
      <c r="V3158" s="10">
        <f>REPT(" ",24)</f>
        <v/>
      </c>
      <c r="W3158" s="10">
        <f>IF(A3158="c",LEFT(UPPER(B3158)&amp;REPT(" ",20),20),REPT(" ",20))</f>
        <v/>
      </c>
      <c r="X3158" s="10">
        <f>IF(A3158="C",LEFT(UPPER(C3158)&amp;REPT(" ",10),10)," ")</f>
        <v/>
      </c>
      <c r="Y3158" s="10">
        <f>IF(A3158="C",LEFT(UPPER(D3158)&amp;REPT(" ",2),2)," ")</f>
        <v/>
      </c>
      <c r="Z3158" s="10">
        <f>IF(A3158="C",LEFT(UPPER(E3158)&amp;REPT(" ",15),15)," ")</f>
        <v/>
      </c>
      <c r="AA3158" s="10">
        <f>REPT(" ",8)</f>
        <v/>
      </c>
      <c r="AB3158" s="10">
        <f>REPT(" ",4)</f>
        <v/>
      </c>
      <c r="AC3158" s="10">
        <f>LEFT(UPPER(H3158)&amp;REPT(" ",250),250)</f>
        <v/>
      </c>
      <c r="AD3158" s="10">
        <f>TEXT($G$2,"dd/mm/aaaa")</f>
        <v/>
      </c>
      <c r="AE3158" s="10">
        <f>REPT(" ",10)</f>
        <v/>
      </c>
      <c r="AF3158" s="10">
        <f>REPT(" ",20)</f>
        <v/>
      </c>
      <c r="AG3158" s="54">
        <f>REPT(" ",18-LEN(FIXED(F3158,2,TRUE)))&amp;FIXED(F3158,2,TRUE)</f>
        <v/>
      </c>
      <c r="AH3158" s="10">
        <f>LEN(AC3158)+LEN(AG3158)</f>
        <v/>
      </c>
      <c r="AI3158" s="10">
        <f>LEN(L3158)</f>
        <v/>
      </c>
    </row>
    <row r="3159">
      <c r="J3159" s="12">
        <f>IF(F3159&lt;&gt;0,"LANÇAR","")</f>
        <v/>
      </c>
      <c r="L3159" s="13">
        <f>N3159&amp;O3159&amp;P3159&amp;Q3159&amp;R3159&amp;S3159&amp;T3159&amp;U3159&amp;V3159&amp;W3159&amp;X3159&amp;Y3159&amp;Z3159&amp;AA3159&amp;AB3159&amp;AC3159&amp;AD3159&amp;AE3159&amp;AF3159&amp;AG3159</f>
        <v/>
      </c>
      <c r="N3159" s="10">
        <f>TEXT($B$6,"00")</f>
        <v/>
      </c>
      <c r="O3159" s="10">
        <f>REPT(" ",8)</f>
        <v/>
      </c>
      <c r="P3159" s="10">
        <f>RIGHT($B$4,2)</f>
        <v/>
      </c>
      <c r="Q3159" s="10">
        <f>RIGHT($B$5,3)</f>
        <v/>
      </c>
      <c r="R3159" s="10">
        <f>IF(A3159="D",LEFT(UPPER(B3159)&amp;REPT(" ",20),20),REPT(" ",20))</f>
        <v/>
      </c>
      <c r="S3159" s="10">
        <f>IF(A3159="D",LEFT(UPPER(C3159)&amp;REPT(" ",10),10)," ")</f>
        <v/>
      </c>
      <c r="T3159" s="10">
        <f>IF(A3159="D",LEFT(UPPER(D3159)&amp;REPT(" ",2),2)," ")</f>
        <v/>
      </c>
      <c r="U3159" s="10">
        <f>IF(A3159="D",LEFT(UPPER(E3159)&amp;REPT(" ",15),15)," ")</f>
        <v/>
      </c>
      <c r="V3159" s="10">
        <f>REPT(" ",24)</f>
        <v/>
      </c>
      <c r="W3159" s="10">
        <f>IF(A3159="c",LEFT(UPPER(B3159)&amp;REPT(" ",20),20),REPT(" ",20))</f>
        <v/>
      </c>
      <c r="X3159" s="10">
        <f>IF(A3159="C",LEFT(UPPER(C3159)&amp;REPT(" ",10),10)," ")</f>
        <v/>
      </c>
      <c r="Y3159" s="10">
        <f>IF(A3159="C",LEFT(UPPER(D3159)&amp;REPT(" ",2),2)," ")</f>
        <v/>
      </c>
      <c r="Z3159" s="10">
        <f>IF(A3159="C",LEFT(UPPER(E3159)&amp;REPT(" ",15),15)," ")</f>
        <v/>
      </c>
      <c r="AA3159" s="10">
        <f>REPT(" ",8)</f>
        <v/>
      </c>
      <c r="AB3159" s="10">
        <f>REPT(" ",4)</f>
        <v/>
      </c>
      <c r="AC3159" s="10">
        <f>LEFT(UPPER(H3159)&amp;REPT(" ",250),250)</f>
        <v/>
      </c>
      <c r="AD3159" s="10">
        <f>TEXT($G$2,"dd/mm/aaaa")</f>
        <v/>
      </c>
      <c r="AE3159" s="10">
        <f>REPT(" ",10)</f>
        <v/>
      </c>
      <c r="AF3159" s="10">
        <f>REPT(" ",20)</f>
        <v/>
      </c>
      <c r="AG3159" s="54">
        <f>REPT(" ",18-LEN(FIXED(F3159,2,TRUE)))&amp;FIXED(F3159,2,TRUE)</f>
        <v/>
      </c>
      <c r="AH3159" s="10">
        <f>LEN(AC3159)+LEN(AG3159)</f>
        <v/>
      </c>
      <c r="AI3159" s="10">
        <f>LEN(L3159)</f>
        <v/>
      </c>
    </row>
    <row r="3160">
      <c r="J3160" s="12">
        <f>IF(F3160&lt;&gt;0,"LANÇAR","")</f>
        <v/>
      </c>
      <c r="L3160" s="13">
        <f>N3160&amp;O3160&amp;P3160&amp;Q3160&amp;R3160&amp;S3160&amp;T3160&amp;U3160&amp;V3160&amp;W3160&amp;X3160&amp;Y3160&amp;Z3160&amp;AA3160&amp;AB3160&amp;AC3160&amp;AD3160&amp;AE3160&amp;AF3160&amp;AG3160</f>
        <v/>
      </c>
      <c r="N3160" s="10">
        <f>TEXT($B$6,"00")</f>
        <v/>
      </c>
      <c r="O3160" s="10">
        <f>REPT(" ",8)</f>
        <v/>
      </c>
      <c r="P3160" s="10">
        <f>RIGHT($B$4,2)</f>
        <v/>
      </c>
      <c r="Q3160" s="10">
        <f>RIGHT($B$5,3)</f>
        <v/>
      </c>
      <c r="R3160" s="10">
        <f>IF(A3160="D",LEFT(UPPER(B3160)&amp;REPT(" ",20),20),REPT(" ",20))</f>
        <v/>
      </c>
      <c r="S3160" s="10">
        <f>IF(A3160="D",LEFT(UPPER(C3160)&amp;REPT(" ",10),10)," ")</f>
        <v/>
      </c>
      <c r="T3160" s="10">
        <f>IF(A3160="D",LEFT(UPPER(D3160)&amp;REPT(" ",2),2)," ")</f>
        <v/>
      </c>
      <c r="U3160" s="10">
        <f>IF(A3160="D",LEFT(UPPER(E3160)&amp;REPT(" ",15),15)," ")</f>
        <v/>
      </c>
      <c r="V3160" s="10">
        <f>REPT(" ",24)</f>
        <v/>
      </c>
      <c r="W3160" s="10">
        <f>IF(A3160="c",LEFT(UPPER(B3160)&amp;REPT(" ",20),20),REPT(" ",20))</f>
        <v/>
      </c>
      <c r="X3160" s="10">
        <f>IF(A3160="C",LEFT(UPPER(C3160)&amp;REPT(" ",10),10)," ")</f>
        <v/>
      </c>
      <c r="Y3160" s="10">
        <f>IF(A3160="C",LEFT(UPPER(D3160)&amp;REPT(" ",2),2)," ")</f>
        <v/>
      </c>
      <c r="Z3160" s="10">
        <f>IF(A3160="C",LEFT(UPPER(E3160)&amp;REPT(" ",15),15)," ")</f>
        <v/>
      </c>
      <c r="AA3160" s="10">
        <f>REPT(" ",8)</f>
        <v/>
      </c>
      <c r="AB3160" s="10">
        <f>REPT(" ",4)</f>
        <v/>
      </c>
      <c r="AC3160" s="10">
        <f>LEFT(UPPER(H3160)&amp;REPT(" ",250),250)</f>
        <v/>
      </c>
      <c r="AD3160" s="10">
        <f>TEXT($G$2,"dd/mm/aaaa")</f>
        <v/>
      </c>
      <c r="AE3160" s="10">
        <f>REPT(" ",10)</f>
        <v/>
      </c>
      <c r="AF3160" s="10">
        <f>REPT(" ",20)</f>
        <v/>
      </c>
      <c r="AG3160" s="54">
        <f>REPT(" ",18-LEN(FIXED(F3160,2,TRUE)))&amp;FIXED(F3160,2,TRUE)</f>
        <v/>
      </c>
      <c r="AH3160" s="10">
        <f>LEN(AC3160)+LEN(AG3160)</f>
        <v/>
      </c>
      <c r="AI3160" s="10">
        <f>LEN(L3160)</f>
        <v/>
      </c>
    </row>
    <row r="3161">
      <c r="J3161" s="12">
        <f>IF(F3161&lt;&gt;0,"LANÇAR","")</f>
        <v/>
      </c>
      <c r="L3161" s="13">
        <f>N3161&amp;O3161&amp;P3161&amp;Q3161&amp;R3161&amp;S3161&amp;T3161&amp;U3161&amp;V3161&amp;W3161&amp;X3161&amp;Y3161&amp;Z3161&amp;AA3161&amp;AB3161&amp;AC3161&amp;AD3161&amp;AE3161&amp;AF3161&amp;AG3161</f>
        <v/>
      </c>
      <c r="N3161" s="10">
        <f>TEXT($B$6,"00")</f>
        <v/>
      </c>
      <c r="O3161" s="10">
        <f>REPT(" ",8)</f>
        <v/>
      </c>
      <c r="P3161" s="10">
        <f>RIGHT($B$4,2)</f>
        <v/>
      </c>
      <c r="Q3161" s="10">
        <f>RIGHT($B$5,3)</f>
        <v/>
      </c>
      <c r="R3161" s="10">
        <f>IF(A3161="D",LEFT(UPPER(B3161)&amp;REPT(" ",20),20),REPT(" ",20))</f>
        <v/>
      </c>
      <c r="S3161" s="10">
        <f>IF(A3161="D",LEFT(UPPER(C3161)&amp;REPT(" ",10),10)," ")</f>
        <v/>
      </c>
      <c r="T3161" s="10">
        <f>IF(A3161="D",LEFT(UPPER(D3161)&amp;REPT(" ",2),2)," ")</f>
        <v/>
      </c>
      <c r="U3161" s="10">
        <f>IF(A3161="D",LEFT(UPPER(E3161)&amp;REPT(" ",15),15)," ")</f>
        <v/>
      </c>
      <c r="V3161" s="10">
        <f>REPT(" ",24)</f>
        <v/>
      </c>
      <c r="W3161" s="10">
        <f>IF(A3161="c",LEFT(UPPER(B3161)&amp;REPT(" ",20),20),REPT(" ",20))</f>
        <v/>
      </c>
      <c r="X3161" s="10">
        <f>IF(A3161="C",LEFT(UPPER(C3161)&amp;REPT(" ",10),10)," ")</f>
        <v/>
      </c>
      <c r="Y3161" s="10">
        <f>IF(A3161="C",LEFT(UPPER(D3161)&amp;REPT(" ",2),2)," ")</f>
        <v/>
      </c>
      <c r="Z3161" s="10">
        <f>IF(A3161="C",LEFT(UPPER(E3161)&amp;REPT(" ",15),15)," ")</f>
        <v/>
      </c>
      <c r="AA3161" s="10">
        <f>REPT(" ",8)</f>
        <v/>
      </c>
      <c r="AB3161" s="10">
        <f>REPT(" ",4)</f>
        <v/>
      </c>
      <c r="AC3161" s="10">
        <f>LEFT(UPPER(H3161)&amp;REPT(" ",250),250)</f>
        <v/>
      </c>
      <c r="AD3161" s="10">
        <f>TEXT($G$2,"dd/mm/aaaa")</f>
        <v/>
      </c>
      <c r="AE3161" s="10">
        <f>REPT(" ",10)</f>
        <v/>
      </c>
      <c r="AF3161" s="10">
        <f>REPT(" ",20)</f>
        <v/>
      </c>
      <c r="AG3161" s="54">
        <f>REPT(" ",18-LEN(FIXED(F3161,2,TRUE)))&amp;FIXED(F3161,2,TRUE)</f>
        <v/>
      </c>
      <c r="AH3161" s="10">
        <f>LEN(AC3161)+LEN(AG3161)</f>
        <v/>
      </c>
      <c r="AI3161" s="10">
        <f>LEN(L3161)</f>
        <v/>
      </c>
    </row>
    <row r="3162">
      <c r="J3162" s="12">
        <f>IF(F3162&lt;&gt;0,"LANÇAR","")</f>
        <v/>
      </c>
      <c r="L3162" s="13">
        <f>N3162&amp;O3162&amp;P3162&amp;Q3162&amp;R3162&amp;S3162&amp;T3162&amp;U3162&amp;V3162&amp;W3162&amp;X3162&amp;Y3162&amp;Z3162&amp;AA3162&amp;AB3162&amp;AC3162&amp;AD3162&amp;AE3162&amp;AF3162&amp;AG3162</f>
        <v/>
      </c>
      <c r="N3162" s="10">
        <f>TEXT($B$6,"00")</f>
        <v/>
      </c>
      <c r="O3162" s="10">
        <f>REPT(" ",8)</f>
        <v/>
      </c>
      <c r="P3162" s="10">
        <f>RIGHT($B$4,2)</f>
        <v/>
      </c>
      <c r="Q3162" s="10">
        <f>RIGHT($B$5,3)</f>
        <v/>
      </c>
      <c r="R3162" s="10">
        <f>IF(A3162="D",LEFT(UPPER(B3162)&amp;REPT(" ",20),20),REPT(" ",20))</f>
        <v/>
      </c>
      <c r="S3162" s="10">
        <f>IF(A3162="D",LEFT(UPPER(C3162)&amp;REPT(" ",10),10)," ")</f>
        <v/>
      </c>
      <c r="T3162" s="10">
        <f>IF(A3162="D",LEFT(UPPER(D3162)&amp;REPT(" ",2),2)," ")</f>
        <v/>
      </c>
      <c r="U3162" s="10">
        <f>IF(A3162="D",LEFT(UPPER(E3162)&amp;REPT(" ",15),15)," ")</f>
        <v/>
      </c>
      <c r="V3162" s="10">
        <f>REPT(" ",24)</f>
        <v/>
      </c>
      <c r="W3162" s="10">
        <f>IF(A3162="c",LEFT(UPPER(B3162)&amp;REPT(" ",20),20),REPT(" ",20))</f>
        <v/>
      </c>
      <c r="X3162" s="10">
        <f>IF(A3162="C",LEFT(UPPER(C3162)&amp;REPT(" ",10),10)," ")</f>
        <v/>
      </c>
      <c r="Y3162" s="10">
        <f>IF(A3162="C",LEFT(UPPER(D3162)&amp;REPT(" ",2),2)," ")</f>
        <v/>
      </c>
      <c r="Z3162" s="10">
        <f>IF(A3162="C",LEFT(UPPER(E3162)&amp;REPT(" ",15),15)," ")</f>
        <v/>
      </c>
      <c r="AA3162" s="10">
        <f>REPT(" ",8)</f>
        <v/>
      </c>
      <c r="AB3162" s="10">
        <f>REPT(" ",4)</f>
        <v/>
      </c>
      <c r="AC3162" s="10">
        <f>LEFT(UPPER(H3162)&amp;REPT(" ",250),250)</f>
        <v/>
      </c>
      <c r="AD3162" s="10">
        <f>TEXT($G$2,"dd/mm/aaaa")</f>
        <v/>
      </c>
      <c r="AE3162" s="10">
        <f>REPT(" ",10)</f>
        <v/>
      </c>
      <c r="AF3162" s="10">
        <f>REPT(" ",20)</f>
        <v/>
      </c>
      <c r="AG3162" s="54">
        <f>REPT(" ",18-LEN(FIXED(F3162,2,TRUE)))&amp;FIXED(F3162,2,TRUE)</f>
        <v/>
      </c>
      <c r="AH3162" s="10">
        <f>LEN(AC3162)+LEN(AG3162)</f>
        <v/>
      </c>
      <c r="AI3162" s="10">
        <f>LEN(L3162)</f>
        <v/>
      </c>
    </row>
    <row r="3163">
      <c r="J3163" s="12">
        <f>IF(F3163&lt;&gt;0,"LANÇAR","")</f>
        <v/>
      </c>
      <c r="L3163" s="13">
        <f>N3163&amp;O3163&amp;P3163&amp;Q3163&amp;R3163&amp;S3163&amp;T3163&amp;U3163&amp;V3163&amp;W3163&amp;X3163&amp;Y3163&amp;Z3163&amp;AA3163&amp;AB3163&amp;AC3163&amp;AD3163&amp;AE3163&amp;AF3163&amp;AG3163</f>
        <v/>
      </c>
      <c r="N3163" s="10">
        <f>TEXT($B$6,"00")</f>
        <v/>
      </c>
      <c r="O3163" s="10">
        <f>REPT(" ",8)</f>
        <v/>
      </c>
      <c r="P3163" s="10">
        <f>RIGHT($B$4,2)</f>
        <v/>
      </c>
      <c r="Q3163" s="10">
        <f>RIGHT($B$5,3)</f>
        <v/>
      </c>
      <c r="R3163" s="10">
        <f>IF(A3163="D",LEFT(UPPER(B3163)&amp;REPT(" ",20),20),REPT(" ",20))</f>
        <v/>
      </c>
      <c r="S3163" s="10">
        <f>IF(A3163="D",LEFT(UPPER(C3163)&amp;REPT(" ",10),10)," ")</f>
        <v/>
      </c>
      <c r="T3163" s="10">
        <f>IF(A3163="D",LEFT(UPPER(D3163)&amp;REPT(" ",2),2)," ")</f>
        <v/>
      </c>
      <c r="U3163" s="10">
        <f>IF(A3163="D",LEFT(UPPER(E3163)&amp;REPT(" ",15),15)," ")</f>
        <v/>
      </c>
      <c r="V3163" s="10">
        <f>REPT(" ",24)</f>
        <v/>
      </c>
      <c r="W3163" s="10">
        <f>IF(A3163="c",LEFT(UPPER(B3163)&amp;REPT(" ",20),20),REPT(" ",20))</f>
        <v/>
      </c>
      <c r="X3163" s="10">
        <f>IF(A3163="C",LEFT(UPPER(C3163)&amp;REPT(" ",10),10)," ")</f>
        <v/>
      </c>
      <c r="Y3163" s="10">
        <f>IF(A3163="C",LEFT(UPPER(D3163)&amp;REPT(" ",2),2)," ")</f>
        <v/>
      </c>
      <c r="Z3163" s="10">
        <f>IF(A3163="C",LEFT(UPPER(E3163)&amp;REPT(" ",15),15)," ")</f>
        <v/>
      </c>
      <c r="AA3163" s="10">
        <f>REPT(" ",8)</f>
        <v/>
      </c>
      <c r="AB3163" s="10">
        <f>REPT(" ",4)</f>
        <v/>
      </c>
      <c r="AC3163" s="10">
        <f>LEFT(UPPER(H3163)&amp;REPT(" ",250),250)</f>
        <v/>
      </c>
      <c r="AD3163" s="10">
        <f>TEXT($G$2,"dd/mm/aaaa")</f>
        <v/>
      </c>
      <c r="AE3163" s="10">
        <f>REPT(" ",10)</f>
        <v/>
      </c>
      <c r="AF3163" s="10">
        <f>REPT(" ",20)</f>
        <v/>
      </c>
      <c r="AG3163" s="54">
        <f>REPT(" ",18-LEN(FIXED(F3163,2,TRUE)))&amp;FIXED(F3163,2,TRUE)</f>
        <v/>
      </c>
      <c r="AH3163" s="10">
        <f>LEN(AC3163)+LEN(AG3163)</f>
        <v/>
      </c>
      <c r="AI3163" s="10">
        <f>LEN(L3163)</f>
        <v/>
      </c>
    </row>
    <row r="3164">
      <c r="J3164" s="12">
        <f>IF(F3164&lt;&gt;0,"LANÇAR","")</f>
        <v/>
      </c>
      <c r="L3164" s="13">
        <f>N3164&amp;O3164&amp;P3164&amp;Q3164&amp;R3164&amp;S3164&amp;T3164&amp;U3164&amp;V3164&amp;W3164&amp;X3164&amp;Y3164&amp;Z3164&amp;AA3164&amp;AB3164&amp;AC3164&amp;AD3164&amp;AE3164&amp;AF3164&amp;AG3164</f>
        <v/>
      </c>
      <c r="N3164" s="10">
        <f>TEXT($B$6,"00")</f>
        <v/>
      </c>
      <c r="O3164" s="10">
        <f>REPT(" ",8)</f>
        <v/>
      </c>
      <c r="P3164" s="10">
        <f>RIGHT($B$4,2)</f>
        <v/>
      </c>
      <c r="Q3164" s="10">
        <f>RIGHT($B$5,3)</f>
        <v/>
      </c>
      <c r="R3164" s="10">
        <f>IF(A3164="D",LEFT(UPPER(B3164)&amp;REPT(" ",20),20),REPT(" ",20))</f>
        <v/>
      </c>
      <c r="S3164" s="10">
        <f>IF(A3164="D",LEFT(UPPER(C3164)&amp;REPT(" ",10),10)," ")</f>
        <v/>
      </c>
      <c r="T3164" s="10">
        <f>IF(A3164="D",LEFT(UPPER(D3164)&amp;REPT(" ",2),2)," ")</f>
        <v/>
      </c>
      <c r="U3164" s="10">
        <f>IF(A3164="D",LEFT(UPPER(E3164)&amp;REPT(" ",15),15)," ")</f>
        <v/>
      </c>
      <c r="V3164" s="10">
        <f>REPT(" ",24)</f>
        <v/>
      </c>
      <c r="W3164" s="10">
        <f>IF(A3164="c",LEFT(UPPER(B3164)&amp;REPT(" ",20),20),REPT(" ",20))</f>
        <v/>
      </c>
      <c r="X3164" s="10">
        <f>IF(A3164="C",LEFT(UPPER(C3164)&amp;REPT(" ",10),10)," ")</f>
        <v/>
      </c>
      <c r="Y3164" s="10">
        <f>IF(A3164="C",LEFT(UPPER(D3164)&amp;REPT(" ",2),2)," ")</f>
        <v/>
      </c>
      <c r="Z3164" s="10">
        <f>IF(A3164="C",LEFT(UPPER(E3164)&amp;REPT(" ",15),15)," ")</f>
        <v/>
      </c>
      <c r="AA3164" s="10">
        <f>REPT(" ",8)</f>
        <v/>
      </c>
      <c r="AB3164" s="10">
        <f>REPT(" ",4)</f>
        <v/>
      </c>
      <c r="AC3164" s="10">
        <f>LEFT(UPPER(H3164)&amp;REPT(" ",250),250)</f>
        <v/>
      </c>
      <c r="AD3164" s="10">
        <f>TEXT($G$2,"dd/mm/aaaa")</f>
        <v/>
      </c>
      <c r="AE3164" s="10">
        <f>REPT(" ",10)</f>
        <v/>
      </c>
      <c r="AF3164" s="10">
        <f>REPT(" ",20)</f>
        <v/>
      </c>
      <c r="AG3164" s="54">
        <f>REPT(" ",18-LEN(FIXED(F3164,2,TRUE)))&amp;FIXED(F3164,2,TRUE)</f>
        <v/>
      </c>
      <c r="AH3164" s="10">
        <f>LEN(AC3164)+LEN(AG3164)</f>
        <v/>
      </c>
      <c r="AI3164" s="10">
        <f>LEN(L3164)</f>
        <v/>
      </c>
    </row>
    <row r="3165">
      <c r="J3165" s="12">
        <f>IF(F3165&lt;&gt;0,"LANÇAR","")</f>
        <v/>
      </c>
      <c r="L3165" s="13">
        <f>N3165&amp;O3165&amp;P3165&amp;Q3165&amp;R3165&amp;S3165&amp;T3165&amp;U3165&amp;V3165&amp;W3165&amp;X3165&amp;Y3165&amp;Z3165&amp;AA3165&amp;AB3165&amp;AC3165&amp;AD3165&amp;AE3165&amp;AF3165&amp;AG3165</f>
        <v/>
      </c>
      <c r="N3165" s="10">
        <f>TEXT($B$6,"00")</f>
        <v/>
      </c>
      <c r="O3165" s="10">
        <f>REPT(" ",8)</f>
        <v/>
      </c>
      <c r="P3165" s="10">
        <f>RIGHT($B$4,2)</f>
        <v/>
      </c>
      <c r="Q3165" s="10">
        <f>RIGHT($B$5,3)</f>
        <v/>
      </c>
      <c r="R3165" s="10">
        <f>IF(A3165="D",LEFT(UPPER(B3165)&amp;REPT(" ",20),20),REPT(" ",20))</f>
        <v/>
      </c>
      <c r="S3165" s="10">
        <f>IF(A3165="D",LEFT(UPPER(C3165)&amp;REPT(" ",10),10)," ")</f>
        <v/>
      </c>
      <c r="T3165" s="10">
        <f>IF(A3165="D",LEFT(UPPER(D3165)&amp;REPT(" ",2),2)," ")</f>
        <v/>
      </c>
      <c r="U3165" s="10">
        <f>IF(A3165="D",LEFT(UPPER(E3165)&amp;REPT(" ",15),15)," ")</f>
        <v/>
      </c>
      <c r="V3165" s="10">
        <f>REPT(" ",24)</f>
        <v/>
      </c>
      <c r="W3165" s="10">
        <f>IF(A3165="c",LEFT(UPPER(B3165)&amp;REPT(" ",20),20),REPT(" ",20))</f>
        <v/>
      </c>
      <c r="X3165" s="10">
        <f>IF(A3165="C",LEFT(UPPER(C3165)&amp;REPT(" ",10),10)," ")</f>
        <v/>
      </c>
      <c r="Y3165" s="10">
        <f>IF(A3165="C",LEFT(UPPER(D3165)&amp;REPT(" ",2),2)," ")</f>
        <v/>
      </c>
      <c r="Z3165" s="10">
        <f>IF(A3165="C",LEFT(UPPER(E3165)&amp;REPT(" ",15),15)," ")</f>
        <v/>
      </c>
      <c r="AA3165" s="10">
        <f>REPT(" ",8)</f>
        <v/>
      </c>
      <c r="AB3165" s="10">
        <f>REPT(" ",4)</f>
        <v/>
      </c>
      <c r="AC3165" s="10">
        <f>LEFT(UPPER(H3165)&amp;REPT(" ",250),250)</f>
        <v/>
      </c>
      <c r="AD3165" s="10">
        <f>TEXT($G$2,"dd/mm/aaaa")</f>
        <v/>
      </c>
      <c r="AE3165" s="10">
        <f>REPT(" ",10)</f>
        <v/>
      </c>
      <c r="AF3165" s="10">
        <f>REPT(" ",20)</f>
        <v/>
      </c>
      <c r="AG3165" s="54">
        <f>REPT(" ",18-LEN(FIXED(F3165,2,TRUE)))&amp;FIXED(F3165,2,TRUE)</f>
        <v/>
      </c>
      <c r="AH3165" s="10">
        <f>LEN(AC3165)+LEN(AG3165)</f>
        <v/>
      </c>
      <c r="AI3165" s="10">
        <f>LEN(L3165)</f>
        <v/>
      </c>
    </row>
    <row r="3166">
      <c r="J3166" s="12">
        <f>IF(F3166&lt;&gt;0,"LANÇAR","")</f>
        <v/>
      </c>
      <c r="L3166" s="13">
        <f>N3166&amp;O3166&amp;P3166&amp;Q3166&amp;R3166&amp;S3166&amp;T3166&amp;U3166&amp;V3166&amp;W3166&amp;X3166&amp;Y3166&amp;Z3166&amp;AA3166&amp;AB3166&amp;AC3166&amp;AD3166&amp;AE3166&amp;AF3166&amp;AG3166</f>
        <v/>
      </c>
      <c r="N3166" s="10">
        <f>TEXT($B$6,"00")</f>
        <v/>
      </c>
      <c r="O3166" s="10">
        <f>REPT(" ",8)</f>
        <v/>
      </c>
      <c r="P3166" s="10">
        <f>RIGHT($B$4,2)</f>
        <v/>
      </c>
      <c r="Q3166" s="10">
        <f>RIGHT($B$5,3)</f>
        <v/>
      </c>
      <c r="R3166" s="10">
        <f>IF(A3166="D",LEFT(UPPER(B3166)&amp;REPT(" ",20),20),REPT(" ",20))</f>
        <v/>
      </c>
      <c r="S3166" s="10">
        <f>IF(A3166="D",LEFT(UPPER(C3166)&amp;REPT(" ",10),10)," ")</f>
        <v/>
      </c>
      <c r="T3166" s="10">
        <f>IF(A3166="D",LEFT(UPPER(D3166)&amp;REPT(" ",2),2)," ")</f>
        <v/>
      </c>
      <c r="U3166" s="10">
        <f>IF(A3166="D",LEFT(UPPER(E3166)&amp;REPT(" ",15),15)," ")</f>
        <v/>
      </c>
      <c r="V3166" s="10">
        <f>REPT(" ",24)</f>
        <v/>
      </c>
      <c r="W3166" s="10">
        <f>IF(A3166="c",LEFT(UPPER(B3166)&amp;REPT(" ",20),20),REPT(" ",20))</f>
        <v/>
      </c>
      <c r="X3166" s="10">
        <f>IF(A3166="C",LEFT(UPPER(C3166)&amp;REPT(" ",10),10)," ")</f>
        <v/>
      </c>
      <c r="Y3166" s="10">
        <f>IF(A3166="C",LEFT(UPPER(D3166)&amp;REPT(" ",2),2)," ")</f>
        <v/>
      </c>
      <c r="Z3166" s="10">
        <f>IF(A3166="C",LEFT(UPPER(E3166)&amp;REPT(" ",15),15)," ")</f>
        <v/>
      </c>
      <c r="AA3166" s="10">
        <f>REPT(" ",8)</f>
        <v/>
      </c>
      <c r="AB3166" s="10">
        <f>REPT(" ",4)</f>
        <v/>
      </c>
      <c r="AC3166" s="10">
        <f>LEFT(UPPER(H3166)&amp;REPT(" ",250),250)</f>
        <v/>
      </c>
      <c r="AD3166" s="10">
        <f>TEXT($G$2,"dd/mm/aaaa")</f>
        <v/>
      </c>
      <c r="AE3166" s="10">
        <f>REPT(" ",10)</f>
        <v/>
      </c>
      <c r="AF3166" s="10">
        <f>REPT(" ",20)</f>
        <v/>
      </c>
      <c r="AG3166" s="54">
        <f>REPT(" ",18-LEN(FIXED(F3166,2,TRUE)))&amp;FIXED(F3166,2,TRUE)</f>
        <v/>
      </c>
      <c r="AH3166" s="10">
        <f>LEN(AC3166)+LEN(AG3166)</f>
        <v/>
      </c>
      <c r="AI3166" s="10">
        <f>LEN(L3166)</f>
        <v/>
      </c>
    </row>
    <row r="3167">
      <c r="J3167" s="12">
        <f>IF(F3167&lt;&gt;0,"LANÇAR","")</f>
        <v/>
      </c>
      <c r="L3167" s="13">
        <f>N3167&amp;O3167&amp;P3167&amp;Q3167&amp;R3167&amp;S3167&amp;T3167&amp;U3167&amp;V3167&amp;W3167&amp;X3167&amp;Y3167&amp;Z3167&amp;AA3167&amp;AB3167&amp;AC3167&amp;AD3167&amp;AE3167&amp;AF3167&amp;AG3167</f>
        <v/>
      </c>
      <c r="N3167" s="10">
        <f>TEXT($B$6,"00")</f>
        <v/>
      </c>
      <c r="O3167" s="10">
        <f>REPT(" ",8)</f>
        <v/>
      </c>
      <c r="P3167" s="10">
        <f>RIGHT($B$4,2)</f>
        <v/>
      </c>
      <c r="Q3167" s="10">
        <f>RIGHT($B$5,3)</f>
        <v/>
      </c>
      <c r="R3167" s="10">
        <f>IF(A3167="D",LEFT(UPPER(B3167)&amp;REPT(" ",20),20),REPT(" ",20))</f>
        <v/>
      </c>
      <c r="S3167" s="10">
        <f>IF(A3167="D",LEFT(UPPER(C3167)&amp;REPT(" ",10),10)," ")</f>
        <v/>
      </c>
      <c r="T3167" s="10">
        <f>IF(A3167="D",LEFT(UPPER(D3167)&amp;REPT(" ",2),2)," ")</f>
        <v/>
      </c>
      <c r="U3167" s="10">
        <f>IF(A3167="D",LEFT(UPPER(E3167)&amp;REPT(" ",15),15)," ")</f>
        <v/>
      </c>
      <c r="V3167" s="10">
        <f>REPT(" ",24)</f>
        <v/>
      </c>
      <c r="W3167" s="10">
        <f>IF(A3167="c",LEFT(UPPER(B3167)&amp;REPT(" ",20),20),REPT(" ",20))</f>
        <v/>
      </c>
      <c r="X3167" s="10">
        <f>IF(A3167="C",LEFT(UPPER(C3167)&amp;REPT(" ",10),10)," ")</f>
        <v/>
      </c>
      <c r="Y3167" s="10">
        <f>IF(A3167="C",LEFT(UPPER(D3167)&amp;REPT(" ",2),2)," ")</f>
        <v/>
      </c>
      <c r="Z3167" s="10">
        <f>IF(A3167="C",LEFT(UPPER(E3167)&amp;REPT(" ",15),15)," ")</f>
        <v/>
      </c>
      <c r="AA3167" s="10">
        <f>REPT(" ",8)</f>
        <v/>
      </c>
      <c r="AB3167" s="10">
        <f>REPT(" ",4)</f>
        <v/>
      </c>
      <c r="AC3167" s="10">
        <f>LEFT(UPPER(H3167)&amp;REPT(" ",250),250)</f>
        <v/>
      </c>
      <c r="AD3167" s="10">
        <f>TEXT($G$2,"dd/mm/aaaa")</f>
        <v/>
      </c>
      <c r="AE3167" s="10">
        <f>REPT(" ",10)</f>
        <v/>
      </c>
      <c r="AF3167" s="10">
        <f>REPT(" ",20)</f>
        <v/>
      </c>
      <c r="AG3167" s="54">
        <f>REPT(" ",18-LEN(FIXED(F3167,2,TRUE)))&amp;FIXED(F3167,2,TRUE)</f>
        <v/>
      </c>
      <c r="AH3167" s="10">
        <f>LEN(AC3167)+LEN(AG3167)</f>
        <v/>
      </c>
      <c r="AI3167" s="10">
        <f>LEN(L3167)</f>
        <v/>
      </c>
    </row>
    <row r="3168">
      <c r="J3168" s="12">
        <f>IF(F3168&lt;&gt;0,"LANÇAR","")</f>
        <v/>
      </c>
      <c r="L3168" s="13">
        <f>N3168&amp;O3168&amp;P3168&amp;Q3168&amp;R3168&amp;S3168&amp;T3168&amp;U3168&amp;V3168&amp;W3168&amp;X3168&amp;Y3168&amp;Z3168&amp;AA3168&amp;AB3168&amp;AC3168&amp;AD3168&amp;AE3168&amp;AF3168&amp;AG3168</f>
        <v/>
      </c>
      <c r="N3168" s="10">
        <f>TEXT($B$6,"00")</f>
        <v/>
      </c>
      <c r="O3168" s="10">
        <f>REPT(" ",8)</f>
        <v/>
      </c>
      <c r="P3168" s="10">
        <f>RIGHT($B$4,2)</f>
        <v/>
      </c>
      <c r="Q3168" s="10">
        <f>RIGHT($B$5,3)</f>
        <v/>
      </c>
      <c r="R3168" s="10">
        <f>IF(A3168="D",LEFT(UPPER(B3168)&amp;REPT(" ",20),20),REPT(" ",20))</f>
        <v/>
      </c>
      <c r="S3168" s="10">
        <f>IF(A3168="D",LEFT(UPPER(C3168)&amp;REPT(" ",10),10)," ")</f>
        <v/>
      </c>
      <c r="T3168" s="10">
        <f>IF(A3168="D",LEFT(UPPER(D3168)&amp;REPT(" ",2),2)," ")</f>
        <v/>
      </c>
      <c r="U3168" s="10">
        <f>IF(A3168="D",LEFT(UPPER(E3168)&amp;REPT(" ",15),15)," ")</f>
        <v/>
      </c>
      <c r="V3168" s="10">
        <f>REPT(" ",24)</f>
        <v/>
      </c>
      <c r="W3168" s="10">
        <f>IF(A3168="c",LEFT(UPPER(B3168)&amp;REPT(" ",20),20),REPT(" ",20))</f>
        <v/>
      </c>
      <c r="X3168" s="10">
        <f>IF(A3168="C",LEFT(UPPER(C3168)&amp;REPT(" ",10),10)," ")</f>
        <v/>
      </c>
      <c r="Y3168" s="10">
        <f>IF(A3168="C",LEFT(UPPER(D3168)&amp;REPT(" ",2),2)," ")</f>
        <v/>
      </c>
      <c r="Z3168" s="10">
        <f>IF(A3168="C",LEFT(UPPER(E3168)&amp;REPT(" ",15),15)," ")</f>
        <v/>
      </c>
      <c r="AA3168" s="10">
        <f>REPT(" ",8)</f>
        <v/>
      </c>
      <c r="AB3168" s="10">
        <f>REPT(" ",4)</f>
        <v/>
      </c>
      <c r="AC3168" s="10">
        <f>LEFT(UPPER(H3168)&amp;REPT(" ",250),250)</f>
        <v/>
      </c>
      <c r="AD3168" s="10">
        <f>TEXT($G$2,"dd/mm/aaaa")</f>
        <v/>
      </c>
      <c r="AE3168" s="10">
        <f>REPT(" ",10)</f>
        <v/>
      </c>
      <c r="AF3168" s="10">
        <f>REPT(" ",20)</f>
        <v/>
      </c>
      <c r="AG3168" s="54">
        <f>REPT(" ",18-LEN(FIXED(F3168,2,TRUE)))&amp;FIXED(F3168,2,TRUE)</f>
        <v/>
      </c>
      <c r="AH3168" s="10">
        <f>LEN(AC3168)+LEN(AG3168)</f>
        <v/>
      </c>
      <c r="AI3168" s="10">
        <f>LEN(L3168)</f>
        <v/>
      </c>
    </row>
    <row r="3169">
      <c r="J3169" s="12">
        <f>IF(F3169&lt;&gt;0,"LANÇAR","")</f>
        <v/>
      </c>
      <c r="L3169" s="13">
        <f>N3169&amp;O3169&amp;P3169&amp;Q3169&amp;R3169&amp;S3169&amp;T3169&amp;U3169&amp;V3169&amp;W3169&amp;X3169&amp;Y3169&amp;Z3169&amp;AA3169&amp;AB3169&amp;AC3169&amp;AD3169&amp;AE3169&amp;AF3169&amp;AG3169</f>
        <v/>
      </c>
      <c r="N3169" s="10">
        <f>TEXT($B$6,"00")</f>
        <v/>
      </c>
      <c r="O3169" s="10">
        <f>REPT(" ",8)</f>
        <v/>
      </c>
      <c r="P3169" s="10">
        <f>RIGHT($B$4,2)</f>
        <v/>
      </c>
      <c r="Q3169" s="10">
        <f>RIGHT($B$5,3)</f>
        <v/>
      </c>
      <c r="R3169" s="10">
        <f>IF(A3169="D",LEFT(UPPER(B3169)&amp;REPT(" ",20),20),REPT(" ",20))</f>
        <v/>
      </c>
      <c r="S3169" s="10">
        <f>IF(A3169="D",LEFT(UPPER(C3169)&amp;REPT(" ",10),10)," ")</f>
        <v/>
      </c>
      <c r="T3169" s="10">
        <f>IF(A3169="D",LEFT(UPPER(D3169)&amp;REPT(" ",2),2)," ")</f>
        <v/>
      </c>
      <c r="U3169" s="10">
        <f>IF(A3169="D",LEFT(UPPER(E3169)&amp;REPT(" ",15),15)," ")</f>
        <v/>
      </c>
      <c r="V3169" s="10">
        <f>REPT(" ",24)</f>
        <v/>
      </c>
      <c r="W3169" s="10">
        <f>IF(A3169="c",LEFT(UPPER(B3169)&amp;REPT(" ",20),20),REPT(" ",20))</f>
        <v/>
      </c>
      <c r="X3169" s="10">
        <f>IF(A3169="C",LEFT(UPPER(C3169)&amp;REPT(" ",10),10)," ")</f>
        <v/>
      </c>
      <c r="Y3169" s="10">
        <f>IF(A3169="C",LEFT(UPPER(D3169)&amp;REPT(" ",2),2)," ")</f>
        <v/>
      </c>
      <c r="Z3169" s="10">
        <f>IF(A3169="C",LEFT(UPPER(E3169)&amp;REPT(" ",15),15)," ")</f>
        <v/>
      </c>
      <c r="AA3169" s="10">
        <f>REPT(" ",8)</f>
        <v/>
      </c>
      <c r="AB3169" s="10">
        <f>REPT(" ",4)</f>
        <v/>
      </c>
      <c r="AC3169" s="10">
        <f>LEFT(UPPER(H3169)&amp;REPT(" ",250),250)</f>
        <v/>
      </c>
      <c r="AD3169" s="10">
        <f>TEXT($G$2,"dd/mm/aaaa")</f>
        <v/>
      </c>
      <c r="AE3169" s="10">
        <f>REPT(" ",10)</f>
        <v/>
      </c>
      <c r="AF3169" s="10">
        <f>REPT(" ",20)</f>
        <v/>
      </c>
      <c r="AG3169" s="54">
        <f>REPT(" ",18-LEN(FIXED(F3169,2,TRUE)))&amp;FIXED(F3169,2,TRUE)</f>
        <v/>
      </c>
      <c r="AH3169" s="10">
        <f>LEN(AC3169)+LEN(AG3169)</f>
        <v/>
      </c>
      <c r="AI3169" s="10">
        <f>LEN(L3169)</f>
        <v/>
      </c>
    </row>
    <row r="3170">
      <c r="J3170" s="12">
        <f>IF(F3170&lt;&gt;0,"LANÇAR","")</f>
        <v/>
      </c>
      <c r="L3170" s="13">
        <f>N3170&amp;O3170&amp;P3170&amp;Q3170&amp;R3170&amp;S3170&amp;T3170&amp;U3170&amp;V3170&amp;W3170&amp;X3170&amp;Y3170&amp;Z3170&amp;AA3170&amp;AB3170&amp;AC3170&amp;AD3170&amp;AE3170&amp;AF3170&amp;AG3170</f>
        <v/>
      </c>
      <c r="N3170" s="10">
        <f>TEXT($B$6,"00")</f>
        <v/>
      </c>
      <c r="O3170" s="10">
        <f>REPT(" ",8)</f>
        <v/>
      </c>
      <c r="P3170" s="10">
        <f>RIGHT($B$4,2)</f>
        <v/>
      </c>
      <c r="Q3170" s="10">
        <f>RIGHT($B$5,3)</f>
        <v/>
      </c>
      <c r="R3170" s="10">
        <f>IF(A3170="D",LEFT(UPPER(B3170)&amp;REPT(" ",20),20),REPT(" ",20))</f>
        <v/>
      </c>
      <c r="S3170" s="10">
        <f>IF(A3170="D",LEFT(UPPER(C3170)&amp;REPT(" ",10),10)," ")</f>
        <v/>
      </c>
      <c r="T3170" s="10">
        <f>IF(A3170="D",LEFT(UPPER(D3170)&amp;REPT(" ",2),2)," ")</f>
        <v/>
      </c>
      <c r="U3170" s="10">
        <f>IF(A3170="D",LEFT(UPPER(E3170)&amp;REPT(" ",15),15)," ")</f>
        <v/>
      </c>
      <c r="V3170" s="10">
        <f>REPT(" ",24)</f>
        <v/>
      </c>
      <c r="W3170" s="10">
        <f>IF(A3170="c",LEFT(UPPER(B3170)&amp;REPT(" ",20),20),REPT(" ",20))</f>
        <v/>
      </c>
      <c r="X3170" s="10">
        <f>IF(A3170="C",LEFT(UPPER(C3170)&amp;REPT(" ",10),10)," ")</f>
        <v/>
      </c>
      <c r="Y3170" s="10">
        <f>IF(A3170="C",LEFT(UPPER(D3170)&amp;REPT(" ",2),2)," ")</f>
        <v/>
      </c>
      <c r="Z3170" s="10">
        <f>IF(A3170="C",LEFT(UPPER(E3170)&amp;REPT(" ",15),15)," ")</f>
        <v/>
      </c>
      <c r="AA3170" s="10">
        <f>REPT(" ",8)</f>
        <v/>
      </c>
      <c r="AB3170" s="10">
        <f>REPT(" ",4)</f>
        <v/>
      </c>
      <c r="AC3170" s="10">
        <f>LEFT(UPPER(H3170)&amp;REPT(" ",250),250)</f>
        <v/>
      </c>
      <c r="AD3170" s="10">
        <f>TEXT($G$2,"dd/mm/aaaa")</f>
        <v/>
      </c>
      <c r="AE3170" s="10">
        <f>REPT(" ",10)</f>
        <v/>
      </c>
      <c r="AF3170" s="10">
        <f>REPT(" ",20)</f>
        <v/>
      </c>
      <c r="AG3170" s="54">
        <f>REPT(" ",18-LEN(FIXED(F3170,2,TRUE)))&amp;FIXED(F3170,2,TRUE)</f>
        <v/>
      </c>
      <c r="AH3170" s="10">
        <f>LEN(AC3170)+LEN(AG3170)</f>
        <v/>
      </c>
      <c r="AI3170" s="10">
        <f>LEN(L3170)</f>
        <v/>
      </c>
    </row>
    <row r="3171">
      <c r="J3171" s="12">
        <f>IF(F3171&lt;&gt;0,"LANÇAR","")</f>
        <v/>
      </c>
      <c r="L3171" s="13">
        <f>N3171&amp;O3171&amp;P3171&amp;Q3171&amp;R3171&amp;S3171&amp;T3171&amp;U3171&amp;V3171&amp;W3171&amp;X3171&amp;Y3171&amp;Z3171&amp;AA3171&amp;AB3171&amp;AC3171&amp;AD3171&amp;AE3171&amp;AF3171&amp;AG3171</f>
        <v/>
      </c>
      <c r="N3171" s="10">
        <f>TEXT($B$6,"00")</f>
        <v/>
      </c>
      <c r="O3171" s="10">
        <f>REPT(" ",8)</f>
        <v/>
      </c>
      <c r="P3171" s="10">
        <f>RIGHT($B$4,2)</f>
        <v/>
      </c>
      <c r="Q3171" s="10">
        <f>RIGHT($B$5,3)</f>
        <v/>
      </c>
      <c r="R3171" s="10">
        <f>IF(A3171="D",LEFT(UPPER(B3171)&amp;REPT(" ",20),20),REPT(" ",20))</f>
        <v/>
      </c>
      <c r="S3171" s="10">
        <f>IF(A3171="D",LEFT(UPPER(C3171)&amp;REPT(" ",10),10)," ")</f>
        <v/>
      </c>
      <c r="T3171" s="10">
        <f>IF(A3171="D",LEFT(UPPER(D3171)&amp;REPT(" ",2),2)," ")</f>
        <v/>
      </c>
      <c r="U3171" s="10">
        <f>IF(A3171="D",LEFT(UPPER(E3171)&amp;REPT(" ",15),15)," ")</f>
        <v/>
      </c>
      <c r="V3171" s="10">
        <f>REPT(" ",24)</f>
        <v/>
      </c>
      <c r="W3171" s="10">
        <f>IF(A3171="c",LEFT(UPPER(B3171)&amp;REPT(" ",20),20),REPT(" ",20))</f>
        <v/>
      </c>
      <c r="X3171" s="10">
        <f>IF(A3171="C",LEFT(UPPER(C3171)&amp;REPT(" ",10),10)," ")</f>
        <v/>
      </c>
      <c r="Y3171" s="10">
        <f>IF(A3171="C",LEFT(UPPER(D3171)&amp;REPT(" ",2),2)," ")</f>
        <v/>
      </c>
      <c r="Z3171" s="10">
        <f>IF(A3171="C",LEFT(UPPER(E3171)&amp;REPT(" ",15),15)," ")</f>
        <v/>
      </c>
      <c r="AA3171" s="10">
        <f>REPT(" ",8)</f>
        <v/>
      </c>
      <c r="AB3171" s="10">
        <f>REPT(" ",4)</f>
        <v/>
      </c>
      <c r="AC3171" s="10">
        <f>LEFT(UPPER(H3171)&amp;REPT(" ",250),250)</f>
        <v/>
      </c>
      <c r="AD3171" s="10">
        <f>TEXT($G$2,"dd/mm/aaaa")</f>
        <v/>
      </c>
      <c r="AE3171" s="10">
        <f>REPT(" ",10)</f>
        <v/>
      </c>
      <c r="AF3171" s="10">
        <f>REPT(" ",20)</f>
        <v/>
      </c>
      <c r="AG3171" s="54">
        <f>REPT(" ",18-LEN(FIXED(F3171,2,TRUE)))&amp;FIXED(F3171,2,TRUE)</f>
        <v/>
      </c>
      <c r="AH3171" s="10">
        <f>LEN(AC3171)+LEN(AG3171)</f>
        <v/>
      </c>
      <c r="AI3171" s="10">
        <f>LEN(L3171)</f>
        <v/>
      </c>
    </row>
    <row r="3172">
      <c r="J3172" s="12">
        <f>IF(F3172&lt;&gt;0,"LANÇAR","")</f>
        <v/>
      </c>
      <c r="L3172" s="13">
        <f>N3172&amp;O3172&amp;P3172&amp;Q3172&amp;R3172&amp;S3172&amp;T3172&amp;U3172&amp;V3172&amp;W3172&amp;X3172&amp;Y3172&amp;Z3172&amp;AA3172&amp;AB3172&amp;AC3172&amp;AD3172&amp;AE3172&amp;AF3172&amp;AG3172</f>
        <v/>
      </c>
      <c r="N3172" s="10">
        <f>TEXT($B$6,"00")</f>
        <v/>
      </c>
      <c r="O3172" s="10">
        <f>REPT(" ",8)</f>
        <v/>
      </c>
      <c r="P3172" s="10">
        <f>RIGHT($B$4,2)</f>
        <v/>
      </c>
      <c r="Q3172" s="10">
        <f>RIGHT($B$5,3)</f>
        <v/>
      </c>
      <c r="R3172" s="10">
        <f>IF(A3172="D",LEFT(UPPER(B3172)&amp;REPT(" ",20),20),REPT(" ",20))</f>
        <v/>
      </c>
      <c r="S3172" s="10">
        <f>IF(A3172="D",LEFT(UPPER(C3172)&amp;REPT(" ",10),10)," ")</f>
        <v/>
      </c>
      <c r="T3172" s="10">
        <f>IF(A3172="D",LEFT(UPPER(D3172)&amp;REPT(" ",2),2)," ")</f>
        <v/>
      </c>
      <c r="U3172" s="10">
        <f>IF(A3172="D",LEFT(UPPER(E3172)&amp;REPT(" ",15),15)," ")</f>
        <v/>
      </c>
      <c r="V3172" s="10">
        <f>REPT(" ",24)</f>
        <v/>
      </c>
      <c r="W3172" s="10">
        <f>IF(A3172="c",LEFT(UPPER(B3172)&amp;REPT(" ",20),20),REPT(" ",20))</f>
        <v/>
      </c>
      <c r="X3172" s="10">
        <f>IF(A3172="C",LEFT(UPPER(C3172)&amp;REPT(" ",10),10)," ")</f>
        <v/>
      </c>
      <c r="Y3172" s="10">
        <f>IF(A3172="C",LEFT(UPPER(D3172)&amp;REPT(" ",2),2)," ")</f>
        <v/>
      </c>
      <c r="Z3172" s="10">
        <f>IF(A3172="C",LEFT(UPPER(E3172)&amp;REPT(" ",15),15)," ")</f>
        <v/>
      </c>
      <c r="AA3172" s="10">
        <f>REPT(" ",8)</f>
        <v/>
      </c>
      <c r="AB3172" s="10">
        <f>REPT(" ",4)</f>
        <v/>
      </c>
      <c r="AC3172" s="10">
        <f>LEFT(UPPER(H3172)&amp;REPT(" ",250),250)</f>
        <v/>
      </c>
      <c r="AD3172" s="10">
        <f>TEXT($G$2,"dd/mm/aaaa")</f>
        <v/>
      </c>
      <c r="AE3172" s="10">
        <f>REPT(" ",10)</f>
        <v/>
      </c>
      <c r="AF3172" s="10">
        <f>REPT(" ",20)</f>
        <v/>
      </c>
      <c r="AG3172" s="54">
        <f>REPT(" ",18-LEN(FIXED(F3172,2,TRUE)))&amp;FIXED(F3172,2,TRUE)</f>
        <v/>
      </c>
      <c r="AH3172" s="10">
        <f>LEN(AC3172)+LEN(AG3172)</f>
        <v/>
      </c>
      <c r="AI3172" s="10">
        <f>LEN(L3172)</f>
        <v/>
      </c>
    </row>
    <row r="3173">
      <c r="J3173" s="12">
        <f>IF(F3173&lt;&gt;0,"LANÇAR","")</f>
        <v/>
      </c>
      <c r="L3173" s="13">
        <f>N3173&amp;O3173&amp;P3173&amp;Q3173&amp;R3173&amp;S3173&amp;T3173&amp;U3173&amp;V3173&amp;W3173&amp;X3173&amp;Y3173&amp;Z3173&amp;AA3173&amp;AB3173&amp;AC3173&amp;AD3173&amp;AE3173&amp;AF3173&amp;AG3173</f>
        <v/>
      </c>
      <c r="N3173" s="10">
        <f>TEXT($B$6,"00")</f>
        <v/>
      </c>
      <c r="O3173" s="10">
        <f>REPT(" ",8)</f>
        <v/>
      </c>
      <c r="P3173" s="10">
        <f>RIGHT($B$4,2)</f>
        <v/>
      </c>
      <c r="Q3173" s="10">
        <f>RIGHT($B$5,3)</f>
        <v/>
      </c>
      <c r="R3173" s="10">
        <f>IF(A3173="D",LEFT(UPPER(B3173)&amp;REPT(" ",20),20),REPT(" ",20))</f>
        <v/>
      </c>
      <c r="S3173" s="10">
        <f>IF(A3173="D",LEFT(UPPER(C3173)&amp;REPT(" ",10),10)," ")</f>
        <v/>
      </c>
      <c r="T3173" s="10">
        <f>IF(A3173="D",LEFT(UPPER(D3173)&amp;REPT(" ",2),2)," ")</f>
        <v/>
      </c>
      <c r="U3173" s="10">
        <f>IF(A3173="D",LEFT(UPPER(E3173)&amp;REPT(" ",15),15)," ")</f>
        <v/>
      </c>
      <c r="V3173" s="10">
        <f>REPT(" ",24)</f>
        <v/>
      </c>
      <c r="W3173" s="10">
        <f>IF(A3173="c",LEFT(UPPER(B3173)&amp;REPT(" ",20),20),REPT(" ",20))</f>
        <v/>
      </c>
      <c r="X3173" s="10">
        <f>IF(A3173="C",LEFT(UPPER(C3173)&amp;REPT(" ",10),10)," ")</f>
        <v/>
      </c>
      <c r="Y3173" s="10">
        <f>IF(A3173="C",LEFT(UPPER(D3173)&amp;REPT(" ",2),2)," ")</f>
        <v/>
      </c>
      <c r="Z3173" s="10">
        <f>IF(A3173="C",LEFT(UPPER(E3173)&amp;REPT(" ",15),15)," ")</f>
        <v/>
      </c>
      <c r="AA3173" s="10">
        <f>REPT(" ",8)</f>
        <v/>
      </c>
      <c r="AB3173" s="10">
        <f>REPT(" ",4)</f>
        <v/>
      </c>
      <c r="AC3173" s="10">
        <f>LEFT(UPPER(H3173)&amp;REPT(" ",250),250)</f>
        <v/>
      </c>
      <c r="AD3173" s="10">
        <f>TEXT($G$2,"dd/mm/aaaa")</f>
        <v/>
      </c>
      <c r="AE3173" s="10">
        <f>REPT(" ",10)</f>
        <v/>
      </c>
      <c r="AF3173" s="10">
        <f>REPT(" ",20)</f>
        <v/>
      </c>
      <c r="AG3173" s="54">
        <f>REPT(" ",18-LEN(FIXED(F3173,2,TRUE)))&amp;FIXED(F3173,2,TRUE)</f>
        <v/>
      </c>
      <c r="AH3173" s="10">
        <f>LEN(AC3173)+LEN(AG3173)</f>
        <v/>
      </c>
      <c r="AI3173" s="10">
        <f>LEN(L3173)</f>
        <v/>
      </c>
    </row>
    <row r="3174">
      <c r="J3174" s="12">
        <f>IF(F3174&lt;&gt;0,"LANÇAR","")</f>
        <v/>
      </c>
      <c r="L3174" s="13">
        <f>N3174&amp;O3174&amp;P3174&amp;Q3174&amp;R3174&amp;S3174&amp;T3174&amp;U3174&amp;V3174&amp;W3174&amp;X3174&amp;Y3174&amp;Z3174&amp;AA3174&amp;AB3174&amp;AC3174&amp;AD3174&amp;AE3174&amp;AF3174&amp;AG3174</f>
        <v/>
      </c>
      <c r="N3174" s="10">
        <f>TEXT($B$6,"00")</f>
        <v/>
      </c>
      <c r="O3174" s="10">
        <f>REPT(" ",8)</f>
        <v/>
      </c>
      <c r="P3174" s="10">
        <f>RIGHT($B$4,2)</f>
        <v/>
      </c>
      <c r="Q3174" s="10">
        <f>RIGHT($B$5,3)</f>
        <v/>
      </c>
      <c r="R3174" s="10">
        <f>IF(A3174="D",LEFT(UPPER(B3174)&amp;REPT(" ",20),20),REPT(" ",20))</f>
        <v/>
      </c>
      <c r="S3174" s="10">
        <f>IF(A3174="D",LEFT(UPPER(C3174)&amp;REPT(" ",10),10)," ")</f>
        <v/>
      </c>
      <c r="T3174" s="10">
        <f>IF(A3174="D",LEFT(UPPER(D3174)&amp;REPT(" ",2),2)," ")</f>
        <v/>
      </c>
      <c r="U3174" s="10">
        <f>IF(A3174="D",LEFT(UPPER(E3174)&amp;REPT(" ",15),15)," ")</f>
        <v/>
      </c>
      <c r="V3174" s="10">
        <f>REPT(" ",24)</f>
        <v/>
      </c>
      <c r="W3174" s="10">
        <f>IF(A3174="c",LEFT(UPPER(B3174)&amp;REPT(" ",20),20),REPT(" ",20))</f>
        <v/>
      </c>
      <c r="X3174" s="10">
        <f>IF(A3174="C",LEFT(UPPER(C3174)&amp;REPT(" ",10),10)," ")</f>
        <v/>
      </c>
      <c r="Y3174" s="10">
        <f>IF(A3174="C",LEFT(UPPER(D3174)&amp;REPT(" ",2),2)," ")</f>
        <v/>
      </c>
      <c r="Z3174" s="10">
        <f>IF(A3174="C",LEFT(UPPER(E3174)&amp;REPT(" ",15),15)," ")</f>
        <v/>
      </c>
      <c r="AA3174" s="10">
        <f>REPT(" ",8)</f>
        <v/>
      </c>
      <c r="AB3174" s="10">
        <f>REPT(" ",4)</f>
        <v/>
      </c>
      <c r="AC3174" s="10">
        <f>LEFT(UPPER(H3174)&amp;REPT(" ",250),250)</f>
        <v/>
      </c>
      <c r="AD3174" s="10">
        <f>TEXT($G$2,"dd/mm/aaaa")</f>
        <v/>
      </c>
      <c r="AE3174" s="10">
        <f>REPT(" ",10)</f>
        <v/>
      </c>
      <c r="AF3174" s="10">
        <f>REPT(" ",20)</f>
        <v/>
      </c>
      <c r="AG3174" s="54">
        <f>REPT(" ",18-LEN(FIXED(F3174,2,TRUE)))&amp;FIXED(F3174,2,TRUE)</f>
        <v/>
      </c>
      <c r="AH3174" s="10">
        <f>LEN(AC3174)+LEN(AG3174)</f>
        <v/>
      </c>
      <c r="AI3174" s="10">
        <f>LEN(L3174)</f>
        <v/>
      </c>
    </row>
    <row r="3175">
      <c r="J3175" s="12">
        <f>IF(F3175&lt;&gt;0,"LANÇAR","")</f>
        <v/>
      </c>
      <c r="L3175" s="13">
        <f>N3175&amp;O3175&amp;P3175&amp;Q3175&amp;R3175&amp;S3175&amp;T3175&amp;U3175&amp;V3175&amp;W3175&amp;X3175&amp;Y3175&amp;Z3175&amp;AA3175&amp;AB3175&amp;AC3175&amp;AD3175&amp;AE3175&amp;AF3175&amp;AG3175</f>
        <v/>
      </c>
      <c r="N3175" s="10">
        <f>TEXT($B$6,"00")</f>
        <v/>
      </c>
      <c r="O3175" s="10">
        <f>REPT(" ",8)</f>
        <v/>
      </c>
      <c r="P3175" s="10">
        <f>RIGHT($B$4,2)</f>
        <v/>
      </c>
      <c r="Q3175" s="10">
        <f>RIGHT($B$5,3)</f>
        <v/>
      </c>
      <c r="R3175" s="10">
        <f>IF(A3175="D",LEFT(UPPER(B3175)&amp;REPT(" ",20),20),REPT(" ",20))</f>
        <v/>
      </c>
      <c r="S3175" s="10">
        <f>IF(A3175="D",LEFT(UPPER(C3175)&amp;REPT(" ",10),10)," ")</f>
        <v/>
      </c>
      <c r="T3175" s="10">
        <f>IF(A3175="D",LEFT(UPPER(D3175)&amp;REPT(" ",2),2)," ")</f>
        <v/>
      </c>
      <c r="U3175" s="10">
        <f>IF(A3175="D",LEFT(UPPER(E3175)&amp;REPT(" ",15),15)," ")</f>
        <v/>
      </c>
      <c r="V3175" s="10">
        <f>REPT(" ",24)</f>
        <v/>
      </c>
      <c r="W3175" s="10">
        <f>IF(A3175="c",LEFT(UPPER(B3175)&amp;REPT(" ",20),20),REPT(" ",20))</f>
        <v/>
      </c>
      <c r="X3175" s="10">
        <f>IF(A3175="C",LEFT(UPPER(C3175)&amp;REPT(" ",10),10)," ")</f>
        <v/>
      </c>
      <c r="Y3175" s="10">
        <f>IF(A3175="C",LEFT(UPPER(D3175)&amp;REPT(" ",2),2)," ")</f>
        <v/>
      </c>
      <c r="Z3175" s="10">
        <f>IF(A3175="C",LEFT(UPPER(E3175)&amp;REPT(" ",15),15)," ")</f>
        <v/>
      </c>
      <c r="AA3175" s="10">
        <f>REPT(" ",8)</f>
        <v/>
      </c>
      <c r="AB3175" s="10">
        <f>REPT(" ",4)</f>
        <v/>
      </c>
      <c r="AC3175" s="10">
        <f>LEFT(UPPER(H3175)&amp;REPT(" ",250),250)</f>
        <v/>
      </c>
      <c r="AD3175" s="10">
        <f>TEXT($G$2,"dd/mm/aaaa")</f>
        <v/>
      </c>
      <c r="AE3175" s="10">
        <f>REPT(" ",10)</f>
        <v/>
      </c>
      <c r="AF3175" s="10">
        <f>REPT(" ",20)</f>
        <v/>
      </c>
      <c r="AG3175" s="54">
        <f>REPT(" ",18-LEN(FIXED(F3175,2,TRUE)))&amp;FIXED(F3175,2,TRUE)</f>
        <v/>
      </c>
      <c r="AH3175" s="10">
        <f>LEN(AC3175)+LEN(AG3175)</f>
        <v/>
      </c>
      <c r="AI3175" s="10">
        <f>LEN(L3175)</f>
        <v/>
      </c>
    </row>
    <row r="3176">
      <c r="J3176" s="12">
        <f>IF(F3176&lt;&gt;0,"LANÇAR","")</f>
        <v/>
      </c>
      <c r="L3176" s="13">
        <f>N3176&amp;O3176&amp;P3176&amp;Q3176&amp;R3176&amp;S3176&amp;T3176&amp;U3176&amp;V3176&amp;W3176&amp;X3176&amp;Y3176&amp;Z3176&amp;AA3176&amp;AB3176&amp;AC3176&amp;AD3176&amp;AE3176&amp;AF3176&amp;AG3176</f>
        <v/>
      </c>
      <c r="N3176" s="10">
        <f>TEXT($B$6,"00")</f>
        <v/>
      </c>
      <c r="O3176" s="10">
        <f>REPT(" ",8)</f>
        <v/>
      </c>
      <c r="P3176" s="10">
        <f>RIGHT($B$4,2)</f>
        <v/>
      </c>
      <c r="Q3176" s="10">
        <f>RIGHT($B$5,3)</f>
        <v/>
      </c>
      <c r="R3176" s="10">
        <f>IF(A3176="D",LEFT(UPPER(B3176)&amp;REPT(" ",20),20),REPT(" ",20))</f>
        <v/>
      </c>
      <c r="S3176" s="10">
        <f>IF(A3176="D",LEFT(UPPER(C3176)&amp;REPT(" ",10),10)," ")</f>
        <v/>
      </c>
      <c r="T3176" s="10">
        <f>IF(A3176="D",LEFT(UPPER(D3176)&amp;REPT(" ",2),2)," ")</f>
        <v/>
      </c>
      <c r="U3176" s="10">
        <f>IF(A3176="D",LEFT(UPPER(E3176)&amp;REPT(" ",15),15)," ")</f>
        <v/>
      </c>
      <c r="V3176" s="10">
        <f>REPT(" ",24)</f>
        <v/>
      </c>
      <c r="W3176" s="10">
        <f>IF(A3176="c",LEFT(UPPER(B3176)&amp;REPT(" ",20),20),REPT(" ",20))</f>
        <v/>
      </c>
      <c r="X3176" s="10">
        <f>IF(A3176="C",LEFT(UPPER(C3176)&amp;REPT(" ",10),10)," ")</f>
        <v/>
      </c>
      <c r="Y3176" s="10">
        <f>IF(A3176="C",LEFT(UPPER(D3176)&amp;REPT(" ",2),2)," ")</f>
        <v/>
      </c>
      <c r="Z3176" s="10">
        <f>IF(A3176="C",LEFT(UPPER(E3176)&amp;REPT(" ",15),15)," ")</f>
        <v/>
      </c>
      <c r="AA3176" s="10">
        <f>REPT(" ",8)</f>
        <v/>
      </c>
      <c r="AB3176" s="10">
        <f>REPT(" ",4)</f>
        <v/>
      </c>
      <c r="AC3176" s="10">
        <f>LEFT(UPPER(H3176)&amp;REPT(" ",250),250)</f>
        <v/>
      </c>
      <c r="AD3176" s="10">
        <f>TEXT($G$2,"dd/mm/aaaa")</f>
        <v/>
      </c>
      <c r="AE3176" s="10">
        <f>REPT(" ",10)</f>
        <v/>
      </c>
      <c r="AF3176" s="10">
        <f>REPT(" ",20)</f>
        <v/>
      </c>
      <c r="AG3176" s="54">
        <f>REPT(" ",18-LEN(FIXED(F3176,2,TRUE)))&amp;FIXED(F3176,2,TRUE)</f>
        <v/>
      </c>
      <c r="AH3176" s="10">
        <f>LEN(AC3176)+LEN(AG3176)</f>
        <v/>
      </c>
      <c r="AI3176" s="10">
        <f>LEN(L3176)</f>
        <v/>
      </c>
    </row>
    <row r="3177">
      <c r="J3177" s="12">
        <f>IF(F3177&lt;&gt;0,"LANÇAR","")</f>
        <v/>
      </c>
      <c r="L3177" s="13">
        <f>N3177&amp;O3177&amp;P3177&amp;Q3177&amp;R3177&amp;S3177&amp;T3177&amp;U3177&amp;V3177&amp;W3177&amp;X3177&amp;Y3177&amp;Z3177&amp;AA3177&amp;AB3177&amp;AC3177&amp;AD3177&amp;AE3177&amp;AF3177&amp;AG3177</f>
        <v/>
      </c>
      <c r="N3177" s="10">
        <f>TEXT($B$6,"00")</f>
        <v/>
      </c>
      <c r="O3177" s="10">
        <f>REPT(" ",8)</f>
        <v/>
      </c>
      <c r="P3177" s="10">
        <f>RIGHT($B$4,2)</f>
        <v/>
      </c>
      <c r="Q3177" s="10">
        <f>RIGHT($B$5,3)</f>
        <v/>
      </c>
      <c r="R3177" s="10">
        <f>IF(A3177="D",LEFT(UPPER(B3177)&amp;REPT(" ",20),20),REPT(" ",20))</f>
        <v/>
      </c>
      <c r="S3177" s="10">
        <f>IF(A3177="D",LEFT(UPPER(C3177)&amp;REPT(" ",10),10)," ")</f>
        <v/>
      </c>
      <c r="T3177" s="10">
        <f>IF(A3177="D",LEFT(UPPER(D3177)&amp;REPT(" ",2),2)," ")</f>
        <v/>
      </c>
      <c r="U3177" s="10">
        <f>IF(A3177="D",LEFT(UPPER(E3177)&amp;REPT(" ",15),15)," ")</f>
        <v/>
      </c>
      <c r="V3177" s="10">
        <f>REPT(" ",24)</f>
        <v/>
      </c>
      <c r="W3177" s="10">
        <f>IF(A3177="c",LEFT(UPPER(B3177)&amp;REPT(" ",20),20),REPT(" ",20))</f>
        <v/>
      </c>
      <c r="X3177" s="10">
        <f>IF(A3177="C",LEFT(UPPER(C3177)&amp;REPT(" ",10),10)," ")</f>
        <v/>
      </c>
      <c r="Y3177" s="10">
        <f>IF(A3177="C",LEFT(UPPER(D3177)&amp;REPT(" ",2),2)," ")</f>
        <v/>
      </c>
      <c r="Z3177" s="10">
        <f>IF(A3177="C",LEFT(UPPER(E3177)&amp;REPT(" ",15),15)," ")</f>
        <v/>
      </c>
      <c r="AA3177" s="10">
        <f>REPT(" ",8)</f>
        <v/>
      </c>
      <c r="AB3177" s="10">
        <f>REPT(" ",4)</f>
        <v/>
      </c>
      <c r="AC3177" s="10">
        <f>LEFT(UPPER(H3177)&amp;REPT(" ",250),250)</f>
        <v/>
      </c>
      <c r="AD3177" s="10">
        <f>TEXT($G$2,"dd/mm/aaaa")</f>
        <v/>
      </c>
      <c r="AE3177" s="10">
        <f>REPT(" ",10)</f>
        <v/>
      </c>
      <c r="AF3177" s="10">
        <f>REPT(" ",20)</f>
        <v/>
      </c>
      <c r="AG3177" s="54">
        <f>REPT(" ",18-LEN(FIXED(F3177,2,TRUE)))&amp;FIXED(F3177,2,TRUE)</f>
        <v/>
      </c>
      <c r="AH3177" s="10">
        <f>LEN(AC3177)+LEN(AG3177)</f>
        <v/>
      </c>
      <c r="AI3177" s="10">
        <f>LEN(L3177)</f>
        <v/>
      </c>
    </row>
    <row r="3178">
      <c r="J3178" s="12">
        <f>IF(F3178&lt;&gt;0,"LANÇAR","")</f>
        <v/>
      </c>
      <c r="L3178" s="13">
        <f>N3178&amp;O3178&amp;P3178&amp;Q3178&amp;R3178&amp;S3178&amp;T3178&amp;U3178&amp;V3178&amp;W3178&amp;X3178&amp;Y3178&amp;Z3178&amp;AA3178&amp;AB3178&amp;AC3178&amp;AD3178&amp;AE3178&amp;AF3178&amp;AG3178</f>
        <v/>
      </c>
      <c r="N3178" s="10">
        <f>TEXT($B$6,"00")</f>
        <v/>
      </c>
      <c r="O3178" s="10">
        <f>REPT(" ",8)</f>
        <v/>
      </c>
      <c r="P3178" s="10">
        <f>RIGHT($B$4,2)</f>
        <v/>
      </c>
      <c r="Q3178" s="10">
        <f>RIGHT($B$5,3)</f>
        <v/>
      </c>
      <c r="R3178" s="10">
        <f>IF(A3178="D",LEFT(UPPER(B3178)&amp;REPT(" ",20),20),REPT(" ",20))</f>
        <v/>
      </c>
      <c r="S3178" s="10">
        <f>IF(A3178="D",LEFT(UPPER(C3178)&amp;REPT(" ",10),10)," ")</f>
        <v/>
      </c>
      <c r="T3178" s="10">
        <f>IF(A3178="D",LEFT(UPPER(D3178)&amp;REPT(" ",2),2)," ")</f>
        <v/>
      </c>
      <c r="U3178" s="10">
        <f>IF(A3178="D",LEFT(UPPER(E3178)&amp;REPT(" ",15),15)," ")</f>
        <v/>
      </c>
      <c r="V3178" s="10">
        <f>REPT(" ",24)</f>
        <v/>
      </c>
      <c r="W3178" s="10">
        <f>IF(A3178="c",LEFT(UPPER(B3178)&amp;REPT(" ",20),20),REPT(" ",20))</f>
        <v/>
      </c>
      <c r="X3178" s="10">
        <f>IF(A3178="C",LEFT(UPPER(C3178)&amp;REPT(" ",10),10)," ")</f>
        <v/>
      </c>
      <c r="Y3178" s="10">
        <f>IF(A3178="C",LEFT(UPPER(D3178)&amp;REPT(" ",2),2)," ")</f>
        <v/>
      </c>
      <c r="Z3178" s="10">
        <f>IF(A3178="C",LEFT(UPPER(E3178)&amp;REPT(" ",15),15)," ")</f>
        <v/>
      </c>
      <c r="AA3178" s="10">
        <f>REPT(" ",8)</f>
        <v/>
      </c>
      <c r="AB3178" s="10">
        <f>REPT(" ",4)</f>
        <v/>
      </c>
      <c r="AC3178" s="10">
        <f>LEFT(UPPER(H3178)&amp;REPT(" ",250),250)</f>
        <v/>
      </c>
      <c r="AD3178" s="10">
        <f>TEXT($G$2,"dd/mm/aaaa")</f>
        <v/>
      </c>
      <c r="AE3178" s="10">
        <f>REPT(" ",10)</f>
        <v/>
      </c>
      <c r="AF3178" s="10">
        <f>REPT(" ",20)</f>
        <v/>
      </c>
      <c r="AG3178" s="54">
        <f>REPT(" ",18-LEN(FIXED(F3178,2,TRUE)))&amp;FIXED(F3178,2,TRUE)</f>
        <v/>
      </c>
      <c r="AH3178" s="10">
        <f>LEN(AC3178)+LEN(AG3178)</f>
        <v/>
      </c>
      <c r="AI3178" s="10">
        <f>LEN(L3178)</f>
        <v/>
      </c>
    </row>
    <row r="3179">
      <c r="J3179" s="12">
        <f>IF(F3179&lt;&gt;0,"LANÇAR","")</f>
        <v/>
      </c>
      <c r="L3179" s="13">
        <f>N3179&amp;O3179&amp;P3179&amp;Q3179&amp;R3179&amp;S3179&amp;T3179&amp;U3179&amp;V3179&amp;W3179&amp;X3179&amp;Y3179&amp;Z3179&amp;AA3179&amp;AB3179&amp;AC3179&amp;AD3179&amp;AE3179&amp;AF3179&amp;AG3179</f>
        <v/>
      </c>
      <c r="N3179" s="10">
        <f>TEXT($B$6,"00")</f>
        <v/>
      </c>
      <c r="O3179" s="10">
        <f>REPT(" ",8)</f>
        <v/>
      </c>
      <c r="P3179" s="10">
        <f>RIGHT($B$4,2)</f>
        <v/>
      </c>
      <c r="Q3179" s="10">
        <f>RIGHT($B$5,3)</f>
        <v/>
      </c>
      <c r="R3179" s="10">
        <f>IF(A3179="D",LEFT(UPPER(B3179)&amp;REPT(" ",20),20),REPT(" ",20))</f>
        <v/>
      </c>
      <c r="S3179" s="10">
        <f>IF(A3179="D",LEFT(UPPER(C3179)&amp;REPT(" ",10),10)," ")</f>
        <v/>
      </c>
      <c r="T3179" s="10">
        <f>IF(A3179="D",LEFT(UPPER(D3179)&amp;REPT(" ",2),2)," ")</f>
        <v/>
      </c>
      <c r="U3179" s="10">
        <f>IF(A3179="D",LEFT(UPPER(E3179)&amp;REPT(" ",15),15)," ")</f>
        <v/>
      </c>
      <c r="V3179" s="10">
        <f>REPT(" ",24)</f>
        <v/>
      </c>
      <c r="W3179" s="10">
        <f>IF(A3179="c",LEFT(UPPER(B3179)&amp;REPT(" ",20),20),REPT(" ",20))</f>
        <v/>
      </c>
      <c r="X3179" s="10">
        <f>IF(A3179="C",LEFT(UPPER(C3179)&amp;REPT(" ",10),10)," ")</f>
        <v/>
      </c>
      <c r="Y3179" s="10">
        <f>IF(A3179="C",LEFT(UPPER(D3179)&amp;REPT(" ",2),2)," ")</f>
        <v/>
      </c>
      <c r="Z3179" s="10">
        <f>IF(A3179="C",LEFT(UPPER(E3179)&amp;REPT(" ",15),15)," ")</f>
        <v/>
      </c>
      <c r="AA3179" s="10">
        <f>REPT(" ",8)</f>
        <v/>
      </c>
      <c r="AB3179" s="10">
        <f>REPT(" ",4)</f>
        <v/>
      </c>
      <c r="AC3179" s="10">
        <f>LEFT(UPPER(H3179)&amp;REPT(" ",250),250)</f>
        <v/>
      </c>
      <c r="AD3179" s="10">
        <f>TEXT($G$2,"dd/mm/aaaa")</f>
        <v/>
      </c>
      <c r="AE3179" s="10">
        <f>REPT(" ",10)</f>
        <v/>
      </c>
      <c r="AF3179" s="10">
        <f>REPT(" ",20)</f>
        <v/>
      </c>
      <c r="AG3179" s="54">
        <f>REPT(" ",18-LEN(FIXED(F3179,2,TRUE)))&amp;FIXED(F3179,2,TRUE)</f>
        <v/>
      </c>
      <c r="AH3179" s="10">
        <f>LEN(AC3179)+LEN(AG3179)</f>
        <v/>
      </c>
      <c r="AI3179" s="10">
        <f>LEN(L3179)</f>
        <v/>
      </c>
    </row>
    <row r="3180">
      <c r="J3180" s="12">
        <f>IF(F3180&lt;&gt;0,"LANÇAR","")</f>
        <v/>
      </c>
      <c r="L3180" s="13">
        <f>N3180&amp;O3180&amp;P3180&amp;Q3180&amp;R3180&amp;S3180&amp;T3180&amp;U3180&amp;V3180&amp;W3180&amp;X3180&amp;Y3180&amp;Z3180&amp;AA3180&amp;AB3180&amp;AC3180&amp;AD3180&amp;AE3180&amp;AF3180&amp;AG3180</f>
        <v/>
      </c>
      <c r="N3180" s="10">
        <f>TEXT($B$6,"00")</f>
        <v/>
      </c>
      <c r="O3180" s="10">
        <f>REPT(" ",8)</f>
        <v/>
      </c>
      <c r="P3180" s="10">
        <f>RIGHT($B$4,2)</f>
        <v/>
      </c>
      <c r="Q3180" s="10">
        <f>RIGHT($B$5,3)</f>
        <v/>
      </c>
      <c r="R3180" s="10">
        <f>IF(A3180="D",LEFT(UPPER(B3180)&amp;REPT(" ",20),20),REPT(" ",20))</f>
        <v/>
      </c>
      <c r="S3180" s="10">
        <f>IF(A3180="D",LEFT(UPPER(C3180)&amp;REPT(" ",10),10)," ")</f>
        <v/>
      </c>
      <c r="T3180" s="10">
        <f>IF(A3180="D",LEFT(UPPER(D3180)&amp;REPT(" ",2),2)," ")</f>
        <v/>
      </c>
      <c r="U3180" s="10">
        <f>IF(A3180="D",LEFT(UPPER(E3180)&amp;REPT(" ",15),15)," ")</f>
        <v/>
      </c>
      <c r="V3180" s="10">
        <f>REPT(" ",24)</f>
        <v/>
      </c>
      <c r="W3180" s="10">
        <f>IF(A3180="c",LEFT(UPPER(B3180)&amp;REPT(" ",20),20),REPT(" ",20))</f>
        <v/>
      </c>
      <c r="X3180" s="10">
        <f>IF(A3180="C",LEFT(UPPER(C3180)&amp;REPT(" ",10),10)," ")</f>
        <v/>
      </c>
      <c r="Y3180" s="10">
        <f>IF(A3180="C",LEFT(UPPER(D3180)&amp;REPT(" ",2),2)," ")</f>
        <v/>
      </c>
      <c r="Z3180" s="10">
        <f>IF(A3180="C",LEFT(UPPER(E3180)&amp;REPT(" ",15),15)," ")</f>
        <v/>
      </c>
      <c r="AA3180" s="10">
        <f>REPT(" ",8)</f>
        <v/>
      </c>
      <c r="AB3180" s="10">
        <f>REPT(" ",4)</f>
        <v/>
      </c>
      <c r="AC3180" s="10">
        <f>LEFT(UPPER(H3180)&amp;REPT(" ",250),250)</f>
        <v/>
      </c>
      <c r="AD3180" s="10">
        <f>TEXT($G$2,"dd/mm/aaaa")</f>
        <v/>
      </c>
      <c r="AE3180" s="10">
        <f>REPT(" ",10)</f>
        <v/>
      </c>
      <c r="AF3180" s="10">
        <f>REPT(" ",20)</f>
        <v/>
      </c>
      <c r="AG3180" s="54">
        <f>REPT(" ",18-LEN(FIXED(F3180,2,TRUE)))&amp;FIXED(F3180,2,TRUE)</f>
        <v/>
      </c>
      <c r="AH3180" s="10">
        <f>LEN(AC3180)+LEN(AG3180)</f>
        <v/>
      </c>
      <c r="AI3180" s="10">
        <f>LEN(L3180)</f>
        <v/>
      </c>
    </row>
    <row r="3181">
      <c r="J3181" s="12">
        <f>IF(F3181&lt;&gt;0,"LANÇAR","")</f>
        <v/>
      </c>
      <c r="L3181" s="13">
        <f>N3181&amp;O3181&amp;P3181&amp;Q3181&amp;R3181&amp;S3181&amp;T3181&amp;U3181&amp;V3181&amp;W3181&amp;X3181&amp;Y3181&amp;Z3181&amp;AA3181&amp;AB3181&amp;AC3181&amp;AD3181&amp;AE3181&amp;AF3181&amp;AG3181</f>
        <v/>
      </c>
      <c r="N3181" s="10">
        <f>TEXT($B$6,"00")</f>
        <v/>
      </c>
      <c r="O3181" s="10">
        <f>REPT(" ",8)</f>
        <v/>
      </c>
      <c r="P3181" s="10">
        <f>RIGHT($B$4,2)</f>
        <v/>
      </c>
      <c r="Q3181" s="10">
        <f>RIGHT($B$5,3)</f>
        <v/>
      </c>
      <c r="R3181" s="10">
        <f>IF(A3181="D",LEFT(UPPER(B3181)&amp;REPT(" ",20),20),REPT(" ",20))</f>
        <v/>
      </c>
      <c r="S3181" s="10">
        <f>IF(A3181="D",LEFT(UPPER(C3181)&amp;REPT(" ",10),10)," ")</f>
        <v/>
      </c>
      <c r="T3181" s="10">
        <f>IF(A3181="D",LEFT(UPPER(D3181)&amp;REPT(" ",2),2)," ")</f>
        <v/>
      </c>
      <c r="U3181" s="10">
        <f>IF(A3181="D",LEFT(UPPER(E3181)&amp;REPT(" ",15),15)," ")</f>
        <v/>
      </c>
      <c r="V3181" s="10">
        <f>REPT(" ",24)</f>
        <v/>
      </c>
      <c r="W3181" s="10">
        <f>IF(A3181="c",LEFT(UPPER(B3181)&amp;REPT(" ",20),20),REPT(" ",20))</f>
        <v/>
      </c>
      <c r="X3181" s="10">
        <f>IF(A3181="C",LEFT(UPPER(C3181)&amp;REPT(" ",10),10)," ")</f>
        <v/>
      </c>
      <c r="Y3181" s="10">
        <f>IF(A3181="C",LEFT(UPPER(D3181)&amp;REPT(" ",2),2)," ")</f>
        <v/>
      </c>
      <c r="Z3181" s="10">
        <f>IF(A3181="C",LEFT(UPPER(E3181)&amp;REPT(" ",15),15)," ")</f>
        <v/>
      </c>
      <c r="AA3181" s="10">
        <f>REPT(" ",8)</f>
        <v/>
      </c>
      <c r="AB3181" s="10">
        <f>REPT(" ",4)</f>
        <v/>
      </c>
      <c r="AC3181" s="10">
        <f>LEFT(UPPER(H3181)&amp;REPT(" ",250),250)</f>
        <v/>
      </c>
      <c r="AD3181" s="10">
        <f>TEXT($G$2,"dd/mm/aaaa")</f>
        <v/>
      </c>
      <c r="AE3181" s="10">
        <f>REPT(" ",10)</f>
        <v/>
      </c>
      <c r="AF3181" s="10">
        <f>REPT(" ",20)</f>
        <v/>
      </c>
      <c r="AG3181" s="54">
        <f>REPT(" ",18-LEN(FIXED(F3181,2,TRUE)))&amp;FIXED(F3181,2,TRUE)</f>
        <v/>
      </c>
      <c r="AH3181" s="10">
        <f>LEN(AC3181)+LEN(AG3181)</f>
        <v/>
      </c>
      <c r="AI3181" s="10">
        <f>LEN(L3181)</f>
        <v/>
      </c>
    </row>
    <row r="3182">
      <c r="J3182" s="12">
        <f>IF(F3182&lt;&gt;0,"LANÇAR","")</f>
        <v/>
      </c>
      <c r="L3182" s="13">
        <f>N3182&amp;O3182&amp;P3182&amp;Q3182&amp;R3182&amp;S3182&amp;T3182&amp;U3182&amp;V3182&amp;W3182&amp;X3182&amp;Y3182&amp;Z3182&amp;AA3182&amp;AB3182&amp;AC3182&amp;AD3182&amp;AE3182&amp;AF3182&amp;AG3182</f>
        <v/>
      </c>
      <c r="N3182" s="10">
        <f>TEXT($B$6,"00")</f>
        <v/>
      </c>
      <c r="O3182" s="10">
        <f>REPT(" ",8)</f>
        <v/>
      </c>
      <c r="P3182" s="10">
        <f>RIGHT($B$4,2)</f>
        <v/>
      </c>
      <c r="Q3182" s="10">
        <f>RIGHT($B$5,3)</f>
        <v/>
      </c>
      <c r="R3182" s="10">
        <f>IF(A3182="D",LEFT(UPPER(B3182)&amp;REPT(" ",20),20),REPT(" ",20))</f>
        <v/>
      </c>
      <c r="S3182" s="10">
        <f>IF(A3182="D",LEFT(UPPER(C3182)&amp;REPT(" ",10),10)," ")</f>
        <v/>
      </c>
      <c r="T3182" s="10">
        <f>IF(A3182="D",LEFT(UPPER(D3182)&amp;REPT(" ",2),2)," ")</f>
        <v/>
      </c>
      <c r="U3182" s="10">
        <f>IF(A3182="D",LEFT(UPPER(E3182)&amp;REPT(" ",15),15)," ")</f>
        <v/>
      </c>
      <c r="V3182" s="10">
        <f>REPT(" ",24)</f>
        <v/>
      </c>
      <c r="W3182" s="10">
        <f>IF(A3182="c",LEFT(UPPER(B3182)&amp;REPT(" ",20),20),REPT(" ",20))</f>
        <v/>
      </c>
      <c r="X3182" s="10">
        <f>IF(A3182="C",LEFT(UPPER(C3182)&amp;REPT(" ",10),10)," ")</f>
        <v/>
      </c>
      <c r="Y3182" s="10">
        <f>IF(A3182="C",LEFT(UPPER(D3182)&amp;REPT(" ",2),2)," ")</f>
        <v/>
      </c>
      <c r="Z3182" s="10">
        <f>IF(A3182="C",LEFT(UPPER(E3182)&amp;REPT(" ",15),15)," ")</f>
        <v/>
      </c>
      <c r="AA3182" s="10">
        <f>REPT(" ",8)</f>
        <v/>
      </c>
      <c r="AB3182" s="10">
        <f>REPT(" ",4)</f>
        <v/>
      </c>
      <c r="AC3182" s="10">
        <f>LEFT(UPPER(H3182)&amp;REPT(" ",250),250)</f>
        <v/>
      </c>
      <c r="AD3182" s="10">
        <f>TEXT($G$2,"dd/mm/aaaa")</f>
        <v/>
      </c>
      <c r="AE3182" s="10">
        <f>REPT(" ",10)</f>
        <v/>
      </c>
      <c r="AF3182" s="10">
        <f>REPT(" ",20)</f>
        <v/>
      </c>
      <c r="AG3182" s="54">
        <f>REPT(" ",18-LEN(FIXED(F3182,2,TRUE)))&amp;FIXED(F3182,2,TRUE)</f>
        <v/>
      </c>
      <c r="AH3182" s="10">
        <f>LEN(AC3182)+LEN(AG3182)</f>
        <v/>
      </c>
      <c r="AI3182" s="10">
        <f>LEN(L3182)</f>
        <v/>
      </c>
    </row>
    <row r="3183">
      <c r="J3183" s="12">
        <f>IF(F3183&lt;&gt;0,"LANÇAR","")</f>
        <v/>
      </c>
      <c r="L3183" s="13">
        <f>N3183&amp;O3183&amp;P3183&amp;Q3183&amp;R3183&amp;S3183&amp;T3183&amp;U3183&amp;V3183&amp;W3183&amp;X3183&amp;Y3183&amp;Z3183&amp;AA3183&amp;AB3183&amp;AC3183&amp;AD3183&amp;AE3183&amp;AF3183&amp;AG3183</f>
        <v/>
      </c>
      <c r="N3183" s="10">
        <f>TEXT($B$6,"00")</f>
        <v/>
      </c>
      <c r="O3183" s="10">
        <f>REPT(" ",8)</f>
        <v/>
      </c>
      <c r="P3183" s="10">
        <f>RIGHT($B$4,2)</f>
        <v/>
      </c>
      <c r="Q3183" s="10">
        <f>RIGHT($B$5,3)</f>
        <v/>
      </c>
      <c r="R3183" s="10">
        <f>IF(A3183="D",LEFT(UPPER(B3183)&amp;REPT(" ",20),20),REPT(" ",20))</f>
        <v/>
      </c>
      <c r="S3183" s="10">
        <f>IF(A3183="D",LEFT(UPPER(C3183)&amp;REPT(" ",10),10)," ")</f>
        <v/>
      </c>
      <c r="T3183" s="10">
        <f>IF(A3183="D",LEFT(UPPER(D3183)&amp;REPT(" ",2),2)," ")</f>
        <v/>
      </c>
      <c r="U3183" s="10">
        <f>IF(A3183="D",LEFT(UPPER(E3183)&amp;REPT(" ",15),15)," ")</f>
        <v/>
      </c>
      <c r="V3183" s="10">
        <f>REPT(" ",24)</f>
        <v/>
      </c>
      <c r="W3183" s="10">
        <f>IF(A3183="c",LEFT(UPPER(B3183)&amp;REPT(" ",20),20),REPT(" ",20))</f>
        <v/>
      </c>
      <c r="X3183" s="10">
        <f>IF(A3183="C",LEFT(UPPER(C3183)&amp;REPT(" ",10),10)," ")</f>
        <v/>
      </c>
      <c r="Y3183" s="10">
        <f>IF(A3183="C",LEFT(UPPER(D3183)&amp;REPT(" ",2),2)," ")</f>
        <v/>
      </c>
      <c r="Z3183" s="10">
        <f>IF(A3183="C",LEFT(UPPER(E3183)&amp;REPT(" ",15),15)," ")</f>
        <v/>
      </c>
      <c r="AA3183" s="10">
        <f>REPT(" ",8)</f>
        <v/>
      </c>
      <c r="AB3183" s="10">
        <f>REPT(" ",4)</f>
        <v/>
      </c>
      <c r="AC3183" s="10">
        <f>LEFT(UPPER(H3183)&amp;REPT(" ",250),250)</f>
        <v/>
      </c>
      <c r="AD3183" s="10">
        <f>TEXT($G$2,"dd/mm/aaaa")</f>
        <v/>
      </c>
      <c r="AE3183" s="10">
        <f>REPT(" ",10)</f>
        <v/>
      </c>
      <c r="AF3183" s="10">
        <f>REPT(" ",20)</f>
        <v/>
      </c>
      <c r="AG3183" s="54">
        <f>REPT(" ",18-LEN(FIXED(F3183,2,TRUE)))&amp;FIXED(F3183,2,TRUE)</f>
        <v/>
      </c>
      <c r="AH3183" s="10">
        <f>LEN(AC3183)+LEN(AG3183)</f>
        <v/>
      </c>
      <c r="AI3183" s="10">
        <f>LEN(L3183)</f>
        <v/>
      </c>
    </row>
    <row r="3184">
      <c r="J3184" s="12">
        <f>IF(F3184&lt;&gt;0,"LANÇAR","")</f>
        <v/>
      </c>
      <c r="L3184" s="13">
        <f>N3184&amp;O3184&amp;P3184&amp;Q3184&amp;R3184&amp;S3184&amp;T3184&amp;U3184&amp;V3184&amp;W3184&amp;X3184&amp;Y3184&amp;Z3184&amp;AA3184&amp;AB3184&amp;AC3184&amp;AD3184&amp;AE3184&amp;AF3184&amp;AG3184</f>
        <v/>
      </c>
      <c r="N3184" s="10">
        <f>TEXT($B$6,"00")</f>
        <v/>
      </c>
      <c r="O3184" s="10">
        <f>REPT(" ",8)</f>
        <v/>
      </c>
      <c r="P3184" s="10">
        <f>RIGHT($B$4,2)</f>
        <v/>
      </c>
      <c r="Q3184" s="10">
        <f>RIGHT($B$5,3)</f>
        <v/>
      </c>
      <c r="R3184" s="10">
        <f>IF(A3184="D",LEFT(UPPER(B3184)&amp;REPT(" ",20),20),REPT(" ",20))</f>
        <v/>
      </c>
      <c r="S3184" s="10">
        <f>IF(A3184="D",LEFT(UPPER(C3184)&amp;REPT(" ",10),10)," ")</f>
        <v/>
      </c>
      <c r="T3184" s="10">
        <f>IF(A3184="D",LEFT(UPPER(D3184)&amp;REPT(" ",2),2)," ")</f>
        <v/>
      </c>
      <c r="U3184" s="10">
        <f>IF(A3184="D",LEFT(UPPER(E3184)&amp;REPT(" ",15),15)," ")</f>
        <v/>
      </c>
      <c r="V3184" s="10">
        <f>REPT(" ",24)</f>
        <v/>
      </c>
      <c r="W3184" s="10">
        <f>IF(A3184="c",LEFT(UPPER(B3184)&amp;REPT(" ",20),20),REPT(" ",20))</f>
        <v/>
      </c>
      <c r="X3184" s="10">
        <f>IF(A3184="C",LEFT(UPPER(C3184)&amp;REPT(" ",10),10)," ")</f>
        <v/>
      </c>
      <c r="Y3184" s="10">
        <f>IF(A3184="C",LEFT(UPPER(D3184)&amp;REPT(" ",2),2)," ")</f>
        <v/>
      </c>
      <c r="Z3184" s="10">
        <f>IF(A3184="C",LEFT(UPPER(E3184)&amp;REPT(" ",15),15)," ")</f>
        <v/>
      </c>
      <c r="AA3184" s="10">
        <f>REPT(" ",8)</f>
        <v/>
      </c>
      <c r="AB3184" s="10">
        <f>REPT(" ",4)</f>
        <v/>
      </c>
      <c r="AC3184" s="10">
        <f>LEFT(UPPER(H3184)&amp;REPT(" ",250),250)</f>
        <v/>
      </c>
      <c r="AD3184" s="10">
        <f>TEXT($G$2,"dd/mm/aaaa")</f>
        <v/>
      </c>
      <c r="AE3184" s="10">
        <f>REPT(" ",10)</f>
        <v/>
      </c>
      <c r="AF3184" s="10">
        <f>REPT(" ",20)</f>
        <v/>
      </c>
      <c r="AG3184" s="54">
        <f>REPT(" ",18-LEN(FIXED(F3184,2,TRUE)))&amp;FIXED(F3184,2,TRUE)</f>
        <v/>
      </c>
      <c r="AH3184" s="10">
        <f>LEN(AC3184)+LEN(AG3184)</f>
        <v/>
      </c>
      <c r="AI3184" s="10">
        <f>LEN(L3184)</f>
        <v/>
      </c>
    </row>
    <row r="3185">
      <c r="J3185" s="12">
        <f>IF(F3185&lt;&gt;0,"LANÇAR","")</f>
        <v/>
      </c>
      <c r="L3185" s="13">
        <f>N3185&amp;O3185&amp;P3185&amp;Q3185&amp;R3185&amp;S3185&amp;T3185&amp;U3185&amp;V3185&amp;W3185&amp;X3185&amp;Y3185&amp;Z3185&amp;AA3185&amp;AB3185&amp;AC3185&amp;AD3185&amp;AE3185&amp;AF3185&amp;AG3185</f>
        <v/>
      </c>
      <c r="N3185" s="10">
        <f>TEXT($B$6,"00")</f>
        <v/>
      </c>
      <c r="O3185" s="10">
        <f>REPT(" ",8)</f>
        <v/>
      </c>
      <c r="P3185" s="10">
        <f>RIGHT($B$4,2)</f>
        <v/>
      </c>
      <c r="Q3185" s="10">
        <f>RIGHT($B$5,3)</f>
        <v/>
      </c>
      <c r="R3185" s="10">
        <f>IF(A3185="D",LEFT(UPPER(B3185)&amp;REPT(" ",20),20),REPT(" ",20))</f>
        <v/>
      </c>
      <c r="S3185" s="10">
        <f>IF(A3185="D",LEFT(UPPER(C3185)&amp;REPT(" ",10),10)," ")</f>
        <v/>
      </c>
      <c r="T3185" s="10">
        <f>IF(A3185="D",LEFT(UPPER(D3185)&amp;REPT(" ",2),2)," ")</f>
        <v/>
      </c>
      <c r="U3185" s="10">
        <f>IF(A3185="D",LEFT(UPPER(E3185)&amp;REPT(" ",15),15)," ")</f>
        <v/>
      </c>
      <c r="V3185" s="10">
        <f>REPT(" ",24)</f>
        <v/>
      </c>
      <c r="W3185" s="10">
        <f>IF(A3185="c",LEFT(UPPER(B3185)&amp;REPT(" ",20),20),REPT(" ",20))</f>
        <v/>
      </c>
      <c r="X3185" s="10">
        <f>IF(A3185="C",LEFT(UPPER(C3185)&amp;REPT(" ",10),10)," ")</f>
        <v/>
      </c>
      <c r="Y3185" s="10">
        <f>IF(A3185="C",LEFT(UPPER(D3185)&amp;REPT(" ",2),2)," ")</f>
        <v/>
      </c>
      <c r="Z3185" s="10">
        <f>IF(A3185="C",LEFT(UPPER(E3185)&amp;REPT(" ",15),15)," ")</f>
        <v/>
      </c>
      <c r="AA3185" s="10">
        <f>REPT(" ",8)</f>
        <v/>
      </c>
      <c r="AB3185" s="10">
        <f>REPT(" ",4)</f>
        <v/>
      </c>
      <c r="AC3185" s="10">
        <f>LEFT(UPPER(H3185)&amp;REPT(" ",250),250)</f>
        <v/>
      </c>
      <c r="AD3185" s="10">
        <f>TEXT($G$2,"dd/mm/aaaa")</f>
        <v/>
      </c>
      <c r="AE3185" s="10">
        <f>REPT(" ",10)</f>
        <v/>
      </c>
      <c r="AF3185" s="10">
        <f>REPT(" ",20)</f>
        <v/>
      </c>
      <c r="AG3185" s="54">
        <f>REPT(" ",18-LEN(FIXED(F3185,2,TRUE)))&amp;FIXED(F3185,2,TRUE)</f>
        <v/>
      </c>
      <c r="AH3185" s="10">
        <f>LEN(AC3185)+LEN(AG3185)</f>
        <v/>
      </c>
      <c r="AI3185" s="10">
        <f>LEN(L3185)</f>
        <v/>
      </c>
    </row>
    <row r="3186">
      <c r="J3186" s="12">
        <f>IF(F3186&lt;&gt;0,"LANÇAR","")</f>
        <v/>
      </c>
      <c r="L3186" s="13">
        <f>N3186&amp;O3186&amp;P3186&amp;Q3186&amp;R3186&amp;S3186&amp;T3186&amp;U3186&amp;V3186&amp;W3186&amp;X3186&amp;Y3186&amp;Z3186&amp;AA3186&amp;AB3186&amp;AC3186&amp;AD3186&amp;AE3186&amp;AF3186&amp;AG3186</f>
        <v/>
      </c>
      <c r="N3186" s="10">
        <f>TEXT($B$6,"00")</f>
        <v/>
      </c>
      <c r="O3186" s="10">
        <f>REPT(" ",8)</f>
        <v/>
      </c>
      <c r="P3186" s="10">
        <f>RIGHT($B$4,2)</f>
        <v/>
      </c>
      <c r="Q3186" s="10">
        <f>RIGHT($B$5,3)</f>
        <v/>
      </c>
      <c r="R3186" s="10">
        <f>IF(A3186="D",LEFT(UPPER(B3186)&amp;REPT(" ",20),20),REPT(" ",20))</f>
        <v/>
      </c>
      <c r="S3186" s="10">
        <f>IF(A3186="D",LEFT(UPPER(C3186)&amp;REPT(" ",10),10)," ")</f>
        <v/>
      </c>
      <c r="T3186" s="10">
        <f>IF(A3186="D",LEFT(UPPER(D3186)&amp;REPT(" ",2),2)," ")</f>
        <v/>
      </c>
      <c r="U3186" s="10">
        <f>IF(A3186="D",LEFT(UPPER(E3186)&amp;REPT(" ",15),15)," ")</f>
        <v/>
      </c>
      <c r="V3186" s="10">
        <f>REPT(" ",24)</f>
        <v/>
      </c>
      <c r="W3186" s="10">
        <f>IF(A3186="c",LEFT(UPPER(B3186)&amp;REPT(" ",20),20),REPT(" ",20))</f>
        <v/>
      </c>
      <c r="X3186" s="10">
        <f>IF(A3186="C",LEFT(UPPER(C3186)&amp;REPT(" ",10),10)," ")</f>
        <v/>
      </c>
      <c r="Y3186" s="10">
        <f>IF(A3186="C",LEFT(UPPER(D3186)&amp;REPT(" ",2),2)," ")</f>
        <v/>
      </c>
      <c r="Z3186" s="10">
        <f>IF(A3186="C",LEFT(UPPER(E3186)&amp;REPT(" ",15),15)," ")</f>
        <v/>
      </c>
      <c r="AA3186" s="10">
        <f>REPT(" ",8)</f>
        <v/>
      </c>
      <c r="AB3186" s="10">
        <f>REPT(" ",4)</f>
        <v/>
      </c>
      <c r="AC3186" s="10">
        <f>LEFT(UPPER(H3186)&amp;REPT(" ",250),250)</f>
        <v/>
      </c>
      <c r="AD3186" s="10">
        <f>TEXT($G$2,"dd/mm/aaaa")</f>
        <v/>
      </c>
      <c r="AE3186" s="10">
        <f>REPT(" ",10)</f>
        <v/>
      </c>
      <c r="AF3186" s="10">
        <f>REPT(" ",20)</f>
        <v/>
      </c>
      <c r="AG3186" s="54">
        <f>REPT(" ",18-LEN(FIXED(F3186,2,TRUE)))&amp;FIXED(F3186,2,TRUE)</f>
        <v/>
      </c>
      <c r="AH3186" s="10">
        <f>LEN(AC3186)+LEN(AG3186)</f>
        <v/>
      </c>
      <c r="AI3186" s="10">
        <f>LEN(L3186)</f>
        <v/>
      </c>
    </row>
    <row r="3187">
      <c r="J3187" s="12">
        <f>IF(F3187&lt;&gt;0,"LANÇAR","")</f>
        <v/>
      </c>
      <c r="L3187" s="13">
        <f>N3187&amp;O3187&amp;P3187&amp;Q3187&amp;R3187&amp;S3187&amp;T3187&amp;U3187&amp;V3187&amp;W3187&amp;X3187&amp;Y3187&amp;Z3187&amp;AA3187&amp;AB3187&amp;AC3187&amp;AD3187&amp;AE3187&amp;AF3187&amp;AG3187</f>
        <v/>
      </c>
      <c r="N3187" s="10">
        <f>TEXT($B$6,"00")</f>
        <v/>
      </c>
      <c r="O3187" s="10">
        <f>REPT(" ",8)</f>
        <v/>
      </c>
      <c r="P3187" s="10">
        <f>RIGHT($B$4,2)</f>
        <v/>
      </c>
      <c r="Q3187" s="10">
        <f>RIGHT($B$5,3)</f>
        <v/>
      </c>
      <c r="R3187" s="10">
        <f>IF(A3187="D",LEFT(UPPER(B3187)&amp;REPT(" ",20),20),REPT(" ",20))</f>
        <v/>
      </c>
      <c r="S3187" s="10">
        <f>IF(A3187="D",LEFT(UPPER(C3187)&amp;REPT(" ",10),10)," ")</f>
        <v/>
      </c>
      <c r="T3187" s="10">
        <f>IF(A3187="D",LEFT(UPPER(D3187)&amp;REPT(" ",2),2)," ")</f>
        <v/>
      </c>
      <c r="U3187" s="10">
        <f>IF(A3187="D",LEFT(UPPER(E3187)&amp;REPT(" ",15),15)," ")</f>
        <v/>
      </c>
      <c r="V3187" s="10">
        <f>REPT(" ",24)</f>
        <v/>
      </c>
      <c r="W3187" s="10">
        <f>IF(A3187="c",LEFT(UPPER(B3187)&amp;REPT(" ",20),20),REPT(" ",20))</f>
        <v/>
      </c>
      <c r="X3187" s="10">
        <f>IF(A3187="C",LEFT(UPPER(C3187)&amp;REPT(" ",10),10)," ")</f>
        <v/>
      </c>
      <c r="Y3187" s="10">
        <f>IF(A3187="C",LEFT(UPPER(D3187)&amp;REPT(" ",2),2)," ")</f>
        <v/>
      </c>
      <c r="Z3187" s="10">
        <f>IF(A3187="C",LEFT(UPPER(E3187)&amp;REPT(" ",15),15)," ")</f>
        <v/>
      </c>
      <c r="AA3187" s="10">
        <f>REPT(" ",8)</f>
        <v/>
      </c>
      <c r="AB3187" s="10">
        <f>REPT(" ",4)</f>
        <v/>
      </c>
      <c r="AC3187" s="10">
        <f>LEFT(UPPER(H3187)&amp;REPT(" ",250),250)</f>
        <v/>
      </c>
      <c r="AD3187" s="10">
        <f>TEXT($G$2,"dd/mm/aaaa")</f>
        <v/>
      </c>
      <c r="AE3187" s="10">
        <f>REPT(" ",10)</f>
        <v/>
      </c>
      <c r="AF3187" s="10">
        <f>REPT(" ",20)</f>
        <v/>
      </c>
      <c r="AG3187" s="54">
        <f>REPT(" ",18-LEN(FIXED(F3187,2,TRUE)))&amp;FIXED(F3187,2,TRUE)</f>
        <v/>
      </c>
      <c r="AH3187" s="10">
        <f>LEN(AC3187)+LEN(AG3187)</f>
        <v/>
      </c>
      <c r="AI3187" s="10">
        <f>LEN(L3187)</f>
        <v/>
      </c>
    </row>
    <row r="3188">
      <c r="J3188" s="12">
        <f>IF(F3188&lt;&gt;0,"LANÇAR","")</f>
        <v/>
      </c>
      <c r="L3188" s="13">
        <f>N3188&amp;O3188&amp;P3188&amp;Q3188&amp;R3188&amp;S3188&amp;T3188&amp;U3188&amp;V3188&amp;W3188&amp;X3188&amp;Y3188&amp;Z3188&amp;AA3188&amp;AB3188&amp;AC3188&amp;AD3188&amp;AE3188&amp;AF3188&amp;AG3188</f>
        <v/>
      </c>
      <c r="N3188" s="10">
        <f>TEXT($B$6,"00")</f>
        <v/>
      </c>
      <c r="O3188" s="10">
        <f>REPT(" ",8)</f>
        <v/>
      </c>
      <c r="P3188" s="10">
        <f>RIGHT($B$4,2)</f>
        <v/>
      </c>
      <c r="Q3188" s="10">
        <f>RIGHT($B$5,3)</f>
        <v/>
      </c>
      <c r="R3188" s="10">
        <f>IF(A3188="D",LEFT(UPPER(B3188)&amp;REPT(" ",20),20),REPT(" ",20))</f>
        <v/>
      </c>
      <c r="S3188" s="10">
        <f>IF(A3188="D",LEFT(UPPER(C3188)&amp;REPT(" ",10),10)," ")</f>
        <v/>
      </c>
      <c r="T3188" s="10">
        <f>IF(A3188="D",LEFT(UPPER(D3188)&amp;REPT(" ",2),2)," ")</f>
        <v/>
      </c>
      <c r="U3188" s="10">
        <f>IF(A3188="D",LEFT(UPPER(E3188)&amp;REPT(" ",15),15)," ")</f>
        <v/>
      </c>
      <c r="V3188" s="10">
        <f>REPT(" ",24)</f>
        <v/>
      </c>
      <c r="W3188" s="10">
        <f>IF(A3188="c",LEFT(UPPER(B3188)&amp;REPT(" ",20),20),REPT(" ",20))</f>
        <v/>
      </c>
      <c r="X3188" s="10">
        <f>IF(A3188="C",LEFT(UPPER(C3188)&amp;REPT(" ",10),10)," ")</f>
        <v/>
      </c>
      <c r="Y3188" s="10">
        <f>IF(A3188="C",LEFT(UPPER(D3188)&amp;REPT(" ",2),2)," ")</f>
        <v/>
      </c>
      <c r="Z3188" s="10">
        <f>IF(A3188="C",LEFT(UPPER(E3188)&amp;REPT(" ",15),15)," ")</f>
        <v/>
      </c>
      <c r="AA3188" s="10">
        <f>REPT(" ",8)</f>
        <v/>
      </c>
      <c r="AB3188" s="10">
        <f>REPT(" ",4)</f>
        <v/>
      </c>
      <c r="AC3188" s="10">
        <f>LEFT(UPPER(H3188)&amp;REPT(" ",250),250)</f>
        <v/>
      </c>
      <c r="AD3188" s="10">
        <f>TEXT($G$2,"dd/mm/aaaa")</f>
        <v/>
      </c>
      <c r="AE3188" s="10">
        <f>REPT(" ",10)</f>
        <v/>
      </c>
      <c r="AF3188" s="10">
        <f>REPT(" ",20)</f>
        <v/>
      </c>
      <c r="AG3188" s="54">
        <f>REPT(" ",18-LEN(FIXED(F3188,2,TRUE)))&amp;FIXED(F3188,2,TRUE)</f>
        <v/>
      </c>
      <c r="AH3188" s="10">
        <f>LEN(AC3188)+LEN(AG3188)</f>
        <v/>
      </c>
      <c r="AI3188" s="10">
        <f>LEN(L3188)</f>
        <v/>
      </c>
    </row>
    <row r="3189">
      <c r="J3189" s="12">
        <f>IF(F3189&lt;&gt;0,"LANÇAR","")</f>
        <v/>
      </c>
      <c r="L3189" s="13">
        <f>N3189&amp;O3189&amp;P3189&amp;Q3189&amp;R3189&amp;S3189&amp;T3189&amp;U3189&amp;V3189&amp;W3189&amp;X3189&amp;Y3189&amp;Z3189&amp;AA3189&amp;AB3189&amp;AC3189&amp;AD3189&amp;AE3189&amp;AF3189&amp;AG3189</f>
        <v/>
      </c>
      <c r="N3189" s="10">
        <f>TEXT($B$6,"00")</f>
        <v/>
      </c>
      <c r="O3189" s="10">
        <f>REPT(" ",8)</f>
        <v/>
      </c>
      <c r="P3189" s="10">
        <f>RIGHT($B$4,2)</f>
        <v/>
      </c>
      <c r="Q3189" s="10">
        <f>RIGHT($B$5,3)</f>
        <v/>
      </c>
      <c r="R3189" s="10">
        <f>IF(A3189="D",LEFT(UPPER(B3189)&amp;REPT(" ",20),20),REPT(" ",20))</f>
        <v/>
      </c>
      <c r="S3189" s="10">
        <f>IF(A3189="D",LEFT(UPPER(C3189)&amp;REPT(" ",10),10)," ")</f>
        <v/>
      </c>
      <c r="T3189" s="10">
        <f>IF(A3189="D",LEFT(UPPER(D3189)&amp;REPT(" ",2),2)," ")</f>
        <v/>
      </c>
      <c r="U3189" s="10">
        <f>IF(A3189="D",LEFT(UPPER(E3189)&amp;REPT(" ",15),15)," ")</f>
        <v/>
      </c>
      <c r="V3189" s="10">
        <f>REPT(" ",24)</f>
        <v/>
      </c>
      <c r="W3189" s="10">
        <f>IF(A3189="c",LEFT(UPPER(B3189)&amp;REPT(" ",20),20),REPT(" ",20))</f>
        <v/>
      </c>
      <c r="X3189" s="10">
        <f>IF(A3189="C",LEFT(UPPER(C3189)&amp;REPT(" ",10),10)," ")</f>
        <v/>
      </c>
      <c r="Y3189" s="10">
        <f>IF(A3189="C",LEFT(UPPER(D3189)&amp;REPT(" ",2),2)," ")</f>
        <v/>
      </c>
      <c r="Z3189" s="10">
        <f>IF(A3189="C",LEFT(UPPER(E3189)&amp;REPT(" ",15),15)," ")</f>
        <v/>
      </c>
      <c r="AA3189" s="10">
        <f>REPT(" ",8)</f>
        <v/>
      </c>
      <c r="AB3189" s="10">
        <f>REPT(" ",4)</f>
        <v/>
      </c>
      <c r="AC3189" s="10">
        <f>LEFT(UPPER(H3189)&amp;REPT(" ",250),250)</f>
        <v/>
      </c>
      <c r="AD3189" s="10">
        <f>TEXT($G$2,"dd/mm/aaaa")</f>
        <v/>
      </c>
      <c r="AE3189" s="10">
        <f>REPT(" ",10)</f>
        <v/>
      </c>
      <c r="AF3189" s="10">
        <f>REPT(" ",20)</f>
        <v/>
      </c>
      <c r="AG3189" s="54">
        <f>REPT(" ",18-LEN(FIXED(F3189,2,TRUE)))&amp;FIXED(F3189,2,TRUE)</f>
        <v/>
      </c>
      <c r="AH3189" s="10">
        <f>LEN(AC3189)+LEN(AG3189)</f>
        <v/>
      </c>
      <c r="AI3189" s="10">
        <f>LEN(L3189)</f>
        <v/>
      </c>
    </row>
    <row r="3190">
      <c r="J3190" s="12">
        <f>IF(F3190&lt;&gt;0,"LANÇAR","")</f>
        <v/>
      </c>
      <c r="L3190" s="13">
        <f>N3190&amp;O3190&amp;P3190&amp;Q3190&amp;R3190&amp;S3190&amp;T3190&amp;U3190&amp;V3190&amp;W3190&amp;X3190&amp;Y3190&amp;Z3190&amp;AA3190&amp;AB3190&amp;AC3190&amp;AD3190&amp;AE3190&amp;AF3190&amp;AG3190</f>
        <v/>
      </c>
      <c r="N3190" s="10">
        <f>TEXT($B$6,"00")</f>
        <v/>
      </c>
      <c r="O3190" s="10">
        <f>REPT(" ",8)</f>
        <v/>
      </c>
      <c r="P3190" s="10">
        <f>RIGHT($B$4,2)</f>
        <v/>
      </c>
      <c r="Q3190" s="10">
        <f>RIGHT($B$5,3)</f>
        <v/>
      </c>
      <c r="R3190" s="10">
        <f>IF(A3190="D",LEFT(UPPER(B3190)&amp;REPT(" ",20),20),REPT(" ",20))</f>
        <v/>
      </c>
      <c r="S3190" s="10">
        <f>IF(A3190="D",LEFT(UPPER(C3190)&amp;REPT(" ",10),10)," ")</f>
        <v/>
      </c>
      <c r="T3190" s="10">
        <f>IF(A3190="D",LEFT(UPPER(D3190)&amp;REPT(" ",2),2)," ")</f>
        <v/>
      </c>
      <c r="U3190" s="10">
        <f>IF(A3190="D",LEFT(UPPER(E3190)&amp;REPT(" ",15),15)," ")</f>
        <v/>
      </c>
      <c r="V3190" s="10">
        <f>REPT(" ",24)</f>
        <v/>
      </c>
      <c r="W3190" s="10">
        <f>IF(A3190="c",LEFT(UPPER(B3190)&amp;REPT(" ",20),20),REPT(" ",20))</f>
        <v/>
      </c>
      <c r="X3190" s="10">
        <f>IF(A3190="C",LEFT(UPPER(C3190)&amp;REPT(" ",10),10)," ")</f>
        <v/>
      </c>
      <c r="Y3190" s="10">
        <f>IF(A3190="C",LEFT(UPPER(D3190)&amp;REPT(" ",2),2)," ")</f>
        <v/>
      </c>
      <c r="Z3190" s="10">
        <f>IF(A3190="C",LEFT(UPPER(E3190)&amp;REPT(" ",15),15)," ")</f>
        <v/>
      </c>
      <c r="AA3190" s="10">
        <f>REPT(" ",8)</f>
        <v/>
      </c>
      <c r="AB3190" s="10">
        <f>REPT(" ",4)</f>
        <v/>
      </c>
      <c r="AC3190" s="10">
        <f>LEFT(UPPER(H3190)&amp;REPT(" ",250),250)</f>
        <v/>
      </c>
      <c r="AD3190" s="10">
        <f>TEXT($G$2,"dd/mm/aaaa")</f>
        <v/>
      </c>
      <c r="AE3190" s="10">
        <f>REPT(" ",10)</f>
        <v/>
      </c>
      <c r="AF3190" s="10">
        <f>REPT(" ",20)</f>
        <v/>
      </c>
      <c r="AG3190" s="54">
        <f>REPT(" ",18-LEN(FIXED(F3190,2,TRUE)))&amp;FIXED(F3190,2,TRUE)</f>
        <v/>
      </c>
      <c r="AH3190" s="10">
        <f>LEN(AC3190)+LEN(AG3190)</f>
        <v/>
      </c>
      <c r="AI3190" s="10">
        <f>LEN(L3190)</f>
        <v/>
      </c>
    </row>
    <row r="3191">
      <c r="J3191" s="12">
        <f>IF(F3191&lt;&gt;0,"LANÇAR","")</f>
        <v/>
      </c>
      <c r="L3191" s="13">
        <f>N3191&amp;O3191&amp;P3191&amp;Q3191&amp;R3191&amp;S3191&amp;T3191&amp;U3191&amp;V3191&amp;W3191&amp;X3191&amp;Y3191&amp;Z3191&amp;AA3191&amp;AB3191&amp;AC3191&amp;AD3191&amp;AE3191&amp;AF3191&amp;AG3191</f>
        <v/>
      </c>
      <c r="N3191" s="10">
        <f>TEXT($B$6,"00")</f>
        <v/>
      </c>
      <c r="O3191" s="10">
        <f>REPT(" ",8)</f>
        <v/>
      </c>
      <c r="P3191" s="10">
        <f>RIGHT($B$4,2)</f>
        <v/>
      </c>
      <c r="Q3191" s="10">
        <f>RIGHT($B$5,3)</f>
        <v/>
      </c>
      <c r="R3191" s="10">
        <f>IF(A3191="D",LEFT(UPPER(B3191)&amp;REPT(" ",20),20),REPT(" ",20))</f>
        <v/>
      </c>
      <c r="S3191" s="10">
        <f>IF(A3191="D",LEFT(UPPER(C3191)&amp;REPT(" ",10),10)," ")</f>
        <v/>
      </c>
      <c r="T3191" s="10">
        <f>IF(A3191="D",LEFT(UPPER(D3191)&amp;REPT(" ",2),2)," ")</f>
        <v/>
      </c>
      <c r="U3191" s="10">
        <f>IF(A3191="D",LEFT(UPPER(E3191)&amp;REPT(" ",15),15)," ")</f>
        <v/>
      </c>
      <c r="V3191" s="10">
        <f>REPT(" ",24)</f>
        <v/>
      </c>
      <c r="W3191" s="10">
        <f>IF(A3191="c",LEFT(UPPER(B3191)&amp;REPT(" ",20),20),REPT(" ",20))</f>
        <v/>
      </c>
      <c r="X3191" s="10">
        <f>IF(A3191="C",LEFT(UPPER(C3191)&amp;REPT(" ",10),10)," ")</f>
        <v/>
      </c>
      <c r="Y3191" s="10">
        <f>IF(A3191="C",LEFT(UPPER(D3191)&amp;REPT(" ",2),2)," ")</f>
        <v/>
      </c>
      <c r="Z3191" s="10">
        <f>IF(A3191="C",LEFT(UPPER(E3191)&amp;REPT(" ",15),15)," ")</f>
        <v/>
      </c>
      <c r="AA3191" s="10">
        <f>REPT(" ",8)</f>
        <v/>
      </c>
      <c r="AB3191" s="10">
        <f>REPT(" ",4)</f>
        <v/>
      </c>
      <c r="AC3191" s="10">
        <f>LEFT(UPPER(H3191)&amp;REPT(" ",250),250)</f>
        <v/>
      </c>
      <c r="AD3191" s="10">
        <f>TEXT($G$2,"dd/mm/aaaa")</f>
        <v/>
      </c>
      <c r="AE3191" s="10">
        <f>REPT(" ",10)</f>
        <v/>
      </c>
      <c r="AF3191" s="10">
        <f>REPT(" ",20)</f>
        <v/>
      </c>
      <c r="AG3191" s="54">
        <f>REPT(" ",18-LEN(FIXED(F3191,2,TRUE)))&amp;FIXED(F3191,2,TRUE)</f>
        <v/>
      </c>
      <c r="AH3191" s="10">
        <f>LEN(AC3191)+LEN(AG3191)</f>
        <v/>
      </c>
      <c r="AI3191" s="10">
        <f>LEN(L3191)</f>
        <v/>
      </c>
    </row>
    <row r="3192">
      <c r="J3192" s="12">
        <f>IF(F3192&lt;&gt;0,"LANÇAR","")</f>
        <v/>
      </c>
      <c r="L3192" s="13">
        <f>N3192&amp;O3192&amp;P3192&amp;Q3192&amp;R3192&amp;S3192&amp;T3192&amp;U3192&amp;V3192&amp;W3192&amp;X3192&amp;Y3192&amp;Z3192&amp;AA3192&amp;AB3192&amp;AC3192&amp;AD3192&amp;AE3192&amp;AF3192&amp;AG3192</f>
        <v/>
      </c>
      <c r="N3192" s="10">
        <f>TEXT($B$6,"00")</f>
        <v/>
      </c>
      <c r="O3192" s="10">
        <f>REPT(" ",8)</f>
        <v/>
      </c>
      <c r="P3192" s="10">
        <f>RIGHT($B$4,2)</f>
        <v/>
      </c>
      <c r="Q3192" s="10">
        <f>RIGHT($B$5,3)</f>
        <v/>
      </c>
      <c r="R3192" s="10">
        <f>IF(A3192="D",LEFT(UPPER(B3192)&amp;REPT(" ",20),20),REPT(" ",20))</f>
        <v/>
      </c>
      <c r="S3192" s="10">
        <f>IF(A3192="D",LEFT(UPPER(C3192)&amp;REPT(" ",10),10)," ")</f>
        <v/>
      </c>
      <c r="T3192" s="10">
        <f>IF(A3192="D",LEFT(UPPER(D3192)&amp;REPT(" ",2),2)," ")</f>
        <v/>
      </c>
      <c r="U3192" s="10">
        <f>IF(A3192="D",LEFT(UPPER(E3192)&amp;REPT(" ",15),15)," ")</f>
        <v/>
      </c>
      <c r="V3192" s="10">
        <f>REPT(" ",24)</f>
        <v/>
      </c>
      <c r="W3192" s="10">
        <f>IF(A3192="c",LEFT(UPPER(B3192)&amp;REPT(" ",20),20),REPT(" ",20))</f>
        <v/>
      </c>
      <c r="X3192" s="10">
        <f>IF(A3192="C",LEFT(UPPER(C3192)&amp;REPT(" ",10),10)," ")</f>
        <v/>
      </c>
      <c r="Y3192" s="10">
        <f>IF(A3192="C",LEFT(UPPER(D3192)&amp;REPT(" ",2),2)," ")</f>
        <v/>
      </c>
      <c r="Z3192" s="10">
        <f>IF(A3192="C",LEFT(UPPER(E3192)&amp;REPT(" ",15),15)," ")</f>
        <v/>
      </c>
      <c r="AA3192" s="10">
        <f>REPT(" ",8)</f>
        <v/>
      </c>
      <c r="AB3192" s="10">
        <f>REPT(" ",4)</f>
        <v/>
      </c>
      <c r="AC3192" s="10">
        <f>LEFT(UPPER(H3192)&amp;REPT(" ",250),250)</f>
        <v/>
      </c>
      <c r="AD3192" s="10">
        <f>TEXT($G$2,"dd/mm/aaaa")</f>
        <v/>
      </c>
      <c r="AE3192" s="10">
        <f>REPT(" ",10)</f>
        <v/>
      </c>
      <c r="AF3192" s="10">
        <f>REPT(" ",20)</f>
        <v/>
      </c>
      <c r="AG3192" s="54">
        <f>REPT(" ",18-LEN(FIXED(F3192,2,TRUE)))&amp;FIXED(F3192,2,TRUE)</f>
        <v/>
      </c>
      <c r="AH3192" s="10">
        <f>LEN(AC3192)+LEN(AG3192)</f>
        <v/>
      </c>
      <c r="AI3192" s="10">
        <f>LEN(L3192)</f>
        <v/>
      </c>
    </row>
    <row r="3193">
      <c r="J3193" s="12">
        <f>IF(F3193&lt;&gt;0,"LANÇAR","")</f>
        <v/>
      </c>
      <c r="L3193" s="13">
        <f>N3193&amp;O3193&amp;P3193&amp;Q3193&amp;R3193&amp;S3193&amp;T3193&amp;U3193&amp;V3193&amp;W3193&amp;X3193&amp;Y3193&amp;Z3193&amp;AA3193&amp;AB3193&amp;AC3193&amp;AD3193&amp;AE3193&amp;AF3193&amp;AG3193</f>
        <v/>
      </c>
      <c r="N3193" s="10">
        <f>TEXT($B$6,"00")</f>
        <v/>
      </c>
      <c r="O3193" s="10">
        <f>REPT(" ",8)</f>
        <v/>
      </c>
      <c r="P3193" s="10">
        <f>RIGHT($B$4,2)</f>
        <v/>
      </c>
      <c r="Q3193" s="10">
        <f>RIGHT($B$5,3)</f>
        <v/>
      </c>
      <c r="R3193" s="10">
        <f>IF(A3193="D",LEFT(UPPER(B3193)&amp;REPT(" ",20),20),REPT(" ",20))</f>
        <v/>
      </c>
      <c r="S3193" s="10">
        <f>IF(A3193="D",LEFT(UPPER(C3193)&amp;REPT(" ",10),10)," ")</f>
        <v/>
      </c>
      <c r="T3193" s="10">
        <f>IF(A3193="D",LEFT(UPPER(D3193)&amp;REPT(" ",2),2)," ")</f>
        <v/>
      </c>
      <c r="U3193" s="10">
        <f>IF(A3193="D",LEFT(UPPER(E3193)&amp;REPT(" ",15),15)," ")</f>
        <v/>
      </c>
      <c r="V3193" s="10">
        <f>REPT(" ",24)</f>
        <v/>
      </c>
      <c r="W3193" s="10">
        <f>IF(A3193="c",LEFT(UPPER(B3193)&amp;REPT(" ",20),20),REPT(" ",20))</f>
        <v/>
      </c>
      <c r="X3193" s="10">
        <f>IF(A3193="C",LEFT(UPPER(C3193)&amp;REPT(" ",10),10)," ")</f>
        <v/>
      </c>
      <c r="Y3193" s="10">
        <f>IF(A3193="C",LEFT(UPPER(D3193)&amp;REPT(" ",2),2)," ")</f>
        <v/>
      </c>
      <c r="Z3193" s="10">
        <f>IF(A3193="C",LEFT(UPPER(E3193)&amp;REPT(" ",15),15)," ")</f>
        <v/>
      </c>
      <c r="AA3193" s="10">
        <f>REPT(" ",8)</f>
        <v/>
      </c>
      <c r="AB3193" s="10">
        <f>REPT(" ",4)</f>
        <v/>
      </c>
      <c r="AC3193" s="10">
        <f>LEFT(UPPER(H3193)&amp;REPT(" ",250),250)</f>
        <v/>
      </c>
      <c r="AD3193" s="10">
        <f>TEXT($G$2,"dd/mm/aaaa")</f>
        <v/>
      </c>
      <c r="AE3193" s="10">
        <f>REPT(" ",10)</f>
        <v/>
      </c>
      <c r="AF3193" s="10">
        <f>REPT(" ",20)</f>
        <v/>
      </c>
      <c r="AG3193" s="54">
        <f>REPT(" ",18-LEN(FIXED(F3193,2,TRUE)))&amp;FIXED(F3193,2,TRUE)</f>
        <v/>
      </c>
      <c r="AH3193" s="10">
        <f>LEN(AC3193)+LEN(AG3193)</f>
        <v/>
      </c>
      <c r="AI3193" s="10">
        <f>LEN(L3193)</f>
        <v/>
      </c>
    </row>
    <row r="3194">
      <c r="J3194" s="12">
        <f>IF(F3194&lt;&gt;0,"LANÇAR","")</f>
        <v/>
      </c>
      <c r="L3194" s="13">
        <f>N3194&amp;O3194&amp;P3194&amp;Q3194&amp;R3194&amp;S3194&amp;T3194&amp;U3194&amp;V3194&amp;W3194&amp;X3194&amp;Y3194&amp;Z3194&amp;AA3194&amp;AB3194&amp;AC3194&amp;AD3194&amp;AE3194&amp;AF3194&amp;AG3194</f>
        <v/>
      </c>
      <c r="N3194" s="10">
        <f>TEXT($B$6,"00")</f>
        <v/>
      </c>
      <c r="O3194" s="10">
        <f>REPT(" ",8)</f>
        <v/>
      </c>
      <c r="P3194" s="10">
        <f>RIGHT($B$4,2)</f>
        <v/>
      </c>
      <c r="Q3194" s="10">
        <f>RIGHT($B$5,3)</f>
        <v/>
      </c>
      <c r="R3194" s="10">
        <f>IF(A3194="D",LEFT(UPPER(B3194)&amp;REPT(" ",20),20),REPT(" ",20))</f>
        <v/>
      </c>
      <c r="S3194" s="10">
        <f>IF(A3194="D",LEFT(UPPER(C3194)&amp;REPT(" ",10),10)," ")</f>
        <v/>
      </c>
      <c r="T3194" s="10">
        <f>IF(A3194="D",LEFT(UPPER(D3194)&amp;REPT(" ",2),2)," ")</f>
        <v/>
      </c>
      <c r="U3194" s="10">
        <f>IF(A3194="D",LEFT(UPPER(E3194)&amp;REPT(" ",15),15)," ")</f>
        <v/>
      </c>
      <c r="V3194" s="10">
        <f>REPT(" ",24)</f>
        <v/>
      </c>
      <c r="W3194" s="10">
        <f>IF(A3194="c",LEFT(UPPER(B3194)&amp;REPT(" ",20),20),REPT(" ",20))</f>
        <v/>
      </c>
      <c r="X3194" s="10">
        <f>IF(A3194="C",LEFT(UPPER(C3194)&amp;REPT(" ",10),10)," ")</f>
        <v/>
      </c>
      <c r="Y3194" s="10">
        <f>IF(A3194="C",LEFT(UPPER(D3194)&amp;REPT(" ",2),2)," ")</f>
        <v/>
      </c>
      <c r="Z3194" s="10">
        <f>IF(A3194="C",LEFT(UPPER(E3194)&amp;REPT(" ",15),15)," ")</f>
        <v/>
      </c>
      <c r="AA3194" s="10">
        <f>REPT(" ",8)</f>
        <v/>
      </c>
      <c r="AB3194" s="10">
        <f>REPT(" ",4)</f>
        <v/>
      </c>
      <c r="AC3194" s="10">
        <f>LEFT(UPPER(H3194)&amp;REPT(" ",250),250)</f>
        <v/>
      </c>
      <c r="AD3194" s="10">
        <f>TEXT($G$2,"dd/mm/aaaa")</f>
        <v/>
      </c>
      <c r="AE3194" s="10">
        <f>REPT(" ",10)</f>
        <v/>
      </c>
      <c r="AF3194" s="10">
        <f>REPT(" ",20)</f>
        <v/>
      </c>
      <c r="AG3194" s="54">
        <f>REPT(" ",18-LEN(FIXED(F3194,2,TRUE)))&amp;FIXED(F3194,2,TRUE)</f>
        <v/>
      </c>
      <c r="AH3194" s="10">
        <f>LEN(AC3194)+LEN(AG3194)</f>
        <v/>
      </c>
      <c r="AI3194" s="10">
        <f>LEN(L3194)</f>
        <v/>
      </c>
    </row>
    <row r="3195">
      <c r="J3195" s="12">
        <f>IF(F3195&lt;&gt;0,"LANÇAR","")</f>
        <v/>
      </c>
      <c r="L3195" s="13">
        <f>N3195&amp;O3195&amp;P3195&amp;Q3195&amp;R3195&amp;S3195&amp;T3195&amp;U3195&amp;V3195&amp;W3195&amp;X3195&amp;Y3195&amp;Z3195&amp;AA3195&amp;AB3195&amp;AC3195&amp;AD3195&amp;AE3195&amp;AF3195&amp;AG3195</f>
        <v/>
      </c>
      <c r="N3195" s="10">
        <f>TEXT($B$6,"00")</f>
        <v/>
      </c>
      <c r="O3195" s="10">
        <f>REPT(" ",8)</f>
        <v/>
      </c>
      <c r="P3195" s="10">
        <f>RIGHT($B$4,2)</f>
        <v/>
      </c>
      <c r="Q3195" s="10">
        <f>RIGHT($B$5,3)</f>
        <v/>
      </c>
      <c r="R3195" s="10">
        <f>IF(A3195="D",LEFT(UPPER(B3195)&amp;REPT(" ",20),20),REPT(" ",20))</f>
        <v/>
      </c>
      <c r="S3195" s="10">
        <f>IF(A3195="D",LEFT(UPPER(C3195)&amp;REPT(" ",10),10)," ")</f>
        <v/>
      </c>
      <c r="T3195" s="10">
        <f>IF(A3195="D",LEFT(UPPER(D3195)&amp;REPT(" ",2),2)," ")</f>
        <v/>
      </c>
      <c r="U3195" s="10">
        <f>IF(A3195="D",LEFT(UPPER(E3195)&amp;REPT(" ",15),15)," ")</f>
        <v/>
      </c>
      <c r="V3195" s="10">
        <f>REPT(" ",24)</f>
        <v/>
      </c>
      <c r="W3195" s="10">
        <f>IF(A3195="c",LEFT(UPPER(B3195)&amp;REPT(" ",20),20),REPT(" ",20))</f>
        <v/>
      </c>
      <c r="X3195" s="10">
        <f>IF(A3195="C",LEFT(UPPER(C3195)&amp;REPT(" ",10),10)," ")</f>
        <v/>
      </c>
      <c r="Y3195" s="10">
        <f>IF(A3195="C",LEFT(UPPER(D3195)&amp;REPT(" ",2),2)," ")</f>
        <v/>
      </c>
      <c r="Z3195" s="10">
        <f>IF(A3195="C",LEFT(UPPER(E3195)&amp;REPT(" ",15),15)," ")</f>
        <v/>
      </c>
      <c r="AA3195" s="10">
        <f>REPT(" ",8)</f>
        <v/>
      </c>
      <c r="AB3195" s="10">
        <f>REPT(" ",4)</f>
        <v/>
      </c>
      <c r="AC3195" s="10">
        <f>LEFT(UPPER(H3195)&amp;REPT(" ",250),250)</f>
        <v/>
      </c>
      <c r="AD3195" s="10">
        <f>TEXT($G$2,"dd/mm/aaaa")</f>
        <v/>
      </c>
      <c r="AE3195" s="10">
        <f>REPT(" ",10)</f>
        <v/>
      </c>
      <c r="AF3195" s="10">
        <f>REPT(" ",20)</f>
        <v/>
      </c>
      <c r="AG3195" s="54">
        <f>REPT(" ",18-LEN(FIXED(F3195,2,TRUE)))&amp;FIXED(F3195,2,TRUE)</f>
        <v/>
      </c>
      <c r="AH3195" s="10">
        <f>LEN(AC3195)+LEN(AG3195)</f>
        <v/>
      </c>
      <c r="AI3195" s="10">
        <f>LEN(L3195)</f>
        <v/>
      </c>
    </row>
    <row r="3196">
      <c r="J3196" s="12">
        <f>IF(F3196&lt;&gt;0,"LANÇAR","")</f>
        <v/>
      </c>
      <c r="L3196" s="13">
        <f>N3196&amp;O3196&amp;P3196&amp;Q3196&amp;R3196&amp;S3196&amp;T3196&amp;U3196&amp;V3196&amp;W3196&amp;X3196&amp;Y3196&amp;Z3196&amp;AA3196&amp;AB3196&amp;AC3196&amp;AD3196&amp;AE3196&amp;AF3196&amp;AG3196</f>
        <v/>
      </c>
      <c r="N3196" s="10">
        <f>TEXT($B$6,"00")</f>
        <v/>
      </c>
      <c r="O3196" s="10">
        <f>REPT(" ",8)</f>
        <v/>
      </c>
      <c r="P3196" s="10">
        <f>RIGHT($B$4,2)</f>
        <v/>
      </c>
      <c r="Q3196" s="10">
        <f>RIGHT($B$5,3)</f>
        <v/>
      </c>
      <c r="R3196" s="10">
        <f>IF(A3196="D",LEFT(UPPER(B3196)&amp;REPT(" ",20),20),REPT(" ",20))</f>
        <v/>
      </c>
      <c r="S3196" s="10">
        <f>IF(A3196="D",LEFT(UPPER(C3196)&amp;REPT(" ",10),10)," ")</f>
        <v/>
      </c>
      <c r="T3196" s="10">
        <f>IF(A3196="D",LEFT(UPPER(D3196)&amp;REPT(" ",2),2)," ")</f>
        <v/>
      </c>
      <c r="U3196" s="10">
        <f>IF(A3196="D",LEFT(UPPER(E3196)&amp;REPT(" ",15),15)," ")</f>
        <v/>
      </c>
      <c r="V3196" s="10">
        <f>REPT(" ",24)</f>
        <v/>
      </c>
      <c r="W3196" s="10">
        <f>IF(A3196="c",LEFT(UPPER(B3196)&amp;REPT(" ",20),20),REPT(" ",20))</f>
        <v/>
      </c>
      <c r="X3196" s="10">
        <f>IF(A3196="C",LEFT(UPPER(C3196)&amp;REPT(" ",10),10)," ")</f>
        <v/>
      </c>
      <c r="Y3196" s="10">
        <f>IF(A3196="C",LEFT(UPPER(D3196)&amp;REPT(" ",2),2)," ")</f>
        <v/>
      </c>
      <c r="Z3196" s="10">
        <f>IF(A3196="C",LEFT(UPPER(E3196)&amp;REPT(" ",15),15)," ")</f>
        <v/>
      </c>
      <c r="AA3196" s="10">
        <f>REPT(" ",8)</f>
        <v/>
      </c>
      <c r="AB3196" s="10">
        <f>REPT(" ",4)</f>
        <v/>
      </c>
      <c r="AC3196" s="10">
        <f>LEFT(UPPER(H3196)&amp;REPT(" ",250),250)</f>
        <v/>
      </c>
      <c r="AD3196" s="10">
        <f>TEXT($G$2,"dd/mm/aaaa")</f>
        <v/>
      </c>
      <c r="AE3196" s="10">
        <f>REPT(" ",10)</f>
        <v/>
      </c>
      <c r="AF3196" s="10">
        <f>REPT(" ",20)</f>
        <v/>
      </c>
      <c r="AG3196" s="54">
        <f>REPT(" ",18-LEN(FIXED(F3196,2,TRUE)))&amp;FIXED(F3196,2,TRUE)</f>
        <v/>
      </c>
      <c r="AH3196" s="10">
        <f>LEN(AC3196)+LEN(AG3196)</f>
        <v/>
      </c>
      <c r="AI3196" s="10">
        <f>LEN(L3196)</f>
        <v/>
      </c>
    </row>
    <row r="3197">
      <c r="J3197" s="12">
        <f>IF(F3197&lt;&gt;0,"LANÇAR","")</f>
        <v/>
      </c>
      <c r="L3197" s="13">
        <f>N3197&amp;O3197&amp;P3197&amp;Q3197&amp;R3197&amp;S3197&amp;T3197&amp;U3197&amp;V3197&amp;W3197&amp;X3197&amp;Y3197&amp;Z3197&amp;AA3197&amp;AB3197&amp;AC3197&amp;AD3197&amp;AE3197&amp;AF3197&amp;AG3197</f>
        <v/>
      </c>
      <c r="N3197" s="10">
        <f>TEXT($B$6,"00")</f>
        <v/>
      </c>
      <c r="O3197" s="10">
        <f>REPT(" ",8)</f>
        <v/>
      </c>
      <c r="P3197" s="10">
        <f>RIGHT($B$4,2)</f>
        <v/>
      </c>
      <c r="Q3197" s="10">
        <f>RIGHT($B$5,3)</f>
        <v/>
      </c>
      <c r="R3197" s="10">
        <f>IF(A3197="D",LEFT(UPPER(B3197)&amp;REPT(" ",20),20),REPT(" ",20))</f>
        <v/>
      </c>
      <c r="S3197" s="10">
        <f>IF(A3197="D",LEFT(UPPER(C3197)&amp;REPT(" ",10),10)," ")</f>
        <v/>
      </c>
      <c r="T3197" s="10">
        <f>IF(A3197="D",LEFT(UPPER(D3197)&amp;REPT(" ",2),2)," ")</f>
        <v/>
      </c>
      <c r="U3197" s="10">
        <f>IF(A3197="D",LEFT(UPPER(E3197)&amp;REPT(" ",15),15)," ")</f>
        <v/>
      </c>
      <c r="V3197" s="10">
        <f>REPT(" ",24)</f>
        <v/>
      </c>
      <c r="W3197" s="10">
        <f>IF(A3197="c",LEFT(UPPER(B3197)&amp;REPT(" ",20),20),REPT(" ",20))</f>
        <v/>
      </c>
      <c r="X3197" s="10">
        <f>IF(A3197="C",LEFT(UPPER(C3197)&amp;REPT(" ",10),10)," ")</f>
        <v/>
      </c>
      <c r="Y3197" s="10">
        <f>IF(A3197="C",LEFT(UPPER(D3197)&amp;REPT(" ",2),2)," ")</f>
        <v/>
      </c>
      <c r="Z3197" s="10">
        <f>IF(A3197="C",LEFT(UPPER(E3197)&amp;REPT(" ",15),15)," ")</f>
        <v/>
      </c>
      <c r="AA3197" s="10">
        <f>REPT(" ",8)</f>
        <v/>
      </c>
      <c r="AB3197" s="10">
        <f>REPT(" ",4)</f>
        <v/>
      </c>
      <c r="AC3197" s="10">
        <f>LEFT(UPPER(H3197)&amp;REPT(" ",250),250)</f>
        <v/>
      </c>
      <c r="AD3197" s="10">
        <f>TEXT($G$2,"dd/mm/aaaa")</f>
        <v/>
      </c>
      <c r="AE3197" s="10">
        <f>REPT(" ",10)</f>
        <v/>
      </c>
      <c r="AF3197" s="10">
        <f>REPT(" ",20)</f>
        <v/>
      </c>
      <c r="AG3197" s="54">
        <f>REPT(" ",18-LEN(FIXED(F3197,2,TRUE)))&amp;FIXED(F3197,2,TRUE)</f>
        <v/>
      </c>
      <c r="AH3197" s="10">
        <f>LEN(AC3197)+LEN(AG3197)</f>
        <v/>
      </c>
      <c r="AI3197" s="10">
        <f>LEN(L3197)</f>
        <v/>
      </c>
    </row>
    <row r="3198">
      <c r="J3198" s="12">
        <f>IF(F3198&lt;&gt;0,"LANÇAR","")</f>
        <v/>
      </c>
      <c r="L3198" s="13">
        <f>N3198&amp;O3198&amp;P3198&amp;Q3198&amp;R3198&amp;S3198&amp;T3198&amp;U3198&amp;V3198&amp;W3198&amp;X3198&amp;Y3198&amp;Z3198&amp;AA3198&amp;AB3198&amp;AC3198&amp;AD3198&amp;AE3198&amp;AF3198&amp;AG3198</f>
        <v/>
      </c>
      <c r="N3198" s="10">
        <f>TEXT($B$6,"00")</f>
        <v/>
      </c>
      <c r="O3198" s="10">
        <f>REPT(" ",8)</f>
        <v/>
      </c>
      <c r="P3198" s="10">
        <f>RIGHT($B$4,2)</f>
        <v/>
      </c>
      <c r="Q3198" s="10">
        <f>RIGHT($B$5,3)</f>
        <v/>
      </c>
      <c r="R3198" s="10">
        <f>IF(A3198="D",LEFT(UPPER(B3198)&amp;REPT(" ",20),20),REPT(" ",20))</f>
        <v/>
      </c>
      <c r="S3198" s="10">
        <f>IF(A3198="D",LEFT(UPPER(C3198)&amp;REPT(" ",10),10)," ")</f>
        <v/>
      </c>
      <c r="T3198" s="10">
        <f>IF(A3198="D",LEFT(UPPER(D3198)&amp;REPT(" ",2),2)," ")</f>
        <v/>
      </c>
      <c r="U3198" s="10">
        <f>IF(A3198="D",LEFT(UPPER(E3198)&amp;REPT(" ",15),15)," ")</f>
        <v/>
      </c>
      <c r="V3198" s="10">
        <f>REPT(" ",24)</f>
        <v/>
      </c>
      <c r="W3198" s="10">
        <f>IF(A3198="c",LEFT(UPPER(B3198)&amp;REPT(" ",20),20),REPT(" ",20))</f>
        <v/>
      </c>
      <c r="X3198" s="10">
        <f>IF(A3198="C",LEFT(UPPER(C3198)&amp;REPT(" ",10),10)," ")</f>
        <v/>
      </c>
      <c r="Y3198" s="10">
        <f>IF(A3198="C",LEFT(UPPER(D3198)&amp;REPT(" ",2),2)," ")</f>
        <v/>
      </c>
      <c r="Z3198" s="10">
        <f>IF(A3198="C",LEFT(UPPER(E3198)&amp;REPT(" ",15),15)," ")</f>
        <v/>
      </c>
      <c r="AA3198" s="10">
        <f>REPT(" ",8)</f>
        <v/>
      </c>
      <c r="AB3198" s="10">
        <f>REPT(" ",4)</f>
        <v/>
      </c>
      <c r="AC3198" s="10">
        <f>LEFT(UPPER(H3198)&amp;REPT(" ",250),250)</f>
        <v/>
      </c>
      <c r="AD3198" s="10">
        <f>TEXT($G$2,"dd/mm/aaaa")</f>
        <v/>
      </c>
      <c r="AE3198" s="10">
        <f>REPT(" ",10)</f>
        <v/>
      </c>
      <c r="AF3198" s="10">
        <f>REPT(" ",20)</f>
        <v/>
      </c>
      <c r="AG3198" s="54">
        <f>REPT(" ",18-LEN(FIXED(F3198,2,TRUE)))&amp;FIXED(F3198,2,TRUE)</f>
        <v/>
      </c>
      <c r="AH3198" s="10">
        <f>LEN(AC3198)+LEN(AG3198)</f>
        <v/>
      </c>
      <c r="AI3198" s="10">
        <f>LEN(L3198)</f>
        <v/>
      </c>
    </row>
    <row r="3199">
      <c r="J3199" s="12">
        <f>IF(F3199&lt;&gt;0,"LANÇAR","")</f>
        <v/>
      </c>
      <c r="L3199" s="13">
        <f>N3199&amp;O3199&amp;P3199&amp;Q3199&amp;R3199&amp;S3199&amp;T3199&amp;U3199&amp;V3199&amp;W3199&amp;X3199&amp;Y3199&amp;Z3199&amp;AA3199&amp;AB3199&amp;AC3199&amp;AD3199&amp;AE3199&amp;AF3199&amp;AG3199</f>
        <v/>
      </c>
      <c r="N3199" s="10">
        <f>TEXT($B$6,"00")</f>
        <v/>
      </c>
      <c r="O3199" s="10">
        <f>REPT(" ",8)</f>
        <v/>
      </c>
      <c r="P3199" s="10">
        <f>RIGHT($B$4,2)</f>
        <v/>
      </c>
      <c r="Q3199" s="10">
        <f>RIGHT($B$5,3)</f>
        <v/>
      </c>
      <c r="R3199" s="10">
        <f>IF(A3199="D",LEFT(UPPER(B3199)&amp;REPT(" ",20),20),REPT(" ",20))</f>
        <v/>
      </c>
      <c r="S3199" s="10">
        <f>IF(A3199="D",LEFT(UPPER(C3199)&amp;REPT(" ",10),10)," ")</f>
        <v/>
      </c>
      <c r="T3199" s="10">
        <f>IF(A3199="D",LEFT(UPPER(D3199)&amp;REPT(" ",2),2)," ")</f>
        <v/>
      </c>
      <c r="U3199" s="10">
        <f>IF(A3199="D",LEFT(UPPER(E3199)&amp;REPT(" ",15),15)," ")</f>
        <v/>
      </c>
      <c r="V3199" s="10">
        <f>REPT(" ",24)</f>
        <v/>
      </c>
      <c r="W3199" s="10">
        <f>IF(A3199="c",LEFT(UPPER(B3199)&amp;REPT(" ",20),20),REPT(" ",20))</f>
        <v/>
      </c>
      <c r="X3199" s="10">
        <f>IF(A3199="C",LEFT(UPPER(C3199)&amp;REPT(" ",10),10)," ")</f>
        <v/>
      </c>
      <c r="Y3199" s="10">
        <f>IF(A3199="C",LEFT(UPPER(D3199)&amp;REPT(" ",2),2)," ")</f>
        <v/>
      </c>
      <c r="Z3199" s="10">
        <f>IF(A3199="C",LEFT(UPPER(E3199)&amp;REPT(" ",15),15)," ")</f>
        <v/>
      </c>
      <c r="AA3199" s="10">
        <f>REPT(" ",8)</f>
        <v/>
      </c>
      <c r="AB3199" s="10">
        <f>REPT(" ",4)</f>
        <v/>
      </c>
      <c r="AC3199" s="10">
        <f>LEFT(UPPER(H3199)&amp;REPT(" ",250),250)</f>
        <v/>
      </c>
      <c r="AD3199" s="10">
        <f>TEXT($G$2,"dd/mm/aaaa")</f>
        <v/>
      </c>
      <c r="AE3199" s="10">
        <f>REPT(" ",10)</f>
        <v/>
      </c>
      <c r="AF3199" s="10">
        <f>REPT(" ",20)</f>
        <v/>
      </c>
      <c r="AG3199" s="54">
        <f>REPT(" ",18-LEN(FIXED(F3199,2,TRUE)))&amp;FIXED(F3199,2,TRUE)</f>
        <v/>
      </c>
      <c r="AH3199" s="10">
        <f>LEN(AC3199)+LEN(AG3199)</f>
        <v/>
      </c>
      <c r="AI3199" s="10">
        <f>LEN(L3199)</f>
        <v/>
      </c>
    </row>
    <row r="3200">
      <c r="J3200" s="12">
        <f>IF(F3200&lt;&gt;0,"LANÇAR","")</f>
        <v/>
      </c>
      <c r="L3200" s="13">
        <f>N3200&amp;O3200&amp;P3200&amp;Q3200&amp;R3200&amp;S3200&amp;T3200&amp;U3200&amp;V3200&amp;W3200&amp;X3200&amp;Y3200&amp;Z3200&amp;AA3200&amp;AB3200&amp;AC3200&amp;AD3200&amp;AE3200&amp;AF3200&amp;AG3200</f>
        <v/>
      </c>
      <c r="N3200" s="10">
        <f>TEXT($B$6,"00")</f>
        <v/>
      </c>
      <c r="O3200" s="10">
        <f>REPT(" ",8)</f>
        <v/>
      </c>
      <c r="P3200" s="10">
        <f>RIGHT($B$4,2)</f>
        <v/>
      </c>
      <c r="Q3200" s="10">
        <f>RIGHT($B$5,3)</f>
        <v/>
      </c>
      <c r="R3200" s="10">
        <f>IF(A3200="D",LEFT(UPPER(B3200)&amp;REPT(" ",20),20),REPT(" ",20))</f>
        <v/>
      </c>
      <c r="S3200" s="10">
        <f>IF(A3200="D",LEFT(UPPER(C3200)&amp;REPT(" ",10),10)," ")</f>
        <v/>
      </c>
      <c r="T3200" s="10">
        <f>IF(A3200="D",LEFT(UPPER(D3200)&amp;REPT(" ",2),2)," ")</f>
        <v/>
      </c>
      <c r="U3200" s="10">
        <f>IF(A3200="D",LEFT(UPPER(E3200)&amp;REPT(" ",15),15)," ")</f>
        <v/>
      </c>
      <c r="V3200" s="10">
        <f>REPT(" ",24)</f>
        <v/>
      </c>
      <c r="W3200" s="10">
        <f>IF(A3200="c",LEFT(UPPER(B3200)&amp;REPT(" ",20),20),REPT(" ",20))</f>
        <v/>
      </c>
      <c r="X3200" s="10">
        <f>IF(A3200="C",LEFT(UPPER(C3200)&amp;REPT(" ",10),10)," ")</f>
        <v/>
      </c>
      <c r="Y3200" s="10">
        <f>IF(A3200="C",LEFT(UPPER(D3200)&amp;REPT(" ",2),2)," ")</f>
        <v/>
      </c>
      <c r="Z3200" s="10">
        <f>IF(A3200="C",LEFT(UPPER(E3200)&amp;REPT(" ",15),15)," ")</f>
        <v/>
      </c>
      <c r="AA3200" s="10">
        <f>REPT(" ",8)</f>
        <v/>
      </c>
      <c r="AB3200" s="10">
        <f>REPT(" ",4)</f>
        <v/>
      </c>
      <c r="AC3200" s="10">
        <f>LEFT(UPPER(H3200)&amp;REPT(" ",250),250)</f>
        <v/>
      </c>
      <c r="AD3200" s="10">
        <f>TEXT($G$2,"dd/mm/aaaa")</f>
        <v/>
      </c>
      <c r="AE3200" s="10">
        <f>REPT(" ",10)</f>
        <v/>
      </c>
      <c r="AF3200" s="10">
        <f>REPT(" ",20)</f>
        <v/>
      </c>
      <c r="AG3200" s="54">
        <f>REPT(" ",18-LEN(FIXED(F3200,2,TRUE)))&amp;FIXED(F3200,2,TRUE)</f>
        <v/>
      </c>
      <c r="AH3200" s="10">
        <f>LEN(AC3200)+LEN(AG3200)</f>
        <v/>
      </c>
      <c r="AI3200" s="10">
        <f>LEN(L3200)</f>
        <v/>
      </c>
    </row>
    <row r="3201">
      <c r="J3201" s="12">
        <f>IF(F3201&lt;&gt;0,"LANÇAR","")</f>
        <v/>
      </c>
      <c r="L3201" s="13">
        <f>N3201&amp;O3201&amp;P3201&amp;Q3201&amp;R3201&amp;S3201&amp;T3201&amp;U3201&amp;V3201&amp;W3201&amp;X3201&amp;Y3201&amp;Z3201&amp;AA3201&amp;AB3201&amp;AC3201&amp;AD3201&amp;AE3201&amp;AF3201&amp;AG3201</f>
        <v/>
      </c>
      <c r="N3201" s="10">
        <f>TEXT($B$6,"00")</f>
        <v/>
      </c>
      <c r="O3201" s="10">
        <f>REPT(" ",8)</f>
        <v/>
      </c>
      <c r="P3201" s="10">
        <f>RIGHT($B$4,2)</f>
        <v/>
      </c>
      <c r="Q3201" s="10">
        <f>RIGHT($B$5,3)</f>
        <v/>
      </c>
      <c r="R3201" s="10">
        <f>IF(A3201="D",LEFT(UPPER(B3201)&amp;REPT(" ",20),20),REPT(" ",20))</f>
        <v/>
      </c>
      <c r="S3201" s="10">
        <f>IF(A3201="D",LEFT(UPPER(C3201)&amp;REPT(" ",10),10)," ")</f>
        <v/>
      </c>
      <c r="T3201" s="10">
        <f>IF(A3201="D",LEFT(UPPER(D3201)&amp;REPT(" ",2),2)," ")</f>
        <v/>
      </c>
      <c r="U3201" s="10">
        <f>IF(A3201="D",LEFT(UPPER(E3201)&amp;REPT(" ",15),15)," ")</f>
        <v/>
      </c>
      <c r="V3201" s="10">
        <f>REPT(" ",24)</f>
        <v/>
      </c>
      <c r="W3201" s="10">
        <f>IF(A3201="c",LEFT(UPPER(B3201)&amp;REPT(" ",20),20),REPT(" ",20))</f>
        <v/>
      </c>
      <c r="X3201" s="10">
        <f>IF(A3201="C",LEFT(UPPER(C3201)&amp;REPT(" ",10),10)," ")</f>
        <v/>
      </c>
      <c r="Y3201" s="10">
        <f>IF(A3201="C",LEFT(UPPER(D3201)&amp;REPT(" ",2),2)," ")</f>
        <v/>
      </c>
      <c r="Z3201" s="10">
        <f>IF(A3201="C",LEFT(UPPER(E3201)&amp;REPT(" ",15),15)," ")</f>
        <v/>
      </c>
      <c r="AA3201" s="10">
        <f>REPT(" ",8)</f>
        <v/>
      </c>
      <c r="AB3201" s="10">
        <f>REPT(" ",4)</f>
        <v/>
      </c>
      <c r="AC3201" s="10">
        <f>LEFT(UPPER(H3201)&amp;REPT(" ",250),250)</f>
        <v/>
      </c>
      <c r="AD3201" s="10">
        <f>TEXT($G$2,"dd/mm/aaaa")</f>
        <v/>
      </c>
      <c r="AE3201" s="10">
        <f>REPT(" ",10)</f>
        <v/>
      </c>
      <c r="AF3201" s="10">
        <f>REPT(" ",20)</f>
        <v/>
      </c>
      <c r="AG3201" s="54">
        <f>REPT(" ",18-LEN(FIXED(F3201,2,TRUE)))&amp;FIXED(F3201,2,TRUE)</f>
        <v/>
      </c>
      <c r="AH3201" s="10">
        <f>LEN(AC3201)+LEN(AG3201)</f>
        <v/>
      </c>
      <c r="AI3201" s="10">
        <f>LEN(L3201)</f>
        <v/>
      </c>
    </row>
    <row r="3202">
      <c r="J3202" s="12">
        <f>IF(F3202&lt;&gt;0,"LANÇAR","")</f>
        <v/>
      </c>
      <c r="L3202" s="13">
        <f>N3202&amp;O3202&amp;P3202&amp;Q3202&amp;R3202&amp;S3202&amp;T3202&amp;U3202&amp;V3202&amp;W3202&amp;X3202&amp;Y3202&amp;Z3202&amp;AA3202&amp;AB3202&amp;AC3202&amp;AD3202&amp;AE3202&amp;AF3202&amp;AG3202</f>
        <v/>
      </c>
      <c r="N3202" s="10">
        <f>TEXT($B$6,"00")</f>
        <v/>
      </c>
      <c r="O3202" s="10">
        <f>REPT(" ",8)</f>
        <v/>
      </c>
      <c r="P3202" s="10">
        <f>RIGHT($B$4,2)</f>
        <v/>
      </c>
      <c r="Q3202" s="10">
        <f>RIGHT($B$5,3)</f>
        <v/>
      </c>
      <c r="R3202" s="10">
        <f>IF(A3202="D",LEFT(UPPER(B3202)&amp;REPT(" ",20),20),REPT(" ",20))</f>
        <v/>
      </c>
      <c r="S3202" s="10">
        <f>IF(A3202="D",LEFT(UPPER(C3202)&amp;REPT(" ",10),10)," ")</f>
        <v/>
      </c>
      <c r="T3202" s="10">
        <f>IF(A3202="D",LEFT(UPPER(D3202)&amp;REPT(" ",2),2)," ")</f>
        <v/>
      </c>
      <c r="U3202" s="10">
        <f>IF(A3202="D",LEFT(UPPER(E3202)&amp;REPT(" ",15),15)," ")</f>
        <v/>
      </c>
      <c r="V3202" s="10">
        <f>REPT(" ",24)</f>
        <v/>
      </c>
      <c r="W3202" s="10">
        <f>IF(A3202="c",LEFT(UPPER(B3202)&amp;REPT(" ",20),20),REPT(" ",20))</f>
        <v/>
      </c>
      <c r="X3202" s="10">
        <f>IF(A3202="C",LEFT(UPPER(C3202)&amp;REPT(" ",10),10)," ")</f>
        <v/>
      </c>
      <c r="Y3202" s="10">
        <f>IF(A3202="C",LEFT(UPPER(D3202)&amp;REPT(" ",2),2)," ")</f>
        <v/>
      </c>
      <c r="Z3202" s="10">
        <f>IF(A3202="C",LEFT(UPPER(E3202)&amp;REPT(" ",15),15)," ")</f>
        <v/>
      </c>
      <c r="AA3202" s="10">
        <f>REPT(" ",8)</f>
        <v/>
      </c>
      <c r="AB3202" s="10">
        <f>REPT(" ",4)</f>
        <v/>
      </c>
      <c r="AC3202" s="10">
        <f>LEFT(UPPER(H3202)&amp;REPT(" ",250),250)</f>
        <v/>
      </c>
      <c r="AD3202" s="10">
        <f>TEXT($G$2,"dd/mm/aaaa")</f>
        <v/>
      </c>
      <c r="AE3202" s="10">
        <f>REPT(" ",10)</f>
        <v/>
      </c>
      <c r="AF3202" s="10">
        <f>REPT(" ",20)</f>
        <v/>
      </c>
      <c r="AG3202" s="54">
        <f>REPT(" ",18-LEN(FIXED(F3202,2,TRUE)))&amp;FIXED(F3202,2,TRUE)</f>
        <v/>
      </c>
      <c r="AH3202" s="10">
        <f>LEN(AC3202)+LEN(AG3202)</f>
        <v/>
      </c>
      <c r="AI3202" s="10">
        <f>LEN(L3202)</f>
        <v/>
      </c>
    </row>
    <row r="3203">
      <c r="J3203" s="12">
        <f>IF(F3203&lt;&gt;0,"LANÇAR","")</f>
        <v/>
      </c>
      <c r="L3203" s="13">
        <f>N3203&amp;O3203&amp;P3203&amp;Q3203&amp;R3203&amp;S3203&amp;T3203&amp;U3203&amp;V3203&amp;W3203&amp;X3203&amp;Y3203&amp;Z3203&amp;AA3203&amp;AB3203&amp;AC3203&amp;AD3203&amp;AE3203&amp;AF3203&amp;AG3203</f>
        <v/>
      </c>
      <c r="N3203" s="10">
        <f>TEXT($B$6,"00")</f>
        <v/>
      </c>
      <c r="O3203" s="10">
        <f>REPT(" ",8)</f>
        <v/>
      </c>
      <c r="P3203" s="10">
        <f>RIGHT($B$4,2)</f>
        <v/>
      </c>
      <c r="Q3203" s="10">
        <f>RIGHT($B$5,3)</f>
        <v/>
      </c>
      <c r="R3203" s="10">
        <f>IF(A3203="D",LEFT(UPPER(B3203)&amp;REPT(" ",20),20),REPT(" ",20))</f>
        <v/>
      </c>
      <c r="S3203" s="10">
        <f>IF(A3203="D",LEFT(UPPER(C3203)&amp;REPT(" ",10),10)," ")</f>
        <v/>
      </c>
      <c r="T3203" s="10">
        <f>IF(A3203="D",LEFT(UPPER(D3203)&amp;REPT(" ",2),2)," ")</f>
        <v/>
      </c>
      <c r="U3203" s="10">
        <f>IF(A3203="D",LEFT(UPPER(E3203)&amp;REPT(" ",15),15)," ")</f>
        <v/>
      </c>
      <c r="V3203" s="10">
        <f>REPT(" ",24)</f>
        <v/>
      </c>
      <c r="W3203" s="10">
        <f>IF(A3203="c",LEFT(UPPER(B3203)&amp;REPT(" ",20),20),REPT(" ",20))</f>
        <v/>
      </c>
      <c r="X3203" s="10">
        <f>IF(A3203="C",LEFT(UPPER(C3203)&amp;REPT(" ",10),10)," ")</f>
        <v/>
      </c>
      <c r="Y3203" s="10">
        <f>IF(A3203="C",LEFT(UPPER(D3203)&amp;REPT(" ",2),2)," ")</f>
        <v/>
      </c>
      <c r="Z3203" s="10">
        <f>IF(A3203="C",LEFT(UPPER(E3203)&amp;REPT(" ",15),15)," ")</f>
        <v/>
      </c>
      <c r="AA3203" s="10">
        <f>REPT(" ",8)</f>
        <v/>
      </c>
      <c r="AB3203" s="10">
        <f>REPT(" ",4)</f>
        <v/>
      </c>
      <c r="AC3203" s="10">
        <f>LEFT(UPPER(H3203)&amp;REPT(" ",250),250)</f>
        <v/>
      </c>
      <c r="AD3203" s="10">
        <f>TEXT($G$2,"dd/mm/aaaa")</f>
        <v/>
      </c>
      <c r="AE3203" s="10">
        <f>REPT(" ",10)</f>
        <v/>
      </c>
      <c r="AF3203" s="10">
        <f>REPT(" ",20)</f>
        <v/>
      </c>
      <c r="AG3203" s="54">
        <f>REPT(" ",18-LEN(FIXED(F3203,2,TRUE)))&amp;FIXED(F3203,2,TRUE)</f>
        <v/>
      </c>
      <c r="AH3203" s="10">
        <f>LEN(AC3203)+LEN(AG3203)</f>
        <v/>
      </c>
      <c r="AI3203" s="10">
        <f>LEN(L3203)</f>
        <v/>
      </c>
    </row>
    <row r="3204">
      <c r="J3204" s="12">
        <f>IF(F3204&lt;&gt;0,"LANÇAR","")</f>
        <v/>
      </c>
      <c r="L3204" s="13">
        <f>N3204&amp;O3204&amp;P3204&amp;Q3204&amp;R3204&amp;S3204&amp;T3204&amp;U3204&amp;V3204&amp;W3204&amp;X3204&amp;Y3204&amp;Z3204&amp;AA3204&amp;AB3204&amp;AC3204&amp;AD3204&amp;AE3204&amp;AF3204&amp;AG3204</f>
        <v/>
      </c>
      <c r="N3204" s="10">
        <f>TEXT($B$6,"00")</f>
        <v/>
      </c>
      <c r="O3204" s="10">
        <f>REPT(" ",8)</f>
        <v/>
      </c>
      <c r="P3204" s="10">
        <f>RIGHT($B$4,2)</f>
        <v/>
      </c>
      <c r="Q3204" s="10">
        <f>RIGHT($B$5,3)</f>
        <v/>
      </c>
      <c r="R3204" s="10">
        <f>IF(A3204="D",LEFT(UPPER(B3204)&amp;REPT(" ",20),20),REPT(" ",20))</f>
        <v/>
      </c>
      <c r="S3204" s="10">
        <f>IF(A3204="D",LEFT(UPPER(C3204)&amp;REPT(" ",10),10)," ")</f>
        <v/>
      </c>
      <c r="T3204" s="10">
        <f>IF(A3204="D",LEFT(UPPER(D3204)&amp;REPT(" ",2),2)," ")</f>
        <v/>
      </c>
      <c r="U3204" s="10">
        <f>IF(A3204="D",LEFT(UPPER(E3204)&amp;REPT(" ",15),15)," ")</f>
        <v/>
      </c>
      <c r="V3204" s="10">
        <f>REPT(" ",24)</f>
        <v/>
      </c>
      <c r="W3204" s="10">
        <f>IF(A3204="c",LEFT(UPPER(B3204)&amp;REPT(" ",20),20),REPT(" ",20))</f>
        <v/>
      </c>
      <c r="X3204" s="10">
        <f>IF(A3204="C",LEFT(UPPER(C3204)&amp;REPT(" ",10),10)," ")</f>
        <v/>
      </c>
      <c r="Y3204" s="10">
        <f>IF(A3204="C",LEFT(UPPER(D3204)&amp;REPT(" ",2),2)," ")</f>
        <v/>
      </c>
      <c r="Z3204" s="10">
        <f>IF(A3204="C",LEFT(UPPER(E3204)&amp;REPT(" ",15),15)," ")</f>
        <v/>
      </c>
      <c r="AA3204" s="10">
        <f>REPT(" ",8)</f>
        <v/>
      </c>
      <c r="AB3204" s="10">
        <f>REPT(" ",4)</f>
        <v/>
      </c>
      <c r="AC3204" s="10">
        <f>LEFT(UPPER(H3204)&amp;REPT(" ",250),250)</f>
        <v/>
      </c>
      <c r="AD3204" s="10">
        <f>TEXT($G$2,"dd/mm/aaaa")</f>
        <v/>
      </c>
      <c r="AE3204" s="10">
        <f>REPT(" ",10)</f>
        <v/>
      </c>
      <c r="AF3204" s="10">
        <f>REPT(" ",20)</f>
        <v/>
      </c>
      <c r="AG3204" s="54">
        <f>REPT(" ",18-LEN(FIXED(F3204,2,TRUE)))&amp;FIXED(F3204,2,TRUE)</f>
        <v/>
      </c>
      <c r="AH3204" s="10">
        <f>LEN(AC3204)+LEN(AG3204)</f>
        <v/>
      </c>
      <c r="AI3204" s="10">
        <f>LEN(L3204)</f>
        <v/>
      </c>
    </row>
    <row r="3205">
      <c r="J3205" s="12">
        <f>IF(F3205&lt;&gt;0,"LANÇAR","")</f>
        <v/>
      </c>
      <c r="L3205" s="13">
        <f>N3205&amp;O3205&amp;P3205&amp;Q3205&amp;R3205&amp;S3205&amp;T3205&amp;U3205&amp;V3205&amp;W3205&amp;X3205&amp;Y3205&amp;Z3205&amp;AA3205&amp;AB3205&amp;AC3205&amp;AD3205&amp;AE3205&amp;AF3205&amp;AG3205</f>
        <v/>
      </c>
      <c r="N3205" s="10">
        <f>TEXT($B$6,"00")</f>
        <v/>
      </c>
      <c r="O3205" s="10">
        <f>REPT(" ",8)</f>
        <v/>
      </c>
      <c r="P3205" s="10">
        <f>RIGHT($B$4,2)</f>
        <v/>
      </c>
      <c r="Q3205" s="10">
        <f>RIGHT($B$5,3)</f>
        <v/>
      </c>
      <c r="R3205" s="10">
        <f>IF(A3205="D",LEFT(UPPER(B3205)&amp;REPT(" ",20),20),REPT(" ",20))</f>
        <v/>
      </c>
      <c r="S3205" s="10">
        <f>IF(A3205="D",LEFT(UPPER(C3205)&amp;REPT(" ",10),10)," ")</f>
        <v/>
      </c>
      <c r="T3205" s="10">
        <f>IF(A3205="D",LEFT(UPPER(D3205)&amp;REPT(" ",2),2)," ")</f>
        <v/>
      </c>
      <c r="U3205" s="10">
        <f>IF(A3205="D",LEFT(UPPER(E3205)&amp;REPT(" ",15),15)," ")</f>
        <v/>
      </c>
      <c r="V3205" s="10">
        <f>REPT(" ",24)</f>
        <v/>
      </c>
      <c r="W3205" s="10">
        <f>IF(A3205="c",LEFT(UPPER(B3205)&amp;REPT(" ",20),20),REPT(" ",20))</f>
        <v/>
      </c>
      <c r="X3205" s="10">
        <f>IF(A3205="C",LEFT(UPPER(C3205)&amp;REPT(" ",10),10)," ")</f>
        <v/>
      </c>
      <c r="Y3205" s="10">
        <f>IF(A3205="C",LEFT(UPPER(D3205)&amp;REPT(" ",2),2)," ")</f>
        <v/>
      </c>
      <c r="Z3205" s="10">
        <f>IF(A3205="C",LEFT(UPPER(E3205)&amp;REPT(" ",15),15)," ")</f>
        <v/>
      </c>
      <c r="AA3205" s="10">
        <f>REPT(" ",8)</f>
        <v/>
      </c>
      <c r="AB3205" s="10">
        <f>REPT(" ",4)</f>
        <v/>
      </c>
      <c r="AC3205" s="10">
        <f>LEFT(UPPER(H3205)&amp;REPT(" ",250),250)</f>
        <v/>
      </c>
      <c r="AD3205" s="10">
        <f>TEXT($G$2,"dd/mm/aaaa")</f>
        <v/>
      </c>
      <c r="AE3205" s="10">
        <f>REPT(" ",10)</f>
        <v/>
      </c>
      <c r="AF3205" s="10">
        <f>REPT(" ",20)</f>
        <v/>
      </c>
      <c r="AG3205" s="54">
        <f>REPT(" ",18-LEN(FIXED(F3205,2,TRUE)))&amp;FIXED(F3205,2,TRUE)</f>
        <v/>
      </c>
      <c r="AH3205" s="10">
        <f>LEN(AC3205)+LEN(AG3205)</f>
        <v/>
      </c>
      <c r="AI3205" s="10">
        <f>LEN(L3205)</f>
        <v/>
      </c>
    </row>
    <row r="3206">
      <c r="J3206" s="12">
        <f>IF(F3206&lt;&gt;0,"LANÇAR","")</f>
        <v/>
      </c>
      <c r="L3206" s="13">
        <f>N3206&amp;O3206&amp;P3206&amp;Q3206&amp;R3206&amp;S3206&amp;T3206&amp;U3206&amp;V3206&amp;W3206&amp;X3206&amp;Y3206&amp;Z3206&amp;AA3206&amp;AB3206&amp;AC3206&amp;AD3206&amp;AE3206&amp;AF3206&amp;AG3206</f>
        <v/>
      </c>
      <c r="N3206" s="10">
        <f>TEXT($B$6,"00")</f>
        <v/>
      </c>
      <c r="O3206" s="10">
        <f>REPT(" ",8)</f>
        <v/>
      </c>
      <c r="P3206" s="10">
        <f>RIGHT($B$4,2)</f>
        <v/>
      </c>
      <c r="Q3206" s="10">
        <f>RIGHT($B$5,3)</f>
        <v/>
      </c>
      <c r="R3206" s="10">
        <f>IF(A3206="D",LEFT(UPPER(B3206)&amp;REPT(" ",20),20),REPT(" ",20))</f>
        <v/>
      </c>
      <c r="S3206" s="10">
        <f>IF(A3206="D",LEFT(UPPER(C3206)&amp;REPT(" ",10),10)," ")</f>
        <v/>
      </c>
      <c r="T3206" s="10">
        <f>IF(A3206="D",LEFT(UPPER(D3206)&amp;REPT(" ",2),2)," ")</f>
        <v/>
      </c>
      <c r="U3206" s="10">
        <f>IF(A3206="D",LEFT(UPPER(E3206)&amp;REPT(" ",15),15)," ")</f>
        <v/>
      </c>
      <c r="V3206" s="10">
        <f>REPT(" ",24)</f>
        <v/>
      </c>
      <c r="W3206" s="10">
        <f>IF(A3206="c",LEFT(UPPER(B3206)&amp;REPT(" ",20),20),REPT(" ",20))</f>
        <v/>
      </c>
      <c r="X3206" s="10">
        <f>IF(A3206="C",LEFT(UPPER(C3206)&amp;REPT(" ",10),10)," ")</f>
        <v/>
      </c>
      <c r="Y3206" s="10">
        <f>IF(A3206="C",LEFT(UPPER(D3206)&amp;REPT(" ",2),2)," ")</f>
        <v/>
      </c>
      <c r="Z3206" s="10">
        <f>IF(A3206="C",LEFT(UPPER(E3206)&amp;REPT(" ",15),15)," ")</f>
        <v/>
      </c>
      <c r="AA3206" s="10">
        <f>REPT(" ",8)</f>
        <v/>
      </c>
      <c r="AB3206" s="10">
        <f>REPT(" ",4)</f>
        <v/>
      </c>
      <c r="AC3206" s="10">
        <f>LEFT(UPPER(H3206)&amp;REPT(" ",250),250)</f>
        <v/>
      </c>
      <c r="AD3206" s="10">
        <f>TEXT($G$2,"dd/mm/aaaa")</f>
        <v/>
      </c>
      <c r="AE3206" s="10">
        <f>REPT(" ",10)</f>
        <v/>
      </c>
      <c r="AF3206" s="10">
        <f>REPT(" ",20)</f>
        <v/>
      </c>
      <c r="AG3206" s="54">
        <f>REPT(" ",18-LEN(FIXED(F3206,2,TRUE)))&amp;FIXED(F3206,2,TRUE)</f>
        <v/>
      </c>
      <c r="AH3206" s="10">
        <f>LEN(AC3206)+LEN(AG3206)</f>
        <v/>
      </c>
      <c r="AI3206" s="10">
        <f>LEN(L3206)</f>
        <v/>
      </c>
    </row>
    <row r="3207">
      <c r="J3207" s="12">
        <f>IF(F3207&lt;&gt;0,"LANÇAR","")</f>
        <v/>
      </c>
      <c r="L3207" s="13">
        <f>N3207&amp;O3207&amp;P3207&amp;Q3207&amp;R3207&amp;S3207&amp;T3207&amp;U3207&amp;V3207&amp;W3207&amp;X3207&amp;Y3207&amp;Z3207&amp;AA3207&amp;AB3207&amp;AC3207&amp;AD3207&amp;AE3207&amp;AF3207&amp;AG3207</f>
        <v/>
      </c>
      <c r="N3207" s="10">
        <f>TEXT($B$6,"00")</f>
        <v/>
      </c>
      <c r="O3207" s="10">
        <f>REPT(" ",8)</f>
        <v/>
      </c>
      <c r="P3207" s="10">
        <f>RIGHT($B$4,2)</f>
        <v/>
      </c>
      <c r="Q3207" s="10">
        <f>RIGHT($B$5,3)</f>
        <v/>
      </c>
      <c r="R3207" s="10">
        <f>IF(A3207="D",LEFT(UPPER(B3207)&amp;REPT(" ",20),20),REPT(" ",20))</f>
        <v/>
      </c>
      <c r="S3207" s="10">
        <f>IF(A3207="D",LEFT(UPPER(C3207)&amp;REPT(" ",10),10)," ")</f>
        <v/>
      </c>
      <c r="T3207" s="10">
        <f>IF(A3207="D",LEFT(UPPER(D3207)&amp;REPT(" ",2),2)," ")</f>
        <v/>
      </c>
      <c r="U3207" s="10">
        <f>IF(A3207="D",LEFT(UPPER(E3207)&amp;REPT(" ",15),15)," ")</f>
        <v/>
      </c>
      <c r="V3207" s="10">
        <f>REPT(" ",24)</f>
        <v/>
      </c>
      <c r="W3207" s="10">
        <f>IF(A3207="c",LEFT(UPPER(B3207)&amp;REPT(" ",20),20),REPT(" ",20))</f>
        <v/>
      </c>
      <c r="X3207" s="10">
        <f>IF(A3207="C",LEFT(UPPER(C3207)&amp;REPT(" ",10),10)," ")</f>
        <v/>
      </c>
      <c r="Y3207" s="10">
        <f>IF(A3207="C",LEFT(UPPER(D3207)&amp;REPT(" ",2),2)," ")</f>
        <v/>
      </c>
      <c r="Z3207" s="10">
        <f>IF(A3207="C",LEFT(UPPER(E3207)&amp;REPT(" ",15),15)," ")</f>
        <v/>
      </c>
      <c r="AA3207" s="10">
        <f>REPT(" ",8)</f>
        <v/>
      </c>
      <c r="AB3207" s="10">
        <f>REPT(" ",4)</f>
        <v/>
      </c>
      <c r="AC3207" s="10">
        <f>LEFT(UPPER(H3207)&amp;REPT(" ",250),250)</f>
        <v/>
      </c>
      <c r="AD3207" s="10">
        <f>TEXT($G$2,"dd/mm/aaaa")</f>
        <v/>
      </c>
      <c r="AE3207" s="10">
        <f>REPT(" ",10)</f>
        <v/>
      </c>
      <c r="AF3207" s="10">
        <f>REPT(" ",20)</f>
        <v/>
      </c>
      <c r="AG3207" s="54">
        <f>REPT(" ",18-LEN(FIXED(F3207,2,TRUE)))&amp;FIXED(F3207,2,TRUE)</f>
        <v/>
      </c>
      <c r="AH3207" s="10">
        <f>LEN(AC3207)+LEN(AG3207)</f>
        <v/>
      </c>
      <c r="AI3207" s="10">
        <f>LEN(L3207)</f>
        <v/>
      </c>
    </row>
    <row r="3208">
      <c r="J3208" s="12">
        <f>IF(F3208&lt;&gt;0,"LANÇAR","")</f>
        <v/>
      </c>
      <c r="L3208" s="13">
        <f>N3208&amp;O3208&amp;P3208&amp;Q3208&amp;R3208&amp;S3208&amp;T3208&amp;U3208&amp;V3208&amp;W3208&amp;X3208&amp;Y3208&amp;Z3208&amp;AA3208&amp;AB3208&amp;AC3208&amp;AD3208&amp;AE3208&amp;AF3208&amp;AG3208</f>
        <v/>
      </c>
      <c r="N3208" s="10">
        <f>TEXT($B$6,"00")</f>
        <v/>
      </c>
      <c r="O3208" s="10">
        <f>REPT(" ",8)</f>
        <v/>
      </c>
      <c r="P3208" s="10">
        <f>RIGHT($B$4,2)</f>
        <v/>
      </c>
      <c r="Q3208" s="10">
        <f>RIGHT($B$5,3)</f>
        <v/>
      </c>
      <c r="R3208" s="10">
        <f>IF(A3208="D",LEFT(UPPER(B3208)&amp;REPT(" ",20),20),REPT(" ",20))</f>
        <v/>
      </c>
      <c r="S3208" s="10">
        <f>IF(A3208="D",LEFT(UPPER(C3208)&amp;REPT(" ",10),10)," ")</f>
        <v/>
      </c>
      <c r="T3208" s="10">
        <f>IF(A3208="D",LEFT(UPPER(D3208)&amp;REPT(" ",2),2)," ")</f>
        <v/>
      </c>
      <c r="U3208" s="10">
        <f>IF(A3208="D",LEFT(UPPER(E3208)&amp;REPT(" ",15),15)," ")</f>
        <v/>
      </c>
      <c r="V3208" s="10">
        <f>REPT(" ",24)</f>
        <v/>
      </c>
      <c r="W3208" s="10">
        <f>IF(A3208="c",LEFT(UPPER(B3208)&amp;REPT(" ",20),20),REPT(" ",20))</f>
        <v/>
      </c>
      <c r="X3208" s="10">
        <f>IF(A3208="C",LEFT(UPPER(C3208)&amp;REPT(" ",10),10)," ")</f>
        <v/>
      </c>
      <c r="Y3208" s="10">
        <f>IF(A3208="C",LEFT(UPPER(D3208)&amp;REPT(" ",2),2)," ")</f>
        <v/>
      </c>
      <c r="Z3208" s="10">
        <f>IF(A3208="C",LEFT(UPPER(E3208)&amp;REPT(" ",15),15)," ")</f>
        <v/>
      </c>
      <c r="AA3208" s="10">
        <f>REPT(" ",8)</f>
        <v/>
      </c>
      <c r="AB3208" s="10">
        <f>REPT(" ",4)</f>
        <v/>
      </c>
      <c r="AC3208" s="10">
        <f>LEFT(UPPER(H3208)&amp;REPT(" ",250),250)</f>
        <v/>
      </c>
      <c r="AD3208" s="10">
        <f>TEXT($G$2,"dd/mm/aaaa")</f>
        <v/>
      </c>
      <c r="AE3208" s="10">
        <f>REPT(" ",10)</f>
        <v/>
      </c>
      <c r="AF3208" s="10">
        <f>REPT(" ",20)</f>
        <v/>
      </c>
      <c r="AG3208" s="54">
        <f>REPT(" ",18-LEN(FIXED(F3208,2,TRUE)))&amp;FIXED(F3208,2,TRUE)</f>
        <v/>
      </c>
      <c r="AH3208" s="10">
        <f>LEN(AC3208)+LEN(AG3208)</f>
        <v/>
      </c>
      <c r="AI3208" s="10">
        <f>LEN(L3208)</f>
        <v/>
      </c>
    </row>
    <row r="3209">
      <c r="J3209" s="12">
        <f>IF(F3209&lt;&gt;0,"LANÇAR","")</f>
        <v/>
      </c>
      <c r="L3209" s="13">
        <f>N3209&amp;O3209&amp;P3209&amp;Q3209&amp;R3209&amp;S3209&amp;T3209&amp;U3209&amp;V3209&amp;W3209&amp;X3209&amp;Y3209&amp;Z3209&amp;AA3209&amp;AB3209&amp;AC3209&amp;AD3209&amp;AE3209&amp;AF3209&amp;AG3209</f>
        <v/>
      </c>
      <c r="N3209" s="10">
        <f>TEXT($B$6,"00")</f>
        <v/>
      </c>
      <c r="O3209" s="10">
        <f>REPT(" ",8)</f>
        <v/>
      </c>
      <c r="P3209" s="10">
        <f>RIGHT($B$4,2)</f>
        <v/>
      </c>
      <c r="Q3209" s="10">
        <f>RIGHT($B$5,3)</f>
        <v/>
      </c>
      <c r="R3209" s="10">
        <f>IF(A3209="D",LEFT(UPPER(B3209)&amp;REPT(" ",20),20),REPT(" ",20))</f>
        <v/>
      </c>
      <c r="S3209" s="10">
        <f>IF(A3209="D",LEFT(UPPER(C3209)&amp;REPT(" ",10),10)," ")</f>
        <v/>
      </c>
      <c r="T3209" s="10">
        <f>IF(A3209="D",LEFT(UPPER(D3209)&amp;REPT(" ",2),2)," ")</f>
        <v/>
      </c>
      <c r="U3209" s="10">
        <f>IF(A3209="D",LEFT(UPPER(E3209)&amp;REPT(" ",15),15)," ")</f>
        <v/>
      </c>
      <c r="V3209" s="10">
        <f>REPT(" ",24)</f>
        <v/>
      </c>
      <c r="W3209" s="10">
        <f>IF(A3209="c",LEFT(UPPER(B3209)&amp;REPT(" ",20),20),REPT(" ",20))</f>
        <v/>
      </c>
      <c r="X3209" s="10">
        <f>IF(A3209="C",LEFT(UPPER(C3209)&amp;REPT(" ",10),10)," ")</f>
        <v/>
      </c>
      <c r="Y3209" s="10">
        <f>IF(A3209="C",LEFT(UPPER(D3209)&amp;REPT(" ",2),2)," ")</f>
        <v/>
      </c>
      <c r="Z3209" s="10">
        <f>IF(A3209="C",LEFT(UPPER(E3209)&amp;REPT(" ",15),15)," ")</f>
        <v/>
      </c>
      <c r="AA3209" s="10">
        <f>REPT(" ",8)</f>
        <v/>
      </c>
      <c r="AB3209" s="10">
        <f>REPT(" ",4)</f>
        <v/>
      </c>
      <c r="AC3209" s="10">
        <f>LEFT(UPPER(H3209)&amp;REPT(" ",250),250)</f>
        <v/>
      </c>
      <c r="AD3209" s="10">
        <f>TEXT($G$2,"dd/mm/aaaa")</f>
        <v/>
      </c>
      <c r="AE3209" s="10">
        <f>REPT(" ",10)</f>
        <v/>
      </c>
      <c r="AF3209" s="10">
        <f>REPT(" ",20)</f>
        <v/>
      </c>
      <c r="AG3209" s="54">
        <f>REPT(" ",18-LEN(FIXED(F3209,2,TRUE)))&amp;FIXED(F3209,2,TRUE)</f>
        <v/>
      </c>
      <c r="AH3209" s="10">
        <f>LEN(AC3209)+LEN(AG3209)</f>
        <v/>
      </c>
      <c r="AI3209" s="10">
        <f>LEN(L3209)</f>
        <v/>
      </c>
    </row>
    <row r="3210">
      <c r="J3210" s="12">
        <f>IF(F3210&lt;&gt;0,"LANÇAR","")</f>
        <v/>
      </c>
      <c r="L3210" s="13">
        <f>N3210&amp;O3210&amp;P3210&amp;Q3210&amp;R3210&amp;S3210&amp;T3210&amp;U3210&amp;V3210&amp;W3210&amp;X3210&amp;Y3210&amp;Z3210&amp;AA3210&amp;AB3210&amp;AC3210&amp;AD3210&amp;AE3210&amp;AF3210&amp;AG3210</f>
        <v/>
      </c>
      <c r="N3210" s="10">
        <f>TEXT($B$6,"00")</f>
        <v/>
      </c>
      <c r="O3210" s="10">
        <f>REPT(" ",8)</f>
        <v/>
      </c>
      <c r="P3210" s="10">
        <f>RIGHT($B$4,2)</f>
        <v/>
      </c>
      <c r="Q3210" s="10">
        <f>RIGHT($B$5,3)</f>
        <v/>
      </c>
      <c r="R3210" s="10">
        <f>IF(A3210="D",LEFT(UPPER(B3210)&amp;REPT(" ",20),20),REPT(" ",20))</f>
        <v/>
      </c>
      <c r="S3210" s="10">
        <f>IF(A3210="D",LEFT(UPPER(C3210)&amp;REPT(" ",10),10)," ")</f>
        <v/>
      </c>
      <c r="T3210" s="10">
        <f>IF(A3210="D",LEFT(UPPER(D3210)&amp;REPT(" ",2),2)," ")</f>
        <v/>
      </c>
      <c r="U3210" s="10">
        <f>IF(A3210="D",LEFT(UPPER(E3210)&amp;REPT(" ",15),15)," ")</f>
        <v/>
      </c>
      <c r="V3210" s="10">
        <f>REPT(" ",24)</f>
        <v/>
      </c>
      <c r="W3210" s="10">
        <f>IF(A3210="c",LEFT(UPPER(B3210)&amp;REPT(" ",20),20),REPT(" ",20))</f>
        <v/>
      </c>
      <c r="X3210" s="10">
        <f>IF(A3210="C",LEFT(UPPER(C3210)&amp;REPT(" ",10),10)," ")</f>
        <v/>
      </c>
      <c r="Y3210" s="10">
        <f>IF(A3210="C",LEFT(UPPER(D3210)&amp;REPT(" ",2),2)," ")</f>
        <v/>
      </c>
      <c r="Z3210" s="10">
        <f>IF(A3210="C",LEFT(UPPER(E3210)&amp;REPT(" ",15),15)," ")</f>
        <v/>
      </c>
      <c r="AA3210" s="10">
        <f>REPT(" ",8)</f>
        <v/>
      </c>
      <c r="AB3210" s="10">
        <f>REPT(" ",4)</f>
        <v/>
      </c>
      <c r="AC3210" s="10">
        <f>LEFT(UPPER(H3210)&amp;REPT(" ",250),250)</f>
        <v/>
      </c>
      <c r="AD3210" s="10">
        <f>TEXT($G$2,"dd/mm/aaaa")</f>
        <v/>
      </c>
      <c r="AE3210" s="10">
        <f>REPT(" ",10)</f>
        <v/>
      </c>
      <c r="AF3210" s="10">
        <f>REPT(" ",20)</f>
        <v/>
      </c>
      <c r="AG3210" s="54">
        <f>REPT(" ",18-LEN(FIXED(F3210,2,TRUE)))&amp;FIXED(F3210,2,TRUE)</f>
        <v/>
      </c>
      <c r="AH3210" s="10">
        <f>LEN(AC3210)+LEN(AG3210)</f>
        <v/>
      </c>
      <c r="AI3210" s="10">
        <f>LEN(L3210)</f>
        <v/>
      </c>
    </row>
    <row r="3211">
      <c r="J3211" s="12">
        <f>IF(F3211&lt;&gt;0,"LANÇAR","")</f>
        <v/>
      </c>
      <c r="L3211" s="13">
        <f>N3211&amp;O3211&amp;P3211&amp;Q3211&amp;R3211&amp;S3211&amp;T3211&amp;U3211&amp;V3211&amp;W3211&amp;X3211&amp;Y3211&amp;Z3211&amp;AA3211&amp;AB3211&amp;AC3211&amp;AD3211&amp;AE3211&amp;AF3211&amp;AG3211</f>
        <v/>
      </c>
      <c r="N3211" s="10">
        <f>TEXT($B$6,"00")</f>
        <v/>
      </c>
      <c r="O3211" s="10">
        <f>REPT(" ",8)</f>
        <v/>
      </c>
      <c r="P3211" s="10">
        <f>RIGHT($B$4,2)</f>
        <v/>
      </c>
      <c r="Q3211" s="10">
        <f>RIGHT($B$5,3)</f>
        <v/>
      </c>
      <c r="R3211" s="10">
        <f>IF(A3211="D",LEFT(UPPER(B3211)&amp;REPT(" ",20),20),REPT(" ",20))</f>
        <v/>
      </c>
      <c r="S3211" s="10">
        <f>IF(A3211="D",LEFT(UPPER(C3211)&amp;REPT(" ",10),10)," ")</f>
        <v/>
      </c>
      <c r="T3211" s="10">
        <f>IF(A3211="D",LEFT(UPPER(D3211)&amp;REPT(" ",2),2)," ")</f>
        <v/>
      </c>
      <c r="U3211" s="10">
        <f>IF(A3211="D",LEFT(UPPER(E3211)&amp;REPT(" ",15),15)," ")</f>
        <v/>
      </c>
      <c r="V3211" s="10">
        <f>REPT(" ",24)</f>
        <v/>
      </c>
      <c r="W3211" s="10">
        <f>IF(A3211="c",LEFT(UPPER(B3211)&amp;REPT(" ",20),20),REPT(" ",20))</f>
        <v/>
      </c>
      <c r="X3211" s="10">
        <f>IF(A3211="C",LEFT(UPPER(C3211)&amp;REPT(" ",10),10)," ")</f>
        <v/>
      </c>
      <c r="Y3211" s="10">
        <f>IF(A3211="C",LEFT(UPPER(D3211)&amp;REPT(" ",2),2)," ")</f>
        <v/>
      </c>
      <c r="Z3211" s="10">
        <f>IF(A3211="C",LEFT(UPPER(E3211)&amp;REPT(" ",15),15)," ")</f>
        <v/>
      </c>
      <c r="AA3211" s="10">
        <f>REPT(" ",8)</f>
        <v/>
      </c>
      <c r="AB3211" s="10">
        <f>REPT(" ",4)</f>
        <v/>
      </c>
      <c r="AC3211" s="10">
        <f>LEFT(UPPER(H3211)&amp;REPT(" ",250),250)</f>
        <v/>
      </c>
      <c r="AD3211" s="10">
        <f>TEXT($G$2,"dd/mm/aaaa")</f>
        <v/>
      </c>
      <c r="AE3211" s="10">
        <f>REPT(" ",10)</f>
        <v/>
      </c>
      <c r="AF3211" s="10">
        <f>REPT(" ",20)</f>
        <v/>
      </c>
      <c r="AG3211" s="54">
        <f>REPT(" ",18-LEN(FIXED(F3211,2,TRUE)))&amp;FIXED(F3211,2,TRUE)</f>
        <v/>
      </c>
      <c r="AH3211" s="10">
        <f>LEN(AC3211)+LEN(AG3211)</f>
        <v/>
      </c>
      <c r="AI3211" s="10">
        <f>LEN(L3211)</f>
        <v/>
      </c>
    </row>
    <row r="3212">
      <c r="J3212" s="12">
        <f>IF(F3212&lt;&gt;0,"LANÇAR","")</f>
        <v/>
      </c>
      <c r="L3212" s="13">
        <f>N3212&amp;O3212&amp;P3212&amp;Q3212&amp;R3212&amp;S3212&amp;T3212&amp;U3212&amp;V3212&amp;W3212&amp;X3212&amp;Y3212&amp;Z3212&amp;AA3212&amp;AB3212&amp;AC3212&amp;AD3212&amp;AE3212&amp;AF3212&amp;AG3212</f>
        <v/>
      </c>
      <c r="N3212" s="10">
        <f>TEXT($B$6,"00")</f>
        <v/>
      </c>
      <c r="O3212" s="10">
        <f>REPT(" ",8)</f>
        <v/>
      </c>
      <c r="P3212" s="10">
        <f>RIGHT($B$4,2)</f>
        <v/>
      </c>
      <c r="Q3212" s="10">
        <f>RIGHT($B$5,3)</f>
        <v/>
      </c>
      <c r="R3212" s="10">
        <f>IF(A3212="D",LEFT(UPPER(B3212)&amp;REPT(" ",20),20),REPT(" ",20))</f>
        <v/>
      </c>
      <c r="S3212" s="10">
        <f>IF(A3212="D",LEFT(UPPER(C3212)&amp;REPT(" ",10),10)," ")</f>
        <v/>
      </c>
      <c r="T3212" s="10">
        <f>IF(A3212="D",LEFT(UPPER(D3212)&amp;REPT(" ",2),2)," ")</f>
        <v/>
      </c>
      <c r="U3212" s="10">
        <f>IF(A3212="D",LEFT(UPPER(E3212)&amp;REPT(" ",15),15)," ")</f>
        <v/>
      </c>
      <c r="V3212" s="10">
        <f>REPT(" ",24)</f>
        <v/>
      </c>
      <c r="W3212" s="10">
        <f>IF(A3212="c",LEFT(UPPER(B3212)&amp;REPT(" ",20),20),REPT(" ",20))</f>
        <v/>
      </c>
      <c r="X3212" s="10">
        <f>IF(A3212="C",LEFT(UPPER(C3212)&amp;REPT(" ",10),10)," ")</f>
        <v/>
      </c>
      <c r="Y3212" s="10">
        <f>IF(A3212="C",LEFT(UPPER(D3212)&amp;REPT(" ",2),2)," ")</f>
        <v/>
      </c>
      <c r="Z3212" s="10">
        <f>IF(A3212="C",LEFT(UPPER(E3212)&amp;REPT(" ",15),15)," ")</f>
        <v/>
      </c>
      <c r="AA3212" s="10">
        <f>REPT(" ",8)</f>
        <v/>
      </c>
      <c r="AB3212" s="10">
        <f>REPT(" ",4)</f>
        <v/>
      </c>
      <c r="AC3212" s="10">
        <f>LEFT(UPPER(H3212)&amp;REPT(" ",250),250)</f>
        <v/>
      </c>
      <c r="AD3212" s="10">
        <f>TEXT($G$2,"dd/mm/aaaa")</f>
        <v/>
      </c>
      <c r="AE3212" s="10">
        <f>REPT(" ",10)</f>
        <v/>
      </c>
      <c r="AF3212" s="10">
        <f>REPT(" ",20)</f>
        <v/>
      </c>
      <c r="AG3212" s="54">
        <f>REPT(" ",18-LEN(FIXED(F3212,2,TRUE)))&amp;FIXED(F3212,2,TRUE)</f>
        <v/>
      </c>
      <c r="AH3212" s="10">
        <f>LEN(AC3212)+LEN(AG3212)</f>
        <v/>
      </c>
      <c r="AI3212" s="10">
        <f>LEN(L3212)</f>
        <v/>
      </c>
    </row>
    <row r="3213">
      <c r="J3213" s="12">
        <f>IF(F3213&lt;&gt;0,"LANÇAR","")</f>
        <v/>
      </c>
      <c r="L3213" s="13">
        <f>N3213&amp;O3213&amp;P3213&amp;Q3213&amp;R3213&amp;S3213&amp;T3213&amp;U3213&amp;V3213&amp;W3213&amp;X3213&amp;Y3213&amp;Z3213&amp;AA3213&amp;AB3213&amp;AC3213&amp;AD3213&amp;AE3213&amp;AF3213&amp;AG3213</f>
        <v/>
      </c>
      <c r="N3213" s="10">
        <f>TEXT($B$6,"00")</f>
        <v/>
      </c>
      <c r="O3213" s="10">
        <f>REPT(" ",8)</f>
        <v/>
      </c>
      <c r="P3213" s="10">
        <f>RIGHT($B$4,2)</f>
        <v/>
      </c>
      <c r="Q3213" s="10">
        <f>RIGHT($B$5,3)</f>
        <v/>
      </c>
      <c r="R3213" s="10">
        <f>IF(A3213="D",LEFT(UPPER(B3213)&amp;REPT(" ",20),20),REPT(" ",20))</f>
        <v/>
      </c>
      <c r="S3213" s="10">
        <f>IF(A3213="D",LEFT(UPPER(C3213)&amp;REPT(" ",10),10)," ")</f>
        <v/>
      </c>
      <c r="T3213" s="10">
        <f>IF(A3213="D",LEFT(UPPER(D3213)&amp;REPT(" ",2),2)," ")</f>
        <v/>
      </c>
      <c r="U3213" s="10">
        <f>IF(A3213="D",LEFT(UPPER(E3213)&amp;REPT(" ",15),15)," ")</f>
        <v/>
      </c>
      <c r="V3213" s="10">
        <f>REPT(" ",24)</f>
        <v/>
      </c>
      <c r="W3213" s="10">
        <f>IF(A3213="c",LEFT(UPPER(B3213)&amp;REPT(" ",20),20),REPT(" ",20))</f>
        <v/>
      </c>
      <c r="X3213" s="10">
        <f>IF(A3213="C",LEFT(UPPER(C3213)&amp;REPT(" ",10),10)," ")</f>
        <v/>
      </c>
      <c r="Y3213" s="10">
        <f>IF(A3213="C",LEFT(UPPER(D3213)&amp;REPT(" ",2),2)," ")</f>
        <v/>
      </c>
      <c r="Z3213" s="10">
        <f>IF(A3213="C",LEFT(UPPER(E3213)&amp;REPT(" ",15),15)," ")</f>
        <v/>
      </c>
      <c r="AA3213" s="10">
        <f>REPT(" ",8)</f>
        <v/>
      </c>
      <c r="AB3213" s="10">
        <f>REPT(" ",4)</f>
        <v/>
      </c>
      <c r="AC3213" s="10">
        <f>LEFT(UPPER(H3213)&amp;REPT(" ",250),250)</f>
        <v/>
      </c>
      <c r="AD3213" s="10">
        <f>TEXT($G$2,"dd/mm/aaaa")</f>
        <v/>
      </c>
      <c r="AE3213" s="10">
        <f>REPT(" ",10)</f>
        <v/>
      </c>
      <c r="AF3213" s="10">
        <f>REPT(" ",20)</f>
        <v/>
      </c>
      <c r="AG3213" s="54">
        <f>REPT(" ",18-LEN(FIXED(F3213,2,TRUE)))&amp;FIXED(F3213,2,TRUE)</f>
        <v/>
      </c>
      <c r="AH3213" s="10">
        <f>LEN(AC3213)+LEN(AG3213)</f>
        <v/>
      </c>
      <c r="AI3213" s="10">
        <f>LEN(L3213)</f>
        <v/>
      </c>
    </row>
    <row r="3214">
      <c r="J3214" s="12">
        <f>IF(F3214&lt;&gt;0,"LANÇAR","")</f>
        <v/>
      </c>
      <c r="L3214" s="13">
        <f>N3214&amp;O3214&amp;P3214&amp;Q3214&amp;R3214&amp;S3214&amp;T3214&amp;U3214&amp;V3214&amp;W3214&amp;X3214&amp;Y3214&amp;Z3214&amp;AA3214&amp;AB3214&amp;AC3214&amp;AD3214&amp;AE3214&amp;AF3214&amp;AG3214</f>
        <v/>
      </c>
      <c r="N3214" s="10">
        <f>TEXT($B$6,"00")</f>
        <v/>
      </c>
      <c r="O3214" s="10">
        <f>REPT(" ",8)</f>
        <v/>
      </c>
      <c r="P3214" s="10">
        <f>RIGHT($B$4,2)</f>
        <v/>
      </c>
      <c r="Q3214" s="10">
        <f>RIGHT($B$5,3)</f>
        <v/>
      </c>
      <c r="R3214" s="10">
        <f>IF(A3214="D",LEFT(UPPER(B3214)&amp;REPT(" ",20),20),REPT(" ",20))</f>
        <v/>
      </c>
      <c r="S3214" s="10">
        <f>IF(A3214="D",LEFT(UPPER(C3214)&amp;REPT(" ",10),10)," ")</f>
        <v/>
      </c>
      <c r="T3214" s="10">
        <f>IF(A3214="D",LEFT(UPPER(D3214)&amp;REPT(" ",2),2)," ")</f>
        <v/>
      </c>
      <c r="U3214" s="10">
        <f>IF(A3214="D",LEFT(UPPER(E3214)&amp;REPT(" ",15),15)," ")</f>
        <v/>
      </c>
      <c r="V3214" s="10">
        <f>REPT(" ",24)</f>
        <v/>
      </c>
      <c r="W3214" s="10">
        <f>IF(A3214="c",LEFT(UPPER(B3214)&amp;REPT(" ",20),20),REPT(" ",20))</f>
        <v/>
      </c>
      <c r="X3214" s="10">
        <f>IF(A3214="C",LEFT(UPPER(C3214)&amp;REPT(" ",10),10)," ")</f>
        <v/>
      </c>
      <c r="Y3214" s="10">
        <f>IF(A3214="C",LEFT(UPPER(D3214)&amp;REPT(" ",2),2)," ")</f>
        <v/>
      </c>
      <c r="Z3214" s="10">
        <f>IF(A3214="C",LEFT(UPPER(E3214)&amp;REPT(" ",15),15)," ")</f>
        <v/>
      </c>
      <c r="AA3214" s="10">
        <f>REPT(" ",8)</f>
        <v/>
      </c>
      <c r="AB3214" s="10">
        <f>REPT(" ",4)</f>
        <v/>
      </c>
      <c r="AC3214" s="10">
        <f>LEFT(UPPER(H3214)&amp;REPT(" ",250),250)</f>
        <v/>
      </c>
      <c r="AD3214" s="10">
        <f>TEXT($G$2,"dd/mm/aaaa")</f>
        <v/>
      </c>
      <c r="AE3214" s="10">
        <f>REPT(" ",10)</f>
        <v/>
      </c>
      <c r="AF3214" s="10">
        <f>REPT(" ",20)</f>
        <v/>
      </c>
      <c r="AG3214" s="54">
        <f>REPT(" ",18-LEN(FIXED(F3214,2,TRUE)))&amp;FIXED(F3214,2,TRUE)</f>
        <v/>
      </c>
      <c r="AH3214" s="10">
        <f>LEN(AC3214)+LEN(AG3214)</f>
        <v/>
      </c>
      <c r="AI3214" s="10">
        <f>LEN(L3214)</f>
        <v/>
      </c>
    </row>
    <row r="3215">
      <c r="J3215" s="12">
        <f>IF(F3215&lt;&gt;0,"LANÇAR","")</f>
        <v/>
      </c>
      <c r="L3215" s="13">
        <f>N3215&amp;O3215&amp;P3215&amp;Q3215&amp;R3215&amp;S3215&amp;T3215&amp;U3215&amp;V3215&amp;W3215&amp;X3215&amp;Y3215&amp;Z3215&amp;AA3215&amp;AB3215&amp;AC3215&amp;AD3215&amp;AE3215&amp;AF3215&amp;AG3215</f>
        <v/>
      </c>
      <c r="N3215" s="10">
        <f>TEXT($B$6,"00")</f>
        <v/>
      </c>
      <c r="O3215" s="10">
        <f>REPT(" ",8)</f>
        <v/>
      </c>
      <c r="P3215" s="10">
        <f>RIGHT($B$4,2)</f>
        <v/>
      </c>
      <c r="Q3215" s="10">
        <f>RIGHT($B$5,3)</f>
        <v/>
      </c>
      <c r="R3215" s="10">
        <f>IF(A3215="D",LEFT(UPPER(B3215)&amp;REPT(" ",20),20),REPT(" ",20))</f>
        <v/>
      </c>
      <c r="S3215" s="10">
        <f>IF(A3215="D",LEFT(UPPER(C3215)&amp;REPT(" ",10),10)," ")</f>
        <v/>
      </c>
      <c r="T3215" s="10">
        <f>IF(A3215="D",LEFT(UPPER(D3215)&amp;REPT(" ",2),2)," ")</f>
        <v/>
      </c>
      <c r="U3215" s="10">
        <f>IF(A3215="D",LEFT(UPPER(E3215)&amp;REPT(" ",15),15)," ")</f>
        <v/>
      </c>
      <c r="V3215" s="10">
        <f>REPT(" ",24)</f>
        <v/>
      </c>
      <c r="W3215" s="10">
        <f>IF(A3215="c",LEFT(UPPER(B3215)&amp;REPT(" ",20),20),REPT(" ",20))</f>
        <v/>
      </c>
      <c r="X3215" s="10">
        <f>IF(A3215="C",LEFT(UPPER(C3215)&amp;REPT(" ",10),10)," ")</f>
        <v/>
      </c>
      <c r="Y3215" s="10">
        <f>IF(A3215="C",LEFT(UPPER(D3215)&amp;REPT(" ",2),2)," ")</f>
        <v/>
      </c>
      <c r="Z3215" s="10">
        <f>IF(A3215="C",LEFT(UPPER(E3215)&amp;REPT(" ",15),15)," ")</f>
        <v/>
      </c>
      <c r="AA3215" s="10">
        <f>REPT(" ",8)</f>
        <v/>
      </c>
      <c r="AB3215" s="10">
        <f>REPT(" ",4)</f>
        <v/>
      </c>
      <c r="AC3215" s="10">
        <f>LEFT(UPPER(H3215)&amp;REPT(" ",250),250)</f>
        <v/>
      </c>
      <c r="AD3215" s="10">
        <f>TEXT($G$2,"dd/mm/aaaa")</f>
        <v/>
      </c>
      <c r="AE3215" s="10">
        <f>REPT(" ",10)</f>
        <v/>
      </c>
      <c r="AF3215" s="10">
        <f>REPT(" ",20)</f>
        <v/>
      </c>
      <c r="AG3215" s="54">
        <f>REPT(" ",18-LEN(FIXED(F3215,2,TRUE)))&amp;FIXED(F3215,2,TRUE)</f>
        <v/>
      </c>
      <c r="AH3215" s="10">
        <f>LEN(AC3215)+LEN(AG3215)</f>
        <v/>
      </c>
      <c r="AI3215" s="10">
        <f>LEN(L3215)</f>
        <v/>
      </c>
    </row>
    <row r="3216">
      <c r="J3216" s="12">
        <f>IF(F3216&lt;&gt;0,"LANÇAR","")</f>
        <v/>
      </c>
      <c r="L3216" s="13">
        <f>N3216&amp;O3216&amp;P3216&amp;Q3216&amp;R3216&amp;S3216&amp;T3216&amp;U3216&amp;V3216&amp;W3216&amp;X3216&amp;Y3216&amp;Z3216&amp;AA3216&amp;AB3216&amp;AC3216&amp;AD3216&amp;AE3216&amp;AF3216&amp;AG3216</f>
        <v/>
      </c>
      <c r="N3216" s="10">
        <f>TEXT($B$6,"00")</f>
        <v/>
      </c>
      <c r="O3216" s="10">
        <f>REPT(" ",8)</f>
        <v/>
      </c>
      <c r="P3216" s="10">
        <f>RIGHT($B$4,2)</f>
        <v/>
      </c>
      <c r="Q3216" s="10">
        <f>RIGHT($B$5,3)</f>
        <v/>
      </c>
      <c r="R3216" s="10">
        <f>IF(A3216="D",LEFT(UPPER(B3216)&amp;REPT(" ",20),20),REPT(" ",20))</f>
        <v/>
      </c>
      <c r="S3216" s="10">
        <f>IF(A3216="D",LEFT(UPPER(C3216)&amp;REPT(" ",10),10)," ")</f>
        <v/>
      </c>
      <c r="T3216" s="10">
        <f>IF(A3216="D",LEFT(UPPER(D3216)&amp;REPT(" ",2),2)," ")</f>
        <v/>
      </c>
      <c r="U3216" s="10">
        <f>IF(A3216="D",LEFT(UPPER(E3216)&amp;REPT(" ",15),15)," ")</f>
        <v/>
      </c>
      <c r="V3216" s="10">
        <f>REPT(" ",24)</f>
        <v/>
      </c>
      <c r="W3216" s="10">
        <f>IF(A3216="c",LEFT(UPPER(B3216)&amp;REPT(" ",20),20),REPT(" ",20))</f>
        <v/>
      </c>
      <c r="X3216" s="10">
        <f>IF(A3216="C",LEFT(UPPER(C3216)&amp;REPT(" ",10),10)," ")</f>
        <v/>
      </c>
      <c r="Y3216" s="10">
        <f>IF(A3216="C",LEFT(UPPER(D3216)&amp;REPT(" ",2),2)," ")</f>
        <v/>
      </c>
      <c r="Z3216" s="10">
        <f>IF(A3216="C",LEFT(UPPER(E3216)&amp;REPT(" ",15),15)," ")</f>
        <v/>
      </c>
      <c r="AA3216" s="10">
        <f>REPT(" ",8)</f>
        <v/>
      </c>
      <c r="AB3216" s="10">
        <f>REPT(" ",4)</f>
        <v/>
      </c>
      <c r="AC3216" s="10">
        <f>LEFT(UPPER(H3216)&amp;REPT(" ",250),250)</f>
        <v/>
      </c>
      <c r="AD3216" s="10">
        <f>TEXT($G$2,"dd/mm/aaaa")</f>
        <v/>
      </c>
      <c r="AE3216" s="10">
        <f>REPT(" ",10)</f>
        <v/>
      </c>
      <c r="AF3216" s="10">
        <f>REPT(" ",20)</f>
        <v/>
      </c>
      <c r="AG3216" s="54">
        <f>REPT(" ",18-LEN(FIXED(F3216,2,TRUE)))&amp;FIXED(F3216,2,TRUE)</f>
        <v/>
      </c>
      <c r="AH3216" s="10">
        <f>LEN(AC3216)+LEN(AG3216)</f>
        <v/>
      </c>
      <c r="AI3216" s="10">
        <f>LEN(L3216)</f>
        <v/>
      </c>
    </row>
    <row r="3217">
      <c r="J3217" s="12">
        <f>IF(F3217&lt;&gt;0,"LANÇAR","")</f>
        <v/>
      </c>
      <c r="L3217" s="13">
        <f>N3217&amp;O3217&amp;P3217&amp;Q3217&amp;R3217&amp;S3217&amp;T3217&amp;U3217&amp;V3217&amp;W3217&amp;X3217&amp;Y3217&amp;Z3217&amp;AA3217&amp;AB3217&amp;AC3217&amp;AD3217&amp;AE3217&amp;AF3217&amp;AG3217</f>
        <v/>
      </c>
      <c r="N3217" s="10">
        <f>TEXT($B$6,"00")</f>
        <v/>
      </c>
      <c r="O3217" s="10">
        <f>REPT(" ",8)</f>
        <v/>
      </c>
      <c r="P3217" s="10">
        <f>RIGHT($B$4,2)</f>
        <v/>
      </c>
      <c r="Q3217" s="10">
        <f>RIGHT($B$5,3)</f>
        <v/>
      </c>
      <c r="R3217" s="10">
        <f>IF(A3217="D",LEFT(UPPER(B3217)&amp;REPT(" ",20),20),REPT(" ",20))</f>
        <v/>
      </c>
      <c r="S3217" s="10">
        <f>IF(A3217="D",LEFT(UPPER(C3217)&amp;REPT(" ",10),10)," ")</f>
        <v/>
      </c>
      <c r="T3217" s="10">
        <f>IF(A3217="D",LEFT(UPPER(D3217)&amp;REPT(" ",2),2)," ")</f>
        <v/>
      </c>
      <c r="U3217" s="10">
        <f>IF(A3217="D",LEFT(UPPER(E3217)&amp;REPT(" ",15),15)," ")</f>
        <v/>
      </c>
      <c r="V3217" s="10">
        <f>REPT(" ",24)</f>
        <v/>
      </c>
      <c r="W3217" s="10">
        <f>IF(A3217="c",LEFT(UPPER(B3217)&amp;REPT(" ",20),20),REPT(" ",20))</f>
        <v/>
      </c>
      <c r="X3217" s="10">
        <f>IF(A3217="C",LEFT(UPPER(C3217)&amp;REPT(" ",10),10)," ")</f>
        <v/>
      </c>
      <c r="Y3217" s="10">
        <f>IF(A3217="C",LEFT(UPPER(D3217)&amp;REPT(" ",2),2)," ")</f>
        <v/>
      </c>
      <c r="Z3217" s="10">
        <f>IF(A3217="C",LEFT(UPPER(E3217)&amp;REPT(" ",15),15)," ")</f>
        <v/>
      </c>
      <c r="AA3217" s="10">
        <f>REPT(" ",8)</f>
        <v/>
      </c>
      <c r="AB3217" s="10">
        <f>REPT(" ",4)</f>
        <v/>
      </c>
      <c r="AC3217" s="10">
        <f>LEFT(UPPER(H3217)&amp;REPT(" ",250),250)</f>
        <v/>
      </c>
      <c r="AD3217" s="10">
        <f>TEXT($G$2,"dd/mm/aaaa")</f>
        <v/>
      </c>
      <c r="AE3217" s="10">
        <f>REPT(" ",10)</f>
        <v/>
      </c>
      <c r="AF3217" s="10">
        <f>REPT(" ",20)</f>
        <v/>
      </c>
      <c r="AG3217" s="54">
        <f>REPT(" ",18-LEN(FIXED(F3217,2,TRUE)))&amp;FIXED(F3217,2,TRUE)</f>
        <v/>
      </c>
      <c r="AH3217" s="10">
        <f>LEN(AC3217)+LEN(AG3217)</f>
        <v/>
      </c>
      <c r="AI3217" s="10">
        <f>LEN(L3217)</f>
        <v/>
      </c>
    </row>
    <row r="3218">
      <c r="J3218" s="12">
        <f>IF(F3218&lt;&gt;0,"LANÇAR","")</f>
        <v/>
      </c>
      <c r="L3218" s="13">
        <f>N3218&amp;O3218&amp;P3218&amp;Q3218&amp;R3218&amp;S3218&amp;T3218&amp;U3218&amp;V3218&amp;W3218&amp;X3218&amp;Y3218&amp;Z3218&amp;AA3218&amp;AB3218&amp;AC3218&amp;AD3218&amp;AE3218&amp;AF3218&amp;AG3218</f>
        <v/>
      </c>
      <c r="N3218" s="10">
        <f>TEXT($B$6,"00")</f>
        <v/>
      </c>
      <c r="O3218" s="10">
        <f>REPT(" ",8)</f>
        <v/>
      </c>
      <c r="P3218" s="10">
        <f>RIGHT($B$4,2)</f>
        <v/>
      </c>
      <c r="Q3218" s="10">
        <f>RIGHT($B$5,3)</f>
        <v/>
      </c>
      <c r="R3218" s="10">
        <f>IF(A3218="D",LEFT(UPPER(B3218)&amp;REPT(" ",20),20),REPT(" ",20))</f>
        <v/>
      </c>
      <c r="S3218" s="10">
        <f>IF(A3218="D",LEFT(UPPER(C3218)&amp;REPT(" ",10),10)," ")</f>
        <v/>
      </c>
      <c r="T3218" s="10">
        <f>IF(A3218="D",LEFT(UPPER(D3218)&amp;REPT(" ",2),2)," ")</f>
        <v/>
      </c>
      <c r="U3218" s="10">
        <f>IF(A3218="D",LEFT(UPPER(E3218)&amp;REPT(" ",15),15)," ")</f>
        <v/>
      </c>
      <c r="V3218" s="10">
        <f>REPT(" ",24)</f>
        <v/>
      </c>
      <c r="W3218" s="10">
        <f>IF(A3218="c",LEFT(UPPER(B3218)&amp;REPT(" ",20),20),REPT(" ",20))</f>
        <v/>
      </c>
      <c r="X3218" s="10">
        <f>IF(A3218="C",LEFT(UPPER(C3218)&amp;REPT(" ",10),10)," ")</f>
        <v/>
      </c>
      <c r="Y3218" s="10">
        <f>IF(A3218="C",LEFT(UPPER(D3218)&amp;REPT(" ",2),2)," ")</f>
        <v/>
      </c>
      <c r="Z3218" s="10">
        <f>IF(A3218="C",LEFT(UPPER(E3218)&amp;REPT(" ",15),15)," ")</f>
        <v/>
      </c>
      <c r="AA3218" s="10">
        <f>REPT(" ",8)</f>
        <v/>
      </c>
      <c r="AB3218" s="10">
        <f>REPT(" ",4)</f>
        <v/>
      </c>
      <c r="AC3218" s="10">
        <f>LEFT(UPPER(H3218)&amp;REPT(" ",250),250)</f>
        <v/>
      </c>
      <c r="AD3218" s="10">
        <f>TEXT($G$2,"dd/mm/aaaa")</f>
        <v/>
      </c>
      <c r="AE3218" s="10">
        <f>REPT(" ",10)</f>
        <v/>
      </c>
      <c r="AF3218" s="10">
        <f>REPT(" ",20)</f>
        <v/>
      </c>
      <c r="AG3218" s="54">
        <f>REPT(" ",18-LEN(FIXED(F3218,2,TRUE)))&amp;FIXED(F3218,2,TRUE)</f>
        <v/>
      </c>
      <c r="AH3218" s="10">
        <f>LEN(AC3218)+LEN(AG3218)</f>
        <v/>
      </c>
      <c r="AI3218" s="10">
        <f>LEN(L3218)</f>
        <v/>
      </c>
    </row>
    <row r="3219">
      <c r="J3219" s="12">
        <f>IF(F3219&lt;&gt;0,"LANÇAR","")</f>
        <v/>
      </c>
      <c r="L3219" s="13">
        <f>N3219&amp;O3219&amp;P3219&amp;Q3219&amp;R3219&amp;S3219&amp;T3219&amp;U3219&amp;V3219&amp;W3219&amp;X3219&amp;Y3219&amp;Z3219&amp;AA3219&amp;AB3219&amp;AC3219&amp;AD3219&amp;AE3219&amp;AF3219&amp;AG3219</f>
        <v/>
      </c>
      <c r="N3219" s="10">
        <f>TEXT($B$6,"00")</f>
        <v/>
      </c>
      <c r="O3219" s="10">
        <f>REPT(" ",8)</f>
        <v/>
      </c>
      <c r="P3219" s="10">
        <f>RIGHT($B$4,2)</f>
        <v/>
      </c>
      <c r="Q3219" s="10">
        <f>RIGHT($B$5,3)</f>
        <v/>
      </c>
      <c r="R3219" s="10">
        <f>IF(A3219="D",LEFT(UPPER(B3219)&amp;REPT(" ",20),20),REPT(" ",20))</f>
        <v/>
      </c>
      <c r="S3219" s="10">
        <f>IF(A3219="D",LEFT(UPPER(C3219)&amp;REPT(" ",10),10)," ")</f>
        <v/>
      </c>
      <c r="T3219" s="10">
        <f>IF(A3219="D",LEFT(UPPER(D3219)&amp;REPT(" ",2),2)," ")</f>
        <v/>
      </c>
      <c r="U3219" s="10">
        <f>IF(A3219="D",LEFT(UPPER(E3219)&amp;REPT(" ",15),15)," ")</f>
        <v/>
      </c>
      <c r="V3219" s="10">
        <f>REPT(" ",24)</f>
        <v/>
      </c>
      <c r="W3219" s="10">
        <f>IF(A3219="c",LEFT(UPPER(B3219)&amp;REPT(" ",20),20),REPT(" ",20))</f>
        <v/>
      </c>
      <c r="X3219" s="10">
        <f>IF(A3219="C",LEFT(UPPER(C3219)&amp;REPT(" ",10),10)," ")</f>
        <v/>
      </c>
      <c r="Y3219" s="10">
        <f>IF(A3219="C",LEFT(UPPER(D3219)&amp;REPT(" ",2),2)," ")</f>
        <v/>
      </c>
      <c r="Z3219" s="10">
        <f>IF(A3219="C",LEFT(UPPER(E3219)&amp;REPT(" ",15),15)," ")</f>
        <v/>
      </c>
      <c r="AA3219" s="10">
        <f>REPT(" ",8)</f>
        <v/>
      </c>
      <c r="AB3219" s="10">
        <f>REPT(" ",4)</f>
        <v/>
      </c>
      <c r="AC3219" s="10">
        <f>LEFT(UPPER(H3219)&amp;REPT(" ",250),250)</f>
        <v/>
      </c>
      <c r="AD3219" s="10">
        <f>TEXT($G$2,"dd/mm/aaaa")</f>
        <v/>
      </c>
      <c r="AE3219" s="10">
        <f>REPT(" ",10)</f>
        <v/>
      </c>
      <c r="AF3219" s="10">
        <f>REPT(" ",20)</f>
        <v/>
      </c>
      <c r="AG3219" s="54">
        <f>REPT(" ",18-LEN(FIXED(F3219,2,TRUE)))&amp;FIXED(F3219,2,TRUE)</f>
        <v/>
      </c>
      <c r="AH3219" s="10">
        <f>LEN(AC3219)+LEN(AG3219)</f>
        <v/>
      </c>
      <c r="AI3219" s="10">
        <f>LEN(L3219)</f>
        <v/>
      </c>
    </row>
    <row r="3220">
      <c r="J3220" s="12">
        <f>IF(F3220&lt;&gt;0,"LANÇAR","")</f>
        <v/>
      </c>
      <c r="L3220" s="13">
        <f>N3220&amp;O3220&amp;P3220&amp;Q3220&amp;R3220&amp;S3220&amp;T3220&amp;U3220&amp;V3220&amp;W3220&amp;X3220&amp;Y3220&amp;Z3220&amp;AA3220&amp;AB3220&amp;AC3220&amp;AD3220&amp;AE3220&amp;AF3220&amp;AG3220</f>
        <v/>
      </c>
      <c r="N3220" s="10">
        <f>TEXT($B$6,"00")</f>
        <v/>
      </c>
      <c r="O3220" s="10">
        <f>REPT(" ",8)</f>
        <v/>
      </c>
      <c r="P3220" s="10">
        <f>RIGHT($B$4,2)</f>
        <v/>
      </c>
      <c r="Q3220" s="10">
        <f>RIGHT($B$5,3)</f>
        <v/>
      </c>
      <c r="R3220" s="10">
        <f>IF(A3220="D",LEFT(UPPER(B3220)&amp;REPT(" ",20),20),REPT(" ",20))</f>
        <v/>
      </c>
      <c r="S3220" s="10">
        <f>IF(A3220="D",LEFT(UPPER(C3220)&amp;REPT(" ",10),10)," ")</f>
        <v/>
      </c>
      <c r="T3220" s="10">
        <f>IF(A3220="D",LEFT(UPPER(D3220)&amp;REPT(" ",2),2)," ")</f>
        <v/>
      </c>
      <c r="U3220" s="10">
        <f>IF(A3220="D",LEFT(UPPER(E3220)&amp;REPT(" ",15),15)," ")</f>
        <v/>
      </c>
      <c r="V3220" s="10">
        <f>REPT(" ",24)</f>
        <v/>
      </c>
      <c r="W3220" s="10">
        <f>IF(A3220="c",LEFT(UPPER(B3220)&amp;REPT(" ",20),20),REPT(" ",20))</f>
        <v/>
      </c>
      <c r="X3220" s="10">
        <f>IF(A3220="C",LEFT(UPPER(C3220)&amp;REPT(" ",10),10)," ")</f>
        <v/>
      </c>
      <c r="Y3220" s="10">
        <f>IF(A3220="C",LEFT(UPPER(D3220)&amp;REPT(" ",2),2)," ")</f>
        <v/>
      </c>
      <c r="Z3220" s="10">
        <f>IF(A3220="C",LEFT(UPPER(E3220)&amp;REPT(" ",15),15)," ")</f>
        <v/>
      </c>
      <c r="AA3220" s="10">
        <f>REPT(" ",8)</f>
        <v/>
      </c>
      <c r="AB3220" s="10">
        <f>REPT(" ",4)</f>
        <v/>
      </c>
      <c r="AC3220" s="10">
        <f>LEFT(UPPER(H3220)&amp;REPT(" ",250),250)</f>
        <v/>
      </c>
      <c r="AD3220" s="10">
        <f>TEXT($G$2,"dd/mm/aaaa")</f>
        <v/>
      </c>
      <c r="AE3220" s="10">
        <f>REPT(" ",10)</f>
        <v/>
      </c>
      <c r="AF3220" s="10">
        <f>REPT(" ",20)</f>
        <v/>
      </c>
      <c r="AG3220" s="54">
        <f>REPT(" ",18-LEN(FIXED(F3220,2,TRUE)))&amp;FIXED(F3220,2,TRUE)</f>
        <v/>
      </c>
      <c r="AH3220" s="10">
        <f>LEN(AC3220)+LEN(AG3220)</f>
        <v/>
      </c>
      <c r="AI3220" s="10">
        <f>LEN(L3220)</f>
        <v/>
      </c>
    </row>
    <row r="3221">
      <c r="J3221" s="12">
        <f>IF(F3221&lt;&gt;0,"LANÇAR","")</f>
        <v/>
      </c>
      <c r="L3221" s="13">
        <f>N3221&amp;O3221&amp;P3221&amp;Q3221&amp;R3221&amp;S3221&amp;T3221&amp;U3221&amp;V3221&amp;W3221&amp;X3221&amp;Y3221&amp;Z3221&amp;AA3221&amp;AB3221&amp;AC3221&amp;AD3221&amp;AE3221&amp;AF3221&amp;AG3221</f>
        <v/>
      </c>
      <c r="N3221" s="10">
        <f>TEXT($B$6,"00")</f>
        <v/>
      </c>
      <c r="O3221" s="10">
        <f>REPT(" ",8)</f>
        <v/>
      </c>
      <c r="P3221" s="10">
        <f>RIGHT($B$4,2)</f>
        <v/>
      </c>
      <c r="Q3221" s="10">
        <f>RIGHT($B$5,3)</f>
        <v/>
      </c>
      <c r="R3221" s="10">
        <f>IF(A3221="D",LEFT(UPPER(B3221)&amp;REPT(" ",20),20),REPT(" ",20))</f>
        <v/>
      </c>
      <c r="S3221" s="10">
        <f>IF(A3221="D",LEFT(UPPER(C3221)&amp;REPT(" ",10),10)," ")</f>
        <v/>
      </c>
      <c r="T3221" s="10">
        <f>IF(A3221="D",LEFT(UPPER(D3221)&amp;REPT(" ",2),2)," ")</f>
        <v/>
      </c>
      <c r="U3221" s="10">
        <f>IF(A3221="D",LEFT(UPPER(E3221)&amp;REPT(" ",15),15)," ")</f>
        <v/>
      </c>
      <c r="V3221" s="10">
        <f>REPT(" ",24)</f>
        <v/>
      </c>
      <c r="W3221" s="10">
        <f>IF(A3221="c",LEFT(UPPER(B3221)&amp;REPT(" ",20),20),REPT(" ",20))</f>
        <v/>
      </c>
      <c r="X3221" s="10">
        <f>IF(A3221="C",LEFT(UPPER(C3221)&amp;REPT(" ",10),10)," ")</f>
        <v/>
      </c>
      <c r="Y3221" s="10">
        <f>IF(A3221="C",LEFT(UPPER(D3221)&amp;REPT(" ",2),2)," ")</f>
        <v/>
      </c>
      <c r="Z3221" s="10">
        <f>IF(A3221="C",LEFT(UPPER(E3221)&amp;REPT(" ",15),15)," ")</f>
        <v/>
      </c>
      <c r="AA3221" s="10">
        <f>REPT(" ",8)</f>
        <v/>
      </c>
      <c r="AB3221" s="10">
        <f>REPT(" ",4)</f>
        <v/>
      </c>
      <c r="AC3221" s="10">
        <f>LEFT(UPPER(H3221)&amp;REPT(" ",250),250)</f>
        <v/>
      </c>
      <c r="AD3221" s="10">
        <f>TEXT($G$2,"dd/mm/aaaa")</f>
        <v/>
      </c>
      <c r="AE3221" s="10">
        <f>REPT(" ",10)</f>
        <v/>
      </c>
      <c r="AF3221" s="10">
        <f>REPT(" ",20)</f>
        <v/>
      </c>
      <c r="AG3221" s="54">
        <f>REPT(" ",18-LEN(FIXED(F3221,2,TRUE)))&amp;FIXED(F3221,2,TRUE)</f>
        <v/>
      </c>
      <c r="AH3221" s="10">
        <f>LEN(AC3221)+LEN(AG3221)</f>
        <v/>
      </c>
      <c r="AI3221" s="10">
        <f>LEN(L3221)</f>
        <v/>
      </c>
    </row>
    <row r="3222">
      <c r="J3222" s="12">
        <f>IF(F3222&lt;&gt;0,"LANÇAR","")</f>
        <v/>
      </c>
      <c r="L3222" s="13">
        <f>N3222&amp;O3222&amp;P3222&amp;Q3222&amp;R3222&amp;S3222&amp;T3222&amp;U3222&amp;V3222&amp;W3222&amp;X3222&amp;Y3222&amp;Z3222&amp;AA3222&amp;AB3222&amp;AC3222&amp;AD3222&amp;AE3222&amp;AF3222&amp;AG3222</f>
        <v/>
      </c>
      <c r="N3222" s="10">
        <f>TEXT($B$6,"00")</f>
        <v/>
      </c>
      <c r="O3222" s="10">
        <f>REPT(" ",8)</f>
        <v/>
      </c>
      <c r="P3222" s="10">
        <f>RIGHT($B$4,2)</f>
        <v/>
      </c>
      <c r="Q3222" s="10">
        <f>RIGHT($B$5,3)</f>
        <v/>
      </c>
      <c r="R3222" s="10">
        <f>IF(A3222="D",LEFT(UPPER(B3222)&amp;REPT(" ",20),20),REPT(" ",20))</f>
        <v/>
      </c>
      <c r="S3222" s="10">
        <f>IF(A3222="D",LEFT(UPPER(C3222)&amp;REPT(" ",10),10)," ")</f>
        <v/>
      </c>
      <c r="T3222" s="10">
        <f>IF(A3222="D",LEFT(UPPER(D3222)&amp;REPT(" ",2),2)," ")</f>
        <v/>
      </c>
      <c r="U3222" s="10">
        <f>IF(A3222="D",LEFT(UPPER(E3222)&amp;REPT(" ",15),15)," ")</f>
        <v/>
      </c>
      <c r="V3222" s="10">
        <f>REPT(" ",24)</f>
        <v/>
      </c>
      <c r="W3222" s="10">
        <f>IF(A3222="c",LEFT(UPPER(B3222)&amp;REPT(" ",20),20),REPT(" ",20))</f>
        <v/>
      </c>
      <c r="X3222" s="10">
        <f>IF(A3222="C",LEFT(UPPER(C3222)&amp;REPT(" ",10),10)," ")</f>
        <v/>
      </c>
      <c r="Y3222" s="10">
        <f>IF(A3222="C",LEFT(UPPER(D3222)&amp;REPT(" ",2),2)," ")</f>
        <v/>
      </c>
      <c r="Z3222" s="10">
        <f>IF(A3222="C",LEFT(UPPER(E3222)&amp;REPT(" ",15),15)," ")</f>
        <v/>
      </c>
      <c r="AA3222" s="10">
        <f>REPT(" ",8)</f>
        <v/>
      </c>
      <c r="AB3222" s="10">
        <f>REPT(" ",4)</f>
        <v/>
      </c>
      <c r="AC3222" s="10">
        <f>LEFT(UPPER(H3222)&amp;REPT(" ",250),250)</f>
        <v/>
      </c>
      <c r="AD3222" s="10">
        <f>TEXT($G$2,"dd/mm/aaaa")</f>
        <v/>
      </c>
      <c r="AE3222" s="10">
        <f>REPT(" ",10)</f>
        <v/>
      </c>
      <c r="AF3222" s="10">
        <f>REPT(" ",20)</f>
        <v/>
      </c>
      <c r="AG3222" s="54">
        <f>REPT(" ",18-LEN(FIXED(F3222,2,TRUE)))&amp;FIXED(F3222,2,TRUE)</f>
        <v/>
      </c>
      <c r="AH3222" s="10">
        <f>LEN(AC3222)+LEN(AG3222)</f>
        <v/>
      </c>
      <c r="AI3222" s="10">
        <f>LEN(L3222)</f>
        <v/>
      </c>
    </row>
    <row r="3223">
      <c r="J3223" s="12">
        <f>IF(F3223&lt;&gt;0,"LANÇAR","")</f>
        <v/>
      </c>
      <c r="L3223" s="13">
        <f>N3223&amp;O3223&amp;P3223&amp;Q3223&amp;R3223&amp;S3223&amp;T3223&amp;U3223&amp;V3223&amp;W3223&amp;X3223&amp;Y3223&amp;Z3223&amp;AA3223&amp;AB3223&amp;AC3223&amp;AD3223&amp;AE3223&amp;AF3223&amp;AG3223</f>
        <v/>
      </c>
      <c r="N3223" s="10">
        <f>TEXT($B$6,"00")</f>
        <v/>
      </c>
      <c r="O3223" s="10">
        <f>REPT(" ",8)</f>
        <v/>
      </c>
      <c r="P3223" s="10">
        <f>RIGHT($B$4,2)</f>
        <v/>
      </c>
      <c r="Q3223" s="10">
        <f>RIGHT($B$5,3)</f>
        <v/>
      </c>
      <c r="R3223" s="10">
        <f>IF(A3223="D",LEFT(UPPER(B3223)&amp;REPT(" ",20),20),REPT(" ",20))</f>
        <v/>
      </c>
      <c r="S3223" s="10">
        <f>IF(A3223="D",LEFT(UPPER(C3223)&amp;REPT(" ",10),10)," ")</f>
        <v/>
      </c>
      <c r="T3223" s="10">
        <f>IF(A3223="D",LEFT(UPPER(D3223)&amp;REPT(" ",2),2)," ")</f>
        <v/>
      </c>
      <c r="U3223" s="10">
        <f>IF(A3223="D",LEFT(UPPER(E3223)&amp;REPT(" ",15),15)," ")</f>
        <v/>
      </c>
      <c r="V3223" s="10">
        <f>REPT(" ",24)</f>
        <v/>
      </c>
      <c r="W3223" s="10">
        <f>IF(A3223="c",LEFT(UPPER(B3223)&amp;REPT(" ",20),20),REPT(" ",20))</f>
        <v/>
      </c>
      <c r="X3223" s="10">
        <f>IF(A3223="C",LEFT(UPPER(C3223)&amp;REPT(" ",10),10)," ")</f>
        <v/>
      </c>
      <c r="Y3223" s="10">
        <f>IF(A3223="C",LEFT(UPPER(D3223)&amp;REPT(" ",2),2)," ")</f>
        <v/>
      </c>
      <c r="Z3223" s="10">
        <f>IF(A3223="C",LEFT(UPPER(E3223)&amp;REPT(" ",15),15)," ")</f>
        <v/>
      </c>
      <c r="AA3223" s="10">
        <f>REPT(" ",8)</f>
        <v/>
      </c>
      <c r="AB3223" s="10">
        <f>REPT(" ",4)</f>
        <v/>
      </c>
      <c r="AC3223" s="10">
        <f>LEFT(UPPER(H3223)&amp;REPT(" ",250),250)</f>
        <v/>
      </c>
      <c r="AD3223" s="10">
        <f>TEXT($G$2,"dd/mm/aaaa")</f>
        <v/>
      </c>
      <c r="AE3223" s="10">
        <f>REPT(" ",10)</f>
        <v/>
      </c>
      <c r="AF3223" s="10">
        <f>REPT(" ",20)</f>
        <v/>
      </c>
      <c r="AG3223" s="54">
        <f>REPT(" ",18-LEN(FIXED(F3223,2,TRUE)))&amp;FIXED(F3223,2,TRUE)</f>
        <v/>
      </c>
      <c r="AH3223" s="10">
        <f>LEN(AC3223)+LEN(AG3223)</f>
        <v/>
      </c>
      <c r="AI3223" s="10">
        <f>LEN(L3223)</f>
        <v/>
      </c>
    </row>
    <row r="3224">
      <c r="J3224" s="12">
        <f>IF(F3224&lt;&gt;0,"LANÇAR","")</f>
        <v/>
      </c>
      <c r="L3224" s="13">
        <f>N3224&amp;O3224&amp;P3224&amp;Q3224&amp;R3224&amp;S3224&amp;T3224&amp;U3224&amp;V3224&amp;W3224&amp;X3224&amp;Y3224&amp;Z3224&amp;AA3224&amp;AB3224&amp;AC3224&amp;AD3224&amp;AE3224&amp;AF3224&amp;AG3224</f>
        <v/>
      </c>
      <c r="N3224" s="10">
        <f>TEXT($B$6,"00")</f>
        <v/>
      </c>
      <c r="O3224" s="10">
        <f>REPT(" ",8)</f>
        <v/>
      </c>
      <c r="P3224" s="10">
        <f>RIGHT($B$4,2)</f>
        <v/>
      </c>
      <c r="Q3224" s="10">
        <f>RIGHT($B$5,3)</f>
        <v/>
      </c>
      <c r="R3224" s="10">
        <f>IF(A3224="D",LEFT(UPPER(B3224)&amp;REPT(" ",20),20),REPT(" ",20))</f>
        <v/>
      </c>
      <c r="S3224" s="10">
        <f>IF(A3224="D",LEFT(UPPER(C3224)&amp;REPT(" ",10),10)," ")</f>
        <v/>
      </c>
      <c r="T3224" s="10">
        <f>IF(A3224="D",LEFT(UPPER(D3224)&amp;REPT(" ",2),2)," ")</f>
        <v/>
      </c>
      <c r="U3224" s="10">
        <f>IF(A3224="D",LEFT(UPPER(E3224)&amp;REPT(" ",15),15)," ")</f>
        <v/>
      </c>
      <c r="V3224" s="10">
        <f>REPT(" ",24)</f>
        <v/>
      </c>
      <c r="W3224" s="10">
        <f>IF(A3224="c",LEFT(UPPER(B3224)&amp;REPT(" ",20),20),REPT(" ",20))</f>
        <v/>
      </c>
      <c r="X3224" s="10">
        <f>IF(A3224="C",LEFT(UPPER(C3224)&amp;REPT(" ",10),10)," ")</f>
        <v/>
      </c>
      <c r="Y3224" s="10">
        <f>IF(A3224="C",LEFT(UPPER(D3224)&amp;REPT(" ",2),2)," ")</f>
        <v/>
      </c>
      <c r="Z3224" s="10">
        <f>IF(A3224="C",LEFT(UPPER(E3224)&amp;REPT(" ",15),15)," ")</f>
        <v/>
      </c>
      <c r="AA3224" s="10">
        <f>REPT(" ",8)</f>
        <v/>
      </c>
      <c r="AB3224" s="10">
        <f>REPT(" ",4)</f>
        <v/>
      </c>
      <c r="AC3224" s="10">
        <f>LEFT(UPPER(H3224)&amp;REPT(" ",250),250)</f>
        <v/>
      </c>
      <c r="AD3224" s="10">
        <f>TEXT($G$2,"dd/mm/aaaa")</f>
        <v/>
      </c>
      <c r="AE3224" s="10">
        <f>REPT(" ",10)</f>
        <v/>
      </c>
      <c r="AF3224" s="10">
        <f>REPT(" ",20)</f>
        <v/>
      </c>
      <c r="AG3224" s="54">
        <f>REPT(" ",18-LEN(FIXED(F3224,2,TRUE)))&amp;FIXED(F3224,2,TRUE)</f>
        <v/>
      </c>
      <c r="AH3224" s="10">
        <f>LEN(AC3224)+LEN(AG3224)</f>
        <v/>
      </c>
      <c r="AI3224" s="10">
        <f>LEN(L3224)</f>
        <v/>
      </c>
    </row>
    <row r="3225">
      <c r="J3225" s="12">
        <f>IF(F3225&lt;&gt;0,"LANÇAR","")</f>
        <v/>
      </c>
      <c r="L3225" s="13">
        <f>N3225&amp;O3225&amp;P3225&amp;Q3225&amp;R3225&amp;S3225&amp;T3225&amp;U3225&amp;V3225&amp;W3225&amp;X3225&amp;Y3225&amp;Z3225&amp;AA3225&amp;AB3225&amp;AC3225&amp;AD3225&amp;AE3225&amp;AF3225&amp;AG3225</f>
        <v/>
      </c>
      <c r="N3225" s="10">
        <f>TEXT($B$6,"00")</f>
        <v/>
      </c>
      <c r="O3225" s="10">
        <f>REPT(" ",8)</f>
        <v/>
      </c>
      <c r="P3225" s="10">
        <f>RIGHT($B$4,2)</f>
        <v/>
      </c>
      <c r="Q3225" s="10">
        <f>RIGHT($B$5,3)</f>
        <v/>
      </c>
      <c r="R3225" s="10">
        <f>IF(A3225="D",LEFT(UPPER(B3225)&amp;REPT(" ",20),20),REPT(" ",20))</f>
        <v/>
      </c>
      <c r="S3225" s="10">
        <f>IF(A3225="D",LEFT(UPPER(C3225)&amp;REPT(" ",10),10)," ")</f>
        <v/>
      </c>
      <c r="T3225" s="10">
        <f>IF(A3225="D",LEFT(UPPER(D3225)&amp;REPT(" ",2),2)," ")</f>
        <v/>
      </c>
      <c r="U3225" s="10">
        <f>IF(A3225="D",LEFT(UPPER(E3225)&amp;REPT(" ",15),15)," ")</f>
        <v/>
      </c>
      <c r="V3225" s="10">
        <f>REPT(" ",24)</f>
        <v/>
      </c>
      <c r="W3225" s="10">
        <f>IF(A3225="c",LEFT(UPPER(B3225)&amp;REPT(" ",20),20),REPT(" ",20))</f>
        <v/>
      </c>
      <c r="X3225" s="10">
        <f>IF(A3225="C",LEFT(UPPER(C3225)&amp;REPT(" ",10),10)," ")</f>
        <v/>
      </c>
      <c r="Y3225" s="10">
        <f>IF(A3225="C",LEFT(UPPER(D3225)&amp;REPT(" ",2),2)," ")</f>
        <v/>
      </c>
      <c r="Z3225" s="10">
        <f>IF(A3225="C",LEFT(UPPER(E3225)&amp;REPT(" ",15),15)," ")</f>
        <v/>
      </c>
      <c r="AA3225" s="10">
        <f>REPT(" ",8)</f>
        <v/>
      </c>
      <c r="AB3225" s="10">
        <f>REPT(" ",4)</f>
        <v/>
      </c>
      <c r="AC3225" s="10">
        <f>LEFT(UPPER(H3225)&amp;REPT(" ",250),250)</f>
        <v/>
      </c>
      <c r="AD3225" s="10">
        <f>TEXT($G$2,"dd/mm/aaaa")</f>
        <v/>
      </c>
      <c r="AE3225" s="10">
        <f>REPT(" ",10)</f>
        <v/>
      </c>
      <c r="AF3225" s="10">
        <f>REPT(" ",20)</f>
        <v/>
      </c>
      <c r="AG3225" s="54">
        <f>REPT(" ",18-LEN(FIXED(F3225,2,TRUE)))&amp;FIXED(F3225,2,TRUE)</f>
        <v/>
      </c>
      <c r="AH3225" s="10">
        <f>LEN(AC3225)+LEN(AG3225)</f>
        <v/>
      </c>
      <c r="AI3225" s="10">
        <f>LEN(L3225)</f>
        <v/>
      </c>
    </row>
    <row r="3226">
      <c r="J3226" s="12">
        <f>IF(F3226&lt;&gt;0,"LANÇAR","")</f>
        <v/>
      </c>
      <c r="L3226" s="13">
        <f>N3226&amp;O3226&amp;P3226&amp;Q3226&amp;R3226&amp;S3226&amp;T3226&amp;U3226&amp;V3226&amp;W3226&amp;X3226&amp;Y3226&amp;Z3226&amp;AA3226&amp;AB3226&amp;AC3226&amp;AD3226&amp;AE3226&amp;AF3226&amp;AG3226</f>
        <v/>
      </c>
      <c r="N3226" s="10">
        <f>TEXT($B$6,"00")</f>
        <v/>
      </c>
      <c r="O3226" s="10">
        <f>REPT(" ",8)</f>
        <v/>
      </c>
      <c r="P3226" s="10">
        <f>RIGHT($B$4,2)</f>
        <v/>
      </c>
      <c r="Q3226" s="10">
        <f>RIGHT($B$5,3)</f>
        <v/>
      </c>
      <c r="R3226" s="10">
        <f>IF(A3226="D",LEFT(UPPER(B3226)&amp;REPT(" ",20),20),REPT(" ",20))</f>
        <v/>
      </c>
      <c r="S3226" s="10">
        <f>IF(A3226="D",LEFT(UPPER(C3226)&amp;REPT(" ",10),10)," ")</f>
        <v/>
      </c>
      <c r="T3226" s="10">
        <f>IF(A3226="D",LEFT(UPPER(D3226)&amp;REPT(" ",2),2)," ")</f>
        <v/>
      </c>
      <c r="U3226" s="10">
        <f>IF(A3226="D",LEFT(UPPER(E3226)&amp;REPT(" ",15),15)," ")</f>
        <v/>
      </c>
      <c r="V3226" s="10">
        <f>REPT(" ",24)</f>
        <v/>
      </c>
      <c r="W3226" s="10">
        <f>IF(A3226="c",LEFT(UPPER(B3226)&amp;REPT(" ",20),20),REPT(" ",20))</f>
        <v/>
      </c>
      <c r="X3226" s="10">
        <f>IF(A3226="C",LEFT(UPPER(C3226)&amp;REPT(" ",10),10)," ")</f>
        <v/>
      </c>
      <c r="Y3226" s="10">
        <f>IF(A3226="C",LEFT(UPPER(D3226)&amp;REPT(" ",2),2)," ")</f>
        <v/>
      </c>
      <c r="Z3226" s="10">
        <f>IF(A3226="C",LEFT(UPPER(E3226)&amp;REPT(" ",15),15)," ")</f>
        <v/>
      </c>
      <c r="AA3226" s="10">
        <f>REPT(" ",8)</f>
        <v/>
      </c>
      <c r="AB3226" s="10">
        <f>REPT(" ",4)</f>
        <v/>
      </c>
      <c r="AC3226" s="10">
        <f>LEFT(UPPER(H3226)&amp;REPT(" ",250),250)</f>
        <v/>
      </c>
      <c r="AD3226" s="10">
        <f>TEXT($G$2,"dd/mm/aaaa")</f>
        <v/>
      </c>
      <c r="AE3226" s="10">
        <f>REPT(" ",10)</f>
        <v/>
      </c>
      <c r="AF3226" s="10">
        <f>REPT(" ",20)</f>
        <v/>
      </c>
      <c r="AG3226" s="54">
        <f>REPT(" ",18-LEN(FIXED(F3226,2,TRUE)))&amp;FIXED(F3226,2,TRUE)</f>
        <v/>
      </c>
      <c r="AH3226" s="10">
        <f>LEN(AC3226)+LEN(AG3226)</f>
        <v/>
      </c>
      <c r="AI3226" s="10">
        <f>LEN(L3226)</f>
        <v/>
      </c>
    </row>
    <row r="3227">
      <c r="J3227" s="12">
        <f>IF(F3227&lt;&gt;0,"LANÇAR","")</f>
        <v/>
      </c>
      <c r="L3227" s="13">
        <f>N3227&amp;O3227&amp;P3227&amp;Q3227&amp;R3227&amp;S3227&amp;T3227&amp;U3227&amp;V3227&amp;W3227&amp;X3227&amp;Y3227&amp;Z3227&amp;AA3227&amp;AB3227&amp;AC3227&amp;AD3227&amp;AE3227&amp;AF3227&amp;AG3227</f>
        <v/>
      </c>
      <c r="N3227" s="10">
        <f>TEXT($B$6,"00")</f>
        <v/>
      </c>
      <c r="O3227" s="10">
        <f>REPT(" ",8)</f>
        <v/>
      </c>
      <c r="P3227" s="10">
        <f>RIGHT($B$4,2)</f>
        <v/>
      </c>
      <c r="Q3227" s="10">
        <f>RIGHT($B$5,3)</f>
        <v/>
      </c>
      <c r="R3227" s="10">
        <f>IF(A3227="D",LEFT(UPPER(B3227)&amp;REPT(" ",20),20),REPT(" ",20))</f>
        <v/>
      </c>
      <c r="S3227" s="10">
        <f>IF(A3227="D",LEFT(UPPER(C3227)&amp;REPT(" ",10),10)," ")</f>
        <v/>
      </c>
      <c r="T3227" s="10">
        <f>IF(A3227="D",LEFT(UPPER(D3227)&amp;REPT(" ",2),2)," ")</f>
        <v/>
      </c>
      <c r="U3227" s="10">
        <f>IF(A3227="D",LEFT(UPPER(E3227)&amp;REPT(" ",15),15)," ")</f>
        <v/>
      </c>
      <c r="V3227" s="10">
        <f>REPT(" ",24)</f>
        <v/>
      </c>
      <c r="W3227" s="10">
        <f>IF(A3227="c",LEFT(UPPER(B3227)&amp;REPT(" ",20),20),REPT(" ",20))</f>
        <v/>
      </c>
      <c r="X3227" s="10">
        <f>IF(A3227="C",LEFT(UPPER(C3227)&amp;REPT(" ",10),10)," ")</f>
        <v/>
      </c>
      <c r="Y3227" s="10">
        <f>IF(A3227="C",LEFT(UPPER(D3227)&amp;REPT(" ",2),2)," ")</f>
        <v/>
      </c>
      <c r="Z3227" s="10">
        <f>IF(A3227="C",LEFT(UPPER(E3227)&amp;REPT(" ",15),15)," ")</f>
        <v/>
      </c>
      <c r="AA3227" s="10">
        <f>REPT(" ",8)</f>
        <v/>
      </c>
      <c r="AB3227" s="10">
        <f>REPT(" ",4)</f>
        <v/>
      </c>
      <c r="AC3227" s="10">
        <f>LEFT(UPPER(H3227)&amp;REPT(" ",250),250)</f>
        <v/>
      </c>
      <c r="AD3227" s="10">
        <f>TEXT($G$2,"dd/mm/aaaa")</f>
        <v/>
      </c>
      <c r="AE3227" s="10">
        <f>REPT(" ",10)</f>
        <v/>
      </c>
      <c r="AF3227" s="10">
        <f>REPT(" ",20)</f>
        <v/>
      </c>
      <c r="AG3227" s="54">
        <f>REPT(" ",18-LEN(FIXED(F3227,2,TRUE)))&amp;FIXED(F3227,2,TRUE)</f>
        <v/>
      </c>
      <c r="AH3227" s="10">
        <f>LEN(AC3227)+LEN(AG3227)</f>
        <v/>
      </c>
      <c r="AI3227" s="10">
        <f>LEN(L3227)</f>
        <v/>
      </c>
    </row>
    <row r="3228">
      <c r="J3228" s="12">
        <f>IF(F3228&lt;&gt;0,"LANÇAR","")</f>
        <v/>
      </c>
      <c r="L3228" s="13">
        <f>N3228&amp;O3228&amp;P3228&amp;Q3228&amp;R3228&amp;S3228&amp;T3228&amp;U3228&amp;V3228&amp;W3228&amp;X3228&amp;Y3228&amp;Z3228&amp;AA3228&amp;AB3228&amp;AC3228&amp;AD3228&amp;AE3228&amp;AF3228&amp;AG3228</f>
        <v/>
      </c>
      <c r="N3228" s="10">
        <f>TEXT($B$6,"00")</f>
        <v/>
      </c>
      <c r="O3228" s="10">
        <f>REPT(" ",8)</f>
        <v/>
      </c>
      <c r="P3228" s="10">
        <f>RIGHT($B$4,2)</f>
        <v/>
      </c>
      <c r="Q3228" s="10">
        <f>RIGHT($B$5,3)</f>
        <v/>
      </c>
      <c r="R3228" s="10">
        <f>IF(A3228="D",LEFT(UPPER(B3228)&amp;REPT(" ",20),20),REPT(" ",20))</f>
        <v/>
      </c>
      <c r="S3228" s="10">
        <f>IF(A3228="D",LEFT(UPPER(C3228)&amp;REPT(" ",10),10)," ")</f>
        <v/>
      </c>
      <c r="T3228" s="10">
        <f>IF(A3228="D",LEFT(UPPER(D3228)&amp;REPT(" ",2),2)," ")</f>
        <v/>
      </c>
      <c r="U3228" s="10">
        <f>IF(A3228="D",LEFT(UPPER(E3228)&amp;REPT(" ",15),15)," ")</f>
        <v/>
      </c>
      <c r="V3228" s="10">
        <f>REPT(" ",24)</f>
        <v/>
      </c>
      <c r="W3228" s="10">
        <f>IF(A3228="c",LEFT(UPPER(B3228)&amp;REPT(" ",20),20),REPT(" ",20))</f>
        <v/>
      </c>
      <c r="X3228" s="10">
        <f>IF(A3228="C",LEFT(UPPER(C3228)&amp;REPT(" ",10),10)," ")</f>
        <v/>
      </c>
      <c r="Y3228" s="10">
        <f>IF(A3228="C",LEFT(UPPER(D3228)&amp;REPT(" ",2),2)," ")</f>
        <v/>
      </c>
      <c r="Z3228" s="10">
        <f>IF(A3228="C",LEFT(UPPER(E3228)&amp;REPT(" ",15),15)," ")</f>
        <v/>
      </c>
      <c r="AA3228" s="10">
        <f>REPT(" ",8)</f>
        <v/>
      </c>
      <c r="AB3228" s="10">
        <f>REPT(" ",4)</f>
        <v/>
      </c>
      <c r="AC3228" s="10">
        <f>LEFT(UPPER(H3228)&amp;REPT(" ",250),250)</f>
        <v/>
      </c>
      <c r="AD3228" s="10">
        <f>TEXT($G$2,"dd/mm/aaaa")</f>
        <v/>
      </c>
      <c r="AE3228" s="10">
        <f>REPT(" ",10)</f>
        <v/>
      </c>
      <c r="AF3228" s="10">
        <f>REPT(" ",20)</f>
        <v/>
      </c>
      <c r="AG3228" s="54">
        <f>REPT(" ",18-LEN(FIXED(F3228,2,TRUE)))&amp;FIXED(F3228,2,TRUE)</f>
        <v/>
      </c>
      <c r="AH3228" s="10">
        <f>LEN(AC3228)+LEN(AG3228)</f>
        <v/>
      </c>
      <c r="AI3228" s="10">
        <f>LEN(L3228)</f>
        <v/>
      </c>
    </row>
    <row r="3229">
      <c r="J3229" s="12">
        <f>IF(F3229&lt;&gt;0,"LANÇAR","")</f>
        <v/>
      </c>
      <c r="L3229" s="13">
        <f>N3229&amp;O3229&amp;P3229&amp;Q3229&amp;R3229&amp;S3229&amp;T3229&amp;U3229&amp;V3229&amp;W3229&amp;X3229&amp;Y3229&amp;Z3229&amp;AA3229&amp;AB3229&amp;AC3229&amp;AD3229&amp;AE3229&amp;AF3229&amp;AG3229</f>
        <v/>
      </c>
      <c r="N3229" s="10">
        <f>TEXT($B$6,"00")</f>
        <v/>
      </c>
      <c r="O3229" s="10">
        <f>REPT(" ",8)</f>
        <v/>
      </c>
      <c r="P3229" s="10">
        <f>RIGHT($B$4,2)</f>
        <v/>
      </c>
      <c r="Q3229" s="10">
        <f>RIGHT($B$5,3)</f>
        <v/>
      </c>
      <c r="R3229" s="10">
        <f>IF(A3229="D",LEFT(UPPER(B3229)&amp;REPT(" ",20),20),REPT(" ",20))</f>
        <v/>
      </c>
      <c r="S3229" s="10">
        <f>IF(A3229="D",LEFT(UPPER(C3229)&amp;REPT(" ",10),10)," ")</f>
        <v/>
      </c>
      <c r="T3229" s="10">
        <f>IF(A3229="D",LEFT(UPPER(D3229)&amp;REPT(" ",2),2)," ")</f>
        <v/>
      </c>
      <c r="U3229" s="10">
        <f>IF(A3229="D",LEFT(UPPER(E3229)&amp;REPT(" ",15),15)," ")</f>
        <v/>
      </c>
      <c r="V3229" s="10">
        <f>REPT(" ",24)</f>
        <v/>
      </c>
      <c r="W3229" s="10">
        <f>IF(A3229="c",LEFT(UPPER(B3229)&amp;REPT(" ",20),20),REPT(" ",20))</f>
        <v/>
      </c>
      <c r="X3229" s="10">
        <f>IF(A3229="C",LEFT(UPPER(C3229)&amp;REPT(" ",10),10)," ")</f>
        <v/>
      </c>
      <c r="Y3229" s="10">
        <f>IF(A3229="C",LEFT(UPPER(D3229)&amp;REPT(" ",2),2)," ")</f>
        <v/>
      </c>
      <c r="Z3229" s="10">
        <f>IF(A3229="C",LEFT(UPPER(E3229)&amp;REPT(" ",15),15)," ")</f>
        <v/>
      </c>
      <c r="AA3229" s="10">
        <f>REPT(" ",8)</f>
        <v/>
      </c>
      <c r="AB3229" s="10">
        <f>REPT(" ",4)</f>
        <v/>
      </c>
      <c r="AC3229" s="10">
        <f>LEFT(UPPER(H3229)&amp;REPT(" ",250),250)</f>
        <v/>
      </c>
      <c r="AD3229" s="10">
        <f>TEXT($G$2,"dd/mm/aaaa")</f>
        <v/>
      </c>
      <c r="AE3229" s="10">
        <f>REPT(" ",10)</f>
        <v/>
      </c>
      <c r="AF3229" s="10">
        <f>REPT(" ",20)</f>
        <v/>
      </c>
      <c r="AG3229" s="54">
        <f>REPT(" ",18-LEN(FIXED(F3229,2,TRUE)))&amp;FIXED(F3229,2,TRUE)</f>
        <v/>
      </c>
      <c r="AH3229" s="10">
        <f>LEN(AC3229)+LEN(AG3229)</f>
        <v/>
      </c>
      <c r="AI3229" s="10">
        <f>LEN(L3229)</f>
        <v/>
      </c>
    </row>
    <row r="3230">
      <c r="J3230" s="12">
        <f>IF(F3230&lt;&gt;0,"LANÇAR","")</f>
        <v/>
      </c>
      <c r="L3230" s="13">
        <f>N3230&amp;O3230&amp;P3230&amp;Q3230&amp;R3230&amp;S3230&amp;T3230&amp;U3230&amp;V3230&amp;W3230&amp;X3230&amp;Y3230&amp;Z3230&amp;AA3230&amp;AB3230&amp;AC3230&amp;AD3230&amp;AE3230&amp;AF3230&amp;AG3230</f>
        <v/>
      </c>
      <c r="N3230" s="10">
        <f>TEXT($B$6,"00")</f>
        <v/>
      </c>
      <c r="O3230" s="10">
        <f>REPT(" ",8)</f>
        <v/>
      </c>
      <c r="P3230" s="10">
        <f>RIGHT($B$4,2)</f>
        <v/>
      </c>
      <c r="Q3230" s="10">
        <f>RIGHT($B$5,3)</f>
        <v/>
      </c>
      <c r="R3230" s="10">
        <f>IF(A3230="D",LEFT(UPPER(B3230)&amp;REPT(" ",20),20),REPT(" ",20))</f>
        <v/>
      </c>
      <c r="S3230" s="10">
        <f>IF(A3230="D",LEFT(UPPER(C3230)&amp;REPT(" ",10),10)," ")</f>
        <v/>
      </c>
      <c r="T3230" s="10">
        <f>IF(A3230="D",LEFT(UPPER(D3230)&amp;REPT(" ",2),2)," ")</f>
        <v/>
      </c>
      <c r="U3230" s="10">
        <f>IF(A3230="D",LEFT(UPPER(E3230)&amp;REPT(" ",15),15)," ")</f>
        <v/>
      </c>
      <c r="V3230" s="10">
        <f>REPT(" ",24)</f>
        <v/>
      </c>
      <c r="W3230" s="10">
        <f>IF(A3230="c",LEFT(UPPER(B3230)&amp;REPT(" ",20),20),REPT(" ",20))</f>
        <v/>
      </c>
      <c r="X3230" s="10">
        <f>IF(A3230="C",LEFT(UPPER(C3230)&amp;REPT(" ",10),10)," ")</f>
        <v/>
      </c>
      <c r="Y3230" s="10">
        <f>IF(A3230="C",LEFT(UPPER(D3230)&amp;REPT(" ",2),2)," ")</f>
        <v/>
      </c>
      <c r="Z3230" s="10">
        <f>IF(A3230="C",LEFT(UPPER(E3230)&amp;REPT(" ",15),15)," ")</f>
        <v/>
      </c>
      <c r="AA3230" s="10">
        <f>REPT(" ",8)</f>
        <v/>
      </c>
      <c r="AB3230" s="10">
        <f>REPT(" ",4)</f>
        <v/>
      </c>
      <c r="AC3230" s="10">
        <f>LEFT(UPPER(H3230)&amp;REPT(" ",250),250)</f>
        <v/>
      </c>
      <c r="AD3230" s="10">
        <f>TEXT($G$2,"dd/mm/aaaa")</f>
        <v/>
      </c>
      <c r="AE3230" s="10">
        <f>REPT(" ",10)</f>
        <v/>
      </c>
      <c r="AF3230" s="10">
        <f>REPT(" ",20)</f>
        <v/>
      </c>
      <c r="AG3230" s="54">
        <f>REPT(" ",18-LEN(FIXED(F3230,2,TRUE)))&amp;FIXED(F3230,2,TRUE)</f>
        <v/>
      </c>
      <c r="AH3230" s="10">
        <f>LEN(AC3230)+LEN(AG3230)</f>
        <v/>
      </c>
      <c r="AI3230" s="10">
        <f>LEN(L3230)</f>
        <v/>
      </c>
    </row>
    <row r="3231">
      <c r="J3231" s="12">
        <f>IF(F3231&lt;&gt;0,"LANÇAR","")</f>
        <v/>
      </c>
      <c r="L3231" s="13">
        <f>N3231&amp;O3231&amp;P3231&amp;Q3231&amp;R3231&amp;S3231&amp;T3231&amp;U3231&amp;V3231&amp;W3231&amp;X3231&amp;Y3231&amp;Z3231&amp;AA3231&amp;AB3231&amp;AC3231&amp;AD3231&amp;AE3231&amp;AF3231&amp;AG3231</f>
        <v/>
      </c>
      <c r="N3231" s="10">
        <f>TEXT($B$6,"00")</f>
        <v/>
      </c>
      <c r="O3231" s="10">
        <f>REPT(" ",8)</f>
        <v/>
      </c>
      <c r="P3231" s="10">
        <f>RIGHT($B$4,2)</f>
        <v/>
      </c>
      <c r="Q3231" s="10">
        <f>RIGHT($B$5,3)</f>
        <v/>
      </c>
      <c r="R3231" s="10">
        <f>IF(A3231="D",LEFT(UPPER(B3231)&amp;REPT(" ",20),20),REPT(" ",20))</f>
        <v/>
      </c>
      <c r="S3231" s="10">
        <f>IF(A3231="D",LEFT(UPPER(C3231)&amp;REPT(" ",10),10)," ")</f>
        <v/>
      </c>
      <c r="T3231" s="10">
        <f>IF(A3231="D",LEFT(UPPER(D3231)&amp;REPT(" ",2),2)," ")</f>
        <v/>
      </c>
      <c r="U3231" s="10">
        <f>IF(A3231="D",LEFT(UPPER(E3231)&amp;REPT(" ",15),15)," ")</f>
        <v/>
      </c>
      <c r="V3231" s="10">
        <f>REPT(" ",24)</f>
        <v/>
      </c>
      <c r="W3231" s="10">
        <f>IF(A3231="c",LEFT(UPPER(B3231)&amp;REPT(" ",20),20),REPT(" ",20))</f>
        <v/>
      </c>
      <c r="X3231" s="10">
        <f>IF(A3231="C",LEFT(UPPER(C3231)&amp;REPT(" ",10),10)," ")</f>
        <v/>
      </c>
      <c r="Y3231" s="10">
        <f>IF(A3231="C",LEFT(UPPER(D3231)&amp;REPT(" ",2),2)," ")</f>
        <v/>
      </c>
      <c r="Z3231" s="10">
        <f>IF(A3231="C",LEFT(UPPER(E3231)&amp;REPT(" ",15),15)," ")</f>
        <v/>
      </c>
      <c r="AA3231" s="10">
        <f>REPT(" ",8)</f>
        <v/>
      </c>
      <c r="AB3231" s="10">
        <f>REPT(" ",4)</f>
        <v/>
      </c>
      <c r="AC3231" s="10">
        <f>LEFT(UPPER(H3231)&amp;REPT(" ",250),250)</f>
        <v/>
      </c>
      <c r="AD3231" s="10">
        <f>TEXT($G$2,"dd/mm/aaaa")</f>
        <v/>
      </c>
      <c r="AE3231" s="10">
        <f>REPT(" ",10)</f>
        <v/>
      </c>
      <c r="AF3231" s="10">
        <f>REPT(" ",20)</f>
        <v/>
      </c>
      <c r="AG3231" s="54">
        <f>REPT(" ",18-LEN(FIXED(F3231,2,TRUE)))&amp;FIXED(F3231,2,TRUE)</f>
        <v/>
      </c>
      <c r="AH3231" s="10">
        <f>LEN(AC3231)+LEN(AG3231)</f>
        <v/>
      </c>
      <c r="AI3231" s="10">
        <f>LEN(L3231)</f>
        <v/>
      </c>
    </row>
    <row r="3232">
      <c r="J3232" s="12">
        <f>IF(F3232&lt;&gt;0,"LANÇAR","")</f>
        <v/>
      </c>
      <c r="L3232" s="13">
        <f>N3232&amp;O3232&amp;P3232&amp;Q3232&amp;R3232&amp;S3232&amp;T3232&amp;U3232&amp;V3232&amp;W3232&amp;X3232&amp;Y3232&amp;Z3232&amp;AA3232&amp;AB3232&amp;AC3232&amp;AD3232&amp;AE3232&amp;AF3232&amp;AG3232</f>
        <v/>
      </c>
      <c r="N3232" s="10">
        <f>TEXT($B$6,"00")</f>
        <v/>
      </c>
      <c r="O3232" s="10">
        <f>REPT(" ",8)</f>
        <v/>
      </c>
      <c r="P3232" s="10">
        <f>RIGHT($B$4,2)</f>
        <v/>
      </c>
      <c r="Q3232" s="10">
        <f>RIGHT($B$5,3)</f>
        <v/>
      </c>
      <c r="R3232" s="10">
        <f>IF(A3232="D",LEFT(UPPER(B3232)&amp;REPT(" ",20),20),REPT(" ",20))</f>
        <v/>
      </c>
      <c r="S3232" s="10">
        <f>IF(A3232="D",LEFT(UPPER(C3232)&amp;REPT(" ",10),10)," ")</f>
        <v/>
      </c>
      <c r="T3232" s="10">
        <f>IF(A3232="D",LEFT(UPPER(D3232)&amp;REPT(" ",2),2)," ")</f>
        <v/>
      </c>
      <c r="U3232" s="10">
        <f>IF(A3232="D",LEFT(UPPER(E3232)&amp;REPT(" ",15),15)," ")</f>
        <v/>
      </c>
      <c r="V3232" s="10">
        <f>REPT(" ",24)</f>
        <v/>
      </c>
      <c r="W3232" s="10">
        <f>IF(A3232="c",LEFT(UPPER(B3232)&amp;REPT(" ",20),20),REPT(" ",20))</f>
        <v/>
      </c>
      <c r="X3232" s="10">
        <f>IF(A3232="C",LEFT(UPPER(C3232)&amp;REPT(" ",10),10)," ")</f>
        <v/>
      </c>
      <c r="Y3232" s="10">
        <f>IF(A3232="C",LEFT(UPPER(D3232)&amp;REPT(" ",2),2)," ")</f>
        <v/>
      </c>
      <c r="Z3232" s="10">
        <f>IF(A3232="C",LEFT(UPPER(E3232)&amp;REPT(" ",15),15)," ")</f>
        <v/>
      </c>
      <c r="AA3232" s="10">
        <f>REPT(" ",8)</f>
        <v/>
      </c>
      <c r="AB3232" s="10">
        <f>REPT(" ",4)</f>
        <v/>
      </c>
      <c r="AC3232" s="10">
        <f>LEFT(UPPER(H3232)&amp;REPT(" ",250),250)</f>
        <v/>
      </c>
      <c r="AD3232" s="10">
        <f>TEXT($G$2,"dd/mm/aaaa")</f>
        <v/>
      </c>
      <c r="AE3232" s="10">
        <f>REPT(" ",10)</f>
        <v/>
      </c>
      <c r="AF3232" s="10">
        <f>REPT(" ",20)</f>
        <v/>
      </c>
      <c r="AG3232" s="54">
        <f>REPT(" ",18-LEN(FIXED(F3232,2,TRUE)))&amp;FIXED(F3232,2,TRUE)</f>
        <v/>
      </c>
      <c r="AH3232" s="10">
        <f>LEN(AC3232)+LEN(AG3232)</f>
        <v/>
      </c>
      <c r="AI3232" s="10">
        <f>LEN(L3232)</f>
        <v/>
      </c>
    </row>
    <row r="3233">
      <c r="J3233" s="12">
        <f>IF(F3233&lt;&gt;0,"LANÇAR","")</f>
        <v/>
      </c>
      <c r="L3233" s="13">
        <f>N3233&amp;O3233&amp;P3233&amp;Q3233&amp;R3233&amp;S3233&amp;T3233&amp;U3233&amp;V3233&amp;W3233&amp;X3233&amp;Y3233&amp;Z3233&amp;AA3233&amp;AB3233&amp;AC3233&amp;AD3233&amp;AE3233&amp;AF3233&amp;AG3233</f>
        <v/>
      </c>
      <c r="N3233" s="10">
        <f>TEXT($B$6,"00")</f>
        <v/>
      </c>
      <c r="O3233" s="10">
        <f>REPT(" ",8)</f>
        <v/>
      </c>
      <c r="P3233" s="10">
        <f>RIGHT($B$4,2)</f>
        <v/>
      </c>
      <c r="Q3233" s="10">
        <f>RIGHT($B$5,3)</f>
        <v/>
      </c>
      <c r="R3233" s="10">
        <f>IF(A3233="D",LEFT(UPPER(B3233)&amp;REPT(" ",20),20),REPT(" ",20))</f>
        <v/>
      </c>
      <c r="S3233" s="10">
        <f>IF(A3233="D",LEFT(UPPER(C3233)&amp;REPT(" ",10),10)," ")</f>
        <v/>
      </c>
      <c r="T3233" s="10">
        <f>IF(A3233="D",LEFT(UPPER(D3233)&amp;REPT(" ",2),2)," ")</f>
        <v/>
      </c>
      <c r="U3233" s="10">
        <f>IF(A3233="D",LEFT(UPPER(E3233)&amp;REPT(" ",15),15)," ")</f>
        <v/>
      </c>
      <c r="V3233" s="10">
        <f>REPT(" ",24)</f>
        <v/>
      </c>
      <c r="W3233" s="10">
        <f>IF(A3233="c",LEFT(UPPER(B3233)&amp;REPT(" ",20),20),REPT(" ",20))</f>
        <v/>
      </c>
      <c r="X3233" s="10">
        <f>IF(A3233="C",LEFT(UPPER(C3233)&amp;REPT(" ",10),10)," ")</f>
        <v/>
      </c>
      <c r="Y3233" s="10">
        <f>IF(A3233="C",LEFT(UPPER(D3233)&amp;REPT(" ",2),2)," ")</f>
        <v/>
      </c>
      <c r="Z3233" s="10">
        <f>IF(A3233="C",LEFT(UPPER(E3233)&amp;REPT(" ",15),15)," ")</f>
        <v/>
      </c>
      <c r="AA3233" s="10">
        <f>REPT(" ",8)</f>
        <v/>
      </c>
      <c r="AB3233" s="10">
        <f>REPT(" ",4)</f>
        <v/>
      </c>
      <c r="AC3233" s="10">
        <f>LEFT(UPPER(H3233)&amp;REPT(" ",250),250)</f>
        <v/>
      </c>
      <c r="AD3233" s="10">
        <f>TEXT($G$2,"dd/mm/aaaa")</f>
        <v/>
      </c>
      <c r="AE3233" s="10">
        <f>REPT(" ",10)</f>
        <v/>
      </c>
      <c r="AF3233" s="10">
        <f>REPT(" ",20)</f>
        <v/>
      </c>
      <c r="AG3233" s="54">
        <f>REPT(" ",18-LEN(FIXED(F3233,2,TRUE)))&amp;FIXED(F3233,2,TRUE)</f>
        <v/>
      </c>
      <c r="AH3233" s="10">
        <f>LEN(AC3233)+LEN(AG3233)</f>
        <v/>
      </c>
      <c r="AI3233" s="10">
        <f>LEN(L3233)</f>
        <v/>
      </c>
    </row>
    <row r="3234">
      <c r="J3234" s="12">
        <f>IF(F3234&lt;&gt;0,"LANÇAR","")</f>
        <v/>
      </c>
      <c r="L3234" s="13">
        <f>N3234&amp;O3234&amp;P3234&amp;Q3234&amp;R3234&amp;S3234&amp;T3234&amp;U3234&amp;V3234&amp;W3234&amp;X3234&amp;Y3234&amp;Z3234&amp;AA3234&amp;AB3234&amp;AC3234&amp;AD3234&amp;AE3234&amp;AF3234&amp;AG3234</f>
        <v/>
      </c>
      <c r="N3234" s="10">
        <f>TEXT($B$6,"00")</f>
        <v/>
      </c>
      <c r="O3234" s="10">
        <f>REPT(" ",8)</f>
        <v/>
      </c>
      <c r="P3234" s="10">
        <f>RIGHT($B$4,2)</f>
        <v/>
      </c>
      <c r="Q3234" s="10">
        <f>RIGHT($B$5,3)</f>
        <v/>
      </c>
      <c r="R3234" s="10">
        <f>IF(A3234="D",LEFT(UPPER(B3234)&amp;REPT(" ",20),20),REPT(" ",20))</f>
        <v/>
      </c>
      <c r="S3234" s="10">
        <f>IF(A3234="D",LEFT(UPPER(C3234)&amp;REPT(" ",10),10)," ")</f>
        <v/>
      </c>
      <c r="T3234" s="10">
        <f>IF(A3234="D",LEFT(UPPER(D3234)&amp;REPT(" ",2),2)," ")</f>
        <v/>
      </c>
      <c r="U3234" s="10">
        <f>IF(A3234="D",LEFT(UPPER(E3234)&amp;REPT(" ",15),15)," ")</f>
        <v/>
      </c>
      <c r="V3234" s="10">
        <f>REPT(" ",24)</f>
        <v/>
      </c>
      <c r="W3234" s="10">
        <f>IF(A3234="c",LEFT(UPPER(B3234)&amp;REPT(" ",20),20),REPT(" ",20))</f>
        <v/>
      </c>
      <c r="X3234" s="10">
        <f>IF(A3234="C",LEFT(UPPER(C3234)&amp;REPT(" ",10),10)," ")</f>
        <v/>
      </c>
      <c r="Y3234" s="10">
        <f>IF(A3234="C",LEFT(UPPER(D3234)&amp;REPT(" ",2),2)," ")</f>
        <v/>
      </c>
      <c r="Z3234" s="10">
        <f>IF(A3234="C",LEFT(UPPER(E3234)&amp;REPT(" ",15),15)," ")</f>
        <v/>
      </c>
      <c r="AA3234" s="10">
        <f>REPT(" ",8)</f>
        <v/>
      </c>
      <c r="AB3234" s="10">
        <f>REPT(" ",4)</f>
        <v/>
      </c>
      <c r="AC3234" s="10">
        <f>LEFT(UPPER(H3234)&amp;REPT(" ",250),250)</f>
        <v/>
      </c>
      <c r="AD3234" s="10">
        <f>TEXT($G$2,"dd/mm/aaaa")</f>
        <v/>
      </c>
      <c r="AE3234" s="10">
        <f>REPT(" ",10)</f>
        <v/>
      </c>
      <c r="AF3234" s="10">
        <f>REPT(" ",20)</f>
        <v/>
      </c>
      <c r="AG3234" s="54">
        <f>REPT(" ",18-LEN(FIXED(F3234,2,TRUE)))&amp;FIXED(F3234,2,TRUE)</f>
        <v/>
      </c>
      <c r="AH3234" s="10">
        <f>LEN(AC3234)+LEN(AG3234)</f>
        <v/>
      </c>
      <c r="AI3234" s="10">
        <f>LEN(L3234)</f>
        <v/>
      </c>
    </row>
    <row r="3235">
      <c r="J3235" s="12">
        <f>IF(F3235&lt;&gt;0,"LANÇAR","")</f>
        <v/>
      </c>
      <c r="L3235" s="13">
        <f>N3235&amp;O3235&amp;P3235&amp;Q3235&amp;R3235&amp;S3235&amp;T3235&amp;U3235&amp;V3235&amp;W3235&amp;X3235&amp;Y3235&amp;Z3235&amp;AA3235&amp;AB3235&amp;AC3235&amp;AD3235&amp;AE3235&amp;AF3235&amp;AG3235</f>
        <v/>
      </c>
      <c r="N3235" s="10">
        <f>TEXT($B$6,"00")</f>
        <v/>
      </c>
      <c r="O3235" s="10">
        <f>REPT(" ",8)</f>
        <v/>
      </c>
      <c r="P3235" s="10">
        <f>RIGHT($B$4,2)</f>
        <v/>
      </c>
      <c r="Q3235" s="10">
        <f>RIGHT($B$5,3)</f>
        <v/>
      </c>
      <c r="R3235" s="10">
        <f>IF(A3235="D",LEFT(UPPER(B3235)&amp;REPT(" ",20),20),REPT(" ",20))</f>
        <v/>
      </c>
      <c r="S3235" s="10">
        <f>IF(A3235="D",LEFT(UPPER(C3235)&amp;REPT(" ",10),10)," ")</f>
        <v/>
      </c>
      <c r="T3235" s="10">
        <f>IF(A3235="D",LEFT(UPPER(D3235)&amp;REPT(" ",2),2)," ")</f>
        <v/>
      </c>
      <c r="U3235" s="10">
        <f>IF(A3235="D",LEFT(UPPER(E3235)&amp;REPT(" ",15),15)," ")</f>
        <v/>
      </c>
      <c r="V3235" s="10">
        <f>REPT(" ",24)</f>
        <v/>
      </c>
      <c r="W3235" s="10">
        <f>IF(A3235="c",LEFT(UPPER(B3235)&amp;REPT(" ",20),20),REPT(" ",20))</f>
        <v/>
      </c>
      <c r="X3235" s="10">
        <f>IF(A3235="C",LEFT(UPPER(C3235)&amp;REPT(" ",10),10)," ")</f>
        <v/>
      </c>
      <c r="Y3235" s="10">
        <f>IF(A3235="C",LEFT(UPPER(D3235)&amp;REPT(" ",2),2)," ")</f>
        <v/>
      </c>
      <c r="Z3235" s="10">
        <f>IF(A3235="C",LEFT(UPPER(E3235)&amp;REPT(" ",15),15)," ")</f>
        <v/>
      </c>
      <c r="AA3235" s="10">
        <f>REPT(" ",8)</f>
        <v/>
      </c>
      <c r="AB3235" s="10">
        <f>REPT(" ",4)</f>
        <v/>
      </c>
      <c r="AC3235" s="10">
        <f>LEFT(UPPER(H3235)&amp;REPT(" ",250),250)</f>
        <v/>
      </c>
      <c r="AD3235" s="10">
        <f>TEXT($G$2,"dd/mm/aaaa")</f>
        <v/>
      </c>
      <c r="AE3235" s="10">
        <f>REPT(" ",10)</f>
        <v/>
      </c>
      <c r="AF3235" s="10">
        <f>REPT(" ",20)</f>
        <v/>
      </c>
      <c r="AG3235" s="54">
        <f>REPT(" ",18-LEN(FIXED(F3235,2,TRUE)))&amp;FIXED(F3235,2,TRUE)</f>
        <v/>
      </c>
      <c r="AH3235" s="10">
        <f>LEN(AC3235)+LEN(AG3235)</f>
        <v/>
      </c>
      <c r="AI3235" s="10">
        <f>LEN(L3235)</f>
        <v/>
      </c>
    </row>
    <row r="3236">
      <c r="J3236" s="12">
        <f>IF(F3236&lt;&gt;0,"LANÇAR","")</f>
        <v/>
      </c>
      <c r="L3236" s="13">
        <f>N3236&amp;O3236&amp;P3236&amp;Q3236&amp;R3236&amp;S3236&amp;T3236&amp;U3236&amp;V3236&amp;W3236&amp;X3236&amp;Y3236&amp;Z3236&amp;AA3236&amp;AB3236&amp;AC3236&amp;AD3236&amp;AE3236&amp;AF3236&amp;AG3236</f>
        <v/>
      </c>
      <c r="N3236" s="10">
        <f>TEXT($B$6,"00")</f>
        <v/>
      </c>
      <c r="O3236" s="10">
        <f>REPT(" ",8)</f>
        <v/>
      </c>
      <c r="P3236" s="10">
        <f>RIGHT($B$4,2)</f>
        <v/>
      </c>
      <c r="Q3236" s="10">
        <f>RIGHT($B$5,3)</f>
        <v/>
      </c>
      <c r="R3236" s="10">
        <f>IF(A3236="D",LEFT(UPPER(B3236)&amp;REPT(" ",20),20),REPT(" ",20))</f>
        <v/>
      </c>
      <c r="S3236" s="10">
        <f>IF(A3236="D",LEFT(UPPER(C3236)&amp;REPT(" ",10),10)," ")</f>
        <v/>
      </c>
      <c r="T3236" s="10">
        <f>IF(A3236="D",LEFT(UPPER(D3236)&amp;REPT(" ",2),2)," ")</f>
        <v/>
      </c>
      <c r="U3236" s="10">
        <f>IF(A3236="D",LEFT(UPPER(E3236)&amp;REPT(" ",15),15)," ")</f>
        <v/>
      </c>
      <c r="V3236" s="10">
        <f>REPT(" ",24)</f>
        <v/>
      </c>
      <c r="W3236" s="10">
        <f>IF(A3236="c",LEFT(UPPER(B3236)&amp;REPT(" ",20),20),REPT(" ",20))</f>
        <v/>
      </c>
      <c r="X3236" s="10">
        <f>IF(A3236="C",LEFT(UPPER(C3236)&amp;REPT(" ",10),10)," ")</f>
        <v/>
      </c>
      <c r="Y3236" s="10">
        <f>IF(A3236="C",LEFT(UPPER(D3236)&amp;REPT(" ",2),2)," ")</f>
        <v/>
      </c>
      <c r="Z3236" s="10">
        <f>IF(A3236="C",LEFT(UPPER(E3236)&amp;REPT(" ",15),15)," ")</f>
        <v/>
      </c>
      <c r="AA3236" s="10">
        <f>REPT(" ",8)</f>
        <v/>
      </c>
      <c r="AB3236" s="10">
        <f>REPT(" ",4)</f>
        <v/>
      </c>
      <c r="AC3236" s="10">
        <f>LEFT(UPPER(H3236)&amp;REPT(" ",250),250)</f>
        <v/>
      </c>
      <c r="AD3236" s="10">
        <f>TEXT($G$2,"dd/mm/aaaa")</f>
        <v/>
      </c>
      <c r="AE3236" s="10">
        <f>REPT(" ",10)</f>
        <v/>
      </c>
      <c r="AF3236" s="10">
        <f>REPT(" ",20)</f>
        <v/>
      </c>
      <c r="AG3236" s="54">
        <f>REPT(" ",18-LEN(FIXED(F3236,2,TRUE)))&amp;FIXED(F3236,2,TRUE)</f>
        <v/>
      </c>
      <c r="AH3236" s="10">
        <f>LEN(AC3236)+LEN(AG3236)</f>
        <v/>
      </c>
      <c r="AI3236" s="10">
        <f>LEN(L3236)</f>
        <v/>
      </c>
    </row>
    <row r="3237">
      <c r="J3237" s="12">
        <f>IF(F3237&lt;&gt;0,"LANÇAR","")</f>
        <v/>
      </c>
      <c r="L3237" s="13">
        <f>N3237&amp;O3237&amp;P3237&amp;Q3237&amp;R3237&amp;S3237&amp;T3237&amp;U3237&amp;V3237&amp;W3237&amp;X3237&amp;Y3237&amp;Z3237&amp;AA3237&amp;AB3237&amp;AC3237&amp;AD3237&amp;AE3237&amp;AF3237&amp;AG3237</f>
        <v/>
      </c>
      <c r="N3237" s="10">
        <f>TEXT($B$6,"00")</f>
        <v/>
      </c>
      <c r="O3237" s="10">
        <f>REPT(" ",8)</f>
        <v/>
      </c>
      <c r="P3237" s="10">
        <f>RIGHT($B$4,2)</f>
        <v/>
      </c>
      <c r="Q3237" s="10">
        <f>RIGHT($B$5,3)</f>
        <v/>
      </c>
      <c r="R3237" s="10">
        <f>IF(A3237="D",LEFT(UPPER(B3237)&amp;REPT(" ",20),20),REPT(" ",20))</f>
        <v/>
      </c>
      <c r="S3237" s="10">
        <f>IF(A3237="D",LEFT(UPPER(C3237)&amp;REPT(" ",10),10)," ")</f>
        <v/>
      </c>
      <c r="T3237" s="10">
        <f>IF(A3237="D",LEFT(UPPER(D3237)&amp;REPT(" ",2),2)," ")</f>
        <v/>
      </c>
      <c r="U3237" s="10">
        <f>IF(A3237="D",LEFT(UPPER(E3237)&amp;REPT(" ",15),15)," ")</f>
        <v/>
      </c>
      <c r="V3237" s="10">
        <f>REPT(" ",24)</f>
        <v/>
      </c>
      <c r="W3237" s="10">
        <f>IF(A3237="c",LEFT(UPPER(B3237)&amp;REPT(" ",20),20),REPT(" ",20))</f>
        <v/>
      </c>
      <c r="X3237" s="10">
        <f>IF(A3237="C",LEFT(UPPER(C3237)&amp;REPT(" ",10),10)," ")</f>
        <v/>
      </c>
      <c r="Y3237" s="10">
        <f>IF(A3237="C",LEFT(UPPER(D3237)&amp;REPT(" ",2),2)," ")</f>
        <v/>
      </c>
      <c r="Z3237" s="10">
        <f>IF(A3237="C",LEFT(UPPER(E3237)&amp;REPT(" ",15),15)," ")</f>
        <v/>
      </c>
      <c r="AA3237" s="10">
        <f>REPT(" ",8)</f>
        <v/>
      </c>
      <c r="AB3237" s="10">
        <f>REPT(" ",4)</f>
        <v/>
      </c>
      <c r="AC3237" s="10">
        <f>LEFT(UPPER(H3237)&amp;REPT(" ",250),250)</f>
        <v/>
      </c>
      <c r="AD3237" s="10">
        <f>TEXT($G$2,"dd/mm/aaaa")</f>
        <v/>
      </c>
      <c r="AE3237" s="10">
        <f>REPT(" ",10)</f>
        <v/>
      </c>
      <c r="AF3237" s="10">
        <f>REPT(" ",20)</f>
        <v/>
      </c>
      <c r="AG3237" s="54">
        <f>REPT(" ",18-LEN(FIXED(F3237,2,TRUE)))&amp;FIXED(F3237,2,TRUE)</f>
        <v/>
      </c>
      <c r="AH3237" s="10">
        <f>LEN(AC3237)+LEN(AG3237)</f>
        <v/>
      </c>
      <c r="AI3237" s="10">
        <f>LEN(L3237)</f>
        <v/>
      </c>
    </row>
    <row r="3238">
      <c r="J3238" s="12">
        <f>IF(F3238&lt;&gt;0,"LANÇAR","")</f>
        <v/>
      </c>
      <c r="L3238" s="13">
        <f>N3238&amp;O3238&amp;P3238&amp;Q3238&amp;R3238&amp;S3238&amp;T3238&amp;U3238&amp;V3238&amp;W3238&amp;X3238&amp;Y3238&amp;Z3238&amp;AA3238&amp;AB3238&amp;AC3238&amp;AD3238&amp;AE3238&amp;AF3238&amp;AG3238</f>
        <v/>
      </c>
      <c r="N3238" s="10">
        <f>TEXT($B$6,"00")</f>
        <v/>
      </c>
      <c r="O3238" s="10">
        <f>REPT(" ",8)</f>
        <v/>
      </c>
      <c r="P3238" s="10">
        <f>RIGHT($B$4,2)</f>
        <v/>
      </c>
      <c r="Q3238" s="10">
        <f>RIGHT($B$5,3)</f>
        <v/>
      </c>
      <c r="R3238" s="10">
        <f>IF(A3238="D",LEFT(UPPER(B3238)&amp;REPT(" ",20),20),REPT(" ",20))</f>
        <v/>
      </c>
      <c r="S3238" s="10">
        <f>IF(A3238="D",LEFT(UPPER(C3238)&amp;REPT(" ",10),10)," ")</f>
        <v/>
      </c>
      <c r="T3238" s="10">
        <f>IF(A3238="D",LEFT(UPPER(D3238)&amp;REPT(" ",2),2)," ")</f>
        <v/>
      </c>
      <c r="U3238" s="10">
        <f>IF(A3238="D",LEFT(UPPER(E3238)&amp;REPT(" ",15),15)," ")</f>
        <v/>
      </c>
      <c r="V3238" s="10">
        <f>REPT(" ",24)</f>
        <v/>
      </c>
      <c r="W3238" s="10">
        <f>IF(A3238="c",LEFT(UPPER(B3238)&amp;REPT(" ",20),20),REPT(" ",20))</f>
        <v/>
      </c>
      <c r="X3238" s="10">
        <f>IF(A3238="C",LEFT(UPPER(C3238)&amp;REPT(" ",10),10)," ")</f>
        <v/>
      </c>
      <c r="Y3238" s="10">
        <f>IF(A3238="C",LEFT(UPPER(D3238)&amp;REPT(" ",2),2)," ")</f>
        <v/>
      </c>
      <c r="Z3238" s="10">
        <f>IF(A3238="C",LEFT(UPPER(E3238)&amp;REPT(" ",15),15)," ")</f>
        <v/>
      </c>
      <c r="AA3238" s="10">
        <f>REPT(" ",8)</f>
        <v/>
      </c>
      <c r="AB3238" s="10">
        <f>REPT(" ",4)</f>
        <v/>
      </c>
      <c r="AC3238" s="10">
        <f>LEFT(UPPER(H3238)&amp;REPT(" ",250),250)</f>
        <v/>
      </c>
      <c r="AD3238" s="10">
        <f>TEXT($G$2,"dd/mm/aaaa")</f>
        <v/>
      </c>
      <c r="AE3238" s="10">
        <f>REPT(" ",10)</f>
        <v/>
      </c>
      <c r="AF3238" s="10">
        <f>REPT(" ",20)</f>
        <v/>
      </c>
      <c r="AG3238" s="54">
        <f>REPT(" ",18-LEN(FIXED(F3238,2,TRUE)))&amp;FIXED(F3238,2,TRUE)</f>
        <v/>
      </c>
      <c r="AH3238" s="10">
        <f>LEN(AC3238)+LEN(AG3238)</f>
        <v/>
      </c>
      <c r="AI3238" s="10">
        <f>LEN(L3238)</f>
        <v/>
      </c>
    </row>
    <row r="3239">
      <c r="J3239" s="12">
        <f>IF(F3239&lt;&gt;0,"LANÇAR","")</f>
        <v/>
      </c>
      <c r="L3239" s="13">
        <f>N3239&amp;O3239&amp;P3239&amp;Q3239&amp;R3239&amp;S3239&amp;T3239&amp;U3239&amp;V3239&amp;W3239&amp;X3239&amp;Y3239&amp;Z3239&amp;AA3239&amp;AB3239&amp;AC3239&amp;AD3239&amp;AE3239&amp;AF3239&amp;AG3239</f>
        <v/>
      </c>
      <c r="N3239" s="10">
        <f>TEXT($B$6,"00")</f>
        <v/>
      </c>
      <c r="O3239" s="10">
        <f>REPT(" ",8)</f>
        <v/>
      </c>
      <c r="P3239" s="10">
        <f>RIGHT($B$4,2)</f>
        <v/>
      </c>
      <c r="Q3239" s="10">
        <f>RIGHT($B$5,3)</f>
        <v/>
      </c>
      <c r="R3239" s="10">
        <f>IF(A3239="D",LEFT(UPPER(B3239)&amp;REPT(" ",20),20),REPT(" ",20))</f>
        <v/>
      </c>
      <c r="S3239" s="10">
        <f>IF(A3239="D",LEFT(UPPER(C3239)&amp;REPT(" ",10),10)," ")</f>
        <v/>
      </c>
      <c r="T3239" s="10">
        <f>IF(A3239="D",LEFT(UPPER(D3239)&amp;REPT(" ",2),2)," ")</f>
        <v/>
      </c>
      <c r="U3239" s="10">
        <f>IF(A3239="D",LEFT(UPPER(E3239)&amp;REPT(" ",15),15)," ")</f>
        <v/>
      </c>
      <c r="V3239" s="10">
        <f>REPT(" ",24)</f>
        <v/>
      </c>
      <c r="W3239" s="10">
        <f>IF(A3239="c",LEFT(UPPER(B3239)&amp;REPT(" ",20),20),REPT(" ",20))</f>
        <v/>
      </c>
      <c r="X3239" s="10">
        <f>IF(A3239="C",LEFT(UPPER(C3239)&amp;REPT(" ",10),10)," ")</f>
        <v/>
      </c>
      <c r="Y3239" s="10">
        <f>IF(A3239="C",LEFT(UPPER(D3239)&amp;REPT(" ",2),2)," ")</f>
        <v/>
      </c>
      <c r="Z3239" s="10">
        <f>IF(A3239="C",LEFT(UPPER(E3239)&amp;REPT(" ",15),15)," ")</f>
        <v/>
      </c>
      <c r="AA3239" s="10">
        <f>REPT(" ",8)</f>
        <v/>
      </c>
      <c r="AB3239" s="10">
        <f>REPT(" ",4)</f>
        <v/>
      </c>
      <c r="AC3239" s="10">
        <f>LEFT(UPPER(H3239)&amp;REPT(" ",250),250)</f>
        <v/>
      </c>
      <c r="AD3239" s="10">
        <f>TEXT($G$2,"dd/mm/aaaa")</f>
        <v/>
      </c>
      <c r="AE3239" s="10">
        <f>REPT(" ",10)</f>
        <v/>
      </c>
      <c r="AF3239" s="10">
        <f>REPT(" ",20)</f>
        <v/>
      </c>
      <c r="AG3239" s="54">
        <f>REPT(" ",18-LEN(FIXED(F3239,2,TRUE)))&amp;FIXED(F3239,2,TRUE)</f>
        <v/>
      </c>
      <c r="AH3239" s="10">
        <f>LEN(AC3239)+LEN(AG3239)</f>
        <v/>
      </c>
      <c r="AI3239" s="10">
        <f>LEN(L3239)</f>
        <v/>
      </c>
    </row>
    <row r="3240">
      <c r="J3240" s="12">
        <f>IF(F3240&lt;&gt;0,"LANÇAR","")</f>
        <v/>
      </c>
      <c r="L3240" s="13">
        <f>N3240&amp;O3240&amp;P3240&amp;Q3240&amp;R3240&amp;S3240&amp;T3240&amp;U3240&amp;V3240&amp;W3240&amp;X3240&amp;Y3240&amp;Z3240&amp;AA3240&amp;AB3240&amp;AC3240&amp;AD3240&amp;AE3240&amp;AF3240&amp;AG3240</f>
        <v/>
      </c>
      <c r="N3240" s="10">
        <f>TEXT($B$6,"00")</f>
        <v/>
      </c>
      <c r="O3240" s="10">
        <f>REPT(" ",8)</f>
        <v/>
      </c>
      <c r="P3240" s="10">
        <f>RIGHT($B$4,2)</f>
        <v/>
      </c>
      <c r="Q3240" s="10">
        <f>RIGHT($B$5,3)</f>
        <v/>
      </c>
      <c r="R3240" s="10">
        <f>IF(A3240="D",LEFT(UPPER(B3240)&amp;REPT(" ",20),20),REPT(" ",20))</f>
        <v/>
      </c>
      <c r="S3240" s="10">
        <f>IF(A3240="D",LEFT(UPPER(C3240)&amp;REPT(" ",10),10)," ")</f>
        <v/>
      </c>
      <c r="T3240" s="10">
        <f>IF(A3240="D",LEFT(UPPER(D3240)&amp;REPT(" ",2),2)," ")</f>
        <v/>
      </c>
      <c r="U3240" s="10">
        <f>IF(A3240="D",LEFT(UPPER(E3240)&amp;REPT(" ",15),15)," ")</f>
        <v/>
      </c>
      <c r="V3240" s="10">
        <f>REPT(" ",24)</f>
        <v/>
      </c>
      <c r="W3240" s="10">
        <f>IF(A3240="c",LEFT(UPPER(B3240)&amp;REPT(" ",20),20),REPT(" ",20))</f>
        <v/>
      </c>
      <c r="X3240" s="10">
        <f>IF(A3240="C",LEFT(UPPER(C3240)&amp;REPT(" ",10),10)," ")</f>
        <v/>
      </c>
      <c r="Y3240" s="10">
        <f>IF(A3240="C",LEFT(UPPER(D3240)&amp;REPT(" ",2),2)," ")</f>
        <v/>
      </c>
      <c r="Z3240" s="10">
        <f>IF(A3240="C",LEFT(UPPER(E3240)&amp;REPT(" ",15),15)," ")</f>
        <v/>
      </c>
      <c r="AA3240" s="10">
        <f>REPT(" ",8)</f>
        <v/>
      </c>
      <c r="AB3240" s="10">
        <f>REPT(" ",4)</f>
        <v/>
      </c>
      <c r="AC3240" s="10">
        <f>LEFT(UPPER(H3240)&amp;REPT(" ",250),250)</f>
        <v/>
      </c>
      <c r="AD3240" s="10">
        <f>TEXT($G$2,"dd/mm/aaaa")</f>
        <v/>
      </c>
      <c r="AE3240" s="10">
        <f>REPT(" ",10)</f>
        <v/>
      </c>
      <c r="AF3240" s="10">
        <f>REPT(" ",20)</f>
        <v/>
      </c>
      <c r="AG3240" s="54">
        <f>REPT(" ",18-LEN(FIXED(F3240,2,TRUE)))&amp;FIXED(F3240,2,TRUE)</f>
        <v/>
      </c>
      <c r="AH3240" s="10">
        <f>LEN(AC3240)+LEN(AG3240)</f>
        <v/>
      </c>
      <c r="AI3240" s="10">
        <f>LEN(L3240)</f>
        <v/>
      </c>
    </row>
    <row r="3241">
      <c r="J3241" s="12">
        <f>IF(F3241&lt;&gt;0,"LANÇAR","")</f>
        <v/>
      </c>
      <c r="L3241" s="13">
        <f>N3241&amp;O3241&amp;P3241&amp;Q3241&amp;R3241&amp;S3241&amp;T3241&amp;U3241&amp;V3241&amp;W3241&amp;X3241&amp;Y3241&amp;Z3241&amp;AA3241&amp;AB3241&amp;AC3241&amp;AD3241&amp;AE3241&amp;AF3241&amp;AG3241</f>
        <v/>
      </c>
      <c r="N3241" s="10">
        <f>TEXT($B$6,"00")</f>
        <v/>
      </c>
      <c r="O3241" s="10">
        <f>REPT(" ",8)</f>
        <v/>
      </c>
      <c r="P3241" s="10">
        <f>RIGHT($B$4,2)</f>
        <v/>
      </c>
      <c r="Q3241" s="10">
        <f>RIGHT($B$5,3)</f>
        <v/>
      </c>
      <c r="R3241" s="10">
        <f>IF(A3241="D",LEFT(UPPER(B3241)&amp;REPT(" ",20),20),REPT(" ",20))</f>
        <v/>
      </c>
      <c r="S3241" s="10">
        <f>IF(A3241="D",LEFT(UPPER(C3241)&amp;REPT(" ",10),10)," ")</f>
        <v/>
      </c>
      <c r="T3241" s="10">
        <f>IF(A3241="D",LEFT(UPPER(D3241)&amp;REPT(" ",2),2)," ")</f>
        <v/>
      </c>
      <c r="U3241" s="10">
        <f>IF(A3241="D",LEFT(UPPER(E3241)&amp;REPT(" ",15),15)," ")</f>
        <v/>
      </c>
      <c r="V3241" s="10">
        <f>REPT(" ",24)</f>
        <v/>
      </c>
      <c r="W3241" s="10">
        <f>IF(A3241="c",LEFT(UPPER(B3241)&amp;REPT(" ",20),20),REPT(" ",20))</f>
        <v/>
      </c>
      <c r="X3241" s="10">
        <f>IF(A3241="C",LEFT(UPPER(C3241)&amp;REPT(" ",10),10)," ")</f>
        <v/>
      </c>
      <c r="Y3241" s="10">
        <f>IF(A3241="C",LEFT(UPPER(D3241)&amp;REPT(" ",2),2)," ")</f>
        <v/>
      </c>
      <c r="Z3241" s="10">
        <f>IF(A3241="C",LEFT(UPPER(E3241)&amp;REPT(" ",15),15)," ")</f>
        <v/>
      </c>
      <c r="AA3241" s="10">
        <f>REPT(" ",8)</f>
        <v/>
      </c>
      <c r="AB3241" s="10">
        <f>REPT(" ",4)</f>
        <v/>
      </c>
      <c r="AC3241" s="10">
        <f>LEFT(UPPER(H3241)&amp;REPT(" ",250),250)</f>
        <v/>
      </c>
      <c r="AD3241" s="10">
        <f>TEXT($G$2,"dd/mm/aaaa")</f>
        <v/>
      </c>
      <c r="AE3241" s="10">
        <f>REPT(" ",10)</f>
        <v/>
      </c>
      <c r="AF3241" s="10">
        <f>REPT(" ",20)</f>
        <v/>
      </c>
      <c r="AG3241" s="54">
        <f>REPT(" ",18-LEN(FIXED(F3241,2,TRUE)))&amp;FIXED(F3241,2,TRUE)</f>
        <v/>
      </c>
      <c r="AH3241" s="10">
        <f>LEN(AC3241)+LEN(AG3241)</f>
        <v/>
      </c>
      <c r="AI3241" s="10">
        <f>LEN(L3241)</f>
        <v/>
      </c>
    </row>
    <row r="3242">
      <c r="J3242" s="12">
        <f>IF(F3242&lt;&gt;0,"LANÇAR","")</f>
        <v/>
      </c>
      <c r="L3242" s="13">
        <f>N3242&amp;O3242&amp;P3242&amp;Q3242&amp;R3242&amp;S3242&amp;T3242&amp;U3242&amp;V3242&amp;W3242&amp;X3242&amp;Y3242&amp;Z3242&amp;AA3242&amp;AB3242&amp;AC3242&amp;AD3242&amp;AE3242&amp;AF3242&amp;AG3242</f>
        <v/>
      </c>
      <c r="N3242" s="10">
        <f>TEXT($B$6,"00")</f>
        <v/>
      </c>
      <c r="O3242" s="10">
        <f>REPT(" ",8)</f>
        <v/>
      </c>
      <c r="P3242" s="10">
        <f>RIGHT($B$4,2)</f>
        <v/>
      </c>
      <c r="Q3242" s="10">
        <f>RIGHT($B$5,3)</f>
        <v/>
      </c>
      <c r="R3242" s="10">
        <f>IF(A3242="D",LEFT(UPPER(B3242)&amp;REPT(" ",20),20),REPT(" ",20))</f>
        <v/>
      </c>
      <c r="S3242" s="10">
        <f>IF(A3242="D",LEFT(UPPER(C3242)&amp;REPT(" ",10),10)," ")</f>
        <v/>
      </c>
      <c r="T3242" s="10">
        <f>IF(A3242="D",LEFT(UPPER(D3242)&amp;REPT(" ",2),2)," ")</f>
        <v/>
      </c>
      <c r="U3242" s="10">
        <f>IF(A3242="D",LEFT(UPPER(E3242)&amp;REPT(" ",15),15)," ")</f>
        <v/>
      </c>
      <c r="V3242" s="10">
        <f>REPT(" ",24)</f>
        <v/>
      </c>
      <c r="W3242" s="10">
        <f>IF(A3242="c",LEFT(UPPER(B3242)&amp;REPT(" ",20),20),REPT(" ",20))</f>
        <v/>
      </c>
      <c r="X3242" s="10">
        <f>IF(A3242="C",LEFT(UPPER(C3242)&amp;REPT(" ",10),10)," ")</f>
        <v/>
      </c>
      <c r="Y3242" s="10">
        <f>IF(A3242="C",LEFT(UPPER(D3242)&amp;REPT(" ",2),2)," ")</f>
        <v/>
      </c>
      <c r="Z3242" s="10">
        <f>IF(A3242="C",LEFT(UPPER(E3242)&amp;REPT(" ",15),15)," ")</f>
        <v/>
      </c>
      <c r="AA3242" s="10">
        <f>REPT(" ",8)</f>
        <v/>
      </c>
      <c r="AB3242" s="10">
        <f>REPT(" ",4)</f>
        <v/>
      </c>
      <c r="AC3242" s="10">
        <f>LEFT(UPPER(H3242)&amp;REPT(" ",250),250)</f>
        <v/>
      </c>
      <c r="AD3242" s="10">
        <f>TEXT($G$2,"dd/mm/aaaa")</f>
        <v/>
      </c>
      <c r="AE3242" s="10">
        <f>REPT(" ",10)</f>
        <v/>
      </c>
      <c r="AF3242" s="10">
        <f>REPT(" ",20)</f>
        <v/>
      </c>
      <c r="AG3242" s="54">
        <f>REPT(" ",18-LEN(FIXED(F3242,2,TRUE)))&amp;FIXED(F3242,2,TRUE)</f>
        <v/>
      </c>
      <c r="AH3242" s="10">
        <f>LEN(AC3242)+LEN(AG3242)</f>
        <v/>
      </c>
      <c r="AI3242" s="10">
        <f>LEN(L3242)</f>
        <v/>
      </c>
    </row>
    <row r="3243">
      <c r="J3243" s="12">
        <f>IF(F3243&lt;&gt;0,"LANÇAR","")</f>
        <v/>
      </c>
      <c r="L3243" s="13">
        <f>N3243&amp;O3243&amp;P3243&amp;Q3243&amp;R3243&amp;S3243&amp;T3243&amp;U3243&amp;V3243&amp;W3243&amp;X3243&amp;Y3243&amp;Z3243&amp;AA3243&amp;AB3243&amp;AC3243&amp;AD3243&amp;AE3243&amp;AF3243&amp;AG3243</f>
        <v/>
      </c>
      <c r="N3243" s="10">
        <f>TEXT($B$6,"00")</f>
        <v/>
      </c>
      <c r="O3243" s="10">
        <f>REPT(" ",8)</f>
        <v/>
      </c>
      <c r="P3243" s="10">
        <f>RIGHT($B$4,2)</f>
        <v/>
      </c>
      <c r="Q3243" s="10">
        <f>RIGHT($B$5,3)</f>
        <v/>
      </c>
      <c r="R3243" s="10">
        <f>IF(A3243="D",LEFT(UPPER(B3243)&amp;REPT(" ",20),20),REPT(" ",20))</f>
        <v/>
      </c>
      <c r="S3243" s="10">
        <f>IF(A3243="D",LEFT(UPPER(C3243)&amp;REPT(" ",10),10)," ")</f>
        <v/>
      </c>
      <c r="T3243" s="10">
        <f>IF(A3243="D",LEFT(UPPER(D3243)&amp;REPT(" ",2),2)," ")</f>
        <v/>
      </c>
      <c r="U3243" s="10">
        <f>IF(A3243="D",LEFT(UPPER(E3243)&amp;REPT(" ",15),15)," ")</f>
        <v/>
      </c>
      <c r="V3243" s="10">
        <f>REPT(" ",24)</f>
        <v/>
      </c>
      <c r="W3243" s="10">
        <f>IF(A3243="c",LEFT(UPPER(B3243)&amp;REPT(" ",20),20),REPT(" ",20))</f>
        <v/>
      </c>
      <c r="X3243" s="10">
        <f>IF(A3243="C",LEFT(UPPER(C3243)&amp;REPT(" ",10),10)," ")</f>
        <v/>
      </c>
      <c r="Y3243" s="10">
        <f>IF(A3243="C",LEFT(UPPER(D3243)&amp;REPT(" ",2),2)," ")</f>
        <v/>
      </c>
      <c r="Z3243" s="10">
        <f>IF(A3243="C",LEFT(UPPER(E3243)&amp;REPT(" ",15),15)," ")</f>
        <v/>
      </c>
      <c r="AA3243" s="10">
        <f>REPT(" ",8)</f>
        <v/>
      </c>
      <c r="AB3243" s="10">
        <f>REPT(" ",4)</f>
        <v/>
      </c>
      <c r="AC3243" s="10">
        <f>LEFT(UPPER(H3243)&amp;REPT(" ",250),250)</f>
        <v/>
      </c>
      <c r="AD3243" s="10">
        <f>TEXT($G$2,"dd/mm/aaaa")</f>
        <v/>
      </c>
      <c r="AE3243" s="10">
        <f>REPT(" ",10)</f>
        <v/>
      </c>
      <c r="AF3243" s="10">
        <f>REPT(" ",20)</f>
        <v/>
      </c>
      <c r="AG3243" s="54">
        <f>REPT(" ",18-LEN(FIXED(F3243,2,TRUE)))&amp;FIXED(F3243,2,TRUE)</f>
        <v/>
      </c>
      <c r="AH3243" s="10">
        <f>LEN(AC3243)+LEN(AG3243)</f>
        <v/>
      </c>
      <c r="AI3243" s="10">
        <f>LEN(L3243)</f>
        <v/>
      </c>
    </row>
    <row r="3244">
      <c r="J3244" s="12">
        <f>IF(F3244&lt;&gt;0,"LANÇAR","")</f>
        <v/>
      </c>
      <c r="L3244" s="13">
        <f>N3244&amp;O3244&amp;P3244&amp;Q3244&amp;R3244&amp;S3244&amp;T3244&amp;U3244&amp;V3244&amp;W3244&amp;X3244&amp;Y3244&amp;Z3244&amp;AA3244&amp;AB3244&amp;AC3244&amp;AD3244&amp;AE3244&amp;AF3244&amp;AG3244</f>
        <v/>
      </c>
      <c r="N3244" s="10">
        <f>TEXT($B$6,"00")</f>
        <v/>
      </c>
      <c r="O3244" s="10">
        <f>REPT(" ",8)</f>
        <v/>
      </c>
      <c r="P3244" s="10">
        <f>RIGHT($B$4,2)</f>
        <v/>
      </c>
      <c r="Q3244" s="10">
        <f>RIGHT($B$5,3)</f>
        <v/>
      </c>
      <c r="R3244" s="10">
        <f>IF(A3244="D",LEFT(UPPER(B3244)&amp;REPT(" ",20),20),REPT(" ",20))</f>
        <v/>
      </c>
      <c r="S3244" s="10">
        <f>IF(A3244="D",LEFT(UPPER(C3244)&amp;REPT(" ",10),10)," ")</f>
        <v/>
      </c>
      <c r="T3244" s="10">
        <f>IF(A3244="D",LEFT(UPPER(D3244)&amp;REPT(" ",2),2)," ")</f>
        <v/>
      </c>
      <c r="U3244" s="10">
        <f>IF(A3244="D",LEFT(UPPER(E3244)&amp;REPT(" ",15),15)," ")</f>
        <v/>
      </c>
      <c r="V3244" s="10">
        <f>REPT(" ",24)</f>
        <v/>
      </c>
      <c r="W3244" s="10">
        <f>IF(A3244="c",LEFT(UPPER(B3244)&amp;REPT(" ",20),20),REPT(" ",20))</f>
        <v/>
      </c>
      <c r="X3244" s="10">
        <f>IF(A3244="C",LEFT(UPPER(C3244)&amp;REPT(" ",10),10)," ")</f>
        <v/>
      </c>
      <c r="Y3244" s="10">
        <f>IF(A3244="C",LEFT(UPPER(D3244)&amp;REPT(" ",2),2)," ")</f>
        <v/>
      </c>
      <c r="Z3244" s="10">
        <f>IF(A3244="C",LEFT(UPPER(E3244)&amp;REPT(" ",15),15)," ")</f>
        <v/>
      </c>
      <c r="AA3244" s="10">
        <f>REPT(" ",8)</f>
        <v/>
      </c>
      <c r="AB3244" s="10">
        <f>REPT(" ",4)</f>
        <v/>
      </c>
      <c r="AC3244" s="10">
        <f>LEFT(UPPER(H3244)&amp;REPT(" ",250),250)</f>
        <v/>
      </c>
      <c r="AD3244" s="10">
        <f>TEXT($G$2,"dd/mm/aaaa")</f>
        <v/>
      </c>
      <c r="AE3244" s="10">
        <f>REPT(" ",10)</f>
        <v/>
      </c>
      <c r="AF3244" s="10">
        <f>REPT(" ",20)</f>
        <v/>
      </c>
      <c r="AG3244" s="54">
        <f>REPT(" ",18-LEN(FIXED(F3244,2,TRUE)))&amp;FIXED(F3244,2,TRUE)</f>
        <v/>
      </c>
      <c r="AH3244" s="10">
        <f>LEN(AC3244)+LEN(AG3244)</f>
        <v/>
      </c>
      <c r="AI3244" s="10">
        <f>LEN(L3244)</f>
        <v/>
      </c>
    </row>
    <row r="3245">
      <c r="J3245" s="12">
        <f>IF(F3245&lt;&gt;0,"LANÇAR","")</f>
        <v/>
      </c>
      <c r="L3245" s="13">
        <f>N3245&amp;O3245&amp;P3245&amp;Q3245&amp;R3245&amp;S3245&amp;T3245&amp;U3245&amp;V3245&amp;W3245&amp;X3245&amp;Y3245&amp;Z3245&amp;AA3245&amp;AB3245&amp;AC3245&amp;AD3245&amp;AE3245&amp;AF3245&amp;AG3245</f>
        <v/>
      </c>
      <c r="N3245" s="10">
        <f>TEXT($B$6,"00")</f>
        <v/>
      </c>
      <c r="O3245" s="10">
        <f>REPT(" ",8)</f>
        <v/>
      </c>
      <c r="P3245" s="10">
        <f>RIGHT($B$4,2)</f>
        <v/>
      </c>
      <c r="Q3245" s="10">
        <f>RIGHT($B$5,3)</f>
        <v/>
      </c>
      <c r="R3245" s="10">
        <f>IF(A3245="D",LEFT(UPPER(B3245)&amp;REPT(" ",20),20),REPT(" ",20))</f>
        <v/>
      </c>
      <c r="S3245" s="10">
        <f>IF(A3245="D",LEFT(UPPER(C3245)&amp;REPT(" ",10),10)," ")</f>
        <v/>
      </c>
      <c r="T3245" s="10">
        <f>IF(A3245="D",LEFT(UPPER(D3245)&amp;REPT(" ",2),2)," ")</f>
        <v/>
      </c>
      <c r="U3245" s="10">
        <f>IF(A3245="D",LEFT(UPPER(E3245)&amp;REPT(" ",15),15)," ")</f>
        <v/>
      </c>
      <c r="V3245" s="10">
        <f>REPT(" ",24)</f>
        <v/>
      </c>
      <c r="W3245" s="10">
        <f>IF(A3245="c",LEFT(UPPER(B3245)&amp;REPT(" ",20),20),REPT(" ",20))</f>
        <v/>
      </c>
      <c r="X3245" s="10">
        <f>IF(A3245="C",LEFT(UPPER(C3245)&amp;REPT(" ",10),10)," ")</f>
        <v/>
      </c>
      <c r="Y3245" s="10">
        <f>IF(A3245="C",LEFT(UPPER(D3245)&amp;REPT(" ",2),2)," ")</f>
        <v/>
      </c>
      <c r="Z3245" s="10">
        <f>IF(A3245="C",LEFT(UPPER(E3245)&amp;REPT(" ",15),15)," ")</f>
        <v/>
      </c>
      <c r="AA3245" s="10">
        <f>REPT(" ",8)</f>
        <v/>
      </c>
      <c r="AB3245" s="10">
        <f>REPT(" ",4)</f>
        <v/>
      </c>
      <c r="AC3245" s="10">
        <f>LEFT(UPPER(H3245)&amp;REPT(" ",250),250)</f>
        <v/>
      </c>
      <c r="AD3245" s="10">
        <f>TEXT($G$2,"dd/mm/aaaa")</f>
        <v/>
      </c>
      <c r="AE3245" s="10">
        <f>REPT(" ",10)</f>
        <v/>
      </c>
      <c r="AF3245" s="10">
        <f>REPT(" ",20)</f>
        <v/>
      </c>
      <c r="AG3245" s="54">
        <f>REPT(" ",18-LEN(FIXED(F3245,2,TRUE)))&amp;FIXED(F3245,2,TRUE)</f>
        <v/>
      </c>
      <c r="AH3245" s="10">
        <f>LEN(AC3245)+LEN(AG3245)</f>
        <v/>
      </c>
      <c r="AI3245" s="10">
        <f>LEN(L3245)</f>
        <v/>
      </c>
    </row>
    <row r="3246">
      <c r="J3246" s="12">
        <f>IF(F3246&lt;&gt;0,"LANÇAR","")</f>
        <v/>
      </c>
      <c r="L3246" s="13">
        <f>N3246&amp;O3246&amp;P3246&amp;Q3246&amp;R3246&amp;S3246&amp;T3246&amp;U3246&amp;V3246&amp;W3246&amp;X3246&amp;Y3246&amp;Z3246&amp;AA3246&amp;AB3246&amp;AC3246&amp;AD3246&amp;AE3246&amp;AF3246&amp;AG3246</f>
        <v/>
      </c>
      <c r="N3246" s="10">
        <f>TEXT($B$6,"00")</f>
        <v/>
      </c>
      <c r="O3246" s="10">
        <f>REPT(" ",8)</f>
        <v/>
      </c>
      <c r="P3246" s="10">
        <f>RIGHT($B$4,2)</f>
        <v/>
      </c>
      <c r="Q3246" s="10">
        <f>RIGHT($B$5,3)</f>
        <v/>
      </c>
      <c r="R3246" s="10">
        <f>IF(A3246="D",LEFT(UPPER(B3246)&amp;REPT(" ",20),20),REPT(" ",20))</f>
        <v/>
      </c>
      <c r="S3246" s="10">
        <f>IF(A3246="D",LEFT(UPPER(C3246)&amp;REPT(" ",10),10)," ")</f>
        <v/>
      </c>
      <c r="T3246" s="10">
        <f>IF(A3246="D",LEFT(UPPER(D3246)&amp;REPT(" ",2),2)," ")</f>
        <v/>
      </c>
      <c r="U3246" s="10">
        <f>IF(A3246="D",LEFT(UPPER(E3246)&amp;REPT(" ",15),15)," ")</f>
        <v/>
      </c>
      <c r="V3246" s="10">
        <f>REPT(" ",24)</f>
        <v/>
      </c>
      <c r="W3246" s="10">
        <f>IF(A3246="c",LEFT(UPPER(B3246)&amp;REPT(" ",20),20),REPT(" ",20))</f>
        <v/>
      </c>
      <c r="X3246" s="10">
        <f>IF(A3246="C",LEFT(UPPER(C3246)&amp;REPT(" ",10),10)," ")</f>
        <v/>
      </c>
      <c r="Y3246" s="10">
        <f>IF(A3246="C",LEFT(UPPER(D3246)&amp;REPT(" ",2),2)," ")</f>
        <v/>
      </c>
      <c r="Z3246" s="10">
        <f>IF(A3246="C",LEFT(UPPER(E3246)&amp;REPT(" ",15),15)," ")</f>
        <v/>
      </c>
      <c r="AA3246" s="10">
        <f>REPT(" ",8)</f>
        <v/>
      </c>
      <c r="AB3246" s="10">
        <f>REPT(" ",4)</f>
        <v/>
      </c>
      <c r="AC3246" s="10">
        <f>LEFT(UPPER(H3246)&amp;REPT(" ",250),250)</f>
        <v/>
      </c>
      <c r="AD3246" s="10">
        <f>TEXT($G$2,"dd/mm/aaaa")</f>
        <v/>
      </c>
      <c r="AE3246" s="10">
        <f>REPT(" ",10)</f>
        <v/>
      </c>
      <c r="AF3246" s="10">
        <f>REPT(" ",20)</f>
        <v/>
      </c>
      <c r="AG3246" s="54">
        <f>REPT(" ",18-LEN(FIXED(F3246,2,TRUE)))&amp;FIXED(F3246,2,TRUE)</f>
        <v/>
      </c>
      <c r="AH3246" s="10">
        <f>LEN(AC3246)+LEN(AG3246)</f>
        <v/>
      </c>
      <c r="AI3246" s="10">
        <f>LEN(L3246)</f>
        <v/>
      </c>
    </row>
    <row r="3247">
      <c r="J3247" s="12">
        <f>IF(F3247&lt;&gt;0,"LANÇAR","")</f>
        <v/>
      </c>
      <c r="L3247" s="13">
        <f>N3247&amp;O3247&amp;P3247&amp;Q3247&amp;R3247&amp;S3247&amp;T3247&amp;U3247&amp;V3247&amp;W3247&amp;X3247&amp;Y3247&amp;Z3247&amp;AA3247&amp;AB3247&amp;AC3247&amp;AD3247&amp;AE3247&amp;AF3247&amp;AG3247</f>
        <v/>
      </c>
      <c r="N3247" s="10">
        <f>TEXT($B$6,"00")</f>
        <v/>
      </c>
      <c r="O3247" s="10">
        <f>REPT(" ",8)</f>
        <v/>
      </c>
      <c r="P3247" s="10">
        <f>RIGHT($B$4,2)</f>
        <v/>
      </c>
      <c r="Q3247" s="10">
        <f>RIGHT($B$5,3)</f>
        <v/>
      </c>
      <c r="R3247" s="10">
        <f>IF(A3247="D",LEFT(UPPER(B3247)&amp;REPT(" ",20),20),REPT(" ",20))</f>
        <v/>
      </c>
      <c r="S3247" s="10">
        <f>IF(A3247="D",LEFT(UPPER(C3247)&amp;REPT(" ",10),10)," ")</f>
        <v/>
      </c>
      <c r="T3247" s="10">
        <f>IF(A3247="D",LEFT(UPPER(D3247)&amp;REPT(" ",2),2)," ")</f>
        <v/>
      </c>
      <c r="U3247" s="10">
        <f>IF(A3247="D",LEFT(UPPER(E3247)&amp;REPT(" ",15),15)," ")</f>
        <v/>
      </c>
      <c r="V3247" s="10">
        <f>REPT(" ",24)</f>
        <v/>
      </c>
      <c r="W3247" s="10">
        <f>IF(A3247="c",LEFT(UPPER(B3247)&amp;REPT(" ",20),20),REPT(" ",20))</f>
        <v/>
      </c>
      <c r="X3247" s="10">
        <f>IF(A3247="C",LEFT(UPPER(C3247)&amp;REPT(" ",10),10)," ")</f>
        <v/>
      </c>
      <c r="Y3247" s="10">
        <f>IF(A3247="C",LEFT(UPPER(D3247)&amp;REPT(" ",2),2)," ")</f>
        <v/>
      </c>
      <c r="Z3247" s="10">
        <f>IF(A3247="C",LEFT(UPPER(E3247)&amp;REPT(" ",15),15)," ")</f>
        <v/>
      </c>
      <c r="AA3247" s="10">
        <f>REPT(" ",8)</f>
        <v/>
      </c>
      <c r="AB3247" s="10">
        <f>REPT(" ",4)</f>
        <v/>
      </c>
      <c r="AC3247" s="10">
        <f>LEFT(UPPER(H3247)&amp;REPT(" ",250),250)</f>
        <v/>
      </c>
      <c r="AD3247" s="10">
        <f>TEXT($G$2,"dd/mm/aaaa")</f>
        <v/>
      </c>
      <c r="AE3247" s="10">
        <f>REPT(" ",10)</f>
        <v/>
      </c>
      <c r="AF3247" s="10">
        <f>REPT(" ",20)</f>
        <v/>
      </c>
      <c r="AG3247" s="54">
        <f>REPT(" ",18-LEN(FIXED(F3247,2,TRUE)))&amp;FIXED(F3247,2,TRUE)</f>
        <v/>
      </c>
      <c r="AH3247" s="10">
        <f>LEN(AC3247)+LEN(AG3247)</f>
        <v/>
      </c>
      <c r="AI3247" s="10">
        <f>LEN(L3247)</f>
        <v/>
      </c>
    </row>
    <row r="3248">
      <c r="J3248" s="12">
        <f>IF(F3248&lt;&gt;0,"LANÇAR","")</f>
        <v/>
      </c>
      <c r="L3248" s="13">
        <f>N3248&amp;O3248&amp;P3248&amp;Q3248&amp;R3248&amp;S3248&amp;T3248&amp;U3248&amp;V3248&amp;W3248&amp;X3248&amp;Y3248&amp;Z3248&amp;AA3248&amp;AB3248&amp;AC3248&amp;AD3248&amp;AE3248&amp;AF3248&amp;AG3248</f>
        <v/>
      </c>
      <c r="N3248" s="10">
        <f>TEXT($B$6,"00")</f>
        <v/>
      </c>
      <c r="O3248" s="10">
        <f>REPT(" ",8)</f>
        <v/>
      </c>
      <c r="P3248" s="10">
        <f>RIGHT($B$4,2)</f>
        <v/>
      </c>
      <c r="Q3248" s="10">
        <f>RIGHT($B$5,3)</f>
        <v/>
      </c>
      <c r="R3248" s="10">
        <f>IF(A3248="D",LEFT(UPPER(B3248)&amp;REPT(" ",20),20),REPT(" ",20))</f>
        <v/>
      </c>
      <c r="S3248" s="10">
        <f>IF(A3248="D",LEFT(UPPER(C3248)&amp;REPT(" ",10),10)," ")</f>
        <v/>
      </c>
      <c r="T3248" s="10">
        <f>IF(A3248="D",LEFT(UPPER(D3248)&amp;REPT(" ",2),2)," ")</f>
        <v/>
      </c>
      <c r="U3248" s="10">
        <f>IF(A3248="D",LEFT(UPPER(E3248)&amp;REPT(" ",15),15)," ")</f>
        <v/>
      </c>
      <c r="V3248" s="10">
        <f>REPT(" ",24)</f>
        <v/>
      </c>
      <c r="W3248" s="10">
        <f>IF(A3248="c",LEFT(UPPER(B3248)&amp;REPT(" ",20),20),REPT(" ",20))</f>
        <v/>
      </c>
      <c r="X3248" s="10">
        <f>IF(A3248="C",LEFT(UPPER(C3248)&amp;REPT(" ",10),10)," ")</f>
        <v/>
      </c>
      <c r="Y3248" s="10">
        <f>IF(A3248="C",LEFT(UPPER(D3248)&amp;REPT(" ",2),2)," ")</f>
        <v/>
      </c>
      <c r="Z3248" s="10">
        <f>IF(A3248="C",LEFT(UPPER(E3248)&amp;REPT(" ",15),15)," ")</f>
        <v/>
      </c>
      <c r="AA3248" s="10">
        <f>REPT(" ",8)</f>
        <v/>
      </c>
      <c r="AB3248" s="10">
        <f>REPT(" ",4)</f>
        <v/>
      </c>
      <c r="AC3248" s="10">
        <f>LEFT(UPPER(H3248)&amp;REPT(" ",250),250)</f>
        <v/>
      </c>
      <c r="AD3248" s="10">
        <f>TEXT($G$2,"dd/mm/aaaa")</f>
        <v/>
      </c>
      <c r="AE3248" s="10">
        <f>REPT(" ",10)</f>
        <v/>
      </c>
      <c r="AF3248" s="10">
        <f>REPT(" ",20)</f>
        <v/>
      </c>
      <c r="AG3248" s="54">
        <f>REPT(" ",18-LEN(FIXED(F3248,2,TRUE)))&amp;FIXED(F3248,2,TRUE)</f>
        <v/>
      </c>
      <c r="AH3248" s="10">
        <f>LEN(AC3248)+LEN(AG3248)</f>
        <v/>
      </c>
      <c r="AI3248" s="10">
        <f>LEN(L3248)</f>
        <v/>
      </c>
    </row>
    <row r="3249">
      <c r="J3249" s="12">
        <f>IF(F3249&lt;&gt;0,"LANÇAR","")</f>
        <v/>
      </c>
      <c r="L3249" s="13">
        <f>N3249&amp;O3249&amp;P3249&amp;Q3249&amp;R3249&amp;S3249&amp;T3249&amp;U3249&amp;V3249&amp;W3249&amp;X3249&amp;Y3249&amp;Z3249&amp;AA3249&amp;AB3249&amp;AC3249&amp;AD3249&amp;AE3249&amp;AF3249&amp;AG3249</f>
        <v/>
      </c>
      <c r="N3249" s="10">
        <f>TEXT($B$6,"00")</f>
        <v/>
      </c>
      <c r="O3249" s="10">
        <f>REPT(" ",8)</f>
        <v/>
      </c>
      <c r="P3249" s="10">
        <f>RIGHT($B$4,2)</f>
        <v/>
      </c>
      <c r="Q3249" s="10">
        <f>RIGHT($B$5,3)</f>
        <v/>
      </c>
      <c r="R3249" s="10">
        <f>IF(A3249="D",LEFT(UPPER(B3249)&amp;REPT(" ",20),20),REPT(" ",20))</f>
        <v/>
      </c>
      <c r="S3249" s="10">
        <f>IF(A3249="D",LEFT(UPPER(C3249)&amp;REPT(" ",10),10)," ")</f>
        <v/>
      </c>
      <c r="T3249" s="10">
        <f>IF(A3249="D",LEFT(UPPER(D3249)&amp;REPT(" ",2),2)," ")</f>
        <v/>
      </c>
      <c r="U3249" s="10">
        <f>IF(A3249="D",LEFT(UPPER(E3249)&amp;REPT(" ",15),15)," ")</f>
        <v/>
      </c>
      <c r="V3249" s="10">
        <f>REPT(" ",24)</f>
        <v/>
      </c>
      <c r="W3249" s="10">
        <f>IF(A3249="c",LEFT(UPPER(B3249)&amp;REPT(" ",20),20),REPT(" ",20))</f>
        <v/>
      </c>
      <c r="X3249" s="10">
        <f>IF(A3249="C",LEFT(UPPER(C3249)&amp;REPT(" ",10),10)," ")</f>
        <v/>
      </c>
      <c r="Y3249" s="10">
        <f>IF(A3249="C",LEFT(UPPER(D3249)&amp;REPT(" ",2),2)," ")</f>
        <v/>
      </c>
      <c r="Z3249" s="10">
        <f>IF(A3249="C",LEFT(UPPER(E3249)&amp;REPT(" ",15),15)," ")</f>
        <v/>
      </c>
      <c r="AA3249" s="10">
        <f>REPT(" ",8)</f>
        <v/>
      </c>
      <c r="AB3249" s="10">
        <f>REPT(" ",4)</f>
        <v/>
      </c>
      <c r="AC3249" s="10">
        <f>LEFT(UPPER(H3249)&amp;REPT(" ",250),250)</f>
        <v/>
      </c>
      <c r="AD3249" s="10">
        <f>TEXT($G$2,"dd/mm/aaaa")</f>
        <v/>
      </c>
      <c r="AE3249" s="10">
        <f>REPT(" ",10)</f>
        <v/>
      </c>
      <c r="AF3249" s="10">
        <f>REPT(" ",20)</f>
        <v/>
      </c>
      <c r="AG3249" s="54">
        <f>REPT(" ",18-LEN(FIXED(F3249,2,TRUE)))&amp;FIXED(F3249,2,TRUE)</f>
        <v/>
      </c>
      <c r="AH3249" s="10">
        <f>LEN(AC3249)+LEN(AG3249)</f>
        <v/>
      </c>
      <c r="AI3249" s="10">
        <f>LEN(L3249)</f>
        <v/>
      </c>
    </row>
    <row r="3250">
      <c r="J3250" s="12">
        <f>IF(F3250&lt;&gt;0,"LANÇAR","")</f>
        <v/>
      </c>
      <c r="L3250" s="13">
        <f>N3250&amp;O3250&amp;P3250&amp;Q3250&amp;R3250&amp;S3250&amp;T3250&amp;U3250&amp;V3250&amp;W3250&amp;X3250&amp;Y3250&amp;Z3250&amp;AA3250&amp;AB3250&amp;AC3250&amp;AD3250&amp;AE3250&amp;AF3250&amp;AG3250</f>
        <v/>
      </c>
      <c r="N3250" s="10">
        <f>TEXT($B$6,"00")</f>
        <v/>
      </c>
      <c r="O3250" s="10">
        <f>REPT(" ",8)</f>
        <v/>
      </c>
      <c r="P3250" s="10">
        <f>RIGHT($B$4,2)</f>
        <v/>
      </c>
      <c r="Q3250" s="10">
        <f>RIGHT($B$5,3)</f>
        <v/>
      </c>
      <c r="R3250" s="10">
        <f>IF(A3250="D",LEFT(UPPER(B3250)&amp;REPT(" ",20),20),REPT(" ",20))</f>
        <v/>
      </c>
      <c r="S3250" s="10">
        <f>IF(A3250="D",LEFT(UPPER(C3250)&amp;REPT(" ",10),10)," ")</f>
        <v/>
      </c>
      <c r="T3250" s="10">
        <f>IF(A3250="D",LEFT(UPPER(D3250)&amp;REPT(" ",2),2)," ")</f>
        <v/>
      </c>
      <c r="U3250" s="10">
        <f>IF(A3250="D",LEFT(UPPER(E3250)&amp;REPT(" ",15),15)," ")</f>
        <v/>
      </c>
      <c r="V3250" s="10">
        <f>REPT(" ",24)</f>
        <v/>
      </c>
      <c r="W3250" s="10">
        <f>IF(A3250="c",LEFT(UPPER(B3250)&amp;REPT(" ",20),20),REPT(" ",20))</f>
        <v/>
      </c>
      <c r="X3250" s="10">
        <f>IF(A3250="C",LEFT(UPPER(C3250)&amp;REPT(" ",10),10)," ")</f>
        <v/>
      </c>
      <c r="Y3250" s="10">
        <f>IF(A3250="C",LEFT(UPPER(D3250)&amp;REPT(" ",2),2)," ")</f>
        <v/>
      </c>
      <c r="Z3250" s="10">
        <f>IF(A3250="C",LEFT(UPPER(E3250)&amp;REPT(" ",15),15)," ")</f>
        <v/>
      </c>
      <c r="AA3250" s="10">
        <f>REPT(" ",8)</f>
        <v/>
      </c>
      <c r="AB3250" s="10">
        <f>REPT(" ",4)</f>
        <v/>
      </c>
      <c r="AC3250" s="10">
        <f>LEFT(UPPER(H3250)&amp;REPT(" ",250),250)</f>
        <v/>
      </c>
      <c r="AD3250" s="10">
        <f>TEXT($G$2,"dd/mm/aaaa")</f>
        <v/>
      </c>
      <c r="AE3250" s="10">
        <f>REPT(" ",10)</f>
        <v/>
      </c>
      <c r="AF3250" s="10">
        <f>REPT(" ",20)</f>
        <v/>
      </c>
      <c r="AG3250" s="54">
        <f>REPT(" ",18-LEN(FIXED(F3250,2,TRUE)))&amp;FIXED(F3250,2,TRUE)</f>
        <v/>
      </c>
      <c r="AH3250" s="10">
        <f>LEN(AC3250)+LEN(AG3250)</f>
        <v/>
      </c>
      <c r="AI3250" s="10">
        <f>LEN(L3250)</f>
        <v/>
      </c>
    </row>
    <row r="3251">
      <c r="J3251" s="12">
        <f>IF(F3251&lt;&gt;0,"LANÇAR","")</f>
        <v/>
      </c>
      <c r="L3251" s="13">
        <f>N3251&amp;O3251&amp;P3251&amp;Q3251&amp;R3251&amp;S3251&amp;T3251&amp;U3251&amp;V3251&amp;W3251&amp;X3251&amp;Y3251&amp;Z3251&amp;AA3251&amp;AB3251&amp;AC3251&amp;AD3251&amp;AE3251&amp;AF3251&amp;AG3251</f>
        <v/>
      </c>
      <c r="N3251" s="10">
        <f>TEXT($B$6,"00")</f>
        <v/>
      </c>
      <c r="O3251" s="10">
        <f>REPT(" ",8)</f>
        <v/>
      </c>
      <c r="P3251" s="10">
        <f>RIGHT($B$4,2)</f>
        <v/>
      </c>
      <c r="Q3251" s="10">
        <f>RIGHT($B$5,3)</f>
        <v/>
      </c>
      <c r="R3251" s="10">
        <f>IF(A3251="D",LEFT(UPPER(B3251)&amp;REPT(" ",20),20),REPT(" ",20))</f>
        <v/>
      </c>
      <c r="S3251" s="10">
        <f>IF(A3251="D",LEFT(UPPER(C3251)&amp;REPT(" ",10),10)," ")</f>
        <v/>
      </c>
      <c r="T3251" s="10">
        <f>IF(A3251="D",LEFT(UPPER(D3251)&amp;REPT(" ",2),2)," ")</f>
        <v/>
      </c>
      <c r="U3251" s="10">
        <f>IF(A3251="D",LEFT(UPPER(E3251)&amp;REPT(" ",15),15)," ")</f>
        <v/>
      </c>
      <c r="V3251" s="10">
        <f>REPT(" ",24)</f>
        <v/>
      </c>
      <c r="W3251" s="10">
        <f>IF(A3251="c",LEFT(UPPER(B3251)&amp;REPT(" ",20),20),REPT(" ",20))</f>
        <v/>
      </c>
      <c r="X3251" s="10">
        <f>IF(A3251="C",LEFT(UPPER(C3251)&amp;REPT(" ",10),10)," ")</f>
        <v/>
      </c>
      <c r="Y3251" s="10">
        <f>IF(A3251="C",LEFT(UPPER(D3251)&amp;REPT(" ",2),2)," ")</f>
        <v/>
      </c>
      <c r="Z3251" s="10">
        <f>IF(A3251="C",LEFT(UPPER(E3251)&amp;REPT(" ",15),15)," ")</f>
        <v/>
      </c>
      <c r="AA3251" s="10">
        <f>REPT(" ",8)</f>
        <v/>
      </c>
      <c r="AB3251" s="10">
        <f>REPT(" ",4)</f>
        <v/>
      </c>
      <c r="AC3251" s="10">
        <f>LEFT(UPPER(H3251)&amp;REPT(" ",250),250)</f>
        <v/>
      </c>
      <c r="AD3251" s="10">
        <f>TEXT($G$2,"dd/mm/aaaa")</f>
        <v/>
      </c>
      <c r="AE3251" s="10">
        <f>REPT(" ",10)</f>
        <v/>
      </c>
      <c r="AF3251" s="10">
        <f>REPT(" ",20)</f>
        <v/>
      </c>
      <c r="AG3251" s="54">
        <f>REPT(" ",18-LEN(FIXED(F3251,2,TRUE)))&amp;FIXED(F3251,2,TRUE)</f>
        <v/>
      </c>
      <c r="AH3251" s="10">
        <f>LEN(AC3251)+LEN(AG3251)</f>
        <v/>
      </c>
      <c r="AI3251" s="10">
        <f>LEN(L3251)</f>
        <v/>
      </c>
    </row>
    <row r="3252">
      <c r="J3252" s="12">
        <f>IF(F3252&lt;&gt;0,"LANÇAR","")</f>
        <v/>
      </c>
      <c r="L3252" s="13">
        <f>N3252&amp;O3252&amp;P3252&amp;Q3252&amp;R3252&amp;S3252&amp;T3252&amp;U3252&amp;V3252&amp;W3252&amp;X3252&amp;Y3252&amp;Z3252&amp;AA3252&amp;AB3252&amp;AC3252&amp;AD3252&amp;AE3252&amp;AF3252&amp;AG3252</f>
        <v/>
      </c>
      <c r="N3252" s="10">
        <f>TEXT($B$6,"00")</f>
        <v/>
      </c>
      <c r="O3252" s="10">
        <f>REPT(" ",8)</f>
        <v/>
      </c>
      <c r="P3252" s="10">
        <f>RIGHT($B$4,2)</f>
        <v/>
      </c>
      <c r="Q3252" s="10">
        <f>RIGHT($B$5,3)</f>
        <v/>
      </c>
      <c r="R3252" s="10">
        <f>IF(A3252="D",LEFT(UPPER(B3252)&amp;REPT(" ",20),20),REPT(" ",20))</f>
        <v/>
      </c>
      <c r="S3252" s="10">
        <f>IF(A3252="D",LEFT(UPPER(C3252)&amp;REPT(" ",10),10)," ")</f>
        <v/>
      </c>
      <c r="T3252" s="10">
        <f>IF(A3252="D",LEFT(UPPER(D3252)&amp;REPT(" ",2),2)," ")</f>
        <v/>
      </c>
      <c r="U3252" s="10">
        <f>IF(A3252="D",LEFT(UPPER(E3252)&amp;REPT(" ",15),15)," ")</f>
        <v/>
      </c>
      <c r="V3252" s="10">
        <f>REPT(" ",24)</f>
        <v/>
      </c>
      <c r="W3252" s="10">
        <f>IF(A3252="c",LEFT(UPPER(B3252)&amp;REPT(" ",20),20),REPT(" ",20))</f>
        <v/>
      </c>
      <c r="X3252" s="10">
        <f>IF(A3252="C",LEFT(UPPER(C3252)&amp;REPT(" ",10),10)," ")</f>
        <v/>
      </c>
      <c r="Y3252" s="10">
        <f>IF(A3252="C",LEFT(UPPER(D3252)&amp;REPT(" ",2),2)," ")</f>
        <v/>
      </c>
      <c r="Z3252" s="10">
        <f>IF(A3252="C",LEFT(UPPER(E3252)&amp;REPT(" ",15),15)," ")</f>
        <v/>
      </c>
      <c r="AA3252" s="10">
        <f>REPT(" ",8)</f>
        <v/>
      </c>
      <c r="AB3252" s="10">
        <f>REPT(" ",4)</f>
        <v/>
      </c>
      <c r="AC3252" s="10">
        <f>LEFT(UPPER(H3252)&amp;REPT(" ",250),250)</f>
        <v/>
      </c>
      <c r="AD3252" s="10">
        <f>TEXT($G$2,"dd/mm/aaaa")</f>
        <v/>
      </c>
      <c r="AE3252" s="10">
        <f>REPT(" ",10)</f>
        <v/>
      </c>
      <c r="AF3252" s="10">
        <f>REPT(" ",20)</f>
        <v/>
      </c>
      <c r="AG3252" s="54">
        <f>REPT(" ",18-LEN(FIXED(F3252,2,TRUE)))&amp;FIXED(F3252,2,TRUE)</f>
        <v/>
      </c>
      <c r="AH3252" s="10">
        <f>LEN(AC3252)+LEN(AG3252)</f>
        <v/>
      </c>
      <c r="AI3252" s="10">
        <f>LEN(L3252)</f>
        <v/>
      </c>
    </row>
    <row r="3253">
      <c r="J3253" s="12">
        <f>IF(F3253&lt;&gt;0,"LANÇAR","")</f>
        <v/>
      </c>
      <c r="L3253" s="13">
        <f>N3253&amp;O3253&amp;P3253&amp;Q3253&amp;R3253&amp;S3253&amp;T3253&amp;U3253&amp;V3253&amp;W3253&amp;X3253&amp;Y3253&amp;Z3253&amp;AA3253&amp;AB3253&amp;AC3253&amp;AD3253&amp;AE3253&amp;AF3253&amp;AG3253</f>
        <v/>
      </c>
      <c r="N3253" s="10">
        <f>TEXT($B$6,"00")</f>
        <v/>
      </c>
      <c r="O3253" s="10">
        <f>REPT(" ",8)</f>
        <v/>
      </c>
      <c r="P3253" s="10">
        <f>RIGHT($B$4,2)</f>
        <v/>
      </c>
      <c r="Q3253" s="10">
        <f>RIGHT($B$5,3)</f>
        <v/>
      </c>
      <c r="R3253" s="10">
        <f>IF(A3253="D",LEFT(UPPER(B3253)&amp;REPT(" ",20),20),REPT(" ",20))</f>
        <v/>
      </c>
      <c r="S3253" s="10">
        <f>IF(A3253="D",LEFT(UPPER(C3253)&amp;REPT(" ",10),10)," ")</f>
        <v/>
      </c>
      <c r="T3253" s="10">
        <f>IF(A3253="D",LEFT(UPPER(D3253)&amp;REPT(" ",2),2)," ")</f>
        <v/>
      </c>
      <c r="U3253" s="10">
        <f>IF(A3253="D",LEFT(UPPER(E3253)&amp;REPT(" ",15),15)," ")</f>
        <v/>
      </c>
      <c r="V3253" s="10">
        <f>REPT(" ",24)</f>
        <v/>
      </c>
      <c r="W3253" s="10">
        <f>IF(A3253="c",LEFT(UPPER(B3253)&amp;REPT(" ",20),20),REPT(" ",20))</f>
        <v/>
      </c>
      <c r="X3253" s="10">
        <f>IF(A3253="C",LEFT(UPPER(C3253)&amp;REPT(" ",10),10)," ")</f>
        <v/>
      </c>
      <c r="Y3253" s="10">
        <f>IF(A3253="C",LEFT(UPPER(D3253)&amp;REPT(" ",2),2)," ")</f>
        <v/>
      </c>
      <c r="Z3253" s="10">
        <f>IF(A3253="C",LEFT(UPPER(E3253)&amp;REPT(" ",15),15)," ")</f>
        <v/>
      </c>
      <c r="AA3253" s="10">
        <f>REPT(" ",8)</f>
        <v/>
      </c>
      <c r="AB3253" s="10">
        <f>REPT(" ",4)</f>
        <v/>
      </c>
      <c r="AC3253" s="10">
        <f>LEFT(UPPER(H3253)&amp;REPT(" ",250),250)</f>
        <v/>
      </c>
      <c r="AD3253" s="10">
        <f>TEXT($G$2,"dd/mm/aaaa")</f>
        <v/>
      </c>
      <c r="AE3253" s="10">
        <f>REPT(" ",10)</f>
        <v/>
      </c>
      <c r="AF3253" s="10">
        <f>REPT(" ",20)</f>
        <v/>
      </c>
      <c r="AG3253" s="54">
        <f>REPT(" ",18-LEN(FIXED(F3253,2,TRUE)))&amp;FIXED(F3253,2,TRUE)</f>
        <v/>
      </c>
      <c r="AH3253" s="10">
        <f>LEN(AC3253)+LEN(AG3253)</f>
        <v/>
      </c>
      <c r="AI3253" s="10">
        <f>LEN(L3253)</f>
        <v/>
      </c>
    </row>
    <row r="3254">
      <c r="J3254" s="12">
        <f>IF(F3254&lt;&gt;0,"LANÇAR","")</f>
        <v/>
      </c>
      <c r="L3254" s="13">
        <f>N3254&amp;O3254&amp;P3254&amp;Q3254&amp;R3254&amp;S3254&amp;T3254&amp;U3254&amp;V3254&amp;W3254&amp;X3254&amp;Y3254&amp;Z3254&amp;AA3254&amp;AB3254&amp;AC3254&amp;AD3254&amp;AE3254&amp;AF3254&amp;AG3254</f>
        <v/>
      </c>
      <c r="N3254" s="10">
        <f>TEXT($B$6,"00")</f>
        <v/>
      </c>
      <c r="O3254" s="10">
        <f>REPT(" ",8)</f>
        <v/>
      </c>
      <c r="P3254" s="10">
        <f>RIGHT($B$4,2)</f>
        <v/>
      </c>
      <c r="Q3254" s="10">
        <f>RIGHT($B$5,3)</f>
        <v/>
      </c>
      <c r="R3254" s="10">
        <f>IF(A3254="D",LEFT(UPPER(B3254)&amp;REPT(" ",20),20),REPT(" ",20))</f>
        <v/>
      </c>
      <c r="S3254" s="10">
        <f>IF(A3254="D",LEFT(UPPER(C3254)&amp;REPT(" ",10),10)," ")</f>
        <v/>
      </c>
      <c r="T3254" s="10">
        <f>IF(A3254="D",LEFT(UPPER(D3254)&amp;REPT(" ",2),2)," ")</f>
        <v/>
      </c>
      <c r="U3254" s="10">
        <f>IF(A3254="D",LEFT(UPPER(E3254)&amp;REPT(" ",15),15)," ")</f>
        <v/>
      </c>
      <c r="V3254" s="10">
        <f>REPT(" ",24)</f>
        <v/>
      </c>
      <c r="W3254" s="10">
        <f>IF(A3254="c",LEFT(UPPER(B3254)&amp;REPT(" ",20),20),REPT(" ",20))</f>
        <v/>
      </c>
      <c r="X3254" s="10">
        <f>IF(A3254="C",LEFT(UPPER(C3254)&amp;REPT(" ",10),10)," ")</f>
        <v/>
      </c>
      <c r="Y3254" s="10">
        <f>IF(A3254="C",LEFT(UPPER(D3254)&amp;REPT(" ",2),2)," ")</f>
        <v/>
      </c>
      <c r="Z3254" s="10">
        <f>IF(A3254="C",LEFT(UPPER(E3254)&amp;REPT(" ",15),15)," ")</f>
        <v/>
      </c>
      <c r="AA3254" s="10">
        <f>REPT(" ",8)</f>
        <v/>
      </c>
      <c r="AB3254" s="10">
        <f>REPT(" ",4)</f>
        <v/>
      </c>
      <c r="AC3254" s="10">
        <f>LEFT(UPPER(H3254)&amp;REPT(" ",250),250)</f>
        <v/>
      </c>
      <c r="AD3254" s="10">
        <f>TEXT($G$2,"dd/mm/aaaa")</f>
        <v/>
      </c>
      <c r="AE3254" s="10">
        <f>REPT(" ",10)</f>
        <v/>
      </c>
      <c r="AF3254" s="10">
        <f>REPT(" ",20)</f>
        <v/>
      </c>
      <c r="AG3254" s="54">
        <f>REPT(" ",18-LEN(FIXED(F3254,2,TRUE)))&amp;FIXED(F3254,2,TRUE)</f>
        <v/>
      </c>
      <c r="AH3254" s="10">
        <f>LEN(AC3254)+LEN(AG3254)</f>
        <v/>
      </c>
      <c r="AI3254" s="10">
        <f>LEN(L3254)</f>
        <v/>
      </c>
    </row>
    <row r="3255">
      <c r="J3255" s="12">
        <f>IF(F3255&lt;&gt;0,"LANÇAR","")</f>
        <v/>
      </c>
      <c r="L3255" s="13">
        <f>N3255&amp;O3255&amp;P3255&amp;Q3255&amp;R3255&amp;S3255&amp;T3255&amp;U3255&amp;V3255&amp;W3255&amp;X3255&amp;Y3255&amp;Z3255&amp;AA3255&amp;AB3255&amp;AC3255&amp;AD3255&amp;AE3255&amp;AF3255&amp;AG3255</f>
        <v/>
      </c>
      <c r="N3255" s="10">
        <f>TEXT($B$6,"00")</f>
        <v/>
      </c>
      <c r="O3255" s="10">
        <f>REPT(" ",8)</f>
        <v/>
      </c>
      <c r="P3255" s="10">
        <f>RIGHT($B$4,2)</f>
        <v/>
      </c>
      <c r="Q3255" s="10">
        <f>RIGHT($B$5,3)</f>
        <v/>
      </c>
      <c r="R3255" s="10">
        <f>IF(A3255="D",LEFT(UPPER(B3255)&amp;REPT(" ",20),20),REPT(" ",20))</f>
        <v/>
      </c>
      <c r="S3255" s="10">
        <f>IF(A3255="D",LEFT(UPPER(C3255)&amp;REPT(" ",10),10)," ")</f>
        <v/>
      </c>
      <c r="T3255" s="10">
        <f>IF(A3255="D",LEFT(UPPER(D3255)&amp;REPT(" ",2),2)," ")</f>
        <v/>
      </c>
      <c r="U3255" s="10">
        <f>IF(A3255="D",LEFT(UPPER(E3255)&amp;REPT(" ",15),15)," ")</f>
        <v/>
      </c>
      <c r="V3255" s="10">
        <f>REPT(" ",24)</f>
        <v/>
      </c>
      <c r="W3255" s="10">
        <f>IF(A3255="c",LEFT(UPPER(B3255)&amp;REPT(" ",20),20),REPT(" ",20))</f>
        <v/>
      </c>
      <c r="X3255" s="10">
        <f>IF(A3255="C",LEFT(UPPER(C3255)&amp;REPT(" ",10),10)," ")</f>
        <v/>
      </c>
      <c r="Y3255" s="10">
        <f>IF(A3255="C",LEFT(UPPER(D3255)&amp;REPT(" ",2),2)," ")</f>
        <v/>
      </c>
      <c r="Z3255" s="10">
        <f>IF(A3255="C",LEFT(UPPER(E3255)&amp;REPT(" ",15),15)," ")</f>
        <v/>
      </c>
      <c r="AA3255" s="10">
        <f>REPT(" ",8)</f>
        <v/>
      </c>
      <c r="AB3255" s="10">
        <f>REPT(" ",4)</f>
        <v/>
      </c>
      <c r="AC3255" s="10">
        <f>LEFT(UPPER(H3255)&amp;REPT(" ",250),250)</f>
        <v/>
      </c>
      <c r="AD3255" s="10">
        <f>TEXT($G$2,"dd/mm/aaaa")</f>
        <v/>
      </c>
      <c r="AE3255" s="10">
        <f>REPT(" ",10)</f>
        <v/>
      </c>
      <c r="AF3255" s="10">
        <f>REPT(" ",20)</f>
        <v/>
      </c>
      <c r="AG3255" s="54">
        <f>REPT(" ",18-LEN(FIXED(F3255,2,TRUE)))&amp;FIXED(F3255,2,TRUE)</f>
        <v/>
      </c>
      <c r="AH3255" s="10">
        <f>LEN(AC3255)+LEN(AG3255)</f>
        <v/>
      </c>
      <c r="AI3255" s="10">
        <f>LEN(L3255)</f>
        <v/>
      </c>
    </row>
    <row r="3256">
      <c r="J3256" s="12">
        <f>IF(F3256&lt;&gt;0,"LANÇAR","")</f>
        <v/>
      </c>
      <c r="L3256" s="13">
        <f>N3256&amp;O3256&amp;P3256&amp;Q3256&amp;R3256&amp;S3256&amp;T3256&amp;U3256&amp;V3256&amp;W3256&amp;X3256&amp;Y3256&amp;Z3256&amp;AA3256&amp;AB3256&amp;AC3256&amp;AD3256&amp;AE3256&amp;AF3256&amp;AG3256</f>
        <v/>
      </c>
      <c r="N3256" s="10">
        <f>TEXT($B$6,"00")</f>
        <v/>
      </c>
      <c r="O3256" s="10">
        <f>REPT(" ",8)</f>
        <v/>
      </c>
      <c r="P3256" s="10">
        <f>RIGHT($B$4,2)</f>
        <v/>
      </c>
      <c r="Q3256" s="10">
        <f>RIGHT($B$5,3)</f>
        <v/>
      </c>
      <c r="R3256" s="10">
        <f>IF(A3256="D",LEFT(UPPER(B3256)&amp;REPT(" ",20),20),REPT(" ",20))</f>
        <v/>
      </c>
      <c r="S3256" s="10">
        <f>IF(A3256="D",LEFT(UPPER(C3256)&amp;REPT(" ",10),10)," ")</f>
        <v/>
      </c>
      <c r="T3256" s="10">
        <f>IF(A3256="D",LEFT(UPPER(D3256)&amp;REPT(" ",2),2)," ")</f>
        <v/>
      </c>
      <c r="U3256" s="10">
        <f>IF(A3256="D",LEFT(UPPER(E3256)&amp;REPT(" ",15),15)," ")</f>
        <v/>
      </c>
      <c r="V3256" s="10">
        <f>REPT(" ",24)</f>
        <v/>
      </c>
      <c r="W3256" s="10">
        <f>IF(A3256="c",LEFT(UPPER(B3256)&amp;REPT(" ",20),20),REPT(" ",20))</f>
        <v/>
      </c>
      <c r="X3256" s="10">
        <f>IF(A3256="C",LEFT(UPPER(C3256)&amp;REPT(" ",10),10)," ")</f>
        <v/>
      </c>
      <c r="Y3256" s="10">
        <f>IF(A3256="C",LEFT(UPPER(D3256)&amp;REPT(" ",2),2)," ")</f>
        <v/>
      </c>
      <c r="Z3256" s="10">
        <f>IF(A3256="C",LEFT(UPPER(E3256)&amp;REPT(" ",15),15)," ")</f>
        <v/>
      </c>
      <c r="AA3256" s="10">
        <f>REPT(" ",8)</f>
        <v/>
      </c>
      <c r="AB3256" s="10">
        <f>REPT(" ",4)</f>
        <v/>
      </c>
      <c r="AC3256" s="10">
        <f>LEFT(UPPER(H3256)&amp;REPT(" ",250),250)</f>
        <v/>
      </c>
      <c r="AD3256" s="10">
        <f>TEXT($G$2,"dd/mm/aaaa")</f>
        <v/>
      </c>
      <c r="AE3256" s="10">
        <f>REPT(" ",10)</f>
        <v/>
      </c>
      <c r="AF3256" s="10">
        <f>REPT(" ",20)</f>
        <v/>
      </c>
      <c r="AG3256" s="54">
        <f>REPT(" ",18-LEN(FIXED(F3256,2,TRUE)))&amp;FIXED(F3256,2,TRUE)</f>
        <v/>
      </c>
      <c r="AH3256" s="10">
        <f>LEN(AC3256)+LEN(AG3256)</f>
        <v/>
      </c>
      <c r="AI3256" s="10">
        <f>LEN(L3256)</f>
        <v/>
      </c>
    </row>
    <row r="3257">
      <c r="J3257" s="12">
        <f>IF(F3257&lt;&gt;0,"LANÇAR","")</f>
        <v/>
      </c>
      <c r="L3257" s="13">
        <f>N3257&amp;O3257&amp;P3257&amp;Q3257&amp;R3257&amp;S3257&amp;T3257&amp;U3257&amp;V3257&amp;W3257&amp;X3257&amp;Y3257&amp;Z3257&amp;AA3257&amp;AB3257&amp;AC3257&amp;AD3257&amp;AE3257&amp;AF3257&amp;AG3257</f>
        <v/>
      </c>
      <c r="N3257" s="10">
        <f>TEXT($B$6,"00")</f>
        <v/>
      </c>
      <c r="O3257" s="10">
        <f>REPT(" ",8)</f>
        <v/>
      </c>
      <c r="P3257" s="10">
        <f>RIGHT($B$4,2)</f>
        <v/>
      </c>
      <c r="Q3257" s="10">
        <f>RIGHT($B$5,3)</f>
        <v/>
      </c>
      <c r="R3257" s="10">
        <f>IF(A3257="D",LEFT(UPPER(B3257)&amp;REPT(" ",20),20),REPT(" ",20))</f>
        <v/>
      </c>
      <c r="S3257" s="10">
        <f>IF(A3257="D",LEFT(UPPER(C3257)&amp;REPT(" ",10),10)," ")</f>
        <v/>
      </c>
      <c r="T3257" s="10">
        <f>IF(A3257="D",LEFT(UPPER(D3257)&amp;REPT(" ",2),2)," ")</f>
        <v/>
      </c>
      <c r="U3257" s="10">
        <f>IF(A3257="D",LEFT(UPPER(E3257)&amp;REPT(" ",15),15)," ")</f>
        <v/>
      </c>
      <c r="V3257" s="10">
        <f>REPT(" ",24)</f>
        <v/>
      </c>
      <c r="W3257" s="10">
        <f>IF(A3257="c",LEFT(UPPER(B3257)&amp;REPT(" ",20),20),REPT(" ",20))</f>
        <v/>
      </c>
      <c r="X3257" s="10">
        <f>IF(A3257="C",LEFT(UPPER(C3257)&amp;REPT(" ",10),10)," ")</f>
        <v/>
      </c>
      <c r="Y3257" s="10">
        <f>IF(A3257="C",LEFT(UPPER(D3257)&amp;REPT(" ",2),2)," ")</f>
        <v/>
      </c>
      <c r="Z3257" s="10">
        <f>IF(A3257="C",LEFT(UPPER(E3257)&amp;REPT(" ",15),15)," ")</f>
        <v/>
      </c>
      <c r="AA3257" s="10">
        <f>REPT(" ",8)</f>
        <v/>
      </c>
      <c r="AB3257" s="10">
        <f>REPT(" ",4)</f>
        <v/>
      </c>
      <c r="AC3257" s="10">
        <f>LEFT(UPPER(H3257)&amp;REPT(" ",250),250)</f>
        <v/>
      </c>
      <c r="AD3257" s="10">
        <f>TEXT($G$2,"dd/mm/aaaa")</f>
        <v/>
      </c>
      <c r="AE3257" s="10">
        <f>REPT(" ",10)</f>
        <v/>
      </c>
      <c r="AF3257" s="10">
        <f>REPT(" ",20)</f>
        <v/>
      </c>
      <c r="AG3257" s="54">
        <f>REPT(" ",18-LEN(FIXED(F3257,2,TRUE)))&amp;FIXED(F3257,2,TRUE)</f>
        <v/>
      </c>
      <c r="AH3257" s="10">
        <f>LEN(AC3257)+LEN(AG3257)</f>
        <v/>
      </c>
      <c r="AI3257" s="10">
        <f>LEN(L3257)</f>
        <v/>
      </c>
    </row>
    <row r="3258">
      <c r="J3258" s="12">
        <f>IF(F3258&lt;&gt;0,"LANÇAR","")</f>
        <v/>
      </c>
      <c r="L3258" s="13">
        <f>N3258&amp;O3258&amp;P3258&amp;Q3258&amp;R3258&amp;S3258&amp;T3258&amp;U3258&amp;V3258&amp;W3258&amp;X3258&amp;Y3258&amp;Z3258&amp;AA3258&amp;AB3258&amp;AC3258&amp;AD3258&amp;AE3258&amp;AF3258&amp;AG3258</f>
        <v/>
      </c>
      <c r="N3258" s="10">
        <f>TEXT($B$6,"00")</f>
        <v/>
      </c>
      <c r="O3258" s="10">
        <f>REPT(" ",8)</f>
        <v/>
      </c>
      <c r="P3258" s="10">
        <f>RIGHT($B$4,2)</f>
        <v/>
      </c>
      <c r="Q3258" s="10">
        <f>RIGHT($B$5,3)</f>
        <v/>
      </c>
      <c r="R3258" s="10">
        <f>IF(A3258="D",LEFT(UPPER(B3258)&amp;REPT(" ",20),20),REPT(" ",20))</f>
        <v/>
      </c>
      <c r="S3258" s="10">
        <f>IF(A3258="D",LEFT(UPPER(C3258)&amp;REPT(" ",10),10)," ")</f>
        <v/>
      </c>
      <c r="T3258" s="10">
        <f>IF(A3258="D",LEFT(UPPER(D3258)&amp;REPT(" ",2),2)," ")</f>
        <v/>
      </c>
      <c r="U3258" s="10">
        <f>IF(A3258="D",LEFT(UPPER(E3258)&amp;REPT(" ",15),15)," ")</f>
        <v/>
      </c>
      <c r="V3258" s="10">
        <f>REPT(" ",24)</f>
        <v/>
      </c>
      <c r="W3258" s="10">
        <f>IF(A3258="c",LEFT(UPPER(B3258)&amp;REPT(" ",20),20),REPT(" ",20))</f>
        <v/>
      </c>
      <c r="X3258" s="10">
        <f>IF(A3258="C",LEFT(UPPER(C3258)&amp;REPT(" ",10),10)," ")</f>
        <v/>
      </c>
      <c r="Y3258" s="10">
        <f>IF(A3258="C",LEFT(UPPER(D3258)&amp;REPT(" ",2),2)," ")</f>
        <v/>
      </c>
      <c r="Z3258" s="10">
        <f>IF(A3258="C",LEFT(UPPER(E3258)&amp;REPT(" ",15),15)," ")</f>
        <v/>
      </c>
      <c r="AA3258" s="10">
        <f>REPT(" ",8)</f>
        <v/>
      </c>
      <c r="AB3258" s="10">
        <f>REPT(" ",4)</f>
        <v/>
      </c>
      <c r="AC3258" s="10">
        <f>LEFT(UPPER(H3258)&amp;REPT(" ",250),250)</f>
        <v/>
      </c>
      <c r="AD3258" s="10">
        <f>TEXT($G$2,"dd/mm/aaaa")</f>
        <v/>
      </c>
      <c r="AE3258" s="10">
        <f>REPT(" ",10)</f>
        <v/>
      </c>
      <c r="AF3258" s="10">
        <f>REPT(" ",20)</f>
        <v/>
      </c>
      <c r="AG3258" s="54">
        <f>REPT(" ",18-LEN(FIXED(F3258,2,TRUE)))&amp;FIXED(F3258,2,TRUE)</f>
        <v/>
      </c>
      <c r="AH3258" s="10">
        <f>LEN(AC3258)+LEN(AG3258)</f>
        <v/>
      </c>
      <c r="AI3258" s="10">
        <f>LEN(L3258)</f>
        <v/>
      </c>
    </row>
    <row r="3259">
      <c r="J3259" s="12">
        <f>IF(F3259&lt;&gt;0,"LANÇAR","")</f>
        <v/>
      </c>
      <c r="L3259" s="13">
        <f>N3259&amp;O3259&amp;P3259&amp;Q3259&amp;R3259&amp;S3259&amp;T3259&amp;U3259&amp;V3259&amp;W3259&amp;X3259&amp;Y3259&amp;Z3259&amp;AA3259&amp;AB3259&amp;AC3259&amp;AD3259&amp;AE3259&amp;AF3259&amp;AG3259</f>
        <v/>
      </c>
      <c r="N3259" s="10">
        <f>TEXT($B$6,"00")</f>
        <v/>
      </c>
      <c r="O3259" s="10">
        <f>REPT(" ",8)</f>
        <v/>
      </c>
      <c r="P3259" s="10">
        <f>RIGHT($B$4,2)</f>
        <v/>
      </c>
      <c r="Q3259" s="10">
        <f>RIGHT($B$5,3)</f>
        <v/>
      </c>
      <c r="R3259" s="10">
        <f>IF(A3259="D",LEFT(UPPER(B3259)&amp;REPT(" ",20),20),REPT(" ",20))</f>
        <v/>
      </c>
      <c r="S3259" s="10">
        <f>IF(A3259="D",LEFT(UPPER(C3259)&amp;REPT(" ",10),10)," ")</f>
        <v/>
      </c>
      <c r="T3259" s="10">
        <f>IF(A3259="D",LEFT(UPPER(D3259)&amp;REPT(" ",2),2)," ")</f>
        <v/>
      </c>
      <c r="U3259" s="10">
        <f>IF(A3259="D",LEFT(UPPER(E3259)&amp;REPT(" ",15),15)," ")</f>
        <v/>
      </c>
      <c r="V3259" s="10">
        <f>REPT(" ",24)</f>
        <v/>
      </c>
      <c r="W3259" s="10">
        <f>IF(A3259="c",LEFT(UPPER(B3259)&amp;REPT(" ",20),20),REPT(" ",20))</f>
        <v/>
      </c>
      <c r="X3259" s="10">
        <f>IF(A3259="C",LEFT(UPPER(C3259)&amp;REPT(" ",10),10)," ")</f>
        <v/>
      </c>
      <c r="Y3259" s="10">
        <f>IF(A3259="C",LEFT(UPPER(D3259)&amp;REPT(" ",2),2)," ")</f>
        <v/>
      </c>
      <c r="Z3259" s="10">
        <f>IF(A3259="C",LEFT(UPPER(E3259)&amp;REPT(" ",15),15)," ")</f>
        <v/>
      </c>
      <c r="AA3259" s="10">
        <f>REPT(" ",8)</f>
        <v/>
      </c>
      <c r="AB3259" s="10">
        <f>REPT(" ",4)</f>
        <v/>
      </c>
      <c r="AC3259" s="10">
        <f>LEFT(UPPER(H3259)&amp;REPT(" ",250),250)</f>
        <v/>
      </c>
      <c r="AD3259" s="10">
        <f>TEXT($G$2,"dd/mm/aaaa")</f>
        <v/>
      </c>
      <c r="AE3259" s="10">
        <f>REPT(" ",10)</f>
        <v/>
      </c>
      <c r="AF3259" s="10">
        <f>REPT(" ",20)</f>
        <v/>
      </c>
      <c r="AG3259" s="54">
        <f>REPT(" ",18-LEN(FIXED(F3259,2,TRUE)))&amp;FIXED(F3259,2,TRUE)</f>
        <v/>
      </c>
      <c r="AH3259" s="10">
        <f>LEN(AC3259)+LEN(AG3259)</f>
        <v/>
      </c>
      <c r="AI3259" s="10">
        <f>LEN(L3259)</f>
        <v/>
      </c>
    </row>
    <row r="3260">
      <c r="J3260" s="12">
        <f>IF(F3260&lt;&gt;0,"LANÇAR","")</f>
        <v/>
      </c>
      <c r="L3260" s="13">
        <f>N3260&amp;O3260&amp;P3260&amp;Q3260&amp;R3260&amp;S3260&amp;T3260&amp;U3260&amp;V3260&amp;W3260&amp;X3260&amp;Y3260&amp;Z3260&amp;AA3260&amp;AB3260&amp;AC3260&amp;AD3260&amp;AE3260&amp;AF3260&amp;AG3260</f>
        <v/>
      </c>
      <c r="N3260" s="10">
        <f>TEXT($B$6,"00")</f>
        <v/>
      </c>
      <c r="O3260" s="10">
        <f>REPT(" ",8)</f>
        <v/>
      </c>
      <c r="P3260" s="10">
        <f>RIGHT($B$4,2)</f>
        <v/>
      </c>
      <c r="Q3260" s="10">
        <f>RIGHT($B$5,3)</f>
        <v/>
      </c>
      <c r="R3260" s="10">
        <f>IF(A3260="D",LEFT(UPPER(B3260)&amp;REPT(" ",20),20),REPT(" ",20))</f>
        <v/>
      </c>
      <c r="S3260" s="10">
        <f>IF(A3260="D",LEFT(UPPER(C3260)&amp;REPT(" ",10),10)," ")</f>
        <v/>
      </c>
      <c r="T3260" s="10">
        <f>IF(A3260="D",LEFT(UPPER(D3260)&amp;REPT(" ",2),2)," ")</f>
        <v/>
      </c>
      <c r="U3260" s="10">
        <f>IF(A3260="D",LEFT(UPPER(E3260)&amp;REPT(" ",15),15)," ")</f>
        <v/>
      </c>
      <c r="V3260" s="10">
        <f>REPT(" ",24)</f>
        <v/>
      </c>
      <c r="W3260" s="10">
        <f>IF(A3260="c",LEFT(UPPER(B3260)&amp;REPT(" ",20),20),REPT(" ",20))</f>
        <v/>
      </c>
      <c r="X3260" s="10">
        <f>IF(A3260="C",LEFT(UPPER(C3260)&amp;REPT(" ",10),10)," ")</f>
        <v/>
      </c>
      <c r="Y3260" s="10">
        <f>IF(A3260="C",LEFT(UPPER(D3260)&amp;REPT(" ",2),2)," ")</f>
        <v/>
      </c>
      <c r="Z3260" s="10">
        <f>IF(A3260="C",LEFT(UPPER(E3260)&amp;REPT(" ",15),15)," ")</f>
        <v/>
      </c>
      <c r="AA3260" s="10">
        <f>REPT(" ",8)</f>
        <v/>
      </c>
      <c r="AB3260" s="10">
        <f>REPT(" ",4)</f>
        <v/>
      </c>
      <c r="AC3260" s="10">
        <f>LEFT(UPPER(H3260)&amp;REPT(" ",250),250)</f>
        <v/>
      </c>
      <c r="AD3260" s="10">
        <f>TEXT($G$2,"dd/mm/aaaa")</f>
        <v/>
      </c>
      <c r="AE3260" s="10">
        <f>REPT(" ",10)</f>
        <v/>
      </c>
      <c r="AF3260" s="10">
        <f>REPT(" ",20)</f>
        <v/>
      </c>
      <c r="AG3260" s="54">
        <f>REPT(" ",18-LEN(FIXED(F3260,2,TRUE)))&amp;FIXED(F3260,2,TRUE)</f>
        <v/>
      </c>
      <c r="AH3260" s="10">
        <f>LEN(AC3260)+LEN(AG3260)</f>
        <v/>
      </c>
      <c r="AI3260" s="10">
        <f>LEN(L3260)</f>
        <v/>
      </c>
    </row>
    <row r="3261">
      <c r="J3261" s="12">
        <f>IF(F3261&lt;&gt;0,"LANÇAR","")</f>
        <v/>
      </c>
      <c r="L3261" s="13">
        <f>N3261&amp;O3261&amp;P3261&amp;Q3261&amp;R3261&amp;S3261&amp;T3261&amp;U3261&amp;V3261&amp;W3261&amp;X3261&amp;Y3261&amp;Z3261&amp;AA3261&amp;AB3261&amp;AC3261&amp;AD3261&amp;AE3261&amp;AF3261&amp;AG3261</f>
        <v/>
      </c>
      <c r="N3261" s="10">
        <f>TEXT($B$6,"00")</f>
        <v/>
      </c>
      <c r="O3261" s="10">
        <f>REPT(" ",8)</f>
        <v/>
      </c>
      <c r="P3261" s="10">
        <f>RIGHT($B$4,2)</f>
        <v/>
      </c>
      <c r="Q3261" s="10">
        <f>RIGHT($B$5,3)</f>
        <v/>
      </c>
      <c r="R3261" s="10">
        <f>IF(A3261="D",LEFT(UPPER(B3261)&amp;REPT(" ",20),20),REPT(" ",20))</f>
        <v/>
      </c>
      <c r="S3261" s="10">
        <f>IF(A3261="D",LEFT(UPPER(C3261)&amp;REPT(" ",10),10)," ")</f>
        <v/>
      </c>
      <c r="T3261" s="10">
        <f>IF(A3261="D",LEFT(UPPER(D3261)&amp;REPT(" ",2),2)," ")</f>
        <v/>
      </c>
      <c r="U3261" s="10">
        <f>IF(A3261="D",LEFT(UPPER(E3261)&amp;REPT(" ",15),15)," ")</f>
        <v/>
      </c>
      <c r="V3261" s="10">
        <f>REPT(" ",24)</f>
        <v/>
      </c>
      <c r="W3261" s="10">
        <f>IF(A3261="c",LEFT(UPPER(B3261)&amp;REPT(" ",20),20),REPT(" ",20))</f>
        <v/>
      </c>
      <c r="X3261" s="10">
        <f>IF(A3261="C",LEFT(UPPER(C3261)&amp;REPT(" ",10),10)," ")</f>
        <v/>
      </c>
      <c r="Y3261" s="10">
        <f>IF(A3261="C",LEFT(UPPER(D3261)&amp;REPT(" ",2),2)," ")</f>
        <v/>
      </c>
      <c r="Z3261" s="10">
        <f>IF(A3261="C",LEFT(UPPER(E3261)&amp;REPT(" ",15),15)," ")</f>
        <v/>
      </c>
      <c r="AA3261" s="10">
        <f>REPT(" ",8)</f>
        <v/>
      </c>
      <c r="AB3261" s="10">
        <f>REPT(" ",4)</f>
        <v/>
      </c>
      <c r="AC3261" s="10">
        <f>LEFT(UPPER(H3261)&amp;REPT(" ",250),250)</f>
        <v/>
      </c>
      <c r="AD3261" s="10">
        <f>TEXT($G$2,"dd/mm/aaaa")</f>
        <v/>
      </c>
      <c r="AE3261" s="10">
        <f>REPT(" ",10)</f>
        <v/>
      </c>
      <c r="AF3261" s="10">
        <f>REPT(" ",20)</f>
        <v/>
      </c>
      <c r="AG3261" s="54">
        <f>REPT(" ",18-LEN(FIXED(F3261,2,TRUE)))&amp;FIXED(F3261,2,TRUE)</f>
        <v/>
      </c>
      <c r="AH3261" s="10">
        <f>LEN(AC3261)+LEN(AG3261)</f>
        <v/>
      </c>
      <c r="AI3261" s="10">
        <f>LEN(L3261)</f>
        <v/>
      </c>
    </row>
    <row r="3262">
      <c r="J3262" s="12">
        <f>IF(F3262&lt;&gt;0,"LANÇAR","")</f>
        <v/>
      </c>
      <c r="L3262" s="13">
        <f>N3262&amp;O3262&amp;P3262&amp;Q3262&amp;R3262&amp;S3262&amp;T3262&amp;U3262&amp;V3262&amp;W3262&amp;X3262&amp;Y3262&amp;Z3262&amp;AA3262&amp;AB3262&amp;AC3262&amp;AD3262&amp;AE3262&amp;AF3262&amp;AG3262</f>
        <v/>
      </c>
      <c r="N3262" s="10">
        <f>TEXT($B$6,"00")</f>
        <v/>
      </c>
      <c r="O3262" s="10">
        <f>REPT(" ",8)</f>
        <v/>
      </c>
      <c r="P3262" s="10">
        <f>RIGHT($B$4,2)</f>
        <v/>
      </c>
      <c r="Q3262" s="10">
        <f>RIGHT($B$5,3)</f>
        <v/>
      </c>
      <c r="R3262" s="10">
        <f>IF(A3262="D",LEFT(UPPER(B3262)&amp;REPT(" ",20),20),REPT(" ",20))</f>
        <v/>
      </c>
      <c r="S3262" s="10">
        <f>IF(A3262="D",LEFT(UPPER(C3262)&amp;REPT(" ",10),10)," ")</f>
        <v/>
      </c>
      <c r="T3262" s="10">
        <f>IF(A3262="D",LEFT(UPPER(D3262)&amp;REPT(" ",2),2)," ")</f>
        <v/>
      </c>
      <c r="U3262" s="10">
        <f>IF(A3262="D",LEFT(UPPER(E3262)&amp;REPT(" ",15),15)," ")</f>
        <v/>
      </c>
      <c r="V3262" s="10">
        <f>REPT(" ",24)</f>
        <v/>
      </c>
      <c r="W3262" s="10">
        <f>IF(A3262="c",LEFT(UPPER(B3262)&amp;REPT(" ",20),20),REPT(" ",20))</f>
        <v/>
      </c>
      <c r="X3262" s="10">
        <f>IF(A3262="C",LEFT(UPPER(C3262)&amp;REPT(" ",10),10)," ")</f>
        <v/>
      </c>
      <c r="Y3262" s="10">
        <f>IF(A3262="C",LEFT(UPPER(D3262)&amp;REPT(" ",2),2)," ")</f>
        <v/>
      </c>
      <c r="Z3262" s="10">
        <f>IF(A3262="C",LEFT(UPPER(E3262)&amp;REPT(" ",15),15)," ")</f>
        <v/>
      </c>
      <c r="AA3262" s="10">
        <f>REPT(" ",8)</f>
        <v/>
      </c>
      <c r="AB3262" s="10">
        <f>REPT(" ",4)</f>
        <v/>
      </c>
      <c r="AC3262" s="10">
        <f>LEFT(UPPER(H3262)&amp;REPT(" ",250),250)</f>
        <v/>
      </c>
      <c r="AD3262" s="10">
        <f>TEXT($G$2,"dd/mm/aaaa")</f>
        <v/>
      </c>
      <c r="AE3262" s="10">
        <f>REPT(" ",10)</f>
        <v/>
      </c>
      <c r="AF3262" s="10">
        <f>REPT(" ",20)</f>
        <v/>
      </c>
      <c r="AG3262" s="54">
        <f>REPT(" ",18-LEN(FIXED(F3262,2,TRUE)))&amp;FIXED(F3262,2,TRUE)</f>
        <v/>
      </c>
      <c r="AH3262" s="10">
        <f>LEN(AC3262)+LEN(AG3262)</f>
        <v/>
      </c>
      <c r="AI3262" s="10">
        <f>LEN(L3262)</f>
        <v/>
      </c>
    </row>
    <row r="3263">
      <c r="J3263" s="12">
        <f>IF(F3263&lt;&gt;0,"LANÇAR","")</f>
        <v/>
      </c>
      <c r="L3263" s="13">
        <f>N3263&amp;O3263&amp;P3263&amp;Q3263&amp;R3263&amp;S3263&amp;T3263&amp;U3263&amp;V3263&amp;W3263&amp;X3263&amp;Y3263&amp;Z3263&amp;AA3263&amp;AB3263&amp;AC3263&amp;AD3263&amp;AE3263&amp;AF3263&amp;AG3263</f>
        <v/>
      </c>
      <c r="N3263" s="10">
        <f>TEXT($B$6,"00")</f>
        <v/>
      </c>
      <c r="O3263" s="10">
        <f>REPT(" ",8)</f>
        <v/>
      </c>
      <c r="P3263" s="10">
        <f>RIGHT($B$4,2)</f>
        <v/>
      </c>
      <c r="Q3263" s="10">
        <f>RIGHT($B$5,3)</f>
        <v/>
      </c>
      <c r="R3263" s="10">
        <f>IF(A3263="D",LEFT(UPPER(B3263)&amp;REPT(" ",20),20),REPT(" ",20))</f>
        <v/>
      </c>
      <c r="S3263" s="10">
        <f>IF(A3263="D",LEFT(UPPER(C3263)&amp;REPT(" ",10),10)," ")</f>
        <v/>
      </c>
      <c r="T3263" s="10">
        <f>IF(A3263="D",LEFT(UPPER(D3263)&amp;REPT(" ",2),2)," ")</f>
        <v/>
      </c>
      <c r="U3263" s="10">
        <f>IF(A3263="D",LEFT(UPPER(E3263)&amp;REPT(" ",15),15)," ")</f>
        <v/>
      </c>
      <c r="V3263" s="10">
        <f>REPT(" ",24)</f>
        <v/>
      </c>
      <c r="W3263" s="10">
        <f>IF(A3263="c",LEFT(UPPER(B3263)&amp;REPT(" ",20),20),REPT(" ",20))</f>
        <v/>
      </c>
      <c r="X3263" s="10">
        <f>IF(A3263="C",LEFT(UPPER(C3263)&amp;REPT(" ",10),10)," ")</f>
        <v/>
      </c>
      <c r="Y3263" s="10">
        <f>IF(A3263="C",LEFT(UPPER(D3263)&amp;REPT(" ",2),2)," ")</f>
        <v/>
      </c>
      <c r="Z3263" s="10">
        <f>IF(A3263="C",LEFT(UPPER(E3263)&amp;REPT(" ",15),15)," ")</f>
        <v/>
      </c>
      <c r="AA3263" s="10">
        <f>REPT(" ",8)</f>
        <v/>
      </c>
      <c r="AB3263" s="10">
        <f>REPT(" ",4)</f>
        <v/>
      </c>
      <c r="AC3263" s="10">
        <f>LEFT(UPPER(H3263)&amp;REPT(" ",250),250)</f>
        <v/>
      </c>
      <c r="AD3263" s="10">
        <f>TEXT($G$2,"dd/mm/aaaa")</f>
        <v/>
      </c>
      <c r="AE3263" s="10">
        <f>REPT(" ",10)</f>
        <v/>
      </c>
      <c r="AF3263" s="10">
        <f>REPT(" ",20)</f>
        <v/>
      </c>
      <c r="AG3263" s="54">
        <f>REPT(" ",18-LEN(FIXED(F3263,2,TRUE)))&amp;FIXED(F3263,2,TRUE)</f>
        <v/>
      </c>
      <c r="AH3263" s="10">
        <f>LEN(AC3263)+LEN(AG3263)</f>
        <v/>
      </c>
      <c r="AI3263" s="10">
        <f>LEN(L3263)</f>
        <v/>
      </c>
    </row>
    <row r="3264">
      <c r="J3264" s="12">
        <f>IF(F3264&lt;&gt;0,"LANÇAR","")</f>
        <v/>
      </c>
      <c r="L3264" s="13">
        <f>N3264&amp;O3264&amp;P3264&amp;Q3264&amp;R3264&amp;S3264&amp;T3264&amp;U3264&amp;V3264&amp;W3264&amp;X3264&amp;Y3264&amp;Z3264&amp;AA3264&amp;AB3264&amp;AC3264&amp;AD3264&amp;AE3264&amp;AF3264&amp;AG3264</f>
        <v/>
      </c>
      <c r="N3264" s="10">
        <f>TEXT($B$6,"00")</f>
        <v/>
      </c>
      <c r="O3264" s="10">
        <f>REPT(" ",8)</f>
        <v/>
      </c>
      <c r="P3264" s="10">
        <f>RIGHT($B$4,2)</f>
        <v/>
      </c>
      <c r="Q3264" s="10">
        <f>RIGHT($B$5,3)</f>
        <v/>
      </c>
      <c r="R3264" s="10">
        <f>IF(A3264="D",LEFT(UPPER(B3264)&amp;REPT(" ",20),20),REPT(" ",20))</f>
        <v/>
      </c>
      <c r="S3264" s="10">
        <f>IF(A3264="D",LEFT(UPPER(C3264)&amp;REPT(" ",10),10)," ")</f>
        <v/>
      </c>
      <c r="T3264" s="10">
        <f>IF(A3264="D",LEFT(UPPER(D3264)&amp;REPT(" ",2),2)," ")</f>
        <v/>
      </c>
      <c r="U3264" s="10">
        <f>IF(A3264="D",LEFT(UPPER(E3264)&amp;REPT(" ",15),15)," ")</f>
        <v/>
      </c>
      <c r="V3264" s="10">
        <f>REPT(" ",24)</f>
        <v/>
      </c>
      <c r="W3264" s="10">
        <f>IF(A3264="c",LEFT(UPPER(B3264)&amp;REPT(" ",20),20),REPT(" ",20))</f>
        <v/>
      </c>
      <c r="X3264" s="10">
        <f>IF(A3264="C",LEFT(UPPER(C3264)&amp;REPT(" ",10),10)," ")</f>
        <v/>
      </c>
      <c r="Y3264" s="10">
        <f>IF(A3264="C",LEFT(UPPER(D3264)&amp;REPT(" ",2),2)," ")</f>
        <v/>
      </c>
      <c r="Z3264" s="10">
        <f>IF(A3264="C",LEFT(UPPER(E3264)&amp;REPT(" ",15),15)," ")</f>
        <v/>
      </c>
      <c r="AA3264" s="10">
        <f>REPT(" ",8)</f>
        <v/>
      </c>
      <c r="AB3264" s="10">
        <f>REPT(" ",4)</f>
        <v/>
      </c>
      <c r="AC3264" s="10">
        <f>LEFT(UPPER(H3264)&amp;REPT(" ",250),250)</f>
        <v/>
      </c>
      <c r="AD3264" s="10">
        <f>TEXT($G$2,"dd/mm/aaaa")</f>
        <v/>
      </c>
      <c r="AE3264" s="10">
        <f>REPT(" ",10)</f>
        <v/>
      </c>
      <c r="AF3264" s="10">
        <f>REPT(" ",20)</f>
        <v/>
      </c>
      <c r="AG3264" s="54">
        <f>REPT(" ",18-LEN(FIXED(F3264,2,TRUE)))&amp;FIXED(F3264,2,TRUE)</f>
        <v/>
      </c>
      <c r="AH3264" s="10">
        <f>LEN(AC3264)+LEN(AG3264)</f>
        <v/>
      </c>
      <c r="AI3264" s="10">
        <f>LEN(L3264)</f>
        <v/>
      </c>
    </row>
    <row r="3265">
      <c r="J3265" s="12">
        <f>IF(F3265&lt;&gt;0,"LANÇAR","")</f>
        <v/>
      </c>
      <c r="L3265" s="13">
        <f>N3265&amp;O3265&amp;P3265&amp;Q3265&amp;R3265&amp;S3265&amp;T3265&amp;U3265&amp;V3265&amp;W3265&amp;X3265&amp;Y3265&amp;Z3265&amp;AA3265&amp;AB3265&amp;AC3265&amp;AD3265&amp;AE3265&amp;AF3265&amp;AG3265</f>
        <v/>
      </c>
      <c r="N3265" s="10">
        <f>TEXT($B$6,"00")</f>
        <v/>
      </c>
      <c r="O3265" s="10">
        <f>REPT(" ",8)</f>
        <v/>
      </c>
      <c r="P3265" s="10">
        <f>RIGHT($B$4,2)</f>
        <v/>
      </c>
      <c r="Q3265" s="10">
        <f>RIGHT($B$5,3)</f>
        <v/>
      </c>
      <c r="R3265" s="10">
        <f>IF(A3265="D",LEFT(UPPER(B3265)&amp;REPT(" ",20),20),REPT(" ",20))</f>
        <v/>
      </c>
      <c r="S3265" s="10">
        <f>IF(A3265="D",LEFT(UPPER(C3265)&amp;REPT(" ",10),10)," ")</f>
        <v/>
      </c>
      <c r="T3265" s="10">
        <f>IF(A3265="D",LEFT(UPPER(D3265)&amp;REPT(" ",2),2)," ")</f>
        <v/>
      </c>
      <c r="U3265" s="10">
        <f>IF(A3265="D",LEFT(UPPER(E3265)&amp;REPT(" ",15),15)," ")</f>
        <v/>
      </c>
      <c r="V3265" s="10">
        <f>REPT(" ",24)</f>
        <v/>
      </c>
      <c r="W3265" s="10">
        <f>IF(A3265="c",LEFT(UPPER(B3265)&amp;REPT(" ",20),20),REPT(" ",20))</f>
        <v/>
      </c>
      <c r="X3265" s="10">
        <f>IF(A3265="C",LEFT(UPPER(C3265)&amp;REPT(" ",10),10)," ")</f>
        <v/>
      </c>
      <c r="Y3265" s="10">
        <f>IF(A3265="C",LEFT(UPPER(D3265)&amp;REPT(" ",2),2)," ")</f>
        <v/>
      </c>
      <c r="Z3265" s="10">
        <f>IF(A3265="C",LEFT(UPPER(E3265)&amp;REPT(" ",15),15)," ")</f>
        <v/>
      </c>
      <c r="AA3265" s="10">
        <f>REPT(" ",8)</f>
        <v/>
      </c>
      <c r="AB3265" s="10">
        <f>REPT(" ",4)</f>
        <v/>
      </c>
      <c r="AC3265" s="10">
        <f>LEFT(UPPER(H3265)&amp;REPT(" ",250),250)</f>
        <v/>
      </c>
      <c r="AD3265" s="10">
        <f>TEXT($G$2,"dd/mm/aaaa")</f>
        <v/>
      </c>
      <c r="AE3265" s="10">
        <f>REPT(" ",10)</f>
        <v/>
      </c>
      <c r="AF3265" s="10">
        <f>REPT(" ",20)</f>
        <v/>
      </c>
      <c r="AG3265" s="54">
        <f>REPT(" ",18-LEN(FIXED(F3265,2,TRUE)))&amp;FIXED(F3265,2,TRUE)</f>
        <v/>
      </c>
      <c r="AH3265" s="10">
        <f>LEN(AC3265)+LEN(AG3265)</f>
        <v/>
      </c>
      <c r="AI3265" s="10">
        <f>LEN(L3265)</f>
        <v/>
      </c>
    </row>
    <row r="3266">
      <c r="J3266" s="12">
        <f>IF(F3266&lt;&gt;0,"LANÇAR","")</f>
        <v/>
      </c>
      <c r="L3266" s="13">
        <f>N3266&amp;O3266&amp;P3266&amp;Q3266&amp;R3266&amp;S3266&amp;T3266&amp;U3266&amp;V3266&amp;W3266&amp;X3266&amp;Y3266&amp;Z3266&amp;AA3266&amp;AB3266&amp;AC3266&amp;AD3266&amp;AE3266&amp;AF3266&amp;AG3266</f>
        <v/>
      </c>
      <c r="N3266" s="10">
        <f>TEXT($B$6,"00")</f>
        <v/>
      </c>
      <c r="O3266" s="10">
        <f>REPT(" ",8)</f>
        <v/>
      </c>
      <c r="P3266" s="10">
        <f>RIGHT($B$4,2)</f>
        <v/>
      </c>
      <c r="Q3266" s="10">
        <f>RIGHT($B$5,3)</f>
        <v/>
      </c>
      <c r="R3266" s="10">
        <f>IF(A3266="D",LEFT(UPPER(B3266)&amp;REPT(" ",20),20),REPT(" ",20))</f>
        <v/>
      </c>
      <c r="S3266" s="10">
        <f>IF(A3266="D",LEFT(UPPER(C3266)&amp;REPT(" ",10),10)," ")</f>
        <v/>
      </c>
      <c r="T3266" s="10">
        <f>IF(A3266="D",LEFT(UPPER(D3266)&amp;REPT(" ",2),2)," ")</f>
        <v/>
      </c>
      <c r="U3266" s="10">
        <f>IF(A3266="D",LEFT(UPPER(E3266)&amp;REPT(" ",15),15)," ")</f>
        <v/>
      </c>
      <c r="V3266" s="10">
        <f>REPT(" ",24)</f>
        <v/>
      </c>
      <c r="W3266" s="10">
        <f>IF(A3266="c",LEFT(UPPER(B3266)&amp;REPT(" ",20),20),REPT(" ",20))</f>
        <v/>
      </c>
      <c r="X3266" s="10">
        <f>IF(A3266="C",LEFT(UPPER(C3266)&amp;REPT(" ",10),10)," ")</f>
        <v/>
      </c>
      <c r="Y3266" s="10">
        <f>IF(A3266="C",LEFT(UPPER(D3266)&amp;REPT(" ",2),2)," ")</f>
        <v/>
      </c>
      <c r="Z3266" s="10">
        <f>IF(A3266="C",LEFT(UPPER(E3266)&amp;REPT(" ",15),15)," ")</f>
        <v/>
      </c>
      <c r="AA3266" s="10">
        <f>REPT(" ",8)</f>
        <v/>
      </c>
      <c r="AB3266" s="10">
        <f>REPT(" ",4)</f>
        <v/>
      </c>
      <c r="AC3266" s="10">
        <f>LEFT(UPPER(H3266)&amp;REPT(" ",250),250)</f>
        <v/>
      </c>
      <c r="AD3266" s="10">
        <f>TEXT($G$2,"dd/mm/aaaa")</f>
        <v/>
      </c>
      <c r="AE3266" s="10">
        <f>REPT(" ",10)</f>
        <v/>
      </c>
      <c r="AF3266" s="10">
        <f>REPT(" ",20)</f>
        <v/>
      </c>
      <c r="AG3266" s="54">
        <f>REPT(" ",18-LEN(FIXED(F3266,2,TRUE)))&amp;FIXED(F3266,2,TRUE)</f>
        <v/>
      </c>
      <c r="AH3266" s="10">
        <f>LEN(AC3266)+LEN(AG3266)</f>
        <v/>
      </c>
      <c r="AI3266" s="10">
        <f>LEN(L3266)</f>
        <v/>
      </c>
    </row>
    <row r="3267">
      <c r="J3267" s="12">
        <f>IF(F3267&lt;&gt;0,"LANÇAR","")</f>
        <v/>
      </c>
      <c r="L3267" s="13">
        <f>N3267&amp;O3267&amp;P3267&amp;Q3267&amp;R3267&amp;S3267&amp;T3267&amp;U3267&amp;V3267&amp;W3267&amp;X3267&amp;Y3267&amp;Z3267&amp;AA3267&amp;AB3267&amp;AC3267&amp;AD3267&amp;AE3267&amp;AF3267&amp;AG3267</f>
        <v/>
      </c>
      <c r="N3267" s="10">
        <f>TEXT($B$6,"00")</f>
        <v/>
      </c>
      <c r="O3267" s="10">
        <f>REPT(" ",8)</f>
        <v/>
      </c>
      <c r="P3267" s="10">
        <f>RIGHT($B$4,2)</f>
        <v/>
      </c>
      <c r="Q3267" s="10">
        <f>RIGHT($B$5,3)</f>
        <v/>
      </c>
      <c r="R3267" s="10">
        <f>IF(A3267="D",LEFT(UPPER(B3267)&amp;REPT(" ",20),20),REPT(" ",20))</f>
        <v/>
      </c>
      <c r="S3267" s="10">
        <f>IF(A3267="D",LEFT(UPPER(C3267)&amp;REPT(" ",10),10)," ")</f>
        <v/>
      </c>
      <c r="T3267" s="10">
        <f>IF(A3267="D",LEFT(UPPER(D3267)&amp;REPT(" ",2),2)," ")</f>
        <v/>
      </c>
      <c r="U3267" s="10">
        <f>IF(A3267="D",LEFT(UPPER(E3267)&amp;REPT(" ",15),15)," ")</f>
        <v/>
      </c>
      <c r="V3267" s="10">
        <f>REPT(" ",24)</f>
        <v/>
      </c>
      <c r="W3267" s="10">
        <f>IF(A3267="c",LEFT(UPPER(B3267)&amp;REPT(" ",20),20),REPT(" ",20))</f>
        <v/>
      </c>
      <c r="X3267" s="10">
        <f>IF(A3267="C",LEFT(UPPER(C3267)&amp;REPT(" ",10),10)," ")</f>
        <v/>
      </c>
      <c r="Y3267" s="10">
        <f>IF(A3267="C",LEFT(UPPER(D3267)&amp;REPT(" ",2),2)," ")</f>
        <v/>
      </c>
      <c r="Z3267" s="10">
        <f>IF(A3267="C",LEFT(UPPER(E3267)&amp;REPT(" ",15),15)," ")</f>
        <v/>
      </c>
      <c r="AA3267" s="10">
        <f>REPT(" ",8)</f>
        <v/>
      </c>
      <c r="AB3267" s="10">
        <f>REPT(" ",4)</f>
        <v/>
      </c>
      <c r="AC3267" s="10">
        <f>LEFT(UPPER(H3267)&amp;REPT(" ",250),250)</f>
        <v/>
      </c>
      <c r="AD3267" s="10">
        <f>TEXT($G$2,"dd/mm/aaaa")</f>
        <v/>
      </c>
      <c r="AE3267" s="10">
        <f>REPT(" ",10)</f>
        <v/>
      </c>
      <c r="AF3267" s="10">
        <f>REPT(" ",20)</f>
        <v/>
      </c>
      <c r="AG3267" s="54">
        <f>REPT(" ",18-LEN(FIXED(F3267,2,TRUE)))&amp;FIXED(F3267,2,TRUE)</f>
        <v/>
      </c>
      <c r="AH3267" s="10">
        <f>LEN(AC3267)+LEN(AG3267)</f>
        <v/>
      </c>
      <c r="AI3267" s="10">
        <f>LEN(L3267)</f>
        <v/>
      </c>
    </row>
    <row r="3268">
      <c r="J3268" s="12">
        <f>IF(F3268&lt;&gt;0,"LANÇAR","")</f>
        <v/>
      </c>
      <c r="L3268" s="13">
        <f>N3268&amp;O3268&amp;P3268&amp;Q3268&amp;R3268&amp;S3268&amp;T3268&amp;U3268&amp;V3268&amp;W3268&amp;X3268&amp;Y3268&amp;Z3268&amp;AA3268&amp;AB3268&amp;AC3268&amp;AD3268&amp;AE3268&amp;AF3268&amp;AG3268</f>
        <v/>
      </c>
      <c r="N3268" s="10">
        <f>TEXT($B$6,"00")</f>
        <v/>
      </c>
      <c r="O3268" s="10">
        <f>REPT(" ",8)</f>
        <v/>
      </c>
      <c r="P3268" s="10">
        <f>RIGHT($B$4,2)</f>
        <v/>
      </c>
      <c r="Q3268" s="10">
        <f>RIGHT($B$5,3)</f>
        <v/>
      </c>
      <c r="R3268" s="10">
        <f>IF(A3268="D",LEFT(UPPER(B3268)&amp;REPT(" ",20),20),REPT(" ",20))</f>
        <v/>
      </c>
      <c r="S3268" s="10">
        <f>IF(A3268="D",LEFT(UPPER(C3268)&amp;REPT(" ",10),10)," ")</f>
        <v/>
      </c>
      <c r="T3268" s="10">
        <f>IF(A3268="D",LEFT(UPPER(D3268)&amp;REPT(" ",2),2)," ")</f>
        <v/>
      </c>
      <c r="U3268" s="10">
        <f>IF(A3268="D",LEFT(UPPER(E3268)&amp;REPT(" ",15),15)," ")</f>
        <v/>
      </c>
      <c r="V3268" s="10">
        <f>REPT(" ",24)</f>
        <v/>
      </c>
      <c r="W3268" s="10">
        <f>IF(A3268="c",LEFT(UPPER(B3268)&amp;REPT(" ",20),20),REPT(" ",20))</f>
        <v/>
      </c>
      <c r="X3268" s="10">
        <f>IF(A3268="C",LEFT(UPPER(C3268)&amp;REPT(" ",10),10)," ")</f>
        <v/>
      </c>
      <c r="Y3268" s="10">
        <f>IF(A3268="C",LEFT(UPPER(D3268)&amp;REPT(" ",2),2)," ")</f>
        <v/>
      </c>
      <c r="Z3268" s="10">
        <f>IF(A3268="C",LEFT(UPPER(E3268)&amp;REPT(" ",15),15)," ")</f>
        <v/>
      </c>
      <c r="AA3268" s="10">
        <f>REPT(" ",8)</f>
        <v/>
      </c>
      <c r="AB3268" s="10">
        <f>REPT(" ",4)</f>
        <v/>
      </c>
      <c r="AC3268" s="10">
        <f>LEFT(UPPER(H3268)&amp;REPT(" ",250),250)</f>
        <v/>
      </c>
      <c r="AD3268" s="10">
        <f>TEXT($G$2,"dd/mm/aaaa")</f>
        <v/>
      </c>
      <c r="AE3268" s="10">
        <f>REPT(" ",10)</f>
        <v/>
      </c>
      <c r="AF3268" s="10">
        <f>REPT(" ",20)</f>
        <v/>
      </c>
      <c r="AG3268" s="54">
        <f>REPT(" ",18-LEN(FIXED(F3268,2,TRUE)))&amp;FIXED(F3268,2,TRUE)</f>
        <v/>
      </c>
      <c r="AH3268" s="10">
        <f>LEN(AC3268)+LEN(AG3268)</f>
        <v/>
      </c>
      <c r="AI3268" s="10">
        <f>LEN(L3268)</f>
        <v/>
      </c>
    </row>
    <row r="3269">
      <c r="J3269" s="12">
        <f>IF(F3269&lt;&gt;0,"LANÇAR","")</f>
        <v/>
      </c>
      <c r="L3269" s="13">
        <f>N3269&amp;O3269&amp;P3269&amp;Q3269&amp;R3269&amp;S3269&amp;T3269&amp;U3269&amp;V3269&amp;W3269&amp;X3269&amp;Y3269&amp;Z3269&amp;AA3269&amp;AB3269&amp;AC3269&amp;AD3269&amp;AE3269&amp;AF3269&amp;AG3269</f>
        <v/>
      </c>
      <c r="N3269" s="10">
        <f>TEXT($B$6,"00")</f>
        <v/>
      </c>
      <c r="O3269" s="10">
        <f>REPT(" ",8)</f>
        <v/>
      </c>
      <c r="P3269" s="10">
        <f>RIGHT($B$4,2)</f>
        <v/>
      </c>
      <c r="Q3269" s="10">
        <f>RIGHT($B$5,3)</f>
        <v/>
      </c>
      <c r="R3269" s="10">
        <f>IF(A3269="D",LEFT(UPPER(B3269)&amp;REPT(" ",20),20),REPT(" ",20))</f>
        <v/>
      </c>
      <c r="S3269" s="10">
        <f>IF(A3269="D",LEFT(UPPER(C3269)&amp;REPT(" ",10),10)," ")</f>
        <v/>
      </c>
      <c r="T3269" s="10">
        <f>IF(A3269="D",LEFT(UPPER(D3269)&amp;REPT(" ",2),2)," ")</f>
        <v/>
      </c>
      <c r="U3269" s="10">
        <f>IF(A3269="D",LEFT(UPPER(E3269)&amp;REPT(" ",15),15)," ")</f>
        <v/>
      </c>
      <c r="V3269" s="10">
        <f>REPT(" ",24)</f>
        <v/>
      </c>
      <c r="W3269" s="10">
        <f>IF(A3269="c",LEFT(UPPER(B3269)&amp;REPT(" ",20),20),REPT(" ",20))</f>
        <v/>
      </c>
      <c r="X3269" s="10">
        <f>IF(A3269="C",LEFT(UPPER(C3269)&amp;REPT(" ",10),10)," ")</f>
        <v/>
      </c>
      <c r="Y3269" s="10">
        <f>IF(A3269="C",LEFT(UPPER(D3269)&amp;REPT(" ",2),2)," ")</f>
        <v/>
      </c>
      <c r="Z3269" s="10">
        <f>IF(A3269="C",LEFT(UPPER(E3269)&amp;REPT(" ",15),15)," ")</f>
        <v/>
      </c>
      <c r="AA3269" s="10">
        <f>REPT(" ",8)</f>
        <v/>
      </c>
      <c r="AB3269" s="10">
        <f>REPT(" ",4)</f>
        <v/>
      </c>
      <c r="AC3269" s="10">
        <f>LEFT(UPPER(H3269)&amp;REPT(" ",250),250)</f>
        <v/>
      </c>
      <c r="AD3269" s="10">
        <f>TEXT($G$2,"dd/mm/aaaa")</f>
        <v/>
      </c>
      <c r="AE3269" s="10">
        <f>REPT(" ",10)</f>
        <v/>
      </c>
      <c r="AF3269" s="10">
        <f>REPT(" ",20)</f>
        <v/>
      </c>
      <c r="AG3269" s="54">
        <f>REPT(" ",18-LEN(FIXED(F3269,2,TRUE)))&amp;FIXED(F3269,2,TRUE)</f>
        <v/>
      </c>
      <c r="AH3269" s="10">
        <f>LEN(AC3269)+LEN(AG3269)</f>
        <v/>
      </c>
      <c r="AI3269" s="10">
        <f>LEN(L3269)</f>
        <v/>
      </c>
    </row>
    <row r="3270">
      <c r="J3270" s="12">
        <f>IF(F3270&lt;&gt;0,"LANÇAR","")</f>
        <v/>
      </c>
      <c r="L3270" s="13">
        <f>N3270&amp;O3270&amp;P3270&amp;Q3270&amp;R3270&amp;S3270&amp;T3270&amp;U3270&amp;V3270&amp;W3270&amp;X3270&amp;Y3270&amp;Z3270&amp;AA3270&amp;AB3270&amp;AC3270&amp;AD3270&amp;AE3270&amp;AF3270&amp;AG3270</f>
        <v/>
      </c>
      <c r="N3270" s="10">
        <f>TEXT($B$6,"00")</f>
        <v/>
      </c>
      <c r="O3270" s="10">
        <f>REPT(" ",8)</f>
        <v/>
      </c>
      <c r="P3270" s="10">
        <f>RIGHT($B$4,2)</f>
        <v/>
      </c>
      <c r="Q3270" s="10">
        <f>RIGHT($B$5,3)</f>
        <v/>
      </c>
      <c r="R3270" s="10">
        <f>IF(A3270="D",LEFT(UPPER(B3270)&amp;REPT(" ",20),20),REPT(" ",20))</f>
        <v/>
      </c>
      <c r="S3270" s="10">
        <f>IF(A3270="D",LEFT(UPPER(C3270)&amp;REPT(" ",10),10)," ")</f>
        <v/>
      </c>
      <c r="T3270" s="10">
        <f>IF(A3270="D",LEFT(UPPER(D3270)&amp;REPT(" ",2),2)," ")</f>
        <v/>
      </c>
      <c r="U3270" s="10">
        <f>IF(A3270="D",LEFT(UPPER(E3270)&amp;REPT(" ",15),15)," ")</f>
        <v/>
      </c>
      <c r="V3270" s="10">
        <f>REPT(" ",24)</f>
        <v/>
      </c>
      <c r="W3270" s="10">
        <f>IF(A3270="c",LEFT(UPPER(B3270)&amp;REPT(" ",20),20),REPT(" ",20))</f>
        <v/>
      </c>
      <c r="X3270" s="10">
        <f>IF(A3270="C",LEFT(UPPER(C3270)&amp;REPT(" ",10),10)," ")</f>
        <v/>
      </c>
      <c r="Y3270" s="10">
        <f>IF(A3270="C",LEFT(UPPER(D3270)&amp;REPT(" ",2),2)," ")</f>
        <v/>
      </c>
      <c r="Z3270" s="10">
        <f>IF(A3270="C",LEFT(UPPER(E3270)&amp;REPT(" ",15),15)," ")</f>
        <v/>
      </c>
      <c r="AA3270" s="10">
        <f>REPT(" ",8)</f>
        <v/>
      </c>
      <c r="AB3270" s="10">
        <f>REPT(" ",4)</f>
        <v/>
      </c>
      <c r="AC3270" s="10">
        <f>LEFT(UPPER(H3270)&amp;REPT(" ",250),250)</f>
        <v/>
      </c>
      <c r="AD3270" s="10">
        <f>TEXT($G$2,"dd/mm/aaaa")</f>
        <v/>
      </c>
      <c r="AE3270" s="10">
        <f>REPT(" ",10)</f>
        <v/>
      </c>
      <c r="AF3270" s="10">
        <f>REPT(" ",20)</f>
        <v/>
      </c>
      <c r="AG3270" s="54">
        <f>REPT(" ",18-LEN(FIXED(F3270,2,TRUE)))&amp;FIXED(F3270,2,TRUE)</f>
        <v/>
      </c>
      <c r="AH3270" s="10">
        <f>LEN(AC3270)+LEN(AG3270)</f>
        <v/>
      </c>
      <c r="AI3270" s="10">
        <f>LEN(L3270)</f>
        <v/>
      </c>
    </row>
    <row r="3271">
      <c r="J3271" s="12">
        <f>IF(F3271&lt;&gt;0,"LANÇAR","")</f>
        <v/>
      </c>
      <c r="L3271" s="13">
        <f>N3271&amp;O3271&amp;P3271&amp;Q3271&amp;R3271&amp;S3271&amp;T3271&amp;U3271&amp;V3271&amp;W3271&amp;X3271&amp;Y3271&amp;Z3271&amp;AA3271&amp;AB3271&amp;AC3271&amp;AD3271&amp;AE3271&amp;AF3271&amp;AG3271</f>
        <v/>
      </c>
      <c r="N3271" s="10">
        <f>TEXT($B$6,"00")</f>
        <v/>
      </c>
      <c r="O3271" s="10">
        <f>REPT(" ",8)</f>
        <v/>
      </c>
      <c r="P3271" s="10">
        <f>RIGHT($B$4,2)</f>
        <v/>
      </c>
      <c r="Q3271" s="10">
        <f>RIGHT($B$5,3)</f>
        <v/>
      </c>
      <c r="R3271" s="10">
        <f>IF(A3271="D",LEFT(UPPER(B3271)&amp;REPT(" ",20),20),REPT(" ",20))</f>
        <v/>
      </c>
      <c r="S3271" s="10">
        <f>IF(A3271="D",LEFT(UPPER(C3271)&amp;REPT(" ",10),10)," ")</f>
        <v/>
      </c>
      <c r="T3271" s="10">
        <f>IF(A3271="D",LEFT(UPPER(D3271)&amp;REPT(" ",2),2)," ")</f>
        <v/>
      </c>
      <c r="U3271" s="10">
        <f>IF(A3271="D",LEFT(UPPER(E3271)&amp;REPT(" ",15),15)," ")</f>
        <v/>
      </c>
      <c r="V3271" s="10">
        <f>REPT(" ",24)</f>
        <v/>
      </c>
      <c r="W3271" s="10">
        <f>IF(A3271="c",LEFT(UPPER(B3271)&amp;REPT(" ",20),20),REPT(" ",20))</f>
        <v/>
      </c>
      <c r="X3271" s="10">
        <f>IF(A3271="C",LEFT(UPPER(C3271)&amp;REPT(" ",10),10)," ")</f>
        <v/>
      </c>
      <c r="Y3271" s="10">
        <f>IF(A3271="C",LEFT(UPPER(D3271)&amp;REPT(" ",2),2)," ")</f>
        <v/>
      </c>
      <c r="Z3271" s="10">
        <f>IF(A3271="C",LEFT(UPPER(E3271)&amp;REPT(" ",15),15)," ")</f>
        <v/>
      </c>
      <c r="AA3271" s="10">
        <f>REPT(" ",8)</f>
        <v/>
      </c>
      <c r="AB3271" s="10">
        <f>REPT(" ",4)</f>
        <v/>
      </c>
      <c r="AC3271" s="10">
        <f>LEFT(UPPER(H3271)&amp;REPT(" ",250),250)</f>
        <v/>
      </c>
      <c r="AD3271" s="10">
        <f>TEXT($G$2,"dd/mm/aaaa")</f>
        <v/>
      </c>
      <c r="AE3271" s="10">
        <f>REPT(" ",10)</f>
        <v/>
      </c>
      <c r="AF3271" s="10">
        <f>REPT(" ",20)</f>
        <v/>
      </c>
      <c r="AG3271" s="54">
        <f>REPT(" ",18-LEN(FIXED(F3271,2,TRUE)))&amp;FIXED(F3271,2,TRUE)</f>
        <v/>
      </c>
      <c r="AH3271" s="10">
        <f>LEN(AC3271)+LEN(AG3271)</f>
        <v/>
      </c>
      <c r="AI3271" s="10">
        <f>LEN(L3271)</f>
        <v/>
      </c>
    </row>
    <row r="3272">
      <c r="J3272" s="12">
        <f>IF(F3272&lt;&gt;0,"LANÇAR","")</f>
        <v/>
      </c>
      <c r="L3272" s="13">
        <f>N3272&amp;O3272&amp;P3272&amp;Q3272&amp;R3272&amp;S3272&amp;T3272&amp;U3272&amp;V3272&amp;W3272&amp;X3272&amp;Y3272&amp;Z3272&amp;AA3272&amp;AB3272&amp;AC3272&amp;AD3272&amp;AE3272&amp;AF3272&amp;AG3272</f>
        <v/>
      </c>
      <c r="N3272" s="10">
        <f>TEXT($B$6,"00")</f>
        <v/>
      </c>
      <c r="O3272" s="10">
        <f>REPT(" ",8)</f>
        <v/>
      </c>
      <c r="P3272" s="10">
        <f>RIGHT($B$4,2)</f>
        <v/>
      </c>
      <c r="Q3272" s="10">
        <f>RIGHT($B$5,3)</f>
        <v/>
      </c>
      <c r="R3272" s="10">
        <f>IF(A3272="D",LEFT(UPPER(B3272)&amp;REPT(" ",20),20),REPT(" ",20))</f>
        <v/>
      </c>
      <c r="S3272" s="10">
        <f>IF(A3272="D",LEFT(UPPER(C3272)&amp;REPT(" ",10),10)," ")</f>
        <v/>
      </c>
      <c r="T3272" s="10">
        <f>IF(A3272="D",LEFT(UPPER(D3272)&amp;REPT(" ",2),2)," ")</f>
        <v/>
      </c>
      <c r="U3272" s="10">
        <f>IF(A3272="D",LEFT(UPPER(E3272)&amp;REPT(" ",15),15)," ")</f>
        <v/>
      </c>
      <c r="V3272" s="10">
        <f>REPT(" ",24)</f>
        <v/>
      </c>
      <c r="W3272" s="10">
        <f>IF(A3272="c",LEFT(UPPER(B3272)&amp;REPT(" ",20),20),REPT(" ",20))</f>
        <v/>
      </c>
      <c r="X3272" s="10">
        <f>IF(A3272="C",LEFT(UPPER(C3272)&amp;REPT(" ",10),10)," ")</f>
        <v/>
      </c>
      <c r="Y3272" s="10">
        <f>IF(A3272="C",LEFT(UPPER(D3272)&amp;REPT(" ",2),2)," ")</f>
        <v/>
      </c>
      <c r="Z3272" s="10">
        <f>IF(A3272="C",LEFT(UPPER(E3272)&amp;REPT(" ",15),15)," ")</f>
        <v/>
      </c>
      <c r="AA3272" s="10">
        <f>REPT(" ",8)</f>
        <v/>
      </c>
      <c r="AB3272" s="10">
        <f>REPT(" ",4)</f>
        <v/>
      </c>
      <c r="AC3272" s="10">
        <f>LEFT(UPPER(H3272)&amp;REPT(" ",250),250)</f>
        <v/>
      </c>
      <c r="AD3272" s="10">
        <f>TEXT($G$2,"dd/mm/aaaa")</f>
        <v/>
      </c>
      <c r="AE3272" s="10">
        <f>REPT(" ",10)</f>
        <v/>
      </c>
      <c r="AF3272" s="10">
        <f>REPT(" ",20)</f>
        <v/>
      </c>
      <c r="AG3272" s="54">
        <f>REPT(" ",18-LEN(FIXED(F3272,2,TRUE)))&amp;FIXED(F3272,2,TRUE)</f>
        <v/>
      </c>
      <c r="AH3272" s="10">
        <f>LEN(AC3272)+LEN(AG3272)</f>
        <v/>
      </c>
      <c r="AI3272" s="10">
        <f>LEN(L3272)</f>
        <v/>
      </c>
    </row>
    <row r="3273">
      <c r="J3273" s="12">
        <f>IF(F3273&lt;&gt;0,"LANÇAR","")</f>
        <v/>
      </c>
      <c r="L3273" s="13">
        <f>N3273&amp;O3273&amp;P3273&amp;Q3273&amp;R3273&amp;S3273&amp;T3273&amp;U3273&amp;V3273&amp;W3273&amp;X3273&amp;Y3273&amp;Z3273&amp;AA3273&amp;AB3273&amp;AC3273&amp;AD3273&amp;AE3273&amp;AF3273&amp;AG3273</f>
        <v/>
      </c>
      <c r="N3273" s="10">
        <f>TEXT($B$6,"00")</f>
        <v/>
      </c>
      <c r="O3273" s="10">
        <f>REPT(" ",8)</f>
        <v/>
      </c>
      <c r="P3273" s="10">
        <f>RIGHT($B$4,2)</f>
        <v/>
      </c>
      <c r="Q3273" s="10">
        <f>RIGHT($B$5,3)</f>
        <v/>
      </c>
      <c r="R3273" s="10">
        <f>IF(A3273="D",LEFT(UPPER(B3273)&amp;REPT(" ",20),20),REPT(" ",20))</f>
        <v/>
      </c>
      <c r="S3273" s="10">
        <f>IF(A3273="D",LEFT(UPPER(C3273)&amp;REPT(" ",10),10)," ")</f>
        <v/>
      </c>
      <c r="T3273" s="10">
        <f>IF(A3273="D",LEFT(UPPER(D3273)&amp;REPT(" ",2),2)," ")</f>
        <v/>
      </c>
      <c r="U3273" s="10">
        <f>IF(A3273="D",LEFT(UPPER(E3273)&amp;REPT(" ",15),15)," ")</f>
        <v/>
      </c>
      <c r="V3273" s="10">
        <f>REPT(" ",24)</f>
        <v/>
      </c>
      <c r="W3273" s="10">
        <f>IF(A3273="c",LEFT(UPPER(B3273)&amp;REPT(" ",20),20),REPT(" ",20))</f>
        <v/>
      </c>
      <c r="X3273" s="10">
        <f>IF(A3273="C",LEFT(UPPER(C3273)&amp;REPT(" ",10),10)," ")</f>
        <v/>
      </c>
      <c r="Y3273" s="10">
        <f>IF(A3273="C",LEFT(UPPER(D3273)&amp;REPT(" ",2),2)," ")</f>
        <v/>
      </c>
      <c r="Z3273" s="10">
        <f>IF(A3273="C",LEFT(UPPER(E3273)&amp;REPT(" ",15),15)," ")</f>
        <v/>
      </c>
      <c r="AA3273" s="10">
        <f>REPT(" ",8)</f>
        <v/>
      </c>
      <c r="AB3273" s="10">
        <f>REPT(" ",4)</f>
        <v/>
      </c>
      <c r="AC3273" s="10">
        <f>LEFT(UPPER(H3273)&amp;REPT(" ",250),250)</f>
        <v/>
      </c>
      <c r="AD3273" s="10">
        <f>TEXT($G$2,"dd/mm/aaaa")</f>
        <v/>
      </c>
      <c r="AE3273" s="10">
        <f>REPT(" ",10)</f>
        <v/>
      </c>
      <c r="AF3273" s="10">
        <f>REPT(" ",20)</f>
        <v/>
      </c>
      <c r="AG3273" s="54">
        <f>REPT(" ",18-LEN(FIXED(F3273,2,TRUE)))&amp;FIXED(F3273,2,TRUE)</f>
        <v/>
      </c>
      <c r="AH3273" s="10">
        <f>LEN(AC3273)+LEN(AG3273)</f>
        <v/>
      </c>
      <c r="AI3273" s="10">
        <f>LEN(L3273)</f>
        <v/>
      </c>
    </row>
    <row r="3274">
      <c r="J3274" s="12">
        <f>IF(F3274&lt;&gt;0,"LANÇAR","")</f>
        <v/>
      </c>
      <c r="L3274" s="13">
        <f>N3274&amp;O3274&amp;P3274&amp;Q3274&amp;R3274&amp;S3274&amp;T3274&amp;U3274&amp;V3274&amp;W3274&amp;X3274&amp;Y3274&amp;Z3274&amp;AA3274&amp;AB3274&amp;AC3274&amp;AD3274&amp;AE3274&amp;AF3274&amp;AG3274</f>
        <v/>
      </c>
      <c r="N3274" s="10">
        <f>TEXT($B$6,"00")</f>
        <v/>
      </c>
      <c r="O3274" s="10">
        <f>REPT(" ",8)</f>
        <v/>
      </c>
      <c r="P3274" s="10">
        <f>RIGHT($B$4,2)</f>
        <v/>
      </c>
      <c r="Q3274" s="10">
        <f>RIGHT($B$5,3)</f>
        <v/>
      </c>
      <c r="R3274" s="10">
        <f>IF(A3274="D",LEFT(UPPER(B3274)&amp;REPT(" ",20),20),REPT(" ",20))</f>
        <v/>
      </c>
      <c r="S3274" s="10">
        <f>IF(A3274="D",LEFT(UPPER(C3274)&amp;REPT(" ",10),10)," ")</f>
        <v/>
      </c>
      <c r="T3274" s="10">
        <f>IF(A3274="D",LEFT(UPPER(D3274)&amp;REPT(" ",2),2)," ")</f>
        <v/>
      </c>
      <c r="U3274" s="10">
        <f>IF(A3274="D",LEFT(UPPER(E3274)&amp;REPT(" ",15),15)," ")</f>
        <v/>
      </c>
      <c r="V3274" s="10">
        <f>REPT(" ",24)</f>
        <v/>
      </c>
      <c r="W3274" s="10">
        <f>IF(A3274="c",LEFT(UPPER(B3274)&amp;REPT(" ",20),20),REPT(" ",20))</f>
        <v/>
      </c>
      <c r="X3274" s="10">
        <f>IF(A3274="C",LEFT(UPPER(C3274)&amp;REPT(" ",10),10)," ")</f>
        <v/>
      </c>
      <c r="Y3274" s="10">
        <f>IF(A3274="C",LEFT(UPPER(D3274)&amp;REPT(" ",2),2)," ")</f>
        <v/>
      </c>
      <c r="Z3274" s="10">
        <f>IF(A3274="C",LEFT(UPPER(E3274)&amp;REPT(" ",15),15)," ")</f>
        <v/>
      </c>
      <c r="AA3274" s="10">
        <f>REPT(" ",8)</f>
        <v/>
      </c>
      <c r="AB3274" s="10">
        <f>REPT(" ",4)</f>
        <v/>
      </c>
      <c r="AC3274" s="10">
        <f>LEFT(UPPER(H3274)&amp;REPT(" ",250),250)</f>
        <v/>
      </c>
      <c r="AD3274" s="10">
        <f>TEXT($G$2,"dd/mm/aaaa")</f>
        <v/>
      </c>
      <c r="AE3274" s="10">
        <f>REPT(" ",10)</f>
        <v/>
      </c>
      <c r="AF3274" s="10">
        <f>REPT(" ",20)</f>
        <v/>
      </c>
      <c r="AG3274" s="54">
        <f>REPT(" ",18-LEN(FIXED(F3274,2,TRUE)))&amp;FIXED(F3274,2,TRUE)</f>
        <v/>
      </c>
      <c r="AH3274" s="10">
        <f>LEN(AC3274)+LEN(AG3274)</f>
        <v/>
      </c>
      <c r="AI3274" s="10">
        <f>LEN(L3274)</f>
        <v/>
      </c>
    </row>
    <row r="3275">
      <c r="J3275" s="12">
        <f>IF(F3275&lt;&gt;0,"LANÇAR","")</f>
        <v/>
      </c>
      <c r="L3275" s="13">
        <f>N3275&amp;O3275&amp;P3275&amp;Q3275&amp;R3275&amp;S3275&amp;T3275&amp;U3275&amp;V3275&amp;W3275&amp;X3275&amp;Y3275&amp;Z3275&amp;AA3275&amp;AB3275&amp;AC3275&amp;AD3275&amp;AE3275&amp;AF3275&amp;AG3275</f>
        <v/>
      </c>
      <c r="N3275" s="10">
        <f>TEXT($B$6,"00")</f>
        <v/>
      </c>
      <c r="O3275" s="10">
        <f>REPT(" ",8)</f>
        <v/>
      </c>
      <c r="P3275" s="10">
        <f>RIGHT($B$4,2)</f>
        <v/>
      </c>
      <c r="Q3275" s="10">
        <f>RIGHT($B$5,3)</f>
        <v/>
      </c>
      <c r="R3275" s="10">
        <f>IF(A3275="D",LEFT(UPPER(B3275)&amp;REPT(" ",20),20),REPT(" ",20))</f>
        <v/>
      </c>
      <c r="S3275" s="10">
        <f>IF(A3275="D",LEFT(UPPER(C3275)&amp;REPT(" ",10),10)," ")</f>
        <v/>
      </c>
      <c r="T3275" s="10">
        <f>IF(A3275="D",LEFT(UPPER(D3275)&amp;REPT(" ",2),2)," ")</f>
        <v/>
      </c>
      <c r="U3275" s="10">
        <f>IF(A3275="D",LEFT(UPPER(E3275)&amp;REPT(" ",15),15)," ")</f>
        <v/>
      </c>
      <c r="V3275" s="10">
        <f>REPT(" ",24)</f>
        <v/>
      </c>
      <c r="W3275" s="10">
        <f>IF(A3275="c",LEFT(UPPER(B3275)&amp;REPT(" ",20),20),REPT(" ",20))</f>
        <v/>
      </c>
      <c r="X3275" s="10">
        <f>IF(A3275="C",LEFT(UPPER(C3275)&amp;REPT(" ",10),10)," ")</f>
        <v/>
      </c>
      <c r="Y3275" s="10">
        <f>IF(A3275="C",LEFT(UPPER(D3275)&amp;REPT(" ",2),2)," ")</f>
        <v/>
      </c>
      <c r="Z3275" s="10">
        <f>IF(A3275="C",LEFT(UPPER(E3275)&amp;REPT(" ",15),15)," ")</f>
        <v/>
      </c>
      <c r="AA3275" s="10">
        <f>REPT(" ",8)</f>
        <v/>
      </c>
      <c r="AB3275" s="10">
        <f>REPT(" ",4)</f>
        <v/>
      </c>
      <c r="AC3275" s="10">
        <f>LEFT(UPPER(H3275)&amp;REPT(" ",250),250)</f>
        <v/>
      </c>
      <c r="AD3275" s="10">
        <f>TEXT($G$2,"dd/mm/aaaa")</f>
        <v/>
      </c>
      <c r="AE3275" s="10">
        <f>REPT(" ",10)</f>
        <v/>
      </c>
      <c r="AF3275" s="10">
        <f>REPT(" ",20)</f>
        <v/>
      </c>
      <c r="AG3275" s="54">
        <f>REPT(" ",18-LEN(FIXED(F3275,2,TRUE)))&amp;FIXED(F3275,2,TRUE)</f>
        <v/>
      </c>
      <c r="AH3275" s="10">
        <f>LEN(AC3275)+LEN(AG3275)</f>
        <v/>
      </c>
      <c r="AI3275" s="10">
        <f>LEN(L3275)</f>
        <v/>
      </c>
    </row>
    <row r="3276">
      <c r="J3276" s="12">
        <f>IF(F3276&lt;&gt;0,"LANÇAR","")</f>
        <v/>
      </c>
      <c r="L3276" s="13">
        <f>N3276&amp;O3276&amp;P3276&amp;Q3276&amp;R3276&amp;S3276&amp;T3276&amp;U3276&amp;V3276&amp;W3276&amp;X3276&amp;Y3276&amp;Z3276&amp;AA3276&amp;AB3276&amp;AC3276&amp;AD3276&amp;AE3276&amp;AF3276&amp;AG3276</f>
        <v/>
      </c>
      <c r="N3276" s="10">
        <f>TEXT($B$6,"00")</f>
        <v/>
      </c>
      <c r="O3276" s="10">
        <f>REPT(" ",8)</f>
        <v/>
      </c>
      <c r="P3276" s="10">
        <f>RIGHT($B$4,2)</f>
        <v/>
      </c>
      <c r="Q3276" s="10">
        <f>RIGHT($B$5,3)</f>
        <v/>
      </c>
      <c r="R3276" s="10">
        <f>IF(A3276="D",LEFT(UPPER(B3276)&amp;REPT(" ",20),20),REPT(" ",20))</f>
        <v/>
      </c>
      <c r="S3276" s="10">
        <f>IF(A3276="D",LEFT(UPPER(C3276)&amp;REPT(" ",10),10)," ")</f>
        <v/>
      </c>
      <c r="T3276" s="10">
        <f>IF(A3276="D",LEFT(UPPER(D3276)&amp;REPT(" ",2),2)," ")</f>
        <v/>
      </c>
      <c r="U3276" s="10">
        <f>IF(A3276="D",LEFT(UPPER(E3276)&amp;REPT(" ",15),15)," ")</f>
        <v/>
      </c>
      <c r="V3276" s="10">
        <f>REPT(" ",24)</f>
        <v/>
      </c>
      <c r="W3276" s="10">
        <f>IF(A3276="c",LEFT(UPPER(B3276)&amp;REPT(" ",20),20),REPT(" ",20))</f>
        <v/>
      </c>
      <c r="X3276" s="10">
        <f>IF(A3276="C",LEFT(UPPER(C3276)&amp;REPT(" ",10),10)," ")</f>
        <v/>
      </c>
      <c r="Y3276" s="10">
        <f>IF(A3276="C",LEFT(UPPER(D3276)&amp;REPT(" ",2),2)," ")</f>
        <v/>
      </c>
      <c r="Z3276" s="10">
        <f>IF(A3276="C",LEFT(UPPER(E3276)&amp;REPT(" ",15),15)," ")</f>
        <v/>
      </c>
      <c r="AA3276" s="10">
        <f>REPT(" ",8)</f>
        <v/>
      </c>
      <c r="AB3276" s="10">
        <f>REPT(" ",4)</f>
        <v/>
      </c>
      <c r="AC3276" s="10">
        <f>LEFT(UPPER(H3276)&amp;REPT(" ",250),250)</f>
        <v/>
      </c>
      <c r="AD3276" s="10">
        <f>TEXT($G$2,"dd/mm/aaaa")</f>
        <v/>
      </c>
      <c r="AE3276" s="10">
        <f>REPT(" ",10)</f>
        <v/>
      </c>
      <c r="AF3276" s="10">
        <f>REPT(" ",20)</f>
        <v/>
      </c>
      <c r="AG3276" s="54">
        <f>REPT(" ",18-LEN(FIXED(F3276,2,TRUE)))&amp;FIXED(F3276,2,TRUE)</f>
        <v/>
      </c>
      <c r="AH3276" s="10">
        <f>LEN(AC3276)+LEN(AG3276)</f>
        <v/>
      </c>
      <c r="AI3276" s="10">
        <f>LEN(L3276)</f>
        <v/>
      </c>
    </row>
    <row r="3277">
      <c r="J3277" s="12">
        <f>IF(F3277&lt;&gt;0,"LANÇAR","")</f>
        <v/>
      </c>
      <c r="L3277" s="13">
        <f>N3277&amp;O3277&amp;P3277&amp;Q3277&amp;R3277&amp;S3277&amp;T3277&amp;U3277&amp;V3277&amp;W3277&amp;X3277&amp;Y3277&amp;Z3277&amp;AA3277&amp;AB3277&amp;AC3277&amp;AD3277&amp;AE3277&amp;AF3277&amp;AG3277</f>
        <v/>
      </c>
      <c r="N3277" s="10">
        <f>TEXT($B$6,"00")</f>
        <v/>
      </c>
      <c r="O3277" s="10">
        <f>REPT(" ",8)</f>
        <v/>
      </c>
      <c r="P3277" s="10">
        <f>RIGHT($B$4,2)</f>
        <v/>
      </c>
      <c r="Q3277" s="10">
        <f>RIGHT($B$5,3)</f>
        <v/>
      </c>
      <c r="R3277" s="10">
        <f>IF(A3277="D",LEFT(UPPER(B3277)&amp;REPT(" ",20),20),REPT(" ",20))</f>
        <v/>
      </c>
      <c r="S3277" s="10">
        <f>IF(A3277="D",LEFT(UPPER(C3277)&amp;REPT(" ",10),10)," ")</f>
        <v/>
      </c>
      <c r="T3277" s="10">
        <f>IF(A3277="D",LEFT(UPPER(D3277)&amp;REPT(" ",2),2)," ")</f>
        <v/>
      </c>
      <c r="U3277" s="10">
        <f>IF(A3277="D",LEFT(UPPER(E3277)&amp;REPT(" ",15),15)," ")</f>
        <v/>
      </c>
      <c r="V3277" s="10">
        <f>REPT(" ",24)</f>
        <v/>
      </c>
      <c r="W3277" s="10">
        <f>IF(A3277="c",LEFT(UPPER(B3277)&amp;REPT(" ",20),20),REPT(" ",20))</f>
        <v/>
      </c>
      <c r="X3277" s="10">
        <f>IF(A3277="C",LEFT(UPPER(C3277)&amp;REPT(" ",10),10)," ")</f>
        <v/>
      </c>
      <c r="Y3277" s="10">
        <f>IF(A3277="C",LEFT(UPPER(D3277)&amp;REPT(" ",2),2)," ")</f>
        <v/>
      </c>
      <c r="Z3277" s="10">
        <f>IF(A3277="C",LEFT(UPPER(E3277)&amp;REPT(" ",15),15)," ")</f>
        <v/>
      </c>
      <c r="AA3277" s="10">
        <f>REPT(" ",8)</f>
        <v/>
      </c>
      <c r="AB3277" s="10">
        <f>REPT(" ",4)</f>
        <v/>
      </c>
      <c r="AC3277" s="10">
        <f>LEFT(UPPER(H3277)&amp;REPT(" ",250),250)</f>
        <v/>
      </c>
      <c r="AD3277" s="10">
        <f>TEXT($G$2,"dd/mm/aaaa")</f>
        <v/>
      </c>
      <c r="AE3277" s="10">
        <f>REPT(" ",10)</f>
        <v/>
      </c>
      <c r="AF3277" s="10">
        <f>REPT(" ",20)</f>
        <v/>
      </c>
      <c r="AG3277" s="54">
        <f>REPT(" ",18-LEN(FIXED(F3277,2,TRUE)))&amp;FIXED(F3277,2,TRUE)</f>
        <v/>
      </c>
      <c r="AH3277" s="10">
        <f>LEN(AC3277)+LEN(AG3277)</f>
        <v/>
      </c>
      <c r="AI3277" s="10">
        <f>LEN(L3277)</f>
        <v/>
      </c>
    </row>
    <row r="3278">
      <c r="J3278" s="12">
        <f>IF(F3278&lt;&gt;0,"LANÇAR","")</f>
        <v/>
      </c>
      <c r="L3278" s="13">
        <f>N3278&amp;O3278&amp;P3278&amp;Q3278&amp;R3278&amp;S3278&amp;T3278&amp;U3278&amp;V3278&amp;W3278&amp;X3278&amp;Y3278&amp;Z3278&amp;AA3278&amp;AB3278&amp;AC3278&amp;AD3278&amp;AE3278&amp;AF3278&amp;AG3278</f>
        <v/>
      </c>
      <c r="N3278" s="10">
        <f>TEXT($B$6,"00")</f>
        <v/>
      </c>
      <c r="O3278" s="10">
        <f>REPT(" ",8)</f>
        <v/>
      </c>
      <c r="P3278" s="10">
        <f>RIGHT($B$4,2)</f>
        <v/>
      </c>
      <c r="Q3278" s="10">
        <f>RIGHT($B$5,3)</f>
        <v/>
      </c>
      <c r="R3278" s="10">
        <f>IF(A3278="D",LEFT(UPPER(B3278)&amp;REPT(" ",20),20),REPT(" ",20))</f>
        <v/>
      </c>
      <c r="S3278" s="10">
        <f>IF(A3278="D",LEFT(UPPER(C3278)&amp;REPT(" ",10),10)," ")</f>
        <v/>
      </c>
      <c r="T3278" s="10">
        <f>IF(A3278="D",LEFT(UPPER(D3278)&amp;REPT(" ",2),2)," ")</f>
        <v/>
      </c>
      <c r="U3278" s="10">
        <f>IF(A3278="D",LEFT(UPPER(E3278)&amp;REPT(" ",15),15)," ")</f>
        <v/>
      </c>
      <c r="V3278" s="10">
        <f>REPT(" ",24)</f>
        <v/>
      </c>
      <c r="W3278" s="10">
        <f>IF(A3278="c",LEFT(UPPER(B3278)&amp;REPT(" ",20),20),REPT(" ",20))</f>
        <v/>
      </c>
      <c r="X3278" s="10">
        <f>IF(A3278="C",LEFT(UPPER(C3278)&amp;REPT(" ",10),10)," ")</f>
        <v/>
      </c>
      <c r="Y3278" s="10">
        <f>IF(A3278="C",LEFT(UPPER(D3278)&amp;REPT(" ",2),2)," ")</f>
        <v/>
      </c>
      <c r="Z3278" s="10">
        <f>IF(A3278="C",LEFT(UPPER(E3278)&amp;REPT(" ",15),15)," ")</f>
        <v/>
      </c>
      <c r="AA3278" s="10">
        <f>REPT(" ",8)</f>
        <v/>
      </c>
      <c r="AB3278" s="10">
        <f>REPT(" ",4)</f>
        <v/>
      </c>
      <c r="AC3278" s="10">
        <f>LEFT(UPPER(H3278)&amp;REPT(" ",250),250)</f>
        <v/>
      </c>
      <c r="AD3278" s="10">
        <f>TEXT($G$2,"dd/mm/aaaa")</f>
        <v/>
      </c>
      <c r="AE3278" s="10">
        <f>REPT(" ",10)</f>
        <v/>
      </c>
      <c r="AF3278" s="10">
        <f>REPT(" ",20)</f>
        <v/>
      </c>
      <c r="AG3278" s="54">
        <f>REPT(" ",18-LEN(FIXED(F3278,2,TRUE)))&amp;FIXED(F3278,2,TRUE)</f>
        <v/>
      </c>
      <c r="AH3278" s="10">
        <f>LEN(AC3278)+LEN(AG3278)</f>
        <v/>
      </c>
      <c r="AI3278" s="10">
        <f>LEN(L3278)</f>
        <v/>
      </c>
    </row>
    <row r="3279">
      <c r="J3279" s="12">
        <f>IF(F3279&lt;&gt;0,"LANÇAR","")</f>
        <v/>
      </c>
      <c r="L3279" s="13">
        <f>N3279&amp;O3279&amp;P3279&amp;Q3279&amp;R3279&amp;S3279&amp;T3279&amp;U3279&amp;V3279&amp;W3279&amp;X3279&amp;Y3279&amp;Z3279&amp;AA3279&amp;AB3279&amp;AC3279&amp;AD3279&amp;AE3279&amp;AF3279&amp;AG3279</f>
        <v/>
      </c>
      <c r="N3279" s="10">
        <f>TEXT($B$6,"00")</f>
        <v/>
      </c>
      <c r="O3279" s="10">
        <f>REPT(" ",8)</f>
        <v/>
      </c>
      <c r="P3279" s="10">
        <f>RIGHT($B$4,2)</f>
        <v/>
      </c>
      <c r="Q3279" s="10">
        <f>RIGHT($B$5,3)</f>
        <v/>
      </c>
      <c r="R3279" s="10">
        <f>IF(A3279="D",LEFT(UPPER(B3279)&amp;REPT(" ",20),20),REPT(" ",20))</f>
        <v/>
      </c>
      <c r="S3279" s="10">
        <f>IF(A3279="D",LEFT(UPPER(C3279)&amp;REPT(" ",10),10)," ")</f>
        <v/>
      </c>
      <c r="T3279" s="10">
        <f>IF(A3279="D",LEFT(UPPER(D3279)&amp;REPT(" ",2),2)," ")</f>
        <v/>
      </c>
      <c r="U3279" s="10">
        <f>IF(A3279="D",LEFT(UPPER(E3279)&amp;REPT(" ",15),15)," ")</f>
        <v/>
      </c>
      <c r="V3279" s="10">
        <f>REPT(" ",24)</f>
        <v/>
      </c>
      <c r="W3279" s="10">
        <f>IF(A3279="c",LEFT(UPPER(B3279)&amp;REPT(" ",20),20),REPT(" ",20))</f>
        <v/>
      </c>
      <c r="X3279" s="10">
        <f>IF(A3279="C",LEFT(UPPER(C3279)&amp;REPT(" ",10),10)," ")</f>
        <v/>
      </c>
      <c r="Y3279" s="10">
        <f>IF(A3279="C",LEFT(UPPER(D3279)&amp;REPT(" ",2),2)," ")</f>
        <v/>
      </c>
      <c r="Z3279" s="10">
        <f>IF(A3279="C",LEFT(UPPER(E3279)&amp;REPT(" ",15),15)," ")</f>
        <v/>
      </c>
      <c r="AA3279" s="10">
        <f>REPT(" ",8)</f>
        <v/>
      </c>
      <c r="AB3279" s="10">
        <f>REPT(" ",4)</f>
        <v/>
      </c>
      <c r="AC3279" s="10">
        <f>LEFT(UPPER(H3279)&amp;REPT(" ",250),250)</f>
        <v/>
      </c>
      <c r="AD3279" s="10">
        <f>TEXT($G$2,"dd/mm/aaaa")</f>
        <v/>
      </c>
      <c r="AE3279" s="10">
        <f>REPT(" ",10)</f>
        <v/>
      </c>
      <c r="AF3279" s="10">
        <f>REPT(" ",20)</f>
        <v/>
      </c>
      <c r="AG3279" s="54">
        <f>REPT(" ",18-LEN(FIXED(F3279,2,TRUE)))&amp;FIXED(F3279,2,TRUE)</f>
        <v/>
      </c>
      <c r="AH3279" s="10">
        <f>LEN(AC3279)+LEN(AG3279)</f>
        <v/>
      </c>
      <c r="AI3279" s="10">
        <f>LEN(L3279)</f>
        <v/>
      </c>
    </row>
    <row r="3280">
      <c r="J3280" s="12">
        <f>IF(F3280&lt;&gt;0,"LANÇAR","")</f>
        <v/>
      </c>
      <c r="L3280" s="13">
        <f>N3280&amp;O3280&amp;P3280&amp;Q3280&amp;R3280&amp;S3280&amp;T3280&amp;U3280&amp;V3280&amp;W3280&amp;X3280&amp;Y3280&amp;Z3280&amp;AA3280&amp;AB3280&amp;AC3280&amp;AD3280&amp;AE3280&amp;AF3280&amp;AG3280</f>
        <v/>
      </c>
      <c r="N3280" s="10">
        <f>TEXT($B$6,"00")</f>
        <v/>
      </c>
      <c r="O3280" s="10">
        <f>REPT(" ",8)</f>
        <v/>
      </c>
      <c r="P3280" s="10">
        <f>RIGHT($B$4,2)</f>
        <v/>
      </c>
      <c r="Q3280" s="10">
        <f>RIGHT($B$5,3)</f>
        <v/>
      </c>
      <c r="R3280" s="10">
        <f>IF(A3280="D",LEFT(UPPER(B3280)&amp;REPT(" ",20),20),REPT(" ",20))</f>
        <v/>
      </c>
      <c r="S3280" s="10">
        <f>IF(A3280="D",LEFT(UPPER(C3280)&amp;REPT(" ",10),10)," ")</f>
        <v/>
      </c>
      <c r="T3280" s="10">
        <f>IF(A3280="D",LEFT(UPPER(D3280)&amp;REPT(" ",2),2)," ")</f>
        <v/>
      </c>
      <c r="U3280" s="10">
        <f>IF(A3280="D",LEFT(UPPER(E3280)&amp;REPT(" ",15),15)," ")</f>
        <v/>
      </c>
      <c r="V3280" s="10">
        <f>REPT(" ",24)</f>
        <v/>
      </c>
      <c r="W3280" s="10">
        <f>IF(A3280="c",LEFT(UPPER(B3280)&amp;REPT(" ",20),20),REPT(" ",20))</f>
        <v/>
      </c>
      <c r="X3280" s="10">
        <f>IF(A3280="C",LEFT(UPPER(C3280)&amp;REPT(" ",10),10)," ")</f>
        <v/>
      </c>
      <c r="Y3280" s="10">
        <f>IF(A3280="C",LEFT(UPPER(D3280)&amp;REPT(" ",2),2)," ")</f>
        <v/>
      </c>
      <c r="Z3280" s="10">
        <f>IF(A3280="C",LEFT(UPPER(E3280)&amp;REPT(" ",15),15)," ")</f>
        <v/>
      </c>
      <c r="AA3280" s="10">
        <f>REPT(" ",8)</f>
        <v/>
      </c>
      <c r="AB3280" s="10">
        <f>REPT(" ",4)</f>
        <v/>
      </c>
      <c r="AC3280" s="10">
        <f>LEFT(UPPER(H3280)&amp;REPT(" ",250),250)</f>
        <v/>
      </c>
      <c r="AD3280" s="10">
        <f>TEXT($G$2,"dd/mm/aaaa")</f>
        <v/>
      </c>
      <c r="AE3280" s="10">
        <f>REPT(" ",10)</f>
        <v/>
      </c>
      <c r="AF3280" s="10">
        <f>REPT(" ",20)</f>
        <v/>
      </c>
      <c r="AG3280" s="54">
        <f>REPT(" ",18-LEN(FIXED(F3280,2,TRUE)))&amp;FIXED(F3280,2,TRUE)</f>
        <v/>
      </c>
      <c r="AH3280" s="10">
        <f>LEN(AC3280)+LEN(AG3280)</f>
        <v/>
      </c>
      <c r="AI3280" s="10">
        <f>LEN(L3280)</f>
        <v/>
      </c>
    </row>
    <row r="3281">
      <c r="J3281" s="12">
        <f>IF(F3281&lt;&gt;0,"LANÇAR","")</f>
        <v/>
      </c>
      <c r="L3281" s="13">
        <f>N3281&amp;O3281&amp;P3281&amp;Q3281&amp;R3281&amp;S3281&amp;T3281&amp;U3281&amp;V3281&amp;W3281&amp;X3281&amp;Y3281&amp;Z3281&amp;AA3281&amp;AB3281&amp;AC3281&amp;AD3281&amp;AE3281&amp;AF3281&amp;AG3281</f>
        <v/>
      </c>
      <c r="N3281" s="10">
        <f>TEXT($B$6,"00")</f>
        <v/>
      </c>
      <c r="O3281" s="10">
        <f>REPT(" ",8)</f>
        <v/>
      </c>
      <c r="P3281" s="10">
        <f>RIGHT($B$4,2)</f>
        <v/>
      </c>
      <c r="Q3281" s="10">
        <f>RIGHT($B$5,3)</f>
        <v/>
      </c>
      <c r="R3281" s="10">
        <f>IF(A3281="D",LEFT(UPPER(B3281)&amp;REPT(" ",20),20),REPT(" ",20))</f>
        <v/>
      </c>
      <c r="S3281" s="10">
        <f>IF(A3281="D",LEFT(UPPER(C3281)&amp;REPT(" ",10),10)," ")</f>
        <v/>
      </c>
      <c r="T3281" s="10">
        <f>IF(A3281="D",LEFT(UPPER(D3281)&amp;REPT(" ",2),2)," ")</f>
        <v/>
      </c>
      <c r="U3281" s="10">
        <f>IF(A3281="D",LEFT(UPPER(E3281)&amp;REPT(" ",15),15)," ")</f>
        <v/>
      </c>
      <c r="V3281" s="10">
        <f>REPT(" ",24)</f>
        <v/>
      </c>
      <c r="W3281" s="10">
        <f>IF(A3281="c",LEFT(UPPER(B3281)&amp;REPT(" ",20),20),REPT(" ",20))</f>
        <v/>
      </c>
      <c r="X3281" s="10">
        <f>IF(A3281="C",LEFT(UPPER(C3281)&amp;REPT(" ",10),10)," ")</f>
        <v/>
      </c>
      <c r="Y3281" s="10">
        <f>IF(A3281="C",LEFT(UPPER(D3281)&amp;REPT(" ",2),2)," ")</f>
        <v/>
      </c>
      <c r="Z3281" s="10">
        <f>IF(A3281="C",LEFT(UPPER(E3281)&amp;REPT(" ",15),15)," ")</f>
        <v/>
      </c>
      <c r="AA3281" s="10">
        <f>REPT(" ",8)</f>
        <v/>
      </c>
      <c r="AB3281" s="10">
        <f>REPT(" ",4)</f>
        <v/>
      </c>
      <c r="AC3281" s="10">
        <f>LEFT(UPPER(H3281)&amp;REPT(" ",250),250)</f>
        <v/>
      </c>
      <c r="AD3281" s="10">
        <f>TEXT($G$2,"dd/mm/aaaa")</f>
        <v/>
      </c>
      <c r="AE3281" s="10">
        <f>REPT(" ",10)</f>
        <v/>
      </c>
      <c r="AF3281" s="10">
        <f>REPT(" ",20)</f>
        <v/>
      </c>
      <c r="AG3281" s="54">
        <f>REPT(" ",18-LEN(FIXED(F3281,2,TRUE)))&amp;FIXED(F3281,2,TRUE)</f>
        <v/>
      </c>
      <c r="AH3281" s="10">
        <f>LEN(AC3281)+LEN(AG3281)</f>
        <v/>
      </c>
      <c r="AI3281" s="10">
        <f>LEN(L3281)</f>
        <v/>
      </c>
    </row>
    <row r="3282">
      <c r="J3282" s="12">
        <f>IF(F3282&lt;&gt;0,"LANÇAR","")</f>
        <v/>
      </c>
      <c r="L3282" s="13">
        <f>N3282&amp;O3282&amp;P3282&amp;Q3282&amp;R3282&amp;S3282&amp;T3282&amp;U3282&amp;V3282&amp;W3282&amp;X3282&amp;Y3282&amp;Z3282&amp;AA3282&amp;AB3282&amp;AC3282&amp;AD3282&amp;AE3282&amp;AF3282&amp;AG3282</f>
        <v/>
      </c>
      <c r="N3282" s="10">
        <f>TEXT($B$6,"00")</f>
        <v/>
      </c>
      <c r="O3282" s="10">
        <f>REPT(" ",8)</f>
        <v/>
      </c>
      <c r="P3282" s="10">
        <f>RIGHT($B$4,2)</f>
        <v/>
      </c>
      <c r="Q3282" s="10">
        <f>RIGHT($B$5,3)</f>
        <v/>
      </c>
      <c r="R3282" s="10">
        <f>IF(A3282="D",LEFT(UPPER(B3282)&amp;REPT(" ",20),20),REPT(" ",20))</f>
        <v/>
      </c>
      <c r="S3282" s="10">
        <f>IF(A3282="D",LEFT(UPPER(C3282)&amp;REPT(" ",10),10)," ")</f>
        <v/>
      </c>
      <c r="T3282" s="10">
        <f>IF(A3282="D",LEFT(UPPER(D3282)&amp;REPT(" ",2),2)," ")</f>
        <v/>
      </c>
      <c r="U3282" s="10">
        <f>IF(A3282="D",LEFT(UPPER(E3282)&amp;REPT(" ",15),15)," ")</f>
        <v/>
      </c>
      <c r="V3282" s="10">
        <f>REPT(" ",24)</f>
        <v/>
      </c>
      <c r="W3282" s="10">
        <f>IF(A3282="c",LEFT(UPPER(B3282)&amp;REPT(" ",20),20),REPT(" ",20))</f>
        <v/>
      </c>
      <c r="X3282" s="10">
        <f>IF(A3282="C",LEFT(UPPER(C3282)&amp;REPT(" ",10),10)," ")</f>
        <v/>
      </c>
      <c r="Y3282" s="10">
        <f>IF(A3282="C",LEFT(UPPER(D3282)&amp;REPT(" ",2),2)," ")</f>
        <v/>
      </c>
      <c r="Z3282" s="10">
        <f>IF(A3282="C",LEFT(UPPER(E3282)&amp;REPT(" ",15),15)," ")</f>
        <v/>
      </c>
      <c r="AA3282" s="10">
        <f>REPT(" ",8)</f>
        <v/>
      </c>
      <c r="AB3282" s="10">
        <f>REPT(" ",4)</f>
        <v/>
      </c>
      <c r="AC3282" s="10">
        <f>LEFT(UPPER(H3282)&amp;REPT(" ",250),250)</f>
        <v/>
      </c>
      <c r="AD3282" s="10">
        <f>TEXT($G$2,"dd/mm/aaaa")</f>
        <v/>
      </c>
      <c r="AE3282" s="10">
        <f>REPT(" ",10)</f>
        <v/>
      </c>
      <c r="AF3282" s="10">
        <f>REPT(" ",20)</f>
        <v/>
      </c>
      <c r="AG3282" s="54">
        <f>REPT(" ",18-LEN(FIXED(F3282,2,TRUE)))&amp;FIXED(F3282,2,TRUE)</f>
        <v/>
      </c>
      <c r="AH3282" s="10">
        <f>LEN(AC3282)+LEN(AG3282)</f>
        <v/>
      </c>
      <c r="AI3282" s="10">
        <f>LEN(L3282)</f>
        <v/>
      </c>
    </row>
    <row r="3283">
      <c r="J3283" s="12">
        <f>IF(F3283&lt;&gt;0,"LANÇAR","")</f>
        <v/>
      </c>
      <c r="L3283" s="13">
        <f>N3283&amp;O3283&amp;P3283&amp;Q3283&amp;R3283&amp;S3283&amp;T3283&amp;U3283&amp;V3283&amp;W3283&amp;X3283&amp;Y3283&amp;Z3283&amp;AA3283&amp;AB3283&amp;AC3283&amp;AD3283&amp;AE3283&amp;AF3283&amp;AG3283</f>
        <v/>
      </c>
      <c r="N3283" s="10">
        <f>TEXT($B$6,"00")</f>
        <v/>
      </c>
      <c r="O3283" s="10">
        <f>REPT(" ",8)</f>
        <v/>
      </c>
      <c r="P3283" s="10">
        <f>RIGHT($B$4,2)</f>
        <v/>
      </c>
      <c r="Q3283" s="10">
        <f>RIGHT($B$5,3)</f>
        <v/>
      </c>
      <c r="R3283" s="10">
        <f>IF(A3283="D",LEFT(UPPER(B3283)&amp;REPT(" ",20),20),REPT(" ",20))</f>
        <v/>
      </c>
      <c r="S3283" s="10">
        <f>IF(A3283="D",LEFT(UPPER(C3283)&amp;REPT(" ",10),10)," ")</f>
        <v/>
      </c>
      <c r="T3283" s="10">
        <f>IF(A3283="D",LEFT(UPPER(D3283)&amp;REPT(" ",2),2)," ")</f>
        <v/>
      </c>
      <c r="U3283" s="10">
        <f>IF(A3283="D",LEFT(UPPER(E3283)&amp;REPT(" ",15),15)," ")</f>
        <v/>
      </c>
      <c r="V3283" s="10">
        <f>REPT(" ",24)</f>
        <v/>
      </c>
      <c r="W3283" s="10">
        <f>IF(A3283="c",LEFT(UPPER(B3283)&amp;REPT(" ",20),20),REPT(" ",20))</f>
        <v/>
      </c>
      <c r="X3283" s="10">
        <f>IF(A3283="C",LEFT(UPPER(C3283)&amp;REPT(" ",10),10)," ")</f>
        <v/>
      </c>
      <c r="Y3283" s="10">
        <f>IF(A3283="C",LEFT(UPPER(D3283)&amp;REPT(" ",2),2)," ")</f>
        <v/>
      </c>
      <c r="Z3283" s="10">
        <f>IF(A3283="C",LEFT(UPPER(E3283)&amp;REPT(" ",15),15)," ")</f>
        <v/>
      </c>
      <c r="AA3283" s="10">
        <f>REPT(" ",8)</f>
        <v/>
      </c>
      <c r="AB3283" s="10">
        <f>REPT(" ",4)</f>
        <v/>
      </c>
      <c r="AC3283" s="10">
        <f>LEFT(UPPER(H3283)&amp;REPT(" ",250),250)</f>
        <v/>
      </c>
      <c r="AD3283" s="10">
        <f>TEXT($G$2,"dd/mm/aaaa")</f>
        <v/>
      </c>
      <c r="AE3283" s="10">
        <f>REPT(" ",10)</f>
        <v/>
      </c>
      <c r="AF3283" s="10">
        <f>REPT(" ",20)</f>
        <v/>
      </c>
      <c r="AG3283" s="54">
        <f>REPT(" ",18-LEN(FIXED(F3283,2,TRUE)))&amp;FIXED(F3283,2,TRUE)</f>
        <v/>
      </c>
      <c r="AH3283" s="10">
        <f>LEN(AC3283)+LEN(AG3283)</f>
        <v/>
      </c>
      <c r="AI3283" s="10">
        <f>LEN(L3283)</f>
        <v/>
      </c>
    </row>
    <row r="3284">
      <c r="J3284" s="12">
        <f>IF(F3284&lt;&gt;0,"LANÇAR","")</f>
        <v/>
      </c>
      <c r="L3284" s="13">
        <f>N3284&amp;O3284&amp;P3284&amp;Q3284&amp;R3284&amp;S3284&amp;T3284&amp;U3284&amp;V3284&amp;W3284&amp;X3284&amp;Y3284&amp;Z3284&amp;AA3284&amp;AB3284&amp;AC3284&amp;AD3284&amp;AE3284&amp;AF3284&amp;AG3284</f>
        <v/>
      </c>
      <c r="N3284" s="10">
        <f>TEXT($B$6,"00")</f>
        <v/>
      </c>
      <c r="O3284" s="10">
        <f>REPT(" ",8)</f>
        <v/>
      </c>
      <c r="P3284" s="10">
        <f>RIGHT($B$4,2)</f>
        <v/>
      </c>
      <c r="Q3284" s="10">
        <f>RIGHT($B$5,3)</f>
        <v/>
      </c>
      <c r="R3284" s="10">
        <f>IF(A3284="D",LEFT(UPPER(B3284)&amp;REPT(" ",20),20),REPT(" ",20))</f>
        <v/>
      </c>
      <c r="S3284" s="10">
        <f>IF(A3284="D",LEFT(UPPER(C3284)&amp;REPT(" ",10),10)," ")</f>
        <v/>
      </c>
      <c r="T3284" s="10">
        <f>IF(A3284="D",LEFT(UPPER(D3284)&amp;REPT(" ",2),2)," ")</f>
        <v/>
      </c>
      <c r="U3284" s="10">
        <f>IF(A3284="D",LEFT(UPPER(E3284)&amp;REPT(" ",15),15)," ")</f>
        <v/>
      </c>
      <c r="V3284" s="10">
        <f>REPT(" ",24)</f>
        <v/>
      </c>
      <c r="W3284" s="10">
        <f>IF(A3284="c",LEFT(UPPER(B3284)&amp;REPT(" ",20),20),REPT(" ",20))</f>
        <v/>
      </c>
      <c r="X3284" s="10">
        <f>IF(A3284="C",LEFT(UPPER(C3284)&amp;REPT(" ",10),10)," ")</f>
        <v/>
      </c>
      <c r="Y3284" s="10">
        <f>IF(A3284="C",LEFT(UPPER(D3284)&amp;REPT(" ",2),2)," ")</f>
        <v/>
      </c>
      <c r="Z3284" s="10">
        <f>IF(A3284="C",LEFT(UPPER(E3284)&amp;REPT(" ",15),15)," ")</f>
        <v/>
      </c>
      <c r="AA3284" s="10">
        <f>REPT(" ",8)</f>
        <v/>
      </c>
      <c r="AB3284" s="10">
        <f>REPT(" ",4)</f>
        <v/>
      </c>
      <c r="AC3284" s="10">
        <f>LEFT(UPPER(H3284)&amp;REPT(" ",250),250)</f>
        <v/>
      </c>
      <c r="AD3284" s="10">
        <f>TEXT($G$2,"dd/mm/aaaa")</f>
        <v/>
      </c>
      <c r="AE3284" s="10">
        <f>REPT(" ",10)</f>
        <v/>
      </c>
      <c r="AF3284" s="10">
        <f>REPT(" ",20)</f>
        <v/>
      </c>
      <c r="AG3284" s="54">
        <f>REPT(" ",18-LEN(FIXED(F3284,2,TRUE)))&amp;FIXED(F3284,2,TRUE)</f>
        <v/>
      </c>
      <c r="AH3284" s="10">
        <f>LEN(AC3284)+LEN(AG3284)</f>
        <v/>
      </c>
      <c r="AI3284" s="10">
        <f>LEN(L3284)</f>
        <v/>
      </c>
    </row>
    <row r="3285">
      <c r="J3285" s="12">
        <f>IF(F3285&lt;&gt;0,"LANÇAR","")</f>
        <v/>
      </c>
      <c r="L3285" s="13">
        <f>N3285&amp;O3285&amp;P3285&amp;Q3285&amp;R3285&amp;S3285&amp;T3285&amp;U3285&amp;V3285&amp;W3285&amp;X3285&amp;Y3285&amp;Z3285&amp;AA3285&amp;AB3285&amp;AC3285&amp;AD3285&amp;AE3285&amp;AF3285&amp;AG3285</f>
        <v/>
      </c>
      <c r="N3285" s="10">
        <f>TEXT($B$6,"00")</f>
        <v/>
      </c>
      <c r="O3285" s="10">
        <f>REPT(" ",8)</f>
        <v/>
      </c>
      <c r="P3285" s="10">
        <f>RIGHT($B$4,2)</f>
        <v/>
      </c>
      <c r="Q3285" s="10">
        <f>RIGHT($B$5,3)</f>
        <v/>
      </c>
      <c r="R3285" s="10">
        <f>IF(A3285="D",LEFT(UPPER(B3285)&amp;REPT(" ",20),20),REPT(" ",20))</f>
        <v/>
      </c>
      <c r="S3285" s="10">
        <f>IF(A3285="D",LEFT(UPPER(C3285)&amp;REPT(" ",10),10)," ")</f>
        <v/>
      </c>
      <c r="T3285" s="10">
        <f>IF(A3285="D",LEFT(UPPER(D3285)&amp;REPT(" ",2),2)," ")</f>
        <v/>
      </c>
      <c r="U3285" s="10">
        <f>IF(A3285="D",LEFT(UPPER(E3285)&amp;REPT(" ",15),15)," ")</f>
        <v/>
      </c>
      <c r="V3285" s="10">
        <f>REPT(" ",24)</f>
        <v/>
      </c>
      <c r="W3285" s="10">
        <f>IF(A3285="c",LEFT(UPPER(B3285)&amp;REPT(" ",20),20),REPT(" ",20))</f>
        <v/>
      </c>
      <c r="X3285" s="10">
        <f>IF(A3285="C",LEFT(UPPER(C3285)&amp;REPT(" ",10),10)," ")</f>
        <v/>
      </c>
      <c r="Y3285" s="10">
        <f>IF(A3285="C",LEFT(UPPER(D3285)&amp;REPT(" ",2),2)," ")</f>
        <v/>
      </c>
      <c r="Z3285" s="10">
        <f>IF(A3285="C",LEFT(UPPER(E3285)&amp;REPT(" ",15),15)," ")</f>
        <v/>
      </c>
      <c r="AA3285" s="10">
        <f>REPT(" ",8)</f>
        <v/>
      </c>
      <c r="AB3285" s="10">
        <f>REPT(" ",4)</f>
        <v/>
      </c>
      <c r="AC3285" s="10">
        <f>LEFT(UPPER(H3285)&amp;REPT(" ",250),250)</f>
        <v/>
      </c>
      <c r="AD3285" s="10">
        <f>TEXT($G$2,"dd/mm/aaaa")</f>
        <v/>
      </c>
      <c r="AE3285" s="10">
        <f>REPT(" ",10)</f>
        <v/>
      </c>
      <c r="AF3285" s="10">
        <f>REPT(" ",20)</f>
        <v/>
      </c>
      <c r="AG3285" s="54">
        <f>REPT(" ",18-LEN(FIXED(F3285,2,TRUE)))&amp;FIXED(F3285,2,TRUE)</f>
        <v/>
      </c>
      <c r="AH3285" s="10">
        <f>LEN(AC3285)+LEN(AG3285)</f>
        <v/>
      </c>
      <c r="AI3285" s="10">
        <f>LEN(L3285)</f>
        <v/>
      </c>
    </row>
    <row r="3286">
      <c r="J3286" s="12">
        <f>IF(F3286&lt;&gt;0,"LANÇAR","")</f>
        <v/>
      </c>
      <c r="L3286" s="13">
        <f>N3286&amp;O3286&amp;P3286&amp;Q3286&amp;R3286&amp;S3286&amp;T3286&amp;U3286&amp;V3286&amp;W3286&amp;X3286&amp;Y3286&amp;Z3286&amp;AA3286&amp;AB3286&amp;AC3286&amp;AD3286&amp;AE3286&amp;AF3286&amp;AG3286</f>
        <v/>
      </c>
      <c r="N3286" s="10">
        <f>TEXT($B$6,"00")</f>
        <v/>
      </c>
      <c r="O3286" s="10">
        <f>REPT(" ",8)</f>
        <v/>
      </c>
      <c r="P3286" s="10">
        <f>RIGHT($B$4,2)</f>
        <v/>
      </c>
      <c r="Q3286" s="10">
        <f>RIGHT($B$5,3)</f>
        <v/>
      </c>
      <c r="R3286" s="10">
        <f>IF(A3286="D",LEFT(UPPER(B3286)&amp;REPT(" ",20),20),REPT(" ",20))</f>
        <v/>
      </c>
      <c r="S3286" s="10">
        <f>IF(A3286="D",LEFT(UPPER(C3286)&amp;REPT(" ",10),10)," ")</f>
        <v/>
      </c>
      <c r="T3286" s="10">
        <f>IF(A3286="D",LEFT(UPPER(D3286)&amp;REPT(" ",2),2)," ")</f>
        <v/>
      </c>
      <c r="U3286" s="10">
        <f>IF(A3286="D",LEFT(UPPER(E3286)&amp;REPT(" ",15),15)," ")</f>
        <v/>
      </c>
      <c r="V3286" s="10">
        <f>REPT(" ",24)</f>
        <v/>
      </c>
      <c r="W3286" s="10">
        <f>IF(A3286="c",LEFT(UPPER(B3286)&amp;REPT(" ",20),20),REPT(" ",20))</f>
        <v/>
      </c>
      <c r="X3286" s="10">
        <f>IF(A3286="C",LEFT(UPPER(C3286)&amp;REPT(" ",10),10)," ")</f>
        <v/>
      </c>
      <c r="Y3286" s="10">
        <f>IF(A3286="C",LEFT(UPPER(D3286)&amp;REPT(" ",2),2)," ")</f>
        <v/>
      </c>
      <c r="Z3286" s="10">
        <f>IF(A3286="C",LEFT(UPPER(E3286)&amp;REPT(" ",15),15)," ")</f>
        <v/>
      </c>
      <c r="AA3286" s="10">
        <f>REPT(" ",8)</f>
        <v/>
      </c>
      <c r="AB3286" s="10">
        <f>REPT(" ",4)</f>
        <v/>
      </c>
      <c r="AC3286" s="10">
        <f>LEFT(UPPER(H3286)&amp;REPT(" ",250),250)</f>
        <v/>
      </c>
      <c r="AD3286" s="10">
        <f>TEXT($G$2,"dd/mm/aaaa")</f>
        <v/>
      </c>
      <c r="AE3286" s="10">
        <f>REPT(" ",10)</f>
        <v/>
      </c>
      <c r="AF3286" s="10">
        <f>REPT(" ",20)</f>
        <v/>
      </c>
      <c r="AG3286" s="54">
        <f>REPT(" ",18-LEN(FIXED(F3286,2,TRUE)))&amp;FIXED(F3286,2,TRUE)</f>
        <v/>
      </c>
      <c r="AH3286" s="10">
        <f>LEN(AC3286)+LEN(AG3286)</f>
        <v/>
      </c>
      <c r="AI3286" s="10">
        <f>LEN(L3286)</f>
        <v/>
      </c>
    </row>
    <row r="3287">
      <c r="J3287" s="12">
        <f>IF(F3287&lt;&gt;0,"LANÇAR","")</f>
        <v/>
      </c>
      <c r="L3287" s="13">
        <f>N3287&amp;O3287&amp;P3287&amp;Q3287&amp;R3287&amp;S3287&amp;T3287&amp;U3287&amp;V3287&amp;W3287&amp;X3287&amp;Y3287&amp;Z3287&amp;AA3287&amp;AB3287&amp;AC3287&amp;AD3287&amp;AE3287&amp;AF3287&amp;AG3287</f>
        <v/>
      </c>
      <c r="N3287" s="10">
        <f>TEXT($B$6,"00")</f>
        <v/>
      </c>
      <c r="O3287" s="10">
        <f>REPT(" ",8)</f>
        <v/>
      </c>
      <c r="P3287" s="10">
        <f>RIGHT($B$4,2)</f>
        <v/>
      </c>
      <c r="Q3287" s="10">
        <f>RIGHT($B$5,3)</f>
        <v/>
      </c>
      <c r="R3287" s="10">
        <f>IF(A3287="D",LEFT(UPPER(B3287)&amp;REPT(" ",20),20),REPT(" ",20))</f>
        <v/>
      </c>
      <c r="S3287" s="10">
        <f>IF(A3287="D",LEFT(UPPER(C3287)&amp;REPT(" ",10),10)," ")</f>
        <v/>
      </c>
      <c r="T3287" s="10">
        <f>IF(A3287="D",LEFT(UPPER(D3287)&amp;REPT(" ",2),2)," ")</f>
        <v/>
      </c>
      <c r="U3287" s="10">
        <f>IF(A3287="D",LEFT(UPPER(E3287)&amp;REPT(" ",15),15)," ")</f>
        <v/>
      </c>
      <c r="V3287" s="10">
        <f>REPT(" ",24)</f>
        <v/>
      </c>
      <c r="W3287" s="10">
        <f>IF(A3287="c",LEFT(UPPER(B3287)&amp;REPT(" ",20),20),REPT(" ",20))</f>
        <v/>
      </c>
      <c r="X3287" s="10">
        <f>IF(A3287="C",LEFT(UPPER(C3287)&amp;REPT(" ",10),10)," ")</f>
        <v/>
      </c>
      <c r="Y3287" s="10">
        <f>IF(A3287="C",LEFT(UPPER(D3287)&amp;REPT(" ",2),2)," ")</f>
        <v/>
      </c>
      <c r="Z3287" s="10">
        <f>IF(A3287="C",LEFT(UPPER(E3287)&amp;REPT(" ",15),15)," ")</f>
        <v/>
      </c>
      <c r="AA3287" s="10">
        <f>REPT(" ",8)</f>
        <v/>
      </c>
      <c r="AB3287" s="10">
        <f>REPT(" ",4)</f>
        <v/>
      </c>
      <c r="AC3287" s="10">
        <f>LEFT(UPPER(H3287)&amp;REPT(" ",250),250)</f>
        <v/>
      </c>
      <c r="AD3287" s="10">
        <f>TEXT($G$2,"dd/mm/aaaa")</f>
        <v/>
      </c>
      <c r="AE3287" s="10">
        <f>REPT(" ",10)</f>
        <v/>
      </c>
      <c r="AF3287" s="10">
        <f>REPT(" ",20)</f>
        <v/>
      </c>
      <c r="AG3287" s="54">
        <f>REPT(" ",18-LEN(FIXED(F3287,2,TRUE)))&amp;FIXED(F3287,2,TRUE)</f>
        <v/>
      </c>
      <c r="AH3287" s="10">
        <f>LEN(AC3287)+LEN(AG3287)</f>
        <v/>
      </c>
      <c r="AI3287" s="10">
        <f>LEN(L3287)</f>
        <v/>
      </c>
    </row>
    <row r="3288">
      <c r="J3288" s="12">
        <f>IF(F3288&lt;&gt;0,"LANÇAR","")</f>
        <v/>
      </c>
      <c r="L3288" s="13">
        <f>N3288&amp;O3288&amp;P3288&amp;Q3288&amp;R3288&amp;S3288&amp;T3288&amp;U3288&amp;V3288&amp;W3288&amp;X3288&amp;Y3288&amp;Z3288&amp;AA3288&amp;AB3288&amp;AC3288&amp;AD3288&amp;AE3288&amp;AF3288&amp;AG3288</f>
        <v/>
      </c>
      <c r="N3288" s="10">
        <f>TEXT($B$6,"00")</f>
        <v/>
      </c>
      <c r="O3288" s="10">
        <f>REPT(" ",8)</f>
        <v/>
      </c>
      <c r="P3288" s="10">
        <f>RIGHT($B$4,2)</f>
        <v/>
      </c>
      <c r="Q3288" s="10">
        <f>RIGHT($B$5,3)</f>
        <v/>
      </c>
      <c r="R3288" s="10">
        <f>IF(A3288="D",LEFT(UPPER(B3288)&amp;REPT(" ",20),20),REPT(" ",20))</f>
        <v/>
      </c>
      <c r="S3288" s="10">
        <f>IF(A3288="D",LEFT(UPPER(C3288)&amp;REPT(" ",10),10)," ")</f>
        <v/>
      </c>
      <c r="T3288" s="10">
        <f>IF(A3288="D",LEFT(UPPER(D3288)&amp;REPT(" ",2),2)," ")</f>
        <v/>
      </c>
      <c r="U3288" s="10">
        <f>IF(A3288="D",LEFT(UPPER(E3288)&amp;REPT(" ",15),15)," ")</f>
        <v/>
      </c>
      <c r="V3288" s="10">
        <f>REPT(" ",24)</f>
        <v/>
      </c>
      <c r="W3288" s="10">
        <f>IF(A3288="c",LEFT(UPPER(B3288)&amp;REPT(" ",20),20),REPT(" ",20))</f>
        <v/>
      </c>
      <c r="X3288" s="10">
        <f>IF(A3288="C",LEFT(UPPER(C3288)&amp;REPT(" ",10),10)," ")</f>
        <v/>
      </c>
      <c r="Y3288" s="10">
        <f>IF(A3288="C",LEFT(UPPER(D3288)&amp;REPT(" ",2),2)," ")</f>
        <v/>
      </c>
      <c r="Z3288" s="10">
        <f>IF(A3288="C",LEFT(UPPER(E3288)&amp;REPT(" ",15),15)," ")</f>
        <v/>
      </c>
      <c r="AA3288" s="10">
        <f>REPT(" ",8)</f>
        <v/>
      </c>
      <c r="AB3288" s="10">
        <f>REPT(" ",4)</f>
        <v/>
      </c>
      <c r="AC3288" s="10">
        <f>LEFT(UPPER(H3288)&amp;REPT(" ",250),250)</f>
        <v/>
      </c>
      <c r="AD3288" s="10">
        <f>TEXT($G$2,"dd/mm/aaaa")</f>
        <v/>
      </c>
      <c r="AE3288" s="10">
        <f>REPT(" ",10)</f>
        <v/>
      </c>
      <c r="AF3288" s="10">
        <f>REPT(" ",20)</f>
        <v/>
      </c>
      <c r="AG3288" s="54">
        <f>REPT(" ",18-LEN(FIXED(F3288,2,TRUE)))&amp;FIXED(F3288,2,TRUE)</f>
        <v/>
      </c>
      <c r="AH3288" s="10">
        <f>LEN(AC3288)+LEN(AG3288)</f>
        <v/>
      </c>
      <c r="AI3288" s="10">
        <f>LEN(L3288)</f>
        <v/>
      </c>
    </row>
    <row r="3289">
      <c r="J3289" s="12">
        <f>IF(F3289&lt;&gt;0,"LANÇAR","")</f>
        <v/>
      </c>
      <c r="L3289" s="13">
        <f>N3289&amp;O3289&amp;P3289&amp;Q3289&amp;R3289&amp;S3289&amp;T3289&amp;U3289&amp;V3289&amp;W3289&amp;X3289&amp;Y3289&amp;Z3289&amp;AA3289&amp;AB3289&amp;AC3289&amp;AD3289&amp;AE3289&amp;AF3289&amp;AG3289</f>
        <v/>
      </c>
      <c r="N3289" s="10">
        <f>TEXT($B$6,"00")</f>
        <v/>
      </c>
      <c r="O3289" s="10">
        <f>REPT(" ",8)</f>
        <v/>
      </c>
      <c r="P3289" s="10">
        <f>RIGHT($B$4,2)</f>
        <v/>
      </c>
      <c r="Q3289" s="10">
        <f>RIGHT($B$5,3)</f>
        <v/>
      </c>
      <c r="R3289" s="10">
        <f>IF(A3289="D",LEFT(UPPER(B3289)&amp;REPT(" ",20),20),REPT(" ",20))</f>
        <v/>
      </c>
      <c r="S3289" s="10">
        <f>IF(A3289="D",LEFT(UPPER(C3289)&amp;REPT(" ",10),10)," ")</f>
        <v/>
      </c>
      <c r="T3289" s="10">
        <f>IF(A3289="D",LEFT(UPPER(D3289)&amp;REPT(" ",2),2)," ")</f>
        <v/>
      </c>
      <c r="U3289" s="10">
        <f>IF(A3289="D",LEFT(UPPER(E3289)&amp;REPT(" ",15),15)," ")</f>
        <v/>
      </c>
      <c r="V3289" s="10">
        <f>REPT(" ",24)</f>
        <v/>
      </c>
      <c r="W3289" s="10">
        <f>IF(A3289="c",LEFT(UPPER(B3289)&amp;REPT(" ",20),20),REPT(" ",20))</f>
        <v/>
      </c>
      <c r="X3289" s="10">
        <f>IF(A3289="C",LEFT(UPPER(C3289)&amp;REPT(" ",10),10)," ")</f>
        <v/>
      </c>
      <c r="Y3289" s="10">
        <f>IF(A3289="C",LEFT(UPPER(D3289)&amp;REPT(" ",2),2)," ")</f>
        <v/>
      </c>
      <c r="Z3289" s="10">
        <f>IF(A3289="C",LEFT(UPPER(E3289)&amp;REPT(" ",15),15)," ")</f>
        <v/>
      </c>
      <c r="AA3289" s="10">
        <f>REPT(" ",8)</f>
        <v/>
      </c>
      <c r="AB3289" s="10">
        <f>REPT(" ",4)</f>
        <v/>
      </c>
      <c r="AC3289" s="10">
        <f>LEFT(UPPER(H3289)&amp;REPT(" ",250),250)</f>
        <v/>
      </c>
      <c r="AD3289" s="10">
        <f>TEXT($G$2,"dd/mm/aaaa")</f>
        <v/>
      </c>
      <c r="AE3289" s="10">
        <f>REPT(" ",10)</f>
        <v/>
      </c>
      <c r="AF3289" s="10">
        <f>REPT(" ",20)</f>
        <v/>
      </c>
      <c r="AG3289" s="54">
        <f>REPT(" ",18-LEN(FIXED(F3289,2,TRUE)))&amp;FIXED(F3289,2,TRUE)</f>
        <v/>
      </c>
      <c r="AH3289" s="10">
        <f>LEN(AC3289)+LEN(AG3289)</f>
        <v/>
      </c>
      <c r="AI3289" s="10">
        <f>LEN(L3289)</f>
        <v/>
      </c>
    </row>
    <row r="3290">
      <c r="J3290" s="12">
        <f>IF(F3290&lt;&gt;0,"LANÇAR","")</f>
        <v/>
      </c>
      <c r="L3290" s="13">
        <f>N3290&amp;O3290&amp;P3290&amp;Q3290&amp;R3290&amp;S3290&amp;T3290&amp;U3290&amp;V3290&amp;W3290&amp;X3290&amp;Y3290&amp;Z3290&amp;AA3290&amp;AB3290&amp;AC3290&amp;AD3290&amp;AE3290&amp;AF3290&amp;AG3290</f>
        <v/>
      </c>
      <c r="N3290" s="10">
        <f>TEXT($B$6,"00")</f>
        <v/>
      </c>
      <c r="O3290" s="10">
        <f>REPT(" ",8)</f>
        <v/>
      </c>
      <c r="P3290" s="10">
        <f>RIGHT($B$4,2)</f>
        <v/>
      </c>
      <c r="Q3290" s="10">
        <f>RIGHT($B$5,3)</f>
        <v/>
      </c>
      <c r="R3290" s="10">
        <f>IF(A3290="D",LEFT(UPPER(B3290)&amp;REPT(" ",20),20),REPT(" ",20))</f>
        <v/>
      </c>
      <c r="S3290" s="10">
        <f>IF(A3290="D",LEFT(UPPER(C3290)&amp;REPT(" ",10),10)," ")</f>
        <v/>
      </c>
      <c r="T3290" s="10">
        <f>IF(A3290="D",LEFT(UPPER(D3290)&amp;REPT(" ",2),2)," ")</f>
        <v/>
      </c>
      <c r="U3290" s="10">
        <f>IF(A3290="D",LEFT(UPPER(E3290)&amp;REPT(" ",15),15)," ")</f>
        <v/>
      </c>
      <c r="V3290" s="10">
        <f>REPT(" ",24)</f>
        <v/>
      </c>
      <c r="W3290" s="10">
        <f>IF(A3290="c",LEFT(UPPER(B3290)&amp;REPT(" ",20),20),REPT(" ",20))</f>
        <v/>
      </c>
      <c r="X3290" s="10">
        <f>IF(A3290="C",LEFT(UPPER(C3290)&amp;REPT(" ",10),10)," ")</f>
        <v/>
      </c>
      <c r="Y3290" s="10">
        <f>IF(A3290="C",LEFT(UPPER(D3290)&amp;REPT(" ",2),2)," ")</f>
        <v/>
      </c>
      <c r="Z3290" s="10">
        <f>IF(A3290="C",LEFT(UPPER(E3290)&amp;REPT(" ",15),15)," ")</f>
        <v/>
      </c>
      <c r="AA3290" s="10">
        <f>REPT(" ",8)</f>
        <v/>
      </c>
      <c r="AB3290" s="10">
        <f>REPT(" ",4)</f>
        <v/>
      </c>
      <c r="AC3290" s="10">
        <f>LEFT(UPPER(H3290)&amp;REPT(" ",250),250)</f>
        <v/>
      </c>
      <c r="AD3290" s="10">
        <f>TEXT($G$2,"dd/mm/aaaa")</f>
        <v/>
      </c>
      <c r="AE3290" s="10">
        <f>REPT(" ",10)</f>
        <v/>
      </c>
      <c r="AF3290" s="10">
        <f>REPT(" ",20)</f>
        <v/>
      </c>
      <c r="AG3290" s="54">
        <f>REPT(" ",18-LEN(FIXED(F3290,2,TRUE)))&amp;FIXED(F3290,2,TRUE)</f>
        <v/>
      </c>
      <c r="AH3290" s="10">
        <f>LEN(AC3290)+LEN(AG3290)</f>
        <v/>
      </c>
      <c r="AI3290" s="10">
        <f>LEN(L3290)</f>
        <v/>
      </c>
    </row>
    <row r="3291">
      <c r="J3291" s="12">
        <f>IF(F3291&lt;&gt;0,"LANÇAR","")</f>
        <v/>
      </c>
      <c r="L3291" s="13">
        <f>N3291&amp;O3291&amp;P3291&amp;Q3291&amp;R3291&amp;S3291&amp;T3291&amp;U3291&amp;V3291&amp;W3291&amp;X3291&amp;Y3291&amp;Z3291&amp;AA3291&amp;AB3291&amp;AC3291&amp;AD3291&amp;AE3291&amp;AF3291&amp;AG3291</f>
        <v/>
      </c>
      <c r="N3291" s="10">
        <f>TEXT($B$6,"00")</f>
        <v/>
      </c>
      <c r="O3291" s="10">
        <f>REPT(" ",8)</f>
        <v/>
      </c>
      <c r="P3291" s="10">
        <f>RIGHT($B$4,2)</f>
        <v/>
      </c>
      <c r="Q3291" s="10">
        <f>RIGHT($B$5,3)</f>
        <v/>
      </c>
      <c r="R3291" s="10">
        <f>IF(A3291="D",LEFT(UPPER(B3291)&amp;REPT(" ",20),20),REPT(" ",20))</f>
        <v/>
      </c>
      <c r="S3291" s="10">
        <f>IF(A3291="D",LEFT(UPPER(C3291)&amp;REPT(" ",10),10)," ")</f>
        <v/>
      </c>
      <c r="T3291" s="10">
        <f>IF(A3291="D",LEFT(UPPER(D3291)&amp;REPT(" ",2),2)," ")</f>
        <v/>
      </c>
      <c r="U3291" s="10">
        <f>IF(A3291="D",LEFT(UPPER(E3291)&amp;REPT(" ",15),15)," ")</f>
        <v/>
      </c>
      <c r="V3291" s="10">
        <f>REPT(" ",24)</f>
        <v/>
      </c>
      <c r="W3291" s="10">
        <f>IF(A3291="c",LEFT(UPPER(B3291)&amp;REPT(" ",20),20),REPT(" ",20))</f>
        <v/>
      </c>
      <c r="X3291" s="10">
        <f>IF(A3291="C",LEFT(UPPER(C3291)&amp;REPT(" ",10),10)," ")</f>
        <v/>
      </c>
      <c r="Y3291" s="10">
        <f>IF(A3291="C",LEFT(UPPER(D3291)&amp;REPT(" ",2),2)," ")</f>
        <v/>
      </c>
      <c r="Z3291" s="10">
        <f>IF(A3291="C",LEFT(UPPER(E3291)&amp;REPT(" ",15),15)," ")</f>
        <v/>
      </c>
      <c r="AA3291" s="10">
        <f>REPT(" ",8)</f>
        <v/>
      </c>
      <c r="AB3291" s="10">
        <f>REPT(" ",4)</f>
        <v/>
      </c>
      <c r="AC3291" s="10">
        <f>LEFT(UPPER(H3291)&amp;REPT(" ",250),250)</f>
        <v/>
      </c>
      <c r="AD3291" s="10">
        <f>TEXT($G$2,"dd/mm/aaaa")</f>
        <v/>
      </c>
      <c r="AE3291" s="10">
        <f>REPT(" ",10)</f>
        <v/>
      </c>
      <c r="AF3291" s="10">
        <f>REPT(" ",20)</f>
        <v/>
      </c>
      <c r="AG3291" s="54">
        <f>REPT(" ",18-LEN(FIXED(F3291,2,TRUE)))&amp;FIXED(F3291,2,TRUE)</f>
        <v/>
      </c>
      <c r="AH3291" s="10">
        <f>LEN(AC3291)+LEN(AG3291)</f>
        <v/>
      </c>
      <c r="AI3291" s="10">
        <f>LEN(L3291)</f>
        <v/>
      </c>
    </row>
    <row r="3292">
      <c r="J3292" s="12">
        <f>IF(F3292&lt;&gt;0,"LANÇAR","")</f>
        <v/>
      </c>
      <c r="L3292" s="13">
        <f>N3292&amp;O3292&amp;P3292&amp;Q3292&amp;R3292&amp;S3292&amp;T3292&amp;U3292&amp;V3292&amp;W3292&amp;X3292&amp;Y3292&amp;Z3292&amp;AA3292&amp;AB3292&amp;AC3292&amp;AD3292&amp;AE3292&amp;AF3292&amp;AG3292</f>
        <v/>
      </c>
      <c r="N3292" s="10">
        <f>TEXT($B$6,"00")</f>
        <v/>
      </c>
      <c r="O3292" s="10">
        <f>REPT(" ",8)</f>
        <v/>
      </c>
      <c r="P3292" s="10">
        <f>RIGHT($B$4,2)</f>
        <v/>
      </c>
      <c r="Q3292" s="10">
        <f>RIGHT($B$5,3)</f>
        <v/>
      </c>
      <c r="R3292" s="10">
        <f>IF(A3292="D",LEFT(UPPER(B3292)&amp;REPT(" ",20),20),REPT(" ",20))</f>
        <v/>
      </c>
      <c r="S3292" s="10">
        <f>IF(A3292="D",LEFT(UPPER(C3292)&amp;REPT(" ",10),10)," ")</f>
        <v/>
      </c>
      <c r="T3292" s="10">
        <f>IF(A3292="D",LEFT(UPPER(D3292)&amp;REPT(" ",2),2)," ")</f>
        <v/>
      </c>
      <c r="U3292" s="10">
        <f>IF(A3292="D",LEFT(UPPER(E3292)&amp;REPT(" ",15),15)," ")</f>
        <v/>
      </c>
      <c r="V3292" s="10">
        <f>REPT(" ",24)</f>
        <v/>
      </c>
      <c r="W3292" s="10">
        <f>IF(A3292="c",LEFT(UPPER(B3292)&amp;REPT(" ",20),20),REPT(" ",20))</f>
        <v/>
      </c>
      <c r="X3292" s="10">
        <f>IF(A3292="C",LEFT(UPPER(C3292)&amp;REPT(" ",10),10)," ")</f>
        <v/>
      </c>
      <c r="Y3292" s="10">
        <f>IF(A3292="C",LEFT(UPPER(D3292)&amp;REPT(" ",2),2)," ")</f>
        <v/>
      </c>
      <c r="Z3292" s="10">
        <f>IF(A3292="C",LEFT(UPPER(E3292)&amp;REPT(" ",15),15)," ")</f>
        <v/>
      </c>
      <c r="AA3292" s="10">
        <f>REPT(" ",8)</f>
        <v/>
      </c>
      <c r="AB3292" s="10">
        <f>REPT(" ",4)</f>
        <v/>
      </c>
      <c r="AC3292" s="10">
        <f>LEFT(UPPER(H3292)&amp;REPT(" ",250),250)</f>
        <v/>
      </c>
      <c r="AD3292" s="10">
        <f>TEXT($G$2,"dd/mm/aaaa")</f>
        <v/>
      </c>
      <c r="AE3292" s="10">
        <f>REPT(" ",10)</f>
        <v/>
      </c>
      <c r="AF3292" s="10">
        <f>REPT(" ",20)</f>
        <v/>
      </c>
      <c r="AG3292" s="54">
        <f>REPT(" ",18-LEN(FIXED(F3292,2,TRUE)))&amp;FIXED(F3292,2,TRUE)</f>
        <v/>
      </c>
      <c r="AH3292" s="10">
        <f>LEN(AC3292)+LEN(AG3292)</f>
        <v/>
      </c>
      <c r="AI3292" s="10">
        <f>LEN(L3292)</f>
        <v/>
      </c>
    </row>
    <row r="3293">
      <c r="J3293" s="12">
        <f>IF(F3293&lt;&gt;0,"LANÇAR","")</f>
        <v/>
      </c>
      <c r="L3293" s="13">
        <f>N3293&amp;O3293&amp;P3293&amp;Q3293&amp;R3293&amp;S3293&amp;T3293&amp;U3293&amp;V3293&amp;W3293&amp;X3293&amp;Y3293&amp;Z3293&amp;AA3293&amp;AB3293&amp;AC3293&amp;AD3293&amp;AE3293&amp;AF3293&amp;AG3293</f>
        <v/>
      </c>
      <c r="N3293" s="10">
        <f>TEXT($B$6,"00")</f>
        <v/>
      </c>
      <c r="O3293" s="10">
        <f>REPT(" ",8)</f>
        <v/>
      </c>
      <c r="P3293" s="10">
        <f>RIGHT($B$4,2)</f>
        <v/>
      </c>
      <c r="Q3293" s="10">
        <f>RIGHT($B$5,3)</f>
        <v/>
      </c>
      <c r="R3293" s="10">
        <f>IF(A3293="D",LEFT(UPPER(B3293)&amp;REPT(" ",20),20),REPT(" ",20))</f>
        <v/>
      </c>
      <c r="S3293" s="10">
        <f>IF(A3293="D",LEFT(UPPER(C3293)&amp;REPT(" ",10),10)," ")</f>
        <v/>
      </c>
      <c r="T3293" s="10">
        <f>IF(A3293="D",LEFT(UPPER(D3293)&amp;REPT(" ",2),2)," ")</f>
        <v/>
      </c>
      <c r="U3293" s="10">
        <f>IF(A3293="D",LEFT(UPPER(E3293)&amp;REPT(" ",15),15)," ")</f>
        <v/>
      </c>
      <c r="V3293" s="10">
        <f>REPT(" ",24)</f>
        <v/>
      </c>
      <c r="W3293" s="10">
        <f>IF(A3293="c",LEFT(UPPER(B3293)&amp;REPT(" ",20),20),REPT(" ",20))</f>
        <v/>
      </c>
      <c r="X3293" s="10">
        <f>IF(A3293="C",LEFT(UPPER(C3293)&amp;REPT(" ",10),10)," ")</f>
        <v/>
      </c>
      <c r="Y3293" s="10">
        <f>IF(A3293="C",LEFT(UPPER(D3293)&amp;REPT(" ",2),2)," ")</f>
        <v/>
      </c>
      <c r="Z3293" s="10">
        <f>IF(A3293="C",LEFT(UPPER(E3293)&amp;REPT(" ",15),15)," ")</f>
        <v/>
      </c>
      <c r="AA3293" s="10">
        <f>REPT(" ",8)</f>
        <v/>
      </c>
      <c r="AB3293" s="10">
        <f>REPT(" ",4)</f>
        <v/>
      </c>
      <c r="AC3293" s="10">
        <f>LEFT(UPPER(H3293)&amp;REPT(" ",250),250)</f>
        <v/>
      </c>
      <c r="AD3293" s="10">
        <f>TEXT($G$2,"dd/mm/aaaa")</f>
        <v/>
      </c>
      <c r="AE3293" s="10">
        <f>REPT(" ",10)</f>
        <v/>
      </c>
      <c r="AF3293" s="10">
        <f>REPT(" ",20)</f>
        <v/>
      </c>
      <c r="AG3293" s="54">
        <f>REPT(" ",18-LEN(FIXED(F3293,2,TRUE)))&amp;FIXED(F3293,2,TRUE)</f>
        <v/>
      </c>
      <c r="AH3293" s="10">
        <f>LEN(AC3293)+LEN(AG3293)</f>
        <v/>
      </c>
      <c r="AI3293" s="10">
        <f>LEN(L3293)</f>
        <v/>
      </c>
    </row>
    <row r="3294">
      <c r="J3294" s="12">
        <f>IF(F3294&lt;&gt;0,"LANÇAR","")</f>
        <v/>
      </c>
      <c r="L3294" s="13">
        <f>N3294&amp;O3294&amp;P3294&amp;Q3294&amp;R3294&amp;S3294&amp;T3294&amp;U3294&amp;V3294&amp;W3294&amp;X3294&amp;Y3294&amp;Z3294&amp;AA3294&amp;AB3294&amp;AC3294&amp;AD3294&amp;AE3294&amp;AF3294&amp;AG3294</f>
        <v/>
      </c>
      <c r="N3294" s="10">
        <f>TEXT($B$6,"00")</f>
        <v/>
      </c>
      <c r="O3294" s="10">
        <f>REPT(" ",8)</f>
        <v/>
      </c>
      <c r="P3294" s="10">
        <f>RIGHT($B$4,2)</f>
        <v/>
      </c>
      <c r="Q3294" s="10">
        <f>RIGHT($B$5,3)</f>
        <v/>
      </c>
      <c r="R3294" s="10">
        <f>IF(A3294="D",LEFT(UPPER(B3294)&amp;REPT(" ",20),20),REPT(" ",20))</f>
        <v/>
      </c>
      <c r="S3294" s="10">
        <f>IF(A3294="D",LEFT(UPPER(C3294)&amp;REPT(" ",10),10)," ")</f>
        <v/>
      </c>
      <c r="T3294" s="10">
        <f>IF(A3294="D",LEFT(UPPER(D3294)&amp;REPT(" ",2),2)," ")</f>
        <v/>
      </c>
      <c r="U3294" s="10">
        <f>IF(A3294="D",LEFT(UPPER(E3294)&amp;REPT(" ",15),15)," ")</f>
        <v/>
      </c>
      <c r="V3294" s="10">
        <f>REPT(" ",24)</f>
        <v/>
      </c>
      <c r="W3294" s="10">
        <f>IF(A3294="c",LEFT(UPPER(B3294)&amp;REPT(" ",20),20),REPT(" ",20))</f>
        <v/>
      </c>
      <c r="X3294" s="10">
        <f>IF(A3294="C",LEFT(UPPER(C3294)&amp;REPT(" ",10),10)," ")</f>
        <v/>
      </c>
      <c r="Y3294" s="10">
        <f>IF(A3294="C",LEFT(UPPER(D3294)&amp;REPT(" ",2),2)," ")</f>
        <v/>
      </c>
      <c r="Z3294" s="10">
        <f>IF(A3294="C",LEFT(UPPER(E3294)&amp;REPT(" ",15),15)," ")</f>
        <v/>
      </c>
      <c r="AA3294" s="10">
        <f>REPT(" ",8)</f>
        <v/>
      </c>
      <c r="AB3294" s="10">
        <f>REPT(" ",4)</f>
        <v/>
      </c>
      <c r="AC3294" s="10">
        <f>LEFT(UPPER(H3294)&amp;REPT(" ",250),250)</f>
        <v/>
      </c>
      <c r="AD3294" s="10">
        <f>TEXT($G$2,"dd/mm/aaaa")</f>
        <v/>
      </c>
      <c r="AE3294" s="10">
        <f>REPT(" ",10)</f>
        <v/>
      </c>
      <c r="AF3294" s="10">
        <f>REPT(" ",20)</f>
        <v/>
      </c>
      <c r="AG3294" s="54">
        <f>REPT(" ",18-LEN(FIXED(F3294,2,TRUE)))&amp;FIXED(F3294,2,TRUE)</f>
        <v/>
      </c>
      <c r="AH3294" s="10">
        <f>LEN(AC3294)+LEN(AG3294)</f>
        <v/>
      </c>
      <c r="AI3294" s="10">
        <f>LEN(L3294)</f>
        <v/>
      </c>
    </row>
    <row r="3295">
      <c r="J3295" s="12">
        <f>IF(F3295&lt;&gt;0,"LANÇAR","")</f>
        <v/>
      </c>
      <c r="L3295" s="13">
        <f>N3295&amp;O3295&amp;P3295&amp;Q3295&amp;R3295&amp;S3295&amp;T3295&amp;U3295&amp;V3295&amp;W3295&amp;X3295&amp;Y3295&amp;Z3295&amp;AA3295&amp;AB3295&amp;AC3295&amp;AD3295&amp;AE3295&amp;AF3295&amp;AG3295</f>
        <v/>
      </c>
      <c r="N3295" s="10">
        <f>TEXT($B$6,"00")</f>
        <v/>
      </c>
      <c r="O3295" s="10">
        <f>REPT(" ",8)</f>
        <v/>
      </c>
      <c r="P3295" s="10">
        <f>RIGHT($B$4,2)</f>
        <v/>
      </c>
      <c r="Q3295" s="10">
        <f>RIGHT($B$5,3)</f>
        <v/>
      </c>
      <c r="R3295" s="10">
        <f>IF(A3295="D",LEFT(UPPER(B3295)&amp;REPT(" ",20),20),REPT(" ",20))</f>
        <v/>
      </c>
      <c r="S3295" s="10">
        <f>IF(A3295="D",LEFT(UPPER(C3295)&amp;REPT(" ",10),10)," ")</f>
        <v/>
      </c>
      <c r="T3295" s="10">
        <f>IF(A3295="D",LEFT(UPPER(D3295)&amp;REPT(" ",2),2)," ")</f>
        <v/>
      </c>
      <c r="U3295" s="10">
        <f>IF(A3295="D",LEFT(UPPER(E3295)&amp;REPT(" ",15),15)," ")</f>
        <v/>
      </c>
      <c r="V3295" s="10">
        <f>REPT(" ",24)</f>
        <v/>
      </c>
      <c r="W3295" s="10">
        <f>IF(A3295="c",LEFT(UPPER(B3295)&amp;REPT(" ",20),20),REPT(" ",20))</f>
        <v/>
      </c>
      <c r="X3295" s="10">
        <f>IF(A3295="C",LEFT(UPPER(C3295)&amp;REPT(" ",10),10)," ")</f>
        <v/>
      </c>
      <c r="Y3295" s="10">
        <f>IF(A3295="C",LEFT(UPPER(D3295)&amp;REPT(" ",2),2)," ")</f>
        <v/>
      </c>
      <c r="Z3295" s="10">
        <f>IF(A3295="C",LEFT(UPPER(E3295)&amp;REPT(" ",15),15)," ")</f>
        <v/>
      </c>
      <c r="AA3295" s="10">
        <f>REPT(" ",8)</f>
        <v/>
      </c>
      <c r="AB3295" s="10">
        <f>REPT(" ",4)</f>
        <v/>
      </c>
      <c r="AC3295" s="10">
        <f>LEFT(UPPER(H3295)&amp;REPT(" ",250),250)</f>
        <v/>
      </c>
      <c r="AD3295" s="10">
        <f>TEXT($G$2,"dd/mm/aaaa")</f>
        <v/>
      </c>
      <c r="AE3295" s="10">
        <f>REPT(" ",10)</f>
        <v/>
      </c>
      <c r="AF3295" s="10">
        <f>REPT(" ",20)</f>
        <v/>
      </c>
      <c r="AG3295" s="54">
        <f>REPT(" ",18-LEN(FIXED(F3295,2,TRUE)))&amp;FIXED(F3295,2,TRUE)</f>
        <v/>
      </c>
      <c r="AH3295" s="10">
        <f>LEN(AC3295)+LEN(AG3295)</f>
        <v/>
      </c>
      <c r="AI3295" s="10">
        <f>LEN(L3295)</f>
        <v/>
      </c>
    </row>
    <row r="3296">
      <c r="J3296" s="12">
        <f>IF(F3296&lt;&gt;0,"LANÇAR","")</f>
        <v/>
      </c>
      <c r="L3296" s="13">
        <f>N3296&amp;O3296&amp;P3296&amp;Q3296&amp;R3296&amp;S3296&amp;T3296&amp;U3296&amp;V3296&amp;W3296&amp;X3296&amp;Y3296&amp;Z3296&amp;AA3296&amp;AB3296&amp;AC3296&amp;AD3296&amp;AE3296&amp;AF3296&amp;AG3296</f>
        <v/>
      </c>
      <c r="N3296" s="10">
        <f>TEXT($B$6,"00")</f>
        <v/>
      </c>
      <c r="O3296" s="10">
        <f>REPT(" ",8)</f>
        <v/>
      </c>
      <c r="P3296" s="10">
        <f>RIGHT($B$4,2)</f>
        <v/>
      </c>
      <c r="Q3296" s="10">
        <f>RIGHT($B$5,3)</f>
        <v/>
      </c>
      <c r="R3296" s="10">
        <f>IF(A3296="D",LEFT(UPPER(B3296)&amp;REPT(" ",20),20),REPT(" ",20))</f>
        <v/>
      </c>
      <c r="S3296" s="10">
        <f>IF(A3296="D",LEFT(UPPER(C3296)&amp;REPT(" ",10),10)," ")</f>
        <v/>
      </c>
      <c r="T3296" s="10">
        <f>IF(A3296="D",LEFT(UPPER(D3296)&amp;REPT(" ",2),2)," ")</f>
        <v/>
      </c>
      <c r="U3296" s="10">
        <f>IF(A3296="D",LEFT(UPPER(E3296)&amp;REPT(" ",15),15)," ")</f>
        <v/>
      </c>
      <c r="V3296" s="10">
        <f>REPT(" ",24)</f>
        <v/>
      </c>
      <c r="W3296" s="10">
        <f>IF(A3296="c",LEFT(UPPER(B3296)&amp;REPT(" ",20),20),REPT(" ",20))</f>
        <v/>
      </c>
      <c r="X3296" s="10">
        <f>IF(A3296="C",LEFT(UPPER(C3296)&amp;REPT(" ",10),10)," ")</f>
        <v/>
      </c>
      <c r="Y3296" s="10">
        <f>IF(A3296="C",LEFT(UPPER(D3296)&amp;REPT(" ",2),2)," ")</f>
        <v/>
      </c>
      <c r="Z3296" s="10">
        <f>IF(A3296="C",LEFT(UPPER(E3296)&amp;REPT(" ",15),15)," ")</f>
        <v/>
      </c>
      <c r="AA3296" s="10">
        <f>REPT(" ",8)</f>
        <v/>
      </c>
      <c r="AB3296" s="10">
        <f>REPT(" ",4)</f>
        <v/>
      </c>
      <c r="AC3296" s="10">
        <f>LEFT(UPPER(H3296)&amp;REPT(" ",250),250)</f>
        <v/>
      </c>
      <c r="AD3296" s="10">
        <f>TEXT($G$2,"dd/mm/aaaa")</f>
        <v/>
      </c>
      <c r="AE3296" s="10">
        <f>REPT(" ",10)</f>
        <v/>
      </c>
      <c r="AF3296" s="10">
        <f>REPT(" ",20)</f>
        <v/>
      </c>
      <c r="AG3296" s="54">
        <f>REPT(" ",18-LEN(FIXED(F3296,2,TRUE)))&amp;FIXED(F3296,2,TRUE)</f>
        <v/>
      </c>
      <c r="AH3296" s="10">
        <f>LEN(AC3296)+LEN(AG3296)</f>
        <v/>
      </c>
      <c r="AI3296" s="10">
        <f>LEN(L3296)</f>
        <v/>
      </c>
    </row>
    <row r="3297">
      <c r="J3297" s="12">
        <f>IF(F3297&lt;&gt;0,"LANÇAR","")</f>
        <v/>
      </c>
      <c r="L3297" s="13">
        <f>N3297&amp;O3297&amp;P3297&amp;Q3297&amp;R3297&amp;S3297&amp;T3297&amp;U3297&amp;V3297&amp;W3297&amp;X3297&amp;Y3297&amp;Z3297&amp;AA3297&amp;AB3297&amp;AC3297&amp;AD3297&amp;AE3297&amp;AF3297&amp;AG3297</f>
        <v/>
      </c>
      <c r="N3297" s="10">
        <f>TEXT($B$6,"00")</f>
        <v/>
      </c>
      <c r="O3297" s="10">
        <f>REPT(" ",8)</f>
        <v/>
      </c>
      <c r="P3297" s="10">
        <f>RIGHT($B$4,2)</f>
        <v/>
      </c>
      <c r="Q3297" s="10">
        <f>RIGHT($B$5,3)</f>
        <v/>
      </c>
      <c r="R3297" s="10">
        <f>IF(A3297="D",LEFT(UPPER(B3297)&amp;REPT(" ",20),20),REPT(" ",20))</f>
        <v/>
      </c>
      <c r="S3297" s="10">
        <f>IF(A3297="D",LEFT(UPPER(C3297)&amp;REPT(" ",10),10)," ")</f>
        <v/>
      </c>
      <c r="T3297" s="10">
        <f>IF(A3297="D",LEFT(UPPER(D3297)&amp;REPT(" ",2),2)," ")</f>
        <v/>
      </c>
      <c r="U3297" s="10">
        <f>IF(A3297="D",LEFT(UPPER(E3297)&amp;REPT(" ",15),15)," ")</f>
        <v/>
      </c>
      <c r="V3297" s="10">
        <f>REPT(" ",24)</f>
        <v/>
      </c>
      <c r="W3297" s="10">
        <f>IF(A3297="c",LEFT(UPPER(B3297)&amp;REPT(" ",20),20),REPT(" ",20))</f>
        <v/>
      </c>
      <c r="X3297" s="10">
        <f>IF(A3297="C",LEFT(UPPER(C3297)&amp;REPT(" ",10),10)," ")</f>
        <v/>
      </c>
      <c r="Y3297" s="10">
        <f>IF(A3297="C",LEFT(UPPER(D3297)&amp;REPT(" ",2),2)," ")</f>
        <v/>
      </c>
      <c r="Z3297" s="10">
        <f>IF(A3297="C",LEFT(UPPER(E3297)&amp;REPT(" ",15),15)," ")</f>
        <v/>
      </c>
      <c r="AA3297" s="10">
        <f>REPT(" ",8)</f>
        <v/>
      </c>
      <c r="AB3297" s="10">
        <f>REPT(" ",4)</f>
        <v/>
      </c>
      <c r="AC3297" s="10">
        <f>LEFT(UPPER(H3297)&amp;REPT(" ",250),250)</f>
        <v/>
      </c>
      <c r="AD3297" s="10">
        <f>TEXT($G$2,"dd/mm/aaaa")</f>
        <v/>
      </c>
      <c r="AE3297" s="10">
        <f>REPT(" ",10)</f>
        <v/>
      </c>
      <c r="AF3297" s="10">
        <f>REPT(" ",20)</f>
        <v/>
      </c>
      <c r="AG3297" s="54">
        <f>REPT(" ",18-LEN(FIXED(F3297,2,TRUE)))&amp;FIXED(F3297,2,TRUE)</f>
        <v/>
      </c>
      <c r="AH3297" s="10">
        <f>LEN(AC3297)+LEN(AG3297)</f>
        <v/>
      </c>
      <c r="AI3297" s="10">
        <f>LEN(L3297)</f>
        <v/>
      </c>
    </row>
    <row r="3298">
      <c r="J3298" s="12">
        <f>IF(F3298&lt;&gt;0,"LANÇAR","")</f>
        <v/>
      </c>
      <c r="L3298" s="13">
        <f>N3298&amp;O3298&amp;P3298&amp;Q3298&amp;R3298&amp;S3298&amp;T3298&amp;U3298&amp;V3298&amp;W3298&amp;X3298&amp;Y3298&amp;Z3298&amp;AA3298&amp;AB3298&amp;AC3298&amp;AD3298&amp;AE3298&amp;AF3298&amp;AG3298</f>
        <v/>
      </c>
      <c r="N3298" s="10">
        <f>TEXT($B$6,"00")</f>
        <v/>
      </c>
      <c r="O3298" s="10">
        <f>REPT(" ",8)</f>
        <v/>
      </c>
      <c r="P3298" s="10">
        <f>RIGHT($B$4,2)</f>
        <v/>
      </c>
      <c r="Q3298" s="10">
        <f>RIGHT($B$5,3)</f>
        <v/>
      </c>
      <c r="R3298" s="10">
        <f>IF(A3298="D",LEFT(UPPER(B3298)&amp;REPT(" ",20),20),REPT(" ",20))</f>
        <v/>
      </c>
      <c r="S3298" s="10">
        <f>IF(A3298="D",LEFT(UPPER(C3298)&amp;REPT(" ",10),10)," ")</f>
        <v/>
      </c>
      <c r="T3298" s="10">
        <f>IF(A3298="D",LEFT(UPPER(D3298)&amp;REPT(" ",2),2)," ")</f>
        <v/>
      </c>
      <c r="U3298" s="10">
        <f>IF(A3298="D",LEFT(UPPER(E3298)&amp;REPT(" ",15),15)," ")</f>
        <v/>
      </c>
      <c r="V3298" s="10">
        <f>REPT(" ",24)</f>
        <v/>
      </c>
      <c r="W3298" s="10">
        <f>IF(A3298="c",LEFT(UPPER(B3298)&amp;REPT(" ",20),20),REPT(" ",20))</f>
        <v/>
      </c>
      <c r="X3298" s="10">
        <f>IF(A3298="C",LEFT(UPPER(C3298)&amp;REPT(" ",10),10)," ")</f>
        <v/>
      </c>
      <c r="Y3298" s="10">
        <f>IF(A3298="C",LEFT(UPPER(D3298)&amp;REPT(" ",2),2)," ")</f>
        <v/>
      </c>
      <c r="Z3298" s="10">
        <f>IF(A3298="C",LEFT(UPPER(E3298)&amp;REPT(" ",15),15)," ")</f>
        <v/>
      </c>
      <c r="AA3298" s="10">
        <f>REPT(" ",8)</f>
        <v/>
      </c>
      <c r="AB3298" s="10">
        <f>REPT(" ",4)</f>
        <v/>
      </c>
      <c r="AC3298" s="10">
        <f>LEFT(UPPER(H3298)&amp;REPT(" ",250),250)</f>
        <v/>
      </c>
      <c r="AD3298" s="10">
        <f>TEXT($G$2,"dd/mm/aaaa")</f>
        <v/>
      </c>
      <c r="AE3298" s="10">
        <f>REPT(" ",10)</f>
        <v/>
      </c>
      <c r="AF3298" s="10">
        <f>REPT(" ",20)</f>
        <v/>
      </c>
      <c r="AG3298" s="54">
        <f>REPT(" ",18-LEN(FIXED(F3298,2,TRUE)))&amp;FIXED(F3298,2,TRUE)</f>
        <v/>
      </c>
      <c r="AH3298" s="10">
        <f>LEN(AC3298)+LEN(AG3298)</f>
        <v/>
      </c>
      <c r="AI3298" s="10">
        <f>LEN(L3298)</f>
        <v/>
      </c>
    </row>
    <row r="3299">
      <c r="J3299" s="12">
        <f>IF(F3299&lt;&gt;0,"LANÇAR","")</f>
        <v/>
      </c>
      <c r="L3299" s="13">
        <f>N3299&amp;O3299&amp;P3299&amp;Q3299&amp;R3299&amp;S3299&amp;T3299&amp;U3299&amp;V3299&amp;W3299&amp;X3299&amp;Y3299&amp;Z3299&amp;AA3299&amp;AB3299&amp;AC3299&amp;AD3299&amp;AE3299&amp;AF3299&amp;AG3299</f>
        <v/>
      </c>
      <c r="N3299" s="10">
        <f>TEXT($B$6,"00")</f>
        <v/>
      </c>
      <c r="O3299" s="10">
        <f>REPT(" ",8)</f>
        <v/>
      </c>
      <c r="P3299" s="10">
        <f>RIGHT($B$4,2)</f>
        <v/>
      </c>
      <c r="Q3299" s="10">
        <f>RIGHT($B$5,3)</f>
        <v/>
      </c>
      <c r="R3299" s="10">
        <f>IF(A3299="D",LEFT(UPPER(B3299)&amp;REPT(" ",20),20),REPT(" ",20))</f>
        <v/>
      </c>
      <c r="S3299" s="10">
        <f>IF(A3299="D",LEFT(UPPER(C3299)&amp;REPT(" ",10),10)," ")</f>
        <v/>
      </c>
      <c r="T3299" s="10">
        <f>IF(A3299="D",LEFT(UPPER(D3299)&amp;REPT(" ",2),2)," ")</f>
        <v/>
      </c>
      <c r="U3299" s="10">
        <f>IF(A3299="D",LEFT(UPPER(E3299)&amp;REPT(" ",15),15)," ")</f>
        <v/>
      </c>
      <c r="V3299" s="10">
        <f>REPT(" ",24)</f>
        <v/>
      </c>
      <c r="W3299" s="10">
        <f>IF(A3299="c",LEFT(UPPER(B3299)&amp;REPT(" ",20),20),REPT(" ",20))</f>
        <v/>
      </c>
      <c r="X3299" s="10">
        <f>IF(A3299="C",LEFT(UPPER(C3299)&amp;REPT(" ",10),10)," ")</f>
        <v/>
      </c>
      <c r="Y3299" s="10">
        <f>IF(A3299="C",LEFT(UPPER(D3299)&amp;REPT(" ",2),2)," ")</f>
        <v/>
      </c>
      <c r="Z3299" s="10">
        <f>IF(A3299="C",LEFT(UPPER(E3299)&amp;REPT(" ",15),15)," ")</f>
        <v/>
      </c>
      <c r="AA3299" s="10">
        <f>REPT(" ",8)</f>
        <v/>
      </c>
      <c r="AB3299" s="10">
        <f>REPT(" ",4)</f>
        <v/>
      </c>
      <c r="AC3299" s="10">
        <f>LEFT(UPPER(H3299)&amp;REPT(" ",250),250)</f>
        <v/>
      </c>
      <c r="AD3299" s="10">
        <f>TEXT($G$2,"dd/mm/aaaa")</f>
        <v/>
      </c>
      <c r="AE3299" s="10">
        <f>REPT(" ",10)</f>
        <v/>
      </c>
      <c r="AF3299" s="10">
        <f>REPT(" ",20)</f>
        <v/>
      </c>
      <c r="AG3299" s="54">
        <f>REPT(" ",18-LEN(FIXED(F3299,2,TRUE)))&amp;FIXED(F3299,2,TRUE)</f>
        <v/>
      </c>
      <c r="AH3299" s="10">
        <f>LEN(AC3299)+LEN(AG3299)</f>
        <v/>
      </c>
      <c r="AI3299" s="10">
        <f>LEN(L3299)</f>
        <v/>
      </c>
    </row>
    <row r="3300">
      <c r="J3300" s="12">
        <f>IF(F3300&lt;&gt;0,"LANÇAR","")</f>
        <v/>
      </c>
      <c r="L3300" s="13">
        <f>N3300&amp;O3300&amp;P3300&amp;Q3300&amp;R3300&amp;S3300&amp;T3300&amp;U3300&amp;V3300&amp;W3300&amp;X3300&amp;Y3300&amp;Z3300&amp;AA3300&amp;AB3300&amp;AC3300&amp;AD3300&amp;AE3300&amp;AF3300&amp;AG3300</f>
        <v/>
      </c>
      <c r="N3300" s="10">
        <f>TEXT($B$6,"00")</f>
        <v/>
      </c>
      <c r="O3300" s="10">
        <f>REPT(" ",8)</f>
        <v/>
      </c>
      <c r="P3300" s="10">
        <f>RIGHT($B$4,2)</f>
        <v/>
      </c>
      <c r="Q3300" s="10">
        <f>RIGHT($B$5,3)</f>
        <v/>
      </c>
      <c r="R3300" s="10">
        <f>IF(A3300="D",LEFT(UPPER(B3300)&amp;REPT(" ",20),20),REPT(" ",20))</f>
        <v/>
      </c>
      <c r="S3300" s="10">
        <f>IF(A3300="D",LEFT(UPPER(C3300)&amp;REPT(" ",10),10)," ")</f>
        <v/>
      </c>
      <c r="T3300" s="10">
        <f>IF(A3300="D",LEFT(UPPER(D3300)&amp;REPT(" ",2),2)," ")</f>
        <v/>
      </c>
      <c r="U3300" s="10">
        <f>IF(A3300="D",LEFT(UPPER(E3300)&amp;REPT(" ",15),15)," ")</f>
        <v/>
      </c>
      <c r="V3300" s="10">
        <f>REPT(" ",24)</f>
        <v/>
      </c>
      <c r="W3300" s="10">
        <f>IF(A3300="c",LEFT(UPPER(B3300)&amp;REPT(" ",20),20),REPT(" ",20))</f>
        <v/>
      </c>
      <c r="X3300" s="10">
        <f>IF(A3300="C",LEFT(UPPER(C3300)&amp;REPT(" ",10),10)," ")</f>
        <v/>
      </c>
      <c r="Y3300" s="10">
        <f>IF(A3300="C",LEFT(UPPER(D3300)&amp;REPT(" ",2),2)," ")</f>
        <v/>
      </c>
      <c r="Z3300" s="10">
        <f>IF(A3300="C",LEFT(UPPER(E3300)&amp;REPT(" ",15),15)," ")</f>
        <v/>
      </c>
      <c r="AA3300" s="10">
        <f>REPT(" ",8)</f>
        <v/>
      </c>
      <c r="AB3300" s="10">
        <f>REPT(" ",4)</f>
        <v/>
      </c>
      <c r="AC3300" s="10">
        <f>LEFT(UPPER(H3300)&amp;REPT(" ",250),250)</f>
        <v/>
      </c>
      <c r="AD3300" s="10">
        <f>TEXT($G$2,"dd/mm/aaaa")</f>
        <v/>
      </c>
      <c r="AE3300" s="10">
        <f>REPT(" ",10)</f>
        <v/>
      </c>
      <c r="AF3300" s="10">
        <f>REPT(" ",20)</f>
        <v/>
      </c>
      <c r="AG3300" s="54">
        <f>REPT(" ",18-LEN(FIXED(F3300,2,TRUE)))&amp;FIXED(F3300,2,TRUE)</f>
        <v/>
      </c>
      <c r="AH3300" s="10">
        <f>LEN(AC3300)+LEN(AG3300)</f>
        <v/>
      </c>
      <c r="AI3300" s="10">
        <f>LEN(L3300)</f>
        <v/>
      </c>
    </row>
    <row r="3301">
      <c r="J3301" s="12">
        <f>IF(F3301&lt;&gt;0,"LANÇAR","")</f>
        <v/>
      </c>
      <c r="L3301" s="13">
        <f>N3301&amp;O3301&amp;P3301&amp;Q3301&amp;R3301&amp;S3301&amp;T3301&amp;U3301&amp;V3301&amp;W3301&amp;X3301&amp;Y3301&amp;Z3301&amp;AA3301&amp;AB3301&amp;AC3301&amp;AD3301&amp;AE3301&amp;AF3301&amp;AG3301</f>
        <v/>
      </c>
      <c r="N3301" s="10">
        <f>TEXT($B$6,"00")</f>
        <v/>
      </c>
      <c r="O3301" s="10">
        <f>REPT(" ",8)</f>
        <v/>
      </c>
      <c r="P3301" s="10">
        <f>RIGHT($B$4,2)</f>
        <v/>
      </c>
      <c r="Q3301" s="10">
        <f>RIGHT($B$5,3)</f>
        <v/>
      </c>
      <c r="R3301" s="10">
        <f>IF(A3301="D",LEFT(UPPER(B3301)&amp;REPT(" ",20),20),REPT(" ",20))</f>
        <v/>
      </c>
      <c r="S3301" s="10">
        <f>IF(A3301="D",LEFT(UPPER(C3301)&amp;REPT(" ",10),10)," ")</f>
        <v/>
      </c>
      <c r="T3301" s="10">
        <f>IF(A3301="D",LEFT(UPPER(D3301)&amp;REPT(" ",2),2)," ")</f>
        <v/>
      </c>
      <c r="U3301" s="10">
        <f>IF(A3301="D",LEFT(UPPER(E3301)&amp;REPT(" ",15),15)," ")</f>
        <v/>
      </c>
      <c r="V3301" s="10">
        <f>REPT(" ",24)</f>
        <v/>
      </c>
      <c r="W3301" s="10">
        <f>IF(A3301="c",LEFT(UPPER(B3301)&amp;REPT(" ",20),20),REPT(" ",20))</f>
        <v/>
      </c>
      <c r="X3301" s="10">
        <f>IF(A3301="C",LEFT(UPPER(C3301)&amp;REPT(" ",10),10)," ")</f>
        <v/>
      </c>
      <c r="Y3301" s="10">
        <f>IF(A3301="C",LEFT(UPPER(D3301)&amp;REPT(" ",2),2)," ")</f>
        <v/>
      </c>
      <c r="Z3301" s="10">
        <f>IF(A3301="C",LEFT(UPPER(E3301)&amp;REPT(" ",15),15)," ")</f>
        <v/>
      </c>
      <c r="AA3301" s="10">
        <f>REPT(" ",8)</f>
        <v/>
      </c>
      <c r="AB3301" s="10">
        <f>REPT(" ",4)</f>
        <v/>
      </c>
      <c r="AC3301" s="10">
        <f>LEFT(UPPER(H3301)&amp;REPT(" ",250),250)</f>
        <v/>
      </c>
      <c r="AD3301" s="10">
        <f>TEXT($G$2,"dd/mm/aaaa")</f>
        <v/>
      </c>
      <c r="AE3301" s="10">
        <f>REPT(" ",10)</f>
        <v/>
      </c>
      <c r="AF3301" s="10">
        <f>REPT(" ",20)</f>
        <v/>
      </c>
      <c r="AG3301" s="54">
        <f>REPT(" ",18-LEN(FIXED(F3301,2,TRUE)))&amp;FIXED(F3301,2,TRUE)</f>
        <v/>
      </c>
      <c r="AH3301" s="10">
        <f>LEN(AC3301)+LEN(AG3301)</f>
        <v/>
      </c>
      <c r="AI3301" s="10">
        <f>LEN(L3301)</f>
        <v/>
      </c>
    </row>
    <row r="3302">
      <c r="J3302" s="12">
        <f>IF(F3302&lt;&gt;0,"LANÇAR","")</f>
        <v/>
      </c>
      <c r="L3302" s="13">
        <f>N3302&amp;O3302&amp;P3302&amp;Q3302&amp;R3302&amp;S3302&amp;T3302&amp;U3302&amp;V3302&amp;W3302&amp;X3302&amp;Y3302&amp;Z3302&amp;AA3302&amp;AB3302&amp;AC3302&amp;AD3302&amp;AE3302&amp;AF3302&amp;AG3302</f>
        <v/>
      </c>
      <c r="N3302" s="10">
        <f>TEXT($B$6,"00")</f>
        <v/>
      </c>
      <c r="O3302" s="10">
        <f>REPT(" ",8)</f>
        <v/>
      </c>
      <c r="P3302" s="10">
        <f>RIGHT($B$4,2)</f>
        <v/>
      </c>
      <c r="Q3302" s="10">
        <f>RIGHT($B$5,3)</f>
        <v/>
      </c>
      <c r="R3302" s="10">
        <f>IF(A3302="D",LEFT(UPPER(B3302)&amp;REPT(" ",20),20),REPT(" ",20))</f>
        <v/>
      </c>
      <c r="S3302" s="10">
        <f>IF(A3302="D",LEFT(UPPER(C3302)&amp;REPT(" ",10),10)," ")</f>
        <v/>
      </c>
      <c r="T3302" s="10">
        <f>IF(A3302="D",LEFT(UPPER(D3302)&amp;REPT(" ",2),2)," ")</f>
        <v/>
      </c>
      <c r="U3302" s="10">
        <f>IF(A3302="D",LEFT(UPPER(E3302)&amp;REPT(" ",15),15)," ")</f>
        <v/>
      </c>
      <c r="V3302" s="10">
        <f>REPT(" ",24)</f>
        <v/>
      </c>
      <c r="W3302" s="10">
        <f>IF(A3302="c",LEFT(UPPER(B3302)&amp;REPT(" ",20),20),REPT(" ",20))</f>
        <v/>
      </c>
      <c r="X3302" s="10">
        <f>IF(A3302="C",LEFT(UPPER(C3302)&amp;REPT(" ",10),10)," ")</f>
        <v/>
      </c>
      <c r="Y3302" s="10">
        <f>IF(A3302="C",LEFT(UPPER(D3302)&amp;REPT(" ",2),2)," ")</f>
        <v/>
      </c>
      <c r="Z3302" s="10">
        <f>IF(A3302="C",LEFT(UPPER(E3302)&amp;REPT(" ",15),15)," ")</f>
        <v/>
      </c>
      <c r="AA3302" s="10">
        <f>REPT(" ",8)</f>
        <v/>
      </c>
      <c r="AB3302" s="10">
        <f>REPT(" ",4)</f>
        <v/>
      </c>
      <c r="AC3302" s="10">
        <f>LEFT(UPPER(H3302)&amp;REPT(" ",250),250)</f>
        <v/>
      </c>
      <c r="AD3302" s="10">
        <f>TEXT($G$2,"dd/mm/aaaa")</f>
        <v/>
      </c>
      <c r="AE3302" s="10">
        <f>REPT(" ",10)</f>
        <v/>
      </c>
      <c r="AF3302" s="10">
        <f>REPT(" ",20)</f>
        <v/>
      </c>
      <c r="AG3302" s="54">
        <f>REPT(" ",18-LEN(FIXED(F3302,2,TRUE)))&amp;FIXED(F3302,2,TRUE)</f>
        <v/>
      </c>
      <c r="AH3302" s="10">
        <f>LEN(AC3302)+LEN(AG3302)</f>
        <v/>
      </c>
      <c r="AI3302" s="10">
        <f>LEN(L3302)</f>
        <v/>
      </c>
    </row>
    <row r="3303">
      <c r="J3303" s="12">
        <f>IF(F3303&lt;&gt;0,"LANÇAR","")</f>
        <v/>
      </c>
      <c r="L3303" s="13">
        <f>N3303&amp;O3303&amp;P3303&amp;Q3303&amp;R3303&amp;S3303&amp;T3303&amp;U3303&amp;V3303&amp;W3303&amp;X3303&amp;Y3303&amp;Z3303&amp;AA3303&amp;AB3303&amp;AC3303&amp;AD3303&amp;AE3303&amp;AF3303&amp;AG3303</f>
        <v/>
      </c>
      <c r="N3303" s="10">
        <f>TEXT($B$6,"00")</f>
        <v/>
      </c>
      <c r="O3303" s="10">
        <f>REPT(" ",8)</f>
        <v/>
      </c>
      <c r="P3303" s="10">
        <f>RIGHT($B$4,2)</f>
        <v/>
      </c>
      <c r="Q3303" s="10">
        <f>RIGHT($B$5,3)</f>
        <v/>
      </c>
      <c r="R3303" s="10">
        <f>IF(A3303="D",LEFT(UPPER(B3303)&amp;REPT(" ",20),20),REPT(" ",20))</f>
        <v/>
      </c>
      <c r="S3303" s="10">
        <f>IF(A3303="D",LEFT(UPPER(C3303)&amp;REPT(" ",10),10)," ")</f>
        <v/>
      </c>
      <c r="T3303" s="10">
        <f>IF(A3303="D",LEFT(UPPER(D3303)&amp;REPT(" ",2),2)," ")</f>
        <v/>
      </c>
      <c r="U3303" s="10">
        <f>IF(A3303="D",LEFT(UPPER(E3303)&amp;REPT(" ",15),15)," ")</f>
        <v/>
      </c>
      <c r="V3303" s="10">
        <f>REPT(" ",24)</f>
        <v/>
      </c>
      <c r="W3303" s="10">
        <f>IF(A3303="c",LEFT(UPPER(B3303)&amp;REPT(" ",20),20),REPT(" ",20))</f>
        <v/>
      </c>
      <c r="X3303" s="10">
        <f>IF(A3303="C",LEFT(UPPER(C3303)&amp;REPT(" ",10),10)," ")</f>
        <v/>
      </c>
      <c r="Y3303" s="10">
        <f>IF(A3303="C",LEFT(UPPER(D3303)&amp;REPT(" ",2),2)," ")</f>
        <v/>
      </c>
      <c r="Z3303" s="10">
        <f>IF(A3303="C",LEFT(UPPER(E3303)&amp;REPT(" ",15),15)," ")</f>
        <v/>
      </c>
      <c r="AA3303" s="10">
        <f>REPT(" ",8)</f>
        <v/>
      </c>
      <c r="AB3303" s="10">
        <f>REPT(" ",4)</f>
        <v/>
      </c>
      <c r="AC3303" s="10">
        <f>LEFT(UPPER(H3303)&amp;REPT(" ",250),250)</f>
        <v/>
      </c>
      <c r="AD3303" s="10">
        <f>TEXT($G$2,"dd/mm/aaaa")</f>
        <v/>
      </c>
      <c r="AE3303" s="10">
        <f>REPT(" ",10)</f>
        <v/>
      </c>
      <c r="AF3303" s="10">
        <f>REPT(" ",20)</f>
        <v/>
      </c>
      <c r="AG3303" s="54">
        <f>REPT(" ",18-LEN(FIXED(F3303,2,TRUE)))&amp;FIXED(F3303,2,TRUE)</f>
        <v/>
      </c>
      <c r="AH3303" s="10">
        <f>LEN(AC3303)+LEN(AG3303)</f>
        <v/>
      </c>
      <c r="AI3303" s="10">
        <f>LEN(L3303)</f>
        <v/>
      </c>
    </row>
    <row r="3304">
      <c r="J3304" s="12">
        <f>IF(F3304&lt;&gt;0,"LANÇAR","")</f>
        <v/>
      </c>
      <c r="L3304" s="13">
        <f>N3304&amp;O3304&amp;P3304&amp;Q3304&amp;R3304&amp;S3304&amp;T3304&amp;U3304&amp;V3304&amp;W3304&amp;X3304&amp;Y3304&amp;Z3304&amp;AA3304&amp;AB3304&amp;AC3304&amp;AD3304&amp;AE3304&amp;AF3304&amp;AG3304</f>
        <v/>
      </c>
      <c r="N3304" s="10">
        <f>TEXT($B$6,"00")</f>
        <v/>
      </c>
      <c r="O3304" s="10">
        <f>REPT(" ",8)</f>
        <v/>
      </c>
      <c r="P3304" s="10">
        <f>RIGHT($B$4,2)</f>
        <v/>
      </c>
      <c r="Q3304" s="10">
        <f>RIGHT($B$5,3)</f>
        <v/>
      </c>
      <c r="R3304" s="10">
        <f>IF(A3304="D",LEFT(UPPER(B3304)&amp;REPT(" ",20),20),REPT(" ",20))</f>
        <v/>
      </c>
      <c r="S3304" s="10">
        <f>IF(A3304="D",LEFT(UPPER(C3304)&amp;REPT(" ",10),10)," ")</f>
        <v/>
      </c>
      <c r="T3304" s="10">
        <f>IF(A3304="D",LEFT(UPPER(D3304)&amp;REPT(" ",2),2)," ")</f>
        <v/>
      </c>
      <c r="U3304" s="10">
        <f>IF(A3304="D",LEFT(UPPER(E3304)&amp;REPT(" ",15),15)," ")</f>
        <v/>
      </c>
      <c r="V3304" s="10">
        <f>REPT(" ",24)</f>
        <v/>
      </c>
      <c r="W3304" s="10">
        <f>IF(A3304="c",LEFT(UPPER(B3304)&amp;REPT(" ",20),20),REPT(" ",20))</f>
        <v/>
      </c>
      <c r="X3304" s="10">
        <f>IF(A3304="C",LEFT(UPPER(C3304)&amp;REPT(" ",10),10)," ")</f>
        <v/>
      </c>
      <c r="Y3304" s="10">
        <f>IF(A3304="C",LEFT(UPPER(D3304)&amp;REPT(" ",2),2)," ")</f>
        <v/>
      </c>
      <c r="Z3304" s="10">
        <f>IF(A3304="C",LEFT(UPPER(E3304)&amp;REPT(" ",15),15)," ")</f>
        <v/>
      </c>
      <c r="AA3304" s="10">
        <f>REPT(" ",8)</f>
        <v/>
      </c>
      <c r="AB3304" s="10">
        <f>REPT(" ",4)</f>
        <v/>
      </c>
      <c r="AC3304" s="10">
        <f>LEFT(UPPER(H3304)&amp;REPT(" ",250),250)</f>
        <v/>
      </c>
      <c r="AD3304" s="10">
        <f>TEXT($G$2,"dd/mm/aaaa")</f>
        <v/>
      </c>
      <c r="AE3304" s="10">
        <f>REPT(" ",10)</f>
        <v/>
      </c>
      <c r="AF3304" s="10">
        <f>REPT(" ",20)</f>
        <v/>
      </c>
      <c r="AG3304" s="54">
        <f>REPT(" ",18-LEN(FIXED(F3304,2,TRUE)))&amp;FIXED(F3304,2,TRUE)</f>
        <v/>
      </c>
      <c r="AH3304" s="10">
        <f>LEN(AC3304)+LEN(AG3304)</f>
        <v/>
      </c>
      <c r="AI3304" s="10">
        <f>LEN(L3304)</f>
        <v/>
      </c>
    </row>
    <row r="3305">
      <c r="J3305" s="12">
        <f>IF(F3305&lt;&gt;0,"LANÇAR","")</f>
        <v/>
      </c>
      <c r="L3305" s="13">
        <f>N3305&amp;O3305&amp;P3305&amp;Q3305&amp;R3305&amp;S3305&amp;T3305&amp;U3305&amp;V3305&amp;W3305&amp;X3305&amp;Y3305&amp;Z3305&amp;AA3305&amp;AB3305&amp;AC3305&amp;AD3305&amp;AE3305&amp;AF3305&amp;AG3305</f>
        <v/>
      </c>
      <c r="N3305" s="10">
        <f>TEXT($B$6,"00")</f>
        <v/>
      </c>
      <c r="O3305" s="10">
        <f>REPT(" ",8)</f>
        <v/>
      </c>
      <c r="P3305" s="10">
        <f>RIGHT($B$4,2)</f>
        <v/>
      </c>
      <c r="Q3305" s="10">
        <f>RIGHT($B$5,3)</f>
        <v/>
      </c>
      <c r="R3305" s="10">
        <f>IF(A3305="D",LEFT(UPPER(B3305)&amp;REPT(" ",20),20),REPT(" ",20))</f>
        <v/>
      </c>
      <c r="S3305" s="10">
        <f>IF(A3305="D",LEFT(UPPER(C3305)&amp;REPT(" ",10),10)," ")</f>
        <v/>
      </c>
      <c r="T3305" s="10">
        <f>IF(A3305="D",LEFT(UPPER(D3305)&amp;REPT(" ",2),2)," ")</f>
        <v/>
      </c>
      <c r="U3305" s="10">
        <f>IF(A3305="D",LEFT(UPPER(E3305)&amp;REPT(" ",15),15)," ")</f>
        <v/>
      </c>
      <c r="V3305" s="10">
        <f>REPT(" ",24)</f>
        <v/>
      </c>
      <c r="W3305" s="10">
        <f>IF(A3305="c",LEFT(UPPER(B3305)&amp;REPT(" ",20),20),REPT(" ",20))</f>
        <v/>
      </c>
      <c r="X3305" s="10">
        <f>IF(A3305="C",LEFT(UPPER(C3305)&amp;REPT(" ",10),10)," ")</f>
        <v/>
      </c>
      <c r="Y3305" s="10">
        <f>IF(A3305="C",LEFT(UPPER(D3305)&amp;REPT(" ",2),2)," ")</f>
        <v/>
      </c>
      <c r="Z3305" s="10">
        <f>IF(A3305="C",LEFT(UPPER(E3305)&amp;REPT(" ",15),15)," ")</f>
        <v/>
      </c>
      <c r="AA3305" s="10">
        <f>REPT(" ",8)</f>
        <v/>
      </c>
      <c r="AB3305" s="10">
        <f>REPT(" ",4)</f>
        <v/>
      </c>
      <c r="AC3305" s="10">
        <f>LEFT(UPPER(H3305)&amp;REPT(" ",250),250)</f>
        <v/>
      </c>
      <c r="AD3305" s="10">
        <f>TEXT($G$2,"dd/mm/aaaa")</f>
        <v/>
      </c>
      <c r="AE3305" s="10">
        <f>REPT(" ",10)</f>
        <v/>
      </c>
      <c r="AF3305" s="10">
        <f>REPT(" ",20)</f>
        <v/>
      </c>
      <c r="AG3305" s="54">
        <f>REPT(" ",18-LEN(FIXED(F3305,2,TRUE)))&amp;FIXED(F3305,2,TRUE)</f>
        <v/>
      </c>
      <c r="AH3305" s="10">
        <f>LEN(AC3305)+LEN(AG3305)</f>
        <v/>
      </c>
      <c r="AI3305" s="10">
        <f>LEN(L3305)</f>
        <v/>
      </c>
    </row>
    <row r="3306">
      <c r="J3306" s="12">
        <f>IF(F3306&lt;&gt;0,"LANÇAR","")</f>
        <v/>
      </c>
      <c r="L3306" s="13">
        <f>N3306&amp;O3306&amp;P3306&amp;Q3306&amp;R3306&amp;S3306&amp;T3306&amp;U3306&amp;V3306&amp;W3306&amp;X3306&amp;Y3306&amp;Z3306&amp;AA3306&amp;AB3306&amp;AC3306&amp;AD3306&amp;AE3306&amp;AF3306&amp;AG3306</f>
        <v/>
      </c>
      <c r="N3306" s="10">
        <f>TEXT($B$6,"00")</f>
        <v/>
      </c>
      <c r="O3306" s="10">
        <f>REPT(" ",8)</f>
        <v/>
      </c>
      <c r="P3306" s="10">
        <f>RIGHT($B$4,2)</f>
        <v/>
      </c>
      <c r="Q3306" s="10">
        <f>RIGHT($B$5,3)</f>
        <v/>
      </c>
      <c r="R3306" s="10">
        <f>IF(A3306="D",LEFT(UPPER(B3306)&amp;REPT(" ",20),20),REPT(" ",20))</f>
        <v/>
      </c>
      <c r="S3306" s="10">
        <f>IF(A3306="D",LEFT(UPPER(C3306)&amp;REPT(" ",10),10)," ")</f>
        <v/>
      </c>
      <c r="T3306" s="10">
        <f>IF(A3306="D",LEFT(UPPER(D3306)&amp;REPT(" ",2),2)," ")</f>
        <v/>
      </c>
      <c r="U3306" s="10">
        <f>IF(A3306="D",LEFT(UPPER(E3306)&amp;REPT(" ",15),15)," ")</f>
        <v/>
      </c>
      <c r="V3306" s="10">
        <f>REPT(" ",24)</f>
        <v/>
      </c>
      <c r="W3306" s="10">
        <f>IF(A3306="c",LEFT(UPPER(B3306)&amp;REPT(" ",20),20),REPT(" ",20))</f>
        <v/>
      </c>
      <c r="X3306" s="10">
        <f>IF(A3306="C",LEFT(UPPER(C3306)&amp;REPT(" ",10),10)," ")</f>
        <v/>
      </c>
      <c r="Y3306" s="10">
        <f>IF(A3306="C",LEFT(UPPER(D3306)&amp;REPT(" ",2),2)," ")</f>
        <v/>
      </c>
      <c r="Z3306" s="10">
        <f>IF(A3306="C",LEFT(UPPER(E3306)&amp;REPT(" ",15),15)," ")</f>
        <v/>
      </c>
      <c r="AA3306" s="10">
        <f>REPT(" ",8)</f>
        <v/>
      </c>
      <c r="AB3306" s="10">
        <f>REPT(" ",4)</f>
        <v/>
      </c>
      <c r="AC3306" s="10">
        <f>LEFT(UPPER(H3306)&amp;REPT(" ",250),250)</f>
        <v/>
      </c>
      <c r="AD3306" s="10">
        <f>TEXT($G$2,"dd/mm/aaaa")</f>
        <v/>
      </c>
      <c r="AE3306" s="10">
        <f>REPT(" ",10)</f>
        <v/>
      </c>
      <c r="AF3306" s="10">
        <f>REPT(" ",20)</f>
        <v/>
      </c>
      <c r="AG3306" s="54">
        <f>REPT(" ",18-LEN(FIXED(F3306,2,TRUE)))&amp;FIXED(F3306,2,TRUE)</f>
        <v/>
      </c>
      <c r="AH3306" s="10">
        <f>LEN(AC3306)+LEN(AG3306)</f>
        <v/>
      </c>
      <c r="AI3306" s="10">
        <f>LEN(L3306)</f>
        <v/>
      </c>
    </row>
    <row r="3307">
      <c r="J3307" s="12">
        <f>IF(F3307&lt;&gt;0,"LANÇAR","")</f>
        <v/>
      </c>
      <c r="L3307" s="13">
        <f>N3307&amp;O3307&amp;P3307&amp;Q3307&amp;R3307&amp;S3307&amp;T3307&amp;U3307&amp;V3307&amp;W3307&amp;X3307&amp;Y3307&amp;Z3307&amp;AA3307&amp;AB3307&amp;AC3307&amp;AD3307&amp;AE3307&amp;AF3307&amp;AG3307</f>
        <v/>
      </c>
      <c r="N3307" s="10">
        <f>TEXT($B$6,"00")</f>
        <v/>
      </c>
      <c r="O3307" s="10">
        <f>REPT(" ",8)</f>
        <v/>
      </c>
      <c r="P3307" s="10">
        <f>RIGHT($B$4,2)</f>
        <v/>
      </c>
      <c r="Q3307" s="10">
        <f>RIGHT($B$5,3)</f>
        <v/>
      </c>
      <c r="R3307" s="10">
        <f>IF(A3307="D",LEFT(UPPER(B3307)&amp;REPT(" ",20),20),REPT(" ",20))</f>
        <v/>
      </c>
      <c r="S3307" s="10">
        <f>IF(A3307="D",LEFT(UPPER(C3307)&amp;REPT(" ",10),10)," ")</f>
        <v/>
      </c>
      <c r="T3307" s="10">
        <f>IF(A3307="D",LEFT(UPPER(D3307)&amp;REPT(" ",2),2)," ")</f>
        <v/>
      </c>
      <c r="U3307" s="10">
        <f>IF(A3307="D",LEFT(UPPER(E3307)&amp;REPT(" ",15),15)," ")</f>
        <v/>
      </c>
      <c r="V3307" s="10">
        <f>REPT(" ",24)</f>
        <v/>
      </c>
      <c r="W3307" s="10">
        <f>IF(A3307="c",LEFT(UPPER(B3307)&amp;REPT(" ",20),20),REPT(" ",20))</f>
        <v/>
      </c>
      <c r="X3307" s="10">
        <f>IF(A3307="C",LEFT(UPPER(C3307)&amp;REPT(" ",10),10)," ")</f>
        <v/>
      </c>
      <c r="Y3307" s="10">
        <f>IF(A3307="C",LEFT(UPPER(D3307)&amp;REPT(" ",2),2)," ")</f>
        <v/>
      </c>
      <c r="Z3307" s="10">
        <f>IF(A3307="C",LEFT(UPPER(E3307)&amp;REPT(" ",15),15)," ")</f>
        <v/>
      </c>
      <c r="AA3307" s="10">
        <f>REPT(" ",8)</f>
        <v/>
      </c>
      <c r="AB3307" s="10">
        <f>REPT(" ",4)</f>
        <v/>
      </c>
      <c r="AC3307" s="10">
        <f>LEFT(UPPER(H3307)&amp;REPT(" ",250),250)</f>
        <v/>
      </c>
      <c r="AD3307" s="10">
        <f>TEXT($G$2,"dd/mm/aaaa")</f>
        <v/>
      </c>
      <c r="AE3307" s="10">
        <f>REPT(" ",10)</f>
        <v/>
      </c>
      <c r="AF3307" s="10">
        <f>REPT(" ",20)</f>
        <v/>
      </c>
      <c r="AG3307" s="54">
        <f>REPT(" ",18-LEN(FIXED(F3307,2,TRUE)))&amp;FIXED(F3307,2,TRUE)</f>
        <v/>
      </c>
      <c r="AH3307" s="10">
        <f>LEN(AC3307)+LEN(AG3307)</f>
        <v/>
      </c>
      <c r="AI3307" s="10">
        <f>LEN(L3307)</f>
        <v/>
      </c>
    </row>
    <row r="3308">
      <c r="J3308" s="12">
        <f>IF(F3308&lt;&gt;0,"LANÇAR","")</f>
        <v/>
      </c>
      <c r="L3308" s="13">
        <f>N3308&amp;O3308&amp;P3308&amp;Q3308&amp;R3308&amp;S3308&amp;T3308&amp;U3308&amp;V3308&amp;W3308&amp;X3308&amp;Y3308&amp;Z3308&amp;AA3308&amp;AB3308&amp;AC3308&amp;AD3308&amp;AE3308&amp;AF3308&amp;AG3308</f>
        <v/>
      </c>
      <c r="N3308" s="10">
        <f>TEXT($B$6,"00")</f>
        <v/>
      </c>
      <c r="O3308" s="10">
        <f>REPT(" ",8)</f>
        <v/>
      </c>
      <c r="P3308" s="10">
        <f>RIGHT($B$4,2)</f>
        <v/>
      </c>
      <c r="Q3308" s="10">
        <f>RIGHT($B$5,3)</f>
        <v/>
      </c>
      <c r="R3308" s="10">
        <f>IF(A3308="D",LEFT(UPPER(B3308)&amp;REPT(" ",20),20),REPT(" ",20))</f>
        <v/>
      </c>
      <c r="S3308" s="10">
        <f>IF(A3308="D",LEFT(UPPER(C3308)&amp;REPT(" ",10),10)," ")</f>
        <v/>
      </c>
      <c r="T3308" s="10">
        <f>IF(A3308="D",LEFT(UPPER(D3308)&amp;REPT(" ",2),2)," ")</f>
        <v/>
      </c>
      <c r="U3308" s="10">
        <f>IF(A3308="D",LEFT(UPPER(E3308)&amp;REPT(" ",15),15)," ")</f>
        <v/>
      </c>
      <c r="V3308" s="10">
        <f>REPT(" ",24)</f>
        <v/>
      </c>
      <c r="W3308" s="10">
        <f>IF(A3308="c",LEFT(UPPER(B3308)&amp;REPT(" ",20),20),REPT(" ",20))</f>
        <v/>
      </c>
      <c r="X3308" s="10">
        <f>IF(A3308="C",LEFT(UPPER(C3308)&amp;REPT(" ",10),10)," ")</f>
        <v/>
      </c>
      <c r="Y3308" s="10">
        <f>IF(A3308="C",LEFT(UPPER(D3308)&amp;REPT(" ",2),2)," ")</f>
        <v/>
      </c>
      <c r="Z3308" s="10">
        <f>IF(A3308="C",LEFT(UPPER(E3308)&amp;REPT(" ",15),15)," ")</f>
        <v/>
      </c>
      <c r="AA3308" s="10">
        <f>REPT(" ",8)</f>
        <v/>
      </c>
      <c r="AB3308" s="10">
        <f>REPT(" ",4)</f>
        <v/>
      </c>
      <c r="AC3308" s="10">
        <f>LEFT(UPPER(H3308)&amp;REPT(" ",250),250)</f>
        <v/>
      </c>
      <c r="AD3308" s="10">
        <f>TEXT($G$2,"dd/mm/aaaa")</f>
        <v/>
      </c>
      <c r="AE3308" s="10">
        <f>REPT(" ",10)</f>
        <v/>
      </c>
      <c r="AF3308" s="10">
        <f>REPT(" ",20)</f>
        <v/>
      </c>
      <c r="AG3308" s="54">
        <f>REPT(" ",18-LEN(FIXED(F3308,2,TRUE)))&amp;FIXED(F3308,2,TRUE)</f>
        <v/>
      </c>
      <c r="AH3308" s="10">
        <f>LEN(AC3308)+LEN(AG3308)</f>
        <v/>
      </c>
      <c r="AI3308" s="10">
        <f>LEN(L3308)</f>
        <v/>
      </c>
    </row>
    <row r="3309">
      <c r="J3309" s="12">
        <f>IF(F3309&lt;&gt;0,"LANÇAR","")</f>
        <v/>
      </c>
      <c r="L3309" s="13">
        <f>N3309&amp;O3309&amp;P3309&amp;Q3309&amp;R3309&amp;S3309&amp;T3309&amp;U3309&amp;V3309&amp;W3309&amp;X3309&amp;Y3309&amp;Z3309&amp;AA3309&amp;AB3309&amp;AC3309&amp;AD3309&amp;AE3309&amp;AF3309&amp;AG3309</f>
        <v/>
      </c>
      <c r="N3309" s="10">
        <f>TEXT($B$6,"00")</f>
        <v/>
      </c>
      <c r="O3309" s="10">
        <f>REPT(" ",8)</f>
        <v/>
      </c>
      <c r="P3309" s="10">
        <f>RIGHT($B$4,2)</f>
        <v/>
      </c>
      <c r="Q3309" s="10">
        <f>RIGHT($B$5,3)</f>
        <v/>
      </c>
      <c r="R3309" s="10">
        <f>IF(A3309="D",LEFT(UPPER(B3309)&amp;REPT(" ",20),20),REPT(" ",20))</f>
        <v/>
      </c>
      <c r="S3309" s="10">
        <f>IF(A3309="D",LEFT(UPPER(C3309)&amp;REPT(" ",10),10)," ")</f>
        <v/>
      </c>
      <c r="T3309" s="10">
        <f>IF(A3309="D",LEFT(UPPER(D3309)&amp;REPT(" ",2),2)," ")</f>
        <v/>
      </c>
      <c r="U3309" s="10">
        <f>IF(A3309="D",LEFT(UPPER(E3309)&amp;REPT(" ",15),15)," ")</f>
        <v/>
      </c>
      <c r="V3309" s="10">
        <f>REPT(" ",24)</f>
        <v/>
      </c>
      <c r="W3309" s="10">
        <f>IF(A3309="c",LEFT(UPPER(B3309)&amp;REPT(" ",20),20),REPT(" ",20))</f>
        <v/>
      </c>
      <c r="X3309" s="10">
        <f>IF(A3309="C",LEFT(UPPER(C3309)&amp;REPT(" ",10),10)," ")</f>
        <v/>
      </c>
      <c r="Y3309" s="10">
        <f>IF(A3309="C",LEFT(UPPER(D3309)&amp;REPT(" ",2),2)," ")</f>
        <v/>
      </c>
      <c r="Z3309" s="10">
        <f>IF(A3309="C",LEFT(UPPER(E3309)&amp;REPT(" ",15),15)," ")</f>
        <v/>
      </c>
      <c r="AA3309" s="10">
        <f>REPT(" ",8)</f>
        <v/>
      </c>
      <c r="AB3309" s="10">
        <f>REPT(" ",4)</f>
        <v/>
      </c>
      <c r="AC3309" s="10">
        <f>LEFT(UPPER(H3309)&amp;REPT(" ",250),250)</f>
        <v/>
      </c>
      <c r="AD3309" s="10">
        <f>TEXT($G$2,"dd/mm/aaaa")</f>
        <v/>
      </c>
      <c r="AE3309" s="10">
        <f>REPT(" ",10)</f>
        <v/>
      </c>
      <c r="AF3309" s="10">
        <f>REPT(" ",20)</f>
        <v/>
      </c>
      <c r="AG3309" s="54">
        <f>REPT(" ",18-LEN(FIXED(F3309,2,TRUE)))&amp;FIXED(F3309,2,TRUE)</f>
        <v/>
      </c>
      <c r="AH3309" s="10">
        <f>LEN(AC3309)+LEN(AG3309)</f>
        <v/>
      </c>
      <c r="AI3309" s="10">
        <f>LEN(L3309)</f>
        <v/>
      </c>
    </row>
    <row r="3310">
      <c r="J3310" s="12">
        <f>IF(F3310&lt;&gt;0,"LANÇAR","")</f>
        <v/>
      </c>
      <c r="L3310" s="13">
        <f>N3310&amp;O3310&amp;P3310&amp;Q3310&amp;R3310&amp;S3310&amp;T3310&amp;U3310&amp;V3310&amp;W3310&amp;X3310&amp;Y3310&amp;Z3310&amp;AA3310&amp;AB3310&amp;AC3310&amp;AD3310&amp;AE3310&amp;AF3310&amp;AG3310</f>
        <v/>
      </c>
      <c r="N3310" s="10">
        <f>TEXT($B$6,"00")</f>
        <v/>
      </c>
      <c r="O3310" s="10">
        <f>REPT(" ",8)</f>
        <v/>
      </c>
      <c r="P3310" s="10">
        <f>RIGHT($B$4,2)</f>
        <v/>
      </c>
      <c r="Q3310" s="10">
        <f>RIGHT($B$5,3)</f>
        <v/>
      </c>
      <c r="R3310" s="10">
        <f>IF(A3310="D",LEFT(UPPER(B3310)&amp;REPT(" ",20),20),REPT(" ",20))</f>
        <v/>
      </c>
      <c r="S3310" s="10">
        <f>IF(A3310="D",LEFT(UPPER(C3310)&amp;REPT(" ",10),10)," ")</f>
        <v/>
      </c>
      <c r="T3310" s="10">
        <f>IF(A3310="D",LEFT(UPPER(D3310)&amp;REPT(" ",2),2)," ")</f>
        <v/>
      </c>
      <c r="U3310" s="10">
        <f>IF(A3310="D",LEFT(UPPER(E3310)&amp;REPT(" ",15),15)," ")</f>
        <v/>
      </c>
      <c r="V3310" s="10">
        <f>REPT(" ",24)</f>
        <v/>
      </c>
      <c r="W3310" s="10">
        <f>IF(A3310="c",LEFT(UPPER(B3310)&amp;REPT(" ",20),20),REPT(" ",20))</f>
        <v/>
      </c>
      <c r="X3310" s="10">
        <f>IF(A3310="C",LEFT(UPPER(C3310)&amp;REPT(" ",10),10)," ")</f>
        <v/>
      </c>
      <c r="Y3310" s="10">
        <f>IF(A3310="C",LEFT(UPPER(D3310)&amp;REPT(" ",2),2)," ")</f>
        <v/>
      </c>
      <c r="Z3310" s="10">
        <f>IF(A3310="C",LEFT(UPPER(E3310)&amp;REPT(" ",15),15)," ")</f>
        <v/>
      </c>
      <c r="AA3310" s="10">
        <f>REPT(" ",8)</f>
        <v/>
      </c>
      <c r="AB3310" s="10">
        <f>REPT(" ",4)</f>
        <v/>
      </c>
      <c r="AC3310" s="10">
        <f>LEFT(UPPER(H3310)&amp;REPT(" ",250),250)</f>
        <v/>
      </c>
      <c r="AD3310" s="10">
        <f>TEXT($G$2,"dd/mm/aaaa")</f>
        <v/>
      </c>
      <c r="AE3310" s="10">
        <f>REPT(" ",10)</f>
        <v/>
      </c>
      <c r="AF3310" s="10">
        <f>REPT(" ",20)</f>
        <v/>
      </c>
      <c r="AG3310" s="54">
        <f>REPT(" ",18-LEN(FIXED(F3310,2,TRUE)))&amp;FIXED(F3310,2,TRUE)</f>
        <v/>
      </c>
      <c r="AH3310" s="10">
        <f>LEN(AC3310)+LEN(AG3310)</f>
        <v/>
      </c>
      <c r="AI3310" s="10">
        <f>LEN(L3310)</f>
        <v/>
      </c>
    </row>
    <row r="3311">
      <c r="J3311" s="12">
        <f>IF(F3311&lt;&gt;0,"LANÇAR","")</f>
        <v/>
      </c>
      <c r="L3311" s="13">
        <f>N3311&amp;O3311&amp;P3311&amp;Q3311&amp;R3311&amp;S3311&amp;T3311&amp;U3311&amp;V3311&amp;W3311&amp;X3311&amp;Y3311&amp;Z3311&amp;AA3311&amp;AB3311&amp;AC3311&amp;AD3311&amp;AE3311&amp;AF3311&amp;AG3311</f>
        <v/>
      </c>
      <c r="N3311" s="10">
        <f>TEXT($B$6,"00")</f>
        <v/>
      </c>
      <c r="O3311" s="10">
        <f>REPT(" ",8)</f>
        <v/>
      </c>
      <c r="P3311" s="10">
        <f>RIGHT($B$4,2)</f>
        <v/>
      </c>
      <c r="Q3311" s="10">
        <f>RIGHT($B$5,3)</f>
        <v/>
      </c>
      <c r="R3311" s="10">
        <f>IF(A3311="D",LEFT(UPPER(B3311)&amp;REPT(" ",20),20),REPT(" ",20))</f>
        <v/>
      </c>
      <c r="S3311" s="10">
        <f>IF(A3311="D",LEFT(UPPER(C3311)&amp;REPT(" ",10),10)," ")</f>
        <v/>
      </c>
      <c r="T3311" s="10">
        <f>IF(A3311="D",LEFT(UPPER(D3311)&amp;REPT(" ",2),2)," ")</f>
        <v/>
      </c>
      <c r="U3311" s="10">
        <f>IF(A3311="D",LEFT(UPPER(E3311)&amp;REPT(" ",15),15)," ")</f>
        <v/>
      </c>
      <c r="V3311" s="10">
        <f>REPT(" ",24)</f>
        <v/>
      </c>
      <c r="W3311" s="10">
        <f>IF(A3311="c",LEFT(UPPER(B3311)&amp;REPT(" ",20),20),REPT(" ",20))</f>
        <v/>
      </c>
      <c r="X3311" s="10">
        <f>IF(A3311="C",LEFT(UPPER(C3311)&amp;REPT(" ",10),10)," ")</f>
        <v/>
      </c>
      <c r="Y3311" s="10">
        <f>IF(A3311="C",LEFT(UPPER(D3311)&amp;REPT(" ",2),2)," ")</f>
        <v/>
      </c>
      <c r="Z3311" s="10">
        <f>IF(A3311="C",LEFT(UPPER(E3311)&amp;REPT(" ",15),15)," ")</f>
        <v/>
      </c>
      <c r="AA3311" s="10">
        <f>REPT(" ",8)</f>
        <v/>
      </c>
      <c r="AB3311" s="10">
        <f>REPT(" ",4)</f>
        <v/>
      </c>
      <c r="AC3311" s="10">
        <f>LEFT(UPPER(H3311)&amp;REPT(" ",250),250)</f>
        <v/>
      </c>
      <c r="AD3311" s="10">
        <f>TEXT($G$2,"dd/mm/aaaa")</f>
        <v/>
      </c>
      <c r="AE3311" s="10">
        <f>REPT(" ",10)</f>
        <v/>
      </c>
      <c r="AF3311" s="10">
        <f>REPT(" ",20)</f>
        <v/>
      </c>
      <c r="AG3311" s="54">
        <f>REPT(" ",18-LEN(FIXED(F3311,2,TRUE)))&amp;FIXED(F3311,2,TRUE)</f>
        <v/>
      </c>
      <c r="AH3311" s="10">
        <f>LEN(AC3311)+LEN(AG3311)</f>
        <v/>
      </c>
      <c r="AI3311" s="10">
        <f>LEN(L3311)</f>
        <v/>
      </c>
    </row>
    <row r="3312">
      <c r="J3312" s="12">
        <f>IF(F3312&lt;&gt;0,"LANÇAR","")</f>
        <v/>
      </c>
      <c r="L3312" s="13">
        <f>N3312&amp;O3312&amp;P3312&amp;Q3312&amp;R3312&amp;S3312&amp;T3312&amp;U3312&amp;V3312&amp;W3312&amp;X3312&amp;Y3312&amp;Z3312&amp;AA3312&amp;AB3312&amp;AC3312&amp;AD3312&amp;AE3312&amp;AF3312&amp;AG3312</f>
        <v/>
      </c>
      <c r="N3312" s="10">
        <f>TEXT($B$6,"00")</f>
        <v/>
      </c>
      <c r="O3312" s="10">
        <f>REPT(" ",8)</f>
        <v/>
      </c>
      <c r="P3312" s="10">
        <f>RIGHT($B$4,2)</f>
        <v/>
      </c>
      <c r="Q3312" s="10">
        <f>RIGHT($B$5,3)</f>
        <v/>
      </c>
      <c r="R3312" s="10">
        <f>IF(A3312="D",LEFT(UPPER(B3312)&amp;REPT(" ",20),20),REPT(" ",20))</f>
        <v/>
      </c>
      <c r="S3312" s="10">
        <f>IF(A3312="D",LEFT(UPPER(C3312)&amp;REPT(" ",10),10)," ")</f>
        <v/>
      </c>
      <c r="T3312" s="10">
        <f>IF(A3312="D",LEFT(UPPER(D3312)&amp;REPT(" ",2),2)," ")</f>
        <v/>
      </c>
      <c r="U3312" s="10">
        <f>IF(A3312="D",LEFT(UPPER(E3312)&amp;REPT(" ",15),15)," ")</f>
        <v/>
      </c>
      <c r="V3312" s="10">
        <f>REPT(" ",24)</f>
        <v/>
      </c>
      <c r="W3312" s="10">
        <f>IF(A3312="c",LEFT(UPPER(B3312)&amp;REPT(" ",20),20),REPT(" ",20))</f>
        <v/>
      </c>
      <c r="X3312" s="10">
        <f>IF(A3312="C",LEFT(UPPER(C3312)&amp;REPT(" ",10),10)," ")</f>
        <v/>
      </c>
      <c r="Y3312" s="10">
        <f>IF(A3312="C",LEFT(UPPER(D3312)&amp;REPT(" ",2),2)," ")</f>
        <v/>
      </c>
      <c r="Z3312" s="10">
        <f>IF(A3312="C",LEFT(UPPER(E3312)&amp;REPT(" ",15),15)," ")</f>
        <v/>
      </c>
      <c r="AA3312" s="10">
        <f>REPT(" ",8)</f>
        <v/>
      </c>
      <c r="AB3312" s="10">
        <f>REPT(" ",4)</f>
        <v/>
      </c>
      <c r="AC3312" s="10">
        <f>LEFT(UPPER(H3312)&amp;REPT(" ",250),250)</f>
        <v/>
      </c>
      <c r="AD3312" s="10">
        <f>TEXT($G$2,"dd/mm/aaaa")</f>
        <v/>
      </c>
      <c r="AE3312" s="10">
        <f>REPT(" ",10)</f>
        <v/>
      </c>
      <c r="AF3312" s="10">
        <f>REPT(" ",20)</f>
        <v/>
      </c>
      <c r="AG3312" s="54">
        <f>REPT(" ",18-LEN(FIXED(F3312,2,TRUE)))&amp;FIXED(F3312,2,TRUE)</f>
        <v/>
      </c>
      <c r="AH3312" s="10">
        <f>LEN(AC3312)+LEN(AG3312)</f>
        <v/>
      </c>
      <c r="AI3312" s="10">
        <f>LEN(L3312)</f>
        <v/>
      </c>
    </row>
    <row r="3313">
      <c r="J3313" s="12">
        <f>IF(F3313&lt;&gt;0,"LANÇAR","")</f>
        <v/>
      </c>
      <c r="L3313" s="13">
        <f>N3313&amp;O3313&amp;P3313&amp;Q3313&amp;R3313&amp;S3313&amp;T3313&amp;U3313&amp;V3313&amp;W3313&amp;X3313&amp;Y3313&amp;Z3313&amp;AA3313&amp;AB3313&amp;AC3313&amp;AD3313&amp;AE3313&amp;AF3313&amp;AG3313</f>
        <v/>
      </c>
      <c r="N3313" s="10">
        <f>TEXT($B$6,"00")</f>
        <v/>
      </c>
      <c r="O3313" s="10">
        <f>REPT(" ",8)</f>
        <v/>
      </c>
      <c r="P3313" s="10">
        <f>RIGHT($B$4,2)</f>
        <v/>
      </c>
      <c r="Q3313" s="10">
        <f>RIGHT($B$5,3)</f>
        <v/>
      </c>
      <c r="R3313" s="10">
        <f>IF(A3313="D",LEFT(UPPER(B3313)&amp;REPT(" ",20),20),REPT(" ",20))</f>
        <v/>
      </c>
      <c r="S3313" s="10">
        <f>IF(A3313="D",LEFT(UPPER(C3313)&amp;REPT(" ",10),10)," ")</f>
        <v/>
      </c>
      <c r="T3313" s="10">
        <f>IF(A3313="D",LEFT(UPPER(D3313)&amp;REPT(" ",2),2)," ")</f>
        <v/>
      </c>
      <c r="U3313" s="10">
        <f>IF(A3313="D",LEFT(UPPER(E3313)&amp;REPT(" ",15),15)," ")</f>
        <v/>
      </c>
      <c r="V3313" s="10">
        <f>REPT(" ",24)</f>
        <v/>
      </c>
      <c r="W3313" s="10">
        <f>IF(A3313="c",LEFT(UPPER(B3313)&amp;REPT(" ",20),20),REPT(" ",20))</f>
        <v/>
      </c>
      <c r="X3313" s="10">
        <f>IF(A3313="C",LEFT(UPPER(C3313)&amp;REPT(" ",10),10)," ")</f>
        <v/>
      </c>
      <c r="Y3313" s="10">
        <f>IF(A3313="C",LEFT(UPPER(D3313)&amp;REPT(" ",2),2)," ")</f>
        <v/>
      </c>
      <c r="Z3313" s="10">
        <f>IF(A3313="C",LEFT(UPPER(E3313)&amp;REPT(" ",15),15)," ")</f>
        <v/>
      </c>
      <c r="AA3313" s="10">
        <f>REPT(" ",8)</f>
        <v/>
      </c>
      <c r="AB3313" s="10">
        <f>REPT(" ",4)</f>
        <v/>
      </c>
      <c r="AC3313" s="10">
        <f>LEFT(UPPER(H3313)&amp;REPT(" ",250),250)</f>
        <v/>
      </c>
      <c r="AD3313" s="10">
        <f>TEXT($G$2,"dd/mm/aaaa")</f>
        <v/>
      </c>
      <c r="AE3313" s="10">
        <f>REPT(" ",10)</f>
        <v/>
      </c>
      <c r="AF3313" s="10">
        <f>REPT(" ",20)</f>
        <v/>
      </c>
      <c r="AG3313" s="54">
        <f>REPT(" ",18-LEN(FIXED(F3313,2,TRUE)))&amp;FIXED(F3313,2,TRUE)</f>
        <v/>
      </c>
      <c r="AH3313" s="10">
        <f>LEN(AC3313)+LEN(AG3313)</f>
        <v/>
      </c>
      <c r="AI3313" s="10">
        <f>LEN(L3313)</f>
        <v/>
      </c>
    </row>
    <row r="3314">
      <c r="J3314" s="12">
        <f>IF(F3314&lt;&gt;0,"LANÇAR","")</f>
        <v/>
      </c>
      <c r="L3314" s="13">
        <f>N3314&amp;O3314&amp;P3314&amp;Q3314&amp;R3314&amp;S3314&amp;T3314&amp;U3314&amp;V3314&amp;W3314&amp;X3314&amp;Y3314&amp;Z3314&amp;AA3314&amp;AB3314&amp;AC3314&amp;AD3314&amp;AE3314&amp;AF3314&amp;AG3314</f>
        <v/>
      </c>
      <c r="N3314" s="10">
        <f>TEXT($B$6,"00")</f>
        <v/>
      </c>
      <c r="O3314" s="10">
        <f>REPT(" ",8)</f>
        <v/>
      </c>
      <c r="P3314" s="10">
        <f>RIGHT($B$4,2)</f>
        <v/>
      </c>
      <c r="Q3314" s="10">
        <f>RIGHT($B$5,3)</f>
        <v/>
      </c>
      <c r="R3314" s="10">
        <f>IF(A3314="D",LEFT(UPPER(B3314)&amp;REPT(" ",20),20),REPT(" ",20))</f>
        <v/>
      </c>
      <c r="S3314" s="10">
        <f>IF(A3314="D",LEFT(UPPER(C3314)&amp;REPT(" ",10),10)," ")</f>
        <v/>
      </c>
      <c r="T3314" s="10">
        <f>IF(A3314="D",LEFT(UPPER(D3314)&amp;REPT(" ",2),2)," ")</f>
        <v/>
      </c>
      <c r="U3314" s="10">
        <f>IF(A3314="D",LEFT(UPPER(E3314)&amp;REPT(" ",15),15)," ")</f>
        <v/>
      </c>
      <c r="V3314" s="10">
        <f>REPT(" ",24)</f>
        <v/>
      </c>
      <c r="W3314" s="10">
        <f>IF(A3314="c",LEFT(UPPER(B3314)&amp;REPT(" ",20),20),REPT(" ",20))</f>
        <v/>
      </c>
      <c r="X3314" s="10">
        <f>IF(A3314="C",LEFT(UPPER(C3314)&amp;REPT(" ",10),10)," ")</f>
        <v/>
      </c>
      <c r="Y3314" s="10">
        <f>IF(A3314="C",LEFT(UPPER(D3314)&amp;REPT(" ",2),2)," ")</f>
        <v/>
      </c>
      <c r="Z3314" s="10">
        <f>IF(A3314="C",LEFT(UPPER(E3314)&amp;REPT(" ",15),15)," ")</f>
        <v/>
      </c>
      <c r="AA3314" s="10">
        <f>REPT(" ",8)</f>
        <v/>
      </c>
      <c r="AB3314" s="10">
        <f>REPT(" ",4)</f>
        <v/>
      </c>
      <c r="AC3314" s="10">
        <f>LEFT(UPPER(H3314)&amp;REPT(" ",250),250)</f>
        <v/>
      </c>
      <c r="AD3314" s="10">
        <f>TEXT($G$2,"dd/mm/aaaa")</f>
        <v/>
      </c>
      <c r="AE3314" s="10">
        <f>REPT(" ",10)</f>
        <v/>
      </c>
      <c r="AF3314" s="10">
        <f>REPT(" ",20)</f>
        <v/>
      </c>
      <c r="AG3314" s="54">
        <f>REPT(" ",18-LEN(FIXED(F3314,2,TRUE)))&amp;FIXED(F3314,2,TRUE)</f>
        <v/>
      </c>
      <c r="AH3314" s="10">
        <f>LEN(AC3314)+LEN(AG3314)</f>
        <v/>
      </c>
      <c r="AI3314" s="10">
        <f>LEN(L3314)</f>
        <v/>
      </c>
    </row>
    <row r="3315">
      <c r="J3315" s="12">
        <f>IF(F3315&lt;&gt;0,"LANÇAR","")</f>
        <v/>
      </c>
      <c r="L3315" s="13">
        <f>N3315&amp;O3315&amp;P3315&amp;Q3315&amp;R3315&amp;S3315&amp;T3315&amp;U3315&amp;V3315&amp;W3315&amp;X3315&amp;Y3315&amp;Z3315&amp;AA3315&amp;AB3315&amp;AC3315&amp;AD3315&amp;AE3315&amp;AF3315&amp;AG3315</f>
        <v/>
      </c>
      <c r="N3315" s="10">
        <f>TEXT($B$6,"00")</f>
        <v/>
      </c>
      <c r="O3315" s="10">
        <f>REPT(" ",8)</f>
        <v/>
      </c>
      <c r="P3315" s="10">
        <f>RIGHT($B$4,2)</f>
        <v/>
      </c>
      <c r="Q3315" s="10">
        <f>RIGHT($B$5,3)</f>
        <v/>
      </c>
      <c r="R3315" s="10">
        <f>IF(A3315="D",LEFT(UPPER(B3315)&amp;REPT(" ",20),20),REPT(" ",20))</f>
        <v/>
      </c>
      <c r="S3315" s="10">
        <f>IF(A3315="D",LEFT(UPPER(C3315)&amp;REPT(" ",10),10)," ")</f>
        <v/>
      </c>
      <c r="T3315" s="10">
        <f>IF(A3315="D",LEFT(UPPER(D3315)&amp;REPT(" ",2),2)," ")</f>
        <v/>
      </c>
      <c r="U3315" s="10">
        <f>IF(A3315="D",LEFT(UPPER(E3315)&amp;REPT(" ",15),15)," ")</f>
        <v/>
      </c>
      <c r="V3315" s="10">
        <f>REPT(" ",24)</f>
        <v/>
      </c>
      <c r="W3315" s="10">
        <f>IF(A3315="c",LEFT(UPPER(B3315)&amp;REPT(" ",20),20),REPT(" ",20))</f>
        <v/>
      </c>
      <c r="X3315" s="10">
        <f>IF(A3315="C",LEFT(UPPER(C3315)&amp;REPT(" ",10),10)," ")</f>
        <v/>
      </c>
      <c r="Y3315" s="10">
        <f>IF(A3315="C",LEFT(UPPER(D3315)&amp;REPT(" ",2),2)," ")</f>
        <v/>
      </c>
      <c r="Z3315" s="10">
        <f>IF(A3315="C",LEFT(UPPER(E3315)&amp;REPT(" ",15),15)," ")</f>
        <v/>
      </c>
      <c r="AA3315" s="10">
        <f>REPT(" ",8)</f>
        <v/>
      </c>
      <c r="AB3315" s="10">
        <f>REPT(" ",4)</f>
        <v/>
      </c>
      <c r="AC3315" s="10">
        <f>LEFT(UPPER(H3315)&amp;REPT(" ",250),250)</f>
        <v/>
      </c>
      <c r="AD3315" s="10">
        <f>TEXT($G$2,"dd/mm/aaaa")</f>
        <v/>
      </c>
      <c r="AE3315" s="10">
        <f>REPT(" ",10)</f>
        <v/>
      </c>
      <c r="AF3315" s="10">
        <f>REPT(" ",20)</f>
        <v/>
      </c>
      <c r="AG3315" s="54">
        <f>REPT(" ",18-LEN(FIXED(F3315,2,TRUE)))&amp;FIXED(F3315,2,TRUE)</f>
        <v/>
      </c>
      <c r="AH3315" s="10">
        <f>LEN(AC3315)+LEN(AG3315)</f>
        <v/>
      </c>
      <c r="AI3315" s="10">
        <f>LEN(L3315)</f>
        <v/>
      </c>
    </row>
    <row r="3316">
      <c r="J3316" s="12">
        <f>IF(F3316&lt;&gt;0,"LANÇAR","")</f>
        <v/>
      </c>
      <c r="L3316" s="13">
        <f>N3316&amp;O3316&amp;P3316&amp;Q3316&amp;R3316&amp;S3316&amp;T3316&amp;U3316&amp;V3316&amp;W3316&amp;X3316&amp;Y3316&amp;Z3316&amp;AA3316&amp;AB3316&amp;AC3316&amp;AD3316&amp;AE3316&amp;AF3316&amp;AG3316</f>
        <v/>
      </c>
      <c r="N3316" s="10">
        <f>TEXT($B$6,"00")</f>
        <v/>
      </c>
      <c r="O3316" s="10">
        <f>REPT(" ",8)</f>
        <v/>
      </c>
      <c r="P3316" s="10">
        <f>RIGHT($B$4,2)</f>
        <v/>
      </c>
      <c r="Q3316" s="10">
        <f>RIGHT($B$5,3)</f>
        <v/>
      </c>
      <c r="R3316" s="10">
        <f>IF(A3316="D",LEFT(UPPER(B3316)&amp;REPT(" ",20),20),REPT(" ",20))</f>
        <v/>
      </c>
      <c r="S3316" s="10">
        <f>IF(A3316="D",LEFT(UPPER(C3316)&amp;REPT(" ",10),10)," ")</f>
        <v/>
      </c>
      <c r="T3316" s="10">
        <f>IF(A3316="D",LEFT(UPPER(D3316)&amp;REPT(" ",2),2)," ")</f>
        <v/>
      </c>
      <c r="U3316" s="10">
        <f>IF(A3316="D",LEFT(UPPER(E3316)&amp;REPT(" ",15),15)," ")</f>
        <v/>
      </c>
      <c r="V3316" s="10">
        <f>REPT(" ",24)</f>
        <v/>
      </c>
      <c r="W3316" s="10">
        <f>IF(A3316="c",LEFT(UPPER(B3316)&amp;REPT(" ",20),20),REPT(" ",20))</f>
        <v/>
      </c>
      <c r="X3316" s="10">
        <f>IF(A3316="C",LEFT(UPPER(C3316)&amp;REPT(" ",10),10)," ")</f>
        <v/>
      </c>
      <c r="Y3316" s="10">
        <f>IF(A3316="C",LEFT(UPPER(D3316)&amp;REPT(" ",2),2)," ")</f>
        <v/>
      </c>
      <c r="Z3316" s="10">
        <f>IF(A3316="C",LEFT(UPPER(E3316)&amp;REPT(" ",15),15)," ")</f>
        <v/>
      </c>
      <c r="AA3316" s="10">
        <f>REPT(" ",8)</f>
        <v/>
      </c>
      <c r="AB3316" s="10">
        <f>REPT(" ",4)</f>
        <v/>
      </c>
      <c r="AC3316" s="10">
        <f>LEFT(UPPER(H3316)&amp;REPT(" ",250),250)</f>
        <v/>
      </c>
      <c r="AD3316" s="10">
        <f>TEXT($G$2,"dd/mm/aaaa")</f>
        <v/>
      </c>
      <c r="AE3316" s="10">
        <f>REPT(" ",10)</f>
        <v/>
      </c>
      <c r="AF3316" s="10">
        <f>REPT(" ",20)</f>
        <v/>
      </c>
      <c r="AG3316" s="54">
        <f>REPT(" ",18-LEN(FIXED(F3316,2,TRUE)))&amp;FIXED(F3316,2,TRUE)</f>
        <v/>
      </c>
      <c r="AH3316" s="10">
        <f>LEN(AC3316)+LEN(AG3316)</f>
        <v/>
      </c>
      <c r="AI3316" s="10">
        <f>LEN(L3316)</f>
        <v/>
      </c>
    </row>
    <row r="3317">
      <c r="J3317" s="12">
        <f>IF(F3317&lt;&gt;0,"LANÇAR","")</f>
        <v/>
      </c>
      <c r="L3317" s="13">
        <f>N3317&amp;O3317&amp;P3317&amp;Q3317&amp;R3317&amp;S3317&amp;T3317&amp;U3317&amp;V3317&amp;W3317&amp;X3317&amp;Y3317&amp;Z3317&amp;AA3317&amp;AB3317&amp;AC3317&amp;AD3317&amp;AE3317&amp;AF3317&amp;AG3317</f>
        <v/>
      </c>
      <c r="N3317" s="10">
        <f>TEXT($B$6,"00")</f>
        <v/>
      </c>
      <c r="O3317" s="10">
        <f>REPT(" ",8)</f>
        <v/>
      </c>
      <c r="P3317" s="10">
        <f>RIGHT($B$4,2)</f>
        <v/>
      </c>
      <c r="Q3317" s="10">
        <f>RIGHT($B$5,3)</f>
        <v/>
      </c>
      <c r="R3317" s="10">
        <f>IF(A3317="D",LEFT(UPPER(B3317)&amp;REPT(" ",20),20),REPT(" ",20))</f>
        <v/>
      </c>
      <c r="S3317" s="10">
        <f>IF(A3317="D",LEFT(UPPER(C3317)&amp;REPT(" ",10),10)," ")</f>
        <v/>
      </c>
      <c r="T3317" s="10">
        <f>IF(A3317="D",LEFT(UPPER(D3317)&amp;REPT(" ",2),2)," ")</f>
        <v/>
      </c>
      <c r="U3317" s="10">
        <f>IF(A3317="D",LEFT(UPPER(E3317)&amp;REPT(" ",15),15)," ")</f>
        <v/>
      </c>
      <c r="V3317" s="10">
        <f>REPT(" ",24)</f>
        <v/>
      </c>
      <c r="W3317" s="10">
        <f>IF(A3317="c",LEFT(UPPER(B3317)&amp;REPT(" ",20),20),REPT(" ",20))</f>
        <v/>
      </c>
      <c r="X3317" s="10">
        <f>IF(A3317="C",LEFT(UPPER(C3317)&amp;REPT(" ",10),10)," ")</f>
        <v/>
      </c>
      <c r="Y3317" s="10">
        <f>IF(A3317="C",LEFT(UPPER(D3317)&amp;REPT(" ",2),2)," ")</f>
        <v/>
      </c>
      <c r="Z3317" s="10">
        <f>IF(A3317="C",LEFT(UPPER(E3317)&amp;REPT(" ",15),15)," ")</f>
        <v/>
      </c>
      <c r="AA3317" s="10">
        <f>REPT(" ",8)</f>
        <v/>
      </c>
      <c r="AB3317" s="10">
        <f>REPT(" ",4)</f>
        <v/>
      </c>
      <c r="AC3317" s="10">
        <f>LEFT(UPPER(H3317)&amp;REPT(" ",250),250)</f>
        <v/>
      </c>
      <c r="AD3317" s="10">
        <f>TEXT($G$2,"dd/mm/aaaa")</f>
        <v/>
      </c>
      <c r="AE3317" s="10">
        <f>REPT(" ",10)</f>
        <v/>
      </c>
      <c r="AF3317" s="10">
        <f>REPT(" ",20)</f>
        <v/>
      </c>
      <c r="AG3317" s="54">
        <f>REPT(" ",18-LEN(FIXED(F3317,2,TRUE)))&amp;FIXED(F3317,2,TRUE)</f>
        <v/>
      </c>
      <c r="AH3317" s="10">
        <f>LEN(AC3317)+LEN(AG3317)</f>
        <v/>
      </c>
      <c r="AI3317" s="10">
        <f>LEN(L3317)</f>
        <v/>
      </c>
    </row>
    <row r="3318">
      <c r="J3318" s="12">
        <f>IF(F3318&lt;&gt;0,"LANÇAR","")</f>
        <v/>
      </c>
      <c r="L3318" s="13">
        <f>N3318&amp;O3318&amp;P3318&amp;Q3318&amp;R3318&amp;S3318&amp;T3318&amp;U3318&amp;V3318&amp;W3318&amp;X3318&amp;Y3318&amp;Z3318&amp;AA3318&amp;AB3318&amp;AC3318&amp;AD3318&amp;AE3318&amp;AF3318&amp;AG3318</f>
        <v/>
      </c>
      <c r="N3318" s="10">
        <f>TEXT($B$6,"00")</f>
        <v/>
      </c>
      <c r="O3318" s="10">
        <f>REPT(" ",8)</f>
        <v/>
      </c>
      <c r="P3318" s="10">
        <f>RIGHT($B$4,2)</f>
        <v/>
      </c>
      <c r="Q3318" s="10">
        <f>RIGHT($B$5,3)</f>
        <v/>
      </c>
      <c r="R3318" s="10">
        <f>IF(A3318="D",LEFT(UPPER(B3318)&amp;REPT(" ",20),20),REPT(" ",20))</f>
        <v/>
      </c>
      <c r="S3318" s="10">
        <f>IF(A3318="D",LEFT(UPPER(C3318)&amp;REPT(" ",10),10)," ")</f>
        <v/>
      </c>
      <c r="T3318" s="10">
        <f>IF(A3318="D",LEFT(UPPER(D3318)&amp;REPT(" ",2),2)," ")</f>
        <v/>
      </c>
      <c r="U3318" s="10">
        <f>IF(A3318="D",LEFT(UPPER(E3318)&amp;REPT(" ",15),15)," ")</f>
        <v/>
      </c>
      <c r="V3318" s="10">
        <f>REPT(" ",24)</f>
        <v/>
      </c>
      <c r="W3318" s="10">
        <f>IF(A3318="c",LEFT(UPPER(B3318)&amp;REPT(" ",20),20),REPT(" ",20))</f>
        <v/>
      </c>
      <c r="X3318" s="10">
        <f>IF(A3318="C",LEFT(UPPER(C3318)&amp;REPT(" ",10),10)," ")</f>
        <v/>
      </c>
      <c r="Y3318" s="10">
        <f>IF(A3318="C",LEFT(UPPER(D3318)&amp;REPT(" ",2),2)," ")</f>
        <v/>
      </c>
      <c r="Z3318" s="10">
        <f>IF(A3318="C",LEFT(UPPER(E3318)&amp;REPT(" ",15),15)," ")</f>
        <v/>
      </c>
      <c r="AA3318" s="10">
        <f>REPT(" ",8)</f>
        <v/>
      </c>
      <c r="AB3318" s="10">
        <f>REPT(" ",4)</f>
        <v/>
      </c>
      <c r="AC3318" s="10">
        <f>LEFT(UPPER(H3318)&amp;REPT(" ",250),250)</f>
        <v/>
      </c>
      <c r="AD3318" s="10">
        <f>TEXT($G$2,"dd/mm/aaaa")</f>
        <v/>
      </c>
      <c r="AE3318" s="10">
        <f>REPT(" ",10)</f>
        <v/>
      </c>
      <c r="AF3318" s="10">
        <f>REPT(" ",20)</f>
        <v/>
      </c>
      <c r="AG3318" s="54">
        <f>REPT(" ",18-LEN(FIXED(F3318,2,TRUE)))&amp;FIXED(F3318,2,TRUE)</f>
        <v/>
      </c>
      <c r="AH3318" s="10">
        <f>LEN(AC3318)+LEN(AG3318)</f>
        <v/>
      </c>
      <c r="AI3318" s="10">
        <f>LEN(L3318)</f>
        <v/>
      </c>
    </row>
    <row r="3319">
      <c r="J3319" s="12">
        <f>IF(F3319&lt;&gt;0,"LANÇAR","")</f>
        <v/>
      </c>
      <c r="L3319" s="13">
        <f>N3319&amp;O3319&amp;P3319&amp;Q3319&amp;R3319&amp;S3319&amp;T3319&amp;U3319&amp;V3319&amp;W3319&amp;X3319&amp;Y3319&amp;Z3319&amp;AA3319&amp;AB3319&amp;AC3319&amp;AD3319&amp;AE3319&amp;AF3319&amp;AG3319</f>
        <v/>
      </c>
      <c r="N3319" s="10">
        <f>TEXT($B$6,"00")</f>
        <v/>
      </c>
      <c r="O3319" s="10">
        <f>REPT(" ",8)</f>
        <v/>
      </c>
      <c r="P3319" s="10">
        <f>RIGHT($B$4,2)</f>
        <v/>
      </c>
      <c r="Q3319" s="10">
        <f>RIGHT($B$5,3)</f>
        <v/>
      </c>
      <c r="R3319" s="10">
        <f>IF(A3319="D",LEFT(UPPER(B3319)&amp;REPT(" ",20),20),REPT(" ",20))</f>
        <v/>
      </c>
      <c r="S3319" s="10">
        <f>IF(A3319="D",LEFT(UPPER(C3319)&amp;REPT(" ",10),10)," ")</f>
        <v/>
      </c>
      <c r="T3319" s="10">
        <f>IF(A3319="D",LEFT(UPPER(D3319)&amp;REPT(" ",2),2)," ")</f>
        <v/>
      </c>
      <c r="U3319" s="10">
        <f>IF(A3319="D",LEFT(UPPER(E3319)&amp;REPT(" ",15),15)," ")</f>
        <v/>
      </c>
      <c r="V3319" s="10">
        <f>REPT(" ",24)</f>
        <v/>
      </c>
      <c r="W3319" s="10">
        <f>IF(A3319="c",LEFT(UPPER(B3319)&amp;REPT(" ",20),20),REPT(" ",20))</f>
        <v/>
      </c>
      <c r="X3319" s="10">
        <f>IF(A3319="C",LEFT(UPPER(C3319)&amp;REPT(" ",10),10)," ")</f>
        <v/>
      </c>
      <c r="Y3319" s="10">
        <f>IF(A3319="C",LEFT(UPPER(D3319)&amp;REPT(" ",2),2)," ")</f>
        <v/>
      </c>
      <c r="Z3319" s="10">
        <f>IF(A3319="C",LEFT(UPPER(E3319)&amp;REPT(" ",15),15)," ")</f>
        <v/>
      </c>
      <c r="AA3319" s="10">
        <f>REPT(" ",8)</f>
        <v/>
      </c>
      <c r="AB3319" s="10">
        <f>REPT(" ",4)</f>
        <v/>
      </c>
      <c r="AC3319" s="10">
        <f>LEFT(UPPER(H3319)&amp;REPT(" ",250),250)</f>
        <v/>
      </c>
      <c r="AD3319" s="10">
        <f>TEXT($G$2,"dd/mm/aaaa")</f>
        <v/>
      </c>
      <c r="AE3319" s="10">
        <f>REPT(" ",10)</f>
        <v/>
      </c>
      <c r="AF3319" s="10">
        <f>REPT(" ",20)</f>
        <v/>
      </c>
      <c r="AG3319" s="54">
        <f>REPT(" ",18-LEN(FIXED(F3319,2,TRUE)))&amp;FIXED(F3319,2,TRUE)</f>
        <v/>
      </c>
      <c r="AH3319" s="10">
        <f>LEN(AC3319)+LEN(AG3319)</f>
        <v/>
      </c>
      <c r="AI3319" s="10">
        <f>LEN(L3319)</f>
        <v/>
      </c>
    </row>
    <row r="3320">
      <c r="J3320" s="12">
        <f>IF(F3320&lt;&gt;0,"LANÇAR","")</f>
        <v/>
      </c>
      <c r="L3320" s="13">
        <f>N3320&amp;O3320&amp;P3320&amp;Q3320&amp;R3320&amp;S3320&amp;T3320&amp;U3320&amp;V3320&amp;W3320&amp;X3320&amp;Y3320&amp;Z3320&amp;AA3320&amp;AB3320&amp;AC3320&amp;AD3320&amp;AE3320&amp;AF3320&amp;AG3320</f>
        <v/>
      </c>
      <c r="N3320" s="10">
        <f>TEXT($B$6,"00")</f>
        <v/>
      </c>
      <c r="O3320" s="10">
        <f>REPT(" ",8)</f>
        <v/>
      </c>
      <c r="P3320" s="10">
        <f>RIGHT($B$4,2)</f>
        <v/>
      </c>
      <c r="Q3320" s="10">
        <f>RIGHT($B$5,3)</f>
        <v/>
      </c>
      <c r="R3320" s="10">
        <f>IF(A3320="D",LEFT(UPPER(B3320)&amp;REPT(" ",20),20),REPT(" ",20))</f>
        <v/>
      </c>
      <c r="S3320" s="10">
        <f>IF(A3320="D",LEFT(UPPER(C3320)&amp;REPT(" ",10),10)," ")</f>
        <v/>
      </c>
      <c r="T3320" s="10">
        <f>IF(A3320="D",LEFT(UPPER(D3320)&amp;REPT(" ",2),2)," ")</f>
        <v/>
      </c>
      <c r="U3320" s="10">
        <f>IF(A3320="D",LEFT(UPPER(E3320)&amp;REPT(" ",15),15)," ")</f>
        <v/>
      </c>
      <c r="V3320" s="10">
        <f>REPT(" ",24)</f>
        <v/>
      </c>
      <c r="W3320" s="10">
        <f>IF(A3320="c",LEFT(UPPER(B3320)&amp;REPT(" ",20),20),REPT(" ",20))</f>
        <v/>
      </c>
      <c r="X3320" s="10">
        <f>IF(A3320="C",LEFT(UPPER(C3320)&amp;REPT(" ",10),10)," ")</f>
        <v/>
      </c>
      <c r="Y3320" s="10">
        <f>IF(A3320="C",LEFT(UPPER(D3320)&amp;REPT(" ",2),2)," ")</f>
        <v/>
      </c>
      <c r="Z3320" s="10">
        <f>IF(A3320="C",LEFT(UPPER(E3320)&amp;REPT(" ",15),15)," ")</f>
        <v/>
      </c>
      <c r="AA3320" s="10">
        <f>REPT(" ",8)</f>
        <v/>
      </c>
      <c r="AB3320" s="10">
        <f>REPT(" ",4)</f>
        <v/>
      </c>
      <c r="AC3320" s="10">
        <f>LEFT(UPPER(H3320)&amp;REPT(" ",250),250)</f>
        <v/>
      </c>
      <c r="AD3320" s="10">
        <f>TEXT($G$2,"dd/mm/aaaa")</f>
        <v/>
      </c>
      <c r="AE3320" s="10">
        <f>REPT(" ",10)</f>
        <v/>
      </c>
      <c r="AF3320" s="10">
        <f>REPT(" ",20)</f>
        <v/>
      </c>
      <c r="AG3320" s="54">
        <f>REPT(" ",18-LEN(FIXED(F3320,2,TRUE)))&amp;FIXED(F3320,2,TRUE)</f>
        <v/>
      </c>
      <c r="AH3320" s="10">
        <f>LEN(AC3320)+LEN(AG3320)</f>
        <v/>
      </c>
      <c r="AI3320" s="10">
        <f>LEN(L3320)</f>
        <v/>
      </c>
    </row>
    <row r="3321">
      <c r="J3321" s="12">
        <f>IF(F3321&lt;&gt;0,"LANÇAR","")</f>
        <v/>
      </c>
      <c r="L3321" s="13">
        <f>N3321&amp;O3321&amp;P3321&amp;Q3321&amp;R3321&amp;S3321&amp;T3321&amp;U3321&amp;V3321&amp;W3321&amp;X3321&amp;Y3321&amp;Z3321&amp;AA3321&amp;AB3321&amp;AC3321&amp;AD3321&amp;AE3321&amp;AF3321&amp;AG3321</f>
        <v/>
      </c>
      <c r="N3321" s="10">
        <f>TEXT($B$6,"00")</f>
        <v/>
      </c>
      <c r="O3321" s="10">
        <f>REPT(" ",8)</f>
        <v/>
      </c>
      <c r="P3321" s="10">
        <f>RIGHT($B$4,2)</f>
        <v/>
      </c>
      <c r="Q3321" s="10">
        <f>RIGHT($B$5,3)</f>
        <v/>
      </c>
      <c r="R3321" s="10">
        <f>IF(A3321="D",LEFT(UPPER(B3321)&amp;REPT(" ",20),20),REPT(" ",20))</f>
        <v/>
      </c>
      <c r="S3321" s="10">
        <f>IF(A3321="D",LEFT(UPPER(C3321)&amp;REPT(" ",10),10)," ")</f>
        <v/>
      </c>
      <c r="T3321" s="10">
        <f>IF(A3321="D",LEFT(UPPER(D3321)&amp;REPT(" ",2),2)," ")</f>
        <v/>
      </c>
      <c r="U3321" s="10">
        <f>IF(A3321="D",LEFT(UPPER(E3321)&amp;REPT(" ",15),15)," ")</f>
        <v/>
      </c>
      <c r="V3321" s="10">
        <f>REPT(" ",24)</f>
        <v/>
      </c>
      <c r="W3321" s="10">
        <f>IF(A3321="c",LEFT(UPPER(B3321)&amp;REPT(" ",20),20),REPT(" ",20))</f>
        <v/>
      </c>
      <c r="X3321" s="10">
        <f>IF(A3321="C",LEFT(UPPER(C3321)&amp;REPT(" ",10),10)," ")</f>
        <v/>
      </c>
      <c r="Y3321" s="10">
        <f>IF(A3321="C",LEFT(UPPER(D3321)&amp;REPT(" ",2),2)," ")</f>
        <v/>
      </c>
      <c r="Z3321" s="10">
        <f>IF(A3321="C",LEFT(UPPER(E3321)&amp;REPT(" ",15),15)," ")</f>
        <v/>
      </c>
      <c r="AA3321" s="10">
        <f>REPT(" ",8)</f>
        <v/>
      </c>
      <c r="AB3321" s="10">
        <f>REPT(" ",4)</f>
        <v/>
      </c>
      <c r="AC3321" s="10">
        <f>LEFT(UPPER(H3321)&amp;REPT(" ",250),250)</f>
        <v/>
      </c>
      <c r="AD3321" s="10">
        <f>TEXT($G$2,"dd/mm/aaaa")</f>
        <v/>
      </c>
      <c r="AE3321" s="10">
        <f>REPT(" ",10)</f>
        <v/>
      </c>
      <c r="AF3321" s="10">
        <f>REPT(" ",20)</f>
        <v/>
      </c>
      <c r="AG3321" s="54">
        <f>REPT(" ",18-LEN(FIXED(F3321,2,TRUE)))&amp;FIXED(F3321,2,TRUE)</f>
        <v/>
      </c>
      <c r="AH3321" s="10">
        <f>LEN(AC3321)+LEN(AG3321)</f>
        <v/>
      </c>
      <c r="AI3321" s="10">
        <f>LEN(L3321)</f>
        <v/>
      </c>
    </row>
    <row r="3322">
      <c r="J3322" s="12">
        <f>IF(F3322&lt;&gt;0,"LANÇAR","")</f>
        <v/>
      </c>
      <c r="L3322" s="13">
        <f>N3322&amp;O3322&amp;P3322&amp;Q3322&amp;R3322&amp;S3322&amp;T3322&amp;U3322&amp;V3322&amp;W3322&amp;X3322&amp;Y3322&amp;Z3322&amp;AA3322&amp;AB3322&amp;AC3322&amp;AD3322&amp;AE3322&amp;AF3322&amp;AG3322</f>
        <v/>
      </c>
      <c r="N3322" s="10">
        <f>TEXT($B$6,"00")</f>
        <v/>
      </c>
      <c r="O3322" s="10">
        <f>REPT(" ",8)</f>
        <v/>
      </c>
      <c r="P3322" s="10">
        <f>RIGHT($B$4,2)</f>
        <v/>
      </c>
      <c r="Q3322" s="10">
        <f>RIGHT($B$5,3)</f>
        <v/>
      </c>
      <c r="R3322" s="10">
        <f>IF(A3322="D",LEFT(UPPER(B3322)&amp;REPT(" ",20),20),REPT(" ",20))</f>
        <v/>
      </c>
      <c r="S3322" s="10">
        <f>IF(A3322="D",LEFT(UPPER(C3322)&amp;REPT(" ",10),10)," ")</f>
        <v/>
      </c>
      <c r="T3322" s="10">
        <f>IF(A3322="D",LEFT(UPPER(D3322)&amp;REPT(" ",2),2)," ")</f>
        <v/>
      </c>
      <c r="U3322" s="10">
        <f>IF(A3322="D",LEFT(UPPER(E3322)&amp;REPT(" ",15),15)," ")</f>
        <v/>
      </c>
      <c r="V3322" s="10">
        <f>REPT(" ",24)</f>
        <v/>
      </c>
      <c r="W3322" s="10">
        <f>IF(A3322="c",LEFT(UPPER(B3322)&amp;REPT(" ",20),20),REPT(" ",20))</f>
        <v/>
      </c>
      <c r="X3322" s="10">
        <f>IF(A3322="C",LEFT(UPPER(C3322)&amp;REPT(" ",10),10)," ")</f>
        <v/>
      </c>
      <c r="Y3322" s="10">
        <f>IF(A3322="C",LEFT(UPPER(D3322)&amp;REPT(" ",2),2)," ")</f>
        <v/>
      </c>
      <c r="Z3322" s="10">
        <f>IF(A3322="C",LEFT(UPPER(E3322)&amp;REPT(" ",15),15)," ")</f>
        <v/>
      </c>
      <c r="AA3322" s="10">
        <f>REPT(" ",8)</f>
        <v/>
      </c>
      <c r="AB3322" s="10">
        <f>REPT(" ",4)</f>
        <v/>
      </c>
      <c r="AC3322" s="10">
        <f>LEFT(UPPER(H3322)&amp;REPT(" ",250),250)</f>
        <v/>
      </c>
      <c r="AD3322" s="10">
        <f>TEXT($G$2,"dd/mm/aaaa")</f>
        <v/>
      </c>
      <c r="AE3322" s="10">
        <f>REPT(" ",10)</f>
        <v/>
      </c>
      <c r="AF3322" s="10">
        <f>REPT(" ",20)</f>
        <v/>
      </c>
      <c r="AG3322" s="54">
        <f>REPT(" ",18-LEN(FIXED(F3322,2,TRUE)))&amp;FIXED(F3322,2,TRUE)</f>
        <v/>
      </c>
      <c r="AH3322" s="10">
        <f>LEN(AC3322)+LEN(AG3322)</f>
        <v/>
      </c>
      <c r="AI3322" s="10">
        <f>LEN(L3322)</f>
        <v/>
      </c>
    </row>
    <row r="3323">
      <c r="J3323" s="12">
        <f>IF(F3323&lt;&gt;0,"LANÇAR","")</f>
        <v/>
      </c>
      <c r="L3323" s="13">
        <f>N3323&amp;O3323&amp;P3323&amp;Q3323&amp;R3323&amp;S3323&amp;T3323&amp;U3323&amp;V3323&amp;W3323&amp;X3323&amp;Y3323&amp;Z3323&amp;AA3323&amp;AB3323&amp;AC3323&amp;AD3323&amp;AE3323&amp;AF3323&amp;AG3323</f>
        <v/>
      </c>
      <c r="N3323" s="10">
        <f>TEXT($B$6,"00")</f>
        <v/>
      </c>
      <c r="O3323" s="10">
        <f>REPT(" ",8)</f>
        <v/>
      </c>
      <c r="P3323" s="10">
        <f>RIGHT($B$4,2)</f>
        <v/>
      </c>
      <c r="Q3323" s="10">
        <f>RIGHT($B$5,3)</f>
        <v/>
      </c>
      <c r="R3323" s="10">
        <f>IF(A3323="D",LEFT(UPPER(B3323)&amp;REPT(" ",20),20),REPT(" ",20))</f>
        <v/>
      </c>
      <c r="S3323" s="10">
        <f>IF(A3323="D",LEFT(UPPER(C3323)&amp;REPT(" ",10),10)," ")</f>
        <v/>
      </c>
      <c r="T3323" s="10">
        <f>IF(A3323="D",LEFT(UPPER(D3323)&amp;REPT(" ",2),2)," ")</f>
        <v/>
      </c>
      <c r="U3323" s="10">
        <f>IF(A3323="D",LEFT(UPPER(E3323)&amp;REPT(" ",15),15)," ")</f>
        <v/>
      </c>
      <c r="V3323" s="10">
        <f>REPT(" ",24)</f>
        <v/>
      </c>
      <c r="W3323" s="10">
        <f>IF(A3323="c",LEFT(UPPER(B3323)&amp;REPT(" ",20),20),REPT(" ",20))</f>
        <v/>
      </c>
      <c r="X3323" s="10">
        <f>IF(A3323="C",LEFT(UPPER(C3323)&amp;REPT(" ",10),10)," ")</f>
        <v/>
      </c>
      <c r="Y3323" s="10">
        <f>IF(A3323="C",LEFT(UPPER(D3323)&amp;REPT(" ",2),2)," ")</f>
        <v/>
      </c>
      <c r="Z3323" s="10">
        <f>IF(A3323="C",LEFT(UPPER(E3323)&amp;REPT(" ",15),15)," ")</f>
        <v/>
      </c>
      <c r="AA3323" s="10">
        <f>REPT(" ",8)</f>
        <v/>
      </c>
      <c r="AB3323" s="10">
        <f>REPT(" ",4)</f>
        <v/>
      </c>
      <c r="AC3323" s="10">
        <f>LEFT(UPPER(H3323)&amp;REPT(" ",250),250)</f>
        <v/>
      </c>
      <c r="AD3323" s="10">
        <f>TEXT($G$2,"dd/mm/aaaa")</f>
        <v/>
      </c>
      <c r="AE3323" s="10">
        <f>REPT(" ",10)</f>
        <v/>
      </c>
      <c r="AF3323" s="10">
        <f>REPT(" ",20)</f>
        <v/>
      </c>
      <c r="AG3323" s="54">
        <f>REPT(" ",18-LEN(FIXED(F3323,2,TRUE)))&amp;FIXED(F3323,2,TRUE)</f>
        <v/>
      </c>
      <c r="AH3323" s="10">
        <f>LEN(AC3323)+LEN(AG3323)</f>
        <v/>
      </c>
      <c r="AI3323" s="10">
        <f>LEN(L3323)</f>
        <v/>
      </c>
    </row>
    <row r="3324">
      <c r="J3324" s="12">
        <f>IF(F3324&lt;&gt;0,"LANÇAR","")</f>
        <v/>
      </c>
      <c r="L3324" s="13">
        <f>N3324&amp;O3324&amp;P3324&amp;Q3324&amp;R3324&amp;S3324&amp;T3324&amp;U3324&amp;V3324&amp;W3324&amp;X3324&amp;Y3324&amp;Z3324&amp;AA3324&amp;AB3324&amp;AC3324&amp;AD3324&amp;AE3324&amp;AF3324&amp;AG3324</f>
        <v/>
      </c>
      <c r="N3324" s="10">
        <f>TEXT($B$6,"00")</f>
        <v/>
      </c>
      <c r="O3324" s="10">
        <f>REPT(" ",8)</f>
        <v/>
      </c>
      <c r="P3324" s="10">
        <f>RIGHT($B$4,2)</f>
        <v/>
      </c>
      <c r="Q3324" s="10">
        <f>RIGHT($B$5,3)</f>
        <v/>
      </c>
      <c r="R3324" s="10">
        <f>IF(A3324="D",LEFT(UPPER(B3324)&amp;REPT(" ",20),20),REPT(" ",20))</f>
        <v/>
      </c>
      <c r="S3324" s="10">
        <f>IF(A3324="D",LEFT(UPPER(C3324)&amp;REPT(" ",10),10)," ")</f>
        <v/>
      </c>
      <c r="T3324" s="10">
        <f>IF(A3324="D",LEFT(UPPER(D3324)&amp;REPT(" ",2),2)," ")</f>
        <v/>
      </c>
      <c r="U3324" s="10">
        <f>IF(A3324="D",LEFT(UPPER(E3324)&amp;REPT(" ",15),15)," ")</f>
        <v/>
      </c>
      <c r="V3324" s="10">
        <f>REPT(" ",24)</f>
        <v/>
      </c>
      <c r="W3324" s="10">
        <f>IF(A3324="c",LEFT(UPPER(B3324)&amp;REPT(" ",20),20),REPT(" ",20))</f>
        <v/>
      </c>
      <c r="X3324" s="10">
        <f>IF(A3324="C",LEFT(UPPER(C3324)&amp;REPT(" ",10),10)," ")</f>
        <v/>
      </c>
      <c r="Y3324" s="10">
        <f>IF(A3324="C",LEFT(UPPER(D3324)&amp;REPT(" ",2),2)," ")</f>
        <v/>
      </c>
      <c r="Z3324" s="10">
        <f>IF(A3324="C",LEFT(UPPER(E3324)&amp;REPT(" ",15),15)," ")</f>
        <v/>
      </c>
      <c r="AA3324" s="10">
        <f>REPT(" ",8)</f>
        <v/>
      </c>
      <c r="AB3324" s="10">
        <f>REPT(" ",4)</f>
        <v/>
      </c>
      <c r="AC3324" s="10">
        <f>LEFT(UPPER(H3324)&amp;REPT(" ",250),250)</f>
        <v/>
      </c>
      <c r="AD3324" s="10">
        <f>TEXT($G$2,"dd/mm/aaaa")</f>
        <v/>
      </c>
      <c r="AE3324" s="10">
        <f>REPT(" ",10)</f>
        <v/>
      </c>
      <c r="AF3324" s="10">
        <f>REPT(" ",20)</f>
        <v/>
      </c>
      <c r="AG3324" s="54">
        <f>REPT(" ",18-LEN(FIXED(F3324,2,TRUE)))&amp;FIXED(F3324,2,TRUE)</f>
        <v/>
      </c>
      <c r="AH3324" s="10">
        <f>LEN(AC3324)+LEN(AG3324)</f>
        <v/>
      </c>
      <c r="AI3324" s="10">
        <f>LEN(L3324)</f>
        <v/>
      </c>
    </row>
    <row r="3325">
      <c r="J3325" s="12">
        <f>IF(F3325&lt;&gt;0,"LANÇAR","")</f>
        <v/>
      </c>
      <c r="L3325" s="13">
        <f>N3325&amp;O3325&amp;P3325&amp;Q3325&amp;R3325&amp;S3325&amp;T3325&amp;U3325&amp;V3325&amp;W3325&amp;X3325&amp;Y3325&amp;Z3325&amp;AA3325&amp;AB3325&amp;AC3325&amp;AD3325&amp;AE3325&amp;AF3325&amp;AG3325</f>
        <v/>
      </c>
      <c r="N3325" s="10">
        <f>TEXT($B$6,"00")</f>
        <v/>
      </c>
      <c r="O3325" s="10">
        <f>REPT(" ",8)</f>
        <v/>
      </c>
      <c r="P3325" s="10">
        <f>RIGHT($B$4,2)</f>
        <v/>
      </c>
      <c r="Q3325" s="10">
        <f>RIGHT($B$5,3)</f>
        <v/>
      </c>
      <c r="R3325" s="10">
        <f>IF(A3325="D",LEFT(UPPER(B3325)&amp;REPT(" ",20),20),REPT(" ",20))</f>
        <v/>
      </c>
      <c r="S3325" s="10">
        <f>IF(A3325="D",LEFT(UPPER(C3325)&amp;REPT(" ",10),10)," ")</f>
        <v/>
      </c>
      <c r="T3325" s="10">
        <f>IF(A3325="D",LEFT(UPPER(D3325)&amp;REPT(" ",2),2)," ")</f>
        <v/>
      </c>
      <c r="U3325" s="10">
        <f>IF(A3325="D",LEFT(UPPER(E3325)&amp;REPT(" ",15),15)," ")</f>
        <v/>
      </c>
      <c r="V3325" s="10">
        <f>REPT(" ",24)</f>
        <v/>
      </c>
      <c r="W3325" s="10">
        <f>IF(A3325="c",LEFT(UPPER(B3325)&amp;REPT(" ",20),20),REPT(" ",20))</f>
        <v/>
      </c>
      <c r="X3325" s="10">
        <f>IF(A3325="C",LEFT(UPPER(C3325)&amp;REPT(" ",10),10)," ")</f>
        <v/>
      </c>
      <c r="Y3325" s="10">
        <f>IF(A3325="C",LEFT(UPPER(D3325)&amp;REPT(" ",2),2)," ")</f>
        <v/>
      </c>
      <c r="Z3325" s="10">
        <f>IF(A3325="C",LEFT(UPPER(E3325)&amp;REPT(" ",15),15)," ")</f>
        <v/>
      </c>
      <c r="AA3325" s="10">
        <f>REPT(" ",8)</f>
        <v/>
      </c>
      <c r="AB3325" s="10">
        <f>REPT(" ",4)</f>
        <v/>
      </c>
      <c r="AC3325" s="10">
        <f>LEFT(UPPER(H3325)&amp;REPT(" ",250),250)</f>
        <v/>
      </c>
      <c r="AD3325" s="10">
        <f>TEXT($G$2,"dd/mm/aaaa")</f>
        <v/>
      </c>
      <c r="AE3325" s="10">
        <f>REPT(" ",10)</f>
        <v/>
      </c>
      <c r="AF3325" s="10">
        <f>REPT(" ",20)</f>
        <v/>
      </c>
      <c r="AG3325" s="54">
        <f>REPT(" ",18-LEN(FIXED(F3325,2,TRUE)))&amp;FIXED(F3325,2,TRUE)</f>
        <v/>
      </c>
      <c r="AH3325" s="10">
        <f>LEN(AC3325)+LEN(AG3325)</f>
        <v/>
      </c>
      <c r="AI3325" s="10">
        <f>LEN(L3325)</f>
        <v/>
      </c>
    </row>
    <row r="3326">
      <c r="J3326" s="12">
        <f>IF(F3326&lt;&gt;0,"LANÇAR","")</f>
        <v/>
      </c>
      <c r="L3326" s="13">
        <f>N3326&amp;O3326&amp;P3326&amp;Q3326&amp;R3326&amp;S3326&amp;T3326&amp;U3326&amp;V3326&amp;W3326&amp;X3326&amp;Y3326&amp;Z3326&amp;AA3326&amp;AB3326&amp;AC3326&amp;AD3326&amp;AE3326&amp;AF3326&amp;AG3326</f>
        <v/>
      </c>
      <c r="N3326" s="10">
        <f>TEXT($B$6,"00")</f>
        <v/>
      </c>
      <c r="O3326" s="10">
        <f>REPT(" ",8)</f>
        <v/>
      </c>
      <c r="P3326" s="10">
        <f>RIGHT($B$4,2)</f>
        <v/>
      </c>
      <c r="Q3326" s="10">
        <f>RIGHT($B$5,3)</f>
        <v/>
      </c>
      <c r="R3326" s="10">
        <f>IF(A3326="D",LEFT(UPPER(B3326)&amp;REPT(" ",20),20),REPT(" ",20))</f>
        <v/>
      </c>
      <c r="S3326" s="10">
        <f>IF(A3326="D",LEFT(UPPER(C3326)&amp;REPT(" ",10),10)," ")</f>
        <v/>
      </c>
      <c r="T3326" s="10">
        <f>IF(A3326="D",LEFT(UPPER(D3326)&amp;REPT(" ",2),2)," ")</f>
        <v/>
      </c>
      <c r="U3326" s="10">
        <f>IF(A3326="D",LEFT(UPPER(E3326)&amp;REPT(" ",15),15)," ")</f>
        <v/>
      </c>
      <c r="V3326" s="10">
        <f>REPT(" ",24)</f>
        <v/>
      </c>
      <c r="W3326" s="10">
        <f>IF(A3326="c",LEFT(UPPER(B3326)&amp;REPT(" ",20),20),REPT(" ",20))</f>
        <v/>
      </c>
      <c r="X3326" s="10">
        <f>IF(A3326="C",LEFT(UPPER(C3326)&amp;REPT(" ",10),10)," ")</f>
        <v/>
      </c>
      <c r="Y3326" s="10">
        <f>IF(A3326="C",LEFT(UPPER(D3326)&amp;REPT(" ",2),2)," ")</f>
        <v/>
      </c>
      <c r="Z3326" s="10">
        <f>IF(A3326="C",LEFT(UPPER(E3326)&amp;REPT(" ",15),15)," ")</f>
        <v/>
      </c>
      <c r="AA3326" s="10">
        <f>REPT(" ",8)</f>
        <v/>
      </c>
      <c r="AB3326" s="10">
        <f>REPT(" ",4)</f>
        <v/>
      </c>
      <c r="AC3326" s="10">
        <f>LEFT(UPPER(H3326)&amp;REPT(" ",250),250)</f>
        <v/>
      </c>
      <c r="AD3326" s="10">
        <f>TEXT($G$2,"dd/mm/aaaa")</f>
        <v/>
      </c>
      <c r="AE3326" s="10">
        <f>REPT(" ",10)</f>
        <v/>
      </c>
      <c r="AF3326" s="10">
        <f>REPT(" ",20)</f>
        <v/>
      </c>
      <c r="AG3326" s="54">
        <f>REPT(" ",18-LEN(FIXED(F3326,2,TRUE)))&amp;FIXED(F3326,2,TRUE)</f>
        <v/>
      </c>
      <c r="AH3326" s="10">
        <f>LEN(AC3326)+LEN(AG3326)</f>
        <v/>
      </c>
      <c r="AI3326" s="10">
        <f>LEN(L3326)</f>
        <v/>
      </c>
    </row>
    <row r="3327">
      <c r="J3327" s="12">
        <f>IF(F3327&lt;&gt;0,"LANÇAR","")</f>
        <v/>
      </c>
      <c r="L3327" s="13">
        <f>N3327&amp;O3327&amp;P3327&amp;Q3327&amp;R3327&amp;S3327&amp;T3327&amp;U3327&amp;V3327&amp;W3327&amp;X3327&amp;Y3327&amp;Z3327&amp;AA3327&amp;AB3327&amp;AC3327&amp;AD3327&amp;AE3327&amp;AF3327&amp;AG3327</f>
        <v/>
      </c>
      <c r="N3327" s="10">
        <f>TEXT($B$6,"00")</f>
        <v/>
      </c>
      <c r="O3327" s="10">
        <f>REPT(" ",8)</f>
        <v/>
      </c>
      <c r="P3327" s="10">
        <f>RIGHT($B$4,2)</f>
        <v/>
      </c>
      <c r="Q3327" s="10">
        <f>RIGHT($B$5,3)</f>
        <v/>
      </c>
      <c r="R3327" s="10">
        <f>IF(A3327="D",LEFT(UPPER(B3327)&amp;REPT(" ",20),20),REPT(" ",20))</f>
        <v/>
      </c>
      <c r="S3327" s="10">
        <f>IF(A3327="D",LEFT(UPPER(C3327)&amp;REPT(" ",10),10)," ")</f>
        <v/>
      </c>
      <c r="T3327" s="10">
        <f>IF(A3327="D",LEFT(UPPER(D3327)&amp;REPT(" ",2),2)," ")</f>
        <v/>
      </c>
      <c r="U3327" s="10">
        <f>IF(A3327="D",LEFT(UPPER(E3327)&amp;REPT(" ",15),15)," ")</f>
        <v/>
      </c>
      <c r="V3327" s="10">
        <f>REPT(" ",24)</f>
        <v/>
      </c>
      <c r="W3327" s="10">
        <f>IF(A3327="c",LEFT(UPPER(B3327)&amp;REPT(" ",20),20),REPT(" ",20))</f>
        <v/>
      </c>
      <c r="X3327" s="10">
        <f>IF(A3327="C",LEFT(UPPER(C3327)&amp;REPT(" ",10),10)," ")</f>
        <v/>
      </c>
      <c r="Y3327" s="10">
        <f>IF(A3327="C",LEFT(UPPER(D3327)&amp;REPT(" ",2),2)," ")</f>
        <v/>
      </c>
      <c r="Z3327" s="10">
        <f>IF(A3327="C",LEFT(UPPER(E3327)&amp;REPT(" ",15),15)," ")</f>
        <v/>
      </c>
      <c r="AA3327" s="10">
        <f>REPT(" ",8)</f>
        <v/>
      </c>
      <c r="AB3327" s="10">
        <f>REPT(" ",4)</f>
        <v/>
      </c>
      <c r="AC3327" s="10">
        <f>LEFT(UPPER(H3327)&amp;REPT(" ",250),250)</f>
        <v/>
      </c>
      <c r="AD3327" s="10">
        <f>TEXT($G$2,"dd/mm/aaaa")</f>
        <v/>
      </c>
      <c r="AE3327" s="10">
        <f>REPT(" ",10)</f>
        <v/>
      </c>
      <c r="AF3327" s="10">
        <f>REPT(" ",20)</f>
        <v/>
      </c>
      <c r="AG3327" s="54">
        <f>REPT(" ",18-LEN(FIXED(F3327,2,TRUE)))&amp;FIXED(F3327,2,TRUE)</f>
        <v/>
      </c>
      <c r="AH3327" s="10">
        <f>LEN(AC3327)+LEN(AG3327)</f>
        <v/>
      </c>
      <c r="AI3327" s="10">
        <f>LEN(L3327)</f>
        <v/>
      </c>
    </row>
    <row r="3328">
      <c r="J3328" s="12">
        <f>IF(F3328&lt;&gt;0,"LANÇAR","")</f>
        <v/>
      </c>
      <c r="L3328" s="13">
        <f>N3328&amp;O3328&amp;P3328&amp;Q3328&amp;R3328&amp;S3328&amp;T3328&amp;U3328&amp;V3328&amp;W3328&amp;X3328&amp;Y3328&amp;Z3328&amp;AA3328&amp;AB3328&amp;AC3328&amp;AD3328&amp;AE3328&amp;AF3328&amp;AG3328</f>
        <v/>
      </c>
      <c r="N3328" s="10">
        <f>TEXT($B$6,"00")</f>
        <v/>
      </c>
      <c r="O3328" s="10">
        <f>REPT(" ",8)</f>
        <v/>
      </c>
      <c r="P3328" s="10">
        <f>RIGHT($B$4,2)</f>
        <v/>
      </c>
      <c r="Q3328" s="10">
        <f>RIGHT($B$5,3)</f>
        <v/>
      </c>
      <c r="R3328" s="10">
        <f>IF(A3328="D",LEFT(UPPER(B3328)&amp;REPT(" ",20),20),REPT(" ",20))</f>
        <v/>
      </c>
      <c r="S3328" s="10">
        <f>IF(A3328="D",LEFT(UPPER(C3328)&amp;REPT(" ",10),10)," ")</f>
        <v/>
      </c>
      <c r="T3328" s="10">
        <f>IF(A3328="D",LEFT(UPPER(D3328)&amp;REPT(" ",2),2)," ")</f>
        <v/>
      </c>
      <c r="U3328" s="10">
        <f>IF(A3328="D",LEFT(UPPER(E3328)&amp;REPT(" ",15),15)," ")</f>
        <v/>
      </c>
      <c r="V3328" s="10">
        <f>REPT(" ",24)</f>
        <v/>
      </c>
      <c r="W3328" s="10">
        <f>IF(A3328="c",LEFT(UPPER(B3328)&amp;REPT(" ",20),20),REPT(" ",20))</f>
        <v/>
      </c>
      <c r="X3328" s="10">
        <f>IF(A3328="C",LEFT(UPPER(C3328)&amp;REPT(" ",10),10)," ")</f>
        <v/>
      </c>
      <c r="Y3328" s="10">
        <f>IF(A3328="C",LEFT(UPPER(D3328)&amp;REPT(" ",2),2)," ")</f>
        <v/>
      </c>
      <c r="Z3328" s="10">
        <f>IF(A3328="C",LEFT(UPPER(E3328)&amp;REPT(" ",15),15)," ")</f>
        <v/>
      </c>
      <c r="AA3328" s="10">
        <f>REPT(" ",8)</f>
        <v/>
      </c>
      <c r="AB3328" s="10">
        <f>REPT(" ",4)</f>
        <v/>
      </c>
      <c r="AC3328" s="10">
        <f>LEFT(UPPER(H3328)&amp;REPT(" ",250),250)</f>
        <v/>
      </c>
      <c r="AD3328" s="10">
        <f>TEXT($G$2,"dd/mm/aaaa")</f>
        <v/>
      </c>
      <c r="AE3328" s="10">
        <f>REPT(" ",10)</f>
        <v/>
      </c>
      <c r="AF3328" s="10">
        <f>REPT(" ",20)</f>
        <v/>
      </c>
      <c r="AG3328" s="54">
        <f>REPT(" ",18-LEN(FIXED(F3328,2,TRUE)))&amp;FIXED(F3328,2,TRUE)</f>
        <v/>
      </c>
      <c r="AH3328" s="10">
        <f>LEN(AC3328)+LEN(AG3328)</f>
        <v/>
      </c>
      <c r="AI3328" s="10">
        <f>LEN(L3328)</f>
        <v/>
      </c>
    </row>
    <row r="3329">
      <c r="J3329" s="12">
        <f>IF(F3329&lt;&gt;0,"LANÇAR","")</f>
        <v/>
      </c>
      <c r="L3329" s="13">
        <f>N3329&amp;O3329&amp;P3329&amp;Q3329&amp;R3329&amp;S3329&amp;T3329&amp;U3329&amp;V3329&amp;W3329&amp;X3329&amp;Y3329&amp;Z3329&amp;AA3329&amp;AB3329&amp;AC3329&amp;AD3329&amp;AE3329&amp;AF3329&amp;AG3329</f>
        <v/>
      </c>
      <c r="N3329" s="10">
        <f>TEXT($B$6,"00")</f>
        <v/>
      </c>
      <c r="O3329" s="10">
        <f>REPT(" ",8)</f>
        <v/>
      </c>
      <c r="P3329" s="10">
        <f>RIGHT($B$4,2)</f>
        <v/>
      </c>
      <c r="Q3329" s="10">
        <f>RIGHT($B$5,3)</f>
        <v/>
      </c>
      <c r="R3329" s="10">
        <f>IF(A3329="D",LEFT(UPPER(B3329)&amp;REPT(" ",20),20),REPT(" ",20))</f>
        <v/>
      </c>
      <c r="S3329" s="10">
        <f>IF(A3329="D",LEFT(UPPER(C3329)&amp;REPT(" ",10),10)," ")</f>
        <v/>
      </c>
      <c r="T3329" s="10">
        <f>IF(A3329="D",LEFT(UPPER(D3329)&amp;REPT(" ",2),2)," ")</f>
        <v/>
      </c>
      <c r="U3329" s="10">
        <f>IF(A3329="D",LEFT(UPPER(E3329)&amp;REPT(" ",15),15)," ")</f>
        <v/>
      </c>
      <c r="V3329" s="10">
        <f>REPT(" ",24)</f>
        <v/>
      </c>
      <c r="W3329" s="10">
        <f>IF(A3329="c",LEFT(UPPER(B3329)&amp;REPT(" ",20),20),REPT(" ",20))</f>
        <v/>
      </c>
      <c r="X3329" s="10">
        <f>IF(A3329="C",LEFT(UPPER(C3329)&amp;REPT(" ",10),10)," ")</f>
        <v/>
      </c>
      <c r="Y3329" s="10">
        <f>IF(A3329="C",LEFT(UPPER(D3329)&amp;REPT(" ",2),2)," ")</f>
        <v/>
      </c>
      <c r="Z3329" s="10">
        <f>IF(A3329="C",LEFT(UPPER(E3329)&amp;REPT(" ",15),15)," ")</f>
        <v/>
      </c>
      <c r="AA3329" s="10">
        <f>REPT(" ",8)</f>
        <v/>
      </c>
      <c r="AB3329" s="10">
        <f>REPT(" ",4)</f>
        <v/>
      </c>
      <c r="AC3329" s="10">
        <f>LEFT(UPPER(H3329)&amp;REPT(" ",250),250)</f>
        <v/>
      </c>
      <c r="AD3329" s="10">
        <f>TEXT($G$2,"dd/mm/aaaa")</f>
        <v/>
      </c>
      <c r="AE3329" s="10">
        <f>REPT(" ",10)</f>
        <v/>
      </c>
      <c r="AF3329" s="10">
        <f>REPT(" ",20)</f>
        <v/>
      </c>
      <c r="AG3329" s="54">
        <f>REPT(" ",18-LEN(FIXED(F3329,2,TRUE)))&amp;FIXED(F3329,2,TRUE)</f>
        <v/>
      </c>
      <c r="AH3329" s="10">
        <f>LEN(AC3329)+LEN(AG3329)</f>
        <v/>
      </c>
      <c r="AI3329" s="10">
        <f>LEN(L3329)</f>
        <v/>
      </c>
    </row>
    <row r="3330">
      <c r="J3330" s="12">
        <f>IF(F3330&lt;&gt;0,"LANÇAR","")</f>
        <v/>
      </c>
      <c r="L3330" s="13">
        <f>N3330&amp;O3330&amp;P3330&amp;Q3330&amp;R3330&amp;S3330&amp;T3330&amp;U3330&amp;V3330&amp;W3330&amp;X3330&amp;Y3330&amp;Z3330&amp;AA3330&amp;AB3330&amp;AC3330&amp;AD3330&amp;AE3330&amp;AF3330&amp;AG3330</f>
        <v/>
      </c>
      <c r="N3330" s="10">
        <f>TEXT($B$6,"00")</f>
        <v/>
      </c>
      <c r="O3330" s="10">
        <f>REPT(" ",8)</f>
        <v/>
      </c>
      <c r="P3330" s="10">
        <f>RIGHT($B$4,2)</f>
        <v/>
      </c>
      <c r="Q3330" s="10">
        <f>RIGHT($B$5,3)</f>
        <v/>
      </c>
      <c r="R3330" s="10">
        <f>IF(A3330="D",LEFT(UPPER(B3330)&amp;REPT(" ",20),20),REPT(" ",20))</f>
        <v/>
      </c>
      <c r="S3330" s="10">
        <f>IF(A3330="D",LEFT(UPPER(C3330)&amp;REPT(" ",10),10)," ")</f>
        <v/>
      </c>
      <c r="T3330" s="10">
        <f>IF(A3330="D",LEFT(UPPER(D3330)&amp;REPT(" ",2),2)," ")</f>
        <v/>
      </c>
      <c r="U3330" s="10">
        <f>IF(A3330="D",LEFT(UPPER(E3330)&amp;REPT(" ",15),15)," ")</f>
        <v/>
      </c>
      <c r="V3330" s="10">
        <f>REPT(" ",24)</f>
        <v/>
      </c>
      <c r="W3330" s="10">
        <f>IF(A3330="c",LEFT(UPPER(B3330)&amp;REPT(" ",20),20),REPT(" ",20))</f>
        <v/>
      </c>
      <c r="X3330" s="10">
        <f>IF(A3330="C",LEFT(UPPER(C3330)&amp;REPT(" ",10),10)," ")</f>
        <v/>
      </c>
      <c r="Y3330" s="10">
        <f>IF(A3330="C",LEFT(UPPER(D3330)&amp;REPT(" ",2),2)," ")</f>
        <v/>
      </c>
      <c r="Z3330" s="10">
        <f>IF(A3330="C",LEFT(UPPER(E3330)&amp;REPT(" ",15),15)," ")</f>
        <v/>
      </c>
      <c r="AA3330" s="10">
        <f>REPT(" ",8)</f>
        <v/>
      </c>
      <c r="AB3330" s="10">
        <f>REPT(" ",4)</f>
        <v/>
      </c>
      <c r="AC3330" s="10">
        <f>LEFT(UPPER(H3330)&amp;REPT(" ",250),250)</f>
        <v/>
      </c>
      <c r="AD3330" s="10">
        <f>TEXT($G$2,"dd/mm/aaaa")</f>
        <v/>
      </c>
      <c r="AE3330" s="10">
        <f>REPT(" ",10)</f>
        <v/>
      </c>
      <c r="AF3330" s="10">
        <f>REPT(" ",20)</f>
        <v/>
      </c>
      <c r="AG3330" s="54">
        <f>REPT(" ",18-LEN(FIXED(F3330,2,TRUE)))&amp;FIXED(F3330,2,TRUE)</f>
        <v/>
      </c>
      <c r="AH3330" s="10">
        <f>LEN(AC3330)+LEN(AG3330)</f>
        <v/>
      </c>
      <c r="AI3330" s="10">
        <f>LEN(L3330)</f>
        <v/>
      </c>
    </row>
    <row r="3331">
      <c r="J3331" s="12">
        <f>IF(F3331&lt;&gt;0,"LANÇAR","")</f>
        <v/>
      </c>
      <c r="L3331" s="13">
        <f>N3331&amp;O3331&amp;P3331&amp;Q3331&amp;R3331&amp;S3331&amp;T3331&amp;U3331&amp;V3331&amp;W3331&amp;X3331&amp;Y3331&amp;Z3331&amp;AA3331&amp;AB3331&amp;AC3331&amp;AD3331&amp;AE3331&amp;AF3331&amp;AG3331</f>
        <v/>
      </c>
      <c r="N3331" s="10">
        <f>TEXT($B$6,"00")</f>
        <v/>
      </c>
      <c r="O3331" s="10">
        <f>REPT(" ",8)</f>
        <v/>
      </c>
      <c r="P3331" s="10">
        <f>RIGHT($B$4,2)</f>
        <v/>
      </c>
      <c r="Q3331" s="10">
        <f>RIGHT($B$5,3)</f>
        <v/>
      </c>
      <c r="R3331" s="10">
        <f>IF(A3331="D",LEFT(UPPER(B3331)&amp;REPT(" ",20),20),REPT(" ",20))</f>
        <v/>
      </c>
      <c r="S3331" s="10">
        <f>IF(A3331="D",LEFT(UPPER(C3331)&amp;REPT(" ",10),10)," ")</f>
        <v/>
      </c>
      <c r="T3331" s="10">
        <f>IF(A3331="D",LEFT(UPPER(D3331)&amp;REPT(" ",2),2)," ")</f>
        <v/>
      </c>
      <c r="U3331" s="10">
        <f>IF(A3331="D",LEFT(UPPER(E3331)&amp;REPT(" ",15),15)," ")</f>
        <v/>
      </c>
      <c r="V3331" s="10">
        <f>REPT(" ",24)</f>
        <v/>
      </c>
      <c r="W3331" s="10">
        <f>IF(A3331="c",LEFT(UPPER(B3331)&amp;REPT(" ",20),20),REPT(" ",20))</f>
        <v/>
      </c>
      <c r="X3331" s="10">
        <f>IF(A3331="C",LEFT(UPPER(C3331)&amp;REPT(" ",10),10)," ")</f>
        <v/>
      </c>
      <c r="Y3331" s="10">
        <f>IF(A3331="C",LEFT(UPPER(D3331)&amp;REPT(" ",2),2)," ")</f>
        <v/>
      </c>
      <c r="Z3331" s="10">
        <f>IF(A3331="C",LEFT(UPPER(E3331)&amp;REPT(" ",15),15)," ")</f>
        <v/>
      </c>
      <c r="AA3331" s="10">
        <f>REPT(" ",8)</f>
        <v/>
      </c>
      <c r="AB3331" s="10">
        <f>REPT(" ",4)</f>
        <v/>
      </c>
      <c r="AC3331" s="10">
        <f>LEFT(UPPER(H3331)&amp;REPT(" ",250),250)</f>
        <v/>
      </c>
      <c r="AD3331" s="10">
        <f>TEXT($G$2,"dd/mm/aaaa")</f>
        <v/>
      </c>
      <c r="AE3331" s="10">
        <f>REPT(" ",10)</f>
        <v/>
      </c>
      <c r="AF3331" s="10">
        <f>REPT(" ",20)</f>
        <v/>
      </c>
      <c r="AG3331" s="54">
        <f>REPT(" ",18-LEN(FIXED(F3331,2,TRUE)))&amp;FIXED(F3331,2,TRUE)</f>
        <v/>
      </c>
      <c r="AH3331" s="10">
        <f>LEN(AC3331)+LEN(AG3331)</f>
        <v/>
      </c>
      <c r="AI3331" s="10">
        <f>LEN(L3331)</f>
        <v/>
      </c>
    </row>
    <row r="3332">
      <c r="J3332" s="12">
        <f>IF(F3332&lt;&gt;0,"LANÇAR","")</f>
        <v/>
      </c>
      <c r="L3332" s="13">
        <f>N3332&amp;O3332&amp;P3332&amp;Q3332&amp;R3332&amp;S3332&amp;T3332&amp;U3332&amp;V3332&amp;W3332&amp;X3332&amp;Y3332&amp;Z3332&amp;AA3332&amp;AB3332&amp;AC3332&amp;AD3332&amp;AE3332&amp;AF3332&amp;AG3332</f>
        <v/>
      </c>
      <c r="N3332" s="10">
        <f>TEXT($B$6,"00")</f>
        <v/>
      </c>
      <c r="O3332" s="10">
        <f>REPT(" ",8)</f>
        <v/>
      </c>
      <c r="P3332" s="10">
        <f>RIGHT($B$4,2)</f>
        <v/>
      </c>
      <c r="Q3332" s="10">
        <f>RIGHT($B$5,3)</f>
        <v/>
      </c>
      <c r="R3332" s="10">
        <f>IF(A3332="D",LEFT(UPPER(B3332)&amp;REPT(" ",20),20),REPT(" ",20))</f>
        <v/>
      </c>
      <c r="S3332" s="10">
        <f>IF(A3332="D",LEFT(UPPER(C3332)&amp;REPT(" ",10),10)," ")</f>
        <v/>
      </c>
      <c r="T3332" s="10">
        <f>IF(A3332="D",LEFT(UPPER(D3332)&amp;REPT(" ",2),2)," ")</f>
        <v/>
      </c>
      <c r="U3332" s="10">
        <f>IF(A3332="D",LEFT(UPPER(E3332)&amp;REPT(" ",15),15)," ")</f>
        <v/>
      </c>
      <c r="V3332" s="10">
        <f>REPT(" ",24)</f>
        <v/>
      </c>
      <c r="W3332" s="10">
        <f>IF(A3332="c",LEFT(UPPER(B3332)&amp;REPT(" ",20),20),REPT(" ",20))</f>
        <v/>
      </c>
      <c r="X3332" s="10">
        <f>IF(A3332="C",LEFT(UPPER(C3332)&amp;REPT(" ",10),10)," ")</f>
        <v/>
      </c>
      <c r="Y3332" s="10">
        <f>IF(A3332="C",LEFT(UPPER(D3332)&amp;REPT(" ",2),2)," ")</f>
        <v/>
      </c>
      <c r="Z3332" s="10">
        <f>IF(A3332="C",LEFT(UPPER(E3332)&amp;REPT(" ",15),15)," ")</f>
        <v/>
      </c>
      <c r="AA3332" s="10">
        <f>REPT(" ",8)</f>
        <v/>
      </c>
      <c r="AB3332" s="10">
        <f>REPT(" ",4)</f>
        <v/>
      </c>
      <c r="AC3332" s="10">
        <f>LEFT(UPPER(H3332)&amp;REPT(" ",250),250)</f>
        <v/>
      </c>
      <c r="AD3332" s="10">
        <f>TEXT($G$2,"dd/mm/aaaa")</f>
        <v/>
      </c>
      <c r="AE3332" s="10">
        <f>REPT(" ",10)</f>
        <v/>
      </c>
      <c r="AF3332" s="10">
        <f>REPT(" ",20)</f>
        <v/>
      </c>
      <c r="AG3332" s="54">
        <f>REPT(" ",18-LEN(FIXED(F3332,2,TRUE)))&amp;FIXED(F3332,2,TRUE)</f>
        <v/>
      </c>
      <c r="AH3332" s="10">
        <f>LEN(AC3332)+LEN(AG3332)</f>
        <v/>
      </c>
      <c r="AI3332" s="10">
        <f>LEN(L3332)</f>
        <v/>
      </c>
    </row>
    <row r="3333">
      <c r="J3333" s="12">
        <f>IF(F3333&lt;&gt;0,"LANÇAR","")</f>
        <v/>
      </c>
      <c r="L3333" s="13">
        <f>N3333&amp;O3333&amp;P3333&amp;Q3333&amp;R3333&amp;S3333&amp;T3333&amp;U3333&amp;V3333&amp;W3333&amp;X3333&amp;Y3333&amp;Z3333&amp;AA3333&amp;AB3333&amp;AC3333&amp;AD3333&amp;AE3333&amp;AF3333&amp;AG3333</f>
        <v/>
      </c>
      <c r="N3333" s="10">
        <f>TEXT($B$6,"00")</f>
        <v/>
      </c>
      <c r="O3333" s="10">
        <f>REPT(" ",8)</f>
        <v/>
      </c>
      <c r="P3333" s="10">
        <f>RIGHT($B$4,2)</f>
        <v/>
      </c>
      <c r="Q3333" s="10">
        <f>RIGHT($B$5,3)</f>
        <v/>
      </c>
      <c r="R3333" s="10">
        <f>IF(A3333="D",LEFT(UPPER(B3333)&amp;REPT(" ",20),20),REPT(" ",20))</f>
        <v/>
      </c>
      <c r="S3333" s="10">
        <f>IF(A3333="D",LEFT(UPPER(C3333)&amp;REPT(" ",10),10)," ")</f>
        <v/>
      </c>
      <c r="T3333" s="10">
        <f>IF(A3333="D",LEFT(UPPER(D3333)&amp;REPT(" ",2),2)," ")</f>
        <v/>
      </c>
      <c r="U3333" s="10">
        <f>IF(A3333="D",LEFT(UPPER(E3333)&amp;REPT(" ",15),15)," ")</f>
        <v/>
      </c>
      <c r="V3333" s="10">
        <f>REPT(" ",24)</f>
        <v/>
      </c>
      <c r="W3333" s="10">
        <f>IF(A3333="c",LEFT(UPPER(B3333)&amp;REPT(" ",20),20),REPT(" ",20))</f>
        <v/>
      </c>
      <c r="X3333" s="10">
        <f>IF(A3333="C",LEFT(UPPER(C3333)&amp;REPT(" ",10),10)," ")</f>
        <v/>
      </c>
      <c r="Y3333" s="10">
        <f>IF(A3333="C",LEFT(UPPER(D3333)&amp;REPT(" ",2),2)," ")</f>
        <v/>
      </c>
      <c r="Z3333" s="10">
        <f>IF(A3333="C",LEFT(UPPER(E3333)&amp;REPT(" ",15),15)," ")</f>
        <v/>
      </c>
      <c r="AA3333" s="10">
        <f>REPT(" ",8)</f>
        <v/>
      </c>
      <c r="AB3333" s="10">
        <f>REPT(" ",4)</f>
        <v/>
      </c>
      <c r="AC3333" s="10">
        <f>LEFT(UPPER(H3333)&amp;REPT(" ",250),250)</f>
        <v/>
      </c>
      <c r="AD3333" s="10">
        <f>TEXT($G$2,"dd/mm/aaaa")</f>
        <v/>
      </c>
      <c r="AE3333" s="10">
        <f>REPT(" ",10)</f>
        <v/>
      </c>
      <c r="AF3333" s="10">
        <f>REPT(" ",20)</f>
        <v/>
      </c>
      <c r="AG3333" s="54">
        <f>REPT(" ",18-LEN(FIXED(F3333,2,TRUE)))&amp;FIXED(F3333,2,TRUE)</f>
        <v/>
      </c>
      <c r="AH3333" s="10">
        <f>LEN(AC3333)+LEN(AG3333)</f>
        <v/>
      </c>
      <c r="AI3333" s="10">
        <f>LEN(L3333)</f>
        <v/>
      </c>
    </row>
    <row r="3334">
      <c r="J3334" s="12">
        <f>IF(F3334&lt;&gt;0,"LANÇAR","")</f>
        <v/>
      </c>
      <c r="L3334" s="13">
        <f>N3334&amp;O3334&amp;P3334&amp;Q3334&amp;R3334&amp;S3334&amp;T3334&amp;U3334&amp;V3334&amp;W3334&amp;X3334&amp;Y3334&amp;Z3334&amp;AA3334&amp;AB3334&amp;AC3334&amp;AD3334&amp;AE3334&amp;AF3334&amp;AG3334</f>
        <v/>
      </c>
      <c r="N3334" s="10">
        <f>TEXT($B$6,"00")</f>
        <v/>
      </c>
      <c r="O3334" s="10">
        <f>REPT(" ",8)</f>
        <v/>
      </c>
      <c r="P3334" s="10">
        <f>RIGHT($B$4,2)</f>
        <v/>
      </c>
      <c r="Q3334" s="10">
        <f>RIGHT($B$5,3)</f>
        <v/>
      </c>
      <c r="R3334" s="10">
        <f>IF(A3334="D",LEFT(UPPER(B3334)&amp;REPT(" ",20),20),REPT(" ",20))</f>
        <v/>
      </c>
      <c r="S3334" s="10">
        <f>IF(A3334="D",LEFT(UPPER(C3334)&amp;REPT(" ",10),10)," ")</f>
        <v/>
      </c>
      <c r="T3334" s="10">
        <f>IF(A3334="D",LEFT(UPPER(D3334)&amp;REPT(" ",2),2)," ")</f>
        <v/>
      </c>
      <c r="U3334" s="10">
        <f>IF(A3334="D",LEFT(UPPER(E3334)&amp;REPT(" ",15),15)," ")</f>
        <v/>
      </c>
      <c r="V3334" s="10">
        <f>REPT(" ",24)</f>
        <v/>
      </c>
      <c r="W3334" s="10">
        <f>IF(A3334="c",LEFT(UPPER(B3334)&amp;REPT(" ",20),20),REPT(" ",20))</f>
        <v/>
      </c>
      <c r="X3334" s="10">
        <f>IF(A3334="C",LEFT(UPPER(C3334)&amp;REPT(" ",10),10)," ")</f>
        <v/>
      </c>
      <c r="Y3334" s="10">
        <f>IF(A3334="C",LEFT(UPPER(D3334)&amp;REPT(" ",2),2)," ")</f>
        <v/>
      </c>
      <c r="Z3334" s="10">
        <f>IF(A3334="C",LEFT(UPPER(E3334)&amp;REPT(" ",15),15)," ")</f>
        <v/>
      </c>
      <c r="AA3334" s="10">
        <f>REPT(" ",8)</f>
        <v/>
      </c>
      <c r="AB3334" s="10">
        <f>REPT(" ",4)</f>
        <v/>
      </c>
      <c r="AC3334" s="10">
        <f>LEFT(UPPER(H3334)&amp;REPT(" ",250),250)</f>
        <v/>
      </c>
      <c r="AD3334" s="10">
        <f>TEXT($G$2,"dd/mm/aaaa")</f>
        <v/>
      </c>
      <c r="AE3334" s="10">
        <f>REPT(" ",10)</f>
        <v/>
      </c>
      <c r="AF3334" s="10">
        <f>REPT(" ",20)</f>
        <v/>
      </c>
      <c r="AG3334" s="54">
        <f>REPT(" ",18-LEN(FIXED(F3334,2,TRUE)))&amp;FIXED(F3334,2,TRUE)</f>
        <v/>
      </c>
      <c r="AH3334" s="10">
        <f>LEN(AC3334)+LEN(AG3334)</f>
        <v/>
      </c>
      <c r="AI3334" s="10">
        <f>LEN(L3334)</f>
        <v/>
      </c>
    </row>
    <row r="3335">
      <c r="J3335" s="12">
        <f>IF(F3335&lt;&gt;0,"LANÇAR","")</f>
        <v/>
      </c>
      <c r="L3335" s="13">
        <f>N3335&amp;O3335&amp;P3335&amp;Q3335&amp;R3335&amp;S3335&amp;T3335&amp;U3335&amp;V3335&amp;W3335&amp;X3335&amp;Y3335&amp;Z3335&amp;AA3335&amp;AB3335&amp;AC3335&amp;AD3335&amp;AE3335&amp;AF3335&amp;AG3335</f>
        <v/>
      </c>
      <c r="N3335" s="10">
        <f>TEXT($B$6,"00")</f>
        <v/>
      </c>
      <c r="O3335" s="10">
        <f>REPT(" ",8)</f>
        <v/>
      </c>
      <c r="P3335" s="10">
        <f>RIGHT($B$4,2)</f>
        <v/>
      </c>
      <c r="Q3335" s="10">
        <f>RIGHT($B$5,3)</f>
        <v/>
      </c>
      <c r="R3335" s="10">
        <f>IF(A3335="D",LEFT(UPPER(B3335)&amp;REPT(" ",20),20),REPT(" ",20))</f>
        <v/>
      </c>
      <c r="S3335" s="10">
        <f>IF(A3335="D",LEFT(UPPER(C3335)&amp;REPT(" ",10),10)," ")</f>
        <v/>
      </c>
      <c r="T3335" s="10">
        <f>IF(A3335="D",LEFT(UPPER(D3335)&amp;REPT(" ",2),2)," ")</f>
        <v/>
      </c>
      <c r="U3335" s="10">
        <f>IF(A3335="D",LEFT(UPPER(E3335)&amp;REPT(" ",15),15)," ")</f>
        <v/>
      </c>
      <c r="V3335" s="10">
        <f>REPT(" ",24)</f>
        <v/>
      </c>
      <c r="W3335" s="10">
        <f>IF(A3335="c",LEFT(UPPER(B3335)&amp;REPT(" ",20),20),REPT(" ",20))</f>
        <v/>
      </c>
      <c r="X3335" s="10">
        <f>IF(A3335="C",LEFT(UPPER(C3335)&amp;REPT(" ",10),10)," ")</f>
        <v/>
      </c>
      <c r="Y3335" s="10">
        <f>IF(A3335="C",LEFT(UPPER(D3335)&amp;REPT(" ",2),2)," ")</f>
        <v/>
      </c>
      <c r="Z3335" s="10">
        <f>IF(A3335="C",LEFT(UPPER(E3335)&amp;REPT(" ",15),15)," ")</f>
        <v/>
      </c>
      <c r="AA3335" s="10">
        <f>REPT(" ",8)</f>
        <v/>
      </c>
      <c r="AB3335" s="10">
        <f>REPT(" ",4)</f>
        <v/>
      </c>
      <c r="AC3335" s="10">
        <f>LEFT(UPPER(H3335)&amp;REPT(" ",250),250)</f>
        <v/>
      </c>
      <c r="AD3335" s="10">
        <f>TEXT($G$2,"dd/mm/aaaa")</f>
        <v/>
      </c>
      <c r="AE3335" s="10">
        <f>REPT(" ",10)</f>
        <v/>
      </c>
      <c r="AF3335" s="10">
        <f>REPT(" ",20)</f>
        <v/>
      </c>
      <c r="AG3335" s="54">
        <f>REPT(" ",18-LEN(FIXED(F3335,2,TRUE)))&amp;FIXED(F3335,2,TRUE)</f>
        <v/>
      </c>
      <c r="AH3335" s="10">
        <f>LEN(AC3335)+LEN(AG3335)</f>
        <v/>
      </c>
      <c r="AI3335" s="10">
        <f>LEN(L3335)</f>
        <v/>
      </c>
    </row>
    <row r="3336">
      <c r="J3336" s="12">
        <f>IF(F3336&lt;&gt;0,"LANÇAR","")</f>
        <v/>
      </c>
      <c r="L3336" s="13">
        <f>N3336&amp;O3336&amp;P3336&amp;Q3336&amp;R3336&amp;S3336&amp;T3336&amp;U3336&amp;V3336&amp;W3336&amp;X3336&amp;Y3336&amp;Z3336&amp;AA3336&amp;AB3336&amp;AC3336&amp;AD3336&amp;AE3336&amp;AF3336&amp;AG3336</f>
        <v/>
      </c>
      <c r="N3336" s="10">
        <f>TEXT($B$6,"00")</f>
        <v/>
      </c>
      <c r="O3336" s="10">
        <f>REPT(" ",8)</f>
        <v/>
      </c>
      <c r="P3336" s="10">
        <f>RIGHT($B$4,2)</f>
        <v/>
      </c>
      <c r="Q3336" s="10">
        <f>RIGHT($B$5,3)</f>
        <v/>
      </c>
      <c r="R3336" s="10">
        <f>IF(A3336="D",LEFT(UPPER(B3336)&amp;REPT(" ",20),20),REPT(" ",20))</f>
        <v/>
      </c>
      <c r="S3336" s="10">
        <f>IF(A3336="D",LEFT(UPPER(C3336)&amp;REPT(" ",10),10)," ")</f>
        <v/>
      </c>
      <c r="T3336" s="10">
        <f>IF(A3336="D",LEFT(UPPER(D3336)&amp;REPT(" ",2),2)," ")</f>
        <v/>
      </c>
      <c r="U3336" s="10">
        <f>IF(A3336="D",LEFT(UPPER(E3336)&amp;REPT(" ",15),15)," ")</f>
        <v/>
      </c>
      <c r="V3336" s="10">
        <f>REPT(" ",24)</f>
        <v/>
      </c>
      <c r="W3336" s="10">
        <f>IF(A3336="c",LEFT(UPPER(B3336)&amp;REPT(" ",20),20),REPT(" ",20))</f>
        <v/>
      </c>
      <c r="X3336" s="10">
        <f>IF(A3336="C",LEFT(UPPER(C3336)&amp;REPT(" ",10),10)," ")</f>
        <v/>
      </c>
      <c r="Y3336" s="10">
        <f>IF(A3336="C",LEFT(UPPER(D3336)&amp;REPT(" ",2),2)," ")</f>
        <v/>
      </c>
      <c r="Z3336" s="10">
        <f>IF(A3336="C",LEFT(UPPER(E3336)&amp;REPT(" ",15),15)," ")</f>
        <v/>
      </c>
      <c r="AA3336" s="10">
        <f>REPT(" ",8)</f>
        <v/>
      </c>
      <c r="AB3336" s="10">
        <f>REPT(" ",4)</f>
        <v/>
      </c>
      <c r="AC3336" s="10">
        <f>LEFT(UPPER(H3336)&amp;REPT(" ",250),250)</f>
        <v/>
      </c>
      <c r="AD3336" s="10">
        <f>TEXT($G$2,"dd/mm/aaaa")</f>
        <v/>
      </c>
      <c r="AE3336" s="10">
        <f>REPT(" ",10)</f>
        <v/>
      </c>
      <c r="AF3336" s="10">
        <f>REPT(" ",20)</f>
        <v/>
      </c>
      <c r="AG3336" s="54">
        <f>REPT(" ",18-LEN(FIXED(F3336,2,TRUE)))&amp;FIXED(F3336,2,TRUE)</f>
        <v/>
      </c>
      <c r="AH3336" s="10">
        <f>LEN(AC3336)+LEN(AG3336)</f>
        <v/>
      </c>
      <c r="AI3336" s="10">
        <f>LEN(L3336)</f>
        <v/>
      </c>
    </row>
    <row r="3337">
      <c r="J3337" s="12">
        <f>IF(F3337&lt;&gt;0,"LANÇAR","")</f>
        <v/>
      </c>
      <c r="L3337" s="13">
        <f>N3337&amp;O3337&amp;P3337&amp;Q3337&amp;R3337&amp;S3337&amp;T3337&amp;U3337&amp;V3337&amp;W3337&amp;X3337&amp;Y3337&amp;Z3337&amp;AA3337&amp;AB3337&amp;AC3337&amp;AD3337&amp;AE3337&amp;AF3337&amp;AG3337</f>
        <v/>
      </c>
      <c r="N3337" s="10">
        <f>TEXT($B$6,"00")</f>
        <v/>
      </c>
      <c r="O3337" s="10">
        <f>REPT(" ",8)</f>
        <v/>
      </c>
      <c r="P3337" s="10">
        <f>RIGHT($B$4,2)</f>
        <v/>
      </c>
      <c r="Q3337" s="10">
        <f>RIGHT($B$5,3)</f>
        <v/>
      </c>
      <c r="R3337" s="10">
        <f>IF(A3337="D",LEFT(UPPER(B3337)&amp;REPT(" ",20),20),REPT(" ",20))</f>
        <v/>
      </c>
      <c r="S3337" s="10">
        <f>IF(A3337="D",LEFT(UPPER(C3337)&amp;REPT(" ",10),10)," ")</f>
        <v/>
      </c>
      <c r="T3337" s="10">
        <f>IF(A3337="D",LEFT(UPPER(D3337)&amp;REPT(" ",2),2)," ")</f>
        <v/>
      </c>
      <c r="U3337" s="10">
        <f>IF(A3337="D",LEFT(UPPER(E3337)&amp;REPT(" ",15),15)," ")</f>
        <v/>
      </c>
      <c r="V3337" s="10">
        <f>REPT(" ",24)</f>
        <v/>
      </c>
      <c r="W3337" s="10">
        <f>IF(A3337="c",LEFT(UPPER(B3337)&amp;REPT(" ",20),20),REPT(" ",20))</f>
        <v/>
      </c>
      <c r="X3337" s="10">
        <f>IF(A3337="C",LEFT(UPPER(C3337)&amp;REPT(" ",10),10)," ")</f>
        <v/>
      </c>
      <c r="Y3337" s="10">
        <f>IF(A3337="C",LEFT(UPPER(D3337)&amp;REPT(" ",2),2)," ")</f>
        <v/>
      </c>
      <c r="Z3337" s="10">
        <f>IF(A3337="C",LEFT(UPPER(E3337)&amp;REPT(" ",15),15)," ")</f>
        <v/>
      </c>
      <c r="AA3337" s="10">
        <f>REPT(" ",8)</f>
        <v/>
      </c>
      <c r="AB3337" s="10">
        <f>REPT(" ",4)</f>
        <v/>
      </c>
      <c r="AC3337" s="10">
        <f>LEFT(UPPER(H3337)&amp;REPT(" ",250),250)</f>
        <v/>
      </c>
      <c r="AD3337" s="10">
        <f>TEXT($G$2,"dd/mm/aaaa")</f>
        <v/>
      </c>
      <c r="AE3337" s="10">
        <f>REPT(" ",10)</f>
        <v/>
      </c>
      <c r="AF3337" s="10">
        <f>REPT(" ",20)</f>
        <v/>
      </c>
      <c r="AG3337" s="54">
        <f>REPT(" ",18-LEN(FIXED(F3337,2,TRUE)))&amp;FIXED(F3337,2,TRUE)</f>
        <v/>
      </c>
      <c r="AH3337" s="10">
        <f>LEN(AC3337)+LEN(AG3337)</f>
        <v/>
      </c>
      <c r="AI3337" s="10">
        <f>LEN(L3337)</f>
        <v/>
      </c>
    </row>
    <row r="3338">
      <c r="J3338" s="12">
        <f>IF(F3338&lt;&gt;0,"LANÇAR","")</f>
        <v/>
      </c>
      <c r="L3338" s="13">
        <f>N3338&amp;O3338&amp;P3338&amp;Q3338&amp;R3338&amp;S3338&amp;T3338&amp;U3338&amp;V3338&amp;W3338&amp;X3338&amp;Y3338&amp;Z3338&amp;AA3338&amp;AB3338&amp;AC3338&amp;AD3338&amp;AE3338&amp;AF3338&amp;AG3338</f>
        <v/>
      </c>
      <c r="N3338" s="10">
        <f>TEXT($B$6,"00")</f>
        <v/>
      </c>
      <c r="O3338" s="10">
        <f>REPT(" ",8)</f>
        <v/>
      </c>
      <c r="P3338" s="10">
        <f>RIGHT($B$4,2)</f>
        <v/>
      </c>
      <c r="Q3338" s="10">
        <f>RIGHT($B$5,3)</f>
        <v/>
      </c>
      <c r="R3338" s="10">
        <f>IF(A3338="D",LEFT(UPPER(B3338)&amp;REPT(" ",20),20),REPT(" ",20))</f>
        <v/>
      </c>
      <c r="S3338" s="10">
        <f>IF(A3338="D",LEFT(UPPER(C3338)&amp;REPT(" ",10),10)," ")</f>
        <v/>
      </c>
      <c r="T3338" s="10">
        <f>IF(A3338="D",LEFT(UPPER(D3338)&amp;REPT(" ",2),2)," ")</f>
        <v/>
      </c>
      <c r="U3338" s="10">
        <f>IF(A3338="D",LEFT(UPPER(E3338)&amp;REPT(" ",15),15)," ")</f>
        <v/>
      </c>
      <c r="V3338" s="10">
        <f>REPT(" ",24)</f>
        <v/>
      </c>
      <c r="W3338" s="10">
        <f>IF(A3338="c",LEFT(UPPER(B3338)&amp;REPT(" ",20),20),REPT(" ",20))</f>
        <v/>
      </c>
      <c r="X3338" s="10">
        <f>IF(A3338="C",LEFT(UPPER(C3338)&amp;REPT(" ",10),10)," ")</f>
        <v/>
      </c>
      <c r="Y3338" s="10">
        <f>IF(A3338="C",LEFT(UPPER(D3338)&amp;REPT(" ",2),2)," ")</f>
        <v/>
      </c>
      <c r="Z3338" s="10">
        <f>IF(A3338="C",LEFT(UPPER(E3338)&amp;REPT(" ",15),15)," ")</f>
        <v/>
      </c>
      <c r="AA3338" s="10">
        <f>REPT(" ",8)</f>
        <v/>
      </c>
      <c r="AB3338" s="10">
        <f>REPT(" ",4)</f>
        <v/>
      </c>
      <c r="AC3338" s="10">
        <f>LEFT(UPPER(H3338)&amp;REPT(" ",250),250)</f>
        <v/>
      </c>
      <c r="AD3338" s="10">
        <f>TEXT($G$2,"dd/mm/aaaa")</f>
        <v/>
      </c>
      <c r="AE3338" s="10">
        <f>REPT(" ",10)</f>
        <v/>
      </c>
      <c r="AF3338" s="10">
        <f>REPT(" ",20)</f>
        <v/>
      </c>
      <c r="AG3338" s="54">
        <f>REPT(" ",18-LEN(FIXED(F3338,2,TRUE)))&amp;FIXED(F3338,2,TRUE)</f>
        <v/>
      </c>
      <c r="AH3338" s="10">
        <f>LEN(AC3338)+LEN(AG3338)</f>
        <v/>
      </c>
      <c r="AI3338" s="10">
        <f>LEN(L3338)</f>
        <v/>
      </c>
    </row>
    <row r="3339">
      <c r="J3339" s="12">
        <f>IF(F3339&lt;&gt;0,"LANÇAR","")</f>
        <v/>
      </c>
      <c r="L3339" s="13">
        <f>N3339&amp;O3339&amp;P3339&amp;Q3339&amp;R3339&amp;S3339&amp;T3339&amp;U3339&amp;V3339&amp;W3339&amp;X3339&amp;Y3339&amp;Z3339&amp;AA3339&amp;AB3339&amp;AC3339&amp;AD3339&amp;AE3339&amp;AF3339&amp;AG3339</f>
        <v/>
      </c>
      <c r="N3339" s="10">
        <f>TEXT($B$6,"00")</f>
        <v/>
      </c>
      <c r="O3339" s="10">
        <f>REPT(" ",8)</f>
        <v/>
      </c>
      <c r="P3339" s="10">
        <f>RIGHT($B$4,2)</f>
        <v/>
      </c>
      <c r="Q3339" s="10">
        <f>RIGHT($B$5,3)</f>
        <v/>
      </c>
      <c r="R3339" s="10">
        <f>IF(A3339="D",LEFT(UPPER(B3339)&amp;REPT(" ",20),20),REPT(" ",20))</f>
        <v/>
      </c>
      <c r="S3339" s="10">
        <f>IF(A3339="D",LEFT(UPPER(C3339)&amp;REPT(" ",10),10)," ")</f>
        <v/>
      </c>
      <c r="T3339" s="10">
        <f>IF(A3339="D",LEFT(UPPER(D3339)&amp;REPT(" ",2),2)," ")</f>
        <v/>
      </c>
      <c r="U3339" s="10">
        <f>IF(A3339="D",LEFT(UPPER(E3339)&amp;REPT(" ",15),15)," ")</f>
        <v/>
      </c>
      <c r="V3339" s="10">
        <f>REPT(" ",24)</f>
        <v/>
      </c>
      <c r="W3339" s="10">
        <f>IF(A3339="c",LEFT(UPPER(B3339)&amp;REPT(" ",20),20),REPT(" ",20))</f>
        <v/>
      </c>
      <c r="X3339" s="10">
        <f>IF(A3339="C",LEFT(UPPER(C3339)&amp;REPT(" ",10),10)," ")</f>
        <v/>
      </c>
      <c r="Y3339" s="10">
        <f>IF(A3339="C",LEFT(UPPER(D3339)&amp;REPT(" ",2),2)," ")</f>
        <v/>
      </c>
      <c r="Z3339" s="10">
        <f>IF(A3339="C",LEFT(UPPER(E3339)&amp;REPT(" ",15),15)," ")</f>
        <v/>
      </c>
      <c r="AA3339" s="10">
        <f>REPT(" ",8)</f>
        <v/>
      </c>
      <c r="AB3339" s="10">
        <f>REPT(" ",4)</f>
        <v/>
      </c>
      <c r="AC3339" s="10">
        <f>LEFT(UPPER(H3339)&amp;REPT(" ",250),250)</f>
        <v/>
      </c>
      <c r="AD3339" s="10">
        <f>TEXT($G$2,"dd/mm/aaaa")</f>
        <v/>
      </c>
      <c r="AE3339" s="10">
        <f>REPT(" ",10)</f>
        <v/>
      </c>
      <c r="AF3339" s="10">
        <f>REPT(" ",20)</f>
        <v/>
      </c>
      <c r="AG3339" s="54">
        <f>REPT(" ",18-LEN(FIXED(F3339,2,TRUE)))&amp;FIXED(F3339,2,TRUE)</f>
        <v/>
      </c>
      <c r="AH3339" s="10">
        <f>LEN(AC3339)+LEN(AG3339)</f>
        <v/>
      </c>
      <c r="AI3339" s="10">
        <f>LEN(L3339)</f>
        <v/>
      </c>
    </row>
    <row r="3340">
      <c r="J3340" s="12">
        <f>IF(F3340&lt;&gt;0,"LANÇAR","")</f>
        <v/>
      </c>
      <c r="L3340" s="13">
        <f>N3340&amp;O3340&amp;P3340&amp;Q3340&amp;R3340&amp;S3340&amp;T3340&amp;U3340&amp;V3340&amp;W3340&amp;X3340&amp;Y3340&amp;Z3340&amp;AA3340&amp;AB3340&amp;AC3340&amp;AD3340&amp;AE3340&amp;AF3340&amp;AG3340</f>
        <v/>
      </c>
      <c r="N3340" s="10">
        <f>TEXT($B$6,"00")</f>
        <v/>
      </c>
      <c r="O3340" s="10">
        <f>REPT(" ",8)</f>
        <v/>
      </c>
      <c r="P3340" s="10">
        <f>RIGHT($B$4,2)</f>
        <v/>
      </c>
      <c r="Q3340" s="10">
        <f>RIGHT($B$5,3)</f>
        <v/>
      </c>
      <c r="R3340" s="10">
        <f>IF(A3340="D",LEFT(UPPER(B3340)&amp;REPT(" ",20),20),REPT(" ",20))</f>
        <v/>
      </c>
      <c r="S3340" s="10">
        <f>IF(A3340="D",LEFT(UPPER(C3340)&amp;REPT(" ",10),10)," ")</f>
        <v/>
      </c>
      <c r="T3340" s="10">
        <f>IF(A3340="D",LEFT(UPPER(D3340)&amp;REPT(" ",2),2)," ")</f>
        <v/>
      </c>
      <c r="U3340" s="10">
        <f>IF(A3340="D",LEFT(UPPER(E3340)&amp;REPT(" ",15),15)," ")</f>
        <v/>
      </c>
      <c r="V3340" s="10">
        <f>REPT(" ",24)</f>
        <v/>
      </c>
      <c r="W3340" s="10">
        <f>IF(A3340="c",LEFT(UPPER(B3340)&amp;REPT(" ",20),20),REPT(" ",20))</f>
        <v/>
      </c>
      <c r="X3340" s="10">
        <f>IF(A3340="C",LEFT(UPPER(C3340)&amp;REPT(" ",10),10)," ")</f>
        <v/>
      </c>
      <c r="Y3340" s="10">
        <f>IF(A3340="C",LEFT(UPPER(D3340)&amp;REPT(" ",2),2)," ")</f>
        <v/>
      </c>
      <c r="Z3340" s="10">
        <f>IF(A3340="C",LEFT(UPPER(E3340)&amp;REPT(" ",15),15)," ")</f>
        <v/>
      </c>
      <c r="AA3340" s="10">
        <f>REPT(" ",8)</f>
        <v/>
      </c>
      <c r="AB3340" s="10">
        <f>REPT(" ",4)</f>
        <v/>
      </c>
      <c r="AC3340" s="10">
        <f>LEFT(UPPER(H3340)&amp;REPT(" ",250),250)</f>
        <v/>
      </c>
      <c r="AD3340" s="10">
        <f>TEXT($G$2,"dd/mm/aaaa")</f>
        <v/>
      </c>
      <c r="AE3340" s="10">
        <f>REPT(" ",10)</f>
        <v/>
      </c>
      <c r="AF3340" s="10">
        <f>REPT(" ",20)</f>
        <v/>
      </c>
      <c r="AG3340" s="54">
        <f>REPT(" ",18-LEN(FIXED(F3340,2,TRUE)))&amp;FIXED(F3340,2,TRUE)</f>
        <v/>
      </c>
      <c r="AH3340" s="10">
        <f>LEN(AC3340)+LEN(AG3340)</f>
        <v/>
      </c>
      <c r="AI3340" s="10">
        <f>LEN(L3340)</f>
        <v/>
      </c>
    </row>
    <row r="3341">
      <c r="J3341" s="12">
        <f>IF(F3341&lt;&gt;0,"LANÇAR","")</f>
        <v/>
      </c>
      <c r="L3341" s="13">
        <f>N3341&amp;O3341&amp;P3341&amp;Q3341&amp;R3341&amp;S3341&amp;T3341&amp;U3341&amp;V3341&amp;W3341&amp;X3341&amp;Y3341&amp;Z3341&amp;AA3341&amp;AB3341&amp;AC3341&amp;AD3341&amp;AE3341&amp;AF3341&amp;AG3341</f>
        <v/>
      </c>
      <c r="N3341" s="10">
        <f>TEXT($B$6,"00")</f>
        <v/>
      </c>
      <c r="O3341" s="10">
        <f>REPT(" ",8)</f>
        <v/>
      </c>
      <c r="P3341" s="10">
        <f>RIGHT($B$4,2)</f>
        <v/>
      </c>
      <c r="Q3341" s="10">
        <f>RIGHT($B$5,3)</f>
        <v/>
      </c>
      <c r="R3341" s="10">
        <f>IF(A3341="D",LEFT(UPPER(B3341)&amp;REPT(" ",20),20),REPT(" ",20))</f>
        <v/>
      </c>
      <c r="S3341" s="10">
        <f>IF(A3341="D",LEFT(UPPER(C3341)&amp;REPT(" ",10),10)," ")</f>
        <v/>
      </c>
      <c r="T3341" s="10">
        <f>IF(A3341="D",LEFT(UPPER(D3341)&amp;REPT(" ",2),2)," ")</f>
        <v/>
      </c>
      <c r="U3341" s="10">
        <f>IF(A3341="D",LEFT(UPPER(E3341)&amp;REPT(" ",15),15)," ")</f>
        <v/>
      </c>
      <c r="V3341" s="10">
        <f>REPT(" ",24)</f>
        <v/>
      </c>
      <c r="W3341" s="10">
        <f>IF(A3341="c",LEFT(UPPER(B3341)&amp;REPT(" ",20),20),REPT(" ",20))</f>
        <v/>
      </c>
      <c r="X3341" s="10">
        <f>IF(A3341="C",LEFT(UPPER(C3341)&amp;REPT(" ",10),10)," ")</f>
        <v/>
      </c>
      <c r="Y3341" s="10">
        <f>IF(A3341="C",LEFT(UPPER(D3341)&amp;REPT(" ",2),2)," ")</f>
        <v/>
      </c>
      <c r="Z3341" s="10">
        <f>IF(A3341="C",LEFT(UPPER(E3341)&amp;REPT(" ",15),15)," ")</f>
        <v/>
      </c>
      <c r="AA3341" s="10">
        <f>REPT(" ",8)</f>
        <v/>
      </c>
      <c r="AB3341" s="10">
        <f>REPT(" ",4)</f>
        <v/>
      </c>
      <c r="AC3341" s="10">
        <f>LEFT(UPPER(H3341)&amp;REPT(" ",250),250)</f>
        <v/>
      </c>
      <c r="AD3341" s="10">
        <f>TEXT($G$2,"dd/mm/aaaa")</f>
        <v/>
      </c>
      <c r="AE3341" s="10">
        <f>REPT(" ",10)</f>
        <v/>
      </c>
      <c r="AF3341" s="10">
        <f>REPT(" ",20)</f>
        <v/>
      </c>
      <c r="AG3341" s="54">
        <f>REPT(" ",18-LEN(FIXED(F3341,2,TRUE)))&amp;FIXED(F3341,2,TRUE)</f>
        <v/>
      </c>
      <c r="AH3341" s="10">
        <f>LEN(AC3341)+LEN(AG3341)</f>
        <v/>
      </c>
      <c r="AI3341" s="10">
        <f>LEN(L3341)</f>
        <v/>
      </c>
    </row>
    <row r="3342">
      <c r="J3342" s="12">
        <f>IF(F3342&lt;&gt;0,"LANÇAR","")</f>
        <v/>
      </c>
      <c r="L3342" s="13">
        <f>N3342&amp;O3342&amp;P3342&amp;Q3342&amp;R3342&amp;S3342&amp;T3342&amp;U3342&amp;V3342&amp;W3342&amp;X3342&amp;Y3342&amp;Z3342&amp;AA3342&amp;AB3342&amp;AC3342&amp;AD3342&amp;AE3342&amp;AF3342&amp;AG3342</f>
        <v/>
      </c>
      <c r="N3342" s="10">
        <f>TEXT($B$6,"00")</f>
        <v/>
      </c>
      <c r="O3342" s="10">
        <f>REPT(" ",8)</f>
        <v/>
      </c>
      <c r="P3342" s="10">
        <f>RIGHT($B$4,2)</f>
        <v/>
      </c>
      <c r="Q3342" s="10">
        <f>RIGHT($B$5,3)</f>
        <v/>
      </c>
      <c r="R3342" s="10">
        <f>IF(A3342="D",LEFT(UPPER(B3342)&amp;REPT(" ",20),20),REPT(" ",20))</f>
        <v/>
      </c>
      <c r="S3342" s="10">
        <f>IF(A3342="D",LEFT(UPPER(C3342)&amp;REPT(" ",10),10)," ")</f>
        <v/>
      </c>
      <c r="T3342" s="10">
        <f>IF(A3342="D",LEFT(UPPER(D3342)&amp;REPT(" ",2),2)," ")</f>
        <v/>
      </c>
      <c r="U3342" s="10">
        <f>IF(A3342="D",LEFT(UPPER(E3342)&amp;REPT(" ",15),15)," ")</f>
        <v/>
      </c>
      <c r="V3342" s="10">
        <f>REPT(" ",24)</f>
        <v/>
      </c>
      <c r="W3342" s="10">
        <f>IF(A3342="c",LEFT(UPPER(B3342)&amp;REPT(" ",20),20),REPT(" ",20))</f>
        <v/>
      </c>
      <c r="X3342" s="10">
        <f>IF(A3342="C",LEFT(UPPER(C3342)&amp;REPT(" ",10),10)," ")</f>
        <v/>
      </c>
      <c r="Y3342" s="10">
        <f>IF(A3342="C",LEFT(UPPER(D3342)&amp;REPT(" ",2),2)," ")</f>
        <v/>
      </c>
      <c r="Z3342" s="10">
        <f>IF(A3342="C",LEFT(UPPER(E3342)&amp;REPT(" ",15),15)," ")</f>
        <v/>
      </c>
      <c r="AA3342" s="10">
        <f>REPT(" ",8)</f>
        <v/>
      </c>
      <c r="AB3342" s="10">
        <f>REPT(" ",4)</f>
        <v/>
      </c>
      <c r="AC3342" s="10">
        <f>LEFT(UPPER(H3342)&amp;REPT(" ",250),250)</f>
        <v/>
      </c>
      <c r="AD3342" s="10">
        <f>TEXT($G$2,"dd/mm/aaaa")</f>
        <v/>
      </c>
      <c r="AE3342" s="10">
        <f>REPT(" ",10)</f>
        <v/>
      </c>
      <c r="AF3342" s="10">
        <f>REPT(" ",20)</f>
        <v/>
      </c>
      <c r="AG3342" s="54">
        <f>REPT(" ",18-LEN(FIXED(F3342,2,TRUE)))&amp;FIXED(F3342,2,TRUE)</f>
        <v/>
      </c>
      <c r="AH3342" s="10">
        <f>LEN(AC3342)+LEN(AG3342)</f>
        <v/>
      </c>
      <c r="AI3342" s="10">
        <f>LEN(L3342)</f>
        <v/>
      </c>
    </row>
    <row r="3343">
      <c r="J3343" s="12">
        <f>IF(F3343&lt;&gt;0,"LANÇAR","")</f>
        <v/>
      </c>
      <c r="L3343" s="13">
        <f>N3343&amp;O3343&amp;P3343&amp;Q3343&amp;R3343&amp;S3343&amp;T3343&amp;U3343&amp;V3343&amp;W3343&amp;X3343&amp;Y3343&amp;Z3343&amp;AA3343&amp;AB3343&amp;AC3343&amp;AD3343&amp;AE3343&amp;AF3343&amp;AG3343</f>
        <v/>
      </c>
      <c r="N3343" s="10">
        <f>TEXT($B$6,"00")</f>
        <v/>
      </c>
      <c r="O3343" s="10">
        <f>REPT(" ",8)</f>
        <v/>
      </c>
      <c r="P3343" s="10">
        <f>RIGHT($B$4,2)</f>
        <v/>
      </c>
      <c r="Q3343" s="10">
        <f>RIGHT($B$5,3)</f>
        <v/>
      </c>
      <c r="R3343" s="10">
        <f>IF(A3343="D",LEFT(UPPER(B3343)&amp;REPT(" ",20),20),REPT(" ",20))</f>
        <v/>
      </c>
      <c r="S3343" s="10">
        <f>IF(A3343="D",LEFT(UPPER(C3343)&amp;REPT(" ",10),10)," ")</f>
        <v/>
      </c>
      <c r="T3343" s="10">
        <f>IF(A3343="D",LEFT(UPPER(D3343)&amp;REPT(" ",2),2)," ")</f>
        <v/>
      </c>
      <c r="U3343" s="10">
        <f>IF(A3343="D",LEFT(UPPER(E3343)&amp;REPT(" ",15),15)," ")</f>
        <v/>
      </c>
      <c r="V3343" s="10">
        <f>REPT(" ",24)</f>
        <v/>
      </c>
      <c r="W3343" s="10">
        <f>IF(A3343="c",LEFT(UPPER(B3343)&amp;REPT(" ",20),20),REPT(" ",20))</f>
        <v/>
      </c>
      <c r="X3343" s="10">
        <f>IF(A3343="C",LEFT(UPPER(C3343)&amp;REPT(" ",10),10)," ")</f>
        <v/>
      </c>
      <c r="Y3343" s="10">
        <f>IF(A3343="C",LEFT(UPPER(D3343)&amp;REPT(" ",2),2)," ")</f>
        <v/>
      </c>
      <c r="Z3343" s="10">
        <f>IF(A3343="C",LEFT(UPPER(E3343)&amp;REPT(" ",15),15)," ")</f>
        <v/>
      </c>
      <c r="AA3343" s="10">
        <f>REPT(" ",8)</f>
        <v/>
      </c>
      <c r="AB3343" s="10">
        <f>REPT(" ",4)</f>
        <v/>
      </c>
      <c r="AC3343" s="10">
        <f>LEFT(UPPER(H3343)&amp;REPT(" ",250),250)</f>
        <v/>
      </c>
      <c r="AD3343" s="10">
        <f>TEXT($G$2,"dd/mm/aaaa")</f>
        <v/>
      </c>
      <c r="AE3343" s="10">
        <f>REPT(" ",10)</f>
        <v/>
      </c>
      <c r="AF3343" s="10">
        <f>REPT(" ",20)</f>
        <v/>
      </c>
      <c r="AG3343" s="54">
        <f>REPT(" ",18-LEN(FIXED(F3343,2,TRUE)))&amp;FIXED(F3343,2,TRUE)</f>
        <v/>
      </c>
      <c r="AH3343" s="10">
        <f>LEN(AC3343)+LEN(AG3343)</f>
        <v/>
      </c>
      <c r="AI3343" s="10">
        <f>LEN(L3343)</f>
        <v/>
      </c>
    </row>
    <row r="3344">
      <c r="J3344" s="12">
        <f>IF(F3344&lt;&gt;0,"LANÇAR","")</f>
        <v/>
      </c>
      <c r="L3344" s="13">
        <f>N3344&amp;O3344&amp;P3344&amp;Q3344&amp;R3344&amp;S3344&amp;T3344&amp;U3344&amp;V3344&amp;W3344&amp;X3344&amp;Y3344&amp;Z3344&amp;AA3344&amp;AB3344&amp;AC3344&amp;AD3344&amp;AE3344&amp;AF3344&amp;AG3344</f>
        <v/>
      </c>
      <c r="N3344" s="10">
        <f>TEXT($B$6,"00")</f>
        <v/>
      </c>
      <c r="O3344" s="10">
        <f>REPT(" ",8)</f>
        <v/>
      </c>
      <c r="P3344" s="10">
        <f>RIGHT($B$4,2)</f>
        <v/>
      </c>
      <c r="Q3344" s="10">
        <f>RIGHT($B$5,3)</f>
        <v/>
      </c>
      <c r="R3344" s="10">
        <f>IF(A3344="D",LEFT(UPPER(B3344)&amp;REPT(" ",20),20),REPT(" ",20))</f>
        <v/>
      </c>
      <c r="S3344" s="10">
        <f>IF(A3344="D",LEFT(UPPER(C3344)&amp;REPT(" ",10),10)," ")</f>
        <v/>
      </c>
      <c r="T3344" s="10">
        <f>IF(A3344="D",LEFT(UPPER(D3344)&amp;REPT(" ",2),2)," ")</f>
        <v/>
      </c>
      <c r="U3344" s="10">
        <f>IF(A3344="D",LEFT(UPPER(E3344)&amp;REPT(" ",15),15)," ")</f>
        <v/>
      </c>
      <c r="V3344" s="10">
        <f>REPT(" ",24)</f>
        <v/>
      </c>
      <c r="W3344" s="10">
        <f>IF(A3344="c",LEFT(UPPER(B3344)&amp;REPT(" ",20),20),REPT(" ",20))</f>
        <v/>
      </c>
      <c r="X3344" s="10">
        <f>IF(A3344="C",LEFT(UPPER(C3344)&amp;REPT(" ",10),10)," ")</f>
        <v/>
      </c>
      <c r="Y3344" s="10">
        <f>IF(A3344="C",LEFT(UPPER(D3344)&amp;REPT(" ",2),2)," ")</f>
        <v/>
      </c>
      <c r="Z3344" s="10">
        <f>IF(A3344="C",LEFT(UPPER(E3344)&amp;REPT(" ",15),15)," ")</f>
        <v/>
      </c>
      <c r="AA3344" s="10">
        <f>REPT(" ",8)</f>
        <v/>
      </c>
      <c r="AB3344" s="10">
        <f>REPT(" ",4)</f>
        <v/>
      </c>
      <c r="AC3344" s="10">
        <f>LEFT(UPPER(H3344)&amp;REPT(" ",250),250)</f>
        <v/>
      </c>
      <c r="AD3344" s="10">
        <f>TEXT($G$2,"dd/mm/aaaa")</f>
        <v/>
      </c>
      <c r="AE3344" s="10">
        <f>REPT(" ",10)</f>
        <v/>
      </c>
      <c r="AF3344" s="10">
        <f>REPT(" ",20)</f>
        <v/>
      </c>
      <c r="AG3344" s="54">
        <f>REPT(" ",18-LEN(FIXED(F3344,2,TRUE)))&amp;FIXED(F3344,2,TRUE)</f>
        <v/>
      </c>
      <c r="AH3344" s="10">
        <f>LEN(AC3344)+LEN(AG3344)</f>
        <v/>
      </c>
      <c r="AI3344" s="10">
        <f>LEN(L3344)</f>
        <v/>
      </c>
    </row>
    <row r="3345">
      <c r="J3345" s="12">
        <f>IF(F3345&lt;&gt;0,"LANÇAR","")</f>
        <v/>
      </c>
      <c r="L3345" s="13">
        <f>N3345&amp;O3345&amp;P3345&amp;Q3345&amp;R3345&amp;S3345&amp;T3345&amp;U3345&amp;V3345&amp;W3345&amp;X3345&amp;Y3345&amp;Z3345&amp;AA3345&amp;AB3345&amp;AC3345&amp;AD3345&amp;AE3345&amp;AF3345&amp;AG3345</f>
        <v/>
      </c>
      <c r="N3345" s="10">
        <f>TEXT($B$6,"00")</f>
        <v/>
      </c>
      <c r="O3345" s="10">
        <f>REPT(" ",8)</f>
        <v/>
      </c>
      <c r="P3345" s="10">
        <f>RIGHT($B$4,2)</f>
        <v/>
      </c>
      <c r="Q3345" s="10">
        <f>RIGHT($B$5,3)</f>
        <v/>
      </c>
      <c r="R3345" s="10">
        <f>IF(A3345="D",LEFT(UPPER(B3345)&amp;REPT(" ",20),20),REPT(" ",20))</f>
        <v/>
      </c>
      <c r="S3345" s="10">
        <f>IF(A3345="D",LEFT(UPPER(C3345)&amp;REPT(" ",10),10)," ")</f>
        <v/>
      </c>
      <c r="T3345" s="10">
        <f>IF(A3345="D",LEFT(UPPER(D3345)&amp;REPT(" ",2),2)," ")</f>
        <v/>
      </c>
      <c r="U3345" s="10">
        <f>IF(A3345="D",LEFT(UPPER(E3345)&amp;REPT(" ",15),15)," ")</f>
        <v/>
      </c>
      <c r="V3345" s="10">
        <f>REPT(" ",24)</f>
        <v/>
      </c>
      <c r="W3345" s="10">
        <f>IF(A3345="c",LEFT(UPPER(B3345)&amp;REPT(" ",20),20),REPT(" ",20))</f>
        <v/>
      </c>
      <c r="X3345" s="10">
        <f>IF(A3345="C",LEFT(UPPER(C3345)&amp;REPT(" ",10),10)," ")</f>
        <v/>
      </c>
      <c r="Y3345" s="10">
        <f>IF(A3345="C",LEFT(UPPER(D3345)&amp;REPT(" ",2),2)," ")</f>
        <v/>
      </c>
      <c r="Z3345" s="10">
        <f>IF(A3345="C",LEFT(UPPER(E3345)&amp;REPT(" ",15),15)," ")</f>
        <v/>
      </c>
      <c r="AA3345" s="10">
        <f>REPT(" ",8)</f>
        <v/>
      </c>
      <c r="AB3345" s="10">
        <f>REPT(" ",4)</f>
        <v/>
      </c>
      <c r="AC3345" s="10">
        <f>LEFT(UPPER(H3345)&amp;REPT(" ",250),250)</f>
        <v/>
      </c>
      <c r="AD3345" s="10">
        <f>TEXT($G$2,"dd/mm/aaaa")</f>
        <v/>
      </c>
      <c r="AE3345" s="10">
        <f>REPT(" ",10)</f>
        <v/>
      </c>
      <c r="AF3345" s="10">
        <f>REPT(" ",20)</f>
        <v/>
      </c>
      <c r="AG3345" s="54">
        <f>REPT(" ",18-LEN(FIXED(F3345,2,TRUE)))&amp;FIXED(F3345,2,TRUE)</f>
        <v/>
      </c>
      <c r="AH3345" s="10">
        <f>LEN(AC3345)+LEN(AG3345)</f>
        <v/>
      </c>
      <c r="AI3345" s="10">
        <f>LEN(L3345)</f>
        <v/>
      </c>
    </row>
    <row r="3346">
      <c r="J3346" s="12">
        <f>IF(F3346&lt;&gt;0,"LANÇAR","")</f>
        <v/>
      </c>
      <c r="L3346" s="13">
        <f>N3346&amp;O3346&amp;P3346&amp;Q3346&amp;R3346&amp;S3346&amp;T3346&amp;U3346&amp;V3346&amp;W3346&amp;X3346&amp;Y3346&amp;Z3346&amp;AA3346&amp;AB3346&amp;AC3346&amp;AD3346&amp;AE3346&amp;AF3346&amp;AG3346</f>
        <v/>
      </c>
      <c r="N3346" s="10">
        <f>TEXT($B$6,"00")</f>
        <v/>
      </c>
      <c r="O3346" s="10">
        <f>REPT(" ",8)</f>
        <v/>
      </c>
      <c r="P3346" s="10">
        <f>RIGHT($B$4,2)</f>
        <v/>
      </c>
      <c r="Q3346" s="10">
        <f>RIGHT($B$5,3)</f>
        <v/>
      </c>
      <c r="R3346" s="10">
        <f>IF(A3346="D",LEFT(UPPER(B3346)&amp;REPT(" ",20),20),REPT(" ",20))</f>
        <v/>
      </c>
      <c r="S3346" s="10">
        <f>IF(A3346="D",LEFT(UPPER(C3346)&amp;REPT(" ",10),10)," ")</f>
        <v/>
      </c>
      <c r="T3346" s="10">
        <f>IF(A3346="D",LEFT(UPPER(D3346)&amp;REPT(" ",2),2)," ")</f>
        <v/>
      </c>
      <c r="U3346" s="10">
        <f>IF(A3346="D",LEFT(UPPER(E3346)&amp;REPT(" ",15),15)," ")</f>
        <v/>
      </c>
      <c r="V3346" s="10">
        <f>REPT(" ",24)</f>
        <v/>
      </c>
      <c r="W3346" s="10">
        <f>IF(A3346="c",LEFT(UPPER(B3346)&amp;REPT(" ",20),20),REPT(" ",20))</f>
        <v/>
      </c>
      <c r="X3346" s="10">
        <f>IF(A3346="C",LEFT(UPPER(C3346)&amp;REPT(" ",10),10)," ")</f>
        <v/>
      </c>
      <c r="Y3346" s="10">
        <f>IF(A3346="C",LEFT(UPPER(D3346)&amp;REPT(" ",2),2)," ")</f>
        <v/>
      </c>
      <c r="Z3346" s="10">
        <f>IF(A3346="C",LEFT(UPPER(E3346)&amp;REPT(" ",15),15)," ")</f>
        <v/>
      </c>
      <c r="AA3346" s="10">
        <f>REPT(" ",8)</f>
        <v/>
      </c>
      <c r="AB3346" s="10">
        <f>REPT(" ",4)</f>
        <v/>
      </c>
      <c r="AC3346" s="10">
        <f>LEFT(UPPER(H3346)&amp;REPT(" ",250),250)</f>
        <v/>
      </c>
      <c r="AD3346" s="10">
        <f>TEXT($G$2,"dd/mm/aaaa")</f>
        <v/>
      </c>
      <c r="AE3346" s="10">
        <f>REPT(" ",10)</f>
        <v/>
      </c>
      <c r="AF3346" s="10">
        <f>REPT(" ",20)</f>
        <v/>
      </c>
      <c r="AG3346" s="54">
        <f>REPT(" ",18-LEN(FIXED(F3346,2,TRUE)))&amp;FIXED(F3346,2,TRUE)</f>
        <v/>
      </c>
      <c r="AH3346" s="10">
        <f>LEN(AC3346)+LEN(AG3346)</f>
        <v/>
      </c>
      <c r="AI3346" s="10">
        <f>LEN(L3346)</f>
        <v/>
      </c>
    </row>
    <row r="3347">
      <c r="J3347" s="12">
        <f>IF(F3347&lt;&gt;0,"LANÇAR","")</f>
        <v/>
      </c>
      <c r="L3347" s="13">
        <f>N3347&amp;O3347&amp;P3347&amp;Q3347&amp;R3347&amp;S3347&amp;T3347&amp;U3347&amp;V3347&amp;W3347&amp;X3347&amp;Y3347&amp;Z3347&amp;AA3347&amp;AB3347&amp;AC3347&amp;AD3347&amp;AE3347&amp;AF3347&amp;AG3347</f>
        <v/>
      </c>
      <c r="N3347" s="10">
        <f>TEXT($B$6,"00")</f>
        <v/>
      </c>
      <c r="O3347" s="10">
        <f>REPT(" ",8)</f>
        <v/>
      </c>
      <c r="P3347" s="10">
        <f>RIGHT($B$4,2)</f>
        <v/>
      </c>
      <c r="Q3347" s="10">
        <f>RIGHT($B$5,3)</f>
        <v/>
      </c>
      <c r="R3347" s="10">
        <f>IF(A3347="D",LEFT(UPPER(B3347)&amp;REPT(" ",20),20),REPT(" ",20))</f>
        <v/>
      </c>
      <c r="S3347" s="10">
        <f>IF(A3347="D",LEFT(UPPER(C3347)&amp;REPT(" ",10),10)," ")</f>
        <v/>
      </c>
      <c r="T3347" s="10">
        <f>IF(A3347="D",LEFT(UPPER(D3347)&amp;REPT(" ",2),2)," ")</f>
        <v/>
      </c>
      <c r="U3347" s="10">
        <f>IF(A3347="D",LEFT(UPPER(E3347)&amp;REPT(" ",15),15)," ")</f>
        <v/>
      </c>
      <c r="V3347" s="10">
        <f>REPT(" ",24)</f>
        <v/>
      </c>
      <c r="W3347" s="10">
        <f>IF(A3347="c",LEFT(UPPER(B3347)&amp;REPT(" ",20),20),REPT(" ",20))</f>
        <v/>
      </c>
      <c r="X3347" s="10">
        <f>IF(A3347="C",LEFT(UPPER(C3347)&amp;REPT(" ",10),10)," ")</f>
        <v/>
      </c>
      <c r="Y3347" s="10">
        <f>IF(A3347="C",LEFT(UPPER(D3347)&amp;REPT(" ",2),2)," ")</f>
        <v/>
      </c>
      <c r="Z3347" s="10">
        <f>IF(A3347="C",LEFT(UPPER(E3347)&amp;REPT(" ",15),15)," ")</f>
        <v/>
      </c>
      <c r="AA3347" s="10">
        <f>REPT(" ",8)</f>
        <v/>
      </c>
      <c r="AB3347" s="10">
        <f>REPT(" ",4)</f>
        <v/>
      </c>
      <c r="AC3347" s="10">
        <f>LEFT(UPPER(H3347)&amp;REPT(" ",250),250)</f>
        <v/>
      </c>
      <c r="AD3347" s="10">
        <f>TEXT($G$2,"dd/mm/aaaa")</f>
        <v/>
      </c>
      <c r="AE3347" s="10">
        <f>REPT(" ",10)</f>
        <v/>
      </c>
      <c r="AF3347" s="10">
        <f>REPT(" ",20)</f>
        <v/>
      </c>
      <c r="AG3347" s="54">
        <f>REPT(" ",18-LEN(FIXED(F3347,2,TRUE)))&amp;FIXED(F3347,2,TRUE)</f>
        <v/>
      </c>
      <c r="AH3347" s="10">
        <f>LEN(AC3347)+LEN(AG3347)</f>
        <v/>
      </c>
      <c r="AI3347" s="10">
        <f>LEN(L3347)</f>
        <v/>
      </c>
    </row>
    <row r="3348">
      <c r="J3348" s="12">
        <f>IF(F3348&lt;&gt;0,"LANÇAR","")</f>
        <v/>
      </c>
      <c r="L3348" s="13">
        <f>N3348&amp;O3348&amp;P3348&amp;Q3348&amp;R3348&amp;S3348&amp;T3348&amp;U3348&amp;V3348&amp;W3348&amp;X3348&amp;Y3348&amp;Z3348&amp;AA3348&amp;AB3348&amp;AC3348&amp;AD3348&amp;AE3348&amp;AF3348&amp;AG3348</f>
        <v/>
      </c>
      <c r="N3348" s="10">
        <f>TEXT($B$6,"00")</f>
        <v/>
      </c>
      <c r="O3348" s="10">
        <f>REPT(" ",8)</f>
        <v/>
      </c>
      <c r="P3348" s="10">
        <f>RIGHT($B$4,2)</f>
        <v/>
      </c>
      <c r="Q3348" s="10">
        <f>RIGHT($B$5,3)</f>
        <v/>
      </c>
      <c r="R3348" s="10">
        <f>IF(A3348="D",LEFT(UPPER(B3348)&amp;REPT(" ",20),20),REPT(" ",20))</f>
        <v/>
      </c>
      <c r="S3348" s="10">
        <f>IF(A3348="D",LEFT(UPPER(C3348)&amp;REPT(" ",10),10)," ")</f>
        <v/>
      </c>
      <c r="T3348" s="10">
        <f>IF(A3348="D",LEFT(UPPER(D3348)&amp;REPT(" ",2),2)," ")</f>
        <v/>
      </c>
      <c r="U3348" s="10">
        <f>IF(A3348="D",LEFT(UPPER(E3348)&amp;REPT(" ",15),15)," ")</f>
        <v/>
      </c>
      <c r="V3348" s="10">
        <f>REPT(" ",24)</f>
        <v/>
      </c>
      <c r="W3348" s="10">
        <f>IF(A3348="c",LEFT(UPPER(B3348)&amp;REPT(" ",20),20),REPT(" ",20))</f>
        <v/>
      </c>
      <c r="X3348" s="10">
        <f>IF(A3348="C",LEFT(UPPER(C3348)&amp;REPT(" ",10),10)," ")</f>
        <v/>
      </c>
      <c r="Y3348" s="10">
        <f>IF(A3348="C",LEFT(UPPER(D3348)&amp;REPT(" ",2),2)," ")</f>
        <v/>
      </c>
      <c r="Z3348" s="10">
        <f>IF(A3348="C",LEFT(UPPER(E3348)&amp;REPT(" ",15),15)," ")</f>
        <v/>
      </c>
      <c r="AA3348" s="10">
        <f>REPT(" ",8)</f>
        <v/>
      </c>
      <c r="AB3348" s="10">
        <f>REPT(" ",4)</f>
        <v/>
      </c>
      <c r="AC3348" s="10">
        <f>LEFT(UPPER(H3348)&amp;REPT(" ",250),250)</f>
        <v/>
      </c>
      <c r="AD3348" s="10">
        <f>TEXT($G$2,"dd/mm/aaaa")</f>
        <v/>
      </c>
      <c r="AE3348" s="10">
        <f>REPT(" ",10)</f>
        <v/>
      </c>
      <c r="AF3348" s="10">
        <f>REPT(" ",20)</f>
        <v/>
      </c>
      <c r="AG3348" s="54">
        <f>REPT(" ",18-LEN(FIXED(F3348,2,TRUE)))&amp;FIXED(F3348,2,TRUE)</f>
        <v/>
      </c>
      <c r="AH3348" s="10">
        <f>LEN(AC3348)+LEN(AG3348)</f>
        <v/>
      </c>
      <c r="AI3348" s="10">
        <f>LEN(L3348)</f>
        <v/>
      </c>
    </row>
    <row r="3349">
      <c r="J3349" s="12">
        <f>IF(F3349&lt;&gt;0,"LANÇAR","")</f>
        <v/>
      </c>
      <c r="L3349" s="13">
        <f>N3349&amp;O3349&amp;P3349&amp;Q3349&amp;R3349&amp;S3349&amp;T3349&amp;U3349&amp;V3349&amp;W3349&amp;X3349&amp;Y3349&amp;Z3349&amp;AA3349&amp;AB3349&amp;AC3349&amp;AD3349&amp;AE3349&amp;AF3349&amp;AG3349</f>
        <v/>
      </c>
      <c r="N3349" s="10">
        <f>TEXT($B$6,"00")</f>
        <v/>
      </c>
      <c r="O3349" s="10">
        <f>REPT(" ",8)</f>
        <v/>
      </c>
      <c r="P3349" s="10">
        <f>RIGHT($B$4,2)</f>
        <v/>
      </c>
      <c r="Q3349" s="10">
        <f>RIGHT($B$5,3)</f>
        <v/>
      </c>
      <c r="R3349" s="10">
        <f>IF(A3349="D",LEFT(UPPER(B3349)&amp;REPT(" ",20),20),REPT(" ",20))</f>
        <v/>
      </c>
      <c r="S3349" s="10">
        <f>IF(A3349="D",LEFT(UPPER(C3349)&amp;REPT(" ",10),10)," ")</f>
        <v/>
      </c>
      <c r="T3349" s="10">
        <f>IF(A3349="D",LEFT(UPPER(D3349)&amp;REPT(" ",2),2)," ")</f>
        <v/>
      </c>
      <c r="U3349" s="10">
        <f>IF(A3349="D",LEFT(UPPER(E3349)&amp;REPT(" ",15),15)," ")</f>
        <v/>
      </c>
      <c r="V3349" s="10">
        <f>REPT(" ",24)</f>
        <v/>
      </c>
      <c r="W3349" s="10">
        <f>IF(A3349="c",LEFT(UPPER(B3349)&amp;REPT(" ",20),20),REPT(" ",20))</f>
        <v/>
      </c>
      <c r="X3349" s="10">
        <f>IF(A3349="C",LEFT(UPPER(C3349)&amp;REPT(" ",10),10)," ")</f>
        <v/>
      </c>
      <c r="Y3349" s="10">
        <f>IF(A3349="C",LEFT(UPPER(D3349)&amp;REPT(" ",2),2)," ")</f>
        <v/>
      </c>
      <c r="Z3349" s="10">
        <f>IF(A3349="C",LEFT(UPPER(E3349)&amp;REPT(" ",15),15)," ")</f>
        <v/>
      </c>
      <c r="AA3349" s="10">
        <f>REPT(" ",8)</f>
        <v/>
      </c>
      <c r="AB3349" s="10">
        <f>REPT(" ",4)</f>
        <v/>
      </c>
      <c r="AC3349" s="10">
        <f>LEFT(UPPER(H3349)&amp;REPT(" ",250),250)</f>
        <v/>
      </c>
      <c r="AD3349" s="10">
        <f>TEXT($G$2,"dd/mm/aaaa")</f>
        <v/>
      </c>
      <c r="AE3349" s="10">
        <f>REPT(" ",10)</f>
        <v/>
      </c>
      <c r="AF3349" s="10">
        <f>REPT(" ",20)</f>
        <v/>
      </c>
      <c r="AG3349" s="54">
        <f>REPT(" ",18-LEN(FIXED(F3349,2,TRUE)))&amp;FIXED(F3349,2,TRUE)</f>
        <v/>
      </c>
      <c r="AH3349" s="10">
        <f>LEN(AC3349)+LEN(AG3349)</f>
        <v/>
      </c>
      <c r="AI3349" s="10">
        <f>LEN(L3349)</f>
        <v/>
      </c>
    </row>
    <row r="3350">
      <c r="J3350" s="12">
        <f>IF(F3350&lt;&gt;0,"LANÇAR","")</f>
        <v/>
      </c>
      <c r="L3350" s="13">
        <f>N3350&amp;O3350&amp;P3350&amp;Q3350&amp;R3350&amp;S3350&amp;T3350&amp;U3350&amp;V3350&amp;W3350&amp;X3350&amp;Y3350&amp;Z3350&amp;AA3350&amp;AB3350&amp;AC3350&amp;AD3350&amp;AE3350&amp;AF3350&amp;AG3350</f>
        <v/>
      </c>
      <c r="N3350" s="10">
        <f>TEXT($B$6,"00")</f>
        <v/>
      </c>
      <c r="O3350" s="10">
        <f>REPT(" ",8)</f>
        <v/>
      </c>
      <c r="P3350" s="10">
        <f>RIGHT($B$4,2)</f>
        <v/>
      </c>
      <c r="Q3350" s="10">
        <f>RIGHT($B$5,3)</f>
        <v/>
      </c>
      <c r="R3350" s="10">
        <f>IF(A3350="D",LEFT(UPPER(B3350)&amp;REPT(" ",20),20),REPT(" ",20))</f>
        <v/>
      </c>
      <c r="S3350" s="10">
        <f>IF(A3350="D",LEFT(UPPER(C3350)&amp;REPT(" ",10),10)," ")</f>
        <v/>
      </c>
      <c r="T3350" s="10">
        <f>IF(A3350="D",LEFT(UPPER(D3350)&amp;REPT(" ",2),2)," ")</f>
        <v/>
      </c>
      <c r="U3350" s="10">
        <f>IF(A3350="D",LEFT(UPPER(E3350)&amp;REPT(" ",15),15)," ")</f>
        <v/>
      </c>
      <c r="V3350" s="10">
        <f>REPT(" ",24)</f>
        <v/>
      </c>
      <c r="W3350" s="10">
        <f>IF(A3350="c",LEFT(UPPER(B3350)&amp;REPT(" ",20),20),REPT(" ",20))</f>
        <v/>
      </c>
      <c r="X3350" s="10">
        <f>IF(A3350="C",LEFT(UPPER(C3350)&amp;REPT(" ",10),10)," ")</f>
        <v/>
      </c>
      <c r="Y3350" s="10">
        <f>IF(A3350="C",LEFT(UPPER(D3350)&amp;REPT(" ",2),2)," ")</f>
        <v/>
      </c>
      <c r="Z3350" s="10">
        <f>IF(A3350="C",LEFT(UPPER(E3350)&amp;REPT(" ",15),15)," ")</f>
        <v/>
      </c>
      <c r="AA3350" s="10">
        <f>REPT(" ",8)</f>
        <v/>
      </c>
      <c r="AB3350" s="10">
        <f>REPT(" ",4)</f>
        <v/>
      </c>
      <c r="AC3350" s="10">
        <f>LEFT(UPPER(H3350)&amp;REPT(" ",250),250)</f>
        <v/>
      </c>
      <c r="AD3350" s="10">
        <f>TEXT($G$2,"dd/mm/aaaa")</f>
        <v/>
      </c>
      <c r="AE3350" s="10">
        <f>REPT(" ",10)</f>
        <v/>
      </c>
      <c r="AF3350" s="10">
        <f>REPT(" ",20)</f>
        <v/>
      </c>
      <c r="AG3350" s="54">
        <f>REPT(" ",18-LEN(FIXED(F3350,2,TRUE)))&amp;FIXED(F3350,2,TRUE)</f>
        <v/>
      </c>
      <c r="AH3350" s="10">
        <f>LEN(AC3350)+LEN(AG3350)</f>
        <v/>
      </c>
      <c r="AI3350" s="10">
        <f>LEN(L3350)</f>
        <v/>
      </c>
    </row>
    <row r="3351">
      <c r="J3351" s="12">
        <f>IF(F3351&lt;&gt;0,"LANÇAR","")</f>
        <v/>
      </c>
      <c r="L3351" s="13">
        <f>N3351&amp;O3351&amp;P3351&amp;Q3351&amp;R3351&amp;S3351&amp;T3351&amp;U3351&amp;V3351&amp;W3351&amp;X3351&amp;Y3351&amp;Z3351&amp;AA3351&amp;AB3351&amp;AC3351&amp;AD3351&amp;AE3351&amp;AF3351&amp;AG3351</f>
        <v/>
      </c>
      <c r="N3351" s="10">
        <f>TEXT($B$6,"00")</f>
        <v/>
      </c>
      <c r="O3351" s="10">
        <f>REPT(" ",8)</f>
        <v/>
      </c>
      <c r="P3351" s="10">
        <f>RIGHT($B$4,2)</f>
        <v/>
      </c>
      <c r="Q3351" s="10">
        <f>RIGHT($B$5,3)</f>
        <v/>
      </c>
      <c r="R3351" s="10">
        <f>IF(A3351="D",LEFT(UPPER(B3351)&amp;REPT(" ",20),20),REPT(" ",20))</f>
        <v/>
      </c>
      <c r="S3351" s="10">
        <f>IF(A3351="D",LEFT(UPPER(C3351)&amp;REPT(" ",10),10)," ")</f>
        <v/>
      </c>
      <c r="T3351" s="10">
        <f>IF(A3351="D",LEFT(UPPER(D3351)&amp;REPT(" ",2),2)," ")</f>
        <v/>
      </c>
      <c r="U3351" s="10">
        <f>IF(A3351="D",LEFT(UPPER(E3351)&amp;REPT(" ",15),15)," ")</f>
        <v/>
      </c>
      <c r="V3351" s="10">
        <f>REPT(" ",24)</f>
        <v/>
      </c>
      <c r="W3351" s="10">
        <f>IF(A3351="c",LEFT(UPPER(B3351)&amp;REPT(" ",20),20),REPT(" ",20))</f>
        <v/>
      </c>
      <c r="X3351" s="10">
        <f>IF(A3351="C",LEFT(UPPER(C3351)&amp;REPT(" ",10),10)," ")</f>
        <v/>
      </c>
      <c r="Y3351" s="10">
        <f>IF(A3351="C",LEFT(UPPER(D3351)&amp;REPT(" ",2),2)," ")</f>
        <v/>
      </c>
      <c r="Z3351" s="10">
        <f>IF(A3351="C",LEFT(UPPER(E3351)&amp;REPT(" ",15),15)," ")</f>
        <v/>
      </c>
      <c r="AA3351" s="10">
        <f>REPT(" ",8)</f>
        <v/>
      </c>
      <c r="AB3351" s="10">
        <f>REPT(" ",4)</f>
        <v/>
      </c>
      <c r="AC3351" s="10">
        <f>LEFT(UPPER(H3351)&amp;REPT(" ",250),250)</f>
        <v/>
      </c>
      <c r="AD3351" s="10">
        <f>TEXT($G$2,"dd/mm/aaaa")</f>
        <v/>
      </c>
      <c r="AE3351" s="10">
        <f>REPT(" ",10)</f>
        <v/>
      </c>
      <c r="AF3351" s="10">
        <f>REPT(" ",20)</f>
        <v/>
      </c>
      <c r="AG3351" s="54">
        <f>REPT(" ",18-LEN(FIXED(F3351,2,TRUE)))&amp;FIXED(F3351,2,TRUE)</f>
        <v/>
      </c>
      <c r="AH3351" s="10">
        <f>LEN(AC3351)+LEN(AG3351)</f>
        <v/>
      </c>
      <c r="AI3351" s="10">
        <f>LEN(L3351)</f>
        <v/>
      </c>
    </row>
    <row r="3352">
      <c r="J3352" s="12">
        <f>IF(F3352&lt;&gt;0,"LANÇAR","")</f>
        <v/>
      </c>
      <c r="L3352" s="13">
        <f>N3352&amp;O3352&amp;P3352&amp;Q3352&amp;R3352&amp;S3352&amp;T3352&amp;U3352&amp;V3352&amp;W3352&amp;X3352&amp;Y3352&amp;Z3352&amp;AA3352&amp;AB3352&amp;AC3352&amp;AD3352&amp;AE3352&amp;AF3352&amp;AG3352</f>
        <v/>
      </c>
      <c r="N3352" s="10">
        <f>TEXT($B$6,"00")</f>
        <v/>
      </c>
      <c r="O3352" s="10">
        <f>REPT(" ",8)</f>
        <v/>
      </c>
      <c r="P3352" s="10">
        <f>RIGHT($B$4,2)</f>
        <v/>
      </c>
      <c r="Q3352" s="10">
        <f>RIGHT($B$5,3)</f>
        <v/>
      </c>
      <c r="R3352" s="10">
        <f>IF(A3352="D",LEFT(UPPER(B3352)&amp;REPT(" ",20),20),REPT(" ",20))</f>
        <v/>
      </c>
      <c r="S3352" s="10">
        <f>IF(A3352="D",LEFT(UPPER(C3352)&amp;REPT(" ",10),10)," ")</f>
        <v/>
      </c>
      <c r="T3352" s="10">
        <f>IF(A3352="D",LEFT(UPPER(D3352)&amp;REPT(" ",2),2)," ")</f>
        <v/>
      </c>
      <c r="U3352" s="10">
        <f>IF(A3352="D",LEFT(UPPER(E3352)&amp;REPT(" ",15),15)," ")</f>
        <v/>
      </c>
      <c r="V3352" s="10">
        <f>REPT(" ",24)</f>
        <v/>
      </c>
      <c r="W3352" s="10">
        <f>IF(A3352="c",LEFT(UPPER(B3352)&amp;REPT(" ",20),20),REPT(" ",20))</f>
        <v/>
      </c>
      <c r="X3352" s="10">
        <f>IF(A3352="C",LEFT(UPPER(C3352)&amp;REPT(" ",10),10)," ")</f>
        <v/>
      </c>
      <c r="Y3352" s="10">
        <f>IF(A3352="C",LEFT(UPPER(D3352)&amp;REPT(" ",2),2)," ")</f>
        <v/>
      </c>
      <c r="Z3352" s="10">
        <f>IF(A3352="C",LEFT(UPPER(E3352)&amp;REPT(" ",15),15)," ")</f>
        <v/>
      </c>
      <c r="AA3352" s="10">
        <f>REPT(" ",8)</f>
        <v/>
      </c>
      <c r="AB3352" s="10">
        <f>REPT(" ",4)</f>
        <v/>
      </c>
      <c r="AC3352" s="10">
        <f>LEFT(UPPER(H3352)&amp;REPT(" ",250),250)</f>
        <v/>
      </c>
      <c r="AD3352" s="10">
        <f>TEXT($G$2,"dd/mm/aaaa")</f>
        <v/>
      </c>
      <c r="AE3352" s="10">
        <f>REPT(" ",10)</f>
        <v/>
      </c>
      <c r="AF3352" s="10">
        <f>REPT(" ",20)</f>
        <v/>
      </c>
      <c r="AG3352" s="54">
        <f>REPT(" ",18-LEN(FIXED(F3352,2,TRUE)))&amp;FIXED(F3352,2,TRUE)</f>
        <v/>
      </c>
      <c r="AH3352" s="10">
        <f>LEN(AC3352)+LEN(AG3352)</f>
        <v/>
      </c>
      <c r="AI3352" s="10">
        <f>LEN(L3352)</f>
        <v/>
      </c>
    </row>
    <row r="3353">
      <c r="J3353" s="12">
        <f>IF(F3353&lt;&gt;0,"LANÇAR","")</f>
        <v/>
      </c>
      <c r="L3353" s="13">
        <f>N3353&amp;O3353&amp;P3353&amp;Q3353&amp;R3353&amp;S3353&amp;T3353&amp;U3353&amp;V3353&amp;W3353&amp;X3353&amp;Y3353&amp;Z3353&amp;AA3353&amp;AB3353&amp;AC3353&amp;AD3353&amp;AE3353&amp;AF3353&amp;AG3353</f>
        <v/>
      </c>
      <c r="N3353" s="10">
        <f>TEXT($B$6,"00")</f>
        <v/>
      </c>
      <c r="O3353" s="10">
        <f>REPT(" ",8)</f>
        <v/>
      </c>
      <c r="P3353" s="10">
        <f>RIGHT($B$4,2)</f>
        <v/>
      </c>
      <c r="Q3353" s="10">
        <f>RIGHT($B$5,3)</f>
        <v/>
      </c>
      <c r="R3353" s="10">
        <f>IF(A3353="D",LEFT(UPPER(B3353)&amp;REPT(" ",20),20),REPT(" ",20))</f>
        <v/>
      </c>
      <c r="S3353" s="10">
        <f>IF(A3353="D",LEFT(UPPER(C3353)&amp;REPT(" ",10),10)," ")</f>
        <v/>
      </c>
      <c r="T3353" s="10">
        <f>IF(A3353="D",LEFT(UPPER(D3353)&amp;REPT(" ",2),2)," ")</f>
        <v/>
      </c>
      <c r="U3353" s="10">
        <f>IF(A3353="D",LEFT(UPPER(E3353)&amp;REPT(" ",15),15)," ")</f>
        <v/>
      </c>
      <c r="V3353" s="10">
        <f>REPT(" ",24)</f>
        <v/>
      </c>
      <c r="W3353" s="10">
        <f>IF(A3353="c",LEFT(UPPER(B3353)&amp;REPT(" ",20),20),REPT(" ",20))</f>
        <v/>
      </c>
      <c r="X3353" s="10">
        <f>IF(A3353="C",LEFT(UPPER(C3353)&amp;REPT(" ",10),10)," ")</f>
        <v/>
      </c>
      <c r="Y3353" s="10">
        <f>IF(A3353="C",LEFT(UPPER(D3353)&amp;REPT(" ",2),2)," ")</f>
        <v/>
      </c>
      <c r="Z3353" s="10">
        <f>IF(A3353="C",LEFT(UPPER(E3353)&amp;REPT(" ",15),15)," ")</f>
        <v/>
      </c>
      <c r="AA3353" s="10">
        <f>REPT(" ",8)</f>
        <v/>
      </c>
      <c r="AB3353" s="10">
        <f>REPT(" ",4)</f>
        <v/>
      </c>
      <c r="AC3353" s="10">
        <f>LEFT(UPPER(H3353)&amp;REPT(" ",250),250)</f>
        <v/>
      </c>
      <c r="AD3353" s="10">
        <f>TEXT($G$2,"dd/mm/aaaa")</f>
        <v/>
      </c>
      <c r="AE3353" s="10">
        <f>REPT(" ",10)</f>
        <v/>
      </c>
      <c r="AF3353" s="10">
        <f>REPT(" ",20)</f>
        <v/>
      </c>
      <c r="AG3353" s="54">
        <f>REPT(" ",18-LEN(FIXED(F3353,2,TRUE)))&amp;FIXED(F3353,2,TRUE)</f>
        <v/>
      </c>
      <c r="AH3353" s="10">
        <f>LEN(AC3353)+LEN(AG3353)</f>
        <v/>
      </c>
      <c r="AI3353" s="10">
        <f>LEN(L3353)</f>
        <v/>
      </c>
    </row>
    <row r="3354">
      <c r="J3354" s="12">
        <f>IF(F3354&lt;&gt;0,"LANÇAR","")</f>
        <v/>
      </c>
      <c r="L3354" s="13">
        <f>N3354&amp;O3354&amp;P3354&amp;Q3354&amp;R3354&amp;S3354&amp;T3354&amp;U3354&amp;V3354&amp;W3354&amp;X3354&amp;Y3354&amp;Z3354&amp;AA3354&amp;AB3354&amp;AC3354&amp;AD3354&amp;AE3354&amp;AF3354&amp;AG3354</f>
        <v/>
      </c>
      <c r="N3354" s="10">
        <f>TEXT($B$6,"00")</f>
        <v/>
      </c>
      <c r="O3354" s="10">
        <f>REPT(" ",8)</f>
        <v/>
      </c>
      <c r="P3354" s="10">
        <f>RIGHT($B$4,2)</f>
        <v/>
      </c>
      <c r="Q3354" s="10">
        <f>RIGHT($B$5,3)</f>
        <v/>
      </c>
      <c r="R3354" s="10">
        <f>IF(A3354="D",LEFT(UPPER(B3354)&amp;REPT(" ",20),20),REPT(" ",20))</f>
        <v/>
      </c>
      <c r="S3354" s="10">
        <f>IF(A3354="D",LEFT(UPPER(C3354)&amp;REPT(" ",10),10)," ")</f>
        <v/>
      </c>
      <c r="T3354" s="10">
        <f>IF(A3354="D",LEFT(UPPER(D3354)&amp;REPT(" ",2),2)," ")</f>
        <v/>
      </c>
      <c r="U3354" s="10">
        <f>IF(A3354="D",LEFT(UPPER(E3354)&amp;REPT(" ",15),15)," ")</f>
        <v/>
      </c>
      <c r="V3354" s="10">
        <f>REPT(" ",24)</f>
        <v/>
      </c>
      <c r="W3354" s="10">
        <f>IF(A3354="c",LEFT(UPPER(B3354)&amp;REPT(" ",20),20),REPT(" ",20))</f>
        <v/>
      </c>
      <c r="X3354" s="10">
        <f>IF(A3354="C",LEFT(UPPER(C3354)&amp;REPT(" ",10),10)," ")</f>
        <v/>
      </c>
      <c r="Y3354" s="10">
        <f>IF(A3354="C",LEFT(UPPER(D3354)&amp;REPT(" ",2),2)," ")</f>
        <v/>
      </c>
      <c r="Z3354" s="10">
        <f>IF(A3354="C",LEFT(UPPER(E3354)&amp;REPT(" ",15),15)," ")</f>
        <v/>
      </c>
      <c r="AA3354" s="10">
        <f>REPT(" ",8)</f>
        <v/>
      </c>
      <c r="AB3354" s="10">
        <f>REPT(" ",4)</f>
        <v/>
      </c>
      <c r="AC3354" s="10">
        <f>LEFT(UPPER(H3354)&amp;REPT(" ",250),250)</f>
        <v/>
      </c>
      <c r="AD3354" s="10">
        <f>TEXT($G$2,"dd/mm/aaaa")</f>
        <v/>
      </c>
      <c r="AE3354" s="10">
        <f>REPT(" ",10)</f>
        <v/>
      </c>
      <c r="AF3354" s="10">
        <f>REPT(" ",20)</f>
        <v/>
      </c>
      <c r="AG3354" s="54">
        <f>REPT(" ",18-LEN(FIXED(F3354,2,TRUE)))&amp;FIXED(F3354,2,TRUE)</f>
        <v/>
      </c>
      <c r="AH3354" s="10">
        <f>LEN(AC3354)+LEN(AG3354)</f>
        <v/>
      </c>
      <c r="AI3354" s="10">
        <f>LEN(L3354)</f>
        <v/>
      </c>
    </row>
    <row r="3355">
      <c r="J3355" s="12">
        <f>IF(F3355&lt;&gt;0,"LANÇAR","")</f>
        <v/>
      </c>
      <c r="L3355" s="13">
        <f>N3355&amp;O3355&amp;P3355&amp;Q3355&amp;R3355&amp;S3355&amp;T3355&amp;U3355&amp;V3355&amp;W3355&amp;X3355&amp;Y3355&amp;Z3355&amp;AA3355&amp;AB3355&amp;AC3355&amp;AD3355&amp;AE3355&amp;AF3355&amp;AG3355</f>
        <v/>
      </c>
      <c r="N3355" s="10">
        <f>TEXT($B$6,"00")</f>
        <v/>
      </c>
      <c r="O3355" s="10">
        <f>REPT(" ",8)</f>
        <v/>
      </c>
      <c r="P3355" s="10">
        <f>RIGHT($B$4,2)</f>
        <v/>
      </c>
      <c r="Q3355" s="10">
        <f>RIGHT($B$5,3)</f>
        <v/>
      </c>
      <c r="R3355" s="10">
        <f>IF(A3355="D",LEFT(UPPER(B3355)&amp;REPT(" ",20),20),REPT(" ",20))</f>
        <v/>
      </c>
      <c r="S3355" s="10">
        <f>IF(A3355="D",LEFT(UPPER(C3355)&amp;REPT(" ",10),10)," ")</f>
        <v/>
      </c>
      <c r="T3355" s="10">
        <f>IF(A3355="D",LEFT(UPPER(D3355)&amp;REPT(" ",2),2)," ")</f>
        <v/>
      </c>
      <c r="U3355" s="10">
        <f>IF(A3355="D",LEFT(UPPER(E3355)&amp;REPT(" ",15),15)," ")</f>
        <v/>
      </c>
      <c r="V3355" s="10">
        <f>REPT(" ",24)</f>
        <v/>
      </c>
      <c r="W3355" s="10">
        <f>IF(A3355="c",LEFT(UPPER(B3355)&amp;REPT(" ",20),20),REPT(" ",20))</f>
        <v/>
      </c>
      <c r="X3355" s="10">
        <f>IF(A3355="C",LEFT(UPPER(C3355)&amp;REPT(" ",10),10)," ")</f>
        <v/>
      </c>
      <c r="Y3355" s="10">
        <f>IF(A3355="C",LEFT(UPPER(D3355)&amp;REPT(" ",2),2)," ")</f>
        <v/>
      </c>
      <c r="Z3355" s="10">
        <f>IF(A3355="C",LEFT(UPPER(E3355)&amp;REPT(" ",15),15)," ")</f>
        <v/>
      </c>
      <c r="AA3355" s="10">
        <f>REPT(" ",8)</f>
        <v/>
      </c>
      <c r="AB3355" s="10">
        <f>REPT(" ",4)</f>
        <v/>
      </c>
      <c r="AC3355" s="10">
        <f>LEFT(UPPER(H3355)&amp;REPT(" ",250),250)</f>
        <v/>
      </c>
      <c r="AD3355" s="10">
        <f>TEXT($G$2,"dd/mm/aaaa")</f>
        <v/>
      </c>
      <c r="AE3355" s="10">
        <f>REPT(" ",10)</f>
        <v/>
      </c>
      <c r="AF3355" s="10">
        <f>REPT(" ",20)</f>
        <v/>
      </c>
      <c r="AG3355" s="54">
        <f>REPT(" ",18-LEN(FIXED(F3355,2,TRUE)))&amp;FIXED(F3355,2,TRUE)</f>
        <v/>
      </c>
      <c r="AH3355" s="10">
        <f>LEN(AC3355)+LEN(AG3355)</f>
        <v/>
      </c>
      <c r="AI3355" s="10">
        <f>LEN(L3355)</f>
        <v/>
      </c>
    </row>
    <row r="3356">
      <c r="J3356" s="12">
        <f>IF(F3356&lt;&gt;0,"LANÇAR","")</f>
        <v/>
      </c>
      <c r="L3356" s="13">
        <f>N3356&amp;O3356&amp;P3356&amp;Q3356&amp;R3356&amp;S3356&amp;T3356&amp;U3356&amp;V3356&amp;W3356&amp;X3356&amp;Y3356&amp;Z3356&amp;AA3356&amp;AB3356&amp;AC3356&amp;AD3356&amp;AE3356&amp;AF3356&amp;AG3356</f>
        <v/>
      </c>
      <c r="N3356" s="10">
        <f>TEXT($B$6,"00")</f>
        <v/>
      </c>
      <c r="O3356" s="10">
        <f>REPT(" ",8)</f>
        <v/>
      </c>
      <c r="P3356" s="10">
        <f>RIGHT($B$4,2)</f>
        <v/>
      </c>
      <c r="Q3356" s="10">
        <f>RIGHT($B$5,3)</f>
        <v/>
      </c>
      <c r="R3356" s="10">
        <f>IF(A3356="D",LEFT(UPPER(B3356)&amp;REPT(" ",20),20),REPT(" ",20))</f>
        <v/>
      </c>
      <c r="S3356" s="10">
        <f>IF(A3356="D",LEFT(UPPER(C3356)&amp;REPT(" ",10),10)," ")</f>
        <v/>
      </c>
      <c r="T3356" s="10">
        <f>IF(A3356="D",LEFT(UPPER(D3356)&amp;REPT(" ",2),2)," ")</f>
        <v/>
      </c>
      <c r="U3356" s="10">
        <f>IF(A3356="D",LEFT(UPPER(E3356)&amp;REPT(" ",15),15)," ")</f>
        <v/>
      </c>
      <c r="V3356" s="10">
        <f>REPT(" ",24)</f>
        <v/>
      </c>
      <c r="W3356" s="10">
        <f>IF(A3356="c",LEFT(UPPER(B3356)&amp;REPT(" ",20),20),REPT(" ",20))</f>
        <v/>
      </c>
      <c r="X3356" s="10">
        <f>IF(A3356="C",LEFT(UPPER(C3356)&amp;REPT(" ",10),10)," ")</f>
        <v/>
      </c>
      <c r="Y3356" s="10">
        <f>IF(A3356="C",LEFT(UPPER(D3356)&amp;REPT(" ",2),2)," ")</f>
        <v/>
      </c>
      <c r="Z3356" s="10">
        <f>IF(A3356="C",LEFT(UPPER(E3356)&amp;REPT(" ",15),15)," ")</f>
        <v/>
      </c>
      <c r="AA3356" s="10">
        <f>REPT(" ",8)</f>
        <v/>
      </c>
      <c r="AB3356" s="10">
        <f>REPT(" ",4)</f>
        <v/>
      </c>
      <c r="AC3356" s="10">
        <f>LEFT(UPPER(H3356)&amp;REPT(" ",250),250)</f>
        <v/>
      </c>
      <c r="AD3356" s="10">
        <f>TEXT($G$2,"dd/mm/aaaa")</f>
        <v/>
      </c>
      <c r="AE3356" s="10">
        <f>REPT(" ",10)</f>
        <v/>
      </c>
      <c r="AF3356" s="10">
        <f>REPT(" ",20)</f>
        <v/>
      </c>
      <c r="AG3356" s="54">
        <f>REPT(" ",18-LEN(FIXED(F3356,2,TRUE)))&amp;FIXED(F3356,2,TRUE)</f>
        <v/>
      </c>
      <c r="AH3356" s="10">
        <f>LEN(AC3356)+LEN(AG3356)</f>
        <v/>
      </c>
      <c r="AI3356" s="10">
        <f>LEN(L3356)</f>
        <v/>
      </c>
    </row>
    <row r="3357">
      <c r="J3357" s="12">
        <f>IF(F3357&lt;&gt;0,"LANÇAR","")</f>
        <v/>
      </c>
      <c r="L3357" s="13">
        <f>N3357&amp;O3357&amp;P3357&amp;Q3357&amp;R3357&amp;S3357&amp;T3357&amp;U3357&amp;V3357&amp;W3357&amp;X3357&amp;Y3357&amp;Z3357&amp;AA3357&amp;AB3357&amp;AC3357&amp;AD3357&amp;AE3357&amp;AF3357&amp;AG3357</f>
        <v/>
      </c>
      <c r="N3357" s="10">
        <f>TEXT($B$6,"00")</f>
        <v/>
      </c>
      <c r="O3357" s="10">
        <f>REPT(" ",8)</f>
        <v/>
      </c>
      <c r="P3357" s="10">
        <f>RIGHT($B$4,2)</f>
        <v/>
      </c>
      <c r="Q3357" s="10">
        <f>RIGHT($B$5,3)</f>
        <v/>
      </c>
      <c r="R3357" s="10">
        <f>IF(A3357="D",LEFT(UPPER(B3357)&amp;REPT(" ",20),20),REPT(" ",20))</f>
        <v/>
      </c>
      <c r="S3357" s="10">
        <f>IF(A3357="D",LEFT(UPPER(C3357)&amp;REPT(" ",10),10)," ")</f>
        <v/>
      </c>
      <c r="T3357" s="10">
        <f>IF(A3357="D",LEFT(UPPER(D3357)&amp;REPT(" ",2),2)," ")</f>
        <v/>
      </c>
      <c r="U3357" s="10">
        <f>IF(A3357="D",LEFT(UPPER(E3357)&amp;REPT(" ",15),15)," ")</f>
        <v/>
      </c>
      <c r="V3357" s="10">
        <f>REPT(" ",24)</f>
        <v/>
      </c>
      <c r="W3357" s="10">
        <f>IF(A3357="c",LEFT(UPPER(B3357)&amp;REPT(" ",20),20),REPT(" ",20))</f>
        <v/>
      </c>
      <c r="X3357" s="10">
        <f>IF(A3357="C",LEFT(UPPER(C3357)&amp;REPT(" ",10),10)," ")</f>
        <v/>
      </c>
      <c r="Y3357" s="10">
        <f>IF(A3357="C",LEFT(UPPER(D3357)&amp;REPT(" ",2),2)," ")</f>
        <v/>
      </c>
      <c r="Z3357" s="10">
        <f>IF(A3357="C",LEFT(UPPER(E3357)&amp;REPT(" ",15),15)," ")</f>
        <v/>
      </c>
      <c r="AA3357" s="10">
        <f>REPT(" ",8)</f>
        <v/>
      </c>
      <c r="AB3357" s="10">
        <f>REPT(" ",4)</f>
        <v/>
      </c>
      <c r="AC3357" s="10">
        <f>LEFT(UPPER(H3357)&amp;REPT(" ",250),250)</f>
        <v/>
      </c>
      <c r="AD3357" s="10">
        <f>TEXT($G$2,"dd/mm/aaaa")</f>
        <v/>
      </c>
      <c r="AE3357" s="10">
        <f>REPT(" ",10)</f>
        <v/>
      </c>
      <c r="AF3357" s="10">
        <f>REPT(" ",20)</f>
        <v/>
      </c>
      <c r="AG3357" s="54">
        <f>REPT(" ",18-LEN(FIXED(F3357,2,TRUE)))&amp;FIXED(F3357,2,TRUE)</f>
        <v/>
      </c>
      <c r="AH3357" s="10">
        <f>LEN(AC3357)+LEN(AG3357)</f>
        <v/>
      </c>
      <c r="AI3357" s="10">
        <f>LEN(L3357)</f>
        <v/>
      </c>
    </row>
    <row r="3358">
      <c r="J3358" s="12">
        <f>IF(F3358&lt;&gt;0,"LANÇAR","")</f>
        <v/>
      </c>
      <c r="L3358" s="13">
        <f>N3358&amp;O3358&amp;P3358&amp;Q3358&amp;R3358&amp;S3358&amp;T3358&amp;U3358&amp;V3358&amp;W3358&amp;X3358&amp;Y3358&amp;Z3358&amp;AA3358&amp;AB3358&amp;AC3358&amp;AD3358&amp;AE3358&amp;AF3358&amp;AG3358</f>
        <v/>
      </c>
      <c r="N3358" s="10">
        <f>TEXT($B$6,"00")</f>
        <v/>
      </c>
      <c r="O3358" s="10">
        <f>REPT(" ",8)</f>
        <v/>
      </c>
      <c r="P3358" s="10">
        <f>RIGHT($B$4,2)</f>
        <v/>
      </c>
      <c r="Q3358" s="10">
        <f>RIGHT($B$5,3)</f>
        <v/>
      </c>
      <c r="R3358" s="10">
        <f>IF(A3358="D",LEFT(UPPER(B3358)&amp;REPT(" ",20),20),REPT(" ",20))</f>
        <v/>
      </c>
      <c r="S3358" s="10">
        <f>IF(A3358="D",LEFT(UPPER(C3358)&amp;REPT(" ",10),10)," ")</f>
        <v/>
      </c>
      <c r="T3358" s="10">
        <f>IF(A3358="D",LEFT(UPPER(D3358)&amp;REPT(" ",2),2)," ")</f>
        <v/>
      </c>
      <c r="U3358" s="10">
        <f>IF(A3358="D",LEFT(UPPER(E3358)&amp;REPT(" ",15),15)," ")</f>
        <v/>
      </c>
      <c r="V3358" s="10">
        <f>REPT(" ",24)</f>
        <v/>
      </c>
      <c r="W3358" s="10">
        <f>IF(A3358="c",LEFT(UPPER(B3358)&amp;REPT(" ",20),20),REPT(" ",20))</f>
        <v/>
      </c>
      <c r="X3358" s="10">
        <f>IF(A3358="C",LEFT(UPPER(C3358)&amp;REPT(" ",10),10)," ")</f>
        <v/>
      </c>
      <c r="Y3358" s="10">
        <f>IF(A3358="C",LEFT(UPPER(D3358)&amp;REPT(" ",2),2)," ")</f>
        <v/>
      </c>
      <c r="Z3358" s="10">
        <f>IF(A3358="C",LEFT(UPPER(E3358)&amp;REPT(" ",15),15)," ")</f>
        <v/>
      </c>
      <c r="AA3358" s="10">
        <f>REPT(" ",8)</f>
        <v/>
      </c>
      <c r="AB3358" s="10">
        <f>REPT(" ",4)</f>
        <v/>
      </c>
      <c r="AC3358" s="10">
        <f>LEFT(UPPER(H3358)&amp;REPT(" ",250),250)</f>
        <v/>
      </c>
      <c r="AD3358" s="10">
        <f>TEXT($G$2,"dd/mm/aaaa")</f>
        <v/>
      </c>
      <c r="AE3358" s="10">
        <f>REPT(" ",10)</f>
        <v/>
      </c>
      <c r="AF3358" s="10">
        <f>REPT(" ",20)</f>
        <v/>
      </c>
      <c r="AG3358" s="54">
        <f>REPT(" ",18-LEN(FIXED(F3358,2,TRUE)))&amp;FIXED(F3358,2,TRUE)</f>
        <v/>
      </c>
      <c r="AH3358" s="10">
        <f>LEN(AC3358)+LEN(AG3358)</f>
        <v/>
      </c>
      <c r="AI3358" s="10">
        <f>LEN(L3358)</f>
        <v/>
      </c>
    </row>
    <row r="3359">
      <c r="J3359" s="12">
        <f>IF(F3359&lt;&gt;0,"LANÇAR","")</f>
        <v/>
      </c>
      <c r="L3359" s="13">
        <f>N3359&amp;O3359&amp;P3359&amp;Q3359&amp;R3359&amp;S3359&amp;T3359&amp;U3359&amp;V3359&amp;W3359&amp;X3359&amp;Y3359&amp;Z3359&amp;AA3359&amp;AB3359&amp;AC3359&amp;AD3359&amp;AE3359&amp;AF3359&amp;AG3359</f>
        <v/>
      </c>
      <c r="N3359" s="10">
        <f>TEXT($B$6,"00")</f>
        <v/>
      </c>
      <c r="O3359" s="10">
        <f>REPT(" ",8)</f>
        <v/>
      </c>
      <c r="P3359" s="10">
        <f>RIGHT($B$4,2)</f>
        <v/>
      </c>
      <c r="Q3359" s="10">
        <f>RIGHT($B$5,3)</f>
        <v/>
      </c>
      <c r="R3359" s="10">
        <f>IF(A3359="D",LEFT(UPPER(B3359)&amp;REPT(" ",20),20),REPT(" ",20))</f>
        <v/>
      </c>
      <c r="S3359" s="10">
        <f>IF(A3359="D",LEFT(UPPER(C3359)&amp;REPT(" ",10),10)," ")</f>
        <v/>
      </c>
      <c r="T3359" s="10">
        <f>IF(A3359="D",LEFT(UPPER(D3359)&amp;REPT(" ",2),2)," ")</f>
        <v/>
      </c>
      <c r="U3359" s="10">
        <f>IF(A3359="D",LEFT(UPPER(E3359)&amp;REPT(" ",15),15)," ")</f>
        <v/>
      </c>
      <c r="V3359" s="10">
        <f>REPT(" ",24)</f>
        <v/>
      </c>
      <c r="W3359" s="10">
        <f>IF(A3359="c",LEFT(UPPER(B3359)&amp;REPT(" ",20),20),REPT(" ",20))</f>
        <v/>
      </c>
      <c r="X3359" s="10">
        <f>IF(A3359="C",LEFT(UPPER(C3359)&amp;REPT(" ",10),10)," ")</f>
        <v/>
      </c>
      <c r="Y3359" s="10">
        <f>IF(A3359="C",LEFT(UPPER(D3359)&amp;REPT(" ",2),2)," ")</f>
        <v/>
      </c>
      <c r="Z3359" s="10">
        <f>IF(A3359="C",LEFT(UPPER(E3359)&amp;REPT(" ",15),15)," ")</f>
        <v/>
      </c>
      <c r="AA3359" s="10">
        <f>REPT(" ",8)</f>
        <v/>
      </c>
      <c r="AB3359" s="10">
        <f>REPT(" ",4)</f>
        <v/>
      </c>
      <c r="AC3359" s="10">
        <f>LEFT(UPPER(H3359)&amp;REPT(" ",250),250)</f>
        <v/>
      </c>
      <c r="AD3359" s="10">
        <f>TEXT($G$2,"dd/mm/aaaa")</f>
        <v/>
      </c>
      <c r="AE3359" s="10">
        <f>REPT(" ",10)</f>
        <v/>
      </c>
      <c r="AF3359" s="10">
        <f>REPT(" ",20)</f>
        <v/>
      </c>
      <c r="AG3359" s="54">
        <f>REPT(" ",18-LEN(FIXED(F3359,2,TRUE)))&amp;FIXED(F3359,2,TRUE)</f>
        <v/>
      </c>
      <c r="AH3359" s="10">
        <f>LEN(AC3359)+LEN(AG3359)</f>
        <v/>
      </c>
      <c r="AI3359" s="10">
        <f>LEN(L3359)</f>
        <v/>
      </c>
    </row>
    <row r="3360">
      <c r="J3360" s="12">
        <f>IF(F3360&lt;&gt;0,"LANÇAR","")</f>
        <v/>
      </c>
      <c r="L3360" s="13">
        <f>N3360&amp;O3360&amp;P3360&amp;Q3360&amp;R3360&amp;S3360&amp;T3360&amp;U3360&amp;V3360&amp;W3360&amp;X3360&amp;Y3360&amp;Z3360&amp;AA3360&amp;AB3360&amp;AC3360&amp;AD3360&amp;AE3360&amp;AF3360&amp;AG3360</f>
        <v/>
      </c>
      <c r="N3360" s="10">
        <f>TEXT($B$6,"00")</f>
        <v/>
      </c>
      <c r="O3360" s="10">
        <f>REPT(" ",8)</f>
        <v/>
      </c>
      <c r="P3360" s="10">
        <f>RIGHT($B$4,2)</f>
        <v/>
      </c>
      <c r="Q3360" s="10">
        <f>RIGHT($B$5,3)</f>
        <v/>
      </c>
      <c r="R3360" s="10">
        <f>IF(A3360="D",LEFT(UPPER(B3360)&amp;REPT(" ",20),20),REPT(" ",20))</f>
        <v/>
      </c>
      <c r="S3360" s="10">
        <f>IF(A3360="D",LEFT(UPPER(C3360)&amp;REPT(" ",10),10)," ")</f>
        <v/>
      </c>
      <c r="T3360" s="10">
        <f>IF(A3360="D",LEFT(UPPER(D3360)&amp;REPT(" ",2),2)," ")</f>
        <v/>
      </c>
      <c r="U3360" s="10">
        <f>IF(A3360="D",LEFT(UPPER(E3360)&amp;REPT(" ",15),15)," ")</f>
        <v/>
      </c>
      <c r="V3360" s="10">
        <f>REPT(" ",24)</f>
        <v/>
      </c>
      <c r="W3360" s="10">
        <f>IF(A3360="c",LEFT(UPPER(B3360)&amp;REPT(" ",20),20),REPT(" ",20))</f>
        <v/>
      </c>
      <c r="X3360" s="10">
        <f>IF(A3360="C",LEFT(UPPER(C3360)&amp;REPT(" ",10),10)," ")</f>
        <v/>
      </c>
      <c r="Y3360" s="10">
        <f>IF(A3360="C",LEFT(UPPER(D3360)&amp;REPT(" ",2),2)," ")</f>
        <v/>
      </c>
      <c r="Z3360" s="10">
        <f>IF(A3360="C",LEFT(UPPER(E3360)&amp;REPT(" ",15),15)," ")</f>
        <v/>
      </c>
      <c r="AA3360" s="10">
        <f>REPT(" ",8)</f>
        <v/>
      </c>
      <c r="AB3360" s="10">
        <f>REPT(" ",4)</f>
        <v/>
      </c>
      <c r="AC3360" s="10">
        <f>LEFT(UPPER(H3360)&amp;REPT(" ",250),250)</f>
        <v/>
      </c>
      <c r="AD3360" s="10">
        <f>TEXT($G$2,"dd/mm/aaaa")</f>
        <v/>
      </c>
      <c r="AE3360" s="10">
        <f>REPT(" ",10)</f>
        <v/>
      </c>
      <c r="AF3360" s="10">
        <f>REPT(" ",20)</f>
        <v/>
      </c>
      <c r="AG3360" s="54">
        <f>REPT(" ",18-LEN(FIXED(F3360,2,TRUE)))&amp;FIXED(F3360,2,TRUE)</f>
        <v/>
      </c>
      <c r="AH3360" s="10">
        <f>LEN(AC3360)+LEN(AG3360)</f>
        <v/>
      </c>
      <c r="AI3360" s="10">
        <f>LEN(L3360)</f>
        <v/>
      </c>
    </row>
    <row r="3361">
      <c r="J3361" s="12">
        <f>IF(F3361&lt;&gt;0,"LANÇAR","")</f>
        <v/>
      </c>
      <c r="L3361" s="13">
        <f>N3361&amp;O3361&amp;P3361&amp;Q3361&amp;R3361&amp;S3361&amp;T3361&amp;U3361&amp;V3361&amp;W3361&amp;X3361&amp;Y3361&amp;Z3361&amp;AA3361&amp;AB3361&amp;AC3361&amp;AD3361&amp;AE3361&amp;AF3361&amp;AG3361</f>
        <v/>
      </c>
      <c r="N3361" s="10">
        <f>TEXT($B$6,"00")</f>
        <v/>
      </c>
      <c r="O3361" s="10">
        <f>REPT(" ",8)</f>
        <v/>
      </c>
      <c r="P3361" s="10">
        <f>RIGHT($B$4,2)</f>
        <v/>
      </c>
      <c r="Q3361" s="10">
        <f>RIGHT($B$5,3)</f>
        <v/>
      </c>
      <c r="R3361" s="10">
        <f>IF(A3361="D",LEFT(UPPER(B3361)&amp;REPT(" ",20),20),REPT(" ",20))</f>
        <v/>
      </c>
      <c r="S3361" s="10">
        <f>IF(A3361="D",LEFT(UPPER(C3361)&amp;REPT(" ",10),10)," ")</f>
        <v/>
      </c>
      <c r="T3361" s="10">
        <f>IF(A3361="D",LEFT(UPPER(D3361)&amp;REPT(" ",2),2)," ")</f>
        <v/>
      </c>
      <c r="U3361" s="10">
        <f>IF(A3361="D",LEFT(UPPER(E3361)&amp;REPT(" ",15),15)," ")</f>
        <v/>
      </c>
      <c r="V3361" s="10">
        <f>REPT(" ",24)</f>
        <v/>
      </c>
      <c r="W3361" s="10">
        <f>IF(A3361="c",LEFT(UPPER(B3361)&amp;REPT(" ",20),20),REPT(" ",20))</f>
        <v/>
      </c>
      <c r="X3361" s="10">
        <f>IF(A3361="C",LEFT(UPPER(C3361)&amp;REPT(" ",10),10)," ")</f>
        <v/>
      </c>
      <c r="Y3361" s="10">
        <f>IF(A3361="C",LEFT(UPPER(D3361)&amp;REPT(" ",2),2)," ")</f>
        <v/>
      </c>
      <c r="Z3361" s="10">
        <f>IF(A3361="C",LEFT(UPPER(E3361)&amp;REPT(" ",15),15)," ")</f>
        <v/>
      </c>
      <c r="AA3361" s="10">
        <f>REPT(" ",8)</f>
        <v/>
      </c>
      <c r="AB3361" s="10">
        <f>REPT(" ",4)</f>
        <v/>
      </c>
      <c r="AC3361" s="10">
        <f>LEFT(UPPER(H3361)&amp;REPT(" ",250),250)</f>
        <v/>
      </c>
      <c r="AD3361" s="10">
        <f>TEXT($G$2,"dd/mm/aaaa")</f>
        <v/>
      </c>
      <c r="AE3361" s="10">
        <f>REPT(" ",10)</f>
        <v/>
      </c>
      <c r="AF3361" s="10">
        <f>REPT(" ",20)</f>
        <v/>
      </c>
      <c r="AG3361" s="54">
        <f>REPT(" ",18-LEN(FIXED(F3361,2,TRUE)))&amp;FIXED(F3361,2,TRUE)</f>
        <v/>
      </c>
      <c r="AH3361" s="10">
        <f>LEN(AC3361)+LEN(AG3361)</f>
        <v/>
      </c>
      <c r="AI3361" s="10">
        <f>LEN(L3361)</f>
        <v/>
      </c>
    </row>
    <row r="3362">
      <c r="J3362" s="12">
        <f>IF(F3362&lt;&gt;0,"LANÇAR","")</f>
        <v/>
      </c>
      <c r="L3362" s="13">
        <f>N3362&amp;O3362&amp;P3362&amp;Q3362&amp;R3362&amp;S3362&amp;T3362&amp;U3362&amp;V3362&amp;W3362&amp;X3362&amp;Y3362&amp;Z3362&amp;AA3362&amp;AB3362&amp;AC3362&amp;AD3362&amp;AE3362&amp;AF3362&amp;AG3362</f>
        <v/>
      </c>
      <c r="N3362" s="10">
        <f>TEXT($B$6,"00")</f>
        <v/>
      </c>
      <c r="O3362" s="10">
        <f>REPT(" ",8)</f>
        <v/>
      </c>
      <c r="P3362" s="10">
        <f>RIGHT($B$4,2)</f>
        <v/>
      </c>
      <c r="Q3362" s="10">
        <f>RIGHT($B$5,3)</f>
        <v/>
      </c>
      <c r="R3362" s="10">
        <f>IF(A3362="D",LEFT(UPPER(B3362)&amp;REPT(" ",20),20),REPT(" ",20))</f>
        <v/>
      </c>
      <c r="S3362" s="10">
        <f>IF(A3362="D",LEFT(UPPER(C3362)&amp;REPT(" ",10),10)," ")</f>
        <v/>
      </c>
      <c r="T3362" s="10">
        <f>IF(A3362="D",LEFT(UPPER(D3362)&amp;REPT(" ",2),2)," ")</f>
        <v/>
      </c>
      <c r="U3362" s="10">
        <f>IF(A3362="D",LEFT(UPPER(E3362)&amp;REPT(" ",15),15)," ")</f>
        <v/>
      </c>
      <c r="V3362" s="10">
        <f>REPT(" ",24)</f>
        <v/>
      </c>
      <c r="W3362" s="10">
        <f>IF(A3362="c",LEFT(UPPER(B3362)&amp;REPT(" ",20),20),REPT(" ",20))</f>
        <v/>
      </c>
      <c r="X3362" s="10">
        <f>IF(A3362="C",LEFT(UPPER(C3362)&amp;REPT(" ",10),10)," ")</f>
        <v/>
      </c>
      <c r="Y3362" s="10">
        <f>IF(A3362="C",LEFT(UPPER(D3362)&amp;REPT(" ",2),2)," ")</f>
        <v/>
      </c>
      <c r="Z3362" s="10">
        <f>IF(A3362="C",LEFT(UPPER(E3362)&amp;REPT(" ",15),15)," ")</f>
        <v/>
      </c>
      <c r="AA3362" s="10">
        <f>REPT(" ",8)</f>
        <v/>
      </c>
      <c r="AB3362" s="10">
        <f>REPT(" ",4)</f>
        <v/>
      </c>
      <c r="AC3362" s="10">
        <f>LEFT(UPPER(H3362)&amp;REPT(" ",250),250)</f>
        <v/>
      </c>
      <c r="AD3362" s="10">
        <f>TEXT($G$2,"dd/mm/aaaa")</f>
        <v/>
      </c>
      <c r="AE3362" s="10">
        <f>REPT(" ",10)</f>
        <v/>
      </c>
      <c r="AF3362" s="10">
        <f>REPT(" ",20)</f>
        <v/>
      </c>
      <c r="AG3362" s="54">
        <f>REPT(" ",18-LEN(FIXED(F3362,2,TRUE)))&amp;FIXED(F3362,2,TRUE)</f>
        <v/>
      </c>
      <c r="AH3362" s="10">
        <f>LEN(AC3362)+LEN(AG3362)</f>
        <v/>
      </c>
      <c r="AI3362" s="10">
        <f>LEN(L3362)</f>
        <v/>
      </c>
    </row>
    <row r="3363">
      <c r="J3363" s="12">
        <f>IF(F3363&lt;&gt;0,"LANÇAR","")</f>
        <v/>
      </c>
      <c r="L3363" s="13">
        <f>N3363&amp;O3363&amp;P3363&amp;Q3363&amp;R3363&amp;S3363&amp;T3363&amp;U3363&amp;V3363&amp;W3363&amp;X3363&amp;Y3363&amp;Z3363&amp;AA3363&amp;AB3363&amp;AC3363&amp;AD3363&amp;AE3363&amp;AF3363&amp;AG3363</f>
        <v/>
      </c>
      <c r="N3363" s="10">
        <f>TEXT($B$6,"00")</f>
        <v/>
      </c>
      <c r="O3363" s="10">
        <f>REPT(" ",8)</f>
        <v/>
      </c>
      <c r="P3363" s="10">
        <f>RIGHT($B$4,2)</f>
        <v/>
      </c>
      <c r="Q3363" s="10">
        <f>RIGHT($B$5,3)</f>
        <v/>
      </c>
      <c r="R3363" s="10">
        <f>IF(A3363="D",LEFT(UPPER(B3363)&amp;REPT(" ",20),20),REPT(" ",20))</f>
        <v/>
      </c>
      <c r="S3363" s="10">
        <f>IF(A3363="D",LEFT(UPPER(C3363)&amp;REPT(" ",10),10)," ")</f>
        <v/>
      </c>
      <c r="T3363" s="10">
        <f>IF(A3363="D",LEFT(UPPER(D3363)&amp;REPT(" ",2),2)," ")</f>
        <v/>
      </c>
      <c r="U3363" s="10">
        <f>IF(A3363="D",LEFT(UPPER(E3363)&amp;REPT(" ",15),15)," ")</f>
        <v/>
      </c>
      <c r="V3363" s="10">
        <f>REPT(" ",24)</f>
        <v/>
      </c>
      <c r="W3363" s="10">
        <f>IF(A3363="c",LEFT(UPPER(B3363)&amp;REPT(" ",20),20),REPT(" ",20))</f>
        <v/>
      </c>
      <c r="X3363" s="10">
        <f>IF(A3363="C",LEFT(UPPER(C3363)&amp;REPT(" ",10),10)," ")</f>
        <v/>
      </c>
      <c r="Y3363" s="10">
        <f>IF(A3363="C",LEFT(UPPER(D3363)&amp;REPT(" ",2),2)," ")</f>
        <v/>
      </c>
      <c r="Z3363" s="10">
        <f>IF(A3363="C",LEFT(UPPER(E3363)&amp;REPT(" ",15),15)," ")</f>
        <v/>
      </c>
      <c r="AA3363" s="10">
        <f>REPT(" ",8)</f>
        <v/>
      </c>
      <c r="AB3363" s="10">
        <f>REPT(" ",4)</f>
        <v/>
      </c>
      <c r="AC3363" s="10">
        <f>LEFT(UPPER(H3363)&amp;REPT(" ",250),250)</f>
        <v/>
      </c>
      <c r="AD3363" s="10">
        <f>TEXT($G$2,"dd/mm/aaaa")</f>
        <v/>
      </c>
      <c r="AE3363" s="10">
        <f>REPT(" ",10)</f>
        <v/>
      </c>
      <c r="AF3363" s="10">
        <f>REPT(" ",20)</f>
        <v/>
      </c>
      <c r="AG3363" s="54">
        <f>REPT(" ",18-LEN(FIXED(F3363,2,TRUE)))&amp;FIXED(F3363,2,TRUE)</f>
        <v/>
      </c>
      <c r="AH3363" s="10">
        <f>LEN(AC3363)+LEN(AG3363)</f>
        <v/>
      </c>
      <c r="AI3363" s="10">
        <f>LEN(L3363)</f>
        <v/>
      </c>
    </row>
    <row r="3364">
      <c r="J3364" s="12">
        <f>IF(F3364&lt;&gt;0,"LANÇAR","")</f>
        <v/>
      </c>
      <c r="L3364" s="13">
        <f>N3364&amp;O3364&amp;P3364&amp;Q3364&amp;R3364&amp;S3364&amp;T3364&amp;U3364&amp;V3364&amp;W3364&amp;X3364&amp;Y3364&amp;Z3364&amp;AA3364&amp;AB3364&amp;AC3364&amp;AD3364&amp;AE3364&amp;AF3364&amp;AG3364</f>
        <v/>
      </c>
      <c r="N3364" s="10">
        <f>TEXT($B$6,"00")</f>
        <v/>
      </c>
      <c r="O3364" s="10">
        <f>REPT(" ",8)</f>
        <v/>
      </c>
      <c r="P3364" s="10">
        <f>RIGHT($B$4,2)</f>
        <v/>
      </c>
      <c r="Q3364" s="10">
        <f>RIGHT($B$5,3)</f>
        <v/>
      </c>
      <c r="R3364" s="10">
        <f>IF(A3364="D",LEFT(UPPER(B3364)&amp;REPT(" ",20),20),REPT(" ",20))</f>
        <v/>
      </c>
      <c r="S3364" s="10">
        <f>IF(A3364="D",LEFT(UPPER(C3364)&amp;REPT(" ",10),10)," ")</f>
        <v/>
      </c>
      <c r="T3364" s="10">
        <f>IF(A3364="D",LEFT(UPPER(D3364)&amp;REPT(" ",2),2)," ")</f>
        <v/>
      </c>
      <c r="U3364" s="10">
        <f>IF(A3364="D",LEFT(UPPER(E3364)&amp;REPT(" ",15),15)," ")</f>
        <v/>
      </c>
      <c r="V3364" s="10">
        <f>REPT(" ",24)</f>
        <v/>
      </c>
      <c r="W3364" s="10">
        <f>IF(A3364="c",LEFT(UPPER(B3364)&amp;REPT(" ",20),20),REPT(" ",20))</f>
        <v/>
      </c>
      <c r="X3364" s="10">
        <f>IF(A3364="C",LEFT(UPPER(C3364)&amp;REPT(" ",10),10)," ")</f>
        <v/>
      </c>
      <c r="Y3364" s="10">
        <f>IF(A3364="C",LEFT(UPPER(D3364)&amp;REPT(" ",2),2)," ")</f>
        <v/>
      </c>
      <c r="Z3364" s="10">
        <f>IF(A3364="C",LEFT(UPPER(E3364)&amp;REPT(" ",15),15)," ")</f>
        <v/>
      </c>
      <c r="AA3364" s="10">
        <f>REPT(" ",8)</f>
        <v/>
      </c>
      <c r="AB3364" s="10">
        <f>REPT(" ",4)</f>
        <v/>
      </c>
      <c r="AC3364" s="10">
        <f>LEFT(UPPER(H3364)&amp;REPT(" ",250),250)</f>
        <v/>
      </c>
      <c r="AD3364" s="10">
        <f>TEXT($G$2,"dd/mm/aaaa")</f>
        <v/>
      </c>
      <c r="AE3364" s="10">
        <f>REPT(" ",10)</f>
        <v/>
      </c>
      <c r="AF3364" s="10">
        <f>REPT(" ",20)</f>
        <v/>
      </c>
      <c r="AG3364" s="54">
        <f>REPT(" ",18-LEN(FIXED(F3364,2,TRUE)))&amp;FIXED(F3364,2,TRUE)</f>
        <v/>
      </c>
      <c r="AH3364" s="10">
        <f>LEN(AC3364)+LEN(AG3364)</f>
        <v/>
      </c>
      <c r="AI3364" s="10">
        <f>LEN(L3364)</f>
        <v/>
      </c>
    </row>
    <row r="3365">
      <c r="J3365" s="12">
        <f>IF(F3365&lt;&gt;0,"LANÇAR","")</f>
        <v/>
      </c>
      <c r="L3365" s="13">
        <f>N3365&amp;O3365&amp;P3365&amp;Q3365&amp;R3365&amp;S3365&amp;T3365&amp;U3365&amp;V3365&amp;W3365&amp;X3365&amp;Y3365&amp;Z3365&amp;AA3365&amp;AB3365&amp;AC3365&amp;AD3365&amp;AE3365&amp;AF3365&amp;AG3365</f>
        <v/>
      </c>
      <c r="N3365" s="10">
        <f>TEXT($B$6,"00")</f>
        <v/>
      </c>
      <c r="O3365" s="10">
        <f>REPT(" ",8)</f>
        <v/>
      </c>
      <c r="P3365" s="10">
        <f>RIGHT($B$4,2)</f>
        <v/>
      </c>
      <c r="Q3365" s="10">
        <f>RIGHT($B$5,3)</f>
        <v/>
      </c>
      <c r="R3365" s="10">
        <f>IF(A3365="D",LEFT(UPPER(B3365)&amp;REPT(" ",20),20),REPT(" ",20))</f>
        <v/>
      </c>
      <c r="S3365" s="10">
        <f>IF(A3365="D",LEFT(UPPER(C3365)&amp;REPT(" ",10),10)," ")</f>
        <v/>
      </c>
      <c r="T3365" s="10">
        <f>IF(A3365="D",LEFT(UPPER(D3365)&amp;REPT(" ",2),2)," ")</f>
        <v/>
      </c>
      <c r="U3365" s="10">
        <f>IF(A3365="D",LEFT(UPPER(E3365)&amp;REPT(" ",15),15)," ")</f>
        <v/>
      </c>
      <c r="V3365" s="10">
        <f>REPT(" ",24)</f>
        <v/>
      </c>
      <c r="W3365" s="10">
        <f>IF(A3365="c",LEFT(UPPER(B3365)&amp;REPT(" ",20),20),REPT(" ",20))</f>
        <v/>
      </c>
      <c r="X3365" s="10">
        <f>IF(A3365="C",LEFT(UPPER(C3365)&amp;REPT(" ",10),10)," ")</f>
        <v/>
      </c>
      <c r="Y3365" s="10">
        <f>IF(A3365="C",LEFT(UPPER(D3365)&amp;REPT(" ",2),2)," ")</f>
        <v/>
      </c>
      <c r="Z3365" s="10">
        <f>IF(A3365="C",LEFT(UPPER(E3365)&amp;REPT(" ",15),15)," ")</f>
        <v/>
      </c>
      <c r="AA3365" s="10">
        <f>REPT(" ",8)</f>
        <v/>
      </c>
      <c r="AB3365" s="10">
        <f>REPT(" ",4)</f>
        <v/>
      </c>
      <c r="AC3365" s="10">
        <f>LEFT(UPPER(H3365)&amp;REPT(" ",250),250)</f>
        <v/>
      </c>
      <c r="AD3365" s="10">
        <f>TEXT($G$2,"dd/mm/aaaa")</f>
        <v/>
      </c>
      <c r="AE3365" s="10">
        <f>REPT(" ",10)</f>
        <v/>
      </c>
      <c r="AF3365" s="10">
        <f>REPT(" ",20)</f>
        <v/>
      </c>
      <c r="AG3365" s="54">
        <f>REPT(" ",18-LEN(FIXED(F3365,2,TRUE)))&amp;FIXED(F3365,2,TRUE)</f>
        <v/>
      </c>
      <c r="AH3365" s="10">
        <f>LEN(AC3365)+LEN(AG3365)</f>
        <v/>
      </c>
      <c r="AI3365" s="10">
        <f>LEN(L3365)</f>
        <v/>
      </c>
    </row>
    <row r="3366">
      <c r="J3366" s="12">
        <f>IF(F3366&lt;&gt;0,"LANÇAR","")</f>
        <v/>
      </c>
      <c r="L3366" s="13">
        <f>N3366&amp;O3366&amp;P3366&amp;Q3366&amp;R3366&amp;S3366&amp;T3366&amp;U3366&amp;V3366&amp;W3366&amp;X3366&amp;Y3366&amp;Z3366&amp;AA3366&amp;AB3366&amp;AC3366&amp;AD3366&amp;AE3366&amp;AF3366&amp;AG3366</f>
        <v/>
      </c>
      <c r="N3366" s="10">
        <f>TEXT($B$6,"00")</f>
        <v/>
      </c>
      <c r="O3366" s="10">
        <f>REPT(" ",8)</f>
        <v/>
      </c>
      <c r="P3366" s="10">
        <f>RIGHT($B$4,2)</f>
        <v/>
      </c>
      <c r="Q3366" s="10">
        <f>RIGHT($B$5,3)</f>
        <v/>
      </c>
      <c r="R3366" s="10">
        <f>IF(A3366="D",LEFT(UPPER(B3366)&amp;REPT(" ",20),20),REPT(" ",20))</f>
        <v/>
      </c>
      <c r="S3366" s="10">
        <f>IF(A3366="D",LEFT(UPPER(C3366)&amp;REPT(" ",10),10)," ")</f>
        <v/>
      </c>
      <c r="T3366" s="10">
        <f>IF(A3366="D",LEFT(UPPER(D3366)&amp;REPT(" ",2),2)," ")</f>
        <v/>
      </c>
      <c r="U3366" s="10">
        <f>IF(A3366="D",LEFT(UPPER(E3366)&amp;REPT(" ",15),15)," ")</f>
        <v/>
      </c>
      <c r="V3366" s="10">
        <f>REPT(" ",24)</f>
        <v/>
      </c>
      <c r="W3366" s="10">
        <f>IF(A3366="c",LEFT(UPPER(B3366)&amp;REPT(" ",20),20),REPT(" ",20))</f>
        <v/>
      </c>
      <c r="X3366" s="10">
        <f>IF(A3366="C",LEFT(UPPER(C3366)&amp;REPT(" ",10),10)," ")</f>
        <v/>
      </c>
      <c r="Y3366" s="10">
        <f>IF(A3366="C",LEFT(UPPER(D3366)&amp;REPT(" ",2),2)," ")</f>
        <v/>
      </c>
      <c r="Z3366" s="10">
        <f>IF(A3366="C",LEFT(UPPER(E3366)&amp;REPT(" ",15),15)," ")</f>
        <v/>
      </c>
      <c r="AA3366" s="10">
        <f>REPT(" ",8)</f>
        <v/>
      </c>
      <c r="AB3366" s="10">
        <f>REPT(" ",4)</f>
        <v/>
      </c>
      <c r="AC3366" s="10">
        <f>LEFT(UPPER(H3366)&amp;REPT(" ",250),250)</f>
        <v/>
      </c>
      <c r="AD3366" s="10">
        <f>TEXT($G$2,"dd/mm/aaaa")</f>
        <v/>
      </c>
      <c r="AE3366" s="10">
        <f>REPT(" ",10)</f>
        <v/>
      </c>
      <c r="AF3366" s="10">
        <f>REPT(" ",20)</f>
        <v/>
      </c>
      <c r="AG3366" s="54">
        <f>REPT(" ",18-LEN(FIXED(F3366,2,TRUE)))&amp;FIXED(F3366,2,TRUE)</f>
        <v/>
      </c>
      <c r="AH3366" s="10">
        <f>LEN(AC3366)+LEN(AG3366)</f>
        <v/>
      </c>
      <c r="AI3366" s="10">
        <f>LEN(L3366)</f>
        <v/>
      </c>
    </row>
    <row r="3367">
      <c r="J3367" s="12">
        <f>IF(F3367&lt;&gt;0,"LANÇAR","")</f>
        <v/>
      </c>
      <c r="L3367" s="13">
        <f>N3367&amp;O3367&amp;P3367&amp;Q3367&amp;R3367&amp;S3367&amp;T3367&amp;U3367&amp;V3367&amp;W3367&amp;X3367&amp;Y3367&amp;Z3367&amp;AA3367&amp;AB3367&amp;AC3367&amp;AD3367&amp;AE3367&amp;AF3367&amp;AG3367</f>
        <v/>
      </c>
      <c r="N3367" s="10">
        <f>TEXT($B$6,"00")</f>
        <v/>
      </c>
      <c r="O3367" s="10">
        <f>REPT(" ",8)</f>
        <v/>
      </c>
      <c r="P3367" s="10">
        <f>RIGHT($B$4,2)</f>
        <v/>
      </c>
      <c r="Q3367" s="10">
        <f>RIGHT($B$5,3)</f>
        <v/>
      </c>
      <c r="R3367" s="10">
        <f>IF(A3367="D",LEFT(UPPER(B3367)&amp;REPT(" ",20),20),REPT(" ",20))</f>
        <v/>
      </c>
      <c r="S3367" s="10">
        <f>IF(A3367="D",LEFT(UPPER(C3367)&amp;REPT(" ",10),10)," ")</f>
        <v/>
      </c>
      <c r="T3367" s="10">
        <f>IF(A3367="D",LEFT(UPPER(D3367)&amp;REPT(" ",2),2)," ")</f>
        <v/>
      </c>
      <c r="U3367" s="10">
        <f>IF(A3367="D",LEFT(UPPER(E3367)&amp;REPT(" ",15),15)," ")</f>
        <v/>
      </c>
      <c r="V3367" s="10">
        <f>REPT(" ",24)</f>
        <v/>
      </c>
      <c r="W3367" s="10">
        <f>IF(A3367="c",LEFT(UPPER(B3367)&amp;REPT(" ",20),20),REPT(" ",20))</f>
        <v/>
      </c>
      <c r="X3367" s="10">
        <f>IF(A3367="C",LEFT(UPPER(C3367)&amp;REPT(" ",10),10)," ")</f>
        <v/>
      </c>
      <c r="Y3367" s="10">
        <f>IF(A3367="C",LEFT(UPPER(D3367)&amp;REPT(" ",2),2)," ")</f>
        <v/>
      </c>
      <c r="Z3367" s="10">
        <f>IF(A3367="C",LEFT(UPPER(E3367)&amp;REPT(" ",15),15)," ")</f>
        <v/>
      </c>
      <c r="AA3367" s="10">
        <f>REPT(" ",8)</f>
        <v/>
      </c>
      <c r="AB3367" s="10">
        <f>REPT(" ",4)</f>
        <v/>
      </c>
      <c r="AC3367" s="10">
        <f>LEFT(UPPER(H3367)&amp;REPT(" ",250),250)</f>
        <v/>
      </c>
      <c r="AD3367" s="10">
        <f>TEXT($G$2,"dd/mm/aaaa")</f>
        <v/>
      </c>
      <c r="AE3367" s="10">
        <f>REPT(" ",10)</f>
        <v/>
      </c>
      <c r="AF3367" s="10">
        <f>REPT(" ",20)</f>
        <v/>
      </c>
      <c r="AG3367" s="54">
        <f>REPT(" ",18-LEN(FIXED(F3367,2,TRUE)))&amp;FIXED(F3367,2,TRUE)</f>
        <v/>
      </c>
      <c r="AH3367" s="10">
        <f>LEN(AC3367)+LEN(AG3367)</f>
        <v/>
      </c>
      <c r="AI3367" s="10">
        <f>LEN(L3367)</f>
        <v/>
      </c>
    </row>
    <row r="3368">
      <c r="J3368" s="12">
        <f>IF(F3368&lt;&gt;0,"LANÇAR","")</f>
        <v/>
      </c>
      <c r="L3368" s="13">
        <f>N3368&amp;O3368&amp;P3368&amp;Q3368&amp;R3368&amp;S3368&amp;T3368&amp;U3368&amp;V3368&amp;W3368&amp;X3368&amp;Y3368&amp;Z3368&amp;AA3368&amp;AB3368&amp;AC3368&amp;AD3368&amp;AE3368&amp;AF3368&amp;AG3368</f>
        <v/>
      </c>
      <c r="N3368" s="10">
        <f>TEXT($B$6,"00")</f>
        <v/>
      </c>
      <c r="O3368" s="10">
        <f>REPT(" ",8)</f>
        <v/>
      </c>
      <c r="P3368" s="10">
        <f>RIGHT($B$4,2)</f>
        <v/>
      </c>
      <c r="Q3368" s="10">
        <f>RIGHT($B$5,3)</f>
        <v/>
      </c>
      <c r="R3368" s="10">
        <f>IF(A3368="D",LEFT(UPPER(B3368)&amp;REPT(" ",20),20),REPT(" ",20))</f>
        <v/>
      </c>
      <c r="S3368" s="10">
        <f>IF(A3368="D",LEFT(UPPER(C3368)&amp;REPT(" ",10),10)," ")</f>
        <v/>
      </c>
      <c r="T3368" s="10">
        <f>IF(A3368="D",LEFT(UPPER(D3368)&amp;REPT(" ",2),2)," ")</f>
        <v/>
      </c>
      <c r="U3368" s="10">
        <f>IF(A3368="D",LEFT(UPPER(E3368)&amp;REPT(" ",15),15)," ")</f>
        <v/>
      </c>
      <c r="V3368" s="10">
        <f>REPT(" ",24)</f>
        <v/>
      </c>
      <c r="W3368" s="10">
        <f>IF(A3368="c",LEFT(UPPER(B3368)&amp;REPT(" ",20),20),REPT(" ",20))</f>
        <v/>
      </c>
      <c r="X3368" s="10">
        <f>IF(A3368="C",LEFT(UPPER(C3368)&amp;REPT(" ",10),10)," ")</f>
        <v/>
      </c>
      <c r="Y3368" s="10">
        <f>IF(A3368="C",LEFT(UPPER(D3368)&amp;REPT(" ",2),2)," ")</f>
        <v/>
      </c>
      <c r="Z3368" s="10">
        <f>IF(A3368="C",LEFT(UPPER(E3368)&amp;REPT(" ",15),15)," ")</f>
        <v/>
      </c>
      <c r="AA3368" s="10">
        <f>REPT(" ",8)</f>
        <v/>
      </c>
      <c r="AB3368" s="10">
        <f>REPT(" ",4)</f>
        <v/>
      </c>
      <c r="AC3368" s="10">
        <f>LEFT(UPPER(H3368)&amp;REPT(" ",250),250)</f>
        <v/>
      </c>
      <c r="AD3368" s="10">
        <f>TEXT($G$2,"dd/mm/aaaa")</f>
        <v/>
      </c>
      <c r="AE3368" s="10">
        <f>REPT(" ",10)</f>
        <v/>
      </c>
      <c r="AF3368" s="10">
        <f>REPT(" ",20)</f>
        <v/>
      </c>
      <c r="AG3368" s="54">
        <f>REPT(" ",18-LEN(FIXED(F3368,2,TRUE)))&amp;FIXED(F3368,2,TRUE)</f>
        <v/>
      </c>
      <c r="AH3368" s="10">
        <f>LEN(AC3368)+LEN(AG3368)</f>
        <v/>
      </c>
      <c r="AI3368" s="10">
        <f>LEN(L3368)</f>
        <v/>
      </c>
    </row>
    <row r="3369">
      <c r="J3369" s="12">
        <f>IF(F3369&lt;&gt;0,"LANÇAR","")</f>
        <v/>
      </c>
      <c r="L3369" s="13">
        <f>N3369&amp;O3369&amp;P3369&amp;Q3369&amp;R3369&amp;S3369&amp;T3369&amp;U3369&amp;V3369&amp;W3369&amp;X3369&amp;Y3369&amp;Z3369&amp;AA3369&amp;AB3369&amp;AC3369&amp;AD3369&amp;AE3369&amp;AF3369&amp;AG3369</f>
        <v/>
      </c>
      <c r="N3369" s="10">
        <f>TEXT($B$6,"00")</f>
        <v/>
      </c>
      <c r="O3369" s="10">
        <f>REPT(" ",8)</f>
        <v/>
      </c>
      <c r="P3369" s="10">
        <f>RIGHT($B$4,2)</f>
        <v/>
      </c>
      <c r="Q3369" s="10">
        <f>RIGHT($B$5,3)</f>
        <v/>
      </c>
      <c r="R3369" s="10">
        <f>IF(A3369="D",LEFT(UPPER(B3369)&amp;REPT(" ",20),20),REPT(" ",20))</f>
        <v/>
      </c>
      <c r="S3369" s="10">
        <f>IF(A3369="D",LEFT(UPPER(C3369)&amp;REPT(" ",10),10)," ")</f>
        <v/>
      </c>
      <c r="T3369" s="10">
        <f>IF(A3369="D",LEFT(UPPER(D3369)&amp;REPT(" ",2),2)," ")</f>
        <v/>
      </c>
      <c r="U3369" s="10">
        <f>IF(A3369="D",LEFT(UPPER(E3369)&amp;REPT(" ",15),15)," ")</f>
        <v/>
      </c>
      <c r="V3369" s="10">
        <f>REPT(" ",24)</f>
        <v/>
      </c>
      <c r="W3369" s="10">
        <f>IF(A3369="c",LEFT(UPPER(B3369)&amp;REPT(" ",20),20),REPT(" ",20))</f>
        <v/>
      </c>
      <c r="X3369" s="10">
        <f>IF(A3369="C",LEFT(UPPER(C3369)&amp;REPT(" ",10),10)," ")</f>
        <v/>
      </c>
      <c r="Y3369" s="10">
        <f>IF(A3369="C",LEFT(UPPER(D3369)&amp;REPT(" ",2),2)," ")</f>
        <v/>
      </c>
      <c r="Z3369" s="10">
        <f>IF(A3369="C",LEFT(UPPER(E3369)&amp;REPT(" ",15),15)," ")</f>
        <v/>
      </c>
      <c r="AA3369" s="10">
        <f>REPT(" ",8)</f>
        <v/>
      </c>
      <c r="AB3369" s="10">
        <f>REPT(" ",4)</f>
        <v/>
      </c>
      <c r="AC3369" s="10">
        <f>LEFT(UPPER(H3369)&amp;REPT(" ",250),250)</f>
        <v/>
      </c>
      <c r="AD3369" s="10">
        <f>TEXT($G$2,"dd/mm/aaaa")</f>
        <v/>
      </c>
      <c r="AE3369" s="10">
        <f>REPT(" ",10)</f>
        <v/>
      </c>
      <c r="AF3369" s="10">
        <f>REPT(" ",20)</f>
        <v/>
      </c>
      <c r="AG3369" s="54">
        <f>REPT(" ",18-LEN(FIXED(F3369,2,TRUE)))&amp;FIXED(F3369,2,TRUE)</f>
        <v/>
      </c>
      <c r="AH3369" s="10">
        <f>LEN(AC3369)+LEN(AG3369)</f>
        <v/>
      </c>
      <c r="AI3369" s="10">
        <f>LEN(L3369)</f>
        <v/>
      </c>
    </row>
    <row r="3370">
      <c r="J3370" s="12">
        <f>IF(F3370&lt;&gt;0,"LANÇAR","")</f>
        <v/>
      </c>
      <c r="L3370" s="13">
        <f>N3370&amp;O3370&amp;P3370&amp;Q3370&amp;R3370&amp;S3370&amp;T3370&amp;U3370&amp;V3370&amp;W3370&amp;X3370&amp;Y3370&amp;Z3370&amp;AA3370&amp;AB3370&amp;AC3370&amp;AD3370&amp;AE3370&amp;AF3370&amp;AG3370</f>
        <v/>
      </c>
      <c r="N3370" s="10">
        <f>TEXT($B$6,"00")</f>
        <v/>
      </c>
      <c r="O3370" s="10">
        <f>REPT(" ",8)</f>
        <v/>
      </c>
      <c r="P3370" s="10">
        <f>RIGHT($B$4,2)</f>
        <v/>
      </c>
      <c r="Q3370" s="10">
        <f>RIGHT($B$5,3)</f>
        <v/>
      </c>
      <c r="R3370" s="10">
        <f>IF(A3370="D",LEFT(UPPER(B3370)&amp;REPT(" ",20),20),REPT(" ",20))</f>
        <v/>
      </c>
      <c r="S3370" s="10">
        <f>IF(A3370="D",LEFT(UPPER(C3370)&amp;REPT(" ",10),10)," ")</f>
        <v/>
      </c>
      <c r="T3370" s="10">
        <f>IF(A3370="D",LEFT(UPPER(D3370)&amp;REPT(" ",2),2)," ")</f>
        <v/>
      </c>
      <c r="U3370" s="10">
        <f>IF(A3370="D",LEFT(UPPER(E3370)&amp;REPT(" ",15),15)," ")</f>
        <v/>
      </c>
      <c r="V3370" s="10">
        <f>REPT(" ",24)</f>
        <v/>
      </c>
      <c r="W3370" s="10">
        <f>IF(A3370="c",LEFT(UPPER(B3370)&amp;REPT(" ",20),20),REPT(" ",20))</f>
        <v/>
      </c>
      <c r="X3370" s="10">
        <f>IF(A3370="C",LEFT(UPPER(C3370)&amp;REPT(" ",10),10)," ")</f>
        <v/>
      </c>
      <c r="Y3370" s="10">
        <f>IF(A3370="C",LEFT(UPPER(D3370)&amp;REPT(" ",2),2)," ")</f>
        <v/>
      </c>
      <c r="Z3370" s="10">
        <f>IF(A3370="C",LEFT(UPPER(E3370)&amp;REPT(" ",15),15)," ")</f>
        <v/>
      </c>
      <c r="AA3370" s="10">
        <f>REPT(" ",8)</f>
        <v/>
      </c>
      <c r="AB3370" s="10">
        <f>REPT(" ",4)</f>
        <v/>
      </c>
      <c r="AC3370" s="10">
        <f>LEFT(UPPER(H3370)&amp;REPT(" ",250),250)</f>
        <v/>
      </c>
      <c r="AD3370" s="10">
        <f>TEXT($G$2,"dd/mm/aaaa")</f>
        <v/>
      </c>
      <c r="AE3370" s="10">
        <f>REPT(" ",10)</f>
        <v/>
      </c>
      <c r="AF3370" s="10">
        <f>REPT(" ",20)</f>
        <v/>
      </c>
      <c r="AG3370" s="54">
        <f>REPT(" ",18-LEN(FIXED(F3370,2,TRUE)))&amp;FIXED(F3370,2,TRUE)</f>
        <v/>
      </c>
      <c r="AH3370" s="10">
        <f>LEN(AC3370)+LEN(AG3370)</f>
        <v/>
      </c>
      <c r="AI3370" s="10">
        <f>LEN(L3370)</f>
        <v/>
      </c>
    </row>
    <row r="3371">
      <c r="J3371" s="12">
        <f>IF(F3371&lt;&gt;0,"LANÇAR","")</f>
        <v/>
      </c>
      <c r="L3371" s="13">
        <f>N3371&amp;O3371&amp;P3371&amp;Q3371&amp;R3371&amp;S3371&amp;T3371&amp;U3371&amp;V3371&amp;W3371&amp;X3371&amp;Y3371&amp;Z3371&amp;AA3371&amp;AB3371&amp;AC3371&amp;AD3371&amp;AE3371&amp;AF3371&amp;AG3371</f>
        <v/>
      </c>
      <c r="N3371" s="10">
        <f>TEXT($B$6,"00")</f>
        <v/>
      </c>
      <c r="O3371" s="10">
        <f>REPT(" ",8)</f>
        <v/>
      </c>
      <c r="P3371" s="10">
        <f>RIGHT($B$4,2)</f>
        <v/>
      </c>
      <c r="Q3371" s="10">
        <f>RIGHT($B$5,3)</f>
        <v/>
      </c>
      <c r="R3371" s="10">
        <f>IF(A3371="D",LEFT(UPPER(B3371)&amp;REPT(" ",20),20),REPT(" ",20))</f>
        <v/>
      </c>
      <c r="S3371" s="10">
        <f>IF(A3371="D",LEFT(UPPER(C3371)&amp;REPT(" ",10),10)," ")</f>
        <v/>
      </c>
      <c r="T3371" s="10">
        <f>IF(A3371="D",LEFT(UPPER(D3371)&amp;REPT(" ",2),2)," ")</f>
        <v/>
      </c>
      <c r="U3371" s="10">
        <f>IF(A3371="D",LEFT(UPPER(E3371)&amp;REPT(" ",15),15)," ")</f>
        <v/>
      </c>
      <c r="V3371" s="10">
        <f>REPT(" ",24)</f>
        <v/>
      </c>
      <c r="W3371" s="10">
        <f>IF(A3371="c",LEFT(UPPER(B3371)&amp;REPT(" ",20),20),REPT(" ",20))</f>
        <v/>
      </c>
      <c r="X3371" s="10">
        <f>IF(A3371="C",LEFT(UPPER(C3371)&amp;REPT(" ",10),10)," ")</f>
        <v/>
      </c>
      <c r="Y3371" s="10">
        <f>IF(A3371="C",LEFT(UPPER(D3371)&amp;REPT(" ",2),2)," ")</f>
        <v/>
      </c>
      <c r="Z3371" s="10">
        <f>IF(A3371="C",LEFT(UPPER(E3371)&amp;REPT(" ",15),15)," ")</f>
        <v/>
      </c>
      <c r="AA3371" s="10">
        <f>REPT(" ",8)</f>
        <v/>
      </c>
      <c r="AB3371" s="10">
        <f>REPT(" ",4)</f>
        <v/>
      </c>
      <c r="AC3371" s="10">
        <f>LEFT(UPPER(H3371)&amp;REPT(" ",250),250)</f>
        <v/>
      </c>
      <c r="AD3371" s="10">
        <f>TEXT($G$2,"dd/mm/aaaa")</f>
        <v/>
      </c>
      <c r="AE3371" s="10">
        <f>REPT(" ",10)</f>
        <v/>
      </c>
      <c r="AF3371" s="10">
        <f>REPT(" ",20)</f>
        <v/>
      </c>
      <c r="AG3371" s="54">
        <f>REPT(" ",18-LEN(FIXED(F3371,2,TRUE)))&amp;FIXED(F3371,2,TRUE)</f>
        <v/>
      </c>
      <c r="AH3371" s="10">
        <f>LEN(AC3371)+LEN(AG3371)</f>
        <v/>
      </c>
      <c r="AI3371" s="10">
        <f>LEN(L3371)</f>
        <v/>
      </c>
    </row>
    <row r="3372">
      <c r="J3372" s="12">
        <f>IF(F3372&lt;&gt;0,"LANÇAR","")</f>
        <v/>
      </c>
      <c r="L3372" s="13">
        <f>N3372&amp;O3372&amp;P3372&amp;Q3372&amp;R3372&amp;S3372&amp;T3372&amp;U3372&amp;V3372&amp;W3372&amp;X3372&amp;Y3372&amp;Z3372&amp;AA3372&amp;AB3372&amp;AC3372&amp;AD3372&amp;AE3372&amp;AF3372&amp;AG3372</f>
        <v/>
      </c>
      <c r="N3372" s="10">
        <f>TEXT($B$6,"00")</f>
        <v/>
      </c>
      <c r="O3372" s="10">
        <f>REPT(" ",8)</f>
        <v/>
      </c>
      <c r="P3372" s="10">
        <f>RIGHT($B$4,2)</f>
        <v/>
      </c>
      <c r="Q3372" s="10">
        <f>RIGHT($B$5,3)</f>
        <v/>
      </c>
      <c r="R3372" s="10">
        <f>IF(A3372="D",LEFT(UPPER(B3372)&amp;REPT(" ",20),20),REPT(" ",20))</f>
        <v/>
      </c>
      <c r="S3372" s="10">
        <f>IF(A3372="D",LEFT(UPPER(C3372)&amp;REPT(" ",10),10)," ")</f>
        <v/>
      </c>
      <c r="T3372" s="10">
        <f>IF(A3372="D",LEFT(UPPER(D3372)&amp;REPT(" ",2),2)," ")</f>
        <v/>
      </c>
      <c r="U3372" s="10">
        <f>IF(A3372="D",LEFT(UPPER(E3372)&amp;REPT(" ",15),15)," ")</f>
        <v/>
      </c>
      <c r="V3372" s="10">
        <f>REPT(" ",24)</f>
        <v/>
      </c>
      <c r="W3372" s="10">
        <f>IF(A3372="c",LEFT(UPPER(B3372)&amp;REPT(" ",20),20),REPT(" ",20))</f>
        <v/>
      </c>
      <c r="X3372" s="10">
        <f>IF(A3372="C",LEFT(UPPER(C3372)&amp;REPT(" ",10),10)," ")</f>
        <v/>
      </c>
      <c r="Y3372" s="10">
        <f>IF(A3372="C",LEFT(UPPER(D3372)&amp;REPT(" ",2),2)," ")</f>
        <v/>
      </c>
      <c r="Z3372" s="10">
        <f>IF(A3372="C",LEFT(UPPER(E3372)&amp;REPT(" ",15),15)," ")</f>
        <v/>
      </c>
      <c r="AA3372" s="10">
        <f>REPT(" ",8)</f>
        <v/>
      </c>
      <c r="AB3372" s="10">
        <f>REPT(" ",4)</f>
        <v/>
      </c>
      <c r="AC3372" s="10">
        <f>LEFT(UPPER(H3372)&amp;REPT(" ",250),250)</f>
        <v/>
      </c>
      <c r="AD3372" s="10">
        <f>TEXT($G$2,"dd/mm/aaaa")</f>
        <v/>
      </c>
      <c r="AE3372" s="10">
        <f>REPT(" ",10)</f>
        <v/>
      </c>
      <c r="AF3372" s="10">
        <f>REPT(" ",20)</f>
        <v/>
      </c>
      <c r="AG3372" s="54">
        <f>REPT(" ",18-LEN(FIXED(F3372,2,TRUE)))&amp;FIXED(F3372,2,TRUE)</f>
        <v/>
      </c>
      <c r="AH3372" s="10">
        <f>LEN(AC3372)+LEN(AG3372)</f>
        <v/>
      </c>
      <c r="AI3372" s="10">
        <f>LEN(L3372)</f>
        <v/>
      </c>
    </row>
    <row r="3373">
      <c r="J3373" s="12">
        <f>IF(F3373&lt;&gt;0,"LANÇAR","")</f>
        <v/>
      </c>
      <c r="L3373" s="13">
        <f>N3373&amp;O3373&amp;P3373&amp;Q3373&amp;R3373&amp;S3373&amp;T3373&amp;U3373&amp;V3373&amp;W3373&amp;X3373&amp;Y3373&amp;Z3373&amp;AA3373&amp;AB3373&amp;AC3373&amp;AD3373&amp;AE3373&amp;AF3373&amp;AG3373</f>
        <v/>
      </c>
      <c r="N3373" s="10">
        <f>TEXT($B$6,"00")</f>
        <v/>
      </c>
      <c r="O3373" s="10">
        <f>REPT(" ",8)</f>
        <v/>
      </c>
      <c r="P3373" s="10">
        <f>RIGHT($B$4,2)</f>
        <v/>
      </c>
      <c r="Q3373" s="10">
        <f>RIGHT($B$5,3)</f>
        <v/>
      </c>
      <c r="R3373" s="10">
        <f>IF(A3373="D",LEFT(UPPER(B3373)&amp;REPT(" ",20),20),REPT(" ",20))</f>
        <v/>
      </c>
      <c r="S3373" s="10">
        <f>IF(A3373="D",LEFT(UPPER(C3373)&amp;REPT(" ",10),10)," ")</f>
        <v/>
      </c>
      <c r="T3373" s="10">
        <f>IF(A3373="D",LEFT(UPPER(D3373)&amp;REPT(" ",2),2)," ")</f>
        <v/>
      </c>
      <c r="U3373" s="10">
        <f>IF(A3373="D",LEFT(UPPER(E3373)&amp;REPT(" ",15),15)," ")</f>
        <v/>
      </c>
      <c r="V3373" s="10">
        <f>REPT(" ",24)</f>
        <v/>
      </c>
      <c r="W3373" s="10">
        <f>IF(A3373="c",LEFT(UPPER(B3373)&amp;REPT(" ",20),20),REPT(" ",20))</f>
        <v/>
      </c>
      <c r="X3373" s="10">
        <f>IF(A3373="C",LEFT(UPPER(C3373)&amp;REPT(" ",10),10)," ")</f>
        <v/>
      </c>
      <c r="Y3373" s="10">
        <f>IF(A3373="C",LEFT(UPPER(D3373)&amp;REPT(" ",2),2)," ")</f>
        <v/>
      </c>
      <c r="Z3373" s="10">
        <f>IF(A3373="C",LEFT(UPPER(E3373)&amp;REPT(" ",15),15)," ")</f>
        <v/>
      </c>
      <c r="AA3373" s="10">
        <f>REPT(" ",8)</f>
        <v/>
      </c>
      <c r="AB3373" s="10">
        <f>REPT(" ",4)</f>
        <v/>
      </c>
      <c r="AC3373" s="10">
        <f>LEFT(UPPER(H3373)&amp;REPT(" ",250),250)</f>
        <v/>
      </c>
      <c r="AD3373" s="10">
        <f>TEXT($G$2,"dd/mm/aaaa")</f>
        <v/>
      </c>
      <c r="AE3373" s="10">
        <f>REPT(" ",10)</f>
        <v/>
      </c>
      <c r="AF3373" s="10">
        <f>REPT(" ",20)</f>
        <v/>
      </c>
      <c r="AG3373" s="54">
        <f>REPT(" ",18-LEN(FIXED(F3373,2,TRUE)))&amp;FIXED(F3373,2,TRUE)</f>
        <v/>
      </c>
      <c r="AH3373" s="10">
        <f>LEN(AC3373)+LEN(AG3373)</f>
        <v/>
      </c>
      <c r="AI3373" s="10">
        <f>LEN(L3373)</f>
        <v/>
      </c>
    </row>
    <row r="3374">
      <c r="J3374" s="12">
        <f>IF(F3374&lt;&gt;0,"LANÇAR","")</f>
        <v/>
      </c>
      <c r="L3374" s="13">
        <f>N3374&amp;O3374&amp;P3374&amp;Q3374&amp;R3374&amp;S3374&amp;T3374&amp;U3374&amp;V3374&amp;W3374&amp;X3374&amp;Y3374&amp;Z3374&amp;AA3374&amp;AB3374&amp;AC3374&amp;AD3374&amp;AE3374&amp;AF3374&amp;AG3374</f>
        <v/>
      </c>
      <c r="N3374" s="10">
        <f>TEXT($B$6,"00")</f>
        <v/>
      </c>
      <c r="O3374" s="10">
        <f>REPT(" ",8)</f>
        <v/>
      </c>
      <c r="P3374" s="10">
        <f>RIGHT($B$4,2)</f>
        <v/>
      </c>
      <c r="Q3374" s="10">
        <f>RIGHT($B$5,3)</f>
        <v/>
      </c>
      <c r="R3374" s="10">
        <f>IF(A3374="D",LEFT(UPPER(B3374)&amp;REPT(" ",20),20),REPT(" ",20))</f>
        <v/>
      </c>
      <c r="S3374" s="10">
        <f>IF(A3374="D",LEFT(UPPER(C3374)&amp;REPT(" ",10),10)," ")</f>
        <v/>
      </c>
      <c r="T3374" s="10">
        <f>IF(A3374="D",LEFT(UPPER(D3374)&amp;REPT(" ",2),2)," ")</f>
        <v/>
      </c>
      <c r="U3374" s="10">
        <f>IF(A3374="D",LEFT(UPPER(E3374)&amp;REPT(" ",15),15)," ")</f>
        <v/>
      </c>
      <c r="V3374" s="10">
        <f>REPT(" ",24)</f>
        <v/>
      </c>
      <c r="W3374" s="10">
        <f>IF(A3374="c",LEFT(UPPER(B3374)&amp;REPT(" ",20),20),REPT(" ",20))</f>
        <v/>
      </c>
      <c r="X3374" s="10">
        <f>IF(A3374="C",LEFT(UPPER(C3374)&amp;REPT(" ",10),10)," ")</f>
        <v/>
      </c>
      <c r="Y3374" s="10">
        <f>IF(A3374="C",LEFT(UPPER(D3374)&amp;REPT(" ",2),2)," ")</f>
        <v/>
      </c>
      <c r="Z3374" s="10">
        <f>IF(A3374="C",LEFT(UPPER(E3374)&amp;REPT(" ",15),15)," ")</f>
        <v/>
      </c>
      <c r="AA3374" s="10">
        <f>REPT(" ",8)</f>
        <v/>
      </c>
      <c r="AB3374" s="10">
        <f>REPT(" ",4)</f>
        <v/>
      </c>
      <c r="AC3374" s="10">
        <f>LEFT(UPPER(H3374)&amp;REPT(" ",250),250)</f>
        <v/>
      </c>
      <c r="AD3374" s="10">
        <f>TEXT($G$2,"dd/mm/aaaa")</f>
        <v/>
      </c>
      <c r="AE3374" s="10">
        <f>REPT(" ",10)</f>
        <v/>
      </c>
      <c r="AF3374" s="10">
        <f>REPT(" ",20)</f>
        <v/>
      </c>
      <c r="AG3374" s="54">
        <f>REPT(" ",18-LEN(FIXED(F3374,2,TRUE)))&amp;FIXED(F3374,2,TRUE)</f>
        <v/>
      </c>
      <c r="AH3374" s="10">
        <f>LEN(AC3374)+LEN(AG3374)</f>
        <v/>
      </c>
      <c r="AI3374" s="10">
        <f>LEN(L3374)</f>
        <v/>
      </c>
    </row>
    <row r="3375">
      <c r="J3375" s="12">
        <f>IF(F3375&lt;&gt;0,"LANÇAR","")</f>
        <v/>
      </c>
      <c r="L3375" s="13">
        <f>N3375&amp;O3375&amp;P3375&amp;Q3375&amp;R3375&amp;S3375&amp;T3375&amp;U3375&amp;V3375&amp;W3375&amp;X3375&amp;Y3375&amp;Z3375&amp;AA3375&amp;AB3375&amp;AC3375&amp;AD3375&amp;AE3375&amp;AF3375&amp;AG3375</f>
        <v/>
      </c>
      <c r="N3375" s="10">
        <f>TEXT($B$6,"00")</f>
        <v/>
      </c>
      <c r="O3375" s="10">
        <f>REPT(" ",8)</f>
        <v/>
      </c>
      <c r="P3375" s="10">
        <f>RIGHT($B$4,2)</f>
        <v/>
      </c>
      <c r="Q3375" s="10">
        <f>RIGHT($B$5,3)</f>
        <v/>
      </c>
      <c r="R3375" s="10">
        <f>IF(A3375="D",LEFT(UPPER(B3375)&amp;REPT(" ",20),20),REPT(" ",20))</f>
        <v/>
      </c>
      <c r="S3375" s="10">
        <f>IF(A3375="D",LEFT(UPPER(C3375)&amp;REPT(" ",10),10)," ")</f>
        <v/>
      </c>
      <c r="T3375" s="10">
        <f>IF(A3375="D",LEFT(UPPER(D3375)&amp;REPT(" ",2),2)," ")</f>
        <v/>
      </c>
      <c r="U3375" s="10">
        <f>IF(A3375="D",LEFT(UPPER(E3375)&amp;REPT(" ",15),15)," ")</f>
        <v/>
      </c>
      <c r="V3375" s="10">
        <f>REPT(" ",24)</f>
        <v/>
      </c>
      <c r="W3375" s="10">
        <f>IF(A3375="c",LEFT(UPPER(B3375)&amp;REPT(" ",20),20),REPT(" ",20))</f>
        <v/>
      </c>
      <c r="X3375" s="10">
        <f>IF(A3375="C",LEFT(UPPER(C3375)&amp;REPT(" ",10),10)," ")</f>
        <v/>
      </c>
      <c r="Y3375" s="10">
        <f>IF(A3375="C",LEFT(UPPER(D3375)&amp;REPT(" ",2),2)," ")</f>
        <v/>
      </c>
      <c r="Z3375" s="10">
        <f>IF(A3375="C",LEFT(UPPER(E3375)&amp;REPT(" ",15),15)," ")</f>
        <v/>
      </c>
      <c r="AA3375" s="10">
        <f>REPT(" ",8)</f>
        <v/>
      </c>
      <c r="AB3375" s="10">
        <f>REPT(" ",4)</f>
        <v/>
      </c>
      <c r="AC3375" s="10">
        <f>LEFT(UPPER(H3375)&amp;REPT(" ",250),250)</f>
        <v/>
      </c>
      <c r="AD3375" s="10">
        <f>TEXT($G$2,"dd/mm/aaaa")</f>
        <v/>
      </c>
      <c r="AE3375" s="10">
        <f>REPT(" ",10)</f>
        <v/>
      </c>
      <c r="AF3375" s="10">
        <f>REPT(" ",20)</f>
        <v/>
      </c>
      <c r="AG3375" s="54">
        <f>REPT(" ",18-LEN(FIXED(F3375,2,TRUE)))&amp;FIXED(F3375,2,TRUE)</f>
        <v/>
      </c>
      <c r="AH3375" s="10">
        <f>LEN(AC3375)+LEN(AG3375)</f>
        <v/>
      </c>
      <c r="AI3375" s="10">
        <f>LEN(L3375)</f>
        <v/>
      </c>
    </row>
    <row r="3376">
      <c r="J3376" s="12">
        <f>IF(F3376&lt;&gt;0,"LANÇAR","")</f>
        <v/>
      </c>
      <c r="L3376" s="13">
        <f>N3376&amp;O3376&amp;P3376&amp;Q3376&amp;R3376&amp;S3376&amp;T3376&amp;U3376&amp;V3376&amp;W3376&amp;X3376&amp;Y3376&amp;Z3376&amp;AA3376&amp;AB3376&amp;AC3376&amp;AD3376&amp;AE3376&amp;AF3376&amp;AG3376</f>
        <v/>
      </c>
      <c r="N3376" s="10">
        <f>TEXT($B$6,"00")</f>
        <v/>
      </c>
      <c r="O3376" s="10">
        <f>REPT(" ",8)</f>
        <v/>
      </c>
      <c r="P3376" s="10">
        <f>RIGHT($B$4,2)</f>
        <v/>
      </c>
      <c r="Q3376" s="10">
        <f>RIGHT($B$5,3)</f>
        <v/>
      </c>
      <c r="R3376" s="10">
        <f>IF(A3376="D",LEFT(UPPER(B3376)&amp;REPT(" ",20),20),REPT(" ",20))</f>
        <v/>
      </c>
      <c r="S3376" s="10">
        <f>IF(A3376="D",LEFT(UPPER(C3376)&amp;REPT(" ",10),10)," ")</f>
        <v/>
      </c>
      <c r="T3376" s="10">
        <f>IF(A3376="D",LEFT(UPPER(D3376)&amp;REPT(" ",2),2)," ")</f>
        <v/>
      </c>
      <c r="U3376" s="10">
        <f>IF(A3376="D",LEFT(UPPER(E3376)&amp;REPT(" ",15),15)," ")</f>
        <v/>
      </c>
      <c r="V3376" s="10">
        <f>REPT(" ",24)</f>
        <v/>
      </c>
      <c r="W3376" s="10">
        <f>IF(A3376="c",LEFT(UPPER(B3376)&amp;REPT(" ",20),20),REPT(" ",20))</f>
        <v/>
      </c>
      <c r="X3376" s="10">
        <f>IF(A3376="C",LEFT(UPPER(C3376)&amp;REPT(" ",10),10)," ")</f>
        <v/>
      </c>
      <c r="Y3376" s="10">
        <f>IF(A3376="C",LEFT(UPPER(D3376)&amp;REPT(" ",2),2)," ")</f>
        <v/>
      </c>
      <c r="Z3376" s="10">
        <f>IF(A3376="C",LEFT(UPPER(E3376)&amp;REPT(" ",15),15)," ")</f>
        <v/>
      </c>
      <c r="AA3376" s="10">
        <f>REPT(" ",8)</f>
        <v/>
      </c>
      <c r="AB3376" s="10">
        <f>REPT(" ",4)</f>
        <v/>
      </c>
      <c r="AC3376" s="10">
        <f>LEFT(UPPER(H3376)&amp;REPT(" ",250),250)</f>
        <v/>
      </c>
      <c r="AD3376" s="10">
        <f>TEXT($G$2,"dd/mm/aaaa")</f>
        <v/>
      </c>
      <c r="AE3376" s="10">
        <f>REPT(" ",10)</f>
        <v/>
      </c>
      <c r="AF3376" s="10">
        <f>REPT(" ",20)</f>
        <v/>
      </c>
      <c r="AG3376" s="54">
        <f>REPT(" ",18-LEN(FIXED(F3376,2,TRUE)))&amp;FIXED(F3376,2,TRUE)</f>
        <v/>
      </c>
      <c r="AH3376" s="10">
        <f>LEN(AC3376)+LEN(AG3376)</f>
        <v/>
      </c>
      <c r="AI3376" s="10">
        <f>LEN(L3376)</f>
        <v/>
      </c>
    </row>
    <row r="3377">
      <c r="J3377" s="12">
        <f>IF(F3377&lt;&gt;0,"LANÇAR","")</f>
        <v/>
      </c>
      <c r="L3377" s="13">
        <f>N3377&amp;O3377&amp;P3377&amp;Q3377&amp;R3377&amp;S3377&amp;T3377&amp;U3377&amp;V3377&amp;W3377&amp;X3377&amp;Y3377&amp;Z3377&amp;AA3377&amp;AB3377&amp;AC3377&amp;AD3377&amp;AE3377&amp;AF3377&amp;AG3377</f>
        <v/>
      </c>
      <c r="N3377" s="10">
        <f>TEXT($B$6,"00")</f>
        <v/>
      </c>
      <c r="O3377" s="10">
        <f>REPT(" ",8)</f>
        <v/>
      </c>
      <c r="P3377" s="10">
        <f>RIGHT($B$4,2)</f>
        <v/>
      </c>
      <c r="Q3377" s="10">
        <f>RIGHT($B$5,3)</f>
        <v/>
      </c>
      <c r="R3377" s="10">
        <f>IF(A3377="D",LEFT(UPPER(B3377)&amp;REPT(" ",20),20),REPT(" ",20))</f>
        <v/>
      </c>
      <c r="S3377" s="10">
        <f>IF(A3377="D",LEFT(UPPER(C3377)&amp;REPT(" ",10),10)," ")</f>
        <v/>
      </c>
      <c r="T3377" s="10">
        <f>IF(A3377="D",LEFT(UPPER(D3377)&amp;REPT(" ",2),2)," ")</f>
        <v/>
      </c>
      <c r="U3377" s="10">
        <f>IF(A3377="D",LEFT(UPPER(E3377)&amp;REPT(" ",15),15)," ")</f>
        <v/>
      </c>
      <c r="V3377" s="10">
        <f>REPT(" ",24)</f>
        <v/>
      </c>
      <c r="W3377" s="10">
        <f>IF(A3377="c",LEFT(UPPER(B3377)&amp;REPT(" ",20),20),REPT(" ",20))</f>
        <v/>
      </c>
      <c r="X3377" s="10">
        <f>IF(A3377="C",LEFT(UPPER(C3377)&amp;REPT(" ",10),10)," ")</f>
        <v/>
      </c>
      <c r="Y3377" s="10">
        <f>IF(A3377="C",LEFT(UPPER(D3377)&amp;REPT(" ",2),2)," ")</f>
        <v/>
      </c>
      <c r="Z3377" s="10">
        <f>IF(A3377="C",LEFT(UPPER(E3377)&amp;REPT(" ",15),15)," ")</f>
        <v/>
      </c>
      <c r="AA3377" s="10">
        <f>REPT(" ",8)</f>
        <v/>
      </c>
      <c r="AB3377" s="10">
        <f>REPT(" ",4)</f>
        <v/>
      </c>
      <c r="AC3377" s="10">
        <f>LEFT(UPPER(H3377)&amp;REPT(" ",250),250)</f>
        <v/>
      </c>
      <c r="AD3377" s="10">
        <f>TEXT($G$2,"dd/mm/aaaa")</f>
        <v/>
      </c>
      <c r="AE3377" s="10">
        <f>REPT(" ",10)</f>
        <v/>
      </c>
      <c r="AF3377" s="10">
        <f>REPT(" ",20)</f>
        <v/>
      </c>
      <c r="AG3377" s="54">
        <f>REPT(" ",18-LEN(FIXED(F3377,2,TRUE)))&amp;FIXED(F3377,2,TRUE)</f>
        <v/>
      </c>
      <c r="AH3377" s="10">
        <f>LEN(AC3377)+LEN(AG3377)</f>
        <v/>
      </c>
      <c r="AI3377" s="10">
        <f>LEN(L3377)</f>
        <v/>
      </c>
    </row>
    <row r="3378">
      <c r="J3378" s="12">
        <f>IF(F3378&lt;&gt;0,"LANÇAR","")</f>
        <v/>
      </c>
      <c r="L3378" s="13">
        <f>N3378&amp;O3378&amp;P3378&amp;Q3378&amp;R3378&amp;S3378&amp;T3378&amp;U3378&amp;V3378&amp;W3378&amp;X3378&amp;Y3378&amp;Z3378&amp;AA3378&amp;AB3378&amp;AC3378&amp;AD3378&amp;AE3378&amp;AF3378&amp;AG3378</f>
        <v/>
      </c>
      <c r="N3378" s="10">
        <f>TEXT($B$6,"00")</f>
        <v/>
      </c>
      <c r="O3378" s="10">
        <f>REPT(" ",8)</f>
        <v/>
      </c>
      <c r="P3378" s="10">
        <f>RIGHT($B$4,2)</f>
        <v/>
      </c>
      <c r="Q3378" s="10">
        <f>RIGHT($B$5,3)</f>
        <v/>
      </c>
      <c r="R3378" s="10">
        <f>IF(A3378="D",LEFT(UPPER(B3378)&amp;REPT(" ",20),20),REPT(" ",20))</f>
        <v/>
      </c>
      <c r="S3378" s="10">
        <f>IF(A3378="D",LEFT(UPPER(C3378)&amp;REPT(" ",10),10)," ")</f>
        <v/>
      </c>
      <c r="T3378" s="10">
        <f>IF(A3378="D",LEFT(UPPER(D3378)&amp;REPT(" ",2),2)," ")</f>
        <v/>
      </c>
      <c r="U3378" s="10">
        <f>IF(A3378="D",LEFT(UPPER(E3378)&amp;REPT(" ",15),15)," ")</f>
        <v/>
      </c>
      <c r="V3378" s="10">
        <f>REPT(" ",24)</f>
        <v/>
      </c>
      <c r="W3378" s="10">
        <f>IF(A3378="c",LEFT(UPPER(B3378)&amp;REPT(" ",20),20),REPT(" ",20))</f>
        <v/>
      </c>
      <c r="X3378" s="10">
        <f>IF(A3378="C",LEFT(UPPER(C3378)&amp;REPT(" ",10),10)," ")</f>
        <v/>
      </c>
      <c r="Y3378" s="10">
        <f>IF(A3378="C",LEFT(UPPER(D3378)&amp;REPT(" ",2),2)," ")</f>
        <v/>
      </c>
      <c r="Z3378" s="10">
        <f>IF(A3378="C",LEFT(UPPER(E3378)&amp;REPT(" ",15),15)," ")</f>
        <v/>
      </c>
      <c r="AA3378" s="10">
        <f>REPT(" ",8)</f>
        <v/>
      </c>
      <c r="AB3378" s="10">
        <f>REPT(" ",4)</f>
        <v/>
      </c>
      <c r="AC3378" s="10">
        <f>LEFT(UPPER(H3378)&amp;REPT(" ",250),250)</f>
        <v/>
      </c>
      <c r="AD3378" s="10">
        <f>TEXT($G$2,"dd/mm/aaaa")</f>
        <v/>
      </c>
      <c r="AE3378" s="10">
        <f>REPT(" ",10)</f>
        <v/>
      </c>
      <c r="AF3378" s="10">
        <f>REPT(" ",20)</f>
        <v/>
      </c>
      <c r="AG3378" s="54">
        <f>REPT(" ",18-LEN(FIXED(F3378,2,TRUE)))&amp;FIXED(F3378,2,TRUE)</f>
        <v/>
      </c>
      <c r="AH3378" s="10">
        <f>LEN(AC3378)+LEN(AG3378)</f>
        <v/>
      </c>
      <c r="AI3378" s="10">
        <f>LEN(L3378)</f>
        <v/>
      </c>
    </row>
    <row r="3379">
      <c r="J3379" s="12">
        <f>IF(F3379&lt;&gt;0,"LANÇAR","")</f>
        <v/>
      </c>
      <c r="L3379" s="13">
        <f>N3379&amp;O3379&amp;P3379&amp;Q3379&amp;R3379&amp;S3379&amp;T3379&amp;U3379&amp;V3379&amp;W3379&amp;X3379&amp;Y3379&amp;Z3379&amp;AA3379&amp;AB3379&amp;AC3379&amp;AD3379&amp;AE3379&amp;AF3379&amp;AG3379</f>
        <v/>
      </c>
      <c r="N3379" s="10">
        <f>TEXT($B$6,"00")</f>
        <v/>
      </c>
      <c r="O3379" s="10">
        <f>REPT(" ",8)</f>
        <v/>
      </c>
      <c r="P3379" s="10">
        <f>RIGHT($B$4,2)</f>
        <v/>
      </c>
      <c r="Q3379" s="10">
        <f>RIGHT($B$5,3)</f>
        <v/>
      </c>
      <c r="R3379" s="10">
        <f>IF(A3379="D",LEFT(UPPER(B3379)&amp;REPT(" ",20),20),REPT(" ",20))</f>
        <v/>
      </c>
      <c r="S3379" s="10">
        <f>IF(A3379="D",LEFT(UPPER(C3379)&amp;REPT(" ",10),10)," ")</f>
        <v/>
      </c>
      <c r="T3379" s="10">
        <f>IF(A3379="D",LEFT(UPPER(D3379)&amp;REPT(" ",2),2)," ")</f>
        <v/>
      </c>
      <c r="U3379" s="10">
        <f>IF(A3379="D",LEFT(UPPER(E3379)&amp;REPT(" ",15),15)," ")</f>
        <v/>
      </c>
      <c r="V3379" s="10">
        <f>REPT(" ",24)</f>
        <v/>
      </c>
      <c r="W3379" s="10">
        <f>IF(A3379="c",LEFT(UPPER(B3379)&amp;REPT(" ",20),20),REPT(" ",20))</f>
        <v/>
      </c>
      <c r="X3379" s="10">
        <f>IF(A3379="C",LEFT(UPPER(C3379)&amp;REPT(" ",10),10)," ")</f>
        <v/>
      </c>
      <c r="Y3379" s="10">
        <f>IF(A3379="C",LEFT(UPPER(D3379)&amp;REPT(" ",2),2)," ")</f>
        <v/>
      </c>
      <c r="Z3379" s="10">
        <f>IF(A3379="C",LEFT(UPPER(E3379)&amp;REPT(" ",15),15)," ")</f>
        <v/>
      </c>
      <c r="AA3379" s="10">
        <f>REPT(" ",8)</f>
        <v/>
      </c>
      <c r="AB3379" s="10">
        <f>REPT(" ",4)</f>
        <v/>
      </c>
      <c r="AC3379" s="10">
        <f>LEFT(UPPER(H3379)&amp;REPT(" ",250),250)</f>
        <v/>
      </c>
      <c r="AD3379" s="10">
        <f>TEXT($G$2,"dd/mm/aaaa")</f>
        <v/>
      </c>
      <c r="AE3379" s="10">
        <f>REPT(" ",10)</f>
        <v/>
      </c>
      <c r="AF3379" s="10">
        <f>REPT(" ",20)</f>
        <v/>
      </c>
      <c r="AG3379" s="54">
        <f>REPT(" ",18-LEN(FIXED(F3379,2,TRUE)))&amp;FIXED(F3379,2,TRUE)</f>
        <v/>
      </c>
      <c r="AH3379" s="10">
        <f>LEN(AC3379)+LEN(AG3379)</f>
        <v/>
      </c>
      <c r="AI3379" s="10">
        <f>LEN(L3379)</f>
        <v/>
      </c>
    </row>
    <row r="3380">
      <c r="J3380" s="12">
        <f>IF(F3380&lt;&gt;0,"LANÇAR","")</f>
        <v/>
      </c>
      <c r="L3380" s="13">
        <f>N3380&amp;O3380&amp;P3380&amp;Q3380&amp;R3380&amp;S3380&amp;T3380&amp;U3380&amp;V3380&amp;W3380&amp;X3380&amp;Y3380&amp;Z3380&amp;AA3380&amp;AB3380&amp;AC3380&amp;AD3380&amp;AE3380&amp;AF3380&amp;AG3380</f>
        <v/>
      </c>
      <c r="N3380" s="10">
        <f>TEXT($B$6,"00")</f>
        <v/>
      </c>
      <c r="O3380" s="10">
        <f>REPT(" ",8)</f>
        <v/>
      </c>
      <c r="P3380" s="10">
        <f>RIGHT($B$4,2)</f>
        <v/>
      </c>
      <c r="Q3380" s="10">
        <f>RIGHT($B$5,3)</f>
        <v/>
      </c>
      <c r="R3380" s="10">
        <f>IF(A3380="D",LEFT(UPPER(B3380)&amp;REPT(" ",20),20),REPT(" ",20))</f>
        <v/>
      </c>
      <c r="S3380" s="10">
        <f>IF(A3380="D",LEFT(UPPER(C3380)&amp;REPT(" ",10),10)," ")</f>
        <v/>
      </c>
      <c r="T3380" s="10">
        <f>IF(A3380="D",LEFT(UPPER(D3380)&amp;REPT(" ",2),2)," ")</f>
        <v/>
      </c>
      <c r="U3380" s="10">
        <f>IF(A3380="D",LEFT(UPPER(E3380)&amp;REPT(" ",15),15)," ")</f>
        <v/>
      </c>
      <c r="V3380" s="10">
        <f>REPT(" ",24)</f>
        <v/>
      </c>
      <c r="W3380" s="10">
        <f>IF(A3380="c",LEFT(UPPER(B3380)&amp;REPT(" ",20),20),REPT(" ",20))</f>
        <v/>
      </c>
      <c r="X3380" s="10">
        <f>IF(A3380="C",LEFT(UPPER(C3380)&amp;REPT(" ",10),10)," ")</f>
        <v/>
      </c>
      <c r="Y3380" s="10">
        <f>IF(A3380="C",LEFT(UPPER(D3380)&amp;REPT(" ",2),2)," ")</f>
        <v/>
      </c>
      <c r="Z3380" s="10">
        <f>IF(A3380="C",LEFT(UPPER(E3380)&amp;REPT(" ",15),15)," ")</f>
        <v/>
      </c>
      <c r="AA3380" s="10">
        <f>REPT(" ",8)</f>
        <v/>
      </c>
      <c r="AB3380" s="10">
        <f>REPT(" ",4)</f>
        <v/>
      </c>
      <c r="AC3380" s="10">
        <f>LEFT(UPPER(H3380)&amp;REPT(" ",250),250)</f>
        <v/>
      </c>
      <c r="AD3380" s="10">
        <f>TEXT($G$2,"dd/mm/aaaa")</f>
        <v/>
      </c>
      <c r="AE3380" s="10">
        <f>REPT(" ",10)</f>
        <v/>
      </c>
      <c r="AF3380" s="10">
        <f>REPT(" ",20)</f>
        <v/>
      </c>
      <c r="AG3380" s="54">
        <f>REPT(" ",18-LEN(FIXED(F3380,2,TRUE)))&amp;FIXED(F3380,2,TRUE)</f>
        <v/>
      </c>
      <c r="AH3380" s="10">
        <f>LEN(AC3380)+LEN(AG3380)</f>
        <v/>
      </c>
      <c r="AI3380" s="10">
        <f>LEN(L3380)</f>
        <v/>
      </c>
    </row>
    <row r="3381">
      <c r="J3381" s="12">
        <f>IF(F3381&lt;&gt;0,"LANÇAR","")</f>
        <v/>
      </c>
      <c r="L3381" s="13">
        <f>N3381&amp;O3381&amp;P3381&amp;Q3381&amp;R3381&amp;S3381&amp;T3381&amp;U3381&amp;V3381&amp;W3381&amp;X3381&amp;Y3381&amp;Z3381&amp;AA3381&amp;AB3381&amp;AC3381&amp;AD3381&amp;AE3381&amp;AF3381&amp;AG3381</f>
        <v/>
      </c>
      <c r="N3381" s="10">
        <f>TEXT($B$6,"00")</f>
        <v/>
      </c>
      <c r="O3381" s="10">
        <f>REPT(" ",8)</f>
        <v/>
      </c>
      <c r="P3381" s="10">
        <f>RIGHT($B$4,2)</f>
        <v/>
      </c>
      <c r="Q3381" s="10">
        <f>RIGHT($B$5,3)</f>
        <v/>
      </c>
      <c r="R3381" s="10">
        <f>IF(A3381="D",LEFT(UPPER(B3381)&amp;REPT(" ",20),20),REPT(" ",20))</f>
        <v/>
      </c>
      <c r="S3381" s="10">
        <f>IF(A3381="D",LEFT(UPPER(C3381)&amp;REPT(" ",10),10)," ")</f>
        <v/>
      </c>
      <c r="T3381" s="10">
        <f>IF(A3381="D",LEFT(UPPER(D3381)&amp;REPT(" ",2),2)," ")</f>
        <v/>
      </c>
      <c r="U3381" s="10">
        <f>IF(A3381="D",LEFT(UPPER(E3381)&amp;REPT(" ",15),15)," ")</f>
        <v/>
      </c>
      <c r="V3381" s="10">
        <f>REPT(" ",24)</f>
        <v/>
      </c>
      <c r="W3381" s="10">
        <f>IF(A3381="c",LEFT(UPPER(B3381)&amp;REPT(" ",20),20),REPT(" ",20))</f>
        <v/>
      </c>
      <c r="X3381" s="10">
        <f>IF(A3381="C",LEFT(UPPER(C3381)&amp;REPT(" ",10),10)," ")</f>
        <v/>
      </c>
      <c r="Y3381" s="10">
        <f>IF(A3381="C",LEFT(UPPER(D3381)&amp;REPT(" ",2),2)," ")</f>
        <v/>
      </c>
      <c r="Z3381" s="10">
        <f>IF(A3381="C",LEFT(UPPER(E3381)&amp;REPT(" ",15),15)," ")</f>
        <v/>
      </c>
      <c r="AA3381" s="10">
        <f>REPT(" ",8)</f>
        <v/>
      </c>
      <c r="AB3381" s="10">
        <f>REPT(" ",4)</f>
        <v/>
      </c>
      <c r="AC3381" s="10">
        <f>LEFT(UPPER(H3381)&amp;REPT(" ",250),250)</f>
        <v/>
      </c>
      <c r="AD3381" s="10">
        <f>TEXT($G$2,"dd/mm/aaaa")</f>
        <v/>
      </c>
      <c r="AE3381" s="10">
        <f>REPT(" ",10)</f>
        <v/>
      </c>
      <c r="AF3381" s="10">
        <f>REPT(" ",20)</f>
        <v/>
      </c>
      <c r="AG3381" s="54">
        <f>REPT(" ",18-LEN(FIXED(F3381,2,TRUE)))&amp;FIXED(F3381,2,TRUE)</f>
        <v/>
      </c>
      <c r="AH3381" s="10">
        <f>LEN(AC3381)+LEN(AG3381)</f>
        <v/>
      </c>
      <c r="AI3381" s="10">
        <f>LEN(L3381)</f>
        <v/>
      </c>
    </row>
    <row r="3382">
      <c r="J3382" s="12">
        <f>IF(F3382&lt;&gt;0,"LANÇAR","")</f>
        <v/>
      </c>
      <c r="L3382" s="13">
        <f>N3382&amp;O3382&amp;P3382&amp;Q3382&amp;R3382&amp;S3382&amp;T3382&amp;U3382&amp;V3382&amp;W3382&amp;X3382&amp;Y3382&amp;Z3382&amp;AA3382&amp;AB3382&amp;AC3382&amp;AD3382&amp;AE3382&amp;AF3382&amp;AG3382</f>
        <v/>
      </c>
      <c r="N3382" s="10">
        <f>TEXT($B$6,"00")</f>
        <v/>
      </c>
      <c r="O3382" s="10">
        <f>REPT(" ",8)</f>
        <v/>
      </c>
      <c r="P3382" s="10">
        <f>RIGHT($B$4,2)</f>
        <v/>
      </c>
      <c r="Q3382" s="10">
        <f>RIGHT($B$5,3)</f>
        <v/>
      </c>
      <c r="R3382" s="10">
        <f>IF(A3382="D",LEFT(UPPER(B3382)&amp;REPT(" ",20),20),REPT(" ",20))</f>
        <v/>
      </c>
      <c r="S3382" s="10">
        <f>IF(A3382="D",LEFT(UPPER(C3382)&amp;REPT(" ",10),10)," ")</f>
        <v/>
      </c>
      <c r="T3382" s="10">
        <f>IF(A3382="D",LEFT(UPPER(D3382)&amp;REPT(" ",2),2)," ")</f>
        <v/>
      </c>
      <c r="U3382" s="10">
        <f>IF(A3382="D",LEFT(UPPER(E3382)&amp;REPT(" ",15),15)," ")</f>
        <v/>
      </c>
      <c r="V3382" s="10">
        <f>REPT(" ",24)</f>
        <v/>
      </c>
      <c r="W3382" s="10">
        <f>IF(A3382="c",LEFT(UPPER(B3382)&amp;REPT(" ",20),20),REPT(" ",20))</f>
        <v/>
      </c>
      <c r="X3382" s="10">
        <f>IF(A3382="C",LEFT(UPPER(C3382)&amp;REPT(" ",10),10)," ")</f>
        <v/>
      </c>
      <c r="Y3382" s="10">
        <f>IF(A3382="C",LEFT(UPPER(D3382)&amp;REPT(" ",2),2)," ")</f>
        <v/>
      </c>
      <c r="Z3382" s="10">
        <f>IF(A3382="C",LEFT(UPPER(E3382)&amp;REPT(" ",15),15)," ")</f>
        <v/>
      </c>
      <c r="AA3382" s="10">
        <f>REPT(" ",8)</f>
        <v/>
      </c>
      <c r="AB3382" s="10">
        <f>REPT(" ",4)</f>
        <v/>
      </c>
      <c r="AC3382" s="10">
        <f>LEFT(UPPER(H3382)&amp;REPT(" ",250),250)</f>
        <v/>
      </c>
      <c r="AD3382" s="10">
        <f>TEXT($G$2,"dd/mm/aaaa")</f>
        <v/>
      </c>
      <c r="AE3382" s="10">
        <f>REPT(" ",10)</f>
        <v/>
      </c>
      <c r="AF3382" s="10">
        <f>REPT(" ",20)</f>
        <v/>
      </c>
      <c r="AG3382" s="54">
        <f>REPT(" ",18-LEN(FIXED(F3382,2,TRUE)))&amp;FIXED(F3382,2,TRUE)</f>
        <v/>
      </c>
      <c r="AH3382" s="10">
        <f>LEN(AC3382)+LEN(AG3382)</f>
        <v/>
      </c>
      <c r="AI3382" s="10">
        <f>LEN(L3382)</f>
        <v/>
      </c>
    </row>
    <row r="3383">
      <c r="J3383" s="12">
        <f>IF(F3383&lt;&gt;0,"LANÇAR","")</f>
        <v/>
      </c>
      <c r="L3383" s="13">
        <f>N3383&amp;O3383&amp;P3383&amp;Q3383&amp;R3383&amp;S3383&amp;T3383&amp;U3383&amp;V3383&amp;W3383&amp;X3383&amp;Y3383&amp;Z3383&amp;AA3383&amp;AB3383&amp;AC3383&amp;AD3383&amp;AE3383&amp;AF3383&amp;AG3383</f>
        <v/>
      </c>
      <c r="N3383" s="10">
        <f>TEXT($B$6,"00")</f>
        <v/>
      </c>
      <c r="O3383" s="10">
        <f>REPT(" ",8)</f>
        <v/>
      </c>
      <c r="P3383" s="10">
        <f>RIGHT($B$4,2)</f>
        <v/>
      </c>
      <c r="Q3383" s="10">
        <f>RIGHT($B$5,3)</f>
        <v/>
      </c>
      <c r="R3383" s="10">
        <f>IF(A3383="D",LEFT(UPPER(B3383)&amp;REPT(" ",20),20),REPT(" ",20))</f>
        <v/>
      </c>
      <c r="S3383" s="10">
        <f>IF(A3383="D",LEFT(UPPER(C3383)&amp;REPT(" ",10),10)," ")</f>
        <v/>
      </c>
      <c r="T3383" s="10">
        <f>IF(A3383="D",LEFT(UPPER(D3383)&amp;REPT(" ",2),2)," ")</f>
        <v/>
      </c>
      <c r="U3383" s="10">
        <f>IF(A3383="D",LEFT(UPPER(E3383)&amp;REPT(" ",15),15)," ")</f>
        <v/>
      </c>
      <c r="V3383" s="10">
        <f>REPT(" ",24)</f>
        <v/>
      </c>
      <c r="W3383" s="10">
        <f>IF(A3383="c",LEFT(UPPER(B3383)&amp;REPT(" ",20),20),REPT(" ",20))</f>
        <v/>
      </c>
      <c r="X3383" s="10">
        <f>IF(A3383="C",LEFT(UPPER(C3383)&amp;REPT(" ",10),10)," ")</f>
        <v/>
      </c>
      <c r="Y3383" s="10">
        <f>IF(A3383="C",LEFT(UPPER(D3383)&amp;REPT(" ",2),2)," ")</f>
        <v/>
      </c>
      <c r="Z3383" s="10">
        <f>IF(A3383="C",LEFT(UPPER(E3383)&amp;REPT(" ",15),15)," ")</f>
        <v/>
      </c>
      <c r="AA3383" s="10">
        <f>REPT(" ",8)</f>
        <v/>
      </c>
      <c r="AB3383" s="10">
        <f>REPT(" ",4)</f>
        <v/>
      </c>
      <c r="AC3383" s="10">
        <f>LEFT(UPPER(H3383)&amp;REPT(" ",250),250)</f>
        <v/>
      </c>
      <c r="AD3383" s="10">
        <f>TEXT($G$2,"dd/mm/aaaa")</f>
        <v/>
      </c>
      <c r="AE3383" s="10">
        <f>REPT(" ",10)</f>
        <v/>
      </c>
      <c r="AF3383" s="10">
        <f>REPT(" ",20)</f>
        <v/>
      </c>
      <c r="AG3383" s="54">
        <f>REPT(" ",18-LEN(FIXED(F3383,2,TRUE)))&amp;FIXED(F3383,2,TRUE)</f>
        <v/>
      </c>
      <c r="AH3383" s="10">
        <f>LEN(AC3383)+LEN(AG3383)</f>
        <v/>
      </c>
      <c r="AI3383" s="10">
        <f>LEN(L3383)</f>
        <v/>
      </c>
    </row>
    <row r="3384">
      <c r="J3384" s="12">
        <f>IF(F3384&lt;&gt;0,"LANÇAR","")</f>
        <v/>
      </c>
      <c r="L3384" s="13">
        <f>N3384&amp;O3384&amp;P3384&amp;Q3384&amp;R3384&amp;S3384&amp;T3384&amp;U3384&amp;V3384&amp;W3384&amp;X3384&amp;Y3384&amp;Z3384&amp;AA3384&amp;AB3384&amp;AC3384&amp;AD3384&amp;AE3384&amp;AF3384&amp;AG3384</f>
        <v/>
      </c>
      <c r="N3384" s="10">
        <f>TEXT($B$6,"00")</f>
        <v/>
      </c>
      <c r="O3384" s="10">
        <f>REPT(" ",8)</f>
        <v/>
      </c>
      <c r="P3384" s="10">
        <f>RIGHT($B$4,2)</f>
        <v/>
      </c>
      <c r="Q3384" s="10">
        <f>RIGHT($B$5,3)</f>
        <v/>
      </c>
      <c r="R3384" s="10">
        <f>IF(A3384="D",LEFT(UPPER(B3384)&amp;REPT(" ",20),20),REPT(" ",20))</f>
        <v/>
      </c>
      <c r="S3384" s="10">
        <f>IF(A3384="D",LEFT(UPPER(C3384)&amp;REPT(" ",10),10)," ")</f>
        <v/>
      </c>
      <c r="T3384" s="10">
        <f>IF(A3384="D",LEFT(UPPER(D3384)&amp;REPT(" ",2),2)," ")</f>
        <v/>
      </c>
      <c r="U3384" s="10">
        <f>IF(A3384="D",LEFT(UPPER(E3384)&amp;REPT(" ",15),15)," ")</f>
        <v/>
      </c>
      <c r="V3384" s="10">
        <f>REPT(" ",24)</f>
        <v/>
      </c>
      <c r="W3384" s="10">
        <f>IF(A3384="c",LEFT(UPPER(B3384)&amp;REPT(" ",20),20),REPT(" ",20))</f>
        <v/>
      </c>
      <c r="X3384" s="10">
        <f>IF(A3384="C",LEFT(UPPER(C3384)&amp;REPT(" ",10),10)," ")</f>
        <v/>
      </c>
      <c r="Y3384" s="10">
        <f>IF(A3384="C",LEFT(UPPER(D3384)&amp;REPT(" ",2),2)," ")</f>
        <v/>
      </c>
      <c r="Z3384" s="10">
        <f>IF(A3384="C",LEFT(UPPER(E3384)&amp;REPT(" ",15),15)," ")</f>
        <v/>
      </c>
      <c r="AA3384" s="10">
        <f>REPT(" ",8)</f>
        <v/>
      </c>
      <c r="AB3384" s="10">
        <f>REPT(" ",4)</f>
        <v/>
      </c>
      <c r="AC3384" s="10">
        <f>LEFT(UPPER(H3384)&amp;REPT(" ",250),250)</f>
        <v/>
      </c>
      <c r="AD3384" s="10">
        <f>TEXT($G$2,"dd/mm/aaaa")</f>
        <v/>
      </c>
      <c r="AE3384" s="10">
        <f>REPT(" ",10)</f>
        <v/>
      </c>
      <c r="AF3384" s="10">
        <f>REPT(" ",20)</f>
        <v/>
      </c>
      <c r="AG3384" s="54">
        <f>REPT(" ",18-LEN(FIXED(F3384,2,TRUE)))&amp;FIXED(F3384,2,TRUE)</f>
        <v/>
      </c>
      <c r="AH3384" s="10">
        <f>LEN(AC3384)+LEN(AG3384)</f>
        <v/>
      </c>
      <c r="AI3384" s="10">
        <f>LEN(L3384)</f>
        <v/>
      </c>
    </row>
    <row r="3385">
      <c r="J3385" s="12">
        <f>IF(F3385&lt;&gt;0,"LANÇAR","")</f>
        <v/>
      </c>
      <c r="L3385" s="13">
        <f>N3385&amp;O3385&amp;P3385&amp;Q3385&amp;R3385&amp;S3385&amp;T3385&amp;U3385&amp;V3385&amp;W3385&amp;X3385&amp;Y3385&amp;Z3385&amp;AA3385&amp;AB3385&amp;AC3385&amp;AD3385&amp;AE3385&amp;AF3385&amp;AG3385</f>
        <v/>
      </c>
      <c r="N3385" s="10">
        <f>TEXT($B$6,"00")</f>
        <v/>
      </c>
      <c r="O3385" s="10">
        <f>REPT(" ",8)</f>
        <v/>
      </c>
      <c r="P3385" s="10">
        <f>RIGHT($B$4,2)</f>
        <v/>
      </c>
      <c r="Q3385" s="10">
        <f>RIGHT($B$5,3)</f>
        <v/>
      </c>
      <c r="R3385" s="10">
        <f>IF(A3385="D",LEFT(UPPER(B3385)&amp;REPT(" ",20),20),REPT(" ",20))</f>
        <v/>
      </c>
      <c r="S3385" s="10">
        <f>IF(A3385="D",LEFT(UPPER(C3385)&amp;REPT(" ",10),10)," ")</f>
        <v/>
      </c>
      <c r="T3385" s="10">
        <f>IF(A3385="D",LEFT(UPPER(D3385)&amp;REPT(" ",2),2)," ")</f>
        <v/>
      </c>
      <c r="U3385" s="10">
        <f>IF(A3385="D",LEFT(UPPER(E3385)&amp;REPT(" ",15),15)," ")</f>
        <v/>
      </c>
      <c r="V3385" s="10">
        <f>REPT(" ",24)</f>
        <v/>
      </c>
      <c r="W3385" s="10">
        <f>IF(A3385="c",LEFT(UPPER(B3385)&amp;REPT(" ",20),20),REPT(" ",20))</f>
        <v/>
      </c>
      <c r="X3385" s="10">
        <f>IF(A3385="C",LEFT(UPPER(C3385)&amp;REPT(" ",10),10)," ")</f>
        <v/>
      </c>
      <c r="Y3385" s="10">
        <f>IF(A3385="C",LEFT(UPPER(D3385)&amp;REPT(" ",2),2)," ")</f>
        <v/>
      </c>
      <c r="Z3385" s="10">
        <f>IF(A3385="C",LEFT(UPPER(E3385)&amp;REPT(" ",15),15)," ")</f>
        <v/>
      </c>
      <c r="AA3385" s="10">
        <f>REPT(" ",8)</f>
        <v/>
      </c>
      <c r="AB3385" s="10">
        <f>REPT(" ",4)</f>
        <v/>
      </c>
      <c r="AC3385" s="10">
        <f>LEFT(UPPER(H3385)&amp;REPT(" ",250),250)</f>
        <v/>
      </c>
      <c r="AD3385" s="10">
        <f>TEXT($G$2,"dd/mm/aaaa")</f>
        <v/>
      </c>
      <c r="AE3385" s="10">
        <f>REPT(" ",10)</f>
        <v/>
      </c>
      <c r="AF3385" s="10">
        <f>REPT(" ",20)</f>
        <v/>
      </c>
      <c r="AG3385" s="54">
        <f>REPT(" ",18-LEN(FIXED(F3385,2,TRUE)))&amp;FIXED(F3385,2,TRUE)</f>
        <v/>
      </c>
      <c r="AH3385" s="10">
        <f>LEN(AC3385)+LEN(AG3385)</f>
        <v/>
      </c>
      <c r="AI3385" s="10">
        <f>LEN(L3385)</f>
        <v/>
      </c>
    </row>
    <row r="3386">
      <c r="J3386" s="12">
        <f>IF(F3386&lt;&gt;0,"LANÇAR","")</f>
        <v/>
      </c>
      <c r="L3386" s="13">
        <f>N3386&amp;O3386&amp;P3386&amp;Q3386&amp;R3386&amp;S3386&amp;T3386&amp;U3386&amp;V3386&amp;W3386&amp;X3386&amp;Y3386&amp;Z3386&amp;AA3386&amp;AB3386&amp;AC3386&amp;AD3386&amp;AE3386&amp;AF3386&amp;AG3386</f>
        <v/>
      </c>
      <c r="N3386" s="10">
        <f>TEXT($B$6,"00")</f>
        <v/>
      </c>
      <c r="O3386" s="10">
        <f>REPT(" ",8)</f>
        <v/>
      </c>
      <c r="P3386" s="10">
        <f>RIGHT($B$4,2)</f>
        <v/>
      </c>
      <c r="Q3386" s="10">
        <f>RIGHT($B$5,3)</f>
        <v/>
      </c>
      <c r="R3386" s="10">
        <f>IF(A3386="D",LEFT(UPPER(B3386)&amp;REPT(" ",20),20),REPT(" ",20))</f>
        <v/>
      </c>
      <c r="S3386" s="10">
        <f>IF(A3386="D",LEFT(UPPER(C3386)&amp;REPT(" ",10),10)," ")</f>
        <v/>
      </c>
      <c r="T3386" s="10">
        <f>IF(A3386="D",LEFT(UPPER(D3386)&amp;REPT(" ",2),2)," ")</f>
        <v/>
      </c>
      <c r="U3386" s="10">
        <f>IF(A3386="D",LEFT(UPPER(E3386)&amp;REPT(" ",15),15)," ")</f>
        <v/>
      </c>
      <c r="V3386" s="10">
        <f>REPT(" ",24)</f>
        <v/>
      </c>
      <c r="W3386" s="10">
        <f>IF(A3386="c",LEFT(UPPER(B3386)&amp;REPT(" ",20),20),REPT(" ",20))</f>
        <v/>
      </c>
      <c r="X3386" s="10">
        <f>IF(A3386="C",LEFT(UPPER(C3386)&amp;REPT(" ",10),10)," ")</f>
        <v/>
      </c>
      <c r="Y3386" s="10">
        <f>IF(A3386="C",LEFT(UPPER(D3386)&amp;REPT(" ",2),2)," ")</f>
        <v/>
      </c>
      <c r="Z3386" s="10">
        <f>IF(A3386="C",LEFT(UPPER(E3386)&amp;REPT(" ",15),15)," ")</f>
        <v/>
      </c>
      <c r="AA3386" s="10">
        <f>REPT(" ",8)</f>
        <v/>
      </c>
      <c r="AB3386" s="10">
        <f>REPT(" ",4)</f>
        <v/>
      </c>
      <c r="AC3386" s="10">
        <f>LEFT(UPPER(H3386)&amp;REPT(" ",250),250)</f>
        <v/>
      </c>
      <c r="AD3386" s="10">
        <f>TEXT($G$2,"dd/mm/aaaa")</f>
        <v/>
      </c>
      <c r="AE3386" s="10">
        <f>REPT(" ",10)</f>
        <v/>
      </c>
      <c r="AF3386" s="10">
        <f>REPT(" ",20)</f>
        <v/>
      </c>
      <c r="AG3386" s="54">
        <f>REPT(" ",18-LEN(FIXED(F3386,2,TRUE)))&amp;FIXED(F3386,2,TRUE)</f>
        <v/>
      </c>
      <c r="AH3386" s="10">
        <f>LEN(AC3386)+LEN(AG3386)</f>
        <v/>
      </c>
      <c r="AI3386" s="10">
        <f>LEN(L3386)</f>
        <v/>
      </c>
    </row>
    <row r="3387">
      <c r="J3387" s="12">
        <f>IF(F3387&lt;&gt;0,"LANÇAR","")</f>
        <v/>
      </c>
      <c r="L3387" s="13">
        <f>N3387&amp;O3387&amp;P3387&amp;Q3387&amp;R3387&amp;S3387&amp;T3387&amp;U3387&amp;V3387&amp;W3387&amp;X3387&amp;Y3387&amp;Z3387&amp;AA3387&amp;AB3387&amp;AC3387&amp;AD3387&amp;AE3387&amp;AF3387&amp;AG3387</f>
        <v/>
      </c>
      <c r="N3387" s="10">
        <f>TEXT($B$6,"00")</f>
        <v/>
      </c>
      <c r="O3387" s="10">
        <f>REPT(" ",8)</f>
        <v/>
      </c>
      <c r="P3387" s="10">
        <f>RIGHT($B$4,2)</f>
        <v/>
      </c>
      <c r="Q3387" s="10">
        <f>RIGHT($B$5,3)</f>
        <v/>
      </c>
      <c r="R3387" s="10">
        <f>IF(A3387="D",LEFT(UPPER(B3387)&amp;REPT(" ",20),20),REPT(" ",20))</f>
        <v/>
      </c>
      <c r="S3387" s="10">
        <f>IF(A3387="D",LEFT(UPPER(C3387)&amp;REPT(" ",10),10)," ")</f>
        <v/>
      </c>
      <c r="T3387" s="10">
        <f>IF(A3387="D",LEFT(UPPER(D3387)&amp;REPT(" ",2),2)," ")</f>
        <v/>
      </c>
      <c r="U3387" s="10">
        <f>IF(A3387="D",LEFT(UPPER(E3387)&amp;REPT(" ",15),15)," ")</f>
        <v/>
      </c>
      <c r="V3387" s="10">
        <f>REPT(" ",24)</f>
        <v/>
      </c>
      <c r="W3387" s="10">
        <f>IF(A3387="c",LEFT(UPPER(B3387)&amp;REPT(" ",20),20),REPT(" ",20))</f>
        <v/>
      </c>
      <c r="X3387" s="10">
        <f>IF(A3387="C",LEFT(UPPER(C3387)&amp;REPT(" ",10),10)," ")</f>
        <v/>
      </c>
      <c r="Y3387" s="10">
        <f>IF(A3387="C",LEFT(UPPER(D3387)&amp;REPT(" ",2),2)," ")</f>
        <v/>
      </c>
      <c r="Z3387" s="10">
        <f>IF(A3387="C",LEFT(UPPER(E3387)&amp;REPT(" ",15),15)," ")</f>
        <v/>
      </c>
      <c r="AA3387" s="10">
        <f>REPT(" ",8)</f>
        <v/>
      </c>
      <c r="AB3387" s="10">
        <f>REPT(" ",4)</f>
        <v/>
      </c>
      <c r="AC3387" s="10">
        <f>LEFT(UPPER(H3387)&amp;REPT(" ",250),250)</f>
        <v/>
      </c>
      <c r="AD3387" s="10">
        <f>TEXT($G$2,"dd/mm/aaaa")</f>
        <v/>
      </c>
      <c r="AE3387" s="10">
        <f>REPT(" ",10)</f>
        <v/>
      </c>
      <c r="AF3387" s="10">
        <f>REPT(" ",20)</f>
        <v/>
      </c>
      <c r="AG3387" s="54">
        <f>REPT(" ",18-LEN(FIXED(F3387,2,TRUE)))&amp;FIXED(F3387,2,TRUE)</f>
        <v/>
      </c>
      <c r="AH3387" s="10">
        <f>LEN(AC3387)+LEN(AG3387)</f>
        <v/>
      </c>
      <c r="AI3387" s="10">
        <f>LEN(L3387)</f>
        <v/>
      </c>
    </row>
    <row r="3388">
      <c r="J3388" s="12">
        <f>IF(F3388&lt;&gt;0,"LANÇAR","")</f>
        <v/>
      </c>
      <c r="L3388" s="13">
        <f>N3388&amp;O3388&amp;P3388&amp;Q3388&amp;R3388&amp;S3388&amp;T3388&amp;U3388&amp;V3388&amp;W3388&amp;X3388&amp;Y3388&amp;Z3388&amp;AA3388&amp;AB3388&amp;AC3388&amp;AD3388&amp;AE3388&amp;AF3388&amp;AG3388</f>
        <v/>
      </c>
      <c r="N3388" s="10">
        <f>TEXT($B$6,"00")</f>
        <v/>
      </c>
      <c r="O3388" s="10">
        <f>REPT(" ",8)</f>
        <v/>
      </c>
      <c r="P3388" s="10">
        <f>RIGHT($B$4,2)</f>
        <v/>
      </c>
      <c r="Q3388" s="10">
        <f>RIGHT($B$5,3)</f>
        <v/>
      </c>
      <c r="R3388" s="10">
        <f>IF(A3388="D",LEFT(UPPER(B3388)&amp;REPT(" ",20),20),REPT(" ",20))</f>
        <v/>
      </c>
      <c r="S3388" s="10">
        <f>IF(A3388="D",LEFT(UPPER(C3388)&amp;REPT(" ",10),10)," ")</f>
        <v/>
      </c>
      <c r="T3388" s="10">
        <f>IF(A3388="D",LEFT(UPPER(D3388)&amp;REPT(" ",2),2)," ")</f>
        <v/>
      </c>
      <c r="U3388" s="10">
        <f>IF(A3388="D",LEFT(UPPER(E3388)&amp;REPT(" ",15),15)," ")</f>
        <v/>
      </c>
      <c r="V3388" s="10">
        <f>REPT(" ",24)</f>
        <v/>
      </c>
      <c r="W3388" s="10">
        <f>IF(A3388="c",LEFT(UPPER(B3388)&amp;REPT(" ",20),20),REPT(" ",20))</f>
        <v/>
      </c>
      <c r="X3388" s="10">
        <f>IF(A3388="C",LEFT(UPPER(C3388)&amp;REPT(" ",10),10)," ")</f>
        <v/>
      </c>
      <c r="Y3388" s="10">
        <f>IF(A3388="C",LEFT(UPPER(D3388)&amp;REPT(" ",2),2)," ")</f>
        <v/>
      </c>
      <c r="Z3388" s="10">
        <f>IF(A3388="C",LEFT(UPPER(E3388)&amp;REPT(" ",15),15)," ")</f>
        <v/>
      </c>
      <c r="AA3388" s="10">
        <f>REPT(" ",8)</f>
        <v/>
      </c>
      <c r="AB3388" s="10">
        <f>REPT(" ",4)</f>
        <v/>
      </c>
      <c r="AC3388" s="10">
        <f>LEFT(UPPER(H3388)&amp;REPT(" ",250),250)</f>
        <v/>
      </c>
      <c r="AD3388" s="10">
        <f>TEXT($G$2,"dd/mm/aaaa")</f>
        <v/>
      </c>
      <c r="AE3388" s="10">
        <f>REPT(" ",10)</f>
        <v/>
      </c>
      <c r="AF3388" s="10">
        <f>REPT(" ",20)</f>
        <v/>
      </c>
      <c r="AG3388" s="54">
        <f>REPT(" ",18-LEN(FIXED(F3388,2,TRUE)))&amp;FIXED(F3388,2,TRUE)</f>
        <v/>
      </c>
      <c r="AH3388" s="10">
        <f>LEN(AC3388)+LEN(AG3388)</f>
        <v/>
      </c>
      <c r="AI3388" s="10">
        <f>LEN(L3388)</f>
        <v/>
      </c>
    </row>
    <row r="3389">
      <c r="J3389" s="12">
        <f>IF(F3389&lt;&gt;0,"LANÇAR","")</f>
        <v/>
      </c>
      <c r="L3389" s="13">
        <f>N3389&amp;O3389&amp;P3389&amp;Q3389&amp;R3389&amp;S3389&amp;T3389&amp;U3389&amp;V3389&amp;W3389&amp;X3389&amp;Y3389&amp;Z3389&amp;AA3389&amp;AB3389&amp;AC3389&amp;AD3389&amp;AE3389&amp;AF3389&amp;AG3389</f>
        <v/>
      </c>
      <c r="N3389" s="10">
        <f>TEXT($B$6,"00")</f>
        <v/>
      </c>
      <c r="O3389" s="10">
        <f>REPT(" ",8)</f>
        <v/>
      </c>
      <c r="P3389" s="10">
        <f>RIGHT($B$4,2)</f>
        <v/>
      </c>
      <c r="Q3389" s="10">
        <f>RIGHT($B$5,3)</f>
        <v/>
      </c>
      <c r="R3389" s="10">
        <f>IF(A3389="D",LEFT(UPPER(B3389)&amp;REPT(" ",20),20),REPT(" ",20))</f>
        <v/>
      </c>
      <c r="S3389" s="10">
        <f>IF(A3389="D",LEFT(UPPER(C3389)&amp;REPT(" ",10),10)," ")</f>
        <v/>
      </c>
      <c r="T3389" s="10">
        <f>IF(A3389="D",LEFT(UPPER(D3389)&amp;REPT(" ",2),2)," ")</f>
        <v/>
      </c>
      <c r="U3389" s="10">
        <f>IF(A3389="D",LEFT(UPPER(E3389)&amp;REPT(" ",15),15)," ")</f>
        <v/>
      </c>
      <c r="V3389" s="10">
        <f>REPT(" ",24)</f>
        <v/>
      </c>
      <c r="W3389" s="10">
        <f>IF(A3389="c",LEFT(UPPER(B3389)&amp;REPT(" ",20),20),REPT(" ",20))</f>
        <v/>
      </c>
      <c r="X3389" s="10">
        <f>IF(A3389="C",LEFT(UPPER(C3389)&amp;REPT(" ",10),10)," ")</f>
        <v/>
      </c>
      <c r="Y3389" s="10">
        <f>IF(A3389="C",LEFT(UPPER(D3389)&amp;REPT(" ",2),2)," ")</f>
        <v/>
      </c>
      <c r="Z3389" s="10">
        <f>IF(A3389="C",LEFT(UPPER(E3389)&amp;REPT(" ",15),15)," ")</f>
        <v/>
      </c>
      <c r="AA3389" s="10">
        <f>REPT(" ",8)</f>
        <v/>
      </c>
      <c r="AB3389" s="10">
        <f>REPT(" ",4)</f>
        <v/>
      </c>
      <c r="AC3389" s="10">
        <f>LEFT(UPPER(H3389)&amp;REPT(" ",250),250)</f>
        <v/>
      </c>
      <c r="AD3389" s="10">
        <f>TEXT($G$2,"dd/mm/aaaa")</f>
        <v/>
      </c>
      <c r="AE3389" s="10">
        <f>REPT(" ",10)</f>
        <v/>
      </c>
      <c r="AF3389" s="10">
        <f>REPT(" ",20)</f>
        <v/>
      </c>
      <c r="AG3389" s="54">
        <f>REPT(" ",18-LEN(FIXED(F3389,2,TRUE)))&amp;FIXED(F3389,2,TRUE)</f>
        <v/>
      </c>
      <c r="AH3389" s="10">
        <f>LEN(AC3389)+LEN(AG3389)</f>
        <v/>
      </c>
      <c r="AI3389" s="10">
        <f>LEN(L3389)</f>
        <v/>
      </c>
    </row>
    <row r="3390">
      <c r="J3390" s="12">
        <f>IF(F3390&lt;&gt;0,"LANÇAR","")</f>
        <v/>
      </c>
      <c r="L3390" s="13">
        <f>N3390&amp;O3390&amp;P3390&amp;Q3390&amp;R3390&amp;S3390&amp;T3390&amp;U3390&amp;V3390&amp;W3390&amp;X3390&amp;Y3390&amp;Z3390&amp;AA3390&amp;AB3390&amp;AC3390&amp;AD3390&amp;AE3390&amp;AF3390&amp;AG3390</f>
        <v/>
      </c>
      <c r="N3390" s="10">
        <f>TEXT($B$6,"00")</f>
        <v/>
      </c>
      <c r="O3390" s="10">
        <f>REPT(" ",8)</f>
        <v/>
      </c>
      <c r="P3390" s="10">
        <f>RIGHT($B$4,2)</f>
        <v/>
      </c>
      <c r="Q3390" s="10">
        <f>RIGHT($B$5,3)</f>
        <v/>
      </c>
      <c r="R3390" s="10">
        <f>IF(A3390="D",LEFT(UPPER(B3390)&amp;REPT(" ",20),20),REPT(" ",20))</f>
        <v/>
      </c>
      <c r="S3390" s="10">
        <f>IF(A3390="D",LEFT(UPPER(C3390)&amp;REPT(" ",10),10)," ")</f>
        <v/>
      </c>
      <c r="T3390" s="10">
        <f>IF(A3390="D",LEFT(UPPER(D3390)&amp;REPT(" ",2),2)," ")</f>
        <v/>
      </c>
      <c r="U3390" s="10">
        <f>IF(A3390="D",LEFT(UPPER(E3390)&amp;REPT(" ",15),15)," ")</f>
        <v/>
      </c>
      <c r="V3390" s="10">
        <f>REPT(" ",24)</f>
        <v/>
      </c>
      <c r="W3390" s="10">
        <f>IF(A3390="c",LEFT(UPPER(B3390)&amp;REPT(" ",20),20),REPT(" ",20))</f>
        <v/>
      </c>
      <c r="X3390" s="10">
        <f>IF(A3390="C",LEFT(UPPER(C3390)&amp;REPT(" ",10),10)," ")</f>
        <v/>
      </c>
      <c r="Y3390" s="10">
        <f>IF(A3390="C",LEFT(UPPER(D3390)&amp;REPT(" ",2),2)," ")</f>
        <v/>
      </c>
      <c r="Z3390" s="10">
        <f>IF(A3390="C",LEFT(UPPER(E3390)&amp;REPT(" ",15),15)," ")</f>
        <v/>
      </c>
      <c r="AA3390" s="10">
        <f>REPT(" ",8)</f>
        <v/>
      </c>
      <c r="AB3390" s="10">
        <f>REPT(" ",4)</f>
        <v/>
      </c>
      <c r="AC3390" s="10">
        <f>LEFT(UPPER(H3390)&amp;REPT(" ",250),250)</f>
        <v/>
      </c>
      <c r="AD3390" s="10">
        <f>TEXT($G$2,"dd/mm/aaaa")</f>
        <v/>
      </c>
      <c r="AE3390" s="10">
        <f>REPT(" ",10)</f>
        <v/>
      </c>
      <c r="AF3390" s="10">
        <f>REPT(" ",20)</f>
        <v/>
      </c>
      <c r="AG3390" s="54">
        <f>REPT(" ",18-LEN(FIXED(F3390,2,TRUE)))&amp;FIXED(F3390,2,TRUE)</f>
        <v/>
      </c>
      <c r="AH3390" s="10">
        <f>LEN(AC3390)+LEN(AG3390)</f>
        <v/>
      </c>
      <c r="AI3390" s="10">
        <f>LEN(L3390)</f>
        <v/>
      </c>
    </row>
    <row r="3391">
      <c r="J3391" s="12">
        <f>IF(F3391&lt;&gt;0,"LANÇAR","")</f>
        <v/>
      </c>
      <c r="L3391" s="13">
        <f>N3391&amp;O3391&amp;P3391&amp;Q3391&amp;R3391&amp;S3391&amp;T3391&amp;U3391&amp;V3391&amp;W3391&amp;X3391&amp;Y3391&amp;Z3391&amp;AA3391&amp;AB3391&amp;AC3391&amp;AD3391&amp;AE3391&amp;AF3391&amp;AG3391</f>
        <v/>
      </c>
      <c r="N3391" s="10">
        <f>TEXT($B$6,"00")</f>
        <v/>
      </c>
      <c r="O3391" s="10">
        <f>REPT(" ",8)</f>
        <v/>
      </c>
      <c r="P3391" s="10">
        <f>RIGHT($B$4,2)</f>
        <v/>
      </c>
      <c r="Q3391" s="10">
        <f>RIGHT($B$5,3)</f>
        <v/>
      </c>
      <c r="R3391" s="10">
        <f>IF(A3391="D",LEFT(UPPER(B3391)&amp;REPT(" ",20),20),REPT(" ",20))</f>
        <v/>
      </c>
      <c r="S3391" s="10">
        <f>IF(A3391="D",LEFT(UPPER(C3391)&amp;REPT(" ",10),10)," ")</f>
        <v/>
      </c>
      <c r="T3391" s="10">
        <f>IF(A3391="D",LEFT(UPPER(D3391)&amp;REPT(" ",2),2)," ")</f>
        <v/>
      </c>
      <c r="U3391" s="10">
        <f>IF(A3391="D",LEFT(UPPER(E3391)&amp;REPT(" ",15),15)," ")</f>
        <v/>
      </c>
      <c r="V3391" s="10">
        <f>REPT(" ",24)</f>
        <v/>
      </c>
      <c r="W3391" s="10">
        <f>IF(A3391="c",LEFT(UPPER(B3391)&amp;REPT(" ",20),20),REPT(" ",20))</f>
        <v/>
      </c>
      <c r="X3391" s="10">
        <f>IF(A3391="C",LEFT(UPPER(C3391)&amp;REPT(" ",10),10)," ")</f>
        <v/>
      </c>
      <c r="Y3391" s="10">
        <f>IF(A3391="C",LEFT(UPPER(D3391)&amp;REPT(" ",2),2)," ")</f>
        <v/>
      </c>
      <c r="Z3391" s="10">
        <f>IF(A3391="C",LEFT(UPPER(E3391)&amp;REPT(" ",15),15)," ")</f>
        <v/>
      </c>
      <c r="AA3391" s="10">
        <f>REPT(" ",8)</f>
        <v/>
      </c>
      <c r="AB3391" s="10">
        <f>REPT(" ",4)</f>
        <v/>
      </c>
      <c r="AC3391" s="10">
        <f>LEFT(UPPER(H3391)&amp;REPT(" ",250),250)</f>
        <v/>
      </c>
      <c r="AD3391" s="10">
        <f>TEXT($G$2,"dd/mm/aaaa")</f>
        <v/>
      </c>
      <c r="AE3391" s="10">
        <f>REPT(" ",10)</f>
        <v/>
      </c>
      <c r="AF3391" s="10">
        <f>REPT(" ",20)</f>
        <v/>
      </c>
      <c r="AG3391" s="54">
        <f>REPT(" ",18-LEN(FIXED(F3391,2,TRUE)))&amp;FIXED(F3391,2,TRUE)</f>
        <v/>
      </c>
      <c r="AH3391" s="10">
        <f>LEN(AC3391)+LEN(AG3391)</f>
        <v/>
      </c>
      <c r="AI3391" s="10">
        <f>LEN(L3391)</f>
        <v/>
      </c>
    </row>
    <row r="3392">
      <c r="J3392" s="12">
        <f>IF(F3392&lt;&gt;0,"LANÇAR","")</f>
        <v/>
      </c>
      <c r="L3392" s="13">
        <f>N3392&amp;O3392&amp;P3392&amp;Q3392&amp;R3392&amp;S3392&amp;T3392&amp;U3392&amp;V3392&amp;W3392&amp;X3392&amp;Y3392&amp;Z3392&amp;AA3392&amp;AB3392&amp;AC3392&amp;AD3392&amp;AE3392&amp;AF3392&amp;AG3392</f>
        <v/>
      </c>
      <c r="N3392" s="10">
        <f>TEXT($B$6,"00")</f>
        <v/>
      </c>
      <c r="O3392" s="10">
        <f>REPT(" ",8)</f>
        <v/>
      </c>
      <c r="P3392" s="10">
        <f>RIGHT($B$4,2)</f>
        <v/>
      </c>
      <c r="Q3392" s="10">
        <f>RIGHT($B$5,3)</f>
        <v/>
      </c>
      <c r="R3392" s="10">
        <f>IF(A3392="D",LEFT(UPPER(B3392)&amp;REPT(" ",20),20),REPT(" ",20))</f>
        <v/>
      </c>
      <c r="S3392" s="10">
        <f>IF(A3392="D",LEFT(UPPER(C3392)&amp;REPT(" ",10),10)," ")</f>
        <v/>
      </c>
      <c r="T3392" s="10">
        <f>IF(A3392="D",LEFT(UPPER(D3392)&amp;REPT(" ",2),2)," ")</f>
        <v/>
      </c>
      <c r="U3392" s="10">
        <f>IF(A3392="D",LEFT(UPPER(E3392)&amp;REPT(" ",15),15)," ")</f>
        <v/>
      </c>
      <c r="V3392" s="10">
        <f>REPT(" ",24)</f>
        <v/>
      </c>
      <c r="W3392" s="10">
        <f>IF(A3392="c",LEFT(UPPER(B3392)&amp;REPT(" ",20),20),REPT(" ",20))</f>
        <v/>
      </c>
      <c r="X3392" s="10">
        <f>IF(A3392="C",LEFT(UPPER(C3392)&amp;REPT(" ",10),10)," ")</f>
        <v/>
      </c>
      <c r="Y3392" s="10">
        <f>IF(A3392="C",LEFT(UPPER(D3392)&amp;REPT(" ",2),2)," ")</f>
        <v/>
      </c>
      <c r="Z3392" s="10">
        <f>IF(A3392="C",LEFT(UPPER(E3392)&amp;REPT(" ",15),15)," ")</f>
        <v/>
      </c>
      <c r="AA3392" s="10">
        <f>REPT(" ",8)</f>
        <v/>
      </c>
      <c r="AB3392" s="10">
        <f>REPT(" ",4)</f>
        <v/>
      </c>
      <c r="AC3392" s="10">
        <f>LEFT(UPPER(H3392)&amp;REPT(" ",250),250)</f>
        <v/>
      </c>
      <c r="AD3392" s="10">
        <f>TEXT($G$2,"dd/mm/aaaa")</f>
        <v/>
      </c>
      <c r="AE3392" s="10">
        <f>REPT(" ",10)</f>
        <v/>
      </c>
      <c r="AF3392" s="10">
        <f>REPT(" ",20)</f>
        <v/>
      </c>
      <c r="AG3392" s="54">
        <f>REPT(" ",18-LEN(FIXED(F3392,2,TRUE)))&amp;FIXED(F3392,2,TRUE)</f>
        <v/>
      </c>
      <c r="AH3392" s="10">
        <f>LEN(AC3392)+LEN(AG3392)</f>
        <v/>
      </c>
      <c r="AI3392" s="10">
        <f>LEN(L3392)</f>
        <v/>
      </c>
    </row>
    <row r="3393">
      <c r="J3393" s="12">
        <f>IF(F3393&lt;&gt;0,"LANÇAR","")</f>
        <v/>
      </c>
      <c r="L3393" s="13">
        <f>N3393&amp;O3393&amp;P3393&amp;Q3393&amp;R3393&amp;S3393&amp;T3393&amp;U3393&amp;V3393&amp;W3393&amp;X3393&amp;Y3393&amp;Z3393&amp;AA3393&amp;AB3393&amp;AC3393&amp;AD3393&amp;AE3393&amp;AF3393&amp;AG3393</f>
        <v/>
      </c>
      <c r="N3393" s="10">
        <f>TEXT($B$6,"00")</f>
        <v/>
      </c>
      <c r="O3393" s="10">
        <f>REPT(" ",8)</f>
        <v/>
      </c>
      <c r="P3393" s="10">
        <f>RIGHT($B$4,2)</f>
        <v/>
      </c>
      <c r="Q3393" s="10">
        <f>RIGHT($B$5,3)</f>
        <v/>
      </c>
      <c r="R3393" s="10">
        <f>IF(A3393="D",LEFT(UPPER(B3393)&amp;REPT(" ",20),20),REPT(" ",20))</f>
        <v/>
      </c>
      <c r="S3393" s="10">
        <f>IF(A3393="D",LEFT(UPPER(C3393)&amp;REPT(" ",10),10)," ")</f>
        <v/>
      </c>
      <c r="T3393" s="10">
        <f>IF(A3393="D",LEFT(UPPER(D3393)&amp;REPT(" ",2),2)," ")</f>
        <v/>
      </c>
      <c r="U3393" s="10">
        <f>IF(A3393="D",LEFT(UPPER(E3393)&amp;REPT(" ",15),15)," ")</f>
        <v/>
      </c>
      <c r="V3393" s="10">
        <f>REPT(" ",24)</f>
        <v/>
      </c>
      <c r="W3393" s="10">
        <f>IF(A3393="c",LEFT(UPPER(B3393)&amp;REPT(" ",20),20),REPT(" ",20))</f>
        <v/>
      </c>
      <c r="X3393" s="10">
        <f>IF(A3393="C",LEFT(UPPER(C3393)&amp;REPT(" ",10),10)," ")</f>
        <v/>
      </c>
      <c r="Y3393" s="10">
        <f>IF(A3393="C",LEFT(UPPER(D3393)&amp;REPT(" ",2),2)," ")</f>
        <v/>
      </c>
      <c r="Z3393" s="10">
        <f>IF(A3393="C",LEFT(UPPER(E3393)&amp;REPT(" ",15),15)," ")</f>
        <v/>
      </c>
      <c r="AA3393" s="10">
        <f>REPT(" ",8)</f>
        <v/>
      </c>
      <c r="AB3393" s="10">
        <f>REPT(" ",4)</f>
        <v/>
      </c>
      <c r="AC3393" s="10">
        <f>LEFT(UPPER(H3393)&amp;REPT(" ",250),250)</f>
        <v/>
      </c>
      <c r="AD3393" s="10">
        <f>TEXT($G$2,"dd/mm/aaaa")</f>
        <v/>
      </c>
      <c r="AE3393" s="10">
        <f>REPT(" ",10)</f>
        <v/>
      </c>
      <c r="AF3393" s="10">
        <f>REPT(" ",20)</f>
        <v/>
      </c>
      <c r="AG3393" s="54">
        <f>REPT(" ",18-LEN(FIXED(F3393,2,TRUE)))&amp;FIXED(F3393,2,TRUE)</f>
        <v/>
      </c>
      <c r="AH3393" s="10">
        <f>LEN(AC3393)+LEN(AG3393)</f>
        <v/>
      </c>
      <c r="AI3393" s="10">
        <f>LEN(L3393)</f>
        <v/>
      </c>
    </row>
    <row r="3394">
      <c r="J3394" s="12">
        <f>IF(F3394&lt;&gt;0,"LANÇAR","")</f>
        <v/>
      </c>
      <c r="L3394" s="13">
        <f>N3394&amp;O3394&amp;P3394&amp;Q3394&amp;R3394&amp;S3394&amp;T3394&amp;U3394&amp;V3394&amp;W3394&amp;X3394&amp;Y3394&amp;Z3394&amp;AA3394&amp;AB3394&amp;AC3394&amp;AD3394&amp;AE3394&amp;AF3394&amp;AG3394</f>
        <v/>
      </c>
      <c r="N3394" s="10">
        <f>TEXT($B$6,"00")</f>
        <v/>
      </c>
      <c r="O3394" s="10">
        <f>REPT(" ",8)</f>
        <v/>
      </c>
      <c r="P3394" s="10">
        <f>RIGHT($B$4,2)</f>
        <v/>
      </c>
      <c r="Q3394" s="10">
        <f>RIGHT($B$5,3)</f>
        <v/>
      </c>
      <c r="R3394" s="10">
        <f>IF(A3394="D",LEFT(UPPER(B3394)&amp;REPT(" ",20),20),REPT(" ",20))</f>
        <v/>
      </c>
      <c r="S3394" s="10">
        <f>IF(A3394="D",LEFT(UPPER(C3394)&amp;REPT(" ",10),10)," ")</f>
        <v/>
      </c>
      <c r="T3394" s="10">
        <f>IF(A3394="D",LEFT(UPPER(D3394)&amp;REPT(" ",2),2)," ")</f>
        <v/>
      </c>
      <c r="U3394" s="10">
        <f>IF(A3394="D",LEFT(UPPER(E3394)&amp;REPT(" ",15),15)," ")</f>
        <v/>
      </c>
      <c r="V3394" s="10">
        <f>REPT(" ",24)</f>
        <v/>
      </c>
      <c r="W3394" s="10">
        <f>IF(A3394="c",LEFT(UPPER(B3394)&amp;REPT(" ",20),20),REPT(" ",20))</f>
        <v/>
      </c>
      <c r="X3394" s="10">
        <f>IF(A3394="C",LEFT(UPPER(C3394)&amp;REPT(" ",10),10)," ")</f>
        <v/>
      </c>
      <c r="Y3394" s="10">
        <f>IF(A3394="C",LEFT(UPPER(D3394)&amp;REPT(" ",2),2)," ")</f>
        <v/>
      </c>
      <c r="Z3394" s="10">
        <f>IF(A3394="C",LEFT(UPPER(E3394)&amp;REPT(" ",15),15)," ")</f>
        <v/>
      </c>
      <c r="AA3394" s="10">
        <f>REPT(" ",8)</f>
        <v/>
      </c>
      <c r="AB3394" s="10">
        <f>REPT(" ",4)</f>
        <v/>
      </c>
      <c r="AC3394" s="10">
        <f>LEFT(UPPER(H3394)&amp;REPT(" ",250),250)</f>
        <v/>
      </c>
      <c r="AD3394" s="10">
        <f>TEXT($G$2,"dd/mm/aaaa")</f>
        <v/>
      </c>
      <c r="AE3394" s="10">
        <f>REPT(" ",10)</f>
        <v/>
      </c>
      <c r="AF3394" s="10">
        <f>REPT(" ",20)</f>
        <v/>
      </c>
      <c r="AG3394" s="54">
        <f>REPT(" ",18-LEN(FIXED(F3394,2,TRUE)))&amp;FIXED(F3394,2,TRUE)</f>
        <v/>
      </c>
      <c r="AH3394" s="10">
        <f>LEN(AC3394)+LEN(AG3394)</f>
        <v/>
      </c>
      <c r="AI3394" s="10">
        <f>LEN(L3394)</f>
        <v/>
      </c>
    </row>
    <row r="3395">
      <c r="J3395" s="12">
        <f>IF(F3395&lt;&gt;0,"LANÇAR","")</f>
        <v/>
      </c>
      <c r="L3395" s="13">
        <f>N3395&amp;O3395&amp;P3395&amp;Q3395&amp;R3395&amp;S3395&amp;T3395&amp;U3395&amp;V3395&amp;W3395&amp;X3395&amp;Y3395&amp;Z3395&amp;AA3395&amp;AB3395&amp;AC3395&amp;AD3395&amp;AE3395&amp;AF3395&amp;AG3395</f>
        <v/>
      </c>
      <c r="N3395" s="10">
        <f>TEXT($B$6,"00")</f>
        <v/>
      </c>
      <c r="O3395" s="10">
        <f>REPT(" ",8)</f>
        <v/>
      </c>
      <c r="P3395" s="10">
        <f>RIGHT($B$4,2)</f>
        <v/>
      </c>
      <c r="Q3395" s="10">
        <f>RIGHT($B$5,3)</f>
        <v/>
      </c>
      <c r="R3395" s="10">
        <f>IF(A3395="D",LEFT(UPPER(B3395)&amp;REPT(" ",20),20),REPT(" ",20))</f>
        <v/>
      </c>
      <c r="S3395" s="10">
        <f>IF(A3395="D",LEFT(UPPER(C3395)&amp;REPT(" ",10),10)," ")</f>
        <v/>
      </c>
      <c r="T3395" s="10">
        <f>IF(A3395="D",LEFT(UPPER(D3395)&amp;REPT(" ",2),2)," ")</f>
        <v/>
      </c>
      <c r="U3395" s="10">
        <f>IF(A3395="D",LEFT(UPPER(E3395)&amp;REPT(" ",15),15)," ")</f>
        <v/>
      </c>
      <c r="V3395" s="10">
        <f>REPT(" ",24)</f>
        <v/>
      </c>
      <c r="W3395" s="10">
        <f>IF(A3395="c",LEFT(UPPER(B3395)&amp;REPT(" ",20),20),REPT(" ",20))</f>
        <v/>
      </c>
      <c r="X3395" s="10">
        <f>IF(A3395="C",LEFT(UPPER(C3395)&amp;REPT(" ",10),10)," ")</f>
        <v/>
      </c>
      <c r="Y3395" s="10">
        <f>IF(A3395="C",LEFT(UPPER(D3395)&amp;REPT(" ",2),2)," ")</f>
        <v/>
      </c>
      <c r="Z3395" s="10">
        <f>IF(A3395="C",LEFT(UPPER(E3395)&amp;REPT(" ",15),15)," ")</f>
        <v/>
      </c>
      <c r="AA3395" s="10">
        <f>REPT(" ",8)</f>
        <v/>
      </c>
      <c r="AB3395" s="10">
        <f>REPT(" ",4)</f>
        <v/>
      </c>
      <c r="AC3395" s="10">
        <f>LEFT(UPPER(H3395)&amp;REPT(" ",250),250)</f>
        <v/>
      </c>
      <c r="AD3395" s="10">
        <f>TEXT($G$2,"dd/mm/aaaa")</f>
        <v/>
      </c>
      <c r="AE3395" s="10">
        <f>REPT(" ",10)</f>
        <v/>
      </c>
      <c r="AF3395" s="10">
        <f>REPT(" ",20)</f>
        <v/>
      </c>
      <c r="AG3395" s="54">
        <f>REPT(" ",18-LEN(FIXED(F3395,2,TRUE)))&amp;FIXED(F3395,2,TRUE)</f>
        <v/>
      </c>
      <c r="AH3395" s="10">
        <f>LEN(AC3395)+LEN(AG3395)</f>
        <v/>
      </c>
      <c r="AI3395" s="10">
        <f>LEN(L3395)</f>
        <v/>
      </c>
    </row>
    <row r="3396">
      <c r="J3396" s="12">
        <f>IF(F3396&lt;&gt;0,"LANÇAR","")</f>
        <v/>
      </c>
      <c r="L3396" s="13">
        <f>N3396&amp;O3396&amp;P3396&amp;Q3396&amp;R3396&amp;S3396&amp;T3396&amp;U3396&amp;V3396&amp;W3396&amp;X3396&amp;Y3396&amp;Z3396&amp;AA3396&amp;AB3396&amp;AC3396&amp;AD3396&amp;AE3396&amp;AF3396&amp;AG3396</f>
        <v/>
      </c>
      <c r="N3396" s="10">
        <f>TEXT($B$6,"00")</f>
        <v/>
      </c>
      <c r="O3396" s="10">
        <f>REPT(" ",8)</f>
        <v/>
      </c>
      <c r="P3396" s="10">
        <f>RIGHT($B$4,2)</f>
        <v/>
      </c>
      <c r="Q3396" s="10">
        <f>RIGHT($B$5,3)</f>
        <v/>
      </c>
      <c r="R3396" s="10">
        <f>IF(A3396="D",LEFT(UPPER(B3396)&amp;REPT(" ",20),20),REPT(" ",20))</f>
        <v/>
      </c>
      <c r="S3396" s="10">
        <f>IF(A3396="D",LEFT(UPPER(C3396)&amp;REPT(" ",10),10)," ")</f>
        <v/>
      </c>
      <c r="T3396" s="10">
        <f>IF(A3396="D",LEFT(UPPER(D3396)&amp;REPT(" ",2),2)," ")</f>
        <v/>
      </c>
      <c r="U3396" s="10">
        <f>IF(A3396="D",LEFT(UPPER(E3396)&amp;REPT(" ",15),15)," ")</f>
        <v/>
      </c>
      <c r="V3396" s="10">
        <f>REPT(" ",24)</f>
        <v/>
      </c>
      <c r="W3396" s="10">
        <f>IF(A3396="c",LEFT(UPPER(B3396)&amp;REPT(" ",20),20),REPT(" ",20))</f>
        <v/>
      </c>
      <c r="X3396" s="10">
        <f>IF(A3396="C",LEFT(UPPER(C3396)&amp;REPT(" ",10),10)," ")</f>
        <v/>
      </c>
      <c r="Y3396" s="10">
        <f>IF(A3396="C",LEFT(UPPER(D3396)&amp;REPT(" ",2),2)," ")</f>
        <v/>
      </c>
      <c r="Z3396" s="10">
        <f>IF(A3396="C",LEFT(UPPER(E3396)&amp;REPT(" ",15),15)," ")</f>
        <v/>
      </c>
      <c r="AA3396" s="10">
        <f>REPT(" ",8)</f>
        <v/>
      </c>
      <c r="AB3396" s="10">
        <f>REPT(" ",4)</f>
        <v/>
      </c>
      <c r="AC3396" s="10">
        <f>LEFT(UPPER(H3396)&amp;REPT(" ",250),250)</f>
        <v/>
      </c>
      <c r="AD3396" s="10">
        <f>TEXT($G$2,"dd/mm/aaaa")</f>
        <v/>
      </c>
      <c r="AE3396" s="10">
        <f>REPT(" ",10)</f>
        <v/>
      </c>
      <c r="AF3396" s="10">
        <f>REPT(" ",20)</f>
        <v/>
      </c>
      <c r="AG3396" s="54">
        <f>REPT(" ",18-LEN(FIXED(F3396,2,TRUE)))&amp;FIXED(F3396,2,TRUE)</f>
        <v/>
      </c>
      <c r="AH3396" s="10">
        <f>LEN(AC3396)+LEN(AG3396)</f>
        <v/>
      </c>
      <c r="AI3396" s="10">
        <f>LEN(L3396)</f>
        <v/>
      </c>
    </row>
    <row r="3397">
      <c r="J3397" s="12">
        <f>IF(F3397&lt;&gt;0,"LANÇAR","")</f>
        <v/>
      </c>
      <c r="L3397" s="13">
        <f>N3397&amp;O3397&amp;P3397&amp;Q3397&amp;R3397&amp;S3397&amp;T3397&amp;U3397&amp;V3397&amp;W3397&amp;X3397&amp;Y3397&amp;Z3397&amp;AA3397&amp;AB3397&amp;AC3397&amp;AD3397&amp;AE3397&amp;AF3397&amp;AG3397</f>
        <v/>
      </c>
      <c r="N3397" s="10">
        <f>TEXT($B$6,"00")</f>
        <v/>
      </c>
      <c r="O3397" s="10">
        <f>REPT(" ",8)</f>
        <v/>
      </c>
      <c r="P3397" s="10">
        <f>RIGHT($B$4,2)</f>
        <v/>
      </c>
      <c r="Q3397" s="10">
        <f>RIGHT($B$5,3)</f>
        <v/>
      </c>
      <c r="R3397" s="10">
        <f>IF(A3397="D",LEFT(UPPER(B3397)&amp;REPT(" ",20),20),REPT(" ",20))</f>
        <v/>
      </c>
      <c r="S3397" s="10">
        <f>IF(A3397="D",LEFT(UPPER(C3397)&amp;REPT(" ",10),10)," ")</f>
        <v/>
      </c>
      <c r="T3397" s="10">
        <f>IF(A3397="D",LEFT(UPPER(D3397)&amp;REPT(" ",2),2)," ")</f>
        <v/>
      </c>
      <c r="U3397" s="10">
        <f>IF(A3397="D",LEFT(UPPER(E3397)&amp;REPT(" ",15),15)," ")</f>
        <v/>
      </c>
      <c r="V3397" s="10">
        <f>REPT(" ",24)</f>
        <v/>
      </c>
      <c r="W3397" s="10">
        <f>IF(A3397="c",LEFT(UPPER(B3397)&amp;REPT(" ",20),20),REPT(" ",20))</f>
        <v/>
      </c>
      <c r="X3397" s="10">
        <f>IF(A3397="C",LEFT(UPPER(C3397)&amp;REPT(" ",10),10)," ")</f>
        <v/>
      </c>
      <c r="Y3397" s="10">
        <f>IF(A3397="C",LEFT(UPPER(D3397)&amp;REPT(" ",2),2)," ")</f>
        <v/>
      </c>
      <c r="Z3397" s="10">
        <f>IF(A3397="C",LEFT(UPPER(E3397)&amp;REPT(" ",15),15)," ")</f>
        <v/>
      </c>
      <c r="AA3397" s="10">
        <f>REPT(" ",8)</f>
        <v/>
      </c>
      <c r="AB3397" s="10">
        <f>REPT(" ",4)</f>
        <v/>
      </c>
      <c r="AC3397" s="10">
        <f>LEFT(UPPER(H3397)&amp;REPT(" ",250),250)</f>
        <v/>
      </c>
      <c r="AD3397" s="10">
        <f>TEXT($G$2,"dd/mm/aaaa")</f>
        <v/>
      </c>
      <c r="AE3397" s="10">
        <f>REPT(" ",10)</f>
        <v/>
      </c>
      <c r="AF3397" s="10">
        <f>REPT(" ",20)</f>
        <v/>
      </c>
      <c r="AG3397" s="54">
        <f>REPT(" ",18-LEN(FIXED(F3397,2,TRUE)))&amp;FIXED(F3397,2,TRUE)</f>
        <v/>
      </c>
      <c r="AH3397" s="10">
        <f>LEN(AC3397)+LEN(AG3397)</f>
        <v/>
      </c>
      <c r="AI3397" s="10">
        <f>LEN(L3397)</f>
        <v/>
      </c>
    </row>
    <row r="3398">
      <c r="J3398" s="12">
        <f>IF(F3398&lt;&gt;0,"LANÇAR","")</f>
        <v/>
      </c>
      <c r="L3398" s="13">
        <f>N3398&amp;O3398&amp;P3398&amp;Q3398&amp;R3398&amp;S3398&amp;T3398&amp;U3398&amp;V3398&amp;W3398&amp;X3398&amp;Y3398&amp;Z3398&amp;AA3398&amp;AB3398&amp;AC3398&amp;AD3398&amp;AE3398&amp;AF3398&amp;AG3398</f>
        <v/>
      </c>
      <c r="N3398" s="10">
        <f>TEXT($B$6,"00")</f>
        <v/>
      </c>
      <c r="O3398" s="10">
        <f>REPT(" ",8)</f>
        <v/>
      </c>
      <c r="P3398" s="10">
        <f>RIGHT($B$4,2)</f>
        <v/>
      </c>
      <c r="Q3398" s="10">
        <f>RIGHT($B$5,3)</f>
        <v/>
      </c>
      <c r="R3398" s="10">
        <f>IF(A3398="D",LEFT(UPPER(B3398)&amp;REPT(" ",20),20),REPT(" ",20))</f>
        <v/>
      </c>
      <c r="S3398" s="10">
        <f>IF(A3398="D",LEFT(UPPER(C3398)&amp;REPT(" ",10),10)," ")</f>
        <v/>
      </c>
      <c r="T3398" s="10">
        <f>IF(A3398="D",LEFT(UPPER(D3398)&amp;REPT(" ",2),2)," ")</f>
        <v/>
      </c>
      <c r="U3398" s="10">
        <f>IF(A3398="D",LEFT(UPPER(E3398)&amp;REPT(" ",15),15)," ")</f>
        <v/>
      </c>
      <c r="V3398" s="10">
        <f>REPT(" ",24)</f>
        <v/>
      </c>
      <c r="W3398" s="10">
        <f>IF(A3398="c",LEFT(UPPER(B3398)&amp;REPT(" ",20),20),REPT(" ",20))</f>
        <v/>
      </c>
      <c r="X3398" s="10">
        <f>IF(A3398="C",LEFT(UPPER(C3398)&amp;REPT(" ",10),10)," ")</f>
        <v/>
      </c>
      <c r="Y3398" s="10">
        <f>IF(A3398="C",LEFT(UPPER(D3398)&amp;REPT(" ",2),2)," ")</f>
        <v/>
      </c>
      <c r="Z3398" s="10">
        <f>IF(A3398="C",LEFT(UPPER(E3398)&amp;REPT(" ",15),15)," ")</f>
        <v/>
      </c>
      <c r="AA3398" s="10">
        <f>REPT(" ",8)</f>
        <v/>
      </c>
      <c r="AB3398" s="10">
        <f>REPT(" ",4)</f>
        <v/>
      </c>
      <c r="AC3398" s="10">
        <f>LEFT(UPPER(H3398)&amp;REPT(" ",250),250)</f>
        <v/>
      </c>
      <c r="AD3398" s="10">
        <f>TEXT($G$2,"dd/mm/aaaa")</f>
        <v/>
      </c>
      <c r="AE3398" s="10">
        <f>REPT(" ",10)</f>
        <v/>
      </c>
      <c r="AF3398" s="10">
        <f>REPT(" ",20)</f>
        <v/>
      </c>
      <c r="AG3398" s="54">
        <f>REPT(" ",18-LEN(FIXED(F3398,2,TRUE)))&amp;FIXED(F3398,2,TRUE)</f>
        <v/>
      </c>
      <c r="AH3398" s="10">
        <f>LEN(AC3398)+LEN(AG3398)</f>
        <v/>
      </c>
      <c r="AI3398" s="10">
        <f>LEN(L3398)</f>
        <v/>
      </c>
    </row>
    <row r="3399">
      <c r="J3399" s="12">
        <f>IF(F3399&lt;&gt;0,"LANÇAR","")</f>
        <v/>
      </c>
      <c r="L3399" s="13">
        <f>N3399&amp;O3399&amp;P3399&amp;Q3399&amp;R3399&amp;S3399&amp;T3399&amp;U3399&amp;V3399&amp;W3399&amp;X3399&amp;Y3399&amp;Z3399&amp;AA3399&amp;AB3399&amp;AC3399&amp;AD3399&amp;AE3399&amp;AF3399&amp;AG3399</f>
        <v/>
      </c>
      <c r="N3399" s="10">
        <f>TEXT($B$6,"00")</f>
        <v/>
      </c>
      <c r="O3399" s="10">
        <f>REPT(" ",8)</f>
        <v/>
      </c>
      <c r="P3399" s="10">
        <f>RIGHT($B$4,2)</f>
        <v/>
      </c>
      <c r="Q3399" s="10">
        <f>RIGHT($B$5,3)</f>
        <v/>
      </c>
      <c r="R3399" s="10">
        <f>IF(A3399="D",LEFT(UPPER(B3399)&amp;REPT(" ",20),20),REPT(" ",20))</f>
        <v/>
      </c>
      <c r="S3399" s="10">
        <f>IF(A3399="D",LEFT(UPPER(C3399)&amp;REPT(" ",10),10)," ")</f>
        <v/>
      </c>
      <c r="T3399" s="10">
        <f>IF(A3399="D",LEFT(UPPER(D3399)&amp;REPT(" ",2),2)," ")</f>
        <v/>
      </c>
      <c r="U3399" s="10">
        <f>IF(A3399="D",LEFT(UPPER(E3399)&amp;REPT(" ",15),15)," ")</f>
        <v/>
      </c>
      <c r="V3399" s="10">
        <f>REPT(" ",24)</f>
        <v/>
      </c>
      <c r="W3399" s="10">
        <f>IF(A3399="c",LEFT(UPPER(B3399)&amp;REPT(" ",20),20),REPT(" ",20))</f>
        <v/>
      </c>
      <c r="X3399" s="10">
        <f>IF(A3399="C",LEFT(UPPER(C3399)&amp;REPT(" ",10),10)," ")</f>
        <v/>
      </c>
      <c r="Y3399" s="10">
        <f>IF(A3399="C",LEFT(UPPER(D3399)&amp;REPT(" ",2),2)," ")</f>
        <v/>
      </c>
      <c r="Z3399" s="10">
        <f>IF(A3399="C",LEFT(UPPER(E3399)&amp;REPT(" ",15),15)," ")</f>
        <v/>
      </c>
      <c r="AA3399" s="10">
        <f>REPT(" ",8)</f>
        <v/>
      </c>
      <c r="AB3399" s="10">
        <f>REPT(" ",4)</f>
        <v/>
      </c>
      <c r="AC3399" s="10">
        <f>LEFT(UPPER(H3399)&amp;REPT(" ",250),250)</f>
        <v/>
      </c>
      <c r="AD3399" s="10">
        <f>TEXT($G$2,"dd/mm/aaaa")</f>
        <v/>
      </c>
      <c r="AE3399" s="10">
        <f>REPT(" ",10)</f>
        <v/>
      </c>
      <c r="AF3399" s="10">
        <f>REPT(" ",20)</f>
        <v/>
      </c>
      <c r="AG3399" s="54">
        <f>REPT(" ",18-LEN(FIXED(F3399,2,TRUE)))&amp;FIXED(F3399,2,TRUE)</f>
        <v/>
      </c>
      <c r="AH3399" s="10">
        <f>LEN(AC3399)+LEN(AG3399)</f>
        <v/>
      </c>
      <c r="AI3399" s="10">
        <f>LEN(L3399)</f>
        <v/>
      </c>
    </row>
    <row r="3400">
      <c r="J3400" s="12">
        <f>IF(F3400&lt;&gt;0,"LANÇAR","")</f>
        <v/>
      </c>
      <c r="L3400" s="13">
        <f>N3400&amp;O3400&amp;P3400&amp;Q3400&amp;R3400&amp;S3400&amp;T3400&amp;U3400&amp;V3400&amp;W3400&amp;X3400&amp;Y3400&amp;Z3400&amp;AA3400&amp;AB3400&amp;AC3400&amp;AD3400&amp;AE3400&amp;AF3400&amp;AG3400</f>
        <v/>
      </c>
      <c r="N3400" s="10">
        <f>TEXT($B$6,"00")</f>
        <v/>
      </c>
      <c r="O3400" s="10">
        <f>REPT(" ",8)</f>
        <v/>
      </c>
      <c r="P3400" s="10">
        <f>RIGHT($B$4,2)</f>
        <v/>
      </c>
      <c r="Q3400" s="10">
        <f>RIGHT($B$5,3)</f>
        <v/>
      </c>
      <c r="R3400" s="10">
        <f>IF(A3400="D",LEFT(UPPER(B3400)&amp;REPT(" ",20),20),REPT(" ",20))</f>
        <v/>
      </c>
      <c r="S3400" s="10">
        <f>IF(A3400="D",LEFT(UPPER(C3400)&amp;REPT(" ",10),10)," ")</f>
        <v/>
      </c>
      <c r="T3400" s="10">
        <f>IF(A3400="D",LEFT(UPPER(D3400)&amp;REPT(" ",2),2)," ")</f>
        <v/>
      </c>
      <c r="U3400" s="10">
        <f>IF(A3400="D",LEFT(UPPER(E3400)&amp;REPT(" ",15),15)," ")</f>
        <v/>
      </c>
      <c r="V3400" s="10">
        <f>REPT(" ",24)</f>
        <v/>
      </c>
      <c r="W3400" s="10">
        <f>IF(A3400="c",LEFT(UPPER(B3400)&amp;REPT(" ",20),20),REPT(" ",20))</f>
        <v/>
      </c>
      <c r="X3400" s="10">
        <f>IF(A3400="C",LEFT(UPPER(C3400)&amp;REPT(" ",10),10)," ")</f>
        <v/>
      </c>
      <c r="Y3400" s="10">
        <f>IF(A3400="C",LEFT(UPPER(D3400)&amp;REPT(" ",2),2)," ")</f>
        <v/>
      </c>
      <c r="Z3400" s="10">
        <f>IF(A3400="C",LEFT(UPPER(E3400)&amp;REPT(" ",15),15)," ")</f>
        <v/>
      </c>
      <c r="AA3400" s="10">
        <f>REPT(" ",8)</f>
        <v/>
      </c>
      <c r="AB3400" s="10">
        <f>REPT(" ",4)</f>
        <v/>
      </c>
      <c r="AC3400" s="10">
        <f>LEFT(UPPER(H3400)&amp;REPT(" ",250),250)</f>
        <v/>
      </c>
      <c r="AD3400" s="10">
        <f>TEXT($G$2,"dd/mm/aaaa")</f>
        <v/>
      </c>
      <c r="AE3400" s="10">
        <f>REPT(" ",10)</f>
        <v/>
      </c>
      <c r="AF3400" s="10">
        <f>REPT(" ",20)</f>
        <v/>
      </c>
      <c r="AG3400" s="54">
        <f>REPT(" ",18-LEN(FIXED(F3400,2,TRUE)))&amp;FIXED(F3400,2,TRUE)</f>
        <v/>
      </c>
      <c r="AH3400" s="10">
        <f>LEN(AC3400)+LEN(AG3400)</f>
        <v/>
      </c>
      <c r="AI3400" s="10">
        <f>LEN(L3400)</f>
        <v/>
      </c>
    </row>
    <row r="3401">
      <c r="J3401" s="12">
        <f>IF(F3401&lt;&gt;0,"LANÇAR","")</f>
        <v/>
      </c>
      <c r="L3401" s="13">
        <f>N3401&amp;O3401&amp;P3401&amp;Q3401&amp;R3401&amp;S3401&amp;T3401&amp;U3401&amp;V3401&amp;W3401&amp;X3401&amp;Y3401&amp;Z3401&amp;AA3401&amp;AB3401&amp;AC3401&amp;AD3401&amp;AE3401&amp;AF3401&amp;AG3401</f>
        <v/>
      </c>
      <c r="N3401" s="10">
        <f>TEXT($B$6,"00")</f>
        <v/>
      </c>
      <c r="O3401" s="10">
        <f>REPT(" ",8)</f>
        <v/>
      </c>
      <c r="P3401" s="10">
        <f>RIGHT($B$4,2)</f>
        <v/>
      </c>
      <c r="Q3401" s="10">
        <f>RIGHT($B$5,3)</f>
        <v/>
      </c>
      <c r="R3401" s="10">
        <f>IF(A3401="D",LEFT(UPPER(B3401)&amp;REPT(" ",20),20),REPT(" ",20))</f>
        <v/>
      </c>
      <c r="S3401" s="10">
        <f>IF(A3401="D",LEFT(UPPER(C3401)&amp;REPT(" ",10),10)," ")</f>
        <v/>
      </c>
      <c r="T3401" s="10">
        <f>IF(A3401="D",LEFT(UPPER(D3401)&amp;REPT(" ",2),2)," ")</f>
        <v/>
      </c>
      <c r="U3401" s="10">
        <f>IF(A3401="D",LEFT(UPPER(E3401)&amp;REPT(" ",15),15)," ")</f>
        <v/>
      </c>
      <c r="V3401" s="10">
        <f>REPT(" ",24)</f>
        <v/>
      </c>
      <c r="W3401" s="10">
        <f>IF(A3401="c",LEFT(UPPER(B3401)&amp;REPT(" ",20),20),REPT(" ",20))</f>
        <v/>
      </c>
      <c r="X3401" s="10">
        <f>IF(A3401="C",LEFT(UPPER(C3401)&amp;REPT(" ",10),10)," ")</f>
        <v/>
      </c>
      <c r="Y3401" s="10">
        <f>IF(A3401="C",LEFT(UPPER(D3401)&amp;REPT(" ",2),2)," ")</f>
        <v/>
      </c>
      <c r="Z3401" s="10">
        <f>IF(A3401="C",LEFT(UPPER(E3401)&amp;REPT(" ",15),15)," ")</f>
        <v/>
      </c>
      <c r="AA3401" s="10">
        <f>REPT(" ",8)</f>
        <v/>
      </c>
      <c r="AB3401" s="10">
        <f>REPT(" ",4)</f>
        <v/>
      </c>
      <c r="AC3401" s="10">
        <f>LEFT(UPPER(H3401)&amp;REPT(" ",250),250)</f>
        <v/>
      </c>
      <c r="AD3401" s="10">
        <f>TEXT($G$2,"dd/mm/aaaa")</f>
        <v/>
      </c>
      <c r="AE3401" s="10">
        <f>REPT(" ",10)</f>
        <v/>
      </c>
      <c r="AF3401" s="10">
        <f>REPT(" ",20)</f>
        <v/>
      </c>
      <c r="AG3401" s="54">
        <f>REPT(" ",18-LEN(FIXED(F3401,2,TRUE)))&amp;FIXED(F3401,2,TRUE)</f>
        <v/>
      </c>
      <c r="AH3401" s="10">
        <f>LEN(AC3401)+LEN(AG3401)</f>
        <v/>
      </c>
      <c r="AI3401" s="10">
        <f>LEN(L3401)</f>
        <v/>
      </c>
    </row>
    <row r="3402">
      <c r="J3402" s="12">
        <f>IF(F3402&lt;&gt;0,"LANÇAR","")</f>
        <v/>
      </c>
      <c r="L3402" s="13">
        <f>N3402&amp;O3402&amp;P3402&amp;Q3402&amp;R3402&amp;S3402&amp;T3402&amp;U3402&amp;V3402&amp;W3402&amp;X3402&amp;Y3402&amp;Z3402&amp;AA3402&amp;AB3402&amp;AC3402&amp;AD3402&amp;AE3402&amp;AF3402&amp;AG3402</f>
        <v/>
      </c>
      <c r="N3402" s="10">
        <f>TEXT($B$6,"00")</f>
        <v/>
      </c>
      <c r="O3402" s="10">
        <f>REPT(" ",8)</f>
        <v/>
      </c>
      <c r="P3402" s="10">
        <f>RIGHT($B$4,2)</f>
        <v/>
      </c>
      <c r="Q3402" s="10">
        <f>RIGHT($B$5,3)</f>
        <v/>
      </c>
      <c r="R3402" s="10">
        <f>IF(A3402="D",LEFT(UPPER(B3402)&amp;REPT(" ",20),20),REPT(" ",20))</f>
        <v/>
      </c>
      <c r="S3402" s="10">
        <f>IF(A3402="D",LEFT(UPPER(C3402)&amp;REPT(" ",10),10)," ")</f>
        <v/>
      </c>
      <c r="T3402" s="10">
        <f>IF(A3402="D",LEFT(UPPER(D3402)&amp;REPT(" ",2),2)," ")</f>
        <v/>
      </c>
      <c r="U3402" s="10">
        <f>IF(A3402="D",LEFT(UPPER(E3402)&amp;REPT(" ",15),15)," ")</f>
        <v/>
      </c>
      <c r="V3402" s="10">
        <f>REPT(" ",24)</f>
        <v/>
      </c>
      <c r="W3402" s="10">
        <f>IF(A3402="c",LEFT(UPPER(B3402)&amp;REPT(" ",20),20),REPT(" ",20))</f>
        <v/>
      </c>
      <c r="X3402" s="10">
        <f>IF(A3402="C",LEFT(UPPER(C3402)&amp;REPT(" ",10),10)," ")</f>
        <v/>
      </c>
      <c r="Y3402" s="10">
        <f>IF(A3402="C",LEFT(UPPER(D3402)&amp;REPT(" ",2),2)," ")</f>
        <v/>
      </c>
      <c r="Z3402" s="10">
        <f>IF(A3402="C",LEFT(UPPER(E3402)&amp;REPT(" ",15),15)," ")</f>
        <v/>
      </c>
      <c r="AA3402" s="10">
        <f>REPT(" ",8)</f>
        <v/>
      </c>
      <c r="AB3402" s="10">
        <f>REPT(" ",4)</f>
        <v/>
      </c>
      <c r="AC3402" s="10">
        <f>LEFT(UPPER(H3402)&amp;REPT(" ",250),250)</f>
        <v/>
      </c>
      <c r="AD3402" s="10">
        <f>TEXT($G$2,"dd/mm/aaaa")</f>
        <v/>
      </c>
      <c r="AE3402" s="10">
        <f>REPT(" ",10)</f>
        <v/>
      </c>
      <c r="AF3402" s="10">
        <f>REPT(" ",20)</f>
        <v/>
      </c>
      <c r="AG3402" s="54">
        <f>REPT(" ",18-LEN(FIXED(F3402,2,TRUE)))&amp;FIXED(F3402,2,TRUE)</f>
        <v/>
      </c>
      <c r="AH3402" s="10">
        <f>LEN(AC3402)+LEN(AG3402)</f>
        <v/>
      </c>
      <c r="AI3402" s="10">
        <f>LEN(L3402)</f>
        <v/>
      </c>
    </row>
    <row r="3403">
      <c r="J3403" s="12">
        <f>IF(F3403&lt;&gt;0,"LANÇAR","")</f>
        <v/>
      </c>
      <c r="L3403" s="13">
        <f>N3403&amp;O3403&amp;P3403&amp;Q3403&amp;R3403&amp;S3403&amp;T3403&amp;U3403&amp;V3403&amp;W3403&amp;X3403&amp;Y3403&amp;Z3403&amp;AA3403&amp;AB3403&amp;AC3403&amp;AD3403&amp;AE3403&amp;AF3403&amp;AG3403</f>
        <v/>
      </c>
      <c r="N3403" s="10">
        <f>TEXT($B$6,"00")</f>
        <v/>
      </c>
      <c r="O3403" s="10">
        <f>REPT(" ",8)</f>
        <v/>
      </c>
      <c r="P3403" s="10">
        <f>RIGHT($B$4,2)</f>
        <v/>
      </c>
      <c r="Q3403" s="10">
        <f>RIGHT($B$5,3)</f>
        <v/>
      </c>
      <c r="R3403" s="10">
        <f>IF(A3403="D",LEFT(UPPER(B3403)&amp;REPT(" ",20),20),REPT(" ",20))</f>
        <v/>
      </c>
      <c r="S3403" s="10">
        <f>IF(A3403="D",LEFT(UPPER(C3403)&amp;REPT(" ",10),10)," ")</f>
        <v/>
      </c>
      <c r="T3403" s="10">
        <f>IF(A3403="D",LEFT(UPPER(D3403)&amp;REPT(" ",2),2)," ")</f>
        <v/>
      </c>
      <c r="U3403" s="10">
        <f>IF(A3403="D",LEFT(UPPER(E3403)&amp;REPT(" ",15),15)," ")</f>
        <v/>
      </c>
      <c r="V3403" s="10">
        <f>REPT(" ",24)</f>
        <v/>
      </c>
      <c r="W3403" s="10">
        <f>IF(A3403="c",LEFT(UPPER(B3403)&amp;REPT(" ",20),20),REPT(" ",20))</f>
        <v/>
      </c>
      <c r="X3403" s="10">
        <f>IF(A3403="C",LEFT(UPPER(C3403)&amp;REPT(" ",10),10)," ")</f>
        <v/>
      </c>
      <c r="Y3403" s="10">
        <f>IF(A3403="C",LEFT(UPPER(D3403)&amp;REPT(" ",2),2)," ")</f>
        <v/>
      </c>
      <c r="Z3403" s="10">
        <f>IF(A3403="C",LEFT(UPPER(E3403)&amp;REPT(" ",15),15)," ")</f>
        <v/>
      </c>
      <c r="AA3403" s="10">
        <f>REPT(" ",8)</f>
        <v/>
      </c>
      <c r="AB3403" s="10">
        <f>REPT(" ",4)</f>
        <v/>
      </c>
      <c r="AC3403" s="10">
        <f>LEFT(UPPER(H3403)&amp;REPT(" ",250),250)</f>
        <v/>
      </c>
      <c r="AD3403" s="10">
        <f>TEXT($G$2,"dd/mm/aaaa")</f>
        <v/>
      </c>
      <c r="AE3403" s="10">
        <f>REPT(" ",10)</f>
        <v/>
      </c>
      <c r="AF3403" s="10">
        <f>REPT(" ",20)</f>
        <v/>
      </c>
      <c r="AG3403" s="54">
        <f>REPT(" ",18-LEN(FIXED(F3403,2,TRUE)))&amp;FIXED(F3403,2,TRUE)</f>
        <v/>
      </c>
      <c r="AH3403" s="10">
        <f>LEN(AC3403)+LEN(AG3403)</f>
        <v/>
      </c>
      <c r="AI3403" s="10">
        <f>LEN(L3403)</f>
        <v/>
      </c>
    </row>
    <row r="3404">
      <c r="J3404" s="12">
        <f>IF(F3404&lt;&gt;0,"LANÇAR","")</f>
        <v/>
      </c>
      <c r="L3404" s="13">
        <f>N3404&amp;O3404&amp;P3404&amp;Q3404&amp;R3404&amp;S3404&amp;T3404&amp;U3404&amp;V3404&amp;W3404&amp;X3404&amp;Y3404&amp;Z3404&amp;AA3404&amp;AB3404&amp;AC3404&amp;AD3404&amp;AE3404&amp;AF3404&amp;AG3404</f>
        <v/>
      </c>
      <c r="N3404" s="10">
        <f>TEXT($B$6,"00")</f>
        <v/>
      </c>
      <c r="O3404" s="10">
        <f>REPT(" ",8)</f>
        <v/>
      </c>
      <c r="P3404" s="10">
        <f>RIGHT($B$4,2)</f>
        <v/>
      </c>
      <c r="Q3404" s="10">
        <f>RIGHT($B$5,3)</f>
        <v/>
      </c>
      <c r="R3404" s="10">
        <f>IF(A3404="D",LEFT(UPPER(B3404)&amp;REPT(" ",20),20),REPT(" ",20))</f>
        <v/>
      </c>
      <c r="S3404" s="10">
        <f>IF(A3404="D",LEFT(UPPER(C3404)&amp;REPT(" ",10),10)," ")</f>
        <v/>
      </c>
      <c r="T3404" s="10">
        <f>IF(A3404="D",LEFT(UPPER(D3404)&amp;REPT(" ",2),2)," ")</f>
        <v/>
      </c>
      <c r="U3404" s="10">
        <f>IF(A3404="D",LEFT(UPPER(E3404)&amp;REPT(" ",15),15)," ")</f>
        <v/>
      </c>
      <c r="V3404" s="10">
        <f>REPT(" ",24)</f>
        <v/>
      </c>
      <c r="W3404" s="10">
        <f>IF(A3404="c",LEFT(UPPER(B3404)&amp;REPT(" ",20),20),REPT(" ",20))</f>
        <v/>
      </c>
      <c r="X3404" s="10">
        <f>IF(A3404="C",LEFT(UPPER(C3404)&amp;REPT(" ",10),10)," ")</f>
        <v/>
      </c>
      <c r="Y3404" s="10">
        <f>IF(A3404="C",LEFT(UPPER(D3404)&amp;REPT(" ",2),2)," ")</f>
        <v/>
      </c>
      <c r="Z3404" s="10">
        <f>IF(A3404="C",LEFT(UPPER(E3404)&amp;REPT(" ",15),15)," ")</f>
        <v/>
      </c>
      <c r="AA3404" s="10">
        <f>REPT(" ",8)</f>
        <v/>
      </c>
      <c r="AB3404" s="10">
        <f>REPT(" ",4)</f>
        <v/>
      </c>
      <c r="AC3404" s="10">
        <f>LEFT(UPPER(H3404)&amp;REPT(" ",250),250)</f>
        <v/>
      </c>
      <c r="AD3404" s="10">
        <f>TEXT($G$2,"dd/mm/aaaa")</f>
        <v/>
      </c>
      <c r="AE3404" s="10">
        <f>REPT(" ",10)</f>
        <v/>
      </c>
      <c r="AF3404" s="10">
        <f>REPT(" ",20)</f>
        <v/>
      </c>
      <c r="AG3404" s="54">
        <f>REPT(" ",18-LEN(FIXED(F3404,2,TRUE)))&amp;FIXED(F3404,2,TRUE)</f>
        <v/>
      </c>
      <c r="AH3404" s="10">
        <f>LEN(AC3404)+LEN(AG3404)</f>
        <v/>
      </c>
      <c r="AI3404" s="10">
        <f>LEN(L3404)</f>
        <v/>
      </c>
    </row>
    <row r="3405">
      <c r="J3405" s="12">
        <f>IF(F3405&lt;&gt;0,"LANÇAR","")</f>
        <v/>
      </c>
      <c r="L3405" s="13">
        <f>N3405&amp;O3405&amp;P3405&amp;Q3405&amp;R3405&amp;S3405&amp;T3405&amp;U3405&amp;V3405&amp;W3405&amp;X3405&amp;Y3405&amp;Z3405&amp;AA3405&amp;AB3405&amp;AC3405&amp;AD3405&amp;AE3405&amp;AF3405&amp;AG3405</f>
        <v/>
      </c>
      <c r="N3405" s="10">
        <f>TEXT($B$6,"00")</f>
        <v/>
      </c>
      <c r="O3405" s="10">
        <f>REPT(" ",8)</f>
        <v/>
      </c>
      <c r="P3405" s="10">
        <f>RIGHT($B$4,2)</f>
        <v/>
      </c>
      <c r="Q3405" s="10">
        <f>RIGHT($B$5,3)</f>
        <v/>
      </c>
      <c r="R3405" s="10">
        <f>IF(A3405="D",LEFT(UPPER(B3405)&amp;REPT(" ",20),20),REPT(" ",20))</f>
        <v/>
      </c>
      <c r="S3405" s="10">
        <f>IF(A3405="D",LEFT(UPPER(C3405)&amp;REPT(" ",10),10)," ")</f>
        <v/>
      </c>
      <c r="T3405" s="10">
        <f>IF(A3405="D",LEFT(UPPER(D3405)&amp;REPT(" ",2),2)," ")</f>
        <v/>
      </c>
      <c r="U3405" s="10">
        <f>IF(A3405="D",LEFT(UPPER(E3405)&amp;REPT(" ",15),15)," ")</f>
        <v/>
      </c>
      <c r="V3405" s="10">
        <f>REPT(" ",24)</f>
        <v/>
      </c>
      <c r="W3405" s="10">
        <f>IF(A3405="c",LEFT(UPPER(B3405)&amp;REPT(" ",20),20),REPT(" ",20))</f>
        <v/>
      </c>
      <c r="X3405" s="10">
        <f>IF(A3405="C",LEFT(UPPER(C3405)&amp;REPT(" ",10),10)," ")</f>
        <v/>
      </c>
      <c r="Y3405" s="10">
        <f>IF(A3405="C",LEFT(UPPER(D3405)&amp;REPT(" ",2),2)," ")</f>
        <v/>
      </c>
      <c r="Z3405" s="10">
        <f>IF(A3405="C",LEFT(UPPER(E3405)&amp;REPT(" ",15),15)," ")</f>
        <v/>
      </c>
      <c r="AA3405" s="10">
        <f>REPT(" ",8)</f>
        <v/>
      </c>
      <c r="AB3405" s="10">
        <f>REPT(" ",4)</f>
        <v/>
      </c>
      <c r="AC3405" s="10">
        <f>LEFT(UPPER(H3405)&amp;REPT(" ",250),250)</f>
        <v/>
      </c>
      <c r="AD3405" s="10">
        <f>TEXT($G$2,"dd/mm/aaaa")</f>
        <v/>
      </c>
      <c r="AE3405" s="10">
        <f>REPT(" ",10)</f>
        <v/>
      </c>
      <c r="AF3405" s="10">
        <f>REPT(" ",20)</f>
        <v/>
      </c>
      <c r="AG3405" s="54">
        <f>REPT(" ",18-LEN(FIXED(F3405,2,TRUE)))&amp;FIXED(F3405,2,TRUE)</f>
        <v/>
      </c>
      <c r="AH3405" s="10">
        <f>LEN(AC3405)+LEN(AG3405)</f>
        <v/>
      </c>
      <c r="AI3405" s="10">
        <f>LEN(L3405)</f>
        <v/>
      </c>
    </row>
    <row r="3406">
      <c r="J3406" s="12">
        <f>IF(F3406&lt;&gt;0,"LANÇAR","")</f>
        <v/>
      </c>
      <c r="L3406" s="13">
        <f>N3406&amp;O3406&amp;P3406&amp;Q3406&amp;R3406&amp;S3406&amp;T3406&amp;U3406&amp;V3406&amp;W3406&amp;X3406&amp;Y3406&amp;Z3406&amp;AA3406&amp;AB3406&amp;AC3406&amp;AD3406&amp;AE3406&amp;AF3406&amp;AG3406</f>
        <v/>
      </c>
      <c r="N3406" s="10">
        <f>TEXT($B$6,"00")</f>
        <v/>
      </c>
      <c r="O3406" s="10">
        <f>REPT(" ",8)</f>
        <v/>
      </c>
      <c r="P3406" s="10">
        <f>RIGHT($B$4,2)</f>
        <v/>
      </c>
      <c r="Q3406" s="10">
        <f>RIGHT($B$5,3)</f>
        <v/>
      </c>
      <c r="R3406" s="10">
        <f>IF(A3406="D",LEFT(UPPER(B3406)&amp;REPT(" ",20),20),REPT(" ",20))</f>
        <v/>
      </c>
      <c r="S3406" s="10">
        <f>IF(A3406="D",LEFT(UPPER(C3406)&amp;REPT(" ",10),10)," ")</f>
        <v/>
      </c>
      <c r="T3406" s="10">
        <f>IF(A3406="D",LEFT(UPPER(D3406)&amp;REPT(" ",2),2)," ")</f>
        <v/>
      </c>
      <c r="U3406" s="10">
        <f>IF(A3406="D",LEFT(UPPER(E3406)&amp;REPT(" ",15),15)," ")</f>
        <v/>
      </c>
      <c r="V3406" s="10">
        <f>REPT(" ",24)</f>
        <v/>
      </c>
      <c r="W3406" s="10">
        <f>IF(A3406="c",LEFT(UPPER(B3406)&amp;REPT(" ",20),20),REPT(" ",20))</f>
        <v/>
      </c>
      <c r="X3406" s="10">
        <f>IF(A3406="C",LEFT(UPPER(C3406)&amp;REPT(" ",10),10)," ")</f>
        <v/>
      </c>
      <c r="Y3406" s="10">
        <f>IF(A3406="C",LEFT(UPPER(D3406)&amp;REPT(" ",2),2)," ")</f>
        <v/>
      </c>
      <c r="Z3406" s="10">
        <f>IF(A3406="C",LEFT(UPPER(E3406)&amp;REPT(" ",15),15)," ")</f>
        <v/>
      </c>
      <c r="AA3406" s="10">
        <f>REPT(" ",8)</f>
        <v/>
      </c>
      <c r="AB3406" s="10">
        <f>REPT(" ",4)</f>
        <v/>
      </c>
      <c r="AC3406" s="10">
        <f>LEFT(UPPER(H3406)&amp;REPT(" ",250),250)</f>
        <v/>
      </c>
      <c r="AD3406" s="10">
        <f>TEXT($G$2,"dd/mm/aaaa")</f>
        <v/>
      </c>
      <c r="AE3406" s="10">
        <f>REPT(" ",10)</f>
        <v/>
      </c>
      <c r="AF3406" s="10">
        <f>REPT(" ",20)</f>
        <v/>
      </c>
      <c r="AG3406" s="54">
        <f>REPT(" ",18-LEN(FIXED(F3406,2,TRUE)))&amp;FIXED(F3406,2,TRUE)</f>
        <v/>
      </c>
      <c r="AH3406" s="10">
        <f>LEN(AC3406)+LEN(AG3406)</f>
        <v/>
      </c>
      <c r="AI3406" s="10">
        <f>LEN(L3406)</f>
        <v/>
      </c>
    </row>
    <row r="3407">
      <c r="J3407" s="12">
        <f>IF(F3407&lt;&gt;0,"LANÇAR","")</f>
        <v/>
      </c>
      <c r="L3407" s="13">
        <f>N3407&amp;O3407&amp;P3407&amp;Q3407&amp;R3407&amp;S3407&amp;T3407&amp;U3407&amp;V3407&amp;W3407&amp;X3407&amp;Y3407&amp;Z3407&amp;AA3407&amp;AB3407&amp;AC3407&amp;AD3407&amp;AE3407&amp;AF3407&amp;AG3407</f>
        <v/>
      </c>
      <c r="N3407" s="10">
        <f>TEXT($B$6,"00")</f>
        <v/>
      </c>
      <c r="O3407" s="10">
        <f>REPT(" ",8)</f>
        <v/>
      </c>
      <c r="P3407" s="10">
        <f>RIGHT($B$4,2)</f>
        <v/>
      </c>
      <c r="Q3407" s="10">
        <f>RIGHT($B$5,3)</f>
        <v/>
      </c>
      <c r="R3407" s="10">
        <f>IF(A3407="D",LEFT(UPPER(B3407)&amp;REPT(" ",20),20),REPT(" ",20))</f>
        <v/>
      </c>
      <c r="S3407" s="10">
        <f>IF(A3407="D",LEFT(UPPER(C3407)&amp;REPT(" ",10),10)," ")</f>
        <v/>
      </c>
      <c r="T3407" s="10">
        <f>IF(A3407="D",LEFT(UPPER(D3407)&amp;REPT(" ",2),2)," ")</f>
        <v/>
      </c>
      <c r="U3407" s="10">
        <f>IF(A3407="D",LEFT(UPPER(E3407)&amp;REPT(" ",15),15)," ")</f>
        <v/>
      </c>
      <c r="V3407" s="10">
        <f>REPT(" ",24)</f>
        <v/>
      </c>
      <c r="W3407" s="10">
        <f>IF(A3407="c",LEFT(UPPER(B3407)&amp;REPT(" ",20),20),REPT(" ",20))</f>
        <v/>
      </c>
      <c r="X3407" s="10">
        <f>IF(A3407="C",LEFT(UPPER(C3407)&amp;REPT(" ",10),10)," ")</f>
        <v/>
      </c>
      <c r="Y3407" s="10">
        <f>IF(A3407="C",LEFT(UPPER(D3407)&amp;REPT(" ",2),2)," ")</f>
        <v/>
      </c>
      <c r="Z3407" s="10">
        <f>IF(A3407="C",LEFT(UPPER(E3407)&amp;REPT(" ",15),15)," ")</f>
        <v/>
      </c>
      <c r="AA3407" s="10">
        <f>REPT(" ",8)</f>
        <v/>
      </c>
      <c r="AB3407" s="10">
        <f>REPT(" ",4)</f>
        <v/>
      </c>
      <c r="AC3407" s="10">
        <f>LEFT(UPPER(H3407)&amp;REPT(" ",250),250)</f>
        <v/>
      </c>
      <c r="AD3407" s="10">
        <f>TEXT($G$2,"dd/mm/aaaa")</f>
        <v/>
      </c>
      <c r="AE3407" s="10">
        <f>REPT(" ",10)</f>
        <v/>
      </c>
      <c r="AF3407" s="10">
        <f>REPT(" ",20)</f>
        <v/>
      </c>
      <c r="AG3407" s="54">
        <f>REPT(" ",18-LEN(FIXED(F3407,2,TRUE)))&amp;FIXED(F3407,2,TRUE)</f>
        <v/>
      </c>
      <c r="AH3407" s="10">
        <f>LEN(AC3407)+LEN(AG3407)</f>
        <v/>
      </c>
      <c r="AI3407" s="10">
        <f>LEN(L3407)</f>
        <v/>
      </c>
    </row>
    <row r="3408">
      <c r="J3408" s="12">
        <f>IF(F3408&lt;&gt;0,"LANÇAR","")</f>
        <v/>
      </c>
      <c r="L3408" s="13">
        <f>N3408&amp;O3408&amp;P3408&amp;Q3408&amp;R3408&amp;S3408&amp;T3408&amp;U3408&amp;V3408&amp;W3408&amp;X3408&amp;Y3408&amp;Z3408&amp;AA3408&amp;AB3408&amp;AC3408&amp;AD3408&amp;AE3408&amp;AF3408&amp;AG3408</f>
        <v/>
      </c>
      <c r="N3408" s="10">
        <f>TEXT($B$6,"00")</f>
        <v/>
      </c>
      <c r="O3408" s="10">
        <f>REPT(" ",8)</f>
        <v/>
      </c>
      <c r="P3408" s="10">
        <f>RIGHT($B$4,2)</f>
        <v/>
      </c>
      <c r="Q3408" s="10">
        <f>RIGHT($B$5,3)</f>
        <v/>
      </c>
      <c r="R3408" s="10">
        <f>IF(A3408="D",LEFT(UPPER(B3408)&amp;REPT(" ",20),20),REPT(" ",20))</f>
        <v/>
      </c>
      <c r="S3408" s="10">
        <f>IF(A3408="D",LEFT(UPPER(C3408)&amp;REPT(" ",10),10)," ")</f>
        <v/>
      </c>
      <c r="T3408" s="10">
        <f>IF(A3408="D",LEFT(UPPER(D3408)&amp;REPT(" ",2),2)," ")</f>
        <v/>
      </c>
      <c r="U3408" s="10">
        <f>IF(A3408="D",LEFT(UPPER(E3408)&amp;REPT(" ",15),15)," ")</f>
        <v/>
      </c>
      <c r="V3408" s="10">
        <f>REPT(" ",24)</f>
        <v/>
      </c>
      <c r="W3408" s="10">
        <f>IF(A3408="c",LEFT(UPPER(B3408)&amp;REPT(" ",20),20),REPT(" ",20))</f>
        <v/>
      </c>
      <c r="X3408" s="10">
        <f>IF(A3408="C",LEFT(UPPER(C3408)&amp;REPT(" ",10),10)," ")</f>
        <v/>
      </c>
      <c r="Y3408" s="10">
        <f>IF(A3408="C",LEFT(UPPER(D3408)&amp;REPT(" ",2),2)," ")</f>
        <v/>
      </c>
      <c r="Z3408" s="10">
        <f>IF(A3408="C",LEFT(UPPER(E3408)&amp;REPT(" ",15),15)," ")</f>
        <v/>
      </c>
      <c r="AA3408" s="10">
        <f>REPT(" ",8)</f>
        <v/>
      </c>
      <c r="AB3408" s="10">
        <f>REPT(" ",4)</f>
        <v/>
      </c>
      <c r="AC3408" s="10">
        <f>LEFT(UPPER(H3408)&amp;REPT(" ",250),250)</f>
        <v/>
      </c>
      <c r="AD3408" s="10">
        <f>TEXT($G$2,"dd/mm/aaaa")</f>
        <v/>
      </c>
      <c r="AE3408" s="10">
        <f>REPT(" ",10)</f>
        <v/>
      </c>
      <c r="AF3408" s="10">
        <f>REPT(" ",20)</f>
        <v/>
      </c>
      <c r="AG3408" s="54">
        <f>REPT(" ",18-LEN(FIXED(F3408,2,TRUE)))&amp;FIXED(F3408,2,TRUE)</f>
        <v/>
      </c>
      <c r="AH3408" s="10">
        <f>LEN(AC3408)+LEN(AG3408)</f>
        <v/>
      </c>
      <c r="AI3408" s="10">
        <f>LEN(L3408)</f>
        <v/>
      </c>
    </row>
    <row r="3409">
      <c r="J3409" s="12">
        <f>IF(F3409&lt;&gt;0,"LANÇAR","")</f>
        <v/>
      </c>
      <c r="L3409" s="13">
        <f>N3409&amp;O3409&amp;P3409&amp;Q3409&amp;R3409&amp;S3409&amp;T3409&amp;U3409&amp;V3409&amp;W3409&amp;X3409&amp;Y3409&amp;Z3409&amp;AA3409&amp;AB3409&amp;AC3409&amp;AD3409&amp;AE3409&amp;AF3409&amp;AG3409</f>
        <v/>
      </c>
      <c r="N3409" s="10">
        <f>TEXT($B$6,"00")</f>
        <v/>
      </c>
      <c r="O3409" s="10">
        <f>REPT(" ",8)</f>
        <v/>
      </c>
      <c r="P3409" s="10">
        <f>RIGHT($B$4,2)</f>
        <v/>
      </c>
      <c r="Q3409" s="10">
        <f>RIGHT($B$5,3)</f>
        <v/>
      </c>
      <c r="R3409" s="10">
        <f>IF(A3409="D",LEFT(UPPER(B3409)&amp;REPT(" ",20),20),REPT(" ",20))</f>
        <v/>
      </c>
      <c r="S3409" s="10">
        <f>IF(A3409="D",LEFT(UPPER(C3409)&amp;REPT(" ",10),10)," ")</f>
        <v/>
      </c>
      <c r="T3409" s="10">
        <f>IF(A3409="D",LEFT(UPPER(D3409)&amp;REPT(" ",2),2)," ")</f>
        <v/>
      </c>
      <c r="U3409" s="10">
        <f>IF(A3409="D",LEFT(UPPER(E3409)&amp;REPT(" ",15),15)," ")</f>
        <v/>
      </c>
      <c r="V3409" s="10">
        <f>REPT(" ",24)</f>
        <v/>
      </c>
      <c r="W3409" s="10">
        <f>IF(A3409="c",LEFT(UPPER(B3409)&amp;REPT(" ",20),20),REPT(" ",20))</f>
        <v/>
      </c>
      <c r="X3409" s="10">
        <f>IF(A3409="C",LEFT(UPPER(C3409)&amp;REPT(" ",10),10)," ")</f>
        <v/>
      </c>
      <c r="Y3409" s="10">
        <f>IF(A3409="C",LEFT(UPPER(D3409)&amp;REPT(" ",2),2)," ")</f>
        <v/>
      </c>
      <c r="Z3409" s="10">
        <f>IF(A3409="C",LEFT(UPPER(E3409)&amp;REPT(" ",15),15)," ")</f>
        <v/>
      </c>
      <c r="AA3409" s="10">
        <f>REPT(" ",8)</f>
        <v/>
      </c>
      <c r="AB3409" s="10">
        <f>REPT(" ",4)</f>
        <v/>
      </c>
      <c r="AC3409" s="10">
        <f>LEFT(UPPER(H3409)&amp;REPT(" ",250),250)</f>
        <v/>
      </c>
      <c r="AD3409" s="10">
        <f>TEXT($G$2,"dd/mm/aaaa")</f>
        <v/>
      </c>
      <c r="AE3409" s="10">
        <f>REPT(" ",10)</f>
        <v/>
      </c>
      <c r="AF3409" s="10">
        <f>REPT(" ",20)</f>
        <v/>
      </c>
      <c r="AG3409" s="54">
        <f>REPT(" ",18-LEN(FIXED(F3409,2,TRUE)))&amp;FIXED(F3409,2,TRUE)</f>
        <v/>
      </c>
      <c r="AH3409" s="10">
        <f>LEN(AC3409)+LEN(AG3409)</f>
        <v/>
      </c>
      <c r="AI3409" s="10">
        <f>LEN(L3409)</f>
        <v/>
      </c>
    </row>
    <row r="3410">
      <c r="J3410" s="12">
        <f>IF(F3410&lt;&gt;0,"LANÇAR","")</f>
        <v/>
      </c>
      <c r="L3410" s="13">
        <f>N3410&amp;O3410&amp;P3410&amp;Q3410&amp;R3410&amp;S3410&amp;T3410&amp;U3410&amp;V3410&amp;W3410&amp;X3410&amp;Y3410&amp;Z3410&amp;AA3410&amp;AB3410&amp;AC3410&amp;AD3410&amp;AE3410&amp;AF3410&amp;AG3410</f>
        <v/>
      </c>
      <c r="N3410" s="10">
        <f>TEXT($B$6,"00")</f>
        <v/>
      </c>
      <c r="O3410" s="10">
        <f>REPT(" ",8)</f>
        <v/>
      </c>
      <c r="P3410" s="10">
        <f>RIGHT($B$4,2)</f>
        <v/>
      </c>
      <c r="Q3410" s="10">
        <f>RIGHT($B$5,3)</f>
        <v/>
      </c>
      <c r="R3410" s="10">
        <f>IF(A3410="D",LEFT(UPPER(B3410)&amp;REPT(" ",20),20),REPT(" ",20))</f>
        <v/>
      </c>
      <c r="S3410" s="10">
        <f>IF(A3410="D",LEFT(UPPER(C3410)&amp;REPT(" ",10),10)," ")</f>
        <v/>
      </c>
      <c r="T3410" s="10">
        <f>IF(A3410="D",LEFT(UPPER(D3410)&amp;REPT(" ",2),2)," ")</f>
        <v/>
      </c>
      <c r="U3410" s="10">
        <f>IF(A3410="D",LEFT(UPPER(E3410)&amp;REPT(" ",15),15)," ")</f>
        <v/>
      </c>
      <c r="V3410" s="10">
        <f>REPT(" ",24)</f>
        <v/>
      </c>
      <c r="W3410" s="10">
        <f>IF(A3410="c",LEFT(UPPER(B3410)&amp;REPT(" ",20),20),REPT(" ",20))</f>
        <v/>
      </c>
      <c r="X3410" s="10">
        <f>IF(A3410="C",LEFT(UPPER(C3410)&amp;REPT(" ",10),10)," ")</f>
        <v/>
      </c>
      <c r="Y3410" s="10">
        <f>IF(A3410="C",LEFT(UPPER(D3410)&amp;REPT(" ",2),2)," ")</f>
        <v/>
      </c>
      <c r="Z3410" s="10">
        <f>IF(A3410="C",LEFT(UPPER(E3410)&amp;REPT(" ",15),15)," ")</f>
        <v/>
      </c>
      <c r="AA3410" s="10">
        <f>REPT(" ",8)</f>
        <v/>
      </c>
      <c r="AB3410" s="10">
        <f>REPT(" ",4)</f>
        <v/>
      </c>
      <c r="AC3410" s="10">
        <f>LEFT(UPPER(H3410)&amp;REPT(" ",250),250)</f>
        <v/>
      </c>
      <c r="AD3410" s="10">
        <f>TEXT($G$2,"dd/mm/aaaa")</f>
        <v/>
      </c>
      <c r="AE3410" s="10">
        <f>REPT(" ",10)</f>
        <v/>
      </c>
      <c r="AF3410" s="10">
        <f>REPT(" ",20)</f>
        <v/>
      </c>
      <c r="AG3410" s="54">
        <f>REPT(" ",18-LEN(FIXED(F3410,2,TRUE)))&amp;FIXED(F3410,2,TRUE)</f>
        <v/>
      </c>
      <c r="AH3410" s="10">
        <f>LEN(AC3410)+LEN(AG3410)</f>
        <v/>
      </c>
      <c r="AI3410" s="10">
        <f>LEN(L3410)</f>
        <v/>
      </c>
    </row>
    <row r="3411">
      <c r="J3411" s="12">
        <f>IF(F3411&lt;&gt;0,"LANÇAR","")</f>
        <v/>
      </c>
      <c r="L3411" s="13">
        <f>N3411&amp;O3411&amp;P3411&amp;Q3411&amp;R3411&amp;S3411&amp;T3411&amp;U3411&amp;V3411&amp;W3411&amp;X3411&amp;Y3411&amp;Z3411&amp;AA3411&amp;AB3411&amp;AC3411&amp;AD3411&amp;AE3411&amp;AF3411&amp;AG3411</f>
        <v/>
      </c>
      <c r="N3411" s="10">
        <f>TEXT($B$6,"00")</f>
        <v/>
      </c>
      <c r="O3411" s="10">
        <f>REPT(" ",8)</f>
        <v/>
      </c>
      <c r="P3411" s="10">
        <f>RIGHT($B$4,2)</f>
        <v/>
      </c>
      <c r="Q3411" s="10">
        <f>RIGHT($B$5,3)</f>
        <v/>
      </c>
      <c r="R3411" s="10">
        <f>IF(A3411="D",LEFT(UPPER(B3411)&amp;REPT(" ",20),20),REPT(" ",20))</f>
        <v/>
      </c>
      <c r="S3411" s="10">
        <f>IF(A3411="D",LEFT(UPPER(C3411)&amp;REPT(" ",10),10)," ")</f>
        <v/>
      </c>
      <c r="T3411" s="10">
        <f>IF(A3411="D",LEFT(UPPER(D3411)&amp;REPT(" ",2),2)," ")</f>
        <v/>
      </c>
      <c r="U3411" s="10">
        <f>IF(A3411="D",LEFT(UPPER(E3411)&amp;REPT(" ",15),15)," ")</f>
        <v/>
      </c>
      <c r="V3411" s="10">
        <f>REPT(" ",24)</f>
        <v/>
      </c>
      <c r="W3411" s="10">
        <f>IF(A3411="c",LEFT(UPPER(B3411)&amp;REPT(" ",20),20),REPT(" ",20))</f>
        <v/>
      </c>
      <c r="X3411" s="10">
        <f>IF(A3411="C",LEFT(UPPER(C3411)&amp;REPT(" ",10),10)," ")</f>
        <v/>
      </c>
      <c r="Y3411" s="10">
        <f>IF(A3411="C",LEFT(UPPER(D3411)&amp;REPT(" ",2),2)," ")</f>
        <v/>
      </c>
      <c r="Z3411" s="10">
        <f>IF(A3411="C",LEFT(UPPER(E3411)&amp;REPT(" ",15),15)," ")</f>
        <v/>
      </c>
      <c r="AA3411" s="10">
        <f>REPT(" ",8)</f>
        <v/>
      </c>
      <c r="AB3411" s="10">
        <f>REPT(" ",4)</f>
        <v/>
      </c>
      <c r="AC3411" s="10">
        <f>LEFT(UPPER(H3411)&amp;REPT(" ",250),250)</f>
        <v/>
      </c>
      <c r="AD3411" s="10">
        <f>TEXT($G$2,"dd/mm/aaaa")</f>
        <v/>
      </c>
      <c r="AE3411" s="10">
        <f>REPT(" ",10)</f>
        <v/>
      </c>
      <c r="AF3411" s="10">
        <f>REPT(" ",20)</f>
        <v/>
      </c>
      <c r="AG3411" s="54">
        <f>REPT(" ",18-LEN(FIXED(F3411,2,TRUE)))&amp;FIXED(F3411,2,TRUE)</f>
        <v/>
      </c>
      <c r="AH3411" s="10">
        <f>LEN(AC3411)+LEN(AG3411)</f>
        <v/>
      </c>
      <c r="AI3411" s="10">
        <f>LEN(L3411)</f>
        <v/>
      </c>
    </row>
    <row r="3412">
      <c r="J3412" s="12">
        <f>IF(F3412&lt;&gt;0,"LANÇAR","")</f>
        <v/>
      </c>
      <c r="L3412" s="13">
        <f>N3412&amp;O3412&amp;P3412&amp;Q3412&amp;R3412&amp;S3412&amp;T3412&amp;U3412&amp;V3412&amp;W3412&amp;X3412&amp;Y3412&amp;Z3412&amp;AA3412&amp;AB3412&amp;AC3412&amp;AD3412&amp;AE3412&amp;AF3412&amp;AG3412</f>
        <v/>
      </c>
      <c r="N3412" s="10">
        <f>TEXT($B$6,"00")</f>
        <v/>
      </c>
      <c r="O3412" s="10">
        <f>REPT(" ",8)</f>
        <v/>
      </c>
      <c r="P3412" s="10">
        <f>RIGHT($B$4,2)</f>
        <v/>
      </c>
      <c r="Q3412" s="10">
        <f>RIGHT($B$5,3)</f>
        <v/>
      </c>
      <c r="R3412" s="10">
        <f>IF(A3412="D",LEFT(UPPER(B3412)&amp;REPT(" ",20),20),REPT(" ",20))</f>
        <v/>
      </c>
      <c r="S3412" s="10">
        <f>IF(A3412="D",LEFT(UPPER(C3412)&amp;REPT(" ",10),10)," ")</f>
        <v/>
      </c>
      <c r="T3412" s="10">
        <f>IF(A3412="D",LEFT(UPPER(D3412)&amp;REPT(" ",2),2)," ")</f>
        <v/>
      </c>
      <c r="U3412" s="10">
        <f>IF(A3412="D",LEFT(UPPER(E3412)&amp;REPT(" ",15),15)," ")</f>
        <v/>
      </c>
      <c r="V3412" s="10">
        <f>REPT(" ",24)</f>
        <v/>
      </c>
      <c r="W3412" s="10">
        <f>IF(A3412="c",LEFT(UPPER(B3412)&amp;REPT(" ",20),20),REPT(" ",20))</f>
        <v/>
      </c>
      <c r="X3412" s="10">
        <f>IF(A3412="C",LEFT(UPPER(C3412)&amp;REPT(" ",10),10)," ")</f>
        <v/>
      </c>
      <c r="Y3412" s="10">
        <f>IF(A3412="C",LEFT(UPPER(D3412)&amp;REPT(" ",2),2)," ")</f>
        <v/>
      </c>
      <c r="Z3412" s="10">
        <f>IF(A3412="C",LEFT(UPPER(E3412)&amp;REPT(" ",15),15)," ")</f>
        <v/>
      </c>
      <c r="AA3412" s="10">
        <f>REPT(" ",8)</f>
        <v/>
      </c>
      <c r="AB3412" s="10">
        <f>REPT(" ",4)</f>
        <v/>
      </c>
      <c r="AC3412" s="10">
        <f>LEFT(UPPER(H3412)&amp;REPT(" ",250),250)</f>
        <v/>
      </c>
      <c r="AD3412" s="10">
        <f>TEXT($G$2,"dd/mm/aaaa")</f>
        <v/>
      </c>
      <c r="AE3412" s="10">
        <f>REPT(" ",10)</f>
        <v/>
      </c>
      <c r="AF3412" s="10">
        <f>REPT(" ",20)</f>
        <v/>
      </c>
      <c r="AG3412" s="54">
        <f>REPT(" ",18-LEN(FIXED(F3412,2,TRUE)))&amp;FIXED(F3412,2,TRUE)</f>
        <v/>
      </c>
      <c r="AH3412" s="10">
        <f>LEN(AC3412)+LEN(AG3412)</f>
        <v/>
      </c>
      <c r="AI3412" s="10">
        <f>LEN(L3412)</f>
        <v/>
      </c>
    </row>
    <row r="3413">
      <c r="J3413" s="12">
        <f>IF(F3413&lt;&gt;0,"LANÇAR","")</f>
        <v/>
      </c>
      <c r="L3413" s="13">
        <f>N3413&amp;O3413&amp;P3413&amp;Q3413&amp;R3413&amp;S3413&amp;T3413&amp;U3413&amp;V3413&amp;W3413&amp;X3413&amp;Y3413&amp;Z3413&amp;AA3413&amp;AB3413&amp;AC3413&amp;AD3413&amp;AE3413&amp;AF3413&amp;AG3413</f>
        <v/>
      </c>
      <c r="N3413" s="10">
        <f>TEXT($B$6,"00")</f>
        <v/>
      </c>
      <c r="O3413" s="10">
        <f>REPT(" ",8)</f>
        <v/>
      </c>
      <c r="P3413" s="10">
        <f>RIGHT($B$4,2)</f>
        <v/>
      </c>
      <c r="Q3413" s="10">
        <f>RIGHT($B$5,3)</f>
        <v/>
      </c>
      <c r="R3413" s="10">
        <f>IF(A3413="D",LEFT(UPPER(B3413)&amp;REPT(" ",20),20),REPT(" ",20))</f>
        <v/>
      </c>
      <c r="S3413" s="10">
        <f>IF(A3413="D",LEFT(UPPER(C3413)&amp;REPT(" ",10),10)," ")</f>
        <v/>
      </c>
      <c r="T3413" s="10">
        <f>IF(A3413="D",LEFT(UPPER(D3413)&amp;REPT(" ",2),2)," ")</f>
        <v/>
      </c>
      <c r="U3413" s="10">
        <f>IF(A3413="D",LEFT(UPPER(E3413)&amp;REPT(" ",15),15)," ")</f>
        <v/>
      </c>
      <c r="V3413" s="10">
        <f>REPT(" ",24)</f>
        <v/>
      </c>
      <c r="W3413" s="10">
        <f>IF(A3413="c",LEFT(UPPER(B3413)&amp;REPT(" ",20),20),REPT(" ",20))</f>
        <v/>
      </c>
      <c r="X3413" s="10">
        <f>IF(A3413="C",LEFT(UPPER(C3413)&amp;REPT(" ",10),10)," ")</f>
        <v/>
      </c>
      <c r="Y3413" s="10">
        <f>IF(A3413="C",LEFT(UPPER(D3413)&amp;REPT(" ",2),2)," ")</f>
        <v/>
      </c>
      <c r="Z3413" s="10">
        <f>IF(A3413="C",LEFT(UPPER(E3413)&amp;REPT(" ",15),15)," ")</f>
        <v/>
      </c>
      <c r="AA3413" s="10">
        <f>REPT(" ",8)</f>
        <v/>
      </c>
      <c r="AB3413" s="10">
        <f>REPT(" ",4)</f>
        <v/>
      </c>
      <c r="AC3413" s="10">
        <f>LEFT(UPPER(H3413)&amp;REPT(" ",250),250)</f>
        <v/>
      </c>
      <c r="AD3413" s="10">
        <f>TEXT($G$2,"dd/mm/aaaa")</f>
        <v/>
      </c>
      <c r="AE3413" s="10">
        <f>REPT(" ",10)</f>
        <v/>
      </c>
      <c r="AF3413" s="10">
        <f>REPT(" ",20)</f>
        <v/>
      </c>
      <c r="AG3413" s="54">
        <f>REPT(" ",18-LEN(FIXED(F3413,2,TRUE)))&amp;FIXED(F3413,2,TRUE)</f>
        <v/>
      </c>
      <c r="AH3413" s="10">
        <f>LEN(AC3413)+LEN(AG3413)</f>
        <v/>
      </c>
      <c r="AI3413" s="10">
        <f>LEN(L3413)</f>
        <v/>
      </c>
    </row>
    <row r="3414">
      <c r="J3414" s="12">
        <f>IF(F3414&lt;&gt;0,"LANÇAR","")</f>
        <v/>
      </c>
      <c r="L3414" s="13">
        <f>N3414&amp;O3414&amp;P3414&amp;Q3414&amp;R3414&amp;S3414&amp;T3414&amp;U3414&amp;V3414&amp;W3414&amp;X3414&amp;Y3414&amp;Z3414&amp;AA3414&amp;AB3414&amp;AC3414&amp;AD3414&amp;AE3414&amp;AF3414&amp;AG3414</f>
        <v/>
      </c>
      <c r="N3414" s="10">
        <f>TEXT($B$6,"00")</f>
        <v/>
      </c>
      <c r="O3414" s="10">
        <f>REPT(" ",8)</f>
        <v/>
      </c>
      <c r="P3414" s="10">
        <f>RIGHT($B$4,2)</f>
        <v/>
      </c>
      <c r="Q3414" s="10">
        <f>RIGHT($B$5,3)</f>
        <v/>
      </c>
      <c r="R3414" s="10">
        <f>IF(A3414="D",LEFT(UPPER(B3414)&amp;REPT(" ",20),20),REPT(" ",20))</f>
        <v/>
      </c>
      <c r="S3414" s="10">
        <f>IF(A3414="D",LEFT(UPPER(C3414)&amp;REPT(" ",10),10)," ")</f>
        <v/>
      </c>
      <c r="T3414" s="10">
        <f>IF(A3414="D",LEFT(UPPER(D3414)&amp;REPT(" ",2),2)," ")</f>
        <v/>
      </c>
      <c r="U3414" s="10">
        <f>IF(A3414="D",LEFT(UPPER(E3414)&amp;REPT(" ",15),15)," ")</f>
        <v/>
      </c>
      <c r="V3414" s="10">
        <f>REPT(" ",24)</f>
        <v/>
      </c>
      <c r="W3414" s="10">
        <f>IF(A3414="c",LEFT(UPPER(B3414)&amp;REPT(" ",20),20),REPT(" ",20))</f>
        <v/>
      </c>
      <c r="X3414" s="10">
        <f>IF(A3414="C",LEFT(UPPER(C3414)&amp;REPT(" ",10),10)," ")</f>
        <v/>
      </c>
      <c r="Y3414" s="10">
        <f>IF(A3414="C",LEFT(UPPER(D3414)&amp;REPT(" ",2),2)," ")</f>
        <v/>
      </c>
      <c r="Z3414" s="10">
        <f>IF(A3414="C",LEFT(UPPER(E3414)&amp;REPT(" ",15),15)," ")</f>
        <v/>
      </c>
      <c r="AA3414" s="10">
        <f>REPT(" ",8)</f>
        <v/>
      </c>
      <c r="AB3414" s="10">
        <f>REPT(" ",4)</f>
        <v/>
      </c>
      <c r="AC3414" s="10">
        <f>LEFT(UPPER(H3414)&amp;REPT(" ",250),250)</f>
        <v/>
      </c>
      <c r="AD3414" s="10">
        <f>TEXT($G$2,"dd/mm/aaaa")</f>
        <v/>
      </c>
      <c r="AE3414" s="10">
        <f>REPT(" ",10)</f>
        <v/>
      </c>
      <c r="AF3414" s="10">
        <f>REPT(" ",20)</f>
        <v/>
      </c>
      <c r="AG3414" s="54">
        <f>REPT(" ",18-LEN(FIXED(F3414,2,TRUE)))&amp;FIXED(F3414,2,TRUE)</f>
        <v/>
      </c>
      <c r="AH3414" s="10">
        <f>LEN(AC3414)+LEN(AG3414)</f>
        <v/>
      </c>
      <c r="AI3414" s="10">
        <f>LEN(L3414)</f>
        <v/>
      </c>
    </row>
    <row r="3415">
      <c r="J3415" s="12">
        <f>IF(F3415&lt;&gt;0,"LANÇAR","")</f>
        <v/>
      </c>
      <c r="L3415" s="13">
        <f>N3415&amp;O3415&amp;P3415&amp;Q3415&amp;R3415&amp;S3415&amp;T3415&amp;U3415&amp;V3415&amp;W3415&amp;X3415&amp;Y3415&amp;Z3415&amp;AA3415&amp;AB3415&amp;AC3415&amp;AD3415&amp;AE3415&amp;AF3415&amp;AG3415</f>
        <v/>
      </c>
      <c r="N3415" s="10">
        <f>TEXT($B$6,"00")</f>
        <v/>
      </c>
      <c r="O3415" s="10">
        <f>REPT(" ",8)</f>
        <v/>
      </c>
      <c r="P3415" s="10">
        <f>RIGHT($B$4,2)</f>
        <v/>
      </c>
      <c r="Q3415" s="10">
        <f>RIGHT($B$5,3)</f>
        <v/>
      </c>
      <c r="R3415" s="10">
        <f>IF(A3415="D",LEFT(UPPER(B3415)&amp;REPT(" ",20),20),REPT(" ",20))</f>
        <v/>
      </c>
      <c r="S3415" s="10">
        <f>IF(A3415="D",LEFT(UPPER(C3415)&amp;REPT(" ",10),10)," ")</f>
        <v/>
      </c>
      <c r="T3415" s="10">
        <f>IF(A3415="D",LEFT(UPPER(D3415)&amp;REPT(" ",2),2)," ")</f>
        <v/>
      </c>
      <c r="U3415" s="10">
        <f>IF(A3415="D",LEFT(UPPER(E3415)&amp;REPT(" ",15),15)," ")</f>
        <v/>
      </c>
      <c r="V3415" s="10">
        <f>REPT(" ",24)</f>
        <v/>
      </c>
      <c r="W3415" s="10">
        <f>IF(A3415="c",LEFT(UPPER(B3415)&amp;REPT(" ",20),20),REPT(" ",20))</f>
        <v/>
      </c>
      <c r="X3415" s="10">
        <f>IF(A3415="C",LEFT(UPPER(C3415)&amp;REPT(" ",10),10)," ")</f>
        <v/>
      </c>
      <c r="Y3415" s="10">
        <f>IF(A3415="C",LEFT(UPPER(D3415)&amp;REPT(" ",2),2)," ")</f>
        <v/>
      </c>
      <c r="Z3415" s="10">
        <f>IF(A3415="C",LEFT(UPPER(E3415)&amp;REPT(" ",15),15)," ")</f>
        <v/>
      </c>
      <c r="AA3415" s="10">
        <f>REPT(" ",8)</f>
        <v/>
      </c>
      <c r="AB3415" s="10">
        <f>REPT(" ",4)</f>
        <v/>
      </c>
      <c r="AC3415" s="10">
        <f>LEFT(UPPER(H3415)&amp;REPT(" ",250),250)</f>
        <v/>
      </c>
      <c r="AD3415" s="10">
        <f>TEXT($G$2,"dd/mm/aaaa")</f>
        <v/>
      </c>
      <c r="AE3415" s="10">
        <f>REPT(" ",10)</f>
        <v/>
      </c>
      <c r="AF3415" s="10">
        <f>REPT(" ",20)</f>
        <v/>
      </c>
      <c r="AG3415" s="54">
        <f>REPT(" ",18-LEN(FIXED(F3415,2,TRUE)))&amp;FIXED(F3415,2,TRUE)</f>
        <v/>
      </c>
      <c r="AH3415" s="10">
        <f>LEN(AC3415)+LEN(AG3415)</f>
        <v/>
      </c>
      <c r="AI3415" s="10">
        <f>LEN(L3415)</f>
        <v/>
      </c>
    </row>
    <row r="3416">
      <c r="J3416" s="12">
        <f>IF(F3416&lt;&gt;0,"LANÇAR","")</f>
        <v/>
      </c>
      <c r="L3416" s="13">
        <f>N3416&amp;O3416&amp;P3416&amp;Q3416&amp;R3416&amp;S3416&amp;T3416&amp;U3416&amp;V3416&amp;W3416&amp;X3416&amp;Y3416&amp;Z3416&amp;AA3416&amp;AB3416&amp;AC3416&amp;AD3416&amp;AE3416&amp;AF3416&amp;AG3416</f>
        <v/>
      </c>
      <c r="N3416" s="10">
        <f>TEXT($B$6,"00")</f>
        <v/>
      </c>
      <c r="O3416" s="10">
        <f>REPT(" ",8)</f>
        <v/>
      </c>
      <c r="P3416" s="10">
        <f>RIGHT($B$4,2)</f>
        <v/>
      </c>
      <c r="Q3416" s="10">
        <f>RIGHT($B$5,3)</f>
        <v/>
      </c>
      <c r="R3416" s="10">
        <f>IF(A3416="D",LEFT(UPPER(B3416)&amp;REPT(" ",20),20),REPT(" ",20))</f>
        <v/>
      </c>
      <c r="S3416" s="10">
        <f>IF(A3416="D",LEFT(UPPER(C3416)&amp;REPT(" ",10),10)," ")</f>
        <v/>
      </c>
      <c r="T3416" s="10">
        <f>IF(A3416="D",LEFT(UPPER(D3416)&amp;REPT(" ",2),2)," ")</f>
        <v/>
      </c>
      <c r="U3416" s="10">
        <f>IF(A3416="D",LEFT(UPPER(E3416)&amp;REPT(" ",15),15)," ")</f>
        <v/>
      </c>
      <c r="V3416" s="10">
        <f>REPT(" ",24)</f>
        <v/>
      </c>
      <c r="W3416" s="10">
        <f>IF(A3416="c",LEFT(UPPER(B3416)&amp;REPT(" ",20),20),REPT(" ",20))</f>
        <v/>
      </c>
      <c r="X3416" s="10">
        <f>IF(A3416="C",LEFT(UPPER(C3416)&amp;REPT(" ",10),10)," ")</f>
        <v/>
      </c>
      <c r="Y3416" s="10">
        <f>IF(A3416="C",LEFT(UPPER(D3416)&amp;REPT(" ",2),2)," ")</f>
        <v/>
      </c>
      <c r="Z3416" s="10">
        <f>IF(A3416="C",LEFT(UPPER(E3416)&amp;REPT(" ",15),15)," ")</f>
        <v/>
      </c>
      <c r="AA3416" s="10">
        <f>REPT(" ",8)</f>
        <v/>
      </c>
      <c r="AB3416" s="10">
        <f>REPT(" ",4)</f>
        <v/>
      </c>
      <c r="AC3416" s="10">
        <f>LEFT(UPPER(H3416)&amp;REPT(" ",250),250)</f>
        <v/>
      </c>
      <c r="AD3416" s="10">
        <f>TEXT($G$2,"dd/mm/aaaa")</f>
        <v/>
      </c>
      <c r="AE3416" s="10">
        <f>REPT(" ",10)</f>
        <v/>
      </c>
      <c r="AF3416" s="10">
        <f>REPT(" ",20)</f>
        <v/>
      </c>
      <c r="AG3416" s="54">
        <f>REPT(" ",18-LEN(FIXED(F3416,2,TRUE)))&amp;FIXED(F3416,2,TRUE)</f>
        <v/>
      </c>
      <c r="AH3416" s="10">
        <f>LEN(AC3416)+LEN(AG3416)</f>
        <v/>
      </c>
      <c r="AI3416" s="10">
        <f>LEN(L3416)</f>
        <v/>
      </c>
    </row>
    <row r="3417">
      <c r="J3417" s="12">
        <f>IF(F3417&lt;&gt;0,"LANÇAR","")</f>
        <v/>
      </c>
      <c r="L3417" s="13">
        <f>N3417&amp;O3417&amp;P3417&amp;Q3417&amp;R3417&amp;S3417&amp;T3417&amp;U3417&amp;V3417&amp;W3417&amp;X3417&amp;Y3417&amp;Z3417&amp;AA3417&amp;AB3417&amp;AC3417&amp;AD3417&amp;AE3417&amp;AF3417&amp;AG3417</f>
        <v/>
      </c>
      <c r="N3417" s="10">
        <f>TEXT($B$6,"00")</f>
        <v/>
      </c>
      <c r="O3417" s="10">
        <f>REPT(" ",8)</f>
        <v/>
      </c>
      <c r="P3417" s="10">
        <f>RIGHT($B$4,2)</f>
        <v/>
      </c>
      <c r="Q3417" s="10">
        <f>RIGHT($B$5,3)</f>
        <v/>
      </c>
      <c r="R3417" s="10">
        <f>IF(A3417="D",LEFT(UPPER(B3417)&amp;REPT(" ",20),20),REPT(" ",20))</f>
        <v/>
      </c>
      <c r="S3417" s="10">
        <f>IF(A3417="D",LEFT(UPPER(C3417)&amp;REPT(" ",10),10)," ")</f>
        <v/>
      </c>
      <c r="T3417" s="10">
        <f>IF(A3417="D",LEFT(UPPER(D3417)&amp;REPT(" ",2),2)," ")</f>
        <v/>
      </c>
      <c r="U3417" s="10">
        <f>IF(A3417="D",LEFT(UPPER(E3417)&amp;REPT(" ",15),15)," ")</f>
        <v/>
      </c>
      <c r="V3417" s="10">
        <f>REPT(" ",24)</f>
        <v/>
      </c>
      <c r="W3417" s="10">
        <f>IF(A3417="c",LEFT(UPPER(B3417)&amp;REPT(" ",20),20),REPT(" ",20))</f>
        <v/>
      </c>
      <c r="X3417" s="10">
        <f>IF(A3417="C",LEFT(UPPER(C3417)&amp;REPT(" ",10),10)," ")</f>
        <v/>
      </c>
      <c r="Y3417" s="10">
        <f>IF(A3417="C",LEFT(UPPER(D3417)&amp;REPT(" ",2),2)," ")</f>
        <v/>
      </c>
      <c r="Z3417" s="10">
        <f>IF(A3417="C",LEFT(UPPER(E3417)&amp;REPT(" ",15),15)," ")</f>
        <v/>
      </c>
      <c r="AA3417" s="10">
        <f>REPT(" ",8)</f>
        <v/>
      </c>
      <c r="AB3417" s="10">
        <f>REPT(" ",4)</f>
        <v/>
      </c>
      <c r="AC3417" s="10">
        <f>LEFT(UPPER(H3417)&amp;REPT(" ",250),250)</f>
        <v/>
      </c>
      <c r="AD3417" s="10">
        <f>TEXT($G$2,"dd/mm/aaaa")</f>
        <v/>
      </c>
      <c r="AE3417" s="10">
        <f>REPT(" ",10)</f>
        <v/>
      </c>
      <c r="AF3417" s="10">
        <f>REPT(" ",20)</f>
        <v/>
      </c>
      <c r="AG3417" s="54">
        <f>REPT(" ",18-LEN(FIXED(F3417,2,TRUE)))&amp;FIXED(F3417,2,TRUE)</f>
        <v/>
      </c>
      <c r="AH3417" s="10">
        <f>LEN(AC3417)+LEN(AG3417)</f>
        <v/>
      </c>
      <c r="AI3417" s="10">
        <f>LEN(L3417)</f>
        <v/>
      </c>
    </row>
    <row r="3418">
      <c r="J3418" s="12">
        <f>IF(F3418&lt;&gt;0,"LANÇAR","")</f>
        <v/>
      </c>
      <c r="L3418" s="13">
        <f>N3418&amp;O3418&amp;P3418&amp;Q3418&amp;R3418&amp;S3418&amp;T3418&amp;U3418&amp;V3418&amp;W3418&amp;X3418&amp;Y3418&amp;Z3418&amp;AA3418&amp;AB3418&amp;AC3418&amp;AD3418&amp;AE3418&amp;AF3418&amp;AG3418</f>
        <v/>
      </c>
      <c r="N3418" s="10">
        <f>TEXT($B$6,"00")</f>
        <v/>
      </c>
      <c r="O3418" s="10">
        <f>REPT(" ",8)</f>
        <v/>
      </c>
      <c r="P3418" s="10">
        <f>RIGHT($B$4,2)</f>
        <v/>
      </c>
      <c r="Q3418" s="10">
        <f>RIGHT($B$5,3)</f>
        <v/>
      </c>
      <c r="R3418" s="10">
        <f>IF(A3418="D",LEFT(UPPER(B3418)&amp;REPT(" ",20),20),REPT(" ",20))</f>
        <v/>
      </c>
      <c r="S3418" s="10">
        <f>IF(A3418="D",LEFT(UPPER(C3418)&amp;REPT(" ",10),10)," ")</f>
        <v/>
      </c>
      <c r="T3418" s="10">
        <f>IF(A3418="D",LEFT(UPPER(D3418)&amp;REPT(" ",2),2)," ")</f>
        <v/>
      </c>
      <c r="U3418" s="10">
        <f>IF(A3418="D",LEFT(UPPER(E3418)&amp;REPT(" ",15),15)," ")</f>
        <v/>
      </c>
      <c r="V3418" s="10">
        <f>REPT(" ",24)</f>
        <v/>
      </c>
      <c r="W3418" s="10">
        <f>IF(A3418="c",LEFT(UPPER(B3418)&amp;REPT(" ",20),20),REPT(" ",20))</f>
        <v/>
      </c>
      <c r="X3418" s="10">
        <f>IF(A3418="C",LEFT(UPPER(C3418)&amp;REPT(" ",10),10)," ")</f>
        <v/>
      </c>
      <c r="Y3418" s="10">
        <f>IF(A3418="C",LEFT(UPPER(D3418)&amp;REPT(" ",2),2)," ")</f>
        <v/>
      </c>
      <c r="Z3418" s="10">
        <f>IF(A3418="C",LEFT(UPPER(E3418)&amp;REPT(" ",15),15)," ")</f>
        <v/>
      </c>
      <c r="AA3418" s="10">
        <f>REPT(" ",8)</f>
        <v/>
      </c>
      <c r="AB3418" s="10">
        <f>REPT(" ",4)</f>
        <v/>
      </c>
      <c r="AC3418" s="10">
        <f>LEFT(UPPER(H3418)&amp;REPT(" ",250),250)</f>
        <v/>
      </c>
      <c r="AD3418" s="10">
        <f>TEXT($G$2,"dd/mm/aaaa")</f>
        <v/>
      </c>
      <c r="AE3418" s="10">
        <f>REPT(" ",10)</f>
        <v/>
      </c>
      <c r="AF3418" s="10">
        <f>REPT(" ",20)</f>
        <v/>
      </c>
      <c r="AG3418" s="54">
        <f>REPT(" ",18-LEN(FIXED(F3418,2,TRUE)))&amp;FIXED(F3418,2,TRUE)</f>
        <v/>
      </c>
      <c r="AH3418" s="10">
        <f>LEN(AC3418)+LEN(AG3418)</f>
        <v/>
      </c>
      <c r="AI3418" s="10">
        <f>LEN(L3418)</f>
        <v/>
      </c>
    </row>
    <row r="3419">
      <c r="J3419" s="12">
        <f>IF(F3419&lt;&gt;0,"LANÇAR","")</f>
        <v/>
      </c>
      <c r="L3419" s="13">
        <f>N3419&amp;O3419&amp;P3419&amp;Q3419&amp;R3419&amp;S3419&amp;T3419&amp;U3419&amp;V3419&amp;W3419&amp;X3419&amp;Y3419&amp;Z3419&amp;AA3419&amp;AB3419&amp;AC3419&amp;AD3419&amp;AE3419&amp;AF3419&amp;AG3419</f>
        <v/>
      </c>
      <c r="N3419" s="10">
        <f>TEXT($B$6,"00")</f>
        <v/>
      </c>
      <c r="O3419" s="10">
        <f>REPT(" ",8)</f>
        <v/>
      </c>
      <c r="P3419" s="10">
        <f>RIGHT($B$4,2)</f>
        <v/>
      </c>
      <c r="Q3419" s="10">
        <f>RIGHT($B$5,3)</f>
        <v/>
      </c>
      <c r="R3419" s="10">
        <f>IF(A3419="D",LEFT(UPPER(B3419)&amp;REPT(" ",20),20),REPT(" ",20))</f>
        <v/>
      </c>
      <c r="S3419" s="10">
        <f>IF(A3419="D",LEFT(UPPER(C3419)&amp;REPT(" ",10),10)," ")</f>
        <v/>
      </c>
      <c r="T3419" s="10">
        <f>IF(A3419="D",LEFT(UPPER(D3419)&amp;REPT(" ",2),2)," ")</f>
        <v/>
      </c>
      <c r="U3419" s="10">
        <f>IF(A3419="D",LEFT(UPPER(E3419)&amp;REPT(" ",15),15)," ")</f>
        <v/>
      </c>
      <c r="V3419" s="10">
        <f>REPT(" ",24)</f>
        <v/>
      </c>
      <c r="W3419" s="10">
        <f>IF(A3419="c",LEFT(UPPER(B3419)&amp;REPT(" ",20),20),REPT(" ",20))</f>
        <v/>
      </c>
      <c r="X3419" s="10">
        <f>IF(A3419="C",LEFT(UPPER(C3419)&amp;REPT(" ",10),10)," ")</f>
        <v/>
      </c>
      <c r="Y3419" s="10">
        <f>IF(A3419="C",LEFT(UPPER(D3419)&amp;REPT(" ",2),2)," ")</f>
        <v/>
      </c>
      <c r="Z3419" s="10">
        <f>IF(A3419="C",LEFT(UPPER(E3419)&amp;REPT(" ",15),15)," ")</f>
        <v/>
      </c>
      <c r="AA3419" s="10">
        <f>REPT(" ",8)</f>
        <v/>
      </c>
      <c r="AB3419" s="10">
        <f>REPT(" ",4)</f>
        <v/>
      </c>
      <c r="AC3419" s="10">
        <f>LEFT(UPPER(H3419)&amp;REPT(" ",250),250)</f>
        <v/>
      </c>
      <c r="AD3419" s="10">
        <f>TEXT($G$2,"dd/mm/aaaa")</f>
        <v/>
      </c>
      <c r="AE3419" s="10">
        <f>REPT(" ",10)</f>
        <v/>
      </c>
      <c r="AF3419" s="10">
        <f>REPT(" ",20)</f>
        <v/>
      </c>
      <c r="AG3419" s="54">
        <f>REPT(" ",18-LEN(FIXED(F3419,2,TRUE)))&amp;FIXED(F3419,2,TRUE)</f>
        <v/>
      </c>
      <c r="AH3419" s="10">
        <f>LEN(AC3419)+LEN(AG3419)</f>
        <v/>
      </c>
      <c r="AI3419" s="10">
        <f>LEN(L3419)</f>
        <v/>
      </c>
    </row>
    <row r="3420">
      <c r="J3420" s="12">
        <f>IF(F3420&lt;&gt;0,"LANÇAR","")</f>
        <v/>
      </c>
      <c r="L3420" s="13">
        <f>N3420&amp;O3420&amp;P3420&amp;Q3420&amp;R3420&amp;S3420&amp;T3420&amp;U3420&amp;V3420&amp;W3420&amp;X3420&amp;Y3420&amp;Z3420&amp;AA3420&amp;AB3420&amp;AC3420&amp;AD3420&amp;AE3420&amp;AF3420&amp;AG3420</f>
        <v/>
      </c>
      <c r="N3420" s="10">
        <f>TEXT($B$6,"00")</f>
        <v/>
      </c>
      <c r="O3420" s="10">
        <f>REPT(" ",8)</f>
        <v/>
      </c>
      <c r="P3420" s="10">
        <f>RIGHT($B$4,2)</f>
        <v/>
      </c>
      <c r="Q3420" s="10">
        <f>RIGHT($B$5,3)</f>
        <v/>
      </c>
      <c r="R3420" s="10">
        <f>IF(A3420="D",LEFT(UPPER(B3420)&amp;REPT(" ",20),20),REPT(" ",20))</f>
        <v/>
      </c>
      <c r="S3420" s="10">
        <f>IF(A3420="D",LEFT(UPPER(C3420)&amp;REPT(" ",10),10)," ")</f>
        <v/>
      </c>
      <c r="T3420" s="10">
        <f>IF(A3420="D",LEFT(UPPER(D3420)&amp;REPT(" ",2),2)," ")</f>
        <v/>
      </c>
      <c r="U3420" s="10">
        <f>IF(A3420="D",LEFT(UPPER(E3420)&amp;REPT(" ",15),15)," ")</f>
        <v/>
      </c>
      <c r="V3420" s="10">
        <f>REPT(" ",24)</f>
        <v/>
      </c>
      <c r="W3420" s="10">
        <f>IF(A3420="c",LEFT(UPPER(B3420)&amp;REPT(" ",20),20),REPT(" ",20))</f>
        <v/>
      </c>
      <c r="X3420" s="10">
        <f>IF(A3420="C",LEFT(UPPER(C3420)&amp;REPT(" ",10),10)," ")</f>
        <v/>
      </c>
      <c r="Y3420" s="10">
        <f>IF(A3420="C",LEFT(UPPER(D3420)&amp;REPT(" ",2),2)," ")</f>
        <v/>
      </c>
      <c r="Z3420" s="10">
        <f>IF(A3420="C",LEFT(UPPER(E3420)&amp;REPT(" ",15),15)," ")</f>
        <v/>
      </c>
      <c r="AA3420" s="10">
        <f>REPT(" ",8)</f>
        <v/>
      </c>
      <c r="AB3420" s="10">
        <f>REPT(" ",4)</f>
        <v/>
      </c>
      <c r="AC3420" s="10">
        <f>LEFT(UPPER(H3420)&amp;REPT(" ",250),250)</f>
        <v/>
      </c>
      <c r="AD3420" s="10">
        <f>TEXT($G$2,"dd/mm/aaaa")</f>
        <v/>
      </c>
      <c r="AE3420" s="10">
        <f>REPT(" ",10)</f>
        <v/>
      </c>
      <c r="AF3420" s="10">
        <f>REPT(" ",20)</f>
        <v/>
      </c>
      <c r="AG3420" s="54">
        <f>REPT(" ",18-LEN(FIXED(F3420,2,TRUE)))&amp;FIXED(F3420,2,TRUE)</f>
        <v/>
      </c>
      <c r="AH3420" s="10">
        <f>LEN(AC3420)+LEN(AG3420)</f>
        <v/>
      </c>
      <c r="AI3420" s="10">
        <f>LEN(L3420)</f>
        <v/>
      </c>
    </row>
    <row r="3421">
      <c r="J3421" s="12">
        <f>IF(F3421&lt;&gt;0,"LANÇAR","")</f>
        <v/>
      </c>
      <c r="L3421" s="13">
        <f>N3421&amp;O3421&amp;P3421&amp;Q3421&amp;R3421&amp;S3421&amp;T3421&amp;U3421&amp;V3421&amp;W3421&amp;X3421&amp;Y3421&amp;Z3421&amp;AA3421&amp;AB3421&amp;AC3421&amp;AD3421&amp;AE3421&amp;AF3421&amp;AG3421</f>
        <v/>
      </c>
      <c r="N3421" s="10">
        <f>TEXT($B$6,"00")</f>
        <v/>
      </c>
      <c r="O3421" s="10">
        <f>REPT(" ",8)</f>
        <v/>
      </c>
      <c r="P3421" s="10">
        <f>RIGHT($B$4,2)</f>
        <v/>
      </c>
      <c r="Q3421" s="10">
        <f>RIGHT($B$5,3)</f>
        <v/>
      </c>
      <c r="R3421" s="10">
        <f>IF(A3421="D",LEFT(UPPER(B3421)&amp;REPT(" ",20),20),REPT(" ",20))</f>
        <v/>
      </c>
      <c r="S3421" s="10">
        <f>IF(A3421="D",LEFT(UPPER(C3421)&amp;REPT(" ",10),10)," ")</f>
        <v/>
      </c>
      <c r="T3421" s="10">
        <f>IF(A3421="D",LEFT(UPPER(D3421)&amp;REPT(" ",2),2)," ")</f>
        <v/>
      </c>
      <c r="U3421" s="10">
        <f>IF(A3421="D",LEFT(UPPER(E3421)&amp;REPT(" ",15),15)," ")</f>
        <v/>
      </c>
      <c r="V3421" s="10">
        <f>REPT(" ",24)</f>
        <v/>
      </c>
      <c r="W3421" s="10">
        <f>IF(A3421="c",LEFT(UPPER(B3421)&amp;REPT(" ",20),20),REPT(" ",20))</f>
        <v/>
      </c>
      <c r="X3421" s="10">
        <f>IF(A3421="C",LEFT(UPPER(C3421)&amp;REPT(" ",10),10)," ")</f>
        <v/>
      </c>
      <c r="Y3421" s="10">
        <f>IF(A3421="C",LEFT(UPPER(D3421)&amp;REPT(" ",2),2)," ")</f>
        <v/>
      </c>
      <c r="Z3421" s="10">
        <f>IF(A3421="C",LEFT(UPPER(E3421)&amp;REPT(" ",15),15)," ")</f>
        <v/>
      </c>
      <c r="AA3421" s="10">
        <f>REPT(" ",8)</f>
        <v/>
      </c>
      <c r="AB3421" s="10">
        <f>REPT(" ",4)</f>
        <v/>
      </c>
      <c r="AC3421" s="10">
        <f>LEFT(UPPER(H3421)&amp;REPT(" ",250),250)</f>
        <v/>
      </c>
      <c r="AD3421" s="10">
        <f>TEXT($G$2,"dd/mm/aaaa")</f>
        <v/>
      </c>
      <c r="AE3421" s="10">
        <f>REPT(" ",10)</f>
        <v/>
      </c>
      <c r="AF3421" s="10">
        <f>REPT(" ",20)</f>
        <v/>
      </c>
      <c r="AG3421" s="54">
        <f>REPT(" ",18-LEN(FIXED(F3421,2,TRUE)))&amp;FIXED(F3421,2,TRUE)</f>
        <v/>
      </c>
      <c r="AH3421" s="10">
        <f>LEN(AC3421)+LEN(AG3421)</f>
        <v/>
      </c>
      <c r="AI3421" s="10">
        <f>LEN(L3421)</f>
        <v/>
      </c>
    </row>
    <row r="3422">
      <c r="J3422" s="12">
        <f>IF(F3422&lt;&gt;0,"LANÇAR","")</f>
        <v/>
      </c>
      <c r="L3422" s="13">
        <f>N3422&amp;O3422&amp;P3422&amp;Q3422&amp;R3422&amp;S3422&amp;T3422&amp;U3422&amp;V3422&amp;W3422&amp;X3422&amp;Y3422&amp;Z3422&amp;AA3422&amp;AB3422&amp;AC3422&amp;AD3422&amp;AE3422&amp;AF3422&amp;AG3422</f>
        <v/>
      </c>
      <c r="N3422" s="10">
        <f>TEXT($B$6,"00")</f>
        <v/>
      </c>
      <c r="O3422" s="10">
        <f>REPT(" ",8)</f>
        <v/>
      </c>
      <c r="P3422" s="10">
        <f>RIGHT($B$4,2)</f>
        <v/>
      </c>
      <c r="Q3422" s="10">
        <f>RIGHT($B$5,3)</f>
        <v/>
      </c>
      <c r="R3422" s="10">
        <f>IF(A3422="D",LEFT(UPPER(B3422)&amp;REPT(" ",20),20),REPT(" ",20))</f>
        <v/>
      </c>
      <c r="S3422" s="10">
        <f>IF(A3422="D",LEFT(UPPER(C3422)&amp;REPT(" ",10),10)," ")</f>
        <v/>
      </c>
      <c r="T3422" s="10">
        <f>IF(A3422="D",LEFT(UPPER(D3422)&amp;REPT(" ",2),2)," ")</f>
        <v/>
      </c>
      <c r="U3422" s="10">
        <f>IF(A3422="D",LEFT(UPPER(E3422)&amp;REPT(" ",15),15)," ")</f>
        <v/>
      </c>
      <c r="V3422" s="10">
        <f>REPT(" ",24)</f>
        <v/>
      </c>
      <c r="W3422" s="10">
        <f>IF(A3422="c",LEFT(UPPER(B3422)&amp;REPT(" ",20),20),REPT(" ",20))</f>
        <v/>
      </c>
      <c r="X3422" s="10">
        <f>IF(A3422="C",LEFT(UPPER(C3422)&amp;REPT(" ",10),10)," ")</f>
        <v/>
      </c>
      <c r="Y3422" s="10">
        <f>IF(A3422="C",LEFT(UPPER(D3422)&amp;REPT(" ",2),2)," ")</f>
        <v/>
      </c>
      <c r="Z3422" s="10">
        <f>IF(A3422="C",LEFT(UPPER(E3422)&amp;REPT(" ",15),15)," ")</f>
        <v/>
      </c>
      <c r="AA3422" s="10">
        <f>REPT(" ",8)</f>
        <v/>
      </c>
      <c r="AB3422" s="10">
        <f>REPT(" ",4)</f>
        <v/>
      </c>
      <c r="AC3422" s="10">
        <f>LEFT(UPPER(H3422)&amp;REPT(" ",250),250)</f>
        <v/>
      </c>
      <c r="AD3422" s="10">
        <f>TEXT($G$2,"dd/mm/aaaa")</f>
        <v/>
      </c>
      <c r="AE3422" s="10">
        <f>REPT(" ",10)</f>
        <v/>
      </c>
      <c r="AF3422" s="10">
        <f>REPT(" ",20)</f>
        <v/>
      </c>
      <c r="AG3422" s="54">
        <f>REPT(" ",18-LEN(FIXED(F3422,2,TRUE)))&amp;FIXED(F3422,2,TRUE)</f>
        <v/>
      </c>
      <c r="AH3422" s="10">
        <f>LEN(AC3422)+LEN(AG3422)</f>
        <v/>
      </c>
      <c r="AI3422" s="10">
        <f>LEN(L3422)</f>
        <v/>
      </c>
    </row>
    <row r="3423">
      <c r="J3423" s="12">
        <f>IF(F3423&lt;&gt;0,"LANÇAR","")</f>
        <v/>
      </c>
      <c r="L3423" s="13">
        <f>N3423&amp;O3423&amp;P3423&amp;Q3423&amp;R3423&amp;S3423&amp;T3423&amp;U3423&amp;V3423&amp;W3423&amp;X3423&amp;Y3423&amp;Z3423&amp;AA3423&amp;AB3423&amp;AC3423&amp;AD3423&amp;AE3423&amp;AF3423&amp;AG3423</f>
        <v/>
      </c>
      <c r="N3423" s="10">
        <f>TEXT($B$6,"00")</f>
        <v/>
      </c>
      <c r="O3423" s="10">
        <f>REPT(" ",8)</f>
        <v/>
      </c>
      <c r="P3423" s="10">
        <f>RIGHT($B$4,2)</f>
        <v/>
      </c>
      <c r="Q3423" s="10">
        <f>RIGHT($B$5,3)</f>
        <v/>
      </c>
      <c r="R3423" s="10">
        <f>IF(A3423="D",LEFT(UPPER(B3423)&amp;REPT(" ",20),20),REPT(" ",20))</f>
        <v/>
      </c>
      <c r="S3423" s="10">
        <f>IF(A3423="D",LEFT(UPPER(C3423)&amp;REPT(" ",10),10)," ")</f>
        <v/>
      </c>
      <c r="T3423" s="10">
        <f>IF(A3423="D",LEFT(UPPER(D3423)&amp;REPT(" ",2),2)," ")</f>
        <v/>
      </c>
      <c r="U3423" s="10">
        <f>IF(A3423="D",LEFT(UPPER(E3423)&amp;REPT(" ",15),15)," ")</f>
        <v/>
      </c>
      <c r="V3423" s="10">
        <f>REPT(" ",24)</f>
        <v/>
      </c>
      <c r="W3423" s="10">
        <f>IF(A3423="c",LEFT(UPPER(B3423)&amp;REPT(" ",20),20),REPT(" ",20))</f>
        <v/>
      </c>
      <c r="X3423" s="10">
        <f>IF(A3423="C",LEFT(UPPER(C3423)&amp;REPT(" ",10),10)," ")</f>
        <v/>
      </c>
      <c r="Y3423" s="10">
        <f>IF(A3423="C",LEFT(UPPER(D3423)&amp;REPT(" ",2),2)," ")</f>
        <v/>
      </c>
      <c r="Z3423" s="10">
        <f>IF(A3423="C",LEFT(UPPER(E3423)&amp;REPT(" ",15),15)," ")</f>
        <v/>
      </c>
      <c r="AA3423" s="10">
        <f>REPT(" ",8)</f>
        <v/>
      </c>
      <c r="AB3423" s="10">
        <f>REPT(" ",4)</f>
        <v/>
      </c>
      <c r="AC3423" s="10">
        <f>LEFT(UPPER(H3423)&amp;REPT(" ",250),250)</f>
        <v/>
      </c>
      <c r="AD3423" s="10">
        <f>TEXT($G$2,"dd/mm/aaaa")</f>
        <v/>
      </c>
      <c r="AE3423" s="10">
        <f>REPT(" ",10)</f>
        <v/>
      </c>
      <c r="AF3423" s="10">
        <f>REPT(" ",20)</f>
        <v/>
      </c>
      <c r="AG3423" s="54">
        <f>REPT(" ",18-LEN(FIXED(F3423,2,TRUE)))&amp;FIXED(F3423,2,TRUE)</f>
        <v/>
      </c>
      <c r="AH3423" s="10">
        <f>LEN(AC3423)+LEN(AG3423)</f>
        <v/>
      </c>
      <c r="AI3423" s="10">
        <f>LEN(L3423)</f>
        <v/>
      </c>
    </row>
    <row r="3424">
      <c r="J3424" s="12">
        <f>IF(F3424&lt;&gt;0,"LANÇAR","")</f>
        <v/>
      </c>
      <c r="L3424" s="13">
        <f>N3424&amp;O3424&amp;P3424&amp;Q3424&amp;R3424&amp;S3424&amp;T3424&amp;U3424&amp;V3424&amp;W3424&amp;X3424&amp;Y3424&amp;Z3424&amp;AA3424&amp;AB3424&amp;AC3424&amp;AD3424&amp;AE3424&amp;AF3424&amp;AG3424</f>
        <v/>
      </c>
      <c r="N3424" s="10">
        <f>TEXT($B$6,"00")</f>
        <v/>
      </c>
      <c r="O3424" s="10">
        <f>REPT(" ",8)</f>
        <v/>
      </c>
      <c r="P3424" s="10">
        <f>RIGHT($B$4,2)</f>
        <v/>
      </c>
      <c r="Q3424" s="10">
        <f>RIGHT($B$5,3)</f>
        <v/>
      </c>
      <c r="R3424" s="10">
        <f>IF(A3424="D",LEFT(UPPER(B3424)&amp;REPT(" ",20),20),REPT(" ",20))</f>
        <v/>
      </c>
      <c r="S3424" s="10">
        <f>IF(A3424="D",LEFT(UPPER(C3424)&amp;REPT(" ",10),10)," ")</f>
        <v/>
      </c>
      <c r="T3424" s="10">
        <f>IF(A3424="D",LEFT(UPPER(D3424)&amp;REPT(" ",2),2)," ")</f>
        <v/>
      </c>
      <c r="U3424" s="10">
        <f>IF(A3424="D",LEFT(UPPER(E3424)&amp;REPT(" ",15),15)," ")</f>
        <v/>
      </c>
      <c r="V3424" s="10">
        <f>REPT(" ",24)</f>
        <v/>
      </c>
      <c r="W3424" s="10">
        <f>IF(A3424="c",LEFT(UPPER(B3424)&amp;REPT(" ",20),20),REPT(" ",20))</f>
        <v/>
      </c>
      <c r="X3424" s="10">
        <f>IF(A3424="C",LEFT(UPPER(C3424)&amp;REPT(" ",10),10)," ")</f>
        <v/>
      </c>
      <c r="Y3424" s="10">
        <f>IF(A3424="C",LEFT(UPPER(D3424)&amp;REPT(" ",2),2)," ")</f>
        <v/>
      </c>
      <c r="Z3424" s="10">
        <f>IF(A3424="C",LEFT(UPPER(E3424)&amp;REPT(" ",15),15)," ")</f>
        <v/>
      </c>
      <c r="AA3424" s="10">
        <f>REPT(" ",8)</f>
        <v/>
      </c>
      <c r="AB3424" s="10">
        <f>REPT(" ",4)</f>
        <v/>
      </c>
      <c r="AC3424" s="10">
        <f>LEFT(UPPER(H3424)&amp;REPT(" ",250),250)</f>
        <v/>
      </c>
      <c r="AD3424" s="10">
        <f>TEXT($G$2,"dd/mm/aaaa")</f>
        <v/>
      </c>
      <c r="AE3424" s="10">
        <f>REPT(" ",10)</f>
        <v/>
      </c>
      <c r="AF3424" s="10">
        <f>REPT(" ",20)</f>
        <v/>
      </c>
      <c r="AG3424" s="54">
        <f>REPT(" ",18-LEN(FIXED(F3424,2,TRUE)))&amp;FIXED(F3424,2,TRUE)</f>
        <v/>
      </c>
      <c r="AH3424" s="10">
        <f>LEN(AC3424)+LEN(AG3424)</f>
        <v/>
      </c>
      <c r="AI3424" s="10">
        <f>LEN(L3424)</f>
        <v/>
      </c>
    </row>
    <row r="3425">
      <c r="J3425" s="12">
        <f>IF(F3425&lt;&gt;0,"LANÇAR","")</f>
        <v/>
      </c>
      <c r="L3425" s="13">
        <f>N3425&amp;O3425&amp;P3425&amp;Q3425&amp;R3425&amp;S3425&amp;T3425&amp;U3425&amp;V3425&amp;W3425&amp;X3425&amp;Y3425&amp;Z3425&amp;AA3425&amp;AB3425&amp;AC3425&amp;AD3425&amp;AE3425&amp;AF3425&amp;AG3425</f>
        <v/>
      </c>
      <c r="N3425" s="10">
        <f>TEXT($B$6,"00")</f>
        <v/>
      </c>
      <c r="O3425" s="10">
        <f>REPT(" ",8)</f>
        <v/>
      </c>
      <c r="P3425" s="10">
        <f>RIGHT($B$4,2)</f>
        <v/>
      </c>
      <c r="Q3425" s="10">
        <f>RIGHT($B$5,3)</f>
        <v/>
      </c>
      <c r="R3425" s="10">
        <f>IF(A3425="D",LEFT(UPPER(B3425)&amp;REPT(" ",20),20),REPT(" ",20))</f>
        <v/>
      </c>
      <c r="S3425" s="10">
        <f>IF(A3425="D",LEFT(UPPER(C3425)&amp;REPT(" ",10),10)," ")</f>
        <v/>
      </c>
      <c r="T3425" s="10">
        <f>IF(A3425="D",LEFT(UPPER(D3425)&amp;REPT(" ",2),2)," ")</f>
        <v/>
      </c>
      <c r="U3425" s="10">
        <f>IF(A3425="D",LEFT(UPPER(E3425)&amp;REPT(" ",15),15)," ")</f>
        <v/>
      </c>
      <c r="V3425" s="10">
        <f>REPT(" ",24)</f>
        <v/>
      </c>
      <c r="W3425" s="10">
        <f>IF(A3425="c",LEFT(UPPER(B3425)&amp;REPT(" ",20),20),REPT(" ",20))</f>
        <v/>
      </c>
      <c r="X3425" s="10">
        <f>IF(A3425="C",LEFT(UPPER(C3425)&amp;REPT(" ",10),10)," ")</f>
        <v/>
      </c>
      <c r="Y3425" s="10">
        <f>IF(A3425="C",LEFT(UPPER(D3425)&amp;REPT(" ",2),2)," ")</f>
        <v/>
      </c>
      <c r="Z3425" s="10">
        <f>IF(A3425="C",LEFT(UPPER(E3425)&amp;REPT(" ",15),15)," ")</f>
        <v/>
      </c>
      <c r="AA3425" s="10">
        <f>REPT(" ",8)</f>
        <v/>
      </c>
      <c r="AB3425" s="10">
        <f>REPT(" ",4)</f>
        <v/>
      </c>
      <c r="AC3425" s="10">
        <f>LEFT(UPPER(H3425)&amp;REPT(" ",250),250)</f>
        <v/>
      </c>
      <c r="AD3425" s="10">
        <f>TEXT($G$2,"dd/mm/aaaa")</f>
        <v/>
      </c>
      <c r="AE3425" s="10">
        <f>REPT(" ",10)</f>
        <v/>
      </c>
      <c r="AF3425" s="10">
        <f>REPT(" ",20)</f>
        <v/>
      </c>
      <c r="AG3425" s="54">
        <f>REPT(" ",18-LEN(FIXED(F3425,2,TRUE)))&amp;FIXED(F3425,2,TRUE)</f>
        <v/>
      </c>
      <c r="AH3425" s="10">
        <f>LEN(AC3425)+LEN(AG3425)</f>
        <v/>
      </c>
      <c r="AI3425" s="10">
        <f>LEN(L3425)</f>
        <v/>
      </c>
    </row>
    <row r="3426">
      <c r="J3426" s="12">
        <f>IF(F3426&lt;&gt;0,"LANÇAR","")</f>
        <v/>
      </c>
      <c r="L3426" s="13">
        <f>N3426&amp;O3426&amp;P3426&amp;Q3426&amp;R3426&amp;S3426&amp;T3426&amp;U3426&amp;V3426&amp;W3426&amp;X3426&amp;Y3426&amp;Z3426&amp;AA3426&amp;AB3426&amp;AC3426&amp;AD3426&amp;AE3426&amp;AF3426&amp;AG3426</f>
        <v/>
      </c>
      <c r="N3426" s="10">
        <f>TEXT($B$6,"00")</f>
        <v/>
      </c>
      <c r="O3426" s="10">
        <f>REPT(" ",8)</f>
        <v/>
      </c>
      <c r="P3426" s="10">
        <f>RIGHT($B$4,2)</f>
        <v/>
      </c>
      <c r="Q3426" s="10">
        <f>RIGHT($B$5,3)</f>
        <v/>
      </c>
      <c r="R3426" s="10">
        <f>IF(A3426="D",LEFT(UPPER(B3426)&amp;REPT(" ",20),20),REPT(" ",20))</f>
        <v/>
      </c>
      <c r="S3426" s="10">
        <f>IF(A3426="D",LEFT(UPPER(C3426)&amp;REPT(" ",10),10)," ")</f>
        <v/>
      </c>
      <c r="T3426" s="10">
        <f>IF(A3426="D",LEFT(UPPER(D3426)&amp;REPT(" ",2),2)," ")</f>
        <v/>
      </c>
      <c r="U3426" s="10">
        <f>IF(A3426="D",LEFT(UPPER(E3426)&amp;REPT(" ",15),15)," ")</f>
        <v/>
      </c>
      <c r="V3426" s="10">
        <f>REPT(" ",24)</f>
        <v/>
      </c>
      <c r="W3426" s="10">
        <f>IF(A3426="c",LEFT(UPPER(B3426)&amp;REPT(" ",20),20),REPT(" ",20))</f>
        <v/>
      </c>
      <c r="X3426" s="10">
        <f>IF(A3426="C",LEFT(UPPER(C3426)&amp;REPT(" ",10),10)," ")</f>
        <v/>
      </c>
      <c r="Y3426" s="10">
        <f>IF(A3426="C",LEFT(UPPER(D3426)&amp;REPT(" ",2),2)," ")</f>
        <v/>
      </c>
      <c r="Z3426" s="10">
        <f>IF(A3426="C",LEFT(UPPER(E3426)&amp;REPT(" ",15),15)," ")</f>
        <v/>
      </c>
      <c r="AA3426" s="10">
        <f>REPT(" ",8)</f>
        <v/>
      </c>
      <c r="AB3426" s="10">
        <f>REPT(" ",4)</f>
        <v/>
      </c>
      <c r="AC3426" s="10">
        <f>LEFT(UPPER(H3426)&amp;REPT(" ",250),250)</f>
        <v/>
      </c>
      <c r="AD3426" s="10">
        <f>TEXT($G$2,"dd/mm/aaaa")</f>
        <v/>
      </c>
      <c r="AE3426" s="10">
        <f>REPT(" ",10)</f>
        <v/>
      </c>
      <c r="AF3426" s="10">
        <f>REPT(" ",20)</f>
        <v/>
      </c>
      <c r="AG3426" s="54">
        <f>REPT(" ",18-LEN(FIXED(F3426,2,TRUE)))&amp;FIXED(F3426,2,TRUE)</f>
        <v/>
      </c>
      <c r="AH3426" s="10">
        <f>LEN(AC3426)+LEN(AG3426)</f>
        <v/>
      </c>
      <c r="AI3426" s="10">
        <f>LEN(L3426)</f>
        <v/>
      </c>
    </row>
    <row r="3427">
      <c r="J3427" s="12">
        <f>IF(F3427&lt;&gt;0,"LANÇAR","")</f>
        <v/>
      </c>
      <c r="L3427" s="13">
        <f>N3427&amp;O3427&amp;P3427&amp;Q3427&amp;R3427&amp;S3427&amp;T3427&amp;U3427&amp;V3427&amp;W3427&amp;X3427&amp;Y3427&amp;Z3427&amp;AA3427&amp;AB3427&amp;AC3427&amp;AD3427&amp;AE3427&amp;AF3427&amp;AG3427</f>
        <v/>
      </c>
      <c r="N3427" s="10">
        <f>TEXT($B$6,"00")</f>
        <v/>
      </c>
      <c r="O3427" s="10">
        <f>REPT(" ",8)</f>
        <v/>
      </c>
      <c r="P3427" s="10">
        <f>RIGHT($B$4,2)</f>
        <v/>
      </c>
      <c r="Q3427" s="10">
        <f>RIGHT($B$5,3)</f>
        <v/>
      </c>
      <c r="R3427" s="10">
        <f>IF(A3427="D",LEFT(UPPER(B3427)&amp;REPT(" ",20),20),REPT(" ",20))</f>
        <v/>
      </c>
      <c r="S3427" s="10">
        <f>IF(A3427="D",LEFT(UPPER(C3427)&amp;REPT(" ",10),10)," ")</f>
        <v/>
      </c>
      <c r="T3427" s="10">
        <f>IF(A3427="D",LEFT(UPPER(D3427)&amp;REPT(" ",2),2)," ")</f>
        <v/>
      </c>
      <c r="U3427" s="10">
        <f>IF(A3427="D",LEFT(UPPER(E3427)&amp;REPT(" ",15),15)," ")</f>
        <v/>
      </c>
      <c r="V3427" s="10">
        <f>REPT(" ",24)</f>
        <v/>
      </c>
      <c r="W3427" s="10">
        <f>IF(A3427="c",LEFT(UPPER(B3427)&amp;REPT(" ",20),20),REPT(" ",20))</f>
        <v/>
      </c>
      <c r="X3427" s="10">
        <f>IF(A3427="C",LEFT(UPPER(C3427)&amp;REPT(" ",10),10)," ")</f>
        <v/>
      </c>
      <c r="Y3427" s="10">
        <f>IF(A3427="C",LEFT(UPPER(D3427)&amp;REPT(" ",2),2)," ")</f>
        <v/>
      </c>
      <c r="Z3427" s="10">
        <f>IF(A3427="C",LEFT(UPPER(E3427)&amp;REPT(" ",15),15)," ")</f>
        <v/>
      </c>
      <c r="AA3427" s="10">
        <f>REPT(" ",8)</f>
        <v/>
      </c>
      <c r="AB3427" s="10">
        <f>REPT(" ",4)</f>
        <v/>
      </c>
      <c r="AC3427" s="10">
        <f>LEFT(UPPER(H3427)&amp;REPT(" ",250),250)</f>
        <v/>
      </c>
      <c r="AD3427" s="10">
        <f>TEXT($G$2,"dd/mm/aaaa")</f>
        <v/>
      </c>
      <c r="AE3427" s="10">
        <f>REPT(" ",10)</f>
        <v/>
      </c>
      <c r="AF3427" s="10">
        <f>REPT(" ",20)</f>
        <v/>
      </c>
      <c r="AG3427" s="54">
        <f>REPT(" ",18-LEN(FIXED(F3427,2,TRUE)))&amp;FIXED(F3427,2,TRUE)</f>
        <v/>
      </c>
      <c r="AH3427" s="10">
        <f>LEN(AC3427)+LEN(AG3427)</f>
        <v/>
      </c>
      <c r="AI3427" s="10">
        <f>LEN(L3427)</f>
        <v/>
      </c>
    </row>
    <row r="3428">
      <c r="J3428" s="12">
        <f>IF(F3428&lt;&gt;0,"LANÇAR","")</f>
        <v/>
      </c>
      <c r="L3428" s="13">
        <f>N3428&amp;O3428&amp;P3428&amp;Q3428&amp;R3428&amp;S3428&amp;T3428&amp;U3428&amp;V3428&amp;W3428&amp;X3428&amp;Y3428&amp;Z3428&amp;AA3428&amp;AB3428&amp;AC3428&amp;AD3428&amp;AE3428&amp;AF3428&amp;AG3428</f>
        <v/>
      </c>
      <c r="N3428" s="10">
        <f>TEXT($B$6,"00")</f>
        <v/>
      </c>
      <c r="O3428" s="10">
        <f>REPT(" ",8)</f>
        <v/>
      </c>
      <c r="P3428" s="10">
        <f>RIGHT($B$4,2)</f>
        <v/>
      </c>
      <c r="Q3428" s="10">
        <f>RIGHT($B$5,3)</f>
        <v/>
      </c>
      <c r="R3428" s="10">
        <f>IF(A3428="D",LEFT(UPPER(B3428)&amp;REPT(" ",20),20),REPT(" ",20))</f>
        <v/>
      </c>
      <c r="S3428" s="10">
        <f>IF(A3428="D",LEFT(UPPER(C3428)&amp;REPT(" ",10),10)," ")</f>
        <v/>
      </c>
      <c r="T3428" s="10">
        <f>IF(A3428="D",LEFT(UPPER(D3428)&amp;REPT(" ",2),2)," ")</f>
        <v/>
      </c>
      <c r="U3428" s="10">
        <f>IF(A3428="D",LEFT(UPPER(E3428)&amp;REPT(" ",15),15)," ")</f>
        <v/>
      </c>
      <c r="V3428" s="10">
        <f>REPT(" ",24)</f>
        <v/>
      </c>
      <c r="W3428" s="10">
        <f>IF(A3428="c",LEFT(UPPER(B3428)&amp;REPT(" ",20),20),REPT(" ",20))</f>
        <v/>
      </c>
      <c r="X3428" s="10">
        <f>IF(A3428="C",LEFT(UPPER(C3428)&amp;REPT(" ",10),10)," ")</f>
        <v/>
      </c>
      <c r="Y3428" s="10">
        <f>IF(A3428="C",LEFT(UPPER(D3428)&amp;REPT(" ",2),2)," ")</f>
        <v/>
      </c>
      <c r="Z3428" s="10">
        <f>IF(A3428="C",LEFT(UPPER(E3428)&amp;REPT(" ",15),15)," ")</f>
        <v/>
      </c>
      <c r="AA3428" s="10">
        <f>REPT(" ",8)</f>
        <v/>
      </c>
      <c r="AB3428" s="10">
        <f>REPT(" ",4)</f>
        <v/>
      </c>
      <c r="AC3428" s="10">
        <f>LEFT(UPPER(H3428)&amp;REPT(" ",250),250)</f>
        <v/>
      </c>
      <c r="AD3428" s="10">
        <f>TEXT($G$2,"dd/mm/aaaa")</f>
        <v/>
      </c>
      <c r="AE3428" s="10">
        <f>REPT(" ",10)</f>
        <v/>
      </c>
      <c r="AF3428" s="10">
        <f>REPT(" ",20)</f>
        <v/>
      </c>
      <c r="AG3428" s="54">
        <f>REPT(" ",18-LEN(FIXED(F3428,2,TRUE)))&amp;FIXED(F3428,2,TRUE)</f>
        <v/>
      </c>
      <c r="AH3428" s="10">
        <f>LEN(AC3428)+LEN(AG3428)</f>
        <v/>
      </c>
      <c r="AI3428" s="10">
        <f>LEN(L3428)</f>
        <v/>
      </c>
    </row>
    <row r="3429">
      <c r="J3429" s="12">
        <f>IF(F3429&lt;&gt;0,"LANÇAR","")</f>
        <v/>
      </c>
      <c r="L3429" s="13">
        <f>N3429&amp;O3429&amp;P3429&amp;Q3429&amp;R3429&amp;S3429&amp;T3429&amp;U3429&amp;V3429&amp;W3429&amp;X3429&amp;Y3429&amp;Z3429&amp;AA3429&amp;AB3429&amp;AC3429&amp;AD3429&amp;AE3429&amp;AF3429&amp;AG3429</f>
        <v/>
      </c>
      <c r="N3429" s="10">
        <f>TEXT($B$6,"00")</f>
        <v/>
      </c>
      <c r="O3429" s="10">
        <f>REPT(" ",8)</f>
        <v/>
      </c>
      <c r="P3429" s="10">
        <f>RIGHT($B$4,2)</f>
        <v/>
      </c>
      <c r="Q3429" s="10">
        <f>RIGHT($B$5,3)</f>
        <v/>
      </c>
      <c r="R3429" s="10">
        <f>IF(A3429="D",LEFT(UPPER(B3429)&amp;REPT(" ",20),20),REPT(" ",20))</f>
        <v/>
      </c>
      <c r="S3429" s="10">
        <f>IF(A3429="D",LEFT(UPPER(C3429)&amp;REPT(" ",10),10)," ")</f>
        <v/>
      </c>
      <c r="T3429" s="10">
        <f>IF(A3429="D",LEFT(UPPER(D3429)&amp;REPT(" ",2),2)," ")</f>
        <v/>
      </c>
      <c r="U3429" s="10">
        <f>IF(A3429="D",LEFT(UPPER(E3429)&amp;REPT(" ",15),15)," ")</f>
        <v/>
      </c>
      <c r="V3429" s="10">
        <f>REPT(" ",24)</f>
        <v/>
      </c>
      <c r="W3429" s="10">
        <f>IF(A3429="c",LEFT(UPPER(B3429)&amp;REPT(" ",20),20),REPT(" ",20))</f>
        <v/>
      </c>
      <c r="X3429" s="10">
        <f>IF(A3429="C",LEFT(UPPER(C3429)&amp;REPT(" ",10),10)," ")</f>
        <v/>
      </c>
      <c r="Y3429" s="10">
        <f>IF(A3429="C",LEFT(UPPER(D3429)&amp;REPT(" ",2),2)," ")</f>
        <v/>
      </c>
      <c r="Z3429" s="10">
        <f>IF(A3429="C",LEFT(UPPER(E3429)&amp;REPT(" ",15),15)," ")</f>
        <v/>
      </c>
      <c r="AA3429" s="10">
        <f>REPT(" ",8)</f>
        <v/>
      </c>
      <c r="AB3429" s="10">
        <f>REPT(" ",4)</f>
        <v/>
      </c>
      <c r="AC3429" s="10">
        <f>LEFT(UPPER(H3429)&amp;REPT(" ",250),250)</f>
        <v/>
      </c>
      <c r="AD3429" s="10">
        <f>TEXT($G$2,"dd/mm/aaaa")</f>
        <v/>
      </c>
      <c r="AE3429" s="10">
        <f>REPT(" ",10)</f>
        <v/>
      </c>
      <c r="AF3429" s="10">
        <f>REPT(" ",20)</f>
        <v/>
      </c>
      <c r="AG3429" s="54">
        <f>REPT(" ",18-LEN(FIXED(F3429,2,TRUE)))&amp;FIXED(F3429,2,TRUE)</f>
        <v/>
      </c>
      <c r="AH3429" s="10">
        <f>LEN(AC3429)+LEN(AG3429)</f>
        <v/>
      </c>
      <c r="AI3429" s="10">
        <f>LEN(L3429)</f>
        <v/>
      </c>
    </row>
    <row r="3430">
      <c r="J3430" s="12">
        <f>IF(F3430&lt;&gt;0,"LANÇAR","")</f>
        <v/>
      </c>
      <c r="L3430" s="13">
        <f>N3430&amp;O3430&amp;P3430&amp;Q3430&amp;R3430&amp;S3430&amp;T3430&amp;U3430&amp;V3430&amp;W3430&amp;X3430&amp;Y3430&amp;Z3430&amp;AA3430&amp;AB3430&amp;AC3430&amp;AD3430&amp;AE3430&amp;AF3430&amp;AG3430</f>
        <v/>
      </c>
      <c r="N3430" s="10">
        <f>TEXT($B$6,"00")</f>
        <v/>
      </c>
      <c r="O3430" s="10">
        <f>REPT(" ",8)</f>
        <v/>
      </c>
      <c r="P3430" s="10">
        <f>RIGHT($B$4,2)</f>
        <v/>
      </c>
      <c r="Q3430" s="10">
        <f>RIGHT($B$5,3)</f>
        <v/>
      </c>
      <c r="R3430" s="10">
        <f>IF(A3430="D",LEFT(UPPER(B3430)&amp;REPT(" ",20),20),REPT(" ",20))</f>
        <v/>
      </c>
      <c r="S3430" s="10">
        <f>IF(A3430="D",LEFT(UPPER(C3430)&amp;REPT(" ",10),10)," ")</f>
        <v/>
      </c>
      <c r="T3430" s="10">
        <f>IF(A3430="D",LEFT(UPPER(D3430)&amp;REPT(" ",2),2)," ")</f>
        <v/>
      </c>
      <c r="U3430" s="10">
        <f>IF(A3430="D",LEFT(UPPER(E3430)&amp;REPT(" ",15),15)," ")</f>
        <v/>
      </c>
      <c r="V3430" s="10">
        <f>REPT(" ",24)</f>
        <v/>
      </c>
      <c r="W3430" s="10">
        <f>IF(A3430="c",LEFT(UPPER(B3430)&amp;REPT(" ",20),20),REPT(" ",20))</f>
        <v/>
      </c>
      <c r="X3430" s="10">
        <f>IF(A3430="C",LEFT(UPPER(C3430)&amp;REPT(" ",10),10)," ")</f>
        <v/>
      </c>
      <c r="Y3430" s="10">
        <f>IF(A3430="C",LEFT(UPPER(D3430)&amp;REPT(" ",2),2)," ")</f>
        <v/>
      </c>
      <c r="Z3430" s="10">
        <f>IF(A3430="C",LEFT(UPPER(E3430)&amp;REPT(" ",15),15)," ")</f>
        <v/>
      </c>
      <c r="AA3430" s="10">
        <f>REPT(" ",8)</f>
        <v/>
      </c>
      <c r="AB3430" s="10">
        <f>REPT(" ",4)</f>
        <v/>
      </c>
      <c r="AC3430" s="10">
        <f>LEFT(UPPER(H3430)&amp;REPT(" ",250),250)</f>
        <v/>
      </c>
      <c r="AD3430" s="10">
        <f>TEXT($G$2,"dd/mm/aaaa")</f>
        <v/>
      </c>
      <c r="AE3430" s="10">
        <f>REPT(" ",10)</f>
        <v/>
      </c>
      <c r="AF3430" s="10">
        <f>REPT(" ",20)</f>
        <v/>
      </c>
      <c r="AG3430" s="54">
        <f>REPT(" ",18-LEN(FIXED(F3430,2,TRUE)))&amp;FIXED(F3430,2,TRUE)</f>
        <v/>
      </c>
      <c r="AH3430" s="10">
        <f>LEN(AC3430)+LEN(AG3430)</f>
        <v/>
      </c>
      <c r="AI3430" s="10">
        <f>LEN(L3430)</f>
        <v/>
      </c>
    </row>
    <row r="3431">
      <c r="J3431" s="12">
        <f>IF(F3431&lt;&gt;0,"LANÇAR","")</f>
        <v/>
      </c>
      <c r="L3431" s="13">
        <f>N3431&amp;O3431&amp;P3431&amp;Q3431&amp;R3431&amp;S3431&amp;T3431&amp;U3431&amp;V3431&amp;W3431&amp;X3431&amp;Y3431&amp;Z3431&amp;AA3431&amp;AB3431&amp;AC3431&amp;AD3431&amp;AE3431&amp;AF3431&amp;AG3431</f>
        <v/>
      </c>
      <c r="N3431" s="10">
        <f>TEXT($B$6,"00")</f>
        <v/>
      </c>
      <c r="O3431" s="10">
        <f>REPT(" ",8)</f>
        <v/>
      </c>
      <c r="P3431" s="10">
        <f>RIGHT($B$4,2)</f>
        <v/>
      </c>
      <c r="Q3431" s="10">
        <f>RIGHT($B$5,3)</f>
        <v/>
      </c>
      <c r="R3431" s="10">
        <f>IF(A3431="D",LEFT(UPPER(B3431)&amp;REPT(" ",20),20),REPT(" ",20))</f>
        <v/>
      </c>
      <c r="S3431" s="10">
        <f>IF(A3431="D",LEFT(UPPER(C3431)&amp;REPT(" ",10),10)," ")</f>
        <v/>
      </c>
      <c r="T3431" s="10">
        <f>IF(A3431="D",LEFT(UPPER(D3431)&amp;REPT(" ",2),2)," ")</f>
        <v/>
      </c>
      <c r="U3431" s="10">
        <f>IF(A3431="D",LEFT(UPPER(E3431)&amp;REPT(" ",15),15)," ")</f>
        <v/>
      </c>
      <c r="V3431" s="10">
        <f>REPT(" ",24)</f>
        <v/>
      </c>
      <c r="W3431" s="10">
        <f>IF(A3431="c",LEFT(UPPER(B3431)&amp;REPT(" ",20),20),REPT(" ",20))</f>
        <v/>
      </c>
      <c r="X3431" s="10">
        <f>IF(A3431="C",LEFT(UPPER(C3431)&amp;REPT(" ",10),10)," ")</f>
        <v/>
      </c>
      <c r="Y3431" s="10">
        <f>IF(A3431="C",LEFT(UPPER(D3431)&amp;REPT(" ",2),2)," ")</f>
        <v/>
      </c>
      <c r="Z3431" s="10">
        <f>IF(A3431="C",LEFT(UPPER(E3431)&amp;REPT(" ",15),15)," ")</f>
        <v/>
      </c>
      <c r="AA3431" s="10">
        <f>REPT(" ",8)</f>
        <v/>
      </c>
      <c r="AB3431" s="10">
        <f>REPT(" ",4)</f>
        <v/>
      </c>
      <c r="AC3431" s="10">
        <f>LEFT(UPPER(H3431)&amp;REPT(" ",250),250)</f>
        <v/>
      </c>
      <c r="AD3431" s="10">
        <f>TEXT($G$2,"dd/mm/aaaa")</f>
        <v/>
      </c>
      <c r="AE3431" s="10">
        <f>REPT(" ",10)</f>
        <v/>
      </c>
      <c r="AF3431" s="10">
        <f>REPT(" ",20)</f>
        <v/>
      </c>
      <c r="AG3431" s="54">
        <f>REPT(" ",18-LEN(FIXED(F3431,2,TRUE)))&amp;FIXED(F3431,2,TRUE)</f>
        <v/>
      </c>
      <c r="AH3431" s="10">
        <f>LEN(AC3431)+LEN(AG3431)</f>
        <v/>
      </c>
      <c r="AI3431" s="10">
        <f>LEN(L3431)</f>
        <v/>
      </c>
    </row>
    <row r="3432">
      <c r="J3432" s="12">
        <f>IF(F3432&lt;&gt;0,"LANÇAR","")</f>
        <v/>
      </c>
      <c r="L3432" s="13">
        <f>N3432&amp;O3432&amp;P3432&amp;Q3432&amp;R3432&amp;S3432&amp;T3432&amp;U3432&amp;V3432&amp;W3432&amp;X3432&amp;Y3432&amp;Z3432&amp;AA3432&amp;AB3432&amp;AC3432&amp;AD3432&amp;AE3432&amp;AF3432&amp;AG3432</f>
        <v/>
      </c>
      <c r="N3432" s="10">
        <f>TEXT($B$6,"00")</f>
        <v/>
      </c>
      <c r="O3432" s="10">
        <f>REPT(" ",8)</f>
        <v/>
      </c>
      <c r="P3432" s="10">
        <f>RIGHT($B$4,2)</f>
        <v/>
      </c>
      <c r="Q3432" s="10">
        <f>RIGHT($B$5,3)</f>
        <v/>
      </c>
      <c r="R3432" s="10">
        <f>IF(A3432="D",LEFT(UPPER(B3432)&amp;REPT(" ",20),20),REPT(" ",20))</f>
        <v/>
      </c>
      <c r="S3432" s="10">
        <f>IF(A3432="D",LEFT(UPPER(C3432)&amp;REPT(" ",10),10)," ")</f>
        <v/>
      </c>
      <c r="T3432" s="10">
        <f>IF(A3432="D",LEFT(UPPER(D3432)&amp;REPT(" ",2),2)," ")</f>
        <v/>
      </c>
      <c r="U3432" s="10">
        <f>IF(A3432="D",LEFT(UPPER(E3432)&amp;REPT(" ",15),15)," ")</f>
        <v/>
      </c>
      <c r="V3432" s="10">
        <f>REPT(" ",24)</f>
        <v/>
      </c>
      <c r="W3432" s="10">
        <f>IF(A3432="c",LEFT(UPPER(B3432)&amp;REPT(" ",20),20),REPT(" ",20))</f>
        <v/>
      </c>
      <c r="X3432" s="10">
        <f>IF(A3432="C",LEFT(UPPER(C3432)&amp;REPT(" ",10),10)," ")</f>
        <v/>
      </c>
      <c r="Y3432" s="10">
        <f>IF(A3432="C",LEFT(UPPER(D3432)&amp;REPT(" ",2),2)," ")</f>
        <v/>
      </c>
      <c r="Z3432" s="10">
        <f>IF(A3432="C",LEFT(UPPER(E3432)&amp;REPT(" ",15),15)," ")</f>
        <v/>
      </c>
      <c r="AA3432" s="10">
        <f>REPT(" ",8)</f>
        <v/>
      </c>
      <c r="AB3432" s="10">
        <f>REPT(" ",4)</f>
        <v/>
      </c>
      <c r="AC3432" s="10">
        <f>LEFT(UPPER(H3432)&amp;REPT(" ",250),250)</f>
        <v/>
      </c>
      <c r="AD3432" s="10">
        <f>TEXT($G$2,"dd/mm/aaaa")</f>
        <v/>
      </c>
      <c r="AE3432" s="10">
        <f>REPT(" ",10)</f>
        <v/>
      </c>
      <c r="AF3432" s="10">
        <f>REPT(" ",20)</f>
        <v/>
      </c>
      <c r="AG3432" s="54">
        <f>REPT(" ",18-LEN(FIXED(F3432,2,TRUE)))&amp;FIXED(F3432,2,TRUE)</f>
        <v/>
      </c>
      <c r="AH3432" s="10">
        <f>LEN(AC3432)+LEN(AG3432)</f>
        <v/>
      </c>
      <c r="AI3432" s="10">
        <f>LEN(L3432)</f>
        <v/>
      </c>
    </row>
    <row r="3433">
      <c r="J3433" s="12">
        <f>IF(F3433&lt;&gt;0,"LANÇAR","")</f>
        <v/>
      </c>
      <c r="L3433" s="13">
        <f>N3433&amp;O3433&amp;P3433&amp;Q3433&amp;R3433&amp;S3433&amp;T3433&amp;U3433&amp;V3433&amp;W3433&amp;X3433&amp;Y3433&amp;Z3433&amp;AA3433&amp;AB3433&amp;AC3433&amp;AD3433&amp;AE3433&amp;AF3433&amp;AG3433</f>
        <v/>
      </c>
      <c r="N3433" s="10">
        <f>TEXT($B$6,"00")</f>
        <v/>
      </c>
      <c r="O3433" s="10">
        <f>REPT(" ",8)</f>
        <v/>
      </c>
      <c r="P3433" s="10">
        <f>RIGHT($B$4,2)</f>
        <v/>
      </c>
      <c r="Q3433" s="10">
        <f>RIGHT($B$5,3)</f>
        <v/>
      </c>
      <c r="R3433" s="10">
        <f>IF(A3433="D",LEFT(UPPER(B3433)&amp;REPT(" ",20),20),REPT(" ",20))</f>
        <v/>
      </c>
      <c r="S3433" s="10">
        <f>IF(A3433="D",LEFT(UPPER(C3433)&amp;REPT(" ",10),10)," ")</f>
        <v/>
      </c>
      <c r="T3433" s="10">
        <f>IF(A3433="D",LEFT(UPPER(D3433)&amp;REPT(" ",2),2)," ")</f>
        <v/>
      </c>
      <c r="U3433" s="10">
        <f>IF(A3433="D",LEFT(UPPER(E3433)&amp;REPT(" ",15),15)," ")</f>
        <v/>
      </c>
      <c r="V3433" s="10">
        <f>REPT(" ",24)</f>
        <v/>
      </c>
      <c r="W3433" s="10">
        <f>IF(A3433="c",LEFT(UPPER(B3433)&amp;REPT(" ",20),20),REPT(" ",20))</f>
        <v/>
      </c>
      <c r="X3433" s="10">
        <f>IF(A3433="C",LEFT(UPPER(C3433)&amp;REPT(" ",10),10)," ")</f>
        <v/>
      </c>
      <c r="Y3433" s="10">
        <f>IF(A3433="C",LEFT(UPPER(D3433)&amp;REPT(" ",2),2)," ")</f>
        <v/>
      </c>
      <c r="Z3433" s="10">
        <f>IF(A3433="C",LEFT(UPPER(E3433)&amp;REPT(" ",15),15)," ")</f>
        <v/>
      </c>
      <c r="AA3433" s="10">
        <f>REPT(" ",8)</f>
        <v/>
      </c>
      <c r="AB3433" s="10">
        <f>REPT(" ",4)</f>
        <v/>
      </c>
      <c r="AC3433" s="10">
        <f>LEFT(UPPER(H3433)&amp;REPT(" ",250),250)</f>
        <v/>
      </c>
      <c r="AD3433" s="10">
        <f>TEXT($G$2,"dd/mm/aaaa")</f>
        <v/>
      </c>
      <c r="AE3433" s="10">
        <f>REPT(" ",10)</f>
        <v/>
      </c>
      <c r="AF3433" s="10">
        <f>REPT(" ",20)</f>
        <v/>
      </c>
      <c r="AG3433" s="54">
        <f>REPT(" ",18-LEN(FIXED(F3433,2,TRUE)))&amp;FIXED(F3433,2,TRUE)</f>
        <v/>
      </c>
      <c r="AH3433" s="10">
        <f>LEN(AC3433)+LEN(AG3433)</f>
        <v/>
      </c>
      <c r="AI3433" s="10">
        <f>LEN(L3433)</f>
        <v/>
      </c>
    </row>
    <row r="3434">
      <c r="J3434" s="12">
        <f>IF(F3434&lt;&gt;0,"LANÇAR","")</f>
        <v/>
      </c>
      <c r="L3434" s="13">
        <f>N3434&amp;O3434&amp;P3434&amp;Q3434&amp;R3434&amp;S3434&amp;T3434&amp;U3434&amp;V3434&amp;W3434&amp;X3434&amp;Y3434&amp;Z3434&amp;AA3434&amp;AB3434&amp;AC3434&amp;AD3434&amp;AE3434&amp;AF3434&amp;AG3434</f>
        <v/>
      </c>
      <c r="N3434" s="10">
        <f>TEXT($B$6,"00")</f>
        <v/>
      </c>
      <c r="O3434" s="10">
        <f>REPT(" ",8)</f>
        <v/>
      </c>
      <c r="P3434" s="10">
        <f>RIGHT($B$4,2)</f>
        <v/>
      </c>
      <c r="Q3434" s="10">
        <f>RIGHT($B$5,3)</f>
        <v/>
      </c>
      <c r="R3434" s="10">
        <f>IF(A3434="D",LEFT(UPPER(B3434)&amp;REPT(" ",20),20),REPT(" ",20))</f>
        <v/>
      </c>
      <c r="S3434" s="10">
        <f>IF(A3434="D",LEFT(UPPER(C3434)&amp;REPT(" ",10),10)," ")</f>
        <v/>
      </c>
      <c r="T3434" s="10">
        <f>IF(A3434="D",LEFT(UPPER(D3434)&amp;REPT(" ",2),2)," ")</f>
        <v/>
      </c>
      <c r="U3434" s="10">
        <f>IF(A3434="D",LEFT(UPPER(E3434)&amp;REPT(" ",15),15)," ")</f>
        <v/>
      </c>
      <c r="V3434" s="10">
        <f>REPT(" ",24)</f>
        <v/>
      </c>
      <c r="W3434" s="10">
        <f>IF(A3434="c",LEFT(UPPER(B3434)&amp;REPT(" ",20),20),REPT(" ",20))</f>
        <v/>
      </c>
      <c r="X3434" s="10">
        <f>IF(A3434="C",LEFT(UPPER(C3434)&amp;REPT(" ",10),10)," ")</f>
        <v/>
      </c>
      <c r="Y3434" s="10">
        <f>IF(A3434="C",LEFT(UPPER(D3434)&amp;REPT(" ",2),2)," ")</f>
        <v/>
      </c>
      <c r="Z3434" s="10">
        <f>IF(A3434="C",LEFT(UPPER(E3434)&amp;REPT(" ",15),15)," ")</f>
        <v/>
      </c>
      <c r="AA3434" s="10">
        <f>REPT(" ",8)</f>
        <v/>
      </c>
      <c r="AB3434" s="10">
        <f>REPT(" ",4)</f>
        <v/>
      </c>
      <c r="AC3434" s="10">
        <f>LEFT(UPPER(H3434)&amp;REPT(" ",250),250)</f>
        <v/>
      </c>
      <c r="AD3434" s="10">
        <f>TEXT($G$2,"dd/mm/aaaa")</f>
        <v/>
      </c>
      <c r="AE3434" s="10">
        <f>REPT(" ",10)</f>
        <v/>
      </c>
      <c r="AF3434" s="10">
        <f>REPT(" ",20)</f>
        <v/>
      </c>
      <c r="AG3434" s="54">
        <f>REPT(" ",18-LEN(FIXED(F3434,2,TRUE)))&amp;FIXED(F3434,2,TRUE)</f>
        <v/>
      </c>
      <c r="AH3434" s="10">
        <f>LEN(AC3434)+LEN(AG3434)</f>
        <v/>
      </c>
      <c r="AI3434" s="10">
        <f>LEN(L3434)</f>
        <v/>
      </c>
    </row>
    <row r="3435">
      <c r="J3435" s="12">
        <f>IF(F3435&lt;&gt;0,"LANÇAR","")</f>
        <v/>
      </c>
      <c r="L3435" s="13">
        <f>N3435&amp;O3435&amp;P3435&amp;Q3435&amp;R3435&amp;S3435&amp;T3435&amp;U3435&amp;V3435&amp;W3435&amp;X3435&amp;Y3435&amp;Z3435&amp;AA3435&amp;AB3435&amp;AC3435&amp;AD3435&amp;AE3435&amp;AF3435&amp;AG3435</f>
        <v/>
      </c>
      <c r="N3435" s="10">
        <f>TEXT($B$6,"00")</f>
        <v/>
      </c>
      <c r="O3435" s="10">
        <f>REPT(" ",8)</f>
        <v/>
      </c>
      <c r="P3435" s="10">
        <f>RIGHT($B$4,2)</f>
        <v/>
      </c>
      <c r="Q3435" s="10">
        <f>RIGHT($B$5,3)</f>
        <v/>
      </c>
      <c r="R3435" s="10">
        <f>IF(A3435="D",LEFT(UPPER(B3435)&amp;REPT(" ",20),20),REPT(" ",20))</f>
        <v/>
      </c>
      <c r="S3435" s="10">
        <f>IF(A3435="D",LEFT(UPPER(C3435)&amp;REPT(" ",10),10)," ")</f>
        <v/>
      </c>
      <c r="T3435" s="10">
        <f>IF(A3435="D",LEFT(UPPER(D3435)&amp;REPT(" ",2),2)," ")</f>
        <v/>
      </c>
      <c r="U3435" s="10">
        <f>IF(A3435="D",LEFT(UPPER(E3435)&amp;REPT(" ",15),15)," ")</f>
        <v/>
      </c>
      <c r="V3435" s="10">
        <f>REPT(" ",24)</f>
        <v/>
      </c>
      <c r="W3435" s="10">
        <f>IF(A3435="c",LEFT(UPPER(B3435)&amp;REPT(" ",20),20),REPT(" ",20))</f>
        <v/>
      </c>
      <c r="X3435" s="10">
        <f>IF(A3435="C",LEFT(UPPER(C3435)&amp;REPT(" ",10),10)," ")</f>
        <v/>
      </c>
      <c r="Y3435" s="10">
        <f>IF(A3435="C",LEFT(UPPER(D3435)&amp;REPT(" ",2),2)," ")</f>
        <v/>
      </c>
      <c r="Z3435" s="10">
        <f>IF(A3435="C",LEFT(UPPER(E3435)&amp;REPT(" ",15),15)," ")</f>
        <v/>
      </c>
      <c r="AA3435" s="10">
        <f>REPT(" ",8)</f>
        <v/>
      </c>
      <c r="AB3435" s="10">
        <f>REPT(" ",4)</f>
        <v/>
      </c>
      <c r="AC3435" s="10">
        <f>LEFT(UPPER(H3435)&amp;REPT(" ",250),250)</f>
        <v/>
      </c>
      <c r="AD3435" s="10">
        <f>TEXT($G$2,"dd/mm/aaaa")</f>
        <v/>
      </c>
      <c r="AE3435" s="10">
        <f>REPT(" ",10)</f>
        <v/>
      </c>
      <c r="AF3435" s="10">
        <f>REPT(" ",20)</f>
        <v/>
      </c>
      <c r="AG3435" s="54">
        <f>REPT(" ",18-LEN(FIXED(F3435,2,TRUE)))&amp;FIXED(F3435,2,TRUE)</f>
        <v/>
      </c>
      <c r="AH3435" s="10">
        <f>LEN(AC3435)+LEN(AG3435)</f>
        <v/>
      </c>
      <c r="AI3435" s="10">
        <f>LEN(L3435)</f>
        <v/>
      </c>
    </row>
    <row r="3436">
      <c r="J3436" s="12">
        <f>IF(F3436&lt;&gt;0,"LANÇAR","")</f>
        <v/>
      </c>
      <c r="L3436" s="13">
        <f>N3436&amp;O3436&amp;P3436&amp;Q3436&amp;R3436&amp;S3436&amp;T3436&amp;U3436&amp;V3436&amp;W3436&amp;X3436&amp;Y3436&amp;Z3436&amp;AA3436&amp;AB3436&amp;AC3436&amp;AD3436&amp;AE3436&amp;AF3436&amp;AG3436</f>
        <v/>
      </c>
      <c r="N3436" s="10">
        <f>TEXT($B$6,"00")</f>
        <v/>
      </c>
      <c r="O3436" s="10">
        <f>REPT(" ",8)</f>
        <v/>
      </c>
      <c r="P3436" s="10">
        <f>RIGHT($B$4,2)</f>
        <v/>
      </c>
      <c r="Q3436" s="10">
        <f>RIGHT($B$5,3)</f>
        <v/>
      </c>
      <c r="R3436" s="10">
        <f>IF(A3436="D",LEFT(UPPER(B3436)&amp;REPT(" ",20),20),REPT(" ",20))</f>
        <v/>
      </c>
      <c r="S3436" s="10">
        <f>IF(A3436="D",LEFT(UPPER(C3436)&amp;REPT(" ",10),10)," ")</f>
        <v/>
      </c>
      <c r="T3436" s="10">
        <f>IF(A3436="D",LEFT(UPPER(D3436)&amp;REPT(" ",2),2)," ")</f>
        <v/>
      </c>
      <c r="U3436" s="10">
        <f>IF(A3436="D",LEFT(UPPER(E3436)&amp;REPT(" ",15),15)," ")</f>
        <v/>
      </c>
      <c r="V3436" s="10">
        <f>REPT(" ",24)</f>
        <v/>
      </c>
      <c r="W3436" s="10">
        <f>IF(A3436="c",LEFT(UPPER(B3436)&amp;REPT(" ",20),20),REPT(" ",20))</f>
        <v/>
      </c>
      <c r="X3436" s="10">
        <f>IF(A3436="C",LEFT(UPPER(C3436)&amp;REPT(" ",10),10)," ")</f>
        <v/>
      </c>
      <c r="Y3436" s="10">
        <f>IF(A3436="C",LEFT(UPPER(D3436)&amp;REPT(" ",2),2)," ")</f>
        <v/>
      </c>
      <c r="Z3436" s="10">
        <f>IF(A3436="C",LEFT(UPPER(E3436)&amp;REPT(" ",15),15)," ")</f>
        <v/>
      </c>
      <c r="AA3436" s="10">
        <f>REPT(" ",8)</f>
        <v/>
      </c>
      <c r="AB3436" s="10">
        <f>REPT(" ",4)</f>
        <v/>
      </c>
      <c r="AC3436" s="10">
        <f>LEFT(UPPER(H3436)&amp;REPT(" ",250),250)</f>
        <v/>
      </c>
      <c r="AD3436" s="10">
        <f>TEXT($G$2,"dd/mm/aaaa")</f>
        <v/>
      </c>
      <c r="AE3436" s="10">
        <f>REPT(" ",10)</f>
        <v/>
      </c>
      <c r="AF3436" s="10">
        <f>REPT(" ",20)</f>
        <v/>
      </c>
      <c r="AG3436" s="54">
        <f>REPT(" ",18-LEN(FIXED(F3436,2,TRUE)))&amp;FIXED(F3436,2,TRUE)</f>
        <v/>
      </c>
      <c r="AH3436" s="10">
        <f>LEN(AC3436)+LEN(AG3436)</f>
        <v/>
      </c>
      <c r="AI3436" s="10">
        <f>LEN(L3436)</f>
        <v/>
      </c>
    </row>
    <row r="3437">
      <c r="J3437" s="12">
        <f>IF(F3437&lt;&gt;0,"LANÇAR","")</f>
        <v/>
      </c>
      <c r="L3437" s="13">
        <f>N3437&amp;O3437&amp;P3437&amp;Q3437&amp;R3437&amp;S3437&amp;T3437&amp;U3437&amp;V3437&amp;W3437&amp;X3437&amp;Y3437&amp;Z3437&amp;AA3437&amp;AB3437&amp;AC3437&amp;AD3437&amp;AE3437&amp;AF3437&amp;AG3437</f>
        <v/>
      </c>
      <c r="N3437" s="10">
        <f>TEXT($B$6,"00")</f>
        <v/>
      </c>
      <c r="O3437" s="10">
        <f>REPT(" ",8)</f>
        <v/>
      </c>
      <c r="P3437" s="10">
        <f>RIGHT($B$4,2)</f>
        <v/>
      </c>
      <c r="Q3437" s="10">
        <f>RIGHT($B$5,3)</f>
        <v/>
      </c>
      <c r="R3437" s="10">
        <f>IF(A3437="D",LEFT(UPPER(B3437)&amp;REPT(" ",20),20),REPT(" ",20))</f>
        <v/>
      </c>
      <c r="S3437" s="10">
        <f>IF(A3437="D",LEFT(UPPER(C3437)&amp;REPT(" ",10),10)," ")</f>
        <v/>
      </c>
      <c r="T3437" s="10">
        <f>IF(A3437="D",LEFT(UPPER(D3437)&amp;REPT(" ",2),2)," ")</f>
        <v/>
      </c>
      <c r="U3437" s="10">
        <f>IF(A3437="D",LEFT(UPPER(E3437)&amp;REPT(" ",15),15)," ")</f>
        <v/>
      </c>
      <c r="V3437" s="10">
        <f>REPT(" ",24)</f>
        <v/>
      </c>
      <c r="W3437" s="10">
        <f>IF(A3437="c",LEFT(UPPER(B3437)&amp;REPT(" ",20),20),REPT(" ",20))</f>
        <v/>
      </c>
      <c r="X3437" s="10">
        <f>IF(A3437="C",LEFT(UPPER(C3437)&amp;REPT(" ",10),10)," ")</f>
        <v/>
      </c>
      <c r="Y3437" s="10">
        <f>IF(A3437="C",LEFT(UPPER(D3437)&amp;REPT(" ",2),2)," ")</f>
        <v/>
      </c>
      <c r="Z3437" s="10">
        <f>IF(A3437="C",LEFT(UPPER(E3437)&amp;REPT(" ",15),15)," ")</f>
        <v/>
      </c>
      <c r="AA3437" s="10">
        <f>REPT(" ",8)</f>
        <v/>
      </c>
      <c r="AB3437" s="10">
        <f>REPT(" ",4)</f>
        <v/>
      </c>
      <c r="AC3437" s="10">
        <f>LEFT(UPPER(H3437)&amp;REPT(" ",250),250)</f>
        <v/>
      </c>
      <c r="AD3437" s="10">
        <f>TEXT($G$2,"dd/mm/aaaa")</f>
        <v/>
      </c>
      <c r="AE3437" s="10">
        <f>REPT(" ",10)</f>
        <v/>
      </c>
      <c r="AF3437" s="10">
        <f>REPT(" ",20)</f>
        <v/>
      </c>
      <c r="AG3437" s="54">
        <f>REPT(" ",18-LEN(FIXED(F3437,2,TRUE)))&amp;FIXED(F3437,2,TRUE)</f>
        <v/>
      </c>
      <c r="AH3437" s="10">
        <f>LEN(AC3437)+LEN(AG3437)</f>
        <v/>
      </c>
      <c r="AI3437" s="10">
        <f>LEN(L3437)</f>
        <v/>
      </c>
    </row>
    <row r="3438">
      <c r="J3438" s="12">
        <f>IF(F3438&lt;&gt;0,"LANÇAR","")</f>
        <v/>
      </c>
      <c r="L3438" s="13">
        <f>N3438&amp;O3438&amp;P3438&amp;Q3438&amp;R3438&amp;S3438&amp;T3438&amp;U3438&amp;V3438&amp;W3438&amp;X3438&amp;Y3438&amp;Z3438&amp;AA3438&amp;AB3438&amp;AC3438&amp;AD3438&amp;AE3438&amp;AF3438&amp;AG3438</f>
        <v/>
      </c>
      <c r="N3438" s="10">
        <f>TEXT($B$6,"00")</f>
        <v/>
      </c>
      <c r="O3438" s="10">
        <f>REPT(" ",8)</f>
        <v/>
      </c>
      <c r="P3438" s="10">
        <f>RIGHT($B$4,2)</f>
        <v/>
      </c>
      <c r="Q3438" s="10">
        <f>RIGHT($B$5,3)</f>
        <v/>
      </c>
      <c r="R3438" s="10">
        <f>IF(A3438="D",LEFT(UPPER(B3438)&amp;REPT(" ",20),20),REPT(" ",20))</f>
        <v/>
      </c>
      <c r="S3438" s="10">
        <f>IF(A3438="D",LEFT(UPPER(C3438)&amp;REPT(" ",10),10)," ")</f>
        <v/>
      </c>
      <c r="T3438" s="10">
        <f>IF(A3438="D",LEFT(UPPER(D3438)&amp;REPT(" ",2),2)," ")</f>
        <v/>
      </c>
      <c r="U3438" s="10">
        <f>IF(A3438="D",LEFT(UPPER(E3438)&amp;REPT(" ",15),15)," ")</f>
        <v/>
      </c>
      <c r="V3438" s="10">
        <f>REPT(" ",24)</f>
        <v/>
      </c>
      <c r="W3438" s="10">
        <f>IF(A3438="c",LEFT(UPPER(B3438)&amp;REPT(" ",20),20),REPT(" ",20))</f>
        <v/>
      </c>
      <c r="X3438" s="10">
        <f>IF(A3438="C",LEFT(UPPER(C3438)&amp;REPT(" ",10),10)," ")</f>
        <v/>
      </c>
      <c r="Y3438" s="10">
        <f>IF(A3438="C",LEFT(UPPER(D3438)&amp;REPT(" ",2),2)," ")</f>
        <v/>
      </c>
      <c r="Z3438" s="10">
        <f>IF(A3438="C",LEFT(UPPER(E3438)&amp;REPT(" ",15),15)," ")</f>
        <v/>
      </c>
      <c r="AA3438" s="10">
        <f>REPT(" ",8)</f>
        <v/>
      </c>
      <c r="AB3438" s="10">
        <f>REPT(" ",4)</f>
        <v/>
      </c>
      <c r="AC3438" s="10">
        <f>LEFT(UPPER(H3438)&amp;REPT(" ",250),250)</f>
        <v/>
      </c>
      <c r="AD3438" s="10">
        <f>TEXT($G$2,"dd/mm/aaaa")</f>
        <v/>
      </c>
      <c r="AE3438" s="10">
        <f>REPT(" ",10)</f>
        <v/>
      </c>
      <c r="AF3438" s="10">
        <f>REPT(" ",20)</f>
        <v/>
      </c>
      <c r="AG3438" s="54">
        <f>REPT(" ",18-LEN(FIXED(F3438,2,TRUE)))&amp;FIXED(F3438,2,TRUE)</f>
        <v/>
      </c>
      <c r="AH3438" s="10">
        <f>LEN(AC3438)+LEN(AG3438)</f>
        <v/>
      </c>
      <c r="AI3438" s="10">
        <f>LEN(L3438)</f>
        <v/>
      </c>
    </row>
    <row r="3439">
      <c r="J3439" s="12">
        <f>IF(F3439&lt;&gt;0,"LANÇAR","")</f>
        <v/>
      </c>
      <c r="L3439" s="13">
        <f>N3439&amp;O3439&amp;P3439&amp;Q3439&amp;R3439&amp;S3439&amp;T3439&amp;U3439&amp;V3439&amp;W3439&amp;X3439&amp;Y3439&amp;Z3439&amp;AA3439&amp;AB3439&amp;AC3439&amp;AD3439&amp;AE3439&amp;AF3439&amp;AG3439</f>
        <v/>
      </c>
      <c r="N3439" s="10">
        <f>TEXT($B$6,"00")</f>
        <v/>
      </c>
      <c r="O3439" s="10">
        <f>REPT(" ",8)</f>
        <v/>
      </c>
      <c r="P3439" s="10">
        <f>RIGHT($B$4,2)</f>
        <v/>
      </c>
      <c r="Q3439" s="10">
        <f>RIGHT($B$5,3)</f>
        <v/>
      </c>
      <c r="R3439" s="10">
        <f>IF(A3439="D",LEFT(UPPER(B3439)&amp;REPT(" ",20),20),REPT(" ",20))</f>
        <v/>
      </c>
      <c r="S3439" s="10">
        <f>IF(A3439="D",LEFT(UPPER(C3439)&amp;REPT(" ",10),10)," ")</f>
        <v/>
      </c>
      <c r="T3439" s="10">
        <f>IF(A3439="D",LEFT(UPPER(D3439)&amp;REPT(" ",2),2)," ")</f>
        <v/>
      </c>
      <c r="U3439" s="10">
        <f>IF(A3439="D",LEFT(UPPER(E3439)&amp;REPT(" ",15),15)," ")</f>
        <v/>
      </c>
      <c r="V3439" s="10">
        <f>REPT(" ",24)</f>
        <v/>
      </c>
      <c r="W3439" s="10">
        <f>IF(A3439="c",LEFT(UPPER(B3439)&amp;REPT(" ",20),20),REPT(" ",20))</f>
        <v/>
      </c>
      <c r="X3439" s="10">
        <f>IF(A3439="C",LEFT(UPPER(C3439)&amp;REPT(" ",10),10)," ")</f>
        <v/>
      </c>
      <c r="Y3439" s="10">
        <f>IF(A3439="C",LEFT(UPPER(D3439)&amp;REPT(" ",2),2)," ")</f>
        <v/>
      </c>
      <c r="Z3439" s="10">
        <f>IF(A3439="C",LEFT(UPPER(E3439)&amp;REPT(" ",15),15)," ")</f>
        <v/>
      </c>
      <c r="AA3439" s="10">
        <f>REPT(" ",8)</f>
        <v/>
      </c>
      <c r="AB3439" s="10">
        <f>REPT(" ",4)</f>
        <v/>
      </c>
      <c r="AC3439" s="10">
        <f>LEFT(UPPER(H3439)&amp;REPT(" ",250),250)</f>
        <v/>
      </c>
      <c r="AD3439" s="10">
        <f>TEXT($G$2,"dd/mm/aaaa")</f>
        <v/>
      </c>
      <c r="AE3439" s="10">
        <f>REPT(" ",10)</f>
        <v/>
      </c>
      <c r="AF3439" s="10">
        <f>REPT(" ",20)</f>
        <v/>
      </c>
      <c r="AG3439" s="54">
        <f>REPT(" ",18-LEN(FIXED(F3439,2,TRUE)))&amp;FIXED(F3439,2,TRUE)</f>
        <v/>
      </c>
      <c r="AH3439" s="10">
        <f>LEN(AC3439)+LEN(AG3439)</f>
        <v/>
      </c>
      <c r="AI3439" s="10">
        <f>LEN(L3439)</f>
        <v/>
      </c>
    </row>
    <row r="3440">
      <c r="J3440" s="12">
        <f>IF(F3440&lt;&gt;0,"LANÇAR","")</f>
        <v/>
      </c>
      <c r="L3440" s="13">
        <f>N3440&amp;O3440&amp;P3440&amp;Q3440&amp;R3440&amp;S3440&amp;T3440&amp;U3440&amp;V3440&amp;W3440&amp;X3440&amp;Y3440&amp;Z3440&amp;AA3440&amp;AB3440&amp;AC3440&amp;AD3440&amp;AE3440&amp;AF3440&amp;AG3440</f>
        <v/>
      </c>
      <c r="N3440" s="10">
        <f>TEXT($B$6,"00")</f>
        <v/>
      </c>
      <c r="O3440" s="10">
        <f>REPT(" ",8)</f>
        <v/>
      </c>
      <c r="P3440" s="10">
        <f>RIGHT($B$4,2)</f>
        <v/>
      </c>
      <c r="Q3440" s="10">
        <f>RIGHT($B$5,3)</f>
        <v/>
      </c>
      <c r="R3440" s="10">
        <f>IF(A3440="D",LEFT(UPPER(B3440)&amp;REPT(" ",20),20),REPT(" ",20))</f>
        <v/>
      </c>
      <c r="S3440" s="10">
        <f>IF(A3440="D",LEFT(UPPER(C3440)&amp;REPT(" ",10),10)," ")</f>
        <v/>
      </c>
      <c r="T3440" s="10">
        <f>IF(A3440="D",LEFT(UPPER(D3440)&amp;REPT(" ",2),2)," ")</f>
        <v/>
      </c>
      <c r="U3440" s="10">
        <f>IF(A3440="D",LEFT(UPPER(E3440)&amp;REPT(" ",15),15)," ")</f>
        <v/>
      </c>
      <c r="V3440" s="10">
        <f>REPT(" ",24)</f>
        <v/>
      </c>
      <c r="W3440" s="10">
        <f>IF(A3440="c",LEFT(UPPER(B3440)&amp;REPT(" ",20),20),REPT(" ",20))</f>
        <v/>
      </c>
      <c r="X3440" s="10">
        <f>IF(A3440="C",LEFT(UPPER(C3440)&amp;REPT(" ",10),10)," ")</f>
        <v/>
      </c>
      <c r="Y3440" s="10">
        <f>IF(A3440="C",LEFT(UPPER(D3440)&amp;REPT(" ",2),2)," ")</f>
        <v/>
      </c>
      <c r="Z3440" s="10">
        <f>IF(A3440="C",LEFT(UPPER(E3440)&amp;REPT(" ",15),15)," ")</f>
        <v/>
      </c>
      <c r="AA3440" s="10">
        <f>REPT(" ",8)</f>
        <v/>
      </c>
      <c r="AB3440" s="10">
        <f>REPT(" ",4)</f>
        <v/>
      </c>
      <c r="AC3440" s="10">
        <f>LEFT(UPPER(H3440)&amp;REPT(" ",250),250)</f>
        <v/>
      </c>
      <c r="AD3440" s="10">
        <f>TEXT($G$2,"dd/mm/aaaa")</f>
        <v/>
      </c>
      <c r="AE3440" s="10">
        <f>REPT(" ",10)</f>
        <v/>
      </c>
      <c r="AF3440" s="10">
        <f>REPT(" ",20)</f>
        <v/>
      </c>
      <c r="AG3440" s="54">
        <f>REPT(" ",18-LEN(FIXED(F3440,2,TRUE)))&amp;FIXED(F3440,2,TRUE)</f>
        <v/>
      </c>
      <c r="AH3440" s="10">
        <f>LEN(AC3440)+LEN(AG3440)</f>
        <v/>
      </c>
      <c r="AI3440" s="10">
        <f>LEN(L3440)</f>
        <v/>
      </c>
    </row>
    <row r="3441">
      <c r="J3441" s="12">
        <f>IF(F3441&lt;&gt;0,"LANÇAR","")</f>
        <v/>
      </c>
      <c r="L3441" s="13">
        <f>N3441&amp;O3441&amp;P3441&amp;Q3441&amp;R3441&amp;S3441&amp;T3441&amp;U3441&amp;V3441&amp;W3441&amp;X3441&amp;Y3441&amp;Z3441&amp;AA3441&amp;AB3441&amp;AC3441&amp;AD3441&amp;AE3441&amp;AF3441&amp;AG3441</f>
        <v/>
      </c>
      <c r="N3441" s="10">
        <f>TEXT($B$6,"00")</f>
        <v/>
      </c>
      <c r="O3441" s="10">
        <f>REPT(" ",8)</f>
        <v/>
      </c>
      <c r="P3441" s="10">
        <f>RIGHT($B$4,2)</f>
        <v/>
      </c>
      <c r="Q3441" s="10">
        <f>RIGHT($B$5,3)</f>
        <v/>
      </c>
      <c r="R3441" s="10">
        <f>IF(A3441="D",LEFT(UPPER(B3441)&amp;REPT(" ",20),20),REPT(" ",20))</f>
        <v/>
      </c>
      <c r="S3441" s="10">
        <f>IF(A3441="D",LEFT(UPPER(C3441)&amp;REPT(" ",10),10)," ")</f>
        <v/>
      </c>
      <c r="T3441" s="10">
        <f>IF(A3441="D",LEFT(UPPER(D3441)&amp;REPT(" ",2),2)," ")</f>
        <v/>
      </c>
      <c r="U3441" s="10">
        <f>IF(A3441="D",LEFT(UPPER(E3441)&amp;REPT(" ",15),15)," ")</f>
        <v/>
      </c>
      <c r="V3441" s="10">
        <f>REPT(" ",24)</f>
        <v/>
      </c>
      <c r="W3441" s="10">
        <f>IF(A3441="c",LEFT(UPPER(B3441)&amp;REPT(" ",20),20),REPT(" ",20))</f>
        <v/>
      </c>
      <c r="X3441" s="10">
        <f>IF(A3441="C",LEFT(UPPER(C3441)&amp;REPT(" ",10),10)," ")</f>
        <v/>
      </c>
      <c r="Y3441" s="10">
        <f>IF(A3441="C",LEFT(UPPER(D3441)&amp;REPT(" ",2),2)," ")</f>
        <v/>
      </c>
      <c r="Z3441" s="10">
        <f>IF(A3441="C",LEFT(UPPER(E3441)&amp;REPT(" ",15),15)," ")</f>
        <v/>
      </c>
      <c r="AA3441" s="10">
        <f>REPT(" ",8)</f>
        <v/>
      </c>
      <c r="AB3441" s="10">
        <f>REPT(" ",4)</f>
        <v/>
      </c>
      <c r="AC3441" s="10">
        <f>LEFT(UPPER(H3441)&amp;REPT(" ",250),250)</f>
        <v/>
      </c>
      <c r="AD3441" s="10">
        <f>TEXT($G$2,"dd/mm/aaaa")</f>
        <v/>
      </c>
      <c r="AE3441" s="10">
        <f>REPT(" ",10)</f>
        <v/>
      </c>
      <c r="AF3441" s="10">
        <f>REPT(" ",20)</f>
        <v/>
      </c>
      <c r="AG3441" s="54">
        <f>REPT(" ",18-LEN(FIXED(F3441,2,TRUE)))&amp;FIXED(F3441,2,TRUE)</f>
        <v/>
      </c>
      <c r="AH3441" s="10">
        <f>LEN(AC3441)+LEN(AG3441)</f>
        <v/>
      </c>
      <c r="AI3441" s="10">
        <f>LEN(L3441)</f>
        <v/>
      </c>
    </row>
    <row r="3442">
      <c r="J3442" s="12">
        <f>IF(F3442&lt;&gt;0,"LANÇAR","")</f>
        <v/>
      </c>
      <c r="L3442" s="13">
        <f>N3442&amp;O3442&amp;P3442&amp;Q3442&amp;R3442&amp;S3442&amp;T3442&amp;U3442&amp;V3442&amp;W3442&amp;X3442&amp;Y3442&amp;Z3442&amp;AA3442&amp;AB3442&amp;AC3442&amp;AD3442&amp;AE3442&amp;AF3442&amp;AG3442</f>
        <v/>
      </c>
      <c r="N3442" s="10">
        <f>TEXT($B$6,"00")</f>
        <v/>
      </c>
      <c r="O3442" s="10">
        <f>REPT(" ",8)</f>
        <v/>
      </c>
      <c r="P3442" s="10">
        <f>RIGHT($B$4,2)</f>
        <v/>
      </c>
      <c r="Q3442" s="10">
        <f>RIGHT($B$5,3)</f>
        <v/>
      </c>
      <c r="R3442" s="10">
        <f>IF(A3442="D",LEFT(UPPER(B3442)&amp;REPT(" ",20),20),REPT(" ",20))</f>
        <v/>
      </c>
      <c r="S3442" s="10">
        <f>IF(A3442="D",LEFT(UPPER(C3442)&amp;REPT(" ",10),10)," ")</f>
        <v/>
      </c>
      <c r="T3442" s="10">
        <f>IF(A3442="D",LEFT(UPPER(D3442)&amp;REPT(" ",2),2)," ")</f>
        <v/>
      </c>
      <c r="U3442" s="10">
        <f>IF(A3442="D",LEFT(UPPER(E3442)&amp;REPT(" ",15),15)," ")</f>
        <v/>
      </c>
      <c r="V3442" s="10">
        <f>REPT(" ",24)</f>
        <v/>
      </c>
      <c r="W3442" s="10">
        <f>IF(A3442="c",LEFT(UPPER(B3442)&amp;REPT(" ",20),20),REPT(" ",20))</f>
        <v/>
      </c>
      <c r="X3442" s="10">
        <f>IF(A3442="C",LEFT(UPPER(C3442)&amp;REPT(" ",10),10)," ")</f>
        <v/>
      </c>
      <c r="Y3442" s="10">
        <f>IF(A3442="C",LEFT(UPPER(D3442)&amp;REPT(" ",2),2)," ")</f>
        <v/>
      </c>
      <c r="Z3442" s="10">
        <f>IF(A3442="C",LEFT(UPPER(E3442)&amp;REPT(" ",15),15)," ")</f>
        <v/>
      </c>
      <c r="AA3442" s="10">
        <f>REPT(" ",8)</f>
        <v/>
      </c>
      <c r="AB3442" s="10">
        <f>REPT(" ",4)</f>
        <v/>
      </c>
      <c r="AC3442" s="10">
        <f>LEFT(UPPER(H3442)&amp;REPT(" ",250),250)</f>
        <v/>
      </c>
      <c r="AD3442" s="10">
        <f>TEXT($G$2,"dd/mm/aaaa")</f>
        <v/>
      </c>
      <c r="AE3442" s="10">
        <f>REPT(" ",10)</f>
        <v/>
      </c>
      <c r="AF3442" s="10">
        <f>REPT(" ",20)</f>
        <v/>
      </c>
      <c r="AG3442" s="54">
        <f>REPT(" ",18-LEN(FIXED(F3442,2,TRUE)))&amp;FIXED(F3442,2,TRUE)</f>
        <v/>
      </c>
      <c r="AH3442" s="10">
        <f>LEN(AC3442)+LEN(AG3442)</f>
        <v/>
      </c>
      <c r="AI3442" s="10">
        <f>LEN(L3442)</f>
        <v/>
      </c>
    </row>
    <row r="3443">
      <c r="J3443" s="12">
        <f>IF(F3443&lt;&gt;0,"LANÇAR","")</f>
        <v/>
      </c>
      <c r="L3443" s="13">
        <f>N3443&amp;O3443&amp;P3443&amp;Q3443&amp;R3443&amp;S3443&amp;T3443&amp;U3443&amp;V3443&amp;W3443&amp;X3443&amp;Y3443&amp;Z3443&amp;AA3443&amp;AB3443&amp;AC3443&amp;AD3443&amp;AE3443&amp;AF3443&amp;AG3443</f>
        <v/>
      </c>
      <c r="N3443" s="10">
        <f>TEXT($B$6,"00")</f>
        <v/>
      </c>
      <c r="O3443" s="10">
        <f>REPT(" ",8)</f>
        <v/>
      </c>
      <c r="P3443" s="10">
        <f>RIGHT($B$4,2)</f>
        <v/>
      </c>
      <c r="Q3443" s="10">
        <f>RIGHT($B$5,3)</f>
        <v/>
      </c>
      <c r="R3443" s="10">
        <f>IF(A3443="D",LEFT(UPPER(B3443)&amp;REPT(" ",20),20),REPT(" ",20))</f>
        <v/>
      </c>
      <c r="S3443" s="10">
        <f>IF(A3443="D",LEFT(UPPER(C3443)&amp;REPT(" ",10),10)," ")</f>
        <v/>
      </c>
      <c r="T3443" s="10">
        <f>IF(A3443="D",LEFT(UPPER(D3443)&amp;REPT(" ",2),2)," ")</f>
        <v/>
      </c>
      <c r="U3443" s="10">
        <f>IF(A3443="D",LEFT(UPPER(E3443)&amp;REPT(" ",15),15)," ")</f>
        <v/>
      </c>
      <c r="V3443" s="10">
        <f>REPT(" ",24)</f>
        <v/>
      </c>
      <c r="W3443" s="10">
        <f>IF(A3443="c",LEFT(UPPER(B3443)&amp;REPT(" ",20),20),REPT(" ",20))</f>
        <v/>
      </c>
      <c r="X3443" s="10">
        <f>IF(A3443="C",LEFT(UPPER(C3443)&amp;REPT(" ",10),10)," ")</f>
        <v/>
      </c>
      <c r="Y3443" s="10">
        <f>IF(A3443="C",LEFT(UPPER(D3443)&amp;REPT(" ",2),2)," ")</f>
        <v/>
      </c>
      <c r="Z3443" s="10">
        <f>IF(A3443="C",LEFT(UPPER(E3443)&amp;REPT(" ",15),15)," ")</f>
        <v/>
      </c>
      <c r="AA3443" s="10">
        <f>REPT(" ",8)</f>
        <v/>
      </c>
      <c r="AB3443" s="10">
        <f>REPT(" ",4)</f>
        <v/>
      </c>
      <c r="AC3443" s="10">
        <f>LEFT(UPPER(H3443)&amp;REPT(" ",250),250)</f>
        <v/>
      </c>
      <c r="AD3443" s="10">
        <f>TEXT($G$2,"dd/mm/aaaa")</f>
        <v/>
      </c>
      <c r="AE3443" s="10">
        <f>REPT(" ",10)</f>
        <v/>
      </c>
      <c r="AF3443" s="10">
        <f>REPT(" ",20)</f>
        <v/>
      </c>
      <c r="AG3443" s="54">
        <f>REPT(" ",18-LEN(FIXED(F3443,2,TRUE)))&amp;FIXED(F3443,2,TRUE)</f>
        <v/>
      </c>
      <c r="AH3443" s="10">
        <f>LEN(AC3443)+LEN(AG3443)</f>
        <v/>
      </c>
      <c r="AI3443" s="10">
        <f>LEN(L3443)</f>
        <v/>
      </c>
    </row>
    <row r="3444">
      <c r="J3444" s="12">
        <f>IF(F3444&lt;&gt;0,"LANÇAR","")</f>
        <v/>
      </c>
      <c r="L3444" s="13">
        <f>N3444&amp;O3444&amp;P3444&amp;Q3444&amp;R3444&amp;S3444&amp;T3444&amp;U3444&amp;V3444&amp;W3444&amp;X3444&amp;Y3444&amp;Z3444&amp;AA3444&amp;AB3444&amp;AC3444&amp;AD3444&amp;AE3444&amp;AF3444&amp;AG3444</f>
        <v/>
      </c>
      <c r="N3444" s="10">
        <f>TEXT($B$6,"00")</f>
        <v/>
      </c>
      <c r="O3444" s="10">
        <f>REPT(" ",8)</f>
        <v/>
      </c>
      <c r="P3444" s="10">
        <f>RIGHT($B$4,2)</f>
        <v/>
      </c>
      <c r="Q3444" s="10">
        <f>RIGHT($B$5,3)</f>
        <v/>
      </c>
      <c r="R3444" s="10">
        <f>IF(A3444="D",LEFT(UPPER(B3444)&amp;REPT(" ",20),20),REPT(" ",20))</f>
        <v/>
      </c>
      <c r="S3444" s="10">
        <f>IF(A3444="D",LEFT(UPPER(C3444)&amp;REPT(" ",10),10)," ")</f>
        <v/>
      </c>
      <c r="T3444" s="10">
        <f>IF(A3444="D",LEFT(UPPER(D3444)&amp;REPT(" ",2),2)," ")</f>
        <v/>
      </c>
      <c r="U3444" s="10">
        <f>IF(A3444="D",LEFT(UPPER(E3444)&amp;REPT(" ",15),15)," ")</f>
        <v/>
      </c>
      <c r="V3444" s="10">
        <f>REPT(" ",24)</f>
        <v/>
      </c>
      <c r="W3444" s="10">
        <f>IF(A3444="c",LEFT(UPPER(B3444)&amp;REPT(" ",20),20),REPT(" ",20))</f>
        <v/>
      </c>
      <c r="X3444" s="10">
        <f>IF(A3444="C",LEFT(UPPER(C3444)&amp;REPT(" ",10),10)," ")</f>
        <v/>
      </c>
      <c r="Y3444" s="10">
        <f>IF(A3444="C",LEFT(UPPER(D3444)&amp;REPT(" ",2),2)," ")</f>
        <v/>
      </c>
      <c r="Z3444" s="10">
        <f>IF(A3444="C",LEFT(UPPER(E3444)&amp;REPT(" ",15),15)," ")</f>
        <v/>
      </c>
      <c r="AA3444" s="10">
        <f>REPT(" ",8)</f>
        <v/>
      </c>
      <c r="AB3444" s="10">
        <f>REPT(" ",4)</f>
        <v/>
      </c>
      <c r="AC3444" s="10">
        <f>LEFT(UPPER(H3444)&amp;REPT(" ",250),250)</f>
        <v/>
      </c>
      <c r="AD3444" s="10">
        <f>TEXT($G$2,"dd/mm/aaaa")</f>
        <v/>
      </c>
      <c r="AE3444" s="10">
        <f>REPT(" ",10)</f>
        <v/>
      </c>
      <c r="AF3444" s="10">
        <f>REPT(" ",20)</f>
        <v/>
      </c>
      <c r="AG3444" s="54">
        <f>REPT(" ",18-LEN(FIXED(F3444,2,TRUE)))&amp;FIXED(F3444,2,TRUE)</f>
        <v/>
      </c>
      <c r="AH3444" s="10">
        <f>LEN(AC3444)+LEN(AG3444)</f>
        <v/>
      </c>
      <c r="AI3444" s="10">
        <f>LEN(L3444)</f>
        <v/>
      </c>
    </row>
    <row r="3445">
      <c r="J3445" s="12">
        <f>IF(F3445&lt;&gt;0,"LANÇAR","")</f>
        <v/>
      </c>
      <c r="L3445" s="13">
        <f>N3445&amp;O3445&amp;P3445&amp;Q3445&amp;R3445&amp;S3445&amp;T3445&amp;U3445&amp;V3445&amp;W3445&amp;X3445&amp;Y3445&amp;Z3445&amp;AA3445&amp;AB3445&amp;AC3445&amp;AD3445&amp;AE3445&amp;AF3445&amp;AG3445</f>
        <v/>
      </c>
      <c r="N3445" s="10">
        <f>TEXT($B$6,"00")</f>
        <v/>
      </c>
      <c r="O3445" s="10">
        <f>REPT(" ",8)</f>
        <v/>
      </c>
      <c r="P3445" s="10">
        <f>RIGHT($B$4,2)</f>
        <v/>
      </c>
      <c r="Q3445" s="10">
        <f>RIGHT($B$5,3)</f>
        <v/>
      </c>
      <c r="R3445" s="10">
        <f>IF(A3445="D",LEFT(UPPER(B3445)&amp;REPT(" ",20),20),REPT(" ",20))</f>
        <v/>
      </c>
      <c r="S3445" s="10">
        <f>IF(A3445="D",LEFT(UPPER(C3445)&amp;REPT(" ",10),10)," ")</f>
        <v/>
      </c>
      <c r="T3445" s="10">
        <f>IF(A3445="D",LEFT(UPPER(D3445)&amp;REPT(" ",2),2)," ")</f>
        <v/>
      </c>
      <c r="U3445" s="10">
        <f>IF(A3445="D",LEFT(UPPER(E3445)&amp;REPT(" ",15),15)," ")</f>
        <v/>
      </c>
      <c r="V3445" s="10">
        <f>REPT(" ",24)</f>
        <v/>
      </c>
      <c r="W3445" s="10">
        <f>IF(A3445="c",LEFT(UPPER(B3445)&amp;REPT(" ",20),20),REPT(" ",20))</f>
        <v/>
      </c>
      <c r="X3445" s="10">
        <f>IF(A3445="C",LEFT(UPPER(C3445)&amp;REPT(" ",10),10)," ")</f>
        <v/>
      </c>
      <c r="Y3445" s="10">
        <f>IF(A3445="C",LEFT(UPPER(D3445)&amp;REPT(" ",2),2)," ")</f>
        <v/>
      </c>
      <c r="Z3445" s="10">
        <f>IF(A3445="C",LEFT(UPPER(E3445)&amp;REPT(" ",15),15)," ")</f>
        <v/>
      </c>
      <c r="AA3445" s="10">
        <f>REPT(" ",8)</f>
        <v/>
      </c>
      <c r="AB3445" s="10">
        <f>REPT(" ",4)</f>
        <v/>
      </c>
      <c r="AC3445" s="10">
        <f>LEFT(UPPER(H3445)&amp;REPT(" ",250),250)</f>
        <v/>
      </c>
      <c r="AD3445" s="10">
        <f>TEXT($G$2,"dd/mm/aaaa")</f>
        <v/>
      </c>
      <c r="AE3445" s="10">
        <f>REPT(" ",10)</f>
        <v/>
      </c>
      <c r="AF3445" s="10">
        <f>REPT(" ",20)</f>
        <v/>
      </c>
      <c r="AG3445" s="54">
        <f>REPT(" ",18-LEN(FIXED(F3445,2,TRUE)))&amp;FIXED(F3445,2,TRUE)</f>
        <v/>
      </c>
      <c r="AH3445" s="10">
        <f>LEN(AC3445)+LEN(AG3445)</f>
        <v/>
      </c>
      <c r="AI3445" s="10">
        <f>LEN(L3445)</f>
        <v/>
      </c>
    </row>
    <row r="3446">
      <c r="J3446" s="12">
        <f>IF(F3446&lt;&gt;0,"LANÇAR","")</f>
        <v/>
      </c>
      <c r="L3446" s="13">
        <f>N3446&amp;O3446&amp;P3446&amp;Q3446&amp;R3446&amp;S3446&amp;T3446&amp;U3446&amp;V3446&amp;W3446&amp;X3446&amp;Y3446&amp;Z3446&amp;AA3446&amp;AB3446&amp;AC3446&amp;AD3446&amp;AE3446&amp;AF3446&amp;AG3446</f>
        <v/>
      </c>
      <c r="N3446" s="10">
        <f>TEXT($B$6,"00")</f>
        <v/>
      </c>
      <c r="O3446" s="10">
        <f>REPT(" ",8)</f>
        <v/>
      </c>
      <c r="P3446" s="10">
        <f>RIGHT($B$4,2)</f>
        <v/>
      </c>
      <c r="Q3446" s="10">
        <f>RIGHT($B$5,3)</f>
        <v/>
      </c>
      <c r="R3446" s="10">
        <f>IF(A3446="D",LEFT(UPPER(B3446)&amp;REPT(" ",20),20),REPT(" ",20))</f>
        <v/>
      </c>
      <c r="S3446" s="10">
        <f>IF(A3446="D",LEFT(UPPER(C3446)&amp;REPT(" ",10),10)," ")</f>
        <v/>
      </c>
      <c r="T3446" s="10">
        <f>IF(A3446="D",LEFT(UPPER(D3446)&amp;REPT(" ",2),2)," ")</f>
        <v/>
      </c>
      <c r="U3446" s="10">
        <f>IF(A3446="D",LEFT(UPPER(E3446)&amp;REPT(" ",15),15)," ")</f>
        <v/>
      </c>
      <c r="V3446" s="10">
        <f>REPT(" ",24)</f>
        <v/>
      </c>
      <c r="W3446" s="10">
        <f>IF(A3446="c",LEFT(UPPER(B3446)&amp;REPT(" ",20),20),REPT(" ",20))</f>
        <v/>
      </c>
      <c r="X3446" s="10">
        <f>IF(A3446="C",LEFT(UPPER(C3446)&amp;REPT(" ",10),10)," ")</f>
        <v/>
      </c>
      <c r="Y3446" s="10">
        <f>IF(A3446="C",LEFT(UPPER(D3446)&amp;REPT(" ",2),2)," ")</f>
        <v/>
      </c>
      <c r="Z3446" s="10">
        <f>IF(A3446="C",LEFT(UPPER(E3446)&amp;REPT(" ",15),15)," ")</f>
        <v/>
      </c>
      <c r="AA3446" s="10">
        <f>REPT(" ",8)</f>
        <v/>
      </c>
      <c r="AB3446" s="10">
        <f>REPT(" ",4)</f>
        <v/>
      </c>
      <c r="AC3446" s="10">
        <f>LEFT(UPPER(H3446)&amp;REPT(" ",250),250)</f>
        <v/>
      </c>
      <c r="AD3446" s="10">
        <f>TEXT($G$2,"dd/mm/aaaa")</f>
        <v/>
      </c>
      <c r="AE3446" s="10">
        <f>REPT(" ",10)</f>
        <v/>
      </c>
      <c r="AF3446" s="10">
        <f>REPT(" ",20)</f>
        <v/>
      </c>
      <c r="AG3446" s="54">
        <f>REPT(" ",18-LEN(FIXED(F3446,2,TRUE)))&amp;FIXED(F3446,2,TRUE)</f>
        <v/>
      </c>
      <c r="AH3446" s="10">
        <f>LEN(AC3446)+LEN(AG3446)</f>
        <v/>
      </c>
      <c r="AI3446" s="10">
        <f>LEN(L3446)</f>
        <v/>
      </c>
    </row>
    <row r="3447">
      <c r="J3447" s="12">
        <f>IF(F3447&lt;&gt;0,"LANÇAR","")</f>
        <v/>
      </c>
      <c r="L3447" s="13">
        <f>N3447&amp;O3447&amp;P3447&amp;Q3447&amp;R3447&amp;S3447&amp;T3447&amp;U3447&amp;V3447&amp;W3447&amp;X3447&amp;Y3447&amp;Z3447&amp;AA3447&amp;AB3447&amp;AC3447&amp;AD3447&amp;AE3447&amp;AF3447&amp;AG3447</f>
        <v/>
      </c>
      <c r="N3447" s="10">
        <f>TEXT($B$6,"00")</f>
        <v/>
      </c>
      <c r="O3447" s="10">
        <f>REPT(" ",8)</f>
        <v/>
      </c>
      <c r="P3447" s="10">
        <f>RIGHT($B$4,2)</f>
        <v/>
      </c>
      <c r="Q3447" s="10">
        <f>RIGHT($B$5,3)</f>
        <v/>
      </c>
      <c r="R3447" s="10">
        <f>IF(A3447="D",LEFT(UPPER(B3447)&amp;REPT(" ",20),20),REPT(" ",20))</f>
        <v/>
      </c>
      <c r="S3447" s="10">
        <f>IF(A3447="D",LEFT(UPPER(C3447)&amp;REPT(" ",10),10)," ")</f>
        <v/>
      </c>
      <c r="T3447" s="10">
        <f>IF(A3447="D",LEFT(UPPER(D3447)&amp;REPT(" ",2),2)," ")</f>
        <v/>
      </c>
      <c r="U3447" s="10">
        <f>IF(A3447="D",LEFT(UPPER(E3447)&amp;REPT(" ",15),15)," ")</f>
        <v/>
      </c>
      <c r="V3447" s="10">
        <f>REPT(" ",24)</f>
        <v/>
      </c>
      <c r="W3447" s="10">
        <f>IF(A3447="c",LEFT(UPPER(B3447)&amp;REPT(" ",20),20),REPT(" ",20))</f>
        <v/>
      </c>
      <c r="X3447" s="10">
        <f>IF(A3447="C",LEFT(UPPER(C3447)&amp;REPT(" ",10),10)," ")</f>
        <v/>
      </c>
      <c r="Y3447" s="10">
        <f>IF(A3447="C",LEFT(UPPER(D3447)&amp;REPT(" ",2),2)," ")</f>
        <v/>
      </c>
      <c r="Z3447" s="10">
        <f>IF(A3447="C",LEFT(UPPER(E3447)&amp;REPT(" ",15),15)," ")</f>
        <v/>
      </c>
      <c r="AA3447" s="10">
        <f>REPT(" ",8)</f>
        <v/>
      </c>
      <c r="AB3447" s="10">
        <f>REPT(" ",4)</f>
        <v/>
      </c>
      <c r="AC3447" s="10">
        <f>LEFT(UPPER(H3447)&amp;REPT(" ",250),250)</f>
        <v/>
      </c>
      <c r="AD3447" s="10">
        <f>TEXT($G$2,"dd/mm/aaaa")</f>
        <v/>
      </c>
      <c r="AE3447" s="10">
        <f>REPT(" ",10)</f>
        <v/>
      </c>
      <c r="AF3447" s="10">
        <f>REPT(" ",20)</f>
        <v/>
      </c>
      <c r="AG3447" s="54">
        <f>REPT(" ",18-LEN(FIXED(F3447,2,TRUE)))&amp;FIXED(F3447,2,TRUE)</f>
        <v/>
      </c>
      <c r="AH3447" s="10">
        <f>LEN(AC3447)+LEN(AG3447)</f>
        <v/>
      </c>
      <c r="AI3447" s="10">
        <f>LEN(L3447)</f>
        <v/>
      </c>
    </row>
    <row r="3448">
      <c r="J3448" s="12">
        <f>IF(F3448&lt;&gt;0,"LANÇAR","")</f>
        <v/>
      </c>
      <c r="L3448" s="13">
        <f>N3448&amp;O3448&amp;P3448&amp;Q3448&amp;R3448&amp;S3448&amp;T3448&amp;U3448&amp;V3448&amp;W3448&amp;X3448&amp;Y3448&amp;Z3448&amp;AA3448&amp;AB3448&amp;AC3448&amp;AD3448&amp;AE3448&amp;AF3448&amp;AG3448</f>
        <v/>
      </c>
      <c r="N3448" s="10">
        <f>TEXT($B$6,"00")</f>
        <v/>
      </c>
      <c r="O3448" s="10">
        <f>REPT(" ",8)</f>
        <v/>
      </c>
      <c r="P3448" s="10">
        <f>RIGHT($B$4,2)</f>
        <v/>
      </c>
      <c r="Q3448" s="10">
        <f>RIGHT($B$5,3)</f>
        <v/>
      </c>
      <c r="R3448" s="10">
        <f>IF(A3448="D",LEFT(UPPER(B3448)&amp;REPT(" ",20),20),REPT(" ",20))</f>
        <v/>
      </c>
      <c r="S3448" s="10">
        <f>IF(A3448="D",LEFT(UPPER(C3448)&amp;REPT(" ",10),10)," ")</f>
        <v/>
      </c>
      <c r="T3448" s="10">
        <f>IF(A3448="D",LEFT(UPPER(D3448)&amp;REPT(" ",2),2)," ")</f>
        <v/>
      </c>
      <c r="U3448" s="10">
        <f>IF(A3448="D",LEFT(UPPER(E3448)&amp;REPT(" ",15),15)," ")</f>
        <v/>
      </c>
      <c r="V3448" s="10">
        <f>REPT(" ",24)</f>
        <v/>
      </c>
      <c r="W3448" s="10">
        <f>IF(A3448="c",LEFT(UPPER(B3448)&amp;REPT(" ",20),20),REPT(" ",20))</f>
        <v/>
      </c>
      <c r="X3448" s="10">
        <f>IF(A3448="C",LEFT(UPPER(C3448)&amp;REPT(" ",10),10)," ")</f>
        <v/>
      </c>
      <c r="Y3448" s="10">
        <f>IF(A3448="C",LEFT(UPPER(D3448)&amp;REPT(" ",2),2)," ")</f>
        <v/>
      </c>
      <c r="Z3448" s="10">
        <f>IF(A3448="C",LEFT(UPPER(E3448)&amp;REPT(" ",15),15)," ")</f>
        <v/>
      </c>
      <c r="AA3448" s="10">
        <f>REPT(" ",8)</f>
        <v/>
      </c>
      <c r="AB3448" s="10">
        <f>REPT(" ",4)</f>
        <v/>
      </c>
      <c r="AC3448" s="10">
        <f>LEFT(UPPER(H3448)&amp;REPT(" ",250),250)</f>
        <v/>
      </c>
      <c r="AD3448" s="10">
        <f>TEXT($G$2,"dd/mm/aaaa")</f>
        <v/>
      </c>
      <c r="AE3448" s="10">
        <f>REPT(" ",10)</f>
        <v/>
      </c>
      <c r="AF3448" s="10">
        <f>REPT(" ",20)</f>
        <v/>
      </c>
      <c r="AG3448" s="54">
        <f>REPT(" ",18-LEN(FIXED(F3448,2,TRUE)))&amp;FIXED(F3448,2,TRUE)</f>
        <v/>
      </c>
      <c r="AH3448" s="10">
        <f>LEN(AC3448)+LEN(AG3448)</f>
        <v/>
      </c>
      <c r="AI3448" s="10">
        <f>LEN(L3448)</f>
        <v/>
      </c>
    </row>
    <row r="3449">
      <c r="J3449" s="12">
        <f>IF(F3449&lt;&gt;0,"LANÇAR","")</f>
        <v/>
      </c>
      <c r="L3449" s="13">
        <f>N3449&amp;O3449&amp;P3449&amp;Q3449&amp;R3449&amp;S3449&amp;T3449&amp;U3449&amp;V3449&amp;W3449&amp;X3449&amp;Y3449&amp;Z3449&amp;AA3449&amp;AB3449&amp;AC3449&amp;AD3449&amp;AE3449&amp;AF3449&amp;AG3449</f>
        <v/>
      </c>
      <c r="N3449" s="10">
        <f>TEXT($B$6,"00")</f>
        <v/>
      </c>
      <c r="O3449" s="10">
        <f>REPT(" ",8)</f>
        <v/>
      </c>
      <c r="P3449" s="10">
        <f>RIGHT($B$4,2)</f>
        <v/>
      </c>
      <c r="Q3449" s="10">
        <f>RIGHT($B$5,3)</f>
        <v/>
      </c>
      <c r="R3449" s="10">
        <f>IF(A3449="D",LEFT(UPPER(B3449)&amp;REPT(" ",20),20),REPT(" ",20))</f>
        <v/>
      </c>
      <c r="S3449" s="10">
        <f>IF(A3449="D",LEFT(UPPER(C3449)&amp;REPT(" ",10),10)," ")</f>
        <v/>
      </c>
      <c r="T3449" s="10">
        <f>IF(A3449="D",LEFT(UPPER(D3449)&amp;REPT(" ",2),2)," ")</f>
        <v/>
      </c>
      <c r="U3449" s="10">
        <f>IF(A3449="D",LEFT(UPPER(E3449)&amp;REPT(" ",15),15)," ")</f>
        <v/>
      </c>
      <c r="V3449" s="10">
        <f>REPT(" ",24)</f>
        <v/>
      </c>
      <c r="W3449" s="10">
        <f>IF(A3449="c",LEFT(UPPER(B3449)&amp;REPT(" ",20),20),REPT(" ",20))</f>
        <v/>
      </c>
      <c r="X3449" s="10">
        <f>IF(A3449="C",LEFT(UPPER(C3449)&amp;REPT(" ",10),10)," ")</f>
        <v/>
      </c>
      <c r="Y3449" s="10">
        <f>IF(A3449="C",LEFT(UPPER(D3449)&amp;REPT(" ",2),2)," ")</f>
        <v/>
      </c>
      <c r="Z3449" s="10">
        <f>IF(A3449="C",LEFT(UPPER(E3449)&amp;REPT(" ",15),15)," ")</f>
        <v/>
      </c>
      <c r="AA3449" s="10">
        <f>REPT(" ",8)</f>
        <v/>
      </c>
      <c r="AB3449" s="10">
        <f>REPT(" ",4)</f>
        <v/>
      </c>
      <c r="AC3449" s="10">
        <f>LEFT(UPPER(H3449)&amp;REPT(" ",250),250)</f>
        <v/>
      </c>
      <c r="AD3449" s="10">
        <f>TEXT($G$2,"dd/mm/aaaa")</f>
        <v/>
      </c>
      <c r="AE3449" s="10">
        <f>REPT(" ",10)</f>
        <v/>
      </c>
      <c r="AF3449" s="10">
        <f>REPT(" ",20)</f>
        <v/>
      </c>
      <c r="AG3449" s="54">
        <f>REPT(" ",18-LEN(FIXED(F3449,2,TRUE)))&amp;FIXED(F3449,2,TRUE)</f>
        <v/>
      </c>
      <c r="AH3449" s="10">
        <f>LEN(AC3449)+LEN(AG3449)</f>
        <v/>
      </c>
      <c r="AI3449" s="10">
        <f>LEN(L3449)</f>
        <v/>
      </c>
    </row>
    <row r="3450">
      <c r="J3450" s="12">
        <f>IF(F3450&lt;&gt;0,"LANÇAR","")</f>
        <v/>
      </c>
      <c r="L3450" s="13">
        <f>N3450&amp;O3450&amp;P3450&amp;Q3450&amp;R3450&amp;S3450&amp;T3450&amp;U3450&amp;V3450&amp;W3450&amp;X3450&amp;Y3450&amp;Z3450&amp;AA3450&amp;AB3450&amp;AC3450&amp;AD3450&amp;AE3450&amp;AF3450&amp;AG3450</f>
        <v/>
      </c>
      <c r="N3450" s="10">
        <f>TEXT($B$6,"00")</f>
        <v/>
      </c>
      <c r="O3450" s="10">
        <f>REPT(" ",8)</f>
        <v/>
      </c>
      <c r="P3450" s="10">
        <f>RIGHT($B$4,2)</f>
        <v/>
      </c>
      <c r="Q3450" s="10">
        <f>RIGHT($B$5,3)</f>
        <v/>
      </c>
      <c r="R3450" s="10">
        <f>IF(A3450="D",LEFT(UPPER(B3450)&amp;REPT(" ",20),20),REPT(" ",20))</f>
        <v/>
      </c>
      <c r="S3450" s="10">
        <f>IF(A3450="D",LEFT(UPPER(C3450)&amp;REPT(" ",10),10)," ")</f>
        <v/>
      </c>
      <c r="T3450" s="10">
        <f>IF(A3450="D",LEFT(UPPER(D3450)&amp;REPT(" ",2),2)," ")</f>
        <v/>
      </c>
      <c r="U3450" s="10">
        <f>IF(A3450="D",LEFT(UPPER(E3450)&amp;REPT(" ",15),15)," ")</f>
        <v/>
      </c>
      <c r="V3450" s="10">
        <f>REPT(" ",24)</f>
        <v/>
      </c>
      <c r="W3450" s="10">
        <f>IF(A3450="c",LEFT(UPPER(B3450)&amp;REPT(" ",20),20),REPT(" ",20))</f>
        <v/>
      </c>
      <c r="X3450" s="10">
        <f>IF(A3450="C",LEFT(UPPER(C3450)&amp;REPT(" ",10),10)," ")</f>
        <v/>
      </c>
      <c r="Y3450" s="10">
        <f>IF(A3450="C",LEFT(UPPER(D3450)&amp;REPT(" ",2),2)," ")</f>
        <v/>
      </c>
      <c r="Z3450" s="10">
        <f>IF(A3450="C",LEFT(UPPER(E3450)&amp;REPT(" ",15),15)," ")</f>
        <v/>
      </c>
      <c r="AA3450" s="10">
        <f>REPT(" ",8)</f>
        <v/>
      </c>
      <c r="AB3450" s="10">
        <f>REPT(" ",4)</f>
        <v/>
      </c>
      <c r="AC3450" s="10">
        <f>LEFT(UPPER(H3450)&amp;REPT(" ",250),250)</f>
        <v/>
      </c>
      <c r="AD3450" s="10">
        <f>TEXT($G$2,"dd/mm/aaaa")</f>
        <v/>
      </c>
      <c r="AE3450" s="10">
        <f>REPT(" ",10)</f>
        <v/>
      </c>
      <c r="AF3450" s="10">
        <f>REPT(" ",20)</f>
        <v/>
      </c>
      <c r="AG3450" s="54">
        <f>REPT(" ",18-LEN(FIXED(F3450,2,TRUE)))&amp;FIXED(F3450,2,TRUE)</f>
        <v/>
      </c>
      <c r="AH3450" s="10">
        <f>LEN(AC3450)+LEN(AG3450)</f>
        <v/>
      </c>
      <c r="AI3450" s="10">
        <f>LEN(L3450)</f>
        <v/>
      </c>
    </row>
    <row r="3451">
      <c r="J3451" s="12">
        <f>IF(F3451&lt;&gt;0,"LANÇAR","")</f>
        <v/>
      </c>
      <c r="L3451" s="13">
        <f>N3451&amp;O3451&amp;P3451&amp;Q3451&amp;R3451&amp;S3451&amp;T3451&amp;U3451&amp;V3451&amp;W3451&amp;X3451&amp;Y3451&amp;Z3451&amp;AA3451&amp;AB3451&amp;AC3451&amp;AD3451&amp;AE3451&amp;AF3451&amp;AG3451</f>
        <v/>
      </c>
      <c r="N3451" s="10">
        <f>TEXT($B$6,"00")</f>
        <v/>
      </c>
      <c r="O3451" s="10">
        <f>REPT(" ",8)</f>
        <v/>
      </c>
      <c r="P3451" s="10">
        <f>RIGHT($B$4,2)</f>
        <v/>
      </c>
      <c r="Q3451" s="10">
        <f>RIGHT($B$5,3)</f>
        <v/>
      </c>
      <c r="R3451" s="10">
        <f>IF(A3451="D",LEFT(UPPER(B3451)&amp;REPT(" ",20),20),REPT(" ",20))</f>
        <v/>
      </c>
      <c r="S3451" s="10">
        <f>IF(A3451="D",LEFT(UPPER(C3451)&amp;REPT(" ",10),10)," ")</f>
        <v/>
      </c>
      <c r="T3451" s="10">
        <f>IF(A3451="D",LEFT(UPPER(D3451)&amp;REPT(" ",2),2)," ")</f>
        <v/>
      </c>
      <c r="U3451" s="10">
        <f>IF(A3451="D",LEFT(UPPER(E3451)&amp;REPT(" ",15),15)," ")</f>
        <v/>
      </c>
      <c r="V3451" s="10">
        <f>REPT(" ",24)</f>
        <v/>
      </c>
      <c r="W3451" s="10">
        <f>IF(A3451="c",LEFT(UPPER(B3451)&amp;REPT(" ",20),20),REPT(" ",20))</f>
        <v/>
      </c>
      <c r="X3451" s="10">
        <f>IF(A3451="C",LEFT(UPPER(C3451)&amp;REPT(" ",10),10)," ")</f>
        <v/>
      </c>
      <c r="Y3451" s="10">
        <f>IF(A3451="C",LEFT(UPPER(D3451)&amp;REPT(" ",2),2)," ")</f>
        <v/>
      </c>
      <c r="Z3451" s="10">
        <f>IF(A3451="C",LEFT(UPPER(E3451)&amp;REPT(" ",15),15)," ")</f>
        <v/>
      </c>
      <c r="AA3451" s="10">
        <f>REPT(" ",8)</f>
        <v/>
      </c>
      <c r="AB3451" s="10">
        <f>REPT(" ",4)</f>
        <v/>
      </c>
      <c r="AC3451" s="10">
        <f>LEFT(UPPER(H3451)&amp;REPT(" ",250),250)</f>
        <v/>
      </c>
      <c r="AD3451" s="10">
        <f>TEXT($G$2,"dd/mm/aaaa")</f>
        <v/>
      </c>
      <c r="AE3451" s="10">
        <f>REPT(" ",10)</f>
        <v/>
      </c>
      <c r="AF3451" s="10">
        <f>REPT(" ",20)</f>
        <v/>
      </c>
      <c r="AG3451" s="54">
        <f>REPT(" ",18-LEN(FIXED(F3451,2,TRUE)))&amp;FIXED(F3451,2,TRUE)</f>
        <v/>
      </c>
      <c r="AH3451" s="10">
        <f>LEN(AC3451)+LEN(AG3451)</f>
        <v/>
      </c>
      <c r="AI3451" s="10">
        <f>LEN(L3451)</f>
        <v/>
      </c>
    </row>
    <row r="3452">
      <c r="J3452" s="12">
        <f>IF(F3452&lt;&gt;0,"LANÇAR","")</f>
        <v/>
      </c>
      <c r="L3452" s="13">
        <f>N3452&amp;O3452&amp;P3452&amp;Q3452&amp;R3452&amp;S3452&amp;T3452&amp;U3452&amp;V3452&amp;W3452&amp;X3452&amp;Y3452&amp;Z3452&amp;AA3452&amp;AB3452&amp;AC3452&amp;AD3452&amp;AE3452&amp;AF3452&amp;AG3452</f>
        <v/>
      </c>
      <c r="N3452" s="10">
        <f>TEXT($B$6,"00")</f>
        <v/>
      </c>
      <c r="O3452" s="10">
        <f>REPT(" ",8)</f>
        <v/>
      </c>
      <c r="P3452" s="10">
        <f>RIGHT($B$4,2)</f>
        <v/>
      </c>
      <c r="Q3452" s="10">
        <f>RIGHT($B$5,3)</f>
        <v/>
      </c>
      <c r="R3452" s="10">
        <f>IF(A3452="D",LEFT(UPPER(B3452)&amp;REPT(" ",20),20),REPT(" ",20))</f>
        <v/>
      </c>
      <c r="S3452" s="10">
        <f>IF(A3452="D",LEFT(UPPER(C3452)&amp;REPT(" ",10),10)," ")</f>
        <v/>
      </c>
      <c r="T3452" s="10">
        <f>IF(A3452="D",LEFT(UPPER(D3452)&amp;REPT(" ",2),2)," ")</f>
        <v/>
      </c>
      <c r="U3452" s="10">
        <f>IF(A3452="D",LEFT(UPPER(E3452)&amp;REPT(" ",15),15)," ")</f>
        <v/>
      </c>
      <c r="V3452" s="10">
        <f>REPT(" ",24)</f>
        <v/>
      </c>
      <c r="W3452" s="10">
        <f>IF(A3452="c",LEFT(UPPER(B3452)&amp;REPT(" ",20),20),REPT(" ",20))</f>
        <v/>
      </c>
      <c r="X3452" s="10">
        <f>IF(A3452="C",LEFT(UPPER(C3452)&amp;REPT(" ",10),10)," ")</f>
        <v/>
      </c>
      <c r="Y3452" s="10">
        <f>IF(A3452="C",LEFT(UPPER(D3452)&amp;REPT(" ",2),2)," ")</f>
        <v/>
      </c>
      <c r="Z3452" s="10">
        <f>IF(A3452="C",LEFT(UPPER(E3452)&amp;REPT(" ",15),15)," ")</f>
        <v/>
      </c>
      <c r="AA3452" s="10">
        <f>REPT(" ",8)</f>
        <v/>
      </c>
      <c r="AB3452" s="10">
        <f>REPT(" ",4)</f>
        <v/>
      </c>
      <c r="AC3452" s="10">
        <f>LEFT(UPPER(H3452)&amp;REPT(" ",250),250)</f>
        <v/>
      </c>
      <c r="AD3452" s="10">
        <f>TEXT($G$2,"dd/mm/aaaa")</f>
        <v/>
      </c>
      <c r="AE3452" s="10">
        <f>REPT(" ",10)</f>
        <v/>
      </c>
      <c r="AF3452" s="10">
        <f>REPT(" ",20)</f>
        <v/>
      </c>
      <c r="AG3452" s="54">
        <f>REPT(" ",18-LEN(FIXED(F3452,2,TRUE)))&amp;FIXED(F3452,2,TRUE)</f>
        <v/>
      </c>
      <c r="AH3452" s="10">
        <f>LEN(AC3452)+LEN(AG3452)</f>
        <v/>
      </c>
      <c r="AI3452" s="10">
        <f>LEN(L3452)</f>
        <v/>
      </c>
    </row>
    <row r="3453">
      <c r="J3453" s="12">
        <f>IF(F3453&lt;&gt;0,"LANÇAR","")</f>
        <v/>
      </c>
      <c r="L3453" s="13">
        <f>N3453&amp;O3453&amp;P3453&amp;Q3453&amp;R3453&amp;S3453&amp;T3453&amp;U3453&amp;V3453&amp;W3453&amp;X3453&amp;Y3453&amp;Z3453&amp;AA3453&amp;AB3453&amp;AC3453&amp;AD3453&amp;AE3453&amp;AF3453&amp;AG3453</f>
        <v/>
      </c>
      <c r="N3453" s="10">
        <f>TEXT($B$6,"00")</f>
        <v/>
      </c>
      <c r="O3453" s="10">
        <f>REPT(" ",8)</f>
        <v/>
      </c>
      <c r="P3453" s="10">
        <f>RIGHT($B$4,2)</f>
        <v/>
      </c>
      <c r="Q3453" s="10">
        <f>RIGHT($B$5,3)</f>
        <v/>
      </c>
      <c r="R3453" s="10">
        <f>IF(A3453="D",LEFT(UPPER(B3453)&amp;REPT(" ",20),20),REPT(" ",20))</f>
        <v/>
      </c>
      <c r="S3453" s="10">
        <f>IF(A3453="D",LEFT(UPPER(C3453)&amp;REPT(" ",10),10)," ")</f>
        <v/>
      </c>
      <c r="T3453" s="10">
        <f>IF(A3453="D",LEFT(UPPER(D3453)&amp;REPT(" ",2),2)," ")</f>
        <v/>
      </c>
      <c r="U3453" s="10">
        <f>IF(A3453="D",LEFT(UPPER(E3453)&amp;REPT(" ",15),15)," ")</f>
        <v/>
      </c>
      <c r="V3453" s="10">
        <f>REPT(" ",24)</f>
        <v/>
      </c>
      <c r="W3453" s="10">
        <f>IF(A3453="c",LEFT(UPPER(B3453)&amp;REPT(" ",20),20),REPT(" ",20))</f>
        <v/>
      </c>
      <c r="X3453" s="10">
        <f>IF(A3453="C",LEFT(UPPER(C3453)&amp;REPT(" ",10),10)," ")</f>
        <v/>
      </c>
      <c r="Y3453" s="10">
        <f>IF(A3453="C",LEFT(UPPER(D3453)&amp;REPT(" ",2),2)," ")</f>
        <v/>
      </c>
      <c r="Z3453" s="10">
        <f>IF(A3453="C",LEFT(UPPER(E3453)&amp;REPT(" ",15),15)," ")</f>
        <v/>
      </c>
      <c r="AA3453" s="10">
        <f>REPT(" ",8)</f>
        <v/>
      </c>
      <c r="AB3453" s="10">
        <f>REPT(" ",4)</f>
        <v/>
      </c>
      <c r="AC3453" s="10">
        <f>LEFT(UPPER(H3453)&amp;REPT(" ",250),250)</f>
        <v/>
      </c>
      <c r="AD3453" s="10">
        <f>TEXT($G$2,"dd/mm/aaaa")</f>
        <v/>
      </c>
      <c r="AE3453" s="10">
        <f>REPT(" ",10)</f>
        <v/>
      </c>
      <c r="AF3453" s="10">
        <f>REPT(" ",20)</f>
        <v/>
      </c>
      <c r="AG3453" s="54">
        <f>REPT(" ",18-LEN(FIXED(F3453,2,TRUE)))&amp;FIXED(F3453,2,TRUE)</f>
        <v/>
      </c>
      <c r="AH3453" s="10">
        <f>LEN(AC3453)+LEN(AG3453)</f>
        <v/>
      </c>
      <c r="AI3453" s="10">
        <f>LEN(L3453)</f>
        <v/>
      </c>
    </row>
    <row r="3454">
      <c r="J3454" s="12">
        <f>IF(F3454&lt;&gt;0,"LANÇAR","")</f>
        <v/>
      </c>
      <c r="L3454" s="13">
        <f>N3454&amp;O3454&amp;P3454&amp;Q3454&amp;R3454&amp;S3454&amp;T3454&amp;U3454&amp;V3454&amp;W3454&amp;X3454&amp;Y3454&amp;Z3454&amp;AA3454&amp;AB3454&amp;AC3454&amp;AD3454&amp;AE3454&amp;AF3454&amp;AG3454</f>
        <v/>
      </c>
      <c r="N3454" s="10">
        <f>TEXT($B$6,"00")</f>
        <v/>
      </c>
      <c r="O3454" s="10">
        <f>REPT(" ",8)</f>
        <v/>
      </c>
      <c r="P3454" s="10">
        <f>RIGHT($B$4,2)</f>
        <v/>
      </c>
      <c r="Q3454" s="10">
        <f>RIGHT($B$5,3)</f>
        <v/>
      </c>
      <c r="R3454" s="10">
        <f>IF(A3454="D",LEFT(UPPER(B3454)&amp;REPT(" ",20),20),REPT(" ",20))</f>
        <v/>
      </c>
      <c r="S3454" s="10">
        <f>IF(A3454="D",LEFT(UPPER(C3454)&amp;REPT(" ",10),10)," ")</f>
        <v/>
      </c>
      <c r="T3454" s="10">
        <f>IF(A3454="D",LEFT(UPPER(D3454)&amp;REPT(" ",2),2)," ")</f>
        <v/>
      </c>
      <c r="U3454" s="10">
        <f>IF(A3454="D",LEFT(UPPER(E3454)&amp;REPT(" ",15),15)," ")</f>
        <v/>
      </c>
      <c r="V3454" s="10">
        <f>REPT(" ",24)</f>
        <v/>
      </c>
      <c r="W3454" s="10">
        <f>IF(A3454="c",LEFT(UPPER(B3454)&amp;REPT(" ",20),20),REPT(" ",20))</f>
        <v/>
      </c>
      <c r="X3454" s="10">
        <f>IF(A3454="C",LEFT(UPPER(C3454)&amp;REPT(" ",10),10)," ")</f>
        <v/>
      </c>
      <c r="Y3454" s="10">
        <f>IF(A3454="C",LEFT(UPPER(D3454)&amp;REPT(" ",2),2)," ")</f>
        <v/>
      </c>
      <c r="Z3454" s="10">
        <f>IF(A3454="C",LEFT(UPPER(E3454)&amp;REPT(" ",15),15)," ")</f>
        <v/>
      </c>
      <c r="AA3454" s="10">
        <f>REPT(" ",8)</f>
        <v/>
      </c>
      <c r="AB3454" s="10">
        <f>REPT(" ",4)</f>
        <v/>
      </c>
      <c r="AC3454" s="10">
        <f>LEFT(UPPER(H3454)&amp;REPT(" ",250),250)</f>
        <v/>
      </c>
      <c r="AD3454" s="10">
        <f>TEXT($G$2,"dd/mm/aaaa")</f>
        <v/>
      </c>
      <c r="AE3454" s="10">
        <f>REPT(" ",10)</f>
        <v/>
      </c>
      <c r="AF3454" s="10">
        <f>REPT(" ",20)</f>
        <v/>
      </c>
      <c r="AG3454" s="54">
        <f>REPT(" ",18-LEN(FIXED(F3454,2,TRUE)))&amp;FIXED(F3454,2,TRUE)</f>
        <v/>
      </c>
      <c r="AH3454" s="10">
        <f>LEN(AC3454)+LEN(AG3454)</f>
        <v/>
      </c>
      <c r="AI3454" s="10">
        <f>LEN(L3454)</f>
        <v/>
      </c>
    </row>
    <row r="3455">
      <c r="J3455" s="12">
        <f>IF(F3455&lt;&gt;0,"LANÇAR","")</f>
        <v/>
      </c>
      <c r="L3455" s="13">
        <f>N3455&amp;O3455&amp;P3455&amp;Q3455&amp;R3455&amp;S3455&amp;T3455&amp;U3455&amp;V3455&amp;W3455&amp;X3455&amp;Y3455&amp;Z3455&amp;AA3455&amp;AB3455&amp;AC3455&amp;AD3455&amp;AE3455&amp;AF3455&amp;AG3455</f>
        <v/>
      </c>
      <c r="N3455" s="10">
        <f>TEXT($B$6,"00")</f>
        <v/>
      </c>
      <c r="O3455" s="10">
        <f>REPT(" ",8)</f>
        <v/>
      </c>
      <c r="P3455" s="10">
        <f>RIGHT($B$4,2)</f>
        <v/>
      </c>
      <c r="Q3455" s="10">
        <f>RIGHT($B$5,3)</f>
        <v/>
      </c>
      <c r="R3455" s="10">
        <f>IF(A3455="D",LEFT(UPPER(B3455)&amp;REPT(" ",20),20),REPT(" ",20))</f>
        <v/>
      </c>
      <c r="S3455" s="10">
        <f>IF(A3455="D",LEFT(UPPER(C3455)&amp;REPT(" ",10),10)," ")</f>
        <v/>
      </c>
      <c r="T3455" s="10">
        <f>IF(A3455="D",LEFT(UPPER(D3455)&amp;REPT(" ",2),2)," ")</f>
        <v/>
      </c>
      <c r="U3455" s="10">
        <f>IF(A3455="D",LEFT(UPPER(E3455)&amp;REPT(" ",15),15)," ")</f>
        <v/>
      </c>
      <c r="V3455" s="10">
        <f>REPT(" ",24)</f>
        <v/>
      </c>
      <c r="W3455" s="10">
        <f>IF(A3455="c",LEFT(UPPER(B3455)&amp;REPT(" ",20),20),REPT(" ",20))</f>
        <v/>
      </c>
      <c r="X3455" s="10">
        <f>IF(A3455="C",LEFT(UPPER(C3455)&amp;REPT(" ",10),10)," ")</f>
        <v/>
      </c>
      <c r="Y3455" s="10">
        <f>IF(A3455="C",LEFT(UPPER(D3455)&amp;REPT(" ",2),2)," ")</f>
        <v/>
      </c>
      <c r="Z3455" s="10">
        <f>IF(A3455="C",LEFT(UPPER(E3455)&amp;REPT(" ",15),15)," ")</f>
        <v/>
      </c>
      <c r="AA3455" s="10">
        <f>REPT(" ",8)</f>
        <v/>
      </c>
      <c r="AB3455" s="10">
        <f>REPT(" ",4)</f>
        <v/>
      </c>
      <c r="AC3455" s="10">
        <f>LEFT(UPPER(H3455)&amp;REPT(" ",250),250)</f>
        <v/>
      </c>
      <c r="AD3455" s="10">
        <f>TEXT($G$2,"dd/mm/aaaa")</f>
        <v/>
      </c>
      <c r="AE3455" s="10">
        <f>REPT(" ",10)</f>
        <v/>
      </c>
      <c r="AF3455" s="10">
        <f>REPT(" ",20)</f>
        <v/>
      </c>
      <c r="AG3455" s="54">
        <f>REPT(" ",18-LEN(FIXED(F3455,2,TRUE)))&amp;FIXED(F3455,2,TRUE)</f>
        <v/>
      </c>
      <c r="AH3455" s="10">
        <f>LEN(AC3455)+LEN(AG3455)</f>
        <v/>
      </c>
      <c r="AI3455" s="10">
        <f>LEN(L3455)</f>
        <v/>
      </c>
    </row>
    <row r="3456">
      <c r="J3456" s="12">
        <f>IF(F3456&lt;&gt;0,"LANÇAR","")</f>
        <v/>
      </c>
      <c r="L3456" s="13">
        <f>N3456&amp;O3456&amp;P3456&amp;Q3456&amp;R3456&amp;S3456&amp;T3456&amp;U3456&amp;V3456&amp;W3456&amp;X3456&amp;Y3456&amp;Z3456&amp;AA3456&amp;AB3456&amp;AC3456&amp;AD3456&amp;AE3456&amp;AF3456&amp;AG3456</f>
        <v/>
      </c>
      <c r="N3456" s="10">
        <f>TEXT($B$6,"00")</f>
        <v/>
      </c>
      <c r="O3456" s="10">
        <f>REPT(" ",8)</f>
        <v/>
      </c>
      <c r="P3456" s="10">
        <f>RIGHT($B$4,2)</f>
        <v/>
      </c>
      <c r="Q3456" s="10">
        <f>RIGHT($B$5,3)</f>
        <v/>
      </c>
      <c r="R3456" s="10">
        <f>IF(A3456="D",LEFT(UPPER(B3456)&amp;REPT(" ",20),20),REPT(" ",20))</f>
        <v/>
      </c>
      <c r="S3456" s="10">
        <f>IF(A3456="D",LEFT(UPPER(C3456)&amp;REPT(" ",10),10)," ")</f>
        <v/>
      </c>
      <c r="T3456" s="10">
        <f>IF(A3456="D",LEFT(UPPER(D3456)&amp;REPT(" ",2),2)," ")</f>
        <v/>
      </c>
      <c r="U3456" s="10">
        <f>IF(A3456="D",LEFT(UPPER(E3456)&amp;REPT(" ",15),15)," ")</f>
        <v/>
      </c>
      <c r="V3456" s="10">
        <f>REPT(" ",24)</f>
        <v/>
      </c>
      <c r="W3456" s="10">
        <f>IF(A3456="c",LEFT(UPPER(B3456)&amp;REPT(" ",20),20),REPT(" ",20))</f>
        <v/>
      </c>
      <c r="X3456" s="10">
        <f>IF(A3456="C",LEFT(UPPER(C3456)&amp;REPT(" ",10),10)," ")</f>
        <v/>
      </c>
      <c r="Y3456" s="10">
        <f>IF(A3456="C",LEFT(UPPER(D3456)&amp;REPT(" ",2),2)," ")</f>
        <v/>
      </c>
      <c r="Z3456" s="10">
        <f>IF(A3456="C",LEFT(UPPER(E3456)&amp;REPT(" ",15),15)," ")</f>
        <v/>
      </c>
      <c r="AA3456" s="10">
        <f>REPT(" ",8)</f>
        <v/>
      </c>
      <c r="AB3456" s="10">
        <f>REPT(" ",4)</f>
        <v/>
      </c>
      <c r="AC3456" s="10">
        <f>LEFT(UPPER(H3456)&amp;REPT(" ",250),250)</f>
        <v/>
      </c>
      <c r="AD3456" s="10">
        <f>TEXT($G$2,"dd/mm/aaaa")</f>
        <v/>
      </c>
      <c r="AE3456" s="10">
        <f>REPT(" ",10)</f>
        <v/>
      </c>
      <c r="AF3456" s="10">
        <f>REPT(" ",20)</f>
        <v/>
      </c>
      <c r="AG3456" s="54">
        <f>REPT(" ",18-LEN(FIXED(F3456,2,TRUE)))&amp;FIXED(F3456,2,TRUE)</f>
        <v/>
      </c>
      <c r="AH3456" s="10">
        <f>LEN(AC3456)+LEN(AG3456)</f>
        <v/>
      </c>
      <c r="AI3456" s="10">
        <f>LEN(L3456)</f>
        <v/>
      </c>
    </row>
    <row r="3457">
      <c r="J3457" s="12">
        <f>IF(F3457&lt;&gt;0,"LANÇAR","")</f>
        <v/>
      </c>
      <c r="L3457" s="13">
        <f>N3457&amp;O3457&amp;P3457&amp;Q3457&amp;R3457&amp;S3457&amp;T3457&amp;U3457&amp;V3457&amp;W3457&amp;X3457&amp;Y3457&amp;Z3457&amp;AA3457&amp;AB3457&amp;AC3457&amp;AD3457&amp;AE3457&amp;AF3457&amp;AG3457</f>
        <v/>
      </c>
      <c r="N3457" s="10">
        <f>TEXT($B$6,"00")</f>
        <v/>
      </c>
      <c r="O3457" s="10">
        <f>REPT(" ",8)</f>
        <v/>
      </c>
      <c r="P3457" s="10">
        <f>RIGHT($B$4,2)</f>
        <v/>
      </c>
      <c r="Q3457" s="10">
        <f>RIGHT($B$5,3)</f>
        <v/>
      </c>
      <c r="R3457" s="10">
        <f>IF(A3457="D",LEFT(UPPER(B3457)&amp;REPT(" ",20),20),REPT(" ",20))</f>
        <v/>
      </c>
      <c r="S3457" s="10">
        <f>IF(A3457="D",LEFT(UPPER(C3457)&amp;REPT(" ",10),10)," ")</f>
        <v/>
      </c>
      <c r="T3457" s="10">
        <f>IF(A3457="D",LEFT(UPPER(D3457)&amp;REPT(" ",2),2)," ")</f>
        <v/>
      </c>
      <c r="U3457" s="10">
        <f>IF(A3457="D",LEFT(UPPER(E3457)&amp;REPT(" ",15),15)," ")</f>
        <v/>
      </c>
      <c r="V3457" s="10">
        <f>REPT(" ",24)</f>
        <v/>
      </c>
      <c r="W3457" s="10">
        <f>IF(A3457="c",LEFT(UPPER(B3457)&amp;REPT(" ",20),20),REPT(" ",20))</f>
        <v/>
      </c>
      <c r="X3457" s="10">
        <f>IF(A3457="C",LEFT(UPPER(C3457)&amp;REPT(" ",10),10)," ")</f>
        <v/>
      </c>
      <c r="Y3457" s="10">
        <f>IF(A3457="C",LEFT(UPPER(D3457)&amp;REPT(" ",2),2)," ")</f>
        <v/>
      </c>
      <c r="Z3457" s="10">
        <f>IF(A3457="C",LEFT(UPPER(E3457)&amp;REPT(" ",15),15)," ")</f>
        <v/>
      </c>
      <c r="AA3457" s="10">
        <f>REPT(" ",8)</f>
        <v/>
      </c>
      <c r="AB3457" s="10">
        <f>REPT(" ",4)</f>
        <v/>
      </c>
      <c r="AC3457" s="10">
        <f>LEFT(UPPER(H3457)&amp;REPT(" ",250),250)</f>
        <v/>
      </c>
      <c r="AD3457" s="10">
        <f>TEXT($G$2,"dd/mm/aaaa")</f>
        <v/>
      </c>
      <c r="AE3457" s="10">
        <f>REPT(" ",10)</f>
        <v/>
      </c>
      <c r="AF3457" s="10">
        <f>REPT(" ",20)</f>
        <v/>
      </c>
      <c r="AG3457" s="54">
        <f>REPT(" ",18-LEN(FIXED(F3457,2,TRUE)))&amp;FIXED(F3457,2,TRUE)</f>
        <v/>
      </c>
      <c r="AH3457" s="10">
        <f>LEN(AC3457)+LEN(AG3457)</f>
        <v/>
      </c>
      <c r="AI3457" s="10">
        <f>LEN(L3457)</f>
        <v/>
      </c>
    </row>
    <row r="3458">
      <c r="J3458" s="12">
        <f>IF(F3458&lt;&gt;0,"LANÇAR","")</f>
        <v/>
      </c>
      <c r="L3458" s="13">
        <f>N3458&amp;O3458&amp;P3458&amp;Q3458&amp;R3458&amp;S3458&amp;T3458&amp;U3458&amp;V3458&amp;W3458&amp;X3458&amp;Y3458&amp;Z3458&amp;AA3458&amp;AB3458&amp;AC3458&amp;AD3458&amp;AE3458&amp;AF3458&amp;AG3458</f>
        <v/>
      </c>
      <c r="N3458" s="10">
        <f>TEXT($B$6,"00")</f>
        <v/>
      </c>
      <c r="O3458" s="10">
        <f>REPT(" ",8)</f>
        <v/>
      </c>
      <c r="P3458" s="10">
        <f>RIGHT($B$4,2)</f>
        <v/>
      </c>
      <c r="Q3458" s="10">
        <f>RIGHT($B$5,3)</f>
        <v/>
      </c>
      <c r="R3458" s="10">
        <f>IF(A3458="D",LEFT(UPPER(B3458)&amp;REPT(" ",20),20),REPT(" ",20))</f>
        <v/>
      </c>
      <c r="S3458" s="10">
        <f>IF(A3458="D",LEFT(UPPER(C3458)&amp;REPT(" ",10),10)," ")</f>
        <v/>
      </c>
      <c r="T3458" s="10">
        <f>IF(A3458="D",LEFT(UPPER(D3458)&amp;REPT(" ",2),2)," ")</f>
        <v/>
      </c>
      <c r="U3458" s="10">
        <f>IF(A3458="D",LEFT(UPPER(E3458)&amp;REPT(" ",15),15)," ")</f>
        <v/>
      </c>
      <c r="V3458" s="10">
        <f>REPT(" ",24)</f>
        <v/>
      </c>
      <c r="W3458" s="10">
        <f>IF(A3458="c",LEFT(UPPER(B3458)&amp;REPT(" ",20),20),REPT(" ",20))</f>
        <v/>
      </c>
      <c r="X3458" s="10">
        <f>IF(A3458="C",LEFT(UPPER(C3458)&amp;REPT(" ",10),10)," ")</f>
        <v/>
      </c>
      <c r="Y3458" s="10">
        <f>IF(A3458="C",LEFT(UPPER(D3458)&amp;REPT(" ",2),2)," ")</f>
        <v/>
      </c>
      <c r="Z3458" s="10">
        <f>IF(A3458="C",LEFT(UPPER(E3458)&amp;REPT(" ",15),15)," ")</f>
        <v/>
      </c>
      <c r="AA3458" s="10">
        <f>REPT(" ",8)</f>
        <v/>
      </c>
      <c r="AB3458" s="10">
        <f>REPT(" ",4)</f>
        <v/>
      </c>
      <c r="AC3458" s="10">
        <f>LEFT(UPPER(H3458)&amp;REPT(" ",250),250)</f>
        <v/>
      </c>
      <c r="AD3458" s="10">
        <f>TEXT($G$2,"dd/mm/aaaa")</f>
        <v/>
      </c>
      <c r="AE3458" s="10">
        <f>REPT(" ",10)</f>
        <v/>
      </c>
      <c r="AF3458" s="10">
        <f>REPT(" ",20)</f>
        <v/>
      </c>
      <c r="AG3458" s="54">
        <f>REPT(" ",18-LEN(FIXED(F3458,2,TRUE)))&amp;FIXED(F3458,2,TRUE)</f>
        <v/>
      </c>
      <c r="AH3458" s="10">
        <f>LEN(AC3458)+LEN(AG3458)</f>
        <v/>
      </c>
      <c r="AI3458" s="10">
        <f>LEN(L3458)</f>
        <v/>
      </c>
    </row>
    <row r="3459">
      <c r="J3459" s="12">
        <f>IF(F3459&lt;&gt;0,"LANÇAR","")</f>
        <v/>
      </c>
      <c r="L3459" s="13">
        <f>N3459&amp;O3459&amp;P3459&amp;Q3459&amp;R3459&amp;S3459&amp;T3459&amp;U3459&amp;V3459&amp;W3459&amp;X3459&amp;Y3459&amp;Z3459&amp;AA3459&amp;AB3459&amp;AC3459&amp;AD3459&amp;AE3459&amp;AF3459&amp;AG3459</f>
        <v/>
      </c>
      <c r="N3459" s="10">
        <f>TEXT($B$6,"00")</f>
        <v/>
      </c>
      <c r="O3459" s="10">
        <f>REPT(" ",8)</f>
        <v/>
      </c>
      <c r="P3459" s="10">
        <f>RIGHT($B$4,2)</f>
        <v/>
      </c>
      <c r="Q3459" s="10">
        <f>RIGHT($B$5,3)</f>
        <v/>
      </c>
      <c r="R3459" s="10">
        <f>IF(A3459="D",LEFT(UPPER(B3459)&amp;REPT(" ",20),20),REPT(" ",20))</f>
        <v/>
      </c>
      <c r="S3459" s="10">
        <f>IF(A3459="D",LEFT(UPPER(C3459)&amp;REPT(" ",10),10)," ")</f>
        <v/>
      </c>
      <c r="T3459" s="10">
        <f>IF(A3459="D",LEFT(UPPER(D3459)&amp;REPT(" ",2),2)," ")</f>
        <v/>
      </c>
      <c r="U3459" s="10">
        <f>IF(A3459="D",LEFT(UPPER(E3459)&amp;REPT(" ",15),15)," ")</f>
        <v/>
      </c>
      <c r="V3459" s="10">
        <f>REPT(" ",24)</f>
        <v/>
      </c>
      <c r="W3459" s="10">
        <f>IF(A3459="c",LEFT(UPPER(B3459)&amp;REPT(" ",20),20),REPT(" ",20))</f>
        <v/>
      </c>
      <c r="X3459" s="10">
        <f>IF(A3459="C",LEFT(UPPER(C3459)&amp;REPT(" ",10),10)," ")</f>
        <v/>
      </c>
      <c r="Y3459" s="10">
        <f>IF(A3459="C",LEFT(UPPER(D3459)&amp;REPT(" ",2),2)," ")</f>
        <v/>
      </c>
      <c r="Z3459" s="10">
        <f>IF(A3459="C",LEFT(UPPER(E3459)&amp;REPT(" ",15),15)," ")</f>
        <v/>
      </c>
      <c r="AA3459" s="10">
        <f>REPT(" ",8)</f>
        <v/>
      </c>
      <c r="AB3459" s="10">
        <f>REPT(" ",4)</f>
        <v/>
      </c>
      <c r="AC3459" s="10">
        <f>LEFT(UPPER(H3459)&amp;REPT(" ",250),250)</f>
        <v/>
      </c>
      <c r="AD3459" s="10">
        <f>TEXT($G$2,"dd/mm/aaaa")</f>
        <v/>
      </c>
      <c r="AE3459" s="10">
        <f>REPT(" ",10)</f>
        <v/>
      </c>
      <c r="AF3459" s="10">
        <f>REPT(" ",20)</f>
        <v/>
      </c>
      <c r="AG3459" s="54">
        <f>REPT(" ",18-LEN(FIXED(F3459,2,TRUE)))&amp;FIXED(F3459,2,TRUE)</f>
        <v/>
      </c>
      <c r="AH3459" s="10">
        <f>LEN(AC3459)+LEN(AG3459)</f>
        <v/>
      </c>
      <c r="AI3459" s="10">
        <f>LEN(L3459)</f>
        <v/>
      </c>
    </row>
    <row r="3460">
      <c r="J3460" s="12">
        <f>IF(F3460&lt;&gt;0,"LANÇAR","")</f>
        <v/>
      </c>
      <c r="L3460" s="13">
        <f>N3460&amp;O3460&amp;P3460&amp;Q3460&amp;R3460&amp;S3460&amp;T3460&amp;U3460&amp;V3460&amp;W3460&amp;X3460&amp;Y3460&amp;Z3460&amp;AA3460&amp;AB3460&amp;AC3460&amp;AD3460&amp;AE3460&amp;AF3460&amp;AG3460</f>
        <v/>
      </c>
      <c r="N3460" s="10">
        <f>TEXT($B$6,"00")</f>
        <v/>
      </c>
      <c r="O3460" s="10">
        <f>REPT(" ",8)</f>
        <v/>
      </c>
      <c r="P3460" s="10">
        <f>RIGHT($B$4,2)</f>
        <v/>
      </c>
      <c r="Q3460" s="10">
        <f>RIGHT($B$5,3)</f>
        <v/>
      </c>
      <c r="R3460" s="10">
        <f>IF(A3460="D",LEFT(UPPER(B3460)&amp;REPT(" ",20),20),REPT(" ",20))</f>
        <v/>
      </c>
      <c r="S3460" s="10">
        <f>IF(A3460="D",LEFT(UPPER(C3460)&amp;REPT(" ",10),10)," ")</f>
        <v/>
      </c>
      <c r="T3460" s="10">
        <f>IF(A3460="D",LEFT(UPPER(D3460)&amp;REPT(" ",2),2)," ")</f>
        <v/>
      </c>
      <c r="U3460" s="10">
        <f>IF(A3460="D",LEFT(UPPER(E3460)&amp;REPT(" ",15),15)," ")</f>
        <v/>
      </c>
      <c r="V3460" s="10">
        <f>REPT(" ",24)</f>
        <v/>
      </c>
      <c r="W3460" s="10">
        <f>IF(A3460="c",LEFT(UPPER(B3460)&amp;REPT(" ",20),20),REPT(" ",20))</f>
        <v/>
      </c>
      <c r="X3460" s="10">
        <f>IF(A3460="C",LEFT(UPPER(C3460)&amp;REPT(" ",10),10)," ")</f>
        <v/>
      </c>
      <c r="Y3460" s="10">
        <f>IF(A3460="C",LEFT(UPPER(D3460)&amp;REPT(" ",2),2)," ")</f>
        <v/>
      </c>
      <c r="Z3460" s="10">
        <f>IF(A3460="C",LEFT(UPPER(E3460)&amp;REPT(" ",15),15)," ")</f>
        <v/>
      </c>
      <c r="AA3460" s="10">
        <f>REPT(" ",8)</f>
        <v/>
      </c>
      <c r="AB3460" s="10">
        <f>REPT(" ",4)</f>
        <v/>
      </c>
      <c r="AC3460" s="10">
        <f>LEFT(UPPER(H3460)&amp;REPT(" ",250),250)</f>
        <v/>
      </c>
      <c r="AD3460" s="10">
        <f>TEXT($G$2,"dd/mm/aaaa")</f>
        <v/>
      </c>
      <c r="AE3460" s="10">
        <f>REPT(" ",10)</f>
        <v/>
      </c>
      <c r="AF3460" s="10">
        <f>REPT(" ",20)</f>
        <v/>
      </c>
      <c r="AG3460" s="54">
        <f>REPT(" ",18-LEN(FIXED(F3460,2,TRUE)))&amp;FIXED(F3460,2,TRUE)</f>
        <v/>
      </c>
      <c r="AH3460" s="10">
        <f>LEN(AC3460)+LEN(AG3460)</f>
        <v/>
      </c>
      <c r="AI3460" s="10">
        <f>LEN(L3460)</f>
        <v/>
      </c>
    </row>
    <row r="3461">
      <c r="J3461" s="12">
        <f>IF(F3461&lt;&gt;0,"LANÇAR","")</f>
        <v/>
      </c>
      <c r="L3461" s="13">
        <f>N3461&amp;O3461&amp;P3461&amp;Q3461&amp;R3461&amp;S3461&amp;T3461&amp;U3461&amp;V3461&amp;W3461&amp;X3461&amp;Y3461&amp;Z3461&amp;AA3461&amp;AB3461&amp;AC3461&amp;AD3461&amp;AE3461&amp;AF3461&amp;AG3461</f>
        <v/>
      </c>
      <c r="N3461" s="10">
        <f>TEXT($B$6,"00")</f>
        <v/>
      </c>
      <c r="O3461" s="10">
        <f>REPT(" ",8)</f>
        <v/>
      </c>
      <c r="P3461" s="10">
        <f>RIGHT($B$4,2)</f>
        <v/>
      </c>
      <c r="Q3461" s="10">
        <f>RIGHT($B$5,3)</f>
        <v/>
      </c>
      <c r="R3461" s="10">
        <f>IF(A3461="D",LEFT(UPPER(B3461)&amp;REPT(" ",20),20),REPT(" ",20))</f>
        <v/>
      </c>
      <c r="S3461" s="10">
        <f>IF(A3461="D",LEFT(UPPER(C3461)&amp;REPT(" ",10),10)," ")</f>
        <v/>
      </c>
      <c r="T3461" s="10">
        <f>IF(A3461="D",LEFT(UPPER(D3461)&amp;REPT(" ",2),2)," ")</f>
        <v/>
      </c>
      <c r="U3461" s="10">
        <f>IF(A3461="D",LEFT(UPPER(E3461)&amp;REPT(" ",15),15)," ")</f>
        <v/>
      </c>
      <c r="V3461" s="10">
        <f>REPT(" ",24)</f>
        <v/>
      </c>
      <c r="W3461" s="10">
        <f>IF(A3461="c",LEFT(UPPER(B3461)&amp;REPT(" ",20),20),REPT(" ",20))</f>
        <v/>
      </c>
      <c r="X3461" s="10">
        <f>IF(A3461="C",LEFT(UPPER(C3461)&amp;REPT(" ",10),10)," ")</f>
        <v/>
      </c>
      <c r="Y3461" s="10">
        <f>IF(A3461="C",LEFT(UPPER(D3461)&amp;REPT(" ",2),2)," ")</f>
        <v/>
      </c>
      <c r="Z3461" s="10">
        <f>IF(A3461="C",LEFT(UPPER(E3461)&amp;REPT(" ",15),15)," ")</f>
        <v/>
      </c>
      <c r="AA3461" s="10">
        <f>REPT(" ",8)</f>
        <v/>
      </c>
      <c r="AB3461" s="10">
        <f>REPT(" ",4)</f>
        <v/>
      </c>
      <c r="AC3461" s="10">
        <f>LEFT(UPPER(H3461)&amp;REPT(" ",250),250)</f>
        <v/>
      </c>
      <c r="AD3461" s="10">
        <f>TEXT($G$2,"dd/mm/aaaa")</f>
        <v/>
      </c>
      <c r="AE3461" s="10">
        <f>REPT(" ",10)</f>
        <v/>
      </c>
      <c r="AF3461" s="10">
        <f>REPT(" ",20)</f>
        <v/>
      </c>
      <c r="AG3461" s="54">
        <f>REPT(" ",18-LEN(FIXED(F3461,2,TRUE)))&amp;FIXED(F3461,2,TRUE)</f>
        <v/>
      </c>
      <c r="AH3461" s="10">
        <f>LEN(AC3461)+LEN(AG3461)</f>
        <v/>
      </c>
      <c r="AI3461" s="10">
        <f>LEN(L3461)</f>
        <v/>
      </c>
    </row>
    <row r="3462">
      <c r="J3462" s="12">
        <f>IF(F3462&lt;&gt;0,"LANÇAR","")</f>
        <v/>
      </c>
      <c r="L3462" s="13">
        <f>N3462&amp;O3462&amp;P3462&amp;Q3462&amp;R3462&amp;S3462&amp;T3462&amp;U3462&amp;V3462&amp;W3462&amp;X3462&amp;Y3462&amp;Z3462&amp;AA3462&amp;AB3462&amp;AC3462&amp;AD3462&amp;AE3462&amp;AF3462&amp;AG3462</f>
        <v/>
      </c>
      <c r="N3462" s="10">
        <f>TEXT($B$6,"00")</f>
        <v/>
      </c>
      <c r="O3462" s="10">
        <f>REPT(" ",8)</f>
        <v/>
      </c>
      <c r="P3462" s="10">
        <f>RIGHT($B$4,2)</f>
        <v/>
      </c>
      <c r="Q3462" s="10">
        <f>RIGHT($B$5,3)</f>
        <v/>
      </c>
      <c r="R3462" s="10">
        <f>IF(A3462="D",LEFT(UPPER(B3462)&amp;REPT(" ",20),20),REPT(" ",20))</f>
        <v/>
      </c>
      <c r="S3462" s="10">
        <f>IF(A3462="D",LEFT(UPPER(C3462)&amp;REPT(" ",10),10)," ")</f>
        <v/>
      </c>
      <c r="T3462" s="10">
        <f>IF(A3462="D",LEFT(UPPER(D3462)&amp;REPT(" ",2),2)," ")</f>
        <v/>
      </c>
      <c r="U3462" s="10">
        <f>IF(A3462="D",LEFT(UPPER(E3462)&amp;REPT(" ",15),15)," ")</f>
        <v/>
      </c>
      <c r="V3462" s="10">
        <f>REPT(" ",24)</f>
        <v/>
      </c>
      <c r="W3462" s="10">
        <f>IF(A3462="c",LEFT(UPPER(B3462)&amp;REPT(" ",20),20),REPT(" ",20))</f>
        <v/>
      </c>
      <c r="X3462" s="10">
        <f>IF(A3462="C",LEFT(UPPER(C3462)&amp;REPT(" ",10),10)," ")</f>
        <v/>
      </c>
      <c r="Y3462" s="10">
        <f>IF(A3462="C",LEFT(UPPER(D3462)&amp;REPT(" ",2),2)," ")</f>
        <v/>
      </c>
      <c r="Z3462" s="10">
        <f>IF(A3462="C",LEFT(UPPER(E3462)&amp;REPT(" ",15),15)," ")</f>
        <v/>
      </c>
      <c r="AA3462" s="10">
        <f>REPT(" ",8)</f>
        <v/>
      </c>
      <c r="AB3462" s="10">
        <f>REPT(" ",4)</f>
        <v/>
      </c>
      <c r="AC3462" s="10">
        <f>LEFT(UPPER(H3462)&amp;REPT(" ",250),250)</f>
        <v/>
      </c>
      <c r="AD3462" s="10">
        <f>TEXT($G$2,"dd/mm/aaaa")</f>
        <v/>
      </c>
      <c r="AE3462" s="10">
        <f>REPT(" ",10)</f>
        <v/>
      </c>
      <c r="AF3462" s="10">
        <f>REPT(" ",20)</f>
        <v/>
      </c>
      <c r="AG3462" s="54">
        <f>REPT(" ",18-LEN(FIXED(F3462,2,TRUE)))&amp;FIXED(F3462,2,TRUE)</f>
        <v/>
      </c>
      <c r="AH3462" s="10">
        <f>LEN(AC3462)+LEN(AG3462)</f>
        <v/>
      </c>
      <c r="AI3462" s="10">
        <f>LEN(L3462)</f>
        <v/>
      </c>
    </row>
    <row r="3463">
      <c r="J3463" s="12">
        <f>IF(F3463&lt;&gt;0,"LANÇAR","")</f>
        <v/>
      </c>
      <c r="L3463" s="13">
        <f>N3463&amp;O3463&amp;P3463&amp;Q3463&amp;R3463&amp;S3463&amp;T3463&amp;U3463&amp;V3463&amp;W3463&amp;X3463&amp;Y3463&amp;Z3463&amp;AA3463&amp;AB3463&amp;AC3463&amp;AD3463&amp;AE3463&amp;AF3463&amp;AG3463</f>
        <v/>
      </c>
      <c r="N3463" s="10">
        <f>TEXT($B$6,"00")</f>
        <v/>
      </c>
      <c r="O3463" s="10">
        <f>REPT(" ",8)</f>
        <v/>
      </c>
      <c r="P3463" s="10">
        <f>RIGHT($B$4,2)</f>
        <v/>
      </c>
      <c r="Q3463" s="10">
        <f>RIGHT($B$5,3)</f>
        <v/>
      </c>
      <c r="R3463" s="10">
        <f>IF(A3463="D",LEFT(UPPER(B3463)&amp;REPT(" ",20),20),REPT(" ",20))</f>
        <v/>
      </c>
      <c r="S3463" s="10">
        <f>IF(A3463="D",LEFT(UPPER(C3463)&amp;REPT(" ",10),10)," ")</f>
        <v/>
      </c>
      <c r="T3463" s="10">
        <f>IF(A3463="D",LEFT(UPPER(D3463)&amp;REPT(" ",2),2)," ")</f>
        <v/>
      </c>
      <c r="U3463" s="10">
        <f>IF(A3463="D",LEFT(UPPER(E3463)&amp;REPT(" ",15),15)," ")</f>
        <v/>
      </c>
      <c r="V3463" s="10">
        <f>REPT(" ",24)</f>
        <v/>
      </c>
      <c r="W3463" s="10">
        <f>IF(A3463="c",LEFT(UPPER(B3463)&amp;REPT(" ",20),20),REPT(" ",20))</f>
        <v/>
      </c>
      <c r="X3463" s="10">
        <f>IF(A3463="C",LEFT(UPPER(C3463)&amp;REPT(" ",10),10)," ")</f>
        <v/>
      </c>
      <c r="Y3463" s="10">
        <f>IF(A3463="C",LEFT(UPPER(D3463)&amp;REPT(" ",2),2)," ")</f>
        <v/>
      </c>
      <c r="Z3463" s="10">
        <f>IF(A3463="C",LEFT(UPPER(E3463)&amp;REPT(" ",15),15)," ")</f>
        <v/>
      </c>
      <c r="AA3463" s="10">
        <f>REPT(" ",8)</f>
        <v/>
      </c>
      <c r="AB3463" s="10">
        <f>REPT(" ",4)</f>
        <v/>
      </c>
      <c r="AC3463" s="10">
        <f>LEFT(UPPER(H3463)&amp;REPT(" ",250),250)</f>
        <v/>
      </c>
      <c r="AD3463" s="10">
        <f>TEXT($G$2,"dd/mm/aaaa")</f>
        <v/>
      </c>
      <c r="AE3463" s="10">
        <f>REPT(" ",10)</f>
        <v/>
      </c>
      <c r="AF3463" s="10">
        <f>REPT(" ",20)</f>
        <v/>
      </c>
      <c r="AG3463" s="54">
        <f>REPT(" ",18-LEN(FIXED(F3463,2,TRUE)))&amp;FIXED(F3463,2,TRUE)</f>
        <v/>
      </c>
      <c r="AH3463" s="10">
        <f>LEN(AC3463)+LEN(AG3463)</f>
        <v/>
      </c>
      <c r="AI3463" s="10">
        <f>LEN(L3463)</f>
        <v/>
      </c>
    </row>
    <row r="3464">
      <c r="J3464" s="12">
        <f>IF(F3464&lt;&gt;0,"LANÇAR","")</f>
        <v/>
      </c>
      <c r="L3464" s="13">
        <f>N3464&amp;O3464&amp;P3464&amp;Q3464&amp;R3464&amp;S3464&amp;T3464&amp;U3464&amp;V3464&amp;W3464&amp;X3464&amp;Y3464&amp;Z3464&amp;AA3464&amp;AB3464&amp;AC3464&amp;AD3464&amp;AE3464&amp;AF3464&amp;AG3464</f>
        <v/>
      </c>
      <c r="N3464" s="10">
        <f>TEXT($B$6,"00")</f>
        <v/>
      </c>
      <c r="O3464" s="10">
        <f>REPT(" ",8)</f>
        <v/>
      </c>
      <c r="P3464" s="10">
        <f>RIGHT($B$4,2)</f>
        <v/>
      </c>
      <c r="Q3464" s="10">
        <f>RIGHT($B$5,3)</f>
        <v/>
      </c>
      <c r="R3464" s="10">
        <f>IF(A3464="D",LEFT(UPPER(B3464)&amp;REPT(" ",20),20),REPT(" ",20))</f>
        <v/>
      </c>
      <c r="S3464" s="10">
        <f>IF(A3464="D",LEFT(UPPER(C3464)&amp;REPT(" ",10),10)," ")</f>
        <v/>
      </c>
      <c r="T3464" s="10">
        <f>IF(A3464="D",LEFT(UPPER(D3464)&amp;REPT(" ",2),2)," ")</f>
        <v/>
      </c>
      <c r="U3464" s="10">
        <f>IF(A3464="D",LEFT(UPPER(E3464)&amp;REPT(" ",15),15)," ")</f>
        <v/>
      </c>
      <c r="V3464" s="10">
        <f>REPT(" ",24)</f>
        <v/>
      </c>
      <c r="W3464" s="10">
        <f>IF(A3464="c",LEFT(UPPER(B3464)&amp;REPT(" ",20),20),REPT(" ",20))</f>
        <v/>
      </c>
      <c r="X3464" s="10">
        <f>IF(A3464="C",LEFT(UPPER(C3464)&amp;REPT(" ",10),10)," ")</f>
        <v/>
      </c>
      <c r="Y3464" s="10">
        <f>IF(A3464="C",LEFT(UPPER(D3464)&amp;REPT(" ",2),2)," ")</f>
        <v/>
      </c>
      <c r="Z3464" s="10">
        <f>IF(A3464="C",LEFT(UPPER(E3464)&amp;REPT(" ",15),15)," ")</f>
        <v/>
      </c>
      <c r="AA3464" s="10">
        <f>REPT(" ",8)</f>
        <v/>
      </c>
      <c r="AB3464" s="10">
        <f>REPT(" ",4)</f>
        <v/>
      </c>
      <c r="AC3464" s="10">
        <f>LEFT(UPPER(H3464)&amp;REPT(" ",250),250)</f>
        <v/>
      </c>
      <c r="AD3464" s="10">
        <f>TEXT($G$2,"dd/mm/aaaa")</f>
        <v/>
      </c>
      <c r="AE3464" s="10">
        <f>REPT(" ",10)</f>
        <v/>
      </c>
      <c r="AF3464" s="10">
        <f>REPT(" ",20)</f>
        <v/>
      </c>
      <c r="AG3464" s="54">
        <f>REPT(" ",18-LEN(FIXED(F3464,2,TRUE)))&amp;FIXED(F3464,2,TRUE)</f>
        <v/>
      </c>
      <c r="AH3464" s="10">
        <f>LEN(AC3464)+LEN(AG3464)</f>
        <v/>
      </c>
      <c r="AI3464" s="10">
        <f>LEN(L3464)</f>
        <v/>
      </c>
    </row>
    <row r="3465">
      <c r="J3465" s="12">
        <f>IF(F3465&lt;&gt;0,"LANÇAR","")</f>
        <v/>
      </c>
      <c r="L3465" s="13">
        <f>N3465&amp;O3465&amp;P3465&amp;Q3465&amp;R3465&amp;S3465&amp;T3465&amp;U3465&amp;V3465&amp;W3465&amp;X3465&amp;Y3465&amp;Z3465&amp;AA3465&amp;AB3465&amp;AC3465&amp;AD3465&amp;AE3465&amp;AF3465&amp;AG3465</f>
        <v/>
      </c>
      <c r="N3465" s="10">
        <f>TEXT($B$6,"00")</f>
        <v/>
      </c>
      <c r="O3465" s="10">
        <f>REPT(" ",8)</f>
        <v/>
      </c>
      <c r="P3465" s="10">
        <f>RIGHT($B$4,2)</f>
        <v/>
      </c>
      <c r="Q3465" s="10">
        <f>RIGHT($B$5,3)</f>
        <v/>
      </c>
      <c r="R3465" s="10">
        <f>IF(A3465="D",LEFT(UPPER(B3465)&amp;REPT(" ",20),20),REPT(" ",20))</f>
        <v/>
      </c>
      <c r="S3465" s="10">
        <f>IF(A3465="D",LEFT(UPPER(C3465)&amp;REPT(" ",10),10)," ")</f>
        <v/>
      </c>
      <c r="T3465" s="10">
        <f>IF(A3465="D",LEFT(UPPER(D3465)&amp;REPT(" ",2),2)," ")</f>
        <v/>
      </c>
      <c r="U3465" s="10">
        <f>IF(A3465="D",LEFT(UPPER(E3465)&amp;REPT(" ",15),15)," ")</f>
        <v/>
      </c>
      <c r="V3465" s="10">
        <f>REPT(" ",24)</f>
        <v/>
      </c>
      <c r="W3465" s="10">
        <f>IF(A3465="c",LEFT(UPPER(B3465)&amp;REPT(" ",20),20),REPT(" ",20))</f>
        <v/>
      </c>
      <c r="X3465" s="10">
        <f>IF(A3465="C",LEFT(UPPER(C3465)&amp;REPT(" ",10),10)," ")</f>
        <v/>
      </c>
      <c r="Y3465" s="10">
        <f>IF(A3465="C",LEFT(UPPER(D3465)&amp;REPT(" ",2),2)," ")</f>
        <v/>
      </c>
      <c r="Z3465" s="10">
        <f>IF(A3465="C",LEFT(UPPER(E3465)&amp;REPT(" ",15),15)," ")</f>
        <v/>
      </c>
      <c r="AA3465" s="10">
        <f>REPT(" ",8)</f>
        <v/>
      </c>
      <c r="AB3465" s="10">
        <f>REPT(" ",4)</f>
        <v/>
      </c>
      <c r="AC3465" s="10">
        <f>LEFT(UPPER(H3465)&amp;REPT(" ",250),250)</f>
        <v/>
      </c>
      <c r="AD3465" s="10">
        <f>TEXT($G$2,"dd/mm/aaaa")</f>
        <v/>
      </c>
      <c r="AE3465" s="10">
        <f>REPT(" ",10)</f>
        <v/>
      </c>
      <c r="AF3465" s="10">
        <f>REPT(" ",20)</f>
        <v/>
      </c>
      <c r="AG3465" s="54">
        <f>REPT(" ",18-LEN(FIXED(F3465,2,TRUE)))&amp;FIXED(F3465,2,TRUE)</f>
        <v/>
      </c>
      <c r="AH3465" s="10">
        <f>LEN(AC3465)+LEN(AG3465)</f>
        <v/>
      </c>
      <c r="AI3465" s="10">
        <f>LEN(L3465)</f>
        <v/>
      </c>
    </row>
    <row r="3466">
      <c r="J3466" s="12">
        <f>IF(F3466&lt;&gt;0,"LANÇAR","")</f>
        <v/>
      </c>
      <c r="L3466" s="13">
        <f>N3466&amp;O3466&amp;P3466&amp;Q3466&amp;R3466&amp;S3466&amp;T3466&amp;U3466&amp;V3466&amp;W3466&amp;X3466&amp;Y3466&amp;Z3466&amp;AA3466&amp;AB3466&amp;AC3466&amp;AD3466&amp;AE3466&amp;AF3466&amp;AG3466</f>
        <v/>
      </c>
      <c r="N3466" s="10">
        <f>TEXT($B$6,"00")</f>
        <v/>
      </c>
      <c r="O3466" s="10">
        <f>REPT(" ",8)</f>
        <v/>
      </c>
      <c r="P3466" s="10">
        <f>RIGHT($B$4,2)</f>
        <v/>
      </c>
      <c r="Q3466" s="10">
        <f>RIGHT($B$5,3)</f>
        <v/>
      </c>
      <c r="R3466" s="10">
        <f>IF(A3466="D",LEFT(UPPER(B3466)&amp;REPT(" ",20),20),REPT(" ",20))</f>
        <v/>
      </c>
      <c r="S3466" s="10">
        <f>IF(A3466="D",LEFT(UPPER(C3466)&amp;REPT(" ",10),10)," ")</f>
        <v/>
      </c>
      <c r="T3466" s="10">
        <f>IF(A3466="D",LEFT(UPPER(D3466)&amp;REPT(" ",2),2)," ")</f>
        <v/>
      </c>
      <c r="U3466" s="10">
        <f>IF(A3466="D",LEFT(UPPER(E3466)&amp;REPT(" ",15),15)," ")</f>
        <v/>
      </c>
      <c r="V3466" s="10">
        <f>REPT(" ",24)</f>
        <v/>
      </c>
      <c r="W3466" s="10">
        <f>IF(A3466="c",LEFT(UPPER(B3466)&amp;REPT(" ",20),20),REPT(" ",20))</f>
        <v/>
      </c>
      <c r="X3466" s="10">
        <f>IF(A3466="C",LEFT(UPPER(C3466)&amp;REPT(" ",10),10)," ")</f>
        <v/>
      </c>
      <c r="Y3466" s="10">
        <f>IF(A3466="C",LEFT(UPPER(D3466)&amp;REPT(" ",2),2)," ")</f>
        <v/>
      </c>
      <c r="Z3466" s="10">
        <f>IF(A3466="C",LEFT(UPPER(E3466)&amp;REPT(" ",15),15)," ")</f>
        <v/>
      </c>
      <c r="AA3466" s="10">
        <f>REPT(" ",8)</f>
        <v/>
      </c>
      <c r="AB3466" s="10">
        <f>REPT(" ",4)</f>
        <v/>
      </c>
      <c r="AC3466" s="10">
        <f>LEFT(UPPER(H3466)&amp;REPT(" ",250),250)</f>
        <v/>
      </c>
      <c r="AD3466" s="10">
        <f>TEXT($G$2,"dd/mm/aaaa")</f>
        <v/>
      </c>
      <c r="AE3466" s="10">
        <f>REPT(" ",10)</f>
        <v/>
      </c>
      <c r="AF3466" s="10">
        <f>REPT(" ",20)</f>
        <v/>
      </c>
      <c r="AG3466" s="54">
        <f>REPT(" ",18-LEN(FIXED(F3466,2,TRUE)))&amp;FIXED(F3466,2,TRUE)</f>
        <v/>
      </c>
      <c r="AH3466" s="10">
        <f>LEN(AC3466)+LEN(AG3466)</f>
        <v/>
      </c>
      <c r="AI3466" s="10">
        <f>LEN(L3466)</f>
        <v/>
      </c>
    </row>
    <row r="3467">
      <c r="J3467" s="12">
        <f>IF(F3467&lt;&gt;0,"LANÇAR","")</f>
        <v/>
      </c>
      <c r="L3467" s="13">
        <f>N3467&amp;O3467&amp;P3467&amp;Q3467&amp;R3467&amp;S3467&amp;T3467&amp;U3467&amp;V3467&amp;W3467&amp;X3467&amp;Y3467&amp;Z3467&amp;AA3467&amp;AB3467&amp;AC3467&amp;AD3467&amp;AE3467&amp;AF3467&amp;AG3467</f>
        <v/>
      </c>
      <c r="N3467" s="10">
        <f>TEXT($B$6,"00")</f>
        <v/>
      </c>
      <c r="O3467" s="10">
        <f>REPT(" ",8)</f>
        <v/>
      </c>
      <c r="P3467" s="10">
        <f>RIGHT($B$4,2)</f>
        <v/>
      </c>
      <c r="Q3467" s="10">
        <f>RIGHT($B$5,3)</f>
        <v/>
      </c>
      <c r="R3467" s="10">
        <f>IF(A3467="D",LEFT(UPPER(B3467)&amp;REPT(" ",20),20),REPT(" ",20))</f>
        <v/>
      </c>
      <c r="S3467" s="10">
        <f>IF(A3467="D",LEFT(UPPER(C3467)&amp;REPT(" ",10),10)," ")</f>
        <v/>
      </c>
      <c r="T3467" s="10">
        <f>IF(A3467="D",LEFT(UPPER(D3467)&amp;REPT(" ",2),2)," ")</f>
        <v/>
      </c>
      <c r="U3467" s="10">
        <f>IF(A3467="D",LEFT(UPPER(E3467)&amp;REPT(" ",15),15)," ")</f>
        <v/>
      </c>
      <c r="V3467" s="10">
        <f>REPT(" ",24)</f>
        <v/>
      </c>
      <c r="W3467" s="10">
        <f>IF(A3467="c",LEFT(UPPER(B3467)&amp;REPT(" ",20),20),REPT(" ",20))</f>
        <v/>
      </c>
      <c r="X3467" s="10">
        <f>IF(A3467="C",LEFT(UPPER(C3467)&amp;REPT(" ",10),10)," ")</f>
        <v/>
      </c>
      <c r="Y3467" s="10">
        <f>IF(A3467="C",LEFT(UPPER(D3467)&amp;REPT(" ",2),2)," ")</f>
        <v/>
      </c>
      <c r="Z3467" s="10">
        <f>IF(A3467="C",LEFT(UPPER(E3467)&amp;REPT(" ",15),15)," ")</f>
        <v/>
      </c>
      <c r="AA3467" s="10">
        <f>REPT(" ",8)</f>
        <v/>
      </c>
      <c r="AB3467" s="10">
        <f>REPT(" ",4)</f>
        <v/>
      </c>
      <c r="AC3467" s="10">
        <f>LEFT(UPPER(H3467)&amp;REPT(" ",250),250)</f>
        <v/>
      </c>
      <c r="AD3467" s="10">
        <f>TEXT($G$2,"dd/mm/aaaa")</f>
        <v/>
      </c>
      <c r="AE3467" s="10">
        <f>REPT(" ",10)</f>
        <v/>
      </c>
      <c r="AF3467" s="10">
        <f>REPT(" ",20)</f>
        <v/>
      </c>
      <c r="AG3467" s="54">
        <f>REPT(" ",18-LEN(FIXED(F3467,2,TRUE)))&amp;FIXED(F3467,2,TRUE)</f>
        <v/>
      </c>
      <c r="AH3467" s="10">
        <f>LEN(AC3467)+LEN(AG3467)</f>
        <v/>
      </c>
      <c r="AI3467" s="10">
        <f>LEN(L3467)</f>
        <v/>
      </c>
    </row>
    <row r="3468">
      <c r="J3468" s="12">
        <f>IF(F3468&lt;&gt;0,"LANÇAR","")</f>
        <v/>
      </c>
      <c r="L3468" s="13">
        <f>N3468&amp;O3468&amp;P3468&amp;Q3468&amp;R3468&amp;S3468&amp;T3468&amp;U3468&amp;V3468&amp;W3468&amp;X3468&amp;Y3468&amp;Z3468&amp;AA3468&amp;AB3468&amp;AC3468&amp;AD3468&amp;AE3468&amp;AF3468&amp;AG3468</f>
        <v/>
      </c>
      <c r="N3468" s="10">
        <f>TEXT($B$6,"00")</f>
        <v/>
      </c>
      <c r="O3468" s="10">
        <f>REPT(" ",8)</f>
        <v/>
      </c>
      <c r="P3468" s="10">
        <f>RIGHT($B$4,2)</f>
        <v/>
      </c>
      <c r="Q3468" s="10">
        <f>RIGHT($B$5,3)</f>
        <v/>
      </c>
      <c r="R3468" s="10">
        <f>IF(A3468="D",LEFT(UPPER(B3468)&amp;REPT(" ",20),20),REPT(" ",20))</f>
        <v/>
      </c>
      <c r="S3468" s="10">
        <f>IF(A3468="D",LEFT(UPPER(C3468)&amp;REPT(" ",10),10)," ")</f>
        <v/>
      </c>
      <c r="T3468" s="10">
        <f>IF(A3468="D",LEFT(UPPER(D3468)&amp;REPT(" ",2),2)," ")</f>
        <v/>
      </c>
      <c r="U3468" s="10">
        <f>IF(A3468="D",LEFT(UPPER(E3468)&amp;REPT(" ",15),15)," ")</f>
        <v/>
      </c>
      <c r="V3468" s="10">
        <f>REPT(" ",24)</f>
        <v/>
      </c>
      <c r="W3468" s="10">
        <f>IF(A3468="c",LEFT(UPPER(B3468)&amp;REPT(" ",20),20),REPT(" ",20))</f>
        <v/>
      </c>
      <c r="X3468" s="10">
        <f>IF(A3468="C",LEFT(UPPER(C3468)&amp;REPT(" ",10),10)," ")</f>
        <v/>
      </c>
      <c r="Y3468" s="10">
        <f>IF(A3468="C",LEFT(UPPER(D3468)&amp;REPT(" ",2),2)," ")</f>
        <v/>
      </c>
      <c r="Z3468" s="10">
        <f>IF(A3468="C",LEFT(UPPER(E3468)&amp;REPT(" ",15),15)," ")</f>
        <v/>
      </c>
      <c r="AA3468" s="10">
        <f>REPT(" ",8)</f>
        <v/>
      </c>
      <c r="AB3468" s="10">
        <f>REPT(" ",4)</f>
        <v/>
      </c>
      <c r="AC3468" s="10">
        <f>LEFT(UPPER(H3468)&amp;REPT(" ",250),250)</f>
        <v/>
      </c>
      <c r="AD3468" s="10">
        <f>TEXT($G$2,"dd/mm/aaaa")</f>
        <v/>
      </c>
      <c r="AE3468" s="10">
        <f>REPT(" ",10)</f>
        <v/>
      </c>
      <c r="AF3468" s="10">
        <f>REPT(" ",20)</f>
        <v/>
      </c>
      <c r="AG3468" s="54">
        <f>REPT(" ",18-LEN(FIXED(F3468,2,TRUE)))&amp;FIXED(F3468,2,TRUE)</f>
        <v/>
      </c>
      <c r="AH3468" s="10">
        <f>LEN(AC3468)+LEN(AG3468)</f>
        <v/>
      </c>
      <c r="AI3468" s="10">
        <f>LEN(L3468)</f>
        <v/>
      </c>
    </row>
    <row r="3469">
      <c r="J3469" s="12">
        <f>IF(F3469&lt;&gt;0,"LANÇAR","")</f>
        <v/>
      </c>
      <c r="L3469" s="13">
        <f>N3469&amp;O3469&amp;P3469&amp;Q3469&amp;R3469&amp;S3469&amp;T3469&amp;U3469&amp;V3469&amp;W3469&amp;X3469&amp;Y3469&amp;Z3469&amp;AA3469&amp;AB3469&amp;AC3469&amp;AD3469&amp;AE3469&amp;AF3469&amp;AG3469</f>
        <v/>
      </c>
      <c r="N3469" s="10">
        <f>TEXT($B$6,"00")</f>
        <v/>
      </c>
      <c r="O3469" s="10">
        <f>REPT(" ",8)</f>
        <v/>
      </c>
      <c r="P3469" s="10">
        <f>RIGHT($B$4,2)</f>
        <v/>
      </c>
      <c r="Q3469" s="10">
        <f>RIGHT($B$5,3)</f>
        <v/>
      </c>
      <c r="R3469" s="10">
        <f>IF(A3469="D",LEFT(UPPER(B3469)&amp;REPT(" ",20),20),REPT(" ",20))</f>
        <v/>
      </c>
      <c r="S3469" s="10">
        <f>IF(A3469="D",LEFT(UPPER(C3469)&amp;REPT(" ",10),10)," ")</f>
        <v/>
      </c>
      <c r="T3469" s="10">
        <f>IF(A3469="D",LEFT(UPPER(D3469)&amp;REPT(" ",2),2)," ")</f>
        <v/>
      </c>
      <c r="U3469" s="10">
        <f>IF(A3469="D",LEFT(UPPER(E3469)&amp;REPT(" ",15),15)," ")</f>
        <v/>
      </c>
      <c r="V3469" s="10">
        <f>REPT(" ",24)</f>
        <v/>
      </c>
      <c r="W3469" s="10">
        <f>IF(A3469="c",LEFT(UPPER(B3469)&amp;REPT(" ",20),20),REPT(" ",20))</f>
        <v/>
      </c>
      <c r="X3469" s="10">
        <f>IF(A3469="C",LEFT(UPPER(C3469)&amp;REPT(" ",10),10)," ")</f>
        <v/>
      </c>
      <c r="Y3469" s="10">
        <f>IF(A3469="C",LEFT(UPPER(D3469)&amp;REPT(" ",2),2)," ")</f>
        <v/>
      </c>
      <c r="Z3469" s="10">
        <f>IF(A3469="C",LEFT(UPPER(E3469)&amp;REPT(" ",15),15)," ")</f>
        <v/>
      </c>
      <c r="AA3469" s="10">
        <f>REPT(" ",8)</f>
        <v/>
      </c>
      <c r="AB3469" s="10">
        <f>REPT(" ",4)</f>
        <v/>
      </c>
      <c r="AC3469" s="10">
        <f>LEFT(UPPER(H3469)&amp;REPT(" ",250),250)</f>
        <v/>
      </c>
      <c r="AD3469" s="10">
        <f>TEXT($G$2,"dd/mm/aaaa")</f>
        <v/>
      </c>
      <c r="AE3469" s="10">
        <f>REPT(" ",10)</f>
        <v/>
      </c>
      <c r="AF3469" s="10">
        <f>REPT(" ",20)</f>
        <v/>
      </c>
      <c r="AG3469" s="54">
        <f>REPT(" ",18-LEN(FIXED(F3469,2,TRUE)))&amp;FIXED(F3469,2,TRUE)</f>
        <v/>
      </c>
      <c r="AH3469" s="10">
        <f>LEN(AC3469)+LEN(AG3469)</f>
        <v/>
      </c>
      <c r="AI3469" s="10">
        <f>LEN(L3469)</f>
        <v/>
      </c>
    </row>
    <row r="3470">
      <c r="J3470" s="12">
        <f>IF(F3470&lt;&gt;0,"LANÇAR","")</f>
        <v/>
      </c>
      <c r="L3470" s="13">
        <f>N3470&amp;O3470&amp;P3470&amp;Q3470&amp;R3470&amp;S3470&amp;T3470&amp;U3470&amp;V3470&amp;W3470&amp;X3470&amp;Y3470&amp;Z3470&amp;AA3470&amp;AB3470&amp;AC3470&amp;AD3470&amp;AE3470&amp;AF3470&amp;AG3470</f>
        <v/>
      </c>
      <c r="N3470" s="10">
        <f>TEXT($B$6,"00")</f>
        <v/>
      </c>
      <c r="O3470" s="10">
        <f>REPT(" ",8)</f>
        <v/>
      </c>
      <c r="P3470" s="10">
        <f>RIGHT($B$4,2)</f>
        <v/>
      </c>
      <c r="Q3470" s="10">
        <f>RIGHT($B$5,3)</f>
        <v/>
      </c>
      <c r="R3470" s="10">
        <f>IF(A3470="D",LEFT(UPPER(B3470)&amp;REPT(" ",20),20),REPT(" ",20))</f>
        <v/>
      </c>
      <c r="S3470" s="10">
        <f>IF(A3470="D",LEFT(UPPER(C3470)&amp;REPT(" ",10),10)," ")</f>
        <v/>
      </c>
      <c r="T3470" s="10">
        <f>IF(A3470="D",LEFT(UPPER(D3470)&amp;REPT(" ",2),2)," ")</f>
        <v/>
      </c>
      <c r="U3470" s="10">
        <f>IF(A3470="D",LEFT(UPPER(E3470)&amp;REPT(" ",15),15)," ")</f>
        <v/>
      </c>
      <c r="V3470" s="10">
        <f>REPT(" ",24)</f>
        <v/>
      </c>
      <c r="W3470" s="10">
        <f>IF(A3470="c",LEFT(UPPER(B3470)&amp;REPT(" ",20),20),REPT(" ",20))</f>
        <v/>
      </c>
      <c r="X3470" s="10">
        <f>IF(A3470="C",LEFT(UPPER(C3470)&amp;REPT(" ",10),10)," ")</f>
        <v/>
      </c>
      <c r="Y3470" s="10">
        <f>IF(A3470="C",LEFT(UPPER(D3470)&amp;REPT(" ",2),2)," ")</f>
        <v/>
      </c>
      <c r="Z3470" s="10">
        <f>IF(A3470="C",LEFT(UPPER(E3470)&amp;REPT(" ",15),15)," ")</f>
        <v/>
      </c>
      <c r="AA3470" s="10">
        <f>REPT(" ",8)</f>
        <v/>
      </c>
      <c r="AB3470" s="10">
        <f>REPT(" ",4)</f>
        <v/>
      </c>
      <c r="AC3470" s="10">
        <f>LEFT(UPPER(H3470)&amp;REPT(" ",250),250)</f>
        <v/>
      </c>
      <c r="AD3470" s="10">
        <f>TEXT($G$2,"dd/mm/aaaa")</f>
        <v/>
      </c>
      <c r="AE3470" s="10">
        <f>REPT(" ",10)</f>
        <v/>
      </c>
      <c r="AF3470" s="10">
        <f>REPT(" ",20)</f>
        <v/>
      </c>
      <c r="AG3470" s="54">
        <f>REPT(" ",18-LEN(FIXED(F3470,2,TRUE)))&amp;FIXED(F3470,2,TRUE)</f>
        <v/>
      </c>
      <c r="AH3470" s="10">
        <f>LEN(AC3470)+LEN(AG3470)</f>
        <v/>
      </c>
      <c r="AI3470" s="10">
        <f>LEN(L3470)</f>
        <v/>
      </c>
    </row>
    <row r="3471">
      <c r="J3471" s="12">
        <f>IF(F3471&lt;&gt;0,"LANÇAR","")</f>
        <v/>
      </c>
      <c r="L3471" s="13">
        <f>N3471&amp;O3471&amp;P3471&amp;Q3471&amp;R3471&amp;S3471&amp;T3471&amp;U3471&amp;V3471&amp;W3471&amp;X3471&amp;Y3471&amp;Z3471&amp;AA3471&amp;AB3471&amp;AC3471&amp;AD3471&amp;AE3471&amp;AF3471&amp;AG3471</f>
        <v/>
      </c>
      <c r="N3471" s="10">
        <f>TEXT($B$6,"00")</f>
        <v/>
      </c>
      <c r="O3471" s="10">
        <f>REPT(" ",8)</f>
        <v/>
      </c>
      <c r="P3471" s="10">
        <f>RIGHT($B$4,2)</f>
        <v/>
      </c>
      <c r="Q3471" s="10">
        <f>RIGHT($B$5,3)</f>
        <v/>
      </c>
      <c r="R3471" s="10">
        <f>IF(A3471="D",LEFT(UPPER(B3471)&amp;REPT(" ",20),20),REPT(" ",20))</f>
        <v/>
      </c>
      <c r="S3471" s="10">
        <f>IF(A3471="D",LEFT(UPPER(C3471)&amp;REPT(" ",10),10)," ")</f>
        <v/>
      </c>
      <c r="T3471" s="10">
        <f>IF(A3471="D",LEFT(UPPER(D3471)&amp;REPT(" ",2),2)," ")</f>
        <v/>
      </c>
      <c r="U3471" s="10">
        <f>IF(A3471="D",LEFT(UPPER(E3471)&amp;REPT(" ",15),15)," ")</f>
        <v/>
      </c>
      <c r="V3471" s="10">
        <f>REPT(" ",24)</f>
        <v/>
      </c>
      <c r="W3471" s="10">
        <f>IF(A3471="c",LEFT(UPPER(B3471)&amp;REPT(" ",20),20),REPT(" ",20))</f>
        <v/>
      </c>
      <c r="X3471" s="10">
        <f>IF(A3471="C",LEFT(UPPER(C3471)&amp;REPT(" ",10),10)," ")</f>
        <v/>
      </c>
      <c r="Y3471" s="10">
        <f>IF(A3471="C",LEFT(UPPER(D3471)&amp;REPT(" ",2),2)," ")</f>
        <v/>
      </c>
      <c r="Z3471" s="10">
        <f>IF(A3471="C",LEFT(UPPER(E3471)&amp;REPT(" ",15),15)," ")</f>
        <v/>
      </c>
      <c r="AA3471" s="10">
        <f>REPT(" ",8)</f>
        <v/>
      </c>
      <c r="AB3471" s="10">
        <f>REPT(" ",4)</f>
        <v/>
      </c>
      <c r="AC3471" s="10">
        <f>LEFT(UPPER(H3471)&amp;REPT(" ",250),250)</f>
        <v/>
      </c>
      <c r="AD3471" s="10">
        <f>TEXT($G$2,"dd/mm/aaaa")</f>
        <v/>
      </c>
      <c r="AE3471" s="10">
        <f>REPT(" ",10)</f>
        <v/>
      </c>
      <c r="AF3471" s="10">
        <f>REPT(" ",20)</f>
        <v/>
      </c>
      <c r="AG3471" s="54">
        <f>REPT(" ",18-LEN(FIXED(F3471,2,TRUE)))&amp;FIXED(F3471,2,TRUE)</f>
        <v/>
      </c>
      <c r="AH3471" s="10">
        <f>LEN(AC3471)+LEN(AG3471)</f>
        <v/>
      </c>
      <c r="AI3471" s="10">
        <f>LEN(L3471)</f>
        <v/>
      </c>
    </row>
    <row r="3472">
      <c r="J3472" s="12">
        <f>IF(F3472&lt;&gt;0,"LANÇAR","")</f>
        <v/>
      </c>
      <c r="L3472" s="13">
        <f>N3472&amp;O3472&amp;P3472&amp;Q3472&amp;R3472&amp;S3472&amp;T3472&amp;U3472&amp;V3472&amp;W3472&amp;X3472&amp;Y3472&amp;Z3472&amp;AA3472&amp;AB3472&amp;AC3472&amp;AD3472&amp;AE3472&amp;AF3472&amp;AG3472</f>
        <v/>
      </c>
      <c r="N3472" s="10">
        <f>TEXT($B$6,"00")</f>
        <v/>
      </c>
      <c r="O3472" s="10">
        <f>REPT(" ",8)</f>
        <v/>
      </c>
      <c r="P3472" s="10">
        <f>RIGHT($B$4,2)</f>
        <v/>
      </c>
      <c r="Q3472" s="10">
        <f>RIGHT($B$5,3)</f>
        <v/>
      </c>
      <c r="R3472" s="10">
        <f>IF(A3472="D",LEFT(UPPER(B3472)&amp;REPT(" ",20),20),REPT(" ",20))</f>
        <v/>
      </c>
      <c r="S3472" s="10">
        <f>IF(A3472="D",LEFT(UPPER(C3472)&amp;REPT(" ",10),10)," ")</f>
        <v/>
      </c>
      <c r="T3472" s="10">
        <f>IF(A3472="D",LEFT(UPPER(D3472)&amp;REPT(" ",2),2)," ")</f>
        <v/>
      </c>
      <c r="U3472" s="10">
        <f>IF(A3472="D",LEFT(UPPER(E3472)&amp;REPT(" ",15),15)," ")</f>
        <v/>
      </c>
      <c r="V3472" s="10">
        <f>REPT(" ",24)</f>
        <v/>
      </c>
      <c r="W3472" s="10">
        <f>IF(A3472="c",LEFT(UPPER(B3472)&amp;REPT(" ",20),20),REPT(" ",20))</f>
        <v/>
      </c>
      <c r="X3472" s="10">
        <f>IF(A3472="C",LEFT(UPPER(C3472)&amp;REPT(" ",10),10)," ")</f>
        <v/>
      </c>
      <c r="Y3472" s="10">
        <f>IF(A3472="C",LEFT(UPPER(D3472)&amp;REPT(" ",2),2)," ")</f>
        <v/>
      </c>
      <c r="Z3472" s="10">
        <f>IF(A3472="C",LEFT(UPPER(E3472)&amp;REPT(" ",15),15)," ")</f>
        <v/>
      </c>
      <c r="AA3472" s="10">
        <f>REPT(" ",8)</f>
        <v/>
      </c>
      <c r="AB3472" s="10">
        <f>REPT(" ",4)</f>
        <v/>
      </c>
      <c r="AC3472" s="10">
        <f>LEFT(UPPER(H3472)&amp;REPT(" ",250),250)</f>
        <v/>
      </c>
      <c r="AD3472" s="10">
        <f>TEXT($G$2,"dd/mm/aaaa")</f>
        <v/>
      </c>
      <c r="AE3472" s="10">
        <f>REPT(" ",10)</f>
        <v/>
      </c>
      <c r="AF3472" s="10">
        <f>REPT(" ",20)</f>
        <v/>
      </c>
      <c r="AG3472" s="54">
        <f>REPT(" ",18-LEN(FIXED(F3472,2,TRUE)))&amp;FIXED(F3472,2,TRUE)</f>
        <v/>
      </c>
      <c r="AH3472" s="10">
        <f>LEN(AC3472)+LEN(AG3472)</f>
        <v/>
      </c>
      <c r="AI3472" s="10">
        <f>LEN(L3472)</f>
        <v/>
      </c>
    </row>
    <row r="3473">
      <c r="J3473" s="12">
        <f>IF(F3473&lt;&gt;0,"LANÇAR","")</f>
        <v/>
      </c>
      <c r="L3473" s="13">
        <f>N3473&amp;O3473&amp;P3473&amp;Q3473&amp;R3473&amp;S3473&amp;T3473&amp;U3473&amp;V3473&amp;W3473&amp;X3473&amp;Y3473&amp;Z3473&amp;AA3473&amp;AB3473&amp;AC3473&amp;AD3473&amp;AE3473&amp;AF3473&amp;AG3473</f>
        <v/>
      </c>
      <c r="N3473" s="10">
        <f>TEXT($B$6,"00")</f>
        <v/>
      </c>
      <c r="O3473" s="10">
        <f>REPT(" ",8)</f>
        <v/>
      </c>
      <c r="P3473" s="10">
        <f>RIGHT($B$4,2)</f>
        <v/>
      </c>
      <c r="Q3473" s="10">
        <f>RIGHT($B$5,3)</f>
        <v/>
      </c>
      <c r="R3473" s="10">
        <f>IF(A3473="D",LEFT(UPPER(B3473)&amp;REPT(" ",20),20),REPT(" ",20))</f>
        <v/>
      </c>
      <c r="S3473" s="10">
        <f>IF(A3473="D",LEFT(UPPER(C3473)&amp;REPT(" ",10),10)," ")</f>
        <v/>
      </c>
      <c r="T3473" s="10">
        <f>IF(A3473="D",LEFT(UPPER(D3473)&amp;REPT(" ",2),2)," ")</f>
        <v/>
      </c>
      <c r="U3473" s="10">
        <f>IF(A3473="D",LEFT(UPPER(E3473)&amp;REPT(" ",15),15)," ")</f>
        <v/>
      </c>
      <c r="V3473" s="10">
        <f>REPT(" ",24)</f>
        <v/>
      </c>
      <c r="W3473" s="10">
        <f>IF(A3473="c",LEFT(UPPER(B3473)&amp;REPT(" ",20),20),REPT(" ",20))</f>
        <v/>
      </c>
      <c r="X3473" s="10">
        <f>IF(A3473="C",LEFT(UPPER(C3473)&amp;REPT(" ",10),10)," ")</f>
        <v/>
      </c>
      <c r="Y3473" s="10">
        <f>IF(A3473="C",LEFT(UPPER(D3473)&amp;REPT(" ",2),2)," ")</f>
        <v/>
      </c>
      <c r="Z3473" s="10">
        <f>IF(A3473="C",LEFT(UPPER(E3473)&amp;REPT(" ",15),15)," ")</f>
        <v/>
      </c>
      <c r="AA3473" s="10">
        <f>REPT(" ",8)</f>
        <v/>
      </c>
      <c r="AB3473" s="10">
        <f>REPT(" ",4)</f>
        <v/>
      </c>
      <c r="AC3473" s="10">
        <f>LEFT(UPPER(H3473)&amp;REPT(" ",250),250)</f>
        <v/>
      </c>
      <c r="AD3473" s="10">
        <f>TEXT($G$2,"dd/mm/aaaa")</f>
        <v/>
      </c>
      <c r="AE3473" s="10">
        <f>REPT(" ",10)</f>
        <v/>
      </c>
      <c r="AF3473" s="10">
        <f>REPT(" ",20)</f>
        <v/>
      </c>
      <c r="AG3473" s="54">
        <f>REPT(" ",18-LEN(FIXED(F3473,2,TRUE)))&amp;FIXED(F3473,2,TRUE)</f>
        <v/>
      </c>
      <c r="AH3473" s="10">
        <f>LEN(AC3473)+LEN(AG3473)</f>
        <v/>
      </c>
      <c r="AI3473" s="10">
        <f>LEN(L3473)</f>
        <v/>
      </c>
    </row>
    <row r="3474">
      <c r="J3474" s="12">
        <f>IF(F3474&lt;&gt;0,"LANÇAR","")</f>
        <v/>
      </c>
      <c r="L3474" s="13">
        <f>N3474&amp;O3474&amp;P3474&amp;Q3474&amp;R3474&amp;S3474&amp;T3474&amp;U3474&amp;V3474&amp;W3474&amp;X3474&amp;Y3474&amp;Z3474&amp;AA3474&amp;AB3474&amp;AC3474&amp;AD3474&amp;AE3474&amp;AF3474&amp;AG3474</f>
        <v/>
      </c>
      <c r="N3474" s="10">
        <f>TEXT($B$6,"00")</f>
        <v/>
      </c>
      <c r="O3474" s="10">
        <f>REPT(" ",8)</f>
        <v/>
      </c>
      <c r="P3474" s="10">
        <f>RIGHT($B$4,2)</f>
        <v/>
      </c>
      <c r="Q3474" s="10">
        <f>RIGHT($B$5,3)</f>
        <v/>
      </c>
      <c r="R3474" s="10">
        <f>IF(A3474="D",LEFT(UPPER(B3474)&amp;REPT(" ",20),20),REPT(" ",20))</f>
        <v/>
      </c>
      <c r="S3474" s="10">
        <f>IF(A3474="D",LEFT(UPPER(C3474)&amp;REPT(" ",10),10)," ")</f>
        <v/>
      </c>
      <c r="T3474" s="10">
        <f>IF(A3474="D",LEFT(UPPER(D3474)&amp;REPT(" ",2),2)," ")</f>
        <v/>
      </c>
      <c r="U3474" s="10">
        <f>IF(A3474="D",LEFT(UPPER(E3474)&amp;REPT(" ",15),15)," ")</f>
        <v/>
      </c>
      <c r="V3474" s="10">
        <f>REPT(" ",24)</f>
        <v/>
      </c>
      <c r="W3474" s="10">
        <f>IF(A3474="c",LEFT(UPPER(B3474)&amp;REPT(" ",20),20),REPT(" ",20))</f>
        <v/>
      </c>
      <c r="X3474" s="10">
        <f>IF(A3474="C",LEFT(UPPER(C3474)&amp;REPT(" ",10),10)," ")</f>
        <v/>
      </c>
      <c r="Y3474" s="10">
        <f>IF(A3474="C",LEFT(UPPER(D3474)&amp;REPT(" ",2),2)," ")</f>
        <v/>
      </c>
      <c r="Z3474" s="10">
        <f>IF(A3474="C",LEFT(UPPER(E3474)&amp;REPT(" ",15),15)," ")</f>
        <v/>
      </c>
      <c r="AA3474" s="10">
        <f>REPT(" ",8)</f>
        <v/>
      </c>
      <c r="AB3474" s="10">
        <f>REPT(" ",4)</f>
        <v/>
      </c>
      <c r="AC3474" s="10">
        <f>LEFT(UPPER(H3474)&amp;REPT(" ",250),250)</f>
        <v/>
      </c>
      <c r="AD3474" s="10">
        <f>TEXT($G$2,"dd/mm/aaaa")</f>
        <v/>
      </c>
      <c r="AE3474" s="10">
        <f>REPT(" ",10)</f>
        <v/>
      </c>
      <c r="AF3474" s="10">
        <f>REPT(" ",20)</f>
        <v/>
      </c>
      <c r="AG3474" s="54">
        <f>REPT(" ",18-LEN(FIXED(F3474,2,TRUE)))&amp;FIXED(F3474,2,TRUE)</f>
        <v/>
      </c>
      <c r="AH3474" s="10">
        <f>LEN(AC3474)+LEN(AG3474)</f>
        <v/>
      </c>
      <c r="AI3474" s="10">
        <f>LEN(L3474)</f>
        <v/>
      </c>
    </row>
    <row r="3475">
      <c r="J3475" s="12">
        <f>IF(F3475&lt;&gt;0,"LANÇAR","")</f>
        <v/>
      </c>
      <c r="L3475" s="13">
        <f>N3475&amp;O3475&amp;P3475&amp;Q3475&amp;R3475&amp;S3475&amp;T3475&amp;U3475&amp;V3475&amp;W3475&amp;X3475&amp;Y3475&amp;Z3475&amp;AA3475&amp;AB3475&amp;AC3475&amp;AD3475&amp;AE3475&amp;AF3475&amp;AG3475</f>
        <v/>
      </c>
      <c r="N3475" s="10">
        <f>TEXT($B$6,"00")</f>
        <v/>
      </c>
      <c r="O3475" s="10">
        <f>REPT(" ",8)</f>
        <v/>
      </c>
      <c r="P3475" s="10">
        <f>RIGHT($B$4,2)</f>
        <v/>
      </c>
      <c r="Q3475" s="10">
        <f>RIGHT($B$5,3)</f>
        <v/>
      </c>
      <c r="R3475" s="10">
        <f>IF(A3475="D",LEFT(UPPER(B3475)&amp;REPT(" ",20),20),REPT(" ",20))</f>
        <v/>
      </c>
      <c r="S3475" s="10">
        <f>IF(A3475="D",LEFT(UPPER(C3475)&amp;REPT(" ",10),10)," ")</f>
        <v/>
      </c>
      <c r="T3475" s="10">
        <f>IF(A3475="D",LEFT(UPPER(D3475)&amp;REPT(" ",2),2)," ")</f>
        <v/>
      </c>
      <c r="U3475" s="10">
        <f>IF(A3475="D",LEFT(UPPER(E3475)&amp;REPT(" ",15),15)," ")</f>
        <v/>
      </c>
      <c r="V3475" s="10">
        <f>REPT(" ",24)</f>
        <v/>
      </c>
      <c r="W3475" s="10">
        <f>IF(A3475="c",LEFT(UPPER(B3475)&amp;REPT(" ",20),20),REPT(" ",20))</f>
        <v/>
      </c>
      <c r="X3475" s="10">
        <f>IF(A3475="C",LEFT(UPPER(C3475)&amp;REPT(" ",10),10)," ")</f>
        <v/>
      </c>
      <c r="Y3475" s="10">
        <f>IF(A3475="C",LEFT(UPPER(D3475)&amp;REPT(" ",2),2)," ")</f>
        <v/>
      </c>
      <c r="Z3475" s="10">
        <f>IF(A3475="C",LEFT(UPPER(E3475)&amp;REPT(" ",15),15)," ")</f>
        <v/>
      </c>
      <c r="AA3475" s="10">
        <f>REPT(" ",8)</f>
        <v/>
      </c>
      <c r="AB3475" s="10">
        <f>REPT(" ",4)</f>
        <v/>
      </c>
      <c r="AC3475" s="10">
        <f>LEFT(UPPER(H3475)&amp;REPT(" ",250),250)</f>
        <v/>
      </c>
      <c r="AD3475" s="10">
        <f>TEXT($G$2,"dd/mm/aaaa")</f>
        <v/>
      </c>
      <c r="AE3475" s="10">
        <f>REPT(" ",10)</f>
        <v/>
      </c>
      <c r="AF3475" s="10">
        <f>REPT(" ",20)</f>
        <v/>
      </c>
      <c r="AG3475" s="54">
        <f>REPT(" ",18-LEN(FIXED(F3475,2,TRUE)))&amp;FIXED(F3475,2,TRUE)</f>
        <v/>
      </c>
      <c r="AH3475" s="10">
        <f>LEN(AC3475)+LEN(AG3475)</f>
        <v/>
      </c>
      <c r="AI3475" s="10">
        <f>LEN(L3475)</f>
        <v/>
      </c>
    </row>
    <row r="3476">
      <c r="J3476" s="12">
        <f>IF(F3476&lt;&gt;0,"LANÇAR","")</f>
        <v/>
      </c>
      <c r="L3476" s="13">
        <f>N3476&amp;O3476&amp;P3476&amp;Q3476&amp;R3476&amp;S3476&amp;T3476&amp;U3476&amp;V3476&amp;W3476&amp;X3476&amp;Y3476&amp;Z3476&amp;AA3476&amp;AB3476&amp;AC3476&amp;AD3476&amp;AE3476&amp;AF3476&amp;AG3476</f>
        <v/>
      </c>
      <c r="N3476" s="10">
        <f>TEXT($B$6,"00")</f>
        <v/>
      </c>
      <c r="O3476" s="10">
        <f>REPT(" ",8)</f>
        <v/>
      </c>
      <c r="P3476" s="10">
        <f>RIGHT($B$4,2)</f>
        <v/>
      </c>
      <c r="Q3476" s="10">
        <f>RIGHT($B$5,3)</f>
        <v/>
      </c>
      <c r="R3476" s="10">
        <f>IF(A3476="D",LEFT(UPPER(B3476)&amp;REPT(" ",20),20),REPT(" ",20))</f>
        <v/>
      </c>
      <c r="S3476" s="10">
        <f>IF(A3476="D",LEFT(UPPER(C3476)&amp;REPT(" ",10),10)," ")</f>
        <v/>
      </c>
      <c r="T3476" s="10">
        <f>IF(A3476="D",LEFT(UPPER(D3476)&amp;REPT(" ",2),2)," ")</f>
        <v/>
      </c>
      <c r="U3476" s="10">
        <f>IF(A3476="D",LEFT(UPPER(E3476)&amp;REPT(" ",15),15)," ")</f>
        <v/>
      </c>
      <c r="V3476" s="10">
        <f>REPT(" ",24)</f>
        <v/>
      </c>
      <c r="W3476" s="10">
        <f>IF(A3476="c",LEFT(UPPER(B3476)&amp;REPT(" ",20),20),REPT(" ",20))</f>
        <v/>
      </c>
      <c r="X3476" s="10">
        <f>IF(A3476="C",LEFT(UPPER(C3476)&amp;REPT(" ",10),10)," ")</f>
        <v/>
      </c>
      <c r="Y3476" s="10">
        <f>IF(A3476="C",LEFT(UPPER(D3476)&amp;REPT(" ",2),2)," ")</f>
        <v/>
      </c>
      <c r="Z3476" s="10">
        <f>IF(A3476="C",LEFT(UPPER(E3476)&amp;REPT(" ",15),15)," ")</f>
        <v/>
      </c>
      <c r="AA3476" s="10">
        <f>REPT(" ",8)</f>
        <v/>
      </c>
      <c r="AB3476" s="10">
        <f>REPT(" ",4)</f>
        <v/>
      </c>
      <c r="AC3476" s="10">
        <f>LEFT(UPPER(H3476)&amp;REPT(" ",250),250)</f>
        <v/>
      </c>
      <c r="AD3476" s="10">
        <f>TEXT($G$2,"dd/mm/aaaa")</f>
        <v/>
      </c>
      <c r="AE3476" s="10">
        <f>REPT(" ",10)</f>
        <v/>
      </c>
      <c r="AF3476" s="10">
        <f>REPT(" ",20)</f>
        <v/>
      </c>
      <c r="AG3476" s="54">
        <f>REPT(" ",18-LEN(FIXED(F3476,2,TRUE)))&amp;FIXED(F3476,2,TRUE)</f>
        <v/>
      </c>
      <c r="AH3476" s="10">
        <f>LEN(AC3476)+LEN(AG3476)</f>
        <v/>
      </c>
      <c r="AI3476" s="10">
        <f>LEN(L3476)</f>
        <v/>
      </c>
    </row>
    <row r="3477">
      <c r="J3477" s="12">
        <f>IF(F3477&lt;&gt;0,"LANÇAR","")</f>
        <v/>
      </c>
      <c r="L3477" s="13">
        <f>N3477&amp;O3477&amp;P3477&amp;Q3477&amp;R3477&amp;S3477&amp;T3477&amp;U3477&amp;V3477&amp;W3477&amp;X3477&amp;Y3477&amp;Z3477&amp;AA3477&amp;AB3477&amp;AC3477&amp;AD3477&amp;AE3477&amp;AF3477&amp;AG3477</f>
        <v/>
      </c>
      <c r="N3477" s="10">
        <f>TEXT($B$6,"00")</f>
        <v/>
      </c>
      <c r="O3477" s="10">
        <f>REPT(" ",8)</f>
        <v/>
      </c>
      <c r="P3477" s="10">
        <f>RIGHT($B$4,2)</f>
        <v/>
      </c>
      <c r="Q3477" s="10">
        <f>RIGHT($B$5,3)</f>
        <v/>
      </c>
      <c r="R3477" s="10">
        <f>IF(A3477="D",LEFT(UPPER(B3477)&amp;REPT(" ",20),20),REPT(" ",20))</f>
        <v/>
      </c>
      <c r="S3477" s="10">
        <f>IF(A3477="D",LEFT(UPPER(C3477)&amp;REPT(" ",10),10)," ")</f>
        <v/>
      </c>
      <c r="T3477" s="10">
        <f>IF(A3477="D",LEFT(UPPER(D3477)&amp;REPT(" ",2),2)," ")</f>
        <v/>
      </c>
      <c r="U3477" s="10">
        <f>IF(A3477="D",LEFT(UPPER(E3477)&amp;REPT(" ",15),15)," ")</f>
        <v/>
      </c>
      <c r="V3477" s="10">
        <f>REPT(" ",24)</f>
        <v/>
      </c>
      <c r="W3477" s="10">
        <f>IF(A3477="c",LEFT(UPPER(B3477)&amp;REPT(" ",20),20),REPT(" ",20))</f>
        <v/>
      </c>
      <c r="X3477" s="10">
        <f>IF(A3477="C",LEFT(UPPER(C3477)&amp;REPT(" ",10),10)," ")</f>
        <v/>
      </c>
      <c r="Y3477" s="10">
        <f>IF(A3477="C",LEFT(UPPER(D3477)&amp;REPT(" ",2),2)," ")</f>
        <v/>
      </c>
      <c r="Z3477" s="10">
        <f>IF(A3477="C",LEFT(UPPER(E3477)&amp;REPT(" ",15),15)," ")</f>
        <v/>
      </c>
      <c r="AA3477" s="10">
        <f>REPT(" ",8)</f>
        <v/>
      </c>
      <c r="AB3477" s="10">
        <f>REPT(" ",4)</f>
        <v/>
      </c>
      <c r="AC3477" s="10">
        <f>LEFT(UPPER(H3477)&amp;REPT(" ",250),250)</f>
        <v/>
      </c>
      <c r="AD3477" s="10">
        <f>TEXT($G$2,"dd/mm/aaaa")</f>
        <v/>
      </c>
      <c r="AE3477" s="10">
        <f>REPT(" ",10)</f>
        <v/>
      </c>
      <c r="AF3477" s="10">
        <f>REPT(" ",20)</f>
        <v/>
      </c>
      <c r="AG3477" s="54">
        <f>REPT(" ",18-LEN(FIXED(F3477,2,TRUE)))&amp;FIXED(F3477,2,TRUE)</f>
        <v/>
      </c>
      <c r="AH3477" s="10">
        <f>LEN(AC3477)+LEN(AG3477)</f>
        <v/>
      </c>
      <c r="AI3477" s="10">
        <f>LEN(L3477)</f>
        <v/>
      </c>
    </row>
    <row r="3478">
      <c r="J3478" s="12">
        <f>IF(F3478&lt;&gt;0,"LANÇAR","")</f>
        <v/>
      </c>
      <c r="L3478" s="13">
        <f>N3478&amp;O3478&amp;P3478&amp;Q3478&amp;R3478&amp;S3478&amp;T3478&amp;U3478&amp;V3478&amp;W3478&amp;X3478&amp;Y3478&amp;Z3478&amp;AA3478&amp;AB3478&amp;AC3478&amp;AD3478&amp;AE3478&amp;AF3478&amp;AG3478</f>
        <v/>
      </c>
      <c r="N3478" s="10">
        <f>TEXT($B$6,"00")</f>
        <v/>
      </c>
      <c r="O3478" s="10">
        <f>REPT(" ",8)</f>
        <v/>
      </c>
      <c r="P3478" s="10">
        <f>RIGHT($B$4,2)</f>
        <v/>
      </c>
      <c r="Q3478" s="10">
        <f>RIGHT($B$5,3)</f>
        <v/>
      </c>
      <c r="R3478" s="10">
        <f>IF(A3478="D",LEFT(UPPER(B3478)&amp;REPT(" ",20),20),REPT(" ",20))</f>
        <v/>
      </c>
      <c r="S3478" s="10">
        <f>IF(A3478="D",LEFT(UPPER(C3478)&amp;REPT(" ",10),10)," ")</f>
        <v/>
      </c>
      <c r="T3478" s="10">
        <f>IF(A3478="D",LEFT(UPPER(D3478)&amp;REPT(" ",2),2)," ")</f>
        <v/>
      </c>
      <c r="U3478" s="10">
        <f>IF(A3478="D",LEFT(UPPER(E3478)&amp;REPT(" ",15),15)," ")</f>
        <v/>
      </c>
      <c r="V3478" s="10">
        <f>REPT(" ",24)</f>
        <v/>
      </c>
      <c r="W3478" s="10">
        <f>IF(A3478="c",LEFT(UPPER(B3478)&amp;REPT(" ",20),20),REPT(" ",20))</f>
        <v/>
      </c>
      <c r="X3478" s="10">
        <f>IF(A3478="C",LEFT(UPPER(C3478)&amp;REPT(" ",10),10)," ")</f>
        <v/>
      </c>
      <c r="Y3478" s="10">
        <f>IF(A3478="C",LEFT(UPPER(D3478)&amp;REPT(" ",2),2)," ")</f>
        <v/>
      </c>
      <c r="Z3478" s="10">
        <f>IF(A3478="C",LEFT(UPPER(E3478)&amp;REPT(" ",15),15)," ")</f>
        <v/>
      </c>
      <c r="AA3478" s="10">
        <f>REPT(" ",8)</f>
        <v/>
      </c>
      <c r="AB3478" s="10">
        <f>REPT(" ",4)</f>
        <v/>
      </c>
      <c r="AC3478" s="10">
        <f>LEFT(UPPER(H3478)&amp;REPT(" ",250),250)</f>
        <v/>
      </c>
      <c r="AD3478" s="10">
        <f>TEXT($G$2,"dd/mm/aaaa")</f>
        <v/>
      </c>
      <c r="AE3478" s="10">
        <f>REPT(" ",10)</f>
        <v/>
      </c>
      <c r="AF3478" s="10">
        <f>REPT(" ",20)</f>
        <v/>
      </c>
      <c r="AG3478" s="54">
        <f>REPT(" ",18-LEN(FIXED(F3478,2,TRUE)))&amp;FIXED(F3478,2,TRUE)</f>
        <v/>
      </c>
      <c r="AH3478" s="10">
        <f>LEN(AC3478)+LEN(AG3478)</f>
        <v/>
      </c>
      <c r="AI3478" s="10">
        <f>LEN(L3478)</f>
        <v/>
      </c>
    </row>
    <row r="3479">
      <c r="J3479" s="12">
        <f>IF(F3479&lt;&gt;0,"LANÇAR","")</f>
        <v/>
      </c>
      <c r="L3479" s="13">
        <f>N3479&amp;O3479&amp;P3479&amp;Q3479&amp;R3479&amp;S3479&amp;T3479&amp;U3479&amp;V3479&amp;W3479&amp;X3479&amp;Y3479&amp;Z3479&amp;AA3479&amp;AB3479&amp;AC3479&amp;AD3479&amp;AE3479&amp;AF3479&amp;AG3479</f>
        <v/>
      </c>
      <c r="N3479" s="10">
        <f>TEXT($B$6,"00")</f>
        <v/>
      </c>
      <c r="O3479" s="10">
        <f>REPT(" ",8)</f>
        <v/>
      </c>
      <c r="P3479" s="10">
        <f>RIGHT($B$4,2)</f>
        <v/>
      </c>
      <c r="Q3479" s="10">
        <f>RIGHT($B$5,3)</f>
        <v/>
      </c>
      <c r="R3479" s="10">
        <f>IF(A3479="D",LEFT(UPPER(B3479)&amp;REPT(" ",20),20),REPT(" ",20))</f>
        <v/>
      </c>
      <c r="S3479" s="10">
        <f>IF(A3479="D",LEFT(UPPER(C3479)&amp;REPT(" ",10),10)," ")</f>
        <v/>
      </c>
      <c r="T3479" s="10">
        <f>IF(A3479="D",LEFT(UPPER(D3479)&amp;REPT(" ",2),2)," ")</f>
        <v/>
      </c>
      <c r="U3479" s="10">
        <f>IF(A3479="D",LEFT(UPPER(E3479)&amp;REPT(" ",15),15)," ")</f>
        <v/>
      </c>
      <c r="V3479" s="10">
        <f>REPT(" ",24)</f>
        <v/>
      </c>
      <c r="W3479" s="10">
        <f>IF(A3479="c",LEFT(UPPER(B3479)&amp;REPT(" ",20),20),REPT(" ",20))</f>
        <v/>
      </c>
      <c r="X3479" s="10">
        <f>IF(A3479="C",LEFT(UPPER(C3479)&amp;REPT(" ",10),10)," ")</f>
        <v/>
      </c>
      <c r="Y3479" s="10">
        <f>IF(A3479="C",LEFT(UPPER(D3479)&amp;REPT(" ",2),2)," ")</f>
        <v/>
      </c>
      <c r="Z3479" s="10">
        <f>IF(A3479="C",LEFT(UPPER(E3479)&amp;REPT(" ",15),15)," ")</f>
        <v/>
      </c>
      <c r="AA3479" s="10">
        <f>REPT(" ",8)</f>
        <v/>
      </c>
      <c r="AB3479" s="10">
        <f>REPT(" ",4)</f>
        <v/>
      </c>
      <c r="AC3479" s="10">
        <f>LEFT(UPPER(H3479)&amp;REPT(" ",250),250)</f>
        <v/>
      </c>
      <c r="AD3479" s="10">
        <f>TEXT($G$2,"dd/mm/aaaa")</f>
        <v/>
      </c>
      <c r="AE3479" s="10">
        <f>REPT(" ",10)</f>
        <v/>
      </c>
      <c r="AF3479" s="10">
        <f>REPT(" ",20)</f>
        <v/>
      </c>
      <c r="AG3479" s="54">
        <f>REPT(" ",18-LEN(FIXED(F3479,2,TRUE)))&amp;FIXED(F3479,2,TRUE)</f>
        <v/>
      </c>
      <c r="AH3479" s="10">
        <f>LEN(AC3479)+LEN(AG3479)</f>
        <v/>
      </c>
      <c r="AI3479" s="10">
        <f>LEN(L3479)</f>
        <v/>
      </c>
    </row>
    <row r="3480">
      <c r="J3480" s="12">
        <f>IF(F3480&lt;&gt;0,"LANÇAR","")</f>
        <v/>
      </c>
      <c r="L3480" s="13">
        <f>N3480&amp;O3480&amp;P3480&amp;Q3480&amp;R3480&amp;S3480&amp;T3480&amp;U3480&amp;V3480&amp;W3480&amp;X3480&amp;Y3480&amp;Z3480&amp;AA3480&amp;AB3480&amp;AC3480&amp;AD3480&amp;AE3480&amp;AF3480&amp;AG3480</f>
        <v/>
      </c>
      <c r="N3480" s="10">
        <f>TEXT($B$6,"00")</f>
        <v/>
      </c>
      <c r="O3480" s="10">
        <f>REPT(" ",8)</f>
        <v/>
      </c>
      <c r="P3480" s="10">
        <f>RIGHT($B$4,2)</f>
        <v/>
      </c>
      <c r="Q3480" s="10">
        <f>RIGHT($B$5,3)</f>
        <v/>
      </c>
      <c r="R3480" s="10">
        <f>IF(A3480="D",LEFT(UPPER(B3480)&amp;REPT(" ",20),20),REPT(" ",20))</f>
        <v/>
      </c>
      <c r="S3480" s="10">
        <f>IF(A3480="D",LEFT(UPPER(C3480)&amp;REPT(" ",10),10)," ")</f>
        <v/>
      </c>
      <c r="T3480" s="10">
        <f>IF(A3480="D",LEFT(UPPER(D3480)&amp;REPT(" ",2),2)," ")</f>
        <v/>
      </c>
      <c r="U3480" s="10">
        <f>IF(A3480="D",LEFT(UPPER(E3480)&amp;REPT(" ",15),15)," ")</f>
        <v/>
      </c>
      <c r="V3480" s="10">
        <f>REPT(" ",24)</f>
        <v/>
      </c>
      <c r="W3480" s="10">
        <f>IF(A3480="c",LEFT(UPPER(B3480)&amp;REPT(" ",20),20),REPT(" ",20))</f>
        <v/>
      </c>
      <c r="X3480" s="10">
        <f>IF(A3480="C",LEFT(UPPER(C3480)&amp;REPT(" ",10),10)," ")</f>
        <v/>
      </c>
      <c r="Y3480" s="10">
        <f>IF(A3480="C",LEFT(UPPER(D3480)&amp;REPT(" ",2),2)," ")</f>
        <v/>
      </c>
      <c r="Z3480" s="10">
        <f>IF(A3480="C",LEFT(UPPER(E3480)&amp;REPT(" ",15),15)," ")</f>
        <v/>
      </c>
      <c r="AA3480" s="10">
        <f>REPT(" ",8)</f>
        <v/>
      </c>
      <c r="AB3480" s="10">
        <f>REPT(" ",4)</f>
        <v/>
      </c>
      <c r="AC3480" s="10">
        <f>LEFT(UPPER(H3480)&amp;REPT(" ",250),250)</f>
        <v/>
      </c>
      <c r="AD3480" s="10">
        <f>TEXT($G$2,"dd/mm/aaaa")</f>
        <v/>
      </c>
      <c r="AE3480" s="10">
        <f>REPT(" ",10)</f>
        <v/>
      </c>
      <c r="AF3480" s="10">
        <f>REPT(" ",20)</f>
        <v/>
      </c>
      <c r="AG3480" s="54">
        <f>REPT(" ",18-LEN(FIXED(F3480,2,TRUE)))&amp;FIXED(F3480,2,TRUE)</f>
        <v/>
      </c>
      <c r="AH3480" s="10">
        <f>LEN(AC3480)+LEN(AG3480)</f>
        <v/>
      </c>
      <c r="AI3480" s="10">
        <f>LEN(L3480)</f>
        <v/>
      </c>
    </row>
    <row r="3481">
      <c r="J3481" s="12">
        <f>IF(F3481&lt;&gt;0,"LANÇAR","")</f>
        <v/>
      </c>
      <c r="L3481" s="13">
        <f>N3481&amp;O3481&amp;P3481&amp;Q3481&amp;R3481&amp;S3481&amp;T3481&amp;U3481&amp;V3481&amp;W3481&amp;X3481&amp;Y3481&amp;Z3481&amp;AA3481&amp;AB3481&amp;AC3481&amp;AD3481&amp;AE3481&amp;AF3481&amp;AG3481</f>
        <v/>
      </c>
      <c r="N3481" s="10">
        <f>TEXT($B$6,"00")</f>
        <v/>
      </c>
      <c r="O3481" s="10">
        <f>REPT(" ",8)</f>
        <v/>
      </c>
      <c r="P3481" s="10">
        <f>RIGHT($B$4,2)</f>
        <v/>
      </c>
      <c r="Q3481" s="10">
        <f>RIGHT($B$5,3)</f>
        <v/>
      </c>
      <c r="R3481" s="10">
        <f>IF(A3481="D",LEFT(UPPER(B3481)&amp;REPT(" ",20),20),REPT(" ",20))</f>
        <v/>
      </c>
      <c r="S3481" s="10">
        <f>IF(A3481="D",LEFT(UPPER(C3481)&amp;REPT(" ",10),10)," ")</f>
        <v/>
      </c>
      <c r="T3481" s="10">
        <f>IF(A3481="D",LEFT(UPPER(D3481)&amp;REPT(" ",2),2)," ")</f>
        <v/>
      </c>
      <c r="U3481" s="10">
        <f>IF(A3481="D",LEFT(UPPER(E3481)&amp;REPT(" ",15),15)," ")</f>
        <v/>
      </c>
      <c r="V3481" s="10">
        <f>REPT(" ",24)</f>
        <v/>
      </c>
      <c r="W3481" s="10">
        <f>IF(A3481="c",LEFT(UPPER(B3481)&amp;REPT(" ",20),20),REPT(" ",20))</f>
        <v/>
      </c>
      <c r="X3481" s="10">
        <f>IF(A3481="C",LEFT(UPPER(C3481)&amp;REPT(" ",10),10)," ")</f>
        <v/>
      </c>
      <c r="Y3481" s="10">
        <f>IF(A3481="C",LEFT(UPPER(D3481)&amp;REPT(" ",2),2)," ")</f>
        <v/>
      </c>
      <c r="Z3481" s="10">
        <f>IF(A3481="C",LEFT(UPPER(E3481)&amp;REPT(" ",15),15)," ")</f>
        <v/>
      </c>
      <c r="AA3481" s="10">
        <f>REPT(" ",8)</f>
        <v/>
      </c>
      <c r="AB3481" s="10">
        <f>REPT(" ",4)</f>
        <v/>
      </c>
      <c r="AC3481" s="10">
        <f>LEFT(UPPER(H3481)&amp;REPT(" ",250),250)</f>
        <v/>
      </c>
      <c r="AD3481" s="10">
        <f>TEXT($G$2,"dd/mm/aaaa")</f>
        <v/>
      </c>
      <c r="AE3481" s="10">
        <f>REPT(" ",10)</f>
        <v/>
      </c>
      <c r="AF3481" s="10">
        <f>REPT(" ",20)</f>
        <v/>
      </c>
      <c r="AG3481" s="54">
        <f>REPT(" ",18-LEN(FIXED(F3481,2,TRUE)))&amp;FIXED(F3481,2,TRUE)</f>
        <v/>
      </c>
      <c r="AH3481" s="10">
        <f>LEN(AC3481)+LEN(AG3481)</f>
        <v/>
      </c>
      <c r="AI3481" s="10">
        <f>LEN(L3481)</f>
        <v/>
      </c>
    </row>
    <row r="3482">
      <c r="J3482" s="12">
        <f>IF(F3482&lt;&gt;0,"LANÇAR","")</f>
        <v/>
      </c>
      <c r="L3482" s="13">
        <f>N3482&amp;O3482&amp;P3482&amp;Q3482&amp;R3482&amp;S3482&amp;T3482&amp;U3482&amp;V3482&amp;W3482&amp;X3482&amp;Y3482&amp;Z3482&amp;AA3482&amp;AB3482&amp;AC3482&amp;AD3482&amp;AE3482&amp;AF3482&amp;AG3482</f>
        <v/>
      </c>
      <c r="N3482" s="10">
        <f>TEXT($B$6,"00")</f>
        <v/>
      </c>
      <c r="O3482" s="10">
        <f>REPT(" ",8)</f>
        <v/>
      </c>
      <c r="P3482" s="10">
        <f>RIGHT($B$4,2)</f>
        <v/>
      </c>
      <c r="Q3482" s="10">
        <f>RIGHT($B$5,3)</f>
        <v/>
      </c>
      <c r="R3482" s="10">
        <f>IF(A3482="D",LEFT(UPPER(B3482)&amp;REPT(" ",20),20),REPT(" ",20))</f>
        <v/>
      </c>
      <c r="S3482" s="10">
        <f>IF(A3482="D",LEFT(UPPER(C3482)&amp;REPT(" ",10),10)," ")</f>
        <v/>
      </c>
      <c r="T3482" s="10">
        <f>IF(A3482="D",LEFT(UPPER(D3482)&amp;REPT(" ",2),2)," ")</f>
        <v/>
      </c>
      <c r="U3482" s="10">
        <f>IF(A3482="D",LEFT(UPPER(E3482)&amp;REPT(" ",15),15)," ")</f>
        <v/>
      </c>
      <c r="V3482" s="10">
        <f>REPT(" ",24)</f>
        <v/>
      </c>
      <c r="W3482" s="10">
        <f>IF(A3482="c",LEFT(UPPER(B3482)&amp;REPT(" ",20),20),REPT(" ",20))</f>
        <v/>
      </c>
      <c r="X3482" s="10">
        <f>IF(A3482="C",LEFT(UPPER(C3482)&amp;REPT(" ",10),10)," ")</f>
        <v/>
      </c>
      <c r="Y3482" s="10">
        <f>IF(A3482="C",LEFT(UPPER(D3482)&amp;REPT(" ",2),2)," ")</f>
        <v/>
      </c>
      <c r="Z3482" s="10">
        <f>IF(A3482="C",LEFT(UPPER(E3482)&amp;REPT(" ",15),15)," ")</f>
        <v/>
      </c>
      <c r="AA3482" s="10">
        <f>REPT(" ",8)</f>
        <v/>
      </c>
      <c r="AB3482" s="10">
        <f>REPT(" ",4)</f>
        <v/>
      </c>
      <c r="AC3482" s="10">
        <f>LEFT(UPPER(H3482)&amp;REPT(" ",250),250)</f>
        <v/>
      </c>
      <c r="AD3482" s="10">
        <f>TEXT($G$2,"dd/mm/aaaa")</f>
        <v/>
      </c>
      <c r="AE3482" s="10">
        <f>REPT(" ",10)</f>
        <v/>
      </c>
      <c r="AF3482" s="10">
        <f>REPT(" ",20)</f>
        <v/>
      </c>
      <c r="AG3482" s="54">
        <f>REPT(" ",18-LEN(FIXED(F3482,2,TRUE)))&amp;FIXED(F3482,2,TRUE)</f>
        <v/>
      </c>
      <c r="AH3482" s="10">
        <f>LEN(AC3482)+LEN(AG3482)</f>
        <v/>
      </c>
      <c r="AI3482" s="10">
        <f>LEN(L3482)</f>
        <v/>
      </c>
    </row>
    <row r="3483">
      <c r="J3483" s="12">
        <f>IF(F3483&lt;&gt;0,"LANÇAR","")</f>
        <v/>
      </c>
      <c r="L3483" s="13">
        <f>N3483&amp;O3483&amp;P3483&amp;Q3483&amp;R3483&amp;S3483&amp;T3483&amp;U3483&amp;V3483&amp;W3483&amp;X3483&amp;Y3483&amp;Z3483&amp;AA3483&amp;AB3483&amp;AC3483&amp;AD3483&amp;AE3483&amp;AF3483&amp;AG3483</f>
        <v/>
      </c>
      <c r="N3483" s="10">
        <f>TEXT($B$6,"00")</f>
        <v/>
      </c>
      <c r="O3483" s="10">
        <f>REPT(" ",8)</f>
        <v/>
      </c>
      <c r="P3483" s="10">
        <f>RIGHT($B$4,2)</f>
        <v/>
      </c>
      <c r="Q3483" s="10">
        <f>RIGHT($B$5,3)</f>
        <v/>
      </c>
      <c r="R3483" s="10">
        <f>IF(A3483="D",LEFT(UPPER(B3483)&amp;REPT(" ",20),20),REPT(" ",20))</f>
        <v/>
      </c>
      <c r="S3483" s="10">
        <f>IF(A3483="D",LEFT(UPPER(C3483)&amp;REPT(" ",10),10)," ")</f>
        <v/>
      </c>
      <c r="T3483" s="10">
        <f>IF(A3483="D",LEFT(UPPER(D3483)&amp;REPT(" ",2),2)," ")</f>
        <v/>
      </c>
      <c r="U3483" s="10">
        <f>IF(A3483="D",LEFT(UPPER(E3483)&amp;REPT(" ",15),15)," ")</f>
        <v/>
      </c>
      <c r="V3483" s="10">
        <f>REPT(" ",24)</f>
        <v/>
      </c>
      <c r="W3483" s="10">
        <f>IF(A3483="c",LEFT(UPPER(B3483)&amp;REPT(" ",20),20),REPT(" ",20))</f>
        <v/>
      </c>
      <c r="X3483" s="10">
        <f>IF(A3483="C",LEFT(UPPER(C3483)&amp;REPT(" ",10),10)," ")</f>
        <v/>
      </c>
      <c r="Y3483" s="10">
        <f>IF(A3483="C",LEFT(UPPER(D3483)&amp;REPT(" ",2),2)," ")</f>
        <v/>
      </c>
      <c r="Z3483" s="10">
        <f>IF(A3483="C",LEFT(UPPER(E3483)&amp;REPT(" ",15),15)," ")</f>
        <v/>
      </c>
      <c r="AA3483" s="10">
        <f>REPT(" ",8)</f>
        <v/>
      </c>
      <c r="AB3483" s="10">
        <f>REPT(" ",4)</f>
        <v/>
      </c>
      <c r="AC3483" s="10">
        <f>LEFT(UPPER(H3483)&amp;REPT(" ",250),250)</f>
        <v/>
      </c>
      <c r="AD3483" s="10">
        <f>TEXT($G$2,"dd/mm/aaaa")</f>
        <v/>
      </c>
      <c r="AE3483" s="10">
        <f>REPT(" ",10)</f>
        <v/>
      </c>
      <c r="AF3483" s="10">
        <f>REPT(" ",20)</f>
        <v/>
      </c>
      <c r="AG3483" s="54">
        <f>REPT(" ",18-LEN(FIXED(F3483,2,TRUE)))&amp;FIXED(F3483,2,TRUE)</f>
        <v/>
      </c>
      <c r="AH3483" s="10">
        <f>LEN(AC3483)+LEN(AG3483)</f>
        <v/>
      </c>
      <c r="AI3483" s="10">
        <f>LEN(L3483)</f>
        <v/>
      </c>
    </row>
    <row r="3484">
      <c r="J3484" s="12">
        <f>IF(F3484&lt;&gt;0,"LANÇAR","")</f>
        <v/>
      </c>
      <c r="L3484" s="13">
        <f>N3484&amp;O3484&amp;P3484&amp;Q3484&amp;R3484&amp;S3484&amp;T3484&amp;U3484&amp;V3484&amp;W3484&amp;X3484&amp;Y3484&amp;Z3484&amp;AA3484&amp;AB3484&amp;AC3484&amp;AD3484&amp;AE3484&amp;AF3484&amp;AG3484</f>
        <v/>
      </c>
      <c r="N3484" s="10">
        <f>TEXT($B$6,"00")</f>
        <v/>
      </c>
      <c r="O3484" s="10">
        <f>REPT(" ",8)</f>
        <v/>
      </c>
      <c r="P3484" s="10">
        <f>RIGHT($B$4,2)</f>
        <v/>
      </c>
      <c r="Q3484" s="10">
        <f>RIGHT($B$5,3)</f>
        <v/>
      </c>
      <c r="R3484" s="10">
        <f>IF(A3484="D",LEFT(UPPER(B3484)&amp;REPT(" ",20),20),REPT(" ",20))</f>
        <v/>
      </c>
      <c r="S3484" s="10">
        <f>IF(A3484="D",LEFT(UPPER(C3484)&amp;REPT(" ",10),10)," ")</f>
        <v/>
      </c>
      <c r="T3484" s="10">
        <f>IF(A3484="D",LEFT(UPPER(D3484)&amp;REPT(" ",2),2)," ")</f>
        <v/>
      </c>
      <c r="U3484" s="10">
        <f>IF(A3484="D",LEFT(UPPER(E3484)&amp;REPT(" ",15),15)," ")</f>
        <v/>
      </c>
      <c r="V3484" s="10">
        <f>REPT(" ",24)</f>
        <v/>
      </c>
      <c r="W3484" s="10">
        <f>IF(A3484="c",LEFT(UPPER(B3484)&amp;REPT(" ",20),20),REPT(" ",20))</f>
        <v/>
      </c>
      <c r="X3484" s="10">
        <f>IF(A3484="C",LEFT(UPPER(C3484)&amp;REPT(" ",10),10)," ")</f>
        <v/>
      </c>
      <c r="Y3484" s="10">
        <f>IF(A3484="C",LEFT(UPPER(D3484)&amp;REPT(" ",2),2)," ")</f>
        <v/>
      </c>
      <c r="Z3484" s="10">
        <f>IF(A3484="C",LEFT(UPPER(E3484)&amp;REPT(" ",15),15)," ")</f>
        <v/>
      </c>
      <c r="AA3484" s="10">
        <f>REPT(" ",8)</f>
        <v/>
      </c>
      <c r="AB3484" s="10">
        <f>REPT(" ",4)</f>
        <v/>
      </c>
      <c r="AC3484" s="10">
        <f>LEFT(UPPER(H3484)&amp;REPT(" ",250),250)</f>
        <v/>
      </c>
      <c r="AD3484" s="10">
        <f>TEXT($G$2,"dd/mm/aaaa")</f>
        <v/>
      </c>
      <c r="AE3484" s="10">
        <f>REPT(" ",10)</f>
        <v/>
      </c>
      <c r="AF3484" s="10">
        <f>REPT(" ",20)</f>
        <v/>
      </c>
      <c r="AG3484" s="54">
        <f>REPT(" ",18-LEN(FIXED(F3484,2,TRUE)))&amp;FIXED(F3484,2,TRUE)</f>
        <v/>
      </c>
      <c r="AH3484" s="10">
        <f>LEN(AC3484)+LEN(AG3484)</f>
        <v/>
      </c>
      <c r="AI3484" s="10">
        <f>LEN(L3484)</f>
        <v/>
      </c>
    </row>
    <row r="3485">
      <c r="J3485" s="12">
        <f>IF(F3485&lt;&gt;0,"LANÇAR","")</f>
        <v/>
      </c>
      <c r="L3485" s="13">
        <f>N3485&amp;O3485&amp;P3485&amp;Q3485&amp;R3485&amp;S3485&amp;T3485&amp;U3485&amp;V3485&amp;W3485&amp;X3485&amp;Y3485&amp;Z3485&amp;AA3485&amp;AB3485&amp;AC3485&amp;AD3485&amp;AE3485&amp;AF3485&amp;AG3485</f>
        <v/>
      </c>
      <c r="N3485" s="10">
        <f>TEXT($B$6,"00")</f>
        <v/>
      </c>
      <c r="O3485" s="10">
        <f>REPT(" ",8)</f>
        <v/>
      </c>
      <c r="P3485" s="10">
        <f>RIGHT($B$4,2)</f>
        <v/>
      </c>
      <c r="Q3485" s="10">
        <f>RIGHT($B$5,3)</f>
        <v/>
      </c>
      <c r="R3485" s="10">
        <f>IF(A3485="D",LEFT(UPPER(B3485)&amp;REPT(" ",20),20),REPT(" ",20))</f>
        <v/>
      </c>
      <c r="S3485" s="10">
        <f>IF(A3485="D",LEFT(UPPER(C3485)&amp;REPT(" ",10),10)," ")</f>
        <v/>
      </c>
      <c r="T3485" s="10">
        <f>IF(A3485="D",LEFT(UPPER(D3485)&amp;REPT(" ",2),2)," ")</f>
        <v/>
      </c>
      <c r="U3485" s="10">
        <f>IF(A3485="D",LEFT(UPPER(E3485)&amp;REPT(" ",15),15)," ")</f>
        <v/>
      </c>
      <c r="V3485" s="10">
        <f>REPT(" ",24)</f>
        <v/>
      </c>
      <c r="W3485" s="10">
        <f>IF(A3485="c",LEFT(UPPER(B3485)&amp;REPT(" ",20),20),REPT(" ",20))</f>
        <v/>
      </c>
      <c r="X3485" s="10">
        <f>IF(A3485="C",LEFT(UPPER(C3485)&amp;REPT(" ",10),10)," ")</f>
        <v/>
      </c>
      <c r="Y3485" s="10">
        <f>IF(A3485="C",LEFT(UPPER(D3485)&amp;REPT(" ",2),2)," ")</f>
        <v/>
      </c>
      <c r="Z3485" s="10">
        <f>IF(A3485="C",LEFT(UPPER(E3485)&amp;REPT(" ",15),15)," ")</f>
        <v/>
      </c>
      <c r="AA3485" s="10">
        <f>REPT(" ",8)</f>
        <v/>
      </c>
      <c r="AB3485" s="10">
        <f>REPT(" ",4)</f>
        <v/>
      </c>
      <c r="AC3485" s="10">
        <f>LEFT(UPPER(H3485)&amp;REPT(" ",250),250)</f>
        <v/>
      </c>
      <c r="AD3485" s="10">
        <f>TEXT($G$2,"dd/mm/aaaa")</f>
        <v/>
      </c>
      <c r="AE3485" s="10">
        <f>REPT(" ",10)</f>
        <v/>
      </c>
      <c r="AF3485" s="10">
        <f>REPT(" ",20)</f>
        <v/>
      </c>
      <c r="AG3485" s="54">
        <f>REPT(" ",18-LEN(FIXED(F3485,2,TRUE)))&amp;FIXED(F3485,2,TRUE)</f>
        <v/>
      </c>
      <c r="AH3485" s="10">
        <f>LEN(AC3485)+LEN(AG3485)</f>
        <v/>
      </c>
      <c r="AI3485" s="10">
        <f>LEN(L3485)</f>
        <v/>
      </c>
    </row>
    <row r="3486">
      <c r="J3486" s="12">
        <f>IF(F3486&lt;&gt;0,"LANÇAR","")</f>
        <v/>
      </c>
      <c r="L3486" s="13">
        <f>N3486&amp;O3486&amp;P3486&amp;Q3486&amp;R3486&amp;S3486&amp;T3486&amp;U3486&amp;V3486&amp;W3486&amp;X3486&amp;Y3486&amp;Z3486&amp;AA3486&amp;AB3486&amp;AC3486&amp;AD3486&amp;AE3486&amp;AF3486&amp;AG3486</f>
        <v/>
      </c>
      <c r="N3486" s="10">
        <f>TEXT($B$6,"00")</f>
        <v/>
      </c>
      <c r="O3486" s="10">
        <f>REPT(" ",8)</f>
        <v/>
      </c>
      <c r="P3486" s="10">
        <f>RIGHT($B$4,2)</f>
        <v/>
      </c>
      <c r="Q3486" s="10">
        <f>RIGHT($B$5,3)</f>
        <v/>
      </c>
      <c r="R3486" s="10">
        <f>IF(A3486="D",LEFT(UPPER(B3486)&amp;REPT(" ",20),20),REPT(" ",20))</f>
        <v/>
      </c>
      <c r="S3486" s="10">
        <f>IF(A3486="D",LEFT(UPPER(C3486)&amp;REPT(" ",10),10)," ")</f>
        <v/>
      </c>
      <c r="T3486" s="10">
        <f>IF(A3486="D",LEFT(UPPER(D3486)&amp;REPT(" ",2),2)," ")</f>
        <v/>
      </c>
      <c r="U3486" s="10">
        <f>IF(A3486="D",LEFT(UPPER(E3486)&amp;REPT(" ",15),15)," ")</f>
        <v/>
      </c>
      <c r="V3486" s="10">
        <f>REPT(" ",24)</f>
        <v/>
      </c>
      <c r="W3486" s="10">
        <f>IF(A3486="c",LEFT(UPPER(B3486)&amp;REPT(" ",20),20),REPT(" ",20))</f>
        <v/>
      </c>
      <c r="X3486" s="10">
        <f>IF(A3486="C",LEFT(UPPER(C3486)&amp;REPT(" ",10),10)," ")</f>
        <v/>
      </c>
      <c r="Y3486" s="10">
        <f>IF(A3486="C",LEFT(UPPER(D3486)&amp;REPT(" ",2),2)," ")</f>
        <v/>
      </c>
      <c r="Z3486" s="10">
        <f>IF(A3486="C",LEFT(UPPER(E3486)&amp;REPT(" ",15),15)," ")</f>
        <v/>
      </c>
      <c r="AA3486" s="10">
        <f>REPT(" ",8)</f>
        <v/>
      </c>
      <c r="AB3486" s="10">
        <f>REPT(" ",4)</f>
        <v/>
      </c>
      <c r="AC3486" s="10">
        <f>LEFT(UPPER(H3486)&amp;REPT(" ",250),250)</f>
        <v/>
      </c>
      <c r="AD3486" s="10">
        <f>TEXT($G$2,"dd/mm/aaaa")</f>
        <v/>
      </c>
      <c r="AE3486" s="10">
        <f>REPT(" ",10)</f>
        <v/>
      </c>
      <c r="AF3486" s="10">
        <f>REPT(" ",20)</f>
        <v/>
      </c>
      <c r="AG3486" s="54">
        <f>REPT(" ",18-LEN(FIXED(F3486,2,TRUE)))&amp;FIXED(F3486,2,TRUE)</f>
        <v/>
      </c>
      <c r="AH3486" s="10">
        <f>LEN(AC3486)+LEN(AG3486)</f>
        <v/>
      </c>
      <c r="AI3486" s="10">
        <f>LEN(L3486)</f>
        <v/>
      </c>
    </row>
    <row r="3487">
      <c r="J3487" s="12">
        <f>IF(F3487&lt;&gt;0,"LANÇAR","")</f>
        <v/>
      </c>
      <c r="L3487" s="13">
        <f>N3487&amp;O3487&amp;P3487&amp;Q3487&amp;R3487&amp;S3487&amp;T3487&amp;U3487&amp;V3487&amp;W3487&amp;X3487&amp;Y3487&amp;Z3487&amp;AA3487&amp;AB3487&amp;AC3487&amp;AD3487&amp;AE3487&amp;AF3487&amp;AG3487</f>
        <v/>
      </c>
      <c r="N3487" s="10">
        <f>TEXT($B$6,"00")</f>
        <v/>
      </c>
      <c r="O3487" s="10">
        <f>REPT(" ",8)</f>
        <v/>
      </c>
      <c r="P3487" s="10">
        <f>RIGHT($B$4,2)</f>
        <v/>
      </c>
      <c r="Q3487" s="10">
        <f>RIGHT($B$5,3)</f>
        <v/>
      </c>
      <c r="R3487" s="10">
        <f>IF(A3487="D",LEFT(UPPER(B3487)&amp;REPT(" ",20),20),REPT(" ",20))</f>
        <v/>
      </c>
      <c r="S3487" s="10">
        <f>IF(A3487="D",LEFT(UPPER(C3487)&amp;REPT(" ",10),10)," ")</f>
        <v/>
      </c>
      <c r="T3487" s="10">
        <f>IF(A3487="D",LEFT(UPPER(D3487)&amp;REPT(" ",2),2)," ")</f>
        <v/>
      </c>
      <c r="U3487" s="10">
        <f>IF(A3487="D",LEFT(UPPER(E3487)&amp;REPT(" ",15),15)," ")</f>
        <v/>
      </c>
      <c r="V3487" s="10">
        <f>REPT(" ",24)</f>
        <v/>
      </c>
      <c r="W3487" s="10">
        <f>IF(A3487="c",LEFT(UPPER(B3487)&amp;REPT(" ",20),20),REPT(" ",20))</f>
        <v/>
      </c>
      <c r="X3487" s="10">
        <f>IF(A3487="C",LEFT(UPPER(C3487)&amp;REPT(" ",10),10)," ")</f>
        <v/>
      </c>
      <c r="Y3487" s="10">
        <f>IF(A3487="C",LEFT(UPPER(D3487)&amp;REPT(" ",2),2)," ")</f>
        <v/>
      </c>
      <c r="Z3487" s="10">
        <f>IF(A3487="C",LEFT(UPPER(E3487)&amp;REPT(" ",15),15)," ")</f>
        <v/>
      </c>
      <c r="AA3487" s="10">
        <f>REPT(" ",8)</f>
        <v/>
      </c>
      <c r="AB3487" s="10">
        <f>REPT(" ",4)</f>
        <v/>
      </c>
      <c r="AC3487" s="10">
        <f>LEFT(UPPER(H3487)&amp;REPT(" ",250),250)</f>
        <v/>
      </c>
      <c r="AD3487" s="10">
        <f>TEXT($G$2,"dd/mm/aaaa")</f>
        <v/>
      </c>
      <c r="AE3487" s="10">
        <f>REPT(" ",10)</f>
        <v/>
      </c>
      <c r="AF3487" s="10">
        <f>REPT(" ",20)</f>
        <v/>
      </c>
      <c r="AG3487" s="54">
        <f>REPT(" ",18-LEN(FIXED(F3487,2,TRUE)))&amp;FIXED(F3487,2,TRUE)</f>
        <v/>
      </c>
      <c r="AH3487" s="10">
        <f>LEN(AC3487)+LEN(AG3487)</f>
        <v/>
      </c>
      <c r="AI3487" s="10">
        <f>LEN(L3487)</f>
        <v/>
      </c>
    </row>
    <row r="3488">
      <c r="J3488" s="12">
        <f>IF(F3488&lt;&gt;0,"LANÇAR","")</f>
        <v/>
      </c>
      <c r="L3488" s="13">
        <f>N3488&amp;O3488&amp;P3488&amp;Q3488&amp;R3488&amp;S3488&amp;T3488&amp;U3488&amp;V3488&amp;W3488&amp;X3488&amp;Y3488&amp;Z3488&amp;AA3488&amp;AB3488&amp;AC3488&amp;AD3488&amp;AE3488&amp;AF3488&amp;AG3488</f>
        <v/>
      </c>
      <c r="N3488" s="10">
        <f>TEXT($B$6,"00")</f>
        <v/>
      </c>
      <c r="O3488" s="10">
        <f>REPT(" ",8)</f>
        <v/>
      </c>
      <c r="P3488" s="10">
        <f>RIGHT($B$4,2)</f>
        <v/>
      </c>
      <c r="Q3488" s="10">
        <f>RIGHT($B$5,3)</f>
        <v/>
      </c>
      <c r="R3488" s="10">
        <f>IF(A3488="D",LEFT(UPPER(B3488)&amp;REPT(" ",20),20),REPT(" ",20))</f>
        <v/>
      </c>
      <c r="S3488" s="10">
        <f>IF(A3488="D",LEFT(UPPER(C3488)&amp;REPT(" ",10),10)," ")</f>
        <v/>
      </c>
      <c r="T3488" s="10">
        <f>IF(A3488="D",LEFT(UPPER(D3488)&amp;REPT(" ",2),2)," ")</f>
        <v/>
      </c>
      <c r="U3488" s="10">
        <f>IF(A3488="D",LEFT(UPPER(E3488)&amp;REPT(" ",15),15)," ")</f>
        <v/>
      </c>
      <c r="V3488" s="10">
        <f>REPT(" ",24)</f>
        <v/>
      </c>
      <c r="W3488" s="10">
        <f>IF(A3488="c",LEFT(UPPER(B3488)&amp;REPT(" ",20),20),REPT(" ",20))</f>
        <v/>
      </c>
      <c r="X3488" s="10">
        <f>IF(A3488="C",LEFT(UPPER(C3488)&amp;REPT(" ",10),10)," ")</f>
        <v/>
      </c>
      <c r="Y3488" s="10">
        <f>IF(A3488="C",LEFT(UPPER(D3488)&amp;REPT(" ",2),2)," ")</f>
        <v/>
      </c>
      <c r="Z3488" s="10">
        <f>IF(A3488="C",LEFT(UPPER(E3488)&amp;REPT(" ",15),15)," ")</f>
        <v/>
      </c>
      <c r="AA3488" s="10">
        <f>REPT(" ",8)</f>
        <v/>
      </c>
      <c r="AB3488" s="10">
        <f>REPT(" ",4)</f>
        <v/>
      </c>
      <c r="AC3488" s="10">
        <f>LEFT(UPPER(H3488)&amp;REPT(" ",250),250)</f>
        <v/>
      </c>
      <c r="AD3488" s="10">
        <f>TEXT($G$2,"dd/mm/aaaa")</f>
        <v/>
      </c>
      <c r="AE3488" s="10">
        <f>REPT(" ",10)</f>
        <v/>
      </c>
      <c r="AF3488" s="10">
        <f>REPT(" ",20)</f>
        <v/>
      </c>
      <c r="AG3488" s="54">
        <f>REPT(" ",18-LEN(FIXED(F3488,2,TRUE)))&amp;FIXED(F3488,2,TRUE)</f>
        <v/>
      </c>
      <c r="AH3488" s="10">
        <f>LEN(AC3488)+LEN(AG3488)</f>
        <v/>
      </c>
      <c r="AI3488" s="10">
        <f>LEN(L3488)</f>
        <v/>
      </c>
    </row>
    <row r="3489">
      <c r="J3489" s="12">
        <f>IF(F3489&lt;&gt;0,"LANÇAR","")</f>
        <v/>
      </c>
      <c r="L3489" s="13">
        <f>N3489&amp;O3489&amp;P3489&amp;Q3489&amp;R3489&amp;S3489&amp;T3489&amp;U3489&amp;V3489&amp;W3489&amp;X3489&amp;Y3489&amp;Z3489&amp;AA3489&amp;AB3489&amp;AC3489&amp;AD3489&amp;AE3489&amp;AF3489&amp;AG3489</f>
        <v/>
      </c>
      <c r="N3489" s="10">
        <f>TEXT($B$6,"00")</f>
        <v/>
      </c>
      <c r="O3489" s="10">
        <f>REPT(" ",8)</f>
        <v/>
      </c>
      <c r="P3489" s="10">
        <f>RIGHT($B$4,2)</f>
        <v/>
      </c>
      <c r="Q3489" s="10">
        <f>RIGHT($B$5,3)</f>
        <v/>
      </c>
      <c r="R3489" s="10">
        <f>IF(A3489="D",LEFT(UPPER(B3489)&amp;REPT(" ",20),20),REPT(" ",20))</f>
        <v/>
      </c>
      <c r="S3489" s="10">
        <f>IF(A3489="D",LEFT(UPPER(C3489)&amp;REPT(" ",10),10)," ")</f>
        <v/>
      </c>
      <c r="T3489" s="10">
        <f>IF(A3489="D",LEFT(UPPER(D3489)&amp;REPT(" ",2),2)," ")</f>
        <v/>
      </c>
      <c r="U3489" s="10">
        <f>IF(A3489="D",LEFT(UPPER(E3489)&amp;REPT(" ",15),15)," ")</f>
        <v/>
      </c>
      <c r="V3489" s="10">
        <f>REPT(" ",24)</f>
        <v/>
      </c>
      <c r="W3489" s="10">
        <f>IF(A3489="c",LEFT(UPPER(B3489)&amp;REPT(" ",20),20),REPT(" ",20))</f>
        <v/>
      </c>
      <c r="X3489" s="10">
        <f>IF(A3489="C",LEFT(UPPER(C3489)&amp;REPT(" ",10),10)," ")</f>
        <v/>
      </c>
      <c r="Y3489" s="10">
        <f>IF(A3489="C",LEFT(UPPER(D3489)&amp;REPT(" ",2),2)," ")</f>
        <v/>
      </c>
      <c r="Z3489" s="10">
        <f>IF(A3489="C",LEFT(UPPER(E3489)&amp;REPT(" ",15),15)," ")</f>
        <v/>
      </c>
      <c r="AA3489" s="10">
        <f>REPT(" ",8)</f>
        <v/>
      </c>
      <c r="AB3489" s="10">
        <f>REPT(" ",4)</f>
        <v/>
      </c>
      <c r="AC3489" s="10">
        <f>LEFT(UPPER(H3489)&amp;REPT(" ",250),250)</f>
        <v/>
      </c>
      <c r="AD3489" s="10">
        <f>TEXT($G$2,"dd/mm/aaaa")</f>
        <v/>
      </c>
      <c r="AE3489" s="10">
        <f>REPT(" ",10)</f>
        <v/>
      </c>
      <c r="AF3489" s="10">
        <f>REPT(" ",20)</f>
        <v/>
      </c>
      <c r="AG3489" s="54">
        <f>REPT(" ",18-LEN(FIXED(F3489,2,TRUE)))&amp;FIXED(F3489,2,TRUE)</f>
        <v/>
      </c>
      <c r="AH3489" s="10">
        <f>LEN(AC3489)+LEN(AG3489)</f>
        <v/>
      </c>
      <c r="AI3489" s="10">
        <f>LEN(L3489)</f>
        <v/>
      </c>
    </row>
    <row r="3490">
      <c r="J3490" s="12">
        <f>IF(F3490&lt;&gt;0,"LANÇAR","")</f>
        <v/>
      </c>
      <c r="L3490" s="13">
        <f>N3490&amp;O3490&amp;P3490&amp;Q3490&amp;R3490&amp;S3490&amp;T3490&amp;U3490&amp;V3490&amp;W3490&amp;X3490&amp;Y3490&amp;Z3490&amp;AA3490&amp;AB3490&amp;AC3490&amp;AD3490&amp;AE3490&amp;AF3490&amp;AG3490</f>
        <v/>
      </c>
      <c r="N3490" s="10">
        <f>TEXT($B$6,"00")</f>
        <v/>
      </c>
      <c r="O3490" s="10">
        <f>REPT(" ",8)</f>
        <v/>
      </c>
      <c r="P3490" s="10">
        <f>RIGHT($B$4,2)</f>
        <v/>
      </c>
      <c r="Q3490" s="10">
        <f>RIGHT($B$5,3)</f>
        <v/>
      </c>
      <c r="R3490" s="10">
        <f>IF(A3490="D",LEFT(UPPER(B3490)&amp;REPT(" ",20),20),REPT(" ",20))</f>
        <v/>
      </c>
      <c r="S3490" s="10">
        <f>IF(A3490="D",LEFT(UPPER(C3490)&amp;REPT(" ",10),10)," ")</f>
        <v/>
      </c>
      <c r="T3490" s="10">
        <f>IF(A3490="D",LEFT(UPPER(D3490)&amp;REPT(" ",2),2)," ")</f>
        <v/>
      </c>
      <c r="U3490" s="10">
        <f>IF(A3490="D",LEFT(UPPER(E3490)&amp;REPT(" ",15),15)," ")</f>
        <v/>
      </c>
      <c r="V3490" s="10">
        <f>REPT(" ",24)</f>
        <v/>
      </c>
      <c r="W3490" s="10">
        <f>IF(A3490="c",LEFT(UPPER(B3490)&amp;REPT(" ",20),20),REPT(" ",20))</f>
        <v/>
      </c>
      <c r="X3490" s="10">
        <f>IF(A3490="C",LEFT(UPPER(C3490)&amp;REPT(" ",10),10)," ")</f>
        <v/>
      </c>
      <c r="Y3490" s="10">
        <f>IF(A3490="C",LEFT(UPPER(D3490)&amp;REPT(" ",2),2)," ")</f>
        <v/>
      </c>
      <c r="Z3490" s="10">
        <f>IF(A3490="C",LEFT(UPPER(E3490)&amp;REPT(" ",15),15)," ")</f>
        <v/>
      </c>
      <c r="AA3490" s="10">
        <f>REPT(" ",8)</f>
        <v/>
      </c>
      <c r="AB3490" s="10">
        <f>REPT(" ",4)</f>
        <v/>
      </c>
      <c r="AC3490" s="10">
        <f>LEFT(UPPER(H3490)&amp;REPT(" ",250),250)</f>
        <v/>
      </c>
      <c r="AD3490" s="10">
        <f>TEXT($G$2,"dd/mm/aaaa")</f>
        <v/>
      </c>
      <c r="AE3490" s="10">
        <f>REPT(" ",10)</f>
        <v/>
      </c>
      <c r="AF3490" s="10">
        <f>REPT(" ",20)</f>
        <v/>
      </c>
      <c r="AG3490" s="54">
        <f>REPT(" ",18-LEN(FIXED(F3490,2,TRUE)))&amp;FIXED(F3490,2,TRUE)</f>
        <v/>
      </c>
      <c r="AH3490" s="10">
        <f>LEN(AC3490)+LEN(AG3490)</f>
        <v/>
      </c>
      <c r="AI3490" s="10">
        <f>LEN(L3490)</f>
        <v/>
      </c>
    </row>
    <row r="3491">
      <c r="J3491" s="12">
        <f>IF(F3491&lt;&gt;0,"LANÇAR","")</f>
        <v/>
      </c>
      <c r="L3491" s="13">
        <f>N3491&amp;O3491&amp;P3491&amp;Q3491&amp;R3491&amp;S3491&amp;T3491&amp;U3491&amp;V3491&amp;W3491&amp;X3491&amp;Y3491&amp;Z3491&amp;AA3491&amp;AB3491&amp;AC3491&amp;AD3491&amp;AE3491&amp;AF3491&amp;AG3491</f>
        <v/>
      </c>
      <c r="N3491" s="10">
        <f>TEXT($B$6,"00")</f>
        <v/>
      </c>
      <c r="O3491" s="10">
        <f>REPT(" ",8)</f>
        <v/>
      </c>
      <c r="P3491" s="10">
        <f>RIGHT($B$4,2)</f>
        <v/>
      </c>
      <c r="Q3491" s="10">
        <f>RIGHT($B$5,3)</f>
        <v/>
      </c>
      <c r="R3491" s="10">
        <f>IF(A3491="D",LEFT(UPPER(B3491)&amp;REPT(" ",20),20),REPT(" ",20))</f>
        <v/>
      </c>
      <c r="S3491" s="10">
        <f>IF(A3491="D",LEFT(UPPER(C3491)&amp;REPT(" ",10),10)," ")</f>
        <v/>
      </c>
      <c r="T3491" s="10">
        <f>IF(A3491="D",LEFT(UPPER(D3491)&amp;REPT(" ",2),2)," ")</f>
        <v/>
      </c>
      <c r="U3491" s="10">
        <f>IF(A3491="D",LEFT(UPPER(E3491)&amp;REPT(" ",15),15)," ")</f>
        <v/>
      </c>
      <c r="V3491" s="10">
        <f>REPT(" ",24)</f>
        <v/>
      </c>
      <c r="W3491" s="10">
        <f>IF(A3491="c",LEFT(UPPER(B3491)&amp;REPT(" ",20),20),REPT(" ",20))</f>
        <v/>
      </c>
      <c r="X3491" s="10">
        <f>IF(A3491="C",LEFT(UPPER(C3491)&amp;REPT(" ",10),10)," ")</f>
        <v/>
      </c>
      <c r="Y3491" s="10">
        <f>IF(A3491="C",LEFT(UPPER(D3491)&amp;REPT(" ",2),2)," ")</f>
        <v/>
      </c>
      <c r="Z3491" s="10">
        <f>IF(A3491="C",LEFT(UPPER(E3491)&amp;REPT(" ",15),15)," ")</f>
        <v/>
      </c>
      <c r="AA3491" s="10">
        <f>REPT(" ",8)</f>
        <v/>
      </c>
      <c r="AB3491" s="10">
        <f>REPT(" ",4)</f>
        <v/>
      </c>
      <c r="AC3491" s="10">
        <f>LEFT(UPPER(H3491)&amp;REPT(" ",250),250)</f>
        <v/>
      </c>
      <c r="AD3491" s="10">
        <f>TEXT($G$2,"dd/mm/aaaa")</f>
        <v/>
      </c>
      <c r="AE3491" s="10">
        <f>REPT(" ",10)</f>
        <v/>
      </c>
      <c r="AF3491" s="10">
        <f>REPT(" ",20)</f>
        <v/>
      </c>
      <c r="AG3491" s="54">
        <f>REPT(" ",18-LEN(FIXED(F3491,2,TRUE)))&amp;FIXED(F3491,2,TRUE)</f>
        <v/>
      </c>
      <c r="AH3491" s="10">
        <f>LEN(AC3491)+LEN(AG3491)</f>
        <v/>
      </c>
      <c r="AI3491" s="10">
        <f>LEN(L3491)</f>
        <v/>
      </c>
    </row>
    <row r="3492">
      <c r="J3492" s="12">
        <f>IF(F3492&lt;&gt;0,"LANÇAR","")</f>
        <v/>
      </c>
      <c r="L3492" s="13">
        <f>N3492&amp;O3492&amp;P3492&amp;Q3492&amp;R3492&amp;S3492&amp;T3492&amp;U3492&amp;V3492&amp;W3492&amp;X3492&amp;Y3492&amp;Z3492&amp;AA3492&amp;AB3492&amp;AC3492&amp;AD3492&amp;AE3492&amp;AF3492&amp;AG3492</f>
        <v/>
      </c>
      <c r="N3492" s="10">
        <f>TEXT($B$6,"00")</f>
        <v/>
      </c>
      <c r="O3492" s="10">
        <f>REPT(" ",8)</f>
        <v/>
      </c>
      <c r="P3492" s="10">
        <f>RIGHT($B$4,2)</f>
        <v/>
      </c>
      <c r="Q3492" s="10">
        <f>RIGHT($B$5,3)</f>
        <v/>
      </c>
      <c r="R3492" s="10">
        <f>IF(A3492="D",LEFT(UPPER(B3492)&amp;REPT(" ",20),20),REPT(" ",20))</f>
        <v/>
      </c>
      <c r="S3492" s="10">
        <f>IF(A3492="D",LEFT(UPPER(C3492)&amp;REPT(" ",10),10)," ")</f>
        <v/>
      </c>
      <c r="T3492" s="10">
        <f>IF(A3492="D",LEFT(UPPER(D3492)&amp;REPT(" ",2),2)," ")</f>
        <v/>
      </c>
      <c r="U3492" s="10">
        <f>IF(A3492="D",LEFT(UPPER(E3492)&amp;REPT(" ",15),15)," ")</f>
        <v/>
      </c>
      <c r="V3492" s="10">
        <f>REPT(" ",24)</f>
        <v/>
      </c>
      <c r="W3492" s="10">
        <f>IF(A3492="c",LEFT(UPPER(B3492)&amp;REPT(" ",20),20),REPT(" ",20))</f>
        <v/>
      </c>
      <c r="X3492" s="10">
        <f>IF(A3492="C",LEFT(UPPER(C3492)&amp;REPT(" ",10),10)," ")</f>
        <v/>
      </c>
      <c r="Y3492" s="10">
        <f>IF(A3492="C",LEFT(UPPER(D3492)&amp;REPT(" ",2),2)," ")</f>
        <v/>
      </c>
      <c r="Z3492" s="10">
        <f>IF(A3492="C",LEFT(UPPER(E3492)&amp;REPT(" ",15),15)," ")</f>
        <v/>
      </c>
      <c r="AA3492" s="10">
        <f>REPT(" ",8)</f>
        <v/>
      </c>
      <c r="AB3492" s="10">
        <f>REPT(" ",4)</f>
        <v/>
      </c>
      <c r="AC3492" s="10">
        <f>LEFT(UPPER(H3492)&amp;REPT(" ",250),250)</f>
        <v/>
      </c>
      <c r="AD3492" s="10">
        <f>TEXT($G$2,"dd/mm/aaaa")</f>
        <v/>
      </c>
      <c r="AE3492" s="10">
        <f>REPT(" ",10)</f>
        <v/>
      </c>
      <c r="AF3492" s="10">
        <f>REPT(" ",20)</f>
        <v/>
      </c>
      <c r="AG3492" s="54">
        <f>REPT(" ",18-LEN(FIXED(F3492,2,TRUE)))&amp;FIXED(F3492,2,TRUE)</f>
        <v/>
      </c>
      <c r="AH3492" s="10">
        <f>LEN(AC3492)+LEN(AG3492)</f>
        <v/>
      </c>
      <c r="AI3492" s="10">
        <f>LEN(L3492)</f>
        <v/>
      </c>
    </row>
    <row r="3493">
      <c r="J3493" s="12">
        <f>IF(F3493&lt;&gt;0,"LANÇAR","")</f>
        <v/>
      </c>
      <c r="L3493" s="13">
        <f>N3493&amp;O3493&amp;P3493&amp;Q3493&amp;R3493&amp;S3493&amp;T3493&amp;U3493&amp;V3493&amp;W3493&amp;X3493&amp;Y3493&amp;Z3493&amp;AA3493&amp;AB3493&amp;AC3493&amp;AD3493&amp;AE3493&amp;AF3493&amp;AG3493</f>
        <v/>
      </c>
      <c r="N3493" s="10">
        <f>TEXT($B$6,"00")</f>
        <v/>
      </c>
      <c r="O3493" s="10">
        <f>REPT(" ",8)</f>
        <v/>
      </c>
      <c r="P3493" s="10">
        <f>RIGHT($B$4,2)</f>
        <v/>
      </c>
      <c r="Q3493" s="10">
        <f>RIGHT($B$5,3)</f>
        <v/>
      </c>
      <c r="R3493" s="10">
        <f>IF(A3493="D",LEFT(UPPER(B3493)&amp;REPT(" ",20),20),REPT(" ",20))</f>
        <v/>
      </c>
      <c r="S3493" s="10">
        <f>IF(A3493="D",LEFT(UPPER(C3493)&amp;REPT(" ",10),10)," ")</f>
        <v/>
      </c>
      <c r="T3493" s="10">
        <f>IF(A3493="D",LEFT(UPPER(D3493)&amp;REPT(" ",2),2)," ")</f>
        <v/>
      </c>
      <c r="U3493" s="10">
        <f>IF(A3493="D",LEFT(UPPER(E3493)&amp;REPT(" ",15),15)," ")</f>
        <v/>
      </c>
      <c r="V3493" s="10">
        <f>REPT(" ",24)</f>
        <v/>
      </c>
      <c r="W3493" s="10">
        <f>IF(A3493="c",LEFT(UPPER(B3493)&amp;REPT(" ",20),20),REPT(" ",20))</f>
        <v/>
      </c>
      <c r="X3493" s="10">
        <f>IF(A3493="C",LEFT(UPPER(C3493)&amp;REPT(" ",10),10)," ")</f>
        <v/>
      </c>
      <c r="Y3493" s="10">
        <f>IF(A3493="C",LEFT(UPPER(D3493)&amp;REPT(" ",2),2)," ")</f>
        <v/>
      </c>
      <c r="Z3493" s="10">
        <f>IF(A3493="C",LEFT(UPPER(E3493)&amp;REPT(" ",15),15)," ")</f>
        <v/>
      </c>
      <c r="AA3493" s="10">
        <f>REPT(" ",8)</f>
        <v/>
      </c>
      <c r="AB3493" s="10">
        <f>REPT(" ",4)</f>
        <v/>
      </c>
      <c r="AC3493" s="10">
        <f>LEFT(UPPER(H3493)&amp;REPT(" ",250),250)</f>
        <v/>
      </c>
      <c r="AD3493" s="10">
        <f>TEXT($G$2,"dd/mm/aaaa")</f>
        <v/>
      </c>
      <c r="AE3493" s="10">
        <f>REPT(" ",10)</f>
        <v/>
      </c>
      <c r="AF3493" s="10">
        <f>REPT(" ",20)</f>
        <v/>
      </c>
      <c r="AG3493" s="54">
        <f>REPT(" ",18-LEN(FIXED(F3493,2,TRUE)))&amp;FIXED(F3493,2,TRUE)</f>
        <v/>
      </c>
      <c r="AH3493" s="10">
        <f>LEN(AC3493)+LEN(AG3493)</f>
        <v/>
      </c>
      <c r="AI3493" s="10">
        <f>LEN(L3493)</f>
        <v/>
      </c>
    </row>
    <row r="3494">
      <c r="J3494" s="12">
        <f>IF(F3494&lt;&gt;0,"LANÇAR","")</f>
        <v/>
      </c>
      <c r="L3494" s="13">
        <f>N3494&amp;O3494&amp;P3494&amp;Q3494&amp;R3494&amp;S3494&amp;T3494&amp;U3494&amp;V3494&amp;W3494&amp;X3494&amp;Y3494&amp;Z3494&amp;AA3494&amp;AB3494&amp;AC3494&amp;AD3494&amp;AE3494&amp;AF3494&amp;AG3494</f>
        <v/>
      </c>
      <c r="N3494" s="10">
        <f>TEXT($B$6,"00")</f>
        <v/>
      </c>
      <c r="O3494" s="10">
        <f>REPT(" ",8)</f>
        <v/>
      </c>
      <c r="P3494" s="10">
        <f>RIGHT($B$4,2)</f>
        <v/>
      </c>
      <c r="Q3494" s="10">
        <f>RIGHT($B$5,3)</f>
        <v/>
      </c>
      <c r="R3494" s="10">
        <f>IF(A3494="D",LEFT(UPPER(B3494)&amp;REPT(" ",20),20),REPT(" ",20))</f>
        <v/>
      </c>
      <c r="S3494" s="10">
        <f>IF(A3494="D",LEFT(UPPER(C3494)&amp;REPT(" ",10),10)," ")</f>
        <v/>
      </c>
      <c r="T3494" s="10">
        <f>IF(A3494="D",LEFT(UPPER(D3494)&amp;REPT(" ",2),2)," ")</f>
        <v/>
      </c>
      <c r="U3494" s="10">
        <f>IF(A3494="D",LEFT(UPPER(E3494)&amp;REPT(" ",15),15)," ")</f>
        <v/>
      </c>
      <c r="V3494" s="10">
        <f>REPT(" ",24)</f>
        <v/>
      </c>
      <c r="W3494" s="10">
        <f>IF(A3494="c",LEFT(UPPER(B3494)&amp;REPT(" ",20),20),REPT(" ",20))</f>
        <v/>
      </c>
      <c r="X3494" s="10">
        <f>IF(A3494="C",LEFT(UPPER(C3494)&amp;REPT(" ",10),10)," ")</f>
        <v/>
      </c>
      <c r="Y3494" s="10">
        <f>IF(A3494="C",LEFT(UPPER(D3494)&amp;REPT(" ",2),2)," ")</f>
        <v/>
      </c>
      <c r="Z3494" s="10">
        <f>IF(A3494="C",LEFT(UPPER(E3494)&amp;REPT(" ",15),15)," ")</f>
        <v/>
      </c>
      <c r="AA3494" s="10">
        <f>REPT(" ",8)</f>
        <v/>
      </c>
      <c r="AB3494" s="10">
        <f>REPT(" ",4)</f>
        <v/>
      </c>
      <c r="AC3494" s="10">
        <f>LEFT(UPPER(H3494)&amp;REPT(" ",250),250)</f>
        <v/>
      </c>
      <c r="AD3494" s="10">
        <f>TEXT($G$2,"dd/mm/aaaa")</f>
        <v/>
      </c>
      <c r="AE3494" s="10">
        <f>REPT(" ",10)</f>
        <v/>
      </c>
      <c r="AF3494" s="10">
        <f>REPT(" ",20)</f>
        <v/>
      </c>
      <c r="AG3494" s="54">
        <f>REPT(" ",18-LEN(FIXED(F3494,2,TRUE)))&amp;FIXED(F3494,2,TRUE)</f>
        <v/>
      </c>
      <c r="AH3494" s="10">
        <f>LEN(AC3494)+LEN(AG3494)</f>
        <v/>
      </c>
      <c r="AI3494" s="10">
        <f>LEN(L3494)</f>
        <v/>
      </c>
    </row>
    <row r="3495">
      <c r="J3495" s="12">
        <f>IF(F3495&lt;&gt;0,"LANÇAR","")</f>
        <v/>
      </c>
      <c r="L3495" s="13">
        <f>N3495&amp;O3495&amp;P3495&amp;Q3495&amp;R3495&amp;S3495&amp;T3495&amp;U3495&amp;V3495&amp;W3495&amp;X3495&amp;Y3495&amp;Z3495&amp;AA3495&amp;AB3495&amp;AC3495&amp;AD3495&amp;AE3495&amp;AF3495&amp;AG3495</f>
        <v/>
      </c>
      <c r="N3495" s="10">
        <f>TEXT($B$6,"00")</f>
        <v/>
      </c>
      <c r="O3495" s="10">
        <f>REPT(" ",8)</f>
        <v/>
      </c>
      <c r="P3495" s="10">
        <f>RIGHT($B$4,2)</f>
        <v/>
      </c>
      <c r="Q3495" s="10">
        <f>RIGHT($B$5,3)</f>
        <v/>
      </c>
      <c r="R3495" s="10">
        <f>IF(A3495="D",LEFT(UPPER(B3495)&amp;REPT(" ",20),20),REPT(" ",20))</f>
        <v/>
      </c>
      <c r="S3495" s="10">
        <f>IF(A3495="D",LEFT(UPPER(C3495)&amp;REPT(" ",10),10)," ")</f>
        <v/>
      </c>
      <c r="T3495" s="10">
        <f>IF(A3495="D",LEFT(UPPER(D3495)&amp;REPT(" ",2),2)," ")</f>
        <v/>
      </c>
      <c r="U3495" s="10">
        <f>IF(A3495="D",LEFT(UPPER(E3495)&amp;REPT(" ",15),15)," ")</f>
        <v/>
      </c>
      <c r="V3495" s="10">
        <f>REPT(" ",24)</f>
        <v/>
      </c>
      <c r="W3495" s="10">
        <f>IF(A3495="c",LEFT(UPPER(B3495)&amp;REPT(" ",20),20),REPT(" ",20))</f>
        <v/>
      </c>
      <c r="X3495" s="10">
        <f>IF(A3495="C",LEFT(UPPER(C3495)&amp;REPT(" ",10),10)," ")</f>
        <v/>
      </c>
      <c r="Y3495" s="10">
        <f>IF(A3495="C",LEFT(UPPER(D3495)&amp;REPT(" ",2),2)," ")</f>
        <v/>
      </c>
      <c r="Z3495" s="10">
        <f>IF(A3495="C",LEFT(UPPER(E3495)&amp;REPT(" ",15),15)," ")</f>
        <v/>
      </c>
      <c r="AA3495" s="10">
        <f>REPT(" ",8)</f>
        <v/>
      </c>
      <c r="AB3495" s="10">
        <f>REPT(" ",4)</f>
        <v/>
      </c>
      <c r="AC3495" s="10">
        <f>LEFT(UPPER(H3495)&amp;REPT(" ",250),250)</f>
        <v/>
      </c>
      <c r="AD3495" s="10">
        <f>TEXT($G$2,"dd/mm/aaaa")</f>
        <v/>
      </c>
      <c r="AE3495" s="10">
        <f>REPT(" ",10)</f>
        <v/>
      </c>
      <c r="AF3495" s="10">
        <f>REPT(" ",20)</f>
        <v/>
      </c>
      <c r="AG3495" s="54">
        <f>REPT(" ",18-LEN(FIXED(F3495,2,TRUE)))&amp;FIXED(F3495,2,TRUE)</f>
        <v/>
      </c>
      <c r="AH3495" s="10">
        <f>LEN(AC3495)+LEN(AG3495)</f>
        <v/>
      </c>
      <c r="AI3495" s="10">
        <f>LEN(L3495)</f>
        <v/>
      </c>
    </row>
    <row r="3496">
      <c r="J3496" s="12">
        <f>IF(F3496&lt;&gt;0,"LANÇAR","")</f>
        <v/>
      </c>
      <c r="L3496" s="13">
        <f>N3496&amp;O3496&amp;P3496&amp;Q3496&amp;R3496&amp;S3496&amp;T3496&amp;U3496&amp;V3496&amp;W3496&amp;X3496&amp;Y3496&amp;Z3496&amp;AA3496&amp;AB3496&amp;AC3496&amp;AD3496&amp;AE3496&amp;AF3496&amp;AG3496</f>
        <v/>
      </c>
      <c r="N3496" s="10">
        <f>TEXT($B$6,"00")</f>
        <v/>
      </c>
      <c r="O3496" s="10">
        <f>REPT(" ",8)</f>
        <v/>
      </c>
      <c r="P3496" s="10">
        <f>RIGHT($B$4,2)</f>
        <v/>
      </c>
      <c r="Q3496" s="10">
        <f>RIGHT($B$5,3)</f>
        <v/>
      </c>
      <c r="R3496" s="10">
        <f>IF(A3496="D",LEFT(UPPER(B3496)&amp;REPT(" ",20),20),REPT(" ",20))</f>
        <v/>
      </c>
      <c r="S3496" s="10">
        <f>IF(A3496="D",LEFT(UPPER(C3496)&amp;REPT(" ",10),10)," ")</f>
        <v/>
      </c>
      <c r="T3496" s="10">
        <f>IF(A3496="D",LEFT(UPPER(D3496)&amp;REPT(" ",2),2)," ")</f>
        <v/>
      </c>
      <c r="U3496" s="10">
        <f>IF(A3496="D",LEFT(UPPER(E3496)&amp;REPT(" ",15),15)," ")</f>
        <v/>
      </c>
      <c r="V3496" s="10">
        <f>REPT(" ",24)</f>
        <v/>
      </c>
      <c r="W3496" s="10">
        <f>IF(A3496="c",LEFT(UPPER(B3496)&amp;REPT(" ",20),20),REPT(" ",20))</f>
        <v/>
      </c>
      <c r="X3496" s="10">
        <f>IF(A3496="C",LEFT(UPPER(C3496)&amp;REPT(" ",10),10)," ")</f>
        <v/>
      </c>
      <c r="Y3496" s="10">
        <f>IF(A3496="C",LEFT(UPPER(D3496)&amp;REPT(" ",2),2)," ")</f>
        <v/>
      </c>
      <c r="Z3496" s="10">
        <f>IF(A3496="C",LEFT(UPPER(E3496)&amp;REPT(" ",15),15)," ")</f>
        <v/>
      </c>
      <c r="AA3496" s="10">
        <f>REPT(" ",8)</f>
        <v/>
      </c>
      <c r="AB3496" s="10">
        <f>REPT(" ",4)</f>
        <v/>
      </c>
      <c r="AC3496" s="10">
        <f>LEFT(UPPER(H3496)&amp;REPT(" ",250),250)</f>
        <v/>
      </c>
      <c r="AD3496" s="10">
        <f>TEXT($G$2,"dd/mm/aaaa")</f>
        <v/>
      </c>
      <c r="AE3496" s="10">
        <f>REPT(" ",10)</f>
        <v/>
      </c>
      <c r="AF3496" s="10">
        <f>REPT(" ",20)</f>
        <v/>
      </c>
      <c r="AG3496" s="54">
        <f>REPT(" ",18-LEN(FIXED(F3496,2,TRUE)))&amp;FIXED(F3496,2,TRUE)</f>
        <v/>
      </c>
      <c r="AH3496" s="10">
        <f>LEN(AC3496)+LEN(AG3496)</f>
        <v/>
      </c>
      <c r="AI3496" s="10">
        <f>LEN(L3496)</f>
        <v/>
      </c>
    </row>
    <row r="3497">
      <c r="J3497" s="12">
        <f>IF(F3497&lt;&gt;0,"LANÇAR","")</f>
        <v/>
      </c>
      <c r="L3497" s="13">
        <f>N3497&amp;O3497&amp;P3497&amp;Q3497&amp;R3497&amp;S3497&amp;T3497&amp;U3497&amp;V3497&amp;W3497&amp;X3497&amp;Y3497&amp;Z3497&amp;AA3497&amp;AB3497&amp;AC3497&amp;AD3497&amp;AE3497&amp;AF3497&amp;AG3497</f>
        <v/>
      </c>
      <c r="N3497" s="10">
        <f>TEXT($B$6,"00")</f>
        <v/>
      </c>
      <c r="O3497" s="10">
        <f>REPT(" ",8)</f>
        <v/>
      </c>
      <c r="P3497" s="10">
        <f>RIGHT($B$4,2)</f>
        <v/>
      </c>
      <c r="Q3497" s="10">
        <f>RIGHT($B$5,3)</f>
        <v/>
      </c>
      <c r="R3497" s="10">
        <f>IF(A3497="D",LEFT(UPPER(B3497)&amp;REPT(" ",20),20),REPT(" ",20))</f>
        <v/>
      </c>
      <c r="S3497" s="10">
        <f>IF(A3497="D",LEFT(UPPER(C3497)&amp;REPT(" ",10),10)," ")</f>
        <v/>
      </c>
      <c r="T3497" s="10">
        <f>IF(A3497="D",LEFT(UPPER(D3497)&amp;REPT(" ",2),2)," ")</f>
        <v/>
      </c>
      <c r="U3497" s="10">
        <f>IF(A3497="D",LEFT(UPPER(E3497)&amp;REPT(" ",15),15)," ")</f>
        <v/>
      </c>
      <c r="V3497" s="10">
        <f>REPT(" ",24)</f>
        <v/>
      </c>
      <c r="W3497" s="10">
        <f>IF(A3497="c",LEFT(UPPER(B3497)&amp;REPT(" ",20),20),REPT(" ",20))</f>
        <v/>
      </c>
      <c r="X3497" s="10">
        <f>IF(A3497="C",LEFT(UPPER(C3497)&amp;REPT(" ",10),10)," ")</f>
        <v/>
      </c>
      <c r="Y3497" s="10">
        <f>IF(A3497="C",LEFT(UPPER(D3497)&amp;REPT(" ",2),2)," ")</f>
        <v/>
      </c>
      <c r="Z3497" s="10">
        <f>IF(A3497="C",LEFT(UPPER(E3497)&amp;REPT(" ",15),15)," ")</f>
        <v/>
      </c>
      <c r="AA3497" s="10">
        <f>REPT(" ",8)</f>
        <v/>
      </c>
      <c r="AB3497" s="10">
        <f>REPT(" ",4)</f>
        <v/>
      </c>
      <c r="AC3497" s="10">
        <f>LEFT(UPPER(H3497)&amp;REPT(" ",250),250)</f>
        <v/>
      </c>
      <c r="AD3497" s="10">
        <f>TEXT($G$2,"dd/mm/aaaa")</f>
        <v/>
      </c>
      <c r="AE3497" s="10">
        <f>REPT(" ",10)</f>
        <v/>
      </c>
      <c r="AF3497" s="10">
        <f>REPT(" ",20)</f>
        <v/>
      </c>
      <c r="AG3497" s="54">
        <f>REPT(" ",18-LEN(FIXED(F3497,2,TRUE)))&amp;FIXED(F3497,2,TRUE)</f>
        <v/>
      </c>
      <c r="AH3497" s="10">
        <f>LEN(AC3497)+LEN(AG3497)</f>
        <v/>
      </c>
      <c r="AI3497" s="10">
        <f>LEN(L3497)</f>
        <v/>
      </c>
    </row>
    <row r="3498">
      <c r="J3498" s="12">
        <f>IF(F3498&lt;&gt;0,"LANÇAR","")</f>
        <v/>
      </c>
      <c r="L3498" s="13">
        <f>N3498&amp;O3498&amp;P3498&amp;Q3498&amp;R3498&amp;S3498&amp;T3498&amp;U3498&amp;V3498&amp;W3498&amp;X3498&amp;Y3498&amp;Z3498&amp;AA3498&amp;AB3498&amp;AC3498&amp;AD3498&amp;AE3498&amp;AF3498&amp;AG3498</f>
        <v/>
      </c>
      <c r="N3498" s="10">
        <f>TEXT($B$6,"00")</f>
        <v/>
      </c>
      <c r="O3498" s="10">
        <f>REPT(" ",8)</f>
        <v/>
      </c>
      <c r="P3498" s="10">
        <f>RIGHT($B$4,2)</f>
        <v/>
      </c>
      <c r="Q3498" s="10">
        <f>RIGHT($B$5,3)</f>
        <v/>
      </c>
      <c r="R3498" s="10">
        <f>IF(A3498="D",LEFT(UPPER(B3498)&amp;REPT(" ",20),20),REPT(" ",20))</f>
        <v/>
      </c>
      <c r="S3498" s="10">
        <f>IF(A3498="D",LEFT(UPPER(C3498)&amp;REPT(" ",10),10)," ")</f>
        <v/>
      </c>
      <c r="T3498" s="10">
        <f>IF(A3498="D",LEFT(UPPER(D3498)&amp;REPT(" ",2),2)," ")</f>
        <v/>
      </c>
      <c r="U3498" s="10">
        <f>IF(A3498="D",LEFT(UPPER(E3498)&amp;REPT(" ",15),15)," ")</f>
        <v/>
      </c>
      <c r="V3498" s="10">
        <f>REPT(" ",24)</f>
        <v/>
      </c>
      <c r="W3498" s="10">
        <f>IF(A3498="c",LEFT(UPPER(B3498)&amp;REPT(" ",20),20),REPT(" ",20))</f>
        <v/>
      </c>
      <c r="X3498" s="10">
        <f>IF(A3498="C",LEFT(UPPER(C3498)&amp;REPT(" ",10),10)," ")</f>
        <v/>
      </c>
      <c r="Y3498" s="10">
        <f>IF(A3498="C",LEFT(UPPER(D3498)&amp;REPT(" ",2),2)," ")</f>
        <v/>
      </c>
      <c r="Z3498" s="10">
        <f>IF(A3498="C",LEFT(UPPER(E3498)&amp;REPT(" ",15),15)," ")</f>
        <v/>
      </c>
      <c r="AA3498" s="10">
        <f>REPT(" ",8)</f>
        <v/>
      </c>
      <c r="AB3498" s="10">
        <f>REPT(" ",4)</f>
        <v/>
      </c>
      <c r="AC3498" s="10">
        <f>LEFT(UPPER(H3498)&amp;REPT(" ",250),250)</f>
        <v/>
      </c>
      <c r="AD3498" s="10">
        <f>TEXT($G$2,"dd/mm/aaaa")</f>
        <v/>
      </c>
      <c r="AE3498" s="10">
        <f>REPT(" ",10)</f>
        <v/>
      </c>
      <c r="AF3498" s="10">
        <f>REPT(" ",20)</f>
        <v/>
      </c>
      <c r="AG3498" s="54">
        <f>REPT(" ",18-LEN(FIXED(F3498,2,TRUE)))&amp;FIXED(F3498,2,TRUE)</f>
        <v/>
      </c>
      <c r="AH3498" s="10">
        <f>LEN(AC3498)+LEN(AG3498)</f>
        <v/>
      </c>
      <c r="AI3498" s="10">
        <f>LEN(L3498)</f>
        <v/>
      </c>
    </row>
    <row r="3499">
      <c r="J3499" s="12">
        <f>IF(F3499&lt;&gt;0,"LANÇAR","")</f>
        <v/>
      </c>
      <c r="L3499" s="13">
        <f>N3499&amp;O3499&amp;P3499&amp;Q3499&amp;R3499&amp;S3499&amp;T3499&amp;U3499&amp;V3499&amp;W3499&amp;X3499&amp;Y3499&amp;Z3499&amp;AA3499&amp;AB3499&amp;AC3499&amp;AD3499&amp;AE3499&amp;AF3499&amp;AG3499</f>
        <v/>
      </c>
      <c r="N3499" s="10">
        <f>TEXT($B$6,"00")</f>
        <v/>
      </c>
      <c r="O3499" s="10">
        <f>REPT(" ",8)</f>
        <v/>
      </c>
      <c r="P3499" s="10">
        <f>RIGHT($B$4,2)</f>
        <v/>
      </c>
      <c r="Q3499" s="10">
        <f>RIGHT($B$5,3)</f>
        <v/>
      </c>
      <c r="R3499" s="10">
        <f>IF(A3499="D",LEFT(UPPER(B3499)&amp;REPT(" ",20),20),REPT(" ",20))</f>
        <v/>
      </c>
      <c r="S3499" s="10">
        <f>IF(A3499="D",LEFT(UPPER(C3499)&amp;REPT(" ",10),10)," ")</f>
        <v/>
      </c>
      <c r="T3499" s="10">
        <f>IF(A3499="D",LEFT(UPPER(D3499)&amp;REPT(" ",2),2)," ")</f>
        <v/>
      </c>
      <c r="U3499" s="10">
        <f>IF(A3499="D",LEFT(UPPER(E3499)&amp;REPT(" ",15),15)," ")</f>
        <v/>
      </c>
      <c r="V3499" s="10">
        <f>REPT(" ",24)</f>
        <v/>
      </c>
      <c r="W3499" s="10">
        <f>IF(A3499="c",LEFT(UPPER(B3499)&amp;REPT(" ",20),20),REPT(" ",20))</f>
        <v/>
      </c>
      <c r="X3499" s="10">
        <f>IF(A3499="C",LEFT(UPPER(C3499)&amp;REPT(" ",10),10)," ")</f>
        <v/>
      </c>
      <c r="Y3499" s="10">
        <f>IF(A3499="C",LEFT(UPPER(D3499)&amp;REPT(" ",2),2)," ")</f>
        <v/>
      </c>
      <c r="Z3499" s="10">
        <f>IF(A3499="C",LEFT(UPPER(E3499)&amp;REPT(" ",15),15)," ")</f>
        <v/>
      </c>
      <c r="AA3499" s="10">
        <f>REPT(" ",8)</f>
        <v/>
      </c>
      <c r="AB3499" s="10">
        <f>REPT(" ",4)</f>
        <v/>
      </c>
      <c r="AC3499" s="10">
        <f>LEFT(UPPER(H3499)&amp;REPT(" ",250),250)</f>
        <v/>
      </c>
      <c r="AD3499" s="10">
        <f>TEXT($G$2,"dd/mm/aaaa")</f>
        <v/>
      </c>
      <c r="AE3499" s="10">
        <f>REPT(" ",10)</f>
        <v/>
      </c>
      <c r="AF3499" s="10">
        <f>REPT(" ",20)</f>
        <v/>
      </c>
      <c r="AG3499" s="54">
        <f>REPT(" ",18-LEN(FIXED(F3499,2,TRUE)))&amp;FIXED(F3499,2,TRUE)</f>
        <v/>
      </c>
      <c r="AH3499" s="10">
        <f>LEN(AC3499)+LEN(AG3499)</f>
        <v/>
      </c>
      <c r="AI3499" s="10">
        <f>LEN(L3499)</f>
        <v/>
      </c>
    </row>
    <row r="3500">
      <c r="J3500" s="12">
        <f>IF(F3500&lt;&gt;0,"LANÇAR","")</f>
        <v/>
      </c>
      <c r="L3500" s="13">
        <f>N3500&amp;O3500&amp;P3500&amp;Q3500&amp;R3500&amp;S3500&amp;T3500&amp;U3500&amp;V3500&amp;W3500&amp;X3500&amp;Y3500&amp;Z3500&amp;AA3500&amp;AB3500&amp;AC3500&amp;AD3500&amp;AE3500&amp;AF3500&amp;AG3500</f>
        <v/>
      </c>
      <c r="N3500" s="10">
        <f>TEXT($B$6,"00")</f>
        <v/>
      </c>
      <c r="O3500" s="10">
        <f>REPT(" ",8)</f>
        <v/>
      </c>
      <c r="P3500" s="10">
        <f>RIGHT($B$4,2)</f>
        <v/>
      </c>
      <c r="Q3500" s="10">
        <f>RIGHT($B$5,3)</f>
        <v/>
      </c>
      <c r="R3500" s="10">
        <f>IF(A3500="D",LEFT(UPPER(B3500)&amp;REPT(" ",20),20),REPT(" ",20))</f>
        <v/>
      </c>
      <c r="S3500" s="10">
        <f>IF(A3500="D",LEFT(UPPER(C3500)&amp;REPT(" ",10),10)," ")</f>
        <v/>
      </c>
      <c r="T3500" s="10">
        <f>IF(A3500="D",LEFT(UPPER(D3500)&amp;REPT(" ",2),2)," ")</f>
        <v/>
      </c>
      <c r="U3500" s="10">
        <f>IF(A3500="D",LEFT(UPPER(E3500)&amp;REPT(" ",15),15)," ")</f>
        <v/>
      </c>
      <c r="V3500" s="10">
        <f>REPT(" ",24)</f>
        <v/>
      </c>
      <c r="W3500" s="10">
        <f>IF(A3500="c",LEFT(UPPER(B3500)&amp;REPT(" ",20),20),REPT(" ",20))</f>
        <v/>
      </c>
      <c r="X3500" s="10">
        <f>IF(A3500="C",LEFT(UPPER(C3500)&amp;REPT(" ",10),10)," ")</f>
        <v/>
      </c>
      <c r="Y3500" s="10">
        <f>IF(A3500="C",LEFT(UPPER(D3500)&amp;REPT(" ",2),2)," ")</f>
        <v/>
      </c>
      <c r="Z3500" s="10">
        <f>IF(A3500="C",LEFT(UPPER(E3500)&amp;REPT(" ",15),15)," ")</f>
        <v/>
      </c>
      <c r="AA3500" s="10">
        <f>REPT(" ",8)</f>
        <v/>
      </c>
      <c r="AB3500" s="10">
        <f>REPT(" ",4)</f>
        <v/>
      </c>
      <c r="AC3500" s="10">
        <f>LEFT(UPPER(H3500)&amp;REPT(" ",250),250)</f>
        <v/>
      </c>
      <c r="AD3500" s="10">
        <f>TEXT($G$2,"dd/mm/aaaa")</f>
        <v/>
      </c>
      <c r="AE3500" s="10">
        <f>REPT(" ",10)</f>
        <v/>
      </c>
      <c r="AF3500" s="10">
        <f>REPT(" ",20)</f>
        <v/>
      </c>
      <c r="AG3500" s="54">
        <f>REPT(" ",18-LEN(FIXED(F3500,2,TRUE)))&amp;FIXED(F3500,2,TRUE)</f>
        <v/>
      </c>
      <c r="AH3500" s="10">
        <f>LEN(AC3500)+LEN(AG3500)</f>
        <v/>
      </c>
      <c r="AI3500" s="10">
        <f>LEN(L3500)</f>
        <v/>
      </c>
    </row>
    <row r="3501">
      <c r="J3501" s="12">
        <f>IF(F3501&lt;&gt;0,"LANÇAR","")</f>
        <v/>
      </c>
      <c r="L3501" s="13">
        <f>N3501&amp;O3501&amp;P3501&amp;Q3501&amp;R3501&amp;S3501&amp;T3501&amp;U3501&amp;V3501&amp;W3501&amp;X3501&amp;Y3501&amp;Z3501&amp;AA3501&amp;AB3501&amp;AC3501&amp;AD3501&amp;AE3501&amp;AF3501&amp;AG3501</f>
        <v/>
      </c>
      <c r="N3501" s="10">
        <f>TEXT($B$6,"00")</f>
        <v/>
      </c>
      <c r="O3501" s="10">
        <f>REPT(" ",8)</f>
        <v/>
      </c>
      <c r="P3501" s="10">
        <f>RIGHT($B$4,2)</f>
        <v/>
      </c>
      <c r="Q3501" s="10">
        <f>RIGHT($B$5,3)</f>
        <v/>
      </c>
      <c r="R3501" s="10">
        <f>IF(A3501="D",LEFT(UPPER(B3501)&amp;REPT(" ",20),20),REPT(" ",20))</f>
        <v/>
      </c>
      <c r="S3501" s="10">
        <f>IF(A3501="D",LEFT(UPPER(C3501)&amp;REPT(" ",10),10)," ")</f>
        <v/>
      </c>
      <c r="T3501" s="10">
        <f>IF(A3501="D",LEFT(UPPER(D3501)&amp;REPT(" ",2),2)," ")</f>
        <v/>
      </c>
      <c r="U3501" s="10">
        <f>IF(A3501="D",LEFT(UPPER(E3501)&amp;REPT(" ",15),15)," ")</f>
        <v/>
      </c>
      <c r="V3501" s="10">
        <f>REPT(" ",24)</f>
        <v/>
      </c>
      <c r="W3501" s="10">
        <f>IF(A3501="c",LEFT(UPPER(B3501)&amp;REPT(" ",20),20),REPT(" ",20))</f>
        <v/>
      </c>
      <c r="X3501" s="10">
        <f>IF(A3501="C",LEFT(UPPER(C3501)&amp;REPT(" ",10),10)," ")</f>
        <v/>
      </c>
      <c r="Y3501" s="10">
        <f>IF(A3501="C",LEFT(UPPER(D3501)&amp;REPT(" ",2),2)," ")</f>
        <v/>
      </c>
      <c r="Z3501" s="10">
        <f>IF(A3501="C",LEFT(UPPER(E3501)&amp;REPT(" ",15),15)," ")</f>
        <v/>
      </c>
      <c r="AA3501" s="10">
        <f>REPT(" ",8)</f>
        <v/>
      </c>
      <c r="AB3501" s="10">
        <f>REPT(" ",4)</f>
        <v/>
      </c>
      <c r="AC3501" s="10">
        <f>LEFT(UPPER(H3501)&amp;REPT(" ",250),250)</f>
        <v/>
      </c>
      <c r="AD3501" s="10">
        <f>TEXT($G$2,"dd/mm/aaaa")</f>
        <v/>
      </c>
      <c r="AE3501" s="10">
        <f>REPT(" ",10)</f>
        <v/>
      </c>
      <c r="AF3501" s="10">
        <f>REPT(" ",20)</f>
        <v/>
      </c>
      <c r="AG3501" s="54">
        <f>REPT(" ",18-LEN(FIXED(F3501,2,TRUE)))&amp;FIXED(F3501,2,TRUE)</f>
        <v/>
      </c>
      <c r="AH3501" s="10">
        <f>LEN(AC3501)+LEN(AG3501)</f>
        <v/>
      </c>
      <c r="AI3501" s="10">
        <f>LEN(L3501)</f>
        <v/>
      </c>
    </row>
    <row r="3502">
      <c r="J3502" s="12">
        <f>IF(F3502&lt;&gt;0,"LANÇAR","")</f>
        <v/>
      </c>
      <c r="L3502" s="13">
        <f>N3502&amp;O3502&amp;P3502&amp;Q3502&amp;R3502&amp;S3502&amp;T3502&amp;U3502&amp;V3502&amp;W3502&amp;X3502&amp;Y3502&amp;Z3502&amp;AA3502&amp;AB3502&amp;AC3502&amp;AD3502&amp;AE3502&amp;AF3502&amp;AG3502</f>
        <v/>
      </c>
      <c r="N3502" s="10">
        <f>TEXT($B$6,"00")</f>
        <v/>
      </c>
      <c r="O3502" s="10">
        <f>REPT(" ",8)</f>
        <v/>
      </c>
      <c r="P3502" s="10">
        <f>RIGHT($B$4,2)</f>
        <v/>
      </c>
      <c r="Q3502" s="10">
        <f>RIGHT($B$5,3)</f>
        <v/>
      </c>
      <c r="R3502" s="10">
        <f>IF(A3502="D",LEFT(UPPER(B3502)&amp;REPT(" ",20),20),REPT(" ",20))</f>
        <v/>
      </c>
      <c r="S3502" s="10">
        <f>IF(A3502="D",LEFT(UPPER(C3502)&amp;REPT(" ",10),10)," ")</f>
        <v/>
      </c>
      <c r="T3502" s="10">
        <f>IF(A3502="D",LEFT(UPPER(D3502)&amp;REPT(" ",2),2)," ")</f>
        <v/>
      </c>
      <c r="U3502" s="10">
        <f>IF(A3502="D",LEFT(UPPER(E3502)&amp;REPT(" ",15),15)," ")</f>
        <v/>
      </c>
      <c r="V3502" s="10">
        <f>REPT(" ",24)</f>
        <v/>
      </c>
      <c r="W3502" s="10">
        <f>IF(A3502="c",LEFT(UPPER(B3502)&amp;REPT(" ",20),20),REPT(" ",20))</f>
        <v/>
      </c>
      <c r="X3502" s="10">
        <f>IF(A3502="C",LEFT(UPPER(C3502)&amp;REPT(" ",10),10)," ")</f>
        <v/>
      </c>
      <c r="Y3502" s="10">
        <f>IF(A3502="C",LEFT(UPPER(D3502)&amp;REPT(" ",2),2)," ")</f>
        <v/>
      </c>
      <c r="Z3502" s="10">
        <f>IF(A3502="C",LEFT(UPPER(E3502)&amp;REPT(" ",15),15)," ")</f>
        <v/>
      </c>
      <c r="AA3502" s="10">
        <f>REPT(" ",8)</f>
        <v/>
      </c>
      <c r="AB3502" s="10">
        <f>REPT(" ",4)</f>
        <v/>
      </c>
      <c r="AC3502" s="10">
        <f>LEFT(UPPER(H3502)&amp;REPT(" ",250),250)</f>
        <v/>
      </c>
      <c r="AD3502" s="10">
        <f>TEXT($G$2,"dd/mm/aaaa")</f>
        <v/>
      </c>
      <c r="AE3502" s="10">
        <f>REPT(" ",10)</f>
        <v/>
      </c>
      <c r="AF3502" s="10">
        <f>REPT(" ",20)</f>
        <v/>
      </c>
      <c r="AG3502" s="54">
        <f>REPT(" ",18-LEN(FIXED(F3502,2,TRUE)))&amp;FIXED(F3502,2,TRUE)</f>
        <v/>
      </c>
      <c r="AH3502" s="10">
        <f>LEN(AC3502)+LEN(AG3502)</f>
        <v/>
      </c>
      <c r="AI3502" s="10">
        <f>LEN(L3502)</f>
        <v/>
      </c>
    </row>
    <row r="3503">
      <c r="J3503" s="12">
        <f>IF(F3503&lt;&gt;0,"LANÇAR","")</f>
        <v/>
      </c>
      <c r="L3503" s="13">
        <f>N3503&amp;O3503&amp;P3503&amp;Q3503&amp;R3503&amp;S3503&amp;T3503&amp;U3503&amp;V3503&amp;W3503&amp;X3503&amp;Y3503&amp;Z3503&amp;AA3503&amp;AB3503&amp;AC3503&amp;AD3503&amp;AE3503&amp;AF3503&amp;AG3503</f>
        <v/>
      </c>
      <c r="N3503" s="10">
        <f>TEXT($B$6,"00")</f>
        <v/>
      </c>
      <c r="O3503" s="10">
        <f>REPT(" ",8)</f>
        <v/>
      </c>
      <c r="P3503" s="10">
        <f>RIGHT($B$4,2)</f>
        <v/>
      </c>
      <c r="Q3503" s="10">
        <f>RIGHT($B$5,3)</f>
        <v/>
      </c>
      <c r="R3503" s="10">
        <f>IF(A3503="D",LEFT(UPPER(B3503)&amp;REPT(" ",20),20),REPT(" ",20))</f>
        <v/>
      </c>
      <c r="S3503" s="10">
        <f>IF(A3503="D",LEFT(UPPER(C3503)&amp;REPT(" ",10),10)," ")</f>
        <v/>
      </c>
      <c r="T3503" s="10">
        <f>IF(A3503="D",LEFT(UPPER(D3503)&amp;REPT(" ",2),2)," ")</f>
        <v/>
      </c>
      <c r="U3503" s="10">
        <f>IF(A3503="D",LEFT(UPPER(E3503)&amp;REPT(" ",15),15)," ")</f>
        <v/>
      </c>
      <c r="V3503" s="10">
        <f>REPT(" ",24)</f>
        <v/>
      </c>
      <c r="W3503" s="10">
        <f>IF(A3503="c",LEFT(UPPER(B3503)&amp;REPT(" ",20),20),REPT(" ",20))</f>
        <v/>
      </c>
      <c r="X3503" s="10">
        <f>IF(A3503="C",LEFT(UPPER(C3503)&amp;REPT(" ",10),10)," ")</f>
        <v/>
      </c>
      <c r="Y3503" s="10">
        <f>IF(A3503="C",LEFT(UPPER(D3503)&amp;REPT(" ",2),2)," ")</f>
        <v/>
      </c>
      <c r="Z3503" s="10">
        <f>IF(A3503="C",LEFT(UPPER(E3503)&amp;REPT(" ",15),15)," ")</f>
        <v/>
      </c>
      <c r="AA3503" s="10">
        <f>REPT(" ",8)</f>
        <v/>
      </c>
      <c r="AB3503" s="10">
        <f>REPT(" ",4)</f>
        <v/>
      </c>
      <c r="AC3503" s="10">
        <f>LEFT(UPPER(H3503)&amp;REPT(" ",250),250)</f>
        <v/>
      </c>
      <c r="AD3503" s="10">
        <f>TEXT($G$2,"dd/mm/aaaa")</f>
        <v/>
      </c>
      <c r="AE3503" s="10">
        <f>REPT(" ",10)</f>
        <v/>
      </c>
      <c r="AF3503" s="10">
        <f>REPT(" ",20)</f>
        <v/>
      </c>
      <c r="AG3503" s="54">
        <f>REPT(" ",18-LEN(FIXED(F3503,2,TRUE)))&amp;FIXED(F3503,2,TRUE)</f>
        <v/>
      </c>
      <c r="AH3503" s="10">
        <f>LEN(AC3503)+LEN(AG3503)</f>
        <v/>
      </c>
      <c r="AI3503" s="10">
        <f>LEN(L3503)</f>
        <v/>
      </c>
    </row>
    <row r="3504">
      <c r="J3504" s="12">
        <f>IF(F3504&lt;&gt;0,"LANÇAR","")</f>
        <v/>
      </c>
      <c r="L3504" s="13">
        <f>N3504&amp;O3504&amp;P3504&amp;Q3504&amp;R3504&amp;S3504&amp;T3504&amp;U3504&amp;V3504&amp;W3504&amp;X3504&amp;Y3504&amp;Z3504&amp;AA3504&amp;AB3504&amp;AC3504&amp;AD3504&amp;AE3504&amp;AF3504&amp;AG3504</f>
        <v/>
      </c>
      <c r="N3504" s="10">
        <f>TEXT($B$6,"00")</f>
        <v/>
      </c>
      <c r="O3504" s="10">
        <f>REPT(" ",8)</f>
        <v/>
      </c>
      <c r="P3504" s="10">
        <f>RIGHT($B$4,2)</f>
        <v/>
      </c>
      <c r="Q3504" s="10">
        <f>RIGHT($B$5,3)</f>
        <v/>
      </c>
      <c r="R3504" s="10">
        <f>IF(A3504="D",LEFT(UPPER(B3504)&amp;REPT(" ",20),20),REPT(" ",20))</f>
        <v/>
      </c>
      <c r="S3504" s="10">
        <f>IF(A3504="D",LEFT(UPPER(C3504)&amp;REPT(" ",10),10)," ")</f>
        <v/>
      </c>
      <c r="T3504" s="10">
        <f>IF(A3504="D",LEFT(UPPER(D3504)&amp;REPT(" ",2),2)," ")</f>
        <v/>
      </c>
      <c r="U3504" s="10">
        <f>IF(A3504="D",LEFT(UPPER(E3504)&amp;REPT(" ",15),15)," ")</f>
        <v/>
      </c>
      <c r="V3504" s="10">
        <f>REPT(" ",24)</f>
        <v/>
      </c>
      <c r="W3504" s="10">
        <f>IF(A3504="c",LEFT(UPPER(B3504)&amp;REPT(" ",20),20),REPT(" ",20))</f>
        <v/>
      </c>
      <c r="X3504" s="10">
        <f>IF(A3504="C",LEFT(UPPER(C3504)&amp;REPT(" ",10),10)," ")</f>
        <v/>
      </c>
      <c r="Y3504" s="10">
        <f>IF(A3504="C",LEFT(UPPER(D3504)&amp;REPT(" ",2),2)," ")</f>
        <v/>
      </c>
      <c r="Z3504" s="10">
        <f>IF(A3504="C",LEFT(UPPER(E3504)&amp;REPT(" ",15),15)," ")</f>
        <v/>
      </c>
      <c r="AA3504" s="10">
        <f>REPT(" ",8)</f>
        <v/>
      </c>
      <c r="AB3504" s="10">
        <f>REPT(" ",4)</f>
        <v/>
      </c>
      <c r="AC3504" s="10">
        <f>LEFT(UPPER(H3504)&amp;REPT(" ",250),250)</f>
        <v/>
      </c>
      <c r="AD3504" s="10">
        <f>TEXT($G$2,"dd/mm/aaaa")</f>
        <v/>
      </c>
      <c r="AE3504" s="10">
        <f>REPT(" ",10)</f>
        <v/>
      </c>
      <c r="AF3504" s="10">
        <f>REPT(" ",20)</f>
        <v/>
      </c>
      <c r="AG3504" s="54">
        <f>REPT(" ",18-LEN(FIXED(F3504,2,TRUE)))&amp;FIXED(F3504,2,TRUE)</f>
        <v/>
      </c>
      <c r="AH3504" s="10">
        <f>LEN(AC3504)+LEN(AG3504)</f>
        <v/>
      </c>
      <c r="AI3504" s="10">
        <f>LEN(L3504)</f>
        <v/>
      </c>
    </row>
    <row r="3505">
      <c r="J3505" s="12">
        <f>IF(F3505&lt;&gt;0,"LANÇAR","")</f>
        <v/>
      </c>
      <c r="L3505" s="13">
        <f>N3505&amp;O3505&amp;P3505&amp;Q3505&amp;R3505&amp;S3505&amp;T3505&amp;U3505&amp;V3505&amp;W3505&amp;X3505&amp;Y3505&amp;Z3505&amp;AA3505&amp;AB3505&amp;AC3505&amp;AD3505&amp;AE3505&amp;AF3505&amp;AG3505</f>
        <v/>
      </c>
      <c r="N3505" s="10">
        <f>TEXT($B$6,"00")</f>
        <v/>
      </c>
      <c r="O3505" s="10">
        <f>REPT(" ",8)</f>
        <v/>
      </c>
      <c r="P3505" s="10">
        <f>RIGHT($B$4,2)</f>
        <v/>
      </c>
      <c r="Q3505" s="10">
        <f>RIGHT($B$5,3)</f>
        <v/>
      </c>
      <c r="R3505" s="10">
        <f>IF(A3505="D",LEFT(UPPER(B3505)&amp;REPT(" ",20),20),REPT(" ",20))</f>
        <v/>
      </c>
      <c r="S3505" s="10">
        <f>IF(A3505="D",LEFT(UPPER(C3505)&amp;REPT(" ",10),10)," ")</f>
        <v/>
      </c>
      <c r="T3505" s="10">
        <f>IF(A3505="D",LEFT(UPPER(D3505)&amp;REPT(" ",2),2)," ")</f>
        <v/>
      </c>
      <c r="U3505" s="10">
        <f>IF(A3505="D",LEFT(UPPER(E3505)&amp;REPT(" ",15),15)," ")</f>
        <v/>
      </c>
      <c r="V3505" s="10">
        <f>REPT(" ",24)</f>
        <v/>
      </c>
      <c r="W3505" s="10">
        <f>IF(A3505="c",LEFT(UPPER(B3505)&amp;REPT(" ",20),20),REPT(" ",20))</f>
        <v/>
      </c>
      <c r="X3505" s="10">
        <f>IF(A3505="C",LEFT(UPPER(C3505)&amp;REPT(" ",10),10)," ")</f>
        <v/>
      </c>
      <c r="Y3505" s="10">
        <f>IF(A3505="C",LEFT(UPPER(D3505)&amp;REPT(" ",2),2)," ")</f>
        <v/>
      </c>
      <c r="Z3505" s="10">
        <f>IF(A3505="C",LEFT(UPPER(E3505)&amp;REPT(" ",15),15)," ")</f>
        <v/>
      </c>
      <c r="AA3505" s="10">
        <f>REPT(" ",8)</f>
        <v/>
      </c>
      <c r="AB3505" s="10">
        <f>REPT(" ",4)</f>
        <v/>
      </c>
      <c r="AC3505" s="10">
        <f>LEFT(UPPER(H3505)&amp;REPT(" ",250),250)</f>
        <v/>
      </c>
      <c r="AD3505" s="10">
        <f>TEXT($G$2,"dd/mm/aaaa")</f>
        <v/>
      </c>
      <c r="AE3505" s="10">
        <f>REPT(" ",10)</f>
        <v/>
      </c>
      <c r="AF3505" s="10">
        <f>REPT(" ",20)</f>
        <v/>
      </c>
      <c r="AG3505" s="54">
        <f>REPT(" ",18-LEN(FIXED(F3505,2,TRUE)))&amp;FIXED(F3505,2,TRUE)</f>
        <v/>
      </c>
      <c r="AH3505" s="10">
        <f>LEN(AC3505)+LEN(AG3505)</f>
        <v/>
      </c>
      <c r="AI3505" s="10">
        <f>LEN(L3505)</f>
        <v/>
      </c>
    </row>
    <row r="3506">
      <c r="J3506" s="12">
        <f>IF(F3506&lt;&gt;0,"LANÇAR","")</f>
        <v/>
      </c>
      <c r="L3506" s="13">
        <f>N3506&amp;O3506&amp;P3506&amp;Q3506&amp;R3506&amp;S3506&amp;T3506&amp;U3506&amp;V3506&amp;W3506&amp;X3506&amp;Y3506&amp;Z3506&amp;AA3506&amp;AB3506&amp;AC3506&amp;AD3506&amp;AE3506&amp;AF3506&amp;AG3506</f>
        <v/>
      </c>
      <c r="N3506" s="10">
        <f>TEXT($B$6,"00")</f>
        <v/>
      </c>
      <c r="O3506" s="10">
        <f>REPT(" ",8)</f>
        <v/>
      </c>
      <c r="P3506" s="10">
        <f>RIGHT($B$4,2)</f>
        <v/>
      </c>
      <c r="Q3506" s="10">
        <f>RIGHT($B$5,3)</f>
        <v/>
      </c>
      <c r="R3506" s="10">
        <f>IF(A3506="D",LEFT(UPPER(B3506)&amp;REPT(" ",20),20),REPT(" ",20))</f>
        <v/>
      </c>
      <c r="S3506" s="10">
        <f>IF(A3506="D",LEFT(UPPER(C3506)&amp;REPT(" ",10),10)," ")</f>
        <v/>
      </c>
      <c r="T3506" s="10">
        <f>IF(A3506="D",LEFT(UPPER(D3506)&amp;REPT(" ",2),2)," ")</f>
        <v/>
      </c>
      <c r="U3506" s="10">
        <f>IF(A3506="D",LEFT(UPPER(E3506)&amp;REPT(" ",15),15)," ")</f>
        <v/>
      </c>
      <c r="V3506" s="10">
        <f>REPT(" ",24)</f>
        <v/>
      </c>
      <c r="W3506" s="10">
        <f>IF(A3506="c",LEFT(UPPER(B3506)&amp;REPT(" ",20),20),REPT(" ",20))</f>
        <v/>
      </c>
      <c r="X3506" s="10">
        <f>IF(A3506="C",LEFT(UPPER(C3506)&amp;REPT(" ",10),10)," ")</f>
        <v/>
      </c>
      <c r="Y3506" s="10">
        <f>IF(A3506="C",LEFT(UPPER(D3506)&amp;REPT(" ",2),2)," ")</f>
        <v/>
      </c>
      <c r="Z3506" s="10">
        <f>IF(A3506="C",LEFT(UPPER(E3506)&amp;REPT(" ",15),15)," ")</f>
        <v/>
      </c>
      <c r="AA3506" s="10">
        <f>REPT(" ",8)</f>
        <v/>
      </c>
      <c r="AB3506" s="10">
        <f>REPT(" ",4)</f>
        <v/>
      </c>
      <c r="AC3506" s="10">
        <f>LEFT(UPPER(H3506)&amp;REPT(" ",250),250)</f>
        <v/>
      </c>
      <c r="AD3506" s="10">
        <f>TEXT($G$2,"dd/mm/aaaa")</f>
        <v/>
      </c>
      <c r="AE3506" s="10">
        <f>REPT(" ",10)</f>
        <v/>
      </c>
      <c r="AF3506" s="10">
        <f>REPT(" ",20)</f>
        <v/>
      </c>
      <c r="AG3506" s="54">
        <f>REPT(" ",18-LEN(FIXED(F3506,2,TRUE)))&amp;FIXED(F3506,2,TRUE)</f>
        <v/>
      </c>
      <c r="AH3506" s="10">
        <f>LEN(AC3506)+LEN(AG3506)</f>
        <v/>
      </c>
      <c r="AI3506" s="10">
        <f>LEN(L3506)</f>
        <v/>
      </c>
    </row>
    <row r="3507">
      <c r="J3507" s="12">
        <f>IF(F3507&lt;&gt;0,"LANÇAR","")</f>
        <v/>
      </c>
      <c r="L3507" s="13">
        <f>N3507&amp;O3507&amp;P3507&amp;Q3507&amp;R3507&amp;S3507&amp;T3507&amp;U3507&amp;V3507&amp;W3507&amp;X3507&amp;Y3507&amp;Z3507&amp;AA3507&amp;AB3507&amp;AC3507&amp;AD3507&amp;AE3507&amp;AF3507&amp;AG3507</f>
        <v/>
      </c>
      <c r="N3507" s="10">
        <f>TEXT($B$6,"00")</f>
        <v/>
      </c>
      <c r="O3507" s="10">
        <f>REPT(" ",8)</f>
        <v/>
      </c>
      <c r="P3507" s="10">
        <f>RIGHT($B$4,2)</f>
        <v/>
      </c>
      <c r="Q3507" s="10">
        <f>RIGHT($B$5,3)</f>
        <v/>
      </c>
      <c r="R3507" s="10">
        <f>IF(A3507="D",LEFT(UPPER(B3507)&amp;REPT(" ",20),20),REPT(" ",20))</f>
        <v/>
      </c>
      <c r="S3507" s="10">
        <f>IF(A3507="D",LEFT(UPPER(C3507)&amp;REPT(" ",10),10)," ")</f>
        <v/>
      </c>
      <c r="T3507" s="10">
        <f>IF(A3507="D",LEFT(UPPER(D3507)&amp;REPT(" ",2),2)," ")</f>
        <v/>
      </c>
      <c r="U3507" s="10">
        <f>IF(A3507="D",LEFT(UPPER(E3507)&amp;REPT(" ",15),15)," ")</f>
        <v/>
      </c>
      <c r="V3507" s="10">
        <f>REPT(" ",24)</f>
        <v/>
      </c>
      <c r="W3507" s="10">
        <f>IF(A3507="c",LEFT(UPPER(B3507)&amp;REPT(" ",20),20),REPT(" ",20))</f>
        <v/>
      </c>
      <c r="X3507" s="10">
        <f>IF(A3507="C",LEFT(UPPER(C3507)&amp;REPT(" ",10),10)," ")</f>
        <v/>
      </c>
      <c r="Y3507" s="10">
        <f>IF(A3507="C",LEFT(UPPER(D3507)&amp;REPT(" ",2),2)," ")</f>
        <v/>
      </c>
      <c r="Z3507" s="10">
        <f>IF(A3507="C",LEFT(UPPER(E3507)&amp;REPT(" ",15),15)," ")</f>
        <v/>
      </c>
      <c r="AA3507" s="10">
        <f>REPT(" ",8)</f>
        <v/>
      </c>
      <c r="AB3507" s="10">
        <f>REPT(" ",4)</f>
        <v/>
      </c>
      <c r="AC3507" s="10">
        <f>LEFT(UPPER(H3507)&amp;REPT(" ",250),250)</f>
        <v/>
      </c>
      <c r="AD3507" s="10">
        <f>TEXT($G$2,"dd/mm/aaaa")</f>
        <v/>
      </c>
      <c r="AE3507" s="10">
        <f>REPT(" ",10)</f>
        <v/>
      </c>
      <c r="AF3507" s="10">
        <f>REPT(" ",20)</f>
        <v/>
      </c>
      <c r="AG3507" s="54">
        <f>REPT(" ",18-LEN(FIXED(F3507,2,TRUE)))&amp;FIXED(F3507,2,TRUE)</f>
        <v/>
      </c>
      <c r="AH3507" s="10">
        <f>LEN(AC3507)+LEN(AG3507)</f>
        <v/>
      </c>
      <c r="AI3507" s="10">
        <f>LEN(L3507)</f>
        <v/>
      </c>
    </row>
    <row r="3508">
      <c r="J3508" s="12">
        <f>IF(F3508&lt;&gt;0,"LANÇAR","")</f>
        <v/>
      </c>
      <c r="L3508" s="13">
        <f>N3508&amp;O3508&amp;P3508&amp;Q3508&amp;R3508&amp;S3508&amp;T3508&amp;U3508&amp;V3508&amp;W3508&amp;X3508&amp;Y3508&amp;Z3508&amp;AA3508&amp;AB3508&amp;AC3508&amp;AD3508&amp;AE3508&amp;AF3508&amp;AG3508</f>
        <v/>
      </c>
      <c r="N3508" s="10">
        <f>TEXT($B$6,"00")</f>
        <v/>
      </c>
      <c r="O3508" s="10">
        <f>REPT(" ",8)</f>
        <v/>
      </c>
      <c r="P3508" s="10">
        <f>RIGHT($B$4,2)</f>
        <v/>
      </c>
      <c r="Q3508" s="10">
        <f>RIGHT($B$5,3)</f>
        <v/>
      </c>
      <c r="R3508" s="10">
        <f>IF(A3508="D",LEFT(UPPER(B3508)&amp;REPT(" ",20),20),REPT(" ",20))</f>
        <v/>
      </c>
      <c r="S3508" s="10">
        <f>IF(A3508="D",LEFT(UPPER(C3508)&amp;REPT(" ",10),10)," ")</f>
        <v/>
      </c>
      <c r="T3508" s="10">
        <f>IF(A3508="D",LEFT(UPPER(D3508)&amp;REPT(" ",2),2)," ")</f>
        <v/>
      </c>
      <c r="U3508" s="10">
        <f>IF(A3508="D",LEFT(UPPER(E3508)&amp;REPT(" ",15),15)," ")</f>
        <v/>
      </c>
      <c r="V3508" s="10">
        <f>REPT(" ",24)</f>
        <v/>
      </c>
      <c r="W3508" s="10">
        <f>IF(A3508="c",LEFT(UPPER(B3508)&amp;REPT(" ",20),20),REPT(" ",20))</f>
        <v/>
      </c>
      <c r="X3508" s="10">
        <f>IF(A3508="C",LEFT(UPPER(C3508)&amp;REPT(" ",10),10)," ")</f>
        <v/>
      </c>
      <c r="Y3508" s="10">
        <f>IF(A3508="C",LEFT(UPPER(D3508)&amp;REPT(" ",2),2)," ")</f>
        <v/>
      </c>
      <c r="Z3508" s="10">
        <f>IF(A3508="C",LEFT(UPPER(E3508)&amp;REPT(" ",15),15)," ")</f>
        <v/>
      </c>
      <c r="AA3508" s="10">
        <f>REPT(" ",8)</f>
        <v/>
      </c>
      <c r="AB3508" s="10">
        <f>REPT(" ",4)</f>
        <v/>
      </c>
      <c r="AC3508" s="10">
        <f>LEFT(UPPER(H3508)&amp;REPT(" ",250),250)</f>
        <v/>
      </c>
      <c r="AD3508" s="10">
        <f>TEXT($G$2,"dd/mm/aaaa")</f>
        <v/>
      </c>
      <c r="AE3508" s="10">
        <f>REPT(" ",10)</f>
        <v/>
      </c>
      <c r="AF3508" s="10">
        <f>REPT(" ",20)</f>
        <v/>
      </c>
      <c r="AG3508" s="54">
        <f>REPT(" ",18-LEN(FIXED(F3508,2,TRUE)))&amp;FIXED(F3508,2,TRUE)</f>
        <v/>
      </c>
      <c r="AH3508" s="10">
        <f>LEN(AC3508)+LEN(AG3508)</f>
        <v/>
      </c>
      <c r="AI3508" s="10">
        <f>LEN(L3508)</f>
        <v/>
      </c>
    </row>
    <row r="3509">
      <c r="J3509" s="12">
        <f>IF(F3509&lt;&gt;0,"LANÇAR","")</f>
        <v/>
      </c>
      <c r="L3509" s="13">
        <f>N3509&amp;O3509&amp;P3509&amp;Q3509&amp;R3509&amp;S3509&amp;T3509&amp;U3509&amp;V3509&amp;W3509&amp;X3509&amp;Y3509&amp;Z3509&amp;AA3509&amp;AB3509&amp;AC3509&amp;AD3509&amp;AE3509&amp;AF3509&amp;AG3509</f>
        <v/>
      </c>
      <c r="N3509" s="10">
        <f>TEXT($B$6,"00")</f>
        <v/>
      </c>
      <c r="O3509" s="10">
        <f>REPT(" ",8)</f>
        <v/>
      </c>
      <c r="P3509" s="10">
        <f>RIGHT($B$4,2)</f>
        <v/>
      </c>
      <c r="Q3509" s="10">
        <f>RIGHT($B$5,3)</f>
        <v/>
      </c>
      <c r="R3509" s="10">
        <f>IF(A3509="D",LEFT(UPPER(B3509)&amp;REPT(" ",20),20),REPT(" ",20))</f>
        <v/>
      </c>
      <c r="S3509" s="10">
        <f>IF(A3509="D",LEFT(UPPER(C3509)&amp;REPT(" ",10),10)," ")</f>
        <v/>
      </c>
      <c r="T3509" s="10">
        <f>IF(A3509="D",LEFT(UPPER(D3509)&amp;REPT(" ",2),2)," ")</f>
        <v/>
      </c>
      <c r="U3509" s="10">
        <f>IF(A3509="D",LEFT(UPPER(E3509)&amp;REPT(" ",15),15)," ")</f>
        <v/>
      </c>
      <c r="V3509" s="10">
        <f>REPT(" ",24)</f>
        <v/>
      </c>
      <c r="W3509" s="10">
        <f>IF(A3509="c",LEFT(UPPER(B3509)&amp;REPT(" ",20),20),REPT(" ",20))</f>
        <v/>
      </c>
      <c r="X3509" s="10">
        <f>IF(A3509="C",LEFT(UPPER(C3509)&amp;REPT(" ",10),10)," ")</f>
        <v/>
      </c>
      <c r="Y3509" s="10">
        <f>IF(A3509="C",LEFT(UPPER(D3509)&amp;REPT(" ",2),2)," ")</f>
        <v/>
      </c>
      <c r="Z3509" s="10">
        <f>IF(A3509="C",LEFT(UPPER(E3509)&amp;REPT(" ",15),15)," ")</f>
        <v/>
      </c>
      <c r="AA3509" s="10">
        <f>REPT(" ",8)</f>
        <v/>
      </c>
      <c r="AB3509" s="10">
        <f>REPT(" ",4)</f>
        <v/>
      </c>
      <c r="AC3509" s="10">
        <f>LEFT(UPPER(H3509)&amp;REPT(" ",250),250)</f>
        <v/>
      </c>
      <c r="AD3509" s="10">
        <f>TEXT($G$2,"dd/mm/aaaa")</f>
        <v/>
      </c>
      <c r="AE3509" s="10">
        <f>REPT(" ",10)</f>
        <v/>
      </c>
      <c r="AF3509" s="10">
        <f>REPT(" ",20)</f>
        <v/>
      </c>
      <c r="AG3509" s="54">
        <f>REPT(" ",18-LEN(FIXED(F3509,2,TRUE)))&amp;FIXED(F3509,2,TRUE)</f>
        <v/>
      </c>
      <c r="AH3509" s="10">
        <f>LEN(AC3509)+LEN(AG3509)</f>
        <v/>
      </c>
      <c r="AI3509" s="10">
        <f>LEN(L3509)</f>
        <v/>
      </c>
    </row>
    <row r="3510">
      <c r="J3510" s="12">
        <f>IF(F3510&lt;&gt;0,"LANÇAR","")</f>
        <v/>
      </c>
      <c r="L3510" s="13">
        <f>N3510&amp;O3510&amp;P3510&amp;Q3510&amp;R3510&amp;S3510&amp;T3510&amp;U3510&amp;V3510&amp;W3510&amp;X3510&amp;Y3510&amp;Z3510&amp;AA3510&amp;AB3510&amp;AC3510&amp;AD3510&amp;AE3510&amp;AF3510&amp;AG3510</f>
        <v/>
      </c>
      <c r="N3510" s="10">
        <f>TEXT($B$6,"00")</f>
        <v/>
      </c>
      <c r="O3510" s="10">
        <f>REPT(" ",8)</f>
        <v/>
      </c>
      <c r="P3510" s="10">
        <f>RIGHT($B$4,2)</f>
        <v/>
      </c>
      <c r="Q3510" s="10">
        <f>RIGHT($B$5,3)</f>
        <v/>
      </c>
      <c r="R3510" s="10">
        <f>IF(A3510="D",LEFT(UPPER(B3510)&amp;REPT(" ",20),20),REPT(" ",20))</f>
        <v/>
      </c>
      <c r="S3510" s="10">
        <f>IF(A3510="D",LEFT(UPPER(C3510)&amp;REPT(" ",10),10)," ")</f>
        <v/>
      </c>
      <c r="T3510" s="10">
        <f>IF(A3510="D",LEFT(UPPER(D3510)&amp;REPT(" ",2),2)," ")</f>
        <v/>
      </c>
      <c r="U3510" s="10">
        <f>IF(A3510="D",LEFT(UPPER(E3510)&amp;REPT(" ",15),15)," ")</f>
        <v/>
      </c>
      <c r="V3510" s="10">
        <f>REPT(" ",24)</f>
        <v/>
      </c>
      <c r="W3510" s="10">
        <f>IF(A3510="c",LEFT(UPPER(B3510)&amp;REPT(" ",20),20),REPT(" ",20))</f>
        <v/>
      </c>
      <c r="X3510" s="10">
        <f>IF(A3510="C",LEFT(UPPER(C3510)&amp;REPT(" ",10),10)," ")</f>
        <v/>
      </c>
      <c r="Y3510" s="10">
        <f>IF(A3510="C",LEFT(UPPER(D3510)&amp;REPT(" ",2),2)," ")</f>
        <v/>
      </c>
      <c r="Z3510" s="10">
        <f>IF(A3510="C",LEFT(UPPER(E3510)&amp;REPT(" ",15),15)," ")</f>
        <v/>
      </c>
      <c r="AA3510" s="10">
        <f>REPT(" ",8)</f>
        <v/>
      </c>
      <c r="AB3510" s="10">
        <f>REPT(" ",4)</f>
        <v/>
      </c>
      <c r="AC3510" s="10">
        <f>LEFT(UPPER(H3510)&amp;REPT(" ",250),250)</f>
        <v/>
      </c>
      <c r="AD3510" s="10">
        <f>TEXT($G$2,"dd/mm/aaaa")</f>
        <v/>
      </c>
      <c r="AE3510" s="10">
        <f>REPT(" ",10)</f>
        <v/>
      </c>
      <c r="AF3510" s="10">
        <f>REPT(" ",20)</f>
        <v/>
      </c>
      <c r="AG3510" s="54">
        <f>REPT(" ",18-LEN(FIXED(F3510,2,TRUE)))&amp;FIXED(F3510,2,TRUE)</f>
        <v/>
      </c>
      <c r="AH3510" s="10">
        <f>LEN(AC3510)+LEN(AG3510)</f>
        <v/>
      </c>
      <c r="AI3510" s="10">
        <f>LEN(L3510)</f>
        <v/>
      </c>
    </row>
    <row r="3511">
      <c r="J3511" s="12">
        <f>IF(F3511&lt;&gt;0,"LANÇAR","")</f>
        <v/>
      </c>
      <c r="L3511" s="13">
        <f>N3511&amp;O3511&amp;P3511&amp;Q3511&amp;R3511&amp;S3511&amp;T3511&amp;U3511&amp;V3511&amp;W3511&amp;X3511&amp;Y3511&amp;Z3511&amp;AA3511&amp;AB3511&amp;AC3511&amp;AD3511&amp;AE3511&amp;AF3511&amp;AG3511</f>
        <v/>
      </c>
      <c r="N3511" s="10">
        <f>TEXT($B$6,"00")</f>
        <v/>
      </c>
      <c r="O3511" s="10">
        <f>REPT(" ",8)</f>
        <v/>
      </c>
      <c r="P3511" s="10">
        <f>RIGHT($B$4,2)</f>
        <v/>
      </c>
      <c r="Q3511" s="10">
        <f>RIGHT($B$5,3)</f>
        <v/>
      </c>
      <c r="R3511" s="10">
        <f>IF(A3511="D",LEFT(UPPER(B3511)&amp;REPT(" ",20),20),REPT(" ",20))</f>
        <v/>
      </c>
      <c r="S3511" s="10">
        <f>IF(A3511="D",LEFT(UPPER(C3511)&amp;REPT(" ",10),10)," ")</f>
        <v/>
      </c>
      <c r="T3511" s="10">
        <f>IF(A3511="D",LEFT(UPPER(D3511)&amp;REPT(" ",2),2)," ")</f>
        <v/>
      </c>
      <c r="U3511" s="10">
        <f>IF(A3511="D",LEFT(UPPER(E3511)&amp;REPT(" ",15),15)," ")</f>
        <v/>
      </c>
      <c r="V3511" s="10">
        <f>REPT(" ",24)</f>
        <v/>
      </c>
      <c r="W3511" s="10">
        <f>IF(A3511="c",LEFT(UPPER(B3511)&amp;REPT(" ",20),20),REPT(" ",20))</f>
        <v/>
      </c>
      <c r="X3511" s="10">
        <f>IF(A3511="C",LEFT(UPPER(C3511)&amp;REPT(" ",10),10)," ")</f>
        <v/>
      </c>
      <c r="Y3511" s="10">
        <f>IF(A3511="C",LEFT(UPPER(D3511)&amp;REPT(" ",2),2)," ")</f>
        <v/>
      </c>
      <c r="Z3511" s="10">
        <f>IF(A3511="C",LEFT(UPPER(E3511)&amp;REPT(" ",15),15)," ")</f>
        <v/>
      </c>
      <c r="AA3511" s="10">
        <f>REPT(" ",8)</f>
        <v/>
      </c>
      <c r="AB3511" s="10">
        <f>REPT(" ",4)</f>
        <v/>
      </c>
      <c r="AC3511" s="10">
        <f>LEFT(UPPER(H3511)&amp;REPT(" ",250),250)</f>
        <v/>
      </c>
      <c r="AD3511" s="10">
        <f>TEXT($G$2,"dd/mm/aaaa")</f>
        <v/>
      </c>
      <c r="AE3511" s="10">
        <f>REPT(" ",10)</f>
        <v/>
      </c>
      <c r="AF3511" s="10">
        <f>REPT(" ",20)</f>
        <v/>
      </c>
      <c r="AG3511" s="54">
        <f>REPT(" ",18-LEN(FIXED(F3511,2,TRUE)))&amp;FIXED(F3511,2,TRUE)</f>
        <v/>
      </c>
      <c r="AH3511" s="10">
        <f>LEN(AC3511)+LEN(AG3511)</f>
        <v/>
      </c>
      <c r="AI3511" s="10">
        <f>LEN(L3511)</f>
        <v/>
      </c>
    </row>
    <row r="3512">
      <c r="J3512" s="12">
        <f>IF(F3512&lt;&gt;0,"LANÇAR","")</f>
        <v/>
      </c>
      <c r="L3512" s="13">
        <f>N3512&amp;O3512&amp;P3512&amp;Q3512&amp;R3512&amp;S3512&amp;T3512&amp;U3512&amp;V3512&amp;W3512&amp;X3512&amp;Y3512&amp;Z3512&amp;AA3512&amp;AB3512&amp;AC3512&amp;AD3512&amp;AE3512&amp;AF3512&amp;AG3512</f>
        <v/>
      </c>
      <c r="N3512" s="10">
        <f>TEXT($B$6,"00")</f>
        <v/>
      </c>
      <c r="O3512" s="10">
        <f>REPT(" ",8)</f>
        <v/>
      </c>
      <c r="P3512" s="10">
        <f>RIGHT($B$4,2)</f>
        <v/>
      </c>
      <c r="Q3512" s="10">
        <f>RIGHT($B$5,3)</f>
        <v/>
      </c>
      <c r="R3512" s="10">
        <f>IF(A3512="D",LEFT(UPPER(B3512)&amp;REPT(" ",20),20),REPT(" ",20))</f>
        <v/>
      </c>
      <c r="S3512" s="10">
        <f>IF(A3512="D",LEFT(UPPER(C3512)&amp;REPT(" ",10),10)," ")</f>
        <v/>
      </c>
      <c r="T3512" s="10">
        <f>IF(A3512="D",LEFT(UPPER(D3512)&amp;REPT(" ",2),2)," ")</f>
        <v/>
      </c>
      <c r="U3512" s="10">
        <f>IF(A3512="D",LEFT(UPPER(E3512)&amp;REPT(" ",15),15)," ")</f>
        <v/>
      </c>
      <c r="V3512" s="10">
        <f>REPT(" ",24)</f>
        <v/>
      </c>
      <c r="W3512" s="10">
        <f>IF(A3512="c",LEFT(UPPER(B3512)&amp;REPT(" ",20),20),REPT(" ",20))</f>
        <v/>
      </c>
      <c r="X3512" s="10">
        <f>IF(A3512="C",LEFT(UPPER(C3512)&amp;REPT(" ",10),10)," ")</f>
        <v/>
      </c>
      <c r="Y3512" s="10">
        <f>IF(A3512="C",LEFT(UPPER(D3512)&amp;REPT(" ",2),2)," ")</f>
        <v/>
      </c>
      <c r="Z3512" s="10">
        <f>IF(A3512="C",LEFT(UPPER(E3512)&amp;REPT(" ",15),15)," ")</f>
        <v/>
      </c>
      <c r="AA3512" s="10">
        <f>REPT(" ",8)</f>
        <v/>
      </c>
      <c r="AB3512" s="10">
        <f>REPT(" ",4)</f>
        <v/>
      </c>
      <c r="AC3512" s="10">
        <f>LEFT(UPPER(H3512)&amp;REPT(" ",250),250)</f>
        <v/>
      </c>
      <c r="AD3512" s="10">
        <f>TEXT($G$2,"dd/mm/aaaa")</f>
        <v/>
      </c>
      <c r="AE3512" s="10">
        <f>REPT(" ",10)</f>
        <v/>
      </c>
      <c r="AF3512" s="10">
        <f>REPT(" ",20)</f>
        <v/>
      </c>
      <c r="AG3512" s="54">
        <f>REPT(" ",18-LEN(FIXED(F3512,2,TRUE)))&amp;FIXED(F3512,2,TRUE)</f>
        <v/>
      </c>
      <c r="AH3512" s="10">
        <f>LEN(AC3512)+LEN(AG3512)</f>
        <v/>
      </c>
      <c r="AI3512" s="10">
        <f>LEN(L3512)</f>
        <v/>
      </c>
    </row>
    <row r="3513">
      <c r="J3513" s="12">
        <f>IF(F3513&lt;&gt;0,"LANÇAR","")</f>
        <v/>
      </c>
      <c r="L3513" s="13">
        <f>N3513&amp;O3513&amp;P3513&amp;Q3513&amp;R3513&amp;S3513&amp;T3513&amp;U3513&amp;V3513&amp;W3513&amp;X3513&amp;Y3513&amp;Z3513&amp;AA3513&amp;AB3513&amp;AC3513&amp;AD3513&amp;AE3513&amp;AF3513&amp;AG3513</f>
        <v/>
      </c>
      <c r="N3513" s="10">
        <f>TEXT($B$6,"00")</f>
        <v/>
      </c>
      <c r="O3513" s="10">
        <f>REPT(" ",8)</f>
        <v/>
      </c>
      <c r="P3513" s="10">
        <f>RIGHT($B$4,2)</f>
        <v/>
      </c>
      <c r="Q3513" s="10">
        <f>RIGHT($B$5,3)</f>
        <v/>
      </c>
      <c r="R3513" s="10">
        <f>IF(A3513="D",LEFT(UPPER(B3513)&amp;REPT(" ",20),20),REPT(" ",20))</f>
        <v/>
      </c>
      <c r="S3513" s="10">
        <f>IF(A3513="D",LEFT(UPPER(C3513)&amp;REPT(" ",10),10)," ")</f>
        <v/>
      </c>
      <c r="T3513" s="10">
        <f>IF(A3513="D",LEFT(UPPER(D3513)&amp;REPT(" ",2),2)," ")</f>
        <v/>
      </c>
      <c r="U3513" s="10">
        <f>IF(A3513="D",LEFT(UPPER(E3513)&amp;REPT(" ",15),15)," ")</f>
        <v/>
      </c>
      <c r="V3513" s="10">
        <f>REPT(" ",24)</f>
        <v/>
      </c>
      <c r="W3513" s="10">
        <f>IF(A3513="c",LEFT(UPPER(B3513)&amp;REPT(" ",20),20),REPT(" ",20))</f>
        <v/>
      </c>
      <c r="X3513" s="10">
        <f>IF(A3513="C",LEFT(UPPER(C3513)&amp;REPT(" ",10),10)," ")</f>
        <v/>
      </c>
      <c r="Y3513" s="10">
        <f>IF(A3513="C",LEFT(UPPER(D3513)&amp;REPT(" ",2),2)," ")</f>
        <v/>
      </c>
      <c r="Z3513" s="10">
        <f>IF(A3513="C",LEFT(UPPER(E3513)&amp;REPT(" ",15),15)," ")</f>
        <v/>
      </c>
      <c r="AA3513" s="10">
        <f>REPT(" ",8)</f>
        <v/>
      </c>
      <c r="AB3513" s="10">
        <f>REPT(" ",4)</f>
        <v/>
      </c>
      <c r="AC3513" s="10">
        <f>LEFT(UPPER(H3513)&amp;REPT(" ",250),250)</f>
        <v/>
      </c>
      <c r="AD3513" s="10">
        <f>TEXT($G$2,"dd/mm/aaaa")</f>
        <v/>
      </c>
      <c r="AE3513" s="10">
        <f>REPT(" ",10)</f>
        <v/>
      </c>
      <c r="AF3513" s="10">
        <f>REPT(" ",20)</f>
        <v/>
      </c>
      <c r="AG3513" s="54">
        <f>REPT(" ",18-LEN(FIXED(F3513,2,TRUE)))&amp;FIXED(F3513,2,TRUE)</f>
        <v/>
      </c>
      <c r="AH3513" s="10">
        <f>LEN(AC3513)+LEN(AG3513)</f>
        <v/>
      </c>
      <c r="AI3513" s="10">
        <f>LEN(L3513)</f>
        <v/>
      </c>
    </row>
    <row r="3514">
      <c r="J3514" s="12">
        <f>IF(F3514&lt;&gt;0,"LANÇAR","")</f>
        <v/>
      </c>
      <c r="L3514" s="13">
        <f>N3514&amp;O3514&amp;P3514&amp;Q3514&amp;R3514&amp;S3514&amp;T3514&amp;U3514&amp;V3514&amp;W3514&amp;X3514&amp;Y3514&amp;Z3514&amp;AA3514&amp;AB3514&amp;AC3514&amp;AD3514&amp;AE3514&amp;AF3514&amp;AG3514</f>
        <v/>
      </c>
      <c r="N3514" s="10">
        <f>TEXT($B$6,"00")</f>
        <v/>
      </c>
      <c r="O3514" s="10">
        <f>REPT(" ",8)</f>
        <v/>
      </c>
      <c r="P3514" s="10">
        <f>RIGHT($B$4,2)</f>
        <v/>
      </c>
      <c r="Q3514" s="10">
        <f>RIGHT($B$5,3)</f>
        <v/>
      </c>
      <c r="R3514" s="10">
        <f>IF(A3514="D",LEFT(UPPER(B3514)&amp;REPT(" ",20),20),REPT(" ",20))</f>
        <v/>
      </c>
      <c r="S3514" s="10">
        <f>IF(A3514="D",LEFT(UPPER(C3514)&amp;REPT(" ",10),10)," ")</f>
        <v/>
      </c>
      <c r="T3514" s="10">
        <f>IF(A3514="D",LEFT(UPPER(D3514)&amp;REPT(" ",2),2)," ")</f>
        <v/>
      </c>
      <c r="U3514" s="10">
        <f>IF(A3514="D",LEFT(UPPER(E3514)&amp;REPT(" ",15),15)," ")</f>
        <v/>
      </c>
      <c r="V3514" s="10">
        <f>REPT(" ",24)</f>
        <v/>
      </c>
      <c r="W3514" s="10">
        <f>IF(A3514="c",LEFT(UPPER(B3514)&amp;REPT(" ",20),20),REPT(" ",20))</f>
        <v/>
      </c>
      <c r="X3514" s="10">
        <f>IF(A3514="C",LEFT(UPPER(C3514)&amp;REPT(" ",10),10)," ")</f>
        <v/>
      </c>
      <c r="Y3514" s="10">
        <f>IF(A3514="C",LEFT(UPPER(D3514)&amp;REPT(" ",2),2)," ")</f>
        <v/>
      </c>
      <c r="Z3514" s="10">
        <f>IF(A3514="C",LEFT(UPPER(E3514)&amp;REPT(" ",15),15)," ")</f>
        <v/>
      </c>
      <c r="AA3514" s="10">
        <f>REPT(" ",8)</f>
        <v/>
      </c>
      <c r="AB3514" s="10">
        <f>REPT(" ",4)</f>
        <v/>
      </c>
      <c r="AC3514" s="10">
        <f>LEFT(UPPER(H3514)&amp;REPT(" ",250),250)</f>
        <v/>
      </c>
      <c r="AD3514" s="10">
        <f>TEXT($G$2,"dd/mm/aaaa")</f>
        <v/>
      </c>
      <c r="AE3514" s="10">
        <f>REPT(" ",10)</f>
        <v/>
      </c>
      <c r="AF3514" s="10">
        <f>REPT(" ",20)</f>
        <v/>
      </c>
      <c r="AG3514" s="54">
        <f>REPT(" ",18-LEN(FIXED(F3514,2,TRUE)))&amp;FIXED(F3514,2,TRUE)</f>
        <v/>
      </c>
      <c r="AH3514" s="10">
        <f>LEN(AC3514)+LEN(AG3514)</f>
        <v/>
      </c>
      <c r="AI3514" s="10">
        <f>LEN(L3514)</f>
        <v/>
      </c>
    </row>
    <row r="3515">
      <c r="J3515" s="12">
        <f>IF(F3515&lt;&gt;0,"LANÇAR","")</f>
        <v/>
      </c>
      <c r="L3515" s="13">
        <f>N3515&amp;O3515&amp;P3515&amp;Q3515&amp;R3515&amp;S3515&amp;T3515&amp;U3515&amp;V3515&amp;W3515&amp;X3515&amp;Y3515&amp;Z3515&amp;AA3515&amp;AB3515&amp;AC3515&amp;AD3515&amp;AE3515&amp;AF3515&amp;AG3515</f>
        <v/>
      </c>
      <c r="N3515" s="10">
        <f>TEXT($B$6,"00")</f>
        <v/>
      </c>
      <c r="O3515" s="10">
        <f>REPT(" ",8)</f>
        <v/>
      </c>
      <c r="P3515" s="10">
        <f>RIGHT($B$4,2)</f>
        <v/>
      </c>
      <c r="Q3515" s="10">
        <f>RIGHT($B$5,3)</f>
        <v/>
      </c>
      <c r="R3515" s="10">
        <f>IF(A3515="D",LEFT(UPPER(B3515)&amp;REPT(" ",20),20),REPT(" ",20))</f>
        <v/>
      </c>
      <c r="S3515" s="10">
        <f>IF(A3515="D",LEFT(UPPER(C3515)&amp;REPT(" ",10),10)," ")</f>
        <v/>
      </c>
      <c r="T3515" s="10">
        <f>IF(A3515="D",LEFT(UPPER(D3515)&amp;REPT(" ",2),2)," ")</f>
        <v/>
      </c>
      <c r="U3515" s="10">
        <f>IF(A3515="D",LEFT(UPPER(E3515)&amp;REPT(" ",15),15)," ")</f>
        <v/>
      </c>
      <c r="V3515" s="10">
        <f>REPT(" ",24)</f>
        <v/>
      </c>
      <c r="W3515" s="10">
        <f>IF(A3515="c",LEFT(UPPER(B3515)&amp;REPT(" ",20),20),REPT(" ",20))</f>
        <v/>
      </c>
      <c r="X3515" s="10">
        <f>IF(A3515="C",LEFT(UPPER(C3515)&amp;REPT(" ",10),10)," ")</f>
        <v/>
      </c>
      <c r="Y3515" s="10">
        <f>IF(A3515="C",LEFT(UPPER(D3515)&amp;REPT(" ",2),2)," ")</f>
        <v/>
      </c>
      <c r="Z3515" s="10">
        <f>IF(A3515="C",LEFT(UPPER(E3515)&amp;REPT(" ",15),15)," ")</f>
        <v/>
      </c>
      <c r="AA3515" s="10">
        <f>REPT(" ",8)</f>
        <v/>
      </c>
      <c r="AB3515" s="10">
        <f>REPT(" ",4)</f>
        <v/>
      </c>
      <c r="AC3515" s="10">
        <f>LEFT(UPPER(H3515)&amp;REPT(" ",250),250)</f>
        <v/>
      </c>
      <c r="AD3515" s="10">
        <f>TEXT($G$2,"dd/mm/aaaa")</f>
        <v/>
      </c>
      <c r="AE3515" s="10">
        <f>REPT(" ",10)</f>
        <v/>
      </c>
      <c r="AF3515" s="10">
        <f>REPT(" ",20)</f>
        <v/>
      </c>
      <c r="AG3515" s="54">
        <f>REPT(" ",18-LEN(FIXED(F3515,2,TRUE)))&amp;FIXED(F3515,2,TRUE)</f>
        <v/>
      </c>
      <c r="AH3515" s="10">
        <f>LEN(AC3515)+LEN(AG3515)</f>
        <v/>
      </c>
      <c r="AI3515" s="10">
        <f>LEN(L3515)</f>
        <v/>
      </c>
    </row>
    <row r="3516">
      <c r="J3516" s="12">
        <f>IF(F3516&lt;&gt;0,"LANÇAR","")</f>
        <v/>
      </c>
      <c r="L3516" s="13">
        <f>N3516&amp;O3516&amp;P3516&amp;Q3516&amp;R3516&amp;S3516&amp;T3516&amp;U3516&amp;V3516&amp;W3516&amp;X3516&amp;Y3516&amp;Z3516&amp;AA3516&amp;AB3516&amp;AC3516&amp;AD3516&amp;AE3516&amp;AF3516&amp;AG3516</f>
        <v/>
      </c>
      <c r="N3516" s="10">
        <f>TEXT($B$6,"00")</f>
        <v/>
      </c>
      <c r="O3516" s="10">
        <f>REPT(" ",8)</f>
        <v/>
      </c>
      <c r="P3516" s="10">
        <f>RIGHT($B$4,2)</f>
        <v/>
      </c>
      <c r="Q3516" s="10">
        <f>RIGHT($B$5,3)</f>
        <v/>
      </c>
      <c r="R3516" s="10">
        <f>IF(A3516="D",LEFT(UPPER(B3516)&amp;REPT(" ",20),20),REPT(" ",20))</f>
        <v/>
      </c>
      <c r="S3516" s="10">
        <f>IF(A3516="D",LEFT(UPPER(C3516)&amp;REPT(" ",10),10)," ")</f>
        <v/>
      </c>
      <c r="T3516" s="10">
        <f>IF(A3516="D",LEFT(UPPER(D3516)&amp;REPT(" ",2),2)," ")</f>
        <v/>
      </c>
      <c r="U3516" s="10">
        <f>IF(A3516="D",LEFT(UPPER(E3516)&amp;REPT(" ",15),15)," ")</f>
        <v/>
      </c>
      <c r="V3516" s="10">
        <f>REPT(" ",24)</f>
        <v/>
      </c>
      <c r="W3516" s="10">
        <f>IF(A3516="c",LEFT(UPPER(B3516)&amp;REPT(" ",20),20),REPT(" ",20))</f>
        <v/>
      </c>
      <c r="X3516" s="10">
        <f>IF(A3516="C",LEFT(UPPER(C3516)&amp;REPT(" ",10),10)," ")</f>
        <v/>
      </c>
      <c r="Y3516" s="10">
        <f>IF(A3516="C",LEFT(UPPER(D3516)&amp;REPT(" ",2),2)," ")</f>
        <v/>
      </c>
      <c r="Z3516" s="10">
        <f>IF(A3516="C",LEFT(UPPER(E3516)&amp;REPT(" ",15),15)," ")</f>
        <v/>
      </c>
      <c r="AA3516" s="10">
        <f>REPT(" ",8)</f>
        <v/>
      </c>
      <c r="AB3516" s="10">
        <f>REPT(" ",4)</f>
        <v/>
      </c>
      <c r="AC3516" s="10">
        <f>LEFT(UPPER(H3516)&amp;REPT(" ",250),250)</f>
        <v/>
      </c>
      <c r="AD3516" s="10">
        <f>TEXT($G$2,"dd/mm/aaaa")</f>
        <v/>
      </c>
      <c r="AE3516" s="10">
        <f>REPT(" ",10)</f>
        <v/>
      </c>
      <c r="AF3516" s="10">
        <f>REPT(" ",20)</f>
        <v/>
      </c>
      <c r="AG3516" s="54">
        <f>REPT(" ",18-LEN(FIXED(F3516,2,TRUE)))&amp;FIXED(F3516,2,TRUE)</f>
        <v/>
      </c>
      <c r="AH3516" s="10">
        <f>LEN(AC3516)+LEN(AG3516)</f>
        <v/>
      </c>
      <c r="AI3516" s="10">
        <f>LEN(L3516)</f>
        <v/>
      </c>
    </row>
    <row r="3517">
      <c r="J3517" s="12">
        <f>IF(F3517&lt;&gt;0,"LANÇAR","")</f>
        <v/>
      </c>
      <c r="L3517" s="13">
        <f>N3517&amp;O3517&amp;P3517&amp;Q3517&amp;R3517&amp;S3517&amp;T3517&amp;U3517&amp;V3517&amp;W3517&amp;X3517&amp;Y3517&amp;Z3517&amp;AA3517&amp;AB3517&amp;AC3517&amp;AD3517&amp;AE3517&amp;AF3517&amp;AG3517</f>
        <v/>
      </c>
      <c r="N3517" s="10">
        <f>TEXT($B$6,"00")</f>
        <v/>
      </c>
      <c r="O3517" s="10">
        <f>REPT(" ",8)</f>
        <v/>
      </c>
      <c r="P3517" s="10">
        <f>RIGHT($B$4,2)</f>
        <v/>
      </c>
      <c r="Q3517" s="10">
        <f>RIGHT($B$5,3)</f>
        <v/>
      </c>
      <c r="R3517" s="10">
        <f>IF(A3517="D",LEFT(UPPER(B3517)&amp;REPT(" ",20),20),REPT(" ",20))</f>
        <v/>
      </c>
      <c r="S3517" s="10">
        <f>IF(A3517="D",LEFT(UPPER(C3517)&amp;REPT(" ",10),10)," ")</f>
        <v/>
      </c>
      <c r="T3517" s="10">
        <f>IF(A3517="D",LEFT(UPPER(D3517)&amp;REPT(" ",2),2)," ")</f>
        <v/>
      </c>
      <c r="U3517" s="10">
        <f>IF(A3517="D",LEFT(UPPER(E3517)&amp;REPT(" ",15),15)," ")</f>
        <v/>
      </c>
      <c r="V3517" s="10">
        <f>REPT(" ",24)</f>
        <v/>
      </c>
      <c r="W3517" s="10">
        <f>IF(A3517="c",LEFT(UPPER(B3517)&amp;REPT(" ",20),20),REPT(" ",20))</f>
        <v/>
      </c>
      <c r="X3517" s="10">
        <f>IF(A3517="C",LEFT(UPPER(C3517)&amp;REPT(" ",10),10)," ")</f>
        <v/>
      </c>
      <c r="Y3517" s="10">
        <f>IF(A3517="C",LEFT(UPPER(D3517)&amp;REPT(" ",2),2)," ")</f>
        <v/>
      </c>
      <c r="Z3517" s="10">
        <f>IF(A3517="C",LEFT(UPPER(E3517)&amp;REPT(" ",15),15)," ")</f>
        <v/>
      </c>
      <c r="AA3517" s="10">
        <f>REPT(" ",8)</f>
        <v/>
      </c>
      <c r="AB3517" s="10">
        <f>REPT(" ",4)</f>
        <v/>
      </c>
      <c r="AC3517" s="10">
        <f>LEFT(UPPER(H3517)&amp;REPT(" ",250),250)</f>
        <v/>
      </c>
      <c r="AD3517" s="10">
        <f>TEXT($G$2,"dd/mm/aaaa")</f>
        <v/>
      </c>
      <c r="AE3517" s="10">
        <f>REPT(" ",10)</f>
        <v/>
      </c>
      <c r="AF3517" s="10">
        <f>REPT(" ",20)</f>
        <v/>
      </c>
      <c r="AG3517" s="54">
        <f>REPT(" ",18-LEN(FIXED(F3517,2,TRUE)))&amp;FIXED(F3517,2,TRUE)</f>
        <v/>
      </c>
      <c r="AH3517" s="10">
        <f>LEN(AC3517)+LEN(AG3517)</f>
        <v/>
      </c>
      <c r="AI3517" s="10">
        <f>LEN(L3517)</f>
        <v/>
      </c>
    </row>
    <row r="3518">
      <c r="J3518" s="12">
        <f>IF(F3518&lt;&gt;0,"LANÇAR","")</f>
        <v/>
      </c>
      <c r="L3518" s="13">
        <f>N3518&amp;O3518&amp;P3518&amp;Q3518&amp;R3518&amp;S3518&amp;T3518&amp;U3518&amp;V3518&amp;W3518&amp;X3518&amp;Y3518&amp;Z3518&amp;AA3518&amp;AB3518&amp;AC3518&amp;AD3518&amp;AE3518&amp;AF3518&amp;AG3518</f>
        <v/>
      </c>
      <c r="N3518" s="10">
        <f>TEXT($B$6,"00")</f>
        <v/>
      </c>
      <c r="O3518" s="10">
        <f>REPT(" ",8)</f>
        <v/>
      </c>
      <c r="P3518" s="10">
        <f>RIGHT($B$4,2)</f>
        <v/>
      </c>
      <c r="Q3518" s="10">
        <f>RIGHT($B$5,3)</f>
        <v/>
      </c>
      <c r="R3518" s="10">
        <f>IF(A3518="D",LEFT(UPPER(B3518)&amp;REPT(" ",20),20),REPT(" ",20))</f>
        <v/>
      </c>
      <c r="S3518" s="10">
        <f>IF(A3518="D",LEFT(UPPER(C3518)&amp;REPT(" ",10),10)," ")</f>
        <v/>
      </c>
      <c r="T3518" s="10">
        <f>IF(A3518="D",LEFT(UPPER(D3518)&amp;REPT(" ",2),2)," ")</f>
        <v/>
      </c>
      <c r="U3518" s="10">
        <f>IF(A3518="D",LEFT(UPPER(E3518)&amp;REPT(" ",15),15)," ")</f>
        <v/>
      </c>
      <c r="V3518" s="10">
        <f>REPT(" ",24)</f>
        <v/>
      </c>
      <c r="W3518" s="10">
        <f>IF(A3518="c",LEFT(UPPER(B3518)&amp;REPT(" ",20),20),REPT(" ",20))</f>
        <v/>
      </c>
      <c r="X3518" s="10">
        <f>IF(A3518="C",LEFT(UPPER(C3518)&amp;REPT(" ",10),10)," ")</f>
        <v/>
      </c>
      <c r="Y3518" s="10">
        <f>IF(A3518="C",LEFT(UPPER(D3518)&amp;REPT(" ",2),2)," ")</f>
        <v/>
      </c>
      <c r="Z3518" s="10">
        <f>IF(A3518="C",LEFT(UPPER(E3518)&amp;REPT(" ",15),15)," ")</f>
        <v/>
      </c>
      <c r="AA3518" s="10">
        <f>REPT(" ",8)</f>
        <v/>
      </c>
      <c r="AB3518" s="10">
        <f>REPT(" ",4)</f>
        <v/>
      </c>
      <c r="AC3518" s="10">
        <f>LEFT(UPPER(H3518)&amp;REPT(" ",250),250)</f>
        <v/>
      </c>
      <c r="AD3518" s="10">
        <f>TEXT($G$2,"dd/mm/aaaa")</f>
        <v/>
      </c>
      <c r="AE3518" s="10">
        <f>REPT(" ",10)</f>
        <v/>
      </c>
      <c r="AF3518" s="10">
        <f>REPT(" ",20)</f>
        <v/>
      </c>
      <c r="AG3518" s="54">
        <f>REPT(" ",18-LEN(FIXED(F3518,2,TRUE)))&amp;FIXED(F3518,2,TRUE)</f>
        <v/>
      </c>
      <c r="AH3518" s="10">
        <f>LEN(AC3518)+LEN(AG3518)</f>
        <v/>
      </c>
      <c r="AI3518" s="10">
        <f>LEN(L3518)</f>
        <v/>
      </c>
    </row>
    <row r="3519">
      <c r="J3519" s="12">
        <f>IF(F3519&lt;&gt;0,"LANÇAR","")</f>
        <v/>
      </c>
      <c r="L3519" s="13">
        <f>N3519&amp;O3519&amp;P3519&amp;Q3519&amp;R3519&amp;S3519&amp;T3519&amp;U3519&amp;V3519&amp;W3519&amp;X3519&amp;Y3519&amp;Z3519&amp;AA3519&amp;AB3519&amp;AC3519&amp;AD3519&amp;AE3519&amp;AF3519&amp;AG3519</f>
        <v/>
      </c>
      <c r="N3519" s="10">
        <f>TEXT($B$6,"00")</f>
        <v/>
      </c>
      <c r="O3519" s="10">
        <f>REPT(" ",8)</f>
        <v/>
      </c>
      <c r="P3519" s="10">
        <f>RIGHT($B$4,2)</f>
        <v/>
      </c>
      <c r="Q3519" s="10">
        <f>RIGHT($B$5,3)</f>
        <v/>
      </c>
      <c r="R3519" s="10">
        <f>IF(A3519="D",LEFT(UPPER(B3519)&amp;REPT(" ",20),20),REPT(" ",20))</f>
        <v/>
      </c>
      <c r="S3519" s="10">
        <f>IF(A3519="D",LEFT(UPPER(C3519)&amp;REPT(" ",10),10)," ")</f>
        <v/>
      </c>
      <c r="T3519" s="10">
        <f>IF(A3519="D",LEFT(UPPER(D3519)&amp;REPT(" ",2),2)," ")</f>
        <v/>
      </c>
      <c r="U3519" s="10">
        <f>IF(A3519="D",LEFT(UPPER(E3519)&amp;REPT(" ",15),15)," ")</f>
        <v/>
      </c>
      <c r="V3519" s="10">
        <f>REPT(" ",24)</f>
        <v/>
      </c>
      <c r="W3519" s="10">
        <f>IF(A3519="c",LEFT(UPPER(B3519)&amp;REPT(" ",20),20),REPT(" ",20))</f>
        <v/>
      </c>
      <c r="X3519" s="10">
        <f>IF(A3519="C",LEFT(UPPER(C3519)&amp;REPT(" ",10),10)," ")</f>
        <v/>
      </c>
      <c r="Y3519" s="10">
        <f>IF(A3519="C",LEFT(UPPER(D3519)&amp;REPT(" ",2),2)," ")</f>
        <v/>
      </c>
      <c r="Z3519" s="10">
        <f>IF(A3519="C",LEFT(UPPER(E3519)&amp;REPT(" ",15),15)," ")</f>
        <v/>
      </c>
      <c r="AA3519" s="10">
        <f>REPT(" ",8)</f>
        <v/>
      </c>
      <c r="AB3519" s="10">
        <f>REPT(" ",4)</f>
        <v/>
      </c>
      <c r="AC3519" s="10">
        <f>LEFT(UPPER(H3519)&amp;REPT(" ",250),250)</f>
        <v/>
      </c>
      <c r="AD3519" s="10">
        <f>TEXT($G$2,"dd/mm/aaaa")</f>
        <v/>
      </c>
      <c r="AE3519" s="10">
        <f>REPT(" ",10)</f>
        <v/>
      </c>
      <c r="AF3519" s="10">
        <f>REPT(" ",20)</f>
        <v/>
      </c>
      <c r="AG3519" s="54">
        <f>REPT(" ",18-LEN(FIXED(F3519,2,TRUE)))&amp;FIXED(F3519,2,TRUE)</f>
        <v/>
      </c>
      <c r="AH3519" s="10">
        <f>LEN(AC3519)+LEN(AG3519)</f>
        <v/>
      </c>
      <c r="AI3519" s="10">
        <f>LEN(L3519)</f>
        <v/>
      </c>
    </row>
    <row r="3520">
      <c r="J3520" s="12">
        <f>IF(F3520&lt;&gt;0,"LANÇAR","")</f>
        <v/>
      </c>
      <c r="L3520" s="13">
        <f>N3520&amp;O3520&amp;P3520&amp;Q3520&amp;R3520&amp;S3520&amp;T3520&amp;U3520&amp;V3520&amp;W3520&amp;X3520&amp;Y3520&amp;Z3520&amp;AA3520&amp;AB3520&amp;AC3520&amp;AD3520&amp;AE3520&amp;AF3520&amp;AG3520</f>
        <v/>
      </c>
      <c r="N3520" s="10">
        <f>TEXT($B$6,"00")</f>
        <v/>
      </c>
      <c r="O3520" s="10">
        <f>REPT(" ",8)</f>
        <v/>
      </c>
      <c r="P3520" s="10">
        <f>RIGHT($B$4,2)</f>
        <v/>
      </c>
      <c r="Q3520" s="10">
        <f>RIGHT($B$5,3)</f>
        <v/>
      </c>
      <c r="R3520" s="10">
        <f>IF(A3520="D",LEFT(UPPER(B3520)&amp;REPT(" ",20),20),REPT(" ",20))</f>
        <v/>
      </c>
      <c r="S3520" s="10">
        <f>IF(A3520="D",LEFT(UPPER(C3520)&amp;REPT(" ",10),10)," ")</f>
        <v/>
      </c>
      <c r="T3520" s="10">
        <f>IF(A3520="D",LEFT(UPPER(D3520)&amp;REPT(" ",2),2)," ")</f>
        <v/>
      </c>
      <c r="U3520" s="10">
        <f>IF(A3520="D",LEFT(UPPER(E3520)&amp;REPT(" ",15),15)," ")</f>
        <v/>
      </c>
      <c r="V3520" s="10">
        <f>REPT(" ",24)</f>
        <v/>
      </c>
      <c r="W3520" s="10">
        <f>IF(A3520="c",LEFT(UPPER(B3520)&amp;REPT(" ",20),20),REPT(" ",20))</f>
        <v/>
      </c>
      <c r="X3520" s="10">
        <f>IF(A3520="C",LEFT(UPPER(C3520)&amp;REPT(" ",10),10)," ")</f>
        <v/>
      </c>
      <c r="Y3520" s="10">
        <f>IF(A3520="C",LEFT(UPPER(D3520)&amp;REPT(" ",2),2)," ")</f>
        <v/>
      </c>
      <c r="Z3520" s="10">
        <f>IF(A3520="C",LEFT(UPPER(E3520)&amp;REPT(" ",15),15)," ")</f>
        <v/>
      </c>
      <c r="AA3520" s="10">
        <f>REPT(" ",8)</f>
        <v/>
      </c>
      <c r="AB3520" s="10">
        <f>REPT(" ",4)</f>
        <v/>
      </c>
      <c r="AC3520" s="10">
        <f>LEFT(UPPER(H3520)&amp;REPT(" ",250),250)</f>
        <v/>
      </c>
      <c r="AD3520" s="10">
        <f>TEXT($G$2,"dd/mm/aaaa")</f>
        <v/>
      </c>
      <c r="AE3520" s="10">
        <f>REPT(" ",10)</f>
        <v/>
      </c>
      <c r="AF3520" s="10">
        <f>REPT(" ",20)</f>
        <v/>
      </c>
      <c r="AG3520" s="54">
        <f>REPT(" ",18-LEN(FIXED(F3520,2,TRUE)))&amp;FIXED(F3520,2,TRUE)</f>
        <v/>
      </c>
      <c r="AH3520" s="10">
        <f>LEN(AC3520)+LEN(AG3520)</f>
        <v/>
      </c>
      <c r="AI3520" s="10">
        <f>LEN(L3520)</f>
        <v/>
      </c>
    </row>
    <row r="3521">
      <c r="J3521" s="12">
        <f>IF(F3521&lt;&gt;0,"LANÇAR","")</f>
        <v/>
      </c>
      <c r="L3521" s="13">
        <f>N3521&amp;O3521&amp;P3521&amp;Q3521&amp;R3521&amp;S3521&amp;T3521&amp;U3521&amp;V3521&amp;W3521&amp;X3521&amp;Y3521&amp;Z3521&amp;AA3521&amp;AB3521&amp;AC3521&amp;AD3521&amp;AE3521&amp;AF3521&amp;AG3521</f>
        <v/>
      </c>
      <c r="N3521" s="10">
        <f>TEXT($B$6,"00")</f>
        <v/>
      </c>
      <c r="O3521" s="10">
        <f>REPT(" ",8)</f>
        <v/>
      </c>
      <c r="P3521" s="10">
        <f>RIGHT($B$4,2)</f>
        <v/>
      </c>
      <c r="Q3521" s="10">
        <f>RIGHT($B$5,3)</f>
        <v/>
      </c>
      <c r="R3521" s="10">
        <f>IF(A3521="D",LEFT(UPPER(B3521)&amp;REPT(" ",20),20),REPT(" ",20))</f>
        <v/>
      </c>
      <c r="S3521" s="10">
        <f>IF(A3521="D",LEFT(UPPER(C3521)&amp;REPT(" ",10),10)," ")</f>
        <v/>
      </c>
      <c r="T3521" s="10">
        <f>IF(A3521="D",LEFT(UPPER(D3521)&amp;REPT(" ",2),2)," ")</f>
        <v/>
      </c>
      <c r="U3521" s="10">
        <f>IF(A3521="D",LEFT(UPPER(E3521)&amp;REPT(" ",15),15)," ")</f>
        <v/>
      </c>
      <c r="V3521" s="10">
        <f>REPT(" ",24)</f>
        <v/>
      </c>
      <c r="W3521" s="10">
        <f>IF(A3521="c",LEFT(UPPER(B3521)&amp;REPT(" ",20),20),REPT(" ",20))</f>
        <v/>
      </c>
      <c r="X3521" s="10">
        <f>IF(A3521="C",LEFT(UPPER(C3521)&amp;REPT(" ",10),10)," ")</f>
        <v/>
      </c>
      <c r="Y3521" s="10">
        <f>IF(A3521="C",LEFT(UPPER(D3521)&amp;REPT(" ",2),2)," ")</f>
        <v/>
      </c>
      <c r="Z3521" s="10">
        <f>IF(A3521="C",LEFT(UPPER(E3521)&amp;REPT(" ",15),15)," ")</f>
        <v/>
      </c>
      <c r="AA3521" s="10">
        <f>REPT(" ",8)</f>
        <v/>
      </c>
      <c r="AB3521" s="10">
        <f>REPT(" ",4)</f>
        <v/>
      </c>
      <c r="AC3521" s="10">
        <f>LEFT(UPPER(H3521)&amp;REPT(" ",250),250)</f>
        <v/>
      </c>
      <c r="AD3521" s="10">
        <f>TEXT($G$2,"dd/mm/aaaa")</f>
        <v/>
      </c>
      <c r="AE3521" s="10">
        <f>REPT(" ",10)</f>
        <v/>
      </c>
      <c r="AF3521" s="10">
        <f>REPT(" ",20)</f>
        <v/>
      </c>
      <c r="AG3521" s="54">
        <f>REPT(" ",18-LEN(FIXED(F3521,2,TRUE)))&amp;FIXED(F3521,2,TRUE)</f>
        <v/>
      </c>
      <c r="AH3521" s="10">
        <f>LEN(AC3521)+LEN(AG3521)</f>
        <v/>
      </c>
      <c r="AI3521" s="10">
        <f>LEN(L3521)</f>
        <v/>
      </c>
    </row>
    <row r="3522">
      <c r="J3522" s="12">
        <f>IF(F3522&lt;&gt;0,"LANÇAR","")</f>
        <v/>
      </c>
      <c r="L3522" s="13">
        <f>N3522&amp;O3522&amp;P3522&amp;Q3522&amp;R3522&amp;S3522&amp;T3522&amp;U3522&amp;V3522&amp;W3522&amp;X3522&amp;Y3522&amp;Z3522&amp;AA3522&amp;AB3522&amp;AC3522&amp;AD3522&amp;AE3522&amp;AF3522&amp;AG3522</f>
        <v/>
      </c>
      <c r="N3522" s="10">
        <f>TEXT($B$6,"00")</f>
        <v/>
      </c>
      <c r="O3522" s="10">
        <f>REPT(" ",8)</f>
        <v/>
      </c>
      <c r="P3522" s="10">
        <f>RIGHT($B$4,2)</f>
        <v/>
      </c>
      <c r="Q3522" s="10">
        <f>RIGHT($B$5,3)</f>
        <v/>
      </c>
      <c r="R3522" s="10">
        <f>IF(A3522="D",LEFT(UPPER(B3522)&amp;REPT(" ",20),20),REPT(" ",20))</f>
        <v/>
      </c>
      <c r="S3522" s="10">
        <f>IF(A3522="D",LEFT(UPPER(C3522)&amp;REPT(" ",10),10)," ")</f>
        <v/>
      </c>
      <c r="T3522" s="10">
        <f>IF(A3522="D",LEFT(UPPER(D3522)&amp;REPT(" ",2),2)," ")</f>
        <v/>
      </c>
      <c r="U3522" s="10">
        <f>IF(A3522="D",LEFT(UPPER(E3522)&amp;REPT(" ",15),15)," ")</f>
        <v/>
      </c>
      <c r="V3522" s="10">
        <f>REPT(" ",24)</f>
        <v/>
      </c>
      <c r="W3522" s="10">
        <f>IF(A3522="c",LEFT(UPPER(B3522)&amp;REPT(" ",20),20),REPT(" ",20))</f>
        <v/>
      </c>
      <c r="X3522" s="10">
        <f>IF(A3522="C",LEFT(UPPER(C3522)&amp;REPT(" ",10),10)," ")</f>
        <v/>
      </c>
      <c r="Y3522" s="10">
        <f>IF(A3522="C",LEFT(UPPER(D3522)&amp;REPT(" ",2),2)," ")</f>
        <v/>
      </c>
      <c r="Z3522" s="10">
        <f>IF(A3522="C",LEFT(UPPER(E3522)&amp;REPT(" ",15),15)," ")</f>
        <v/>
      </c>
      <c r="AA3522" s="10">
        <f>REPT(" ",8)</f>
        <v/>
      </c>
      <c r="AB3522" s="10">
        <f>REPT(" ",4)</f>
        <v/>
      </c>
      <c r="AC3522" s="10">
        <f>LEFT(UPPER(H3522)&amp;REPT(" ",250),250)</f>
        <v/>
      </c>
      <c r="AD3522" s="10">
        <f>TEXT($G$2,"dd/mm/aaaa")</f>
        <v/>
      </c>
      <c r="AE3522" s="10">
        <f>REPT(" ",10)</f>
        <v/>
      </c>
      <c r="AF3522" s="10">
        <f>REPT(" ",20)</f>
        <v/>
      </c>
      <c r="AG3522" s="54">
        <f>REPT(" ",18-LEN(FIXED(F3522,2,TRUE)))&amp;FIXED(F3522,2,TRUE)</f>
        <v/>
      </c>
      <c r="AH3522" s="10">
        <f>LEN(AC3522)+LEN(AG3522)</f>
        <v/>
      </c>
      <c r="AI3522" s="10">
        <f>LEN(L3522)</f>
        <v/>
      </c>
    </row>
    <row r="3523">
      <c r="J3523" s="12">
        <f>IF(F3523&lt;&gt;0,"LANÇAR","")</f>
        <v/>
      </c>
      <c r="L3523" s="13">
        <f>N3523&amp;O3523&amp;P3523&amp;Q3523&amp;R3523&amp;S3523&amp;T3523&amp;U3523&amp;V3523&amp;W3523&amp;X3523&amp;Y3523&amp;Z3523&amp;AA3523&amp;AB3523&amp;AC3523&amp;AD3523&amp;AE3523&amp;AF3523&amp;AG3523</f>
        <v/>
      </c>
      <c r="N3523" s="10">
        <f>TEXT($B$6,"00")</f>
        <v/>
      </c>
      <c r="O3523" s="10">
        <f>REPT(" ",8)</f>
        <v/>
      </c>
      <c r="P3523" s="10">
        <f>RIGHT($B$4,2)</f>
        <v/>
      </c>
      <c r="Q3523" s="10">
        <f>RIGHT($B$5,3)</f>
        <v/>
      </c>
      <c r="R3523" s="10">
        <f>IF(A3523="D",LEFT(UPPER(B3523)&amp;REPT(" ",20),20),REPT(" ",20))</f>
        <v/>
      </c>
      <c r="S3523" s="10">
        <f>IF(A3523="D",LEFT(UPPER(C3523)&amp;REPT(" ",10),10)," ")</f>
        <v/>
      </c>
      <c r="T3523" s="10">
        <f>IF(A3523="D",LEFT(UPPER(D3523)&amp;REPT(" ",2),2)," ")</f>
        <v/>
      </c>
      <c r="U3523" s="10">
        <f>IF(A3523="D",LEFT(UPPER(E3523)&amp;REPT(" ",15),15)," ")</f>
        <v/>
      </c>
      <c r="V3523" s="10">
        <f>REPT(" ",24)</f>
        <v/>
      </c>
      <c r="W3523" s="10">
        <f>IF(A3523="c",LEFT(UPPER(B3523)&amp;REPT(" ",20),20),REPT(" ",20))</f>
        <v/>
      </c>
      <c r="X3523" s="10">
        <f>IF(A3523="C",LEFT(UPPER(C3523)&amp;REPT(" ",10),10)," ")</f>
        <v/>
      </c>
      <c r="Y3523" s="10">
        <f>IF(A3523="C",LEFT(UPPER(D3523)&amp;REPT(" ",2),2)," ")</f>
        <v/>
      </c>
      <c r="Z3523" s="10">
        <f>IF(A3523="C",LEFT(UPPER(E3523)&amp;REPT(" ",15),15)," ")</f>
        <v/>
      </c>
      <c r="AA3523" s="10">
        <f>REPT(" ",8)</f>
        <v/>
      </c>
      <c r="AB3523" s="10">
        <f>REPT(" ",4)</f>
        <v/>
      </c>
      <c r="AC3523" s="10">
        <f>LEFT(UPPER(H3523)&amp;REPT(" ",250),250)</f>
        <v/>
      </c>
      <c r="AD3523" s="10">
        <f>TEXT($G$2,"dd/mm/aaaa")</f>
        <v/>
      </c>
      <c r="AE3523" s="10">
        <f>REPT(" ",10)</f>
        <v/>
      </c>
      <c r="AF3523" s="10">
        <f>REPT(" ",20)</f>
        <v/>
      </c>
      <c r="AG3523" s="54">
        <f>REPT(" ",18-LEN(FIXED(F3523,2,TRUE)))&amp;FIXED(F3523,2,TRUE)</f>
        <v/>
      </c>
      <c r="AH3523" s="10">
        <f>LEN(AC3523)+LEN(AG3523)</f>
        <v/>
      </c>
      <c r="AI3523" s="10">
        <f>LEN(L3523)</f>
        <v/>
      </c>
    </row>
    <row r="3524">
      <c r="J3524" s="12">
        <f>IF(F3524&lt;&gt;0,"LANÇAR","")</f>
        <v/>
      </c>
      <c r="L3524" s="13">
        <f>N3524&amp;O3524&amp;P3524&amp;Q3524&amp;R3524&amp;S3524&amp;T3524&amp;U3524&amp;V3524&amp;W3524&amp;X3524&amp;Y3524&amp;Z3524&amp;AA3524&amp;AB3524&amp;AC3524&amp;AD3524&amp;AE3524&amp;AF3524&amp;AG3524</f>
        <v/>
      </c>
      <c r="N3524" s="10">
        <f>TEXT($B$6,"00")</f>
        <v/>
      </c>
      <c r="O3524" s="10">
        <f>REPT(" ",8)</f>
        <v/>
      </c>
      <c r="P3524" s="10">
        <f>RIGHT($B$4,2)</f>
        <v/>
      </c>
      <c r="Q3524" s="10">
        <f>RIGHT($B$5,3)</f>
        <v/>
      </c>
      <c r="R3524" s="10">
        <f>IF(A3524="D",LEFT(UPPER(B3524)&amp;REPT(" ",20),20),REPT(" ",20))</f>
        <v/>
      </c>
      <c r="S3524" s="10">
        <f>IF(A3524="D",LEFT(UPPER(C3524)&amp;REPT(" ",10),10)," ")</f>
        <v/>
      </c>
      <c r="T3524" s="10">
        <f>IF(A3524="D",LEFT(UPPER(D3524)&amp;REPT(" ",2),2)," ")</f>
        <v/>
      </c>
      <c r="U3524" s="10">
        <f>IF(A3524="D",LEFT(UPPER(E3524)&amp;REPT(" ",15),15)," ")</f>
        <v/>
      </c>
      <c r="V3524" s="10">
        <f>REPT(" ",24)</f>
        <v/>
      </c>
      <c r="W3524" s="10">
        <f>IF(A3524="c",LEFT(UPPER(B3524)&amp;REPT(" ",20),20),REPT(" ",20))</f>
        <v/>
      </c>
      <c r="X3524" s="10">
        <f>IF(A3524="C",LEFT(UPPER(C3524)&amp;REPT(" ",10),10)," ")</f>
        <v/>
      </c>
      <c r="Y3524" s="10">
        <f>IF(A3524="C",LEFT(UPPER(D3524)&amp;REPT(" ",2),2)," ")</f>
        <v/>
      </c>
      <c r="Z3524" s="10">
        <f>IF(A3524="C",LEFT(UPPER(E3524)&amp;REPT(" ",15),15)," ")</f>
        <v/>
      </c>
      <c r="AA3524" s="10">
        <f>REPT(" ",8)</f>
        <v/>
      </c>
      <c r="AB3524" s="10">
        <f>REPT(" ",4)</f>
        <v/>
      </c>
      <c r="AC3524" s="10">
        <f>LEFT(UPPER(H3524)&amp;REPT(" ",250),250)</f>
        <v/>
      </c>
      <c r="AD3524" s="10">
        <f>TEXT($G$2,"dd/mm/aaaa")</f>
        <v/>
      </c>
      <c r="AE3524" s="10">
        <f>REPT(" ",10)</f>
        <v/>
      </c>
      <c r="AF3524" s="10">
        <f>REPT(" ",20)</f>
        <v/>
      </c>
      <c r="AG3524" s="54">
        <f>REPT(" ",18-LEN(FIXED(F3524,2,TRUE)))&amp;FIXED(F3524,2,TRUE)</f>
        <v/>
      </c>
      <c r="AH3524" s="10">
        <f>LEN(AC3524)+LEN(AG3524)</f>
        <v/>
      </c>
      <c r="AI3524" s="10">
        <f>LEN(L3524)</f>
        <v/>
      </c>
    </row>
    <row r="3525">
      <c r="J3525" s="12">
        <f>IF(F3525&lt;&gt;0,"LANÇAR","")</f>
        <v/>
      </c>
      <c r="L3525" s="13">
        <f>N3525&amp;O3525&amp;P3525&amp;Q3525&amp;R3525&amp;S3525&amp;T3525&amp;U3525&amp;V3525&amp;W3525&amp;X3525&amp;Y3525&amp;Z3525&amp;AA3525&amp;AB3525&amp;AC3525&amp;AD3525&amp;AE3525&amp;AF3525&amp;AG3525</f>
        <v/>
      </c>
      <c r="N3525" s="10">
        <f>TEXT($B$6,"00")</f>
        <v/>
      </c>
      <c r="O3525" s="10">
        <f>REPT(" ",8)</f>
        <v/>
      </c>
      <c r="P3525" s="10">
        <f>RIGHT($B$4,2)</f>
        <v/>
      </c>
      <c r="Q3525" s="10">
        <f>RIGHT($B$5,3)</f>
        <v/>
      </c>
      <c r="R3525" s="10">
        <f>IF(A3525="D",LEFT(UPPER(B3525)&amp;REPT(" ",20),20),REPT(" ",20))</f>
        <v/>
      </c>
      <c r="S3525" s="10">
        <f>IF(A3525="D",LEFT(UPPER(C3525)&amp;REPT(" ",10),10)," ")</f>
        <v/>
      </c>
      <c r="T3525" s="10">
        <f>IF(A3525="D",LEFT(UPPER(D3525)&amp;REPT(" ",2),2)," ")</f>
        <v/>
      </c>
      <c r="U3525" s="10">
        <f>IF(A3525="D",LEFT(UPPER(E3525)&amp;REPT(" ",15),15)," ")</f>
        <v/>
      </c>
      <c r="V3525" s="10">
        <f>REPT(" ",24)</f>
        <v/>
      </c>
      <c r="W3525" s="10">
        <f>IF(A3525="c",LEFT(UPPER(B3525)&amp;REPT(" ",20),20),REPT(" ",20))</f>
        <v/>
      </c>
      <c r="X3525" s="10">
        <f>IF(A3525="C",LEFT(UPPER(C3525)&amp;REPT(" ",10),10)," ")</f>
        <v/>
      </c>
      <c r="Y3525" s="10">
        <f>IF(A3525="C",LEFT(UPPER(D3525)&amp;REPT(" ",2),2)," ")</f>
        <v/>
      </c>
      <c r="Z3525" s="10">
        <f>IF(A3525="C",LEFT(UPPER(E3525)&amp;REPT(" ",15),15)," ")</f>
        <v/>
      </c>
      <c r="AA3525" s="10">
        <f>REPT(" ",8)</f>
        <v/>
      </c>
      <c r="AB3525" s="10">
        <f>REPT(" ",4)</f>
        <v/>
      </c>
      <c r="AC3525" s="10">
        <f>LEFT(UPPER(H3525)&amp;REPT(" ",250),250)</f>
        <v/>
      </c>
      <c r="AD3525" s="10">
        <f>TEXT($G$2,"dd/mm/aaaa")</f>
        <v/>
      </c>
      <c r="AE3525" s="10">
        <f>REPT(" ",10)</f>
        <v/>
      </c>
      <c r="AF3525" s="10">
        <f>REPT(" ",20)</f>
        <v/>
      </c>
      <c r="AG3525" s="54">
        <f>REPT(" ",18-LEN(FIXED(F3525,2,TRUE)))&amp;FIXED(F3525,2,TRUE)</f>
        <v/>
      </c>
      <c r="AH3525" s="10">
        <f>LEN(AC3525)+LEN(AG3525)</f>
        <v/>
      </c>
      <c r="AI3525" s="10">
        <f>LEN(L3525)</f>
        <v/>
      </c>
    </row>
    <row r="3526">
      <c r="J3526" s="12">
        <f>IF(F3526&lt;&gt;0,"LANÇAR","")</f>
        <v/>
      </c>
      <c r="L3526" s="13">
        <f>N3526&amp;O3526&amp;P3526&amp;Q3526&amp;R3526&amp;S3526&amp;T3526&amp;U3526&amp;V3526&amp;W3526&amp;X3526&amp;Y3526&amp;Z3526&amp;AA3526&amp;AB3526&amp;AC3526&amp;AD3526&amp;AE3526&amp;AF3526&amp;AG3526</f>
        <v/>
      </c>
      <c r="N3526" s="10">
        <f>TEXT($B$6,"00")</f>
        <v/>
      </c>
      <c r="O3526" s="10">
        <f>REPT(" ",8)</f>
        <v/>
      </c>
      <c r="P3526" s="10">
        <f>RIGHT($B$4,2)</f>
        <v/>
      </c>
      <c r="Q3526" s="10">
        <f>RIGHT($B$5,3)</f>
        <v/>
      </c>
      <c r="R3526" s="10">
        <f>IF(A3526="D",LEFT(UPPER(B3526)&amp;REPT(" ",20),20),REPT(" ",20))</f>
        <v/>
      </c>
      <c r="S3526" s="10">
        <f>IF(A3526="D",LEFT(UPPER(C3526)&amp;REPT(" ",10),10)," ")</f>
        <v/>
      </c>
      <c r="T3526" s="10">
        <f>IF(A3526="D",LEFT(UPPER(D3526)&amp;REPT(" ",2),2)," ")</f>
        <v/>
      </c>
      <c r="U3526" s="10">
        <f>IF(A3526="D",LEFT(UPPER(E3526)&amp;REPT(" ",15),15)," ")</f>
        <v/>
      </c>
      <c r="V3526" s="10">
        <f>REPT(" ",24)</f>
        <v/>
      </c>
      <c r="W3526" s="10">
        <f>IF(A3526="c",LEFT(UPPER(B3526)&amp;REPT(" ",20),20),REPT(" ",20))</f>
        <v/>
      </c>
      <c r="X3526" s="10">
        <f>IF(A3526="C",LEFT(UPPER(C3526)&amp;REPT(" ",10),10)," ")</f>
        <v/>
      </c>
      <c r="Y3526" s="10">
        <f>IF(A3526="C",LEFT(UPPER(D3526)&amp;REPT(" ",2),2)," ")</f>
        <v/>
      </c>
      <c r="Z3526" s="10">
        <f>IF(A3526="C",LEFT(UPPER(E3526)&amp;REPT(" ",15),15)," ")</f>
        <v/>
      </c>
      <c r="AA3526" s="10">
        <f>REPT(" ",8)</f>
        <v/>
      </c>
      <c r="AB3526" s="10">
        <f>REPT(" ",4)</f>
        <v/>
      </c>
      <c r="AC3526" s="10">
        <f>LEFT(UPPER(H3526)&amp;REPT(" ",250),250)</f>
        <v/>
      </c>
      <c r="AD3526" s="10">
        <f>TEXT($G$2,"dd/mm/aaaa")</f>
        <v/>
      </c>
      <c r="AE3526" s="10">
        <f>REPT(" ",10)</f>
        <v/>
      </c>
      <c r="AF3526" s="10">
        <f>REPT(" ",20)</f>
        <v/>
      </c>
      <c r="AG3526" s="54">
        <f>REPT(" ",18-LEN(FIXED(F3526,2,TRUE)))&amp;FIXED(F3526,2,TRUE)</f>
        <v/>
      </c>
      <c r="AH3526" s="10">
        <f>LEN(AC3526)+LEN(AG3526)</f>
        <v/>
      </c>
      <c r="AI3526" s="10">
        <f>LEN(L3526)</f>
        <v/>
      </c>
    </row>
    <row r="3527">
      <c r="J3527" s="12">
        <f>IF(F3527&lt;&gt;0,"LANÇAR","")</f>
        <v/>
      </c>
      <c r="L3527" s="13">
        <f>N3527&amp;O3527&amp;P3527&amp;Q3527&amp;R3527&amp;S3527&amp;T3527&amp;U3527&amp;V3527&amp;W3527&amp;X3527&amp;Y3527&amp;Z3527&amp;AA3527&amp;AB3527&amp;AC3527&amp;AD3527&amp;AE3527&amp;AF3527&amp;AG3527</f>
        <v/>
      </c>
      <c r="N3527" s="10">
        <f>TEXT($B$6,"00")</f>
        <v/>
      </c>
      <c r="O3527" s="10">
        <f>REPT(" ",8)</f>
        <v/>
      </c>
      <c r="P3527" s="10">
        <f>RIGHT($B$4,2)</f>
        <v/>
      </c>
      <c r="Q3527" s="10">
        <f>RIGHT($B$5,3)</f>
        <v/>
      </c>
      <c r="R3527" s="10">
        <f>IF(A3527="D",LEFT(UPPER(B3527)&amp;REPT(" ",20),20),REPT(" ",20))</f>
        <v/>
      </c>
      <c r="S3527" s="10">
        <f>IF(A3527="D",LEFT(UPPER(C3527)&amp;REPT(" ",10),10)," ")</f>
        <v/>
      </c>
      <c r="T3527" s="10">
        <f>IF(A3527="D",LEFT(UPPER(D3527)&amp;REPT(" ",2),2)," ")</f>
        <v/>
      </c>
      <c r="U3527" s="10">
        <f>IF(A3527="D",LEFT(UPPER(E3527)&amp;REPT(" ",15),15)," ")</f>
        <v/>
      </c>
      <c r="V3527" s="10">
        <f>REPT(" ",24)</f>
        <v/>
      </c>
      <c r="W3527" s="10">
        <f>IF(A3527="c",LEFT(UPPER(B3527)&amp;REPT(" ",20),20),REPT(" ",20))</f>
        <v/>
      </c>
      <c r="X3527" s="10">
        <f>IF(A3527="C",LEFT(UPPER(C3527)&amp;REPT(" ",10),10)," ")</f>
        <v/>
      </c>
      <c r="Y3527" s="10">
        <f>IF(A3527="C",LEFT(UPPER(D3527)&amp;REPT(" ",2),2)," ")</f>
        <v/>
      </c>
      <c r="Z3527" s="10">
        <f>IF(A3527="C",LEFT(UPPER(E3527)&amp;REPT(" ",15),15)," ")</f>
        <v/>
      </c>
      <c r="AA3527" s="10">
        <f>REPT(" ",8)</f>
        <v/>
      </c>
      <c r="AB3527" s="10">
        <f>REPT(" ",4)</f>
        <v/>
      </c>
      <c r="AC3527" s="10">
        <f>LEFT(UPPER(H3527)&amp;REPT(" ",250),250)</f>
        <v/>
      </c>
      <c r="AD3527" s="10">
        <f>TEXT($G$2,"dd/mm/aaaa")</f>
        <v/>
      </c>
      <c r="AE3527" s="10">
        <f>REPT(" ",10)</f>
        <v/>
      </c>
      <c r="AF3527" s="10">
        <f>REPT(" ",20)</f>
        <v/>
      </c>
      <c r="AG3527" s="54">
        <f>REPT(" ",18-LEN(FIXED(F3527,2,TRUE)))&amp;FIXED(F3527,2,TRUE)</f>
        <v/>
      </c>
      <c r="AH3527" s="10">
        <f>LEN(AC3527)+LEN(AG3527)</f>
        <v/>
      </c>
      <c r="AI3527" s="10">
        <f>LEN(L3527)</f>
        <v/>
      </c>
    </row>
    <row r="3528">
      <c r="J3528" s="12">
        <f>IF(F3528&lt;&gt;0,"LANÇAR","")</f>
        <v/>
      </c>
      <c r="L3528" s="13">
        <f>N3528&amp;O3528&amp;P3528&amp;Q3528&amp;R3528&amp;S3528&amp;T3528&amp;U3528&amp;V3528&amp;W3528&amp;X3528&amp;Y3528&amp;Z3528&amp;AA3528&amp;AB3528&amp;AC3528&amp;AD3528&amp;AE3528&amp;AF3528&amp;AG3528</f>
        <v/>
      </c>
      <c r="N3528" s="10">
        <f>TEXT($B$6,"00")</f>
        <v/>
      </c>
      <c r="O3528" s="10">
        <f>REPT(" ",8)</f>
        <v/>
      </c>
      <c r="P3528" s="10">
        <f>RIGHT($B$4,2)</f>
        <v/>
      </c>
      <c r="Q3528" s="10">
        <f>RIGHT($B$5,3)</f>
        <v/>
      </c>
      <c r="R3528" s="10">
        <f>IF(A3528="D",LEFT(UPPER(B3528)&amp;REPT(" ",20),20),REPT(" ",20))</f>
        <v/>
      </c>
      <c r="S3528" s="10">
        <f>IF(A3528="D",LEFT(UPPER(C3528)&amp;REPT(" ",10),10)," ")</f>
        <v/>
      </c>
      <c r="T3528" s="10">
        <f>IF(A3528="D",LEFT(UPPER(D3528)&amp;REPT(" ",2),2)," ")</f>
        <v/>
      </c>
      <c r="U3528" s="10">
        <f>IF(A3528="D",LEFT(UPPER(E3528)&amp;REPT(" ",15),15)," ")</f>
        <v/>
      </c>
      <c r="V3528" s="10">
        <f>REPT(" ",24)</f>
        <v/>
      </c>
      <c r="W3528" s="10">
        <f>IF(A3528="c",LEFT(UPPER(B3528)&amp;REPT(" ",20),20),REPT(" ",20))</f>
        <v/>
      </c>
      <c r="X3528" s="10">
        <f>IF(A3528="C",LEFT(UPPER(C3528)&amp;REPT(" ",10),10)," ")</f>
        <v/>
      </c>
      <c r="Y3528" s="10">
        <f>IF(A3528="C",LEFT(UPPER(D3528)&amp;REPT(" ",2),2)," ")</f>
        <v/>
      </c>
      <c r="Z3528" s="10">
        <f>IF(A3528="C",LEFT(UPPER(E3528)&amp;REPT(" ",15),15)," ")</f>
        <v/>
      </c>
      <c r="AA3528" s="10">
        <f>REPT(" ",8)</f>
        <v/>
      </c>
      <c r="AB3528" s="10">
        <f>REPT(" ",4)</f>
        <v/>
      </c>
      <c r="AC3528" s="10">
        <f>LEFT(UPPER(H3528)&amp;REPT(" ",250),250)</f>
        <v/>
      </c>
      <c r="AD3528" s="10">
        <f>TEXT($G$2,"dd/mm/aaaa")</f>
        <v/>
      </c>
      <c r="AE3528" s="10">
        <f>REPT(" ",10)</f>
        <v/>
      </c>
      <c r="AF3528" s="10">
        <f>REPT(" ",20)</f>
        <v/>
      </c>
      <c r="AG3528" s="54">
        <f>REPT(" ",18-LEN(FIXED(F3528,2,TRUE)))&amp;FIXED(F3528,2,TRUE)</f>
        <v/>
      </c>
      <c r="AH3528" s="10">
        <f>LEN(AC3528)+LEN(AG3528)</f>
        <v/>
      </c>
      <c r="AI3528" s="10">
        <f>LEN(L3528)</f>
        <v/>
      </c>
    </row>
    <row r="3529">
      <c r="J3529" s="12">
        <f>IF(F3529&lt;&gt;0,"LANÇAR","")</f>
        <v/>
      </c>
      <c r="L3529" s="13">
        <f>N3529&amp;O3529&amp;P3529&amp;Q3529&amp;R3529&amp;S3529&amp;T3529&amp;U3529&amp;V3529&amp;W3529&amp;X3529&amp;Y3529&amp;Z3529&amp;AA3529&amp;AB3529&amp;AC3529&amp;AD3529&amp;AE3529&amp;AF3529&amp;AG3529</f>
        <v/>
      </c>
      <c r="N3529" s="10">
        <f>TEXT($B$6,"00")</f>
        <v/>
      </c>
      <c r="O3529" s="10">
        <f>REPT(" ",8)</f>
        <v/>
      </c>
      <c r="P3529" s="10">
        <f>RIGHT($B$4,2)</f>
        <v/>
      </c>
      <c r="Q3529" s="10">
        <f>RIGHT($B$5,3)</f>
        <v/>
      </c>
      <c r="R3529" s="10">
        <f>IF(A3529="D",LEFT(UPPER(B3529)&amp;REPT(" ",20),20),REPT(" ",20))</f>
        <v/>
      </c>
      <c r="S3529" s="10">
        <f>IF(A3529="D",LEFT(UPPER(C3529)&amp;REPT(" ",10),10)," ")</f>
        <v/>
      </c>
      <c r="T3529" s="10">
        <f>IF(A3529="D",LEFT(UPPER(D3529)&amp;REPT(" ",2),2)," ")</f>
        <v/>
      </c>
      <c r="U3529" s="10">
        <f>IF(A3529="D",LEFT(UPPER(E3529)&amp;REPT(" ",15),15)," ")</f>
        <v/>
      </c>
      <c r="V3529" s="10">
        <f>REPT(" ",24)</f>
        <v/>
      </c>
      <c r="W3529" s="10">
        <f>IF(A3529="c",LEFT(UPPER(B3529)&amp;REPT(" ",20),20),REPT(" ",20))</f>
        <v/>
      </c>
      <c r="X3529" s="10">
        <f>IF(A3529="C",LEFT(UPPER(C3529)&amp;REPT(" ",10),10)," ")</f>
        <v/>
      </c>
      <c r="Y3529" s="10">
        <f>IF(A3529="C",LEFT(UPPER(D3529)&amp;REPT(" ",2),2)," ")</f>
        <v/>
      </c>
      <c r="Z3529" s="10">
        <f>IF(A3529="C",LEFT(UPPER(E3529)&amp;REPT(" ",15),15)," ")</f>
        <v/>
      </c>
      <c r="AA3529" s="10">
        <f>REPT(" ",8)</f>
        <v/>
      </c>
      <c r="AB3529" s="10">
        <f>REPT(" ",4)</f>
        <v/>
      </c>
      <c r="AC3529" s="10">
        <f>LEFT(UPPER(H3529)&amp;REPT(" ",250),250)</f>
        <v/>
      </c>
      <c r="AD3529" s="10">
        <f>TEXT($G$2,"dd/mm/aaaa")</f>
        <v/>
      </c>
      <c r="AE3529" s="10">
        <f>REPT(" ",10)</f>
        <v/>
      </c>
      <c r="AF3529" s="10">
        <f>REPT(" ",20)</f>
        <v/>
      </c>
      <c r="AG3529" s="54">
        <f>REPT(" ",18-LEN(FIXED(F3529,2,TRUE)))&amp;FIXED(F3529,2,TRUE)</f>
        <v/>
      </c>
      <c r="AH3529" s="10">
        <f>LEN(AC3529)+LEN(AG3529)</f>
        <v/>
      </c>
      <c r="AI3529" s="10">
        <f>LEN(L3529)</f>
        <v/>
      </c>
    </row>
    <row r="3530">
      <c r="J3530" s="12">
        <f>IF(F3530&lt;&gt;0,"LANÇAR","")</f>
        <v/>
      </c>
      <c r="L3530" s="13">
        <f>N3530&amp;O3530&amp;P3530&amp;Q3530&amp;R3530&amp;S3530&amp;T3530&amp;U3530&amp;V3530&amp;W3530&amp;X3530&amp;Y3530&amp;Z3530&amp;AA3530&amp;AB3530&amp;AC3530&amp;AD3530&amp;AE3530&amp;AF3530&amp;AG3530</f>
        <v/>
      </c>
      <c r="N3530" s="10">
        <f>TEXT($B$6,"00")</f>
        <v/>
      </c>
      <c r="O3530" s="10">
        <f>REPT(" ",8)</f>
        <v/>
      </c>
      <c r="P3530" s="10">
        <f>RIGHT($B$4,2)</f>
        <v/>
      </c>
      <c r="Q3530" s="10">
        <f>RIGHT($B$5,3)</f>
        <v/>
      </c>
      <c r="R3530" s="10">
        <f>IF(A3530="D",LEFT(UPPER(B3530)&amp;REPT(" ",20),20),REPT(" ",20))</f>
        <v/>
      </c>
      <c r="S3530" s="10">
        <f>IF(A3530="D",LEFT(UPPER(C3530)&amp;REPT(" ",10),10)," ")</f>
        <v/>
      </c>
      <c r="T3530" s="10">
        <f>IF(A3530="D",LEFT(UPPER(D3530)&amp;REPT(" ",2),2)," ")</f>
        <v/>
      </c>
      <c r="U3530" s="10">
        <f>IF(A3530="D",LEFT(UPPER(E3530)&amp;REPT(" ",15),15)," ")</f>
        <v/>
      </c>
      <c r="V3530" s="10">
        <f>REPT(" ",24)</f>
        <v/>
      </c>
      <c r="W3530" s="10">
        <f>IF(A3530="c",LEFT(UPPER(B3530)&amp;REPT(" ",20),20),REPT(" ",20))</f>
        <v/>
      </c>
      <c r="X3530" s="10">
        <f>IF(A3530="C",LEFT(UPPER(C3530)&amp;REPT(" ",10),10)," ")</f>
        <v/>
      </c>
      <c r="Y3530" s="10">
        <f>IF(A3530="C",LEFT(UPPER(D3530)&amp;REPT(" ",2),2)," ")</f>
        <v/>
      </c>
      <c r="Z3530" s="10">
        <f>IF(A3530="C",LEFT(UPPER(E3530)&amp;REPT(" ",15),15)," ")</f>
        <v/>
      </c>
      <c r="AA3530" s="10">
        <f>REPT(" ",8)</f>
        <v/>
      </c>
      <c r="AB3530" s="10">
        <f>REPT(" ",4)</f>
        <v/>
      </c>
      <c r="AC3530" s="10">
        <f>LEFT(UPPER(H3530)&amp;REPT(" ",250),250)</f>
        <v/>
      </c>
      <c r="AD3530" s="10">
        <f>TEXT($G$2,"dd/mm/aaaa")</f>
        <v/>
      </c>
      <c r="AE3530" s="10">
        <f>REPT(" ",10)</f>
        <v/>
      </c>
      <c r="AF3530" s="10">
        <f>REPT(" ",20)</f>
        <v/>
      </c>
      <c r="AG3530" s="54">
        <f>REPT(" ",18-LEN(FIXED(F3530,2,TRUE)))&amp;FIXED(F3530,2,TRUE)</f>
        <v/>
      </c>
      <c r="AH3530" s="10">
        <f>LEN(AC3530)+LEN(AG3530)</f>
        <v/>
      </c>
      <c r="AI3530" s="10">
        <f>LEN(L3530)</f>
        <v/>
      </c>
    </row>
    <row r="3531">
      <c r="J3531" s="12">
        <f>IF(F3531&lt;&gt;0,"LANÇAR","")</f>
        <v/>
      </c>
      <c r="L3531" s="13">
        <f>N3531&amp;O3531&amp;P3531&amp;Q3531&amp;R3531&amp;S3531&amp;T3531&amp;U3531&amp;V3531&amp;W3531&amp;X3531&amp;Y3531&amp;Z3531&amp;AA3531&amp;AB3531&amp;AC3531&amp;AD3531&amp;AE3531&amp;AF3531&amp;AG3531</f>
        <v/>
      </c>
      <c r="N3531" s="10">
        <f>TEXT($B$6,"00")</f>
        <v/>
      </c>
      <c r="O3531" s="10">
        <f>REPT(" ",8)</f>
        <v/>
      </c>
      <c r="P3531" s="10">
        <f>RIGHT($B$4,2)</f>
        <v/>
      </c>
      <c r="Q3531" s="10">
        <f>RIGHT($B$5,3)</f>
        <v/>
      </c>
      <c r="R3531" s="10">
        <f>IF(A3531="D",LEFT(UPPER(B3531)&amp;REPT(" ",20),20),REPT(" ",20))</f>
        <v/>
      </c>
      <c r="S3531" s="10">
        <f>IF(A3531="D",LEFT(UPPER(C3531)&amp;REPT(" ",10),10)," ")</f>
        <v/>
      </c>
      <c r="T3531" s="10">
        <f>IF(A3531="D",LEFT(UPPER(D3531)&amp;REPT(" ",2),2)," ")</f>
        <v/>
      </c>
      <c r="U3531" s="10">
        <f>IF(A3531="D",LEFT(UPPER(E3531)&amp;REPT(" ",15),15)," ")</f>
        <v/>
      </c>
      <c r="V3531" s="10">
        <f>REPT(" ",24)</f>
        <v/>
      </c>
      <c r="W3531" s="10">
        <f>IF(A3531="c",LEFT(UPPER(B3531)&amp;REPT(" ",20),20),REPT(" ",20))</f>
        <v/>
      </c>
      <c r="X3531" s="10">
        <f>IF(A3531="C",LEFT(UPPER(C3531)&amp;REPT(" ",10),10)," ")</f>
        <v/>
      </c>
      <c r="Y3531" s="10">
        <f>IF(A3531="C",LEFT(UPPER(D3531)&amp;REPT(" ",2),2)," ")</f>
        <v/>
      </c>
      <c r="Z3531" s="10">
        <f>IF(A3531="C",LEFT(UPPER(E3531)&amp;REPT(" ",15),15)," ")</f>
        <v/>
      </c>
      <c r="AA3531" s="10">
        <f>REPT(" ",8)</f>
        <v/>
      </c>
      <c r="AB3531" s="10">
        <f>REPT(" ",4)</f>
        <v/>
      </c>
      <c r="AC3531" s="10">
        <f>LEFT(UPPER(H3531)&amp;REPT(" ",250),250)</f>
        <v/>
      </c>
      <c r="AD3531" s="10">
        <f>TEXT($G$2,"dd/mm/aaaa")</f>
        <v/>
      </c>
      <c r="AE3531" s="10">
        <f>REPT(" ",10)</f>
        <v/>
      </c>
      <c r="AF3531" s="10">
        <f>REPT(" ",20)</f>
        <v/>
      </c>
      <c r="AG3531" s="54">
        <f>REPT(" ",18-LEN(FIXED(F3531,2,TRUE)))&amp;FIXED(F3531,2,TRUE)</f>
        <v/>
      </c>
      <c r="AH3531" s="10">
        <f>LEN(AC3531)+LEN(AG3531)</f>
        <v/>
      </c>
      <c r="AI3531" s="10">
        <f>LEN(L3531)</f>
        <v/>
      </c>
    </row>
    <row r="3532">
      <c r="J3532" s="12">
        <f>IF(F3532&lt;&gt;0,"LANÇAR","")</f>
        <v/>
      </c>
      <c r="L3532" s="13">
        <f>N3532&amp;O3532&amp;P3532&amp;Q3532&amp;R3532&amp;S3532&amp;T3532&amp;U3532&amp;V3532&amp;W3532&amp;X3532&amp;Y3532&amp;Z3532&amp;AA3532&amp;AB3532&amp;AC3532&amp;AD3532&amp;AE3532&amp;AF3532&amp;AG3532</f>
        <v/>
      </c>
      <c r="N3532" s="10">
        <f>TEXT($B$6,"00")</f>
        <v/>
      </c>
      <c r="O3532" s="10">
        <f>REPT(" ",8)</f>
        <v/>
      </c>
      <c r="P3532" s="10">
        <f>RIGHT($B$4,2)</f>
        <v/>
      </c>
      <c r="Q3532" s="10">
        <f>RIGHT($B$5,3)</f>
        <v/>
      </c>
      <c r="R3532" s="10">
        <f>IF(A3532="D",LEFT(UPPER(B3532)&amp;REPT(" ",20),20),REPT(" ",20))</f>
        <v/>
      </c>
      <c r="S3532" s="10">
        <f>IF(A3532="D",LEFT(UPPER(C3532)&amp;REPT(" ",10),10)," ")</f>
        <v/>
      </c>
      <c r="T3532" s="10">
        <f>IF(A3532="D",LEFT(UPPER(D3532)&amp;REPT(" ",2),2)," ")</f>
        <v/>
      </c>
      <c r="U3532" s="10">
        <f>IF(A3532="D",LEFT(UPPER(E3532)&amp;REPT(" ",15),15)," ")</f>
        <v/>
      </c>
      <c r="V3532" s="10">
        <f>REPT(" ",24)</f>
        <v/>
      </c>
      <c r="W3532" s="10">
        <f>IF(A3532="c",LEFT(UPPER(B3532)&amp;REPT(" ",20),20),REPT(" ",20))</f>
        <v/>
      </c>
      <c r="X3532" s="10">
        <f>IF(A3532="C",LEFT(UPPER(C3532)&amp;REPT(" ",10),10)," ")</f>
        <v/>
      </c>
      <c r="Y3532" s="10">
        <f>IF(A3532="C",LEFT(UPPER(D3532)&amp;REPT(" ",2),2)," ")</f>
        <v/>
      </c>
      <c r="Z3532" s="10">
        <f>IF(A3532="C",LEFT(UPPER(E3532)&amp;REPT(" ",15),15)," ")</f>
        <v/>
      </c>
      <c r="AA3532" s="10">
        <f>REPT(" ",8)</f>
        <v/>
      </c>
      <c r="AB3532" s="10">
        <f>REPT(" ",4)</f>
        <v/>
      </c>
      <c r="AC3532" s="10">
        <f>LEFT(UPPER(H3532)&amp;REPT(" ",250),250)</f>
        <v/>
      </c>
      <c r="AD3532" s="10">
        <f>TEXT($G$2,"dd/mm/aaaa")</f>
        <v/>
      </c>
      <c r="AE3532" s="10">
        <f>REPT(" ",10)</f>
        <v/>
      </c>
      <c r="AF3532" s="10">
        <f>REPT(" ",20)</f>
        <v/>
      </c>
      <c r="AG3532" s="54">
        <f>REPT(" ",18-LEN(FIXED(F3532,2,TRUE)))&amp;FIXED(F3532,2,TRUE)</f>
        <v/>
      </c>
      <c r="AH3532" s="10">
        <f>LEN(AC3532)+LEN(AG3532)</f>
        <v/>
      </c>
      <c r="AI3532" s="10">
        <f>LEN(L3532)</f>
        <v/>
      </c>
    </row>
    <row r="3533">
      <c r="J3533" s="12">
        <f>IF(F3533&lt;&gt;0,"LANÇAR","")</f>
        <v/>
      </c>
      <c r="L3533" s="13">
        <f>N3533&amp;O3533&amp;P3533&amp;Q3533&amp;R3533&amp;S3533&amp;T3533&amp;U3533&amp;V3533&amp;W3533&amp;X3533&amp;Y3533&amp;Z3533&amp;AA3533&amp;AB3533&amp;AC3533&amp;AD3533&amp;AE3533&amp;AF3533&amp;AG3533</f>
        <v/>
      </c>
      <c r="N3533" s="10">
        <f>TEXT($B$6,"00")</f>
        <v/>
      </c>
      <c r="O3533" s="10">
        <f>REPT(" ",8)</f>
        <v/>
      </c>
      <c r="P3533" s="10">
        <f>RIGHT($B$4,2)</f>
        <v/>
      </c>
      <c r="Q3533" s="10">
        <f>RIGHT($B$5,3)</f>
        <v/>
      </c>
      <c r="R3533" s="10">
        <f>IF(A3533="D",LEFT(UPPER(B3533)&amp;REPT(" ",20),20),REPT(" ",20))</f>
        <v/>
      </c>
      <c r="S3533" s="10">
        <f>IF(A3533="D",LEFT(UPPER(C3533)&amp;REPT(" ",10),10)," ")</f>
        <v/>
      </c>
      <c r="T3533" s="10">
        <f>IF(A3533="D",LEFT(UPPER(D3533)&amp;REPT(" ",2),2)," ")</f>
        <v/>
      </c>
      <c r="U3533" s="10">
        <f>IF(A3533="D",LEFT(UPPER(E3533)&amp;REPT(" ",15),15)," ")</f>
        <v/>
      </c>
      <c r="V3533" s="10">
        <f>REPT(" ",24)</f>
        <v/>
      </c>
      <c r="W3533" s="10">
        <f>IF(A3533="c",LEFT(UPPER(B3533)&amp;REPT(" ",20),20),REPT(" ",20))</f>
        <v/>
      </c>
      <c r="X3533" s="10">
        <f>IF(A3533="C",LEFT(UPPER(C3533)&amp;REPT(" ",10),10)," ")</f>
        <v/>
      </c>
      <c r="Y3533" s="10">
        <f>IF(A3533="C",LEFT(UPPER(D3533)&amp;REPT(" ",2),2)," ")</f>
        <v/>
      </c>
      <c r="Z3533" s="10">
        <f>IF(A3533="C",LEFT(UPPER(E3533)&amp;REPT(" ",15),15)," ")</f>
        <v/>
      </c>
      <c r="AA3533" s="10">
        <f>REPT(" ",8)</f>
        <v/>
      </c>
      <c r="AB3533" s="10">
        <f>REPT(" ",4)</f>
        <v/>
      </c>
      <c r="AC3533" s="10">
        <f>LEFT(UPPER(H3533)&amp;REPT(" ",250),250)</f>
        <v/>
      </c>
      <c r="AD3533" s="10">
        <f>TEXT($G$2,"dd/mm/aaaa")</f>
        <v/>
      </c>
      <c r="AE3533" s="10">
        <f>REPT(" ",10)</f>
        <v/>
      </c>
      <c r="AF3533" s="10">
        <f>REPT(" ",20)</f>
        <v/>
      </c>
      <c r="AG3533" s="54">
        <f>REPT(" ",18-LEN(FIXED(F3533,2,TRUE)))&amp;FIXED(F3533,2,TRUE)</f>
        <v/>
      </c>
      <c r="AH3533" s="10">
        <f>LEN(AC3533)+LEN(AG3533)</f>
        <v/>
      </c>
      <c r="AI3533" s="10">
        <f>LEN(L3533)</f>
        <v/>
      </c>
    </row>
    <row r="3534">
      <c r="J3534" s="12">
        <f>IF(F3534&lt;&gt;0,"LANÇAR","")</f>
        <v/>
      </c>
      <c r="L3534" s="13">
        <f>N3534&amp;O3534&amp;P3534&amp;Q3534&amp;R3534&amp;S3534&amp;T3534&amp;U3534&amp;V3534&amp;W3534&amp;X3534&amp;Y3534&amp;Z3534&amp;AA3534&amp;AB3534&amp;AC3534&amp;AD3534&amp;AE3534&amp;AF3534&amp;AG3534</f>
        <v/>
      </c>
      <c r="N3534" s="10">
        <f>TEXT($B$6,"00")</f>
        <v/>
      </c>
      <c r="O3534" s="10">
        <f>REPT(" ",8)</f>
        <v/>
      </c>
      <c r="P3534" s="10">
        <f>RIGHT($B$4,2)</f>
        <v/>
      </c>
      <c r="Q3534" s="10">
        <f>RIGHT($B$5,3)</f>
        <v/>
      </c>
      <c r="R3534" s="10">
        <f>IF(A3534="D",LEFT(UPPER(B3534)&amp;REPT(" ",20),20),REPT(" ",20))</f>
        <v/>
      </c>
      <c r="S3534" s="10">
        <f>IF(A3534="D",LEFT(UPPER(C3534)&amp;REPT(" ",10),10)," ")</f>
        <v/>
      </c>
      <c r="T3534" s="10">
        <f>IF(A3534="D",LEFT(UPPER(D3534)&amp;REPT(" ",2),2)," ")</f>
        <v/>
      </c>
      <c r="U3534" s="10">
        <f>IF(A3534="D",LEFT(UPPER(E3534)&amp;REPT(" ",15),15)," ")</f>
        <v/>
      </c>
      <c r="V3534" s="10">
        <f>REPT(" ",24)</f>
        <v/>
      </c>
      <c r="W3534" s="10">
        <f>IF(A3534="c",LEFT(UPPER(B3534)&amp;REPT(" ",20),20),REPT(" ",20))</f>
        <v/>
      </c>
      <c r="X3534" s="10">
        <f>IF(A3534="C",LEFT(UPPER(C3534)&amp;REPT(" ",10),10)," ")</f>
        <v/>
      </c>
      <c r="Y3534" s="10">
        <f>IF(A3534="C",LEFT(UPPER(D3534)&amp;REPT(" ",2),2)," ")</f>
        <v/>
      </c>
      <c r="Z3534" s="10">
        <f>IF(A3534="C",LEFT(UPPER(E3534)&amp;REPT(" ",15),15)," ")</f>
        <v/>
      </c>
      <c r="AA3534" s="10">
        <f>REPT(" ",8)</f>
        <v/>
      </c>
      <c r="AB3534" s="10">
        <f>REPT(" ",4)</f>
        <v/>
      </c>
      <c r="AC3534" s="10">
        <f>LEFT(UPPER(H3534)&amp;REPT(" ",250),250)</f>
        <v/>
      </c>
      <c r="AD3534" s="10">
        <f>TEXT($G$2,"dd/mm/aaaa")</f>
        <v/>
      </c>
      <c r="AE3534" s="10">
        <f>REPT(" ",10)</f>
        <v/>
      </c>
      <c r="AF3534" s="10">
        <f>REPT(" ",20)</f>
        <v/>
      </c>
      <c r="AG3534" s="54">
        <f>REPT(" ",18-LEN(FIXED(F3534,2,TRUE)))&amp;FIXED(F3534,2,TRUE)</f>
        <v/>
      </c>
      <c r="AH3534" s="10">
        <f>LEN(AC3534)+LEN(AG3534)</f>
        <v/>
      </c>
      <c r="AI3534" s="10">
        <f>LEN(L3534)</f>
        <v/>
      </c>
    </row>
    <row r="3535">
      <c r="J3535" s="12">
        <f>IF(F3535&lt;&gt;0,"LANÇAR","")</f>
        <v/>
      </c>
      <c r="L3535" s="13">
        <f>N3535&amp;O3535&amp;P3535&amp;Q3535&amp;R3535&amp;S3535&amp;T3535&amp;U3535&amp;V3535&amp;W3535&amp;X3535&amp;Y3535&amp;Z3535&amp;AA3535&amp;AB3535&amp;AC3535&amp;AD3535&amp;AE3535&amp;AF3535&amp;AG3535</f>
        <v/>
      </c>
      <c r="N3535" s="10">
        <f>TEXT($B$6,"00")</f>
        <v/>
      </c>
      <c r="O3535" s="10">
        <f>REPT(" ",8)</f>
        <v/>
      </c>
      <c r="P3535" s="10">
        <f>RIGHT($B$4,2)</f>
        <v/>
      </c>
      <c r="Q3535" s="10">
        <f>RIGHT($B$5,3)</f>
        <v/>
      </c>
      <c r="R3535" s="10">
        <f>IF(A3535="D",LEFT(UPPER(B3535)&amp;REPT(" ",20),20),REPT(" ",20))</f>
        <v/>
      </c>
      <c r="S3535" s="10">
        <f>IF(A3535="D",LEFT(UPPER(C3535)&amp;REPT(" ",10),10)," ")</f>
        <v/>
      </c>
      <c r="T3535" s="10">
        <f>IF(A3535="D",LEFT(UPPER(D3535)&amp;REPT(" ",2),2)," ")</f>
        <v/>
      </c>
      <c r="U3535" s="10">
        <f>IF(A3535="D",LEFT(UPPER(E3535)&amp;REPT(" ",15),15)," ")</f>
        <v/>
      </c>
      <c r="V3535" s="10">
        <f>REPT(" ",24)</f>
        <v/>
      </c>
      <c r="W3535" s="10">
        <f>IF(A3535="c",LEFT(UPPER(B3535)&amp;REPT(" ",20),20),REPT(" ",20))</f>
        <v/>
      </c>
      <c r="X3535" s="10">
        <f>IF(A3535="C",LEFT(UPPER(C3535)&amp;REPT(" ",10),10)," ")</f>
        <v/>
      </c>
      <c r="Y3535" s="10">
        <f>IF(A3535="C",LEFT(UPPER(D3535)&amp;REPT(" ",2),2)," ")</f>
        <v/>
      </c>
      <c r="Z3535" s="10">
        <f>IF(A3535="C",LEFT(UPPER(E3535)&amp;REPT(" ",15),15)," ")</f>
        <v/>
      </c>
      <c r="AA3535" s="10">
        <f>REPT(" ",8)</f>
        <v/>
      </c>
      <c r="AB3535" s="10">
        <f>REPT(" ",4)</f>
        <v/>
      </c>
      <c r="AC3535" s="10">
        <f>LEFT(UPPER(H3535)&amp;REPT(" ",250),250)</f>
        <v/>
      </c>
      <c r="AD3535" s="10">
        <f>TEXT($G$2,"dd/mm/aaaa")</f>
        <v/>
      </c>
      <c r="AE3535" s="10">
        <f>REPT(" ",10)</f>
        <v/>
      </c>
      <c r="AF3535" s="10">
        <f>REPT(" ",20)</f>
        <v/>
      </c>
      <c r="AG3535" s="54">
        <f>REPT(" ",18-LEN(FIXED(F3535,2,TRUE)))&amp;FIXED(F3535,2,TRUE)</f>
        <v/>
      </c>
      <c r="AH3535" s="10">
        <f>LEN(AC3535)+LEN(AG3535)</f>
        <v/>
      </c>
      <c r="AI3535" s="10">
        <f>LEN(L3535)</f>
        <v/>
      </c>
    </row>
    <row r="3536">
      <c r="J3536" s="12">
        <f>IF(F3536&lt;&gt;0,"LANÇAR","")</f>
        <v/>
      </c>
      <c r="L3536" s="13">
        <f>N3536&amp;O3536&amp;P3536&amp;Q3536&amp;R3536&amp;S3536&amp;T3536&amp;U3536&amp;V3536&amp;W3536&amp;X3536&amp;Y3536&amp;Z3536&amp;AA3536&amp;AB3536&amp;AC3536&amp;AD3536&amp;AE3536&amp;AF3536&amp;AG3536</f>
        <v/>
      </c>
      <c r="N3536" s="10">
        <f>TEXT($B$6,"00")</f>
        <v/>
      </c>
      <c r="O3536" s="10">
        <f>REPT(" ",8)</f>
        <v/>
      </c>
      <c r="P3536" s="10">
        <f>RIGHT($B$4,2)</f>
        <v/>
      </c>
      <c r="Q3536" s="10">
        <f>RIGHT($B$5,3)</f>
        <v/>
      </c>
      <c r="R3536" s="10">
        <f>IF(A3536="D",LEFT(UPPER(B3536)&amp;REPT(" ",20),20),REPT(" ",20))</f>
        <v/>
      </c>
      <c r="S3536" s="10">
        <f>IF(A3536="D",LEFT(UPPER(C3536)&amp;REPT(" ",10),10)," ")</f>
        <v/>
      </c>
      <c r="T3536" s="10">
        <f>IF(A3536="D",LEFT(UPPER(D3536)&amp;REPT(" ",2),2)," ")</f>
        <v/>
      </c>
      <c r="U3536" s="10">
        <f>IF(A3536="D",LEFT(UPPER(E3536)&amp;REPT(" ",15),15)," ")</f>
        <v/>
      </c>
      <c r="V3536" s="10">
        <f>REPT(" ",24)</f>
        <v/>
      </c>
      <c r="W3536" s="10">
        <f>IF(A3536="c",LEFT(UPPER(B3536)&amp;REPT(" ",20),20),REPT(" ",20))</f>
        <v/>
      </c>
      <c r="X3536" s="10">
        <f>IF(A3536="C",LEFT(UPPER(C3536)&amp;REPT(" ",10),10)," ")</f>
        <v/>
      </c>
      <c r="Y3536" s="10">
        <f>IF(A3536="C",LEFT(UPPER(D3536)&amp;REPT(" ",2),2)," ")</f>
        <v/>
      </c>
      <c r="Z3536" s="10">
        <f>IF(A3536="C",LEFT(UPPER(E3536)&amp;REPT(" ",15),15)," ")</f>
        <v/>
      </c>
      <c r="AA3536" s="10">
        <f>REPT(" ",8)</f>
        <v/>
      </c>
      <c r="AB3536" s="10">
        <f>REPT(" ",4)</f>
        <v/>
      </c>
      <c r="AC3536" s="10">
        <f>LEFT(UPPER(H3536)&amp;REPT(" ",250),250)</f>
        <v/>
      </c>
      <c r="AD3536" s="10">
        <f>TEXT($G$2,"dd/mm/aaaa")</f>
        <v/>
      </c>
      <c r="AE3536" s="10">
        <f>REPT(" ",10)</f>
        <v/>
      </c>
      <c r="AF3536" s="10">
        <f>REPT(" ",20)</f>
        <v/>
      </c>
      <c r="AG3536" s="54">
        <f>REPT(" ",18-LEN(FIXED(F3536,2,TRUE)))&amp;FIXED(F3536,2,TRUE)</f>
        <v/>
      </c>
      <c r="AH3536" s="10">
        <f>LEN(AC3536)+LEN(AG3536)</f>
        <v/>
      </c>
      <c r="AI3536" s="10">
        <f>LEN(L3536)</f>
        <v/>
      </c>
    </row>
    <row r="3537">
      <c r="J3537" s="12">
        <f>IF(F3537&lt;&gt;0,"LANÇAR","")</f>
        <v/>
      </c>
      <c r="L3537" s="13">
        <f>N3537&amp;O3537&amp;P3537&amp;Q3537&amp;R3537&amp;S3537&amp;T3537&amp;U3537&amp;V3537&amp;W3537&amp;X3537&amp;Y3537&amp;Z3537&amp;AA3537&amp;AB3537&amp;AC3537&amp;AD3537&amp;AE3537&amp;AF3537&amp;AG3537</f>
        <v/>
      </c>
      <c r="N3537" s="10">
        <f>TEXT($B$6,"00")</f>
        <v/>
      </c>
      <c r="O3537" s="10">
        <f>REPT(" ",8)</f>
        <v/>
      </c>
      <c r="P3537" s="10">
        <f>RIGHT($B$4,2)</f>
        <v/>
      </c>
      <c r="Q3537" s="10">
        <f>RIGHT($B$5,3)</f>
        <v/>
      </c>
      <c r="R3537" s="10">
        <f>IF(A3537="D",LEFT(UPPER(B3537)&amp;REPT(" ",20),20),REPT(" ",20))</f>
        <v/>
      </c>
      <c r="S3537" s="10">
        <f>IF(A3537="D",LEFT(UPPER(C3537)&amp;REPT(" ",10),10)," ")</f>
        <v/>
      </c>
      <c r="T3537" s="10">
        <f>IF(A3537="D",LEFT(UPPER(D3537)&amp;REPT(" ",2),2)," ")</f>
        <v/>
      </c>
      <c r="U3537" s="10">
        <f>IF(A3537="D",LEFT(UPPER(E3537)&amp;REPT(" ",15),15)," ")</f>
        <v/>
      </c>
      <c r="V3537" s="10">
        <f>REPT(" ",24)</f>
        <v/>
      </c>
      <c r="W3537" s="10">
        <f>IF(A3537="c",LEFT(UPPER(B3537)&amp;REPT(" ",20),20),REPT(" ",20))</f>
        <v/>
      </c>
      <c r="X3537" s="10">
        <f>IF(A3537="C",LEFT(UPPER(C3537)&amp;REPT(" ",10),10)," ")</f>
        <v/>
      </c>
      <c r="Y3537" s="10">
        <f>IF(A3537="C",LEFT(UPPER(D3537)&amp;REPT(" ",2),2)," ")</f>
        <v/>
      </c>
      <c r="Z3537" s="10">
        <f>IF(A3537="C",LEFT(UPPER(E3537)&amp;REPT(" ",15),15)," ")</f>
        <v/>
      </c>
      <c r="AA3537" s="10">
        <f>REPT(" ",8)</f>
        <v/>
      </c>
      <c r="AB3537" s="10">
        <f>REPT(" ",4)</f>
        <v/>
      </c>
      <c r="AC3537" s="10">
        <f>LEFT(UPPER(H3537)&amp;REPT(" ",250),250)</f>
        <v/>
      </c>
      <c r="AD3537" s="10">
        <f>TEXT($G$2,"dd/mm/aaaa")</f>
        <v/>
      </c>
      <c r="AE3537" s="10">
        <f>REPT(" ",10)</f>
        <v/>
      </c>
      <c r="AF3537" s="10">
        <f>REPT(" ",20)</f>
        <v/>
      </c>
      <c r="AG3537" s="54">
        <f>REPT(" ",18-LEN(FIXED(F3537,2,TRUE)))&amp;FIXED(F3537,2,TRUE)</f>
        <v/>
      </c>
      <c r="AH3537" s="10">
        <f>LEN(AC3537)+LEN(AG3537)</f>
        <v/>
      </c>
      <c r="AI3537" s="10">
        <f>LEN(L3537)</f>
        <v/>
      </c>
    </row>
    <row r="3538">
      <c r="J3538" s="12">
        <f>IF(F3538&lt;&gt;0,"LANÇAR","")</f>
        <v/>
      </c>
      <c r="L3538" s="13">
        <f>N3538&amp;O3538&amp;P3538&amp;Q3538&amp;R3538&amp;S3538&amp;T3538&amp;U3538&amp;V3538&amp;W3538&amp;X3538&amp;Y3538&amp;Z3538&amp;AA3538&amp;AB3538&amp;AC3538&amp;AD3538&amp;AE3538&amp;AF3538&amp;AG3538</f>
        <v/>
      </c>
      <c r="N3538" s="10">
        <f>TEXT($B$6,"00")</f>
        <v/>
      </c>
      <c r="O3538" s="10">
        <f>REPT(" ",8)</f>
        <v/>
      </c>
      <c r="P3538" s="10">
        <f>RIGHT($B$4,2)</f>
        <v/>
      </c>
      <c r="Q3538" s="10">
        <f>RIGHT($B$5,3)</f>
        <v/>
      </c>
      <c r="R3538" s="10">
        <f>IF(A3538="D",LEFT(UPPER(B3538)&amp;REPT(" ",20),20),REPT(" ",20))</f>
        <v/>
      </c>
      <c r="S3538" s="10">
        <f>IF(A3538="D",LEFT(UPPER(C3538)&amp;REPT(" ",10),10)," ")</f>
        <v/>
      </c>
      <c r="T3538" s="10">
        <f>IF(A3538="D",LEFT(UPPER(D3538)&amp;REPT(" ",2),2)," ")</f>
        <v/>
      </c>
      <c r="U3538" s="10">
        <f>IF(A3538="D",LEFT(UPPER(E3538)&amp;REPT(" ",15),15)," ")</f>
        <v/>
      </c>
      <c r="V3538" s="10">
        <f>REPT(" ",24)</f>
        <v/>
      </c>
      <c r="W3538" s="10">
        <f>IF(A3538="c",LEFT(UPPER(B3538)&amp;REPT(" ",20),20),REPT(" ",20))</f>
        <v/>
      </c>
      <c r="X3538" s="10">
        <f>IF(A3538="C",LEFT(UPPER(C3538)&amp;REPT(" ",10),10)," ")</f>
        <v/>
      </c>
      <c r="Y3538" s="10">
        <f>IF(A3538="C",LEFT(UPPER(D3538)&amp;REPT(" ",2),2)," ")</f>
        <v/>
      </c>
      <c r="Z3538" s="10">
        <f>IF(A3538="C",LEFT(UPPER(E3538)&amp;REPT(" ",15),15)," ")</f>
        <v/>
      </c>
      <c r="AA3538" s="10">
        <f>REPT(" ",8)</f>
        <v/>
      </c>
      <c r="AB3538" s="10">
        <f>REPT(" ",4)</f>
        <v/>
      </c>
      <c r="AC3538" s="10">
        <f>LEFT(UPPER(H3538)&amp;REPT(" ",250),250)</f>
        <v/>
      </c>
      <c r="AD3538" s="10">
        <f>TEXT($G$2,"dd/mm/aaaa")</f>
        <v/>
      </c>
      <c r="AE3538" s="10">
        <f>REPT(" ",10)</f>
        <v/>
      </c>
      <c r="AF3538" s="10">
        <f>REPT(" ",20)</f>
        <v/>
      </c>
      <c r="AG3538" s="54">
        <f>REPT(" ",18-LEN(FIXED(F3538,2,TRUE)))&amp;FIXED(F3538,2,TRUE)</f>
        <v/>
      </c>
      <c r="AH3538" s="10">
        <f>LEN(AC3538)+LEN(AG3538)</f>
        <v/>
      </c>
      <c r="AI3538" s="10">
        <f>LEN(L3538)</f>
        <v/>
      </c>
    </row>
    <row r="3539">
      <c r="J3539" s="12">
        <f>IF(F3539&lt;&gt;0,"LANÇAR","")</f>
        <v/>
      </c>
      <c r="L3539" s="13">
        <f>N3539&amp;O3539&amp;P3539&amp;Q3539&amp;R3539&amp;S3539&amp;T3539&amp;U3539&amp;V3539&amp;W3539&amp;X3539&amp;Y3539&amp;Z3539&amp;AA3539&amp;AB3539&amp;AC3539&amp;AD3539&amp;AE3539&amp;AF3539&amp;AG3539</f>
        <v/>
      </c>
      <c r="N3539" s="10">
        <f>TEXT($B$6,"00")</f>
        <v/>
      </c>
      <c r="O3539" s="10">
        <f>REPT(" ",8)</f>
        <v/>
      </c>
      <c r="P3539" s="10">
        <f>RIGHT($B$4,2)</f>
        <v/>
      </c>
      <c r="Q3539" s="10">
        <f>RIGHT($B$5,3)</f>
        <v/>
      </c>
      <c r="R3539" s="10">
        <f>IF(A3539="D",LEFT(UPPER(B3539)&amp;REPT(" ",20),20),REPT(" ",20))</f>
        <v/>
      </c>
      <c r="S3539" s="10">
        <f>IF(A3539="D",LEFT(UPPER(C3539)&amp;REPT(" ",10),10)," ")</f>
        <v/>
      </c>
      <c r="T3539" s="10">
        <f>IF(A3539="D",LEFT(UPPER(D3539)&amp;REPT(" ",2),2)," ")</f>
        <v/>
      </c>
      <c r="U3539" s="10">
        <f>IF(A3539="D",LEFT(UPPER(E3539)&amp;REPT(" ",15),15)," ")</f>
        <v/>
      </c>
      <c r="V3539" s="10">
        <f>REPT(" ",24)</f>
        <v/>
      </c>
      <c r="W3539" s="10">
        <f>IF(A3539="c",LEFT(UPPER(B3539)&amp;REPT(" ",20),20),REPT(" ",20))</f>
        <v/>
      </c>
      <c r="X3539" s="10">
        <f>IF(A3539="C",LEFT(UPPER(C3539)&amp;REPT(" ",10),10)," ")</f>
        <v/>
      </c>
      <c r="Y3539" s="10">
        <f>IF(A3539="C",LEFT(UPPER(D3539)&amp;REPT(" ",2),2)," ")</f>
        <v/>
      </c>
      <c r="Z3539" s="10">
        <f>IF(A3539="C",LEFT(UPPER(E3539)&amp;REPT(" ",15),15)," ")</f>
        <v/>
      </c>
      <c r="AA3539" s="10">
        <f>REPT(" ",8)</f>
        <v/>
      </c>
      <c r="AB3539" s="10">
        <f>REPT(" ",4)</f>
        <v/>
      </c>
      <c r="AC3539" s="10">
        <f>LEFT(UPPER(H3539)&amp;REPT(" ",250),250)</f>
        <v/>
      </c>
      <c r="AD3539" s="10">
        <f>TEXT($G$2,"dd/mm/aaaa")</f>
        <v/>
      </c>
      <c r="AE3539" s="10">
        <f>REPT(" ",10)</f>
        <v/>
      </c>
      <c r="AF3539" s="10">
        <f>REPT(" ",20)</f>
        <v/>
      </c>
      <c r="AG3539" s="54">
        <f>REPT(" ",18-LEN(FIXED(F3539,2,TRUE)))&amp;FIXED(F3539,2,TRUE)</f>
        <v/>
      </c>
      <c r="AH3539" s="10">
        <f>LEN(AC3539)+LEN(AG3539)</f>
        <v/>
      </c>
      <c r="AI3539" s="10">
        <f>LEN(L3539)</f>
        <v/>
      </c>
    </row>
    <row r="3540">
      <c r="J3540" s="12">
        <f>IF(F3540&lt;&gt;0,"LANÇAR","")</f>
        <v/>
      </c>
      <c r="L3540" s="13">
        <f>N3540&amp;O3540&amp;P3540&amp;Q3540&amp;R3540&amp;S3540&amp;T3540&amp;U3540&amp;V3540&amp;W3540&amp;X3540&amp;Y3540&amp;Z3540&amp;AA3540&amp;AB3540&amp;AC3540&amp;AD3540&amp;AE3540&amp;AF3540&amp;AG3540</f>
        <v/>
      </c>
      <c r="N3540" s="10">
        <f>TEXT($B$6,"00")</f>
        <v/>
      </c>
      <c r="O3540" s="10">
        <f>REPT(" ",8)</f>
        <v/>
      </c>
      <c r="P3540" s="10">
        <f>RIGHT($B$4,2)</f>
        <v/>
      </c>
      <c r="Q3540" s="10">
        <f>RIGHT($B$5,3)</f>
        <v/>
      </c>
      <c r="R3540" s="10">
        <f>IF(A3540="D",LEFT(UPPER(B3540)&amp;REPT(" ",20),20),REPT(" ",20))</f>
        <v/>
      </c>
      <c r="S3540" s="10">
        <f>IF(A3540="D",LEFT(UPPER(C3540)&amp;REPT(" ",10),10)," ")</f>
        <v/>
      </c>
      <c r="T3540" s="10">
        <f>IF(A3540="D",LEFT(UPPER(D3540)&amp;REPT(" ",2),2)," ")</f>
        <v/>
      </c>
      <c r="U3540" s="10">
        <f>IF(A3540="D",LEFT(UPPER(E3540)&amp;REPT(" ",15),15)," ")</f>
        <v/>
      </c>
      <c r="V3540" s="10">
        <f>REPT(" ",24)</f>
        <v/>
      </c>
      <c r="W3540" s="10">
        <f>IF(A3540="c",LEFT(UPPER(B3540)&amp;REPT(" ",20),20),REPT(" ",20))</f>
        <v/>
      </c>
      <c r="X3540" s="10">
        <f>IF(A3540="C",LEFT(UPPER(C3540)&amp;REPT(" ",10),10)," ")</f>
        <v/>
      </c>
      <c r="Y3540" s="10">
        <f>IF(A3540="C",LEFT(UPPER(D3540)&amp;REPT(" ",2),2)," ")</f>
        <v/>
      </c>
      <c r="Z3540" s="10">
        <f>IF(A3540="C",LEFT(UPPER(E3540)&amp;REPT(" ",15),15)," ")</f>
        <v/>
      </c>
      <c r="AA3540" s="10">
        <f>REPT(" ",8)</f>
        <v/>
      </c>
      <c r="AB3540" s="10">
        <f>REPT(" ",4)</f>
        <v/>
      </c>
      <c r="AC3540" s="10">
        <f>LEFT(UPPER(H3540)&amp;REPT(" ",250),250)</f>
        <v/>
      </c>
      <c r="AD3540" s="10">
        <f>TEXT($G$2,"dd/mm/aaaa")</f>
        <v/>
      </c>
      <c r="AE3540" s="10">
        <f>REPT(" ",10)</f>
        <v/>
      </c>
      <c r="AF3540" s="10">
        <f>REPT(" ",20)</f>
        <v/>
      </c>
      <c r="AG3540" s="54">
        <f>REPT(" ",18-LEN(FIXED(F3540,2,TRUE)))&amp;FIXED(F3540,2,TRUE)</f>
        <v/>
      </c>
      <c r="AH3540" s="10">
        <f>LEN(AC3540)+LEN(AG3540)</f>
        <v/>
      </c>
      <c r="AI3540" s="10">
        <f>LEN(L3540)</f>
        <v/>
      </c>
    </row>
    <row r="3541">
      <c r="J3541" s="12">
        <f>IF(F3541&lt;&gt;0,"LANÇAR","")</f>
        <v/>
      </c>
      <c r="L3541" s="13">
        <f>N3541&amp;O3541&amp;P3541&amp;Q3541&amp;R3541&amp;S3541&amp;T3541&amp;U3541&amp;V3541&amp;W3541&amp;X3541&amp;Y3541&amp;Z3541&amp;AA3541&amp;AB3541&amp;AC3541&amp;AD3541&amp;AE3541&amp;AF3541&amp;AG3541</f>
        <v/>
      </c>
      <c r="N3541" s="10">
        <f>TEXT($B$6,"00")</f>
        <v/>
      </c>
      <c r="O3541" s="10">
        <f>REPT(" ",8)</f>
        <v/>
      </c>
      <c r="P3541" s="10">
        <f>RIGHT($B$4,2)</f>
        <v/>
      </c>
      <c r="Q3541" s="10">
        <f>RIGHT($B$5,3)</f>
        <v/>
      </c>
      <c r="R3541" s="10">
        <f>IF(A3541="D",LEFT(UPPER(B3541)&amp;REPT(" ",20),20),REPT(" ",20))</f>
        <v/>
      </c>
      <c r="S3541" s="10">
        <f>IF(A3541="D",LEFT(UPPER(C3541)&amp;REPT(" ",10),10)," ")</f>
        <v/>
      </c>
      <c r="T3541" s="10">
        <f>IF(A3541="D",LEFT(UPPER(D3541)&amp;REPT(" ",2),2)," ")</f>
        <v/>
      </c>
      <c r="U3541" s="10">
        <f>IF(A3541="D",LEFT(UPPER(E3541)&amp;REPT(" ",15),15)," ")</f>
        <v/>
      </c>
      <c r="V3541" s="10">
        <f>REPT(" ",24)</f>
        <v/>
      </c>
      <c r="W3541" s="10">
        <f>IF(A3541="c",LEFT(UPPER(B3541)&amp;REPT(" ",20),20),REPT(" ",20))</f>
        <v/>
      </c>
      <c r="X3541" s="10">
        <f>IF(A3541="C",LEFT(UPPER(C3541)&amp;REPT(" ",10),10)," ")</f>
        <v/>
      </c>
      <c r="Y3541" s="10">
        <f>IF(A3541="C",LEFT(UPPER(D3541)&amp;REPT(" ",2),2)," ")</f>
        <v/>
      </c>
      <c r="Z3541" s="10">
        <f>IF(A3541="C",LEFT(UPPER(E3541)&amp;REPT(" ",15),15)," ")</f>
        <v/>
      </c>
      <c r="AA3541" s="10">
        <f>REPT(" ",8)</f>
        <v/>
      </c>
      <c r="AB3541" s="10">
        <f>REPT(" ",4)</f>
        <v/>
      </c>
      <c r="AC3541" s="10">
        <f>LEFT(UPPER(H3541)&amp;REPT(" ",250),250)</f>
        <v/>
      </c>
      <c r="AD3541" s="10">
        <f>TEXT($G$2,"dd/mm/aaaa")</f>
        <v/>
      </c>
      <c r="AE3541" s="10">
        <f>REPT(" ",10)</f>
        <v/>
      </c>
      <c r="AF3541" s="10">
        <f>REPT(" ",20)</f>
        <v/>
      </c>
      <c r="AG3541" s="54">
        <f>REPT(" ",18-LEN(FIXED(F3541,2,TRUE)))&amp;FIXED(F3541,2,TRUE)</f>
        <v/>
      </c>
      <c r="AH3541" s="10">
        <f>LEN(AC3541)+LEN(AG3541)</f>
        <v/>
      </c>
      <c r="AI3541" s="10">
        <f>LEN(L3541)</f>
        <v/>
      </c>
    </row>
    <row r="3542">
      <c r="J3542" s="12">
        <f>IF(F3542&lt;&gt;0,"LANÇAR","")</f>
        <v/>
      </c>
      <c r="L3542" s="13">
        <f>N3542&amp;O3542&amp;P3542&amp;Q3542&amp;R3542&amp;S3542&amp;T3542&amp;U3542&amp;V3542&amp;W3542&amp;X3542&amp;Y3542&amp;Z3542&amp;AA3542&amp;AB3542&amp;AC3542&amp;AD3542&amp;AE3542&amp;AF3542&amp;AG3542</f>
        <v/>
      </c>
      <c r="N3542" s="10">
        <f>TEXT($B$6,"00")</f>
        <v/>
      </c>
      <c r="O3542" s="10">
        <f>REPT(" ",8)</f>
        <v/>
      </c>
      <c r="P3542" s="10">
        <f>RIGHT($B$4,2)</f>
        <v/>
      </c>
      <c r="Q3542" s="10">
        <f>RIGHT($B$5,3)</f>
        <v/>
      </c>
      <c r="R3542" s="10">
        <f>IF(A3542="D",LEFT(UPPER(B3542)&amp;REPT(" ",20),20),REPT(" ",20))</f>
        <v/>
      </c>
      <c r="S3542" s="10">
        <f>IF(A3542="D",LEFT(UPPER(C3542)&amp;REPT(" ",10),10)," ")</f>
        <v/>
      </c>
      <c r="T3542" s="10">
        <f>IF(A3542="D",LEFT(UPPER(D3542)&amp;REPT(" ",2),2)," ")</f>
        <v/>
      </c>
      <c r="U3542" s="10">
        <f>IF(A3542="D",LEFT(UPPER(E3542)&amp;REPT(" ",15),15)," ")</f>
        <v/>
      </c>
      <c r="V3542" s="10">
        <f>REPT(" ",24)</f>
        <v/>
      </c>
      <c r="W3542" s="10">
        <f>IF(A3542="c",LEFT(UPPER(B3542)&amp;REPT(" ",20),20),REPT(" ",20))</f>
        <v/>
      </c>
      <c r="X3542" s="10">
        <f>IF(A3542="C",LEFT(UPPER(C3542)&amp;REPT(" ",10),10)," ")</f>
        <v/>
      </c>
      <c r="Y3542" s="10">
        <f>IF(A3542="C",LEFT(UPPER(D3542)&amp;REPT(" ",2),2)," ")</f>
        <v/>
      </c>
      <c r="Z3542" s="10">
        <f>IF(A3542="C",LEFT(UPPER(E3542)&amp;REPT(" ",15),15)," ")</f>
        <v/>
      </c>
      <c r="AA3542" s="10">
        <f>REPT(" ",8)</f>
        <v/>
      </c>
      <c r="AB3542" s="10">
        <f>REPT(" ",4)</f>
        <v/>
      </c>
      <c r="AC3542" s="10">
        <f>LEFT(UPPER(H3542)&amp;REPT(" ",250),250)</f>
        <v/>
      </c>
      <c r="AD3542" s="10">
        <f>TEXT($G$2,"dd/mm/aaaa")</f>
        <v/>
      </c>
      <c r="AE3542" s="10">
        <f>REPT(" ",10)</f>
        <v/>
      </c>
      <c r="AF3542" s="10">
        <f>REPT(" ",20)</f>
        <v/>
      </c>
      <c r="AG3542" s="54">
        <f>REPT(" ",18-LEN(FIXED(F3542,2,TRUE)))&amp;FIXED(F3542,2,TRUE)</f>
        <v/>
      </c>
      <c r="AH3542" s="10">
        <f>LEN(AC3542)+LEN(AG3542)</f>
        <v/>
      </c>
      <c r="AI3542" s="10">
        <f>LEN(L3542)</f>
        <v/>
      </c>
    </row>
    <row r="3543">
      <c r="J3543" s="12">
        <f>IF(F3543&lt;&gt;0,"LANÇAR","")</f>
        <v/>
      </c>
      <c r="L3543" s="13">
        <f>N3543&amp;O3543&amp;P3543&amp;Q3543&amp;R3543&amp;S3543&amp;T3543&amp;U3543&amp;V3543&amp;W3543&amp;X3543&amp;Y3543&amp;Z3543&amp;AA3543&amp;AB3543&amp;AC3543&amp;AD3543&amp;AE3543&amp;AF3543&amp;AG3543</f>
        <v/>
      </c>
      <c r="N3543" s="10">
        <f>TEXT($B$6,"00")</f>
        <v/>
      </c>
      <c r="O3543" s="10">
        <f>REPT(" ",8)</f>
        <v/>
      </c>
      <c r="P3543" s="10">
        <f>RIGHT($B$4,2)</f>
        <v/>
      </c>
      <c r="Q3543" s="10">
        <f>RIGHT($B$5,3)</f>
        <v/>
      </c>
      <c r="R3543" s="10">
        <f>IF(A3543="D",LEFT(UPPER(B3543)&amp;REPT(" ",20),20),REPT(" ",20))</f>
        <v/>
      </c>
      <c r="S3543" s="10">
        <f>IF(A3543="D",LEFT(UPPER(C3543)&amp;REPT(" ",10),10)," ")</f>
        <v/>
      </c>
      <c r="T3543" s="10">
        <f>IF(A3543="D",LEFT(UPPER(D3543)&amp;REPT(" ",2),2)," ")</f>
        <v/>
      </c>
      <c r="U3543" s="10">
        <f>IF(A3543="D",LEFT(UPPER(E3543)&amp;REPT(" ",15),15)," ")</f>
        <v/>
      </c>
      <c r="V3543" s="10">
        <f>REPT(" ",24)</f>
        <v/>
      </c>
      <c r="W3543" s="10">
        <f>IF(A3543="c",LEFT(UPPER(B3543)&amp;REPT(" ",20),20),REPT(" ",20))</f>
        <v/>
      </c>
      <c r="X3543" s="10">
        <f>IF(A3543="C",LEFT(UPPER(C3543)&amp;REPT(" ",10),10)," ")</f>
        <v/>
      </c>
      <c r="Y3543" s="10">
        <f>IF(A3543="C",LEFT(UPPER(D3543)&amp;REPT(" ",2),2)," ")</f>
        <v/>
      </c>
      <c r="Z3543" s="10">
        <f>IF(A3543="C",LEFT(UPPER(E3543)&amp;REPT(" ",15),15)," ")</f>
        <v/>
      </c>
      <c r="AA3543" s="10">
        <f>REPT(" ",8)</f>
        <v/>
      </c>
      <c r="AB3543" s="10">
        <f>REPT(" ",4)</f>
        <v/>
      </c>
      <c r="AC3543" s="10">
        <f>LEFT(UPPER(H3543)&amp;REPT(" ",250),250)</f>
        <v/>
      </c>
      <c r="AD3543" s="10">
        <f>TEXT($G$2,"dd/mm/aaaa")</f>
        <v/>
      </c>
      <c r="AE3543" s="10">
        <f>REPT(" ",10)</f>
        <v/>
      </c>
      <c r="AF3543" s="10">
        <f>REPT(" ",20)</f>
        <v/>
      </c>
      <c r="AG3543" s="54">
        <f>REPT(" ",18-LEN(FIXED(F3543,2,TRUE)))&amp;FIXED(F3543,2,TRUE)</f>
        <v/>
      </c>
      <c r="AH3543" s="10">
        <f>LEN(AC3543)+LEN(AG3543)</f>
        <v/>
      </c>
      <c r="AI3543" s="10">
        <f>LEN(L3543)</f>
        <v/>
      </c>
    </row>
    <row r="3544">
      <c r="J3544" s="12">
        <f>IF(F3544&lt;&gt;0,"LANÇAR","")</f>
        <v/>
      </c>
      <c r="L3544" s="13">
        <f>N3544&amp;O3544&amp;P3544&amp;Q3544&amp;R3544&amp;S3544&amp;T3544&amp;U3544&amp;V3544&amp;W3544&amp;X3544&amp;Y3544&amp;Z3544&amp;AA3544&amp;AB3544&amp;AC3544&amp;AD3544&amp;AE3544&amp;AF3544&amp;AG3544</f>
        <v/>
      </c>
      <c r="N3544" s="10">
        <f>TEXT($B$6,"00")</f>
        <v/>
      </c>
      <c r="O3544" s="10">
        <f>REPT(" ",8)</f>
        <v/>
      </c>
      <c r="P3544" s="10">
        <f>RIGHT($B$4,2)</f>
        <v/>
      </c>
      <c r="Q3544" s="10">
        <f>RIGHT($B$5,3)</f>
        <v/>
      </c>
      <c r="R3544" s="10">
        <f>IF(A3544="D",LEFT(UPPER(B3544)&amp;REPT(" ",20),20),REPT(" ",20))</f>
        <v/>
      </c>
      <c r="S3544" s="10">
        <f>IF(A3544="D",LEFT(UPPER(C3544)&amp;REPT(" ",10),10)," ")</f>
        <v/>
      </c>
      <c r="T3544" s="10">
        <f>IF(A3544="D",LEFT(UPPER(D3544)&amp;REPT(" ",2),2)," ")</f>
        <v/>
      </c>
      <c r="U3544" s="10">
        <f>IF(A3544="D",LEFT(UPPER(E3544)&amp;REPT(" ",15),15)," ")</f>
        <v/>
      </c>
      <c r="V3544" s="10">
        <f>REPT(" ",24)</f>
        <v/>
      </c>
      <c r="W3544" s="10">
        <f>IF(A3544="c",LEFT(UPPER(B3544)&amp;REPT(" ",20),20),REPT(" ",20))</f>
        <v/>
      </c>
      <c r="X3544" s="10">
        <f>IF(A3544="C",LEFT(UPPER(C3544)&amp;REPT(" ",10),10)," ")</f>
        <v/>
      </c>
      <c r="Y3544" s="10">
        <f>IF(A3544="C",LEFT(UPPER(D3544)&amp;REPT(" ",2),2)," ")</f>
        <v/>
      </c>
      <c r="Z3544" s="10">
        <f>IF(A3544="C",LEFT(UPPER(E3544)&amp;REPT(" ",15),15)," ")</f>
        <v/>
      </c>
      <c r="AA3544" s="10">
        <f>REPT(" ",8)</f>
        <v/>
      </c>
      <c r="AB3544" s="10">
        <f>REPT(" ",4)</f>
        <v/>
      </c>
      <c r="AC3544" s="10">
        <f>LEFT(UPPER(H3544)&amp;REPT(" ",250),250)</f>
        <v/>
      </c>
      <c r="AD3544" s="10">
        <f>TEXT($G$2,"dd/mm/aaaa")</f>
        <v/>
      </c>
      <c r="AE3544" s="10">
        <f>REPT(" ",10)</f>
        <v/>
      </c>
      <c r="AF3544" s="10">
        <f>REPT(" ",20)</f>
        <v/>
      </c>
      <c r="AG3544" s="54">
        <f>REPT(" ",18-LEN(FIXED(F3544,2,TRUE)))&amp;FIXED(F3544,2,TRUE)</f>
        <v/>
      </c>
      <c r="AH3544" s="10">
        <f>LEN(AC3544)+LEN(AG3544)</f>
        <v/>
      </c>
      <c r="AI3544" s="10">
        <f>LEN(L3544)</f>
        <v/>
      </c>
    </row>
    <row r="3545">
      <c r="J3545" s="12">
        <f>IF(F3545&lt;&gt;0,"LANÇAR","")</f>
        <v/>
      </c>
      <c r="L3545" s="13">
        <f>N3545&amp;O3545&amp;P3545&amp;Q3545&amp;R3545&amp;S3545&amp;T3545&amp;U3545&amp;V3545&amp;W3545&amp;X3545&amp;Y3545&amp;Z3545&amp;AA3545&amp;AB3545&amp;AC3545&amp;AD3545&amp;AE3545&amp;AF3545&amp;AG3545</f>
        <v/>
      </c>
      <c r="N3545" s="10">
        <f>TEXT($B$6,"00")</f>
        <v/>
      </c>
      <c r="O3545" s="10">
        <f>REPT(" ",8)</f>
        <v/>
      </c>
      <c r="P3545" s="10">
        <f>RIGHT($B$4,2)</f>
        <v/>
      </c>
      <c r="Q3545" s="10">
        <f>RIGHT($B$5,3)</f>
        <v/>
      </c>
      <c r="R3545" s="10">
        <f>IF(A3545="D",LEFT(UPPER(B3545)&amp;REPT(" ",20),20),REPT(" ",20))</f>
        <v/>
      </c>
      <c r="S3545" s="10">
        <f>IF(A3545="D",LEFT(UPPER(C3545)&amp;REPT(" ",10),10)," ")</f>
        <v/>
      </c>
      <c r="T3545" s="10">
        <f>IF(A3545="D",LEFT(UPPER(D3545)&amp;REPT(" ",2),2)," ")</f>
        <v/>
      </c>
      <c r="U3545" s="10">
        <f>IF(A3545="D",LEFT(UPPER(E3545)&amp;REPT(" ",15),15)," ")</f>
        <v/>
      </c>
      <c r="V3545" s="10">
        <f>REPT(" ",24)</f>
        <v/>
      </c>
      <c r="W3545" s="10">
        <f>IF(A3545="c",LEFT(UPPER(B3545)&amp;REPT(" ",20),20),REPT(" ",20))</f>
        <v/>
      </c>
      <c r="X3545" s="10">
        <f>IF(A3545="C",LEFT(UPPER(C3545)&amp;REPT(" ",10),10)," ")</f>
        <v/>
      </c>
      <c r="Y3545" s="10">
        <f>IF(A3545="C",LEFT(UPPER(D3545)&amp;REPT(" ",2),2)," ")</f>
        <v/>
      </c>
      <c r="Z3545" s="10">
        <f>IF(A3545="C",LEFT(UPPER(E3545)&amp;REPT(" ",15),15)," ")</f>
        <v/>
      </c>
      <c r="AA3545" s="10">
        <f>REPT(" ",8)</f>
        <v/>
      </c>
      <c r="AB3545" s="10">
        <f>REPT(" ",4)</f>
        <v/>
      </c>
      <c r="AC3545" s="10">
        <f>LEFT(UPPER(H3545)&amp;REPT(" ",250),250)</f>
        <v/>
      </c>
      <c r="AD3545" s="10">
        <f>TEXT($G$2,"dd/mm/aaaa")</f>
        <v/>
      </c>
      <c r="AE3545" s="10">
        <f>REPT(" ",10)</f>
        <v/>
      </c>
      <c r="AF3545" s="10">
        <f>REPT(" ",20)</f>
        <v/>
      </c>
      <c r="AG3545" s="54">
        <f>REPT(" ",18-LEN(FIXED(F3545,2,TRUE)))&amp;FIXED(F3545,2,TRUE)</f>
        <v/>
      </c>
      <c r="AH3545" s="10">
        <f>LEN(AC3545)+LEN(AG3545)</f>
        <v/>
      </c>
      <c r="AI3545" s="10">
        <f>LEN(L3545)</f>
        <v/>
      </c>
    </row>
    <row r="3546">
      <c r="J3546" s="12">
        <f>IF(F3546&lt;&gt;0,"LANÇAR","")</f>
        <v/>
      </c>
      <c r="L3546" s="13">
        <f>N3546&amp;O3546&amp;P3546&amp;Q3546&amp;R3546&amp;S3546&amp;T3546&amp;U3546&amp;V3546&amp;W3546&amp;X3546&amp;Y3546&amp;Z3546&amp;AA3546&amp;AB3546&amp;AC3546&amp;AD3546&amp;AE3546&amp;AF3546&amp;AG3546</f>
        <v/>
      </c>
      <c r="N3546" s="10">
        <f>TEXT($B$6,"00")</f>
        <v/>
      </c>
      <c r="O3546" s="10">
        <f>REPT(" ",8)</f>
        <v/>
      </c>
      <c r="P3546" s="10">
        <f>RIGHT($B$4,2)</f>
        <v/>
      </c>
      <c r="Q3546" s="10">
        <f>RIGHT($B$5,3)</f>
        <v/>
      </c>
      <c r="R3546" s="10">
        <f>IF(A3546="D",LEFT(UPPER(B3546)&amp;REPT(" ",20),20),REPT(" ",20))</f>
        <v/>
      </c>
      <c r="S3546" s="10">
        <f>IF(A3546="D",LEFT(UPPER(C3546)&amp;REPT(" ",10),10)," ")</f>
        <v/>
      </c>
      <c r="T3546" s="10">
        <f>IF(A3546="D",LEFT(UPPER(D3546)&amp;REPT(" ",2),2)," ")</f>
        <v/>
      </c>
      <c r="U3546" s="10">
        <f>IF(A3546="D",LEFT(UPPER(E3546)&amp;REPT(" ",15),15)," ")</f>
        <v/>
      </c>
      <c r="V3546" s="10">
        <f>REPT(" ",24)</f>
        <v/>
      </c>
      <c r="W3546" s="10">
        <f>IF(A3546="c",LEFT(UPPER(B3546)&amp;REPT(" ",20),20),REPT(" ",20))</f>
        <v/>
      </c>
      <c r="X3546" s="10">
        <f>IF(A3546="C",LEFT(UPPER(C3546)&amp;REPT(" ",10),10)," ")</f>
        <v/>
      </c>
      <c r="Y3546" s="10">
        <f>IF(A3546="C",LEFT(UPPER(D3546)&amp;REPT(" ",2),2)," ")</f>
        <v/>
      </c>
      <c r="Z3546" s="10">
        <f>IF(A3546="C",LEFT(UPPER(E3546)&amp;REPT(" ",15),15)," ")</f>
        <v/>
      </c>
      <c r="AA3546" s="10">
        <f>REPT(" ",8)</f>
        <v/>
      </c>
      <c r="AB3546" s="10">
        <f>REPT(" ",4)</f>
        <v/>
      </c>
      <c r="AC3546" s="10">
        <f>LEFT(UPPER(H3546)&amp;REPT(" ",250),250)</f>
        <v/>
      </c>
      <c r="AD3546" s="10">
        <f>TEXT($G$2,"dd/mm/aaaa")</f>
        <v/>
      </c>
      <c r="AE3546" s="10">
        <f>REPT(" ",10)</f>
        <v/>
      </c>
      <c r="AF3546" s="10">
        <f>REPT(" ",20)</f>
        <v/>
      </c>
      <c r="AG3546" s="54">
        <f>REPT(" ",18-LEN(FIXED(F3546,2,TRUE)))&amp;FIXED(F3546,2,TRUE)</f>
        <v/>
      </c>
      <c r="AH3546" s="10">
        <f>LEN(AC3546)+LEN(AG3546)</f>
        <v/>
      </c>
      <c r="AI3546" s="10">
        <f>LEN(L3546)</f>
        <v/>
      </c>
    </row>
    <row r="3547">
      <c r="J3547" s="12">
        <f>IF(F3547&lt;&gt;0,"LANÇAR","")</f>
        <v/>
      </c>
      <c r="L3547" s="13">
        <f>N3547&amp;O3547&amp;P3547&amp;Q3547&amp;R3547&amp;S3547&amp;T3547&amp;U3547&amp;V3547&amp;W3547&amp;X3547&amp;Y3547&amp;Z3547&amp;AA3547&amp;AB3547&amp;AC3547&amp;AD3547&amp;AE3547&amp;AF3547&amp;AG3547</f>
        <v/>
      </c>
      <c r="N3547" s="10">
        <f>TEXT($B$6,"00")</f>
        <v/>
      </c>
      <c r="O3547" s="10">
        <f>REPT(" ",8)</f>
        <v/>
      </c>
      <c r="P3547" s="10">
        <f>RIGHT($B$4,2)</f>
        <v/>
      </c>
      <c r="Q3547" s="10">
        <f>RIGHT($B$5,3)</f>
        <v/>
      </c>
      <c r="R3547" s="10">
        <f>IF(A3547="D",LEFT(UPPER(B3547)&amp;REPT(" ",20),20),REPT(" ",20))</f>
        <v/>
      </c>
      <c r="S3547" s="10">
        <f>IF(A3547="D",LEFT(UPPER(C3547)&amp;REPT(" ",10),10)," ")</f>
        <v/>
      </c>
      <c r="T3547" s="10">
        <f>IF(A3547="D",LEFT(UPPER(D3547)&amp;REPT(" ",2),2)," ")</f>
        <v/>
      </c>
      <c r="U3547" s="10">
        <f>IF(A3547="D",LEFT(UPPER(E3547)&amp;REPT(" ",15),15)," ")</f>
        <v/>
      </c>
      <c r="V3547" s="10">
        <f>REPT(" ",24)</f>
        <v/>
      </c>
      <c r="W3547" s="10">
        <f>IF(A3547="c",LEFT(UPPER(B3547)&amp;REPT(" ",20),20),REPT(" ",20))</f>
        <v/>
      </c>
      <c r="X3547" s="10">
        <f>IF(A3547="C",LEFT(UPPER(C3547)&amp;REPT(" ",10),10)," ")</f>
        <v/>
      </c>
      <c r="Y3547" s="10">
        <f>IF(A3547="C",LEFT(UPPER(D3547)&amp;REPT(" ",2),2)," ")</f>
        <v/>
      </c>
      <c r="Z3547" s="10">
        <f>IF(A3547="C",LEFT(UPPER(E3547)&amp;REPT(" ",15),15)," ")</f>
        <v/>
      </c>
      <c r="AA3547" s="10">
        <f>REPT(" ",8)</f>
        <v/>
      </c>
      <c r="AB3547" s="10">
        <f>REPT(" ",4)</f>
        <v/>
      </c>
      <c r="AC3547" s="10">
        <f>LEFT(UPPER(H3547)&amp;REPT(" ",250),250)</f>
        <v/>
      </c>
      <c r="AD3547" s="10">
        <f>TEXT($G$2,"dd/mm/aaaa")</f>
        <v/>
      </c>
      <c r="AE3547" s="10">
        <f>REPT(" ",10)</f>
        <v/>
      </c>
      <c r="AF3547" s="10">
        <f>REPT(" ",20)</f>
        <v/>
      </c>
      <c r="AG3547" s="54">
        <f>REPT(" ",18-LEN(FIXED(F3547,2,TRUE)))&amp;FIXED(F3547,2,TRUE)</f>
        <v/>
      </c>
      <c r="AH3547" s="10">
        <f>LEN(AC3547)+LEN(AG3547)</f>
        <v/>
      </c>
      <c r="AI3547" s="10">
        <f>LEN(L3547)</f>
        <v/>
      </c>
    </row>
    <row r="3548">
      <c r="J3548" s="12">
        <f>IF(F3548&lt;&gt;0,"LANÇAR","")</f>
        <v/>
      </c>
      <c r="L3548" s="13">
        <f>N3548&amp;O3548&amp;P3548&amp;Q3548&amp;R3548&amp;S3548&amp;T3548&amp;U3548&amp;V3548&amp;W3548&amp;X3548&amp;Y3548&amp;Z3548&amp;AA3548&amp;AB3548&amp;AC3548&amp;AD3548&amp;AE3548&amp;AF3548&amp;AG3548</f>
        <v/>
      </c>
      <c r="N3548" s="10">
        <f>TEXT($B$6,"00")</f>
        <v/>
      </c>
      <c r="O3548" s="10">
        <f>REPT(" ",8)</f>
        <v/>
      </c>
      <c r="P3548" s="10">
        <f>RIGHT($B$4,2)</f>
        <v/>
      </c>
      <c r="Q3548" s="10">
        <f>RIGHT($B$5,3)</f>
        <v/>
      </c>
      <c r="R3548" s="10">
        <f>IF(A3548="D",LEFT(UPPER(B3548)&amp;REPT(" ",20),20),REPT(" ",20))</f>
        <v/>
      </c>
      <c r="S3548" s="10">
        <f>IF(A3548="D",LEFT(UPPER(C3548)&amp;REPT(" ",10),10)," ")</f>
        <v/>
      </c>
      <c r="T3548" s="10">
        <f>IF(A3548="D",LEFT(UPPER(D3548)&amp;REPT(" ",2),2)," ")</f>
        <v/>
      </c>
      <c r="U3548" s="10">
        <f>IF(A3548="D",LEFT(UPPER(E3548)&amp;REPT(" ",15),15)," ")</f>
        <v/>
      </c>
      <c r="V3548" s="10">
        <f>REPT(" ",24)</f>
        <v/>
      </c>
      <c r="W3548" s="10">
        <f>IF(A3548="c",LEFT(UPPER(B3548)&amp;REPT(" ",20),20),REPT(" ",20))</f>
        <v/>
      </c>
      <c r="X3548" s="10">
        <f>IF(A3548="C",LEFT(UPPER(C3548)&amp;REPT(" ",10),10)," ")</f>
        <v/>
      </c>
      <c r="Y3548" s="10">
        <f>IF(A3548="C",LEFT(UPPER(D3548)&amp;REPT(" ",2),2)," ")</f>
        <v/>
      </c>
      <c r="Z3548" s="10">
        <f>IF(A3548="C",LEFT(UPPER(E3548)&amp;REPT(" ",15),15)," ")</f>
        <v/>
      </c>
      <c r="AA3548" s="10">
        <f>REPT(" ",8)</f>
        <v/>
      </c>
      <c r="AB3548" s="10">
        <f>REPT(" ",4)</f>
        <v/>
      </c>
      <c r="AC3548" s="10">
        <f>LEFT(UPPER(H3548)&amp;REPT(" ",250),250)</f>
        <v/>
      </c>
      <c r="AD3548" s="10">
        <f>TEXT($G$2,"dd/mm/aaaa")</f>
        <v/>
      </c>
      <c r="AE3548" s="10">
        <f>REPT(" ",10)</f>
        <v/>
      </c>
      <c r="AF3548" s="10">
        <f>REPT(" ",20)</f>
        <v/>
      </c>
      <c r="AG3548" s="54">
        <f>REPT(" ",18-LEN(FIXED(F3548,2,TRUE)))&amp;FIXED(F3548,2,TRUE)</f>
        <v/>
      </c>
      <c r="AH3548" s="10">
        <f>LEN(AC3548)+LEN(AG3548)</f>
        <v/>
      </c>
      <c r="AI3548" s="10">
        <f>LEN(L3548)</f>
        <v/>
      </c>
    </row>
    <row r="3549">
      <c r="J3549" s="12">
        <f>IF(F3549&lt;&gt;0,"LANÇAR","")</f>
        <v/>
      </c>
      <c r="L3549" s="13">
        <f>N3549&amp;O3549&amp;P3549&amp;Q3549&amp;R3549&amp;S3549&amp;T3549&amp;U3549&amp;V3549&amp;W3549&amp;X3549&amp;Y3549&amp;Z3549&amp;AA3549&amp;AB3549&amp;AC3549&amp;AD3549&amp;AE3549&amp;AF3549&amp;AG3549</f>
        <v/>
      </c>
      <c r="N3549" s="10">
        <f>TEXT($B$6,"00")</f>
        <v/>
      </c>
      <c r="O3549" s="10">
        <f>REPT(" ",8)</f>
        <v/>
      </c>
      <c r="P3549" s="10">
        <f>RIGHT($B$4,2)</f>
        <v/>
      </c>
      <c r="Q3549" s="10">
        <f>RIGHT($B$5,3)</f>
        <v/>
      </c>
      <c r="R3549" s="10">
        <f>IF(A3549="D",LEFT(UPPER(B3549)&amp;REPT(" ",20),20),REPT(" ",20))</f>
        <v/>
      </c>
      <c r="S3549" s="10">
        <f>IF(A3549="D",LEFT(UPPER(C3549)&amp;REPT(" ",10),10)," ")</f>
        <v/>
      </c>
      <c r="T3549" s="10">
        <f>IF(A3549="D",LEFT(UPPER(D3549)&amp;REPT(" ",2),2)," ")</f>
        <v/>
      </c>
      <c r="U3549" s="10">
        <f>IF(A3549="D",LEFT(UPPER(E3549)&amp;REPT(" ",15),15)," ")</f>
        <v/>
      </c>
      <c r="V3549" s="10">
        <f>REPT(" ",24)</f>
        <v/>
      </c>
      <c r="W3549" s="10">
        <f>IF(A3549="c",LEFT(UPPER(B3549)&amp;REPT(" ",20),20),REPT(" ",20))</f>
        <v/>
      </c>
      <c r="X3549" s="10">
        <f>IF(A3549="C",LEFT(UPPER(C3549)&amp;REPT(" ",10),10)," ")</f>
        <v/>
      </c>
      <c r="Y3549" s="10">
        <f>IF(A3549="C",LEFT(UPPER(D3549)&amp;REPT(" ",2),2)," ")</f>
        <v/>
      </c>
      <c r="Z3549" s="10">
        <f>IF(A3549="C",LEFT(UPPER(E3549)&amp;REPT(" ",15),15)," ")</f>
        <v/>
      </c>
      <c r="AA3549" s="10">
        <f>REPT(" ",8)</f>
        <v/>
      </c>
      <c r="AB3549" s="10">
        <f>REPT(" ",4)</f>
        <v/>
      </c>
      <c r="AC3549" s="10">
        <f>LEFT(UPPER(H3549)&amp;REPT(" ",250),250)</f>
        <v/>
      </c>
      <c r="AD3549" s="10">
        <f>TEXT($G$2,"dd/mm/aaaa")</f>
        <v/>
      </c>
      <c r="AE3549" s="10">
        <f>REPT(" ",10)</f>
        <v/>
      </c>
      <c r="AF3549" s="10">
        <f>REPT(" ",20)</f>
        <v/>
      </c>
      <c r="AG3549" s="54">
        <f>REPT(" ",18-LEN(FIXED(F3549,2,TRUE)))&amp;FIXED(F3549,2,TRUE)</f>
        <v/>
      </c>
      <c r="AH3549" s="10">
        <f>LEN(AC3549)+LEN(AG3549)</f>
        <v/>
      </c>
      <c r="AI3549" s="10">
        <f>LEN(L3549)</f>
        <v/>
      </c>
    </row>
    <row r="3550">
      <c r="J3550" s="12">
        <f>IF(F3550&lt;&gt;0,"LANÇAR","")</f>
        <v/>
      </c>
      <c r="L3550" s="13">
        <f>N3550&amp;O3550&amp;P3550&amp;Q3550&amp;R3550&amp;S3550&amp;T3550&amp;U3550&amp;V3550&amp;W3550&amp;X3550&amp;Y3550&amp;Z3550&amp;AA3550&amp;AB3550&amp;AC3550&amp;AD3550&amp;AE3550&amp;AF3550&amp;AG3550</f>
        <v/>
      </c>
      <c r="N3550" s="10">
        <f>TEXT($B$6,"00")</f>
        <v/>
      </c>
      <c r="O3550" s="10">
        <f>REPT(" ",8)</f>
        <v/>
      </c>
      <c r="P3550" s="10">
        <f>RIGHT($B$4,2)</f>
        <v/>
      </c>
      <c r="Q3550" s="10">
        <f>RIGHT($B$5,3)</f>
        <v/>
      </c>
      <c r="R3550" s="10">
        <f>IF(A3550="D",LEFT(UPPER(B3550)&amp;REPT(" ",20),20),REPT(" ",20))</f>
        <v/>
      </c>
      <c r="S3550" s="10">
        <f>IF(A3550="D",LEFT(UPPER(C3550)&amp;REPT(" ",10),10)," ")</f>
        <v/>
      </c>
      <c r="T3550" s="10">
        <f>IF(A3550="D",LEFT(UPPER(D3550)&amp;REPT(" ",2),2)," ")</f>
        <v/>
      </c>
      <c r="U3550" s="10">
        <f>IF(A3550="D",LEFT(UPPER(E3550)&amp;REPT(" ",15),15)," ")</f>
        <v/>
      </c>
      <c r="V3550" s="10">
        <f>REPT(" ",24)</f>
        <v/>
      </c>
      <c r="W3550" s="10">
        <f>IF(A3550="c",LEFT(UPPER(B3550)&amp;REPT(" ",20),20),REPT(" ",20))</f>
        <v/>
      </c>
      <c r="X3550" s="10">
        <f>IF(A3550="C",LEFT(UPPER(C3550)&amp;REPT(" ",10),10)," ")</f>
        <v/>
      </c>
      <c r="Y3550" s="10">
        <f>IF(A3550="C",LEFT(UPPER(D3550)&amp;REPT(" ",2),2)," ")</f>
        <v/>
      </c>
      <c r="Z3550" s="10">
        <f>IF(A3550="C",LEFT(UPPER(E3550)&amp;REPT(" ",15),15)," ")</f>
        <v/>
      </c>
      <c r="AA3550" s="10">
        <f>REPT(" ",8)</f>
        <v/>
      </c>
      <c r="AB3550" s="10">
        <f>REPT(" ",4)</f>
        <v/>
      </c>
      <c r="AC3550" s="10">
        <f>LEFT(UPPER(H3550)&amp;REPT(" ",250),250)</f>
        <v/>
      </c>
      <c r="AD3550" s="10">
        <f>TEXT($G$2,"dd/mm/aaaa")</f>
        <v/>
      </c>
      <c r="AE3550" s="10">
        <f>REPT(" ",10)</f>
        <v/>
      </c>
      <c r="AF3550" s="10">
        <f>REPT(" ",20)</f>
        <v/>
      </c>
      <c r="AG3550" s="54">
        <f>REPT(" ",18-LEN(FIXED(F3550,2,TRUE)))&amp;FIXED(F3550,2,TRUE)</f>
        <v/>
      </c>
      <c r="AH3550" s="10">
        <f>LEN(AC3550)+LEN(AG3550)</f>
        <v/>
      </c>
      <c r="AI3550" s="10">
        <f>LEN(L3550)</f>
        <v/>
      </c>
    </row>
    <row r="3551">
      <c r="J3551" s="12">
        <f>IF(F3551&lt;&gt;0,"LANÇAR","")</f>
        <v/>
      </c>
      <c r="L3551" s="13">
        <f>N3551&amp;O3551&amp;P3551&amp;Q3551&amp;R3551&amp;S3551&amp;T3551&amp;U3551&amp;V3551&amp;W3551&amp;X3551&amp;Y3551&amp;Z3551&amp;AA3551&amp;AB3551&amp;AC3551&amp;AD3551&amp;AE3551&amp;AF3551&amp;AG3551</f>
        <v/>
      </c>
      <c r="N3551" s="10">
        <f>TEXT($B$6,"00")</f>
        <v/>
      </c>
      <c r="O3551" s="10">
        <f>REPT(" ",8)</f>
        <v/>
      </c>
      <c r="P3551" s="10">
        <f>RIGHT($B$4,2)</f>
        <v/>
      </c>
      <c r="Q3551" s="10">
        <f>RIGHT($B$5,3)</f>
        <v/>
      </c>
      <c r="R3551" s="10">
        <f>IF(A3551="D",LEFT(UPPER(B3551)&amp;REPT(" ",20),20),REPT(" ",20))</f>
        <v/>
      </c>
      <c r="S3551" s="10">
        <f>IF(A3551="D",LEFT(UPPER(C3551)&amp;REPT(" ",10),10)," ")</f>
        <v/>
      </c>
      <c r="T3551" s="10">
        <f>IF(A3551="D",LEFT(UPPER(D3551)&amp;REPT(" ",2),2)," ")</f>
        <v/>
      </c>
      <c r="U3551" s="10">
        <f>IF(A3551="D",LEFT(UPPER(E3551)&amp;REPT(" ",15),15)," ")</f>
        <v/>
      </c>
      <c r="V3551" s="10">
        <f>REPT(" ",24)</f>
        <v/>
      </c>
      <c r="W3551" s="10">
        <f>IF(A3551="c",LEFT(UPPER(B3551)&amp;REPT(" ",20),20),REPT(" ",20))</f>
        <v/>
      </c>
      <c r="X3551" s="10">
        <f>IF(A3551="C",LEFT(UPPER(C3551)&amp;REPT(" ",10),10)," ")</f>
        <v/>
      </c>
      <c r="Y3551" s="10">
        <f>IF(A3551="C",LEFT(UPPER(D3551)&amp;REPT(" ",2),2)," ")</f>
        <v/>
      </c>
      <c r="Z3551" s="10">
        <f>IF(A3551="C",LEFT(UPPER(E3551)&amp;REPT(" ",15),15)," ")</f>
        <v/>
      </c>
      <c r="AA3551" s="10">
        <f>REPT(" ",8)</f>
        <v/>
      </c>
      <c r="AB3551" s="10">
        <f>REPT(" ",4)</f>
        <v/>
      </c>
      <c r="AC3551" s="10">
        <f>LEFT(UPPER(H3551)&amp;REPT(" ",250),250)</f>
        <v/>
      </c>
      <c r="AD3551" s="10">
        <f>TEXT($G$2,"dd/mm/aaaa")</f>
        <v/>
      </c>
      <c r="AE3551" s="10">
        <f>REPT(" ",10)</f>
        <v/>
      </c>
      <c r="AF3551" s="10">
        <f>REPT(" ",20)</f>
        <v/>
      </c>
      <c r="AG3551" s="54">
        <f>REPT(" ",18-LEN(FIXED(F3551,2,TRUE)))&amp;FIXED(F3551,2,TRUE)</f>
        <v/>
      </c>
      <c r="AH3551" s="10">
        <f>LEN(AC3551)+LEN(AG3551)</f>
        <v/>
      </c>
      <c r="AI3551" s="10">
        <f>LEN(L3551)</f>
        <v/>
      </c>
    </row>
    <row r="3552">
      <c r="J3552" s="12">
        <f>IF(F3552&lt;&gt;0,"LANÇAR","")</f>
        <v/>
      </c>
      <c r="L3552" s="13">
        <f>N3552&amp;O3552&amp;P3552&amp;Q3552&amp;R3552&amp;S3552&amp;T3552&amp;U3552&amp;V3552&amp;W3552&amp;X3552&amp;Y3552&amp;Z3552&amp;AA3552&amp;AB3552&amp;AC3552&amp;AD3552&amp;AE3552&amp;AF3552&amp;AG3552</f>
        <v/>
      </c>
      <c r="N3552" s="10">
        <f>TEXT($B$6,"00")</f>
        <v/>
      </c>
      <c r="O3552" s="10">
        <f>REPT(" ",8)</f>
        <v/>
      </c>
      <c r="P3552" s="10">
        <f>RIGHT($B$4,2)</f>
        <v/>
      </c>
      <c r="Q3552" s="10">
        <f>RIGHT($B$5,3)</f>
        <v/>
      </c>
      <c r="R3552" s="10">
        <f>IF(A3552="D",LEFT(UPPER(B3552)&amp;REPT(" ",20),20),REPT(" ",20))</f>
        <v/>
      </c>
      <c r="S3552" s="10">
        <f>IF(A3552="D",LEFT(UPPER(C3552)&amp;REPT(" ",10),10)," ")</f>
        <v/>
      </c>
      <c r="T3552" s="10">
        <f>IF(A3552="D",LEFT(UPPER(D3552)&amp;REPT(" ",2),2)," ")</f>
        <v/>
      </c>
      <c r="U3552" s="10">
        <f>IF(A3552="D",LEFT(UPPER(E3552)&amp;REPT(" ",15),15)," ")</f>
        <v/>
      </c>
      <c r="V3552" s="10">
        <f>REPT(" ",24)</f>
        <v/>
      </c>
      <c r="W3552" s="10">
        <f>IF(A3552="c",LEFT(UPPER(B3552)&amp;REPT(" ",20),20),REPT(" ",20))</f>
        <v/>
      </c>
      <c r="X3552" s="10">
        <f>IF(A3552="C",LEFT(UPPER(C3552)&amp;REPT(" ",10),10)," ")</f>
        <v/>
      </c>
      <c r="Y3552" s="10">
        <f>IF(A3552="C",LEFT(UPPER(D3552)&amp;REPT(" ",2),2)," ")</f>
        <v/>
      </c>
      <c r="Z3552" s="10">
        <f>IF(A3552="C",LEFT(UPPER(E3552)&amp;REPT(" ",15),15)," ")</f>
        <v/>
      </c>
      <c r="AA3552" s="10">
        <f>REPT(" ",8)</f>
        <v/>
      </c>
      <c r="AB3552" s="10">
        <f>REPT(" ",4)</f>
        <v/>
      </c>
      <c r="AC3552" s="10">
        <f>LEFT(UPPER(H3552)&amp;REPT(" ",250),250)</f>
        <v/>
      </c>
      <c r="AD3552" s="10">
        <f>TEXT($G$2,"dd/mm/aaaa")</f>
        <v/>
      </c>
      <c r="AE3552" s="10">
        <f>REPT(" ",10)</f>
        <v/>
      </c>
      <c r="AF3552" s="10">
        <f>REPT(" ",20)</f>
        <v/>
      </c>
      <c r="AG3552" s="54">
        <f>REPT(" ",18-LEN(FIXED(F3552,2,TRUE)))&amp;FIXED(F3552,2,TRUE)</f>
        <v/>
      </c>
      <c r="AH3552" s="10">
        <f>LEN(AC3552)+LEN(AG3552)</f>
        <v/>
      </c>
      <c r="AI3552" s="10">
        <f>LEN(L3552)</f>
        <v/>
      </c>
    </row>
    <row r="3553">
      <c r="J3553" s="12">
        <f>IF(F3553&lt;&gt;0,"LANÇAR","")</f>
        <v/>
      </c>
      <c r="L3553" s="13">
        <f>N3553&amp;O3553&amp;P3553&amp;Q3553&amp;R3553&amp;S3553&amp;T3553&amp;U3553&amp;V3553&amp;W3553&amp;X3553&amp;Y3553&amp;Z3553&amp;AA3553&amp;AB3553&amp;AC3553&amp;AD3553&amp;AE3553&amp;AF3553&amp;AG3553</f>
        <v/>
      </c>
      <c r="N3553" s="10">
        <f>TEXT($B$6,"00")</f>
        <v/>
      </c>
      <c r="O3553" s="10">
        <f>REPT(" ",8)</f>
        <v/>
      </c>
      <c r="P3553" s="10">
        <f>RIGHT($B$4,2)</f>
        <v/>
      </c>
      <c r="Q3553" s="10">
        <f>RIGHT($B$5,3)</f>
        <v/>
      </c>
      <c r="R3553" s="10">
        <f>IF(A3553="D",LEFT(UPPER(B3553)&amp;REPT(" ",20),20),REPT(" ",20))</f>
        <v/>
      </c>
      <c r="S3553" s="10">
        <f>IF(A3553="D",LEFT(UPPER(C3553)&amp;REPT(" ",10),10)," ")</f>
        <v/>
      </c>
      <c r="T3553" s="10">
        <f>IF(A3553="D",LEFT(UPPER(D3553)&amp;REPT(" ",2),2)," ")</f>
        <v/>
      </c>
      <c r="U3553" s="10">
        <f>IF(A3553="D",LEFT(UPPER(E3553)&amp;REPT(" ",15),15)," ")</f>
        <v/>
      </c>
      <c r="V3553" s="10">
        <f>REPT(" ",24)</f>
        <v/>
      </c>
      <c r="W3553" s="10">
        <f>IF(A3553="c",LEFT(UPPER(B3553)&amp;REPT(" ",20),20),REPT(" ",20))</f>
        <v/>
      </c>
      <c r="X3553" s="10">
        <f>IF(A3553="C",LEFT(UPPER(C3553)&amp;REPT(" ",10),10)," ")</f>
        <v/>
      </c>
      <c r="Y3553" s="10">
        <f>IF(A3553="C",LEFT(UPPER(D3553)&amp;REPT(" ",2),2)," ")</f>
        <v/>
      </c>
      <c r="Z3553" s="10">
        <f>IF(A3553="C",LEFT(UPPER(E3553)&amp;REPT(" ",15),15)," ")</f>
        <v/>
      </c>
      <c r="AA3553" s="10">
        <f>REPT(" ",8)</f>
        <v/>
      </c>
      <c r="AB3553" s="10">
        <f>REPT(" ",4)</f>
        <v/>
      </c>
      <c r="AC3553" s="10">
        <f>LEFT(UPPER(H3553)&amp;REPT(" ",250),250)</f>
        <v/>
      </c>
      <c r="AD3553" s="10">
        <f>TEXT($G$2,"dd/mm/aaaa")</f>
        <v/>
      </c>
      <c r="AE3553" s="10">
        <f>REPT(" ",10)</f>
        <v/>
      </c>
      <c r="AF3553" s="10">
        <f>REPT(" ",20)</f>
        <v/>
      </c>
      <c r="AG3553" s="54">
        <f>REPT(" ",18-LEN(FIXED(F3553,2,TRUE)))&amp;FIXED(F3553,2,TRUE)</f>
        <v/>
      </c>
      <c r="AH3553" s="10">
        <f>LEN(AC3553)+LEN(AG3553)</f>
        <v/>
      </c>
      <c r="AI3553" s="10">
        <f>LEN(L3553)</f>
        <v/>
      </c>
    </row>
    <row r="3554">
      <c r="J3554" s="12">
        <f>IF(F3554&lt;&gt;0,"LANÇAR","")</f>
        <v/>
      </c>
      <c r="L3554" s="13">
        <f>N3554&amp;O3554&amp;P3554&amp;Q3554&amp;R3554&amp;S3554&amp;T3554&amp;U3554&amp;V3554&amp;W3554&amp;X3554&amp;Y3554&amp;Z3554&amp;AA3554&amp;AB3554&amp;AC3554&amp;AD3554&amp;AE3554&amp;AF3554&amp;AG3554</f>
        <v/>
      </c>
      <c r="N3554" s="10">
        <f>TEXT($B$6,"00")</f>
        <v/>
      </c>
      <c r="O3554" s="10">
        <f>REPT(" ",8)</f>
        <v/>
      </c>
      <c r="P3554" s="10">
        <f>RIGHT($B$4,2)</f>
        <v/>
      </c>
      <c r="Q3554" s="10">
        <f>RIGHT($B$5,3)</f>
        <v/>
      </c>
      <c r="R3554" s="10">
        <f>IF(A3554="D",LEFT(UPPER(B3554)&amp;REPT(" ",20),20),REPT(" ",20))</f>
        <v/>
      </c>
      <c r="S3554" s="10">
        <f>IF(A3554="D",LEFT(UPPER(C3554)&amp;REPT(" ",10),10)," ")</f>
        <v/>
      </c>
      <c r="T3554" s="10">
        <f>IF(A3554="D",LEFT(UPPER(D3554)&amp;REPT(" ",2),2)," ")</f>
        <v/>
      </c>
      <c r="U3554" s="10">
        <f>IF(A3554="D",LEFT(UPPER(E3554)&amp;REPT(" ",15),15)," ")</f>
        <v/>
      </c>
      <c r="V3554" s="10">
        <f>REPT(" ",24)</f>
        <v/>
      </c>
      <c r="W3554" s="10">
        <f>IF(A3554="c",LEFT(UPPER(B3554)&amp;REPT(" ",20),20),REPT(" ",20))</f>
        <v/>
      </c>
      <c r="X3554" s="10">
        <f>IF(A3554="C",LEFT(UPPER(C3554)&amp;REPT(" ",10),10)," ")</f>
        <v/>
      </c>
      <c r="Y3554" s="10">
        <f>IF(A3554="C",LEFT(UPPER(D3554)&amp;REPT(" ",2),2)," ")</f>
        <v/>
      </c>
      <c r="Z3554" s="10">
        <f>IF(A3554="C",LEFT(UPPER(E3554)&amp;REPT(" ",15),15)," ")</f>
        <v/>
      </c>
      <c r="AA3554" s="10">
        <f>REPT(" ",8)</f>
        <v/>
      </c>
      <c r="AB3554" s="10">
        <f>REPT(" ",4)</f>
        <v/>
      </c>
      <c r="AC3554" s="10">
        <f>LEFT(UPPER(H3554)&amp;REPT(" ",250),250)</f>
        <v/>
      </c>
      <c r="AD3554" s="10">
        <f>TEXT($G$2,"dd/mm/aaaa")</f>
        <v/>
      </c>
      <c r="AE3554" s="10">
        <f>REPT(" ",10)</f>
        <v/>
      </c>
      <c r="AF3554" s="10">
        <f>REPT(" ",20)</f>
        <v/>
      </c>
      <c r="AG3554" s="54">
        <f>REPT(" ",18-LEN(FIXED(F3554,2,TRUE)))&amp;FIXED(F3554,2,TRUE)</f>
        <v/>
      </c>
      <c r="AH3554" s="10">
        <f>LEN(AC3554)+LEN(AG3554)</f>
        <v/>
      </c>
      <c r="AI3554" s="10">
        <f>LEN(L3554)</f>
        <v/>
      </c>
    </row>
    <row r="3555">
      <c r="J3555" s="12">
        <f>IF(F3555&lt;&gt;0,"LANÇAR","")</f>
        <v/>
      </c>
      <c r="L3555" s="13">
        <f>N3555&amp;O3555&amp;P3555&amp;Q3555&amp;R3555&amp;S3555&amp;T3555&amp;U3555&amp;V3555&amp;W3555&amp;X3555&amp;Y3555&amp;Z3555&amp;AA3555&amp;AB3555&amp;AC3555&amp;AD3555&amp;AE3555&amp;AF3555&amp;AG3555</f>
        <v/>
      </c>
      <c r="N3555" s="10">
        <f>TEXT($B$6,"00")</f>
        <v/>
      </c>
      <c r="O3555" s="10">
        <f>REPT(" ",8)</f>
        <v/>
      </c>
      <c r="P3555" s="10">
        <f>RIGHT($B$4,2)</f>
        <v/>
      </c>
      <c r="Q3555" s="10">
        <f>RIGHT($B$5,3)</f>
        <v/>
      </c>
      <c r="R3555" s="10">
        <f>IF(A3555="D",LEFT(UPPER(B3555)&amp;REPT(" ",20),20),REPT(" ",20))</f>
        <v/>
      </c>
      <c r="S3555" s="10">
        <f>IF(A3555="D",LEFT(UPPER(C3555)&amp;REPT(" ",10),10)," ")</f>
        <v/>
      </c>
      <c r="T3555" s="10">
        <f>IF(A3555="D",LEFT(UPPER(D3555)&amp;REPT(" ",2),2)," ")</f>
        <v/>
      </c>
      <c r="U3555" s="10">
        <f>IF(A3555="D",LEFT(UPPER(E3555)&amp;REPT(" ",15),15)," ")</f>
        <v/>
      </c>
      <c r="V3555" s="10">
        <f>REPT(" ",24)</f>
        <v/>
      </c>
      <c r="W3555" s="10">
        <f>IF(A3555="c",LEFT(UPPER(B3555)&amp;REPT(" ",20),20),REPT(" ",20))</f>
        <v/>
      </c>
      <c r="X3555" s="10">
        <f>IF(A3555="C",LEFT(UPPER(C3555)&amp;REPT(" ",10),10)," ")</f>
        <v/>
      </c>
      <c r="Y3555" s="10">
        <f>IF(A3555="C",LEFT(UPPER(D3555)&amp;REPT(" ",2),2)," ")</f>
        <v/>
      </c>
      <c r="Z3555" s="10">
        <f>IF(A3555="C",LEFT(UPPER(E3555)&amp;REPT(" ",15),15)," ")</f>
        <v/>
      </c>
      <c r="AA3555" s="10">
        <f>REPT(" ",8)</f>
        <v/>
      </c>
      <c r="AB3555" s="10">
        <f>REPT(" ",4)</f>
        <v/>
      </c>
      <c r="AC3555" s="10">
        <f>LEFT(UPPER(H3555)&amp;REPT(" ",250),250)</f>
        <v/>
      </c>
      <c r="AD3555" s="10">
        <f>TEXT($G$2,"dd/mm/aaaa")</f>
        <v/>
      </c>
      <c r="AE3555" s="10">
        <f>REPT(" ",10)</f>
        <v/>
      </c>
      <c r="AF3555" s="10">
        <f>REPT(" ",20)</f>
        <v/>
      </c>
      <c r="AG3555" s="54">
        <f>REPT(" ",18-LEN(FIXED(F3555,2,TRUE)))&amp;FIXED(F3555,2,TRUE)</f>
        <v/>
      </c>
      <c r="AH3555" s="10">
        <f>LEN(AC3555)+LEN(AG3555)</f>
        <v/>
      </c>
      <c r="AI3555" s="10">
        <f>LEN(L3555)</f>
        <v/>
      </c>
    </row>
    <row r="3556">
      <c r="J3556" s="12">
        <f>IF(F3556&lt;&gt;0,"LANÇAR","")</f>
        <v/>
      </c>
      <c r="L3556" s="13">
        <f>N3556&amp;O3556&amp;P3556&amp;Q3556&amp;R3556&amp;S3556&amp;T3556&amp;U3556&amp;V3556&amp;W3556&amp;X3556&amp;Y3556&amp;Z3556&amp;AA3556&amp;AB3556&amp;AC3556&amp;AD3556&amp;AE3556&amp;AF3556&amp;AG3556</f>
        <v/>
      </c>
      <c r="N3556" s="10">
        <f>TEXT($B$6,"00")</f>
        <v/>
      </c>
      <c r="O3556" s="10">
        <f>REPT(" ",8)</f>
        <v/>
      </c>
      <c r="P3556" s="10">
        <f>RIGHT($B$4,2)</f>
        <v/>
      </c>
      <c r="Q3556" s="10">
        <f>RIGHT($B$5,3)</f>
        <v/>
      </c>
      <c r="R3556" s="10">
        <f>IF(A3556="D",LEFT(UPPER(B3556)&amp;REPT(" ",20),20),REPT(" ",20))</f>
        <v/>
      </c>
      <c r="S3556" s="10">
        <f>IF(A3556="D",LEFT(UPPER(C3556)&amp;REPT(" ",10),10)," ")</f>
        <v/>
      </c>
      <c r="T3556" s="10">
        <f>IF(A3556="D",LEFT(UPPER(D3556)&amp;REPT(" ",2),2)," ")</f>
        <v/>
      </c>
      <c r="U3556" s="10">
        <f>IF(A3556="D",LEFT(UPPER(E3556)&amp;REPT(" ",15),15)," ")</f>
        <v/>
      </c>
      <c r="V3556" s="10">
        <f>REPT(" ",24)</f>
        <v/>
      </c>
      <c r="W3556" s="10">
        <f>IF(A3556="c",LEFT(UPPER(B3556)&amp;REPT(" ",20),20),REPT(" ",20))</f>
        <v/>
      </c>
      <c r="X3556" s="10">
        <f>IF(A3556="C",LEFT(UPPER(C3556)&amp;REPT(" ",10),10)," ")</f>
        <v/>
      </c>
      <c r="Y3556" s="10">
        <f>IF(A3556="C",LEFT(UPPER(D3556)&amp;REPT(" ",2),2)," ")</f>
        <v/>
      </c>
      <c r="Z3556" s="10">
        <f>IF(A3556="C",LEFT(UPPER(E3556)&amp;REPT(" ",15),15)," ")</f>
        <v/>
      </c>
      <c r="AA3556" s="10">
        <f>REPT(" ",8)</f>
        <v/>
      </c>
      <c r="AB3556" s="10">
        <f>REPT(" ",4)</f>
        <v/>
      </c>
      <c r="AC3556" s="10">
        <f>LEFT(UPPER(H3556)&amp;REPT(" ",250),250)</f>
        <v/>
      </c>
      <c r="AD3556" s="10">
        <f>TEXT($G$2,"dd/mm/aaaa")</f>
        <v/>
      </c>
      <c r="AE3556" s="10">
        <f>REPT(" ",10)</f>
        <v/>
      </c>
      <c r="AF3556" s="10">
        <f>REPT(" ",20)</f>
        <v/>
      </c>
      <c r="AG3556" s="54">
        <f>REPT(" ",18-LEN(FIXED(F3556,2,TRUE)))&amp;FIXED(F3556,2,TRUE)</f>
        <v/>
      </c>
      <c r="AH3556" s="10">
        <f>LEN(AC3556)+LEN(AG3556)</f>
        <v/>
      </c>
      <c r="AI3556" s="10">
        <f>LEN(L3556)</f>
        <v/>
      </c>
    </row>
    <row r="3557">
      <c r="J3557" s="12">
        <f>IF(F3557&lt;&gt;0,"LANÇAR","")</f>
        <v/>
      </c>
      <c r="L3557" s="13">
        <f>N3557&amp;O3557&amp;P3557&amp;Q3557&amp;R3557&amp;S3557&amp;T3557&amp;U3557&amp;V3557&amp;W3557&amp;X3557&amp;Y3557&amp;Z3557&amp;AA3557&amp;AB3557&amp;AC3557&amp;AD3557&amp;AE3557&amp;AF3557&amp;AG3557</f>
        <v/>
      </c>
      <c r="N3557" s="10">
        <f>TEXT($B$6,"00")</f>
        <v/>
      </c>
      <c r="O3557" s="10">
        <f>REPT(" ",8)</f>
        <v/>
      </c>
      <c r="P3557" s="10">
        <f>RIGHT($B$4,2)</f>
        <v/>
      </c>
      <c r="Q3557" s="10">
        <f>RIGHT($B$5,3)</f>
        <v/>
      </c>
      <c r="R3557" s="10">
        <f>IF(A3557="D",LEFT(UPPER(B3557)&amp;REPT(" ",20),20),REPT(" ",20))</f>
        <v/>
      </c>
      <c r="S3557" s="10">
        <f>IF(A3557="D",LEFT(UPPER(C3557)&amp;REPT(" ",10),10)," ")</f>
        <v/>
      </c>
      <c r="T3557" s="10">
        <f>IF(A3557="D",LEFT(UPPER(D3557)&amp;REPT(" ",2),2)," ")</f>
        <v/>
      </c>
      <c r="U3557" s="10">
        <f>IF(A3557="D",LEFT(UPPER(E3557)&amp;REPT(" ",15),15)," ")</f>
        <v/>
      </c>
      <c r="V3557" s="10">
        <f>REPT(" ",24)</f>
        <v/>
      </c>
      <c r="W3557" s="10">
        <f>IF(A3557="c",LEFT(UPPER(B3557)&amp;REPT(" ",20),20),REPT(" ",20))</f>
        <v/>
      </c>
      <c r="X3557" s="10">
        <f>IF(A3557="C",LEFT(UPPER(C3557)&amp;REPT(" ",10),10)," ")</f>
        <v/>
      </c>
      <c r="Y3557" s="10">
        <f>IF(A3557="C",LEFT(UPPER(D3557)&amp;REPT(" ",2),2)," ")</f>
        <v/>
      </c>
      <c r="Z3557" s="10">
        <f>IF(A3557="C",LEFT(UPPER(E3557)&amp;REPT(" ",15),15)," ")</f>
        <v/>
      </c>
      <c r="AA3557" s="10">
        <f>REPT(" ",8)</f>
        <v/>
      </c>
      <c r="AB3557" s="10">
        <f>REPT(" ",4)</f>
        <v/>
      </c>
      <c r="AC3557" s="10">
        <f>LEFT(UPPER(H3557)&amp;REPT(" ",250),250)</f>
        <v/>
      </c>
      <c r="AD3557" s="10">
        <f>TEXT($G$2,"dd/mm/aaaa")</f>
        <v/>
      </c>
      <c r="AE3557" s="10">
        <f>REPT(" ",10)</f>
        <v/>
      </c>
      <c r="AF3557" s="10">
        <f>REPT(" ",20)</f>
        <v/>
      </c>
      <c r="AG3557" s="54">
        <f>REPT(" ",18-LEN(FIXED(F3557,2,TRUE)))&amp;FIXED(F3557,2,TRUE)</f>
        <v/>
      </c>
      <c r="AH3557" s="10">
        <f>LEN(AC3557)+LEN(AG3557)</f>
        <v/>
      </c>
      <c r="AI3557" s="10">
        <f>LEN(L3557)</f>
        <v/>
      </c>
    </row>
    <row r="3558">
      <c r="J3558" s="12">
        <f>IF(F3558&lt;&gt;0,"LANÇAR","")</f>
        <v/>
      </c>
      <c r="L3558" s="13">
        <f>N3558&amp;O3558&amp;P3558&amp;Q3558&amp;R3558&amp;S3558&amp;T3558&amp;U3558&amp;V3558&amp;W3558&amp;X3558&amp;Y3558&amp;Z3558&amp;AA3558&amp;AB3558&amp;AC3558&amp;AD3558&amp;AE3558&amp;AF3558&amp;AG3558</f>
        <v/>
      </c>
      <c r="N3558" s="10">
        <f>TEXT($B$6,"00")</f>
        <v/>
      </c>
      <c r="O3558" s="10">
        <f>REPT(" ",8)</f>
        <v/>
      </c>
      <c r="P3558" s="10">
        <f>RIGHT($B$4,2)</f>
        <v/>
      </c>
      <c r="Q3558" s="10">
        <f>RIGHT($B$5,3)</f>
        <v/>
      </c>
      <c r="R3558" s="10">
        <f>IF(A3558="D",LEFT(UPPER(B3558)&amp;REPT(" ",20),20),REPT(" ",20))</f>
        <v/>
      </c>
      <c r="S3558" s="10">
        <f>IF(A3558="D",LEFT(UPPER(C3558)&amp;REPT(" ",10),10)," ")</f>
        <v/>
      </c>
      <c r="T3558" s="10">
        <f>IF(A3558="D",LEFT(UPPER(D3558)&amp;REPT(" ",2),2)," ")</f>
        <v/>
      </c>
      <c r="U3558" s="10">
        <f>IF(A3558="D",LEFT(UPPER(E3558)&amp;REPT(" ",15),15)," ")</f>
        <v/>
      </c>
      <c r="V3558" s="10">
        <f>REPT(" ",24)</f>
        <v/>
      </c>
      <c r="W3558" s="10">
        <f>IF(A3558="c",LEFT(UPPER(B3558)&amp;REPT(" ",20),20),REPT(" ",20))</f>
        <v/>
      </c>
      <c r="X3558" s="10">
        <f>IF(A3558="C",LEFT(UPPER(C3558)&amp;REPT(" ",10),10)," ")</f>
        <v/>
      </c>
      <c r="Y3558" s="10">
        <f>IF(A3558="C",LEFT(UPPER(D3558)&amp;REPT(" ",2),2)," ")</f>
        <v/>
      </c>
      <c r="Z3558" s="10">
        <f>IF(A3558="C",LEFT(UPPER(E3558)&amp;REPT(" ",15),15)," ")</f>
        <v/>
      </c>
      <c r="AA3558" s="10">
        <f>REPT(" ",8)</f>
        <v/>
      </c>
      <c r="AB3558" s="10">
        <f>REPT(" ",4)</f>
        <v/>
      </c>
      <c r="AC3558" s="10">
        <f>LEFT(UPPER(H3558)&amp;REPT(" ",250),250)</f>
        <v/>
      </c>
      <c r="AD3558" s="10">
        <f>TEXT($G$2,"dd/mm/aaaa")</f>
        <v/>
      </c>
      <c r="AE3558" s="10">
        <f>REPT(" ",10)</f>
        <v/>
      </c>
      <c r="AF3558" s="10">
        <f>REPT(" ",20)</f>
        <v/>
      </c>
      <c r="AG3558" s="54">
        <f>REPT(" ",18-LEN(FIXED(F3558,2,TRUE)))&amp;FIXED(F3558,2,TRUE)</f>
        <v/>
      </c>
      <c r="AH3558" s="10">
        <f>LEN(AC3558)+LEN(AG3558)</f>
        <v/>
      </c>
      <c r="AI3558" s="10">
        <f>LEN(L3558)</f>
        <v/>
      </c>
    </row>
    <row r="3559">
      <c r="J3559" s="12">
        <f>IF(F3559&lt;&gt;0,"LANÇAR","")</f>
        <v/>
      </c>
      <c r="L3559" s="13">
        <f>N3559&amp;O3559&amp;P3559&amp;Q3559&amp;R3559&amp;S3559&amp;T3559&amp;U3559&amp;V3559&amp;W3559&amp;X3559&amp;Y3559&amp;Z3559&amp;AA3559&amp;AB3559&amp;AC3559&amp;AD3559&amp;AE3559&amp;AF3559&amp;AG3559</f>
        <v/>
      </c>
      <c r="N3559" s="10">
        <f>TEXT($B$6,"00")</f>
        <v/>
      </c>
      <c r="O3559" s="10">
        <f>REPT(" ",8)</f>
        <v/>
      </c>
      <c r="P3559" s="10">
        <f>RIGHT($B$4,2)</f>
        <v/>
      </c>
      <c r="Q3559" s="10">
        <f>RIGHT($B$5,3)</f>
        <v/>
      </c>
      <c r="R3559" s="10">
        <f>IF(A3559="D",LEFT(UPPER(B3559)&amp;REPT(" ",20),20),REPT(" ",20))</f>
        <v/>
      </c>
      <c r="S3559" s="10">
        <f>IF(A3559="D",LEFT(UPPER(C3559)&amp;REPT(" ",10),10)," ")</f>
        <v/>
      </c>
      <c r="T3559" s="10">
        <f>IF(A3559="D",LEFT(UPPER(D3559)&amp;REPT(" ",2),2)," ")</f>
        <v/>
      </c>
      <c r="U3559" s="10">
        <f>IF(A3559="D",LEFT(UPPER(E3559)&amp;REPT(" ",15),15)," ")</f>
        <v/>
      </c>
      <c r="V3559" s="10">
        <f>REPT(" ",24)</f>
        <v/>
      </c>
      <c r="W3559" s="10">
        <f>IF(A3559="c",LEFT(UPPER(B3559)&amp;REPT(" ",20),20),REPT(" ",20))</f>
        <v/>
      </c>
      <c r="X3559" s="10">
        <f>IF(A3559="C",LEFT(UPPER(C3559)&amp;REPT(" ",10),10)," ")</f>
        <v/>
      </c>
      <c r="Y3559" s="10">
        <f>IF(A3559="C",LEFT(UPPER(D3559)&amp;REPT(" ",2),2)," ")</f>
        <v/>
      </c>
      <c r="Z3559" s="10">
        <f>IF(A3559="C",LEFT(UPPER(E3559)&amp;REPT(" ",15),15)," ")</f>
        <v/>
      </c>
      <c r="AA3559" s="10">
        <f>REPT(" ",8)</f>
        <v/>
      </c>
      <c r="AB3559" s="10">
        <f>REPT(" ",4)</f>
        <v/>
      </c>
      <c r="AC3559" s="10">
        <f>LEFT(UPPER(H3559)&amp;REPT(" ",250),250)</f>
        <v/>
      </c>
      <c r="AD3559" s="10">
        <f>TEXT($G$2,"dd/mm/aaaa")</f>
        <v/>
      </c>
      <c r="AE3559" s="10">
        <f>REPT(" ",10)</f>
        <v/>
      </c>
      <c r="AF3559" s="10">
        <f>REPT(" ",20)</f>
        <v/>
      </c>
      <c r="AG3559" s="54">
        <f>REPT(" ",18-LEN(FIXED(F3559,2,TRUE)))&amp;FIXED(F3559,2,TRUE)</f>
        <v/>
      </c>
      <c r="AH3559" s="10">
        <f>LEN(AC3559)+LEN(AG3559)</f>
        <v/>
      </c>
      <c r="AI3559" s="10">
        <f>LEN(L3559)</f>
        <v/>
      </c>
    </row>
    <row r="3560">
      <c r="J3560" s="12">
        <f>IF(F3560&lt;&gt;0,"LANÇAR","")</f>
        <v/>
      </c>
      <c r="L3560" s="13">
        <f>N3560&amp;O3560&amp;P3560&amp;Q3560&amp;R3560&amp;S3560&amp;T3560&amp;U3560&amp;V3560&amp;W3560&amp;X3560&amp;Y3560&amp;Z3560&amp;AA3560&amp;AB3560&amp;AC3560&amp;AD3560&amp;AE3560&amp;AF3560&amp;AG3560</f>
        <v/>
      </c>
      <c r="N3560" s="10">
        <f>TEXT($B$6,"00")</f>
        <v/>
      </c>
      <c r="O3560" s="10">
        <f>REPT(" ",8)</f>
        <v/>
      </c>
      <c r="P3560" s="10">
        <f>RIGHT($B$4,2)</f>
        <v/>
      </c>
      <c r="Q3560" s="10">
        <f>RIGHT($B$5,3)</f>
        <v/>
      </c>
      <c r="R3560" s="10">
        <f>IF(A3560="D",LEFT(UPPER(B3560)&amp;REPT(" ",20),20),REPT(" ",20))</f>
        <v/>
      </c>
      <c r="S3560" s="10">
        <f>IF(A3560="D",LEFT(UPPER(C3560)&amp;REPT(" ",10),10)," ")</f>
        <v/>
      </c>
      <c r="T3560" s="10">
        <f>IF(A3560="D",LEFT(UPPER(D3560)&amp;REPT(" ",2),2)," ")</f>
        <v/>
      </c>
      <c r="U3560" s="10">
        <f>IF(A3560="D",LEFT(UPPER(E3560)&amp;REPT(" ",15),15)," ")</f>
        <v/>
      </c>
      <c r="V3560" s="10">
        <f>REPT(" ",24)</f>
        <v/>
      </c>
      <c r="W3560" s="10">
        <f>IF(A3560="c",LEFT(UPPER(B3560)&amp;REPT(" ",20),20),REPT(" ",20))</f>
        <v/>
      </c>
      <c r="X3560" s="10">
        <f>IF(A3560="C",LEFT(UPPER(C3560)&amp;REPT(" ",10),10)," ")</f>
        <v/>
      </c>
      <c r="Y3560" s="10">
        <f>IF(A3560="C",LEFT(UPPER(D3560)&amp;REPT(" ",2),2)," ")</f>
        <v/>
      </c>
      <c r="Z3560" s="10">
        <f>IF(A3560="C",LEFT(UPPER(E3560)&amp;REPT(" ",15),15)," ")</f>
        <v/>
      </c>
      <c r="AA3560" s="10">
        <f>REPT(" ",8)</f>
        <v/>
      </c>
      <c r="AB3560" s="10">
        <f>REPT(" ",4)</f>
        <v/>
      </c>
      <c r="AC3560" s="10">
        <f>LEFT(UPPER(H3560)&amp;REPT(" ",250),250)</f>
        <v/>
      </c>
      <c r="AD3560" s="10">
        <f>TEXT($G$2,"dd/mm/aaaa")</f>
        <v/>
      </c>
      <c r="AE3560" s="10">
        <f>REPT(" ",10)</f>
        <v/>
      </c>
      <c r="AF3560" s="10">
        <f>REPT(" ",20)</f>
        <v/>
      </c>
      <c r="AG3560" s="54">
        <f>REPT(" ",18-LEN(FIXED(F3560,2,TRUE)))&amp;FIXED(F3560,2,TRUE)</f>
        <v/>
      </c>
      <c r="AH3560" s="10">
        <f>LEN(AC3560)+LEN(AG3560)</f>
        <v/>
      </c>
      <c r="AI3560" s="10">
        <f>LEN(L3560)</f>
        <v/>
      </c>
    </row>
    <row r="3561">
      <c r="J3561" s="12">
        <f>IF(F3561&lt;&gt;0,"LANÇAR","")</f>
        <v/>
      </c>
      <c r="L3561" s="13">
        <f>N3561&amp;O3561&amp;P3561&amp;Q3561&amp;R3561&amp;S3561&amp;T3561&amp;U3561&amp;V3561&amp;W3561&amp;X3561&amp;Y3561&amp;Z3561&amp;AA3561&amp;AB3561&amp;AC3561&amp;AD3561&amp;AE3561&amp;AF3561&amp;AG3561</f>
        <v/>
      </c>
      <c r="N3561" s="10">
        <f>TEXT($B$6,"00")</f>
        <v/>
      </c>
      <c r="O3561" s="10">
        <f>REPT(" ",8)</f>
        <v/>
      </c>
      <c r="P3561" s="10">
        <f>RIGHT($B$4,2)</f>
        <v/>
      </c>
      <c r="Q3561" s="10">
        <f>RIGHT($B$5,3)</f>
        <v/>
      </c>
      <c r="R3561" s="10">
        <f>IF(A3561="D",LEFT(UPPER(B3561)&amp;REPT(" ",20),20),REPT(" ",20))</f>
        <v/>
      </c>
      <c r="S3561" s="10">
        <f>IF(A3561="D",LEFT(UPPER(C3561)&amp;REPT(" ",10),10)," ")</f>
        <v/>
      </c>
      <c r="T3561" s="10">
        <f>IF(A3561="D",LEFT(UPPER(D3561)&amp;REPT(" ",2),2)," ")</f>
        <v/>
      </c>
      <c r="U3561" s="10">
        <f>IF(A3561="D",LEFT(UPPER(E3561)&amp;REPT(" ",15),15)," ")</f>
        <v/>
      </c>
      <c r="V3561" s="10">
        <f>REPT(" ",24)</f>
        <v/>
      </c>
      <c r="W3561" s="10">
        <f>IF(A3561="c",LEFT(UPPER(B3561)&amp;REPT(" ",20),20),REPT(" ",20))</f>
        <v/>
      </c>
      <c r="X3561" s="10">
        <f>IF(A3561="C",LEFT(UPPER(C3561)&amp;REPT(" ",10),10)," ")</f>
        <v/>
      </c>
      <c r="Y3561" s="10">
        <f>IF(A3561="C",LEFT(UPPER(D3561)&amp;REPT(" ",2),2)," ")</f>
        <v/>
      </c>
      <c r="Z3561" s="10">
        <f>IF(A3561="C",LEFT(UPPER(E3561)&amp;REPT(" ",15),15)," ")</f>
        <v/>
      </c>
      <c r="AA3561" s="10">
        <f>REPT(" ",8)</f>
        <v/>
      </c>
      <c r="AB3561" s="10">
        <f>REPT(" ",4)</f>
        <v/>
      </c>
      <c r="AC3561" s="10">
        <f>LEFT(UPPER(H3561)&amp;REPT(" ",250),250)</f>
        <v/>
      </c>
      <c r="AD3561" s="10">
        <f>TEXT($G$2,"dd/mm/aaaa")</f>
        <v/>
      </c>
      <c r="AE3561" s="10">
        <f>REPT(" ",10)</f>
        <v/>
      </c>
      <c r="AF3561" s="10">
        <f>REPT(" ",20)</f>
        <v/>
      </c>
      <c r="AG3561" s="54">
        <f>REPT(" ",18-LEN(FIXED(F3561,2,TRUE)))&amp;FIXED(F3561,2,TRUE)</f>
        <v/>
      </c>
      <c r="AH3561" s="10">
        <f>LEN(AC3561)+LEN(AG3561)</f>
        <v/>
      </c>
      <c r="AI3561" s="10">
        <f>LEN(L3561)</f>
        <v/>
      </c>
    </row>
    <row r="3562">
      <c r="J3562" s="12">
        <f>IF(F3562&lt;&gt;0,"LANÇAR","")</f>
        <v/>
      </c>
      <c r="L3562" s="13">
        <f>N3562&amp;O3562&amp;P3562&amp;Q3562&amp;R3562&amp;S3562&amp;T3562&amp;U3562&amp;V3562&amp;W3562&amp;X3562&amp;Y3562&amp;Z3562&amp;AA3562&amp;AB3562&amp;AC3562&amp;AD3562&amp;AE3562&amp;AF3562&amp;AG3562</f>
        <v/>
      </c>
      <c r="N3562" s="10">
        <f>TEXT($B$6,"00")</f>
        <v/>
      </c>
      <c r="O3562" s="10">
        <f>REPT(" ",8)</f>
        <v/>
      </c>
      <c r="P3562" s="10">
        <f>RIGHT($B$4,2)</f>
        <v/>
      </c>
      <c r="Q3562" s="10">
        <f>RIGHT($B$5,3)</f>
        <v/>
      </c>
      <c r="R3562" s="10">
        <f>IF(A3562="D",LEFT(UPPER(B3562)&amp;REPT(" ",20),20),REPT(" ",20))</f>
        <v/>
      </c>
      <c r="S3562" s="10">
        <f>IF(A3562="D",LEFT(UPPER(C3562)&amp;REPT(" ",10),10)," ")</f>
        <v/>
      </c>
      <c r="T3562" s="10">
        <f>IF(A3562="D",LEFT(UPPER(D3562)&amp;REPT(" ",2),2)," ")</f>
        <v/>
      </c>
      <c r="U3562" s="10">
        <f>IF(A3562="D",LEFT(UPPER(E3562)&amp;REPT(" ",15),15)," ")</f>
        <v/>
      </c>
      <c r="V3562" s="10">
        <f>REPT(" ",24)</f>
        <v/>
      </c>
      <c r="W3562" s="10">
        <f>IF(A3562="c",LEFT(UPPER(B3562)&amp;REPT(" ",20),20),REPT(" ",20))</f>
        <v/>
      </c>
      <c r="X3562" s="10">
        <f>IF(A3562="C",LEFT(UPPER(C3562)&amp;REPT(" ",10),10)," ")</f>
        <v/>
      </c>
      <c r="Y3562" s="10">
        <f>IF(A3562="C",LEFT(UPPER(D3562)&amp;REPT(" ",2),2)," ")</f>
        <v/>
      </c>
      <c r="Z3562" s="10">
        <f>IF(A3562="C",LEFT(UPPER(E3562)&amp;REPT(" ",15),15)," ")</f>
        <v/>
      </c>
      <c r="AA3562" s="10">
        <f>REPT(" ",8)</f>
        <v/>
      </c>
      <c r="AB3562" s="10">
        <f>REPT(" ",4)</f>
        <v/>
      </c>
      <c r="AC3562" s="10">
        <f>LEFT(UPPER(H3562)&amp;REPT(" ",250),250)</f>
        <v/>
      </c>
      <c r="AD3562" s="10">
        <f>TEXT($G$2,"dd/mm/aaaa")</f>
        <v/>
      </c>
      <c r="AE3562" s="10">
        <f>REPT(" ",10)</f>
        <v/>
      </c>
      <c r="AF3562" s="10">
        <f>REPT(" ",20)</f>
        <v/>
      </c>
      <c r="AG3562" s="54">
        <f>REPT(" ",18-LEN(FIXED(F3562,2,TRUE)))&amp;FIXED(F3562,2,TRUE)</f>
        <v/>
      </c>
      <c r="AH3562" s="10">
        <f>LEN(AC3562)+LEN(AG3562)</f>
        <v/>
      </c>
      <c r="AI3562" s="10">
        <f>LEN(L3562)</f>
        <v/>
      </c>
    </row>
    <row r="3563">
      <c r="J3563" s="12">
        <f>IF(F3563&lt;&gt;0,"LANÇAR","")</f>
        <v/>
      </c>
      <c r="L3563" s="13">
        <f>N3563&amp;O3563&amp;P3563&amp;Q3563&amp;R3563&amp;S3563&amp;T3563&amp;U3563&amp;V3563&amp;W3563&amp;X3563&amp;Y3563&amp;Z3563&amp;AA3563&amp;AB3563&amp;AC3563&amp;AD3563&amp;AE3563&amp;AF3563&amp;AG3563</f>
        <v/>
      </c>
      <c r="N3563" s="10">
        <f>TEXT($B$6,"00")</f>
        <v/>
      </c>
      <c r="O3563" s="10">
        <f>REPT(" ",8)</f>
        <v/>
      </c>
      <c r="P3563" s="10">
        <f>RIGHT($B$4,2)</f>
        <v/>
      </c>
      <c r="Q3563" s="10">
        <f>RIGHT($B$5,3)</f>
        <v/>
      </c>
      <c r="R3563" s="10">
        <f>IF(A3563="D",LEFT(UPPER(B3563)&amp;REPT(" ",20),20),REPT(" ",20))</f>
        <v/>
      </c>
      <c r="S3563" s="10">
        <f>IF(A3563="D",LEFT(UPPER(C3563)&amp;REPT(" ",10),10)," ")</f>
        <v/>
      </c>
      <c r="T3563" s="10">
        <f>IF(A3563="D",LEFT(UPPER(D3563)&amp;REPT(" ",2),2)," ")</f>
        <v/>
      </c>
      <c r="U3563" s="10">
        <f>IF(A3563="D",LEFT(UPPER(E3563)&amp;REPT(" ",15),15)," ")</f>
        <v/>
      </c>
      <c r="V3563" s="10">
        <f>REPT(" ",24)</f>
        <v/>
      </c>
      <c r="W3563" s="10">
        <f>IF(A3563="c",LEFT(UPPER(B3563)&amp;REPT(" ",20),20),REPT(" ",20))</f>
        <v/>
      </c>
      <c r="X3563" s="10">
        <f>IF(A3563="C",LEFT(UPPER(C3563)&amp;REPT(" ",10),10)," ")</f>
        <v/>
      </c>
      <c r="Y3563" s="10">
        <f>IF(A3563="C",LEFT(UPPER(D3563)&amp;REPT(" ",2),2)," ")</f>
        <v/>
      </c>
      <c r="Z3563" s="10">
        <f>IF(A3563="C",LEFT(UPPER(E3563)&amp;REPT(" ",15),15)," ")</f>
        <v/>
      </c>
      <c r="AA3563" s="10">
        <f>REPT(" ",8)</f>
        <v/>
      </c>
      <c r="AB3563" s="10">
        <f>REPT(" ",4)</f>
        <v/>
      </c>
      <c r="AC3563" s="10">
        <f>LEFT(UPPER(H3563)&amp;REPT(" ",250),250)</f>
        <v/>
      </c>
      <c r="AD3563" s="10">
        <f>TEXT($G$2,"dd/mm/aaaa")</f>
        <v/>
      </c>
      <c r="AE3563" s="10">
        <f>REPT(" ",10)</f>
        <v/>
      </c>
      <c r="AF3563" s="10">
        <f>REPT(" ",20)</f>
        <v/>
      </c>
      <c r="AG3563" s="54">
        <f>REPT(" ",18-LEN(FIXED(F3563,2,TRUE)))&amp;FIXED(F3563,2,TRUE)</f>
        <v/>
      </c>
      <c r="AH3563" s="10">
        <f>LEN(AC3563)+LEN(AG3563)</f>
        <v/>
      </c>
      <c r="AI3563" s="10">
        <f>LEN(L3563)</f>
        <v/>
      </c>
    </row>
    <row r="3564">
      <c r="J3564" s="12">
        <f>IF(F3564&lt;&gt;0,"LANÇAR","")</f>
        <v/>
      </c>
      <c r="L3564" s="13">
        <f>N3564&amp;O3564&amp;P3564&amp;Q3564&amp;R3564&amp;S3564&amp;T3564&amp;U3564&amp;V3564&amp;W3564&amp;X3564&amp;Y3564&amp;Z3564&amp;AA3564&amp;AB3564&amp;AC3564&amp;AD3564&amp;AE3564&amp;AF3564&amp;AG3564</f>
        <v/>
      </c>
      <c r="N3564" s="10">
        <f>TEXT($B$6,"00")</f>
        <v/>
      </c>
      <c r="O3564" s="10">
        <f>REPT(" ",8)</f>
        <v/>
      </c>
      <c r="P3564" s="10">
        <f>RIGHT($B$4,2)</f>
        <v/>
      </c>
      <c r="Q3564" s="10">
        <f>RIGHT($B$5,3)</f>
        <v/>
      </c>
      <c r="R3564" s="10">
        <f>IF(A3564="D",LEFT(UPPER(B3564)&amp;REPT(" ",20),20),REPT(" ",20))</f>
        <v/>
      </c>
      <c r="S3564" s="10">
        <f>IF(A3564="D",LEFT(UPPER(C3564)&amp;REPT(" ",10),10)," ")</f>
        <v/>
      </c>
      <c r="T3564" s="10">
        <f>IF(A3564="D",LEFT(UPPER(D3564)&amp;REPT(" ",2),2)," ")</f>
        <v/>
      </c>
      <c r="U3564" s="10">
        <f>IF(A3564="D",LEFT(UPPER(E3564)&amp;REPT(" ",15),15)," ")</f>
        <v/>
      </c>
      <c r="V3564" s="10">
        <f>REPT(" ",24)</f>
        <v/>
      </c>
      <c r="W3564" s="10">
        <f>IF(A3564="c",LEFT(UPPER(B3564)&amp;REPT(" ",20),20),REPT(" ",20))</f>
        <v/>
      </c>
      <c r="X3564" s="10">
        <f>IF(A3564="C",LEFT(UPPER(C3564)&amp;REPT(" ",10),10)," ")</f>
        <v/>
      </c>
      <c r="Y3564" s="10">
        <f>IF(A3564="C",LEFT(UPPER(D3564)&amp;REPT(" ",2),2)," ")</f>
        <v/>
      </c>
      <c r="Z3564" s="10">
        <f>IF(A3564="C",LEFT(UPPER(E3564)&amp;REPT(" ",15),15)," ")</f>
        <v/>
      </c>
      <c r="AA3564" s="10">
        <f>REPT(" ",8)</f>
        <v/>
      </c>
      <c r="AB3564" s="10">
        <f>REPT(" ",4)</f>
        <v/>
      </c>
      <c r="AC3564" s="10">
        <f>LEFT(UPPER(H3564)&amp;REPT(" ",250),250)</f>
        <v/>
      </c>
      <c r="AD3564" s="10">
        <f>TEXT($G$2,"dd/mm/aaaa")</f>
        <v/>
      </c>
      <c r="AE3564" s="10">
        <f>REPT(" ",10)</f>
        <v/>
      </c>
      <c r="AF3564" s="10">
        <f>REPT(" ",20)</f>
        <v/>
      </c>
      <c r="AG3564" s="54">
        <f>REPT(" ",18-LEN(FIXED(F3564,2,TRUE)))&amp;FIXED(F3564,2,TRUE)</f>
        <v/>
      </c>
      <c r="AH3564" s="10">
        <f>LEN(AC3564)+LEN(AG3564)</f>
        <v/>
      </c>
      <c r="AI3564" s="10">
        <f>LEN(L3564)</f>
        <v/>
      </c>
    </row>
    <row r="3565">
      <c r="J3565" s="12">
        <f>IF(F3565&lt;&gt;0,"LANÇAR","")</f>
        <v/>
      </c>
      <c r="L3565" s="13">
        <f>N3565&amp;O3565&amp;P3565&amp;Q3565&amp;R3565&amp;S3565&amp;T3565&amp;U3565&amp;V3565&amp;W3565&amp;X3565&amp;Y3565&amp;Z3565&amp;AA3565&amp;AB3565&amp;AC3565&amp;AD3565&amp;AE3565&amp;AF3565&amp;AG3565</f>
        <v/>
      </c>
      <c r="N3565" s="10">
        <f>TEXT($B$6,"00")</f>
        <v/>
      </c>
      <c r="O3565" s="10">
        <f>REPT(" ",8)</f>
        <v/>
      </c>
      <c r="P3565" s="10">
        <f>RIGHT($B$4,2)</f>
        <v/>
      </c>
      <c r="Q3565" s="10">
        <f>RIGHT($B$5,3)</f>
        <v/>
      </c>
      <c r="R3565" s="10">
        <f>IF(A3565="D",LEFT(UPPER(B3565)&amp;REPT(" ",20),20),REPT(" ",20))</f>
        <v/>
      </c>
      <c r="S3565" s="10">
        <f>IF(A3565="D",LEFT(UPPER(C3565)&amp;REPT(" ",10),10)," ")</f>
        <v/>
      </c>
      <c r="T3565" s="10">
        <f>IF(A3565="D",LEFT(UPPER(D3565)&amp;REPT(" ",2),2)," ")</f>
        <v/>
      </c>
      <c r="U3565" s="10">
        <f>IF(A3565="D",LEFT(UPPER(E3565)&amp;REPT(" ",15),15)," ")</f>
        <v/>
      </c>
      <c r="V3565" s="10">
        <f>REPT(" ",24)</f>
        <v/>
      </c>
      <c r="W3565" s="10">
        <f>IF(A3565="c",LEFT(UPPER(B3565)&amp;REPT(" ",20),20),REPT(" ",20))</f>
        <v/>
      </c>
      <c r="X3565" s="10">
        <f>IF(A3565="C",LEFT(UPPER(C3565)&amp;REPT(" ",10),10)," ")</f>
        <v/>
      </c>
      <c r="Y3565" s="10">
        <f>IF(A3565="C",LEFT(UPPER(D3565)&amp;REPT(" ",2),2)," ")</f>
        <v/>
      </c>
      <c r="Z3565" s="10">
        <f>IF(A3565="C",LEFT(UPPER(E3565)&amp;REPT(" ",15),15)," ")</f>
        <v/>
      </c>
      <c r="AA3565" s="10">
        <f>REPT(" ",8)</f>
        <v/>
      </c>
      <c r="AB3565" s="10">
        <f>REPT(" ",4)</f>
        <v/>
      </c>
      <c r="AC3565" s="10">
        <f>LEFT(UPPER(H3565)&amp;REPT(" ",250),250)</f>
        <v/>
      </c>
      <c r="AD3565" s="10">
        <f>TEXT($G$2,"dd/mm/aaaa")</f>
        <v/>
      </c>
      <c r="AE3565" s="10">
        <f>REPT(" ",10)</f>
        <v/>
      </c>
      <c r="AF3565" s="10">
        <f>REPT(" ",20)</f>
        <v/>
      </c>
      <c r="AG3565" s="54">
        <f>REPT(" ",18-LEN(FIXED(F3565,2,TRUE)))&amp;FIXED(F3565,2,TRUE)</f>
        <v/>
      </c>
      <c r="AH3565" s="10">
        <f>LEN(AC3565)+LEN(AG3565)</f>
        <v/>
      </c>
      <c r="AI3565" s="10">
        <f>LEN(L3565)</f>
        <v/>
      </c>
    </row>
    <row r="3566">
      <c r="J3566" s="12">
        <f>IF(F3566&lt;&gt;0,"LANÇAR","")</f>
        <v/>
      </c>
      <c r="L3566" s="13">
        <f>N3566&amp;O3566&amp;P3566&amp;Q3566&amp;R3566&amp;S3566&amp;T3566&amp;U3566&amp;V3566&amp;W3566&amp;X3566&amp;Y3566&amp;Z3566&amp;AA3566&amp;AB3566&amp;AC3566&amp;AD3566&amp;AE3566&amp;AF3566&amp;AG3566</f>
        <v/>
      </c>
      <c r="N3566" s="10">
        <f>TEXT($B$6,"00")</f>
        <v/>
      </c>
      <c r="O3566" s="10">
        <f>REPT(" ",8)</f>
        <v/>
      </c>
      <c r="P3566" s="10">
        <f>RIGHT($B$4,2)</f>
        <v/>
      </c>
      <c r="Q3566" s="10">
        <f>RIGHT($B$5,3)</f>
        <v/>
      </c>
      <c r="R3566" s="10">
        <f>IF(A3566="D",LEFT(UPPER(B3566)&amp;REPT(" ",20),20),REPT(" ",20))</f>
        <v/>
      </c>
      <c r="S3566" s="10">
        <f>IF(A3566="D",LEFT(UPPER(C3566)&amp;REPT(" ",10),10)," ")</f>
        <v/>
      </c>
      <c r="T3566" s="10">
        <f>IF(A3566="D",LEFT(UPPER(D3566)&amp;REPT(" ",2),2)," ")</f>
        <v/>
      </c>
      <c r="U3566" s="10">
        <f>IF(A3566="D",LEFT(UPPER(E3566)&amp;REPT(" ",15),15)," ")</f>
        <v/>
      </c>
      <c r="V3566" s="10">
        <f>REPT(" ",24)</f>
        <v/>
      </c>
      <c r="W3566" s="10">
        <f>IF(A3566="c",LEFT(UPPER(B3566)&amp;REPT(" ",20),20),REPT(" ",20))</f>
        <v/>
      </c>
      <c r="X3566" s="10">
        <f>IF(A3566="C",LEFT(UPPER(C3566)&amp;REPT(" ",10),10)," ")</f>
        <v/>
      </c>
      <c r="Y3566" s="10">
        <f>IF(A3566="C",LEFT(UPPER(D3566)&amp;REPT(" ",2),2)," ")</f>
        <v/>
      </c>
      <c r="Z3566" s="10">
        <f>IF(A3566="C",LEFT(UPPER(E3566)&amp;REPT(" ",15),15)," ")</f>
        <v/>
      </c>
      <c r="AA3566" s="10">
        <f>REPT(" ",8)</f>
        <v/>
      </c>
      <c r="AB3566" s="10">
        <f>REPT(" ",4)</f>
        <v/>
      </c>
      <c r="AC3566" s="10">
        <f>LEFT(UPPER(H3566)&amp;REPT(" ",250),250)</f>
        <v/>
      </c>
      <c r="AD3566" s="10">
        <f>TEXT($G$2,"dd/mm/aaaa")</f>
        <v/>
      </c>
      <c r="AE3566" s="10">
        <f>REPT(" ",10)</f>
        <v/>
      </c>
      <c r="AF3566" s="10">
        <f>REPT(" ",20)</f>
        <v/>
      </c>
      <c r="AG3566" s="54">
        <f>REPT(" ",18-LEN(FIXED(F3566,2,TRUE)))&amp;FIXED(F3566,2,TRUE)</f>
        <v/>
      </c>
      <c r="AH3566" s="10">
        <f>LEN(AC3566)+LEN(AG3566)</f>
        <v/>
      </c>
      <c r="AI3566" s="10">
        <f>LEN(L3566)</f>
        <v/>
      </c>
    </row>
    <row r="3567">
      <c r="J3567" s="12">
        <f>IF(F3567&lt;&gt;0,"LANÇAR","")</f>
        <v/>
      </c>
      <c r="L3567" s="13">
        <f>N3567&amp;O3567&amp;P3567&amp;Q3567&amp;R3567&amp;S3567&amp;T3567&amp;U3567&amp;V3567&amp;W3567&amp;X3567&amp;Y3567&amp;Z3567&amp;AA3567&amp;AB3567&amp;AC3567&amp;AD3567&amp;AE3567&amp;AF3567&amp;AG3567</f>
        <v/>
      </c>
      <c r="N3567" s="10">
        <f>TEXT($B$6,"00")</f>
        <v/>
      </c>
      <c r="O3567" s="10">
        <f>REPT(" ",8)</f>
        <v/>
      </c>
      <c r="P3567" s="10">
        <f>RIGHT($B$4,2)</f>
        <v/>
      </c>
      <c r="Q3567" s="10">
        <f>RIGHT($B$5,3)</f>
        <v/>
      </c>
      <c r="R3567" s="10">
        <f>IF(A3567="D",LEFT(UPPER(B3567)&amp;REPT(" ",20),20),REPT(" ",20))</f>
        <v/>
      </c>
      <c r="S3567" s="10">
        <f>IF(A3567="D",LEFT(UPPER(C3567)&amp;REPT(" ",10),10)," ")</f>
        <v/>
      </c>
      <c r="T3567" s="10">
        <f>IF(A3567="D",LEFT(UPPER(D3567)&amp;REPT(" ",2),2)," ")</f>
        <v/>
      </c>
      <c r="U3567" s="10">
        <f>IF(A3567="D",LEFT(UPPER(E3567)&amp;REPT(" ",15),15)," ")</f>
        <v/>
      </c>
      <c r="V3567" s="10">
        <f>REPT(" ",24)</f>
        <v/>
      </c>
      <c r="W3567" s="10">
        <f>IF(A3567="c",LEFT(UPPER(B3567)&amp;REPT(" ",20),20),REPT(" ",20))</f>
        <v/>
      </c>
      <c r="X3567" s="10">
        <f>IF(A3567="C",LEFT(UPPER(C3567)&amp;REPT(" ",10),10)," ")</f>
        <v/>
      </c>
      <c r="Y3567" s="10">
        <f>IF(A3567="C",LEFT(UPPER(D3567)&amp;REPT(" ",2),2)," ")</f>
        <v/>
      </c>
      <c r="Z3567" s="10">
        <f>IF(A3567="C",LEFT(UPPER(E3567)&amp;REPT(" ",15),15)," ")</f>
        <v/>
      </c>
      <c r="AA3567" s="10">
        <f>REPT(" ",8)</f>
        <v/>
      </c>
      <c r="AB3567" s="10">
        <f>REPT(" ",4)</f>
        <v/>
      </c>
      <c r="AC3567" s="10">
        <f>LEFT(UPPER(H3567)&amp;REPT(" ",250),250)</f>
        <v/>
      </c>
      <c r="AD3567" s="10">
        <f>TEXT($G$2,"dd/mm/aaaa")</f>
        <v/>
      </c>
      <c r="AE3567" s="10">
        <f>REPT(" ",10)</f>
        <v/>
      </c>
      <c r="AF3567" s="10">
        <f>REPT(" ",20)</f>
        <v/>
      </c>
      <c r="AG3567" s="54">
        <f>REPT(" ",18-LEN(FIXED(F3567,2,TRUE)))&amp;FIXED(F3567,2,TRUE)</f>
        <v/>
      </c>
      <c r="AH3567" s="10">
        <f>LEN(AC3567)+LEN(AG3567)</f>
        <v/>
      </c>
      <c r="AI3567" s="10">
        <f>LEN(L3567)</f>
        <v/>
      </c>
    </row>
    <row r="3568">
      <c r="J3568" s="12">
        <f>IF(F3568&lt;&gt;0,"LANÇAR","")</f>
        <v/>
      </c>
      <c r="L3568" s="13">
        <f>N3568&amp;O3568&amp;P3568&amp;Q3568&amp;R3568&amp;S3568&amp;T3568&amp;U3568&amp;V3568&amp;W3568&amp;X3568&amp;Y3568&amp;Z3568&amp;AA3568&amp;AB3568&amp;AC3568&amp;AD3568&amp;AE3568&amp;AF3568&amp;AG3568</f>
        <v/>
      </c>
      <c r="N3568" s="10">
        <f>TEXT($B$6,"00")</f>
        <v/>
      </c>
      <c r="O3568" s="10">
        <f>REPT(" ",8)</f>
        <v/>
      </c>
      <c r="P3568" s="10">
        <f>RIGHT($B$4,2)</f>
        <v/>
      </c>
      <c r="Q3568" s="10">
        <f>RIGHT($B$5,3)</f>
        <v/>
      </c>
      <c r="R3568" s="10">
        <f>IF(A3568="D",LEFT(UPPER(B3568)&amp;REPT(" ",20),20),REPT(" ",20))</f>
        <v/>
      </c>
      <c r="S3568" s="10">
        <f>IF(A3568="D",LEFT(UPPER(C3568)&amp;REPT(" ",10),10)," ")</f>
        <v/>
      </c>
      <c r="T3568" s="10">
        <f>IF(A3568="D",LEFT(UPPER(D3568)&amp;REPT(" ",2),2)," ")</f>
        <v/>
      </c>
      <c r="U3568" s="10">
        <f>IF(A3568="D",LEFT(UPPER(E3568)&amp;REPT(" ",15),15)," ")</f>
        <v/>
      </c>
      <c r="V3568" s="10">
        <f>REPT(" ",24)</f>
        <v/>
      </c>
      <c r="W3568" s="10">
        <f>IF(A3568="c",LEFT(UPPER(B3568)&amp;REPT(" ",20),20),REPT(" ",20))</f>
        <v/>
      </c>
      <c r="X3568" s="10">
        <f>IF(A3568="C",LEFT(UPPER(C3568)&amp;REPT(" ",10),10)," ")</f>
        <v/>
      </c>
      <c r="Y3568" s="10">
        <f>IF(A3568="C",LEFT(UPPER(D3568)&amp;REPT(" ",2),2)," ")</f>
        <v/>
      </c>
      <c r="Z3568" s="10">
        <f>IF(A3568="C",LEFT(UPPER(E3568)&amp;REPT(" ",15),15)," ")</f>
        <v/>
      </c>
      <c r="AA3568" s="10">
        <f>REPT(" ",8)</f>
        <v/>
      </c>
      <c r="AB3568" s="10">
        <f>REPT(" ",4)</f>
        <v/>
      </c>
      <c r="AC3568" s="10">
        <f>LEFT(UPPER(H3568)&amp;REPT(" ",250),250)</f>
        <v/>
      </c>
      <c r="AD3568" s="10">
        <f>TEXT($G$2,"dd/mm/aaaa")</f>
        <v/>
      </c>
      <c r="AE3568" s="10">
        <f>REPT(" ",10)</f>
        <v/>
      </c>
      <c r="AF3568" s="10">
        <f>REPT(" ",20)</f>
        <v/>
      </c>
      <c r="AG3568" s="54">
        <f>REPT(" ",18-LEN(FIXED(F3568,2,TRUE)))&amp;FIXED(F3568,2,TRUE)</f>
        <v/>
      </c>
      <c r="AH3568" s="10">
        <f>LEN(AC3568)+LEN(AG3568)</f>
        <v/>
      </c>
      <c r="AI3568" s="10">
        <f>LEN(L3568)</f>
        <v/>
      </c>
    </row>
    <row r="3569">
      <c r="J3569" s="12">
        <f>IF(F3569&lt;&gt;0,"LANÇAR","")</f>
        <v/>
      </c>
      <c r="L3569" s="13">
        <f>N3569&amp;O3569&amp;P3569&amp;Q3569&amp;R3569&amp;S3569&amp;T3569&amp;U3569&amp;V3569&amp;W3569&amp;X3569&amp;Y3569&amp;Z3569&amp;AA3569&amp;AB3569&amp;AC3569&amp;AD3569&amp;AE3569&amp;AF3569&amp;AG3569</f>
        <v/>
      </c>
      <c r="N3569" s="10">
        <f>TEXT($B$6,"00")</f>
        <v/>
      </c>
      <c r="O3569" s="10">
        <f>REPT(" ",8)</f>
        <v/>
      </c>
      <c r="P3569" s="10">
        <f>RIGHT($B$4,2)</f>
        <v/>
      </c>
      <c r="Q3569" s="10">
        <f>RIGHT($B$5,3)</f>
        <v/>
      </c>
      <c r="R3569" s="10">
        <f>IF(A3569="D",LEFT(UPPER(B3569)&amp;REPT(" ",20),20),REPT(" ",20))</f>
        <v/>
      </c>
      <c r="S3569" s="10">
        <f>IF(A3569="D",LEFT(UPPER(C3569)&amp;REPT(" ",10),10)," ")</f>
        <v/>
      </c>
      <c r="T3569" s="10">
        <f>IF(A3569="D",LEFT(UPPER(D3569)&amp;REPT(" ",2),2)," ")</f>
        <v/>
      </c>
      <c r="U3569" s="10">
        <f>IF(A3569="D",LEFT(UPPER(E3569)&amp;REPT(" ",15),15)," ")</f>
        <v/>
      </c>
      <c r="V3569" s="10">
        <f>REPT(" ",24)</f>
        <v/>
      </c>
      <c r="W3569" s="10">
        <f>IF(A3569="c",LEFT(UPPER(B3569)&amp;REPT(" ",20),20),REPT(" ",20))</f>
        <v/>
      </c>
      <c r="X3569" s="10">
        <f>IF(A3569="C",LEFT(UPPER(C3569)&amp;REPT(" ",10),10)," ")</f>
        <v/>
      </c>
      <c r="Y3569" s="10">
        <f>IF(A3569="C",LEFT(UPPER(D3569)&amp;REPT(" ",2),2)," ")</f>
        <v/>
      </c>
      <c r="Z3569" s="10">
        <f>IF(A3569="C",LEFT(UPPER(E3569)&amp;REPT(" ",15),15)," ")</f>
        <v/>
      </c>
      <c r="AA3569" s="10">
        <f>REPT(" ",8)</f>
        <v/>
      </c>
      <c r="AB3569" s="10">
        <f>REPT(" ",4)</f>
        <v/>
      </c>
      <c r="AC3569" s="10">
        <f>LEFT(UPPER(H3569)&amp;REPT(" ",250),250)</f>
        <v/>
      </c>
      <c r="AD3569" s="10">
        <f>TEXT($G$2,"dd/mm/aaaa")</f>
        <v/>
      </c>
      <c r="AE3569" s="10">
        <f>REPT(" ",10)</f>
        <v/>
      </c>
      <c r="AF3569" s="10">
        <f>REPT(" ",20)</f>
        <v/>
      </c>
      <c r="AG3569" s="54">
        <f>REPT(" ",18-LEN(FIXED(F3569,2,TRUE)))&amp;FIXED(F3569,2,TRUE)</f>
        <v/>
      </c>
      <c r="AH3569" s="10">
        <f>LEN(AC3569)+LEN(AG3569)</f>
        <v/>
      </c>
      <c r="AI3569" s="10">
        <f>LEN(L3569)</f>
        <v/>
      </c>
    </row>
    <row r="3570">
      <c r="J3570" s="12">
        <f>IF(F3570&lt;&gt;0,"LANÇAR","")</f>
        <v/>
      </c>
      <c r="L3570" s="13">
        <f>N3570&amp;O3570&amp;P3570&amp;Q3570&amp;R3570&amp;S3570&amp;T3570&amp;U3570&amp;V3570&amp;W3570&amp;X3570&amp;Y3570&amp;Z3570&amp;AA3570&amp;AB3570&amp;AC3570&amp;AD3570&amp;AE3570&amp;AF3570&amp;AG3570</f>
        <v/>
      </c>
      <c r="N3570" s="10">
        <f>TEXT($B$6,"00")</f>
        <v/>
      </c>
      <c r="O3570" s="10">
        <f>REPT(" ",8)</f>
        <v/>
      </c>
      <c r="P3570" s="10">
        <f>RIGHT($B$4,2)</f>
        <v/>
      </c>
      <c r="Q3570" s="10">
        <f>RIGHT($B$5,3)</f>
        <v/>
      </c>
      <c r="R3570" s="10">
        <f>IF(A3570="D",LEFT(UPPER(B3570)&amp;REPT(" ",20),20),REPT(" ",20))</f>
        <v/>
      </c>
      <c r="S3570" s="10">
        <f>IF(A3570="D",LEFT(UPPER(C3570)&amp;REPT(" ",10),10)," ")</f>
        <v/>
      </c>
      <c r="T3570" s="10">
        <f>IF(A3570="D",LEFT(UPPER(D3570)&amp;REPT(" ",2),2)," ")</f>
        <v/>
      </c>
      <c r="U3570" s="10">
        <f>IF(A3570="D",LEFT(UPPER(E3570)&amp;REPT(" ",15),15)," ")</f>
        <v/>
      </c>
      <c r="V3570" s="10">
        <f>REPT(" ",24)</f>
        <v/>
      </c>
      <c r="W3570" s="10">
        <f>IF(A3570="c",LEFT(UPPER(B3570)&amp;REPT(" ",20),20),REPT(" ",20))</f>
        <v/>
      </c>
      <c r="X3570" s="10">
        <f>IF(A3570="C",LEFT(UPPER(C3570)&amp;REPT(" ",10),10)," ")</f>
        <v/>
      </c>
      <c r="Y3570" s="10">
        <f>IF(A3570="C",LEFT(UPPER(D3570)&amp;REPT(" ",2),2)," ")</f>
        <v/>
      </c>
      <c r="Z3570" s="10">
        <f>IF(A3570="C",LEFT(UPPER(E3570)&amp;REPT(" ",15),15)," ")</f>
        <v/>
      </c>
      <c r="AA3570" s="10">
        <f>REPT(" ",8)</f>
        <v/>
      </c>
      <c r="AB3570" s="10">
        <f>REPT(" ",4)</f>
        <v/>
      </c>
      <c r="AC3570" s="10">
        <f>LEFT(UPPER(H3570)&amp;REPT(" ",250),250)</f>
        <v/>
      </c>
      <c r="AD3570" s="10">
        <f>TEXT($G$2,"dd/mm/aaaa")</f>
        <v/>
      </c>
      <c r="AE3570" s="10">
        <f>REPT(" ",10)</f>
        <v/>
      </c>
      <c r="AF3570" s="10">
        <f>REPT(" ",20)</f>
        <v/>
      </c>
      <c r="AG3570" s="54">
        <f>REPT(" ",18-LEN(FIXED(F3570,2,TRUE)))&amp;FIXED(F3570,2,TRUE)</f>
        <v/>
      </c>
      <c r="AH3570" s="10">
        <f>LEN(AC3570)+LEN(AG3570)</f>
        <v/>
      </c>
      <c r="AI3570" s="10">
        <f>LEN(L3570)</f>
        <v/>
      </c>
    </row>
    <row r="3571">
      <c r="J3571" s="12">
        <f>IF(F3571&lt;&gt;0,"LANÇAR","")</f>
        <v/>
      </c>
      <c r="L3571" s="13">
        <f>N3571&amp;O3571&amp;P3571&amp;Q3571&amp;R3571&amp;S3571&amp;T3571&amp;U3571&amp;V3571&amp;W3571&amp;X3571&amp;Y3571&amp;Z3571&amp;AA3571&amp;AB3571&amp;AC3571&amp;AD3571&amp;AE3571&amp;AF3571&amp;AG3571</f>
        <v/>
      </c>
      <c r="N3571" s="10">
        <f>TEXT($B$6,"00")</f>
        <v/>
      </c>
      <c r="O3571" s="10">
        <f>REPT(" ",8)</f>
        <v/>
      </c>
      <c r="P3571" s="10">
        <f>RIGHT($B$4,2)</f>
        <v/>
      </c>
      <c r="Q3571" s="10">
        <f>RIGHT($B$5,3)</f>
        <v/>
      </c>
      <c r="R3571" s="10">
        <f>IF(A3571="D",LEFT(UPPER(B3571)&amp;REPT(" ",20),20),REPT(" ",20))</f>
        <v/>
      </c>
      <c r="S3571" s="10">
        <f>IF(A3571="D",LEFT(UPPER(C3571)&amp;REPT(" ",10),10)," ")</f>
        <v/>
      </c>
      <c r="T3571" s="10">
        <f>IF(A3571="D",LEFT(UPPER(D3571)&amp;REPT(" ",2),2)," ")</f>
        <v/>
      </c>
      <c r="U3571" s="10">
        <f>IF(A3571="D",LEFT(UPPER(E3571)&amp;REPT(" ",15),15)," ")</f>
        <v/>
      </c>
      <c r="V3571" s="10">
        <f>REPT(" ",24)</f>
        <v/>
      </c>
      <c r="W3571" s="10">
        <f>IF(A3571="c",LEFT(UPPER(B3571)&amp;REPT(" ",20),20),REPT(" ",20))</f>
        <v/>
      </c>
      <c r="X3571" s="10">
        <f>IF(A3571="C",LEFT(UPPER(C3571)&amp;REPT(" ",10),10)," ")</f>
        <v/>
      </c>
      <c r="Y3571" s="10">
        <f>IF(A3571="C",LEFT(UPPER(D3571)&amp;REPT(" ",2),2)," ")</f>
        <v/>
      </c>
      <c r="Z3571" s="10">
        <f>IF(A3571="C",LEFT(UPPER(E3571)&amp;REPT(" ",15),15)," ")</f>
        <v/>
      </c>
      <c r="AA3571" s="10">
        <f>REPT(" ",8)</f>
        <v/>
      </c>
      <c r="AB3571" s="10">
        <f>REPT(" ",4)</f>
        <v/>
      </c>
      <c r="AC3571" s="10">
        <f>LEFT(UPPER(H3571)&amp;REPT(" ",250),250)</f>
        <v/>
      </c>
      <c r="AD3571" s="10">
        <f>TEXT($G$2,"dd/mm/aaaa")</f>
        <v/>
      </c>
      <c r="AE3571" s="10">
        <f>REPT(" ",10)</f>
        <v/>
      </c>
      <c r="AF3571" s="10">
        <f>REPT(" ",20)</f>
        <v/>
      </c>
      <c r="AG3571" s="54">
        <f>REPT(" ",18-LEN(FIXED(F3571,2,TRUE)))&amp;FIXED(F3571,2,TRUE)</f>
        <v/>
      </c>
      <c r="AH3571" s="10">
        <f>LEN(AC3571)+LEN(AG3571)</f>
        <v/>
      </c>
      <c r="AI3571" s="10">
        <f>LEN(L3571)</f>
        <v/>
      </c>
    </row>
    <row r="3572">
      <c r="J3572" s="12">
        <f>IF(F3572&lt;&gt;0,"LANÇAR","")</f>
        <v/>
      </c>
      <c r="L3572" s="13">
        <f>N3572&amp;O3572&amp;P3572&amp;Q3572&amp;R3572&amp;S3572&amp;T3572&amp;U3572&amp;V3572&amp;W3572&amp;X3572&amp;Y3572&amp;Z3572&amp;AA3572&amp;AB3572&amp;AC3572&amp;AD3572&amp;AE3572&amp;AF3572&amp;AG3572</f>
        <v/>
      </c>
      <c r="N3572" s="10">
        <f>TEXT($B$6,"00")</f>
        <v/>
      </c>
      <c r="O3572" s="10">
        <f>REPT(" ",8)</f>
        <v/>
      </c>
      <c r="P3572" s="10">
        <f>RIGHT($B$4,2)</f>
        <v/>
      </c>
      <c r="Q3572" s="10">
        <f>RIGHT($B$5,3)</f>
        <v/>
      </c>
      <c r="R3572" s="10">
        <f>IF(A3572="D",LEFT(UPPER(B3572)&amp;REPT(" ",20),20),REPT(" ",20))</f>
        <v/>
      </c>
      <c r="S3572" s="10">
        <f>IF(A3572="D",LEFT(UPPER(C3572)&amp;REPT(" ",10),10)," ")</f>
        <v/>
      </c>
      <c r="T3572" s="10">
        <f>IF(A3572="D",LEFT(UPPER(D3572)&amp;REPT(" ",2),2)," ")</f>
        <v/>
      </c>
      <c r="U3572" s="10">
        <f>IF(A3572="D",LEFT(UPPER(E3572)&amp;REPT(" ",15),15)," ")</f>
        <v/>
      </c>
      <c r="V3572" s="10">
        <f>REPT(" ",24)</f>
        <v/>
      </c>
      <c r="W3572" s="10">
        <f>IF(A3572="c",LEFT(UPPER(B3572)&amp;REPT(" ",20),20),REPT(" ",20))</f>
        <v/>
      </c>
      <c r="X3572" s="10">
        <f>IF(A3572="C",LEFT(UPPER(C3572)&amp;REPT(" ",10),10)," ")</f>
        <v/>
      </c>
      <c r="Y3572" s="10">
        <f>IF(A3572="C",LEFT(UPPER(D3572)&amp;REPT(" ",2),2)," ")</f>
        <v/>
      </c>
      <c r="Z3572" s="10">
        <f>IF(A3572="C",LEFT(UPPER(E3572)&amp;REPT(" ",15),15)," ")</f>
        <v/>
      </c>
      <c r="AA3572" s="10">
        <f>REPT(" ",8)</f>
        <v/>
      </c>
      <c r="AB3572" s="10">
        <f>REPT(" ",4)</f>
        <v/>
      </c>
      <c r="AC3572" s="10">
        <f>LEFT(UPPER(H3572)&amp;REPT(" ",250),250)</f>
        <v/>
      </c>
      <c r="AD3572" s="10">
        <f>TEXT($G$2,"dd/mm/aaaa")</f>
        <v/>
      </c>
      <c r="AE3572" s="10">
        <f>REPT(" ",10)</f>
        <v/>
      </c>
      <c r="AF3572" s="10">
        <f>REPT(" ",20)</f>
        <v/>
      </c>
      <c r="AG3572" s="54">
        <f>REPT(" ",18-LEN(FIXED(F3572,2,TRUE)))&amp;FIXED(F3572,2,TRUE)</f>
        <v/>
      </c>
      <c r="AH3572" s="10">
        <f>LEN(AC3572)+LEN(AG3572)</f>
        <v/>
      </c>
      <c r="AI3572" s="10">
        <f>LEN(L3572)</f>
        <v/>
      </c>
    </row>
    <row r="3573">
      <c r="J3573" s="12">
        <f>IF(F3573&lt;&gt;0,"LANÇAR","")</f>
        <v/>
      </c>
      <c r="L3573" s="13">
        <f>N3573&amp;O3573&amp;P3573&amp;Q3573&amp;R3573&amp;S3573&amp;T3573&amp;U3573&amp;V3573&amp;W3573&amp;X3573&amp;Y3573&amp;Z3573&amp;AA3573&amp;AB3573&amp;AC3573&amp;AD3573&amp;AE3573&amp;AF3573&amp;AG3573</f>
        <v/>
      </c>
      <c r="N3573" s="10">
        <f>TEXT($B$6,"00")</f>
        <v/>
      </c>
      <c r="O3573" s="10">
        <f>REPT(" ",8)</f>
        <v/>
      </c>
      <c r="P3573" s="10">
        <f>RIGHT($B$4,2)</f>
        <v/>
      </c>
      <c r="Q3573" s="10">
        <f>RIGHT($B$5,3)</f>
        <v/>
      </c>
      <c r="R3573" s="10">
        <f>IF(A3573="D",LEFT(UPPER(B3573)&amp;REPT(" ",20),20),REPT(" ",20))</f>
        <v/>
      </c>
      <c r="S3573" s="10">
        <f>IF(A3573="D",LEFT(UPPER(C3573)&amp;REPT(" ",10),10)," ")</f>
        <v/>
      </c>
      <c r="T3573" s="10">
        <f>IF(A3573="D",LEFT(UPPER(D3573)&amp;REPT(" ",2),2)," ")</f>
        <v/>
      </c>
      <c r="U3573" s="10">
        <f>IF(A3573="D",LEFT(UPPER(E3573)&amp;REPT(" ",15),15)," ")</f>
        <v/>
      </c>
      <c r="V3573" s="10">
        <f>REPT(" ",24)</f>
        <v/>
      </c>
      <c r="W3573" s="10">
        <f>IF(A3573="c",LEFT(UPPER(B3573)&amp;REPT(" ",20),20),REPT(" ",20))</f>
        <v/>
      </c>
      <c r="X3573" s="10">
        <f>IF(A3573="C",LEFT(UPPER(C3573)&amp;REPT(" ",10),10)," ")</f>
        <v/>
      </c>
      <c r="Y3573" s="10">
        <f>IF(A3573="C",LEFT(UPPER(D3573)&amp;REPT(" ",2),2)," ")</f>
        <v/>
      </c>
      <c r="Z3573" s="10">
        <f>IF(A3573="C",LEFT(UPPER(E3573)&amp;REPT(" ",15),15)," ")</f>
        <v/>
      </c>
      <c r="AA3573" s="10">
        <f>REPT(" ",8)</f>
        <v/>
      </c>
      <c r="AB3573" s="10">
        <f>REPT(" ",4)</f>
        <v/>
      </c>
      <c r="AC3573" s="10">
        <f>LEFT(UPPER(H3573)&amp;REPT(" ",250),250)</f>
        <v/>
      </c>
      <c r="AD3573" s="10">
        <f>TEXT($G$2,"dd/mm/aaaa")</f>
        <v/>
      </c>
      <c r="AE3573" s="10">
        <f>REPT(" ",10)</f>
        <v/>
      </c>
      <c r="AF3573" s="10">
        <f>REPT(" ",20)</f>
        <v/>
      </c>
      <c r="AG3573" s="54">
        <f>REPT(" ",18-LEN(FIXED(F3573,2,TRUE)))&amp;FIXED(F3573,2,TRUE)</f>
        <v/>
      </c>
      <c r="AH3573" s="10">
        <f>LEN(AC3573)+LEN(AG3573)</f>
        <v/>
      </c>
      <c r="AI3573" s="10">
        <f>LEN(L3573)</f>
        <v/>
      </c>
    </row>
    <row r="3574">
      <c r="J3574" s="12">
        <f>IF(F3574&lt;&gt;0,"LANÇAR","")</f>
        <v/>
      </c>
      <c r="L3574" s="13">
        <f>N3574&amp;O3574&amp;P3574&amp;Q3574&amp;R3574&amp;S3574&amp;T3574&amp;U3574&amp;V3574&amp;W3574&amp;X3574&amp;Y3574&amp;Z3574&amp;AA3574&amp;AB3574&amp;AC3574&amp;AD3574&amp;AE3574&amp;AF3574&amp;AG3574</f>
        <v/>
      </c>
      <c r="N3574" s="10">
        <f>TEXT($B$6,"00")</f>
        <v/>
      </c>
      <c r="O3574" s="10">
        <f>REPT(" ",8)</f>
        <v/>
      </c>
      <c r="P3574" s="10">
        <f>RIGHT($B$4,2)</f>
        <v/>
      </c>
      <c r="Q3574" s="10">
        <f>RIGHT($B$5,3)</f>
        <v/>
      </c>
      <c r="R3574" s="10">
        <f>IF(A3574="D",LEFT(UPPER(B3574)&amp;REPT(" ",20),20),REPT(" ",20))</f>
        <v/>
      </c>
      <c r="S3574" s="10">
        <f>IF(A3574="D",LEFT(UPPER(C3574)&amp;REPT(" ",10),10)," ")</f>
        <v/>
      </c>
      <c r="T3574" s="10">
        <f>IF(A3574="D",LEFT(UPPER(D3574)&amp;REPT(" ",2),2)," ")</f>
        <v/>
      </c>
      <c r="U3574" s="10">
        <f>IF(A3574="D",LEFT(UPPER(E3574)&amp;REPT(" ",15),15)," ")</f>
        <v/>
      </c>
      <c r="V3574" s="10">
        <f>REPT(" ",24)</f>
        <v/>
      </c>
      <c r="W3574" s="10">
        <f>IF(A3574="c",LEFT(UPPER(B3574)&amp;REPT(" ",20),20),REPT(" ",20))</f>
        <v/>
      </c>
      <c r="X3574" s="10">
        <f>IF(A3574="C",LEFT(UPPER(C3574)&amp;REPT(" ",10),10)," ")</f>
        <v/>
      </c>
      <c r="Y3574" s="10">
        <f>IF(A3574="C",LEFT(UPPER(D3574)&amp;REPT(" ",2),2)," ")</f>
        <v/>
      </c>
      <c r="Z3574" s="10">
        <f>IF(A3574="C",LEFT(UPPER(E3574)&amp;REPT(" ",15),15)," ")</f>
        <v/>
      </c>
      <c r="AA3574" s="10">
        <f>REPT(" ",8)</f>
        <v/>
      </c>
      <c r="AB3574" s="10">
        <f>REPT(" ",4)</f>
        <v/>
      </c>
      <c r="AC3574" s="10">
        <f>LEFT(UPPER(H3574)&amp;REPT(" ",250),250)</f>
        <v/>
      </c>
      <c r="AD3574" s="10">
        <f>TEXT($G$2,"dd/mm/aaaa")</f>
        <v/>
      </c>
      <c r="AE3574" s="10">
        <f>REPT(" ",10)</f>
        <v/>
      </c>
      <c r="AF3574" s="10">
        <f>REPT(" ",20)</f>
        <v/>
      </c>
      <c r="AG3574" s="54">
        <f>REPT(" ",18-LEN(FIXED(F3574,2,TRUE)))&amp;FIXED(F3574,2,TRUE)</f>
        <v/>
      </c>
      <c r="AH3574" s="10">
        <f>LEN(AC3574)+LEN(AG3574)</f>
        <v/>
      </c>
      <c r="AI3574" s="10">
        <f>LEN(L3574)</f>
        <v/>
      </c>
    </row>
    <row r="3575">
      <c r="J3575" s="12">
        <f>IF(F3575&lt;&gt;0,"LANÇAR","")</f>
        <v/>
      </c>
      <c r="L3575" s="13">
        <f>N3575&amp;O3575&amp;P3575&amp;Q3575&amp;R3575&amp;S3575&amp;T3575&amp;U3575&amp;V3575&amp;W3575&amp;X3575&amp;Y3575&amp;Z3575&amp;AA3575&amp;AB3575&amp;AC3575&amp;AD3575&amp;AE3575&amp;AF3575&amp;AG3575</f>
        <v/>
      </c>
      <c r="N3575" s="10">
        <f>TEXT($B$6,"00")</f>
        <v/>
      </c>
      <c r="O3575" s="10">
        <f>REPT(" ",8)</f>
        <v/>
      </c>
      <c r="P3575" s="10">
        <f>RIGHT($B$4,2)</f>
        <v/>
      </c>
      <c r="Q3575" s="10">
        <f>RIGHT($B$5,3)</f>
        <v/>
      </c>
      <c r="R3575" s="10">
        <f>IF(A3575="D",LEFT(UPPER(B3575)&amp;REPT(" ",20),20),REPT(" ",20))</f>
        <v/>
      </c>
      <c r="S3575" s="10">
        <f>IF(A3575="D",LEFT(UPPER(C3575)&amp;REPT(" ",10),10)," ")</f>
        <v/>
      </c>
      <c r="T3575" s="10">
        <f>IF(A3575="D",LEFT(UPPER(D3575)&amp;REPT(" ",2),2)," ")</f>
        <v/>
      </c>
      <c r="U3575" s="10">
        <f>IF(A3575="D",LEFT(UPPER(E3575)&amp;REPT(" ",15),15)," ")</f>
        <v/>
      </c>
      <c r="V3575" s="10">
        <f>REPT(" ",24)</f>
        <v/>
      </c>
      <c r="W3575" s="10">
        <f>IF(A3575="c",LEFT(UPPER(B3575)&amp;REPT(" ",20),20),REPT(" ",20))</f>
        <v/>
      </c>
      <c r="X3575" s="10">
        <f>IF(A3575="C",LEFT(UPPER(C3575)&amp;REPT(" ",10),10)," ")</f>
        <v/>
      </c>
      <c r="Y3575" s="10">
        <f>IF(A3575="C",LEFT(UPPER(D3575)&amp;REPT(" ",2),2)," ")</f>
        <v/>
      </c>
      <c r="Z3575" s="10">
        <f>IF(A3575="C",LEFT(UPPER(E3575)&amp;REPT(" ",15),15)," ")</f>
        <v/>
      </c>
      <c r="AA3575" s="10">
        <f>REPT(" ",8)</f>
        <v/>
      </c>
      <c r="AB3575" s="10">
        <f>REPT(" ",4)</f>
        <v/>
      </c>
      <c r="AC3575" s="10">
        <f>LEFT(UPPER(H3575)&amp;REPT(" ",250),250)</f>
        <v/>
      </c>
      <c r="AD3575" s="10">
        <f>TEXT($G$2,"dd/mm/aaaa")</f>
        <v/>
      </c>
      <c r="AE3575" s="10">
        <f>REPT(" ",10)</f>
        <v/>
      </c>
      <c r="AF3575" s="10">
        <f>REPT(" ",20)</f>
        <v/>
      </c>
      <c r="AG3575" s="54">
        <f>REPT(" ",18-LEN(FIXED(F3575,2,TRUE)))&amp;FIXED(F3575,2,TRUE)</f>
        <v/>
      </c>
      <c r="AH3575" s="10">
        <f>LEN(AC3575)+LEN(AG3575)</f>
        <v/>
      </c>
      <c r="AI3575" s="10">
        <f>LEN(L3575)</f>
        <v/>
      </c>
    </row>
    <row r="3576">
      <c r="J3576" s="12">
        <f>IF(F3576&lt;&gt;0,"LANÇAR","")</f>
        <v/>
      </c>
      <c r="L3576" s="13">
        <f>N3576&amp;O3576&amp;P3576&amp;Q3576&amp;R3576&amp;S3576&amp;T3576&amp;U3576&amp;V3576&amp;W3576&amp;X3576&amp;Y3576&amp;Z3576&amp;AA3576&amp;AB3576&amp;AC3576&amp;AD3576&amp;AE3576&amp;AF3576&amp;AG3576</f>
        <v/>
      </c>
      <c r="N3576" s="10">
        <f>TEXT($B$6,"00")</f>
        <v/>
      </c>
      <c r="O3576" s="10">
        <f>REPT(" ",8)</f>
        <v/>
      </c>
      <c r="P3576" s="10">
        <f>RIGHT($B$4,2)</f>
        <v/>
      </c>
      <c r="Q3576" s="10">
        <f>RIGHT($B$5,3)</f>
        <v/>
      </c>
      <c r="R3576" s="10">
        <f>IF(A3576="D",LEFT(UPPER(B3576)&amp;REPT(" ",20),20),REPT(" ",20))</f>
        <v/>
      </c>
      <c r="S3576" s="10">
        <f>IF(A3576="D",LEFT(UPPER(C3576)&amp;REPT(" ",10),10)," ")</f>
        <v/>
      </c>
      <c r="T3576" s="10">
        <f>IF(A3576="D",LEFT(UPPER(D3576)&amp;REPT(" ",2),2)," ")</f>
        <v/>
      </c>
      <c r="U3576" s="10">
        <f>IF(A3576="D",LEFT(UPPER(E3576)&amp;REPT(" ",15),15)," ")</f>
        <v/>
      </c>
      <c r="V3576" s="10">
        <f>REPT(" ",24)</f>
        <v/>
      </c>
      <c r="W3576" s="10">
        <f>IF(A3576="c",LEFT(UPPER(B3576)&amp;REPT(" ",20),20),REPT(" ",20))</f>
        <v/>
      </c>
      <c r="X3576" s="10">
        <f>IF(A3576="C",LEFT(UPPER(C3576)&amp;REPT(" ",10),10)," ")</f>
        <v/>
      </c>
      <c r="Y3576" s="10">
        <f>IF(A3576="C",LEFT(UPPER(D3576)&amp;REPT(" ",2),2)," ")</f>
        <v/>
      </c>
      <c r="Z3576" s="10">
        <f>IF(A3576="C",LEFT(UPPER(E3576)&amp;REPT(" ",15),15)," ")</f>
        <v/>
      </c>
      <c r="AA3576" s="10">
        <f>REPT(" ",8)</f>
        <v/>
      </c>
      <c r="AB3576" s="10">
        <f>REPT(" ",4)</f>
        <v/>
      </c>
      <c r="AC3576" s="10">
        <f>LEFT(UPPER(H3576)&amp;REPT(" ",250),250)</f>
        <v/>
      </c>
      <c r="AD3576" s="10">
        <f>TEXT($G$2,"dd/mm/aaaa")</f>
        <v/>
      </c>
      <c r="AE3576" s="10">
        <f>REPT(" ",10)</f>
        <v/>
      </c>
      <c r="AF3576" s="10">
        <f>REPT(" ",20)</f>
        <v/>
      </c>
      <c r="AG3576" s="54">
        <f>REPT(" ",18-LEN(FIXED(F3576,2,TRUE)))&amp;FIXED(F3576,2,TRUE)</f>
        <v/>
      </c>
      <c r="AH3576" s="10">
        <f>LEN(AC3576)+LEN(AG3576)</f>
        <v/>
      </c>
      <c r="AI3576" s="10">
        <f>LEN(L3576)</f>
        <v/>
      </c>
    </row>
    <row r="3577">
      <c r="J3577" s="12">
        <f>IF(F3577&lt;&gt;0,"LANÇAR","")</f>
        <v/>
      </c>
      <c r="L3577" s="13">
        <f>N3577&amp;O3577&amp;P3577&amp;Q3577&amp;R3577&amp;S3577&amp;T3577&amp;U3577&amp;V3577&amp;W3577&amp;X3577&amp;Y3577&amp;Z3577&amp;AA3577&amp;AB3577&amp;AC3577&amp;AD3577&amp;AE3577&amp;AF3577&amp;AG3577</f>
        <v/>
      </c>
      <c r="N3577" s="10">
        <f>TEXT($B$6,"00")</f>
        <v/>
      </c>
      <c r="O3577" s="10">
        <f>REPT(" ",8)</f>
        <v/>
      </c>
      <c r="P3577" s="10">
        <f>RIGHT($B$4,2)</f>
        <v/>
      </c>
      <c r="Q3577" s="10">
        <f>RIGHT($B$5,3)</f>
        <v/>
      </c>
      <c r="R3577" s="10">
        <f>IF(A3577="D",LEFT(UPPER(B3577)&amp;REPT(" ",20),20),REPT(" ",20))</f>
        <v/>
      </c>
      <c r="S3577" s="10">
        <f>IF(A3577="D",LEFT(UPPER(C3577)&amp;REPT(" ",10),10)," ")</f>
        <v/>
      </c>
      <c r="T3577" s="10">
        <f>IF(A3577="D",LEFT(UPPER(D3577)&amp;REPT(" ",2),2)," ")</f>
        <v/>
      </c>
      <c r="U3577" s="10">
        <f>IF(A3577="D",LEFT(UPPER(E3577)&amp;REPT(" ",15),15)," ")</f>
        <v/>
      </c>
      <c r="V3577" s="10">
        <f>REPT(" ",24)</f>
        <v/>
      </c>
      <c r="W3577" s="10">
        <f>IF(A3577="c",LEFT(UPPER(B3577)&amp;REPT(" ",20),20),REPT(" ",20))</f>
        <v/>
      </c>
      <c r="X3577" s="10">
        <f>IF(A3577="C",LEFT(UPPER(C3577)&amp;REPT(" ",10),10)," ")</f>
        <v/>
      </c>
      <c r="Y3577" s="10">
        <f>IF(A3577="C",LEFT(UPPER(D3577)&amp;REPT(" ",2),2)," ")</f>
        <v/>
      </c>
      <c r="Z3577" s="10">
        <f>IF(A3577="C",LEFT(UPPER(E3577)&amp;REPT(" ",15),15)," ")</f>
        <v/>
      </c>
      <c r="AA3577" s="10">
        <f>REPT(" ",8)</f>
        <v/>
      </c>
      <c r="AB3577" s="10">
        <f>REPT(" ",4)</f>
        <v/>
      </c>
      <c r="AC3577" s="10">
        <f>LEFT(UPPER(H3577)&amp;REPT(" ",250),250)</f>
        <v/>
      </c>
      <c r="AD3577" s="10">
        <f>TEXT($G$2,"dd/mm/aaaa")</f>
        <v/>
      </c>
      <c r="AE3577" s="10">
        <f>REPT(" ",10)</f>
        <v/>
      </c>
      <c r="AF3577" s="10">
        <f>REPT(" ",20)</f>
        <v/>
      </c>
      <c r="AG3577" s="54">
        <f>REPT(" ",18-LEN(FIXED(F3577,2,TRUE)))&amp;FIXED(F3577,2,TRUE)</f>
        <v/>
      </c>
      <c r="AH3577" s="10">
        <f>LEN(AC3577)+LEN(AG3577)</f>
        <v/>
      </c>
      <c r="AI3577" s="10">
        <f>LEN(L3577)</f>
        <v/>
      </c>
    </row>
    <row r="3578">
      <c r="J3578" s="12">
        <f>IF(F3578&lt;&gt;0,"LANÇAR","")</f>
        <v/>
      </c>
      <c r="L3578" s="13">
        <f>N3578&amp;O3578&amp;P3578&amp;Q3578&amp;R3578&amp;S3578&amp;T3578&amp;U3578&amp;V3578&amp;W3578&amp;X3578&amp;Y3578&amp;Z3578&amp;AA3578&amp;AB3578&amp;AC3578&amp;AD3578&amp;AE3578&amp;AF3578&amp;AG3578</f>
        <v/>
      </c>
      <c r="N3578" s="10">
        <f>TEXT($B$6,"00")</f>
        <v/>
      </c>
      <c r="O3578" s="10">
        <f>REPT(" ",8)</f>
        <v/>
      </c>
      <c r="P3578" s="10">
        <f>RIGHT($B$4,2)</f>
        <v/>
      </c>
      <c r="Q3578" s="10">
        <f>RIGHT($B$5,3)</f>
        <v/>
      </c>
      <c r="R3578" s="10">
        <f>IF(A3578="D",LEFT(UPPER(B3578)&amp;REPT(" ",20),20),REPT(" ",20))</f>
        <v/>
      </c>
      <c r="S3578" s="10">
        <f>IF(A3578="D",LEFT(UPPER(C3578)&amp;REPT(" ",10),10)," ")</f>
        <v/>
      </c>
      <c r="T3578" s="10">
        <f>IF(A3578="D",LEFT(UPPER(D3578)&amp;REPT(" ",2),2)," ")</f>
        <v/>
      </c>
      <c r="U3578" s="10">
        <f>IF(A3578="D",LEFT(UPPER(E3578)&amp;REPT(" ",15),15)," ")</f>
        <v/>
      </c>
      <c r="V3578" s="10">
        <f>REPT(" ",24)</f>
        <v/>
      </c>
      <c r="W3578" s="10">
        <f>IF(A3578="c",LEFT(UPPER(B3578)&amp;REPT(" ",20),20),REPT(" ",20))</f>
        <v/>
      </c>
      <c r="X3578" s="10">
        <f>IF(A3578="C",LEFT(UPPER(C3578)&amp;REPT(" ",10),10)," ")</f>
        <v/>
      </c>
      <c r="Y3578" s="10">
        <f>IF(A3578="C",LEFT(UPPER(D3578)&amp;REPT(" ",2),2)," ")</f>
        <v/>
      </c>
      <c r="Z3578" s="10">
        <f>IF(A3578="C",LEFT(UPPER(E3578)&amp;REPT(" ",15),15)," ")</f>
        <v/>
      </c>
      <c r="AA3578" s="10">
        <f>REPT(" ",8)</f>
        <v/>
      </c>
      <c r="AB3578" s="10">
        <f>REPT(" ",4)</f>
        <v/>
      </c>
      <c r="AC3578" s="10">
        <f>LEFT(UPPER(H3578)&amp;REPT(" ",250),250)</f>
        <v/>
      </c>
      <c r="AD3578" s="10">
        <f>TEXT($G$2,"dd/mm/aaaa")</f>
        <v/>
      </c>
      <c r="AE3578" s="10">
        <f>REPT(" ",10)</f>
        <v/>
      </c>
      <c r="AF3578" s="10">
        <f>REPT(" ",20)</f>
        <v/>
      </c>
      <c r="AG3578" s="54">
        <f>REPT(" ",18-LEN(FIXED(F3578,2,TRUE)))&amp;FIXED(F3578,2,TRUE)</f>
        <v/>
      </c>
      <c r="AH3578" s="10">
        <f>LEN(AC3578)+LEN(AG3578)</f>
        <v/>
      </c>
      <c r="AI3578" s="10">
        <f>LEN(L3578)</f>
        <v/>
      </c>
    </row>
    <row r="3579">
      <c r="J3579" s="12">
        <f>IF(F3579&lt;&gt;0,"LANÇAR","")</f>
        <v/>
      </c>
      <c r="L3579" s="13">
        <f>N3579&amp;O3579&amp;P3579&amp;Q3579&amp;R3579&amp;S3579&amp;T3579&amp;U3579&amp;V3579&amp;W3579&amp;X3579&amp;Y3579&amp;Z3579&amp;AA3579&amp;AB3579&amp;AC3579&amp;AD3579&amp;AE3579&amp;AF3579&amp;AG3579</f>
        <v/>
      </c>
      <c r="N3579" s="10">
        <f>TEXT($B$6,"00")</f>
        <v/>
      </c>
      <c r="O3579" s="10">
        <f>REPT(" ",8)</f>
        <v/>
      </c>
      <c r="P3579" s="10">
        <f>RIGHT($B$4,2)</f>
        <v/>
      </c>
      <c r="Q3579" s="10">
        <f>RIGHT($B$5,3)</f>
        <v/>
      </c>
      <c r="R3579" s="10">
        <f>IF(A3579="D",LEFT(UPPER(B3579)&amp;REPT(" ",20),20),REPT(" ",20))</f>
        <v/>
      </c>
      <c r="S3579" s="10">
        <f>IF(A3579="D",LEFT(UPPER(C3579)&amp;REPT(" ",10),10)," ")</f>
        <v/>
      </c>
      <c r="T3579" s="10">
        <f>IF(A3579="D",LEFT(UPPER(D3579)&amp;REPT(" ",2),2)," ")</f>
        <v/>
      </c>
      <c r="U3579" s="10">
        <f>IF(A3579="D",LEFT(UPPER(E3579)&amp;REPT(" ",15),15)," ")</f>
        <v/>
      </c>
      <c r="V3579" s="10">
        <f>REPT(" ",24)</f>
        <v/>
      </c>
      <c r="W3579" s="10">
        <f>IF(A3579="c",LEFT(UPPER(B3579)&amp;REPT(" ",20),20),REPT(" ",20))</f>
        <v/>
      </c>
      <c r="X3579" s="10">
        <f>IF(A3579="C",LEFT(UPPER(C3579)&amp;REPT(" ",10),10)," ")</f>
        <v/>
      </c>
      <c r="Y3579" s="10">
        <f>IF(A3579="C",LEFT(UPPER(D3579)&amp;REPT(" ",2),2)," ")</f>
        <v/>
      </c>
      <c r="Z3579" s="10">
        <f>IF(A3579="C",LEFT(UPPER(E3579)&amp;REPT(" ",15),15)," ")</f>
        <v/>
      </c>
      <c r="AA3579" s="10">
        <f>REPT(" ",8)</f>
        <v/>
      </c>
      <c r="AB3579" s="10">
        <f>REPT(" ",4)</f>
        <v/>
      </c>
      <c r="AC3579" s="10">
        <f>LEFT(UPPER(H3579)&amp;REPT(" ",250),250)</f>
        <v/>
      </c>
      <c r="AD3579" s="10">
        <f>TEXT($G$2,"dd/mm/aaaa")</f>
        <v/>
      </c>
      <c r="AE3579" s="10">
        <f>REPT(" ",10)</f>
        <v/>
      </c>
      <c r="AF3579" s="10">
        <f>REPT(" ",20)</f>
        <v/>
      </c>
      <c r="AG3579" s="54">
        <f>REPT(" ",18-LEN(FIXED(F3579,2,TRUE)))&amp;FIXED(F3579,2,TRUE)</f>
        <v/>
      </c>
      <c r="AH3579" s="10">
        <f>LEN(AC3579)+LEN(AG3579)</f>
        <v/>
      </c>
      <c r="AI3579" s="10">
        <f>LEN(L3579)</f>
        <v/>
      </c>
    </row>
    <row r="3580">
      <c r="J3580" s="12">
        <f>IF(F3580&lt;&gt;0,"LANÇAR","")</f>
        <v/>
      </c>
      <c r="L3580" s="13">
        <f>N3580&amp;O3580&amp;P3580&amp;Q3580&amp;R3580&amp;S3580&amp;T3580&amp;U3580&amp;V3580&amp;W3580&amp;X3580&amp;Y3580&amp;Z3580&amp;AA3580&amp;AB3580&amp;AC3580&amp;AD3580&amp;AE3580&amp;AF3580&amp;AG3580</f>
        <v/>
      </c>
      <c r="N3580" s="10">
        <f>TEXT($B$6,"00")</f>
        <v/>
      </c>
      <c r="O3580" s="10">
        <f>REPT(" ",8)</f>
        <v/>
      </c>
      <c r="P3580" s="10">
        <f>RIGHT($B$4,2)</f>
        <v/>
      </c>
      <c r="Q3580" s="10">
        <f>RIGHT($B$5,3)</f>
        <v/>
      </c>
      <c r="R3580" s="10">
        <f>IF(A3580="D",LEFT(UPPER(B3580)&amp;REPT(" ",20),20),REPT(" ",20))</f>
        <v/>
      </c>
      <c r="S3580" s="10">
        <f>IF(A3580="D",LEFT(UPPER(C3580)&amp;REPT(" ",10),10)," ")</f>
        <v/>
      </c>
      <c r="T3580" s="10">
        <f>IF(A3580="D",LEFT(UPPER(D3580)&amp;REPT(" ",2),2)," ")</f>
        <v/>
      </c>
      <c r="U3580" s="10">
        <f>IF(A3580="D",LEFT(UPPER(E3580)&amp;REPT(" ",15),15)," ")</f>
        <v/>
      </c>
      <c r="V3580" s="10">
        <f>REPT(" ",24)</f>
        <v/>
      </c>
      <c r="W3580" s="10">
        <f>IF(A3580="c",LEFT(UPPER(B3580)&amp;REPT(" ",20),20),REPT(" ",20))</f>
        <v/>
      </c>
      <c r="X3580" s="10">
        <f>IF(A3580="C",LEFT(UPPER(C3580)&amp;REPT(" ",10),10)," ")</f>
        <v/>
      </c>
      <c r="Y3580" s="10">
        <f>IF(A3580="C",LEFT(UPPER(D3580)&amp;REPT(" ",2),2)," ")</f>
        <v/>
      </c>
      <c r="Z3580" s="10">
        <f>IF(A3580="C",LEFT(UPPER(E3580)&amp;REPT(" ",15),15)," ")</f>
        <v/>
      </c>
      <c r="AA3580" s="10">
        <f>REPT(" ",8)</f>
        <v/>
      </c>
      <c r="AB3580" s="10">
        <f>REPT(" ",4)</f>
        <v/>
      </c>
      <c r="AC3580" s="10">
        <f>LEFT(UPPER(H3580)&amp;REPT(" ",250),250)</f>
        <v/>
      </c>
      <c r="AD3580" s="10">
        <f>TEXT($G$2,"dd/mm/aaaa")</f>
        <v/>
      </c>
      <c r="AE3580" s="10">
        <f>REPT(" ",10)</f>
        <v/>
      </c>
      <c r="AF3580" s="10">
        <f>REPT(" ",20)</f>
        <v/>
      </c>
      <c r="AG3580" s="54">
        <f>REPT(" ",18-LEN(FIXED(F3580,2,TRUE)))&amp;FIXED(F3580,2,TRUE)</f>
        <v/>
      </c>
      <c r="AH3580" s="10">
        <f>LEN(AC3580)+LEN(AG3580)</f>
        <v/>
      </c>
      <c r="AI3580" s="10">
        <f>LEN(L3580)</f>
        <v/>
      </c>
    </row>
    <row r="3581">
      <c r="J3581" s="12">
        <f>IF(F3581&lt;&gt;0,"LANÇAR","")</f>
        <v/>
      </c>
      <c r="L3581" s="13">
        <f>N3581&amp;O3581&amp;P3581&amp;Q3581&amp;R3581&amp;S3581&amp;T3581&amp;U3581&amp;V3581&amp;W3581&amp;X3581&amp;Y3581&amp;Z3581&amp;AA3581&amp;AB3581&amp;AC3581&amp;AD3581&amp;AE3581&amp;AF3581&amp;AG3581</f>
        <v/>
      </c>
      <c r="N3581" s="10">
        <f>TEXT($B$6,"00")</f>
        <v/>
      </c>
      <c r="O3581" s="10">
        <f>REPT(" ",8)</f>
        <v/>
      </c>
      <c r="P3581" s="10">
        <f>RIGHT($B$4,2)</f>
        <v/>
      </c>
      <c r="Q3581" s="10">
        <f>RIGHT($B$5,3)</f>
        <v/>
      </c>
      <c r="R3581" s="10">
        <f>IF(A3581="D",LEFT(UPPER(B3581)&amp;REPT(" ",20),20),REPT(" ",20))</f>
        <v/>
      </c>
      <c r="S3581" s="10">
        <f>IF(A3581="D",LEFT(UPPER(C3581)&amp;REPT(" ",10),10)," ")</f>
        <v/>
      </c>
      <c r="T3581" s="10">
        <f>IF(A3581="D",LEFT(UPPER(D3581)&amp;REPT(" ",2),2)," ")</f>
        <v/>
      </c>
      <c r="U3581" s="10">
        <f>IF(A3581="D",LEFT(UPPER(E3581)&amp;REPT(" ",15),15)," ")</f>
        <v/>
      </c>
      <c r="V3581" s="10">
        <f>REPT(" ",24)</f>
        <v/>
      </c>
      <c r="W3581" s="10">
        <f>IF(A3581="c",LEFT(UPPER(B3581)&amp;REPT(" ",20),20),REPT(" ",20))</f>
        <v/>
      </c>
      <c r="X3581" s="10">
        <f>IF(A3581="C",LEFT(UPPER(C3581)&amp;REPT(" ",10),10)," ")</f>
        <v/>
      </c>
      <c r="Y3581" s="10">
        <f>IF(A3581="C",LEFT(UPPER(D3581)&amp;REPT(" ",2),2)," ")</f>
        <v/>
      </c>
      <c r="Z3581" s="10">
        <f>IF(A3581="C",LEFT(UPPER(E3581)&amp;REPT(" ",15),15)," ")</f>
        <v/>
      </c>
      <c r="AA3581" s="10">
        <f>REPT(" ",8)</f>
        <v/>
      </c>
      <c r="AB3581" s="10">
        <f>REPT(" ",4)</f>
        <v/>
      </c>
      <c r="AC3581" s="10">
        <f>LEFT(UPPER(H3581)&amp;REPT(" ",250),250)</f>
        <v/>
      </c>
      <c r="AD3581" s="10">
        <f>TEXT($G$2,"dd/mm/aaaa")</f>
        <v/>
      </c>
      <c r="AE3581" s="10">
        <f>REPT(" ",10)</f>
        <v/>
      </c>
      <c r="AF3581" s="10">
        <f>REPT(" ",20)</f>
        <v/>
      </c>
      <c r="AG3581" s="54">
        <f>REPT(" ",18-LEN(FIXED(F3581,2,TRUE)))&amp;FIXED(F3581,2,TRUE)</f>
        <v/>
      </c>
      <c r="AH3581" s="10">
        <f>LEN(AC3581)+LEN(AG3581)</f>
        <v/>
      </c>
      <c r="AI3581" s="10">
        <f>LEN(L3581)</f>
        <v/>
      </c>
    </row>
    <row r="3582">
      <c r="J3582" s="12">
        <f>IF(F3582&lt;&gt;0,"LANÇAR","")</f>
        <v/>
      </c>
      <c r="L3582" s="13">
        <f>N3582&amp;O3582&amp;P3582&amp;Q3582&amp;R3582&amp;S3582&amp;T3582&amp;U3582&amp;V3582&amp;W3582&amp;X3582&amp;Y3582&amp;Z3582&amp;AA3582&amp;AB3582&amp;AC3582&amp;AD3582&amp;AE3582&amp;AF3582&amp;AG3582</f>
        <v/>
      </c>
      <c r="N3582" s="10">
        <f>TEXT($B$6,"00")</f>
        <v/>
      </c>
      <c r="O3582" s="10">
        <f>REPT(" ",8)</f>
        <v/>
      </c>
      <c r="P3582" s="10">
        <f>RIGHT($B$4,2)</f>
        <v/>
      </c>
      <c r="Q3582" s="10">
        <f>RIGHT($B$5,3)</f>
        <v/>
      </c>
      <c r="R3582" s="10">
        <f>IF(A3582="D",LEFT(UPPER(B3582)&amp;REPT(" ",20),20),REPT(" ",20))</f>
        <v/>
      </c>
      <c r="S3582" s="10">
        <f>IF(A3582="D",LEFT(UPPER(C3582)&amp;REPT(" ",10),10)," ")</f>
        <v/>
      </c>
      <c r="T3582" s="10">
        <f>IF(A3582="D",LEFT(UPPER(D3582)&amp;REPT(" ",2),2)," ")</f>
        <v/>
      </c>
      <c r="U3582" s="10">
        <f>IF(A3582="D",LEFT(UPPER(E3582)&amp;REPT(" ",15),15)," ")</f>
        <v/>
      </c>
      <c r="V3582" s="10">
        <f>REPT(" ",24)</f>
        <v/>
      </c>
      <c r="W3582" s="10">
        <f>IF(A3582="c",LEFT(UPPER(B3582)&amp;REPT(" ",20),20),REPT(" ",20))</f>
        <v/>
      </c>
      <c r="X3582" s="10">
        <f>IF(A3582="C",LEFT(UPPER(C3582)&amp;REPT(" ",10),10)," ")</f>
        <v/>
      </c>
      <c r="Y3582" s="10">
        <f>IF(A3582="C",LEFT(UPPER(D3582)&amp;REPT(" ",2),2)," ")</f>
        <v/>
      </c>
      <c r="Z3582" s="10">
        <f>IF(A3582="C",LEFT(UPPER(E3582)&amp;REPT(" ",15),15)," ")</f>
        <v/>
      </c>
      <c r="AA3582" s="10">
        <f>REPT(" ",8)</f>
        <v/>
      </c>
      <c r="AB3582" s="10">
        <f>REPT(" ",4)</f>
        <v/>
      </c>
      <c r="AC3582" s="10">
        <f>LEFT(UPPER(H3582)&amp;REPT(" ",250),250)</f>
        <v/>
      </c>
      <c r="AD3582" s="10">
        <f>TEXT($G$2,"dd/mm/aaaa")</f>
        <v/>
      </c>
      <c r="AE3582" s="10">
        <f>REPT(" ",10)</f>
        <v/>
      </c>
      <c r="AF3582" s="10">
        <f>REPT(" ",20)</f>
        <v/>
      </c>
      <c r="AG3582" s="54">
        <f>REPT(" ",18-LEN(FIXED(F3582,2,TRUE)))&amp;FIXED(F3582,2,TRUE)</f>
        <v/>
      </c>
      <c r="AH3582" s="10">
        <f>LEN(AC3582)+LEN(AG3582)</f>
        <v/>
      </c>
      <c r="AI3582" s="10">
        <f>LEN(L3582)</f>
        <v/>
      </c>
    </row>
    <row r="3583">
      <c r="J3583" s="12">
        <f>IF(F3583&lt;&gt;0,"LANÇAR","")</f>
        <v/>
      </c>
      <c r="L3583" s="13">
        <f>N3583&amp;O3583&amp;P3583&amp;Q3583&amp;R3583&amp;S3583&amp;T3583&amp;U3583&amp;V3583&amp;W3583&amp;X3583&amp;Y3583&amp;Z3583&amp;AA3583&amp;AB3583&amp;AC3583&amp;AD3583&amp;AE3583&amp;AF3583&amp;AG3583</f>
        <v/>
      </c>
      <c r="N3583" s="10">
        <f>TEXT($B$6,"00")</f>
        <v/>
      </c>
      <c r="O3583" s="10">
        <f>REPT(" ",8)</f>
        <v/>
      </c>
      <c r="P3583" s="10">
        <f>RIGHT($B$4,2)</f>
        <v/>
      </c>
      <c r="Q3583" s="10">
        <f>RIGHT($B$5,3)</f>
        <v/>
      </c>
      <c r="R3583" s="10">
        <f>IF(A3583="D",LEFT(UPPER(B3583)&amp;REPT(" ",20),20),REPT(" ",20))</f>
        <v/>
      </c>
      <c r="S3583" s="10">
        <f>IF(A3583="D",LEFT(UPPER(C3583)&amp;REPT(" ",10),10)," ")</f>
        <v/>
      </c>
      <c r="T3583" s="10">
        <f>IF(A3583="D",LEFT(UPPER(D3583)&amp;REPT(" ",2),2)," ")</f>
        <v/>
      </c>
      <c r="U3583" s="10">
        <f>IF(A3583="D",LEFT(UPPER(E3583)&amp;REPT(" ",15),15)," ")</f>
        <v/>
      </c>
      <c r="V3583" s="10">
        <f>REPT(" ",24)</f>
        <v/>
      </c>
      <c r="W3583" s="10">
        <f>IF(A3583="c",LEFT(UPPER(B3583)&amp;REPT(" ",20),20),REPT(" ",20))</f>
        <v/>
      </c>
      <c r="X3583" s="10">
        <f>IF(A3583="C",LEFT(UPPER(C3583)&amp;REPT(" ",10),10)," ")</f>
        <v/>
      </c>
      <c r="Y3583" s="10">
        <f>IF(A3583="C",LEFT(UPPER(D3583)&amp;REPT(" ",2),2)," ")</f>
        <v/>
      </c>
      <c r="Z3583" s="10">
        <f>IF(A3583="C",LEFT(UPPER(E3583)&amp;REPT(" ",15),15)," ")</f>
        <v/>
      </c>
      <c r="AA3583" s="10">
        <f>REPT(" ",8)</f>
        <v/>
      </c>
      <c r="AB3583" s="10">
        <f>REPT(" ",4)</f>
        <v/>
      </c>
      <c r="AC3583" s="10">
        <f>LEFT(UPPER(H3583)&amp;REPT(" ",250),250)</f>
        <v/>
      </c>
      <c r="AD3583" s="10">
        <f>TEXT($G$2,"dd/mm/aaaa")</f>
        <v/>
      </c>
      <c r="AE3583" s="10">
        <f>REPT(" ",10)</f>
        <v/>
      </c>
      <c r="AF3583" s="10">
        <f>REPT(" ",20)</f>
        <v/>
      </c>
      <c r="AG3583" s="54">
        <f>REPT(" ",18-LEN(FIXED(F3583,2,TRUE)))&amp;FIXED(F3583,2,TRUE)</f>
        <v/>
      </c>
      <c r="AH3583" s="10">
        <f>LEN(AC3583)+LEN(AG3583)</f>
        <v/>
      </c>
      <c r="AI3583" s="10">
        <f>LEN(L3583)</f>
        <v/>
      </c>
    </row>
    <row r="3584">
      <c r="J3584" s="12">
        <f>IF(F3584&lt;&gt;0,"LANÇAR","")</f>
        <v/>
      </c>
      <c r="L3584" s="13">
        <f>N3584&amp;O3584&amp;P3584&amp;Q3584&amp;R3584&amp;S3584&amp;T3584&amp;U3584&amp;V3584&amp;W3584&amp;X3584&amp;Y3584&amp;Z3584&amp;AA3584&amp;AB3584&amp;AC3584&amp;AD3584&amp;AE3584&amp;AF3584&amp;AG3584</f>
        <v/>
      </c>
      <c r="N3584" s="10">
        <f>TEXT($B$6,"00")</f>
        <v/>
      </c>
      <c r="O3584" s="10">
        <f>REPT(" ",8)</f>
        <v/>
      </c>
      <c r="P3584" s="10">
        <f>RIGHT($B$4,2)</f>
        <v/>
      </c>
      <c r="Q3584" s="10">
        <f>RIGHT($B$5,3)</f>
        <v/>
      </c>
      <c r="R3584" s="10">
        <f>IF(A3584="D",LEFT(UPPER(B3584)&amp;REPT(" ",20),20),REPT(" ",20))</f>
        <v/>
      </c>
      <c r="S3584" s="10">
        <f>IF(A3584="D",LEFT(UPPER(C3584)&amp;REPT(" ",10),10)," ")</f>
        <v/>
      </c>
      <c r="T3584" s="10">
        <f>IF(A3584="D",LEFT(UPPER(D3584)&amp;REPT(" ",2),2)," ")</f>
        <v/>
      </c>
      <c r="U3584" s="10">
        <f>IF(A3584="D",LEFT(UPPER(E3584)&amp;REPT(" ",15),15)," ")</f>
        <v/>
      </c>
      <c r="V3584" s="10">
        <f>REPT(" ",24)</f>
        <v/>
      </c>
      <c r="W3584" s="10">
        <f>IF(A3584="c",LEFT(UPPER(B3584)&amp;REPT(" ",20),20),REPT(" ",20))</f>
        <v/>
      </c>
      <c r="X3584" s="10">
        <f>IF(A3584="C",LEFT(UPPER(C3584)&amp;REPT(" ",10),10)," ")</f>
        <v/>
      </c>
      <c r="Y3584" s="10">
        <f>IF(A3584="C",LEFT(UPPER(D3584)&amp;REPT(" ",2),2)," ")</f>
        <v/>
      </c>
      <c r="Z3584" s="10">
        <f>IF(A3584="C",LEFT(UPPER(E3584)&amp;REPT(" ",15),15)," ")</f>
        <v/>
      </c>
      <c r="AA3584" s="10">
        <f>REPT(" ",8)</f>
        <v/>
      </c>
      <c r="AB3584" s="10">
        <f>REPT(" ",4)</f>
        <v/>
      </c>
      <c r="AC3584" s="10">
        <f>LEFT(UPPER(H3584)&amp;REPT(" ",250),250)</f>
        <v/>
      </c>
      <c r="AD3584" s="10">
        <f>TEXT($G$2,"dd/mm/aaaa")</f>
        <v/>
      </c>
      <c r="AE3584" s="10">
        <f>REPT(" ",10)</f>
        <v/>
      </c>
      <c r="AF3584" s="10">
        <f>REPT(" ",20)</f>
        <v/>
      </c>
      <c r="AG3584" s="54">
        <f>REPT(" ",18-LEN(FIXED(F3584,2,TRUE)))&amp;FIXED(F3584,2,TRUE)</f>
        <v/>
      </c>
      <c r="AH3584" s="10">
        <f>LEN(AC3584)+LEN(AG3584)</f>
        <v/>
      </c>
      <c r="AI3584" s="10">
        <f>LEN(L3584)</f>
        <v/>
      </c>
    </row>
    <row r="3585">
      <c r="J3585" s="12">
        <f>IF(F3585&lt;&gt;0,"LANÇAR","")</f>
        <v/>
      </c>
      <c r="L3585" s="13">
        <f>N3585&amp;O3585&amp;P3585&amp;Q3585&amp;R3585&amp;S3585&amp;T3585&amp;U3585&amp;V3585&amp;W3585&amp;X3585&amp;Y3585&amp;Z3585&amp;AA3585&amp;AB3585&amp;AC3585&amp;AD3585&amp;AE3585&amp;AF3585&amp;AG3585</f>
        <v/>
      </c>
      <c r="N3585" s="10">
        <f>TEXT($B$6,"00")</f>
        <v/>
      </c>
      <c r="O3585" s="10">
        <f>REPT(" ",8)</f>
        <v/>
      </c>
      <c r="P3585" s="10">
        <f>RIGHT($B$4,2)</f>
        <v/>
      </c>
      <c r="Q3585" s="10">
        <f>RIGHT($B$5,3)</f>
        <v/>
      </c>
      <c r="R3585" s="10">
        <f>IF(A3585="D",LEFT(UPPER(B3585)&amp;REPT(" ",20),20),REPT(" ",20))</f>
        <v/>
      </c>
      <c r="S3585" s="10">
        <f>IF(A3585="D",LEFT(UPPER(C3585)&amp;REPT(" ",10),10)," ")</f>
        <v/>
      </c>
      <c r="T3585" s="10">
        <f>IF(A3585="D",LEFT(UPPER(D3585)&amp;REPT(" ",2),2)," ")</f>
        <v/>
      </c>
      <c r="U3585" s="10">
        <f>IF(A3585="D",LEFT(UPPER(E3585)&amp;REPT(" ",15),15)," ")</f>
        <v/>
      </c>
      <c r="V3585" s="10">
        <f>REPT(" ",24)</f>
        <v/>
      </c>
      <c r="W3585" s="10">
        <f>IF(A3585="c",LEFT(UPPER(B3585)&amp;REPT(" ",20),20),REPT(" ",20))</f>
        <v/>
      </c>
      <c r="X3585" s="10">
        <f>IF(A3585="C",LEFT(UPPER(C3585)&amp;REPT(" ",10),10)," ")</f>
        <v/>
      </c>
      <c r="Y3585" s="10">
        <f>IF(A3585="C",LEFT(UPPER(D3585)&amp;REPT(" ",2),2)," ")</f>
        <v/>
      </c>
      <c r="Z3585" s="10">
        <f>IF(A3585="C",LEFT(UPPER(E3585)&amp;REPT(" ",15),15)," ")</f>
        <v/>
      </c>
      <c r="AA3585" s="10">
        <f>REPT(" ",8)</f>
        <v/>
      </c>
      <c r="AB3585" s="10">
        <f>REPT(" ",4)</f>
        <v/>
      </c>
      <c r="AC3585" s="10">
        <f>LEFT(UPPER(H3585)&amp;REPT(" ",250),250)</f>
        <v/>
      </c>
      <c r="AD3585" s="10">
        <f>TEXT($G$2,"dd/mm/aaaa")</f>
        <v/>
      </c>
      <c r="AE3585" s="10">
        <f>REPT(" ",10)</f>
        <v/>
      </c>
      <c r="AF3585" s="10">
        <f>REPT(" ",20)</f>
        <v/>
      </c>
      <c r="AG3585" s="54">
        <f>REPT(" ",18-LEN(FIXED(F3585,2,TRUE)))&amp;FIXED(F3585,2,TRUE)</f>
        <v/>
      </c>
      <c r="AH3585" s="10">
        <f>LEN(AC3585)+LEN(AG3585)</f>
        <v/>
      </c>
      <c r="AI3585" s="10">
        <f>LEN(L3585)</f>
        <v/>
      </c>
    </row>
    <row r="3586">
      <c r="J3586" s="12">
        <f>IF(F3586&lt;&gt;0,"LANÇAR","")</f>
        <v/>
      </c>
      <c r="L3586" s="13">
        <f>N3586&amp;O3586&amp;P3586&amp;Q3586&amp;R3586&amp;S3586&amp;T3586&amp;U3586&amp;V3586&amp;W3586&amp;X3586&amp;Y3586&amp;Z3586&amp;AA3586&amp;AB3586&amp;AC3586&amp;AD3586&amp;AE3586&amp;AF3586&amp;AG3586</f>
        <v/>
      </c>
      <c r="N3586" s="10">
        <f>TEXT($B$6,"00")</f>
        <v/>
      </c>
      <c r="O3586" s="10">
        <f>REPT(" ",8)</f>
        <v/>
      </c>
      <c r="P3586" s="10">
        <f>RIGHT($B$4,2)</f>
        <v/>
      </c>
      <c r="Q3586" s="10">
        <f>RIGHT($B$5,3)</f>
        <v/>
      </c>
      <c r="R3586" s="10">
        <f>IF(A3586="D",LEFT(UPPER(B3586)&amp;REPT(" ",20),20),REPT(" ",20))</f>
        <v/>
      </c>
      <c r="S3586" s="10">
        <f>IF(A3586="D",LEFT(UPPER(C3586)&amp;REPT(" ",10),10)," ")</f>
        <v/>
      </c>
      <c r="T3586" s="10">
        <f>IF(A3586="D",LEFT(UPPER(D3586)&amp;REPT(" ",2),2)," ")</f>
        <v/>
      </c>
      <c r="U3586" s="10">
        <f>IF(A3586="D",LEFT(UPPER(E3586)&amp;REPT(" ",15),15)," ")</f>
        <v/>
      </c>
      <c r="V3586" s="10">
        <f>REPT(" ",24)</f>
        <v/>
      </c>
      <c r="W3586" s="10">
        <f>IF(A3586="c",LEFT(UPPER(B3586)&amp;REPT(" ",20),20),REPT(" ",20))</f>
        <v/>
      </c>
      <c r="X3586" s="10">
        <f>IF(A3586="C",LEFT(UPPER(C3586)&amp;REPT(" ",10),10)," ")</f>
        <v/>
      </c>
      <c r="Y3586" s="10">
        <f>IF(A3586="C",LEFT(UPPER(D3586)&amp;REPT(" ",2),2)," ")</f>
        <v/>
      </c>
      <c r="Z3586" s="10">
        <f>IF(A3586="C",LEFT(UPPER(E3586)&amp;REPT(" ",15),15)," ")</f>
        <v/>
      </c>
      <c r="AA3586" s="10">
        <f>REPT(" ",8)</f>
        <v/>
      </c>
      <c r="AB3586" s="10">
        <f>REPT(" ",4)</f>
        <v/>
      </c>
      <c r="AC3586" s="10">
        <f>LEFT(UPPER(H3586)&amp;REPT(" ",250),250)</f>
        <v/>
      </c>
      <c r="AD3586" s="10">
        <f>TEXT($G$2,"dd/mm/aaaa")</f>
        <v/>
      </c>
      <c r="AE3586" s="10">
        <f>REPT(" ",10)</f>
        <v/>
      </c>
      <c r="AF3586" s="10">
        <f>REPT(" ",20)</f>
        <v/>
      </c>
      <c r="AG3586" s="54">
        <f>REPT(" ",18-LEN(FIXED(F3586,2,TRUE)))&amp;FIXED(F3586,2,TRUE)</f>
        <v/>
      </c>
      <c r="AH3586" s="10">
        <f>LEN(AC3586)+LEN(AG3586)</f>
        <v/>
      </c>
      <c r="AI3586" s="10">
        <f>LEN(L3586)</f>
        <v/>
      </c>
    </row>
    <row r="3587">
      <c r="J3587" s="12">
        <f>IF(F3587&lt;&gt;0,"LANÇAR","")</f>
        <v/>
      </c>
      <c r="L3587" s="13">
        <f>N3587&amp;O3587&amp;P3587&amp;Q3587&amp;R3587&amp;S3587&amp;T3587&amp;U3587&amp;V3587&amp;W3587&amp;X3587&amp;Y3587&amp;Z3587&amp;AA3587&amp;AB3587&amp;AC3587&amp;AD3587&amp;AE3587&amp;AF3587&amp;AG3587</f>
        <v/>
      </c>
      <c r="N3587" s="10">
        <f>TEXT($B$6,"00")</f>
        <v/>
      </c>
      <c r="O3587" s="10">
        <f>REPT(" ",8)</f>
        <v/>
      </c>
      <c r="P3587" s="10">
        <f>RIGHT($B$4,2)</f>
        <v/>
      </c>
      <c r="Q3587" s="10">
        <f>RIGHT($B$5,3)</f>
        <v/>
      </c>
      <c r="R3587" s="10">
        <f>IF(A3587="D",LEFT(UPPER(B3587)&amp;REPT(" ",20),20),REPT(" ",20))</f>
        <v/>
      </c>
      <c r="S3587" s="10">
        <f>IF(A3587="D",LEFT(UPPER(C3587)&amp;REPT(" ",10),10)," ")</f>
        <v/>
      </c>
      <c r="T3587" s="10">
        <f>IF(A3587="D",LEFT(UPPER(D3587)&amp;REPT(" ",2),2)," ")</f>
        <v/>
      </c>
      <c r="U3587" s="10">
        <f>IF(A3587="D",LEFT(UPPER(E3587)&amp;REPT(" ",15),15)," ")</f>
        <v/>
      </c>
      <c r="V3587" s="10">
        <f>REPT(" ",24)</f>
        <v/>
      </c>
      <c r="W3587" s="10">
        <f>IF(A3587="c",LEFT(UPPER(B3587)&amp;REPT(" ",20),20),REPT(" ",20))</f>
        <v/>
      </c>
      <c r="X3587" s="10">
        <f>IF(A3587="C",LEFT(UPPER(C3587)&amp;REPT(" ",10),10)," ")</f>
        <v/>
      </c>
      <c r="Y3587" s="10">
        <f>IF(A3587="C",LEFT(UPPER(D3587)&amp;REPT(" ",2),2)," ")</f>
        <v/>
      </c>
      <c r="Z3587" s="10">
        <f>IF(A3587="C",LEFT(UPPER(E3587)&amp;REPT(" ",15),15)," ")</f>
        <v/>
      </c>
      <c r="AA3587" s="10">
        <f>REPT(" ",8)</f>
        <v/>
      </c>
      <c r="AB3587" s="10">
        <f>REPT(" ",4)</f>
        <v/>
      </c>
      <c r="AC3587" s="10">
        <f>LEFT(UPPER(H3587)&amp;REPT(" ",250),250)</f>
        <v/>
      </c>
      <c r="AD3587" s="10">
        <f>TEXT($G$2,"dd/mm/aaaa")</f>
        <v/>
      </c>
      <c r="AE3587" s="10">
        <f>REPT(" ",10)</f>
        <v/>
      </c>
      <c r="AF3587" s="10">
        <f>REPT(" ",20)</f>
        <v/>
      </c>
      <c r="AG3587" s="54">
        <f>REPT(" ",18-LEN(FIXED(F3587,2,TRUE)))&amp;FIXED(F3587,2,TRUE)</f>
        <v/>
      </c>
      <c r="AH3587" s="10">
        <f>LEN(AC3587)+LEN(AG3587)</f>
        <v/>
      </c>
      <c r="AI3587" s="10">
        <f>LEN(L3587)</f>
        <v/>
      </c>
    </row>
    <row r="3588">
      <c r="J3588" s="12">
        <f>IF(F3588&lt;&gt;0,"LANÇAR","")</f>
        <v/>
      </c>
      <c r="L3588" s="13">
        <f>N3588&amp;O3588&amp;P3588&amp;Q3588&amp;R3588&amp;S3588&amp;T3588&amp;U3588&amp;V3588&amp;W3588&amp;X3588&amp;Y3588&amp;Z3588&amp;AA3588&amp;AB3588&amp;AC3588&amp;AD3588&amp;AE3588&amp;AF3588&amp;AG3588</f>
        <v/>
      </c>
      <c r="N3588" s="10">
        <f>TEXT($B$6,"00")</f>
        <v/>
      </c>
      <c r="O3588" s="10">
        <f>REPT(" ",8)</f>
        <v/>
      </c>
      <c r="P3588" s="10">
        <f>RIGHT($B$4,2)</f>
        <v/>
      </c>
      <c r="Q3588" s="10">
        <f>RIGHT($B$5,3)</f>
        <v/>
      </c>
      <c r="R3588" s="10">
        <f>IF(A3588="D",LEFT(UPPER(B3588)&amp;REPT(" ",20),20),REPT(" ",20))</f>
        <v/>
      </c>
      <c r="S3588" s="10">
        <f>IF(A3588="D",LEFT(UPPER(C3588)&amp;REPT(" ",10),10)," ")</f>
        <v/>
      </c>
      <c r="T3588" s="10">
        <f>IF(A3588="D",LEFT(UPPER(D3588)&amp;REPT(" ",2),2)," ")</f>
        <v/>
      </c>
      <c r="U3588" s="10">
        <f>IF(A3588="D",LEFT(UPPER(E3588)&amp;REPT(" ",15),15)," ")</f>
        <v/>
      </c>
      <c r="V3588" s="10">
        <f>REPT(" ",24)</f>
        <v/>
      </c>
      <c r="W3588" s="10">
        <f>IF(A3588="c",LEFT(UPPER(B3588)&amp;REPT(" ",20),20),REPT(" ",20))</f>
        <v/>
      </c>
      <c r="X3588" s="10">
        <f>IF(A3588="C",LEFT(UPPER(C3588)&amp;REPT(" ",10),10)," ")</f>
        <v/>
      </c>
      <c r="Y3588" s="10">
        <f>IF(A3588="C",LEFT(UPPER(D3588)&amp;REPT(" ",2),2)," ")</f>
        <v/>
      </c>
      <c r="Z3588" s="10">
        <f>IF(A3588="C",LEFT(UPPER(E3588)&amp;REPT(" ",15),15)," ")</f>
        <v/>
      </c>
      <c r="AA3588" s="10">
        <f>REPT(" ",8)</f>
        <v/>
      </c>
      <c r="AB3588" s="10">
        <f>REPT(" ",4)</f>
        <v/>
      </c>
      <c r="AC3588" s="10">
        <f>LEFT(UPPER(H3588)&amp;REPT(" ",250),250)</f>
        <v/>
      </c>
      <c r="AD3588" s="10">
        <f>TEXT($G$2,"dd/mm/aaaa")</f>
        <v/>
      </c>
      <c r="AE3588" s="10">
        <f>REPT(" ",10)</f>
        <v/>
      </c>
      <c r="AF3588" s="10">
        <f>REPT(" ",20)</f>
        <v/>
      </c>
      <c r="AG3588" s="54">
        <f>REPT(" ",18-LEN(FIXED(F3588,2,TRUE)))&amp;FIXED(F3588,2,TRUE)</f>
        <v/>
      </c>
      <c r="AH3588" s="10">
        <f>LEN(AC3588)+LEN(AG3588)</f>
        <v/>
      </c>
      <c r="AI3588" s="10">
        <f>LEN(L3588)</f>
        <v/>
      </c>
    </row>
    <row r="3589">
      <c r="J3589" s="12">
        <f>IF(F3589&lt;&gt;0,"LANÇAR","")</f>
        <v/>
      </c>
      <c r="L3589" s="13">
        <f>N3589&amp;O3589&amp;P3589&amp;Q3589&amp;R3589&amp;S3589&amp;T3589&amp;U3589&amp;V3589&amp;W3589&amp;X3589&amp;Y3589&amp;Z3589&amp;AA3589&amp;AB3589&amp;AC3589&amp;AD3589&amp;AE3589&amp;AF3589&amp;AG3589</f>
        <v/>
      </c>
      <c r="N3589" s="10">
        <f>TEXT($B$6,"00")</f>
        <v/>
      </c>
      <c r="O3589" s="10">
        <f>REPT(" ",8)</f>
        <v/>
      </c>
      <c r="P3589" s="10">
        <f>RIGHT($B$4,2)</f>
        <v/>
      </c>
      <c r="Q3589" s="10">
        <f>RIGHT($B$5,3)</f>
        <v/>
      </c>
      <c r="R3589" s="10">
        <f>IF(A3589="D",LEFT(UPPER(B3589)&amp;REPT(" ",20),20),REPT(" ",20))</f>
        <v/>
      </c>
      <c r="S3589" s="10">
        <f>IF(A3589="D",LEFT(UPPER(C3589)&amp;REPT(" ",10),10)," ")</f>
        <v/>
      </c>
      <c r="T3589" s="10">
        <f>IF(A3589="D",LEFT(UPPER(D3589)&amp;REPT(" ",2),2)," ")</f>
        <v/>
      </c>
      <c r="U3589" s="10">
        <f>IF(A3589="D",LEFT(UPPER(E3589)&amp;REPT(" ",15),15)," ")</f>
        <v/>
      </c>
      <c r="V3589" s="10">
        <f>REPT(" ",24)</f>
        <v/>
      </c>
      <c r="W3589" s="10">
        <f>IF(A3589="c",LEFT(UPPER(B3589)&amp;REPT(" ",20),20),REPT(" ",20))</f>
        <v/>
      </c>
      <c r="X3589" s="10">
        <f>IF(A3589="C",LEFT(UPPER(C3589)&amp;REPT(" ",10),10)," ")</f>
        <v/>
      </c>
      <c r="Y3589" s="10">
        <f>IF(A3589="C",LEFT(UPPER(D3589)&amp;REPT(" ",2),2)," ")</f>
        <v/>
      </c>
      <c r="Z3589" s="10">
        <f>IF(A3589="C",LEFT(UPPER(E3589)&amp;REPT(" ",15),15)," ")</f>
        <v/>
      </c>
      <c r="AA3589" s="10">
        <f>REPT(" ",8)</f>
        <v/>
      </c>
      <c r="AB3589" s="10">
        <f>REPT(" ",4)</f>
        <v/>
      </c>
      <c r="AC3589" s="10">
        <f>LEFT(UPPER(H3589)&amp;REPT(" ",250),250)</f>
        <v/>
      </c>
      <c r="AD3589" s="10">
        <f>TEXT($G$2,"dd/mm/aaaa")</f>
        <v/>
      </c>
      <c r="AE3589" s="10">
        <f>REPT(" ",10)</f>
        <v/>
      </c>
      <c r="AF3589" s="10">
        <f>REPT(" ",20)</f>
        <v/>
      </c>
      <c r="AG3589" s="54">
        <f>REPT(" ",18-LEN(FIXED(F3589,2,TRUE)))&amp;FIXED(F3589,2,TRUE)</f>
        <v/>
      </c>
      <c r="AH3589" s="10">
        <f>LEN(AC3589)+LEN(AG3589)</f>
        <v/>
      </c>
      <c r="AI3589" s="10">
        <f>LEN(L3589)</f>
        <v/>
      </c>
    </row>
    <row r="3590">
      <c r="J3590" s="12">
        <f>IF(F3590&lt;&gt;0,"LANÇAR","")</f>
        <v/>
      </c>
      <c r="L3590" s="13">
        <f>N3590&amp;O3590&amp;P3590&amp;Q3590&amp;R3590&amp;S3590&amp;T3590&amp;U3590&amp;V3590&amp;W3590&amp;X3590&amp;Y3590&amp;Z3590&amp;AA3590&amp;AB3590&amp;AC3590&amp;AD3590&amp;AE3590&amp;AF3590&amp;AG3590</f>
        <v/>
      </c>
      <c r="N3590" s="10">
        <f>TEXT($B$6,"00")</f>
        <v/>
      </c>
      <c r="O3590" s="10">
        <f>REPT(" ",8)</f>
        <v/>
      </c>
      <c r="P3590" s="10">
        <f>RIGHT($B$4,2)</f>
        <v/>
      </c>
      <c r="Q3590" s="10">
        <f>RIGHT($B$5,3)</f>
        <v/>
      </c>
      <c r="R3590" s="10">
        <f>IF(A3590="D",LEFT(UPPER(B3590)&amp;REPT(" ",20),20),REPT(" ",20))</f>
        <v/>
      </c>
      <c r="S3590" s="10">
        <f>IF(A3590="D",LEFT(UPPER(C3590)&amp;REPT(" ",10),10)," ")</f>
        <v/>
      </c>
      <c r="T3590" s="10">
        <f>IF(A3590="D",LEFT(UPPER(D3590)&amp;REPT(" ",2),2)," ")</f>
        <v/>
      </c>
      <c r="U3590" s="10">
        <f>IF(A3590="D",LEFT(UPPER(E3590)&amp;REPT(" ",15),15)," ")</f>
        <v/>
      </c>
      <c r="V3590" s="10">
        <f>REPT(" ",24)</f>
        <v/>
      </c>
      <c r="W3590" s="10">
        <f>IF(A3590="c",LEFT(UPPER(B3590)&amp;REPT(" ",20),20),REPT(" ",20))</f>
        <v/>
      </c>
      <c r="X3590" s="10">
        <f>IF(A3590="C",LEFT(UPPER(C3590)&amp;REPT(" ",10),10)," ")</f>
        <v/>
      </c>
      <c r="Y3590" s="10">
        <f>IF(A3590="C",LEFT(UPPER(D3590)&amp;REPT(" ",2),2)," ")</f>
        <v/>
      </c>
      <c r="Z3590" s="10">
        <f>IF(A3590="C",LEFT(UPPER(E3590)&amp;REPT(" ",15),15)," ")</f>
        <v/>
      </c>
      <c r="AA3590" s="10">
        <f>REPT(" ",8)</f>
        <v/>
      </c>
      <c r="AB3590" s="10">
        <f>REPT(" ",4)</f>
        <v/>
      </c>
      <c r="AC3590" s="10">
        <f>LEFT(UPPER(H3590)&amp;REPT(" ",250),250)</f>
        <v/>
      </c>
      <c r="AD3590" s="10">
        <f>TEXT($G$2,"dd/mm/aaaa")</f>
        <v/>
      </c>
      <c r="AE3590" s="10">
        <f>REPT(" ",10)</f>
        <v/>
      </c>
      <c r="AF3590" s="10">
        <f>REPT(" ",20)</f>
        <v/>
      </c>
      <c r="AG3590" s="54">
        <f>REPT(" ",18-LEN(FIXED(F3590,2,TRUE)))&amp;FIXED(F3590,2,TRUE)</f>
        <v/>
      </c>
      <c r="AH3590" s="10">
        <f>LEN(AC3590)+LEN(AG3590)</f>
        <v/>
      </c>
      <c r="AI3590" s="10">
        <f>LEN(L3590)</f>
        <v/>
      </c>
    </row>
    <row r="3591">
      <c r="J3591" s="12">
        <f>IF(F3591&lt;&gt;0,"LANÇAR","")</f>
        <v/>
      </c>
      <c r="L3591" s="13">
        <f>N3591&amp;O3591&amp;P3591&amp;Q3591&amp;R3591&amp;S3591&amp;T3591&amp;U3591&amp;V3591&amp;W3591&amp;X3591&amp;Y3591&amp;Z3591&amp;AA3591&amp;AB3591&amp;AC3591&amp;AD3591&amp;AE3591&amp;AF3591&amp;AG3591</f>
        <v/>
      </c>
      <c r="N3591" s="10">
        <f>TEXT($B$6,"00")</f>
        <v/>
      </c>
      <c r="O3591" s="10">
        <f>REPT(" ",8)</f>
        <v/>
      </c>
      <c r="P3591" s="10">
        <f>RIGHT($B$4,2)</f>
        <v/>
      </c>
      <c r="Q3591" s="10">
        <f>RIGHT($B$5,3)</f>
        <v/>
      </c>
      <c r="R3591" s="10">
        <f>IF(A3591="D",LEFT(UPPER(B3591)&amp;REPT(" ",20),20),REPT(" ",20))</f>
        <v/>
      </c>
      <c r="S3591" s="10">
        <f>IF(A3591="D",LEFT(UPPER(C3591)&amp;REPT(" ",10),10)," ")</f>
        <v/>
      </c>
      <c r="T3591" s="10">
        <f>IF(A3591="D",LEFT(UPPER(D3591)&amp;REPT(" ",2),2)," ")</f>
        <v/>
      </c>
      <c r="U3591" s="10">
        <f>IF(A3591="D",LEFT(UPPER(E3591)&amp;REPT(" ",15),15)," ")</f>
        <v/>
      </c>
      <c r="V3591" s="10">
        <f>REPT(" ",24)</f>
        <v/>
      </c>
      <c r="W3591" s="10">
        <f>IF(A3591="c",LEFT(UPPER(B3591)&amp;REPT(" ",20),20),REPT(" ",20))</f>
        <v/>
      </c>
      <c r="X3591" s="10">
        <f>IF(A3591="C",LEFT(UPPER(C3591)&amp;REPT(" ",10),10)," ")</f>
        <v/>
      </c>
      <c r="Y3591" s="10">
        <f>IF(A3591="C",LEFT(UPPER(D3591)&amp;REPT(" ",2),2)," ")</f>
        <v/>
      </c>
      <c r="Z3591" s="10">
        <f>IF(A3591="C",LEFT(UPPER(E3591)&amp;REPT(" ",15),15)," ")</f>
        <v/>
      </c>
      <c r="AA3591" s="10">
        <f>REPT(" ",8)</f>
        <v/>
      </c>
      <c r="AB3591" s="10">
        <f>REPT(" ",4)</f>
        <v/>
      </c>
      <c r="AC3591" s="10">
        <f>LEFT(UPPER(H3591)&amp;REPT(" ",250),250)</f>
        <v/>
      </c>
      <c r="AD3591" s="10">
        <f>TEXT($G$2,"dd/mm/aaaa")</f>
        <v/>
      </c>
      <c r="AE3591" s="10">
        <f>REPT(" ",10)</f>
        <v/>
      </c>
      <c r="AF3591" s="10">
        <f>REPT(" ",20)</f>
        <v/>
      </c>
      <c r="AG3591" s="54">
        <f>REPT(" ",18-LEN(FIXED(F3591,2,TRUE)))&amp;FIXED(F3591,2,TRUE)</f>
        <v/>
      </c>
      <c r="AH3591" s="10">
        <f>LEN(AC3591)+LEN(AG3591)</f>
        <v/>
      </c>
      <c r="AI3591" s="10">
        <f>LEN(L3591)</f>
        <v/>
      </c>
    </row>
    <row r="3592">
      <c r="J3592" s="12">
        <f>IF(F3592&lt;&gt;0,"LANÇAR","")</f>
        <v/>
      </c>
      <c r="L3592" s="13">
        <f>N3592&amp;O3592&amp;P3592&amp;Q3592&amp;R3592&amp;S3592&amp;T3592&amp;U3592&amp;V3592&amp;W3592&amp;X3592&amp;Y3592&amp;Z3592&amp;AA3592&amp;AB3592&amp;AC3592&amp;AD3592&amp;AE3592&amp;AF3592&amp;AG3592</f>
        <v/>
      </c>
      <c r="N3592" s="10">
        <f>TEXT($B$6,"00")</f>
        <v/>
      </c>
      <c r="O3592" s="10">
        <f>REPT(" ",8)</f>
        <v/>
      </c>
      <c r="P3592" s="10">
        <f>RIGHT($B$4,2)</f>
        <v/>
      </c>
      <c r="Q3592" s="10">
        <f>RIGHT($B$5,3)</f>
        <v/>
      </c>
      <c r="R3592" s="10">
        <f>IF(A3592="D",LEFT(UPPER(B3592)&amp;REPT(" ",20),20),REPT(" ",20))</f>
        <v/>
      </c>
      <c r="S3592" s="10">
        <f>IF(A3592="D",LEFT(UPPER(C3592)&amp;REPT(" ",10),10)," ")</f>
        <v/>
      </c>
      <c r="T3592" s="10">
        <f>IF(A3592="D",LEFT(UPPER(D3592)&amp;REPT(" ",2),2)," ")</f>
        <v/>
      </c>
      <c r="U3592" s="10">
        <f>IF(A3592="D",LEFT(UPPER(E3592)&amp;REPT(" ",15),15)," ")</f>
        <v/>
      </c>
      <c r="V3592" s="10">
        <f>REPT(" ",24)</f>
        <v/>
      </c>
      <c r="W3592" s="10">
        <f>IF(A3592="c",LEFT(UPPER(B3592)&amp;REPT(" ",20),20),REPT(" ",20))</f>
        <v/>
      </c>
      <c r="X3592" s="10">
        <f>IF(A3592="C",LEFT(UPPER(C3592)&amp;REPT(" ",10),10)," ")</f>
        <v/>
      </c>
      <c r="Y3592" s="10">
        <f>IF(A3592="C",LEFT(UPPER(D3592)&amp;REPT(" ",2),2)," ")</f>
        <v/>
      </c>
      <c r="Z3592" s="10">
        <f>IF(A3592="C",LEFT(UPPER(E3592)&amp;REPT(" ",15),15)," ")</f>
        <v/>
      </c>
      <c r="AA3592" s="10">
        <f>REPT(" ",8)</f>
        <v/>
      </c>
      <c r="AB3592" s="10">
        <f>REPT(" ",4)</f>
        <v/>
      </c>
      <c r="AC3592" s="10">
        <f>LEFT(UPPER(H3592)&amp;REPT(" ",250),250)</f>
        <v/>
      </c>
      <c r="AD3592" s="10">
        <f>TEXT($G$2,"dd/mm/aaaa")</f>
        <v/>
      </c>
      <c r="AE3592" s="10">
        <f>REPT(" ",10)</f>
        <v/>
      </c>
      <c r="AF3592" s="10">
        <f>REPT(" ",20)</f>
        <v/>
      </c>
      <c r="AG3592" s="54">
        <f>REPT(" ",18-LEN(FIXED(F3592,2,TRUE)))&amp;FIXED(F3592,2,TRUE)</f>
        <v/>
      </c>
      <c r="AH3592" s="10">
        <f>LEN(AC3592)+LEN(AG3592)</f>
        <v/>
      </c>
      <c r="AI3592" s="10">
        <f>LEN(L3592)</f>
        <v/>
      </c>
    </row>
    <row r="3593">
      <c r="J3593" s="12">
        <f>IF(F3593&lt;&gt;0,"LANÇAR","")</f>
        <v/>
      </c>
      <c r="L3593" s="13">
        <f>N3593&amp;O3593&amp;P3593&amp;Q3593&amp;R3593&amp;S3593&amp;T3593&amp;U3593&amp;V3593&amp;W3593&amp;X3593&amp;Y3593&amp;Z3593&amp;AA3593&amp;AB3593&amp;AC3593&amp;AD3593&amp;AE3593&amp;AF3593&amp;AG3593</f>
        <v/>
      </c>
      <c r="N3593" s="10">
        <f>TEXT($B$6,"00")</f>
        <v/>
      </c>
      <c r="O3593" s="10">
        <f>REPT(" ",8)</f>
        <v/>
      </c>
      <c r="P3593" s="10">
        <f>RIGHT($B$4,2)</f>
        <v/>
      </c>
      <c r="Q3593" s="10">
        <f>RIGHT($B$5,3)</f>
        <v/>
      </c>
      <c r="R3593" s="10">
        <f>IF(A3593="D",LEFT(UPPER(B3593)&amp;REPT(" ",20),20),REPT(" ",20))</f>
        <v/>
      </c>
      <c r="S3593" s="10">
        <f>IF(A3593="D",LEFT(UPPER(C3593)&amp;REPT(" ",10),10)," ")</f>
        <v/>
      </c>
      <c r="T3593" s="10">
        <f>IF(A3593="D",LEFT(UPPER(D3593)&amp;REPT(" ",2),2)," ")</f>
        <v/>
      </c>
      <c r="U3593" s="10">
        <f>IF(A3593="D",LEFT(UPPER(E3593)&amp;REPT(" ",15),15)," ")</f>
        <v/>
      </c>
      <c r="V3593" s="10">
        <f>REPT(" ",24)</f>
        <v/>
      </c>
      <c r="W3593" s="10">
        <f>IF(A3593="c",LEFT(UPPER(B3593)&amp;REPT(" ",20),20),REPT(" ",20))</f>
        <v/>
      </c>
      <c r="X3593" s="10">
        <f>IF(A3593="C",LEFT(UPPER(C3593)&amp;REPT(" ",10),10)," ")</f>
        <v/>
      </c>
      <c r="Y3593" s="10">
        <f>IF(A3593="C",LEFT(UPPER(D3593)&amp;REPT(" ",2),2)," ")</f>
        <v/>
      </c>
      <c r="Z3593" s="10">
        <f>IF(A3593="C",LEFT(UPPER(E3593)&amp;REPT(" ",15),15)," ")</f>
        <v/>
      </c>
      <c r="AA3593" s="10">
        <f>REPT(" ",8)</f>
        <v/>
      </c>
      <c r="AB3593" s="10">
        <f>REPT(" ",4)</f>
        <v/>
      </c>
      <c r="AC3593" s="10">
        <f>LEFT(UPPER(H3593)&amp;REPT(" ",250),250)</f>
        <v/>
      </c>
      <c r="AD3593" s="10">
        <f>TEXT($G$2,"dd/mm/aaaa")</f>
        <v/>
      </c>
      <c r="AE3593" s="10">
        <f>REPT(" ",10)</f>
        <v/>
      </c>
      <c r="AF3593" s="10">
        <f>REPT(" ",20)</f>
        <v/>
      </c>
      <c r="AG3593" s="54">
        <f>REPT(" ",18-LEN(FIXED(F3593,2,TRUE)))&amp;FIXED(F3593,2,TRUE)</f>
        <v/>
      </c>
      <c r="AH3593" s="10">
        <f>LEN(AC3593)+LEN(AG3593)</f>
        <v/>
      </c>
      <c r="AI3593" s="10">
        <f>LEN(L3593)</f>
        <v/>
      </c>
    </row>
    <row r="3594">
      <c r="J3594" s="12">
        <f>IF(F3594&lt;&gt;0,"LANÇAR","")</f>
        <v/>
      </c>
      <c r="L3594" s="13">
        <f>N3594&amp;O3594&amp;P3594&amp;Q3594&amp;R3594&amp;S3594&amp;T3594&amp;U3594&amp;V3594&amp;W3594&amp;X3594&amp;Y3594&amp;Z3594&amp;AA3594&amp;AB3594&amp;AC3594&amp;AD3594&amp;AE3594&amp;AF3594&amp;AG3594</f>
        <v/>
      </c>
      <c r="N3594" s="10">
        <f>TEXT($B$6,"00")</f>
        <v/>
      </c>
      <c r="O3594" s="10">
        <f>REPT(" ",8)</f>
        <v/>
      </c>
      <c r="P3594" s="10">
        <f>RIGHT($B$4,2)</f>
        <v/>
      </c>
      <c r="Q3594" s="10">
        <f>RIGHT($B$5,3)</f>
        <v/>
      </c>
      <c r="R3594" s="10">
        <f>IF(A3594="D",LEFT(UPPER(B3594)&amp;REPT(" ",20),20),REPT(" ",20))</f>
        <v/>
      </c>
      <c r="S3594" s="10">
        <f>IF(A3594="D",LEFT(UPPER(C3594)&amp;REPT(" ",10),10)," ")</f>
        <v/>
      </c>
      <c r="T3594" s="10">
        <f>IF(A3594="D",LEFT(UPPER(D3594)&amp;REPT(" ",2),2)," ")</f>
        <v/>
      </c>
      <c r="U3594" s="10">
        <f>IF(A3594="D",LEFT(UPPER(E3594)&amp;REPT(" ",15),15)," ")</f>
        <v/>
      </c>
      <c r="V3594" s="10">
        <f>REPT(" ",24)</f>
        <v/>
      </c>
      <c r="W3594" s="10">
        <f>IF(A3594="c",LEFT(UPPER(B3594)&amp;REPT(" ",20),20),REPT(" ",20))</f>
        <v/>
      </c>
      <c r="X3594" s="10">
        <f>IF(A3594="C",LEFT(UPPER(C3594)&amp;REPT(" ",10),10)," ")</f>
        <v/>
      </c>
      <c r="Y3594" s="10">
        <f>IF(A3594="C",LEFT(UPPER(D3594)&amp;REPT(" ",2),2)," ")</f>
        <v/>
      </c>
      <c r="Z3594" s="10">
        <f>IF(A3594="C",LEFT(UPPER(E3594)&amp;REPT(" ",15),15)," ")</f>
        <v/>
      </c>
      <c r="AA3594" s="10">
        <f>REPT(" ",8)</f>
        <v/>
      </c>
      <c r="AB3594" s="10">
        <f>REPT(" ",4)</f>
        <v/>
      </c>
      <c r="AC3594" s="10">
        <f>LEFT(UPPER(H3594)&amp;REPT(" ",250),250)</f>
        <v/>
      </c>
      <c r="AD3594" s="10">
        <f>TEXT($G$2,"dd/mm/aaaa")</f>
        <v/>
      </c>
      <c r="AE3594" s="10">
        <f>REPT(" ",10)</f>
        <v/>
      </c>
      <c r="AF3594" s="10">
        <f>REPT(" ",20)</f>
        <v/>
      </c>
      <c r="AG3594" s="54">
        <f>REPT(" ",18-LEN(FIXED(F3594,2,TRUE)))&amp;FIXED(F3594,2,TRUE)</f>
        <v/>
      </c>
      <c r="AH3594" s="10">
        <f>LEN(AC3594)+LEN(AG3594)</f>
        <v/>
      </c>
      <c r="AI3594" s="10">
        <f>LEN(L3594)</f>
        <v/>
      </c>
    </row>
    <row r="3595">
      <c r="J3595" s="12">
        <f>IF(F3595&lt;&gt;0,"LANÇAR","")</f>
        <v/>
      </c>
      <c r="L3595" s="13">
        <f>N3595&amp;O3595&amp;P3595&amp;Q3595&amp;R3595&amp;S3595&amp;T3595&amp;U3595&amp;V3595&amp;W3595&amp;X3595&amp;Y3595&amp;Z3595&amp;AA3595&amp;AB3595&amp;AC3595&amp;AD3595&amp;AE3595&amp;AF3595&amp;AG3595</f>
        <v/>
      </c>
      <c r="N3595" s="10">
        <f>TEXT($B$6,"00")</f>
        <v/>
      </c>
      <c r="O3595" s="10">
        <f>REPT(" ",8)</f>
        <v/>
      </c>
      <c r="P3595" s="10">
        <f>RIGHT($B$4,2)</f>
        <v/>
      </c>
      <c r="Q3595" s="10">
        <f>RIGHT($B$5,3)</f>
        <v/>
      </c>
      <c r="R3595" s="10">
        <f>IF(A3595="D",LEFT(UPPER(B3595)&amp;REPT(" ",20),20),REPT(" ",20))</f>
        <v/>
      </c>
      <c r="S3595" s="10">
        <f>IF(A3595="D",LEFT(UPPER(C3595)&amp;REPT(" ",10),10)," ")</f>
        <v/>
      </c>
      <c r="T3595" s="10">
        <f>IF(A3595="D",LEFT(UPPER(D3595)&amp;REPT(" ",2),2)," ")</f>
        <v/>
      </c>
      <c r="U3595" s="10">
        <f>IF(A3595="D",LEFT(UPPER(E3595)&amp;REPT(" ",15),15)," ")</f>
        <v/>
      </c>
      <c r="V3595" s="10">
        <f>REPT(" ",24)</f>
        <v/>
      </c>
      <c r="W3595" s="10">
        <f>IF(A3595="c",LEFT(UPPER(B3595)&amp;REPT(" ",20),20),REPT(" ",20))</f>
        <v/>
      </c>
      <c r="X3595" s="10">
        <f>IF(A3595="C",LEFT(UPPER(C3595)&amp;REPT(" ",10),10)," ")</f>
        <v/>
      </c>
      <c r="Y3595" s="10">
        <f>IF(A3595="C",LEFT(UPPER(D3595)&amp;REPT(" ",2),2)," ")</f>
        <v/>
      </c>
      <c r="Z3595" s="10">
        <f>IF(A3595="C",LEFT(UPPER(E3595)&amp;REPT(" ",15),15)," ")</f>
        <v/>
      </c>
      <c r="AA3595" s="10">
        <f>REPT(" ",8)</f>
        <v/>
      </c>
      <c r="AB3595" s="10">
        <f>REPT(" ",4)</f>
        <v/>
      </c>
      <c r="AC3595" s="10">
        <f>LEFT(UPPER(H3595)&amp;REPT(" ",250),250)</f>
        <v/>
      </c>
      <c r="AD3595" s="10">
        <f>TEXT($G$2,"dd/mm/aaaa")</f>
        <v/>
      </c>
      <c r="AE3595" s="10">
        <f>REPT(" ",10)</f>
        <v/>
      </c>
      <c r="AF3595" s="10">
        <f>REPT(" ",20)</f>
        <v/>
      </c>
      <c r="AG3595" s="54">
        <f>REPT(" ",18-LEN(FIXED(F3595,2,TRUE)))&amp;FIXED(F3595,2,TRUE)</f>
        <v/>
      </c>
      <c r="AH3595" s="10">
        <f>LEN(AC3595)+LEN(AG3595)</f>
        <v/>
      </c>
      <c r="AI3595" s="10">
        <f>LEN(L3595)</f>
        <v/>
      </c>
    </row>
    <row r="3596">
      <c r="J3596" s="12">
        <f>IF(F3596&lt;&gt;0,"LANÇAR","")</f>
        <v/>
      </c>
      <c r="L3596" s="13">
        <f>N3596&amp;O3596&amp;P3596&amp;Q3596&amp;R3596&amp;S3596&amp;T3596&amp;U3596&amp;V3596&amp;W3596&amp;X3596&amp;Y3596&amp;Z3596&amp;AA3596&amp;AB3596&amp;AC3596&amp;AD3596&amp;AE3596&amp;AF3596&amp;AG3596</f>
        <v/>
      </c>
      <c r="N3596" s="10">
        <f>TEXT($B$6,"00")</f>
        <v/>
      </c>
      <c r="O3596" s="10">
        <f>REPT(" ",8)</f>
        <v/>
      </c>
      <c r="P3596" s="10">
        <f>RIGHT($B$4,2)</f>
        <v/>
      </c>
      <c r="Q3596" s="10">
        <f>RIGHT($B$5,3)</f>
        <v/>
      </c>
      <c r="R3596" s="10">
        <f>IF(A3596="D",LEFT(UPPER(B3596)&amp;REPT(" ",20),20),REPT(" ",20))</f>
        <v/>
      </c>
      <c r="S3596" s="10">
        <f>IF(A3596="D",LEFT(UPPER(C3596)&amp;REPT(" ",10),10)," ")</f>
        <v/>
      </c>
      <c r="T3596" s="10">
        <f>IF(A3596="D",LEFT(UPPER(D3596)&amp;REPT(" ",2),2)," ")</f>
        <v/>
      </c>
      <c r="U3596" s="10">
        <f>IF(A3596="D",LEFT(UPPER(E3596)&amp;REPT(" ",15),15)," ")</f>
        <v/>
      </c>
      <c r="V3596" s="10">
        <f>REPT(" ",24)</f>
        <v/>
      </c>
      <c r="W3596" s="10">
        <f>IF(A3596="c",LEFT(UPPER(B3596)&amp;REPT(" ",20),20),REPT(" ",20))</f>
        <v/>
      </c>
      <c r="X3596" s="10">
        <f>IF(A3596="C",LEFT(UPPER(C3596)&amp;REPT(" ",10),10)," ")</f>
        <v/>
      </c>
      <c r="Y3596" s="10">
        <f>IF(A3596="C",LEFT(UPPER(D3596)&amp;REPT(" ",2),2)," ")</f>
        <v/>
      </c>
      <c r="Z3596" s="10">
        <f>IF(A3596="C",LEFT(UPPER(E3596)&amp;REPT(" ",15),15)," ")</f>
        <v/>
      </c>
      <c r="AA3596" s="10">
        <f>REPT(" ",8)</f>
        <v/>
      </c>
      <c r="AB3596" s="10">
        <f>REPT(" ",4)</f>
        <v/>
      </c>
      <c r="AC3596" s="10">
        <f>LEFT(UPPER(H3596)&amp;REPT(" ",250),250)</f>
        <v/>
      </c>
      <c r="AD3596" s="10">
        <f>TEXT($G$2,"dd/mm/aaaa")</f>
        <v/>
      </c>
      <c r="AE3596" s="10">
        <f>REPT(" ",10)</f>
        <v/>
      </c>
      <c r="AF3596" s="10">
        <f>REPT(" ",20)</f>
        <v/>
      </c>
      <c r="AG3596" s="54">
        <f>REPT(" ",18-LEN(FIXED(F3596,2,TRUE)))&amp;FIXED(F3596,2,TRUE)</f>
        <v/>
      </c>
      <c r="AH3596" s="10">
        <f>LEN(AC3596)+LEN(AG3596)</f>
        <v/>
      </c>
      <c r="AI3596" s="10">
        <f>LEN(L3596)</f>
        <v/>
      </c>
    </row>
    <row r="3597">
      <c r="J3597" s="12">
        <f>IF(F3597&lt;&gt;0,"LANÇAR","")</f>
        <v/>
      </c>
      <c r="L3597" s="13">
        <f>N3597&amp;O3597&amp;P3597&amp;Q3597&amp;R3597&amp;S3597&amp;T3597&amp;U3597&amp;V3597&amp;W3597&amp;X3597&amp;Y3597&amp;Z3597&amp;AA3597&amp;AB3597&amp;AC3597&amp;AD3597&amp;AE3597&amp;AF3597&amp;AG3597</f>
        <v/>
      </c>
      <c r="N3597" s="10">
        <f>TEXT($B$6,"00")</f>
        <v/>
      </c>
      <c r="O3597" s="10">
        <f>REPT(" ",8)</f>
        <v/>
      </c>
      <c r="P3597" s="10">
        <f>RIGHT($B$4,2)</f>
        <v/>
      </c>
      <c r="Q3597" s="10">
        <f>RIGHT($B$5,3)</f>
        <v/>
      </c>
      <c r="R3597" s="10">
        <f>IF(A3597="D",LEFT(UPPER(B3597)&amp;REPT(" ",20),20),REPT(" ",20))</f>
        <v/>
      </c>
      <c r="S3597" s="10">
        <f>IF(A3597="D",LEFT(UPPER(C3597)&amp;REPT(" ",10),10)," ")</f>
        <v/>
      </c>
      <c r="T3597" s="10">
        <f>IF(A3597="D",LEFT(UPPER(D3597)&amp;REPT(" ",2),2)," ")</f>
        <v/>
      </c>
      <c r="U3597" s="10">
        <f>IF(A3597="D",LEFT(UPPER(E3597)&amp;REPT(" ",15),15)," ")</f>
        <v/>
      </c>
      <c r="V3597" s="10">
        <f>REPT(" ",24)</f>
        <v/>
      </c>
      <c r="W3597" s="10">
        <f>IF(A3597="c",LEFT(UPPER(B3597)&amp;REPT(" ",20),20),REPT(" ",20))</f>
        <v/>
      </c>
      <c r="X3597" s="10">
        <f>IF(A3597="C",LEFT(UPPER(C3597)&amp;REPT(" ",10),10)," ")</f>
        <v/>
      </c>
      <c r="Y3597" s="10">
        <f>IF(A3597="C",LEFT(UPPER(D3597)&amp;REPT(" ",2),2)," ")</f>
        <v/>
      </c>
      <c r="Z3597" s="10">
        <f>IF(A3597="C",LEFT(UPPER(E3597)&amp;REPT(" ",15),15)," ")</f>
        <v/>
      </c>
      <c r="AA3597" s="10">
        <f>REPT(" ",8)</f>
        <v/>
      </c>
      <c r="AB3597" s="10">
        <f>REPT(" ",4)</f>
        <v/>
      </c>
      <c r="AC3597" s="10">
        <f>LEFT(UPPER(H3597)&amp;REPT(" ",250),250)</f>
        <v/>
      </c>
      <c r="AD3597" s="10">
        <f>TEXT($G$2,"dd/mm/aaaa")</f>
        <v/>
      </c>
      <c r="AE3597" s="10">
        <f>REPT(" ",10)</f>
        <v/>
      </c>
      <c r="AF3597" s="10">
        <f>REPT(" ",20)</f>
        <v/>
      </c>
      <c r="AG3597" s="54">
        <f>REPT(" ",18-LEN(FIXED(F3597,2,TRUE)))&amp;FIXED(F3597,2,TRUE)</f>
        <v/>
      </c>
      <c r="AH3597" s="10">
        <f>LEN(AC3597)+LEN(AG3597)</f>
        <v/>
      </c>
      <c r="AI3597" s="10">
        <f>LEN(L3597)</f>
        <v/>
      </c>
    </row>
    <row r="3598">
      <c r="J3598" s="12">
        <f>IF(F3598&lt;&gt;0,"LANÇAR","")</f>
        <v/>
      </c>
      <c r="L3598" s="13">
        <f>N3598&amp;O3598&amp;P3598&amp;Q3598&amp;R3598&amp;S3598&amp;T3598&amp;U3598&amp;V3598&amp;W3598&amp;X3598&amp;Y3598&amp;Z3598&amp;AA3598&amp;AB3598&amp;AC3598&amp;AD3598&amp;AE3598&amp;AF3598&amp;AG3598</f>
        <v/>
      </c>
      <c r="N3598" s="10">
        <f>TEXT($B$6,"00")</f>
        <v/>
      </c>
      <c r="O3598" s="10">
        <f>REPT(" ",8)</f>
        <v/>
      </c>
      <c r="P3598" s="10">
        <f>RIGHT($B$4,2)</f>
        <v/>
      </c>
      <c r="Q3598" s="10">
        <f>RIGHT($B$5,3)</f>
        <v/>
      </c>
      <c r="R3598" s="10">
        <f>IF(A3598="D",LEFT(UPPER(B3598)&amp;REPT(" ",20),20),REPT(" ",20))</f>
        <v/>
      </c>
      <c r="S3598" s="10">
        <f>IF(A3598="D",LEFT(UPPER(C3598)&amp;REPT(" ",10),10)," ")</f>
        <v/>
      </c>
      <c r="T3598" s="10">
        <f>IF(A3598="D",LEFT(UPPER(D3598)&amp;REPT(" ",2),2)," ")</f>
        <v/>
      </c>
      <c r="U3598" s="10">
        <f>IF(A3598="D",LEFT(UPPER(E3598)&amp;REPT(" ",15),15)," ")</f>
        <v/>
      </c>
      <c r="V3598" s="10">
        <f>REPT(" ",24)</f>
        <v/>
      </c>
      <c r="W3598" s="10">
        <f>IF(A3598="c",LEFT(UPPER(B3598)&amp;REPT(" ",20),20),REPT(" ",20))</f>
        <v/>
      </c>
      <c r="X3598" s="10">
        <f>IF(A3598="C",LEFT(UPPER(C3598)&amp;REPT(" ",10),10)," ")</f>
        <v/>
      </c>
      <c r="Y3598" s="10">
        <f>IF(A3598="C",LEFT(UPPER(D3598)&amp;REPT(" ",2),2)," ")</f>
        <v/>
      </c>
      <c r="Z3598" s="10">
        <f>IF(A3598="C",LEFT(UPPER(E3598)&amp;REPT(" ",15),15)," ")</f>
        <v/>
      </c>
      <c r="AA3598" s="10">
        <f>REPT(" ",8)</f>
        <v/>
      </c>
      <c r="AB3598" s="10">
        <f>REPT(" ",4)</f>
        <v/>
      </c>
      <c r="AC3598" s="10">
        <f>LEFT(UPPER(H3598)&amp;REPT(" ",250),250)</f>
        <v/>
      </c>
      <c r="AD3598" s="10">
        <f>TEXT($G$2,"dd/mm/aaaa")</f>
        <v/>
      </c>
      <c r="AE3598" s="10">
        <f>REPT(" ",10)</f>
        <v/>
      </c>
      <c r="AF3598" s="10">
        <f>REPT(" ",20)</f>
        <v/>
      </c>
      <c r="AG3598" s="54">
        <f>REPT(" ",18-LEN(FIXED(F3598,2,TRUE)))&amp;FIXED(F3598,2,TRUE)</f>
        <v/>
      </c>
      <c r="AH3598" s="10">
        <f>LEN(AC3598)+LEN(AG3598)</f>
        <v/>
      </c>
      <c r="AI3598" s="10">
        <f>LEN(L3598)</f>
        <v/>
      </c>
    </row>
    <row r="3599">
      <c r="J3599" s="12">
        <f>IF(F3599&lt;&gt;0,"LANÇAR","")</f>
        <v/>
      </c>
      <c r="L3599" s="13">
        <f>N3599&amp;O3599&amp;P3599&amp;Q3599&amp;R3599&amp;S3599&amp;T3599&amp;U3599&amp;V3599&amp;W3599&amp;X3599&amp;Y3599&amp;Z3599&amp;AA3599&amp;AB3599&amp;AC3599&amp;AD3599&amp;AE3599&amp;AF3599&amp;AG3599</f>
        <v/>
      </c>
      <c r="N3599" s="10">
        <f>TEXT($B$6,"00")</f>
        <v/>
      </c>
      <c r="O3599" s="10">
        <f>REPT(" ",8)</f>
        <v/>
      </c>
      <c r="P3599" s="10">
        <f>RIGHT($B$4,2)</f>
        <v/>
      </c>
      <c r="Q3599" s="10">
        <f>RIGHT($B$5,3)</f>
        <v/>
      </c>
      <c r="R3599" s="10">
        <f>IF(A3599="D",LEFT(UPPER(B3599)&amp;REPT(" ",20),20),REPT(" ",20))</f>
        <v/>
      </c>
      <c r="S3599" s="10">
        <f>IF(A3599="D",LEFT(UPPER(C3599)&amp;REPT(" ",10),10)," ")</f>
        <v/>
      </c>
      <c r="T3599" s="10">
        <f>IF(A3599="D",LEFT(UPPER(D3599)&amp;REPT(" ",2),2)," ")</f>
        <v/>
      </c>
      <c r="U3599" s="10">
        <f>IF(A3599="D",LEFT(UPPER(E3599)&amp;REPT(" ",15),15)," ")</f>
        <v/>
      </c>
      <c r="V3599" s="10">
        <f>REPT(" ",24)</f>
        <v/>
      </c>
      <c r="W3599" s="10">
        <f>IF(A3599="c",LEFT(UPPER(B3599)&amp;REPT(" ",20),20),REPT(" ",20))</f>
        <v/>
      </c>
      <c r="X3599" s="10">
        <f>IF(A3599="C",LEFT(UPPER(C3599)&amp;REPT(" ",10),10)," ")</f>
        <v/>
      </c>
      <c r="Y3599" s="10">
        <f>IF(A3599="C",LEFT(UPPER(D3599)&amp;REPT(" ",2),2)," ")</f>
        <v/>
      </c>
      <c r="Z3599" s="10">
        <f>IF(A3599="C",LEFT(UPPER(E3599)&amp;REPT(" ",15),15)," ")</f>
        <v/>
      </c>
      <c r="AA3599" s="10">
        <f>REPT(" ",8)</f>
        <v/>
      </c>
      <c r="AB3599" s="10">
        <f>REPT(" ",4)</f>
        <v/>
      </c>
      <c r="AC3599" s="10">
        <f>LEFT(UPPER(H3599)&amp;REPT(" ",250),250)</f>
        <v/>
      </c>
      <c r="AD3599" s="10">
        <f>TEXT($G$2,"dd/mm/aaaa")</f>
        <v/>
      </c>
      <c r="AE3599" s="10">
        <f>REPT(" ",10)</f>
        <v/>
      </c>
      <c r="AF3599" s="10">
        <f>REPT(" ",20)</f>
        <v/>
      </c>
      <c r="AG3599" s="54">
        <f>REPT(" ",18-LEN(FIXED(F3599,2,TRUE)))&amp;FIXED(F3599,2,TRUE)</f>
        <v/>
      </c>
      <c r="AH3599" s="10">
        <f>LEN(AC3599)+LEN(AG3599)</f>
        <v/>
      </c>
      <c r="AI3599" s="10">
        <f>LEN(L3599)</f>
        <v/>
      </c>
    </row>
    <row r="3600">
      <c r="J3600" s="12">
        <f>IF(F3600&lt;&gt;0,"LANÇAR","")</f>
        <v/>
      </c>
      <c r="L3600" s="13">
        <f>N3600&amp;O3600&amp;P3600&amp;Q3600&amp;R3600&amp;S3600&amp;T3600&amp;U3600&amp;V3600&amp;W3600&amp;X3600&amp;Y3600&amp;Z3600&amp;AA3600&amp;AB3600&amp;AC3600&amp;AD3600&amp;AE3600&amp;AF3600&amp;AG3600</f>
        <v/>
      </c>
      <c r="N3600" s="10">
        <f>TEXT($B$6,"00")</f>
        <v/>
      </c>
      <c r="O3600" s="10">
        <f>REPT(" ",8)</f>
        <v/>
      </c>
      <c r="P3600" s="10">
        <f>RIGHT($B$4,2)</f>
        <v/>
      </c>
      <c r="Q3600" s="10">
        <f>RIGHT($B$5,3)</f>
        <v/>
      </c>
      <c r="R3600" s="10">
        <f>IF(A3600="D",LEFT(UPPER(B3600)&amp;REPT(" ",20),20),REPT(" ",20))</f>
        <v/>
      </c>
      <c r="S3600" s="10">
        <f>IF(A3600="D",LEFT(UPPER(C3600)&amp;REPT(" ",10),10)," ")</f>
        <v/>
      </c>
      <c r="T3600" s="10">
        <f>IF(A3600="D",LEFT(UPPER(D3600)&amp;REPT(" ",2),2)," ")</f>
        <v/>
      </c>
      <c r="U3600" s="10">
        <f>IF(A3600="D",LEFT(UPPER(E3600)&amp;REPT(" ",15),15)," ")</f>
        <v/>
      </c>
      <c r="V3600" s="10">
        <f>REPT(" ",24)</f>
        <v/>
      </c>
      <c r="W3600" s="10">
        <f>IF(A3600="c",LEFT(UPPER(B3600)&amp;REPT(" ",20),20),REPT(" ",20))</f>
        <v/>
      </c>
      <c r="X3600" s="10">
        <f>IF(A3600="C",LEFT(UPPER(C3600)&amp;REPT(" ",10),10)," ")</f>
        <v/>
      </c>
      <c r="Y3600" s="10">
        <f>IF(A3600="C",LEFT(UPPER(D3600)&amp;REPT(" ",2),2)," ")</f>
        <v/>
      </c>
      <c r="Z3600" s="10">
        <f>IF(A3600="C",LEFT(UPPER(E3600)&amp;REPT(" ",15),15)," ")</f>
        <v/>
      </c>
      <c r="AA3600" s="10">
        <f>REPT(" ",8)</f>
        <v/>
      </c>
      <c r="AB3600" s="10">
        <f>REPT(" ",4)</f>
        <v/>
      </c>
      <c r="AC3600" s="10">
        <f>LEFT(UPPER(H3600)&amp;REPT(" ",250),250)</f>
        <v/>
      </c>
      <c r="AD3600" s="10">
        <f>TEXT($G$2,"dd/mm/aaaa")</f>
        <v/>
      </c>
      <c r="AE3600" s="10">
        <f>REPT(" ",10)</f>
        <v/>
      </c>
      <c r="AF3600" s="10">
        <f>REPT(" ",20)</f>
        <v/>
      </c>
      <c r="AG3600" s="54">
        <f>REPT(" ",18-LEN(FIXED(F3600,2,TRUE)))&amp;FIXED(F3600,2,TRUE)</f>
        <v/>
      </c>
      <c r="AH3600" s="10">
        <f>LEN(AC3600)+LEN(AG3600)</f>
        <v/>
      </c>
      <c r="AI3600" s="10">
        <f>LEN(L3600)</f>
        <v/>
      </c>
    </row>
    <row r="3601">
      <c r="J3601" s="12">
        <f>IF(F3601&lt;&gt;0,"LANÇAR","")</f>
        <v/>
      </c>
      <c r="L3601" s="13">
        <f>N3601&amp;O3601&amp;P3601&amp;Q3601&amp;R3601&amp;S3601&amp;T3601&amp;U3601&amp;V3601&amp;W3601&amp;X3601&amp;Y3601&amp;Z3601&amp;AA3601&amp;AB3601&amp;AC3601&amp;AD3601&amp;AE3601&amp;AF3601&amp;AG3601</f>
        <v/>
      </c>
      <c r="N3601" s="10">
        <f>TEXT($B$6,"00")</f>
        <v/>
      </c>
      <c r="O3601" s="10">
        <f>REPT(" ",8)</f>
        <v/>
      </c>
      <c r="P3601" s="10">
        <f>RIGHT($B$4,2)</f>
        <v/>
      </c>
      <c r="Q3601" s="10">
        <f>RIGHT($B$5,3)</f>
        <v/>
      </c>
      <c r="R3601" s="10">
        <f>IF(A3601="D",LEFT(UPPER(B3601)&amp;REPT(" ",20),20),REPT(" ",20))</f>
        <v/>
      </c>
      <c r="S3601" s="10">
        <f>IF(A3601="D",LEFT(UPPER(C3601)&amp;REPT(" ",10),10)," ")</f>
        <v/>
      </c>
      <c r="T3601" s="10">
        <f>IF(A3601="D",LEFT(UPPER(D3601)&amp;REPT(" ",2),2)," ")</f>
        <v/>
      </c>
      <c r="U3601" s="10">
        <f>IF(A3601="D",LEFT(UPPER(E3601)&amp;REPT(" ",15),15)," ")</f>
        <v/>
      </c>
      <c r="V3601" s="10">
        <f>REPT(" ",24)</f>
        <v/>
      </c>
      <c r="W3601" s="10">
        <f>IF(A3601="c",LEFT(UPPER(B3601)&amp;REPT(" ",20),20),REPT(" ",20))</f>
        <v/>
      </c>
      <c r="X3601" s="10">
        <f>IF(A3601="C",LEFT(UPPER(C3601)&amp;REPT(" ",10),10)," ")</f>
        <v/>
      </c>
      <c r="Y3601" s="10">
        <f>IF(A3601="C",LEFT(UPPER(D3601)&amp;REPT(" ",2),2)," ")</f>
        <v/>
      </c>
      <c r="Z3601" s="10">
        <f>IF(A3601="C",LEFT(UPPER(E3601)&amp;REPT(" ",15),15)," ")</f>
        <v/>
      </c>
      <c r="AA3601" s="10">
        <f>REPT(" ",8)</f>
        <v/>
      </c>
      <c r="AB3601" s="10">
        <f>REPT(" ",4)</f>
        <v/>
      </c>
      <c r="AC3601" s="10">
        <f>LEFT(UPPER(H3601)&amp;REPT(" ",250),250)</f>
        <v/>
      </c>
      <c r="AD3601" s="10">
        <f>TEXT($G$2,"dd/mm/aaaa")</f>
        <v/>
      </c>
      <c r="AE3601" s="10">
        <f>REPT(" ",10)</f>
        <v/>
      </c>
      <c r="AF3601" s="10">
        <f>REPT(" ",20)</f>
        <v/>
      </c>
      <c r="AG3601" s="54">
        <f>REPT(" ",18-LEN(FIXED(F3601,2,TRUE)))&amp;FIXED(F3601,2,TRUE)</f>
        <v/>
      </c>
      <c r="AH3601" s="10">
        <f>LEN(AC3601)+LEN(AG3601)</f>
        <v/>
      </c>
      <c r="AI3601" s="10">
        <f>LEN(L3601)</f>
        <v/>
      </c>
    </row>
    <row r="3602">
      <c r="J3602" s="12">
        <f>IF(F3602&lt;&gt;0,"LANÇAR","")</f>
        <v/>
      </c>
      <c r="L3602" s="13">
        <f>N3602&amp;O3602&amp;P3602&amp;Q3602&amp;R3602&amp;S3602&amp;T3602&amp;U3602&amp;V3602&amp;W3602&amp;X3602&amp;Y3602&amp;Z3602&amp;AA3602&amp;AB3602&amp;AC3602&amp;AD3602&amp;AE3602&amp;AF3602&amp;AG3602</f>
        <v/>
      </c>
      <c r="N3602" s="10">
        <f>TEXT($B$6,"00")</f>
        <v/>
      </c>
      <c r="O3602" s="10">
        <f>REPT(" ",8)</f>
        <v/>
      </c>
      <c r="P3602" s="10">
        <f>RIGHT($B$4,2)</f>
        <v/>
      </c>
      <c r="Q3602" s="10">
        <f>RIGHT($B$5,3)</f>
        <v/>
      </c>
      <c r="R3602" s="10">
        <f>IF(A3602="D",LEFT(UPPER(B3602)&amp;REPT(" ",20),20),REPT(" ",20))</f>
        <v/>
      </c>
      <c r="S3602" s="10">
        <f>IF(A3602="D",LEFT(UPPER(C3602)&amp;REPT(" ",10),10)," ")</f>
        <v/>
      </c>
      <c r="T3602" s="10">
        <f>IF(A3602="D",LEFT(UPPER(D3602)&amp;REPT(" ",2),2)," ")</f>
        <v/>
      </c>
      <c r="U3602" s="10">
        <f>IF(A3602="D",LEFT(UPPER(E3602)&amp;REPT(" ",15),15)," ")</f>
        <v/>
      </c>
      <c r="V3602" s="10">
        <f>REPT(" ",24)</f>
        <v/>
      </c>
      <c r="W3602" s="10">
        <f>IF(A3602="c",LEFT(UPPER(B3602)&amp;REPT(" ",20),20),REPT(" ",20))</f>
        <v/>
      </c>
      <c r="X3602" s="10">
        <f>IF(A3602="C",LEFT(UPPER(C3602)&amp;REPT(" ",10),10)," ")</f>
        <v/>
      </c>
      <c r="Y3602" s="10">
        <f>IF(A3602="C",LEFT(UPPER(D3602)&amp;REPT(" ",2),2)," ")</f>
        <v/>
      </c>
      <c r="Z3602" s="10">
        <f>IF(A3602="C",LEFT(UPPER(E3602)&amp;REPT(" ",15),15)," ")</f>
        <v/>
      </c>
      <c r="AA3602" s="10">
        <f>REPT(" ",8)</f>
        <v/>
      </c>
      <c r="AB3602" s="10">
        <f>REPT(" ",4)</f>
        <v/>
      </c>
      <c r="AC3602" s="10">
        <f>LEFT(UPPER(H3602)&amp;REPT(" ",250),250)</f>
        <v/>
      </c>
      <c r="AD3602" s="10">
        <f>TEXT($G$2,"dd/mm/aaaa")</f>
        <v/>
      </c>
      <c r="AE3602" s="10">
        <f>REPT(" ",10)</f>
        <v/>
      </c>
      <c r="AF3602" s="10">
        <f>REPT(" ",20)</f>
        <v/>
      </c>
      <c r="AG3602" s="54">
        <f>REPT(" ",18-LEN(FIXED(F3602,2,TRUE)))&amp;FIXED(F3602,2,TRUE)</f>
        <v/>
      </c>
      <c r="AH3602" s="10">
        <f>LEN(AC3602)+LEN(AG3602)</f>
        <v/>
      </c>
      <c r="AI3602" s="10">
        <f>LEN(L3602)</f>
        <v/>
      </c>
    </row>
    <row r="3603">
      <c r="J3603" s="12">
        <f>IF(F3603&lt;&gt;0,"LANÇAR","")</f>
        <v/>
      </c>
      <c r="L3603" s="13">
        <f>N3603&amp;O3603&amp;P3603&amp;Q3603&amp;R3603&amp;S3603&amp;T3603&amp;U3603&amp;V3603&amp;W3603&amp;X3603&amp;Y3603&amp;Z3603&amp;AA3603&amp;AB3603&amp;AC3603&amp;AD3603&amp;AE3603&amp;AF3603&amp;AG3603</f>
        <v/>
      </c>
      <c r="N3603" s="10">
        <f>TEXT($B$6,"00")</f>
        <v/>
      </c>
      <c r="O3603" s="10">
        <f>REPT(" ",8)</f>
        <v/>
      </c>
      <c r="P3603" s="10">
        <f>RIGHT($B$4,2)</f>
        <v/>
      </c>
      <c r="Q3603" s="10">
        <f>RIGHT($B$5,3)</f>
        <v/>
      </c>
      <c r="R3603" s="10">
        <f>IF(A3603="D",LEFT(UPPER(B3603)&amp;REPT(" ",20),20),REPT(" ",20))</f>
        <v/>
      </c>
      <c r="S3603" s="10">
        <f>IF(A3603="D",LEFT(UPPER(C3603)&amp;REPT(" ",10),10)," ")</f>
        <v/>
      </c>
      <c r="T3603" s="10">
        <f>IF(A3603="D",LEFT(UPPER(D3603)&amp;REPT(" ",2),2)," ")</f>
        <v/>
      </c>
      <c r="U3603" s="10">
        <f>IF(A3603="D",LEFT(UPPER(E3603)&amp;REPT(" ",15),15)," ")</f>
        <v/>
      </c>
      <c r="V3603" s="10">
        <f>REPT(" ",24)</f>
        <v/>
      </c>
      <c r="W3603" s="10">
        <f>IF(A3603="c",LEFT(UPPER(B3603)&amp;REPT(" ",20),20),REPT(" ",20))</f>
        <v/>
      </c>
      <c r="X3603" s="10">
        <f>IF(A3603="C",LEFT(UPPER(C3603)&amp;REPT(" ",10),10)," ")</f>
        <v/>
      </c>
      <c r="Y3603" s="10">
        <f>IF(A3603="C",LEFT(UPPER(D3603)&amp;REPT(" ",2),2)," ")</f>
        <v/>
      </c>
      <c r="Z3603" s="10">
        <f>IF(A3603="C",LEFT(UPPER(E3603)&amp;REPT(" ",15),15)," ")</f>
        <v/>
      </c>
      <c r="AA3603" s="10">
        <f>REPT(" ",8)</f>
        <v/>
      </c>
      <c r="AB3603" s="10">
        <f>REPT(" ",4)</f>
        <v/>
      </c>
      <c r="AC3603" s="10">
        <f>LEFT(UPPER(H3603)&amp;REPT(" ",250),250)</f>
        <v/>
      </c>
      <c r="AD3603" s="10">
        <f>TEXT($G$2,"dd/mm/aaaa")</f>
        <v/>
      </c>
      <c r="AE3603" s="10">
        <f>REPT(" ",10)</f>
        <v/>
      </c>
      <c r="AF3603" s="10">
        <f>REPT(" ",20)</f>
        <v/>
      </c>
      <c r="AG3603" s="54">
        <f>REPT(" ",18-LEN(FIXED(F3603,2,TRUE)))&amp;FIXED(F3603,2,TRUE)</f>
        <v/>
      </c>
      <c r="AH3603" s="10">
        <f>LEN(AC3603)+LEN(AG3603)</f>
        <v/>
      </c>
      <c r="AI3603" s="10">
        <f>LEN(L3603)</f>
        <v/>
      </c>
    </row>
    <row r="3604">
      <c r="J3604" s="12">
        <f>IF(F3604&lt;&gt;0,"LANÇAR","")</f>
        <v/>
      </c>
      <c r="L3604" s="13">
        <f>N3604&amp;O3604&amp;P3604&amp;Q3604&amp;R3604&amp;S3604&amp;T3604&amp;U3604&amp;V3604&amp;W3604&amp;X3604&amp;Y3604&amp;Z3604&amp;AA3604&amp;AB3604&amp;AC3604&amp;AD3604&amp;AE3604&amp;AF3604&amp;AG3604</f>
        <v/>
      </c>
      <c r="N3604" s="10">
        <f>TEXT($B$6,"00")</f>
        <v/>
      </c>
      <c r="O3604" s="10">
        <f>REPT(" ",8)</f>
        <v/>
      </c>
      <c r="P3604" s="10">
        <f>RIGHT($B$4,2)</f>
        <v/>
      </c>
      <c r="Q3604" s="10">
        <f>RIGHT($B$5,3)</f>
        <v/>
      </c>
      <c r="R3604" s="10">
        <f>IF(A3604="D",LEFT(UPPER(B3604)&amp;REPT(" ",20),20),REPT(" ",20))</f>
        <v/>
      </c>
      <c r="S3604" s="10">
        <f>IF(A3604="D",LEFT(UPPER(C3604)&amp;REPT(" ",10),10)," ")</f>
        <v/>
      </c>
      <c r="T3604" s="10">
        <f>IF(A3604="D",LEFT(UPPER(D3604)&amp;REPT(" ",2),2)," ")</f>
        <v/>
      </c>
      <c r="U3604" s="10">
        <f>IF(A3604="D",LEFT(UPPER(E3604)&amp;REPT(" ",15),15)," ")</f>
        <v/>
      </c>
      <c r="V3604" s="10">
        <f>REPT(" ",24)</f>
        <v/>
      </c>
      <c r="W3604" s="10">
        <f>IF(A3604="c",LEFT(UPPER(B3604)&amp;REPT(" ",20),20),REPT(" ",20))</f>
        <v/>
      </c>
      <c r="X3604" s="10">
        <f>IF(A3604="C",LEFT(UPPER(C3604)&amp;REPT(" ",10),10)," ")</f>
        <v/>
      </c>
      <c r="Y3604" s="10">
        <f>IF(A3604="C",LEFT(UPPER(D3604)&amp;REPT(" ",2),2)," ")</f>
        <v/>
      </c>
      <c r="Z3604" s="10">
        <f>IF(A3604="C",LEFT(UPPER(E3604)&amp;REPT(" ",15),15)," ")</f>
        <v/>
      </c>
      <c r="AA3604" s="10">
        <f>REPT(" ",8)</f>
        <v/>
      </c>
      <c r="AB3604" s="10">
        <f>REPT(" ",4)</f>
        <v/>
      </c>
      <c r="AC3604" s="10">
        <f>LEFT(UPPER(H3604)&amp;REPT(" ",250),250)</f>
        <v/>
      </c>
      <c r="AD3604" s="10">
        <f>TEXT($G$2,"dd/mm/aaaa")</f>
        <v/>
      </c>
      <c r="AE3604" s="10">
        <f>REPT(" ",10)</f>
        <v/>
      </c>
      <c r="AF3604" s="10">
        <f>REPT(" ",20)</f>
        <v/>
      </c>
      <c r="AG3604" s="54">
        <f>REPT(" ",18-LEN(FIXED(F3604,2,TRUE)))&amp;FIXED(F3604,2,TRUE)</f>
        <v/>
      </c>
      <c r="AH3604" s="10">
        <f>LEN(AC3604)+LEN(AG3604)</f>
        <v/>
      </c>
      <c r="AI3604" s="10">
        <f>LEN(L3604)</f>
        <v/>
      </c>
    </row>
    <row r="3605">
      <c r="J3605" s="12">
        <f>IF(F3605&lt;&gt;0,"LANÇAR","")</f>
        <v/>
      </c>
      <c r="L3605" s="13">
        <f>N3605&amp;O3605&amp;P3605&amp;Q3605&amp;R3605&amp;S3605&amp;T3605&amp;U3605&amp;V3605&amp;W3605&amp;X3605&amp;Y3605&amp;Z3605&amp;AA3605&amp;AB3605&amp;AC3605&amp;AD3605&amp;AE3605&amp;AF3605&amp;AG3605</f>
        <v/>
      </c>
      <c r="N3605" s="10">
        <f>TEXT($B$6,"00")</f>
        <v/>
      </c>
      <c r="O3605" s="10">
        <f>REPT(" ",8)</f>
        <v/>
      </c>
      <c r="P3605" s="10">
        <f>RIGHT($B$4,2)</f>
        <v/>
      </c>
      <c r="Q3605" s="10">
        <f>RIGHT($B$5,3)</f>
        <v/>
      </c>
      <c r="R3605" s="10">
        <f>IF(A3605="D",LEFT(UPPER(B3605)&amp;REPT(" ",20),20),REPT(" ",20))</f>
        <v/>
      </c>
      <c r="S3605" s="10">
        <f>IF(A3605="D",LEFT(UPPER(C3605)&amp;REPT(" ",10),10)," ")</f>
        <v/>
      </c>
      <c r="T3605" s="10">
        <f>IF(A3605="D",LEFT(UPPER(D3605)&amp;REPT(" ",2),2)," ")</f>
        <v/>
      </c>
      <c r="U3605" s="10">
        <f>IF(A3605="D",LEFT(UPPER(E3605)&amp;REPT(" ",15),15)," ")</f>
        <v/>
      </c>
      <c r="V3605" s="10">
        <f>REPT(" ",24)</f>
        <v/>
      </c>
      <c r="W3605" s="10">
        <f>IF(A3605="c",LEFT(UPPER(B3605)&amp;REPT(" ",20),20),REPT(" ",20))</f>
        <v/>
      </c>
      <c r="X3605" s="10">
        <f>IF(A3605="C",LEFT(UPPER(C3605)&amp;REPT(" ",10),10)," ")</f>
        <v/>
      </c>
      <c r="Y3605" s="10">
        <f>IF(A3605="C",LEFT(UPPER(D3605)&amp;REPT(" ",2),2)," ")</f>
        <v/>
      </c>
      <c r="Z3605" s="10">
        <f>IF(A3605="C",LEFT(UPPER(E3605)&amp;REPT(" ",15),15)," ")</f>
        <v/>
      </c>
      <c r="AA3605" s="10">
        <f>REPT(" ",8)</f>
        <v/>
      </c>
      <c r="AB3605" s="10">
        <f>REPT(" ",4)</f>
        <v/>
      </c>
      <c r="AC3605" s="10">
        <f>LEFT(UPPER(H3605)&amp;REPT(" ",250),250)</f>
        <v/>
      </c>
      <c r="AD3605" s="10">
        <f>TEXT($G$2,"dd/mm/aaaa")</f>
        <v/>
      </c>
      <c r="AE3605" s="10">
        <f>REPT(" ",10)</f>
        <v/>
      </c>
      <c r="AF3605" s="10">
        <f>REPT(" ",20)</f>
        <v/>
      </c>
      <c r="AG3605" s="54">
        <f>REPT(" ",18-LEN(FIXED(F3605,2,TRUE)))&amp;FIXED(F3605,2,TRUE)</f>
        <v/>
      </c>
      <c r="AH3605" s="10">
        <f>LEN(AC3605)+LEN(AG3605)</f>
        <v/>
      </c>
      <c r="AI3605" s="10">
        <f>LEN(L3605)</f>
        <v/>
      </c>
    </row>
    <row r="3606">
      <c r="J3606" s="12">
        <f>IF(F3606&lt;&gt;0,"LANÇAR","")</f>
        <v/>
      </c>
      <c r="L3606" s="13">
        <f>N3606&amp;O3606&amp;P3606&amp;Q3606&amp;R3606&amp;S3606&amp;T3606&amp;U3606&amp;V3606&amp;W3606&amp;X3606&amp;Y3606&amp;Z3606&amp;AA3606&amp;AB3606&amp;AC3606&amp;AD3606&amp;AE3606&amp;AF3606&amp;AG3606</f>
        <v/>
      </c>
      <c r="N3606" s="10">
        <f>TEXT($B$6,"00")</f>
        <v/>
      </c>
      <c r="O3606" s="10">
        <f>REPT(" ",8)</f>
        <v/>
      </c>
      <c r="P3606" s="10">
        <f>RIGHT($B$4,2)</f>
        <v/>
      </c>
      <c r="Q3606" s="10">
        <f>RIGHT($B$5,3)</f>
        <v/>
      </c>
      <c r="R3606" s="10">
        <f>IF(A3606="D",LEFT(UPPER(B3606)&amp;REPT(" ",20),20),REPT(" ",20))</f>
        <v/>
      </c>
      <c r="S3606" s="10">
        <f>IF(A3606="D",LEFT(UPPER(C3606)&amp;REPT(" ",10),10)," ")</f>
        <v/>
      </c>
      <c r="T3606" s="10">
        <f>IF(A3606="D",LEFT(UPPER(D3606)&amp;REPT(" ",2),2)," ")</f>
        <v/>
      </c>
      <c r="U3606" s="10">
        <f>IF(A3606="D",LEFT(UPPER(E3606)&amp;REPT(" ",15),15)," ")</f>
        <v/>
      </c>
      <c r="V3606" s="10">
        <f>REPT(" ",24)</f>
        <v/>
      </c>
      <c r="W3606" s="10">
        <f>IF(A3606="c",LEFT(UPPER(B3606)&amp;REPT(" ",20),20),REPT(" ",20))</f>
        <v/>
      </c>
      <c r="X3606" s="10">
        <f>IF(A3606="C",LEFT(UPPER(C3606)&amp;REPT(" ",10),10)," ")</f>
        <v/>
      </c>
      <c r="Y3606" s="10">
        <f>IF(A3606="C",LEFT(UPPER(D3606)&amp;REPT(" ",2),2)," ")</f>
        <v/>
      </c>
      <c r="Z3606" s="10">
        <f>IF(A3606="C",LEFT(UPPER(E3606)&amp;REPT(" ",15),15)," ")</f>
        <v/>
      </c>
      <c r="AA3606" s="10">
        <f>REPT(" ",8)</f>
        <v/>
      </c>
      <c r="AB3606" s="10">
        <f>REPT(" ",4)</f>
        <v/>
      </c>
      <c r="AC3606" s="10">
        <f>LEFT(UPPER(H3606)&amp;REPT(" ",250),250)</f>
        <v/>
      </c>
      <c r="AD3606" s="10">
        <f>TEXT($G$2,"dd/mm/aaaa")</f>
        <v/>
      </c>
      <c r="AE3606" s="10">
        <f>REPT(" ",10)</f>
        <v/>
      </c>
      <c r="AF3606" s="10">
        <f>REPT(" ",20)</f>
        <v/>
      </c>
      <c r="AG3606" s="54">
        <f>REPT(" ",18-LEN(FIXED(F3606,2,TRUE)))&amp;FIXED(F3606,2,TRUE)</f>
        <v/>
      </c>
      <c r="AH3606" s="10">
        <f>LEN(AC3606)+LEN(AG3606)</f>
        <v/>
      </c>
      <c r="AI3606" s="10">
        <f>LEN(L3606)</f>
        <v/>
      </c>
    </row>
    <row r="3607">
      <c r="J3607" s="12">
        <f>IF(F3607&lt;&gt;0,"LANÇAR","")</f>
        <v/>
      </c>
      <c r="L3607" s="13">
        <f>N3607&amp;O3607&amp;P3607&amp;Q3607&amp;R3607&amp;S3607&amp;T3607&amp;U3607&amp;V3607&amp;W3607&amp;X3607&amp;Y3607&amp;Z3607&amp;AA3607&amp;AB3607&amp;AC3607&amp;AD3607&amp;AE3607&amp;AF3607&amp;AG3607</f>
        <v/>
      </c>
      <c r="N3607" s="10">
        <f>TEXT($B$6,"00")</f>
        <v/>
      </c>
      <c r="O3607" s="10">
        <f>REPT(" ",8)</f>
        <v/>
      </c>
      <c r="P3607" s="10">
        <f>RIGHT($B$4,2)</f>
        <v/>
      </c>
      <c r="Q3607" s="10">
        <f>RIGHT($B$5,3)</f>
        <v/>
      </c>
      <c r="R3607" s="10">
        <f>IF(A3607="D",LEFT(UPPER(B3607)&amp;REPT(" ",20),20),REPT(" ",20))</f>
        <v/>
      </c>
      <c r="S3607" s="10">
        <f>IF(A3607="D",LEFT(UPPER(C3607)&amp;REPT(" ",10),10)," ")</f>
        <v/>
      </c>
      <c r="T3607" s="10">
        <f>IF(A3607="D",LEFT(UPPER(D3607)&amp;REPT(" ",2),2)," ")</f>
        <v/>
      </c>
      <c r="U3607" s="10">
        <f>IF(A3607="D",LEFT(UPPER(E3607)&amp;REPT(" ",15),15)," ")</f>
        <v/>
      </c>
      <c r="V3607" s="10">
        <f>REPT(" ",24)</f>
        <v/>
      </c>
      <c r="W3607" s="10">
        <f>IF(A3607="c",LEFT(UPPER(B3607)&amp;REPT(" ",20),20),REPT(" ",20))</f>
        <v/>
      </c>
      <c r="X3607" s="10">
        <f>IF(A3607="C",LEFT(UPPER(C3607)&amp;REPT(" ",10),10)," ")</f>
        <v/>
      </c>
      <c r="Y3607" s="10">
        <f>IF(A3607="C",LEFT(UPPER(D3607)&amp;REPT(" ",2),2)," ")</f>
        <v/>
      </c>
      <c r="Z3607" s="10">
        <f>IF(A3607="C",LEFT(UPPER(E3607)&amp;REPT(" ",15),15)," ")</f>
        <v/>
      </c>
      <c r="AA3607" s="10">
        <f>REPT(" ",8)</f>
        <v/>
      </c>
      <c r="AB3607" s="10">
        <f>REPT(" ",4)</f>
        <v/>
      </c>
      <c r="AC3607" s="10">
        <f>LEFT(UPPER(H3607)&amp;REPT(" ",250),250)</f>
        <v/>
      </c>
      <c r="AD3607" s="10">
        <f>TEXT($G$2,"dd/mm/aaaa")</f>
        <v/>
      </c>
      <c r="AE3607" s="10">
        <f>REPT(" ",10)</f>
        <v/>
      </c>
      <c r="AF3607" s="10">
        <f>REPT(" ",20)</f>
        <v/>
      </c>
      <c r="AG3607" s="54">
        <f>REPT(" ",18-LEN(FIXED(F3607,2,TRUE)))&amp;FIXED(F3607,2,TRUE)</f>
        <v/>
      </c>
      <c r="AH3607" s="10">
        <f>LEN(AC3607)+LEN(AG3607)</f>
        <v/>
      </c>
      <c r="AI3607" s="10">
        <f>LEN(L3607)</f>
        <v/>
      </c>
    </row>
    <row r="3608">
      <c r="J3608" s="12">
        <f>IF(F3608&lt;&gt;0,"LANÇAR","")</f>
        <v/>
      </c>
      <c r="L3608" s="13">
        <f>N3608&amp;O3608&amp;P3608&amp;Q3608&amp;R3608&amp;S3608&amp;T3608&amp;U3608&amp;V3608&amp;W3608&amp;X3608&amp;Y3608&amp;Z3608&amp;AA3608&amp;AB3608&amp;AC3608&amp;AD3608&amp;AE3608&amp;AF3608&amp;AG3608</f>
        <v/>
      </c>
      <c r="N3608" s="10">
        <f>TEXT($B$6,"00")</f>
        <v/>
      </c>
      <c r="O3608" s="10">
        <f>REPT(" ",8)</f>
        <v/>
      </c>
      <c r="P3608" s="10">
        <f>RIGHT($B$4,2)</f>
        <v/>
      </c>
      <c r="Q3608" s="10">
        <f>RIGHT($B$5,3)</f>
        <v/>
      </c>
      <c r="R3608" s="10">
        <f>IF(A3608="D",LEFT(UPPER(B3608)&amp;REPT(" ",20),20),REPT(" ",20))</f>
        <v/>
      </c>
      <c r="S3608" s="10">
        <f>IF(A3608="D",LEFT(UPPER(C3608)&amp;REPT(" ",10),10)," ")</f>
        <v/>
      </c>
      <c r="T3608" s="10">
        <f>IF(A3608="D",LEFT(UPPER(D3608)&amp;REPT(" ",2),2)," ")</f>
        <v/>
      </c>
      <c r="U3608" s="10">
        <f>IF(A3608="D",LEFT(UPPER(E3608)&amp;REPT(" ",15),15)," ")</f>
        <v/>
      </c>
      <c r="V3608" s="10">
        <f>REPT(" ",24)</f>
        <v/>
      </c>
      <c r="W3608" s="10">
        <f>IF(A3608="c",LEFT(UPPER(B3608)&amp;REPT(" ",20),20),REPT(" ",20))</f>
        <v/>
      </c>
      <c r="X3608" s="10">
        <f>IF(A3608="C",LEFT(UPPER(C3608)&amp;REPT(" ",10),10)," ")</f>
        <v/>
      </c>
      <c r="Y3608" s="10">
        <f>IF(A3608="C",LEFT(UPPER(D3608)&amp;REPT(" ",2),2)," ")</f>
        <v/>
      </c>
      <c r="Z3608" s="10">
        <f>IF(A3608="C",LEFT(UPPER(E3608)&amp;REPT(" ",15),15)," ")</f>
        <v/>
      </c>
      <c r="AA3608" s="10">
        <f>REPT(" ",8)</f>
        <v/>
      </c>
      <c r="AB3608" s="10">
        <f>REPT(" ",4)</f>
        <v/>
      </c>
      <c r="AC3608" s="10">
        <f>LEFT(UPPER(H3608)&amp;REPT(" ",250),250)</f>
        <v/>
      </c>
      <c r="AD3608" s="10">
        <f>TEXT($G$2,"dd/mm/aaaa")</f>
        <v/>
      </c>
      <c r="AE3608" s="10">
        <f>REPT(" ",10)</f>
        <v/>
      </c>
      <c r="AF3608" s="10">
        <f>REPT(" ",20)</f>
        <v/>
      </c>
      <c r="AG3608" s="54">
        <f>REPT(" ",18-LEN(FIXED(F3608,2,TRUE)))&amp;FIXED(F3608,2,TRUE)</f>
        <v/>
      </c>
      <c r="AH3608" s="10">
        <f>LEN(AC3608)+LEN(AG3608)</f>
        <v/>
      </c>
      <c r="AI3608" s="10">
        <f>LEN(L3608)</f>
        <v/>
      </c>
    </row>
    <row r="3609">
      <c r="J3609" s="12">
        <f>IF(F3609&lt;&gt;0,"LANÇAR","")</f>
        <v/>
      </c>
      <c r="L3609" s="13">
        <f>N3609&amp;O3609&amp;P3609&amp;Q3609&amp;R3609&amp;S3609&amp;T3609&amp;U3609&amp;V3609&amp;W3609&amp;X3609&amp;Y3609&amp;Z3609&amp;AA3609&amp;AB3609&amp;AC3609&amp;AD3609&amp;AE3609&amp;AF3609&amp;AG3609</f>
        <v/>
      </c>
      <c r="N3609" s="10">
        <f>TEXT($B$6,"00")</f>
        <v/>
      </c>
      <c r="O3609" s="10">
        <f>REPT(" ",8)</f>
        <v/>
      </c>
      <c r="P3609" s="10">
        <f>RIGHT($B$4,2)</f>
        <v/>
      </c>
      <c r="Q3609" s="10">
        <f>RIGHT($B$5,3)</f>
        <v/>
      </c>
      <c r="R3609" s="10">
        <f>IF(A3609="D",LEFT(UPPER(B3609)&amp;REPT(" ",20),20),REPT(" ",20))</f>
        <v/>
      </c>
      <c r="S3609" s="10">
        <f>IF(A3609="D",LEFT(UPPER(C3609)&amp;REPT(" ",10),10)," ")</f>
        <v/>
      </c>
      <c r="T3609" s="10">
        <f>IF(A3609="D",LEFT(UPPER(D3609)&amp;REPT(" ",2),2)," ")</f>
        <v/>
      </c>
      <c r="U3609" s="10">
        <f>IF(A3609="D",LEFT(UPPER(E3609)&amp;REPT(" ",15),15)," ")</f>
        <v/>
      </c>
      <c r="V3609" s="10">
        <f>REPT(" ",24)</f>
        <v/>
      </c>
      <c r="W3609" s="10">
        <f>IF(A3609="c",LEFT(UPPER(B3609)&amp;REPT(" ",20),20),REPT(" ",20))</f>
        <v/>
      </c>
      <c r="X3609" s="10">
        <f>IF(A3609="C",LEFT(UPPER(C3609)&amp;REPT(" ",10),10)," ")</f>
        <v/>
      </c>
      <c r="Y3609" s="10">
        <f>IF(A3609="C",LEFT(UPPER(D3609)&amp;REPT(" ",2),2)," ")</f>
        <v/>
      </c>
      <c r="Z3609" s="10">
        <f>IF(A3609="C",LEFT(UPPER(E3609)&amp;REPT(" ",15),15)," ")</f>
        <v/>
      </c>
      <c r="AA3609" s="10">
        <f>REPT(" ",8)</f>
        <v/>
      </c>
      <c r="AB3609" s="10">
        <f>REPT(" ",4)</f>
        <v/>
      </c>
      <c r="AC3609" s="10">
        <f>LEFT(UPPER(H3609)&amp;REPT(" ",250),250)</f>
        <v/>
      </c>
      <c r="AD3609" s="10">
        <f>TEXT($G$2,"dd/mm/aaaa")</f>
        <v/>
      </c>
      <c r="AE3609" s="10">
        <f>REPT(" ",10)</f>
        <v/>
      </c>
      <c r="AF3609" s="10">
        <f>REPT(" ",20)</f>
        <v/>
      </c>
      <c r="AG3609" s="54">
        <f>REPT(" ",18-LEN(FIXED(F3609,2,TRUE)))&amp;FIXED(F3609,2,TRUE)</f>
        <v/>
      </c>
      <c r="AH3609" s="10">
        <f>LEN(AC3609)+LEN(AG3609)</f>
        <v/>
      </c>
      <c r="AI3609" s="10">
        <f>LEN(L3609)</f>
        <v/>
      </c>
    </row>
    <row r="3610">
      <c r="J3610" s="12">
        <f>IF(F3610&lt;&gt;0,"LANÇAR","")</f>
        <v/>
      </c>
      <c r="L3610" s="13">
        <f>N3610&amp;O3610&amp;P3610&amp;Q3610&amp;R3610&amp;S3610&amp;T3610&amp;U3610&amp;V3610&amp;W3610&amp;X3610&amp;Y3610&amp;Z3610&amp;AA3610&amp;AB3610&amp;AC3610&amp;AD3610&amp;AE3610&amp;AF3610&amp;AG3610</f>
        <v/>
      </c>
      <c r="N3610" s="10">
        <f>TEXT($B$6,"00")</f>
        <v/>
      </c>
      <c r="O3610" s="10">
        <f>REPT(" ",8)</f>
        <v/>
      </c>
      <c r="P3610" s="10">
        <f>RIGHT($B$4,2)</f>
        <v/>
      </c>
      <c r="Q3610" s="10">
        <f>RIGHT($B$5,3)</f>
        <v/>
      </c>
      <c r="R3610" s="10">
        <f>IF(A3610="D",LEFT(UPPER(B3610)&amp;REPT(" ",20),20),REPT(" ",20))</f>
        <v/>
      </c>
      <c r="S3610" s="10">
        <f>IF(A3610="D",LEFT(UPPER(C3610)&amp;REPT(" ",10),10)," ")</f>
        <v/>
      </c>
      <c r="T3610" s="10">
        <f>IF(A3610="D",LEFT(UPPER(D3610)&amp;REPT(" ",2),2)," ")</f>
        <v/>
      </c>
      <c r="U3610" s="10">
        <f>IF(A3610="D",LEFT(UPPER(E3610)&amp;REPT(" ",15),15)," ")</f>
        <v/>
      </c>
      <c r="V3610" s="10">
        <f>REPT(" ",24)</f>
        <v/>
      </c>
      <c r="W3610" s="10">
        <f>IF(A3610="c",LEFT(UPPER(B3610)&amp;REPT(" ",20),20),REPT(" ",20))</f>
        <v/>
      </c>
      <c r="X3610" s="10">
        <f>IF(A3610="C",LEFT(UPPER(C3610)&amp;REPT(" ",10),10)," ")</f>
        <v/>
      </c>
      <c r="Y3610" s="10">
        <f>IF(A3610="C",LEFT(UPPER(D3610)&amp;REPT(" ",2),2)," ")</f>
        <v/>
      </c>
      <c r="Z3610" s="10">
        <f>IF(A3610="C",LEFT(UPPER(E3610)&amp;REPT(" ",15),15)," ")</f>
        <v/>
      </c>
      <c r="AA3610" s="10">
        <f>REPT(" ",8)</f>
        <v/>
      </c>
      <c r="AB3610" s="10">
        <f>REPT(" ",4)</f>
        <v/>
      </c>
      <c r="AC3610" s="10">
        <f>LEFT(UPPER(H3610)&amp;REPT(" ",250),250)</f>
        <v/>
      </c>
      <c r="AD3610" s="10">
        <f>TEXT($G$2,"dd/mm/aaaa")</f>
        <v/>
      </c>
      <c r="AE3610" s="10">
        <f>REPT(" ",10)</f>
        <v/>
      </c>
      <c r="AF3610" s="10">
        <f>REPT(" ",20)</f>
        <v/>
      </c>
      <c r="AG3610" s="54">
        <f>REPT(" ",18-LEN(FIXED(F3610,2,TRUE)))&amp;FIXED(F3610,2,TRUE)</f>
        <v/>
      </c>
      <c r="AH3610" s="10">
        <f>LEN(AC3610)+LEN(AG3610)</f>
        <v/>
      </c>
      <c r="AI3610" s="10">
        <f>LEN(L3610)</f>
        <v/>
      </c>
    </row>
    <row r="3611">
      <c r="J3611" s="12">
        <f>IF(F3611&lt;&gt;0,"LANÇAR","")</f>
        <v/>
      </c>
      <c r="L3611" s="13">
        <f>N3611&amp;O3611&amp;P3611&amp;Q3611&amp;R3611&amp;S3611&amp;T3611&amp;U3611&amp;V3611&amp;W3611&amp;X3611&amp;Y3611&amp;Z3611&amp;AA3611&amp;AB3611&amp;AC3611&amp;AD3611&amp;AE3611&amp;AF3611&amp;AG3611</f>
        <v/>
      </c>
      <c r="N3611" s="10">
        <f>TEXT($B$6,"00")</f>
        <v/>
      </c>
      <c r="O3611" s="10">
        <f>REPT(" ",8)</f>
        <v/>
      </c>
      <c r="P3611" s="10">
        <f>RIGHT($B$4,2)</f>
        <v/>
      </c>
      <c r="Q3611" s="10">
        <f>RIGHT($B$5,3)</f>
        <v/>
      </c>
      <c r="R3611" s="10">
        <f>IF(A3611="D",LEFT(UPPER(B3611)&amp;REPT(" ",20),20),REPT(" ",20))</f>
        <v/>
      </c>
      <c r="S3611" s="10">
        <f>IF(A3611="D",LEFT(UPPER(C3611)&amp;REPT(" ",10),10)," ")</f>
        <v/>
      </c>
      <c r="T3611" s="10">
        <f>IF(A3611="D",LEFT(UPPER(D3611)&amp;REPT(" ",2),2)," ")</f>
        <v/>
      </c>
      <c r="U3611" s="10">
        <f>IF(A3611="D",LEFT(UPPER(E3611)&amp;REPT(" ",15),15)," ")</f>
        <v/>
      </c>
      <c r="V3611" s="10">
        <f>REPT(" ",24)</f>
        <v/>
      </c>
      <c r="W3611" s="10">
        <f>IF(A3611="c",LEFT(UPPER(B3611)&amp;REPT(" ",20),20),REPT(" ",20))</f>
        <v/>
      </c>
      <c r="X3611" s="10">
        <f>IF(A3611="C",LEFT(UPPER(C3611)&amp;REPT(" ",10),10)," ")</f>
        <v/>
      </c>
      <c r="Y3611" s="10">
        <f>IF(A3611="C",LEFT(UPPER(D3611)&amp;REPT(" ",2),2)," ")</f>
        <v/>
      </c>
      <c r="Z3611" s="10">
        <f>IF(A3611="C",LEFT(UPPER(E3611)&amp;REPT(" ",15),15)," ")</f>
        <v/>
      </c>
      <c r="AA3611" s="10">
        <f>REPT(" ",8)</f>
        <v/>
      </c>
      <c r="AB3611" s="10">
        <f>REPT(" ",4)</f>
        <v/>
      </c>
      <c r="AC3611" s="10">
        <f>LEFT(UPPER(H3611)&amp;REPT(" ",250),250)</f>
        <v/>
      </c>
      <c r="AD3611" s="10">
        <f>TEXT($G$2,"dd/mm/aaaa")</f>
        <v/>
      </c>
      <c r="AE3611" s="10">
        <f>REPT(" ",10)</f>
        <v/>
      </c>
      <c r="AF3611" s="10">
        <f>REPT(" ",20)</f>
        <v/>
      </c>
      <c r="AG3611" s="54">
        <f>REPT(" ",18-LEN(FIXED(F3611,2,TRUE)))&amp;FIXED(F3611,2,TRUE)</f>
        <v/>
      </c>
      <c r="AH3611" s="10">
        <f>LEN(AC3611)+LEN(AG3611)</f>
        <v/>
      </c>
      <c r="AI3611" s="10">
        <f>LEN(L3611)</f>
        <v/>
      </c>
    </row>
    <row r="3612">
      <c r="J3612" s="12">
        <f>IF(F3612&lt;&gt;0,"LANÇAR","")</f>
        <v/>
      </c>
      <c r="L3612" s="13">
        <f>N3612&amp;O3612&amp;P3612&amp;Q3612&amp;R3612&amp;S3612&amp;T3612&amp;U3612&amp;V3612&amp;W3612&amp;X3612&amp;Y3612&amp;Z3612&amp;AA3612&amp;AB3612&amp;AC3612&amp;AD3612&amp;AE3612&amp;AF3612&amp;AG3612</f>
        <v/>
      </c>
      <c r="N3612" s="10">
        <f>TEXT($B$6,"00")</f>
        <v/>
      </c>
      <c r="O3612" s="10">
        <f>REPT(" ",8)</f>
        <v/>
      </c>
      <c r="P3612" s="10">
        <f>RIGHT($B$4,2)</f>
        <v/>
      </c>
      <c r="Q3612" s="10">
        <f>RIGHT($B$5,3)</f>
        <v/>
      </c>
      <c r="R3612" s="10">
        <f>IF(A3612="D",LEFT(UPPER(B3612)&amp;REPT(" ",20),20),REPT(" ",20))</f>
        <v/>
      </c>
      <c r="S3612" s="10">
        <f>IF(A3612="D",LEFT(UPPER(C3612)&amp;REPT(" ",10),10)," ")</f>
        <v/>
      </c>
      <c r="T3612" s="10">
        <f>IF(A3612="D",LEFT(UPPER(D3612)&amp;REPT(" ",2),2)," ")</f>
        <v/>
      </c>
      <c r="U3612" s="10">
        <f>IF(A3612="D",LEFT(UPPER(E3612)&amp;REPT(" ",15),15)," ")</f>
        <v/>
      </c>
      <c r="V3612" s="10">
        <f>REPT(" ",24)</f>
        <v/>
      </c>
      <c r="W3612" s="10">
        <f>IF(A3612="c",LEFT(UPPER(B3612)&amp;REPT(" ",20),20),REPT(" ",20))</f>
        <v/>
      </c>
      <c r="X3612" s="10">
        <f>IF(A3612="C",LEFT(UPPER(C3612)&amp;REPT(" ",10),10)," ")</f>
        <v/>
      </c>
      <c r="Y3612" s="10">
        <f>IF(A3612="C",LEFT(UPPER(D3612)&amp;REPT(" ",2),2)," ")</f>
        <v/>
      </c>
      <c r="Z3612" s="10">
        <f>IF(A3612="C",LEFT(UPPER(E3612)&amp;REPT(" ",15),15)," ")</f>
        <v/>
      </c>
      <c r="AA3612" s="10">
        <f>REPT(" ",8)</f>
        <v/>
      </c>
      <c r="AB3612" s="10">
        <f>REPT(" ",4)</f>
        <v/>
      </c>
      <c r="AC3612" s="10">
        <f>LEFT(UPPER(H3612)&amp;REPT(" ",250),250)</f>
        <v/>
      </c>
      <c r="AD3612" s="10">
        <f>TEXT($G$2,"dd/mm/aaaa")</f>
        <v/>
      </c>
      <c r="AE3612" s="10">
        <f>REPT(" ",10)</f>
        <v/>
      </c>
      <c r="AF3612" s="10">
        <f>REPT(" ",20)</f>
        <v/>
      </c>
      <c r="AG3612" s="54">
        <f>REPT(" ",18-LEN(FIXED(F3612,2,TRUE)))&amp;FIXED(F3612,2,TRUE)</f>
        <v/>
      </c>
      <c r="AH3612" s="10">
        <f>LEN(AC3612)+LEN(AG3612)</f>
        <v/>
      </c>
      <c r="AI3612" s="10">
        <f>LEN(L3612)</f>
        <v/>
      </c>
    </row>
    <row r="3613">
      <c r="J3613" s="12">
        <f>IF(F3613&lt;&gt;0,"LANÇAR","")</f>
        <v/>
      </c>
      <c r="L3613" s="13">
        <f>N3613&amp;O3613&amp;P3613&amp;Q3613&amp;R3613&amp;S3613&amp;T3613&amp;U3613&amp;V3613&amp;W3613&amp;X3613&amp;Y3613&amp;Z3613&amp;AA3613&amp;AB3613&amp;AC3613&amp;AD3613&amp;AE3613&amp;AF3613&amp;AG3613</f>
        <v/>
      </c>
      <c r="N3613" s="10">
        <f>TEXT($B$6,"00")</f>
        <v/>
      </c>
      <c r="O3613" s="10">
        <f>REPT(" ",8)</f>
        <v/>
      </c>
      <c r="P3613" s="10">
        <f>RIGHT($B$4,2)</f>
        <v/>
      </c>
      <c r="Q3613" s="10">
        <f>RIGHT($B$5,3)</f>
        <v/>
      </c>
      <c r="R3613" s="10">
        <f>IF(A3613="D",LEFT(UPPER(B3613)&amp;REPT(" ",20),20),REPT(" ",20))</f>
        <v/>
      </c>
      <c r="S3613" s="10">
        <f>IF(A3613="D",LEFT(UPPER(C3613)&amp;REPT(" ",10),10)," ")</f>
        <v/>
      </c>
      <c r="T3613" s="10">
        <f>IF(A3613="D",LEFT(UPPER(D3613)&amp;REPT(" ",2),2)," ")</f>
        <v/>
      </c>
      <c r="U3613" s="10">
        <f>IF(A3613="D",LEFT(UPPER(E3613)&amp;REPT(" ",15),15)," ")</f>
        <v/>
      </c>
      <c r="V3613" s="10">
        <f>REPT(" ",24)</f>
        <v/>
      </c>
      <c r="W3613" s="10">
        <f>IF(A3613="c",LEFT(UPPER(B3613)&amp;REPT(" ",20),20),REPT(" ",20))</f>
        <v/>
      </c>
      <c r="X3613" s="10">
        <f>IF(A3613="C",LEFT(UPPER(C3613)&amp;REPT(" ",10),10)," ")</f>
        <v/>
      </c>
      <c r="Y3613" s="10">
        <f>IF(A3613="C",LEFT(UPPER(D3613)&amp;REPT(" ",2),2)," ")</f>
        <v/>
      </c>
      <c r="Z3613" s="10">
        <f>IF(A3613="C",LEFT(UPPER(E3613)&amp;REPT(" ",15),15)," ")</f>
        <v/>
      </c>
      <c r="AA3613" s="10">
        <f>REPT(" ",8)</f>
        <v/>
      </c>
      <c r="AB3613" s="10">
        <f>REPT(" ",4)</f>
        <v/>
      </c>
      <c r="AC3613" s="10">
        <f>LEFT(UPPER(H3613)&amp;REPT(" ",250),250)</f>
        <v/>
      </c>
      <c r="AD3613" s="10">
        <f>TEXT($G$2,"dd/mm/aaaa")</f>
        <v/>
      </c>
      <c r="AE3613" s="10">
        <f>REPT(" ",10)</f>
        <v/>
      </c>
      <c r="AF3613" s="10">
        <f>REPT(" ",20)</f>
        <v/>
      </c>
      <c r="AG3613" s="54">
        <f>REPT(" ",18-LEN(FIXED(F3613,2,TRUE)))&amp;FIXED(F3613,2,TRUE)</f>
        <v/>
      </c>
      <c r="AH3613" s="10">
        <f>LEN(AC3613)+LEN(AG3613)</f>
        <v/>
      </c>
      <c r="AI3613" s="10">
        <f>LEN(L3613)</f>
        <v/>
      </c>
    </row>
    <row r="3614">
      <c r="J3614" s="12">
        <f>IF(F3614&lt;&gt;0,"LANÇAR","")</f>
        <v/>
      </c>
      <c r="L3614" s="13">
        <f>N3614&amp;O3614&amp;P3614&amp;Q3614&amp;R3614&amp;S3614&amp;T3614&amp;U3614&amp;V3614&amp;W3614&amp;X3614&amp;Y3614&amp;Z3614&amp;AA3614&amp;AB3614&amp;AC3614&amp;AD3614&amp;AE3614&amp;AF3614&amp;AG3614</f>
        <v/>
      </c>
      <c r="N3614" s="10">
        <f>TEXT($B$6,"00")</f>
        <v/>
      </c>
      <c r="O3614" s="10">
        <f>REPT(" ",8)</f>
        <v/>
      </c>
      <c r="P3614" s="10">
        <f>RIGHT($B$4,2)</f>
        <v/>
      </c>
      <c r="Q3614" s="10">
        <f>RIGHT($B$5,3)</f>
        <v/>
      </c>
      <c r="R3614" s="10">
        <f>IF(A3614="D",LEFT(UPPER(B3614)&amp;REPT(" ",20),20),REPT(" ",20))</f>
        <v/>
      </c>
      <c r="S3614" s="10">
        <f>IF(A3614="D",LEFT(UPPER(C3614)&amp;REPT(" ",10),10)," ")</f>
        <v/>
      </c>
      <c r="T3614" s="10">
        <f>IF(A3614="D",LEFT(UPPER(D3614)&amp;REPT(" ",2),2)," ")</f>
        <v/>
      </c>
      <c r="U3614" s="10">
        <f>IF(A3614="D",LEFT(UPPER(E3614)&amp;REPT(" ",15),15)," ")</f>
        <v/>
      </c>
      <c r="V3614" s="10">
        <f>REPT(" ",24)</f>
        <v/>
      </c>
      <c r="W3614" s="10">
        <f>IF(A3614="c",LEFT(UPPER(B3614)&amp;REPT(" ",20),20),REPT(" ",20))</f>
        <v/>
      </c>
      <c r="X3614" s="10">
        <f>IF(A3614="C",LEFT(UPPER(C3614)&amp;REPT(" ",10),10)," ")</f>
        <v/>
      </c>
      <c r="Y3614" s="10">
        <f>IF(A3614="C",LEFT(UPPER(D3614)&amp;REPT(" ",2),2)," ")</f>
        <v/>
      </c>
      <c r="Z3614" s="10">
        <f>IF(A3614="C",LEFT(UPPER(E3614)&amp;REPT(" ",15),15)," ")</f>
        <v/>
      </c>
      <c r="AA3614" s="10">
        <f>REPT(" ",8)</f>
        <v/>
      </c>
      <c r="AB3614" s="10">
        <f>REPT(" ",4)</f>
        <v/>
      </c>
      <c r="AC3614" s="10">
        <f>LEFT(UPPER(H3614)&amp;REPT(" ",250),250)</f>
        <v/>
      </c>
      <c r="AD3614" s="10">
        <f>TEXT($G$2,"dd/mm/aaaa")</f>
        <v/>
      </c>
      <c r="AE3614" s="10">
        <f>REPT(" ",10)</f>
        <v/>
      </c>
      <c r="AF3614" s="10">
        <f>REPT(" ",20)</f>
        <v/>
      </c>
      <c r="AG3614" s="54">
        <f>REPT(" ",18-LEN(FIXED(F3614,2,TRUE)))&amp;FIXED(F3614,2,TRUE)</f>
        <v/>
      </c>
      <c r="AH3614" s="10">
        <f>LEN(AC3614)+LEN(AG3614)</f>
        <v/>
      </c>
      <c r="AI3614" s="10">
        <f>LEN(L3614)</f>
        <v/>
      </c>
    </row>
    <row r="3615">
      <c r="J3615" s="12">
        <f>IF(F3615&lt;&gt;0,"LANÇAR","")</f>
        <v/>
      </c>
      <c r="L3615" s="13">
        <f>N3615&amp;O3615&amp;P3615&amp;Q3615&amp;R3615&amp;S3615&amp;T3615&amp;U3615&amp;V3615&amp;W3615&amp;X3615&amp;Y3615&amp;Z3615&amp;AA3615&amp;AB3615&amp;AC3615&amp;AD3615&amp;AE3615&amp;AF3615&amp;AG3615</f>
        <v/>
      </c>
      <c r="N3615" s="10">
        <f>TEXT($B$6,"00")</f>
        <v/>
      </c>
      <c r="O3615" s="10">
        <f>REPT(" ",8)</f>
        <v/>
      </c>
      <c r="P3615" s="10">
        <f>RIGHT($B$4,2)</f>
        <v/>
      </c>
      <c r="Q3615" s="10">
        <f>RIGHT($B$5,3)</f>
        <v/>
      </c>
      <c r="R3615" s="10">
        <f>IF(A3615="D",LEFT(UPPER(B3615)&amp;REPT(" ",20),20),REPT(" ",20))</f>
        <v/>
      </c>
      <c r="S3615" s="10">
        <f>IF(A3615="D",LEFT(UPPER(C3615)&amp;REPT(" ",10),10)," ")</f>
        <v/>
      </c>
      <c r="T3615" s="10">
        <f>IF(A3615="D",LEFT(UPPER(D3615)&amp;REPT(" ",2),2)," ")</f>
        <v/>
      </c>
      <c r="U3615" s="10">
        <f>IF(A3615="D",LEFT(UPPER(E3615)&amp;REPT(" ",15),15)," ")</f>
        <v/>
      </c>
      <c r="V3615" s="10">
        <f>REPT(" ",24)</f>
        <v/>
      </c>
      <c r="W3615" s="10">
        <f>IF(A3615="c",LEFT(UPPER(B3615)&amp;REPT(" ",20),20),REPT(" ",20))</f>
        <v/>
      </c>
      <c r="X3615" s="10">
        <f>IF(A3615="C",LEFT(UPPER(C3615)&amp;REPT(" ",10),10)," ")</f>
        <v/>
      </c>
      <c r="Y3615" s="10">
        <f>IF(A3615="C",LEFT(UPPER(D3615)&amp;REPT(" ",2),2)," ")</f>
        <v/>
      </c>
      <c r="Z3615" s="10">
        <f>IF(A3615="C",LEFT(UPPER(E3615)&amp;REPT(" ",15),15)," ")</f>
        <v/>
      </c>
      <c r="AA3615" s="10">
        <f>REPT(" ",8)</f>
        <v/>
      </c>
      <c r="AB3615" s="10">
        <f>REPT(" ",4)</f>
        <v/>
      </c>
      <c r="AC3615" s="10">
        <f>LEFT(UPPER(H3615)&amp;REPT(" ",250),250)</f>
        <v/>
      </c>
      <c r="AD3615" s="10">
        <f>TEXT($G$2,"dd/mm/aaaa")</f>
        <v/>
      </c>
      <c r="AE3615" s="10">
        <f>REPT(" ",10)</f>
        <v/>
      </c>
      <c r="AF3615" s="10">
        <f>REPT(" ",20)</f>
        <v/>
      </c>
      <c r="AG3615" s="54">
        <f>REPT(" ",18-LEN(FIXED(F3615,2,TRUE)))&amp;FIXED(F3615,2,TRUE)</f>
        <v/>
      </c>
      <c r="AH3615" s="10">
        <f>LEN(AC3615)+LEN(AG3615)</f>
        <v/>
      </c>
      <c r="AI3615" s="10">
        <f>LEN(L3615)</f>
        <v/>
      </c>
    </row>
    <row r="3616">
      <c r="J3616" s="12">
        <f>IF(F3616&lt;&gt;0,"LANÇAR","")</f>
        <v/>
      </c>
      <c r="L3616" s="13">
        <f>N3616&amp;O3616&amp;P3616&amp;Q3616&amp;R3616&amp;S3616&amp;T3616&amp;U3616&amp;V3616&amp;W3616&amp;X3616&amp;Y3616&amp;Z3616&amp;AA3616&amp;AB3616&amp;AC3616&amp;AD3616&amp;AE3616&amp;AF3616&amp;AG3616</f>
        <v/>
      </c>
      <c r="N3616" s="10">
        <f>TEXT($B$6,"00")</f>
        <v/>
      </c>
      <c r="O3616" s="10">
        <f>REPT(" ",8)</f>
        <v/>
      </c>
      <c r="P3616" s="10">
        <f>RIGHT($B$4,2)</f>
        <v/>
      </c>
      <c r="Q3616" s="10">
        <f>RIGHT($B$5,3)</f>
        <v/>
      </c>
      <c r="R3616" s="10">
        <f>IF(A3616="D",LEFT(UPPER(B3616)&amp;REPT(" ",20),20),REPT(" ",20))</f>
        <v/>
      </c>
      <c r="S3616" s="10">
        <f>IF(A3616="D",LEFT(UPPER(C3616)&amp;REPT(" ",10),10)," ")</f>
        <v/>
      </c>
      <c r="T3616" s="10">
        <f>IF(A3616="D",LEFT(UPPER(D3616)&amp;REPT(" ",2),2)," ")</f>
        <v/>
      </c>
      <c r="U3616" s="10">
        <f>IF(A3616="D",LEFT(UPPER(E3616)&amp;REPT(" ",15),15)," ")</f>
        <v/>
      </c>
      <c r="V3616" s="10">
        <f>REPT(" ",24)</f>
        <v/>
      </c>
      <c r="W3616" s="10">
        <f>IF(A3616="c",LEFT(UPPER(B3616)&amp;REPT(" ",20),20),REPT(" ",20))</f>
        <v/>
      </c>
      <c r="X3616" s="10">
        <f>IF(A3616="C",LEFT(UPPER(C3616)&amp;REPT(" ",10),10)," ")</f>
        <v/>
      </c>
      <c r="Y3616" s="10">
        <f>IF(A3616="C",LEFT(UPPER(D3616)&amp;REPT(" ",2),2)," ")</f>
        <v/>
      </c>
      <c r="Z3616" s="10">
        <f>IF(A3616="C",LEFT(UPPER(E3616)&amp;REPT(" ",15),15)," ")</f>
        <v/>
      </c>
      <c r="AA3616" s="10">
        <f>REPT(" ",8)</f>
        <v/>
      </c>
      <c r="AB3616" s="10">
        <f>REPT(" ",4)</f>
        <v/>
      </c>
      <c r="AC3616" s="10">
        <f>LEFT(UPPER(H3616)&amp;REPT(" ",250),250)</f>
        <v/>
      </c>
      <c r="AD3616" s="10">
        <f>TEXT($G$2,"dd/mm/aaaa")</f>
        <v/>
      </c>
      <c r="AE3616" s="10">
        <f>REPT(" ",10)</f>
        <v/>
      </c>
      <c r="AF3616" s="10">
        <f>REPT(" ",20)</f>
        <v/>
      </c>
      <c r="AG3616" s="54">
        <f>REPT(" ",18-LEN(FIXED(F3616,2,TRUE)))&amp;FIXED(F3616,2,TRUE)</f>
        <v/>
      </c>
      <c r="AH3616" s="10">
        <f>LEN(AC3616)+LEN(AG3616)</f>
        <v/>
      </c>
      <c r="AI3616" s="10">
        <f>LEN(L3616)</f>
        <v/>
      </c>
    </row>
    <row r="3617">
      <c r="J3617" s="12">
        <f>IF(F3617&lt;&gt;0,"LANÇAR","")</f>
        <v/>
      </c>
      <c r="L3617" s="13">
        <f>N3617&amp;O3617&amp;P3617&amp;Q3617&amp;R3617&amp;S3617&amp;T3617&amp;U3617&amp;V3617&amp;W3617&amp;X3617&amp;Y3617&amp;Z3617&amp;AA3617&amp;AB3617&amp;AC3617&amp;AD3617&amp;AE3617&amp;AF3617&amp;AG3617</f>
        <v/>
      </c>
      <c r="N3617" s="10">
        <f>TEXT($B$6,"00")</f>
        <v/>
      </c>
      <c r="O3617" s="10">
        <f>REPT(" ",8)</f>
        <v/>
      </c>
      <c r="P3617" s="10">
        <f>RIGHT($B$4,2)</f>
        <v/>
      </c>
      <c r="Q3617" s="10">
        <f>RIGHT($B$5,3)</f>
        <v/>
      </c>
      <c r="R3617" s="10">
        <f>IF(A3617="D",LEFT(UPPER(B3617)&amp;REPT(" ",20),20),REPT(" ",20))</f>
        <v/>
      </c>
      <c r="S3617" s="10">
        <f>IF(A3617="D",LEFT(UPPER(C3617)&amp;REPT(" ",10),10)," ")</f>
        <v/>
      </c>
      <c r="T3617" s="10">
        <f>IF(A3617="D",LEFT(UPPER(D3617)&amp;REPT(" ",2),2)," ")</f>
        <v/>
      </c>
      <c r="U3617" s="10">
        <f>IF(A3617="D",LEFT(UPPER(E3617)&amp;REPT(" ",15),15)," ")</f>
        <v/>
      </c>
      <c r="V3617" s="10">
        <f>REPT(" ",24)</f>
        <v/>
      </c>
      <c r="W3617" s="10">
        <f>IF(A3617="c",LEFT(UPPER(B3617)&amp;REPT(" ",20),20),REPT(" ",20))</f>
        <v/>
      </c>
      <c r="X3617" s="10">
        <f>IF(A3617="C",LEFT(UPPER(C3617)&amp;REPT(" ",10),10)," ")</f>
        <v/>
      </c>
      <c r="Y3617" s="10">
        <f>IF(A3617="C",LEFT(UPPER(D3617)&amp;REPT(" ",2),2)," ")</f>
        <v/>
      </c>
      <c r="Z3617" s="10">
        <f>IF(A3617="C",LEFT(UPPER(E3617)&amp;REPT(" ",15),15)," ")</f>
        <v/>
      </c>
      <c r="AA3617" s="10">
        <f>REPT(" ",8)</f>
        <v/>
      </c>
      <c r="AB3617" s="10">
        <f>REPT(" ",4)</f>
        <v/>
      </c>
      <c r="AC3617" s="10">
        <f>LEFT(UPPER(H3617)&amp;REPT(" ",250),250)</f>
        <v/>
      </c>
      <c r="AD3617" s="10">
        <f>TEXT($G$2,"dd/mm/aaaa")</f>
        <v/>
      </c>
      <c r="AE3617" s="10">
        <f>REPT(" ",10)</f>
        <v/>
      </c>
      <c r="AF3617" s="10">
        <f>REPT(" ",20)</f>
        <v/>
      </c>
      <c r="AG3617" s="54">
        <f>REPT(" ",18-LEN(FIXED(F3617,2,TRUE)))&amp;FIXED(F3617,2,TRUE)</f>
        <v/>
      </c>
      <c r="AH3617" s="10">
        <f>LEN(AC3617)+LEN(AG3617)</f>
        <v/>
      </c>
      <c r="AI3617" s="10">
        <f>LEN(L3617)</f>
        <v/>
      </c>
    </row>
    <row r="3618">
      <c r="J3618" s="12">
        <f>IF(F3618&lt;&gt;0,"LANÇAR","")</f>
        <v/>
      </c>
      <c r="L3618" s="13">
        <f>N3618&amp;O3618&amp;P3618&amp;Q3618&amp;R3618&amp;S3618&amp;T3618&amp;U3618&amp;V3618&amp;W3618&amp;X3618&amp;Y3618&amp;Z3618&amp;AA3618&amp;AB3618&amp;AC3618&amp;AD3618&amp;AE3618&amp;AF3618&amp;AG3618</f>
        <v/>
      </c>
      <c r="N3618" s="10">
        <f>TEXT($B$6,"00")</f>
        <v/>
      </c>
      <c r="O3618" s="10">
        <f>REPT(" ",8)</f>
        <v/>
      </c>
      <c r="P3618" s="10">
        <f>RIGHT($B$4,2)</f>
        <v/>
      </c>
      <c r="Q3618" s="10">
        <f>RIGHT($B$5,3)</f>
        <v/>
      </c>
      <c r="R3618" s="10">
        <f>IF(A3618="D",LEFT(UPPER(B3618)&amp;REPT(" ",20),20),REPT(" ",20))</f>
        <v/>
      </c>
      <c r="S3618" s="10">
        <f>IF(A3618="D",LEFT(UPPER(C3618)&amp;REPT(" ",10),10)," ")</f>
        <v/>
      </c>
      <c r="T3618" s="10">
        <f>IF(A3618="D",LEFT(UPPER(D3618)&amp;REPT(" ",2),2)," ")</f>
        <v/>
      </c>
      <c r="U3618" s="10">
        <f>IF(A3618="D",LEFT(UPPER(E3618)&amp;REPT(" ",15),15)," ")</f>
        <v/>
      </c>
      <c r="V3618" s="10">
        <f>REPT(" ",24)</f>
        <v/>
      </c>
      <c r="W3618" s="10">
        <f>IF(A3618="c",LEFT(UPPER(B3618)&amp;REPT(" ",20),20),REPT(" ",20))</f>
        <v/>
      </c>
      <c r="X3618" s="10">
        <f>IF(A3618="C",LEFT(UPPER(C3618)&amp;REPT(" ",10),10)," ")</f>
        <v/>
      </c>
      <c r="Y3618" s="10">
        <f>IF(A3618="C",LEFT(UPPER(D3618)&amp;REPT(" ",2),2)," ")</f>
        <v/>
      </c>
      <c r="Z3618" s="10">
        <f>IF(A3618="C",LEFT(UPPER(E3618)&amp;REPT(" ",15),15)," ")</f>
        <v/>
      </c>
      <c r="AA3618" s="10">
        <f>REPT(" ",8)</f>
        <v/>
      </c>
      <c r="AB3618" s="10">
        <f>REPT(" ",4)</f>
        <v/>
      </c>
      <c r="AC3618" s="10">
        <f>LEFT(UPPER(H3618)&amp;REPT(" ",250),250)</f>
        <v/>
      </c>
      <c r="AD3618" s="10">
        <f>TEXT($G$2,"dd/mm/aaaa")</f>
        <v/>
      </c>
      <c r="AE3618" s="10">
        <f>REPT(" ",10)</f>
        <v/>
      </c>
      <c r="AF3618" s="10">
        <f>REPT(" ",20)</f>
        <v/>
      </c>
      <c r="AG3618" s="54">
        <f>REPT(" ",18-LEN(FIXED(F3618,2,TRUE)))&amp;FIXED(F3618,2,TRUE)</f>
        <v/>
      </c>
      <c r="AH3618" s="10">
        <f>LEN(AC3618)+LEN(AG3618)</f>
        <v/>
      </c>
      <c r="AI3618" s="10">
        <f>LEN(L3618)</f>
        <v/>
      </c>
    </row>
    <row r="3619">
      <c r="J3619" s="12">
        <f>IF(F3619&lt;&gt;0,"LANÇAR","")</f>
        <v/>
      </c>
      <c r="L3619" s="13">
        <f>N3619&amp;O3619&amp;P3619&amp;Q3619&amp;R3619&amp;S3619&amp;T3619&amp;U3619&amp;V3619&amp;W3619&amp;X3619&amp;Y3619&amp;Z3619&amp;AA3619&amp;AB3619&amp;AC3619&amp;AD3619&amp;AE3619&amp;AF3619&amp;AG3619</f>
        <v/>
      </c>
      <c r="N3619" s="10">
        <f>TEXT($B$6,"00")</f>
        <v/>
      </c>
      <c r="O3619" s="10">
        <f>REPT(" ",8)</f>
        <v/>
      </c>
      <c r="P3619" s="10">
        <f>RIGHT($B$4,2)</f>
        <v/>
      </c>
      <c r="Q3619" s="10">
        <f>RIGHT($B$5,3)</f>
        <v/>
      </c>
      <c r="R3619" s="10">
        <f>IF(A3619="D",LEFT(UPPER(B3619)&amp;REPT(" ",20),20),REPT(" ",20))</f>
        <v/>
      </c>
      <c r="S3619" s="10">
        <f>IF(A3619="D",LEFT(UPPER(C3619)&amp;REPT(" ",10),10)," ")</f>
        <v/>
      </c>
      <c r="T3619" s="10">
        <f>IF(A3619="D",LEFT(UPPER(D3619)&amp;REPT(" ",2),2)," ")</f>
        <v/>
      </c>
      <c r="U3619" s="10">
        <f>IF(A3619="D",LEFT(UPPER(E3619)&amp;REPT(" ",15),15)," ")</f>
        <v/>
      </c>
      <c r="V3619" s="10">
        <f>REPT(" ",24)</f>
        <v/>
      </c>
      <c r="W3619" s="10">
        <f>IF(A3619="c",LEFT(UPPER(B3619)&amp;REPT(" ",20),20),REPT(" ",20))</f>
        <v/>
      </c>
      <c r="X3619" s="10">
        <f>IF(A3619="C",LEFT(UPPER(C3619)&amp;REPT(" ",10),10)," ")</f>
        <v/>
      </c>
      <c r="Y3619" s="10">
        <f>IF(A3619="C",LEFT(UPPER(D3619)&amp;REPT(" ",2),2)," ")</f>
        <v/>
      </c>
      <c r="Z3619" s="10">
        <f>IF(A3619="C",LEFT(UPPER(E3619)&amp;REPT(" ",15),15)," ")</f>
        <v/>
      </c>
      <c r="AA3619" s="10">
        <f>REPT(" ",8)</f>
        <v/>
      </c>
      <c r="AB3619" s="10">
        <f>REPT(" ",4)</f>
        <v/>
      </c>
      <c r="AC3619" s="10">
        <f>LEFT(UPPER(H3619)&amp;REPT(" ",250),250)</f>
        <v/>
      </c>
      <c r="AD3619" s="10">
        <f>TEXT($G$2,"dd/mm/aaaa")</f>
        <v/>
      </c>
      <c r="AE3619" s="10">
        <f>REPT(" ",10)</f>
        <v/>
      </c>
      <c r="AF3619" s="10">
        <f>REPT(" ",20)</f>
        <v/>
      </c>
      <c r="AG3619" s="54">
        <f>REPT(" ",18-LEN(FIXED(F3619,2,TRUE)))&amp;FIXED(F3619,2,TRUE)</f>
        <v/>
      </c>
      <c r="AH3619" s="10">
        <f>LEN(AC3619)+LEN(AG3619)</f>
        <v/>
      </c>
      <c r="AI3619" s="10">
        <f>LEN(L3619)</f>
        <v/>
      </c>
    </row>
    <row r="3620">
      <c r="J3620" s="12">
        <f>IF(F3620&lt;&gt;0,"LANÇAR","")</f>
        <v/>
      </c>
      <c r="L3620" s="13">
        <f>N3620&amp;O3620&amp;P3620&amp;Q3620&amp;R3620&amp;S3620&amp;T3620&amp;U3620&amp;V3620&amp;W3620&amp;X3620&amp;Y3620&amp;Z3620&amp;AA3620&amp;AB3620&amp;AC3620&amp;AD3620&amp;AE3620&amp;AF3620&amp;AG3620</f>
        <v/>
      </c>
      <c r="N3620" s="10">
        <f>TEXT($B$6,"00")</f>
        <v/>
      </c>
      <c r="O3620" s="10">
        <f>REPT(" ",8)</f>
        <v/>
      </c>
      <c r="P3620" s="10">
        <f>RIGHT($B$4,2)</f>
        <v/>
      </c>
      <c r="Q3620" s="10">
        <f>RIGHT($B$5,3)</f>
        <v/>
      </c>
      <c r="R3620" s="10">
        <f>IF(A3620="D",LEFT(UPPER(B3620)&amp;REPT(" ",20),20),REPT(" ",20))</f>
        <v/>
      </c>
      <c r="S3620" s="10">
        <f>IF(A3620="D",LEFT(UPPER(C3620)&amp;REPT(" ",10),10)," ")</f>
        <v/>
      </c>
      <c r="T3620" s="10">
        <f>IF(A3620="D",LEFT(UPPER(D3620)&amp;REPT(" ",2),2)," ")</f>
        <v/>
      </c>
      <c r="U3620" s="10">
        <f>IF(A3620="D",LEFT(UPPER(E3620)&amp;REPT(" ",15),15)," ")</f>
        <v/>
      </c>
      <c r="V3620" s="10">
        <f>REPT(" ",24)</f>
        <v/>
      </c>
      <c r="W3620" s="10">
        <f>IF(A3620="c",LEFT(UPPER(B3620)&amp;REPT(" ",20),20),REPT(" ",20))</f>
        <v/>
      </c>
      <c r="X3620" s="10">
        <f>IF(A3620="C",LEFT(UPPER(C3620)&amp;REPT(" ",10),10)," ")</f>
        <v/>
      </c>
      <c r="Y3620" s="10">
        <f>IF(A3620="C",LEFT(UPPER(D3620)&amp;REPT(" ",2),2)," ")</f>
        <v/>
      </c>
      <c r="Z3620" s="10">
        <f>IF(A3620="C",LEFT(UPPER(E3620)&amp;REPT(" ",15),15)," ")</f>
        <v/>
      </c>
      <c r="AA3620" s="10">
        <f>REPT(" ",8)</f>
        <v/>
      </c>
      <c r="AB3620" s="10">
        <f>REPT(" ",4)</f>
        <v/>
      </c>
      <c r="AC3620" s="10">
        <f>LEFT(UPPER(H3620)&amp;REPT(" ",250),250)</f>
        <v/>
      </c>
      <c r="AD3620" s="10">
        <f>TEXT($G$2,"dd/mm/aaaa")</f>
        <v/>
      </c>
      <c r="AE3620" s="10">
        <f>REPT(" ",10)</f>
        <v/>
      </c>
      <c r="AF3620" s="10">
        <f>REPT(" ",20)</f>
        <v/>
      </c>
      <c r="AG3620" s="54">
        <f>REPT(" ",18-LEN(FIXED(F3620,2,TRUE)))&amp;FIXED(F3620,2,TRUE)</f>
        <v/>
      </c>
      <c r="AH3620" s="10">
        <f>LEN(AC3620)+LEN(AG3620)</f>
        <v/>
      </c>
      <c r="AI3620" s="10">
        <f>LEN(L3620)</f>
        <v/>
      </c>
    </row>
    <row r="3621">
      <c r="J3621" s="12">
        <f>IF(F3621&lt;&gt;0,"LANÇAR","")</f>
        <v/>
      </c>
      <c r="L3621" s="13">
        <f>N3621&amp;O3621&amp;P3621&amp;Q3621&amp;R3621&amp;S3621&amp;T3621&amp;U3621&amp;V3621&amp;W3621&amp;X3621&amp;Y3621&amp;Z3621&amp;AA3621&amp;AB3621&amp;AC3621&amp;AD3621&amp;AE3621&amp;AF3621&amp;AG3621</f>
        <v/>
      </c>
      <c r="N3621" s="10">
        <f>TEXT($B$6,"00")</f>
        <v/>
      </c>
      <c r="O3621" s="10">
        <f>REPT(" ",8)</f>
        <v/>
      </c>
      <c r="P3621" s="10">
        <f>RIGHT($B$4,2)</f>
        <v/>
      </c>
      <c r="Q3621" s="10">
        <f>RIGHT($B$5,3)</f>
        <v/>
      </c>
      <c r="R3621" s="10">
        <f>IF(A3621="D",LEFT(UPPER(B3621)&amp;REPT(" ",20),20),REPT(" ",20))</f>
        <v/>
      </c>
      <c r="S3621" s="10">
        <f>IF(A3621="D",LEFT(UPPER(C3621)&amp;REPT(" ",10),10)," ")</f>
        <v/>
      </c>
      <c r="T3621" s="10">
        <f>IF(A3621="D",LEFT(UPPER(D3621)&amp;REPT(" ",2),2)," ")</f>
        <v/>
      </c>
      <c r="U3621" s="10">
        <f>IF(A3621="D",LEFT(UPPER(E3621)&amp;REPT(" ",15),15)," ")</f>
        <v/>
      </c>
      <c r="V3621" s="10">
        <f>REPT(" ",24)</f>
        <v/>
      </c>
      <c r="W3621" s="10">
        <f>IF(A3621="c",LEFT(UPPER(B3621)&amp;REPT(" ",20),20),REPT(" ",20))</f>
        <v/>
      </c>
      <c r="X3621" s="10">
        <f>IF(A3621="C",LEFT(UPPER(C3621)&amp;REPT(" ",10),10)," ")</f>
        <v/>
      </c>
      <c r="Y3621" s="10">
        <f>IF(A3621="C",LEFT(UPPER(D3621)&amp;REPT(" ",2),2)," ")</f>
        <v/>
      </c>
      <c r="Z3621" s="10">
        <f>IF(A3621="C",LEFT(UPPER(E3621)&amp;REPT(" ",15),15)," ")</f>
        <v/>
      </c>
      <c r="AA3621" s="10">
        <f>REPT(" ",8)</f>
        <v/>
      </c>
      <c r="AB3621" s="10">
        <f>REPT(" ",4)</f>
        <v/>
      </c>
      <c r="AC3621" s="10">
        <f>LEFT(UPPER(H3621)&amp;REPT(" ",250),250)</f>
        <v/>
      </c>
      <c r="AD3621" s="10">
        <f>TEXT($G$2,"dd/mm/aaaa")</f>
        <v/>
      </c>
      <c r="AE3621" s="10">
        <f>REPT(" ",10)</f>
        <v/>
      </c>
      <c r="AF3621" s="10">
        <f>REPT(" ",20)</f>
        <v/>
      </c>
      <c r="AG3621" s="54">
        <f>REPT(" ",18-LEN(FIXED(F3621,2,TRUE)))&amp;FIXED(F3621,2,TRUE)</f>
        <v/>
      </c>
      <c r="AH3621" s="10">
        <f>LEN(AC3621)+LEN(AG3621)</f>
        <v/>
      </c>
      <c r="AI3621" s="10">
        <f>LEN(L3621)</f>
        <v/>
      </c>
    </row>
    <row r="3622">
      <c r="J3622" s="12">
        <f>IF(F3622&lt;&gt;0,"LANÇAR","")</f>
        <v/>
      </c>
      <c r="L3622" s="13">
        <f>N3622&amp;O3622&amp;P3622&amp;Q3622&amp;R3622&amp;S3622&amp;T3622&amp;U3622&amp;V3622&amp;W3622&amp;X3622&amp;Y3622&amp;Z3622&amp;AA3622&amp;AB3622&amp;AC3622&amp;AD3622&amp;AE3622&amp;AF3622&amp;AG3622</f>
        <v/>
      </c>
      <c r="N3622" s="10">
        <f>TEXT($B$6,"00")</f>
        <v/>
      </c>
      <c r="O3622" s="10">
        <f>REPT(" ",8)</f>
        <v/>
      </c>
      <c r="P3622" s="10">
        <f>RIGHT($B$4,2)</f>
        <v/>
      </c>
      <c r="Q3622" s="10">
        <f>RIGHT($B$5,3)</f>
        <v/>
      </c>
      <c r="R3622" s="10">
        <f>IF(A3622="D",LEFT(UPPER(B3622)&amp;REPT(" ",20),20),REPT(" ",20))</f>
        <v/>
      </c>
      <c r="S3622" s="10">
        <f>IF(A3622="D",LEFT(UPPER(C3622)&amp;REPT(" ",10),10)," ")</f>
        <v/>
      </c>
      <c r="T3622" s="10">
        <f>IF(A3622="D",LEFT(UPPER(D3622)&amp;REPT(" ",2),2)," ")</f>
        <v/>
      </c>
      <c r="U3622" s="10">
        <f>IF(A3622="D",LEFT(UPPER(E3622)&amp;REPT(" ",15),15)," ")</f>
        <v/>
      </c>
      <c r="V3622" s="10">
        <f>REPT(" ",24)</f>
        <v/>
      </c>
      <c r="W3622" s="10">
        <f>IF(A3622="c",LEFT(UPPER(B3622)&amp;REPT(" ",20),20),REPT(" ",20))</f>
        <v/>
      </c>
      <c r="X3622" s="10">
        <f>IF(A3622="C",LEFT(UPPER(C3622)&amp;REPT(" ",10),10)," ")</f>
        <v/>
      </c>
      <c r="Y3622" s="10">
        <f>IF(A3622="C",LEFT(UPPER(D3622)&amp;REPT(" ",2),2)," ")</f>
        <v/>
      </c>
      <c r="Z3622" s="10">
        <f>IF(A3622="C",LEFT(UPPER(E3622)&amp;REPT(" ",15),15)," ")</f>
        <v/>
      </c>
      <c r="AA3622" s="10">
        <f>REPT(" ",8)</f>
        <v/>
      </c>
      <c r="AB3622" s="10">
        <f>REPT(" ",4)</f>
        <v/>
      </c>
      <c r="AC3622" s="10">
        <f>LEFT(UPPER(H3622)&amp;REPT(" ",250),250)</f>
        <v/>
      </c>
      <c r="AD3622" s="10">
        <f>TEXT($G$2,"dd/mm/aaaa")</f>
        <v/>
      </c>
      <c r="AE3622" s="10">
        <f>REPT(" ",10)</f>
        <v/>
      </c>
      <c r="AF3622" s="10">
        <f>REPT(" ",20)</f>
        <v/>
      </c>
      <c r="AG3622" s="54">
        <f>REPT(" ",18-LEN(FIXED(F3622,2,TRUE)))&amp;FIXED(F3622,2,TRUE)</f>
        <v/>
      </c>
      <c r="AH3622" s="10">
        <f>LEN(AC3622)+LEN(AG3622)</f>
        <v/>
      </c>
      <c r="AI3622" s="10">
        <f>LEN(L3622)</f>
        <v/>
      </c>
    </row>
    <row r="3623">
      <c r="J3623" s="12">
        <f>IF(F3623&lt;&gt;0,"LANÇAR","")</f>
        <v/>
      </c>
      <c r="L3623" s="13">
        <f>N3623&amp;O3623&amp;P3623&amp;Q3623&amp;R3623&amp;S3623&amp;T3623&amp;U3623&amp;V3623&amp;W3623&amp;X3623&amp;Y3623&amp;Z3623&amp;AA3623&amp;AB3623&amp;AC3623&amp;AD3623&amp;AE3623&amp;AF3623&amp;AG3623</f>
        <v/>
      </c>
      <c r="N3623" s="10">
        <f>TEXT($B$6,"00")</f>
        <v/>
      </c>
      <c r="O3623" s="10">
        <f>REPT(" ",8)</f>
        <v/>
      </c>
      <c r="P3623" s="10">
        <f>RIGHT($B$4,2)</f>
        <v/>
      </c>
      <c r="Q3623" s="10">
        <f>RIGHT($B$5,3)</f>
        <v/>
      </c>
      <c r="R3623" s="10">
        <f>IF(A3623="D",LEFT(UPPER(B3623)&amp;REPT(" ",20),20),REPT(" ",20))</f>
        <v/>
      </c>
      <c r="S3623" s="10">
        <f>IF(A3623="D",LEFT(UPPER(C3623)&amp;REPT(" ",10),10)," ")</f>
        <v/>
      </c>
      <c r="T3623" s="10">
        <f>IF(A3623="D",LEFT(UPPER(D3623)&amp;REPT(" ",2),2)," ")</f>
        <v/>
      </c>
      <c r="U3623" s="10">
        <f>IF(A3623="D",LEFT(UPPER(E3623)&amp;REPT(" ",15),15)," ")</f>
        <v/>
      </c>
      <c r="V3623" s="10">
        <f>REPT(" ",24)</f>
        <v/>
      </c>
      <c r="W3623" s="10">
        <f>IF(A3623="c",LEFT(UPPER(B3623)&amp;REPT(" ",20),20),REPT(" ",20))</f>
        <v/>
      </c>
      <c r="X3623" s="10">
        <f>IF(A3623="C",LEFT(UPPER(C3623)&amp;REPT(" ",10),10)," ")</f>
        <v/>
      </c>
      <c r="Y3623" s="10">
        <f>IF(A3623="C",LEFT(UPPER(D3623)&amp;REPT(" ",2),2)," ")</f>
        <v/>
      </c>
      <c r="Z3623" s="10">
        <f>IF(A3623="C",LEFT(UPPER(E3623)&amp;REPT(" ",15),15)," ")</f>
        <v/>
      </c>
      <c r="AA3623" s="10">
        <f>REPT(" ",8)</f>
        <v/>
      </c>
      <c r="AB3623" s="10">
        <f>REPT(" ",4)</f>
        <v/>
      </c>
      <c r="AC3623" s="10">
        <f>LEFT(UPPER(H3623)&amp;REPT(" ",250),250)</f>
        <v/>
      </c>
      <c r="AD3623" s="10">
        <f>TEXT($G$2,"dd/mm/aaaa")</f>
        <v/>
      </c>
      <c r="AE3623" s="10">
        <f>REPT(" ",10)</f>
        <v/>
      </c>
      <c r="AF3623" s="10">
        <f>REPT(" ",20)</f>
        <v/>
      </c>
      <c r="AG3623" s="54">
        <f>REPT(" ",18-LEN(FIXED(F3623,2,TRUE)))&amp;FIXED(F3623,2,TRUE)</f>
        <v/>
      </c>
      <c r="AH3623" s="10">
        <f>LEN(AC3623)+LEN(AG3623)</f>
        <v/>
      </c>
      <c r="AI3623" s="10">
        <f>LEN(L3623)</f>
        <v/>
      </c>
    </row>
    <row r="3624">
      <c r="J3624" s="12">
        <f>IF(F3624&lt;&gt;0,"LANÇAR","")</f>
        <v/>
      </c>
      <c r="L3624" s="13">
        <f>N3624&amp;O3624&amp;P3624&amp;Q3624&amp;R3624&amp;S3624&amp;T3624&amp;U3624&amp;V3624&amp;W3624&amp;X3624&amp;Y3624&amp;Z3624&amp;AA3624&amp;AB3624&amp;AC3624&amp;AD3624&amp;AE3624&amp;AF3624&amp;AG3624</f>
        <v/>
      </c>
      <c r="N3624" s="10">
        <f>TEXT($B$6,"00")</f>
        <v/>
      </c>
      <c r="O3624" s="10">
        <f>REPT(" ",8)</f>
        <v/>
      </c>
      <c r="P3624" s="10">
        <f>RIGHT($B$4,2)</f>
        <v/>
      </c>
      <c r="Q3624" s="10">
        <f>RIGHT($B$5,3)</f>
        <v/>
      </c>
      <c r="R3624" s="10">
        <f>IF(A3624="D",LEFT(UPPER(B3624)&amp;REPT(" ",20),20),REPT(" ",20))</f>
        <v/>
      </c>
      <c r="S3624" s="10">
        <f>IF(A3624="D",LEFT(UPPER(C3624)&amp;REPT(" ",10),10)," ")</f>
        <v/>
      </c>
      <c r="T3624" s="10">
        <f>IF(A3624="D",LEFT(UPPER(D3624)&amp;REPT(" ",2),2)," ")</f>
        <v/>
      </c>
      <c r="U3624" s="10">
        <f>IF(A3624="D",LEFT(UPPER(E3624)&amp;REPT(" ",15),15)," ")</f>
        <v/>
      </c>
      <c r="V3624" s="10">
        <f>REPT(" ",24)</f>
        <v/>
      </c>
      <c r="W3624" s="10">
        <f>IF(A3624="c",LEFT(UPPER(B3624)&amp;REPT(" ",20),20),REPT(" ",20))</f>
        <v/>
      </c>
      <c r="X3624" s="10">
        <f>IF(A3624="C",LEFT(UPPER(C3624)&amp;REPT(" ",10),10)," ")</f>
        <v/>
      </c>
      <c r="Y3624" s="10">
        <f>IF(A3624="C",LEFT(UPPER(D3624)&amp;REPT(" ",2),2)," ")</f>
        <v/>
      </c>
      <c r="Z3624" s="10">
        <f>IF(A3624="C",LEFT(UPPER(E3624)&amp;REPT(" ",15),15)," ")</f>
        <v/>
      </c>
      <c r="AA3624" s="10">
        <f>REPT(" ",8)</f>
        <v/>
      </c>
      <c r="AB3624" s="10">
        <f>REPT(" ",4)</f>
        <v/>
      </c>
      <c r="AC3624" s="10">
        <f>LEFT(UPPER(H3624)&amp;REPT(" ",250),250)</f>
        <v/>
      </c>
      <c r="AD3624" s="10">
        <f>TEXT($G$2,"dd/mm/aaaa")</f>
        <v/>
      </c>
      <c r="AE3624" s="10">
        <f>REPT(" ",10)</f>
        <v/>
      </c>
      <c r="AF3624" s="10">
        <f>REPT(" ",20)</f>
        <v/>
      </c>
      <c r="AG3624" s="54">
        <f>REPT(" ",18-LEN(FIXED(F3624,2,TRUE)))&amp;FIXED(F3624,2,TRUE)</f>
        <v/>
      </c>
      <c r="AH3624" s="10">
        <f>LEN(AC3624)+LEN(AG3624)</f>
        <v/>
      </c>
      <c r="AI3624" s="10">
        <f>LEN(L3624)</f>
        <v/>
      </c>
    </row>
    <row r="3625">
      <c r="J3625" s="12">
        <f>IF(F3625&lt;&gt;0,"LANÇAR","")</f>
        <v/>
      </c>
      <c r="L3625" s="13">
        <f>N3625&amp;O3625&amp;P3625&amp;Q3625&amp;R3625&amp;S3625&amp;T3625&amp;U3625&amp;V3625&amp;W3625&amp;X3625&amp;Y3625&amp;Z3625&amp;AA3625&amp;AB3625&amp;AC3625&amp;AD3625&amp;AE3625&amp;AF3625&amp;AG3625</f>
        <v/>
      </c>
      <c r="N3625" s="10">
        <f>TEXT($B$6,"00")</f>
        <v/>
      </c>
      <c r="O3625" s="10">
        <f>REPT(" ",8)</f>
        <v/>
      </c>
      <c r="P3625" s="10">
        <f>RIGHT($B$4,2)</f>
        <v/>
      </c>
      <c r="Q3625" s="10">
        <f>RIGHT($B$5,3)</f>
        <v/>
      </c>
      <c r="R3625" s="10">
        <f>IF(A3625="D",LEFT(UPPER(B3625)&amp;REPT(" ",20),20),REPT(" ",20))</f>
        <v/>
      </c>
      <c r="S3625" s="10">
        <f>IF(A3625="D",LEFT(UPPER(C3625)&amp;REPT(" ",10),10)," ")</f>
        <v/>
      </c>
      <c r="T3625" s="10">
        <f>IF(A3625="D",LEFT(UPPER(D3625)&amp;REPT(" ",2),2)," ")</f>
        <v/>
      </c>
      <c r="U3625" s="10">
        <f>IF(A3625="D",LEFT(UPPER(E3625)&amp;REPT(" ",15),15)," ")</f>
        <v/>
      </c>
      <c r="V3625" s="10">
        <f>REPT(" ",24)</f>
        <v/>
      </c>
      <c r="W3625" s="10">
        <f>IF(A3625="c",LEFT(UPPER(B3625)&amp;REPT(" ",20),20),REPT(" ",20))</f>
        <v/>
      </c>
      <c r="X3625" s="10">
        <f>IF(A3625="C",LEFT(UPPER(C3625)&amp;REPT(" ",10),10)," ")</f>
        <v/>
      </c>
      <c r="Y3625" s="10">
        <f>IF(A3625="C",LEFT(UPPER(D3625)&amp;REPT(" ",2),2)," ")</f>
        <v/>
      </c>
      <c r="Z3625" s="10">
        <f>IF(A3625="C",LEFT(UPPER(E3625)&amp;REPT(" ",15),15)," ")</f>
        <v/>
      </c>
      <c r="AA3625" s="10">
        <f>REPT(" ",8)</f>
        <v/>
      </c>
      <c r="AB3625" s="10">
        <f>REPT(" ",4)</f>
        <v/>
      </c>
      <c r="AC3625" s="10">
        <f>LEFT(UPPER(H3625)&amp;REPT(" ",250),250)</f>
        <v/>
      </c>
      <c r="AD3625" s="10">
        <f>TEXT($G$2,"dd/mm/aaaa")</f>
        <v/>
      </c>
      <c r="AE3625" s="10">
        <f>REPT(" ",10)</f>
        <v/>
      </c>
      <c r="AF3625" s="10">
        <f>REPT(" ",20)</f>
        <v/>
      </c>
      <c r="AG3625" s="54">
        <f>REPT(" ",18-LEN(FIXED(F3625,2,TRUE)))&amp;FIXED(F3625,2,TRUE)</f>
        <v/>
      </c>
      <c r="AH3625" s="10">
        <f>LEN(AC3625)+LEN(AG3625)</f>
        <v/>
      </c>
      <c r="AI3625" s="10">
        <f>LEN(L3625)</f>
        <v/>
      </c>
    </row>
    <row r="3626">
      <c r="J3626" s="12">
        <f>IF(F3626&lt;&gt;0,"LANÇAR","")</f>
        <v/>
      </c>
      <c r="L3626" s="13">
        <f>N3626&amp;O3626&amp;P3626&amp;Q3626&amp;R3626&amp;S3626&amp;T3626&amp;U3626&amp;V3626&amp;W3626&amp;X3626&amp;Y3626&amp;Z3626&amp;AA3626&amp;AB3626&amp;AC3626&amp;AD3626&amp;AE3626&amp;AF3626&amp;AG3626</f>
        <v/>
      </c>
      <c r="N3626" s="10">
        <f>TEXT($B$6,"00")</f>
        <v/>
      </c>
      <c r="O3626" s="10">
        <f>REPT(" ",8)</f>
        <v/>
      </c>
      <c r="P3626" s="10">
        <f>RIGHT($B$4,2)</f>
        <v/>
      </c>
      <c r="Q3626" s="10">
        <f>RIGHT($B$5,3)</f>
        <v/>
      </c>
      <c r="R3626" s="10">
        <f>IF(A3626="D",LEFT(UPPER(B3626)&amp;REPT(" ",20),20),REPT(" ",20))</f>
        <v/>
      </c>
      <c r="S3626" s="10">
        <f>IF(A3626="D",LEFT(UPPER(C3626)&amp;REPT(" ",10),10)," ")</f>
        <v/>
      </c>
      <c r="T3626" s="10">
        <f>IF(A3626="D",LEFT(UPPER(D3626)&amp;REPT(" ",2),2)," ")</f>
        <v/>
      </c>
      <c r="U3626" s="10">
        <f>IF(A3626="D",LEFT(UPPER(E3626)&amp;REPT(" ",15),15)," ")</f>
        <v/>
      </c>
      <c r="V3626" s="10">
        <f>REPT(" ",24)</f>
        <v/>
      </c>
      <c r="W3626" s="10">
        <f>IF(A3626="c",LEFT(UPPER(B3626)&amp;REPT(" ",20),20),REPT(" ",20))</f>
        <v/>
      </c>
      <c r="X3626" s="10">
        <f>IF(A3626="C",LEFT(UPPER(C3626)&amp;REPT(" ",10),10)," ")</f>
        <v/>
      </c>
      <c r="Y3626" s="10">
        <f>IF(A3626="C",LEFT(UPPER(D3626)&amp;REPT(" ",2),2)," ")</f>
        <v/>
      </c>
      <c r="Z3626" s="10">
        <f>IF(A3626="C",LEFT(UPPER(E3626)&amp;REPT(" ",15),15)," ")</f>
        <v/>
      </c>
      <c r="AA3626" s="10">
        <f>REPT(" ",8)</f>
        <v/>
      </c>
      <c r="AB3626" s="10">
        <f>REPT(" ",4)</f>
        <v/>
      </c>
      <c r="AC3626" s="10">
        <f>LEFT(UPPER(H3626)&amp;REPT(" ",250),250)</f>
        <v/>
      </c>
      <c r="AD3626" s="10">
        <f>TEXT($G$2,"dd/mm/aaaa")</f>
        <v/>
      </c>
      <c r="AE3626" s="10">
        <f>REPT(" ",10)</f>
        <v/>
      </c>
      <c r="AF3626" s="10">
        <f>REPT(" ",20)</f>
        <v/>
      </c>
      <c r="AG3626" s="54">
        <f>REPT(" ",18-LEN(FIXED(F3626,2,TRUE)))&amp;FIXED(F3626,2,TRUE)</f>
        <v/>
      </c>
      <c r="AH3626" s="10">
        <f>LEN(AC3626)+LEN(AG3626)</f>
        <v/>
      </c>
      <c r="AI3626" s="10">
        <f>LEN(L3626)</f>
        <v/>
      </c>
    </row>
    <row r="3627">
      <c r="J3627" s="12">
        <f>IF(F3627&lt;&gt;0,"LANÇAR","")</f>
        <v/>
      </c>
      <c r="L3627" s="13">
        <f>N3627&amp;O3627&amp;P3627&amp;Q3627&amp;R3627&amp;S3627&amp;T3627&amp;U3627&amp;V3627&amp;W3627&amp;X3627&amp;Y3627&amp;Z3627&amp;AA3627&amp;AB3627&amp;AC3627&amp;AD3627&amp;AE3627&amp;AF3627&amp;AG3627</f>
        <v/>
      </c>
      <c r="N3627" s="10">
        <f>TEXT($B$6,"00")</f>
        <v/>
      </c>
      <c r="O3627" s="10">
        <f>REPT(" ",8)</f>
        <v/>
      </c>
      <c r="P3627" s="10">
        <f>RIGHT($B$4,2)</f>
        <v/>
      </c>
      <c r="Q3627" s="10">
        <f>RIGHT($B$5,3)</f>
        <v/>
      </c>
      <c r="R3627" s="10">
        <f>IF(A3627="D",LEFT(UPPER(B3627)&amp;REPT(" ",20),20),REPT(" ",20))</f>
        <v/>
      </c>
      <c r="S3627" s="10">
        <f>IF(A3627="D",LEFT(UPPER(C3627)&amp;REPT(" ",10),10)," ")</f>
        <v/>
      </c>
      <c r="T3627" s="10">
        <f>IF(A3627="D",LEFT(UPPER(D3627)&amp;REPT(" ",2),2)," ")</f>
        <v/>
      </c>
      <c r="U3627" s="10">
        <f>IF(A3627="D",LEFT(UPPER(E3627)&amp;REPT(" ",15),15)," ")</f>
        <v/>
      </c>
      <c r="V3627" s="10">
        <f>REPT(" ",24)</f>
        <v/>
      </c>
      <c r="W3627" s="10">
        <f>IF(A3627="c",LEFT(UPPER(B3627)&amp;REPT(" ",20),20),REPT(" ",20))</f>
        <v/>
      </c>
      <c r="X3627" s="10">
        <f>IF(A3627="C",LEFT(UPPER(C3627)&amp;REPT(" ",10),10)," ")</f>
        <v/>
      </c>
      <c r="Y3627" s="10">
        <f>IF(A3627="C",LEFT(UPPER(D3627)&amp;REPT(" ",2),2)," ")</f>
        <v/>
      </c>
      <c r="Z3627" s="10">
        <f>IF(A3627="C",LEFT(UPPER(E3627)&amp;REPT(" ",15),15)," ")</f>
        <v/>
      </c>
      <c r="AA3627" s="10">
        <f>REPT(" ",8)</f>
        <v/>
      </c>
      <c r="AB3627" s="10">
        <f>REPT(" ",4)</f>
        <v/>
      </c>
      <c r="AC3627" s="10">
        <f>LEFT(UPPER(H3627)&amp;REPT(" ",250),250)</f>
        <v/>
      </c>
      <c r="AD3627" s="10">
        <f>TEXT($G$2,"dd/mm/aaaa")</f>
        <v/>
      </c>
      <c r="AE3627" s="10">
        <f>REPT(" ",10)</f>
        <v/>
      </c>
      <c r="AF3627" s="10">
        <f>REPT(" ",20)</f>
        <v/>
      </c>
      <c r="AG3627" s="54">
        <f>REPT(" ",18-LEN(FIXED(F3627,2,TRUE)))&amp;FIXED(F3627,2,TRUE)</f>
        <v/>
      </c>
      <c r="AH3627" s="10">
        <f>LEN(AC3627)+LEN(AG3627)</f>
        <v/>
      </c>
      <c r="AI3627" s="10">
        <f>LEN(L3627)</f>
        <v/>
      </c>
    </row>
    <row r="3628">
      <c r="J3628" s="12">
        <f>IF(F3628&lt;&gt;0,"LANÇAR","")</f>
        <v/>
      </c>
      <c r="L3628" s="13">
        <f>N3628&amp;O3628&amp;P3628&amp;Q3628&amp;R3628&amp;S3628&amp;T3628&amp;U3628&amp;V3628&amp;W3628&amp;X3628&amp;Y3628&amp;Z3628&amp;AA3628&amp;AB3628&amp;AC3628&amp;AD3628&amp;AE3628&amp;AF3628&amp;AG3628</f>
        <v/>
      </c>
      <c r="N3628" s="10">
        <f>TEXT($B$6,"00")</f>
        <v/>
      </c>
      <c r="O3628" s="10">
        <f>REPT(" ",8)</f>
        <v/>
      </c>
      <c r="P3628" s="10">
        <f>RIGHT($B$4,2)</f>
        <v/>
      </c>
      <c r="Q3628" s="10">
        <f>RIGHT($B$5,3)</f>
        <v/>
      </c>
      <c r="R3628" s="10">
        <f>IF(A3628="D",LEFT(UPPER(B3628)&amp;REPT(" ",20),20),REPT(" ",20))</f>
        <v/>
      </c>
      <c r="S3628" s="10">
        <f>IF(A3628="D",LEFT(UPPER(C3628)&amp;REPT(" ",10),10)," ")</f>
        <v/>
      </c>
      <c r="T3628" s="10">
        <f>IF(A3628="D",LEFT(UPPER(D3628)&amp;REPT(" ",2),2)," ")</f>
        <v/>
      </c>
      <c r="U3628" s="10">
        <f>IF(A3628="D",LEFT(UPPER(E3628)&amp;REPT(" ",15),15)," ")</f>
        <v/>
      </c>
      <c r="V3628" s="10">
        <f>REPT(" ",24)</f>
        <v/>
      </c>
      <c r="W3628" s="10">
        <f>IF(A3628="c",LEFT(UPPER(B3628)&amp;REPT(" ",20),20),REPT(" ",20))</f>
        <v/>
      </c>
      <c r="X3628" s="10">
        <f>IF(A3628="C",LEFT(UPPER(C3628)&amp;REPT(" ",10),10)," ")</f>
        <v/>
      </c>
      <c r="Y3628" s="10">
        <f>IF(A3628="C",LEFT(UPPER(D3628)&amp;REPT(" ",2),2)," ")</f>
        <v/>
      </c>
      <c r="Z3628" s="10">
        <f>IF(A3628="C",LEFT(UPPER(E3628)&amp;REPT(" ",15),15)," ")</f>
        <v/>
      </c>
      <c r="AA3628" s="10">
        <f>REPT(" ",8)</f>
        <v/>
      </c>
      <c r="AB3628" s="10">
        <f>REPT(" ",4)</f>
        <v/>
      </c>
      <c r="AC3628" s="10">
        <f>LEFT(UPPER(H3628)&amp;REPT(" ",250),250)</f>
        <v/>
      </c>
      <c r="AD3628" s="10">
        <f>TEXT($G$2,"dd/mm/aaaa")</f>
        <v/>
      </c>
      <c r="AE3628" s="10">
        <f>REPT(" ",10)</f>
        <v/>
      </c>
      <c r="AF3628" s="10">
        <f>REPT(" ",20)</f>
        <v/>
      </c>
      <c r="AG3628" s="54">
        <f>REPT(" ",18-LEN(FIXED(F3628,2,TRUE)))&amp;FIXED(F3628,2,TRUE)</f>
        <v/>
      </c>
      <c r="AH3628" s="10">
        <f>LEN(AC3628)+LEN(AG3628)</f>
        <v/>
      </c>
      <c r="AI3628" s="10">
        <f>LEN(L3628)</f>
        <v/>
      </c>
    </row>
    <row r="3629">
      <c r="J3629" s="12">
        <f>IF(F3629&lt;&gt;0,"LANÇAR","")</f>
        <v/>
      </c>
      <c r="L3629" s="13">
        <f>N3629&amp;O3629&amp;P3629&amp;Q3629&amp;R3629&amp;S3629&amp;T3629&amp;U3629&amp;V3629&amp;W3629&amp;X3629&amp;Y3629&amp;Z3629&amp;AA3629&amp;AB3629&amp;AC3629&amp;AD3629&amp;AE3629&amp;AF3629&amp;AG3629</f>
        <v/>
      </c>
      <c r="N3629" s="10">
        <f>TEXT($B$6,"00")</f>
        <v/>
      </c>
      <c r="O3629" s="10">
        <f>REPT(" ",8)</f>
        <v/>
      </c>
      <c r="P3629" s="10">
        <f>RIGHT($B$4,2)</f>
        <v/>
      </c>
      <c r="Q3629" s="10">
        <f>RIGHT($B$5,3)</f>
        <v/>
      </c>
      <c r="R3629" s="10">
        <f>IF(A3629="D",LEFT(UPPER(B3629)&amp;REPT(" ",20),20),REPT(" ",20))</f>
        <v/>
      </c>
      <c r="S3629" s="10">
        <f>IF(A3629="D",LEFT(UPPER(C3629)&amp;REPT(" ",10),10)," ")</f>
        <v/>
      </c>
      <c r="T3629" s="10">
        <f>IF(A3629="D",LEFT(UPPER(D3629)&amp;REPT(" ",2),2)," ")</f>
        <v/>
      </c>
      <c r="U3629" s="10">
        <f>IF(A3629="D",LEFT(UPPER(E3629)&amp;REPT(" ",15),15)," ")</f>
        <v/>
      </c>
      <c r="V3629" s="10">
        <f>REPT(" ",24)</f>
        <v/>
      </c>
      <c r="W3629" s="10">
        <f>IF(A3629="c",LEFT(UPPER(B3629)&amp;REPT(" ",20),20),REPT(" ",20))</f>
        <v/>
      </c>
      <c r="X3629" s="10">
        <f>IF(A3629="C",LEFT(UPPER(C3629)&amp;REPT(" ",10),10)," ")</f>
        <v/>
      </c>
      <c r="Y3629" s="10">
        <f>IF(A3629="C",LEFT(UPPER(D3629)&amp;REPT(" ",2),2)," ")</f>
        <v/>
      </c>
      <c r="Z3629" s="10">
        <f>IF(A3629="C",LEFT(UPPER(E3629)&amp;REPT(" ",15),15)," ")</f>
        <v/>
      </c>
      <c r="AA3629" s="10">
        <f>REPT(" ",8)</f>
        <v/>
      </c>
      <c r="AB3629" s="10">
        <f>REPT(" ",4)</f>
        <v/>
      </c>
      <c r="AC3629" s="10">
        <f>LEFT(UPPER(H3629)&amp;REPT(" ",250),250)</f>
        <v/>
      </c>
      <c r="AD3629" s="10">
        <f>TEXT($G$2,"dd/mm/aaaa")</f>
        <v/>
      </c>
      <c r="AE3629" s="10">
        <f>REPT(" ",10)</f>
        <v/>
      </c>
      <c r="AF3629" s="10">
        <f>REPT(" ",20)</f>
        <v/>
      </c>
      <c r="AG3629" s="54">
        <f>REPT(" ",18-LEN(FIXED(F3629,2,TRUE)))&amp;FIXED(F3629,2,TRUE)</f>
        <v/>
      </c>
      <c r="AH3629" s="10">
        <f>LEN(AC3629)+LEN(AG3629)</f>
        <v/>
      </c>
      <c r="AI3629" s="10">
        <f>LEN(L3629)</f>
        <v/>
      </c>
    </row>
    <row r="3630">
      <c r="J3630" s="12">
        <f>IF(F3630&lt;&gt;0,"LANÇAR","")</f>
        <v/>
      </c>
      <c r="L3630" s="13">
        <f>N3630&amp;O3630&amp;P3630&amp;Q3630&amp;R3630&amp;S3630&amp;T3630&amp;U3630&amp;V3630&amp;W3630&amp;X3630&amp;Y3630&amp;Z3630&amp;AA3630&amp;AB3630&amp;AC3630&amp;AD3630&amp;AE3630&amp;AF3630&amp;AG3630</f>
        <v/>
      </c>
      <c r="N3630" s="10">
        <f>TEXT($B$6,"00")</f>
        <v/>
      </c>
      <c r="O3630" s="10">
        <f>REPT(" ",8)</f>
        <v/>
      </c>
      <c r="P3630" s="10">
        <f>RIGHT($B$4,2)</f>
        <v/>
      </c>
      <c r="Q3630" s="10">
        <f>RIGHT($B$5,3)</f>
        <v/>
      </c>
      <c r="R3630" s="10">
        <f>IF(A3630="D",LEFT(UPPER(B3630)&amp;REPT(" ",20),20),REPT(" ",20))</f>
        <v/>
      </c>
      <c r="S3630" s="10">
        <f>IF(A3630="D",LEFT(UPPER(C3630)&amp;REPT(" ",10),10)," ")</f>
        <v/>
      </c>
      <c r="T3630" s="10">
        <f>IF(A3630="D",LEFT(UPPER(D3630)&amp;REPT(" ",2),2)," ")</f>
        <v/>
      </c>
      <c r="U3630" s="10">
        <f>IF(A3630="D",LEFT(UPPER(E3630)&amp;REPT(" ",15),15)," ")</f>
        <v/>
      </c>
      <c r="V3630" s="10">
        <f>REPT(" ",24)</f>
        <v/>
      </c>
      <c r="W3630" s="10">
        <f>IF(A3630="c",LEFT(UPPER(B3630)&amp;REPT(" ",20),20),REPT(" ",20))</f>
        <v/>
      </c>
      <c r="X3630" s="10">
        <f>IF(A3630="C",LEFT(UPPER(C3630)&amp;REPT(" ",10),10)," ")</f>
        <v/>
      </c>
      <c r="Y3630" s="10">
        <f>IF(A3630="C",LEFT(UPPER(D3630)&amp;REPT(" ",2),2)," ")</f>
        <v/>
      </c>
      <c r="Z3630" s="10">
        <f>IF(A3630="C",LEFT(UPPER(E3630)&amp;REPT(" ",15),15)," ")</f>
        <v/>
      </c>
      <c r="AA3630" s="10">
        <f>REPT(" ",8)</f>
        <v/>
      </c>
      <c r="AB3630" s="10">
        <f>REPT(" ",4)</f>
        <v/>
      </c>
      <c r="AC3630" s="10">
        <f>LEFT(UPPER(H3630)&amp;REPT(" ",250),250)</f>
        <v/>
      </c>
      <c r="AD3630" s="10">
        <f>TEXT($G$2,"dd/mm/aaaa")</f>
        <v/>
      </c>
      <c r="AE3630" s="10">
        <f>REPT(" ",10)</f>
        <v/>
      </c>
      <c r="AF3630" s="10">
        <f>REPT(" ",20)</f>
        <v/>
      </c>
      <c r="AG3630" s="54">
        <f>REPT(" ",18-LEN(FIXED(F3630,2,TRUE)))&amp;FIXED(F3630,2,TRUE)</f>
        <v/>
      </c>
      <c r="AH3630" s="10">
        <f>LEN(AC3630)+LEN(AG3630)</f>
        <v/>
      </c>
      <c r="AI3630" s="10">
        <f>LEN(L3630)</f>
        <v/>
      </c>
    </row>
    <row r="3631">
      <c r="J3631" s="12">
        <f>IF(F3631&lt;&gt;0,"LANÇAR","")</f>
        <v/>
      </c>
      <c r="L3631" s="13">
        <f>N3631&amp;O3631&amp;P3631&amp;Q3631&amp;R3631&amp;S3631&amp;T3631&amp;U3631&amp;V3631&amp;W3631&amp;X3631&amp;Y3631&amp;Z3631&amp;AA3631&amp;AB3631&amp;AC3631&amp;AD3631&amp;AE3631&amp;AF3631&amp;AG3631</f>
        <v/>
      </c>
      <c r="N3631" s="10">
        <f>TEXT($B$6,"00")</f>
        <v/>
      </c>
      <c r="O3631" s="10">
        <f>REPT(" ",8)</f>
        <v/>
      </c>
      <c r="P3631" s="10">
        <f>RIGHT($B$4,2)</f>
        <v/>
      </c>
      <c r="Q3631" s="10">
        <f>RIGHT($B$5,3)</f>
        <v/>
      </c>
      <c r="R3631" s="10">
        <f>IF(A3631="D",LEFT(UPPER(B3631)&amp;REPT(" ",20),20),REPT(" ",20))</f>
        <v/>
      </c>
      <c r="S3631" s="10">
        <f>IF(A3631="D",LEFT(UPPER(C3631)&amp;REPT(" ",10),10)," ")</f>
        <v/>
      </c>
      <c r="T3631" s="10">
        <f>IF(A3631="D",LEFT(UPPER(D3631)&amp;REPT(" ",2),2)," ")</f>
        <v/>
      </c>
      <c r="U3631" s="10">
        <f>IF(A3631="D",LEFT(UPPER(E3631)&amp;REPT(" ",15),15)," ")</f>
        <v/>
      </c>
      <c r="V3631" s="10">
        <f>REPT(" ",24)</f>
        <v/>
      </c>
      <c r="W3631" s="10">
        <f>IF(A3631="c",LEFT(UPPER(B3631)&amp;REPT(" ",20),20),REPT(" ",20))</f>
        <v/>
      </c>
      <c r="X3631" s="10">
        <f>IF(A3631="C",LEFT(UPPER(C3631)&amp;REPT(" ",10),10)," ")</f>
        <v/>
      </c>
      <c r="Y3631" s="10">
        <f>IF(A3631="C",LEFT(UPPER(D3631)&amp;REPT(" ",2),2)," ")</f>
        <v/>
      </c>
      <c r="Z3631" s="10">
        <f>IF(A3631="C",LEFT(UPPER(E3631)&amp;REPT(" ",15),15)," ")</f>
        <v/>
      </c>
      <c r="AA3631" s="10">
        <f>REPT(" ",8)</f>
        <v/>
      </c>
      <c r="AB3631" s="10">
        <f>REPT(" ",4)</f>
        <v/>
      </c>
      <c r="AC3631" s="10">
        <f>LEFT(UPPER(H3631)&amp;REPT(" ",250),250)</f>
        <v/>
      </c>
      <c r="AD3631" s="10">
        <f>TEXT($G$2,"dd/mm/aaaa")</f>
        <v/>
      </c>
      <c r="AE3631" s="10">
        <f>REPT(" ",10)</f>
        <v/>
      </c>
      <c r="AF3631" s="10">
        <f>REPT(" ",20)</f>
        <v/>
      </c>
      <c r="AG3631" s="54">
        <f>REPT(" ",18-LEN(FIXED(F3631,2,TRUE)))&amp;FIXED(F3631,2,TRUE)</f>
        <v/>
      </c>
      <c r="AH3631" s="10">
        <f>LEN(AC3631)+LEN(AG3631)</f>
        <v/>
      </c>
      <c r="AI3631" s="10">
        <f>LEN(L3631)</f>
        <v/>
      </c>
    </row>
    <row r="3632">
      <c r="J3632" s="12">
        <f>IF(F3632&lt;&gt;0,"LANÇAR","")</f>
        <v/>
      </c>
      <c r="L3632" s="13">
        <f>N3632&amp;O3632&amp;P3632&amp;Q3632&amp;R3632&amp;S3632&amp;T3632&amp;U3632&amp;V3632&amp;W3632&amp;X3632&amp;Y3632&amp;Z3632&amp;AA3632&amp;AB3632&amp;AC3632&amp;AD3632&amp;AE3632&amp;AF3632&amp;AG3632</f>
        <v/>
      </c>
      <c r="N3632" s="10">
        <f>TEXT($B$6,"00")</f>
        <v/>
      </c>
      <c r="O3632" s="10">
        <f>REPT(" ",8)</f>
        <v/>
      </c>
      <c r="P3632" s="10">
        <f>RIGHT($B$4,2)</f>
        <v/>
      </c>
      <c r="Q3632" s="10">
        <f>RIGHT($B$5,3)</f>
        <v/>
      </c>
      <c r="R3632" s="10">
        <f>IF(A3632="D",LEFT(UPPER(B3632)&amp;REPT(" ",20),20),REPT(" ",20))</f>
        <v/>
      </c>
      <c r="S3632" s="10">
        <f>IF(A3632="D",LEFT(UPPER(C3632)&amp;REPT(" ",10),10)," ")</f>
        <v/>
      </c>
      <c r="T3632" s="10">
        <f>IF(A3632="D",LEFT(UPPER(D3632)&amp;REPT(" ",2),2)," ")</f>
        <v/>
      </c>
      <c r="U3632" s="10">
        <f>IF(A3632="D",LEFT(UPPER(E3632)&amp;REPT(" ",15),15)," ")</f>
        <v/>
      </c>
      <c r="V3632" s="10">
        <f>REPT(" ",24)</f>
        <v/>
      </c>
      <c r="W3632" s="10">
        <f>IF(A3632="c",LEFT(UPPER(B3632)&amp;REPT(" ",20),20),REPT(" ",20))</f>
        <v/>
      </c>
      <c r="X3632" s="10">
        <f>IF(A3632="C",LEFT(UPPER(C3632)&amp;REPT(" ",10),10)," ")</f>
        <v/>
      </c>
      <c r="Y3632" s="10">
        <f>IF(A3632="C",LEFT(UPPER(D3632)&amp;REPT(" ",2),2)," ")</f>
        <v/>
      </c>
      <c r="Z3632" s="10">
        <f>IF(A3632="C",LEFT(UPPER(E3632)&amp;REPT(" ",15),15)," ")</f>
        <v/>
      </c>
      <c r="AA3632" s="10">
        <f>REPT(" ",8)</f>
        <v/>
      </c>
      <c r="AB3632" s="10">
        <f>REPT(" ",4)</f>
        <v/>
      </c>
      <c r="AC3632" s="10">
        <f>LEFT(UPPER(H3632)&amp;REPT(" ",250),250)</f>
        <v/>
      </c>
      <c r="AD3632" s="10">
        <f>TEXT($G$2,"dd/mm/aaaa")</f>
        <v/>
      </c>
      <c r="AE3632" s="10">
        <f>REPT(" ",10)</f>
        <v/>
      </c>
      <c r="AF3632" s="10">
        <f>REPT(" ",20)</f>
        <v/>
      </c>
      <c r="AG3632" s="54">
        <f>REPT(" ",18-LEN(FIXED(F3632,2,TRUE)))&amp;FIXED(F3632,2,TRUE)</f>
        <v/>
      </c>
      <c r="AH3632" s="10">
        <f>LEN(AC3632)+LEN(AG3632)</f>
        <v/>
      </c>
      <c r="AI3632" s="10">
        <f>LEN(L3632)</f>
        <v/>
      </c>
    </row>
    <row r="3633">
      <c r="J3633" s="12">
        <f>IF(F3633&lt;&gt;0,"LANÇAR","")</f>
        <v/>
      </c>
      <c r="L3633" s="13">
        <f>N3633&amp;O3633&amp;P3633&amp;Q3633&amp;R3633&amp;S3633&amp;T3633&amp;U3633&amp;V3633&amp;W3633&amp;X3633&amp;Y3633&amp;Z3633&amp;AA3633&amp;AB3633&amp;AC3633&amp;AD3633&amp;AE3633&amp;AF3633&amp;AG3633</f>
        <v/>
      </c>
      <c r="N3633" s="10">
        <f>TEXT($B$6,"00")</f>
        <v/>
      </c>
      <c r="O3633" s="10">
        <f>REPT(" ",8)</f>
        <v/>
      </c>
      <c r="P3633" s="10">
        <f>RIGHT($B$4,2)</f>
        <v/>
      </c>
      <c r="Q3633" s="10">
        <f>RIGHT($B$5,3)</f>
        <v/>
      </c>
      <c r="R3633" s="10">
        <f>IF(A3633="D",LEFT(UPPER(B3633)&amp;REPT(" ",20),20),REPT(" ",20))</f>
        <v/>
      </c>
      <c r="S3633" s="10">
        <f>IF(A3633="D",LEFT(UPPER(C3633)&amp;REPT(" ",10),10)," ")</f>
        <v/>
      </c>
      <c r="T3633" s="10">
        <f>IF(A3633="D",LEFT(UPPER(D3633)&amp;REPT(" ",2),2)," ")</f>
        <v/>
      </c>
      <c r="U3633" s="10">
        <f>IF(A3633="D",LEFT(UPPER(E3633)&amp;REPT(" ",15),15)," ")</f>
        <v/>
      </c>
      <c r="V3633" s="10">
        <f>REPT(" ",24)</f>
        <v/>
      </c>
      <c r="W3633" s="10">
        <f>IF(A3633="c",LEFT(UPPER(B3633)&amp;REPT(" ",20),20),REPT(" ",20))</f>
        <v/>
      </c>
      <c r="X3633" s="10">
        <f>IF(A3633="C",LEFT(UPPER(C3633)&amp;REPT(" ",10),10)," ")</f>
        <v/>
      </c>
      <c r="Y3633" s="10">
        <f>IF(A3633="C",LEFT(UPPER(D3633)&amp;REPT(" ",2),2)," ")</f>
        <v/>
      </c>
      <c r="Z3633" s="10">
        <f>IF(A3633="C",LEFT(UPPER(E3633)&amp;REPT(" ",15),15)," ")</f>
        <v/>
      </c>
      <c r="AA3633" s="10">
        <f>REPT(" ",8)</f>
        <v/>
      </c>
      <c r="AB3633" s="10">
        <f>REPT(" ",4)</f>
        <v/>
      </c>
      <c r="AC3633" s="10">
        <f>LEFT(UPPER(H3633)&amp;REPT(" ",250),250)</f>
        <v/>
      </c>
      <c r="AD3633" s="10">
        <f>TEXT($G$2,"dd/mm/aaaa")</f>
        <v/>
      </c>
      <c r="AE3633" s="10">
        <f>REPT(" ",10)</f>
        <v/>
      </c>
      <c r="AF3633" s="10">
        <f>REPT(" ",20)</f>
        <v/>
      </c>
      <c r="AG3633" s="54">
        <f>REPT(" ",18-LEN(FIXED(F3633,2,TRUE)))&amp;FIXED(F3633,2,TRUE)</f>
        <v/>
      </c>
      <c r="AH3633" s="10">
        <f>LEN(AC3633)+LEN(AG3633)</f>
        <v/>
      </c>
      <c r="AI3633" s="10">
        <f>LEN(L3633)</f>
        <v/>
      </c>
    </row>
    <row r="3634">
      <c r="J3634" s="12">
        <f>IF(F3634&lt;&gt;0,"LANÇAR","")</f>
        <v/>
      </c>
      <c r="L3634" s="13">
        <f>N3634&amp;O3634&amp;P3634&amp;Q3634&amp;R3634&amp;S3634&amp;T3634&amp;U3634&amp;V3634&amp;W3634&amp;X3634&amp;Y3634&amp;Z3634&amp;AA3634&amp;AB3634&amp;AC3634&amp;AD3634&amp;AE3634&amp;AF3634&amp;AG3634</f>
        <v/>
      </c>
      <c r="N3634" s="10">
        <f>TEXT($B$6,"00")</f>
        <v/>
      </c>
      <c r="O3634" s="10">
        <f>REPT(" ",8)</f>
        <v/>
      </c>
      <c r="P3634" s="10">
        <f>RIGHT($B$4,2)</f>
        <v/>
      </c>
      <c r="Q3634" s="10">
        <f>RIGHT($B$5,3)</f>
        <v/>
      </c>
      <c r="R3634" s="10">
        <f>IF(A3634="D",LEFT(UPPER(B3634)&amp;REPT(" ",20),20),REPT(" ",20))</f>
        <v/>
      </c>
      <c r="S3634" s="10">
        <f>IF(A3634="D",LEFT(UPPER(C3634)&amp;REPT(" ",10),10)," ")</f>
        <v/>
      </c>
      <c r="T3634" s="10">
        <f>IF(A3634="D",LEFT(UPPER(D3634)&amp;REPT(" ",2),2)," ")</f>
        <v/>
      </c>
      <c r="U3634" s="10">
        <f>IF(A3634="D",LEFT(UPPER(E3634)&amp;REPT(" ",15),15)," ")</f>
        <v/>
      </c>
      <c r="V3634" s="10">
        <f>REPT(" ",24)</f>
        <v/>
      </c>
      <c r="W3634" s="10">
        <f>IF(A3634="c",LEFT(UPPER(B3634)&amp;REPT(" ",20),20),REPT(" ",20))</f>
        <v/>
      </c>
      <c r="X3634" s="10">
        <f>IF(A3634="C",LEFT(UPPER(C3634)&amp;REPT(" ",10),10)," ")</f>
        <v/>
      </c>
      <c r="Y3634" s="10">
        <f>IF(A3634="C",LEFT(UPPER(D3634)&amp;REPT(" ",2),2)," ")</f>
        <v/>
      </c>
      <c r="Z3634" s="10">
        <f>IF(A3634="C",LEFT(UPPER(E3634)&amp;REPT(" ",15),15)," ")</f>
        <v/>
      </c>
      <c r="AA3634" s="10">
        <f>REPT(" ",8)</f>
        <v/>
      </c>
      <c r="AB3634" s="10">
        <f>REPT(" ",4)</f>
        <v/>
      </c>
      <c r="AC3634" s="10">
        <f>LEFT(UPPER(H3634)&amp;REPT(" ",250),250)</f>
        <v/>
      </c>
      <c r="AD3634" s="10">
        <f>TEXT($G$2,"dd/mm/aaaa")</f>
        <v/>
      </c>
      <c r="AE3634" s="10">
        <f>REPT(" ",10)</f>
        <v/>
      </c>
      <c r="AF3634" s="10">
        <f>REPT(" ",20)</f>
        <v/>
      </c>
      <c r="AG3634" s="54">
        <f>REPT(" ",18-LEN(FIXED(F3634,2,TRUE)))&amp;FIXED(F3634,2,TRUE)</f>
        <v/>
      </c>
      <c r="AH3634" s="10">
        <f>LEN(AC3634)+LEN(AG3634)</f>
        <v/>
      </c>
      <c r="AI3634" s="10">
        <f>LEN(L3634)</f>
        <v/>
      </c>
    </row>
    <row r="3635">
      <c r="J3635" s="12">
        <f>IF(F3635&lt;&gt;0,"LANÇAR","")</f>
        <v/>
      </c>
      <c r="L3635" s="13">
        <f>N3635&amp;O3635&amp;P3635&amp;Q3635&amp;R3635&amp;S3635&amp;T3635&amp;U3635&amp;V3635&amp;W3635&amp;X3635&amp;Y3635&amp;Z3635&amp;AA3635&amp;AB3635&amp;AC3635&amp;AD3635&amp;AE3635&amp;AF3635&amp;AG3635</f>
        <v/>
      </c>
      <c r="N3635" s="10">
        <f>TEXT($B$6,"00")</f>
        <v/>
      </c>
      <c r="O3635" s="10">
        <f>REPT(" ",8)</f>
        <v/>
      </c>
      <c r="P3635" s="10">
        <f>RIGHT($B$4,2)</f>
        <v/>
      </c>
      <c r="Q3635" s="10">
        <f>RIGHT($B$5,3)</f>
        <v/>
      </c>
      <c r="R3635" s="10">
        <f>IF(A3635="D",LEFT(UPPER(B3635)&amp;REPT(" ",20),20),REPT(" ",20))</f>
        <v/>
      </c>
      <c r="S3635" s="10">
        <f>IF(A3635="D",LEFT(UPPER(C3635)&amp;REPT(" ",10),10)," ")</f>
        <v/>
      </c>
      <c r="T3635" s="10">
        <f>IF(A3635="D",LEFT(UPPER(D3635)&amp;REPT(" ",2),2)," ")</f>
        <v/>
      </c>
      <c r="U3635" s="10">
        <f>IF(A3635="D",LEFT(UPPER(E3635)&amp;REPT(" ",15),15)," ")</f>
        <v/>
      </c>
      <c r="V3635" s="10">
        <f>REPT(" ",24)</f>
        <v/>
      </c>
      <c r="W3635" s="10">
        <f>IF(A3635="c",LEFT(UPPER(B3635)&amp;REPT(" ",20),20),REPT(" ",20))</f>
        <v/>
      </c>
      <c r="X3635" s="10">
        <f>IF(A3635="C",LEFT(UPPER(C3635)&amp;REPT(" ",10),10)," ")</f>
        <v/>
      </c>
      <c r="Y3635" s="10">
        <f>IF(A3635="C",LEFT(UPPER(D3635)&amp;REPT(" ",2),2)," ")</f>
        <v/>
      </c>
      <c r="Z3635" s="10">
        <f>IF(A3635="C",LEFT(UPPER(E3635)&amp;REPT(" ",15),15)," ")</f>
        <v/>
      </c>
      <c r="AA3635" s="10">
        <f>REPT(" ",8)</f>
        <v/>
      </c>
      <c r="AB3635" s="10">
        <f>REPT(" ",4)</f>
        <v/>
      </c>
      <c r="AC3635" s="10">
        <f>LEFT(UPPER(H3635)&amp;REPT(" ",250),250)</f>
        <v/>
      </c>
      <c r="AD3635" s="10">
        <f>TEXT($G$2,"dd/mm/aaaa")</f>
        <v/>
      </c>
      <c r="AE3635" s="10">
        <f>REPT(" ",10)</f>
        <v/>
      </c>
      <c r="AF3635" s="10">
        <f>REPT(" ",20)</f>
        <v/>
      </c>
      <c r="AG3635" s="54">
        <f>REPT(" ",18-LEN(FIXED(F3635,2,TRUE)))&amp;FIXED(F3635,2,TRUE)</f>
        <v/>
      </c>
      <c r="AH3635" s="10">
        <f>LEN(AC3635)+LEN(AG3635)</f>
        <v/>
      </c>
      <c r="AI3635" s="10">
        <f>LEN(L3635)</f>
        <v/>
      </c>
    </row>
    <row r="3636">
      <c r="J3636" s="12">
        <f>IF(F3636&lt;&gt;0,"LANÇAR","")</f>
        <v/>
      </c>
      <c r="L3636" s="13">
        <f>N3636&amp;O3636&amp;P3636&amp;Q3636&amp;R3636&amp;S3636&amp;T3636&amp;U3636&amp;V3636&amp;W3636&amp;X3636&amp;Y3636&amp;Z3636&amp;AA3636&amp;AB3636&amp;AC3636&amp;AD3636&amp;AE3636&amp;AF3636&amp;AG3636</f>
        <v/>
      </c>
      <c r="N3636" s="10">
        <f>TEXT($B$6,"00")</f>
        <v/>
      </c>
      <c r="O3636" s="10">
        <f>REPT(" ",8)</f>
        <v/>
      </c>
      <c r="P3636" s="10">
        <f>RIGHT($B$4,2)</f>
        <v/>
      </c>
      <c r="Q3636" s="10">
        <f>RIGHT($B$5,3)</f>
        <v/>
      </c>
      <c r="R3636" s="10">
        <f>IF(A3636="D",LEFT(UPPER(B3636)&amp;REPT(" ",20),20),REPT(" ",20))</f>
        <v/>
      </c>
      <c r="S3636" s="10">
        <f>IF(A3636="D",LEFT(UPPER(C3636)&amp;REPT(" ",10),10)," ")</f>
        <v/>
      </c>
      <c r="T3636" s="10">
        <f>IF(A3636="D",LEFT(UPPER(D3636)&amp;REPT(" ",2),2)," ")</f>
        <v/>
      </c>
      <c r="U3636" s="10">
        <f>IF(A3636="D",LEFT(UPPER(E3636)&amp;REPT(" ",15),15)," ")</f>
        <v/>
      </c>
      <c r="V3636" s="10">
        <f>REPT(" ",24)</f>
        <v/>
      </c>
      <c r="W3636" s="10">
        <f>IF(A3636="c",LEFT(UPPER(B3636)&amp;REPT(" ",20),20),REPT(" ",20))</f>
        <v/>
      </c>
      <c r="X3636" s="10">
        <f>IF(A3636="C",LEFT(UPPER(C3636)&amp;REPT(" ",10),10)," ")</f>
        <v/>
      </c>
      <c r="Y3636" s="10">
        <f>IF(A3636="C",LEFT(UPPER(D3636)&amp;REPT(" ",2),2)," ")</f>
        <v/>
      </c>
      <c r="Z3636" s="10">
        <f>IF(A3636="C",LEFT(UPPER(E3636)&amp;REPT(" ",15),15)," ")</f>
        <v/>
      </c>
      <c r="AA3636" s="10">
        <f>REPT(" ",8)</f>
        <v/>
      </c>
      <c r="AB3636" s="10">
        <f>REPT(" ",4)</f>
        <v/>
      </c>
      <c r="AC3636" s="10">
        <f>LEFT(UPPER(H3636)&amp;REPT(" ",250),250)</f>
        <v/>
      </c>
      <c r="AD3636" s="10">
        <f>TEXT($G$2,"dd/mm/aaaa")</f>
        <v/>
      </c>
      <c r="AE3636" s="10">
        <f>REPT(" ",10)</f>
        <v/>
      </c>
      <c r="AF3636" s="10">
        <f>REPT(" ",20)</f>
        <v/>
      </c>
      <c r="AG3636" s="54">
        <f>REPT(" ",18-LEN(FIXED(F3636,2,TRUE)))&amp;FIXED(F3636,2,TRUE)</f>
        <v/>
      </c>
      <c r="AH3636" s="10">
        <f>LEN(AC3636)+LEN(AG3636)</f>
        <v/>
      </c>
      <c r="AI3636" s="10">
        <f>LEN(L3636)</f>
        <v/>
      </c>
    </row>
    <row r="3637">
      <c r="J3637" s="12">
        <f>IF(F3637&lt;&gt;0,"LANÇAR","")</f>
        <v/>
      </c>
      <c r="L3637" s="13">
        <f>N3637&amp;O3637&amp;P3637&amp;Q3637&amp;R3637&amp;S3637&amp;T3637&amp;U3637&amp;V3637&amp;W3637&amp;X3637&amp;Y3637&amp;Z3637&amp;AA3637&amp;AB3637&amp;AC3637&amp;AD3637&amp;AE3637&amp;AF3637&amp;AG3637</f>
        <v/>
      </c>
      <c r="N3637" s="10">
        <f>TEXT($B$6,"00")</f>
        <v/>
      </c>
      <c r="O3637" s="10">
        <f>REPT(" ",8)</f>
        <v/>
      </c>
      <c r="P3637" s="10">
        <f>RIGHT($B$4,2)</f>
        <v/>
      </c>
      <c r="Q3637" s="10">
        <f>RIGHT($B$5,3)</f>
        <v/>
      </c>
      <c r="R3637" s="10">
        <f>IF(A3637="D",LEFT(UPPER(B3637)&amp;REPT(" ",20),20),REPT(" ",20))</f>
        <v/>
      </c>
      <c r="S3637" s="10">
        <f>IF(A3637="D",LEFT(UPPER(C3637)&amp;REPT(" ",10),10)," ")</f>
        <v/>
      </c>
      <c r="T3637" s="10">
        <f>IF(A3637="D",LEFT(UPPER(D3637)&amp;REPT(" ",2),2)," ")</f>
        <v/>
      </c>
      <c r="U3637" s="10">
        <f>IF(A3637="D",LEFT(UPPER(E3637)&amp;REPT(" ",15),15)," ")</f>
        <v/>
      </c>
      <c r="V3637" s="10">
        <f>REPT(" ",24)</f>
        <v/>
      </c>
      <c r="W3637" s="10">
        <f>IF(A3637="c",LEFT(UPPER(B3637)&amp;REPT(" ",20),20),REPT(" ",20))</f>
        <v/>
      </c>
      <c r="X3637" s="10">
        <f>IF(A3637="C",LEFT(UPPER(C3637)&amp;REPT(" ",10),10)," ")</f>
        <v/>
      </c>
      <c r="Y3637" s="10">
        <f>IF(A3637="C",LEFT(UPPER(D3637)&amp;REPT(" ",2),2)," ")</f>
        <v/>
      </c>
      <c r="Z3637" s="10">
        <f>IF(A3637="C",LEFT(UPPER(E3637)&amp;REPT(" ",15),15)," ")</f>
        <v/>
      </c>
      <c r="AA3637" s="10">
        <f>REPT(" ",8)</f>
        <v/>
      </c>
      <c r="AB3637" s="10">
        <f>REPT(" ",4)</f>
        <v/>
      </c>
      <c r="AC3637" s="10">
        <f>LEFT(UPPER(H3637)&amp;REPT(" ",250),250)</f>
        <v/>
      </c>
      <c r="AD3637" s="10">
        <f>TEXT($G$2,"dd/mm/aaaa")</f>
        <v/>
      </c>
      <c r="AE3637" s="10">
        <f>REPT(" ",10)</f>
        <v/>
      </c>
      <c r="AF3637" s="10">
        <f>REPT(" ",20)</f>
        <v/>
      </c>
      <c r="AG3637" s="54">
        <f>REPT(" ",18-LEN(FIXED(F3637,2,TRUE)))&amp;FIXED(F3637,2,TRUE)</f>
        <v/>
      </c>
      <c r="AH3637" s="10">
        <f>LEN(AC3637)+LEN(AG3637)</f>
        <v/>
      </c>
      <c r="AI3637" s="10">
        <f>LEN(L3637)</f>
        <v/>
      </c>
    </row>
    <row r="3638">
      <c r="J3638" s="12">
        <f>IF(F3638&lt;&gt;0,"LANÇAR","")</f>
        <v/>
      </c>
      <c r="L3638" s="13">
        <f>N3638&amp;O3638&amp;P3638&amp;Q3638&amp;R3638&amp;S3638&amp;T3638&amp;U3638&amp;V3638&amp;W3638&amp;X3638&amp;Y3638&amp;Z3638&amp;AA3638&amp;AB3638&amp;AC3638&amp;AD3638&amp;AE3638&amp;AF3638&amp;AG3638</f>
        <v/>
      </c>
      <c r="N3638" s="10">
        <f>TEXT($B$6,"00")</f>
        <v/>
      </c>
      <c r="O3638" s="10">
        <f>REPT(" ",8)</f>
        <v/>
      </c>
      <c r="P3638" s="10">
        <f>RIGHT($B$4,2)</f>
        <v/>
      </c>
      <c r="Q3638" s="10">
        <f>RIGHT($B$5,3)</f>
        <v/>
      </c>
      <c r="R3638" s="10">
        <f>IF(A3638="D",LEFT(UPPER(B3638)&amp;REPT(" ",20),20),REPT(" ",20))</f>
        <v/>
      </c>
      <c r="S3638" s="10">
        <f>IF(A3638="D",LEFT(UPPER(C3638)&amp;REPT(" ",10),10)," ")</f>
        <v/>
      </c>
      <c r="T3638" s="10">
        <f>IF(A3638="D",LEFT(UPPER(D3638)&amp;REPT(" ",2),2)," ")</f>
        <v/>
      </c>
      <c r="U3638" s="10">
        <f>IF(A3638="D",LEFT(UPPER(E3638)&amp;REPT(" ",15),15)," ")</f>
        <v/>
      </c>
      <c r="V3638" s="10">
        <f>REPT(" ",24)</f>
        <v/>
      </c>
      <c r="W3638" s="10">
        <f>IF(A3638="c",LEFT(UPPER(B3638)&amp;REPT(" ",20),20),REPT(" ",20))</f>
        <v/>
      </c>
      <c r="X3638" s="10">
        <f>IF(A3638="C",LEFT(UPPER(C3638)&amp;REPT(" ",10),10)," ")</f>
        <v/>
      </c>
      <c r="Y3638" s="10">
        <f>IF(A3638="C",LEFT(UPPER(D3638)&amp;REPT(" ",2),2)," ")</f>
        <v/>
      </c>
      <c r="Z3638" s="10">
        <f>IF(A3638="C",LEFT(UPPER(E3638)&amp;REPT(" ",15),15)," ")</f>
        <v/>
      </c>
      <c r="AA3638" s="10">
        <f>REPT(" ",8)</f>
        <v/>
      </c>
      <c r="AB3638" s="10">
        <f>REPT(" ",4)</f>
        <v/>
      </c>
      <c r="AC3638" s="10">
        <f>LEFT(UPPER(H3638)&amp;REPT(" ",250),250)</f>
        <v/>
      </c>
      <c r="AD3638" s="10">
        <f>TEXT($G$2,"dd/mm/aaaa")</f>
        <v/>
      </c>
      <c r="AE3638" s="10">
        <f>REPT(" ",10)</f>
        <v/>
      </c>
      <c r="AF3638" s="10">
        <f>REPT(" ",20)</f>
        <v/>
      </c>
      <c r="AG3638" s="54">
        <f>REPT(" ",18-LEN(FIXED(F3638,2,TRUE)))&amp;FIXED(F3638,2,TRUE)</f>
        <v/>
      </c>
      <c r="AH3638" s="10">
        <f>LEN(AC3638)+LEN(AG3638)</f>
        <v/>
      </c>
      <c r="AI3638" s="10">
        <f>LEN(L3638)</f>
        <v/>
      </c>
    </row>
    <row r="3639">
      <c r="J3639" s="12">
        <f>IF(F3639&lt;&gt;0,"LANÇAR","")</f>
        <v/>
      </c>
      <c r="L3639" s="13">
        <f>N3639&amp;O3639&amp;P3639&amp;Q3639&amp;R3639&amp;S3639&amp;T3639&amp;U3639&amp;V3639&amp;W3639&amp;X3639&amp;Y3639&amp;Z3639&amp;AA3639&amp;AB3639&amp;AC3639&amp;AD3639&amp;AE3639&amp;AF3639&amp;AG3639</f>
        <v/>
      </c>
      <c r="N3639" s="10">
        <f>TEXT($B$6,"00")</f>
        <v/>
      </c>
      <c r="O3639" s="10">
        <f>REPT(" ",8)</f>
        <v/>
      </c>
      <c r="P3639" s="10">
        <f>RIGHT($B$4,2)</f>
        <v/>
      </c>
      <c r="Q3639" s="10">
        <f>RIGHT($B$5,3)</f>
        <v/>
      </c>
      <c r="R3639" s="10">
        <f>IF(A3639="D",LEFT(UPPER(B3639)&amp;REPT(" ",20),20),REPT(" ",20))</f>
        <v/>
      </c>
      <c r="S3639" s="10">
        <f>IF(A3639="D",LEFT(UPPER(C3639)&amp;REPT(" ",10),10)," ")</f>
        <v/>
      </c>
      <c r="T3639" s="10">
        <f>IF(A3639="D",LEFT(UPPER(D3639)&amp;REPT(" ",2),2)," ")</f>
        <v/>
      </c>
      <c r="U3639" s="10">
        <f>IF(A3639="D",LEFT(UPPER(E3639)&amp;REPT(" ",15),15)," ")</f>
        <v/>
      </c>
      <c r="V3639" s="10">
        <f>REPT(" ",24)</f>
        <v/>
      </c>
      <c r="W3639" s="10">
        <f>IF(A3639="c",LEFT(UPPER(B3639)&amp;REPT(" ",20),20),REPT(" ",20))</f>
        <v/>
      </c>
      <c r="X3639" s="10">
        <f>IF(A3639="C",LEFT(UPPER(C3639)&amp;REPT(" ",10),10)," ")</f>
        <v/>
      </c>
      <c r="Y3639" s="10">
        <f>IF(A3639="C",LEFT(UPPER(D3639)&amp;REPT(" ",2),2)," ")</f>
        <v/>
      </c>
      <c r="Z3639" s="10">
        <f>IF(A3639="C",LEFT(UPPER(E3639)&amp;REPT(" ",15),15)," ")</f>
        <v/>
      </c>
      <c r="AA3639" s="10">
        <f>REPT(" ",8)</f>
        <v/>
      </c>
      <c r="AB3639" s="10">
        <f>REPT(" ",4)</f>
        <v/>
      </c>
      <c r="AC3639" s="10">
        <f>LEFT(UPPER(H3639)&amp;REPT(" ",250),250)</f>
        <v/>
      </c>
      <c r="AD3639" s="10">
        <f>TEXT($G$2,"dd/mm/aaaa")</f>
        <v/>
      </c>
      <c r="AE3639" s="10">
        <f>REPT(" ",10)</f>
        <v/>
      </c>
      <c r="AF3639" s="10">
        <f>REPT(" ",20)</f>
        <v/>
      </c>
      <c r="AG3639" s="54">
        <f>REPT(" ",18-LEN(FIXED(F3639,2,TRUE)))&amp;FIXED(F3639,2,TRUE)</f>
        <v/>
      </c>
      <c r="AH3639" s="10">
        <f>LEN(AC3639)+LEN(AG3639)</f>
        <v/>
      </c>
      <c r="AI3639" s="10">
        <f>LEN(L3639)</f>
        <v/>
      </c>
    </row>
    <row r="3640">
      <c r="J3640" s="12">
        <f>IF(F3640&lt;&gt;0,"LANÇAR","")</f>
        <v/>
      </c>
      <c r="L3640" s="13">
        <f>N3640&amp;O3640&amp;P3640&amp;Q3640&amp;R3640&amp;S3640&amp;T3640&amp;U3640&amp;V3640&amp;W3640&amp;X3640&amp;Y3640&amp;Z3640&amp;AA3640&amp;AB3640&amp;AC3640&amp;AD3640&amp;AE3640&amp;AF3640&amp;AG3640</f>
        <v/>
      </c>
      <c r="N3640" s="10">
        <f>TEXT($B$6,"00")</f>
        <v/>
      </c>
      <c r="O3640" s="10">
        <f>REPT(" ",8)</f>
        <v/>
      </c>
      <c r="P3640" s="10">
        <f>RIGHT($B$4,2)</f>
        <v/>
      </c>
      <c r="Q3640" s="10">
        <f>RIGHT($B$5,3)</f>
        <v/>
      </c>
      <c r="R3640" s="10">
        <f>IF(A3640="D",LEFT(UPPER(B3640)&amp;REPT(" ",20),20),REPT(" ",20))</f>
        <v/>
      </c>
      <c r="S3640" s="10">
        <f>IF(A3640="D",LEFT(UPPER(C3640)&amp;REPT(" ",10),10)," ")</f>
        <v/>
      </c>
      <c r="T3640" s="10">
        <f>IF(A3640="D",LEFT(UPPER(D3640)&amp;REPT(" ",2),2)," ")</f>
        <v/>
      </c>
      <c r="U3640" s="10">
        <f>IF(A3640="D",LEFT(UPPER(E3640)&amp;REPT(" ",15),15)," ")</f>
        <v/>
      </c>
      <c r="V3640" s="10">
        <f>REPT(" ",24)</f>
        <v/>
      </c>
      <c r="W3640" s="10">
        <f>IF(A3640="c",LEFT(UPPER(B3640)&amp;REPT(" ",20),20),REPT(" ",20))</f>
        <v/>
      </c>
      <c r="X3640" s="10">
        <f>IF(A3640="C",LEFT(UPPER(C3640)&amp;REPT(" ",10),10)," ")</f>
        <v/>
      </c>
      <c r="Y3640" s="10">
        <f>IF(A3640="C",LEFT(UPPER(D3640)&amp;REPT(" ",2),2)," ")</f>
        <v/>
      </c>
      <c r="Z3640" s="10">
        <f>IF(A3640="C",LEFT(UPPER(E3640)&amp;REPT(" ",15),15)," ")</f>
        <v/>
      </c>
      <c r="AA3640" s="10">
        <f>REPT(" ",8)</f>
        <v/>
      </c>
      <c r="AB3640" s="10">
        <f>REPT(" ",4)</f>
        <v/>
      </c>
      <c r="AC3640" s="10">
        <f>LEFT(UPPER(H3640)&amp;REPT(" ",250),250)</f>
        <v/>
      </c>
      <c r="AD3640" s="10">
        <f>TEXT($G$2,"dd/mm/aaaa")</f>
        <v/>
      </c>
      <c r="AE3640" s="10">
        <f>REPT(" ",10)</f>
        <v/>
      </c>
      <c r="AF3640" s="10">
        <f>REPT(" ",20)</f>
        <v/>
      </c>
      <c r="AG3640" s="54">
        <f>REPT(" ",18-LEN(FIXED(F3640,2,TRUE)))&amp;FIXED(F3640,2,TRUE)</f>
        <v/>
      </c>
      <c r="AH3640" s="10">
        <f>LEN(AC3640)+LEN(AG3640)</f>
        <v/>
      </c>
      <c r="AI3640" s="10">
        <f>LEN(L3640)</f>
        <v/>
      </c>
    </row>
    <row r="3641">
      <c r="J3641" s="12">
        <f>IF(F3641&lt;&gt;0,"LANÇAR","")</f>
        <v/>
      </c>
      <c r="L3641" s="13">
        <f>N3641&amp;O3641&amp;P3641&amp;Q3641&amp;R3641&amp;S3641&amp;T3641&amp;U3641&amp;V3641&amp;W3641&amp;X3641&amp;Y3641&amp;Z3641&amp;AA3641&amp;AB3641&amp;AC3641&amp;AD3641&amp;AE3641&amp;AF3641&amp;AG3641</f>
        <v/>
      </c>
      <c r="N3641" s="10">
        <f>TEXT($B$6,"00")</f>
        <v/>
      </c>
      <c r="O3641" s="10">
        <f>REPT(" ",8)</f>
        <v/>
      </c>
      <c r="P3641" s="10">
        <f>RIGHT($B$4,2)</f>
        <v/>
      </c>
      <c r="Q3641" s="10">
        <f>RIGHT($B$5,3)</f>
        <v/>
      </c>
      <c r="R3641" s="10">
        <f>IF(A3641="D",LEFT(UPPER(B3641)&amp;REPT(" ",20),20),REPT(" ",20))</f>
        <v/>
      </c>
      <c r="S3641" s="10">
        <f>IF(A3641="D",LEFT(UPPER(C3641)&amp;REPT(" ",10),10)," ")</f>
        <v/>
      </c>
      <c r="T3641" s="10">
        <f>IF(A3641="D",LEFT(UPPER(D3641)&amp;REPT(" ",2),2)," ")</f>
        <v/>
      </c>
      <c r="U3641" s="10">
        <f>IF(A3641="D",LEFT(UPPER(E3641)&amp;REPT(" ",15),15)," ")</f>
        <v/>
      </c>
      <c r="V3641" s="10">
        <f>REPT(" ",24)</f>
        <v/>
      </c>
      <c r="W3641" s="10">
        <f>IF(A3641="c",LEFT(UPPER(B3641)&amp;REPT(" ",20),20),REPT(" ",20))</f>
        <v/>
      </c>
      <c r="X3641" s="10">
        <f>IF(A3641="C",LEFT(UPPER(C3641)&amp;REPT(" ",10),10)," ")</f>
        <v/>
      </c>
      <c r="Y3641" s="10">
        <f>IF(A3641="C",LEFT(UPPER(D3641)&amp;REPT(" ",2),2)," ")</f>
        <v/>
      </c>
      <c r="Z3641" s="10">
        <f>IF(A3641="C",LEFT(UPPER(E3641)&amp;REPT(" ",15),15)," ")</f>
        <v/>
      </c>
      <c r="AA3641" s="10">
        <f>REPT(" ",8)</f>
        <v/>
      </c>
      <c r="AB3641" s="10">
        <f>REPT(" ",4)</f>
        <v/>
      </c>
      <c r="AC3641" s="10">
        <f>LEFT(UPPER(H3641)&amp;REPT(" ",250),250)</f>
        <v/>
      </c>
      <c r="AD3641" s="10">
        <f>TEXT($G$2,"dd/mm/aaaa")</f>
        <v/>
      </c>
      <c r="AE3641" s="10">
        <f>REPT(" ",10)</f>
        <v/>
      </c>
      <c r="AF3641" s="10">
        <f>REPT(" ",20)</f>
        <v/>
      </c>
      <c r="AG3641" s="54">
        <f>REPT(" ",18-LEN(FIXED(F3641,2,TRUE)))&amp;FIXED(F3641,2,TRUE)</f>
        <v/>
      </c>
      <c r="AH3641" s="10">
        <f>LEN(AC3641)+LEN(AG3641)</f>
        <v/>
      </c>
      <c r="AI3641" s="10">
        <f>LEN(L3641)</f>
        <v/>
      </c>
    </row>
    <row r="3642">
      <c r="J3642" s="12">
        <f>IF(F3642&lt;&gt;0,"LANÇAR","")</f>
        <v/>
      </c>
      <c r="L3642" s="13">
        <f>N3642&amp;O3642&amp;P3642&amp;Q3642&amp;R3642&amp;S3642&amp;T3642&amp;U3642&amp;V3642&amp;W3642&amp;X3642&amp;Y3642&amp;Z3642&amp;AA3642&amp;AB3642&amp;AC3642&amp;AD3642&amp;AE3642&amp;AF3642&amp;AG3642</f>
        <v/>
      </c>
      <c r="N3642" s="10">
        <f>TEXT($B$6,"00")</f>
        <v/>
      </c>
      <c r="O3642" s="10">
        <f>REPT(" ",8)</f>
        <v/>
      </c>
      <c r="P3642" s="10">
        <f>RIGHT($B$4,2)</f>
        <v/>
      </c>
      <c r="Q3642" s="10">
        <f>RIGHT($B$5,3)</f>
        <v/>
      </c>
      <c r="R3642" s="10">
        <f>IF(A3642="D",LEFT(UPPER(B3642)&amp;REPT(" ",20),20),REPT(" ",20))</f>
        <v/>
      </c>
      <c r="S3642" s="10">
        <f>IF(A3642="D",LEFT(UPPER(C3642)&amp;REPT(" ",10),10)," ")</f>
        <v/>
      </c>
      <c r="T3642" s="10">
        <f>IF(A3642="D",LEFT(UPPER(D3642)&amp;REPT(" ",2),2)," ")</f>
        <v/>
      </c>
      <c r="U3642" s="10">
        <f>IF(A3642="D",LEFT(UPPER(E3642)&amp;REPT(" ",15),15)," ")</f>
        <v/>
      </c>
      <c r="V3642" s="10">
        <f>REPT(" ",24)</f>
        <v/>
      </c>
      <c r="W3642" s="10">
        <f>IF(A3642="c",LEFT(UPPER(B3642)&amp;REPT(" ",20),20),REPT(" ",20))</f>
        <v/>
      </c>
      <c r="X3642" s="10">
        <f>IF(A3642="C",LEFT(UPPER(C3642)&amp;REPT(" ",10),10)," ")</f>
        <v/>
      </c>
      <c r="Y3642" s="10">
        <f>IF(A3642="C",LEFT(UPPER(D3642)&amp;REPT(" ",2),2)," ")</f>
        <v/>
      </c>
      <c r="Z3642" s="10">
        <f>IF(A3642="C",LEFT(UPPER(E3642)&amp;REPT(" ",15),15)," ")</f>
        <v/>
      </c>
      <c r="AA3642" s="10">
        <f>REPT(" ",8)</f>
        <v/>
      </c>
      <c r="AB3642" s="10">
        <f>REPT(" ",4)</f>
        <v/>
      </c>
      <c r="AC3642" s="10">
        <f>LEFT(UPPER(H3642)&amp;REPT(" ",250),250)</f>
        <v/>
      </c>
      <c r="AD3642" s="10">
        <f>TEXT($G$2,"dd/mm/aaaa")</f>
        <v/>
      </c>
      <c r="AE3642" s="10">
        <f>REPT(" ",10)</f>
        <v/>
      </c>
      <c r="AF3642" s="10">
        <f>REPT(" ",20)</f>
        <v/>
      </c>
      <c r="AG3642" s="54">
        <f>REPT(" ",18-LEN(FIXED(F3642,2,TRUE)))&amp;FIXED(F3642,2,TRUE)</f>
        <v/>
      </c>
      <c r="AH3642" s="10">
        <f>LEN(AC3642)+LEN(AG3642)</f>
        <v/>
      </c>
      <c r="AI3642" s="10">
        <f>LEN(L3642)</f>
        <v/>
      </c>
    </row>
    <row r="3643">
      <c r="J3643" s="12">
        <f>IF(F3643&lt;&gt;0,"LANÇAR","")</f>
        <v/>
      </c>
      <c r="L3643" s="13">
        <f>N3643&amp;O3643&amp;P3643&amp;Q3643&amp;R3643&amp;S3643&amp;T3643&amp;U3643&amp;V3643&amp;W3643&amp;X3643&amp;Y3643&amp;Z3643&amp;AA3643&amp;AB3643&amp;AC3643&amp;AD3643&amp;AE3643&amp;AF3643&amp;AG3643</f>
        <v/>
      </c>
      <c r="N3643" s="10">
        <f>TEXT($B$6,"00")</f>
        <v/>
      </c>
      <c r="O3643" s="10">
        <f>REPT(" ",8)</f>
        <v/>
      </c>
      <c r="P3643" s="10">
        <f>RIGHT($B$4,2)</f>
        <v/>
      </c>
      <c r="Q3643" s="10">
        <f>RIGHT($B$5,3)</f>
        <v/>
      </c>
      <c r="R3643" s="10">
        <f>IF(A3643="D",LEFT(UPPER(B3643)&amp;REPT(" ",20),20),REPT(" ",20))</f>
        <v/>
      </c>
      <c r="S3643" s="10">
        <f>IF(A3643="D",LEFT(UPPER(C3643)&amp;REPT(" ",10),10)," ")</f>
        <v/>
      </c>
      <c r="T3643" s="10">
        <f>IF(A3643="D",LEFT(UPPER(D3643)&amp;REPT(" ",2),2)," ")</f>
        <v/>
      </c>
      <c r="U3643" s="10">
        <f>IF(A3643="D",LEFT(UPPER(E3643)&amp;REPT(" ",15),15)," ")</f>
        <v/>
      </c>
      <c r="V3643" s="10">
        <f>REPT(" ",24)</f>
        <v/>
      </c>
      <c r="W3643" s="10">
        <f>IF(A3643="c",LEFT(UPPER(B3643)&amp;REPT(" ",20),20),REPT(" ",20))</f>
        <v/>
      </c>
      <c r="X3643" s="10">
        <f>IF(A3643="C",LEFT(UPPER(C3643)&amp;REPT(" ",10),10)," ")</f>
        <v/>
      </c>
      <c r="Y3643" s="10">
        <f>IF(A3643="C",LEFT(UPPER(D3643)&amp;REPT(" ",2),2)," ")</f>
        <v/>
      </c>
      <c r="Z3643" s="10">
        <f>IF(A3643="C",LEFT(UPPER(E3643)&amp;REPT(" ",15),15)," ")</f>
        <v/>
      </c>
      <c r="AA3643" s="10">
        <f>REPT(" ",8)</f>
        <v/>
      </c>
      <c r="AB3643" s="10">
        <f>REPT(" ",4)</f>
        <v/>
      </c>
      <c r="AC3643" s="10">
        <f>LEFT(UPPER(H3643)&amp;REPT(" ",250),250)</f>
        <v/>
      </c>
      <c r="AD3643" s="10">
        <f>TEXT($G$2,"dd/mm/aaaa")</f>
        <v/>
      </c>
      <c r="AE3643" s="10">
        <f>REPT(" ",10)</f>
        <v/>
      </c>
      <c r="AF3643" s="10">
        <f>REPT(" ",20)</f>
        <v/>
      </c>
      <c r="AG3643" s="54">
        <f>REPT(" ",18-LEN(FIXED(F3643,2,TRUE)))&amp;FIXED(F3643,2,TRUE)</f>
        <v/>
      </c>
      <c r="AH3643" s="10">
        <f>LEN(AC3643)+LEN(AG3643)</f>
        <v/>
      </c>
      <c r="AI3643" s="10">
        <f>LEN(L3643)</f>
        <v/>
      </c>
    </row>
    <row r="3644">
      <c r="J3644" s="12">
        <f>IF(F3644&lt;&gt;0,"LANÇAR","")</f>
        <v/>
      </c>
      <c r="L3644" s="13">
        <f>N3644&amp;O3644&amp;P3644&amp;Q3644&amp;R3644&amp;S3644&amp;T3644&amp;U3644&amp;V3644&amp;W3644&amp;X3644&amp;Y3644&amp;Z3644&amp;AA3644&amp;AB3644&amp;AC3644&amp;AD3644&amp;AE3644&amp;AF3644&amp;AG3644</f>
        <v/>
      </c>
      <c r="N3644" s="10">
        <f>TEXT($B$6,"00")</f>
        <v/>
      </c>
      <c r="O3644" s="10">
        <f>REPT(" ",8)</f>
        <v/>
      </c>
      <c r="P3644" s="10">
        <f>RIGHT($B$4,2)</f>
        <v/>
      </c>
      <c r="Q3644" s="10">
        <f>RIGHT($B$5,3)</f>
        <v/>
      </c>
      <c r="R3644" s="10">
        <f>IF(A3644="D",LEFT(UPPER(B3644)&amp;REPT(" ",20),20),REPT(" ",20))</f>
        <v/>
      </c>
      <c r="S3644" s="10">
        <f>IF(A3644="D",LEFT(UPPER(C3644)&amp;REPT(" ",10),10)," ")</f>
        <v/>
      </c>
      <c r="T3644" s="10">
        <f>IF(A3644="D",LEFT(UPPER(D3644)&amp;REPT(" ",2),2)," ")</f>
        <v/>
      </c>
      <c r="U3644" s="10">
        <f>IF(A3644="D",LEFT(UPPER(E3644)&amp;REPT(" ",15),15)," ")</f>
        <v/>
      </c>
      <c r="V3644" s="10">
        <f>REPT(" ",24)</f>
        <v/>
      </c>
      <c r="W3644" s="10">
        <f>IF(A3644="c",LEFT(UPPER(B3644)&amp;REPT(" ",20),20),REPT(" ",20))</f>
        <v/>
      </c>
      <c r="X3644" s="10">
        <f>IF(A3644="C",LEFT(UPPER(C3644)&amp;REPT(" ",10),10)," ")</f>
        <v/>
      </c>
      <c r="Y3644" s="10">
        <f>IF(A3644="C",LEFT(UPPER(D3644)&amp;REPT(" ",2),2)," ")</f>
        <v/>
      </c>
      <c r="Z3644" s="10">
        <f>IF(A3644="C",LEFT(UPPER(E3644)&amp;REPT(" ",15),15)," ")</f>
        <v/>
      </c>
      <c r="AA3644" s="10">
        <f>REPT(" ",8)</f>
        <v/>
      </c>
      <c r="AB3644" s="10">
        <f>REPT(" ",4)</f>
        <v/>
      </c>
      <c r="AC3644" s="10">
        <f>LEFT(UPPER(H3644)&amp;REPT(" ",250),250)</f>
        <v/>
      </c>
      <c r="AD3644" s="10">
        <f>TEXT($G$2,"dd/mm/aaaa")</f>
        <v/>
      </c>
      <c r="AE3644" s="10">
        <f>REPT(" ",10)</f>
        <v/>
      </c>
      <c r="AF3644" s="10">
        <f>REPT(" ",20)</f>
        <v/>
      </c>
      <c r="AG3644" s="54">
        <f>REPT(" ",18-LEN(FIXED(F3644,2,TRUE)))&amp;FIXED(F3644,2,TRUE)</f>
        <v/>
      </c>
      <c r="AH3644" s="10">
        <f>LEN(AC3644)+LEN(AG3644)</f>
        <v/>
      </c>
      <c r="AI3644" s="10">
        <f>LEN(L3644)</f>
        <v/>
      </c>
    </row>
    <row r="3645">
      <c r="J3645" s="12">
        <f>IF(F3645&lt;&gt;0,"LANÇAR","")</f>
        <v/>
      </c>
      <c r="L3645" s="13">
        <f>N3645&amp;O3645&amp;P3645&amp;Q3645&amp;R3645&amp;S3645&amp;T3645&amp;U3645&amp;V3645&amp;W3645&amp;X3645&amp;Y3645&amp;Z3645&amp;AA3645&amp;AB3645&amp;AC3645&amp;AD3645&amp;AE3645&amp;AF3645&amp;AG3645</f>
        <v/>
      </c>
      <c r="N3645" s="10">
        <f>TEXT($B$6,"00")</f>
        <v/>
      </c>
      <c r="O3645" s="10">
        <f>REPT(" ",8)</f>
        <v/>
      </c>
      <c r="P3645" s="10">
        <f>RIGHT($B$4,2)</f>
        <v/>
      </c>
      <c r="Q3645" s="10">
        <f>RIGHT($B$5,3)</f>
        <v/>
      </c>
      <c r="R3645" s="10">
        <f>IF(A3645="D",LEFT(UPPER(B3645)&amp;REPT(" ",20),20),REPT(" ",20))</f>
        <v/>
      </c>
      <c r="S3645" s="10">
        <f>IF(A3645="D",LEFT(UPPER(C3645)&amp;REPT(" ",10),10)," ")</f>
        <v/>
      </c>
      <c r="T3645" s="10">
        <f>IF(A3645="D",LEFT(UPPER(D3645)&amp;REPT(" ",2),2)," ")</f>
        <v/>
      </c>
      <c r="U3645" s="10">
        <f>IF(A3645="D",LEFT(UPPER(E3645)&amp;REPT(" ",15),15)," ")</f>
        <v/>
      </c>
      <c r="V3645" s="10">
        <f>REPT(" ",24)</f>
        <v/>
      </c>
      <c r="W3645" s="10">
        <f>IF(A3645="c",LEFT(UPPER(B3645)&amp;REPT(" ",20),20),REPT(" ",20))</f>
        <v/>
      </c>
      <c r="X3645" s="10">
        <f>IF(A3645="C",LEFT(UPPER(C3645)&amp;REPT(" ",10),10)," ")</f>
        <v/>
      </c>
      <c r="Y3645" s="10">
        <f>IF(A3645="C",LEFT(UPPER(D3645)&amp;REPT(" ",2),2)," ")</f>
        <v/>
      </c>
      <c r="Z3645" s="10">
        <f>IF(A3645="C",LEFT(UPPER(E3645)&amp;REPT(" ",15),15)," ")</f>
        <v/>
      </c>
      <c r="AA3645" s="10">
        <f>REPT(" ",8)</f>
        <v/>
      </c>
      <c r="AB3645" s="10">
        <f>REPT(" ",4)</f>
        <v/>
      </c>
      <c r="AC3645" s="10">
        <f>LEFT(UPPER(H3645)&amp;REPT(" ",250),250)</f>
        <v/>
      </c>
      <c r="AD3645" s="10">
        <f>TEXT($G$2,"dd/mm/aaaa")</f>
        <v/>
      </c>
      <c r="AE3645" s="10">
        <f>REPT(" ",10)</f>
        <v/>
      </c>
      <c r="AF3645" s="10">
        <f>REPT(" ",20)</f>
        <v/>
      </c>
      <c r="AG3645" s="54">
        <f>REPT(" ",18-LEN(FIXED(F3645,2,TRUE)))&amp;FIXED(F3645,2,TRUE)</f>
        <v/>
      </c>
      <c r="AH3645" s="10">
        <f>LEN(AC3645)+LEN(AG3645)</f>
        <v/>
      </c>
      <c r="AI3645" s="10">
        <f>LEN(L3645)</f>
        <v/>
      </c>
    </row>
    <row r="3646">
      <c r="J3646" s="12">
        <f>IF(F3646&lt;&gt;0,"LANÇAR","")</f>
        <v/>
      </c>
      <c r="L3646" s="13">
        <f>N3646&amp;O3646&amp;P3646&amp;Q3646&amp;R3646&amp;S3646&amp;T3646&amp;U3646&amp;V3646&amp;W3646&amp;X3646&amp;Y3646&amp;Z3646&amp;AA3646&amp;AB3646&amp;AC3646&amp;AD3646&amp;AE3646&amp;AF3646&amp;AG3646</f>
        <v/>
      </c>
      <c r="N3646" s="10">
        <f>TEXT($B$6,"00")</f>
        <v/>
      </c>
      <c r="O3646" s="10">
        <f>REPT(" ",8)</f>
        <v/>
      </c>
      <c r="P3646" s="10">
        <f>RIGHT($B$4,2)</f>
        <v/>
      </c>
      <c r="Q3646" s="10">
        <f>RIGHT($B$5,3)</f>
        <v/>
      </c>
      <c r="R3646" s="10">
        <f>IF(A3646="D",LEFT(UPPER(B3646)&amp;REPT(" ",20),20),REPT(" ",20))</f>
        <v/>
      </c>
      <c r="S3646" s="10">
        <f>IF(A3646="D",LEFT(UPPER(C3646)&amp;REPT(" ",10),10)," ")</f>
        <v/>
      </c>
      <c r="T3646" s="10">
        <f>IF(A3646="D",LEFT(UPPER(D3646)&amp;REPT(" ",2),2)," ")</f>
        <v/>
      </c>
      <c r="U3646" s="10">
        <f>IF(A3646="D",LEFT(UPPER(E3646)&amp;REPT(" ",15),15)," ")</f>
        <v/>
      </c>
      <c r="V3646" s="10">
        <f>REPT(" ",24)</f>
        <v/>
      </c>
      <c r="W3646" s="10">
        <f>IF(A3646="c",LEFT(UPPER(B3646)&amp;REPT(" ",20),20),REPT(" ",20))</f>
        <v/>
      </c>
      <c r="X3646" s="10">
        <f>IF(A3646="C",LEFT(UPPER(C3646)&amp;REPT(" ",10),10)," ")</f>
        <v/>
      </c>
      <c r="Y3646" s="10">
        <f>IF(A3646="C",LEFT(UPPER(D3646)&amp;REPT(" ",2),2)," ")</f>
        <v/>
      </c>
      <c r="Z3646" s="10">
        <f>IF(A3646="C",LEFT(UPPER(E3646)&amp;REPT(" ",15),15)," ")</f>
        <v/>
      </c>
      <c r="AA3646" s="10">
        <f>REPT(" ",8)</f>
        <v/>
      </c>
      <c r="AB3646" s="10">
        <f>REPT(" ",4)</f>
        <v/>
      </c>
      <c r="AC3646" s="10">
        <f>LEFT(UPPER(H3646)&amp;REPT(" ",250),250)</f>
        <v/>
      </c>
      <c r="AD3646" s="10">
        <f>TEXT($G$2,"dd/mm/aaaa")</f>
        <v/>
      </c>
      <c r="AE3646" s="10">
        <f>REPT(" ",10)</f>
        <v/>
      </c>
      <c r="AF3646" s="10">
        <f>REPT(" ",20)</f>
        <v/>
      </c>
      <c r="AG3646" s="54">
        <f>REPT(" ",18-LEN(FIXED(F3646,2,TRUE)))&amp;FIXED(F3646,2,TRUE)</f>
        <v/>
      </c>
      <c r="AH3646" s="10">
        <f>LEN(AC3646)+LEN(AG3646)</f>
        <v/>
      </c>
      <c r="AI3646" s="10">
        <f>LEN(L3646)</f>
        <v/>
      </c>
    </row>
    <row r="3647">
      <c r="J3647" s="12">
        <f>IF(F3647&lt;&gt;0,"LANÇAR","")</f>
        <v/>
      </c>
      <c r="L3647" s="13">
        <f>N3647&amp;O3647&amp;P3647&amp;Q3647&amp;R3647&amp;S3647&amp;T3647&amp;U3647&amp;V3647&amp;W3647&amp;X3647&amp;Y3647&amp;Z3647&amp;AA3647&amp;AB3647&amp;AC3647&amp;AD3647&amp;AE3647&amp;AF3647&amp;AG3647</f>
        <v/>
      </c>
      <c r="N3647" s="10">
        <f>TEXT($B$6,"00")</f>
        <v/>
      </c>
      <c r="O3647" s="10">
        <f>REPT(" ",8)</f>
        <v/>
      </c>
      <c r="P3647" s="10">
        <f>RIGHT($B$4,2)</f>
        <v/>
      </c>
      <c r="Q3647" s="10">
        <f>RIGHT($B$5,3)</f>
        <v/>
      </c>
      <c r="R3647" s="10">
        <f>IF(A3647="D",LEFT(UPPER(B3647)&amp;REPT(" ",20),20),REPT(" ",20))</f>
        <v/>
      </c>
      <c r="S3647" s="10">
        <f>IF(A3647="D",LEFT(UPPER(C3647)&amp;REPT(" ",10),10)," ")</f>
        <v/>
      </c>
      <c r="T3647" s="10">
        <f>IF(A3647="D",LEFT(UPPER(D3647)&amp;REPT(" ",2),2)," ")</f>
        <v/>
      </c>
      <c r="U3647" s="10">
        <f>IF(A3647="D",LEFT(UPPER(E3647)&amp;REPT(" ",15),15)," ")</f>
        <v/>
      </c>
      <c r="V3647" s="10">
        <f>REPT(" ",24)</f>
        <v/>
      </c>
      <c r="W3647" s="10">
        <f>IF(A3647="c",LEFT(UPPER(B3647)&amp;REPT(" ",20),20),REPT(" ",20))</f>
        <v/>
      </c>
      <c r="X3647" s="10">
        <f>IF(A3647="C",LEFT(UPPER(C3647)&amp;REPT(" ",10),10)," ")</f>
        <v/>
      </c>
      <c r="Y3647" s="10">
        <f>IF(A3647="C",LEFT(UPPER(D3647)&amp;REPT(" ",2),2)," ")</f>
        <v/>
      </c>
      <c r="Z3647" s="10">
        <f>IF(A3647="C",LEFT(UPPER(E3647)&amp;REPT(" ",15),15)," ")</f>
        <v/>
      </c>
      <c r="AA3647" s="10">
        <f>REPT(" ",8)</f>
        <v/>
      </c>
      <c r="AB3647" s="10">
        <f>REPT(" ",4)</f>
        <v/>
      </c>
      <c r="AC3647" s="10">
        <f>LEFT(UPPER(H3647)&amp;REPT(" ",250),250)</f>
        <v/>
      </c>
      <c r="AD3647" s="10">
        <f>TEXT($G$2,"dd/mm/aaaa")</f>
        <v/>
      </c>
      <c r="AE3647" s="10">
        <f>REPT(" ",10)</f>
        <v/>
      </c>
      <c r="AF3647" s="10">
        <f>REPT(" ",20)</f>
        <v/>
      </c>
      <c r="AG3647" s="54">
        <f>REPT(" ",18-LEN(FIXED(F3647,2,TRUE)))&amp;FIXED(F3647,2,TRUE)</f>
        <v/>
      </c>
      <c r="AH3647" s="10">
        <f>LEN(AC3647)+LEN(AG3647)</f>
        <v/>
      </c>
      <c r="AI3647" s="10">
        <f>LEN(L3647)</f>
        <v/>
      </c>
    </row>
    <row r="3648">
      <c r="J3648" s="12">
        <f>IF(F3648&lt;&gt;0,"LANÇAR","")</f>
        <v/>
      </c>
      <c r="L3648" s="13">
        <f>N3648&amp;O3648&amp;P3648&amp;Q3648&amp;R3648&amp;S3648&amp;T3648&amp;U3648&amp;V3648&amp;W3648&amp;X3648&amp;Y3648&amp;Z3648&amp;AA3648&amp;AB3648&amp;AC3648&amp;AD3648&amp;AE3648&amp;AF3648&amp;AG3648</f>
        <v/>
      </c>
      <c r="N3648" s="10">
        <f>TEXT($B$6,"00")</f>
        <v/>
      </c>
      <c r="O3648" s="10">
        <f>REPT(" ",8)</f>
        <v/>
      </c>
      <c r="P3648" s="10">
        <f>RIGHT($B$4,2)</f>
        <v/>
      </c>
      <c r="Q3648" s="10">
        <f>RIGHT($B$5,3)</f>
        <v/>
      </c>
      <c r="R3648" s="10">
        <f>IF(A3648="D",LEFT(UPPER(B3648)&amp;REPT(" ",20),20),REPT(" ",20))</f>
        <v/>
      </c>
      <c r="S3648" s="10">
        <f>IF(A3648="D",LEFT(UPPER(C3648)&amp;REPT(" ",10),10)," ")</f>
        <v/>
      </c>
      <c r="T3648" s="10">
        <f>IF(A3648="D",LEFT(UPPER(D3648)&amp;REPT(" ",2),2)," ")</f>
        <v/>
      </c>
      <c r="U3648" s="10">
        <f>IF(A3648="D",LEFT(UPPER(E3648)&amp;REPT(" ",15),15)," ")</f>
        <v/>
      </c>
      <c r="V3648" s="10">
        <f>REPT(" ",24)</f>
        <v/>
      </c>
      <c r="W3648" s="10">
        <f>IF(A3648="c",LEFT(UPPER(B3648)&amp;REPT(" ",20),20),REPT(" ",20))</f>
        <v/>
      </c>
      <c r="X3648" s="10">
        <f>IF(A3648="C",LEFT(UPPER(C3648)&amp;REPT(" ",10),10)," ")</f>
        <v/>
      </c>
      <c r="Y3648" s="10">
        <f>IF(A3648="C",LEFT(UPPER(D3648)&amp;REPT(" ",2),2)," ")</f>
        <v/>
      </c>
      <c r="Z3648" s="10">
        <f>IF(A3648="C",LEFT(UPPER(E3648)&amp;REPT(" ",15),15)," ")</f>
        <v/>
      </c>
      <c r="AA3648" s="10">
        <f>REPT(" ",8)</f>
        <v/>
      </c>
      <c r="AB3648" s="10">
        <f>REPT(" ",4)</f>
        <v/>
      </c>
      <c r="AC3648" s="10">
        <f>LEFT(UPPER(H3648)&amp;REPT(" ",250),250)</f>
        <v/>
      </c>
      <c r="AD3648" s="10">
        <f>TEXT($G$2,"dd/mm/aaaa")</f>
        <v/>
      </c>
      <c r="AE3648" s="10">
        <f>REPT(" ",10)</f>
        <v/>
      </c>
      <c r="AF3648" s="10">
        <f>REPT(" ",20)</f>
        <v/>
      </c>
      <c r="AG3648" s="54">
        <f>REPT(" ",18-LEN(FIXED(F3648,2,TRUE)))&amp;FIXED(F3648,2,TRUE)</f>
        <v/>
      </c>
      <c r="AH3648" s="10">
        <f>LEN(AC3648)+LEN(AG3648)</f>
        <v/>
      </c>
      <c r="AI3648" s="10">
        <f>LEN(L3648)</f>
        <v/>
      </c>
    </row>
    <row r="3649">
      <c r="J3649" s="12">
        <f>IF(F3649&lt;&gt;0,"LANÇAR","")</f>
        <v/>
      </c>
      <c r="L3649" s="13">
        <f>N3649&amp;O3649&amp;P3649&amp;Q3649&amp;R3649&amp;S3649&amp;T3649&amp;U3649&amp;V3649&amp;W3649&amp;X3649&amp;Y3649&amp;Z3649&amp;AA3649&amp;AB3649&amp;AC3649&amp;AD3649&amp;AE3649&amp;AF3649&amp;AG3649</f>
        <v/>
      </c>
      <c r="N3649" s="10">
        <f>TEXT($B$6,"00")</f>
        <v/>
      </c>
      <c r="O3649" s="10">
        <f>REPT(" ",8)</f>
        <v/>
      </c>
      <c r="P3649" s="10">
        <f>RIGHT($B$4,2)</f>
        <v/>
      </c>
      <c r="Q3649" s="10">
        <f>RIGHT($B$5,3)</f>
        <v/>
      </c>
      <c r="R3649" s="10">
        <f>IF(A3649="D",LEFT(UPPER(B3649)&amp;REPT(" ",20),20),REPT(" ",20))</f>
        <v/>
      </c>
      <c r="S3649" s="10">
        <f>IF(A3649="D",LEFT(UPPER(C3649)&amp;REPT(" ",10),10)," ")</f>
        <v/>
      </c>
      <c r="T3649" s="10">
        <f>IF(A3649="D",LEFT(UPPER(D3649)&amp;REPT(" ",2),2)," ")</f>
        <v/>
      </c>
      <c r="U3649" s="10">
        <f>IF(A3649="D",LEFT(UPPER(E3649)&amp;REPT(" ",15),15)," ")</f>
        <v/>
      </c>
      <c r="V3649" s="10">
        <f>REPT(" ",24)</f>
        <v/>
      </c>
      <c r="W3649" s="10">
        <f>IF(A3649="c",LEFT(UPPER(B3649)&amp;REPT(" ",20),20),REPT(" ",20))</f>
        <v/>
      </c>
      <c r="X3649" s="10">
        <f>IF(A3649="C",LEFT(UPPER(C3649)&amp;REPT(" ",10),10)," ")</f>
        <v/>
      </c>
      <c r="Y3649" s="10">
        <f>IF(A3649="C",LEFT(UPPER(D3649)&amp;REPT(" ",2),2)," ")</f>
        <v/>
      </c>
      <c r="Z3649" s="10">
        <f>IF(A3649="C",LEFT(UPPER(E3649)&amp;REPT(" ",15),15)," ")</f>
        <v/>
      </c>
      <c r="AA3649" s="10">
        <f>REPT(" ",8)</f>
        <v/>
      </c>
      <c r="AB3649" s="10">
        <f>REPT(" ",4)</f>
        <v/>
      </c>
      <c r="AC3649" s="10">
        <f>LEFT(UPPER(H3649)&amp;REPT(" ",250),250)</f>
        <v/>
      </c>
      <c r="AD3649" s="10">
        <f>TEXT($G$2,"dd/mm/aaaa")</f>
        <v/>
      </c>
      <c r="AE3649" s="10">
        <f>REPT(" ",10)</f>
        <v/>
      </c>
      <c r="AF3649" s="10">
        <f>REPT(" ",20)</f>
        <v/>
      </c>
      <c r="AG3649" s="54">
        <f>REPT(" ",18-LEN(FIXED(F3649,2,TRUE)))&amp;FIXED(F3649,2,TRUE)</f>
        <v/>
      </c>
      <c r="AH3649" s="10">
        <f>LEN(AC3649)+LEN(AG3649)</f>
        <v/>
      </c>
      <c r="AI3649" s="10">
        <f>LEN(L3649)</f>
        <v/>
      </c>
    </row>
    <row r="3650">
      <c r="J3650" s="12">
        <f>IF(F3650&lt;&gt;0,"LANÇAR","")</f>
        <v/>
      </c>
      <c r="L3650" s="13">
        <f>N3650&amp;O3650&amp;P3650&amp;Q3650&amp;R3650&amp;S3650&amp;T3650&amp;U3650&amp;V3650&amp;W3650&amp;X3650&amp;Y3650&amp;Z3650&amp;AA3650&amp;AB3650&amp;AC3650&amp;AD3650&amp;AE3650&amp;AF3650&amp;AG3650</f>
        <v/>
      </c>
      <c r="N3650" s="10">
        <f>TEXT($B$6,"00")</f>
        <v/>
      </c>
      <c r="O3650" s="10">
        <f>REPT(" ",8)</f>
        <v/>
      </c>
      <c r="P3650" s="10">
        <f>RIGHT($B$4,2)</f>
        <v/>
      </c>
      <c r="Q3650" s="10">
        <f>RIGHT($B$5,3)</f>
        <v/>
      </c>
      <c r="R3650" s="10">
        <f>IF(A3650="D",LEFT(UPPER(B3650)&amp;REPT(" ",20),20),REPT(" ",20))</f>
        <v/>
      </c>
      <c r="S3650" s="10">
        <f>IF(A3650="D",LEFT(UPPER(C3650)&amp;REPT(" ",10),10)," ")</f>
        <v/>
      </c>
      <c r="T3650" s="10">
        <f>IF(A3650="D",LEFT(UPPER(D3650)&amp;REPT(" ",2),2)," ")</f>
        <v/>
      </c>
      <c r="U3650" s="10">
        <f>IF(A3650="D",LEFT(UPPER(E3650)&amp;REPT(" ",15),15)," ")</f>
        <v/>
      </c>
      <c r="V3650" s="10">
        <f>REPT(" ",24)</f>
        <v/>
      </c>
      <c r="W3650" s="10">
        <f>IF(A3650="c",LEFT(UPPER(B3650)&amp;REPT(" ",20),20),REPT(" ",20))</f>
        <v/>
      </c>
      <c r="X3650" s="10">
        <f>IF(A3650="C",LEFT(UPPER(C3650)&amp;REPT(" ",10),10)," ")</f>
        <v/>
      </c>
      <c r="Y3650" s="10">
        <f>IF(A3650="C",LEFT(UPPER(D3650)&amp;REPT(" ",2),2)," ")</f>
        <v/>
      </c>
      <c r="Z3650" s="10">
        <f>IF(A3650="C",LEFT(UPPER(E3650)&amp;REPT(" ",15),15)," ")</f>
        <v/>
      </c>
      <c r="AA3650" s="10">
        <f>REPT(" ",8)</f>
        <v/>
      </c>
      <c r="AB3650" s="10">
        <f>REPT(" ",4)</f>
        <v/>
      </c>
      <c r="AC3650" s="10">
        <f>LEFT(UPPER(H3650)&amp;REPT(" ",250),250)</f>
        <v/>
      </c>
      <c r="AD3650" s="10">
        <f>TEXT($G$2,"dd/mm/aaaa")</f>
        <v/>
      </c>
      <c r="AE3650" s="10">
        <f>REPT(" ",10)</f>
        <v/>
      </c>
      <c r="AF3650" s="10">
        <f>REPT(" ",20)</f>
        <v/>
      </c>
      <c r="AG3650" s="54">
        <f>REPT(" ",18-LEN(FIXED(F3650,2,TRUE)))&amp;FIXED(F3650,2,TRUE)</f>
        <v/>
      </c>
      <c r="AH3650" s="10">
        <f>LEN(AC3650)+LEN(AG3650)</f>
        <v/>
      </c>
      <c r="AI3650" s="10">
        <f>LEN(L3650)</f>
        <v/>
      </c>
    </row>
    <row r="3651">
      <c r="J3651" s="12">
        <f>IF(F3651&lt;&gt;0,"LANÇAR","")</f>
        <v/>
      </c>
      <c r="L3651" s="13">
        <f>N3651&amp;O3651&amp;P3651&amp;Q3651&amp;R3651&amp;S3651&amp;T3651&amp;U3651&amp;V3651&amp;W3651&amp;X3651&amp;Y3651&amp;Z3651&amp;AA3651&amp;AB3651&amp;AC3651&amp;AD3651&amp;AE3651&amp;AF3651&amp;AG3651</f>
        <v/>
      </c>
      <c r="N3651" s="10">
        <f>TEXT($B$6,"00")</f>
        <v/>
      </c>
      <c r="O3651" s="10">
        <f>REPT(" ",8)</f>
        <v/>
      </c>
      <c r="P3651" s="10">
        <f>RIGHT($B$4,2)</f>
        <v/>
      </c>
      <c r="Q3651" s="10">
        <f>RIGHT($B$5,3)</f>
        <v/>
      </c>
      <c r="R3651" s="10">
        <f>IF(A3651="D",LEFT(UPPER(B3651)&amp;REPT(" ",20),20),REPT(" ",20))</f>
        <v/>
      </c>
      <c r="S3651" s="10">
        <f>IF(A3651="D",LEFT(UPPER(C3651)&amp;REPT(" ",10),10)," ")</f>
        <v/>
      </c>
      <c r="T3651" s="10">
        <f>IF(A3651="D",LEFT(UPPER(D3651)&amp;REPT(" ",2),2)," ")</f>
        <v/>
      </c>
      <c r="U3651" s="10">
        <f>IF(A3651="D",LEFT(UPPER(E3651)&amp;REPT(" ",15),15)," ")</f>
        <v/>
      </c>
      <c r="V3651" s="10">
        <f>REPT(" ",24)</f>
        <v/>
      </c>
      <c r="W3651" s="10">
        <f>IF(A3651="c",LEFT(UPPER(B3651)&amp;REPT(" ",20),20),REPT(" ",20))</f>
        <v/>
      </c>
      <c r="X3651" s="10">
        <f>IF(A3651="C",LEFT(UPPER(C3651)&amp;REPT(" ",10),10)," ")</f>
        <v/>
      </c>
      <c r="Y3651" s="10">
        <f>IF(A3651="C",LEFT(UPPER(D3651)&amp;REPT(" ",2),2)," ")</f>
        <v/>
      </c>
      <c r="Z3651" s="10">
        <f>IF(A3651="C",LEFT(UPPER(E3651)&amp;REPT(" ",15),15)," ")</f>
        <v/>
      </c>
      <c r="AA3651" s="10">
        <f>REPT(" ",8)</f>
        <v/>
      </c>
      <c r="AB3651" s="10">
        <f>REPT(" ",4)</f>
        <v/>
      </c>
      <c r="AC3651" s="10">
        <f>LEFT(UPPER(H3651)&amp;REPT(" ",250),250)</f>
        <v/>
      </c>
      <c r="AD3651" s="10">
        <f>TEXT($G$2,"dd/mm/aaaa")</f>
        <v/>
      </c>
      <c r="AE3651" s="10">
        <f>REPT(" ",10)</f>
        <v/>
      </c>
      <c r="AF3651" s="10">
        <f>REPT(" ",20)</f>
        <v/>
      </c>
      <c r="AG3651" s="54">
        <f>REPT(" ",18-LEN(FIXED(F3651,2,TRUE)))&amp;FIXED(F3651,2,TRUE)</f>
        <v/>
      </c>
      <c r="AH3651" s="10">
        <f>LEN(AC3651)+LEN(AG3651)</f>
        <v/>
      </c>
      <c r="AI3651" s="10">
        <f>LEN(L3651)</f>
        <v/>
      </c>
    </row>
    <row r="3652">
      <c r="J3652" s="12">
        <f>IF(F3652&lt;&gt;0,"LANÇAR","")</f>
        <v/>
      </c>
      <c r="L3652" s="13">
        <f>N3652&amp;O3652&amp;P3652&amp;Q3652&amp;R3652&amp;S3652&amp;T3652&amp;U3652&amp;V3652&amp;W3652&amp;X3652&amp;Y3652&amp;Z3652&amp;AA3652&amp;AB3652&amp;AC3652&amp;AD3652&amp;AE3652&amp;AF3652&amp;AG3652</f>
        <v/>
      </c>
      <c r="N3652" s="10">
        <f>TEXT($B$6,"00")</f>
        <v/>
      </c>
      <c r="O3652" s="10">
        <f>REPT(" ",8)</f>
        <v/>
      </c>
      <c r="P3652" s="10">
        <f>RIGHT($B$4,2)</f>
        <v/>
      </c>
      <c r="Q3652" s="10">
        <f>RIGHT($B$5,3)</f>
        <v/>
      </c>
      <c r="R3652" s="10">
        <f>IF(A3652="D",LEFT(UPPER(B3652)&amp;REPT(" ",20),20),REPT(" ",20))</f>
        <v/>
      </c>
      <c r="S3652" s="10">
        <f>IF(A3652="D",LEFT(UPPER(C3652)&amp;REPT(" ",10),10)," ")</f>
        <v/>
      </c>
      <c r="T3652" s="10">
        <f>IF(A3652="D",LEFT(UPPER(D3652)&amp;REPT(" ",2),2)," ")</f>
        <v/>
      </c>
      <c r="U3652" s="10">
        <f>IF(A3652="D",LEFT(UPPER(E3652)&amp;REPT(" ",15),15)," ")</f>
        <v/>
      </c>
      <c r="V3652" s="10">
        <f>REPT(" ",24)</f>
        <v/>
      </c>
      <c r="W3652" s="10">
        <f>IF(A3652="c",LEFT(UPPER(B3652)&amp;REPT(" ",20),20),REPT(" ",20))</f>
        <v/>
      </c>
      <c r="X3652" s="10">
        <f>IF(A3652="C",LEFT(UPPER(C3652)&amp;REPT(" ",10),10)," ")</f>
        <v/>
      </c>
      <c r="Y3652" s="10">
        <f>IF(A3652="C",LEFT(UPPER(D3652)&amp;REPT(" ",2),2)," ")</f>
        <v/>
      </c>
      <c r="Z3652" s="10">
        <f>IF(A3652="C",LEFT(UPPER(E3652)&amp;REPT(" ",15),15)," ")</f>
        <v/>
      </c>
      <c r="AA3652" s="10">
        <f>REPT(" ",8)</f>
        <v/>
      </c>
      <c r="AB3652" s="10">
        <f>REPT(" ",4)</f>
        <v/>
      </c>
      <c r="AC3652" s="10">
        <f>LEFT(UPPER(H3652)&amp;REPT(" ",250),250)</f>
        <v/>
      </c>
      <c r="AD3652" s="10">
        <f>TEXT($G$2,"dd/mm/aaaa")</f>
        <v/>
      </c>
      <c r="AE3652" s="10">
        <f>REPT(" ",10)</f>
        <v/>
      </c>
      <c r="AF3652" s="10">
        <f>REPT(" ",20)</f>
        <v/>
      </c>
      <c r="AG3652" s="54">
        <f>REPT(" ",18-LEN(FIXED(F3652,2,TRUE)))&amp;FIXED(F3652,2,TRUE)</f>
        <v/>
      </c>
      <c r="AH3652" s="10">
        <f>LEN(AC3652)+LEN(AG3652)</f>
        <v/>
      </c>
      <c r="AI3652" s="10">
        <f>LEN(L3652)</f>
        <v/>
      </c>
    </row>
    <row r="3653">
      <c r="J3653" s="12">
        <f>IF(F3653&lt;&gt;0,"LANÇAR","")</f>
        <v/>
      </c>
      <c r="L3653" s="13">
        <f>N3653&amp;O3653&amp;P3653&amp;Q3653&amp;R3653&amp;S3653&amp;T3653&amp;U3653&amp;V3653&amp;W3653&amp;X3653&amp;Y3653&amp;Z3653&amp;AA3653&amp;AB3653&amp;AC3653&amp;AD3653&amp;AE3653&amp;AF3653&amp;AG3653</f>
        <v/>
      </c>
      <c r="N3653" s="10">
        <f>TEXT($B$6,"00")</f>
        <v/>
      </c>
      <c r="O3653" s="10">
        <f>REPT(" ",8)</f>
        <v/>
      </c>
      <c r="P3653" s="10">
        <f>RIGHT($B$4,2)</f>
        <v/>
      </c>
      <c r="Q3653" s="10">
        <f>RIGHT($B$5,3)</f>
        <v/>
      </c>
      <c r="R3653" s="10">
        <f>IF(A3653="D",LEFT(UPPER(B3653)&amp;REPT(" ",20),20),REPT(" ",20))</f>
        <v/>
      </c>
      <c r="S3653" s="10">
        <f>IF(A3653="D",LEFT(UPPER(C3653)&amp;REPT(" ",10),10)," ")</f>
        <v/>
      </c>
      <c r="T3653" s="10">
        <f>IF(A3653="D",LEFT(UPPER(D3653)&amp;REPT(" ",2),2)," ")</f>
        <v/>
      </c>
      <c r="U3653" s="10">
        <f>IF(A3653="D",LEFT(UPPER(E3653)&amp;REPT(" ",15),15)," ")</f>
        <v/>
      </c>
      <c r="V3653" s="10">
        <f>REPT(" ",24)</f>
        <v/>
      </c>
      <c r="W3653" s="10">
        <f>IF(A3653="c",LEFT(UPPER(B3653)&amp;REPT(" ",20),20),REPT(" ",20))</f>
        <v/>
      </c>
      <c r="X3653" s="10">
        <f>IF(A3653="C",LEFT(UPPER(C3653)&amp;REPT(" ",10),10)," ")</f>
        <v/>
      </c>
      <c r="Y3653" s="10">
        <f>IF(A3653="C",LEFT(UPPER(D3653)&amp;REPT(" ",2),2)," ")</f>
        <v/>
      </c>
      <c r="Z3653" s="10">
        <f>IF(A3653="C",LEFT(UPPER(E3653)&amp;REPT(" ",15),15)," ")</f>
        <v/>
      </c>
      <c r="AA3653" s="10">
        <f>REPT(" ",8)</f>
        <v/>
      </c>
      <c r="AB3653" s="10">
        <f>REPT(" ",4)</f>
        <v/>
      </c>
      <c r="AC3653" s="10">
        <f>LEFT(UPPER(H3653)&amp;REPT(" ",250),250)</f>
        <v/>
      </c>
      <c r="AD3653" s="10">
        <f>TEXT($G$2,"dd/mm/aaaa")</f>
        <v/>
      </c>
      <c r="AE3653" s="10">
        <f>REPT(" ",10)</f>
        <v/>
      </c>
      <c r="AF3653" s="10">
        <f>REPT(" ",20)</f>
        <v/>
      </c>
      <c r="AG3653" s="54">
        <f>REPT(" ",18-LEN(FIXED(F3653,2,TRUE)))&amp;FIXED(F3653,2,TRUE)</f>
        <v/>
      </c>
      <c r="AH3653" s="10">
        <f>LEN(AC3653)+LEN(AG3653)</f>
        <v/>
      </c>
      <c r="AI3653" s="10">
        <f>LEN(L3653)</f>
        <v/>
      </c>
    </row>
    <row r="3654">
      <c r="J3654" s="12">
        <f>IF(F3654&lt;&gt;0,"LANÇAR","")</f>
        <v/>
      </c>
      <c r="L3654" s="13">
        <f>N3654&amp;O3654&amp;P3654&amp;Q3654&amp;R3654&amp;S3654&amp;T3654&amp;U3654&amp;V3654&amp;W3654&amp;X3654&amp;Y3654&amp;Z3654&amp;AA3654&amp;AB3654&amp;AC3654&amp;AD3654&amp;AE3654&amp;AF3654&amp;AG3654</f>
        <v/>
      </c>
      <c r="N3654" s="10">
        <f>TEXT($B$6,"00")</f>
        <v/>
      </c>
      <c r="O3654" s="10">
        <f>REPT(" ",8)</f>
        <v/>
      </c>
      <c r="P3654" s="10">
        <f>RIGHT($B$4,2)</f>
        <v/>
      </c>
      <c r="Q3654" s="10">
        <f>RIGHT($B$5,3)</f>
        <v/>
      </c>
      <c r="R3654" s="10">
        <f>IF(A3654="D",LEFT(UPPER(B3654)&amp;REPT(" ",20),20),REPT(" ",20))</f>
        <v/>
      </c>
      <c r="S3654" s="10">
        <f>IF(A3654="D",LEFT(UPPER(C3654)&amp;REPT(" ",10),10)," ")</f>
        <v/>
      </c>
      <c r="T3654" s="10">
        <f>IF(A3654="D",LEFT(UPPER(D3654)&amp;REPT(" ",2),2)," ")</f>
        <v/>
      </c>
      <c r="U3654" s="10">
        <f>IF(A3654="D",LEFT(UPPER(E3654)&amp;REPT(" ",15),15)," ")</f>
        <v/>
      </c>
      <c r="V3654" s="10">
        <f>REPT(" ",24)</f>
        <v/>
      </c>
      <c r="W3654" s="10">
        <f>IF(A3654="c",LEFT(UPPER(B3654)&amp;REPT(" ",20),20),REPT(" ",20))</f>
        <v/>
      </c>
      <c r="X3654" s="10">
        <f>IF(A3654="C",LEFT(UPPER(C3654)&amp;REPT(" ",10),10)," ")</f>
        <v/>
      </c>
      <c r="Y3654" s="10">
        <f>IF(A3654="C",LEFT(UPPER(D3654)&amp;REPT(" ",2),2)," ")</f>
        <v/>
      </c>
      <c r="Z3654" s="10">
        <f>IF(A3654="C",LEFT(UPPER(E3654)&amp;REPT(" ",15),15)," ")</f>
        <v/>
      </c>
      <c r="AA3654" s="10">
        <f>REPT(" ",8)</f>
        <v/>
      </c>
      <c r="AB3654" s="10">
        <f>REPT(" ",4)</f>
        <v/>
      </c>
      <c r="AC3654" s="10">
        <f>LEFT(UPPER(H3654)&amp;REPT(" ",250),250)</f>
        <v/>
      </c>
      <c r="AD3654" s="10">
        <f>TEXT($G$2,"dd/mm/aaaa")</f>
        <v/>
      </c>
      <c r="AE3654" s="10">
        <f>REPT(" ",10)</f>
        <v/>
      </c>
      <c r="AF3654" s="10">
        <f>REPT(" ",20)</f>
        <v/>
      </c>
      <c r="AG3654" s="54">
        <f>REPT(" ",18-LEN(FIXED(F3654,2,TRUE)))&amp;FIXED(F3654,2,TRUE)</f>
        <v/>
      </c>
      <c r="AH3654" s="10">
        <f>LEN(AC3654)+LEN(AG3654)</f>
        <v/>
      </c>
      <c r="AI3654" s="10">
        <f>LEN(L3654)</f>
        <v/>
      </c>
    </row>
    <row r="3655">
      <c r="J3655" s="12">
        <f>IF(F3655&lt;&gt;0,"LANÇAR","")</f>
        <v/>
      </c>
      <c r="L3655" s="13">
        <f>N3655&amp;O3655&amp;P3655&amp;Q3655&amp;R3655&amp;S3655&amp;T3655&amp;U3655&amp;V3655&amp;W3655&amp;X3655&amp;Y3655&amp;Z3655&amp;AA3655&amp;AB3655&amp;AC3655&amp;AD3655&amp;AE3655&amp;AF3655&amp;AG3655</f>
        <v/>
      </c>
      <c r="N3655" s="10">
        <f>TEXT($B$6,"00")</f>
        <v/>
      </c>
      <c r="O3655" s="10">
        <f>REPT(" ",8)</f>
        <v/>
      </c>
      <c r="P3655" s="10">
        <f>RIGHT($B$4,2)</f>
        <v/>
      </c>
      <c r="Q3655" s="10">
        <f>RIGHT($B$5,3)</f>
        <v/>
      </c>
      <c r="R3655" s="10">
        <f>IF(A3655="D",LEFT(UPPER(B3655)&amp;REPT(" ",20),20),REPT(" ",20))</f>
        <v/>
      </c>
      <c r="S3655" s="10">
        <f>IF(A3655="D",LEFT(UPPER(C3655)&amp;REPT(" ",10),10)," ")</f>
        <v/>
      </c>
      <c r="T3655" s="10">
        <f>IF(A3655="D",LEFT(UPPER(D3655)&amp;REPT(" ",2),2)," ")</f>
        <v/>
      </c>
      <c r="U3655" s="10">
        <f>IF(A3655="D",LEFT(UPPER(E3655)&amp;REPT(" ",15),15)," ")</f>
        <v/>
      </c>
      <c r="V3655" s="10">
        <f>REPT(" ",24)</f>
        <v/>
      </c>
      <c r="W3655" s="10">
        <f>IF(A3655="c",LEFT(UPPER(B3655)&amp;REPT(" ",20),20),REPT(" ",20))</f>
        <v/>
      </c>
      <c r="X3655" s="10">
        <f>IF(A3655="C",LEFT(UPPER(C3655)&amp;REPT(" ",10),10)," ")</f>
        <v/>
      </c>
      <c r="Y3655" s="10">
        <f>IF(A3655="C",LEFT(UPPER(D3655)&amp;REPT(" ",2),2)," ")</f>
        <v/>
      </c>
      <c r="Z3655" s="10">
        <f>IF(A3655="C",LEFT(UPPER(E3655)&amp;REPT(" ",15),15)," ")</f>
        <v/>
      </c>
      <c r="AA3655" s="10">
        <f>REPT(" ",8)</f>
        <v/>
      </c>
      <c r="AB3655" s="10">
        <f>REPT(" ",4)</f>
        <v/>
      </c>
      <c r="AC3655" s="10">
        <f>LEFT(UPPER(H3655)&amp;REPT(" ",250),250)</f>
        <v/>
      </c>
      <c r="AD3655" s="10">
        <f>TEXT($G$2,"dd/mm/aaaa")</f>
        <v/>
      </c>
      <c r="AE3655" s="10">
        <f>REPT(" ",10)</f>
        <v/>
      </c>
      <c r="AF3655" s="10">
        <f>REPT(" ",20)</f>
        <v/>
      </c>
      <c r="AG3655" s="54">
        <f>REPT(" ",18-LEN(FIXED(F3655,2,TRUE)))&amp;FIXED(F3655,2,TRUE)</f>
        <v/>
      </c>
      <c r="AH3655" s="10">
        <f>LEN(AC3655)+LEN(AG3655)</f>
        <v/>
      </c>
      <c r="AI3655" s="10">
        <f>LEN(L3655)</f>
        <v/>
      </c>
    </row>
    <row r="3656">
      <c r="J3656" s="12">
        <f>IF(F3656&lt;&gt;0,"LANÇAR","")</f>
        <v/>
      </c>
      <c r="L3656" s="13">
        <f>N3656&amp;O3656&amp;P3656&amp;Q3656&amp;R3656&amp;S3656&amp;T3656&amp;U3656&amp;V3656&amp;W3656&amp;X3656&amp;Y3656&amp;Z3656&amp;AA3656&amp;AB3656&amp;AC3656&amp;AD3656&amp;AE3656&amp;AF3656&amp;AG3656</f>
        <v/>
      </c>
      <c r="N3656" s="10">
        <f>TEXT($B$6,"00")</f>
        <v/>
      </c>
      <c r="O3656" s="10">
        <f>REPT(" ",8)</f>
        <v/>
      </c>
      <c r="P3656" s="10">
        <f>RIGHT($B$4,2)</f>
        <v/>
      </c>
      <c r="Q3656" s="10">
        <f>RIGHT($B$5,3)</f>
        <v/>
      </c>
      <c r="R3656" s="10">
        <f>IF(A3656="D",LEFT(UPPER(B3656)&amp;REPT(" ",20),20),REPT(" ",20))</f>
        <v/>
      </c>
      <c r="S3656" s="10">
        <f>IF(A3656="D",LEFT(UPPER(C3656)&amp;REPT(" ",10),10)," ")</f>
        <v/>
      </c>
      <c r="T3656" s="10">
        <f>IF(A3656="D",LEFT(UPPER(D3656)&amp;REPT(" ",2),2)," ")</f>
        <v/>
      </c>
      <c r="U3656" s="10">
        <f>IF(A3656="D",LEFT(UPPER(E3656)&amp;REPT(" ",15),15)," ")</f>
        <v/>
      </c>
      <c r="V3656" s="10">
        <f>REPT(" ",24)</f>
        <v/>
      </c>
      <c r="W3656" s="10">
        <f>IF(A3656="c",LEFT(UPPER(B3656)&amp;REPT(" ",20),20),REPT(" ",20))</f>
        <v/>
      </c>
      <c r="X3656" s="10">
        <f>IF(A3656="C",LEFT(UPPER(C3656)&amp;REPT(" ",10),10)," ")</f>
        <v/>
      </c>
      <c r="Y3656" s="10">
        <f>IF(A3656="C",LEFT(UPPER(D3656)&amp;REPT(" ",2),2)," ")</f>
        <v/>
      </c>
      <c r="Z3656" s="10">
        <f>IF(A3656="C",LEFT(UPPER(E3656)&amp;REPT(" ",15),15)," ")</f>
        <v/>
      </c>
      <c r="AA3656" s="10">
        <f>REPT(" ",8)</f>
        <v/>
      </c>
      <c r="AB3656" s="10">
        <f>REPT(" ",4)</f>
        <v/>
      </c>
      <c r="AC3656" s="10">
        <f>LEFT(UPPER(H3656)&amp;REPT(" ",250),250)</f>
        <v/>
      </c>
      <c r="AD3656" s="10">
        <f>TEXT($G$2,"dd/mm/aaaa")</f>
        <v/>
      </c>
      <c r="AE3656" s="10">
        <f>REPT(" ",10)</f>
        <v/>
      </c>
      <c r="AF3656" s="10">
        <f>REPT(" ",20)</f>
        <v/>
      </c>
      <c r="AG3656" s="54">
        <f>REPT(" ",18-LEN(FIXED(F3656,2,TRUE)))&amp;FIXED(F3656,2,TRUE)</f>
        <v/>
      </c>
      <c r="AH3656" s="10">
        <f>LEN(AC3656)+LEN(AG3656)</f>
        <v/>
      </c>
      <c r="AI3656" s="10">
        <f>LEN(L3656)</f>
        <v/>
      </c>
    </row>
    <row r="3657">
      <c r="J3657" s="12">
        <f>IF(F3657&lt;&gt;0,"LANÇAR","")</f>
        <v/>
      </c>
      <c r="L3657" s="13">
        <f>N3657&amp;O3657&amp;P3657&amp;Q3657&amp;R3657&amp;S3657&amp;T3657&amp;U3657&amp;V3657&amp;W3657&amp;X3657&amp;Y3657&amp;Z3657&amp;AA3657&amp;AB3657&amp;AC3657&amp;AD3657&amp;AE3657&amp;AF3657&amp;AG3657</f>
        <v/>
      </c>
      <c r="N3657" s="10">
        <f>TEXT($B$6,"00")</f>
        <v/>
      </c>
      <c r="O3657" s="10">
        <f>REPT(" ",8)</f>
        <v/>
      </c>
      <c r="P3657" s="10">
        <f>RIGHT($B$4,2)</f>
        <v/>
      </c>
      <c r="Q3657" s="10">
        <f>RIGHT($B$5,3)</f>
        <v/>
      </c>
      <c r="R3657" s="10">
        <f>IF(A3657="D",LEFT(UPPER(B3657)&amp;REPT(" ",20),20),REPT(" ",20))</f>
        <v/>
      </c>
      <c r="S3657" s="10">
        <f>IF(A3657="D",LEFT(UPPER(C3657)&amp;REPT(" ",10),10)," ")</f>
        <v/>
      </c>
      <c r="T3657" s="10">
        <f>IF(A3657="D",LEFT(UPPER(D3657)&amp;REPT(" ",2),2)," ")</f>
        <v/>
      </c>
      <c r="U3657" s="10">
        <f>IF(A3657="D",LEFT(UPPER(E3657)&amp;REPT(" ",15),15)," ")</f>
        <v/>
      </c>
      <c r="V3657" s="10">
        <f>REPT(" ",24)</f>
        <v/>
      </c>
      <c r="W3657" s="10">
        <f>IF(A3657="c",LEFT(UPPER(B3657)&amp;REPT(" ",20),20),REPT(" ",20))</f>
        <v/>
      </c>
      <c r="X3657" s="10">
        <f>IF(A3657="C",LEFT(UPPER(C3657)&amp;REPT(" ",10),10)," ")</f>
        <v/>
      </c>
      <c r="Y3657" s="10">
        <f>IF(A3657="C",LEFT(UPPER(D3657)&amp;REPT(" ",2),2)," ")</f>
        <v/>
      </c>
      <c r="Z3657" s="10">
        <f>IF(A3657="C",LEFT(UPPER(E3657)&amp;REPT(" ",15),15)," ")</f>
        <v/>
      </c>
      <c r="AA3657" s="10">
        <f>REPT(" ",8)</f>
        <v/>
      </c>
      <c r="AB3657" s="10">
        <f>REPT(" ",4)</f>
        <v/>
      </c>
      <c r="AC3657" s="10">
        <f>LEFT(UPPER(H3657)&amp;REPT(" ",250),250)</f>
        <v/>
      </c>
      <c r="AD3657" s="10">
        <f>TEXT($G$2,"dd/mm/aaaa")</f>
        <v/>
      </c>
      <c r="AE3657" s="10">
        <f>REPT(" ",10)</f>
        <v/>
      </c>
      <c r="AF3657" s="10">
        <f>REPT(" ",20)</f>
        <v/>
      </c>
      <c r="AG3657" s="54">
        <f>REPT(" ",18-LEN(FIXED(F3657,2,TRUE)))&amp;FIXED(F3657,2,TRUE)</f>
        <v/>
      </c>
      <c r="AH3657" s="10">
        <f>LEN(AC3657)+LEN(AG3657)</f>
        <v/>
      </c>
      <c r="AI3657" s="10">
        <f>LEN(L3657)</f>
        <v/>
      </c>
    </row>
    <row r="3658">
      <c r="J3658" s="12">
        <f>IF(F3658&lt;&gt;0,"LANÇAR","")</f>
        <v/>
      </c>
      <c r="L3658" s="13">
        <f>N3658&amp;O3658&amp;P3658&amp;Q3658&amp;R3658&amp;S3658&amp;T3658&amp;U3658&amp;V3658&amp;W3658&amp;X3658&amp;Y3658&amp;Z3658&amp;AA3658&amp;AB3658&amp;AC3658&amp;AD3658&amp;AE3658&amp;AF3658&amp;AG3658</f>
        <v/>
      </c>
      <c r="N3658" s="10">
        <f>TEXT($B$6,"00")</f>
        <v/>
      </c>
      <c r="O3658" s="10">
        <f>REPT(" ",8)</f>
        <v/>
      </c>
      <c r="P3658" s="10">
        <f>RIGHT($B$4,2)</f>
        <v/>
      </c>
      <c r="Q3658" s="10">
        <f>RIGHT($B$5,3)</f>
        <v/>
      </c>
      <c r="R3658" s="10">
        <f>IF(A3658="D",LEFT(UPPER(B3658)&amp;REPT(" ",20),20),REPT(" ",20))</f>
        <v/>
      </c>
      <c r="S3658" s="10">
        <f>IF(A3658="D",LEFT(UPPER(C3658)&amp;REPT(" ",10),10)," ")</f>
        <v/>
      </c>
      <c r="T3658" s="10">
        <f>IF(A3658="D",LEFT(UPPER(D3658)&amp;REPT(" ",2),2)," ")</f>
        <v/>
      </c>
      <c r="U3658" s="10">
        <f>IF(A3658="D",LEFT(UPPER(E3658)&amp;REPT(" ",15),15)," ")</f>
        <v/>
      </c>
      <c r="V3658" s="10">
        <f>REPT(" ",24)</f>
        <v/>
      </c>
      <c r="W3658" s="10">
        <f>IF(A3658="c",LEFT(UPPER(B3658)&amp;REPT(" ",20),20),REPT(" ",20))</f>
        <v/>
      </c>
      <c r="X3658" s="10">
        <f>IF(A3658="C",LEFT(UPPER(C3658)&amp;REPT(" ",10),10)," ")</f>
        <v/>
      </c>
      <c r="Y3658" s="10">
        <f>IF(A3658="C",LEFT(UPPER(D3658)&amp;REPT(" ",2),2)," ")</f>
        <v/>
      </c>
      <c r="Z3658" s="10">
        <f>IF(A3658="C",LEFT(UPPER(E3658)&amp;REPT(" ",15),15)," ")</f>
        <v/>
      </c>
      <c r="AA3658" s="10">
        <f>REPT(" ",8)</f>
        <v/>
      </c>
      <c r="AB3658" s="10">
        <f>REPT(" ",4)</f>
        <v/>
      </c>
      <c r="AC3658" s="10">
        <f>LEFT(UPPER(H3658)&amp;REPT(" ",250),250)</f>
        <v/>
      </c>
      <c r="AD3658" s="10">
        <f>TEXT($G$2,"dd/mm/aaaa")</f>
        <v/>
      </c>
      <c r="AE3658" s="10">
        <f>REPT(" ",10)</f>
        <v/>
      </c>
      <c r="AF3658" s="10">
        <f>REPT(" ",20)</f>
        <v/>
      </c>
      <c r="AG3658" s="54">
        <f>REPT(" ",18-LEN(FIXED(F3658,2,TRUE)))&amp;FIXED(F3658,2,TRUE)</f>
        <v/>
      </c>
      <c r="AH3658" s="10">
        <f>LEN(AC3658)+LEN(AG3658)</f>
        <v/>
      </c>
      <c r="AI3658" s="10">
        <f>LEN(L3658)</f>
        <v/>
      </c>
    </row>
    <row r="3659">
      <c r="J3659" s="12">
        <f>IF(F3659&lt;&gt;0,"LANÇAR","")</f>
        <v/>
      </c>
      <c r="L3659" s="13">
        <f>N3659&amp;O3659&amp;P3659&amp;Q3659&amp;R3659&amp;S3659&amp;T3659&amp;U3659&amp;V3659&amp;W3659&amp;X3659&amp;Y3659&amp;Z3659&amp;AA3659&amp;AB3659&amp;AC3659&amp;AD3659&amp;AE3659&amp;AF3659&amp;AG3659</f>
        <v/>
      </c>
      <c r="N3659" s="10">
        <f>TEXT($B$6,"00")</f>
        <v/>
      </c>
      <c r="O3659" s="10">
        <f>REPT(" ",8)</f>
        <v/>
      </c>
      <c r="P3659" s="10">
        <f>RIGHT($B$4,2)</f>
        <v/>
      </c>
      <c r="Q3659" s="10">
        <f>RIGHT($B$5,3)</f>
        <v/>
      </c>
      <c r="R3659" s="10">
        <f>IF(A3659="D",LEFT(UPPER(B3659)&amp;REPT(" ",20),20),REPT(" ",20))</f>
        <v/>
      </c>
      <c r="S3659" s="10">
        <f>IF(A3659="D",LEFT(UPPER(C3659)&amp;REPT(" ",10),10)," ")</f>
        <v/>
      </c>
      <c r="T3659" s="10">
        <f>IF(A3659="D",LEFT(UPPER(D3659)&amp;REPT(" ",2),2)," ")</f>
        <v/>
      </c>
      <c r="U3659" s="10">
        <f>IF(A3659="D",LEFT(UPPER(E3659)&amp;REPT(" ",15),15)," ")</f>
        <v/>
      </c>
      <c r="V3659" s="10">
        <f>REPT(" ",24)</f>
        <v/>
      </c>
      <c r="W3659" s="10">
        <f>IF(A3659="c",LEFT(UPPER(B3659)&amp;REPT(" ",20),20),REPT(" ",20))</f>
        <v/>
      </c>
      <c r="X3659" s="10">
        <f>IF(A3659="C",LEFT(UPPER(C3659)&amp;REPT(" ",10),10)," ")</f>
        <v/>
      </c>
      <c r="Y3659" s="10">
        <f>IF(A3659="C",LEFT(UPPER(D3659)&amp;REPT(" ",2),2)," ")</f>
        <v/>
      </c>
      <c r="Z3659" s="10">
        <f>IF(A3659="C",LEFT(UPPER(E3659)&amp;REPT(" ",15),15)," ")</f>
        <v/>
      </c>
      <c r="AA3659" s="10">
        <f>REPT(" ",8)</f>
        <v/>
      </c>
      <c r="AB3659" s="10">
        <f>REPT(" ",4)</f>
        <v/>
      </c>
      <c r="AC3659" s="10">
        <f>LEFT(UPPER(H3659)&amp;REPT(" ",250),250)</f>
        <v/>
      </c>
      <c r="AD3659" s="10">
        <f>TEXT($G$2,"dd/mm/aaaa")</f>
        <v/>
      </c>
      <c r="AE3659" s="10">
        <f>REPT(" ",10)</f>
        <v/>
      </c>
      <c r="AF3659" s="10">
        <f>REPT(" ",20)</f>
        <v/>
      </c>
      <c r="AG3659" s="54">
        <f>REPT(" ",18-LEN(FIXED(F3659,2,TRUE)))&amp;FIXED(F3659,2,TRUE)</f>
        <v/>
      </c>
      <c r="AH3659" s="10">
        <f>LEN(AC3659)+LEN(AG3659)</f>
        <v/>
      </c>
      <c r="AI3659" s="10">
        <f>LEN(L3659)</f>
        <v/>
      </c>
    </row>
    <row r="3660">
      <c r="J3660" s="12">
        <f>IF(F3660&lt;&gt;0,"LANÇAR","")</f>
        <v/>
      </c>
      <c r="L3660" s="13">
        <f>N3660&amp;O3660&amp;P3660&amp;Q3660&amp;R3660&amp;S3660&amp;T3660&amp;U3660&amp;V3660&amp;W3660&amp;X3660&amp;Y3660&amp;Z3660&amp;AA3660&amp;AB3660&amp;AC3660&amp;AD3660&amp;AE3660&amp;AF3660&amp;AG3660</f>
        <v/>
      </c>
      <c r="N3660" s="10">
        <f>TEXT($B$6,"00")</f>
        <v/>
      </c>
      <c r="O3660" s="10">
        <f>REPT(" ",8)</f>
        <v/>
      </c>
      <c r="P3660" s="10">
        <f>RIGHT($B$4,2)</f>
        <v/>
      </c>
      <c r="Q3660" s="10">
        <f>RIGHT($B$5,3)</f>
        <v/>
      </c>
      <c r="R3660" s="10">
        <f>IF(A3660="D",LEFT(UPPER(B3660)&amp;REPT(" ",20),20),REPT(" ",20))</f>
        <v/>
      </c>
      <c r="S3660" s="10">
        <f>IF(A3660="D",LEFT(UPPER(C3660)&amp;REPT(" ",10),10)," ")</f>
        <v/>
      </c>
      <c r="T3660" s="10">
        <f>IF(A3660="D",LEFT(UPPER(D3660)&amp;REPT(" ",2),2)," ")</f>
        <v/>
      </c>
      <c r="U3660" s="10">
        <f>IF(A3660="D",LEFT(UPPER(E3660)&amp;REPT(" ",15),15)," ")</f>
        <v/>
      </c>
      <c r="V3660" s="10">
        <f>REPT(" ",24)</f>
        <v/>
      </c>
      <c r="W3660" s="10">
        <f>IF(A3660="c",LEFT(UPPER(B3660)&amp;REPT(" ",20),20),REPT(" ",20))</f>
        <v/>
      </c>
      <c r="X3660" s="10">
        <f>IF(A3660="C",LEFT(UPPER(C3660)&amp;REPT(" ",10),10)," ")</f>
        <v/>
      </c>
      <c r="Y3660" s="10">
        <f>IF(A3660="C",LEFT(UPPER(D3660)&amp;REPT(" ",2),2)," ")</f>
        <v/>
      </c>
      <c r="Z3660" s="10">
        <f>IF(A3660="C",LEFT(UPPER(E3660)&amp;REPT(" ",15),15)," ")</f>
        <v/>
      </c>
      <c r="AA3660" s="10">
        <f>REPT(" ",8)</f>
        <v/>
      </c>
      <c r="AB3660" s="10">
        <f>REPT(" ",4)</f>
        <v/>
      </c>
      <c r="AC3660" s="10">
        <f>LEFT(UPPER(H3660)&amp;REPT(" ",250),250)</f>
        <v/>
      </c>
      <c r="AD3660" s="10">
        <f>TEXT($G$2,"dd/mm/aaaa")</f>
        <v/>
      </c>
      <c r="AE3660" s="10">
        <f>REPT(" ",10)</f>
        <v/>
      </c>
      <c r="AF3660" s="10">
        <f>REPT(" ",20)</f>
        <v/>
      </c>
      <c r="AG3660" s="54">
        <f>REPT(" ",18-LEN(FIXED(F3660,2,TRUE)))&amp;FIXED(F3660,2,TRUE)</f>
        <v/>
      </c>
      <c r="AH3660" s="10">
        <f>LEN(AC3660)+LEN(AG3660)</f>
        <v/>
      </c>
      <c r="AI3660" s="10">
        <f>LEN(L3660)</f>
        <v/>
      </c>
    </row>
    <row r="3661">
      <c r="J3661" s="12">
        <f>IF(F3661&lt;&gt;0,"LANÇAR","")</f>
        <v/>
      </c>
      <c r="L3661" s="13">
        <f>N3661&amp;O3661&amp;P3661&amp;Q3661&amp;R3661&amp;S3661&amp;T3661&amp;U3661&amp;V3661&amp;W3661&amp;X3661&amp;Y3661&amp;Z3661&amp;AA3661&amp;AB3661&amp;AC3661&amp;AD3661&amp;AE3661&amp;AF3661&amp;AG3661</f>
        <v/>
      </c>
      <c r="N3661" s="10">
        <f>TEXT($B$6,"00")</f>
        <v/>
      </c>
      <c r="O3661" s="10">
        <f>REPT(" ",8)</f>
        <v/>
      </c>
      <c r="P3661" s="10">
        <f>RIGHT($B$4,2)</f>
        <v/>
      </c>
      <c r="Q3661" s="10">
        <f>RIGHT($B$5,3)</f>
        <v/>
      </c>
      <c r="R3661" s="10">
        <f>IF(A3661="D",LEFT(UPPER(B3661)&amp;REPT(" ",20),20),REPT(" ",20))</f>
        <v/>
      </c>
      <c r="S3661" s="10">
        <f>IF(A3661="D",LEFT(UPPER(C3661)&amp;REPT(" ",10),10)," ")</f>
        <v/>
      </c>
      <c r="T3661" s="10">
        <f>IF(A3661="D",LEFT(UPPER(D3661)&amp;REPT(" ",2),2)," ")</f>
        <v/>
      </c>
      <c r="U3661" s="10">
        <f>IF(A3661="D",LEFT(UPPER(E3661)&amp;REPT(" ",15),15)," ")</f>
        <v/>
      </c>
      <c r="V3661" s="10">
        <f>REPT(" ",24)</f>
        <v/>
      </c>
      <c r="W3661" s="10">
        <f>IF(A3661="c",LEFT(UPPER(B3661)&amp;REPT(" ",20),20),REPT(" ",20))</f>
        <v/>
      </c>
      <c r="X3661" s="10">
        <f>IF(A3661="C",LEFT(UPPER(C3661)&amp;REPT(" ",10),10)," ")</f>
        <v/>
      </c>
      <c r="Y3661" s="10">
        <f>IF(A3661="C",LEFT(UPPER(D3661)&amp;REPT(" ",2),2)," ")</f>
        <v/>
      </c>
      <c r="Z3661" s="10">
        <f>IF(A3661="C",LEFT(UPPER(E3661)&amp;REPT(" ",15),15)," ")</f>
        <v/>
      </c>
      <c r="AA3661" s="10">
        <f>REPT(" ",8)</f>
        <v/>
      </c>
      <c r="AB3661" s="10">
        <f>REPT(" ",4)</f>
        <v/>
      </c>
      <c r="AC3661" s="10">
        <f>LEFT(UPPER(H3661)&amp;REPT(" ",250),250)</f>
        <v/>
      </c>
      <c r="AD3661" s="10">
        <f>TEXT($G$2,"dd/mm/aaaa")</f>
        <v/>
      </c>
      <c r="AE3661" s="10">
        <f>REPT(" ",10)</f>
        <v/>
      </c>
      <c r="AF3661" s="10">
        <f>REPT(" ",20)</f>
        <v/>
      </c>
      <c r="AG3661" s="54">
        <f>REPT(" ",18-LEN(FIXED(F3661,2,TRUE)))&amp;FIXED(F3661,2,TRUE)</f>
        <v/>
      </c>
      <c r="AH3661" s="10">
        <f>LEN(AC3661)+LEN(AG3661)</f>
        <v/>
      </c>
      <c r="AI3661" s="10">
        <f>LEN(L3661)</f>
        <v/>
      </c>
    </row>
    <row r="3662">
      <c r="J3662" s="12">
        <f>IF(F3662&lt;&gt;0,"LANÇAR","")</f>
        <v/>
      </c>
      <c r="L3662" s="13">
        <f>N3662&amp;O3662&amp;P3662&amp;Q3662&amp;R3662&amp;S3662&amp;T3662&amp;U3662&amp;V3662&amp;W3662&amp;X3662&amp;Y3662&amp;Z3662&amp;AA3662&amp;AB3662&amp;AC3662&amp;AD3662&amp;AE3662&amp;AF3662&amp;AG3662</f>
        <v/>
      </c>
      <c r="N3662" s="10">
        <f>TEXT($B$6,"00")</f>
        <v/>
      </c>
      <c r="O3662" s="10">
        <f>REPT(" ",8)</f>
        <v/>
      </c>
      <c r="P3662" s="10">
        <f>RIGHT($B$4,2)</f>
        <v/>
      </c>
      <c r="Q3662" s="10">
        <f>RIGHT($B$5,3)</f>
        <v/>
      </c>
      <c r="R3662" s="10">
        <f>IF(A3662="D",LEFT(UPPER(B3662)&amp;REPT(" ",20),20),REPT(" ",20))</f>
        <v/>
      </c>
      <c r="S3662" s="10">
        <f>IF(A3662="D",LEFT(UPPER(C3662)&amp;REPT(" ",10),10)," ")</f>
        <v/>
      </c>
      <c r="T3662" s="10">
        <f>IF(A3662="D",LEFT(UPPER(D3662)&amp;REPT(" ",2),2)," ")</f>
        <v/>
      </c>
      <c r="U3662" s="10">
        <f>IF(A3662="D",LEFT(UPPER(E3662)&amp;REPT(" ",15),15)," ")</f>
        <v/>
      </c>
      <c r="V3662" s="10">
        <f>REPT(" ",24)</f>
        <v/>
      </c>
      <c r="W3662" s="10">
        <f>IF(A3662="c",LEFT(UPPER(B3662)&amp;REPT(" ",20),20),REPT(" ",20))</f>
        <v/>
      </c>
      <c r="X3662" s="10">
        <f>IF(A3662="C",LEFT(UPPER(C3662)&amp;REPT(" ",10),10)," ")</f>
        <v/>
      </c>
      <c r="Y3662" s="10">
        <f>IF(A3662="C",LEFT(UPPER(D3662)&amp;REPT(" ",2),2)," ")</f>
        <v/>
      </c>
      <c r="Z3662" s="10">
        <f>IF(A3662="C",LEFT(UPPER(E3662)&amp;REPT(" ",15),15)," ")</f>
        <v/>
      </c>
      <c r="AA3662" s="10">
        <f>REPT(" ",8)</f>
        <v/>
      </c>
      <c r="AB3662" s="10">
        <f>REPT(" ",4)</f>
        <v/>
      </c>
      <c r="AC3662" s="10">
        <f>LEFT(UPPER(H3662)&amp;REPT(" ",250),250)</f>
        <v/>
      </c>
      <c r="AD3662" s="10">
        <f>TEXT($G$2,"dd/mm/aaaa")</f>
        <v/>
      </c>
      <c r="AE3662" s="10">
        <f>REPT(" ",10)</f>
        <v/>
      </c>
      <c r="AF3662" s="10">
        <f>REPT(" ",20)</f>
        <v/>
      </c>
      <c r="AG3662" s="54">
        <f>REPT(" ",18-LEN(FIXED(F3662,2,TRUE)))&amp;FIXED(F3662,2,TRUE)</f>
        <v/>
      </c>
      <c r="AH3662" s="10">
        <f>LEN(AC3662)+LEN(AG3662)</f>
        <v/>
      </c>
      <c r="AI3662" s="10">
        <f>LEN(L3662)</f>
        <v/>
      </c>
    </row>
    <row r="3663">
      <c r="J3663" s="12">
        <f>IF(F3663&lt;&gt;0,"LANÇAR","")</f>
        <v/>
      </c>
      <c r="L3663" s="13">
        <f>N3663&amp;O3663&amp;P3663&amp;Q3663&amp;R3663&amp;S3663&amp;T3663&amp;U3663&amp;V3663&amp;W3663&amp;X3663&amp;Y3663&amp;Z3663&amp;AA3663&amp;AB3663&amp;AC3663&amp;AD3663&amp;AE3663&amp;AF3663&amp;AG3663</f>
        <v/>
      </c>
      <c r="N3663" s="10">
        <f>TEXT($B$6,"00")</f>
        <v/>
      </c>
      <c r="O3663" s="10">
        <f>REPT(" ",8)</f>
        <v/>
      </c>
      <c r="P3663" s="10">
        <f>RIGHT($B$4,2)</f>
        <v/>
      </c>
      <c r="Q3663" s="10">
        <f>RIGHT($B$5,3)</f>
        <v/>
      </c>
      <c r="R3663" s="10">
        <f>IF(A3663="D",LEFT(UPPER(B3663)&amp;REPT(" ",20),20),REPT(" ",20))</f>
        <v/>
      </c>
      <c r="S3663" s="10">
        <f>IF(A3663="D",LEFT(UPPER(C3663)&amp;REPT(" ",10),10)," ")</f>
        <v/>
      </c>
      <c r="T3663" s="10">
        <f>IF(A3663="D",LEFT(UPPER(D3663)&amp;REPT(" ",2),2)," ")</f>
        <v/>
      </c>
      <c r="U3663" s="10">
        <f>IF(A3663="D",LEFT(UPPER(E3663)&amp;REPT(" ",15),15)," ")</f>
        <v/>
      </c>
      <c r="V3663" s="10">
        <f>REPT(" ",24)</f>
        <v/>
      </c>
      <c r="W3663" s="10">
        <f>IF(A3663="c",LEFT(UPPER(B3663)&amp;REPT(" ",20),20),REPT(" ",20))</f>
        <v/>
      </c>
      <c r="X3663" s="10">
        <f>IF(A3663="C",LEFT(UPPER(C3663)&amp;REPT(" ",10),10)," ")</f>
        <v/>
      </c>
      <c r="Y3663" s="10">
        <f>IF(A3663="C",LEFT(UPPER(D3663)&amp;REPT(" ",2),2)," ")</f>
        <v/>
      </c>
      <c r="Z3663" s="10">
        <f>IF(A3663="C",LEFT(UPPER(E3663)&amp;REPT(" ",15),15)," ")</f>
        <v/>
      </c>
      <c r="AA3663" s="10">
        <f>REPT(" ",8)</f>
        <v/>
      </c>
      <c r="AB3663" s="10">
        <f>REPT(" ",4)</f>
        <v/>
      </c>
      <c r="AC3663" s="10">
        <f>LEFT(UPPER(H3663)&amp;REPT(" ",250),250)</f>
        <v/>
      </c>
      <c r="AD3663" s="10">
        <f>TEXT($G$2,"dd/mm/aaaa")</f>
        <v/>
      </c>
      <c r="AE3663" s="10">
        <f>REPT(" ",10)</f>
        <v/>
      </c>
      <c r="AF3663" s="10">
        <f>REPT(" ",20)</f>
        <v/>
      </c>
      <c r="AG3663" s="54">
        <f>REPT(" ",18-LEN(FIXED(F3663,2,TRUE)))&amp;FIXED(F3663,2,TRUE)</f>
        <v/>
      </c>
      <c r="AH3663" s="10">
        <f>LEN(AC3663)+LEN(AG3663)</f>
        <v/>
      </c>
      <c r="AI3663" s="10">
        <f>LEN(L3663)</f>
        <v/>
      </c>
    </row>
    <row r="3664">
      <c r="J3664" s="12">
        <f>IF(F3664&lt;&gt;0,"LANÇAR","")</f>
        <v/>
      </c>
      <c r="L3664" s="13">
        <f>N3664&amp;O3664&amp;P3664&amp;Q3664&amp;R3664&amp;S3664&amp;T3664&amp;U3664&amp;V3664&amp;W3664&amp;X3664&amp;Y3664&amp;Z3664&amp;AA3664&amp;AB3664&amp;AC3664&amp;AD3664&amp;AE3664&amp;AF3664&amp;AG3664</f>
        <v/>
      </c>
      <c r="N3664" s="10">
        <f>TEXT($B$6,"00")</f>
        <v/>
      </c>
      <c r="O3664" s="10">
        <f>REPT(" ",8)</f>
        <v/>
      </c>
      <c r="P3664" s="10">
        <f>RIGHT($B$4,2)</f>
        <v/>
      </c>
      <c r="Q3664" s="10">
        <f>RIGHT($B$5,3)</f>
        <v/>
      </c>
      <c r="R3664" s="10">
        <f>IF(A3664="D",LEFT(UPPER(B3664)&amp;REPT(" ",20),20),REPT(" ",20))</f>
        <v/>
      </c>
      <c r="S3664" s="10">
        <f>IF(A3664="D",LEFT(UPPER(C3664)&amp;REPT(" ",10),10)," ")</f>
        <v/>
      </c>
      <c r="T3664" s="10">
        <f>IF(A3664="D",LEFT(UPPER(D3664)&amp;REPT(" ",2),2)," ")</f>
        <v/>
      </c>
      <c r="U3664" s="10">
        <f>IF(A3664="D",LEFT(UPPER(E3664)&amp;REPT(" ",15),15)," ")</f>
        <v/>
      </c>
      <c r="V3664" s="10">
        <f>REPT(" ",24)</f>
        <v/>
      </c>
      <c r="W3664" s="10">
        <f>IF(A3664="c",LEFT(UPPER(B3664)&amp;REPT(" ",20),20),REPT(" ",20))</f>
        <v/>
      </c>
      <c r="X3664" s="10">
        <f>IF(A3664="C",LEFT(UPPER(C3664)&amp;REPT(" ",10),10)," ")</f>
        <v/>
      </c>
      <c r="Y3664" s="10">
        <f>IF(A3664="C",LEFT(UPPER(D3664)&amp;REPT(" ",2),2)," ")</f>
        <v/>
      </c>
      <c r="Z3664" s="10">
        <f>IF(A3664="C",LEFT(UPPER(E3664)&amp;REPT(" ",15),15)," ")</f>
        <v/>
      </c>
      <c r="AA3664" s="10">
        <f>REPT(" ",8)</f>
        <v/>
      </c>
      <c r="AB3664" s="10">
        <f>REPT(" ",4)</f>
        <v/>
      </c>
      <c r="AC3664" s="10">
        <f>LEFT(UPPER(H3664)&amp;REPT(" ",250),250)</f>
        <v/>
      </c>
      <c r="AD3664" s="10">
        <f>TEXT($G$2,"dd/mm/aaaa")</f>
        <v/>
      </c>
      <c r="AE3664" s="10">
        <f>REPT(" ",10)</f>
        <v/>
      </c>
      <c r="AF3664" s="10">
        <f>REPT(" ",20)</f>
        <v/>
      </c>
      <c r="AG3664" s="54">
        <f>REPT(" ",18-LEN(FIXED(F3664,2,TRUE)))&amp;FIXED(F3664,2,TRUE)</f>
        <v/>
      </c>
      <c r="AH3664" s="10">
        <f>LEN(AC3664)+LEN(AG3664)</f>
        <v/>
      </c>
      <c r="AI3664" s="10">
        <f>LEN(L3664)</f>
        <v/>
      </c>
    </row>
    <row r="3665">
      <c r="J3665" s="12">
        <f>IF(F3665&lt;&gt;0,"LANÇAR","")</f>
        <v/>
      </c>
      <c r="L3665" s="13">
        <f>N3665&amp;O3665&amp;P3665&amp;Q3665&amp;R3665&amp;S3665&amp;T3665&amp;U3665&amp;V3665&amp;W3665&amp;X3665&amp;Y3665&amp;Z3665&amp;AA3665&amp;AB3665&amp;AC3665&amp;AD3665&amp;AE3665&amp;AF3665&amp;AG3665</f>
        <v/>
      </c>
      <c r="N3665" s="10">
        <f>TEXT($B$6,"00")</f>
        <v/>
      </c>
      <c r="O3665" s="10">
        <f>REPT(" ",8)</f>
        <v/>
      </c>
      <c r="P3665" s="10">
        <f>RIGHT($B$4,2)</f>
        <v/>
      </c>
      <c r="Q3665" s="10">
        <f>RIGHT($B$5,3)</f>
        <v/>
      </c>
      <c r="R3665" s="10">
        <f>IF(A3665="D",LEFT(UPPER(B3665)&amp;REPT(" ",20),20),REPT(" ",20))</f>
        <v/>
      </c>
      <c r="S3665" s="10">
        <f>IF(A3665="D",LEFT(UPPER(C3665)&amp;REPT(" ",10),10)," ")</f>
        <v/>
      </c>
      <c r="T3665" s="10">
        <f>IF(A3665="D",LEFT(UPPER(D3665)&amp;REPT(" ",2),2)," ")</f>
        <v/>
      </c>
      <c r="U3665" s="10">
        <f>IF(A3665="D",LEFT(UPPER(E3665)&amp;REPT(" ",15),15)," ")</f>
        <v/>
      </c>
      <c r="V3665" s="10">
        <f>REPT(" ",24)</f>
        <v/>
      </c>
      <c r="W3665" s="10">
        <f>IF(A3665="c",LEFT(UPPER(B3665)&amp;REPT(" ",20),20),REPT(" ",20))</f>
        <v/>
      </c>
      <c r="X3665" s="10">
        <f>IF(A3665="C",LEFT(UPPER(C3665)&amp;REPT(" ",10),10)," ")</f>
        <v/>
      </c>
      <c r="Y3665" s="10">
        <f>IF(A3665="C",LEFT(UPPER(D3665)&amp;REPT(" ",2),2)," ")</f>
        <v/>
      </c>
      <c r="Z3665" s="10">
        <f>IF(A3665="C",LEFT(UPPER(E3665)&amp;REPT(" ",15),15)," ")</f>
        <v/>
      </c>
      <c r="AA3665" s="10">
        <f>REPT(" ",8)</f>
        <v/>
      </c>
      <c r="AB3665" s="10">
        <f>REPT(" ",4)</f>
        <v/>
      </c>
      <c r="AC3665" s="10">
        <f>LEFT(UPPER(H3665)&amp;REPT(" ",250),250)</f>
        <v/>
      </c>
      <c r="AD3665" s="10">
        <f>TEXT($G$2,"dd/mm/aaaa")</f>
        <v/>
      </c>
      <c r="AE3665" s="10">
        <f>REPT(" ",10)</f>
        <v/>
      </c>
      <c r="AF3665" s="10">
        <f>REPT(" ",20)</f>
        <v/>
      </c>
      <c r="AG3665" s="54">
        <f>REPT(" ",18-LEN(FIXED(F3665,2,TRUE)))&amp;FIXED(F3665,2,TRUE)</f>
        <v/>
      </c>
      <c r="AH3665" s="10">
        <f>LEN(AC3665)+LEN(AG3665)</f>
        <v/>
      </c>
      <c r="AI3665" s="10">
        <f>LEN(L3665)</f>
        <v/>
      </c>
    </row>
    <row r="3666">
      <c r="J3666" s="12">
        <f>IF(F3666&lt;&gt;0,"LANÇAR","")</f>
        <v/>
      </c>
      <c r="L3666" s="13">
        <f>N3666&amp;O3666&amp;P3666&amp;Q3666&amp;R3666&amp;S3666&amp;T3666&amp;U3666&amp;V3666&amp;W3666&amp;X3666&amp;Y3666&amp;Z3666&amp;AA3666&amp;AB3666&amp;AC3666&amp;AD3666&amp;AE3666&amp;AF3666&amp;AG3666</f>
        <v/>
      </c>
      <c r="N3666" s="10">
        <f>TEXT($B$6,"00")</f>
        <v/>
      </c>
      <c r="O3666" s="10">
        <f>REPT(" ",8)</f>
        <v/>
      </c>
      <c r="P3666" s="10">
        <f>RIGHT($B$4,2)</f>
        <v/>
      </c>
      <c r="Q3666" s="10">
        <f>RIGHT($B$5,3)</f>
        <v/>
      </c>
      <c r="R3666" s="10">
        <f>IF(A3666="D",LEFT(UPPER(B3666)&amp;REPT(" ",20),20),REPT(" ",20))</f>
        <v/>
      </c>
      <c r="S3666" s="10">
        <f>IF(A3666="D",LEFT(UPPER(C3666)&amp;REPT(" ",10),10)," ")</f>
        <v/>
      </c>
      <c r="T3666" s="10">
        <f>IF(A3666="D",LEFT(UPPER(D3666)&amp;REPT(" ",2),2)," ")</f>
        <v/>
      </c>
      <c r="U3666" s="10">
        <f>IF(A3666="D",LEFT(UPPER(E3666)&amp;REPT(" ",15),15)," ")</f>
        <v/>
      </c>
      <c r="V3666" s="10">
        <f>REPT(" ",24)</f>
        <v/>
      </c>
      <c r="W3666" s="10">
        <f>IF(A3666="c",LEFT(UPPER(B3666)&amp;REPT(" ",20),20),REPT(" ",20))</f>
        <v/>
      </c>
      <c r="X3666" s="10">
        <f>IF(A3666="C",LEFT(UPPER(C3666)&amp;REPT(" ",10),10)," ")</f>
        <v/>
      </c>
      <c r="Y3666" s="10">
        <f>IF(A3666="C",LEFT(UPPER(D3666)&amp;REPT(" ",2),2)," ")</f>
        <v/>
      </c>
      <c r="Z3666" s="10">
        <f>IF(A3666="C",LEFT(UPPER(E3666)&amp;REPT(" ",15),15)," ")</f>
        <v/>
      </c>
      <c r="AA3666" s="10">
        <f>REPT(" ",8)</f>
        <v/>
      </c>
      <c r="AB3666" s="10">
        <f>REPT(" ",4)</f>
        <v/>
      </c>
      <c r="AC3666" s="10">
        <f>LEFT(UPPER(H3666)&amp;REPT(" ",250),250)</f>
        <v/>
      </c>
      <c r="AD3666" s="10">
        <f>TEXT($G$2,"dd/mm/aaaa")</f>
        <v/>
      </c>
      <c r="AE3666" s="10">
        <f>REPT(" ",10)</f>
        <v/>
      </c>
      <c r="AF3666" s="10">
        <f>REPT(" ",20)</f>
        <v/>
      </c>
      <c r="AG3666" s="54">
        <f>REPT(" ",18-LEN(FIXED(F3666,2,TRUE)))&amp;FIXED(F3666,2,TRUE)</f>
        <v/>
      </c>
      <c r="AH3666" s="10">
        <f>LEN(AC3666)+LEN(AG3666)</f>
        <v/>
      </c>
      <c r="AI3666" s="10">
        <f>LEN(L3666)</f>
        <v/>
      </c>
    </row>
    <row r="3667">
      <c r="J3667" s="12">
        <f>IF(F3667&lt;&gt;0,"LANÇAR","")</f>
        <v/>
      </c>
      <c r="L3667" s="13">
        <f>N3667&amp;O3667&amp;P3667&amp;Q3667&amp;R3667&amp;S3667&amp;T3667&amp;U3667&amp;V3667&amp;W3667&amp;X3667&amp;Y3667&amp;Z3667&amp;AA3667&amp;AB3667&amp;AC3667&amp;AD3667&amp;AE3667&amp;AF3667&amp;AG3667</f>
        <v/>
      </c>
      <c r="N3667" s="10">
        <f>TEXT($B$6,"00")</f>
        <v/>
      </c>
      <c r="O3667" s="10">
        <f>REPT(" ",8)</f>
        <v/>
      </c>
      <c r="P3667" s="10">
        <f>RIGHT($B$4,2)</f>
        <v/>
      </c>
      <c r="Q3667" s="10">
        <f>RIGHT($B$5,3)</f>
        <v/>
      </c>
      <c r="R3667" s="10">
        <f>IF(A3667="D",LEFT(UPPER(B3667)&amp;REPT(" ",20),20),REPT(" ",20))</f>
        <v/>
      </c>
      <c r="S3667" s="10">
        <f>IF(A3667="D",LEFT(UPPER(C3667)&amp;REPT(" ",10),10)," ")</f>
        <v/>
      </c>
      <c r="T3667" s="10">
        <f>IF(A3667="D",LEFT(UPPER(D3667)&amp;REPT(" ",2),2)," ")</f>
        <v/>
      </c>
      <c r="U3667" s="10">
        <f>IF(A3667="D",LEFT(UPPER(E3667)&amp;REPT(" ",15),15)," ")</f>
        <v/>
      </c>
      <c r="V3667" s="10">
        <f>REPT(" ",24)</f>
        <v/>
      </c>
      <c r="W3667" s="10">
        <f>IF(A3667="c",LEFT(UPPER(B3667)&amp;REPT(" ",20),20),REPT(" ",20))</f>
        <v/>
      </c>
      <c r="X3667" s="10">
        <f>IF(A3667="C",LEFT(UPPER(C3667)&amp;REPT(" ",10),10)," ")</f>
        <v/>
      </c>
      <c r="Y3667" s="10">
        <f>IF(A3667="C",LEFT(UPPER(D3667)&amp;REPT(" ",2),2)," ")</f>
        <v/>
      </c>
      <c r="Z3667" s="10">
        <f>IF(A3667="C",LEFT(UPPER(E3667)&amp;REPT(" ",15),15)," ")</f>
        <v/>
      </c>
      <c r="AA3667" s="10">
        <f>REPT(" ",8)</f>
        <v/>
      </c>
      <c r="AB3667" s="10">
        <f>REPT(" ",4)</f>
        <v/>
      </c>
      <c r="AC3667" s="10">
        <f>LEFT(UPPER(H3667)&amp;REPT(" ",250),250)</f>
        <v/>
      </c>
      <c r="AD3667" s="10">
        <f>TEXT($G$2,"dd/mm/aaaa")</f>
        <v/>
      </c>
      <c r="AE3667" s="10">
        <f>REPT(" ",10)</f>
        <v/>
      </c>
      <c r="AF3667" s="10">
        <f>REPT(" ",20)</f>
        <v/>
      </c>
      <c r="AG3667" s="54">
        <f>REPT(" ",18-LEN(FIXED(F3667,2,TRUE)))&amp;FIXED(F3667,2,TRUE)</f>
        <v/>
      </c>
      <c r="AH3667" s="10">
        <f>LEN(AC3667)+LEN(AG3667)</f>
        <v/>
      </c>
      <c r="AI3667" s="10">
        <f>LEN(L3667)</f>
        <v/>
      </c>
    </row>
    <row r="3668">
      <c r="J3668" s="12">
        <f>IF(F3668&lt;&gt;0,"LANÇAR","")</f>
        <v/>
      </c>
      <c r="L3668" s="13">
        <f>N3668&amp;O3668&amp;P3668&amp;Q3668&amp;R3668&amp;S3668&amp;T3668&amp;U3668&amp;V3668&amp;W3668&amp;X3668&amp;Y3668&amp;Z3668&amp;AA3668&amp;AB3668&amp;AC3668&amp;AD3668&amp;AE3668&amp;AF3668&amp;AG3668</f>
        <v/>
      </c>
      <c r="N3668" s="10">
        <f>TEXT($B$6,"00")</f>
        <v/>
      </c>
      <c r="O3668" s="10">
        <f>REPT(" ",8)</f>
        <v/>
      </c>
      <c r="P3668" s="10">
        <f>RIGHT($B$4,2)</f>
        <v/>
      </c>
      <c r="Q3668" s="10">
        <f>RIGHT($B$5,3)</f>
        <v/>
      </c>
      <c r="R3668" s="10">
        <f>IF(A3668="D",LEFT(UPPER(B3668)&amp;REPT(" ",20),20),REPT(" ",20))</f>
        <v/>
      </c>
      <c r="S3668" s="10">
        <f>IF(A3668="D",LEFT(UPPER(C3668)&amp;REPT(" ",10),10)," ")</f>
        <v/>
      </c>
      <c r="T3668" s="10">
        <f>IF(A3668="D",LEFT(UPPER(D3668)&amp;REPT(" ",2),2)," ")</f>
        <v/>
      </c>
      <c r="U3668" s="10">
        <f>IF(A3668="D",LEFT(UPPER(E3668)&amp;REPT(" ",15),15)," ")</f>
        <v/>
      </c>
      <c r="V3668" s="10">
        <f>REPT(" ",24)</f>
        <v/>
      </c>
      <c r="W3668" s="10">
        <f>IF(A3668="c",LEFT(UPPER(B3668)&amp;REPT(" ",20),20),REPT(" ",20))</f>
        <v/>
      </c>
      <c r="X3668" s="10">
        <f>IF(A3668="C",LEFT(UPPER(C3668)&amp;REPT(" ",10),10)," ")</f>
        <v/>
      </c>
      <c r="Y3668" s="10">
        <f>IF(A3668="C",LEFT(UPPER(D3668)&amp;REPT(" ",2),2)," ")</f>
        <v/>
      </c>
      <c r="Z3668" s="10">
        <f>IF(A3668="C",LEFT(UPPER(E3668)&amp;REPT(" ",15),15)," ")</f>
        <v/>
      </c>
      <c r="AA3668" s="10">
        <f>REPT(" ",8)</f>
        <v/>
      </c>
      <c r="AB3668" s="10">
        <f>REPT(" ",4)</f>
        <v/>
      </c>
      <c r="AC3668" s="10">
        <f>LEFT(UPPER(H3668)&amp;REPT(" ",250),250)</f>
        <v/>
      </c>
      <c r="AD3668" s="10">
        <f>TEXT($G$2,"dd/mm/aaaa")</f>
        <v/>
      </c>
      <c r="AE3668" s="10">
        <f>REPT(" ",10)</f>
        <v/>
      </c>
      <c r="AF3668" s="10">
        <f>REPT(" ",20)</f>
        <v/>
      </c>
      <c r="AG3668" s="54">
        <f>REPT(" ",18-LEN(FIXED(F3668,2,TRUE)))&amp;FIXED(F3668,2,TRUE)</f>
        <v/>
      </c>
      <c r="AH3668" s="10">
        <f>LEN(AC3668)+LEN(AG3668)</f>
        <v/>
      </c>
      <c r="AI3668" s="10">
        <f>LEN(L3668)</f>
        <v/>
      </c>
    </row>
    <row r="3669">
      <c r="J3669" s="12">
        <f>IF(F3669&lt;&gt;0,"LANÇAR","")</f>
        <v/>
      </c>
      <c r="L3669" s="13">
        <f>N3669&amp;O3669&amp;P3669&amp;Q3669&amp;R3669&amp;S3669&amp;T3669&amp;U3669&amp;V3669&amp;W3669&amp;X3669&amp;Y3669&amp;Z3669&amp;AA3669&amp;AB3669&amp;AC3669&amp;AD3669&amp;AE3669&amp;AF3669&amp;AG3669</f>
        <v/>
      </c>
      <c r="N3669" s="10">
        <f>TEXT($B$6,"00")</f>
        <v/>
      </c>
      <c r="O3669" s="10">
        <f>REPT(" ",8)</f>
        <v/>
      </c>
      <c r="P3669" s="10">
        <f>RIGHT($B$4,2)</f>
        <v/>
      </c>
      <c r="Q3669" s="10">
        <f>RIGHT($B$5,3)</f>
        <v/>
      </c>
      <c r="R3669" s="10">
        <f>IF(A3669="D",LEFT(UPPER(B3669)&amp;REPT(" ",20),20),REPT(" ",20))</f>
        <v/>
      </c>
      <c r="S3669" s="10">
        <f>IF(A3669="D",LEFT(UPPER(C3669)&amp;REPT(" ",10),10)," ")</f>
        <v/>
      </c>
      <c r="T3669" s="10">
        <f>IF(A3669="D",LEFT(UPPER(D3669)&amp;REPT(" ",2),2)," ")</f>
        <v/>
      </c>
      <c r="U3669" s="10">
        <f>IF(A3669="D",LEFT(UPPER(E3669)&amp;REPT(" ",15),15)," ")</f>
        <v/>
      </c>
      <c r="V3669" s="10">
        <f>REPT(" ",24)</f>
        <v/>
      </c>
      <c r="W3669" s="10">
        <f>IF(A3669="c",LEFT(UPPER(B3669)&amp;REPT(" ",20),20),REPT(" ",20))</f>
        <v/>
      </c>
      <c r="X3669" s="10">
        <f>IF(A3669="C",LEFT(UPPER(C3669)&amp;REPT(" ",10),10)," ")</f>
        <v/>
      </c>
      <c r="Y3669" s="10">
        <f>IF(A3669="C",LEFT(UPPER(D3669)&amp;REPT(" ",2),2)," ")</f>
        <v/>
      </c>
      <c r="Z3669" s="10">
        <f>IF(A3669="C",LEFT(UPPER(E3669)&amp;REPT(" ",15),15)," ")</f>
        <v/>
      </c>
      <c r="AA3669" s="10">
        <f>REPT(" ",8)</f>
        <v/>
      </c>
      <c r="AB3669" s="10">
        <f>REPT(" ",4)</f>
        <v/>
      </c>
      <c r="AC3669" s="10">
        <f>LEFT(UPPER(H3669)&amp;REPT(" ",250),250)</f>
        <v/>
      </c>
      <c r="AD3669" s="10">
        <f>TEXT($G$2,"dd/mm/aaaa")</f>
        <v/>
      </c>
      <c r="AE3669" s="10">
        <f>REPT(" ",10)</f>
        <v/>
      </c>
      <c r="AF3669" s="10">
        <f>REPT(" ",20)</f>
        <v/>
      </c>
      <c r="AG3669" s="54">
        <f>REPT(" ",18-LEN(FIXED(F3669,2,TRUE)))&amp;FIXED(F3669,2,TRUE)</f>
        <v/>
      </c>
      <c r="AH3669" s="10">
        <f>LEN(AC3669)+LEN(AG3669)</f>
        <v/>
      </c>
      <c r="AI3669" s="10">
        <f>LEN(L3669)</f>
        <v/>
      </c>
    </row>
    <row r="3670">
      <c r="J3670" s="12">
        <f>IF(F3670&lt;&gt;0,"LANÇAR","")</f>
        <v/>
      </c>
      <c r="L3670" s="13">
        <f>N3670&amp;O3670&amp;P3670&amp;Q3670&amp;R3670&amp;S3670&amp;T3670&amp;U3670&amp;V3670&amp;W3670&amp;X3670&amp;Y3670&amp;Z3670&amp;AA3670&amp;AB3670&amp;AC3670&amp;AD3670&amp;AE3670&amp;AF3670&amp;AG3670</f>
        <v/>
      </c>
      <c r="N3670" s="10">
        <f>TEXT($B$6,"00")</f>
        <v/>
      </c>
      <c r="O3670" s="10">
        <f>REPT(" ",8)</f>
        <v/>
      </c>
      <c r="P3670" s="10">
        <f>RIGHT($B$4,2)</f>
        <v/>
      </c>
      <c r="Q3670" s="10">
        <f>RIGHT($B$5,3)</f>
        <v/>
      </c>
      <c r="R3670" s="10">
        <f>IF(A3670="D",LEFT(UPPER(B3670)&amp;REPT(" ",20),20),REPT(" ",20))</f>
        <v/>
      </c>
      <c r="S3670" s="10">
        <f>IF(A3670="D",LEFT(UPPER(C3670)&amp;REPT(" ",10),10)," ")</f>
        <v/>
      </c>
      <c r="T3670" s="10">
        <f>IF(A3670="D",LEFT(UPPER(D3670)&amp;REPT(" ",2),2)," ")</f>
        <v/>
      </c>
      <c r="U3670" s="10">
        <f>IF(A3670="D",LEFT(UPPER(E3670)&amp;REPT(" ",15),15)," ")</f>
        <v/>
      </c>
      <c r="V3670" s="10">
        <f>REPT(" ",24)</f>
        <v/>
      </c>
      <c r="W3670" s="10">
        <f>IF(A3670="c",LEFT(UPPER(B3670)&amp;REPT(" ",20),20),REPT(" ",20))</f>
        <v/>
      </c>
      <c r="X3670" s="10">
        <f>IF(A3670="C",LEFT(UPPER(C3670)&amp;REPT(" ",10),10)," ")</f>
        <v/>
      </c>
      <c r="Y3670" s="10">
        <f>IF(A3670="C",LEFT(UPPER(D3670)&amp;REPT(" ",2),2)," ")</f>
        <v/>
      </c>
      <c r="Z3670" s="10">
        <f>IF(A3670="C",LEFT(UPPER(E3670)&amp;REPT(" ",15),15)," ")</f>
        <v/>
      </c>
      <c r="AA3670" s="10">
        <f>REPT(" ",8)</f>
        <v/>
      </c>
      <c r="AB3670" s="10">
        <f>REPT(" ",4)</f>
        <v/>
      </c>
      <c r="AC3670" s="10">
        <f>LEFT(UPPER(H3670)&amp;REPT(" ",250),250)</f>
        <v/>
      </c>
      <c r="AD3670" s="10">
        <f>TEXT($G$2,"dd/mm/aaaa")</f>
        <v/>
      </c>
      <c r="AE3670" s="10">
        <f>REPT(" ",10)</f>
        <v/>
      </c>
      <c r="AF3670" s="10">
        <f>REPT(" ",20)</f>
        <v/>
      </c>
      <c r="AG3670" s="54">
        <f>REPT(" ",18-LEN(FIXED(F3670,2,TRUE)))&amp;FIXED(F3670,2,TRUE)</f>
        <v/>
      </c>
      <c r="AH3670" s="10">
        <f>LEN(AC3670)+LEN(AG3670)</f>
        <v/>
      </c>
      <c r="AI3670" s="10">
        <f>LEN(L3670)</f>
        <v/>
      </c>
    </row>
    <row r="3671">
      <c r="J3671" s="12">
        <f>IF(F3671&lt;&gt;0,"LANÇAR","")</f>
        <v/>
      </c>
      <c r="L3671" s="13">
        <f>N3671&amp;O3671&amp;P3671&amp;Q3671&amp;R3671&amp;S3671&amp;T3671&amp;U3671&amp;V3671&amp;W3671&amp;X3671&amp;Y3671&amp;Z3671&amp;AA3671&amp;AB3671&amp;AC3671&amp;AD3671&amp;AE3671&amp;AF3671&amp;AG3671</f>
        <v/>
      </c>
      <c r="N3671" s="10">
        <f>TEXT($B$6,"00")</f>
        <v/>
      </c>
      <c r="O3671" s="10">
        <f>REPT(" ",8)</f>
        <v/>
      </c>
      <c r="P3671" s="10">
        <f>RIGHT($B$4,2)</f>
        <v/>
      </c>
      <c r="Q3671" s="10">
        <f>RIGHT($B$5,3)</f>
        <v/>
      </c>
      <c r="R3671" s="10">
        <f>IF(A3671="D",LEFT(UPPER(B3671)&amp;REPT(" ",20),20),REPT(" ",20))</f>
        <v/>
      </c>
      <c r="S3671" s="10">
        <f>IF(A3671="D",LEFT(UPPER(C3671)&amp;REPT(" ",10),10)," ")</f>
        <v/>
      </c>
      <c r="T3671" s="10">
        <f>IF(A3671="D",LEFT(UPPER(D3671)&amp;REPT(" ",2),2)," ")</f>
        <v/>
      </c>
      <c r="U3671" s="10">
        <f>IF(A3671="D",LEFT(UPPER(E3671)&amp;REPT(" ",15),15)," ")</f>
        <v/>
      </c>
      <c r="V3671" s="10">
        <f>REPT(" ",24)</f>
        <v/>
      </c>
      <c r="W3671" s="10">
        <f>IF(A3671="c",LEFT(UPPER(B3671)&amp;REPT(" ",20),20),REPT(" ",20))</f>
        <v/>
      </c>
      <c r="X3671" s="10">
        <f>IF(A3671="C",LEFT(UPPER(C3671)&amp;REPT(" ",10),10)," ")</f>
        <v/>
      </c>
      <c r="Y3671" s="10">
        <f>IF(A3671="C",LEFT(UPPER(D3671)&amp;REPT(" ",2),2)," ")</f>
        <v/>
      </c>
      <c r="Z3671" s="10">
        <f>IF(A3671="C",LEFT(UPPER(E3671)&amp;REPT(" ",15),15)," ")</f>
        <v/>
      </c>
      <c r="AA3671" s="10">
        <f>REPT(" ",8)</f>
        <v/>
      </c>
      <c r="AB3671" s="10">
        <f>REPT(" ",4)</f>
        <v/>
      </c>
      <c r="AC3671" s="10">
        <f>LEFT(UPPER(H3671)&amp;REPT(" ",250),250)</f>
        <v/>
      </c>
      <c r="AD3671" s="10">
        <f>TEXT($G$2,"dd/mm/aaaa")</f>
        <v/>
      </c>
      <c r="AE3671" s="10">
        <f>REPT(" ",10)</f>
        <v/>
      </c>
      <c r="AF3671" s="10">
        <f>REPT(" ",20)</f>
        <v/>
      </c>
      <c r="AG3671" s="54">
        <f>REPT(" ",18-LEN(FIXED(F3671,2,TRUE)))&amp;FIXED(F3671,2,TRUE)</f>
        <v/>
      </c>
      <c r="AH3671" s="10">
        <f>LEN(AC3671)+LEN(AG3671)</f>
        <v/>
      </c>
      <c r="AI3671" s="10">
        <f>LEN(L3671)</f>
        <v/>
      </c>
    </row>
    <row r="3672">
      <c r="J3672" s="12">
        <f>IF(F3672&lt;&gt;0,"LANÇAR","")</f>
        <v/>
      </c>
      <c r="L3672" s="13">
        <f>N3672&amp;O3672&amp;P3672&amp;Q3672&amp;R3672&amp;S3672&amp;T3672&amp;U3672&amp;V3672&amp;W3672&amp;X3672&amp;Y3672&amp;Z3672&amp;AA3672&amp;AB3672&amp;AC3672&amp;AD3672&amp;AE3672&amp;AF3672&amp;AG3672</f>
        <v/>
      </c>
      <c r="N3672" s="10">
        <f>TEXT($B$6,"00")</f>
        <v/>
      </c>
      <c r="O3672" s="10">
        <f>REPT(" ",8)</f>
        <v/>
      </c>
      <c r="P3672" s="10">
        <f>RIGHT($B$4,2)</f>
        <v/>
      </c>
      <c r="Q3672" s="10">
        <f>RIGHT($B$5,3)</f>
        <v/>
      </c>
      <c r="R3672" s="10">
        <f>IF(A3672="D",LEFT(UPPER(B3672)&amp;REPT(" ",20),20),REPT(" ",20))</f>
        <v/>
      </c>
      <c r="S3672" s="10">
        <f>IF(A3672="D",LEFT(UPPER(C3672)&amp;REPT(" ",10),10)," ")</f>
        <v/>
      </c>
      <c r="T3672" s="10">
        <f>IF(A3672="D",LEFT(UPPER(D3672)&amp;REPT(" ",2),2)," ")</f>
        <v/>
      </c>
      <c r="U3672" s="10">
        <f>IF(A3672="D",LEFT(UPPER(E3672)&amp;REPT(" ",15),15)," ")</f>
        <v/>
      </c>
      <c r="V3672" s="10">
        <f>REPT(" ",24)</f>
        <v/>
      </c>
      <c r="W3672" s="10">
        <f>IF(A3672="c",LEFT(UPPER(B3672)&amp;REPT(" ",20),20),REPT(" ",20))</f>
        <v/>
      </c>
      <c r="X3672" s="10">
        <f>IF(A3672="C",LEFT(UPPER(C3672)&amp;REPT(" ",10),10)," ")</f>
        <v/>
      </c>
      <c r="Y3672" s="10">
        <f>IF(A3672="C",LEFT(UPPER(D3672)&amp;REPT(" ",2),2)," ")</f>
        <v/>
      </c>
      <c r="Z3672" s="10">
        <f>IF(A3672="C",LEFT(UPPER(E3672)&amp;REPT(" ",15),15)," ")</f>
        <v/>
      </c>
      <c r="AA3672" s="10">
        <f>REPT(" ",8)</f>
        <v/>
      </c>
      <c r="AB3672" s="10">
        <f>REPT(" ",4)</f>
        <v/>
      </c>
      <c r="AC3672" s="10">
        <f>LEFT(UPPER(H3672)&amp;REPT(" ",250),250)</f>
        <v/>
      </c>
      <c r="AD3672" s="10">
        <f>TEXT($G$2,"dd/mm/aaaa")</f>
        <v/>
      </c>
      <c r="AE3672" s="10">
        <f>REPT(" ",10)</f>
        <v/>
      </c>
      <c r="AF3672" s="10">
        <f>REPT(" ",20)</f>
        <v/>
      </c>
      <c r="AG3672" s="54">
        <f>REPT(" ",18-LEN(FIXED(F3672,2,TRUE)))&amp;FIXED(F3672,2,TRUE)</f>
        <v/>
      </c>
      <c r="AH3672" s="10">
        <f>LEN(AC3672)+LEN(AG3672)</f>
        <v/>
      </c>
      <c r="AI3672" s="10">
        <f>LEN(L3672)</f>
        <v/>
      </c>
    </row>
    <row r="3673">
      <c r="J3673" s="12">
        <f>IF(F3673&lt;&gt;0,"LANÇAR","")</f>
        <v/>
      </c>
      <c r="L3673" s="13">
        <f>N3673&amp;O3673&amp;P3673&amp;Q3673&amp;R3673&amp;S3673&amp;T3673&amp;U3673&amp;V3673&amp;W3673&amp;X3673&amp;Y3673&amp;Z3673&amp;AA3673&amp;AB3673&amp;AC3673&amp;AD3673&amp;AE3673&amp;AF3673&amp;AG3673</f>
        <v/>
      </c>
      <c r="N3673" s="10">
        <f>TEXT($B$6,"00")</f>
        <v/>
      </c>
      <c r="O3673" s="10">
        <f>REPT(" ",8)</f>
        <v/>
      </c>
      <c r="P3673" s="10">
        <f>RIGHT($B$4,2)</f>
        <v/>
      </c>
      <c r="Q3673" s="10">
        <f>RIGHT($B$5,3)</f>
        <v/>
      </c>
      <c r="R3673" s="10">
        <f>IF(A3673="D",LEFT(UPPER(B3673)&amp;REPT(" ",20),20),REPT(" ",20))</f>
        <v/>
      </c>
      <c r="S3673" s="10">
        <f>IF(A3673="D",LEFT(UPPER(C3673)&amp;REPT(" ",10),10)," ")</f>
        <v/>
      </c>
      <c r="T3673" s="10">
        <f>IF(A3673="D",LEFT(UPPER(D3673)&amp;REPT(" ",2),2)," ")</f>
        <v/>
      </c>
      <c r="U3673" s="10">
        <f>IF(A3673="D",LEFT(UPPER(E3673)&amp;REPT(" ",15),15)," ")</f>
        <v/>
      </c>
      <c r="V3673" s="10">
        <f>REPT(" ",24)</f>
        <v/>
      </c>
      <c r="W3673" s="10">
        <f>IF(A3673="c",LEFT(UPPER(B3673)&amp;REPT(" ",20),20),REPT(" ",20))</f>
        <v/>
      </c>
      <c r="X3673" s="10">
        <f>IF(A3673="C",LEFT(UPPER(C3673)&amp;REPT(" ",10),10)," ")</f>
        <v/>
      </c>
      <c r="Y3673" s="10">
        <f>IF(A3673="C",LEFT(UPPER(D3673)&amp;REPT(" ",2),2)," ")</f>
        <v/>
      </c>
      <c r="Z3673" s="10">
        <f>IF(A3673="C",LEFT(UPPER(E3673)&amp;REPT(" ",15),15)," ")</f>
        <v/>
      </c>
      <c r="AA3673" s="10">
        <f>REPT(" ",8)</f>
        <v/>
      </c>
      <c r="AB3673" s="10">
        <f>REPT(" ",4)</f>
        <v/>
      </c>
      <c r="AC3673" s="10">
        <f>LEFT(UPPER(H3673)&amp;REPT(" ",250),250)</f>
        <v/>
      </c>
      <c r="AD3673" s="10">
        <f>TEXT($G$2,"dd/mm/aaaa")</f>
        <v/>
      </c>
      <c r="AE3673" s="10">
        <f>REPT(" ",10)</f>
        <v/>
      </c>
      <c r="AF3673" s="10">
        <f>REPT(" ",20)</f>
        <v/>
      </c>
      <c r="AG3673" s="54">
        <f>REPT(" ",18-LEN(FIXED(F3673,2,TRUE)))&amp;FIXED(F3673,2,TRUE)</f>
        <v/>
      </c>
      <c r="AH3673" s="10">
        <f>LEN(AC3673)+LEN(AG3673)</f>
        <v/>
      </c>
      <c r="AI3673" s="10">
        <f>LEN(L3673)</f>
        <v/>
      </c>
    </row>
    <row r="3674">
      <c r="J3674" s="12">
        <f>IF(F3674&lt;&gt;0,"LANÇAR","")</f>
        <v/>
      </c>
      <c r="L3674" s="13">
        <f>N3674&amp;O3674&amp;P3674&amp;Q3674&amp;R3674&amp;S3674&amp;T3674&amp;U3674&amp;V3674&amp;W3674&amp;X3674&amp;Y3674&amp;Z3674&amp;AA3674&amp;AB3674&amp;AC3674&amp;AD3674&amp;AE3674&amp;AF3674&amp;AG3674</f>
        <v/>
      </c>
      <c r="N3674" s="10">
        <f>TEXT($B$6,"00")</f>
        <v/>
      </c>
      <c r="O3674" s="10">
        <f>REPT(" ",8)</f>
        <v/>
      </c>
      <c r="P3674" s="10">
        <f>RIGHT($B$4,2)</f>
        <v/>
      </c>
      <c r="Q3674" s="10">
        <f>RIGHT($B$5,3)</f>
        <v/>
      </c>
      <c r="R3674" s="10">
        <f>IF(A3674="D",LEFT(UPPER(B3674)&amp;REPT(" ",20),20),REPT(" ",20))</f>
        <v/>
      </c>
      <c r="S3674" s="10">
        <f>IF(A3674="D",LEFT(UPPER(C3674)&amp;REPT(" ",10),10)," ")</f>
        <v/>
      </c>
      <c r="T3674" s="10">
        <f>IF(A3674="D",LEFT(UPPER(D3674)&amp;REPT(" ",2),2)," ")</f>
        <v/>
      </c>
      <c r="U3674" s="10">
        <f>IF(A3674="D",LEFT(UPPER(E3674)&amp;REPT(" ",15),15)," ")</f>
        <v/>
      </c>
      <c r="V3674" s="10">
        <f>REPT(" ",24)</f>
        <v/>
      </c>
      <c r="W3674" s="10">
        <f>IF(A3674="c",LEFT(UPPER(B3674)&amp;REPT(" ",20),20),REPT(" ",20))</f>
        <v/>
      </c>
      <c r="X3674" s="10">
        <f>IF(A3674="C",LEFT(UPPER(C3674)&amp;REPT(" ",10),10)," ")</f>
        <v/>
      </c>
      <c r="Y3674" s="10">
        <f>IF(A3674="C",LEFT(UPPER(D3674)&amp;REPT(" ",2),2)," ")</f>
        <v/>
      </c>
      <c r="Z3674" s="10">
        <f>IF(A3674="C",LEFT(UPPER(E3674)&amp;REPT(" ",15),15)," ")</f>
        <v/>
      </c>
      <c r="AA3674" s="10">
        <f>REPT(" ",8)</f>
        <v/>
      </c>
      <c r="AB3674" s="10">
        <f>REPT(" ",4)</f>
        <v/>
      </c>
      <c r="AC3674" s="10">
        <f>LEFT(UPPER(H3674)&amp;REPT(" ",250),250)</f>
        <v/>
      </c>
      <c r="AD3674" s="10">
        <f>TEXT($G$2,"dd/mm/aaaa")</f>
        <v/>
      </c>
      <c r="AE3674" s="10">
        <f>REPT(" ",10)</f>
        <v/>
      </c>
      <c r="AF3674" s="10">
        <f>REPT(" ",20)</f>
        <v/>
      </c>
      <c r="AG3674" s="54">
        <f>REPT(" ",18-LEN(FIXED(F3674,2,TRUE)))&amp;FIXED(F3674,2,TRUE)</f>
        <v/>
      </c>
      <c r="AH3674" s="10">
        <f>LEN(AC3674)+LEN(AG3674)</f>
        <v/>
      </c>
      <c r="AI3674" s="10">
        <f>LEN(L3674)</f>
        <v/>
      </c>
    </row>
    <row r="3675">
      <c r="J3675" s="12">
        <f>IF(F3675&lt;&gt;0,"LANÇAR","")</f>
        <v/>
      </c>
      <c r="L3675" s="13">
        <f>N3675&amp;O3675&amp;P3675&amp;Q3675&amp;R3675&amp;S3675&amp;T3675&amp;U3675&amp;V3675&amp;W3675&amp;X3675&amp;Y3675&amp;Z3675&amp;AA3675&amp;AB3675&amp;AC3675&amp;AD3675&amp;AE3675&amp;AF3675&amp;AG3675</f>
        <v/>
      </c>
      <c r="N3675" s="10">
        <f>TEXT($B$6,"00")</f>
        <v/>
      </c>
      <c r="O3675" s="10">
        <f>REPT(" ",8)</f>
        <v/>
      </c>
      <c r="P3675" s="10">
        <f>RIGHT($B$4,2)</f>
        <v/>
      </c>
      <c r="Q3675" s="10">
        <f>RIGHT($B$5,3)</f>
        <v/>
      </c>
      <c r="R3675" s="10">
        <f>IF(A3675="D",LEFT(UPPER(B3675)&amp;REPT(" ",20),20),REPT(" ",20))</f>
        <v/>
      </c>
      <c r="S3675" s="10">
        <f>IF(A3675="D",LEFT(UPPER(C3675)&amp;REPT(" ",10),10)," ")</f>
        <v/>
      </c>
      <c r="T3675" s="10">
        <f>IF(A3675="D",LEFT(UPPER(D3675)&amp;REPT(" ",2),2)," ")</f>
        <v/>
      </c>
      <c r="U3675" s="10">
        <f>IF(A3675="D",LEFT(UPPER(E3675)&amp;REPT(" ",15),15)," ")</f>
        <v/>
      </c>
      <c r="V3675" s="10">
        <f>REPT(" ",24)</f>
        <v/>
      </c>
      <c r="W3675" s="10">
        <f>IF(A3675="c",LEFT(UPPER(B3675)&amp;REPT(" ",20),20),REPT(" ",20))</f>
        <v/>
      </c>
      <c r="X3675" s="10">
        <f>IF(A3675="C",LEFT(UPPER(C3675)&amp;REPT(" ",10),10)," ")</f>
        <v/>
      </c>
      <c r="Y3675" s="10">
        <f>IF(A3675="C",LEFT(UPPER(D3675)&amp;REPT(" ",2),2)," ")</f>
        <v/>
      </c>
      <c r="Z3675" s="10">
        <f>IF(A3675="C",LEFT(UPPER(E3675)&amp;REPT(" ",15),15)," ")</f>
        <v/>
      </c>
      <c r="AA3675" s="10">
        <f>REPT(" ",8)</f>
        <v/>
      </c>
      <c r="AB3675" s="10">
        <f>REPT(" ",4)</f>
        <v/>
      </c>
      <c r="AC3675" s="10">
        <f>LEFT(UPPER(H3675)&amp;REPT(" ",250),250)</f>
        <v/>
      </c>
      <c r="AD3675" s="10">
        <f>TEXT($G$2,"dd/mm/aaaa")</f>
        <v/>
      </c>
      <c r="AE3675" s="10">
        <f>REPT(" ",10)</f>
        <v/>
      </c>
      <c r="AF3675" s="10">
        <f>REPT(" ",20)</f>
        <v/>
      </c>
      <c r="AG3675" s="54">
        <f>REPT(" ",18-LEN(FIXED(F3675,2,TRUE)))&amp;FIXED(F3675,2,TRUE)</f>
        <v/>
      </c>
      <c r="AH3675" s="10">
        <f>LEN(AC3675)+LEN(AG3675)</f>
        <v/>
      </c>
      <c r="AI3675" s="10">
        <f>LEN(L3675)</f>
        <v/>
      </c>
    </row>
    <row r="3676">
      <c r="J3676" s="12">
        <f>IF(F3676&lt;&gt;0,"LANÇAR","")</f>
        <v/>
      </c>
      <c r="L3676" s="13">
        <f>N3676&amp;O3676&amp;P3676&amp;Q3676&amp;R3676&amp;S3676&amp;T3676&amp;U3676&amp;V3676&amp;W3676&amp;X3676&amp;Y3676&amp;Z3676&amp;AA3676&amp;AB3676&amp;AC3676&amp;AD3676&amp;AE3676&amp;AF3676&amp;AG3676</f>
        <v/>
      </c>
      <c r="N3676" s="10">
        <f>TEXT($B$6,"00")</f>
        <v/>
      </c>
      <c r="O3676" s="10">
        <f>REPT(" ",8)</f>
        <v/>
      </c>
      <c r="P3676" s="10">
        <f>RIGHT($B$4,2)</f>
        <v/>
      </c>
      <c r="Q3676" s="10">
        <f>RIGHT($B$5,3)</f>
        <v/>
      </c>
      <c r="R3676" s="10">
        <f>IF(A3676="D",LEFT(UPPER(B3676)&amp;REPT(" ",20),20),REPT(" ",20))</f>
        <v/>
      </c>
      <c r="S3676" s="10">
        <f>IF(A3676="D",LEFT(UPPER(C3676)&amp;REPT(" ",10),10)," ")</f>
        <v/>
      </c>
      <c r="T3676" s="10">
        <f>IF(A3676="D",LEFT(UPPER(D3676)&amp;REPT(" ",2),2)," ")</f>
        <v/>
      </c>
      <c r="U3676" s="10">
        <f>IF(A3676="D",LEFT(UPPER(E3676)&amp;REPT(" ",15),15)," ")</f>
        <v/>
      </c>
      <c r="V3676" s="10">
        <f>REPT(" ",24)</f>
        <v/>
      </c>
      <c r="W3676" s="10">
        <f>IF(A3676="c",LEFT(UPPER(B3676)&amp;REPT(" ",20),20),REPT(" ",20))</f>
        <v/>
      </c>
      <c r="X3676" s="10">
        <f>IF(A3676="C",LEFT(UPPER(C3676)&amp;REPT(" ",10),10)," ")</f>
        <v/>
      </c>
      <c r="Y3676" s="10">
        <f>IF(A3676="C",LEFT(UPPER(D3676)&amp;REPT(" ",2),2)," ")</f>
        <v/>
      </c>
      <c r="Z3676" s="10">
        <f>IF(A3676="C",LEFT(UPPER(E3676)&amp;REPT(" ",15),15)," ")</f>
        <v/>
      </c>
      <c r="AA3676" s="10">
        <f>REPT(" ",8)</f>
        <v/>
      </c>
      <c r="AB3676" s="10">
        <f>REPT(" ",4)</f>
        <v/>
      </c>
      <c r="AC3676" s="10">
        <f>LEFT(UPPER(H3676)&amp;REPT(" ",250),250)</f>
        <v/>
      </c>
      <c r="AD3676" s="10">
        <f>TEXT($G$2,"dd/mm/aaaa")</f>
        <v/>
      </c>
      <c r="AE3676" s="10">
        <f>REPT(" ",10)</f>
        <v/>
      </c>
      <c r="AF3676" s="10">
        <f>REPT(" ",20)</f>
        <v/>
      </c>
      <c r="AG3676" s="54">
        <f>REPT(" ",18-LEN(FIXED(F3676,2,TRUE)))&amp;FIXED(F3676,2,TRUE)</f>
        <v/>
      </c>
      <c r="AH3676" s="10">
        <f>LEN(AC3676)+LEN(AG3676)</f>
        <v/>
      </c>
      <c r="AI3676" s="10">
        <f>LEN(L3676)</f>
        <v/>
      </c>
    </row>
    <row r="3677">
      <c r="J3677" s="12">
        <f>IF(F3677&lt;&gt;0,"LANÇAR","")</f>
        <v/>
      </c>
      <c r="L3677" s="13">
        <f>N3677&amp;O3677&amp;P3677&amp;Q3677&amp;R3677&amp;S3677&amp;T3677&amp;U3677&amp;V3677&amp;W3677&amp;X3677&amp;Y3677&amp;Z3677&amp;AA3677&amp;AB3677&amp;AC3677&amp;AD3677&amp;AE3677&amp;AF3677&amp;AG3677</f>
        <v/>
      </c>
      <c r="N3677" s="10">
        <f>TEXT($B$6,"00")</f>
        <v/>
      </c>
      <c r="O3677" s="10">
        <f>REPT(" ",8)</f>
        <v/>
      </c>
      <c r="P3677" s="10">
        <f>RIGHT($B$4,2)</f>
        <v/>
      </c>
      <c r="Q3677" s="10">
        <f>RIGHT($B$5,3)</f>
        <v/>
      </c>
      <c r="R3677" s="10">
        <f>IF(A3677="D",LEFT(UPPER(B3677)&amp;REPT(" ",20),20),REPT(" ",20))</f>
        <v/>
      </c>
      <c r="S3677" s="10">
        <f>IF(A3677="D",LEFT(UPPER(C3677)&amp;REPT(" ",10),10)," ")</f>
        <v/>
      </c>
      <c r="T3677" s="10">
        <f>IF(A3677="D",LEFT(UPPER(D3677)&amp;REPT(" ",2),2)," ")</f>
        <v/>
      </c>
      <c r="U3677" s="10">
        <f>IF(A3677="D",LEFT(UPPER(E3677)&amp;REPT(" ",15),15)," ")</f>
        <v/>
      </c>
      <c r="V3677" s="10">
        <f>REPT(" ",24)</f>
        <v/>
      </c>
      <c r="W3677" s="10">
        <f>IF(A3677="c",LEFT(UPPER(B3677)&amp;REPT(" ",20),20),REPT(" ",20))</f>
        <v/>
      </c>
      <c r="X3677" s="10">
        <f>IF(A3677="C",LEFT(UPPER(C3677)&amp;REPT(" ",10),10)," ")</f>
        <v/>
      </c>
      <c r="Y3677" s="10">
        <f>IF(A3677="C",LEFT(UPPER(D3677)&amp;REPT(" ",2),2)," ")</f>
        <v/>
      </c>
      <c r="Z3677" s="10">
        <f>IF(A3677="C",LEFT(UPPER(E3677)&amp;REPT(" ",15),15)," ")</f>
        <v/>
      </c>
      <c r="AA3677" s="10">
        <f>REPT(" ",8)</f>
        <v/>
      </c>
      <c r="AB3677" s="10">
        <f>REPT(" ",4)</f>
        <v/>
      </c>
      <c r="AC3677" s="10">
        <f>LEFT(UPPER(H3677)&amp;REPT(" ",250),250)</f>
        <v/>
      </c>
      <c r="AD3677" s="10">
        <f>TEXT($G$2,"dd/mm/aaaa")</f>
        <v/>
      </c>
      <c r="AE3677" s="10">
        <f>REPT(" ",10)</f>
        <v/>
      </c>
      <c r="AF3677" s="10">
        <f>REPT(" ",20)</f>
        <v/>
      </c>
      <c r="AG3677" s="54">
        <f>REPT(" ",18-LEN(FIXED(F3677,2,TRUE)))&amp;FIXED(F3677,2,TRUE)</f>
        <v/>
      </c>
      <c r="AH3677" s="10">
        <f>LEN(AC3677)+LEN(AG3677)</f>
        <v/>
      </c>
      <c r="AI3677" s="10">
        <f>LEN(L3677)</f>
        <v/>
      </c>
    </row>
    <row r="3678">
      <c r="J3678" s="12">
        <f>IF(F3678&lt;&gt;0,"LANÇAR","")</f>
        <v/>
      </c>
      <c r="L3678" s="13">
        <f>N3678&amp;O3678&amp;P3678&amp;Q3678&amp;R3678&amp;S3678&amp;T3678&amp;U3678&amp;V3678&amp;W3678&amp;X3678&amp;Y3678&amp;Z3678&amp;AA3678&amp;AB3678&amp;AC3678&amp;AD3678&amp;AE3678&amp;AF3678&amp;AG3678</f>
        <v/>
      </c>
      <c r="N3678" s="10">
        <f>TEXT($B$6,"00")</f>
        <v/>
      </c>
      <c r="O3678" s="10">
        <f>REPT(" ",8)</f>
        <v/>
      </c>
      <c r="P3678" s="10">
        <f>RIGHT($B$4,2)</f>
        <v/>
      </c>
      <c r="Q3678" s="10">
        <f>RIGHT($B$5,3)</f>
        <v/>
      </c>
      <c r="R3678" s="10">
        <f>IF(A3678="D",LEFT(UPPER(B3678)&amp;REPT(" ",20),20),REPT(" ",20))</f>
        <v/>
      </c>
      <c r="S3678" s="10">
        <f>IF(A3678="D",LEFT(UPPER(C3678)&amp;REPT(" ",10),10)," ")</f>
        <v/>
      </c>
      <c r="T3678" s="10">
        <f>IF(A3678="D",LEFT(UPPER(D3678)&amp;REPT(" ",2),2)," ")</f>
        <v/>
      </c>
      <c r="U3678" s="10">
        <f>IF(A3678="D",LEFT(UPPER(E3678)&amp;REPT(" ",15),15)," ")</f>
        <v/>
      </c>
      <c r="V3678" s="10">
        <f>REPT(" ",24)</f>
        <v/>
      </c>
      <c r="W3678" s="10">
        <f>IF(A3678="c",LEFT(UPPER(B3678)&amp;REPT(" ",20),20),REPT(" ",20))</f>
        <v/>
      </c>
      <c r="X3678" s="10">
        <f>IF(A3678="C",LEFT(UPPER(C3678)&amp;REPT(" ",10),10)," ")</f>
        <v/>
      </c>
      <c r="Y3678" s="10">
        <f>IF(A3678="C",LEFT(UPPER(D3678)&amp;REPT(" ",2),2)," ")</f>
        <v/>
      </c>
      <c r="Z3678" s="10">
        <f>IF(A3678="C",LEFT(UPPER(E3678)&amp;REPT(" ",15),15)," ")</f>
        <v/>
      </c>
      <c r="AA3678" s="10">
        <f>REPT(" ",8)</f>
        <v/>
      </c>
      <c r="AB3678" s="10">
        <f>REPT(" ",4)</f>
        <v/>
      </c>
      <c r="AC3678" s="10">
        <f>LEFT(UPPER(H3678)&amp;REPT(" ",250),250)</f>
        <v/>
      </c>
      <c r="AD3678" s="10">
        <f>TEXT($G$2,"dd/mm/aaaa")</f>
        <v/>
      </c>
      <c r="AE3678" s="10">
        <f>REPT(" ",10)</f>
        <v/>
      </c>
      <c r="AF3678" s="10">
        <f>REPT(" ",20)</f>
        <v/>
      </c>
      <c r="AG3678" s="54">
        <f>REPT(" ",18-LEN(FIXED(F3678,2,TRUE)))&amp;FIXED(F3678,2,TRUE)</f>
        <v/>
      </c>
      <c r="AH3678" s="10">
        <f>LEN(AC3678)+LEN(AG3678)</f>
        <v/>
      </c>
      <c r="AI3678" s="10">
        <f>LEN(L3678)</f>
        <v/>
      </c>
    </row>
    <row r="3679">
      <c r="J3679" s="12">
        <f>IF(F3679&lt;&gt;0,"LANÇAR","")</f>
        <v/>
      </c>
      <c r="L3679" s="13">
        <f>N3679&amp;O3679&amp;P3679&amp;Q3679&amp;R3679&amp;S3679&amp;T3679&amp;U3679&amp;V3679&amp;W3679&amp;X3679&amp;Y3679&amp;Z3679&amp;AA3679&amp;AB3679&amp;AC3679&amp;AD3679&amp;AE3679&amp;AF3679&amp;AG3679</f>
        <v/>
      </c>
      <c r="N3679" s="10">
        <f>TEXT($B$6,"00")</f>
        <v/>
      </c>
      <c r="O3679" s="10">
        <f>REPT(" ",8)</f>
        <v/>
      </c>
      <c r="P3679" s="10">
        <f>RIGHT($B$4,2)</f>
        <v/>
      </c>
      <c r="Q3679" s="10">
        <f>RIGHT($B$5,3)</f>
        <v/>
      </c>
      <c r="R3679" s="10">
        <f>IF(A3679="D",LEFT(UPPER(B3679)&amp;REPT(" ",20),20),REPT(" ",20))</f>
        <v/>
      </c>
      <c r="S3679" s="10">
        <f>IF(A3679="D",LEFT(UPPER(C3679)&amp;REPT(" ",10),10)," ")</f>
        <v/>
      </c>
      <c r="T3679" s="10">
        <f>IF(A3679="D",LEFT(UPPER(D3679)&amp;REPT(" ",2),2)," ")</f>
        <v/>
      </c>
      <c r="U3679" s="10">
        <f>IF(A3679="D",LEFT(UPPER(E3679)&amp;REPT(" ",15),15)," ")</f>
        <v/>
      </c>
      <c r="V3679" s="10">
        <f>REPT(" ",24)</f>
        <v/>
      </c>
      <c r="W3679" s="10">
        <f>IF(A3679="c",LEFT(UPPER(B3679)&amp;REPT(" ",20),20),REPT(" ",20))</f>
        <v/>
      </c>
      <c r="X3679" s="10">
        <f>IF(A3679="C",LEFT(UPPER(C3679)&amp;REPT(" ",10),10)," ")</f>
        <v/>
      </c>
      <c r="Y3679" s="10">
        <f>IF(A3679="C",LEFT(UPPER(D3679)&amp;REPT(" ",2),2)," ")</f>
        <v/>
      </c>
      <c r="Z3679" s="10">
        <f>IF(A3679="C",LEFT(UPPER(E3679)&amp;REPT(" ",15),15)," ")</f>
        <v/>
      </c>
      <c r="AA3679" s="10">
        <f>REPT(" ",8)</f>
        <v/>
      </c>
      <c r="AB3679" s="10">
        <f>REPT(" ",4)</f>
        <v/>
      </c>
      <c r="AC3679" s="10">
        <f>LEFT(UPPER(H3679)&amp;REPT(" ",250),250)</f>
        <v/>
      </c>
      <c r="AD3679" s="10">
        <f>TEXT($G$2,"dd/mm/aaaa")</f>
        <v/>
      </c>
      <c r="AE3679" s="10">
        <f>REPT(" ",10)</f>
        <v/>
      </c>
      <c r="AF3679" s="10">
        <f>REPT(" ",20)</f>
        <v/>
      </c>
      <c r="AG3679" s="54">
        <f>REPT(" ",18-LEN(FIXED(F3679,2,TRUE)))&amp;FIXED(F3679,2,TRUE)</f>
        <v/>
      </c>
      <c r="AH3679" s="10">
        <f>LEN(AC3679)+LEN(AG3679)</f>
        <v/>
      </c>
      <c r="AI3679" s="10">
        <f>LEN(L3679)</f>
        <v/>
      </c>
    </row>
    <row r="3680">
      <c r="J3680" s="12">
        <f>IF(F3680&lt;&gt;0,"LANÇAR","")</f>
        <v/>
      </c>
      <c r="L3680" s="13">
        <f>N3680&amp;O3680&amp;P3680&amp;Q3680&amp;R3680&amp;S3680&amp;T3680&amp;U3680&amp;V3680&amp;W3680&amp;X3680&amp;Y3680&amp;Z3680&amp;AA3680&amp;AB3680&amp;AC3680&amp;AD3680&amp;AE3680&amp;AF3680&amp;AG3680</f>
        <v/>
      </c>
      <c r="N3680" s="10">
        <f>TEXT($B$6,"00")</f>
        <v/>
      </c>
      <c r="O3680" s="10">
        <f>REPT(" ",8)</f>
        <v/>
      </c>
      <c r="P3680" s="10">
        <f>RIGHT($B$4,2)</f>
        <v/>
      </c>
      <c r="Q3680" s="10">
        <f>RIGHT($B$5,3)</f>
        <v/>
      </c>
      <c r="R3680" s="10">
        <f>IF(A3680="D",LEFT(UPPER(B3680)&amp;REPT(" ",20),20),REPT(" ",20))</f>
        <v/>
      </c>
      <c r="S3680" s="10">
        <f>IF(A3680="D",LEFT(UPPER(C3680)&amp;REPT(" ",10),10)," ")</f>
        <v/>
      </c>
      <c r="T3680" s="10">
        <f>IF(A3680="D",LEFT(UPPER(D3680)&amp;REPT(" ",2),2)," ")</f>
        <v/>
      </c>
      <c r="U3680" s="10">
        <f>IF(A3680="D",LEFT(UPPER(E3680)&amp;REPT(" ",15),15)," ")</f>
        <v/>
      </c>
      <c r="V3680" s="10">
        <f>REPT(" ",24)</f>
        <v/>
      </c>
      <c r="W3680" s="10">
        <f>IF(A3680="c",LEFT(UPPER(B3680)&amp;REPT(" ",20),20),REPT(" ",20))</f>
        <v/>
      </c>
      <c r="X3680" s="10">
        <f>IF(A3680="C",LEFT(UPPER(C3680)&amp;REPT(" ",10),10)," ")</f>
        <v/>
      </c>
      <c r="Y3680" s="10">
        <f>IF(A3680="C",LEFT(UPPER(D3680)&amp;REPT(" ",2),2)," ")</f>
        <v/>
      </c>
      <c r="Z3680" s="10">
        <f>IF(A3680="C",LEFT(UPPER(E3680)&amp;REPT(" ",15),15)," ")</f>
        <v/>
      </c>
      <c r="AA3680" s="10">
        <f>REPT(" ",8)</f>
        <v/>
      </c>
      <c r="AB3680" s="10">
        <f>REPT(" ",4)</f>
        <v/>
      </c>
      <c r="AC3680" s="10">
        <f>LEFT(UPPER(H3680)&amp;REPT(" ",250),250)</f>
        <v/>
      </c>
      <c r="AD3680" s="10">
        <f>TEXT($G$2,"dd/mm/aaaa")</f>
        <v/>
      </c>
      <c r="AE3680" s="10">
        <f>REPT(" ",10)</f>
        <v/>
      </c>
      <c r="AF3680" s="10">
        <f>REPT(" ",20)</f>
        <v/>
      </c>
      <c r="AG3680" s="54">
        <f>REPT(" ",18-LEN(FIXED(F3680,2,TRUE)))&amp;FIXED(F3680,2,TRUE)</f>
        <v/>
      </c>
      <c r="AH3680" s="10">
        <f>LEN(AC3680)+LEN(AG3680)</f>
        <v/>
      </c>
      <c r="AI3680" s="10">
        <f>LEN(L3680)</f>
        <v/>
      </c>
    </row>
    <row r="3681">
      <c r="J3681" s="12">
        <f>IF(F3681&lt;&gt;0,"LANÇAR","")</f>
        <v/>
      </c>
      <c r="L3681" s="13">
        <f>N3681&amp;O3681&amp;P3681&amp;Q3681&amp;R3681&amp;S3681&amp;T3681&amp;U3681&amp;V3681&amp;W3681&amp;X3681&amp;Y3681&amp;Z3681&amp;AA3681&amp;AB3681&amp;AC3681&amp;AD3681&amp;AE3681&amp;AF3681&amp;AG3681</f>
        <v/>
      </c>
      <c r="N3681" s="10">
        <f>TEXT($B$6,"00")</f>
        <v/>
      </c>
      <c r="O3681" s="10">
        <f>REPT(" ",8)</f>
        <v/>
      </c>
      <c r="P3681" s="10">
        <f>RIGHT($B$4,2)</f>
        <v/>
      </c>
      <c r="Q3681" s="10">
        <f>RIGHT($B$5,3)</f>
        <v/>
      </c>
      <c r="R3681" s="10">
        <f>IF(A3681="D",LEFT(UPPER(B3681)&amp;REPT(" ",20),20),REPT(" ",20))</f>
        <v/>
      </c>
      <c r="S3681" s="10">
        <f>IF(A3681="D",LEFT(UPPER(C3681)&amp;REPT(" ",10),10)," ")</f>
        <v/>
      </c>
      <c r="T3681" s="10">
        <f>IF(A3681="D",LEFT(UPPER(D3681)&amp;REPT(" ",2),2)," ")</f>
        <v/>
      </c>
      <c r="U3681" s="10">
        <f>IF(A3681="D",LEFT(UPPER(E3681)&amp;REPT(" ",15),15)," ")</f>
        <v/>
      </c>
      <c r="V3681" s="10">
        <f>REPT(" ",24)</f>
        <v/>
      </c>
      <c r="W3681" s="10">
        <f>IF(A3681="c",LEFT(UPPER(B3681)&amp;REPT(" ",20),20),REPT(" ",20))</f>
        <v/>
      </c>
      <c r="X3681" s="10">
        <f>IF(A3681="C",LEFT(UPPER(C3681)&amp;REPT(" ",10),10)," ")</f>
        <v/>
      </c>
      <c r="Y3681" s="10">
        <f>IF(A3681="C",LEFT(UPPER(D3681)&amp;REPT(" ",2),2)," ")</f>
        <v/>
      </c>
      <c r="Z3681" s="10">
        <f>IF(A3681="C",LEFT(UPPER(E3681)&amp;REPT(" ",15),15)," ")</f>
        <v/>
      </c>
      <c r="AA3681" s="10">
        <f>REPT(" ",8)</f>
        <v/>
      </c>
      <c r="AB3681" s="10">
        <f>REPT(" ",4)</f>
        <v/>
      </c>
      <c r="AC3681" s="10">
        <f>LEFT(UPPER(H3681)&amp;REPT(" ",250),250)</f>
        <v/>
      </c>
      <c r="AD3681" s="10">
        <f>TEXT($G$2,"dd/mm/aaaa")</f>
        <v/>
      </c>
      <c r="AE3681" s="10">
        <f>REPT(" ",10)</f>
        <v/>
      </c>
      <c r="AF3681" s="10">
        <f>REPT(" ",20)</f>
        <v/>
      </c>
      <c r="AG3681" s="54">
        <f>REPT(" ",18-LEN(FIXED(F3681,2,TRUE)))&amp;FIXED(F3681,2,TRUE)</f>
        <v/>
      </c>
      <c r="AH3681" s="10">
        <f>LEN(AC3681)+LEN(AG3681)</f>
        <v/>
      </c>
      <c r="AI3681" s="10">
        <f>LEN(L3681)</f>
        <v/>
      </c>
    </row>
    <row r="3682">
      <c r="J3682" s="12">
        <f>IF(F3682&lt;&gt;0,"LANÇAR","")</f>
        <v/>
      </c>
      <c r="L3682" s="13">
        <f>N3682&amp;O3682&amp;P3682&amp;Q3682&amp;R3682&amp;S3682&amp;T3682&amp;U3682&amp;V3682&amp;W3682&amp;X3682&amp;Y3682&amp;Z3682&amp;AA3682&amp;AB3682&amp;AC3682&amp;AD3682&amp;AE3682&amp;AF3682&amp;AG3682</f>
        <v/>
      </c>
      <c r="N3682" s="10">
        <f>TEXT($B$6,"00")</f>
        <v/>
      </c>
      <c r="O3682" s="10">
        <f>REPT(" ",8)</f>
        <v/>
      </c>
      <c r="P3682" s="10">
        <f>RIGHT($B$4,2)</f>
        <v/>
      </c>
      <c r="Q3682" s="10">
        <f>RIGHT($B$5,3)</f>
        <v/>
      </c>
      <c r="R3682" s="10">
        <f>IF(A3682="D",LEFT(UPPER(B3682)&amp;REPT(" ",20),20),REPT(" ",20))</f>
        <v/>
      </c>
      <c r="S3682" s="10">
        <f>IF(A3682="D",LEFT(UPPER(C3682)&amp;REPT(" ",10),10)," ")</f>
        <v/>
      </c>
      <c r="T3682" s="10">
        <f>IF(A3682="D",LEFT(UPPER(D3682)&amp;REPT(" ",2),2)," ")</f>
        <v/>
      </c>
      <c r="U3682" s="10">
        <f>IF(A3682="D",LEFT(UPPER(E3682)&amp;REPT(" ",15),15)," ")</f>
        <v/>
      </c>
      <c r="V3682" s="10">
        <f>REPT(" ",24)</f>
        <v/>
      </c>
      <c r="W3682" s="10">
        <f>IF(A3682="c",LEFT(UPPER(B3682)&amp;REPT(" ",20),20),REPT(" ",20))</f>
        <v/>
      </c>
      <c r="X3682" s="10">
        <f>IF(A3682="C",LEFT(UPPER(C3682)&amp;REPT(" ",10),10)," ")</f>
        <v/>
      </c>
      <c r="Y3682" s="10">
        <f>IF(A3682="C",LEFT(UPPER(D3682)&amp;REPT(" ",2),2)," ")</f>
        <v/>
      </c>
      <c r="Z3682" s="10">
        <f>IF(A3682="C",LEFT(UPPER(E3682)&amp;REPT(" ",15),15)," ")</f>
        <v/>
      </c>
      <c r="AA3682" s="10">
        <f>REPT(" ",8)</f>
        <v/>
      </c>
      <c r="AB3682" s="10">
        <f>REPT(" ",4)</f>
        <v/>
      </c>
      <c r="AC3682" s="10">
        <f>LEFT(UPPER(H3682)&amp;REPT(" ",250),250)</f>
        <v/>
      </c>
      <c r="AD3682" s="10">
        <f>TEXT($G$2,"dd/mm/aaaa")</f>
        <v/>
      </c>
      <c r="AE3682" s="10">
        <f>REPT(" ",10)</f>
        <v/>
      </c>
      <c r="AF3682" s="10">
        <f>REPT(" ",20)</f>
        <v/>
      </c>
      <c r="AG3682" s="54">
        <f>REPT(" ",18-LEN(FIXED(F3682,2,TRUE)))&amp;FIXED(F3682,2,TRUE)</f>
        <v/>
      </c>
      <c r="AH3682" s="10">
        <f>LEN(AC3682)+LEN(AG3682)</f>
        <v/>
      </c>
      <c r="AI3682" s="10">
        <f>LEN(L3682)</f>
        <v/>
      </c>
    </row>
    <row r="3683">
      <c r="J3683" s="12">
        <f>IF(F3683&lt;&gt;0,"LANÇAR","")</f>
        <v/>
      </c>
      <c r="L3683" s="13">
        <f>N3683&amp;O3683&amp;P3683&amp;Q3683&amp;R3683&amp;S3683&amp;T3683&amp;U3683&amp;V3683&amp;W3683&amp;X3683&amp;Y3683&amp;Z3683&amp;AA3683&amp;AB3683&amp;AC3683&amp;AD3683&amp;AE3683&amp;AF3683&amp;AG3683</f>
        <v/>
      </c>
      <c r="N3683" s="10">
        <f>TEXT($B$6,"00")</f>
        <v/>
      </c>
      <c r="O3683" s="10">
        <f>REPT(" ",8)</f>
        <v/>
      </c>
      <c r="P3683" s="10">
        <f>RIGHT($B$4,2)</f>
        <v/>
      </c>
      <c r="Q3683" s="10">
        <f>RIGHT($B$5,3)</f>
        <v/>
      </c>
      <c r="R3683" s="10">
        <f>IF(A3683="D",LEFT(UPPER(B3683)&amp;REPT(" ",20),20),REPT(" ",20))</f>
        <v/>
      </c>
      <c r="S3683" s="10">
        <f>IF(A3683="D",LEFT(UPPER(C3683)&amp;REPT(" ",10),10)," ")</f>
        <v/>
      </c>
      <c r="T3683" s="10">
        <f>IF(A3683="D",LEFT(UPPER(D3683)&amp;REPT(" ",2),2)," ")</f>
        <v/>
      </c>
      <c r="U3683" s="10">
        <f>IF(A3683="D",LEFT(UPPER(E3683)&amp;REPT(" ",15),15)," ")</f>
        <v/>
      </c>
      <c r="V3683" s="10">
        <f>REPT(" ",24)</f>
        <v/>
      </c>
      <c r="W3683" s="10">
        <f>IF(A3683="c",LEFT(UPPER(B3683)&amp;REPT(" ",20),20),REPT(" ",20))</f>
        <v/>
      </c>
      <c r="X3683" s="10">
        <f>IF(A3683="C",LEFT(UPPER(C3683)&amp;REPT(" ",10),10)," ")</f>
        <v/>
      </c>
      <c r="Y3683" s="10">
        <f>IF(A3683="C",LEFT(UPPER(D3683)&amp;REPT(" ",2),2)," ")</f>
        <v/>
      </c>
      <c r="Z3683" s="10">
        <f>IF(A3683="C",LEFT(UPPER(E3683)&amp;REPT(" ",15),15)," ")</f>
        <v/>
      </c>
      <c r="AA3683" s="10">
        <f>REPT(" ",8)</f>
        <v/>
      </c>
      <c r="AB3683" s="10">
        <f>REPT(" ",4)</f>
        <v/>
      </c>
      <c r="AC3683" s="10">
        <f>LEFT(UPPER(H3683)&amp;REPT(" ",250),250)</f>
        <v/>
      </c>
      <c r="AD3683" s="10">
        <f>TEXT($G$2,"dd/mm/aaaa")</f>
        <v/>
      </c>
      <c r="AE3683" s="10">
        <f>REPT(" ",10)</f>
        <v/>
      </c>
      <c r="AF3683" s="10">
        <f>REPT(" ",20)</f>
        <v/>
      </c>
      <c r="AG3683" s="54">
        <f>REPT(" ",18-LEN(FIXED(F3683,2,TRUE)))&amp;FIXED(F3683,2,TRUE)</f>
        <v/>
      </c>
      <c r="AH3683" s="10">
        <f>LEN(AC3683)+LEN(AG3683)</f>
        <v/>
      </c>
      <c r="AI3683" s="10">
        <f>LEN(L3683)</f>
        <v/>
      </c>
    </row>
    <row r="3684">
      <c r="J3684" s="12">
        <f>IF(F3684&lt;&gt;0,"LANÇAR","")</f>
        <v/>
      </c>
      <c r="L3684" s="13">
        <f>N3684&amp;O3684&amp;P3684&amp;Q3684&amp;R3684&amp;S3684&amp;T3684&amp;U3684&amp;V3684&amp;W3684&amp;X3684&amp;Y3684&amp;Z3684&amp;AA3684&amp;AB3684&amp;AC3684&amp;AD3684&amp;AE3684&amp;AF3684&amp;AG3684</f>
        <v/>
      </c>
      <c r="N3684" s="10">
        <f>TEXT($B$6,"00")</f>
        <v/>
      </c>
      <c r="O3684" s="10">
        <f>REPT(" ",8)</f>
        <v/>
      </c>
      <c r="P3684" s="10">
        <f>RIGHT($B$4,2)</f>
        <v/>
      </c>
      <c r="Q3684" s="10">
        <f>RIGHT($B$5,3)</f>
        <v/>
      </c>
      <c r="R3684" s="10">
        <f>IF(A3684="D",LEFT(UPPER(B3684)&amp;REPT(" ",20),20),REPT(" ",20))</f>
        <v/>
      </c>
      <c r="S3684" s="10">
        <f>IF(A3684="D",LEFT(UPPER(C3684)&amp;REPT(" ",10),10)," ")</f>
        <v/>
      </c>
      <c r="T3684" s="10">
        <f>IF(A3684="D",LEFT(UPPER(D3684)&amp;REPT(" ",2),2)," ")</f>
        <v/>
      </c>
      <c r="U3684" s="10">
        <f>IF(A3684="D",LEFT(UPPER(E3684)&amp;REPT(" ",15),15)," ")</f>
        <v/>
      </c>
      <c r="V3684" s="10">
        <f>REPT(" ",24)</f>
        <v/>
      </c>
      <c r="W3684" s="10">
        <f>IF(A3684="c",LEFT(UPPER(B3684)&amp;REPT(" ",20),20),REPT(" ",20))</f>
        <v/>
      </c>
      <c r="X3684" s="10">
        <f>IF(A3684="C",LEFT(UPPER(C3684)&amp;REPT(" ",10),10)," ")</f>
        <v/>
      </c>
      <c r="Y3684" s="10">
        <f>IF(A3684="C",LEFT(UPPER(D3684)&amp;REPT(" ",2),2)," ")</f>
        <v/>
      </c>
      <c r="Z3684" s="10">
        <f>IF(A3684="C",LEFT(UPPER(E3684)&amp;REPT(" ",15),15)," ")</f>
        <v/>
      </c>
      <c r="AA3684" s="10">
        <f>REPT(" ",8)</f>
        <v/>
      </c>
      <c r="AB3684" s="10">
        <f>REPT(" ",4)</f>
        <v/>
      </c>
      <c r="AC3684" s="10">
        <f>LEFT(UPPER(H3684)&amp;REPT(" ",250),250)</f>
        <v/>
      </c>
      <c r="AD3684" s="10">
        <f>TEXT($G$2,"dd/mm/aaaa")</f>
        <v/>
      </c>
      <c r="AE3684" s="10">
        <f>REPT(" ",10)</f>
        <v/>
      </c>
      <c r="AF3684" s="10">
        <f>REPT(" ",20)</f>
        <v/>
      </c>
      <c r="AG3684" s="54">
        <f>REPT(" ",18-LEN(FIXED(F3684,2,TRUE)))&amp;FIXED(F3684,2,TRUE)</f>
        <v/>
      </c>
      <c r="AH3684" s="10">
        <f>LEN(AC3684)+LEN(AG3684)</f>
        <v/>
      </c>
      <c r="AI3684" s="10">
        <f>LEN(L3684)</f>
        <v/>
      </c>
    </row>
    <row r="3685">
      <c r="J3685" s="12">
        <f>IF(F3685&lt;&gt;0,"LANÇAR","")</f>
        <v/>
      </c>
      <c r="L3685" s="13">
        <f>N3685&amp;O3685&amp;P3685&amp;Q3685&amp;R3685&amp;S3685&amp;T3685&amp;U3685&amp;V3685&amp;W3685&amp;X3685&amp;Y3685&amp;Z3685&amp;AA3685&amp;AB3685&amp;AC3685&amp;AD3685&amp;AE3685&amp;AF3685&amp;AG3685</f>
        <v/>
      </c>
      <c r="N3685" s="10">
        <f>TEXT($B$6,"00")</f>
        <v/>
      </c>
      <c r="O3685" s="10">
        <f>REPT(" ",8)</f>
        <v/>
      </c>
      <c r="P3685" s="10">
        <f>RIGHT($B$4,2)</f>
        <v/>
      </c>
      <c r="Q3685" s="10">
        <f>RIGHT($B$5,3)</f>
        <v/>
      </c>
      <c r="R3685" s="10">
        <f>IF(A3685="D",LEFT(UPPER(B3685)&amp;REPT(" ",20),20),REPT(" ",20))</f>
        <v/>
      </c>
      <c r="S3685" s="10">
        <f>IF(A3685="D",LEFT(UPPER(C3685)&amp;REPT(" ",10),10)," ")</f>
        <v/>
      </c>
      <c r="T3685" s="10">
        <f>IF(A3685="D",LEFT(UPPER(D3685)&amp;REPT(" ",2),2)," ")</f>
        <v/>
      </c>
      <c r="U3685" s="10">
        <f>IF(A3685="D",LEFT(UPPER(E3685)&amp;REPT(" ",15),15)," ")</f>
        <v/>
      </c>
      <c r="V3685" s="10">
        <f>REPT(" ",24)</f>
        <v/>
      </c>
      <c r="W3685" s="10">
        <f>IF(A3685="c",LEFT(UPPER(B3685)&amp;REPT(" ",20),20),REPT(" ",20))</f>
        <v/>
      </c>
      <c r="X3685" s="10">
        <f>IF(A3685="C",LEFT(UPPER(C3685)&amp;REPT(" ",10),10)," ")</f>
        <v/>
      </c>
      <c r="Y3685" s="10">
        <f>IF(A3685="C",LEFT(UPPER(D3685)&amp;REPT(" ",2),2)," ")</f>
        <v/>
      </c>
      <c r="Z3685" s="10">
        <f>IF(A3685="C",LEFT(UPPER(E3685)&amp;REPT(" ",15),15)," ")</f>
        <v/>
      </c>
      <c r="AA3685" s="10">
        <f>REPT(" ",8)</f>
        <v/>
      </c>
      <c r="AB3685" s="10">
        <f>REPT(" ",4)</f>
        <v/>
      </c>
      <c r="AC3685" s="10">
        <f>LEFT(UPPER(H3685)&amp;REPT(" ",250),250)</f>
        <v/>
      </c>
      <c r="AD3685" s="10">
        <f>TEXT($G$2,"dd/mm/aaaa")</f>
        <v/>
      </c>
      <c r="AE3685" s="10">
        <f>REPT(" ",10)</f>
        <v/>
      </c>
      <c r="AF3685" s="10">
        <f>REPT(" ",20)</f>
        <v/>
      </c>
      <c r="AG3685" s="54">
        <f>REPT(" ",18-LEN(FIXED(F3685,2,TRUE)))&amp;FIXED(F3685,2,TRUE)</f>
        <v/>
      </c>
      <c r="AH3685" s="10">
        <f>LEN(AC3685)+LEN(AG3685)</f>
        <v/>
      </c>
      <c r="AI3685" s="10">
        <f>LEN(L3685)</f>
        <v/>
      </c>
    </row>
    <row r="3686">
      <c r="J3686" s="12">
        <f>IF(F3686&lt;&gt;0,"LANÇAR","")</f>
        <v/>
      </c>
      <c r="L3686" s="13">
        <f>N3686&amp;O3686&amp;P3686&amp;Q3686&amp;R3686&amp;S3686&amp;T3686&amp;U3686&amp;V3686&amp;W3686&amp;X3686&amp;Y3686&amp;Z3686&amp;AA3686&amp;AB3686&amp;AC3686&amp;AD3686&amp;AE3686&amp;AF3686&amp;AG3686</f>
        <v/>
      </c>
      <c r="N3686" s="10">
        <f>TEXT($B$6,"00")</f>
        <v/>
      </c>
      <c r="O3686" s="10">
        <f>REPT(" ",8)</f>
        <v/>
      </c>
      <c r="P3686" s="10">
        <f>RIGHT($B$4,2)</f>
        <v/>
      </c>
      <c r="Q3686" s="10">
        <f>RIGHT($B$5,3)</f>
        <v/>
      </c>
      <c r="R3686" s="10">
        <f>IF(A3686="D",LEFT(UPPER(B3686)&amp;REPT(" ",20),20),REPT(" ",20))</f>
        <v/>
      </c>
      <c r="S3686" s="10">
        <f>IF(A3686="D",LEFT(UPPER(C3686)&amp;REPT(" ",10),10)," ")</f>
        <v/>
      </c>
      <c r="T3686" s="10">
        <f>IF(A3686="D",LEFT(UPPER(D3686)&amp;REPT(" ",2),2)," ")</f>
        <v/>
      </c>
      <c r="U3686" s="10">
        <f>IF(A3686="D",LEFT(UPPER(E3686)&amp;REPT(" ",15),15)," ")</f>
        <v/>
      </c>
      <c r="V3686" s="10">
        <f>REPT(" ",24)</f>
        <v/>
      </c>
      <c r="W3686" s="10">
        <f>IF(A3686="c",LEFT(UPPER(B3686)&amp;REPT(" ",20),20),REPT(" ",20))</f>
        <v/>
      </c>
      <c r="X3686" s="10">
        <f>IF(A3686="C",LEFT(UPPER(C3686)&amp;REPT(" ",10),10)," ")</f>
        <v/>
      </c>
      <c r="Y3686" s="10">
        <f>IF(A3686="C",LEFT(UPPER(D3686)&amp;REPT(" ",2),2)," ")</f>
        <v/>
      </c>
      <c r="Z3686" s="10">
        <f>IF(A3686="C",LEFT(UPPER(E3686)&amp;REPT(" ",15),15)," ")</f>
        <v/>
      </c>
      <c r="AA3686" s="10">
        <f>REPT(" ",8)</f>
        <v/>
      </c>
      <c r="AB3686" s="10">
        <f>REPT(" ",4)</f>
        <v/>
      </c>
      <c r="AC3686" s="10">
        <f>LEFT(UPPER(H3686)&amp;REPT(" ",250),250)</f>
        <v/>
      </c>
      <c r="AD3686" s="10">
        <f>TEXT($G$2,"dd/mm/aaaa")</f>
        <v/>
      </c>
      <c r="AE3686" s="10">
        <f>REPT(" ",10)</f>
        <v/>
      </c>
      <c r="AF3686" s="10">
        <f>REPT(" ",20)</f>
        <v/>
      </c>
      <c r="AG3686" s="54">
        <f>REPT(" ",18-LEN(FIXED(F3686,2,TRUE)))&amp;FIXED(F3686,2,TRUE)</f>
        <v/>
      </c>
      <c r="AH3686" s="10">
        <f>LEN(AC3686)+LEN(AG3686)</f>
        <v/>
      </c>
      <c r="AI3686" s="10">
        <f>LEN(L3686)</f>
        <v/>
      </c>
    </row>
    <row r="3687">
      <c r="J3687" s="12">
        <f>IF(F3687&lt;&gt;0,"LANÇAR","")</f>
        <v/>
      </c>
      <c r="L3687" s="13">
        <f>N3687&amp;O3687&amp;P3687&amp;Q3687&amp;R3687&amp;S3687&amp;T3687&amp;U3687&amp;V3687&amp;W3687&amp;X3687&amp;Y3687&amp;Z3687&amp;AA3687&amp;AB3687&amp;AC3687&amp;AD3687&amp;AE3687&amp;AF3687&amp;AG3687</f>
        <v/>
      </c>
      <c r="N3687" s="10">
        <f>TEXT($B$6,"00")</f>
        <v/>
      </c>
      <c r="O3687" s="10">
        <f>REPT(" ",8)</f>
        <v/>
      </c>
      <c r="P3687" s="10">
        <f>RIGHT($B$4,2)</f>
        <v/>
      </c>
      <c r="Q3687" s="10">
        <f>RIGHT($B$5,3)</f>
        <v/>
      </c>
      <c r="R3687" s="10">
        <f>IF(A3687="D",LEFT(UPPER(B3687)&amp;REPT(" ",20),20),REPT(" ",20))</f>
        <v/>
      </c>
      <c r="S3687" s="10">
        <f>IF(A3687="D",LEFT(UPPER(C3687)&amp;REPT(" ",10),10)," ")</f>
        <v/>
      </c>
      <c r="T3687" s="10">
        <f>IF(A3687="D",LEFT(UPPER(D3687)&amp;REPT(" ",2),2)," ")</f>
        <v/>
      </c>
      <c r="U3687" s="10">
        <f>IF(A3687="D",LEFT(UPPER(E3687)&amp;REPT(" ",15),15)," ")</f>
        <v/>
      </c>
      <c r="V3687" s="10">
        <f>REPT(" ",24)</f>
        <v/>
      </c>
      <c r="W3687" s="10">
        <f>IF(A3687="c",LEFT(UPPER(B3687)&amp;REPT(" ",20),20),REPT(" ",20))</f>
        <v/>
      </c>
      <c r="X3687" s="10">
        <f>IF(A3687="C",LEFT(UPPER(C3687)&amp;REPT(" ",10),10)," ")</f>
        <v/>
      </c>
      <c r="Y3687" s="10">
        <f>IF(A3687="C",LEFT(UPPER(D3687)&amp;REPT(" ",2),2)," ")</f>
        <v/>
      </c>
      <c r="Z3687" s="10">
        <f>IF(A3687="C",LEFT(UPPER(E3687)&amp;REPT(" ",15),15)," ")</f>
        <v/>
      </c>
      <c r="AA3687" s="10">
        <f>REPT(" ",8)</f>
        <v/>
      </c>
      <c r="AB3687" s="10">
        <f>REPT(" ",4)</f>
        <v/>
      </c>
      <c r="AC3687" s="10">
        <f>LEFT(UPPER(H3687)&amp;REPT(" ",250),250)</f>
        <v/>
      </c>
      <c r="AD3687" s="10">
        <f>TEXT($G$2,"dd/mm/aaaa")</f>
        <v/>
      </c>
      <c r="AE3687" s="10">
        <f>REPT(" ",10)</f>
        <v/>
      </c>
      <c r="AF3687" s="10">
        <f>REPT(" ",20)</f>
        <v/>
      </c>
      <c r="AG3687" s="54">
        <f>REPT(" ",18-LEN(FIXED(F3687,2,TRUE)))&amp;FIXED(F3687,2,TRUE)</f>
        <v/>
      </c>
      <c r="AH3687" s="10">
        <f>LEN(AC3687)+LEN(AG3687)</f>
        <v/>
      </c>
      <c r="AI3687" s="10">
        <f>LEN(L3687)</f>
        <v/>
      </c>
    </row>
    <row r="3688">
      <c r="J3688" s="12">
        <f>IF(F3688&lt;&gt;0,"LANÇAR","")</f>
        <v/>
      </c>
      <c r="L3688" s="13">
        <f>N3688&amp;O3688&amp;P3688&amp;Q3688&amp;R3688&amp;S3688&amp;T3688&amp;U3688&amp;V3688&amp;W3688&amp;X3688&amp;Y3688&amp;Z3688&amp;AA3688&amp;AB3688&amp;AC3688&amp;AD3688&amp;AE3688&amp;AF3688&amp;AG3688</f>
        <v/>
      </c>
      <c r="N3688" s="10">
        <f>TEXT($B$6,"00")</f>
        <v/>
      </c>
      <c r="O3688" s="10">
        <f>REPT(" ",8)</f>
        <v/>
      </c>
      <c r="P3688" s="10">
        <f>RIGHT($B$4,2)</f>
        <v/>
      </c>
      <c r="Q3688" s="10">
        <f>RIGHT($B$5,3)</f>
        <v/>
      </c>
      <c r="R3688" s="10">
        <f>IF(A3688="D",LEFT(UPPER(B3688)&amp;REPT(" ",20),20),REPT(" ",20))</f>
        <v/>
      </c>
      <c r="S3688" s="10">
        <f>IF(A3688="D",LEFT(UPPER(C3688)&amp;REPT(" ",10),10)," ")</f>
        <v/>
      </c>
      <c r="T3688" s="10">
        <f>IF(A3688="D",LEFT(UPPER(D3688)&amp;REPT(" ",2),2)," ")</f>
        <v/>
      </c>
      <c r="U3688" s="10">
        <f>IF(A3688="D",LEFT(UPPER(E3688)&amp;REPT(" ",15),15)," ")</f>
        <v/>
      </c>
      <c r="V3688" s="10">
        <f>REPT(" ",24)</f>
        <v/>
      </c>
      <c r="W3688" s="10">
        <f>IF(A3688="c",LEFT(UPPER(B3688)&amp;REPT(" ",20),20),REPT(" ",20))</f>
        <v/>
      </c>
      <c r="X3688" s="10">
        <f>IF(A3688="C",LEFT(UPPER(C3688)&amp;REPT(" ",10),10)," ")</f>
        <v/>
      </c>
      <c r="Y3688" s="10">
        <f>IF(A3688="C",LEFT(UPPER(D3688)&amp;REPT(" ",2),2)," ")</f>
        <v/>
      </c>
      <c r="Z3688" s="10">
        <f>IF(A3688="C",LEFT(UPPER(E3688)&amp;REPT(" ",15),15)," ")</f>
        <v/>
      </c>
      <c r="AA3688" s="10">
        <f>REPT(" ",8)</f>
        <v/>
      </c>
      <c r="AB3688" s="10">
        <f>REPT(" ",4)</f>
        <v/>
      </c>
      <c r="AC3688" s="10">
        <f>LEFT(UPPER(H3688)&amp;REPT(" ",250),250)</f>
        <v/>
      </c>
      <c r="AD3688" s="10">
        <f>TEXT($G$2,"dd/mm/aaaa")</f>
        <v/>
      </c>
      <c r="AE3688" s="10">
        <f>REPT(" ",10)</f>
        <v/>
      </c>
      <c r="AF3688" s="10">
        <f>REPT(" ",20)</f>
        <v/>
      </c>
      <c r="AG3688" s="54">
        <f>REPT(" ",18-LEN(FIXED(F3688,2,TRUE)))&amp;FIXED(F3688,2,TRUE)</f>
        <v/>
      </c>
      <c r="AH3688" s="10">
        <f>LEN(AC3688)+LEN(AG3688)</f>
        <v/>
      </c>
      <c r="AI3688" s="10">
        <f>LEN(L3688)</f>
        <v/>
      </c>
    </row>
    <row r="3689">
      <c r="J3689" s="12">
        <f>IF(F3689&lt;&gt;0,"LANÇAR","")</f>
        <v/>
      </c>
      <c r="L3689" s="13">
        <f>N3689&amp;O3689&amp;P3689&amp;Q3689&amp;R3689&amp;S3689&amp;T3689&amp;U3689&amp;V3689&amp;W3689&amp;X3689&amp;Y3689&amp;Z3689&amp;AA3689&amp;AB3689&amp;AC3689&amp;AD3689&amp;AE3689&amp;AF3689&amp;AG3689</f>
        <v/>
      </c>
      <c r="N3689" s="10">
        <f>TEXT($B$6,"00")</f>
        <v/>
      </c>
      <c r="O3689" s="10">
        <f>REPT(" ",8)</f>
        <v/>
      </c>
      <c r="P3689" s="10">
        <f>RIGHT($B$4,2)</f>
        <v/>
      </c>
      <c r="Q3689" s="10">
        <f>RIGHT($B$5,3)</f>
        <v/>
      </c>
      <c r="R3689" s="10">
        <f>IF(A3689="D",LEFT(UPPER(B3689)&amp;REPT(" ",20),20),REPT(" ",20))</f>
        <v/>
      </c>
      <c r="S3689" s="10">
        <f>IF(A3689="D",LEFT(UPPER(C3689)&amp;REPT(" ",10),10)," ")</f>
        <v/>
      </c>
      <c r="T3689" s="10">
        <f>IF(A3689="D",LEFT(UPPER(D3689)&amp;REPT(" ",2),2)," ")</f>
        <v/>
      </c>
      <c r="U3689" s="10">
        <f>IF(A3689="D",LEFT(UPPER(E3689)&amp;REPT(" ",15),15)," ")</f>
        <v/>
      </c>
      <c r="V3689" s="10">
        <f>REPT(" ",24)</f>
        <v/>
      </c>
      <c r="W3689" s="10">
        <f>IF(A3689="c",LEFT(UPPER(B3689)&amp;REPT(" ",20),20),REPT(" ",20))</f>
        <v/>
      </c>
      <c r="X3689" s="10">
        <f>IF(A3689="C",LEFT(UPPER(C3689)&amp;REPT(" ",10),10)," ")</f>
        <v/>
      </c>
      <c r="Y3689" s="10">
        <f>IF(A3689="C",LEFT(UPPER(D3689)&amp;REPT(" ",2),2)," ")</f>
        <v/>
      </c>
      <c r="Z3689" s="10">
        <f>IF(A3689="C",LEFT(UPPER(E3689)&amp;REPT(" ",15),15)," ")</f>
        <v/>
      </c>
      <c r="AA3689" s="10">
        <f>REPT(" ",8)</f>
        <v/>
      </c>
      <c r="AB3689" s="10">
        <f>REPT(" ",4)</f>
        <v/>
      </c>
      <c r="AC3689" s="10">
        <f>LEFT(UPPER(H3689)&amp;REPT(" ",250),250)</f>
        <v/>
      </c>
      <c r="AD3689" s="10">
        <f>TEXT($G$2,"dd/mm/aaaa")</f>
        <v/>
      </c>
      <c r="AE3689" s="10">
        <f>REPT(" ",10)</f>
        <v/>
      </c>
      <c r="AF3689" s="10">
        <f>REPT(" ",20)</f>
        <v/>
      </c>
      <c r="AG3689" s="54">
        <f>REPT(" ",18-LEN(FIXED(F3689,2,TRUE)))&amp;FIXED(F3689,2,TRUE)</f>
        <v/>
      </c>
      <c r="AH3689" s="10">
        <f>LEN(AC3689)+LEN(AG3689)</f>
        <v/>
      </c>
      <c r="AI3689" s="10">
        <f>LEN(L3689)</f>
        <v/>
      </c>
    </row>
    <row r="3690">
      <c r="J3690" s="12">
        <f>IF(F3690&lt;&gt;0,"LANÇAR","")</f>
        <v/>
      </c>
      <c r="L3690" s="13">
        <f>N3690&amp;O3690&amp;P3690&amp;Q3690&amp;R3690&amp;S3690&amp;T3690&amp;U3690&amp;V3690&amp;W3690&amp;X3690&amp;Y3690&amp;Z3690&amp;AA3690&amp;AB3690&amp;AC3690&amp;AD3690&amp;AE3690&amp;AF3690&amp;AG3690</f>
        <v/>
      </c>
      <c r="N3690" s="10">
        <f>TEXT($B$6,"00")</f>
        <v/>
      </c>
      <c r="O3690" s="10">
        <f>REPT(" ",8)</f>
        <v/>
      </c>
      <c r="P3690" s="10">
        <f>RIGHT($B$4,2)</f>
        <v/>
      </c>
      <c r="Q3690" s="10">
        <f>RIGHT($B$5,3)</f>
        <v/>
      </c>
      <c r="R3690" s="10">
        <f>IF(A3690="D",LEFT(UPPER(B3690)&amp;REPT(" ",20),20),REPT(" ",20))</f>
        <v/>
      </c>
      <c r="S3690" s="10">
        <f>IF(A3690="D",LEFT(UPPER(C3690)&amp;REPT(" ",10),10)," ")</f>
        <v/>
      </c>
      <c r="T3690" s="10">
        <f>IF(A3690="D",LEFT(UPPER(D3690)&amp;REPT(" ",2),2)," ")</f>
        <v/>
      </c>
      <c r="U3690" s="10">
        <f>IF(A3690="D",LEFT(UPPER(E3690)&amp;REPT(" ",15),15)," ")</f>
        <v/>
      </c>
      <c r="V3690" s="10">
        <f>REPT(" ",24)</f>
        <v/>
      </c>
      <c r="W3690" s="10">
        <f>IF(A3690="c",LEFT(UPPER(B3690)&amp;REPT(" ",20),20),REPT(" ",20))</f>
        <v/>
      </c>
      <c r="X3690" s="10">
        <f>IF(A3690="C",LEFT(UPPER(C3690)&amp;REPT(" ",10),10)," ")</f>
        <v/>
      </c>
      <c r="Y3690" s="10">
        <f>IF(A3690="C",LEFT(UPPER(D3690)&amp;REPT(" ",2),2)," ")</f>
        <v/>
      </c>
      <c r="Z3690" s="10">
        <f>IF(A3690="C",LEFT(UPPER(E3690)&amp;REPT(" ",15),15)," ")</f>
        <v/>
      </c>
      <c r="AA3690" s="10">
        <f>REPT(" ",8)</f>
        <v/>
      </c>
      <c r="AB3690" s="10">
        <f>REPT(" ",4)</f>
        <v/>
      </c>
      <c r="AC3690" s="10">
        <f>LEFT(UPPER(H3690)&amp;REPT(" ",250),250)</f>
        <v/>
      </c>
      <c r="AD3690" s="10">
        <f>TEXT($G$2,"dd/mm/aaaa")</f>
        <v/>
      </c>
      <c r="AE3690" s="10">
        <f>REPT(" ",10)</f>
        <v/>
      </c>
      <c r="AF3690" s="10">
        <f>REPT(" ",20)</f>
        <v/>
      </c>
      <c r="AG3690" s="54">
        <f>REPT(" ",18-LEN(FIXED(F3690,2,TRUE)))&amp;FIXED(F3690,2,TRUE)</f>
        <v/>
      </c>
      <c r="AH3690" s="10">
        <f>LEN(AC3690)+LEN(AG3690)</f>
        <v/>
      </c>
      <c r="AI3690" s="10">
        <f>LEN(L3690)</f>
        <v/>
      </c>
    </row>
    <row r="3691">
      <c r="J3691" s="12">
        <f>IF(F3691&lt;&gt;0,"LANÇAR","")</f>
        <v/>
      </c>
      <c r="L3691" s="13">
        <f>N3691&amp;O3691&amp;P3691&amp;Q3691&amp;R3691&amp;S3691&amp;T3691&amp;U3691&amp;V3691&amp;W3691&amp;X3691&amp;Y3691&amp;Z3691&amp;AA3691&amp;AB3691&amp;AC3691&amp;AD3691&amp;AE3691&amp;AF3691&amp;AG3691</f>
        <v/>
      </c>
      <c r="N3691" s="10">
        <f>TEXT($B$6,"00")</f>
        <v/>
      </c>
      <c r="O3691" s="10">
        <f>REPT(" ",8)</f>
        <v/>
      </c>
      <c r="P3691" s="10">
        <f>RIGHT($B$4,2)</f>
        <v/>
      </c>
      <c r="Q3691" s="10">
        <f>RIGHT($B$5,3)</f>
        <v/>
      </c>
      <c r="R3691" s="10">
        <f>IF(A3691="D",LEFT(UPPER(B3691)&amp;REPT(" ",20),20),REPT(" ",20))</f>
        <v/>
      </c>
      <c r="S3691" s="10">
        <f>IF(A3691="D",LEFT(UPPER(C3691)&amp;REPT(" ",10),10)," ")</f>
        <v/>
      </c>
      <c r="T3691" s="10">
        <f>IF(A3691="D",LEFT(UPPER(D3691)&amp;REPT(" ",2),2)," ")</f>
        <v/>
      </c>
      <c r="U3691" s="10">
        <f>IF(A3691="D",LEFT(UPPER(E3691)&amp;REPT(" ",15),15)," ")</f>
        <v/>
      </c>
      <c r="V3691" s="10">
        <f>REPT(" ",24)</f>
        <v/>
      </c>
      <c r="W3691" s="10">
        <f>IF(A3691="c",LEFT(UPPER(B3691)&amp;REPT(" ",20),20),REPT(" ",20))</f>
        <v/>
      </c>
      <c r="X3691" s="10">
        <f>IF(A3691="C",LEFT(UPPER(C3691)&amp;REPT(" ",10),10)," ")</f>
        <v/>
      </c>
      <c r="Y3691" s="10">
        <f>IF(A3691="C",LEFT(UPPER(D3691)&amp;REPT(" ",2),2)," ")</f>
        <v/>
      </c>
      <c r="Z3691" s="10">
        <f>IF(A3691="C",LEFT(UPPER(E3691)&amp;REPT(" ",15),15)," ")</f>
        <v/>
      </c>
      <c r="AA3691" s="10">
        <f>REPT(" ",8)</f>
        <v/>
      </c>
      <c r="AB3691" s="10">
        <f>REPT(" ",4)</f>
        <v/>
      </c>
      <c r="AC3691" s="10">
        <f>LEFT(UPPER(H3691)&amp;REPT(" ",250),250)</f>
        <v/>
      </c>
      <c r="AD3691" s="10">
        <f>TEXT($G$2,"dd/mm/aaaa")</f>
        <v/>
      </c>
      <c r="AE3691" s="10">
        <f>REPT(" ",10)</f>
        <v/>
      </c>
      <c r="AF3691" s="10">
        <f>REPT(" ",20)</f>
        <v/>
      </c>
      <c r="AG3691" s="54">
        <f>REPT(" ",18-LEN(FIXED(F3691,2,TRUE)))&amp;FIXED(F3691,2,TRUE)</f>
        <v/>
      </c>
      <c r="AH3691" s="10">
        <f>LEN(AC3691)+LEN(AG3691)</f>
        <v/>
      </c>
      <c r="AI3691" s="10">
        <f>LEN(L3691)</f>
        <v/>
      </c>
    </row>
    <row r="3692">
      <c r="J3692" s="12">
        <f>IF(F3692&lt;&gt;0,"LANÇAR","")</f>
        <v/>
      </c>
      <c r="L3692" s="13">
        <f>N3692&amp;O3692&amp;P3692&amp;Q3692&amp;R3692&amp;S3692&amp;T3692&amp;U3692&amp;V3692&amp;W3692&amp;X3692&amp;Y3692&amp;Z3692&amp;AA3692&amp;AB3692&amp;AC3692&amp;AD3692&amp;AE3692&amp;AF3692&amp;AG3692</f>
        <v/>
      </c>
      <c r="N3692" s="10">
        <f>TEXT($B$6,"00")</f>
        <v/>
      </c>
      <c r="O3692" s="10">
        <f>REPT(" ",8)</f>
        <v/>
      </c>
      <c r="P3692" s="10">
        <f>RIGHT($B$4,2)</f>
        <v/>
      </c>
      <c r="Q3692" s="10">
        <f>RIGHT($B$5,3)</f>
        <v/>
      </c>
      <c r="R3692" s="10">
        <f>IF(A3692="D",LEFT(UPPER(B3692)&amp;REPT(" ",20),20),REPT(" ",20))</f>
        <v/>
      </c>
      <c r="S3692" s="10">
        <f>IF(A3692="D",LEFT(UPPER(C3692)&amp;REPT(" ",10),10)," ")</f>
        <v/>
      </c>
      <c r="T3692" s="10">
        <f>IF(A3692="D",LEFT(UPPER(D3692)&amp;REPT(" ",2),2)," ")</f>
        <v/>
      </c>
      <c r="U3692" s="10">
        <f>IF(A3692="D",LEFT(UPPER(E3692)&amp;REPT(" ",15),15)," ")</f>
        <v/>
      </c>
      <c r="V3692" s="10">
        <f>REPT(" ",24)</f>
        <v/>
      </c>
      <c r="W3692" s="10">
        <f>IF(A3692="c",LEFT(UPPER(B3692)&amp;REPT(" ",20),20),REPT(" ",20))</f>
        <v/>
      </c>
      <c r="X3692" s="10">
        <f>IF(A3692="C",LEFT(UPPER(C3692)&amp;REPT(" ",10),10)," ")</f>
        <v/>
      </c>
      <c r="Y3692" s="10">
        <f>IF(A3692="C",LEFT(UPPER(D3692)&amp;REPT(" ",2),2)," ")</f>
        <v/>
      </c>
      <c r="Z3692" s="10">
        <f>IF(A3692="C",LEFT(UPPER(E3692)&amp;REPT(" ",15),15)," ")</f>
        <v/>
      </c>
      <c r="AA3692" s="10">
        <f>REPT(" ",8)</f>
        <v/>
      </c>
      <c r="AB3692" s="10">
        <f>REPT(" ",4)</f>
        <v/>
      </c>
      <c r="AC3692" s="10">
        <f>LEFT(UPPER(H3692)&amp;REPT(" ",250),250)</f>
        <v/>
      </c>
      <c r="AD3692" s="10">
        <f>TEXT($G$2,"dd/mm/aaaa")</f>
        <v/>
      </c>
      <c r="AE3692" s="10">
        <f>REPT(" ",10)</f>
        <v/>
      </c>
      <c r="AF3692" s="10">
        <f>REPT(" ",20)</f>
        <v/>
      </c>
      <c r="AG3692" s="54">
        <f>REPT(" ",18-LEN(FIXED(F3692,2,TRUE)))&amp;FIXED(F3692,2,TRUE)</f>
        <v/>
      </c>
      <c r="AH3692" s="10">
        <f>LEN(AC3692)+LEN(AG3692)</f>
        <v/>
      </c>
      <c r="AI3692" s="10">
        <f>LEN(L3692)</f>
        <v/>
      </c>
    </row>
    <row r="3693">
      <c r="J3693" s="12">
        <f>IF(F3693&lt;&gt;0,"LANÇAR","")</f>
        <v/>
      </c>
      <c r="L3693" s="13">
        <f>N3693&amp;O3693&amp;P3693&amp;Q3693&amp;R3693&amp;S3693&amp;T3693&amp;U3693&amp;V3693&amp;W3693&amp;X3693&amp;Y3693&amp;Z3693&amp;AA3693&amp;AB3693&amp;AC3693&amp;AD3693&amp;AE3693&amp;AF3693&amp;AG3693</f>
        <v/>
      </c>
      <c r="N3693" s="10">
        <f>TEXT($B$6,"00")</f>
        <v/>
      </c>
      <c r="O3693" s="10">
        <f>REPT(" ",8)</f>
        <v/>
      </c>
      <c r="P3693" s="10">
        <f>RIGHT($B$4,2)</f>
        <v/>
      </c>
      <c r="Q3693" s="10">
        <f>RIGHT($B$5,3)</f>
        <v/>
      </c>
      <c r="R3693" s="10">
        <f>IF(A3693="D",LEFT(UPPER(B3693)&amp;REPT(" ",20),20),REPT(" ",20))</f>
        <v/>
      </c>
      <c r="S3693" s="10">
        <f>IF(A3693="D",LEFT(UPPER(C3693)&amp;REPT(" ",10),10)," ")</f>
        <v/>
      </c>
      <c r="T3693" s="10">
        <f>IF(A3693="D",LEFT(UPPER(D3693)&amp;REPT(" ",2),2)," ")</f>
        <v/>
      </c>
      <c r="U3693" s="10">
        <f>IF(A3693="D",LEFT(UPPER(E3693)&amp;REPT(" ",15),15)," ")</f>
        <v/>
      </c>
      <c r="V3693" s="10">
        <f>REPT(" ",24)</f>
        <v/>
      </c>
      <c r="W3693" s="10">
        <f>IF(A3693="c",LEFT(UPPER(B3693)&amp;REPT(" ",20),20),REPT(" ",20))</f>
        <v/>
      </c>
      <c r="X3693" s="10">
        <f>IF(A3693="C",LEFT(UPPER(C3693)&amp;REPT(" ",10),10)," ")</f>
        <v/>
      </c>
      <c r="Y3693" s="10">
        <f>IF(A3693="C",LEFT(UPPER(D3693)&amp;REPT(" ",2),2)," ")</f>
        <v/>
      </c>
      <c r="Z3693" s="10">
        <f>IF(A3693="C",LEFT(UPPER(E3693)&amp;REPT(" ",15),15)," ")</f>
        <v/>
      </c>
      <c r="AA3693" s="10">
        <f>REPT(" ",8)</f>
        <v/>
      </c>
      <c r="AB3693" s="10">
        <f>REPT(" ",4)</f>
        <v/>
      </c>
      <c r="AC3693" s="10">
        <f>LEFT(UPPER(H3693)&amp;REPT(" ",250),250)</f>
        <v/>
      </c>
      <c r="AD3693" s="10">
        <f>TEXT($G$2,"dd/mm/aaaa")</f>
        <v/>
      </c>
      <c r="AE3693" s="10">
        <f>REPT(" ",10)</f>
        <v/>
      </c>
      <c r="AF3693" s="10">
        <f>REPT(" ",20)</f>
        <v/>
      </c>
      <c r="AG3693" s="54">
        <f>REPT(" ",18-LEN(FIXED(F3693,2,TRUE)))&amp;FIXED(F3693,2,TRUE)</f>
        <v/>
      </c>
      <c r="AH3693" s="10">
        <f>LEN(AC3693)+LEN(AG3693)</f>
        <v/>
      </c>
      <c r="AI3693" s="10">
        <f>LEN(L3693)</f>
        <v/>
      </c>
    </row>
    <row r="3694">
      <c r="J3694" s="12">
        <f>IF(F3694&lt;&gt;0,"LANÇAR","")</f>
        <v/>
      </c>
      <c r="L3694" s="13">
        <f>N3694&amp;O3694&amp;P3694&amp;Q3694&amp;R3694&amp;S3694&amp;T3694&amp;U3694&amp;V3694&amp;W3694&amp;X3694&amp;Y3694&amp;Z3694&amp;AA3694&amp;AB3694&amp;AC3694&amp;AD3694&amp;AE3694&amp;AF3694&amp;AG3694</f>
        <v/>
      </c>
      <c r="N3694" s="10">
        <f>TEXT($B$6,"00")</f>
        <v/>
      </c>
      <c r="O3694" s="10">
        <f>REPT(" ",8)</f>
        <v/>
      </c>
      <c r="P3694" s="10">
        <f>RIGHT($B$4,2)</f>
        <v/>
      </c>
      <c r="Q3694" s="10">
        <f>RIGHT($B$5,3)</f>
        <v/>
      </c>
      <c r="R3694" s="10">
        <f>IF(A3694="D",LEFT(UPPER(B3694)&amp;REPT(" ",20),20),REPT(" ",20))</f>
        <v/>
      </c>
      <c r="S3694" s="10">
        <f>IF(A3694="D",LEFT(UPPER(C3694)&amp;REPT(" ",10),10)," ")</f>
        <v/>
      </c>
      <c r="T3694" s="10">
        <f>IF(A3694="D",LEFT(UPPER(D3694)&amp;REPT(" ",2),2)," ")</f>
        <v/>
      </c>
      <c r="U3694" s="10">
        <f>IF(A3694="D",LEFT(UPPER(E3694)&amp;REPT(" ",15),15)," ")</f>
        <v/>
      </c>
      <c r="V3694" s="10">
        <f>REPT(" ",24)</f>
        <v/>
      </c>
      <c r="W3694" s="10">
        <f>IF(A3694="c",LEFT(UPPER(B3694)&amp;REPT(" ",20),20),REPT(" ",20))</f>
        <v/>
      </c>
      <c r="X3694" s="10">
        <f>IF(A3694="C",LEFT(UPPER(C3694)&amp;REPT(" ",10),10)," ")</f>
        <v/>
      </c>
      <c r="Y3694" s="10">
        <f>IF(A3694="C",LEFT(UPPER(D3694)&amp;REPT(" ",2),2)," ")</f>
        <v/>
      </c>
      <c r="Z3694" s="10">
        <f>IF(A3694="C",LEFT(UPPER(E3694)&amp;REPT(" ",15),15)," ")</f>
        <v/>
      </c>
      <c r="AA3694" s="10">
        <f>REPT(" ",8)</f>
        <v/>
      </c>
      <c r="AB3694" s="10">
        <f>REPT(" ",4)</f>
        <v/>
      </c>
      <c r="AC3694" s="10">
        <f>LEFT(UPPER(H3694)&amp;REPT(" ",250),250)</f>
        <v/>
      </c>
      <c r="AD3694" s="10">
        <f>TEXT($G$2,"dd/mm/aaaa")</f>
        <v/>
      </c>
      <c r="AE3694" s="10">
        <f>REPT(" ",10)</f>
        <v/>
      </c>
      <c r="AF3694" s="10">
        <f>REPT(" ",20)</f>
        <v/>
      </c>
      <c r="AG3694" s="54">
        <f>REPT(" ",18-LEN(FIXED(F3694,2,TRUE)))&amp;FIXED(F3694,2,TRUE)</f>
        <v/>
      </c>
      <c r="AH3694" s="10">
        <f>LEN(AC3694)+LEN(AG3694)</f>
        <v/>
      </c>
      <c r="AI3694" s="10">
        <f>LEN(L3694)</f>
        <v/>
      </c>
    </row>
    <row r="3695">
      <c r="J3695" s="12">
        <f>IF(F3695&lt;&gt;0,"LANÇAR","")</f>
        <v/>
      </c>
      <c r="L3695" s="13">
        <f>N3695&amp;O3695&amp;P3695&amp;Q3695&amp;R3695&amp;S3695&amp;T3695&amp;U3695&amp;V3695&amp;W3695&amp;X3695&amp;Y3695&amp;Z3695&amp;AA3695&amp;AB3695&amp;AC3695&amp;AD3695&amp;AE3695&amp;AF3695&amp;AG3695</f>
        <v/>
      </c>
      <c r="N3695" s="10">
        <f>TEXT($B$6,"00")</f>
        <v/>
      </c>
      <c r="O3695" s="10">
        <f>REPT(" ",8)</f>
        <v/>
      </c>
      <c r="P3695" s="10">
        <f>RIGHT($B$4,2)</f>
        <v/>
      </c>
      <c r="Q3695" s="10">
        <f>RIGHT($B$5,3)</f>
        <v/>
      </c>
      <c r="R3695" s="10">
        <f>IF(A3695="D",LEFT(UPPER(B3695)&amp;REPT(" ",20),20),REPT(" ",20))</f>
        <v/>
      </c>
      <c r="S3695" s="10">
        <f>IF(A3695="D",LEFT(UPPER(C3695)&amp;REPT(" ",10),10)," ")</f>
        <v/>
      </c>
      <c r="T3695" s="10">
        <f>IF(A3695="D",LEFT(UPPER(D3695)&amp;REPT(" ",2),2)," ")</f>
        <v/>
      </c>
      <c r="U3695" s="10">
        <f>IF(A3695="D",LEFT(UPPER(E3695)&amp;REPT(" ",15),15)," ")</f>
        <v/>
      </c>
      <c r="V3695" s="10">
        <f>REPT(" ",24)</f>
        <v/>
      </c>
      <c r="W3695" s="10">
        <f>IF(A3695="c",LEFT(UPPER(B3695)&amp;REPT(" ",20),20),REPT(" ",20))</f>
        <v/>
      </c>
      <c r="X3695" s="10">
        <f>IF(A3695="C",LEFT(UPPER(C3695)&amp;REPT(" ",10),10)," ")</f>
        <v/>
      </c>
      <c r="Y3695" s="10">
        <f>IF(A3695="C",LEFT(UPPER(D3695)&amp;REPT(" ",2),2)," ")</f>
        <v/>
      </c>
      <c r="Z3695" s="10">
        <f>IF(A3695="C",LEFT(UPPER(E3695)&amp;REPT(" ",15),15)," ")</f>
        <v/>
      </c>
      <c r="AA3695" s="10">
        <f>REPT(" ",8)</f>
        <v/>
      </c>
      <c r="AB3695" s="10">
        <f>REPT(" ",4)</f>
        <v/>
      </c>
      <c r="AC3695" s="10">
        <f>LEFT(UPPER(H3695)&amp;REPT(" ",250),250)</f>
        <v/>
      </c>
      <c r="AD3695" s="10">
        <f>TEXT($G$2,"dd/mm/aaaa")</f>
        <v/>
      </c>
      <c r="AE3695" s="10">
        <f>REPT(" ",10)</f>
        <v/>
      </c>
      <c r="AF3695" s="10">
        <f>REPT(" ",20)</f>
        <v/>
      </c>
      <c r="AG3695" s="54">
        <f>REPT(" ",18-LEN(FIXED(F3695,2,TRUE)))&amp;FIXED(F3695,2,TRUE)</f>
        <v/>
      </c>
      <c r="AH3695" s="10">
        <f>LEN(AC3695)+LEN(AG3695)</f>
        <v/>
      </c>
      <c r="AI3695" s="10">
        <f>LEN(L3695)</f>
        <v/>
      </c>
    </row>
    <row r="3696">
      <c r="J3696" s="12">
        <f>IF(F3696&lt;&gt;0,"LANÇAR","")</f>
        <v/>
      </c>
      <c r="L3696" s="13">
        <f>N3696&amp;O3696&amp;P3696&amp;Q3696&amp;R3696&amp;S3696&amp;T3696&amp;U3696&amp;V3696&amp;W3696&amp;X3696&amp;Y3696&amp;Z3696&amp;AA3696&amp;AB3696&amp;AC3696&amp;AD3696&amp;AE3696&amp;AF3696&amp;AG3696</f>
        <v/>
      </c>
      <c r="N3696" s="10">
        <f>TEXT($B$6,"00")</f>
        <v/>
      </c>
      <c r="O3696" s="10">
        <f>REPT(" ",8)</f>
        <v/>
      </c>
      <c r="P3696" s="10">
        <f>RIGHT($B$4,2)</f>
        <v/>
      </c>
      <c r="Q3696" s="10">
        <f>RIGHT($B$5,3)</f>
        <v/>
      </c>
      <c r="R3696" s="10">
        <f>IF(A3696="D",LEFT(UPPER(B3696)&amp;REPT(" ",20),20),REPT(" ",20))</f>
        <v/>
      </c>
      <c r="S3696" s="10">
        <f>IF(A3696="D",LEFT(UPPER(C3696)&amp;REPT(" ",10),10)," ")</f>
        <v/>
      </c>
      <c r="T3696" s="10">
        <f>IF(A3696="D",LEFT(UPPER(D3696)&amp;REPT(" ",2),2)," ")</f>
        <v/>
      </c>
      <c r="U3696" s="10">
        <f>IF(A3696="D",LEFT(UPPER(E3696)&amp;REPT(" ",15),15)," ")</f>
        <v/>
      </c>
      <c r="V3696" s="10">
        <f>REPT(" ",24)</f>
        <v/>
      </c>
      <c r="W3696" s="10">
        <f>IF(A3696="c",LEFT(UPPER(B3696)&amp;REPT(" ",20),20),REPT(" ",20))</f>
        <v/>
      </c>
      <c r="X3696" s="10">
        <f>IF(A3696="C",LEFT(UPPER(C3696)&amp;REPT(" ",10),10)," ")</f>
        <v/>
      </c>
      <c r="Y3696" s="10">
        <f>IF(A3696="C",LEFT(UPPER(D3696)&amp;REPT(" ",2),2)," ")</f>
        <v/>
      </c>
      <c r="Z3696" s="10">
        <f>IF(A3696="C",LEFT(UPPER(E3696)&amp;REPT(" ",15),15)," ")</f>
        <v/>
      </c>
      <c r="AA3696" s="10">
        <f>REPT(" ",8)</f>
        <v/>
      </c>
      <c r="AB3696" s="10">
        <f>REPT(" ",4)</f>
        <v/>
      </c>
      <c r="AC3696" s="10">
        <f>LEFT(UPPER(H3696)&amp;REPT(" ",250),250)</f>
        <v/>
      </c>
      <c r="AD3696" s="10">
        <f>TEXT($G$2,"dd/mm/aaaa")</f>
        <v/>
      </c>
      <c r="AE3696" s="10">
        <f>REPT(" ",10)</f>
        <v/>
      </c>
      <c r="AF3696" s="10">
        <f>REPT(" ",20)</f>
        <v/>
      </c>
      <c r="AG3696" s="54">
        <f>REPT(" ",18-LEN(FIXED(F3696,2,TRUE)))&amp;FIXED(F3696,2,TRUE)</f>
        <v/>
      </c>
      <c r="AH3696" s="10">
        <f>LEN(AC3696)+LEN(AG3696)</f>
        <v/>
      </c>
      <c r="AI3696" s="10">
        <f>LEN(L3696)</f>
        <v/>
      </c>
    </row>
    <row r="3697">
      <c r="J3697" s="12">
        <f>IF(F3697&lt;&gt;0,"LANÇAR","")</f>
        <v/>
      </c>
      <c r="L3697" s="13">
        <f>N3697&amp;O3697&amp;P3697&amp;Q3697&amp;R3697&amp;S3697&amp;T3697&amp;U3697&amp;V3697&amp;W3697&amp;X3697&amp;Y3697&amp;Z3697&amp;AA3697&amp;AB3697&amp;AC3697&amp;AD3697&amp;AE3697&amp;AF3697&amp;AG3697</f>
        <v/>
      </c>
      <c r="N3697" s="10">
        <f>TEXT($B$6,"00")</f>
        <v/>
      </c>
      <c r="O3697" s="10">
        <f>REPT(" ",8)</f>
        <v/>
      </c>
      <c r="P3697" s="10">
        <f>RIGHT($B$4,2)</f>
        <v/>
      </c>
      <c r="Q3697" s="10">
        <f>RIGHT($B$5,3)</f>
        <v/>
      </c>
      <c r="R3697" s="10">
        <f>IF(A3697="D",LEFT(UPPER(B3697)&amp;REPT(" ",20),20),REPT(" ",20))</f>
        <v/>
      </c>
      <c r="S3697" s="10">
        <f>IF(A3697="D",LEFT(UPPER(C3697)&amp;REPT(" ",10),10)," ")</f>
        <v/>
      </c>
      <c r="T3697" s="10">
        <f>IF(A3697="D",LEFT(UPPER(D3697)&amp;REPT(" ",2),2)," ")</f>
        <v/>
      </c>
      <c r="U3697" s="10">
        <f>IF(A3697="D",LEFT(UPPER(E3697)&amp;REPT(" ",15),15)," ")</f>
        <v/>
      </c>
      <c r="V3697" s="10">
        <f>REPT(" ",24)</f>
        <v/>
      </c>
      <c r="W3697" s="10">
        <f>IF(A3697="c",LEFT(UPPER(B3697)&amp;REPT(" ",20),20),REPT(" ",20))</f>
        <v/>
      </c>
      <c r="X3697" s="10">
        <f>IF(A3697="C",LEFT(UPPER(C3697)&amp;REPT(" ",10),10)," ")</f>
        <v/>
      </c>
      <c r="Y3697" s="10">
        <f>IF(A3697="C",LEFT(UPPER(D3697)&amp;REPT(" ",2),2)," ")</f>
        <v/>
      </c>
      <c r="Z3697" s="10">
        <f>IF(A3697="C",LEFT(UPPER(E3697)&amp;REPT(" ",15),15)," ")</f>
        <v/>
      </c>
      <c r="AA3697" s="10">
        <f>REPT(" ",8)</f>
        <v/>
      </c>
      <c r="AB3697" s="10">
        <f>REPT(" ",4)</f>
        <v/>
      </c>
      <c r="AC3697" s="10">
        <f>LEFT(UPPER(H3697)&amp;REPT(" ",250),250)</f>
        <v/>
      </c>
      <c r="AD3697" s="10">
        <f>TEXT($G$2,"dd/mm/aaaa")</f>
        <v/>
      </c>
      <c r="AE3697" s="10">
        <f>REPT(" ",10)</f>
        <v/>
      </c>
      <c r="AF3697" s="10">
        <f>REPT(" ",20)</f>
        <v/>
      </c>
      <c r="AG3697" s="54">
        <f>REPT(" ",18-LEN(FIXED(F3697,2,TRUE)))&amp;FIXED(F3697,2,TRUE)</f>
        <v/>
      </c>
      <c r="AH3697" s="10">
        <f>LEN(AC3697)+LEN(AG3697)</f>
        <v/>
      </c>
      <c r="AI3697" s="10">
        <f>LEN(L3697)</f>
        <v/>
      </c>
    </row>
    <row r="3698">
      <c r="J3698" s="12">
        <f>IF(F3698&lt;&gt;0,"LANÇAR","")</f>
        <v/>
      </c>
      <c r="L3698" s="13">
        <f>N3698&amp;O3698&amp;P3698&amp;Q3698&amp;R3698&amp;S3698&amp;T3698&amp;U3698&amp;V3698&amp;W3698&amp;X3698&amp;Y3698&amp;Z3698&amp;AA3698&amp;AB3698&amp;AC3698&amp;AD3698&amp;AE3698&amp;AF3698&amp;AG3698</f>
        <v/>
      </c>
      <c r="N3698" s="10">
        <f>TEXT($B$6,"00")</f>
        <v/>
      </c>
      <c r="O3698" s="10">
        <f>REPT(" ",8)</f>
        <v/>
      </c>
      <c r="P3698" s="10">
        <f>RIGHT($B$4,2)</f>
        <v/>
      </c>
      <c r="Q3698" s="10">
        <f>RIGHT($B$5,3)</f>
        <v/>
      </c>
      <c r="R3698" s="10">
        <f>IF(A3698="D",LEFT(UPPER(B3698)&amp;REPT(" ",20),20),REPT(" ",20))</f>
        <v/>
      </c>
      <c r="S3698" s="10">
        <f>IF(A3698="D",LEFT(UPPER(C3698)&amp;REPT(" ",10),10)," ")</f>
        <v/>
      </c>
      <c r="T3698" s="10">
        <f>IF(A3698="D",LEFT(UPPER(D3698)&amp;REPT(" ",2),2)," ")</f>
        <v/>
      </c>
      <c r="U3698" s="10">
        <f>IF(A3698="D",LEFT(UPPER(E3698)&amp;REPT(" ",15),15)," ")</f>
        <v/>
      </c>
      <c r="V3698" s="10">
        <f>REPT(" ",24)</f>
        <v/>
      </c>
      <c r="W3698" s="10">
        <f>IF(A3698="c",LEFT(UPPER(B3698)&amp;REPT(" ",20),20),REPT(" ",20))</f>
        <v/>
      </c>
      <c r="X3698" s="10">
        <f>IF(A3698="C",LEFT(UPPER(C3698)&amp;REPT(" ",10),10)," ")</f>
        <v/>
      </c>
      <c r="Y3698" s="10">
        <f>IF(A3698="C",LEFT(UPPER(D3698)&amp;REPT(" ",2),2)," ")</f>
        <v/>
      </c>
      <c r="Z3698" s="10">
        <f>IF(A3698="C",LEFT(UPPER(E3698)&amp;REPT(" ",15),15)," ")</f>
        <v/>
      </c>
      <c r="AA3698" s="10">
        <f>REPT(" ",8)</f>
        <v/>
      </c>
      <c r="AB3698" s="10">
        <f>REPT(" ",4)</f>
        <v/>
      </c>
      <c r="AC3698" s="10">
        <f>LEFT(UPPER(H3698)&amp;REPT(" ",250),250)</f>
        <v/>
      </c>
      <c r="AD3698" s="10">
        <f>TEXT($G$2,"dd/mm/aaaa")</f>
        <v/>
      </c>
      <c r="AE3698" s="10">
        <f>REPT(" ",10)</f>
        <v/>
      </c>
      <c r="AF3698" s="10">
        <f>REPT(" ",20)</f>
        <v/>
      </c>
      <c r="AG3698" s="54">
        <f>REPT(" ",18-LEN(FIXED(F3698,2,TRUE)))&amp;FIXED(F3698,2,TRUE)</f>
        <v/>
      </c>
      <c r="AH3698" s="10">
        <f>LEN(AC3698)+LEN(AG3698)</f>
        <v/>
      </c>
      <c r="AI3698" s="10">
        <f>LEN(L3698)</f>
        <v/>
      </c>
    </row>
    <row r="3699">
      <c r="J3699" s="12">
        <f>IF(F3699&lt;&gt;0,"LANÇAR","")</f>
        <v/>
      </c>
      <c r="L3699" s="13">
        <f>N3699&amp;O3699&amp;P3699&amp;Q3699&amp;R3699&amp;S3699&amp;T3699&amp;U3699&amp;V3699&amp;W3699&amp;X3699&amp;Y3699&amp;Z3699&amp;AA3699&amp;AB3699&amp;AC3699&amp;AD3699&amp;AE3699&amp;AF3699&amp;AG3699</f>
        <v/>
      </c>
      <c r="N3699" s="10">
        <f>TEXT($B$6,"00")</f>
        <v/>
      </c>
      <c r="O3699" s="10">
        <f>REPT(" ",8)</f>
        <v/>
      </c>
      <c r="P3699" s="10">
        <f>RIGHT($B$4,2)</f>
        <v/>
      </c>
      <c r="Q3699" s="10">
        <f>RIGHT($B$5,3)</f>
        <v/>
      </c>
      <c r="R3699" s="10">
        <f>IF(A3699="D",LEFT(UPPER(B3699)&amp;REPT(" ",20),20),REPT(" ",20))</f>
        <v/>
      </c>
      <c r="S3699" s="10">
        <f>IF(A3699="D",LEFT(UPPER(C3699)&amp;REPT(" ",10),10)," ")</f>
        <v/>
      </c>
      <c r="T3699" s="10">
        <f>IF(A3699="D",LEFT(UPPER(D3699)&amp;REPT(" ",2),2)," ")</f>
        <v/>
      </c>
      <c r="U3699" s="10">
        <f>IF(A3699="D",LEFT(UPPER(E3699)&amp;REPT(" ",15),15)," ")</f>
        <v/>
      </c>
      <c r="V3699" s="10">
        <f>REPT(" ",24)</f>
        <v/>
      </c>
      <c r="W3699" s="10">
        <f>IF(A3699="c",LEFT(UPPER(B3699)&amp;REPT(" ",20),20),REPT(" ",20))</f>
        <v/>
      </c>
      <c r="X3699" s="10">
        <f>IF(A3699="C",LEFT(UPPER(C3699)&amp;REPT(" ",10),10)," ")</f>
        <v/>
      </c>
      <c r="Y3699" s="10">
        <f>IF(A3699="C",LEFT(UPPER(D3699)&amp;REPT(" ",2),2)," ")</f>
        <v/>
      </c>
      <c r="Z3699" s="10">
        <f>IF(A3699="C",LEFT(UPPER(E3699)&amp;REPT(" ",15),15)," ")</f>
        <v/>
      </c>
      <c r="AA3699" s="10">
        <f>REPT(" ",8)</f>
        <v/>
      </c>
      <c r="AB3699" s="10">
        <f>REPT(" ",4)</f>
        <v/>
      </c>
      <c r="AC3699" s="10">
        <f>LEFT(UPPER(H3699)&amp;REPT(" ",250),250)</f>
        <v/>
      </c>
      <c r="AD3699" s="10">
        <f>TEXT($G$2,"dd/mm/aaaa")</f>
        <v/>
      </c>
      <c r="AE3699" s="10">
        <f>REPT(" ",10)</f>
        <v/>
      </c>
      <c r="AF3699" s="10">
        <f>REPT(" ",20)</f>
        <v/>
      </c>
      <c r="AG3699" s="54">
        <f>REPT(" ",18-LEN(FIXED(F3699,2,TRUE)))&amp;FIXED(F3699,2,TRUE)</f>
        <v/>
      </c>
      <c r="AH3699" s="10">
        <f>LEN(AC3699)+LEN(AG3699)</f>
        <v/>
      </c>
      <c r="AI3699" s="10">
        <f>LEN(L3699)</f>
        <v/>
      </c>
    </row>
    <row r="3700">
      <c r="J3700" s="12">
        <f>IF(F3700&lt;&gt;0,"LANÇAR","")</f>
        <v/>
      </c>
      <c r="L3700" s="13">
        <f>N3700&amp;O3700&amp;P3700&amp;Q3700&amp;R3700&amp;S3700&amp;T3700&amp;U3700&amp;V3700&amp;W3700&amp;X3700&amp;Y3700&amp;Z3700&amp;AA3700&amp;AB3700&amp;AC3700&amp;AD3700&amp;AE3700&amp;AF3700&amp;AG3700</f>
        <v/>
      </c>
      <c r="N3700" s="10">
        <f>TEXT($B$6,"00")</f>
        <v/>
      </c>
      <c r="O3700" s="10">
        <f>REPT(" ",8)</f>
        <v/>
      </c>
      <c r="P3700" s="10">
        <f>RIGHT($B$4,2)</f>
        <v/>
      </c>
      <c r="Q3700" s="10">
        <f>RIGHT($B$5,3)</f>
        <v/>
      </c>
      <c r="R3700" s="10">
        <f>IF(A3700="D",LEFT(UPPER(B3700)&amp;REPT(" ",20),20),REPT(" ",20))</f>
        <v/>
      </c>
      <c r="S3700" s="10">
        <f>IF(A3700="D",LEFT(UPPER(C3700)&amp;REPT(" ",10),10)," ")</f>
        <v/>
      </c>
      <c r="T3700" s="10">
        <f>IF(A3700="D",LEFT(UPPER(D3700)&amp;REPT(" ",2),2)," ")</f>
        <v/>
      </c>
      <c r="U3700" s="10">
        <f>IF(A3700="D",LEFT(UPPER(E3700)&amp;REPT(" ",15),15)," ")</f>
        <v/>
      </c>
      <c r="V3700" s="10">
        <f>REPT(" ",24)</f>
        <v/>
      </c>
      <c r="W3700" s="10">
        <f>IF(A3700="c",LEFT(UPPER(B3700)&amp;REPT(" ",20),20),REPT(" ",20))</f>
        <v/>
      </c>
      <c r="X3700" s="10">
        <f>IF(A3700="C",LEFT(UPPER(C3700)&amp;REPT(" ",10),10)," ")</f>
        <v/>
      </c>
      <c r="Y3700" s="10">
        <f>IF(A3700="C",LEFT(UPPER(D3700)&amp;REPT(" ",2),2)," ")</f>
        <v/>
      </c>
      <c r="Z3700" s="10">
        <f>IF(A3700="C",LEFT(UPPER(E3700)&amp;REPT(" ",15),15)," ")</f>
        <v/>
      </c>
      <c r="AA3700" s="10">
        <f>REPT(" ",8)</f>
        <v/>
      </c>
      <c r="AB3700" s="10">
        <f>REPT(" ",4)</f>
        <v/>
      </c>
      <c r="AC3700" s="10">
        <f>LEFT(UPPER(H3700)&amp;REPT(" ",250),250)</f>
        <v/>
      </c>
      <c r="AD3700" s="10">
        <f>TEXT($G$2,"dd/mm/aaaa")</f>
        <v/>
      </c>
      <c r="AE3700" s="10">
        <f>REPT(" ",10)</f>
        <v/>
      </c>
      <c r="AF3700" s="10">
        <f>REPT(" ",20)</f>
        <v/>
      </c>
      <c r="AG3700" s="54">
        <f>REPT(" ",18-LEN(FIXED(F3700,2,TRUE)))&amp;FIXED(F3700,2,TRUE)</f>
        <v/>
      </c>
      <c r="AH3700" s="10">
        <f>LEN(AC3700)+LEN(AG3700)</f>
        <v/>
      </c>
      <c r="AI3700" s="10">
        <f>LEN(L3700)</f>
        <v/>
      </c>
    </row>
    <row r="3701">
      <c r="J3701" s="12">
        <f>IF(F3701&lt;&gt;0,"LANÇAR","")</f>
        <v/>
      </c>
      <c r="L3701" s="13">
        <f>N3701&amp;O3701&amp;P3701&amp;Q3701&amp;R3701&amp;S3701&amp;T3701&amp;U3701&amp;V3701&amp;W3701&amp;X3701&amp;Y3701&amp;Z3701&amp;AA3701&amp;AB3701&amp;AC3701&amp;AD3701&amp;AE3701&amp;AF3701&amp;AG3701</f>
        <v/>
      </c>
      <c r="N3701" s="10">
        <f>TEXT($B$6,"00")</f>
        <v/>
      </c>
      <c r="O3701" s="10">
        <f>REPT(" ",8)</f>
        <v/>
      </c>
      <c r="P3701" s="10">
        <f>RIGHT($B$4,2)</f>
        <v/>
      </c>
      <c r="Q3701" s="10">
        <f>RIGHT($B$5,3)</f>
        <v/>
      </c>
      <c r="R3701" s="10">
        <f>IF(A3701="D",LEFT(UPPER(B3701)&amp;REPT(" ",20),20),REPT(" ",20))</f>
        <v/>
      </c>
      <c r="S3701" s="10">
        <f>IF(A3701="D",LEFT(UPPER(C3701)&amp;REPT(" ",10),10)," ")</f>
        <v/>
      </c>
      <c r="T3701" s="10">
        <f>IF(A3701="D",LEFT(UPPER(D3701)&amp;REPT(" ",2),2)," ")</f>
        <v/>
      </c>
      <c r="U3701" s="10">
        <f>IF(A3701="D",LEFT(UPPER(E3701)&amp;REPT(" ",15),15)," ")</f>
        <v/>
      </c>
      <c r="V3701" s="10">
        <f>REPT(" ",24)</f>
        <v/>
      </c>
      <c r="W3701" s="10">
        <f>IF(A3701="c",LEFT(UPPER(B3701)&amp;REPT(" ",20),20),REPT(" ",20))</f>
        <v/>
      </c>
      <c r="X3701" s="10">
        <f>IF(A3701="C",LEFT(UPPER(C3701)&amp;REPT(" ",10),10)," ")</f>
        <v/>
      </c>
      <c r="Y3701" s="10">
        <f>IF(A3701="C",LEFT(UPPER(D3701)&amp;REPT(" ",2),2)," ")</f>
        <v/>
      </c>
      <c r="Z3701" s="10">
        <f>IF(A3701="C",LEFT(UPPER(E3701)&amp;REPT(" ",15),15)," ")</f>
        <v/>
      </c>
      <c r="AA3701" s="10">
        <f>REPT(" ",8)</f>
        <v/>
      </c>
      <c r="AB3701" s="10">
        <f>REPT(" ",4)</f>
        <v/>
      </c>
      <c r="AC3701" s="10">
        <f>LEFT(UPPER(H3701)&amp;REPT(" ",250),250)</f>
        <v/>
      </c>
      <c r="AD3701" s="10">
        <f>TEXT($G$2,"dd/mm/aaaa")</f>
        <v/>
      </c>
      <c r="AE3701" s="10">
        <f>REPT(" ",10)</f>
        <v/>
      </c>
      <c r="AF3701" s="10">
        <f>REPT(" ",20)</f>
        <v/>
      </c>
      <c r="AG3701" s="54">
        <f>REPT(" ",18-LEN(FIXED(F3701,2,TRUE)))&amp;FIXED(F3701,2,TRUE)</f>
        <v/>
      </c>
      <c r="AH3701" s="10">
        <f>LEN(AC3701)+LEN(AG3701)</f>
        <v/>
      </c>
      <c r="AI3701" s="10">
        <f>LEN(L3701)</f>
        <v/>
      </c>
    </row>
    <row r="3702">
      <c r="J3702" s="12">
        <f>IF(F3702&lt;&gt;0,"LANÇAR","")</f>
        <v/>
      </c>
      <c r="L3702" s="13">
        <f>N3702&amp;O3702&amp;P3702&amp;Q3702&amp;R3702&amp;S3702&amp;T3702&amp;U3702&amp;V3702&amp;W3702&amp;X3702&amp;Y3702&amp;Z3702&amp;AA3702&amp;AB3702&amp;AC3702&amp;AD3702&amp;AE3702&amp;AF3702&amp;AG3702</f>
        <v/>
      </c>
      <c r="N3702" s="10">
        <f>TEXT($B$6,"00")</f>
        <v/>
      </c>
      <c r="O3702" s="10">
        <f>REPT(" ",8)</f>
        <v/>
      </c>
      <c r="P3702" s="10">
        <f>RIGHT($B$4,2)</f>
        <v/>
      </c>
      <c r="Q3702" s="10">
        <f>RIGHT($B$5,3)</f>
        <v/>
      </c>
      <c r="R3702" s="10">
        <f>IF(A3702="D",LEFT(UPPER(B3702)&amp;REPT(" ",20),20),REPT(" ",20))</f>
        <v/>
      </c>
      <c r="S3702" s="10">
        <f>IF(A3702="D",LEFT(UPPER(C3702)&amp;REPT(" ",10),10)," ")</f>
        <v/>
      </c>
      <c r="T3702" s="10">
        <f>IF(A3702="D",LEFT(UPPER(D3702)&amp;REPT(" ",2),2)," ")</f>
        <v/>
      </c>
      <c r="U3702" s="10">
        <f>IF(A3702="D",LEFT(UPPER(E3702)&amp;REPT(" ",15),15)," ")</f>
        <v/>
      </c>
      <c r="V3702" s="10">
        <f>REPT(" ",24)</f>
        <v/>
      </c>
      <c r="W3702" s="10">
        <f>IF(A3702="c",LEFT(UPPER(B3702)&amp;REPT(" ",20),20),REPT(" ",20))</f>
        <v/>
      </c>
      <c r="X3702" s="10">
        <f>IF(A3702="C",LEFT(UPPER(C3702)&amp;REPT(" ",10),10)," ")</f>
        <v/>
      </c>
      <c r="Y3702" s="10">
        <f>IF(A3702="C",LEFT(UPPER(D3702)&amp;REPT(" ",2),2)," ")</f>
        <v/>
      </c>
      <c r="Z3702" s="10">
        <f>IF(A3702="C",LEFT(UPPER(E3702)&amp;REPT(" ",15),15)," ")</f>
        <v/>
      </c>
      <c r="AA3702" s="10">
        <f>REPT(" ",8)</f>
        <v/>
      </c>
      <c r="AB3702" s="10">
        <f>REPT(" ",4)</f>
        <v/>
      </c>
      <c r="AC3702" s="10">
        <f>LEFT(UPPER(H3702)&amp;REPT(" ",250),250)</f>
        <v/>
      </c>
      <c r="AD3702" s="10">
        <f>TEXT($G$2,"dd/mm/aaaa")</f>
        <v/>
      </c>
      <c r="AE3702" s="10">
        <f>REPT(" ",10)</f>
        <v/>
      </c>
      <c r="AF3702" s="10">
        <f>REPT(" ",20)</f>
        <v/>
      </c>
      <c r="AG3702" s="54">
        <f>REPT(" ",18-LEN(FIXED(F3702,2,TRUE)))&amp;FIXED(F3702,2,TRUE)</f>
        <v/>
      </c>
      <c r="AH3702" s="10">
        <f>LEN(AC3702)+LEN(AG3702)</f>
        <v/>
      </c>
      <c r="AI3702" s="10">
        <f>LEN(L3702)</f>
        <v/>
      </c>
    </row>
    <row r="3703">
      <c r="J3703" s="12">
        <f>IF(F3703&lt;&gt;0,"LANÇAR","")</f>
        <v/>
      </c>
      <c r="L3703" s="13">
        <f>N3703&amp;O3703&amp;P3703&amp;Q3703&amp;R3703&amp;S3703&amp;T3703&amp;U3703&amp;V3703&amp;W3703&amp;X3703&amp;Y3703&amp;Z3703&amp;AA3703&amp;AB3703&amp;AC3703&amp;AD3703&amp;AE3703&amp;AF3703&amp;AG3703</f>
        <v/>
      </c>
      <c r="N3703" s="10">
        <f>TEXT($B$6,"00")</f>
        <v/>
      </c>
      <c r="O3703" s="10">
        <f>REPT(" ",8)</f>
        <v/>
      </c>
      <c r="P3703" s="10">
        <f>RIGHT($B$4,2)</f>
        <v/>
      </c>
      <c r="Q3703" s="10">
        <f>RIGHT($B$5,3)</f>
        <v/>
      </c>
      <c r="R3703" s="10">
        <f>IF(A3703="D",LEFT(UPPER(B3703)&amp;REPT(" ",20),20),REPT(" ",20))</f>
        <v/>
      </c>
      <c r="S3703" s="10">
        <f>IF(A3703="D",LEFT(UPPER(C3703)&amp;REPT(" ",10),10)," ")</f>
        <v/>
      </c>
      <c r="T3703" s="10">
        <f>IF(A3703="D",LEFT(UPPER(D3703)&amp;REPT(" ",2),2)," ")</f>
        <v/>
      </c>
      <c r="U3703" s="10">
        <f>IF(A3703="D",LEFT(UPPER(E3703)&amp;REPT(" ",15),15)," ")</f>
        <v/>
      </c>
      <c r="V3703" s="10">
        <f>REPT(" ",24)</f>
        <v/>
      </c>
      <c r="W3703" s="10">
        <f>IF(A3703="c",LEFT(UPPER(B3703)&amp;REPT(" ",20),20),REPT(" ",20))</f>
        <v/>
      </c>
      <c r="X3703" s="10">
        <f>IF(A3703="C",LEFT(UPPER(C3703)&amp;REPT(" ",10),10)," ")</f>
        <v/>
      </c>
      <c r="Y3703" s="10">
        <f>IF(A3703="C",LEFT(UPPER(D3703)&amp;REPT(" ",2),2)," ")</f>
        <v/>
      </c>
      <c r="Z3703" s="10">
        <f>IF(A3703="C",LEFT(UPPER(E3703)&amp;REPT(" ",15),15)," ")</f>
        <v/>
      </c>
      <c r="AA3703" s="10">
        <f>REPT(" ",8)</f>
        <v/>
      </c>
      <c r="AB3703" s="10">
        <f>REPT(" ",4)</f>
        <v/>
      </c>
      <c r="AC3703" s="10">
        <f>LEFT(UPPER(H3703)&amp;REPT(" ",250),250)</f>
        <v/>
      </c>
      <c r="AD3703" s="10">
        <f>TEXT($G$2,"dd/mm/aaaa")</f>
        <v/>
      </c>
      <c r="AE3703" s="10">
        <f>REPT(" ",10)</f>
        <v/>
      </c>
      <c r="AF3703" s="10">
        <f>REPT(" ",20)</f>
        <v/>
      </c>
      <c r="AG3703" s="54">
        <f>REPT(" ",18-LEN(FIXED(F3703,2,TRUE)))&amp;FIXED(F3703,2,TRUE)</f>
        <v/>
      </c>
      <c r="AH3703" s="10">
        <f>LEN(AC3703)+LEN(AG3703)</f>
        <v/>
      </c>
      <c r="AI3703" s="10">
        <f>LEN(L3703)</f>
        <v/>
      </c>
    </row>
    <row r="3704">
      <c r="J3704" s="12">
        <f>IF(F3704&lt;&gt;0,"LANÇAR","")</f>
        <v/>
      </c>
      <c r="L3704" s="13">
        <f>N3704&amp;O3704&amp;P3704&amp;Q3704&amp;R3704&amp;S3704&amp;T3704&amp;U3704&amp;V3704&amp;W3704&amp;X3704&amp;Y3704&amp;Z3704&amp;AA3704&amp;AB3704&amp;AC3704&amp;AD3704&amp;AE3704&amp;AF3704&amp;AG3704</f>
        <v/>
      </c>
      <c r="N3704" s="10">
        <f>TEXT($B$6,"00")</f>
        <v/>
      </c>
      <c r="O3704" s="10">
        <f>REPT(" ",8)</f>
        <v/>
      </c>
      <c r="P3704" s="10">
        <f>RIGHT($B$4,2)</f>
        <v/>
      </c>
      <c r="Q3704" s="10">
        <f>RIGHT($B$5,3)</f>
        <v/>
      </c>
      <c r="R3704" s="10">
        <f>IF(A3704="D",LEFT(UPPER(B3704)&amp;REPT(" ",20),20),REPT(" ",20))</f>
        <v/>
      </c>
      <c r="S3704" s="10">
        <f>IF(A3704="D",LEFT(UPPER(C3704)&amp;REPT(" ",10),10)," ")</f>
        <v/>
      </c>
      <c r="T3704" s="10">
        <f>IF(A3704="D",LEFT(UPPER(D3704)&amp;REPT(" ",2),2)," ")</f>
        <v/>
      </c>
      <c r="U3704" s="10">
        <f>IF(A3704="D",LEFT(UPPER(E3704)&amp;REPT(" ",15),15)," ")</f>
        <v/>
      </c>
      <c r="V3704" s="10">
        <f>REPT(" ",24)</f>
        <v/>
      </c>
      <c r="W3704" s="10">
        <f>IF(A3704="c",LEFT(UPPER(B3704)&amp;REPT(" ",20),20),REPT(" ",20))</f>
        <v/>
      </c>
      <c r="X3704" s="10">
        <f>IF(A3704="C",LEFT(UPPER(C3704)&amp;REPT(" ",10),10)," ")</f>
        <v/>
      </c>
      <c r="Y3704" s="10">
        <f>IF(A3704="C",LEFT(UPPER(D3704)&amp;REPT(" ",2),2)," ")</f>
        <v/>
      </c>
      <c r="Z3704" s="10">
        <f>IF(A3704="C",LEFT(UPPER(E3704)&amp;REPT(" ",15),15)," ")</f>
        <v/>
      </c>
      <c r="AA3704" s="10">
        <f>REPT(" ",8)</f>
        <v/>
      </c>
      <c r="AB3704" s="10">
        <f>REPT(" ",4)</f>
        <v/>
      </c>
      <c r="AC3704" s="10">
        <f>LEFT(UPPER(H3704)&amp;REPT(" ",250),250)</f>
        <v/>
      </c>
      <c r="AD3704" s="10">
        <f>TEXT($G$2,"dd/mm/aaaa")</f>
        <v/>
      </c>
      <c r="AE3704" s="10">
        <f>REPT(" ",10)</f>
        <v/>
      </c>
      <c r="AF3704" s="10">
        <f>REPT(" ",20)</f>
        <v/>
      </c>
      <c r="AG3704" s="54">
        <f>REPT(" ",18-LEN(FIXED(F3704,2,TRUE)))&amp;FIXED(F3704,2,TRUE)</f>
        <v/>
      </c>
      <c r="AH3704" s="10">
        <f>LEN(AC3704)+LEN(AG3704)</f>
        <v/>
      </c>
      <c r="AI3704" s="10">
        <f>LEN(L3704)</f>
        <v/>
      </c>
    </row>
    <row r="3705">
      <c r="J3705" s="12">
        <f>IF(F3705&lt;&gt;0,"LANÇAR","")</f>
        <v/>
      </c>
      <c r="L3705" s="13">
        <f>N3705&amp;O3705&amp;P3705&amp;Q3705&amp;R3705&amp;S3705&amp;T3705&amp;U3705&amp;V3705&amp;W3705&amp;X3705&amp;Y3705&amp;Z3705&amp;AA3705&amp;AB3705&amp;AC3705&amp;AD3705&amp;AE3705&amp;AF3705&amp;AG3705</f>
        <v/>
      </c>
      <c r="N3705" s="10">
        <f>TEXT($B$6,"00")</f>
        <v/>
      </c>
      <c r="O3705" s="10">
        <f>REPT(" ",8)</f>
        <v/>
      </c>
      <c r="P3705" s="10">
        <f>RIGHT($B$4,2)</f>
        <v/>
      </c>
      <c r="Q3705" s="10">
        <f>RIGHT($B$5,3)</f>
        <v/>
      </c>
      <c r="R3705" s="10">
        <f>IF(A3705="D",LEFT(UPPER(B3705)&amp;REPT(" ",20),20),REPT(" ",20))</f>
        <v/>
      </c>
      <c r="S3705" s="10">
        <f>IF(A3705="D",LEFT(UPPER(C3705)&amp;REPT(" ",10),10)," ")</f>
        <v/>
      </c>
      <c r="T3705" s="10">
        <f>IF(A3705="D",LEFT(UPPER(D3705)&amp;REPT(" ",2),2)," ")</f>
        <v/>
      </c>
      <c r="U3705" s="10">
        <f>IF(A3705="D",LEFT(UPPER(E3705)&amp;REPT(" ",15),15)," ")</f>
        <v/>
      </c>
      <c r="V3705" s="10">
        <f>REPT(" ",24)</f>
        <v/>
      </c>
      <c r="W3705" s="10">
        <f>IF(A3705="c",LEFT(UPPER(B3705)&amp;REPT(" ",20),20),REPT(" ",20))</f>
        <v/>
      </c>
      <c r="X3705" s="10">
        <f>IF(A3705="C",LEFT(UPPER(C3705)&amp;REPT(" ",10),10)," ")</f>
        <v/>
      </c>
      <c r="Y3705" s="10">
        <f>IF(A3705="C",LEFT(UPPER(D3705)&amp;REPT(" ",2),2)," ")</f>
        <v/>
      </c>
      <c r="Z3705" s="10">
        <f>IF(A3705="C",LEFT(UPPER(E3705)&amp;REPT(" ",15),15)," ")</f>
        <v/>
      </c>
      <c r="AA3705" s="10">
        <f>REPT(" ",8)</f>
        <v/>
      </c>
      <c r="AB3705" s="10">
        <f>REPT(" ",4)</f>
        <v/>
      </c>
      <c r="AC3705" s="10">
        <f>LEFT(UPPER(H3705)&amp;REPT(" ",250),250)</f>
        <v/>
      </c>
      <c r="AD3705" s="10">
        <f>TEXT($G$2,"dd/mm/aaaa")</f>
        <v/>
      </c>
      <c r="AE3705" s="10">
        <f>REPT(" ",10)</f>
        <v/>
      </c>
      <c r="AF3705" s="10">
        <f>REPT(" ",20)</f>
        <v/>
      </c>
      <c r="AG3705" s="54">
        <f>REPT(" ",18-LEN(FIXED(F3705,2,TRUE)))&amp;FIXED(F3705,2,TRUE)</f>
        <v/>
      </c>
      <c r="AH3705" s="10">
        <f>LEN(AC3705)+LEN(AG3705)</f>
        <v/>
      </c>
      <c r="AI3705" s="10">
        <f>LEN(L3705)</f>
        <v/>
      </c>
    </row>
    <row r="3706">
      <c r="J3706" s="12">
        <f>IF(F3706&lt;&gt;0,"LANÇAR","")</f>
        <v/>
      </c>
      <c r="L3706" s="13">
        <f>N3706&amp;O3706&amp;P3706&amp;Q3706&amp;R3706&amp;S3706&amp;T3706&amp;U3706&amp;V3706&amp;W3706&amp;X3706&amp;Y3706&amp;Z3706&amp;AA3706&amp;AB3706&amp;AC3706&amp;AD3706&amp;AE3706&amp;AF3706&amp;AG3706</f>
        <v/>
      </c>
      <c r="N3706" s="10">
        <f>TEXT($B$6,"00")</f>
        <v/>
      </c>
      <c r="O3706" s="10">
        <f>REPT(" ",8)</f>
        <v/>
      </c>
      <c r="P3706" s="10">
        <f>RIGHT($B$4,2)</f>
        <v/>
      </c>
      <c r="Q3706" s="10">
        <f>RIGHT($B$5,3)</f>
        <v/>
      </c>
      <c r="R3706" s="10">
        <f>IF(A3706="D",LEFT(UPPER(B3706)&amp;REPT(" ",20),20),REPT(" ",20))</f>
        <v/>
      </c>
      <c r="S3706" s="10">
        <f>IF(A3706="D",LEFT(UPPER(C3706)&amp;REPT(" ",10),10)," ")</f>
        <v/>
      </c>
      <c r="T3706" s="10">
        <f>IF(A3706="D",LEFT(UPPER(D3706)&amp;REPT(" ",2),2)," ")</f>
        <v/>
      </c>
      <c r="U3706" s="10">
        <f>IF(A3706="D",LEFT(UPPER(E3706)&amp;REPT(" ",15),15)," ")</f>
        <v/>
      </c>
      <c r="V3706" s="10">
        <f>REPT(" ",24)</f>
        <v/>
      </c>
      <c r="W3706" s="10">
        <f>IF(A3706="c",LEFT(UPPER(B3706)&amp;REPT(" ",20),20),REPT(" ",20))</f>
        <v/>
      </c>
      <c r="X3706" s="10">
        <f>IF(A3706="C",LEFT(UPPER(C3706)&amp;REPT(" ",10),10)," ")</f>
        <v/>
      </c>
      <c r="Y3706" s="10">
        <f>IF(A3706="C",LEFT(UPPER(D3706)&amp;REPT(" ",2),2)," ")</f>
        <v/>
      </c>
      <c r="Z3706" s="10">
        <f>IF(A3706="C",LEFT(UPPER(E3706)&amp;REPT(" ",15),15)," ")</f>
        <v/>
      </c>
      <c r="AA3706" s="10">
        <f>REPT(" ",8)</f>
        <v/>
      </c>
      <c r="AB3706" s="10">
        <f>REPT(" ",4)</f>
        <v/>
      </c>
      <c r="AC3706" s="10">
        <f>LEFT(UPPER(H3706)&amp;REPT(" ",250),250)</f>
        <v/>
      </c>
      <c r="AD3706" s="10">
        <f>TEXT($G$2,"dd/mm/aaaa")</f>
        <v/>
      </c>
      <c r="AE3706" s="10">
        <f>REPT(" ",10)</f>
        <v/>
      </c>
      <c r="AF3706" s="10">
        <f>REPT(" ",20)</f>
        <v/>
      </c>
      <c r="AG3706" s="54">
        <f>REPT(" ",18-LEN(FIXED(F3706,2,TRUE)))&amp;FIXED(F3706,2,TRUE)</f>
        <v/>
      </c>
      <c r="AH3706" s="10">
        <f>LEN(AC3706)+LEN(AG3706)</f>
        <v/>
      </c>
      <c r="AI3706" s="10">
        <f>LEN(L3706)</f>
        <v/>
      </c>
    </row>
    <row r="3707">
      <c r="J3707" s="12">
        <f>IF(F3707&lt;&gt;0,"LANÇAR","")</f>
        <v/>
      </c>
      <c r="L3707" s="13">
        <f>N3707&amp;O3707&amp;P3707&amp;Q3707&amp;R3707&amp;S3707&amp;T3707&amp;U3707&amp;V3707&amp;W3707&amp;X3707&amp;Y3707&amp;Z3707&amp;AA3707&amp;AB3707&amp;AC3707&amp;AD3707&amp;AE3707&amp;AF3707&amp;AG3707</f>
        <v/>
      </c>
      <c r="N3707" s="10">
        <f>TEXT($B$6,"00")</f>
        <v/>
      </c>
      <c r="O3707" s="10">
        <f>REPT(" ",8)</f>
        <v/>
      </c>
      <c r="P3707" s="10">
        <f>RIGHT($B$4,2)</f>
        <v/>
      </c>
      <c r="Q3707" s="10">
        <f>RIGHT($B$5,3)</f>
        <v/>
      </c>
      <c r="R3707" s="10">
        <f>IF(A3707="D",LEFT(UPPER(B3707)&amp;REPT(" ",20),20),REPT(" ",20))</f>
        <v/>
      </c>
      <c r="S3707" s="10">
        <f>IF(A3707="D",LEFT(UPPER(C3707)&amp;REPT(" ",10),10)," ")</f>
        <v/>
      </c>
      <c r="T3707" s="10">
        <f>IF(A3707="D",LEFT(UPPER(D3707)&amp;REPT(" ",2),2)," ")</f>
        <v/>
      </c>
      <c r="U3707" s="10">
        <f>IF(A3707="D",LEFT(UPPER(E3707)&amp;REPT(" ",15),15)," ")</f>
        <v/>
      </c>
      <c r="V3707" s="10">
        <f>REPT(" ",24)</f>
        <v/>
      </c>
      <c r="W3707" s="10">
        <f>IF(A3707="c",LEFT(UPPER(B3707)&amp;REPT(" ",20),20),REPT(" ",20))</f>
        <v/>
      </c>
      <c r="X3707" s="10">
        <f>IF(A3707="C",LEFT(UPPER(C3707)&amp;REPT(" ",10),10)," ")</f>
        <v/>
      </c>
      <c r="Y3707" s="10">
        <f>IF(A3707="C",LEFT(UPPER(D3707)&amp;REPT(" ",2),2)," ")</f>
        <v/>
      </c>
      <c r="Z3707" s="10">
        <f>IF(A3707="C",LEFT(UPPER(E3707)&amp;REPT(" ",15),15)," ")</f>
        <v/>
      </c>
      <c r="AA3707" s="10">
        <f>REPT(" ",8)</f>
        <v/>
      </c>
      <c r="AB3707" s="10">
        <f>REPT(" ",4)</f>
        <v/>
      </c>
      <c r="AC3707" s="10">
        <f>LEFT(UPPER(H3707)&amp;REPT(" ",250),250)</f>
        <v/>
      </c>
      <c r="AD3707" s="10">
        <f>TEXT($G$2,"dd/mm/aaaa")</f>
        <v/>
      </c>
      <c r="AE3707" s="10">
        <f>REPT(" ",10)</f>
        <v/>
      </c>
      <c r="AF3707" s="10">
        <f>REPT(" ",20)</f>
        <v/>
      </c>
      <c r="AG3707" s="54">
        <f>REPT(" ",18-LEN(FIXED(F3707,2,TRUE)))&amp;FIXED(F3707,2,TRUE)</f>
        <v/>
      </c>
      <c r="AH3707" s="10">
        <f>LEN(AC3707)+LEN(AG3707)</f>
        <v/>
      </c>
      <c r="AI3707" s="10">
        <f>LEN(L3707)</f>
        <v/>
      </c>
    </row>
    <row r="3708">
      <c r="J3708" s="12">
        <f>IF(F3708&lt;&gt;0,"LANÇAR","")</f>
        <v/>
      </c>
      <c r="L3708" s="13">
        <f>N3708&amp;O3708&amp;P3708&amp;Q3708&amp;R3708&amp;S3708&amp;T3708&amp;U3708&amp;V3708&amp;W3708&amp;X3708&amp;Y3708&amp;Z3708&amp;AA3708&amp;AB3708&amp;AC3708&amp;AD3708&amp;AE3708&amp;AF3708&amp;AG3708</f>
        <v/>
      </c>
      <c r="N3708" s="10">
        <f>TEXT($B$6,"00")</f>
        <v/>
      </c>
      <c r="O3708" s="10">
        <f>REPT(" ",8)</f>
        <v/>
      </c>
      <c r="P3708" s="10">
        <f>RIGHT($B$4,2)</f>
        <v/>
      </c>
      <c r="Q3708" s="10">
        <f>RIGHT($B$5,3)</f>
        <v/>
      </c>
      <c r="R3708" s="10">
        <f>IF(A3708="D",LEFT(UPPER(B3708)&amp;REPT(" ",20),20),REPT(" ",20))</f>
        <v/>
      </c>
      <c r="S3708" s="10">
        <f>IF(A3708="D",LEFT(UPPER(C3708)&amp;REPT(" ",10),10)," ")</f>
        <v/>
      </c>
      <c r="T3708" s="10">
        <f>IF(A3708="D",LEFT(UPPER(D3708)&amp;REPT(" ",2),2)," ")</f>
        <v/>
      </c>
      <c r="U3708" s="10">
        <f>IF(A3708="D",LEFT(UPPER(E3708)&amp;REPT(" ",15),15)," ")</f>
        <v/>
      </c>
      <c r="V3708" s="10">
        <f>REPT(" ",24)</f>
        <v/>
      </c>
      <c r="W3708" s="10">
        <f>IF(A3708="c",LEFT(UPPER(B3708)&amp;REPT(" ",20),20),REPT(" ",20))</f>
        <v/>
      </c>
      <c r="X3708" s="10">
        <f>IF(A3708="C",LEFT(UPPER(C3708)&amp;REPT(" ",10),10)," ")</f>
        <v/>
      </c>
      <c r="Y3708" s="10">
        <f>IF(A3708="C",LEFT(UPPER(D3708)&amp;REPT(" ",2),2)," ")</f>
        <v/>
      </c>
      <c r="Z3708" s="10">
        <f>IF(A3708="C",LEFT(UPPER(E3708)&amp;REPT(" ",15),15)," ")</f>
        <v/>
      </c>
      <c r="AA3708" s="10">
        <f>REPT(" ",8)</f>
        <v/>
      </c>
      <c r="AB3708" s="10">
        <f>REPT(" ",4)</f>
        <v/>
      </c>
      <c r="AC3708" s="10">
        <f>LEFT(UPPER(H3708)&amp;REPT(" ",250),250)</f>
        <v/>
      </c>
      <c r="AD3708" s="10">
        <f>TEXT($G$2,"dd/mm/aaaa")</f>
        <v/>
      </c>
      <c r="AE3708" s="10">
        <f>REPT(" ",10)</f>
        <v/>
      </c>
      <c r="AF3708" s="10">
        <f>REPT(" ",20)</f>
        <v/>
      </c>
      <c r="AG3708" s="54">
        <f>REPT(" ",18-LEN(FIXED(F3708,2,TRUE)))&amp;FIXED(F3708,2,TRUE)</f>
        <v/>
      </c>
      <c r="AH3708" s="10">
        <f>LEN(AC3708)+LEN(AG3708)</f>
        <v/>
      </c>
      <c r="AI3708" s="10">
        <f>LEN(L3708)</f>
        <v/>
      </c>
    </row>
    <row r="3709">
      <c r="J3709" s="12">
        <f>IF(F3709&lt;&gt;0,"LANÇAR","")</f>
        <v/>
      </c>
      <c r="L3709" s="13">
        <f>N3709&amp;O3709&amp;P3709&amp;Q3709&amp;R3709&amp;S3709&amp;T3709&amp;U3709&amp;V3709&amp;W3709&amp;X3709&amp;Y3709&amp;Z3709&amp;AA3709&amp;AB3709&amp;AC3709&amp;AD3709&amp;AE3709&amp;AF3709&amp;AG3709</f>
        <v/>
      </c>
      <c r="N3709" s="10">
        <f>TEXT($B$6,"00")</f>
        <v/>
      </c>
      <c r="O3709" s="10">
        <f>REPT(" ",8)</f>
        <v/>
      </c>
      <c r="P3709" s="10">
        <f>RIGHT($B$4,2)</f>
        <v/>
      </c>
      <c r="Q3709" s="10">
        <f>RIGHT($B$5,3)</f>
        <v/>
      </c>
      <c r="R3709" s="10">
        <f>IF(A3709="D",LEFT(UPPER(B3709)&amp;REPT(" ",20),20),REPT(" ",20))</f>
        <v/>
      </c>
      <c r="S3709" s="10">
        <f>IF(A3709="D",LEFT(UPPER(C3709)&amp;REPT(" ",10),10)," ")</f>
        <v/>
      </c>
      <c r="T3709" s="10">
        <f>IF(A3709="D",LEFT(UPPER(D3709)&amp;REPT(" ",2),2)," ")</f>
        <v/>
      </c>
      <c r="U3709" s="10">
        <f>IF(A3709="D",LEFT(UPPER(E3709)&amp;REPT(" ",15),15)," ")</f>
        <v/>
      </c>
      <c r="V3709" s="10">
        <f>REPT(" ",24)</f>
        <v/>
      </c>
      <c r="W3709" s="10">
        <f>IF(A3709="c",LEFT(UPPER(B3709)&amp;REPT(" ",20),20),REPT(" ",20))</f>
        <v/>
      </c>
      <c r="X3709" s="10">
        <f>IF(A3709="C",LEFT(UPPER(C3709)&amp;REPT(" ",10),10)," ")</f>
        <v/>
      </c>
      <c r="Y3709" s="10">
        <f>IF(A3709="C",LEFT(UPPER(D3709)&amp;REPT(" ",2),2)," ")</f>
        <v/>
      </c>
      <c r="Z3709" s="10">
        <f>IF(A3709="C",LEFT(UPPER(E3709)&amp;REPT(" ",15),15)," ")</f>
        <v/>
      </c>
      <c r="AA3709" s="10">
        <f>REPT(" ",8)</f>
        <v/>
      </c>
      <c r="AB3709" s="10">
        <f>REPT(" ",4)</f>
        <v/>
      </c>
      <c r="AC3709" s="10">
        <f>LEFT(UPPER(H3709)&amp;REPT(" ",250),250)</f>
        <v/>
      </c>
      <c r="AD3709" s="10">
        <f>TEXT($G$2,"dd/mm/aaaa")</f>
        <v/>
      </c>
      <c r="AE3709" s="10">
        <f>REPT(" ",10)</f>
        <v/>
      </c>
      <c r="AF3709" s="10">
        <f>REPT(" ",20)</f>
        <v/>
      </c>
      <c r="AG3709" s="54">
        <f>REPT(" ",18-LEN(FIXED(F3709,2,TRUE)))&amp;FIXED(F3709,2,TRUE)</f>
        <v/>
      </c>
      <c r="AH3709" s="10">
        <f>LEN(AC3709)+LEN(AG3709)</f>
        <v/>
      </c>
      <c r="AI3709" s="10">
        <f>LEN(L3709)</f>
        <v/>
      </c>
    </row>
    <row r="3710">
      <c r="J3710" s="12">
        <f>IF(F3710&lt;&gt;0,"LANÇAR","")</f>
        <v/>
      </c>
      <c r="L3710" s="13">
        <f>N3710&amp;O3710&amp;P3710&amp;Q3710&amp;R3710&amp;S3710&amp;T3710&amp;U3710&amp;V3710&amp;W3710&amp;X3710&amp;Y3710&amp;Z3710&amp;AA3710&amp;AB3710&amp;AC3710&amp;AD3710&amp;AE3710&amp;AF3710&amp;AG3710</f>
        <v/>
      </c>
      <c r="N3710" s="10">
        <f>TEXT($B$6,"00")</f>
        <v/>
      </c>
      <c r="O3710" s="10">
        <f>REPT(" ",8)</f>
        <v/>
      </c>
      <c r="P3710" s="10">
        <f>RIGHT($B$4,2)</f>
        <v/>
      </c>
      <c r="Q3710" s="10">
        <f>RIGHT($B$5,3)</f>
        <v/>
      </c>
      <c r="R3710" s="10">
        <f>IF(A3710="D",LEFT(UPPER(B3710)&amp;REPT(" ",20),20),REPT(" ",20))</f>
        <v/>
      </c>
      <c r="S3710" s="10">
        <f>IF(A3710="D",LEFT(UPPER(C3710)&amp;REPT(" ",10),10)," ")</f>
        <v/>
      </c>
      <c r="T3710" s="10">
        <f>IF(A3710="D",LEFT(UPPER(D3710)&amp;REPT(" ",2),2)," ")</f>
        <v/>
      </c>
      <c r="U3710" s="10">
        <f>IF(A3710="D",LEFT(UPPER(E3710)&amp;REPT(" ",15),15)," ")</f>
        <v/>
      </c>
      <c r="V3710" s="10">
        <f>REPT(" ",24)</f>
        <v/>
      </c>
      <c r="W3710" s="10">
        <f>IF(A3710="c",LEFT(UPPER(B3710)&amp;REPT(" ",20),20),REPT(" ",20))</f>
        <v/>
      </c>
      <c r="X3710" s="10">
        <f>IF(A3710="C",LEFT(UPPER(C3710)&amp;REPT(" ",10),10)," ")</f>
        <v/>
      </c>
      <c r="Y3710" s="10">
        <f>IF(A3710="C",LEFT(UPPER(D3710)&amp;REPT(" ",2),2)," ")</f>
        <v/>
      </c>
      <c r="Z3710" s="10">
        <f>IF(A3710="C",LEFT(UPPER(E3710)&amp;REPT(" ",15),15)," ")</f>
        <v/>
      </c>
      <c r="AA3710" s="10">
        <f>REPT(" ",8)</f>
        <v/>
      </c>
      <c r="AB3710" s="10">
        <f>REPT(" ",4)</f>
        <v/>
      </c>
      <c r="AC3710" s="10">
        <f>LEFT(UPPER(H3710)&amp;REPT(" ",250),250)</f>
        <v/>
      </c>
      <c r="AD3710" s="10">
        <f>TEXT($G$2,"dd/mm/aaaa")</f>
        <v/>
      </c>
      <c r="AE3710" s="10">
        <f>REPT(" ",10)</f>
        <v/>
      </c>
      <c r="AF3710" s="10">
        <f>REPT(" ",20)</f>
        <v/>
      </c>
      <c r="AG3710" s="54">
        <f>REPT(" ",18-LEN(FIXED(F3710,2,TRUE)))&amp;FIXED(F3710,2,TRUE)</f>
        <v/>
      </c>
      <c r="AH3710" s="10">
        <f>LEN(AC3710)+LEN(AG3710)</f>
        <v/>
      </c>
      <c r="AI3710" s="10">
        <f>LEN(L3710)</f>
        <v/>
      </c>
    </row>
    <row r="3711">
      <c r="J3711" s="12">
        <f>IF(F3711&lt;&gt;0,"LANÇAR","")</f>
        <v/>
      </c>
      <c r="L3711" s="13">
        <f>N3711&amp;O3711&amp;P3711&amp;Q3711&amp;R3711&amp;S3711&amp;T3711&amp;U3711&amp;V3711&amp;W3711&amp;X3711&amp;Y3711&amp;Z3711&amp;AA3711&amp;AB3711&amp;AC3711&amp;AD3711&amp;AE3711&amp;AF3711&amp;AG3711</f>
        <v/>
      </c>
      <c r="N3711" s="10">
        <f>TEXT($B$6,"00")</f>
        <v/>
      </c>
      <c r="O3711" s="10">
        <f>REPT(" ",8)</f>
        <v/>
      </c>
      <c r="P3711" s="10">
        <f>RIGHT($B$4,2)</f>
        <v/>
      </c>
      <c r="Q3711" s="10">
        <f>RIGHT($B$5,3)</f>
        <v/>
      </c>
      <c r="R3711" s="10">
        <f>IF(A3711="D",LEFT(UPPER(B3711)&amp;REPT(" ",20),20),REPT(" ",20))</f>
        <v/>
      </c>
      <c r="S3711" s="10">
        <f>IF(A3711="D",LEFT(UPPER(C3711)&amp;REPT(" ",10),10)," ")</f>
        <v/>
      </c>
      <c r="T3711" s="10">
        <f>IF(A3711="D",LEFT(UPPER(D3711)&amp;REPT(" ",2),2)," ")</f>
        <v/>
      </c>
      <c r="U3711" s="10">
        <f>IF(A3711="D",LEFT(UPPER(E3711)&amp;REPT(" ",15),15)," ")</f>
        <v/>
      </c>
      <c r="V3711" s="10">
        <f>REPT(" ",24)</f>
        <v/>
      </c>
      <c r="W3711" s="10">
        <f>IF(A3711="c",LEFT(UPPER(B3711)&amp;REPT(" ",20),20),REPT(" ",20))</f>
        <v/>
      </c>
      <c r="X3711" s="10">
        <f>IF(A3711="C",LEFT(UPPER(C3711)&amp;REPT(" ",10),10)," ")</f>
        <v/>
      </c>
      <c r="Y3711" s="10">
        <f>IF(A3711="C",LEFT(UPPER(D3711)&amp;REPT(" ",2),2)," ")</f>
        <v/>
      </c>
      <c r="Z3711" s="10">
        <f>IF(A3711="C",LEFT(UPPER(E3711)&amp;REPT(" ",15),15)," ")</f>
        <v/>
      </c>
      <c r="AA3711" s="10">
        <f>REPT(" ",8)</f>
        <v/>
      </c>
      <c r="AB3711" s="10">
        <f>REPT(" ",4)</f>
        <v/>
      </c>
      <c r="AC3711" s="10">
        <f>LEFT(UPPER(H3711)&amp;REPT(" ",250),250)</f>
        <v/>
      </c>
      <c r="AD3711" s="10">
        <f>TEXT($G$2,"dd/mm/aaaa")</f>
        <v/>
      </c>
      <c r="AE3711" s="10">
        <f>REPT(" ",10)</f>
        <v/>
      </c>
      <c r="AF3711" s="10">
        <f>REPT(" ",20)</f>
        <v/>
      </c>
      <c r="AG3711" s="54">
        <f>REPT(" ",18-LEN(FIXED(F3711,2,TRUE)))&amp;FIXED(F3711,2,TRUE)</f>
        <v/>
      </c>
      <c r="AH3711" s="10">
        <f>LEN(AC3711)+LEN(AG3711)</f>
        <v/>
      </c>
      <c r="AI3711" s="10">
        <f>LEN(L3711)</f>
        <v/>
      </c>
    </row>
    <row r="3712">
      <c r="J3712" s="12">
        <f>IF(F3712&lt;&gt;0,"LANÇAR","")</f>
        <v/>
      </c>
      <c r="L3712" s="13">
        <f>N3712&amp;O3712&amp;P3712&amp;Q3712&amp;R3712&amp;S3712&amp;T3712&amp;U3712&amp;V3712&amp;W3712&amp;X3712&amp;Y3712&amp;Z3712&amp;AA3712&amp;AB3712&amp;AC3712&amp;AD3712&amp;AE3712&amp;AF3712&amp;AG3712</f>
        <v/>
      </c>
      <c r="N3712" s="10">
        <f>TEXT($B$6,"00")</f>
        <v/>
      </c>
      <c r="O3712" s="10">
        <f>REPT(" ",8)</f>
        <v/>
      </c>
      <c r="P3712" s="10">
        <f>RIGHT($B$4,2)</f>
        <v/>
      </c>
      <c r="Q3712" s="10">
        <f>RIGHT($B$5,3)</f>
        <v/>
      </c>
      <c r="R3712" s="10">
        <f>IF(A3712="D",LEFT(UPPER(B3712)&amp;REPT(" ",20),20),REPT(" ",20))</f>
        <v/>
      </c>
      <c r="S3712" s="10">
        <f>IF(A3712="D",LEFT(UPPER(C3712)&amp;REPT(" ",10),10)," ")</f>
        <v/>
      </c>
      <c r="T3712" s="10">
        <f>IF(A3712="D",LEFT(UPPER(D3712)&amp;REPT(" ",2),2)," ")</f>
        <v/>
      </c>
      <c r="U3712" s="10">
        <f>IF(A3712="D",LEFT(UPPER(E3712)&amp;REPT(" ",15),15)," ")</f>
        <v/>
      </c>
      <c r="V3712" s="10">
        <f>REPT(" ",24)</f>
        <v/>
      </c>
      <c r="W3712" s="10">
        <f>IF(A3712="c",LEFT(UPPER(B3712)&amp;REPT(" ",20),20),REPT(" ",20))</f>
        <v/>
      </c>
      <c r="X3712" s="10">
        <f>IF(A3712="C",LEFT(UPPER(C3712)&amp;REPT(" ",10),10)," ")</f>
        <v/>
      </c>
      <c r="Y3712" s="10">
        <f>IF(A3712="C",LEFT(UPPER(D3712)&amp;REPT(" ",2),2)," ")</f>
        <v/>
      </c>
      <c r="Z3712" s="10">
        <f>IF(A3712="C",LEFT(UPPER(E3712)&amp;REPT(" ",15),15)," ")</f>
        <v/>
      </c>
      <c r="AA3712" s="10">
        <f>REPT(" ",8)</f>
        <v/>
      </c>
      <c r="AB3712" s="10">
        <f>REPT(" ",4)</f>
        <v/>
      </c>
      <c r="AC3712" s="10">
        <f>LEFT(UPPER(H3712)&amp;REPT(" ",250),250)</f>
        <v/>
      </c>
      <c r="AD3712" s="10">
        <f>TEXT($G$2,"dd/mm/aaaa")</f>
        <v/>
      </c>
      <c r="AE3712" s="10">
        <f>REPT(" ",10)</f>
        <v/>
      </c>
      <c r="AF3712" s="10">
        <f>REPT(" ",20)</f>
        <v/>
      </c>
      <c r="AG3712" s="54">
        <f>REPT(" ",18-LEN(FIXED(F3712,2,TRUE)))&amp;FIXED(F3712,2,TRUE)</f>
        <v/>
      </c>
      <c r="AH3712" s="10">
        <f>LEN(AC3712)+LEN(AG3712)</f>
        <v/>
      </c>
      <c r="AI3712" s="10">
        <f>LEN(L3712)</f>
        <v/>
      </c>
    </row>
    <row r="3713">
      <c r="J3713" s="12">
        <f>IF(F3713&lt;&gt;0,"LANÇAR","")</f>
        <v/>
      </c>
      <c r="L3713" s="13">
        <f>N3713&amp;O3713&amp;P3713&amp;Q3713&amp;R3713&amp;S3713&amp;T3713&amp;U3713&amp;V3713&amp;W3713&amp;X3713&amp;Y3713&amp;Z3713&amp;AA3713&amp;AB3713&amp;AC3713&amp;AD3713&amp;AE3713&amp;AF3713&amp;AG3713</f>
        <v/>
      </c>
      <c r="N3713" s="10">
        <f>TEXT($B$6,"00")</f>
        <v/>
      </c>
      <c r="O3713" s="10">
        <f>REPT(" ",8)</f>
        <v/>
      </c>
      <c r="P3713" s="10">
        <f>RIGHT($B$4,2)</f>
        <v/>
      </c>
      <c r="Q3713" s="10">
        <f>RIGHT($B$5,3)</f>
        <v/>
      </c>
      <c r="R3713" s="10">
        <f>IF(A3713="D",LEFT(UPPER(B3713)&amp;REPT(" ",20),20),REPT(" ",20))</f>
        <v/>
      </c>
      <c r="S3713" s="10">
        <f>IF(A3713="D",LEFT(UPPER(C3713)&amp;REPT(" ",10),10)," ")</f>
        <v/>
      </c>
      <c r="T3713" s="10">
        <f>IF(A3713="D",LEFT(UPPER(D3713)&amp;REPT(" ",2),2)," ")</f>
        <v/>
      </c>
      <c r="U3713" s="10">
        <f>IF(A3713="D",LEFT(UPPER(E3713)&amp;REPT(" ",15),15)," ")</f>
        <v/>
      </c>
      <c r="V3713" s="10">
        <f>REPT(" ",24)</f>
        <v/>
      </c>
      <c r="W3713" s="10">
        <f>IF(A3713="c",LEFT(UPPER(B3713)&amp;REPT(" ",20),20),REPT(" ",20))</f>
        <v/>
      </c>
      <c r="X3713" s="10">
        <f>IF(A3713="C",LEFT(UPPER(C3713)&amp;REPT(" ",10),10)," ")</f>
        <v/>
      </c>
      <c r="Y3713" s="10">
        <f>IF(A3713="C",LEFT(UPPER(D3713)&amp;REPT(" ",2),2)," ")</f>
        <v/>
      </c>
      <c r="Z3713" s="10">
        <f>IF(A3713="C",LEFT(UPPER(E3713)&amp;REPT(" ",15),15)," ")</f>
        <v/>
      </c>
      <c r="AA3713" s="10">
        <f>REPT(" ",8)</f>
        <v/>
      </c>
      <c r="AB3713" s="10">
        <f>REPT(" ",4)</f>
        <v/>
      </c>
      <c r="AC3713" s="10">
        <f>LEFT(UPPER(H3713)&amp;REPT(" ",250),250)</f>
        <v/>
      </c>
      <c r="AD3713" s="10">
        <f>TEXT($G$2,"dd/mm/aaaa")</f>
        <v/>
      </c>
      <c r="AE3713" s="10">
        <f>REPT(" ",10)</f>
        <v/>
      </c>
      <c r="AF3713" s="10">
        <f>REPT(" ",20)</f>
        <v/>
      </c>
      <c r="AG3713" s="54">
        <f>REPT(" ",18-LEN(FIXED(F3713,2,TRUE)))&amp;FIXED(F3713,2,TRUE)</f>
        <v/>
      </c>
      <c r="AH3713" s="10">
        <f>LEN(AC3713)+LEN(AG3713)</f>
        <v/>
      </c>
      <c r="AI3713" s="10">
        <f>LEN(L3713)</f>
        <v/>
      </c>
    </row>
    <row r="3714">
      <c r="J3714" s="12">
        <f>IF(F3714&lt;&gt;0,"LANÇAR","")</f>
        <v/>
      </c>
      <c r="L3714" s="13">
        <f>N3714&amp;O3714&amp;P3714&amp;Q3714&amp;R3714&amp;S3714&amp;T3714&amp;U3714&amp;V3714&amp;W3714&amp;X3714&amp;Y3714&amp;Z3714&amp;AA3714&amp;AB3714&amp;AC3714&amp;AD3714&amp;AE3714&amp;AF3714&amp;AG3714</f>
        <v/>
      </c>
      <c r="N3714" s="10">
        <f>TEXT($B$6,"00")</f>
        <v/>
      </c>
      <c r="O3714" s="10">
        <f>REPT(" ",8)</f>
        <v/>
      </c>
      <c r="P3714" s="10">
        <f>RIGHT($B$4,2)</f>
        <v/>
      </c>
      <c r="Q3714" s="10">
        <f>RIGHT($B$5,3)</f>
        <v/>
      </c>
      <c r="R3714" s="10">
        <f>IF(A3714="D",LEFT(UPPER(B3714)&amp;REPT(" ",20),20),REPT(" ",20))</f>
        <v/>
      </c>
      <c r="S3714" s="10">
        <f>IF(A3714="D",LEFT(UPPER(C3714)&amp;REPT(" ",10),10)," ")</f>
        <v/>
      </c>
      <c r="T3714" s="10">
        <f>IF(A3714="D",LEFT(UPPER(D3714)&amp;REPT(" ",2),2)," ")</f>
        <v/>
      </c>
      <c r="U3714" s="10">
        <f>IF(A3714="D",LEFT(UPPER(E3714)&amp;REPT(" ",15),15)," ")</f>
        <v/>
      </c>
      <c r="V3714" s="10">
        <f>REPT(" ",24)</f>
        <v/>
      </c>
      <c r="W3714" s="10">
        <f>IF(A3714="c",LEFT(UPPER(B3714)&amp;REPT(" ",20),20),REPT(" ",20))</f>
        <v/>
      </c>
      <c r="X3714" s="10">
        <f>IF(A3714="C",LEFT(UPPER(C3714)&amp;REPT(" ",10),10)," ")</f>
        <v/>
      </c>
      <c r="Y3714" s="10">
        <f>IF(A3714="C",LEFT(UPPER(D3714)&amp;REPT(" ",2),2)," ")</f>
        <v/>
      </c>
      <c r="Z3714" s="10">
        <f>IF(A3714="C",LEFT(UPPER(E3714)&amp;REPT(" ",15),15)," ")</f>
        <v/>
      </c>
      <c r="AA3714" s="10">
        <f>REPT(" ",8)</f>
        <v/>
      </c>
      <c r="AB3714" s="10">
        <f>REPT(" ",4)</f>
        <v/>
      </c>
      <c r="AC3714" s="10">
        <f>LEFT(UPPER(H3714)&amp;REPT(" ",250),250)</f>
        <v/>
      </c>
      <c r="AD3714" s="10">
        <f>TEXT($G$2,"dd/mm/aaaa")</f>
        <v/>
      </c>
      <c r="AE3714" s="10">
        <f>REPT(" ",10)</f>
        <v/>
      </c>
      <c r="AF3714" s="10">
        <f>REPT(" ",20)</f>
        <v/>
      </c>
      <c r="AG3714" s="54">
        <f>REPT(" ",18-LEN(FIXED(F3714,2,TRUE)))&amp;FIXED(F3714,2,TRUE)</f>
        <v/>
      </c>
      <c r="AH3714" s="10">
        <f>LEN(AC3714)+LEN(AG3714)</f>
        <v/>
      </c>
      <c r="AI3714" s="10">
        <f>LEN(L3714)</f>
        <v/>
      </c>
    </row>
    <row r="3715">
      <c r="J3715" s="12">
        <f>IF(F3715&lt;&gt;0,"LANÇAR","")</f>
        <v/>
      </c>
      <c r="L3715" s="13">
        <f>N3715&amp;O3715&amp;P3715&amp;Q3715&amp;R3715&amp;S3715&amp;T3715&amp;U3715&amp;V3715&amp;W3715&amp;X3715&amp;Y3715&amp;Z3715&amp;AA3715&amp;AB3715&amp;AC3715&amp;AD3715&amp;AE3715&amp;AF3715&amp;AG3715</f>
        <v/>
      </c>
      <c r="N3715" s="10">
        <f>TEXT($B$6,"00")</f>
        <v/>
      </c>
      <c r="O3715" s="10">
        <f>REPT(" ",8)</f>
        <v/>
      </c>
      <c r="P3715" s="10">
        <f>RIGHT($B$4,2)</f>
        <v/>
      </c>
      <c r="Q3715" s="10">
        <f>RIGHT($B$5,3)</f>
        <v/>
      </c>
      <c r="R3715" s="10">
        <f>IF(A3715="D",LEFT(UPPER(B3715)&amp;REPT(" ",20),20),REPT(" ",20))</f>
        <v/>
      </c>
      <c r="S3715" s="10">
        <f>IF(A3715="D",LEFT(UPPER(C3715)&amp;REPT(" ",10),10)," ")</f>
        <v/>
      </c>
      <c r="T3715" s="10">
        <f>IF(A3715="D",LEFT(UPPER(D3715)&amp;REPT(" ",2),2)," ")</f>
        <v/>
      </c>
      <c r="U3715" s="10">
        <f>IF(A3715="D",LEFT(UPPER(E3715)&amp;REPT(" ",15),15)," ")</f>
        <v/>
      </c>
      <c r="V3715" s="10">
        <f>REPT(" ",24)</f>
        <v/>
      </c>
      <c r="W3715" s="10">
        <f>IF(A3715="c",LEFT(UPPER(B3715)&amp;REPT(" ",20),20),REPT(" ",20))</f>
        <v/>
      </c>
      <c r="X3715" s="10">
        <f>IF(A3715="C",LEFT(UPPER(C3715)&amp;REPT(" ",10),10)," ")</f>
        <v/>
      </c>
      <c r="Y3715" s="10">
        <f>IF(A3715="C",LEFT(UPPER(D3715)&amp;REPT(" ",2),2)," ")</f>
        <v/>
      </c>
      <c r="Z3715" s="10">
        <f>IF(A3715="C",LEFT(UPPER(E3715)&amp;REPT(" ",15),15)," ")</f>
        <v/>
      </c>
      <c r="AA3715" s="10">
        <f>REPT(" ",8)</f>
        <v/>
      </c>
      <c r="AB3715" s="10">
        <f>REPT(" ",4)</f>
        <v/>
      </c>
      <c r="AC3715" s="10">
        <f>LEFT(UPPER(H3715)&amp;REPT(" ",250),250)</f>
        <v/>
      </c>
      <c r="AD3715" s="10">
        <f>TEXT($G$2,"dd/mm/aaaa")</f>
        <v/>
      </c>
      <c r="AE3715" s="10">
        <f>REPT(" ",10)</f>
        <v/>
      </c>
      <c r="AF3715" s="10">
        <f>REPT(" ",20)</f>
        <v/>
      </c>
      <c r="AG3715" s="54">
        <f>REPT(" ",18-LEN(FIXED(F3715,2,TRUE)))&amp;FIXED(F3715,2,TRUE)</f>
        <v/>
      </c>
      <c r="AH3715" s="10">
        <f>LEN(AC3715)+LEN(AG3715)</f>
        <v/>
      </c>
      <c r="AI3715" s="10">
        <f>LEN(L3715)</f>
        <v/>
      </c>
    </row>
    <row r="3716">
      <c r="J3716" s="12">
        <f>IF(F3716&lt;&gt;0,"LANÇAR","")</f>
        <v/>
      </c>
      <c r="L3716" s="13">
        <f>N3716&amp;O3716&amp;P3716&amp;Q3716&amp;R3716&amp;S3716&amp;T3716&amp;U3716&amp;V3716&amp;W3716&amp;X3716&amp;Y3716&amp;Z3716&amp;AA3716&amp;AB3716&amp;AC3716&amp;AD3716&amp;AE3716&amp;AF3716&amp;AG3716</f>
        <v/>
      </c>
      <c r="N3716" s="10">
        <f>TEXT($B$6,"00")</f>
        <v/>
      </c>
      <c r="O3716" s="10">
        <f>REPT(" ",8)</f>
        <v/>
      </c>
      <c r="P3716" s="10">
        <f>RIGHT($B$4,2)</f>
        <v/>
      </c>
      <c r="Q3716" s="10">
        <f>RIGHT($B$5,3)</f>
        <v/>
      </c>
      <c r="R3716" s="10">
        <f>IF(A3716="D",LEFT(UPPER(B3716)&amp;REPT(" ",20),20),REPT(" ",20))</f>
        <v/>
      </c>
      <c r="S3716" s="10">
        <f>IF(A3716="D",LEFT(UPPER(C3716)&amp;REPT(" ",10),10)," ")</f>
        <v/>
      </c>
      <c r="T3716" s="10">
        <f>IF(A3716="D",LEFT(UPPER(D3716)&amp;REPT(" ",2),2)," ")</f>
        <v/>
      </c>
      <c r="U3716" s="10">
        <f>IF(A3716="D",LEFT(UPPER(E3716)&amp;REPT(" ",15),15)," ")</f>
        <v/>
      </c>
      <c r="V3716" s="10">
        <f>REPT(" ",24)</f>
        <v/>
      </c>
      <c r="W3716" s="10">
        <f>IF(A3716="c",LEFT(UPPER(B3716)&amp;REPT(" ",20),20),REPT(" ",20))</f>
        <v/>
      </c>
      <c r="X3716" s="10">
        <f>IF(A3716="C",LEFT(UPPER(C3716)&amp;REPT(" ",10),10)," ")</f>
        <v/>
      </c>
      <c r="Y3716" s="10">
        <f>IF(A3716="C",LEFT(UPPER(D3716)&amp;REPT(" ",2),2)," ")</f>
        <v/>
      </c>
      <c r="Z3716" s="10">
        <f>IF(A3716="C",LEFT(UPPER(E3716)&amp;REPT(" ",15),15)," ")</f>
        <v/>
      </c>
      <c r="AA3716" s="10">
        <f>REPT(" ",8)</f>
        <v/>
      </c>
      <c r="AB3716" s="10">
        <f>REPT(" ",4)</f>
        <v/>
      </c>
      <c r="AC3716" s="10">
        <f>LEFT(UPPER(H3716)&amp;REPT(" ",250),250)</f>
        <v/>
      </c>
      <c r="AD3716" s="10">
        <f>TEXT($G$2,"dd/mm/aaaa")</f>
        <v/>
      </c>
      <c r="AE3716" s="10">
        <f>REPT(" ",10)</f>
        <v/>
      </c>
      <c r="AF3716" s="10">
        <f>REPT(" ",20)</f>
        <v/>
      </c>
      <c r="AG3716" s="54">
        <f>REPT(" ",18-LEN(FIXED(F3716,2,TRUE)))&amp;FIXED(F3716,2,TRUE)</f>
        <v/>
      </c>
      <c r="AH3716" s="10">
        <f>LEN(AC3716)+LEN(AG3716)</f>
        <v/>
      </c>
      <c r="AI3716" s="10">
        <f>LEN(L3716)</f>
        <v/>
      </c>
    </row>
    <row r="3717">
      <c r="J3717" s="12">
        <f>IF(F3717&lt;&gt;0,"LANÇAR","")</f>
        <v/>
      </c>
      <c r="L3717" s="13">
        <f>N3717&amp;O3717&amp;P3717&amp;Q3717&amp;R3717&amp;S3717&amp;T3717&amp;U3717&amp;V3717&amp;W3717&amp;X3717&amp;Y3717&amp;Z3717&amp;AA3717&amp;AB3717&amp;AC3717&amp;AD3717&amp;AE3717&amp;AF3717&amp;AG3717</f>
        <v/>
      </c>
      <c r="N3717" s="10">
        <f>TEXT($B$6,"00")</f>
        <v/>
      </c>
      <c r="O3717" s="10">
        <f>REPT(" ",8)</f>
        <v/>
      </c>
      <c r="P3717" s="10">
        <f>RIGHT($B$4,2)</f>
        <v/>
      </c>
      <c r="Q3717" s="10">
        <f>RIGHT($B$5,3)</f>
        <v/>
      </c>
      <c r="R3717" s="10">
        <f>IF(A3717="D",LEFT(UPPER(B3717)&amp;REPT(" ",20),20),REPT(" ",20))</f>
        <v/>
      </c>
      <c r="S3717" s="10">
        <f>IF(A3717="D",LEFT(UPPER(C3717)&amp;REPT(" ",10),10)," ")</f>
        <v/>
      </c>
      <c r="T3717" s="10">
        <f>IF(A3717="D",LEFT(UPPER(D3717)&amp;REPT(" ",2),2)," ")</f>
        <v/>
      </c>
      <c r="U3717" s="10">
        <f>IF(A3717="D",LEFT(UPPER(E3717)&amp;REPT(" ",15),15)," ")</f>
        <v/>
      </c>
      <c r="V3717" s="10">
        <f>REPT(" ",24)</f>
        <v/>
      </c>
      <c r="W3717" s="10">
        <f>IF(A3717="c",LEFT(UPPER(B3717)&amp;REPT(" ",20),20),REPT(" ",20))</f>
        <v/>
      </c>
      <c r="X3717" s="10">
        <f>IF(A3717="C",LEFT(UPPER(C3717)&amp;REPT(" ",10),10)," ")</f>
        <v/>
      </c>
      <c r="Y3717" s="10">
        <f>IF(A3717="C",LEFT(UPPER(D3717)&amp;REPT(" ",2),2)," ")</f>
        <v/>
      </c>
      <c r="Z3717" s="10">
        <f>IF(A3717="C",LEFT(UPPER(E3717)&amp;REPT(" ",15),15)," ")</f>
        <v/>
      </c>
      <c r="AA3717" s="10">
        <f>REPT(" ",8)</f>
        <v/>
      </c>
      <c r="AB3717" s="10">
        <f>REPT(" ",4)</f>
        <v/>
      </c>
      <c r="AC3717" s="10">
        <f>LEFT(UPPER(H3717)&amp;REPT(" ",250),250)</f>
        <v/>
      </c>
      <c r="AD3717" s="10">
        <f>TEXT($G$2,"dd/mm/aaaa")</f>
        <v/>
      </c>
      <c r="AE3717" s="10">
        <f>REPT(" ",10)</f>
        <v/>
      </c>
      <c r="AF3717" s="10">
        <f>REPT(" ",20)</f>
        <v/>
      </c>
      <c r="AG3717" s="54">
        <f>REPT(" ",18-LEN(FIXED(F3717,2,TRUE)))&amp;FIXED(F3717,2,TRUE)</f>
        <v/>
      </c>
      <c r="AH3717" s="10">
        <f>LEN(AC3717)+LEN(AG3717)</f>
        <v/>
      </c>
      <c r="AI3717" s="10">
        <f>LEN(L3717)</f>
        <v/>
      </c>
    </row>
    <row r="3718">
      <c r="J3718" s="12">
        <f>IF(F3718&lt;&gt;0,"LANÇAR","")</f>
        <v/>
      </c>
      <c r="L3718" s="13">
        <f>N3718&amp;O3718&amp;P3718&amp;Q3718&amp;R3718&amp;S3718&amp;T3718&amp;U3718&amp;V3718&amp;W3718&amp;X3718&amp;Y3718&amp;Z3718&amp;AA3718&amp;AB3718&amp;AC3718&amp;AD3718&amp;AE3718&amp;AF3718&amp;AG3718</f>
        <v/>
      </c>
      <c r="N3718" s="10">
        <f>TEXT($B$6,"00")</f>
        <v/>
      </c>
      <c r="O3718" s="10">
        <f>REPT(" ",8)</f>
        <v/>
      </c>
      <c r="P3718" s="10">
        <f>RIGHT($B$4,2)</f>
        <v/>
      </c>
      <c r="Q3718" s="10">
        <f>RIGHT($B$5,3)</f>
        <v/>
      </c>
      <c r="R3718" s="10">
        <f>IF(A3718="D",LEFT(UPPER(B3718)&amp;REPT(" ",20),20),REPT(" ",20))</f>
        <v/>
      </c>
      <c r="S3718" s="10">
        <f>IF(A3718="D",LEFT(UPPER(C3718)&amp;REPT(" ",10),10)," ")</f>
        <v/>
      </c>
      <c r="T3718" s="10">
        <f>IF(A3718="D",LEFT(UPPER(D3718)&amp;REPT(" ",2),2)," ")</f>
        <v/>
      </c>
      <c r="U3718" s="10">
        <f>IF(A3718="D",LEFT(UPPER(E3718)&amp;REPT(" ",15),15)," ")</f>
        <v/>
      </c>
      <c r="V3718" s="10">
        <f>REPT(" ",24)</f>
        <v/>
      </c>
      <c r="W3718" s="10">
        <f>IF(A3718="c",LEFT(UPPER(B3718)&amp;REPT(" ",20),20),REPT(" ",20))</f>
        <v/>
      </c>
      <c r="X3718" s="10">
        <f>IF(A3718="C",LEFT(UPPER(C3718)&amp;REPT(" ",10),10)," ")</f>
        <v/>
      </c>
      <c r="Y3718" s="10">
        <f>IF(A3718="C",LEFT(UPPER(D3718)&amp;REPT(" ",2),2)," ")</f>
        <v/>
      </c>
      <c r="Z3718" s="10">
        <f>IF(A3718="C",LEFT(UPPER(E3718)&amp;REPT(" ",15),15)," ")</f>
        <v/>
      </c>
      <c r="AA3718" s="10">
        <f>REPT(" ",8)</f>
        <v/>
      </c>
      <c r="AB3718" s="10">
        <f>REPT(" ",4)</f>
        <v/>
      </c>
      <c r="AC3718" s="10">
        <f>LEFT(UPPER(H3718)&amp;REPT(" ",250),250)</f>
        <v/>
      </c>
      <c r="AD3718" s="10">
        <f>TEXT($G$2,"dd/mm/aaaa")</f>
        <v/>
      </c>
      <c r="AE3718" s="10">
        <f>REPT(" ",10)</f>
        <v/>
      </c>
      <c r="AF3718" s="10">
        <f>REPT(" ",20)</f>
        <v/>
      </c>
      <c r="AG3718" s="54">
        <f>REPT(" ",18-LEN(FIXED(F3718,2,TRUE)))&amp;FIXED(F3718,2,TRUE)</f>
        <v/>
      </c>
      <c r="AH3718" s="10">
        <f>LEN(AC3718)+LEN(AG3718)</f>
        <v/>
      </c>
      <c r="AI3718" s="10">
        <f>LEN(L3718)</f>
        <v/>
      </c>
    </row>
    <row r="3719">
      <c r="J3719" s="12">
        <f>IF(F3719&lt;&gt;0,"LANÇAR","")</f>
        <v/>
      </c>
      <c r="L3719" s="13">
        <f>N3719&amp;O3719&amp;P3719&amp;Q3719&amp;R3719&amp;S3719&amp;T3719&amp;U3719&amp;V3719&amp;W3719&amp;X3719&amp;Y3719&amp;Z3719&amp;AA3719&amp;AB3719&amp;AC3719&amp;AD3719&amp;AE3719&amp;AF3719&amp;AG3719</f>
        <v/>
      </c>
      <c r="N3719" s="10">
        <f>TEXT($B$6,"00")</f>
        <v/>
      </c>
      <c r="O3719" s="10">
        <f>REPT(" ",8)</f>
        <v/>
      </c>
      <c r="P3719" s="10">
        <f>RIGHT($B$4,2)</f>
        <v/>
      </c>
      <c r="Q3719" s="10">
        <f>RIGHT($B$5,3)</f>
        <v/>
      </c>
      <c r="R3719" s="10">
        <f>IF(A3719="D",LEFT(UPPER(B3719)&amp;REPT(" ",20),20),REPT(" ",20))</f>
        <v/>
      </c>
      <c r="S3719" s="10">
        <f>IF(A3719="D",LEFT(UPPER(C3719)&amp;REPT(" ",10),10)," ")</f>
        <v/>
      </c>
      <c r="T3719" s="10">
        <f>IF(A3719="D",LEFT(UPPER(D3719)&amp;REPT(" ",2),2)," ")</f>
        <v/>
      </c>
      <c r="U3719" s="10">
        <f>IF(A3719="D",LEFT(UPPER(E3719)&amp;REPT(" ",15),15)," ")</f>
        <v/>
      </c>
      <c r="V3719" s="10">
        <f>REPT(" ",24)</f>
        <v/>
      </c>
      <c r="W3719" s="10">
        <f>IF(A3719="c",LEFT(UPPER(B3719)&amp;REPT(" ",20),20),REPT(" ",20))</f>
        <v/>
      </c>
      <c r="X3719" s="10">
        <f>IF(A3719="C",LEFT(UPPER(C3719)&amp;REPT(" ",10),10)," ")</f>
        <v/>
      </c>
      <c r="Y3719" s="10">
        <f>IF(A3719="C",LEFT(UPPER(D3719)&amp;REPT(" ",2),2)," ")</f>
        <v/>
      </c>
      <c r="Z3719" s="10">
        <f>IF(A3719="C",LEFT(UPPER(E3719)&amp;REPT(" ",15),15)," ")</f>
        <v/>
      </c>
      <c r="AA3719" s="10">
        <f>REPT(" ",8)</f>
        <v/>
      </c>
      <c r="AB3719" s="10">
        <f>REPT(" ",4)</f>
        <v/>
      </c>
      <c r="AC3719" s="10">
        <f>LEFT(UPPER(H3719)&amp;REPT(" ",250),250)</f>
        <v/>
      </c>
      <c r="AD3719" s="10">
        <f>TEXT($G$2,"dd/mm/aaaa")</f>
        <v/>
      </c>
      <c r="AE3719" s="10">
        <f>REPT(" ",10)</f>
        <v/>
      </c>
      <c r="AF3719" s="10">
        <f>REPT(" ",20)</f>
        <v/>
      </c>
      <c r="AG3719" s="54">
        <f>REPT(" ",18-LEN(FIXED(F3719,2,TRUE)))&amp;FIXED(F3719,2,TRUE)</f>
        <v/>
      </c>
      <c r="AH3719" s="10">
        <f>LEN(AC3719)+LEN(AG3719)</f>
        <v/>
      </c>
      <c r="AI3719" s="10">
        <f>LEN(L3719)</f>
        <v/>
      </c>
    </row>
    <row r="3720">
      <c r="J3720" s="12">
        <f>IF(F3720&lt;&gt;0,"LANÇAR","")</f>
        <v/>
      </c>
      <c r="L3720" s="13">
        <f>N3720&amp;O3720&amp;P3720&amp;Q3720&amp;R3720&amp;S3720&amp;T3720&amp;U3720&amp;V3720&amp;W3720&amp;X3720&amp;Y3720&amp;Z3720&amp;AA3720&amp;AB3720&amp;AC3720&amp;AD3720&amp;AE3720&amp;AF3720&amp;AG3720</f>
        <v/>
      </c>
      <c r="N3720" s="10">
        <f>TEXT($B$6,"00")</f>
        <v/>
      </c>
      <c r="O3720" s="10">
        <f>REPT(" ",8)</f>
        <v/>
      </c>
      <c r="P3720" s="10">
        <f>RIGHT($B$4,2)</f>
        <v/>
      </c>
      <c r="Q3720" s="10">
        <f>RIGHT($B$5,3)</f>
        <v/>
      </c>
      <c r="R3720" s="10">
        <f>IF(A3720="D",LEFT(UPPER(B3720)&amp;REPT(" ",20),20),REPT(" ",20))</f>
        <v/>
      </c>
      <c r="S3720" s="10">
        <f>IF(A3720="D",LEFT(UPPER(C3720)&amp;REPT(" ",10),10)," ")</f>
        <v/>
      </c>
      <c r="T3720" s="10">
        <f>IF(A3720="D",LEFT(UPPER(D3720)&amp;REPT(" ",2),2)," ")</f>
        <v/>
      </c>
      <c r="U3720" s="10">
        <f>IF(A3720="D",LEFT(UPPER(E3720)&amp;REPT(" ",15),15)," ")</f>
        <v/>
      </c>
      <c r="V3720" s="10">
        <f>REPT(" ",24)</f>
        <v/>
      </c>
      <c r="W3720" s="10">
        <f>IF(A3720="c",LEFT(UPPER(B3720)&amp;REPT(" ",20),20),REPT(" ",20))</f>
        <v/>
      </c>
      <c r="X3720" s="10">
        <f>IF(A3720="C",LEFT(UPPER(C3720)&amp;REPT(" ",10),10)," ")</f>
        <v/>
      </c>
      <c r="Y3720" s="10">
        <f>IF(A3720="C",LEFT(UPPER(D3720)&amp;REPT(" ",2),2)," ")</f>
        <v/>
      </c>
      <c r="Z3720" s="10">
        <f>IF(A3720="C",LEFT(UPPER(E3720)&amp;REPT(" ",15),15)," ")</f>
        <v/>
      </c>
      <c r="AA3720" s="10">
        <f>REPT(" ",8)</f>
        <v/>
      </c>
      <c r="AB3720" s="10">
        <f>REPT(" ",4)</f>
        <v/>
      </c>
      <c r="AC3720" s="10">
        <f>LEFT(UPPER(H3720)&amp;REPT(" ",250),250)</f>
        <v/>
      </c>
      <c r="AD3720" s="10">
        <f>TEXT($G$2,"dd/mm/aaaa")</f>
        <v/>
      </c>
      <c r="AE3720" s="10">
        <f>REPT(" ",10)</f>
        <v/>
      </c>
      <c r="AF3720" s="10">
        <f>REPT(" ",20)</f>
        <v/>
      </c>
      <c r="AG3720" s="54">
        <f>REPT(" ",18-LEN(FIXED(F3720,2,TRUE)))&amp;FIXED(F3720,2,TRUE)</f>
        <v/>
      </c>
      <c r="AH3720" s="10">
        <f>LEN(AC3720)+LEN(AG3720)</f>
        <v/>
      </c>
      <c r="AI3720" s="10">
        <f>LEN(L3720)</f>
        <v/>
      </c>
    </row>
    <row r="3721">
      <c r="J3721" s="12">
        <f>IF(F3721&lt;&gt;0,"LANÇAR","")</f>
        <v/>
      </c>
      <c r="L3721" s="13">
        <f>N3721&amp;O3721&amp;P3721&amp;Q3721&amp;R3721&amp;S3721&amp;T3721&amp;U3721&amp;V3721&amp;W3721&amp;X3721&amp;Y3721&amp;Z3721&amp;AA3721&amp;AB3721&amp;AC3721&amp;AD3721&amp;AE3721&amp;AF3721&amp;AG3721</f>
        <v/>
      </c>
      <c r="N3721" s="10">
        <f>TEXT($B$6,"00")</f>
        <v/>
      </c>
      <c r="O3721" s="10">
        <f>REPT(" ",8)</f>
        <v/>
      </c>
      <c r="P3721" s="10">
        <f>RIGHT($B$4,2)</f>
        <v/>
      </c>
      <c r="Q3721" s="10">
        <f>RIGHT($B$5,3)</f>
        <v/>
      </c>
      <c r="R3721" s="10">
        <f>IF(A3721="D",LEFT(UPPER(B3721)&amp;REPT(" ",20),20),REPT(" ",20))</f>
        <v/>
      </c>
      <c r="S3721" s="10">
        <f>IF(A3721="D",LEFT(UPPER(C3721)&amp;REPT(" ",10),10)," ")</f>
        <v/>
      </c>
      <c r="T3721" s="10">
        <f>IF(A3721="D",LEFT(UPPER(D3721)&amp;REPT(" ",2),2)," ")</f>
        <v/>
      </c>
      <c r="U3721" s="10">
        <f>IF(A3721="D",LEFT(UPPER(E3721)&amp;REPT(" ",15),15)," ")</f>
        <v/>
      </c>
      <c r="V3721" s="10">
        <f>REPT(" ",24)</f>
        <v/>
      </c>
      <c r="W3721" s="10">
        <f>IF(A3721="c",LEFT(UPPER(B3721)&amp;REPT(" ",20),20),REPT(" ",20))</f>
        <v/>
      </c>
      <c r="X3721" s="10">
        <f>IF(A3721="C",LEFT(UPPER(C3721)&amp;REPT(" ",10),10)," ")</f>
        <v/>
      </c>
      <c r="Y3721" s="10">
        <f>IF(A3721="C",LEFT(UPPER(D3721)&amp;REPT(" ",2),2)," ")</f>
        <v/>
      </c>
      <c r="Z3721" s="10">
        <f>IF(A3721="C",LEFT(UPPER(E3721)&amp;REPT(" ",15),15)," ")</f>
        <v/>
      </c>
      <c r="AA3721" s="10">
        <f>REPT(" ",8)</f>
        <v/>
      </c>
      <c r="AB3721" s="10">
        <f>REPT(" ",4)</f>
        <v/>
      </c>
      <c r="AC3721" s="10">
        <f>LEFT(UPPER(H3721)&amp;REPT(" ",250),250)</f>
        <v/>
      </c>
      <c r="AD3721" s="10">
        <f>TEXT($G$2,"dd/mm/aaaa")</f>
        <v/>
      </c>
      <c r="AE3721" s="10">
        <f>REPT(" ",10)</f>
        <v/>
      </c>
      <c r="AF3721" s="10">
        <f>REPT(" ",20)</f>
        <v/>
      </c>
      <c r="AG3721" s="54">
        <f>REPT(" ",18-LEN(FIXED(F3721,2,TRUE)))&amp;FIXED(F3721,2,TRUE)</f>
        <v/>
      </c>
      <c r="AH3721" s="10">
        <f>LEN(AC3721)+LEN(AG3721)</f>
        <v/>
      </c>
      <c r="AI3721" s="10">
        <f>LEN(L3721)</f>
        <v/>
      </c>
    </row>
    <row r="3722">
      <c r="J3722" s="12">
        <f>IF(F3722&lt;&gt;0,"LANÇAR","")</f>
        <v/>
      </c>
      <c r="L3722" s="13">
        <f>N3722&amp;O3722&amp;P3722&amp;Q3722&amp;R3722&amp;S3722&amp;T3722&amp;U3722&amp;V3722&amp;W3722&amp;X3722&amp;Y3722&amp;Z3722&amp;AA3722&amp;AB3722&amp;AC3722&amp;AD3722&amp;AE3722&amp;AF3722&amp;AG3722</f>
        <v/>
      </c>
      <c r="N3722" s="10">
        <f>TEXT($B$6,"00")</f>
        <v/>
      </c>
      <c r="O3722" s="10">
        <f>REPT(" ",8)</f>
        <v/>
      </c>
      <c r="P3722" s="10">
        <f>RIGHT($B$4,2)</f>
        <v/>
      </c>
      <c r="Q3722" s="10">
        <f>RIGHT($B$5,3)</f>
        <v/>
      </c>
      <c r="R3722" s="10">
        <f>IF(A3722="D",LEFT(UPPER(B3722)&amp;REPT(" ",20),20),REPT(" ",20))</f>
        <v/>
      </c>
      <c r="S3722" s="10">
        <f>IF(A3722="D",LEFT(UPPER(C3722)&amp;REPT(" ",10),10)," ")</f>
        <v/>
      </c>
      <c r="T3722" s="10">
        <f>IF(A3722="D",LEFT(UPPER(D3722)&amp;REPT(" ",2),2)," ")</f>
        <v/>
      </c>
      <c r="U3722" s="10">
        <f>IF(A3722="D",LEFT(UPPER(E3722)&amp;REPT(" ",15),15)," ")</f>
        <v/>
      </c>
      <c r="V3722" s="10">
        <f>REPT(" ",24)</f>
        <v/>
      </c>
      <c r="W3722" s="10">
        <f>IF(A3722="c",LEFT(UPPER(B3722)&amp;REPT(" ",20),20),REPT(" ",20))</f>
        <v/>
      </c>
      <c r="X3722" s="10">
        <f>IF(A3722="C",LEFT(UPPER(C3722)&amp;REPT(" ",10),10)," ")</f>
        <v/>
      </c>
      <c r="Y3722" s="10">
        <f>IF(A3722="C",LEFT(UPPER(D3722)&amp;REPT(" ",2),2)," ")</f>
        <v/>
      </c>
      <c r="Z3722" s="10">
        <f>IF(A3722="C",LEFT(UPPER(E3722)&amp;REPT(" ",15),15)," ")</f>
        <v/>
      </c>
      <c r="AA3722" s="10">
        <f>REPT(" ",8)</f>
        <v/>
      </c>
      <c r="AB3722" s="10">
        <f>REPT(" ",4)</f>
        <v/>
      </c>
      <c r="AC3722" s="10">
        <f>LEFT(UPPER(H3722)&amp;REPT(" ",250),250)</f>
        <v/>
      </c>
      <c r="AD3722" s="10">
        <f>TEXT($G$2,"dd/mm/aaaa")</f>
        <v/>
      </c>
      <c r="AE3722" s="10">
        <f>REPT(" ",10)</f>
        <v/>
      </c>
      <c r="AF3722" s="10">
        <f>REPT(" ",20)</f>
        <v/>
      </c>
      <c r="AG3722" s="54">
        <f>REPT(" ",18-LEN(FIXED(F3722,2,TRUE)))&amp;FIXED(F3722,2,TRUE)</f>
        <v/>
      </c>
      <c r="AH3722" s="10">
        <f>LEN(AC3722)+LEN(AG3722)</f>
        <v/>
      </c>
      <c r="AI3722" s="10">
        <f>LEN(L3722)</f>
        <v/>
      </c>
    </row>
    <row r="3723">
      <c r="J3723" s="12">
        <f>IF(F3723&lt;&gt;0,"LANÇAR","")</f>
        <v/>
      </c>
      <c r="L3723" s="13">
        <f>N3723&amp;O3723&amp;P3723&amp;Q3723&amp;R3723&amp;S3723&amp;T3723&amp;U3723&amp;V3723&amp;W3723&amp;X3723&amp;Y3723&amp;Z3723&amp;AA3723&amp;AB3723&amp;AC3723&amp;AD3723&amp;AE3723&amp;AF3723&amp;AG3723</f>
        <v/>
      </c>
      <c r="N3723" s="10">
        <f>TEXT($B$6,"00")</f>
        <v/>
      </c>
      <c r="O3723" s="10">
        <f>REPT(" ",8)</f>
        <v/>
      </c>
      <c r="P3723" s="10">
        <f>RIGHT($B$4,2)</f>
        <v/>
      </c>
      <c r="Q3723" s="10">
        <f>RIGHT($B$5,3)</f>
        <v/>
      </c>
      <c r="R3723" s="10">
        <f>IF(A3723="D",LEFT(UPPER(B3723)&amp;REPT(" ",20),20),REPT(" ",20))</f>
        <v/>
      </c>
      <c r="S3723" s="10">
        <f>IF(A3723="D",LEFT(UPPER(C3723)&amp;REPT(" ",10),10)," ")</f>
        <v/>
      </c>
      <c r="T3723" s="10">
        <f>IF(A3723="D",LEFT(UPPER(D3723)&amp;REPT(" ",2),2)," ")</f>
        <v/>
      </c>
      <c r="U3723" s="10">
        <f>IF(A3723="D",LEFT(UPPER(E3723)&amp;REPT(" ",15),15)," ")</f>
        <v/>
      </c>
      <c r="V3723" s="10">
        <f>REPT(" ",24)</f>
        <v/>
      </c>
      <c r="W3723" s="10">
        <f>IF(A3723="c",LEFT(UPPER(B3723)&amp;REPT(" ",20),20),REPT(" ",20))</f>
        <v/>
      </c>
      <c r="X3723" s="10">
        <f>IF(A3723="C",LEFT(UPPER(C3723)&amp;REPT(" ",10),10)," ")</f>
        <v/>
      </c>
      <c r="Y3723" s="10">
        <f>IF(A3723="C",LEFT(UPPER(D3723)&amp;REPT(" ",2),2)," ")</f>
        <v/>
      </c>
      <c r="Z3723" s="10">
        <f>IF(A3723="C",LEFT(UPPER(E3723)&amp;REPT(" ",15),15)," ")</f>
        <v/>
      </c>
      <c r="AA3723" s="10">
        <f>REPT(" ",8)</f>
        <v/>
      </c>
      <c r="AB3723" s="10">
        <f>REPT(" ",4)</f>
        <v/>
      </c>
      <c r="AC3723" s="10">
        <f>LEFT(UPPER(H3723)&amp;REPT(" ",250),250)</f>
        <v/>
      </c>
      <c r="AD3723" s="10">
        <f>TEXT($G$2,"dd/mm/aaaa")</f>
        <v/>
      </c>
      <c r="AE3723" s="10">
        <f>REPT(" ",10)</f>
        <v/>
      </c>
      <c r="AF3723" s="10">
        <f>REPT(" ",20)</f>
        <v/>
      </c>
      <c r="AG3723" s="54">
        <f>REPT(" ",18-LEN(FIXED(F3723,2,TRUE)))&amp;FIXED(F3723,2,TRUE)</f>
        <v/>
      </c>
      <c r="AH3723" s="10">
        <f>LEN(AC3723)+LEN(AG3723)</f>
        <v/>
      </c>
      <c r="AI3723" s="10">
        <f>LEN(L3723)</f>
        <v/>
      </c>
    </row>
    <row r="3724">
      <c r="J3724" s="12">
        <f>IF(F3724&lt;&gt;0,"LANÇAR","")</f>
        <v/>
      </c>
      <c r="L3724" s="13">
        <f>N3724&amp;O3724&amp;P3724&amp;Q3724&amp;R3724&amp;S3724&amp;T3724&amp;U3724&amp;V3724&amp;W3724&amp;X3724&amp;Y3724&amp;Z3724&amp;AA3724&amp;AB3724&amp;AC3724&amp;AD3724&amp;AE3724&amp;AF3724&amp;AG3724</f>
        <v/>
      </c>
      <c r="N3724" s="10">
        <f>TEXT($B$6,"00")</f>
        <v/>
      </c>
      <c r="O3724" s="10">
        <f>REPT(" ",8)</f>
        <v/>
      </c>
      <c r="P3724" s="10">
        <f>RIGHT($B$4,2)</f>
        <v/>
      </c>
      <c r="Q3724" s="10">
        <f>RIGHT($B$5,3)</f>
        <v/>
      </c>
      <c r="R3724" s="10">
        <f>IF(A3724="D",LEFT(UPPER(B3724)&amp;REPT(" ",20),20),REPT(" ",20))</f>
        <v/>
      </c>
      <c r="S3724" s="10">
        <f>IF(A3724="D",LEFT(UPPER(C3724)&amp;REPT(" ",10),10)," ")</f>
        <v/>
      </c>
      <c r="T3724" s="10">
        <f>IF(A3724="D",LEFT(UPPER(D3724)&amp;REPT(" ",2),2)," ")</f>
        <v/>
      </c>
      <c r="U3724" s="10">
        <f>IF(A3724="D",LEFT(UPPER(E3724)&amp;REPT(" ",15),15)," ")</f>
        <v/>
      </c>
      <c r="V3724" s="10">
        <f>REPT(" ",24)</f>
        <v/>
      </c>
      <c r="W3724" s="10">
        <f>IF(A3724="c",LEFT(UPPER(B3724)&amp;REPT(" ",20),20),REPT(" ",20))</f>
        <v/>
      </c>
      <c r="X3724" s="10">
        <f>IF(A3724="C",LEFT(UPPER(C3724)&amp;REPT(" ",10),10)," ")</f>
        <v/>
      </c>
      <c r="Y3724" s="10">
        <f>IF(A3724="C",LEFT(UPPER(D3724)&amp;REPT(" ",2),2)," ")</f>
        <v/>
      </c>
      <c r="Z3724" s="10">
        <f>IF(A3724="C",LEFT(UPPER(E3724)&amp;REPT(" ",15),15)," ")</f>
        <v/>
      </c>
      <c r="AA3724" s="10">
        <f>REPT(" ",8)</f>
        <v/>
      </c>
      <c r="AB3724" s="10">
        <f>REPT(" ",4)</f>
        <v/>
      </c>
      <c r="AC3724" s="10">
        <f>LEFT(UPPER(H3724)&amp;REPT(" ",250),250)</f>
        <v/>
      </c>
      <c r="AD3724" s="10">
        <f>TEXT($G$2,"dd/mm/aaaa")</f>
        <v/>
      </c>
      <c r="AE3724" s="10">
        <f>REPT(" ",10)</f>
        <v/>
      </c>
      <c r="AF3724" s="10">
        <f>REPT(" ",20)</f>
        <v/>
      </c>
      <c r="AG3724" s="54">
        <f>REPT(" ",18-LEN(FIXED(F3724,2,TRUE)))&amp;FIXED(F3724,2,TRUE)</f>
        <v/>
      </c>
      <c r="AH3724" s="10">
        <f>LEN(AC3724)+LEN(AG3724)</f>
        <v/>
      </c>
      <c r="AI3724" s="10">
        <f>LEN(L3724)</f>
        <v/>
      </c>
    </row>
    <row r="3725">
      <c r="J3725" s="12">
        <f>IF(F3725&lt;&gt;0,"LANÇAR","")</f>
        <v/>
      </c>
      <c r="L3725" s="13">
        <f>N3725&amp;O3725&amp;P3725&amp;Q3725&amp;R3725&amp;S3725&amp;T3725&amp;U3725&amp;V3725&amp;W3725&amp;X3725&amp;Y3725&amp;Z3725&amp;AA3725&amp;AB3725&amp;AC3725&amp;AD3725&amp;AE3725&amp;AF3725&amp;AG3725</f>
        <v/>
      </c>
      <c r="N3725" s="10">
        <f>TEXT($B$6,"00")</f>
        <v/>
      </c>
      <c r="O3725" s="10">
        <f>REPT(" ",8)</f>
        <v/>
      </c>
      <c r="P3725" s="10">
        <f>RIGHT($B$4,2)</f>
        <v/>
      </c>
      <c r="Q3725" s="10">
        <f>RIGHT($B$5,3)</f>
        <v/>
      </c>
      <c r="R3725" s="10">
        <f>IF(A3725="D",LEFT(UPPER(B3725)&amp;REPT(" ",20),20),REPT(" ",20))</f>
        <v/>
      </c>
      <c r="S3725" s="10">
        <f>IF(A3725="D",LEFT(UPPER(C3725)&amp;REPT(" ",10),10)," ")</f>
        <v/>
      </c>
      <c r="T3725" s="10">
        <f>IF(A3725="D",LEFT(UPPER(D3725)&amp;REPT(" ",2),2)," ")</f>
        <v/>
      </c>
      <c r="U3725" s="10">
        <f>IF(A3725="D",LEFT(UPPER(E3725)&amp;REPT(" ",15),15)," ")</f>
        <v/>
      </c>
      <c r="V3725" s="10">
        <f>REPT(" ",24)</f>
        <v/>
      </c>
      <c r="W3725" s="10">
        <f>IF(A3725="c",LEFT(UPPER(B3725)&amp;REPT(" ",20),20),REPT(" ",20))</f>
        <v/>
      </c>
      <c r="X3725" s="10">
        <f>IF(A3725="C",LEFT(UPPER(C3725)&amp;REPT(" ",10),10)," ")</f>
        <v/>
      </c>
      <c r="Y3725" s="10">
        <f>IF(A3725="C",LEFT(UPPER(D3725)&amp;REPT(" ",2),2)," ")</f>
        <v/>
      </c>
      <c r="Z3725" s="10">
        <f>IF(A3725="C",LEFT(UPPER(E3725)&amp;REPT(" ",15),15)," ")</f>
        <v/>
      </c>
      <c r="AA3725" s="10">
        <f>REPT(" ",8)</f>
        <v/>
      </c>
      <c r="AB3725" s="10">
        <f>REPT(" ",4)</f>
        <v/>
      </c>
      <c r="AC3725" s="10">
        <f>LEFT(UPPER(H3725)&amp;REPT(" ",250),250)</f>
        <v/>
      </c>
      <c r="AD3725" s="10">
        <f>TEXT($G$2,"dd/mm/aaaa")</f>
        <v/>
      </c>
      <c r="AE3725" s="10">
        <f>REPT(" ",10)</f>
        <v/>
      </c>
      <c r="AF3725" s="10">
        <f>REPT(" ",20)</f>
        <v/>
      </c>
      <c r="AG3725" s="54">
        <f>REPT(" ",18-LEN(FIXED(F3725,2,TRUE)))&amp;FIXED(F3725,2,TRUE)</f>
        <v/>
      </c>
      <c r="AH3725" s="10">
        <f>LEN(AC3725)+LEN(AG3725)</f>
        <v/>
      </c>
      <c r="AI3725" s="10">
        <f>LEN(L3725)</f>
        <v/>
      </c>
    </row>
    <row r="3726">
      <c r="J3726" s="12">
        <f>IF(F3726&lt;&gt;0,"LANÇAR","")</f>
        <v/>
      </c>
      <c r="L3726" s="13">
        <f>N3726&amp;O3726&amp;P3726&amp;Q3726&amp;R3726&amp;S3726&amp;T3726&amp;U3726&amp;V3726&amp;W3726&amp;X3726&amp;Y3726&amp;Z3726&amp;AA3726&amp;AB3726&amp;AC3726&amp;AD3726&amp;AE3726&amp;AF3726&amp;AG3726</f>
        <v/>
      </c>
      <c r="N3726" s="10">
        <f>TEXT($B$6,"00")</f>
        <v/>
      </c>
      <c r="O3726" s="10">
        <f>REPT(" ",8)</f>
        <v/>
      </c>
      <c r="P3726" s="10">
        <f>RIGHT($B$4,2)</f>
        <v/>
      </c>
      <c r="Q3726" s="10">
        <f>RIGHT($B$5,3)</f>
        <v/>
      </c>
      <c r="R3726" s="10">
        <f>IF(A3726="D",LEFT(UPPER(B3726)&amp;REPT(" ",20),20),REPT(" ",20))</f>
        <v/>
      </c>
      <c r="S3726" s="10">
        <f>IF(A3726="D",LEFT(UPPER(C3726)&amp;REPT(" ",10),10)," ")</f>
        <v/>
      </c>
      <c r="T3726" s="10">
        <f>IF(A3726="D",LEFT(UPPER(D3726)&amp;REPT(" ",2),2)," ")</f>
        <v/>
      </c>
      <c r="U3726" s="10">
        <f>IF(A3726="D",LEFT(UPPER(E3726)&amp;REPT(" ",15),15)," ")</f>
        <v/>
      </c>
      <c r="V3726" s="10">
        <f>REPT(" ",24)</f>
        <v/>
      </c>
      <c r="W3726" s="10">
        <f>IF(A3726="c",LEFT(UPPER(B3726)&amp;REPT(" ",20),20),REPT(" ",20))</f>
        <v/>
      </c>
      <c r="X3726" s="10">
        <f>IF(A3726="C",LEFT(UPPER(C3726)&amp;REPT(" ",10),10)," ")</f>
        <v/>
      </c>
      <c r="Y3726" s="10">
        <f>IF(A3726="C",LEFT(UPPER(D3726)&amp;REPT(" ",2),2)," ")</f>
        <v/>
      </c>
      <c r="Z3726" s="10">
        <f>IF(A3726="C",LEFT(UPPER(E3726)&amp;REPT(" ",15),15)," ")</f>
        <v/>
      </c>
      <c r="AA3726" s="10">
        <f>REPT(" ",8)</f>
        <v/>
      </c>
      <c r="AB3726" s="10">
        <f>REPT(" ",4)</f>
        <v/>
      </c>
      <c r="AC3726" s="10">
        <f>LEFT(UPPER(H3726)&amp;REPT(" ",250),250)</f>
        <v/>
      </c>
      <c r="AD3726" s="10">
        <f>TEXT($G$2,"dd/mm/aaaa")</f>
        <v/>
      </c>
      <c r="AE3726" s="10">
        <f>REPT(" ",10)</f>
        <v/>
      </c>
      <c r="AF3726" s="10">
        <f>REPT(" ",20)</f>
        <v/>
      </c>
      <c r="AG3726" s="54">
        <f>REPT(" ",18-LEN(FIXED(F3726,2,TRUE)))&amp;FIXED(F3726,2,TRUE)</f>
        <v/>
      </c>
      <c r="AH3726" s="10">
        <f>LEN(AC3726)+LEN(AG3726)</f>
        <v/>
      </c>
      <c r="AI3726" s="10">
        <f>LEN(L3726)</f>
        <v/>
      </c>
    </row>
    <row r="3727">
      <c r="J3727" s="12">
        <f>IF(F3727&lt;&gt;0,"LANÇAR","")</f>
        <v/>
      </c>
      <c r="L3727" s="13">
        <f>N3727&amp;O3727&amp;P3727&amp;Q3727&amp;R3727&amp;S3727&amp;T3727&amp;U3727&amp;V3727&amp;W3727&amp;X3727&amp;Y3727&amp;Z3727&amp;AA3727&amp;AB3727&amp;AC3727&amp;AD3727&amp;AE3727&amp;AF3727&amp;AG3727</f>
        <v/>
      </c>
      <c r="N3727" s="10">
        <f>TEXT($B$6,"00")</f>
        <v/>
      </c>
      <c r="O3727" s="10">
        <f>REPT(" ",8)</f>
        <v/>
      </c>
      <c r="P3727" s="10">
        <f>RIGHT($B$4,2)</f>
        <v/>
      </c>
      <c r="Q3727" s="10">
        <f>RIGHT($B$5,3)</f>
        <v/>
      </c>
      <c r="R3727" s="10">
        <f>IF(A3727="D",LEFT(UPPER(B3727)&amp;REPT(" ",20),20),REPT(" ",20))</f>
        <v/>
      </c>
      <c r="S3727" s="10">
        <f>IF(A3727="D",LEFT(UPPER(C3727)&amp;REPT(" ",10),10)," ")</f>
        <v/>
      </c>
      <c r="T3727" s="10">
        <f>IF(A3727="D",LEFT(UPPER(D3727)&amp;REPT(" ",2),2)," ")</f>
        <v/>
      </c>
      <c r="U3727" s="10">
        <f>IF(A3727="D",LEFT(UPPER(E3727)&amp;REPT(" ",15),15)," ")</f>
        <v/>
      </c>
      <c r="V3727" s="10">
        <f>REPT(" ",24)</f>
        <v/>
      </c>
      <c r="W3727" s="10">
        <f>IF(A3727="c",LEFT(UPPER(B3727)&amp;REPT(" ",20),20),REPT(" ",20))</f>
        <v/>
      </c>
      <c r="X3727" s="10">
        <f>IF(A3727="C",LEFT(UPPER(C3727)&amp;REPT(" ",10),10)," ")</f>
        <v/>
      </c>
      <c r="Y3727" s="10">
        <f>IF(A3727="C",LEFT(UPPER(D3727)&amp;REPT(" ",2),2)," ")</f>
        <v/>
      </c>
      <c r="Z3727" s="10">
        <f>IF(A3727="C",LEFT(UPPER(E3727)&amp;REPT(" ",15),15)," ")</f>
        <v/>
      </c>
      <c r="AA3727" s="10">
        <f>REPT(" ",8)</f>
        <v/>
      </c>
      <c r="AB3727" s="10">
        <f>REPT(" ",4)</f>
        <v/>
      </c>
      <c r="AC3727" s="10">
        <f>LEFT(UPPER(H3727)&amp;REPT(" ",250),250)</f>
        <v/>
      </c>
      <c r="AD3727" s="10">
        <f>TEXT($G$2,"dd/mm/aaaa")</f>
        <v/>
      </c>
      <c r="AE3727" s="10">
        <f>REPT(" ",10)</f>
        <v/>
      </c>
      <c r="AF3727" s="10">
        <f>REPT(" ",20)</f>
        <v/>
      </c>
      <c r="AG3727" s="54">
        <f>REPT(" ",18-LEN(FIXED(F3727,2,TRUE)))&amp;FIXED(F3727,2,TRUE)</f>
        <v/>
      </c>
      <c r="AH3727" s="10">
        <f>LEN(AC3727)+LEN(AG3727)</f>
        <v/>
      </c>
      <c r="AI3727" s="10">
        <f>LEN(L3727)</f>
        <v/>
      </c>
    </row>
    <row r="3728">
      <c r="J3728" s="12">
        <f>IF(F3728&lt;&gt;0,"LANÇAR","")</f>
        <v/>
      </c>
      <c r="L3728" s="13">
        <f>N3728&amp;O3728&amp;P3728&amp;Q3728&amp;R3728&amp;S3728&amp;T3728&amp;U3728&amp;V3728&amp;W3728&amp;X3728&amp;Y3728&amp;Z3728&amp;AA3728&amp;AB3728&amp;AC3728&amp;AD3728&amp;AE3728&amp;AF3728&amp;AG3728</f>
        <v/>
      </c>
      <c r="N3728" s="10">
        <f>TEXT($B$6,"00")</f>
        <v/>
      </c>
      <c r="O3728" s="10">
        <f>REPT(" ",8)</f>
        <v/>
      </c>
      <c r="P3728" s="10">
        <f>RIGHT($B$4,2)</f>
        <v/>
      </c>
      <c r="Q3728" s="10">
        <f>RIGHT($B$5,3)</f>
        <v/>
      </c>
      <c r="R3728" s="10">
        <f>IF(A3728="D",LEFT(UPPER(B3728)&amp;REPT(" ",20),20),REPT(" ",20))</f>
        <v/>
      </c>
      <c r="S3728" s="10">
        <f>IF(A3728="D",LEFT(UPPER(C3728)&amp;REPT(" ",10),10)," ")</f>
        <v/>
      </c>
      <c r="T3728" s="10">
        <f>IF(A3728="D",LEFT(UPPER(D3728)&amp;REPT(" ",2),2)," ")</f>
        <v/>
      </c>
      <c r="U3728" s="10">
        <f>IF(A3728="D",LEFT(UPPER(E3728)&amp;REPT(" ",15),15)," ")</f>
        <v/>
      </c>
      <c r="V3728" s="10">
        <f>REPT(" ",24)</f>
        <v/>
      </c>
      <c r="W3728" s="10">
        <f>IF(A3728="c",LEFT(UPPER(B3728)&amp;REPT(" ",20),20),REPT(" ",20))</f>
        <v/>
      </c>
      <c r="X3728" s="10">
        <f>IF(A3728="C",LEFT(UPPER(C3728)&amp;REPT(" ",10),10)," ")</f>
        <v/>
      </c>
      <c r="Y3728" s="10">
        <f>IF(A3728="C",LEFT(UPPER(D3728)&amp;REPT(" ",2),2)," ")</f>
        <v/>
      </c>
      <c r="Z3728" s="10">
        <f>IF(A3728="C",LEFT(UPPER(E3728)&amp;REPT(" ",15),15)," ")</f>
        <v/>
      </c>
      <c r="AA3728" s="10">
        <f>REPT(" ",8)</f>
        <v/>
      </c>
      <c r="AB3728" s="10">
        <f>REPT(" ",4)</f>
        <v/>
      </c>
      <c r="AC3728" s="10">
        <f>LEFT(UPPER(H3728)&amp;REPT(" ",250),250)</f>
        <v/>
      </c>
      <c r="AD3728" s="10">
        <f>TEXT($G$2,"dd/mm/aaaa")</f>
        <v/>
      </c>
      <c r="AE3728" s="10">
        <f>REPT(" ",10)</f>
        <v/>
      </c>
      <c r="AF3728" s="10">
        <f>REPT(" ",20)</f>
        <v/>
      </c>
      <c r="AG3728" s="54">
        <f>REPT(" ",18-LEN(FIXED(F3728,2,TRUE)))&amp;FIXED(F3728,2,TRUE)</f>
        <v/>
      </c>
      <c r="AH3728" s="10">
        <f>LEN(AC3728)+LEN(AG3728)</f>
        <v/>
      </c>
      <c r="AI3728" s="10">
        <f>LEN(L3728)</f>
        <v/>
      </c>
    </row>
    <row r="3729">
      <c r="J3729" s="12">
        <f>IF(F3729&lt;&gt;0,"LANÇAR","")</f>
        <v/>
      </c>
      <c r="L3729" s="13">
        <f>N3729&amp;O3729&amp;P3729&amp;Q3729&amp;R3729&amp;S3729&amp;T3729&amp;U3729&amp;V3729&amp;W3729&amp;X3729&amp;Y3729&amp;Z3729&amp;AA3729&amp;AB3729&amp;AC3729&amp;AD3729&amp;AE3729&amp;AF3729&amp;AG3729</f>
        <v/>
      </c>
      <c r="N3729" s="10">
        <f>TEXT($B$6,"00")</f>
        <v/>
      </c>
      <c r="O3729" s="10">
        <f>REPT(" ",8)</f>
        <v/>
      </c>
      <c r="P3729" s="10">
        <f>RIGHT($B$4,2)</f>
        <v/>
      </c>
      <c r="Q3729" s="10">
        <f>RIGHT($B$5,3)</f>
        <v/>
      </c>
      <c r="R3729" s="10">
        <f>IF(A3729="D",LEFT(UPPER(B3729)&amp;REPT(" ",20),20),REPT(" ",20))</f>
        <v/>
      </c>
      <c r="S3729" s="10">
        <f>IF(A3729="D",LEFT(UPPER(C3729)&amp;REPT(" ",10),10)," ")</f>
        <v/>
      </c>
      <c r="T3729" s="10">
        <f>IF(A3729="D",LEFT(UPPER(D3729)&amp;REPT(" ",2),2)," ")</f>
        <v/>
      </c>
      <c r="U3729" s="10">
        <f>IF(A3729="D",LEFT(UPPER(E3729)&amp;REPT(" ",15),15)," ")</f>
        <v/>
      </c>
      <c r="V3729" s="10">
        <f>REPT(" ",24)</f>
        <v/>
      </c>
      <c r="W3729" s="10">
        <f>IF(A3729="c",LEFT(UPPER(B3729)&amp;REPT(" ",20),20),REPT(" ",20))</f>
        <v/>
      </c>
      <c r="X3729" s="10">
        <f>IF(A3729="C",LEFT(UPPER(C3729)&amp;REPT(" ",10),10)," ")</f>
        <v/>
      </c>
      <c r="Y3729" s="10">
        <f>IF(A3729="C",LEFT(UPPER(D3729)&amp;REPT(" ",2),2)," ")</f>
        <v/>
      </c>
      <c r="Z3729" s="10">
        <f>IF(A3729="C",LEFT(UPPER(E3729)&amp;REPT(" ",15),15)," ")</f>
        <v/>
      </c>
      <c r="AA3729" s="10">
        <f>REPT(" ",8)</f>
        <v/>
      </c>
      <c r="AB3729" s="10">
        <f>REPT(" ",4)</f>
        <v/>
      </c>
      <c r="AC3729" s="10">
        <f>LEFT(UPPER(H3729)&amp;REPT(" ",250),250)</f>
        <v/>
      </c>
      <c r="AD3729" s="10">
        <f>TEXT($G$2,"dd/mm/aaaa")</f>
        <v/>
      </c>
      <c r="AE3729" s="10">
        <f>REPT(" ",10)</f>
        <v/>
      </c>
      <c r="AF3729" s="10">
        <f>REPT(" ",20)</f>
        <v/>
      </c>
      <c r="AG3729" s="54">
        <f>REPT(" ",18-LEN(FIXED(F3729,2,TRUE)))&amp;FIXED(F3729,2,TRUE)</f>
        <v/>
      </c>
      <c r="AH3729" s="10">
        <f>LEN(AC3729)+LEN(AG3729)</f>
        <v/>
      </c>
      <c r="AI3729" s="10">
        <f>LEN(L3729)</f>
        <v/>
      </c>
    </row>
    <row r="3730">
      <c r="J3730" s="12">
        <f>IF(F3730&lt;&gt;0,"LANÇAR","")</f>
        <v/>
      </c>
      <c r="L3730" s="13">
        <f>N3730&amp;O3730&amp;P3730&amp;Q3730&amp;R3730&amp;S3730&amp;T3730&amp;U3730&amp;V3730&amp;W3730&amp;X3730&amp;Y3730&amp;Z3730&amp;AA3730&amp;AB3730&amp;AC3730&amp;AD3730&amp;AE3730&amp;AF3730&amp;AG3730</f>
        <v/>
      </c>
      <c r="N3730" s="10">
        <f>TEXT($B$6,"00")</f>
        <v/>
      </c>
      <c r="O3730" s="10">
        <f>REPT(" ",8)</f>
        <v/>
      </c>
      <c r="P3730" s="10">
        <f>RIGHT($B$4,2)</f>
        <v/>
      </c>
      <c r="Q3730" s="10">
        <f>RIGHT($B$5,3)</f>
        <v/>
      </c>
      <c r="R3730" s="10">
        <f>IF(A3730="D",LEFT(UPPER(B3730)&amp;REPT(" ",20),20),REPT(" ",20))</f>
        <v/>
      </c>
      <c r="S3730" s="10">
        <f>IF(A3730="D",LEFT(UPPER(C3730)&amp;REPT(" ",10),10)," ")</f>
        <v/>
      </c>
      <c r="T3730" s="10">
        <f>IF(A3730="D",LEFT(UPPER(D3730)&amp;REPT(" ",2),2)," ")</f>
        <v/>
      </c>
      <c r="U3730" s="10">
        <f>IF(A3730="D",LEFT(UPPER(E3730)&amp;REPT(" ",15),15)," ")</f>
        <v/>
      </c>
      <c r="V3730" s="10">
        <f>REPT(" ",24)</f>
        <v/>
      </c>
      <c r="W3730" s="10">
        <f>IF(A3730="c",LEFT(UPPER(B3730)&amp;REPT(" ",20),20),REPT(" ",20))</f>
        <v/>
      </c>
      <c r="X3730" s="10">
        <f>IF(A3730="C",LEFT(UPPER(C3730)&amp;REPT(" ",10),10)," ")</f>
        <v/>
      </c>
      <c r="Y3730" s="10">
        <f>IF(A3730="C",LEFT(UPPER(D3730)&amp;REPT(" ",2),2)," ")</f>
        <v/>
      </c>
      <c r="Z3730" s="10">
        <f>IF(A3730="C",LEFT(UPPER(E3730)&amp;REPT(" ",15),15)," ")</f>
        <v/>
      </c>
      <c r="AA3730" s="10">
        <f>REPT(" ",8)</f>
        <v/>
      </c>
      <c r="AB3730" s="10">
        <f>REPT(" ",4)</f>
        <v/>
      </c>
      <c r="AC3730" s="10">
        <f>LEFT(UPPER(H3730)&amp;REPT(" ",250),250)</f>
        <v/>
      </c>
      <c r="AD3730" s="10">
        <f>TEXT($G$2,"dd/mm/aaaa")</f>
        <v/>
      </c>
      <c r="AE3730" s="10">
        <f>REPT(" ",10)</f>
        <v/>
      </c>
      <c r="AF3730" s="10">
        <f>REPT(" ",20)</f>
        <v/>
      </c>
      <c r="AG3730" s="54">
        <f>REPT(" ",18-LEN(FIXED(F3730,2,TRUE)))&amp;FIXED(F3730,2,TRUE)</f>
        <v/>
      </c>
      <c r="AH3730" s="10">
        <f>LEN(AC3730)+LEN(AG3730)</f>
        <v/>
      </c>
      <c r="AI3730" s="10">
        <f>LEN(L3730)</f>
        <v/>
      </c>
    </row>
    <row r="3731">
      <c r="J3731" s="12">
        <f>IF(F3731&lt;&gt;0,"LANÇAR","")</f>
        <v/>
      </c>
      <c r="L3731" s="13">
        <f>N3731&amp;O3731&amp;P3731&amp;Q3731&amp;R3731&amp;S3731&amp;T3731&amp;U3731&amp;V3731&amp;W3731&amp;X3731&amp;Y3731&amp;Z3731&amp;AA3731&amp;AB3731&amp;AC3731&amp;AD3731&amp;AE3731&amp;AF3731&amp;AG3731</f>
        <v/>
      </c>
      <c r="N3731" s="10">
        <f>TEXT($B$6,"00")</f>
        <v/>
      </c>
      <c r="O3731" s="10">
        <f>REPT(" ",8)</f>
        <v/>
      </c>
      <c r="P3731" s="10">
        <f>RIGHT($B$4,2)</f>
        <v/>
      </c>
      <c r="Q3731" s="10">
        <f>RIGHT($B$5,3)</f>
        <v/>
      </c>
      <c r="R3731" s="10">
        <f>IF(A3731="D",LEFT(UPPER(B3731)&amp;REPT(" ",20),20),REPT(" ",20))</f>
        <v/>
      </c>
      <c r="S3731" s="10">
        <f>IF(A3731="D",LEFT(UPPER(C3731)&amp;REPT(" ",10),10)," ")</f>
        <v/>
      </c>
      <c r="T3731" s="10">
        <f>IF(A3731="D",LEFT(UPPER(D3731)&amp;REPT(" ",2),2)," ")</f>
        <v/>
      </c>
      <c r="U3731" s="10">
        <f>IF(A3731="D",LEFT(UPPER(E3731)&amp;REPT(" ",15),15)," ")</f>
        <v/>
      </c>
      <c r="V3731" s="10">
        <f>REPT(" ",24)</f>
        <v/>
      </c>
      <c r="W3731" s="10">
        <f>IF(A3731="c",LEFT(UPPER(B3731)&amp;REPT(" ",20),20),REPT(" ",20))</f>
        <v/>
      </c>
      <c r="X3731" s="10">
        <f>IF(A3731="C",LEFT(UPPER(C3731)&amp;REPT(" ",10),10)," ")</f>
        <v/>
      </c>
      <c r="Y3731" s="10">
        <f>IF(A3731="C",LEFT(UPPER(D3731)&amp;REPT(" ",2),2)," ")</f>
        <v/>
      </c>
      <c r="Z3731" s="10">
        <f>IF(A3731="C",LEFT(UPPER(E3731)&amp;REPT(" ",15),15)," ")</f>
        <v/>
      </c>
      <c r="AA3731" s="10">
        <f>REPT(" ",8)</f>
        <v/>
      </c>
      <c r="AB3731" s="10">
        <f>REPT(" ",4)</f>
        <v/>
      </c>
      <c r="AC3731" s="10">
        <f>LEFT(UPPER(H3731)&amp;REPT(" ",250),250)</f>
        <v/>
      </c>
      <c r="AD3731" s="10">
        <f>TEXT($G$2,"dd/mm/aaaa")</f>
        <v/>
      </c>
      <c r="AE3731" s="10">
        <f>REPT(" ",10)</f>
        <v/>
      </c>
      <c r="AF3731" s="10">
        <f>REPT(" ",20)</f>
        <v/>
      </c>
      <c r="AG3731" s="54">
        <f>REPT(" ",18-LEN(FIXED(F3731,2,TRUE)))&amp;FIXED(F3731,2,TRUE)</f>
        <v/>
      </c>
      <c r="AH3731" s="10">
        <f>LEN(AC3731)+LEN(AG3731)</f>
        <v/>
      </c>
      <c r="AI3731" s="10">
        <f>LEN(L3731)</f>
        <v/>
      </c>
    </row>
    <row r="3732">
      <c r="J3732" s="12">
        <f>IF(F3732&lt;&gt;0,"LANÇAR","")</f>
        <v/>
      </c>
      <c r="L3732" s="13">
        <f>N3732&amp;O3732&amp;P3732&amp;Q3732&amp;R3732&amp;S3732&amp;T3732&amp;U3732&amp;V3732&amp;W3732&amp;X3732&amp;Y3732&amp;Z3732&amp;AA3732&amp;AB3732&amp;AC3732&amp;AD3732&amp;AE3732&amp;AF3732&amp;AG3732</f>
        <v/>
      </c>
      <c r="N3732" s="10">
        <f>TEXT($B$6,"00")</f>
        <v/>
      </c>
      <c r="O3732" s="10">
        <f>REPT(" ",8)</f>
        <v/>
      </c>
      <c r="P3732" s="10">
        <f>RIGHT($B$4,2)</f>
        <v/>
      </c>
      <c r="Q3732" s="10">
        <f>RIGHT($B$5,3)</f>
        <v/>
      </c>
      <c r="R3732" s="10">
        <f>IF(A3732="D",LEFT(UPPER(B3732)&amp;REPT(" ",20),20),REPT(" ",20))</f>
        <v/>
      </c>
      <c r="S3732" s="10">
        <f>IF(A3732="D",LEFT(UPPER(C3732)&amp;REPT(" ",10),10)," ")</f>
        <v/>
      </c>
      <c r="T3732" s="10">
        <f>IF(A3732="D",LEFT(UPPER(D3732)&amp;REPT(" ",2),2)," ")</f>
        <v/>
      </c>
      <c r="U3732" s="10">
        <f>IF(A3732="D",LEFT(UPPER(E3732)&amp;REPT(" ",15),15)," ")</f>
        <v/>
      </c>
      <c r="V3732" s="10">
        <f>REPT(" ",24)</f>
        <v/>
      </c>
      <c r="W3732" s="10">
        <f>IF(A3732="c",LEFT(UPPER(B3732)&amp;REPT(" ",20),20),REPT(" ",20))</f>
        <v/>
      </c>
      <c r="X3732" s="10">
        <f>IF(A3732="C",LEFT(UPPER(C3732)&amp;REPT(" ",10),10)," ")</f>
        <v/>
      </c>
      <c r="Y3732" s="10">
        <f>IF(A3732="C",LEFT(UPPER(D3732)&amp;REPT(" ",2),2)," ")</f>
        <v/>
      </c>
      <c r="Z3732" s="10">
        <f>IF(A3732="C",LEFT(UPPER(E3732)&amp;REPT(" ",15),15)," ")</f>
        <v/>
      </c>
      <c r="AA3732" s="10">
        <f>REPT(" ",8)</f>
        <v/>
      </c>
      <c r="AB3732" s="10">
        <f>REPT(" ",4)</f>
        <v/>
      </c>
      <c r="AC3732" s="10">
        <f>LEFT(UPPER(H3732)&amp;REPT(" ",250),250)</f>
        <v/>
      </c>
      <c r="AD3732" s="10">
        <f>TEXT($G$2,"dd/mm/aaaa")</f>
        <v/>
      </c>
      <c r="AE3732" s="10">
        <f>REPT(" ",10)</f>
        <v/>
      </c>
      <c r="AF3732" s="10">
        <f>REPT(" ",20)</f>
        <v/>
      </c>
      <c r="AG3732" s="54">
        <f>REPT(" ",18-LEN(FIXED(F3732,2,TRUE)))&amp;FIXED(F3732,2,TRUE)</f>
        <v/>
      </c>
      <c r="AH3732" s="10">
        <f>LEN(AC3732)+LEN(AG3732)</f>
        <v/>
      </c>
      <c r="AI3732" s="10">
        <f>LEN(L3732)</f>
        <v/>
      </c>
    </row>
    <row r="3733">
      <c r="J3733" s="12">
        <f>IF(F3733&lt;&gt;0,"LANÇAR","")</f>
        <v/>
      </c>
      <c r="L3733" s="13">
        <f>N3733&amp;O3733&amp;P3733&amp;Q3733&amp;R3733&amp;S3733&amp;T3733&amp;U3733&amp;V3733&amp;W3733&amp;X3733&amp;Y3733&amp;Z3733&amp;AA3733&amp;AB3733&amp;AC3733&amp;AD3733&amp;AE3733&amp;AF3733&amp;AG3733</f>
        <v/>
      </c>
      <c r="N3733" s="10">
        <f>TEXT($B$6,"00")</f>
        <v/>
      </c>
      <c r="O3733" s="10">
        <f>REPT(" ",8)</f>
        <v/>
      </c>
      <c r="P3733" s="10">
        <f>RIGHT($B$4,2)</f>
        <v/>
      </c>
      <c r="Q3733" s="10">
        <f>RIGHT($B$5,3)</f>
        <v/>
      </c>
      <c r="R3733" s="10">
        <f>IF(A3733="D",LEFT(UPPER(B3733)&amp;REPT(" ",20),20),REPT(" ",20))</f>
        <v/>
      </c>
      <c r="S3733" s="10">
        <f>IF(A3733="D",LEFT(UPPER(C3733)&amp;REPT(" ",10),10)," ")</f>
        <v/>
      </c>
      <c r="T3733" s="10">
        <f>IF(A3733="D",LEFT(UPPER(D3733)&amp;REPT(" ",2),2)," ")</f>
        <v/>
      </c>
      <c r="U3733" s="10">
        <f>IF(A3733="D",LEFT(UPPER(E3733)&amp;REPT(" ",15),15)," ")</f>
        <v/>
      </c>
      <c r="V3733" s="10">
        <f>REPT(" ",24)</f>
        <v/>
      </c>
      <c r="W3733" s="10">
        <f>IF(A3733="c",LEFT(UPPER(B3733)&amp;REPT(" ",20),20),REPT(" ",20))</f>
        <v/>
      </c>
      <c r="X3733" s="10">
        <f>IF(A3733="C",LEFT(UPPER(C3733)&amp;REPT(" ",10),10)," ")</f>
        <v/>
      </c>
      <c r="Y3733" s="10">
        <f>IF(A3733="C",LEFT(UPPER(D3733)&amp;REPT(" ",2),2)," ")</f>
        <v/>
      </c>
      <c r="Z3733" s="10">
        <f>IF(A3733="C",LEFT(UPPER(E3733)&amp;REPT(" ",15),15)," ")</f>
        <v/>
      </c>
      <c r="AA3733" s="10">
        <f>REPT(" ",8)</f>
        <v/>
      </c>
      <c r="AB3733" s="10">
        <f>REPT(" ",4)</f>
        <v/>
      </c>
      <c r="AC3733" s="10">
        <f>LEFT(UPPER(H3733)&amp;REPT(" ",250),250)</f>
        <v/>
      </c>
      <c r="AD3733" s="10">
        <f>TEXT($G$2,"dd/mm/aaaa")</f>
        <v/>
      </c>
      <c r="AE3733" s="10">
        <f>REPT(" ",10)</f>
        <v/>
      </c>
      <c r="AF3733" s="10">
        <f>REPT(" ",20)</f>
        <v/>
      </c>
      <c r="AG3733" s="54">
        <f>REPT(" ",18-LEN(FIXED(F3733,2,TRUE)))&amp;FIXED(F3733,2,TRUE)</f>
        <v/>
      </c>
      <c r="AH3733" s="10">
        <f>LEN(AC3733)+LEN(AG3733)</f>
        <v/>
      </c>
      <c r="AI3733" s="10">
        <f>LEN(L3733)</f>
        <v/>
      </c>
    </row>
    <row r="3734">
      <c r="J3734" s="12">
        <f>IF(F3734&lt;&gt;0,"LANÇAR","")</f>
        <v/>
      </c>
      <c r="L3734" s="13">
        <f>N3734&amp;O3734&amp;P3734&amp;Q3734&amp;R3734&amp;S3734&amp;T3734&amp;U3734&amp;V3734&amp;W3734&amp;X3734&amp;Y3734&amp;Z3734&amp;AA3734&amp;AB3734&amp;AC3734&amp;AD3734&amp;AE3734&amp;AF3734&amp;AG3734</f>
        <v/>
      </c>
      <c r="N3734" s="10">
        <f>TEXT($B$6,"00")</f>
        <v/>
      </c>
      <c r="O3734" s="10">
        <f>REPT(" ",8)</f>
        <v/>
      </c>
      <c r="P3734" s="10">
        <f>RIGHT($B$4,2)</f>
        <v/>
      </c>
      <c r="Q3734" s="10">
        <f>RIGHT($B$5,3)</f>
        <v/>
      </c>
      <c r="R3734" s="10">
        <f>IF(A3734="D",LEFT(UPPER(B3734)&amp;REPT(" ",20),20),REPT(" ",20))</f>
        <v/>
      </c>
      <c r="S3734" s="10">
        <f>IF(A3734="D",LEFT(UPPER(C3734)&amp;REPT(" ",10),10)," ")</f>
        <v/>
      </c>
      <c r="T3734" s="10">
        <f>IF(A3734="D",LEFT(UPPER(D3734)&amp;REPT(" ",2),2)," ")</f>
        <v/>
      </c>
      <c r="U3734" s="10">
        <f>IF(A3734="D",LEFT(UPPER(E3734)&amp;REPT(" ",15),15)," ")</f>
        <v/>
      </c>
      <c r="V3734" s="10">
        <f>REPT(" ",24)</f>
        <v/>
      </c>
      <c r="W3734" s="10">
        <f>IF(A3734="c",LEFT(UPPER(B3734)&amp;REPT(" ",20),20),REPT(" ",20))</f>
        <v/>
      </c>
      <c r="X3734" s="10">
        <f>IF(A3734="C",LEFT(UPPER(C3734)&amp;REPT(" ",10),10)," ")</f>
        <v/>
      </c>
      <c r="Y3734" s="10">
        <f>IF(A3734="C",LEFT(UPPER(D3734)&amp;REPT(" ",2),2)," ")</f>
        <v/>
      </c>
      <c r="Z3734" s="10">
        <f>IF(A3734="C",LEFT(UPPER(E3734)&amp;REPT(" ",15),15)," ")</f>
        <v/>
      </c>
      <c r="AA3734" s="10">
        <f>REPT(" ",8)</f>
        <v/>
      </c>
      <c r="AB3734" s="10">
        <f>REPT(" ",4)</f>
        <v/>
      </c>
      <c r="AC3734" s="10">
        <f>LEFT(UPPER(H3734)&amp;REPT(" ",250),250)</f>
        <v/>
      </c>
      <c r="AD3734" s="10">
        <f>TEXT($G$2,"dd/mm/aaaa")</f>
        <v/>
      </c>
      <c r="AE3734" s="10">
        <f>REPT(" ",10)</f>
        <v/>
      </c>
      <c r="AF3734" s="10">
        <f>REPT(" ",20)</f>
        <v/>
      </c>
      <c r="AG3734" s="54">
        <f>REPT(" ",18-LEN(FIXED(F3734,2,TRUE)))&amp;FIXED(F3734,2,TRUE)</f>
        <v/>
      </c>
      <c r="AH3734" s="10">
        <f>LEN(AC3734)+LEN(AG3734)</f>
        <v/>
      </c>
      <c r="AI3734" s="10">
        <f>LEN(L3734)</f>
        <v/>
      </c>
    </row>
    <row r="3735">
      <c r="J3735" s="12">
        <f>IF(F3735&lt;&gt;0,"LANÇAR","")</f>
        <v/>
      </c>
      <c r="L3735" s="13">
        <f>N3735&amp;O3735&amp;P3735&amp;Q3735&amp;R3735&amp;S3735&amp;T3735&amp;U3735&amp;V3735&amp;W3735&amp;X3735&amp;Y3735&amp;Z3735&amp;AA3735&amp;AB3735&amp;AC3735&amp;AD3735&amp;AE3735&amp;AF3735&amp;AG3735</f>
        <v/>
      </c>
      <c r="N3735" s="10">
        <f>TEXT($B$6,"00")</f>
        <v/>
      </c>
      <c r="O3735" s="10">
        <f>REPT(" ",8)</f>
        <v/>
      </c>
      <c r="P3735" s="10">
        <f>RIGHT($B$4,2)</f>
        <v/>
      </c>
      <c r="Q3735" s="10">
        <f>RIGHT($B$5,3)</f>
        <v/>
      </c>
      <c r="R3735" s="10">
        <f>IF(A3735="D",LEFT(UPPER(B3735)&amp;REPT(" ",20),20),REPT(" ",20))</f>
        <v/>
      </c>
      <c r="S3735" s="10">
        <f>IF(A3735="D",LEFT(UPPER(C3735)&amp;REPT(" ",10),10)," ")</f>
        <v/>
      </c>
      <c r="T3735" s="10">
        <f>IF(A3735="D",LEFT(UPPER(D3735)&amp;REPT(" ",2),2)," ")</f>
        <v/>
      </c>
      <c r="U3735" s="10">
        <f>IF(A3735="D",LEFT(UPPER(E3735)&amp;REPT(" ",15),15)," ")</f>
        <v/>
      </c>
      <c r="V3735" s="10">
        <f>REPT(" ",24)</f>
        <v/>
      </c>
      <c r="W3735" s="10">
        <f>IF(A3735="c",LEFT(UPPER(B3735)&amp;REPT(" ",20),20),REPT(" ",20))</f>
        <v/>
      </c>
      <c r="X3735" s="10">
        <f>IF(A3735="C",LEFT(UPPER(C3735)&amp;REPT(" ",10),10)," ")</f>
        <v/>
      </c>
      <c r="Y3735" s="10">
        <f>IF(A3735="C",LEFT(UPPER(D3735)&amp;REPT(" ",2),2)," ")</f>
        <v/>
      </c>
      <c r="Z3735" s="10">
        <f>IF(A3735="C",LEFT(UPPER(E3735)&amp;REPT(" ",15),15)," ")</f>
        <v/>
      </c>
      <c r="AA3735" s="10">
        <f>REPT(" ",8)</f>
        <v/>
      </c>
      <c r="AB3735" s="10">
        <f>REPT(" ",4)</f>
        <v/>
      </c>
      <c r="AC3735" s="10">
        <f>LEFT(UPPER(H3735)&amp;REPT(" ",250),250)</f>
        <v/>
      </c>
      <c r="AD3735" s="10">
        <f>TEXT($G$2,"dd/mm/aaaa")</f>
        <v/>
      </c>
      <c r="AE3735" s="10">
        <f>REPT(" ",10)</f>
        <v/>
      </c>
      <c r="AF3735" s="10">
        <f>REPT(" ",20)</f>
        <v/>
      </c>
      <c r="AG3735" s="54">
        <f>REPT(" ",18-LEN(FIXED(F3735,2,TRUE)))&amp;FIXED(F3735,2,TRUE)</f>
        <v/>
      </c>
      <c r="AH3735" s="10">
        <f>LEN(AC3735)+LEN(AG3735)</f>
        <v/>
      </c>
      <c r="AI3735" s="10">
        <f>LEN(L3735)</f>
        <v/>
      </c>
    </row>
    <row r="3736">
      <c r="J3736" s="12">
        <f>IF(F3736&lt;&gt;0,"LANÇAR","")</f>
        <v/>
      </c>
      <c r="L3736" s="13">
        <f>N3736&amp;O3736&amp;P3736&amp;Q3736&amp;R3736&amp;S3736&amp;T3736&amp;U3736&amp;V3736&amp;W3736&amp;X3736&amp;Y3736&amp;Z3736&amp;AA3736&amp;AB3736&amp;AC3736&amp;AD3736&amp;AE3736&amp;AF3736&amp;AG3736</f>
        <v/>
      </c>
      <c r="N3736" s="10">
        <f>TEXT($B$6,"00")</f>
        <v/>
      </c>
      <c r="O3736" s="10">
        <f>REPT(" ",8)</f>
        <v/>
      </c>
      <c r="P3736" s="10">
        <f>RIGHT($B$4,2)</f>
        <v/>
      </c>
      <c r="Q3736" s="10">
        <f>RIGHT($B$5,3)</f>
        <v/>
      </c>
      <c r="R3736" s="10">
        <f>IF(A3736="D",LEFT(UPPER(B3736)&amp;REPT(" ",20),20),REPT(" ",20))</f>
        <v/>
      </c>
      <c r="S3736" s="10">
        <f>IF(A3736="D",LEFT(UPPER(C3736)&amp;REPT(" ",10),10)," ")</f>
        <v/>
      </c>
      <c r="T3736" s="10">
        <f>IF(A3736="D",LEFT(UPPER(D3736)&amp;REPT(" ",2),2)," ")</f>
        <v/>
      </c>
      <c r="U3736" s="10">
        <f>IF(A3736="D",LEFT(UPPER(E3736)&amp;REPT(" ",15),15)," ")</f>
        <v/>
      </c>
      <c r="V3736" s="10">
        <f>REPT(" ",24)</f>
        <v/>
      </c>
      <c r="W3736" s="10">
        <f>IF(A3736="c",LEFT(UPPER(B3736)&amp;REPT(" ",20),20),REPT(" ",20))</f>
        <v/>
      </c>
      <c r="X3736" s="10">
        <f>IF(A3736="C",LEFT(UPPER(C3736)&amp;REPT(" ",10),10)," ")</f>
        <v/>
      </c>
      <c r="Y3736" s="10">
        <f>IF(A3736="C",LEFT(UPPER(D3736)&amp;REPT(" ",2),2)," ")</f>
        <v/>
      </c>
      <c r="Z3736" s="10">
        <f>IF(A3736="C",LEFT(UPPER(E3736)&amp;REPT(" ",15),15)," ")</f>
        <v/>
      </c>
      <c r="AA3736" s="10">
        <f>REPT(" ",8)</f>
        <v/>
      </c>
      <c r="AB3736" s="10">
        <f>REPT(" ",4)</f>
        <v/>
      </c>
      <c r="AC3736" s="10">
        <f>LEFT(UPPER(H3736)&amp;REPT(" ",250),250)</f>
        <v/>
      </c>
      <c r="AD3736" s="10">
        <f>TEXT($G$2,"dd/mm/aaaa")</f>
        <v/>
      </c>
      <c r="AE3736" s="10">
        <f>REPT(" ",10)</f>
        <v/>
      </c>
      <c r="AF3736" s="10">
        <f>REPT(" ",20)</f>
        <v/>
      </c>
      <c r="AG3736" s="54">
        <f>REPT(" ",18-LEN(FIXED(F3736,2,TRUE)))&amp;FIXED(F3736,2,TRUE)</f>
        <v/>
      </c>
      <c r="AH3736" s="10">
        <f>LEN(AC3736)+LEN(AG3736)</f>
        <v/>
      </c>
      <c r="AI3736" s="10">
        <f>LEN(L3736)</f>
        <v/>
      </c>
    </row>
    <row r="3737">
      <c r="J3737" s="12">
        <f>IF(F3737&lt;&gt;0,"LANÇAR","")</f>
        <v/>
      </c>
      <c r="L3737" s="13">
        <f>N3737&amp;O3737&amp;P3737&amp;Q3737&amp;R3737&amp;S3737&amp;T3737&amp;U3737&amp;V3737&amp;W3737&amp;X3737&amp;Y3737&amp;Z3737&amp;AA3737&amp;AB3737&amp;AC3737&amp;AD3737&amp;AE3737&amp;AF3737&amp;AG3737</f>
        <v/>
      </c>
      <c r="N3737" s="10">
        <f>TEXT($B$6,"00")</f>
        <v/>
      </c>
      <c r="O3737" s="10">
        <f>REPT(" ",8)</f>
        <v/>
      </c>
      <c r="P3737" s="10">
        <f>RIGHT($B$4,2)</f>
        <v/>
      </c>
      <c r="Q3737" s="10">
        <f>RIGHT($B$5,3)</f>
        <v/>
      </c>
      <c r="R3737" s="10">
        <f>IF(A3737="D",LEFT(UPPER(B3737)&amp;REPT(" ",20),20),REPT(" ",20))</f>
        <v/>
      </c>
      <c r="S3737" s="10">
        <f>IF(A3737="D",LEFT(UPPER(C3737)&amp;REPT(" ",10),10)," ")</f>
        <v/>
      </c>
      <c r="T3737" s="10">
        <f>IF(A3737="D",LEFT(UPPER(D3737)&amp;REPT(" ",2),2)," ")</f>
        <v/>
      </c>
      <c r="U3737" s="10">
        <f>IF(A3737="D",LEFT(UPPER(E3737)&amp;REPT(" ",15),15)," ")</f>
        <v/>
      </c>
      <c r="V3737" s="10">
        <f>REPT(" ",24)</f>
        <v/>
      </c>
      <c r="W3737" s="10">
        <f>IF(A3737="c",LEFT(UPPER(B3737)&amp;REPT(" ",20),20),REPT(" ",20))</f>
        <v/>
      </c>
      <c r="X3737" s="10">
        <f>IF(A3737="C",LEFT(UPPER(C3737)&amp;REPT(" ",10),10)," ")</f>
        <v/>
      </c>
      <c r="Y3737" s="10">
        <f>IF(A3737="C",LEFT(UPPER(D3737)&amp;REPT(" ",2),2)," ")</f>
        <v/>
      </c>
      <c r="Z3737" s="10">
        <f>IF(A3737="C",LEFT(UPPER(E3737)&amp;REPT(" ",15),15)," ")</f>
        <v/>
      </c>
      <c r="AA3737" s="10">
        <f>REPT(" ",8)</f>
        <v/>
      </c>
      <c r="AB3737" s="10">
        <f>REPT(" ",4)</f>
        <v/>
      </c>
      <c r="AC3737" s="10">
        <f>LEFT(UPPER(H3737)&amp;REPT(" ",250),250)</f>
        <v/>
      </c>
      <c r="AD3737" s="10">
        <f>TEXT($G$2,"dd/mm/aaaa")</f>
        <v/>
      </c>
      <c r="AE3737" s="10">
        <f>REPT(" ",10)</f>
        <v/>
      </c>
      <c r="AF3737" s="10">
        <f>REPT(" ",20)</f>
        <v/>
      </c>
      <c r="AG3737" s="54">
        <f>REPT(" ",18-LEN(FIXED(F3737,2,TRUE)))&amp;FIXED(F3737,2,TRUE)</f>
        <v/>
      </c>
      <c r="AH3737" s="10">
        <f>LEN(AC3737)+LEN(AG3737)</f>
        <v/>
      </c>
      <c r="AI3737" s="10">
        <f>LEN(L3737)</f>
        <v/>
      </c>
    </row>
    <row r="3738">
      <c r="J3738" s="12">
        <f>IF(F3738&lt;&gt;0,"LANÇAR","")</f>
        <v/>
      </c>
      <c r="L3738" s="13">
        <f>N3738&amp;O3738&amp;P3738&amp;Q3738&amp;R3738&amp;S3738&amp;T3738&amp;U3738&amp;V3738&amp;W3738&amp;X3738&amp;Y3738&amp;Z3738&amp;AA3738&amp;AB3738&amp;AC3738&amp;AD3738&amp;AE3738&amp;AF3738&amp;AG3738</f>
        <v/>
      </c>
      <c r="N3738" s="10">
        <f>TEXT($B$6,"00")</f>
        <v/>
      </c>
      <c r="O3738" s="10">
        <f>REPT(" ",8)</f>
        <v/>
      </c>
      <c r="P3738" s="10">
        <f>RIGHT($B$4,2)</f>
        <v/>
      </c>
      <c r="Q3738" s="10">
        <f>RIGHT($B$5,3)</f>
        <v/>
      </c>
      <c r="R3738" s="10">
        <f>IF(A3738="D",LEFT(UPPER(B3738)&amp;REPT(" ",20),20),REPT(" ",20))</f>
        <v/>
      </c>
      <c r="S3738" s="10">
        <f>IF(A3738="D",LEFT(UPPER(C3738)&amp;REPT(" ",10),10)," ")</f>
        <v/>
      </c>
      <c r="T3738" s="10">
        <f>IF(A3738="D",LEFT(UPPER(D3738)&amp;REPT(" ",2),2)," ")</f>
        <v/>
      </c>
      <c r="U3738" s="10">
        <f>IF(A3738="D",LEFT(UPPER(E3738)&amp;REPT(" ",15),15)," ")</f>
        <v/>
      </c>
      <c r="V3738" s="10">
        <f>REPT(" ",24)</f>
        <v/>
      </c>
      <c r="W3738" s="10">
        <f>IF(A3738="c",LEFT(UPPER(B3738)&amp;REPT(" ",20),20),REPT(" ",20))</f>
        <v/>
      </c>
      <c r="X3738" s="10">
        <f>IF(A3738="C",LEFT(UPPER(C3738)&amp;REPT(" ",10),10)," ")</f>
        <v/>
      </c>
      <c r="Y3738" s="10">
        <f>IF(A3738="C",LEFT(UPPER(D3738)&amp;REPT(" ",2),2)," ")</f>
        <v/>
      </c>
      <c r="Z3738" s="10">
        <f>IF(A3738="C",LEFT(UPPER(E3738)&amp;REPT(" ",15),15)," ")</f>
        <v/>
      </c>
      <c r="AA3738" s="10">
        <f>REPT(" ",8)</f>
        <v/>
      </c>
      <c r="AB3738" s="10">
        <f>REPT(" ",4)</f>
        <v/>
      </c>
      <c r="AC3738" s="10">
        <f>LEFT(UPPER(H3738)&amp;REPT(" ",250),250)</f>
        <v/>
      </c>
      <c r="AD3738" s="10">
        <f>TEXT($G$2,"dd/mm/aaaa")</f>
        <v/>
      </c>
      <c r="AE3738" s="10">
        <f>REPT(" ",10)</f>
        <v/>
      </c>
      <c r="AF3738" s="10">
        <f>REPT(" ",20)</f>
        <v/>
      </c>
      <c r="AG3738" s="54">
        <f>REPT(" ",18-LEN(FIXED(F3738,2,TRUE)))&amp;FIXED(F3738,2,TRUE)</f>
        <v/>
      </c>
      <c r="AH3738" s="10">
        <f>LEN(AC3738)+LEN(AG3738)</f>
        <v/>
      </c>
      <c r="AI3738" s="10">
        <f>LEN(L3738)</f>
        <v/>
      </c>
    </row>
    <row r="3739">
      <c r="J3739" s="12">
        <f>IF(F3739&lt;&gt;0,"LANÇAR","")</f>
        <v/>
      </c>
      <c r="L3739" s="13">
        <f>N3739&amp;O3739&amp;P3739&amp;Q3739&amp;R3739&amp;S3739&amp;T3739&amp;U3739&amp;V3739&amp;W3739&amp;X3739&amp;Y3739&amp;Z3739&amp;AA3739&amp;AB3739&amp;AC3739&amp;AD3739&amp;AE3739&amp;AF3739&amp;AG3739</f>
        <v/>
      </c>
      <c r="N3739" s="10">
        <f>TEXT($B$6,"00")</f>
        <v/>
      </c>
      <c r="O3739" s="10">
        <f>REPT(" ",8)</f>
        <v/>
      </c>
      <c r="P3739" s="10">
        <f>RIGHT($B$4,2)</f>
        <v/>
      </c>
      <c r="Q3739" s="10">
        <f>RIGHT($B$5,3)</f>
        <v/>
      </c>
      <c r="R3739" s="10">
        <f>IF(A3739="D",LEFT(UPPER(B3739)&amp;REPT(" ",20),20),REPT(" ",20))</f>
        <v/>
      </c>
      <c r="S3739" s="10">
        <f>IF(A3739="D",LEFT(UPPER(C3739)&amp;REPT(" ",10),10)," ")</f>
        <v/>
      </c>
      <c r="T3739" s="10">
        <f>IF(A3739="D",LEFT(UPPER(D3739)&amp;REPT(" ",2),2)," ")</f>
        <v/>
      </c>
      <c r="U3739" s="10">
        <f>IF(A3739="D",LEFT(UPPER(E3739)&amp;REPT(" ",15),15)," ")</f>
        <v/>
      </c>
      <c r="V3739" s="10">
        <f>REPT(" ",24)</f>
        <v/>
      </c>
      <c r="W3739" s="10">
        <f>IF(A3739="c",LEFT(UPPER(B3739)&amp;REPT(" ",20),20),REPT(" ",20))</f>
        <v/>
      </c>
      <c r="X3739" s="10">
        <f>IF(A3739="C",LEFT(UPPER(C3739)&amp;REPT(" ",10),10)," ")</f>
        <v/>
      </c>
      <c r="Y3739" s="10">
        <f>IF(A3739="C",LEFT(UPPER(D3739)&amp;REPT(" ",2),2)," ")</f>
        <v/>
      </c>
      <c r="Z3739" s="10">
        <f>IF(A3739="C",LEFT(UPPER(E3739)&amp;REPT(" ",15),15)," ")</f>
        <v/>
      </c>
      <c r="AA3739" s="10">
        <f>REPT(" ",8)</f>
        <v/>
      </c>
      <c r="AB3739" s="10">
        <f>REPT(" ",4)</f>
        <v/>
      </c>
      <c r="AC3739" s="10">
        <f>LEFT(UPPER(H3739)&amp;REPT(" ",250),250)</f>
        <v/>
      </c>
      <c r="AD3739" s="10">
        <f>TEXT($G$2,"dd/mm/aaaa")</f>
        <v/>
      </c>
      <c r="AE3739" s="10">
        <f>REPT(" ",10)</f>
        <v/>
      </c>
      <c r="AF3739" s="10">
        <f>REPT(" ",20)</f>
        <v/>
      </c>
      <c r="AG3739" s="54">
        <f>REPT(" ",18-LEN(FIXED(F3739,2,TRUE)))&amp;FIXED(F3739,2,TRUE)</f>
        <v/>
      </c>
      <c r="AH3739" s="10">
        <f>LEN(AC3739)+LEN(AG3739)</f>
        <v/>
      </c>
      <c r="AI3739" s="10">
        <f>LEN(L3739)</f>
        <v/>
      </c>
    </row>
    <row r="3740">
      <c r="J3740" s="12">
        <f>IF(F3740&lt;&gt;0,"LANÇAR","")</f>
        <v/>
      </c>
      <c r="L3740" s="13">
        <f>N3740&amp;O3740&amp;P3740&amp;Q3740&amp;R3740&amp;S3740&amp;T3740&amp;U3740&amp;V3740&amp;W3740&amp;X3740&amp;Y3740&amp;Z3740&amp;AA3740&amp;AB3740&amp;AC3740&amp;AD3740&amp;AE3740&amp;AF3740&amp;AG3740</f>
        <v/>
      </c>
      <c r="N3740" s="10">
        <f>TEXT($B$6,"00")</f>
        <v/>
      </c>
      <c r="O3740" s="10">
        <f>REPT(" ",8)</f>
        <v/>
      </c>
      <c r="P3740" s="10">
        <f>RIGHT($B$4,2)</f>
        <v/>
      </c>
      <c r="Q3740" s="10">
        <f>RIGHT($B$5,3)</f>
        <v/>
      </c>
      <c r="R3740" s="10">
        <f>IF(A3740="D",LEFT(UPPER(B3740)&amp;REPT(" ",20),20),REPT(" ",20))</f>
        <v/>
      </c>
      <c r="S3740" s="10">
        <f>IF(A3740="D",LEFT(UPPER(C3740)&amp;REPT(" ",10),10)," ")</f>
        <v/>
      </c>
      <c r="T3740" s="10">
        <f>IF(A3740="D",LEFT(UPPER(D3740)&amp;REPT(" ",2),2)," ")</f>
        <v/>
      </c>
      <c r="U3740" s="10">
        <f>IF(A3740="D",LEFT(UPPER(E3740)&amp;REPT(" ",15),15)," ")</f>
        <v/>
      </c>
      <c r="V3740" s="10">
        <f>REPT(" ",24)</f>
        <v/>
      </c>
      <c r="W3740" s="10">
        <f>IF(A3740="c",LEFT(UPPER(B3740)&amp;REPT(" ",20),20),REPT(" ",20))</f>
        <v/>
      </c>
      <c r="X3740" s="10">
        <f>IF(A3740="C",LEFT(UPPER(C3740)&amp;REPT(" ",10),10)," ")</f>
        <v/>
      </c>
      <c r="Y3740" s="10">
        <f>IF(A3740="C",LEFT(UPPER(D3740)&amp;REPT(" ",2),2)," ")</f>
        <v/>
      </c>
      <c r="Z3740" s="10">
        <f>IF(A3740="C",LEFT(UPPER(E3740)&amp;REPT(" ",15),15)," ")</f>
        <v/>
      </c>
      <c r="AA3740" s="10">
        <f>REPT(" ",8)</f>
        <v/>
      </c>
      <c r="AB3740" s="10">
        <f>REPT(" ",4)</f>
        <v/>
      </c>
      <c r="AC3740" s="10">
        <f>LEFT(UPPER(H3740)&amp;REPT(" ",250),250)</f>
        <v/>
      </c>
      <c r="AD3740" s="10">
        <f>TEXT($G$2,"dd/mm/aaaa")</f>
        <v/>
      </c>
      <c r="AE3740" s="10">
        <f>REPT(" ",10)</f>
        <v/>
      </c>
      <c r="AF3740" s="10">
        <f>REPT(" ",20)</f>
        <v/>
      </c>
      <c r="AG3740" s="54">
        <f>REPT(" ",18-LEN(FIXED(F3740,2,TRUE)))&amp;FIXED(F3740,2,TRUE)</f>
        <v/>
      </c>
      <c r="AH3740" s="10">
        <f>LEN(AC3740)+LEN(AG3740)</f>
        <v/>
      </c>
      <c r="AI3740" s="10">
        <f>LEN(L3740)</f>
        <v/>
      </c>
    </row>
    <row r="3741">
      <c r="J3741" s="12">
        <f>IF(F3741&lt;&gt;0,"LANÇAR","")</f>
        <v/>
      </c>
      <c r="L3741" s="13">
        <f>N3741&amp;O3741&amp;P3741&amp;Q3741&amp;R3741&amp;S3741&amp;T3741&amp;U3741&amp;V3741&amp;W3741&amp;X3741&amp;Y3741&amp;Z3741&amp;AA3741&amp;AB3741&amp;AC3741&amp;AD3741&amp;AE3741&amp;AF3741&amp;AG3741</f>
        <v/>
      </c>
      <c r="N3741" s="10">
        <f>TEXT($B$6,"00")</f>
        <v/>
      </c>
      <c r="O3741" s="10">
        <f>REPT(" ",8)</f>
        <v/>
      </c>
      <c r="P3741" s="10">
        <f>RIGHT($B$4,2)</f>
        <v/>
      </c>
      <c r="Q3741" s="10">
        <f>RIGHT($B$5,3)</f>
        <v/>
      </c>
      <c r="R3741" s="10">
        <f>IF(A3741="D",LEFT(UPPER(B3741)&amp;REPT(" ",20),20),REPT(" ",20))</f>
        <v/>
      </c>
      <c r="S3741" s="10">
        <f>IF(A3741="D",LEFT(UPPER(C3741)&amp;REPT(" ",10),10)," ")</f>
        <v/>
      </c>
      <c r="T3741" s="10">
        <f>IF(A3741="D",LEFT(UPPER(D3741)&amp;REPT(" ",2),2)," ")</f>
        <v/>
      </c>
      <c r="U3741" s="10">
        <f>IF(A3741="D",LEFT(UPPER(E3741)&amp;REPT(" ",15),15)," ")</f>
        <v/>
      </c>
      <c r="V3741" s="10">
        <f>REPT(" ",24)</f>
        <v/>
      </c>
      <c r="W3741" s="10">
        <f>IF(A3741="c",LEFT(UPPER(B3741)&amp;REPT(" ",20),20),REPT(" ",20))</f>
        <v/>
      </c>
      <c r="X3741" s="10">
        <f>IF(A3741="C",LEFT(UPPER(C3741)&amp;REPT(" ",10),10)," ")</f>
        <v/>
      </c>
      <c r="Y3741" s="10">
        <f>IF(A3741="C",LEFT(UPPER(D3741)&amp;REPT(" ",2),2)," ")</f>
        <v/>
      </c>
      <c r="Z3741" s="10">
        <f>IF(A3741="C",LEFT(UPPER(E3741)&amp;REPT(" ",15),15)," ")</f>
        <v/>
      </c>
      <c r="AA3741" s="10">
        <f>REPT(" ",8)</f>
        <v/>
      </c>
      <c r="AB3741" s="10">
        <f>REPT(" ",4)</f>
        <v/>
      </c>
      <c r="AC3741" s="10">
        <f>LEFT(UPPER(H3741)&amp;REPT(" ",250),250)</f>
        <v/>
      </c>
      <c r="AD3741" s="10">
        <f>TEXT($G$2,"dd/mm/aaaa")</f>
        <v/>
      </c>
      <c r="AE3741" s="10">
        <f>REPT(" ",10)</f>
        <v/>
      </c>
      <c r="AF3741" s="10">
        <f>REPT(" ",20)</f>
        <v/>
      </c>
      <c r="AG3741" s="54">
        <f>REPT(" ",18-LEN(FIXED(F3741,2,TRUE)))&amp;FIXED(F3741,2,TRUE)</f>
        <v/>
      </c>
      <c r="AH3741" s="10">
        <f>LEN(AC3741)+LEN(AG3741)</f>
        <v/>
      </c>
      <c r="AI3741" s="10">
        <f>LEN(L3741)</f>
        <v/>
      </c>
    </row>
    <row r="3742">
      <c r="J3742" s="12">
        <f>IF(F3742&lt;&gt;0,"LANÇAR","")</f>
        <v/>
      </c>
      <c r="L3742" s="13">
        <f>N3742&amp;O3742&amp;P3742&amp;Q3742&amp;R3742&amp;S3742&amp;T3742&amp;U3742&amp;V3742&amp;W3742&amp;X3742&amp;Y3742&amp;Z3742&amp;AA3742&amp;AB3742&amp;AC3742&amp;AD3742&amp;AE3742&amp;AF3742&amp;AG3742</f>
        <v/>
      </c>
      <c r="N3742" s="10">
        <f>TEXT($B$6,"00")</f>
        <v/>
      </c>
      <c r="O3742" s="10">
        <f>REPT(" ",8)</f>
        <v/>
      </c>
      <c r="P3742" s="10">
        <f>RIGHT($B$4,2)</f>
        <v/>
      </c>
      <c r="Q3742" s="10">
        <f>RIGHT($B$5,3)</f>
        <v/>
      </c>
      <c r="R3742" s="10">
        <f>IF(A3742="D",LEFT(UPPER(B3742)&amp;REPT(" ",20),20),REPT(" ",20))</f>
        <v/>
      </c>
      <c r="S3742" s="10">
        <f>IF(A3742="D",LEFT(UPPER(C3742)&amp;REPT(" ",10),10)," ")</f>
        <v/>
      </c>
      <c r="T3742" s="10">
        <f>IF(A3742="D",LEFT(UPPER(D3742)&amp;REPT(" ",2),2)," ")</f>
        <v/>
      </c>
      <c r="U3742" s="10">
        <f>IF(A3742="D",LEFT(UPPER(E3742)&amp;REPT(" ",15),15)," ")</f>
        <v/>
      </c>
      <c r="V3742" s="10">
        <f>REPT(" ",24)</f>
        <v/>
      </c>
      <c r="W3742" s="10">
        <f>IF(A3742="c",LEFT(UPPER(B3742)&amp;REPT(" ",20),20),REPT(" ",20))</f>
        <v/>
      </c>
      <c r="X3742" s="10">
        <f>IF(A3742="C",LEFT(UPPER(C3742)&amp;REPT(" ",10),10)," ")</f>
        <v/>
      </c>
      <c r="Y3742" s="10">
        <f>IF(A3742="C",LEFT(UPPER(D3742)&amp;REPT(" ",2),2)," ")</f>
        <v/>
      </c>
      <c r="Z3742" s="10">
        <f>IF(A3742="C",LEFT(UPPER(E3742)&amp;REPT(" ",15),15)," ")</f>
        <v/>
      </c>
      <c r="AA3742" s="10">
        <f>REPT(" ",8)</f>
        <v/>
      </c>
      <c r="AB3742" s="10">
        <f>REPT(" ",4)</f>
        <v/>
      </c>
      <c r="AC3742" s="10">
        <f>LEFT(UPPER(H3742)&amp;REPT(" ",250),250)</f>
        <v/>
      </c>
      <c r="AD3742" s="10">
        <f>TEXT($G$2,"dd/mm/aaaa")</f>
        <v/>
      </c>
      <c r="AE3742" s="10">
        <f>REPT(" ",10)</f>
        <v/>
      </c>
      <c r="AF3742" s="10">
        <f>REPT(" ",20)</f>
        <v/>
      </c>
      <c r="AG3742" s="54">
        <f>REPT(" ",18-LEN(FIXED(F3742,2,TRUE)))&amp;FIXED(F3742,2,TRUE)</f>
        <v/>
      </c>
      <c r="AH3742" s="10">
        <f>LEN(AC3742)+LEN(AG3742)</f>
        <v/>
      </c>
      <c r="AI3742" s="10">
        <f>LEN(L3742)</f>
        <v/>
      </c>
    </row>
    <row r="3743">
      <c r="J3743" s="12">
        <f>IF(F3743&lt;&gt;0,"LANÇAR","")</f>
        <v/>
      </c>
      <c r="L3743" s="13">
        <f>N3743&amp;O3743&amp;P3743&amp;Q3743&amp;R3743&amp;S3743&amp;T3743&amp;U3743&amp;V3743&amp;W3743&amp;X3743&amp;Y3743&amp;Z3743&amp;AA3743&amp;AB3743&amp;AC3743&amp;AD3743&amp;AE3743&amp;AF3743&amp;AG3743</f>
        <v/>
      </c>
      <c r="N3743" s="10">
        <f>TEXT($B$6,"00")</f>
        <v/>
      </c>
      <c r="O3743" s="10">
        <f>REPT(" ",8)</f>
        <v/>
      </c>
      <c r="P3743" s="10">
        <f>RIGHT($B$4,2)</f>
        <v/>
      </c>
      <c r="Q3743" s="10">
        <f>RIGHT($B$5,3)</f>
        <v/>
      </c>
      <c r="R3743" s="10">
        <f>IF(A3743="D",LEFT(UPPER(B3743)&amp;REPT(" ",20),20),REPT(" ",20))</f>
        <v/>
      </c>
      <c r="S3743" s="10">
        <f>IF(A3743="D",LEFT(UPPER(C3743)&amp;REPT(" ",10),10)," ")</f>
        <v/>
      </c>
      <c r="T3743" s="10">
        <f>IF(A3743="D",LEFT(UPPER(D3743)&amp;REPT(" ",2),2)," ")</f>
        <v/>
      </c>
      <c r="U3743" s="10">
        <f>IF(A3743="D",LEFT(UPPER(E3743)&amp;REPT(" ",15),15)," ")</f>
        <v/>
      </c>
      <c r="V3743" s="10">
        <f>REPT(" ",24)</f>
        <v/>
      </c>
      <c r="W3743" s="10">
        <f>IF(A3743="c",LEFT(UPPER(B3743)&amp;REPT(" ",20),20),REPT(" ",20))</f>
        <v/>
      </c>
      <c r="X3743" s="10">
        <f>IF(A3743="C",LEFT(UPPER(C3743)&amp;REPT(" ",10),10)," ")</f>
        <v/>
      </c>
      <c r="Y3743" s="10">
        <f>IF(A3743="C",LEFT(UPPER(D3743)&amp;REPT(" ",2),2)," ")</f>
        <v/>
      </c>
      <c r="Z3743" s="10">
        <f>IF(A3743="C",LEFT(UPPER(E3743)&amp;REPT(" ",15),15)," ")</f>
        <v/>
      </c>
      <c r="AA3743" s="10">
        <f>REPT(" ",8)</f>
        <v/>
      </c>
      <c r="AB3743" s="10">
        <f>REPT(" ",4)</f>
        <v/>
      </c>
      <c r="AC3743" s="10">
        <f>LEFT(UPPER(H3743)&amp;REPT(" ",250),250)</f>
        <v/>
      </c>
      <c r="AD3743" s="10">
        <f>TEXT($G$2,"dd/mm/aaaa")</f>
        <v/>
      </c>
      <c r="AE3743" s="10">
        <f>REPT(" ",10)</f>
        <v/>
      </c>
      <c r="AF3743" s="10">
        <f>REPT(" ",20)</f>
        <v/>
      </c>
      <c r="AG3743" s="54">
        <f>REPT(" ",18-LEN(FIXED(F3743,2,TRUE)))&amp;FIXED(F3743,2,TRUE)</f>
        <v/>
      </c>
      <c r="AH3743" s="10">
        <f>LEN(AC3743)+LEN(AG3743)</f>
        <v/>
      </c>
      <c r="AI3743" s="10">
        <f>LEN(L3743)</f>
        <v/>
      </c>
    </row>
    <row r="3744">
      <c r="J3744" s="12">
        <f>IF(F3744&lt;&gt;0,"LANÇAR","")</f>
        <v/>
      </c>
      <c r="L3744" s="13">
        <f>N3744&amp;O3744&amp;P3744&amp;Q3744&amp;R3744&amp;S3744&amp;T3744&amp;U3744&amp;V3744&amp;W3744&amp;X3744&amp;Y3744&amp;Z3744&amp;AA3744&amp;AB3744&amp;AC3744&amp;AD3744&amp;AE3744&amp;AF3744&amp;AG3744</f>
        <v/>
      </c>
      <c r="N3744" s="10">
        <f>TEXT($B$6,"00")</f>
        <v/>
      </c>
      <c r="O3744" s="10">
        <f>REPT(" ",8)</f>
        <v/>
      </c>
      <c r="P3744" s="10">
        <f>RIGHT($B$4,2)</f>
        <v/>
      </c>
      <c r="Q3744" s="10">
        <f>RIGHT($B$5,3)</f>
        <v/>
      </c>
      <c r="R3744" s="10">
        <f>IF(A3744="D",LEFT(UPPER(B3744)&amp;REPT(" ",20),20),REPT(" ",20))</f>
        <v/>
      </c>
      <c r="S3744" s="10">
        <f>IF(A3744="D",LEFT(UPPER(C3744)&amp;REPT(" ",10),10)," ")</f>
        <v/>
      </c>
      <c r="T3744" s="10">
        <f>IF(A3744="D",LEFT(UPPER(D3744)&amp;REPT(" ",2),2)," ")</f>
        <v/>
      </c>
      <c r="U3744" s="10">
        <f>IF(A3744="D",LEFT(UPPER(E3744)&amp;REPT(" ",15),15)," ")</f>
        <v/>
      </c>
      <c r="V3744" s="10">
        <f>REPT(" ",24)</f>
        <v/>
      </c>
      <c r="W3744" s="10">
        <f>IF(A3744="c",LEFT(UPPER(B3744)&amp;REPT(" ",20),20),REPT(" ",20))</f>
        <v/>
      </c>
      <c r="X3744" s="10">
        <f>IF(A3744="C",LEFT(UPPER(C3744)&amp;REPT(" ",10),10)," ")</f>
        <v/>
      </c>
      <c r="Y3744" s="10">
        <f>IF(A3744="C",LEFT(UPPER(D3744)&amp;REPT(" ",2),2)," ")</f>
        <v/>
      </c>
      <c r="Z3744" s="10">
        <f>IF(A3744="C",LEFT(UPPER(E3744)&amp;REPT(" ",15),15)," ")</f>
        <v/>
      </c>
      <c r="AA3744" s="10">
        <f>REPT(" ",8)</f>
        <v/>
      </c>
      <c r="AB3744" s="10">
        <f>REPT(" ",4)</f>
        <v/>
      </c>
      <c r="AC3744" s="10">
        <f>LEFT(UPPER(H3744)&amp;REPT(" ",250),250)</f>
        <v/>
      </c>
      <c r="AD3744" s="10">
        <f>TEXT($G$2,"dd/mm/aaaa")</f>
        <v/>
      </c>
      <c r="AE3744" s="10">
        <f>REPT(" ",10)</f>
        <v/>
      </c>
      <c r="AF3744" s="10">
        <f>REPT(" ",20)</f>
        <v/>
      </c>
      <c r="AG3744" s="54">
        <f>REPT(" ",18-LEN(FIXED(F3744,2,TRUE)))&amp;FIXED(F3744,2,TRUE)</f>
        <v/>
      </c>
      <c r="AH3744" s="10">
        <f>LEN(AC3744)+LEN(AG3744)</f>
        <v/>
      </c>
      <c r="AI3744" s="10">
        <f>LEN(L3744)</f>
        <v/>
      </c>
    </row>
    <row r="3745">
      <c r="J3745" s="12">
        <f>IF(F3745&lt;&gt;0,"LANÇAR","")</f>
        <v/>
      </c>
      <c r="L3745" s="13">
        <f>N3745&amp;O3745&amp;P3745&amp;Q3745&amp;R3745&amp;S3745&amp;T3745&amp;U3745&amp;V3745&amp;W3745&amp;X3745&amp;Y3745&amp;Z3745&amp;AA3745&amp;AB3745&amp;AC3745&amp;AD3745&amp;AE3745&amp;AF3745&amp;AG3745</f>
        <v/>
      </c>
      <c r="N3745" s="10">
        <f>TEXT($B$6,"00")</f>
        <v/>
      </c>
      <c r="O3745" s="10">
        <f>REPT(" ",8)</f>
        <v/>
      </c>
      <c r="P3745" s="10">
        <f>RIGHT($B$4,2)</f>
        <v/>
      </c>
      <c r="Q3745" s="10">
        <f>RIGHT($B$5,3)</f>
        <v/>
      </c>
      <c r="R3745" s="10">
        <f>IF(A3745="D",LEFT(UPPER(B3745)&amp;REPT(" ",20),20),REPT(" ",20))</f>
        <v/>
      </c>
      <c r="S3745" s="10">
        <f>IF(A3745="D",LEFT(UPPER(C3745)&amp;REPT(" ",10),10)," ")</f>
        <v/>
      </c>
      <c r="T3745" s="10">
        <f>IF(A3745="D",LEFT(UPPER(D3745)&amp;REPT(" ",2),2)," ")</f>
        <v/>
      </c>
      <c r="U3745" s="10">
        <f>IF(A3745="D",LEFT(UPPER(E3745)&amp;REPT(" ",15),15)," ")</f>
        <v/>
      </c>
      <c r="V3745" s="10">
        <f>REPT(" ",24)</f>
        <v/>
      </c>
      <c r="W3745" s="10">
        <f>IF(A3745="c",LEFT(UPPER(B3745)&amp;REPT(" ",20),20),REPT(" ",20))</f>
        <v/>
      </c>
      <c r="X3745" s="10">
        <f>IF(A3745="C",LEFT(UPPER(C3745)&amp;REPT(" ",10),10)," ")</f>
        <v/>
      </c>
      <c r="Y3745" s="10">
        <f>IF(A3745="C",LEFT(UPPER(D3745)&amp;REPT(" ",2),2)," ")</f>
        <v/>
      </c>
      <c r="Z3745" s="10">
        <f>IF(A3745="C",LEFT(UPPER(E3745)&amp;REPT(" ",15),15)," ")</f>
        <v/>
      </c>
      <c r="AA3745" s="10">
        <f>REPT(" ",8)</f>
        <v/>
      </c>
      <c r="AB3745" s="10">
        <f>REPT(" ",4)</f>
        <v/>
      </c>
      <c r="AC3745" s="10">
        <f>LEFT(UPPER(H3745)&amp;REPT(" ",250),250)</f>
        <v/>
      </c>
      <c r="AD3745" s="10">
        <f>TEXT($G$2,"dd/mm/aaaa")</f>
        <v/>
      </c>
      <c r="AE3745" s="10">
        <f>REPT(" ",10)</f>
        <v/>
      </c>
      <c r="AF3745" s="10">
        <f>REPT(" ",20)</f>
        <v/>
      </c>
      <c r="AG3745" s="54">
        <f>REPT(" ",18-LEN(FIXED(F3745,2,TRUE)))&amp;FIXED(F3745,2,TRUE)</f>
        <v/>
      </c>
      <c r="AH3745" s="10">
        <f>LEN(AC3745)+LEN(AG3745)</f>
        <v/>
      </c>
      <c r="AI3745" s="10">
        <f>LEN(L3745)</f>
        <v/>
      </c>
    </row>
    <row r="3746">
      <c r="J3746" s="12">
        <f>IF(F3746&lt;&gt;0,"LANÇAR","")</f>
        <v/>
      </c>
      <c r="L3746" s="13">
        <f>N3746&amp;O3746&amp;P3746&amp;Q3746&amp;R3746&amp;S3746&amp;T3746&amp;U3746&amp;V3746&amp;W3746&amp;X3746&amp;Y3746&amp;Z3746&amp;AA3746&amp;AB3746&amp;AC3746&amp;AD3746&amp;AE3746&amp;AF3746&amp;AG3746</f>
        <v/>
      </c>
      <c r="N3746" s="10">
        <f>TEXT($B$6,"00")</f>
        <v/>
      </c>
      <c r="O3746" s="10">
        <f>REPT(" ",8)</f>
        <v/>
      </c>
      <c r="P3746" s="10">
        <f>RIGHT($B$4,2)</f>
        <v/>
      </c>
      <c r="Q3746" s="10">
        <f>RIGHT($B$5,3)</f>
        <v/>
      </c>
      <c r="R3746" s="10">
        <f>IF(A3746="D",LEFT(UPPER(B3746)&amp;REPT(" ",20),20),REPT(" ",20))</f>
        <v/>
      </c>
      <c r="S3746" s="10">
        <f>IF(A3746="D",LEFT(UPPER(C3746)&amp;REPT(" ",10),10)," ")</f>
        <v/>
      </c>
      <c r="T3746" s="10">
        <f>IF(A3746="D",LEFT(UPPER(D3746)&amp;REPT(" ",2),2)," ")</f>
        <v/>
      </c>
      <c r="U3746" s="10">
        <f>IF(A3746="D",LEFT(UPPER(E3746)&amp;REPT(" ",15),15)," ")</f>
        <v/>
      </c>
      <c r="V3746" s="10">
        <f>REPT(" ",24)</f>
        <v/>
      </c>
      <c r="W3746" s="10">
        <f>IF(A3746="c",LEFT(UPPER(B3746)&amp;REPT(" ",20),20),REPT(" ",20))</f>
        <v/>
      </c>
      <c r="X3746" s="10">
        <f>IF(A3746="C",LEFT(UPPER(C3746)&amp;REPT(" ",10),10)," ")</f>
        <v/>
      </c>
      <c r="Y3746" s="10">
        <f>IF(A3746="C",LEFT(UPPER(D3746)&amp;REPT(" ",2),2)," ")</f>
        <v/>
      </c>
      <c r="Z3746" s="10">
        <f>IF(A3746="C",LEFT(UPPER(E3746)&amp;REPT(" ",15),15)," ")</f>
        <v/>
      </c>
      <c r="AA3746" s="10">
        <f>REPT(" ",8)</f>
        <v/>
      </c>
      <c r="AB3746" s="10">
        <f>REPT(" ",4)</f>
        <v/>
      </c>
      <c r="AC3746" s="10">
        <f>LEFT(UPPER(H3746)&amp;REPT(" ",250),250)</f>
        <v/>
      </c>
      <c r="AD3746" s="10">
        <f>TEXT($G$2,"dd/mm/aaaa")</f>
        <v/>
      </c>
      <c r="AE3746" s="10">
        <f>REPT(" ",10)</f>
        <v/>
      </c>
      <c r="AF3746" s="10">
        <f>REPT(" ",20)</f>
        <v/>
      </c>
      <c r="AG3746" s="54">
        <f>REPT(" ",18-LEN(FIXED(F3746,2,TRUE)))&amp;FIXED(F3746,2,TRUE)</f>
        <v/>
      </c>
      <c r="AH3746" s="10">
        <f>LEN(AC3746)+LEN(AG3746)</f>
        <v/>
      </c>
      <c r="AI3746" s="10">
        <f>LEN(L3746)</f>
        <v/>
      </c>
    </row>
    <row r="3747">
      <c r="J3747" s="12">
        <f>IF(F3747&lt;&gt;0,"LANÇAR","")</f>
        <v/>
      </c>
      <c r="L3747" s="13">
        <f>N3747&amp;O3747&amp;P3747&amp;Q3747&amp;R3747&amp;S3747&amp;T3747&amp;U3747&amp;V3747&amp;W3747&amp;X3747&amp;Y3747&amp;Z3747&amp;AA3747&amp;AB3747&amp;AC3747&amp;AD3747&amp;AE3747&amp;AF3747&amp;AG3747</f>
        <v/>
      </c>
      <c r="N3747" s="10">
        <f>TEXT($B$6,"00")</f>
        <v/>
      </c>
      <c r="O3747" s="10">
        <f>REPT(" ",8)</f>
        <v/>
      </c>
      <c r="P3747" s="10">
        <f>RIGHT($B$4,2)</f>
        <v/>
      </c>
      <c r="Q3747" s="10">
        <f>RIGHT($B$5,3)</f>
        <v/>
      </c>
      <c r="R3747" s="10">
        <f>IF(A3747="D",LEFT(UPPER(B3747)&amp;REPT(" ",20),20),REPT(" ",20))</f>
        <v/>
      </c>
      <c r="S3747" s="10">
        <f>IF(A3747="D",LEFT(UPPER(C3747)&amp;REPT(" ",10),10)," ")</f>
        <v/>
      </c>
      <c r="T3747" s="10">
        <f>IF(A3747="D",LEFT(UPPER(D3747)&amp;REPT(" ",2),2)," ")</f>
        <v/>
      </c>
      <c r="U3747" s="10">
        <f>IF(A3747="D",LEFT(UPPER(E3747)&amp;REPT(" ",15),15)," ")</f>
        <v/>
      </c>
      <c r="V3747" s="10">
        <f>REPT(" ",24)</f>
        <v/>
      </c>
      <c r="W3747" s="10">
        <f>IF(A3747="c",LEFT(UPPER(B3747)&amp;REPT(" ",20),20),REPT(" ",20))</f>
        <v/>
      </c>
      <c r="X3747" s="10">
        <f>IF(A3747="C",LEFT(UPPER(C3747)&amp;REPT(" ",10),10)," ")</f>
        <v/>
      </c>
      <c r="Y3747" s="10">
        <f>IF(A3747="C",LEFT(UPPER(D3747)&amp;REPT(" ",2),2)," ")</f>
        <v/>
      </c>
      <c r="Z3747" s="10">
        <f>IF(A3747="C",LEFT(UPPER(E3747)&amp;REPT(" ",15),15)," ")</f>
        <v/>
      </c>
      <c r="AA3747" s="10">
        <f>REPT(" ",8)</f>
        <v/>
      </c>
      <c r="AB3747" s="10">
        <f>REPT(" ",4)</f>
        <v/>
      </c>
      <c r="AC3747" s="10">
        <f>LEFT(UPPER(H3747)&amp;REPT(" ",250),250)</f>
        <v/>
      </c>
      <c r="AD3747" s="10">
        <f>TEXT($G$2,"dd/mm/aaaa")</f>
        <v/>
      </c>
      <c r="AE3747" s="10">
        <f>REPT(" ",10)</f>
        <v/>
      </c>
      <c r="AF3747" s="10">
        <f>REPT(" ",20)</f>
        <v/>
      </c>
      <c r="AG3747" s="54">
        <f>REPT(" ",18-LEN(FIXED(F3747,2,TRUE)))&amp;FIXED(F3747,2,TRUE)</f>
        <v/>
      </c>
      <c r="AH3747" s="10">
        <f>LEN(AC3747)+LEN(AG3747)</f>
        <v/>
      </c>
      <c r="AI3747" s="10">
        <f>LEN(L3747)</f>
        <v/>
      </c>
    </row>
    <row r="3748">
      <c r="J3748" s="12">
        <f>IF(F3748&lt;&gt;0,"LANÇAR","")</f>
        <v/>
      </c>
      <c r="L3748" s="13">
        <f>N3748&amp;O3748&amp;P3748&amp;Q3748&amp;R3748&amp;S3748&amp;T3748&amp;U3748&amp;V3748&amp;W3748&amp;X3748&amp;Y3748&amp;Z3748&amp;AA3748&amp;AB3748&amp;AC3748&amp;AD3748&amp;AE3748&amp;AF3748&amp;AG3748</f>
        <v/>
      </c>
      <c r="N3748" s="10">
        <f>TEXT($B$6,"00")</f>
        <v/>
      </c>
      <c r="O3748" s="10">
        <f>REPT(" ",8)</f>
        <v/>
      </c>
      <c r="P3748" s="10">
        <f>RIGHT($B$4,2)</f>
        <v/>
      </c>
      <c r="Q3748" s="10">
        <f>RIGHT($B$5,3)</f>
        <v/>
      </c>
      <c r="R3748" s="10">
        <f>IF(A3748="D",LEFT(UPPER(B3748)&amp;REPT(" ",20),20),REPT(" ",20))</f>
        <v/>
      </c>
      <c r="S3748" s="10">
        <f>IF(A3748="D",LEFT(UPPER(C3748)&amp;REPT(" ",10),10)," ")</f>
        <v/>
      </c>
      <c r="T3748" s="10">
        <f>IF(A3748="D",LEFT(UPPER(D3748)&amp;REPT(" ",2),2)," ")</f>
        <v/>
      </c>
      <c r="U3748" s="10">
        <f>IF(A3748="D",LEFT(UPPER(E3748)&amp;REPT(" ",15),15)," ")</f>
        <v/>
      </c>
      <c r="V3748" s="10">
        <f>REPT(" ",24)</f>
        <v/>
      </c>
      <c r="W3748" s="10">
        <f>IF(A3748="c",LEFT(UPPER(B3748)&amp;REPT(" ",20),20),REPT(" ",20))</f>
        <v/>
      </c>
      <c r="X3748" s="10">
        <f>IF(A3748="C",LEFT(UPPER(C3748)&amp;REPT(" ",10),10)," ")</f>
        <v/>
      </c>
      <c r="Y3748" s="10">
        <f>IF(A3748="C",LEFT(UPPER(D3748)&amp;REPT(" ",2),2)," ")</f>
        <v/>
      </c>
      <c r="Z3748" s="10">
        <f>IF(A3748="C",LEFT(UPPER(E3748)&amp;REPT(" ",15),15)," ")</f>
        <v/>
      </c>
      <c r="AA3748" s="10">
        <f>REPT(" ",8)</f>
        <v/>
      </c>
      <c r="AB3748" s="10">
        <f>REPT(" ",4)</f>
        <v/>
      </c>
      <c r="AC3748" s="10">
        <f>LEFT(UPPER(H3748)&amp;REPT(" ",250),250)</f>
        <v/>
      </c>
      <c r="AD3748" s="10">
        <f>TEXT($G$2,"dd/mm/aaaa")</f>
        <v/>
      </c>
      <c r="AE3748" s="10">
        <f>REPT(" ",10)</f>
        <v/>
      </c>
      <c r="AF3748" s="10">
        <f>REPT(" ",20)</f>
        <v/>
      </c>
      <c r="AG3748" s="54">
        <f>REPT(" ",18-LEN(FIXED(F3748,2,TRUE)))&amp;FIXED(F3748,2,TRUE)</f>
        <v/>
      </c>
      <c r="AH3748" s="10">
        <f>LEN(AC3748)+LEN(AG3748)</f>
        <v/>
      </c>
      <c r="AI3748" s="10">
        <f>LEN(L3748)</f>
        <v/>
      </c>
    </row>
    <row r="3749">
      <c r="J3749" s="12">
        <f>IF(F3749&lt;&gt;0,"LANÇAR","")</f>
        <v/>
      </c>
      <c r="L3749" s="13">
        <f>N3749&amp;O3749&amp;P3749&amp;Q3749&amp;R3749&amp;S3749&amp;T3749&amp;U3749&amp;V3749&amp;W3749&amp;X3749&amp;Y3749&amp;Z3749&amp;AA3749&amp;AB3749&amp;AC3749&amp;AD3749&amp;AE3749&amp;AF3749&amp;AG3749</f>
        <v/>
      </c>
      <c r="N3749" s="10">
        <f>TEXT($B$6,"00")</f>
        <v/>
      </c>
      <c r="O3749" s="10">
        <f>REPT(" ",8)</f>
        <v/>
      </c>
      <c r="P3749" s="10">
        <f>RIGHT($B$4,2)</f>
        <v/>
      </c>
      <c r="Q3749" s="10">
        <f>RIGHT($B$5,3)</f>
        <v/>
      </c>
      <c r="R3749" s="10">
        <f>IF(A3749="D",LEFT(UPPER(B3749)&amp;REPT(" ",20),20),REPT(" ",20))</f>
        <v/>
      </c>
      <c r="S3749" s="10">
        <f>IF(A3749="D",LEFT(UPPER(C3749)&amp;REPT(" ",10),10)," ")</f>
        <v/>
      </c>
      <c r="T3749" s="10">
        <f>IF(A3749="D",LEFT(UPPER(D3749)&amp;REPT(" ",2),2)," ")</f>
        <v/>
      </c>
      <c r="U3749" s="10">
        <f>IF(A3749="D",LEFT(UPPER(E3749)&amp;REPT(" ",15),15)," ")</f>
        <v/>
      </c>
      <c r="V3749" s="10">
        <f>REPT(" ",24)</f>
        <v/>
      </c>
      <c r="W3749" s="10">
        <f>IF(A3749="c",LEFT(UPPER(B3749)&amp;REPT(" ",20),20),REPT(" ",20))</f>
        <v/>
      </c>
      <c r="X3749" s="10">
        <f>IF(A3749="C",LEFT(UPPER(C3749)&amp;REPT(" ",10),10)," ")</f>
        <v/>
      </c>
      <c r="Y3749" s="10">
        <f>IF(A3749="C",LEFT(UPPER(D3749)&amp;REPT(" ",2),2)," ")</f>
        <v/>
      </c>
      <c r="Z3749" s="10">
        <f>IF(A3749="C",LEFT(UPPER(E3749)&amp;REPT(" ",15),15)," ")</f>
        <v/>
      </c>
      <c r="AA3749" s="10">
        <f>REPT(" ",8)</f>
        <v/>
      </c>
      <c r="AB3749" s="10">
        <f>REPT(" ",4)</f>
        <v/>
      </c>
      <c r="AC3749" s="10">
        <f>LEFT(UPPER(H3749)&amp;REPT(" ",250),250)</f>
        <v/>
      </c>
      <c r="AD3749" s="10">
        <f>TEXT($G$2,"dd/mm/aaaa")</f>
        <v/>
      </c>
      <c r="AE3749" s="10">
        <f>REPT(" ",10)</f>
        <v/>
      </c>
      <c r="AF3749" s="10">
        <f>REPT(" ",20)</f>
        <v/>
      </c>
      <c r="AG3749" s="54">
        <f>REPT(" ",18-LEN(FIXED(F3749,2,TRUE)))&amp;FIXED(F3749,2,TRUE)</f>
        <v/>
      </c>
      <c r="AH3749" s="10">
        <f>LEN(AC3749)+LEN(AG3749)</f>
        <v/>
      </c>
      <c r="AI3749" s="10">
        <f>LEN(L3749)</f>
        <v/>
      </c>
    </row>
    <row r="3750">
      <c r="J3750" s="12">
        <f>IF(F3750&lt;&gt;0,"LANÇAR","")</f>
        <v/>
      </c>
      <c r="L3750" s="13">
        <f>N3750&amp;O3750&amp;P3750&amp;Q3750&amp;R3750&amp;S3750&amp;T3750&amp;U3750&amp;V3750&amp;W3750&amp;X3750&amp;Y3750&amp;Z3750&amp;AA3750&amp;AB3750&amp;AC3750&amp;AD3750&amp;AE3750&amp;AF3750&amp;AG3750</f>
        <v/>
      </c>
      <c r="N3750" s="10">
        <f>TEXT($B$6,"00")</f>
        <v/>
      </c>
      <c r="O3750" s="10">
        <f>REPT(" ",8)</f>
        <v/>
      </c>
      <c r="P3750" s="10">
        <f>RIGHT($B$4,2)</f>
        <v/>
      </c>
      <c r="Q3750" s="10">
        <f>RIGHT($B$5,3)</f>
        <v/>
      </c>
      <c r="R3750" s="10">
        <f>IF(A3750="D",LEFT(UPPER(B3750)&amp;REPT(" ",20),20),REPT(" ",20))</f>
        <v/>
      </c>
      <c r="S3750" s="10">
        <f>IF(A3750="D",LEFT(UPPER(C3750)&amp;REPT(" ",10),10)," ")</f>
        <v/>
      </c>
      <c r="T3750" s="10">
        <f>IF(A3750="D",LEFT(UPPER(D3750)&amp;REPT(" ",2),2)," ")</f>
        <v/>
      </c>
      <c r="U3750" s="10">
        <f>IF(A3750="D",LEFT(UPPER(E3750)&amp;REPT(" ",15),15)," ")</f>
        <v/>
      </c>
      <c r="V3750" s="10">
        <f>REPT(" ",24)</f>
        <v/>
      </c>
      <c r="W3750" s="10">
        <f>IF(A3750="c",LEFT(UPPER(B3750)&amp;REPT(" ",20),20),REPT(" ",20))</f>
        <v/>
      </c>
      <c r="X3750" s="10">
        <f>IF(A3750="C",LEFT(UPPER(C3750)&amp;REPT(" ",10),10)," ")</f>
        <v/>
      </c>
      <c r="Y3750" s="10">
        <f>IF(A3750="C",LEFT(UPPER(D3750)&amp;REPT(" ",2),2)," ")</f>
        <v/>
      </c>
      <c r="Z3750" s="10">
        <f>IF(A3750="C",LEFT(UPPER(E3750)&amp;REPT(" ",15),15)," ")</f>
        <v/>
      </c>
      <c r="AA3750" s="10">
        <f>REPT(" ",8)</f>
        <v/>
      </c>
      <c r="AB3750" s="10">
        <f>REPT(" ",4)</f>
        <v/>
      </c>
      <c r="AC3750" s="10">
        <f>LEFT(UPPER(H3750)&amp;REPT(" ",250),250)</f>
        <v/>
      </c>
      <c r="AD3750" s="10">
        <f>TEXT($G$2,"dd/mm/aaaa")</f>
        <v/>
      </c>
      <c r="AE3750" s="10">
        <f>REPT(" ",10)</f>
        <v/>
      </c>
      <c r="AF3750" s="10">
        <f>REPT(" ",20)</f>
        <v/>
      </c>
      <c r="AG3750" s="54">
        <f>REPT(" ",18-LEN(FIXED(F3750,2,TRUE)))&amp;FIXED(F3750,2,TRUE)</f>
        <v/>
      </c>
      <c r="AH3750" s="10">
        <f>LEN(AC3750)+LEN(AG3750)</f>
        <v/>
      </c>
      <c r="AI3750" s="10">
        <f>LEN(L3750)</f>
        <v/>
      </c>
    </row>
    <row r="3751">
      <c r="J3751" s="12">
        <f>IF(F3751&lt;&gt;0,"LANÇAR","")</f>
        <v/>
      </c>
      <c r="L3751" s="13">
        <f>N3751&amp;O3751&amp;P3751&amp;Q3751&amp;R3751&amp;S3751&amp;T3751&amp;U3751&amp;V3751&amp;W3751&amp;X3751&amp;Y3751&amp;Z3751&amp;AA3751&amp;AB3751&amp;AC3751&amp;AD3751&amp;AE3751&amp;AF3751&amp;AG3751</f>
        <v/>
      </c>
      <c r="N3751" s="10">
        <f>TEXT($B$6,"00")</f>
        <v/>
      </c>
      <c r="O3751" s="10">
        <f>REPT(" ",8)</f>
        <v/>
      </c>
      <c r="P3751" s="10">
        <f>RIGHT($B$4,2)</f>
        <v/>
      </c>
      <c r="Q3751" s="10">
        <f>RIGHT($B$5,3)</f>
        <v/>
      </c>
      <c r="R3751" s="10">
        <f>IF(A3751="D",LEFT(UPPER(B3751)&amp;REPT(" ",20),20),REPT(" ",20))</f>
        <v/>
      </c>
      <c r="S3751" s="10">
        <f>IF(A3751="D",LEFT(UPPER(C3751)&amp;REPT(" ",10),10)," ")</f>
        <v/>
      </c>
      <c r="T3751" s="10">
        <f>IF(A3751="D",LEFT(UPPER(D3751)&amp;REPT(" ",2),2)," ")</f>
        <v/>
      </c>
      <c r="U3751" s="10">
        <f>IF(A3751="D",LEFT(UPPER(E3751)&amp;REPT(" ",15),15)," ")</f>
        <v/>
      </c>
      <c r="V3751" s="10">
        <f>REPT(" ",24)</f>
        <v/>
      </c>
      <c r="W3751" s="10">
        <f>IF(A3751="c",LEFT(UPPER(B3751)&amp;REPT(" ",20),20),REPT(" ",20))</f>
        <v/>
      </c>
      <c r="X3751" s="10">
        <f>IF(A3751="C",LEFT(UPPER(C3751)&amp;REPT(" ",10),10)," ")</f>
        <v/>
      </c>
      <c r="Y3751" s="10">
        <f>IF(A3751="C",LEFT(UPPER(D3751)&amp;REPT(" ",2),2)," ")</f>
        <v/>
      </c>
      <c r="Z3751" s="10">
        <f>IF(A3751="C",LEFT(UPPER(E3751)&amp;REPT(" ",15),15)," ")</f>
        <v/>
      </c>
      <c r="AA3751" s="10">
        <f>REPT(" ",8)</f>
        <v/>
      </c>
      <c r="AB3751" s="10">
        <f>REPT(" ",4)</f>
        <v/>
      </c>
      <c r="AC3751" s="10">
        <f>LEFT(UPPER(H3751)&amp;REPT(" ",250),250)</f>
        <v/>
      </c>
      <c r="AD3751" s="10">
        <f>TEXT($G$2,"dd/mm/aaaa")</f>
        <v/>
      </c>
      <c r="AE3751" s="10">
        <f>REPT(" ",10)</f>
        <v/>
      </c>
      <c r="AF3751" s="10">
        <f>REPT(" ",20)</f>
        <v/>
      </c>
      <c r="AG3751" s="54">
        <f>REPT(" ",18-LEN(FIXED(F3751,2,TRUE)))&amp;FIXED(F3751,2,TRUE)</f>
        <v/>
      </c>
      <c r="AH3751" s="10">
        <f>LEN(AC3751)+LEN(AG3751)</f>
        <v/>
      </c>
      <c r="AI3751" s="10">
        <f>LEN(L3751)</f>
        <v/>
      </c>
    </row>
    <row r="3752">
      <c r="J3752" s="12">
        <f>IF(F3752&lt;&gt;0,"LANÇAR","")</f>
        <v/>
      </c>
      <c r="L3752" s="13">
        <f>N3752&amp;O3752&amp;P3752&amp;Q3752&amp;R3752&amp;S3752&amp;T3752&amp;U3752&amp;V3752&amp;W3752&amp;X3752&amp;Y3752&amp;Z3752&amp;AA3752&amp;AB3752&amp;AC3752&amp;AD3752&amp;AE3752&amp;AF3752&amp;AG3752</f>
        <v/>
      </c>
      <c r="N3752" s="10">
        <f>TEXT($B$6,"00")</f>
        <v/>
      </c>
      <c r="O3752" s="10">
        <f>REPT(" ",8)</f>
        <v/>
      </c>
      <c r="P3752" s="10">
        <f>RIGHT($B$4,2)</f>
        <v/>
      </c>
      <c r="Q3752" s="10">
        <f>RIGHT($B$5,3)</f>
        <v/>
      </c>
      <c r="R3752" s="10">
        <f>IF(A3752="D",LEFT(UPPER(B3752)&amp;REPT(" ",20),20),REPT(" ",20))</f>
        <v/>
      </c>
      <c r="S3752" s="10">
        <f>IF(A3752="D",LEFT(UPPER(C3752)&amp;REPT(" ",10),10)," ")</f>
        <v/>
      </c>
      <c r="T3752" s="10">
        <f>IF(A3752="D",LEFT(UPPER(D3752)&amp;REPT(" ",2),2)," ")</f>
        <v/>
      </c>
      <c r="U3752" s="10">
        <f>IF(A3752="D",LEFT(UPPER(E3752)&amp;REPT(" ",15),15)," ")</f>
        <v/>
      </c>
      <c r="V3752" s="10">
        <f>REPT(" ",24)</f>
        <v/>
      </c>
      <c r="W3752" s="10">
        <f>IF(A3752="c",LEFT(UPPER(B3752)&amp;REPT(" ",20),20),REPT(" ",20))</f>
        <v/>
      </c>
      <c r="X3752" s="10">
        <f>IF(A3752="C",LEFT(UPPER(C3752)&amp;REPT(" ",10),10)," ")</f>
        <v/>
      </c>
      <c r="Y3752" s="10">
        <f>IF(A3752="C",LEFT(UPPER(D3752)&amp;REPT(" ",2),2)," ")</f>
        <v/>
      </c>
      <c r="Z3752" s="10">
        <f>IF(A3752="C",LEFT(UPPER(E3752)&amp;REPT(" ",15),15)," ")</f>
        <v/>
      </c>
      <c r="AA3752" s="10">
        <f>REPT(" ",8)</f>
        <v/>
      </c>
      <c r="AB3752" s="10">
        <f>REPT(" ",4)</f>
        <v/>
      </c>
      <c r="AC3752" s="10">
        <f>LEFT(UPPER(H3752)&amp;REPT(" ",250),250)</f>
        <v/>
      </c>
      <c r="AD3752" s="10">
        <f>TEXT($G$2,"dd/mm/aaaa")</f>
        <v/>
      </c>
      <c r="AE3752" s="10">
        <f>REPT(" ",10)</f>
        <v/>
      </c>
      <c r="AF3752" s="10">
        <f>REPT(" ",20)</f>
        <v/>
      </c>
      <c r="AG3752" s="54">
        <f>REPT(" ",18-LEN(FIXED(F3752,2,TRUE)))&amp;FIXED(F3752,2,TRUE)</f>
        <v/>
      </c>
      <c r="AH3752" s="10">
        <f>LEN(AC3752)+LEN(AG3752)</f>
        <v/>
      </c>
      <c r="AI3752" s="10">
        <f>LEN(L3752)</f>
        <v/>
      </c>
    </row>
    <row r="3753">
      <c r="J3753" s="12">
        <f>IF(F3753&lt;&gt;0,"LANÇAR","")</f>
        <v/>
      </c>
      <c r="L3753" s="13">
        <f>N3753&amp;O3753&amp;P3753&amp;Q3753&amp;R3753&amp;S3753&amp;T3753&amp;U3753&amp;V3753&amp;W3753&amp;X3753&amp;Y3753&amp;Z3753&amp;AA3753&amp;AB3753&amp;AC3753&amp;AD3753&amp;AE3753&amp;AF3753&amp;AG3753</f>
        <v/>
      </c>
      <c r="N3753" s="10">
        <f>TEXT($B$6,"00")</f>
        <v/>
      </c>
      <c r="O3753" s="10">
        <f>REPT(" ",8)</f>
        <v/>
      </c>
      <c r="P3753" s="10">
        <f>RIGHT($B$4,2)</f>
        <v/>
      </c>
      <c r="Q3753" s="10">
        <f>RIGHT($B$5,3)</f>
        <v/>
      </c>
      <c r="R3753" s="10">
        <f>IF(A3753="D",LEFT(UPPER(B3753)&amp;REPT(" ",20),20),REPT(" ",20))</f>
        <v/>
      </c>
      <c r="S3753" s="10">
        <f>IF(A3753="D",LEFT(UPPER(C3753)&amp;REPT(" ",10),10)," ")</f>
        <v/>
      </c>
      <c r="T3753" s="10">
        <f>IF(A3753="D",LEFT(UPPER(D3753)&amp;REPT(" ",2),2)," ")</f>
        <v/>
      </c>
      <c r="U3753" s="10">
        <f>IF(A3753="D",LEFT(UPPER(E3753)&amp;REPT(" ",15),15)," ")</f>
        <v/>
      </c>
      <c r="V3753" s="10">
        <f>REPT(" ",24)</f>
        <v/>
      </c>
      <c r="W3753" s="10">
        <f>IF(A3753="c",LEFT(UPPER(B3753)&amp;REPT(" ",20),20),REPT(" ",20))</f>
        <v/>
      </c>
      <c r="X3753" s="10">
        <f>IF(A3753="C",LEFT(UPPER(C3753)&amp;REPT(" ",10),10)," ")</f>
        <v/>
      </c>
      <c r="Y3753" s="10">
        <f>IF(A3753="C",LEFT(UPPER(D3753)&amp;REPT(" ",2),2)," ")</f>
        <v/>
      </c>
      <c r="Z3753" s="10">
        <f>IF(A3753="C",LEFT(UPPER(E3753)&amp;REPT(" ",15),15)," ")</f>
        <v/>
      </c>
      <c r="AA3753" s="10">
        <f>REPT(" ",8)</f>
        <v/>
      </c>
      <c r="AB3753" s="10">
        <f>REPT(" ",4)</f>
        <v/>
      </c>
      <c r="AC3753" s="10">
        <f>LEFT(UPPER(H3753)&amp;REPT(" ",250),250)</f>
        <v/>
      </c>
      <c r="AD3753" s="10">
        <f>TEXT($G$2,"dd/mm/aaaa")</f>
        <v/>
      </c>
      <c r="AE3753" s="10">
        <f>REPT(" ",10)</f>
        <v/>
      </c>
      <c r="AF3753" s="10">
        <f>REPT(" ",20)</f>
        <v/>
      </c>
      <c r="AG3753" s="54">
        <f>REPT(" ",18-LEN(FIXED(F3753,2,TRUE)))&amp;FIXED(F3753,2,TRUE)</f>
        <v/>
      </c>
      <c r="AH3753" s="10">
        <f>LEN(AC3753)+LEN(AG3753)</f>
        <v/>
      </c>
      <c r="AI3753" s="10">
        <f>LEN(L3753)</f>
        <v/>
      </c>
    </row>
    <row r="3754">
      <c r="J3754" s="12">
        <f>IF(F3754&lt;&gt;0,"LANÇAR","")</f>
        <v/>
      </c>
      <c r="L3754" s="13">
        <f>N3754&amp;O3754&amp;P3754&amp;Q3754&amp;R3754&amp;S3754&amp;T3754&amp;U3754&amp;V3754&amp;W3754&amp;X3754&amp;Y3754&amp;Z3754&amp;AA3754&amp;AB3754&amp;AC3754&amp;AD3754&amp;AE3754&amp;AF3754&amp;AG3754</f>
        <v/>
      </c>
      <c r="N3754" s="10">
        <f>TEXT($B$6,"00")</f>
        <v/>
      </c>
      <c r="O3754" s="10">
        <f>REPT(" ",8)</f>
        <v/>
      </c>
      <c r="P3754" s="10">
        <f>RIGHT($B$4,2)</f>
        <v/>
      </c>
      <c r="Q3754" s="10">
        <f>RIGHT($B$5,3)</f>
        <v/>
      </c>
      <c r="R3754" s="10">
        <f>IF(A3754="D",LEFT(UPPER(B3754)&amp;REPT(" ",20),20),REPT(" ",20))</f>
        <v/>
      </c>
      <c r="S3754" s="10">
        <f>IF(A3754="D",LEFT(UPPER(C3754)&amp;REPT(" ",10),10)," ")</f>
        <v/>
      </c>
      <c r="T3754" s="10">
        <f>IF(A3754="D",LEFT(UPPER(D3754)&amp;REPT(" ",2),2)," ")</f>
        <v/>
      </c>
      <c r="U3754" s="10">
        <f>IF(A3754="D",LEFT(UPPER(E3754)&amp;REPT(" ",15),15)," ")</f>
        <v/>
      </c>
      <c r="V3754" s="10">
        <f>REPT(" ",24)</f>
        <v/>
      </c>
      <c r="W3754" s="10">
        <f>IF(A3754="c",LEFT(UPPER(B3754)&amp;REPT(" ",20),20),REPT(" ",20))</f>
        <v/>
      </c>
      <c r="X3754" s="10">
        <f>IF(A3754="C",LEFT(UPPER(C3754)&amp;REPT(" ",10),10)," ")</f>
        <v/>
      </c>
      <c r="Y3754" s="10">
        <f>IF(A3754="C",LEFT(UPPER(D3754)&amp;REPT(" ",2),2)," ")</f>
        <v/>
      </c>
      <c r="Z3754" s="10">
        <f>IF(A3754="C",LEFT(UPPER(E3754)&amp;REPT(" ",15),15)," ")</f>
        <v/>
      </c>
      <c r="AA3754" s="10">
        <f>REPT(" ",8)</f>
        <v/>
      </c>
      <c r="AB3754" s="10">
        <f>REPT(" ",4)</f>
        <v/>
      </c>
      <c r="AC3754" s="10">
        <f>LEFT(UPPER(H3754)&amp;REPT(" ",250),250)</f>
        <v/>
      </c>
      <c r="AD3754" s="10">
        <f>TEXT($G$2,"dd/mm/aaaa")</f>
        <v/>
      </c>
      <c r="AE3754" s="10">
        <f>REPT(" ",10)</f>
        <v/>
      </c>
      <c r="AF3754" s="10">
        <f>REPT(" ",20)</f>
        <v/>
      </c>
      <c r="AG3754" s="54">
        <f>REPT(" ",18-LEN(FIXED(F3754,2,TRUE)))&amp;FIXED(F3754,2,TRUE)</f>
        <v/>
      </c>
      <c r="AH3754" s="10">
        <f>LEN(AC3754)+LEN(AG3754)</f>
        <v/>
      </c>
      <c r="AI3754" s="10">
        <f>LEN(L3754)</f>
        <v/>
      </c>
    </row>
    <row r="3755">
      <c r="J3755" s="12">
        <f>IF(F3755&lt;&gt;0,"LANÇAR","")</f>
        <v/>
      </c>
      <c r="L3755" s="13">
        <f>N3755&amp;O3755&amp;P3755&amp;Q3755&amp;R3755&amp;S3755&amp;T3755&amp;U3755&amp;V3755&amp;W3755&amp;X3755&amp;Y3755&amp;Z3755&amp;AA3755&amp;AB3755&amp;AC3755&amp;AD3755&amp;AE3755&amp;AF3755&amp;AG3755</f>
        <v/>
      </c>
      <c r="N3755" s="10">
        <f>TEXT($B$6,"00")</f>
        <v/>
      </c>
      <c r="O3755" s="10">
        <f>REPT(" ",8)</f>
        <v/>
      </c>
      <c r="P3755" s="10">
        <f>RIGHT($B$4,2)</f>
        <v/>
      </c>
      <c r="Q3755" s="10">
        <f>RIGHT($B$5,3)</f>
        <v/>
      </c>
      <c r="R3755" s="10">
        <f>IF(A3755="D",LEFT(UPPER(B3755)&amp;REPT(" ",20),20),REPT(" ",20))</f>
        <v/>
      </c>
      <c r="S3755" s="10">
        <f>IF(A3755="D",LEFT(UPPER(C3755)&amp;REPT(" ",10),10)," ")</f>
        <v/>
      </c>
      <c r="T3755" s="10">
        <f>IF(A3755="D",LEFT(UPPER(D3755)&amp;REPT(" ",2),2)," ")</f>
        <v/>
      </c>
      <c r="U3755" s="10">
        <f>IF(A3755="D",LEFT(UPPER(E3755)&amp;REPT(" ",15),15)," ")</f>
        <v/>
      </c>
      <c r="V3755" s="10">
        <f>REPT(" ",24)</f>
        <v/>
      </c>
      <c r="W3755" s="10">
        <f>IF(A3755="c",LEFT(UPPER(B3755)&amp;REPT(" ",20),20),REPT(" ",20))</f>
        <v/>
      </c>
      <c r="X3755" s="10">
        <f>IF(A3755="C",LEFT(UPPER(C3755)&amp;REPT(" ",10),10)," ")</f>
        <v/>
      </c>
      <c r="Y3755" s="10">
        <f>IF(A3755="C",LEFT(UPPER(D3755)&amp;REPT(" ",2),2)," ")</f>
        <v/>
      </c>
      <c r="Z3755" s="10">
        <f>IF(A3755="C",LEFT(UPPER(E3755)&amp;REPT(" ",15),15)," ")</f>
        <v/>
      </c>
      <c r="AA3755" s="10">
        <f>REPT(" ",8)</f>
        <v/>
      </c>
      <c r="AB3755" s="10">
        <f>REPT(" ",4)</f>
        <v/>
      </c>
      <c r="AC3755" s="10">
        <f>LEFT(UPPER(H3755)&amp;REPT(" ",250),250)</f>
        <v/>
      </c>
      <c r="AD3755" s="10">
        <f>TEXT($G$2,"dd/mm/aaaa")</f>
        <v/>
      </c>
      <c r="AE3755" s="10">
        <f>REPT(" ",10)</f>
        <v/>
      </c>
      <c r="AF3755" s="10">
        <f>REPT(" ",20)</f>
        <v/>
      </c>
      <c r="AG3755" s="54">
        <f>REPT(" ",18-LEN(FIXED(F3755,2,TRUE)))&amp;FIXED(F3755,2,TRUE)</f>
        <v/>
      </c>
      <c r="AH3755" s="10">
        <f>LEN(AC3755)+LEN(AG3755)</f>
        <v/>
      </c>
      <c r="AI3755" s="10">
        <f>LEN(L3755)</f>
        <v/>
      </c>
    </row>
    <row r="3756">
      <c r="J3756" s="12">
        <f>IF(F3756&lt;&gt;0,"LANÇAR","")</f>
        <v/>
      </c>
      <c r="L3756" s="13">
        <f>N3756&amp;O3756&amp;P3756&amp;Q3756&amp;R3756&amp;S3756&amp;T3756&amp;U3756&amp;V3756&amp;W3756&amp;X3756&amp;Y3756&amp;Z3756&amp;AA3756&amp;AB3756&amp;AC3756&amp;AD3756&amp;AE3756&amp;AF3756&amp;AG3756</f>
        <v/>
      </c>
      <c r="N3756" s="10">
        <f>TEXT($B$6,"00")</f>
        <v/>
      </c>
      <c r="O3756" s="10">
        <f>REPT(" ",8)</f>
        <v/>
      </c>
      <c r="P3756" s="10">
        <f>RIGHT($B$4,2)</f>
        <v/>
      </c>
      <c r="Q3756" s="10">
        <f>RIGHT($B$5,3)</f>
        <v/>
      </c>
      <c r="R3756" s="10">
        <f>IF(A3756="D",LEFT(UPPER(B3756)&amp;REPT(" ",20),20),REPT(" ",20))</f>
        <v/>
      </c>
      <c r="S3756" s="10">
        <f>IF(A3756="D",LEFT(UPPER(C3756)&amp;REPT(" ",10),10)," ")</f>
        <v/>
      </c>
      <c r="T3756" s="10">
        <f>IF(A3756="D",LEFT(UPPER(D3756)&amp;REPT(" ",2),2)," ")</f>
        <v/>
      </c>
      <c r="U3756" s="10">
        <f>IF(A3756="D",LEFT(UPPER(E3756)&amp;REPT(" ",15),15)," ")</f>
        <v/>
      </c>
      <c r="V3756" s="10">
        <f>REPT(" ",24)</f>
        <v/>
      </c>
      <c r="W3756" s="10">
        <f>IF(A3756="c",LEFT(UPPER(B3756)&amp;REPT(" ",20),20),REPT(" ",20))</f>
        <v/>
      </c>
      <c r="X3756" s="10">
        <f>IF(A3756="C",LEFT(UPPER(C3756)&amp;REPT(" ",10),10)," ")</f>
        <v/>
      </c>
      <c r="Y3756" s="10">
        <f>IF(A3756="C",LEFT(UPPER(D3756)&amp;REPT(" ",2),2)," ")</f>
        <v/>
      </c>
      <c r="Z3756" s="10">
        <f>IF(A3756="C",LEFT(UPPER(E3756)&amp;REPT(" ",15),15)," ")</f>
        <v/>
      </c>
      <c r="AA3756" s="10">
        <f>REPT(" ",8)</f>
        <v/>
      </c>
      <c r="AB3756" s="10">
        <f>REPT(" ",4)</f>
        <v/>
      </c>
      <c r="AC3756" s="10">
        <f>LEFT(UPPER(H3756)&amp;REPT(" ",250),250)</f>
        <v/>
      </c>
      <c r="AD3756" s="10">
        <f>TEXT($G$2,"dd/mm/aaaa")</f>
        <v/>
      </c>
      <c r="AE3756" s="10">
        <f>REPT(" ",10)</f>
        <v/>
      </c>
      <c r="AF3756" s="10">
        <f>REPT(" ",20)</f>
        <v/>
      </c>
      <c r="AG3756" s="54">
        <f>REPT(" ",18-LEN(FIXED(F3756,2,TRUE)))&amp;FIXED(F3756,2,TRUE)</f>
        <v/>
      </c>
      <c r="AH3756" s="10">
        <f>LEN(AC3756)+LEN(AG3756)</f>
        <v/>
      </c>
      <c r="AI3756" s="10">
        <f>LEN(L3756)</f>
        <v/>
      </c>
    </row>
    <row r="3757">
      <c r="J3757" s="12">
        <f>IF(F3757&lt;&gt;0,"LANÇAR","")</f>
        <v/>
      </c>
      <c r="L3757" s="13">
        <f>N3757&amp;O3757&amp;P3757&amp;Q3757&amp;R3757&amp;S3757&amp;T3757&amp;U3757&amp;V3757&amp;W3757&amp;X3757&amp;Y3757&amp;Z3757&amp;AA3757&amp;AB3757&amp;AC3757&amp;AD3757&amp;AE3757&amp;AF3757&amp;AG3757</f>
        <v/>
      </c>
      <c r="N3757" s="10">
        <f>TEXT($B$6,"00")</f>
        <v/>
      </c>
      <c r="O3757" s="10">
        <f>REPT(" ",8)</f>
        <v/>
      </c>
      <c r="P3757" s="10">
        <f>RIGHT($B$4,2)</f>
        <v/>
      </c>
      <c r="Q3757" s="10">
        <f>RIGHT($B$5,3)</f>
        <v/>
      </c>
      <c r="R3757" s="10">
        <f>IF(A3757="D",LEFT(UPPER(B3757)&amp;REPT(" ",20),20),REPT(" ",20))</f>
        <v/>
      </c>
      <c r="S3757" s="10">
        <f>IF(A3757="D",LEFT(UPPER(C3757)&amp;REPT(" ",10),10)," ")</f>
        <v/>
      </c>
      <c r="T3757" s="10">
        <f>IF(A3757="D",LEFT(UPPER(D3757)&amp;REPT(" ",2),2)," ")</f>
        <v/>
      </c>
      <c r="U3757" s="10">
        <f>IF(A3757="D",LEFT(UPPER(E3757)&amp;REPT(" ",15),15)," ")</f>
        <v/>
      </c>
      <c r="V3757" s="10">
        <f>REPT(" ",24)</f>
        <v/>
      </c>
      <c r="W3757" s="10">
        <f>IF(A3757="c",LEFT(UPPER(B3757)&amp;REPT(" ",20),20),REPT(" ",20))</f>
        <v/>
      </c>
      <c r="X3757" s="10">
        <f>IF(A3757="C",LEFT(UPPER(C3757)&amp;REPT(" ",10),10)," ")</f>
        <v/>
      </c>
      <c r="Y3757" s="10">
        <f>IF(A3757="C",LEFT(UPPER(D3757)&amp;REPT(" ",2),2)," ")</f>
        <v/>
      </c>
      <c r="Z3757" s="10">
        <f>IF(A3757="C",LEFT(UPPER(E3757)&amp;REPT(" ",15),15)," ")</f>
        <v/>
      </c>
      <c r="AA3757" s="10">
        <f>REPT(" ",8)</f>
        <v/>
      </c>
      <c r="AB3757" s="10">
        <f>REPT(" ",4)</f>
        <v/>
      </c>
      <c r="AC3757" s="10">
        <f>LEFT(UPPER(H3757)&amp;REPT(" ",250),250)</f>
        <v/>
      </c>
      <c r="AD3757" s="10">
        <f>TEXT($G$2,"dd/mm/aaaa")</f>
        <v/>
      </c>
      <c r="AE3757" s="10">
        <f>REPT(" ",10)</f>
        <v/>
      </c>
      <c r="AF3757" s="10">
        <f>REPT(" ",20)</f>
        <v/>
      </c>
      <c r="AG3757" s="54">
        <f>REPT(" ",18-LEN(FIXED(F3757,2,TRUE)))&amp;FIXED(F3757,2,TRUE)</f>
        <v/>
      </c>
      <c r="AH3757" s="10">
        <f>LEN(AC3757)+LEN(AG3757)</f>
        <v/>
      </c>
      <c r="AI3757" s="10">
        <f>LEN(L3757)</f>
        <v/>
      </c>
    </row>
    <row r="3758">
      <c r="J3758" s="12">
        <f>IF(F3758&lt;&gt;0,"LANÇAR","")</f>
        <v/>
      </c>
      <c r="L3758" s="13">
        <f>N3758&amp;O3758&amp;P3758&amp;Q3758&amp;R3758&amp;S3758&amp;T3758&amp;U3758&amp;V3758&amp;W3758&amp;X3758&amp;Y3758&amp;Z3758&amp;AA3758&amp;AB3758&amp;AC3758&amp;AD3758&amp;AE3758&amp;AF3758&amp;AG3758</f>
        <v/>
      </c>
      <c r="N3758" s="10">
        <f>TEXT($B$6,"00")</f>
        <v/>
      </c>
      <c r="O3758" s="10">
        <f>REPT(" ",8)</f>
        <v/>
      </c>
      <c r="P3758" s="10">
        <f>RIGHT($B$4,2)</f>
        <v/>
      </c>
      <c r="Q3758" s="10">
        <f>RIGHT($B$5,3)</f>
        <v/>
      </c>
      <c r="R3758" s="10">
        <f>IF(A3758="D",LEFT(UPPER(B3758)&amp;REPT(" ",20),20),REPT(" ",20))</f>
        <v/>
      </c>
      <c r="S3758" s="10">
        <f>IF(A3758="D",LEFT(UPPER(C3758)&amp;REPT(" ",10),10)," ")</f>
        <v/>
      </c>
      <c r="T3758" s="10">
        <f>IF(A3758="D",LEFT(UPPER(D3758)&amp;REPT(" ",2),2)," ")</f>
        <v/>
      </c>
      <c r="U3758" s="10">
        <f>IF(A3758="D",LEFT(UPPER(E3758)&amp;REPT(" ",15),15)," ")</f>
        <v/>
      </c>
      <c r="V3758" s="10">
        <f>REPT(" ",24)</f>
        <v/>
      </c>
      <c r="W3758" s="10">
        <f>IF(A3758="c",LEFT(UPPER(B3758)&amp;REPT(" ",20),20),REPT(" ",20))</f>
        <v/>
      </c>
      <c r="X3758" s="10">
        <f>IF(A3758="C",LEFT(UPPER(C3758)&amp;REPT(" ",10),10)," ")</f>
        <v/>
      </c>
      <c r="Y3758" s="10">
        <f>IF(A3758="C",LEFT(UPPER(D3758)&amp;REPT(" ",2),2)," ")</f>
        <v/>
      </c>
      <c r="Z3758" s="10">
        <f>IF(A3758="C",LEFT(UPPER(E3758)&amp;REPT(" ",15),15)," ")</f>
        <v/>
      </c>
      <c r="AA3758" s="10">
        <f>REPT(" ",8)</f>
        <v/>
      </c>
      <c r="AB3758" s="10">
        <f>REPT(" ",4)</f>
        <v/>
      </c>
      <c r="AC3758" s="10">
        <f>LEFT(UPPER(H3758)&amp;REPT(" ",250),250)</f>
        <v/>
      </c>
      <c r="AD3758" s="10">
        <f>TEXT($G$2,"dd/mm/aaaa")</f>
        <v/>
      </c>
      <c r="AE3758" s="10">
        <f>REPT(" ",10)</f>
        <v/>
      </c>
      <c r="AF3758" s="10">
        <f>REPT(" ",20)</f>
        <v/>
      </c>
      <c r="AG3758" s="54">
        <f>REPT(" ",18-LEN(FIXED(F3758,2,TRUE)))&amp;FIXED(F3758,2,TRUE)</f>
        <v/>
      </c>
      <c r="AH3758" s="10">
        <f>LEN(AC3758)+LEN(AG3758)</f>
        <v/>
      </c>
      <c r="AI3758" s="10">
        <f>LEN(L3758)</f>
        <v/>
      </c>
    </row>
    <row r="3759">
      <c r="J3759" s="12">
        <f>IF(F3759&lt;&gt;0,"LANÇAR","")</f>
        <v/>
      </c>
      <c r="L3759" s="13">
        <f>N3759&amp;O3759&amp;P3759&amp;Q3759&amp;R3759&amp;S3759&amp;T3759&amp;U3759&amp;V3759&amp;W3759&amp;X3759&amp;Y3759&amp;Z3759&amp;AA3759&amp;AB3759&amp;AC3759&amp;AD3759&amp;AE3759&amp;AF3759&amp;AG3759</f>
        <v/>
      </c>
      <c r="N3759" s="10">
        <f>TEXT($B$6,"00")</f>
        <v/>
      </c>
      <c r="O3759" s="10">
        <f>REPT(" ",8)</f>
        <v/>
      </c>
      <c r="P3759" s="10">
        <f>RIGHT($B$4,2)</f>
        <v/>
      </c>
      <c r="Q3759" s="10">
        <f>RIGHT($B$5,3)</f>
        <v/>
      </c>
      <c r="R3759" s="10">
        <f>IF(A3759="D",LEFT(UPPER(B3759)&amp;REPT(" ",20),20),REPT(" ",20))</f>
        <v/>
      </c>
      <c r="S3759" s="10">
        <f>IF(A3759="D",LEFT(UPPER(C3759)&amp;REPT(" ",10),10)," ")</f>
        <v/>
      </c>
      <c r="T3759" s="10">
        <f>IF(A3759="D",LEFT(UPPER(D3759)&amp;REPT(" ",2),2)," ")</f>
        <v/>
      </c>
      <c r="U3759" s="10">
        <f>IF(A3759="D",LEFT(UPPER(E3759)&amp;REPT(" ",15),15)," ")</f>
        <v/>
      </c>
      <c r="V3759" s="10">
        <f>REPT(" ",24)</f>
        <v/>
      </c>
      <c r="W3759" s="10">
        <f>IF(A3759="c",LEFT(UPPER(B3759)&amp;REPT(" ",20),20),REPT(" ",20))</f>
        <v/>
      </c>
      <c r="X3759" s="10">
        <f>IF(A3759="C",LEFT(UPPER(C3759)&amp;REPT(" ",10),10)," ")</f>
        <v/>
      </c>
      <c r="Y3759" s="10">
        <f>IF(A3759="C",LEFT(UPPER(D3759)&amp;REPT(" ",2),2)," ")</f>
        <v/>
      </c>
      <c r="Z3759" s="10">
        <f>IF(A3759="C",LEFT(UPPER(E3759)&amp;REPT(" ",15),15)," ")</f>
        <v/>
      </c>
      <c r="AA3759" s="10">
        <f>REPT(" ",8)</f>
        <v/>
      </c>
      <c r="AB3759" s="10">
        <f>REPT(" ",4)</f>
        <v/>
      </c>
      <c r="AC3759" s="10">
        <f>LEFT(UPPER(H3759)&amp;REPT(" ",250),250)</f>
        <v/>
      </c>
      <c r="AD3759" s="10">
        <f>TEXT($G$2,"dd/mm/aaaa")</f>
        <v/>
      </c>
      <c r="AE3759" s="10">
        <f>REPT(" ",10)</f>
        <v/>
      </c>
      <c r="AF3759" s="10">
        <f>REPT(" ",20)</f>
        <v/>
      </c>
      <c r="AG3759" s="54">
        <f>REPT(" ",18-LEN(FIXED(F3759,2,TRUE)))&amp;FIXED(F3759,2,TRUE)</f>
        <v/>
      </c>
      <c r="AH3759" s="10">
        <f>LEN(AC3759)+LEN(AG3759)</f>
        <v/>
      </c>
      <c r="AI3759" s="10">
        <f>LEN(L3759)</f>
        <v/>
      </c>
    </row>
    <row r="3760">
      <c r="J3760" s="12">
        <f>IF(F3760&lt;&gt;0,"LANÇAR","")</f>
        <v/>
      </c>
      <c r="L3760" s="13">
        <f>N3760&amp;O3760&amp;P3760&amp;Q3760&amp;R3760&amp;S3760&amp;T3760&amp;U3760&amp;V3760&amp;W3760&amp;X3760&amp;Y3760&amp;Z3760&amp;AA3760&amp;AB3760&amp;AC3760&amp;AD3760&amp;AE3760&amp;AF3760&amp;AG3760</f>
        <v/>
      </c>
      <c r="N3760" s="10">
        <f>TEXT($B$6,"00")</f>
        <v/>
      </c>
      <c r="O3760" s="10">
        <f>REPT(" ",8)</f>
        <v/>
      </c>
      <c r="P3760" s="10">
        <f>RIGHT($B$4,2)</f>
        <v/>
      </c>
      <c r="Q3760" s="10">
        <f>RIGHT($B$5,3)</f>
        <v/>
      </c>
      <c r="R3760" s="10">
        <f>IF(A3760="D",LEFT(UPPER(B3760)&amp;REPT(" ",20),20),REPT(" ",20))</f>
        <v/>
      </c>
      <c r="S3760" s="10">
        <f>IF(A3760="D",LEFT(UPPER(C3760)&amp;REPT(" ",10),10)," ")</f>
        <v/>
      </c>
      <c r="T3760" s="10">
        <f>IF(A3760="D",LEFT(UPPER(D3760)&amp;REPT(" ",2),2)," ")</f>
        <v/>
      </c>
      <c r="U3760" s="10">
        <f>IF(A3760="D",LEFT(UPPER(E3760)&amp;REPT(" ",15),15)," ")</f>
        <v/>
      </c>
      <c r="V3760" s="10">
        <f>REPT(" ",24)</f>
        <v/>
      </c>
      <c r="W3760" s="10">
        <f>IF(A3760="c",LEFT(UPPER(B3760)&amp;REPT(" ",20),20),REPT(" ",20))</f>
        <v/>
      </c>
      <c r="X3760" s="10">
        <f>IF(A3760="C",LEFT(UPPER(C3760)&amp;REPT(" ",10),10)," ")</f>
        <v/>
      </c>
      <c r="Y3760" s="10">
        <f>IF(A3760="C",LEFT(UPPER(D3760)&amp;REPT(" ",2),2)," ")</f>
        <v/>
      </c>
      <c r="Z3760" s="10">
        <f>IF(A3760="C",LEFT(UPPER(E3760)&amp;REPT(" ",15),15)," ")</f>
        <v/>
      </c>
      <c r="AA3760" s="10">
        <f>REPT(" ",8)</f>
        <v/>
      </c>
      <c r="AB3760" s="10">
        <f>REPT(" ",4)</f>
        <v/>
      </c>
      <c r="AC3760" s="10">
        <f>LEFT(UPPER(H3760)&amp;REPT(" ",250),250)</f>
        <v/>
      </c>
      <c r="AD3760" s="10">
        <f>TEXT($G$2,"dd/mm/aaaa")</f>
        <v/>
      </c>
      <c r="AE3760" s="10">
        <f>REPT(" ",10)</f>
        <v/>
      </c>
      <c r="AF3760" s="10">
        <f>REPT(" ",20)</f>
        <v/>
      </c>
      <c r="AG3760" s="54">
        <f>REPT(" ",18-LEN(FIXED(F3760,2,TRUE)))&amp;FIXED(F3760,2,TRUE)</f>
        <v/>
      </c>
      <c r="AH3760" s="10">
        <f>LEN(AC3760)+LEN(AG3760)</f>
        <v/>
      </c>
      <c r="AI3760" s="10">
        <f>LEN(L3760)</f>
        <v/>
      </c>
    </row>
    <row r="3761">
      <c r="J3761" s="12">
        <f>IF(F3761&lt;&gt;0,"LANÇAR","")</f>
        <v/>
      </c>
      <c r="L3761" s="13">
        <f>N3761&amp;O3761&amp;P3761&amp;Q3761&amp;R3761&amp;S3761&amp;T3761&amp;U3761&amp;V3761&amp;W3761&amp;X3761&amp;Y3761&amp;Z3761&amp;AA3761&amp;AB3761&amp;AC3761&amp;AD3761&amp;AE3761&amp;AF3761&amp;AG3761</f>
        <v/>
      </c>
      <c r="N3761" s="10">
        <f>TEXT($B$6,"00")</f>
        <v/>
      </c>
      <c r="O3761" s="10">
        <f>REPT(" ",8)</f>
        <v/>
      </c>
      <c r="P3761" s="10">
        <f>RIGHT($B$4,2)</f>
        <v/>
      </c>
      <c r="Q3761" s="10">
        <f>RIGHT($B$5,3)</f>
        <v/>
      </c>
      <c r="R3761" s="10">
        <f>IF(A3761="D",LEFT(UPPER(B3761)&amp;REPT(" ",20),20),REPT(" ",20))</f>
        <v/>
      </c>
      <c r="S3761" s="10">
        <f>IF(A3761="D",LEFT(UPPER(C3761)&amp;REPT(" ",10),10)," ")</f>
        <v/>
      </c>
      <c r="T3761" s="10">
        <f>IF(A3761="D",LEFT(UPPER(D3761)&amp;REPT(" ",2),2)," ")</f>
        <v/>
      </c>
      <c r="U3761" s="10">
        <f>IF(A3761="D",LEFT(UPPER(E3761)&amp;REPT(" ",15),15)," ")</f>
        <v/>
      </c>
      <c r="V3761" s="10">
        <f>REPT(" ",24)</f>
        <v/>
      </c>
      <c r="W3761" s="10">
        <f>IF(A3761="c",LEFT(UPPER(B3761)&amp;REPT(" ",20),20),REPT(" ",20))</f>
        <v/>
      </c>
      <c r="X3761" s="10">
        <f>IF(A3761="C",LEFT(UPPER(C3761)&amp;REPT(" ",10),10)," ")</f>
        <v/>
      </c>
      <c r="Y3761" s="10">
        <f>IF(A3761="C",LEFT(UPPER(D3761)&amp;REPT(" ",2),2)," ")</f>
        <v/>
      </c>
      <c r="Z3761" s="10">
        <f>IF(A3761="C",LEFT(UPPER(E3761)&amp;REPT(" ",15),15)," ")</f>
        <v/>
      </c>
      <c r="AA3761" s="10">
        <f>REPT(" ",8)</f>
        <v/>
      </c>
      <c r="AB3761" s="10">
        <f>REPT(" ",4)</f>
        <v/>
      </c>
      <c r="AC3761" s="10">
        <f>LEFT(UPPER(H3761)&amp;REPT(" ",250),250)</f>
        <v/>
      </c>
      <c r="AD3761" s="10">
        <f>TEXT($G$2,"dd/mm/aaaa")</f>
        <v/>
      </c>
      <c r="AE3761" s="10">
        <f>REPT(" ",10)</f>
        <v/>
      </c>
      <c r="AF3761" s="10">
        <f>REPT(" ",20)</f>
        <v/>
      </c>
      <c r="AG3761" s="54">
        <f>REPT(" ",18-LEN(FIXED(F3761,2,TRUE)))&amp;FIXED(F3761,2,TRUE)</f>
        <v/>
      </c>
      <c r="AH3761" s="10">
        <f>LEN(AC3761)+LEN(AG3761)</f>
        <v/>
      </c>
      <c r="AI3761" s="10">
        <f>LEN(L3761)</f>
        <v/>
      </c>
    </row>
    <row r="3762">
      <c r="J3762" s="12">
        <f>IF(F3762&lt;&gt;0,"LANÇAR","")</f>
        <v/>
      </c>
      <c r="L3762" s="13">
        <f>N3762&amp;O3762&amp;P3762&amp;Q3762&amp;R3762&amp;S3762&amp;T3762&amp;U3762&amp;V3762&amp;W3762&amp;X3762&amp;Y3762&amp;Z3762&amp;AA3762&amp;AB3762&amp;AC3762&amp;AD3762&amp;AE3762&amp;AF3762&amp;AG3762</f>
        <v/>
      </c>
      <c r="N3762" s="10">
        <f>TEXT($B$6,"00")</f>
        <v/>
      </c>
      <c r="O3762" s="10">
        <f>REPT(" ",8)</f>
        <v/>
      </c>
      <c r="P3762" s="10">
        <f>RIGHT($B$4,2)</f>
        <v/>
      </c>
      <c r="Q3762" s="10">
        <f>RIGHT($B$5,3)</f>
        <v/>
      </c>
      <c r="R3762" s="10">
        <f>IF(A3762="D",LEFT(UPPER(B3762)&amp;REPT(" ",20),20),REPT(" ",20))</f>
        <v/>
      </c>
      <c r="S3762" s="10">
        <f>IF(A3762="D",LEFT(UPPER(C3762)&amp;REPT(" ",10),10)," ")</f>
        <v/>
      </c>
      <c r="T3762" s="10">
        <f>IF(A3762="D",LEFT(UPPER(D3762)&amp;REPT(" ",2),2)," ")</f>
        <v/>
      </c>
      <c r="U3762" s="10">
        <f>IF(A3762="D",LEFT(UPPER(E3762)&amp;REPT(" ",15),15)," ")</f>
        <v/>
      </c>
      <c r="V3762" s="10">
        <f>REPT(" ",24)</f>
        <v/>
      </c>
      <c r="W3762" s="10">
        <f>IF(A3762="c",LEFT(UPPER(B3762)&amp;REPT(" ",20),20),REPT(" ",20))</f>
        <v/>
      </c>
      <c r="X3762" s="10">
        <f>IF(A3762="C",LEFT(UPPER(C3762)&amp;REPT(" ",10),10)," ")</f>
        <v/>
      </c>
      <c r="Y3762" s="10">
        <f>IF(A3762="C",LEFT(UPPER(D3762)&amp;REPT(" ",2),2)," ")</f>
        <v/>
      </c>
      <c r="Z3762" s="10">
        <f>IF(A3762="C",LEFT(UPPER(E3762)&amp;REPT(" ",15),15)," ")</f>
        <v/>
      </c>
      <c r="AA3762" s="10">
        <f>REPT(" ",8)</f>
        <v/>
      </c>
      <c r="AB3762" s="10">
        <f>REPT(" ",4)</f>
        <v/>
      </c>
      <c r="AC3762" s="10">
        <f>LEFT(UPPER(H3762)&amp;REPT(" ",250),250)</f>
        <v/>
      </c>
      <c r="AD3762" s="10">
        <f>TEXT($G$2,"dd/mm/aaaa")</f>
        <v/>
      </c>
      <c r="AE3762" s="10">
        <f>REPT(" ",10)</f>
        <v/>
      </c>
      <c r="AF3762" s="10">
        <f>REPT(" ",20)</f>
        <v/>
      </c>
      <c r="AG3762" s="54">
        <f>REPT(" ",18-LEN(FIXED(F3762,2,TRUE)))&amp;FIXED(F3762,2,TRUE)</f>
        <v/>
      </c>
      <c r="AH3762" s="10">
        <f>LEN(AC3762)+LEN(AG3762)</f>
        <v/>
      </c>
      <c r="AI3762" s="10">
        <f>LEN(L3762)</f>
        <v/>
      </c>
    </row>
    <row r="3763">
      <c r="J3763" s="12">
        <f>IF(F3763&lt;&gt;0,"LANÇAR","")</f>
        <v/>
      </c>
      <c r="L3763" s="13">
        <f>N3763&amp;O3763&amp;P3763&amp;Q3763&amp;R3763&amp;S3763&amp;T3763&amp;U3763&amp;V3763&amp;W3763&amp;X3763&amp;Y3763&amp;Z3763&amp;AA3763&amp;AB3763&amp;AC3763&amp;AD3763&amp;AE3763&amp;AF3763&amp;AG3763</f>
        <v/>
      </c>
      <c r="N3763" s="10">
        <f>TEXT($B$6,"00")</f>
        <v/>
      </c>
      <c r="O3763" s="10">
        <f>REPT(" ",8)</f>
        <v/>
      </c>
      <c r="P3763" s="10">
        <f>RIGHT($B$4,2)</f>
        <v/>
      </c>
      <c r="Q3763" s="10">
        <f>RIGHT($B$5,3)</f>
        <v/>
      </c>
      <c r="R3763" s="10">
        <f>IF(A3763="D",LEFT(UPPER(B3763)&amp;REPT(" ",20),20),REPT(" ",20))</f>
        <v/>
      </c>
      <c r="S3763" s="10">
        <f>IF(A3763="D",LEFT(UPPER(C3763)&amp;REPT(" ",10),10)," ")</f>
        <v/>
      </c>
      <c r="T3763" s="10">
        <f>IF(A3763="D",LEFT(UPPER(D3763)&amp;REPT(" ",2),2)," ")</f>
        <v/>
      </c>
      <c r="U3763" s="10">
        <f>IF(A3763="D",LEFT(UPPER(E3763)&amp;REPT(" ",15),15)," ")</f>
        <v/>
      </c>
      <c r="V3763" s="10">
        <f>REPT(" ",24)</f>
        <v/>
      </c>
      <c r="W3763" s="10">
        <f>IF(A3763="c",LEFT(UPPER(B3763)&amp;REPT(" ",20),20),REPT(" ",20))</f>
        <v/>
      </c>
      <c r="X3763" s="10">
        <f>IF(A3763="C",LEFT(UPPER(C3763)&amp;REPT(" ",10),10)," ")</f>
        <v/>
      </c>
      <c r="Y3763" s="10">
        <f>IF(A3763="C",LEFT(UPPER(D3763)&amp;REPT(" ",2),2)," ")</f>
        <v/>
      </c>
      <c r="Z3763" s="10">
        <f>IF(A3763="C",LEFT(UPPER(E3763)&amp;REPT(" ",15),15)," ")</f>
        <v/>
      </c>
      <c r="AA3763" s="10">
        <f>REPT(" ",8)</f>
        <v/>
      </c>
      <c r="AB3763" s="10">
        <f>REPT(" ",4)</f>
        <v/>
      </c>
      <c r="AC3763" s="10">
        <f>LEFT(UPPER(H3763)&amp;REPT(" ",250),250)</f>
        <v/>
      </c>
      <c r="AD3763" s="10">
        <f>TEXT($G$2,"dd/mm/aaaa")</f>
        <v/>
      </c>
      <c r="AE3763" s="10">
        <f>REPT(" ",10)</f>
        <v/>
      </c>
      <c r="AF3763" s="10">
        <f>REPT(" ",20)</f>
        <v/>
      </c>
      <c r="AG3763" s="54">
        <f>REPT(" ",18-LEN(FIXED(F3763,2,TRUE)))&amp;FIXED(F3763,2,TRUE)</f>
        <v/>
      </c>
      <c r="AH3763" s="10">
        <f>LEN(AC3763)+LEN(AG3763)</f>
        <v/>
      </c>
      <c r="AI3763" s="10">
        <f>LEN(L3763)</f>
        <v/>
      </c>
    </row>
    <row r="3764">
      <c r="J3764" s="12">
        <f>IF(F3764&lt;&gt;0,"LANÇAR","")</f>
        <v/>
      </c>
      <c r="L3764" s="13">
        <f>N3764&amp;O3764&amp;P3764&amp;Q3764&amp;R3764&amp;S3764&amp;T3764&amp;U3764&amp;V3764&amp;W3764&amp;X3764&amp;Y3764&amp;Z3764&amp;AA3764&amp;AB3764&amp;AC3764&amp;AD3764&amp;AE3764&amp;AF3764&amp;AG3764</f>
        <v/>
      </c>
      <c r="N3764" s="10">
        <f>TEXT($B$6,"00")</f>
        <v/>
      </c>
      <c r="O3764" s="10">
        <f>REPT(" ",8)</f>
        <v/>
      </c>
      <c r="P3764" s="10">
        <f>RIGHT($B$4,2)</f>
        <v/>
      </c>
      <c r="Q3764" s="10">
        <f>RIGHT($B$5,3)</f>
        <v/>
      </c>
      <c r="R3764" s="10">
        <f>IF(A3764="D",LEFT(UPPER(B3764)&amp;REPT(" ",20),20),REPT(" ",20))</f>
        <v/>
      </c>
      <c r="S3764" s="10">
        <f>IF(A3764="D",LEFT(UPPER(C3764)&amp;REPT(" ",10),10)," ")</f>
        <v/>
      </c>
      <c r="T3764" s="10">
        <f>IF(A3764="D",LEFT(UPPER(D3764)&amp;REPT(" ",2),2)," ")</f>
        <v/>
      </c>
      <c r="U3764" s="10">
        <f>IF(A3764="D",LEFT(UPPER(E3764)&amp;REPT(" ",15),15)," ")</f>
        <v/>
      </c>
      <c r="V3764" s="10">
        <f>REPT(" ",24)</f>
        <v/>
      </c>
      <c r="W3764" s="10">
        <f>IF(A3764="c",LEFT(UPPER(B3764)&amp;REPT(" ",20),20),REPT(" ",20))</f>
        <v/>
      </c>
      <c r="X3764" s="10">
        <f>IF(A3764="C",LEFT(UPPER(C3764)&amp;REPT(" ",10),10)," ")</f>
        <v/>
      </c>
      <c r="Y3764" s="10">
        <f>IF(A3764="C",LEFT(UPPER(D3764)&amp;REPT(" ",2),2)," ")</f>
        <v/>
      </c>
      <c r="Z3764" s="10">
        <f>IF(A3764="C",LEFT(UPPER(E3764)&amp;REPT(" ",15),15)," ")</f>
        <v/>
      </c>
      <c r="AA3764" s="10">
        <f>REPT(" ",8)</f>
        <v/>
      </c>
      <c r="AB3764" s="10">
        <f>REPT(" ",4)</f>
        <v/>
      </c>
      <c r="AC3764" s="10">
        <f>LEFT(UPPER(H3764)&amp;REPT(" ",250),250)</f>
        <v/>
      </c>
      <c r="AD3764" s="10">
        <f>TEXT($G$2,"dd/mm/aaaa")</f>
        <v/>
      </c>
      <c r="AE3764" s="10">
        <f>REPT(" ",10)</f>
        <v/>
      </c>
      <c r="AF3764" s="10">
        <f>REPT(" ",20)</f>
        <v/>
      </c>
      <c r="AG3764" s="54">
        <f>REPT(" ",18-LEN(FIXED(F3764,2,TRUE)))&amp;FIXED(F3764,2,TRUE)</f>
        <v/>
      </c>
      <c r="AH3764" s="10">
        <f>LEN(AC3764)+LEN(AG3764)</f>
        <v/>
      </c>
      <c r="AI3764" s="10">
        <f>LEN(L3764)</f>
        <v/>
      </c>
    </row>
    <row r="3765">
      <c r="J3765" s="12">
        <f>IF(F3765&lt;&gt;0,"LANÇAR","")</f>
        <v/>
      </c>
      <c r="L3765" s="13">
        <f>N3765&amp;O3765&amp;P3765&amp;Q3765&amp;R3765&amp;S3765&amp;T3765&amp;U3765&amp;V3765&amp;W3765&amp;X3765&amp;Y3765&amp;Z3765&amp;AA3765&amp;AB3765&amp;AC3765&amp;AD3765&amp;AE3765&amp;AF3765&amp;AG3765</f>
        <v/>
      </c>
      <c r="N3765" s="10">
        <f>TEXT($B$6,"00")</f>
        <v/>
      </c>
      <c r="O3765" s="10">
        <f>REPT(" ",8)</f>
        <v/>
      </c>
      <c r="P3765" s="10">
        <f>RIGHT($B$4,2)</f>
        <v/>
      </c>
      <c r="Q3765" s="10">
        <f>RIGHT($B$5,3)</f>
        <v/>
      </c>
      <c r="R3765" s="10">
        <f>IF(A3765="D",LEFT(UPPER(B3765)&amp;REPT(" ",20),20),REPT(" ",20))</f>
        <v/>
      </c>
      <c r="S3765" s="10">
        <f>IF(A3765="D",LEFT(UPPER(C3765)&amp;REPT(" ",10),10)," ")</f>
        <v/>
      </c>
      <c r="T3765" s="10">
        <f>IF(A3765="D",LEFT(UPPER(D3765)&amp;REPT(" ",2),2)," ")</f>
        <v/>
      </c>
      <c r="U3765" s="10">
        <f>IF(A3765="D",LEFT(UPPER(E3765)&amp;REPT(" ",15),15)," ")</f>
        <v/>
      </c>
      <c r="V3765" s="10">
        <f>REPT(" ",24)</f>
        <v/>
      </c>
      <c r="W3765" s="10">
        <f>IF(A3765="c",LEFT(UPPER(B3765)&amp;REPT(" ",20),20),REPT(" ",20))</f>
        <v/>
      </c>
      <c r="X3765" s="10">
        <f>IF(A3765="C",LEFT(UPPER(C3765)&amp;REPT(" ",10),10)," ")</f>
        <v/>
      </c>
      <c r="Y3765" s="10">
        <f>IF(A3765="C",LEFT(UPPER(D3765)&amp;REPT(" ",2),2)," ")</f>
        <v/>
      </c>
      <c r="Z3765" s="10">
        <f>IF(A3765="C",LEFT(UPPER(E3765)&amp;REPT(" ",15),15)," ")</f>
        <v/>
      </c>
      <c r="AA3765" s="10">
        <f>REPT(" ",8)</f>
        <v/>
      </c>
      <c r="AB3765" s="10">
        <f>REPT(" ",4)</f>
        <v/>
      </c>
      <c r="AC3765" s="10">
        <f>LEFT(UPPER(H3765)&amp;REPT(" ",250),250)</f>
        <v/>
      </c>
      <c r="AD3765" s="10">
        <f>TEXT($G$2,"dd/mm/aaaa")</f>
        <v/>
      </c>
      <c r="AE3765" s="10">
        <f>REPT(" ",10)</f>
        <v/>
      </c>
      <c r="AF3765" s="10">
        <f>REPT(" ",20)</f>
        <v/>
      </c>
      <c r="AG3765" s="54">
        <f>REPT(" ",18-LEN(FIXED(F3765,2,TRUE)))&amp;FIXED(F3765,2,TRUE)</f>
        <v/>
      </c>
      <c r="AH3765" s="10">
        <f>LEN(AC3765)+LEN(AG3765)</f>
        <v/>
      </c>
      <c r="AI3765" s="10">
        <f>LEN(L3765)</f>
        <v/>
      </c>
    </row>
    <row r="3766">
      <c r="J3766" s="12">
        <f>IF(F3766&lt;&gt;0,"LANÇAR","")</f>
        <v/>
      </c>
      <c r="L3766" s="13">
        <f>N3766&amp;O3766&amp;P3766&amp;Q3766&amp;R3766&amp;S3766&amp;T3766&amp;U3766&amp;V3766&amp;W3766&amp;X3766&amp;Y3766&amp;Z3766&amp;AA3766&amp;AB3766&amp;AC3766&amp;AD3766&amp;AE3766&amp;AF3766&amp;AG3766</f>
        <v/>
      </c>
      <c r="N3766" s="10">
        <f>TEXT($B$6,"00")</f>
        <v/>
      </c>
      <c r="O3766" s="10">
        <f>REPT(" ",8)</f>
        <v/>
      </c>
      <c r="P3766" s="10">
        <f>RIGHT($B$4,2)</f>
        <v/>
      </c>
      <c r="Q3766" s="10">
        <f>RIGHT($B$5,3)</f>
        <v/>
      </c>
      <c r="R3766" s="10">
        <f>IF(A3766="D",LEFT(UPPER(B3766)&amp;REPT(" ",20),20),REPT(" ",20))</f>
        <v/>
      </c>
      <c r="S3766" s="10">
        <f>IF(A3766="D",LEFT(UPPER(C3766)&amp;REPT(" ",10),10)," ")</f>
        <v/>
      </c>
      <c r="T3766" s="10">
        <f>IF(A3766="D",LEFT(UPPER(D3766)&amp;REPT(" ",2),2)," ")</f>
        <v/>
      </c>
      <c r="U3766" s="10">
        <f>IF(A3766="D",LEFT(UPPER(E3766)&amp;REPT(" ",15),15)," ")</f>
        <v/>
      </c>
      <c r="V3766" s="10">
        <f>REPT(" ",24)</f>
        <v/>
      </c>
      <c r="W3766" s="10">
        <f>IF(A3766="c",LEFT(UPPER(B3766)&amp;REPT(" ",20),20),REPT(" ",20))</f>
        <v/>
      </c>
      <c r="X3766" s="10">
        <f>IF(A3766="C",LEFT(UPPER(C3766)&amp;REPT(" ",10),10)," ")</f>
        <v/>
      </c>
      <c r="Y3766" s="10">
        <f>IF(A3766="C",LEFT(UPPER(D3766)&amp;REPT(" ",2),2)," ")</f>
        <v/>
      </c>
      <c r="Z3766" s="10">
        <f>IF(A3766="C",LEFT(UPPER(E3766)&amp;REPT(" ",15),15)," ")</f>
        <v/>
      </c>
      <c r="AA3766" s="10">
        <f>REPT(" ",8)</f>
        <v/>
      </c>
      <c r="AB3766" s="10">
        <f>REPT(" ",4)</f>
        <v/>
      </c>
      <c r="AC3766" s="10">
        <f>LEFT(UPPER(H3766)&amp;REPT(" ",250),250)</f>
        <v/>
      </c>
      <c r="AD3766" s="10">
        <f>TEXT($G$2,"dd/mm/aaaa")</f>
        <v/>
      </c>
      <c r="AE3766" s="10">
        <f>REPT(" ",10)</f>
        <v/>
      </c>
      <c r="AF3766" s="10">
        <f>REPT(" ",20)</f>
        <v/>
      </c>
      <c r="AG3766" s="54">
        <f>REPT(" ",18-LEN(FIXED(F3766,2,TRUE)))&amp;FIXED(F3766,2,TRUE)</f>
        <v/>
      </c>
      <c r="AH3766" s="10">
        <f>LEN(AC3766)+LEN(AG3766)</f>
        <v/>
      </c>
      <c r="AI3766" s="10">
        <f>LEN(L3766)</f>
        <v/>
      </c>
    </row>
    <row r="3767">
      <c r="J3767" s="12">
        <f>IF(F3767&lt;&gt;0,"LANÇAR","")</f>
        <v/>
      </c>
      <c r="L3767" s="13">
        <f>N3767&amp;O3767&amp;P3767&amp;Q3767&amp;R3767&amp;S3767&amp;T3767&amp;U3767&amp;V3767&amp;W3767&amp;X3767&amp;Y3767&amp;Z3767&amp;AA3767&amp;AB3767&amp;AC3767&amp;AD3767&amp;AE3767&amp;AF3767&amp;AG3767</f>
        <v/>
      </c>
      <c r="N3767" s="10">
        <f>TEXT($B$6,"00")</f>
        <v/>
      </c>
      <c r="O3767" s="10">
        <f>REPT(" ",8)</f>
        <v/>
      </c>
      <c r="P3767" s="10">
        <f>RIGHT($B$4,2)</f>
        <v/>
      </c>
      <c r="Q3767" s="10">
        <f>RIGHT($B$5,3)</f>
        <v/>
      </c>
      <c r="R3767" s="10">
        <f>IF(A3767="D",LEFT(UPPER(B3767)&amp;REPT(" ",20),20),REPT(" ",20))</f>
        <v/>
      </c>
      <c r="S3767" s="10">
        <f>IF(A3767="D",LEFT(UPPER(C3767)&amp;REPT(" ",10),10)," ")</f>
        <v/>
      </c>
      <c r="T3767" s="10">
        <f>IF(A3767="D",LEFT(UPPER(D3767)&amp;REPT(" ",2),2)," ")</f>
        <v/>
      </c>
      <c r="U3767" s="10">
        <f>IF(A3767="D",LEFT(UPPER(E3767)&amp;REPT(" ",15),15)," ")</f>
        <v/>
      </c>
      <c r="V3767" s="10">
        <f>REPT(" ",24)</f>
        <v/>
      </c>
      <c r="W3767" s="10">
        <f>IF(A3767="c",LEFT(UPPER(B3767)&amp;REPT(" ",20),20),REPT(" ",20))</f>
        <v/>
      </c>
      <c r="X3767" s="10">
        <f>IF(A3767="C",LEFT(UPPER(C3767)&amp;REPT(" ",10),10)," ")</f>
        <v/>
      </c>
      <c r="Y3767" s="10">
        <f>IF(A3767="C",LEFT(UPPER(D3767)&amp;REPT(" ",2),2)," ")</f>
        <v/>
      </c>
      <c r="Z3767" s="10">
        <f>IF(A3767="C",LEFT(UPPER(E3767)&amp;REPT(" ",15),15)," ")</f>
        <v/>
      </c>
      <c r="AA3767" s="10">
        <f>REPT(" ",8)</f>
        <v/>
      </c>
      <c r="AB3767" s="10">
        <f>REPT(" ",4)</f>
        <v/>
      </c>
      <c r="AC3767" s="10">
        <f>LEFT(UPPER(H3767)&amp;REPT(" ",250),250)</f>
        <v/>
      </c>
      <c r="AD3767" s="10">
        <f>TEXT($G$2,"dd/mm/aaaa")</f>
        <v/>
      </c>
      <c r="AE3767" s="10">
        <f>REPT(" ",10)</f>
        <v/>
      </c>
      <c r="AF3767" s="10">
        <f>REPT(" ",20)</f>
        <v/>
      </c>
      <c r="AG3767" s="54">
        <f>REPT(" ",18-LEN(FIXED(F3767,2,TRUE)))&amp;FIXED(F3767,2,TRUE)</f>
        <v/>
      </c>
      <c r="AH3767" s="10">
        <f>LEN(AC3767)+LEN(AG3767)</f>
        <v/>
      </c>
      <c r="AI3767" s="10">
        <f>LEN(L3767)</f>
        <v/>
      </c>
    </row>
    <row r="3768">
      <c r="J3768" s="12">
        <f>IF(F3768&lt;&gt;0,"LANÇAR","")</f>
        <v/>
      </c>
      <c r="L3768" s="13">
        <f>N3768&amp;O3768&amp;P3768&amp;Q3768&amp;R3768&amp;S3768&amp;T3768&amp;U3768&amp;V3768&amp;W3768&amp;X3768&amp;Y3768&amp;Z3768&amp;AA3768&amp;AB3768&amp;AC3768&amp;AD3768&amp;AE3768&amp;AF3768&amp;AG3768</f>
        <v/>
      </c>
      <c r="N3768" s="10">
        <f>TEXT($B$6,"00")</f>
        <v/>
      </c>
      <c r="O3768" s="10">
        <f>REPT(" ",8)</f>
        <v/>
      </c>
      <c r="P3768" s="10">
        <f>RIGHT($B$4,2)</f>
        <v/>
      </c>
      <c r="Q3768" s="10">
        <f>RIGHT($B$5,3)</f>
        <v/>
      </c>
      <c r="R3768" s="10">
        <f>IF(A3768="D",LEFT(UPPER(B3768)&amp;REPT(" ",20),20),REPT(" ",20))</f>
        <v/>
      </c>
      <c r="S3768" s="10">
        <f>IF(A3768="D",LEFT(UPPER(C3768)&amp;REPT(" ",10),10)," ")</f>
        <v/>
      </c>
      <c r="T3768" s="10">
        <f>IF(A3768="D",LEFT(UPPER(D3768)&amp;REPT(" ",2),2)," ")</f>
        <v/>
      </c>
      <c r="U3768" s="10">
        <f>IF(A3768="D",LEFT(UPPER(E3768)&amp;REPT(" ",15),15)," ")</f>
        <v/>
      </c>
      <c r="V3768" s="10">
        <f>REPT(" ",24)</f>
        <v/>
      </c>
      <c r="W3768" s="10">
        <f>IF(A3768="c",LEFT(UPPER(B3768)&amp;REPT(" ",20),20),REPT(" ",20))</f>
        <v/>
      </c>
      <c r="X3768" s="10">
        <f>IF(A3768="C",LEFT(UPPER(C3768)&amp;REPT(" ",10),10)," ")</f>
        <v/>
      </c>
      <c r="Y3768" s="10">
        <f>IF(A3768="C",LEFT(UPPER(D3768)&amp;REPT(" ",2),2)," ")</f>
        <v/>
      </c>
      <c r="Z3768" s="10">
        <f>IF(A3768="C",LEFT(UPPER(E3768)&amp;REPT(" ",15),15)," ")</f>
        <v/>
      </c>
      <c r="AA3768" s="10">
        <f>REPT(" ",8)</f>
        <v/>
      </c>
      <c r="AB3768" s="10">
        <f>REPT(" ",4)</f>
        <v/>
      </c>
      <c r="AC3768" s="10">
        <f>LEFT(UPPER(H3768)&amp;REPT(" ",250),250)</f>
        <v/>
      </c>
      <c r="AD3768" s="10">
        <f>TEXT($G$2,"dd/mm/aaaa")</f>
        <v/>
      </c>
      <c r="AE3768" s="10">
        <f>REPT(" ",10)</f>
        <v/>
      </c>
      <c r="AF3768" s="10">
        <f>REPT(" ",20)</f>
        <v/>
      </c>
      <c r="AG3768" s="54">
        <f>REPT(" ",18-LEN(FIXED(F3768,2,TRUE)))&amp;FIXED(F3768,2,TRUE)</f>
        <v/>
      </c>
      <c r="AH3768" s="10">
        <f>LEN(AC3768)+LEN(AG3768)</f>
        <v/>
      </c>
      <c r="AI3768" s="10">
        <f>LEN(L3768)</f>
        <v/>
      </c>
    </row>
    <row r="3769">
      <c r="J3769" s="12">
        <f>IF(F3769&lt;&gt;0,"LANÇAR","")</f>
        <v/>
      </c>
      <c r="L3769" s="13">
        <f>N3769&amp;O3769&amp;P3769&amp;Q3769&amp;R3769&amp;S3769&amp;T3769&amp;U3769&amp;V3769&amp;W3769&amp;X3769&amp;Y3769&amp;Z3769&amp;AA3769&amp;AB3769&amp;AC3769&amp;AD3769&amp;AE3769&amp;AF3769&amp;AG3769</f>
        <v/>
      </c>
      <c r="N3769" s="10">
        <f>TEXT($B$6,"00")</f>
        <v/>
      </c>
      <c r="O3769" s="10">
        <f>REPT(" ",8)</f>
        <v/>
      </c>
      <c r="P3769" s="10">
        <f>RIGHT($B$4,2)</f>
        <v/>
      </c>
      <c r="Q3769" s="10">
        <f>RIGHT($B$5,3)</f>
        <v/>
      </c>
      <c r="R3769" s="10">
        <f>IF(A3769="D",LEFT(UPPER(B3769)&amp;REPT(" ",20),20),REPT(" ",20))</f>
        <v/>
      </c>
      <c r="S3769" s="10">
        <f>IF(A3769="D",LEFT(UPPER(C3769)&amp;REPT(" ",10),10)," ")</f>
        <v/>
      </c>
      <c r="T3769" s="10">
        <f>IF(A3769="D",LEFT(UPPER(D3769)&amp;REPT(" ",2),2)," ")</f>
        <v/>
      </c>
      <c r="U3769" s="10">
        <f>IF(A3769="D",LEFT(UPPER(E3769)&amp;REPT(" ",15),15)," ")</f>
        <v/>
      </c>
      <c r="V3769" s="10">
        <f>REPT(" ",24)</f>
        <v/>
      </c>
      <c r="W3769" s="10">
        <f>IF(A3769="c",LEFT(UPPER(B3769)&amp;REPT(" ",20),20),REPT(" ",20))</f>
        <v/>
      </c>
      <c r="X3769" s="10">
        <f>IF(A3769="C",LEFT(UPPER(C3769)&amp;REPT(" ",10),10)," ")</f>
        <v/>
      </c>
      <c r="Y3769" s="10">
        <f>IF(A3769="C",LEFT(UPPER(D3769)&amp;REPT(" ",2),2)," ")</f>
        <v/>
      </c>
      <c r="Z3769" s="10">
        <f>IF(A3769="C",LEFT(UPPER(E3769)&amp;REPT(" ",15),15)," ")</f>
        <v/>
      </c>
      <c r="AA3769" s="10">
        <f>REPT(" ",8)</f>
        <v/>
      </c>
      <c r="AB3769" s="10">
        <f>REPT(" ",4)</f>
        <v/>
      </c>
      <c r="AC3769" s="10">
        <f>LEFT(UPPER(H3769)&amp;REPT(" ",250),250)</f>
        <v/>
      </c>
      <c r="AD3769" s="10">
        <f>TEXT($G$2,"dd/mm/aaaa")</f>
        <v/>
      </c>
      <c r="AE3769" s="10">
        <f>REPT(" ",10)</f>
        <v/>
      </c>
      <c r="AF3769" s="10">
        <f>REPT(" ",20)</f>
        <v/>
      </c>
      <c r="AG3769" s="54">
        <f>REPT(" ",18-LEN(FIXED(F3769,2,TRUE)))&amp;FIXED(F3769,2,TRUE)</f>
        <v/>
      </c>
      <c r="AH3769" s="10">
        <f>LEN(AC3769)+LEN(AG3769)</f>
        <v/>
      </c>
      <c r="AI3769" s="10">
        <f>LEN(L3769)</f>
        <v/>
      </c>
    </row>
    <row r="3770">
      <c r="J3770" s="12">
        <f>IF(F3770&lt;&gt;0,"LANÇAR","")</f>
        <v/>
      </c>
      <c r="L3770" s="13">
        <f>N3770&amp;O3770&amp;P3770&amp;Q3770&amp;R3770&amp;S3770&amp;T3770&amp;U3770&amp;V3770&amp;W3770&amp;X3770&amp;Y3770&amp;Z3770&amp;AA3770&amp;AB3770&amp;AC3770&amp;AD3770&amp;AE3770&amp;AF3770&amp;AG3770</f>
        <v/>
      </c>
      <c r="N3770" s="10">
        <f>TEXT($B$6,"00")</f>
        <v/>
      </c>
      <c r="O3770" s="10">
        <f>REPT(" ",8)</f>
        <v/>
      </c>
      <c r="P3770" s="10">
        <f>RIGHT($B$4,2)</f>
        <v/>
      </c>
      <c r="Q3770" s="10">
        <f>RIGHT($B$5,3)</f>
        <v/>
      </c>
      <c r="R3770" s="10">
        <f>IF(A3770="D",LEFT(UPPER(B3770)&amp;REPT(" ",20),20),REPT(" ",20))</f>
        <v/>
      </c>
      <c r="S3770" s="10">
        <f>IF(A3770="D",LEFT(UPPER(C3770)&amp;REPT(" ",10),10)," ")</f>
        <v/>
      </c>
      <c r="T3770" s="10">
        <f>IF(A3770="D",LEFT(UPPER(D3770)&amp;REPT(" ",2),2)," ")</f>
        <v/>
      </c>
      <c r="U3770" s="10">
        <f>IF(A3770="D",LEFT(UPPER(E3770)&amp;REPT(" ",15),15)," ")</f>
        <v/>
      </c>
      <c r="V3770" s="10">
        <f>REPT(" ",24)</f>
        <v/>
      </c>
      <c r="W3770" s="10">
        <f>IF(A3770="c",LEFT(UPPER(B3770)&amp;REPT(" ",20),20),REPT(" ",20))</f>
        <v/>
      </c>
      <c r="X3770" s="10">
        <f>IF(A3770="C",LEFT(UPPER(C3770)&amp;REPT(" ",10),10)," ")</f>
        <v/>
      </c>
      <c r="Y3770" s="10">
        <f>IF(A3770="C",LEFT(UPPER(D3770)&amp;REPT(" ",2),2)," ")</f>
        <v/>
      </c>
      <c r="Z3770" s="10">
        <f>IF(A3770="C",LEFT(UPPER(E3770)&amp;REPT(" ",15),15)," ")</f>
        <v/>
      </c>
      <c r="AA3770" s="10">
        <f>REPT(" ",8)</f>
        <v/>
      </c>
      <c r="AB3770" s="10">
        <f>REPT(" ",4)</f>
        <v/>
      </c>
      <c r="AC3770" s="10">
        <f>LEFT(UPPER(H3770)&amp;REPT(" ",250),250)</f>
        <v/>
      </c>
      <c r="AD3770" s="10">
        <f>TEXT($G$2,"dd/mm/aaaa")</f>
        <v/>
      </c>
      <c r="AE3770" s="10">
        <f>REPT(" ",10)</f>
        <v/>
      </c>
      <c r="AF3770" s="10">
        <f>REPT(" ",20)</f>
        <v/>
      </c>
      <c r="AG3770" s="54">
        <f>REPT(" ",18-LEN(FIXED(F3770,2,TRUE)))&amp;FIXED(F3770,2,TRUE)</f>
        <v/>
      </c>
      <c r="AH3770" s="10">
        <f>LEN(AC3770)+LEN(AG3770)</f>
        <v/>
      </c>
      <c r="AI3770" s="10">
        <f>LEN(L3770)</f>
        <v/>
      </c>
    </row>
    <row r="3771">
      <c r="J3771" s="12">
        <f>IF(F3771&lt;&gt;0,"LANÇAR","")</f>
        <v/>
      </c>
      <c r="L3771" s="13">
        <f>N3771&amp;O3771&amp;P3771&amp;Q3771&amp;R3771&amp;S3771&amp;T3771&amp;U3771&amp;V3771&amp;W3771&amp;X3771&amp;Y3771&amp;Z3771&amp;AA3771&amp;AB3771&amp;AC3771&amp;AD3771&amp;AE3771&amp;AF3771&amp;AG3771</f>
        <v/>
      </c>
      <c r="N3771" s="10">
        <f>TEXT($B$6,"00")</f>
        <v/>
      </c>
      <c r="O3771" s="10">
        <f>REPT(" ",8)</f>
        <v/>
      </c>
      <c r="P3771" s="10">
        <f>RIGHT($B$4,2)</f>
        <v/>
      </c>
      <c r="Q3771" s="10">
        <f>RIGHT($B$5,3)</f>
        <v/>
      </c>
      <c r="R3771" s="10">
        <f>IF(A3771="D",LEFT(UPPER(B3771)&amp;REPT(" ",20),20),REPT(" ",20))</f>
        <v/>
      </c>
      <c r="S3771" s="10">
        <f>IF(A3771="D",LEFT(UPPER(C3771)&amp;REPT(" ",10),10)," ")</f>
        <v/>
      </c>
      <c r="T3771" s="10">
        <f>IF(A3771="D",LEFT(UPPER(D3771)&amp;REPT(" ",2),2)," ")</f>
        <v/>
      </c>
      <c r="U3771" s="10">
        <f>IF(A3771="D",LEFT(UPPER(E3771)&amp;REPT(" ",15),15)," ")</f>
        <v/>
      </c>
      <c r="V3771" s="10">
        <f>REPT(" ",24)</f>
        <v/>
      </c>
      <c r="W3771" s="10">
        <f>IF(A3771="c",LEFT(UPPER(B3771)&amp;REPT(" ",20),20),REPT(" ",20))</f>
        <v/>
      </c>
      <c r="X3771" s="10">
        <f>IF(A3771="C",LEFT(UPPER(C3771)&amp;REPT(" ",10),10)," ")</f>
        <v/>
      </c>
      <c r="Y3771" s="10">
        <f>IF(A3771="C",LEFT(UPPER(D3771)&amp;REPT(" ",2),2)," ")</f>
        <v/>
      </c>
      <c r="Z3771" s="10">
        <f>IF(A3771="C",LEFT(UPPER(E3771)&amp;REPT(" ",15),15)," ")</f>
        <v/>
      </c>
      <c r="AA3771" s="10">
        <f>REPT(" ",8)</f>
        <v/>
      </c>
      <c r="AB3771" s="10">
        <f>REPT(" ",4)</f>
        <v/>
      </c>
      <c r="AC3771" s="10">
        <f>LEFT(UPPER(H3771)&amp;REPT(" ",250),250)</f>
        <v/>
      </c>
      <c r="AD3771" s="10">
        <f>TEXT($G$2,"dd/mm/aaaa")</f>
        <v/>
      </c>
      <c r="AE3771" s="10">
        <f>REPT(" ",10)</f>
        <v/>
      </c>
      <c r="AF3771" s="10">
        <f>REPT(" ",20)</f>
        <v/>
      </c>
      <c r="AG3771" s="54">
        <f>REPT(" ",18-LEN(FIXED(F3771,2,TRUE)))&amp;FIXED(F3771,2,TRUE)</f>
        <v/>
      </c>
      <c r="AH3771" s="10">
        <f>LEN(AC3771)+LEN(AG3771)</f>
        <v/>
      </c>
      <c r="AI3771" s="10">
        <f>LEN(L3771)</f>
        <v/>
      </c>
    </row>
    <row r="3772">
      <c r="J3772" s="12">
        <f>IF(F3772&lt;&gt;0,"LANÇAR","")</f>
        <v/>
      </c>
      <c r="L3772" s="13">
        <f>N3772&amp;O3772&amp;P3772&amp;Q3772&amp;R3772&amp;S3772&amp;T3772&amp;U3772&amp;V3772&amp;W3772&amp;X3772&amp;Y3772&amp;Z3772&amp;AA3772&amp;AB3772&amp;AC3772&amp;AD3772&amp;AE3772&amp;AF3772&amp;AG3772</f>
        <v/>
      </c>
      <c r="N3772" s="10">
        <f>TEXT($B$6,"00")</f>
        <v/>
      </c>
      <c r="O3772" s="10">
        <f>REPT(" ",8)</f>
        <v/>
      </c>
      <c r="P3772" s="10">
        <f>RIGHT($B$4,2)</f>
        <v/>
      </c>
      <c r="Q3772" s="10">
        <f>RIGHT($B$5,3)</f>
        <v/>
      </c>
      <c r="R3772" s="10">
        <f>IF(A3772="D",LEFT(UPPER(B3772)&amp;REPT(" ",20),20),REPT(" ",20))</f>
        <v/>
      </c>
      <c r="S3772" s="10">
        <f>IF(A3772="D",LEFT(UPPER(C3772)&amp;REPT(" ",10),10)," ")</f>
        <v/>
      </c>
      <c r="T3772" s="10">
        <f>IF(A3772="D",LEFT(UPPER(D3772)&amp;REPT(" ",2),2)," ")</f>
        <v/>
      </c>
      <c r="U3772" s="10">
        <f>IF(A3772="D",LEFT(UPPER(E3772)&amp;REPT(" ",15),15)," ")</f>
        <v/>
      </c>
      <c r="V3772" s="10">
        <f>REPT(" ",24)</f>
        <v/>
      </c>
      <c r="W3772" s="10">
        <f>IF(A3772="c",LEFT(UPPER(B3772)&amp;REPT(" ",20),20),REPT(" ",20))</f>
        <v/>
      </c>
      <c r="X3772" s="10">
        <f>IF(A3772="C",LEFT(UPPER(C3772)&amp;REPT(" ",10),10)," ")</f>
        <v/>
      </c>
      <c r="Y3772" s="10">
        <f>IF(A3772="C",LEFT(UPPER(D3772)&amp;REPT(" ",2),2)," ")</f>
        <v/>
      </c>
      <c r="Z3772" s="10">
        <f>IF(A3772="C",LEFT(UPPER(E3772)&amp;REPT(" ",15),15)," ")</f>
        <v/>
      </c>
      <c r="AA3772" s="10">
        <f>REPT(" ",8)</f>
        <v/>
      </c>
      <c r="AB3772" s="10">
        <f>REPT(" ",4)</f>
        <v/>
      </c>
      <c r="AC3772" s="10">
        <f>LEFT(UPPER(H3772)&amp;REPT(" ",250),250)</f>
        <v/>
      </c>
      <c r="AD3772" s="10">
        <f>TEXT($G$2,"dd/mm/aaaa")</f>
        <v/>
      </c>
      <c r="AE3772" s="10">
        <f>REPT(" ",10)</f>
        <v/>
      </c>
      <c r="AF3772" s="10">
        <f>REPT(" ",20)</f>
        <v/>
      </c>
      <c r="AG3772" s="54">
        <f>REPT(" ",18-LEN(FIXED(F3772,2,TRUE)))&amp;FIXED(F3772,2,TRUE)</f>
        <v/>
      </c>
      <c r="AH3772" s="10">
        <f>LEN(AC3772)+LEN(AG3772)</f>
        <v/>
      </c>
      <c r="AI3772" s="10">
        <f>LEN(L3772)</f>
        <v/>
      </c>
    </row>
    <row r="3773">
      <c r="J3773" s="12">
        <f>IF(F3773&lt;&gt;0,"LANÇAR","")</f>
        <v/>
      </c>
      <c r="L3773" s="13">
        <f>N3773&amp;O3773&amp;P3773&amp;Q3773&amp;R3773&amp;S3773&amp;T3773&amp;U3773&amp;V3773&amp;W3773&amp;X3773&amp;Y3773&amp;Z3773&amp;AA3773&amp;AB3773&amp;AC3773&amp;AD3773&amp;AE3773&amp;AF3773&amp;AG3773</f>
        <v/>
      </c>
      <c r="N3773" s="10">
        <f>TEXT($B$6,"00")</f>
        <v/>
      </c>
      <c r="O3773" s="10">
        <f>REPT(" ",8)</f>
        <v/>
      </c>
      <c r="P3773" s="10">
        <f>RIGHT($B$4,2)</f>
        <v/>
      </c>
      <c r="Q3773" s="10">
        <f>RIGHT($B$5,3)</f>
        <v/>
      </c>
      <c r="R3773" s="10">
        <f>IF(A3773="D",LEFT(UPPER(B3773)&amp;REPT(" ",20),20),REPT(" ",20))</f>
        <v/>
      </c>
      <c r="S3773" s="10">
        <f>IF(A3773="D",LEFT(UPPER(C3773)&amp;REPT(" ",10),10)," ")</f>
        <v/>
      </c>
      <c r="T3773" s="10">
        <f>IF(A3773="D",LEFT(UPPER(D3773)&amp;REPT(" ",2),2)," ")</f>
        <v/>
      </c>
      <c r="U3773" s="10">
        <f>IF(A3773="D",LEFT(UPPER(E3773)&amp;REPT(" ",15),15)," ")</f>
        <v/>
      </c>
      <c r="V3773" s="10">
        <f>REPT(" ",24)</f>
        <v/>
      </c>
      <c r="W3773" s="10">
        <f>IF(A3773="c",LEFT(UPPER(B3773)&amp;REPT(" ",20),20),REPT(" ",20))</f>
        <v/>
      </c>
      <c r="X3773" s="10">
        <f>IF(A3773="C",LEFT(UPPER(C3773)&amp;REPT(" ",10),10)," ")</f>
        <v/>
      </c>
      <c r="Y3773" s="10">
        <f>IF(A3773="C",LEFT(UPPER(D3773)&amp;REPT(" ",2),2)," ")</f>
        <v/>
      </c>
      <c r="Z3773" s="10">
        <f>IF(A3773="C",LEFT(UPPER(E3773)&amp;REPT(" ",15),15)," ")</f>
        <v/>
      </c>
      <c r="AA3773" s="10">
        <f>REPT(" ",8)</f>
        <v/>
      </c>
      <c r="AB3773" s="10">
        <f>REPT(" ",4)</f>
        <v/>
      </c>
      <c r="AC3773" s="10">
        <f>LEFT(UPPER(H3773)&amp;REPT(" ",250),250)</f>
        <v/>
      </c>
      <c r="AD3773" s="10">
        <f>TEXT($G$2,"dd/mm/aaaa")</f>
        <v/>
      </c>
      <c r="AE3773" s="10">
        <f>REPT(" ",10)</f>
        <v/>
      </c>
      <c r="AF3773" s="10">
        <f>REPT(" ",20)</f>
        <v/>
      </c>
      <c r="AG3773" s="54">
        <f>REPT(" ",18-LEN(FIXED(F3773,2,TRUE)))&amp;FIXED(F3773,2,TRUE)</f>
        <v/>
      </c>
      <c r="AH3773" s="10">
        <f>LEN(AC3773)+LEN(AG3773)</f>
        <v/>
      </c>
      <c r="AI3773" s="10">
        <f>LEN(L3773)</f>
        <v/>
      </c>
    </row>
    <row r="3774">
      <c r="J3774" s="12">
        <f>IF(F3774&lt;&gt;0,"LANÇAR","")</f>
        <v/>
      </c>
      <c r="L3774" s="13">
        <f>N3774&amp;O3774&amp;P3774&amp;Q3774&amp;R3774&amp;S3774&amp;T3774&amp;U3774&amp;V3774&amp;W3774&amp;X3774&amp;Y3774&amp;Z3774&amp;AA3774&amp;AB3774&amp;AC3774&amp;AD3774&amp;AE3774&amp;AF3774&amp;AG3774</f>
        <v/>
      </c>
      <c r="N3774" s="10">
        <f>TEXT($B$6,"00")</f>
        <v/>
      </c>
      <c r="O3774" s="10">
        <f>REPT(" ",8)</f>
        <v/>
      </c>
      <c r="P3774" s="10">
        <f>RIGHT($B$4,2)</f>
        <v/>
      </c>
      <c r="Q3774" s="10">
        <f>RIGHT($B$5,3)</f>
        <v/>
      </c>
      <c r="R3774" s="10">
        <f>IF(A3774="D",LEFT(UPPER(B3774)&amp;REPT(" ",20),20),REPT(" ",20))</f>
        <v/>
      </c>
      <c r="S3774" s="10">
        <f>IF(A3774="D",LEFT(UPPER(C3774)&amp;REPT(" ",10),10)," ")</f>
        <v/>
      </c>
      <c r="T3774" s="10">
        <f>IF(A3774="D",LEFT(UPPER(D3774)&amp;REPT(" ",2),2)," ")</f>
        <v/>
      </c>
      <c r="U3774" s="10">
        <f>IF(A3774="D",LEFT(UPPER(E3774)&amp;REPT(" ",15),15)," ")</f>
        <v/>
      </c>
      <c r="V3774" s="10">
        <f>REPT(" ",24)</f>
        <v/>
      </c>
      <c r="W3774" s="10">
        <f>IF(A3774="c",LEFT(UPPER(B3774)&amp;REPT(" ",20),20),REPT(" ",20))</f>
        <v/>
      </c>
      <c r="X3774" s="10">
        <f>IF(A3774="C",LEFT(UPPER(C3774)&amp;REPT(" ",10),10)," ")</f>
        <v/>
      </c>
      <c r="Y3774" s="10">
        <f>IF(A3774="C",LEFT(UPPER(D3774)&amp;REPT(" ",2),2)," ")</f>
        <v/>
      </c>
      <c r="Z3774" s="10">
        <f>IF(A3774="C",LEFT(UPPER(E3774)&amp;REPT(" ",15),15)," ")</f>
        <v/>
      </c>
      <c r="AA3774" s="10">
        <f>REPT(" ",8)</f>
        <v/>
      </c>
      <c r="AB3774" s="10">
        <f>REPT(" ",4)</f>
        <v/>
      </c>
      <c r="AC3774" s="10">
        <f>LEFT(UPPER(H3774)&amp;REPT(" ",250),250)</f>
        <v/>
      </c>
      <c r="AD3774" s="10">
        <f>TEXT($G$2,"dd/mm/aaaa")</f>
        <v/>
      </c>
      <c r="AE3774" s="10">
        <f>REPT(" ",10)</f>
        <v/>
      </c>
      <c r="AF3774" s="10">
        <f>REPT(" ",20)</f>
        <v/>
      </c>
      <c r="AG3774" s="54">
        <f>REPT(" ",18-LEN(FIXED(F3774,2,TRUE)))&amp;FIXED(F3774,2,TRUE)</f>
        <v/>
      </c>
      <c r="AH3774" s="10">
        <f>LEN(AC3774)+LEN(AG3774)</f>
        <v/>
      </c>
      <c r="AI3774" s="10">
        <f>LEN(L3774)</f>
        <v/>
      </c>
    </row>
    <row r="3775">
      <c r="J3775" s="12">
        <f>IF(F3775&lt;&gt;0,"LANÇAR","")</f>
        <v/>
      </c>
      <c r="L3775" s="13">
        <f>N3775&amp;O3775&amp;P3775&amp;Q3775&amp;R3775&amp;S3775&amp;T3775&amp;U3775&amp;V3775&amp;W3775&amp;X3775&amp;Y3775&amp;Z3775&amp;AA3775&amp;AB3775&amp;AC3775&amp;AD3775&amp;AE3775&amp;AF3775&amp;AG3775</f>
        <v/>
      </c>
      <c r="N3775" s="10">
        <f>TEXT($B$6,"00")</f>
        <v/>
      </c>
      <c r="O3775" s="10">
        <f>REPT(" ",8)</f>
        <v/>
      </c>
      <c r="P3775" s="10">
        <f>RIGHT($B$4,2)</f>
        <v/>
      </c>
      <c r="Q3775" s="10">
        <f>RIGHT($B$5,3)</f>
        <v/>
      </c>
      <c r="R3775" s="10">
        <f>IF(A3775="D",LEFT(UPPER(B3775)&amp;REPT(" ",20),20),REPT(" ",20))</f>
        <v/>
      </c>
      <c r="S3775" s="10">
        <f>IF(A3775="D",LEFT(UPPER(C3775)&amp;REPT(" ",10),10)," ")</f>
        <v/>
      </c>
      <c r="T3775" s="10">
        <f>IF(A3775="D",LEFT(UPPER(D3775)&amp;REPT(" ",2),2)," ")</f>
        <v/>
      </c>
      <c r="U3775" s="10">
        <f>IF(A3775="D",LEFT(UPPER(E3775)&amp;REPT(" ",15),15)," ")</f>
        <v/>
      </c>
      <c r="V3775" s="10">
        <f>REPT(" ",24)</f>
        <v/>
      </c>
      <c r="W3775" s="10">
        <f>IF(A3775="c",LEFT(UPPER(B3775)&amp;REPT(" ",20),20),REPT(" ",20))</f>
        <v/>
      </c>
      <c r="X3775" s="10">
        <f>IF(A3775="C",LEFT(UPPER(C3775)&amp;REPT(" ",10),10)," ")</f>
        <v/>
      </c>
      <c r="Y3775" s="10">
        <f>IF(A3775="C",LEFT(UPPER(D3775)&amp;REPT(" ",2),2)," ")</f>
        <v/>
      </c>
      <c r="Z3775" s="10">
        <f>IF(A3775="C",LEFT(UPPER(E3775)&amp;REPT(" ",15),15)," ")</f>
        <v/>
      </c>
      <c r="AA3775" s="10">
        <f>REPT(" ",8)</f>
        <v/>
      </c>
      <c r="AB3775" s="10">
        <f>REPT(" ",4)</f>
        <v/>
      </c>
      <c r="AC3775" s="10">
        <f>LEFT(UPPER(H3775)&amp;REPT(" ",250),250)</f>
        <v/>
      </c>
      <c r="AD3775" s="10">
        <f>TEXT($G$2,"dd/mm/aaaa")</f>
        <v/>
      </c>
      <c r="AE3775" s="10">
        <f>REPT(" ",10)</f>
        <v/>
      </c>
      <c r="AF3775" s="10">
        <f>REPT(" ",20)</f>
        <v/>
      </c>
      <c r="AG3775" s="54">
        <f>REPT(" ",18-LEN(FIXED(F3775,2,TRUE)))&amp;FIXED(F3775,2,TRUE)</f>
        <v/>
      </c>
      <c r="AH3775" s="10">
        <f>LEN(AC3775)+LEN(AG3775)</f>
        <v/>
      </c>
      <c r="AI3775" s="10">
        <f>LEN(L3775)</f>
        <v/>
      </c>
    </row>
    <row r="3776">
      <c r="J3776" s="12">
        <f>IF(F3776&lt;&gt;0,"LANÇAR","")</f>
        <v/>
      </c>
      <c r="L3776" s="13">
        <f>N3776&amp;O3776&amp;P3776&amp;Q3776&amp;R3776&amp;S3776&amp;T3776&amp;U3776&amp;V3776&amp;W3776&amp;X3776&amp;Y3776&amp;Z3776&amp;AA3776&amp;AB3776&amp;AC3776&amp;AD3776&amp;AE3776&amp;AF3776&amp;AG3776</f>
        <v/>
      </c>
      <c r="N3776" s="10">
        <f>TEXT($B$6,"00")</f>
        <v/>
      </c>
      <c r="O3776" s="10">
        <f>REPT(" ",8)</f>
        <v/>
      </c>
      <c r="P3776" s="10">
        <f>RIGHT($B$4,2)</f>
        <v/>
      </c>
      <c r="Q3776" s="10">
        <f>RIGHT($B$5,3)</f>
        <v/>
      </c>
      <c r="R3776" s="10">
        <f>IF(A3776="D",LEFT(UPPER(B3776)&amp;REPT(" ",20),20),REPT(" ",20))</f>
        <v/>
      </c>
      <c r="S3776" s="10">
        <f>IF(A3776="D",LEFT(UPPER(C3776)&amp;REPT(" ",10),10)," ")</f>
        <v/>
      </c>
      <c r="T3776" s="10">
        <f>IF(A3776="D",LEFT(UPPER(D3776)&amp;REPT(" ",2),2)," ")</f>
        <v/>
      </c>
      <c r="U3776" s="10">
        <f>IF(A3776="D",LEFT(UPPER(E3776)&amp;REPT(" ",15),15)," ")</f>
        <v/>
      </c>
      <c r="V3776" s="10">
        <f>REPT(" ",24)</f>
        <v/>
      </c>
      <c r="W3776" s="10">
        <f>IF(A3776="c",LEFT(UPPER(B3776)&amp;REPT(" ",20),20),REPT(" ",20))</f>
        <v/>
      </c>
      <c r="X3776" s="10">
        <f>IF(A3776="C",LEFT(UPPER(C3776)&amp;REPT(" ",10),10)," ")</f>
        <v/>
      </c>
      <c r="Y3776" s="10">
        <f>IF(A3776="C",LEFT(UPPER(D3776)&amp;REPT(" ",2),2)," ")</f>
        <v/>
      </c>
      <c r="Z3776" s="10">
        <f>IF(A3776="C",LEFT(UPPER(E3776)&amp;REPT(" ",15),15)," ")</f>
        <v/>
      </c>
      <c r="AA3776" s="10">
        <f>REPT(" ",8)</f>
        <v/>
      </c>
      <c r="AB3776" s="10">
        <f>REPT(" ",4)</f>
        <v/>
      </c>
      <c r="AC3776" s="10">
        <f>LEFT(UPPER(H3776)&amp;REPT(" ",250),250)</f>
        <v/>
      </c>
      <c r="AD3776" s="10">
        <f>TEXT($G$2,"dd/mm/aaaa")</f>
        <v/>
      </c>
      <c r="AE3776" s="10">
        <f>REPT(" ",10)</f>
        <v/>
      </c>
      <c r="AF3776" s="10">
        <f>REPT(" ",20)</f>
        <v/>
      </c>
      <c r="AG3776" s="54">
        <f>REPT(" ",18-LEN(FIXED(F3776,2,TRUE)))&amp;FIXED(F3776,2,TRUE)</f>
        <v/>
      </c>
      <c r="AH3776" s="10">
        <f>LEN(AC3776)+LEN(AG3776)</f>
        <v/>
      </c>
      <c r="AI3776" s="10">
        <f>LEN(L3776)</f>
        <v/>
      </c>
    </row>
    <row r="3777">
      <c r="J3777" s="12">
        <f>IF(F3777&lt;&gt;0,"LANÇAR","")</f>
        <v/>
      </c>
      <c r="L3777" s="13">
        <f>N3777&amp;O3777&amp;P3777&amp;Q3777&amp;R3777&amp;S3777&amp;T3777&amp;U3777&amp;V3777&amp;W3777&amp;X3777&amp;Y3777&amp;Z3777&amp;AA3777&amp;AB3777&amp;AC3777&amp;AD3777&amp;AE3777&amp;AF3777&amp;AG3777</f>
        <v/>
      </c>
      <c r="N3777" s="10">
        <f>TEXT($B$6,"00")</f>
        <v/>
      </c>
      <c r="O3777" s="10">
        <f>REPT(" ",8)</f>
        <v/>
      </c>
      <c r="P3777" s="10">
        <f>RIGHT($B$4,2)</f>
        <v/>
      </c>
      <c r="Q3777" s="10">
        <f>RIGHT($B$5,3)</f>
        <v/>
      </c>
      <c r="R3777" s="10">
        <f>IF(A3777="D",LEFT(UPPER(B3777)&amp;REPT(" ",20),20),REPT(" ",20))</f>
        <v/>
      </c>
      <c r="S3777" s="10">
        <f>IF(A3777="D",LEFT(UPPER(C3777)&amp;REPT(" ",10),10)," ")</f>
        <v/>
      </c>
      <c r="T3777" s="10">
        <f>IF(A3777="D",LEFT(UPPER(D3777)&amp;REPT(" ",2),2)," ")</f>
        <v/>
      </c>
      <c r="U3777" s="10">
        <f>IF(A3777="D",LEFT(UPPER(E3777)&amp;REPT(" ",15),15)," ")</f>
        <v/>
      </c>
      <c r="V3777" s="10">
        <f>REPT(" ",24)</f>
        <v/>
      </c>
      <c r="W3777" s="10">
        <f>IF(A3777="c",LEFT(UPPER(B3777)&amp;REPT(" ",20),20),REPT(" ",20))</f>
        <v/>
      </c>
      <c r="X3777" s="10">
        <f>IF(A3777="C",LEFT(UPPER(C3777)&amp;REPT(" ",10),10)," ")</f>
        <v/>
      </c>
      <c r="Y3777" s="10">
        <f>IF(A3777="C",LEFT(UPPER(D3777)&amp;REPT(" ",2),2)," ")</f>
        <v/>
      </c>
      <c r="Z3777" s="10">
        <f>IF(A3777="C",LEFT(UPPER(E3777)&amp;REPT(" ",15),15)," ")</f>
        <v/>
      </c>
      <c r="AA3777" s="10">
        <f>REPT(" ",8)</f>
        <v/>
      </c>
      <c r="AB3777" s="10">
        <f>REPT(" ",4)</f>
        <v/>
      </c>
      <c r="AC3777" s="10">
        <f>LEFT(UPPER(H3777)&amp;REPT(" ",250),250)</f>
        <v/>
      </c>
      <c r="AD3777" s="10">
        <f>TEXT($G$2,"dd/mm/aaaa")</f>
        <v/>
      </c>
      <c r="AE3777" s="10">
        <f>REPT(" ",10)</f>
        <v/>
      </c>
      <c r="AF3777" s="10">
        <f>REPT(" ",20)</f>
        <v/>
      </c>
      <c r="AG3777" s="54">
        <f>REPT(" ",18-LEN(FIXED(F3777,2,TRUE)))&amp;FIXED(F3777,2,TRUE)</f>
        <v/>
      </c>
      <c r="AH3777" s="10">
        <f>LEN(AC3777)+LEN(AG3777)</f>
        <v/>
      </c>
      <c r="AI3777" s="10">
        <f>LEN(L3777)</f>
        <v/>
      </c>
    </row>
    <row r="3778">
      <c r="J3778" s="12">
        <f>IF(F3778&lt;&gt;0,"LANÇAR","")</f>
        <v/>
      </c>
      <c r="L3778" s="13">
        <f>N3778&amp;O3778&amp;P3778&amp;Q3778&amp;R3778&amp;S3778&amp;T3778&amp;U3778&amp;V3778&amp;W3778&amp;X3778&amp;Y3778&amp;Z3778&amp;AA3778&amp;AB3778&amp;AC3778&amp;AD3778&amp;AE3778&amp;AF3778&amp;AG3778</f>
        <v/>
      </c>
      <c r="N3778" s="10">
        <f>TEXT($B$6,"00")</f>
        <v/>
      </c>
      <c r="O3778" s="10">
        <f>REPT(" ",8)</f>
        <v/>
      </c>
      <c r="P3778" s="10">
        <f>RIGHT($B$4,2)</f>
        <v/>
      </c>
      <c r="Q3778" s="10">
        <f>RIGHT($B$5,3)</f>
        <v/>
      </c>
      <c r="R3778" s="10">
        <f>IF(A3778="D",LEFT(UPPER(B3778)&amp;REPT(" ",20),20),REPT(" ",20))</f>
        <v/>
      </c>
      <c r="S3778" s="10">
        <f>IF(A3778="D",LEFT(UPPER(C3778)&amp;REPT(" ",10),10)," ")</f>
        <v/>
      </c>
      <c r="T3778" s="10">
        <f>IF(A3778="D",LEFT(UPPER(D3778)&amp;REPT(" ",2),2)," ")</f>
        <v/>
      </c>
      <c r="U3778" s="10">
        <f>IF(A3778="D",LEFT(UPPER(E3778)&amp;REPT(" ",15),15)," ")</f>
        <v/>
      </c>
      <c r="V3778" s="10">
        <f>REPT(" ",24)</f>
        <v/>
      </c>
      <c r="W3778" s="10">
        <f>IF(A3778="c",LEFT(UPPER(B3778)&amp;REPT(" ",20),20),REPT(" ",20))</f>
        <v/>
      </c>
      <c r="X3778" s="10">
        <f>IF(A3778="C",LEFT(UPPER(C3778)&amp;REPT(" ",10),10)," ")</f>
        <v/>
      </c>
      <c r="Y3778" s="10">
        <f>IF(A3778="C",LEFT(UPPER(D3778)&amp;REPT(" ",2),2)," ")</f>
        <v/>
      </c>
      <c r="Z3778" s="10">
        <f>IF(A3778="C",LEFT(UPPER(E3778)&amp;REPT(" ",15),15)," ")</f>
        <v/>
      </c>
      <c r="AA3778" s="10">
        <f>REPT(" ",8)</f>
        <v/>
      </c>
      <c r="AB3778" s="10">
        <f>REPT(" ",4)</f>
        <v/>
      </c>
      <c r="AC3778" s="10">
        <f>LEFT(UPPER(H3778)&amp;REPT(" ",250),250)</f>
        <v/>
      </c>
      <c r="AD3778" s="10">
        <f>TEXT($G$2,"dd/mm/aaaa")</f>
        <v/>
      </c>
      <c r="AE3778" s="10">
        <f>REPT(" ",10)</f>
        <v/>
      </c>
      <c r="AF3778" s="10">
        <f>REPT(" ",20)</f>
        <v/>
      </c>
      <c r="AG3778" s="54">
        <f>REPT(" ",18-LEN(FIXED(F3778,2,TRUE)))&amp;FIXED(F3778,2,TRUE)</f>
        <v/>
      </c>
      <c r="AH3778" s="10">
        <f>LEN(AC3778)+LEN(AG3778)</f>
        <v/>
      </c>
      <c r="AI3778" s="10">
        <f>LEN(L3778)</f>
        <v/>
      </c>
    </row>
    <row r="3779">
      <c r="J3779" s="12">
        <f>IF(F3779&lt;&gt;0,"LANÇAR","")</f>
        <v/>
      </c>
      <c r="L3779" s="13">
        <f>N3779&amp;O3779&amp;P3779&amp;Q3779&amp;R3779&amp;S3779&amp;T3779&amp;U3779&amp;V3779&amp;W3779&amp;X3779&amp;Y3779&amp;Z3779&amp;AA3779&amp;AB3779&amp;AC3779&amp;AD3779&amp;AE3779&amp;AF3779&amp;AG3779</f>
        <v/>
      </c>
      <c r="N3779" s="10">
        <f>TEXT($B$6,"00")</f>
        <v/>
      </c>
      <c r="O3779" s="10">
        <f>REPT(" ",8)</f>
        <v/>
      </c>
      <c r="P3779" s="10">
        <f>RIGHT($B$4,2)</f>
        <v/>
      </c>
      <c r="Q3779" s="10">
        <f>RIGHT($B$5,3)</f>
        <v/>
      </c>
      <c r="R3779" s="10">
        <f>IF(A3779="D",LEFT(UPPER(B3779)&amp;REPT(" ",20),20),REPT(" ",20))</f>
        <v/>
      </c>
      <c r="S3779" s="10">
        <f>IF(A3779="D",LEFT(UPPER(C3779)&amp;REPT(" ",10),10)," ")</f>
        <v/>
      </c>
      <c r="T3779" s="10">
        <f>IF(A3779="D",LEFT(UPPER(D3779)&amp;REPT(" ",2),2)," ")</f>
        <v/>
      </c>
      <c r="U3779" s="10">
        <f>IF(A3779="D",LEFT(UPPER(E3779)&amp;REPT(" ",15),15)," ")</f>
        <v/>
      </c>
      <c r="V3779" s="10">
        <f>REPT(" ",24)</f>
        <v/>
      </c>
      <c r="W3779" s="10">
        <f>IF(A3779="c",LEFT(UPPER(B3779)&amp;REPT(" ",20),20),REPT(" ",20))</f>
        <v/>
      </c>
      <c r="X3779" s="10">
        <f>IF(A3779="C",LEFT(UPPER(C3779)&amp;REPT(" ",10),10)," ")</f>
        <v/>
      </c>
      <c r="Y3779" s="10">
        <f>IF(A3779="C",LEFT(UPPER(D3779)&amp;REPT(" ",2),2)," ")</f>
        <v/>
      </c>
      <c r="Z3779" s="10">
        <f>IF(A3779="C",LEFT(UPPER(E3779)&amp;REPT(" ",15),15)," ")</f>
        <v/>
      </c>
      <c r="AA3779" s="10">
        <f>REPT(" ",8)</f>
        <v/>
      </c>
      <c r="AB3779" s="10">
        <f>REPT(" ",4)</f>
        <v/>
      </c>
      <c r="AC3779" s="10">
        <f>LEFT(UPPER(H3779)&amp;REPT(" ",250),250)</f>
        <v/>
      </c>
      <c r="AD3779" s="10">
        <f>TEXT($G$2,"dd/mm/aaaa")</f>
        <v/>
      </c>
      <c r="AE3779" s="10">
        <f>REPT(" ",10)</f>
        <v/>
      </c>
      <c r="AF3779" s="10">
        <f>REPT(" ",20)</f>
        <v/>
      </c>
      <c r="AG3779" s="54">
        <f>REPT(" ",18-LEN(FIXED(F3779,2,TRUE)))&amp;FIXED(F3779,2,TRUE)</f>
        <v/>
      </c>
      <c r="AH3779" s="10">
        <f>LEN(AC3779)+LEN(AG3779)</f>
        <v/>
      </c>
      <c r="AI3779" s="10">
        <f>LEN(L3779)</f>
        <v/>
      </c>
    </row>
    <row r="3780">
      <c r="J3780" s="12">
        <f>IF(F3780&lt;&gt;0,"LANÇAR","")</f>
        <v/>
      </c>
      <c r="L3780" s="13">
        <f>N3780&amp;O3780&amp;P3780&amp;Q3780&amp;R3780&amp;S3780&amp;T3780&amp;U3780&amp;V3780&amp;W3780&amp;X3780&amp;Y3780&amp;Z3780&amp;AA3780&amp;AB3780&amp;AC3780&amp;AD3780&amp;AE3780&amp;AF3780&amp;AG3780</f>
        <v/>
      </c>
      <c r="N3780" s="10">
        <f>TEXT($B$6,"00")</f>
        <v/>
      </c>
      <c r="O3780" s="10">
        <f>REPT(" ",8)</f>
        <v/>
      </c>
      <c r="P3780" s="10">
        <f>RIGHT($B$4,2)</f>
        <v/>
      </c>
      <c r="Q3780" s="10">
        <f>RIGHT($B$5,3)</f>
        <v/>
      </c>
      <c r="R3780" s="10">
        <f>IF(A3780="D",LEFT(UPPER(B3780)&amp;REPT(" ",20),20),REPT(" ",20))</f>
        <v/>
      </c>
      <c r="S3780" s="10">
        <f>IF(A3780="D",LEFT(UPPER(C3780)&amp;REPT(" ",10),10)," ")</f>
        <v/>
      </c>
      <c r="T3780" s="10">
        <f>IF(A3780="D",LEFT(UPPER(D3780)&amp;REPT(" ",2),2)," ")</f>
        <v/>
      </c>
      <c r="U3780" s="10">
        <f>IF(A3780="D",LEFT(UPPER(E3780)&amp;REPT(" ",15),15)," ")</f>
        <v/>
      </c>
      <c r="V3780" s="10">
        <f>REPT(" ",24)</f>
        <v/>
      </c>
      <c r="W3780" s="10">
        <f>IF(A3780="c",LEFT(UPPER(B3780)&amp;REPT(" ",20),20),REPT(" ",20))</f>
        <v/>
      </c>
      <c r="X3780" s="10">
        <f>IF(A3780="C",LEFT(UPPER(C3780)&amp;REPT(" ",10),10)," ")</f>
        <v/>
      </c>
      <c r="Y3780" s="10">
        <f>IF(A3780="C",LEFT(UPPER(D3780)&amp;REPT(" ",2),2)," ")</f>
        <v/>
      </c>
      <c r="Z3780" s="10">
        <f>IF(A3780="C",LEFT(UPPER(E3780)&amp;REPT(" ",15),15)," ")</f>
        <v/>
      </c>
      <c r="AA3780" s="10">
        <f>REPT(" ",8)</f>
        <v/>
      </c>
      <c r="AB3780" s="10">
        <f>REPT(" ",4)</f>
        <v/>
      </c>
      <c r="AC3780" s="10">
        <f>LEFT(UPPER(H3780)&amp;REPT(" ",250),250)</f>
        <v/>
      </c>
      <c r="AD3780" s="10">
        <f>TEXT($G$2,"dd/mm/aaaa")</f>
        <v/>
      </c>
      <c r="AE3780" s="10">
        <f>REPT(" ",10)</f>
        <v/>
      </c>
      <c r="AF3780" s="10">
        <f>REPT(" ",20)</f>
        <v/>
      </c>
      <c r="AG3780" s="54">
        <f>REPT(" ",18-LEN(FIXED(F3780,2,TRUE)))&amp;FIXED(F3780,2,TRUE)</f>
        <v/>
      </c>
      <c r="AH3780" s="10">
        <f>LEN(AC3780)+LEN(AG3780)</f>
        <v/>
      </c>
      <c r="AI3780" s="10">
        <f>LEN(L3780)</f>
        <v/>
      </c>
    </row>
    <row r="3781">
      <c r="J3781" s="12">
        <f>IF(F3781&lt;&gt;0,"LANÇAR","")</f>
        <v/>
      </c>
      <c r="L3781" s="13">
        <f>N3781&amp;O3781&amp;P3781&amp;Q3781&amp;R3781&amp;S3781&amp;T3781&amp;U3781&amp;V3781&amp;W3781&amp;X3781&amp;Y3781&amp;Z3781&amp;AA3781&amp;AB3781&amp;AC3781&amp;AD3781&amp;AE3781&amp;AF3781&amp;AG3781</f>
        <v/>
      </c>
      <c r="N3781" s="10">
        <f>TEXT($B$6,"00")</f>
        <v/>
      </c>
      <c r="O3781" s="10">
        <f>REPT(" ",8)</f>
        <v/>
      </c>
      <c r="P3781" s="10">
        <f>RIGHT($B$4,2)</f>
        <v/>
      </c>
      <c r="Q3781" s="10">
        <f>RIGHT($B$5,3)</f>
        <v/>
      </c>
      <c r="R3781" s="10">
        <f>IF(A3781="D",LEFT(UPPER(B3781)&amp;REPT(" ",20),20),REPT(" ",20))</f>
        <v/>
      </c>
      <c r="S3781" s="10">
        <f>IF(A3781="D",LEFT(UPPER(C3781)&amp;REPT(" ",10),10)," ")</f>
        <v/>
      </c>
      <c r="T3781" s="10">
        <f>IF(A3781="D",LEFT(UPPER(D3781)&amp;REPT(" ",2),2)," ")</f>
        <v/>
      </c>
      <c r="U3781" s="10">
        <f>IF(A3781="D",LEFT(UPPER(E3781)&amp;REPT(" ",15),15)," ")</f>
        <v/>
      </c>
      <c r="V3781" s="10">
        <f>REPT(" ",24)</f>
        <v/>
      </c>
      <c r="W3781" s="10">
        <f>IF(A3781="c",LEFT(UPPER(B3781)&amp;REPT(" ",20),20),REPT(" ",20))</f>
        <v/>
      </c>
      <c r="X3781" s="10">
        <f>IF(A3781="C",LEFT(UPPER(C3781)&amp;REPT(" ",10),10)," ")</f>
        <v/>
      </c>
      <c r="Y3781" s="10">
        <f>IF(A3781="C",LEFT(UPPER(D3781)&amp;REPT(" ",2),2)," ")</f>
        <v/>
      </c>
      <c r="Z3781" s="10">
        <f>IF(A3781="C",LEFT(UPPER(E3781)&amp;REPT(" ",15),15)," ")</f>
        <v/>
      </c>
      <c r="AA3781" s="10">
        <f>REPT(" ",8)</f>
        <v/>
      </c>
      <c r="AB3781" s="10">
        <f>REPT(" ",4)</f>
        <v/>
      </c>
      <c r="AC3781" s="10">
        <f>LEFT(UPPER(H3781)&amp;REPT(" ",250),250)</f>
        <v/>
      </c>
      <c r="AD3781" s="10">
        <f>TEXT($G$2,"dd/mm/aaaa")</f>
        <v/>
      </c>
      <c r="AE3781" s="10">
        <f>REPT(" ",10)</f>
        <v/>
      </c>
      <c r="AF3781" s="10">
        <f>REPT(" ",20)</f>
        <v/>
      </c>
      <c r="AG3781" s="54">
        <f>REPT(" ",18-LEN(FIXED(F3781,2,TRUE)))&amp;FIXED(F3781,2,TRUE)</f>
        <v/>
      </c>
      <c r="AH3781" s="10">
        <f>LEN(AC3781)+LEN(AG3781)</f>
        <v/>
      </c>
      <c r="AI3781" s="10">
        <f>LEN(L3781)</f>
        <v/>
      </c>
    </row>
    <row r="3782">
      <c r="J3782" s="12">
        <f>IF(F3782&lt;&gt;0,"LANÇAR","")</f>
        <v/>
      </c>
      <c r="L3782" s="13">
        <f>N3782&amp;O3782&amp;P3782&amp;Q3782&amp;R3782&amp;S3782&amp;T3782&amp;U3782&amp;V3782&amp;W3782&amp;X3782&amp;Y3782&amp;Z3782&amp;AA3782&amp;AB3782&amp;AC3782&amp;AD3782&amp;AE3782&amp;AF3782&amp;AG3782</f>
        <v/>
      </c>
      <c r="N3782" s="10">
        <f>TEXT($B$6,"00")</f>
        <v/>
      </c>
      <c r="O3782" s="10">
        <f>REPT(" ",8)</f>
        <v/>
      </c>
      <c r="P3782" s="10">
        <f>RIGHT($B$4,2)</f>
        <v/>
      </c>
      <c r="Q3782" s="10">
        <f>RIGHT($B$5,3)</f>
        <v/>
      </c>
      <c r="R3782" s="10">
        <f>IF(A3782="D",LEFT(UPPER(B3782)&amp;REPT(" ",20),20),REPT(" ",20))</f>
        <v/>
      </c>
      <c r="S3782" s="10">
        <f>IF(A3782="D",LEFT(UPPER(C3782)&amp;REPT(" ",10),10)," ")</f>
        <v/>
      </c>
      <c r="T3782" s="10">
        <f>IF(A3782="D",LEFT(UPPER(D3782)&amp;REPT(" ",2),2)," ")</f>
        <v/>
      </c>
      <c r="U3782" s="10">
        <f>IF(A3782="D",LEFT(UPPER(E3782)&amp;REPT(" ",15),15)," ")</f>
        <v/>
      </c>
      <c r="V3782" s="10">
        <f>REPT(" ",24)</f>
        <v/>
      </c>
      <c r="W3782" s="10">
        <f>IF(A3782="c",LEFT(UPPER(B3782)&amp;REPT(" ",20),20),REPT(" ",20))</f>
        <v/>
      </c>
      <c r="X3782" s="10">
        <f>IF(A3782="C",LEFT(UPPER(C3782)&amp;REPT(" ",10),10)," ")</f>
        <v/>
      </c>
      <c r="Y3782" s="10">
        <f>IF(A3782="C",LEFT(UPPER(D3782)&amp;REPT(" ",2),2)," ")</f>
        <v/>
      </c>
      <c r="Z3782" s="10">
        <f>IF(A3782="C",LEFT(UPPER(E3782)&amp;REPT(" ",15),15)," ")</f>
        <v/>
      </c>
      <c r="AA3782" s="10">
        <f>REPT(" ",8)</f>
        <v/>
      </c>
      <c r="AB3782" s="10">
        <f>REPT(" ",4)</f>
        <v/>
      </c>
      <c r="AC3782" s="10">
        <f>LEFT(UPPER(H3782)&amp;REPT(" ",250),250)</f>
        <v/>
      </c>
      <c r="AD3782" s="10">
        <f>TEXT($G$2,"dd/mm/aaaa")</f>
        <v/>
      </c>
      <c r="AE3782" s="10">
        <f>REPT(" ",10)</f>
        <v/>
      </c>
      <c r="AF3782" s="10">
        <f>REPT(" ",20)</f>
        <v/>
      </c>
      <c r="AG3782" s="54">
        <f>REPT(" ",18-LEN(FIXED(F3782,2,TRUE)))&amp;FIXED(F3782,2,TRUE)</f>
        <v/>
      </c>
      <c r="AH3782" s="10">
        <f>LEN(AC3782)+LEN(AG3782)</f>
        <v/>
      </c>
      <c r="AI3782" s="10">
        <f>LEN(L3782)</f>
        <v/>
      </c>
    </row>
    <row r="3783">
      <c r="J3783" s="12">
        <f>IF(F3783&lt;&gt;0,"LANÇAR","")</f>
        <v/>
      </c>
      <c r="L3783" s="13">
        <f>N3783&amp;O3783&amp;P3783&amp;Q3783&amp;R3783&amp;S3783&amp;T3783&amp;U3783&amp;V3783&amp;W3783&amp;X3783&amp;Y3783&amp;Z3783&amp;AA3783&amp;AB3783&amp;AC3783&amp;AD3783&amp;AE3783&amp;AF3783&amp;AG3783</f>
        <v/>
      </c>
      <c r="N3783" s="10">
        <f>TEXT($B$6,"00")</f>
        <v/>
      </c>
      <c r="O3783" s="10">
        <f>REPT(" ",8)</f>
        <v/>
      </c>
      <c r="P3783" s="10">
        <f>RIGHT($B$4,2)</f>
        <v/>
      </c>
      <c r="Q3783" s="10">
        <f>RIGHT($B$5,3)</f>
        <v/>
      </c>
      <c r="R3783" s="10">
        <f>IF(A3783="D",LEFT(UPPER(B3783)&amp;REPT(" ",20),20),REPT(" ",20))</f>
        <v/>
      </c>
      <c r="S3783" s="10">
        <f>IF(A3783="D",LEFT(UPPER(C3783)&amp;REPT(" ",10),10)," ")</f>
        <v/>
      </c>
      <c r="T3783" s="10">
        <f>IF(A3783="D",LEFT(UPPER(D3783)&amp;REPT(" ",2),2)," ")</f>
        <v/>
      </c>
      <c r="U3783" s="10">
        <f>IF(A3783="D",LEFT(UPPER(E3783)&amp;REPT(" ",15),15)," ")</f>
        <v/>
      </c>
      <c r="V3783" s="10">
        <f>REPT(" ",24)</f>
        <v/>
      </c>
      <c r="W3783" s="10">
        <f>IF(A3783="c",LEFT(UPPER(B3783)&amp;REPT(" ",20),20),REPT(" ",20))</f>
        <v/>
      </c>
      <c r="X3783" s="10">
        <f>IF(A3783="C",LEFT(UPPER(C3783)&amp;REPT(" ",10),10)," ")</f>
        <v/>
      </c>
      <c r="Y3783" s="10">
        <f>IF(A3783="C",LEFT(UPPER(D3783)&amp;REPT(" ",2),2)," ")</f>
        <v/>
      </c>
      <c r="Z3783" s="10">
        <f>IF(A3783="C",LEFT(UPPER(E3783)&amp;REPT(" ",15),15)," ")</f>
        <v/>
      </c>
      <c r="AA3783" s="10">
        <f>REPT(" ",8)</f>
        <v/>
      </c>
      <c r="AB3783" s="10">
        <f>REPT(" ",4)</f>
        <v/>
      </c>
      <c r="AC3783" s="10">
        <f>LEFT(UPPER(H3783)&amp;REPT(" ",250),250)</f>
        <v/>
      </c>
      <c r="AD3783" s="10">
        <f>TEXT($G$2,"dd/mm/aaaa")</f>
        <v/>
      </c>
      <c r="AE3783" s="10">
        <f>REPT(" ",10)</f>
        <v/>
      </c>
      <c r="AF3783" s="10">
        <f>REPT(" ",20)</f>
        <v/>
      </c>
      <c r="AG3783" s="54">
        <f>REPT(" ",18-LEN(FIXED(F3783,2,TRUE)))&amp;FIXED(F3783,2,TRUE)</f>
        <v/>
      </c>
      <c r="AH3783" s="10">
        <f>LEN(AC3783)+LEN(AG3783)</f>
        <v/>
      </c>
      <c r="AI3783" s="10">
        <f>LEN(L3783)</f>
        <v/>
      </c>
    </row>
    <row r="3784">
      <c r="J3784" s="12">
        <f>IF(F3784&lt;&gt;0,"LANÇAR","")</f>
        <v/>
      </c>
      <c r="L3784" s="13">
        <f>N3784&amp;O3784&amp;P3784&amp;Q3784&amp;R3784&amp;S3784&amp;T3784&amp;U3784&amp;V3784&amp;W3784&amp;X3784&amp;Y3784&amp;Z3784&amp;AA3784&amp;AB3784&amp;AC3784&amp;AD3784&amp;AE3784&amp;AF3784&amp;AG3784</f>
        <v/>
      </c>
      <c r="N3784" s="10">
        <f>TEXT($B$6,"00")</f>
        <v/>
      </c>
      <c r="O3784" s="10">
        <f>REPT(" ",8)</f>
        <v/>
      </c>
      <c r="P3784" s="10">
        <f>RIGHT($B$4,2)</f>
        <v/>
      </c>
      <c r="Q3784" s="10">
        <f>RIGHT($B$5,3)</f>
        <v/>
      </c>
      <c r="R3784" s="10">
        <f>IF(A3784="D",LEFT(UPPER(B3784)&amp;REPT(" ",20),20),REPT(" ",20))</f>
        <v/>
      </c>
      <c r="S3784" s="10">
        <f>IF(A3784="D",LEFT(UPPER(C3784)&amp;REPT(" ",10),10)," ")</f>
        <v/>
      </c>
      <c r="T3784" s="10">
        <f>IF(A3784="D",LEFT(UPPER(D3784)&amp;REPT(" ",2),2)," ")</f>
        <v/>
      </c>
      <c r="U3784" s="10">
        <f>IF(A3784="D",LEFT(UPPER(E3784)&amp;REPT(" ",15),15)," ")</f>
        <v/>
      </c>
      <c r="V3784" s="10">
        <f>REPT(" ",24)</f>
        <v/>
      </c>
      <c r="W3784" s="10">
        <f>IF(A3784="c",LEFT(UPPER(B3784)&amp;REPT(" ",20),20),REPT(" ",20))</f>
        <v/>
      </c>
      <c r="X3784" s="10">
        <f>IF(A3784="C",LEFT(UPPER(C3784)&amp;REPT(" ",10),10)," ")</f>
        <v/>
      </c>
      <c r="Y3784" s="10">
        <f>IF(A3784="C",LEFT(UPPER(D3784)&amp;REPT(" ",2),2)," ")</f>
        <v/>
      </c>
      <c r="Z3784" s="10">
        <f>IF(A3784="C",LEFT(UPPER(E3784)&amp;REPT(" ",15),15)," ")</f>
        <v/>
      </c>
      <c r="AA3784" s="10">
        <f>REPT(" ",8)</f>
        <v/>
      </c>
      <c r="AB3784" s="10">
        <f>REPT(" ",4)</f>
        <v/>
      </c>
      <c r="AC3784" s="10">
        <f>LEFT(UPPER(H3784)&amp;REPT(" ",250),250)</f>
        <v/>
      </c>
      <c r="AD3784" s="10">
        <f>TEXT($G$2,"dd/mm/aaaa")</f>
        <v/>
      </c>
      <c r="AE3784" s="10">
        <f>REPT(" ",10)</f>
        <v/>
      </c>
      <c r="AF3784" s="10">
        <f>REPT(" ",20)</f>
        <v/>
      </c>
      <c r="AG3784" s="54">
        <f>REPT(" ",18-LEN(FIXED(F3784,2,TRUE)))&amp;FIXED(F3784,2,TRUE)</f>
        <v/>
      </c>
      <c r="AH3784" s="10">
        <f>LEN(AC3784)+LEN(AG3784)</f>
        <v/>
      </c>
      <c r="AI3784" s="10">
        <f>LEN(L3784)</f>
        <v/>
      </c>
    </row>
    <row r="3785">
      <c r="J3785" s="12">
        <f>IF(F3785&lt;&gt;0,"LANÇAR","")</f>
        <v/>
      </c>
      <c r="L3785" s="13">
        <f>N3785&amp;O3785&amp;P3785&amp;Q3785&amp;R3785&amp;S3785&amp;T3785&amp;U3785&amp;V3785&amp;W3785&amp;X3785&amp;Y3785&amp;Z3785&amp;AA3785&amp;AB3785&amp;AC3785&amp;AD3785&amp;AE3785&amp;AF3785&amp;AG3785</f>
        <v/>
      </c>
      <c r="N3785" s="10">
        <f>TEXT($B$6,"00")</f>
        <v/>
      </c>
      <c r="O3785" s="10">
        <f>REPT(" ",8)</f>
        <v/>
      </c>
      <c r="P3785" s="10">
        <f>RIGHT($B$4,2)</f>
        <v/>
      </c>
      <c r="Q3785" s="10">
        <f>RIGHT($B$5,3)</f>
        <v/>
      </c>
      <c r="R3785" s="10">
        <f>IF(A3785="D",LEFT(UPPER(B3785)&amp;REPT(" ",20),20),REPT(" ",20))</f>
        <v/>
      </c>
      <c r="S3785" s="10">
        <f>IF(A3785="D",LEFT(UPPER(C3785)&amp;REPT(" ",10),10)," ")</f>
        <v/>
      </c>
      <c r="T3785" s="10">
        <f>IF(A3785="D",LEFT(UPPER(D3785)&amp;REPT(" ",2),2)," ")</f>
        <v/>
      </c>
      <c r="U3785" s="10">
        <f>IF(A3785="D",LEFT(UPPER(E3785)&amp;REPT(" ",15),15)," ")</f>
        <v/>
      </c>
      <c r="V3785" s="10">
        <f>REPT(" ",24)</f>
        <v/>
      </c>
      <c r="W3785" s="10">
        <f>IF(A3785="c",LEFT(UPPER(B3785)&amp;REPT(" ",20),20),REPT(" ",20))</f>
        <v/>
      </c>
      <c r="X3785" s="10">
        <f>IF(A3785="C",LEFT(UPPER(C3785)&amp;REPT(" ",10),10)," ")</f>
        <v/>
      </c>
      <c r="Y3785" s="10">
        <f>IF(A3785="C",LEFT(UPPER(D3785)&amp;REPT(" ",2),2)," ")</f>
        <v/>
      </c>
      <c r="Z3785" s="10">
        <f>IF(A3785="C",LEFT(UPPER(E3785)&amp;REPT(" ",15),15)," ")</f>
        <v/>
      </c>
      <c r="AA3785" s="10">
        <f>REPT(" ",8)</f>
        <v/>
      </c>
      <c r="AB3785" s="10">
        <f>REPT(" ",4)</f>
        <v/>
      </c>
      <c r="AC3785" s="10">
        <f>LEFT(UPPER(H3785)&amp;REPT(" ",250),250)</f>
        <v/>
      </c>
      <c r="AD3785" s="10">
        <f>TEXT($G$2,"dd/mm/aaaa")</f>
        <v/>
      </c>
      <c r="AE3785" s="10">
        <f>REPT(" ",10)</f>
        <v/>
      </c>
      <c r="AF3785" s="10">
        <f>REPT(" ",20)</f>
        <v/>
      </c>
      <c r="AG3785" s="54">
        <f>REPT(" ",18-LEN(FIXED(F3785,2,TRUE)))&amp;FIXED(F3785,2,TRUE)</f>
        <v/>
      </c>
      <c r="AH3785" s="10">
        <f>LEN(AC3785)+LEN(AG3785)</f>
        <v/>
      </c>
      <c r="AI3785" s="10">
        <f>LEN(L3785)</f>
        <v/>
      </c>
    </row>
    <row r="3786">
      <c r="J3786" s="12">
        <f>IF(F3786&lt;&gt;0,"LANÇAR","")</f>
        <v/>
      </c>
      <c r="L3786" s="13">
        <f>N3786&amp;O3786&amp;P3786&amp;Q3786&amp;R3786&amp;S3786&amp;T3786&amp;U3786&amp;V3786&amp;W3786&amp;X3786&amp;Y3786&amp;Z3786&amp;AA3786&amp;AB3786&amp;AC3786&amp;AD3786&amp;AE3786&amp;AF3786&amp;AG3786</f>
        <v/>
      </c>
      <c r="N3786" s="10">
        <f>TEXT($B$6,"00")</f>
        <v/>
      </c>
      <c r="O3786" s="10">
        <f>REPT(" ",8)</f>
        <v/>
      </c>
      <c r="P3786" s="10">
        <f>RIGHT($B$4,2)</f>
        <v/>
      </c>
      <c r="Q3786" s="10">
        <f>RIGHT($B$5,3)</f>
        <v/>
      </c>
      <c r="R3786" s="10">
        <f>IF(A3786="D",LEFT(UPPER(B3786)&amp;REPT(" ",20),20),REPT(" ",20))</f>
        <v/>
      </c>
      <c r="S3786" s="10">
        <f>IF(A3786="D",LEFT(UPPER(C3786)&amp;REPT(" ",10),10)," ")</f>
        <v/>
      </c>
      <c r="T3786" s="10">
        <f>IF(A3786="D",LEFT(UPPER(D3786)&amp;REPT(" ",2),2)," ")</f>
        <v/>
      </c>
      <c r="U3786" s="10">
        <f>IF(A3786="D",LEFT(UPPER(E3786)&amp;REPT(" ",15),15)," ")</f>
        <v/>
      </c>
      <c r="V3786" s="10">
        <f>REPT(" ",24)</f>
        <v/>
      </c>
      <c r="W3786" s="10">
        <f>IF(A3786="c",LEFT(UPPER(B3786)&amp;REPT(" ",20),20),REPT(" ",20))</f>
        <v/>
      </c>
      <c r="X3786" s="10">
        <f>IF(A3786="C",LEFT(UPPER(C3786)&amp;REPT(" ",10),10)," ")</f>
        <v/>
      </c>
      <c r="Y3786" s="10">
        <f>IF(A3786="C",LEFT(UPPER(D3786)&amp;REPT(" ",2),2)," ")</f>
        <v/>
      </c>
      <c r="Z3786" s="10">
        <f>IF(A3786="C",LEFT(UPPER(E3786)&amp;REPT(" ",15),15)," ")</f>
        <v/>
      </c>
      <c r="AA3786" s="10">
        <f>REPT(" ",8)</f>
        <v/>
      </c>
      <c r="AB3786" s="10">
        <f>REPT(" ",4)</f>
        <v/>
      </c>
      <c r="AC3786" s="10">
        <f>LEFT(UPPER(H3786)&amp;REPT(" ",250),250)</f>
        <v/>
      </c>
      <c r="AD3786" s="10">
        <f>TEXT($G$2,"dd/mm/aaaa")</f>
        <v/>
      </c>
      <c r="AE3786" s="10">
        <f>REPT(" ",10)</f>
        <v/>
      </c>
      <c r="AF3786" s="10">
        <f>REPT(" ",20)</f>
        <v/>
      </c>
      <c r="AG3786" s="54">
        <f>REPT(" ",18-LEN(FIXED(F3786,2,TRUE)))&amp;FIXED(F3786,2,TRUE)</f>
        <v/>
      </c>
      <c r="AH3786" s="10">
        <f>LEN(AC3786)+LEN(AG3786)</f>
        <v/>
      </c>
      <c r="AI3786" s="10">
        <f>LEN(L3786)</f>
        <v/>
      </c>
    </row>
    <row r="3787">
      <c r="J3787" s="12">
        <f>IF(F3787&lt;&gt;0,"LANÇAR","")</f>
        <v/>
      </c>
      <c r="L3787" s="13">
        <f>N3787&amp;O3787&amp;P3787&amp;Q3787&amp;R3787&amp;S3787&amp;T3787&amp;U3787&amp;V3787&amp;W3787&amp;X3787&amp;Y3787&amp;Z3787&amp;AA3787&amp;AB3787&amp;AC3787&amp;AD3787&amp;AE3787&amp;AF3787&amp;AG3787</f>
        <v/>
      </c>
      <c r="N3787" s="10">
        <f>TEXT($B$6,"00")</f>
        <v/>
      </c>
      <c r="O3787" s="10">
        <f>REPT(" ",8)</f>
        <v/>
      </c>
      <c r="P3787" s="10">
        <f>RIGHT($B$4,2)</f>
        <v/>
      </c>
      <c r="Q3787" s="10">
        <f>RIGHT($B$5,3)</f>
        <v/>
      </c>
      <c r="R3787" s="10">
        <f>IF(A3787="D",LEFT(UPPER(B3787)&amp;REPT(" ",20),20),REPT(" ",20))</f>
        <v/>
      </c>
      <c r="S3787" s="10">
        <f>IF(A3787="D",LEFT(UPPER(C3787)&amp;REPT(" ",10),10)," ")</f>
        <v/>
      </c>
      <c r="T3787" s="10">
        <f>IF(A3787="D",LEFT(UPPER(D3787)&amp;REPT(" ",2),2)," ")</f>
        <v/>
      </c>
      <c r="U3787" s="10">
        <f>IF(A3787="D",LEFT(UPPER(E3787)&amp;REPT(" ",15),15)," ")</f>
        <v/>
      </c>
      <c r="V3787" s="10">
        <f>REPT(" ",24)</f>
        <v/>
      </c>
      <c r="W3787" s="10">
        <f>IF(A3787="c",LEFT(UPPER(B3787)&amp;REPT(" ",20),20),REPT(" ",20))</f>
        <v/>
      </c>
      <c r="X3787" s="10">
        <f>IF(A3787="C",LEFT(UPPER(C3787)&amp;REPT(" ",10),10)," ")</f>
        <v/>
      </c>
      <c r="Y3787" s="10">
        <f>IF(A3787="C",LEFT(UPPER(D3787)&amp;REPT(" ",2),2)," ")</f>
        <v/>
      </c>
      <c r="Z3787" s="10">
        <f>IF(A3787="C",LEFT(UPPER(E3787)&amp;REPT(" ",15),15)," ")</f>
        <v/>
      </c>
      <c r="AA3787" s="10">
        <f>REPT(" ",8)</f>
        <v/>
      </c>
      <c r="AB3787" s="10">
        <f>REPT(" ",4)</f>
        <v/>
      </c>
      <c r="AC3787" s="10">
        <f>LEFT(UPPER(H3787)&amp;REPT(" ",250),250)</f>
        <v/>
      </c>
      <c r="AD3787" s="10">
        <f>TEXT($G$2,"dd/mm/aaaa")</f>
        <v/>
      </c>
      <c r="AE3787" s="10">
        <f>REPT(" ",10)</f>
        <v/>
      </c>
      <c r="AF3787" s="10">
        <f>REPT(" ",20)</f>
        <v/>
      </c>
      <c r="AG3787" s="54">
        <f>REPT(" ",18-LEN(FIXED(F3787,2,TRUE)))&amp;FIXED(F3787,2,TRUE)</f>
        <v/>
      </c>
      <c r="AH3787" s="10">
        <f>LEN(AC3787)+LEN(AG3787)</f>
        <v/>
      </c>
      <c r="AI3787" s="10">
        <f>LEN(L3787)</f>
        <v/>
      </c>
    </row>
    <row r="3788">
      <c r="J3788" s="12">
        <f>IF(F3788&lt;&gt;0,"LANÇAR","")</f>
        <v/>
      </c>
      <c r="L3788" s="13">
        <f>N3788&amp;O3788&amp;P3788&amp;Q3788&amp;R3788&amp;S3788&amp;T3788&amp;U3788&amp;V3788&amp;W3788&amp;X3788&amp;Y3788&amp;Z3788&amp;AA3788&amp;AB3788&amp;AC3788&amp;AD3788&amp;AE3788&amp;AF3788&amp;AG3788</f>
        <v/>
      </c>
      <c r="N3788" s="10">
        <f>TEXT($B$6,"00")</f>
        <v/>
      </c>
      <c r="O3788" s="10">
        <f>REPT(" ",8)</f>
        <v/>
      </c>
      <c r="P3788" s="10">
        <f>RIGHT($B$4,2)</f>
        <v/>
      </c>
      <c r="Q3788" s="10">
        <f>RIGHT($B$5,3)</f>
        <v/>
      </c>
      <c r="R3788" s="10">
        <f>IF(A3788="D",LEFT(UPPER(B3788)&amp;REPT(" ",20),20),REPT(" ",20))</f>
        <v/>
      </c>
      <c r="S3788" s="10">
        <f>IF(A3788="D",LEFT(UPPER(C3788)&amp;REPT(" ",10),10)," ")</f>
        <v/>
      </c>
      <c r="T3788" s="10">
        <f>IF(A3788="D",LEFT(UPPER(D3788)&amp;REPT(" ",2),2)," ")</f>
        <v/>
      </c>
      <c r="U3788" s="10">
        <f>IF(A3788="D",LEFT(UPPER(E3788)&amp;REPT(" ",15),15)," ")</f>
        <v/>
      </c>
      <c r="V3788" s="10">
        <f>REPT(" ",24)</f>
        <v/>
      </c>
      <c r="W3788" s="10">
        <f>IF(A3788="c",LEFT(UPPER(B3788)&amp;REPT(" ",20),20),REPT(" ",20))</f>
        <v/>
      </c>
      <c r="X3788" s="10">
        <f>IF(A3788="C",LEFT(UPPER(C3788)&amp;REPT(" ",10),10)," ")</f>
        <v/>
      </c>
      <c r="Y3788" s="10">
        <f>IF(A3788="C",LEFT(UPPER(D3788)&amp;REPT(" ",2),2)," ")</f>
        <v/>
      </c>
      <c r="Z3788" s="10">
        <f>IF(A3788="C",LEFT(UPPER(E3788)&amp;REPT(" ",15),15)," ")</f>
        <v/>
      </c>
      <c r="AA3788" s="10">
        <f>REPT(" ",8)</f>
        <v/>
      </c>
      <c r="AB3788" s="10">
        <f>REPT(" ",4)</f>
        <v/>
      </c>
      <c r="AC3788" s="10">
        <f>LEFT(UPPER(H3788)&amp;REPT(" ",250),250)</f>
        <v/>
      </c>
      <c r="AD3788" s="10">
        <f>TEXT($G$2,"dd/mm/aaaa")</f>
        <v/>
      </c>
      <c r="AE3788" s="10">
        <f>REPT(" ",10)</f>
        <v/>
      </c>
      <c r="AF3788" s="10">
        <f>REPT(" ",20)</f>
        <v/>
      </c>
      <c r="AG3788" s="54">
        <f>REPT(" ",18-LEN(FIXED(F3788,2,TRUE)))&amp;FIXED(F3788,2,TRUE)</f>
        <v/>
      </c>
      <c r="AH3788" s="10">
        <f>LEN(AC3788)+LEN(AG3788)</f>
        <v/>
      </c>
      <c r="AI3788" s="10">
        <f>LEN(L3788)</f>
        <v/>
      </c>
    </row>
    <row r="3789">
      <c r="J3789" s="12">
        <f>IF(F3789&lt;&gt;0,"LANÇAR","")</f>
        <v/>
      </c>
      <c r="L3789" s="13">
        <f>N3789&amp;O3789&amp;P3789&amp;Q3789&amp;R3789&amp;S3789&amp;T3789&amp;U3789&amp;V3789&amp;W3789&amp;X3789&amp;Y3789&amp;Z3789&amp;AA3789&amp;AB3789&amp;AC3789&amp;AD3789&amp;AE3789&amp;AF3789&amp;AG3789</f>
        <v/>
      </c>
      <c r="N3789" s="10">
        <f>TEXT($B$6,"00")</f>
        <v/>
      </c>
      <c r="O3789" s="10">
        <f>REPT(" ",8)</f>
        <v/>
      </c>
      <c r="P3789" s="10">
        <f>RIGHT($B$4,2)</f>
        <v/>
      </c>
      <c r="Q3789" s="10">
        <f>RIGHT($B$5,3)</f>
        <v/>
      </c>
      <c r="R3789" s="10">
        <f>IF(A3789="D",LEFT(UPPER(B3789)&amp;REPT(" ",20),20),REPT(" ",20))</f>
        <v/>
      </c>
      <c r="S3789" s="10">
        <f>IF(A3789="D",LEFT(UPPER(C3789)&amp;REPT(" ",10),10)," ")</f>
        <v/>
      </c>
      <c r="T3789" s="10">
        <f>IF(A3789="D",LEFT(UPPER(D3789)&amp;REPT(" ",2),2)," ")</f>
        <v/>
      </c>
      <c r="U3789" s="10">
        <f>IF(A3789="D",LEFT(UPPER(E3789)&amp;REPT(" ",15),15)," ")</f>
        <v/>
      </c>
      <c r="V3789" s="10">
        <f>REPT(" ",24)</f>
        <v/>
      </c>
      <c r="W3789" s="10">
        <f>IF(A3789="c",LEFT(UPPER(B3789)&amp;REPT(" ",20),20),REPT(" ",20))</f>
        <v/>
      </c>
      <c r="X3789" s="10">
        <f>IF(A3789="C",LEFT(UPPER(C3789)&amp;REPT(" ",10),10)," ")</f>
        <v/>
      </c>
      <c r="Y3789" s="10">
        <f>IF(A3789="C",LEFT(UPPER(D3789)&amp;REPT(" ",2),2)," ")</f>
        <v/>
      </c>
      <c r="Z3789" s="10">
        <f>IF(A3789="C",LEFT(UPPER(E3789)&amp;REPT(" ",15),15)," ")</f>
        <v/>
      </c>
      <c r="AA3789" s="10">
        <f>REPT(" ",8)</f>
        <v/>
      </c>
      <c r="AB3789" s="10">
        <f>REPT(" ",4)</f>
        <v/>
      </c>
      <c r="AC3789" s="10">
        <f>LEFT(UPPER(H3789)&amp;REPT(" ",250),250)</f>
        <v/>
      </c>
      <c r="AD3789" s="10">
        <f>TEXT($G$2,"dd/mm/aaaa")</f>
        <v/>
      </c>
      <c r="AE3789" s="10">
        <f>REPT(" ",10)</f>
        <v/>
      </c>
      <c r="AF3789" s="10">
        <f>REPT(" ",20)</f>
        <v/>
      </c>
      <c r="AG3789" s="54">
        <f>REPT(" ",18-LEN(FIXED(F3789,2,TRUE)))&amp;FIXED(F3789,2,TRUE)</f>
        <v/>
      </c>
      <c r="AH3789" s="10">
        <f>LEN(AC3789)+LEN(AG3789)</f>
        <v/>
      </c>
      <c r="AI3789" s="10">
        <f>LEN(L3789)</f>
        <v/>
      </c>
    </row>
    <row r="3790">
      <c r="J3790" s="12">
        <f>IF(F3790&lt;&gt;0,"LANÇAR","")</f>
        <v/>
      </c>
      <c r="L3790" s="13">
        <f>N3790&amp;O3790&amp;P3790&amp;Q3790&amp;R3790&amp;S3790&amp;T3790&amp;U3790&amp;V3790&amp;W3790&amp;X3790&amp;Y3790&amp;Z3790&amp;AA3790&amp;AB3790&amp;AC3790&amp;AD3790&amp;AE3790&amp;AF3790&amp;AG3790</f>
        <v/>
      </c>
      <c r="N3790" s="10">
        <f>TEXT($B$6,"00")</f>
        <v/>
      </c>
      <c r="O3790" s="10">
        <f>REPT(" ",8)</f>
        <v/>
      </c>
      <c r="P3790" s="10">
        <f>RIGHT($B$4,2)</f>
        <v/>
      </c>
      <c r="Q3790" s="10">
        <f>RIGHT($B$5,3)</f>
        <v/>
      </c>
      <c r="R3790" s="10">
        <f>IF(A3790="D",LEFT(UPPER(B3790)&amp;REPT(" ",20),20),REPT(" ",20))</f>
        <v/>
      </c>
      <c r="S3790" s="10">
        <f>IF(A3790="D",LEFT(UPPER(C3790)&amp;REPT(" ",10),10)," ")</f>
        <v/>
      </c>
      <c r="T3790" s="10">
        <f>IF(A3790="D",LEFT(UPPER(D3790)&amp;REPT(" ",2),2)," ")</f>
        <v/>
      </c>
      <c r="U3790" s="10">
        <f>IF(A3790="D",LEFT(UPPER(E3790)&amp;REPT(" ",15),15)," ")</f>
        <v/>
      </c>
      <c r="V3790" s="10">
        <f>REPT(" ",24)</f>
        <v/>
      </c>
      <c r="W3790" s="10">
        <f>IF(A3790="c",LEFT(UPPER(B3790)&amp;REPT(" ",20),20),REPT(" ",20))</f>
        <v/>
      </c>
      <c r="X3790" s="10">
        <f>IF(A3790="C",LEFT(UPPER(C3790)&amp;REPT(" ",10),10)," ")</f>
        <v/>
      </c>
      <c r="Y3790" s="10">
        <f>IF(A3790="C",LEFT(UPPER(D3790)&amp;REPT(" ",2),2)," ")</f>
        <v/>
      </c>
      <c r="Z3790" s="10">
        <f>IF(A3790="C",LEFT(UPPER(E3790)&amp;REPT(" ",15),15)," ")</f>
        <v/>
      </c>
      <c r="AA3790" s="10">
        <f>REPT(" ",8)</f>
        <v/>
      </c>
      <c r="AB3790" s="10">
        <f>REPT(" ",4)</f>
        <v/>
      </c>
      <c r="AC3790" s="10">
        <f>LEFT(UPPER(H3790)&amp;REPT(" ",250),250)</f>
        <v/>
      </c>
      <c r="AD3790" s="10">
        <f>TEXT($G$2,"dd/mm/aaaa")</f>
        <v/>
      </c>
      <c r="AE3790" s="10">
        <f>REPT(" ",10)</f>
        <v/>
      </c>
      <c r="AF3790" s="10">
        <f>REPT(" ",20)</f>
        <v/>
      </c>
      <c r="AG3790" s="54">
        <f>REPT(" ",18-LEN(FIXED(F3790,2,TRUE)))&amp;FIXED(F3790,2,TRUE)</f>
        <v/>
      </c>
      <c r="AH3790" s="10">
        <f>LEN(AC3790)+LEN(AG3790)</f>
        <v/>
      </c>
      <c r="AI3790" s="10">
        <f>LEN(L3790)</f>
        <v/>
      </c>
    </row>
    <row r="3791">
      <c r="J3791" s="12">
        <f>IF(F3791&lt;&gt;0,"LANÇAR","")</f>
        <v/>
      </c>
      <c r="L3791" s="13">
        <f>N3791&amp;O3791&amp;P3791&amp;Q3791&amp;R3791&amp;S3791&amp;T3791&amp;U3791&amp;V3791&amp;W3791&amp;X3791&amp;Y3791&amp;Z3791&amp;AA3791&amp;AB3791&amp;AC3791&amp;AD3791&amp;AE3791&amp;AF3791&amp;AG3791</f>
        <v/>
      </c>
      <c r="N3791" s="10">
        <f>TEXT($B$6,"00")</f>
        <v/>
      </c>
      <c r="O3791" s="10">
        <f>REPT(" ",8)</f>
        <v/>
      </c>
      <c r="P3791" s="10">
        <f>RIGHT($B$4,2)</f>
        <v/>
      </c>
      <c r="Q3791" s="10">
        <f>RIGHT($B$5,3)</f>
        <v/>
      </c>
      <c r="R3791" s="10">
        <f>IF(A3791="D",LEFT(UPPER(B3791)&amp;REPT(" ",20),20),REPT(" ",20))</f>
        <v/>
      </c>
      <c r="S3791" s="10">
        <f>IF(A3791="D",LEFT(UPPER(C3791)&amp;REPT(" ",10),10)," ")</f>
        <v/>
      </c>
      <c r="T3791" s="10">
        <f>IF(A3791="D",LEFT(UPPER(D3791)&amp;REPT(" ",2),2)," ")</f>
        <v/>
      </c>
      <c r="U3791" s="10">
        <f>IF(A3791="D",LEFT(UPPER(E3791)&amp;REPT(" ",15),15)," ")</f>
        <v/>
      </c>
      <c r="V3791" s="10">
        <f>REPT(" ",24)</f>
        <v/>
      </c>
      <c r="W3791" s="10">
        <f>IF(A3791="c",LEFT(UPPER(B3791)&amp;REPT(" ",20),20),REPT(" ",20))</f>
        <v/>
      </c>
      <c r="X3791" s="10">
        <f>IF(A3791="C",LEFT(UPPER(C3791)&amp;REPT(" ",10),10)," ")</f>
        <v/>
      </c>
      <c r="Y3791" s="10">
        <f>IF(A3791="C",LEFT(UPPER(D3791)&amp;REPT(" ",2),2)," ")</f>
        <v/>
      </c>
      <c r="Z3791" s="10">
        <f>IF(A3791="C",LEFT(UPPER(E3791)&amp;REPT(" ",15),15)," ")</f>
        <v/>
      </c>
      <c r="AA3791" s="10">
        <f>REPT(" ",8)</f>
        <v/>
      </c>
      <c r="AB3791" s="10">
        <f>REPT(" ",4)</f>
        <v/>
      </c>
      <c r="AC3791" s="10">
        <f>LEFT(UPPER(H3791)&amp;REPT(" ",250),250)</f>
        <v/>
      </c>
      <c r="AD3791" s="10">
        <f>TEXT($G$2,"dd/mm/aaaa")</f>
        <v/>
      </c>
      <c r="AE3791" s="10">
        <f>REPT(" ",10)</f>
        <v/>
      </c>
      <c r="AF3791" s="10">
        <f>REPT(" ",20)</f>
        <v/>
      </c>
      <c r="AG3791" s="54">
        <f>REPT(" ",18-LEN(FIXED(F3791,2,TRUE)))&amp;FIXED(F3791,2,TRUE)</f>
        <v/>
      </c>
      <c r="AH3791" s="10">
        <f>LEN(AC3791)+LEN(AG3791)</f>
        <v/>
      </c>
      <c r="AI3791" s="10">
        <f>LEN(L3791)</f>
        <v/>
      </c>
    </row>
    <row r="3792">
      <c r="J3792" s="12">
        <f>IF(F3792&lt;&gt;0,"LANÇAR","")</f>
        <v/>
      </c>
      <c r="L3792" s="13">
        <f>N3792&amp;O3792&amp;P3792&amp;Q3792&amp;R3792&amp;S3792&amp;T3792&amp;U3792&amp;V3792&amp;W3792&amp;X3792&amp;Y3792&amp;Z3792&amp;AA3792&amp;AB3792&amp;AC3792&amp;AD3792&amp;AE3792&amp;AF3792&amp;AG3792</f>
        <v/>
      </c>
      <c r="N3792" s="10">
        <f>TEXT($B$6,"00")</f>
        <v/>
      </c>
      <c r="O3792" s="10">
        <f>REPT(" ",8)</f>
        <v/>
      </c>
      <c r="P3792" s="10">
        <f>RIGHT($B$4,2)</f>
        <v/>
      </c>
      <c r="Q3792" s="10">
        <f>RIGHT($B$5,3)</f>
        <v/>
      </c>
      <c r="R3792" s="10">
        <f>IF(A3792="D",LEFT(UPPER(B3792)&amp;REPT(" ",20),20),REPT(" ",20))</f>
        <v/>
      </c>
      <c r="S3792" s="10">
        <f>IF(A3792="D",LEFT(UPPER(C3792)&amp;REPT(" ",10),10)," ")</f>
        <v/>
      </c>
      <c r="T3792" s="10">
        <f>IF(A3792="D",LEFT(UPPER(D3792)&amp;REPT(" ",2),2)," ")</f>
        <v/>
      </c>
      <c r="U3792" s="10">
        <f>IF(A3792="D",LEFT(UPPER(E3792)&amp;REPT(" ",15),15)," ")</f>
        <v/>
      </c>
      <c r="V3792" s="10">
        <f>REPT(" ",24)</f>
        <v/>
      </c>
      <c r="W3792" s="10">
        <f>IF(A3792="c",LEFT(UPPER(B3792)&amp;REPT(" ",20),20),REPT(" ",20))</f>
        <v/>
      </c>
      <c r="X3792" s="10">
        <f>IF(A3792="C",LEFT(UPPER(C3792)&amp;REPT(" ",10),10)," ")</f>
        <v/>
      </c>
      <c r="Y3792" s="10">
        <f>IF(A3792="C",LEFT(UPPER(D3792)&amp;REPT(" ",2),2)," ")</f>
        <v/>
      </c>
      <c r="Z3792" s="10">
        <f>IF(A3792="C",LEFT(UPPER(E3792)&amp;REPT(" ",15),15)," ")</f>
        <v/>
      </c>
      <c r="AA3792" s="10">
        <f>REPT(" ",8)</f>
        <v/>
      </c>
      <c r="AB3792" s="10">
        <f>REPT(" ",4)</f>
        <v/>
      </c>
      <c r="AC3792" s="10">
        <f>LEFT(UPPER(H3792)&amp;REPT(" ",250),250)</f>
        <v/>
      </c>
      <c r="AD3792" s="10">
        <f>TEXT($G$2,"dd/mm/aaaa")</f>
        <v/>
      </c>
      <c r="AE3792" s="10">
        <f>REPT(" ",10)</f>
        <v/>
      </c>
      <c r="AF3792" s="10">
        <f>REPT(" ",20)</f>
        <v/>
      </c>
      <c r="AG3792" s="54">
        <f>REPT(" ",18-LEN(FIXED(F3792,2,TRUE)))&amp;FIXED(F3792,2,TRUE)</f>
        <v/>
      </c>
      <c r="AH3792" s="10">
        <f>LEN(AC3792)+LEN(AG3792)</f>
        <v/>
      </c>
      <c r="AI3792" s="10">
        <f>LEN(L3792)</f>
        <v/>
      </c>
    </row>
    <row r="3793">
      <c r="J3793" s="12">
        <f>IF(F3793&lt;&gt;0,"LANÇAR","")</f>
        <v/>
      </c>
      <c r="L3793" s="13">
        <f>N3793&amp;O3793&amp;P3793&amp;Q3793&amp;R3793&amp;S3793&amp;T3793&amp;U3793&amp;V3793&amp;W3793&amp;X3793&amp;Y3793&amp;Z3793&amp;AA3793&amp;AB3793&amp;AC3793&amp;AD3793&amp;AE3793&amp;AF3793&amp;AG3793</f>
        <v/>
      </c>
      <c r="N3793" s="10">
        <f>TEXT($B$6,"00")</f>
        <v/>
      </c>
      <c r="O3793" s="10">
        <f>REPT(" ",8)</f>
        <v/>
      </c>
      <c r="P3793" s="10">
        <f>RIGHT($B$4,2)</f>
        <v/>
      </c>
      <c r="Q3793" s="10">
        <f>RIGHT($B$5,3)</f>
        <v/>
      </c>
      <c r="R3793" s="10">
        <f>IF(A3793="D",LEFT(UPPER(B3793)&amp;REPT(" ",20),20),REPT(" ",20))</f>
        <v/>
      </c>
      <c r="S3793" s="10">
        <f>IF(A3793="D",LEFT(UPPER(C3793)&amp;REPT(" ",10),10)," ")</f>
        <v/>
      </c>
      <c r="T3793" s="10">
        <f>IF(A3793="D",LEFT(UPPER(D3793)&amp;REPT(" ",2),2)," ")</f>
        <v/>
      </c>
      <c r="U3793" s="10">
        <f>IF(A3793="D",LEFT(UPPER(E3793)&amp;REPT(" ",15),15)," ")</f>
        <v/>
      </c>
      <c r="V3793" s="10">
        <f>REPT(" ",24)</f>
        <v/>
      </c>
      <c r="W3793" s="10">
        <f>IF(A3793="c",LEFT(UPPER(B3793)&amp;REPT(" ",20),20),REPT(" ",20))</f>
        <v/>
      </c>
      <c r="X3793" s="10">
        <f>IF(A3793="C",LEFT(UPPER(C3793)&amp;REPT(" ",10),10)," ")</f>
        <v/>
      </c>
      <c r="Y3793" s="10">
        <f>IF(A3793="C",LEFT(UPPER(D3793)&amp;REPT(" ",2),2)," ")</f>
        <v/>
      </c>
      <c r="Z3793" s="10">
        <f>IF(A3793="C",LEFT(UPPER(E3793)&amp;REPT(" ",15),15)," ")</f>
        <v/>
      </c>
      <c r="AA3793" s="10">
        <f>REPT(" ",8)</f>
        <v/>
      </c>
      <c r="AB3793" s="10">
        <f>REPT(" ",4)</f>
        <v/>
      </c>
      <c r="AC3793" s="10">
        <f>LEFT(UPPER(H3793)&amp;REPT(" ",250),250)</f>
        <v/>
      </c>
      <c r="AD3793" s="10">
        <f>TEXT($G$2,"dd/mm/aaaa")</f>
        <v/>
      </c>
      <c r="AE3793" s="10">
        <f>REPT(" ",10)</f>
        <v/>
      </c>
      <c r="AF3793" s="10">
        <f>REPT(" ",20)</f>
        <v/>
      </c>
      <c r="AG3793" s="54">
        <f>REPT(" ",18-LEN(FIXED(F3793,2,TRUE)))&amp;FIXED(F3793,2,TRUE)</f>
        <v/>
      </c>
      <c r="AH3793" s="10">
        <f>LEN(AC3793)+LEN(AG3793)</f>
        <v/>
      </c>
      <c r="AI3793" s="10">
        <f>LEN(L3793)</f>
        <v/>
      </c>
    </row>
    <row r="3794">
      <c r="J3794" s="12">
        <f>IF(F3794&lt;&gt;0,"LANÇAR","")</f>
        <v/>
      </c>
      <c r="L3794" s="13">
        <f>N3794&amp;O3794&amp;P3794&amp;Q3794&amp;R3794&amp;S3794&amp;T3794&amp;U3794&amp;V3794&amp;W3794&amp;X3794&amp;Y3794&amp;Z3794&amp;AA3794&amp;AB3794&amp;AC3794&amp;AD3794&amp;AE3794&amp;AF3794&amp;AG3794</f>
        <v/>
      </c>
      <c r="N3794" s="10">
        <f>TEXT($B$6,"00")</f>
        <v/>
      </c>
      <c r="O3794" s="10">
        <f>REPT(" ",8)</f>
        <v/>
      </c>
      <c r="P3794" s="10">
        <f>RIGHT($B$4,2)</f>
        <v/>
      </c>
      <c r="Q3794" s="10">
        <f>RIGHT($B$5,3)</f>
        <v/>
      </c>
      <c r="R3794" s="10">
        <f>IF(A3794="D",LEFT(UPPER(B3794)&amp;REPT(" ",20),20),REPT(" ",20))</f>
        <v/>
      </c>
      <c r="S3794" s="10">
        <f>IF(A3794="D",LEFT(UPPER(C3794)&amp;REPT(" ",10),10)," ")</f>
        <v/>
      </c>
      <c r="T3794" s="10">
        <f>IF(A3794="D",LEFT(UPPER(D3794)&amp;REPT(" ",2),2)," ")</f>
        <v/>
      </c>
      <c r="U3794" s="10">
        <f>IF(A3794="D",LEFT(UPPER(E3794)&amp;REPT(" ",15),15)," ")</f>
        <v/>
      </c>
      <c r="V3794" s="10">
        <f>REPT(" ",24)</f>
        <v/>
      </c>
      <c r="W3794" s="10">
        <f>IF(A3794="c",LEFT(UPPER(B3794)&amp;REPT(" ",20),20),REPT(" ",20))</f>
        <v/>
      </c>
      <c r="X3794" s="10">
        <f>IF(A3794="C",LEFT(UPPER(C3794)&amp;REPT(" ",10),10)," ")</f>
        <v/>
      </c>
      <c r="Y3794" s="10">
        <f>IF(A3794="C",LEFT(UPPER(D3794)&amp;REPT(" ",2),2)," ")</f>
        <v/>
      </c>
      <c r="Z3794" s="10">
        <f>IF(A3794="C",LEFT(UPPER(E3794)&amp;REPT(" ",15),15)," ")</f>
        <v/>
      </c>
      <c r="AA3794" s="10">
        <f>REPT(" ",8)</f>
        <v/>
      </c>
      <c r="AB3794" s="10">
        <f>REPT(" ",4)</f>
        <v/>
      </c>
      <c r="AC3794" s="10">
        <f>LEFT(UPPER(H3794)&amp;REPT(" ",250),250)</f>
        <v/>
      </c>
      <c r="AD3794" s="10">
        <f>TEXT($G$2,"dd/mm/aaaa")</f>
        <v/>
      </c>
      <c r="AE3794" s="10">
        <f>REPT(" ",10)</f>
        <v/>
      </c>
      <c r="AF3794" s="10">
        <f>REPT(" ",20)</f>
        <v/>
      </c>
      <c r="AG3794" s="54">
        <f>REPT(" ",18-LEN(FIXED(F3794,2,TRUE)))&amp;FIXED(F3794,2,TRUE)</f>
        <v/>
      </c>
      <c r="AH3794" s="10">
        <f>LEN(AC3794)+LEN(AG3794)</f>
        <v/>
      </c>
      <c r="AI3794" s="10">
        <f>LEN(L3794)</f>
        <v/>
      </c>
    </row>
    <row r="3795">
      <c r="J3795" s="12">
        <f>IF(F3795&lt;&gt;0,"LANÇAR","")</f>
        <v/>
      </c>
      <c r="L3795" s="13">
        <f>N3795&amp;O3795&amp;P3795&amp;Q3795&amp;R3795&amp;S3795&amp;T3795&amp;U3795&amp;V3795&amp;W3795&amp;X3795&amp;Y3795&amp;Z3795&amp;AA3795&amp;AB3795&amp;AC3795&amp;AD3795&amp;AE3795&amp;AF3795&amp;AG3795</f>
        <v/>
      </c>
      <c r="N3795" s="10">
        <f>TEXT($B$6,"00")</f>
        <v/>
      </c>
      <c r="O3795" s="10">
        <f>REPT(" ",8)</f>
        <v/>
      </c>
      <c r="P3795" s="10">
        <f>RIGHT($B$4,2)</f>
        <v/>
      </c>
      <c r="Q3795" s="10">
        <f>RIGHT($B$5,3)</f>
        <v/>
      </c>
      <c r="R3795" s="10">
        <f>IF(A3795="D",LEFT(UPPER(B3795)&amp;REPT(" ",20),20),REPT(" ",20))</f>
        <v/>
      </c>
      <c r="S3795" s="10">
        <f>IF(A3795="D",LEFT(UPPER(C3795)&amp;REPT(" ",10),10)," ")</f>
        <v/>
      </c>
      <c r="T3795" s="10">
        <f>IF(A3795="D",LEFT(UPPER(D3795)&amp;REPT(" ",2),2)," ")</f>
        <v/>
      </c>
      <c r="U3795" s="10">
        <f>IF(A3795="D",LEFT(UPPER(E3795)&amp;REPT(" ",15),15)," ")</f>
        <v/>
      </c>
      <c r="V3795" s="10">
        <f>REPT(" ",24)</f>
        <v/>
      </c>
      <c r="W3795" s="10">
        <f>IF(A3795="c",LEFT(UPPER(B3795)&amp;REPT(" ",20),20),REPT(" ",20))</f>
        <v/>
      </c>
      <c r="X3795" s="10">
        <f>IF(A3795="C",LEFT(UPPER(C3795)&amp;REPT(" ",10),10)," ")</f>
        <v/>
      </c>
      <c r="Y3795" s="10">
        <f>IF(A3795="C",LEFT(UPPER(D3795)&amp;REPT(" ",2),2)," ")</f>
        <v/>
      </c>
      <c r="Z3795" s="10">
        <f>IF(A3795="C",LEFT(UPPER(E3795)&amp;REPT(" ",15),15)," ")</f>
        <v/>
      </c>
      <c r="AA3795" s="10">
        <f>REPT(" ",8)</f>
        <v/>
      </c>
      <c r="AB3795" s="10">
        <f>REPT(" ",4)</f>
        <v/>
      </c>
      <c r="AC3795" s="10">
        <f>LEFT(UPPER(H3795)&amp;REPT(" ",250),250)</f>
        <v/>
      </c>
      <c r="AD3795" s="10">
        <f>TEXT($G$2,"dd/mm/aaaa")</f>
        <v/>
      </c>
      <c r="AE3795" s="10">
        <f>REPT(" ",10)</f>
        <v/>
      </c>
      <c r="AF3795" s="10">
        <f>REPT(" ",20)</f>
        <v/>
      </c>
      <c r="AG3795" s="54">
        <f>REPT(" ",18-LEN(FIXED(F3795,2,TRUE)))&amp;FIXED(F3795,2,TRUE)</f>
        <v/>
      </c>
      <c r="AH3795" s="10">
        <f>LEN(AC3795)+LEN(AG3795)</f>
        <v/>
      </c>
      <c r="AI3795" s="10">
        <f>LEN(L3795)</f>
        <v/>
      </c>
    </row>
    <row r="3796">
      <c r="J3796" s="12">
        <f>IF(F3796&lt;&gt;0,"LANÇAR","")</f>
        <v/>
      </c>
      <c r="L3796" s="13">
        <f>N3796&amp;O3796&amp;P3796&amp;Q3796&amp;R3796&amp;S3796&amp;T3796&amp;U3796&amp;V3796&amp;W3796&amp;X3796&amp;Y3796&amp;Z3796&amp;AA3796&amp;AB3796&amp;AC3796&amp;AD3796&amp;AE3796&amp;AF3796&amp;AG3796</f>
        <v/>
      </c>
      <c r="N3796" s="10">
        <f>TEXT($B$6,"00")</f>
        <v/>
      </c>
      <c r="O3796" s="10">
        <f>REPT(" ",8)</f>
        <v/>
      </c>
      <c r="P3796" s="10">
        <f>RIGHT($B$4,2)</f>
        <v/>
      </c>
      <c r="Q3796" s="10">
        <f>RIGHT($B$5,3)</f>
        <v/>
      </c>
      <c r="R3796" s="10">
        <f>IF(A3796="D",LEFT(UPPER(B3796)&amp;REPT(" ",20),20),REPT(" ",20))</f>
        <v/>
      </c>
      <c r="S3796" s="10">
        <f>IF(A3796="D",LEFT(UPPER(C3796)&amp;REPT(" ",10),10)," ")</f>
        <v/>
      </c>
      <c r="T3796" s="10">
        <f>IF(A3796="D",LEFT(UPPER(D3796)&amp;REPT(" ",2),2)," ")</f>
        <v/>
      </c>
      <c r="U3796" s="10">
        <f>IF(A3796="D",LEFT(UPPER(E3796)&amp;REPT(" ",15),15)," ")</f>
        <v/>
      </c>
      <c r="V3796" s="10">
        <f>REPT(" ",24)</f>
        <v/>
      </c>
      <c r="W3796" s="10">
        <f>IF(A3796="c",LEFT(UPPER(B3796)&amp;REPT(" ",20),20),REPT(" ",20))</f>
        <v/>
      </c>
      <c r="X3796" s="10">
        <f>IF(A3796="C",LEFT(UPPER(C3796)&amp;REPT(" ",10),10)," ")</f>
        <v/>
      </c>
      <c r="Y3796" s="10">
        <f>IF(A3796="C",LEFT(UPPER(D3796)&amp;REPT(" ",2),2)," ")</f>
        <v/>
      </c>
      <c r="Z3796" s="10">
        <f>IF(A3796="C",LEFT(UPPER(E3796)&amp;REPT(" ",15),15)," ")</f>
        <v/>
      </c>
      <c r="AA3796" s="10">
        <f>REPT(" ",8)</f>
        <v/>
      </c>
      <c r="AB3796" s="10">
        <f>REPT(" ",4)</f>
        <v/>
      </c>
      <c r="AC3796" s="10">
        <f>LEFT(UPPER(H3796)&amp;REPT(" ",250),250)</f>
        <v/>
      </c>
      <c r="AD3796" s="10">
        <f>TEXT($G$2,"dd/mm/aaaa")</f>
        <v/>
      </c>
      <c r="AE3796" s="10">
        <f>REPT(" ",10)</f>
        <v/>
      </c>
      <c r="AF3796" s="10">
        <f>REPT(" ",20)</f>
        <v/>
      </c>
      <c r="AG3796" s="54">
        <f>REPT(" ",18-LEN(FIXED(F3796,2,TRUE)))&amp;FIXED(F3796,2,TRUE)</f>
        <v/>
      </c>
      <c r="AH3796" s="10">
        <f>LEN(AC3796)+LEN(AG3796)</f>
        <v/>
      </c>
      <c r="AI3796" s="10">
        <f>LEN(L3796)</f>
        <v/>
      </c>
    </row>
    <row r="3797">
      <c r="J3797" s="12">
        <f>IF(F3797&lt;&gt;0,"LANÇAR","")</f>
        <v/>
      </c>
      <c r="L3797" s="13">
        <f>N3797&amp;O3797&amp;P3797&amp;Q3797&amp;R3797&amp;S3797&amp;T3797&amp;U3797&amp;V3797&amp;W3797&amp;X3797&amp;Y3797&amp;Z3797&amp;AA3797&amp;AB3797&amp;AC3797&amp;AD3797&amp;AE3797&amp;AF3797&amp;AG3797</f>
        <v/>
      </c>
      <c r="N3797" s="10">
        <f>TEXT($B$6,"00")</f>
        <v/>
      </c>
      <c r="O3797" s="10">
        <f>REPT(" ",8)</f>
        <v/>
      </c>
      <c r="P3797" s="10">
        <f>RIGHT($B$4,2)</f>
        <v/>
      </c>
      <c r="Q3797" s="10">
        <f>RIGHT($B$5,3)</f>
        <v/>
      </c>
      <c r="R3797" s="10">
        <f>IF(A3797="D",LEFT(UPPER(B3797)&amp;REPT(" ",20),20),REPT(" ",20))</f>
        <v/>
      </c>
      <c r="S3797" s="10">
        <f>IF(A3797="D",LEFT(UPPER(C3797)&amp;REPT(" ",10),10)," ")</f>
        <v/>
      </c>
      <c r="T3797" s="10">
        <f>IF(A3797="D",LEFT(UPPER(D3797)&amp;REPT(" ",2),2)," ")</f>
        <v/>
      </c>
      <c r="U3797" s="10">
        <f>IF(A3797="D",LEFT(UPPER(E3797)&amp;REPT(" ",15),15)," ")</f>
        <v/>
      </c>
      <c r="V3797" s="10">
        <f>REPT(" ",24)</f>
        <v/>
      </c>
      <c r="W3797" s="10">
        <f>IF(A3797="c",LEFT(UPPER(B3797)&amp;REPT(" ",20),20),REPT(" ",20))</f>
        <v/>
      </c>
      <c r="X3797" s="10">
        <f>IF(A3797="C",LEFT(UPPER(C3797)&amp;REPT(" ",10),10)," ")</f>
        <v/>
      </c>
      <c r="Y3797" s="10">
        <f>IF(A3797="C",LEFT(UPPER(D3797)&amp;REPT(" ",2),2)," ")</f>
        <v/>
      </c>
      <c r="Z3797" s="10">
        <f>IF(A3797="C",LEFT(UPPER(E3797)&amp;REPT(" ",15),15)," ")</f>
        <v/>
      </c>
      <c r="AA3797" s="10">
        <f>REPT(" ",8)</f>
        <v/>
      </c>
      <c r="AB3797" s="10">
        <f>REPT(" ",4)</f>
        <v/>
      </c>
      <c r="AC3797" s="10">
        <f>LEFT(UPPER(H3797)&amp;REPT(" ",250),250)</f>
        <v/>
      </c>
      <c r="AD3797" s="10">
        <f>TEXT($G$2,"dd/mm/aaaa")</f>
        <v/>
      </c>
      <c r="AE3797" s="10">
        <f>REPT(" ",10)</f>
        <v/>
      </c>
      <c r="AF3797" s="10">
        <f>REPT(" ",20)</f>
        <v/>
      </c>
      <c r="AG3797" s="54">
        <f>REPT(" ",18-LEN(FIXED(F3797,2,TRUE)))&amp;FIXED(F3797,2,TRUE)</f>
        <v/>
      </c>
      <c r="AH3797" s="10">
        <f>LEN(AC3797)+LEN(AG3797)</f>
        <v/>
      </c>
      <c r="AI3797" s="10">
        <f>LEN(L3797)</f>
        <v/>
      </c>
    </row>
    <row r="3798">
      <c r="J3798" s="12">
        <f>IF(F3798&lt;&gt;0,"LANÇAR","")</f>
        <v/>
      </c>
      <c r="L3798" s="13">
        <f>N3798&amp;O3798&amp;P3798&amp;Q3798&amp;R3798&amp;S3798&amp;T3798&amp;U3798&amp;V3798&amp;W3798&amp;X3798&amp;Y3798&amp;Z3798&amp;AA3798&amp;AB3798&amp;AC3798&amp;AD3798&amp;AE3798&amp;AF3798&amp;AG3798</f>
        <v/>
      </c>
      <c r="N3798" s="10">
        <f>TEXT($B$6,"00")</f>
        <v/>
      </c>
      <c r="O3798" s="10">
        <f>REPT(" ",8)</f>
        <v/>
      </c>
      <c r="P3798" s="10">
        <f>RIGHT($B$4,2)</f>
        <v/>
      </c>
      <c r="Q3798" s="10">
        <f>RIGHT($B$5,3)</f>
        <v/>
      </c>
      <c r="R3798" s="10">
        <f>IF(A3798="D",LEFT(UPPER(B3798)&amp;REPT(" ",20),20),REPT(" ",20))</f>
        <v/>
      </c>
      <c r="S3798" s="10">
        <f>IF(A3798="D",LEFT(UPPER(C3798)&amp;REPT(" ",10),10)," ")</f>
        <v/>
      </c>
      <c r="T3798" s="10">
        <f>IF(A3798="D",LEFT(UPPER(D3798)&amp;REPT(" ",2),2)," ")</f>
        <v/>
      </c>
      <c r="U3798" s="10">
        <f>IF(A3798="D",LEFT(UPPER(E3798)&amp;REPT(" ",15),15)," ")</f>
        <v/>
      </c>
      <c r="V3798" s="10">
        <f>REPT(" ",24)</f>
        <v/>
      </c>
      <c r="W3798" s="10">
        <f>IF(A3798="c",LEFT(UPPER(B3798)&amp;REPT(" ",20),20),REPT(" ",20))</f>
        <v/>
      </c>
      <c r="X3798" s="10">
        <f>IF(A3798="C",LEFT(UPPER(C3798)&amp;REPT(" ",10),10)," ")</f>
        <v/>
      </c>
      <c r="Y3798" s="10">
        <f>IF(A3798="C",LEFT(UPPER(D3798)&amp;REPT(" ",2),2)," ")</f>
        <v/>
      </c>
      <c r="Z3798" s="10">
        <f>IF(A3798="C",LEFT(UPPER(E3798)&amp;REPT(" ",15),15)," ")</f>
        <v/>
      </c>
      <c r="AA3798" s="10">
        <f>REPT(" ",8)</f>
        <v/>
      </c>
      <c r="AB3798" s="10">
        <f>REPT(" ",4)</f>
        <v/>
      </c>
      <c r="AC3798" s="10">
        <f>LEFT(UPPER(H3798)&amp;REPT(" ",250),250)</f>
        <v/>
      </c>
      <c r="AD3798" s="10">
        <f>TEXT($G$2,"dd/mm/aaaa")</f>
        <v/>
      </c>
      <c r="AE3798" s="10">
        <f>REPT(" ",10)</f>
        <v/>
      </c>
      <c r="AF3798" s="10">
        <f>REPT(" ",20)</f>
        <v/>
      </c>
      <c r="AG3798" s="54">
        <f>REPT(" ",18-LEN(FIXED(F3798,2,TRUE)))&amp;FIXED(F3798,2,TRUE)</f>
        <v/>
      </c>
      <c r="AH3798" s="10">
        <f>LEN(AC3798)+LEN(AG3798)</f>
        <v/>
      </c>
      <c r="AI3798" s="10">
        <f>LEN(L3798)</f>
        <v/>
      </c>
    </row>
    <row r="3799">
      <c r="J3799" s="12">
        <f>IF(F3799&lt;&gt;0,"LANÇAR","")</f>
        <v/>
      </c>
      <c r="L3799" s="13">
        <f>N3799&amp;O3799&amp;P3799&amp;Q3799&amp;R3799&amp;S3799&amp;T3799&amp;U3799&amp;V3799&amp;W3799&amp;X3799&amp;Y3799&amp;Z3799&amp;AA3799&amp;AB3799&amp;AC3799&amp;AD3799&amp;AE3799&amp;AF3799&amp;AG3799</f>
        <v/>
      </c>
      <c r="N3799" s="10">
        <f>TEXT($B$6,"00")</f>
        <v/>
      </c>
      <c r="O3799" s="10">
        <f>REPT(" ",8)</f>
        <v/>
      </c>
      <c r="P3799" s="10">
        <f>RIGHT($B$4,2)</f>
        <v/>
      </c>
      <c r="Q3799" s="10">
        <f>RIGHT($B$5,3)</f>
        <v/>
      </c>
      <c r="R3799" s="10">
        <f>IF(A3799="D",LEFT(UPPER(B3799)&amp;REPT(" ",20),20),REPT(" ",20))</f>
        <v/>
      </c>
      <c r="S3799" s="10">
        <f>IF(A3799="D",LEFT(UPPER(C3799)&amp;REPT(" ",10),10)," ")</f>
        <v/>
      </c>
      <c r="T3799" s="10">
        <f>IF(A3799="D",LEFT(UPPER(D3799)&amp;REPT(" ",2),2)," ")</f>
        <v/>
      </c>
      <c r="U3799" s="10">
        <f>IF(A3799="D",LEFT(UPPER(E3799)&amp;REPT(" ",15),15)," ")</f>
        <v/>
      </c>
      <c r="V3799" s="10">
        <f>REPT(" ",24)</f>
        <v/>
      </c>
      <c r="W3799" s="10">
        <f>IF(A3799="c",LEFT(UPPER(B3799)&amp;REPT(" ",20),20),REPT(" ",20))</f>
        <v/>
      </c>
      <c r="X3799" s="10">
        <f>IF(A3799="C",LEFT(UPPER(C3799)&amp;REPT(" ",10),10)," ")</f>
        <v/>
      </c>
      <c r="Y3799" s="10">
        <f>IF(A3799="C",LEFT(UPPER(D3799)&amp;REPT(" ",2),2)," ")</f>
        <v/>
      </c>
      <c r="Z3799" s="10">
        <f>IF(A3799="C",LEFT(UPPER(E3799)&amp;REPT(" ",15),15)," ")</f>
        <v/>
      </c>
      <c r="AA3799" s="10">
        <f>REPT(" ",8)</f>
        <v/>
      </c>
      <c r="AB3799" s="10">
        <f>REPT(" ",4)</f>
        <v/>
      </c>
      <c r="AC3799" s="10">
        <f>LEFT(UPPER(H3799)&amp;REPT(" ",250),250)</f>
        <v/>
      </c>
      <c r="AD3799" s="10">
        <f>TEXT($G$2,"dd/mm/aaaa")</f>
        <v/>
      </c>
      <c r="AE3799" s="10">
        <f>REPT(" ",10)</f>
        <v/>
      </c>
      <c r="AF3799" s="10">
        <f>REPT(" ",20)</f>
        <v/>
      </c>
      <c r="AG3799" s="54">
        <f>REPT(" ",18-LEN(FIXED(F3799,2,TRUE)))&amp;FIXED(F3799,2,TRUE)</f>
        <v/>
      </c>
      <c r="AH3799" s="10">
        <f>LEN(AC3799)+LEN(AG3799)</f>
        <v/>
      </c>
      <c r="AI3799" s="10">
        <f>LEN(L3799)</f>
        <v/>
      </c>
    </row>
    <row r="3800">
      <c r="J3800" s="12">
        <f>IF(F3800&lt;&gt;0,"LANÇAR","")</f>
        <v/>
      </c>
      <c r="L3800" s="13">
        <f>N3800&amp;O3800&amp;P3800&amp;Q3800&amp;R3800&amp;S3800&amp;T3800&amp;U3800&amp;V3800&amp;W3800&amp;X3800&amp;Y3800&amp;Z3800&amp;AA3800&amp;AB3800&amp;AC3800&amp;AD3800&amp;AE3800&amp;AF3800&amp;AG3800</f>
        <v/>
      </c>
      <c r="N3800" s="10">
        <f>TEXT($B$6,"00")</f>
        <v/>
      </c>
      <c r="O3800" s="10">
        <f>REPT(" ",8)</f>
        <v/>
      </c>
      <c r="P3800" s="10">
        <f>RIGHT($B$4,2)</f>
        <v/>
      </c>
      <c r="Q3800" s="10">
        <f>RIGHT($B$5,3)</f>
        <v/>
      </c>
      <c r="R3800" s="10">
        <f>IF(A3800="D",LEFT(UPPER(B3800)&amp;REPT(" ",20),20),REPT(" ",20))</f>
        <v/>
      </c>
      <c r="S3800" s="10">
        <f>IF(A3800="D",LEFT(UPPER(C3800)&amp;REPT(" ",10),10)," ")</f>
        <v/>
      </c>
      <c r="T3800" s="10">
        <f>IF(A3800="D",LEFT(UPPER(D3800)&amp;REPT(" ",2),2)," ")</f>
        <v/>
      </c>
      <c r="U3800" s="10">
        <f>IF(A3800="D",LEFT(UPPER(E3800)&amp;REPT(" ",15),15)," ")</f>
        <v/>
      </c>
      <c r="V3800" s="10">
        <f>REPT(" ",24)</f>
        <v/>
      </c>
      <c r="W3800" s="10">
        <f>IF(A3800="c",LEFT(UPPER(B3800)&amp;REPT(" ",20),20),REPT(" ",20))</f>
        <v/>
      </c>
      <c r="X3800" s="10">
        <f>IF(A3800="C",LEFT(UPPER(C3800)&amp;REPT(" ",10),10)," ")</f>
        <v/>
      </c>
      <c r="Y3800" s="10">
        <f>IF(A3800="C",LEFT(UPPER(D3800)&amp;REPT(" ",2),2)," ")</f>
        <v/>
      </c>
      <c r="Z3800" s="10">
        <f>IF(A3800="C",LEFT(UPPER(E3800)&amp;REPT(" ",15),15)," ")</f>
        <v/>
      </c>
      <c r="AA3800" s="10">
        <f>REPT(" ",8)</f>
        <v/>
      </c>
      <c r="AB3800" s="10">
        <f>REPT(" ",4)</f>
        <v/>
      </c>
      <c r="AC3800" s="10">
        <f>LEFT(UPPER(H3800)&amp;REPT(" ",250),250)</f>
        <v/>
      </c>
      <c r="AD3800" s="10">
        <f>TEXT($G$2,"dd/mm/aaaa")</f>
        <v/>
      </c>
      <c r="AE3800" s="10">
        <f>REPT(" ",10)</f>
        <v/>
      </c>
      <c r="AF3800" s="10">
        <f>REPT(" ",20)</f>
        <v/>
      </c>
      <c r="AG3800" s="54">
        <f>REPT(" ",18-LEN(FIXED(F3800,2,TRUE)))&amp;FIXED(F3800,2,TRUE)</f>
        <v/>
      </c>
      <c r="AH3800" s="10">
        <f>LEN(AC3800)+LEN(AG3800)</f>
        <v/>
      </c>
      <c r="AI3800" s="10">
        <f>LEN(L3800)</f>
        <v/>
      </c>
    </row>
    <row r="3801">
      <c r="J3801" s="12">
        <f>IF(F3801&lt;&gt;0,"LANÇAR","")</f>
        <v/>
      </c>
      <c r="L3801" s="13">
        <f>N3801&amp;O3801&amp;P3801&amp;Q3801&amp;R3801&amp;S3801&amp;T3801&amp;U3801&amp;V3801&amp;W3801&amp;X3801&amp;Y3801&amp;Z3801&amp;AA3801&amp;AB3801&amp;AC3801&amp;AD3801&amp;AE3801&amp;AF3801&amp;AG3801</f>
        <v/>
      </c>
      <c r="N3801" s="10">
        <f>TEXT($B$6,"00")</f>
        <v/>
      </c>
      <c r="O3801" s="10">
        <f>REPT(" ",8)</f>
        <v/>
      </c>
      <c r="P3801" s="10">
        <f>RIGHT($B$4,2)</f>
        <v/>
      </c>
      <c r="Q3801" s="10">
        <f>RIGHT($B$5,3)</f>
        <v/>
      </c>
      <c r="R3801" s="10">
        <f>IF(A3801="D",LEFT(UPPER(B3801)&amp;REPT(" ",20),20),REPT(" ",20))</f>
        <v/>
      </c>
      <c r="S3801" s="10">
        <f>IF(A3801="D",LEFT(UPPER(C3801)&amp;REPT(" ",10),10)," ")</f>
        <v/>
      </c>
      <c r="T3801" s="10">
        <f>IF(A3801="D",LEFT(UPPER(D3801)&amp;REPT(" ",2),2)," ")</f>
        <v/>
      </c>
      <c r="U3801" s="10">
        <f>IF(A3801="D",LEFT(UPPER(E3801)&amp;REPT(" ",15),15)," ")</f>
        <v/>
      </c>
      <c r="V3801" s="10">
        <f>REPT(" ",24)</f>
        <v/>
      </c>
      <c r="W3801" s="10">
        <f>IF(A3801="c",LEFT(UPPER(B3801)&amp;REPT(" ",20),20),REPT(" ",20))</f>
        <v/>
      </c>
      <c r="X3801" s="10">
        <f>IF(A3801="C",LEFT(UPPER(C3801)&amp;REPT(" ",10),10)," ")</f>
        <v/>
      </c>
      <c r="Y3801" s="10">
        <f>IF(A3801="C",LEFT(UPPER(D3801)&amp;REPT(" ",2),2)," ")</f>
        <v/>
      </c>
      <c r="Z3801" s="10">
        <f>IF(A3801="C",LEFT(UPPER(E3801)&amp;REPT(" ",15),15)," ")</f>
        <v/>
      </c>
      <c r="AA3801" s="10">
        <f>REPT(" ",8)</f>
        <v/>
      </c>
      <c r="AB3801" s="10">
        <f>REPT(" ",4)</f>
        <v/>
      </c>
      <c r="AC3801" s="10">
        <f>LEFT(UPPER(H3801)&amp;REPT(" ",250),250)</f>
        <v/>
      </c>
      <c r="AD3801" s="10">
        <f>TEXT($G$2,"dd/mm/aaaa")</f>
        <v/>
      </c>
      <c r="AE3801" s="10">
        <f>REPT(" ",10)</f>
        <v/>
      </c>
      <c r="AF3801" s="10">
        <f>REPT(" ",20)</f>
        <v/>
      </c>
      <c r="AG3801" s="54">
        <f>REPT(" ",18-LEN(FIXED(F3801,2,TRUE)))&amp;FIXED(F3801,2,TRUE)</f>
        <v/>
      </c>
      <c r="AH3801" s="10">
        <f>LEN(AC3801)+LEN(AG3801)</f>
        <v/>
      </c>
      <c r="AI3801" s="10">
        <f>LEN(L3801)</f>
        <v/>
      </c>
    </row>
    <row r="3802">
      <c r="J3802" s="12">
        <f>IF(F3802&lt;&gt;0,"LANÇAR","")</f>
        <v/>
      </c>
      <c r="L3802" s="13">
        <f>N3802&amp;O3802&amp;P3802&amp;Q3802&amp;R3802&amp;S3802&amp;T3802&amp;U3802&amp;V3802&amp;W3802&amp;X3802&amp;Y3802&amp;Z3802&amp;AA3802&amp;AB3802&amp;AC3802&amp;AD3802&amp;AE3802&amp;AF3802&amp;AG3802</f>
        <v/>
      </c>
      <c r="N3802" s="10">
        <f>TEXT($B$6,"00")</f>
        <v/>
      </c>
      <c r="O3802" s="10">
        <f>REPT(" ",8)</f>
        <v/>
      </c>
      <c r="P3802" s="10">
        <f>RIGHT($B$4,2)</f>
        <v/>
      </c>
      <c r="Q3802" s="10">
        <f>RIGHT($B$5,3)</f>
        <v/>
      </c>
      <c r="R3802" s="10">
        <f>IF(A3802="D",LEFT(UPPER(B3802)&amp;REPT(" ",20),20),REPT(" ",20))</f>
        <v/>
      </c>
      <c r="S3802" s="10">
        <f>IF(A3802="D",LEFT(UPPER(C3802)&amp;REPT(" ",10),10)," ")</f>
        <v/>
      </c>
      <c r="T3802" s="10">
        <f>IF(A3802="D",LEFT(UPPER(D3802)&amp;REPT(" ",2),2)," ")</f>
        <v/>
      </c>
      <c r="U3802" s="10">
        <f>IF(A3802="D",LEFT(UPPER(E3802)&amp;REPT(" ",15),15)," ")</f>
        <v/>
      </c>
      <c r="V3802" s="10">
        <f>REPT(" ",24)</f>
        <v/>
      </c>
      <c r="W3802" s="10">
        <f>IF(A3802="c",LEFT(UPPER(B3802)&amp;REPT(" ",20),20),REPT(" ",20))</f>
        <v/>
      </c>
      <c r="X3802" s="10">
        <f>IF(A3802="C",LEFT(UPPER(C3802)&amp;REPT(" ",10),10)," ")</f>
        <v/>
      </c>
      <c r="Y3802" s="10">
        <f>IF(A3802="C",LEFT(UPPER(D3802)&amp;REPT(" ",2),2)," ")</f>
        <v/>
      </c>
      <c r="Z3802" s="10">
        <f>IF(A3802="C",LEFT(UPPER(E3802)&amp;REPT(" ",15),15)," ")</f>
        <v/>
      </c>
      <c r="AA3802" s="10">
        <f>REPT(" ",8)</f>
        <v/>
      </c>
      <c r="AB3802" s="10">
        <f>REPT(" ",4)</f>
        <v/>
      </c>
      <c r="AC3802" s="10">
        <f>LEFT(UPPER(H3802)&amp;REPT(" ",250),250)</f>
        <v/>
      </c>
      <c r="AD3802" s="10">
        <f>TEXT($G$2,"dd/mm/aaaa")</f>
        <v/>
      </c>
      <c r="AE3802" s="10">
        <f>REPT(" ",10)</f>
        <v/>
      </c>
      <c r="AF3802" s="10">
        <f>REPT(" ",20)</f>
        <v/>
      </c>
      <c r="AG3802" s="54">
        <f>REPT(" ",18-LEN(FIXED(F3802,2,TRUE)))&amp;FIXED(F3802,2,TRUE)</f>
        <v/>
      </c>
      <c r="AH3802" s="10">
        <f>LEN(AC3802)+LEN(AG3802)</f>
        <v/>
      </c>
      <c r="AI3802" s="10">
        <f>LEN(L3802)</f>
        <v/>
      </c>
    </row>
    <row r="3803">
      <c r="J3803" s="12">
        <f>IF(F3803&lt;&gt;0,"LANÇAR","")</f>
        <v/>
      </c>
      <c r="L3803" s="13">
        <f>N3803&amp;O3803&amp;P3803&amp;Q3803&amp;R3803&amp;S3803&amp;T3803&amp;U3803&amp;V3803&amp;W3803&amp;X3803&amp;Y3803&amp;Z3803&amp;AA3803&amp;AB3803&amp;AC3803&amp;AD3803&amp;AE3803&amp;AF3803&amp;AG3803</f>
        <v/>
      </c>
      <c r="N3803" s="10">
        <f>TEXT($B$6,"00")</f>
        <v/>
      </c>
      <c r="O3803" s="10">
        <f>REPT(" ",8)</f>
        <v/>
      </c>
      <c r="P3803" s="10">
        <f>RIGHT($B$4,2)</f>
        <v/>
      </c>
      <c r="Q3803" s="10">
        <f>RIGHT($B$5,3)</f>
        <v/>
      </c>
      <c r="R3803" s="10">
        <f>IF(A3803="D",LEFT(UPPER(B3803)&amp;REPT(" ",20),20),REPT(" ",20))</f>
        <v/>
      </c>
      <c r="S3803" s="10">
        <f>IF(A3803="D",LEFT(UPPER(C3803)&amp;REPT(" ",10),10)," ")</f>
        <v/>
      </c>
      <c r="T3803" s="10">
        <f>IF(A3803="D",LEFT(UPPER(D3803)&amp;REPT(" ",2),2)," ")</f>
        <v/>
      </c>
      <c r="U3803" s="10">
        <f>IF(A3803="D",LEFT(UPPER(E3803)&amp;REPT(" ",15),15)," ")</f>
        <v/>
      </c>
      <c r="V3803" s="10">
        <f>REPT(" ",24)</f>
        <v/>
      </c>
      <c r="W3803" s="10">
        <f>IF(A3803="c",LEFT(UPPER(B3803)&amp;REPT(" ",20),20),REPT(" ",20))</f>
        <v/>
      </c>
      <c r="X3803" s="10">
        <f>IF(A3803="C",LEFT(UPPER(C3803)&amp;REPT(" ",10),10)," ")</f>
        <v/>
      </c>
      <c r="Y3803" s="10">
        <f>IF(A3803="C",LEFT(UPPER(D3803)&amp;REPT(" ",2),2)," ")</f>
        <v/>
      </c>
      <c r="Z3803" s="10">
        <f>IF(A3803="C",LEFT(UPPER(E3803)&amp;REPT(" ",15),15)," ")</f>
        <v/>
      </c>
      <c r="AA3803" s="10">
        <f>REPT(" ",8)</f>
        <v/>
      </c>
      <c r="AB3803" s="10">
        <f>REPT(" ",4)</f>
        <v/>
      </c>
      <c r="AC3803" s="10">
        <f>LEFT(UPPER(H3803)&amp;REPT(" ",250),250)</f>
        <v/>
      </c>
      <c r="AD3803" s="10">
        <f>TEXT($G$2,"dd/mm/aaaa")</f>
        <v/>
      </c>
      <c r="AE3803" s="10">
        <f>REPT(" ",10)</f>
        <v/>
      </c>
      <c r="AF3803" s="10">
        <f>REPT(" ",20)</f>
        <v/>
      </c>
      <c r="AG3803" s="54">
        <f>REPT(" ",18-LEN(FIXED(F3803,2,TRUE)))&amp;FIXED(F3803,2,TRUE)</f>
        <v/>
      </c>
      <c r="AH3803" s="10">
        <f>LEN(AC3803)+LEN(AG3803)</f>
        <v/>
      </c>
      <c r="AI3803" s="10">
        <f>LEN(L3803)</f>
        <v/>
      </c>
    </row>
    <row r="3804">
      <c r="J3804" s="12">
        <f>IF(F3804&lt;&gt;0,"LANÇAR","")</f>
        <v/>
      </c>
      <c r="L3804" s="13">
        <f>N3804&amp;O3804&amp;P3804&amp;Q3804&amp;R3804&amp;S3804&amp;T3804&amp;U3804&amp;V3804&amp;W3804&amp;X3804&amp;Y3804&amp;Z3804&amp;AA3804&amp;AB3804&amp;AC3804&amp;AD3804&amp;AE3804&amp;AF3804&amp;AG3804</f>
        <v/>
      </c>
      <c r="N3804" s="10">
        <f>TEXT($B$6,"00")</f>
        <v/>
      </c>
      <c r="O3804" s="10">
        <f>REPT(" ",8)</f>
        <v/>
      </c>
      <c r="P3804" s="10">
        <f>RIGHT($B$4,2)</f>
        <v/>
      </c>
      <c r="Q3804" s="10">
        <f>RIGHT($B$5,3)</f>
        <v/>
      </c>
      <c r="R3804" s="10">
        <f>IF(A3804="D",LEFT(UPPER(B3804)&amp;REPT(" ",20),20),REPT(" ",20))</f>
        <v/>
      </c>
      <c r="S3804" s="10">
        <f>IF(A3804="D",LEFT(UPPER(C3804)&amp;REPT(" ",10),10)," ")</f>
        <v/>
      </c>
      <c r="T3804" s="10">
        <f>IF(A3804="D",LEFT(UPPER(D3804)&amp;REPT(" ",2),2)," ")</f>
        <v/>
      </c>
      <c r="U3804" s="10">
        <f>IF(A3804="D",LEFT(UPPER(E3804)&amp;REPT(" ",15),15)," ")</f>
        <v/>
      </c>
      <c r="V3804" s="10">
        <f>REPT(" ",24)</f>
        <v/>
      </c>
      <c r="W3804" s="10">
        <f>IF(A3804="c",LEFT(UPPER(B3804)&amp;REPT(" ",20),20),REPT(" ",20))</f>
        <v/>
      </c>
      <c r="X3804" s="10">
        <f>IF(A3804="C",LEFT(UPPER(C3804)&amp;REPT(" ",10),10)," ")</f>
        <v/>
      </c>
      <c r="Y3804" s="10">
        <f>IF(A3804="C",LEFT(UPPER(D3804)&amp;REPT(" ",2),2)," ")</f>
        <v/>
      </c>
      <c r="Z3804" s="10">
        <f>IF(A3804="C",LEFT(UPPER(E3804)&amp;REPT(" ",15),15)," ")</f>
        <v/>
      </c>
      <c r="AA3804" s="10">
        <f>REPT(" ",8)</f>
        <v/>
      </c>
      <c r="AB3804" s="10">
        <f>REPT(" ",4)</f>
        <v/>
      </c>
      <c r="AC3804" s="10">
        <f>LEFT(UPPER(H3804)&amp;REPT(" ",250),250)</f>
        <v/>
      </c>
      <c r="AD3804" s="10">
        <f>TEXT($G$2,"dd/mm/aaaa")</f>
        <v/>
      </c>
      <c r="AE3804" s="10">
        <f>REPT(" ",10)</f>
        <v/>
      </c>
      <c r="AF3804" s="10">
        <f>REPT(" ",20)</f>
        <v/>
      </c>
      <c r="AG3804" s="54">
        <f>REPT(" ",18-LEN(FIXED(F3804,2,TRUE)))&amp;FIXED(F3804,2,TRUE)</f>
        <v/>
      </c>
      <c r="AH3804" s="10">
        <f>LEN(AC3804)+LEN(AG3804)</f>
        <v/>
      </c>
      <c r="AI3804" s="10">
        <f>LEN(L3804)</f>
        <v/>
      </c>
    </row>
    <row r="3805">
      <c r="J3805" s="12">
        <f>IF(F3805&lt;&gt;0,"LANÇAR","")</f>
        <v/>
      </c>
      <c r="L3805" s="13">
        <f>N3805&amp;O3805&amp;P3805&amp;Q3805&amp;R3805&amp;S3805&amp;T3805&amp;U3805&amp;V3805&amp;W3805&amp;X3805&amp;Y3805&amp;Z3805&amp;AA3805&amp;AB3805&amp;AC3805&amp;AD3805&amp;AE3805&amp;AF3805&amp;AG3805</f>
        <v/>
      </c>
      <c r="N3805" s="10">
        <f>TEXT($B$6,"00")</f>
        <v/>
      </c>
      <c r="O3805" s="10">
        <f>REPT(" ",8)</f>
        <v/>
      </c>
      <c r="P3805" s="10">
        <f>RIGHT($B$4,2)</f>
        <v/>
      </c>
      <c r="Q3805" s="10">
        <f>RIGHT($B$5,3)</f>
        <v/>
      </c>
      <c r="R3805" s="10">
        <f>IF(A3805="D",LEFT(UPPER(B3805)&amp;REPT(" ",20),20),REPT(" ",20))</f>
        <v/>
      </c>
      <c r="S3805" s="10">
        <f>IF(A3805="D",LEFT(UPPER(C3805)&amp;REPT(" ",10),10)," ")</f>
        <v/>
      </c>
      <c r="T3805" s="10">
        <f>IF(A3805="D",LEFT(UPPER(D3805)&amp;REPT(" ",2),2)," ")</f>
        <v/>
      </c>
      <c r="U3805" s="10">
        <f>IF(A3805="D",LEFT(UPPER(E3805)&amp;REPT(" ",15),15)," ")</f>
        <v/>
      </c>
      <c r="V3805" s="10">
        <f>REPT(" ",24)</f>
        <v/>
      </c>
      <c r="W3805" s="10">
        <f>IF(A3805="c",LEFT(UPPER(B3805)&amp;REPT(" ",20),20),REPT(" ",20))</f>
        <v/>
      </c>
      <c r="X3805" s="10">
        <f>IF(A3805="C",LEFT(UPPER(C3805)&amp;REPT(" ",10),10)," ")</f>
        <v/>
      </c>
      <c r="Y3805" s="10">
        <f>IF(A3805="C",LEFT(UPPER(D3805)&amp;REPT(" ",2),2)," ")</f>
        <v/>
      </c>
      <c r="Z3805" s="10">
        <f>IF(A3805="C",LEFT(UPPER(E3805)&amp;REPT(" ",15),15)," ")</f>
        <v/>
      </c>
      <c r="AA3805" s="10">
        <f>REPT(" ",8)</f>
        <v/>
      </c>
      <c r="AB3805" s="10">
        <f>REPT(" ",4)</f>
        <v/>
      </c>
      <c r="AC3805" s="10">
        <f>LEFT(UPPER(H3805)&amp;REPT(" ",250),250)</f>
        <v/>
      </c>
      <c r="AD3805" s="10">
        <f>TEXT($G$2,"dd/mm/aaaa")</f>
        <v/>
      </c>
      <c r="AE3805" s="10">
        <f>REPT(" ",10)</f>
        <v/>
      </c>
      <c r="AF3805" s="10">
        <f>REPT(" ",20)</f>
        <v/>
      </c>
      <c r="AG3805" s="54">
        <f>REPT(" ",18-LEN(FIXED(F3805,2,TRUE)))&amp;FIXED(F3805,2,TRUE)</f>
        <v/>
      </c>
      <c r="AH3805" s="10">
        <f>LEN(AC3805)+LEN(AG3805)</f>
        <v/>
      </c>
      <c r="AI3805" s="10">
        <f>LEN(L3805)</f>
        <v/>
      </c>
    </row>
    <row r="3806">
      <c r="J3806" s="12">
        <f>IF(F3806&lt;&gt;0,"LANÇAR","")</f>
        <v/>
      </c>
      <c r="L3806" s="13">
        <f>N3806&amp;O3806&amp;P3806&amp;Q3806&amp;R3806&amp;S3806&amp;T3806&amp;U3806&amp;V3806&amp;W3806&amp;X3806&amp;Y3806&amp;Z3806&amp;AA3806&amp;AB3806&amp;AC3806&amp;AD3806&amp;AE3806&amp;AF3806&amp;AG3806</f>
        <v/>
      </c>
      <c r="N3806" s="10">
        <f>TEXT($B$6,"00")</f>
        <v/>
      </c>
      <c r="O3806" s="10">
        <f>REPT(" ",8)</f>
        <v/>
      </c>
      <c r="P3806" s="10">
        <f>RIGHT($B$4,2)</f>
        <v/>
      </c>
      <c r="Q3806" s="10">
        <f>RIGHT($B$5,3)</f>
        <v/>
      </c>
      <c r="R3806" s="10">
        <f>IF(A3806="D",LEFT(UPPER(B3806)&amp;REPT(" ",20),20),REPT(" ",20))</f>
        <v/>
      </c>
      <c r="S3806" s="10">
        <f>IF(A3806="D",LEFT(UPPER(C3806)&amp;REPT(" ",10),10)," ")</f>
        <v/>
      </c>
      <c r="T3806" s="10">
        <f>IF(A3806="D",LEFT(UPPER(D3806)&amp;REPT(" ",2),2)," ")</f>
        <v/>
      </c>
      <c r="U3806" s="10">
        <f>IF(A3806="D",LEFT(UPPER(E3806)&amp;REPT(" ",15),15)," ")</f>
        <v/>
      </c>
      <c r="V3806" s="10">
        <f>REPT(" ",24)</f>
        <v/>
      </c>
      <c r="W3806" s="10">
        <f>IF(A3806="c",LEFT(UPPER(B3806)&amp;REPT(" ",20),20),REPT(" ",20))</f>
        <v/>
      </c>
      <c r="X3806" s="10">
        <f>IF(A3806="C",LEFT(UPPER(C3806)&amp;REPT(" ",10),10)," ")</f>
        <v/>
      </c>
      <c r="Y3806" s="10">
        <f>IF(A3806="C",LEFT(UPPER(D3806)&amp;REPT(" ",2),2)," ")</f>
        <v/>
      </c>
      <c r="Z3806" s="10">
        <f>IF(A3806="C",LEFT(UPPER(E3806)&amp;REPT(" ",15),15)," ")</f>
        <v/>
      </c>
      <c r="AA3806" s="10">
        <f>REPT(" ",8)</f>
        <v/>
      </c>
      <c r="AB3806" s="10">
        <f>REPT(" ",4)</f>
        <v/>
      </c>
      <c r="AC3806" s="10">
        <f>LEFT(UPPER(H3806)&amp;REPT(" ",250),250)</f>
        <v/>
      </c>
      <c r="AD3806" s="10">
        <f>TEXT($G$2,"dd/mm/aaaa")</f>
        <v/>
      </c>
      <c r="AE3806" s="10">
        <f>REPT(" ",10)</f>
        <v/>
      </c>
      <c r="AF3806" s="10">
        <f>REPT(" ",20)</f>
        <v/>
      </c>
      <c r="AG3806" s="54">
        <f>REPT(" ",18-LEN(FIXED(F3806,2,TRUE)))&amp;FIXED(F3806,2,TRUE)</f>
        <v/>
      </c>
      <c r="AH3806" s="10">
        <f>LEN(AC3806)+LEN(AG3806)</f>
        <v/>
      </c>
      <c r="AI3806" s="10">
        <f>LEN(L3806)</f>
        <v/>
      </c>
    </row>
    <row r="3807">
      <c r="J3807" s="12">
        <f>IF(F3807&lt;&gt;0,"LANÇAR","")</f>
        <v/>
      </c>
      <c r="L3807" s="13">
        <f>N3807&amp;O3807&amp;P3807&amp;Q3807&amp;R3807&amp;S3807&amp;T3807&amp;U3807&amp;V3807&amp;W3807&amp;X3807&amp;Y3807&amp;Z3807&amp;AA3807&amp;AB3807&amp;AC3807&amp;AD3807&amp;AE3807&amp;AF3807&amp;AG3807</f>
        <v/>
      </c>
      <c r="N3807" s="10">
        <f>TEXT($B$6,"00")</f>
        <v/>
      </c>
      <c r="O3807" s="10">
        <f>REPT(" ",8)</f>
        <v/>
      </c>
      <c r="P3807" s="10">
        <f>RIGHT($B$4,2)</f>
        <v/>
      </c>
      <c r="Q3807" s="10">
        <f>RIGHT($B$5,3)</f>
        <v/>
      </c>
      <c r="R3807" s="10">
        <f>IF(A3807="D",LEFT(UPPER(B3807)&amp;REPT(" ",20),20),REPT(" ",20))</f>
        <v/>
      </c>
      <c r="S3807" s="10">
        <f>IF(A3807="D",LEFT(UPPER(C3807)&amp;REPT(" ",10),10)," ")</f>
        <v/>
      </c>
      <c r="T3807" s="10">
        <f>IF(A3807="D",LEFT(UPPER(D3807)&amp;REPT(" ",2),2)," ")</f>
        <v/>
      </c>
      <c r="U3807" s="10">
        <f>IF(A3807="D",LEFT(UPPER(E3807)&amp;REPT(" ",15),15)," ")</f>
        <v/>
      </c>
      <c r="V3807" s="10">
        <f>REPT(" ",24)</f>
        <v/>
      </c>
      <c r="W3807" s="10">
        <f>IF(A3807="c",LEFT(UPPER(B3807)&amp;REPT(" ",20),20),REPT(" ",20))</f>
        <v/>
      </c>
      <c r="X3807" s="10">
        <f>IF(A3807="C",LEFT(UPPER(C3807)&amp;REPT(" ",10),10)," ")</f>
        <v/>
      </c>
      <c r="Y3807" s="10">
        <f>IF(A3807="C",LEFT(UPPER(D3807)&amp;REPT(" ",2),2)," ")</f>
        <v/>
      </c>
      <c r="Z3807" s="10">
        <f>IF(A3807="C",LEFT(UPPER(E3807)&amp;REPT(" ",15),15)," ")</f>
        <v/>
      </c>
      <c r="AA3807" s="10">
        <f>REPT(" ",8)</f>
        <v/>
      </c>
      <c r="AB3807" s="10">
        <f>REPT(" ",4)</f>
        <v/>
      </c>
      <c r="AC3807" s="10">
        <f>LEFT(UPPER(H3807)&amp;REPT(" ",250),250)</f>
        <v/>
      </c>
      <c r="AD3807" s="10">
        <f>TEXT($G$2,"dd/mm/aaaa")</f>
        <v/>
      </c>
      <c r="AE3807" s="10">
        <f>REPT(" ",10)</f>
        <v/>
      </c>
      <c r="AF3807" s="10">
        <f>REPT(" ",20)</f>
        <v/>
      </c>
      <c r="AG3807" s="54">
        <f>REPT(" ",18-LEN(FIXED(F3807,2,TRUE)))&amp;FIXED(F3807,2,TRUE)</f>
        <v/>
      </c>
      <c r="AH3807" s="10">
        <f>LEN(AC3807)+LEN(AG3807)</f>
        <v/>
      </c>
      <c r="AI3807" s="10">
        <f>LEN(L3807)</f>
        <v/>
      </c>
    </row>
    <row r="3808">
      <c r="J3808" s="12">
        <f>IF(F3808&lt;&gt;0,"LANÇAR","")</f>
        <v/>
      </c>
      <c r="L3808" s="13">
        <f>N3808&amp;O3808&amp;P3808&amp;Q3808&amp;R3808&amp;S3808&amp;T3808&amp;U3808&amp;V3808&amp;W3808&amp;X3808&amp;Y3808&amp;Z3808&amp;AA3808&amp;AB3808&amp;AC3808&amp;AD3808&amp;AE3808&amp;AF3808&amp;AG3808</f>
        <v/>
      </c>
      <c r="N3808" s="10">
        <f>TEXT($B$6,"00")</f>
        <v/>
      </c>
      <c r="O3808" s="10">
        <f>REPT(" ",8)</f>
        <v/>
      </c>
      <c r="P3808" s="10">
        <f>RIGHT($B$4,2)</f>
        <v/>
      </c>
      <c r="Q3808" s="10">
        <f>RIGHT($B$5,3)</f>
        <v/>
      </c>
      <c r="R3808" s="10">
        <f>IF(A3808="D",LEFT(UPPER(B3808)&amp;REPT(" ",20),20),REPT(" ",20))</f>
        <v/>
      </c>
      <c r="S3808" s="10">
        <f>IF(A3808="D",LEFT(UPPER(C3808)&amp;REPT(" ",10),10)," ")</f>
        <v/>
      </c>
      <c r="T3808" s="10">
        <f>IF(A3808="D",LEFT(UPPER(D3808)&amp;REPT(" ",2),2)," ")</f>
        <v/>
      </c>
      <c r="U3808" s="10">
        <f>IF(A3808="D",LEFT(UPPER(E3808)&amp;REPT(" ",15),15)," ")</f>
        <v/>
      </c>
      <c r="V3808" s="10">
        <f>REPT(" ",24)</f>
        <v/>
      </c>
      <c r="W3808" s="10">
        <f>IF(A3808="c",LEFT(UPPER(B3808)&amp;REPT(" ",20),20),REPT(" ",20))</f>
        <v/>
      </c>
      <c r="X3808" s="10">
        <f>IF(A3808="C",LEFT(UPPER(C3808)&amp;REPT(" ",10),10)," ")</f>
        <v/>
      </c>
      <c r="Y3808" s="10">
        <f>IF(A3808="C",LEFT(UPPER(D3808)&amp;REPT(" ",2),2)," ")</f>
        <v/>
      </c>
      <c r="Z3808" s="10">
        <f>IF(A3808="C",LEFT(UPPER(E3808)&amp;REPT(" ",15),15)," ")</f>
        <v/>
      </c>
      <c r="AA3808" s="10">
        <f>REPT(" ",8)</f>
        <v/>
      </c>
      <c r="AB3808" s="10">
        <f>REPT(" ",4)</f>
        <v/>
      </c>
      <c r="AC3808" s="10">
        <f>LEFT(UPPER(H3808)&amp;REPT(" ",250),250)</f>
        <v/>
      </c>
      <c r="AD3808" s="10">
        <f>TEXT($G$2,"dd/mm/aaaa")</f>
        <v/>
      </c>
      <c r="AE3808" s="10">
        <f>REPT(" ",10)</f>
        <v/>
      </c>
      <c r="AF3808" s="10">
        <f>REPT(" ",20)</f>
        <v/>
      </c>
      <c r="AG3808" s="54">
        <f>REPT(" ",18-LEN(FIXED(F3808,2,TRUE)))&amp;FIXED(F3808,2,TRUE)</f>
        <v/>
      </c>
      <c r="AH3808" s="10">
        <f>LEN(AC3808)+LEN(AG3808)</f>
        <v/>
      </c>
      <c r="AI3808" s="10">
        <f>LEN(L3808)</f>
        <v/>
      </c>
    </row>
    <row r="3809">
      <c r="J3809" s="12">
        <f>IF(F3809&lt;&gt;0,"LANÇAR","")</f>
        <v/>
      </c>
      <c r="L3809" s="13">
        <f>N3809&amp;O3809&amp;P3809&amp;Q3809&amp;R3809&amp;S3809&amp;T3809&amp;U3809&amp;V3809&amp;W3809&amp;X3809&amp;Y3809&amp;Z3809&amp;AA3809&amp;AB3809&amp;AC3809&amp;AD3809&amp;AE3809&amp;AF3809&amp;AG3809</f>
        <v/>
      </c>
      <c r="N3809" s="10">
        <f>TEXT($B$6,"00")</f>
        <v/>
      </c>
      <c r="O3809" s="10">
        <f>REPT(" ",8)</f>
        <v/>
      </c>
      <c r="P3809" s="10">
        <f>RIGHT($B$4,2)</f>
        <v/>
      </c>
      <c r="Q3809" s="10">
        <f>RIGHT($B$5,3)</f>
        <v/>
      </c>
      <c r="R3809" s="10">
        <f>IF(A3809="D",LEFT(UPPER(B3809)&amp;REPT(" ",20),20),REPT(" ",20))</f>
        <v/>
      </c>
      <c r="S3809" s="10">
        <f>IF(A3809="D",LEFT(UPPER(C3809)&amp;REPT(" ",10),10)," ")</f>
        <v/>
      </c>
      <c r="T3809" s="10">
        <f>IF(A3809="D",LEFT(UPPER(D3809)&amp;REPT(" ",2),2)," ")</f>
        <v/>
      </c>
      <c r="U3809" s="10">
        <f>IF(A3809="D",LEFT(UPPER(E3809)&amp;REPT(" ",15),15)," ")</f>
        <v/>
      </c>
      <c r="V3809" s="10">
        <f>REPT(" ",24)</f>
        <v/>
      </c>
      <c r="W3809" s="10">
        <f>IF(A3809="c",LEFT(UPPER(B3809)&amp;REPT(" ",20),20),REPT(" ",20))</f>
        <v/>
      </c>
      <c r="X3809" s="10">
        <f>IF(A3809="C",LEFT(UPPER(C3809)&amp;REPT(" ",10),10)," ")</f>
        <v/>
      </c>
      <c r="Y3809" s="10">
        <f>IF(A3809="C",LEFT(UPPER(D3809)&amp;REPT(" ",2),2)," ")</f>
        <v/>
      </c>
      <c r="Z3809" s="10">
        <f>IF(A3809="C",LEFT(UPPER(E3809)&amp;REPT(" ",15),15)," ")</f>
        <v/>
      </c>
      <c r="AA3809" s="10">
        <f>REPT(" ",8)</f>
        <v/>
      </c>
      <c r="AB3809" s="10">
        <f>REPT(" ",4)</f>
        <v/>
      </c>
      <c r="AC3809" s="10">
        <f>LEFT(UPPER(H3809)&amp;REPT(" ",250),250)</f>
        <v/>
      </c>
      <c r="AD3809" s="10">
        <f>TEXT($G$2,"dd/mm/aaaa")</f>
        <v/>
      </c>
      <c r="AE3809" s="10">
        <f>REPT(" ",10)</f>
        <v/>
      </c>
      <c r="AF3809" s="10">
        <f>REPT(" ",20)</f>
        <v/>
      </c>
      <c r="AG3809" s="54">
        <f>REPT(" ",18-LEN(FIXED(F3809,2,TRUE)))&amp;FIXED(F3809,2,TRUE)</f>
        <v/>
      </c>
      <c r="AH3809" s="10">
        <f>LEN(AC3809)+LEN(AG3809)</f>
        <v/>
      </c>
      <c r="AI3809" s="10">
        <f>LEN(L3809)</f>
        <v/>
      </c>
    </row>
    <row r="3810">
      <c r="J3810" s="12">
        <f>IF(F3810&lt;&gt;0,"LANÇAR","")</f>
        <v/>
      </c>
      <c r="L3810" s="13">
        <f>N3810&amp;O3810&amp;P3810&amp;Q3810&amp;R3810&amp;S3810&amp;T3810&amp;U3810&amp;V3810&amp;W3810&amp;X3810&amp;Y3810&amp;Z3810&amp;AA3810&amp;AB3810&amp;AC3810&amp;AD3810&amp;AE3810&amp;AF3810&amp;AG3810</f>
        <v/>
      </c>
      <c r="N3810" s="10">
        <f>TEXT($B$6,"00")</f>
        <v/>
      </c>
      <c r="O3810" s="10">
        <f>REPT(" ",8)</f>
        <v/>
      </c>
      <c r="P3810" s="10">
        <f>RIGHT($B$4,2)</f>
        <v/>
      </c>
      <c r="Q3810" s="10">
        <f>RIGHT($B$5,3)</f>
        <v/>
      </c>
      <c r="R3810" s="10">
        <f>IF(A3810="D",LEFT(UPPER(B3810)&amp;REPT(" ",20),20),REPT(" ",20))</f>
        <v/>
      </c>
      <c r="S3810" s="10">
        <f>IF(A3810="D",LEFT(UPPER(C3810)&amp;REPT(" ",10),10)," ")</f>
        <v/>
      </c>
      <c r="T3810" s="10">
        <f>IF(A3810="D",LEFT(UPPER(D3810)&amp;REPT(" ",2),2)," ")</f>
        <v/>
      </c>
      <c r="U3810" s="10">
        <f>IF(A3810="D",LEFT(UPPER(E3810)&amp;REPT(" ",15),15)," ")</f>
        <v/>
      </c>
      <c r="V3810" s="10">
        <f>REPT(" ",24)</f>
        <v/>
      </c>
      <c r="W3810" s="10">
        <f>IF(A3810="c",LEFT(UPPER(B3810)&amp;REPT(" ",20),20),REPT(" ",20))</f>
        <v/>
      </c>
      <c r="X3810" s="10">
        <f>IF(A3810="C",LEFT(UPPER(C3810)&amp;REPT(" ",10),10)," ")</f>
        <v/>
      </c>
      <c r="Y3810" s="10">
        <f>IF(A3810="C",LEFT(UPPER(D3810)&amp;REPT(" ",2),2)," ")</f>
        <v/>
      </c>
      <c r="Z3810" s="10">
        <f>IF(A3810="C",LEFT(UPPER(E3810)&amp;REPT(" ",15),15)," ")</f>
        <v/>
      </c>
      <c r="AA3810" s="10">
        <f>REPT(" ",8)</f>
        <v/>
      </c>
      <c r="AB3810" s="10">
        <f>REPT(" ",4)</f>
        <v/>
      </c>
      <c r="AC3810" s="10">
        <f>LEFT(UPPER(H3810)&amp;REPT(" ",250),250)</f>
        <v/>
      </c>
      <c r="AD3810" s="10">
        <f>TEXT($G$2,"dd/mm/aaaa")</f>
        <v/>
      </c>
      <c r="AE3810" s="10">
        <f>REPT(" ",10)</f>
        <v/>
      </c>
      <c r="AF3810" s="10">
        <f>REPT(" ",20)</f>
        <v/>
      </c>
      <c r="AG3810" s="54">
        <f>REPT(" ",18-LEN(FIXED(F3810,2,TRUE)))&amp;FIXED(F3810,2,TRUE)</f>
        <v/>
      </c>
      <c r="AH3810" s="10">
        <f>LEN(AC3810)+LEN(AG3810)</f>
        <v/>
      </c>
      <c r="AI3810" s="10">
        <f>LEN(L3810)</f>
        <v/>
      </c>
    </row>
    <row r="3811">
      <c r="J3811" s="12">
        <f>IF(F3811&lt;&gt;0,"LANÇAR","")</f>
        <v/>
      </c>
      <c r="L3811" s="13">
        <f>N3811&amp;O3811&amp;P3811&amp;Q3811&amp;R3811&amp;S3811&amp;T3811&amp;U3811&amp;V3811&amp;W3811&amp;X3811&amp;Y3811&amp;Z3811&amp;AA3811&amp;AB3811&amp;AC3811&amp;AD3811&amp;AE3811&amp;AF3811&amp;AG3811</f>
        <v/>
      </c>
      <c r="N3811" s="10">
        <f>TEXT($B$6,"00")</f>
        <v/>
      </c>
      <c r="O3811" s="10">
        <f>REPT(" ",8)</f>
        <v/>
      </c>
      <c r="P3811" s="10">
        <f>RIGHT($B$4,2)</f>
        <v/>
      </c>
      <c r="Q3811" s="10">
        <f>RIGHT($B$5,3)</f>
        <v/>
      </c>
      <c r="R3811" s="10">
        <f>IF(A3811="D",LEFT(UPPER(B3811)&amp;REPT(" ",20),20),REPT(" ",20))</f>
        <v/>
      </c>
      <c r="S3811" s="10">
        <f>IF(A3811="D",LEFT(UPPER(C3811)&amp;REPT(" ",10),10)," ")</f>
        <v/>
      </c>
      <c r="T3811" s="10">
        <f>IF(A3811="D",LEFT(UPPER(D3811)&amp;REPT(" ",2),2)," ")</f>
        <v/>
      </c>
      <c r="U3811" s="10">
        <f>IF(A3811="D",LEFT(UPPER(E3811)&amp;REPT(" ",15),15)," ")</f>
        <v/>
      </c>
      <c r="V3811" s="10">
        <f>REPT(" ",24)</f>
        <v/>
      </c>
      <c r="W3811" s="10">
        <f>IF(A3811="c",LEFT(UPPER(B3811)&amp;REPT(" ",20),20),REPT(" ",20))</f>
        <v/>
      </c>
      <c r="X3811" s="10">
        <f>IF(A3811="C",LEFT(UPPER(C3811)&amp;REPT(" ",10),10)," ")</f>
        <v/>
      </c>
      <c r="Y3811" s="10">
        <f>IF(A3811="C",LEFT(UPPER(D3811)&amp;REPT(" ",2),2)," ")</f>
        <v/>
      </c>
      <c r="Z3811" s="10">
        <f>IF(A3811="C",LEFT(UPPER(E3811)&amp;REPT(" ",15),15)," ")</f>
        <v/>
      </c>
      <c r="AA3811" s="10">
        <f>REPT(" ",8)</f>
        <v/>
      </c>
      <c r="AB3811" s="10">
        <f>REPT(" ",4)</f>
        <v/>
      </c>
      <c r="AC3811" s="10">
        <f>LEFT(UPPER(H3811)&amp;REPT(" ",250),250)</f>
        <v/>
      </c>
      <c r="AD3811" s="10">
        <f>TEXT($G$2,"dd/mm/aaaa")</f>
        <v/>
      </c>
      <c r="AE3811" s="10">
        <f>REPT(" ",10)</f>
        <v/>
      </c>
      <c r="AF3811" s="10">
        <f>REPT(" ",20)</f>
        <v/>
      </c>
      <c r="AG3811" s="54">
        <f>REPT(" ",18-LEN(FIXED(F3811,2,TRUE)))&amp;FIXED(F3811,2,TRUE)</f>
        <v/>
      </c>
      <c r="AH3811" s="10">
        <f>LEN(AC3811)+LEN(AG3811)</f>
        <v/>
      </c>
      <c r="AI3811" s="10">
        <f>LEN(L3811)</f>
        <v/>
      </c>
    </row>
    <row r="3812">
      <c r="J3812" s="12">
        <f>IF(F3812&lt;&gt;0,"LANÇAR","")</f>
        <v/>
      </c>
      <c r="L3812" s="13">
        <f>N3812&amp;O3812&amp;P3812&amp;Q3812&amp;R3812&amp;S3812&amp;T3812&amp;U3812&amp;V3812&amp;W3812&amp;X3812&amp;Y3812&amp;Z3812&amp;AA3812&amp;AB3812&amp;AC3812&amp;AD3812&amp;AE3812&amp;AF3812&amp;AG3812</f>
        <v/>
      </c>
      <c r="N3812" s="10">
        <f>TEXT($B$6,"00")</f>
        <v/>
      </c>
      <c r="O3812" s="10">
        <f>REPT(" ",8)</f>
        <v/>
      </c>
      <c r="P3812" s="10">
        <f>RIGHT($B$4,2)</f>
        <v/>
      </c>
      <c r="Q3812" s="10">
        <f>RIGHT($B$5,3)</f>
        <v/>
      </c>
      <c r="R3812" s="10">
        <f>IF(A3812="D",LEFT(UPPER(B3812)&amp;REPT(" ",20),20),REPT(" ",20))</f>
        <v/>
      </c>
      <c r="S3812" s="10">
        <f>IF(A3812="D",LEFT(UPPER(C3812)&amp;REPT(" ",10),10)," ")</f>
        <v/>
      </c>
      <c r="T3812" s="10">
        <f>IF(A3812="D",LEFT(UPPER(D3812)&amp;REPT(" ",2),2)," ")</f>
        <v/>
      </c>
      <c r="U3812" s="10">
        <f>IF(A3812="D",LEFT(UPPER(E3812)&amp;REPT(" ",15),15)," ")</f>
        <v/>
      </c>
      <c r="V3812" s="10">
        <f>REPT(" ",24)</f>
        <v/>
      </c>
      <c r="W3812" s="10">
        <f>IF(A3812="c",LEFT(UPPER(B3812)&amp;REPT(" ",20),20),REPT(" ",20))</f>
        <v/>
      </c>
      <c r="X3812" s="10">
        <f>IF(A3812="C",LEFT(UPPER(C3812)&amp;REPT(" ",10),10)," ")</f>
        <v/>
      </c>
      <c r="Y3812" s="10">
        <f>IF(A3812="C",LEFT(UPPER(D3812)&amp;REPT(" ",2),2)," ")</f>
        <v/>
      </c>
      <c r="Z3812" s="10">
        <f>IF(A3812="C",LEFT(UPPER(E3812)&amp;REPT(" ",15),15)," ")</f>
        <v/>
      </c>
      <c r="AA3812" s="10">
        <f>REPT(" ",8)</f>
        <v/>
      </c>
      <c r="AB3812" s="10">
        <f>REPT(" ",4)</f>
        <v/>
      </c>
      <c r="AC3812" s="10">
        <f>LEFT(UPPER(H3812)&amp;REPT(" ",250),250)</f>
        <v/>
      </c>
      <c r="AD3812" s="10">
        <f>TEXT($G$2,"dd/mm/aaaa")</f>
        <v/>
      </c>
      <c r="AE3812" s="10">
        <f>REPT(" ",10)</f>
        <v/>
      </c>
      <c r="AF3812" s="10">
        <f>REPT(" ",20)</f>
        <v/>
      </c>
      <c r="AG3812" s="54">
        <f>REPT(" ",18-LEN(FIXED(F3812,2,TRUE)))&amp;FIXED(F3812,2,TRUE)</f>
        <v/>
      </c>
      <c r="AH3812" s="10">
        <f>LEN(AC3812)+LEN(AG3812)</f>
        <v/>
      </c>
      <c r="AI3812" s="10">
        <f>LEN(L3812)</f>
        <v/>
      </c>
    </row>
    <row r="3813">
      <c r="J3813" s="12">
        <f>IF(F3813&lt;&gt;0,"LANÇAR","")</f>
        <v/>
      </c>
      <c r="L3813" s="13">
        <f>N3813&amp;O3813&amp;P3813&amp;Q3813&amp;R3813&amp;S3813&amp;T3813&amp;U3813&amp;V3813&amp;W3813&amp;X3813&amp;Y3813&amp;Z3813&amp;AA3813&amp;AB3813&amp;AC3813&amp;AD3813&amp;AE3813&amp;AF3813&amp;AG3813</f>
        <v/>
      </c>
      <c r="N3813" s="10">
        <f>TEXT($B$6,"00")</f>
        <v/>
      </c>
      <c r="O3813" s="10">
        <f>REPT(" ",8)</f>
        <v/>
      </c>
      <c r="P3813" s="10">
        <f>RIGHT($B$4,2)</f>
        <v/>
      </c>
      <c r="Q3813" s="10">
        <f>RIGHT($B$5,3)</f>
        <v/>
      </c>
      <c r="R3813" s="10">
        <f>IF(A3813="D",LEFT(UPPER(B3813)&amp;REPT(" ",20),20),REPT(" ",20))</f>
        <v/>
      </c>
      <c r="S3813" s="10">
        <f>IF(A3813="D",LEFT(UPPER(C3813)&amp;REPT(" ",10),10)," ")</f>
        <v/>
      </c>
      <c r="T3813" s="10">
        <f>IF(A3813="D",LEFT(UPPER(D3813)&amp;REPT(" ",2),2)," ")</f>
        <v/>
      </c>
      <c r="U3813" s="10">
        <f>IF(A3813="D",LEFT(UPPER(E3813)&amp;REPT(" ",15),15)," ")</f>
        <v/>
      </c>
      <c r="V3813" s="10">
        <f>REPT(" ",24)</f>
        <v/>
      </c>
      <c r="W3813" s="10">
        <f>IF(A3813="c",LEFT(UPPER(B3813)&amp;REPT(" ",20),20),REPT(" ",20))</f>
        <v/>
      </c>
      <c r="X3813" s="10">
        <f>IF(A3813="C",LEFT(UPPER(C3813)&amp;REPT(" ",10),10)," ")</f>
        <v/>
      </c>
      <c r="Y3813" s="10">
        <f>IF(A3813="C",LEFT(UPPER(D3813)&amp;REPT(" ",2),2)," ")</f>
        <v/>
      </c>
      <c r="Z3813" s="10">
        <f>IF(A3813="C",LEFT(UPPER(E3813)&amp;REPT(" ",15),15)," ")</f>
        <v/>
      </c>
      <c r="AA3813" s="10">
        <f>REPT(" ",8)</f>
        <v/>
      </c>
      <c r="AB3813" s="10">
        <f>REPT(" ",4)</f>
        <v/>
      </c>
      <c r="AC3813" s="10">
        <f>LEFT(UPPER(H3813)&amp;REPT(" ",250),250)</f>
        <v/>
      </c>
      <c r="AD3813" s="10">
        <f>TEXT($G$2,"dd/mm/aaaa")</f>
        <v/>
      </c>
      <c r="AE3813" s="10">
        <f>REPT(" ",10)</f>
        <v/>
      </c>
      <c r="AF3813" s="10">
        <f>REPT(" ",20)</f>
        <v/>
      </c>
      <c r="AG3813" s="54">
        <f>REPT(" ",18-LEN(FIXED(F3813,2,TRUE)))&amp;FIXED(F3813,2,TRUE)</f>
        <v/>
      </c>
      <c r="AH3813" s="10">
        <f>LEN(AC3813)+LEN(AG3813)</f>
        <v/>
      </c>
      <c r="AI3813" s="10">
        <f>LEN(L3813)</f>
        <v/>
      </c>
    </row>
    <row r="3814">
      <c r="J3814" s="12">
        <f>IF(F3814&lt;&gt;0,"LANÇAR","")</f>
        <v/>
      </c>
      <c r="L3814" s="13">
        <f>N3814&amp;O3814&amp;P3814&amp;Q3814&amp;R3814&amp;S3814&amp;T3814&amp;U3814&amp;V3814&amp;W3814&amp;X3814&amp;Y3814&amp;Z3814&amp;AA3814&amp;AB3814&amp;AC3814&amp;AD3814&amp;AE3814&amp;AF3814&amp;AG3814</f>
        <v/>
      </c>
      <c r="N3814" s="10">
        <f>TEXT($B$6,"00")</f>
        <v/>
      </c>
      <c r="O3814" s="10">
        <f>REPT(" ",8)</f>
        <v/>
      </c>
      <c r="P3814" s="10">
        <f>RIGHT($B$4,2)</f>
        <v/>
      </c>
      <c r="Q3814" s="10">
        <f>RIGHT($B$5,3)</f>
        <v/>
      </c>
      <c r="R3814" s="10">
        <f>IF(A3814="D",LEFT(UPPER(B3814)&amp;REPT(" ",20),20),REPT(" ",20))</f>
        <v/>
      </c>
      <c r="S3814" s="10">
        <f>IF(A3814="D",LEFT(UPPER(C3814)&amp;REPT(" ",10),10)," ")</f>
        <v/>
      </c>
      <c r="T3814" s="10">
        <f>IF(A3814="D",LEFT(UPPER(D3814)&amp;REPT(" ",2),2)," ")</f>
        <v/>
      </c>
      <c r="U3814" s="10">
        <f>IF(A3814="D",LEFT(UPPER(E3814)&amp;REPT(" ",15),15)," ")</f>
        <v/>
      </c>
      <c r="V3814" s="10">
        <f>REPT(" ",24)</f>
        <v/>
      </c>
      <c r="W3814" s="10">
        <f>IF(A3814="c",LEFT(UPPER(B3814)&amp;REPT(" ",20),20),REPT(" ",20))</f>
        <v/>
      </c>
      <c r="X3814" s="10">
        <f>IF(A3814="C",LEFT(UPPER(C3814)&amp;REPT(" ",10),10)," ")</f>
        <v/>
      </c>
      <c r="Y3814" s="10">
        <f>IF(A3814="C",LEFT(UPPER(D3814)&amp;REPT(" ",2),2)," ")</f>
        <v/>
      </c>
      <c r="Z3814" s="10">
        <f>IF(A3814="C",LEFT(UPPER(E3814)&amp;REPT(" ",15),15)," ")</f>
        <v/>
      </c>
      <c r="AA3814" s="10">
        <f>REPT(" ",8)</f>
        <v/>
      </c>
      <c r="AB3814" s="10">
        <f>REPT(" ",4)</f>
        <v/>
      </c>
      <c r="AC3814" s="10">
        <f>LEFT(UPPER(H3814)&amp;REPT(" ",250),250)</f>
        <v/>
      </c>
      <c r="AD3814" s="10">
        <f>TEXT($G$2,"dd/mm/aaaa")</f>
        <v/>
      </c>
      <c r="AE3814" s="10">
        <f>REPT(" ",10)</f>
        <v/>
      </c>
      <c r="AF3814" s="10">
        <f>REPT(" ",20)</f>
        <v/>
      </c>
      <c r="AG3814" s="54">
        <f>REPT(" ",18-LEN(FIXED(F3814,2,TRUE)))&amp;FIXED(F3814,2,TRUE)</f>
        <v/>
      </c>
      <c r="AH3814" s="10">
        <f>LEN(AC3814)+LEN(AG3814)</f>
        <v/>
      </c>
      <c r="AI3814" s="10">
        <f>LEN(L3814)</f>
        <v/>
      </c>
    </row>
    <row r="3815">
      <c r="J3815" s="12">
        <f>IF(F3815&lt;&gt;0,"LANÇAR","")</f>
        <v/>
      </c>
      <c r="L3815" s="13">
        <f>N3815&amp;O3815&amp;P3815&amp;Q3815&amp;R3815&amp;S3815&amp;T3815&amp;U3815&amp;V3815&amp;W3815&amp;X3815&amp;Y3815&amp;Z3815&amp;AA3815&amp;AB3815&amp;AC3815&amp;AD3815&amp;AE3815&amp;AF3815&amp;AG3815</f>
        <v/>
      </c>
      <c r="N3815" s="10">
        <f>TEXT($B$6,"00")</f>
        <v/>
      </c>
      <c r="O3815" s="10">
        <f>REPT(" ",8)</f>
        <v/>
      </c>
      <c r="P3815" s="10">
        <f>RIGHT($B$4,2)</f>
        <v/>
      </c>
      <c r="Q3815" s="10">
        <f>RIGHT($B$5,3)</f>
        <v/>
      </c>
      <c r="R3815" s="10">
        <f>IF(A3815="D",LEFT(UPPER(B3815)&amp;REPT(" ",20),20),REPT(" ",20))</f>
        <v/>
      </c>
      <c r="S3815" s="10">
        <f>IF(A3815="D",LEFT(UPPER(C3815)&amp;REPT(" ",10),10)," ")</f>
        <v/>
      </c>
      <c r="T3815" s="10">
        <f>IF(A3815="D",LEFT(UPPER(D3815)&amp;REPT(" ",2),2)," ")</f>
        <v/>
      </c>
      <c r="U3815" s="10">
        <f>IF(A3815="D",LEFT(UPPER(E3815)&amp;REPT(" ",15),15)," ")</f>
        <v/>
      </c>
      <c r="V3815" s="10">
        <f>REPT(" ",24)</f>
        <v/>
      </c>
      <c r="W3815" s="10">
        <f>IF(A3815="c",LEFT(UPPER(B3815)&amp;REPT(" ",20),20),REPT(" ",20))</f>
        <v/>
      </c>
      <c r="X3815" s="10">
        <f>IF(A3815="C",LEFT(UPPER(C3815)&amp;REPT(" ",10),10)," ")</f>
        <v/>
      </c>
      <c r="Y3815" s="10">
        <f>IF(A3815="C",LEFT(UPPER(D3815)&amp;REPT(" ",2),2)," ")</f>
        <v/>
      </c>
      <c r="Z3815" s="10">
        <f>IF(A3815="C",LEFT(UPPER(E3815)&amp;REPT(" ",15),15)," ")</f>
        <v/>
      </c>
      <c r="AA3815" s="10">
        <f>REPT(" ",8)</f>
        <v/>
      </c>
      <c r="AB3815" s="10">
        <f>REPT(" ",4)</f>
        <v/>
      </c>
      <c r="AC3815" s="10">
        <f>LEFT(UPPER(H3815)&amp;REPT(" ",250),250)</f>
        <v/>
      </c>
      <c r="AD3815" s="10">
        <f>TEXT($G$2,"dd/mm/aaaa")</f>
        <v/>
      </c>
      <c r="AE3815" s="10">
        <f>REPT(" ",10)</f>
        <v/>
      </c>
      <c r="AF3815" s="10">
        <f>REPT(" ",20)</f>
        <v/>
      </c>
      <c r="AG3815" s="54">
        <f>REPT(" ",18-LEN(FIXED(F3815,2,TRUE)))&amp;FIXED(F3815,2,TRUE)</f>
        <v/>
      </c>
      <c r="AH3815" s="10">
        <f>LEN(AC3815)+LEN(AG3815)</f>
        <v/>
      </c>
      <c r="AI3815" s="10">
        <f>LEN(L3815)</f>
        <v/>
      </c>
    </row>
    <row r="3816">
      <c r="J3816" s="12">
        <f>IF(F3816&lt;&gt;0,"LANÇAR","")</f>
        <v/>
      </c>
      <c r="L3816" s="13">
        <f>N3816&amp;O3816&amp;P3816&amp;Q3816&amp;R3816&amp;S3816&amp;T3816&amp;U3816&amp;V3816&amp;W3816&amp;X3816&amp;Y3816&amp;Z3816&amp;AA3816&amp;AB3816&amp;AC3816&amp;AD3816&amp;AE3816&amp;AF3816&amp;AG3816</f>
        <v/>
      </c>
      <c r="N3816" s="10">
        <f>TEXT($B$6,"00")</f>
        <v/>
      </c>
      <c r="O3816" s="10">
        <f>REPT(" ",8)</f>
        <v/>
      </c>
      <c r="P3816" s="10">
        <f>RIGHT($B$4,2)</f>
        <v/>
      </c>
      <c r="Q3816" s="10">
        <f>RIGHT($B$5,3)</f>
        <v/>
      </c>
      <c r="R3816" s="10">
        <f>IF(A3816="D",LEFT(UPPER(B3816)&amp;REPT(" ",20),20),REPT(" ",20))</f>
        <v/>
      </c>
      <c r="S3816" s="10">
        <f>IF(A3816="D",LEFT(UPPER(C3816)&amp;REPT(" ",10),10)," ")</f>
        <v/>
      </c>
      <c r="T3816" s="10">
        <f>IF(A3816="D",LEFT(UPPER(D3816)&amp;REPT(" ",2),2)," ")</f>
        <v/>
      </c>
      <c r="U3816" s="10">
        <f>IF(A3816="D",LEFT(UPPER(E3816)&amp;REPT(" ",15),15)," ")</f>
        <v/>
      </c>
      <c r="V3816" s="10">
        <f>REPT(" ",24)</f>
        <v/>
      </c>
      <c r="W3816" s="10">
        <f>IF(A3816="c",LEFT(UPPER(B3816)&amp;REPT(" ",20),20),REPT(" ",20))</f>
        <v/>
      </c>
      <c r="X3816" s="10">
        <f>IF(A3816="C",LEFT(UPPER(C3816)&amp;REPT(" ",10),10)," ")</f>
        <v/>
      </c>
      <c r="Y3816" s="10">
        <f>IF(A3816="C",LEFT(UPPER(D3816)&amp;REPT(" ",2),2)," ")</f>
        <v/>
      </c>
      <c r="Z3816" s="10">
        <f>IF(A3816="C",LEFT(UPPER(E3816)&amp;REPT(" ",15),15)," ")</f>
        <v/>
      </c>
      <c r="AA3816" s="10">
        <f>REPT(" ",8)</f>
        <v/>
      </c>
      <c r="AB3816" s="10">
        <f>REPT(" ",4)</f>
        <v/>
      </c>
      <c r="AC3816" s="10">
        <f>LEFT(UPPER(H3816)&amp;REPT(" ",250),250)</f>
        <v/>
      </c>
      <c r="AD3816" s="10">
        <f>TEXT($G$2,"dd/mm/aaaa")</f>
        <v/>
      </c>
      <c r="AE3816" s="10">
        <f>REPT(" ",10)</f>
        <v/>
      </c>
      <c r="AF3816" s="10">
        <f>REPT(" ",20)</f>
        <v/>
      </c>
      <c r="AG3816" s="54">
        <f>REPT(" ",18-LEN(FIXED(F3816,2,TRUE)))&amp;FIXED(F3816,2,TRUE)</f>
        <v/>
      </c>
      <c r="AH3816" s="10">
        <f>LEN(AC3816)+LEN(AG3816)</f>
        <v/>
      </c>
      <c r="AI3816" s="10">
        <f>LEN(L3816)</f>
        <v/>
      </c>
    </row>
    <row r="3817">
      <c r="J3817" s="12">
        <f>IF(F3817&lt;&gt;0,"LANÇAR","")</f>
        <v/>
      </c>
      <c r="L3817" s="13">
        <f>N3817&amp;O3817&amp;P3817&amp;Q3817&amp;R3817&amp;S3817&amp;T3817&amp;U3817&amp;V3817&amp;W3817&amp;X3817&amp;Y3817&amp;Z3817&amp;AA3817&amp;AB3817&amp;AC3817&amp;AD3817&amp;AE3817&amp;AF3817&amp;AG3817</f>
        <v/>
      </c>
      <c r="N3817" s="10">
        <f>TEXT($B$6,"00")</f>
        <v/>
      </c>
      <c r="O3817" s="10">
        <f>REPT(" ",8)</f>
        <v/>
      </c>
      <c r="P3817" s="10">
        <f>RIGHT($B$4,2)</f>
        <v/>
      </c>
      <c r="Q3817" s="10">
        <f>RIGHT($B$5,3)</f>
        <v/>
      </c>
      <c r="R3817" s="10">
        <f>IF(A3817="D",LEFT(UPPER(B3817)&amp;REPT(" ",20),20),REPT(" ",20))</f>
        <v/>
      </c>
      <c r="S3817" s="10">
        <f>IF(A3817="D",LEFT(UPPER(C3817)&amp;REPT(" ",10),10)," ")</f>
        <v/>
      </c>
      <c r="T3817" s="10">
        <f>IF(A3817="D",LEFT(UPPER(D3817)&amp;REPT(" ",2),2)," ")</f>
        <v/>
      </c>
      <c r="U3817" s="10">
        <f>IF(A3817="D",LEFT(UPPER(E3817)&amp;REPT(" ",15),15)," ")</f>
        <v/>
      </c>
      <c r="V3817" s="10">
        <f>REPT(" ",24)</f>
        <v/>
      </c>
      <c r="W3817" s="10">
        <f>IF(A3817="c",LEFT(UPPER(B3817)&amp;REPT(" ",20),20),REPT(" ",20))</f>
        <v/>
      </c>
      <c r="X3817" s="10">
        <f>IF(A3817="C",LEFT(UPPER(C3817)&amp;REPT(" ",10),10)," ")</f>
        <v/>
      </c>
      <c r="Y3817" s="10">
        <f>IF(A3817="C",LEFT(UPPER(D3817)&amp;REPT(" ",2),2)," ")</f>
        <v/>
      </c>
      <c r="Z3817" s="10">
        <f>IF(A3817="C",LEFT(UPPER(E3817)&amp;REPT(" ",15),15)," ")</f>
        <v/>
      </c>
      <c r="AA3817" s="10">
        <f>REPT(" ",8)</f>
        <v/>
      </c>
      <c r="AB3817" s="10">
        <f>REPT(" ",4)</f>
        <v/>
      </c>
      <c r="AC3817" s="10">
        <f>LEFT(UPPER(H3817)&amp;REPT(" ",250),250)</f>
        <v/>
      </c>
      <c r="AD3817" s="10">
        <f>TEXT($G$2,"dd/mm/aaaa")</f>
        <v/>
      </c>
      <c r="AE3817" s="10">
        <f>REPT(" ",10)</f>
        <v/>
      </c>
      <c r="AF3817" s="10">
        <f>REPT(" ",20)</f>
        <v/>
      </c>
      <c r="AG3817" s="54">
        <f>REPT(" ",18-LEN(FIXED(F3817,2,TRUE)))&amp;FIXED(F3817,2,TRUE)</f>
        <v/>
      </c>
      <c r="AH3817" s="10">
        <f>LEN(AC3817)+LEN(AG3817)</f>
        <v/>
      </c>
      <c r="AI3817" s="10">
        <f>LEN(L3817)</f>
        <v/>
      </c>
    </row>
    <row r="3818">
      <c r="J3818" s="12">
        <f>IF(F3818&lt;&gt;0,"LANÇAR","")</f>
        <v/>
      </c>
      <c r="L3818" s="13">
        <f>N3818&amp;O3818&amp;P3818&amp;Q3818&amp;R3818&amp;S3818&amp;T3818&amp;U3818&amp;V3818&amp;W3818&amp;X3818&amp;Y3818&amp;Z3818&amp;AA3818&amp;AB3818&amp;AC3818&amp;AD3818&amp;AE3818&amp;AF3818&amp;AG3818</f>
        <v/>
      </c>
      <c r="N3818" s="10">
        <f>TEXT($B$6,"00")</f>
        <v/>
      </c>
      <c r="O3818" s="10">
        <f>REPT(" ",8)</f>
        <v/>
      </c>
      <c r="P3818" s="10">
        <f>RIGHT($B$4,2)</f>
        <v/>
      </c>
      <c r="Q3818" s="10">
        <f>RIGHT($B$5,3)</f>
        <v/>
      </c>
      <c r="R3818" s="10">
        <f>IF(A3818="D",LEFT(UPPER(B3818)&amp;REPT(" ",20),20),REPT(" ",20))</f>
        <v/>
      </c>
      <c r="S3818" s="10">
        <f>IF(A3818="D",LEFT(UPPER(C3818)&amp;REPT(" ",10),10)," ")</f>
        <v/>
      </c>
      <c r="T3818" s="10">
        <f>IF(A3818="D",LEFT(UPPER(D3818)&amp;REPT(" ",2),2)," ")</f>
        <v/>
      </c>
      <c r="U3818" s="10">
        <f>IF(A3818="D",LEFT(UPPER(E3818)&amp;REPT(" ",15),15)," ")</f>
        <v/>
      </c>
      <c r="V3818" s="10">
        <f>REPT(" ",24)</f>
        <v/>
      </c>
      <c r="W3818" s="10">
        <f>IF(A3818="c",LEFT(UPPER(B3818)&amp;REPT(" ",20),20),REPT(" ",20))</f>
        <v/>
      </c>
      <c r="X3818" s="10">
        <f>IF(A3818="C",LEFT(UPPER(C3818)&amp;REPT(" ",10),10)," ")</f>
        <v/>
      </c>
      <c r="Y3818" s="10">
        <f>IF(A3818="C",LEFT(UPPER(D3818)&amp;REPT(" ",2),2)," ")</f>
        <v/>
      </c>
      <c r="Z3818" s="10">
        <f>IF(A3818="C",LEFT(UPPER(E3818)&amp;REPT(" ",15),15)," ")</f>
        <v/>
      </c>
      <c r="AA3818" s="10">
        <f>REPT(" ",8)</f>
        <v/>
      </c>
      <c r="AB3818" s="10">
        <f>REPT(" ",4)</f>
        <v/>
      </c>
      <c r="AC3818" s="10">
        <f>LEFT(UPPER(H3818)&amp;REPT(" ",250),250)</f>
        <v/>
      </c>
      <c r="AD3818" s="10">
        <f>TEXT($G$2,"dd/mm/aaaa")</f>
        <v/>
      </c>
      <c r="AE3818" s="10">
        <f>REPT(" ",10)</f>
        <v/>
      </c>
      <c r="AF3818" s="10">
        <f>REPT(" ",20)</f>
        <v/>
      </c>
      <c r="AG3818" s="54">
        <f>REPT(" ",18-LEN(FIXED(F3818,2,TRUE)))&amp;FIXED(F3818,2,TRUE)</f>
        <v/>
      </c>
      <c r="AH3818" s="10">
        <f>LEN(AC3818)+LEN(AG3818)</f>
        <v/>
      </c>
      <c r="AI3818" s="10">
        <f>LEN(L3818)</f>
        <v/>
      </c>
    </row>
    <row r="3819">
      <c r="J3819" s="12">
        <f>IF(F3819&lt;&gt;0,"LANÇAR","")</f>
        <v/>
      </c>
      <c r="L3819" s="13">
        <f>N3819&amp;O3819&amp;P3819&amp;Q3819&amp;R3819&amp;S3819&amp;T3819&amp;U3819&amp;V3819&amp;W3819&amp;X3819&amp;Y3819&amp;Z3819&amp;AA3819&amp;AB3819&amp;AC3819&amp;AD3819&amp;AE3819&amp;AF3819&amp;AG3819</f>
        <v/>
      </c>
      <c r="N3819" s="10">
        <f>TEXT($B$6,"00")</f>
        <v/>
      </c>
      <c r="O3819" s="10">
        <f>REPT(" ",8)</f>
        <v/>
      </c>
      <c r="P3819" s="10">
        <f>RIGHT($B$4,2)</f>
        <v/>
      </c>
      <c r="Q3819" s="10">
        <f>RIGHT($B$5,3)</f>
        <v/>
      </c>
      <c r="R3819" s="10">
        <f>IF(A3819="D",LEFT(UPPER(B3819)&amp;REPT(" ",20),20),REPT(" ",20))</f>
        <v/>
      </c>
      <c r="S3819" s="10">
        <f>IF(A3819="D",LEFT(UPPER(C3819)&amp;REPT(" ",10),10)," ")</f>
        <v/>
      </c>
      <c r="T3819" s="10">
        <f>IF(A3819="D",LEFT(UPPER(D3819)&amp;REPT(" ",2),2)," ")</f>
        <v/>
      </c>
      <c r="U3819" s="10">
        <f>IF(A3819="D",LEFT(UPPER(E3819)&amp;REPT(" ",15),15)," ")</f>
        <v/>
      </c>
      <c r="V3819" s="10">
        <f>REPT(" ",24)</f>
        <v/>
      </c>
      <c r="W3819" s="10">
        <f>IF(A3819="c",LEFT(UPPER(B3819)&amp;REPT(" ",20),20),REPT(" ",20))</f>
        <v/>
      </c>
      <c r="X3819" s="10">
        <f>IF(A3819="C",LEFT(UPPER(C3819)&amp;REPT(" ",10),10)," ")</f>
        <v/>
      </c>
      <c r="Y3819" s="10">
        <f>IF(A3819="C",LEFT(UPPER(D3819)&amp;REPT(" ",2),2)," ")</f>
        <v/>
      </c>
      <c r="Z3819" s="10">
        <f>IF(A3819="C",LEFT(UPPER(E3819)&amp;REPT(" ",15),15)," ")</f>
        <v/>
      </c>
      <c r="AA3819" s="10">
        <f>REPT(" ",8)</f>
        <v/>
      </c>
      <c r="AB3819" s="10">
        <f>REPT(" ",4)</f>
        <v/>
      </c>
      <c r="AC3819" s="10">
        <f>LEFT(UPPER(H3819)&amp;REPT(" ",250),250)</f>
        <v/>
      </c>
      <c r="AD3819" s="10">
        <f>TEXT($G$2,"dd/mm/aaaa")</f>
        <v/>
      </c>
      <c r="AE3819" s="10">
        <f>REPT(" ",10)</f>
        <v/>
      </c>
      <c r="AF3819" s="10">
        <f>REPT(" ",20)</f>
        <v/>
      </c>
      <c r="AG3819" s="54">
        <f>REPT(" ",18-LEN(FIXED(F3819,2,TRUE)))&amp;FIXED(F3819,2,TRUE)</f>
        <v/>
      </c>
      <c r="AH3819" s="10">
        <f>LEN(AC3819)+LEN(AG3819)</f>
        <v/>
      </c>
      <c r="AI3819" s="10">
        <f>LEN(L3819)</f>
        <v/>
      </c>
    </row>
    <row r="3820">
      <c r="J3820" s="12">
        <f>IF(F3820&lt;&gt;0,"LANÇAR","")</f>
        <v/>
      </c>
      <c r="L3820" s="13">
        <f>N3820&amp;O3820&amp;P3820&amp;Q3820&amp;R3820&amp;S3820&amp;T3820&amp;U3820&amp;V3820&amp;W3820&amp;X3820&amp;Y3820&amp;Z3820&amp;AA3820&amp;AB3820&amp;AC3820&amp;AD3820&amp;AE3820&amp;AF3820&amp;AG3820</f>
        <v/>
      </c>
      <c r="N3820" s="10">
        <f>TEXT($B$6,"00")</f>
        <v/>
      </c>
      <c r="O3820" s="10">
        <f>REPT(" ",8)</f>
        <v/>
      </c>
      <c r="P3820" s="10">
        <f>RIGHT($B$4,2)</f>
        <v/>
      </c>
      <c r="Q3820" s="10">
        <f>RIGHT($B$5,3)</f>
        <v/>
      </c>
      <c r="R3820" s="10">
        <f>IF(A3820="D",LEFT(UPPER(B3820)&amp;REPT(" ",20),20),REPT(" ",20))</f>
        <v/>
      </c>
      <c r="S3820" s="10">
        <f>IF(A3820="D",LEFT(UPPER(C3820)&amp;REPT(" ",10),10)," ")</f>
        <v/>
      </c>
      <c r="T3820" s="10">
        <f>IF(A3820="D",LEFT(UPPER(D3820)&amp;REPT(" ",2),2)," ")</f>
        <v/>
      </c>
      <c r="U3820" s="10">
        <f>IF(A3820="D",LEFT(UPPER(E3820)&amp;REPT(" ",15),15)," ")</f>
        <v/>
      </c>
      <c r="V3820" s="10">
        <f>REPT(" ",24)</f>
        <v/>
      </c>
      <c r="W3820" s="10">
        <f>IF(A3820="c",LEFT(UPPER(B3820)&amp;REPT(" ",20),20),REPT(" ",20))</f>
        <v/>
      </c>
      <c r="X3820" s="10">
        <f>IF(A3820="C",LEFT(UPPER(C3820)&amp;REPT(" ",10),10)," ")</f>
        <v/>
      </c>
      <c r="Y3820" s="10">
        <f>IF(A3820="C",LEFT(UPPER(D3820)&amp;REPT(" ",2),2)," ")</f>
        <v/>
      </c>
      <c r="Z3820" s="10">
        <f>IF(A3820="C",LEFT(UPPER(E3820)&amp;REPT(" ",15),15)," ")</f>
        <v/>
      </c>
      <c r="AA3820" s="10">
        <f>REPT(" ",8)</f>
        <v/>
      </c>
      <c r="AB3820" s="10">
        <f>REPT(" ",4)</f>
        <v/>
      </c>
      <c r="AC3820" s="10">
        <f>LEFT(UPPER(H3820)&amp;REPT(" ",250),250)</f>
        <v/>
      </c>
      <c r="AD3820" s="10">
        <f>TEXT($G$2,"dd/mm/aaaa")</f>
        <v/>
      </c>
      <c r="AE3820" s="10">
        <f>REPT(" ",10)</f>
        <v/>
      </c>
      <c r="AF3820" s="10">
        <f>REPT(" ",20)</f>
        <v/>
      </c>
      <c r="AG3820" s="54">
        <f>REPT(" ",18-LEN(FIXED(F3820,2,TRUE)))&amp;FIXED(F3820,2,TRUE)</f>
        <v/>
      </c>
      <c r="AH3820" s="10">
        <f>LEN(AC3820)+LEN(AG3820)</f>
        <v/>
      </c>
      <c r="AI3820" s="10">
        <f>LEN(L3820)</f>
        <v/>
      </c>
    </row>
    <row r="3821">
      <c r="J3821" s="12">
        <f>IF(F3821&lt;&gt;0,"LANÇAR","")</f>
        <v/>
      </c>
      <c r="L3821" s="13">
        <f>N3821&amp;O3821&amp;P3821&amp;Q3821&amp;R3821&amp;S3821&amp;T3821&amp;U3821&amp;V3821&amp;W3821&amp;X3821&amp;Y3821&amp;Z3821&amp;AA3821&amp;AB3821&amp;AC3821&amp;AD3821&amp;AE3821&amp;AF3821&amp;AG3821</f>
        <v/>
      </c>
      <c r="N3821" s="10">
        <f>TEXT($B$6,"00")</f>
        <v/>
      </c>
      <c r="O3821" s="10">
        <f>REPT(" ",8)</f>
        <v/>
      </c>
      <c r="P3821" s="10">
        <f>RIGHT($B$4,2)</f>
        <v/>
      </c>
      <c r="Q3821" s="10">
        <f>RIGHT($B$5,3)</f>
        <v/>
      </c>
      <c r="R3821" s="10">
        <f>IF(A3821="D",LEFT(UPPER(B3821)&amp;REPT(" ",20),20),REPT(" ",20))</f>
        <v/>
      </c>
      <c r="S3821" s="10">
        <f>IF(A3821="D",LEFT(UPPER(C3821)&amp;REPT(" ",10),10)," ")</f>
        <v/>
      </c>
      <c r="T3821" s="10">
        <f>IF(A3821="D",LEFT(UPPER(D3821)&amp;REPT(" ",2),2)," ")</f>
        <v/>
      </c>
      <c r="U3821" s="10">
        <f>IF(A3821="D",LEFT(UPPER(E3821)&amp;REPT(" ",15),15)," ")</f>
        <v/>
      </c>
      <c r="V3821" s="10">
        <f>REPT(" ",24)</f>
        <v/>
      </c>
      <c r="W3821" s="10">
        <f>IF(A3821="c",LEFT(UPPER(B3821)&amp;REPT(" ",20),20),REPT(" ",20))</f>
        <v/>
      </c>
      <c r="X3821" s="10">
        <f>IF(A3821="C",LEFT(UPPER(C3821)&amp;REPT(" ",10),10)," ")</f>
        <v/>
      </c>
      <c r="Y3821" s="10">
        <f>IF(A3821="C",LEFT(UPPER(D3821)&amp;REPT(" ",2),2)," ")</f>
        <v/>
      </c>
      <c r="Z3821" s="10">
        <f>IF(A3821="C",LEFT(UPPER(E3821)&amp;REPT(" ",15),15)," ")</f>
        <v/>
      </c>
      <c r="AA3821" s="10">
        <f>REPT(" ",8)</f>
        <v/>
      </c>
      <c r="AB3821" s="10">
        <f>REPT(" ",4)</f>
        <v/>
      </c>
      <c r="AC3821" s="10">
        <f>LEFT(UPPER(H3821)&amp;REPT(" ",250),250)</f>
        <v/>
      </c>
      <c r="AD3821" s="10">
        <f>TEXT($G$2,"dd/mm/aaaa")</f>
        <v/>
      </c>
      <c r="AE3821" s="10">
        <f>REPT(" ",10)</f>
        <v/>
      </c>
      <c r="AF3821" s="10">
        <f>REPT(" ",20)</f>
        <v/>
      </c>
      <c r="AG3821" s="54">
        <f>REPT(" ",18-LEN(FIXED(F3821,2,TRUE)))&amp;FIXED(F3821,2,TRUE)</f>
        <v/>
      </c>
      <c r="AH3821" s="10">
        <f>LEN(AC3821)+LEN(AG3821)</f>
        <v/>
      </c>
      <c r="AI3821" s="10">
        <f>LEN(L3821)</f>
        <v/>
      </c>
    </row>
    <row r="3822">
      <c r="J3822" s="12">
        <f>IF(F3822&lt;&gt;0,"LANÇAR","")</f>
        <v/>
      </c>
      <c r="L3822" s="13">
        <f>N3822&amp;O3822&amp;P3822&amp;Q3822&amp;R3822&amp;S3822&amp;T3822&amp;U3822&amp;V3822&amp;W3822&amp;X3822&amp;Y3822&amp;Z3822&amp;AA3822&amp;AB3822&amp;AC3822&amp;AD3822&amp;AE3822&amp;AF3822&amp;AG3822</f>
        <v/>
      </c>
      <c r="N3822" s="10">
        <f>TEXT($B$6,"00")</f>
        <v/>
      </c>
      <c r="O3822" s="10">
        <f>REPT(" ",8)</f>
        <v/>
      </c>
      <c r="P3822" s="10">
        <f>RIGHT($B$4,2)</f>
        <v/>
      </c>
      <c r="Q3822" s="10">
        <f>RIGHT($B$5,3)</f>
        <v/>
      </c>
      <c r="R3822" s="10">
        <f>IF(A3822="D",LEFT(UPPER(B3822)&amp;REPT(" ",20),20),REPT(" ",20))</f>
        <v/>
      </c>
      <c r="S3822" s="10">
        <f>IF(A3822="D",LEFT(UPPER(C3822)&amp;REPT(" ",10),10)," ")</f>
        <v/>
      </c>
      <c r="T3822" s="10">
        <f>IF(A3822="D",LEFT(UPPER(D3822)&amp;REPT(" ",2),2)," ")</f>
        <v/>
      </c>
      <c r="U3822" s="10">
        <f>IF(A3822="D",LEFT(UPPER(E3822)&amp;REPT(" ",15),15)," ")</f>
        <v/>
      </c>
      <c r="V3822" s="10">
        <f>REPT(" ",24)</f>
        <v/>
      </c>
      <c r="W3822" s="10">
        <f>IF(A3822="c",LEFT(UPPER(B3822)&amp;REPT(" ",20),20),REPT(" ",20))</f>
        <v/>
      </c>
      <c r="X3822" s="10">
        <f>IF(A3822="C",LEFT(UPPER(C3822)&amp;REPT(" ",10),10)," ")</f>
        <v/>
      </c>
      <c r="Y3822" s="10">
        <f>IF(A3822="C",LEFT(UPPER(D3822)&amp;REPT(" ",2),2)," ")</f>
        <v/>
      </c>
      <c r="Z3822" s="10">
        <f>IF(A3822="C",LEFT(UPPER(E3822)&amp;REPT(" ",15),15)," ")</f>
        <v/>
      </c>
      <c r="AA3822" s="10">
        <f>REPT(" ",8)</f>
        <v/>
      </c>
      <c r="AB3822" s="10">
        <f>REPT(" ",4)</f>
        <v/>
      </c>
      <c r="AC3822" s="10">
        <f>LEFT(UPPER(H3822)&amp;REPT(" ",250),250)</f>
        <v/>
      </c>
      <c r="AD3822" s="10">
        <f>TEXT($G$2,"dd/mm/aaaa")</f>
        <v/>
      </c>
      <c r="AE3822" s="10">
        <f>REPT(" ",10)</f>
        <v/>
      </c>
      <c r="AF3822" s="10">
        <f>REPT(" ",20)</f>
        <v/>
      </c>
      <c r="AG3822" s="54">
        <f>REPT(" ",18-LEN(FIXED(F3822,2,TRUE)))&amp;FIXED(F3822,2,TRUE)</f>
        <v/>
      </c>
      <c r="AH3822" s="10">
        <f>LEN(AC3822)+LEN(AG3822)</f>
        <v/>
      </c>
      <c r="AI3822" s="10">
        <f>LEN(L3822)</f>
        <v/>
      </c>
    </row>
    <row r="3823">
      <c r="J3823" s="12">
        <f>IF(F3823&lt;&gt;0,"LANÇAR","")</f>
        <v/>
      </c>
      <c r="L3823" s="13">
        <f>N3823&amp;O3823&amp;P3823&amp;Q3823&amp;R3823&amp;S3823&amp;T3823&amp;U3823&amp;V3823&amp;W3823&amp;X3823&amp;Y3823&amp;Z3823&amp;AA3823&amp;AB3823&amp;AC3823&amp;AD3823&amp;AE3823&amp;AF3823&amp;AG3823</f>
        <v/>
      </c>
      <c r="N3823" s="10">
        <f>TEXT($B$6,"00")</f>
        <v/>
      </c>
      <c r="O3823" s="10">
        <f>REPT(" ",8)</f>
        <v/>
      </c>
      <c r="P3823" s="10">
        <f>RIGHT($B$4,2)</f>
        <v/>
      </c>
      <c r="Q3823" s="10">
        <f>RIGHT($B$5,3)</f>
        <v/>
      </c>
      <c r="R3823" s="10">
        <f>IF(A3823="D",LEFT(UPPER(B3823)&amp;REPT(" ",20),20),REPT(" ",20))</f>
        <v/>
      </c>
      <c r="S3823" s="10">
        <f>IF(A3823="D",LEFT(UPPER(C3823)&amp;REPT(" ",10),10)," ")</f>
        <v/>
      </c>
      <c r="T3823" s="10">
        <f>IF(A3823="D",LEFT(UPPER(D3823)&amp;REPT(" ",2),2)," ")</f>
        <v/>
      </c>
      <c r="U3823" s="10">
        <f>IF(A3823="D",LEFT(UPPER(E3823)&amp;REPT(" ",15),15)," ")</f>
        <v/>
      </c>
      <c r="V3823" s="10">
        <f>REPT(" ",24)</f>
        <v/>
      </c>
      <c r="W3823" s="10">
        <f>IF(A3823="c",LEFT(UPPER(B3823)&amp;REPT(" ",20),20),REPT(" ",20))</f>
        <v/>
      </c>
      <c r="X3823" s="10">
        <f>IF(A3823="C",LEFT(UPPER(C3823)&amp;REPT(" ",10),10)," ")</f>
        <v/>
      </c>
      <c r="Y3823" s="10">
        <f>IF(A3823="C",LEFT(UPPER(D3823)&amp;REPT(" ",2),2)," ")</f>
        <v/>
      </c>
      <c r="Z3823" s="10">
        <f>IF(A3823="C",LEFT(UPPER(E3823)&amp;REPT(" ",15),15)," ")</f>
        <v/>
      </c>
      <c r="AA3823" s="10">
        <f>REPT(" ",8)</f>
        <v/>
      </c>
      <c r="AB3823" s="10">
        <f>REPT(" ",4)</f>
        <v/>
      </c>
      <c r="AC3823" s="10">
        <f>LEFT(UPPER(H3823)&amp;REPT(" ",250),250)</f>
        <v/>
      </c>
      <c r="AD3823" s="10">
        <f>TEXT($G$2,"dd/mm/aaaa")</f>
        <v/>
      </c>
      <c r="AE3823" s="10">
        <f>REPT(" ",10)</f>
        <v/>
      </c>
      <c r="AF3823" s="10">
        <f>REPT(" ",20)</f>
        <v/>
      </c>
      <c r="AG3823" s="54">
        <f>REPT(" ",18-LEN(FIXED(F3823,2,TRUE)))&amp;FIXED(F3823,2,TRUE)</f>
        <v/>
      </c>
      <c r="AH3823" s="10">
        <f>LEN(AC3823)+LEN(AG3823)</f>
        <v/>
      </c>
      <c r="AI3823" s="10">
        <f>LEN(L3823)</f>
        <v/>
      </c>
    </row>
    <row r="3824">
      <c r="J3824" s="12">
        <f>IF(F3824&lt;&gt;0,"LANÇAR","")</f>
        <v/>
      </c>
      <c r="L3824" s="13">
        <f>N3824&amp;O3824&amp;P3824&amp;Q3824&amp;R3824&amp;S3824&amp;T3824&amp;U3824&amp;V3824&amp;W3824&amp;X3824&amp;Y3824&amp;Z3824&amp;AA3824&amp;AB3824&amp;AC3824&amp;AD3824&amp;AE3824&amp;AF3824&amp;AG3824</f>
        <v/>
      </c>
      <c r="N3824" s="10">
        <f>TEXT($B$6,"00")</f>
        <v/>
      </c>
      <c r="O3824" s="10">
        <f>REPT(" ",8)</f>
        <v/>
      </c>
      <c r="P3824" s="10">
        <f>RIGHT($B$4,2)</f>
        <v/>
      </c>
      <c r="Q3824" s="10">
        <f>RIGHT($B$5,3)</f>
        <v/>
      </c>
      <c r="R3824" s="10">
        <f>IF(A3824="D",LEFT(UPPER(B3824)&amp;REPT(" ",20),20),REPT(" ",20))</f>
        <v/>
      </c>
      <c r="S3824" s="10">
        <f>IF(A3824="D",LEFT(UPPER(C3824)&amp;REPT(" ",10),10)," ")</f>
        <v/>
      </c>
      <c r="T3824" s="10">
        <f>IF(A3824="D",LEFT(UPPER(D3824)&amp;REPT(" ",2),2)," ")</f>
        <v/>
      </c>
      <c r="U3824" s="10">
        <f>IF(A3824="D",LEFT(UPPER(E3824)&amp;REPT(" ",15),15)," ")</f>
        <v/>
      </c>
      <c r="V3824" s="10">
        <f>REPT(" ",24)</f>
        <v/>
      </c>
      <c r="W3824" s="10">
        <f>IF(A3824="c",LEFT(UPPER(B3824)&amp;REPT(" ",20),20),REPT(" ",20))</f>
        <v/>
      </c>
      <c r="X3824" s="10">
        <f>IF(A3824="C",LEFT(UPPER(C3824)&amp;REPT(" ",10),10)," ")</f>
        <v/>
      </c>
      <c r="Y3824" s="10">
        <f>IF(A3824="C",LEFT(UPPER(D3824)&amp;REPT(" ",2),2)," ")</f>
        <v/>
      </c>
      <c r="Z3824" s="10">
        <f>IF(A3824="C",LEFT(UPPER(E3824)&amp;REPT(" ",15),15)," ")</f>
        <v/>
      </c>
      <c r="AA3824" s="10">
        <f>REPT(" ",8)</f>
        <v/>
      </c>
      <c r="AB3824" s="10">
        <f>REPT(" ",4)</f>
        <v/>
      </c>
      <c r="AC3824" s="10">
        <f>LEFT(UPPER(H3824)&amp;REPT(" ",250),250)</f>
        <v/>
      </c>
      <c r="AD3824" s="10">
        <f>TEXT($G$2,"dd/mm/aaaa")</f>
        <v/>
      </c>
      <c r="AE3824" s="10">
        <f>REPT(" ",10)</f>
        <v/>
      </c>
      <c r="AF3824" s="10">
        <f>REPT(" ",20)</f>
        <v/>
      </c>
      <c r="AG3824" s="54">
        <f>REPT(" ",18-LEN(FIXED(F3824,2,TRUE)))&amp;FIXED(F3824,2,TRUE)</f>
        <v/>
      </c>
      <c r="AH3824" s="10">
        <f>LEN(AC3824)+LEN(AG3824)</f>
        <v/>
      </c>
      <c r="AI3824" s="10">
        <f>LEN(L3824)</f>
        <v/>
      </c>
    </row>
    <row r="3825">
      <c r="J3825" s="12">
        <f>IF(F3825&lt;&gt;0,"LANÇAR","")</f>
        <v/>
      </c>
      <c r="L3825" s="13">
        <f>N3825&amp;O3825&amp;P3825&amp;Q3825&amp;R3825&amp;S3825&amp;T3825&amp;U3825&amp;V3825&amp;W3825&amp;X3825&amp;Y3825&amp;Z3825&amp;AA3825&amp;AB3825&amp;AC3825&amp;AD3825&amp;AE3825&amp;AF3825&amp;AG3825</f>
        <v/>
      </c>
      <c r="N3825" s="10">
        <f>TEXT($B$6,"00")</f>
        <v/>
      </c>
      <c r="O3825" s="10">
        <f>REPT(" ",8)</f>
        <v/>
      </c>
      <c r="P3825" s="10">
        <f>RIGHT($B$4,2)</f>
        <v/>
      </c>
      <c r="Q3825" s="10">
        <f>RIGHT($B$5,3)</f>
        <v/>
      </c>
      <c r="R3825" s="10">
        <f>IF(A3825="D",LEFT(UPPER(B3825)&amp;REPT(" ",20),20),REPT(" ",20))</f>
        <v/>
      </c>
      <c r="S3825" s="10">
        <f>IF(A3825="D",LEFT(UPPER(C3825)&amp;REPT(" ",10),10)," ")</f>
        <v/>
      </c>
      <c r="T3825" s="10">
        <f>IF(A3825="D",LEFT(UPPER(D3825)&amp;REPT(" ",2),2)," ")</f>
        <v/>
      </c>
      <c r="U3825" s="10">
        <f>IF(A3825="D",LEFT(UPPER(E3825)&amp;REPT(" ",15),15)," ")</f>
        <v/>
      </c>
      <c r="V3825" s="10">
        <f>REPT(" ",24)</f>
        <v/>
      </c>
      <c r="W3825" s="10">
        <f>IF(A3825="c",LEFT(UPPER(B3825)&amp;REPT(" ",20),20),REPT(" ",20))</f>
        <v/>
      </c>
      <c r="X3825" s="10">
        <f>IF(A3825="C",LEFT(UPPER(C3825)&amp;REPT(" ",10),10)," ")</f>
        <v/>
      </c>
      <c r="Y3825" s="10">
        <f>IF(A3825="C",LEFT(UPPER(D3825)&amp;REPT(" ",2),2)," ")</f>
        <v/>
      </c>
      <c r="Z3825" s="10">
        <f>IF(A3825="C",LEFT(UPPER(E3825)&amp;REPT(" ",15),15)," ")</f>
        <v/>
      </c>
      <c r="AA3825" s="10">
        <f>REPT(" ",8)</f>
        <v/>
      </c>
      <c r="AB3825" s="10">
        <f>REPT(" ",4)</f>
        <v/>
      </c>
      <c r="AC3825" s="10">
        <f>LEFT(UPPER(H3825)&amp;REPT(" ",250),250)</f>
        <v/>
      </c>
      <c r="AD3825" s="10">
        <f>TEXT($G$2,"dd/mm/aaaa")</f>
        <v/>
      </c>
      <c r="AE3825" s="10">
        <f>REPT(" ",10)</f>
        <v/>
      </c>
      <c r="AF3825" s="10">
        <f>REPT(" ",20)</f>
        <v/>
      </c>
      <c r="AG3825" s="54">
        <f>REPT(" ",18-LEN(FIXED(F3825,2,TRUE)))&amp;FIXED(F3825,2,TRUE)</f>
        <v/>
      </c>
      <c r="AH3825" s="10">
        <f>LEN(AC3825)+LEN(AG3825)</f>
        <v/>
      </c>
      <c r="AI3825" s="10">
        <f>LEN(L3825)</f>
        <v/>
      </c>
    </row>
    <row r="3826">
      <c r="J3826" s="12">
        <f>IF(F3826&lt;&gt;0,"LANÇAR","")</f>
        <v/>
      </c>
      <c r="L3826" s="13">
        <f>N3826&amp;O3826&amp;P3826&amp;Q3826&amp;R3826&amp;S3826&amp;T3826&amp;U3826&amp;V3826&amp;W3826&amp;X3826&amp;Y3826&amp;Z3826&amp;AA3826&amp;AB3826&amp;AC3826&amp;AD3826&amp;AE3826&amp;AF3826&amp;AG3826</f>
        <v/>
      </c>
      <c r="N3826" s="10">
        <f>TEXT($B$6,"00")</f>
        <v/>
      </c>
      <c r="O3826" s="10">
        <f>REPT(" ",8)</f>
        <v/>
      </c>
      <c r="P3826" s="10">
        <f>RIGHT($B$4,2)</f>
        <v/>
      </c>
      <c r="Q3826" s="10">
        <f>RIGHT($B$5,3)</f>
        <v/>
      </c>
      <c r="R3826" s="10">
        <f>IF(A3826="D",LEFT(UPPER(B3826)&amp;REPT(" ",20),20),REPT(" ",20))</f>
        <v/>
      </c>
      <c r="S3826" s="10">
        <f>IF(A3826="D",LEFT(UPPER(C3826)&amp;REPT(" ",10),10)," ")</f>
        <v/>
      </c>
      <c r="T3826" s="10">
        <f>IF(A3826="D",LEFT(UPPER(D3826)&amp;REPT(" ",2),2)," ")</f>
        <v/>
      </c>
      <c r="U3826" s="10">
        <f>IF(A3826="D",LEFT(UPPER(E3826)&amp;REPT(" ",15),15)," ")</f>
        <v/>
      </c>
      <c r="V3826" s="10">
        <f>REPT(" ",24)</f>
        <v/>
      </c>
      <c r="W3826" s="10">
        <f>IF(A3826="c",LEFT(UPPER(B3826)&amp;REPT(" ",20),20),REPT(" ",20))</f>
        <v/>
      </c>
      <c r="X3826" s="10">
        <f>IF(A3826="C",LEFT(UPPER(C3826)&amp;REPT(" ",10),10)," ")</f>
        <v/>
      </c>
      <c r="Y3826" s="10">
        <f>IF(A3826="C",LEFT(UPPER(D3826)&amp;REPT(" ",2),2)," ")</f>
        <v/>
      </c>
      <c r="Z3826" s="10">
        <f>IF(A3826="C",LEFT(UPPER(E3826)&amp;REPT(" ",15),15)," ")</f>
        <v/>
      </c>
      <c r="AA3826" s="10">
        <f>REPT(" ",8)</f>
        <v/>
      </c>
      <c r="AB3826" s="10">
        <f>REPT(" ",4)</f>
        <v/>
      </c>
      <c r="AC3826" s="10">
        <f>LEFT(UPPER(H3826)&amp;REPT(" ",250),250)</f>
        <v/>
      </c>
      <c r="AD3826" s="10">
        <f>TEXT($G$2,"dd/mm/aaaa")</f>
        <v/>
      </c>
      <c r="AE3826" s="10">
        <f>REPT(" ",10)</f>
        <v/>
      </c>
      <c r="AF3826" s="10">
        <f>REPT(" ",20)</f>
        <v/>
      </c>
      <c r="AG3826" s="54">
        <f>REPT(" ",18-LEN(FIXED(F3826,2,TRUE)))&amp;FIXED(F3826,2,TRUE)</f>
        <v/>
      </c>
      <c r="AH3826" s="10">
        <f>LEN(AC3826)+LEN(AG3826)</f>
        <v/>
      </c>
      <c r="AI3826" s="10">
        <f>LEN(L3826)</f>
        <v/>
      </c>
    </row>
    <row r="3827">
      <c r="J3827" s="12">
        <f>IF(F3827&lt;&gt;0,"LANÇAR","")</f>
        <v/>
      </c>
      <c r="L3827" s="13">
        <f>N3827&amp;O3827&amp;P3827&amp;Q3827&amp;R3827&amp;S3827&amp;T3827&amp;U3827&amp;V3827&amp;W3827&amp;X3827&amp;Y3827&amp;Z3827&amp;AA3827&amp;AB3827&amp;AC3827&amp;AD3827&amp;AE3827&amp;AF3827&amp;AG3827</f>
        <v/>
      </c>
      <c r="N3827" s="10">
        <f>TEXT($B$6,"00")</f>
        <v/>
      </c>
      <c r="O3827" s="10">
        <f>REPT(" ",8)</f>
        <v/>
      </c>
      <c r="P3827" s="10">
        <f>RIGHT($B$4,2)</f>
        <v/>
      </c>
      <c r="Q3827" s="10">
        <f>RIGHT($B$5,3)</f>
        <v/>
      </c>
      <c r="R3827" s="10">
        <f>IF(A3827="D",LEFT(UPPER(B3827)&amp;REPT(" ",20),20),REPT(" ",20))</f>
        <v/>
      </c>
      <c r="S3827" s="10">
        <f>IF(A3827="D",LEFT(UPPER(C3827)&amp;REPT(" ",10),10)," ")</f>
        <v/>
      </c>
      <c r="T3827" s="10">
        <f>IF(A3827="D",LEFT(UPPER(D3827)&amp;REPT(" ",2),2)," ")</f>
        <v/>
      </c>
      <c r="U3827" s="10">
        <f>IF(A3827="D",LEFT(UPPER(E3827)&amp;REPT(" ",15),15)," ")</f>
        <v/>
      </c>
      <c r="V3827" s="10">
        <f>REPT(" ",24)</f>
        <v/>
      </c>
      <c r="W3827" s="10">
        <f>IF(A3827="c",LEFT(UPPER(B3827)&amp;REPT(" ",20),20),REPT(" ",20))</f>
        <v/>
      </c>
      <c r="X3827" s="10">
        <f>IF(A3827="C",LEFT(UPPER(C3827)&amp;REPT(" ",10),10)," ")</f>
        <v/>
      </c>
      <c r="Y3827" s="10">
        <f>IF(A3827="C",LEFT(UPPER(D3827)&amp;REPT(" ",2),2)," ")</f>
        <v/>
      </c>
      <c r="Z3827" s="10">
        <f>IF(A3827="C",LEFT(UPPER(E3827)&amp;REPT(" ",15),15)," ")</f>
        <v/>
      </c>
      <c r="AA3827" s="10">
        <f>REPT(" ",8)</f>
        <v/>
      </c>
      <c r="AB3827" s="10">
        <f>REPT(" ",4)</f>
        <v/>
      </c>
      <c r="AC3827" s="10">
        <f>LEFT(UPPER(H3827)&amp;REPT(" ",250),250)</f>
        <v/>
      </c>
      <c r="AD3827" s="10">
        <f>TEXT($G$2,"dd/mm/aaaa")</f>
        <v/>
      </c>
      <c r="AE3827" s="10">
        <f>REPT(" ",10)</f>
        <v/>
      </c>
      <c r="AF3827" s="10">
        <f>REPT(" ",20)</f>
        <v/>
      </c>
      <c r="AG3827" s="54">
        <f>REPT(" ",18-LEN(FIXED(F3827,2,TRUE)))&amp;FIXED(F3827,2,TRUE)</f>
        <v/>
      </c>
      <c r="AH3827" s="10">
        <f>LEN(AC3827)+LEN(AG3827)</f>
        <v/>
      </c>
      <c r="AI3827" s="10">
        <f>LEN(L3827)</f>
        <v/>
      </c>
    </row>
    <row r="3828">
      <c r="J3828" s="12">
        <f>IF(F3828&lt;&gt;0,"LANÇAR","")</f>
        <v/>
      </c>
      <c r="L3828" s="13">
        <f>N3828&amp;O3828&amp;P3828&amp;Q3828&amp;R3828&amp;S3828&amp;T3828&amp;U3828&amp;V3828&amp;W3828&amp;X3828&amp;Y3828&amp;Z3828&amp;AA3828&amp;AB3828&amp;AC3828&amp;AD3828&amp;AE3828&amp;AF3828&amp;AG3828</f>
        <v/>
      </c>
      <c r="N3828" s="10">
        <f>TEXT($B$6,"00")</f>
        <v/>
      </c>
      <c r="O3828" s="10">
        <f>REPT(" ",8)</f>
        <v/>
      </c>
      <c r="P3828" s="10">
        <f>RIGHT($B$4,2)</f>
        <v/>
      </c>
      <c r="Q3828" s="10">
        <f>RIGHT($B$5,3)</f>
        <v/>
      </c>
      <c r="R3828" s="10">
        <f>IF(A3828="D",LEFT(UPPER(B3828)&amp;REPT(" ",20),20),REPT(" ",20))</f>
        <v/>
      </c>
      <c r="S3828" s="10">
        <f>IF(A3828="D",LEFT(UPPER(C3828)&amp;REPT(" ",10),10)," ")</f>
        <v/>
      </c>
      <c r="T3828" s="10">
        <f>IF(A3828="D",LEFT(UPPER(D3828)&amp;REPT(" ",2),2)," ")</f>
        <v/>
      </c>
      <c r="U3828" s="10">
        <f>IF(A3828="D",LEFT(UPPER(E3828)&amp;REPT(" ",15),15)," ")</f>
        <v/>
      </c>
      <c r="V3828" s="10">
        <f>REPT(" ",24)</f>
        <v/>
      </c>
      <c r="W3828" s="10">
        <f>IF(A3828="c",LEFT(UPPER(B3828)&amp;REPT(" ",20),20),REPT(" ",20))</f>
        <v/>
      </c>
      <c r="X3828" s="10">
        <f>IF(A3828="C",LEFT(UPPER(C3828)&amp;REPT(" ",10),10)," ")</f>
        <v/>
      </c>
      <c r="Y3828" s="10">
        <f>IF(A3828="C",LEFT(UPPER(D3828)&amp;REPT(" ",2),2)," ")</f>
        <v/>
      </c>
      <c r="Z3828" s="10">
        <f>IF(A3828="C",LEFT(UPPER(E3828)&amp;REPT(" ",15),15)," ")</f>
        <v/>
      </c>
      <c r="AA3828" s="10">
        <f>REPT(" ",8)</f>
        <v/>
      </c>
      <c r="AB3828" s="10">
        <f>REPT(" ",4)</f>
        <v/>
      </c>
      <c r="AC3828" s="10">
        <f>LEFT(UPPER(H3828)&amp;REPT(" ",250),250)</f>
        <v/>
      </c>
      <c r="AD3828" s="10">
        <f>TEXT($G$2,"dd/mm/aaaa")</f>
        <v/>
      </c>
      <c r="AE3828" s="10">
        <f>REPT(" ",10)</f>
        <v/>
      </c>
      <c r="AF3828" s="10">
        <f>REPT(" ",20)</f>
        <v/>
      </c>
      <c r="AG3828" s="54">
        <f>REPT(" ",18-LEN(FIXED(F3828,2,TRUE)))&amp;FIXED(F3828,2,TRUE)</f>
        <v/>
      </c>
      <c r="AH3828" s="10">
        <f>LEN(AC3828)+LEN(AG3828)</f>
        <v/>
      </c>
      <c r="AI3828" s="10">
        <f>LEN(L3828)</f>
        <v/>
      </c>
    </row>
    <row r="3829">
      <c r="J3829" s="12">
        <f>IF(F3829&lt;&gt;0,"LANÇAR","")</f>
        <v/>
      </c>
      <c r="L3829" s="13">
        <f>N3829&amp;O3829&amp;P3829&amp;Q3829&amp;R3829&amp;S3829&amp;T3829&amp;U3829&amp;V3829&amp;W3829&amp;X3829&amp;Y3829&amp;Z3829&amp;AA3829&amp;AB3829&amp;AC3829&amp;AD3829&amp;AE3829&amp;AF3829&amp;AG3829</f>
        <v/>
      </c>
      <c r="N3829" s="10">
        <f>TEXT($B$6,"00")</f>
        <v/>
      </c>
      <c r="O3829" s="10">
        <f>REPT(" ",8)</f>
        <v/>
      </c>
      <c r="P3829" s="10">
        <f>RIGHT($B$4,2)</f>
        <v/>
      </c>
      <c r="Q3829" s="10">
        <f>RIGHT($B$5,3)</f>
        <v/>
      </c>
      <c r="R3829" s="10">
        <f>IF(A3829="D",LEFT(UPPER(B3829)&amp;REPT(" ",20),20),REPT(" ",20))</f>
        <v/>
      </c>
      <c r="S3829" s="10">
        <f>IF(A3829="D",LEFT(UPPER(C3829)&amp;REPT(" ",10),10)," ")</f>
        <v/>
      </c>
      <c r="T3829" s="10">
        <f>IF(A3829="D",LEFT(UPPER(D3829)&amp;REPT(" ",2),2)," ")</f>
        <v/>
      </c>
      <c r="U3829" s="10">
        <f>IF(A3829="D",LEFT(UPPER(E3829)&amp;REPT(" ",15),15)," ")</f>
        <v/>
      </c>
      <c r="V3829" s="10">
        <f>REPT(" ",24)</f>
        <v/>
      </c>
      <c r="W3829" s="10">
        <f>IF(A3829="c",LEFT(UPPER(B3829)&amp;REPT(" ",20),20),REPT(" ",20))</f>
        <v/>
      </c>
      <c r="X3829" s="10">
        <f>IF(A3829="C",LEFT(UPPER(C3829)&amp;REPT(" ",10),10)," ")</f>
        <v/>
      </c>
      <c r="Y3829" s="10">
        <f>IF(A3829="C",LEFT(UPPER(D3829)&amp;REPT(" ",2),2)," ")</f>
        <v/>
      </c>
      <c r="Z3829" s="10">
        <f>IF(A3829="C",LEFT(UPPER(E3829)&amp;REPT(" ",15),15)," ")</f>
        <v/>
      </c>
      <c r="AA3829" s="10">
        <f>REPT(" ",8)</f>
        <v/>
      </c>
      <c r="AB3829" s="10">
        <f>REPT(" ",4)</f>
        <v/>
      </c>
      <c r="AC3829" s="10">
        <f>LEFT(UPPER(H3829)&amp;REPT(" ",250),250)</f>
        <v/>
      </c>
      <c r="AD3829" s="10">
        <f>TEXT($G$2,"dd/mm/aaaa")</f>
        <v/>
      </c>
      <c r="AE3829" s="10">
        <f>REPT(" ",10)</f>
        <v/>
      </c>
      <c r="AF3829" s="10">
        <f>REPT(" ",20)</f>
        <v/>
      </c>
      <c r="AG3829" s="54">
        <f>REPT(" ",18-LEN(FIXED(F3829,2,TRUE)))&amp;FIXED(F3829,2,TRUE)</f>
        <v/>
      </c>
      <c r="AH3829" s="10">
        <f>LEN(AC3829)+LEN(AG3829)</f>
        <v/>
      </c>
      <c r="AI3829" s="10">
        <f>LEN(L3829)</f>
        <v/>
      </c>
    </row>
    <row r="3830">
      <c r="J3830" s="12">
        <f>IF(F3830&lt;&gt;0,"LANÇAR","")</f>
        <v/>
      </c>
      <c r="L3830" s="13">
        <f>N3830&amp;O3830&amp;P3830&amp;Q3830&amp;R3830&amp;S3830&amp;T3830&amp;U3830&amp;V3830&amp;W3830&amp;X3830&amp;Y3830&amp;Z3830&amp;AA3830&amp;AB3830&amp;AC3830&amp;AD3830&amp;AE3830&amp;AF3830&amp;AG3830</f>
        <v/>
      </c>
      <c r="N3830" s="10">
        <f>TEXT($B$6,"00")</f>
        <v/>
      </c>
      <c r="O3830" s="10">
        <f>REPT(" ",8)</f>
        <v/>
      </c>
      <c r="P3830" s="10">
        <f>RIGHT($B$4,2)</f>
        <v/>
      </c>
      <c r="Q3830" s="10">
        <f>RIGHT($B$5,3)</f>
        <v/>
      </c>
      <c r="R3830" s="10">
        <f>IF(A3830="D",LEFT(UPPER(B3830)&amp;REPT(" ",20),20),REPT(" ",20))</f>
        <v/>
      </c>
      <c r="S3830" s="10">
        <f>IF(A3830="D",LEFT(UPPER(C3830)&amp;REPT(" ",10),10)," ")</f>
        <v/>
      </c>
      <c r="T3830" s="10">
        <f>IF(A3830="D",LEFT(UPPER(D3830)&amp;REPT(" ",2),2)," ")</f>
        <v/>
      </c>
      <c r="U3830" s="10">
        <f>IF(A3830="D",LEFT(UPPER(E3830)&amp;REPT(" ",15),15)," ")</f>
        <v/>
      </c>
      <c r="V3830" s="10">
        <f>REPT(" ",24)</f>
        <v/>
      </c>
      <c r="W3830" s="10">
        <f>IF(A3830="c",LEFT(UPPER(B3830)&amp;REPT(" ",20),20),REPT(" ",20))</f>
        <v/>
      </c>
      <c r="X3830" s="10">
        <f>IF(A3830="C",LEFT(UPPER(C3830)&amp;REPT(" ",10),10)," ")</f>
        <v/>
      </c>
      <c r="Y3830" s="10">
        <f>IF(A3830="C",LEFT(UPPER(D3830)&amp;REPT(" ",2),2)," ")</f>
        <v/>
      </c>
      <c r="Z3830" s="10">
        <f>IF(A3830="C",LEFT(UPPER(E3830)&amp;REPT(" ",15),15)," ")</f>
        <v/>
      </c>
      <c r="AA3830" s="10">
        <f>REPT(" ",8)</f>
        <v/>
      </c>
      <c r="AB3830" s="10">
        <f>REPT(" ",4)</f>
        <v/>
      </c>
      <c r="AC3830" s="10">
        <f>LEFT(UPPER(H3830)&amp;REPT(" ",250),250)</f>
        <v/>
      </c>
      <c r="AD3830" s="10">
        <f>TEXT($G$2,"dd/mm/aaaa")</f>
        <v/>
      </c>
      <c r="AE3830" s="10">
        <f>REPT(" ",10)</f>
        <v/>
      </c>
      <c r="AF3830" s="10">
        <f>REPT(" ",20)</f>
        <v/>
      </c>
      <c r="AG3830" s="54">
        <f>REPT(" ",18-LEN(FIXED(F3830,2,TRUE)))&amp;FIXED(F3830,2,TRUE)</f>
        <v/>
      </c>
      <c r="AH3830" s="10">
        <f>LEN(AC3830)+LEN(AG3830)</f>
        <v/>
      </c>
      <c r="AI3830" s="10">
        <f>LEN(L3830)</f>
        <v/>
      </c>
    </row>
    <row r="3831">
      <c r="J3831" s="12">
        <f>IF(F3831&lt;&gt;0,"LANÇAR","")</f>
        <v/>
      </c>
      <c r="L3831" s="13">
        <f>N3831&amp;O3831&amp;P3831&amp;Q3831&amp;R3831&amp;S3831&amp;T3831&amp;U3831&amp;V3831&amp;W3831&amp;X3831&amp;Y3831&amp;Z3831&amp;AA3831&amp;AB3831&amp;AC3831&amp;AD3831&amp;AE3831&amp;AF3831&amp;AG3831</f>
        <v/>
      </c>
      <c r="N3831" s="10">
        <f>TEXT($B$6,"00")</f>
        <v/>
      </c>
      <c r="O3831" s="10">
        <f>REPT(" ",8)</f>
        <v/>
      </c>
      <c r="P3831" s="10">
        <f>RIGHT($B$4,2)</f>
        <v/>
      </c>
      <c r="Q3831" s="10">
        <f>RIGHT($B$5,3)</f>
        <v/>
      </c>
      <c r="R3831" s="10">
        <f>IF(A3831="D",LEFT(UPPER(B3831)&amp;REPT(" ",20),20),REPT(" ",20))</f>
        <v/>
      </c>
      <c r="S3831" s="10">
        <f>IF(A3831="D",LEFT(UPPER(C3831)&amp;REPT(" ",10),10)," ")</f>
        <v/>
      </c>
      <c r="T3831" s="10">
        <f>IF(A3831="D",LEFT(UPPER(D3831)&amp;REPT(" ",2),2)," ")</f>
        <v/>
      </c>
      <c r="U3831" s="10">
        <f>IF(A3831="D",LEFT(UPPER(E3831)&amp;REPT(" ",15),15)," ")</f>
        <v/>
      </c>
      <c r="V3831" s="10">
        <f>REPT(" ",24)</f>
        <v/>
      </c>
      <c r="W3831" s="10">
        <f>IF(A3831="c",LEFT(UPPER(B3831)&amp;REPT(" ",20),20),REPT(" ",20))</f>
        <v/>
      </c>
      <c r="X3831" s="10">
        <f>IF(A3831="C",LEFT(UPPER(C3831)&amp;REPT(" ",10),10)," ")</f>
        <v/>
      </c>
      <c r="Y3831" s="10">
        <f>IF(A3831="C",LEFT(UPPER(D3831)&amp;REPT(" ",2),2)," ")</f>
        <v/>
      </c>
      <c r="Z3831" s="10">
        <f>IF(A3831="C",LEFT(UPPER(E3831)&amp;REPT(" ",15),15)," ")</f>
        <v/>
      </c>
      <c r="AA3831" s="10">
        <f>REPT(" ",8)</f>
        <v/>
      </c>
      <c r="AB3831" s="10">
        <f>REPT(" ",4)</f>
        <v/>
      </c>
      <c r="AC3831" s="10">
        <f>LEFT(UPPER(H3831)&amp;REPT(" ",250),250)</f>
        <v/>
      </c>
      <c r="AD3831" s="10">
        <f>TEXT($G$2,"dd/mm/aaaa")</f>
        <v/>
      </c>
      <c r="AE3831" s="10">
        <f>REPT(" ",10)</f>
        <v/>
      </c>
      <c r="AF3831" s="10">
        <f>REPT(" ",20)</f>
        <v/>
      </c>
      <c r="AG3831" s="54">
        <f>REPT(" ",18-LEN(FIXED(F3831,2,TRUE)))&amp;FIXED(F3831,2,TRUE)</f>
        <v/>
      </c>
      <c r="AH3831" s="10">
        <f>LEN(AC3831)+LEN(AG3831)</f>
        <v/>
      </c>
      <c r="AI3831" s="10">
        <f>LEN(L3831)</f>
        <v/>
      </c>
    </row>
    <row r="3832">
      <c r="J3832" s="12">
        <f>IF(F3832&lt;&gt;0,"LANÇAR","")</f>
        <v/>
      </c>
      <c r="L3832" s="13">
        <f>N3832&amp;O3832&amp;P3832&amp;Q3832&amp;R3832&amp;S3832&amp;T3832&amp;U3832&amp;V3832&amp;W3832&amp;X3832&amp;Y3832&amp;Z3832&amp;AA3832&amp;AB3832&amp;AC3832&amp;AD3832&amp;AE3832&amp;AF3832&amp;AG3832</f>
        <v/>
      </c>
      <c r="N3832" s="10">
        <f>TEXT($B$6,"00")</f>
        <v/>
      </c>
      <c r="O3832" s="10">
        <f>REPT(" ",8)</f>
        <v/>
      </c>
      <c r="P3832" s="10">
        <f>RIGHT($B$4,2)</f>
        <v/>
      </c>
      <c r="Q3832" s="10">
        <f>RIGHT($B$5,3)</f>
        <v/>
      </c>
      <c r="R3832" s="10">
        <f>IF(A3832="D",LEFT(UPPER(B3832)&amp;REPT(" ",20),20),REPT(" ",20))</f>
        <v/>
      </c>
      <c r="S3832" s="10">
        <f>IF(A3832="D",LEFT(UPPER(C3832)&amp;REPT(" ",10),10)," ")</f>
        <v/>
      </c>
      <c r="T3832" s="10">
        <f>IF(A3832="D",LEFT(UPPER(D3832)&amp;REPT(" ",2),2)," ")</f>
        <v/>
      </c>
      <c r="U3832" s="10">
        <f>IF(A3832="D",LEFT(UPPER(E3832)&amp;REPT(" ",15),15)," ")</f>
        <v/>
      </c>
      <c r="V3832" s="10">
        <f>REPT(" ",24)</f>
        <v/>
      </c>
      <c r="W3832" s="10">
        <f>IF(A3832="c",LEFT(UPPER(B3832)&amp;REPT(" ",20),20),REPT(" ",20))</f>
        <v/>
      </c>
      <c r="X3832" s="10">
        <f>IF(A3832="C",LEFT(UPPER(C3832)&amp;REPT(" ",10),10)," ")</f>
        <v/>
      </c>
      <c r="Y3832" s="10">
        <f>IF(A3832="C",LEFT(UPPER(D3832)&amp;REPT(" ",2),2)," ")</f>
        <v/>
      </c>
      <c r="Z3832" s="10">
        <f>IF(A3832="C",LEFT(UPPER(E3832)&amp;REPT(" ",15),15)," ")</f>
        <v/>
      </c>
      <c r="AA3832" s="10">
        <f>REPT(" ",8)</f>
        <v/>
      </c>
      <c r="AB3832" s="10">
        <f>REPT(" ",4)</f>
        <v/>
      </c>
      <c r="AC3832" s="10">
        <f>LEFT(UPPER(H3832)&amp;REPT(" ",250),250)</f>
        <v/>
      </c>
      <c r="AD3832" s="10">
        <f>TEXT($G$2,"dd/mm/aaaa")</f>
        <v/>
      </c>
      <c r="AE3832" s="10">
        <f>REPT(" ",10)</f>
        <v/>
      </c>
      <c r="AF3832" s="10">
        <f>REPT(" ",20)</f>
        <v/>
      </c>
      <c r="AG3832" s="54">
        <f>REPT(" ",18-LEN(FIXED(F3832,2,TRUE)))&amp;FIXED(F3832,2,TRUE)</f>
        <v/>
      </c>
      <c r="AH3832" s="10">
        <f>LEN(AC3832)+LEN(AG3832)</f>
        <v/>
      </c>
      <c r="AI3832" s="10">
        <f>LEN(L3832)</f>
        <v/>
      </c>
    </row>
    <row r="3833">
      <c r="J3833" s="12">
        <f>IF(F3833&lt;&gt;0,"LANÇAR","")</f>
        <v/>
      </c>
      <c r="L3833" s="13">
        <f>N3833&amp;O3833&amp;P3833&amp;Q3833&amp;R3833&amp;S3833&amp;T3833&amp;U3833&amp;V3833&amp;W3833&amp;X3833&amp;Y3833&amp;Z3833&amp;AA3833&amp;AB3833&amp;AC3833&amp;AD3833&amp;AE3833&amp;AF3833&amp;AG3833</f>
        <v/>
      </c>
      <c r="N3833" s="10">
        <f>TEXT($B$6,"00")</f>
        <v/>
      </c>
      <c r="O3833" s="10">
        <f>REPT(" ",8)</f>
        <v/>
      </c>
      <c r="P3833" s="10">
        <f>RIGHT($B$4,2)</f>
        <v/>
      </c>
      <c r="Q3833" s="10">
        <f>RIGHT($B$5,3)</f>
        <v/>
      </c>
      <c r="R3833" s="10">
        <f>IF(A3833="D",LEFT(UPPER(B3833)&amp;REPT(" ",20),20),REPT(" ",20))</f>
        <v/>
      </c>
      <c r="S3833" s="10">
        <f>IF(A3833="D",LEFT(UPPER(C3833)&amp;REPT(" ",10),10)," ")</f>
        <v/>
      </c>
      <c r="T3833" s="10">
        <f>IF(A3833="D",LEFT(UPPER(D3833)&amp;REPT(" ",2),2)," ")</f>
        <v/>
      </c>
      <c r="U3833" s="10">
        <f>IF(A3833="D",LEFT(UPPER(E3833)&amp;REPT(" ",15),15)," ")</f>
        <v/>
      </c>
      <c r="V3833" s="10">
        <f>REPT(" ",24)</f>
        <v/>
      </c>
      <c r="W3833" s="10">
        <f>IF(A3833="c",LEFT(UPPER(B3833)&amp;REPT(" ",20),20),REPT(" ",20))</f>
        <v/>
      </c>
      <c r="X3833" s="10">
        <f>IF(A3833="C",LEFT(UPPER(C3833)&amp;REPT(" ",10),10)," ")</f>
        <v/>
      </c>
      <c r="Y3833" s="10">
        <f>IF(A3833="C",LEFT(UPPER(D3833)&amp;REPT(" ",2),2)," ")</f>
        <v/>
      </c>
      <c r="Z3833" s="10">
        <f>IF(A3833="C",LEFT(UPPER(E3833)&amp;REPT(" ",15),15)," ")</f>
        <v/>
      </c>
      <c r="AA3833" s="10">
        <f>REPT(" ",8)</f>
        <v/>
      </c>
      <c r="AB3833" s="10">
        <f>REPT(" ",4)</f>
        <v/>
      </c>
      <c r="AC3833" s="10">
        <f>LEFT(UPPER(H3833)&amp;REPT(" ",250),250)</f>
        <v/>
      </c>
      <c r="AD3833" s="10">
        <f>TEXT($G$2,"dd/mm/aaaa")</f>
        <v/>
      </c>
      <c r="AE3833" s="10">
        <f>REPT(" ",10)</f>
        <v/>
      </c>
      <c r="AF3833" s="10">
        <f>REPT(" ",20)</f>
        <v/>
      </c>
      <c r="AG3833" s="54">
        <f>REPT(" ",18-LEN(FIXED(F3833,2,TRUE)))&amp;FIXED(F3833,2,TRUE)</f>
        <v/>
      </c>
      <c r="AH3833" s="10">
        <f>LEN(AC3833)+LEN(AG3833)</f>
        <v/>
      </c>
      <c r="AI3833" s="10">
        <f>LEN(L3833)</f>
        <v/>
      </c>
    </row>
    <row r="3834">
      <c r="J3834" s="12">
        <f>IF(F3834&lt;&gt;0,"LANÇAR","")</f>
        <v/>
      </c>
      <c r="L3834" s="13">
        <f>N3834&amp;O3834&amp;P3834&amp;Q3834&amp;R3834&amp;S3834&amp;T3834&amp;U3834&amp;V3834&amp;W3834&amp;X3834&amp;Y3834&amp;Z3834&amp;AA3834&amp;AB3834&amp;AC3834&amp;AD3834&amp;AE3834&amp;AF3834&amp;AG3834</f>
        <v/>
      </c>
      <c r="N3834" s="10">
        <f>TEXT($B$6,"00")</f>
        <v/>
      </c>
      <c r="O3834" s="10">
        <f>REPT(" ",8)</f>
        <v/>
      </c>
      <c r="P3834" s="10">
        <f>RIGHT($B$4,2)</f>
        <v/>
      </c>
      <c r="Q3834" s="10">
        <f>RIGHT($B$5,3)</f>
        <v/>
      </c>
      <c r="R3834" s="10">
        <f>IF(A3834="D",LEFT(UPPER(B3834)&amp;REPT(" ",20),20),REPT(" ",20))</f>
        <v/>
      </c>
      <c r="S3834" s="10">
        <f>IF(A3834="D",LEFT(UPPER(C3834)&amp;REPT(" ",10),10)," ")</f>
        <v/>
      </c>
      <c r="T3834" s="10">
        <f>IF(A3834="D",LEFT(UPPER(D3834)&amp;REPT(" ",2),2)," ")</f>
        <v/>
      </c>
      <c r="U3834" s="10">
        <f>IF(A3834="D",LEFT(UPPER(E3834)&amp;REPT(" ",15),15)," ")</f>
        <v/>
      </c>
      <c r="V3834" s="10">
        <f>REPT(" ",24)</f>
        <v/>
      </c>
      <c r="W3834" s="10">
        <f>IF(A3834="c",LEFT(UPPER(B3834)&amp;REPT(" ",20),20),REPT(" ",20))</f>
        <v/>
      </c>
      <c r="X3834" s="10">
        <f>IF(A3834="C",LEFT(UPPER(C3834)&amp;REPT(" ",10),10)," ")</f>
        <v/>
      </c>
      <c r="Y3834" s="10">
        <f>IF(A3834="C",LEFT(UPPER(D3834)&amp;REPT(" ",2),2)," ")</f>
        <v/>
      </c>
      <c r="Z3834" s="10">
        <f>IF(A3834="C",LEFT(UPPER(E3834)&amp;REPT(" ",15),15)," ")</f>
        <v/>
      </c>
      <c r="AA3834" s="10">
        <f>REPT(" ",8)</f>
        <v/>
      </c>
      <c r="AB3834" s="10">
        <f>REPT(" ",4)</f>
        <v/>
      </c>
      <c r="AC3834" s="10">
        <f>LEFT(UPPER(H3834)&amp;REPT(" ",250),250)</f>
        <v/>
      </c>
      <c r="AD3834" s="10">
        <f>TEXT($G$2,"dd/mm/aaaa")</f>
        <v/>
      </c>
      <c r="AE3834" s="10">
        <f>REPT(" ",10)</f>
        <v/>
      </c>
      <c r="AF3834" s="10">
        <f>REPT(" ",20)</f>
        <v/>
      </c>
      <c r="AG3834" s="54">
        <f>REPT(" ",18-LEN(FIXED(F3834,2,TRUE)))&amp;FIXED(F3834,2,TRUE)</f>
        <v/>
      </c>
      <c r="AH3834" s="10">
        <f>LEN(AC3834)+LEN(AG3834)</f>
        <v/>
      </c>
      <c r="AI3834" s="10">
        <f>LEN(L3834)</f>
        <v/>
      </c>
    </row>
    <row r="3835">
      <c r="J3835" s="12">
        <f>IF(F3835&lt;&gt;0,"LANÇAR","")</f>
        <v/>
      </c>
      <c r="L3835" s="13">
        <f>N3835&amp;O3835&amp;P3835&amp;Q3835&amp;R3835&amp;S3835&amp;T3835&amp;U3835&amp;V3835&amp;W3835&amp;X3835&amp;Y3835&amp;Z3835&amp;AA3835&amp;AB3835&amp;AC3835&amp;AD3835&amp;AE3835&amp;AF3835&amp;AG3835</f>
        <v/>
      </c>
      <c r="N3835" s="10">
        <f>TEXT($B$6,"00")</f>
        <v/>
      </c>
      <c r="O3835" s="10">
        <f>REPT(" ",8)</f>
        <v/>
      </c>
      <c r="P3835" s="10">
        <f>RIGHT($B$4,2)</f>
        <v/>
      </c>
      <c r="Q3835" s="10">
        <f>RIGHT($B$5,3)</f>
        <v/>
      </c>
      <c r="R3835" s="10">
        <f>IF(A3835="D",LEFT(UPPER(B3835)&amp;REPT(" ",20),20),REPT(" ",20))</f>
        <v/>
      </c>
      <c r="S3835" s="10">
        <f>IF(A3835="D",LEFT(UPPER(C3835)&amp;REPT(" ",10),10)," ")</f>
        <v/>
      </c>
      <c r="T3835" s="10">
        <f>IF(A3835="D",LEFT(UPPER(D3835)&amp;REPT(" ",2),2)," ")</f>
        <v/>
      </c>
      <c r="U3835" s="10">
        <f>IF(A3835="D",LEFT(UPPER(E3835)&amp;REPT(" ",15),15)," ")</f>
        <v/>
      </c>
      <c r="V3835" s="10">
        <f>REPT(" ",24)</f>
        <v/>
      </c>
      <c r="W3835" s="10">
        <f>IF(A3835="c",LEFT(UPPER(B3835)&amp;REPT(" ",20),20),REPT(" ",20))</f>
        <v/>
      </c>
      <c r="X3835" s="10">
        <f>IF(A3835="C",LEFT(UPPER(C3835)&amp;REPT(" ",10),10)," ")</f>
        <v/>
      </c>
      <c r="Y3835" s="10">
        <f>IF(A3835="C",LEFT(UPPER(D3835)&amp;REPT(" ",2),2)," ")</f>
        <v/>
      </c>
      <c r="Z3835" s="10">
        <f>IF(A3835="C",LEFT(UPPER(E3835)&amp;REPT(" ",15),15)," ")</f>
        <v/>
      </c>
      <c r="AA3835" s="10">
        <f>REPT(" ",8)</f>
        <v/>
      </c>
      <c r="AB3835" s="10">
        <f>REPT(" ",4)</f>
        <v/>
      </c>
      <c r="AC3835" s="10">
        <f>LEFT(UPPER(H3835)&amp;REPT(" ",250),250)</f>
        <v/>
      </c>
      <c r="AD3835" s="10">
        <f>TEXT($G$2,"dd/mm/aaaa")</f>
        <v/>
      </c>
      <c r="AE3835" s="10">
        <f>REPT(" ",10)</f>
        <v/>
      </c>
      <c r="AF3835" s="10">
        <f>REPT(" ",20)</f>
        <v/>
      </c>
      <c r="AG3835" s="54">
        <f>REPT(" ",18-LEN(FIXED(F3835,2,TRUE)))&amp;FIXED(F3835,2,TRUE)</f>
        <v/>
      </c>
      <c r="AH3835" s="10">
        <f>LEN(AC3835)+LEN(AG3835)</f>
        <v/>
      </c>
      <c r="AI3835" s="10">
        <f>LEN(L3835)</f>
        <v/>
      </c>
    </row>
    <row r="3836">
      <c r="J3836" s="12">
        <f>IF(F3836&lt;&gt;0,"LANÇAR","")</f>
        <v/>
      </c>
      <c r="L3836" s="13">
        <f>N3836&amp;O3836&amp;P3836&amp;Q3836&amp;R3836&amp;S3836&amp;T3836&amp;U3836&amp;V3836&amp;W3836&amp;X3836&amp;Y3836&amp;Z3836&amp;AA3836&amp;AB3836&amp;AC3836&amp;AD3836&amp;AE3836&amp;AF3836&amp;AG3836</f>
        <v/>
      </c>
      <c r="N3836" s="10">
        <f>TEXT($B$6,"00")</f>
        <v/>
      </c>
      <c r="O3836" s="10">
        <f>REPT(" ",8)</f>
        <v/>
      </c>
      <c r="P3836" s="10">
        <f>RIGHT($B$4,2)</f>
        <v/>
      </c>
      <c r="Q3836" s="10">
        <f>RIGHT($B$5,3)</f>
        <v/>
      </c>
      <c r="R3836" s="10">
        <f>IF(A3836="D",LEFT(UPPER(B3836)&amp;REPT(" ",20),20),REPT(" ",20))</f>
        <v/>
      </c>
      <c r="S3836" s="10">
        <f>IF(A3836="D",LEFT(UPPER(C3836)&amp;REPT(" ",10),10)," ")</f>
        <v/>
      </c>
      <c r="T3836" s="10">
        <f>IF(A3836="D",LEFT(UPPER(D3836)&amp;REPT(" ",2),2)," ")</f>
        <v/>
      </c>
      <c r="U3836" s="10">
        <f>IF(A3836="D",LEFT(UPPER(E3836)&amp;REPT(" ",15),15)," ")</f>
        <v/>
      </c>
      <c r="V3836" s="10">
        <f>REPT(" ",24)</f>
        <v/>
      </c>
      <c r="W3836" s="10">
        <f>IF(A3836="c",LEFT(UPPER(B3836)&amp;REPT(" ",20),20),REPT(" ",20))</f>
        <v/>
      </c>
      <c r="X3836" s="10">
        <f>IF(A3836="C",LEFT(UPPER(C3836)&amp;REPT(" ",10),10)," ")</f>
        <v/>
      </c>
      <c r="Y3836" s="10">
        <f>IF(A3836="C",LEFT(UPPER(D3836)&amp;REPT(" ",2),2)," ")</f>
        <v/>
      </c>
      <c r="Z3836" s="10">
        <f>IF(A3836="C",LEFT(UPPER(E3836)&amp;REPT(" ",15),15)," ")</f>
        <v/>
      </c>
      <c r="AA3836" s="10">
        <f>REPT(" ",8)</f>
        <v/>
      </c>
      <c r="AB3836" s="10">
        <f>REPT(" ",4)</f>
        <v/>
      </c>
      <c r="AC3836" s="10">
        <f>LEFT(UPPER(H3836)&amp;REPT(" ",250),250)</f>
        <v/>
      </c>
      <c r="AD3836" s="10">
        <f>TEXT($G$2,"dd/mm/aaaa")</f>
        <v/>
      </c>
      <c r="AE3836" s="10">
        <f>REPT(" ",10)</f>
        <v/>
      </c>
      <c r="AF3836" s="10">
        <f>REPT(" ",20)</f>
        <v/>
      </c>
      <c r="AG3836" s="54">
        <f>REPT(" ",18-LEN(FIXED(F3836,2,TRUE)))&amp;FIXED(F3836,2,TRUE)</f>
        <v/>
      </c>
      <c r="AH3836" s="10">
        <f>LEN(AC3836)+LEN(AG3836)</f>
        <v/>
      </c>
      <c r="AI3836" s="10">
        <f>LEN(L3836)</f>
        <v/>
      </c>
    </row>
    <row r="3837">
      <c r="J3837" s="12">
        <f>IF(F3837&lt;&gt;0,"LANÇAR","")</f>
        <v/>
      </c>
      <c r="L3837" s="13">
        <f>N3837&amp;O3837&amp;P3837&amp;Q3837&amp;R3837&amp;S3837&amp;T3837&amp;U3837&amp;V3837&amp;W3837&amp;X3837&amp;Y3837&amp;Z3837&amp;AA3837&amp;AB3837&amp;AC3837&amp;AD3837&amp;AE3837&amp;AF3837&amp;AG3837</f>
        <v/>
      </c>
      <c r="N3837" s="10">
        <f>TEXT($B$6,"00")</f>
        <v/>
      </c>
      <c r="O3837" s="10">
        <f>REPT(" ",8)</f>
        <v/>
      </c>
      <c r="P3837" s="10">
        <f>RIGHT($B$4,2)</f>
        <v/>
      </c>
      <c r="Q3837" s="10">
        <f>RIGHT($B$5,3)</f>
        <v/>
      </c>
      <c r="R3837" s="10">
        <f>IF(A3837="D",LEFT(UPPER(B3837)&amp;REPT(" ",20),20),REPT(" ",20))</f>
        <v/>
      </c>
      <c r="S3837" s="10">
        <f>IF(A3837="D",LEFT(UPPER(C3837)&amp;REPT(" ",10),10)," ")</f>
        <v/>
      </c>
      <c r="T3837" s="10">
        <f>IF(A3837="D",LEFT(UPPER(D3837)&amp;REPT(" ",2),2)," ")</f>
        <v/>
      </c>
      <c r="U3837" s="10">
        <f>IF(A3837="D",LEFT(UPPER(E3837)&amp;REPT(" ",15),15)," ")</f>
        <v/>
      </c>
      <c r="V3837" s="10">
        <f>REPT(" ",24)</f>
        <v/>
      </c>
      <c r="W3837" s="10">
        <f>IF(A3837="c",LEFT(UPPER(B3837)&amp;REPT(" ",20),20),REPT(" ",20))</f>
        <v/>
      </c>
      <c r="X3837" s="10">
        <f>IF(A3837="C",LEFT(UPPER(C3837)&amp;REPT(" ",10),10)," ")</f>
        <v/>
      </c>
      <c r="Y3837" s="10">
        <f>IF(A3837="C",LEFT(UPPER(D3837)&amp;REPT(" ",2),2)," ")</f>
        <v/>
      </c>
      <c r="Z3837" s="10">
        <f>IF(A3837="C",LEFT(UPPER(E3837)&amp;REPT(" ",15),15)," ")</f>
        <v/>
      </c>
      <c r="AA3837" s="10">
        <f>REPT(" ",8)</f>
        <v/>
      </c>
      <c r="AB3837" s="10">
        <f>REPT(" ",4)</f>
        <v/>
      </c>
      <c r="AC3837" s="10">
        <f>LEFT(UPPER(H3837)&amp;REPT(" ",250),250)</f>
        <v/>
      </c>
      <c r="AD3837" s="10">
        <f>TEXT($G$2,"dd/mm/aaaa")</f>
        <v/>
      </c>
      <c r="AE3837" s="10">
        <f>REPT(" ",10)</f>
        <v/>
      </c>
      <c r="AF3837" s="10">
        <f>REPT(" ",20)</f>
        <v/>
      </c>
      <c r="AG3837" s="54">
        <f>REPT(" ",18-LEN(FIXED(F3837,2,TRUE)))&amp;FIXED(F3837,2,TRUE)</f>
        <v/>
      </c>
      <c r="AH3837" s="10">
        <f>LEN(AC3837)+LEN(AG3837)</f>
        <v/>
      </c>
      <c r="AI3837" s="10">
        <f>LEN(L3837)</f>
        <v/>
      </c>
    </row>
    <row r="3838">
      <c r="J3838" s="12">
        <f>IF(F3838&lt;&gt;0,"LANÇAR","")</f>
        <v/>
      </c>
      <c r="L3838" s="13">
        <f>N3838&amp;O3838&amp;P3838&amp;Q3838&amp;R3838&amp;S3838&amp;T3838&amp;U3838&amp;V3838&amp;W3838&amp;X3838&amp;Y3838&amp;Z3838&amp;AA3838&amp;AB3838&amp;AC3838&amp;AD3838&amp;AE3838&amp;AF3838&amp;AG3838</f>
        <v/>
      </c>
      <c r="N3838" s="10">
        <f>TEXT($B$6,"00")</f>
        <v/>
      </c>
      <c r="O3838" s="10">
        <f>REPT(" ",8)</f>
        <v/>
      </c>
      <c r="P3838" s="10">
        <f>RIGHT($B$4,2)</f>
        <v/>
      </c>
      <c r="Q3838" s="10">
        <f>RIGHT($B$5,3)</f>
        <v/>
      </c>
      <c r="R3838" s="10">
        <f>IF(A3838="D",LEFT(UPPER(B3838)&amp;REPT(" ",20),20),REPT(" ",20))</f>
        <v/>
      </c>
      <c r="S3838" s="10">
        <f>IF(A3838="D",LEFT(UPPER(C3838)&amp;REPT(" ",10),10)," ")</f>
        <v/>
      </c>
      <c r="T3838" s="10">
        <f>IF(A3838="D",LEFT(UPPER(D3838)&amp;REPT(" ",2),2)," ")</f>
        <v/>
      </c>
      <c r="U3838" s="10">
        <f>IF(A3838="D",LEFT(UPPER(E3838)&amp;REPT(" ",15),15)," ")</f>
        <v/>
      </c>
      <c r="V3838" s="10">
        <f>REPT(" ",24)</f>
        <v/>
      </c>
      <c r="W3838" s="10">
        <f>IF(A3838="c",LEFT(UPPER(B3838)&amp;REPT(" ",20),20),REPT(" ",20))</f>
        <v/>
      </c>
      <c r="X3838" s="10">
        <f>IF(A3838="C",LEFT(UPPER(C3838)&amp;REPT(" ",10),10)," ")</f>
        <v/>
      </c>
      <c r="Y3838" s="10">
        <f>IF(A3838="C",LEFT(UPPER(D3838)&amp;REPT(" ",2),2)," ")</f>
        <v/>
      </c>
      <c r="Z3838" s="10">
        <f>IF(A3838="C",LEFT(UPPER(E3838)&amp;REPT(" ",15),15)," ")</f>
        <v/>
      </c>
      <c r="AA3838" s="10">
        <f>REPT(" ",8)</f>
        <v/>
      </c>
      <c r="AB3838" s="10">
        <f>REPT(" ",4)</f>
        <v/>
      </c>
      <c r="AC3838" s="10">
        <f>LEFT(UPPER(H3838)&amp;REPT(" ",250),250)</f>
        <v/>
      </c>
      <c r="AD3838" s="10">
        <f>TEXT($G$2,"dd/mm/aaaa")</f>
        <v/>
      </c>
      <c r="AE3838" s="10">
        <f>REPT(" ",10)</f>
        <v/>
      </c>
      <c r="AF3838" s="10">
        <f>REPT(" ",20)</f>
        <v/>
      </c>
      <c r="AG3838" s="54">
        <f>REPT(" ",18-LEN(FIXED(F3838,2,TRUE)))&amp;FIXED(F3838,2,TRUE)</f>
        <v/>
      </c>
      <c r="AH3838" s="10">
        <f>LEN(AC3838)+LEN(AG3838)</f>
        <v/>
      </c>
      <c r="AI3838" s="10">
        <f>LEN(L3838)</f>
        <v/>
      </c>
    </row>
    <row r="3839">
      <c r="J3839" s="12">
        <f>IF(F3839&lt;&gt;0,"LANÇAR","")</f>
        <v/>
      </c>
      <c r="L3839" s="13">
        <f>N3839&amp;O3839&amp;P3839&amp;Q3839&amp;R3839&amp;S3839&amp;T3839&amp;U3839&amp;V3839&amp;W3839&amp;X3839&amp;Y3839&amp;Z3839&amp;AA3839&amp;AB3839&amp;AC3839&amp;AD3839&amp;AE3839&amp;AF3839&amp;AG3839</f>
        <v/>
      </c>
      <c r="N3839" s="10">
        <f>TEXT($B$6,"00")</f>
        <v/>
      </c>
      <c r="O3839" s="10">
        <f>REPT(" ",8)</f>
        <v/>
      </c>
      <c r="P3839" s="10">
        <f>RIGHT($B$4,2)</f>
        <v/>
      </c>
      <c r="Q3839" s="10">
        <f>RIGHT($B$5,3)</f>
        <v/>
      </c>
      <c r="R3839" s="10">
        <f>IF(A3839="D",LEFT(UPPER(B3839)&amp;REPT(" ",20),20),REPT(" ",20))</f>
        <v/>
      </c>
      <c r="S3839" s="10">
        <f>IF(A3839="D",LEFT(UPPER(C3839)&amp;REPT(" ",10),10)," ")</f>
        <v/>
      </c>
      <c r="T3839" s="10">
        <f>IF(A3839="D",LEFT(UPPER(D3839)&amp;REPT(" ",2),2)," ")</f>
        <v/>
      </c>
      <c r="U3839" s="10">
        <f>IF(A3839="D",LEFT(UPPER(E3839)&amp;REPT(" ",15),15)," ")</f>
        <v/>
      </c>
      <c r="V3839" s="10">
        <f>REPT(" ",24)</f>
        <v/>
      </c>
      <c r="W3839" s="10">
        <f>IF(A3839="c",LEFT(UPPER(B3839)&amp;REPT(" ",20),20),REPT(" ",20))</f>
        <v/>
      </c>
      <c r="X3839" s="10">
        <f>IF(A3839="C",LEFT(UPPER(C3839)&amp;REPT(" ",10),10)," ")</f>
        <v/>
      </c>
      <c r="Y3839" s="10">
        <f>IF(A3839="C",LEFT(UPPER(D3839)&amp;REPT(" ",2),2)," ")</f>
        <v/>
      </c>
      <c r="Z3839" s="10">
        <f>IF(A3839="C",LEFT(UPPER(E3839)&amp;REPT(" ",15),15)," ")</f>
        <v/>
      </c>
      <c r="AA3839" s="10">
        <f>REPT(" ",8)</f>
        <v/>
      </c>
      <c r="AB3839" s="10">
        <f>REPT(" ",4)</f>
        <v/>
      </c>
      <c r="AC3839" s="10">
        <f>LEFT(UPPER(H3839)&amp;REPT(" ",250),250)</f>
        <v/>
      </c>
      <c r="AD3839" s="10">
        <f>TEXT($G$2,"dd/mm/aaaa")</f>
        <v/>
      </c>
      <c r="AE3839" s="10">
        <f>REPT(" ",10)</f>
        <v/>
      </c>
      <c r="AF3839" s="10">
        <f>REPT(" ",20)</f>
        <v/>
      </c>
      <c r="AG3839" s="54">
        <f>REPT(" ",18-LEN(FIXED(F3839,2,TRUE)))&amp;FIXED(F3839,2,TRUE)</f>
        <v/>
      </c>
      <c r="AH3839" s="10">
        <f>LEN(AC3839)+LEN(AG3839)</f>
        <v/>
      </c>
      <c r="AI3839" s="10">
        <f>LEN(L3839)</f>
        <v/>
      </c>
    </row>
    <row r="3840">
      <c r="J3840" s="12">
        <f>IF(F3840&lt;&gt;0,"LANÇAR","")</f>
        <v/>
      </c>
      <c r="L3840" s="13">
        <f>N3840&amp;O3840&amp;P3840&amp;Q3840&amp;R3840&amp;S3840&amp;T3840&amp;U3840&amp;V3840&amp;W3840&amp;X3840&amp;Y3840&amp;Z3840&amp;AA3840&amp;AB3840&amp;AC3840&amp;AD3840&amp;AE3840&amp;AF3840&amp;AG3840</f>
        <v/>
      </c>
      <c r="N3840" s="10">
        <f>TEXT($B$6,"00")</f>
        <v/>
      </c>
      <c r="O3840" s="10">
        <f>REPT(" ",8)</f>
        <v/>
      </c>
      <c r="P3840" s="10">
        <f>RIGHT($B$4,2)</f>
        <v/>
      </c>
      <c r="Q3840" s="10">
        <f>RIGHT($B$5,3)</f>
        <v/>
      </c>
      <c r="R3840" s="10">
        <f>IF(A3840="D",LEFT(UPPER(B3840)&amp;REPT(" ",20),20),REPT(" ",20))</f>
        <v/>
      </c>
      <c r="S3840" s="10">
        <f>IF(A3840="D",LEFT(UPPER(C3840)&amp;REPT(" ",10),10)," ")</f>
        <v/>
      </c>
      <c r="T3840" s="10">
        <f>IF(A3840="D",LEFT(UPPER(D3840)&amp;REPT(" ",2),2)," ")</f>
        <v/>
      </c>
      <c r="U3840" s="10">
        <f>IF(A3840="D",LEFT(UPPER(E3840)&amp;REPT(" ",15),15)," ")</f>
        <v/>
      </c>
      <c r="V3840" s="10">
        <f>REPT(" ",24)</f>
        <v/>
      </c>
      <c r="W3840" s="10">
        <f>IF(A3840="c",LEFT(UPPER(B3840)&amp;REPT(" ",20),20),REPT(" ",20))</f>
        <v/>
      </c>
      <c r="X3840" s="10">
        <f>IF(A3840="C",LEFT(UPPER(C3840)&amp;REPT(" ",10),10)," ")</f>
        <v/>
      </c>
      <c r="Y3840" s="10">
        <f>IF(A3840="C",LEFT(UPPER(D3840)&amp;REPT(" ",2),2)," ")</f>
        <v/>
      </c>
      <c r="Z3840" s="10">
        <f>IF(A3840="C",LEFT(UPPER(E3840)&amp;REPT(" ",15),15)," ")</f>
        <v/>
      </c>
      <c r="AA3840" s="10">
        <f>REPT(" ",8)</f>
        <v/>
      </c>
      <c r="AB3840" s="10">
        <f>REPT(" ",4)</f>
        <v/>
      </c>
      <c r="AC3840" s="10">
        <f>LEFT(UPPER(H3840)&amp;REPT(" ",250),250)</f>
        <v/>
      </c>
      <c r="AD3840" s="10">
        <f>TEXT($G$2,"dd/mm/aaaa")</f>
        <v/>
      </c>
      <c r="AE3840" s="10">
        <f>REPT(" ",10)</f>
        <v/>
      </c>
      <c r="AF3840" s="10">
        <f>REPT(" ",20)</f>
        <v/>
      </c>
      <c r="AG3840" s="54">
        <f>REPT(" ",18-LEN(FIXED(F3840,2,TRUE)))&amp;FIXED(F3840,2,TRUE)</f>
        <v/>
      </c>
      <c r="AH3840" s="10">
        <f>LEN(AC3840)+LEN(AG3840)</f>
        <v/>
      </c>
      <c r="AI3840" s="10">
        <f>LEN(L3840)</f>
        <v/>
      </c>
    </row>
    <row r="3841">
      <c r="J3841" s="12">
        <f>IF(F3841&lt;&gt;0,"LANÇAR","")</f>
        <v/>
      </c>
      <c r="L3841" s="13">
        <f>N3841&amp;O3841&amp;P3841&amp;Q3841&amp;R3841&amp;S3841&amp;T3841&amp;U3841&amp;V3841&amp;W3841&amp;X3841&amp;Y3841&amp;Z3841&amp;AA3841&amp;AB3841&amp;AC3841&amp;AD3841&amp;AE3841&amp;AF3841&amp;AG3841</f>
        <v/>
      </c>
      <c r="N3841" s="10">
        <f>TEXT($B$6,"00")</f>
        <v/>
      </c>
      <c r="O3841" s="10">
        <f>REPT(" ",8)</f>
        <v/>
      </c>
      <c r="P3841" s="10">
        <f>RIGHT($B$4,2)</f>
        <v/>
      </c>
      <c r="Q3841" s="10">
        <f>RIGHT($B$5,3)</f>
        <v/>
      </c>
      <c r="R3841" s="10">
        <f>IF(A3841="D",LEFT(UPPER(B3841)&amp;REPT(" ",20),20),REPT(" ",20))</f>
        <v/>
      </c>
      <c r="S3841" s="10">
        <f>IF(A3841="D",LEFT(UPPER(C3841)&amp;REPT(" ",10),10)," ")</f>
        <v/>
      </c>
      <c r="T3841" s="10">
        <f>IF(A3841="D",LEFT(UPPER(D3841)&amp;REPT(" ",2),2)," ")</f>
        <v/>
      </c>
      <c r="U3841" s="10">
        <f>IF(A3841="D",LEFT(UPPER(E3841)&amp;REPT(" ",15),15)," ")</f>
        <v/>
      </c>
      <c r="V3841" s="10">
        <f>REPT(" ",24)</f>
        <v/>
      </c>
      <c r="W3841" s="10">
        <f>IF(A3841="c",LEFT(UPPER(B3841)&amp;REPT(" ",20),20),REPT(" ",20))</f>
        <v/>
      </c>
      <c r="X3841" s="10">
        <f>IF(A3841="C",LEFT(UPPER(C3841)&amp;REPT(" ",10),10)," ")</f>
        <v/>
      </c>
      <c r="Y3841" s="10">
        <f>IF(A3841="C",LEFT(UPPER(D3841)&amp;REPT(" ",2),2)," ")</f>
        <v/>
      </c>
      <c r="Z3841" s="10">
        <f>IF(A3841="C",LEFT(UPPER(E3841)&amp;REPT(" ",15),15)," ")</f>
        <v/>
      </c>
      <c r="AA3841" s="10">
        <f>REPT(" ",8)</f>
        <v/>
      </c>
      <c r="AB3841" s="10">
        <f>REPT(" ",4)</f>
        <v/>
      </c>
      <c r="AC3841" s="10">
        <f>LEFT(UPPER(H3841)&amp;REPT(" ",250),250)</f>
        <v/>
      </c>
      <c r="AD3841" s="10">
        <f>TEXT($G$2,"dd/mm/aaaa")</f>
        <v/>
      </c>
      <c r="AE3841" s="10">
        <f>REPT(" ",10)</f>
        <v/>
      </c>
      <c r="AF3841" s="10">
        <f>REPT(" ",20)</f>
        <v/>
      </c>
      <c r="AG3841" s="54">
        <f>REPT(" ",18-LEN(FIXED(F3841,2,TRUE)))&amp;FIXED(F3841,2,TRUE)</f>
        <v/>
      </c>
      <c r="AH3841" s="10">
        <f>LEN(AC3841)+LEN(AG3841)</f>
        <v/>
      </c>
      <c r="AI3841" s="10">
        <f>LEN(L3841)</f>
        <v/>
      </c>
    </row>
    <row r="3842">
      <c r="J3842" s="12">
        <f>IF(F3842&lt;&gt;0,"LANÇAR","")</f>
        <v/>
      </c>
      <c r="L3842" s="13">
        <f>N3842&amp;O3842&amp;P3842&amp;Q3842&amp;R3842&amp;S3842&amp;T3842&amp;U3842&amp;V3842&amp;W3842&amp;X3842&amp;Y3842&amp;Z3842&amp;AA3842&amp;AB3842&amp;AC3842&amp;AD3842&amp;AE3842&amp;AF3842&amp;AG3842</f>
        <v/>
      </c>
      <c r="N3842" s="10">
        <f>TEXT($B$6,"00")</f>
        <v/>
      </c>
      <c r="O3842" s="10">
        <f>REPT(" ",8)</f>
        <v/>
      </c>
      <c r="P3842" s="10">
        <f>RIGHT($B$4,2)</f>
        <v/>
      </c>
      <c r="Q3842" s="10">
        <f>RIGHT($B$5,3)</f>
        <v/>
      </c>
      <c r="R3842" s="10">
        <f>IF(A3842="D",LEFT(UPPER(B3842)&amp;REPT(" ",20),20),REPT(" ",20))</f>
        <v/>
      </c>
      <c r="S3842" s="10">
        <f>IF(A3842="D",LEFT(UPPER(C3842)&amp;REPT(" ",10),10)," ")</f>
        <v/>
      </c>
      <c r="T3842" s="10">
        <f>IF(A3842="D",LEFT(UPPER(D3842)&amp;REPT(" ",2),2)," ")</f>
        <v/>
      </c>
      <c r="U3842" s="10">
        <f>IF(A3842="D",LEFT(UPPER(E3842)&amp;REPT(" ",15),15)," ")</f>
        <v/>
      </c>
      <c r="V3842" s="10">
        <f>REPT(" ",24)</f>
        <v/>
      </c>
      <c r="W3842" s="10">
        <f>IF(A3842="c",LEFT(UPPER(B3842)&amp;REPT(" ",20),20),REPT(" ",20))</f>
        <v/>
      </c>
      <c r="X3842" s="10">
        <f>IF(A3842="C",LEFT(UPPER(C3842)&amp;REPT(" ",10),10)," ")</f>
        <v/>
      </c>
      <c r="Y3842" s="10">
        <f>IF(A3842="C",LEFT(UPPER(D3842)&amp;REPT(" ",2),2)," ")</f>
        <v/>
      </c>
      <c r="Z3842" s="10">
        <f>IF(A3842="C",LEFT(UPPER(E3842)&amp;REPT(" ",15),15)," ")</f>
        <v/>
      </c>
      <c r="AA3842" s="10">
        <f>REPT(" ",8)</f>
        <v/>
      </c>
      <c r="AB3842" s="10">
        <f>REPT(" ",4)</f>
        <v/>
      </c>
      <c r="AC3842" s="10">
        <f>LEFT(UPPER(H3842)&amp;REPT(" ",250),250)</f>
        <v/>
      </c>
      <c r="AD3842" s="10">
        <f>TEXT($G$2,"dd/mm/aaaa")</f>
        <v/>
      </c>
      <c r="AE3842" s="10">
        <f>REPT(" ",10)</f>
        <v/>
      </c>
      <c r="AF3842" s="10">
        <f>REPT(" ",20)</f>
        <v/>
      </c>
      <c r="AG3842" s="54">
        <f>REPT(" ",18-LEN(FIXED(F3842,2,TRUE)))&amp;FIXED(F3842,2,TRUE)</f>
        <v/>
      </c>
      <c r="AH3842" s="10">
        <f>LEN(AC3842)+LEN(AG3842)</f>
        <v/>
      </c>
      <c r="AI3842" s="10">
        <f>LEN(L3842)</f>
        <v/>
      </c>
    </row>
    <row r="3843">
      <c r="J3843" s="12">
        <f>IF(F3843&lt;&gt;0,"LANÇAR","")</f>
        <v/>
      </c>
      <c r="L3843" s="13">
        <f>N3843&amp;O3843&amp;P3843&amp;Q3843&amp;R3843&amp;S3843&amp;T3843&amp;U3843&amp;V3843&amp;W3843&amp;X3843&amp;Y3843&amp;Z3843&amp;AA3843&amp;AB3843&amp;AC3843&amp;AD3843&amp;AE3843&amp;AF3843&amp;AG3843</f>
        <v/>
      </c>
      <c r="N3843" s="10">
        <f>TEXT($B$6,"00")</f>
        <v/>
      </c>
      <c r="O3843" s="10">
        <f>REPT(" ",8)</f>
        <v/>
      </c>
      <c r="P3843" s="10">
        <f>RIGHT($B$4,2)</f>
        <v/>
      </c>
      <c r="Q3843" s="10">
        <f>RIGHT($B$5,3)</f>
        <v/>
      </c>
      <c r="R3843" s="10">
        <f>IF(A3843="D",LEFT(UPPER(B3843)&amp;REPT(" ",20),20),REPT(" ",20))</f>
        <v/>
      </c>
      <c r="S3843" s="10">
        <f>IF(A3843="D",LEFT(UPPER(C3843)&amp;REPT(" ",10),10)," ")</f>
        <v/>
      </c>
      <c r="T3843" s="10">
        <f>IF(A3843="D",LEFT(UPPER(D3843)&amp;REPT(" ",2),2)," ")</f>
        <v/>
      </c>
      <c r="U3843" s="10">
        <f>IF(A3843="D",LEFT(UPPER(E3843)&amp;REPT(" ",15),15)," ")</f>
        <v/>
      </c>
      <c r="V3843" s="10">
        <f>REPT(" ",24)</f>
        <v/>
      </c>
      <c r="W3843" s="10">
        <f>IF(A3843="c",LEFT(UPPER(B3843)&amp;REPT(" ",20),20),REPT(" ",20))</f>
        <v/>
      </c>
      <c r="X3843" s="10">
        <f>IF(A3843="C",LEFT(UPPER(C3843)&amp;REPT(" ",10),10)," ")</f>
        <v/>
      </c>
      <c r="Y3843" s="10">
        <f>IF(A3843="C",LEFT(UPPER(D3843)&amp;REPT(" ",2),2)," ")</f>
        <v/>
      </c>
      <c r="Z3843" s="10">
        <f>IF(A3843="C",LEFT(UPPER(E3843)&amp;REPT(" ",15),15)," ")</f>
        <v/>
      </c>
      <c r="AA3843" s="10">
        <f>REPT(" ",8)</f>
        <v/>
      </c>
      <c r="AB3843" s="10">
        <f>REPT(" ",4)</f>
        <v/>
      </c>
      <c r="AC3843" s="10">
        <f>LEFT(UPPER(H3843)&amp;REPT(" ",250),250)</f>
        <v/>
      </c>
      <c r="AD3843" s="10">
        <f>TEXT($G$2,"dd/mm/aaaa")</f>
        <v/>
      </c>
      <c r="AE3843" s="10">
        <f>REPT(" ",10)</f>
        <v/>
      </c>
      <c r="AF3843" s="10">
        <f>REPT(" ",20)</f>
        <v/>
      </c>
      <c r="AG3843" s="54">
        <f>REPT(" ",18-LEN(FIXED(F3843,2,TRUE)))&amp;FIXED(F3843,2,TRUE)</f>
        <v/>
      </c>
      <c r="AH3843" s="10">
        <f>LEN(AC3843)+LEN(AG3843)</f>
        <v/>
      </c>
      <c r="AI3843" s="10">
        <f>LEN(L3843)</f>
        <v/>
      </c>
    </row>
    <row r="3844">
      <c r="J3844" s="12">
        <f>IF(F3844&lt;&gt;0,"LANÇAR","")</f>
        <v/>
      </c>
      <c r="L3844" s="13">
        <f>N3844&amp;O3844&amp;P3844&amp;Q3844&amp;R3844&amp;S3844&amp;T3844&amp;U3844&amp;V3844&amp;W3844&amp;X3844&amp;Y3844&amp;Z3844&amp;AA3844&amp;AB3844&amp;AC3844&amp;AD3844&amp;AE3844&amp;AF3844&amp;AG3844</f>
        <v/>
      </c>
      <c r="N3844" s="10">
        <f>TEXT($B$6,"00")</f>
        <v/>
      </c>
      <c r="O3844" s="10">
        <f>REPT(" ",8)</f>
        <v/>
      </c>
      <c r="P3844" s="10">
        <f>RIGHT($B$4,2)</f>
        <v/>
      </c>
      <c r="Q3844" s="10">
        <f>RIGHT($B$5,3)</f>
        <v/>
      </c>
      <c r="R3844" s="10">
        <f>IF(A3844="D",LEFT(UPPER(B3844)&amp;REPT(" ",20),20),REPT(" ",20))</f>
        <v/>
      </c>
      <c r="S3844" s="10">
        <f>IF(A3844="D",LEFT(UPPER(C3844)&amp;REPT(" ",10),10)," ")</f>
        <v/>
      </c>
      <c r="T3844" s="10">
        <f>IF(A3844="D",LEFT(UPPER(D3844)&amp;REPT(" ",2),2)," ")</f>
        <v/>
      </c>
      <c r="U3844" s="10">
        <f>IF(A3844="D",LEFT(UPPER(E3844)&amp;REPT(" ",15),15)," ")</f>
        <v/>
      </c>
      <c r="V3844" s="10">
        <f>REPT(" ",24)</f>
        <v/>
      </c>
      <c r="W3844" s="10">
        <f>IF(A3844="c",LEFT(UPPER(B3844)&amp;REPT(" ",20),20),REPT(" ",20))</f>
        <v/>
      </c>
      <c r="X3844" s="10">
        <f>IF(A3844="C",LEFT(UPPER(C3844)&amp;REPT(" ",10),10)," ")</f>
        <v/>
      </c>
      <c r="Y3844" s="10">
        <f>IF(A3844="C",LEFT(UPPER(D3844)&amp;REPT(" ",2),2)," ")</f>
        <v/>
      </c>
      <c r="Z3844" s="10">
        <f>IF(A3844="C",LEFT(UPPER(E3844)&amp;REPT(" ",15),15)," ")</f>
        <v/>
      </c>
      <c r="AA3844" s="10">
        <f>REPT(" ",8)</f>
        <v/>
      </c>
      <c r="AB3844" s="10">
        <f>REPT(" ",4)</f>
        <v/>
      </c>
      <c r="AC3844" s="10">
        <f>LEFT(UPPER(H3844)&amp;REPT(" ",250),250)</f>
        <v/>
      </c>
      <c r="AD3844" s="10">
        <f>TEXT($G$2,"dd/mm/aaaa")</f>
        <v/>
      </c>
      <c r="AE3844" s="10">
        <f>REPT(" ",10)</f>
        <v/>
      </c>
      <c r="AF3844" s="10">
        <f>REPT(" ",20)</f>
        <v/>
      </c>
      <c r="AG3844" s="54">
        <f>REPT(" ",18-LEN(FIXED(F3844,2,TRUE)))&amp;FIXED(F3844,2,TRUE)</f>
        <v/>
      </c>
      <c r="AH3844" s="10">
        <f>LEN(AC3844)+LEN(AG3844)</f>
        <v/>
      </c>
      <c r="AI3844" s="10">
        <f>LEN(L3844)</f>
        <v/>
      </c>
    </row>
    <row r="3845">
      <c r="J3845" s="12">
        <f>IF(F3845&lt;&gt;0,"LANÇAR","")</f>
        <v/>
      </c>
      <c r="L3845" s="13">
        <f>N3845&amp;O3845&amp;P3845&amp;Q3845&amp;R3845&amp;S3845&amp;T3845&amp;U3845&amp;V3845&amp;W3845&amp;X3845&amp;Y3845&amp;Z3845&amp;AA3845&amp;AB3845&amp;AC3845&amp;AD3845&amp;AE3845&amp;AF3845&amp;AG3845</f>
        <v/>
      </c>
      <c r="N3845" s="10">
        <f>TEXT($B$6,"00")</f>
        <v/>
      </c>
      <c r="O3845" s="10">
        <f>REPT(" ",8)</f>
        <v/>
      </c>
      <c r="P3845" s="10">
        <f>RIGHT($B$4,2)</f>
        <v/>
      </c>
      <c r="Q3845" s="10">
        <f>RIGHT($B$5,3)</f>
        <v/>
      </c>
      <c r="R3845" s="10">
        <f>IF(A3845="D",LEFT(UPPER(B3845)&amp;REPT(" ",20),20),REPT(" ",20))</f>
        <v/>
      </c>
      <c r="S3845" s="10">
        <f>IF(A3845="D",LEFT(UPPER(C3845)&amp;REPT(" ",10),10)," ")</f>
        <v/>
      </c>
      <c r="T3845" s="10">
        <f>IF(A3845="D",LEFT(UPPER(D3845)&amp;REPT(" ",2),2)," ")</f>
        <v/>
      </c>
      <c r="U3845" s="10">
        <f>IF(A3845="D",LEFT(UPPER(E3845)&amp;REPT(" ",15),15)," ")</f>
        <v/>
      </c>
      <c r="V3845" s="10">
        <f>REPT(" ",24)</f>
        <v/>
      </c>
      <c r="W3845" s="10">
        <f>IF(A3845="c",LEFT(UPPER(B3845)&amp;REPT(" ",20),20),REPT(" ",20))</f>
        <v/>
      </c>
      <c r="X3845" s="10">
        <f>IF(A3845="C",LEFT(UPPER(C3845)&amp;REPT(" ",10),10)," ")</f>
        <v/>
      </c>
      <c r="Y3845" s="10">
        <f>IF(A3845="C",LEFT(UPPER(D3845)&amp;REPT(" ",2),2)," ")</f>
        <v/>
      </c>
      <c r="Z3845" s="10">
        <f>IF(A3845="C",LEFT(UPPER(E3845)&amp;REPT(" ",15),15)," ")</f>
        <v/>
      </c>
      <c r="AA3845" s="10">
        <f>REPT(" ",8)</f>
        <v/>
      </c>
      <c r="AB3845" s="10">
        <f>REPT(" ",4)</f>
        <v/>
      </c>
      <c r="AC3845" s="10">
        <f>LEFT(UPPER(H3845)&amp;REPT(" ",250),250)</f>
        <v/>
      </c>
      <c r="AD3845" s="10">
        <f>TEXT($G$2,"dd/mm/aaaa")</f>
        <v/>
      </c>
      <c r="AE3845" s="10">
        <f>REPT(" ",10)</f>
        <v/>
      </c>
      <c r="AF3845" s="10">
        <f>REPT(" ",20)</f>
        <v/>
      </c>
      <c r="AG3845" s="54">
        <f>REPT(" ",18-LEN(FIXED(F3845,2,TRUE)))&amp;FIXED(F3845,2,TRUE)</f>
        <v/>
      </c>
      <c r="AH3845" s="10">
        <f>LEN(AC3845)+LEN(AG3845)</f>
        <v/>
      </c>
      <c r="AI3845" s="10">
        <f>LEN(L3845)</f>
        <v/>
      </c>
    </row>
    <row r="3846">
      <c r="J3846" s="12">
        <f>IF(F3846&lt;&gt;0,"LANÇAR","")</f>
        <v/>
      </c>
      <c r="L3846" s="13">
        <f>N3846&amp;O3846&amp;P3846&amp;Q3846&amp;R3846&amp;S3846&amp;T3846&amp;U3846&amp;V3846&amp;W3846&amp;X3846&amp;Y3846&amp;Z3846&amp;AA3846&amp;AB3846&amp;AC3846&amp;AD3846&amp;AE3846&amp;AF3846&amp;AG3846</f>
        <v/>
      </c>
      <c r="N3846" s="10">
        <f>TEXT($B$6,"00")</f>
        <v/>
      </c>
      <c r="O3846" s="10">
        <f>REPT(" ",8)</f>
        <v/>
      </c>
      <c r="P3846" s="10">
        <f>RIGHT($B$4,2)</f>
        <v/>
      </c>
      <c r="Q3846" s="10">
        <f>RIGHT($B$5,3)</f>
        <v/>
      </c>
      <c r="R3846" s="10">
        <f>IF(A3846="D",LEFT(UPPER(B3846)&amp;REPT(" ",20),20),REPT(" ",20))</f>
        <v/>
      </c>
      <c r="S3846" s="10">
        <f>IF(A3846="D",LEFT(UPPER(C3846)&amp;REPT(" ",10),10)," ")</f>
        <v/>
      </c>
      <c r="T3846" s="10">
        <f>IF(A3846="D",LEFT(UPPER(D3846)&amp;REPT(" ",2),2)," ")</f>
        <v/>
      </c>
      <c r="U3846" s="10">
        <f>IF(A3846="D",LEFT(UPPER(E3846)&amp;REPT(" ",15),15)," ")</f>
        <v/>
      </c>
      <c r="V3846" s="10">
        <f>REPT(" ",24)</f>
        <v/>
      </c>
      <c r="W3846" s="10">
        <f>IF(A3846="c",LEFT(UPPER(B3846)&amp;REPT(" ",20),20),REPT(" ",20))</f>
        <v/>
      </c>
      <c r="X3846" s="10">
        <f>IF(A3846="C",LEFT(UPPER(C3846)&amp;REPT(" ",10),10)," ")</f>
        <v/>
      </c>
      <c r="Y3846" s="10">
        <f>IF(A3846="C",LEFT(UPPER(D3846)&amp;REPT(" ",2),2)," ")</f>
        <v/>
      </c>
      <c r="Z3846" s="10">
        <f>IF(A3846="C",LEFT(UPPER(E3846)&amp;REPT(" ",15),15)," ")</f>
        <v/>
      </c>
      <c r="AA3846" s="10">
        <f>REPT(" ",8)</f>
        <v/>
      </c>
      <c r="AB3846" s="10">
        <f>REPT(" ",4)</f>
        <v/>
      </c>
      <c r="AC3846" s="10">
        <f>LEFT(UPPER(H3846)&amp;REPT(" ",250),250)</f>
        <v/>
      </c>
      <c r="AD3846" s="10">
        <f>TEXT($G$2,"dd/mm/aaaa")</f>
        <v/>
      </c>
      <c r="AE3846" s="10">
        <f>REPT(" ",10)</f>
        <v/>
      </c>
      <c r="AF3846" s="10">
        <f>REPT(" ",20)</f>
        <v/>
      </c>
      <c r="AG3846" s="54">
        <f>REPT(" ",18-LEN(FIXED(F3846,2,TRUE)))&amp;FIXED(F3846,2,TRUE)</f>
        <v/>
      </c>
      <c r="AH3846" s="10">
        <f>LEN(AC3846)+LEN(AG3846)</f>
        <v/>
      </c>
      <c r="AI3846" s="10">
        <f>LEN(L3846)</f>
        <v/>
      </c>
    </row>
    <row r="3847">
      <c r="J3847" s="12">
        <f>IF(F3847&lt;&gt;0,"LANÇAR","")</f>
        <v/>
      </c>
      <c r="L3847" s="13">
        <f>N3847&amp;O3847&amp;P3847&amp;Q3847&amp;R3847&amp;S3847&amp;T3847&amp;U3847&amp;V3847&amp;W3847&amp;X3847&amp;Y3847&amp;Z3847&amp;AA3847&amp;AB3847&amp;AC3847&amp;AD3847&amp;AE3847&amp;AF3847&amp;AG3847</f>
        <v/>
      </c>
      <c r="N3847" s="10">
        <f>TEXT($B$6,"00")</f>
        <v/>
      </c>
      <c r="O3847" s="10">
        <f>REPT(" ",8)</f>
        <v/>
      </c>
      <c r="P3847" s="10">
        <f>RIGHT($B$4,2)</f>
        <v/>
      </c>
      <c r="Q3847" s="10">
        <f>RIGHT($B$5,3)</f>
        <v/>
      </c>
      <c r="R3847" s="10">
        <f>IF(A3847="D",LEFT(UPPER(B3847)&amp;REPT(" ",20),20),REPT(" ",20))</f>
        <v/>
      </c>
      <c r="S3847" s="10">
        <f>IF(A3847="D",LEFT(UPPER(C3847)&amp;REPT(" ",10),10)," ")</f>
        <v/>
      </c>
      <c r="T3847" s="10">
        <f>IF(A3847="D",LEFT(UPPER(D3847)&amp;REPT(" ",2),2)," ")</f>
        <v/>
      </c>
      <c r="U3847" s="10">
        <f>IF(A3847="D",LEFT(UPPER(E3847)&amp;REPT(" ",15),15)," ")</f>
        <v/>
      </c>
      <c r="V3847" s="10">
        <f>REPT(" ",24)</f>
        <v/>
      </c>
      <c r="W3847" s="10">
        <f>IF(A3847="c",LEFT(UPPER(B3847)&amp;REPT(" ",20),20),REPT(" ",20))</f>
        <v/>
      </c>
      <c r="X3847" s="10">
        <f>IF(A3847="C",LEFT(UPPER(C3847)&amp;REPT(" ",10),10)," ")</f>
        <v/>
      </c>
      <c r="Y3847" s="10">
        <f>IF(A3847="C",LEFT(UPPER(D3847)&amp;REPT(" ",2),2)," ")</f>
        <v/>
      </c>
      <c r="Z3847" s="10">
        <f>IF(A3847="C",LEFT(UPPER(E3847)&amp;REPT(" ",15),15)," ")</f>
        <v/>
      </c>
      <c r="AA3847" s="10">
        <f>REPT(" ",8)</f>
        <v/>
      </c>
      <c r="AB3847" s="10">
        <f>REPT(" ",4)</f>
        <v/>
      </c>
      <c r="AC3847" s="10">
        <f>LEFT(UPPER(H3847)&amp;REPT(" ",250),250)</f>
        <v/>
      </c>
      <c r="AD3847" s="10">
        <f>TEXT($G$2,"dd/mm/aaaa")</f>
        <v/>
      </c>
      <c r="AE3847" s="10">
        <f>REPT(" ",10)</f>
        <v/>
      </c>
      <c r="AF3847" s="10">
        <f>REPT(" ",20)</f>
        <v/>
      </c>
      <c r="AG3847" s="54">
        <f>REPT(" ",18-LEN(FIXED(F3847,2,TRUE)))&amp;FIXED(F3847,2,TRUE)</f>
        <v/>
      </c>
      <c r="AH3847" s="10">
        <f>LEN(AC3847)+LEN(AG3847)</f>
        <v/>
      </c>
      <c r="AI3847" s="10">
        <f>LEN(L3847)</f>
        <v/>
      </c>
    </row>
    <row r="3848">
      <c r="J3848" s="12">
        <f>IF(F3848&lt;&gt;0,"LANÇAR","")</f>
        <v/>
      </c>
      <c r="L3848" s="13">
        <f>N3848&amp;O3848&amp;P3848&amp;Q3848&amp;R3848&amp;S3848&amp;T3848&amp;U3848&amp;V3848&amp;W3848&amp;X3848&amp;Y3848&amp;Z3848&amp;AA3848&amp;AB3848&amp;AC3848&amp;AD3848&amp;AE3848&amp;AF3848&amp;AG3848</f>
        <v/>
      </c>
      <c r="N3848" s="10">
        <f>TEXT($B$6,"00")</f>
        <v/>
      </c>
      <c r="O3848" s="10">
        <f>REPT(" ",8)</f>
        <v/>
      </c>
      <c r="P3848" s="10">
        <f>RIGHT($B$4,2)</f>
        <v/>
      </c>
      <c r="Q3848" s="10">
        <f>RIGHT($B$5,3)</f>
        <v/>
      </c>
      <c r="R3848" s="10">
        <f>IF(A3848="D",LEFT(UPPER(B3848)&amp;REPT(" ",20),20),REPT(" ",20))</f>
        <v/>
      </c>
      <c r="S3848" s="10">
        <f>IF(A3848="D",LEFT(UPPER(C3848)&amp;REPT(" ",10),10)," ")</f>
        <v/>
      </c>
      <c r="T3848" s="10">
        <f>IF(A3848="D",LEFT(UPPER(D3848)&amp;REPT(" ",2),2)," ")</f>
        <v/>
      </c>
      <c r="U3848" s="10">
        <f>IF(A3848="D",LEFT(UPPER(E3848)&amp;REPT(" ",15),15)," ")</f>
        <v/>
      </c>
      <c r="V3848" s="10">
        <f>REPT(" ",24)</f>
        <v/>
      </c>
      <c r="W3848" s="10">
        <f>IF(A3848="c",LEFT(UPPER(B3848)&amp;REPT(" ",20),20),REPT(" ",20))</f>
        <v/>
      </c>
      <c r="X3848" s="10">
        <f>IF(A3848="C",LEFT(UPPER(C3848)&amp;REPT(" ",10),10)," ")</f>
        <v/>
      </c>
      <c r="Y3848" s="10">
        <f>IF(A3848="C",LEFT(UPPER(D3848)&amp;REPT(" ",2),2)," ")</f>
        <v/>
      </c>
      <c r="Z3848" s="10">
        <f>IF(A3848="C",LEFT(UPPER(E3848)&amp;REPT(" ",15),15)," ")</f>
        <v/>
      </c>
      <c r="AA3848" s="10">
        <f>REPT(" ",8)</f>
        <v/>
      </c>
      <c r="AB3848" s="10">
        <f>REPT(" ",4)</f>
        <v/>
      </c>
      <c r="AC3848" s="10">
        <f>LEFT(UPPER(H3848)&amp;REPT(" ",250),250)</f>
        <v/>
      </c>
      <c r="AD3848" s="10">
        <f>TEXT($G$2,"dd/mm/aaaa")</f>
        <v/>
      </c>
      <c r="AE3848" s="10">
        <f>REPT(" ",10)</f>
        <v/>
      </c>
      <c r="AF3848" s="10">
        <f>REPT(" ",20)</f>
        <v/>
      </c>
      <c r="AG3848" s="54">
        <f>REPT(" ",18-LEN(FIXED(F3848,2,TRUE)))&amp;FIXED(F3848,2,TRUE)</f>
        <v/>
      </c>
      <c r="AH3848" s="10">
        <f>LEN(AC3848)+LEN(AG3848)</f>
        <v/>
      </c>
      <c r="AI3848" s="10">
        <f>LEN(L3848)</f>
        <v/>
      </c>
    </row>
    <row r="3849">
      <c r="J3849" s="12">
        <f>IF(F3849&lt;&gt;0,"LANÇAR","")</f>
        <v/>
      </c>
      <c r="L3849" s="13">
        <f>N3849&amp;O3849&amp;P3849&amp;Q3849&amp;R3849&amp;S3849&amp;T3849&amp;U3849&amp;V3849&amp;W3849&amp;X3849&amp;Y3849&amp;Z3849&amp;AA3849&amp;AB3849&amp;AC3849&amp;AD3849&amp;AE3849&amp;AF3849&amp;AG3849</f>
        <v/>
      </c>
      <c r="N3849" s="10">
        <f>TEXT($B$6,"00")</f>
        <v/>
      </c>
      <c r="O3849" s="10">
        <f>REPT(" ",8)</f>
        <v/>
      </c>
      <c r="P3849" s="10">
        <f>RIGHT($B$4,2)</f>
        <v/>
      </c>
      <c r="Q3849" s="10">
        <f>RIGHT($B$5,3)</f>
        <v/>
      </c>
      <c r="R3849" s="10">
        <f>IF(A3849="D",LEFT(UPPER(B3849)&amp;REPT(" ",20),20),REPT(" ",20))</f>
        <v/>
      </c>
      <c r="S3849" s="10">
        <f>IF(A3849="D",LEFT(UPPER(C3849)&amp;REPT(" ",10),10)," ")</f>
        <v/>
      </c>
      <c r="T3849" s="10">
        <f>IF(A3849="D",LEFT(UPPER(D3849)&amp;REPT(" ",2),2)," ")</f>
        <v/>
      </c>
      <c r="U3849" s="10">
        <f>IF(A3849="D",LEFT(UPPER(E3849)&amp;REPT(" ",15),15)," ")</f>
        <v/>
      </c>
      <c r="V3849" s="10">
        <f>REPT(" ",24)</f>
        <v/>
      </c>
      <c r="W3849" s="10">
        <f>IF(A3849="c",LEFT(UPPER(B3849)&amp;REPT(" ",20),20),REPT(" ",20))</f>
        <v/>
      </c>
      <c r="X3849" s="10">
        <f>IF(A3849="C",LEFT(UPPER(C3849)&amp;REPT(" ",10),10)," ")</f>
        <v/>
      </c>
      <c r="Y3849" s="10">
        <f>IF(A3849="C",LEFT(UPPER(D3849)&amp;REPT(" ",2),2)," ")</f>
        <v/>
      </c>
      <c r="Z3849" s="10">
        <f>IF(A3849="C",LEFT(UPPER(E3849)&amp;REPT(" ",15),15)," ")</f>
        <v/>
      </c>
      <c r="AA3849" s="10">
        <f>REPT(" ",8)</f>
        <v/>
      </c>
      <c r="AB3849" s="10">
        <f>REPT(" ",4)</f>
        <v/>
      </c>
      <c r="AC3849" s="10">
        <f>LEFT(UPPER(H3849)&amp;REPT(" ",250),250)</f>
        <v/>
      </c>
      <c r="AD3849" s="10">
        <f>TEXT($G$2,"dd/mm/aaaa")</f>
        <v/>
      </c>
      <c r="AE3849" s="10">
        <f>REPT(" ",10)</f>
        <v/>
      </c>
      <c r="AF3849" s="10">
        <f>REPT(" ",20)</f>
        <v/>
      </c>
      <c r="AG3849" s="54">
        <f>REPT(" ",18-LEN(FIXED(F3849,2,TRUE)))&amp;FIXED(F3849,2,TRUE)</f>
        <v/>
      </c>
      <c r="AH3849" s="10">
        <f>LEN(AC3849)+LEN(AG3849)</f>
        <v/>
      </c>
      <c r="AI3849" s="10">
        <f>LEN(L3849)</f>
        <v/>
      </c>
    </row>
    <row r="3850">
      <c r="J3850" s="12">
        <f>IF(F3850&lt;&gt;0,"LANÇAR","")</f>
        <v/>
      </c>
      <c r="L3850" s="13">
        <f>N3850&amp;O3850&amp;P3850&amp;Q3850&amp;R3850&amp;S3850&amp;T3850&amp;U3850&amp;V3850&amp;W3850&amp;X3850&amp;Y3850&amp;Z3850&amp;AA3850&amp;AB3850&amp;AC3850&amp;AD3850&amp;AE3850&amp;AF3850&amp;AG3850</f>
        <v/>
      </c>
      <c r="N3850" s="10">
        <f>TEXT($B$6,"00")</f>
        <v/>
      </c>
      <c r="O3850" s="10">
        <f>REPT(" ",8)</f>
        <v/>
      </c>
      <c r="P3850" s="10">
        <f>RIGHT($B$4,2)</f>
        <v/>
      </c>
      <c r="Q3850" s="10">
        <f>RIGHT($B$5,3)</f>
        <v/>
      </c>
      <c r="R3850" s="10">
        <f>IF(A3850="D",LEFT(UPPER(B3850)&amp;REPT(" ",20),20),REPT(" ",20))</f>
        <v/>
      </c>
      <c r="S3850" s="10">
        <f>IF(A3850="D",LEFT(UPPER(C3850)&amp;REPT(" ",10),10)," ")</f>
        <v/>
      </c>
      <c r="T3850" s="10">
        <f>IF(A3850="D",LEFT(UPPER(D3850)&amp;REPT(" ",2),2)," ")</f>
        <v/>
      </c>
      <c r="U3850" s="10">
        <f>IF(A3850="D",LEFT(UPPER(E3850)&amp;REPT(" ",15),15)," ")</f>
        <v/>
      </c>
      <c r="V3850" s="10">
        <f>REPT(" ",24)</f>
        <v/>
      </c>
      <c r="W3850" s="10">
        <f>IF(A3850="c",LEFT(UPPER(B3850)&amp;REPT(" ",20),20),REPT(" ",20))</f>
        <v/>
      </c>
      <c r="X3850" s="10">
        <f>IF(A3850="C",LEFT(UPPER(C3850)&amp;REPT(" ",10),10)," ")</f>
        <v/>
      </c>
      <c r="Y3850" s="10">
        <f>IF(A3850="C",LEFT(UPPER(D3850)&amp;REPT(" ",2),2)," ")</f>
        <v/>
      </c>
      <c r="Z3850" s="10">
        <f>IF(A3850="C",LEFT(UPPER(E3850)&amp;REPT(" ",15),15)," ")</f>
        <v/>
      </c>
      <c r="AA3850" s="10">
        <f>REPT(" ",8)</f>
        <v/>
      </c>
      <c r="AB3850" s="10">
        <f>REPT(" ",4)</f>
        <v/>
      </c>
      <c r="AC3850" s="10">
        <f>LEFT(UPPER(H3850)&amp;REPT(" ",250),250)</f>
        <v/>
      </c>
      <c r="AD3850" s="10">
        <f>TEXT($G$2,"dd/mm/aaaa")</f>
        <v/>
      </c>
      <c r="AE3850" s="10">
        <f>REPT(" ",10)</f>
        <v/>
      </c>
      <c r="AF3850" s="10">
        <f>REPT(" ",20)</f>
        <v/>
      </c>
      <c r="AG3850" s="54">
        <f>REPT(" ",18-LEN(FIXED(F3850,2,TRUE)))&amp;FIXED(F3850,2,TRUE)</f>
        <v/>
      </c>
      <c r="AH3850" s="10">
        <f>LEN(AC3850)+LEN(AG3850)</f>
        <v/>
      </c>
      <c r="AI3850" s="10">
        <f>LEN(L3850)</f>
        <v/>
      </c>
    </row>
    <row r="3851">
      <c r="J3851" s="12">
        <f>IF(F3851&lt;&gt;0,"LANÇAR","")</f>
        <v/>
      </c>
      <c r="L3851" s="13">
        <f>N3851&amp;O3851&amp;P3851&amp;Q3851&amp;R3851&amp;S3851&amp;T3851&amp;U3851&amp;V3851&amp;W3851&amp;X3851&amp;Y3851&amp;Z3851&amp;AA3851&amp;AB3851&amp;AC3851&amp;AD3851&amp;AE3851&amp;AF3851&amp;AG3851</f>
        <v/>
      </c>
      <c r="N3851" s="10">
        <f>TEXT($B$6,"00")</f>
        <v/>
      </c>
      <c r="O3851" s="10">
        <f>REPT(" ",8)</f>
        <v/>
      </c>
      <c r="P3851" s="10">
        <f>RIGHT($B$4,2)</f>
        <v/>
      </c>
      <c r="Q3851" s="10">
        <f>RIGHT($B$5,3)</f>
        <v/>
      </c>
      <c r="R3851" s="10">
        <f>IF(A3851="D",LEFT(UPPER(B3851)&amp;REPT(" ",20),20),REPT(" ",20))</f>
        <v/>
      </c>
      <c r="S3851" s="10">
        <f>IF(A3851="D",LEFT(UPPER(C3851)&amp;REPT(" ",10),10)," ")</f>
        <v/>
      </c>
      <c r="T3851" s="10">
        <f>IF(A3851="D",LEFT(UPPER(D3851)&amp;REPT(" ",2),2)," ")</f>
        <v/>
      </c>
      <c r="U3851" s="10">
        <f>IF(A3851="D",LEFT(UPPER(E3851)&amp;REPT(" ",15),15)," ")</f>
        <v/>
      </c>
      <c r="V3851" s="10">
        <f>REPT(" ",24)</f>
        <v/>
      </c>
      <c r="W3851" s="10">
        <f>IF(A3851="c",LEFT(UPPER(B3851)&amp;REPT(" ",20),20),REPT(" ",20))</f>
        <v/>
      </c>
      <c r="X3851" s="10">
        <f>IF(A3851="C",LEFT(UPPER(C3851)&amp;REPT(" ",10),10)," ")</f>
        <v/>
      </c>
      <c r="Y3851" s="10">
        <f>IF(A3851="C",LEFT(UPPER(D3851)&amp;REPT(" ",2),2)," ")</f>
        <v/>
      </c>
      <c r="Z3851" s="10">
        <f>IF(A3851="C",LEFT(UPPER(E3851)&amp;REPT(" ",15),15)," ")</f>
        <v/>
      </c>
      <c r="AA3851" s="10">
        <f>REPT(" ",8)</f>
        <v/>
      </c>
      <c r="AB3851" s="10">
        <f>REPT(" ",4)</f>
        <v/>
      </c>
      <c r="AC3851" s="10">
        <f>LEFT(UPPER(H3851)&amp;REPT(" ",250),250)</f>
        <v/>
      </c>
      <c r="AD3851" s="10">
        <f>TEXT($G$2,"dd/mm/aaaa")</f>
        <v/>
      </c>
      <c r="AE3851" s="10">
        <f>REPT(" ",10)</f>
        <v/>
      </c>
      <c r="AF3851" s="10">
        <f>REPT(" ",20)</f>
        <v/>
      </c>
      <c r="AG3851" s="54">
        <f>REPT(" ",18-LEN(FIXED(F3851,2,TRUE)))&amp;FIXED(F3851,2,TRUE)</f>
        <v/>
      </c>
      <c r="AH3851" s="10">
        <f>LEN(AC3851)+LEN(AG3851)</f>
        <v/>
      </c>
      <c r="AI3851" s="10">
        <f>LEN(L3851)</f>
        <v/>
      </c>
    </row>
    <row r="3852">
      <c r="J3852" s="12">
        <f>IF(F3852&lt;&gt;0,"LANÇAR","")</f>
        <v/>
      </c>
      <c r="L3852" s="13">
        <f>N3852&amp;O3852&amp;P3852&amp;Q3852&amp;R3852&amp;S3852&amp;T3852&amp;U3852&amp;V3852&amp;W3852&amp;X3852&amp;Y3852&amp;Z3852&amp;AA3852&amp;AB3852&amp;AC3852&amp;AD3852&amp;AE3852&amp;AF3852&amp;AG3852</f>
        <v/>
      </c>
      <c r="N3852" s="10">
        <f>TEXT($B$6,"00")</f>
        <v/>
      </c>
      <c r="O3852" s="10">
        <f>REPT(" ",8)</f>
        <v/>
      </c>
      <c r="P3852" s="10">
        <f>RIGHT($B$4,2)</f>
        <v/>
      </c>
      <c r="Q3852" s="10">
        <f>RIGHT($B$5,3)</f>
        <v/>
      </c>
      <c r="R3852" s="10">
        <f>IF(A3852="D",LEFT(UPPER(B3852)&amp;REPT(" ",20),20),REPT(" ",20))</f>
        <v/>
      </c>
      <c r="S3852" s="10">
        <f>IF(A3852="D",LEFT(UPPER(C3852)&amp;REPT(" ",10),10)," ")</f>
        <v/>
      </c>
      <c r="T3852" s="10">
        <f>IF(A3852="D",LEFT(UPPER(D3852)&amp;REPT(" ",2),2)," ")</f>
        <v/>
      </c>
      <c r="U3852" s="10">
        <f>IF(A3852="D",LEFT(UPPER(E3852)&amp;REPT(" ",15),15)," ")</f>
        <v/>
      </c>
      <c r="V3852" s="10">
        <f>REPT(" ",24)</f>
        <v/>
      </c>
      <c r="W3852" s="10">
        <f>IF(A3852="c",LEFT(UPPER(B3852)&amp;REPT(" ",20),20),REPT(" ",20))</f>
        <v/>
      </c>
      <c r="X3852" s="10">
        <f>IF(A3852="C",LEFT(UPPER(C3852)&amp;REPT(" ",10),10)," ")</f>
        <v/>
      </c>
      <c r="Y3852" s="10">
        <f>IF(A3852="C",LEFT(UPPER(D3852)&amp;REPT(" ",2),2)," ")</f>
        <v/>
      </c>
      <c r="Z3852" s="10">
        <f>IF(A3852="C",LEFT(UPPER(E3852)&amp;REPT(" ",15),15)," ")</f>
        <v/>
      </c>
      <c r="AA3852" s="10">
        <f>REPT(" ",8)</f>
        <v/>
      </c>
      <c r="AB3852" s="10">
        <f>REPT(" ",4)</f>
        <v/>
      </c>
      <c r="AC3852" s="10">
        <f>LEFT(UPPER(H3852)&amp;REPT(" ",250),250)</f>
        <v/>
      </c>
      <c r="AD3852" s="10">
        <f>TEXT($G$2,"dd/mm/aaaa")</f>
        <v/>
      </c>
      <c r="AE3852" s="10">
        <f>REPT(" ",10)</f>
        <v/>
      </c>
      <c r="AF3852" s="10">
        <f>REPT(" ",20)</f>
        <v/>
      </c>
      <c r="AG3852" s="54">
        <f>REPT(" ",18-LEN(FIXED(F3852,2,TRUE)))&amp;FIXED(F3852,2,TRUE)</f>
        <v/>
      </c>
      <c r="AH3852" s="10">
        <f>LEN(AC3852)+LEN(AG3852)</f>
        <v/>
      </c>
      <c r="AI3852" s="10">
        <f>LEN(L3852)</f>
        <v/>
      </c>
    </row>
    <row r="3853">
      <c r="J3853" s="12">
        <f>IF(F3853&lt;&gt;0,"LANÇAR","")</f>
        <v/>
      </c>
      <c r="L3853" s="13">
        <f>N3853&amp;O3853&amp;P3853&amp;Q3853&amp;R3853&amp;S3853&amp;T3853&amp;U3853&amp;V3853&amp;W3853&amp;X3853&amp;Y3853&amp;Z3853&amp;AA3853&amp;AB3853&amp;AC3853&amp;AD3853&amp;AE3853&amp;AF3853&amp;AG3853</f>
        <v/>
      </c>
      <c r="N3853" s="10">
        <f>TEXT($B$6,"00")</f>
        <v/>
      </c>
      <c r="O3853" s="10">
        <f>REPT(" ",8)</f>
        <v/>
      </c>
      <c r="P3853" s="10">
        <f>RIGHT($B$4,2)</f>
        <v/>
      </c>
      <c r="Q3853" s="10">
        <f>RIGHT($B$5,3)</f>
        <v/>
      </c>
      <c r="R3853" s="10">
        <f>IF(A3853="D",LEFT(UPPER(B3853)&amp;REPT(" ",20),20),REPT(" ",20))</f>
        <v/>
      </c>
      <c r="S3853" s="10">
        <f>IF(A3853="D",LEFT(UPPER(C3853)&amp;REPT(" ",10),10)," ")</f>
        <v/>
      </c>
      <c r="T3853" s="10">
        <f>IF(A3853="D",LEFT(UPPER(D3853)&amp;REPT(" ",2),2)," ")</f>
        <v/>
      </c>
      <c r="U3853" s="10">
        <f>IF(A3853="D",LEFT(UPPER(E3853)&amp;REPT(" ",15),15)," ")</f>
        <v/>
      </c>
      <c r="V3853" s="10">
        <f>REPT(" ",24)</f>
        <v/>
      </c>
      <c r="W3853" s="10">
        <f>IF(A3853="c",LEFT(UPPER(B3853)&amp;REPT(" ",20),20),REPT(" ",20))</f>
        <v/>
      </c>
      <c r="X3853" s="10">
        <f>IF(A3853="C",LEFT(UPPER(C3853)&amp;REPT(" ",10),10)," ")</f>
        <v/>
      </c>
      <c r="Y3853" s="10">
        <f>IF(A3853="C",LEFT(UPPER(D3853)&amp;REPT(" ",2),2)," ")</f>
        <v/>
      </c>
      <c r="Z3853" s="10">
        <f>IF(A3853="C",LEFT(UPPER(E3853)&amp;REPT(" ",15),15)," ")</f>
        <v/>
      </c>
      <c r="AA3853" s="10">
        <f>REPT(" ",8)</f>
        <v/>
      </c>
      <c r="AB3853" s="10">
        <f>REPT(" ",4)</f>
        <v/>
      </c>
      <c r="AC3853" s="10">
        <f>LEFT(UPPER(H3853)&amp;REPT(" ",250),250)</f>
        <v/>
      </c>
      <c r="AD3853" s="10">
        <f>TEXT($G$2,"dd/mm/aaaa")</f>
        <v/>
      </c>
      <c r="AE3853" s="10">
        <f>REPT(" ",10)</f>
        <v/>
      </c>
      <c r="AF3853" s="10">
        <f>REPT(" ",20)</f>
        <v/>
      </c>
      <c r="AG3853" s="54">
        <f>REPT(" ",18-LEN(FIXED(F3853,2,TRUE)))&amp;FIXED(F3853,2,TRUE)</f>
        <v/>
      </c>
      <c r="AH3853" s="10">
        <f>LEN(AC3853)+LEN(AG3853)</f>
        <v/>
      </c>
      <c r="AI3853" s="10">
        <f>LEN(L3853)</f>
        <v/>
      </c>
    </row>
    <row r="3854">
      <c r="J3854" s="12">
        <f>IF(F3854&lt;&gt;0,"LANÇAR","")</f>
        <v/>
      </c>
      <c r="L3854" s="13">
        <f>N3854&amp;O3854&amp;P3854&amp;Q3854&amp;R3854&amp;S3854&amp;T3854&amp;U3854&amp;V3854&amp;W3854&amp;X3854&amp;Y3854&amp;Z3854&amp;AA3854&amp;AB3854&amp;AC3854&amp;AD3854&amp;AE3854&amp;AF3854&amp;AG3854</f>
        <v/>
      </c>
      <c r="N3854" s="10">
        <f>TEXT($B$6,"00")</f>
        <v/>
      </c>
      <c r="O3854" s="10">
        <f>REPT(" ",8)</f>
        <v/>
      </c>
      <c r="P3854" s="10">
        <f>RIGHT($B$4,2)</f>
        <v/>
      </c>
      <c r="Q3854" s="10">
        <f>RIGHT($B$5,3)</f>
        <v/>
      </c>
      <c r="R3854" s="10">
        <f>IF(A3854="D",LEFT(UPPER(B3854)&amp;REPT(" ",20),20),REPT(" ",20))</f>
        <v/>
      </c>
      <c r="S3854" s="10">
        <f>IF(A3854="D",LEFT(UPPER(C3854)&amp;REPT(" ",10),10)," ")</f>
        <v/>
      </c>
      <c r="T3854" s="10">
        <f>IF(A3854="D",LEFT(UPPER(D3854)&amp;REPT(" ",2),2)," ")</f>
        <v/>
      </c>
      <c r="U3854" s="10">
        <f>IF(A3854="D",LEFT(UPPER(E3854)&amp;REPT(" ",15),15)," ")</f>
        <v/>
      </c>
      <c r="V3854" s="10">
        <f>REPT(" ",24)</f>
        <v/>
      </c>
      <c r="W3854" s="10">
        <f>IF(A3854="c",LEFT(UPPER(B3854)&amp;REPT(" ",20),20),REPT(" ",20))</f>
        <v/>
      </c>
      <c r="X3854" s="10">
        <f>IF(A3854="C",LEFT(UPPER(C3854)&amp;REPT(" ",10),10)," ")</f>
        <v/>
      </c>
      <c r="Y3854" s="10">
        <f>IF(A3854="C",LEFT(UPPER(D3854)&amp;REPT(" ",2),2)," ")</f>
        <v/>
      </c>
      <c r="Z3854" s="10">
        <f>IF(A3854="C",LEFT(UPPER(E3854)&amp;REPT(" ",15),15)," ")</f>
        <v/>
      </c>
      <c r="AA3854" s="10">
        <f>REPT(" ",8)</f>
        <v/>
      </c>
      <c r="AB3854" s="10">
        <f>REPT(" ",4)</f>
        <v/>
      </c>
      <c r="AC3854" s="10">
        <f>LEFT(UPPER(H3854)&amp;REPT(" ",250),250)</f>
        <v/>
      </c>
      <c r="AD3854" s="10">
        <f>TEXT($G$2,"dd/mm/aaaa")</f>
        <v/>
      </c>
      <c r="AE3854" s="10">
        <f>REPT(" ",10)</f>
        <v/>
      </c>
      <c r="AF3854" s="10">
        <f>REPT(" ",20)</f>
        <v/>
      </c>
      <c r="AG3854" s="54">
        <f>REPT(" ",18-LEN(FIXED(F3854,2,TRUE)))&amp;FIXED(F3854,2,TRUE)</f>
        <v/>
      </c>
      <c r="AH3854" s="10">
        <f>LEN(AC3854)+LEN(AG3854)</f>
        <v/>
      </c>
      <c r="AI3854" s="10">
        <f>LEN(L3854)</f>
        <v/>
      </c>
    </row>
    <row r="3855">
      <c r="J3855" s="12">
        <f>IF(F3855&lt;&gt;0,"LANÇAR","")</f>
        <v/>
      </c>
      <c r="L3855" s="13">
        <f>N3855&amp;O3855&amp;P3855&amp;Q3855&amp;R3855&amp;S3855&amp;T3855&amp;U3855&amp;V3855&amp;W3855&amp;X3855&amp;Y3855&amp;Z3855&amp;AA3855&amp;AB3855&amp;AC3855&amp;AD3855&amp;AE3855&amp;AF3855&amp;AG3855</f>
        <v/>
      </c>
      <c r="N3855" s="10">
        <f>TEXT($B$6,"00")</f>
        <v/>
      </c>
      <c r="O3855" s="10">
        <f>REPT(" ",8)</f>
        <v/>
      </c>
      <c r="P3855" s="10">
        <f>RIGHT($B$4,2)</f>
        <v/>
      </c>
      <c r="Q3855" s="10">
        <f>RIGHT($B$5,3)</f>
        <v/>
      </c>
      <c r="R3855" s="10">
        <f>IF(A3855="D",LEFT(UPPER(B3855)&amp;REPT(" ",20),20),REPT(" ",20))</f>
        <v/>
      </c>
      <c r="S3855" s="10">
        <f>IF(A3855="D",LEFT(UPPER(C3855)&amp;REPT(" ",10),10)," ")</f>
        <v/>
      </c>
      <c r="T3855" s="10">
        <f>IF(A3855="D",LEFT(UPPER(D3855)&amp;REPT(" ",2),2)," ")</f>
        <v/>
      </c>
      <c r="U3855" s="10">
        <f>IF(A3855="D",LEFT(UPPER(E3855)&amp;REPT(" ",15),15)," ")</f>
        <v/>
      </c>
      <c r="V3855" s="10">
        <f>REPT(" ",24)</f>
        <v/>
      </c>
      <c r="W3855" s="10">
        <f>IF(A3855="c",LEFT(UPPER(B3855)&amp;REPT(" ",20),20),REPT(" ",20))</f>
        <v/>
      </c>
      <c r="X3855" s="10">
        <f>IF(A3855="C",LEFT(UPPER(C3855)&amp;REPT(" ",10),10)," ")</f>
        <v/>
      </c>
      <c r="Y3855" s="10">
        <f>IF(A3855="C",LEFT(UPPER(D3855)&amp;REPT(" ",2),2)," ")</f>
        <v/>
      </c>
      <c r="Z3855" s="10">
        <f>IF(A3855="C",LEFT(UPPER(E3855)&amp;REPT(" ",15),15)," ")</f>
        <v/>
      </c>
      <c r="AA3855" s="10">
        <f>REPT(" ",8)</f>
        <v/>
      </c>
      <c r="AB3855" s="10">
        <f>REPT(" ",4)</f>
        <v/>
      </c>
      <c r="AC3855" s="10">
        <f>LEFT(UPPER(H3855)&amp;REPT(" ",250),250)</f>
        <v/>
      </c>
      <c r="AD3855" s="10">
        <f>TEXT($G$2,"dd/mm/aaaa")</f>
        <v/>
      </c>
      <c r="AE3855" s="10">
        <f>REPT(" ",10)</f>
        <v/>
      </c>
      <c r="AF3855" s="10">
        <f>REPT(" ",20)</f>
        <v/>
      </c>
      <c r="AG3855" s="54">
        <f>REPT(" ",18-LEN(FIXED(F3855,2,TRUE)))&amp;FIXED(F3855,2,TRUE)</f>
        <v/>
      </c>
      <c r="AH3855" s="10">
        <f>LEN(AC3855)+LEN(AG3855)</f>
        <v/>
      </c>
      <c r="AI3855" s="10">
        <f>LEN(L3855)</f>
        <v/>
      </c>
    </row>
    <row r="3856">
      <c r="J3856" s="12">
        <f>IF(F3856&lt;&gt;0,"LANÇAR","")</f>
        <v/>
      </c>
      <c r="L3856" s="13">
        <f>N3856&amp;O3856&amp;P3856&amp;Q3856&amp;R3856&amp;S3856&amp;T3856&amp;U3856&amp;V3856&amp;W3856&amp;X3856&amp;Y3856&amp;Z3856&amp;AA3856&amp;AB3856&amp;AC3856&amp;AD3856&amp;AE3856&amp;AF3856&amp;AG3856</f>
        <v/>
      </c>
      <c r="N3856" s="10">
        <f>TEXT($B$6,"00")</f>
        <v/>
      </c>
      <c r="O3856" s="10">
        <f>REPT(" ",8)</f>
        <v/>
      </c>
      <c r="P3856" s="10">
        <f>RIGHT($B$4,2)</f>
        <v/>
      </c>
      <c r="Q3856" s="10">
        <f>RIGHT($B$5,3)</f>
        <v/>
      </c>
      <c r="R3856" s="10">
        <f>IF(A3856="D",LEFT(UPPER(B3856)&amp;REPT(" ",20),20),REPT(" ",20))</f>
        <v/>
      </c>
      <c r="S3856" s="10">
        <f>IF(A3856="D",LEFT(UPPER(C3856)&amp;REPT(" ",10),10)," ")</f>
        <v/>
      </c>
      <c r="T3856" s="10">
        <f>IF(A3856="D",LEFT(UPPER(D3856)&amp;REPT(" ",2),2)," ")</f>
        <v/>
      </c>
      <c r="U3856" s="10">
        <f>IF(A3856="D",LEFT(UPPER(E3856)&amp;REPT(" ",15),15)," ")</f>
        <v/>
      </c>
      <c r="V3856" s="10">
        <f>REPT(" ",24)</f>
        <v/>
      </c>
      <c r="W3856" s="10">
        <f>IF(A3856="c",LEFT(UPPER(B3856)&amp;REPT(" ",20),20),REPT(" ",20))</f>
        <v/>
      </c>
      <c r="X3856" s="10">
        <f>IF(A3856="C",LEFT(UPPER(C3856)&amp;REPT(" ",10),10)," ")</f>
        <v/>
      </c>
      <c r="Y3856" s="10">
        <f>IF(A3856="C",LEFT(UPPER(D3856)&amp;REPT(" ",2),2)," ")</f>
        <v/>
      </c>
      <c r="Z3856" s="10">
        <f>IF(A3856="C",LEFT(UPPER(E3856)&amp;REPT(" ",15),15)," ")</f>
        <v/>
      </c>
      <c r="AA3856" s="10">
        <f>REPT(" ",8)</f>
        <v/>
      </c>
      <c r="AB3856" s="10">
        <f>REPT(" ",4)</f>
        <v/>
      </c>
      <c r="AC3856" s="10">
        <f>LEFT(UPPER(H3856)&amp;REPT(" ",250),250)</f>
        <v/>
      </c>
      <c r="AD3856" s="10">
        <f>TEXT($G$2,"dd/mm/aaaa")</f>
        <v/>
      </c>
      <c r="AE3856" s="10">
        <f>REPT(" ",10)</f>
        <v/>
      </c>
      <c r="AF3856" s="10">
        <f>REPT(" ",20)</f>
        <v/>
      </c>
      <c r="AG3856" s="54">
        <f>REPT(" ",18-LEN(FIXED(F3856,2,TRUE)))&amp;FIXED(F3856,2,TRUE)</f>
        <v/>
      </c>
      <c r="AH3856" s="10">
        <f>LEN(AC3856)+LEN(AG3856)</f>
        <v/>
      </c>
      <c r="AI3856" s="10">
        <f>LEN(L3856)</f>
        <v/>
      </c>
    </row>
    <row r="3857">
      <c r="J3857" s="12">
        <f>IF(F3857&lt;&gt;0,"LANÇAR","")</f>
        <v/>
      </c>
      <c r="L3857" s="13">
        <f>N3857&amp;O3857&amp;P3857&amp;Q3857&amp;R3857&amp;S3857&amp;T3857&amp;U3857&amp;V3857&amp;W3857&amp;X3857&amp;Y3857&amp;Z3857&amp;AA3857&amp;AB3857&amp;AC3857&amp;AD3857&amp;AE3857&amp;AF3857&amp;AG3857</f>
        <v/>
      </c>
      <c r="N3857" s="10">
        <f>TEXT($B$6,"00")</f>
        <v/>
      </c>
      <c r="O3857" s="10">
        <f>REPT(" ",8)</f>
        <v/>
      </c>
      <c r="P3857" s="10">
        <f>RIGHT($B$4,2)</f>
        <v/>
      </c>
      <c r="Q3857" s="10">
        <f>RIGHT($B$5,3)</f>
        <v/>
      </c>
      <c r="R3857" s="10">
        <f>IF(A3857="D",LEFT(UPPER(B3857)&amp;REPT(" ",20),20),REPT(" ",20))</f>
        <v/>
      </c>
      <c r="S3857" s="10">
        <f>IF(A3857="D",LEFT(UPPER(C3857)&amp;REPT(" ",10),10)," ")</f>
        <v/>
      </c>
      <c r="T3857" s="10">
        <f>IF(A3857="D",LEFT(UPPER(D3857)&amp;REPT(" ",2),2)," ")</f>
        <v/>
      </c>
      <c r="U3857" s="10">
        <f>IF(A3857="D",LEFT(UPPER(E3857)&amp;REPT(" ",15),15)," ")</f>
        <v/>
      </c>
      <c r="V3857" s="10">
        <f>REPT(" ",24)</f>
        <v/>
      </c>
      <c r="W3857" s="10">
        <f>IF(A3857="c",LEFT(UPPER(B3857)&amp;REPT(" ",20),20),REPT(" ",20))</f>
        <v/>
      </c>
      <c r="X3857" s="10">
        <f>IF(A3857="C",LEFT(UPPER(C3857)&amp;REPT(" ",10),10)," ")</f>
        <v/>
      </c>
      <c r="Y3857" s="10">
        <f>IF(A3857="C",LEFT(UPPER(D3857)&amp;REPT(" ",2),2)," ")</f>
        <v/>
      </c>
      <c r="Z3857" s="10">
        <f>IF(A3857="C",LEFT(UPPER(E3857)&amp;REPT(" ",15),15)," ")</f>
        <v/>
      </c>
      <c r="AA3857" s="10">
        <f>REPT(" ",8)</f>
        <v/>
      </c>
      <c r="AB3857" s="10">
        <f>REPT(" ",4)</f>
        <v/>
      </c>
      <c r="AC3857" s="10">
        <f>LEFT(UPPER(H3857)&amp;REPT(" ",250),250)</f>
        <v/>
      </c>
      <c r="AD3857" s="10">
        <f>TEXT($G$2,"dd/mm/aaaa")</f>
        <v/>
      </c>
      <c r="AE3857" s="10">
        <f>REPT(" ",10)</f>
        <v/>
      </c>
      <c r="AF3857" s="10">
        <f>REPT(" ",20)</f>
        <v/>
      </c>
      <c r="AG3857" s="54">
        <f>REPT(" ",18-LEN(FIXED(F3857,2,TRUE)))&amp;FIXED(F3857,2,TRUE)</f>
        <v/>
      </c>
      <c r="AH3857" s="10">
        <f>LEN(AC3857)+LEN(AG3857)</f>
        <v/>
      </c>
      <c r="AI3857" s="10">
        <f>LEN(L3857)</f>
        <v/>
      </c>
    </row>
    <row r="3858">
      <c r="J3858" s="12">
        <f>IF(F3858&lt;&gt;0,"LANÇAR","")</f>
        <v/>
      </c>
      <c r="L3858" s="13">
        <f>N3858&amp;O3858&amp;P3858&amp;Q3858&amp;R3858&amp;S3858&amp;T3858&amp;U3858&amp;V3858&amp;W3858&amp;X3858&amp;Y3858&amp;Z3858&amp;AA3858&amp;AB3858&amp;AC3858&amp;AD3858&amp;AE3858&amp;AF3858&amp;AG3858</f>
        <v/>
      </c>
      <c r="N3858" s="10">
        <f>TEXT($B$6,"00")</f>
        <v/>
      </c>
      <c r="O3858" s="10">
        <f>REPT(" ",8)</f>
        <v/>
      </c>
      <c r="P3858" s="10">
        <f>RIGHT($B$4,2)</f>
        <v/>
      </c>
      <c r="Q3858" s="10">
        <f>RIGHT($B$5,3)</f>
        <v/>
      </c>
      <c r="R3858" s="10">
        <f>IF(A3858="D",LEFT(UPPER(B3858)&amp;REPT(" ",20),20),REPT(" ",20))</f>
        <v/>
      </c>
      <c r="S3858" s="10">
        <f>IF(A3858="D",LEFT(UPPER(C3858)&amp;REPT(" ",10),10)," ")</f>
        <v/>
      </c>
      <c r="T3858" s="10">
        <f>IF(A3858="D",LEFT(UPPER(D3858)&amp;REPT(" ",2),2)," ")</f>
        <v/>
      </c>
      <c r="U3858" s="10">
        <f>IF(A3858="D",LEFT(UPPER(E3858)&amp;REPT(" ",15),15)," ")</f>
        <v/>
      </c>
      <c r="V3858" s="10">
        <f>REPT(" ",24)</f>
        <v/>
      </c>
      <c r="W3858" s="10">
        <f>IF(A3858="c",LEFT(UPPER(B3858)&amp;REPT(" ",20),20),REPT(" ",20))</f>
        <v/>
      </c>
      <c r="X3858" s="10">
        <f>IF(A3858="C",LEFT(UPPER(C3858)&amp;REPT(" ",10),10)," ")</f>
        <v/>
      </c>
      <c r="Y3858" s="10">
        <f>IF(A3858="C",LEFT(UPPER(D3858)&amp;REPT(" ",2),2)," ")</f>
        <v/>
      </c>
      <c r="Z3858" s="10">
        <f>IF(A3858="C",LEFT(UPPER(E3858)&amp;REPT(" ",15),15)," ")</f>
        <v/>
      </c>
      <c r="AA3858" s="10">
        <f>REPT(" ",8)</f>
        <v/>
      </c>
      <c r="AB3858" s="10">
        <f>REPT(" ",4)</f>
        <v/>
      </c>
      <c r="AC3858" s="10">
        <f>LEFT(UPPER(H3858)&amp;REPT(" ",250),250)</f>
        <v/>
      </c>
      <c r="AD3858" s="10">
        <f>TEXT($G$2,"dd/mm/aaaa")</f>
        <v/>
      </c>
      <c r="AE3858" s="10">
        <f>REPT(" ",10)</f>
        <v/>
      </c>
      <c r="AF3858" s="10">
        <f>REPT(" ",20)</f>
        <v/>
      </c>
      <c r="AG3858" s="54">
        <f>REPT(" ",18-LEN(FIXED(F3858,2,TRUE)))&amp;FIXED(F3858,2,TRUE)</f>
        <v/>
      </c>
      <c r="AH3858" s="10">
        <f>LEN(AC3858)+LEN(AG3858)</f>
        <v/>
      </c>
      <c r="AI3858" s="10">
        <f>LEN(L3858)</f>
        <v/>
      </c>
    </row>
    <row r="3859">
      <c r="J3859" s="12">
        <f>IF(F3859&lt;&gt;0,"LANÇAR","")</f>
        <v/>
      </c>
      <c r="L3859" s="13">
        <f>N3859&amp;O3859&amp;P3859&amp;Q3859&amp;R3859&amp;S3859&amp;T3859&amp;U3859&amp;V3859&amp;W3859&amp;X3859&amp;Y3859&amp;Z3859&amp;AA3859&amp;AB3859&amp;AC3859&amp;AD3859&amp;AE3859&amp;AF3859&amp;AG3859</f>
        <v/>
      </c>
      <c r="N3859" s="10">
        <f>TEXT($B$6,"00")</f>
        <v/>
      </c>
      <c r="O3859" s="10">
        <f>REPT(" ",8)</f>
        <v/>
      </c>
      <c r="P3859" s="10">
        <f>RIGHT($B$4,2)</f>
        <v/>
      </c>
      <c r="Q3859" s="10">
        <f>RIGHT($B$5,3)</f>
        <v/>
      </c>
      <c r="R3859" s="10">
        <f>IF(A3859="D",LEFT(UPPER(B3859)&amp;REPT(" ",20),20),REPT(" ",20))</f>
        <v/>
      </c>
      <c r="S3859" s="10">
        <f>IF(A3859="D",LEFT(UPPER(C3859)&amp;REPT(" ",10),10)," ")</f>
        <v/>
      </c>
      <c r="T3859" s="10">
        <f>IF(A3859="D",LEFT(UPPER(D3859)&amp;REPT(" ",2),2)," ")</f>
        <v/>
      </c>
      <c r="U3859" s="10">
        <f>IF(A3859="D",LEFT(UPPER(E3859)&amp;REPT(" ",15),15)," ")</f>
        <v/>
      </c>
      <c r="V3859" s="10">
        <f>REPT(" ",24)</f>
        <v/>
      </c>
      <c r="W3859" s="10">
        <f>IF(A3859="c",LEFT(UPPER(B3859)&amp;REPT(" ",20),20),REPT(" ",20))</f>
        <v/>
      </c>
      <c r="X3859" s="10">
        <f>IF(A3859="C",LEFT(UPPER(C3859)&amp;REPT(" ",10),10)," ")</f>
        <v/>
      </c>
      <c r="Y3859" s="10">
        <f>IF(A3859="C",LEFT(UPPER(D3859)&amp;REPT(" ",2),2)," ")</f>
        <v/>
      </c>
      <c r="Z3859" s="10">
        <f>IF(A3859="C",LEFT(UPPER(E3859)&amp;REPT(" ",15),15)," ")</f>
        <v/>
      </c>
      <c r="AA3859" s="10">
        <f>REPT(" ",8)</f>
        <v/>
      </c>
      <c r="AB3859" s="10">
        <f>REPT(" ",4)</f>
        <v/>
      </c>
      <c r="AC3859" s="10">
        <f>LEFT(UPPER(H3859)&amp;REPT(" ",250),250)</f>
        <v/>
      </c>
      <c r="AD3859" s="10">
        <f>TEXT($G$2,"dd/mm/aaaa")</f>
        <v/>
      </c>
      <c r="AE3859" s="10">
        <f>REPT(" ",10)</f>
        <v/>
      </c>
      <c r="AF3859" s="10">
        <f>REPT(" ",20)</f>
        <v/>
      </c>
      <c r="AG3859" s="54">
        <f>REPT(" ",18-LEN(FIXED(F3859,2,TRUE)))&amp;FIXED(F3859,2,TRUE)</f>
        <v/>
      </c>
      <c r="AH3859" s="10">
        <f>LEN(AC3859)+LEN(AG3859)</f>
        <v/>
      </c>
      <c r="AI3859" s="10">
        <f>LEN(L3859)</f>
        <v/>
      </c>
    </row>
    <row r="3860">
      <c r="J3860" s="12">
        <f>IF(F3860&lt;&gt;0,"LANÇAR","")</f>
        <v/>
      </c>
      <c r="L3860" s="13">
        <f>N3860&amp;O3860&amp;P3860&amp;Q3860&amp;R3860&amp;S3860&amp;T3860&amp;U3860&amp;V3860&amp;W3860&amp;X3860&amp;Y3860&amp;Z3860&amp;AA3860&amp;AB3860&amp;AC3860&amp;AD3860&amp;AE3860&amp;AF3860&amp;AG3860</f>
        <v/>
      </c>
      <c r="N3860" s="10">
        <f>TEXT($B$6,"00")</f>
        <v/>
      </c>
      <c r="O3860" s="10">
        <f>REPT(" ",8)</f>
        <v/>
      </c>
      <c r="P3860" s="10">
        <f>RIGHT($B$4,2)</f>
        <v/>
      </c>
      <c r="Q3860" s="10">
        <f>RIGHT($B$5,3)</f>
        <v/>
      </c>
      <c r="R3860" s="10">
        <f>IF(A3860="D",LEFT(UPPER(B3860)&amp;REPT(" ",20),20),REPT(" ",20))</f>
        <v/>
      </c>
      <c r="S3860" s="10">
        <f>IF(A3860="D",LEFT(UPPER(C3860)&amp;REPT(" ",10),10)," ")</f>
        <v/>
      </c>
      <c r="T3860" s="10">
        <f>IF(A3860="D",LEFT(UPPER(D3860)&amp;REPT(" ",2),2)," ")</f>
        <v/>
      </c>
      <c r="U3860" s="10">
        <f>IF(A3860="D",LEFT(UPPER(E3860)&amp;REPT(" ",15),15)," ")</f>
        <v/>
      </c>
      <c r="V3860" s="10">
        <f>REPT(" ",24)</f>
        <v/>
      </c>
      <c r="W3860" s="10">
        <f>IF(A3860="c",LEFT(UPPER(B3860)&amp;REPT(" ",20),20),REPT(" ",20))</f>
        <v/>
      </c>
      <c r="X3860" s="10">
        <f>IF(A3860="C",LEFT(UPPER(C3860)&amp;REPT(" ",10),10)," ")</f>
        <v/>
      </c>
      <c r="Y3860" s="10">
        <f>IF(A3860="C",LEFT(UPPER(D3860)&amp;REPT(" ",2),2)," ")</f>
        <v/>
      </c>
      <c r="Z3860" s="10">
        <f>IF(A3860="C",LEFT(UPPER(E3860)&amp;REPT(" ",15),15)," ")</f>
        <v/>
      </c>
      <c r="AA3860" s="10">
        <f>REPT(" ",8)</f>
        <v/>
      </c>
      <c r="AB3860" s="10">
        <f>REPT(" ",4)</f>
        <v/>
      </c>
      <c r="AC3860" s="10">
        <f>LEFT(UPPER(H3860)&amp;REPT(" ",250),250)</f>
        <v/>
      </c>
      <c r="AD3860" s="10">
        <f>TEXT($G$2,"dd/mm/aaaa")</f>
        <v/>
      </c>
      <c r="AE3860" s="10">
        <f>REPT(" ",10)</f>
        <v/>
      </c>
      <c r="AF3860" s="10">
        <f>REPT(" ",20)</f>
        <v/>
      </c>
      <c r="AG3860" s="54">
        <f>REPT(" ",18-LEN(FIXED(F3860,2,TRUE)))&amp;FIXED(F3860,2,TRUE)</f>
        <v/>
      </c>
      <c r="AH3860" s="10">
        <f>LEN(AC3860)+LEN(AG3860)</f>
        <v/>
      </c>
      <c r="AI3860" s="10">
        <f>LEN(L3860)</f>
        <v/>
      </c>
    </row>
    <row r="3861">
      <c r="J3861" s="12">
        <f>IF(F3861&lt;&gt;0,"LANÇAR","")</f>
        <v/>
      </c>
      <c r="L3861" s="13">
        <f>N3861&amp;O3861&amp;P3861&amp;Q3861&amp;R3861&amp;S3861&amp;T3861&amp;U3861&amp;V3861&amp;W3861&amp;X3861&amp;Y3861&amp;Z3861&amp;AA3861&amp;AB3861&amp;AC3861&amp;AD3861&amp;AE3861&amp;AF3861&amp;AG3861</f>
        <v/>
      </c>
      <c r="N3861" s="10">
        <f>TEXT($B$6,"00")</f>
        <v/>
      </c>
      <c r="O3861" s="10">
        <f>REPT(" ",8)</f>
        <v/>
      </c>
      <c r="P3861" s="10">
        <f>RIGHT($B$4,2)</f>
        <v/>
      </c>
      <c r="Q3861" s="10">
        <f>RIGHT($B$5,3)</f>
        <v/>
      </c>
      <c r="R3861" s="10">
        <f>IF(A3861="D",LEFT(UPPER(B3861)&amp;REPT(" ",20),20),REPT(" ",20))</f>
        <v/>
      </c>
      <c r="S3861" s="10">
        <f>IF(A3861="D",LEFT(UPPER(C3861)&amp;REPT(" ",10),10)," ")</f>
        <v/>
      </c>
      <c r="T3861" s="10">
        <f>IF(A3861="D",LEFT(UPPER(D3861)&amp;REPT(" ",2),2)," ")</f>
        <v/>
      </c>
      <c r="U3861" s="10">
        <f>IF(A3861="D",LEFT(UPPER(E3861)&amp;REPT(" ",15),15)," ")</f>
        <v/>
      </c>
      <c r="V3861" s="10">
        <f>REPT(" ",24)</f>
        <v/>
      </c>
      <c r="W3861" s="10">
        <f>IF(A3861="c",LEFT(UPPER(B3861)&amp;REPT(" ",20),20),REPT(" ",20))</f>
        <v/>
      </c>
      <c r="X3861" s="10">
        <f>IF(A3861="C",LEFT(UPPER(C3861)&amp;REPT(" ",10),10)," ")</f>
        <v/>
      </c>
      <c r="Y3861" s="10">
        <f>IF(A3861="C",LEFT(UPPER(D3861)&amp;REPT(" ",2),2)," ")</f>
        <v/>
      </c>
      <c r="Z3861" s="10">
        <f>IF(A3861="C",LEFT(UPPER(E3861)&amp;REPT(" ",15),15)," ")</f>
        <v/>
      </c>
      <c r="AA3861" s="10">
        <f>REPT(" ",8)</f>
        <v/>
      </c>
      <c r="AB3861" s="10">
        <f>REPT(" ",4)</f>
        <v/>
      </c>
      <c r="AC3861" s="10">
        <f>LEFT(UPPER(H3861)&amp;REPT(" ",250),250)</f>
        <v/>
      </c>
      <c r="AD3861" s="10">
        <f>TEXT($G$2,"dd/mm/aaaa")</f>
        <v/>
      </c>
      <c r="AE3861" s="10">
        <f>REPT(" ",10)</f>
        <v/>
      </c>
      <c r="AF3861" s="10">
        <f>REPT(" ",20)</f>
        <v/>
      </c>
      <c r="AG3861" s="54">
        <f>REPT(" ",18-LEN(FIXED(F3861,2,TRUE)))&amp;FIXED(F3861,2,TRUE)</f>
        <v/>
      </c>
      <c r="AH3861" s="10">
        <f>LEN(AC3861)+LEN(AG3861)</f>
        <v/>
      </c>
      <c r="AI3861" s="10">
        <f>LEN(L3861)</f>
        <v/>
      </c>
    </row>
    <row r="3862">
      <c r="J3862" s="12">
        <f>IF(F3862&lt;&gt;0,"LANÇAR","")</f>
        <v/>
      </c>
      <c r="L3862" s="13">
        <f>N3862&amp;O3862&amp;P3862&amp;Q3862&amp;R3862&amp;S3862&amp;T3862&amp;U3862&amp;V3862&amp;W3862&amp;X3862&amp;Y3862&amp;Z3862&amp;AA3862&amp;AB3862&amp;AC3862&amp;AD3862&amp;AE3862&amp;AF3862&amp;AG3862</f>
        <v/>
      </c>
      <c r="N3862" s="10">
        <f>TEXT($B$6,"00")</f>
        <v/>
      </c>
      <c r="O3862" s="10">
        <f>REPT(" ",8)</f>
        <v/>
      </c>
      <c r="P3862" s="10">
        <f>RIGHT($B$4,2)</f>
        <v/>
      </c>
      <c r="Q3862" s="10">
        <f>RIGHT($B$5,3)</f>
        <v/>
      </c>
      <c r="R3862" s="10">
        <f>IF(A3862="D",LEFT(UPPER(B3862)&amp;REPT(" ",20),20),REPT(" ",20))</f>
        <v/>
      </c>
      <c r="S3862" s="10">
        <f>IF(A3862="D",LEFT(UPPER(C3862)&amp;REPT(" ",10),10)," ")</f>
        <v/>
      </c>
      <c r="T3862" s="10">
        <f>IF(A3862="D",LEFT(UPPER(D3862)&amp;REPT(" ",2),2)," ")</f>
        <v/>
      </c>
      <c r="U3862" s="10">
        <f>IF(A3862="D",LEFT(UPPER(E3862)&amp;REPT(" ",15),15)," ")</f>
        <v/>
      </c>
      <c r="V3862" s="10">
        <f>REPT(" ",24)</f>
        <v/>
      </c>
      <c r="W3862" s="10">
        <f>IF(A3862="c",LEFT(UPPER(B3862)&amp;REPT(" ",20),20),REPT(" ",20))</f>
        <v/>
      </c>
      <c r="X3862" s="10">
        <f>IF(A3862="C",LEFT(UPPER(C3862)&amp;REPT(" ",10),10)," ")</f>
        <v/>
      </c>
      <c r="Y3862" s="10">
        <f>IF(A3862="C",LEFT(UPPER(D3862)&amp;REPT(" ",2),2)," ")</f>
        <v/>
      </c>
      <c r="Z3862" s="10">
        <f>IF(A3862="C",LEFT(UPPER(E3862)&amp;REPT(" ",15),15)," ")</f>
        <v/>
      </c>
      <c r="AA3862" s="10">
        <f>REPT(" ",8)</f>
        <v/>
      </c>
      <c r="AB3862" s="10">
        <f>REPT(" ",4)</f>
        <v/>
      </c>
      <c r="AC3862" s="10">
        <f>LEFT(UPPER(H3862)&amp;REPT(" ",250),250)</f>
        <v/>
      </c>
      <c r="AD3862" s="10">
        <f>TEXT($G$2,"dd/mm/aaaa")</f>
        <v/>
      </c>
      <c r="AE3862" s="10">
        <f>REPT(" ",10)</f>
        <v/>
      </c>
      <c r="AF3862" s="10">
        <f>REPT(" ",20)</f>
        <v/>
      </c>
      <c r="AG3862" s="54">
        <f>REPT(" ",18-LEN(FIXED(F3862,2,TRUE)))&amp;FIXED(F3862,2,TRUE)</f>
        <v/>
      </c>
      <c r="AH3862" s="10">
        <f>LEN(AC3862)+LEN(AG3862)</f>
        <v/>
      </c>
      <c r="AI3862" s="10">
        <f>LEN(L3862)</f>
        <v/>
      </c>
    </row>
    <row r="3863">
      <c r="J3863" s="12">
        <f>IF(F3863&lt;&gt;0,"LANÇAR","")</f>
        <v/>
      </c>
      <c r="L3863" s="13">
        <f>N3863&amp;O3863&amp;P3863&amp;Q3863&amp;R3863&amp;S3863&amp;T3863&amp;U3863&amp;V3863&amp;W3863&amp;X3863&amp;Y3863&amp;Z3863&amp;AA3863&amp;AB3863&amp;AC3863&amp;AD3863&amp;AE3863&amp;AF3863&amp;AG3863</f>
        <v/>
      </c>
      <c r="N3863" s="10">
        <f>TEXT($B$6,"00")</f>
        <v/>
      </c>
      <c r="O3863" s="10">
        <f>REPT(" ",8)</f>
        <v/>
      </c>
      <c r="P3863" s="10">
        <f>RIGHT($B$4,2)</f>
        <v/>
      </c>
      <c r="Q3863" s="10">
        <f>RIGHT($B$5,3)</f>
        <v/>
      </c>
      <c r="R3863" s="10">
        <f>IF(A3863="D",LEFT(UPPER(B3863)&amp;REPT(" ",20),20),REPT(" ",20))</f>
        <v/>
      </c>
      <c r="S3863" s="10">
        <f>IF(A3863="D",LEFT(UPPER(C3863)&amp;REPT(" ",10),10)," ")</f>
        <v/>
      </c>
      <c r="T3863" s="10">
        <f>IF(A3863="D",LEFT(UPPER(D3863)&amp;REPT(" ",2),2)," ")</f>
        <v/>
      </c>
      <c r="U3863" s="10">
        <f>IF(A3863="D",LEFT(UPPER(E3863)&amp;REPT(" ",15),15)," ")</f>
        <v/>
      </c>
      <c r="V3863" s="10">
        <f>REPT(" ",24)</f>
        <v/>
      </c>
      <c r="W3863" s="10">
        <f>IF(A3863="c",LEFT(UPPER(B3863)&amp;REPT(" ",20),20),REPT(" ",20))</f>
        <v/>
      </c>
      <c r="X3863" s="10">
        <f>IF(A3863="C",LEFT(UPPER(C3863)&amp;REPT(" ",10),10)," ")</f>
        <v/>
      </c>
      <c r="Y3863" s="10">
        <f>IF(A3863="C",LEFT(UPPER(D3863)&amp;REPT(" ",2),2)," ")</f>
        <v/>
      </c>
      <c r="Z3863" s="10">
        <f>IF(A3863="C",LEFT(UPPER(E3863)&amp;REPT(" ",15),15)," ")</f>
        <v/>
      </c>
      <c r="AA3863" s="10">
        <f>REPT(" ",8)</f>
        <v/>
      </c>
      <c r="AB3863" s="10">
        <f>REPT(" ",4)</f>
        <v/>
      </c>
      <c r="AC3863" s="10">
        <f>LEFT(UPPER(H3863)&amp;REPT(" ",250),250)</f>
        <v/>
      </c>
      <c r="AD3863" s="10">
        <f>TEXT($G$2,"dd/mm/aaaa")</f>
        <v/>
      </c>
      <c r="AE3863" s="10">
        <f>REPT(" ",10)</f>
        <v/>
      </c>
      <c r="AF3863" s="10">
        <f>REPT(" ",20)</f>
        <v/>
      </c>
      <c r="AG3863" s="54">
        <f>REPT(" ",18-LEN(FIXED(F3863,2,TRUE)))&amp;FIXED(F3863,2,TRUE)</f>
        <v/>
      </c>
      <c r="AH3863" s="10">
        <f>LEN(AC3863)+LEN(AG3863)</f>
        <v/>
      </c>
      <c r="AI3863" s="10">
        <f>LEN(L3863)</f>
        <v/>
      </c>
    </row>
    <row r="3864">
      <c r="J3864" s="12">
        <f>IF(F3864&lt;&gt;0,"LANÇAR","")</f>
        <v/>
      </c>
      <c r="L3864" s="13">
        <f>N3864&amp;O3864&amp;P3864&amp;Q3864&amp;R3864&amp;S3864&amp;T3864&amp;U3864&amp;V3864&amp;W3864&amp;X3864&amp;Y3864&amp;Z3864&amp;AA3864&amp;AB3864&amp;AC3864&amp;AD3864&amp;AE3864&amp;AF3864&amp;AG3864</f>
        <v/>
      </c>
      <c r="N3864" s="10">
        <f>TEXT($B$6,"00")</f>
        <v/>
      </c>
      <c r="O3864" s="10">
        <f>REPT(" ",8)</f>
        <v/>
      </c>
      <c r="P3864" s="10">
        <f>RIGHT($B$4,2)</f>
        <v/>
      </c>
      <c r="Q3864" s="10">
        <f>RIGHT($B$5,3)</f>
        <v/>
      </c>
      <c r="R3864" s="10">
        <f>IF(A3864="D",LEFT(UPPER(B3864)&amp;REPT(" ",20),20),REPT(" ",20))</f>
        <v/>
      </c>
      <c r="S3864" s="10">
        <f>IF(A3864="D",LEFT(UPPER(C3864)&amp;REPT(" ",10),10)," ")</f>
        <v/>
      </c>
      <c r="T3864" s="10">
        <f>IF(A3864="D",LEFT(UPPER(D3864)&amp;REPT(" ",2),2)," ")</f>
        <v/>
      </c>
      <c r="U3864" s="10">
        <f>IF(A3864="D",LEFT(UPPER(E3864)&amp;REPT(" ",15),15)," ")</f>
        <v/>
      </c>
      <c r="V3864" s="10">
        <f>REPT(" ",24)</f>
        <v/>
      </c>
      <c r="W3864" s="10">
        <f>IF(A3864="c",LEFT(UPPER(B3864)&amp;REPT(" ",20),20),REPT(" ",20))</f>
        <v/>
      </c>
      <c r="X3864" s="10">
        <f>IF(A3864="C",LEFT(UPPER(C3864)&amp;REPT(" ",10),10)," ")</f>
        <v/>
      </c>
      <c r="Y3864" s="10">
        <f>IF(A3864="C",LEFT(UPPER(D3864)&amp;REPT(" ",2),2)," ")</f>
        <v/>
      </c>
      <c r="Z3864" s="10">
        <f>IF(A3864="C",LEFT(UPPER(E3864)&amp;REPT(" ",15),15)," ")</f>
        <v/>
      </c>
      <c r="AA3864" s="10">
        <f>REPT(" ",8)</f>
        <v/>
      </c>
      <c r="AB3864" s="10">
        <f>REPT(" ",4)</f>
        <v/>
      </c>
      <c r="AC3864" s="10">
        <f>LEFT(UPPER(H3864)&amp;REPT(" ",250),250)</f>
        <v/>
      </c>
      <c r="AD3864" s="10">
        <f>TEXT($G$2,"dd/mm/aaaa")</f>
        <v/>
      </c>
      <c r="AE3864" s="10">
        <f>REPT(" ",10)</f>
        <v/>
      </c>
      <c r="AF3864" s="10">
        <f>REPT(" ",20)</f>
        <v/>
      </c>
      <c r="AG3864" s="54">
        <f>REPT(" ",18-LEN(FIXED(F3864,2,TRUE)))&amp;FIXED(F3864,2,TRUE)</f>
        <v/>
      </c>
      <c r="AH3864" s="10">
        <f>LEN(AC3864)+LEN(AG3864)</f>
        <v/>
      </c>
      <c r="AI3864" s="10">
        <f>LEN(L3864)</f>
        <v/>
      </c>
    </row>
    <row r="3865">
      <c r="J3865" s="12">
        <f>IF(F3865&lt;&gt;0,"LANÇAR","")</f>
        <v/>
      </c>
      <c r="L3865" s="13">
        <f>N3865&amp;O3865&amp;P3865&amp;Q3865&amp;R3865&amp;S3865&amp;T3865&amp;U3865&amp;V3865&amp;W3865&amp;X3865&amp;Y3865&amp;Z3865&amp;AA3865&amp;AB3865&amp;AC3865&amp;AD3865&amp;AE3865&amp;AF3865&amp;AG3865</f>
        <v/>
      </c>
      <c r="N3865" s="10">
        <f>TEXT($B$6,"00")</f>
        <v/>
      </c>
      <c r="O3865" s="10">
        <f>REPT(" ",8)</f>
        <v/>
      </c>
      <c r="P3865" s="10">
        <f>RIGHT($B$4,2)</f>
        <v/>
      </c>
      <c r="Q3865" s="10">
        <f>RIGHT($B$5,3)</f>
        <v/>
      </c>
      <c r="R3865" s="10">
        <f>IF(A3865="D",LEFT(UPPER(B3865)&amp;REPT(" ",20),20),REPT(" ",20))</f>
        <v/>
      </c>
      <c r="S3865" s="10">
        <f>IF(A3865="D",LEFT(UPPER(C3865)&amp;REPT(" ",10),10)," ")</f>
        <v/>
      </c>
      <c r="T3865" s="10">
        <f>IF(A3865="D",LEFT(UPPER(D3865)&amp;REPT(" ",2),2)," ")</f>
        <v/>
      </c>
      <c r="U3865" s="10">
        <f>IF(A3865="D",LEFT(UPPER(E3865)&amp;REPT(" ",15),15)," ")</f>
        <v/>
      </c>
      <c r="V3865" s="10">
        <f>REPT(" ",24)</f>
        <v/>
      </c>
      <c r="W3865" s="10">
        <f>IF(A3865="c",LEFT(UPPER(B3865)&amp;REPT(" ",20),20),REPT(" ",20))</f>
        <v/>
      </c>
      <c r="X3865" s="10">
        <f>IF(A3865="C",LEFT(UPPER(C3865)&amp;REPT(" ",10),10)," ")</f>
        <v/>
      </c>
      <c r="Y3865" s="10">
        <f>IF(A3865="C",LEFT(UPPER(D3865)&amp;REPT(" ",2),2)," ")</f>
        <v/>
      </c>
      <c r="Z3865" s="10">
        <f>IF(A3865="C",LEFT(UPPER(E3865)&amp;REPT(" ",15),15)," ")</f>
        <v/>
      </c>
      <c r="AA3865" s="10">
        <f>REPT(" ",8)</f>
        <v/>
      </c>
      <c r="AB3865" s="10">
        <f>REPT(" ",4)</f>
        <v/>
      </c>
      <c r="AC3865" s="10">
        <f>LEFT(UPPER(H3865)&amp;REPT(" ",250),250)</f>
        <v/>
      </c>
      <c r="AD3865" s="10">
        <f>TEXT($G$2,"dd/mm/aaaa")</f>
        <v/>
      </c>
      <c r="AE3865" s="10">
        <f>REPT(" ",10)</f>
        <v/>
      </c>
      <c r="AF3865" s="10">
        <f>REPT(" ",20)</f>
        <v/>
      </c>
      <c r="AG3865" s="54">
        <f>REPT(" ",18-LEN(FIXED(F3865,2,TRUE)))&amp;FIXED(F3865,2,TRUE)</f>
        <v/>
      </c>
      <c r="AH3865" s="10">
        <f>LEN(AC3865)+LEN(AG3865)</f>
        <v/>
      </c>
      <c r="AI3865" s="10">
        <f>LEN(L3865)</f>
        <v/>
      </c>
    </row>
    <row r="3866">
      <c r="J3866" s="12">
        <f>IF(F3866&lt;&gt;0,"LANÇAR","")</f>
        <v/>
      </c>
      <c r="L3866" s="13">
        <f>N3866&amp;O3866&amp;P3866&amp;Q3866&amp;R3866&amp;S3866&amp;T3866&amp;U3866&amp;V3866&amp;W3866&amp;X3866&amp;Y3866&amp;Z3866&amp;AA3866&amp;AB3866&amp;AC3866&amp;AD3866&amp;AE3866&amp;AF3866&amp;AG3866</f>
        <v/>
      </c>
      <c r="N3866" s="10">
        <f>TEXT($B$6,"00")</f>
        <v/>
      </c>
      <c r="O3866" s="10">
        <f>REPT(" ",8)</f>
        <v/>
      </c>
      <c r="P3866" s="10">
        <f>RIGHT($B$4,2)</f>
        <v/>
      </c>
      <c r="Q3866" s="10">
        <f>RIGHT($B$5,3)</f>
        <v/>
      </c>
      <c r="R3866" s="10">
        <f>IF(A3866="D",LEFT(UPPER(B3866)&amp;REPT(" ",20),20),REPT(" ",20))</f>
        <v/>
      </c>
      <c r="S3866" s="10">
        <f>IF(A3866="D",LEFT(UPPER(C3866)&amp;REPT(" ",10),10)," ")</f>
        <v/>
      </c>
      <c r="T3866" s="10">
        <f>IF(A3866="D",LEFT(UPPER(D3866)&amp;REPT(" ",2),2)," ")</f>
        <v/>
      </c>
      <c r="U3866" s="10">
        <f>IF(A3866="D",LEFT(UPPER(E3866)&amp;REPT(" ",15),15)," ")</f>
        <v/>
      </c>
      <c r="V3866" s="10">
        <f>REPT(" ",24)</f>
        <v/>
      </c>
      <c r="W3866" s="10">
        <f>IF(A3866="c",LEFT(UPPER(B3866)&amp;REPT(" ",20),20),REPT(" ",20))</f>
        <v/>
      </c>
      <c r="X3866" s="10">
        <f>IF(A3866="C",LEFT(UPPER(C3866)&amp;REPT(" ",10),10)," ")</f>
        <v/>
      </c>
      <c r="Y3866" s="10">
        <f>IF(A3866="C",LEFT(UPPER(D3866)&amp;REPT(" ",2),2)," ")</f>
        <v/>
      </c>
      <c r="Z3866" s="10">
        <f>IF(A3866="C",LEFT(UPPER(E3866)&amp;REPT(" ",15),15)," ")</f>
        <v/>
      </c>
      <c r="AA3866" s="10">
        <f>REPT(" ",8)</f>
        <v/>
      </c>
      <c r="AB3866" s="10">
        <f>REPT(" ",4)</f>
        <v/>
      </c>
      <c r="AC3866" s="10">
        <f>LEFT(UPPER(H3866)&amp;REPT(" ",250),250)</f>
        <v/>
      </c>
      <c r="AD3866" s="10">
        <f>TEXT($G$2,"dd/mm/aaaa")</f>
        <v/>
      </c>
      <c r="AE3866" s="10">
        <f>REPT(" ",10)</f>
        <v/>
      </c>
      <c r="AF3866" s="10">
        <f>REPT(" ",20)</f>
        <v/>
      </c>
      <c r="AG3866" s="54">
        <f>REPT(" ",18-LEN(FIXED(F3866,2,TRUE)))&amp;FIXED(F3866,2,TRUE)</f>
        <v/>
      </c>
      <c r="AH3866" s="10">
        <f>LEN(AC3866)+LEN(AG3866)</f>
        <v/>
      </c>
      <c r="AI3866" s="10">
        <f>LEN(L3866)</f>
        <v/>
      </c>
    </row>
    <row r="3867">
      <c r="J3867" s="12">
        <f>IF(F3867&lt;&gt;0,"LANÇAR","")</f>
        <v/>
      </c>
      <c r="L3867" s="13">
        <f>N3867&amp;O3867&amp;P3867&amp;Q3867&amp;R3867&amp;S3867&amp;T3867&amp;U3867&amp;V3867&amp;W3867&amp;X3867&amp;Y3867&amp;Z3867&amp;AA3867&amp;AB3867&amp;AC3867&amp;AD3867&amp;AE3867&amp;AF3867&amp;AG3867</f>
        <v/>
      </c>
      <c r="N3867" s="10">
        <f>TEXT($B$6,"00")</f>
        <v/>
      </c>
      <c r="O3867" s="10">
        <f>REPT(" ",8)</f>
        <v/>
      </c>
      <c r="P3867" s="10">
        <f>RIGHT($B$4,2)</f>
        <v/>
      </c>
      <c r="Q3867" s="10">
        <f>RIGHT($B$5,3)</f>
        <v/>
      </c>
      <c r="R3867" s="10">
        <f>IF(A3867="D",LEFT(UPPER(B3867)&amp;REPT(" ",20),20),REPT(" ",20))</f>
        <v/>
      </c>
      <c r="S3867" s="10">
        <f>IF(A3867="D",LEFT(UPPER(C3867)&amp;REPT(" ",10),10)," ")</f>
        <v/>
      </c>
      <c r="T3867" s="10">
        <f>IF(A3867="D",LEFT(UPPER(D3867)&amp;REPT(" ",2),2)," ")</f>
        <v/>
      </c>
      <c r="U3867" s="10">
        <f>IF(A3867="D",LEFT(UPPER(E3867)&amp;REPT(" ",15),15)," ")</f>
        <v/>
      </c>
      <c r="V3867" s="10">
        <f>REPT(" ",24)</f>
        <v/>
      </c>
      <c r="W3867" s="10">
        <f>IF(A3867="c",LEFT(UPPER(B3867)&amp;REPT(" ",20),20),REPT(" ",20))</f>
        <v/>
      </c>
      <c r="X3867" s="10">
        <f>IF(A3867="C",LEFT(UPPER(C3867)&amp;REPT(" ",10),10)," ")</f>
        <v/>
      </c>
      <c r="Y3867" s="10">
        <f>IF(A3867="C",LEFT(UPPER(D3867)&amp;REPT(" ",2),2)," ")</f>
        <v/>
      </c>
      <c r="Z3867" s="10">
        <f>IF(A3867="C",LEFT(UPPER(E3867)&amp;REPT(" ",15),15)," ")</f>
        <v/>
      </c>
      <c r="AA3867" s="10">
        <f>REPT(" ",8)</f>
        <v/>
      </c>
      <c r="AB3867" s="10">
        <f>REPT(" ",4)</f>
        <v/>
      </c>
      <c r="AC3867" s="10">
        <f>LEFT(UPPER(H3867)&amp;REPT(" ",250),250)</f>
        <v/>
      </c>
      <c r="AD3867" s="10">
        <f>TEXT($G$2,"dd/mm/aaaa")</f>
        <v/>
      </c>
      <c r="AE3867" s="10">
        <f>REPT(" ",10)</f>
        <v/>
      </c>
      <c r="AF3867" s="10">
        <f>REPT(" ",20)</f>
        <v/>
      </c>
      <c r="AG3867" s="54">
        <f>REPT(" ",18-LEN(FIXED(F3867,2,TRUE)))&amp;FIXED(F3867,2,TRUE)</f>
        <v/>
      </c>
      <c r="AH3867" s="10">
        <f>LEN(AC3867)+LEN(AG3867)</f>
        <v/>
      </c>
      <c r="AI3867" s="10">
        <f>LEN(L3867)</f>
        <v/>
      </c>
    </row>
    <row r="3868">
      <c r="J3868" s="12">
        <f>IF(F3868&lt;&gt;0,"LANÇAR","")</f>
        <v/>
      </c>
      <c r="L3868" s="13">
        <f>N3868&amp;O3868&amp;P3868&amp;Q3868&amp;R3868&amp;S3868&amp;T3868&amp;U3868&amp;V3868&amp;W3868&amp;X3868&amp;Y3868&amp;Z3868&amp;AA3868&amp;AB3868&amp;AC3868&amp;AD3868&amp;AE3868&amp;AF3868&amp;AG3868</f>
        <v/>
      </c>
      <c r="N3868" s="10">
        <f>TEXT($B$6,"00")</f>
        <v/>
      </c>
      <c r="O3868" s="10">
        <f>REPT(" ",8)</f>
        <v/>
      </c>
      <c r="P3868" s="10">
        <f>RIGHT($B$4,2)</f>
        <v/>
      </c>
      <c r="Q3868" s="10">
        <f>RIGHT($B$5,3)</f>
        <v/>
      </c>
      <c r="R3868" s="10">
        <f>IF(A3868="D",LEFT(UPPER(B3868)&amp;REPT(" ",20),20),REPT(" ",20))</f>
        <v/>
      </c>
      <c r="S3868" s="10">
        <f>IF(A3868="D",LEFT(UPPER(C3868)&amp;REPT(" ",10),10)," ")</f>
        <v/>
      </c>
      <c r="T3868" s="10">
        <f>IF(A3868="D",LEFT(UPPER(D3868)&amp;REPT(" ",2),2)," ")</f>
        <v/>
      </c>
      <c r="U3868" s="10">
        <f>IF(A3868="D",LEFT(UPPER(E3868)&amp;REPT(" ",15),15)," ")</f>
        <v/>
      </c>
      <c r="V3868" s="10">
        <f>REPT(" ",24)</f>
        <v/>
      </c>
      <c r="W3868" s="10">
        <f>IF(A3868="c",LEFT(UPPER(B3868)&amp;REPT(" ",20),20),REPT(" ",20))</f>
        <v/>
      </c>
      <c r="X3868" s="10">
        <f>IF(A3868="C",LEFT(UPPER(C3868)&amp;REPT(" ",10),10)," ")</f>
        <v/>
      </c>
      <c r="Y3868" s="10">
        <f>IF(A3868="C",LEFT(UPPER(D3868)&amp;REPT(" ",2),2)," ")</f>
        <v/>
      </c>
      <c r="Z3868" s="10">
        <f>IF(A3868="C",LEFT(UPPER(E3868)&amp;REPT(" ",15),15)," ")</f>
        <v/>
      </c>
      <c r="AA3868" s="10">
        <f>REPT(" ",8)</f>
        <v/>
      </c>
      <c r="AB3868" s="10">
        <f>REPT(" ",4)</f>
        <v/>
      </c>
      <c r="AC3868" s="10">
        <f>LEFT(UPPER(H3868)&amp;REPT(" ",250),250)</f>
        <v/>
      </c>
      <c r="AD3868" s="10">
        <f>TEXT($G$2,"dd/mm/aaaa")</f>
        <v/>
      </c>
      <c r="AE3868" s="10">
        <f>REPT(" ",10)</f>
        <v/>
      </c>
      <c r="AF3868" s="10">
        <f>REPT(" ",20)</f>
        <v/>
      </c>
      <c r="AG3868" s="54">
        <f>REPT(" ",18-LEN(FIXED(F3868,2,TRUE)))&amp;FIXED(F3868,2,TRUE)</f>
        <v/>
      </c>
      <c r="AH3868" s="10">
        <f>LEN(AC3868)+LEN(AG3868)</f>
        <v/>
      </c>
      <c r="AI3868" s="10">
        <f>LEN(L3868)</f>
        <v/>
      </c>
    </row>
    <row r="3869">
      <c r="J3869" s="12">
        <f>IF(F3869&lt;&gt;0,"LANÇAR","")</f>
        <v/>
      </c>
      <c r="L3869" s="13">
        <f>N3869&amp;O3869&amp;P3869&amp;Q3869&amp;R3869&amp;S3869&amp;T3869&amp;U3869&amp;V3869&amp;W3869&amp;X3869&amp;Y3869&amp;Z3869&amp;AA3869&amp;AB3869&amp;AC3869&amp;AD3869&amp;AE3869&amp;AF3869&amp;AG3869</f>
        <v/>
      </c>
      <c r="N3869" s="10">
        <f>TEXT($B$6,"00")</f>
        <v/>
      </c>
      <c r="O3869" s="10">
        <f>REPT(" ",8)</f>
        <v/>
      </c>
      <c r="P3869" s="10">
        <f>RIGHT($B$4,2)</f>
        <v/>
      </c>
      <c r="Q3869" s="10">
        <f>RIGHT($B$5,3)</f>
        <v/>
      </c>
      <c r="R3869" s="10">
        <f>IF(A3869="D",LEFT(UPPER(B3869)&amp;REPT(" ",20),20),REPT(" ",20))</f>
        <v/>
      </c>
      <c r="S3869" s="10">
        <f>IF(A3869="D",LEFT(UPPER(C3869)&amp;REPT(" ",10),10)," ")</f>
        <v/>
      </c>
      <c r="T3869" s="10">
        <f>IF(A3869="D",LEFT(UPPER(D3869)&amp;REPT(" ",2),2)," ")</f>
        <v/>
      </c>
      <c r="U3869" s="10">
        <f>IF(A3869="D",LEFT(UPPER(E3869)&amp;REPT(" ",15),15)," ")</f>
        <v/>
      </c>
      <c r="V3869" s="10">
        <f>REPT(" ",24)</f>
        <v/>
      </c>
      <c r="W3869" s="10">
        <f>IF(A3869="c",LEFT(UPPER(B3869)&amp;REPT(" ",20),20),REPT(" ",20))</f>
        <v/>
      </c>
      <c r="X3869" s="10">
        <f>IF(A3869="C",LEFT(UPPER(C3869)&amp;REPT(" ",10),10)," ")</f>
        <v/>
      </c>
      <c r="Y3869" s="10">
        <f>IF(A3869="C",LEFT(UPPER(D3869)&amp;REPT(" ",2),2)," ")</f>
        <v/>
      </c>
      <c r="Z3869" s="10">
        <f>IF(A3869="C",LEFT(UPPER(E3869)&amp;REPT(" ",15),15)," ")</f>
        <v/>
      </c>
      <c r="AA3869" s="10">
        <f>REPT(" ",8)</f>
        <v/>
      </c>
      <c r="AB3869" s="10">
        <f>REPT(" ",4)</f>
        <v/>
      </c>
      <c r="AC3869" s="10">
        <f>LEFT(UPPER(H3869)&amp;REPT(" ",250),250)</f>
        <v/>
      </c>
      <c r="AD3869" s="10">
        <f>TEXT($G$2,"dd/mm/aaaa")</f>
        <v/>
      </c>
      <c r="AE3869" s="10">
        <f>REPT(" ",10)</f>
        <v/>
      </c>
      <c r="AF3869" s="10">
        <f>REPT(" ",20)</f>
        <v/>
      </c>
      <c r="AG3869" s="54">
        <f>REPT(" ",18-LEN(FIXED(F3869,2,TRUE)))&amp;FIXED(F3869,2,TRUE)</f>
        <v/>
      </c>
      <c r="AH3869" s="10">
        <f>LEN(AC3869)+LEN(AG3869)</f>
        <v/>
      </c>
      <c r="AI3869" s="10">
        <f>LEN(L3869)</f>
        <v/>
      </c>
    </row>
    <row r="3870">
      <c r="J3870" s="12">
        <f>IF(F3870&lt;&gt;0,"LANÇAR","")</f>
        <v/>
      </c>
      <c r="L3870" s="13">
        <f>N3870&amp;O3870&amp;P3870&amp;Q3870&amp;R3870&amp;S3870&amp;T3870&amp;U3870&amp;V3870&amp;W3870&amp;X3870&amp;Y3870&amp;Z3870&amp;AA3870&amp;AB3870&amp;AC3870&amp;AD3870&amp;AE3870&amp;AF3870&amp;AG3870</f>
        <v/>
      </c>
      <c r="N3870" s="10">
        <f>TEXT($B$6,"00")</f>
        <v/>
      </c>
      <c r="O3870" s="10">
        <f>REPT(" ",8)</f>
        <v/>
      </c>
      <c r="P3870" s="10">
        <f>RIGHT($B$4,2)</f>
        <v/>
      </c>
      <c r="Q3870" s="10">
        <f>RIGHT($B$5,3)</f>
        <v/>
      </c>
      <c r="R3870" s="10">
        <f>IF(A3870="D",LEFT(UPPER(B3870)&amp;REPT(" ",20),20),REPT(" ",20))</f>
        <v/>
      </c>
      <c r="S3870" s="10">
        <f>IF(A3870="D",LEFT(UPPER(C3870)&amp;REPT(" ",10),10)," ")</f>
        <v/>
      </c>
      <c r="T3870" s="10">
        <f>IF(A3870="D",LEFT(UPPER(D3870)&amp;REPT(" ",2),2)," ")</f>
        <v/>
      </c>
      <c r="U3870" s="10">
        <f>IF(A3870="D",LEFT(UPPER(E3870)&amp;REPT(" ",15),15)," ")</f>
        <v/>
      </c>
      <c r="V3870" s="10">
        <f>REPT(" ",24)</f>
        <v/>
      </c>
      <c r="W3870" s="10">
        <f>IF(A3870="c",LEFT(UPPER(B3870)&amp;REPT(" ",20),20),REPT(" ",20))</f>
        <v/>
      </c>
      <c r="X3870" s="10">
        <f>IF(A3870="C",LEFT(UPPER(C3870)&amp;REPT(" ",10),10)," ")</f>
        <v/>
      </c>
      <c r="Y3870" s="10">
        <f>IF(A3870="C",LEFT(UPPER(D3870)&amp;REPT(" ",2),2)," ")</f>
        <v/>
      </c>
      <c r="Z3870" s="10">
        <f>IF(A3870="C",LEFT(UPPER(E3870)&amp;REPT(" ",15),15)," ")</f>
        <v/>
      </c>
      <c r="AA3870" s="10">
        <f>REPT(" ",8)</f>
        <v/>
      </c>
      <c r="AB3870" s="10">
        <f>REPT(" ",4)</f>
        <v/>
      </c>
      <c r="AC3870" s="10">
        <f>LEFT(UPPER(H3870)&amp;REPT(" ",250),250)</f>
        <v/>
      </c>
      <c r="AD3870" s="10">
        <f>TEXT($G$2,"dd/mm/aaaa")</f>
        <v/>
      </c>
      <c r="AE3870" s="10">
        <f>REPT(" ",10)</f>
        <v/>
      </c>
      <c r="AF3870" s="10">
        <f>REPT(" ",20)</f>
        <v/>
      </c>
      <c r="AG3870" s="54">
        <f>REPT(" ",18-LEN(FIXED(F3870,2,TRUE)))&amp;FIXED(F3870,2,TRUE)</f>
        <v/>
      </c>
      <c r="AH3870" s="10">
        <f>LEN(AC3870)+LEN(AG3870)</f>
        <v/>
      </c>
      <c r="AI3870" s="10">
        <f>LEN(L3870)</f>
        <v/>
      </c>
    </row>
    <row r="3871">
      <c r="J3871" s="12">
        <f>IF(F3871&lt;&gt;0,"LANÇAR","")</f>
        <v/>
      </c>
      <c r="L3871" s="13">
        <f>N3871&amp;O3871&amp;P3871&amp;Q3871&amp;R3871&amp;S3871&amp;T3871&amp;U3871&amp;V3871&amp;W3871&amp;X3871&amp;Y3871&amp;Z3871&amp;AA3871&amp;AB3871&amp;AC3871&amp;AD3871&amp;AE3871&amp;AF3871&amp;AG3871</f>
        <v/>
      </c>
      <c r="N3871" s="10">
        <f>TEXT($B$6,"00")</f>
        <v/>
      </c>
      <c r="O3871" s="10">
        <f>REPT(" ",8)</f>
        <v/>
      </c>
      <c r="P3871" s="10">
        <f>RIGHT($B$4,2)</f>
        <v/>
      </c>
      <c r="Q3871" s="10">
        <f>RIGHT($B$5,3)</f>
        <v/>
      </c>
      <c r="R3871" s="10">
        <f>IF(A3871="D",LEFT(UPPER(B3871)&amp;REPT(" ",20),20),REPT(" ",20))</f>
        <v/>
      </c>
      <c r="S3871" s="10">
        <f>IF(A3871="D",LEFT(UPPER(C3871)&amp;REPT(" ",10),10)," ")</f>
        <v/>
      </c>
      <c r="T3871" s="10">
        <f>IF(A3871="D",LEFT(UPPER(D3871)&amp;REPT(" ",2),2)," ")</f>
        <v/>
      </c>
      <c r="U3871" s="10">
        <f>IF(A3871="D",LEFT(UPPER(E3871)&amp;REPT(" ",15),15)," ")</f>
        <v/>
      </c>
      <c r="V3871" s="10">
        <f>REPT(" ",24)</f>
        <v/>
      </c>
      <c r="W3871" s="10">
        <f>IF(A3871="c",LEFT(UPPER(B3871)&amp;REPT(" ",20),20),REPT(" ",20))</f>
        <v/>
      </c>
      <c r="X3871" s="10">
        <f>IF(A3871="C",LEFT(UPPER(C3871)&amp;REPT(" ",10),10)," ")</f>
        <v/>
      </c>
      <c r="Y3871" s="10">
        <f>IF(A3871="C",LEFT(UPPER(D3871)&amp;REPT(" ",2),2)," ")</f>
        <v/>
      </c>
      <c r="Z3871" s="10">
        <f>IF(A3871="C",LEFT(UPPER(E3871)&amp;REPT(" ",15),15)," ")</f>
        <v/>
      </c>
      <c r="AA3871" s="10">
        <f>REPT(" ",8)</f>
        <v/>
      </c>
      <c r="AB3871" s="10">
        <f>REPT(" ",4)</f>
        <v/>
      </c>
      <c r="AC3871" s="10">
        <f>LEFT(UPPER(H3871)&amp;REPT(" ",250),250)</f>
        <v/>
      </c>
      <c r="AD3871" s="10">
        <f>TEXT($G$2,"dd/mm/aaaa")</f>
        <v/>
      </c>
      <c r="AE3871" s="10">
        <f>REPT(" ",10)</f>
        <v/>
      </c>
      <c r="AF3871" s="10">
        <f>REPT(" ",20)</f>
        <v/>
      </c>
      <c r="AG3871" s="54">
        <f>REPT(" ",18-LEN(FIXED(F3871,2,TRUE)))&amp;FIXED(F3871,2,TRUE)</f>
        <v/>
      </c>
      <c r="AH3871" s="10">
        <f>LEN(AC3871)+LEN(AG3871)</f>
        <v/>
      </c>
      <c r="AI3871" s="10">
        <f>LEN(L3871)</f>
        <v/>
      </c>
    </row>
    <row r="3872">
      <c r="J3872" s="12">
        <f>IF(F3872&lt;&gt;0,"LANÇAR","")</f>
        <v/>
      </c>
      <c r="L3872" s="13">
        <f>N3872&amp;O3872&amp;P3872&amp;Q3872&amp;R3872&amp;S3872&amp;T3872&amp;U3872&amp;V3872&amp;W3872&amp;X3872&amp;Y3872&amp;Z3872&amp;AA3872&amp;AB3872&amp;AC3872&amp;AD3872&amp;AE3872&amp;AF3872&amp;AG3872</f>
        <v/>
      </c>
      <c r="N3872" s="10">
        <f>TEXT($B$6,"00")</f>
        <v/>
      </c>
      <c r="O3872" s="10">
        <f>REPT(" ",8)</f>
        <v/>
      </c>
      <c r="P3872" s="10">
        <f>RIGHT($B$4,2)</f>
        <v/>
      </c>
      <c r="Q3872" s="10">
        <f>RIGHT($B$5,3)</f>
        <v/>
      </c>
      <c r="R3872" s="10">
        <f>IF(A3872="D",LEFT(UPPER(B3872)&amp;REPT(" ",20),20),REPT(" ",20))</f>
        <v/>
      </c>
      <c r="S3872" s="10">
        <f>IF(A3872="D",LEFT(UPPER(C3872)&amp;REPT(" ",10),10)," ")</f>
        <v/>
      </c>
      <c r="T3872" s="10">
        <f>IF(A3872="D",LEFT(UPPER(D3872)&amp;REPT(" ",2),2)," ")</f>
        <v/>
      </c>
      <c r="U3872" s="10">
        <f>IF(A3872="D",LEFT(UPPER(E3872)&amp;REPT(" ",15),15)," ")</f>
        <v/>
      </c>
      <c r="V3872" s="10">
        <f>REPT(" ",24)</f>
        <v/>
      </c>
      <c r="W3872" s="10">
        <f>IF(A3872="c",LEFT(UPPER(B3872)&amp;REPT(" ",20),20),REPT(" ",20))</f>
        <v/>
      </c>
      <c r="X3872" s="10">
        <f>IF(A3872="C",LEFT(UPPER(C3872)&amp;REPT(" ",10),10)," ")</f>
        <v/>
      </c>
      <c r="Y3872" s="10">
        <f>IF(A3872="C",LEFT(UPPER(D3872)&amp;REPT(" ",2),2)," ")</f>
        <v/>
      </c>
      <c r="Z3872" s="10">
        <f>IF(A3872="C",LEFT(UPPER(E3872)&amp;REPT(" ",15),15)," ")</f>
        <v/>
      </c>
      <c r="AA3872" s="10">
        <f>REPT(" ",8)</f>
        <v/>
      </c>
      <c r="AB3872" s="10">
        <f>REPT(" ",4)</f>
        <v/>
      </c>
      <c r="AC3872" s="10">
        <f>LEFT(UPPER(H3872)&amp;REPT(" ",250),250)</f>
        <v/>
      </c>
      <c r="AD3872" s="10">
        <f>TEXT($G$2,"dd/mm/aaaa")</f>
        <v/>
      </c>
      <c r="AE3872" s="10">
        <f>REPT(" ",10)</f>
        <v/>
      </c>
      <c r="AF3872" s="10">
        <f>REPT(" ",20)</f>
        <v/>
      </c>
      <c r="AG3872" s="54">
        <f>REPT(" ",18-LEN(FIXED(F3872,2,TRUE)))&amp;FIXED(F3872,2,TRUE)</f>
        <v/>
      </c>
      <c r="AH3872" s="10">
        <f>LEN(AC3872)+LEN(AG3872)</f>
        <v/>
      </c>
      <c r="AI3872" s="10">
        <f>LEN(L3872)</f>
        <v/>
      </c>
    </row>
    <row r="3873">
      <c r="J3873" s="12">
        <f>IF(F3873&lt;&gt;0,"LANÇAR","")</f>
        <v/>
      </c>
      <c r="L3873" s="13">
        <f>N3873&amp;O3873&amp;P3873&amp;Q3873&amp;R3873&amp;S3873&amp;T3873&amp;U3873&amp;V3873&amp;W3873&amp;X3873&amp;Y3873&amp;Z3873&amp;AA3873&amp;AB3873&amp;AC3873&amp;AD3873&amp;AE3873&amp;AF3873&amp;AG3873</f>
        <v/>
      </c>
      <c r="N3873" s="10">
        <f>TEXT($B$6,"00")</f>
        <v/>
      </c>
      <c r="O3873" s="10">
        <f>REPT(" ",8)</f>
        <v/>
      </c>
      <c r="P3873" s="10">
        <f>RIGHT($B$4,2)</f>
        <v/>
      </c>
      <c r="Q3873" s="10">
        <f>RIGHT($B$5,3)</f>
        <v/>
      </c>
      <c r="R3873" s="10">
        <f>IF(A3873="D",LEFT(UPPER(B3873)&amp;REPT(" ",20),20),REPT(" ",20))</f>
        <v/>
      </c>
      <c r="S3873" s="10">
        <f>IF(A3873="D",LEFT(UPPER(C3873)&amp;REPT(" ",10),10)," ")</f>
        <v/>
      </c>
      <c r="T3873" s="10">
        <f>IF(A3873="D",LEFT(UPPER(D3873)&amp;REPT(" ",2),2)," ")</f>
        <v/>
      </c>
      <c r="U3873" s="10">
        <f>IF(A3873="D",LEFT(UPPER(E3873)&amp;REPT(" ",15),15)," ")</f>
        <v/>
      </c>
      <c r="V3873" s="10">
        <f>REPT(" ",24)</f>
        <v/>
      </c>
      <c r="W3873" s="10">
        <f>IF(A3873="c",LEFT(UPPER(B3873)&amp;REPT(" ",20),20),REPT(" ",20))</f>
        <v/>
      </c>
      <c r="X3873" s="10">
        <f>IF(A3873="C",LEFT(UPPER(C3873)&amp;REPT(" ",10),10)," ")</f>
        <v/>
      </c>
      <c r="Y3873" s="10">
        <f>IF(A3873="C",LEFT(UPPER(D3873)&amp;REPT(" ",2),2)," ")</f>
        <v/>
      </c>
      <c r="Z3873" s="10">
        <f>IF(A3873="C",LEFT(UPPER(E3873)&amp;REPT(" ",15),15)," ")</f>
        <v/>
      </c>
      <c r="AA3873" s="10">
        <f>REPT(" ",8)</f>
        <v/>
      </c>
      <c r="AB3873" s="10">
        <f>REPT(" ",4)</f>
        <v/>
      </c>
      <c r="AC3873" s="10">
        <f>LEFT(UPPER(H3873)&amp;REPT(" ",250),250)</f>
        <v/>
      </c>
      <c r="AD3873" s="10">
        <f>TEXT($G$2,"dd/mm/aaaa")</f>
        <v/>
      </c>
      <c r="AE3873" s="10">
        <f>REPT(" ",10)</f>
        <v/>
      </c>
      <c r="AF3873" s="10">
        <f>REPT(" ",20)</f>
        <v/>
      </c>
      <c r="AG3873" s="54">
        <f>REPT(" ",18-LEN(FIXED(F3873,2,TRUE)))&amp;FIXED(F3873,2,TRUE)</f>
        <v/>
      </c>
      <c r="AH3873" s="10">
        <f>LEN(AC3873)+LEN(AG3873)</f>
        <v/>
      </c>
      <c r="AI3873" s="10">
        <f>LEN(L3873)</f>
        <v/>
      </c>
    </row>
    <row r="3874">
      <c r="J3874" s="12">
        <f>IF(F3874&lt;&gt;0,"LANÇAR","")</f>
        <v/>
      </c>
      <c r="L3874" s="13">
        <f>N3874&amp;O3874&amp;P3874&amp;Q3874&amp;R3874&amp;S3874&amp;T3874&amp;U3874&amp;V3874&amp;W3874&amp;X3874&amp;Y3874&amp;Z3874&amp;AA3874&amp;AB3874&amp;AC3874&amp;AD3874&amp;AE3874&amp;AF3874&amp;AG3874</f>
        <v/>
      </c>
      <c r="N3874" s="10">
        <f>TEXT($B$6,"00")</f>
        <v/>
      </c>
      <c r="O3874" s="10">
        <f>REPT(" ",8)</f>
        <v/>
      </c>
      <c r="P3874" s="10">
        <f>RIGHT($B$4,2)</f>
        <v/>
      </c>
      <c r="Q3874" s="10">
        <f>RIGHT($B$5,3)</f>
        <v/>
      </c>
      <c r="R3874" s="10">
        <f>IF(A3874="D",LEFT(UPPER(B3874)&amp;REPT(" ",20),20),REPT(" ",20))</f>
        <v/>
      </c>
      <c r="S3874" s="10">
        <f>IF(A3874="D",LEFT(UPPER(C3874)&amp;REPT(" ",10),10)," ")</f>
        <v/>
      </c>
      <c r="T3874" s="10">
        <f>IF(A3874="D",LEFT(UPPER(D3874)&amp;REPT(" ",2),2)," ")</f>
        <v/>
      </c>
      <c r="U3874" s="10">
        <f>IF(A3874="D",LEFT(UPPER(E3874)&amp;REPT(" ",15),15)," ")</f>
        <v/>
      </c>
      <c r="V3874" s="10">
        <f>REPT(" ",24)</f>
        <v/>
      </c>
      <c r="W3874" s="10">
        <f>IF(A3874="c",LEFT(UPPER(B3874)&amp;REPT(" ",20),20),REPT(" ",20))</f>
        <v/>
      </c>
      <c r="X3874" s="10">
        <f>IF(A3874="C",LEFT(UPPER(C3874)&amp;REPT(" ",10),10)," ")</f>
        <v/>
      </c>
      <c r="Y3874" s="10">
        <f>IF(A3874="C",LEFT(UPPER(D3874)&amp;REPT(" ",2),2)," ")</f>
        <v/>
      </c>
      <c r="Z3874" s="10">
        <f>IF(A3874="C",LEFT(UPPER(E3874)&amp;REPT(" ",15),15)," ")</f>
        <v/>
      </c>
      <c r="AA3874" s="10">
        <f>REPT(" ",8)</f>
        <v/>
      </c>
      <c r="AB3874" s="10">
        <f>REPT(" ",4)</f>
        <v/>
      </c>
      <c r="AC3874" s="10">
        <f>LEFT(UPPER(H3874)&amp;REPT(" ",250),250)</f>
        <v/>
      </c>
      <c r="AD3874" s="10">
        <f>TEXT($G$2,"dd/mm/aaaa")</f>
        <v/>
      </c>
      <c r="AE3874" s="10">
        <f>REPT(" ",10)</f>
        <v/>
      </c>
      <c r="AF3874" s="10">
        <f>REPT(" ",20)</f>
        <v/>
      </c>
      <c r="AG3874" s="54">
        <f>REPT(" ",18-LEN(FIXED(F3874,2,TRUE)))&amp;FIXED(F3874,2,TRUE)</f>
        <v/>
      </c>
      <c r="AH3874" s="10">
        <f>LEN(AC3874)+LEN(AG3874)</f>
        <v/>
      </c>
      <c r="AI3874" s="10">
        <f>LEN(L3874)</f>
        <v/>
      </c>
    </row>
    <row r="3875">
      <c r="J3875" s="12">
        <f>IF(F3875&lt;&gt;0,"LANÇAR","")</f>
        <v/>
      </c>
      <c r="L3875" s="13">
        <f>N3875&amp;O3875&amp;P3875&amp;Q3875&amp;R3875&amp;S3875&amp;T3875&amp;U3875&amp;V3875&amp;W3875&amp;X3875&amp;Y3875&amp;Z3875&amp;AA3875&amp;AB3875&amp;AC3875&amp;AD3875&amp;AE3875&amp;AF3875&amp;AG3875</f>
        <v/>
      </c>
      <c r="N3875" s="10">
        <f>TEXT($B$6,"00")</f>
        <v/>
      </c>
      <c r="O3875" s="10">
        <f>REPT(" ",8)</f>
        <v/>
      </c>
      <c r="P3875" s="10">
        <f>RIGHT($B$4,2)</f>
        <v/>
      </c>
      <c r="Q3875" s="10">
        <f>RIGHT($B$5,3)</f>
        <v/>
      </c>
      <c r="R3875" s="10">
        <f>IF(A3875="D",LEFT(UPPER(B3875)&amp;REPT(" ",20),20),REPT(" ",20))</f>
        <v/>
      </c>
      <c r="S3875" s="10">
        <f>IF(A3875="D",LEFT(UPPER(C3875)&amp;REPT(" ",10),10)," ")</f>
        <v/>
      </c>
      <c r="T3875" s="10">
        <f>IF(A3875="D",LEFT(UPPER(D3875)&amp;REPT(" ",2),2)," ")</f>
        <v/>
      </c>
      <c r="U3875" s="10">
        <f>IF(A3875="D",LEFT(UPPER(E3875)&amp;REPT(" ",15),15)," ")</f>
        <v/>
      </c>
      <c r="V3875" s="10">
        <f>REPT(" ",24)</f>
        <v/>
      </c>
      <c r="W3875" s="10">
        <f>IF(A3875="c",LEFT(UPPER(B3875)&amp;REPT(" ",20),20),REPT(" ",20))</f>
        <v/>
      </c>
      <c r="X3875" s="10">
        <f>IF(A3875="C",LEFT(UPPER(C3875)&amp;REPT(" ",10),10)," ")</f>
        <v/>
      </c>
      <c r="Y3875" s="10">
        <f>IF(A3875="C",LEFT(UPPER(D3875)&amp;REPT(" ",2),2)," ")</f>
        <v/>
      </c>
      <c r="Z3875" s="10">
        <f>IF(A3875="C",LEFT(UPPER(E3875)&amp;REPT(" ",15),15)," ")</f>
        <v/>
      </c>
      <c r="AA3875" s="10">
        <f>REPT(" ",8)</f>
        <v/>
      </c>
      <c r="AB3875" s="10">
        <f>REPT(" ",4)</f>
        <v/>
      </c>
      <c r="AC3875" s="10">
        <f>LEFT(UPPER(H3875)&amp;REPT(" ",250),250)</f>
        <v/>
      </c>
      <c r="AD3875" s="10">
        <f>TEXT($G$2,"dd/mm/aaaa")</f>
        <v/>
      </c>
      <c r="AE3875" s="10">
        <f>REPT(" ",10)</f>
        <v/>
      </c>
      <c r="AF3875" s="10">
        <f>REPT(" ",20)</f>
        <v/>
      </c>
      <c r="AG3875" s="54">
        <f>REPT(" ",18-LEN(FIXED(F3875,2,TRUE)))&amp;FIXED(F3875,2,TRUE)</f>
        <v/>
      </c>
      <c r="AH3875" s="10">
        <f>LEN(AC3875)+LEN(AG3875)</f>
        <v/>
      </c>
      <c r="AI3875" s="10">
        <f>LEN(L3875)</f>
        <v/>
      </c>
    </row>
    <row r="3876">
      <c r="J3876" s="12">
        <f>IF(F3876&lt;&gt;0,"LANÇAR","")</f>
        <v/>
      </c>
      <c r="L3876" s="13">
        <f>N3876&amp;O3876&amp;P3876&amp;Q3876&amp;R3876&amp;S3876&amp;T3876&amp;U3876&amp;V3876&amp;W3876&amp;X3876&amp;Y3876&amp;Z3876&amp;AA3876&amp;AB3876&amp;AC3876&amp;AD3876&amp;AE3876&amp;AF3876&amp;AG3876</f>
        <v/>
      </c>
      <c r="N3876" s="10">
        <f>TEXT($B$6,"00")</f>
        <v/>
      </c>
      <c r="O3876" s="10">
        <f>REPT(" ",8)</f>
        <v/>
      </c>
      <c r="P3876" s="10">
        <f>RIGHT($B$4,2)</f>
        <v/>
      </c>
      <c r="Q3876" s="10">
        <f>RIGHT($B$5,3)</f>
        <v/>
      </c>
      <c r="R3876" s="10">
        <f>IF(A3876="D",LEFT(UPPER(B3876)&amp;REPT(" ",20),20),REPT(" ",20))</f>
        <v/>
      </c>
      <c r="S3876" s="10">
        <f>IF(A3876="D",LEFT(UPPER(C3876)&amp;REPT(" ",10),10)," ")</f>
        <v/>
      </c>
      <c r="T3876" s="10">
        <f>IF(A3876="D",LEFT(UPPER(D3876)&amp;REPT(" ",2),2)," ")</f>
        <v/>
      </c>
      <c r="U3876" s="10">
        <f>IF(A3876="D",LEFT(UPPER(E3876)&amp;REPT(" ",15),15)," ")</f>
        <v/>
      </c>
      <c r="V3876" s="10">
        <f>REPT(" ",24)</f>
        <v/>
      </c>
      <c r="W3876" s="10">
        <f>IF(A3876="c",LEFT(UPPER(B3876)&amp;REPT(" ",20),20),REPT(" ",20))</f>
        <v/>
      </c>
      <c r="X3876" s="10">
        <f>IF(A3876="C",LEFT(UPPER(C3876)&amp;REPT(" ",10),10)," ")</f>
        <v/>
      </c>
      <c r="Y3876" s="10">
        <f>IF(A3876="C",LEFT(UPPER(D3876)&amp;REPT(" ",2),2)," ")</f>
        <v/>
      </c>
      <c r="Z3876" s="10">
        <f>IF(A3876="C",LEFT(UPPER(E3876)&amp;REPT(" ",15),15)," ")</f>
        <v/>
      </c>
      <c r="AA3876" s="10">
        <f>REPT(" ",8)</f>
        <v/>
      </c>
      <c r="AB3876" s="10">
        <f>REPT(" ",4)</f>
        <v/>
      </c>
      <c r="AC3876" s="10">
        <f>LEFT(UPPER(H3876)&amp;REPT(" ",250),250)</f>
        <v/>
      </c>
      <c r="AD3876" s="10">
        <f>TEXT($G$2,"dd/mm/aaaa")</f>
        <v/>
      </c>
      <c r="AE3876" s="10">
        <f>REPT(" ",10)</f>
        <v/>
      </c>
      <c r="AF3876" s="10">
        <f>REPT(" ",20)</f>
        <v/>
      </c>
      <c r="AG3876" s="54">
        <f>REPT(" ",18-LEN(FIXED(F3876,2,TRUE)))&amp;FIXED(F3876,2,TRUE)</f>
        <v/>
      </c>
      <c r="AH3876" s="10">
        <f>LEN(AC3876)+LEN(AG3876)</f>
        <v/>
      </c>
      <c r="AI3876" s="10">
        <f>LEN(L3876)</f>
        <v/>
      </c>
    </row>
    <row r="3877">
      <c r="J3877" s="12">
        <f>IF(F3877&lt;&gt;0,"LANÇAR","")</f>
        <v/>
      </c>
      <c r="L3877" s="13">
        <f>N3877&amp;O3877&amp;P3877&amp;Q3877&amp;R3877&amp;S3877&amp;T3877&amp;U3877&amp;V3877&amp;W3877&amp;X3877&amp;Y3877&amp;Z3877&amp;AA3877&amp;AB3877&amp;AC3877&amp;AD3877&amp;AE3877&amp;AF3877&amp;AG3877</f>
        <v/>
      </c>
      <c r="N3877" s="10">
        <f>TEXT($B$6,"00")</f>
        <v/>
      </c>
      <c r="O3877" s="10">
        <f>REPT(" ",8)</f>
        <v/>
      </c>
      <c r="P3877" s="10">
        <f>RIGHT($B$4,2)</f>
        <v/>
      </c>
      <c r="Q3877" s="10">
        <f>RIGHT($B$5,3)</f>
        <v/>
      </c>
      <c r="R3877" s="10">
        <f>IF(A3877="D",LEFT(UPPER(B3877)&amp;REPT(" ",20),20),REPT(" ",20))</f>
        <v/>
      </c>
      <c r="S3877" s="10">
        <f>IF(A3877="D",LEFT(UPPER(C3877)&amp;REPT(" ",10),10)," ")</f>
        <v/>
      </c>
      <c r="T3877" s="10">
        <f>IF(A3877="D",LEFT(UPPER(D3877)&amp;REPT(" ",2),2)," ")</f>
        <v/>
      </c>
      <c r="U3877" s="10">
        <f>IF(A3877="D",LEFT(UPPER(E3877)&amp;REPT(" ",15),15)," ")</f>
        <v/>
      </c>
      <c r="V3877" s="10">
        <f>REPT(" ",24)</f>
        <v/>
      </c>
      <c r="W3877" s="10">
        <f>IF(A3877="c",LEFT(UPPER(B3877)&amp;REPT(" ",20),20),REPT(" ",20))</f>
        <v/>
      </c>
      <c r="X3877" s="10">
        <f>IF(A3877="C",LEFT(UPPER(C3877)&amp;REPT(" ",10),10)," ")</f>
        <v/>
      </c>
      <c r="Y3877" s="10">
        <f>IF(A3877="C",LEFT(UPPER(D3877)&amp;REPT(" ",2),2)," ")</f>
        <v/>
      </c>
      <c r="Z3877" s="10">
        <f>IF(A3877="C",LEFT(UPPER(E3877)&amp;REPT(" ",15),15)," ")</f>
        <v/>
      </c>
      <c r="AA3877" s="10">
        <f>REPT(" ",8)</f>
        <v/>
      </c>
      <c r="AB3877" s="10">
        <f>REPT(" ",4)</f>
        <v/>
      </c>
      <c r="AC3877" s="10">
        <f>LEFT(UPPER(H3877)&amp;REPT(" ",250),250)</f>
        <v/>
      </c>
      <c r="AD3877" s="10">
        <f>TEXT($G$2,"dd/mm/aaaa")</f>
        <v/>
      </c>
      <c r="AE3877" s="10">
        <f>REPT(" ",10)</f>
        <v/>
      </c>
      <c r="AF3877" s="10">
        <f>REPT(" ",20)</f>
        <v/>
      </c>
      <c r="AG3877" s="54">
        <f>REPT(" ",18-LEN(FIXED(F3877,2,TRUE)))&amp;FIXED(F3877,2,TRUE)</f>
        <v/>
      </c>
      <c r="AH3877" s="10">
        <f>LEN(AC3877)+LEN(AG3877)</f>
        <v/>
      </c>
      <c r="AI3877" s="10">
        <f>LEN(L3877)</f>
        <v/>
      </c>
    </row>
    <row r="3878">
      <c r="J3878" s="12">
        <f>IF(F3878&lt;&gt;0,"LANÇAR","")</f>
        <v/>
      </c>
      <c r="L3878" s="13">
        <f>N3878&amp;O3878&amp;P3878&amp;Q3878&amp;R3878&amp;S3878&amp;T3878&amp;U3878&amp;V3878&amp;W3878&amp;X3878&amp;Y3878&amp;Z3878&amp;AA3878&amp;AB3878&amp;AC3878&amp;AD3878&amp;AE3878&amp;AF3878&amp;AG3878</f>
        <v/>
      </c>
      <c r="N3878" s="10">
        <f>TEXT($B$6,"00")</f>
        <v/>
      </c>
      <c r="O3878" s="10">
        <f>REPT(" ",8)</f>
        <v/>
      </c>
      <c r="P3878" s="10">
        <f>RIGHT($B$4,2)</f>
        <v/>
      </c>
      <c r="Q3878" s="10">
        <f>RIGHT($B$5,3)</f>
        <v/>
      </c>
      <c r="R3878" s="10">
        <f>IF(A3878="D",LEFT(UPPER(B3878)&amp;REPT(" ",20),20),REPT(" ",20))</f>
        <v/>
      </c>
      <c r="S3878" s="10">
        <f>IF(A3878="D",LEFT(UPPER(C3878)&amp;REPT(" ",10),10)," ")</f>
        <v/>
      </c>
      <c r="T3878" s="10">
        <f>IF(A3878="D",LEFT(UPPER(D3878)&amp;REPT(" ",2),2)," ")</f>
        <v/>
      </c>
      <c r="U3878" s="10">
        <f>IF(A3878="D",LEFT(UPPER(E3878)&amp;REPT(" ",15),15)," ")</f>
        <v/>
      </c>
      <c r="V3878" s="10">
        <f>REPT(" ",24)</f>
        <v/>
      </c>
      <c r="W3878" s="10">
        <f>IF(A3878="c",LEFT(UPPER(B3878)&amp;REPT(" ",20),20),REPT(" ",20))</f>
        <v/>
      </c>
      <c r="X3878" s="10">
        <f>IF(A3878="C",LEFT(UPPER(C3878)&amp;REPT(" ",10),10)," ")</f>
        <v/>
      </c>
      <c r="Y3878" s="10">
        <f>IF(A3878="C",LEFT(UPPER(D3878)&amp;REPT(" ",2),2)," ")</f>
        <v/>
      </c>
      <c r="Z3878" s="10">
        <f>IF(A3878="C",LEFT(UPPER(E3878)&amp;REPT(" ",15),15)," ")</f>
        <v/>
      </c>
      <c r="AA3878" s="10">
        <f>REPT(" ",8)</f>
        <v/>
      </c>
      <c r="AB3878" s="10">
        <f>REPT(" ",4)</f>
        <v/>
      </c>
      <c r="AC3878" s="10">
        <f>LEFT(UPPER(H3878)&amp;REPT(" ",250),250)</f>
        <v/>
      </c>
      <c r="AD3878" s="10">
        <f>TEXT($G$2,"dd/mm/aaaa")</f>
        <v/>
      </c>
      <c r="AE3878" s="10">
        <f>REPT(" ",10)</f>
        <v/>
      </c>
      <c r="AF3878" s="10">
        <f>REPT(" ",20)</f>
        <v/>
      </c>
      <c r="AG3878" s="54">
        <f>REPT(" ",18-LEN(FIXED(F3878,2,TRUE)))&amp;FIXED(F3878,2,TRUE)</f>
        <v/>
      </c>
      <c r="AH3878" s="10">
        <f>LEN(AC3878)+LEN(AG3878)</f>
        <v/>
      </c>
      <c r="AI3878" s="10">
        <f>LEN(L3878)</f>
        <v/>
      </c>
    </row>
    <row r="3879">
      <c r="J3879" s="12">
        <f>IF(F3879&lt;&gt;0,"LANÇAR","")</f>
        <v/>
      </c>
      <c r="L3879" s="13">
        <f>N3879&amp;O3879&amp;P3879&amp;Q3879&amp;R3879&amp;S3879&amp;T3879&amp;U3879&amp;V3879&amp;W3879&amp;X3879&amp;Y3879&amp;Z3879&amp;AA3879&amp;AB3879&amp;AC3879&amp;AD3879&amp;AE3879&amp;AF3879&amp;AG3879</f>
        <v/>
      </c>
      <c r="N3879" s="10">
        <f>TEXT($B$6,"00")</f>
        <v/>
      </c>
      <c r="O3879" s="10">
        <f>REPT(" ",8)</f>
        <v/>
      </c>
      <c r="P3879" s="10">
        <f>RIGHT($B$4,2)</f>
        <v/>
      </c>
      <c r="Q3879" s="10">
        <f>RIGHT($B$5,3)</f>
        <v/>
      </c>
      <c r="R3879" s="10">
        <f>IF(A3879="D",LEFT(UPPER(B3879)&amp;REPT(" ",20),20),REPT(" ",20))</f>
        <v/>
      </c>
      <c r="S3879" s="10">
        <f>IF(A3879="D",LEFT(UPPER(C3879)&amp;REPT(" ",10),10)," ")</f>
        <v/>
      </c>
      <c r="T3879" s="10">
        <f>IF(A3879="D",LEFT(UPPER(D3879)&amp;REPT(" ",2),2)," ")</f>
        <v/>
      </c>
      <c r="U3879" s="10">
        <f>IF(A3879="D",LEFT(UPPER(E3879)&amp;REPT(" ",15),15)," ")</f>
        <v/>
      </c>
      <c r="V3879" s="10">
        <f>REPT(" ",24)</f>
        <v/>
      </c>
      <c r="W3879" s="10">
        <f>IF(A3879="c",LEFT(UPPER(B3879)&amp;REPT(" ",20),20),REPT(" ",20))</f>
        <v/>
      </c>
      <c r="X3879" s="10">
        <f>IF(A3879="C",LEFT(UPPER(C3879)&amp;REPT(" ",10),10)," ")</f>
        <v/>
      </c>
      <c r="Y3879" s="10">
        <f>IF(A3879="C",LEFT(UPPER(D3879)&amp;REPT(" ",2),2)," ")</f>
        <v/>
      </c>
      <c r="Z3879" s="10">
        <f>IF(A3879="C",LEFT(UPPER(E3879)&amp;REPT(" ",15),15)," ")</f>
        <v/>
      </c>
      <c r="AA3879" s="10">
        <f>REPT(" ",8)</f>
        <v/>
      </c>
      <c r="AB3879" s="10">
        <f>REPT(" ",4)</f>
        <v/>
      </c>
      <c r="AC3879" s="10">
        <f>LEFT(UPPER(H3879)&amp;REPT(" ",250),250)</f>
        <v/>
      </c>
      <c r="AD3879" s="10">
        <f>TEXT($G$2,"dd/mm/aaaa")</f>
        <v/>
      </c>
      <c r="AE3879" s="10">
        <f>REPT(" ",10)</f>
        <v/>
      </c>
      <c r="AF3879" s="10">
        <f>REPT(" ",20)</f>
        <v/>
      </c>
      <c r="AG3879" s="54">
        <f>REPT(" ",18-LEN(FIXED(F3879,2,TRUE)))&amp;FIXED(F3879,2,TRUE)</f>
        <v/>
      </c>
      <c r="AH3879" s="10">
        <f>LEN(AC3879)+LEN(AG3879)</f>
        <v/>
      </c>
      <c r="AI3879" s="10">
        <f>LEN(L3879)</f>
        <v/>
      </c>
    </row>
    <row r="3880">
      <c r="J3880" s="12">
        <f>IF(F3880&lt;&gt;0,"LANÇAR","")</f>
        <v/>
      </c>
      <c r="L3880" s="13">
        <f>N3880&amp;O3880&amp;P3880&amp;Q3880&amp;R3880&amp;S3880&amp;T3880&amp;U3880&amp;V3880&amp;W3880&amp;X3880&amp;Y3880&amp;Z3880&amp;AA3880&amp;AB3880&amp;AC3880&amp;AD3880&amp;AE3880&amp;AF3880&amp;AG3880</f>
        <v/>
      </c>
      <c r="N3880" s="10">
        <f>TEXT($B$6,"00")</f>
        <v/>
      </c>
      <c r="O3880" s="10">
        <f>REPT(" ",8)</f>
        <v/>
      </c>
      <c r="P3880" s="10">
        <f>RIGHT($B$4,2)</f>
        <v/>
      </c>
      <c r="Q3880" s="10">
        <f>RIGHT($B$5,3)</f>
        <v/>
      </c>
      <c r="R3880" s="10">
        <f>IF(A3880="D",LEFT(UPPER(B3880)&amp;REPT(" ",20),20),REPT(" ",20))</f>
        <v/>
      </c>
      <c r="S3880" s="10">
        <f>IF(A3880="D",LEFT(UPPER(C3880)&amp;REPT(" ",10),10)," ")</f>
        <v/>
      </c>
      <c r="T3880" s="10">
        <f>IF(A3880="D",LEFT(UPPER(D3880)&amp;REPT(" ",2),2)," ")</f>
        <v/>
      </c>
      <c r="U3880" s="10">
        <f>IF(A3880="D",LEFT(UPPER(E3880)&amp;REPT(" ",15),15)," ")</f>
        <v/>
      </c>
      <c r="V3880" s="10">
        <f>REPT(" ",24)</f>
        <v/>
      </c>
      <c r="W3880" s="10">
        <f>IF(A3880="c",LEFT(UPPER(B3880)&amp;REPT(" ",20),20),REPT(" ",20))</f>
        <v/>
      </c>
      <c r="X3880" s="10">
        <f>IF(A3880="C",LEFT(UPPER(C3880)&amp;REPT(" ",10),10)," ")</f>
        <v/>
      </c>
      <c r="Y3880" s="10">
        <f>IF(A3880="C",LEFT(UPPER(D3880)&amp;REPT(" ",2),2)," ")</f>
        <v/>
      </c>
      <c r="Z3880" s="10">
        <f>IF(A3880="C",LEFT(UPPER(E3880)&amp;REPT(" ",15),15)," ")</f>
        <v/>
      </c>
      <c r="AA3880" s="10">
        <f>REPT(" ",8)</f>
        <v/>
      </c>
      <c r="AB3880" s="10">
        <f>REPT(" ",4)</f>
        <v/>
      </c>
      <c r="AC3880" s="10">
        <f>LEFT(UPPER(H3880)&amp;REPT(" ",250),250)</f>
        <v/>
      </c>
      <c r="AD3880" s="10">
        <f>TEXT($G$2,"dd/mm/aaaa")</f>
        <v/>
      </c>
      <c r="AE3880" s="10">
        <f>REPT(" ",10)</f>
        <v/>
      </c>
      <c r="AF3880" s="10">
        <f>REPT(" ",20)</f>
        <v/>
      </c>
      <c r="AG3880" s="54">
        <f>REPT(" ",18-LEN(FIXED(F3880,2,TRUE)))&amp;FIXED(F3880,2,TRUE)</f>
        <v/>
      </c>
      <c r="AH3880" s="10">
        <f>LEN(AC3880)+LEN(AG3880)</f>
        <v/>
      </c>
      <c r="AI3880" s="10">
        <f>LEN(L3880)</f>
        <v/>
      </c>
    </row>
    <row r="3881">
      <c r="J3881" s="12">
        <f>IF(F3881&lt;&gt;0,"LANÇAR","")</f>
        <v/>
      </c>
      <c r="L3881" s="13">
        <f>N3881&amp;O3881&amp;P3881&amp;Q3881&amp;R3881&amp;S3881&amp;T3881&amp;U3881&amp;V3881&amp;W3881&amp;X3881&amp;Y3881&amp;Z3881&amp;AA3881&amp;AB3881&amp;AC3881&amp;AD3881&amp;AE3881&amp;AF3881&amp;AG3881</f>
        <v/>
      </c>
      <c r="N3881" s="10">
        <f>TEXT($B$6,"00")</f>
        <v/>
      </c>
      <c r="O3881" s="10">
        <f>REPT(" ",8)</f>
        <v/>
      </c>
      <c r="P3881" s="10">
        <f>RIGHT($B$4,2)</f>
        <v/>
      </c>
      <c r="Q3881" s="10">
        <f>RIGHT($B$5,3)</f>
        <v/>
      </c>
      <c r="R3881" s="10">
        <f>IF(A3881="D",LEFT(UPPER(B3881)&amp;REPT(" ",20),20),REPT(" ",20))</f>
        <v/>
      </c>
      <c r="S3881" s="10">
        <f>IF(A3881="D",LEFT(UPPER(C3881)&amp;REPT(" ",10),10)," ")</f>
        <v/>
      </c>
      <c r="T3881" s="10">
        <f>IF(A3881="D",LEFT(UPPER(D3881)&amp;REPT(" ",2),2)," ")</f>
        <v/>
      </c>
      <c r="U3881" s="10">
        <f>IF(A3881="D",LEFT(UPPER(E3881)&amp;REPT(" ",15),15)," ")</f>
        <v/>
      </c>
      <c r="V3881" s="10">
        <f>REPT(" ",24)</f>
        <v/>
      </c>
      <c r="W3881" s="10">
        <f>IF(A3881="c",LEFT(UPPER(B3881)&amp;REPT(" ",20),20),REPT(" ",20))</f>
        <v/>
      </c>
      <c r="X3881" s="10">
        <f>IF(A3881="C",LEFT(UPPER(C3881)&amp;REPT(" ",10),10)," ")</f>
        <v/>
      </c>
      <c r="Y3881" s="10">
        <f>IF(A3881="C",LEFT(UPPER(D3881)&amp;REPT(" ",2),2)," ")</f>
        <v/>
      </c>
      <c r="Z3881" s="10">
        <f>IF(A3881="C",LEFT(UPPER(E3881)&amp;REPT(" ",15),15)," ")</f>
        <v/>
      </c>
      <c r="AA3881" s="10">
        <f>REPT(" ",8)</f>
        <v/>
      </c>
      <c r="AB3881" s="10">
        <f>REPT(" ",4)</f>
        <v/>
      </c>
      <c r="AC3881" s="10">
        <f>LEFT(UPPER(H3881)&amp;REPT(" ",250),250)</f>
        <v/>
      </c>
      <c r="AD3881" s="10">
        <f>TEXT($G$2,"dd/mm/aaaa")</f>
        <v/>
      </c>
      <c r="AE3881" s="10">
        <f>REPT(" ",10)</f>
        <v/>
      </c>
      <c r="AF3881" s="10">
        <f>REPT(" ",20)</f>
        <v/>
      </c>
      <c r="AG3881" s="54">
        <f>REPT(" ",18-LEN(FIXED(F3881,2,TRUE)))&amp;FIXED(F3881,2,TRUE)</f>
        <v/>
      </c>
      <c r="AH3881" s="10">
        <f>LEN(AC3881)+LEN(AG3881)</f>
        <v/>
      </c>
      <c r="AI3881" s="10">
        <f>LEN(L3881)</f>
        <v/>
      </c>
    </row>
    <row r="3882">
      <c r="J3882" s="12">
        <f>IF(F3882&lt;&gt;0,"LANÇAR","")</f>
        <v/>
      </c>
      <c r="L3882" s="13">
        <f>N3882&amp;O3882&amp;P3882&amp;Q3882&amp;R3882&amp;S3882&amp;T3882&amp;U3882&amp;V3882&amp;W3882&amp;X3882&amp;Y3882&amp;Z3882&amp;AA3882&amp;AB3882&amp;AC3882&amp;AD3882&amp;AE3882&amp;AF3882&amp;AG3882</f>
        <v/>
      </c>
      <c r="N3882" s="10">
        <f>TEXT($B$6,"00")</f>
        <v/>
      </c>
      <c r="O3882" s="10">
        <f>REPT(" ",8)</f>
        <v/>
      </c>
      <c r="P3882" s="10">
        <f>RIGHT($B$4,2)</f>
        <v/>
      </c>
      <c r="Q3882" s="10">
        <f>RIGHT($B$5,3)</f>
        <v/>
      </c>
      <c r="R3882" s="10">
        <f>IF(A3882="D",LEFT(UPPER(B3882)&amp;REPT(" ",20),20),REPT(" ",20))</f>
        <v/>
      </c>
      <c r="S3882" s="10">
        <f>IF(A3882="D",LEFT(UPPER(C3882)&amp;REPT(" ",10),10)," ")</f>
        <v/>
      </c>
      <c r="T3882" s="10">
        <f>IF(A3882="D",LEFT(UPPER(D3882)&amp;REPT(" ",2),2)," ")</f>
        <v/>
      </c>
      <c r="U3882" s="10">
        <f>IF(A3882="D",LEFT(UPPER(E3882)&amp;REPT(" ",15),15)," ")</f>
        <v/>
      </c>
      <c r="V3882" s="10">
        <f>REPT(" ",24)</f>
        <v/>
      </c>
      <c r="W3882" s="10">
        <f>IF(A3882="c",LEFT(UPPER(B3882)&amp;REPT(" ",20),20),REPT(" ",20))</f>
        <v/>
      </c>
      <c r="X3882" s="10">
        <f>IF(A3882="C",LEFT(UPPER(C3882)&amp;REPT(" ",10),10)," ")</f>
        <v/>
      </c>
      <c r="Y3882" s="10">
        <f>IF(A3882="C",LEFT(UPPER(D3882)&amp;REPT(" ",2),2)," ")</f>
        <v/>
      </c>
      <c r="Z3882" s="10">
        <f>IF(A3882="C",LEFT(UPPER(E3882)&amp;REPT(" ",15),15)," ")</f>
        <v/>
      </c>
      <c r="AA3882" s="10">
        <f>REPT(" ",8)</f>
        <v/>
      </c>
      <c r="AB3882" s="10">
        <f>REPT(" ",4)</f>
        <v/>
      </c>
      <c r="AC3882" s="10">
        <f>LEFT(UPPER(H3882)&amp;REPT(" ",250),250)</f>
        <v/>
      </c>
      <c r="AD3882" s="10">
        <f>TEXT($G$2,"dd/mm/aaaa")</f>
        <v/>
      </c>
      <c r="AE3882" s="10">
        <f>REPT(" ",10)</f>
        <v/>
      </c>
      <c r="AF3882" s="10">
        <f>REPT(" ",20)</f>
        <v/>
      </c>
      <c r="AG3882" s="54">
        <f>REPT(" ",18-LEN(FIXED(F3882,2,TRUE)))&amp;FIXED(F3882,2,TRUE)</f>
        <v/>
      </c>
      <c r="AH3882" s="10">
        <f>LEN(AC3882)+LEN(AG3882)</f>
        <v/>
      </c>
      <c r="AI3882" s="10">
        <f>LEN(L3882)</f>
        <v/>
      </c>
    </row>
    <row r="3883">
      <c r="J3883" s="12">
        <f>IF(F3883&lt;&gt;0,"LANÇAR","")</f>
        <v/>
      </c>
      <c r="L3883" s="13">
        <f>N3883&amp;O3883&amp;P3883&amp;Q3883&amp;R3883&amp;S3883&amp;T3883&amp;U3883&amp;V3883&amp;W3883&amp;X3883&amp;Y3883&amp;Z3883&amp;AA3883&amp;AB3883&amp;AC3883&amp;AD3883&amp;AE3883&amp;AF3883&amp;AG3883</f>
        <v/>
      </c>
      <c r="N3883" s="10">
        <f>TEXT($B$6,"00")</f>
        <v/>
      </c>
      <c r="O3883" s="10">
        <f>REPT(" ",8)</f>
        <v/>
      </c>
      <c r="P3883" s="10">
        <f>RIGHT($B$4,2)</f>
        <v/>
      </c>
      <c r="Q3883" s="10">
        <f>RIGHT($B$5,3)</f>
        <v/>
      </c>
      <c r="R3883" s="10">
        <f>IF(A3883="D",LEFT(UPPER(B3883)&amp;REPT(" ",20),20),REPT(" ",20))</f>
        <v/>
      </c>
      <c r="S3883" s="10">
        <f>IF(A3883="D",LEFT(UPPER(C3883)&amp;REPT(" ",10),10)," ")</f>
        <v/>
      </c>
      <c r="T3883" s="10">
        <f>IF(A3883="D",LEFT(UPPER(D3883)&amp;REPT(" ",2),2)," ")</f>
        <v/>
      </c>
      <c r="U3883" s="10">
        <f>IF(A3883="D",LEFT(UPPER(E3883)&amp;REPT(" ",15),15)," ")</f>
        <v/>
      </c>
      <c r="V3883" s="10">
        <f>REPT(" ",24)</f>
        <v/>
      </c>
      <c r="W3883" s="10">
        <f>IF(A3883="c",LEFT(UPPER(B3883)&amp;REPT(" ",20),20),REPT(" ",20))</f>
        <v/>
      </c>
      <c r="X3883" s="10">
        <f>IF(A3883="C",LEFT(UPPER(C3883)&amp;REPT(" ",10),10)," ")</f>
        <v/>
      </c>
      <c r="Y3883" s="10">
        <f>IF(A3883="C",LEFT(UPPER(D3883)&amp;REPT(" ",2),2)," ")</f>
        <v/>
      </c>
      <c r="Z3883" s="10">
        <f>IF(A3883="C",LEFT(UPPER(E3883)&amp;REPT(" ",15),15)," ")</f>
        <v/>
      </c>
      <c r="AA3883" s="10">
        <f>REPT(" ",8)</f>
        <v/>
      </c>
      <c r="AB3883" s="10">
        <f>REPT(" ",4)</f>
        <v/>
      </c>
      <c r="AC3883" s="10">
        <f>LEFT(UPPER(H3883)&amp;REPT(" ",250),250)</f>
        <v/>
      </c>
      <c r="AD3883" s="10">
        <f>TEXT($G$2,"dd/mm/aaaa")</f>
        <v/>
      </c>
      <c r="AE3883" s="10">
        <f>REPT(" ",10)</f>
        <v/>
      </c>
      <c r="AF3883" s="10">
        <f>REPT(" ",20)</f>
        <v/>
      </c>
      <c r="AG3883" s="54">
        <f>REPT(" ",18-LEN(FIXED(F3883,2,TRUE)))&amp;FIXED(F3883,2,TRUE)</f>
        <v/>
      </c>
      <c r="AH3883" s="10">
        <f>LEN(AC3883)+LEN(AG3883)</f>
        <v/>
      </c>
      <c r="AI3883" s="10">
        <f>LEN(L3883)</f>
        <v/>
      </c>
    </row>
    <row r="3884">
      <c r="J3884" s="12">
        <f>IF(F3884&lt;&gt;0,"LANÇAR","")</f>
        <v/>
      </c>
      <c r="L3884" s="13">
        <f>N3884&amp;O3884&amp;P3884&amp;Q3884&amp;R3884&amp;S3884&amp;T3884&amp;U3884&amp;V3884&amp;W3884&amp;X3884&amp;Y3884&amp;Z3884&amp;AA3884&amp;AB3884&amp;AC3884&amp;AD3884&amp;AE3884&amp;AF3884&amp;AG3884</f>
        <v/>
      </c>
      <c r="N3884" s="10">
        <f>TEXT($B$6,"00")</f>
        <v/>
      </c>
      <c r="O3884" s="10">
        <f>REPT(" ",8)</f>
        <v/>
      </c>
      <c r="P3884" s="10">
        <f>RIGHT($B$4,2)</f>
        <v/>
      </c>
      <c r="Q3884" s="10">
        <f>RIGHT($B$5,3)</f>
        <v/>
      </c>
      <c r="R3884" s="10">
        <f>IF(A3884="D",LEFT(UPPER(B3884)&amp;REPT(" ",20),20),REPT(" ",20))</f>
        <v/>
      </c>
      <c r="S3884" s="10">
        <f>IF(A3884="D",LEFT(UPPER(C3884)&amp;REPT(" ",10),10)," ")</f>
        <v/>
      </c>
      <c r="T3884" s="10">
        <f>IF(A3884="D",LEFT(UPPER(D3884)&amp;REPT(" ",2),2)," ")</f>
        <v/>
      </c>
      <c r="U3884" s="10">
        <f>IF(A3884="D",LEFT(UPPER(E3884)&amp;REPT(" ",15),15)," ")</f>
        <v/>
      </c>
      <c r="V3884" s="10">
        <f>REPT(" ",24)</f>
        <v/>
      </c>
      <c r="W3884" s="10">
        <f>IF(A3884="c",LEFT(UPPER(B3884)&amp;REPT(" ",20),20),REPT(" ",20))</f>
        <v/>
      </c>
      <c r="X3884" s="10">
        <f>IF(A3884="C",LEFT(UPPER(C3884)&amp;REPT(" ",10),10)," ")</f>
        <v/>
      </c>
      <c r="Y3884" s="10">
        <f>IF(A3884="C",LEFT(UPPER(D3884)&amp;REPT(" ",2),2)," ")</f>
        <v/>
      </c>
      <c r="Z3884" s="10">
        <f>IF(A3884="C",LEFT(UPPER(E3884)&amp;REPT(" ",15),15)," ")</f>
        <v/>
      </c>
      <c r="AA3884" s="10">
        <f>REPT(" ",8)</f>
        <v/>
      </c>
      <c r="AB3884" s="10">
        <f>REPT(" ",4)</f>
        <v/>
      </c>
      <c r="AC3884" s="10">
        <f>LEFT(UPPER(H3884)&amp;REPT(" ",250),250)</f>
        <v/>
      </c>
      <c r="AD3884" s="10">
        <f>TEXT($G$2,"dd/mm/aaaa")</f>
        <v/>
      </c>
      <c r="AE3884" s="10">
        <f>REPT(" ",10)</f>
        <v/>
      </c>
      <c r="AF3884" s="10">
        <f>REPT(" ",20)</f>
        <v/>
      </c>
      <c r="AG3884" s="54">
        <f>REPT(" ",18-LEN(FIXED(F3884,2,TRUE)))&amp;FIXED(F3884,2,TRUE)</f>
        <v/>
      </c>
      <c r="AH3884" s="10">
        <f>LEN(AC3884)+LEN(AG3884)</f>
        <v/>
      </c>
      <c r="AI3884" s="10">
        <f>LEN(L3884)</f>
        <v/>
      </c>
    </row>
    <row r="3885">
      <c r="J3885" s="12">
        <f>IF(F3885&lt;&gt;0,"LANÇAR","")</f>
        <v/>
      </c>
      <c r="L3885" s="13">
        <f>N3885&amp;O3885&amp;P3885&amp;Q3885&amp;R3885&amp;S3885&amp;T3885&amp;U3885&amp;V3885&amp;W3885&amp;X3885&amp;Y3885&amp;Z3885&amp;AA3885&amp;AB3885&amp;AC3885&amp;AD3885&amp;AE3885&amp;AF3885&amp;AG3885</f>
        <v/>
      </c>
      <c r="N3885" s="10">
        <f>TEXT($B$6,"00")</f>
        <v/>
      </c>
      <c r="O3885" s="10">
        <f>REPT(" ",8)</f>
        <v/>
      </c>
      <c r="P3885" s="10">
        <f>RIGHT($B$4,2)</f>
        <v/>
      </c>
      <c r="Q3885" s="10">
        <f>RIGHT($B$5,3)</f>
        <v/>
      </c>
      <c r="R3885" s="10">
        <f>IF(A3885="D",LEFT(UPPER(B3885)&amp;REPT(" ",20),20),REPT(" ",20))</f>
        <v/>
      </c>
      <c r="S3885" s="10">
        <f>IF(A3885="D",LEFT(UPPER(C3885)&amp;REPT(" ",10),10)," ")</f>
        <v/>
      </c>
      <c r="T3885" s="10">
        <f>IF(A3885="D",LEFT(UPPER(D3885)&amp;REPT(" ",2),2)," ")</f>
        <v/>
      </c>
      <c r="U3885" s="10">
        <f>IF(A3885="D",LEFT(UPPER(E3885)&amp;REPT(" ",15),15)," ")</f>
        <v/>
      </c>
      <c r="V3885" s="10">
        <f>REPT(" ",24)</f>
        <v/>
      </c>
      <c r="W3885" s="10">
        <f>IF(A3885="c",LEFT(UPPER(B3885)&amp;REPT(" ",20),20),REPT(" ",20))</f>
        <v/>
      </c>
      <c r="X3885" s="10">
        <f>IF(A3885="C",LEFT(UPPER(C3885)&amp;REPT(" ",10),10)," ")</f>
        <v/>
      </c>
      <c r="Y3885" s="10">
        <f>IF(A3885="C",LEFT(UPPER(D3885)&amp;REPT(" ",2),2)," ")</f>
        <v/>
      </c>
      <c r="Z3885" s="10">
        <f>IF(A3885="C",LEFT(UPPER(E3885)&amp;REPT(" ",15),15)," ")</f>
        <v/>
      </c>
      <c r="AA3885" s="10">
        <f>REPT(" ",8)</f>
        <v/>
      </c>
      <c r="AB3885" s="10">
        <f>REPT(" ",4)</f>
        <v/>
      </c>
      <c r="AC3885" s="10">
        <f>LEFT(UPPER(H3885)&amp;REPT(" ",250),250)</f>
        <v/>
      </c>
      <c r="AD3885" s="10">
        <f>TEXT($G$2,"dd/mm/aaaa")</f>
        <v/>
      </c>
      <c r="AE3885" s="10">
        <f>REPT(" ",10)</f>
        <v/>
      </c>
      <c r="AF3885" s="10">
        <f>REPT(" ",20)</f>
        <v/>
      </c>
      <c r="AG3885" s="54">
        <f>REPT(" ",18-LEN(FIXED(F3885,2,TRUE)))&amp;FIXED(F3885,2,TRUE)</f>
        <v/>
      </c>
      <c r="AH3885" s="10">
        <f>LEN(AC3885)+LEN(AG3885)</f>
        <v/>
      </c>
      <c r="AI3885" s="10">
        <f>LEN(L3885)</f>
        <v/>
      </c>
    </row>
    <row r="3886">
      <c r="J3886" s="12">
        <f>IF(F3886&lt;&gt;0,"LANÇAR","")</f>
        <v/>
      </c>
      <c r="L3886" s="13">
        <f>N3886&amp;O3886&amp;P3886&amp;Q3886&amp;R3886&amp;S3886&amp;T3886&amp;U3886&amp;V3886&amp;W3886&amp;X3886&amp;Y3886&amp;Z3886&amp;AA3886&amp;AB3886&amp;AC3886&amp;AD3886&amp;AE3886&amp;AF3886&amp;AG3886</f>
        <v/>
      </c>
      <c r="N3886" s="10">
        <f>TEXT($B$6,"00")</f>
        <v/>
      </c>
      <c r="O3886" s="10">
        <f>REPT(" ",8)</f>
        <v/>
      </c>
      <c r="P3886" s="10">
        <f>RIGHT($B$4,2)</f>
        <v/>
      </c>
      <c r="Q3886" s="10">
        <f>RIGHT($B$5,3)</f>
        <v/>
      </c>
      <c r="R3886" s="10">
        <f>IF(A3886="D",LEFT(UPPER(B3886)&amp;REPT(" ",20),20),REPT(" ",20))</f>
        <v/>
      </c>
      <c r="S3886" s="10">
        <f>IF(A3886="D",LEFT(UPPER(C3886)&amp;REPT(" ",10),10)," ")</f>
        <v/>
      </c>
      <c r="T3886" s="10">
        <f>IF(A3886="D",LEFT(UPPER(D3886)&amp;REPT(" ",2),2)," ")</f>
        <v/>
      </c>
      <c r="U3886" s="10">
        <f>IF(A3886="D",LEFT(UPPER(E3886)&amp;REPT(" ",15),15)," ")</f>
        <v/>
      </c>
      <c r="V3886" s="10">
        <f>REPT(" ",24)</f>
        <v/>
      </c>
      <c r="W3886" s="10">
        <f>IF(A3886="c",LEFT(UPPER(B3886)&amp;REPT(" ",20),20),REPT(" ",20))</f>
        <v/>
      </c>
      <c r="X3886" s="10">
        <f>IF(A3886="C",LEFT(UPPER(C3886)&amp;REPT(" ",10),10)," ")</f>
        <v/>
      </c>
      <c r="Y3886" s="10">
        <f>IF(A3886="C",LEFT(UPPER(D3886)&amp;REPT(" ",2),2)," ")</f>
        <v/>
      </c>
      <c r="Z3886" s="10">
        <f>IF(A3886="C",LEFT(UPPER(E3886)&amp;REPT(" ",15),15)," ")</f>
        <v/>
      </c>
      <c r="AA3886" s="10">
        <f>REPT(" ",8)</f>
        <v/>
      </c>
      <c r="AB3886" s="10">
        <f>REPT(" ",4)</f>
        <v/>
      </c>
      <c r="AC3886" s="10">
        <f>LEFT(UPPER(H3886)&amp;REPT(" ",250),250)</f>
        <v/>
      </c>
      <c r="AD3886" s="10">
        <f>TEXT($G$2,"dd/mm/aaaa")</f>
        <v/>
      </c>
      <c r="AE3886" s="10">
        <f>REPT(" ",10)</f>
        <v/>
      </c>
      <c r="AF3886" s="10">
        <f>REPT(" ",20)</f>
        <v/>
      </c>
      <c r="AG3886" s="54">
        <f>REPT(" ",18-LEN(FIXED(F3886,2,TRUE)))&amp;FIXED(F3886,2,TRUE)</f>
        <v/>
      </c>
      <c r="AH3886" s="10">
        <f>LEN(AC3886)+LEN(AG3886)</f>
        <v/>
      </c>
      <c r="AI3886" s="10">
        <f>LEN(L3886)</f>
        <v/>
      </c>
    </row>
    <row r="3887">
      <c r="J3887" s="12">
        <f>IF(F3887&lt;&gt;0,"LANÇAR","")</f>
        <v/>
      </c>
      <c r="L3887" s="13">
        <f>N3887&amp;O3887&amp;P3887&amp;Q3887&amp;R3887&amp;S3887&amp;T3887&amp;U3887&amp;V3887&amp;W3887&amp;X3887&amp;Y3887&amp;Z3887&amp;AA3887&amp;AB3887&amp;AC3887&amp;AD3887&amp;AE3887&amp;AF3887&amp;AG3887</f>
        <v/>
      </c>
      <c r="N3887" s="10">
        <f>TEXT($B$6,"00")</f>
        <v/>
      </c>
      <c r="O3887" s="10">
        <f>REPT(" ",8)</f>
        <v/>
      </c>
      <c r="P3887" s="10">
        <f>RIGHT($B$4,2)</f>
        <v/>
      </c>
      <c r="Q3887" s="10">
        <f>RIGHT($B$5,3)</f>
        <v/>
      </c>
      <c r="R3887" s="10">
        <f>IF(A3887="D",LEFT(UPPER(B3887)&amp;REPT(" ",20),20),REPT(" ",20))</f>
        <v/>
      </c>
      <c r="S3887" s="10">
        <f>IF(A3887="D",LEFT(UPPER(C3887)&amp;REPT(" ",10),10)," ")</f>
        <v/>
      </c>
      <c r="T3887" s="10">
        <f>IF(A3887="D",LEFT(UPPER(D3887)&amp;REPT(" ",2),2)," ")</f>
        <v/>
      </c>
      <c r="U3887" s="10">
        <f>IF(A3887="D",LEFT(UPPER(E3887)&amp;REPT(" ",15),15)," ")</f>
        <v/>
      </c>
      <c r="V3887" s="10">
        <f>REPT(" ",24)</f>
        <v/>
      </c>
      <c r="W3887" s="10">
        <f>IF(A3887="c",LEFT(UPPER(B3887)&amp;REPT(" ",20),20),REPT(" ",20))</f>
        <v/>
      </c>
      <c r="X3887" s="10">
        <f>IF(A3887="C",LEFT(UPPER(C3887)&amp;REPT(" ",10),10)," ")</f>
        <v/>
      </c>
      <c r="Y3887" s="10">
        <f>IF(A3887="C",LEFT(UPPER(D3887)&amp;REPT(" ",2),2)," ")</f>
        <v/>
      </c>
      <c r="Z3887" s="10">
        <f>IF(A3887="C",LEFT(UPPER(E3887)&amp;REPT(" ",15),15)," ")</f>
        <v/>
      </c>
      <c r="AA3887" s="10">
        <f>REPT(" ",8)</f>
        <v/>
      </c>
      <c r="AB3887" s="10">
        <f>REPT(" ",4)</f>
        <v/>
      </c>
      <c r="AC3887" s="10">
        <f>LEFT(UPPER(H3887)&amp;REPT(" ",250),250)</f>
        <v/>
      </c>
      <c r="AD3887" s="10">
        <f>TEXT($G$2,"dd/mm/aaaa")</f>
        <v/>
      </c>
      <c r="AE3887" s="10">
        <f>REPT(" ",10)</f>
        <v/>
      </c>
      <c r="AF3887" s="10">
        <f>REPT(" ",20)</f>
        <v/>
      </c>
      <c r="AG3887" s="54">
        <f>REPT(" ",18-LEN(FIXED(F3887,2,TRUE)))&amp;FIXED(F3887,2,TRUE)</f>
        <v/>
      </c>
      <c r="AH3887" s="10">
        <f>LEN(AC3887)+LEN(AG3887)</f>
        <v/>
      </c>
      <c r="AI3887" s="10">
        <f>LEN(L3887)</f>
        <v/>
      </c>
    </row>
    <row r="3888">
      <c r="J3888" s="12">
        <f>IF(F3888&lt;&gt;0,"LANÇAR","")</f>
        <v/>
      </c>
      <c r="L3888" s="13">
        <f>N3888&amp;O3888&amp;P3888&amp;Q3888&amp;R3888&amp;S3888&amp;T3888&amp;U3888&amp;V3888&amp;W3888&amp;X3888&amp;Y3888&amp;Z3888&amp;AA3888&amp;AB3888&amp;AC3888&amp;AD3888&amp;AE3888&amp;AF3888&amp;AG3888</f>
        <v/>
      </c>
      <c r="N3888" s="10">
        <f>TEXT($B$6,"00")</f>
        <v/>
      </c>
      <c r="O3888" s="10">
        <f>REPT(" ",8)</f>
        <v/>
      </c>
      <c r="P3888" s="10">
        <f>RIGHT($B$4,2)</f>
        <v/>
      </c>
      <c r="Q3888" s="10">
        <f>RIGHT($B$5,3)</f>
        <v/>
      </c>
      <c r="R3888" s="10">
        <f>IF(A3888="D",LEFT(UPPER(B3888)&amp;REPT(" ",20),20),REPT(" ",20))</f>
        <v/>
      </c>
      <c r="S3888" s="10">
        <f>IF(A3888="D",LEFT(UPPER(C3888)&amp;REPT(" ",10),10)," ")</f>
        <v/>
      </c>
      <c r="T3888" s="10">
        <f>IF(A3888="D",LEFT(UPPER(D3888)&amp;REPT(" ",2),2)," ")</f>
        <v/>
      </c>
      <c r="U3888" s="10">
        <f>IF(A3888="D",LEFT(UPPER(E3888)&amp;REPT(" ",15),15)," ")</f>
        <v/>
      </c>
      <c r="V3888" s="10">
        <f>REPT(" ",24)</f>
        <v/>
      </c>
      <c r="W3888" s="10">
        <f>IF(A3888="c",LEFT(UPPER(B3888)&amp;REPT(" ",20),20),REPT(" ",20))</f>
        <v/>
      </c>
      <c r="X3888" s="10">
        <f>IF(A3888="C",LEFT(UPPER(C3888)&amp;REPT(" ",10),10)," ")</f>
        <v/>
      </c>
      <c r="Y3888" s="10">
        <f>IF(A3888="C",LEFT(UPPER(D3888)&amp;REPT(" ",2),2)," ")</f>
        <v/>
      </c>
      <c r="Z3888" s="10">
        <f>IF(A3888="C",LEFT(UPPER(E3888)&amp;REPT(" ",15),15)," ")</f>
        <v/>
      </c>
      <c r="AA3888" s="10">
        <f>REPT(" ",8)</f>
        <v/>
      </c>
      <c r="AB3888" s="10">
        <f>REPT(" ",4)</f>
        <v/>
      </c>
      <c r="AC3888" s="10">
        <f>LEFT(UPPER(H3888)&amp;REPT(" ",250),250)</f>
        <v/>
      </c>
      <c r="AD3888" s="10">
        <f>TEXT($G$2,"dd/mm/aaaa")</f>
        <v/>
      </c>
      <c r="AE3888" s="10">
        <f>REPT(" ",10)</f>
        <v/>
      </c>
      <c r="AF3888" s="10">
        <f>REPT(" ",20)</f>
        <v/>
      </c>
      <c r="AG3888" s="54">
        <f>REPT(" ",18-LEN(FIXED(F3888,2,TRUE)))&amp;FIXED(F3888,2,TRUE)</f>
        <v/>
      </c>
      <c r="AH3888" s="10">
        <f>LEN(AC3888)+LEN(AG3888)</f>
        <v/>
      </c>
      <c r="AI3888" s="10">
        <f>LEN(L3888)</f>
        <v/>
      </c>
    </row>
    <row r="3889">
      <c r="J3889" s="12">
        <f>IF(F3889&lt;&gt;0,"LANÇAR","")</f>
        <v/>
      </c>
      <c r="L3889" s="13">
        <f>N3889&amp;O3889&amp;P3889&amp;Q3889&amp;R3889&amp;S3889&amp;T3889&amp;U3889&amp;V3889&amp;W3889&amp;X3889&amp;Y3889&amp;Z3889&amp;AA3889&amp;AB3889&amp;AC3889&amp;AD3889&amp;AE3889&amp;AF3889&amp;AG3889</f>
        <v/>
      </c>
      <c r="N3889" s="10">
        <f>TEXT($B$6,"00")</f>
        <v/>
      </c>
      <c r="O3889" s="10">
        <f>REPT(" ",8)</f>
        <v/>
      </c>
      <c r="P3889" s="10">
        <f>RIGHT($B$4,2)</f>
        <v/>
      </c>
      <c r="Q3889" s="10">
        <f>RIGHT($B$5,3)</f>
        <v/>
      </c>
      <c r="R3889" s="10">
        <f>IF(A3889="D",LEFT(UPPER(B3889)&amp;REPT(" ",20),20),REPT(" ",20))</f>
        <v/>
      </c>
      <c r="S3889" s="10">
        <f>IF(A3889="D",LEFT(UPPER(C3889)&amp;REPT(" ",10),10)," ")</f>
        <v/>
      </c>
      <c r="T3889" s="10">
        <f>IF(A3889="D",LEFT(UPPER(D3889)&amp;REPT(" ",2),2)," ")</f>
        <v/>
      </c>
      <c r="U3889" s="10">
        <f>IF(A3889="D",LEFT(UPPER(E3889)&amp;REPT(" ",15),15)," ")</f>
        <v/>
      </c>
      <c r="V3889" s="10">
        <f>REPT(" ",24)</f>
        <v/>
      </c>
      <c r="W3889" s="10">
        <f>IF(A3889="c",LEFT(UPPER(B3889)&amp;REPT(" ",20),20),REPT(" ",20))</f>
        <v/>
      </c>
      <c r="X3889" s="10">
        <f>IF(A3889="C",LEFT(UPPER(C3889)&amp;REPT(" ",10),10)," ")</f>
        <v/>
      </c>
      <c r="Y3889" s="10">
        <f>IF(A3889="C",LEFT(UPPER(D3889)&amp;REPT(" ",2),2)," ")</f>
        <v/>
      </c>
      <c r="Z3889" s="10">
        <f>IF(A3889="C",LEFT(UPPER(E3889)&amp;REPT(" ",15),15)," ")</f>
        <v/>
      </c>
      <c r="AA3889" s="10">
        <f>REPT(" ",8)</f>
        <v/>
      </c>
      <c r="AB3889" s="10">
        <f>REPT(" ",4)</f>
        <v/>
      </c>
      <c r="AC3889" s="10">
        <f>LEFT(UPPER(H3889)&amp;REPT(" ",250),250)</f>
        <v/>
      </c>
      <c r="AD3889" s="10">
        <f>TEXT($G$2,"dd/mm/aaaa")</f>
        <v/>
      </c>
      <c r="AE3889" s="10">
        <f>REPT(" ",10)</f>
        <v/>
      </c>
      <c r="AF3889" s="10">
        <f>REPT(" ",20)</f>
        <v/>
      </c>
      <c r="AG3889" s="54">
        <f>REPT(" ",18-LEN(FIXED(F3889,2,TRUE)))&amp;FIXED(F3889,2,TRUE)</f>
        <v/>
      </c>
      <c r="AH3889" s="10">
        <f>LEN(AC3889)+LEN(AG3889)</f>
        <v/>
      </c>
      <c r="AI3889" s="10">
        <f>LEN(L3889)</f>
        <v/>
      </c>
    </row>
    <row r="3890">
      <c r="J3890" s="12">
        <f>IF(F3890&lt;&gt;0,"LANÇAR","")</f>
        <v/>
      </c>
      <c r="L3890" s="13">
        <f>N3890&amp;O3890&amp;P3890&amp;Q3890&amp;R3890&amp;S3890&amp;T3890&amp;U3890&amp;V3890&amp;W3890&amp;X3890&amp;Y3890&amp;Z3890&amp;AA3890&amp;AB3890&amp;AC3890&amp;AD3890&amp;AE3890&amp;AF3890&amp;AG3890</f>
        <v/>
      </c>
      <c r="N3890" s="10">
        <f>TEXT($B$6,"00")</f>
        <v/>
      </c>
      <c r="O3890" s="10">
        <f>REPT(" ",8)</f>
        <v/>
      </c>
      <c r="P3890" s="10">
        <f>RIGHT($B$4,2)</f>
        <v/>
      </c>
      <c r="Q3890" s="10">
        <f>RIGHT($B$5,3)</f>
        <v/>
      </c>
      <c r="R3890" s="10">
        <f>IF(A3890="D",LEFT(UPPER(B3890)&amp;REPT(" ",20),20),REPT(" ",20))</f>
        <v/>
      </c>
      <c r="S3890" s="10">
        <f>IF(A3890="D",LEFT(UPPER(C3890)&amp;REPT(" ",10),10)," ")</f>
        <v/>
      </c>
      <c r="T3890" s="10">
        <f>IF(A3890="D",LEFT(UPPER(D3890)&amp;REPT(" ",2),2)," ")</f>
        <v/>
      </c>
      <c r="U3890" s="10">
        <f>IF(A3890="D",LEFT(UPPER(E3890)&amp;REPT(" ",15),15)," ")</f>
        <v/>
      </c>
      <c r="V3890" s="10">
        <f>REPT(" ",24)</f>
        <v/>
      </c>
      <c r="W3890" s="10">
        <f>IF(A3890="c",LEFT(UPPER(B3890)&amp;REPT(" ",20),20),REPT(" ",20))</f>
        <v/>
      </c>
      <c r="X3890" s="10">
        <f>IF(A3890="C",LEFT(UPPER(C3890)&amp;REPT(" ",10),10)," ")</f>
        <v/>
      </c>
      <c r="Y3890" s="10">
        <f>IF(A3890="C",LEFT(UPPER(D3890)&amp;REPT(" ",2),2)," ")</f>
        <v/>
      </c>
      <c r="Z3890" s="10">
        <f>IF(A3890="C",LEFT(UPPER(E3890)&amp;REPT(" ",15),15)," ")</f>
        <v/>
      </c>
      <c r="AA3890" s="10">
        <f>REPT(" ",8)</f>
        <v/>
      </c>
      <c r="AB3890" s="10">
        <f>REPT(" ",4)</f>
        <v/>
      </c>
      <c r="AC3890" s="10">
        <f>LEFT(UPPER(H3890)&amp;REPT(" ",250),250)</f>
        <v/>
      </c>
      <c r="AD3890" s="10">
        <f>TEXT($G$2,"dd/mm/aaaa")</f>
        <v/>
      </c>
      <c r="AE3890" s="10">
        <f>REPT(" ",10)</f>
        <v/>
      </c>
      <c r="AF3890" s="10">
        <f>REPT(" ",20)</f>
        <v/>
      </c>
      <c r="AG3890" s="54">
        <f>REPT(" ",18-LEN(FIXED(F3890,2,TRUE)))&amp;FIXED(F3890,2,TRUE)</f>
        <v/>
      </c>
      <c r="AH3890" s="10">
        <f>LEN(AC3890)+LEN(AG3890)</f>
        <v/>
      </c>
      <c r="AI3890" s="10">
        <f>LEN(L3890)</f>
        <v/>
      </c>
    </row>
    <row r="3891">
      <c r="J3891" s="12">
        <f>IF(F3891&lt;&gt;0,"LANÇAR","")</f>
        <v/>
      </c>
      <c r="L3891" s="13">
        <f>N3891&amp;O3891&amp;P3891&amp;Q3891&amp;R3891&amp;S3891&amp;T3891&amp;U3891&amp;V3891&amp;W3891&amp;X3891&amp;Y3891&amp;Z3891&amp;AA3891&amp;AB3891&amp;AC3891&amp;AD3891&amp;AE3891&amp;AF3891&amp;AG3891</f>
        <v/>
      </c>
      <c r="N3891" s="10">
        <f>TEXT($B$6,"00")</f>
        <v/>
      </c>
      <c r="O3891" s="10">
        <f>REPT(" ",8)</f>
        <v/>
      </c>
      <c r="P3891" s="10">
        <f>RIGHT($B$4,2)</f>
        <v/>
      </c>
      <c r="Q3891" s="10">
        <f>RIGHT($B$5,3)</f>
        <v/>
      </c>
      <c r="R3891" s="10">
        <f>IF(A3891="D",LEFT(UPPER(B3891)&amp;REPT(" ",20),20),REPT(" ",20))</f>
        <v/>
      </c>
      <c r="S3891" s="10">
        <f>IF(A3891="D",LEFT(UPPER(C3891)&amp;REPT(" ",10),10)," ")</f>
        <v/>
      </c>
      <c r="T3891" s="10">
        <f>IF(A3891="D",LEFT(UPPER(D3891)&amp;REPT(" ",2),2)," ")</f>
        <v/>
      </c>
      <c r="U3891" s="10">
        <f>IF(A3891="D",LEFT(UPPER(E3891)&amp;REPT(" ",15),15)," ")</f>
        <v/>
      </c>
      <c r="V3891" s="10">
        <f>REPT(" ",24)</f>
        <v/>
      </c>
      <c r="W3891" s="10">
        <f>IF(A3891="c",LEFT(UPPER(B3891)&amp;REPT(" ",20),20),REPT(" ",20))</f>
        <v/>
      </c>
      <c r="X3891" s="10">
        <f>IF(A3891="C",LEFT(UPPER(C3891)&amp;REPT(" ",10),10)," ")</f>
        <v/>
      </c>
      <c r="Y3891" s="10">
        <f>IF(A3891="C",LEFT(UPPER(D3891)&amp;REPT(" ",2),2)," ")</f>
        <v/>
      </c>
      <c r="Z3891" s="10">
        <f>IF(A3891="C",LEFT(UPPER(E3891)&amp;REPT(" ",15),15)," ")</f>
        <v/>
      </c>
      <c r="AA3891" s="10">
        <f>REPT(" ",8)</f>
        <v/>
      </c>
      <c r="AB3891" s="10">
        <f>REPT(" ",4)</f>
        <v/>
      </c>
      <c r="AC3891" s="10">
        <f>LEFT(UPPER(H3891)&amp;REPT(" ",250),250)</f>
        <v/>
      </c>
      <c r="AD3891" s="10">
        <f>TEXT($G$2,"dd/mm/aaaa")</f>
        <v/>
      </c>
      <c r="AE3891" s="10">
        <f>REPT(" ",10)</f>
        <v/>
      </c>
      <c r="AF3891" s="10">
        <f>REPT(" ",20)</f>
        <v/>
      </c>
      <c r="AG3891" s="54">
        <f>REPT(" ",18-LEN(FIXED(F3891,2,TRUE)))&amp;FIXED(F3891,2,TRUE)</f>
        <v/>
      </c>
      <c r="AH3891" s="10">
        <f>LEN(AC3891)+LEN(AG3891)</f>
        <v/>
      </c>
      <c r="AI3891" s="10">
        <f>LEN(L3891)</f>
        <v/>
      </c>
    </row>
    <row r="3892">
      <c r="J3892" s="12">
        <f>IF(F3892&lt;&gt;0,"LANÇAR","")</f>
        <v/>
      </c>
      <c r="L3892" s="13">
        <f>N3892&amp;O3892&amp;P3892&amp;Q3892&amp;R3892&amp;S3892&amp;T3892&amp;U3892&amp;V3892&amp;W3892&amp;X3892&amp;Y3892&amp;Z3892&amp;AA3892&amp;AB3892&amp;AC3892&amp;AD3892&amp;AE3892&amp;AF3892&amp;AG3892</f>
        <v/>
      </c>
      <c r="N3892" s="10">
        <f>TEXT($B$6,"00")</f>
        <v/>
      </c>
      <c r="O3892" s="10">
        <f>REPT(" ",8)</f>
        <v/>
      </c>
      <c r="P3892" s="10">
        <f>RIGHT($B$4,2)</f>
        <v/>
      </c>
      <c r="Q3892" s="10">
        <f>RIGHT($B$5,3)</f>
        <v/>
      </c>
      <c r="R3892" s="10">
        <f>IF(A3892="D",LEFT(UPPER(B3892)&amp;REPT(" ",20),20),REPT(" ",20))</f>
        <v/>
      </c>
      <c r="S3892" s="10">
        <f>IF(A3892="D",LEFT(UPPER(C3892)&amp;REPT(" ",10),10)," ")</f>
        <v/>
      </c>
      <c r="T3892" s="10">
        <f>IF(A3892="D",LEFT(UPPER(D3892)&amp;REPT(" ",2),2)," ")</f>
        <v/>
      </c>
      <c r="U3892" s="10">
        <f>IF(A3892="D",LEFT(UPPER(E3892)&amp;REPT(" ",15),15)," ")</f>
        <v/>
      </c>
      <c r="V3892" s="10">
        <f>REPT(" ",24)</f>
        <v/>
      </c>
      <c r="W3892" s="10">
        <f>IF(A3892="c",LEFT(UPPER(B3892)&amp;REPT(" ",20),20),REPT(" ",20))</f>
        <v/>
      </c>
      <c r="X3892" s="10">
        <f>IF(A3892="C",LEFT(UPPER(C3892)&amp;REPT(" ",10),10)," ")</f>
        <v/>
      </c>
      <c r="Y3892" s="10">
        <f>IF(A3892="C",LEFT(UPPER(D3892)&amp;REPT(" ",2),2)," ")</f>
        <v/>
      </c>
      <c r="Z3892" s="10">
        <f>IF(A3892="C",LEFT(UPPER(E3892)&amp;REPT(" ",15),15)," ")</f>
        <v/>
      </c>
      <c r="AA3892" s="10">
        <f>REPT(" ",8)</f>
        <v/>
      </c>
      <c r="AB3892" s="10">
        <f>REPT(" ",4)</f>
        <v/>
      </c>
      <c r="AC3892" s="10">
        <f>LEFT(UPPER(H3892)&amp;REPT(" ",250),250)</f>
        <v/>
      </c>
      <c r="AD3892" s="10">
        <f>TEXT($G$2,"dd/mm/aaaa")</f>
        <v/>
      </c>
      <c r="AE3892" s="10">
        <f>REPT(" ",10)</f>
        <v/>
      </c>
      <c r="AF3892" s="10">
        <f>REPT(" ",20)</f>
        <v/>
      </c>
      <c r="AG3892" s="54">
        <f>REPT(" ",18-LEN(FIXED(F3892,2,TRUE)))&amp;FIXED(F3892,2,TRUE)</f>
        <v/>
      </c>
      <c r="AH3892" s="10">
        <f>LEN(AC3892)+LEN(AG3892)</f>
        <v/>
      </c>
      <c r="AI3892" s="10">
        <f>LEN(L3892)</f>
        <v/>
      </c>
    </row>
    <row r="3893">
      <c r="J3893" s="12">
        <f>IF(F3893&lt;&gt;0,"LANÇAR","")</f>
        <v/>
      </c>
      <c r="L3893" s="13">
        <f>N3893&amp;O3893&amp;P3893&amp;Q3893&amp;R3893&amp;S3893&amp;T3893&amp;U3893&amp;V3893&amp;W3893&amp;X3893&amp;Y3893&amp;Z3893&amp;AA3893&amp;AB3893&amp;AC3893&amp;AD3893&amp;AE3893&amp;AF3893&amp;AG3893</f>
        <v/>
      </c>
      <c r="N3893" s="10">
        <f>TEXT($B$6,"00")</f>
        <v/>
      </c>
      <c r="O3893" s="10">
        <f>REPT(" ",8)</f>
        <v/>
      </c>
      <c r="P3893" s="10">
        <f>RIGHT($B$4,2)</f>
        <v/>
      </c>
      <c r="Q3893" s="10">
        <f>RIGHT($B$5,3)</f>
        <v/>
      </c>
      <c r="R3893" s="10">
        <f>IF(A3893="D",LEFT(UPPER(B3893)&amp;REPT(" ",20),20),REPT(" ",20))</f>
        <v/>
      </c>
      <c r="S3893" s="10">
        <f>IF(A3893="D",LEFT(UPPER(C3893)&amp;REPT(" ",10),10)," ")</f>
        <v/>
      </c>
      <c r="T3893" s="10">
        <f>IF(A3893="D",LEFT(UPPER(D3893)&amp;REPT(" ",2),2)," ")</f>
        <v/>
      </c>
      <c r="U3893" s="10">
        <f>IF(A3893="D",LEFT(UPPER(E3893)&amp;REPT(" ",15),15)," ")</f>
        <v/>
      </c>
      <c r="V3893" s="10">
        <f>REPT(" ",24)</f>
        <v/>
      </c>
      <c r="W3893" s="10">
        <f>IF(A3893="c",LEFT(UPPER(B3893)&amp;REPT(" ",20),20),REPT(" ",20))</f>
        <v/>
      </c>
      <c r="X3893" s="10">
        <f>IF(A3893="C",LEFT(UPPER(C3893)&amp;REPT(" ",10),10)," ")</f>
        <v/>
      </c>
      <c r="Y3893" s="10">
        <f>IF(A3893="C",LEFT(UPPER(D3893)&amp;REPT(" ",2),2)," ")</f>
        <v/>
      </c>
      <c r="Z3893" s="10">
        <f>IF(A3893="C",LEFT(UPPER(E3893)&amp;REPT(" ",15),15)," ")</f>
        <v/>
      </c>
      <c r="AA3893" s="10">
        <f>REPT(" ",8)</f>
        <v/>
      </c>
      <c r="AB3893" s="10">
        <f>REPT(" ",4)</f>
        <v/>
      </c>
      <c r="AC3893" s="10">
        <f>LEFT(UPPER(H3893)&amp;REPT(" ",250),250)</f>
        <v/>
      </c>
      <c r="AD3893" s="10">
        <f>TEXT($G$2,"dd/mm/aaaa")</f>
        <v/>
      </c>
      <c r="AE3893" s="10">
        <f>REPT(" ",10)</f>
        <v/>
      </c>
      <c r="AF3893" s="10">
        <f>REPT(" ",20)</f>
        <v/>
      </c>
      <c r="AG3893" s="54">
        <f>REPT(" ",18-LEN(FIXED(F3893,2,TRUE)))&amp;FIXED(F3893,2,TRUE)</f>
        <v/>
      </c>
      <c r="AH3893" s="10">
        <f>LEN(AC3893)+LEN(AG3893)</f>
        <v/>
      </c>
      <c r="AI3893" s="10">
        <f>LEN(L3893)</f>
        <v/>
      </c>
    </row>
    <row r="3894">
      <c r="J3894" s="12">
        <f>IF(F3894&lt;&gt;0,"LANÇAR","")</f>
        <v/>
      </c>
      <c r="L3894" s="13">
        <f>N3894&amp;O3894&amp;P3894&amp;Q3894&amp;R3894&amp;S3894&amp;T3894&amp;U3894&amp;V3894&amp;W3894&amp;X3894&amp;Y3894&amp;Z3894&amp;AA3894&amp;AB3894&amp;AC3894&amp;AD3894&amp;AE3894&amp;AF3894&amp;AG3894</f>
        <v/>
      </c>
      <c r="N3894" s="10">
        <f>TEXT($B$6,"00")</f>
        <v/>
      </c>
      <c r="O3894" s="10">
        <f>REPT(" ",8)</f>
        <v/>
      </c>
      <c r="P3894" s="10">
        <f>RIGHT($B$4,2)</f>
        <v/>
      </c>
      <c r="Q3894" s="10">
        <f>RIGHT($B$5,3)</f>
        <v/>
      </c>
      <c r="R3894" s="10">
        <f>IF(A3894="D",LEFT(UPPER(B3894)&amp;REPT(" ",20),20),REPT(" ",20))</f>
        <v/>
      </c>
      <c r="S3894" s="10">
        <f>IF(A3894="D",LEFT(UPPER(C3894)&amp;REPT(" ",10),10)," ")</f>
        <v/>
      </c>
      <c r="T3894" s="10">
        <f>IF(A3894="D",LEFT(UPPER(D3894)&amp;REPT(" ",2),2)," ")</f>
        <v/>
      </c>
      <c r="U3894" s="10">
        <f>IF(A3894="D",LEFT(UPPER(E3894)&amp;REPT(" ",15),15)," ")</f>
        <v/>
      </c>
      <c r="V3894" s="10">
        <f>REPT(" ",24)</f>
        <v/>
      </c>
      <c r="W3894" s="10">
        <f>IF(A3894="c",LEFT(UPPER(B3894)&amp;REPT(" ",20),20),REPT(" ",20))</f>
        <v/>
      </c>
      <c r="X3894" s="10">
        <f>IF(A3894="C",LEFT(UPPER(C3894)&amp;REPT(" ",10),10)," ")</f>
        <v/>
      </c>
      <c r="Y3894" s="10">
        <f>IF(A3894="C",LEFT(UPPER(D3894)&amp;REPT(" ",2),2)," ")</f>
        <v/>
      </c>
      <c r="Z3894" s="10">
        <f>IF(A3894="C",LEFT(UPPER(E3894)&amp;REPT(" ",15),15)," ")</f>
        <v/>
      </c>
      <c r="AA3894" s="10">
        <f>REPT(" ",8)</f>
        <v/>
      </c>
      <c r="AB3894" s="10">
        <f>REPT(" ",4)</f>
        <v/>
      </c>
      <c r="AC3894" s="10">
        <f>LEFT(UPPER(H3894)&amp;REPT(" ",250),250)</f>
        <v/>
      </c>
      <c r="AD3894" s="10">
        <f>TEXT($G$2,"dd/mm/aaaa")</f>
        <v/>
      </c>
      <c r="AE3894" s="10">
        <f>REPT(" ",10)</f>
        <v/>
      </c>
      <c r="AF3894" s="10">
        <f>REPT(" ",20)</f>
        <v/>
      </c>
      <c r="AG3894" s="54">
        <f>REPT(" ",18-LEN(FIXED(F3894,2,TRUE)))&amp;FIXED(F3894,2,TRUE)</f>
        <v/>
      </c>
      <c r="AH3894" s="10">
        <f>LEN(AC3894)+LEN(AG3894)</f>
        <v/>
      </c>
      <c r="AI3894" s="10">
        <f>LEN(L3894)</f>
        <v/>
      </c>
    </row>
    <row r="3895">
      <c r="J3895" s="12">
        <f>IF(F3895&lt;&gt;0,"LANÇAR","")</f>
        <v/>
      </c>
      <c r="L3895" s="13">
        <f>N3895&amp;O3895&amp;P3895&amp;Q3895&amp;R3895&amp;S3895&amp;T3895&amp;U3895&amp;V3895&amp;W3895&amp;X3895&amp;Y3895&amp;Z3895&amp;AA3895&amp;AB3895&amp;AC3895&amp;AD3895&amp;AE3895&amp;AF3895&amp;AG3895</f>
        <v/>
      </c>
      <c r="N3895" s="10">
        <f>TEXT($B$6,"00")</f>
        <v/>
      </c>
      <c r="O3895" s="10">
        <f>REPT(" ",8)</f>
        <v/>
      </c>
      <c r="P3895" s="10">
        <f>RIGHT($B$4,2)</f>
        <v/>
      </c>
      <c r="Q3895" s="10">
        <f>RIGHT($B$5,3)</f>
        <v/>
      </c>
      <c r="R3895" s="10">
        <f>IF(A3895="D",LEFT(UPPER(B3895)&amp;REPT(" ",20),20),REPT(" ",20))</f>
        <v/>
      </c>
      <c r="S3895" s="10">
        <f>IF(A3895="D",LEFT(UPPER(C3895)&amp;REPT(" ",10),10)," ")</f>
        <v/>
      </c>
      <c r="T3895" s="10">
        <f>IF(A3895="D",LEFT(UPPER(D3895)&amp;REPT(" ",2),2)," ")</f>
        <v/>
      </c>
      <c r="U3895" s="10">
        <f>IF(A3895="D",LEFT(UPPER(E3895)&amp;REPT(" ",15),15)," ")</f>
        <v/>
      </c>
      <c r="V3895" s="10">
        <f>REPT(" ",24)</f>
        <v/>
      </c>
      <c r="W3895" s="10">
        <f>IF(A3895="c",LEFT(UPPER(B3895)&amp;REPT(" ",20),20),REPT(" ",20))</f>
        <v/>
      </c>
      <c r="X3895" s="10">
        <f>IF(A3895="C",LEFT(UPPER(C3895)&amp;REPT(" ",10),10)," ")</f>
        <v/>
      </c>
      <c r="Y3895" s="10">
        <f>IF(A3895="C",LEFT(UPPER(D3895)&amp;REPT(" ",2),2)," ")</f>
        <v/>
      </c>
      <c r="Z3895" s="10">
        <f>IF(A3895="C",LEFT(UPPER(E3895)&amp;REPT(" ",15),15)," ")</f>
        <v/>
      </c>
      <c r="AA3895" s="10">
        <f>REPT(" ",8)</f>
        <v/>
      </c>
      <c r="AB3895" s="10">
        <f>REPT(" ",4)</f>
        <v/>
      </c>
      <c r="AC3895" s="10">
        <f>LEFT(UPPER(H3895)&amp;REPT(" ",250),250)</f>
        <v/>
      </c>
      <c r="AD3895" s="10">
        <f>TEXT($G$2,"dd/mm/aaaa")</f>
        <v/>
      </c>
      <c r="AE3895" s="10">
        <f>REPT(" ",10)</f>
        <v/>
      </c>
      <c r="AF3895" s="10">
        <f>REPT(" ",20)</f>
        <v/>
      </c>
      <c r="AG3895" s="54">
        <f>REPT(" ",18-LEN(FIXED(F3895,2,TRUE)))&amp;FIXED(F3895,2,TRUE)</f>
        <v/>
      </c>
      <c r="AH3895" s="10">
        <f>LEN(AC3895)+LEN(AG3895)</f>
        <v/>
      </c>
      <c r="AI3895" s="10">
        <f>LEN(L3895)</f>
        <v/>
      </c>
    </row>
    <row r="3896">
      <c r="J3896" s="12">
        <f>IF(F3896&lt;&gt;0,"LANÇAR","")</f>
        <v/>
      </c>
      <c r="L3896" s="13">
        <f>N3896&amp;O3896&amp;P3896&amp;Q3896&amp;R3896&amp;S3896&amp;T3896&amp;U3896&amp;V3896&amp;W3896&amp;X3896&amp;Y3896&amp;Z3896&amp;AA3896&amp;AB3896&amp;AC3896&amp;AD3896&amp;AE3896&amp;AF3896&amp;AG3896</f>
        <v/>
      </c>
      <c r="N3896" s="10">
        <f>TEXT($B$6,"00")</f>
        <v/>
      </c>
      <c r="O3896" s="10">
        <f>REPT(" ",8)</f>
        <v/>
      </c>
      <c r="P3896" s="10">
        <f>RIGHT($B$4,2)</f>
        <v/>
      </c>
      <c r="Q3896" s="10">
        <f>RIGHT($B$5,3)</f>
        <v/>
      </c>
      <c r="R3896" s="10">
        <f>IF(A3896="D",LEFT(UPPER(B3896)&amp;REPT(" ",20),20),REPT(" ",20))</f>
        <v/>
      </c>
      <c r="S3896" s="10">
        <f>IF(A3896="D",LEFT(UPPER(C3896)&amp;REPT(" ",10),10)," ")</f>
        <v/>
      </c>
      <c r="T3896" s="10">
        <f>IF(A3896="D",LEFT(UPPER(D3896)&amp;REPT(" ",2),2)," ")</f>
        <v/>
      </c>
      <c r="U3896" s="10">
        <f>IF(A3896="D",LEFT(UPPER(E3896)&amp;REPT(" ",15),15)," ")</f>
        <v/>
      </c>
      <c r="V3896" s="10">
        <f>REPT(" ",24)</f>
        <v/>
      </c>
      <c r="W3896" s="10">
        <f>IF(A3896="c",LEFT(UPPER(B3896)&amp;REPT(" ",20),20),REPT(" ",20))</f>
        <v/>
      </c>
      <c r="X3896" s="10">
        <f>IF(A3896="C",LEFT(UPPER(C3896)&amp;REPT(" ",10),10)," ")</f>
        <v/>
      </c>
      <c r="Y3896" s="10">
        <f>IF(A3896="C",LEFT(UPPER(D3896)&amp;REPT(" ",2),2)," ")</f>
        <v/>
      </c>
      <c r="Z3896" s="10">
        <f>IF(A3896="C",LEFT(UPPER(E3896)&amp;REPT(" ",15),15)," ")</f>
        <v/>
      </c>
      <c r="AA3896" s="10">
        <f>REPT(" ",8)</f>
        <v/>
      </c>
      <c r="AB3896" s="10">
        <f>REPT(" ",4)</f>
        <v/>
      </c>
      <c r="AC3896" s="10">
        <f>LEFT(UPPER(H3896)&amp;REPT(" ",250),250)</f>
        <v/>
      </c>
      <c r="AD3896" s="10">
        <f>TEXT($G$2,"dd/mm/aaaa")</f>
        <v/>
      </c>
      <c r="AE3896" s="10">
        <f>REPT(" ",10)</f>
        <v/>
      </c>
      <c r="AF3896" s="10">
        <f>REPT(" ",20)</f>
        <v/>
      </c>
      <c r="AG3896" s="54">
        <f>REPT(" ",18-LEN(FIXED(F3896,2,TRUE)))&amp;FIXED(F3896,2,TRUE)</f>
        <v/>
      </c>
      <c r="AH3896" s="10">
        <f>LEN(AC3896)+LEN(AG3896)</f>
        <v/>
      </c>
      <c r="AI3896" s="10">
        <f>LEN(L3896)</f>
        <v/>
      </c>
    </row>
    <row r="3897">
      <c r="J3897" s="12">
        <f>IF(F3897&lt;&gt;0,"LANÇAR","")</f>
        <v/>
      </c>
      <c r="L3897" s="13">
        <f>N3897&amp;O3897&amp;P3897&amp;Q3897&amp;R3897&amp;S3897&amp;T3897&amp;U3897&amp;V3897&amp;W3897&amp;X3897&amp;Y3897&amp;Z3897&amp;AA3897&amp;AB3897&amp;AC3897&amp;AD3897&amp;AE3897&amp;AF3897&amp;AG3897</f>
        <v/>
      </c>
      <c r="N3897" s="10">
        <f>TEXT($B$6,"00")</f>
        <v/>
      </c>
      <c r="O3897" s="10">
        <f>REPT(" ",8)</f>
        <v/>
      </c>
      <c r="P3897" s="10">
        <f>RIGHT($B$4,2)</f>
        <v/>
      </c>
      <c r="Q3897" s="10">
        <f>RIGHT($B$5,3)</f>
        <v/>
      </c>
      <c r="R3897" s="10">
        <f>IF(A3897="D",LEFT(UPPER(B3897)&amp;REPT(" ",20),20),REPT(" ",20))</f>
        <v/>
      </c>
      <c r="S3897" s="10">
        <f>IF(A3897="D",LEFT(UPPER(C3897)&amp;REPT(" ",10),10)," ")</f>
        <v/>
      </c>
      <c r="T3897" s="10">
        <f>IF(A3897="D",LEFT(UPPER(D3897)&amp;REPT(" ",2),2)," ")</f>
        <v/>
      </c>
      <c r="U3897" s="10">
        <f>IF(A3897="D",LEFT(UPPER(E3897)&amp;REPT(" ",15),15)," ")</f>
        <v/>
      </c>
      <c r="V3897" s="10">
        <f>REPT(" ",24)</f>
        <v/>
      </c>
      <c r="W3897" s="10">
        <f>IF(A3897="c",LEFT(UPPER(B3897)&amp;REPT(" ",20),20),REPT(" ",20))</f>
        <v/>
      </c>
      <c r="X3897" s="10">
        <f>IF(A3897="C",LEFT(UPPER(C3897)&amp;REPT(" ",10),10)," ")</f>
        <v/>
      </c>
      <c r="Y3897" s="10">
        <f>IF(A3897="C",LEFT(UPPER(D3897)&amp;REPT(" ",2),2)," ")</f>
        <v/>
      </c>
      <c r="Z3897" s="10">
        <f>IF(A3897="C",LEFT(UPPER(E3897)&amp;REPT(" ",15),15)," ")</f>
        <v/>
      </c>
      <c r="AA3897" s="10">
        <f>REPT(" ",8)</f>
        <v/>
      </c>
      <c r="AB3897" s="10">
        <f>REPT(" ",4)</f>
        <v/>
      </c>
      <c r="AC3897" s="10">
        <f>LEFT(UPPER(H3897)&amp;REPT(" ",250),250)</f>
        <v/>
      </c>
      <c r="AD3897" s="10">
        <f>TEXT($G$2,"dd/mm/aaaa")</f>
        <v/>
      </c>
      <c r="AE3897" s="10">
        <f>REPT(" ",10)</f>
        <v/>
      </c>
      <c r="AF3897" s="10">
        <f>REPT(" ",20)</f>
        <v/>
      </c>
      <c r="AG3897" s="54">
        <f>REPT(" ",18-LEN(FIXED(F3897,2,TRUE)))&amp;FIXED(F3897,2,TRUE)</f>
        <v/>
      </c>
      <c r="AH3897" s="10">
        <f>LEN(AC3897)+LEN(AG3897)</f>
        <v/>
      </c>
      <c r="AI3897" s="10">
        <f>LEN(L3897)</f>
        <v/>
      </c>
    </row>
    <row r="3898">
      <c r="J3898" s="12">
        <f>IF(F3898&lt;&gt;0,"LANÇAR","")</f>
        <v/>
      </c>
      <c r="L3898" s="13">
        <f>N3898&amp;O3898&amp;P3898&amp;Q3898&amp;R3898&amp;S3898&amp;T3898&amp;U3898&amp;V3898&amp;W3898&amp;X3898&amp;Y3898&amp;Z3898&amp;AA3898&amp;AB3898&amp;AC3898&amp;AD3898&amp;AE3898&amp;AF3898&amp;AG3898</f>
        <v/>
      </c>
      <c r="N3898" s="10">
        <f>TEXT($B$6,"00")</f>
        <v/>
      </c>
      <c r="O3898" s="10">
        <f>REPT(" ",8)</f>
        <v/>
      </c>
      <c r="P3898" s="10">
        <f>RIGHT($B$4,2)</f>
        <v/>
      </c>
      <c r="Q3898" s="10">
        <f>RIGHT($B$5,3)</f>
        <v/>
      </c>
      <c r="R3898" s="10">
        <f>IF(A3898="D",LEFT(UPPER(B3898)&amp;REPT(" ",20),20),REPT(" ",20))</f>
        <v/>
      </c>
      <c r="S3898" s="10">
        <f>IF(A3898="D",LEFT(UPPER(C3898)&amp;REPT(" ",10),10)," ")</f>
        <v/>
      </c>
      <c r="T3898" s="10">
        <f>IF(A3898="D",LEFT(UPPER(D3898)&amp;REPT(" ",2),2)," ")</f>
        <v/>
      </c>
      <c r="U3898" s="10">
        <f>IF(A3898="D",LEFT(UPPER(E3898)&amp;REPT(" ",15),15)," ")</f>
        <v/>
      </c>
      <c r="V3898" s="10">
        <f>REPT(" ",24)</f>
        <v/>
      </c>
      <c r="W3898" s="10">
        <f>IF(A3898="c",LEFT(UPPER(B3898)&amp;REPT(" ",20),20),REPT(" ",20))</f>
        <v/>
      </c>
      <c r="X3898" s="10">
        <f>IF(A3898="C",LEFT(UPPER(C3898)&amp;REPT(" ",10),10)," ")</f>
        <v/>
      </c>
      <c r="Y3898" s="10">
        <f>IF(A3898="C",LEFT(UPPER(D3898)&amp;REPT(" ",2),2)," ")</f>
        <v/>
      </c>
      <c r="Z3898" s="10">
        <f>IF(A3898="C",LEFT(UPPER(E3898)&amp;REPT(" ",15),15)," ")</f>
        <v/>
      </c>
      <c r="AA3898" s="10">
        <f>REPT(" ",8)</f>
        <v/>
      </c>
      <c r="AB3898" s="10">
        <f>REPT(" ",4)</f>
        <v/>
      </c>
      <c r="AC3898" s="10">
        <f>LEFT(UPPER(H3898)&amp;REPT(" ",250),250)</f>
        <v/>
      </c>
      <c r="AD3898" s="10">
        <f>TEXT($G$2,"dd/mm/aaaa")</f>
        <v/>
      </c>
      <c r="AE3898" s="10">
        <f>REPT(" ",10)</f>
        <v/>
      </c>
      <c r="AF3898" s="10">
        <f>REPT(" ",20)</f>
        <v/>
      </c>
      <c r="AG3898" s="54">
        <f>REPT(" ",18-LEN(FIXED(F3898,2,TRUE)))&amp;FIXED(F3898,2,TRUE)</f>
        <v/>
      </c>
      <c r="AH3898" s="10">
        <f>LEN(AC3898)+LEN(AG3898)</f>
        <v/>
      </c>
      <c r="AI3898" s="10">
        <f>LEN(L3898)</f>
        <v/>
      </c>
    </row>
    <row r="3899">
      <c r="J3899" s="12">
        <f>IF(F3899&lt;&gt;0,"LANÇAR","")</f>
        <v/>
      </c>
      <c r="L3899" s="13">
        <f>N3899&amp;O3899&amp;P3899&amp;Q3899&amp;R3899&amp;S3899&amp;T3899&amp;U3899&amp;V3899&amp;W3899&amp;X3899&amp;Y3899&amp;Z3899&amp;AA3899&amp;AB3899&amp;AC3899&amp;AD3899&amp;AE3899&amp;AF3899&amp;AG3899</f>
        <v/>
      </c>
      <c r="N3899" s="10">
        <f>TEXT($B$6,"00")</f>
        <v/>
      </c>
      <c r="O3899" s="10">
        <f>REPT(" ",8)</f>
        <v/>
      </c>
      <c r="P3899" s="10">
        <f>RIGHT($B$4,2)</f>
        <v/>
      </c>
      <c r="Q3899" s="10">
        <f>RIGHT($B$5,3)</f>
        <v/>
      </c>
      <c r="R3899" s="10">
        <f>IF(A3899="D",LEFT(UPPER(B3899)&amp;REPT(" ",20),20),REPT(" ",20))</f>
        <v/>
      </c>
      <c r="S3899" s="10">
        <f>IF(A3899="D",LEFT(UPPER(C3899)&amp;REPT(" ",10),10)," ")</f>
        <v/>
      </c>
      <c r="T3899" s="10">
        <f>IF(A3899="D",LEFT(UPPER(D3899)&amp;REPT(" ",2),2)," ")</f>
        <v/>
      </c>
      <c r="U3899" s="10">
        <f>IF(A3899="D",LEFT(UPPER(E3899)&amp;REPT(" ",15),15)," ")</f>
        <v/>
      </c>
      <c r="V3899" s="10">
        <f>REPT(" ",24)</f>
        <v/>
      </c>
      <c r="W3899" s="10">
        <f>IF(A3899="c",LEFT(UPPER(B3899)&amp;REPT(" ",20),20),REPT(" ",20))</f>
        <v/>
      </c>
      <c r="X3899" s="10">
        <f>IF(A3899="C",LEFT(UPPER(C3899)&amp;REPT(" ",10),10)," ")</f>
        <v/>
      </c>
      <c r="Y3899" s="10">
        <f>IF(A3899="C",LEFT(UPPER(D3899)&amp;REPT(" ",2),2)," ")</f>
        <v/>
      </c>
      <c r="Z3899" s="10">
        <f>IF(A3899="C",LEFT(UPPER(E3899)&amp;REPT(" ",15),15)," ")</f>
        <v/>
      </c>
      <c r="AA3899" s="10">
        <f>REPT(" ",8)</f>
        <v/>
      </c>
      <c r="AB3899" s="10">
        <f>REPT(" ",4)</f>
        <v/>
      </c>
      <c r="AC3899" s="10">
        <f>LEFT(UPPER(H3899)&amp;REPT(" ",250),250)</f>
        <v/>
      </c>
      <c r="AD3899" s="10">
        <f>TEXT($G$2,"dd/mm/aaaa")</f>
        <v/>
      </c>
      <c r="AE3899" s="10">
        <f>REPT(" ",10)</f>
        <v/>
      </c>
      <c r="AF3899" s="10">
        <f>REPT(" ",20)</f>
        <v/>
      </c>
      <c r="AG3899" s="54">
        <f>REPT(" ",18-LEN(FIXED(F3899,2,TRUE)))&amp;FIXED(F3899,2,TRUE)</f>
        <v/>
      </c>
      <c r="AH3899" s="10">
        <f>LEN(AC3899)+LEN(AG3899)</f>
        <v/>
      </c>
      <c r="AI3899" s="10">
        <f>LEN(L3899)</f>
        <v/>
      </c>
    </row>
    <row r="3900">
      <c r="J3900" s="12">
        <f>IF(F3900&lt;&gt;0,"LANÇAR","")</f>
        <v/>
      </c>
      <c r="L3900" s="13">
        <f>N3900&amp;O3900&amp;P3900&amp;Q3900&amp;R3900&amp;S3900&amp;T3900&amp;U3900&amp;V3900&amp;W3900&amp;X3900&amp;Y3900&amp;Z3900&amp;AA3900&amp;AB3900&amp;AC3900&amp;AD3900&amp;AE3900&amp;AF3900&amp;AG3900</f>
        <v/>
      </c>
      <c r="N3900" s="10">
        <f>TEXT($B$6,"00")</f>
        <v/>
      </c>
      <c r="O3900" s="10">
        <f>REPT(" ",8)</f>
        <v/>
      </c>
      <c r="P3900" s="10">
        <f>RIGHT($B$4,2)</f>
        <v/>
      </c>
      <c r="Q3900" s="10">
        <f>RIGHT($B$5,3)</f>
        <v/>
      </c>
      <c r="R3900" s="10">
        <f>IF(A3900="D",LEFT(UPPER(B3900)&amp;REPT(" ",20),20),REPT(" ",20))</f>
        <v/>
      </c>
      <c r="S3900" s="10">
        <f>IF(A3900="D",LEFT(UPPER(C3900)&amp;REPT(" ",10),10)," ")</f>
        <v/>
      </c>
      <c r="T3900" s="10">
        <f>IF(A3900="D",LEFT(UPPER(D3900)&amp;REPT(" ",2),2)," ")</f>
        <v/>
      </c>
      <c r="U3900" s="10">
        <f>IF(A3900="D",LEFT(UPPER(E3900)&amp;REPT(" ",15),15)," ")</f>
        <v/>
      </c>
      <c r="V3900" s="10">
        <f>REPT(" ",24)</f>
        <v/>
      </c>
      <c r="W3900" s="10">
        <f>IF(A3900="c",LEFT(UPPER(B3900)&amp;REPT(" ",20),20),REPT(" ",20))</f>
        <v/>
      </c>
      <c r="X3900" s="10">
        <f>IF(A3900="C",LEFT(UPPER(C3900)&amp;REPT(" ",10),10)," ")</f>
        <v/>
      </c>
      <c r="Y3900" s="10">
        <f>IF(A3900="C",LEFT(UPPER(D3900)&amp;REPT(" ",2),2)," ")</f>
        <v/>
      </c>
      <c r="Z3900" s="10">
        <f>IF(A3900="C",LEFT(UPPER(E3900)&amp;REPT(" ",15),15)," ")</f>
        <v/>
      </c>
      <c r="AA3900" s="10">
        <f>REPT(" ",8)</f>
        <v/>
      </c>
      <c r="AB3900" s="10">
        <f>REPT(" ",4)</f>
        <v/>
      </c>
      <c r="AC3900" s="10">
        <f>LEFT(UPPER(H3900)&amp;REPT(" ",250),250)</f>
        <v/>
      </c>
      <c r="AD3900" s="10">
        <f>TEXT($G$2,"dd/mm/aaaa")</f>
        <v/>
      </c>
      <c r="AE3900" s="10">
        <f>REPT(" ",10)</f>
        <v/>
      </c>
      <c r="AF3900" s="10">
        <f>REPT(" ",20)</f>
        <v/>
      </c>
      <c r="AG3900" s="54">
        <f>REPT(" ",18-LEN(FIXED(F3900,2,TRUE)))&amp;FIXED(F3900,2,TRUE)</f>
        <v/>
      </c>
      <c r="AH3900" s="10">
        <f>LEN(AC3900)+LEN(AG3900)</f>
        <v/>
      </c>
      <c r="AI3900" s="10">
        <f>LEN(L3900)</f>
        <v/>
      </c>
    </row>
    <row r="3901">
      <c r="J3901" s="12">
        <f>IF(F3901&lt;&gt;0,"LANÇAR","")</f>
        <v/>
      </c>
      <c r="L3901" s="13">
        <f>N3901&amp;O3901&amp;P3901&amp;Q3901&amp;R3901&amp;S3901&amp;T3901&amp;U3901&amp;V3901&amp;W3901&amp;X3901&amp;Y3901&amp;Z3901&amp;AA3901&amp;AB3901&amp;AC3901&amp;AD3901&amp;AE3901&amp;AF3901&amp;AG3901</f>
        <v/>
      </c>
      <c r="N3901" s="10">
        <f>TEXT($B$6,"00")</f>
        <v/>
      </c>
      <c r="O3901" s="10">
        <f>REPT(" ",8)</f>
        <v/>
      </c>
      <c r="P3901" s="10">
        <f>RIGHT($B$4,2)</f>
        <v/>
      </c>
      <c r="Q3901" s="10">
        <f>RIGHT($B$5,3)</f>
        <v/>
      </c>
      <c r="R3901" s="10">
        <f>IF(A3901="D",LEFT(UPPER(B3901)&amp;REPT(" ",20),20),REPT(" ",20))</f>
        <v/>
      </c>
      <c r="S3901" s="10">
        <f>IF(A3901="D",LEFT(UPPER(C3901)&amp;REPT(" ",10),10)," ")</f>
        <v/>
      </c>
      <c r="T3901" s="10">
        <f>IF(A3901="D",LEFT(UPPER(D3901)&amp;REPT(" ",2),2)," ")</f>
        <v/>
      </c>
      <c r="U3901" s="10">
        <f>IF(A3901="D",LEFT(UPPER(E3901)&amp;REPT(" ",15),15)," ")</f>
        <v/>
      </c>
      <c r="V3901" s="10">
        <f>REPT(" ",24)</f>
        <v/>
      </c>
      <c r="W3901" s="10">
        <f>IF(A3901="c",LEFT(UPPER(B3901)&amp;REPT(" ",20),20),REPT(" ",20))</f>
        <v/>
      </c>
      <c r="X3901" s="10">
        <f>IF(A3901="C",LEFT(UPPER(C3901)&amp;REPT(" ",10),10)," ")</f>
        <v/>
      </c>
      <c r="Y3901" s="10">
        <f>IF(A3901="C",LEFT(UPPER(D3901)&amp;REPT(" ",2),2)," ")</f>
        <v/>
      </c>
      <c r="Z3901" s="10">
        <f>IF(A3901="C",LEFT(UPPER(E3901)&amp;REPT(" ",15),15)," ")</f>
        <v/>
      </c>
      <c r="AA3901" s="10">
        <f>REPT(" ",8)</f>
        <v/>
      </c>
      <c r="AB3901" s="10">
        <f>REPT(" ",4)</f>
        <v/>
      </c>
      <c r="AC3901" s="10">
        <f>LEFT(UPPER(H3901)&amp;REPT(" ",250),250)</f>
        <v/>
      </c>
      <c r="AD3901" s="10">
        <f>TEXT($G$2,"dd/mm/aaaa")</f>
        <v/>
      </c>
      <c r="AE3901" s="10">
        <f>REPT(" ",10)</f>
        <v/>
      </c>
      <c r="AF3901" s="10">
        <f>REPT(" ",20)</f>
        <v/>
      </c>
      <c r="AG3901" s="54">
        <f>REPT(" ",18-LEN(FIXED(F3901,2,TRUE)))&amp;FIXED(F3901,2,TRUE)</f>
        <v/>
      </c>
      <c r="AH3901" s="10">
        <f>LEN(AC3901)+LEN(AG3901)</f>
        <v/>
      </c>
      <c r="AI3901" s="10">
        <f>LEN(L3901)</f>
        <v/>
      </c>
    </row>
    <row r="3902">
      <c r="J3902" s="12">
        <f>IF(F3902&lt;&gt;0,"LANÇAR","")</f>
        <v/>
      </c>
      <c r="L3902" s="13">
        <f>N3902&amp;O3902&amp;P3902&amp;Q3902&amp;R3902&amp;S3902&amp;T3902&amp;U3902&amp;V3902&amp;W3902&amp;X3902&amp;Y3902&amp;Z3902&amp;AA3902&amp;AB3902&amp;AC3902&amp;AD3902&amp;AE3902&amp;AF3902&amp;AG3902</f>
        <v/>
      </c>
      <c r="N3902" s="10">
        <f>TEXT($B$6,"00")</f>
        <v/>
      </c>
      <c r="O3902" s="10">
        <f>REPT(" ",8)</f>
        <v/>
      </c>
      <c r="P3902" s="10">
        <f>RIGHT($B$4,2)</f>
        <v/>
      </c>
      <c r="Q3902" s="10">
        <f>RIGHT($B$5,3)</f>
        <v/>
      </c>
      <c r="R3902" s="10">
        <f>IF(A3902="D",LEFT(UPPER(B3902)&amp;REPT(" ",20),20),REPT(" ",20))</f>
        <v/>
      </c>
      <c r="S3902" s="10">
        <f>IF(A3902="D",LEFT(UPPER(C3902)&amp;REPT(" ",10),10)," ")</f>
        <v/>
      </c>
      <c r="T3902" s="10">
        <f>IF(A3902="D",LEFT(UPPER(D3902)&amp;REPT(" ",2),2)," ")</f>
        <v/>
      </c>
      <c r="U3902" s="10">
        <f>IF(A3902="D",LEFT(UPPER(E3902)&amp;REPT(" ",15),15)," ")</f>
        <v/>
      </c>
      <c r="V3902" s="10">
        <f>REPT(" ",24)</f>
        <v/>
      </c>
      <c r="W3902" s="10">
        <f>IF(A3902="c",LEFT(UPPER(B3902)&amp;REPT(" ",20),20),REPT(" ",20))</f>
        <v/>
      </c>
      <c r="X3902" s="10">
        <f>IF(A3902="C",LEFT(UPPER(C3902)&amp;REPT(" ",10),10)," ")</f>
        <v/>
      </c>
      <c r="Y3902" s="10">
        <f>IF(A3902="C",LEFT(UPPER(D3902)&amp;REPT(" ",2),2)," ")</f>
        <v/>
      </c>
      <c r="Z3902" s="10">
        <f>IF(A3902="C",LEFT(UPPER(E3902)&amp;REPT(" ",15),15)," ")</f>
        <v/>
      </c>
      <c r="AA3902" s="10">
        <f>REPT(" ",8)</f>
        <v/>
      </c>
      <c r="AB3902" s="10">
        <f>REPT(" ",4)</f>
        <v/>
      </c>
      <c r="AC3902" s="10">
        <f>LEFT(UPPER(H3902)&amp;REPT(" ",250),250)</f>
        <v/>
      </c>
      <c r="AD3902" s="10">
        <f>TEXT($G$2,"dd/mm/aaaa")</f>
        <v/>
      </c>
      <c r="AE3902" s="10">
        <f>REPT(" ",10)</f>
        <v/>
      </c>
      <c r="AF3902" s="10">
        <f>REPT(" ",20)</f>
        <v/>
      </c>
      <c r="AG3902" s="54">
        <f>REPT(" ",18-LEN(FIXED(F3902,2,TRUE)))&amp;FIXED(F3902,2,TRUE)</f>
        <v/>
      </c>
      <c r="AH3902" s="10">
        <f>LEN(AC3902)+LEN(AG3902)</f>
        <v/>
      </c>
      <c r="AI3902" s="10">
        <f>LEN(L3902)</f>
        <v/>
      </c>
    </row>
    <row r="3903">
      <c r="J3903" s="12">
        <f>IF(F3903&lt;&gt;0,"LANÇAR","")</f>
        <v/>
      </c>
      <c r="L3903" s="13">
        <f>N3903&amp;O3903&amp;P3903&amp;Q3903&amp;R3903&amp;S3903&amp;T3903&amp;U3903&amp;V3903&amp;W3903&amp;X3903&amp;Y3903&amp;Z3903&amp;AA3903&amp;AB3903&amp;AC3903&amp;AD3903&amp;AE3903&amp;AF3903&amp;AG3903</f>
        <v/>
      </c>
      <c r="N3903" s="10">
        <f>TEXT($B$6,"00")</f>
        <v/>
      </c>
      <c r="O3903" s="10">
        <f>REPT(" ",8)</f>
        <v/>
      </c>
      <c r="P3903" s="10">
        <f>RIGHT($B$4,2)</f>
        <v/>
      </c>
      <c r="Q3903" s="10">
        <f>RIGHT($B$5,3)</f>
        <v/>
      </c>
      <c r="R3903" s="10">
        <f>IF(A3903="D",LEFT(UPPER(B3903)&amp;REPT(" ",20),20),REPT(" ",20))</f>
        <v/>
      </c>
      <c r="S3903" s="10">
        <f>IF(A3903="D",LEFT(UPPER(C3903)&amp;REPT(" ",10),10)," ")</f>
        <v/>
      </c>
      <c r="T3903" s="10">
        <f>IF(A3903="D",LEFT(UPPER(D3903)&amp;REPT(" ",2),2)," ")</f>
        <v/>
      </c>
      <c r="U3903" s="10">
        <f>IF(A3903="D",LEFT(UPPER(E3903)&amp;REPT(" ",15),15)," ")</f>
        <v/>
      </c>
      <c r="V3903" s="10">
        <f>REPT(" ",24)</f>
        <v/>
      </c>
      <c r="W3903" s="10">
        <f>IF(A3903="c",LEFT(UPPER(B3903)&amp;REPT(" ",20),20),REPT(" ",20))</f>
        <v/>
      </c>
      <c r="X3903" s="10">
        <f>IF(A3903="C",LEFT(UPPER(C3903)&amp;REPT(" ",10),10)," ")</f>
        <v/>
      </c>
      <c r="Y3903" s="10">
        <f>IF(A3903="C",LEFT(UPPER(D3903)&amp;REPT(" ",2),2)," ")</f>
        <v/>
      </c>
      <c r="Z3903" s="10">
        <f>IF(A3903="C",LEFT(UPPER(E3903)&amp;REPT(" ",15),15)," ")</f>
        <v/>
      </c>
      <c r="AA3903" s="10">
        <f>REPT(" ",8)</f>
        <v/>
      </c>
      <c r="AB3903" s="10">
        <f>REPT(" ",4)</f>
        <v/>
      </c>
      <c r="AC3903" s="10">
        <f>LEFT(UPPER(H3903)&amp;REPT(" ",250),250)</f>
        <v/>
      </c>
      <c r="AD3903" s="10">
        <f>TEXT($G$2,"dd/mm/aaaa")</f>
        <v/>
      </c>
      <c r="AE3903" s="10">
        <f>REPT(" ",10)</f>
        <v/>
      </c>
      <c r="AF3903" s="10">
        <f>REPT(" ",20)</f>
        <v/>
      </c>
      <c r="AG3903" s="54">
        <f>REPT(" ",18-LEN(FIXED(F3903,2,TRUE)))&amp;FIXED(F3903,2,TRUE)</f>
        <v/>
      </c>
      <c r="AH3903" s="10">
        <f>LEN(AC3903)+LEN(AG3903)</f>
        <v/>
      </c>
      <c r="AI3903" s="10">
        <f>LEN(L3903)</f>
        <v/>
      </c>
    </row>
    <row r="3904">
      <c r="J3904" s="12">
        <f>IF(F3904&lt;&gt;0,"LANÇAR","")</f>
        <v/>
      </c>
      <c r="L3904" s="13">
        <f>N3904&amp;O3904&amp;P3904&amp;Q3904&amp;R3904&amp;S3904&amp;T3904&amp;U3904&amp;V3904&amp;W3904&amp;X3904&amp;Y3904&amp;Z3904&amp;AA3904&amp;AB3904&amp;AC3904&amp;AD3904&amp;AE3904&amp;AF3904&amp;AG3904</f>
        <v/>
      </c>
      <c r="N3904" s="10">
        <f>TEXT($B$6,"00")</f>
        <v/>
      </c>
      <c r="O3904" s="10">
        <f>REPT(" ",8)</f>
        <v/>
      </c>
      <c r="P3904" s="10">
        <f>RIGHT($B$4,2)</f>
        <v/>
      </c>
      <c r="Q3904" s="10">
        <f>RIGHT($B$5,3)</f>
        <v/>
      </c>
      <c r="R3904" s="10">
        <f>IF(A3904="D",LEFT(UPPER(B3904)&amp;REPT(" ",20),20),REPT(" ",20))</f>
        <v/>
      </c>
      <c r="S3904" s="10">
        <f>IF(A3904="D",LEFT(UPPER(C3904)&amp;REPT(" ",10),10)," ")</f>
        <v/>
      </c>
      <c r="T3904" s="10">
        <f>IF(A3904="D",LEFT(UPPER(D3904)&amp;REPT(" ",2),2)," ")</f>
        <v/>
      </c>
      <c r="U3904" s="10">
        <f>IF(A3904="D",LEFT(UPPER(E3904)&amp;REPT(" ",15),15)," ")</f>
        <v/>
      </c>
      <c r="V3904" s="10">
        <f>REPT(" ",24)</f>
        <v/>
      </c>
      <c r="W3904" s="10">
        <f>IF(A3904="c",LEFT(UPPER(B3904)&amp;REPT(" ",20),20),REPT(" ",20))</f>
        <v/>
      </c>
      <c r="X3904" s="10">
        <f>IF(A3904="C",LEFT(UPPER(C3904)&amp;REPT(" ",10),10)," ")</f>
        <v/>
      </c>
      <c r="Y3904" s="10">
        <f>IF(A3904="C",LEFT(UPPER(D3904)&amp;REPT(" ",2),2)," ")</f>
        <v/>
      </c>
      <c r="Z3904" s="10">
        <f>IF(A3904="C",LEFT(UPPER(E3904)&amp;REPT(" ",15),15)," ")</f>
        <v/>
      </c>
      <c r="AA3904" s="10">
        <f>REPT(" ",8)</f>
        <v/>
      </c>
      <c r="AB3904" s="10">
        <f>REPT(" ",4)</f>
        <v/>
      </c>
      <c r="AC3904" s="10">
        <f>LEFT(UPPER(H3904)&amp;REPT(" ",250),250)</f>
        <v/>
      </c>
      <c r="AD3904" s="10">
        <f>TEXT($G$2,"dd/mm/aaaa")</f>
        <v/>
      </c>
      <c r="AE3904" s="10">
        <f>REPT(" ",10)</f>
        <v/>
      </c>
      <c r="AF3904" s="10">
        <f>REPT(" ",20)</f>
        <v/>
      </c>
      <c r="AG3904" s="54">
        <f>REPT(" ",18-LEN(FIXED(F3904,2,TRUE)))&amp;FIXED(F3904,2,TRUE)</f>
        <v/>
      </c>
      <c r="AH3904" s="10">
        <f>LEN(AC3904)+LEN(AG3904)</f>
        <v/>
      </c>
      <c r="AI3904" s="10">
        <f>LEN(L3904)</f>
        <v/>
      </c>
    </row>
    <row r="3905">
      <c r="J3905" s="12">
        <f>IF(F3905&lt;&gt;0,"LANÇAR","")</f>
        <v/>
      </c>
      <c r="L3905" s="13">
        <f>N3905&amp;O3905&amp;P3905&amp;Q3905&amp;R3905&amp;S3905&amp;T3905&amp;U3905&amp;V3905&amp;W3905&amp;X3905&amp;Y3905&amp;Z3905&amp;AA3905&amp;AB3905&amp;AC3905&amp;AD3905&amp;AE3905&amp;AF3905&amp;AG3905</f>
        <v/>
      </c>
      <c r="N3905" s="10">
        <f>TEXT($B$6,"00")</f>
        <v/>
      </c>
      <c r="O3905" s="10">
        <f>REPT(" ",8)</f>
        <v/>
      </c>
      <c r="P3905" s="10">
        <f>RIGHT($B$4,2)</f>
        <v/>
      </c>
      <c r="Q3905" s="10">
        <f>RIGHT($B$5,3)</f>
        <v/>
      </c>
      <c r="R3905" s="10">
        <f>IF(A3905="D",LEFT(UPPER(B3905)&amp;REPT(" ",20),20),REPT(" ",20))</f>
        <v/>
      </c>
      <c r="S3905" s="10">
        <f>IF(A3905="D",LEFT(UPPER(C3905)&amp;REPT(" ",10),10)," ")</f>
        <v/>
      </c>
      <c r="T3905" s="10">
        <f>IF(A3905="D",LEFT(UPPER(D3905)&amp;REPT(" ",2),2)," ")</f>
        <v/>
      </c>
      <c r="U3905" s="10">
        <f>IF(A3905="D",LEFT(UPPER(E3905)&amp;REPT(" ",15),15)," ")</f>
        <v/>
      </c>
      <c r="V3905" s="10">
        <f>REPT(" ",24)</f>
        <v/>
      </c>
      <c r="W3905" s="10">
        <f>IF(A3905="c",LEFT(UPPER(B3905)&amp;REPT(" ",20),20),REPT(" ",20))</f>
        <v/>
      </c>
      <c r="X3905" s="10">
        <f>IF(A3905="C",LEFT(UPPER(C3905)&amp;REPT(" ",10),10)," ")</f>
        <v/>
      </c>
      <c r="Y3905" s="10">
        <f>IF(A3905="C",LEFT(UPPER(D3905)&amp;REPT(" ",2),2)," ")</f>
        <v/>
      </c>
      <c r="Z3905" s="10">
        <f>IF(A3905="C",LEFT(UPPER(E3905)&amp;REPT(" ",15),15)," ")</f>
        <v/>
      </c>
      <c r="AA3905" s="10">
        <f>REPT(" ",8)</f>
        <v/>
      </c>
      <c r="AB3905" s="10">
        <f>REPT(" ",4)</f>
        <v/>
      </c>
      <c r="AC3905" s="10">
        <f>LEFT(UPPER(H3905)&amp;REPT(" ",250),250)</f>
        <v/>
      </c>
      <c r="AD3905" s="10">
        <f>TEXT($G$2,"dd/mm/aaaa")</f>
        <v/>
      </c>
      <c r="AE3905" s="10">
        <f>REPT(" ",10)</f>
        <v/>
      </c>
      <c r="AF3905" s="10">
        <f>REPT(" ",20)</f>
        <v/>
      </c>
      <c r="AG3905" s="54">
        <f>REPT(" ",18-LEN(FIXED(F3905,2,TRUE)))&amp;FIXED(F3905,2,TRUE)</f>
        <v/>
      </c>
      <c r="AH3905" s="10">
        <f>LEN(AC3905)+LEN(AG3905)</f>
        <v/>
      </c>
      <c r="AI3905" s="10">
        <f>LEN(L3905)</f>
        <v/>
      </c>
    </row>
    <row r="3906">
      <c r="J3906" s="12">
        <f>IF(F3906&lt;&gt;0,"LANÇAR","")</f>
        <v/>
      </c>
      <c r="L3906" s="13">
        <f>N3906&amp;O3906&amp;P3906&amp;Q3906&amp;R3906&amp;S3906&amp;T3906&amp;U3906&amp;V3906&amp;W3906&amp;X3906&amp;Y3906&amp;Z3906&amp;AA3906&amp;AB3906&amp;AC3906&amp;AD3906&amp;AE3906&amp;AF3906&amp;AG3906</f>
        <v/>
      </c>
      <c r="N3906" s="10">
        <f>TEXT($B$6,"00")</f>
        <v/>
      </c>
      <c r="O3906" s="10">
        <f>REPT(" ",8)</f>
        <v/>
      </c>
      <c r="P3906" s="10">
        <f>RIGHT($B$4,2)</f>
        <v/>
      </c>
      <c r="Q3906" s="10">
        <f>RIGHT($B$5,3)</f>
        <v/>
      </c>
      <c r="R3906" s="10">
        <f>IF(A3906="D",LEFT(UPPER(B3906)&amp;REPT(" ",20),20),REPT(" ",20))</f>
        <v/>
      </c>
      <c r="S3906" s="10">
        <f>IF(A3906="D",LEFT(UPPER(C3906)&amp;REPT(" ",10),10)," ")</f>
        <v/>
      </c>
      <c r="T3906" s="10">
        <f>IF(A3906="D",LEFT(UPPER(D3906)&amp;REPT(" ",2),2)," ")</f>
        <v/>
      </c>
      <c r="U3906" s="10">
        <f>IF(A3906="D",LEFT(UPPER(E3906)&amp;REPT(" ",15),15)," ")</f>
        <v/>
      </c>
      <c r="V3906" s="10">
        <f>REPT(" ",24)</f>
        <v/>
      </c>
      <c r="W3906" s="10">
        <f>IF(A3906="c",LEFT(UPPER(B3906)&amp;REPT(" ",20),20),REPT(" ",20))</f>
        <v/>
      </c>
      <c r="X3906" s="10">
        <f>IF(A3906="C",LEFT(UPPER(C3906)&amp;REPT(" ",10),10)," ")</f>
        <v/>
      </c>
      <c r="Y3906" s="10">
        <f>IF(A3906="C",LEFT(UPPER(D3906)&amp;REPT(" ",2),2)," ")</f>
        <v/>
      </c>
      <c r="Z3906" s="10">
        <f>IF(A3906="C",LEFT(UPPER(E3906)&amp;REPT(" ",15),15)," ")</f>
        <v/>
      </c>
      <c r="AA3906" s="10">
        <f>REPT(" ",8)</f>
        <v/>
      </c>
      <c r="AB3906" s="10">
        <f>REPT(" ",4)</f>
        <v/>
      </c>
      <c r="AC3906" s="10">
        <f>LEFT(UPPER(H3906)&amp;REPT(" ",250),250)</f>
        <v/>
      </c>
      <c r="AD3906" s="10">
        <f>TEXT($G$2,"dd/mm/aaaa")</f>
        <v/>
      </c>
      <c r="AE3906" s="10">
        <f>REPT(" ",10)</f>
        <v/>
      </c>
      <c r="AF3906" s="10">
        <f>REPT(" ",20)</f>
        <v/>
      </c>
      <c r="AG3906" s="54">
        <f>REPT(" ",18-LEN(FIXED(F3906,2,TRUE)))&amp;FIXED(F3906,2,TRUE)</f>
        <v/>
      </c>
      <c r="AH3906" s="10">
        <f>LEN(AC3906)+LEN(AG3906)</f>
        <v/>
      </c>
      <c r="AI3906" s="10">
        <f>LEN(L3906)</f>
        <v/>
      </c>
    </row>
    <row r="3907">
      <c r="J3907" s="12">
        <f>IF(F3907&lt;&gt;0,"LANÇAR","")</f>
        <v/>
      </c>
      <c r="L3907" s="13">
        <f>N3907&amp;O3907&amp;P3907&amp;Q3907&amp;R3907&amp;S3907&amp;T3907&amp;U3907&amp;V3907&amp;W3907&amp;X3907&amp;Y3907&amp;Z3907&amp;AA3907&amp;AB3907&amp;AC3907&amp;AD3907&amp;AE3907&amp;AF3907&amp;AG3907</f>
        <v/>
      </c>
      <c r="N3907" s="10">
        <f>TEXT($B$6,"00")</f>
        <v/>
      </c>
      <c r="O3907" s="10">
        <f>REPT(" ",8)</f>
        <v/>
      </c>
      <c r="P3907" s="10">
        <f>RIGHT($B$4,2)</f>
        <v/>
      </c>
      <c r="Q3907" s="10">
        <f>RIGHT($B$5,3)</f>
        <v/>
      </c>
      <c r="R3907" s="10">
        <f>IF(A3907="D",LEFT(UPPER(B3907)&amp;REPT(" ",20),20),REPT(" ",20))</f>
        <v/>
      </c>
      <c r="S3907" s="10">
        <f>IF(A3907="D",LEFT(UPPER(C3907)&amp;REPT(" ",10),10)," ")</f>
        <v/>
      </c>
      <c r="T3907" s="10">
        <f>IF(A3907="D",LEFT(UPPER(D3907)&amp;REPT(" ",2),2)," ")</f>
        <v/>
      </c>
      <c r="U3907" s="10">
        <f>IF(A3907="D",LEFT(UPPER(E3907)&amp;REPT(" ",15),15)," ")</f>
        <v/>
      </c>
      <c r="V3907" s="10">
        <f>REPT(" ",24)</f>
        <v/>
      </c>
      <c r="W3907" s="10">
        <f>IF(A3907="c",LEFT(UPPER(B3907)&amp;REPT(" ",20),20),REPT(" ",20))</f>
        <v/>
      </c>
      <c r="X3907" s="10">
        <f>IF(A3907="C",LEFT(UPPER(C3907)&amp;REPT(" ",10),10)," ")</f>
        <v/>
      </c>
      <c r="Y3907" s="10">
        <f>IF(A3907="C",LEFT(UPPER(D3907)&amp;REPT(" ",2),2)," ")</f>
        <v/>
      </c>
      <c r="Z3907" s="10">
        <f>IF(A3907="C",LEFT(UPPER(E3907)&amp;REPT(" ",15),15)," ")</f>
        <v/>
      </c>
      <c r="AA3907" s="10">
        <f>REPT(" ",8)</f>
        <v/>
      </c>
      <c r="AB3907" s="10">
        <f>REPT(" ",4)</f>
        <v/>
      </c>
      <c r="AC3907" s="10">
        <f>LEFT(UPPER(H3907)&amp;REPT(" ",250),250)</f>
        <v/>
      </c>
      <c r="AD3907" s="10">
        <f>TEXT($G$2,"dd/mm/aaaa")</f>
        <v/>
      </c>
      <c r="AE3907" s="10">
        <f>REPT(" ",10)</f>
        <v/>
      </c>
      <c r="AF3907" s="10">
        <f>REPT(" ",20)</f>
        <v/>
      </c>
      <c r="AG3907" s="54">
        <f>REPT(" ",18-LEN(FIXED(F3907,2,TRUE)))&amp;FIXED(F3907,2,TRUE)</f>
        <v/>
      </c>
      <c r="AH3907" s="10">
        <f>LEN(AC3907)+LEN(AG3907)</f>
        <v/>
      </c>
      <c r="AI3907" s="10">
        <f>LEN(L3907)</f>
        <v/>
      </c>
    </row>
    <row r="3908">
      <c r="J3908" s="12">
        <f>IF(F3908&lt;&gt;0,"LANÇAR","")</f>
        <v/>
      </c>
      <c r="L3908" s="13">
        <f>N3908&amp;O3908&amp;P3908&amp;Q3908&amp;R3908&amp;S3908&amp;T3908&amp;U3908&amp;V3908&amp;W3908&amp;X3908&amp;Y3908&amp;Z3908&amp;AA3908&amp;AB3908&amp;AC3908&amp;AD3908&amp;AE3908&amp;AF3908&amp;AG3908</f>
        <v/>
      </c>
      <c r="N3908" s="10">
        <f>TEXT($B$6,"00")</f>
        <v/>
      </c>
      <c r="O3908" s="10">
        <f>REPT(" ",8)</f>
        <v/>
      </c>
      <c r="P3908" s="10">
        <f>RIGHT($B$4,2)</f>
        <v/>
      </c>
      <c r="Q3908" s="10">
        <f>RIGHT($B$5,3)</f>
        <v/>
      </c>
      <c r="R3908" s="10">
        <f>IF(A3908="D",LEFT(UPPER(B3908)&amp;REPT(" ",20),20),REPT(" ",20))</f>
        <v/>
      </c>
      <c r="S3908" s="10">
        <f>IF(A3908="D",LEFT(UPPER(C3908)&amp;REPT(" ",10),10)," ")</f>
        <v/>
      </c>
      <c r="T3908" s="10">
        <f>IF(A3908="D",LEFT(UPPER(D3908)&amp;REPT(" ",2),2)," ")</f>
        <v/>
      </c>
      <c r="U3908" s="10">
        <f>IF(A3908="D",LEFT(UPPER(E3908)&amp;REPT(" ",15),15)," ")</f>
        <v/>
      </c>
      <c r="V3908" s="10">
        <f>REPT(" ",24)</f>
        <v/>
      </c>
      <c r="W3908" s="10">
        <f>IF(A3908="c",LEFT(UPPER(B3908)&amp;REPT(" ",20),20),REPT(" ",20))</f>
        <v/>
      </c>
      <c r="X3908" s="10">
        <f>IF(A3908="C",LEFT(UPPER(C3908)&amp;REPT(" ",10),10)," ")</f>
        <v/>
      </c>
      <c r="Y3908" s="10">
        <f>IF(A3908="C",LEFT(UPPER(D3908)&amp;REPT(" ",2),2)," ")</f>
        <v/>
      </c>
      <c r="Z3908" s="10">
        <f>IF(A3908="C",LEFT(UPPER(E3908)&amp;REPT(" ",15),15)," ")</f>
        <v/>
      </c>
      <c r="AA3908" s="10">
        <f>REPT(" ",8)</f>
        <v/>
      </c>
      <c r="AB3908" s="10">
        <f>REPT(" ",4)</f>
        <v/>
      </c>
      <c r="AC3908" s="10">
        <f>LEFT(UPPER(H3908)&amp;REPT(" ",250),250)</f>
        <v/>
      </c>
      <c r="AD3908" s="10">
        <f>TEXT($G$2,"dd/mm/aaaa")</f>
        <v/>
      </c>
      <c r="AE3908" s="10">
        <f>REPT(" ",10)</f>
        <v/>
      </c>
      <c r="AF3908" s="10">
        <f>REPT(" ",20)</f>
        <v/>
      </c>
      <c r="AG3908" s="54">
        <f>REPT(" ",18-LEN(FIXED(F3908,2,TRUE)))&amp;FIXED(F3908,2,TRUE)</f>
        <v/>
      </c>
      <c r="AH3908" s="10">
        <f>LEN(AC3908)+LEN(AG3908)</f>
        <v/>
      </c>
      <c r="AI3908" s="10">
        <f>LEN(L3908)</f>
        <v/>
      </c>
    </row>
    <row r="3909">
      <c r="J3909" s="12">
        <f>IF(F3909&lt;&gt;0,"LANÇAR","")</f>
        <v/>
      </c>
      <c r="L3909" s="13">
        <f>N3909&amp;O3909&amp;P3909&amp;Q3909&amp;R3909&amp;S3909&amp;T3909&amp;U3909&amp;V3909&amp;W3909&amp;X3909&amp;Y3909&amp;Z3909&amp;AA3909&amp;AB3909&amp;AC3909&amp;AD3909&amp;AE3909&amp;AF3909&amp;AG3909</f>
        <v/>
      </c>
      <c r="N3909" s="10">
        <f>TEXT($B$6,"00")</f>
        <v/>
      </c>
      <c r="O3909" s="10">
        <f>REPT(" ",8)</f>
        <v/>
      </c>
      <c r="P3909" s="10">
        <f>RIGHT($B$4,2)</f>
        <v/>
      </c>
      <c r="Q3909" s="10">
        <f>RIGHT($B$5,3)</f>
        <v/>
      </c>
      <c r="R3909" s="10">
        <f>IF(A3909="D",LEFT(UPPER(B3909)&amp;REPT(" ",20),20),REPT(" ",20))</f>
        <v/>
      </c>
      <c r="S3909" s="10">
        <f>IF(A3909="D",LEFT(UPPER(C3909)&amp;REPT(" ",10),10)," ")</f>
        <v/>
      </c>
      <c r="T3909" s="10">
        <f>IF(A3909="D",LEFT(UPPER(D3909)&amp;REPT(" ",2),2)," ")</f>
        <v/>
      </c>
      <c r="U3909" s="10">
        <f>IF(A3909="D",LEFT(UPPER(E3909)&amp;REPT(" ",15),15)," ")</f>
        <v/>
      </c>
      <c r="V3909" s="10">
        <f>REPT(" ",24)</f>
        <v/>
      </c>
      <c r="W3909" s="10">
        <f>IF(A3909="c",LEFT(UPPER(B3909)&amp;REPT(" ",20),20),REPT(" ",20))</f>
        <v/>
      </c>
      <c r="X3909" s="10">
        <f>IF(A3909="C",LEFT(UPPER(C3909)&amp;REPT(" ",10),10)," ")</f>
        <v/>
      </c>
      <c r="Y3909" s="10">
        <f>IF(A3909="C",LEFT(UPPER(D3909)&amp;REPT(" ",2),2)," ")</f>
        <v/>
      </c>
      <c r="Z3909" s="10">
        <f>IF(A3909="C",LEFT(UPPER(E3909)&amp;REPT(" ",15),15)," ")</f>
        <v/>
      </c>
      <c r="AA3909" s="10">
        <f>REPT(" ",8)</f>
        <v/>
      </c>
      <c r="AB3909" s="10">
        <f>REPT(" ",4)</f>
        <v/>
      </c>
      <c r="AC3909" s="10">
        <f>LEFT(UPPER(H3909)&amp;REPT(" ",250),250)</f>
        <v/>
      </c>
      <c r="AD3909" s="10">
        <f>TEXT($G$2,"dd/mm/aaaa")</f>
        <v/>
      </c>
      <c r="AE3909" s="10">
        <f>REPT(" ",10)</f>
        <v/>
      </c>
      <c r="AF3909" s="10">
        <f>REPT(" ",20)</f>
        <v/>
      </c>
      <c r="AG3909" s="54">
        <f>REPT(" ",18-LEN(FIXED(F3909,2,TRUE)))&amp;FIXED(F3909,2,TRUE)</f>
        <v/>
      </c>
      <c r="AH3909" s="10">
        <f>LEN(AC3909)+LEN(AG3909)</f>
        <v/>
      </c>
      <c r="AI3909" s="10">
        <f>LEN(L3909)</f>
        <v/>
      </c>
    </row>
    <row r="3910">
      <c r="J3910" s="12">
        <f>IF(F3910&lt;&gt;0,"LANÇAR","")</f>
        <v/>
      </c>
      <c r="L3910" s="13">
        <f>N3910&amp;O3910&amp;P3910&amp;Q3910&amp;R3910&amp;S3910&amp;T3910&amp;U3910&amp;V3910&amp;W3910&amp;X3910&amp;Y3910&amp;Z3910&amp;AA3910&amp;AB3910&amp;AC3910&amp;AD3910&amp;AE3910&amp;AF3910&amp;AG3910</f>
        <v/>
      </c>
      <c r="N3910" s="10">
        <f>TEXT($B$6,"00")</f>
        <v/>
      </c>
      <c r="O3910" s="10">
        <f>REPT(" ",8)</f>
        <v/>
      </c>
      <c r="P3910" s="10">
        <f>RIGHT($B$4,2)</f>
        <v/>
      </c>
      <c r="Q3910" s="10">
        <f>RIGHT($B$5,3)</f>
        <v/>
      </c>
      <c r="R3910" s="10">
        <f>IF(A3910="D",LEFT(UPPER(B3910)&amp;REPT(" ",20),20),REPT(" ",20))</f>
        <v/>
      </c>
      <c r="S3910" s="10">
        <f>IF(A3910="D",LEFT(UPPER(C3910)&amp;REPT(" ",10),10)," ")</f>
        <v/>
      </c>
      <c r="T3910" s="10">
        <f>IF(A3910="D",LEFT(UPPER(D3910)&amp;REPT(" ",2),2)," ")</f>
        <v/>
      </c>
      <c r="U3910" s="10">
        <f>IF(A3910="D",LEFT(UPPER(E3910)&amp;REPT(" ",15),15)," ")</f>
        <v/>
      </c>
      <c r="V3910" s="10">
        <f>REPT(" ",24)</f>
        <v/>
      </c>
      <c r="W3910" s="10">
        <f>IF(A3910="c",LEFT(UPPER(B3910)&amp;REPT(" ",20),20),REPT(" ",20))</f>
        <v/>
      </c>
      <c r="X3910" s="10">
        <f>IF(A3910="C",LEFT(UPPER(C3910)&amp;REPT(" ",10),10)," ")</f>
        <v/>
      </c>
      <c r="Y3910" s="10">
        <f>IF(A3910="C",LEFT(UPPER(D3910)&amp;REPT(" ",2),2)," ")</f>
        <v/>
      </c>
      <c r="Z3910" s="10">
        <f>IF(A3910="C",LEFT(UPPER(E3910)&amp;REPT(" ",15),15)," ")</f>
        <v/>
      </c>
      <c r="AA3910" s="10">
        <f>REPT(" ",8)</f>
        <v/>
      </c>
      <c r="AB3910" s="10">
        <f>REPT(" ",4)</f>
        <v/>
      </c>
      <c r="AC3910" s="10">
        <f>LEFT(UPPER(H3910)&amp;REPT(" ",250),250)</f>
        <v/>
      </c>
      <c r="AD3910" s="10">
        <f>TEXT($G$2,"dd/mm/aaaa")</f>
        <v/>
      </c>
      <c r="AE3910" s="10">
        <f>REPT(" ",10)</f>
        <v/>
      </c>
      <c r="AF3910" s="10">
        <f>REPT(" ",20)</f>
        <v/>
      </c>
      <c r="AG3910" s="54">
        <f>REPT(" ",18-LEN(FIXED(F3910,2,TRUE)))&amp;FIXED(F3910,2,TRUE)</f>
        <v/>
      </c>
      <c r="AH3910" s="10">
        <f>LEN(AC3910)+LEN(AG3910)</f>
        <v/>
      </c>
      <c r="AI3910" s="10">
        <f>LEN(L3910)</f>
        <v/>
      </c>
    </row>
    <row r="3911">
      <c r="J3911" s="12">
        <f>IF(F3911&lt;&gt;0,"LANÇAR","")</f>
        <v/>
      </c>
      <c r="L3911" s="13">
        <f>N3911&amp;O3911&amp;P3911&amp;Q3911&amp;R3911&amp;S3911&amp;T3911&amp;U3911&amp;V3911&amp;W3911&amp;X3911&amp;Y3911&amp;Z3911&amp;AA3911&amp;AB3911&amp;AC3911&amp;AD3911&amp;AE3911&amp;AF3911&amp;AG3911</f>
        <v/>
      </c>
      <c r="N3911" s="10">
        <f>TEXT($B$6,"00")</f>
        <v/>
      </c>
      <c r="O3911" s="10">
        <f>REPT(" ",8)</f>
        <v/>
      </c>
      <c r="P3911" s="10">
        <f>RIGHT($B$4,2)</f>
        <v/>
      </c>
      <c r="Q3911" s="10">
        <f>RIGHT($B$5,3)</f>
        <v/>
      </c>
      <c r="R3911" s="10">
        <f>IF(A3911="D",LEFT(UPPER(B3911)&amp;REPT(" ",20),20),REPT(" ",20))</f>
        <v/>
      </c>
      <c r="S3911" s="10">
        <f>IF(A3911="D",LEFT(UPPER(C3911)&amp;REPT(" ",10),10)," ")</f>
        <v/>
      </c>
      <c r="T3911" s="10">
        <f>IF(A3911="D",LEFT(UPPER(D3911)&amp;REPT(" ",2),2)," ")</f>
        <v/>
      </c>
      <c r="U3911" s="10">
        <f>IF(A3911="D",LEFT(UPPER(E3911)&amp;REPT(" ",15),15)," ")</f>
        <v/>
      </c>
      <c r="V3911" s="10">
        <f>REPT(" ",24)</f>
        <v/>
      </c>
      <c r="W3911" s="10">
        <f>IF(A3911="c",LEFT(UPPER(B3911)&amp;REPT(" ",20),20),REPT(" ",20))</f>
        <v/>
      </c>
      <c r="X3911" s="10">
        <f>IF(A3911="C",LEFT(UPPER(C3911)&amp;REPT(" ",10),10)," ")</f>
        <v/>
      </c>
      <c r="Y3911" s="10">
        <f>IF(A3911="C",LEFT(UPPER(D3911)&amp;REPT(" ",2),2)," ")</f>
        <v/>
      </c>
      <c r="Z3911" s="10">
        <f>IF(A3911="C",LEFT(UPPER(E3911)&amp;REPT(" ",15),15)," ")</f>
        <v/>
      </c>
      <c r="AA3911" s="10">
        <f>REPT(" ",8)</f>
        <v/>
      </c>
      <c r="AB3911" s="10">
        <f>REPT(" ",4)</f>
        <v/>
      </c>
      <c r="AC3911" s="10">
        <f>LEFT(UPPER(H3911)&amp;REPT(" ",250),250)</f>
        <v/>
      </c>
      <c r="AD3911" s="10">
        <f>TEXT($G$2,"dd/mm/aaaa")</f>
        <v/>
      </c>
      <c r="AE3911" s="10">
        <f>REPT(" ",10)</f>
        <v/>
      </c>
      <c r="AF3911" s="10">
        <f>REPT(" ",20)</f>
        <v/>
      </c>
      <c r="AG3911" s="54">
        <f>REPT(" ",18-LEN(FIXED(F3911,2,TRUE)))&amp;FIXED(F3911,2,TRUE)</f>
        <v/>
      </c>
      <c r="AH3911" s="10">
        <f>LEN(AC3911)+LEN(AG3911)</f>
        <v/>
      </c>
      <c r="AI3911" s="10">
        <f>LEN(L3911)</f>
        <v/>
      </c>
    </row>
    <row r="3912">
      <c r="J3912" s="12">
        <f>IF(F3912&lt;&gt;0,"LANÇAR","")</f>
        <v/>
      </c>
      <c r="L3912" s="13">
        <f>N3912&amp;O3912&amp;P3912&amp;Q3912&amp;R3912&amp;S3912&amp;T3912&amp;U3912&amp;V3912&amp;W3912&amp;X3912&amp;Y3912&amp;Z3912&amp;AA3912&amp;AB3912&amp;AC3912&amp;AD3912&amp;AE3912&amp;AF3912&amp;AG3912</f>
        <v/>
      </c>
      <c r="N3912" s="10">
        <f>TEXT($B$6,"00")</f>
        <v/>
      </c>
      <c r="O3912" s="10">
        <f>REPT(" ",8)</f>
        <v/>
      </c>
      <c r="P3912" s="10">
        <f>RIGHT($B$4,2)</f>
        <v/>
      </c>
      <c r="Q3912" s="10">
        <f>RIGHT($B$5,3)</f>
        <v/>
      </c>
      <c r="R3912" s="10">
        <f>IF(A3912="D",LEFT(UPPER(B3912)&amp;REPT(" ",20),20),REPT(" ",20))</f>
        <v/>
      </c>
      <c r="S3912" s="10">
        <f>IF(A3912="D",LEFT(UPPER(C3912)&amp;REPT(" ",10),10)," ")</f>
        <v/>
      </c>
      <c r="T3912" s="10">
        <f>IF(A3912="D",LEFT(UPPER(D3912)&amp;REPT(" ",2),2)," ")</f>
        <v/>
      </c>
      <c r="U3912" s="10">
        <f>IF(A3912="D",LEFT(UPPER(E3912)&amp;REPT(" ",15),15)," ")</f>
        <v/>
      </c>
      <c r="V3912" s="10">
        <f>REPT(" ",24)</f>
        <v/>
      </c>
      <c r="W3912" s="10">
        <f>IF(A3912="c",LEFT(UPPER(B3912)&amp;REPT(" ",20),20),REPT(" ",20))</f>
        <v/>
      </c>
      <c r="X3912" s="10">
        <f>IF(A3912="C",LEFT(UPPER(C3912)&amp;REPT(" ",10),10)," ")</f>
        <v/>
      </c>
      <c r="Y3912" s="10">
        <f>IF(A3912="C",LEFT(UPPER(D3912)&amp;REPT(" ",2),2)," ")</f>
        <v/>
      </c>
      <c r="Z3912" s="10">
        <f>IF(A3912="C",LEFT(UPPER(E3912)&amp;REPT(" ",15),15)," ")</f>
        <v/>
      </c>
      <c r="AA3912" s="10">
        <f>REPT(" ",8)</f>
        <v/>
      </c>
      <c r="AB3912" s="10">
        <f>REPT(" ",4)</f>
        <v/>
      </c>
      <c r="AC3912" s="10">
        <f>LEFT(UPPER(H3912)&amp;REPT(" ",250),250)</f>
        <v/>
      </c>
      <c r="AD3912" s="10">
        <f>TEXT($G$2,"dd/mm/aaaa")</f>
        <v/>
      </c>
      <c r="AE3912" s="10">
        <f>REPT(" ",10)</f>
        <v/>
      </c>
      <c r="AF3912" s="10">
        <f>REPT(" ",20)</f>
        <v/>
      </c>
      <c r="AG3912" s="54">
        <f>REPT(" ",18-LEN(FIXED(F3912,2,TRUE)))&amp;FIXED(F3912,2,TRUE)</f>
        <v/>
      </c>
      <c r="AH3912" s="10">
        <f>LEN(AC3912)+LEN(AG3912)</f>
        <v/>
      </c>
      <c r="AI3912" s="10">
        <f>LEN(L3912)</f>
        <v/>
      </c>
    </row>
    <row r="3913">
      <c r="J3913" s="12">
        <f>IF(F3913&lt;&gt;0,"LANÇAR","")</f>
        <v/>
      </c>
      <c r="L3913" s="13">
        <f>N3913&amp;O3913&amp;P3913&amp;Q3913&amp;R3913&amp;S3913&amp;T3913&amp;U3913&amp;V3913&amp;W3913&amp;X3913&amp;Y3913&amp;Z3913&amp;AA3913&amp;AB3913&amp;AC3913&amp;AD3913&amp;AE3913&amp;AF3913&amp;AG3913</f>
        <v/>
      </c>
      <c r="N3913" s="10">
        <f>TEXT($B$6,"00")</f>
        <v/>
      </c>
      <c r="O3913" s="10">
        <f>REPT(" ",8)</f>
        <v/>
      </c>
      <c r="P3913" s="10">
        <f>RIGHT($B$4,2)</f>
        <v/>
      </c>
      <c r="Q3913" s="10">
        <f>RIGHT($B$5,3)</f>
        <v/>
      </c>
      <c r="R3913" s="10">
        <f>IF(A3913="D",LEFT(UPPER(B3913)&amp;REPT(" ",20),20),REPT(" ",20))</f>
        <v/>
      </c>
      <c r="S3913" s="10">
        <f>IF(A3913="D",LEFT(UPPER(C3913)&amp;REPT(" ",10),10)," ")</f>
        <v/>
      </c>
      <c r="T3913" s="10">
        <f>IF(A3913="D",LEFT(UPPER(D3913)&amp;REPT(" ",2),2)," ")</f>
        <v/>
      </c>
      <c r="U3913" s="10">
        <f>IF(A3913="D",LEFT(UPPER(E3913)&amp;REPT(" ",15),15)," ")</f>
        <v/>
      </c>
      <c r="V3913" s="10">
        <f>REPT(" ",24)</f>
        <v/>
      </c>
      <c r="W3913" s="10">
        <f>IF(A3913="c",LEFT(UPPER(B3913)&amp;REPT(" ",20),20),REPT(" ",20))</f>
        <v/>
      </c>
      <c r="X3913" s="10">
        <f>IF(A3913="C",LEFT(UPPER(C3913)&amp;REPT(" ",10),10)," ")</f>
        <v/>
      </c>
      <c r="Y3913" s="10">
        <f>IF(A3913="C",LEFT(UPPER(D3913)&amp;REPT(" ",2),2)," ")</f>
        <v/>
      </c>
      <c r="Z3913" s="10">
        <f>IF(A3913="C",LEFT(UPPER(E3913)&amp;REPT(" ",15),15)," ")</f>
        <v/>
      </c>
      <c r="AA3913" s="10">
        <f>REPT(" ",8)</f>
        <v/>
      </c>
      <c r="AB3913" s="10">
        <f>REPT(" ",4)</f>
        <v/>
      </c>
      <c r="AC3913" s="10">
        <f>LEFT(UPPER(H3913)&amp;REPT(" ",250),250)</f>
        <v/>
      </c>
      <c r="AD3913" s="10">
        <f>TEXT($G$2,"dd/mm/aaaa")</f>
        <v/>
      </c>
      <c r="AE3913" s="10">
        <f>REPT(" ",10)</f>
        <v/>
      </c>
      <c r="AF3913" s="10">
        <f>REPT(" ",20)</f>
        <v/>
      </c>
      <c r="AG3913" s="54">
        <f>REPT(" ",18-LEN(FIXED(F3913,2,TRUE)))&amp;FIXED(F3913,2,TRUE)</f>
        <v/>
      </c>
      <c r="AH3913" s="10">
        <f>LEN(AC3913)+LEN(AG3913)</f>
        <v/>
      </c>
      <c r="AI3913" s="10">
        <f>LEN(L3913)</f>
        <v/>
      </c>
    </row>
    <row r="3914">
      <c r="J3914" s="12">
        <f>IF(F3914&lt;&gt;0,"LANÇAR","")</f>
        <v/>
      </c>
      <c r="L3914" s="13">
        <f>N3914&amp;O3914&amp;P3914&amp;Q3914&amp;R3914&amp;S3914&amp;T3914&amp;U3914&amp;V3914&amp;W3914&amp;X3914&amp;Y3914&amp;Z3914&amp;AA3914&amp;AB3914&amp;AC3914&amp;AD3914&amp;AE3914&amp;AF3914&amp;AG3914</f>
        <v/>
      </c>
      <c r="N3914" s="10">
        <f>TEXT($B$6,"00")</f>
        <v/>
      </c>
      <c r="O3914" s="10">
        <f>REPT(" ",8)</f>
        <v/>
      </c>
      <c r="P3914" s="10">
        <f>RIGHT($B$4,2)</f>
        <v/>
      </c>
      <c r="Q3914" s="10">
        <f>RIGHT($B$5,3)</f>
        <v/>
      </c>
      <c r="R3914" s="10">
        <f>IF(A3914="D",LEFT(UPPER(B3914)&amp;REPT(" ",20),20),REPT(" ",20))</f>
        <v/>
      </c>
      <c r="S3914" s="10">
        <f>IF(A3914="D",LEFT(UPPER(C3914)&amp;REPT(" ",10),10)," ")</f>
        <v/>
      </c>
      <c r="T3914" s="10">
        <f>IF(A3914="D",LEFT(UPPER(D3914)&amp;REPT(" ",2),2)," ")</f>
        <v/>
      </c>
      <c r="U3914" s="10">
        <f>IF(A3914="D",LEFT(UPPER(E3914)&amp;REPT(" ",15),15)," ")</f>
        <v/>
      </c>
      <c r="V3914" s="10">
        <f>REPT(" ",24)</f>
        <v/>
      </c>
      <c r="W3914" s="10">
        <f>IF(A3914="c",LEFT(UPPER(B3914)&amp;REPT(" ",20),20),REPT(" ",20))</f>
        <v/>
      </c>
      <c r="X3914" s="10">
        <f>IF(A3914="C",LEFT(UPPER(C3914)&amp;REPT(" ",10),10)," ")</f>
        <v/>
      </c>
      <c r="Y3914" s="10">
        <f>IF(A3914="C",LEFT(UPPER(D3914)&amp;REPT(" ",2),2)," ")</f>
        <v/>
      </c>
      <c r="Z3914" s="10">
        <f>IF(A3914="C",LEFT(UPPER(E3914)&amp;REPT(" ",15),15)," ")</f>
        <v/>
      </c>
      <c r="AA3914" s="10">
        <f>REPT(" ",8)</f>
        <v/>
      </c>
      <c r="AB3914" s="10">
        <f>REPT(" ",4)</f>
        <v/>
      </c>
      <c r="AC3914" s="10">
        <f>LEFT(UPPER(H3914)&amp;REPT(" ",250),250)</f>
        <v/>
      </c>
      <c r="AD3914" s="10">
        <f>TEXT($G$2,"dd/mm/aaaa")</f>
        <v/>
      </c>
      <c r="AE3914" s="10">
        <f>REPT(" ",10)</f>
        <v/>
      </c>
      <c r="AF3914" s="10">
        <f>REPT(" ",20)</f>
        <v/>
      </c>
      <c r="AG3914" s="54">
        <f>REPT(" ",18-LEN(FIXED(F3914,2,TRUE)))&amp;FIXED(F3914,2,TRUE)</f>
        <v/>
      </c>
      <c r="AH3914" s="10">
        <f>LEN(AC3914)+LEN(AG3914)</f>
        <v/>
      </c>
      <c r="AI3914" s="10">
        <f>LEN(L3914)</f>
        <v/>
      </c>
    </row>
    <row r="3915">
      <c r="J3915" s="12">
        <f>IF(F3915&lt;&gt;0,"LANÇAR","")</f>
        <v/>
      </c>
      <c r="L3915" s="13">
        <f>N3915&amp;O3915&amp;P3915&amp;Q3915&amp;R3915&amp;S3915&amp;T3915&amp;U3915&amp;V3915&amp;W3915&amp;X3915&amp;Y3915&amp;Z3915&amp;AA3915&amp;AB3915&amp;AC3915&amp;AD3915&amp;AE3915&amp;AF3915&amp;AG3915</f>
        <v/>
      </c>
      <c r="N3915" s="10">
        <f>TEXT($B$6,"00")</f>
        <v/>
      </c>
      <c r="O3915" s="10">
        <f>REPT(" ",8)</f>
        <v/>
      </c>
      <c r="P3915" s="10">
        <f>RIGHT($B$4,2)</f>
        <v/>
      </c>
      <c r="Q3915" s="10">
        <f>RIGHT($B$5,3)</f>
        <v/>
      </c>
      <c r="R3915" s="10">
        <f>IF(A3915="D",LEFT(UPPER(B3915)&amp;REPT(" ",20),20),REPT(" ",20))</f>
        <v/>
      </c>
      <c r="S3915" s="10">
        <f>IF(A3915="D",LEFT(UPPER(C3915)&amp;REPT(" ",10),10)," ")</f>
        <v/>
      </c>
      <c r="T3915" s="10">
        <f>IF(A3915="D",LEFT(UPPER(D3915)&amp;REPT(" ",2),2)," ")</f>
        <v/>
      </c>
      <c r="U3915" s="10">
        <f>IF(A3915="D",LEFT(UPPER(E3915)&amp;REPT(" ",15),15)," ")</f>
        <v/>
      </c>
      <c r="V3915" s="10">
        <f>REPT(" ",24)</f>
        <v/>
      </c>
      <c r="W3915" s="10">
        <f>IF(A3915="c",LEFT(UPPER(B3915)&amp;REPT(" ",20),20),REPT(" ",20))</f>
        <v/>
      </c>
      <c r="X3915" s="10">
        <f>IF(A3915="C",LEFT(UPPER(C3915)&amp;REPT(" ",10),10)," ")</f>
        <v/>
      </c>
      <c r="Y3915" s="10">
        <f>IF(A3915="C",LEFT(UPPER(D3915)&amp;REPT(" ",2),2)," ")</f>
        <v/>
      </c>
      <c r="Z3915" s="10">
        <f>IF(A3915="C",LEFT(UPPER(E3915)&amp;REPT(" ",15),15)," ")</f>
        <v/>
      </c>
      <c r="AA3915" s="10">
        <f>REPT(" ",8)</f>
        <v/>
      </c>
      <c r="AB3915" s="10">
        <f>REPT(" ",4)</f>
        <v/>
      </c>
      <c r="AC3915" s="10">
        <f>LEFT(UPPER(H3915)&amp;REPT(" ",250),250)</f>
        <v/>
      </c>
      <c r="AD3915" s="10">
        <f>TEXT($G$2,"dd/mm/aaaa")</f>
        <v/>
      </c>
      <c r="AE3915" s="10">
        <f>REPT(" ",10)</f>
        <v/>
      </c>
      <c r="AF3915" s="10">
        <f>REPT(" ",20)</f>
        <v/>
      </c>
      <c r="AG3915" s="54">
        <f>REPT(" ",18-LEN(FIXED(F3915,2,TRUE)))&amp;FIXED(F3915,2,TRUE)</f>
        <v/>
      </c>
      <c r="AH3915" s="10">
        <f>LEN(AC3915)+LEN(AG3915)</f>
        <v/>
      </c>
      <c r="AI3915" s="10">
        <f>LEN(L3915)</f>
        <v/>
      </c>
    </row>
    <row r="3916">
      <c r="C3916" t="inlineStr">
        <is>
          <t>*</t>
        </is>
      </c>
      <c r="F3916" s="75" t="inlineStr">
        <is>
          <t>*</t>
        </is>
      </c>
      <c r="G3916" t="inlineStr">
        <is>
          <t>*</t>
        </is>
      </c>
      <c r="H3916" s="7" t="inlineStr">
        <is>
          <t>*</t>
        </is>
      </c>
      <c r="I3916" s="21" t="inlineStr">
        <is>
          <t>*</t>
        </is>
      </c>
      <c r="J3916" s="9" t="inlineStr">
        <is>
          <t>*</t>
        </is>
      </c>
      <c r="K3916" s="21" t="inlineStr">
        <is>
          <t>*</t>
        </is>
      </c>
      <c r="L3916" s="10" t="inlineStr">
        <is>
          <t>*</t>
        </is>
      </c>
      <c r="M3916" s="21" t="inlineStr">
        <is>
          <t>*</t>
        </is>
      </c>
      <c r="N3916" s="10" t="inlineStr">
        <is>
          <t>*</t>
        </is>
      </c>
      <c r="O3916" s="10" t="inlineStr">
        <is>
          <t>*</t>
        </is>
      </c>
      <c r="P3916" s="10" t="inlineStr">
        <is>
          <t>*</t>
        </is>
      </c>
      <c r="Q3916" s="10" t="inlineStr">
        <is>
          <t>*</t>
        </is>
      </c>
      <c r="R3916" s="10" t="inlineStr">
        <is>
          <t>*</t>
        </is>
      </c>
      <c r="S3916" s="10" t="inlineStr">
        <is>
          <t>*</t>
        </is>
      </c>
      <c r="T3916" s="10" t="inlineStr">
        <is>
          <t>*</t>
        </is>
      </c>
      <c r="U3916" s="10" t="inlineStr">
        <is>
          <t>*</t>
        </is>
      </c>
      <c r="V3916" s="10" t="inlineStr">
        <is>
          <t>*</t>
        </is>
      </c>
      <c r="W3916" s="10" t="inlineStr">
        <is>
          <t>*</t>
        </is>
      </c>
      <c r="X3916" s="10" t="inlineStr">
        <is>
          <t>*</t>
        </is>
      </c>
      <c r="Y3916" s="10" t="inlineStr">
        <is>
          <t>*</t>
        </is>
      </c>
      <c r="Z3916" s="10" t="inlineStr">
        <is>
          <t>*</t>
        </is>
      </c>
      <c r="AA3916" s="10" t="inlineStr">
        <is>
          <t>*</t>
        </is>
      </c>
      <c r="AB3916" s="10" t="inlineStr">
        <is>
          <t>*</t>
        </is>
      </c>
      <c r="AC3916" s="10" t="inlineStr">
        <is>
          <t>*</t>
        </is>
      </c>
      <c r="AD3916" s="10" t="inlineStr">
        <is>
          <t>*</t>
        </is>
      </c>
      <c r="AE3916" s="10" t="inlineStr">
        <is>
          <t>*</t>
        </is>
      </c>
      <c r="AF3916" s="10" t="inlineStr">
        <is>
          <t>*</t>
        </is>
      </c>
      <c r="AG3916" s="54" t="inlineStr">
        <is>
          <t>*</t>
        </is>
      </c>
      <c r="AH3916" s="10" t="inlineStr">
        <is>
          <t>*</t>
        </is>
      </c>
      <c r="AI3916" s="10" t="inlineStr">
        <is>
          <t>*</t>
        </is>
      </c>
      <c r="AJ3916" s="10" t="inlineStr">
        <is>
          <t>*</t>
        </is>
      </c>
    </row>
  </sheetData>
  <autoFilter ref="A7:AH921"/>
  <mergeCells count="4">
    <mergeCell ref="A2:F2"/>
    <mergeCell ref="L5:L7"/>
    <mergeCell ref="J5:J7"/>
    <mergeCell ref="H4:H5"/>
  </mergeCells>
  <conditionalFormatting sqref="A1:G1 A3:A6 B3:E3 B4:B5 B5:E5 C6:E6 F3:F6 G3 G6 H1:H6">
    <cfRule type="expression" priority="103" dxfId="0">
      <formula>$G$4&lt;&gt;$G$5</formula>
    </cfRule>
  </conditionalFormatting>
  <conditionalFormatting sqref="C4:E4 D5:E5">
    <cfRule type="expression" priority="3" dxfId="0">
      <formula>$G$4&lt;&gt;$G$5</formula>
    </cfRule>
  </conditionalFormatting>
  <conditionalFormatting sqref="B6">
    <cfRule type="expression" priority="1" dxfId="0">
      <formula>$G$4&lt;&gt;$G$5</formula>
    </cfRule>
  </conditionalFormatting>
  <dataValidations count="1">
    <dataValidation sqref="A2" showDropDown="0" showInputMessage="1" showErrorMessage="1" allowBlank="0" type="list">
      <formula1>Empresas</formula1>
    </dataValidation>
  </dataValidations>
  <pageMargins left="0.1968503937007874" right="0.1968503937007874" top="0.5905511811023623" bottom="0.1968503937007874" header="0.3149606299212598" footer="0.3149606299212598"/>
  <pageSetup orientation="portrait" paperSize="9" scale="7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Plan4">
    <outlinePr summaryBelow="1" summaryRight="1"/>
    <pageSetUpPr/>
  </sheetPr>
  <dimension ref="A1:C8"/>
  <sheetViews>
    <sheetView tabSelected="1" workbookViewId="0">
      <pane ySplit="2" topLeftCell="A3" activePane="bottomLeft" state="frozen"/>
      <selection pane="bottomLeft" activeCell="B9" sqref="B9"/>
    </sheetView>
  </sheetViews>
  <sheetFormatPr baseColWidth="8" defaultRowHeight="14.4"/>
  <cols>
    <col width="32.88671875" customWidth="1" min="1" max="1"/>
    <col width="9" customWidth="1" style="1" min="2" max="2"/>
  </cols>
  <sheetData>
    <row r="1" ht="15" customHeight="1" thickBot="1">
      <c r="A1" s="2" t="inlineStr">
        <is>
          <t>nº Dealer</t>
        </is>
      </c>
      <c r="B1" s="3" t="n"/>
    </row>
    <row r="2" ht="15" customHeight="1" thickBot="1">
      <c r="A2" s="5" t="inlineStr">
        <is>
          <t>N O M E   D A   EMPRESA</t>
        </is>
      </c>
      <c r="B2" s="6" t="inlineStr">
        <is>
          <t>Empresa</t>
        </is>
      </c>
      <c r="C2" s="6" t="inlineStr">
        <is>
          <t>Filial</t>
        </is>
      </c>
    </row>
    <row r="3">
      <c r="A3" s="4" t="inlineStr">
        <is>
          <t>XXXXX Veiculos Ltda</t>
        </is>
      </c>
      <c r="B3" s="1" t="n">
        <v>1</v>
      </c>
      <c r="C3" s="1" t="n">
        <v>1</v>
      </c>
    </row>
    <row r="4">
      <c r="A4" s="4" t="inlineStr">
        <is>
          <t>XXXXX FIAT Veiculos Ltda 1</t>
        </is>
      </c>
      <c r="B4" s="1" t="n">
        <v>7</v>
      </c>
      <c r="C4" s="1" t="n">
        <v>1</v>
      </c>
    </row>
    <row r="5">
      <c r="A5" s="4" t="inlineStr">
        <is>
          <t>XXXXX FIAT Veiculos Ltda 2</t>
        </is>
      </c>
      <c r="B5" s="1" t="n">
        <v>1</v>
      </c>
      <c r="C5" s="1" t="n">
        <v>1</v>
      </c>
    </row>
    <row r="6">
      <c r="A6" s="4" t="inlineStr">
        <is>
          <t>XXXXX FIAT Veiculos Ltda 3</t>
        </is>
      </c>
      <c r="B6" s="1" t="n">
        <v>4</v>
      </c>
      <c r="C6" s="63" t="n">
        <v>1</v>
      </c>
    </row>
    <row r="7">
      <c r="A7" s="4" t="inlineStr">
        <is>
          <t>XXXXX FIAT Veiculos Ltda 4</t>
        </is>
      </c>
      <c r="B7" s="1" t="n">
        <v>1</v>
      </c>
      <c r="C7" s="1" t="n">
        <v>1</v>
      </c>
    </row>
    <row r="8">
      <c r="A8" s="4" t="n"/>
    </row>
  </sheetData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C35"/>
  <sheetViews>
    <sheetView showGridLines="0" workbookViewId="0">
      <selection activeCell="A1" sqref="A1"/>
    </sheetView>
  </sheetViews>
  <sheetFormatPr baseColWidth="8" defaultRowHeight="15"/>
  <cols>
    <col width="16" customWidth="1" min="1" max="1"/>
    <col width="24" customWidth="1" min="2" max="2"/>
    <col width="34" customWidth="1" min="3" max="3"/>
  </cols>
  <sheetData>
    <row r="1">
      <c r="A1" s="90" t="inlineStr">
        <is>
          <t>DE-PARA — Conta RCO005 → Conta no Sistema de Lotes (DEALER)</t>
        </is>
      </c>
    </row>
    <row r="2">
      <c r="A2" s="91" t="inlineStr">
        <is>
          <t>Preencher a coluna B uma única vez (formato 12 dígitos do sistema). A coluna CONTA do lote puxa daqui.</t>
        </is>
      </c>
    </row>
    <row r="4">
      <c r="A4" s="92" t="inlineStr">
        <is>
          <t>Conta RCO005</t>
        </is>
      </c>
      <c r="B4" s="92" t="inlineStr">
        <is>
          <t>Conta no Lote (preencher)</t>
        </is>
      </c>
      <c r="C4" s="92" t="inlineStr">
        <is>
          <t>Descrição</t>
        </is>
      </c>
    </row>
    <row r="5">
      <c r="A5" s="93" t="inlineStr">
        <is>
          <t>6.1.1.01.002</t>
        </is>
      </c>
      <c r="B5" s="94" t="inlineStr"/>
      <c r="C5" s="93" t="inlineStr">
        <is>
          <t>Salarios e Ord. - Funcionarios</t>
        </is>
      </c>
    </row>
    <row r="6">
      <c r="A6" s="93" t="inlineStr">
        <is>
          <t>6.1.1.01.003</t>
        </is>
      </c>
      <c r="B6" s="94" t="inlineStr"/>
      <c r="C6" s="93" t="inlineStr">
        <is>
          <t>Premio</t>
        </is>
      </c>
    </row>
    <row r="7">
      <c r="A7" s="93" t="inlineStr">
        <is>
          <t>6.1.1.01.005</t>
        </is>
      </c>
      <c r="B7" s="94" t="inlineStr"/>
      <c r="C7" s="93" t="inlineStr">
        <is>
          <t>Comissoes p/ Vendedores</t>
        </is>
      </c>
    </row>
    <row r="8">
      <c r="A8" s="93" t="inlineStr">
        <is>
          <t>6.1.1.01.013</t>
        </is>
      </c>
      <c r="B8" s="94" t="inlineStr"/>
      <c r="C8" s="93" t="inlineStr">
        <is>
          <t>Bonificacoes sobre Venda</t>
        </is>
      </c>
    </row>
    <row r="9">
      <c r="A9" s="93" t="inlineStr">
        <is>
          <t>6.1.1.04.001</t>
        </is>
      </c>
      <c r="B9" s="94" t="inlineStr"/>
      <c r="C9" s="93" t="inlineStr">
        <is>
          <t>Assistencia Medica</t>
        </is>
      </c>
    </row>
    <row r="10">
      <c r="A10" s="93" t="inlineStr">
        <is>
          <t>6.1.1.04.003</t>
        </is>
      </c>
      <c r="B10" s="94" t="inlineStr"/>
      <c r="C10" s="93" t="inlineStr">
        <is>
          <t>Lanches e Refeicoes</t>
        </is>
      </c>
    </row>
    <row r="11">
      <c r="A11" s="93" t="inlineStr">
        <is>
          <t>6.1.1.04.006</t>
        </is>
      </c>
      <c r="B11" s="94" t="inlineStr"/>
      <c r="C11" s="93" t="inlineStr">
        <is>
          <t>Vale Transporte</t>
        </is>
      </c>
    </row>
    <row r="12">
      <c r="A12" s="93" t="inlineStr">
        <is>
          <t>6.1.1.02.001</t>
        </is>
      </c>
      <c r="B12" s="94" t="inlineStr"/>
      <c r="C12" s="93" t="inlineStr">
        <is>
          <t>INSS - Normal</t>
        </is>
      </c>
    </row>
    <row r="13">
      <c r="A13" s="93" t="inlineStr">
        <is>
          <t>6.1.1.02.002</t>
        </is>
      </c>
      <c r="B13" s="94" t="inlineStr"/>
      <c r="C13" s="93" t="inlineStr">
        <is>
          <t>FGTS - Normal</t>
        </is>
      </c>
    </row>
    <row r="14">
      <c r="A14" s="93" t="inlineStr">
        <is>
          <t>6.1.1.02.005</t>
        </is>
      </c>
      <c r="B14" s="94" t="inlineStr"/>
      <c r="C14" s="93" t="inlineStr">
        <is>
          <t>Salario Educacao</t>
        </is>
      </c>
    </row>
    <row r="15">
      <c r="A15" s="93" t="inlineStr">
        <is>
          <t>6.1.1.03.001</t>
        </is>
      </c>
      <c r="B15" s="94" t="inlineStr"/>
      <c r="C15" s="93" t="inlineStr">
        <is>
          <t>Ferias e 1/3 de Ferias</t>
        </is>
      </c>
    </row>
    <row r="16">
      <c r="A16" s="93" t="inlineStr">
        <is>
          <t>6.1.1.03.002</t>
        </is>
      </c>
      <c r="B16" s="94" t="inlineStr"/>
      <c r="C16" s="93" t="inlineStr">
        <is>
          <t>13o. Salario</t>
        </is>
      </c>
    </row>
    <row r="17">
      <c r="A17" s="93" t="inlineStr">
        <is>
          <t>6.1.1.03.003</t>
        </is>
      </c>
      <c r="B17" s="94" t="inlineStr"/>
      <c r="C17" s="93" t="inlineStr">
        <is>
          <t>INSS s/ Ferias</t>
        </is>
      </c>
    </row>
    <row r="18">
      <c r="A18" s="93" t="inlineStr">
        <is>
          <t>6.1.1.03.004</t>
        </is>
      </c>
      <c r="B18" s="94" t="inlineStr"/>
      <c r="C18" s="93" t="inlineStr">
        <is>
          <t>INSS s/ 13o. Salario</t>
        </is>
      </c>
    </row>
    <row r="19">
      <c r="A19" s="93" t="inlineStr">
        <is>
          <t>6.1.1.03.005</t>
        </is>
      </c>
      <c r="B19" s="94" t="inlineStr"/>
      <c r="C19" s="93" t="inlineStr">
        <is>
          <t>FGTS s/ Ferias</t>
        </is>
      </c>
    </row>
    <row r="20">
      <c r="A20" s="93" t="inlineStr">
        <is>
          <t>6.1.1.03.006</t>
        </is>
      </c>
      <c r="B20" s="94" t="inlineStr"/>
      <c r="C20" s="93" t="inlineStr">
        <is>
          <t>FGTS s/ 13o. Salario</t>
        </is>
      </c>
    </row>
    <row r="21">
      <c r="A21" s="93" t="inlineStr">
        <is>
          <t>6.1.1.05.002</t>
        </is>
      </c>
      <c r="B21" s="94" t="inlineStr"/>
      <c r="C21" s="93" t="inlineStr">
        <is>
          <t>Pro-Labore - Joao Dos S. Braga Neto</t>
        </is>
      </c>
    </row>
    <row r="22">
      <c r="A22" s="93" t="inlineStr">
        <is>
          <t>2.1.1.02.001</t>
        </is>
      </c>
      <c r="B22" s="94" t="inlineStr"/>
      <c r="C22" s="93" t="inlineStr">
        <is>
          <t>INSS a Recolher</t>
        </is>
      </c>
    </row>
    <row r="23">
      <c r="A23" s="93" t="inlineStr">
        <is>
          <t>2.1.3.02.001</t>
        </is>
      </c>
      <c r="B23" s="94" t="inlineStr"/>
      <c r="C23" s="93" t="inlineStr">
        <is>
          <t>I R R F s/ Salarios</t>
        </is>
      </c>
    </row>
    <row r="24">
      <c r="A24" s="93" t="inlineStr">
        <is>
          <t>2.1.1.02.006</t>
        </is>
      </c>
      <c r="B24" s="94" t="inlineStr"/>
      <c r="C24" s="93" t="inlineStr">
        <is>
          <t>Pensao Alimenticia a Pagar</t>
        </is>
      </c>
    </row>
    <row r="25">
      <c r="A25" s="93" t="inlineStr">
        <is>
          <t>2.1.1.02.007</t>
        </is>
      </c>
      <c r="B25" s="94" t="inlineStr"/>
      <c r="C25" s="93" t="inlineStr">
        <is>
          <t>Emprestimo consignado FGTS</t>
        </is>
      </c>
    </row>
    <row r="26">
      <c r="A26" s="93" t="inlineStr">
        <is>
          <t>1.1.4.01.004</t>
        </is>
      </c>
      <c r="B26" s="94" t="inlineStr"/>
      <c r="C26" s="93" t="inlineStr">
        <is>
          <t>Emprestimos a Funcionarios</t>
        </is>
      </c>
    </row>
    <row r="27">
      <c r="A27" s="93" t="inlineStr">
        <is>
          <t>2.1.1.02.003</t>
        </is>
      </c>
      <c r="B27" s="94" t="inlineStr"/>
      <c r="C27" s="93" t="inlineStr">
        <is>
          <t>Salario Educacao a Recolher</t>
        </is>
      </c>
    </row>
    <row r="28">
      <c r="A28" s="93" t="inlineStr">
        <is>
          <t>2.1.1.02.002</t>
        </is>
      </c>
      <c r="B28" s="94" t="inlineStr"/>
      <c r="C28" s="93" t="inlineStr">
        <is>
          <t>FGTS a Recolher</t>
        </is>
      </c>
    </row>
    <row r="29">
      <c r="A29" s="93" t="inlineStr">
        <is>
          <t>2.1.1.03.004</t>
        </is>
      </c>
      <c r="B29" s="94" t="inlineStr"/>
      <c r="C29" s="93" t="inlineStr">
        <is>
          <t>Provisao 13o.Salario</t>
        </is>
      </c>
    </row>
    <row r="30">
      <c r="A30" s="93" t="inlineStr">
        <is>
          <t>2.1.1.03.001</t>
        </is>
      </c>
      <c r="B30" s="94" t="inlineStr"/>
      <c r="C30" s="93" t="inlineStr">
        <is>
          <t>Provisoes de Ferias</t>
        </is>
      </c>
    </row>
    <row r="31">
      <c r="A31" s="93" t="inlineStr">
        <is>
          <t>2.1.1.03.005</t>
        </is>
      </c>
      <c r="B31" s="94" t="inlineStr"/>
      <c r="C31" s="93" t="inlineStr">
        <is>
          <t>Prov. INSS 13o. Salario</t>
        </is>
      </c>
    </row>
    <row r="32">
      <c r="A32" s="93" t="inlineStr">
        <is>
          <t>2.1.1.03.002</t>
        </is>
      </c>
      <c r="B32" s="94" t="inlineStr"/>
      <c r="C32" s="93" t="inlineStr">
        <is>
          <t>Provisao INSS s/Ferias</t>
        </is>
      </c>
    </row>
    <row r="33">
      <c r="A33" s="93" t="inlineStr">
        <is>
          <t>2.1.1.03.006</t>
        </is>
      </c>
      <c r="B33" s="94" t="inlineStr"/>
      <c r="C33" s="93" t="inlineStr">
        <is>
          <t>Prov. FGTS 13o. Salario</t>
        </is>
      </c>
    </row>
    <row r="34">
      <c r="A34" s="93" t="inlineStr">
        <is>
          <t>2.1.1.03.003</t>
        </is>
      </c>
      <c r="B34" s="94" t="inlineStr"/>
      <c r="C34" s="93" t="inlineStr">
        <is>
          <t>Provisao FGTS s/Ferias</t>
        </is>
      </c>
    </row>
    <row r="35">
      <c r="A35" s="93" t="inlineStr">
        <is>
          <t>2.1.1.01.001</t>
        </is>
      </c>
      <c r="B35" s="94" t="inlineStr"/>
      <c r="C35" s="93" t="inlineStr">
        <is>
          <t>Ordenados e Salarios a Pagar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Viamar</dc:creator>
  <dcterms:created xmlns:dcterms="http://purl.org/dc/terms/" xmlns:xsi="http://www.w3.org/2001/XMLSchema-instance" xsi:type="dcterms:W3CDTF">2010-11-11T12:26:01Z</dcterms:created>
  <dcterms:modified xmlns:dcterms="http://purl.org/dc/terms/" xmlns:xsi="http://www.w3.org/2001/XMLSchema-instance" xsi:type="dcterms:W3CDTF">2026-06-11T22:10:47Z</dcterms:modified>
  <cp:lastModifiedBy>Sergio Oliveira</cp:lastModifiedBy>
  <cp:lastPrinted>2016-02-03T12:23:21Z</cp:lastPrinted>
</cp:coreProperties>
</file>